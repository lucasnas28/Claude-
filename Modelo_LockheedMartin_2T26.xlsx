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family val="2"/>
      <b val="1"/>
      <color rgb="FFFFFFFF"/>
      <sz val="10"/>
    </font>
    <font>
      <name val="Verdana"/>
      <family val="2"/>
      <b val="1"/>
      <color theme="1"/>
      <sz val="10"/>
    </font>
    <font>
      <name val="Verdana"/>
      <b val="1"/>
      <sz val="10"/>
    </font>
  </fonts>
  <fills count="18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  <fill>
      <patternFill patternType="solid">
        <fgColor rgb="FF00B050"/>
        <bgColor rgb="FF00B050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5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15" borderId="0" applyAlignment="1" pivotButton="0" quotePrefix="0" xfId="0">
      <alignment horizontal="left"/>
    </xf>
    <xf numFmtId="0" fontId="24" fillId="16" borderId="0" pivotButton="0" quotePrefix="0" xfId="0"/>
    <xf numFmtId="3" fontId="24" fillId="17" borderId="0" applyAlignment="1" pivotButton="0" quotePrefix="0" xfId="0">
      <alignment horizontal="center"/>
    </xf>
    <xf numFmtId="3" fontId="24" fillId="0" borderId="0" applyAlignment="1" pivotButton="0" quotePrefix="0" xfId="0">
      <alignment horizontal="center"/>
    </xf>
    <xf numFmtId="0" fontId="25" fillId="16" borderId="0" pivotButton="0" quotePrefix="0" xfId="0"/>
    <xf numFmtId="171" fontId="24" fillId="17" borderId="0" applyAlignment="1" pivotButton="0" quotePrefix="0" xfId="0">
      <alignment horizontal="center"/>
    </xf>
    <xf numFmtId="171" fontId="24" fillId="0" borderId="0" applyAlignment="1" pivotButton="0" quotePrefix="0" xfId="0">
      <alignment horizontal="center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87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(US$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US$ mil (monetário); demais unidades × 1.000</t>
        </is>
      </c>
    </row>
    <row r="4">
      <c r="A4" t="inlineStr">
        <is>
          <t>DRE - trimestre isolado (USD). Brutos SEC XBRL; linhas "derivada" são fórmulas nesta aba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[us-gaap:Revenues/RevenueFromContractWithCustomerExcludingAssessedTax] · fonte · unid. moeda</t>
        </is>
      </c>
      <c r="B5" t="n">
        <v>1</v>
      </c>
      <c r="C5" t="inlineStr">
        <is>
          <t>Net Revenues</t>
        </is>
      </c>
      <c r="D5" s="265" t="n">
        <v>16258000</v>
      </c>
      <c r="E5" s="265" t="n">
        <v>17029000</v>
      </c>
      <c r="F5" s="265" t="n">
        <v>16028000</v>
      </c>
      <c r="G5" s="265" t="n">
        <v>17729000</v>
      </c>
      <c r="I5" s="265" t="n">
        <v>14964000</v>
      </c>
      <c r="J5" s="265" t="n">
        <v>15446000</v>
      </c>
      <c r="K5" s="265" t="n">
        <v>16583000</v>
      </c>
      <c r="L5" s="265" t="n">
        <v>18991000</v>
      </c>
      <c r="N5" s="265" t="n">
        <v>15126000</v>
      </c>
      <c r="O5" s="265" t="n">
        <v>16693000</v>
      </c>
      <c r="P5" s="265" t="n">
        <v>16878000</v>
      </c>
      <c r="Q5" s="265" t="n">
        <v>18874000</v>
      </c>
      <c r="S5" s="265" t="n">
        <v>17195000</v>
      </c>
      <c r="T5" s="265" t="n">
        <v>18122000</v>
      </c>
      <c r="U5" s="265" t="n">
        <v>17104000</v>
      </c>
      <c r="V5" s="265" t="n">
        <v>18622000</v>
      </c>
      <c r="X5" s="265" t="n">
        <v>17963000</v>
      </c>
      <c r="Y5" s="265" t="n">
        <v>18155000</v>
      </c>
      <c r="Z5" s="265" t="n">
        <v>18609000</v>
      </c>
      <c r="AA5" s="265" t="n">
        <v>20321000</v>
      </c>
      <c r="AC5" s="265" t="n">
        <v>18021000</v>
      </c>
      <c r="AD5" s="265" t="n">
        <v>20063000</v>
      </c>
    </row>
    <row r="6">
      <c r="A6" t="inlineStr">
        <is>
          <t>Custo da receita (divulgado positivo) [us-gaap:CostOfRevenue/CostOfGoodsAndServicesSold] · fonte · unid. moeda</t>
        </is>
      </c>
      <c r="C6" t="inlineStr">
        <is>
          <t>[linha bruta, sem código; lançada nas linhas abaixo]</t>
        </is>
      </c>
      <c r="D6" s="265" t="n">
        <v>14072000</v>
      </c>
      <c r="E6" s="265" t="n">
        <v>14878000</v>
      </c>
      <c r="F6" s="265" t="n">
        <v>13726000</v>
      </c>
      <c r="G6" s="265" t="n">
        <v>15307000</v>
      </c>
      <c r="I6" s="265" t="n">
        <v>13055000</v>
      </c>
      <c r="J6" s="265" t="n">
        <v>13490000</v>
      </c>
      <c r="K6" s="265" t="n">
        <v>14463000</v>
      </c>
      <c r="L6" s="265" t="n">
        <v>16689000</v>
      </c>
      <c r="N6" s="265" t="n">
        <v>13080000</v>
      </c>
      <c r="O6" s="265" t="n">
        <v>14603000</v>
      </c>
      <c r="P6" s="265" t="n">
        <v>14830000</v>
      </c>
      <c r="Q6" s="265" t="n">
        <v>16579000</v>
      </c>
      <c r="S6" s="265" t="n">
        <v>15202000</v>
      </c>
      <c r="T6" s="265" t="n">
        <v>15992000</v>
      </c>
      <c r="U6" s="265" t="n">
        <v>14987000</v>
      </c>
      <c r="V6" s="265" t="n">
        <v>17932000</v>
      </c>
      <c r="X6" s="265" t="n">
        <v>15640000</v>
      </c>
      <c r="Y6" s="265" t="n">
        <v>17421000</v>
      </c>
      <c r="Z6" s="265" t="n">
        <v>16369000</v>
      </c>
      <c r="AA6" s="265" t="n">
        <v>17999000</v>
      </c>
      <c r="AC6" s="265" t="n">
        <v>15943000</v>
      </c>
      <c r="AD6" s="265" t="n">
        <v>17617000</v>
      </c>
    </row>
    <row r="7">
      <c r="A7" t="inlineStr">
        <is>
          <t>(lançamento) código 2, sinal -1 sobre a linha bruta 6: Custo da receita (divulgado positivo) [us-gaap:CostOfRevenue/CostOfGoodsAndServicesSold]</t>
        </is>
      </c>
      <c r="B7" t="n">
        <v>2</v>
      </c>
      <c r="C7" t="inlineStr">
        <is>
          <t>COGS (cash)</t>
        </is>
      </c>
      <c r="D7" s="265">
        <f>IF(D6="","",-1*D6)</f>
        <v>-14072000</v>
      </c>
      <c r="E7" s="265">
        <f>IF(E6="","",-1*E6)</f>
        <v>-14878000</v>
      </c>
      <c r="F7" s="265">
        <f>IF(F6="","",-1*F6)</f>
        <v>-13726000</v>
      </c>
      <c r="G7" s="265">
        <f>IF(G6="","",-1*G6)</f>
        <v>-15307000</v>
      </c>
      <c r="I7" s="265">
        <f>IF(I6="","",-1*I6)</f>
        <v>-13055000</v>
      </c>
      <c r="J7" s="265">
        <f>IF(J6="","",-1*J6)</f>
        <v>-13490000</v>
      </c>
      <c r="K7" s="265">
        <f>IF(K6="","",-1*K6)</f>
        <v>-14463000</v>
      </c>
      <c r="L7" s="265">
        <f>IF(L6="","",-1*L6)</f>
        <v>-16689000</v>
      </c>
      <c r="N7" s="265">
        <f>IF(N6="","",-1*N6)</f>
        <v>-13080000</v>
      </c>
      <c r="O7" s="265">
        <f>IF(O6="","",-1*O6)</f>
        <v>-14603000</v>
      </c>
      <c r="P7" s="265">
        <f>IF(P6="","",-1*P6)</f>
        <v>-14830000</v>
      </c>
      <c r="Q7" s="265">
        <f>IF(Q6="","",-1*Q6)</f>
        <v>-16579000</v>
      </c>
      <c r="S7" s="265">
        <f>IF(S6="","",-1*S6)</f>
        <v>-15202000</v>
      </c>
      <c r="T7" s="265">
        <f>IF(T6="","",-1*T6)</f>
        <v>-15992000</v>
      </c>
      <c r="U7" s="265">
        <f>IF(U6="","",-1*U6)</f>
        <v>-14987000</v>
      </c>
      <c r="V7" s="265">
        <f>IF(V6="","",-1*V6)</f>
        <v>-17932000</v>
      </c>
      <c r="X7" s="265">
        <f>IF(X6="","",-1*X6)</f>
        <v>-15640000</v>
      </c>
      <c r="Y7" s="265">
        <f>IF(Y6="","",-1*Y6)</f>
        <v>-17421000</v>
      </c>
      <c r="Z7" s="265">
        <f>IF(Z6="","",-1*Z6)</f>
        <v>-16369000</v>
      </c>
      <c r="AA7" s="265">
        <f>IF(AA6="","",-1*AA6)</f>
        <v>-17999000</v>
      </c>
      <c r="AC7" s="265">
        <f>IF(AC6="","",-1*AC6)</f>
        <v>-15943000</v>
      </c>
      <c r="AD7" s="265">
        <f>IF(AD6="","",-1*AD6)</f>
        <v>-17617000</v>
      </c>
    </row>
    <row r="8">
      <c r="A8" t="inlineStr">
        <is>
          <t>Lucro operacional [us-gaap:OperatingIncomeLoss] · memoria · unid. moeda</t>
        </is>
      </c>
      <c r="C8" t="inlineStr">
        <is>
          <t>[linha bruta, sem código; lançada nas linhas abaixo]</t>
        </is>
      </c>
      <c r="D8" s="265" t="n">
        <v>2182000</v>
      </c>
      <c r="E8" s="265" t="n">
        <v>2192000</v>
      </c>
      <c r="F8" s="265" t="n">
        <v>2294000</v>
      </c>
      <c r="G8" s="265" t="n">
        <v>2455000</v>
      </c>
      <c r="I8" s="265" t="n">
        <v>1933000</v>
      </c>
      <c r="J8" s="265" t="n">
        <v>1963000</v>
      </c>
      <c r="K8" s="265" t="n">
        <v>2159000</v>
      </c>
      <c r="L8" s="265" t="n">
        <v>2293000</v>
      </c>
      <c r="N8" s="265" t="n">
        <v>2037000</v>
      </c>
      <c r="O8" s="265" t="n">
        <v>2135000</v>
      </c>
      <c r="P8" s="265" t="n">
        <v>2042000</v>
      </c>
      <c r="Q8" s="265" t="n">
        <v>2293000</v>
      </c>
      <c r="S8" s="265" t="n">
        <v>2029000</v>
      </c>
      <c r="T8" s="265" t="n">
        <v>2148000</v>
      </c>
      <c r="U8" s="265" t="n">
        <v>2140000</v>
      </c>
      <c r="V8" s="265" t="n">
        <v>696000</v>
      </c>
      <c r="X8" s="265" t="n">
        <v>2372000</v>
      </c>
      <c r="Y8" s="265" t="n">
        <v>748000</v>
      </c>
      <c r="Z8" s="265" t="n">
        <v>2280000</v>
      </c>
      <c r="AA8" s="265" t="n">
        <v>2331000</v>
      </c>
      <c r="AC8" s="265" t="n">
        <v>2063000</v>
      </c>
      <c r="AD8" s="265" t="n">
        <v>2479000</v>
      </c>
    </row>
    <row r="9">
      <c r="A9" t="inlineStr">
        <is>
          <t>Despesas operacionais = receita - custo - lucro operacional (P&amp;D + SG&amp;A + outras operacionais) · derivada · unid. moeda</t>
        </is>
      </c>
      <c r="C9" t="inlineStr">
        <is>
          <t>[linha bruta, sem código; lançada nas linhas abaixo]</t>
        </is>
      </c>
      <c r="D9" s="265">
        <f>N(D5)-N(D6)-N(D8)</f>
        <v>4000</v>
      </c>
      <c r="E9" s="265">
        <f>N(E5)-N(E6)-N(E8)</f>
        <v>-41000</v>
      </c>
      <c r="F9" s="265">
        <f>N(F5)-N(F6)-N(F8)</f>
        <v>8000</v>
      </c>
      <c r="G9" s="265">
        <f>N(G5)-N(G6)-N(G8)</f>
        <v>-33000</v>
      </c>
      <c r="I9" s="265">
        <f>N(I5)-N(I6)-N(I8)</f>
        <v>-24000</v>
      </c>
      <c r="J9" s="265">
        <f>N(J5)-N(J6)-N(J8)</f>
        <v>-7000</v>
      </c>
      <c r="K9" s="265">
        <f>N(K5)-N(K6)-N(K8)</f>
        <v>-39000</v>
      </c>
      <c r="L9" s="265">
        <f>N(L5)-N(L6)-N(L8)</f>
        <v>9000</v>
      </c>
      <c r="N9" s="265">
        <f>N(N5)-N(N6)-N(N8)</f>
        <v>9000</v>
      </c>
      <c r="O9" s="265">
        <f>N(O5)-N(O6)-N(O8)</f>
        <v>-45000</v>
      </c>
      <c r="P9" s="265">
        <f>N(P5)-N(P6)-N(P8)</f>
        <v>6000</v>
      </c>
      <c r="Q9" s="265">
        <f>N(Q5)-N(Q6)-N(Q8)</f>
        <v>2000</v>
      </c>
      <c r="S9" s="265">
        <f>N(S5)-N(S6)-N(S8)</f>
        <v>-36000</v>
      </c>
      <c r="T9" s="265">
        <f>N(T5)-N(T6)-N(T8)</f>
        <v>-18000</v>
      </c>
      <c r="U9" s="265">
        <f>N(U5)-N(U6)-N(U8)</f>
        <v>-23000</v>
      </c>
      <c r="V9" s="265">
        <f>N(V5)-N(V6)-N(V8)</f>
        <v>-6000</v>
      </c>
      <c r="X9" s="265">
        <f>N(X5)-N(X6)-N(X8)</f>
        <v>-49000</v>
      </c>
      <c r="Y9" s="265">
        <f>N(Y5)-N(Y6)-N(Y8)</f>
        <v>-14000</v>
      </c>
      <c r="Z9" s="265">
        <f>N(Z5)-N(Z6)-N(Z8)</f>
        <v>-40000</v>
      </c>
      <c r="AA9" s="265">
        <f>N(AA5)-N(AA6)-N(AA8)</f>
        <v>-9000</v>
      </c>
      <c r="AC9" s="265">
        <f>N(AC5)-N(AC6)-N(AC8)</f>
        <v>15000</v>
      </c>
      <c r="AD9" s="265">
        <f>N(AD5)-N(AD6)-N(AD8)</f>
        <v>-33000</v>
      </c>
    </row>
    <row r="10">
      <c r="A10" t="inlineStr">
        <is>
          <t>(lançamento) código 3, sinal -1 sobre a linha bruta 9: Despesas operacionais = receita - custo - lucro operacional (P&amp;D + SG&amp;A + outras operacion</t>
        </is>
      </c>
      <c r="B10" t="n">
        <v>3</v>
      </c>
      <c r="C10" t="inlineStr">
        <is>
          <t>SG&amp;A and Other (cash)</t>
        </is>
      </c>
      <c r="D10" s="265">
        <f>IF(D9="","",-1*D9)</f>
        <v>-4000</v>
      </c>
      <c r="E10" s="265">
        <f>IF(E9="","",-1*E9)</f>
        <v>41000</v>
      </c>
      <c r="F10" s="265">
        <f>IF(F9="","",-1*F9)</f>
        <v>-8000</v>
      </c>
      <c r="G10" s="265">
        <f>IF(G9="","",-1*G9)</f>
        <v>33000</v>
      </c>
      <c r="I10" s="265">
        <f>IF(I9="","",-1*I9)</f>
        <v>24000</v>
      </c>
      <c r="J10" s="265">
        <f>IF(J9="","",-1*J9)</f>
        <v>7000</v>
      </c>
      <c r="K10" s="265">
        <f>IF(K9="","",-1*K9)</f>
        <v>39000</v>
      </c>
      <c r="L10" s="265">
        <f>IF(L9="","",-1*L9)</f>
        <v>-9000</v>
      </c>
      <c r="N10" s="265">
        <f>IF(N9="","",-1*N9)</f>
        <v>-9000</v>
      </c>
      <c r="O10" s="265">
        <f>IF(O9="","",-1*O9)</f>
        <v>45000</v>
      </c>
      <c r="P10" s="265">
        <f>IF(P9="","",-1*P9)</f>
        <v>-6000</v>
      </c>
      <c r="Q10" s="265">
        <f>IF(Q9="","",-1*Q9)</f>
        <v>-2000</v>
      </c>
      <c r="S10" s="265">
        <f>IF(S9="","",-1*S9)</f>
        <v>36000</v>
      </c>
      <c r="T10" s="265">
        <f>IF(T9="","",-1*T9)</f>
        <v>18000</v>
      </c>
      <c r="U10" s="265">
        <f>IF(U9="","",-1*U9)</f>
        <v>23000</v>
      </c>
      <c r="V10" s="265">
        <f>IF(V9="","",-1*V9)</f>
        <v>6000</v>
      </c>
      <c r="X10" s="265">
        <f>IF(X9="","",-1*X9)</f>
        <v>49000</v>
      </c>
      <c r="Y10" s="265">
        <f>IF(Y9="","",-1*Y9)</f>
        <v>14000</v>
      </c>
      <c r="Z10" s="265">
        <f>IF(Z9="","",-1*Z9)</f>
        <v>40000</v>
      </c>
      <c r="AA10" s="265">
        <f>IF(AA9="","",-1*AA9)</f>
        <v>9000</v>
      </c>
      <c r="AC10" s="265">
        <f>IF(AC9="","",-1*AC9)</f>
        <v>-15000</v>
      </c>
      <c r="AD10" s="265">
        <f>IF(AD9="","",-1*AD9)</f>
        <v>33000</v>
      </c>
    </row>
    <row r="11">
      <c r="A11" t="inlineStr">
        <is>
          <t>Lucro antes do IR [us-gaap:IncomeLossFromContinuingOperationsBeforeIncomeTaxesExtraordi] · memoria · unid. moeda</t>
        </is>
      </c>
      <c r="C11" t="inlineStr">
        <is>
          <t>[linha bruta, sem código; lançada nas linhas abaixo]</t>
        </is>
      </c>
      <c r="D11" s="265" t="n">
        <v>2211000</v>
      </c>
      <c r="E11" s="265" t="n">
        <v>2170000</v>
      </c>
      <c r="F11" s="265" t="n">
        <v>679000</v>
      </c>
      <c r="G11" s="265" t="n">
        <v>2490000</v>
      </c>
      <c r="I11" s="265" t="n">
        <v>2061000</v>
      </c>
      <c r="J11" s="265" t="n">
        <v>330000</v>
      </c>
      <c r="K11" s="265" t="n">
        <v>2099000</v>
      </c>
      <c r="L11" s="265" t="n">
        <v>2190000</v>
      </c>
      <c r="N11" s="265" t="n">
        <v>1994000</v>
      </c>
      <c r="O11" s="265" t="n">
        <v>2006000</v>
      </c>
      <c r="P11" s="265" t="n">
        <v>1953000</v>
      </c>
      <c r="Q11" s="265" t="n">
        <v>2145000</v>
      </c>
      <c r="S11" s="265" t="n">
        <v>1835000</v>
      </c>
      <c r="T11" s="265" t="n">
        <v>1948000</v>
      </c>
      <c r="U11" s="265" t="n">
        <v>1918000</v>
      </c>
      <c r="V11" s="265" t="n">
        <v>519000</v>
      </c>
      <c r="X11" s="265" t="n">
        <v>2036000</v>
      </c>
      <c r="Y11" s="265" t="n">
        <v>417000</v>
      </c>
      <c r="Z11" s="265" t="n">
        <v>1938000</v>
      </c>
      <c r="AA11" s="265" t="n">
        <v>1531000</v>
      </c>
      <c r="AC11" s="265" t="n">
        <v>1774000</v>
      </c>
      <c r="AD11" s="265" t="n">
        <v>2178000</v>
      </c>
    </row>
    <row r="12">
      <c r="A12" t="inlineStr">
        <is>
          <t>Resultado não operacional total = lucro antes do IR - lucro operacional · derivada · unid. moeda</t>
        </is>
      </c>
      <c r="B12" t="n">
        <v>6</v>
      </c>
      <c r="C12" t="inlineStr">
        <is>
          <t>Nonoperating Income / (Loss)</t>
        </is>
      </c>
      <c r="D12" s="265">
        <f>N(D11)-N(D8)</f>
        <v>29000</v>
      </c>
      <c r="E12" s="265">
        <f>N(E11)-N(E8)</f>
        <v>-22000</v>
      </c>
      <c r="F12" s="265">
        <f>N(F11)-N(F8)</f>
        <v>-1615000</v>
      </c>
      <c r="G12" s="265">
        <f>N(G11)-N(G8)</f>
        <v>35000</v>
      </c>
      <c r="I12" s="265">
        <f>N(I11)-N(I8)</f>
        <v>128000</v>
      </c>
      <c r="J12" s="265">
        <f>N(J11)-N(J8)</f>
        <v>-1633000</v>
      </c>
      <c r="K12" s="265">
        <f>N(K11)-N(K8)</f>
        <v>-60000</v>
      </c>
      <c r="L12" s="265">
        <f>N(L11)-N(L8)</f>
        <v>-103000</v>
      </c>
      <c r="N12" s="265">
        <f>N(N11)-N(N8)</f>
        <v>-43000</v>
      </c>
      <c r="O12" s="265">
        <f>N(O11)-N(O8)</f>
        <v>-129000</v>
      </c>
      <c r="P12" s="265">
        <f>N(P11)-N(P8)</f>
        <v>-89000</v>
      </c>
      <c r="Q12" s="265">
        <f>N(Q11)-N(Q8)</f>
        <v>-148000</v>
      </c>
      <c r="S12" s="265">
        <f>N(S11)-N(S8)</f>
        <v>-194000</v>
      </c>
      <c r="T12" s="265">
        <f>N(T11)-N(T8)</f>
        <v>-200000</v>
      </c>
      <c r="U12" s="265">
        <f>N(U11)-N(U8)</f>
        <v>-222000</v>
      </c>
      <c r="V12" s="265">
        <f>N(V11)-N(V8)</f>
        <v>-177000</v>
      </c>
      <c r="X12" s="265">
        <f>N(X11)-N(X8)</f>
        <v>-336000</v>
      </c>
      <c r="Y12" s="265">
        <f>N(Y11)-N(Y8)</f>
        <v>-331000</v>
      </c>
      <c r="Z12" s="265">
        <f>N(Z11)-N(Z8)</f>
        <v>-342000</v>
      </c>
      <c r="AA12" s="265">
        <f>N(AA11)-N(AA8)</f>
        <v>-800000</v>
      </c>
      <c r="AC12" s="265">
        <f>N(AC11)-N(AC8)</f>
        <v>-289000</v>
      </c>
      <c r="AD12" s="265">
        <f>N(AD11)-N(AD8)</f>
        <v>-301000</v>
      </c>
    </row>
    <row r="13">
      <c r="A13" t="inlineStr">
        <is>
          <t>Despesa de juros (divulgado positivo): COD1=5 lança; COD2=6 devolve ao não operacional, que já a contém [us-gaap:InterestExpense/InterestExpenseNonoperating] · fonte · unid. moeda</t>
        </is>
      </c>
      <c r="C13" t="inlineStr">
        <is>
          <t>[linha bruta, sem código; lançada nas linhas abaixo]</t>
        </is>
      </c>
      <c r="D13" s="265" t="n">
        <v>140000</v>
      </c>
      <c r="E13" s="265" t="n">
        <v>142000</v>
      </c>
      <c r="F13" s="265" t="n">
        <v>141000</v>
      </c>
      <c r="G13" s="265" t="n">
        <v>146000</v>
      </c>
      <c r="I13" s="265" t="n">
        <v>135000</v>
      </c>
      <c r="J13" s="265" t="n">
        <v>141000</v>
      </c>
      <c r="K13" s="265" t="n">
        <v>145000</v>
      </c>
      <c r="L13" s="265" t="n">
        <v>202000</v>
      </c>
      <c r="N13" s="265" t="n">
        <v>202000</v>
      </c>
      <c r="O13" s="265" t="n">
        <v>223000</v>
      </c>
      <c r="P13" s="265" t="n">
        <v>237000</v>
      </c>
      <c r="Q13" s="265" t="n">
        <v>254000</v>
      </c>
      <c r="S13" s="265" t="n">
        <v>255000</v>
      </c>
      <c r="T13" s="265" t="n">
        <v>261000</v>
      </c>
      <c r="U13" s="265" t="n">
        <v>256000</v>
      </c>
      <c r="V13" s="265" t="n">
        <v>264000</v>
      </c>
      <c r="X13" s="265" t="n">
        <v>268000</v>
      </c>
      <c r="Y13" s="265" t="n">
        <v>274000</v>
      </c>
      <c r="Z13" s="265" t="n">
        <v>286000</v>
      </c>
      <c r="AA13" s="265" t="n">
        <v>290000</v>
      </c>
      <c r="AC13" s="265" t="n">
        <v>269000</v>
      </c>
      <c r="AD13" s="265" t="n">
        <v>266000</v>
      </c>
    </row>
    <row r="14">
      <c r="A14" t="inlineStr">
        <is>
          <t>(lançamento) código 5, sinal -1 sobre a linha bruta 13: Despesa de juros (divulgado positivo): COD1=5 lança; COD2=6 devolve ao não operacional, qu</t>
        </is>
      </c>
      <c r="B14" t="n">
        <v>5</v>
      </c>
      <c r="C14" t="inlineStr">
        <is>
          <t>Interest Expense</t>
        </is>
      </c>
      <c r="D14" s="265">
        <f>IF(D13="","",-1*D13)</f>
        <v>-140000</v>
      </c>
      <c r="E14" s="265">
        <f>IF(E13="","",-1*E13)</f>
        <v>-142000</v>
      </c>
      <c r="F14" s="265">
        <f>IF(F13="","",-1*F13)</f>
        <v>-141000</v>
      </c>
      <c r="G14" s="265">
        <f>IF(G13="","",-1*G13)</f>
        <v>-146000</v>
      </c>
      <c r="I14" s="265">
        <f>IF(I13="","",-1*I13)</f>
        <v>-135000</v>
      </c>
      <c r="J14" s="265">
        <f>IF(J13="","",-1*J13)</f>
        <v>-141000</v>
      </c>
      <c r="K14" s="265">
        <f>IF(K13="","",-1*K13)</f>
        <v>-145000</v>
      </c>
      <c r="L14" s="265">
        <f>IF(L13="","",-1*L13)</f>
        <v>-202000</v>
      </c>
      <c r="N14" s="265">
        <f>IF(N13="","",-1*N13)</f>
        <v>-202000</v>
      </c>
      <c r="O14" s="265">
        <f>IF(O13="","",-1*O13)</f>
        <v>-223000</v>
      </c>
      <c r="P14" s="265">
        <f>IF(P13="","",-1*P13)</f>
        <v>-237000</v>
      </c>
      <c r="Q14" s="265">
        <f>IF(Q13="","",-1*Q13)</f>
        <v>-254000</v>
      </c>
      <c r="S14" s="265">
        <f>IF(S13="","",-1*S13)</f>
        <v>-255000</v>
      </c>
      <c r="T14" s="265">
        <f>IF(T13="","",-1*T13)</f>
        <v>-261000</v>
      </c>
      <c r="U14" s="265">
        <f>IF(U13="","",-1*U13)</f>
        <v>-256000</v>
      </c>
      <c r="V14" s="265">
        <f>IF(V13="","",-1*V13)</f>
        <v>-264000</v>
      </c>
      <c r="X14" s="265">
        <f>IF(X13="","",-1*X13)</f>
        <v>-268000</v>
      </c>
      <c r="Y14" s="265">
        <f>IF(Y13="","",-1*Y13)</f>
        <v>-274000</v>
      </c>
      <c r="Z14" s="265">
        <f>IF(Z13="","",-1*Z13)</f>
        <v>-286000</v>
      </c>
      <c r="AA14" s="265">
        <f>IF(AA13="","",-1*AA13)</f>
        <v>-290000</v>
      </c>
      <c r="AC14" s="265">
        <f>IF(AC13="","",-1*AC13)</f>
        <v>-269000</v>
      </c>
      <c r="AD14" s="265">
        <f>IF(AD13="","",-1*AD13)</f>
        <v>-266000</v>
      </c>
    </row>
    <row r="15">
      <c r="A15" t="inlineStr">
        <is>
          <t>(lançamento) código 6, sinal +1 sobre a linha bruta 13: Despesa de juros (divulgado positivo): COD1=5 lança; COD2=6 devolve ao não operacional, qu</t>
        </is>
      </c>
      <c r="B15" t="n">
        <v>6</v>
      </c>
      <c r="C15" t="inlineStr">
        <is>
          <t>Nonoperating Income / (Loss)</t>
        </is>
      </c>
      <c r="D15" s="265">
        <f>IF(D13="","",D13)</f>
        <v>140000</v>
      </c>
      <c r="E15" s="265">
        <f>IF(E13="","",E13)</f>
        <v>142000</v>
      </c>
      <c r="F15" s="265">
        <f>IF(F13="","",F13)</f>
        <v>141000</v>
      </c>
      <c r="G15" s="265">
        <f>IF(G13="","",G13)</f>
        <v>146000</v>
      </c>
      <c r="I15" s="265">
        <f>IF(I13="","",I13)</f>
        <v>135000</v>
      </c>
      <c r="J15" s="265">
        <f>IF(J13="","",J13)</f>
        <v>141000</v>
      </c>
      <c r="K15" s="265">
        <f>IF(K13="","",K13)</f>
        <v>145000</v>
      </c>
      <c r="L15" s="265">
        <f>IF(L13="","",L13)</f>
        <v>202000</v>
      </c>
      <c r="N15" s="265">
        <f>IF(N13="","",N13)</f>
        <v>202000</v>
      </c>
      <c r="O15" s="265">
        <f>IF(O13="","",O13)</f>
        <v>223000</v>
      </c>
      <c r="P15" s="265">
        <f>IF(P13="","",P13)</f>
        <v>237000</v>
      </c>
      <c r="Q15" s="265">
        <f>IF(Q13="","",Q13)</f>
        <v>254000</v>
      </c>
      <c r="S15" s="265">
        <f>IF(S13="","",S13)</f>
        <v>255000</v>
      </c>
      <c r="T15" s="265">
        <f>IF(T13="","",T13)</f>
        <v>261000</v>
      </c>
      <c r="U15" s="265">
        <f>IF(U13="","",U13)</f>
        <v>256000</v>
      </c>
      <c r="V15" s="265">
        <f>IF(V13="","",V13)</f>
        <v>264000</v>
      </c>
      <c r="X15" s="265">
        <f>IF(X13="","",X13)</f>
        <v>268000</v>
      </c>
      <c r="Y15" s="265">
        <f>IF(Y13="","",Y13)</f>
        <v>274000</v>
      </c>
      <c r="Z15" s="265">
        <f>IF(Z13="","",Z13)</f>
        <v>286000</v>
      </c>
      <c r="AA15" s="265">
        <f>IF(AA13="","",AA13)</f>
        <v>290000</v>
      </c>
      <c r="AC15" s="265">
        <f>IF(AC13="","",AC13)</f>
        <v>269000</v>
      </c>
      <c r="AD15" s="265">
        <f>IF(AD13="","",AD13)</f>
        <v>266000</v>
      </c>
    </row>
    <row r="16">
      <c r="A16" t="inlineStr">
        <is>
          <t>Imposto de renda (divulgado positivo) [us-gaap:IncomeTaxExpenseBenefit] · fonte · unid. moeda</t>
        </is>
      </c>
      <c r="C16" t="inlineStr">
        <is>
          <t>[linha bruta, sem código; lançada nas linhas abaixo]</t>
        </is>
      </c>
      <c r="D16" s="265" t="n">
        <v>374000</v>
      </c>
      <c r="E16" s="265" t="n">
        <v>355000</v>
      </c>
      <c r="F16" s="265" t="n">
        <v>65000</v>
      </c>
      <c r="G16" s="265" t="n">
        <v>441000</v>
      </c>
      <c r="I16" s="265" t="n">
        <v>328000</v>
      </c>
      <c r="J16" s="265" t="n">
        <v>21000</v>
      </c>
      <c r="K16" s="265" t="n">
        <v>321000</v>
      </c>
      <c r="L16" s="265" t="n">
        <v>278000</v>
      </c>
      <c r="N16" s="265" t="n">
        <v>305000</v>
      </c>
      <c r="O16" s="265" t="n">
        <v>325000</v>
      </c>
      <c r="P16" s="265" t="n">
        <v>269000</v>
      </c>
      <c r="Q16" s="265" t="n">
        <v>279000</v>
      </c>
      <c r="S16" s="265" t="n">
        <v>290000</v>
      </c>
      <c r="T16" s="265" t="n">
        <v>307000</v>
      </c>
      <c r="U16" s="265" t="n">
        <v>295000</v>
      </c>
      <c r="V16" s="265" t="n">
        <v>-8000</v>
      </c>
      <c r="X16" s="265" t="n">
        <v>324000</v>
      </c>
      <c r="Y16" s="265" t="n">
        <v>75000</v>
      </c>
      <c r="Z16" s="265" t="n">
        <v>319000</v>
      </c>
      <c r="AA16" s="265" t="n">
        <v>187000</v>
      </c>
      <c r="AC16" s="265" t="n">
        <v>286000</v>
      </c>
      <c r="AD16" s="265" t="n">
        <v>342000</v>
      </c>
    </row>
    <row r="17">
      <c r="A17" t="inlineStr">
        <is>
          <t>(lançamento) código 7, sinal -1 sobre a linha bruta 16: Imposto de renda (divulgado positivo) [us-gaap:IncomeTaxExpenseBenefit]</t>
        </is>
      </c>
      <c r="B17" t="n">
        <v>7</v>
      </c>
      <c r="C17" t="inlineStr">
        <is>
          <t>Taxes</t>
        </is>
      </c>
      <c r="D17" s="265">
        <f>IF(D16="","",-1*D16)</f>
        <v>-374000</v>
      </c>
      <c r="E17" s="265">
        <f>IF(E16="","",-1*E16)</f>
        <v>-355000</v>
      </c>
      <c r="F17" s="265">
        <f>IF(F16="","",-1*F16)</f>
        <v>-65000</v>
      </c>
      <c r="G17" s="265">
        <f>IF(G16="","",-1*G16)</f>
        <v>-441000</v>
      </c>
      <c r="I17" s="265">
        <f>IF(I16="","",-1*I16)</f>
        <v>-328000</v>
      </c>
      <c r="J17" s="265">
        <f>IF(J16="","",-1*J16)</f>
        <v>-21000</v>
      </c>
      <c r="K17" s="265">
        <f>IF(K16="","",-1*K16)</f>
        <v>-321000</v>
      </c>
      <c r="L17" s="265">
        <f>IF(L16="","",-1*L16)</f>
        <v>-278000</v>
      </c>
      <c r="N17" s="265">
        <f>IF(N16="","",-1*N16)</f>
        <v>-305000</v>
      </c>
      <c r="O17" s="265">
        <f>IF(O16="","",-1*O16)</f>
        <v>-325000</v>
      </c>
      <c r="P17" s="265">
        <f>IF(P16="","",-1*P16)</f>
        <v>-269000</v>
      </c>
      <c r="Q17" s="265">
        <f>IF(Q16="","",-1*Q16)</f>
        <v>-279000</v>
      </c>
      <c r="S17" s="265">
        <f>IF(S16="","",-1*S16)</f>
        <v>-290000</v>
      </c>
      <c r="T17" s="265">
        <f>IF(T16="","",-1*T16)</f>
        <v>-307000</v>
      </c>
      <c r="U17" s="265">
        <f>IF(U16="","",-1*U16)</f>
        <v>-295000</v>
      </c>
      <c r="V17" s="265">
        <f>IF(V16="","",-1*V16)</f>
        <v>8000</v>
      </c>
      <c r="X17" s="265">
        <f>IF(X16="","",-1*X16)</f>
        <v>-324000</v>
      </c>
      <c r="Y17" s="265">
        <f>IF(Y16="","",-1*Y16)</f>
        <v>-75000</v>
      </c>
      <c r="Z17" s="265">
        <f>IF(Z16="","",-1*Z16)</f>
        <v>-319000</v>
      </c>
      <c r="AA17" s="265">
        <f>IF(AA16="","",-1*AA16)</f>
        <v>-187000</v>
      </c>
      <c r="AC17" s="265">
        <f>IF(AC16="","",-1*AC16)</f>
        <v>-286000</v>
      </c>
      <c r="AD17" s="265">
        <f>IF(AD16="","",-1*AD16)</f>
        <v>-342000</v>
      </c>
    </row>
    <row r="18">
      <c r="A18" t="inlineStr">
        <is>
          <t>Lucro líquido atribuído à companhia [us-gaap:NetIncomeLoss] · memoria · unid. moeda</t>
        </is>
      </c>
      <c r="C18" t="inlineStr">
        <is>
          <t>[linha bruta, sem código; lançada nas linhas abaixo]</t>
        </is>
      </c>
      <c r="D18" s="265" t="n">
        <v>1837000</v>
      </c>
      <c r="E18" s="265" t="n">
        <v>1815000</v>
      </c>
      <c r="F18" s="265" t="n">
        <v>614000</v>
      </c>
      <c r="G18" s="265" t="n">
        <v>2049000</v>
      </c>
      <c r="I18" s="265" t="n">
        <v>1733000</v>
      </c>
      <c r="J18" s="265" t="n">
        <v>309000</v>
      </c>
      <c r="K18" s="265" t="n">
        <v>1778000</v>
      </c>
      <c r="L18" s="265" t="n">
        <v>1912000</v>
      </c>
      <c r="N18" s="265" t="n">
        <v>1689000</v>
      </c>
      <c r="O18" s="265" t="n">
        <v>1681000</v>
      </c>
      <c r="P18" s="265" t="n">
        <v>1684000</v>
      </c>
      <c r="Q18" s="265" t="n">
        <v>1866000</v>
      </c>
      <c r="S18" s="265" t="n">
        <v>1545000</v>
      </c>
      <c r="T18" s="265" t="n">
        <v>1641000</v>
      </c>
      <c r="U18" s="265" t="n">
        <v>1623000</v>
      </c>
      <c r="V18" s="265" t="n">
        <v>527000</v>
      </c>
      <c r="X18" s="265" t="n">
        <v>1712000</v>
      </c>
      <c r="Y18" s="265" t="n">
        <v>342000</v>
      </c>
      <c r="Z18" s="265" t="n">
        <v>1619000</v>
      </c>
      <c r="AA18" s="265" t="n">
        <v>1344000</v>
      </c>
      <c r="AC18" s="265" t="n">
        <v>1488000</v>
      </c>
      <c r="AD18" s="265" t="n">
        <v>1836000</v>
      </c>
    </row>
    <row r="19">
      <c r="A19" t="inlineStr">
        <is>
          <t>Resultado após IR não classificado acima (equivalência patrimonial, operações descontinuadas): lucro - (LAIR - IR - minoritários); zero quando não há · derivada · unid. moeda</t>
        </is>
      </c>
      <c r="B19" t="n">
        <v>8</v>
      </c>
      <c r="C19" t="inlineStr">
        <is>
          <t>Equity in Income of Affiliates, after tax (enter as +)</t>
        </is>
      </c>
      <c r="D19" s="265">
        <f>N(D18)-(N(D11)-N(D16)-0)</f>
        <v>0</v>
      </c>
      <c r="E19" s="265">
        <f>N(E18)-(N(E11)-N(E16)-0)</f>
        <v>0</v>
      </c>
      <c r="F19" s="265">
        <f>N(F18)-(N(F11)-N(F16)-0)</f>
        <v>0</v>
      </c>
      <c r="G19" s="265">
        <f>N(G18)-(N(G11)-N(G16)-0)</f>
        <v>0</v>
      </c>
      <c r="I19" s="265">
        <f>N(I18)-(N(I11)-N(I16)-0)</f>
        <v>0</v>
      </c>
      <c r="J19" s="265">
        <f>N(J18)-(N(J11)-N(J16)-0)</f>
        <v>0</v>
      </c>
      <c r="K19" s="265">
        <f>N(K18)-(N(K11)-N(K16)-0)</f>
        <v>0</v>
      </c>
      <c r="L19" s="265">
        <f>N(L18)-(N(L11)-N(L16)-0)</f>
        <v>0</v>
      </c>
      <c r="N19" s="265">
        <f>N(N18)-(N(N11)-N(N16)-0)</f>
        <v>0</v>
      </c>
      <c r="O19" s="265">
        <f>N(O18)-(N(O11)-N(O16)-0)</f>
        <v>0</v>
      </c>
      <c r="P19" s="265">
        <f>N(P18)-(N(P11)-N(P16)-0)</f>
        <v>0</v>
      </c>
      <c r="Q19" s="265">
        <f>N(Q18)-(N(Q11)-N(Q16)-0)</f>
        <v>0</v>
      </c>
      <c r="S19" s="265">
        <f>N(S18)-(N(S11)-N(S16)-0)</f>
        <v>0</v>
      </c>
      <c r="T19" s="265">
        <f>N(T18)-(N(T11)-N(T16)-0)</f>
        <v>0</v>
      </c>
      <c r="U19" s="265">
        <f>N(U18)-(N(U11)-N(U16)-0)</f>
        <v>0</v>
      </c>
      <c r="V19" s="265">
        <f>N(V18)-(N(V11)-N(V16)-0)</f>
        <v>0</v>
      </c>
      <c r="X19" s="265">
        <f>N(X18)-(N(X11)-N(X16)-0)</f>
        <v>0</v>
      </c>
      <c r="Y19" s="265">
        <f>N(Y18)-(N(Y11)-N(Y16)-0)</f>
        <v>0</v>
      </c>
      <c r="Z19" s="265">
        <f>N(Z18)-(N(Z11)-N(Z16)-0)</f>
        <v>0</v>
      </c>
      <c r="AA19" s="265">
        <f>N(AA18)-(N(AA11)-N(AA16)-0)</f>
        <v>0</v>
      </c>
      <c r="AC19" s="265">
        <f>N(AC18)-(N(AC11)-N(AC16)-0)</f>
        <v>0</v>
      </c>
      <c r="AD19" s="265">
        <f>N(AD18)-(N(AD11)-N(AD16)-0)</f>
        <v>0</v>
      </c>
    </row>
    <row r="20">
      <c r="A20" t="inlineStr">
        <is>
          <t>Lucro líquido (check IS, código 44) · derivada · unid. moeda</t>
        </is>
      </c>
      <c r="B20" t="n">
        <v>44</v>
      </c>
      <c r="C20" t="inlineStr">
        <is>
          <t>Lucro líquido (check IS, código 44)</t>
        </is>
      </c>
      <c r="D20" s="265">
        <f>N(D18)</f>
        <v>1837000</v>
      </c>
      <c r="E20" s="265">
        <f>N(E18)</f>
        <v>1815000</v>
      </c>
      <c r="F20" s="265">
        <f>N(F18)</f>
        <v>614000</v>
      </c>
      <c r="G20" s="265">
        <f>N(G18)</f>
        <v>2049000</v>
      </c>
      <c r="I20" s="265">
        <f>N(I18)</f>
        <v>1733000</v>
      </c>
      <c r="J20" s="265">
        <f>N(J18)</f>
        <v>309000</v>
      </c>
      <c r="K20" s="265">
        <f>N(K18)</f>
        <v>1778000</v>
      </c>
      <c r="L20" s="265">
        <f>N(L18)</f>
        <v>1912000</v>
      </c>
      <c r="N20" s="265">
        <f>N(N18)</f>
        <v>1689000</v>
      </c>
      <c r="O20" s="265">
        <f>N(O18)</f>
        <v>1681000</v>
      </c>
      <c r="P20" s="265">
        <f>N(P18)</f>
        <v>1684000</v>
      </c>
      <c r="Q20" s="265">
        <f>N(Q18)</f>
        <v>1866000</v>
      </c>
      <c r="S20" s="265">
        <f>N(S18)</f>
        <v>1545000</v>
      </c>
      <c r="T20" s="265">
        <f>N(T18)</f>
        <v>1641000</v>
      </c>
      <c r="U20" s="265">
        <f>N(U18)</f>
        <v>1623000</v>
      </c>
      <c r="V20" s="265">
        <f>N(V18)</f>
        <v>527000</v>
      </c>
      <c r="X20" s="265">
        <f>N(X18)</f>
        <v>1712000</v>
      </c>
      <c r="Y20" s="265">
        <f>N(Y18)</f>
        <v>342000</v>
      </c>
      <c r="Z20" s="265">
        <f>N(Z18)</f>
        <v>1619000</v>
      </c>
      <c r="AA20" s="265">
        <f>N(AA18)</f>
        <v>1344000</v>
      </c>
      <c r="AC20" s="265">
        <f>N(AC18)</f>
        <v>1488000</v>
      </c>
      <c r="AD20" s="265">
        <f>N(AD18)</f>
        <v>1836000</v>
      </c>
    </row>
    <row r="21">
      <c r="A21" t="inlineStr">
        <is>
          <t>DFC - trimestre isolado (desacumulado na extração)</t>
        </is>
      </c>
      <c r="C21" t="inlineStr">
        <is>
          <t>[linha bruta, sem código; lançada nas linhas abaixo]</t>
        </is>
      </c>
      <c r="D21" s="265" t="n"/>
      <c r="E21" s="265" t="n"/>
      <c r="F21" s="265" t="n"/>
      <c r="G21" s="265" t="n"/>
      <c r="I21" s="265" t="n"/>
      <c r="J21" s="265" t="n"/>
      <c r="K21" s="265" t="n"/>
      <c r="L21" s="265" t="n"/>
      <c r="N21" s="265" t="n"/>
      <c r="O21" s="265" t="n"/>
      <c r="P21" s="265" t="n"/>
      <c r="Q21" s="265" t="n"/>
      <c r="S21" s="265" t="n"/>
      <c r="T21" s="265" t="n"/>
      <c r="U21" s="265" t="n"/>
      <c r="V21" s="265" t="n"/>
      <c r="X21" s="265" t="n"/>
      <c r="Y21" s="265" t="n"/>
      <c r="Z21" s="265" t="n"/>
      <c r="AA21" s="265" t="n"/>
      <c r="AC21" s="265" t="n"/>
      <c r="AD21" s="265" t="n"/>
    </row>
    <row r="22">
      <c r="A22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 · fonte · unid. moeda</t>
        </is>
      </c>
      <c r="C22" t="inlineStr">
        <is>
          <t>[linha bruta, sem código; lançada nas linhas abaixo]</t>
        </is>
      </c>
      <c r="D22" s="265" t="n">
        <v>336000</v>
      </c>
      <c r="E22" s="265" t="n">
        <v>334000</v>
      </c>
      <c r="F22" s="265" t="n">
        <v>329000</v>
      </c>
      <c r="G22" s="265" t="n">
        <v>365000</v>
      </c>
      <c r="I22" s="265" t="n">
        <v>329000</v>
      </c>
      <c r="J22" s="265" t="n">
        <v>343000</v>
      </c>
      <c r="K22" s="265" t="n">
        <v>293000</v>
      </c>
      <c r="L22" s="265" t="n">
        <v>439000</v>
      </c>
      <c r="N22" s="265" t="n">
        <v>325000</v>
      </c>
      <c r="O22" s="265" t="n">
        <v>334000</v>
      </c>
      <c r="P22" s="265" t="n">
        <v>350000</v>
      </c>
      <c r="Q22" s="265" t="n">
        <v>421000</v>
      </c>
      <c r="S22" s="265" t="n">
        <v>351000</v>
      </c>
      <c r="T22" s="265" t="n">
        <v>359000</v>
      </c>
      <c r="U22" s="265" t="n">
        <v>390000</v>
      </c>
      <c r="V22" s="265" t="n">
        <v>459000</v>
      </c>
      <c r="X22" s="265" t="n">
        <v>397000</v>
      </c>
      <c r="Y22" s="265" t="n">
        <v>399000</v>
      </c>
      <c r="Z22" s="265" t="n">
        <v>428000</v>
      </c>
      <c r="AA22" s="265" t="n">
        <v>463000</v>
      </c>
      <c r="AC22" s="265" t="n">
        <v>398000</v>
      </c>
      <c r="AD22" s="265" t="n">
        <v>400000</v>
      </c>
    </row>
    <row r="23">
      <c r="A23" t="inlineStr">
        <is>
          <t>(lançamento) código 4, sinal -1 sobre a linha bruta 22: D&amp;A (fluxo de caixa). COD1=4 lança (positivo -&gt; -1); COD2=3 devolve às despesas operaciona</t>
        </is>
      </c>
      <c r="B23" t="n">
        <v>4</v>
      </c>
      <c r="C23" t="inlineStr">
        <is>
          <t>D&amp;A</t>
        </is>
      </c>
      <c r="D23" s="265">
        <f>IF(D22="","",-1*D22)</f>
        <v>-336000</v>
      </c>
      <c r="E23" s="265">
        <f>IF(E22="","",-1*E22)</f>
        <v>-334000</v>
      </c>
      <c r="F23" s="265">
        <f>IF(F22="","",-1*F22)</f>
        <v>-329000</v>
      </c>
      <c r="G23" s="265">
        <f>IF(G22="","",-1*G22)</f>
        <v>-365000</v>
      </c>
      <c r="I23" s="265">
        <f>IF(I22="","",-1*I22)</f>
        <v>-329000</v>
      </c>
      <c r="J23" s="265">
        <f>IF(J22="","",-1*J22)</f>
        <v>-343000</v>
      </c>
      <c r="K23" s="265">
        <f>IF(K22="","",-1*K22)</f>
        <v>-293000</v>
      </c>
      <c r="L23" s="265">
        <f>IF(L22="","",-1*L22)</f>
        <v>-439000</v>
      </c>
      <c r="N23" s="265">
        <f>IF(N22="","",-1*N22)</f>
        <v>-325000</v>
      </c>
      <c r="O23" s="265">
        <f>IF(O22="","",-1*O22)</f>
        <v>-334000</v>
      </c>
      <c r="P23" s="265">
        <f>IF(P22="","",-1*P22)</f>
        <v>-350000</v>
      </c>
      <c r="Q23" s="265">
        <f>IF(Q22="","",-1*Q22)</f>
        <v>-421000</v>
      </c>
      <c r="S23" s="265">
        <f>IF(S22="","",-1*S22)</f>
        <v>-351000</v>
      </c>
      <c r="T23" s="265">
        <f>IF(T22="","",-1*T22)</f>
        <v>-359000</v>
      </c>
      <c r="U23" s="265">
        <f>IF(U22="","",-1*U22)</f>
        <v>-390000</v>
      </c>
      <c r="V23" s="265">
        <f>IF(V22="","",-1*V22)</f>
        <v>-459000</v>
      </c>
      <c r="X23" s="265">
        <f>IF(X22="","",-1*X22)</f>
        <v>-397000</v>
      </c>
      <c r="Y23" s="265">
        <f>IF(Y22="","",-1*Y22)</f>
        <v>-399000</v>
      </c>
      <c r="Z23" s="265">
        <f>IF(Z22="","",-1*Z22)</f>
        <v>-428000</v>
      </c>
      <c r="AA23" s="265">
        <f>IF(AA22="","",-1*AA22)</f>
        <v>-463000</v>
      </c>
      <c r="AC23" s="265">
        <f>IF(AC22="","",-1*AC22)</f>
        <v>-398000</v>
      </c>
      <c r="AD23" s="265">
        <f>IF(AD22="","",-1*AD22)</f>
        <v>-400000</v>
      </c>
    </row>
    <row r="24">
      <c r="A24" t="inlineStr">
        <is>
          <t>(lançamento) código 3, sinal +1 sobre a linha bruta 22: D&amp;A (fluxo de caixa). COD1=4 lança (positivo -&gt; -1); COD2=3 devolve às despesas operaciona</t>
        </is>
      </c>
      <c r="B24" t="n">
        <v>3</v>
      </c>
      <c r="C24" t="inlineStr">
        <is>
          <t>SG&amp;A and Other (cash)</t>
        </is>
      </c>
      <c r="D24" s="265">
        <f>IF(D22="","",D22)</f>
        <v>336000</v>
      </c>
      <c r="E24" s="265">
        <f>IF(E22="","",E22)</f>
        <v>334000</v>
      </c>
      <c r="F24" s="265">
        <f>IF(F22="","",F22)</f>
        <v>329000</v>
      </c>
      <c r="G24" s="265">
        <f>IF(G22="","",G22)</f>
        <v>365000</v>
      </c>
      <c r="I24" s="265">
        <f>IF(I22="","",I22)</f>
        <v>329000</v>
      </c>
      <c r="J24" s="265">
        <f>IF(J22="","",J22)</f>
        <v>343000</v>
      </c>
      <c r="K24" s="265">
        <f>IF(K22="","",K22)</f>
        <v>293000</v>
      </c>
      <c r="L24" s="265">
        <f>IF(L22="","",L22)</f>
        <v>439000</v>
      </c>
      <c r="N24" s="265">
        <f>IF(N22="","",N22)</f>
        <v>325000</v>
      </c>
      <c r="O24" s="265">
        <f>IF(O22="","",O22)</f>
        <v>334000</v>
      </c>
      <c r="P24" s="265">
        <f>IF(P22="","",P22)</f>
        <v>350000</v>
      </c>
      <c r="Q24" s="265">
        <f>IF(Q22="","",Q22)</f>
        <v>421000</v>
      </c>
      <c r="S24" s="265">
        <f>IF(S22="","",S22)</f>
        <v>351000</v>
      </c>
      <c r="T24" s="265">
        <f>IF(T22="","",T22)</f>
        <v>359000</v>
      </c>
      <c r="U24" s="265">
        <f>IF(U22="","",U22)</f>
        <v>390000</v>
      </c>
      <c r="V24" s="265">
        <f>IF(V22="","",V22)</f>
        <v>459000</v>
      </c>
      <c r="X24" s="265">
        <f>IF(X22="","",X22)</f>
        <v>397000</v>
      </c>
      <c r="Y24" s="265">
        <f>IF(Y22="","",Y22)</f>
        <v>399000</v>
      </c>
      <c r="Z24" s="265">
        <f>IF(Z22="","",Z22)</f>
        <v>428000</v>
      </c>
      <c r="AA24" s="265">
        <f>IF(AA22="","",AA22)</f>
        <v>463000</v>
      </c>
      <c r="AC24" s="265">
        <f>IF(AC22="","",AC22)</f>
        <v>398000</v>
      </c>
      <c r="AD24" s="265">
        <f>IF(AD22="","",AD22)</f>
        <v>400000</v>
      </c>
    </row>
    <row r="25">
      <c r="A25" t="inlineStr">
        <is>
          <t>Dividendos pagos [us-gaap:PaymentsOfDividends] · fonte · unid. moeda</t>
        </is>
      </c>
      <c r="C25" t="inlineStr">
        <is>
          <t>[linha bruta, sem código; lançada nas linhas abaixo]</t>
        </is>
      </c>
      <c r="D25" s="265" t="n">
        <v>739000</v>
      </c>
      <c r="E25" s="265" t="n">
        <v>721000</v>
      </c>
      <c r="F25" s="265" t="n">
        <v>718000</v>
      </c>
      <c r="G25" s="265" t="n">
        <v>762000</v>
      </c>
      <c r="I25" s="265" t="n">
        <v>767000</v>
      </c>
      <c r="J25" s="265" t="n">
        <v>744000</v>
      </c>
      <c r="K25" s="265" t="n">
        <v>739000</v>
      </c>
      <c r="L25" s="265" t="n">
        <v>766000</v>
      </c>
      <c r="N25" s="265" t="n">
        <v>784000</v>
      </c>
      <c r="O25" s="265" t="n">
        <v>758000</v>
      </c>
      <c r="P25" s="265" t="n">
        <v>747000</v>
      </c>
      <c r="Q25" s="265" t="n">
        <v>767000</v>
      </c>
      <c r="S25" s="265" t="n">
        <v>780000</v>
      </c>
      <c r="T25" s="265" t="n">
        <v>752000</v>
      </c>
      <c r="U25" s="265" t="n">
        <v>749000</v>
      </c>
      <c r="V25" s="265" t="n">
        <v>778000</v>
      </c>
      <c r="X25" s="265" t="n">
        <v>796000</v>
      </c>
      <c r="Y25" s="265" t="n">
        <v>771000</v>
      </c>
      <c r="Z25" s="265" t="n">
        <v>765000</v>
      </c>
      <c r="AA25" s="265" t="n">
        <v>799000</v>
      </c>
      <c r="AC25" s="265" t="n">
        <v>816000</v>
      </c>
      <c r="AD25" s="265" t="n">
        <v>796000</v>
      </c>
    </row>
    <row r="26">
      <c r="A26" t="inlineStr">
        <is>
          <t>(lançamento) código 10, sinal -1 sobre a linha bruta 25: Dividendos pagos [us-gaap:PaymentsOfDividends]</t>
        </is>
      </c>
      <c r="B26" t="n">
        <v>10</v>
      </c>
      <c r="C26" t="inlineStr">
        <is>
          <t>Common Dividends</t>
        </is>
      </c>
      <c r="D26" s="265">
        <f>IF(D25="","",-1*D25)</f>
        <v>-739000</v>
      </c>
      <c r="E26" s="265">
        <f>IF(E25="","",-1*E25)</f>
        <v>-721000</v>
      </c>
      <c r="F26" s="265">
        <f>IF(F25="","",-1*F25)</f>
        <v>-718000</v>
      </c>
      <c r="G26" s="265">
        <f>IF(G25="","",-1*G25)</f>
        <v>-762000</v>
      </c>
      <c r="I26" s="265">
        <f>IF(I25="","",-1*I25)</f>
        <v>-767000</v>
      </c>
      <c r="J26" s="265">
        <f>IF(J25="","",-1*J25)</f>
        <v>-744000</v>
      </c>
      <c r="K26" s="265">
        <f>IF(K25="","",-1*K25)</f>
        <v>-739000</v>
      </c>
      <c r="L26" s="265">
        <f>IF(L25="","",-1*L25)</f>
        <v>-766000</v>
      </c>
      <c r="N26" s="265">
        <f>IF(N25="","",-1*N25)</f>
        <v>-784000</v>
      </c>
      <c r="O26" s="265">
        <f>IF(O25="","",-1*O25)</f>
        <v>-758000</v>
      </c>
      <c r="P26" s="265">
        <f>IF(P25="","",-1*P25)</f>
        <v>-747000</v>
      </c>
      <c r="Q26" s="265">
        <f>IF(Q25="","",-1*Q25)</f>
        <v>-767000</v>
      </c>
      <c r="S26" s="265">
        <f>IF(S25="","",-1*S25)</f>
        <v>-780000</v>
      </c>
      <c r="T26" s="265">
        <f>IF(T25="","",-1*T25)</f>
        <v>-752000</v>
      </c>
      <c r="U26" s="265">
        <f>IF(U25="","",-1*U25)</f>
        <v>-749000</v>
      </c>
      <c r="V26" s="265">
        <f>IF(V25="","",-1*V25)</f>
        <v>-778000</v>
      </c>
      <c r="X26" s="265">
        <f>IF(X25="","",-1*X25)</f>
        <v>-796000</v>
      </c>
      <c r="Y26" s="265">
        <f>IF(Y25="","",-1*Y25)</f>
        <v>-771000</v>
      </c>
      <c r="Z26" s="265">
        <f>IF(Z25="","",-1*Z25)</f>
        <v>-765000</v>
      </c>
      <c r="AA26" s="265">
        <f>IF(AA25="","",-1*AA25)</f>
        <v>-799000</v>
      </c>
      <c r="AC26" s="265">
        <f>IF(AC25="","",-1*AC25)</f>
        <v>-816000</v>
      </c>
      <c r="AD26" s="265">
        <f>IF(AD25="","",-1*AD25)</f>
        <v>-796000</v>
      </c>
    </row>
    <row r="27">
      <c r="A27" t="inlineStr">
        <is>
          <t>BALANÇO DE FACE (USD, saldo no fim do trimestre; cada trimestre lido da instância do próprio 10-Q/10-K)</t>
        </is>
      </c>
      <c r="C27" t="inlineStr">
        <is>
          <t>[linha bruta, sem código; lançada nas linhas abaixo]</t>
        </is>
      </c>
      <c r="D27" s="265" t="n"/>
      <c r="E27" s="265" t="n"/>
      <c r="F27" s="265" t="n"/>
      <c r="G27" s="265" t="n"/>
      <c r="I27" s="265" t="n"/>
      <c r="J27" s="265" t="n"/>
      <c r="K27" s="265" t="n"/>
      <c r="L27" s="265" t="n"/>
      <c r="N27" s="265" t="n"/>
      <c r="O27" s="265" t="n"/>
      <c r="P27" s="265" t="n"/>
      <c r="Q27" s="265" t="n"/>
      <c r="S27" s="265" t="n"/>
      <c r="T27" s="265" t="n"/>
      <c r="U27" s="265" t="n"/>
      <c r="V27" s="265" t="n"/>
      <c r="X27" s="265" t="n"/>
      <c r="Y27" s="265" t="n"/>
      <c r="Z27" s="265" t="n"/>
      <c r="AA27" s="265" t="n"/>
      <c r="AC27" s="265" t="n"/>
      <c r="AD27" s="265" t="n"/>
    </row>
    <row r="28">
      <c r="A28" t="inlineStr">
        <is>
          <t>CashAndCashEquivalentsAtCarryingValue · fonte · unid. moeda</t>
        </is>
      </c>
      <c r="B28" t="n">
        <v>11</v>
      </c>
      <c r="C28" t="inlineStr">
        <is>
          <t>Cash and equivalents (inc. investment securities)</t>
        </is>
      </c>
      <c r="D28" s="265" t="n">
        <v>2933000</v>
      </c>
      <c r="E28" s="265" t="n">
        <v>2745000</v>
      </c>
      <c r="F28" s="265" t="n">
        <v>2727000</v>
      </c>
      <c r="G28" s="265" t="n">
        <v>3604000</v>
      </c>
      <c r="I28" s="265" t="n">
        <v>1883000</v>
      </c>
      <c r="J28" s="265" t="n">
        <v>1775000</v>
      </c>
      <c r="K28" s="265" t="n">
        <v>2430000</v>
      </c>
      <c r="L28" s="265" t="n">
        <v>2547000</v>
      </c>
      <c r="N28" s="265" t="n">
        <v>2440000</v>
      </c>
      <c r="O28" s="265" t="n">
        <v>3673000</v>
      </c>
      <c r="P28" s="265" t="n">
        <v>3551000</v>
      </c>
      <c r="Q28" s="265" t="n">
        <v>1442000</v>
      </c>
      <c r="S28" s="265" t="n">
        <v>2790000</v>
      </c>
      <c r="T28" s="265" t="n">
        <v>2523000</v>
      </c>
      <c r="U28" s="265" t="n">
        <v>3151000</v>
      </c>
      <c r="V28" s="265" t="n">
        <v>2483000</v>
      </c>
      <c r="X28" s="265" t="n">
        <v>1803000</v>
      </c>
      <c r="Y28" s="265" t="n">
        <v>1293000</v>
      </c>
      <c r="Z28" s="265" t="n">
        <v>3470000</v>
      </c>
      <c r="AA28" s="265" t="n">
        <v>4121000</v>
      </c>
      <c r="AC28" s="265" t="n">
        <v>1894000</v>
      </c>
      <c r="AD28" s="265" t="n">
        <v>3791000</v>
      </c>
    </row>
    <row r="29">
      <c r="A29" t="inlineStr">
        <is>
          <t>ReceivablesNetCurrent · fonte · unid. moeda</t>
        </is>
      </c>
      <c r="B29" t="n">
        <v>12</v>
      </c>
      <c r="C29" t="inlineStr">
        <is>
          <t>Accounts receivable</t>
        </is>
      </c>
      <c r="D29" s="265" t="n">
        <v>2214000</v>
      </c>
      <c r="E29" s="265" t="n">
        <v>2611000</v>
      </c>
      <c r="F29" s="265" t="n">
        <v>2267000</v>
      </c>
      <c r="G29" s="265" t="n">
        <v>1963000</v>
      </c>
      <c r="I29" s="265" t="n">
        <v>2527000</v>
      </c>
      <c r="J29" s="265" t="n">
        <v>3401000</v>
      </c>
      <c r="K29" s="265" t="n">
        <v>2484000</v>
      </c>
      <c r="L29" s="265" t="n">
        <v>2505000</v>
      </c>
      <c r="N29" s="265" t="n">
        <v>2583000</v>
      </c>
      <c r="O29" s="265" t="n">
        <v>3427000</v>
      </c>
      <c r="P29" s="265" t="n">
        <v>2405000</v>
      </c>
      <c r="Q29" s="265" t="n">
        <v>2132000</v>
      </c>
      <c r="S29" s="265" t="n">
        <v>2257000</v>
      </c>
      <c r="T29" s="265" t="n">
        <v>2930000</v>
      </c>
      <c r="U29" s="265" t="n">
        <v>2141000</v>
      </c>
      <c r="V29" s="265" t="n">
        <v>2351000</v>
      </c>
      <c r="X29" s="265" t="n">
        <v>2024000</v>
      </c>
      <c r="Y29" s="265" t="n">
        <v>3306000</v>
      </c>
      <c r="Z29" s="265" t="n">
        <v>3844000</v>
      </c>
      <c r="AA29" s="265" t="n">
        <v>3901000</v>
      </c>
      <c r="AC29" s="265" t="n">
        <v>2322000</v>
      </c>
      <c r="AD29" s="265" t="n">
        <v>3356000</v>
      </c>
    </row>
    <row r="30">
      <c r="A30" t="inlineStr">
        <is>
          <t>InventoryNet · fonte · unid. moeda</t>
        </is>
      </c>
      <c r="B30" t="n">
        <v>13</v>
      </c>
      <c r="C30" t="inlineStr">
        <is>
          <t>Inventories</t>
        </is>
      </c>
      <c r="D30" s="265" t="n">
        <v>0</v>
      </c>
      <c r="E30" s="265" t="n">
        <v>0</v>
      </c>
      <c r="F30" s="265" t="n">
        <v>0</v>
      </c>
      <c r="G30" s="265" t="n">
        <v>0</v>
      </c>
      <c r="I30" s="265" t="n">
        <v>0</v>
      </c>
      <c r="J30" s="265" t="n">
        <v>0</v>
      </c>
      <c r="K30" s="265" t="n">
        <v>0</v>
      </c>
      <c r="L30" s="265" t="n">
        <v>0</v>
      </c>
      <c r="N30" s="265" t="n">
        <v>0</v>
      </c>
      <c r="O30" s="265" t="n">
        <v>0</v>
      </c>
      <c r="P30" s="265" t="n">
        <v>0</v>
      </c>
      <c r="Q30" s="265" t="n">
        <v>0</v>
      </c>
      <c r="S30" s="265" t="n">
        <v>0</v>
      </c>
      <c r="T30" s="265" t="n">
        <v>0</v>
      </c>
      <c r="U30" s="265" t="n">
        <v>0</v>
      </c>
      <c r="V30" s="265" t="n">
        <v>0</v>
      </c>
      <c r="X30" s="265" t="n">
        <v>0</v>
      </c>
      <c r="Y30" s="265" t="n">
        <v>0</v>
      </c>
      <c r="Z30" s="265" t="n">
        <v>0</v>
      </c>
      <c r="AA30" s="265" t="n">
        <v>0</v>
      </c>
      <c r="AC30" s="265" t="n">
        <v>4251000</v>
      </c>
      <c r="AD30" s="265" t="n">
        <v>4411000</v>
      </c>
    </row>
    <row r="31">
      <c r="A31" t="inlineStr">
        <is>
          <t>DeferredIncomeTaxAssetsNet · fonte · unid. moeda</t>
        </is>
      </c>
      <c r="B31" t="n">
        <v>14</v>
      </c>
      <c r="C31" t="inlineStr">
        <is>
          <t>Deferred income taxes</t>
        </is>
      </c>
      <c r="D31" s="265" t="n">
        <v>3375000</v>
      </c>
      <c r="E31" s="265" t="n">
        <v>3377000</v>
      </c>
      <c r="F31" s="265" t="n">
        <v>2664000</v>
      </c>
      <c r="G31" s="265" t="n">
        <v>2290000</v>
      </c>
      <c r="I31" s="265" t="n">
        <v>2688000</v>
      </c>
      <c r="J31" s="265" t="n">
        <v>2680000</v>
      </c>
      <c r="K31" s="265" t="n">
        <v>3116000</v>
      </c>
      <c r="L31" s="265" t="n">
        <v>3744000</v>
      </c>
      <c r="N31" s="265" t="n">
        <v>4175000</v>
      </c>
      <c r="O31" s="265" t="n">
        <v>4518000</v>
      </c>
      <c r="P31" s="265" t="n">
        <v>4873000</v>
      </c>
      <c r="Q31" s="265" t="n">
        <v>2953000</v>
      </c>
      <c r="S31" s="265" t="n">
        <v>3024000</v>
      </c>
      <c r="T31" s="265" t="n">
        <v>3080000</v>
      </c>
      <c r="U31" s="265" t="n">
        <v>3105000</v>
      </c>
      <c r="V31" s="265" t="n">
        <v>3557000</v>
      </c>
      <c r="X31" s="265" t="n">
        <v>3568000</v>
      </c>
      <c r="Y31" s="265" t="n">
        <v>4070000</v>
      </c>
      <c r="Z31" s="265" t="n">
        <v>3413000</v>
      </c>
      <c r="AA31" s="265" t="n">
        <v>2975000</v>
      </c>
      <c r="AC31" s="265" t="n">
        <v>2802000</v>
      </c>
      <c r="AD31" s="265" t="n">
        <v>2414000</v>
      </c>
    </row>
    <row r="32">
      <c r="A32" t="inlineStr">
        <is>
          <t>ContractWithCustomerAssetNetCurrent · fonte · unid. moeda</t>
        </is>
      </c>
      <c r="B32" t="n">
        <v>16</v>
      </c>
      <c r="C32" t="inlineStr">
        <is>
          <t>Other current assets</t>
        </is>
      </c>
      <c r="D32" s="265" t="n">
        <v>10908000</v>
      </c>
      <c r="E32" s="265" t="n">
        <v>11425000</v>
      </c>
      <c r="F32" s="265" t="n">
        <v>12697000</v>
      </c>
      <c r="G32" s="265" t="n">
        <v>10579000</v>
      </c>
      <c r="I32" s="265" t="n">
        <v>12130000</v>
      </c>
      <c r="J32" s="265" t="n">
        <v>11753000</v>
      </c>
      <c r="K32" s="265" t="n">
        <v>12333000</v>
      </c>
      <c r="L32" s="265" t="n">
        <v>12318000</v>
      </c>
      <c r="N32" s="265" t="n">
        <v>13189000</v>
      </c>
      <c r="O32" s="265" t="n">
        <v>13008000</v>
      </c>
      <c r="P32" s="265" t="n">
        <v>13605000</v>
      </c>
      <c r="Q32" s="265" t="n">
        <v>13183000</v>
      </c>
      <c r="S32" s="265" t="n">
        <v>14050000</v>
      </c>
      <c r="T32" s="265" t="n">
        <v>13907000</v>
      </c>
      <c r="U32" s="265" t="n">
        <v>14224000</v>
      </c>
      <c r="V32" s="265" t="n">
        <v>12957000</v>
      </c>
      <c r="X32" s="265" t="n">
        <v>14677000</v>
      </c>
      <c r="Y32" s="265" t="n">
        <v>14896000</v>
      </c>
      <c r="Z32" s="265" t="n">
        <v>13949000</v>
      </c>
      <c r="AA32" s="265" t="n">
        <v>13001000</v>
      </c>
      <c r="AC32" s="265" t="n">
        <v>15885000</v>
      </c>
      <c r="AD32" s="265" t="n">
        <v>16038000</v>
      </c>
    </row>
    <row r="33">
      <c r="A33" t="inlineStr">
        <is>
          <t>InventoryNetOfAllowancesCustomerAdvancesAndProgressBillings · fonte · unid. moeda</t>
        </is>
      </c>
      <c r="B33" t="n">
        <v>16</v>
      </c>
      <c r="C33" t="inlineStr">
        <is>
          <t>Other current assets</t>
        </is>
      </c>
      <c r="D33" s="265" t="n">
        <v>3256000</v>
      </c>
      <c r="E33" s="265" t="n">
        <v>3119000</v>
      </c>
      <c r="F33" s="265" t="n">
        <v>2903000</v>
      </c>
      <c r="G33" s="265" t="n">
        <v>2981000</v>
      </c>
      <c r="I33" s="265" t="n">
        <v>3144000</v>
      </c>
      <c r="J33" s="265" t="n">
        <v>3431000</v>
      </c>
      <c r="K33" s="265" t="n">
        <v>3113000</v>
      </c>
      <c r="L33" s="265" t="n">
        <v>3088000</v>
      </c>
      <c r="N33" s="265" t="n">
        <v>3471000</v>
      </c>
      <c r="O33" s="265" t="n">
        <v>3498000</v>
      </c>
      <c r="P33" s="265" t="n">
        <v>3312000</v>
      </c>
      <c r="Q33" s="265" t="n">
        <v>3132000</v>
      </c>
      <c r="S33" s="265" t="n">
        <v>3278000</v>
      </c>
      <c r="T33" s="265" t="n">
        <v>3097000</v>
      </c>
      <c r="U33" s="265" t="n">
        <v>3234000</v>
      </c>
      <c r="V33" s="265" t="n">
        <v>3474000</v>
      </c>
      <c r="X33" s="265" t="n">
        <v>3599000</v>
      </c>
      <c r="Y33" s="265" t="n">
        <v>3699000</v>
      </c>
      <c r="Z33" s="265" t="n">
        <v>3749000</v>
      </c>
      <c r="AA33" s="265" t="n">
        <v>3524000</v>
      </c>
      <c r="AC33" s="265" t="n">
        <v>0</v>
      </c>
      <c r="AD33" s="265" t="n">
        <v>0</v>
      </c>
    </row>
    <row r="34">
      <c r="A34" t="inlineStr">
        <is>
          <t>OtherAssetsCurrent · fonte · unid. moeda</t>
        </is>
      </c>
      <c r="B34" t="n">
        <v>16</v>
      </c>
      <c r="C34" t="inlineStr">
        <is>
          <t>Other current assets</t>
        </is>
      </c>
      <c r="D34" s="265" t="n">
        <v>941000</v>
      </c>
      <c r="E34" s="265" t="n">
        <v>774000</v>
      </c>
      <c r="F34" s="265" t="n">
        <v>763000</v>
      </c>
      <c r="G34" s="265" t="n">
        <v>688000</v>
      </c>
      <c r="I34" s="265" t="n">
        <v>706000</v>
      </c>
      <c r="J34" s="265" t="n">
        <v>613000</v>
      </c>
      <c r="K34" s="265" t="n">
        <v>600000</v>
      </c>
      <c r="L34" s="265" t="n">
        <v>533000</v>
      </c>
      <c r="N34" s="265" t="n">
        <v>461000</v>
      </c>
      <c r="O34" s="265" t="n">
        <v>481000</v>
      </c>
      <c r="P34" s="265" t="n">
        <v>449000</v>
      </c>
      <c r="Q34" s="265" t="n">
        <v>632000</v>
      </c>
      <c r="S34" s="265" t="n">
        <v>583000</v>
      </c>
      <c r="T34" s="265" t="n">
        <v>510000</v>
      </c>
      <c r="U34" s="265" t="n">
        <v>461000</v>
      </c>
      <c r="V34" s="265" t="n">
        <v>584000</v>
      </c>
      <c r="X34" s="265" t="n">
        <v>698000</v>
      </c>
      <c r="Y34" s="265" t="n">
        <v>794000</v>
      </c>
      <c r="Z34" s="265" t="n">
        <v>924000</v>
      </c>
      <c r="AA34" s="265" t="n">
        <v>815000</v>
      </c>
      <c r="AC34" s="265" t="n">
        <v>728000</v>
      </c>
      <c r="AD34" s="265" t="n">
        <v>805000</v>
      </c>
    </row>
    <row r="35">
      <c r="A35" t="inlineStr">
        <is>
          <t>PropertyPlantAndEquipmentNet · fonte · unid. moeda</t>
        </is>
      </c>
      <c r="B35" t="n">
        <v>18</v>
      </c>
      <c r="C35" t="inlineStr">
        <is>
          <t>PP&amp;E</t>
        </is>
      </c>
      <c r="D35" s="265" t="n">
        <v>7213000</v>
      </c>
      <c r="E35" s="265" t="n">
        <v>7290000</v>
      </c>
      <c r="F35" s="265" t="n">
        <v>7332000</v>
      </c>
      <c r="G35" s="265" t="n">
        <v>7597000</v>
      </c>
      <c r="I35" s="265" t="n">
        <v>7561000</v>
      </c>
      <c r="J35" s="265" t="n">
        <v>7569000</v>
      </c>
      <c r="K35" s="265" t="n">
        <v>7629000</v>
      </c>
      <c r="L35" s="265" t="n">
        <v>7975000</v>
      </c>
      <c r="N35" s="265" t="n">
        <v>7938000</v>
      </c>
      <c r="O35" s="265" t="n">
        <v>7966000</v>
      </c>
      <c r="P35" s="265" t="n">
        <v>8046000</v>
      </c>
      <c r="Q35" s="265" t="n">
        <v>8370000</v>
      </c>
      <c r="S35" s="265" t="n">
        <v>8354000</v>
      </c>
      <c r="T35" s="265" t="n">
        <v>8394000</v>
      </c>
      <c r="U35" s="265" t="n">
        <v>8454000</v>
      </c>
      <c r="V35" s="265" t="n">
        <v>8726000</v>
      </c>
      <c r="X35" s="265" t="n">
        <v>8713000</v>
      </c>
      <c r="Y35" s="265" t="n">
        <v>8670000</v>
      </c>
      <c r="Z35" s="265" t="n">
        <v>8722000</v>
      </c>
      <c r="AA35" s="265" t="n">
        <v>8875000</v>
      </c>
      <c r="AC35" s="265" t="n">
        <v>11283000</v>
      </c>
      <c r="AD35" s="265" t="n">
        <v>11390000</v>
      </c>
    </row>
    <row r="36">
      <c r="A36" t="inlineStr">
        <is>
          <t>Goodwill · fonte · unid. moeda</t>
        </is>
      </c>
      <c r="B36" t="n">
        <v>20</v>
      </c>
      <c r="C36" t="inlineStr">
        <is>
          <t>Goodwill</t>
        </is>
      </c>
      <c r="D36" s="265" t="n">
        <v>10799000</v>
      </c>
      <c r="E36" s="265" t="n">
        <v>10810000</v>
      </c>
      <c r="F36" s="265" t="n">
        <v>10815000</v>
      </c>
      <c r="G36" s="265" t="n">
        <v>10813000</v>
      </c>
      <c r="I36" s="265" t="n">
        <v>10811000</v>
      </c>
      <c r="J36" s="265" t="n">
        <v>10794000</v>
      </c>
      <c r="K36" s="265" t="n">
        <v>10764000</v>
      </c>
      <c r="L36" s="265" t="n">
        <v>10780000</v>
      </c>
      <c r="N36" s="265" t="n">
        <v>10776000</v>
      </c>
      <c r="O36" s="265" t="n">
        <v>10795000</v>
      </c>
      <c r="P36" s="265" t="n">
        <v>10782000</v>
      </c>
      <c r="Q36" s="265" t="n">
        <v>10799000</v>
      </c>
      <c r="S36" s="265" t="n">
        <v>10789000</v>
      </c>
      <c r="T36" s="265" t="n">
        <v>10787000</v>
      </c>
      <c r="U36" s="265" t="n">
        <v>10800000</v>
      </c>
      <c r="V36" s="265" t="n">
        <v>11067000</v>
      </c>
      <c r="X36" s="265" t="n">
        <v>11076000</v>
      </c>
      <c r="Y36" s="265" t="n">
        <v>11309000</v>
      </c>
      <c r="Z36" s="265" t="n">
        <v>11313000</v>
      </c>
      <c r="AA36" s="265" t="n">
        <v>11314000</v>
      </c>
      <c r="AC36" s="265" t="n">
        <v>11306000</v>
      </c>
      <c r="AD36" s="265" t="n">
        <v>11298000</v>
      </c>
    </row>
    <row r="37">
      <c r="A37" t="inlineStr">
        <is>
          <t>IntangibleAssetsNetExcludingGoodwill · fonte · unid. moeda</t>
        </is>
      </c>
      <c r="B37" t="n">
        <v>21</v>
      </c>
      <c r="C37" t="inlineStr">
        <is>
          <t>Intangibles</t>
        </is>
      </c>
      <c r="D37" s="265" t="n">
        <v>2930000</v>
      </c>
      <c r="E37" s="265" t="n">
        <v>2849000</v>
      </c>
      <c r="F37" s="265" t="n">
        <v>2768000</v>
      </c>
      <c r="G37" s="265" t="n">
        <v>2706000</v>
      </c>
      <c r="I37" s="265" t="n">
        <v>2644000</v>
      </c>
      <c r="J37" s="265" t="n">
        <v>2584000</v>
      </c>
      <c r="K37" s="265" t="n">
        <v>2521000</v>
      </c>
      <c r="L37" s="265" t="n">
        <v>2459000</v>
      </c>
      <c r="N37" s="265" t="n">
        <v>2397000</v>
      </c>
      <c r="O37" s="265" t="n">
        <v>2336000</v>
      </c>
      <c r="P37" s="265" t="n">
        <v>2274000</v>
      </c>
      <c r="Q37" s="265" t="n">
        <v>2212000</v>
      </c>
      <c r="S37" s="265" t="n">
        <v>2151000</v>
      </c>
      <c r="T37" s="265" t="n">
        <v>2040000</v>
      </c>
      <c r="U37" s="265" t="n">
        <v>1979000</v>
      </c>
      <c r="V37" s="265" t="n">
        <v>2015000</v>
      </c>
      <c r="X37" s="265" t="n">
        <v>1952000</v>
      </c>
      <c r="Y37" s="265" t="n">
        <v>2013000</v>
      </c>
      <c r="Z37" s="265" t="n">
        <v>1943000</v>
      </c>
      <c r="AA37" s="265" t="n">
        <v>1887000</v>
      </c>
      <c r="AC37" s="265" t="n">
        <v>1837000</v>
      </c>
      <c r="AD37" s="265" t="n">
        <v>1787000</v>
      </c>
    </row>
    <row r="38">
      <c r="A38" t="inlineStr">
        <is>
          <t>OtherAssetsNoncurrent · fonte · unid. moeda</t>
        </is>
      </c>
      <c r="B38" t="n">
        <v>22</v>
      </c>
      <c r="C38" t="inlineStr">
        <is>
          <t>Other non-current assets</t>
        </is>
      </c>
      <c r="D38" s="265" t="n">
        <v>6868000</v>
      </c>
      <c r="E38" s="265" t="n">
        <v>7099000</v>
      </c>
      <c r="F38" s="265" t="n">
        <v>6907000</v>
      </c>
      <c r="G38" s="265" t="n">
        <v>7652000</v>
      </c>
      <c r="I38" s="265" t="n">
        <v>7416000</v>
      </c>
      <c r="J38" s="265" t="n">
        <v>7158000</v>
      </c>
      <c r="K38" s="265" t="n">
        <v>7040000</v>
      </c>
      <c r="L38" s="265" t="n">
        <v>6931000</v>
      </c>
      <c r="N38" s="265" t="n">
        <v>7192000</v>
      </c>
      <c r="O38" s="265" t="n">
        <v>7276000</v>
      </c>
      <c r="P38" s="265" t="n">
        <v>7369000</v>
      </c>
      <c r="Q38" s="265" t="n">
        <v>7601000</v>
      </c>
      <c r="S38" s="265" t="n">
        <v>7687000</v>
      </c>
      <c r="T38" s="265" t="n">
        <v>7808000</v>
      </c>
      <c r="U38" s="265" t="n">
        <v>7971000</v>
      </c>
      <c r="V38" s="265" t="n">
        <v>8403000</v>
      </c>
      <c r="X38" s="265" t="n">
        <v>8559000</v>
      </c>
      <c r="Y38" s="265" t="n">
        <v>8820000</v>
      </c>
      <c r="Z38" s="265" t="n">
        <v>8949000</v>
      </c>
      <c r="AA38" s="265" t="n">
        <v>7010000</v>
      </c>
      <c r="AC38" s="265" t="n">
        <v>6930000</v>
      </c>
      <c r="AD38" s="265" t="n">
        <v>7160000</v>
      </c>
    </row>
    <row r="39">
      <c r="A39" t="inlineStr">
        <is>
          <t>CapitalizedComputerSoftwareNet · fonte · unid. moeda</t>
        </is>
      </c>
      <c r="B39" t="n">
        <v>22</v>
      </c>
      <c r="C39" t="inlineStr">
        <is>
          <t>Other non-current assets</t>
        </is>
      </c>
      <c r="D39" s="265" t="n">
        <v>0</v>
      </c>
      <c r="E39" s="265" t="n">
        <v>0</v>
      </c>
      <c r="F39" s="265" t="n">
        <v>0</v>
      </c>
      <c r="G39" s="265" t="n">
        <v>0</v>
      </c>
      <c r="I39" s="265" t="n">
        <v>0</v>
      </c>
      <c r="J39" s="265" t="n">
        <v>0</v>
      </c>
      <c r="K39" s="265" t="n">
        <v>0</v>
      </c>
      <c r="L39" s="265" t="n">
        <v>0</v>
      </c>
      <c r="N39" s="265" t="n">
        <v>0</v>
      </c>
      <c r="O39" s="265" t="n">
        <v>0</v>
      </c>
      <c r="P39" s="265" t="n">
        <v>0</v>
      </c>
      <c r="Q39" s="265" t="n">
        <v>0</v>
      </c>
      <c r="S39" s="265" t="n">
        <v>0</v>
      </c>
      <c r="T39" s="265" t="n">
        <v>0</v>
      </c>
      <c r="U39" s="265" t="n">
        <v>0</v>
      </c>
      <c r="V39" s="265" t="n">
        <v>0</v>
      </c>
      <c r="X39" s="265" t="n">
        <v>0</v>
      </c>
      <c r="Y39" s="265" t="n">
        <v>0</v>
      </c>
      <c r="Z39" s="265" t="n">
        <v>0</v>
      </c>
      <c r="AA39" s="265" t="n">
        <v>2417000</v>
      </c>
      <c r="AC39" s="265" t="n">
        <v>0</v>
      </c>
      <c r="AD39" s="265" t="n">
        <v>0</v>
      </c>
    </row>
    <row r="40">
      <c r="A40" t="inlineStr">
        <is>
          <t>AccountsPayableCurrent · fonte · unid. moeda</t>
        </is>
      </c>
      <c r="B40" t="n">
        <v>23</v>
      </c>
      <c r="C40" t="inlineStr">
        <is>
          <t>Accounts payable</t>
        </is>
      </c>
      <c r="D40" s="265" t="n">
        <v>1889000</v>
      </c>
      <c r="E40" s="265" t="n">
        <v>1608000</v>
      </c>
      <c r="F40" s="265" t="n">
        <v>1520000</v>
      </c>
      <c r="G40" s="265" t="n">
        <v>780000</v>
      </c>
      <c r="I40" s="265" t="n">
        <v>2599000</v>
      </c>
      <c r="J40" s="265" t="n">
        <v>2309000</v>
      </c>
      <c r="K40" s="265" t="n">
        <v>2622000</v>
      </c>
      <c r="L40" s="265" t="n">
        <v>2117000</v>
      </c>
      <c r="N40" s="265" t="n">
        <v>3271000</v>
      </c>
      <c r="O40" s="265" t="n">
        <v>3466000</v>
      </c>
      <c r="P40" s="265" t="n">
        <v>3817000</v>
      </c>
      <c r="Q40" s="265" t="n">
        <v>2312000</v>
      </c>
      <c r="S40" s="265" t="n">
        <v>3523000</v>
      </c>
      <c r="T40" s="265" t="n">
        <v>3282000</v>
      </c>
      <c r="U40" s="265" t="n">
        <v>3221000</v>
      </c>
      <c r="V40" s="265" t="n">
        <v>2222000</v>
      </c>
      <c r="X40" s="265" t="n">
        <v>3821000</v>
      </c>
      <c r="Y40" s="265" t="n">
        <v>3653000</v>
      </c>
      <c r="Z40" s="265" t="n">
        <v>3834000</v>
      </c>
      <c r="AA40" s="265" t="n">
        <v>3630000</v>
      </c>
      <c r="AC40" s="265" t="n">
        <v>4707000</v>
      </c>
      <c r="AD40" s="265" t="n">
        <v>4915000</v>
      </c>
    </row>
    <row r="41">
      <c r="A41" t="inlineStr">
        <is>
          <t>EmployeeRelatedLiabilitiesCurrent · fonte · unid. moeda</t>
        </is>
      </c>
      <c r="B41" t="n">
        <v>24</v>
      </c>
      <c r="C41" t="inlineStr">
        <is>
          <t>Accrued expenses</t>
        </is>
      </c>
      <c r="D41" s="265" t="n">
        <v>2794000</v>
      </c>
      <c r="E41" s="265" t="n">
        <v>3029000</v>
      </c>
      <c r="F41" s="265" t="n">
        <v>3122000</v>
      </c>
      <c r="G41" s="265" t="n">
        <v>3108000</v>
      </c>
      <c r="I41" s="265" t="n">
        <v>2671000</v>
      </c>
      <c r="J41" s="265" t="n">
        <v>2935000</v>
      </c>
      <c r="K41" s="265" t="n">
        <v>3151000</v>
      </c>
      <c r="L41" s="265" t="n">
        <v>3075000</v>
      </c>
      <c r="N41" s="265" t="n">
        <v>2634000</v>
      </c>
      <c r="O41" s="265" t="n">
        <v>2896000</v>
      </c>
      <c r="P41" s="265" t="n">
        <v>3139000</v>
      </c>
      <c r="Q41" s="265" t="n">
        <v>3133000</v>
      </c>
      <c r="S41" s="265" t="n">
        <v>2679000</v>
      </c>
      <c r="T41" s="265" t="n">
        <v>2871000</v>
      </c>
      <c r="U41" s="265" t="n">
        <v>3076000</v>
      </c>
      <c r="V41" s="265" t="n">
        <v>3125000</v>
      </c>
      <c r="X41" s="265" t="n">
        <v>2391000</v>
      </c>
      <c r="Y41" s="265" t="n">
        <v>2761000</v>
      </c>
      <c r="Z41" s="265" t="n">
        <v>3065000</v>
      </c>
      <c r="AA41" s="265" t="n">
        <v>3184000</v>
      </c>
      <c r="AC41" s="265" t="n">
        <v>2676000</v>
      </c>
      <c r="AD41" s="265" t="n">
        <v>3003000</v>
      </c>
    </row>
    <row r="42">
      <c r="A42" t="inlineStr">
        <is>
          <t>ContractWithCustomerLiabilityCurrent · fonte · unid. moeda</t>
        </is>
      </c>
      <c r="B42" t="n">
        <v>26</v>
      </c>
      <c r="C42" t="inlineStr">
        <is>
          <t>Other current liabilities (non-debt)</t>
        </is>
      </c>
      <c r="D42" s="265" t="n">
        <v>7255000</v>
      </c>
      <c r="E42" s="265" t="n">
        <v>7379000</v>
      </c>
      <c r="F42" s="265" t="n">
        <v>7515000</v>
      </c>
      <c r="G42" s="265" t="n">
        <v>8107000</v>
      </c>
      <c r="I42" s="265" t="n">
        <v>7902000</v>
      </c>
      <c r="J42" s="265" t="n">
        <v>8077000</v>
      </c>
      <c r="K42" s="265" t="n">
        <v>8059000</v>
      </c>
      <c r="L42" s="265" t="n">
        <v>8488000</v>
      </c>
      <c r="N42" s="265" t="n">
        <v>8336000</v>
      </c>
      <c r="O42" s="265" t="n">
        <v>8184000</v>
      </c>
      <c r="P42" s="265" t="n">
        <v>7936000</v>
      </c>
      <c r="Q42" s="265" t="n">
        <v>9190000</v>
      </c>
      <c r="S42" s="265" t="n">
        <v>8745000</v>
      </c>
      <c r="T42" s="265" t="n">
        <v>9181000</v>
      </c>
      <c r="U42" s="265" t="n">
        <v>9051000</v>
      </c>
      <c r="V42" s="265" t="n">
        <v>9795000</v>
      </c>
      <c r="X42" s="265" t="n">
        <v>9375000</v>
      </c>
      <c r="Y42" s="265" t="n">
        <v>9861000</v>
      </c>
      <c r="Z42" s="265" t="n">
        <v>10259000</v>
      </c>
      <c r="AA42" s="265" t="n">
        <v>11440000</v>
      </c>
      <c r="AC42" s="265" t="n">
        <v>10735000</v>
      </c>
      <c r="AD42" s="265" t="n">
        <v>12151000</v>
      </c>
    </row>
    <row r="43">
      <c r="A43" t="inlineStr">
        <is>
          <t>OtherLiabilitiesCurrent · fonte · unid. moeda</t>
        </is>
      </c>
      <c r="B43" t="n">
        <v>26</v>
      </c>
      <c r="C43" t="inlineStr">
        <is>
          <t>Other current liabilities (non-debt)</t>
        </is>
      </c>
      <c r="D43" s="265" t="n">
        <v>2273000</v>
      </c>
      <c r="E43" s="265" t="n">
        <v>2720000</v>
      </c>
      <c r="F43" s="265" t="n">
        <v>2863000</v>
      </c>
      <c r="G43" s="265" t="n">
        <v>1996000</v>
      </c>
      <c r="I43" s="265" t="n">
        <v>2375000</v>
      </c>
      <c r="J43" s="265" t="n">
        <v>3158000</v>
      </c>
      <c r="K43" s="265" t="n">
        <v>2515000</v>
      </c>
      <c r="L43" s="265" t="n">
        <v>2207000</v>
      </c>
      <c r="N43" s="265" t="n">
        <v>2626000</v>
      </c>
      <c r="O43" s="265" t="n">
        <v>2875000</v>
      </c>
      <c r="P43" s="265" t="n">
        <v>2133000</v>
      </c>
      <c r="Q43" s="265" t="n">
        <v>2134000</v>
      </c>
      <c r="S43" s="265" t="n">
        <v>2584000</v>
      </c>
      <c r="T43" s="265" t="n">
        <v>3017000</v>
      </c>
      <c r="U43" s="265" t="n">
        <v>2320000</v>
      </c>
      <c r="V43" s="265" t="n">
        <v>3635000</v>
      </c>
      <c r="X43" s="265" t="n">
        <v>3957000</v>
      </c>
      <c r="Y43" s="265" t="n">
        <v>4961000</v>
      </c>
      <c r="Z43" s="265" t="n">
        <v>4147000</v>
      </c>
      <c r="AA43" s="265" t="n">
        <v>3913000</v>
      </c>
      <c r="AC43" s="265" t="n">
        <v>3804000</v>
      </c>
      <c r="AD43" s="265" t="n">
        <v>3740000</v>
      </c>
    </row>
    <row r="44">
      <c r="A44" t="inlineStr">
        <is>
          <t>DebtCurrent · fonte · unid. moeda</t>
        </is>
      </c>
      <c r="B44" t="n">
        <v>27</v>
      </c>
      <c r="C44" t="inlineStr">
        <is>
          <t>Current portion of long-term debt</t>
        </is>
      </c>
      <c r="D44" s="265" t="n">
        <v>506000</v>
      </c>
      <c r="E44" s="265" t="n">
        <v>506000</v>
      </c>
      <c r="F44" s="265" t="n">
        <v>6000</v>
      </c>
      <c r="G44" s="265" t="n">
        <v>6000</v>
      </c>
      <c r="I44" s="265" t="n">
        <v>500000</v>
      </c>
      <c r="J44" s="265" t="n">
        <v>0</v>
      </c>
      <c r="K44" s="265" t="n">
        <v>0</v>
      </c>
      <c r="L44" s="265" t="n">
        <v>0</v>
      </c>
      <c r="N44" s="265" t="n">
        <v>0</v>
      </c>
      <c r="O44" s="265" t="n">
        <v>0</v>
      </c>
      <c r="P44" s="265" t="n">
        <v>0</v>
      </c>
      <c r="Q44" s="265" t="n">
        <v>0</v>
      </c>
      <c r="S44" s="265" t="n">
        <v>0</v>
      </c>
      <c r="T44" s="265" t="n">
        <v>0</v>
      </c>
      <c r="U44" s="265" t="n">
        <v>0</v>
      </c>
      <c r="V44" s="265" t="n">
        <v>0</v>
      </c>
      <c r="X44" s="265" t="n">
        <v>0</v>
      </c>
      <c r="Y44" s="265" t="n">
        <v>0</v>
      </c>
      <c r="Z44" s="265" t="n">
        <v>0</v>
      </c>
      <c r="AA44" s="265" t="n">
        <v>0</v>
      </c>
      <c r="AC44" s="265" t="n">
        <v>0</v>
      </c>
      <c r="AD44" s="265" t="n">
        <v>0</v>
      </c>
    </row>
    <row r="45">
      <c r="A45" t="inlineStr">
        <is>
          <t>LongTermDebtCurrent · fonte · unid. moeda</t>
        </is>
      </c>
      <c r="B45" t="n">
        <v>27</v>
      </c>
      <c r="C45" t="inlineStr">
        <is>
          <t>Current portion of long-term debt</t>
        </is>
      </c>
      <c r="D45" s="265" t="n">
        <v>0</v>
      </c>
      <c r="E45" s="265" t="n">
        <v>0</v>
      </c>
      <c r="F45" s="265" t="n">
        <v>0</v>
      </c>
      <c r="G45" s="265" t="n">
        <v>0</v>
      </c>
      <c r="I45" s="265" t="n">
        <v>0</v>
      </c>
      <c r="J45" s="265" t="n">
        <v>0</v>
      </c>
      <c r="K45" s="265" t="n">
        <v>0</v>
      </c>
      <c r="L45" s="265" t="n">
        <v>0</v>
      </c>
      <c r="N45" s="265" t="n">
        <v>115000</v>
      </c>
      <c r="O45" s="265" t="n">
        <v>283000</v>
      </c>
      <c r="P45" s="265" t="n">
        <v>168000</v>
      </c>
      <c r="Q45" s="265" t="n">
        <v>168000</v>
      </c>
      <c r="S45" s="265" t="n">
        <v>168000</v>
      </c>
      <c r="T45" s="265" t="n">
        <v>142000</v>
      </c>
      <c r="U45" s="265" t="n">
        <v>142000</v>
      </c>
      <c r="V45" s="265" t="n">
        <v>643000</v>
      </c>
      <c r="X45" s="265" t="n">
        <v>1643000</v>
      </c>
      <c r="Y45" s="265" t="n">
        <v>3118000</v>
      </c>
      <c r="Z45" s="265" t="n">
        <v>1669000</v>
      </c>
      <c r="AA45" s="265" t="n">
        <v>1168000</v>
      </c>
      <c r="AC45" s="265" t="n">
        <v>168000</v>
      </c>
      <c r="AD45" s="265" t="n">
        <v>0</v>
      </c>
    </row>
    <row r="46">
      <c r="A46" t="inlineStr">
        <is>
          <t>LongTermDebtNoncurrent · fonte · unid. moeda</t>
        </is>
      </c>
      <c r="B46" t="n">
        <v>30</v>
      </c>
      <c r="C46" t="inlineStr">
        <is>
          <t>Long term debt</t>
        </is>
      </c>
      <c r="D46" s="265" t="n">
        <v>11657000</v>
      </c>
      <c r="E46" s="265" t="n">
        <v>11665000</v>
      </c>
      <c r="F46" s="265" t="n">
        <v>11668000</v>
      </c>
      <c r="G46" s="265" t="n">
        <v>11670000</v>
      </c>
      <c r="I46" s="265" t="n">
        <v>11145000</v>
      </c>
      <c r="J46" s="265" t="n">
        <v>11644000</v>
      </c>
      <c r="K46" s="265" t="n">
        <v>11480000</v>
      </c>
      <c r="L46" s="265" t="n">
        <v>15429000</v>
      </c>
      <c r="N46" s="265" t="n">
        <v>15485000</v>
      </c>
      <c r="O46" s="265" t="n">
        <v>17262000</v>
      </c>
      <c r="P46" s="265" t="n">
        <v>17221000</v>
      </c>
      <c r="Q46" s="265" t="n">
        <v>17291000</v>
      </c>
      <c r="S46" s="265" t="n">
        <v>19250000</v>
      </c>
      <c r="T46" s="265" t="n">
        <v>19115000</v>
      </c>
      <c r="U46" s="265" t="n">
        <v>19179000</v>
      </c>
      <c r="V46" s="265" t="n">
        <v>19627000</v>
      </c>
      <c r="X46" s="265" t="n">
        <v>18661000</v>
      </c>
      <c r="Y46" s="265" t="n">
        <v>18520000</v>
      </c>
      <c r="Z46" s="265" t="n">
        <v>20520000</v>
      </c>
      <c r="AA46" s="265" t="n">
        <v>20532000</v>
      </c>
      <c r="AC46" s="265" t="n">
        <v>20529000</v>
      </c>
      <c r="AD46" s="265" t="n">
        <v>20538000</v>
      </c>
    </row>
    <row r="47">
      <c r="A47" t="inlineStr">
        <is>
          <t>DefinedBenefitPensionPlanLiabilitiesNoncurrent · fonte · unid. moeda</t>
        </is>
      </c>
      <c r="B47" t="n">
        <v>34</v>
      </c>
      <c r="C47" t="inlineStr">
        <is>
          <t>Other non-current liabilities</t>
        </is>
      </c>
      <c r="D47" s="265" t="n">
        <v>12643000</v>
      </c>
      <c r="E47" s="265" t="n">
        <v>12412000</v>
      </c>
      <c r="F47" s="265" t="n">
        <v>9351000</v>
      </c>
      <c r="G47" s="265" t="n">
        <v>8319000</v>
      </c>
      <c r="I47" s="265" t="n">
        <v>8143000</v>
      </c>
      <c r="J47" s="265" t="n">
        <v>5808000</v>
      </c>
      <c r="K47" s="265" t="n">
        <v>5745000</v>
      </c>
      <c r="L47" s="265" t="n">
        <v>5472000</v>
      </c>
      <c r="N47" s="265" t="n">
        <v>5422000</v>
      </c>
      <c r="O47" s="265" t="n">
        <v>5373000</v>
      </c>
      <c r="P47" s="265" t="n">
        <v>5323000</v>
      </c>
      <c r="Q47" s="265" t="n">
        <v>6162000</v>
      </c>
      <c r="S47" s="265" t="n">
        <v>6133000</v>
      </c>
      <c r="T47" s="265" t="n">
        <v>6105000</v>
      </c>
      <c r="U47" s="265" t="n">
        <v>6077000</v>
      </c>
      <c r="V47" s="265" t="n">
        <v>4791000</v>
      </c>
      <c r="X47" s="265" t="n">
        <v>4815000</v>
      </c>
      <c r="Y47" s="265" t="n">
        <v>4838000</v>
      </c>
      <c r="Z47" s="265" t="n">
        <v>4861000</v>
      </c>
      <c r="AA47" s="265" t="n">
        <v>3915000</v>
      </c>
      <c r="AC47" s="265" t="n">
        <v>3923000</v>
      </c>
      <c r="AD47" s="265" t="n">
        <v>3931000</v>
      </c>
    </row>
    <row r="48">
      <c r="A48" t="inlineStr">
        <is>
          <t>OtherLiabilitiesNoncurrent · fonte · unid. moeda</t>
        </is>
      </c>
      <c r="B48" t="n">
        <v>34</v>
      </c>
      <c r="C48" t="inlineStr">
        <is>
          <t>Other non-current liabilities</t>
        </is>
      </c>
      <c r="D48" s="265" t="n">
        <v>6087000</v>
      </c>
      <c r="E48" s="265" t="n">
        <v>6250000</v>
      </c>
      <c r="F48" s="265" t="n">
        <v>6167000</v>
      </c>
      <c r="G48" s="265" t="n">
        <v>5928000</v>
      </c>
      <c r="I48" s="265" t="n">
        <v>6173000</v>
      </c>
      <c r="J48" s="265" t="n">
        <v>6395000</v>
      </c>
      <c r="K48" s="265" t="n">
        <v>6492000</v>
      </c>
      <c r="L48" s="265" t="n">
        <v>6826000</v>
      </c>
      <c r="N48" s="265" t="n">
        <v>7087000</v>
      </c>
      <c r="O48" s="265" t="n">
        <v>7399000</v>
      </c>
      <c r="P48" s="265" t="n">
        <v>7655000</v>
      </c>
      <c r="Q48" s="265" t="n">
        <v>5231000</v>
      </c>
      <c r="S48" s="265" t="n">
        <v>5231000</v>
      </c>
      <c r="T48" s="265" t="n">
        <v>5188000</v>
      </c>
      <c r="U48" s="265" t="n">
        <v>5254000</v>
      </c>
      <c r="V48" s="265" t="n">
        <v>5446000</v>
      </c>
      <c r="X48" s="265" t="n">
        <v>5323000</v>
      </c>
      <c r="Y48" s="265" t="n">
        <v>5824000</v>
      </c>
      <c r="Z48" s="265" t="n">
        <v>5740000</v>
      </c>
      <c r="AA48" s="265" t="n">
        <v>5337000</v>
      </c>
      <c r="AC48" s="265" t="n">
        <v>5207000</v>
      </c>
      <c r="AD48" s="265" t="n">
        <v>5404000</v>
      </c>
    </row>
    <row r="49">
      <c r="A49" t="inlineStr">
        <is>
          <t>MinorityInterest · fonte · unid. moeda</t>
        </is>
      </c>
      <c r="B49" t="n">
        <v>35</v>
      </c>
      <c r="C49" t="inlineStr">
        <is>
          <t>Minority interest</t>
        </is>
      </c>
      <c r="D49" s="265" t="n">
        <v>21000</v>
      </c>
      <c r="E49" s="265" t="n">
        <v>8000</v>
      </c>
      <c r="F49" s="265" t="n">
        <v>0</v>
      </c>
      <c r="G49" s="265" t="n">
        <v>0</v>
      </c>
      <c r="I49" s="265" t="n">
        <v>0</v>
      </c>
      <c r="J49" s="265" t="n">
        <v>0</v>
      </c>
      <c r="K49" s="265" t="n">
        <v>0</v>
      </c>
      <c r="L49" s="265" t="n">
        <v>0</v>
      </c>
      <c r="N49" s="265" t="n">
        <v>0</v>
      </c>
      <c r="O49" s="265" t="n">
        <v>0</v>
      </c>
      <c r="P49" s="265" t="n">
        <v>0</v>
      </c>
      <c r="Q49" s="265" t="n">
        <v>0</v>
      </c>
      <c r="S49" s="265" t="n">
        <v>0</v>
      </c>
      <c r="T49" s="265" t="n">
        <v>0</v>
      </c>
      <c r="U49" s="265" t="n">
        <v>0</v>
      </c>
      <c r="V49" s="265" t="n">
        <v>0</v>
      </c>
      <c r="X49" s="265" t="n">
        <v>0</v>
      </c>
      <c r="Y49" s="265" t="n">
        <v>0</v>
      </c>
      <c r="Z49" s="265" t="n">
        <v>0</v>
      </c>
      <c r="AA49" s="265" t="n">
        <v>0</v>
      </c>
      <c r="AC49" s="265" t="n">
        <v>0</v>
      </c>
      <c r="AD49" s="265" t="n">
        <v>0</v>
      </c>
    </row>
    <row r="50">
      <c r="A50" t="inlineStr">
        <is>
          <t>CommonStockValue · fonte · unid. moeda</t>
        </is>
      </c>
      <c r="B50" t="n">
        <v>37</v>
      </c>
      <c r="C50" t="inlineStr">
        <is>
          <t>Common Stock and APIC</t>
        </is>
      </c>
      <c r="D50" s="265" t="n">
        <v>278000</v>
      </c>
      <c r="E50" s="265" t="n">
        <v>276000</v>
      </c>
      <c r="F50" s="265" t="n">
        <v>274000</v>
      </c>
      <c r="G50" s="265" t="n">
        <v>271000</v>
      </c>
      <c r="I50" s="265" t="n">
        <v>265000</v>
      </c>
      <c r="J50" s="265" t="n">
        <v>264000</v>
      </c>
      <c r="K50" s="265" t="n">
        <v>261000</v>
      </c>
      <c r="L50" s="265" t="n">
        <v>254000</v>
      </c>
      <c r="N50" s="265" t="n">
        <v>254000</v>
      </c>
      <c r="O50" s="265" t="n">
        <v>251000</v>
      </c>
      <c r="P50" s="265" t="n">
        <v>247000</v>
      </c>
      <c r="Q50" s="265" t="n">
        <v>240000</v>
      </c>
      <c r="S50" s="265" t="n">
        <v>239000</v>
      </c>
      <c r="T50" s="265" t="n">
        <v>237000</v>
      </c>
      <c r="U50" s="265" t="n">
        <v>236000</v>
      </c>
      <c r="V50" s="265" t="n">
        <v>234000</v>
      </c>
      <c r="X50" s="265" t="n">
        <v>233000</v>
      </c>
      <c r="Y50" s="265" t="n">
        <v>232000</v>
      </c>
      <c r="Z50" s="265" t="n">
        <v>230000</v>
      </c>
      <c r="AA50" s="265" t="n">
        <v>229000</v>
      </c>
      <c r="AC50" s="265" t="n">
        <v>230000</v>
      </c>
      <c r="AD50" s="265" t="n">
        <v>230000</v>
      </c>
    </row>
    <row r="51">
      <c r="A51" t="inlineStr">
        <is>
          <t>AdditionalPaidInCapitalCommonStock · fonte · unid. moeda</t>
        </is>
      </c>
      <c r="B51" t="n">
        <v>37</v>
      </c>
      <c r="C51" t="inlineStr">
        <is>
          <t>Common Stock and APIC</t>
        </is>
      </c>
      <c r="D51" s="265" t="n">
        <v>65000</v>
      </c>
      <c r="E51" s="265" t="n">
        <v>122000</v>
      </c>
      <c r="F51" s="265" t="n">
        <v>98000</v>
      </c>
      <c r="G51" s="265" t="n">
        <v>94000</v>
      </c>
      <c r="I51" s="265" t="n">
        <v>0</v>
      </c>
      <c r="J51" s="265" t="n">
        <v>0</v>
      </c>
      <c r="K51" s="265" t="n">
        <v>0</v>
      </c>
      <c r="L51" s="265" t="n">
        <v>92000</v>
      </c>
      <c r="N51" s="265" t="n">
        <v>0</v>
      </c>
      <c r="O51" s="265" t="n">
        <v>0</v>
      </c>
      <c r="P51" s="265" t="n">
        <v>107000</v>
      </c>
      <c r="Q51" s="265" t="n">
        <v>0</v>
      </c>
      <c r="S51" s="265" t="n">
        <v>0</v>
      </c>
      <c r="T51" s="265" t="n">
        <v>0</v>
      </c>
      <c r="U51" s="265" t="n">
        <v>0</v>
      </c>
      <c r="V51" s="265" t="n">
        <v>0</v>
      </c>
      <c r="X51" s="265" t="n">
        <v>0</v>
      </c>
      <c r="Y51" s="265" t="n">
        <v>0</v>
      </c>
      <c r="Z51" s="265" t="n">
        <v>0</v>
      </c>
      <c r="AA51" s="265" t="n">
        <v>0</v>
      </c>
      <c r="AC51" s="265" t="n">
        <v>32000</v>
      </c>
      <c r="AD51" s="265" t="n">
        <v>247000</v>
      </c>
    </row>
    <row r="52">
      <c r="A52" t="inlineStr">
        <is>
          <t>AccumulatedOtherComprehensiveIncomeLossNetOfTax · fonte · unid. moeda</t>
        </is>
      </c>
      <c r="B52" t="n">
        <v>39</v>
      </c>
      <c r="C52" t="inlineStr">
        <is>
          <t>Comprehensive (accumulated) loss</t>
        </is>
      </c>
      <c r="D52" s="265" t="n">
        <v>-16008000</v>
      </c>
      <c r="E52" s="265" t="n">
        <v>-15837000</v>
      </c>
      <c r="F52" s="265" t="n">
        <v>-12217000</v>
      </c>
      <c r="G52" s="265" t="n">
        <v>-11006000</v>
      </c>
      <c r="I52" s="265" t="n">
        <v>-10979000</v>
      </c>
      <c r="J52" s="265" t="n">
        <v>-8168000</v>
      </c>
      <c r="K52" s="265" t="n">
        <v>-8134000</v>
      </c>
      <c r="L52" s="265" t="n">
        <v>-8023000</v>
      </c>
      <c r="N52" s="265" t="n">
        <v>-8086000</v>
      </c>
      <c r="O52" s="265" t="n">
        <v>-8079000</v>
      </c>
      <c r="P52" s="265" t="n">
        <v>-8146000</v>
      </c>
      <c r="Q52" s="265" t="n">
        <v>-8803000</v>
      </c>
      <c r="S52" s="265" t="n">
        <v>-8811000</v>
      </c>
      <c r="T52" s="265" t="n">
        <v>-8769000</v>
      </c>
      <c r="U52" s="265" t="n">
        <v>-8693000</v>
      </c>
      <c r="V52" s="265" t="n">
        <v>-8452000</v>
      </c>
      <c r="X52" s="265" t="n">
        <v>-8323000</v>
      </c>
      <c r="Y52" s="265" t="n">
        <v>-8157000</v>
      </c>
      <c r="Z52" s="265" t="n">
        <v>-8102000</v>
      </c>
      <c r="AA52" s="265" t="n">
        <v>-7542000</v>
      </c>
      <c r="AC52" s="265" t="n">
        <v>-7496000</v>
      </c>
      <c r="AD52" s="265" t="n">
        <v>-7468000</v>
      </c>
    </row>
    <row r="53">
      <c r="A53" t="inlineStr">
        <is>
          <t>RetainedEarningsAccumulatedDeficit · fonte · unid. moeda</t>
        </is>
      </c>
      <c r="B53" t="n">
        <v>41</v>
      </c>
      <c r="C53" t="inlineStr">
        <is>
          <t>Retained earnings</t>
        </is>
      </c>
      <c r="D53" s="265" t="n">
        <v>21977000</v>
      </c>
      <c r="E53" s="265" t="n">
        <v>21961000</v>
      </c>
      <c r="F53" s="265" t="n">
        <v>21476000</v>
      </c>
      <c r="G53" s="265" t="n">
        <v>21600000</v>
      </c>
      <c r="I53" s="265" t="n">
        <v>20716000</v>
      </c>
      <c r="J53" s="265" t="n">
        <v>19336000</v>
      </c>
      <c r="K53" s="265" t="n">
        <v>19839000</v>
      </c>
      <c r="L53" s="265" t="n">
        <v>16943000</v>
      </c>
      <c r="N53" s="265" t="n">
        <v>17478000</v>
      </c>
      <c r="O53" s="265" t="n">
        <v>17068000</v>
      </c>
      <c r="P53" s="265" t="n">
        <v>17066000</v>
      </c>
      <c r="Q53" s="265" t="n">
        <v>15398000</v>
      </c>
      <c r="S53" s="265" t="n">
        <v>15222000</v>
      </c>
      <c r="T53" s="265" t="n">
        <v>14707000</v>
      </c>
      <c r="U53" s="265" t="n">
        <v>15657000</v>
      </c>
      <c r="V53" s="265" t="n">
        <v>14551000</v>
      </c>
      <c r="X53" s="265" t="n">
        <v>14773000</v>
      </c>
      <c r="Y53" s="265" t="n">
        <v>13259000</v>
      </c>
      <c r="Z53" s="265" t="n">
        <v>14053000</v>
      </c>
      <c r="AA53" s="265" t="n">
        <v>14034000</v>
      </c>
      <c r="AC53" s="265" t="n">
        <v>14723000</v>
      </c>
      <c r="AD53" s="265" t="n">
        <v>15759000</v>
      </c>
    </row>
    <row r="54">
      <c r="A54" t="inlineStr">
        <is>
          <t>[vazio] Minoritários (DRE): não aparece como linha própria nas demonstrações (zero) · derivada · unid. moeda</t>
        </is>
      </c>
      <c r="B54" t="n">
        <v>9</v>
      </c>
      <c r="C54" t="inlineStr">
        <is>
          <t>Minority Interest Expense, after tax (enter as - )</t>
        </is>
      </c>
      <c r="D54" s="265" t="n">
        <v>0</v>
      </c>
      <c r="E54" s="265" t="n">
        <v>0</v>
      </c>
      <c r="F54" s="265" t="n">
        <v>0</v>
      </c>
      <c r="G54" s="265" t="n">
        <v>0</v>
      </c>
      <c r="I54" s="265" t="n">
        <v>0</v>
      </c>
      <c r="J54" s="265" t="n">
        <v>0</v>
      </c>
      <c r="K54" s="265" t="n">
        <v>0</v>
      </c>
      <c r="L54" s="265" t="n">
        <v>0</v>
      </c>
      <c r="N54" s="265" t="n">
        <v>0</v>
      </c>
      <c r="O54" s="265" t="n">
        <v>0</v>
      </c>
      <c r="P54" s="265" t="n">
        <v>0</v>
      </c>
      <c r="Q54" s="265" t="n">
        <v>0</v>
      </c>
      <c r="S54" s="265" t="n">
        <v>0</v>
      </c>
      <c r="T54" s="265" t="n">
        <v>0</v>
      </c>
      <c r="U54" s="265" t="n">
        <v>0</v>
      </c>
      <c r="V54" s="265" t="n">
        <v>0</v>
      </c>
      <c r="X54" s="265" t="n">
        <v>0</v>
      </c>
      <c r="Y54" s="265" t="n">
        <v>0</v>
      </c>
      <c r="Z54" s="265" t="n">
        <v>0</v>
      </c>
      <c r="AA54" s="265" t="n">
        <v>0</v>
      </c>
      <c r="AC54" s="265" t="n">
        <v>0</v>
      </c>
      <c r="AD54" s="265" t="n">
        <v>0</v>
      </c>
    </row>
    <row r="55">
      <c r="A55" t="inlineStr">
        <is>
          <t>[vazio] Despesas antecipadas: não aparece como linha própria nas demonstrações (zero) · derivada · unid. moeda</t>
        </is>
      </c>
      <c r="B55" t="n">
        <v>15</v>
      </c>
      <c r="C55" t="inlineStr">
        <is>
          <t>Prepaid expenses</t>
        </is>
      </c>
      <c r="D55" s="265" t="n">
        <v>0</v>
      </c>
      <c r="E55" s="265" t="n">
        <v>0</v>
      </c>
      <c r="F55" s="265" t="n">
        <v>0</v>
      </c>
      <c r="G55" s="265" t="n">
        <v>0</v>
      </c>
      <c r="I55" s="265" t="n">
        <v>0</v>
      </c>
      <c r="J55" s="265" t="n">
        <v>0</v>
      </c>
      <c r="K55" s="265" t="n">
        <v>0</v>
      </c>
      <c r="L55" s="265" t="n">
        <v>0</v>
      </c>
      <c r="N55" s="265" t="n">
        <v>0</v>
      </c>
      <c r="O55" s="265" t="n">
        <v>0</v>
      </c>
      <c r="P55" s="265" t="n">
        <v>0</v>
      </c>
      <c r="Q55" s="265" t="n">
        <v>0</v>
      </c>
      <c r="S55" s="265" t="n">
        <v>0</v>
      </c>
      <c r="T55" s="265" t="n">
        <v>0</v>
      </c>
      <c r="U55" s="265" t="n">
        <v>0</v>
      </c>
      <c r="V55" s="265" t="n">
        <v>0</v>
      </c>
      <c r="X55" s="265" t="n">
        <v>0</v>
      </c>
      <c r="Y55" s="265" t="n">
        <v>0</v>
      </c>
      <c r="Z55" s="265" t="n">
        <v>0</v>
      </c>
      <c r="AA55" s="265" t="n">
        <v>0</v>
      </c>
      <c r="AC55" s="265" t="n">
        <v>0</v>
      </c>
      <c r="AD55" s="265" t="n">
        <v>0</v>
      </c>
    </row>
    <row r="56">
      <c r="A56" t="inlineStr">
        <is>
          <t>[vazio] Investimentos em coligadas: não aparece como linha própria nas demonstrações (zero) · derivada · unid. moeda</t>
        </is>
      </c>
      <c r="B56" t="n">
        <v>17</v>
      </c>
      <c r="C56" t="inlineStr">
        <is>
          <t>Equity in affiliates</t>
        </is>
      </c>
      <c r="D56" s="265" t="n">
        <v>0</v>
      </c>
      <c r="E56" s="265" t="n">
        <v>0</v>
      </c>
      <c r="F56" s="265" t="n">
        <v>0</v>
      </c>
      <c r="G56" s="265" t="n">
        <v>0</v>
      </c>
      <c r="I56" s="265" t="n">
        <v>0</v>
      </c>
      <c r="J56" s="265" t="n">
        <v>0</v>
      </c>
      <c r="K56" s="265" t="n">
        <v>0</v>
      </c>
      <c r="L56" s="265" t="n">
        <v>0</v>
      </c>
      <c r="N56" s="265" t="n">
        <v>0</v>
      </c>
      <c r="O56" s="265" t="n">
        <v>0</v>
      </c>
      <c r="P56" s="265" t="n">
        <v>0</v>
      </c>
      <c r="Q56" s="265" t="n">
        <v>0</v>
      </c>
      <c r="S56" s="265" t="n">
        <v>0</v>
      </c>
      <c r="T56" s="265" t="n">
        <v>0</v>
      </c>
      <c r="U56" s="265" t="n">
        <v>0</v>
      </c>
      <c r="V56" s="265" t="n">
        <v>0</v>
      </c>
      <c r="X56" s="265" t="n">
        <v>0</v>
      </c>
      <c r="Y56" s="265" t="n">
        <v>0</v>
      </c>
      <c r="Z56" s="265" t="n">
        <v>0</v>
      </c>
      <c r="AA56" s="265" t="n">
        <v>0</v>
      </c>
      <c r="AC56" s="265" t="n">
        <v>0</v>
      </c>
      <c r="AD56" s="265" t="n">
        <v>0</v>
      </c>
    </row>
    <row r="57">
      <c r="A57" t="inlineStr">
        <is>
          <t>[vazio] Direito de uso: não aparece como linha própria nas demonstrações (zero) · derivada · unid. moeda</t>
        </is>
      </c>
      <c r="B57" t="n">
        <v>19</v>
      </c>
      <c r="C57" t="inlineStr">
        <is>
          <t>Right-of-use-assets</t>
        </is>
      </c>
      <c r="D57" s="265" t="n">
        <v>0</v>
      </c>
      <c r="E57" s="265" t="n">
        <v>0</v>
      </c>
      <c r="F57" s="265" t="n">
        <v>0</v>
      </c>
      <c r="G57" s="265" t="n">
        <v>0</v>
      </c>
      <c r="I57" s="265" t="n">
        <v>0</v>
      </c>
      <c r="J57" s="265" t="n">
        <v>0</v>
      </c>
      <c r="K57" s="265" t="n">
        <v>0</v>
      </c>
      <c r="L57" s="265" t="n">
        <v>0</v>
      </c>
      <c r="N57" s="265" t="n">
        <v>0</v>
      </c>
      <c r="O57" s="265" t="n">
        <v>0</v>
      </c>
      <c r="P57" s="265" t="n">
        <v>0</v>
      </c>
      <c r="Q57" s="265" t="n">
        <v>0</v>
      </c>
      <c r="S57" s="265" t="n">
        <v>0</v>
      </c>
      <c r="T57" s="265" t="n">
        <v>0</v>
      </c>
      <c r="U57" s="265" t="n">
        <v>0</v>
      </c>
      <c r="V57" s="265" t="n">
        <v>0</v>
      </c>
      <c r="X57" s="265" t="n">
        <v>0</v>
      </c>
      <c r="Y57" s="265" t="n">
        <v>0</v>
      </c>
      <c r="Z57" s="265" t="n">
        <v>0</v>
      </c>
      <c r="AA57" s="265" t="n">
        <v>0</v>
      </c>
      <c r="AC57" s="265" t="n">
        <v>0</v>
      </c>
      <c r="AD57" s="265" t="n">
        <v>0</v>
      </c>
    </row>
    <row r="58">
      <c r="A58" t="inlineStr">
        <is>
          <t>[vazio] Impostos a pagar: não aparece como linha própria nas demonstrações (zero) · derivada · unid. moeda</t>
        </is>
      </c>
      <c r="B58" t="n">
        <v>25</v>
      </c>
      <c r="C58" t="inlineStr">
        <is>
          <t>Taxes payable</t>
        </is>
      </c>
      <c r="D58" s="265" t="n">
        <v>0</v>
      </c>
      <c r="E58" s="265" t="n">
        <v>0</v>
      </c>
      <c r="F58" s="265" t="n">
        <v>0</v>
      </c>
      <c r="G58" s="265" t="n">
        <v>0</v>
      </c>
      <c r="I58" s="265" t="n">
        <v>0</v>
      </c>
      <c r="J58" s="265" t="n">
        <v>0</v>
      </c>
      <c r="K58" s="265" t="n">
        <v>0</v>
      </c>
      <c r="L58" s="265" t="n">
        <v>0</v>
      </c>
      <c r="N58" s="265" t="n">
        <v>0</v>
      </c>
      <c r="O58" s="265" t="n">
        <v>0</v>
      </c>
      <c r="P58" s="265" t="n">
        <v>0</v>
      </c>
      <c r="Q58" s="265" t="n">
        <v>0</v>
      </c>
      <c r="S58" s="265" t="n">
        <v>0</v>
      </c>
      <c r="T58" s="265" t="n">
        <v>0</v>
      </c>
      <c r="U58" s="265" t="n">
        <v>0</v>
      </c>
      <c r="V58" s="265" t="n">
        <v>0</v>
      </c>
      <c r="X58" s="265" t="n">
        <v>0</v>
      </c>
      <c r="Y58" s="265" t="n">
        <v>0</v>
      </c>
      <c r="Z58" s="265" t="n">
        <v>0</v>
      </c>
      <c r="AA58" s="265" t="n">
        <v>0</v>
      </c>
      <c r="AC58" s="265" t="n">
        <v>0</v>
      </c>
      <c r="AD58" s="265" t="n">
        <v>0</v>
      </c>
    </row>
    <row r="59">
      <c r="A59" t="inlineStr">
        <is>
          <t>[vazio] Revolving: não aparece como linha própria nas demonstrações (zero) · derivada · unid. moeda</t>
        </is>
      </c>
      <c r="B59" t="n">
        <v>28</v>
      </c>
      <c r="C59" t="inlineStr">
        <is>
          <t>Short term debt (Revolving credit facility)</t>
        </is>
      </c>
      <c r="D59" s="265" t="n">
        <v>0</v>
      </c>
      <c r="E59" s="265" t="n">
        <v>0</v>
      </c>
      <c r="F59" s="265" t="n">
        <v>0</v>
      </c>
      <c r="G59" s="265" t="n">
        <v>0</v>
      </c>
      <c r="I59" s="265" t="n">
        <v>0</v>
      </c>
      <c r="J59" s="265" t="n">
        <v>0</v>
      </c>
      <c r="K59" s="265" t="n">
        <v>0</v>
      </c>
      <c r="L59" s="265" t="n">
        <v>0</v>
      </c>
      <c r="N59" s="265" t="n">
        <v>0</v>
      </c>
      <c r="O59" s="265" t="n">
        <v>0</v>
      </c>
      <c r="P59" s="265" t="n">
        <v>0</v>
      </c>
      <c r="Q59" s="265" t="n">
        <v>0</v>
      </c>
      <c r="S59" s="265" t="n">
        <v>0</v>
      </c>
      <c r="T59" s="265" t="n">
        <v>0</v>
      </c>
      <c r="U59" s="265" t="n">
        <v>0</v>
      </c>
      <c r="V59" s="265" t="n">
        <v>0</v>
      </c>
      <c r="X59" s="265" t="n">
        <v>0</v>
      </c>
      <c r="Y59" s="265" t="n">
        <v>0</v>
      </c>
      <c r="Z59" s="265" t="n">
        <v>0</v>
      </c>
      <c r="AA59" s="265" t="n">
        <v>0</v>
      </c>
      <c r="AC59" s="265" t="n">
        <v>0</v>
      </c>
      <c r="AD59" s="265" t="n">
        <v>0</v>
      </c>
    </row>
    <row r="60">
      <c r="A60" t="inlineStr">
        <is>
          <t>[vazio] Arrendamento CP: não aparece como linha própria nas demonstrações (zero) · derivada · unid. moeda</t>
        </is>
      </c>
      <c r="B60" t="n">
        <v>29</v>
      </c>
      <c r="C60" t="inlineStr">
        <is>
          <t>Short term operating leases</t>
        </is>
      </c>
      <c r="D60" s="265" t="n">
        <v>0</v>
      </c>
      <c r="E60" s="265" t="n">
        <v>0</v>
      </c>
      <c r="F60" s="265" t="n">
        <v>0</v>
      </c>
      <c r="G60" s="265" t="n">
        <v>0</v>
      </c>
      <c r="I60" s="265" t="n">
        <v>0</v>
      </c>
      <c r="J60" s="265" t="n">
        <v>0</v>
      </c>
      <c r="K60" s="265" t="n">
        <v>0</v>
      </c>
      <c r="L60" s="265" t="n">
        <v>0</v>
      </c>
      <c r="N60" s="265" t="n">
        <v>0</v>
      </c>
      <c r="O60" s="265" t="n">
        <v>0</v>
      </c>
      <c r="P60" s="265" t="n">
        <v>0</v>
      </c>
      <c r="Q60" s="265" t="n">
        <v>0</v>
      </c>
      <c r="S60" s="265" t="n">
        <v>0</v>
      </c>
      <c r="T60" s="265" t="n">
        <v>0</v>
      </c>
      <c r="U60" s="265" t="n">
        <v>0</v>
      </c>
      <c r="V60" s="265" t="n">
        <v>0</v>
      </c>
      <c r="X60" s="265" t="n">
        <v>0</v>
      </c>
      <c r="Y60" s="265" t="n">
        <v>0</v>
      </c>
      <c r="Z60" s="265" t="n">
        <v>0</v>
      </c>
      <c r="AA60" s="265" t="n">
        <v>0</v>
      </c>
      <c r="AC60" s="265" t="n">
        <v>0</v>
      </c>
      <c r="AD60" s="265" t="n">
        <v>0</v>
      </c>
    </row>
    <row r="61">
      <c r="A61" t="inlineStr">
        <is>
          <t>[vazio] Arrendamento LP: não aparece como linha própria nas demonstrações (zero) · derivada · unid. moeda</t>
        </is>
      </c>
      <c r="B61" t="n">
        <v>31</v>
      </c>
      <c r="C61" t="inlineStr">
        <is>
          <t>Long term operating leases</t>
        </is>
      </c>
      <c r="D61" s="265" t="n">
        <v>0</v>
      </c>
      <c r="E61" s="265" t="n">
        <v>0</v>
      </c>
      <c r="F61" s="265" t="n">
        <v>0</v>
      </c>
      <c r="G61" s="265" t="n">
        <v>0</v>
      </c>
      <c r="I61" s="265" t="n">
        <v>0</v>
      </c>
      <c r="J61" s="265" t="n">
        <v>0</v>
      </c>
      <c r="K61" s="265" t="n">
        <v>0</v>
      </c>
      <c r="L61" s="265" t="n">
        <v>0</v>
      </c>
      <c r="N61" s="265" t="n">
        <v>0</v>
      </c>
      <c r="O61" s="265" t="n">
        <v>0</v>
      </c>
      <c r="P61" s="265" t="n">
        <v>0</v>
      </c>
      <c r="Q61" s="265" t="n">
        <v>0</v>
      </c>
      <c r="S61" s="265" t="n">
        <v>0</v>
      </c>
      <c r="T61" s="265" t="n">
        <v>0</v>
      </c>
      <c r="U61" s="265" t="n">
        <v>0</v>
      </c>
      <c r="V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C61" s="265" t="n">
        <v>0</v>
      </c>
      <c r="AD61" s="265" t="n">
        <v>0</v>
      </c>
    </row>
    <row r="62">
      <c r="A62" t="inlineStr">
        <is>
          <t>[vazio] Dívida conversível: não aparece como linha própria nas demonstrações (zero) · derivada · unid. moeda</t>
        </is>
      </c>
      <c r="B62" t="n">
        <v>32</v>
      </c>
      <c r="C62" t="inlineStr">
        <is>
          <t>Convertible debt</t>
        </is>
      </c>
      <c r="D62" s="265" t="n">
        <v>0</v>
      </c>
      <c r="E62" s="265" t="n">
        <v>0</v>
      </c>
      <c r="F62" s="265" t="n">
        <v>0</v>
      </c>
      <c r="G62" s="265" t="n">
        <v>0</v>
      </c>
      <c r="I62" s="265" t="n">
        <v>0</v>
      </c>
      <c r="J62" s="265" t="n">
        <v>0</v>
      </c>
      <c r="K62" s="265" t="n">
        <v>0</v>
      </c>
      <c r="L62" s="265" t="n">
        <v>0</v>
      </c>
      <c r="N62" s="265" t="n">
        <v>0</v>
      </c>
      <c r="O62" s="265" t="n">
        <v>0</v>
      </c>
      <c r="P62" s="265" t="n">
        <v>0</v>
      </c>
      <c r="Q62" s="265" t="n">
        <v>0</v>
      </c>
      <c r="S62" s="265" t="n">
        <v>0</v>
      </c>
      <c r="T62" s="265" t="n">
        <v>0</v>
      </c>
      <c r="U62" s="265" t="n">
        <v>0</v>
      </c>
      <c r="V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C62" s="265" t="n">
        <v>0</v>
      </c>
      <c r="AD62" s="265" t="n">
        <v>0</v>
      </c>
    </row>
    <row r="63">
      <c r="A63" t="inlineStr">
        <is>
          <t>[vazio] IR diferido passivo: não aparece como linha própria nas demonstrações (zero) · derivada · unid. moeda</t>
        </is>
      </c>
      <c r="B63" t="n">
        <v>33</v>
      </c>
      <c r="C63" t="inlineStr">
        <is>
          <t>Deferred income taxes</t>
        </is>
      </c>
      <c r="D63" s="265" t="n">
        <v>0</v>
      </c>
      <c r="E63" s="265" t="n">
        <v>0</v>
      </c>
      <c r="F63" s="265" t="n">
        <v>0</v>
      </c>
      <c r="G63" s="265" t="n">
        <v>0</v>
      </c>
      <c r="I63" s="265" t="n">
        <v>0</v>
      </c>
      <c r="J63" s="265" t="n">
        <v>0</v>
      </c>
      <c r="K63" s="265" t="n">
        <v>0</v>
      </c>
      <c r="L63" s="265" t="n">
        <v>0</v>
      </c>
      <c r="N63" s="265" t="n">
        <v>0</v>
      </c>
      <c r="O63" s="265" t="n">
        <v>0</v>
      </c>
      <c r="P63" s="265" t="n">
        <v>0</v>
      </c>
      <c r="Q63" s="265" t="n">
        <v>0</v>
      </c>
      <c r="S63" s="265" t="n">
        <v>0</v>
      </c>
      <c r="T63" s="265" t="n">
        <v>0</v>
      </c>
      <c r="U63" s="265" t="n">
        <v>0</v>
      </c>
      <c r="V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C63" s="265" t="n">
        <v>0</v>
      </c>
      <c r="AD63" s="265" t="n">
        <v>0</v>
      </c>
    </row>
    <row r="64">
      <c r="A64" t="inlineStr">
        <is>
          <t>[vazio] Tesouraria: não aparece como linha própria nas demonstrações (zero) · derivada · unid. moeda</t>
        </is>
      </c>
      <c r="B64" t="n">
        <v>38</v>
      </c>
      <c r="C64" t="inlineStr">
        <is>
          <t>Treasury stock (contra account)</t>
        </is>
      </c>
      <c r="D64" s="265" t="n">
        <v>0</v>
      </c>
      <c r="E64" s="265" t="n">
        <v>0</v>
      </c>
      <c r="F64" s="265" t="n">
        <v>0</v>
      </c>
      <c r="G64" s="265" t="n">
        <v>0</v>
      </c>
      <c r="I64" s="265" t="n">
        <v>0</v>
      </c>
      <c r="J64" s="265" t="n">
        <v>0</v>
      </c>
      <c r="K64" s="265" t="n">
        <v>0</v>
      </c>
      <c r="L64" s="265" t="n">
        <v>0</v>
      </c>
      <c r="N64" s="265" t="n">
        <v>0</v>
      </c>
      <c r="O64" s="265" t="n">
        <v>0</v>
      </c>
      <c r="P64" s="265" t="n">
        <v>0</v>
      </c>
      <c r="Q64" s="265" t="n">
        <v>0</v>
      </c>
      <c r="S64" s="265" t="n">
        <v>0</v>
      </c>
      <c r="T64" s="265" t="n">
        <v>0</v>
      </c>
      <c r="U64" s="265" t="n">
        <v>0</v>
      </c>
      <c r="V64" s="265" t="n">
        <v>0</v>
      </c>
      <c r="X64" s="265" t="n">
        <v>0</v>
      </c>
      <c r="Y64" s="265" t="n">
        <v>0</v>
      </c>
      <c r="Z64" s="265" t="n">
        <v>0</v>
      </c>
      <c r="AA64" s="265" t="n">
        <v>0</v>
      </c>
      <c r="AC64" s="265" t="n">
        <v>0</v>
      </c>
      <c r="AD64" s="265" t="n">
        <v>0</v>
      </c>
    </row>
    <row r="65">
      <c r="A65" t="inlineStr">
        <is>
          <t>[vazio] Outras contas do PL: não aparece como linha própria nas demonstrações (zero) · derivada · unid. moeda</t>
        </is>
      </c>
      <c r="B65" t="n">
        <v>40</v>
      </c>
      <c r="C65" t="inlineStr">
        <is>
          <t>Other equity account</t>
        </is>
      </c>
      <c r="D65" s="265" t="n">
        <v>0</v>
      </c>
      <c r="E65" s="265" t="n">
        <v>0</v>
      </c>
      <c r="F65" s="265" t="n">
        <v>0</v>
      </c>
      <c r="G65" s="265" t="n">
        <v>0</v>
      </c>
      <c r="I65" s="265" t="n">
        <v>0</v>
      </c>
      <c r="J65" s="265" t="n">
        <v>0</v>
      </c>
      <c r="K65" s="265" t="n">
        <v>0</v>
      </c>
      <c r="L65" s="265" t="n">
        <v>0</v>
      </c>
      <c r="N65" s="265" t="n">
        <v>0</v>
      </c>
      <c r="O65" s="265" t="n">
        <v>0</v>
      </c>
      <c r="P65" s="265" t="n">
        <v>0</v>
      </c>
      <c r="Q65" s="265" t="n">
        <v>0</v>
      </c>
      <c r="S65" s="265" t="n">
        <v>0</v>
      </c>
      <c r="T65" s="265" t="n">
        <v>0</v>
      </c>
      <c r="U65" s="265" t="n">
        <v>0</v>
      </c>
      <c r="V65" s="265" t="n">
        <v>0</v>
      </c>
      <c r="X65" s="265" t="n">
        <v>0</v>
      </c>
      <c r="Y65" s="265" t="n">
        <v>0</v>
      </c>
      <c r="Z65" s="265" t="n">
        <v>0</v>
      </c>
      <c r="AA65" s="265" t="n">
        <v>0</v>
      </c>
      <c r="AC65" s="265" t="n">
        <v>0</v>
      </c>
      <c r="AD65" s="265" t="n">
        <v>0</v>
      </c>
    </row>
    <row r="66">
      <c r="A66" t="inlineStr">
        <is>
          <t>BALANÇO - totais divulgados (memória)</t>
        </is>
      </c>
      <c r="C66" t="inlineStr">
        <is>
          <t>[linha bruta, sem código; lançada nas linhas abaixo]</t>
        </is>
      </c>
      <c r="D66" s="265" t="n"/>
      <c r="E66" s="265" t="n"/>
      <c r="F66" s="265" t="n"/>
      <c r="G66" s="265" t="n"/>
      <c r="I66" s="265" t="n"/>
      <c r="J66" s="265" t="n"/>
      <c r="K66" s="265" t="n"/>
      <c r="L66" s="265" t="n"/>
      <c r="N66" s="265" t="n"/>
      <c r="O66" s="265" t="n"/>
      <c r="P66" s="265" t="n"/>
      <c r="Q66" s="265" t="n"/>
      <c r="S66" s="265" t="n"/>
      <c r="T66" s="265" t="n"/>
      <c r="U66" s="265" t="n"/>
      <c r="V66" s="265" t="n"/>
      <c r="X66" s="265" t="n"/>
      <c r="Y66" s="265" t="n"/>
      <c r="Z66" s="265" t="n"/>
      <c r="AA66" s="265" t="n"/>
      <c r="AC66" s="265" t="n"/>
      <c r="AD66" s="265" t="n"/>
    </row>
    <row r="67">
      <c r="A67" t="inlineStr">
        <is>
          <t>Total do ativo [us-gaap:Assets] · memoria · unid. moeda</t>
        </is>
      </c>
      <c r="C67" t="inlineStr">
        <is>
          <t>[linha bruta, sem código; lançada nas linhas abaixo]</t>
        </is>
      </c>
      <c r="D67" s="265" t="n">
        <v>51437000</v>
      </c>
      <c r="E67" s="265" t="n">
        <v>52099000</v>
      </c>
      <c r="F67" s="265" t="n">
        <v>51843000</v>
      </c>
      <c r="G67" s="265" t="n">
        <v>50873000</v>
      </c>
      <c r="I67" s="265" t="n">
        <v>51510000</v>
      </c>
      <c r="J67" s="265" t="n">
        <v>51758000</v>
      </c>
      <c r="K67" s="265" t="n">
        <v>52030000</v>
      </c>
      <c r="L67" s="265" t="n">
        <v>52880000</v>
      </c>
      <c r="N67" s="265" t="n">
        <v>54622000</v>
      </c>
      <c r="O67" s="265" t="n">
        <v>56978000</v>
      </c>
      <c r="P67" s="265" t="n">
        <v>56666000</v>
      </c>
      <c r="Q67" s="265" t="n">
        <v>52456000</v>
      </c>
      <c r="S67" s="265" t="n">
        <v>54963000</v>
      </c>
      <c r="T67" s="265" t="n">
        <v>55076000</v>
      </c>
      <c r="U67" s="265" t="n">
        <v>55520000</v>
      </c>
      <c r="V67" s="265" t="n">
        <v>55617000</v>
      </c>
      <c r="X67" s="265" t="n">
        <v>56669000</v>
      </c>
      <c r="Y67" s="265" t="n">
        <v>58870000</v>
      </c>
      <c r="Z67" s="265" t="n">
        <v>60276000</v>
      </c>
      <c r="AA67" s="265" t="n">
        <v>59840000</v>
      </c>
      <c r="AC67" s="265" t="n">
        <v>59238000</v>
      </c>
      <c r="AD67" s="265" t="n">
        <v>62450000</v>
      </c>
    </row>
    <row r="68">
      <c r="A68" t="inlineStr">
        <is>
          <t>Total do passivo + PL [us-gaap:LiabilitiesAndStockholdersEquity] · memoria · unid. moeda</t>
        </is>
      </c>
      <c r="C68" t="inlineStr">
        <is>
          <t>[linha bruta, sem código; lançada nas linhas abaixo]</t>
        </is>
      </c>
      <c r="D68" s="265" t="n">
        <v>51437000</v>
      </c>
      <c r="E68" s="265" t="n">
        <v>52099000</v>
      </c>
      <c r="F68" s="265" t="n">
        <v>51843000</v>
      </c>
      <c r="G68" s="265" t="n">
        <v>50873000</v>
      </c>
      <c r="I68" s="265" t="n">
        <v>51510000</v>
      </c>
      <c r="J68" s="265" t="n">
        <v>51758000</v>
      </c>
      <c r="K68" s="265" t="n">
        <v>52030000</v>
      </c>
      <c r="L68" s="265" t="n">
        <v>52880000</v>
      </c>
      <c r="N68" s="265" t="n">
        <v>54622000</v>
      </c>
      <c r="O68" s="265" t="n">
        <v>56978000</v>
      </c>
      <c r="P68" s="265" t="n">
        <v>56666000</v>
      </c>
      <c r="Q68" s="265" t="n">
        <v>52456000</v>
      </c>
      <c r="S68" s="265" t="n">
        <v>54963000</v>
      </c>
      <c r="T68" s="265" t="n">
        <v>55076000</v>
      </c>
      <c r="U68" s="265" t="n">
        <v>55520000</v>
      </c>
      <c r="V68" s="265" t="n">
        <v>55617000</v>
      </c>
      <c r="X68" s="265" t="n">
        <v>56669000</v>
      </c>
      <c r="Y68" s="265" t="n">
        <v>58870000</v>
      </c>
      <c r="Z68" s="265" t="n">
        <v>60276000</v>
      </c>
      <c r="AA68" s="265" t="n">
        <v>59840000</v>
      </c>
      <c r="AC68" s="265" t="n">
        <v>59238000</v>
      </c>
      <c r="AD68" s="265" t="n">
        <v>62450000</v>
      </c>
    </row>
    <row r="69">
      <c r="A69" t="inlineStr">
        <is>
          <t>CHECKS (devem ser 0)</t>
        </is>
      </c>
      <c r="C69" t="inlineStr">
        <is>
          <t>[linha bruta, sem código; lançada nas linhas abaixo]</t>
        </is>
      </c>
      <c r="D69" s="265" t="n"/>
      <c r="E69" s="265" t="n"/>
      <c r="F69" s="265" t="n"/>
      <c r="G69" s="265" t="n"/>
      <c r="I69" s="265" t="n"/>
      <c r="J69" s="265" t="n"/>
      <c r="K69" s="265" t="n"/>
      <c r="L69" s="265" t="n"/>
      <c r="N69" s="265" t="n"/>
      <c r="O69" s="265" t="n"/>
      <c r="P69" s="265" t="n"/>
      <c r="Q69" s="265" t="n"/>
      <c r="S69" s="265" t="n"/>
      <c r="T69" s="265" t="n"/>
      <c r="U69" s="265" t="n"/>
      <c r="V69" s="265" t="n"/>
      <c r="X69" s="265" t="n"/>
      <c r="Y69" s="265" t="n"/>
      <c r="Z69" s="265" t="n"/>
      <c r="AA69" s="265" t="n"/>
      <c r="AC69" s="265" t="n"/>
      <c r="AD69" s="265" t="n"/>
    </row>
    <row r="70">
      <c r="A70" t="inlineStr">
        <is>
          <t>CHECK: contas de ativo - ativo total (USD, arredondado a 100 mil) · derivada · unid. moeda</t>
        </is>
      </c>
      <c r="C70" t="inlineStr">
        <is>
          <t>[linha bruta, sem código; lançada nas linhas abaixo]</t>
        </is>
      </c>
      <c r="D70" s="265">
        <f>ROUND(N(D28)+N(D29)+N(D30)+N(D31)+N(D32)+N(D33)+N(D34)+N(D35)+N(D36)+N(D37)+N(D38)+N(D39)-N(D67),-2)</f>
        <v>0</v>
      </c>
      <c r="E70" s="265">
        <f>ROUND(N(E28)+N(E29)+N(E30)+N(E31)+N(E32)+N(E33)+N(E34)+N(E35)+N(E36)+N(E37)+N(E38)+N(E39)-N(E67),-2)</f>
        <v>0</v>
      </c>
      <c r="F70" s="265">
        <f>ROUND(N(F28)+N(F29)+N(F30)+N(F31)+N(F32)+N(F33)+N(F34)+N(F35)+N(F36)+N(F37)+N(F38)+N(F39)-N(F67),-2)</f>
        <v>0</v>
      </c>
      <c r="G70" s="265">
        <f>ROUND(N(G28)+N(G29)+N(G30)+N(G31)+N(G32)+N(G33)+N(G34)+N(G35)+N(G36)+N(G37)+N(G38)+N(G39)-N(G67),-2)</f>
        <v>0</v>
      </c>
      <c r="I70" s="265">
        <f>ROUND(N(I28)+N(I29)+N(I30)+N(I31)+N(I32)+N(I33)+N(I34)+N(I35)+N(I36)+N(I37)+N(I38)+N(I39)-N(I67),-2)</f>
        <v>0</v>
      </c>
      <c r="J70" s="265">
        <f>ROUND(N(J28)+N(J29)+N(J30)+N(J31)+N(J32)+N(J33)+N(J34)+N(J35)+N(J36)+N(J37)+N(J38)+N(J39)-N(J67),-2)</f>
        <v>0</v>
      </c>
      <c r="K70" s="265">
        <f>ROUND(N(K28)+N(K29)+N(K30)+N(K31)+N(K32)+N(K33)+N(K34)+N(K35)+N(K36)+N(K37)+N(K38)+N(K39)-N(K67),-2)</f>
        <v>0</v>
      </c>
      <c r="L70" s="265">
        <f>ROUND(N(L28)+N(L29)+N(L30)+N(L31)+N(L32)+N(L33)+N(L34)+N(L35)+N(L36)+N(L37)+N(L38)+N(L39)-N(L67),-2)</f>
        <v>0</v>
      </c>
      <c r="N70" s="265">
        <f>ROUND(N(N28)+N(N29)+N(N30)+N(N31)+N(N32)+N(N33)+N(N34)+N(N35)+N(N36)+N(N37)+N(N38)+N(N39)-N(N67),-2)</f>
        <v>0</v>
      </c>
      <c r="O70" s="265">
        <f>ROUND(N(O28)+N(O29)+N(O30)+N(O31)+N(O32)+N(O33)+N(O34)+N(O35)+N(O36)+N(O37)+N(O38)+N(O39)-N(O67),-2)</f>
        <v>0</v>
      </c>
      <c r="P70" s="265">
        <f>ROUND(N(P28)+N(P29)+N(P30)+N(P31)+N(P32)+N(P33)+N(P34)+N(P35)+N(P36)+N(P37)+N(P38)+N(P39)-N(P67),-2)</f>
        <v>0</v>
      </c>
      <c r="Q70" s="265">
        <f>ROUND(N(Q28)+N(Q29)+N(Q30)+N(Q31)+N(Q32)+N(Q33)+N(Q34)+N(Q35)+N(Q36)+N(Q37)+N(Q38)+N(Q39)-N(Q67),-2)</f>
        <v>0</v>
      </c>
      <c r="S70" s="265">
        <f>ROUND(N(S28)+N(S29)+N(S30)+N(S31)+N(S32)+N(S33)+N(S34)+N(S35)+N(S36)+N(S37)+N(S38)+N(S39)-N(S67),-2)</f>
        <v>0</v>
      </c>
      <c r="T70" s="265">
        <f>ROUND(N(T28)+N(T29)+N(T30)+N(T31)+N(T32)+N(T33)+N(T34)+N(T35)+N(T36)+N(T37)+N(T38)+N(T39)-N(T67),-2)</f>
        <v>0</v>
      </c>
      <c r="U70" s="265">
        <f>ROUND(N(U28)+N(U29)+N(U30)+N(U31)+N(U32)+N(U33)+N(U34)+N(U35)+N(U36)+N(U37)+N(U38)+N(U39)-N(U67),-2)</f>
        <v>0</v>
      </c>
      <c r="V70" s="265">
        <f>ROUND(N(V28)+N(V29)+N(V30)+N(V31)+N(V32)+N(V33)+N(V34)+N(V35)+N(V36)+N(V37)+N(V38)+N(V39)-N(V67),-2)</f>
        <v>0</v>
      </c>
      <c r="X70" s="265">
        <f>ROUND(N(X28)+N(X29)+N(X30)+N(X31)+N(X32)+N(X33)+N(X34)+N(X35)+N(X36)+N(X37)+N(X38)+N(X39)-N(X67),-2)</f>
        <v>0</v>
      </c>
      <c r="Y70" s="265">
        <f>ROUND(N(Y28)+N(Y29)+N(Y30)+N(Y31)+N(Y32)+N(Y33)+N(Y34)+N(Y35)+N(Y36)+N(Y37)+N(Y38)+N(Y39)-N(Y67),-2)</f>
        <v>0</v>
      </c>
      <c r="Z70" s="265">
        <f>ROUND(N(Z28)+N(Z29)+N(Z30)+N(Z31)+N(Z32)+N(Z33)+N(Z34)+N(Z35)+N(Z36)+N(Z37)+N(Z38)+N(Z39)-N(Z67),-2)</f>
        <v>0</v>
      </c>
      <c r="AA70" s="265">
        <f>ROUND(N(AA28)+N(AA29)+N(AA30)+N(AA31)+N(AA32)+N(AA33)+N(AA34)+N(AA35)+N(AA36)+N(AA37)+N(AA38)+N(AA39)-N(AA67),-2)</f>
        <v>0</v>
      </c>
      <c r="AC70" s="265">
        <f>ROUND(N(AC28)+N(AC29)+N(AC30)+N(AC31)+N(AC32)+N(AC33)+N(AC34)+N(AC35)+N(AC36)+N(AC37)+N(AC38)+N(AC39)-N(AC67),-2)</f>
        <v>0</v>
      </c>
      <c r="AD70" s="265">
        <f>ROUND(N(AD28)+N(AD29)+N(AD30)+N(AD31)+N(AD32)+N(AD33)+N(AD34)+N(AD35)+N(AD36)+N(AD37)+N(AD38)+N(AD39)-N(AD67),-2)</f>
        <v>0</v>
      </c>
    </row>
    <row r="71">
      <c r="A71" t="inlineStr">
        <is>
          <t>CHECK: passivo + PL (contas) - passivo + PL total · derivada · unid. moeda</t>
        </is>
      </c>
      <c r="C71" t="inlineStr">
        <is>
          <t>[linha bruta, sem código; lançada nas linhas abaixo]</t>
        </is>
      </c>
      <c r="D71" s="265">
        <f>ROUND(N(D40)+N(D41)+N(D42)+N(D43)+N(D44)+N(D45)+N(D46)+N(D47)+N(D48)+N(D49)+N(D50)+N(D51)+N(D52)+N(D53)-N(D68),-2)</f>
        <v>0</v>
      </c>
      <c r="E71" s="265">
        <f>ROUND(N(E40)+N(E41)+N(E42)+N(E43)+N(E44)+N(E45)+N(E46)+N(E47)+N(E48)+N(E49)+N(E50)+N(E51)+N(E52)+N(E53)-N(E68),-2)</f>
        <v>0</v>
      </c>
      <c r="F71" s="265">
        <f>ROUND(N(F40)+N(F41)+N(F42)+N(F43)+N(F44)+N(F45)+N(F46)+N(F47)+N(F48)+N(F49)+N(F50)+N(F51)+N(F52)+N(F53)-N(F68),-2)</f>
        <v>0</v>
      </c>
      <c r="G71" s="265">
        <f>ROUND(N(G40)+N(G41)+N(G42)+N(G43)+N(G44)+N(G45)+N(G46)+N(G47)+N(G48)+N(G49)+N(G50)+N(G51)+N(G52)+N(G53)-N(G68),-2)</f>
        <v>0</v>
      </c>
      <c r="I71" s="265">
        <f>ROUND(N(I40)+N(I41)+N(I42)+N(I43)+N(I44)+N(I45)+N(I46)+N(I47)+N(I48)+N(I49)+N(I50)+N(I51)+N(I52)+N(I53)-N(I68),-2)</f>
        <v>0</v>
      </c>
      <c r="J71" s="265">
        <f>ROUND(N(J40)+N(J41)+N(J42)+N(J43)+N(J44)+N(J45)+N(J46)+N(J47)+N(J48)+N(J49)+N(J50)+N(J51)+N(J52)+N(J53)-N(J68),-2)</f>
        <v>0</v>
      </c>
      <c r="K71" s="265">
        <f>ROUND(N(K40)+N(K41)+N(K42)+N(K43)+N(K44)+N(K45)+N(K46)+N(K47)+N(K48)+N(K49)+N(K50)+N(K51)+N(K52)+N(K53)-N(K68),-2)</f>
        <v>0</v>
      </c>
      <c r="L71" s="265">
        <f>ROUND(N(L40)+N(L41)+N(L42)+N(L43)+N(L44)+N(L45)+N(L46)+N(L47)+N(L48)+N(L49)+N(L50)+N(L51)+N(L52)+N(L53)-N(L68),-2)</f>
        <v>0</v>
      </c>
      <c r="N71" s="265">
        <f>ROUND(N(N40)+N(N41)+N(N42)+N(N43)+N(N44)+N(N45)+N(N46)+N(N47)+N(N48)+N(N49)+N(N50)+N(N51)+N(N52)+N(N53)-N(N68),-2)</f>
        <v>0</v>
      </c>
      <c r="O71" s="265">
        <f>ROUND(N(O40)+N(O41)+N(O42)+N(O43)+N(O44)+N(O45)+N(O46)+N(O47)+N(O48)+N(O49)+N(O50)+N(O51)+N(O52)+N(O53)-N(O68),-2)</f>
        <v>0</v>
      </c>
      <c r="P71" s="265">
        <f>ROUND(N(P40)+N(P41)+N(P42)+N(P43)+N(P44)+N(P45)+N(P46)+N(P47)+N(P48)+N(P49)+N(P50)+N(P51)+N(P52)+N(P53)-N(P68),-2)</f>
        <v>0</v>
      </c>
      <c r="Q71" s="265">
        <f>ROUND(N(Q40)+N(Q41)+N(Q42)+N(Q43)+N(Q44)+N(Q45)+N(Q46)+N(Q47)+N(Q48)+N(Q49)+N(Q50)+N(Q51)+N(Q52)+N(Q53)-N(Q68),-2)</f>
        <v>0</v>
      </c>
      <c r="S71" s="265">
        <f>ROUND(N(S40)+N(S41)+N(S42)+N(S43)+N(S44)+N(S45)+N(S46)+N(S47)+N(S48)+N(S49)+N(S50)+N(S51)+N(S52)+N(S53)-N(S68),-2)</f>
        <v>0</v>
      </c>
      <c r="T71" s="265">
        <f>ROUND(N(T40)+N(T41)+N(T42)+N(T43)+N(T44)+N(T45)+N(T46)+N(T47)+N(T48)+N(T49)+N(T50)+N(T51)+N(T52)+N(T53)-N(T68),-2)</f>
        <v>0</v>
      </c>
      <c r="U71" s="265">
        <f>ROUND(N(U40)+N(U41)+N(U42)+N(U43)+N(U44)+N(U45)+N(U46)+N(U47)+N(U48)+N(U49)+N(U50)+N(U51)+N(U52)+N(U53)-N(U68),-2)</f>
        <v>0</v>
      </c>
      <c r="V71" s="265">
        <f>ROUND(N(V40)+N(V41)+N(V42)+N(V43)+N(V44)+N(V45)+N(V46)+N(V47)+N(V48)+N(V49)+N(V50)+N(V51)+N(V52)+N(V53)-N(V68),-2)</f>
        <v>0</v>
      </c>
      <c r="X71" s="265">
        <f>ROUND(N(X40)+N(X41)+N(X42)+N(X43)+N(X44)+N(X45)+N(X46)+N(X47)+N(X48)+N(X49)+N(X50)+N(X51)+N(X52)+N(X53)-N(X68),-2)</f>
        <v>0</v>
      </c>
      <c r="Y71" s="265">
        <f>ROUND(N(Y40)+N(Y41)+N(Y42)+N(Y43)+N(Y44)+N(Y45)+N(Y46)+N(Y47)+N(Y48)+N(Y49)+N(Y50)+N(Y51)+N(Y52)+N(Y53)-N(Y68),-2)</f>
        <v>0</v>
      </c>
      <c r="Z71" s="265">
        <f>ROUND(N(Z40)+N(Z41)+N(Z42)+N(Z43)+N(Z44)+N(Z45)+N(Z46)+N(Z47)+N(Z48)+N(Z49)+N(Z50)+N(Z51)+N(Z52)+N(Z53)-N(Z68),-2)</f>
        <v>0</v>
      </c>
      <c r="AA71" s="265">
        <f>ROUND(N(AA40)+N(AA41)+N(AA42)+N(AA43)+N(AA44)+N(AA45)+N(AA46)+N(AA47)+N(AA48)+N(AA49)+N(AA50)+N(AA51)+N(AA52)+N(AA53)-N(AA68),-2)</f>
        <v>0</v>
      </c>
      <c r="AC71" s="265">
        <f>ROUND(N(AC40)+N(AC41)+N(AC42)+N(AC43)+N(AC44)+N(AC45)+N(AC46)+N(AC47)+N(AC48)+N(AC49)+N(AC50)+N(AC51)+N(AC52)+N(AC53)-N(AC68),-2)</f>
        <v>0</v>
      </c>
      <c r="AD71" s="265">
        <f>ROUND(N(AD40)+N(AD41)+N(AD42)+N(AD43)+N(AD44)+N(AD45)+N(AD46)+N(AD47)+N(AD48)+N(AD49)+N(AD50)+N(AD51)+N(AD52)+N(AD53)-N(AD68),-2)</f>
        <v>0</v>
      </c>
    </row>
    <row r="72">
      <c r="A72" t="inlineStr">
        <is>
          <t>CHECK: receita - custo - despesas + não operacional - IR - minoritários + outros após IR - lucro (deve ser 0) · derivada</t>
        </is>
      </c>
      <c r="C72" t="inlineStr">
        <is>
          <t>[linha bruta, sem código; lançada nas linhas abaixo]</t>
        </is>
      </c>
      <c r="D72" s="265">
        <f>ROUND(N(D5)-N(D6)-N(D9)+N(D12)-N(D16)+N(D19)-N(D20),-2)</f>
        <v>0</v>
      </c>
      <c r="E72" s="265">
        <f>ROUND(N(E5)-N(E6)-N(E9)+N(E12)-N(E16)+N(E19)-N(E20),-2)</f>
        <v>0</v>
      </c>
      <c r="F72" s="265">
        <f>ROUND(N(F5)-N(F6)-N(F9)+N(F12)-N(F16)+N(F19)-N(F20),-2)</f>
        <v>0</v>
      </c>
      <c r="G72" s="265">
        <f>ROUND(N(G5)-N(G6)-N(G9)+N(G12)-N(G16)+N(G19)-N(G20),-2)</f>
        <v>0</v>
      </c>
      <c r="I72" s="265">
        <f>ROUND(N(I5)-N(I6)-N(I9)+N(I12)-N(I16)+N(I19)-N(I20),-2)</f>
        <v>0</v>
      </c>
      <c r="J72" s="265">
        <f>ROUND(N(J5)-N(J6)-N(J9)+N(J12)-N(J16)+N(J19)-N(J20),-2)</f>
        <v>0</v>
      </c>
      <c r="K72" s="265">
        <f>ROUND(N(K5)-N(K6)-N(K9)+N(K12)-N(K16)+N(K19)-N(K20),-2)</f>
        <v>0</v>
      </c>
      <c r="L72" s="265">
        <f>ROUND(N(L5)-N(L6)-N(L9)+N(L12)-N(L16)+N(L19)-N(L20),-2)</f>
        <v>0</v>
      </c>
      <c r="N72" s="265">
        <f>ROUND(N(N5)-N(N6)-N(N9)+N(N12)-N(N16)+N(N19)-N(N20),-2)</f>
        <v>0</v>
      </c>
      <c r="O72" s="265">
        <f>ROUND(N(O5)-N(O6)-N(O9)+N(O12)-N(O16)+N(O19)-N(O20),-2)</f>
        <v>0</v>
      </c>
      <c r="P72" s="265">
        <f>ROUND(N(P5)-N(P6)-N(P9)+N(P12)-N(P16)+N(P19)-N(P20),-2)</f>
        <v>0</v>
      </c>
      <c r="Q72" s="265">
        <f>ROUND(N(Q5)-N(Q6)-N(Q9)+N(Q12)-N(Q16)+N(Q19)-N(Q20),-2)</f>
        <v>0</v>
      </c>
      <c r="S72" s="265">
        <f>ROUND(N(S5)-N(S6)-N(S9)+N(S12)-N(S16)+N(S19)-N(S20),-2)</f>
        <v>0</v>
      </c>
      <c r="T72" s="265">
        <f>ROUND(N(T5)-N(T6)-N(T9)+N(T12)-N(T16)+N(T19)-N(T20),-2)</f>
        <v>0</v>
      </c>
      <c r="U72" s="265">
        <f>ROUND(N(U5)-N(U6)-N(U9)+N(U12)-N(U16)+N(U19)-N(U20),-2)</f>
        <v>0</v>
      </c>
      <c r="V72" s="265">
        <f>ROUND(N(V5)-N(V6)-N(V9)+N(V12)-N(V16)+N(V19)-N(V20),-2)</f>
        <v>0</v>
      </c>
      <c r="X72" s="265">
        <f>ROUND(N(X5)-N(X6)-N(X9)+N(X12)-N(X16)+N(X19)-N(X20),-2)</f>
        <v>0</v>
      </c>
      <c r="Y72" s="265">
        <f>ROUND(N(Y5)-N(Y6)-N(Y9)+N(Y12)-N(Y16)+N(Y19)-N(Y20),-2)</f>
        <v>0</v>
      </c>
      <c r="Z72" s="265">
        <f>ROUND(N(Z5)-N(Z6)-N(Z9)+N(Z12)-N(Z16)+N(Z19)-N(Z20),-2)</f>
        <v>0</v>
      </c>
      <c r="AA72" s="265">
        <f>ROUND(N(AA5)-N(AA6)-N(AA9)+N(AA12)-N(AA16)+N(AA19)-N(AA20),-2)</f>
        <v>0</v>
      </c>
      <c r="AC72" s="265">
        <f>ROUND(N(AC5)-N(AC6)-N(AC9)+N(AC12)-N(AC16)+N(AC19)-N(AC20),-2)</f>
        <v>0</v>
      </c>
      <c r="AD72" s="265">
        <f>ROUND(N(AD5)-N(AD6)-N(AD9)+N(AD12)-N(AD16)+N(AD19)-N(AD20),-2)</f>
        <v>0</v>
      </c>
    </row>
    <row r="73">
      <c r="D73" s="265" t="n"/>
      <c r="E73" s="265" t="n"/>
      <c r="F73" s="265" t="n"/>
      <c r="G73" s="265" t="n"/>
      <c r="I73" s="265" t="n"/>
      <c r="J73" s="265" t="n"/>
      <c r="K73" s="265" t="n"/>
      <c r="L73" s="265" t="n"/>
      <c r="N73" s="265" t="n"/>
      <c r="O73" s="265" t="n"/>
      <c r="P73" s="265" t="n"/>
      <c r="Q73" s="265" t="n"/>
      <c r="S73" s="265" t="n"/>
      <c r="T73" s="265" t="n"/>
      <c r="U73" s="265" t="n"/>
      <c r="V73" s="265" t="n"/>
      <c r="X73" s="265" t="n"/>
      <c r="Y73" s="265" t="n"/>
      <c r="Z73" s="265" t="n"/>
      <c r="AA73" s="265" t="n"/>
      <c r="AC73" s="265" t="n"/>
      <c r="AD73" s="265" t="n"/>
    </row>
    <row r="74">
      <c r="A74" t="inlineStr">
        <is>
          <t>DRIVERS DE RECEITA (codigos 45+): segmentos Aeronautics, Missiles &amp; Fire Control, Rotary &amp; Mission Systems e Space (receita e lucro operacional), produtos x serviços - SEC XBRL (USD, fator 0,000001).</t>
        </is>
      </c>
      <c r="C74" t="inlineStr">
        <is>
          <t>[linha bruta, sem código; lançada nas linhas abaixo]</t>
        </is>
      </c>
      <c r="D74" s="265" t="n"/>
      <c r="E74" s="265" t="n"/>
      <c r="F74" s="265" t="n"/>
      <c r="G74" s="265" t="n"/>
      <c r="I74" s="265" t="n"/>
      <c r="J74" s="265" t="n"/>
      <c r="K74" s="265" t="n"/>
      <c r="L74" s="265" t="n"/>
      <c r="N74" s="265" t="n"/>
      <c r="O74" s="265" t="n"/>
      <c r="P74" s="265" t="n"/>
      <c r="Q74" s="265" t="n"/>
      <c r="S74" s="265" t="n"/>
      <c r="T74" s="265" t="n"/>
      <c r="U74" s="265" t="n"/>
      <c r="V74" s="265" t="n"/>
      <c r="X74" s="265" t="n"/>
      <c r="Y74" s="265" t="n"/>
      <c r="Z74" s="265" t="n"/>
      <c r="AA74" s="265" t="n"/>
      <c r="AC74" s="265" t="n"/>
      <c r="AD74" s="265" t="n"/>
    </row>
    <row r="75">
      <c r="A75" t="inlineStr">
        <is>
          <t>Aeronautics - receita (USD) · fonte · unid. moeda</t>
        </is>
      </c>
      <c r="B75" t="n">
        <v>45</v>
      </c>
      <c r="C75" t="inlineStr">
        <is>
          <t>Aeronautics - receita (USD)</t>
        </is>
      </c>
      <c r="D75" s="265" t="n">
        <v>6387000</v>
      </c>
      <c r="E75" s="265" t="n">
        <v>6666000</v>
      </c>
      <c r="F75" s="265" t="n">
        <v>6568000</v>
      </c>
      <c r="G75" s="265" t="n">
        <v>7127000</v>
      </c>
      <c r="I75" s="265" t="n">
        <v>6401000</v>
      </c>
      <c r="J75" s="265" t="n">
        <v>5862000</v>
      </c>
      <c r="K75" s="265" t="n">
        <v>7089000</v>
      </c>
      <c r="L75" s="265" t="n">
        <v>7635000</v>
      </c>
      <c r="N75" s="265" t="n">
        <v>6269000</v>
      </c>
      <c r="O75" s="265" t="n">
        <v>6875000</v>
      </c>
      <c r="P75" s="265" t="n">
        <v>6717000</v>
      </c>
      <c r="Q75" s="265" t="n">
        <v>7613000</v>
      </c>
      <c r="S75" s="265" t="n">
        <v>6845000</v>
      </c>
      <c r="T75" s="265" t="n">
        <v>7277000</v>
      </c>
      <c r="U75" s="265" t="n">
        <v>6487000</v>
      </c>
      <c r="V75" s="265" t="n">
        <v>8009000</v>
      </c>
      <c r="X75" s="265" t="n">
        <v>7057000</v>
      </c>
      <c r="Y75" s="265" t="n">
        <v>7420000</v>
      </c>
      <c r="Z75" s="265" t="n">
        <v>7256000</v>
      </c>
      <c r="AA75" s="265" t="n">
        <v>8524000</v>
      </c>
      <c r="AC75" s="265" t="n">
        <v>6953000</v>
      </c>
      <c r="AD75" s="265" t="n">
        <v>8112000</v>
      </c>
    </row>
    <row r="76">
      <c r="A76" t="inlineStr">
        <is>
          <t>Aeronautics - lucro do segmento (USD) · fonte · unid. moeda</t>
        </is>
      </c>
      <c r="B76" t="n">
        <v>46</v>
      </c>
      <c r="C76" t="inlineStr">
        <is>
          <t>Aeronautics - lucro do segmento (USD)</t>
        </is>
      </c>
      <c r="D76" s="265" t="n">
        <v>693000</v>
      </c>
      <c r="E76" s="265" t="n">
        <v>572000</v>
      </c>
      <c r="F76" s="265" t="n">
        <v>714000</v>
      </c>
      <c r="G76" s="265" t="n">
        <v>820000</v>
      </c>
      <c r="I76" s="265" t="n">
        <v>679000</v>
      </c>
      <c r="J76" s="265" t="n">
        <v>613000</v>
      </c>
      <c r="K76" s="265" t="n">
        <v>759000</v>
      </c>
      <c r="L76" s="265" t="n">
        <v>816000</v>
      </c>
      <c r="N76" s="265" t="n">
        <v>675000</v>
      </c>
      <c r="O76" s="265" t="n">
        <v>718000</v>
      </c>
      <c r="P76" s="265" t="n">
        <v>671000</v>
      </c>
      <c r="Q76" s="265" t="n">
        <v>761000</v>
      </c>
      <c r="S76" s="265" t="n">
        <v>679000</v>
      </c>
      <c r="T76" s="265" t="n">
        <v>751000</v>
      </c>
      <c r="U76" s="265" t="n">
        <v>659000</v>
      </c>
      <c r="V76" s="265" t="n">
        <v>434000</v>
      </c>
      <c r="X76" s="265" t="n">
        <v>720000</v>
      </c>
      <c r="Y76" s="265" t="n">
        <v>-98000</v>
      </c>
      <c r="Z76" s="265" t="n">
        <v>682000</v>
      </c>
      <c r="AA76" s="265" t="n">
        <v>782000</v>
      </c>
      <c r="AC76" s="265" t="n">
        <v>619000</v>
      </c>
      <c r="AD76" s="265" t="n">
        <v>760000</v>
      </c>
    </row>
    <row r="77">
      <c r="A77" t="inlineStr">
        <is>
          <t>Missiles and Fire Control - receita (USD) · fonte · unid. moeda</t>
        </is>
      </c>
      <c r="B77" t="n">
        <v>47</v>
      </c>
      <c r="C77" t="inlineStr">
        <is>
          <t>Missiles and Fire Control - receita (USD)</t>
        </is>
      </c>
      <c r="D77" s="265" t="n">
        <v>2749000</v>
      </c>
      <c r="E77" s="265" t="n">
        <v>2944000</v>
      </c>
      <c r="F77" s="265" t="n">
        <v>2781000</v>
      </c>
      <c r="G77" s="265" t="n">
        <v>3219000</v>
      </c>
      <c r="I77" s="265" t="n">
        <v>2452000</v>
      </c>
      <c r="J77" s="265" t="n">
        <v>2747000</v>
      </c>
      <c r="K77" s="265" t="n">
        <v>2831000</v>
      </c>
      <c r="L77" s="265" t="n">
        <v>3287000</v>
      </c>
      <c r="N77" s="265" t="n">
        <v>2388000</v>
      </c>
      <c r="O77" s="265" t="n">
        <v>2755000</v>
      </c>
      <c r="P77" s="265" t="n">
        <v>2939000</v>
      </c>
      <c r="Q77" s="265" t="n">
        <v>3171000</v>
      </c>
      <c r="S77" s="265" t="n">
        <v>2993000</v>
      </c>
      <c r="T77" s="265" t="n">
        <v>3102000</v>
      </c>
      <c r="U77" s="265" t="n">
        <v>3175000</v>
      </c>
      <c r="V77" s="265" t="n">
        <v>3412000</v>
      </c>
      <c r="X77" s="265" t="n">
        <v>3373000</v>
      </c>
      <c r="Y77" s="265" t="n">
        <v>3433000</v>
      </c>
      <c r="Z77" s="265" t="n">
        <v>3624000</v>
      </c>
      <c r="AA77" s="265" t="n">
        <v>4020000</v>
      </c>
      <c r="AC77" s="265" t="n">
        <v>3649000</v>
      </c>
      <c r="AD77" s="265" t="n">
        <v>4101000</v>
      </c>
    </row>
    <row r="78">
      <c r="A78" t="inlineStr">
        <is>
          <t>Missiles and Fire Control - lucro do segmento (USD) · fonte · unid. moeda</t>
        </is>
      </c>
      <c r="B78" t="n">
        <v>48</v>
      </c>
      <c r="C78" t="inlineStr">
        <is>
          <t>Missiles and Fire Control - lucro do segmento (USD)</t>
        </is>
      </c>
      <c r="D78" s="265" t="n">
        <v>396000</v>
      </c>
      <c r="E78" s="265" t="n">
        <v>401000</v>
      </c>
      <c r="F78" s="265" t="n">
        <v>413000</v>
      </c>
      <c r="G78" s="265" t="n">
        <v>438000</v>
      </c>
      <c r="I78" s="265" t="n">
        <v>385000</v>
      </c>
      <c r="J78" s="265" t="n">
        <v>418000</v>
      </c>
      <c r="K78" s="265" t="n">
        <v>383000</v>
      </c>
      <c r="L78" s="265" t="n">
        <v>451000</v>
      </c>
      <c r="N78" s="265" t="n">
        <v>377000</v>
      </c>
      <c r="O78" s="265" t="n">
        <v>371000</v>
      </c>
      <c r="P78" s="265" t="n">
        <v>398000</v>
      </c>
      <c r="Q78" s="265" t="n">
        <v>395000</v>
      </c>
      <c r="S78" s="265" t="n">
        <v>311000</v>
      </c>
      <c r="T78" s="265" t="n">
        <v>450000</v>
      </c>
      <c r="U78" s="265" t="n">
        <v>456000</v>
      </c>
      <c r="V78" s="265" t="n">
        <v>-804000</v>
      </c>
      <c r="X78" s="265" t="n">
        <v>465000</v>
      </c>
      <c r="Y78" s="265" t="n">
        <v>479000</v>
      </c>
      <c r="Z78" s="265" t="n">
        <v>510000</v>
      </c>
      <c r="AA78" s="265" t="n">
        <v>535000</v>
      </c>
      <c r="AC78" s="265" t="n">
        <v>500000</v>
      </c>
      <c r="AD78" s="265" t="n">
        <v>594000</v>
      </c>
    </row>
    <row r="79">
      <c r="A79" t="inlineStr">
        <is>
          <t>Rotary and Mission Systems - receita (USD) · fonte · unid. moeda</t>
        </is>
      </c>
      <c r="B79" t="n">
        <v>49</v>
      </c>
      <c r="C79" t="inlineStr">
        <is>
          <t>Rotary and Mission Systems - receita (USD)</t>
        </is>
      </c>
      <c r="D79" s="265" t="n">
        <v>4107000</v>
      </c>
      <c r="E79" s="265" t="n">
        <v>4242000</v>
      </c>
      <c r="F79" s="265" t="n">
        <v>3980000</v>
      </c>
      <c r="G79" s="265" t="n">
        <v>4460000</v>
      </c>
      <c r="I79" s="265" t="n">
        <v>3552000</v>
      </c>
      <c r="J79" s="265" t="n">
        <v>4012000</v>
      </c>
      <c r="K79" s="265" t="n">
        <v>3781000</v>
      </c>
      <c r="L79" s="265" t="n">
        <v>4803000</v>
      </c>
      <c r="N79" s="265" t="n">
        <v>3510000</v>
      </c>
      <c r="O79" s="265" t="n">
        <v>3897000</v>
      </c>
      <c r="P79" s="265" t="n">
        <v>4121000</v>
      </c>
      <c r="Q79" s="265" t="n">
        <v>4711000</v>
      </c>
      <c r="S79" s="265" t="n">
        <v>4088000</v>
      </c>
      <c r="T79" s="265" t="n">
        <v>4548000</v>
      </c>
      <c r="U79" s="265" t="n">
        <v>4367000</v>
      </c>
      <c r="V79" s="265" t="n">
        <v>4261000</v>
      </c>
      <c r="X79" s="265" t="n">
        <v>4328000</v>
      </c>
      <c r="Y79" s="265" t="n">
        <v>3995000</v>
      </c>
      <c r="Z79" s="265" t="n">
        <v>4373000</v>
      </c>
      <c r="AA79" s="265" t="n">
        <v>4616000</v>
      </c>
      <c r="AC79" s="265" t="n">
        <v>3991000</v>
      </c>
      <c r="AD79" s="265" t="n">
        <v>4354000</v>
      </c>
    </row>
    <row r="80">
      <c r="A80" t="inlineStr">
        <is>
          <t>Rotary and Mission Systems - lucro do segmento (USD) · fonte · unid. moeda</t>
        </is>
      </c>
      <c r="B80" t="n">
        <v>50</v>
      </c>
      <c r="C80" t="inlineStr">
        <is>
          <t>Rotary and Mission Systems - lucro do segmento (USD)</t>
        </is>
      </c>
      <c r="D80" s="265" t="n">
        <v>433000</v>
      </c>
      <c r="E80" s="265" t="n">
        <v>458000</v>
      </c>
      <c r="F80" s="265" t="n">
        <v>459000</v>
      </c>
      <c r="G80" s="265" t="n">
        <v>448000</v>
      </c>
      <c r="I80" s="265" t="n">
        <v>406000</v>
      </c>
      <c r="J80" s="265" t="n">
        <v>461000</v>
      </c>
      <c r="K80" s="265" t="n">
        <v>472000</v>
      </c>
      <c r="L80" s="265" t="n">
        <v>508000</v>
      </c>
      <c r="N80" s="265" t="n">
        <v>350000</v>
      </c>
      <c r="O80" s="265" t="n">
        <v>454000</v>
      </c>
      <c r="P80" s="265" t="n">
        <v>482000</v>
      </c>
      <c r="Q80" s="265" t="n">
        <v>579000</v>
      </c>
      <c r="S80" s="265" t="n">
        <v>430000</v>
      </c>
      <c r="T80" s="265" t="n">
        <v>495000</v>
      </c>
      <c r="U80" s="265" t="n">
        <v>483000</v>
      </c>
      <c r="V80" s="265" t="n">
        <v>513000</v>
      </c>
      <c r="X80" s="265" t="n">
        <v>521000</v>
      </c>
      <c r="Y80" s="265" t="n">
        <v>-172000</v>
      </c>
      <c r="Z80" s="265" t="n">
        <v>506000</v>
      </c>
      <c r="AA80" s="265" t="n">
        <v>468000</v>
      </c>
      <c r="AC80" s="265" t="n">
        <v>423000</v>
      </c>
      <c r="AD80" s="265" t="n">
        <v>437000</v>
      </c>
    </row>
    <row r="81">
      <c r="A81" t="inlineStr">
        <is>
          <t>Space - receita (USD) · fonte · unid. moeda</t>
        </is>
      </c>
      <c r="B81" t="n">
        <v>51</v>
      </c>
      <c r="C81" t="inlineStr">
        <is>
          <t>Space - receita (USD)</t>
        </is>
      </c>
      <c r="D81" s="265" t="n">
        <v>3015000</v>
      </c>
      <c r="E81" s="265" t="n">
        <v>3177000</v>
      </c>
      <c r="F81" s="265" t="n">
        <v>2699000</v>
      </c>
      <c r="G81" s="265" t="n">
        <v>2923000</v>
      </c>
      <c r="I81" s="265" t="n">
        <v>2559000</v>
      </c>
      <c r="J81" s="265" t="n">
        <v>2825000</v>
      </c>
      <c r="K81" s="265" t="n">
        <v>2882000</v>
      </c>
      <c r="L81" s="265" t="n">
        <v>3266000</v>
      </c>
      <c r="N81" s="265" t="n">
        <v>2959000</v>
      </c>
      <c r="O81" s="265" t="n">
        <v>3166000</v>
      </c>
      <c r="P81" s="265" t="n">
        <v>3101000</v>
      </c>
      <c r="Q81" s="265" t="n">
        <v>3379000</v>
      </c>
      <c r="S81" s="265" t="n">
        <v>3269000</v>
      </c>
      <c r="T81" s="265" t="n">
        <v>3195000</v>
      </c>
      <c r="U81" s="265" t="n">
        <v>3075000</v>
      </c>
      <c r="V81" s="265" t="n">
        <v>2940000</v>
      </c>
      <c r="X81" s="265" t="n">
        <v>3205000</v>
      </c>
      <c r="Y81" s="265" t="n">
        <v>3307000</v>
      </c>
      <c r="Z81" s="265" t="n">
        <v>3356000</v>
      </c>
      <c r="AA81" s="265" t="n">
        <v>3161000</v>
      </c>
      <c r="AC81" s="265" t="n">
        <v>3428000</v>
      </c>
      <c r="AD81" s="265" t="n">
        <v>3496000</v>
      </c>
    </row>
    <row r="82">
      <c r="A82" t="inlineStr">
        <is>
          <t>Space - lucro do segmento (USD) · fonte · unid. moeda</t>
        </is>
      </c>
      <c r="B82" t="n">
        <v>52</v>
      </c>
      <c r="C82" t="inlineStr">
        <is>
          <t>Space - lucro do segmento (USD)</t>
        </is>
      </c>
      <c r="D82" s="265" t="n">
        <v>227000</v>
      </c>
      <c r="E82" s="265" t="n">
        <v>335000</v>
      </c>
      <c r="F82" s="265" t="n">
        <v>264000</v>
      </c>
      <c r="G82" s="265" t="n">
        <v>308000</v>
      </c>
      <c r="I82" s="265" t="n">
        <v>248000</v>
      </c>
      <c r="J82" s="265" t="n">
        <v>271000</v>
      </c>
      <c r="K82" s="265" t="n">
        <v>304000</v>
      </c>
      <c r="L82" s="265" t="n">
        <v>231000</v>
      </c>
      <c r="N82" s="265" t="n">
        <v>280000</v>
      </c>
      <c r="O82" s="265" t="n">
        <v>312000</v>
      </c>
      <c r="P82" s="265" t="n">
        <v>259000</v>
      </c>
      <c r="Q82" s="265" t="n">
        <v>307000</v>
      </c>
      <c r="S82" s="265" t="n">
        <v>325000</v>
      </c>
      <c r="T82" s="265" t="n">
        <v>346000</v>
      </c>
      <c r="U82" s="265" t="n">
        <v>272000</v>
      </c>
      <c r="V82" s="265" t="n">
        <v>283000</v>
      </c>
      <c r="X82" s="265" t="n">
        <v>379000</v>
      </c>
      <c r="Y82" s="265" t="n">
        <v>362000</v>
      </c>
      <c r="Z82" s="265" t="n">
        <v>331000</v>
      </c>
      <c r="AA82" s="265" t="n">
        <v>273000</v>
      </c>
      <c r="AC82" s="265" t="n">
        <v>281000</v>
      </c>
      <c r="AD82" s="265" t="n">
        <v>371000</v>
      </c>
    </row>
    <row r="83">
      <c r="A83" t="inlineStr">
        <is>
          <t>Receita de produtos (USD) · fonte · unid. moeda</t>
        </is>
      </c>
      <c r="B83" t="n">
        <v>53</v>
      </c>
      <c r="C83" t="inlineStr">
        <is>
          <t>Receita de produtos (USD)</t>
        </is>
      </c>
      <c r="D83" s="265" t="n">
        <v>13753000</v>
      </c>
      <c r="E83" s="265" t="n">
        <v>14258000</v>
      </c>
      <c r="F83" s="265" t="n">
        <v>13475000</v>
      </c>
      <c r="G83" s="265" t="n">
        <v>14949000</v>
      </c>
      <c r="I83" s="265" t="n">
        <v>12494000</v>
      </c>
      <c r="J83" s="265" t="n">
        <v>12761000</v>
      </c>
      <c r="K83" s="265" t="n">
        <v>14011000</v>
      </c>
      <c r="L83" s="265" t="n">
        <v>16200000</v>
      </c>
      <c r="N83" s="265" t="n">
        <v>12526000</v>
      </c>
      <c r="O83" s="265" t="n">
        <v>13758000</v>
      </c>
      <c r="P83" s="265" t="n">
        <v>14014000</v>
      </c>
      <c r="Q83" s="265" t="n">
        <v>15967000</v>
      </c>
      <c r="S83" s="265" t="n">
        <v>14196000</v>
      </c>
      <c r="T83" s="265" t="n">
        <v>15109000</v>
      </c>
      <c r="U83" s="265" t="n">
        <v>14472000</v>
      </c>
      <c r="V83" s="265" t="n">
        <v>15500000</v>
      </c>
      <c r="X83" s="265" t="n">
        <v>14936000</v>
      </c>
      <c r="Y83" s="265" t="n">
        <v>15149000</v>
      </c>
      <c r="Z83" s="265" t="n">
        <v>15311000</v>
      </c>
      <c r="AA83" s="265" t="n">
        <v>17258000</v>
      </c>
      <c r="AC83" s="265" t="n">
        <v>14831000</v>
      </c>
      <c r="AD83" s="265" t="n">
        <v>16783000</v>
      </c>
    </row>
    <row r="84">
      <c r="A84" t="inlineStr">
        <is>
          <t>Receita de serviços (USD) · fonte · unid. moeda</t>
        </is>
      </c>
      <c r="B84" t="n">
        <v>54</v>
      </c>
      <c r="C84" t="inlineStr">
        <is>
          <t>Receita de serviços (USD)</t>
        </is>
      </c>
      <c r="D84" s="265" t="n">
        <v>2505000</v>
      </c>
      <c r="E84" s="265" t="n">
        <v>2771000</v>
      </c>
      <c r="F84" s="265" t="n">
        <v>2553000</v>
      </c>
      <c r="G84" s="265" t="n">
        <v>2780000</v>
      </c>
      <c r="I84" s="265" t="n">
        <v>2470000</v>
      </c>
      <c r="J84" s="265" t="n">
        <v>2685000</v>
      </c>
      <c r="K84" s="265" t="n">
        <v>2572000</v>
      </c>
      <c r="L84" s="265" t="n">
        <v>2791000</v>
      </c>
      <c r="N84" s="265" t="n">
        <v>2600000</v>
      </c>
      <c r="O84" s="265" t="n">
        <v>2935000</v>
      </c>
      <c r="P84" s="265" t="n">
        <v>2864000</v>
      </c>
      <c r="Q84" s="265" t="n">
        <v>2907000</v>
      </c>
      <c r="S84" s="265" t="n">
        <v>2999000</v>
      </c>
      <c r="T84" s="265" t="n">
        <v>3013000</v>
      </c>
      <c r="U84" s="265" t="n">
        <v>2632000</v>
      </c>
      <c r="V84" s="265" t="n">
        <v>3122000</v>
      </c>
      <c r="X84" s="265" t="n">
        <v>3027000</v>
      </c>
      <c r="Y84" s="265" t="n">
        <v>3006000</v>
      </c>
      <c r="Z84" s="265" t="n">
        <v>3298000</v>
      </c>
      <c r="AA84" s="265" t="n">
        <v>3063000</v>
      </c>
      <c r="AC84" s="265" t="n">
        <v>3190000</v>
      </c>
      <c r="AD84" s="265" t="n">
        <v>3280000</v>
      </c>
    </row>
    <row r="85">
      <c r="A85" t="inlineStr">
        <is>
          <t>Notas: valores dimensionais das instâncias XBRL (receita líquida de vendas entre segmentos).</t>
        </is>
      </c>
      <c r="C85" t="inlineStr">
        <is>
          <t>[linha bruta, sem código; lançada nas linhas abaixo]</t>
        </is>
      </c>
      <c r="D85" s="265" t="n"/>
      <c r="E85" s="265" t="n"/>
      <c r="F85" s="265" t="n"/>
      <c r="G85" s="265" t="n"/>
      <c r="I85" s="265" t="n"/>
      <c r="J85" s="265" t="n"/>
      <c r="K85" s="265" t="n"/>
      <c r="L85" s="265" t="n"/>
      <c r="N85" s="265" t="n"/>
      <c r="O85" s="265" t="n"/>
      <c r="P85" s="265" t="n"/>
      <c r="Q85" s="265" t="n"/>
      <c r="S85" s="265" t="n"/>
      <c r="T85" s="265" t="n"/>
      <c r="U85" s="265" t="n"/>
      <c r="V85" s="265" t="n"/>
      <c r="X85" s="265" t="n"/>
      <c r="Y85" s="265" t="n"/>
      <c r="Z85" s="265" t="n"/>
      <c r="AA85" s="265" t="n"/>
      <c r="AC85" s="265" t="n"/>
      <c r="AD85" s="265" t="n"/>
    </row>
    <row r="87">
      <c r="A87" t="inlineStr">
        <is>
          <t>Linhas de origem: 4 a 85. A Inputs (2) varre as linhas 4 a 150; as linhas 86 a 150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2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Lockheed Martin Corporation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US$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IF(D$3=0,"",SUMIFS(INDEX(Inputs!$D$4:$AG$150,0,MATCH(D$2,Inputs!$D$2:$AG$2,0)),Inputs!$B$4:$B$150,$B4)/1000)</f>
        <v>16258</v>
      </c>
      <c r="E4" s="11">
        <f>IF(E$3=0,"",SUMIFS(INDEX(Inputs!$D$4:$AG$150,0,MATCH(E$2,Inputs!$D$2:$AG$2,0)),Inputs!$B$4:$B$150,$B4)/1000)</f>
        <v>17029</v>
      </c>
      <c r="F4" s="11">
        <f>IF(F$3=0,"",SUMIFS(INDEX(Inputs!$D$4:$AG$150,0,MATCH(F$2,Inputs!$D$2:$AG$2,0)),Inputs!$B$4:$B$150,$B4)/1000)</f>
        <v>16028</v>
      </c>
      <c r="G4" s="11">
        <f>IF(G$3=0,"",SUMIFS(INDEX(Inputs!$D$4:$AG$150,0,MATCH(G$2,Inputs!$D$2:$AG$2,0)),Inputs!$B$4:$B$150,$B4)/1000)</f>
        <v>17729</v>
      </c>
      <c r="H4" s="12">
        <f>IF(COUNT(D4:G4)=4,SUM(D4:G4),"")</f>
        <v>67044</v>
      </c>
      <c r="I4" s="11">
        <f>IF(I$3=0,"",SUMIFS(INDEX(Inputs!$D$4:$AG$150,0,MATCH(I$2,Inputs!$D$2:$AG$2,0)),Inputs!$B$4:$B$150,$B4)/1000)</f>
        <v>14964</v>
      </c>
      <c r="J4" s="11">
        <f>IF(J$3=0,"",SUMIFS(INDEX(Inputs!$D$4:$AG$150,0,MATCH(J$2,Inputs!$D$2:$AG$2,0)),Inputs!$B$4:$B$150,$B4)/1000)</f>
        <v>15446</v>
      </c>
      <c r="K4" s="11">
        <f>IF(K$3=0,"",SUMIFS(INDEX(Inputs!$D$4:$AG$150,0,MATCH(K$2,Inputs!$D$2:$AG$2,0)),Inputs!$B$4:$B$150,$B4)/1000)</f>
        <v>16583</v>
      </c>
      <c r="L4" s="11">
        <f>IF(L$3=0,"",SUMIFS(INDEX(Inputs!$D$4:$AG$150,0,MATCH(L$2,Inputs!$D$2:$AG$2,0)),Inputs!$B$4:$B$150,$B4)/1000)</f>
        <v>18991</v>
      </c>
      <c r="M4" s="12">
        <f>IF(COUNT(I4:L4)=4,SUM(I4:L4),"")</f>
        <v>65984</v>
      </c>
      <c r="N4" s="11">
        <f>IF(N$3=0,"",SUMIFS(INDEX(Inputs!$D$4:$AG$150,0,MATCH(N$2,Inputs!$D$2:$AG$2,0)),Inputs!$B$4:$B$150,$B4)/1000)</f>
        <v>15126</v>
      </c>
      <c r="O4" s="11">
        <f>IF(O$3=0,"",SUMIFS(INDEX(Inputs!$D$4:$AG$150,0,MATCH(O$2,Inputs!$D$2:$AG$2,0)),Inputs!$B$4:$B$150,$B4)/1000)</f>
        <v>16693</v>
      </c>
      <c r="P4" s="11">
        <f>IF(P$3=0,"",SUMIFS(INDEX(Inputs!$D$4:$AG$150,0,MATCH(P$2,Inputs!$D$2:$AG$2,0)),Inputs!$B$4:$B$150,$B4)/1000)</f>
        <v>16878</v>
      </c>
      <c r="Q4" s="11">
        <f>IF(Q$3=0,"",SUMIFS(INDEX(Inputs!$D$4:$AG$150,0,MATCH(Q$2,Inputs!$D$2:$AG$2,0)),Inputs!$B$4:$B$150,$B4)/1000)</f>
        <v>18874</v>
      </c>
      <c r="R4" s="12">
        <f>IF(COUNT(N4:Q4)=4,SUM(N4:Q4),"")</f>
        <v>67571</v>
      </c>
      <c r="S4" s="11">
        <f>IF(S$3=0,"",SUMIFS(INDEX(Inputs!$D$4:$AG$150,0,MATCH(S$2,Inputs!$D$2:$AG$2,0)),Inputs!$B$4:$B$150,$B4)/1000)</f>
        <v>17195</v>
      </c>
      <c r="T4" s="11">
        <f>IF(T$3=0,"",SUMIFS(INDEX(Inputs!$D$4:$AG$150,0,MATCH(T$2,Inputs!$D$2:$AG$2,0)),Inputs!$B$4:$B$150,$B4)/1000)</f>
        <v>18122</v>
      </c>
      <c r="U4" s="11">
        <f>IF(U$3=0,"",SUMIFS(INDEX(Inputs!$D$4:$AG$150,0,MATCH(U$2,Inputs!$D$2:$AG$2,0)),Inputs!$B$4:$B$150,$B4)/1000)</f>
        <v>17104</v>
      </c>
      <c r="V4" s="11">
        <f>IF(V$3=0,"",SUMIFS(INDEX(Inputs!$D$4:$AG$150,0,MATCH(V$2,Inputs!$D$2:$AG$2,0)),Inputs!$B$4:$B$150,$B4)/1000)</f>
        <v>18622</v>
      </c>
      <c r="W4" s="12">
        <f>IF(COUNT(S4:V4)=4,SUM(S4:V4),"")</f>
        <v>71043</v>
      </c>
      <c r="X4" s="11">
        <f>IF(X$3=0,"",SUMIFS(INDEX(Inputs!$D$4:$AG$150,0,MATCH(X$2,Inputs!$D$2:$AG$2,0)),Inputs!$B$4:$B$150,$B4)/1000)</f>
        <v>17963</v>
      </c>
      <c r="Y4" s="11">
        <f>IF(Y$3=0,"",SUMIFS(INDEX(Inputs!$D$4:$AG$150,0,MATCH(Y$2,Inputs!$D$2:$AG$2,0)),Inputs!$B$4:$B$150,$B4)/1000)</f>
        <v>18155</v>
      </c>
      <c r="Z4" s="11">
        <f>IF(Z$3=0,"",SUMIFS(INDEX(Inputs!$D$4:$AG$150,0,MATCH(Z$2,Inputs!$D$2:$AG$2,0)),Inputs!$B$4:$B$150,$B4)/1000)</f>
        <v>18609</v>
      </c>
      <c r="AA4" s="11">
        <f>IF(AA$3=0,"",SUMIFS(INDEX(Inputs!$D$4:$AG$150,0,MATCH(AA$2,Inputs!$D$2:$AG$2,0)),Inputs!$B$4:$B$150,$B4)/1000)</f>
        <v>20321</v>
      </c>
      <c r="AB4" s="12">
        <f>IF(COUNT(X4:AA4)=4,SUM(X4:AA4),"")</f>
        <v>75048</v>
      </c>
      <c r="AC4" s="11">
        <f>IF(AC$3=0,"",SUMIFS(INDEX(Inputs!$D$4:$AG$150,0,MATCH(AC$2,Inputs!$D$2:$AG$2,0)),Inputs!$B$4:$B$150,$B4)/1000)</f>
        <v>18021</v>
      </c>
      <c r="AD4" s="11">
        <f>IF(AD$3=0,"",SUMIFS(INDEX(Inputs!$D$4:$AG$150,0,MATCH(AD$2,Inputs!$D$2:$AG$2,0)),Inputs!$B$4:$B$150,$B4)/1000)</f>
        <v>20063</v>
      </c>
      <c r="AE4" s="11" t="str">
        <f>IF(AE$3=0,"",SUMIFS(INDEX(Inputs!$D$4:$AG$150,0,MATCH(AE$2,Inputs!$D$2:$AG$2,0)),Inputs!$B$4:$B$150,$B4)/1000)</f>
        <v/>
      </c>
      <c r="AF4" s="11" t="str">
        <f>IF(AF$3=0,"",SUMIFS(INDEX(Inputs!$D$4:$AG$150,0,MATCH(AF$2,Inputs!$D$2:$AG$2,0)),Inputs!$B$4:$B$150,$B4)/1000)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IF(D$3=0,"",SUMIFS(INDEX(Inputs!$D$4:$AG$150,0,MATCH(D$2,Inputs!$D$2:$AG$2,0)),Inputs!$B$4:$B$150,$B5)/1000)</f>
        <v>-14072</v>
      </c>
      <c r="E5" s="11">
        <f>IF(E$3=0,"",SUMIFS(INDEX(Inputs!$D$4:$AG$150,0,MATCH(E$2,Inputs!$D$2:$AG$2,0)),Inputs!$B$4:$B$150,$B5)/1000)</f>
        <v>-14878</v>
      </c>
      <c r="F5" s="11">
        <f>IF(F$3=0,"",SUMIFS(INDEX(Inputs!$D$4:$AG$150,0,MATCH(F$2,Inputs!$D$2:$AG$2,0)),Inputs!$B$4:$B$150,$B5)/1000)</f>
        <v>-13726</v>
      </c>
      <c r="G5" s="11">
        <f>IF(G$3=0,"",SUMIFS(INDEX(Inputs!$D$4:$AG$150,0,MATCH(G$2,Inputs!$D$2:$AG$2,0)),Inputs!$B$4:$B$150,$B5)/1000)</f>
        <v>-15307</v>
      </c>
      <c r="H5" s="12">
        <f>IF(COUNT(D5:G5)=4,SUM(D5:G5),"")</f>
        <v>-57983</v>
      </c>
      <c r="I5" s="11">
        <f>IF(I$3=0,"",SUMIFS(INDEX(Inputs!$D$4:$AG$150,0,MATCH(I$2,Inputs!$D$2:$AG$2,0)),Inputs!$B$4:$B$150,$B5)/1000)</f>
        <v>-13055</v>
      </c>
      <c r="J5" s="11">
        <f>IF(J$3=0,"",SUMIFS(INDEX(Inputs!$D$4:$AG$150,0,MATCH(J$2,Inputs!$D$2:$AG$2,0)),Inputs!$B$4:$B$150,$B5)/1000)</f>
        <v>-13490</v>
      </c>
      <c r="K5" s="11">
        <f>IF(K$3=0,"",SUMIFS(INDEX(Inputs!$D$4:$AG$150,0,MATCH(K$2,Inputs!$D$2:$AG$2,0)),Inputs!$B$4:$B$150,$B5)/1000)</f>
        <v>-14463</v>
      </c>
      <c r="L5" s="11">
        <f>IF(L$3=0,"",SUMIFS(INDEX(Inputs!$D$4:$AG$150,0,MATCH(L$2,Inputs!$D$2:$AG$2,0)),Inputs!$B$4:$B$150,$B5)/1000)</f>
        <v>-16689</v>
      </c>
      <c r="M5" s="12">
        <f>IF(COUNT(I5:L5)=4,SUM(I5:L5),"")</f>
        <v>-57697</v>
      </c>
      <c r="N5" s="11">
        <f>IF(N$3=0,"",SUMIFS(INDEX(Inputs!$D$4:$AG$150,0,MATCH(N$2,Inputs!$D$2:$AG$2,0)),Inputs!$B$4:$B$150,$B5)/1000)</f>
        <v>-13080</v>
      </c>
      <c r="O5" s="11">
        <f>IF(O$3=0,"",SUMIFS(INDEX(Inputs!$D$4:$AG$150,0,MATCH(O$2,Inputs!$D$2:$AG$2,0)),Inputs!$B$4:$B$150,$B5)/1000)</f>
        <v>-14603</v>
      </c>
      <c r="P5" s="11">
        <f>IF(P$3=0,"",SUMIFS(INDEX(Inputs!$D$4:$AG$150,0,MATCH(P$2,Inputs!$D$2:$AG$2,0)),Inputs!$B$4:$B$150,$B5)/1000)</f>
        <v>-14830</v>
      </c>
      <c r="Q5" s="11">
        <f>IF(Q$3=0,"",SUMIFS(INDEX(Inputs!$D$4:$AG$150,0,MATCH(Q$2,Inputs!$D$2:$AG$2,0)),Inputs!$B$4:$B$150,$B5)/1000)</f>
        <v>-16579</v>
      </c>
      <c r="R5" s="12">
        <f>IF(COUNT(N5:Q5)=4,SUM(N5:Q5),"")</f>
        <v>-59092</v>
      </c>
      <c r="S5" s="11">
        <f>IF(S$3=0,"",SUMIFS(INDEX(Inputs!$D$4:$AG$150,0,MATCH(S$2,Inputs!$D$2:$AG$2,0)),Inputs!$B$4:$B$150,$B5)/1000)</f>
        <v>-15202</v>
      </c>
      <c r="T5" s="11">
        <f>IF(T$3=0,"",SUMIFS(INDEX(Inputs!$D$4:$AG$150,0,MATCH(T$2,Inputs!$D$2:$AG$2,0)),Inputs!$B$4:$B$150,$B5)/1000)</f>
        <v>-15992</v>
      </c>
      <c r="U5" s="11">
        <f>IF(U$3=0,"",SUMIFS(INDEX(Inputs!$D$4:$AG$150,0,MATCH(U$2,Inputs!$D$2:$AG$2,0)),Inputs!$B$4:$B$150,$B5)/1000)</f>
        <v>-14987</v>
      </c>
      <c r="V5" s="11">
        <f>IF(V$3=0,"",SUMIFS(INDEX(Inputs!$D$4:$AG$150,0,MATCH(V$2,Inputs!$D$2:$AG$2,0)),Inputs!$B$4:$B$150,$B5)/1000)</f>
        <v>-17932</v>
      </c>
      <c r="W5" s="12">
        <f>IF(COUNT(S5:V5)=4,SUM(S5:V5),"")</f>
        <v>-64113</v>
      </c>
      <c r="X5" s="11">
        <f>IF(X$3=0,"",SUMIFS(INDEX(Inputs!$D$4:$AG$150,0,MATCH(X$2,Inputs!$D$2:$AG$2,0)),Inputs!$B$4:$B$150,$B5)/1000)</f>
        <v>-15640</v>
      </c>
      <c r="Y5" s="11">
        <f>IF(Y$3=0,"",SUMIFS(INDEX(Inputs!$D$4:$AG$150,0,MATCH(Y$2,Inputs!$D$2:$AG$2,0)),Inputs!$B$4:$B$150,$B5)/1000)</f>
        <v>-17421</v>
      </c>
      <c r="Z5" s="11">
        <f>IF(Z$3=0,"",SUMIFS(INDEX(Inputs!$D$4:$AG$150,0,MATCH(Z$2,Inputs!$D$2:$AG$2,0)),Inputs!$B$4:$B$150,$B5)/1000)</f>
        <v>-16369</v>
      </c>
      <c r="AA5" s="11">
        <f>IF(AA$3=0,"",SUMIFS(INDEX(Inputs!$D$4:$AG$150,0,MATCH(AA$2,Inputs!$D$2:$AG$2,0)),Inputs!$B$4:$B$150,$B5)/1000)</f>
        <v>-17999</v>
      </c>
      <c r="AB5" s="12">
        <f>IF(COUNT(X5:AA5)=4,SUM(X5:AA5),"")</f>
        <v>-67429</v>
      </c>
      <c r="AC5" s="11">
        <f>IF(AC$3=0,"",SUMIFS(INDEX(Inputs!$D$4:$AG$150,0,MATCH(AC$2,Inputs!$D$2:$AG$2,0)),Inputs!$B$4:$B$150,$B5)/1000)</f>
        <v>-15943</v>
      </c>
      <c r="AD5" s="11">
        <f>IF(AD$3=0,"",SUMIFS(INDEX(Inputs!$D$4:$AG$150,0,MATCH(AD$2,Inputs!$D$2:$AG$2,0)),Inputs!$B$4:$B$150,$B5)/1000)</f>
        <v>-17617</v>
      </c>
      <c r="AE5" s="11" t="str">
        <f>IF(AE$3=0,"",SUMIFS(INDEX(Inputs!$D$4:$AG$150,0,MATCH(AE$2,Inputs!$D$2:$AG$2,0)),Inputs!$B$4:$B$150,$B5)/1000)</f>
        <v/>
      </c>
      <c r="AF5" s="11" t="str">
        <f>IF(AF$3=0,"",SUMIFS(INDEX(Inputs!$D$4:$AG$150,0,MATCH(AF$2,Inputs!$D$2:$AG$2,0)),Inputs!$B$4:$B$150,$B5)/1000)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IF(D$3=0,"",SUMIFS(INDEX(Inputs!$D$4:$AG$150,0,MATCH(D$2,Inputs!$D$2:$AG$2,0)),Inputs!$B$4:$B$150,$B6)/1000)</f>
        <v>332</v>
      </c>
      <c r="E6" s="11">
        <f>IF(E$3=0,"",SUMIFS(INDEX(Inputs!$D$4:$AG$150,0,MATCH(E$2,Inputs!$D$2:$AG$2,0)),Inputs!$B$4:$B$150,$B6)/1000)</f>
        <v>375</v>
      </c>
      <c r="F6" s="11">
        <f>IF(F$3=0,"",SUMIFS(INDEX(Inputs!$D$4:$AG$150,0,MATCH(F$2,Inputs!$D$2:$AG$2,0)),Inputs!$B$4:$B$150,$B6)/1000)</f>
        <v>321</v>
      </c>
      <c r="G6" s="11">
        <f>IF(G$3=0,"",SUMIFS(INDEX(Inputs!$D$4:$AG$150,0,MATCH(G$2,Inputs!$D$2:$AG$2,0)),Inputs!$B$4:$B$150,$B6)/1000)</f>
        <v>398</v>
      </c>
      <c r="H6" s="12">
        <f>IF(COUNT(D6:G6)=4,SUM(D6:G6),"")</f>
        <v>1426</v>
      </c>
      <c r="I6" s="11">
        <f>IF(I$3=0,"",SUMIFS(INDEX(Inputs!$D$4:$AG$150,0,MATCH(I$2,Inputs!$D$2:$AG$2,0)),Inputs!$B$4:$B$150,$B6)/1000)</f>
        <v>353</v>
      </c>
      <c r="J6" s="11">
        <f>IF(J$3=0,"",SUMIFS(INDEX(Inputs!$D$4:$AG$150,0,MATCH(J$2,Inputs!$D$2:$AG$2,0)),Inputs!$B$4:$B$150,$B6)/1000)</f>
        <v>350</v>
      </c>
      <c r="K6" s="11">
        <f>IF(K$3=0,"",SUMIFS(INDEX(Inputs!$D$4:$AG$150,0,MATCH(K$2,Inputs!$D$2:$AG$2,0)),Inputs!$B$4:$B$150,$B6)/1000)</f>
        <v>332</v>
      </c>
      <c r="L6" s="11">
        <f>IF(L$3=0,"",SUMIFS(INDEX(Inputs!$D$4:$AG$150,0,MATCH(L$2,Inputs!$D$2:$AG$2,0)),Inputs!$B$4:$B$150,$B6)/1000)</f>
        <v>430</v>
      </c>
      <c r="M6" s="12">
        <f>IF(COUNT(I6:L6)=4,SUM(I6:L6),"")</f>
        <v>1465</v>
      </c>
      <c r="N6" s="11">
        <f>IF(N$3=0,"",SUMIFS(INDEX(Inputs!$D$4:$AG$150,0,MATCH(N$2,Inputs!$D$2:$AG$2,0)),Inputs!$B$4:$B$150,$B6)/1000)</f>
        <v>316</v>
      </c>
      <c r="O6" s="11">
        <f>IF(O$3=0,"",SUMIFS(INDEX(Inputs!$D$4:$AG$150,0,MATCH(O$2,Inputs!$D$2:$AG$2,0)),Inputs!$B$4:$B$150,$B6)/1000)</f>
        <v>379</v>
      </c>
      <c r="P6" s="11">
        <f>IF(P$3=0,"",SUMIFS(INDEX(Inputs!$D$4:$AG$150,0,MATCH(P$2,Inputs!$D$2:$AG$2,0)),Inputs!$B$4:$B$150,$B6)/1000)</f>
        <v>344</v>
      </c>
      <c r="Q6" s="11">
        <f>IF(Q$3=0,"",SUMIFS(INDEX(Inputs!$D$4:$AG$150,0,MATCH(Q$2,Inputs!$D$2:$AG$2,0)),Inputs!$B$4:$B$150,$B6)/1000)</f>
        <v>419</v>
      </c>
      <c r="R6" s="12">
        <f>IF(COUNT(N6:Q6)=4,SUM(N6:Q6),"")</f>
        <v>1458</v>
      </c>
      <c r="S6" s="11">
        <f>IF(S$3=0,"",SUMIFS(INDEX(Inputs!$D$4:$AG$150,0,MATCH(S$2,Inputs!$D$2:$AG$2,0)),Inputs!$B$4:$B$150,$B6)/1000)</f>
        <v>387</v>
      </c>
      <c r="T6" s="11">
        <f>IF(T$3=0,"",SUMIFS(INDEX(Inputs!$D$4:$AG$150,0,MATCH(T$2,Inputs!$D$2:$AG$2,0)),Inputs!$B$4:$B$150,$B6)/1000)</f>
        <v>377</v>
      </c>
      <c r="U6" s="11">
        <f>IF(U$3=0,"",SUMIFS(INDEX(Inputs!$D$4:$AG$150,0,MATCH(U$2,Inputs!$D$2:$AG$2,0)),Inputs!$B$4:$B$150,$B6)/1000)</f>
        <v>413</v>
      </c>
      <c r="V6" s="11">
        <f>IF(V$3=0,"",SUMIFS(INDEX(Inputs!$D$4:$AG$150,0,MATCH(V$2,Inputs!$D$2:$AG$2,0)),Inputs!$B$4:$B$150,$B6)/1000)</f>
        <v>465</v>
      </c>
      <c r="W6" s="12">
        <f>IF(COUNT(S6:V6)=4,SUM(S6:V6),"")</f>
        <v>1642</v>
      </c>
      <c r="X6" s="11">
        <f>IF(X$3=0,"",SUMIFS(INDEX(Inputs!$D$4:$AG$150,0,MATCH(X$2,Inputs!$D$2:$AG$2,0)),Inputs!$B$4:$B$150,$B6)/1000)</f>
        <v>446</v>
      </c>
      <c r="Y6" s="11">
        <f>IF(Y$3=0,"",SUMIFS(INDEX(Inputs!$D$4:$AG$150,0,MATCH(Y$2,Inputs!$D$2:$AG$2,0)),Inputs!$B$4:$B$150,$B6)/1000)</f>
        <v>413</v>
      </c>
      <c r="Z6" s="11">
        <f>IF(Z$3=0,"",SUMIFS(INDEX(Inputs!$D$4:$AG$150,0,MATCH(Z$2,Inputs!$D$2:$AG$2,0)),Inputs!$B$4:$B$150,$B6)/1000)</f>
        <v>468</v>
      </c>
      <c r="AA6" s="11">
        <f>IF(AA$3=0,"",SUMIFS(INDEX(Inputs!$D$4:$AG$150,0,MATCH(AA$2,Inputs!$D$2:$AG$2,0)),Inputs!$B$4:$B$150,$B6)/1000)</f>
        <v>472</v>
      </c>
      <c r="AB6" s="12">
        <f>IF(COUNT(X6:AA6)=4,SUM(X6:AA6),"")</f>
        <v>1799</v>
      </c>
      <c r="AC6" s="11">
        <f>IF(AC$3=0,"",SUMIFS(INDEX(Inputs!$D$4:$AG$150,0,MATCH(AC$2,Inputs!$D$2:$AG$2,0)),Inputs!$B$4:$B$150,$B6)/1000)</f>
        <v>383</v>
      </c>
      <c r="AD6" s="11">
        <f>IF(AD$3=0,"",SUMIFS(INDEX(Inputs!$D$4:$AG$150,0,MATCH(AD$2,Inputs!$D$2:$AG$2,0)),Inputs!$B$4:$B$150,$B6)/1000)</f>
        <v>433</v>
      </c>
      <c r="AE6" s="11" t="str">
        <f>IF(AE$3=0,"",SUMIFS(INDEX(Inputs!$D$4:$AG$150,0,MATCH(AE$2,Inputs!$D$2:$AG$2,0)),Inputs!$B$4:$B$150,$B6)/1000)</f>
        <v/>
      </c>
      <c r="AF6" s="11" t="str">
        <f>IF(AF$3=0,"",SUMIFS(INDEX(Inputs!$D$4:$AG$150,0,MATCH(AF$2,Inputs!$D$2:$AG$2,0)),Inputs!$B$4:$B$150,$B6)/1000)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IF(D$3=0,"",SUMIFS(INDEX(Inputs!$D$4:$AG$150,0,MATCH(D$2,Inputs!$D$2:$AG$2,0)),Inputs!$B$4:$B$150,$B7)/1000)</f>
        <v>-336</v>
      </c>
      <c r="E7" s="11">
        <f>IF(E$3=0,"",SUMIFS(INDEX(Inputs!$D$4:$AG$150,0,MATCH(E$2,Inputs!$D$2:$AG$2,0)),Inputs!$B$4:$B$150,$B7)/1000)</f>
        <v>-334</v>
      </c>
      <c r="F7" s="11">
        <f>IF(F$3=0,"",SUMIFS(INDEX(Inputs!$D$4:$AG$150,0,MATCH(F$2,Inputs!$D$2:$AG$2,0)),Inputs!$B$4:$B$150,$B7)/1000)</f>
        <v>-329</v>
      </c>
      <c r="G7" s="11">
        <f>IF(G$3=0,"",SUMIFS(INDEX(Inputs!$D$4:$AG$150,0,MATCH(G$2,Inputs!$D$2:$AG$2,0)),Inputs!$B$4:$B$150,$B7)/1000)</f>
        <v>-365</v>
      </c>
      <c r="H7" s="12">
        <f>IF(COUNT(D7:G7)=4,SUM(D7:G7),"")</f>
        <v>-1364</v>
      </c>
      <c r="I7" s="11">
        <f>IF(I$3=0,"",SUMIFS(INDEX(Inputs!$D$4:$AG$150,0,MATCH(I$2,Inputs!$D$2:$AG$2,0)),Inputs!$B$4:$B$150,$B7)/1000)</f>
        <v>-329</v>
      </c>
      <c r="J7" s="11">
        <f>IF(J$3=0,"",SUMIFS(INDEX(Inputs!$D$4:$AG$150,0,MATCH(J$2,Inputs!$D$2:$AG$2,0)),Inputs!$B$4:$B$150,$B7)/1000)</f>
        <v>-343</v>
      </c>
      <c r="K7" s="11">
        <f>IF(K$3=0,"",SUMIFS(INDEX(Inputs!$D$4:$AG$150,0,MATCH(K$2,Inputs!$D$2:$AG$2,0)),Inputs!$B$4:$B$150,$B7)/1000)</f>
        <v>-293</v>
      </c>
      <c r="L7" s="11">
        <f>IF(L$3=0,"",SUMIFS(INDEX(Inputs!$D$4:$AG$150,0,MATCH(L$2,Inputs!$D$2:$AG$2,0)),Inputs!$B$4:$B$150,$B7)/1000)</f>
        <v>-439</v>
      </c>
      <c r="M7" s="12">
        <f>IF(COUNT(I7:L7)=4,SUM(I7:L7),"")</f>
        <v>-1404</v>
      </c>
      <c r="N7" s="11">
        <f>IF(N$3=0,"",SUMIFS(INDEX(Inputs!$D$4:$AG$150,0,MATCH(N$2,Inputs!$D$2:$AG$2,0)),Inputs!$B$4:$B$150,$B7)/1000)</f>
        <v>-325</v>
      </c>
      <c r="O7" s="11">
        <f>IF(O$3=0,"",SUMIFS(INDEX(Inputs!$D$4:$AG$150,0,MATCH(O$2,Inputs!$D$2:$AG$2,0)),Inputs!$B$4:$B$150,$B7)/1000)</f>
        <v>-334</v>
      </c>
      <c r="P7" s="11">
        <f>IF(P$3=0,"",SUMIFS(INDEX(Inputs!$D$4:$AG$150,0,MATCH(P$2,Inputs!$D$2:$AG$2,0)),Inputs!$B$4:$B$150,$B7)/1000)</f>
        <v>-350</v>
      </c>
      <c r="Q7" s="11">
        <f>IF(Q$3=0,"",SUMIFS(INDEX(Inputs!$D$4:$AG$150,0,MATCH(Q$2,Inputs!$D$2:$AG$2,0)),Inputs!$B$4:$B$150,$B7)/1000)</f>
        <v>-421</v>
      </c>
      <c r="R7" s="12">
        <f>IF(COUNT(N7:Q7)=4,SUM(N7:Q7),"")</f>
        <v>-1430</v>
      </c>
      <c r="S7" s="11">
        <f>IF(S$3=0,"",SUMIFS(INDEX(Inputs!$D$4:$AG$150,0,MATCH(S$2,Inputs!$D$2:$AG$2,0)),Inputs!$B$4:$B$150,$B7)/1000)</f>
        <v>-351</v>
      </c>
      <c r="T7" s="11">
        <f>IF(T$3=0,"",SUMIFS(INDEX(Inputs!$D$4:$AG$150,0,MATCH(T$2,Inputs!$D$2:$AG$2,0)),Inputs!$B$4:$B$150,$B7)/1000)</f>
        <v>-359</v>
      </c>
      <c r="U7" s="11">
        <f>IF(U$3=0,"",SUMIFS(INDEX(Inputs!$D$4:$AG$150,0,MATCH(U$2,Inputs!$D$2:$AG$2,0)),Inputs!$B$4:$B$150,$B7)/1000)</f>
        <v>-390</v>
      </c>
      <c r="V7" s="11">
        <f>IF(V$3=0,"",SUMIFS(INDEX(Inputs!$D$4:$AG$150,0,MATCH(V$2,Inputs!$D$2:$AG$2,0)),Inputs!$B$4:$B$150,$B7)/1000)</f>
        <v>-459</v>
      </c>
      <c r="W7" s="12">
        <f>IF(COUNT(S7:V7)=4,SUM(S7:V7),"")</f>
        <v>-1559</v>
      </c>
      <c r="X7" s="11">
        <f>IF(X$3=0,"",SUMIFS(INDEX(Inputs!$D$4:$AG$150,0,MATCH(X$2,Inputs!$D$2:$AG$2,0)),Inputs!$B$4:$B$150,$B7)/1000)</f>
        <v>-397</v>
      </c>
      <c r="Y7" s="11">
        <f>IF(Y$3=0,"",SUMIFS(INDEX(Inputs!$D$4:$AG$150,0,MATCH(Y$2,Inputs!$D$2:$AG$2,0)),Inputs!$B$4:$B$150,$B7)/1000)</f>
        <v>-399</v>
      </c>
      <c r="Z7" s="11">
        <f>IF(Z$3=0,"",SUMIFS(INDEX(Inputs!$D$4:$AG$150,0,MATCH(Z$2,Inputs!$D$2:$AG$2,0)),Inputs!$B$4:$B$150,$B7)/1000)</f>
        <v>-428</v>
      </c>
      <c r="AA7" s="11">
        <f>IF(AA$3=0,"",SUMIFS(INDEX(Inputs!$D$4:$AG$150,0,MATCH(AA$2,Inputs!$D$2:$AG$2,0)),Inputs!$B$4:$B$150,$B7)/1000)</f>
        <v>-463</v>
      </c>
      <c r="AB7" s="12">
        <f>IF(COUNT(X7:AA7)=4,SUM(X7:AA7),"")</f>
        <v>-1687</v>
      </c>
      <c r="AC7" s="11">
        <f>IF(AC$3=0,"",SUMIFS(INDEX(Inputs!$D$4:$AG$150,0,MATCH(AC$2,Inputs!$D$2:$AG$2,0)),Inputs!$B$4:$B$150,$B7)/1000)</f>
        <v>-398</v>
      </c>
      <c r="AD7" s="11">
        <f>IF(AD$3=0,"",SUMIFS(INDEX(Inputs!$D$4:$AG$150,0,MATCH(AD$2,Inputs!$D$2:$AG$2,0)),Inputs!$B$4:$B$150,$B7)/1000)</f>
        <v>-400</v>
      </c>
      <c r="AE7" s="11" t="str">
        <f>IF(AE$3=0,"",SUMIFS(INDEX(Inputs!$D$4:$AG$150,0,MATCH(AE$2,Inputs!$D$2:$AG$2,0)),Inputs!$B$4:$B$150,$B7)/1000)</f>
        <v/>
      </c>
      <c r="AF7" s="11" t="str">
        <f>IF(AF$3=0,"",SUMIFS(INDEX(Inputs!$D$4:$AG$150,0,MATCH(AF$2,Inputs!$D$2:$AG$2,0)),Inputs!$B$4:$B$150,$B7)/1000)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IF(D$3=0,"",SUMIFS(INDEX(Inputs!$D$4:$AG$150,0,MATCH(D$2,Inputs!$D$2:$AG$2,0)),Inputs!$B$4:$B$150,$B8)/1000)</f>
        <v>-140</v>
      </c>
      <c r="E8" s="11">
        <f>IF(E$3=0,"",SUMIFS(INDEX(Inputs!$D$4:$AG$150,0,MATCH(E$2,Inputs!$D$2:$AG$2,0)),Inputs!$B$4:$B$150,$B8)/1000)</f>
        <v>-142</v>
      </c>
      <c r="F8" s="11">
        <f>IF(F$3=0,"",SUMIFS(INDEX(Inputs!$D$4:$AG$150,0,MATCH(F$2,Inputs!$D$2:$AG$2,0)),Inputs!$B$4:$B$150,$B8)/1000)</f>
        <v>-141</v>
      </c>
      <c r="G8" s="11">
        <f>IF(G$3=0,"",SUMIFS(INDEX(Inputs!$D$4:$AG$150,0,MATCH(G$2,Inputs!$D$2:$AG$2,0)),Inputs!$B$4:$B$150,$B8)/1000)</f>
        <v>-146</v>
      </c>
      <c r="H8" s="12">
        <f>IF(COUNT(D8:G8)=4,SUM(D8:G8),"")</f>
        <v>-569</v>
      </c>
      <c r="I8" s="11">
        <f>IF(I$3=0,"",SUMIFS(INDEX(Inputs!$D$4:$AG$150,0,MATCH(I$2,Inputs!$D$2:$AG$2,0)),Inputs!$B$4:$B$150,$B8)/1000)</f>
        <v>-135</v>
      </c>
      <c r="J8" s="11">
        <f>IF(J$3=0,"",SUMIFS(INDEX(Inputs!$D$4:$AG$150,0,MATCH(J$2,Inputs!$D$2:$AG$2,0)),Inputs!$B$4:$B$150,$B8)/1000)</f>
        <v>-141</v>
      </c>
      <c r="K8" s="11">
        <f>IF(K$3=0,"",SUMIFS(INDEX(Inputs!$D$4:$AG$150,0,MATCH(K$2,Inputs!$D$2:$AG$2,0)),Inputs!$B$4:$B$150,$B8)/1000)</f>
        <v>-145</v>
      </c>
      <c r="L8" s="11">
        <f>IF(L$3=0,"",SUMIFS(INDEX(Inputs!$D$4:$AG$150,0,MATCH(L$2,Inputs!$D$2:$AG$2,0)),Inputs!$B$4:$B$150,$B8)/1000)</f>
        <v>-202</v>
      </c>
      <c r="M8" s="12">
        <f>IF(COUNT(I8:L8)=4,SUM(I8:L8),"")</f>
        <v>-623</v>
      </c>
      <c r="N8" s="11">
        <f>IF(N$3=0,"",SUMIFS(INDEX(Inputs!$D$4:$AG$150,0,MATCH(N$2,Inputs!$D$2:$AG$2,0)),Inputs!$B$4:$B$150,$B8)/1000)</f>
        <v>-202</v>
      </c>
      <c r="O8" s="11">
        <f>IF(O$3=0,"",SUMIFS(INDEX(Inputs!$D$4:$AG$150,0,MATCH(O$2,Inputs!$D$2:$AG$2,0)),Inputs!$B$4:$B$150,$B8)/1000)</f>
        <v>-223</v>
      </c>
      <c r="P8" s="11">
        <f>IF(P$3=0,"",SUMIFS(INDEX(Inputs!$D$4:$AG$150,0,MATCH(P$2,Inputs!$D$2:$AG$2,0)),Inputs!$B$4:$B$150,$B8)/1000)</f>
        <v>-237</v>
      </c>
      <c r="Q8" s="11">
        <f>IF(Q$3=0,"",SUMIFS(INDEX(Inputs!$D$4:$AG$150,0,MATCH(Q$2,Inputs!$D$2:$AG$2,0)),Inputs!$B$4:$B$150,$B8)/1000)</f>
        <v>-254</v>
      </c>
      <c r="R8" s="12">
        <f>IF(COUNT(N8:Q8)=4,SUM(N8:Q8),"")</f>
        <v>-916</v>
      </c>
      <c r="S8" s="11">
        <f>IF(S$3=0,"",SUMIFS(INDEX(Inputs!$D$4:$AG$150,0,MATCH(S$2,Inputs!$D$2:$AG$2,0)),Inputs!$B$4:$B$150,$B8)/1000)</f>
        <v>-255</v>
      </c>
      <c r="T8" s="11">
        <f>IF(T$3=0,"",SUMIFS(INDEX(Inputs!$D$4:$AG$150,0,MATCH(T$2,Inputs!$D$2:$AG$2,0)),Inputs!$B$4:$B$150,$B8)/1000)</f>
        <v>-261</v>
      </c>
      <c r="U8" s="11">
        <f>IF(U$3=0,"",SUMIFS(INDEX(Inputs!$D$4:$AG$150,0,MATCH(U$2,Inputs!$D$2:$AG$2,0)),Inputs!$B$4:$B$150,$B8)/1000)</f>
        <v>-256</v>
      </c>
      <c r="V8" s="11">
        <f>IF(V$3=0,"",SUMIFS(INDEX(Inputs!$D$4:$AG$150,0,MATCH(V$2,Inputs!$D$2:$AG$2,0)),Inputs!$B$4:$B$150,$B8)/1000)</f>
        <v>-264</v>
      </c>
      <c r="W8" s="12">
        <f>IF(COUNT(S8:V8)=4,SUM(S8:V8),"")</f>
        <v>-1036</v>
      </c>
      <c r="X8" s="11">
        <f>IF(X$3=0,"",SUMIFS(INDEX(Inputs!$D$4:$AG$150,0,MATCH(X$2,Inputs!$D$2:$AG$2,0)),Inputs!$B$4:$B$150,$B8)/1000)</f>
        <v>-268</v>
      </c>
      <c r="Y8" s="11">
        <f>IF(Y$3=0,"",SUMIFS(INDEX(Inputs!$D$4:$AG$150,0,MATCH(Y$2,Inputs!$D$2:$AG$2,0)),Inputs!$B$4:$B$150,$B8)/1000)</f>
        <v>-274</v>
      </c>
      <c r="Z8" s="11">
        <f>IF(Z$3=0,"",SUMIFS(INDEX(Inputs!$D$4:$AG$150,0,MATCH(Z$2,Inputs!$D$2:$AG$2,0)),Inputs!$B$4:$B$150,$B8)/1000)</f>
        <v>-286</v>
      </c>
      <c r="AA8" s="11">
        <f>IF(AA$3=0,"",SUMIFS(INDEX(Inputs!$D$4:$AG$150,0,MATCH(AA$2,Inputs!$D$2:$AG$2,0)),Inputs!$B$4:$B$150,$B8)/1000)</f>
        <v>-290</v>
      </c>
      <c r="AB8" s="12">
        <f>IF(COUNT(X8:AA8)=4,SUM(X8:AA8),"")</f>
        <v>-1118</v>
      </c>
      <c r="AC8" s="11">
        <f>IF(AC$3=0,"",SUMIFS(INDEX(Inputs!$D$4:$AG$150,0,MATCH(AC$2,Inputs!$D$2:$AG$2,0)),Inputs!$B$4:$B$150,$B8)/1000)</f>
        <v>-269</v>
      </c>
      <c r="AD8" s="11">
        <f>IF(AD$3=0,"",SUMIFS(INDEX(Inputs!$D$4:$AG$150,0,MATCH(AD$2,Inputs!$D$2:$AG$2,0)),Inputs!$B$4:$B$150,$B8)/1000)</f>
        <v>-266</v>
      </c>
      <c r="AE8" s="11" t="str">
        <f>IF(AE$3=0,"",SUMIFS(INDEX(Inputs!$D$4:$AG$150,0,MATCH(AE$2,Inputs!$D$2:$AG$2,0)),Inputs!$B$4:$B$150,$B8)/1000)</f>
        <v/>
      </c>
      <c r="AF8" s="11" t="str">
        <f>IF(AF$3=0,"",SUMIFS(INDEX(Inputs!$D$4:$AG$150,0,MATCH(AF$2,Inputs!$D$2:$AG$2,0)),Inputs!$B$4:$B$150,$B8)/1000)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IF(D$3=0,"",SUMIFS(INDEX(Inputs!$D$4:$AG$150,0,MATCH(D$2,Inputs!$D$2:$AG$2,0)),Inputs!$B$4:$B$150,$B9)/1000)</f>
        <v>169</v>
      </c>
      <c r="E9" s="11">
        <f>IF(E$3=0,"",SUMIFS(INDEX(Inputs!$D$4:$AG$150,0,MATCH(E$2,Inputs!$D$2:$AG$2,0)),Inputs!$B$4:$B$150,$B9)/1000)</f>
        <v>120</v>
      </c>
      <c r="F9" s="11">
        <f>IF(F$3=0,"",SUMIFS(INDEX(Inputs!$D$4:$AG$150,0,MATCH(F$2,Inputs!$D$2:$AG$2,0)),Inputs!$B$4:$B$150,$B9)/1000)</f>
        <v>-1474</v>
      </c>
      <c r="G9" s="11">
        <f>IF(G$3=0,"",SUMIFS(INDEX(Inputs!$D$4:$AG$150,0,MATCH(G$2,Inputs!$D$2:$AG$2,0)),Inputs!$B$4:$B$150,$B9)/1000)</f>
        <v>181</v>
      </c>
      <c r="H9" s="12">
        <f>IF(COUNT(D9:G9)=4,SUM(D9:G9),"")</f>
        <v>-1004</v>
      </c>
      <c r="I9" s="11">
        <f>IF(I$3=0,"",SUMIFS(INDEX(Inputs!$D$4:$AG$150,0,MATCH(I$2,Inputs!$D$2:$AG$2,0)),Inputs!$B$4:$B$150,$B9)/1000)</f>
        <v>263</v>
      </c>
      <c r="J9" s="11">
        <f>IF(J$3=0,"",SUMIFS(INDEX(Inputs!$D$4:$AG$150,0,MATCH(J$2,Inputs!$D$2:$AG$2,0)),Inputs!$B$4:$B$150,$B9)/1000)</f>
        <v>-1492</v>
      </c>
      <c r="K9" s="11">
        <f>IF(K$3=0,"",SUMIFS(INDEX(Inputs!$D$4:$AG$150,0,MATCH(K$2,Inputs!$D$2:$AG$2,0)),Inputs!$B$4:$B$150,$B9)/1000)</f>
        <v>85</v>
      </c>
      <c r="L9" s="11">
        <f>IF(L$3=0,"",SUMIFS(INDEX(Inputs!$D$4:$AG$150,0,MATCH(L$2,Inputs!$D$2:$AG$2,0)),Inputs!$B$4:$B$150,$B9)/1000)</f>
        <v>99</v>
      </c>
      <c r="M9" s="12">
        <f>IF(COUNT(I9:L9)=4,SUM(I9:L9),"")</f>
        <v>-1045</v>
      </c>
      <c r="N9" s="11">
        <f>IF(N$3=0,"",SUMIFS(INDEX(Inputs!$D$4:$AG$150,0,MATCH(N$2,Inputs!$D$2:$AG$2,0)),Inputs!$B$4:$B$150,$B9)/1000)</f>
        <v>159</v>
      </c>
      <c r="O9" s="11">
        <f>IF(O$3=0,"",SUMIFS(INDEX(Inputs!$D$4:$AG$150,0,MATCH(O$2,Inputs!$D$2:$AG$2,0)),Inputs!$B$4:$B$150,$B9)/1000)</f>
        <v>94</v>
      </c>
      <c r="P9" s="11">
        <f>IF(P$3=0,"",SUMIFS(INDEX(Inputs!$D$4:$AG$150,0,MATCH(P$2,Inputs!$D$2:$AG$2,0)),Inputs!$B$4:$B$150,$B9)/1000)</f>
        <v>148</v>
      </c>
      <c r="Q9" s="11">
        <f>IF(Q$3=0,"",SUMIFS(INDEX(Inputs!$D$4:$AG$150,0,MATCH(Q$2,Inputs!$D$2:$AG$2,0)),Inputs!$B$4:$B$150,$B9)/1000)</f>
        <v>106</v>
      </c>
      <c r="R9" s="12">
        <f>IF(COUNT(N9:Q9)=4,SUM(N9:Q9),"")</f>
        <v>507</v>
      </c>
      <c r="S9" s="11">
        <f>IF(S$3=0,"",SUMIFS(INDEX(Inputs!$D$4:$AG$150,0,MATCH(S$2,Inputs!$D$2:$AG$2,0)),Inputs!$B$4:$B$150,$B9)/1000)</f>
        <v>61</v>
      </c>
      <c r="T9" s="11">
        <f>IF(T$3=0,"",SUMIFS(INDEX(Inputs!$D$4:$AG$150,0,MATCH(T$2,Inputs!$D$2:$AG$2,0)),Inputs!$B$4:$B$150,$B9)/1000)</f>
        <v>61</v>
      </c>
      <c r="U9" s="11">
        <f>IF(U$3=0,"",SUMIFS(INDEX(Inputs!$D$4:$AG$150,0,MATCH(U$2,Inputs!$D$2:$AG$2,0)),Inputs!$B$4:$B$150,$B9)/1000)</f>
        <v>34</v>
      </c>
      <c r="V9" s="11">
        <f>IF(V$3=0,"",SUMIFS(INDEX(Inputs!$D$4:$AG$150,0,MATCH(V$2,Inputs!$D$2:$AG$2,0)),Inputs!$B$4:$B$150,$B9)/1000)</f>
        <v>87</v>
      </c>
      <c r="W9" s="12">
        <f>IF(COUNT(S9:V9)=4,SUM(S9:V9),"")</f>
        <v>243</v>
      </c>
      <c r="X9" s="11">
        <f>IF(X$3=0,"",SUMIFS(INDEX(Inputs!$D$4:$AG$150,0,MATCH(X$2,Inputs!$D$2:$AG$2,0)),Inputs!$B$4:$B$150,$B9)/1000)</f>
        <v>-68</v>
      </c>
      <c r="Y9" s="11">
        <f>IF(Y$3=0,"",SUMIFS(INDEX(Inputs!$D$4:$AG$150,0,MATCH(Y$2,Inputs!$D$2:$AG$2,0)),Inputs!$B$4:$B$150,$B9)/1000)</f>
        <v>-57</v>
      </c>
      <c r="Z9" s="11">
        <f>IF(Z$3=0,"",SUMIFS(INDEX(Inputs!$D$4:$AG$150,0,MATCH(Z$2,Inputs!$D$2:$AG$2,0)),Inputs!$B$4:$B$150,$B9)/1000)</f>
        <v>-56</v>
      </c>
      <c r="AA9" s="11">
        <f>IF(AA$3=0,"",SUMIFS(INDEX(Inputs!$D$4:$AG$150,0,MATCH(AA$2,Inputs!$D$2:$AG$2,0)),Inputs!$B$4:$B$150,$B9)/1000)</f>
        <v>-510</v>
      </c>
      <c r="AB9" s="12">
        <f>IF(COUNT(X9:AA9)=4,SUM(X9:AA9),"")</f>
        <v>-691</v>
      </c>
      <c r="AC9" s="11">
        <f>IF(AC$3=0,"",SUMIFS(INDEX(Inputs!$D$4:$AG$150,0,MATCH(AC$2,Inputs!$D$2:$AG$2,0)),Inputs!$B$4:$B$150,$B9)/1000)</f>
        <v>-20</v>
      </c>
      <c r="AD9" s="11">
        <f>IF(AD$3=0,"",SUMIFS(INDEX(Inputs!$D$4:$AG$150,0,MATCH(AD$2,Inputs!$D$2:$AG$2,0)),Inputs!$B$4:$B$150,$B9)/1000)</f>
        <v>-35</v>
      </c>
      <c r="AE9" s="11" t="str">
        <f>IF(AE$3=0,"",SUMIFS(INDEX(Inputs!$D$4:$AG$150,0,MATCH(AE$2,Inputs!$D$2:$AG$2,0)),Inputs!$B$4:$B$150,$B9)/1000)</f>
        <v/>
      </c>
      <c r="AF9" s="11" t="str">
        <f>IF(AF$3=0,"",SUMIFS(INDEX(Inputs!$D$4:$AG$150,0,MATCH(AF$2,Inputs!$D$2:$AG$2,0)),Inputs!$B$4:$B$150,$B9)/1000)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IF(D$3=0,"",SUMIFS(INDEX(Inputs!$D$4:$AG$150,0,MATCH(D$2,Inputs!$D$2:$AG$2,0)),Inputs!$B$4:$B$150,$B10)/1000)</f>
        <v>-374</v>
      </c>
      <c r="E10" s="11">
        <f>IF(E$3=0,"",SUMIFS(INDEX(Inputs!$D$4:$AG$150,0,MATCH(E$2,Inputs!$D$2:$AG$2,0)),Inputs!$B$4:$B$150,$B10)/1000)</f>
        <v>-355</v>
      </c>
      <c r="F10" s="11">
        <f>IF(F$3=0,"",SUMIFS(INDEX(Inputs!$D$4:$AG$150,0,MATCH(F$2,Inputs!$D$2:$AG$2,0)),Inputs!$B$4:$B$150,$B10)/1000)</f>
        <v>-65</v>
      </c>
      <c r="G10" s="11">
        <f>IF(G$3=0,"",SUMIFS(INDEX(Inputs!$D$4:$AG$150,0,MATCH(G$2,Inputs!$D$2:$AG$2,0)),Inputs!$B$4:$B$150,$B10)/1000)</f>
        <v>-441</v>
      </c>
      <c r="H10" s="12">
        <f>IF(COUNT(D10:G10)=4,SUM(D10:G10),"")</f>
        <v>-1235</v>
      </c>
      <c r="I10" s="11">
        <f>IF(I$3=0,"",SUMIFS(INDEX(Inputs!$D$4:$AG$150,0,MATCH(I$2,Inputs!$D$2:$AG$2,0)),Inputs!$B$4:$B$150,$B10)/1000)</f>
        <v>-328</v>
      </c>
      <c r="J10" s="11">
        <f>IF(J$3=0,"",SUMIFS(INDEX(Inputs!$D$4:$AG$150,0,MATCH(J$2,Inputs!$D$2:$AG$2,0)),Inputs!$B$4:$B$150,$B10)/1000)</f>
        <v>-21</v>
      </c>
      <c r="K10" s="11">
        <f>IF(K$3=0,"",SUMIFS(INDEX(Inputs!$D$4:$AG$150,0,MATCH(K$2,Inputs!$D$2:$AG$2,0)),Inputs!$B$4:$B$150,$B10)/1000)</f>
        <v>-321</v>
      </c>
      <c r="L10" s="11">
        <f>IF(L$3=0,"",SUMIFS(INDEX(Inputs!$D$4:$AG$150,0,MATCH(L$2,Inputs!$D$2:$AG$2,0)),Inputs!$B$4:$B$150,$B10)/1000)</f>
        <v>-278</v>
      </c>
      <c r="M10" s="12">
        <f>IF(COUNT(I10:L10)=4,SUM(I10:L10),"")</f>
        <v>-948</v>
      </c>
      <c r="N10" s="11">
        <f>IF(N$3=0,"",SUMIFS(INDEX(Inputs!$D$4:$AG$150,0,MATCH(N$2,Inputs!$D$2:$AG$2,0)),Inputs!$B$4:$B$150,$B10)/1000)</f>
        <v>-305</v>
      </c>
      <c r="O10" s="11">
        <f>IF(O$3=0,"",SUMIFS(INDEX(Inputs!$D$4:$AG$150,0,MATCH(O$2,Inputs!$D$2:$AG$2,0)),Inputs!$B$4:$B$150,$B10)/1000)</f>
        <v>-325</v>
      </c>
      <c r="P10" s="11">
        <f>IF(P$3=0,"",SUMIFS(INDEX(Inputs!$D$4:$AG$150,0,MATCH(P$2,Inputs!$D$2:$AG$2,0)),Inputs!$B$4:$B$150,$B10)/1000)</f>
        <v>-269</v>
      </c>
      <c r="Q10" s="11">
        <f>IF(Q$3=0,"",SUMIFS(INDEX(Inputs!$D$4:$AG$150,0,MATCH(Q$2,Inputs!$D$2:$AG$2,0)),Inputs!$B$4:$B$150,$B10)/1000)</f>
        <v>-279</v>
      </c>
      <c r="R10" s="12">
        <f>IF(COUNT(N10:Q10)=4,SUM(N10:Q10),"")</f>
        <v>-1178</v>
      </c>
      <c r="S10" s="11">
        <f>IF(S$3=0,"",SUMIFS(INDEX(Inputs!$D$4:$AG$150,0,MATCH(S$2,Inputs!$D$2:$AG$2,0)),Inputs!$B$4:$B$150,$B10)/1000)</f>
        <v>-290</v>
      </c>
      <c r="T10" s="11">
        <f>IF(T$3=0,"",SUMIFS(INDEX(Inputs!$D$4:$AG$150,0,MATCH(T$2,Inputs!$D$2:$AG$2,0)),Inputs!$B$4:$B$150,$B10)/1000)</f>
        <v>-307</v>
      </c>
      <c r="U10" s="11">
        <f>IF(U$3=0,"",SUMIFS(INDEX(Inputs!$D$4:$AG$150,0,MATCH(U$2,Inputs!$D$2:$AG$2,0)),Inputs!$B$4:$B$150,$B10)/1000)</f>
        <v>-295</v>
      </c>
      <c r="V10" s="11">
        <f>IF(V$3=0,"",SUMIFS(INDEX(Inputs!$D$4:$AG$150,0,MATCH(V$2,Inputs!$D$2:$AG$2,0)),Inputs!$B$4:$B$150,$B10)/1000)</f>
        <v>8</v>
      </c>
      <c r="W10" s="12">
        <f>IF(COUNT(S10:V10)=4,SUM(S10:V10),"")</f>
        <v>-884</v>
      </c>
      <c r="X10" s="11">
        <f>IF(X$3=0,"",SUMIFS(INDEX(Inputs!$D$4:$AG$150,0,MATCH(X$2,Inputs!$D$2:$AG$2,0)),Inputs!$B$4:$B$150,$B10)/1000)</f>
        <v>-324</v>
      </c>
      <c r="Y10" s="11">
        <f>IF(Y$3=0,"",SUMIFS(INDEX(Inputs!$D$4:$AG$150,0,MATCH(Y$2,Inputs!$D$2:$AG$2,0)),Inputs!$B$4:$B$150,$B10)/1000)</f>
        <v>-75</v>
      </c>
      <c r="Z10" s="11">
        <f>IF(Z$3=0,"",SUMIFS(INDEX(Inputs!$D$4:$AG$150,0,MATCH(Z$2,Inputs!$D$2:$AG$2,0)),Inputs!$B$4:$B$150,$B10)/1000)</f>
        <v>-319</v>
      </c>
      <c r="AA10" s="11">
        <f>IF(AA$3=0,"",SUMIFS(INDEX(Inputs!$D$4:$AG$150,0,MATCH(AA$2,Inputs!$D$2:$AG$2,0)),Inputs!$B$4:$B$150,$B10)/1000)</f>
        <v>-187</v>
      </c>
      <c r="AB10" s="12">
        <f>IF(COUNT(X10:AA10)=4,SUM(X10:AA10),"")</f>
        <v>-905</v>
      </c>
      <c r="AC10" s="11">
        <f>IF(AC$3=0,"",SUMIFS(INDEX(Inputs!$D$4:$AG$150,0,MATCH(AC$2,Inputs!$D$2:$AG$2,0)),Inputs!$B$4:$B$150,$B10)/1000)</f>
        <v>-286</v>
      </c>
      <c r="AD10" s="11">
        <f>IF(AD$3=0,"",SUMIFS(INDEX(Inputs!$D$4:$AG$150,0,MATCH(AD$2,Inputs!$D$2:$AG$2,0)),Inputs!$B$4:$B$150,$B10)/1000)</f>
        <v>-342</v>
      </c>
      <c r="AE10" s="11" t="str">
        <f>IF(AE$3=0,"",SUMIFS(INDEX(Inputs!$D$4:$AG$150,0,MATCH(AE$2,Inputs!$D$2:$AG$2,0)),Inputs!$B$4:$B$150,$B10)/1000)</f>
        <v/>
      </c>
      <c r="AF10" s="11" t="str">
        <f>IF(AF$3=0,"",SUMIFS(INDEX(Inputs!$D$4:$AG$150,0,MATCH(AF$2,Inputs!$D$2:$AG$2,0)),Inputs!$B$4:$B$150,$B10)/1000)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IF(D$3=0,"",SUMIFS(INDEX(Inputs!$D$4:$AG$150,0,MATCH(D$2,Inputs!$D$2:$AG$2,0)),Inputs!$B$4:$B$150,$B11)/1000)</f>
        <v>0</v>
      </c>
      <c r="E11" s="11">
        <f>IF(E$3=0,"",SUMIFS(INDEX(Inputs!$D$4:$AG$150,0,MATCH(E$2,Inputs!$D$2:$AG$2,0)),Inputs!$B$4:$B$150,$B11)/1000)</f>
        <v>0</v>
      </c>
      <c r="F11" s="11">
        <f>IF(F$3=0,"",SUMIFS(INDEX(Inputs!$D$4:$AG$150,0,MATCH(F$2,Inputs!$D$2:$AG$2,0)),Inputs!$B$4:$B$150,$B11)/1000)</f>
        <v>0</v>
      </c>
      <c r="G11" s="11">
        <f>IF(G$3=0,"",SUMIFS(INDEX(Inputs!$D$4:$AG$150,0,MATCH(G$2,Inputs!$D$2:$AG$2,0)),Inputs!$B$4:$B$150,$B11)/1000)</f>
        <v>0</v>
      </c>
      <c r="H11" s="12">
        <f>IF(COUNT(D11:G11)=4,SUM(D11:G11),"")</f>
        <v>0</v>
      </c>
      <c r="I11" s="11">
        <f>IF(I$3=0,"",SUMIFS(INDEX(Inputs!$D$4:$AG$150,0,MATCH(I$2,Inputs!$D$2:$AG$2,0)),Inputs!$B$4:$B$150,$B11)/1000)</f>
        <v>0</v>
      </c>
      <c r="J11" s="11">
        <f>IF(J$3=0,"",SUMIFS(INDEX(Inputs!$D$4:$AG$150,0,MATCH(J$2,Inputs!$D$2:$AG$2,0)),Inputs!$B$4:$B$150,$B11)/1000)</f>
        <v>0</v>
      </c>
      <c r="K11" s="11">
        <f>IF(K$3=0,"",SUMIFS(INDEX(Inputs!$D$4:$AG$150,0,MATCH(K$2,Inputs!$D$2:$AG$2,0)),Inputs!$B$4:$B$150,$B11)/1000)</f>
        <v>0</v>
      </c>
      <c r="L11" s="11">
        <f>IF(L$3=0,"",SUMIFS(INDEX(Inputs!$D$4:$AG$150,0,MATCH(L$2,Inputs!$D$2:$AG$2,0)),Inputs!$B$4:$B$150,$B11)/1000)</f>
        <v>0</v>
      </c>
      <c r="M11" s="12">
        <f>IF(COUNT(I11:L11)=4,SUM(I11:L11),"")</f>
        <v>0</v>
      </c>
      <c r="N11" s="11">
        <f>IF(N$3=0,"",SUMIFS(INDEX(Inputs!$D$4:$AG$150,0,MATCH(N$2,Inputs!$D$2:$AG$2,0)),Inputs!$B$4:$B$150,$B11)/1000)</f>
        <v>0</v>
      </c>
      <c r="O11" s="11">
        <f>IF(O$3=0,"",SUMIFS(INDEX(Inputs!$D$4:$AG$150,0,MATCH(O$2,Inputs!$D$2:$AG$2,0)),Inputs!$B$4:$B$150,$B11)/1000)</f>
        <v>0</v>
      </c>
      <c r="P11" s="11">
        <f>IF(P$3=0,"",SUMIFS(INDEX(Inputs!$D$4:$AG$150,0,MATCH(P$2,Inputs!$D$2:$AG$2,0)),Inputs!$B$4:$B$150,$B11)/1000)</f>
        <v>0</v>
      </c>
      <c r="Q11" s="11">
        <f>IF(Q$3=0,"",SUMIFS(INDEX(Inputs!$D$4:$AG$150,0,MATCH(Q$2,Inputs!$D$2:$AG$2,0)),Inputs!$B$4:$B$150,$B11)/1000)</f>
        <v>0</v>
      </c>
      <c r="R11" s="12">
        <f>IF(COUNT(N11:Q11)=4,SUM(N11:Q11),"")</f>
        <v>0</v>
      </c>
      <c r="S11" s="11">
        <f>IF(S$3=0,"",SUMIFS(INDEX(Inputs!$D$4:$AG$150,0,MATCH(S$2,Inputs!$D$2:$AG$2,0)),Inputs!$B$4:$B$150,$B11)/1000)</f>
        <v>0</v>
      </c>
      <c r="T11" s="11">
        <f>IF(T$3=0,"",SUMIFS(INDEX(Inputs!$D$4:$AG$150,0,MATCH(T$2,Inputs!$D$2:$AG$2,0)),Inputs!$B$4:$B$150,$B11)/1000)</f>
        <v>0</v>
      </c>
      <c r="U11" s="11">
        <f>IF(U$3=0,"",SUMIFS(INDEX(Inputs!$D$4:$AG$150,0,MATCH(U$2,Inputs!$D$2:$AG$2,0)),Inputs!$B$4:$B$150,$B11)/1000)</f>
        <v>0</v>
      </c>
      <c r="V11" s="11">
        <f>IF(V$3=0,"",SUMIFS(INDEX(Inputs!$D$4:$AG$150,0,MATCH(V$2,Inputs!$D$2:$AG$2,0)),Inputs!$B$4:$B$150,$B11)/1000)</f>
        <v>0</v>
      </c>
      <c r="W11" s="12">
        <f>IF(COUNT(S11:V11)=4,SUM(S11:V11),"")</f>
        <v>0</v>
      </c>
      <c r="X11" s="11">
        <f>IF(X$3=0,"",SUMIFS(INDEX(Inputs!$D$4:$AG$150,0,MATCH(X$2,Inputs!$D$2:$AG$2,0)),Inputs!$B$4:$B$150,$B11)/1000)</f>
        <v>0</v>
      </c>
      <c r="Y11" s="11">
        <f>IF(Y$3=0,"",SUMIFS(INDEX(Inputs!$D$4:$AG$150,0,MATCH(Y$2,Inputs!$D$2:$AG$2,0)),Inputs!$B$4:$B$150,$B11)/1000)</f>
        <v>0</v>
      </c>
      <c r="Z11" s="11">
        <f>IF(Z$3=0,"",SUMIFS(INDEX(Inputs!$D$4:$AG$150,0,MATCH(Z$2,Inputs!$D$2:$AG$2,0)),Inputs!$B$4:$B$150,$B11)/1000)</f>
        <v>0</v>
      </c>
      <c r="AA11" s="11">
        <f>IF(AA$3=0,"",SUMIFS(INDEX(Inputs!$D$4:$AG$150,0,MATCH(AA$2,Inputs!$D$2:$AG$2,0)),Inputs!$B$4:$B$150,$B11)/1000)</f>
        <v>0</v>
      </c>
      <c r="AB11" s="12">
        <f>IF(COUNT(X11:AA11)=4,SUM(X11:AA11),"")</f>
        <v>0</v>
      </c>
      <c r="AC11" s="11">
        <f>IF(AC$3=0,"",SUMIFS(INDEX(Inputs!$D$4:$AG$150,0,MATCH(AC$2,Inputs!$D$2:$AG$2,0)),Inputs!$B$4:$B$150,$B11)/1000)</f>
        <v>0</v>
      </c>
      <c r="AD11" s="11">
        <f>IF(AD$3=0,"",SUMIFS(INDEX(Inputs!$D$4:$AG$150,0,MATCH(AD$2,Inputs!$D$2:$AG$2,0)),Inputs!$B$4:$B$150,$B11)/1000)</f>
        <v>0</v>
      </c>
      <c r="AE11" s="11" t="str">
        <f>IF(AE$3=0,"",SUMIFS(INDEX(Inputs!$D$4:$AG$150,0,MATCH(AE$2,Inputs!$D$2:$AG$2,0)),Inputs!$B$4:$B$150,$B11)/1000)</f>
        <v/>
      </c>
      <c r="AF11" s="11" t="str">
        <f>IF(AF$3=0,"",SUMIFS(INDEX(Inputs!$D$4:$AG$150,0,MATCH(AF$2,Inputs!$D$2:$AG$2,0)),Inputs!$B$4:$B$150,$B11)/1000)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IF(D$3=0,"",SUMIFS(INDEX(Inputs!$D$4:$AG$150,0,MATCH(D$2,Inputs!$D$2:$AG$2,0)),Inputs!$B$4:$B$150,$B12)/1000)</f>
        <v>0</v>
      </c>
      <c r="E12" s="11">
        <f>IF(E$3=0,"",SUMIFS(INDEX(Inputs!$D$4:$AG$150,0,MATCH(E$2,Inputs!$D$2:$AG$2,0)),Inputs!$B$4:$B$150,$B12)/1000)</f>
        <v>0</v>
      </c>
      <c r="F12" s="11">
        <f>IF(F$3=0,"",SUMIFS(INDEX(Inputs!$D$4:$AG$150,0,MATCH(F$2,Inputs!$D$2:$AG$2,0)),Inputs!$B$4:$B$150,$B12)/1000)</f>
        <v>0</v>
      </c>
      <c r="G12" s="11">
        <f>IF(G$3=0,"",SUMIFS(INDEX(Inputs!$D$4:$AG$150,0,MATCH(G$2,Inputs!$D$2:$AG$2,0)),Inputs!$B$4:$B$150,$B12)/1000)</f>
        <v>0</v>
      </c>
      <c r="H12" s="12">
        <f>IF(COUNT(D12:G12)=4,SUM(D12:G12),"")</f>
        <v>0</v>
      </c>
      <c r="I12" s="11">
        <f>IF(I$3=0,"",SUMIFS(INDEX(Inputs!$D$4:$AG$150,0,MATCH(I$2,Inputs!$D$2:$AG$2,0)),Inputs!$B$4:$B$150,$B12)/1000)</f>
        <v>0</v>
      </c>
      <c r="J12" s="11">
        <f>IF(J$3=0,"",SUMIFS(INDEX(Inputs!$D$4:$AG$150,0,MATCH(J$2,Inputs!$D$2:$AG$2,0)),Inputs!$B$4:$B$150,$B12)/1000)</f>
        <v>0</v>
      </c>
      <c r="K12" s="11">
        <f>IF(K$3=0,"",SUMIFS(INDEX(Inputs!$D$4:$AG$150,0,MATCH(K$2,Inputs!$D$2:$AG$2,0)),Inputs!$B$4:$B$150,$B12)/1000)</f>
        <v>0</v>
      </c>
      <c r="L12" s="11">
        <f>IF(L$3=0,"",SUMIFS(INDEX(Inputs!$D$4:$AG$150,0,MATCH(L$2,Inputs!$D$2:$AG$2,0)),Inputs!$B$4:$B$150,$B12)/1000)</f>
        <v>0</v>
      </c>
      <c r="M12" s="12">
        <f>IF(COUNT(I12:L12)=4,SUM(I12:L12),"")</f>
        <v>0</v>
      </c>
      <c r="N12" s="11">
        <f>IF(N$3=0,"",SUMIFS(INDEX(Inputs!$D$4:$AG$150,0,MATCH(N$2,Inputs!$D$2:$AG$2,0)),Inputs!$B$4:$B$150,$B12)/1000)</f>
        <v>0</v>
      </c>
      <c r="O12" s="11">
        <f>IF(O$3=0,"",SUMIFS(INDEX(Inputs!$D$4:$AG$150,0,MATCH(O$2,Inputs!$D$2:$AG$2,0)),Inputs!$B$4:$B$150,$B12)/1000)</f>
        <v>0</v>
      </c>
      <c r="P12" s="11">
        <f>IF(P$3=0,"",SUMIFS(INDEX(Inputs!$D$4:$AG$150,0,MATCH(P$2,Inputs!$D$2:$AG$2,0)),Inputs!$B$4:$B$150,$B12)/1000)</f>
        <v>0</v>
      </c>
      <c r="Q12" s="11">
        <f>IF(Q$3=0,"",SUMIFS(INDEX(Inputs!$D$4:$AG$150,0,MATCH(Q$2,Inputs!$D$2:$AG$2,0)),Inputs!$B$4:$B$150,$B12)/1000)</f>
        <v>0</v>
      </c>
      <c r="R12" s="12">
        <f>IF(COUNT(N12:Q12)=4,SUM(N12:Q12),"")</f>
        <v>0</v>
      </c>
      <c r="S12" s="11">
        <f>IF(S$3=0,"",SUMIFS(INDEX(Inputs!$D$4:$AG$150,0,MATCH(S$2,Inputs!$D$2:$AG$2,0)),Inputs!$B$4:$B$150,$B12)/1000)</f>
        <v>0</v>
      </c>
      <c r="T12" s="11">
        <f>IF(T$3=0,"",SUMIFS(INDEX(Inputs!$D$4:$AG$150,0,MATCH(T$2,Inputs!$D$2:$AG$2,0)),Inputs!$B$4:$B$150,$B12)/1000)</f>
        <v>0</v>
      </c>
      <c r="U12" s="11">
        <f>IF(U$3=0,"",SUMIFS(INDEX(Inputs!$D$4:$AG$150,0,MATCH(U$2,Inputs!$D$2:$AG$2,0)),Inputs!$B$4:$B$150,$B12)/1000)</f>
        <v>0</v>
      </c>
      <c r="V12" s="11">
        <f>IF(V$3=0,"",SUMIFS(INDEX(Inputs!$D$4:$AG$150,0,MATCH(V$2,Inputs!$D$2:$AG$2,0)),Inputs!$B$4:$B$150,$B12)/1000)</f>
        <v>0</v>
      </c>
      <c r="W12" s="12">
        <f>IF(COUNT(S12:V12)=4,SUM(S12:V12),"")</f>
        <v>0</v>
      </c>
      <c r="X12" s="11">
        <f>IF(X$3=0,"",SUMIFS(INDEX(Inputs!$D$4:$AG$150,0,MATCH(X$2,Inputs!$D$2:$AG$2,0)),Inputs!$B$4:$B$150,$B12)/1000)</f>
        <v>0</v>
      </c>
      <c r="Y12" s="11">
        <f>IF(Y$3=0,"",SUMIFS(INDEX(Inputs!$D$4:$AG$150,0,MATCH(Y$2,Inputs!$D$2:$AG$2,0)),Inputs!$B$4:$B$150,$B12)/1000)</f>
        <v>0</v>
      </c>
      <c r="Z12" s="11">
        <f>IF(Z$3=0,"",SUMIFS(INDEX(Inputs!$D$4:$AG$150,0,MATCH(Z$2,Inputs!$D$2:$AG$2,0)),Inputs!$B$4:$B$150,$B12)/1000)</f>
        <v>0</v>
      </c>
      <c r="AA12" s="11">
        <f>IF(AA$3=0,"",SUMIFS(INDEX(Inputs!$D$4:$AG$150,0,MATCH(AA$2,Inputs!$D$2:$AG$2,0)),Inputs!$B$4:$B$150,$B12)/1000)</f>
        <v>0</v>
      </c>
      <c r="AB12" s="12">
        <f>IF(COUNT(X12:AA12)=4,SUM(X12:AA12),"")</f>
        <v>0</v>
      </c>
      <c r="AC12" s="11">
        <f>IF(AC$3=0,"",SUMIFS(INDEX(Inputs!$D$4:$AG$150,0,MATCH(AC$2,Inputs!$D$2:$AG$2,0)),Inputs!$B$4:$B$150,$B12)/1000)</f>
        <v>0</v>
      </c>
      <c r="AD12" s="11">
        <f>IF(AD$3=0,"",SUMIFS(INDEX(Inputs!$D$4:$AG$150,0,MATCH(AD$2,Inputs!$D$2:$AG$2,0)),Inputs!$B$4:$B$150,$B12)/1000)</f>
        <v>0</v>
      </c>
      <c r="AE12" s="11" t="str">
        <f>IF(AE$3=0,"",SUMIFS(INDEX(Inputs!$D$4:$AG$150,0,MATCH(AE$2,Inputs!$D$2:$AG$2,0)),Inputs!$B$4:$B$150,$B12)/1000)</f>
        <v/>
      </c>
      <c r="AF12" s="11" t="str">
        <f>IF(AF$3=0,"",SUMIFS(INDEX(Inputs!$D$4:$AG$150,0,MATCH(AF$2,Inputs!$D$2:$AG$2,0)),Inputs!$B$4:$B$150,$B12)/1000)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IF(D$3=0,"",SUMIFS(INDEX(Inputs!$D$4:$AG$150,0,MATCH(D$2,Inputs!$D$2:$AG$2,0)),Inputs!$B$4:$B$150,$B13)/1000)</f>
        <v>-739</v>
      </c>
      <c r="E13" s="11">
        <f>IF(E$3=0,"",SUMIFS(INDEX(Inputs!$D$4:$AG$150,0,MATCH(E$2,Inputs!$D$2:$AG$2,0)),Inputs!$B$4:$B$150,$B13)/1000)</f>
        <v>-721</v>
      </c>
      <c r="F13" s="11">
        <f>IF(F$3=0,"",SUMIFS(INDEX(Inputs!$D$4:$AG$150,0,MATCH(F$2,Inputs!$D$2:$AG$2,0)),Inputs!$B$4:$B$150,$B13)/1000)</f>
        <v>-718</v>
      </c>
      <c r="G13" s="11">
        <f>IF(G$3=0,"",SUMIFS(INDEX(Inputs!$D$4:$AG$150,0,MATCH(G$2,Inputs!$D$2:$AG$2,0)),Inputs!$B$4:$B$150,$B13)/1000)</f>
        <v>-762</v>
      </c>
      <c r="H13" s="12">
        <f>IF(COUNT(D13:G13)=4,SUM(D13:G13),"")</f>
        <v>-2940</v>
      </c>
      <c r="I13" s="11">
        <f>IF(I$3=0,"",SUMIFS(INDEX(Inputs!$D$4:$AG$150,0,MATCH(I$2,Inputs!$D$2:$AG$2,0)),Inputs!$B$4:$B$150,$B13)/1000)</f>
        <v>-767</v>
      </c>
      <c r="J13" s="11">
        <f>IF(J$3=0,"",SUMIFS(INDEX(Inputs!$D$4:$AG$150,0,MATCH(J$2,Inputs!$D$2:$AG$2,0)),Inputs!$B$4:$B$150,$B13)/1000)</f>
        <v>-744</v>
      </c>
      <c r="K13" s="11">
        <f>IF(K$3=0,"",SUMIFS(INDEX(Inputs!$D$4:$AG$150,0,MATCH(K$2,Inputs!$D$2:$AG$2,0)),Inputs!$B$4:$B$150,$B13)/1000)</f>
        <v>-739</v>
      </c>
      <c r="L13" s="11">
        <f>IF(L$3=0,"",SUMIFS(INDEX(Inputs!$D$4:$AG$150,0,MATCH(L$2,Inputs!$D$2:$AG$2,0)),Inputs!$B$4:$B$150,$B13)/1000)</f>
        <v>-766</v>
      </c>
      <c r="M13" s="12">
        <f>IF(COUNT(I13:L13)=4,SUM(I13:L13),"")</f>
        <v>-3016</v>
      </c>
      <c r="N13" s="11">
        <f>IF(N$3=0,"",SUMIFS(INDEX(Inputs!$D$4:$AG$150,0,MATCH(N$2,Inputs!$D$2:$AG$2,0)),Inputs!$B$4:$B$150,$B13)/1000)</f>
        <v>-784</v>
      </c>
      <c r="O13" s="11">
        <f>IF(O$3=0,"",SUMIFS(INDEX(Inputs!$D$4:$AG$150,0,MATCH(O$2,Inputs!$D$2:$AG$2,0)),Inputs!$B$4:$B$150,$B13)/1000)</f>
        <v>-758</v>
      </c>
      <c r="P13" s="11">
        <f>IF(P$3=0,"",SUMIFS(INDEX(Inputs!$D$4:$AG$150,0,MATCH(P$2,Inputs!$D$2:$AG$2,0)),Inputs!$B$4:$B$150,$B13)/1000)</f>
        <v>-747</v>
      </c>
      <c r="Q13" s="11">
        <f>IF(Q$3=0,"",SUMIFS(INDEX(Inputs!$D$4:$AG$150,0,MATCH(Q$2,Inputs!$D$2:$AG$2,0)),Inputs!$B$4:$B$150,$B13)/1000)</f>
        <v>-767</v>
      </c>
      <c r="R13" s="12">
        <f>IF(COUNT(N13:Q13)=4,SUM(N13:Q13),"")</f>
        <v>-3056</v>
      </c>
      <c r="S13" s="11">
        <f>IF(S$3=0,"",SUMIFS(INDEX(Inputs!$D$4:$AG$150,0,MATCH(S$2,Inputs!$D$2:$AG$2,0)),Inputs!$B$4:$B$150,$B13)/1000)</f>
        <v>-780</v>
      </c>
      <c r="T13" s="11">
        <f>IF(T$3=0,"",SUMIFS(INDEX(Inputs!$D$4:$AG$150,0,MATCH(T$2,Inputs!$D$2:$AG$2,0)),Inputs!$B$4:$B$150,$B13)/1000)</f>
        <v>-752</v>
      </c>
      <c r="U13" s="11">
        <f>IF(U$3=0,"",SUMIFS(INDEX(Inputs!$D$4:$AG$150,0,MATCH(U$2,Inputs!$D$2:$AG$2,0)),Inputs!$B$4:$B$150,$B13)/1000)</f>
        <v>-749</v>
      </c>
      <c r="V13" s="11">
        <f>IF(V$3=0,"",SUMIFS(INDEX(Inputs!$D$4:$AG$150,0,MATCH(V$2,Inputs!$D$2:$AG$2,0)),Inputs!$B$4:$B$150,$B13)/1000)</f>
        <v>-778</v>
      </c>
      <c r="W13" s="12">
        <f>IF(COUNT(S13:V13)=4,SUM(S13:V13),"")</f>
        <v>-3059</v>
      </c>
      <c r="X13" s="11">
        <f>IF(X$3=0,"",SUMIFS(INDEX(Inputs!$D$4:$AG$150,0,MATCH(X$2,Inputs!$D$2:$AG$2,0)),Inputs!$B$4:$B$150,$B13)/1000)</f>
        <v>-796</v>
      </c>
      <c r="Y13" s="11">
        <f>IF(Y$3=0,"",SUMIFS(INDEX(Inputs!$D$4:$AG$150,0,MATCH(Y$2,Inputs!$D$2:$AG$2,0)),Inputs!$B$4:$B$150,$B13)/1000)</f>
        <v>-771</v>
      </c>
      <c r="Z13" s="11">
        <f>IF(Z$3=0,"",SUMIFS(INDEX(Inputs!$D$4:$AG$150,0,MATCH(Z$2,Inputs!$D$2:$AG$2,0)),Inputs!$B$4:$B$150,$B13)/1000)</f>
        <v>-765</v>
      </c>
      <c r="AA13" s="11">
        <f>IF(AA$3=0,"",SUMIFS(INDEX(Inputs!$D$4:$AG$150,0,MATCH(AA$2,Inputs!$D$2:$AG$2,0)),Inputs!$B$4:$B$150,$B13)/1000)</f>
        <v>-799</v>
      </c>
      <c r="AB13" s="12">
        <f>IF(COUNT(X13:AA13)=4,SUM(X13:AA13),"")</f>
        <v>-3131</v>
      </c>
      <c r="AC13" s="11">
        <f>IF(AC$3=0,"",SUMIFS(INDEX(Inputs!$D$4:$AG$150,0,MATCH(AC$2,Inputs!$D$2:$AG$2,0)),Inputs!$B$4:$B$150,$B13)/1000)</f>
        <v>-816</v>
      </c>
      <c r="AD13" s="11">
        <f>IF(AD$3=0,"",SUMIFS(INDEX(Inputs!$D$4:$AG$150,0,MATCH(AD$2,Inputs!$D$2:$AG$2,0)),Inputs!$B$4:$B$150,$B13)/1000)</f>
        <v>-796</v>
      </c>
      <c r="AE13" s="11" t="str">
        <f>IF(AE$3=0,"",SUMIFS(INDEX(Inputs!$D$4:$AG$150,0,MATCH(AE$2,Inputs!$D$2:$AG$2,0)),Inputs!$B$4:$B$150,$B13)/1000)</f>
        <v/>
      </c>
      <c r="AF13" s="11" t="str">
        <f>IF(AF$3=0,"",SUMIFS(INDEX(Inputs!$D$4:$AG$150,0,MATCH(AF$2,Inputs!$D$2:$AG$2,0)),Inputs!$B$4:$B$150,$B13)/1000)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IF(D$3=0,"",SUMIFS(INDEX(Inputs!$D$4:$AG$150,0,MATCH(D$2,Inputs!$D$2:$AG$2,0)),Inputs!$B$4:$B$150,$B15)/1000)</f>
        <v>2933</v>
      </c>
      <c r="E15" s="11">
        <f>IF(E$3=0,"",SUMIFS(INDEX(Inputs!$D$4:$AG$150,0,MATCH(E$2,Inputs!$D$2:$AG$2,0)),Inputs!$B$4:$B$150,$B15)/1000)</f>
        <v>2745</v>
      </c>
      <c r="F15" s="11">
        <f>IF(F$3=0,"",SUMIFS(INDEX(Inputs!$D$4:$AG$150,0,MATCH(F$2,Inputs!$D$2:$AG$2,0)),Inputs!$B$4:$B$150,$B15)/1000)</f>
        <v>2727</v>
      </c>
      <c r="G15" s="11">
        <f>IF(G$3=0,"",SUMIFS(INDEX(Inputs!$D$4:$AG$150,0,MATCH(G$2,Inputs!$D$2:$AG$2,0)),Inputs!$B$4:$B$150,$B15)/1000)</f>
        <v>3604</v>
      </c>
      <c r="H15" s="12">
        <f>IF(G15="","",G15)</f>
        <v>3604</v>
      </c>
      <c r="I15" s="11">
        <f>IF(I$3=0,"",SUMIFS(INDEX(Inputs!$D$4:$AG$150,0,MATCH(I$2,Inputs!$D$2:$AG$2,0)),Inputs!$B$4:$B$150,$B15)/1000)</f>
        <v>1883</v>
      </c>
      <c r="J15" s="11">
        <f>IF(J$3=0,"",SUMIFS(INDEX(Inputs!$D$4:$AG$150,0,MATCH(J$2,Inputs!$D$2:$AG$2,0)),Inputs!$B$4:$B$150,$B15)/1000)</f>
        <v>1775</v>
      </c>
      <c r="K15" s="11">
        <f>IF(K$3=0,"",SUMIFS(INDEX(Inputs!$D$4:$AG$150,0,MATCH(K$2,Inputs!$D$2:$AG$2,0)),Inputs!$B$4:$B$150,$B15)/1000)</f>
        <v>2430</v>
      </c>
      <c r="L15" s="11">
        <f>IF(L$3=0,"",SUMIFS(INDEX(Inputs!$D$4:$AG$150,0,MATCH(L$2,Inputs!$D$2:$AG$2,0)),Inputs!$B$4:$B$150,$B15)/1000)</f>
        <v>2547</v>
      </c>
      <c r="M15" s="12">
        <f>IF(L15="","",L15)</f>
        <v>2547</v>
      </c>
      <c r="N15" s="11">
        <f>IF(N$3=0,"",SUMIFS(INDEX(Inputs!$D$4:$AG$150,0,MATCH(N$2,Inputs!$D$2:$AG$2,0)),Inputs!$B$4:$B$150,$B15)/1000)</f>
        <v>2440</v>
      </c>
      <c r="O15" s="11">
        <f>IF(O$3=0,"",SUMIFS(INDEX(Inputs!$D$4:$AG$150,0,MATCH(O$2,Inputs!$D$2:$AG$2,0)),Inputs!$B$4:$B$150,$B15)/1000)</f>
        <v>3673</v>
      </c>
      <c r="P15" s="11">
        <f>IF(P$3=0,"",SUMIFS(INDEX(Inputs!$D$4:$AG$150,0,MATCH(P$2,Inputs!$D$2:$AG$2,0)),Inputs!$B$4:$B$150,$B15)/1000)</f>
        <v>3551</v>
      </c>
      <c r="Q15" s="11">
        <f>IF(Q$3=0,"",SUMIFS(INDEX(Inputs!$D$4:$AG$150,0,MATCH(Q$2,Inputs!$D$2:$AG$2,0)),Inputs!$B$4:$B$150,$B15)/1000)</f>
        <v>1442</v>
      </c>
      <c r="R15" s="12">
        <f>IF(Q15="","",Q15)</f>
        <v>1442</v>
      </c>
      <c r="S15" s="11">
        <f>IF(S$3=0,"",SUMIFS(INDEX(Inputs!$D$4:$AG$150,0,MATCH(S$2,Inputs!$D$2:$AG$2,0)),Inputs!$B$4:$B$150,$B15)/1000)</f>
        <v>2790</v>
      </c>
      <c r="T15" s="11">
        <f>IF(T$3=0,"",SUMIFS(INDEX(Inputs!$D$4:$AG$150,0,MATCH(T$2,Inputs!$D$2:$AG$2,0)),Inputs!$B$4:$B$150,$B15)/1000)</f>
        <v>2523</v>
      </c>
      <c r="U15" s="11">
        <f>IF(U$3=0,"",SUMIFS(INDEX(Inputs!$D$4:$AG$150,0,MATCH(U$2,Inputs!$D$2:$AG$2,0)),Inputs!$B$4:$B$150,$B15)/1000)</f>
        <v>3151</v>
      </c>
      <c r="V15" s="11">
        <f>IF(V$3=0,"",SUMIFS(INDEX(Inputs!$D$4:$AG$150,0,MATCH(V$2,Inputs!$D$2:$AG$2,0)),Inputs!$B$4:$B$150,$B15)/1000)</f>
        <v>2483</v>
      </c>
      <c r="W15" s="12">
        <f>IF(V15="","",V15)</f>
        <v>2483</v>
      </c>
      <c r="X15" s="11">
        <f>IF(X$3=0,"",SUMIFS(INDEX(Inputs!$D$4:$AG$150,0,MATCH(X$2,Inputs!$D$2:$AG$2,0)),Inputs!$B$4:$B$150,$B15)/1000)</f>
        <v>1803</v>
      </c>
      <c r="Y15" s="11">
        <f>IF(Y$3=0,"",SUMIFS(INDEX(Inputs!$D$4:$AG$150,0,MATCH(Y$2,Inputs!$D$2:$AG$2,0)),Inputs!$B$4:$B$150,$B15)/1000)</f>
        <v>1293</v>
      </c>
      <c r="Z15" s="11">
        <f>IF(Z$3=0,"",SUMIFS(INDEX(Inputs!$D$4:$AG$150,0,MATCH(Z$2,Inputs!$D$2:$AG$2,0)),Inputs!$B$4:$B$150,$B15)/1000)</f>
        <v>3470</v>
      </c>
      <c r="AA15" s="11">
        <f>IF(AA$3=0,"",SUMIFS(INDEX(Inputs!$D$4:$AG$150,0,MATCH(AA$2,Inputs!$D$2:$AG$2,0)),Inputs!$B$4:$B$150,$B15)/1000)</f>
        <v>4121</v>
      </c>
      <c r="AB15" s="12">
        <f>IF(AA15="","",AA15)</f>
        <v>4121</v>
      </c>
      <c r="AC15" s="11">
        <f>IF(AC$3=0,"",SUMIFS(INDEX(Inputs!$D$4:$AG$150,0,MATCH(AC$2,Inputs!$D$2:$AG$2,0)),Inputs!$B$4:$B$150,$B15)/1000)</f>
        <v>1894</v>
      </c>
      <c r="AD15" s="11">
        <f>IF(AD$3=0,"",SUMIFS(INDEX(Inputs!$D$4:$AG$150,0,MATCH(AD$2,Inputs!$D$2:$AG$2,0)),Inputs!$B$4:$B$150,$B15)/1000)</f>
        <v>3791</v>
      </c>
      <c r="AE15" s="11" t="str">
        <f>IF(AE$3=0,"",SUMIFS(INDEX(Inputs!$D$4:$AG$150,0,MATCH(AE$2,Inputs!$D$2:$AG$2,0)),Inputs!$B$4:$B$150,$B15)/1000)</f>
        <v/>
      </c>
      <c r="AF15" s="11" t="str">
        <f>IF(AF$3=0,"",SUMIFS(INDEX(Inputs!$D$4:$AG$150,0,MATCH(AF$2,Inputs!$D$2:$AG$2,0)),Inputs!$B$4:$B$150,$B15)/1000)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IF(D$3=0,"",SUMIFS(INDEX(Inputs!$D$4:$AG$150,0,MATCH(D$2,Inputs!$D$2:$AG$2,0)),Inputs!$B$4:$B$150,$B16)/1000)</f>
        <v>2214</v>
      </c>
      <c r="E16" s="11">
        <f>IF(E$3=0,"",SUMIFS(INDEX(Inputs!$D$4:$AG$150,0,MATCH(E$2,Inputs!$D$2:$AG$2,0)),Inputs!$B$4:$B$150,$B16)/1000)</f>
        <v>2611</v>
      </c>
      <c r="F16" s="11">
        <f>IF(F$3=0,"",SUMIFS(INDEX(Inputs!$D$4:$AG$150,0,MATCH(F$2,Inputs!$D$2:$AG$2,0)),Inputs!$B$4:$B$150,$B16)/1000)</f>
        <v>2267</v>
      </c>
      <c r="G16" s="11">
        <f>IF(G$3=0,"",SUMIFS(INDEX(Inputs!$D$4:$AG$150,0,MATCH(G$2,Inputs!$D$2:$AG$2,0)),Inputs!$B$4:$B$150,$B16)/1000)</f>
        <v>1963</v>
      </c>
      <c r="H16" s="12">
        <f>IF(G16="","",G16)</f>
        <v>1963</v>
      </c>
      <c r="I16" s="11">
        <f>IF(I$3=0,"",SUMIFS(INDEX(Inputs!$D$4:$AG$150,0,MATCH(I$2,Inputs!$D$2:$AG$2,0)),Inputs!$B$4:$B$150,$B16)/1000)</f>
        <v>2527</v>
      </c>
      <c r="J16" s="11">
        <f>IF(J$3=0,"",SUMIFS(INDEX(Inputs!$D$4:$AG$150,0,MATCH(J$2,Inputs!$D$2:$AG$2,0)),Inputs!$B$4:$B$150,$B16)/1000)</f>
        <v>3401</v>
      </c>
      <c r="K16" s="11">
        <f>IF(K$3=0,"",SUMIFS(INDEX(Inputs!$D$4:$AG$150,0,MATCH(K$2,Inputs!$D$2:$AG$2,0)),Inputs!$B$4:$B$150,$B16)/1000)</f>
        <v>2484</v>
      </c>
      <c r="L16" s="11">
        <f>IF(L$3=0,"",SUMIFS(INDEX(Inputs!$D$4:$AG$150,0,MATCH(L$2,Inputs!$D$2:$AG$2,0)),Inputs!$B$4:$B$150,$B16)/1000)</f>
        <v>2505</v>
      </c>
      <c r="M16" s="12">
        <f>IF(L16="","",L16)</f>
        <v>2505</v>
      </c>
      <c r="N16" s="11">
        <f>IF(N$3=0,"",SUMIFS(INDEX(Inputs!$D$4:$AG$150,0,MATCH(N$2,Inputs!$D$2:$AG$2,0)),Inputs!$B$4:$B$150,$B16)/1000)</f>
        <v>2583</v>
      </c>
      <c r="O16" s="11">
        <f>IF(O$3=0,"",SUMIFS(INDEX(Inputs!$D$4:$AG$150,0,MATCH(O$2,Inputs!$D$2:$AG$2,0)),Inputs!$B$4:$B$150,$B16)/1000)</f>
        <v>3427</v>
      </c>
      <c r="P16" s="11">
        <f>IF(P$3=0,"",SUMIFS(INDEX(Inputs!$D$4:$AG$150,0,MATCH(P$2,Inputs!$D$2:$AG$2,0)),Inputs!$B$4:$B$150,$B16)/1000)</f>
        <v>2405</v>
      </c>
      <c r="Q16" s="11">
        <f>IF(Q$3=0,"",SUMIFS(INDEX(Inputs!$D$4:$AG$150,0,MATCH(Q$2,Inputs!$D$2:$AG$2,0)),Inputs!$B$4:$B$150,$B16)/1000)</f>
        <v>2132</v>
      </c>
      <c r="R16" s="12">
        <f>IF(Q16="","",Q16)</f>
        <v>2132</v>
      </c>
      <c r="S16" s="11">
        <f>IF(S$3=0,"",SUMIFS(INDEX(Inputs!$D$4:$AG$150,0,MATCH(S$2,Inputs!$D$2:$AG$2,0)),Inputs!$B$4:$B$150,$B16)/1000)</f>
        <v>2257</v>
      </c>
      <c r="T16" s="11">
        <f>IF(T$3=0,"",SUMIFS(INDEX(Inputs!$D$4:$AG$150,0,MATCH(T$2,Inputs!$D$2:$AG$2,0)),Inputs!$B$4:$B$150,$B16)/1000)</f>
        <v>2930</v>
      </c>
      <c r="U16" s="11">
        <f>IF(U$3=0,"",SUMIFS(INDEX(Inputs!$D$4:$AG$150,0,MATCH(U$2,Inputs!$D$2:$AG$2,0)),Inputs!$B$4:$B$150,$B16)/1000)</f>
        <v>2141</v>
      </c>
      <c r="V16" s="11">
        <f>IF(V$3=0,"",SUMIFS(INDEX(Inputs!$D$4:$AG$150,0,MATCH(V$2,Inputs!$D$2:$AG$2,0)),Inputs!$B$4:$B$150,$B16)/1000)</f>
        <v>2351</v>
      </c>
      <c r="W16" s="12">
        <f>IF(V16="","",V16)</f>
        <v>2351</v>
      </c>
      <c r="X16" s="11">
        <f>IF(X$3=0,"",SUMIFS(INDEX(Inputs!$D$4:$AG$150,0,MATCH(X$2,Inputs!$D$2:$AG$2,0)),Inputs!$B$4:$B$150,$B16)/1000)</f>
        <v>2024</v>
      </c>
      <c r="Y16" s="11">
        <f>IF(Y$3=0,"",SUMIFS(INDEX(Inputs!$D$4:$AG$150,0,MATCH(Y$2,Inputs!$D$2:$AG$2,0)),Inputs!$B$4:$B$150,$B16)/1000)</f>
        <v>3306</v>
      </c>
      <c r="Z16" s="11">
        <f>IF(Z$3=0,"",SUMIFS(INDEX(Inputs!$D$4:$AG$150,0,MATCH(Z$2,Inputs!$D$2:$AG$2,0)),Inputs!$B$4:$B$150,$B16)/1000)</f>
        <v>3844</v>
      </c>
      <c r="AA16" s="11">
        <f>IF(AA$3=0,"",SUMIFS(INDEX(Inputs!$D$4:$AG$150,0,MATCH(AA$2,Inputs!$D$2:$AG$2,0)),Inputs!$B$4:$B$150,$B16)/1000)</f>
        <v>3901</v>
      </c>
      <c r="AB16" s="12">
        <f>IF(AA16="","",AA16)</f>
        <v>3901</v>
      </c>
      <c r="AC16" s="11">
        <f>IF(AC$3=0,"",SUMIFS(INDEX(Inputs!$D$4:$AG$150,0,MATCH(AC$2,Inputs!$D$2:$AG$2,0)),Inputs!$B$4:$B$150,$B16)/1000)</f>
        <v>2322</v>
      </c>
      <c r="AD16" s="11">
        <f>IF(AD$3=0,"",SUMIFS(INDEX(Inputs!$D$4:$AG$150,0,MATCH(AD$2,Inputs!$D$2:$AG$2,0)),Inputs!$B$4:$B$150,$B16)/1000)</f>
        <v>3356</v>
      </c>
      <c r="AE16" s="11" t="str">
        <f>IF(AE$3=0,"",SUMIFS(INDEX(Inputs!$D$4:$AG$150,0,MATCH(AE$2,Inputs!$D$2:$AG$2,0)),Inputs!$B$4:$B$150,$B16)/1000)</f>
        <v/>
      </c>
      <c r="AF16" s="11" t="str">
        <f>IF(AF$3=0,"",SUMIFS(INDEX(Inputs!$D$4:$AG$150,0,MATCH(AF$2,Inputs!$D$2:$AG$2,0)),Inputs!$B$4:$B$150,$B16)/1000)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IF(D$3=0,"",SUMIFS(INDEX(Inputs!$D$4:$AG$150,0,MATCH(D$2,Inputs!$D$2:$AG$2,0)),Inputs!$B$4:$B$150,$B17)/1000)</f>
        <v>0</v>
      </c>
      <c r="E17" s="11">
        <f>IF(E$3=0,"",SUMIFS(INDEX(Inputs!$D$4:$AG$150,0,MATCH(E$2,Inputs!$D$2:$AG$2,0)),Inputs!$B$4:$B$150,$B17)/1000)</f>
        <v>0</v>
      </c>
      <c r="F17" s="11">
        <f>IF(F$3=0,"",SUMIFS(INDEX(Inputs!$D$4:$AG$150,0,MATCH(F$2,Inputs!$D$2:$AG$2,0)),Inputs!$B$4:$B$150,$B17)/1000)</f>
        <v>0</v>
      </c>
      <c r="G17" s="11">
        <f>IF(G$3=0,"",SUMIFS(INDEX(Inputs!$D$4:$AG$150,0,MATCH(G$2,Inputs!$D$2:$AG$2,0)),Inputs!$B$4:$B$150,$B17)/1000)</f>
        <v>0</v>
      </c>
      <c r="H17" s="12">
        <f>IF(G17="","",G17)</f>
        <v>0</v>
      </c>
      <c r="I17" s="11">
        <f>IF(I$3=0,"",SUMIFS(INDEX(Inputs!$D$4:$AG$150,0,MATCH(I$2,Inputs!$D$2:$AG$2,0)),Inputs!$B$4:$B$150,$B17)/1000)</f>
        <v>0</v>
      </c>
      <c r="J17" s="11">
        <f>IF(J$3=0,"",SUMIFS(INDEX(Inputs!$D$4:$AG$150,0,MATCH(J$2,Inputs!$D$2:$AG$2,0)),Inputs!$B$4:$B$150,$B17)/1000)</f>
        <v>0</v>
      </c>
      <c r="K17" s="11">
        <f>IF(K$3=0,"",SUMIFS(INDEX(Inputs!$D$4:$AG$150,0,MATCH(K$2,Inputs!$D$2:$AG$2,0)),Inputs!$B$4:$B$150,$B17)/1000)</f>
        <v>0</v>
      </c>
      <c r="L17" s="11">
        <f>IF(L$3=0,"",SUMIFS(INDEX(Inputs!$D$4:$AG$150,0,MATCH(L$2,Inputs!$D$2:$AG$2,0)),Inputs!$B$4:$B$150,$B17)/1000)</f>
        <v>0</v>
      </c>
      <c r="M17" s="12">
        <f>IF(L17="","",L17)</f>
        <v>0</v>
      </c>
      <c r="N17" s="11">
        <f>IF(N$3=0,"",SUMIFS(INDEX(Inputs!$D$4:$AG$150,0,MATCH(N$2,Inputs!$D$2:$AG$2,0)),Inputs!$B$4:$B$150,$B17)/1000)</f>
        <v>0</v>
      </c>
      <c r="O17" s="11">
        <f>IF(O$3=0,"",SUMIFS(INDEX(Inputs!$D$4:$AG$150,0,MATCH(O$2,Inputs!$D$2:$AG$2,0)),Inputs!$B$4:$B$150,$B17)/1000)</f>
        <v>0</v>
      </c>
      <c r="P17" s="11">
        <f>IF(P$3=0,"",SUMIFS(INDEX(Inputs!$D$4:$AG$150,0,MATCH(P$2,Inputs!$D$2:$AG$2,0)),Inputs!$B$4:$B$150,$B17)/1000)</f>
        <v>0</v>
      </c>
      <c r="Q17" s="11">
        <f>IF(Q$3=0,"",SUMIFS(INDEX(Inputs!$D$4:$AG$150,0,MATCH(Q$2,Inputs!$D$2:$AG$2,0)),Inputs!$B$4:$B$150,$B17)/1000)</f>
        <v>0</v>
      </c>
      <c r="R17" s="12">
        <f>IF(Q17="","",Q17)</f>
        <v>0</v>
      </c>
      <c r="S17" s="11">
        <f>IF(S$3=0,"",SUMIFS(INDEX(Inputs!$D$4:$AG$150,0,MATCH(S$2,Inputs!$D$2:$AG$2,0)),Inputs!$B$4:$B$150,$B17)/1000)</f>
        <v>0</v>
      </c>
      <c r="T17" s="11">
        <f>IF(T$3=0,"",SUMIFS(INDEX(Inputs!$D$4:$AG$150,0,MATCH(T$2,Inputs!$D$2:$AG$2,0)),Inputs!$B$4:$B$150,$B17)/1000)</f>
        <v>0</v>
      </c>
      <c r="U17" s="11">
        <f>IF(U$3=0,"",SUMIFS(INDEX(Inputs!$D$4:$AG$150,0,MATCH(U$2,Inputs!$D$2:$AG$2,0)),Inputs!$B$4:$B$150,$B17)/1000)</f>
        <v>0</v>
      </c>
      <c r="V17" s="11">
        <f>IF(V$3=0,"",SUMIFS(INDEX(Inputs!$D$4:$AG$150,0,MATCH(V$2,Inputs!$D$2:$AG$2,0)),Inputs!$B$4:$B$150,$B17)/1000)</f>
        <v>0</v>
      </c>
      <c r="W17" s="12">
        <f>IF(V17="","",V17)</f>
        <v>0</v>
      </c>
      <c r="X17" s="11">
        <f>IF(X$3=0,"",SUMIFS(INDEX(Inputs!$D$4:$AG$150,0,MATCH(X$2,Inputs!$D$2:$AG$2,0)),Inputs!$B$4:$B$150,$B17)/1000)</f>
        <v>0</v>
      </c>
      <c r="Y17" s="11">
        <f>IF(Y$3=0,"",SUMIFS(INDEX(Inputs!$D$4:$AG$150,0,MATCH(Y$2,Inputs!$D$2:$AG$2,0)),Inputs!$B$4:$B$150,$B17)/1000)</f>
        <v>0</v>
      </c>
      <c r="Z17" s="11">
        <f>IF(Z$3=0,"",SUMIFS(INDEX(Inputs!$D$4:$AG$150,0,MATCH(Z$2,Inputs!$D$2:$AG$2,0)),Inputs!$B$4:$B$150,$B17)/1000)</f>
        <v>0</v>
      </c>
      <c r="AA17" s="11">
        <f>IF(AA$3=0,"",SUMIFS(INDEX(Inputs!$D$4:$AG$150,0,MATCH(AA$2,Inputs!$D$2:$AG$2,0)),Inputs!$B$4:$B$150,$B17)/1000)</f>
        <v>0</v>
      </c>
      <c r="AB17" s="12">
        <f>IF(AA17="","",AA17)</f>
        <v>0</v>
      </c>
      <c r="AC17" s="11">
        <f>IF(AC$3=0,"",SUMIFS(INDEX(Inputs!$D$4:$AG$150,0,MATCH(AC$2,Inputs!$D$2:$AG$2,0)),Inputs!$B$4:$B$150,$B17)/1000)</f>
        <v>4251</v>
      </c>
      <c r="AD17" s="11">
        <f>IF(AD$3=0,"",SUMIFS(INDEX(Inputs!$D$4:$AG$150,0,MATCH(AD$2,Inputs!$D$2:$AG$2,0)),Inputs!$B$4:$B$150,$B17)/1000)</f>
        <v>4411</v>
      </c>
      <c r="AE17" s="11" t="str">
        <f>IF(AE$3=0,"",SUMIFS(INDEX(Inputs!$D$4:$AG$150,0,MATCH(AE$2,Inputs!$D$2:$AG$2,0)),Inputs!$B$4:$B$150,$B17)/1000)</f>
        <v/>
      </c>
      <c r="AF17" s="11" t="str">
        <f>IF(AF$3=0,"",SUMIFS(INDEX(Inputs!$D$4:$AG$150,0,MATCH(AF$2,Inputs!$D$2:$AG$2,0)),Inputs!$B$4:$B$150,$B17)/1000)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IF(D$3=0,"",SUMIFS(INDEX(Inputs!$D$4:$AG$150,0,MATCH(D$2,Inputs!$D$2:$AG$2,0)),Inputs!$B$4:$B$150,$B18)/1000)</f>
        <v>3375</v>
      </c>
      <c r="E18" s="11">
        <f>IF(E$3=0,"",SUMIFS(INDEX(Inputs!$D$4:$AG$150,0,MATCH(E$2,Inputs!$D$2:$AG$2,0)),Inputs!$B$4:$B$150,$B18)/1000)</f>
        <v>3377</v>
      </c>
      <c r="F18" s="11">
        <f>IF(F$3=0,"",SUMIFS(INDEX(Inputs!$D$4:$AG$150,0,MATCH(F$2,Inputs!$D$2:$AG$2,0)),Inputs!$B$4:$B$150,$B18)/1000)</f>
        <v>2664</v>
      </c>
      <c r="G18" s="11">
        <f>IF(G$3=0,"",SUMIFS(INDEX(Inputs!$D$4:$AG$150,0,MATCH(G$2,Inputs!$D$2:$AG$2,0)),Inputs!$B$4:$B$150,$B18)/1000)</f>
        <v>2290</v>
      </c>
      <c r="H18" s="12">
        <f>IF(G18="","",G18)</f>
        <v>2290</v>
      </c>
      <c r="I18" s="11">
        <f>IF(I$3=0,"",SUMIFS(INDEX(Inputs!$D$4:$AG$150,0,MATCH(I$2,Inputs!$D$2:$AG$2,0)),Inputs!$B$4:$B$150,$B18)/1000)</f>
        <v>2688</v>
      </c>
      <c r="J18" s="11">
        <f>IF(J$3=0,"",SUMIFS(INDEX(Inputs!$D$4:$AG$150,0,MATCH(J$2,Inputs!$D$2:$AG$2,0)),Inputs!$B$4:$B$150,$B18)/1000)</f>
        <v>2680</v>
      </c>
      <c r="K18" s="11">
        <f>IF(K$3=0,"",SUMIFS(INDEX(Inputs!$D$4:$AG$150,0,MATCH(K$2,Inputs!$D$2:$AG$2,0)),Inputs!$B$4:$B$150,$B18)/1000)</f>
        <v>3116</v>
      </c>
      <c r="L18" s="11">
        <f>IF(L$3=0,"",SUMIFS(INDEX(Inputs!$D$4:$AG$150,0,MATCH(L$2,Inputs!$D$2:$AG$2,0)),Inputs!$B$4:$B$150,$B18)/1000)</f>
        <v>3744</v>
      </c>
      <c r="M18" s="12">
        <f>IF(L18="","",L18)</f>
        <v>3744</v>
      </c>
      <c r="N18" s="11">
        <f>IF(N$3=0,"",SUMIFS(INDEX(Inputs!$D$4:$AG$150,0,MATCH(N$2,Inputs!$D$2:$AG$2,0)),Inputs!$B$4:$B$150,$B18)/1000)</f>
        <v>4175</v>
      </c>
      <c r="O18" s="11">
        <f>IF(O$3=0,"",SUMIFS(INDEX(Inputs!$D$4:$AG$150,0,MATCH(O$2,Inputs!$D$2:$AG$2,0)),Inputs!$B$4:$B$150,$B18)/1000)</f>
        <v>4518</v>
      </c>
      <c r="P18" s="11">
        <f>IF(P$3=0,"",SUMIFS(INDEX(Inputs!$D$4:$AG$150,0,MATCH(P$2,Inputs!$D$2:$AG$2,0)),Inputs!$B$4:$B$150,$B18)/1000)</f>
        <v>4873</v>
      </c>
      <c r="Q18" s="11">
        <f>IF(Q$3=0,"",SUMIFS(INDEX(Inputs!$D$4:$AG$150,0,MATCH(Q$2,Inputs!$D$2:$AG$2,0)),Inputs!$B$4:$B$150,$B18)/1000)</f>
        <v>2953</v>
      </c>
      <c r="R18" s="12">
        <f>IF(Q18="","",Q18)</f>
        <v>2953</v>
      </c>
      <c r="S18" s="11">
        <f>IF(S$3=0,"",SUMIFS(INDEX(Inputs!$D$4:$AG$150,0,MATCH(S$2,Inputs!$D$2:$AG$2,0)),Inputs!$B$4:$B$150,$B18)/1000)</f>
        <v>3024</v>
      </c>
      <c r="T18" s="11">
        <f>IF(T$3=0,"",SUMIFS(INDEX(Inputs!$D$4:$AG$150,0,MATCH(T$2,Inputs!$D$2:$AG$2,0)),Inputs!$B$4:$B$150,$B18)/1000)</f>
        <v>3080</v>
      </c>
      <c r="U18" s="11">
        <f>IF(U$3=0,"",SUMIFS(INDEX(Inputs!$D$4:$AG$150,0,MATCH(U$2,Inputs!$D$2:$AG$2,0)),Inputs!$B$4:$B$150,$B18)/1000)</f>
        <v>3105</v>
      </c>
      <c r="V18" s="11">
        <f>IF(V$3=0,"",SUMIFS(INDEX(Inputs!$D$4:$AG$150,0,MATCH(V$2,Inputs!$D$2:$AG$2,0)),Inputs!$B$4:$B$150,$B18)/1000)</f>
        <v>3557</v>
      </c>
      <c r="W18" s="12">
        <f>IF(V18="","",V18)</f>
        <v>3557</v>
      </c>
      <c r="X18" s="11">
        <f>IF(X$3=0,"",SUMIFS(INDEX(Inputs!$D$4:$AG$150,0,MATCH(X$2,Inputs!$D$2:$AG$2,0)),Inputs!$B$4:$B$150,$B18)/1000)</f>
        <v>3568</v>
      </c>
      <c r="Y18" s="11">
        <f>IF(Y$3=0,"",SUMIFS(INDEX(Inputs!$D$4:$AG$150,0,MATCH(Y$2,Inputs!$D$2:$AG$2,0)),Inputs!$B$4:$B$150,$B18)/1000)</f>
        <v>4070</v>
      </c>
      <c r="Z18" s="11">
        <f>IF(Z$3=0,"",SUMIFS(INDEX(Inputs!$D$4:$AG$150,0,MATCH(Z$2,Inputs!$D$2:$AG$2,0)),Inputs!$B$4:$B$150,$B18)/1000)</f>
        <v>3413</v>
      </c>
      <c r="AA18" s="11">
        <f>IF(AA$3=0,"",SUMIFS(INDEX(Inputs!$D$4:$AG$150,0,MATCH(AA$2,Inputs!$D$2:$AG$2,0)),Inputs!$B$4:$B$150,$B18)/1000)</f>
        <v>2975</v>
      </c>
      <c r="AB18" s="12">
        <f>IF(AA18="","",AA18)</f>
        <v>2975</v>
      </c>
      <c r="AC18" s="11">
        <f>IF(AC$3=0,"",SUMIFS(INDEX(Inputs!$D$4:$AG$150,0,MATCH(AC$2,Inputs!$D$2:$AG$2,0)),Inputs!$B$4:$B$150,$B18)/1000)</f>
        <v>2802</v>
      </c>
      <c r="AD18" s="11">
        <f>IF(AD$3=0,"",SUMIFS(INDEX(Inputs!$D$4:$AG$150,0,MATCH(AD$2,Inputs!$D$2:$AG$2,0)),Inputs!$B$4:$B$150,$B18)/1000)</f>
        <v>2414</v>
      </c>
      <c r="AE18" s="11" t="str">
        <f>IF(AE$3=0,"",SUMIFS(INDEX(Inputs!$D$4:$AG$150,0,MATCH(AE$2,Inputs!$D$2:$AG$2,0)),Inputs!$B$4:$B$150,$B18)/1000)</f>
        <v/>
      </c>
      <c r="AF18" s="11" t="str">
        <f>IF(AF$3=0,"",SUMIFS(INDEX(Inputs!$D$4:$AG$150,0,MATCH(AF$2,Inputs!$D$2:$AG$2,0)),Inputs!$B$4:$B$150,$B18)/1000)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IF(D$3=0,"",SUMIFS(INDEX(Inputs!$D$4:$AG$150,0,MATCH(D$2,Inputs!$D$2:$AG$2,0)),Inputs!$B$4:$B$150,$B19)/1000)</f>
        <v>0</v>
      </c>
      <c r="E19" s="11">
        <f>IF(E$3=0,"",SUMIFS(INDEX(Inputs!$D$4:$AG$150,0,MATCH(E$2,Inputs!$D$2:$AG$2,0)),Inputs!$B$4:$B$150,$B19)/1000)</f>
        <v>0</v>
      </c>
      <c r="F19" s="11">
        <f>IF(F$3=0,"",SUMIFS(INDEX(Inputs!$D$4:$AG$150,0,MATCH(F$2,Inputs!$D$2:$AG$2,0)),Inputs!$B$4:$B$150,$B19)/1000)</f>
        <v>0</v>
      </c>
      <c r="G19" s="11">
        <f>IF(G$3=0,"",SUMIFS(INDEX(Inputs!$D$4:$AG$150,0,MATCH(G$2,Inputs!$D$2:$AG$2,0)),Inputs!$B$4:$B$150,$B19)/1000)</f>
        <v>0</v>
      </c>
      <c r="H19" s="12">
        <f>IF(G19="","",G19)</f>
        <v>0</v>
      </c>
      <c r="I19" s="11">
        <f>IF(I$3=0,"",SUMIFS(INDEX(Inputs!$D$4:$AG$150,0,MATCH(I$2,Inputs!$D$2:$AG$2,0)),Inputs!$B$4:$B$150,$B19)/1000)</f>
        <v>0</v>
      </c>
      <c r="J19" s="11">
        <f>IF(J$3=0,"",SUMIFS(INDEX(Inputs!$D$4:$AG$150,0,MATCH(J$2,Inputs!$D$2:$AG$2,0)),Inputs!$B$4:$B$150,$B19)/1000)</f>
        <v>0</v>
      </c>
      <c r="K19" s="11">
        <f>IF(K$3=0,"",SUMIFS(INDEX(Inputs!$D$4:$AG$150,0,MATCH(K$2,Inputs!$D$2:$AG$2,0)),Inputs!$B$4:$B$150,$B19)/1000)</f>
        <v>0</v>
      </c>
      <c r="L19" s="11">
        <f>IF(L$3=0,"",SUMIFS(INDEX(Inputs!$D$4:$AG$150,0,MATCH(L$2,Inputs!$D$2:$AG$2,0)),Inputs!$B$4:$B$150,$B19)/1000)</f>
        <v>0</v>
      </c>
      <c r="M19" s="12">
        <f>IF(L19="","",L19)</f>
        <v>0</v>
      </c>
      <c r="N19" s="11">
        <f>IF(N$3=0,"",SUMIFS(INDEX(Inputs!$D$4:$AG$150,0,MATCH(N$2,Inputs!$D$2:$AG$2,0)),Inputs!$B$4:$B$150,$B19)/1000)</f>
        <v>0</v>
      </c>
      <c r="O19" s="11">
        <f>IF(O$3=0,"",SUMIFS(INDEX(Inputs!$D$4:$AG$150,0,MATCH(O$2,Inputs!$D$2:$AG$2,0)),Inputs!$B$4:$B$150,$B19)/1000)</f>
        <v>0</v>
      </c>
      <c r="P19" s="11">
        <f>IF(P$3=0,"",SUMIFS(INDEX(Inputs!$D$4:$AG$150,0,MATCH(P$2,Inputs!$D$2:$AG$2,0)),Inputs!$B$4:$B$150,$B19)/1000)</f>
        <v>0</v>
      </c>
      <c r="Q19" s="11">
        <f>IF(Q$3=0,"",SUMIFS(INDEX(Inputs!$D$4:$AG$150,0,MATCH(Q$2,Inputs!$D$2:$AG$2,0)),Inputs!$B$4:$B$150,$B19)/1000)</f>
        <v>0</v>
      </c>
      <c r="R19" s="12">
        <f>IF(Q19="","",Q19)</f>
        <v>0</v>
      </c>
      <c r="S19" s="11">
        <f>IF(S$3=0,"",SUMIFS(INDEX(Inputs!$D$4:$AG$150,0,MATCH(S$2,Inputs!$D$2:$AG$2,0)),Inputs!$B$4:$B$150,$B19)/1000)</f>
        <v>0</v>
      </c>
      <c r="T19" s="11">
        <f>IF(T$3=0,"",SUMIFS(INDEX(Inputs!$D$4:$AG$150,0,MATCH(T$2,Inputs!$D$2:$AG$2,0)),Inputs!$B$4:$B$150,$B19)/1000)</f>
        <v>0</v>
      </c>
      <c r="U19" s="11">
        <f>IF(U$3=0,"",SUMIFS(INDEX(Inputs!$D$4:$AG$150,0,MATCH(U$2,Inputs!$D$2:$AG$2,0)),Inputs!$B$4:$B$150,$B19)/1000)</f>
        <v>0</v>
      </c>
      <c r="V19" s="11">
        <f>IF(V$3=0,"",SUMIFS(INDEX(Inputs!$D$4:$AG$150,0,MATCH(V$2,Inputs!$D$2:$AG$2,0)),Inputs!$B$4:$B$150,$B19)/1000)</f>
        <v>0</v>
      </c>
      <c r="W19" s="12">
        <f>IF(V19="","",V19)</f>
        <v>0</v>
      </c>
      <c r="X19" s="11">
        <f>IF(X$3=0,"",SUMIFS(INDEX(Inputs!$D$4:$AG$150,0,MATCH(X$2,Inputs!$D$2:$AG$2,0)),Inputs!$B$4:$B$150,$B19)/1000)</f>
        <v>0</v>
      </c>
      <c r="Y19" s="11">
        <f>IF(Y$3=0,"",SUMIFS(INDEX(Inputs!$D$4:$AG$150,0,MATCH(Y$2,Inputs!$D$2:$AG$2,0)),Inputs!$B$4:$B$150,$B19)/1000)</f>
        <v>0</v>
      </c>
      <c r="Z19" s="11">
        <f>IF(Z$3=0,"",SUMIFS(INDEX(Inputs!$D$4:$AG$150,0,MATCH(Z$2,Inputs!$D$2:$AG$2,0)),Inputs!$B$4:$B$150,$B19)/1000)</f>
        <v>0</v>
      </c>
      <c r="AA19" s="11">
        <f>IF(AA$3=0,"",SUMIFS(INDEX(Inputs!$D$4:$AG$150,0,MATCH(AA$2,Inputs!$D$2:$AG$2,0)),Inputs!$B$4:$B$150,$B19)/1000)</f>
        <v>0</v>
      </c>
      <c r="AB19" s="12">
        <f>IF(AA19="","",AA19)</f>
        <v>0</v>
      </c>
      <c r="AC19" s="11">
        <f>IF(AC$3=0,"",SUMIFS(INDEX(Inputs!$D$4:$AG$150,0,MATCH(AC$2,Inputs!$D$2:$AG$2,0)),Inputs!$B$4:$B$150,$B19)/1000)</f>
        <v>0</v>
      </c>
      <c r="AD19" s="11">
        <f>IF(AD$3=0,"",SUMIFS(INDEX(Inputs!$D$4:$AG$150,0,MATCH(AD$2,Inputs!$D$2:$AG$2,0)),Inputs!$B$4:$B$150,$B19)/1000)</f>
        <v>0</v>
      </c>
      <c r="AE19" s="11" t="str">
        <f>IF(AE$3=0,"",SUMIFS(INDEX(Inputs!$D$4:$AG$150,0,MATCH(AE$2,Inputs!$D$2:$AG$2,0)),Inputs!$B$4:$B$150,$B19)/1000)</f>
        <v/>
      </c>
      <c r="AF19" s="11" t="str">
        <f>IF(AF$3=0,"",SUMIFS(INDEX(Inputs!$D$4:$AG$150,0,MATCH(AF$2,Inputs!$D$2:$AG$2,0)),Inputs!$B$4:$B$150,$B19)/1000)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IF(D$3=0,"",SUMIFS(INDEX(Inputs!$D$4:$AG$150,0,MATCH(D$2,Inputs!$D$2:$AG$2,0)),Inputs!$B$4:$B$150,$B20)/1000)</f>
        <v>15105</v>
      </c>
      <c r="E20" s="11">
        <f>IF(E$3=0,"",SUMIFS(INDEX(Inputs!$D$4:$AG$150,0,MATCH(E$2,Inputs!$D$2:$AG$2,0)),Inputs!$B$4:$B$150,$B20)/1000)</f>
        <v>15318</v>
      </c>
      <c r="F20" s="11">
        <f>IF(F$3=0,"",SUMIFS(INDEX(Inputs!$D$4:$AG$150,0,MATCH(F$2,Inputs!$D$2:$AG$2,0)),Inputs!$B$4:$B$150,$B20)/1000)</f>
        <v>16363</v>
      </c>
      <c r="G20" s="11">
        <f>IF(G$3=0,"",SUMIFS(INDEX(Inputs!$D$4:$AG$150,0,MATCH(G$2,Inputs!$D$2:$AG$2,0)),Inputs!$B$4:$B$150,$B20)/1000)</f>
        <v>14248</v>
      </c>
      <c r="H20" s="12">
        <f>IF(G20="","",G20)</f>
        <v>14248</v>
      </c>
      <c r="I20" s="11">
        <f>IF(I$3=0,"",SUMIFS(INDEX(Inputs!$D$4:$AG$150,0,MATCH(I$2,Inputs!$D$2:$AG$2,0)),Inputs!$B$4:$B$150,$B20)/1000)</f>
        <v>15980</v>
      </c>
      <c r="J20" s="11">
        <f>IF(J$3=0,"",SUMIFS(INDEX(Inputs!$D$4:$AG$150,0,MATCH(J$2,Inputs!$D$2:$AG$2,0)),Inputs!$B$4:$B$150,$B20)/1000)</f>
        <v>15797</v>
      </c>
      <c r="K20" s="11">
        <f>IF(K$3=0,"",SUMIFS(INDEX(Inputs!$D$4:$AG$150,0,MATCH(K$2,Inputs!$D$2:$AG$2,0)),Inputs!$B$4:$B$150,$B20)/1000)</f>
        <v>16046</v>
      </c>
      <c r="L20" s="11">
        <f>IF(L$3=0,"",SUMIFS(INDEX(Inputs!$D$4:$AG$150,0,MATCH(L$2,Inputs!$D$2:$AG$2,0)),Inputs!$B$4:$B$150,$B20)/1000)</f>
        <v>15939</v>
      </c>
      <c r="M20" s="12">
        <f>IF(L20="","",L20)</f>
        <v>15939</v>
      </c>
      <c r="N20" s="11">
        <f>IF(N$3=0,"",SUMIFS(INDEX(Inputs!$D$4:$AG$150,0,MATCH(N$2,Inputs!$D$2:$AG$2,0)),Inputs!$B$4:$B$150,$B20)/1000)</f>
        <v>17121</v>
      </c>
      <c r="O20" s="11">
        <f>IF(O$3=0,"",SUMIFS(INDEX(Inputs!$D$4:$AG$150,0,MATCH(O$2,Inputs!$D$2:$AG$2,0)),Inputs!$B$4:$B$150,$B20)/1000)</f>
        <v>16987</v>
      </c>
      <c r="P20" s="11">
        <f>IF(P$3=0,"",SUMIFS(INDEX(Inputs!$D$4:$AG$150,0,MATCH(P$2,Inputs!$D$2:$AG$2,0)),Inputs!$B$4:$B$150,$B20)/1000)</f>
        <v>17366</v>
      </c>
      <c r="Q20" s="11">
        <f>IF(Q$3=0,"",SUMIFS(INDEX(Inputs!$D$4:$AG$150,0,MATCH(Q$2,Inputs!$D$2:$AG$2,0)),Inputs!$B$4:$B$150,$B20)/1000)</f>
        <v>16947</v>
      </c>
      <c r="R20" s="12">
        <f>IF(Q20="","",Q20)</f>
        <v>16947</v>
      </c>
      <c r="S20" s="11">
        <f>IF(S$3=0,"",SUMIFS(INDEX(Inputs!$D$4:$AG$150,0,MATCH(S$2,Inputs!$D$2:$AG$2,0)),Inputs!$B$4:$B$150,$B20)/1000)</f>
        <v>17911</v>
      </c>
      <c r="T20" s="11">
        <f>IF(T$3=0,"",SUMIFS(INDEX(Inputs!$D$4:$AG$150,0,MATCH(T$2,Inputs!$D$2:$AG$2,0)),Inputs!$B$4:$B$150,$B20)/1000)</f>
        <v>17514</v>
      </c>
      <c r="U20" s="11">
        <f>IF(U$3=0,"",SUMIFS(INDEX(Inputs!$D$4:$AG$150,0,MATCH(U$2,Inputs!$D$2:$AG$2,0)),Inputs!$B$4:$B$150,$B20)/1000)</f>
        <v>17919</v>
      </c>
      <c r="V20" s="11">
        <f>IF(V$3=0,"",SUMIFS(INDEX(Inputs!$D$4:$AG$150,0,MATCH(V$2,Inputs!$D$2:$AG$2,0)),Inputs!$B$4:$B$150,$B20)/1000)</f>
        <v>17015</v>
      </c>
      <c r="W20" s="12">
        <f>IF(V20="","",V20)</f>
        <v>17015</v>
      </c>
      <c r="X20" s="11">
        <f>IF(X$3=0,"",SUMIFS(INDEX(Inputs!$D$4:$AG$150,0,MATCH(X$2,Inputs!$D$2:$AG$2,0)),Inputs!$B$4:$B$150,$B20)/1000)</f>
        <v>18974</v>
      </c>
      <c r="Y20" s="11">
        <f>IF(Y$3=0,"",SUMIFS(INDEX(Inputs!$D$4:$AG$150,0,MATCH(Y$2,Inputs!$D$2:$AG$2,0)),Inputs!$B$4:$B$150,$B20)/1000)</f>
        <v>19389</v>
      </c>
      <c r="Z20" s="11">
        <f>IF(Z$3=0,"",SUMIFS(INDEX(Inputs!$D$4:$AG$150,0,MATCH(Z$2,Inputs!$D$2:$AG$2,0)),Inputs!$B$4:$B$150,$B20)/1000)</f>
        <v>18622</v>
      </c>
      <c r="AA20" s="11">
        <f>IF(AA$3=0,"",SUMIFS(INDEX(Inputs!$D$4:$AG$150,0,MATCH(AA$2,Inputs!$D$2:$AG$2,0)),Inputs!$B$4:$B$150,$B20)/1000)</f>
        <v>17340</v>
      </c>
      <c r="AB20" s="12">
        <f>IF(AA20="","",AA20)</f>
        <v>17340</v>
      </c>
      <c r="AC20" s="11">
        <f>IF(AC$3=0,"",SUMIFS(INDEX(Inputs!$D$4:$AG$150,0,MATCH(AC$2,Inputs!$D$2:$AG$2,0)),Inputs!$B$4:$B$150,$B20)/1000)</f>
        <v>16613</v>
      </c>
      <c r="AD20" s="11">
        <f>IF(AD$3=0,"",SUMIFS(INDEX(Inputs!$D$4:$AG$150,0,MATCH(AD$2,Inputs!$D$2:$AG$2,0)),Inputs!$B$4:$B$150,$B20)/1000)</f>
        <v>16843</v>
      </c>
      <c r="AE20" s="11" t="str">
        <f>IF(AE$3=0,"",SUMIFS(INDEX(Inputs!$D$4:$AG$150,0,MATCH(AE$2,Inputs!$D$2:$AG$2,0)),Inputs!$B$4:$B$150,$B20)/1000)</f>
        <v/>
      </c>
      <c r="AF20" s="11" t="str">
        <f>IF(AF$3=0,"",SUMIFS(INDEX(Inputs!$D$4:$AG$150,0,MATCH(AF$2,Inputs!$D$2:$AG$2,0)),Inputs!$B$4:$B$150,$B20)/1000)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IF(D$3=0,"",SUMIFS(INDEX(Inputs!$D$4:$AG$150,0,MATCH(D$2,Inputs!$D$2:$AG$2,0)),Inputs!$B$4:$B$150,$B21)/1000)</f>
        <v>0</v>
      </c>
      <c r="E21" s="11">
        <f>IF(E$3=0,"",SUMIFS(INDEX(Inputs!$D$4:$AG$150,0,MATCH(E$2,Inputs!$D$2:$AG$2,0)),Inputs!$B$4:$B$150,$B21)/1000)</f>
        <v>0</v>
      </c>
      <c r="F21" s="11">
        <f>IF(F$3=0,"",SUMIFS(INDEX(Inputs!$D$4:$AG$150,0,MATCH(F$2,Inputs!$D$2:$AG$2,0)),Inputs!$B$4:$B$150,$B21)/1000)</f>
        <v>0</v>
      </c>
      <c r="G21" s="11">
        <f>IF(G$3=0,"",SUMIFS(INDEX(Inputs!$D$4:$AG$150,0,MATCH(G$2,Inputs!$D$2:$AG$2,0)),Inputs!$B$4:$B$150,$B21)/1000)</f>
        <v>0</v>
      </c>
      <c r="H21" s="12">
        <f>IF(G21="","",G21)</f>
        <v>0</v>
      </c>
      <c r="I21" s="11">
        <f>IF(I$3=0,"",SUMIFS(INDEX(Inputs!$D$4:$AG$150,0,MATCH(I$2,Inputs!$D$2:$AG$2,0)),Inputs!$B$4:$B$150,$B21)/1000)</f>
        <v>0</v>
      </c>
      <c r="J21" s="11">
        <f>IF(J$3=0,"",SUMIFS(INDEX(Inputs!$D$4:$AG$150,0,MATCH(J$2,Inputs!$D$2:$AG$2,0)),Inputs!$B$4:$B$150,$B21)/1000)</f>
        <v>0</v>
      </c>
      <c r="K21" s="11">
        <f>IF(K$3=0,"",SUMIFS(INDEX(Inputs!$D$4:$AG$150,0,MATCH(K$2,Inputs!$D$2:$AG$2,0)),Inputs!$B$4:$B$150,$B21)/1000)</f>
        <v>0</v>
      </c>
      <c r="L21" s="11">
        <f>IF(L$3=0,"",SUMIFS(INDEX(Inputs!$D$4:$AG$150,0,MATCH(L$2,Inputs!$D$2:$AG$2,0)),Inputs!$B$4:$B$150,$B21)/1000)</f>
        <v>0</v>
      </c>
      <c r="M21" s="12">
        <f>IF(L21="","",L21)</f>
        <v>0</v>
      </c>
      <c r="N21" s="11">
        <f>IF(N$3=0,"",SUMIFS(INDEX(Inputs!$D$4:$AG$150,0,MATCH(N$2,Inputs!$D$2:$AG$2,0)),Inputs!$B$4:$B$150,$B21)/1000)</f>
        <v>0</v>
      </c>
      <c r="O21" s="11">
        <f>IF(O$3=0,"",SUMIFS(INDEX(Inputs!$D$4:$AG$150,0,MATCH(O$2,Inputs!$D$2:$AG$2,0)),Inputs!$B$4:$B$150,$B21)/1000)</f>
        <v>0</v>
      </c>
      <c r="P21" s="11">
        <f>IF(P$3=0,"",SUMIFS(INDEX(Inputs!$D$4:$AG$150,0,MATCH(P$2,Inputs!$D$2:$AG$2,0)),Inputs!$B$4:$B$150,$B21)/1000)</f>
        <v>0</v>
      </c>
      <c r="Q21" s="11">
        <f>IF(Q$3=0,"",SUMIFS(INDEX(Inputs!$D$4:$AG$150,0,MATCH(Q$2,Inputs!$D$2:$AG$2,0)),Inputs!$B$4:$B$150,$B21)/1000)</f>
        <v>0</v>
      </c>
      <c r="R21" s="12">
        <f>IF(Q21="","",Q21)</f>
        <v>0</v>
      </c>
      <c r="S21" s="11">
        <f>IF(S$3=0,"",SUMIFS(INDEX(Inputs!$D$4:$AG$150,0,MATCH(S$2,Inputs!$D$2:$AG$2,0)),Inputs!$B$4:$B$150,$B21)/1000)</f>
        <v>0</v>
      </c>
      <c r="T21" s="11">
        <f>IF(T$3=0,"",SUMIFS(INDEX(Inputs!$D$4:$AG$150,0,MATCH(T$2,Inputs!$D$2:$AG$2,0)),Inputs!$B$4:$B$150,$B21)/1000)</f>
        <v>0</v>
      </c>
      <c r="U21" s="11">
        <f>IF(U$3=0,"",SUMIFS(INDEX(Inputs!$D$4:$AG$150,0,MATCH(U$2,Inputs!$D$2:$AG$2,0)),Inputs!$B$4:$B$150,$B21)/1000)</f>
        <v>0</v>
      </c>
      <c r="V21" s="11">
        <f>IF(V$3=0,"",SUMIFS(INDEX(Inputs!$D$4:$AG$150,0,MATCH(V$2,Inputs!$D$2:$AG$2,0)),Inputs!$B$4:$B$150,$B21)/1000)</f>
        <v>0</v>
      </c>
      <c r="W21" s="12">
        <f>IF(V21="","",V21)</f>
        <v>0</v>
      </c>
      <c r="X21" s="11">
        <f>IF(X$3=0,"",SUMIFS(INDEX(Inputs!$D$4:$AG$150,0,MATCH(X$2,Inputs!$D$2:$AG$2,0)),Inputs!$B$4:$B$150,$B21)/1000)</f>
        <v>0</v>
      </c>
      <c r="Y21" s="11">
        <f>IF(Y$3=0,"",SUMIFS(INDEX(Inputs!$D$4:$AG$150,0,MATCH(Y$2,Inputs!$D$2:$AG$2,0)),Inputs!$B$4:$B$150,$B21)/1000)</f>
        <v>0</v>
      </c>
      <c r="Z21" s="11">
        <f>IF(Z$3=0,"",SUMIFS(INDEX(Inputs!$D$4:$AG$150,0,MATCH(Z$2,Inputs!$D$2:$AG$2,0)),Inputs!$B$4:$B$150,$B21)/1000)</f>
        <v>0</v>
      </c>
      <c r="AA21" s="11">
        <f>IF(AA$3=0,"",SUMIFS(INDEX(Inputs!$D$4:$AG$150,0,MATCH(AA$2,Inputs!$D$2:$AG$2,0)),Inputs!$B$4:$B$150,$B21)/1000)</f>
        <v>0</v>
      </c>
      <c r="AB21" s="12">
        <f>IF(AA21="","",AA21)</f>
        <v>0</v>
      </c>
      <c r="AC21" s="11">
        <f>IF(AC$3=0,"",SUMIFS(INDEX(Inputs!$D$4:$AG$150,0,MATCH(AC$2,Inputs!$D$2:$AG$2,0)),Inputs!$B$4:$B$150,$B21)/1000)</f>
        <v>0</v>
      </c>
      <c r="AD21" s="11">
        <f>IF(AD$3=0,"",SUMIFS(INDEX(Inputs!$D$4:$AG$150,0,MATCH(AD$2,Inputs!$D$2:$AG$2,0)),Inputs!$B$4:$B$150,$B21)/1000)</f>
        <v>0</v>
      </c>
      <c r="AE21" s="11" t="str">
        <f>IF(AE$3=0,"",SUMIFS(INDEX(Inputs!$D$4:$AG$150,0,MATCH(AE$2,Inputs!$D$2:$AG$2,0)),Inputs!$B$4:$B$150,$B21)/1000)</f>
        <v/>
      </c>
      <c r="AF21" s="11" t="str">
        <f>IF(AF$3=0,"",SUMIFS(INDEX(Inputs!$D$4:$AG$150,0,MATCH(AF$2,Inputs!$D$2:$AG$2,0)),Inputs!$B$4:$B$150,$B21)/1000)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IF(D$3=0,"",SUMIFS(INDEX(Inputs!$D$4:$AG$150,0,MATCH(D$2,Inputs!$D$2:$AG$2,0)),Inputs!$B$4:$B$150,$B22)/1000)</f>
        <v>7213</v>
      </c>
      <c r="E22" s="11">
        <f>IF(E$3=0,"",SUMIFS(INDEX(Inputs!$D$4:$AG$150,0,MATCH(E$2,Inputs!$D$2:$AG$2,0)),Inputs!$B$4:$B$150,$B22)/1000)</f>
        <v>7290</v>
      </c>
      <c r="F22" s="11">
        <f>IF(F$3=0,"",SUMIFS(INDEX(Inputs!$D$4:$AG$150,0,MATCH(F$2,Inputs!$D$2:$AG$2,0)),Inputs!$B$4:$B$150,$B22)/1000)</f>
        <v>7332</v>
      </c>
      <c r="G22" s="11">
        <f>IF(G$3=0,"",SUMIFS(INDEX(Inputs!$D$4:$AG$150,0,MATCH(G$2,Inputs!$D$2:$AG$2,0)),Inputs!$B$4:$B$150,$B22)/1000)</f>
        <v>7597</v>
      </c>
      <c r="H22" s="12">
        <f>IF(G22="","",G22)</f>
        <v>7597</v>
      </c>
      <c r="I22" s="11">
        <f>IF(I$3=0,"",SUMIFS(INDEX(Inputs!$D$4:$AG$150,0,MATCH(I$2,Inputs!$D$2:$AG$2,0)),Inputs!$B$4:$B$150,$B22)/1000)</f>
        <v>7561</v>
      </c>
      <c r="J22" s="11">
        <f>IF(J$3=0,"",SUMIFS(INDEX(Inputs!$D$4:$AG$150,0,MATCH(J$2,Inputs!$D$2:$AG$2,0)),Inputs!$B$4:$B$150,$B22)/1000)</f>
        <v>7569</v>
      </c>
      <c r="K22" s="11">
        <f>IF(K$3=0,"",SUMIFS(INDEX(Inputs!$D$4:$AG$150,0,MATCH(K$2,Inputs!$D$2:$AG$2,0)),Inputs!$B$4:$B$150,$B22)/1000)</f>
        <v>7629</v>
      </c>
      <c r="L22" s="11">
        <f>IF(L$3=0,"",SUMIFS(INDEX(Inputs!$D$4:$AG$150,0,MATCH(L$2,Inputs!$D$2:$AG$2,0)),Inputs!$B$4:$B$150,$B22)/1000)</f>
        <v>7975</v>
      </c>
      <c r="M22" s="12">
        <f>IF(L22="","",L22)</f>
        <v>7975</v>
      </c>
      <c r="N22" s="11">
        <f>IF(N$3=0,"",SUMIFS(INDEX(Inputs!$D$4:$AG$150,0,MATCH(N$2,Inputs!$D$2:$AG$2,0)),Inputs!$B$4:$B$150,$B22)/1000)</f>
        <v>7938</v>
      </c>
      <c r="O22" s="11">
        <f>IF(O$3=0,"",SUMIFS(INDEX(Inputs!$D$4:$AG$150,0,MATCH(O$2,Inputs!$D$2:$AG$2,0)),Inputs!$B$4:$B$150,$B22)/1000)</f>
        <v>7966</v>
      </c>
      <c r="P22" s="11">
        <f>IF(P$3=0,"",SUMIFS(INDEX(Inputs!$D$4:$AG$150,0,MATCH(P$2,Inputs!$D$2:$AG$2,0)),Inputs!$B$4:$B$150,$B22)/1000)</f>
        <v>8046</v>
      </c>
      <c r="Q22" s="11">
        <f>IF(Q$3=0,"",SUMIFS(INDEX(Inputs!$D$4:$AG$150,0,MATCH(Q$2,Inputs!$D$2:$AG$2,0)),Inputs!$B$4:$B$150,$B22)/1000)</f>
        <v>8370</v>
      </c>
      <c r="R22" s="12">
        <f>IF(Q22="","",Q22)</f>
        <v>8370</v>
      </c>
      <c r="S22" s="11">
        <f>IF(S$3=0,"",SUMIFS(INDEX(Inputs!$D$4:$AG$150,0,MATCH(S$2,Inputs!$D$2:$AG$2,0)),Inputs!$B$4:$B$150,$B22)/1000)</f>
        <v>8354</v>
      </c>
      <c r="T22" s="11">
        <f>IF(T$3=0,"",SUMIFS(INDEX(Inputs!$D$4:$AG$150,0,MATCH(T$2,Inputs!$D$2:$AG$2,0)),Inputs!$B$4:$B$150,$B22)/1000)</f>
        <v>8394</v>
      </c>
      <c r="U22" s="11">
        <f>IF(U$3=0,"",SUMIFS(INDEX(Inputs!$D$4:$AG$150,0,MATCH(U$2,Inputs!$D$2:$AG$2,0)),Inputs!$B$4:$B$150,$B22)/1000)</f>
        <v>8454</v>
      </c>
      <c r="V22" s="11">
        <f>IF(V$3=0,"",SUMIFS(INDEX(Inputs!$D$4:$AG$150,0,MATCH(V$2,Inputs!$D$2:$AG$2,0)),Inputs!$B$4:$B$150,$B22)/1000)</f>
        <v>8726</v>
      </c>
      <c r="W22" s="12">
        <f>IF(V22="","",V22)</f>
        <v>8726</v>
      </c>
      <c r="X22" s="11">
        <f>IF(X$3=0,"",SUMIFS(INDEX(Inputs!$D$4:$AG$150,0,MATCH(X$2,Inputs!$D$2:$AG$2,0)),Inputs!$B$4:$B$150,$B22)/1000)</f>
        <v>8713</v>
      </c>
      <c r="Y22" s="11">
        <f>IF(Y$3=0,"",SUMIFS(INDEX(Inputs!$D$4:$AG$150,0,MATCH(Y$2,Inputs!$D$2:$AG$2,0)),Inputs!$B$4:$B$150,$B22)/1000)</f>
        <v>8670</v>
      </c>
      <c r="Z22" s="11">
        <f>IF(Z$3=0,"",SUMIFS(INDEX(Inputs!$D$4:$AG$150,0,MATCH(Z$2,Inputs!$D$2:$AG$2,0)),Inputs!$B$4:$B$150,$B22)/1000)</f>
        <v>8722</v>
      </c>
      <c r="AA22" s="11">
        <f>IF(AA$3=0,"",SUMIFS(INDEX(Inputs!$D$4:$AG$150,0,MATCH(AA$2,Inputs!$D$2:$AG$2,0)),Inputs!$B$4:$B$150,$B22)/1000)</f>
        <v>8875</v>
      </c>
      <c r="AB22" s="12">
        <f>IF(AA22="","",AA22)</f>
        <v>8875</v>
      </c>
      <c r="AC22" s="11">
        <f>IF(AC$3=0,"",SUMIFS(INDEX(Inputs!$D$4:$AG$150,0,MATCH(AC$2,Inputs!$D$2:$AG$2,0)),Inputs!$B$4:$B$150,$B22)/1000)</f>
        <v>11283</v>
      </c>
      <c r="AD22" s="11">
        <f>IF(AD$3=0,"",SUMIFS(INDEX(Inputs!$D$4:$AG$150,0,MATCH(AD$2,Inputs!$D$2:$AG$2,0)),Inputs!$B$4:$B$150,$B22)/1000)</f>
        <v>11390</v>
      </c>
      <c r="AE22" s="11" t="str">
        <f>IF(AE$3=0,"",SUMIFS(INDEX(Inputs!$D$4:$AG$150,0,MATCH(AE$2,Inputs!$D$2:$AG$2,0)),Inputs!$B$4:$B$150,$B22)/1000)</f>
        <v/>
      </c>
      <c r="AF22" s="11" t="str">
        <f>IF(AF$3=0,"",SUMIFS(INDEX(Inputs!$D$4:$AG$150,0,MATCH(AF$2,Inputs!$D$2:$AG$2,0)),Inputs!$B$4:$B$150,$B22)/1000)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IF(D$3=0,"",SUMIFS(INDEX(Inputs!$D$4:$AG$150,0,MATCH(D$2,Inputs!$D$2:$AG$2,0)),Inputs!$B$4:$B$150,$B23)/1000)</f>
        <v>0</v>
      </c>
      <c r="E23" s="11">
        <f>IF(E$3=0,"",SUMIFS(INDEX(Inputs!$D$4:$AG$150,0,MATCH(E$2,Inputs!$D$2:$AG$2,0)),Inputs!$B$4:$B$150,$B23)/1000)</f>
        <v>0</v>
      </c>
      <c r="F23" s="11">
        <f>IF(F$3=0,"",SUMIFS(INDEX(Inputs!$D$4:$AG$150,0,MATCH(F$2,Inputs!$D$2:$AG$2,0)),Inputs!$B$4:$B$150,$B23)/1000)</f>
        <v>0</v>
      </c>
      <c r="G23" s="11">
        <f>IF(G$3=0,"",SUMIFS(INDEX(Inputs!$D$4:$AG$150,0,MATCH(G$2,Inputs!$D$2:$AG$2,0)),Inputs!$B$4:$B$150,$B23)/1000)</f>
        <v>0</v>
      </c>
      <c r="H23" s="12">
        <f>IF(G23="","",G23)</f>
        <v>0</v>
      </c>
      <c r="I23" s="11">
        <f>IF(I$3=0,"",SUMIFS(INDEX(Inputs!$D$4:$AG$150,0,MATCH(I$2,Inputs!$D$2:$AG$2,0)),Inputs!$B$4:$B$150,$B23)/1000)</f>
        <v>0</v>
      </c>
      <c r="J23" s="11">
        <f>IF(J$3=0,"",SUMIFS(INDEX(Inputs!$D$4:$AG$150,0,MATCH(J$2,Inputs!$D$2:$AG$2,0)),Inputs!$B$4:$B$150,$B23)/1000)</f>
        <v>0</v>
      </c>
      <c r="K23" s="11">
        <f>IF(K$3=0,"",SUMIFS(INDEX(Inputs!$D$4:$AG$150,0,MATCH(K$2,Inputs!$D$2:$AG$2,0)),Inputs!$B$4:$B$150,$B23)/1000)</f>
        <v>0</v>
      </c>
      <c r="L23" s="11">
        <f>IF(L$3=0,"",SUMIFS(INDEX(Inputs!$D$4:$AG$150,0,MATCH(L$2,Inputs!$D$2:$AG$2,0)),Inputs!$B$4:$B$150,$B23)/1000)</f>
        <v>0</v>
      </c>
      <c r="M23" s="12">
        <f>IF(L23="","",L23)</f>
        <v>0</v>
      </c>
      <c r="N23" s="11">
        <f>IF(N$3=0,"",SUMIFS(INDEX(Inputs!$D$4:$AG$150,0,MATCH(N$2,Inputs!$D$2:$AG$2,0)),Inputs!$B$4:$B$150,$B23)/1000)</f>
        <v>0</v>
      </c>
      <c r="O23" s="11">
        <f>IF(O$3=0,"",SUMIFS(INDEX(Inputs!$D$4:$AG$150,0,MATCH(O$2,Inputs!$D$2:$AG$2,0)),Inputs!$B$4:$B$150,$B23)/1000)</f>
        <v>0</v>
      </c>
      <c r="P23" s="11">
        <f>IF(P$3=0,"",SUMIFS(INDEX(Inputs!$D$4:$AG$150,0,MATCH(P$2,Inputs!$D$2:$AG$2,0)),Inputs!$B$4:$B$150,$B23)/1000)</f>
        <v>0</v>
      </c>
      <c r="Q23" s="11">
        <f>IF(Q$3=0,"",SUMIFS(INDEX(Inputs!$D$4:$AG$150,0,MATCH(Q$2,Inputs!$D$2:$AG$2,0)),Inputs!$B$4:$B$150,$B23)/1000)</f>
        <v>0</v>
      </c>
      <c r="R23" s="12">
        <f>IF(Q23="","",Q23)</f>
        <v>0</v>
      </c>
      <c r="S23" s="11">
        <f>IF(S$3=0,"",SUMIFS(INDEX(Inputs!$D$4:$AG$150,0,MATCH(S$2,Inputs!$D$2:$AG$2,0)),Inputs!$B$4:$B$150,$B23)/1000)</f>
        <v>0</v>
      </c>
      <c r="T23" s="11">
        <f>IF(T$3=0,"",SUMIFS(INDEX(Inputs!$D$4:$AG$150,0,MATCH(T$2,Inputs!$D$2:$AG$2,0)),Inputs!$B$4:$B$150,$B23)/1000)</f>
        <v>0</v>
      </c>
      <c r="U23" s="11">
        <f>IF(U$3=0,"",SUMIFS(INDEX(Inputs!$D$4:$AG$150,0,MATCH(U$2,Inputs!$D$2:$AG$2,0)),Inputs!$B$4:$B$150,$B23)/1000)</f>
        <v>0</v>
      </c>
      <c r="V23" s="11">
        <f>IF(V$3=0,"",SUMIFS(INDEX(Inputs!$D$4:$AG$150,0,MATCH(V$2,Inputs!$D$2:$AG$2,0)),Inputs!$B$4:$B$150,$B23)/1000)</f>
        <v>0</v>
      </c>
      <c r="W23" s="12">
        <f>IF(V23="","",V23)</f>
        <v>0</v>
      </c>
      <c r="X23" s="11">
        <f>IF(X$3=0,"",SUMIFS(INDEX(Inputs!$D$4:$AG$150,0,MATCH(X$2,Inputs!$D$2:$AG$2,0)),Inputs!$B$4:$B$150,$B23)/1000)</f>
        <v>0</v>
      </c>
      <c r="Y23" s="11">
        <f>IF(Y$3=0,"",SUMIFS(INDEX(Inputs!$D$4:$AG$150,0,MATCH(Y$2,Inputs!$D$2:$AG$2,0)),Inputs!$B$4:$B$150,$B23)/1000)</f>
        <v>0</v>
      </c>
      <c r="Z23" s="11">
        <f>IF(Z$3=0,"",SUMIFS(INDEX(Inputs!$D$4:$AG$150,0,MATCH(Z$2,Inputs!$D$2:$AG$2,0)),Inputs!$B$4:$B$150,$B23)/1000)</f>
        <v>0</v>
      </c>
      <c r="AA23" s="11">
        <f>IF(AA$3=0,"",SUMIFS(INDEX(Inputs!$D$4:$AG$150,0,MATCH(AA$2,Inputs!$D$2:$AG$2,0)),Inputs!$B$4:$B$150,$B23)/1000)</f>
        <v>0</v>
      </c>
      <c r="AB23" s="12">
        <f>IF(AA23="","",AA23)</f>
        <v>0</v>
      </c>
      <c r="AC23" s="11">
        <f>IF(AC$3=0,"",SUMIFS(INDEX(Inputs!$D$4:$AG$150,0,MATCH(AC$2,Inputs!$D$2:$AG$2,0)),Inputs!$B$4:$B$150,$B23)/1000)</f>
        <v>0</v>
      </c>
      <c r="AD23" s="11">
        <f>IF(AD$3=0,"",SUMIFS(INDEX(Inputs!$D$4:$AG$150,0,MATCH(AD$2,Inputs!$D$2:$AG$2,0)),Inputs!$B$4:$B$150,$B23)/1000)</f>
        <v>0</v>
      </c>
      <c r="AE23" s="11" t="str">
        <f>IF(AE$3=0,"",SUMIFS(INDEX(Inputs!$D$4:$AG$150,0,MATCH(AE$2,Inputs!$D$2:$AG$2,0)),Inputs!$B$4:$B$150,$B23)/1000)</f>
        <v/>
      </c>
      <c r="AF23" s="11" t="str">
        <f>IF(AF$3=0,"",SUMIFS(INDEX(Inputs!$D$4:$AG$150,0,MATCH(AF$2,Inputs!$D$2:$AG$2,0)),Inputs!$B$4:$B$150,$B23)/1000)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IF(D$3=0,"",SUMIFS(INDEX(Inputs!$D$4:$AG$150,0,MATCH(D$2,Inputs!$D$2:$AG$2,0)),Inputs!$B$4:$B$150,$B24)/1000)</f>
        <v>10799</v>
      </c>
      <c r="E24" s="11">
        <f>IF(E$3=0,"",SUMIFS(INDEX(Inputs!$D$4:$AG$150,0,MATCH(E$2,Inputs!$D$2:$AG$2,0)),Inputs!$B$4:$B$150,$B24)/1000)</f>
        <v>10810</v>
      </c>
      <c r="F24" s="11">
        <f>IF(F$3=0,"",SUMIFS(INDEX(Inputs!$D$4:$AG$150,0,MATCH(F$2,Inputs!$D$2:$AG$2,0)),Inputs!$B$4:$B$150,$B24)/1000)</f>
        <v>10815</v>
      </c>
      <c r="G24" s="11">
        <f>IF(G$3=0,"",SUMIFS(INDEX(Inputs!$D$4:$AG$150,0,MATCH(G$2,Inputs!$D$2:$AG$2,0)),Inputs!$B$4:$B$150,$B24)/1000)</f>
        <v>10813</v>
      </c>
      <c r="H24" s="12">
        <f>IF(G24="","",G24)</f>
        <v>10813</v>
      </c>
      <c r="I24" s="11">
        <f>IF(I$3=0,"",SUMIFS(INDEX(Inputs!$D$4:$AG$150,0,MATCH(I$2,Inputs!$D$2:$AG$2,0)),Inputs!$B$4:$B$150,$B24)/1000)</f>
        <v>10811</v>
      </c>
      <c r="J24" s="11">
        <f>IF(J$3=0,"",SUMIFS(INDEX(Inputs!$D$4:$AG$150,0,MATCH(J$2,Inputs!$D$2:$AG$2,0)),Inputs!$B$4:$B$150,$B24)/1000)</f>
        <v>10794</v>
      </c>
      <c r="K24" s="11">
        <f>IF(K$3=0,"",SUMIFS(INDEX(Inputs!$D$4:$AG$150,0,MATCH(K$2,Inputs!$D$2:$AG$2,0)),Inputs!$B$4:$B$150,$B24)/1000)</f>
        <v>10764</v>
      </c>
      <c r="L24" s="11">
        <f>IF(L$3=0,"",SUMIFS(INDEX(Inputs!$D$4:$AG$150,0,MATCH(L$2,Inputs!$D$2:$AG$2,0)),Inputs!$B$4:$B$150,$B24)/1000)</f>
        <v>10780</v>
      </c>
      <c r="M24" s="12">
        <f>IF(L24="","",L24)</f>
        <v>10780</v>
      </c>
      <c r="N24" s="11">
        <f>IF(N$3=0,"",SUMIFS(INDEX(Inputs!$D$4:$AG$150,0,MATCH(N$2,Inputs!$D$2:$AG$2,0)),Inputs!$B$4:$B$150,$B24)/1000)</f>
        <v>10776</v>
      </c>
      <c r="O24" s="11">
        <f>IF(O$3=0,"",SUMIFS(INDEX(Inputs!$D$4:$AG$150,0,MATCH(O$2,Inputs!$D$2:$AG$2,0)),Inputs!$B$4:$B$150,$B24)/1000)</f>
        <v>10795</v>
      </c>
      <c r="P24" s="11">
        <f>IF(P$3=0,"",SUMIFS(INDEX(Inputs!$D$4:$AG$150,0,MATCH(P$2,Inputs!$D$2:$AG$2,0)),Inputs!$B$4:$B$150,$B24)/1000)</f>
        <v>10782</v>
      </c>
      <c r="Q24" s="11">
        <f>IF(Q$3=0,"",SUMIFS(INDEX(Inputs!$D$4:$AG$150,0,MATCH(Q$2,Inputs!$D$2:$AG$2,0)),Inputs!$B$4:$B$150,$B24)/1000)</f>
        <v>10799</v>
      </c>
      <c r="R24" s="12">
        <f>IF(Q24="","",Q24)</f>
        <v>10799</v>
      </c>
      <c r="S24" s="11">
        <f>IF(S$3=0,"",SUMIFS(INDEX(Inputs!$D$4:$AG$150,0,MATCH(S$2,Inputs!$D$2:$AG$2,0)),Inputs!$B$4:$B$150,$B24)/1000)</f>
        <v>10789</v>
      </c>
      <c r="T24" s="11">
        <f>IF(T$3=0,"",SUMIFS(INDEX(Inputs!$D$4:$AG$150,0,MATCH(T$2,Inputs!$D$2:$AG$2,0)),Inputs!$B$4:$B$150,$B24)/1000)</f>
        <v>10787</v>
      </c>
      <c r="U24" s="11">
        <f>IF(U$3=0,"",SUMIFS(INDEX(Inputs!$D$4:$AG$150,0,MATCH(U$2,Inputs!$D$2:$AG$2,0)),Inputs!$B$4:$B$150,$B24)/1000)</f>
        <v>10800</v>
      </c>
      <c r="V24" s="11">
        <f>IF(V$3=0,"",SUMIFS(INDEX(Inputs!$D$4:$AG$150,0,MATCH(V$2,Inputs!$D$2:$AG$2,0)),Inputs!$B$4:$B$150,$B24)/1000)</f>
        <v>11067</v>
      </c>
      <c r="W24" s="12">
        <f>IF(V24="","",V24)</f>
        <v>11067</v>
      </c>
      <c r="X24" s="11">
        <f>IF(X$3=0,"",SUMIFS(INDEX(Inputs!$D$4:$AG$150,0,MATCH(X$2,Inputs!$D$2:$AG$2,0)),Inputs!$B$4:$B$150,$B24)/1000)</f>
        <v>11076</v>
      </c>
      <c r="Y24" s="11">
        <f>IF(Y$3=0,"",SUMIFS(INDEX(Inputs!$D$4:$AG$150,0,MATCH(Y$2,Inputs!$D$2:$AG$2,0)),Inputs!$B$4:$B$150,$B24)/1000)</f>
        <v>11309</v>
      </c>
      <c r="Z24" s="11">
        <f>IF(Z$3=0,"",SUMIFS(INDEX(Inputs!$D$4:$AG$150,0,MATCH(Z$2,Inputs!$D$2:$AG$2,0)),Inputs!$B$4:$B$150,$B24)/1000)</f>
        <v>11313</v>
      </c>
      <c r="AA24" s="11">
        <f>IF(AA$3=0,"",SUMIFS(INDEX(Inputs!$D$4:$AG$150,0,MATCH(AA$2,Inputs!$D$2:$AG$2,0)),Inputs!$B$4:$B$150,$B24)/1000)</f>
        <v>11314</v>
      </c>
      <c r="AB24" s="12">
        <f>IF(AA24="","",AA24)</f>
        <v>11314</v>
      </c>
      <c r="AC24" s="11">
        <f>IF(AC$3=0,"",SUMIFS(INDEX(Inputs!$D$4:$AG$150,0,MATCH(AC$2,Inputs!$D$2:$AG$2,0)),Inputs!$B$4:$B$150,$B24)/1000)</f>
        <v>11306</v>
      </c>
      <c r="AD24" s="11">
        <f>IF(AD$3=0,"",SUMIFS(INDEX(Inputs!$D$4:$AG$150,0,MATCH(AD$2,Inputs!$D$2:$AG$2,0)),Inputs!$B$4:$B$150,$B24)/1000)</f>
        <v>11298</v>
      </c>
      <c r="AE24" s="11" t="str">
        <f>IF(AE$3=0,"",SUMIFS(INDEX(Inputs!$D$4:$AG$150,0,MATCH(AE$2,Inputs!$D$2:$AG$2,0)),Inputs!$B$4:$B$150,$B24)/1000)</f>
        <v/>
      </c>
      <c r="AF24" s="11" t="str">
        <f>IF(AF$3=0,"",SUMIFS(INDEX(Inputs!$D$4:$AG$150,0,MATCH(AF$2,Inputs!$D$2:$AG$2,0)),Inputs!$B$4:$B$150,$B24)/1000)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IF(D$3=0,"",SUMIFS(INDEX(Inputs!$D$4:$AG$150,0,MATCH(D$2,Inputs!$D$2:$AG$2,0)),Inputs!$B$4:$B$150,$B25)/1000)</f>
        <v>2930</v>
      </c>
      <c r="E25" s="11">
        <f>IF(E$3=0,"",SUMIFS(INDEX(Inputs!$D$4:$AG$150,0,MATCH(E$2,Inputs!$D$2:$AG$2,0)),Inputs!$B$4:$B$150,$B25)/1000)</f>
        <v>2849</v>
      </c>
      <c r="F25" s="11">
        <f>IF(F$3=0,"",SUMIFS(INDEX(Inputs!$D$4:$AG$150,0,MATCH(F$2,Inputs!$D$2:$AG$2,0)),Inputs!$B$4:$B$150,$B25)/1000)</f>
        <v>2768</v>
      </c>
      <c r="G25" s="11">
        <f>IF(G$3=0,"",SUMIFS(INDEX(Inputs!$D$4:$AG$150,0,MATCH(G$2,Inputs!$D$2:$AG$2,0)),Inputs!$B$4:$B$150,$B25)/1000)</f>
        <v>2706</v>
      </c>
      <c r="H25" s="12">
        <f>IF(G25="","",G25)</f>
        <v>2706</v>
      </c>
      <c r="I25" s="11">
        <f>IF(I$3=0,"",SUMIFS(INDEX(Inputs!$D$4:$AG$150,0,MATCH(I$2,Inputs!$D$2:$AG$2,0)),Inputs!$B$4:$B$150,$B25)/1000)</f>
        <v>2644</v>
      </c>
      <c r="J25" s="11">
        <f>IF(J$3=0,"",SUMIFS(INDEX(Inputs!$D$4:$AG$150,0,MATCH(J$2,Inputs!$D$2:$AG$2,0)),Inputs!$B$4:$B$150,$B25)/1000)</f>
        <v>2584</v>
      </c>
      <c r="K25" s="11">
        <f>IF(K$3=0,"",SUMIFS(INDEX(Inputs!$D$4:$AG$150,0,MATCH(K$2,Inputs!$D$2:$AG$2,0)),Inputs!$B$4:$B$150,$B25)/1000)</f>
        <v>2521</v>
      </c>
      <c r="L25" s="11">
        <f>IF(L$3=0,"",SUMIFS(INDEX(Inputs!$D$4:$AG$150,0,MATCH(L$2,Inputs!$D$2:$AG$2,0)),Inputs!$B$4:$B$150,$B25)/1000)</f>
        <v>2459</v>
      </c>
      <c r="M25" s="12">
        <f>IF(L25="","",L25)</f>
        <v>2459</v>
      </c>
      <c r="N25" s="11">
        <f>IF(N$3=0,"",SUMIFS(INDEX(Inputs!$D$4:$AG$150,0,MATCH(N$2,Inputs!$D$2:$AG$2,0)),Inputs!$B$4:$B$150,$B25)/1000)</f>
        <v>2397</v>
      </c>
      <c r="O25" s="11">
        <f>IF(O$3=0,"",SUMIFS(INDEX(Inputs!$D$4:$AG$150,0,MATCH(O$2,Inputs!$D$2:$AG$2,0)),Inputs!$B$4:$B$150,$B25)/1000)</f>
        <v>2336</v>
      </c>
      <c r="P25" s="11">
        <f>IF(P$3=0,"",SUMIFS(INDEX(Inputs!$D$4:$AG$150,0,MATCH(P$2,Inputs!$D$2:$AG$2,0)),Inputs!$B$4:$B$150,$B25)/1000)</f>
        <v>2274</v>
      </c>
      <c r="Q25" s="11">
        <f>IF(Q$3=0,"",SUMIFS(INDEX(Inputs!$D$4:$AG$150,0,MATCH(Q$2,Inputs!$D$2:$AG$2,0)),Inputs!$B$4:$B$150,$B25)/1000)</f>
        <v>2212</v>
      </c>
      <c r="R25" s="12">
        <f>IF(Q25="","",Q25)</f>
        <v>2212</v>
      </c>
      <c r="S25" s="11">
        <f>IF(S$3=0,"",SUMIFS(INDEX(Inputs!$D$4:$AG$150,0,MATCH(S$2,Inputs!$D$2:$AG$2,0)),Inputs!$B$4:$B$150,$B25)/1000)</f>
        <v>2151</v>
      </c>
      <c r="T25" s="11">
        <f>IF(T$3=0,"",SUMIFS(INDEX(Inputs!$D$4:$AG$150,0,MATCH(T$2,Inputs!$D$2:$AG$2,0)),Inputs!$B$4:$B$150,$B25)/1000)</f>
        <v>2040</v>
      </c>
      <c r="U25" s="11">
        <f>IF(U$3=0,"",SUMIFS(INDEX(Inputs!$D$4:$AG$150,0,MATCH(U$2,Inputs!$D$2:$AG$2,0)),Inputs!$B$4:$B$150,$B25)/1000)</f>
        <v>1979</v>
      </c>
      <c r="V25" s="11">
        <f>IF(V$3=0,"",SUMIFS(INDEX(Inputs!$D$4:$AG$150,0,MATCH(V$2,Inputs!$D$2:$AG$2,0)),Inputs!$B$4:$B$150,$B25)/1000)</f>
        <v>2015</v>
      </c>
      <c r="W25" s="12">
        <f>IF(V25="","",V25)</f>
        <v>2015</v>
      </c>
      <c r="X25" s="11">
        <f>IF(X$3=0,"",SUMIFS(INDEX(Inputs!$D$4:$AG$150,0,MATCH(X$2,Inputs!$D$2:$AG$2,0)),Inputs!$B$4:$B$150,$B25)/1000)</f>
        <v>1952</v>
      </c>
      <c r="Y25" s="11">
        <f>IF(Y$3=0,"",SUMIFS(INDEX(Inputs!$D$4:$AG$150,0,MATCH(Y$2,Inputs!$D$2:$AG$2,0)),Inputs!$B$4:$B$150,$B25)/1000)</f>
        <v>2013</v>
      </c>
      <c r="Z25" s="11">
        <f>IF(Z$3=0,"",SUMIFS(INDEX(Inputs!$D$4:$AG$150,0,MATCH(Z$2,Inputs!$D$2:$AG$2,0)),Inputs!$B$4:$B$150,$B25)/1000)</f>
        <v>1943</v>
      </c>
      <c r="AA25" s="11">
        <f>IF(AA$3=0,"",SUMIFS(INDEX(Inputs!$D$4:$AG$150,0,MATCH(AA$2,Inputs!$D$2:$AG$2,0)),Inputs!$B$4:$B$150,$B25)/1000)</f>
        <v>1887</v>
      </c>
      <c r="AB25" s="12">
        <f>IF(AA25="","",AA25)</f>
        <v>1887</v>
      </c>
      <c r="AC25" s="11">
        <f>IF(AC$3=0,"",SUMIFS(INDEX(Inputs!$D$4:$AG$150,0,MATCH(AC$2,Inputs!$D$2:$AG$2,0)),Inputs!$B$4:$B$150,$B25)/1000)</f>
        <v>1837</v>
      </c>
      <c r="AD25" s="11">
        <f>IF(AD$3=0,"",SUMIFS(INDEX(Inputs!$D$4:$AG$150,0,MATCH(AD$2,Inputs!$D$2:$AG$2,0)),Inputs!$B$4:$B$150,$B25)/1000)</f>
        <v>1787</v>
      </c>
      <c r="AE25" s="11" t="str">
        <f>IF(AE$3=0,"",SUMIFS(INDEX(Inputs!$D$4:$AG$150,0,MATCH(AE$2,Inputs!$D$2:$AG$2,0)),Inputs!$B$4:$B$150,$B25)/1000)</f>
        <v/>
      </c>
      <c r="AF25" s="11" t="str">
        <f>IF(AF$3=0,"",SUMIFS(INDEX(Inputs!$D$4:$AG$150,0,MATCH(AF$2,Inputs!$D$2:$AG$2,0)),Inputs!$B$4:$B$150,$B25)/1000)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IF(D$3=0,"",SUMIFS(INDEX(Inputs!$D$4:$AG$150,0,MATCH(D$2,Inputs!$D$2:$AG$2,0)),Inputs!$B$4:$B$150,$B26)/1000)</f>
        <v>6868</v>
      </c>
      <c r="E26" s="11">
        <f>IF(E$3=0,"",SUMIFS(INDEX(Inputs!$D$4:$AG$150,0,MATCH(E$2,Inputs!$D$2:$AG$2,0)),Inputs!$B$4:$B$150,$B26)/1000)</f>
        <v>7099</v>
      </c>
      <c r="F26" s="11">
        <f>IF(F$3=0,"",SUMIFS(INDEX(Inputs!$D$4:$AG$150,0,MATCH(F$2,Inputs!$D$2:$AG$2,0)),Inputs!$B$4:$B$150,$B26)/1000)</f>
        <v>6907</v>
      </c>
      <c r="G26" s="11">
        <f>IF(G$3=0,"",SUMIFS(INDEX(Inputs!$D$4:$AG$150,0,MATCH(G$2,Inputs!$D$2:$AG$2,0)),Inputs!$B$4:$B$150,$B26)/1000)</f>
        <v>7652</v>
      </c>
      <c r="H26" s="12">
        <f>IF(G26="","",G26)</f>
        <v>7652</v>
      </c>
      <c r="I26" s="11">
        <f>IF(I$3=0,"",SUMIFS(INDEX(Inputs!$D$4:$AG$150,0,MATCH(I$2,Inputs!$D$2:$AG$2,0)),Inputs!$B$4:$B$150,$B26)/1000)</f>
        <v>7416</v>
      </c>
      <c r="J26" s="11">
        <f>IF(J$3=0,"",SUMIFS(INDEX(Inputs!$D$4:$AG$150,0,MATCH(J$2,Inputs!$D$2:$AG$2,0)),Inputs!$B$4:$B$150,$B26)/1000)</f>
        <v>7158</v>
      </c>
      <c r="K26" s="11">
        <f>IF(K$3=0,"",SUMIFS(INDEX(Inputs!$D$4:$AG$150,0,MATCH(K$2,Inputs!$D$2:$AG$2,0)),Inputs!$B$4:$B$150,$B26)/1000)</f>
        <v>7040</v>
      </c>
      <c r="L26" s="11">
        <f>IF(L$3=0,"",SUMIFS(INDEX(Inputs!$D$4:$AG$150,0,MATCH(L$2,Inputs!$D$2:$AG$2,0)),Inputs!$B$4:$B$150,$B26)/1000)</f>
        <v>6931</v>
      </c>
      <c r="M26" s="12">
        <f>IF(L26="","",L26)</f>
        <v>6931</v>
      </c>
      <c r="N26" s="11">
        <f>IF(N$3=0,"",SUMIFS(INDEX(Inputs!$D$4:$AG$150,0,MATCH(N$2,Inputs!$D$2:$AG$2,0)),Inputs!$B$4:$B$150,$B26)/1000)</f>
        <v>7192</v>
      </c>
      <c r="O26" s="11">
        <f>IF(O$3=0,"",SUMIFS(INDEX(Inputs!$D$4:$AG$150,0,MATCH(O$2,Inputs!$D$2:$AG$2,0)),Inputs!$B$4:$B$150,$B26)/1000)</f>
        <v>7276</v>
      </c>
      <c r="P26" s="11">
        <f>IF(P$3=0,"",SUMIFS(INDEX(Inputs!$D$4:$AG$150,0,MATCH(P$2,Inputs!$D$2:$AG$2,0)),Inputs!$B$4:$B$150,$B26)/1000)</f>
        <v>7369</v>
      </c>
      <c r="Q26" s="11">
        <f>IF(Q$3=0,"",SUMIFS(INDEX(Inputs!$D$4:$AG$150,0,MATCH(Q$2,Inputs!$D$2:$AG$2,0)),Inputs!$B$4:$B$150,$B26)/1000)</f>
        <v>7601</v>
      </c>
      <c r="R26" s="12">
        <f>IF(Q26="","",Q26)</f>
        <v>7601</v>
      </c>
      <c r="S26" s="11">
        <f>IF(S$3=0,"",SUMIFS(INDEX(Inputs!$D$4:$AG$150,0,MATCH(S$2,Inputs!$D$2:$AG$2,0)),Inputs!$B$4:$B$150,$B26)/1000)</f>
        <v>7687</v>
      </c>
      <c r="T26" s="11">
        <f>IF(T$3=0,"",SUMIFS(INDEX(Inputs!$D$4:$AG$150,0,MATCH(T$2,Inputs!$D$2:$AG$2,0)),Inputs!$B$4:$B$150,$B26)/1000)</f>
        <v>7808</v>
      </c>
      <c r="U26" s="11">
        <f>IF(U$3=0,"",SUMIFS(INDEX(Inputs!$D$4:$AG$150,0,MATCH(U$2,Inputs!$D$2:$AG$2,0)),Inputs!$B$4:$B$150,$B26)/1000)</f>
        <v>7971</v>
      </c>
      <c r="V26" s="11">
        <f>IF(V$3=0,"",SUMIFS(INDEX(Inputs!$D$4:$AG$150,0,MATCH(V$2,Inputs!$D$2:$AG$2,0)),Inputs!$B$4:$B$150,$B26)/1000)</f>
        <v>8403</v>
      </c>
      <c r="W26" s="12">
        <f>IF(V26="","",V26)</f>
        <v>8403</v>
      </c>
      <c r="X26" s="11">
        <f>IF(X$3=0,"",SUMIFS(INDEX(Inputs!$D$4:$AG$150,0,MATCH(X$2,Inputs!$D$2:$AG$2,0)),Inputs!$B$4:$B$150,$B26)/1000)</f>
        <v>8559</v>
      </c>
      <c r="Y26" s="11">
        <f>IF(Y$3=0,"",SUMIFS(INDEX(Inputs!$D$4:$AG$150,0,MATCH(Y$2,Inputs!$D$2:$AG$2,0)),Inputs!$B$4:$B$150,$B26)/1000)</f>
        <v>8820</v>
      </c>
      <c r="Z26" s="11">
        <f>IF(Z$3=0,"",SUMIFS(INDEX(Inputs!$D$4:$AG$150,0,MATCH(Z$2,Inputs!$D$2:$AG$2,0)),Inputs!$B$4:$B$150,$B26)/1000)</f>
        <v>8949</v>
      </c>
      <c r="AA26" s="11">
        <f>IF(AA$3=0,"",SUMIFS(INDEX(Inputs!$D$4:$AG$150,0,MATCH(AA$2,Inputs!$D$2:$AG$2,0)),Inputs!$B$4:$B$150,$B26)/1000)</f>
        <v>9427</v>
      </c>
      <c r="AB26" s="12">
        <f>IF(AA26="","",AA26)</f>
        <v>9427</v>
      </c>
      <c r="AC26" s="11">
        <f>IF(AC$3=0,"",SUMIFS(INDEX(Inputs!$D$4:$AG$150,0,MATCH(AC$2,Inputs!$D$2:$AG$2,0)),Inputs!$B$4:$B$150,$B26)/1000)</f>
        <v>6930</v>
      </c>
      <c r="AD26" s="11">
        <f>IF(AD$3=0,"",SUMIFS(INDEX(Inputs!$D$4:$AG$150,0,MATCH(AD$2,Inputs!$D$2:$AG$2,0)),Inputs!$B$4:$B$150,$B26)/1000)</f>
        <v>7160</v>
      </c>
      <c r="AE26" s="11" t="str">
        <f>IF(AE$3=0,"",SUMIFS(INDEX(Inputs!$D$4:$AG$150,0,MATCH(AE$2,Inputs!$D$2:$AG$2,0)),Inputs!$B$4:$B$150,$B26)/1000)</f>
        <v/>
      </c>
      <c r="AF26" s="11" t="str">
        <f>IF(AF$3=0,"",SUMIFS(INDEX(Inputs!$D$4:$AG$150,0,MATCH(AF$2,Inputs!$D$2:$AG$2,0)),Inputs!$B$4:$B$150,$B26)/1000)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IF(D$3=0,"",SUMIFS(INDEX(Inputs!$D$4:$AG$150,0,MATCH(D$2,Inputs!$D$2:$AG$2,0)),Inputs!$B$4:$B$150,$B28)/1000)</f>
        <v>1889</v>
      </c>
      <c r="E28" s="11">
        <f>IF(E$3=0,"",SUMIFS(INDEX(Inputs!$D$4:$AG$150,0,MATCH(E$2,Inputs!$D$2:$AG$2,0)),Inputs!$B$4:$B$150,$B28)/1000)</f>
        <v>1608</v>
      </c>
      <c r="F28" s="11">
        <f>IF(F$3=0,"",SUMIFS(INDEX(Inputs!$D$4:$AG$150,0,MATCH(F$2,Inputs!$D$2:$AG$2,0)),Inputs!$B$4:$B$150,$B28)/1000)</f>
        <v>1520</v>
      </c>
      <c r="G28" s="11">
        <f>IF(G$3=0,"",SUMIFS(INDEX(Inputs!$D$4:$AG$150,0,MATCH(G$2,Inputs!$D$2:$AG$2,0)),Inputs!$B$4:$B$150,$B28)/1000)</f>
        <v>780</v>
      </c>
      <c r="H28" s="12">
        <f>IF(G28="","",G28)</f>
        <v>780</v>
      </c>
      <c r="I28" s="11">
        <f>IF(I$3=0,"",SUMIFS(INDEX(Inputs!$D$4:$AG$150,0,MATCH(I$2,Inputs!$D$2:$AG$2,0)),Inputs!$B$4:$B$150,$B28)/1000)</f>
        <v>2599</v>
      </c>
      <c r="J28" s="11">
        <f>IF(J$3=0,"",SUMIFS(INDEX(Inputs!$D$4:$AG$150,0,MATCH(J$2,Inputs!$D$2:$AG$2,0)),Inputs!$B$4:$B$150,$B28)/1000)</f>
        <v>2309</v>
      </c>
      <c r="K28" s="11">
        <f>IF(K$3=0,"",SUMIFS(INDEX(Inputs!$D$4:$AG$150,0,MATCH(K$2,Inputs!$D$2:$AG$2,0)),Inputs!$B$4:$B$150,$B28)/1000)</f>
        <v>2622</v>
      </c>
      <c r="L28" s="11">
        <f>IF(L$3=0,"",SUMIFS(INDEX(Inputs!$D$4:$AG$150,0,MATCH(L$2,Inputs!$D$2:$AG$2,0)),Inputs!$B$4:$B$150,$B28)/1000)</f>
        <v>2117</v>
      </c>
      <c r="M28" s="12">
        <f>IF(L28="","",L28)</f>
        <v>2117</v>
      </c>
      <c r="N28" s="11">
        <f>IF(N$3=0,"",SUMIFS(INDEX(Inputs!$D$4:$AG$150,0,MATCH(N$2,Inputs!$D$2:$AG$2,0)),Inputs!$B$4:$B$150,$B28)/1000)</f>
        <v>3271</v>
      </c>
      <c r="O28" s="11">
        <f>IF(O$3=0,"",SUMIFS(INDEX(Inputs!$D$4:$AG$150,0,MATCH(O$2,Inputs!$D$2:$AG$2,0)),Inputs!$B$4:$B$150,$B28)/1000)</f>
        <v>3466</v>
      </c>
      <c r="P28" s="11">
        <f>IF(P$3=0,"",SUMIFS(INDEX(Inputs!$D$4:$AG$150,0,MATCH(P$2,Inputs!$D$2:$AG$2,0)),Inputs!$B$4:$B$150,$B28)/1000)</f>
        <v>3817</v>
      </c>
      <c r="Q28" s="11">
        <f>IF(Q$3=0,"",SUMIFS(INDEX(Inputs!$D$4:$AG$150,0,MATCH(Q$2,Inputs!$D$2:$AG$2,0)),Inputs!$B$4:$B$150,$B28)/1000)</f>
        <v>2312</v>
      </c>
      <c r="R28" s="12">
        <f>IF(Q28="","",Q28)</f>
        <v>2312</v>
      </c>
      <c r="S28" s="11">
        <f>IF(S$3=0,"",SUMIFS(INDEX(Inputs!$D$4:$AG$150,0,MATCH(S$2,Inputs!$D$2:$AG$2,0)),Inputs!$B$4:$B$150,$B28)/1000)</f>
        <v>3523</v>
      </c>
      <c r="T28" s="11">
        <f>IF(T$3=0,"",SUMIFS(INDEX(Inputs!$D$4:$AG$150,0,MATCH(T$2,Inputs!$D$2:$AG$2,0)),Inputs!$B$4:$B$150,$B28)/1000)</f>
        <v>3282</v>
      </c>
      <c r="U28" s="11">
        <f>IF(U$3=0,"",SUMIFS(INDEX(Inputs!$D$4:$AG$150,0,MATCH(U$2,Inputs!$D$2:$AG$2,0)),Inputs!$B$4:$B$150,$B28)/1000)</f>
        <v>3221</v>
      </c>
      <c r="V28" s="11">
        <f>IF(V$3=0,"",SUMIFS(INDEX(Inputs!$D$4:$AG$150,0,MATCH(V$2,Inputs!$D$2:$AG$2,0)),Inputs!$B$4:$B$150,$B28)/1000)</f>
        <v>2222</v>
      </c>
      <c r="W28" s="12">
        <f>IF(V28="","",V28)</f>
        <v>2222</v>
      </c>
      <c r="X28" s="11">
        <f>IF(X$3=0,"",SUMIFS(INDEX(Inputs!$D$4:$AG$150,0,MATCH(X$2,Inputs!$D$2:$AG$2,0)),Inputs!$B$4:$B$150,$B28)/1000)</f>
        <v>3821</v>
      </c>
      <c r="Y28" s="11">
        <f>IF(Y$3=0,"",SUMIFS(INDEX(Inputs!$D$4:$AG$150,0,MATCH(Y$2,Inputs!$D$2:$AG$2,0)),Inputs!$B$4:$B$150,$B28)/1000)</f>
        <v>3653</v>
      </c>
      <c r="Z28" s="11">
        <f>IF(Z$3=0,"",SUMIFS(INDEX(Inputs!$D$4:$AG$150,0,MATCH(Z$2,Inputs!$D$2:$AG$2,0)),Inputs!$B$4:$B$150,$B28)/1000)</f>
        <v>3834</v>
      </c>
      <c r="AA28" s="11">
        <f>IF(AA$3=0,"",SUMIFS(INDEX(Inputs!$D$4:$AG$150,0,MATCH(AA$2,Inputs!$D$2:$AG$2,0)),Inputs!$B$4:$B$150,$B28)/1000)</f>
        <v>3630</v>
      </c>
      <c r="AB28" s="12">
        <f>IF(AA28="","",AA28)</f>
        <v>3630</v>
      </c>
      <c r="AC28" s="11">
        <f>IF(AC$3=0,"",SUMIFS(INDEX(Inputs!$D$4:$AG$150,0,MATCH(AC$2,Inputs!$D$2:$AG$2,0)),Inputs!$B$4:$B$150,$B28)/1000)</f>
        <v>4707</v>
      </c>
      <c r="AD28" s="11">
        <f>IF(AD$3=0,"",SUMIFS(INDEX(Inputs!$D$4:$AG$150,0,MATCH(AD$2,Inputs!$D$2:$AG$2,0)),Inputs!$B$4:$B$150,$B28)/1000)</f>
        <v>4915</v>
      </c>
      <c r="AE28" s="11" t="str">
        <f>IF(AE$3=0,"",SUMIFS(INDEX(Inputs!$D$4:$AG$150,0,MATCH(AE$2,Inputs!$D$2:$AG$2,0)),Inputs!$B$4:$B$150,$B28)/1000)</f>
        <v/>
      </c>
      <c r="AF28" s="11" t="str">
        <f>IF(AF$3=0,"",SUMIFS(INDEX(Inputs!$D$4:$AG$150,0,MATCH(AF$2,Inputs!$D$2:$AG$2,0)),Inputs!$B$4:$B$150,$B28)/1000)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IF(D$3=0,"",SUMIFS(INDEX(Inputs!$D$4:$AG$150,0,MATCH(D$2,Inputs!$D$2:$AG$2,0)),Inputs!$B$4:$B$150,$B29)/1000)</f>
        <v>2794</v>
      </c>
      <c r="E29" s="11">
        <f>IF(E$3=0,"",SUMIFS(INDEX(Inputs!$D$4:$AG$150,0,MATCH(E$2,Inputs!$D$2:$AG$2,0)),Inputs!$B$4:$B$150,$B29)/1000)</f>
        <v>3029</v>
      </c>
      <c r="F29" s="11">
        <f>IF(F$3=0,"",SUMIFS(INDEX(Inputs!$D$4:$AG$150,0,MATCH(F$2,Inputs!$D$2:$AG$2,0)),Inputs!$B$4:$B$150,$B29)/1000)</f>
        <v>3122</v>
      </c>
      <c r="G29" s="11">
        <f>IF(G$3=0,"",SUMIFS(INDEX(Inputs!$D$4:$AG$150,0,MATCH(G$2,Inputs!$D$2:$AG$2,0)),Inputs!$B$4:$B$150,$B29)/1000)</f>
        <v>3108</v>
      </c>
      <c r="H29" s="12">
        <f>IF(G29="","",G29)</f>
        <v>3108</v>
      </c>
      <c r="I29" s="11">
        <f>IF(I$3=0,"",SUMIFS(INDEX(Inputs!$D$4:$AG$150,0,MATCH(I$2,Inputs!$D$2:$AG$2,0)),Inputs!$B$4:$B$150,$B29)/1000)</f>
        <v>2671</v>
      </c>
      <c r="J29" s="11">
        <f>IF(J$3=0,"",SUMIFS(INDEX(Inputs!$D$4:$AG$150,0,MATCH(J$2,Inputs!$D$2:$AG$2,0)),Inputs!$B$4:$B$150,$B29)/1000)</f>
        <v>2935</v>
      </c>
      <c r="K29" s="11">
        <f>IF(K$3=0,"",SUMIFS(INDEX(Inputs!$D$4:$AG$150,0,MATCH(K$2,Inputs!$D$2:$AG$2,0)),Inputs!$B$4:$B$150,$B29)/1000)</f>
        <v>3151</v>
      </c>
      <c r="L29" s="11">
        <f>IF(L$3=0,"",SUMIFS(INDEX(Inputs!$D$4:$AG$150,0,MATCH(L$2,Inputs!$D$2:$AG$2,0)),Inputs!$B$4:$B$150,$B29)/1000)</f>
        <v>3075</v>
      </c>
      <c r="M29" s="12">
        <f>IF(L29="","",L29)</f>
        <v>3075</v>
      </c>
      <c r="N29" s="11">
        <f>IF(N$3=0,"",SUMIFS(INDEX(Inputs!$D$4:$AG$150,0,MATCH(N$2,Inputs!$D$2:$AG$2,0)),Inputs!$B$4:$B$150,$B29)/1000)</f>
        <v>2634</v>
      </c>
      <c r="O29" s="11">
        <f>IF(O$3=0,"",SUMIFS(INDEX(Inputs!$D$4:$AG$150,0,MATCH(O$2,Inputs!$D$2:$AG$2,0)),Inputs!$B$4:$B$150,$B29)/1000)</f>
        <v>2896</v>
      </c>
      <c r="P29" s="11">
        <f>IF(P$3=0,"",SUMIFS(INDEX(Inputs!$D$4:$AG$150,0,MATCH(P$2,Inputs!$D$2:$AG$2,0)),Inputs!$B$4:$B$150,$B29)/1000)</f>
        <v>3139</v>
      </c>
      <c r="Q29" s="11">
        <f>IF(Q$3=0,"",SUMIFS(INDEX(Inputs!$D$4:$AG$150,0,MATCH(Q$2,Inputs!$D$2:$AG$2,0)),Inputs!$B$4:$B$150,$B29)/1000)</f>
        <v>3133</v>
      </c>
      <c r="R29" s="12">
        <f>IF(Q29="","",Q29)</f>
        <v>3133</v>
      </c>
      <c r="S29" s="11">
        <f>IF(S$3=0,"",SUMIFS(INDEX(Inputs!$D$4:$AG$150,0,MATCH(S$2,Inputs!$D$2:$AG$2,0)),Inputs!$B$4:$B$150,$B29)/1000)</f>
        <v>2679</v>
      </c>
      <c r="T29" s="11">
        <f>IF(T$3=0,"",SUMIFS(INDEX(Inputs!$D$4:$AG$150,0,MATCH(T$2,Inputs!$D$2:$AG$2,0)),Inputs!$B$4:$B$150,$B29)/1000)</f>
        <v>2871</v>
      </c>
      <c r="U29" s="11">
        <f>IF(U$3=0,"",SUMIFS(INDEX(Inputs!$D$4:$AG$150,0,MATCH(U$2,Inputs!$D$2:$AG$2,0)),Inputs!$B$4:$B$150,$B29)/1000)</f>
        <v>3076</v>
      </c>
      <c r="V29" s="11">
        <f>IF(V$3=0,"",SUMIFS(INDEX(Inputs!$D$4:$AG$150,0,MATCH(V$2,Inputs!$D$2:$AG$2,0)),Inputs!$B$4:$B$150,$B29)/1000)</f>
        <v>3125</v>
      </c>
      <c r="W29" s="12">
        <f>IF(V29="","",V29)</f>
        <v>3125</v>
      </c>
      <c r="X29" s="11">
        <f>IF(X$3=0,"",SUMIFS(INDEX(Inputs!$D$4:$AG$150,0,MATCH(X$2,Inputs!$D$2:$AG$2,0)),Inputs!$B$4:$B$150,$B29)/1000)</f>
        <v>2391</v>
      </c>
      <c r="Y29" s="11">
        <f>IF(Y$3=0,"",SUMIFS(INDEX(Inputs!$D$4:$AG$150,0,MATCH(Y$2,Inputs!$D$2:$AG$2,0)),Inputs!$B$4:$B$150,$B29)/1000)</f>
        <v>2761</v>
      </c>
      <c r="Z29" s="11">
        <f>IF(Z$3=0,"",SUMIFS(INDEX(Inputs!$D$4:$AG$150,0,MATCH(Z$2,Inputs!$D$2:$AG$2,0)),Inputs!$B$4:$B$150,$B29)/1000)</f>
        <v>3065</v>
      </c>
      <c r="AA29" s="11">
        <f>IF(AA$3=0,"",SUMIFS(INDEX(Inputs!$D$4:$AG$150,0,MATCH(AA$2,Inputs!$D$2:$AG$2,0)),Inputs!$B$4:$B$150,$B29)/1000)</f>
        <v>3184</v>
      </c>
      <c r="AB29" s="12">
        <f>IF(AA29="","",AA29)</f>
        <v>3184</v>
      </c>
      <c r="AC29" s="11">
        <f>IF(AC$3=0,"",SUMIFS(INDEX(Inputs!$D$4:$AG$150,0,MATCH(AC$2,Inputs!$D$2:$AG$2,0)),Inputs!$B$4:$B$150,$B29)/1000)</f>
        <v>2676</v>
      </c>
      <c r="AD29" s="11">
        <f>IF(AD$3=0,"",SUMIFS(INDEX(Inputs!$D$4:$AG$150,0,MATCH(AD$2,Inputs!$D$2:$AG$2,0)),Inputs!$B$4:$B$150,$B29)/1000)</f>
        <v>3003</v>
      </c>
      <c r="AE29" s="11" t="str">
        <f>IF(AE$3=0,"",SUMIFS(INDEX(Inputs!$D$4:$AG$150,0,MATCH(AE$2,Inputs!$D$2:$AG$2,0)),Inputs!$B$4:$B$150,$B29)/1000)</f>
        <v/>
      </c>
      <c r="AF29" s="11" t="str">
        <f>IF(AF$3=0,"",SUMIFS(INDEX(Inputs!$D$4:$AG$150,0,MATCH(AF$2,Inputs!$D$2:$AG$2,0)),Inputs!$B$4:$B$150,$B29)/1000)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IF(D$3=0,"",SUMIFS(INDEX(Inputs!$D$4:$AG$150,0,MATCH(D$2,Inputs!$D$2:$AG$2,0)),Inputs!$B$4:$B$150,$B30)/1000)</f>
        <v>0</v>
      </c>
      <c r="E30" s="11">
        <f>IF(E$3=0,"",SUMIFS(INDEX(Inputs!$D$4:$AG$150,0,MATCH(E$2,Inputs!$D$2:$AG$2,0)),Inputs!$B$4:$B$150,$B30)/1000)</f>
        <v>0</v>
      </c>
      <c r="F30" s="11">
        <f>IF(F$3=0,"",SUMIFS(INDEX(Inputs!$D$4:$AG$150,0,MATCH(F$2,Inputs!$D$2:$AG$2,0)),Inputs!$B$4:$B$150,$B30)/1000)</f>
        <v>0</v>
      </c>
      <c r="G30" s="11">
        <f>IF(G$3=0,"",SUMIFS(INDEX(Inputs!$D$4:$AG$150,0,MATCH(G$2,Inputs!$D$2:$AG$2,0)),Inputs!$B$4:$B$150,$B30)/1000)</f>
        <v>0</v>
      </c>
      <c r="H30" s="12">
        <f>IF(G30="","",G30)</f>
        <v>0</v>
      </c>
      <c r="I30" s="11">
        <f>IF(I$3=0,"",SUMIFS(INDEX(Inputs!$D$4:$AG$150,0,MATCH(I$2,Inputs!$D$2:$AG$2,0)),Inputs!$B$4:$B$150,$B30)/1000)</f>
        <v>0</v>
      </c>
      <c r="J30" s="11">
        <f>IF(J$3=0,"",SUMIFS(INDEX(Inputs!$D$4:$AG$150,0,MATCH(J$2,Inputs!$D$2:$AG$2,0)),Inputs!$B$4:$B$150,$B30)/1000)</f>
        <v>0</v>
      </c>
      <c r="K30" s="11">
        <f>IF(K$3=0,"",SUMIFS(INDEX(Inputs!$D$4:$AG$150,0,MATCH(K$2,Inputs!$D$2:$AG$2,0)),Inputs!$B$4:$B$150,$B30)/1000)</f>
        <v>0</v>
      </c>
      <c r="L30" s="11">
        <f>IF(L$3=0,"",SUMIFS(INDEX(Inputs!$D$4:$AG$150,0,MATCH(L$2,Inputs!$D$2:$AG$2,0)),Inputs!$B$4:$B$150,$B30)/1000)</f>
        <v>0</v>
      </c>
      <c r="M30" s="12">
        <f>IF(L30="","",L30)</f>
        <v>0</v>
      </c>
      <c r="N30" s="11">
        <f>IF(N$3=0,"",SUMIFS(INDEX(Inputs!$D$4:$AG$150,0,MATCH(N$2,Inputs!$D$2:$AG$2,0)),Inputs!$B$4:$B$150,$B30)/1000)</f>
        <v>0</v>
      </c>
      <c r="O30" s="11">
        <f>IF(O$3=0,"",SUMIFS(INDEX(Inputs!$D$4:$AG$150,0,MATCH(O$2,Inputs!$D$2:$AG$2,0)),Inputs!$B$4:$B$150,$B30)/1000)</f>
        <v>0</v>
      </c>
      <c r="P30" s="11">
        <f>IF(P$3=0,"",SUMIFS(INDEX(Inputs!$D$4:$AG$150,0,MATCH(P$2,Inputs!$D$2:$AG$2,0)),Inputs!$B$4:$B$150,$B30)/1000)</f>
        <v>0</v>
      </c>
      <c r="Q30" s="11">
        <f>IF(Q$3=0,"",SUMIFS(INDEX(Inputs!$D$4:$AG$150,0,MATCH(Q$2,Inputs!$D$2:$AG$2,0)),Inputs!$B$4:$B$150,$B30)/1000)</f>
        <v>0</v>
      </c>
      <c r="R30" s="12">
        <f>IF(Q30="","",Q30)</f>
        <v>0</v>
      </c>
      <c r="S30" s="11">
        <f>IF(S$3=0,"",SUMIFS(INDEX(Inputs!$D$4:$AG$150,0,MATCH(S$2,Inputs!$D$2:$AG$2,0)),Inputs!$B$4:$B$150,$B30)/1000)</f>
        <v>0</v>
      </c>
      <c r="T30" s="11">
        <f>IF(T$3=0,"",SUMIFS(INDEX(Inputs!$D$4:$AG$150,0,MATCH(T$2,Inputs!$D$2:$AG$2,0)),Inputs!$B$4:$B$150,$B30)/1000)</f>
        <v>0</v>
      </c>
      <c r="U30" s="11">
        <f>IF(U$3=0,"",SUMIFS(INDEX(Inputs!$D$4:$AG$150,0,MATCH(U$2,Inputs!$D$2:$AG$2,0)),Inputs!$B$4:$B$150,$B30)/1000)</f>
        <v>0</v>
      </c>
      <c r="V30" s="11">
        <f>IF(V$3=0,"",SUMIFS(INDEX(Inputs!$D$4:$AG$150,0,MATCH(V$2,Inputs!$D$2:$AG$2,0)),Inputs!$B$4:$B$150,$B30)/1000)</f>
        <v>0</v>
      </c>
      <c r="W30" s="12">
        <f>IF(V30="","",V30)</f>
        <v>0</v>
      </c>
      <c r="X30" s="11">
        <f>IF(X$3=0,"",SUMIFS(INDEX(Inputs!$D$4:$AG$150,0,MATCH(X$2,Inputs!$D$2:$AG$2,0)),Inputs!$B$4:$B$150,$B30)/1000)</f>
        <v>0</v>
      </c>
      <c r="Y30" s="11">
        <f>IF(Y$3=0,"",SUMIFS(INDEX(Inputs!$D$4:$AG$150,0,MATCH(Y$2,Inputs!$D$2:$AG$2,0)),Inputs!$B$4:$B$150,$B30)/1000)</f>
        <v>0</v>
      </c>
      <c r="Z30" s="11">
        <f>IF(Z$3=0,"",SUMIFS(INDEX(Inputs!$D$4:$AG$150,0,MATCH(Z$2,Inputs!$D$2:$AG$2,0)),Inputs!$B$4:$B$150,$B30)/1000)</f>
        <v>0</v>
      </c>
      <c r="AA30" s="11">
        <f>IF(AA$3=0,"",SUMIFS(INDEX(Inputs!$D$4:$AG$150,0,MATCH(AA$2,Inputs!$D$2:$AG$2,0)),Inputs!$B$4:$B$150,$B30)/1000)</f>
        <v>0</v>
      </c>
      <c r="AB30" s="12">
        <f>IF(AA30="","",AA30)</f>
        <v>0</v>
      </c>
      <c r="AC30" s="11">
        <f>IF(AC$3=0,"",SUMIFS(INDEX(Inputs!$D$4:$AG$150,0,MATCH(AC$2,Inputs!$D$2:$AG$2,0)),Inputs!$B$4:$B$150,$B30)/1000)</f>
        <v>0</v>
      </c>
      <c r="AD30" s="11">
        <f>IF(AD$3=0,"",SUMIFS(INDEX(Inputs!$D$4:$AG$150,0,MATCH(AD$2,Inputs!$D$2:$AG$2,0)),Inputs!$B$4:$B$150,$B30)/1000)</f>
        <v>0</v>
      </c>
      <c r="AE30" s="11" t="str">
        <f>IF(AE$3=0,"",SUMIFS(INDEX(Inputs!$D$4:$AG$150,0,MATCH(AE$2,Inputs!$D$2:$AG$2,0)),Inputs!$B$4:$B$150,$B30)/1000)</f>
        <v/>
      </c>
      <c r="AF30" s="11" t="str">
        <f>IF(AF$3=0,"",SUMIFS(INDEX(Inputs!$D$4:$AG$150,0,MATCH(AF$2,Inputs!$D$2:$AG$2,0)),Inputs!$B$4:$B$150,$B30)/1000)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IF(D$3=0,"",SUMIFS(INDEX(Inputs!$D$4:$AG$150,0,MATCH(D$2,Inputs!$D$2:$AG$2,0)),Inputs!$B$4:$B$150,$B31)/1000)</f>
        <v>9528</v>
      </c>
      <c r="E31" s="11">
        <f>IF(E$3=0,"",SUMIFS(INDEX(Inputs!$D$4:$AG$150,0,MATCH(E$2,Inputs!$D$2:$AG$2,0)),Inputs!$B$4:$B$150,$B31)/1000)</f>
        <v>10099</v>
      </c>
      <c r="F31" s="11">
        <f>IF(F$3=0,"",SUMIFS(INDEX(Inputs!$D$4:$AG$150,0,MATCH(F$2,Inputs!$D$2:$AG$2,0)),Inputs!$B$4:$B$150,$B31)/1000)</f>
        <v>10378</v>
      </c>
      <c r="G31" s="11">
        <f>IF(G$3=0,"",SUMIFS(INDEX(Inputs!$D$4:$AG$150,0,MATCH(G$2,Inputs!$D$2:$AG$2,0)),Inputs!$B$4:$B$150,$B31)/1000)</f>
        <v>10103</v>
      </c>
      <c r="H31" s="12">
        <f>IF(G31="","",G31)</f>
        <v>10103</v>
      </c>
      <c r="I31" s="11">
        <f>IF(I$3=0,"",SUMIFS(INDEX(Inputs!$D$4:$AG$150,0,MATCH(I$2,Inputs!$D$2:$AG$2,0)),Inputs!$B$4:$B$150,$B31)/1000)</f>
        <v>10277</v>
      </c>
      <c r="J31" s="11">
        <f>IF(J$3=0,"",SUMIFS(INDEX(Inputs!$D$4:$AG$150,0,MATCH(J$2,Inputs!$D$2:$AG$2,0)),Inputs!$B$4:$B$150,$B31)/1000)</f>
        <v>11235</v>
      </c>
      <c r="K31" s="11">
        <f>IF(K$3=0,"",SUMIFS(INDEX(Inputs!$D$4:$AG$150,0,MATCH(K$2,Inputs!$D$2:$AG$2,0)),Inputs!$B$4:$B$150,$B31)/1000)</f>
        <v>10574</v>
      </c>
      <c r="L31" s="11">
        <f>IF(L$3=0,"",SUMIFS(INDEX(Inputs!$D$4:$AG$150,0,MATCH(L$2,Inputs!$D$2:$AG$2,0)),Inputs!$B$4:$B$150,$B31)/1000)</f>
        <v>10695</v>
      </c>
      <c r="M31" s="12">
        <f>IF(L31="","",L31)</f>
        <v>10695</v>
      </c>
      <c r="N31" s="11">
        <f>IF(N$3=0,"",SUMIFS(INDEX(Inputs!$D$4:$AG$150,0,MATCH(N$2,Inputs!$D$2:$AG$2,0)),Inputs!$B$4:$B$150,$B31)/1000)</f>
        <v>10962</v>
      </c>
      <c r="O31" s="11">
        <f>IF(O$3=0,"",SUMIFS(INDEX(Inputs!$D$4:$AG$150,0,MATCH(O$2,Inputs!$D$2:$AG$2,0)),Inputs!$B$4:$B$150,$B31)/1000)</f>
        <v>11059</v>
      </c>
      <c r="P31" s="11">
        <f>IF(P$3=0,"",SUMIFS(INDEX(Inputs!$D$4:$AG$150,0,MATCH(P$2,Inputs!$D$2:$AG$2,0)),Inputs!$B$4:$B$150,$B31)/1000)</f>
        <v>10069</v>
      </c>
      <c r="Q31" s="11">
        <f>IF(Q$3=0,"",SUMIFS(INDEX(Inputs!$D$4:$AG$150,0,MATCH(Q$2,Inputs!$D$2:$AG$2,0)),Inputs!$B$4:$B$150,$B31)/1000)</f>
        <v>11324</v>
      </c>
      <c r="R31" s="12">
        <f>IF(Q31="","",Q31)</f>
        <v>11324</v>
      </c>
      <c r="S31" s="11">
        <f>IF(S$3=0,"",SUMIFS(INDEX(Inputs!$D$4:$AG$150,0,MATCH(S$2,Inputs!$D$2:$AG$2,0)),Inputs!$B$4:$B$150,$B31)/1000)</f>
        <v>11329</v>
      </c>
      <c r="T31" s="11">
        <f>IF(T$3=0,"",SUMIFS(INDEX(Inputs!$D$4:$AG$150,0,MATCH(T$2,Inputs!$D$2:$AG$2,0)),Inputs!$B$4:$B$150,$B31)/1000)</f>
        <v>12198</v>
      </c>
      <c r="U31" s="11">
        <f>IF(U$3=0,"",SUMIFS(INDEX(Inputs!$D$4:$AG$150,0,MATCH(U$2,Inputs!$D$2:$AG$2,0)),Inputs!$B$4:$B$150,$B31)/1000)</f>
        <v>11371</v>
      </c>
      <c r="V31" s="11">
        <f>IF(V$3=0,"",SUMIFS(INDEX(Inputs!$D$4:$AG$150,0,MATCH(V$2,Inputs!$D$2:$AG$2,0)),Inputs!$B$4:$B$150,$B31)/1000)</f>
        <v>13430</v>
      </c>
      <c r="W31" s="12">
        <f>IF(V31="","",V31)</f>
        <v>13430</v>
      </c>
      <c r="X31" s="11">
        <f>IF(X$3=0,"",SUMIFS(INDEX(Inputs!$D$4:$AG$150,0,MATCH(X$2,Inputs!$D$2:$AG$2,0)),Inputs!$B$4:$B$150,$B31)/1000)</f>
        <v>13332</v>
      </c>
      <c r="Y31" s="11">
        <f>IF(Y$3=0,"",SUMIFS(INDEX(Inputs!$D$4:$AG$150,0,MATCH(Y$2,Inputs!$D$2:$AG$2,0)),Inputs!$B$4:$B$150,$B31)/1000)</f>
        <v>14822</v>
      </c>
      <c r="Z31" s="11">
        <f>IF(Z$3=0,"",SUMIFS(INDEX(Inputs!$D$4:$AG$150,0,MATCH(Z$2,Inputs!$D$2:$AG$2,0)),Inputs!$B$4:$B$150,$B31)/1000)</f>
        <v>14406</v>
      </c>
      <c r="AA31" s="11">
        <f>IF(AA$3=0,"",SUMIFS(INDEX(Inputs!$D$4:$AG$150,0,MATCH(AA$2,Inputs!$D$2:$AG$2,0)),Inputs!$B$4:$B$150,$B31)/1000)</f>
        <v>15353</v>
      </c>
      <c r="AB31" s="12">
        <f>IF(AA31="","",AA31)</f>
        <v>15353</v>
      </c>
      <c r="AC31" s="11">
        <f>IF(AC$3=0,"",SUMIFS(INDEX(Inputs!$D$4:$AG$150,0,MATCH(AC$2,Inputs!$D$2:$AG$2,0)),Inputs!$B$4:$B$150,$B31)/1000)</f>
        <v>14539</v>
      </c>
      <c r="AD31" s="11">
        <f>IF(AD$3=0,"",SUMIFS(INDEX(Inputs!$D$4:$AG$150,0,MATCH(AD$2,Inputs!$D$2:$AG$2,0)),Inputs!$B$4:$B$150,$B31)/1000)</f>
        <v>15891</v>
      </c>
      <c r="AE31" s="11" t="str">
        <f>IF(AE$3=0,"",SUMIFS(INDEX(Inputs!$D$4:$AG$150,0,MATCH(AE$2,Inputs!$D$2:$AG$2,0)),Inputs!$B$4:$B$150,$B31)/1000)</f>
        <v/>
      </c>
      <c r="AF31" s="11" t="str">
        <f>IF(AF$3=0,"",SUMIFS(INDEX(Inputs!$D$4:$AG$150,0,MATCH(AF$2,Inputs!$D$2:$AG$2,0)),Inputs!$B$4:$B$150,$B31)/1000)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IF(D$3=0,"",SUMIFS(INDEX(Inputs!$D$4:$AG$150,0,MATCH(D$2,Inputs!$D$2:$AG$2,0)),Inputs!$B$4:$B$150,$B32)/1000)</f>
        <v>506</v>
      </c>
      <c r="E32" s="11">
        <f>IF(E$3=0,"",SUMIFS(INDEX(Inputs!$D$4:$AG$150,0,MATCH(E$2,Inputs!$D$2:$AG$2,0)),Inputs!$B$4:$B$150,$B32)/1000)</f>
        <v>506</v>
      </c>
      <c r="F32" s="11">
        <f>IF(F$3=0,"",SUMIFS(INDEX(Inputs!$D$4:$AG$150,0,MATCH(F$2,Inputs!$D$2:$AG$2,0)),Inputs!$B$4:$B$150,$B32)/1000)</f>
        <v>6</v>
      </c>
      <c r="G32" s="11">
        <f>IF(G$3=0,"",SUMIFS(INDEX(Inputs!$D$4:$AG$150,0,MATCH(G$2,Inputs!$D$2:$AG$2,0)),Inputs!$B$4:$B$150,$B32)/1000)</f>
        <v>6</v>
      </c>
      <c r="H32" s="12">
        <f>IF(G32="","",G32)</f>
        <v>6</v>
      </c>
      <c r="I32" s="11">
        <f>IF(I$3=0,"",SUMIFS(INDEX(Inputs!$D$4:$AG$150,0,MATCH(I$2,Inputs!$D$2:$AG$2,0)),Inputs!$B$4:$B$150,$B32)/1000)</f>
        <v>500</v>
      </c>
      <c r="J32" s="11">
        <f>IF(J$3=0,"",SUMIFS(INDEX(Inputs!$D$4:$AG$150,0,MATCH(J$2,Inputs!$D$2:$AG$2,0)),Inputs!$B$4:$B$150,$B32)/1000)</f>
        <v>0</v>
      </c>
      <c r="K32" s="11">
        <f>IF(K$3=0,"",SUMIFS(INDEX(Inputs!$D$4:$AG$150,0,MATCH(K$2,Inputs!$D$2:$AG$2,0)),Inputs!$B$4:$B$150,$B32)/1000)</f>
        <v>0</v>
      </c>
      <c r="L32" s="11">
        <f>IF(L$3=0,"",SUMIFS(INDEX(Inputs!$D$4:$AG$150,0,MATCH(L$2,Inputs!$D$2:$AG$2,0)),Inputs!$B$4:$B$150,$B32)/1000)</f>
        <v>0</v>
      </c>
      <c r="M32" s="12">
        <f>IF(L32="","",L32)</f>
        <v>0</v>
      </c>
      <c r="N32" s="11">
        <f>IF(N$3=0,"",SUMIFS(INDEX(Inputs!$D$4:$AG$150,0,MATCH(N$2,Inputs!$D$2:$AG$2,0)),Inputs!$B$4:$B$150,$B32)/1000)</f>
        <v>115</v>
      </c>
      <c r="O32" s="11">
        <f>IF(O$3=0,"",SUMIFS(INDEX(Inputs!$D$4:$AG$150,0,MATCH(O$2,Inputs!$D$2:$AG$2,0)),Inputs!$B$4:$B$150,$B32)/1000)</f>
        <v>283</v>
      </c>
      <c r="P32" s="11">
        <f>IF(P$3=0,"",SUMIFS(INDEX(Inputs!$D$4:$AG$150,0,MATCH(P$2,Inputs!$D$2:$AG$2,0)),Inputs!$B$4:$B$150,$B32)/1000)</f>
        <v>168</v>
      </c>
      <c r="Q32" s="11">
        <f>IF(Q$3=0,"",SUMIFS(INDEX(Inputs!$D$4:$AG$150,0,MATCH(Q$2,Inputs!$D$2:$AG$2,0)),Inputs!$B$4:$B$150,$B32)/1000)</f>
        <v>168</v>
      </c>
      <c r="R32" s="12">
        <f>IF(Q32="","",Q32)</f>
        <v>168</v>
      </c>
      <c r="S32" s="11">
        <f>IF(S$3=0,"",SUMIFS(INDEX(Inputs!$D$4:$AG$150,0,MATCH(S$2,Inputs!$D$2:$AG$2,0)),Inputs!$B$4:$B$150,$B32)/1000)</f>
        <v>168</v>
      </c>
      <c r="T32" s="11">
        <f>IF(T$3=0,"",SUMIFS(INDEX(Inputs!$D$4:$AG$150,0,MATCH(T$2,Inputs!$D$2:$AG$2,0)),Inputs!$B$4:$B$150,$B32)/1000)</f>
        <v>142</v>
      </c>
      <c r="U32" s="11">
        <f>IF(U$3=0,"",SUMIFS(INDEX(Inputs!$D$4:$AG$150,0,MATCH(U$2,Inputs!$D$2:$AG$2,0)),Inputs!$B$4:$B$150,$B32)/1000)</f>
        <v>142</v>
      </c>
      <c r="V32" s="11">
        <f>IF(V$3=0,"",SUMIFS(INDEX(Inputs!$D$4:$AG$150,0,MATCH(V$2,Inputs!$D$2:$AG$2,0)),Inputs!$B$4:$B$150,$B32)/1000)</f>
        <v>643</v>
      </c>
      <c r="W32" s="12">
        <f>IF(V32="","",V32)</f>
        <v>643</v>
      </c>
      <c r="X32" s="11">
        <f>IF(X$3=0,"",SUMIFS(INDEX(Inputs!$D$4:$AG$150,0,MATCH(X$2,Inputs!$D$2:$AG$2,0)),Inputs!$B$4:$B$150,$B32)/1000)</f>
        <v>1643</v>
      </c>
      <c r="Y32" s="11">
        <f>IF(Y$3=0,"",SUMIFS(INDEX(Inputs!$D$4:$AG$150,0,MATCH(Y$2,Inputs!$D$2:$AG$2,0)),Inputs!$B$4:$B$150,$B32)/1000)</f>
        <v>3118</v>
      </c>
      <c r="Z32" s="11">
        <f>IF(Z$3=0,"",SUMIFS(INDEX(Inputs!$D$4:$AG$150,0,MATCH(Z$2,Inputs!$D$2:$AG$2,0)),Inputs!$B$4:$B$150,$B32)/1000)</f>
        <v>1669</v>
      </c>
      <c r="AA32" s="11">
        <f>IF(AA$3=0,"",SUMIFS(INDEX(Inputs!$D$4:$AG$150,0,MATCH(AA$2,Inputs!$D$2:$AG$2,0)),Inputs!$B$4:$B$150,$B32)/1000)</f>
        <v>1168</v>
      </c>
      <c r="AB32" s="12">
        <f>IF(AA32="","",AA32)</f>
        <v>1168</v>
      </c>
      <c r="AC32" s="11">
        <f>IF(AC$3=0,"",SUMIFS(INDEX(Inputs!$D$4:$AG$150,0,MATCH(AC$2,Inputs!$D$2:$AG$2,0)),Inputs!$B$4:$B$150,$B32)/1000)</f>
        <v>168</v>
      </c>
      <c r="AD32" s="11">
        <f>IF(AD$3=0,"",SUMIFS(INDEX(Inputs!$D$4:$AG$150,0,MATCH(AD$2,Inputs!$D$2:$AG$2,0)),Inputs!$B$4:$B$150,$B32)/1000)</f>
        <v>0</v>
      </c>
      <c r="AE32" s="11" t="str">
        <f>IF(AE$3=0,"",SUMIFS(INDEX(Inputs!$D$4:$AG$150,0,MATCH(AE$2,Inputs!$D$2:$AG$2,0)),Inputs!$B$4:$B$150,$B32)/1000)</f>
        <v/>
      </c>
      <c r="AF32" s="11" t="str">
        <f>IF(AF$3=0,"",SUMIFS(INDEX(Inputs!$D$4:$AG$150,0,MATCH(AF$2,Inputs!$D$2:$AG$2,0)),Inputs!$B$4:$B$150,$B32)/1000)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IF(D$3=0,"",SUMIFS(INDEX(Inputs!$D$4:$AG$150,0,MATCH(D$2,Inputs!$D$2:$AG$2,0)),Inputs!$B$4:$B$150,$B33)/1000)</f>
        <v>0</v>
      </c>
      <c r="E33" s="11">
        <f>IF(E$3=0,"",SUMIFS(INDEX(Inputs!$D$4:$AG$150,0,MATCH(E$2,Inputs!$D$2:$AG$2,0)),Inputs!$B$4:$B$150,$B33)/1000)</f>
        <v>0</v>
      </c>
      <c r="F33" s="11">
        <f>IF(F$3=0,"",SUMIFS(INDEX(Inputs!$D$4:$AG$150,0,MATCH(F$2,Inputs!$D$2:$AG$2,0)),Inputs!$B$4:$B$150,$B33)/1000)</f>
        <v>0</v>
      </c>
      <c r="G33" s="11">
        <f>IF(G$3=0,"",SUMIFS(INDEX(Inputs!$D$4:$AG$150,0,MATCH(G$2,Inputs!$D$2:$AG$2,0)),Inputs!$B$4:$B$150,$B33)/1000)</f>
        <v>0</v>
      </c>
      <c r="H33" s="12">
        <f>IF(G33="","",G33)</f>
        <v>0</v>
      </c>
      <c r="I33" s="11">
        <f>IF(I$3=0,"",SUMIFS(INDEX(Inputs!$D$4:$AG$150,0,MATCH(I$2,Inputs!$D$2:$AG$2,0)),Inputs!$B$4:$B$150,$B33)/1000)</f>
        <v>0</v>
      </c>
      <c r="J33" s="11">
        <f>IF(J$3=0,"",SUMIFS(INDEX(Inputs!$D$4:$AG$150,0,MATCH(J$2,Inputs!$D$2:$AG$2,0)),Inputs!$B$4:$B$150,$B33)/1000)</f>
        <v>0</v>
      </c>
      <c r="K33" s="11">
        <f>IF(K$3=0,"",SUMIFS(INDEX(Inputs!$D$4:$AG$150,0,MATCH(K$2,Inputs!$D$2:$AG$2,0)),Inputs!$B$4:$B$150,$B33)/1000)</f>
        <v>0</v>
      </c>
      <c r="L33" s="11">
        <f>IF(L$3=0,"",SUMIFS(INDEX(Inputs!$D$4:$AG$150,0,MATCH(L$2,Inputs!$D$2:$AG$2,0)),Inputs!$B$4:$B$150,$B33)/1000)</f>
        <v>0</v>
      </c>
      <c r="M33" s="12">
        <f>IF(L33="","",L33)</f>
        <v>0</v>
      </c>
      <c r="N33" s="11">
        <f>IF(N$3=0,"",SUMIFS(INDEX(Inputs!$D$4:$AG$150,0,MATCH(N$2,Inputs!$D$2:$AG$2,0)),Inputs!$B$4:$B$150,$B33)/1000)</f>
        <v>0</v>
      </c>
      <c r="O33" s="11">
        <f>IF(O$3=0,"",SUMIFS(INDEX(Inputs!$D$4:$AG$150,0,MATCH(O$2,Inputs!$D$2:$AG$2,0)),Inputs!$B$4:$B$150,$B33)/1000)</f>
        <v>0</v>
      </c>
      <c r="P33" s="11">
        <f>IF(P$3=0,"",SUMIFS(INDEX(Inputs!$D$4:$AG$150,0,MATCH(P$2,Inputs!$D$2:$AG$2,0)),Inputs!$B$4:$B$150,$B33)/1000)</f>
        <v>0</v>
      </c>
      <c r="Q33" s="11">
        <f>IF(Q$3=0,"",SUMIFS(INDEX(Inputs!$D$4:$AG$150,0,MATCH(Q$2,Inputs!$D$2:$AG$2,0)),Inputs!$B$4:$B$150,$B33)/1000)</f>
        <v>0</v>
      </c>
      <c r="R33" s="12">
        <f>IF(Q33="","",Q33)</f>
        <v>0</v>
      </c>
      <c r="S33" s="11">
        <f>IF(S$3=0,"",SUMIFS(INDEX(Inputs!$D$4:$AG$150,0,MATCH(S$2,Inputs!$D$2:$AG$2,0)),Inputs!$B$4:$B$150,$B33)/1000)</f>
        <v>0</v>
      </c>
      <c r="T33" s="11">
        <f>IF(T$3=0,"",SUMIFS(INDEX(Inputs!$D$4:$AG$150,0,MATCH(T$2,Inputs!$D$2:$AG$2,0)),Inputs!$B$4:$B$150,$B33)/1000)</f>
        <v>0</v>
      </c>
      <c r="U33" s="11">
        <f>IF(U$3=0,"",SUMIFS(INDEX(Inputs!$D$4:$AG$150,0,MATCH(U$2,Inputs!$D$2:$AG$2,0)),Inputs!$B$4:$B$150,$B33)/1000)</f>
        <v>0</v>
      </c>
      <c r="V33" s="11">
        <f>IF(V$3=0,"",SUMIFS(INDEX(Inputs!$D$4:$AG$150,0,MATCH(V$2,Inputs!$D$2:$AG$2,0)),Inputs!$B$4:$B$150,$B33)/1000)</f>
        <v>0</v>
      </c>
      <c r="W33" s="12">
        <f>IF(V33="","",V33)</f>
        <v>0</v>
      </c>
      <c r="X33" s="11">
        <f>IF(X$3=0,"",SUMIFS(INDEX(Inputs!$D$4:$AG$150,0,MATCH(X$2,Inputs!$D$2:$AG$2,0)),Inputs!$B$4:$B$150,$B33)/1000)</f>
        <v>0</v>
      </c>
      <c r="Y33" s="11">
        <f>IF(Y$3=0,"",SUMIFS(INDEX(Inputs!$D$4:$AG$150,0,MATCH(Y$2,Inputs!$D$2:$AG$2,0)),Inputs!$B$4:$B$150,$B33)/1000)</f>
        <v>0</v>
      </c>
      <c r="Z33" s="11">
        <f>IF(Z$3=0,"",SUMIFS(INDEX(Inputs!$D$4:$AG$150,0,MATCH(Z$2,Inputs!$D$2:$AG$2,0)),Inputs!$B$4:$B$150,$B33)/1000)</f>
        <v>0</v>
      </c>
      <c r="AA33" s="11">
        <f>IF(AA$3=0,"",SUMIFS(INDEX(Inputs!$D$4:$AG$150,0,MATCH(AA$2,Inputs!$D$2:$AG$2,0)),Inputs!$B$4:$B$150,$B33)/1000)</f>
        <v>0</v>
      </c>
      <c r="AB33" s="12">
        <f>IF(AA33="","",AA33)</f>
        <v>0</v>
      </c>
      <c r="AC33" s="11">
        <f>IF(AC$3=0,"",SUMIFS(INDEX(Inputs!$D$4:$AG$150,0,MATCH(AC$2,Inputs!$D$2:$AG$2,0)),Inputs!$B$4:$B$150,$B33)/1000)</f>
        <v>0</v>
      </c>
      <c r="AD33" s="11">
        <f>IF(AD$3=0,"",SUMIFS(INDEX(Inputs!$D$4:$AG$150,0,MATCH(AD$2,Inputs!$D$2:$AG$2,0)),Inputs!$B$4:$B$150,$B33)/1000)</f>
        <v>0</v>
      </c>
      <c r="AE33" s="11" t="str">
        <f>IF(AE$3=0,"",SUMIFS(INDEX(Inputs!$D$4:$AG$150,0,MATCH(AE$2,Inputs!$D$2:$AG$2,0)),Inputs!$B$4:$B$150,$B33)/1000)</f>
        <v/>
      </c>
      <c r="AF33" s="11" t="str">
        <f>IF(AF$3=0,"",SUMIFS(INDEX(Inputs!$D$4:$AG$150,0,MATCH(AF$2,Inputs!$D$2:$AG$2,0)),Inputs!$B$4:$B$150,$B33)/1000)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IF(D$3=0,"",SUMIFS(INDEX(Inputs!$D$4:$AG$150,0,MATCH(D$2,Inputs!$D$2:$AG$2,0)),Inputs!$B$4:$B$150,$B34)/1000)</f>
        <v>0</v>
      </c>
      <c r="E34" s="11">
        <f>IF(E$3=0,"",SUMIFS(INDEX(Inputs!$D$4:$AG$150,0,MATCH(E$2,Inputs!$D$2:$AG$2,0)),Inputs!$B$4:$B$150,$B34)/1000)</f>
        <v>0</v>
      </c>
      <c r="F34" s="11">
        <f>IF(F$3=0,"",SUMIFS(INDEX(Inputs!$D$4:$AG$150,0,MATCH(F$2,Inputs!$D$2:$AG$2,0)),Inputs!$B$4:$B$150,$B34)/1000)</f>
        <v>0</v>
      </c>
      <c r="G34" s="11">
        <f>IF(G$3=0,"",SUMIFS(INDEX(Inputs!$D$4:$AG$150,0,MATCH(G$2,Inputs!$D$2:$AG$2,0)),Inputs!$B$4:$B$150,$B34)/1000)</f>
        <v>0</v>
      </c>
      <c r="H34" s="12">
        <f>IF(G34="","",G34)</f>
        <v>0</v>
      </c>
      <c r="I34" s="11">
        <f>IF(I$3=0,"",SUMIFS(INDEX(Inputs!$D$4:$AG$150,0,MATCH(I$2,Inputs!$D$2:$AG$2,0)),Inputs!$B$4:$B$150,$B34)/1000)</f>
        <v>0</v>
      </c>
      <c r="J34" s="11">
        <f>IF(J$3=0,"",SUMIFS(INDEX(Inputs!$D$4:$AG$150,0,MATCH(J$2,Inputs!$D$2:$AG$2,0)),Inputs!$B$4:$B$150,$B34)/1000)</f>
        <v>0</v>
      </c>
      <c r="K34" s="11">
        <f>IF(K$3=0,"",SUMIFS(INDEX(Inputs!$D$4:$AG$150,0,MATCH(K$2,Inputs!$D$2:$AG$2,0)),Inputs!$B$4:$B$150,$B34)/1000)</f>
        <v>0</v>
      </c>
      <c r="L34" s="11">
        <f>IF(L$3=0,"",SUMIFS(INDEX(Inputs!$D$4:$AG$150,0,MATCH(L$2,Inputs!$D$2:$AG$2,0)),Inputs!$B$4:$B$150,$B34)/1000)</f>
        <v>0</v>
      </c>
      <c r="M34" s="12">
        <f>IF(L34="","",L34)</f>
        <v>0</v>
      </c>
      <c r="N34" s="11">
        <f>IF(N$3=0,"",SUMIFS(INDEX(Inputs!$D$4:$AG$150,0,MATCH(N$2,Inputs!$D$2:$AG$2,0)),Inputs!$B$4:$B$150,$B34)/1000)</f>
        <v>0</v>
      </c>
      <c r="O34" s="11">
        <f>IF(O$3=0,"",SUMIFS(INDEX(Inputs!$D$4:$AG$150,0,MATCH(O$2,Inputs!$D$2:$AG$2,0)),Inputs!$B$4:$B$150,$B34)/1000)</f>
        <v>0</v>
      </c>
      <c r="P34" s="11">
        <f>IF(P$3=0,"",SUMIFS(INDEX(Inputs!$D$4:$AG$150,0,MATCH(P$2,Inputs!$D$2:$AG$2,0)),Inputs!$B$4:$B$150,$B34)/1000)</f>
        <v>0</v>
      </c>
      <c r="Q34" s="11">
        <f>IF(Q$3=0,"",SUMIFS(INDEX(Inputs!$D$4:$AG$150,0,MATCH(Q$2,Inputs!$D$2:$AG$2,0)),Inputs!$B$4:$B$150,$B34)/1000)</f>
        <v>0</v>
      </c>
      <c r="R34" s="12">
        <f>IF(Q34="","",Q34)</f>
        <v>0</v>
      </c>
      <c r="S34" s="11">
        <f>IF(S$3=0,"",SUMIFS(INDEX(Inputs!$D$4:$AG$150,0,MATCH(S$2,Inputs!$D$2:$AG$2,0)),Inputs!$B$4:$B$150,$B34)/1000)</f>
        <v>0</v>
      </c>
      <c r="T34" s="11">
        <f>IF(T$3=0,"",SUMIFS(INDEX(Inputs!$D$4:$AG$150,0,MATCH(T$2,Inputs!$D$2:$AG$2,0)),Inputs!$B$4:$B$150,$B34)/1000)</f>
        <v>0</v>
      </c>
      <c r="U34" s="11">
        <f>IF(U$3=0,"",SUMIFS(INDEX(Inputs!$D$4:$AG$150,0,MATCH(U$2,Inputs!$D$2:$AG$2,0)),Inputs!$B$4:$B$150,$B34)/1000)</f>
        <v>0</v>
      </c>
      <c r="V34" s="11">
        <f>IF(V$3=0,"",SUMIFS(INDEX(Inputs!$D$4:$AG$150,0,MATCH(V$2,Inputs!$D$2:$AG$2,0)),Inputs!$B$4:$B$150,$B34)/1000)</f>
        <v>0</v>
      </c>
      <c r="W34" s="12">
        <f>IF(V34="","",V34)</f>
        <v>0</v>
      </c>
      <c r="X34" s="11">
        <f>IF(X$3=0,"",SUMIFS(INDEX(Inputs!$D$4:$AG$150,0,MATCH(X$2,Inputs!$D$2:$AG$2,0)),Inputs!$B$4:$B$150,$B34)/1000)</f>
        <v>0</v>
      </c>
      <c r="Y34" s="11">
        <f>IF(Y$3=0,"",SUMIFS(INDEX(Inputs!$D$4:$AG$150,0,MATCH(Y$2,Inputs!$D$2:$AG$2,0)),Inputs!$B$4:$B$150,$B34)/1000)</f>
        <v>0</v>
      </c>
      <c r="Z34" s="11">
        <f>IF(Z$3=0,"",SUMIFS(INDEX(Inputs!$D$4:$AG$150,0,MATCH(Z$2,Inputs!$D$2:$AG$2,0)),Inputs!$B$4:$B$150,$B34)/1000)</f>
        <v>0</v>
      </c>
      <c r="AA34" s="11">
        <f>IF(AA$3=0,"",SUMIFS(INDEX(Inputs!$D$4:$AG$150,0,MATCH(AA$2,Inputs!$D$2:$AG$2,0)),Inputs!$B$4:$B$150,$B34)/1000)</f>
        <v>0</v>
      </c>
      <c r="AB34" s="12">
        <f>IF(AA34="","",AA34)</f>
        <v>0</v>
      </c>
      <c r="AC34" s="11">
        <f>IF(AC$3=0,"",SUMIFS(INDEX(Inputs!$D$4:$AG$150,0,MATCH(AC$2,Inputs!$D$2:$AG$2,0)),Inputs!$B$4:$B$150,$B34)/1000)</f>
        <v>0</v>
      </c>
      <c r="AD34" s="11">
        <f>IF(AD$3=0,"",SUMIFS(INDEX(Inputs!$D$4:$AG$150,0,MATCH(AD$2,Inputs!$D$2:$AG$2,0)),Inputs!$B$4:$B$150,$B34)/1000)</f>
        <v>0</v>
      </c>
      <c r="AE34" s="11" t="str">
        <f>IF(AE$3=0,"",SUMIFS(INDEX(Inputs!$D$4:$AG$150,0,MATCH(AE$2,Inputs!$D$2:$AG$2,0)),Inputs!$B$4:$B$150,$B34)/1000)</f>
        <v/>
      </c>
      <c r="AF34" s="11" t="str">
        <f>IF(AF$3=0,"",SUMIFS(INDEX(Inputs!$D$4:$AG$150,0,MATCH(AF$2,Inputs!$D$2:$AG$2,0)),Inputs!$B$4:$B$150,$B34)/1000)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IF(D$3=0,"",SUMIFS(INDEX(Inputs!$D$4:$AG$150,0,MATCH(D$2,Inputs!$D$2:$AG$2,0)),Inputs!$B$4:$B$150,$B35)/1000)</f>
        <v>11657</v>
      </c>
      <c r="E35" s="11">
        <f>IF(E$3=0,"",SUMIFS(INDEX(Inputs!$D$4:$AG$150,0,MATCH(E$2,Inputs!$D$2:$AG$2,0)),Inputs!$B$4:$B$150,$B35)/1000)</f>
        <v>11665</v>
      </c>
      <c r="F35" s="11">
        <f>IF(F$3=0,"",SUMIFS(INDEX(Inputs!$D$4:$AG$150,0,MATCH(F$2,Inputs!$D$2:$AG$2,0)),Inputs!$B$4:$B$150,$B35)/1000)</f>
        <v>11668</v>
      </c>
      <c r="G35" s="11">
        <f>IF(G$3=0,"",SUMIFS(INDEX(Inputs!$D$4:$AG$150,0,MATCH(G$2,Inputs!$D$2:$AG$2,0)),Inputs!$B$4:$B$150,$B35)/1000)</f>
        <v>11670</v>
      </c>
      <c r="H35" s="12">
        <f>IF(G35="","",G35)</f>
        <v>11670</v>
      </c>
      <c r="I35" s="11">
        <f>IF(I$3=0,"",SUMIFS(INDEX(Inputs!$D$4:$AG$150,0,MATCH(I$2,Inputs!$D$2:$AG$2,0)),Inputs!$B$4:$B$150,$B35)/1000)</f>
        <v>11145</v>
      </c>
      <c r="J35" s="11">
        <f>IF(J$3=0,"",SUMIFS(INDEX(Inputs!$D$4:$AG$150,0,MATCH(J$2,Inputs!$D$2:$AG$2,0)),Inputs!$B$4:$B$150,$B35)/1000)</f>
        <v>11644</v>
      </c>
      <c r="K35" s="11">
        <f>IF(K$3=0,"",SUMIFS(INDEX(Inputs!$D$4:$AG$150,0,MATCH(K$2,Inputs!$D$2:$AG$2,0)),Inputs!$B$4:$B$150,$B35)/1000)</f>
        <v>11480</v>
      </c>
      <c r="L35" s="11">
        <f>IF(L$3=0,"",SUMIFS(INDEX(Inputs!$D$4:$AG$150,0,MATCH(L$2,Inputs!$D$2:$AG$2,0)),Inputs!$B$4:$B$150,$B35)/1000)</f>
        <v>15429</v>
      </c>
      <c r="M35" s="12">
        <f>IF(L35="","",L35)</f>
        <v>15429</v>
      </c>
      <c r="N35" s="11">
        <f>IF(N$3=0,"",SUMIFS(INDEX(Inputs!$D$4:$AG$150,0,MATCH(N$2,Inputs!$D$2:$AG$2,0)),Inputs!$B$4:$B$150,$B35)/1000)</f>
        <v>15485</v>
      </c>
      <c r="O35" s="11">
        <f>IF(O$3=0,"",SUMIFS(INDEX(Inputs!$D$4:$AG$150,0,MATCH(O$2,Inputs!$D$2:$AG$2,0)),Inputs!$B$4:$B$150,$B35)/1000)</f>
        <v>17262</v>
      </c>
      <c r="P35" s="11">
        <f>IF(P$3=0,"",SUMIFS(INDEX(Inputs!$D$4:$AG$150,0,MATCH(P$2,Inputs!$D$2:$AG$2,0)),Inputs!$B$4:$B$150,$B35)/1000)</f>
        <v>17221</v>
      </c>
      <c r="Q35" s="11">
        <f>IF(Q$3=0,"",SUMIFS(INDEX(Inputs!$D$4:$AG$150,0,MATCH(Q$2,Inputs!$D$2:$AG$2,0)),Inputs!$B$4:$B$150,$B35)/1000)</f>
        <v>17291</v>
      </c>
      <c r="R35" s="12">
        <f>IF(Q35="","",Q35)</f>
        <v>17291</v>
      </c>
      <c r="S35" s="11">
        <f>IF(S$3=0,"",SUMIFS(INDEX(Inputs!$D$4:$AG$150,0,MATCH(S$2,Inputs!$D$2:$AG$2,0)),Inputs!$B$4:$B$150,$B35)/1000)</f>
        <v>19250</v>
      </c>
      <c r="T35" s="11">
        <f>IF(T$3=0,"",SUMIFS(INDEX(Inputs!$D$4:$AG$150,0,MATCH(T$2,Inputs!$D$2:$AG$2,0)),Inputs!$B$4:$B$150,$B35)/1000)</f>
        <v>19115</v>
      </c>
      <c r="U35" s="11">
        <f>IF(U$3=0,"",SUMIFS(INDEX(Inputs!$D$4:$AG$150,0,MATCH(U$2,Inputs!$D$2:$AG$2,0)),Inputs!$B$4:$B$150,$B35)/1000)</f>
        <v>19179</v>
      </c>
      <c r="V35" s="11">
        <f>IF(V$3=0,"",SUMIFS(INDEX(Inputs!$D$4:$AG$150,0,MATCH(V$2,Inputs!$D$2:$AG$2,0)),Inputs!$B$4:$B$150,$B35)/1000)</f>
        <v>19627</v>
      </c>
      <c r="W35" s="12">
        <f>IF(V35="","",V35)</f>
        <v>19627</v>
      </c>
      <c r="X35" s="11">
        <f>IF(X$3=0,"",SUMIFS(INDEX(Inputs!$D$4:$AG$150,0,MATCH(X$2,Inputs!$D$2:$AG$2,0)),Inputs!$B$4:$B$150,$B35)/1000)</f>
        <v>18661</v>
      </c>
      <c r="Y35" s="11">
        <f>IF(Y$3=0,"",SUMIFS(INDEX(Inputs!$D$4:$AG$150,0,MATCH(Y$2,Inputs!$D$2:$AG$2,0)),Inputs!$B$4:$B$150,$B35)/1000)</f>
        <v>18520</v>
      </c>
      <c r="Z35" s="11">
        <f>IF(Z$3=0,"",SUMIFS(INDEX(Inputs!$D$4:$AG$150,0,MATCH(Z$2,Inputs!$D$2:$AG$2,0)),Inputs!$B$4:$B$150,$B35)/1000)</f>
        <v>20520</v>
      </c>
      <c r="AA35" s="11">
        <f>IF(AA$3=0,"",SUMIFS(INDEX(Inputs!$D$4:$AG$150,0,MATCH(AA$2,Inputs!$D$2:$AG$2,0)),Inputs!$B$4:$B$150,$B35)/1000)</f>
        <v>20532</v>
      </c>
      <c r="AB35" s="12">
        <f>IF(AA35="","",AA35)</f>
        <v>20532</v>
      </c>
      <c r="AC35" s="11">
        <f>IF(AC$3=0,"",SUMIFS(INDEX(Inputs!$D$4:$AG$150,0,MATCH(AC$2,Inputs!$D$2:$AG$2,0)),Inputs!$B$4:$B$150,$B35)/1000)</f>
        <v>20529</v>
      </c>
      <c r="AD35" s="11">
        <f>IF(AD$3=0,"",SUMIFS(INDEX(Inputs!$D$4:$AG$150,0,MATCH(AD$2,Inputs!$D$2:$AG$2,0)),Inputs!$B$4:$B$150,$B35)/1000)</f>
        <v>20538</v>
      </c>
      <c r="AE35" s="11" t="str">
        <f>IF(AE$3=0,"",SUMIFS(INDEX(Inputs!$D$4:$AG$150,0,MATCH(AE$2,Inputs!$D$2:$AG$2,0)),Inputs!$B$4:$B$150,$B35)/1000)</f>
        <v/>
      </c>
      <c r="AF35" s="11" t="str">
        <f>IF(AF$3=0,"",SUMIFS(INDEX(Inputs!$D$4:$AG$150,0,MATCH(AF$2,Inputs!$D$2:$AG$2,0)),Inputs!$B$4:$B$150,$B35)/1000)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IF(D$3=0,"",SUMIFS(INDEX(Inputs!$D$4:$AG$150,0,MATCH(D$2,Inputs!$D$2:$AG$2,0)),Inputs!$B$4:$B$150,$B36)/1000)</f>
        <v>0</v>
      </c>
      <c r="E36" s="11">
        <f>IF(E$3=0,"",SUMIFS(INDEX(Inputs!$D$4:$AG$150,0,MATCH(E$2,Inputs!$D$2:$AG$2,0)),Inputs!$B$4:$B$150,$B36)/1000)</f>
        <v>0</v>
      </c>
      <c r="F36" s="11">
        <f>IF(F$3=0,"",SUMIFS(INDEX(Inputs!$D$4:$AG$150,0,MATCH(F$2,Inputs!$D$2:$AG$2,0)),Inputs!$B$4:$B$150,$B36)/1000)</f>
        <v>0</v>
      </c>
      <c r="G36" s="11">
        <f>IF(G$3=0,"",SUMIFS(INDEX(Inputs!$D$4:$AG$150,0,MATCH(G$2,Inputs!$D$2:$AG$2,0)),Inputs!$B$4:$B$150,$B36)/1000)</f>
        <v>0</v>
      </c>
      <c r="H36" s="12">
        <f>IF(G36="","",G36)</f>
        <v>0</v>
      </c>
      <c r="I36" s="11">
        <f>IF(I$3=0,"",SUMIFS(INDEX(Inputs!$D$4:$AG$150,0,MATCH(I$2,Inputs!$D$2:$AG$2,0)),Inputs!$B$4:$B$150,$B36)/1000)</f>
        <v>0</v>
      </c>
      <c r="J36" s="11">
        <f>IF(J$3=0,"",SUMIFS(INDEX(Inputs!$D$4:$AG$150,0,MATCH(J$2,Inputs!$D$2:$AG$2,0)),Inputs!$B$4:$B$150,$B36)/1000)</f>
        <v>0</v>
      </c>
      <c r="K36" s="11">
        <f>IF(K$3=0,"",SUMIFS(INDEX(Inputs!$D$4:$AG$150,0,MATCH(K$2,Inputs!$D$2:$AG$2,0)),Inputs!$B$4:$B$150,$B36)/1000)</f>
        <v>0</v>
      </c>
      <c r="L36" s="11">
        <f>IF(L$3=0,"",SUMIFS(INDEX(Inputs!$D$4:$AG$150,0,MATCH(L$2,Inputs!$D$2:$AG$2,0)),Inputs!$B$4:$B$150,$B36)/1000)</f>
        <v>0</v>
      </c>
      <c r="M36" s="12">
        <f>IF(L36="","",L36)</f>
        <v>0</v>
      </c>
      <c r="N36" s="11">
        <f>IF(N$3=0,"",SUMIFS(INDEX(Inputs!$D$4:$AG$150,0,MATCH(N$2,Inputs!$D$2:$AG$2,0)),Inputs!$B$4:$B$150,$B36)/1000)</f>
        <v>0</v>
      </c>
      <c r="O36" s="11">
        <f>IF(O$3=0,"",SUMIFS(INDEX(Inputs!$D$4:$AG$150,0,MATCH(O$2,Inputs!$D$2:$AG$2,0)),Inputs!$B$4:$B$150,$B36)/1000)</f>
        <v>0</v>
      </c>
      <c r="P36" s="11">
        <f>IF(P$3=0,"",SUMIFS(INDEX(Inputs!$D$4:$AG$150,0,MATCH(P$2,Inputs!$D$2:$AG$2,0)),Inputs!$B$4:$B$150,$B36)/1000)</f>
        <v>0</v>
      </c>
      <c r="Q36" s="11">
        <f>IF(Q$3=0,"",SUMIFS(INDEX(Inputs!$D$4:$AG$150,0,MATCH(Q$2,Inputs!$D$2:$AG$2,0)),Inputs!$B$4:$B$150,$B36)/1000)</f>
        <v>0</v>
      </c>
      <c r="R36" s="12">
        <f>IF(Q36="","",Q36)</f>
        <v>0</v>
      </c>
      <c r="S36" s="11">
        <f>IF(S$3=0,"",SUMIFS(INDEX(Inputs!$D$4:$AG$150,0,MATCH(S$2,Inputs!$D$2:$AG$2,0)),Inputs!$B$4:$B$150,$B36)/1000)</f>
        <v>0</v>
      </c>
      <c r="T36" s="11">
        <f>IF(T$3=0,"",SUMIFS(INDEX(Inputs!$D$4:$AG$150,0,MATCH(T$2,Inputs!$D$2:$AG$2,0)),Inputs!$B$4:$B$150,$B36)/1000)</f>
        <v>0</v>
      </c>
      <c r="U36" s="11">
        <f>IF(U$3=0,"",SUMIFS(INDEX(Inputs!$D$4:$AG$150,0,MATCH(U$2,Inputs!$D$2:$AG$2,0)),Inputs!$B$4:$B$150,$B36)/1000)</f>
        <v>0</v>
      </c>
      <c r="V36" s="11">
        <f>IF(V$3=0,"",SUMIFS(INDEX(Inputs!$D$4:$AG$150,0,MATCH(V$2,Inputs!$D$2:$AG$2,0)),Inputs!$B$4:$B$150,$B36)/1000)</f>
        <v>0</v>
      </c>
      <c r="W36" s="12">
        <f>IF(V36="","",V36)</f>
        <v>0</v>
      </c>
      <c r="X36" s="11">
        <f>IF(X$3=0,"",SUMIFS(INDEX(Inputs!$D$4:$AG$150,0,MATCH(X$2,Inputs!$D$2:$AG$2,0)),Inputs!$B$4:$B$150,$B36)/1000)</f>
        <v>0</v>
      </c>
      <c r="Y36" s="11">
        <f>IF(Y$3=0,"",SUMIFS(INDEX(Inputs!$D$4:$AG$150,0,MATCH(Y$2,Inputs!$D$2:$AG$2,0)),Inputs!$B$4:$B$150,$B36)/1000)</f>
        <v>0</v>
      </c>
      <c r="Z36" s="11">
        <f>IF(Z$3=0,"",SUMIFS(INDEX(Inputs!$D$4:$AG$150,0,MATCH(Z$2,Inputs!$D$2:$AG$2,0)),Inputs!$B$4:$B$150,$B36)/1000)</f>
        <v>0</v>
      </c>
      <c r="AA36" s="11">
        <f>IF(AA$3=0,"",SUMIFS(INDEX(Inputs!$D$4:$AG$150,0,MATCH(AA$2,Inputs!$D$2:$AG$2,0)),Inputs!$B$4:$B$150,$B36)/1000)</f>
        <v>0</v>
      </c>
      <c r="AB36" s="12">
        <f>IF(AA36="","",AA36)</f>
        <v>0</v>
      </c>
      <c r="AC36" s="11">
        <f>IF(AC$3=0,"",SUMIFS(INDEX(Inputs!$D$4:$AG$150,0,MATCH(AC$2,Inputs!$D$2:$AG$2,0)),Inputs!$B$4:$B$150,$B36)/1000)</f>
        <v>0</v>
      </c>
      <c r="AD36" s="11">
        <f>IF(AD$3=0,"",SUMIFS(INDEX(Inputs!$D$4:$AG$150,0,MATCH(AD$2,Inputs!$D$2:$AG$2,0)),Inputs!$B$4:$B$150,$B36)/1000)</f>
        <v>0</v>
      </c>
      <c r="AE36" s="11" t="str">
        <f>IF(AE$3=0,"",SUMIFS(INDEX(Inputs!$D$4:$AG$150,0,MATCH(AE$2,Inputs!$D$2:$AG$2,0)),Inputs!$B$4:$B$150,$B36)/1000)</f>
        <v/>
      </c>
      <c r="AF36" s="11" t="str">
        <f>IF(AF$3=0,"",SUMIFS(INDEX(Inputs!$D$4:$AG$150,0,MATCH(AF$2,Inputs!$D$2:$AG$2,0)),Inputs!$B$4:$B$150,$B36)/1000)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IF(D$3=0,"",SUMIFS(INDEX(Inputs!$D$4:$AG$150,0,MATCH(D$2,Inputs!$D$2:$AG$2,0)),Inputs!$B$4:$B$150,$B37)/1000)</f>
        <v>0</v>
      </c>
      <c r="E37" s="11">
        <f>IF(E$3=0,"",SUMIFS(INDEX(Inputs!$D$4:$AG$150,0,MATCH(E$2,Inputs!$D$2:$AG$2,0)),Inputs!$B$4:$B$150,$B37)/1000)</f>
        <v>0</v>
      </c>
      <c r="F37" s="11">
        <f>IF(F$3=0,"",SUMIFS(INDEX(Inputs!$D$4:$AG$150,0,MATCH(F$2,Inputs!$D$2:$AG$2,0)),Inputs!$B$4:$B$150,$B37)/1000)</f>
        <v>0</v>
      </c>
      <c r="G37" s="11">
        <f>IF(G$3=0,"",SUMIFS(INDEX(Inputs!$D$4:$AG$150,0,MATCH(G$2,Inputs!$D$2:$AG$2,0)),Inputs!$B$4:$B$150,$B37)/1000)</f>
        <v>0</v>
      </c>
      <c r="H37" s="12">
        <f>IF(G37="","",G37)</f>
        <v>0</v>
      </c>
      <c r="I37" s="11">
        <f>IF(I$3=0,"",SUMIFS(INDEX(Inputs!$D$4:$AG$150,0,MATCH(I$2,Inputs!$D$2:$AG$2,0)),Inputs!$B$4:$B$150,$B37)/1000)</f>
        <v>0</v>
      </c>
      <c r="J37" s="11">
        <f>IF(J$3=0,"",SUMIFS(INDEX(Inputs!$D$4:$AG$150,0,MATCH(J$2,Inputs!$D$2:$AG$2,0)),Inputs!$B$4:$B$150,$B37)/1000)</f>
        <v>0</v>
      </c>
      <c r="K37" s="11">
        <f>IF(K$3=0,"",SUMIFS(INDEX(Inputs!$D$4:$AG$150,0,MATCH(K$2,Inputs!$D$2:$AG$2,0)),Inputs!$B$4:$B$150,$B37)/1000)</f>
        <v>0</v>
      </c>
      <c r="L37" s="11">
        <f>IF(L$3=0,"",SUMIFS(INDEX(Inputs!$D$4:$AG$150,0,MATCH(L$2,Inputs!$D$2:$AG$2,0)),Inputs!$B$4:$B$150,$B37)/1000)</f>
        <v>0</v>
      </c>
      <c r="M37" s="12">
        <f>IF(L37="","",L37)</f>
        <v>0</v>
      </c>
      <c r="N37" s="11">
        <f>IF(N$3=0,"",SUMIFS(INDEX(Inputs!$D$4:$AG$150,0,MATCH(N$2,Inputs!$D$2:$AG$2,0)),Inputs!$B$4:$B$150,$B37)/1000)</f>
        <v>0</v>
      </c>
      <c r="O37" s="11">
        <f>IF(O$3=0,"",SUMIFS(INDEX(Inputs!$D$4:$AG$150,0,MATCH(O$2,Inputs!$D$2:$AG$2,0)),Inputs!$B$4:$B$150,$B37)/1000)</f>
        <v>0</v>
      </c>
      <c r="P37" s="11">
        <f>IF(P$3=0,"",SUMIFS(INDEX(Inputs!$D$4:$AG$150,0,MATCH(P$2,Inputs!$D$2:$AG$2,0)),Inputs!$B$4:$B$150,$B37)/1000)</f>
        <v>0</v>
      </c>
      <c r="Q37" s="11">
        <f>IF(Q$3=0,"",SUMIFS(INDEX(Inputs!$D$4:$AG$150,0,MATCH(Q$2,Inputs!$D$2:$AG$2,0)),Inputs!$B$4:$B$150,$B37)/1000)</f>
        <v>0</v>
      </c>
      <c r="R37" s="12">
        <f>IF(Q37="","",Q37)</f>
        <v>0</v>
      </c>
      <c r="S37" s="11">
        <f>IF(S$3=0,"",SUMIFS(INDEX(Inputs!$D$4:$AG$150,0,MATCH(S$2,Inputs!$D$2:$AG$2,0)),Inputs!$B$4:$B$150,$B37)/1000)</f>
        <v>0</v>
      </c>
      <c r="T37" s="11">
        <f>IF(T$3=0,"",SUMIFS(INDEX(Inputs!$D$4:$AG$150,0,MATCH(T$2,Inputs!$D$2:$AG$2,0)),Inputs!$B$4:$B$150,$B37)/1000)</f>
        <v>0</v>
      </c>
      <c r="U37" s="11">
        <f>IF(U$3=0,"",SUMIFS(INDEX(Inputs!$D$4:$AG$150,0,MATCH(U$2,Inputs!$D$2:$AG$2,0)),Inputs!$B$4:$B$150,$B37)/1000)</f>
        <v>0</v>
      </c>
      <c r="V37" s="11">
        <f>IF(V$3=0,"",SUMIFS(INDEX(Inputs!$D$4:$AG$150,0,MATCH(V$2,Inputs!$D$2:$AG$2,0)),Inputs!$B$4:$B$150,$B37)/1000)</f>
        <v>0</v>
      </c>
      <c r="W37" s="12">
        <f>IF(V37="","",V37)</f>
        <v>0</v>
      </c>
      <c r="X37" s="11">
        <f>IF(X$3=0,"",SUMIFS(INDEX(Inputs!$D$4:$AG$150,0,MATCH(X$2,Inputs!$D$2:$AG$2,0)),Inputs!$B$4:$B$150,$B37)/1000)</f>
        <v>0</v>
      </c>
      <c r="Y37" s="11">
        <f>IF(Y$3=0,"",SUMIFS(INDEX(Inputs!$D$4:$AG$150,0,MATCH(Y$2,Inputs!$D$2:$AG$2,0)),Inputs!$B$4:$B$150,$B37)/1000)</f>
        <v>0</v>
      </c>
      <c r="Z37" s="11">
        <f>IF(Z$3=0,"",SUMIFS(INDEX(Inputs!$D$4:$AG$150,0,MATCH(Z$2,Inputs!$D$2:$AG$2,0)),Inputs!$B$4:$B$150,$B37)/1000)</f>
        <v>0</v>
      </c>
      <c r="AA37" s="11">
        <f>IF(AA$3=0,"",SUMIFS(INDEX(Inputs!$D$4:$AG$150,0,MATCH(AA$2,Inputs!$D$2:$AG$2,0)),Inputs!$B$4:$B$150,$B37)/1000)</f>
        <v>0</v>
      </c>
      <c r="AB37" s="12">
        <f>IF(AA37="","",AA37)</f>
        <v>0</v>
      </c>
      <c r="AC37" s="11">
        <f>IF(AC$3=0,"",SUMIFS(INDEX(Inputs!$D$4:$AG$150,0,MATCH(AC$2,Inputs!$D$2:$AG$2,0)),Inputs!$B$4:$B$150,$B37)/1000)</f>
        <v>0</v>
      </c>
      <c r="AD37" s="11">
        <f>IF(AD$3=0,"",SUMIFS(INDEX(Inputs!$D$4:$AG$150,0,MATCH(AD$2,Inputs!$D$2:$AG$2,0)),Inputs!$B$4:$B$150,$B37)/1000)</f>
        <v>0</v>
      </c>
      <c r="AE37" s="11" t="str">
        <f>IF(AE$3=0,"",SUMIFS(INDEX(Inputs!$D$4:$AG$150,0,MATCH(AE$2,Inputs!$D$2:$AG$2,0)),Inputs!$B$4:$B$150,$B37)/1000)</f>
        <v/>
      </c>
      <c r="AF37" s="11" t="str">
        <f>IF(AF$3=0,"",SUMIFS(INDEX(Inputs!$D$4:$AG$150,0,MATCH(AF$2,Inputs!$D$2:$AG$2,0)),Inputs!$B$4:$B$150,$B37)/1000)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IF(D$3=0,"",SUMIFS(INDEX(Inputs!$D$4:$AG$150,0,MATCH(D$2,Inputs!$D$2:$AG$2,0)),Inputs!$B$4:$B$150,$B38)/1000)</f>
        <v>0</v>
      </c>
      <c r="E38" s="11">
        <f>IF(E$3=0,"",SUMIFS(INDEX(Inputs!$D$4:$AG$150,0,MATCH(E$2,Inputs!$D$2:$AG$2,0)),Inputs!$B$4:$B$150,$B38)/1000)</f>
        <v>0</v>
      </c>
      <c r="F38" s="11">
        <f>IF(F$3=0,"",SUMIFS(INDEX(Inputs!$D$4:$AG$150,0,MATCH(F$2,Inputs!$D$2:$AG$2,0)),Inputs!$B$4:$B$150,$B38)/1000)</f>
        <v>0</v>
      </c>
      <c r="G38" s="11">
        <f>IF(G$3=0,"",SUMIFS(INDEX(Inputs!$D$4:$AG$150,0,MATCH(G$2,Inputs!$D$2:$AG$2,0)),Inputs!$B$4:$B$150,$B38)/1000)</f>
        <v>0</v>
      </c>
      <c r="H38" s="12">
        <f>IF(G38="","",G38)</f>
        <v>0</v>
      </c>
      <c r="I38" s="11">
        <f>IF(I$3=0,"",SUMIFS(INDEX(Inputs!$D$4:$AG$150,0,MATCH(I$2,Inputs!$D$2:$AG$2,0)),Inputs!$B$4:$B$150,$B38)/1000)</f>
        <v>0</v>
      </c>
      <c r="J38" s="11">
        <f>IF(J$3=0,"",SUMIFS(INDEX(Inputs!$D$4:$AG$150,0,MATCH(J$2,Inputs!$D$2:$AG$2,0)),Inputs!$B$4:$B$150,$B38)/1000)</f>
        <v>0</v>
      </c>
      <c r="K38" s="11">
        <f>IF(K$3=0,"",SUMIFS(INDEX(Inputs!$D$4:$AG$150,0,MATCH(K$2,Inputs!$D$2:$AG$2,0)),Inputs!$B$4:$B$150,$B38)/1000)</f>
        <v>0</v>
      </c>
      <c r="L38" s="11">
        <f>IF(L$3=0,"",SUMIFS(INDEX(Inputs!$D$4:$AG$150,0,MATCH(L$2,Inputs!$D$2:$AG$2,0)),Inputs!$B$4:$B$150,$B38)/1000)</f>
        <v>0</v>
      </c>
      <c r="M38" s="12">
        <f>IF(L38="","",L38)</f>
        <v>0</v>
      </c>
      <c r="N38" s="11">
        <f>IF(N$3=0,"",SUMIFS(INDEX(Inputs!$D$4:$AG$150,0,MATCH(N$2,Inputs!$D$2:$AG$2,0)),Inputs!$B$4:$B$150,$B38)/1000)</f>
        <v>0</v>
      </c>
      <c r="O38" s="11">
        <f>IF(O$3=0,"",SUMIFS(INDEX(Inputs!$D$4:$AG$150,0,MATCH(O$2,Inputs!$D$2:$AG$2,0)),Inputs!$B$4:$B$150,$B38)/1000)</f>
        <v>0</v>
      </c>
      <c r="P38" s="11">
        <f>IF(P$3=0,"",SUMIFS(INDEX(Inputs!$D$4:$AG$150,0,MATCH(P$2,Inputs!$D$2:$AG$2,0)),Inputs!$B$4:$B$150,$B38)/1000)</f>
        <v>0</v>
      </c>
      <c r="Q38" s="11">
        <f>IF(Q$3=0,"",SUMIFS(INDEX(Inputs!$D$4:$AG$150,0,MATCH(Q$2,Inputs!$D$2:$AG$2,0)),Inputs!$B$4:$B$150,$B38)/1000)</f>
        <v>0</v>
      </c>
      <c r="R38" s="12">
        <f>IF(Q38="","",Q38)</f>
        <v>0</v>
      </c>
      <c r="S38" s="11">
        <f>IF(S$3=0,"",SUMIFS(INDEX(Inputs!$D$4:$AG$150,0,MATCH(S$2,Inputs!$D$2:$AG$2,0)),Inputs!$B$4:$B$150,$B38)/1000)</f>
        <v>0</v>
      </c>
      <c r="T38" s="11">
        <f>IF(T$3=0,"",SUMIFS(INDEX(Inputs!$D$4:$AG$150,0,MATCH(T$2,Inputs!$D$2:$AG$2,0)),Inputs!$B$4:$B$150,$B38)/1000)</f>
        <v>0</v>
      </c>
      <c r="U38" s="11">
        <f>IF(U$3=0,"",SUMIFS(INDEX(Inputs!$D$4:$AG$150,0,MATCH(U$2,Inputs!$D$2:$AG$2,0)),Inputs!$B$4:$B$150,$B38)/1000)</f>
        <v>0</v>
      </c>
      <c r="V38" s="11">
        <f>IF(V$3=0,"",SUMIFS(INDEX(Inputs!$D$4:$AG$150,0,MATCH(V$2,Inputs!$D$2:$AG$2,0)),Inputs!$B$4:$B$150,$B38)/1000)</f>
        <v>0</v>
      </c>
      <c r="W38" s="12">
        <f>IF(V38="","",V38)</f>
        <v>0</v>
      </c>
      <c r="X38" s="11">
        <f>IF(X$3=0,"",SUMIFS(INDEX(Inputs!$D$4:$AG$150,0,MATCH(X$2,Inputs!$D$2:$AG$2,0)),Inputs!$B$4:$B$150,$B38)/1000)</f>
        <v>0</v>
      </c>
      <c r="Y38" s="11">
        <f>IF(Y$3=0,"",SUMIFS(INDEX(Inputs!$D$4:$AG$150,0,MATCH(Y$2,Inputs!$D$2:$AG$2,0)),Inputs!$B$4:$B$150,$B38)/1000)</f>
        <v>0</v>
      </c>
      <c r="Z38" s="11">
        <f>IF(Z$3=0,"",SUMIFS(INDEX(Inputs!$D$4:$AG$150,0,MATCH(Z$2,Inputs!$D$2:$AG$2,0)),Inputs!$B$4:$B$150,$B38)/1000)</f>
        <v>0</v>
      </c>
      <c r="AA38" s="11">
        <f>IF(AA$3=0,"",SUMIFS(INDEX(Inputs!$D$4:$AG$150,0,MATCH(AA$2,Inputs!$D$2:$AG$2,0)),Inputs!$B$4:$B$150,$B38)/1000)</f>
        <v>0</v>
      </c>
      <c r="AB38" s="12">
        <f>IF(AA38="","",AA38)</f>
        <v>0</v>
      </c>
      <c r="AC38" s="11">
        <f>IF(AC$3=0,"",SUMIFS(INDEX(Inputs!$D$4:$AG$150,0,MATCH(AC$2,Inputs!$D$2:$AG$2,0)),Inputs!$B$4:$B$150,$B38)/1000)</f>
        <v>0</v>
      </c>
      <c r="AD38" s="11">
        <f>IF(AD$3=0,"",SUMIFS(INDEX(Inputs!$D$4:$AG$150,0,MATCH(AD$2,Inputs!$D$2:$AG$2,0)),Inputs!$B$4:$B$150,$B38)/1000)</f>
        <v>0</v>
      </c>
      <c r="AE38" s="11" t="str">
        <f>IF(AE$3=0,"",SUMIFS(INDEX(Inputs!$D$4:$AG$150,0,MATCH(AE$2,Inputs!$D$2:$AG$2,0)),Inputs!$B$4:$B$150,$B38)/1000)</f>
        <v/>
      </c>
      <c r="AF38" s="11" t="str">
        <f>IF(AF$3=0,"",SUMIFS(INDEX(Inputs!$D$4:$AG$150,0,MATCH(AF$2,Inputs!$D$2:$AG$2,0)),Inputs!$B$4:$B$150,$B38)/1000)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IF(D$3=0,"",SUMIFS(INDEX(Inputs!$D$4:$AG$150,0,MATCH(D$2,Inputs!$D$2:$AG$2,0)),Inputs!$B$4:$B$150,$B39)/1000)</f>
        <v>18730</v>
      </c>
      <c r="E39" s="11">
        <f>IF(E$3=0,"",SUMIFS(INDEX(Inputs!$D$4:$AG$150,0,MATCH(E$2,Inputs!$D$2:$AG$2,0)),Inputs!$B$4:$B$150,$B39)/1000)</f>
        <v>18662</v>
      </c>
      <c r="F39" s="11">
        <f>IF(F$3=0,"",SUMIFS(INDEX(Inputs!$D$4:$AG$150,0,MATCH(F$2,Inputs!$D$2:$AG$2,0)),Inputs!$B$4:$B$150,$B39)/1000)</f>
        <v>15518</v>
      </c>
      <c r="G39" s="11">
        <f>IF(G$3=0,"",SUMIFS(INDEX(Inputs!$D$4:$AG$150,0,MATCH(G$2,Inputs!$D$2:$AG$2,0)),Inputs!$B$4:$B$150,$B39)/1000)</f>
        <v>14247</v>
      </c>
      <c r="H39" s="12">
        <f>IF(G39="","",G39)</f>
        <v>14247</v>
      </c>
      <c r="I39" s="11">
        <f>IF(I$3=0,"",SUMIFS(INDEX(Inputs!$D$4:$AG$150,0,MATCH(I$2,Inputs!$D$2:$AG$2,0)),Inputs!$B$4:$B$150,$B39)/1000)</f>
        <v>14316</v>
      </c>
      <c r="J39" s="11">
        <f>IF(J$3=0,"",SUMIFS(INDEX(Inputs!$D$4:$AG$150,0,MATCH(J$2,Inputs!$D$2:$AG$2,0)),Inputs!$B$4:$B$150,$B39)/1000)</f>
        <v>12203</v>
      </c>
      <c r="K39" s="11">
        <f>IF(K$3=0,"",SUMIFS(INDEX(Inputs!$D$4:$AG$150,0,MATCH(K$2,Inputs!$D$2:$AG$2,0)),Inputs!$B$4:$B$150,$B39)/1000)</f>
        <v>12237</v>
      </c>
      <c r="L39" s="11">
        <f>IF(L$3=0,"",SUMIFS(INDEX(Inputs!$D$4:$AG$150,0,MATCH(L$2,Inputs!$D$2:$AG$2,0)),Inputs!$B$4:$B$150,$B39)/1000)</f>
        <v>12298</v>
      </c>
      <c r="M39" s="12">
        <f>IF(L39="","",L39)</f>
        <v>12298</v>
      </c>
      <c r="N39" s="11">
        <f>IF(N$3=0,"",SUMIFS(INDEX(Inputs!$D$4:$AG$150,0,MATCH(N$2,Inputs!$D$2:$AG$2,0)),Inputs!$B$4:$B$150,$B39)/1000)</f>
        <v>12509</v>
      </c>
      <c r="O39" s="11">
        <f>IF(O$3=0,"",SUMIFS(INDEX(Inputs!$D$4:$AG$150,0,MATCH(O$2,Inputs!$D$2:$AG$2,0)),Inputs!$B$4:$B$150,$B39)/1000)</f>
        <v>12772</v>
      </c>
      <c r="P39" s="11">
        <f>IF(P$3=0,"",SUMIFS(INDEX(Inputs!$D$4:$AG$150,0,MATCH(P$2,Inputs!$D$2:$AG$2,0)),Inputs!$B$4:$B$150,$B39)/1000)</f>
        <v>12978</v>
      </c>
      <c r="Q39" s="11">
        <f>IF(Q$3=0,"",SUMIFS(INDEX(Inputs!$D$4:$AG$150,0,MATCH(Q$2,Inputs!$D$2:$AG$2,0)),Inputs!$B$4:$B$150,$B39)/1000)</f>
        <v>11393</v>
      </c>
      <c r="R39" s="12">
        <f>IF(Q39="","",Q39)</f>
        <v>11393</v>
      </c>
      <c r="S39" s="11">
        <f>IF(S$3=0,"",SUMIFS(INDEX(Inputs!$D$4:$AG$150,0,MATCH(S$2,Inputs!$D$2:$AG$2,0)),Inputs!$B$4:$B$150,$B39)/1000)</f>
        <v>11364</v>
      </c>
      <c r="T39" s="11">
        <f>IF(T$3=0,"",SUMIFS(INDEX(Inputs!$D$4:$AG$150,0,MATCH(T$2,Inputs!$D$2:$AG$2,0)),Inputs!$B$4:$B$150,$B39)/1000)</f>
        <v>11293</v>
      </c>
      <c r="U39" s="11">
        <f>IF(U$3=0,"",SUMIFS(INDEX(Inputs!$D$4:$AG$150,0,MATCH(U$2,Inputs!$D$2:$AG$2,0)),Inputs!$B$4:$B$150,$B39)/1000)</f>
        <v>11331</v>
      </c>
      <c r="V39" s="11">
        <f>IF(V$3=0,"",SUMIFS(INDEX(Inputs!$D$4:$AG$150,0,MATCH(V$2,Inputs!$D$2:$AG$2,0)),Inputs!$B$4:$B$150,$B39)/1000)</f>
        <v>10237</v>
      </c>
      <c r="W39" s="12">
        <f>IF(V39="","",V39)</f>
        <v>10237</v>
      </c>
      <c r="X39" s="11">
        <f>IF(X$3=0,"",SUMIFS(INDEX(Inputs!$D$4:$AG$150,0,MATCH(X$2,Inputs!$D$2:$AG$2,0)),Inputs!$B$4:$B$150,$B39)/1000)</f>
        <v>10138</v>
      </c>
      <c r="Y39" s="11">
        <f>IF(Y$3=0,"",SUMIFS(INDEX(Inputs!$D$4:$AG$150,0,MATCH(Y$2,Inputs!$D$2:$AG$2,0)),Inputs!$B$4:$B$150,$B39)/1000)</f>
        <v>10662</v>
      </c>
      <c r="Z39" s="11">
        <f>IF(Z$3=0,"",SUMIFS(INDEX(Inputs!$D$4:$AG$150,0,MATCH(Z$2,Inputs!$D$2:$AG$2,0)),Inputs!$B$4:$B$150,$B39)/1000)</f>
        <v>10601</v>
      </c>
      <c r="AA39" s="11">
        <f>IF(AA$3=0,"",SUMIFS(INDEX(Inputs!$D$4:$AG$150,0,MATCH(AA$2,Inputs!$D$2:$AG$2,0)),Inputs!$B$4:$B$150,$B39)/1000)</f>
        <v>9252</v>
      </c>
      <c r="AB39" s="12">
        <f>IF(AA39="","",AA39)</f>
        <v>9252</v>
      </c>
      <c r="AC39" s="11">
        <f>IF(AC$3=0,"",SUMIFS(INDEX(Inputs!$D$4:$AG$150,0,MATCH(AC$2,Inputs!$D$2:$AG$2,0)),Inputs!$B$4:$B$150,$B39)/1000)</f>
        <v>9130</v>
      </c>
      <c r="AD39" s="11">
        <f>IF(AD$3=0,"",SUMIFS(INDEX(Inputs!$D$4:$AG$150,0,MATCH(AD$2,Inputs!$D$2:$AG$2,0)),Inputs!$B$4:$B$150,$B39)/1000)</f>
        <v>9335</v>
      </c>
      <c r="AE39" s="11" t="str">
        <f>IF(AE$3=0,"",SUMIFS(INDEX(Inputs!$D$4:$AG$150,0,MATCH(AE$2,Inputs!$D$2:$AG$2,0)),Inputs!$B$4:$B$150,$B39)/1000)</f>
        <v/>
      </c>
      <c r="AF39" s="11" t="str">
        <f>IF(AF$3=0,"",SUMIFS(INDEX(Inputs!$D$4:$AG$150,0,MATCH(AF$2,Inputs!$D$2:$AG$2,0)),Inputs!$B$4:$B$150,$B39)/1000)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IF(D$3=0,"",SUMIFS(INDEX(Inputs!$D$4:$AG$150,0,MATCH(D$2,Inputs!$D$2:$AG$2,0)),Inputs!$B$4:$B$150,$B41)/1000)</f>
        <v>21</v>
      </c>
      <c r="E41" s="11">
        <f>IF(E$3=0,"",SUMIFS(INDEX(Inputs!$D$4:$AG$150,0,MATCH(E$2,Inputs!$D$2:$AG$2,0)),Inputs!$B$4:$B$150,$B41)/1000)</f>
        <v>8</v>
      </c>
      <c r="F41" s="11">
        <f>IF(F$3=0,"",SUMIFS(INDEX(Inputs!$D$4:$AG$150,0,MATCH(F$2,Inputs!$D$2:$AG$2,0)),Inputs!$B$4:$B$150,$B41)/1000)</f>
        <v>0</v>
      </c>
      <c r="G41" s="11">
        <f>IF(G$3=0,"",SUMIFS(INDEX(Inputs!$D$4:$AG$150,0,MATCH(G$2,Inputs!$D$2:$AG$2,0)),Inputs!$B$4:$B$150,$B41)/1000)</f>
        <v>0</v>
      </c>
      <c r="H41" s="12">
        <f>IF(G41="","",G41)</f>
        <v>0</v>
      </c>
      <c r="I41" s="11">
        <f>IF(I$3=0,"",SUMIFS(INDEX(Inputs!$D$4:$AG$150,0,MATCH(I$2,Inputs!$D$2:$AG$2,0)),Inputs!$B$4:$B$150,$B41)/1000)</f>
        <v>0</v>
      </c>
      <c r="J41" s="11">
        <f>IF(J$3=0,"",SUMIFS(INDEX(Inputs!$D$4:$AG$150,0,MATCH(J$2,Inputs!$D$2:$AG$2,0)),Inputs!$B$4:$B$150,$B41)/1000)</f>
        <v>0</v>
      </c>
      <c r="K41" s="11">
        <f>IF(K$3=0,"",SUMIFS(INDEX(Inputs!$D$4:$AG$150,0,MATCH(K$2,Inputs!$D$2:$AG$2,0)),Inputs!$B$4:$B$150,$B41)/1000)</f>
        <v>0</v>
      </c>
      <c r="L41" s="11">
        <f>IF(L$3=0,"",SUMIFS(INDEX(Inputs!$D$4:$AG$150,0,MATCH(L$2,Inputs!$D$2:$AG$2,0)),Inputs!$B$4:$B$150,$B41)/1000)</f>
        <v>0</v>
      </c>
      <c r="M41" s="12">
        <f>IF(L41="","",L41)</f>
        <v>0</v>
      </c>
      <c r="N41" s="11">
        <f>IF(N$3=0,"",SUMIFS(INDEX(Inputs!$D$4:$AG$150,0,MATCH(N$2,Inputs!$D$2:$AG$2,0)),Inputs!$B$4:$B$150,$B41)/1000)</f>
        <v>0</v>
      </c>
      <c r="O41" s="11">
        <f>IF(O$3=0,"",SUMIFS(INDEX(Inputs!$D$4:$AG$150,0,MATCH(O$2,Inputs!$D$2:$AG$2,0)),Inputs!$B$4:$B$150,$B41)/1000)</f>
        <v>0</v>
      </c>
      <c r="P41" s="11">
        <f>IF(P$3=0,"",SUMIFS(INDEX(Inputs!$D$4:$AG$150,0,MATCH(P$2,Inputs!$D$2:$AG$2,0)),Inputs!$B$4:$B$150,$B41)/1000)</f>
        <v>0</v>
      </c>
      <c r="Q41" s="11">
        <f>IF(Q$3=0,"",SUMIFS(INDEX(Inputs!$D$4:$AG$150,0,MATCH(Q$2,Inputs!$D$2:$AG$2,0)),Inputs!$B$4:$B$150,$B41)/1000)</f>
        <v>0</v>
      </c>
      <c r="R41" s="12">
        <f>IF(Q41="","",Q41)</f>
        <v>0</v>
      </c>
      <c r="S41" s="11">
        <f>IF(S$3=0,"",SUMIFS(INDEX(Inputs!$D$4:$AG$150,0,MATCH(S$2,Inputs!$D$2:$AG$2,0)),Inputs!$B$4:$B$150,$B41)/1000)</f>
        <v>0</v>
      </c>
      <c r="T41" s="11">
        <f>IF(T$3=0,"",SUMIFS(INDEX(Inputs!$D$4:$AG$150,0,MATCH(T$2,Inputs!$D$2:$AG$2,0)),Inputs!$B$4:$B$150,$B41)/1000)</f>
        <v>0</v>
      </c>
      <c r="U41" s="11">
        <f>IF(U$3=0,"",SUMIFS(INDEX(Inputs!$D$4:$AG$150,0,MATCH(U$2,Inputs!$D$2:$AG$2,0)),Inputs!$B$4:$B$150,$B41)/1000)</f>
        <v>0</v>
      </c>
      <c r="V41" s="11">
        <f>IF(V$3=0,"",SUMIFS(INDEX(Inputs!$D$4:$AG$150,0,MATCH(V$2,Inputs!$D$2:$AG$2,0)),Inputs!$B$4:$B$150,$B41)/1000)</f>
        <v>0</v>
      </c>
      <c r="W41" s="12">
        <f>IF(V41="","",V41)</f>
        <v>0</v>
      </c>
      <c r="X41" s="11">
        <f>IF(X$3=0,"",SUMIFS(INDEX(Inputs!$D$4:$AG$150,0,MATCH(X$2,Inputs!$D$2:$AG$2,0)),Inputs!$B$4:$B$150,$B41)/1000)</f>
        <v>0</v>
      </c>
      <c r="Y41" s="11">
        <f>IF(Y$3=0,"",SUMIFS(INDEX(Inputs!$D$4:$AG$150,0,MATCH(Y$2,Inputs!$D$2:$AG$2,0)),Inputs!$B$4:$B$150,$B41)/1000)</f>
        <v>0</v>
      </c>
      <c r="Z41" s="11">
        <f>IF(Z$3=0,"",SUMIFS(INDEX(Inputs!$D$4:$AG$150,0,MATCH(Z$2,Inputs!$D$2:$AG$2,0)),Inputs!$B$4:$B$150,$B41)/1000)</f>
        <v>0</v>
      </c>
      <c r="AA41" s="11">
        <f>IF(AA$3=0,"",SUMIFS(INDEX(Inputs!$D$4:$AG$150,0,MATCH(AA$2,Inputs!$D$2:$AG$2,0)),Inputs!$B$4:$B$150,$B41)/1000)</f>
        <v>0</v>
      </c>
      <c r="AB41" s="12">
        <f>IF(AA41="","",AA41)</f>
        <v>0</v>
      </c>
      <c r="AC41" s="11">
        <f>IF(AC$3=0,"",SUMIFS(INDEX(Inputs!$D$4:$AG$150,0,MATCH(AC$2,Inputs!$D$2:$AG$2,0)),Inputs!$B$4:$B$150,$B41)/1000)</f>
        <v>0</v>
      </c>
      <c r="AD41" s="11">
        <f>IF(AD$3=0,"",SUMIFS(INDEX(Inputs!$D$4:$AG$150,0,MATCH(AD$2,Inputs!$D$2:$AG$2,0)),Inputs!$B$4:$B$150,$B41)/1000)</f>
        <v>0</v>
      </c>
      <c r="AE41" s="11" t="str">
        <f>IF(AE$3=0,"",SUMIFS(INDEX(Inputs!$D$4:$AG$150,0,MATCH(AE$2,Inputs!$D$2:$AG$2,0)),Inputs!$B$4:$B$150,$B41)/1000)</f>
        <v/>
      </c>
      <c r="AF41" s="11" t="str">
        <f>IF(AF$3=0,"",SUMIFS(INDEX(Inputs!$D$4:$AG$150,0,MATCH(AF$2,Inputs!$D$2:$AG$2,0)),Inputs!$B$4:$B$150,$B41)/1000)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IF(D$3=0,"",SUMIFS(INDEX(Inputs!$D$4:$AG$150,0,MATCH(D$2,Inputs!$D$2:$AG$2,0)),Inputs!$B$4:$B$150,$B42)/1000)</f>
        <v>0</v>
      </c>
      <c r="E42" s="11">
        <f>IF(E$3=0,"",SUMIFS(INDEX(Inputs!$D$4:$AG$150,0,MATCH(E$2,Inputs!$D$2:$AG$2,0)),Inputs!$B$4:$B$150,$B42)/1000)</f>
        <v>0</v>
      </c>
      <c r="F42" s="11">
        <f>IF(F$3=0,"",SUMIFS(INDEX(Inputs!$D$4:$AG$150,0,MATCH(F$2,Inputs!$D$2:$AG$2,0)),Inputs!$B$4:$B$150,$B42)/1000)</f>
        <v>0</v>
      </c>
      <c r="G42" s="11">
        <f>IF(G$3=0,"",SUMIFS(INDEX(Inputs!$D$4:$AG$150,0,MATCH(G$2,Inputs!$D$2:$AG$2,0)),Inputs!$B$4:$B$150,$B42)/1000)</f>
        <v>0</v>
      </c>
      <c r="H42" s="12">
        <f>IF(G42="","",G42)</f>
        <v>0</v>
      </c>
      <c r="I42" s="11">
        <f>IF(I$3=0,"",SUMIFS(INDEX(Inputs!$D$4:$AG$150,0,MATCH(I$2,Inputs!$D$2:$AG$2,0)),Inputs!$B$4:$B$150,$B42)/1000)</f>
        <v>0</v>
      </c>
      <c r="J42" s="11">
        <f>IF(J$3=0,"",SUMIFS(INDEX(Inputs!$D$4:$AG$150,0,MATCH(J$2,Inputs!$D$2:$AG$2,0)),Inputs!$B$4:$B$150,$B42)/1000)</f>
        <v>0</v>
      </c>
      <c r="K42" s="11">
        <f>IF(K$3=0,"",SUMIFS(INDEX(Inputs!$D$4:$AG$150,0,MATCH(K$2,Inputs!$D$2:$AG$2,0)),Inputs!$B$4:$B$150,$B42)/1000)</f>
        <v>0</v>
      </c>
      <c r="L42" s="11">
        <f>IF(L$3=0,"",SUMIFS(INDEX(Inputs!$D$4:$AG$150,0,MATCH(L$2,Inputs!$D$2:$AG$2,0)),Inputs!$B$4:$B$150,$B42)/1000)</f>
        <v>0</v>
      </c>
      <c r="M42" s="12">
        <f>IF(L42="","",L42)</f>
        <v>0</v>
      </c>
      <c r="N42" s="11">
        <f>IF(N$3=0,"",SUMIFS(INDEX(Inputs!$D$4:$AG$150,0,MATCH(N$2,Inputs!$D$2:$AG$2,0)),Inputs!$B$4:$B$150,$B42)/1000)</f>
        <v>0</v>
      </c>
      <c r="O42" s="11">
        <f>IF(O$3=0,"",SUMIFS(INDEX(Inputs!$D$4:$AG$150,0,MATCH(O$2,Inputs!$D$2:$AG$2,0)),Inputs!$B$4:$B$150,$B42)/1000)</f>
        <v>0</v>
      </c>
      <c r="P42" s="11">
        <f>IF(P$3=0,"",SUMIFS(INDEX(Inputs!$D$4:$AG$150,0,MATCH(P$2,Inputs!$D$2:$AG$2,0)),Inputs!$B$4:$B$150,$B42)/1000)</f>
        <v>0</v>
      </c>
      <c r="Q42" s="11">
        <f>IF(Q$3=0,"",SUMIFS(INDEX(Inputs!$D$4:$AG$150,0,MATCH(Q$2,Inputs!$D$2:$AG$2,0)),Inputs!$B$4:$B$150,$B42)/1000)</f>
        <v>0</v>
      </c>
      <c r="R42" s="12">
        <f>IF(Q42="","",Q42)</f>
        <v>0</v>
      </c>
      <c r="S42" s="11">
        <f>IF(S$3=0,"",SUMIFS(INDEX(Inputs!$D$4:$AG$150,0,MATCH(S$2,Inputs!$D$2:$AG$2,0)),Inputs!$B$4:$B$150,$B42)/1000)</f>
        <v>0</v>
      </c>
      <c r="T42" s="11">
        <f>IF(T$3=0,"",SUMIFS(INDEX(Inputs!$D$4:$AG$150,0,MATCH(T$2,Inputs!$D$2:$AG$2,0)),Inputs!$B$4:$B$150,$B42)/1000)</f>
        <v>0</v>
      </c>
      <c r="U42" s="11">
        <f>IF(U$3=0,"",SUMIFS(INDEX(Inputs!$D$4:$AG$150,0,MATCH(U$2,Inputs!$D$2:$AG$2,0)),Inputs!$B$4:$B$150,$B42)/1000)</f>
        <v>0</v>
      </c>
      <c r="V42" s="11">
        <f>IF(V$3=0,"",SUMIFS(INDEX(Inputs!$D$4:$AG$150,0,MATCH(V$2,Inputs!$D$2:$AG$2,0)),Inputs!$B$4:$B$150,$B42)/1000)</f>
        <v>0</v>
      </c>
      <c r="W42" s="12">
        <f>IF(V42="","",V42)</f>
        <v>0</v>
      </c>
      <c r="X42" s="11">
        <f>IF(X$3=0,"",SUMIFS(INDEX(Inputs!$D$4:$AG$150,0,MATCH(X$2,Inputs!$D$2:$AG$2,0)),Inputs!$B$4:$B$150,$B42)/1000)</f>
        <v>0</v>
      </c>
      <c r="Y42" s="11">
        <f>IF(Y$3=0,"",SUMIFS(INDEX(Inputs!$D$4:$AG$150,0,MATCH(Y$2,Inputs!$D$2:$AG$2,0)),Inputs!$B$4:$B$150,$B42)/1000)</f>
        <v>0</v>
      </c>
      <c r="Z42" s="11">
        <f>IF(Z$3=0,"",SUMIFS(INDEX(Inputs!$D$4:$AG$150,0,MATCH(Z$2,Inputs!$D$2:$AG$2,0)),Inputs!$B$4:$B$150,$B42)/1000)</f>
        <v>0</v>
      </c>
      <c r="AA42" s="11">
        <f>IF(AA$3=0,"",SUMIFS(INDEX(Inputs!$D$4:$AG$150,0,MATCH(AA$2,Inputs!$D$2:$AG$2,0)),Inputs!$B$4:$B$150,$B42)/1000)</f>
        <v>0</v>
      </c>
      <c r="AB42" s="12">
        <f>IF(AA42="","",AA42)</f>
        <v>0</v>
      </c>
      <c r="AC42" s="11">
        <f>IF(AC$3=0,"",SUMIFS(INDEX(Inputs!$D$4:$AG$150,0,MATCH(AC$2,Inputs!$D$2:$AG$2,0)),Inputs!$B$4:$B$150,$B42)/1000)</f>
        <v>0</v>
      </c>
      <c r="AD42" s="11">
        <f>IF(AD$3=0,"",SUMIFS(INDEX(Inputs!$D$4:$AG$150,0,MATCH(AD$2,Inputs!$D$2:$AG$2,0)),Inputs!$B$4:$B$150,$B42)/1000)</f>
        <v>0</v>
      </c>
      <c r="AE42" s="11" t="str">
        <f>IF(AE$3=0,"",SUMIFS(INDEX(Inputs!$D$4:$AG$150,0,MATCH(AE$2,Inputs!$D$2:$AG$2,0)),Inputs!$B$4:$B$150,$B42)/1000)</f>
        <v/>
      </c>
      <c r="AF42" s="11" t="str">
        <f>IF(AF$3=0,"",SUMIFS(INDEX(Inputs!$D$4:$AG$150,0,MATCH(AF$2,Inputs!$D$2:$AG$2,0)),Inputs!$B$4:$B$150,$B42)/1000)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IF(D$3=0,"",SUMIFS(INDEX(Inputs!$D$4:$AG$150,0,MATCH(D$2,Inputs!$D$2:$AG$2,0)),Inputs!$B$4:$B$150,$B43)/1000)</f>
        <v>343</v>
      </c>
      <c r="E43" s="11">
        <f>IF(E$3=0,"",SUMIFS(INDEX(Inputs!$D$4:$AG$150,0,MATCH(E$2,Inputs!$D$2:$AG$2,0)),Inputs!$B$4:$B$150,$B43)/1000)</f>
        <v>398</v>
      </c>
      <c r="F43" s="11">
        <f>IF(F$3=0,"",SUMIFS(INDEX(Inputs!$D$4:$AG$150,0,MATCH(F$2,Inputs!$D$2:$AG$2,0)),Inputs!$B$4:$B$150,$B43)/1000)</f>
        <v>372</v>
      </c>
      <c r="G43" s="11">
        <f>IF(G$3=0,"",SUMIFS(INDEX(Inputs!$D$4:$AG$150,0,MATCH(G$2,Inputs!$D$2:$AG$2,0)),Inputs!$B$4:$B$150,$B43)/1000)</f>
        <v>365</v>
      </c>
      <c r="H43" s="12">
        <f>IF(G43="","",G43)</f>
        <v>365</v>
      </c>
      <c r="I43" s="11">
        <f>IF(I$3=0,"",SUMIFS(INDEX(Inputs!$D$4:$AG$150,0,MATCH(I$2,Inputs!$D$2:$AG$2,0)),Inputs!$B$4:$B$150,$B43)/1000)</f>
        <v>265</v>
      </c>
      <c r="J43" s="11">
        <f>IF(J$3=0,"",SUMIFS(INDEX(Inputs!$D$4:$AG$150,0,MATCH(J$2,Inputs!$D$2:$AG$2,0)),Inputs!$B$4:$B$150,$B43)/1000)</f>
        <v>264</v>
      </c>
      <c r="K43" s="11">
        <f>IF(K$3=0,"",SUMIFS(INDEX(Inputs!$D$4:$AG$150,0,MATCH(K$2,Inputs!$D$2:$AG$2,0)),Inputs!$B$4:$B$150,$B43)/1000)</f>
        <v>261</v>
      </c>
      <c r="L43" s="11">
        <f>IF(L$3=0,"",SUMIFS(INDEX(Inputs!$D$4:$AG$150,0,MATCH(L$2,Inputs!$D$2:$AG$2,0)),Inputs!$B$4:$B$150,$B43)/1000)</f>
        <v>346</v>
      </c>
      <c r="M43" s="12">
        <f>IF(L43="","",L43)</f>
        <v>346</v>
      </c>
      <c r="N43" s="11">
        <f>IF(N$3=0,"",SUMIFS(INDEX(Inputs!$D$4:$AG$150,0,MATCH(N$2,Inputs!$D$2:$AG$2,0)),Inputs!$B$4:$B$150,$B43)/1000)</f>
        <v>254</v>
      </c>
      <c r="O43" s="11">
        <f>IF(O$3=0,"",SUMIFS(INDEX(Inputs!$D$4:$AG$150,0,MATCH(O$2,Inputs!$D$2:$AG$2,0)),Inputs!$B$4:$B$150,$B43)/1000)</f>
        <v>251</v>
      </c>
      <c r="P43" s="11">
        <f>IF(P$3=0,"",SUMIFS(INDEX(Inputs!$D$4:$AG$150,0,MATCH(P$2,Inputs!$D$2:$AG$2,0)),Inputs!$B$4:$B$150,$B43)/1000)</f>
        <v>354</v>
      </c>
      <c r="Q43" s="11">
        <f>IF(Q$3=0,"",SUMIFS(INDEX(Inputs!$D$4:$AG$150,0,MATCH(Q$2,Inputs!$D$2:$AG$2,0)),Inputs!$B$4:$B$150,$B43)/1000)</f>
        <v>240</v>
      </c>
      <c r="R43" s="12">
        <f>IF(Q43="","",Q43)</f>
        <v>240</v>
      </c>
      <c r="S43" s="11">
        <f>IF(S$3=0,"",SUMIFS(INDEX(Inputs!$D$4:$AG$150,0,MATCH(S$2,Inputs!$D$2:$AG$2,0)),Inputs!$B$4:$B$150,$B43)/1000)</f>
        <v>239</v>
      </c>
      <c r="T43" s="11">
        <f>IF(T$3=0,"",SUMIFS(INDEX(Inputs!$D$4:$AG$150,0,MATCH(T$2,Inputs!$D$2:$AG$2,0)),Inputs!$B$4:$B$150,$B43)/1000)</f>
        <v>237</v>
      </c>
      <c r="U43" s="11">
        <f>IF(U$3=0,"",SUMIFS(INDEX(Inputs!$D$4:$AG$150,0,MATCH(U$2,Inputs!$D$2:$AG$2,0)),Inputs!$B$4:$B$150,$B43)/1000)</f>
        <v>236</v>
      </c>
      <c r="V43" s="11">
        <f>IF(V$3=0,"",SUMIFS(INDEX(Inputs!$D$4:$AG$150,0,MATCH(V$2,Inputs!$D$2:$AG$2,0)),Inputs!$B$4:$B$150,$B43)/1000)</f>
        <v>234</v>
      </c>
      <c r="W43" s="12">
        <f>IF(V43="","",V43)</f>
        <v>234</v>
      </c>
      <c r="X43" s="11">
        <f>IF(X$3=0,"",SUMIFS(INDEX(Inputs!$D$4:$AG$150,0,MATCH(X$2,Inputs!$D$2:$AG$2,0)),Inputs!$B$4:$B$150,$B43)/1000)</f>
        <v>233</v>
      </c>
      <c r="Y43" s="11">
        <f>IF(Y$3=0,"",SUMIFS(INDEX(Inputs!$D$4:$AG$150,0,MATCH(Y$2,Inputs!$D$2:$AG$2,0)),Inputs!$B$4:$B$150,$B43)/1000)</f>
        <v>232</v>
      </c>
      <c r="Z43" s="11">
        <f>IF(Z$3=0,"",SUMIFS(INDEX(Inputs!$D$4:$AG$150,0,MATCH(Z$2,Inputs!$D$2:$AG$2,0)),Inputs!$B$4:$B$150,$B43)/1000)</f>
        <v>230</v>
      </c>
      <c r="AA43" s="11">
        <f>IF(AA$3=0,"",SUMIFS(INDEX(Inputs!$D$4:$AG$150,0,MATCH(AA$2,Inputs!$D$2:$AG$2,0)),Inputs!$B$4:$B$150,$B43)/1000)</f>
        <v>229</v>
      </c>
      <c r="AB43" s="12">
        <f>IF(AA43="","",AA43)</f>
        <v>229</v>
      </c>
      <c r="AC43" s="11">
        <f>IF(AC$3=0,"",SUMIFS(INDEX(Inputs!$D$4:$AG$150,0,MATCH(AC$2,Inputs!$D$2:$AG$2,0)),Inputs!$B$4:$B$150,$B43)/1000)</f>
        <v>262</v>
      </c>
      <c r="AD43" s="11">
        <f>IF(AD$3=0,"",SUMIFS(INDEX(Inputs!$D$4:$AG$150,0,MATCH(AD$2,Inputs!$D$2:$AG$2,0)),Inputs!$B$4:$B$150,$B43)/1000)</f>
        <v>477</v>
      </c>
      <c r="AE43" s="11" t="str">
        <f>IF(AE$3=0,"",SUMIFS(INDEX(Inputs!$D$4:$AG$150,0,MATCH(AE$2,Inputs!$D$2:$AG$2,0)),Inputs!$B$4:$B$150,$B43)/1000)</f>
        <v/>
      </c>
      <c r="AF43" s="11" t="str">
        <f>IF(AF$3=0,"",SUMIFS(INDEX(Inputs!$D$4:$AG$150,0,MATCH(AF$2,Inputs!$D$2:$AG$2,0)),Inputs!$B$4:$B$150,$B43)/1000)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IF(D$3=0,"",SUMIFS(INDEX(Inputs!$D$4:$AG$150,0,MATCH(D$2,Inputs!$D$2:$AG$2,0)),Inputs!$B$4:$B$150,$B44)/1000)</f>
        <v>0</v>
      </c>
      <c r="E44" s="11">
        <f>IF(E$3=0,"",SUMIFS(INDEX(Inputs!$D$4:$AG$150,0,MATCH(E$2,Inputs!$D$2:$AG$2,0)),Inputs!$B$4:$B$150,$B44)/1000)</f>
        <v>0</v>
      </c>
      <c r="F44" s="11">
        <f>IF(F$3=0,"",SUMIFS(INDEX(Inputs!$D$4:$AG$150,0,MATCH(F$2,Inputs!$D$2:$AG$2,0)),Inputs!$B$4:$B$150,$B44)/1000)</f>
        <v>0</v>
      </c>
      <c r="G44" s="11">
        <f>IF(G$3=0,"",SUMIFS(INDEX(Inputs!$D$4:$AG$150,0,MATCH(G$2,Inputs!$D$2:$AG$2,0)),Inputs!$B$4:$B$150,$B44)/1000)</f>
        <v>0</v>
      </c>
      <c r="H44" s="12">
        <f>IF(G44="","",G44)</f>
        <v>0</v>
      </c>
      <c r="I44" s="11">
        <f>IF(I$3=0,"",SUMIFS(INDEX(Inputs!$D$4:$AG$150,0,MATCH(I$2,Inputs!$D$2:$AG$2,0)),Inputs!$B$4:$B$150,$B44)/1000)</f>
        <v>0</v>
      </c>
      <c r="J44" s="11">
        <f>IF(J$3=0,"",SUMIFS(INDEX(Inputs!$D$4:$AG$150,0,MATCH(J$2,Inputs!$D$2:$AG$2,0)),Inputs!$B$4:$B$150,$B44)/1000)</f>
        <v>0</v>
      </c>
      <c r="K44" s="11">
        <f>IF(K$3=0,"",SUMIFS(INDEX(Inputs!$D$4:$AG$150,0,MATCH(K$2,Inputs!$D$2:$AG$2,0)),Inputs!$B$4:$B$150,$B44)/1000)</f>
        <v>0</v>
      </c>
      <c r="L44" s="11">
        <f>IF(L$3=0,"",SUMIFS(INDEX(Inputs!$D$4:$AG$150,0,MATCH(L$2,Inputs!$D$2:$AG$2,0)),Inputs!$B$4:$B$150,$B44)/1000)</f>
        <v>0</v>
      </c>
      <c r="M44" s="12">
        <f>IF(L44="","",L44)</f>
        <v>0</v>
      </c>
      <c r="N44" s="11">
        <f>IF(N$3=0,"",SUMIFS(INDEX(Inputs!$D$4:$AG$150,0,MATCH(N$2,Inputs!$D$2:$AG$2,0)),Inputs!$B$4:$B$150,$B44)/1000)</f>
        <v>0</v>
      </c>
      <c r="O44" s="11">
        <f>IF(O$3=0,"",SUMIFS(INDEX(Inputs!$D$4:$AG$150,0,MATCH(O$2,Inputs!$D$2:$AG$2,0)),Inputs!$B$4:$B$150,$B44)/1000)</f>
        <v>0</v>
      </c>
      <c r="P44" s="11">
        <f>IF(P$3=0,"",SUMIFS(INDEX(Inputs!$D$4:$AG$150,0,MATCH(P$2,Inputs!$D$2:$AG$2,0)),Inputs!$B$4:$B$150,$B44)/1000)</f>
        <v>0</v>
      </c>
      <c r="Q44" s="11">
        <f>IF(Q$3=0,"",SUMIFS(INDEX(Inputs!$D$4:$AG$150,0,MATCH(Q$2,Inputs!$D$2:$AG$2,0)),Inputs!$B$4:$B$150,$B44)/1000)</f>
        <v>0</v>
      </c>
      <c r="R44" s="12">
        <f>IF(Q44="","",Q44)</f>
        <v>0</v>
      </c>
      <c r="S44" s="11">
        <f>IF(S$3=0,"",SUMIFS(INDEX(Inputs!$D$4:$AG$150,0,MATCH(S$2,Inputs!$D$2:$AG$2,0)),Inputs!$B$4:$B$150,$B44)/1000)</f>
        <v>0</v>
      </c>
      <c r="T44" s="11">
        <f>IF(T$3=0,"",SUMIFS(INDEX(Inputs!$D$4:$AG$150,0,MATCH(T$2,Inputs!$D$2:$AG$2,0)),Inputs!$B$4:$B$150,$B44)/1000)</f>
        <v>0</v>
      </c>
      <c r="U44" s="11">
        <f>IF(U$3=0,"",SUMIFS(INDEX(Inputs!$D$4:$AG$150,0,MATCH(U$2,Inputs!$D$2:$AG$2,0)),Inputs!$B$4:$B$150,$B44)/1000)</f>
        <v>0</v>
      </c>
      <c r="V44" s="11">
        <f>IF(V$3=0,"",SUMIFS(INDEX(Inputs!$D$4:$AG$150,0,MATCH(V$2,Inputs!$D$2:$AG$2,0)),Inputs!$B$4:$B$150,$B44)/1000)</f>
        <v>0</v>
      </c>
      <c r="W44" s="12">
        <f>IF(V44="","",V44)</f>
        <v>0</v>
      </c>
      <c r="X44" s="11">
        <f>IF(X$3=0,"",SUMIFS(INDEX(Inputs!$D$4:$AG$150,0,MATCH(X$2,Inputs!$D$2:$AG$2,0)),Inputs!$B$4:$B$150,$B44)/1000)</f>
        <v>0</v>
      </c>
      <c r="Y44" s="11">
        <f>IF(Y$3=0,"",SUMIFS(INDEX(Inputs!$D$4:$AG$150,0,MATCH(Y$2,Inputs!$D$2:$AG$2,0)),Inputs!$B$4:$B$150,$B44)/1000)</f>
        <v>0</v>
      </c>
      <c r="Z44" s="11">
        <f>IF(Z$3=0,"",SUMIFS(INDEX(Inputs!$D$4:$AG$150,0,MATCH(Z$2,Inputs!$D$2:$AG$2,0)),Inputs!$B$4:$B$150,$B44)/1000)</f>
        <v>0</v>
      </c>
      <c r="AA44" s="11">
        <f>IF(AA$3=0,"",SUMIFS(INDEX(Inputs!$D$4:$AG$150,0,MATCH(AA$2,Inputs!$D$2:$AG$2,0)),Inputs!$B$4:$B$150,$B44)/1000)</f>
        <v>0</v>
      </c>
      <c r="AB44" s="12">
        <f>IF(AA44="","",AA44)</f>
        <v>0</v>
      </c>
      <c r="AC44" s="11">
        <f>IF(AC$3=0,"",SUMIFS(INDEX(Inputs!$D$4:$AG$150,0,MATCH(AC$2,Inputs!$D$2:$AG$2,0)),Inputs!$B$4:$B$150,$B44)/1000)</f>
        <v>0</v>
      </c>
      <c r="AD44" s="11">
        <f>IF(AD$3=0,"",SUMIFS(INDEX(Inputs!$D$4:$AG$150,0,MATCH(AD$2,Inputs!$D$2:$AG$2,0)),Inputs!$B$4:$B$150,$B44)/1000)</f>
        <v>0</v>
      </c>
      <c r="AE44" s="11" t="str">
        <f>IF(AE$3=0,"",SUMIFS(INDEX(Inputs!$D$4:$AG$150,0,MATCH(AE$2,Inputs!$D$2:$AG$2,0)),Inputs!$B$4:$B$150,$B44)/1000)</f>
        <v/>
      </c>
      <c r="AF44" s="11" t="str">
        <f>IF(AF$3=0,"",SUMIFS(INDEX(Inputs!$D$4:$AG$150,0,MATCH(AF$2,Inputs!$D$2:$AG$2,0)),Inputs!$B$4:$B$150,$B44)/1000)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IF(D$3=0,"",SUMIFS(INDEX(Inputs!$D$4:$AG$150,0,MATCH(D$2,Inputs!$D$2:$AG$2,0)),Inputs!$B$4:$B$150,$B45)/1000)</f>
        <v>-16008</v>
      </c>
      <c r="E45" s="11">
        <f>IF(E$3=0,"",SUMIFS(INDEX(Inputs!$D$4:$AG$150,0,MATCH(E$2,Inputs!$D$2:$AG$2,0)),Inputs!$B$4:$B$150,$B45)/1000)</f>
        <v>-15837</v>
      </c>
      <c r="F45" s="11">
        <f>IF(F$3=0,"",SUMIFS(INDEX(Inputs!$D$4:$AG$150,0,MATCH(F$2,Inputs!$D$2:$AG$2,0)),Inputs!$B$4:$B$150,$B45)/1000)</f>
        <v>-12217</v>
      </c>
      <c r="G45" s="11">
        <f>IF(G$3=0,"",SUMIFS(INDEX(Inputs!$D$4:$AG$150,0,MATCH(G$2,Inputs!$D$2:$AG$2,0)),Inputs!$B$4:$B$150,$B45)/1000)</f>
        <v>-11006</v>
      </c>
      <c r="H45" s="12">
        <f>IF(G45="","",G45)</f>
        <v>-11006</v>
      </c>
      <c r="I45" s="11">
        <f>IF(I$3=0,"",SUMIFS(INDEX(Inputs!$D$4:$AG$150,0,MATCH(I$2,Inputs!$D$2:$AG$2,0)),Inputs!$B$4:$B$150,$B45)/1000)</f>
        <v>-10979</v>
      </c>
      <c r="J45" s="11">
        <f>IF(J$3=0,"",SUMIFS(INDEX(Inputs!$D$4:$AG$150,0,MATCH(J$2,Inputs!$D$2:$AG$2,0)),Inputs!$B$4:$B$150,$B45)/1000)</f>
        <v>-8168</v>
      </c>
      <c r="K45" s="11">
        <f>IF(K$3=0,"",SUMIFS(INDEX(Inputs!$D$4:$AG$150,0,MATCH(K$2,Inputs!$D$2:$AG$2,0)),Inputs!$B$4:$B$150,$B45)/1000)</f>
        <v>-8134</v>
      </c>
      <c r="L45" s="11">
        <f>IF(L$3=0,"",SUMIFS(INDEX(Inputs!$D$4:$AG$150,0,MATCH(L$2,Inputs!$D$2:$AG$2,0)),Inputs!$B$4:$B$150,$B45)/1000)</f>
        <v>-8023</v>
      </c>
      <c r="M45" s="12">
        <f>IF(L45="","",L45)</f>
        <v>-8023</v>
      </c>
      <c r="N45" s="11">
        <f>IF(N$3=0,"",SUMIFS(INDEX(Inputs!$D$4:$AG$150,0,MATCH(N$2,Inputs!$D$2:$AG$2,0)),Inputs!$B$4:$B$150,$B45)/1000)</f>
        <v>-8086</v>
      </c>
      <c r="O45" s="11">
        <f>IF(O$3=0,"",SUMIFS(INDEX(Inputs!$D$4:$AG$150,0,MATCH(O$2,Inputs!$D$2:$AG$2,0)),Inputs!$B$4:$B$150,$B45)/1000)</f>
        <v>-8079</v>
      </c>
      <c r="P45" s="11">
        <f>IF(P$3=0,"",SUMIFS(INDEX(Inputs!$D$4:$AG$150,0,MATCH(P$2,Inputs!$D$2:$AG$2,0)),Inputs!$B$4:$B$150,$B45)/1000)</f>
        <v>-8146</v>
      </c>
      <c r="Q45" s="11">
        <f>IF(Q$3=0,"",SUMIFS(INDEX(Inputs!$D$4:$AG$150,0,MATCH(Q$2,Inputs!$D$2:$AG$2,0)),Inputs!$B$4:$B$150,$B45)/1000)</f>
        <v>-8803</v>
      </c>
      <c r="R45" s="12">
        <f>IF(Q45="","",Q45)</f>
        <v>-8803</v>
      </c>
      <c r="S45" s="11">
        <f>IF(S$3=0,"",SUMIFS(INDEX(Inputs!$D$4:$AG$150,0,MATCH(S$2,Inputs!$D$2:$AG$2,0)),Inputs!$B$4:$B$150,$B45)/1000)</f>
        <v>-8811</v>
      </c>
      <c r="T45" s="11">
        <f>IF(T$3=0,"",SUMIFS(INDEX(Inputs!$D$4:$AG$150,0,MATCH(T$2,Inputs!$D$2:$AG$2,0)),Inputs!$B$4:$B$150,$B45)/1000)</f>
        <v>-8769</v>
      </c>
      <c r="U45" s="11">
        <f>IF(U$3=0,"",SUMIFS(INDEX(Inputs!$D$4:$AG$150,0,MATCH(U$2,Inputs!$D$2:$AG$2,0)),Inputs!$B$4:$B$150,$B45)/1000)</f>
        <v>-8693</v>
      </c>
      <c r="V45" s="11">
        <f>IF(V$3=0,"",SUMIFS(INDEX(Inputs!$D$4:$AG$150,0,MATCH(V$2,Inputs!$D$2:$AG$2,0)),Inputs!$B$4:$B$150,$B45)/1000)</f>
        <v>-8452</v>
      </c>
      <c r="W45" s="12">
        <f>IF(V45="","",V45)</f>
        <v>-8452</v>
      </c>
      <c r="X45" s="11">
        <f>IF(X$3=0,"",SUMIFS(INDEX(Inputs!$D$4:$AG$150,0,MATCH(X$2,Inputs!$D$2:$AG$2,0)),Inputs!$B$4:$B$150,$B45)/1000)</f>
        <v>-8323</v>
      </c>
      <c r="Y45" s="11">
        <f>IF(Y$3=0,"",SUMIFS(INDEX(Inputs!$D$4:$AG$150,0,MATCH(Y$2,Inputs!$D$2:$AG$2,0)),Inputs!$B$4:$B$150,$B45)/1000)</f>
        <v>-8157</v>
      </c>
      <c r="Z45" s="11">
        <f>IF(Z$3=0,"",SUMIFS(INDEX(Inputs!$D$4:$AG$150,0,MATCH(Z$2,Inputs!$D$2:$AG$2,0)),Inputs!$B$4:$B$150,$B45)/1000)</f>
        <v>-8102</v>
      </c>
      <c r="AA45" s="11">
        <f>IF(AA$3=0,"",SUMIFS(INDEX(Inputs!$D$4:$AG$150,0,MATCH(AA$2,Inputs!$D$2:$AG$2,0)),Inputs!$B$4:$B$150,$B45)/1000)</f>
        <v>-7542</v>
      </c>
      <c r="AB45" s="12">
        <f>IF(AA45="","",AA45)</f>
        <v>-7542</v>
      </c>
      <c r="AC45" s="11">
        <f>IF(AC$3=0,"",SUMIFS(INDEX(Inputs!$D$4:$AG$150,0,MATCH(AC$2,Inputs!$D$2:$AG$2,0)),Inputs!$B$4:$B$150,$B45)/1000)</f>
        <v>-7496</v>
      </c>
      <c r="AD45" s="11">
        <f>IF(AD$3=0,"",SUMIFS(INDEX(Inputs!$D$4:$AG$150,0,MATCH(AD$2,Inputs!$D$2:$AG$2,0)),Inputs!$B$4:$B$150,$B45)/1000)</f>
        <v>-7468</v>
      </c>
      <c r="AE45" s="11" t="str">
        <f>IF(AE$3=0,"",SUMIFS(INDEX(Inputs!$D$4:$AG$150,0,MATCH(AE$2,Inputs!$D$2:$AG$2,0)),Inputs!$B$4:$B$150,$B45)/1000)</f>
        <v/>
      </c>
      <c r="AF45" s="11" t="str">
        <f>IF(AF$3=0,"",SUMIFS(INDEX(Inputs!$D$4:$AG$150,0,MATCH(AF$2,Inputs!$D$2:$AG$2,0)),Inputs!$B$4:$B$150,$B45)/1000)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IF(D$3=0,"",SUMIFS(INDEX(Inputs!$D$4:$AG$150,0,MATCH(D$2,Inputs!$D$2:$AG$2,0)),Inputs!$B$4:$B$150,$B46)/1000)</f>
        <v>0</v>
      </c>
      <c r="E46" s="11">
        <f>IF(E$3=0,"",SUMIFS(INDEX(Inputs!$D$4:$AG$150,0,MATCH(E$2,Inputs!$D$2:$AG$2,0)),Inputs!$B$4:$B$150,$B46)/1000)</f>
        <v>0</v>
      </c>
      <c r="F46" s="11">
        <f>IF(F$3=0,"",SUMIFS(INDEX(Inputs!$D$4:$AG$150,0,MATCH(F$2,Inputs!$D$2:$AG$2,0)),Inputs!$B$4:$B$150,$B46)/1000)</f>
        <v>0</v>
      </c>
      <c r="G46" s="11">
        <f>IF(G$3=0,"",SUMIFS(INDEX(Inputs!$D$4:$AG$150,0,MATCH(G$2,Inputs!$D$2:$AG$2,0)),Inputs!$B$4:$B$150,$B46)/1000)</f>
        <v>0</v>
      </c>
      <c r="H46" s="12">
        <f>IF(G46="","",G46)</f>
        <v>0</v>
      </c>
      <c r="I46" s="11">
        <f>IF(I$3=0,"",SUMIFS(INDEX(Inputs!$D$4:$AG$150,0,MATCH(I$2,Inputs!$D$2:$AG$2,0)),Inputs!$B$4:$B$150,$B46)/1000)</f>
        <v>0</v>
      </c>
      <c r="J46" s="11">
        <f>IF(J$3=0,"",SUMIFS(INDEX(Inputs!$D$4:$AG$150,0,MATCH(J$2,Inputs!$D$2:$AG$2,0)),Inputs!$B$4:$B$150,$B46)/1000)</f>
        <v>0</v>
      </c>
      <c r="K46" s="11">
        <f>IF(K$3=0,"",SUMIFS(INDEX(Inputs!$D$4:$AG$150,0,MATCH(K$2,Inputs!$D$2:$AG$2,0)),Inputs!$B$4:$B$150,$B46)/1000)</f>
        <v>0</v>
      </c>
      <c r="L46" s="11">
        <f>IF(L$3=0,"",SUMIFS(INDEX(Inputs!$D$4:$AG$150,0,MATCH(L$2,Inputs!$D$2:$AG$2,0)),Inputs!$B$4:$B$150,$B46)/1000)</f>
        <v>0</v>
      </c>
      <c r="M46" s="12">
        <f>IF(L46="","",L46)</f>
        <v>0</v>
      </c>
      <c r="N46" s="11">
        <f>IF(N$3=0,"",SUMIFS(INDEX(Inputs!$D$4:$AG$150,0,MATCH(N$2,Inputs!$D$2:$AG$2,0)),Inputs!$B$4:$B$150,$B46)/1000)</f>
        <v>0</v>
      </c>
      <c r="O46" s="11">
        <f>IF(O$3=0,"",SUMIFS(INDEX(Inputs!$D$4:$AG$150,0,MATCH(O$2,Inputs!$D$2:$AG$2,0)),Inputs!$B$4:$B$150,$B46)/1000)</f>
        <v>0</v>
      </c>
      <c r="P46" s="11">
        <f>IF(P$3=0,"",SUMIFS(INDEX(Inputs!$D$4:$AG$150,0,MATCH(P$2,Inputs!$D$2:$AG$2,0)),Inputs!$B$4:$B$150,$B46)/1000)</f>
        <v>0</v>
      </c>
      <c r="Q46" s="11">
        <f>IF(Q$3=0,"",SUMIFS(INDEX(Inputs!$D$4:$AG$150,0,MATCH(Q$2,Inputs!$D$2:$AG$2,0)),Inputs!$B$4:$B$150,$B46)/1000)</f>
        <v>0</v>
      </c>
      <c r="R46" s="12">
        <f>IF(Q46="","",Q46)</f>
        <v>0</v>
      </c>
      <c r="S46" s="11">
        <f>IF(S$3=0,"",SUMIFS(INDEX(Inputs!$D$4:$AG$150,0,MATCH(S$2,Inputs!$D$2:$AG$2,0)),Inputs!$B$4:$B$150,$B46)/1000)</f>
        <v>0</v>
      </c>
      <c r="T46" s="11">
        <f>IF(T$3=0,"",SUMIFS(INDEX(Inputs!$D$4:$AG$150,0,MATCH(T$2,Inputs!$D$2:$AG$2,0)),Inputs!$B$4:$B$150,$B46)/1000)</f>
        <v>0</v>
      </c>
      <c r="U46" s="11">
        <f>IF(U$3=0,"",SUMIFS(INDEX(Inputs!$D$4:$AG$150,0,MATCH(U$2,Inputs!$D$2:$AG$2,0)),Inputs!$B$4:$B$150,$B46)/1000)</f>
        <v>0</v>
      </c>
      <c r="V46" s="11">
        <f>IF(V$3=0,"",SUMIFS(INDEX(Inputs!$D$4:$AG$150,0,MATCH(V$2,Inputs!$D$2:$AG$2,0)),Inputs!$B$4:$B$150,$B46)/1000)</f>
        <v>0</v>
      </c>
      <c r="W46" s="12">
        <f>IF(V46="","",V46)</f>
        <v>0</v>
      </c>
      <c r="X46" s="11">
        <f>IF(X$3=0,"",SUMIFS(INDEX(Inputs!$D$4:$AG$150,0,MATCH(X$2,Inputs!$D$2:$AG$2,0)),Inputs!$B$4:$B$150,$B46)/1000)</f>
        <v>0</v>
      </c>
      <c r="Y46" s="11">
        <f>IF(Y$3=0,"",SUMIFS(INDEX(Inputs!$D$4:$AG$150,0,MATCH(Y$2,Inputs!$D$2:$AG$2,0)),Inputs!$B$4:$B$150,$B46)/1000)</f>
        <v>0</v>
      </c>
      <c r="Z46" s="11">
        <f>IF(Z$3=0,"",SUMIFS(INDEX(Inputs!$D$4:$AG$150,0,MATCH(Z$2,Inputs!$D$2:$AG$2,0)),Inputs!$B$4:$B$150,$B46)/1000)</f>
        <v>0</v>
      </c>
      <c r="AA46" s="11">
        <f>IF(AA$3=0,"",SUMIFS(INDEX(Inputs!$D$4:$AG$150,0,MATCH(AA$2,Inputs!$D$2:$AG$2,0)),Inputs!$B$4:$B$150,$B46)/1000)</f>
        <v>0</v>
      </c>
      <c r="AB46" s="12">
        <f>IF(AA46="","",AA46)</f>
        <v>0</v>
      </c>
      <c r="AC46" s="11">
        <f>IF(AC$3=0,"",SUMIFS(INDEX(Inputs!$D$4:$AG$150,0,MATCH(AC$2,Inputs!$D$2:$AG$2,0)),Inputs!$B$4:$B$150,$B46)/1000)</f>
        <v>0</v>
      </c>
      <c r="AD46" s="11">
        <f>IF(AD$3=0,"",SUMIFS(INDEX(Inputs!$D$4:$AG$150,0,MATCH(AD$2,Inputs!$D$2:$AG$2,0)),Inputs!$B$4:$B$150,$B46)/1000)</f>
        <v>0</v>
      </c>
      <c r="AE46" s="11" t="str">
        <f>IF(AE$3=0,"",SUMIFS(INDEX(Inputs!$D$4:$AG$150,0,MATCH(AE$2,Inputs!$D$2:$AG$2,0)),Inputs!$B$4:$B$150,$B46)/1000)</f>
        <v/>
      </c>
      <c r="AF46" s="11" t="str">
        <f>IF(AF$3=0,"",SUMIFS(INDEX(Inputs!$D$4:$AG$150,0,MATCH(AF$2,Inputs!$D$2:$AG$2,0)),Inputs!$B$4:$B$150,$B46)/1000)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IF(D$3=0,"",SUMIFS(INDEX(Inputs!$D$4:$AG$150,0,MATCH(D$2,Inputs!$D$2:$AG$2,0)),Inputs!$B$4:$B$150,$B47)/1000)</f>
        <v>21977</v>
      </c>
      <c r="E47" s="11">
        <f>IF(E$3=0,"",SUMIFS(INDEX(Inputs!$D$4:$AG$150,0,MATCH(E$2,Inputs!$D$2:$AG$2,0)),Inputs!$B$4:$B$150,$B47)/1000)</f>
        <v>21961</v>
      </c>
      <c r="F47" s="11">
        <f>IF(F$3=0,"",SUMIFS(INDEX(Inputs!$D$4:$AG$150,0,MATCH(F$2,Inputs!$D$2:$AG$2,0)),Inputs!$B$4:$B$150,$B47)/1000)</f>
        <v>21476</v>
      </c>
      <c r="G47" s="11">
        <f>IF(G$3=0,"",SUMIFS(INDEX(Inputs!$D$4:$AG$150,0,MATCH(G$2,Inputs!$D$2:$AG$2,0)),Inputs!$B$4:$B$150,$B47)/1000)</f>
        <v>21600</v>
      </c>
      <c r="H47" s="12">
        <f>IF(G47="","",G47)</f>
        <v>21600</v>
      </c>
      <c r="I47" s="11">
        <f>IF(I$3=0,"",SUMIFS(INDEX(Inputs!$D$4:$AG$150,0,MATCH(I$2,Inputs!$D$2:$AG$2,0)),Inputs!$B$4:$B$150,$B47)/1000)</f>
        <v>20716</v>
      </c>
      <c r="J47" s="11">
        <f>IF(J$3=0,"",SUMIFS(INDEX(Inputs!$D$4:$AG$150,0,MATCH(J$2,Inputs!$D$2:$AG$2,0)),Inputs!$B$4:$B$150,$B47)/1000)</f>
        <v>19336</v>
      </c>
      <c r="K47" s="11">
        <f>IF(K$3=0,"",SUMIFS(INDEX(Inputs!$D$4:$AG$150,0,MATCH(K$2,Inputs!$D$2:$AG$2,0)),Inputs!$B$4:$B$150,$B47)/1000)</f>
        <v>19839</v>
      </c>
      <c r="L47" s="11">
        <f>IF(L$3=0,"",SUMIFS(INDEX(Inputs!$D$4:$AG$150,0,MATCH(L$2,Inputs!$D$2:$AG$2,0)),Inputs!$B$4:$B$150,$B47)/1000)</f>
        <v>16943</v>
      </c>
      <c r="M47" s="12">
        <f>IF(L47="","",L47)</f>
        <v>16943</v>
      </c>
      <c r="N47" s="11">
        <f>IF(N$3=0,"",SUMIFS(INDEX(Inputs!$D$4:$AG$150,0,MATCH(N$2,Inputs!$D$2:$AG$2,0)),Inputs!$B$4:$B$150,$B47)/1000)</f>
        <v>17478</v>
      </c>
      <c r="O47" s="11">
        <f>IF(O$3=0,"",SUMIFS(INDEX(Inputs!$D$4:$AG$150,0,MATCH(O$2,Inputs!$D$2:$AG$2,0)),Inputs!$B$4:$B$150,$B47)/1000)</f>
        <v>17068</v>
      </c>
      <c r="P47" s="11">
        <f>IF(P$3=0,"",SUMIFS(INDEX(Inputs!$D$4:$AG$150,0,MATCH(P$2,Inputs!$D$2:$AG$2,0)),Inputs!$B$4:$B$150,$B47)/1000)</f>
        <v>17066</v>
      </c>
      <c r="Q47" s="11">
        <f>IF(Q$3=0,"",SUMIFS(INDEX(Inputs!$D$4:$AG$150,0,MATCH(Q$2,Inputs!$D$2:$AG$2,0)),Inputs!$B$4:$B$150,$B47)/1000)</f>
        <v>15398</v>
      </c>
      <c r="R47" s="12">
        <f>IF(Q47="","",Q47)</f>
        <v>15398</v>
      </c>
      <c r="S47" s="11">
        <f>IF(S$3=0,"",SUMIFS(INDEX(Inputs!$D$4:$AG$150,0,MATCH(S$2,Inputs!$D$2:$AG$2,0)),Inputs!$B$4:$B$150,$B47)/1000)</f>
        <v>15222</v>
      </c>
      <c r="T47" s="11">
        <f>IF(T$3=0,"",SUMIFS(INDEX(Inputs!$D$4:$AG$150,0,MATCH(T$2,Inputs!$D$2:$AG$2,0)),Inputs!$B$4:$B$150,$B47)/1000)</f>
        <v>14707</v>
      </c>
      <c r="U47" s="11">
        <f>IF(U$3=0,"",SUMIFS(INDEX(Inputs!$D$4:$AG$150,0,MATCH(U$2,Inputs!$D$2:$AG$2,0)),Inputs!$B$4:$B$150,$B47)/1000)</f>
        <v>15657</v>
      </c>
      <c r="V47" s="11">
        <f>IF(V$3=0,"",SUMIFS(INDEX(Inputs!$D$4:$AG$150,0,MATCH(V$2,Inputs!$D$2:$AG$2,0)),Inputs!$B$4:$B$150,$B47)/1000)</f>
        <v>14551</v>
      </c>
      <c r="W47" s="12">
        <f>IF(V47="","",V47)</f>
        <v>14551</v>
      </c>
      <c r="X47" s="11">
        <f>IF(X$3=0,"",SUMIFS(INDEX(Inputs!$D$4:$AG$150,0,MATCH(X$2,Inputs!$D$2:$AG$2,0)),Inputs!$B$4:$B$150,$B47)/1000)</f>
        <v>14773</v>
      </c>
      <c r="Y47" s="11">
        <f>IF(Y$3=0,"",SUMIFS(INDEX(Inputs!$D$4:$AG$150,0,MATCH(Y$2,Inputs!$D$2:$AG$2,0)),Inputs!$B$4:$B$150,$B47)/1000)</f>
        <v>13259</v>
      </c>
      <c r="Z47" s="11">
        <f>IF(Z$3=0,"",SUMIFS(INDEX(Inputs!$D$4:$AG$150,0,MATCH(Z$2,Inputs!$D$2:$AG$2,0)),Inputs!$B$4:$B$150,$B47)/1000)</f>
        <v>14053</v>
      </c>
      <c r="AA47" s="11">
        <f>IF(AA$3=0,"",SUMIFS(INDEX(Inputs!$D$4:$AG$150,0,MATCH(AA$2,Inputs!$D$2:$AG$2,0)),Inputs!$B$4:$B$150,$B47)/1000)</f>
        <v>14034</v>
      </c>
      <c r="AB47" s="12">
        <f>IF(AA47="","",AA47)</f>
        <v>14034</v>
      </c>
      <c r="AC47" s="11">
        <f>IF(AC$3=0,"",SUMIFS(INDEX(Inputs!$D$4:$AG$150,0,MATCH(AC$2,Inputs!$D$2:$AG$2,0)),Inputs!$B$4:$B$150,$B47)/1000)</f>
        <v>14723</v>
      </c>
      <c r="AD47" s="11">
        <f>IF(AD$3=0,"",SUMIFS(INDEX(Inputs!$D$4:$AG$150,0,MATCH(AD$2,Inputs!$D$2:$AG$2,0)),Inputs!$B$4:$B$150,$B47)/1000)</f>
        <v>15759</v>
      </c>
      <c r="AE47" s="11" t="str">
        <f>IF(AE$3=0,"",SUMIFS(INDEX(Inputs!$D$4:$AG$150,0,MATCH(AE$2,Inputs!$D$2:$AG$2,0)),Inputs!$B$4:$B$150,$B47)/1000)</f>
        <v/>
      </c>
      <c r="AF47" s="11" t="str">
        <f>IF(AF$3=0,"",SUMIFS(INDEX(Inputs!$D$4:$AG$150,0,MATCH(AF$2,Inputs!$D$2:$AG$2,0)),Inputs!$B$4:$B$150,$B47)/1000)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IF(SUMPRODUCT((Inputs!$B$4:$B$150=$B50)*ISNUMBER(INDEX(Inputs!$D$4:$AG$150,0,MATCH(D$2,Inputs!$D$2:$AG$2,0))))=0,"",SUMIFS(INDEX(Inputs!$D$4:$AG$150,0,MATCH(D$2,Inputs!$D$2:$AG$2,0)),Inputs!$B$4:$B$150,$B50)/1000)</f>
        <v>1837</v>
      </c>
      <c r="E50" s="11">
        <f>IF(SUMPRODUCT((Inputs!$B$4:$B$150=$B50)*ISNUMBER(INDEX(Inputs!$D$4:$AG$150,0,MATCH(E$2,Inputs!$D$2:$AG$2,0))))=0,"",SUMIFS(INDEX(Inputs!$D$4:$AG$150,0,MATCH(E$2,Inputs!$D$2:$AG$2,0)),Inputs!$B$4:$B$150,$B50)/1000)</f>
        <v>1815</v>
      </c>
      <c r="F50" s="11">
        <f>IF(SUMPRODUCT((Inputs!$B$4:$B$150=$B50)*ISNUMBER(INDEX(Inputs!$D$4:$AG$150,0,MATCH(F$2,Inputs!$D$2:$AG$2,0))))=0,"",SUMIFS(INDEX(Inputs!$D$4:$AG$150,0,MATCH(F$2,Inputs!$D$2:$AG$2,0)),Inputs!$B$4:$B$150,$B50)/1000)</f>
        <v>614</v>
      </c>
      <c r="G50" s="11">
        <f>IF(SUMPRODUCT((Inputs!$B$4:$B$150=$B50)*ISNUMBER(INDEX(Inputs!$D$4:$AG$150,0,MATCH(G$2,Inputs!$D$2:$AG$2,0))))=0,"",SUMIFS(INDEX(Inputs!$D$4:$AG$150,0,MATCH(G$2,Inputs!$D$2:$AG$2,0)),Inputs!$B$4:$B$150,$B50)/1000)</f>
        <v>2049</v>
      </c>
      <c r="H50" s="12">
        <f>IF(COUNT(D50:G50)=4,SUM(D50:G50),"")</f>
        <v>6315</v>
      </c>
      <c r="I50" s="11">
        <f>IF(SUMPRODUCT((Inputs!$B$4:$B$150=$B50)*ISNUMBER(INDEX(Inputs!$D$4:$AG$150,0,MATCH(I$2,Inputs!$D$2:$AG$2,0))))=0,"",SUMIFS(INDEX(Inputs!$D$4:$AG$150,0,MATCH(I$2,Inputs!$D$2:$AG$2,0)),Inputs!$B$4:$B$150,$B50)/1000)</f>
        <v>1733</v>
      </c>
      <c r="J50" s="11">
        <f>IF(SUMPRODUCT((Inputs!$B$4:$B$150=$B50)*ISNUMBER(INDEX(Inputs!$D$4:$AG$150,0,MATCH(J$2,Inputs!$D$2:$AG$2,0))))=0,"",SUMIFS(INDEX(Inputs!$D$4:$AG$150,0,MATCH(J$2,Inputs!$D$2:$AG$2,0)),Inputs!$B$4:$B$150,$B50)/1000)</f>
        <v>309</v>
      </c>
      <c r="K50" s="11">
        <f>IF(SUMPRODUCT((Inputs!$B$4:$B$150=$B50)*ISNUMBER(INDEX(Inputs!$D$4:$AG$150,0,MATCH(K$2,Inputs!$D$2:$AG$2,0))))=0,"",SUMIFS(INDEX(Inputs!$D$4:$AG$150,0,MATCH(K$2,Inputs!$D$2:$AG$2,0)),Inputs!$B$4:$B$150,$B50)/1000)</f>
        <v>1778</v>
      </c>
      <c r="L50" s="11">
        <f>IF(SUMPRODUCT((Inputs!$B$4:$B$150=$B50)*ISNUMBER(INDEX(Inputs!$D$4:$AG$150,0,MATCH(L$2,Inputs!$D$2:$AG$2,0))))=0,"",SUMIFS(INDEX(Inputs!$D$4:$AG$150,0,MATCH(L$2,Inputs!$D$2:$AG$2,0)),Inputs!$B$4:$B$150,$B50)/1000)</f>
        <v>1912</v>
      </c>
      <c r="M50" s="12">
        <f>IF(COUNT(I50:L50)=4,SUM(I50:L50),"")</f>
        <v>5732</v>
      </c>
      <c r="N50" s="11">
        <f>IF(SUMPRODUCT((Inputs!$B$4:$B$150=$B50)*ISNUMBER(INDEX(Inputs!$D$4:$AG$150,0,MATCH(N$2,Inputs!$D$2:$AG$2,0))))=0,"",SUMIFS(INDEX(Inputs!$D$4:$AG$150,0,MATCH(N$2,Inputs!$D$2:$AG$2,0)),Inputs!$B$4:$B$150,$B50)/1000)</f>
        <v>1689</v>
      </c>
      <c r="O50" s="11">
        <f>IF(SUMPRODUCT((Inputs!$B$4:$B$150=$B50)*ISNUMBER(INDEX(Inputs!$D$4:$AG$150,0,MATCH(O$2,Inputs!$D$2:$AG$2,0))))=0,"",SUMIFS(INDEX(Inputs!$D$4:$AG$150,0,MATCH(O$2,Inputs!$D$2:$AG$2,0)),Inputs!$B$4:$B$150,$B50)/1000)</f>
        <v>1681</v>
      </c>
      <c r="P50" s="11">
        <f>IF(SUMPRODUCT((Inputs!$B$4:$B$150=$B50)*ISNUMBER(INDEX(Inputs!$D$4:$AG$150,0,MATCH(P$2,Inputs!$D$2:$AG$2,0))))=0,"",SUMIFS(INDEX(Inputs!$D$4:$AG$150,0,MATCH(P$2,Inputs!$D$2:$AG$2,0)),Inputs!$B$4:$B$150,$B50)/1000)</f>
        <v>1684</v>
      </c>
      <c r="Q50" s="11">
        <f>IF(SUMPRODUCT((Inputs!$B$4:$B$150=$B50)*ISNUMBER(INDEX(Inputs!$D$4:$AG$150,0,MATCH(Q$2,Inputs!$D$2:$AG$2,0))))=0,"",SUMIFS(INDEX(Inputs!$D$4:$AG$150,0,MATCH(Q$2,Inputs!$D$2:$AG$2,0)),Inputs!$B$4:$B$150,$B50)/1000)</f>
        <v>1866</v>
      </c>
      <c r="R50" s="12">
        <f>IF(COUNT(N50:Q50)=4,SUM(N50:Q50),"")</f>
        <v>6920</v>
      </c>
      <c r="S50" s="11">
        <f>IF(SUMPRODUCT((Inputs!$B$4:$B$150=$B50)*ISNUMBER(INDEX(Inputs!$D$4:$AG$150,0,MATCH(S$2,Inputs!$D$2:$AG$2,0))))=0,"",SUMIFS(INDEX(Inputs!$D$4:$AG$150,0,MATCH(S$2,Inputs!$D$2:$AG$2,0)),Inputs!$B$4:$B$150,$B50)/1000)</f>
        <v>1545</v>
      </c>
      <c r="T50" s="11">
        <f>IF(SUMPRODUCT((Inputs!$B$4:$B$150=$B50)*ISNUMBER(INDEX(Inputs!$D$4:$AG$150,0,MATCH(T$2,Inputs!$D$2:$AG$2,0))))=0,"",SUMIFS(INDEX(Inputs!$D$4:$AG$150,0,MATCH(T$2,Inputs!$D$2:$AG$2,0)),Inputs!$B$4:$B$150,$B50)/1000)</f>
        <v>1641</v>
      </c>
      <c r="U50" s="11">
        <f>IF(SUMPRODUCT((Inputs!$B$4:$B$150=$B50)*ISNUMBER(INDEX(Inputs!$D$4:$AG$150,0,MATCH(U$2,Inputs!$D$2:$AG$2,0))))=0,"",SUMIFS(INDEX(Inputs!$D$4:$AG$150,0,MATCH(U$2,Inputs!$D$2:$AG$2,0)),Inputs!$B$4:$B$150,$B50)/1000)</f>
        <v>1623</v>
      </c>
      <c r="V50" s="11">
        <f>IF(SUMPRODUCT((Inputs!$B$4:$B$150=$B50)*ISNUMBER(INDEX(Inputs!$D$4:$AG$150,0,MATCH(V$2,Inputs!$D$2:$AG$2,0))))=0,"",SUMIFS(INDEX(Inputs!$D$4:$AG$150,0,MATCH(V$2,Inputs!$D$2:$AG$2,0)),Inputs!$B$4:$B$150,$B50)/1000)</f>
        <v>527</v>
      </c>
      <c r="W50" s="12">
        <f>IF(COUNT(S50:V50)=4,SUM(S50:V50),"")</f>
        <v>5336</v>
      </c>
      <c r="X50" s="11">
        <f>IF(SUMPRODUCT((Inputs!$B$4:$B$150=$B50)*ISNUMBER(INDEX(Inputs!$D$4:$AG$150,0,MATCH(X$2,Inputs!$D$2:$AG$2,0))))=0,"",SUMIFS(INDEX(Inputs!$D$4:$AG$150,0,MATCH(X$2,Inputs!$D$2:$AG$2,0)),Inputs!$B$4:$B$150,$B50)/1000)</f>
        <v>1712</v>
      </c>
      <c r="Y50" s="11">
        <f>IF(SUMPRODUCT((Inputs!$B$4:$B$150=$B50)*ISNUMBER(INDEX(Inputs!$D$4:$AG$150,0,MATCH(Y$2,Inputs!$D$2:$AG$2,0))))=0,"",SUMIFS(INDEX(Inputs!$D$4:$AG$150,0,MATCH(Y$2,Inputs!$D$2:$AG$2,0)),Inputs!$B$4:$B$150,$B50)/1000)</f>
        <v>342</v>
      </c>
      <c r="Z50" s="11">
        <f>IF(SUMPRODUCT((Inputs!$B$4:$B$150=$B50)*ISNUMBER(INDEX(Inputs!$D$4:$AG$150,0,MATCH(Z$2,Inputs!$D$2:$AG$2,0))))=0,"",SUMIFS(INDEX(Inputs!$D$4:$AG$150,0,MATCH(Z$2,Inputs!$D$2:$AG$2,0)),Inputs!$B$4:$B$150,$B50)/1000)</f>
        <v>1619</v>
      </c>
      <c r="AA50" s="11">
        <f>IF(SUMPRODUCT((Inputs!$B$4:$B$150=$B50)*ISNUMBER(INDEX(Inputs!$D$4:$AG$150,0,MATCH(AA$2,Inputs!$D$2:$AG$2,0))))=0,"",SUMIFS(INDEX(Inputs!$D$4:$AG$150,0,MATCH(AA$2,Inputs!$D$2:$AG$2,0)),Inputs!$B$4:$B$150,$B50)/1000)</f>
        <v>1344</v>
      </c>
      <c r="AB50" s="12">
        <f>IF(COUNT(X50:AA50)=4,SUM(X50:AA50),"")</f>
        <v>5017</v>
      </c>
      <c r="AC50" s="11">
        <f>IF(SUMPRODUCT((Inputs!$B$4:$B$150=$B50)*ISNUMBER(INDEX(Inputs!$D$4:$AG$150,0,MATCH(AC$2,Inputs!$D$2:$AG$2,0))))=0,"",SUMIFS(INDEX(Inputs!$D$4:$AG$150,0,MATCH(AC$2,Inputs!$D$2:$AG$2,0)),Inputs!$B$4:$B$150,$B50)/1000)</f>
        <v>1488</v>
      </c>
      <c r="AD50" s="11">
        <f>IF(SUMPRODUCT((Inputs!$B$4:$B$150=$B50)*ISNUMBER(INDEX(Inputs!$D$4:$AG$150,0,MATCH(AD$2,Inputs!$D$2:$AG$2,0))))=0,"",SUMIFS(INDEX(Inputs!$D$4:$AG$150,0,MATCH(AD$2,Inputs!$D$2:$AG$2,0)),Inputs!$B$4:$B$150,$B50)/1000)</f>
        <v>1836</v>
      </c>
      <c r="AE50" s="11" t="str">
        <f>IF(SUMPRODUCT((Inputs!$B$4:$B$150=$B50)*ISNUMBER(INDEX(Inputs!$D$4:$AG$150,0,MATCH(AE$2,Inputs!$D$2:$AG$2,0))))=0,"",SUMIFS(INDEX(Inputs!$D$4:$AG$150,0,MATCH(AE$2,Inputs!$D$2:$AG$2,0)),Inputs!$B$4:$B$150,$B50)/1000)</f>
        <v/>
      </c>
      <c r="AF50" s="11" t="str">
        <f>IF(SUMPRODUCT((Inputs!$B$4:$B$150=$B50)*ISNUMBER(INDEX(Inputs!$D$4:$AG$150,0,MATCH(AF$2,Inputs!$D$2:$AG$2,0))))=0,"",SUMIFS(INDEX(Inputs!$D$4:$AG$150,0,MATCH(AF$2,Inputs!$D$2:$AG$2,0)),Inputs!$B$4:$B$150,$B50)/1000)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Aeronautics - receita (USD)</t>
        </is>
      </c>
      <c r="D53" s="11">
        <f>IF(SUMPRODUCT((Inputs!$B$4:$B$150=$B53)*ISNUMBER(INDEX(Inputs!$D$4:$AG$150,0,MATCH(D$2,Inputs!$D$2:$AG$2,0))))=0,"",SUMIFS(INDEX(Inputs!$D$4:$AG$150,0,MATCH(D$2,Inputs!$D$2:$AG$2,0)),Inputs!$B$4:$B$150,$B53)/1000)</f>
        <v>6387</v>
      </c>
      <c r="E53" s="11">
        <f>IF(SUMPRODUCT((Inputs!$B$4:$B$150=$B53)*ISNUMBER(INDEX(Inputs!$D$4:$AG$150,0,MATCH(E$2,Inputs!$D$2:$AG$2,0))))=0,"",SUMIFS(INDEX(Inputs!$D$4:$AG$150,0,MATCH(E$2,Inputs!$D$2:$AG$2,0)),Inputs!$B$4:$B$150,$B53)/1000)</f>
        <v>6666</v>
      </c>
      <c r="F53" s="11">
        <f>IF(SUMPRODUCT((Inputs!$B$4:$B$150=$B53)*ISNUMBER(INDEX(Inputs!$D$4:$AG$150,0,MATCH(F$2,Inputs!$D$2:$AG$2,0))))=0,"",SUMIFS(INDEX(Inputs!$D$4:$AG$150,0,MATCH(F$2,Inputs!$D$2:$AG$2,0)),Inputs!$B$4:$B$150,$B53)/1000)</f>
        <v>6568</v>
      </c>
      <c r="G53" s="11">
        <f>IF(SUMPRODUCT((Inputs!$B$4:$B$150=$B53)*ISNUMBER(INDEX(Inputs!$D$4:$AG$150,0,MATCH(G$2,Inputs!$D$2:$AG$2,0))))=0,"",SUMIFS(INDEX(Inputs!$D$4:$AG$150,0,MATCH(G$2,Inputs!$D$2:$AG$2,0)),Inputs!$B$4:$B$150,$B53)/1000)</f>
        <v>7127</v>
      </c>
      <c r="H53" s="12">
        <f>IF(COUNT(D53:G53)=4,SUM(D53:G53),"")</f>
        <v>26748</v>
      </c>
      <c r="I53" s="11">
        <f>IF(SUMPRODUCT((Inputs!$B$4:$B$150=$B53)*ISNUMBER(INDEX(Inputs!$D$4:$AG$150,0,MATCH(I$2,Inputs!$D$2:$AG$2,0))))=0,"",SUMIFS(INDEX(Inputs!$D$4:$AG$150,0,MATCH(I$2,Inputs!$D$2:$AG$2,0)),Inputs!$B$4:$B$150,$B53)/1000)</f>
        <v>6401</v>
      </c>
      <c r="J53" s="11">
        <f>IF(SUMPRODUCT((Inputs!$B$4:$B$150=$B53)*ISNUMBER(INDEX(Inputs!$D$4:$AG$150,0,MATCH(J$2,Inputs!$D$2:$AG$2,0))))=0,"",SUMIFS(INDEX(Inputs!$D$4:$AG$150,0,MATCH(J$2,Inputs!$D$2:$AG$2,0)),Inputs!$B$4:$B$150,$B53)/1000)</f>
        <v>5862</v>
      </c>
      <c r="K53" s="11">
        <f>IF(SUMPRODUCT((Inputs!$B$4:$B$150=$B53)*ISNUMBER(INDEX(Inputs!$D$4:$AG$150,0,MATCH(K$2,Inputs!$D$2:$AG$2,0))))=0,"",SUMIFS(INDEX(Inputs!$D$4:$AG$150,0,MATCH(K$2,Inputs!$D$2:$AG$2,0)),Inputs!$B$4:$B$150,$B53)/1000)</f>
        <v>7089</v>
      </c>
      <c r="L53" s="11">
        <f>IF(SUMPRODUCT((Inputs!$B$4:$B$150=$B53)*ISNUMBER(INDEX(Inputs!$D$4:$AG$150,0,MATCH(L$2,Inputs!$D$2:$AG$2,0))))=0,"",SUMIFS(INDEX(Inputs!$D$4:$AG$150,0,MATCH(L$2,Inputs!$D$2:$AG$2,0)),Inputs!$B$4:$B$150,$B53)/1000)</f>
        <v>7635</v>
      </c>
      <c r="M53" s="12">
        <f>IF(COUNT(I53:L53)=4,SUM(I53:L53),"")</f>
        <v>26987</v>
      </c>
      <c r="N53" s="11">
        <f>IF(SUMPRODUCT((Inputs!$B$4:$B$150=$B53)*ISNUMBER(INDEX(Inputs!$D$4:$AG$150,0,MATCH(N$2,Inputs!$D$2:$AG$2,0))))=0,"",SUMIFS(INDEX(Inputs!$D$4:$AG$150,0,MATCH(N$2,Inputs!$D$2:$AG$2,0)),Inputs!$B$4:$B$150,$B53)/1000)</f>
        <v>6269</v>
      </c>
      <c r="O53" s="11">
        <f>IF(SUMPRODUCT((Inputs!$B$4:$B$150=$B53)*ISNUMBER(INDEX(Inputs!$D$4:$AG$150,0,MATCH(O$2,Inputs!$D$2:$AG$2,0))))=0,"",SUMIFS(INDEX(Inputs!$D$4:$AG$150,0,MATCH(O$2,Inputs!$D$2:$AG$2,0)),Inputs!$B$4:$B$150,$B53)/1000)</f>
        <v>6875</v>
      </c>
      <c r="P53" s="11">
        <f>IF(SUMPRODUCT((Inputs!$B$4:$B$150=$B53)*ISNUMBER(INDEX(Inputs!$D$4:$AG$150,0,MATCH(P$2,Inputs!$D$2:$AG$2,0))))=0,"",SUMIFS(INDEX(Inputs!$D$4:$AG$150,0,MATCH(P$2,Inputs!$D$2:$AG$2,0)),Inputs!$B$4:$B$150,$B53)/1000)</f>
        <v>6717</v>
      </c>
      <c r="Q53" s="11">
        <f>IF(SUMPRODUCT((Inputs!$B$4:$B$150=$B53)*ISNUMBER(INDEX(Inputs!$D$4:$AG$150,0,MATCH(Q$2,Inputs!$D$2:$AG$2,0))))=0,"",SUMIFS(INDEX(Inputs!$D$4:$AG$150,0,MATCH(Q$2,Inputs!$D$2:$AG$2,0)),Inputs!$B$4:$B$150,$B53)/1000)</f>
        <v>7613</v>
      </c>
      <c r="R53" s="12">
        <f>IF(COUNT(N53:Q53)=4,SUM(N53:Q53),"")</f>
        <v>27474</v>
      </c>
      <c r="S53" s="11">
        <f>IF(SUMPRODUCT((Inputs!$B$4:$B$150=$B53)*ISNUMBER(INDEX(Inputs!$D$4:$AG$150,0,MATCH(S$2,Inputs!$D$2:$AG$2,0))))=0,"",SUMIFS(INDEX(Inputs!$D$4:$AG$150,0,MATCH(S$2,Inputs!$D$2:$AG$2,0)),Inputs!$B$4:$B$150,$B53)/1000)</f>
        <v>6845</v>
      </c>
      <c r="T53" s="11">
        <f>IF(SUMPRODUCT((Inputs!$B$4:$B$150=$B53)*ISNUMBER(INDEX(Inputs!$D$4:$AG$150,0,MATCH(T$2,Inputs!$D$2:$AG$2,0))))=0,"",SUMIFS(INDEX(Inputs!$D$4:$AG$150,0,MATCH(T$2,Inputs!$D$2:$AG$2,0)),Inputs!$B$4:$B$150,$B53)/1000)</f>
        <v>7277</v>
      </c>
      <c r="U53" s="11">
        <f>IF(SUMPRODUCT((Inputs!$B$4:$B$150=$B53)*ISNUMBER(INDEX(Inputs!$D$4:$AG$150,0,MATCH(U$2,Inputs!$D$2:$AG$2,0))))=0,"",SUMIFS(INDEX(Inputs!$D$4:$AG$150,0,MATCH(U$2,Inputs!$D$2:$AG$2,0)),Inputs!$B$4:$B$150,$B53)/1000)</f>
        <v>6487</v>
      </c>
      <c r="V53" s="11">
        <f>IF(SUMPRODUCT((Inputs!$B$4:$B$150=$B53)*ISNUMBER(INDEX(Inputs!$D$4:$AG$150,0,MATCH(V$2,Inputs!$D$2:$AG$2,0))))=0,"",SUMIFS(INDEX(Inputs!$D$4:$AG$150,0,MATCH(V$2,Inputs!$D$2:$AG$2,0)),Inputs!$B$4:$B$150,$B53)/1000)</f>
        <v>8009</v>
      </c>
      <c r="W53" s="12">
        <f>IF(COUNT(S53:V53)=4,SUM(S53:V53),"")</f>
        <v>28618</v>
      </c>
      <c r="X53" s="11">
        <f>IF(SUMPRODUCT((Inputs!$B$4:$B$150=$B53)*ISNUMBER(INDEX(Inputs!$D$4:$AG$150,0,MATCH(X$2,Inputs!$D$2:$AG$2,0))))=0,"",SUMIFS(INDEX(Inputs!$D$4:$AG$150,0,MATCH(X$2,Inputs!$D$2:$AG$2,0)),Inputs!$B$4:$B$150,$B53)/1000)</f>
        <v>7057</v>
      </c>
      <c r="Y53" s="11">
        <f>IF(SUMPRODUCT((Inputs!$B$4:$B$150=$B53)*ISNUMBER(INDEX(Inputs!$D$4:$AG$150,0,MATCH(Y$2,Inputs!$D$2:$AG$2,0))))=0,"",SUMIFS(INDEX(Inputs!$D$4:$AG$150,0,MATCH(Y$2,Inputs!$D$2:$AG$2,0)),Inputs!$B$4:$B$150,$B53)/1000)</f>
        <v>7420</v>
      </c>
      <c r="Z53" s="11">
        <f>IF(SUMPRODUCT((Inputs!$B$4:$B$150=$B53)*ISNUMBER(INDEX(Inputs!$D$4:$AG$150,0,MATCH(Z$2,Inputs!$D$2:$AG$2,0))))=0,"",SUMIFS(INDEX(Inputs!$D$4:$AG$150,0,MATCH(Z$2,Inputs!$D$2:$AG$2,0)),Inputs!$B$4:$B$150,$B53)/1000)</f>
        <v>7256</v>
      </c>
      <c r="AA53" s="11">
        <f>IF(SUMPRODUCT((Inputs!$B$4:$B$150=$B53)*ISNUMBER(INDEX(Inputs!$D$4:$AG$150,0,MATCH(AA$2,Inputs!$D$2:$AG$2,0))))=0,"",SUMIFS(INDEX(Inputs!$D$4:$AG$150,0,MATCH(AA$2,Inputs!$D$2:$AG$2,0)),Inputs!$B$4:$B$150,$B53)/1000)</f>
        <v>8524</v>
      </c>
      <c r="AB53" s="12">
        <f>IF(COUNT(X53:AA53)=4,SUM(X53:AA53),"")</f>
        <v>30257</v>
      </c>
      <c r="AC53" s="11">
        <f>IF(SUMPRODUCT((Inputs!$B$4:$B$150=$B53)*ISNUMBER(INDEX(Inputs!$D$4:$AG$150,0,MATCH(AC$2,Inputs!$D$2:$AG$2,0))))=0,"",SUMIFS(INDEX(Inputs!$D$4:$AG$150,0,MATCH(AC$2,Inputs!$D$2:$AG$2,0)),Inputs!$B$4:$B$150,$B53)/1000)</f>
        <v>6953</v>
      </c>
      <c r="AD53" s="11">
        <f>IF(SUMPRODUCT((Inputs!$B$4:$B$150=$B53)*ISNUMBER(INDEX(Inputs!$D$4:$AG$150,0,MATCH(AD$2,Inputs!$D$2:$AG$2,0))))=0,"",SUMIFS(INDEX(Inputs!$D$4:$AG$150,0,MATCH(AD$2,Inputs!$D$2:$AG$2,0)),Inputs!$B$4:$B$150,$B53)/1000)</f>
        <v>8112</v>
      </c>
      <c r="AE53" s="11" t="str">
        <f>IF(SUMPRODUCT((Inputs!$B$4:$B$150=$B53)*ISNUMBER(INDEX(Inputs!$D$4:$AG$150,0,MATCH(AE$2,Inputs!$D$2:$AG$2,0))))=0,"",SUMIFS(INDEX(Inputs!$D$4:$AG$150,0,MATCH(AE$2,Inputs!$D$2:$AG$2,0)),Inputs!$B$4:$B$150,$B53)/1000)</f>
        <v/>
      </c>
      <c r="AF53" s="11" t="str">
        <f>IF(SUMPRODUCT((Inputs!$B$4:$B$150=$B53)*ISNUMBER(INDEX(Inputs!$D$4:$AG$150,0,MATCH(AF$2,Inputs!$D$2:$AG$2,0))))=0,"",SUMIFS(INDEX(Inputs!$D$4:$AG$150,0,MATCH(AF$2,Inputs!$D$2:$AG$2,0)),Inputs!$B$4:$B$150,$B53)/1000)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Aeronautics - lucro do segmento (USD)</t>
        </is>
      </c>
      <c r="D54" s="11">
        <f>IF(SUMPRODUCT((Inputs!$B$4:$B$150=$B54)*ISNUMBER(INDEX(Inputs!$D$4:$AG$150,0,MATCH(D$2,Inputs!$D$2:$AG$2,0))))=0,"",SUMIFS(INDEX(Inputs!$D$4:$AG$150,0,MATCH(D$2,Inputs!$D$2:$AG$2,0)),Inputs!$B$4:$B$150,$B54)/1000)</f>
        <v>693</v>
      </c>
      <c r="E54" s="11">
        <f>IF(SUMPRODUCT((Inputs!$B$4:$B$150=$B54)*ISNUMBER(INDEX(Inputs!$D$4:$AG$150,0,MATCH(E$2,Inputs!$D$2:$AG$2,0))))=0,"",SUMIFS(INDEX(Inputs!$D$4:$AG$150,0,MATCH(E$2,Inputs!$D$2:$AG$2,0)),Inputs!$B$4:$B$150,$B54)/1000)</f>
        <v>572</v>
      </c>
      <c r="F54" s="11">
        <f>IF(SUMPRODUCT((Inputs!$B$4:$B$150=$B54)*ISNUMBER(INDEX(Inputs!$D$4:$AG$150,0,MATCH(F$2,Inputs!$D$2:$AG$2,0))))=0,"",SUMIFS(INDEX(Inputs!$D$4:$AG$150,0,MATCH(F$2,Inputs!$D$2:$AG$2,0)),Inputs!$B$4:$B$150,$B54)/1000)</f>
        <v>714</v>
      </c>
      <c r="G54" s="11">
        <f>IF(SUMPRODUCT((Inputs!$B$4:$B$150=$B54)*ISNUMBER(INDEX(Inputs!$D$4:$AG$150,0,MATCH(G$2,Inputs!$D$2:$AG$2,0))))=0,"",SUMIFS(INDEX(Inputs!$D$4:$AG$150,0,MATCH(G$2,Inputs!$D$2:$AG$2,0)),Inputs!$B$4:$B$150,$B54)/1000)</f>
        <v>820</v>
      </c>
      <c r="H54" s="12">
        <f>IF(COUNT(D54:G54)=4,SUM(D54:G54),"")</f>
        <v>2799</v>
      </c>
      <c r="I54" s="11">
        <f>IF(SUMPRODUCT((Inputs!$B$4:$B$150=$B54)*ISNUMBER(INDEX(Inputs!$D$4:$AG$150,0,MATCH(I$2,Inputs!$D$2:$AG$2,0))))=0,"",SUMIFS(INDEX(Inputs!$D$4:$AG$150,0,MATCH(I$2,Inputs!$D$2:$AG$2,0)),Inputs!$B$4:$B$150,$B54)/1000)</f>
        <v>679</v>
      </c>
      <c r="J54" s="11">
        <f>IF(SUMPRODUCT((Inputs!$B$4:$B$150=$B54)*ISNUMBER(INDEX(Inputs!$D$4:$AG$150,0,MATCH(J$2,Inputs!$D$2:$AG$2,0))))=0,"",SUMIFS(INDEX(Inputs!$D$4:$AG$150,0,MATCH(J$2,Inputs!$D$2:$AG$2,0)),Inputs!$B$4:$B$150,$B54)/1000)</f>
        <v>613</v>
      </c>
      <c r="K54" s="11">
        <f>IF(SUMPRODUCT((Inputs!$B$4:$B$150=$B54)*ISNUMBER(INDEX(Inputs!$D$4:$AG$150,0,MATCH(K$2,Inputs!$D$2:$AG$2,0))))=0,"",SUMIFS(INDEX(Inputs!$D$4:$AG$150,0,MATCH(K$2,Inputs!$D$2:$AG$2,0)),Inputs!$B$4:$B$150,$B54)/1000)</f>
        <v>759</v>
      </c>
      <c r="L54" s="11">
        <f>IF(SUMPRODUCT((Inputs!$B$4:$B$150=$B54)*ISNUMBER(INDEX(Inputs!$D$4:$AG$150,0,MATCH(L$2,Inputs!$D$2:$AG$2,0))))=0,"",SUMIFS(INDEX(Inputs!$D$4:$AG$150,0,MATCH(L$2,Inputs!$D$2:$AG$2,0)),Inputs!$B$4:$B$150,$B54)/1000)</f>
        <v>816</v>
      </c>
      <c r="M54" s="12">
        <f>IF(COUNT(I54:L54)=4,SUM(I54:L54),"")</f>
        <v>2867</v>
      </c>
      <c r="N54" s="11">
        <f>IF(SUMPRODUCT((Inputs!$B$4:$B$150=$B54)*ISNUMBER(INDEX(Inputs!$D$4:$AG$150,0,MATCH(N$2,Inputs!$D$2:$AG$2,0))))=0,"",SUMIFS(INDEX(Inputs!$D$4:$AG$150,0,MATCH(N$2,Inputs!$D$2:$AG$2,0)),Inputs!$B$4:$B$150,$B54)/1000)</f>
        <v>675</v>
      </c>
      <c r="O54" s="11">
        <f>IF(SUMPRODUCT((Inputs!$B$4:$B$150=$B54)*ISNUMBER(INDEX(Inputs!$D$4:$AG$150,0,MATCH(O$2,Inputs!$D$2:$AG$2,0))))=0,"",SUMIFS(INDEX(Inputs!$D$4:$AG$150,0,MATCH(O$2,Inputs!$D$2:$AG$2,0)),Inputs!$B$4:$B$150,$B54)/1000)</f>
        <v>718</v>
      </c>
      <c r="P54" s="11">
        <f>IF(SUMPRODUCT((Inputs!$B$4:$B$150=$B54)*ISNUMBER(INDEX(Inputs!$D$4:$AG$150,0,MATCH(P$2,Inputs!$D$2:$AG$2,0))))=0,"",SUMIFS(INDEX(Inputs!$D$4:$AG$150,0,MATCH(P$2,Inputs!$D$2:$AG$2,0)),Inputs!$B$4:$B$150,$B54)/1000)</f>
        <v>671</v>
      </c>
      <c r="Q54" s="11">
        <f>IF(SUMPRODUCT((Inputs!$B$4:$B$150=$B54)*ISNUMBER(INDEX(Inputs!$D$4:$AG$150,0,MATCH(Q$2,Inputs!$D$2:$AG$2,0))))=0,"",SUMIFS(INDEX(Inputs!$D$4:$AG$150,0,MATCH(Q$2,Inputs!$D$2:$AG$2,0)),Inputs!$B$4:$B$150,$B54)/1000)</f>
        <v>761</v>
      </c>
      <c r="R54" s="12">
        <f>IF(COUNT(N54:Q54)=4,SUM(N54:Q54),"")</f>
        <v>2825</v>
      </c>
      <c r="S54" s="11">
        <f>IF(SUMPRODUCT((Inputs!$B$4:$B$150=$B54)*ISNUMBER(INDEX(Inputs!$D$4:$AG$150,0,MATCH(S$2,Inputs!$D$2:$AG$2,0))))=0,"",SUMIFS(INDEX(Inputs!$D$4:$AG$150,0,MATCH(S$2,Inputs!$D$2:$AG$2,0)),Inputs!$B$4:$B$150,$B54)/1000)</f>
        <v>679</v>
      </c>
      <c r="T54" s="11">
        <f>IF(SUMPRODUCT((Inputs!$B$4:$B$150=$B54)*ISNUMBER(INDEX(Inputs!$D$4:$AG$150,0,MATCH(T$2,Inputs!$D$2:$AG$2,0))))=0,"",SUMIFS(INDEX(Inputs!$D$4:$AG$150,0,MATCH(T$2,Inputs!$D$2:$AG$2,0)),Inputs!$B$4:$B$150,$B54)/1000)</f>
        <v>751</v>
      </c>
      <c r="U54" s="11">
        <f>IF(SUMPRODUCT((Inputs!$B$4:$B$150=$B54)*ISNUMBER(INDEX(Inputs!$D$4:$AG$150,0,MATCH(U$2,Inputs!$D$2:$AG$2,0))))=0,"",SUMIFS(INDEX(Inputs!$D$4:$AG$150,0,MATCH(U$2,Inputs!$D$2:$AG$2,0)),Inputs!$B$4:$B$150,$B54)/1000)</f>
        <v>659</v>
      </c>
      <c r="V54" s="11">
        <f>IF(SUMPRODUCT((Inputs!$B$4:$B$150=$B54)*ISNUMBER(INDEX(Inputs!$D$4:$AG$150,0,MATCH(V$2,Inputs!$D$2:$AG$2,0))))=0,"",SUMIFS(INDEX(Inputs!$D$4:$AG$150,0,MATCH(V$2,Inputs!$D$2:$AG$2,0)),Inputs!$B$4:$B$150,$B54)/1000)</f>
        <v>434</v>
      </c>
      <c r="W54" s="12">
        <f>IF(COUNT(S54:V54)=4,SUM(S54:V54),"")</f>
        <v>2523</v>
      </c>
      <c r="X54" s="11">
        <f>IF(SUMPRODUCT((Inputs!$B$4:$B$150=$B54)*ISNUMBER(INDEX(Inputs!$D$4:$AG$150,0,MATCH(X$2,Inputs!$D$2:$AG$2,0))))=0,"",SUMIFS(INDEX(Inputs!$D$4:$AG$150,0,MATCH(X$2,Inputs!$D$2:$AG$2,0)),Inputs!$B$4:$B$150,$B54)/1000)</f>
        <v>720</v>
      </c>
      <c r="Y54" s="11">
        <f>IF(SUMPRODUCT((Inputs!$B$4:$B$150=$B54)*ISNUMBER(INDEX(Inputs!$D$4:$AG$150,0,MATCH(Y$2,Inputs!$D$2:$AG$2,0))))=0,"",SUMIFS(INDEX(Inputs!$D$4:$AG$150,0,MATCH(Y$2,Inputs!$D$2:$AG$2,0)),Inputs!$B$4:$B$150,$B54)/1000)</f>
        <v>-98</v>
      </c>
      <c r="Z54" s="11">
        <f>IF(SUMPRODUCT((Inputs!$B$4:$B$150=$B54)*ISNUMBER(INDEX(Inputs!$D$4:$AG$150,0,MATCH(Z$2,Inputs!$D$2:$AG$2,0))))=0,"",SUMIFS(INDEX(Inputs!$D$4:$AG$150,0,MATCH(Z$2,Inputs!$D$2:$AG$2,0)),Inputs!$B$4:$B$150,$B54)/1000)</f>
        <v>682</v>
      </c>
      <c r="AA54" s="11">
        <f>IF(SUMPRODUCT((Inputs!$B$4:$B$150=$B54)*ISNUMBER(INDEX(Inputs!$D$4:$AG$150,0,MATCH(AA$2,Inputs!$D$2:$AG$2,0))))=0,"",SUMIFS(INDEX(Inputs!$D$4:$AG$150,0,MATCH(AA$2,Inputs!$D$2:$AG$2,0)),Inputs!$B$4:$B$150,$B54)/1000)</f>
        <v>782</v>
      </c>
      <c r="AB54" s="12">
        <f>IF(COUNT(X54:AA54)=4,SUM(X54:AA54),"")</f>
        <v>2086</v>
      </c>
      <c r="AC54" s="11">
        <f>IF(SUMPRODUCT((Inputs!$B$4:$B$150=$B54)*ISNUMBER(INDEX(Inputs!$D$4:$AG$150,0,MATCH(AC$2,Inputs!$D$2:$AG$2,0))))=0,"",SUMIFS(INDEX(Inputs!$D$4:$AG$150,0,MATCH(AC$2,Inputs!$D$2:$AG$2,0)),Inputs!$B$4:$B$150,$B54)/1000)</f>
        <v>619</v>
      </c>
      <c r="AD54" s="11">
        <f>IF(SUMPRODUCT((Inputs!$B$4:$B$150=$B54)*ISNUMBER(INDEX(Inputs!$D$4:$AG$150,0,MATCH(AD$2,Inputs!$D$2:$AG$2,0))))=0,"",SUMIFS(INDEX(Inputs!$D$4:$AG$150,0,MATCH(AD$2,Inputs!$D$2:$AG$2,0)),Inputs!$B$4:$B$150,$B54)/1000)</f>
        <v>760</v>
      </c>
      <c r="AE54" s="11" t="str">
        <f>IF(SUMPRODUCT((Inputs!$B$4:$B$150=$B54)*ISNUMBER(INDEX(Inputs!$D$4:$AG$150,0,MATCH(AE$2,Inputs!$D$2:$AG$2,0))))=0,"",SUMIFS(INDEX(Inputs!$D$4:$AG$150,0,MATCH(AE$2,Inputs!$D$2:$AG$2,0)),Inputs!$B$4:$B$150,$B54)/1000)</f>
        <v/>
      </c>
      <c r="AF54" s="11" t="str">
        <f>IF(SUMPRODUCT((Inputs!$B$4:$B$150=$B54)*ISNUMBER(INDEX(Inputs!$D$4:$AG$150,0,MATCH(AF$2,Inputs!$D$2:$AG$2,0))))=0,"",SUMIFS(INDEX(Inputs!$D$4:$AG$150,0,MATCH(AF$2,Inputs!$D$2:$AG$2,0)),Inputs!$B$4:$B$150,$B54)/1000)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Missiles and Fire Control - receita (USD)</t>
        </is>
      </c>
      <c r="D55" s="11">
        <f>IF(SUMPRODUCT((Inputs!$B$4:$B$150=$B55)*ISNUMBER(INDEX(Inputs!$D$4:$AG$150,0,MATCH(D$2,Inputs!$D$2:$AG$2,0))))=0,"",SUMIFS(INDEX(Inputs!$D$4:$AG$150,0,MATCH(D$2,Inputs!$D$2:$AG$2,0)),Inputs!$B$4:$B$150,$B55)/1000)</f>
        <v>2749</v>
      </c>
      <c r="E55" s="11">
        <f>IF(SUMPRODUCT((Inputs!$B$4:$B$150=$B55)*ISNUMBER(INDEX(Inputs!$D$4:$AG$150,0,MATCH(E$2,Inputs!$D$2:$AG$2,0))))=0,"",SUMIFS(INDEX(Inputs!$D$4:$AG$150,0,MATCH(E$2,Inputs!$D$2:$AG$2,0)),Inputs!$B$4:$B$150,$B55)/1000)</f>
        <v>2944</v>
      </c>
      <c r="F55" s="11">
        <f>IF(SUMPRODUCT((Inputs!$B$4:$B$150=$B55)*ISNUMBER(INDEX(Inputs!$D$4:$AG$150,0,MATCH(F$2,Inputs!$D$2:$AG$2,0))))=0,"",SUMIFS(INDEX(Inputs!$D$4:$AG$150,0,MATCH(F$2,Inputs!$D$2:$AG$2,0)),Inputs!$B$4:$B$150,$B55)/1000)</f>
        <v>2781</v>
      </c>
      <c r="G55" s="11">
        <f>IF(SUMPRODUCT((Inputs!$B$4:$B$150=$B55)*ISNUMBER(INDEX(Inputs!$D$4:$AG$150,0,MATCH(G$2,Inputs!$D$2:$AG$2,0))))=0,"",SUMIFS(INDEX(Inputs!$D$4:$AG$150,0,MATCH(G$2,Inputs!$D$2:$AG$2,0)),Inputs!$B$4:$B$150,$B55)/1000)</f>
        <v>3219</v>
      </c>
      <c r="H55" s="12">
        <f>IF(COUNT(D55:G55)=4,SUM(D55:G55),"")</f>
        <v>11693</v>
      </c>
      <c r="I55" s="11">
        <f>IF(SUMPRODUCT((Inputs!$B$4:$B$150=$B55)*ISNUMBER(INDEX(Inputs!$D$4:$AG$150,0,MATCH(I$2,Inputs!$D$2:$AG$2,0))))=0,"",SUMIFS(INDEX(Inputs!$D$4:$AG$150,0,MATCH(I$2,Inputs!$D$2:$AG$2,0)),Inputs!$B$4:$B$150,$B55)/1000)</f>
        <v>2452</v>
      </c>
      <c r="J55" s="11">
        <f>IF(SUMPRODUCT((Inputs!$B$4:$B$150=$B55)*ISNUMBER(INDEX(Inputs!$D$4:$AG$150,0,MATCH(J$2,Inputs!$D$2:$AG$2,0))))=0,"",SUMIFS(INDEX(Inputs!$D$4:$AG$150,0,MATCH(J$2,Inputs!$D$2:$AG$2,0)),Inputs!$B$4:$B$150,$B55)/1000)</f>
        <v>2747</v>
      </c>
      <c r="K55" s="11">
        <f>IF(SUMPRODUCT((Inputs!$B$4:$B$150=$B55)*ISNUMBER(INDEX(Inputs!$D$4:$AG$150,0,MATCH(K$2,Inputs!$D$2:$AG$2,0))))=0,"",SUMIFS(INDEX(Inputs!$D$4:$AG$150,0,MATCH(K$2,Inputs!$D$2:$AG$2,0)),Inputs!$B$4:$B$150,$B55)/1000)</f>
        <v>2831</v>
      </c>
      <c r="L55" s="11">
        <f>IF(SUMPRODUCT((Inputs!$B$4:$B$150=$B55)*ISNUMBER(INDEX(Inputs!$D$4:$AG$150,0,MATCH(L$2,Inputs!$D$2:$AG$2,0))))=0,"",SUMIFS(INDEX(Inputs!$D$4:$AG$150,0,MATCH(L$2,Inputs!$D$2:$AG$2,0)),Inputs!$B$4:$B$150,$B55)/1000)</f>
        <v>3287</v>
      </c>
      <c r="M55" s="12">
        <f>IF(COUNT(I55:L55)=4,SUM(I55:L55),"")</f>
        <v>11317</v>
      </c>
      <c r="N55" s="11">
        <f>IF(SUMPRODUCT((Inputs!$B$4:$B$150=$B55)*ISNUMBER(INDEX(Inputs!$D$4:$AG$150,0,MATCH(N$2,Inputs!$D$2:$AG$2,0))))=0,"",SUMIFS(INDEX(Inputs!$D$4:$AG$150,0,MATCH(N$2,Inputs!$D$2:$AG$2,0)),Inputs!$B$4:$B$150,$B55)/1000)</f>
        <v>2388</v>
      </c>
      <c r="O55" s="11">
        <f>IF(SUMPRODUCT((Inputs!$B$4:$B$150=$B55)*ISNUMBER(INDEX(Inputs!$D$4:$AG$150,0,MATCH(O$2,Inputs!$D$2:$AG$2,0))))=0,"",SUMIFS(INDEX(Inputs!$D$4:$AG$150,0,MATCH(O$2,Inputs!$D$2:$AG$2,0)),Inputs!$B$4:$B$150,$B55)/1000)</f>
        <v>2755</v>
      </c>
      <c r="P55" s="11">
        <f>IF(SUMPRODUCT((Inputs!$B$4:$B$150=$B55)*ISNUMBER(INDEX(Inputs!$D$4:$AG$150,0,MATCH(P$2,Inputs!$D$2:$AG$2,0))))=0,"",SUMIFS(INDEX(Inputs!$D$4:$AG$150,0,MATCH(P$2,Inputs!$D$2:$AG$2,0)),Inputs!$B$4:$B$150,$B55)/1000)</f>
        <v>2939</v>
      </c>
      <c r="Q55" s="11">
        <f>IF(SUMPRODUCT((Inputs!$B$4:$B$150=$B55)*ISNUMBER(INDEX(Inputs!$D$4:$AG$150,0,MATCH(Q$2,Inputs!$D$2:$AG$2,0))))=0,"",SUMIFS(INDEX(Inputs!$D$4:$AG$150,0,MATCH(Q$2,Inputs!$D$2:$AG$2,0)),Inputs!$B$4:$B$150,$B55)/1000)</f>
        <v>3171</v>
      </c>
      <c r="R55" s="12">
        <f>IF(COUNT(N55:Q55)=4,SUM(N55:Q55),"")</f>
        <v>11253</v>
      </c>
      <c r="S55" s="11">
        <f>IF(SUMPRODUCT((Inputs!$B$4:$B$150=$B55)*ISNUMBER(INDEX(Inputs!$D$4:$AG$150,0,MATCH(S$2,Inputs!$D$2:$AG$2,0))))=0,"",SUMIFS(INDEX(Inputs!$D$4:$AG$150,0,MATCH(S$2,Inputs!$D$2:$AG$2,0)),Inputs!$B$4:$B$150,$B55)/1000)</f>
        <v>2993</v>
      </c>
      <c r="T55" s="11">
        <f>IF(SUMPRODUCT((Inputs!$B$4:$B$150=$B55)*ISNUMBER(INDEX(Inputs!$D$4:$AG$150,0,MATCH(T$2,Inputs!$D$2:$AG$2,0))))=0,"",SUMIFS(INDEX(Inputs!$D$4:$AG$150,0,MATCH(T$2,Inputs!$D$2:$AG$2,0)),Inputs!$B$4:$B$150,$B55)/1000)</f>
        <v>3102</v>
      </c>
      <c r="U55" s="11">
        <f>IF(SUMPRODUCT((Inputs!$B$4:$B$150=$B55)*ISNUMBER(INDEX(Inputs!$D$4:$AG$150,0,MATCH(U$2,Inputs!$D$2:$AG$2,0))))=0,"",SUMIFS(INDEX(Inputs!$D$4:$AG$150,0,MATCH(U$2,Inputs!$D$2:$AG$2,0)),Inputs!$B$4:$B$150,$B55)/1000)</f>
        <v>3175</v>
      </c>
      <c r="V55" s="11">
        <f>IF(SUMPRODUCT((Inputs!$B$4:$B$150=$B55)*ISNUMBER(INDEX(Inputs!$D$4:$AG$150,0,MATCH(V$2,Inputs!$D$2:$AG$2,0))))=0,"",SUMIFS(INDEX(Inputs!$D$4:$AG$150,0,MATCH(V$2,Inputs!$D$2:$AG$2,0)),Inputs!$B$4:$B$150,$B55)/1000)</f>
        <v>3412</v>
      </c>
      <c r="W55" s="12">
        <f>IF(COUNT(S55:V55)=4,SUM(S55:V55),"")</f>
        <v>12682</v>
      </c>
      <c r="X55" s="11">
        <f>IF(SUMPRODUCT((Inputs!$B$4:$B$150=$B55)*ISNUMBER(INDEX(Inputs!$D$4:$AG$150,0,MATCH(X$2,Inputs!$D$2:$AG$2,0))))=0,"",SUMIFS(INDEX(Inputs!$D$4:$AG$150,0,MATCH(X$2,Inputs!$D$2:$AG$2,0)),Inputs!$B$4:$B$150,$B55)/1000)</f>
        <v>3373</v>
      </c>
      <c r="Y55" s="11">
        <f>IF(SUMPRODUCT((Inputs!$B$4:$B$150=$B55)*ISNUMBER(INDEX(Inputs!$D$4:$AG$150,0,MATCH(Y$2,Inputs!$D$2:$AG$2,0))))=0,"",SUMIFS(INDEX(Inputs!$D$4:$AG$150,0,MATCH(Y$2,Inputs!$D$2:$AG$2,0)),Inputs!$B$4:$B$150,$B55)/1000)</f>
        <v>3433</v>
      </c>
      <c r="Z55" s="11">
        <f>IF(SUMPRODUCT((Inputs!$B$4:$B$150=$B55)*ISNUMBER(INDEX(Inputs!$D$4:$AG$150,0,MATCH(Z$2,Inputs!$D$2:$AG$2,0))))=0,"",SUMIFS(INDEX(Inputs!$D$4:$AG$150,0,MATCH(Z$2,Inputs!$D$2:$AG$2,0)),Inputs!$B$4:$B$150,$B55)/1000)</f>
        <v>3624</v>
      </c>
      <c r="AA55" s="11">
        <f>IF(SUMPRODUCT((Inputs!$B$4:$B$150=$B55)*ISNUMBER(INDEX(Inputs!$D$4:$AG$150,0,MATCH(AA$2,Inputs!$D$2:$AG$2,0))))=0,"",SUMIFS(INDEX(Inputs!$D$4:$AG$150,0,MATCH(AA$2,Inputs!$D$2:$AG$2,0)),Inputs!$B$4:$B$150,$B55)/1000)</f>
        <v>4020</v>
      </c>
      <c r="AB55" s="12">
        <f>IF(COUNT(X55:AA55)=4,SUM(X55:AA55),"")</f>
        <v>14450</v>
      </c>
      <c r="AC55" s="11">
        <f>IF(SUMPRODUCT((Inputs!$B$4:$B$150=$B55)*ISNUMBER(INDEX(Inputs!$D$4:$AG$150,0,MATCH(AC$2,Inputs!$D$2:$AG$2,0))))=0,"",SUMIFS(INDEX(Inputs!$D$4:$AG$150,0,MATCH(AC$2,Inputs!$D$2:$AG$2,0)),Inputs!$B$4:$B$150,$B55)/1000)</f>
        <v>3649</v>
      </c>
      <c r="AD55" s="11">
        <f>IF(SUMPRODUCT((Inputs!$B$4:$B$150=$B55)*ISNUMBER(INDEX(Inputs!$D$4:$AG$150,0,MATCH(AD$2,Inputs!$D$2:$AG$2,0))))=0,"",SUMIFS(INDEX(Inputs!$D$4:$AG$150,0,MATCH(AD$2,Inputs!$D$2:$AG$2,0)),Inputs!$B$4:$B$150,$B55)/1000)</f>
        <v>4101</v>
      </c>
      <c r="AE55" s="11" t="str">
        <f>IF(SUMPRODUCT((Inputs!$B$4:$B$150=$B55)*ISNUMBER(INDEX(Inputs!$D$4:$AG$150,0,MATCH(AE$2,Inputs!$D$2:$AG$2,0))))=0,"",SUMIFS(INDEX(Inputs!$D$4:$AG$150,0,MATCH(AE$2,Inputs!$D$2:$AG$2,0)),Inputs!$B$4:$B$150,$B55)/1000)</f>
        <v/>
      </c>
      <c r="AF55" s="11" t="str">
        <f>IF(SUMPRODUCT((Inputs!$B$4:$B$150=$B55)*ISNUMBER(INDEX(Inputs!$D$4:$AG$150,0,MATCH(AF$2,Inputs!$D$2:$AG$2,0))))=0,"",SUMIFS(INDEX(Inputs!$D$4:$AG$150,0,MATCH(AF$2,Inputs!$D$2:$AG$2,0)),Inputs!$B$4:$B$150,$B55)/1000)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Missiles and Fire Control - lucro do segmento (USD)</t>
        </is>
      </c>
      <c r="D56" s="11">
        <f>IF(SUMPRODUCT((Inputs!$B$4:$B$150=$B56)*ISNUMBER(INDEX(Inputs!$D$4:$AG$150,0,MATCH(D$2,Inputs!$D$2:$AG$2,0))))=0,"",SUMIFS(INDEX(Inputs!$D$4:$AG$150,0,MATCH(D$2,Inputs!$D$2:$AG$2,0)),Inputs!$B$4:$B$150,$B56)/1000)</f>
        <v>396</v>
      </c>
      <c r="E56" s="11">
        <f>IF(SUMPRODUCT((Inputs!$B$4:$B$150=$B56)*ISNUMBER(INDEX(Inputs!$D$4:$AG$150,0,MATCH(E$2,Inputs!$D$2:$AG$2,0))))=0,"",SUMIFS(INDEX(Inputs!$D$4:$AG$150,0,MATCH(E$2,Inputs!$D$2:$AG$2,0)),Inputs!$B$4:$B$150,$B56)/1000)</f>
        <v>401</v>
      </c>
      <c r="F56" s="11">
        <f>IF(SUMPRODUCT((Inputs!$B$4:$B$150=$B56)*ISNUMBER(INDEX(Inputs!$D$4:$AG$150,0,MATCH(F$2,Inputs!$D$2:$AG$2,0))))=0,"",SUMIFS(INDEX(Inputs!$D$4:$AG$150,0,MATCH(F$2,Inputs!$D$2:$AG$2,0)),Inputs!$B$4:$B$150,$B56)/1000)</f>
        <v>413</v>
      </c>
      <c r="G56" s="11">
        <f>IF(SUMPRODUCT((Inputs!$B$4:$B$150=$B56)*ISNUMBER(INDEX(Inputs!$D$4:$AG$150,0,MATCH(G$2,Inputs!$D$2:$AG$2,0))))=0,"",SUMIFS(INDEX(Inputs!$D$4:$AG$150,0,MATCH(G$2,Inputs!$D$2:$AG$2,0)),Inputs!$B$4:$B$150,$B56)/1000)</f>
        <v>438</v>
      </c>
      <c r="H56" s="12">
        <f>IF(COUNT(D56:G56)=4,SUM(D56:G56),"")</f>
        <v>1648</v>
      </c>
      <c r="I56" s="11">
        <f>IF(SUMPRODUCT((Inputs!$B$4:$B$150=$B56)*ISNUMBER(INDEX(Inputs!$D$4:$AG$150,0,MATCH(I$2,Inputs!$D$2:$AG$2,0))))=0,"",SUMIFS(INDEX(Inputs!$D$4:$AG$150,0,MATCH(I$2,Inputs!$D$2:$AG$2,0)),Inputs!$B$4:$B$150,$B56)/1000)</f>
        <v>385</v>
      </c>
      <c r="J56" s="11">
        <f>IF(SUMPRODUCT((Inputs!$B$4:$B$150=$B56)*ISNUMBER(INDEX(Inputs!$D$4:$AG$150,0,MATCH(J$2,Inputs!$D$2:$AG$2,0))))=0,"",SUMIFS(INDEX(Inputs!$D$4:$AG$150,0,MATCH(J$2,Inputs!$D$2:$AG$2,0)),Inputs!$B$4:$B$150,$B56)/1000)</f>
        <v>418</v>
      </c>
      <c r="K56" s="11">
        <f>IF(SUMPRODUCT((Inputs!$B$4:$B$150=$B56)*ISNUMBER(INDEX(Inputs!$D$4:$AG$150,0,MATCH(K$2,Inputs!$D$2:$AG$2,0))))=0,"",SUMIFS(INDEX(Inputs!$D$4:$AG$150,0,MATCH(K$2,Inputs!$D$2:$AG$2,0)),Inputs!$B$4:$B$150,$B56)/1000)</f>
        <v>383</v>
      </c>
      <c r="L56" s="11">
        <f>IF(SUMPRODUCT((Inputs!$B$4:$B$150=$B56)*ISNUMBER(INDEX(Inputs!$D$4:$AG$150,0,MATCH(L$2,Inputs!$D$2:$AG$2,0))))=0,"",SUMIFS(INDEX(Inputs!$D$4:$AG$150,0,MATCH(L$2,Inputs!$D$2:$AG$2,0)),Inputs!$B$4:$B$150,$B56)/1000)</f>
        <v>451</v>
      </c>
      <c r="M56" s="12">
        <f>IF(COUNT(I56:L56)=4,SUM(I56:L56),"")</f>
        <v>1637</v>
      </c>
      <c r="N56" s="11">
        <f>IF(SUMPRODUCT((Inputs!$B$4:$B$150=$B56)*ISNUMBER(INDEX(Inputs!$D$4:$AG$150,0,MATCH(N$2,Inputs!$D$2:$AG$2,0))))=0,"",SUMIFS(INDEX(Inputs!$D$4:$AG$150,0,MATCH(N$2,Inputs!$D$2:$AG$2,0)),Inputs!$B$4:$B$150,$B56)/1000)</f>
        <v>377</v>
      </c>
      <c r="O56" s="11">
        <f>IF(SUMPRODUCT((Inputs!$B$4:$B$150=$B56)*ISNUMBER(INDEX(Inputs!$D$4:$AG$150,0,MATCH(O$2,Inputs!$D$2:$AG$2,0))))=0,"",SUMIFS(INDEX(Inputs!$D$4:$AG$150,0,MATCH(O$2,Inputs!$D$2:$AG$2,0)),Inputs!$B$4:$B$150,$B56)/1000)</f>
        <v>371</v>
      </c>
      <c r="P56" s="11">
        <f>IF(SUMPRODUCT((Inputs!$B$4:$B$150=$B56)*ISNUMBER(INDEX(Inputs!$D$4:$AG$150,0,MATCH(P$2,Inputs!$D$2:$AG$2,0))))=0,"",SUMIFS(INDEX(Inputs!$D$4:$AG$150,0,MATCH(P$2,Inputs!$D$2:$AG$2,0)),Inputs!$B$4:$B$150,$B56)/1000)</f>
        <v>398</v>
      </c>
      <c r="Q56" s="11">
        <f>IF(SUMPRODUCT((Inputs!$B$4:$B$150=$B56)*ISNUMBER(INDEX(Inputs!$D$4:$AG$150,0,MATCH(Q$2,Inputs!$D$2:$AG$2,0))))=0,"",SUMIFS(INDEX(Inputs!$D$4:$AG$150,0,MATCH(Q$2,Inputs!$D$2:$AG$2,0)),Inputs!$B$4:$B$150,$B56)/1000)</f>
        <v>395</v>
      </c>
      <c r="R56" s="12">
        <f>IF(COUNT(N56:Q56)=4,SUM(N56:Q56),"")</f>
        <v>1541</v>
      </c>
      <c r="S56" s="11">
        <f>IF(SUMPRODUCT((Inputs!$B$4:$B$150=$B56)*ISNUMBER(INDEX(Inputs!$D$4:$AG$150,0,MATCH(S$2,Inputs!$D$2:$AG$2,0))))=0,"",SUMIFS(INDEX(Inputs!$D$4:$AG$150,0,MATCH(S$2,Inputs!$D$2:$AG$2,0)),Inputs!$B$4:$B$150,$B56)/1000)</f>
        <v>311</v>
      </c>
      <c r="T56" s="11">
        <f>IF(SUMPRODUCT((Inputs!$B$4:$B$150=$B56)*ISNUMBER(INDEX(Inputs!$D$4:$AG$150,0,MATCH(T$2,Inputs!$D$2:$AG$2,0))))=0,"",SUMIFS(INDEX(Inputs!$D$4:$AG$150,0,MATCH(T$2,Inputs!$D$2:$AG$2,0)),Inputs!$B$4:$B$150,$B56)/1000)</f>
        <v>450</v>
      </c>
      <c r="U56" s="11">
        <f>IF(SUMPRODUCT((Inputs!$B$4:$B$150=$B56)*ISNUMBER(INDEX(Inputs!$D$4:$AG$150,0,MATCH(U$2,Inputs!$D$2:$AG$2,0))))=0,"",SUMIFS(INDEX(Inputs!$D$4:$AG$150,0,MATCH(U$2,Inputs!$D$2:$AG$2,0)),Inputs!$B$4:$B$150,$B56)/1000)</f>
        <v>456</v>
      </c>
      <c r="V56" s="11">
        <f>IF(SUMPRODUCT((Inputs!$B$4:$B$150=$B56)*ISNUMBER(INDEX(Inputs!$D$4:$AG$150,0,MATCH(V$2,Inputs!$D$2:$AG$2,0))))=0,"",SUMIFS(INDEX(Inputs!$D$4:$AG$150,0,MATCH(V$2,Inputs!$D$2:$AG$2,0)),Inputs!$B$4:$B$150,$B56)/1000)</f>
        <v>-804</v>
      </c>
      <c r="W56" s="12">
        <f>IF(COUNT(S56:V56)=4,SUM(S56:V56),"")</f>
        <v>413</v>
      </c>
      <c r="X56" s="11">
        <f>IF(SUMPRODUCT((Inputs!$B$4:$B$150=$B56)*ISNUMBER(INDEX(Inputs!$D$4:$AG$150,0,MATCH(X$2,Inputs!$D$2:$AG$2,0))))=0,"",SUMIFS(INDEX(Inputs!$D$4:$AG$150,0,MATCH(X$2,Inputs!$D$2:$AG$2,0)),Inputs!$B$4:$B$150,$B56)/1000)</f>
        <v>465</v>
      </c>
      <c r="Y56" s="11">
        <f>IF(SUMPRODUCT((Inputs!$B$4:$B$150=$B56)*ISNUMBER(INDEX(Inputs!$D$4:$AG$150,0,MATCH(Y$2,Inputs!$D$2:$AG$2,0))))=0,"",SUMIFS(INDEX(Inputs!$D$4:$AG$150,0,MATCH(Y$2,Inputs!$D$2:$AG$2,0)),Inputs!$B$4:$B$150,$B56)/1000)</f>
        <v>479</v>
      </c>
      <c r="Z56" s="11">
        <f>IF(SUMPRODUCT((Inputs!$B$4:$B$150=$B56)*ISNUMBER(INDEX(Inputs!$D$4:$AG$150,0,MATCH(Z$2,Inputs!$D$2:$AG$2,0))))=0,"",SUMIFS(INDEX(Inputs!$D$4:$AG$150,0,MATCH(Z$2,Inputs!$D$2:$AG$2,0)),Inputs!$B$4:$B$150,$B56)/1000)</f>
        <v>510</v>
      </c>
      <c r="AA56" s="11">
        <f>IF(SUMPRODUCT((Inputs!$B$4:$B$150=$B56)*ISNUMBER(INDEX(Inputs!$D$4:$AG$150,0,MATCH(AA$2,Inputs!$D$2:$AG$2,0))))=0,"",SUMIFS(INDEX(Inputs!$D$4:$AG$150,0,MATCH(AA$2,Inputs!$D$2:$AG$2,0)),Inputs!$B$4:$B$150,$B56)/1000)</f>
        <v>535</v>
      </c>
      <c r="AB56" s="12">
        <f>IF(COUNT(X56:AA56)=4,SUM(X56:AA56),"")</f>
        <v>1989</v>
      </c>
      <c r="AC56" s="11">
        <f>IF(SUMPRODUCT((Inputs!$B$4:$B$150=$B56)*ISNUMBER(INDEX(Inputs!$D$4:$AG$150,0,MATCH(AC$2,Inputs!$D$2:$AG$2,0))))=0,"",SUMIFS(INDEX(Inputs!$D$4:$AG$150,0,MATCH(AC$2,Inputs!$D$2:$AG$2,0)),Inputs!$B$4:$B$150,$B56)/1000)</f>
        <v>500</v>
      </c>
      <c r="AD56" s="11">
        <f>IF(SUMPRODUCT((Inputs!$B$4:$B$150=$B56)*ISNUMBER(INDEX(Inputs!$D$4:$AG$150,0,MATCH(AD$2,Inputs!$D$2:$AG$2,0))))=0,"",SUMIFS(INDEX(Inputs!$D$4:$AG$150,0,MATCH(AD$2,Inputs!$D$2:$AG$2,0)),Inputs!$B$4:$B$150,$B56)/1000)</f>
        <v>594</v>
      </c>
      <c r="AE56" s="11" t="str">
        <f>IF(SUMPRODUCT((Inputs!$B$4:$B$150=$B56)*ISNUMBER(INDEX(Inputs!$D$4:$AG$150,0,MATCH(AE$2,Inputs!$D$2:$AG$2,0))))=0,"",SUMIFS(INDEX(Inputs!$D$4:$AG$150,0,MATCH(AE$2,Inputs!$D$2:$AG$2,0)),Inputs!$B$4:$B$150,$B56)/1000)</f>
        <v/>
      </c>
      <c r="AF56" s="11" t="str">
        <f>IF(SUMPRODUCT((Inputs!$B$4:$B$150=$B56)*ISNUMBER(INDEX(Inputs!$D$4:$AG$150,0,MATCH(AF$2,Inputs!$D$2:$AG$2,0))))=0,"",SUMIFS(INDEX(Inputs!$D$4:$AG$150,0,MATCH(AF$2,Inputs!$D$2:$AG$2,0)),Inputs!$B$4:$B$150,$B56)/1000)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Rotary and Mission Systems - receita (USD)</t>
        </is>
      </c>
      <c r="D57" s="11">
        <f>IF(SUMPRODUCT((Inputs!$B$4:$B$150=$B57)*ISNUMBER(INDEX(Inputs!$D$4:$AG$150,0,MATCH(D$2,Inputs!$D$2:$AG$2,0))))=0,"",SUMIFS(INDEX(Inputs!$D$4:$AG$150,0,MATCH(D$2,Inputs!$D$2:$AG$2,0)),Inputs!$B$4:$B$150,$B57)/1000)</f>
        <v>4107</v>
      </c>
      <c r="E57" s="11">
        <f>IF(SUMPRODUCT((Inputs!$B$4:$B$150=$B57)*ISNUMBER(INDEX(Inputs!$D$4:$AG$150,0,MATCH(E$2,Inputs!$D$2:$AG$2,0))))=0,"",SUMIFS(INDEX(Inputs!$D$4:$AG$150,0,MATCH(E$2,Inputs!$D$2:$AG$2,0)),Inputs!$B$4:$B$150,$B57)/1000)</f>
        <v>4242</v>
      </c>
      <c r="F57" s="11">
        <f>IF(SUMPRODUCT((Inputs!$B$4:$B$150=$B57)*ISNUMBER(INDEX(Inputs!$D$4:$AG$150,0,MATCH(F$2,Inputs!$D$2:$AG$2,0))))=0,"",SUMIFS(INDEX(Inputs!$D$4:$AG$150,0,MATCH(F$2,Inputs!$D$2:$AG$2,0)),Inputs!$B$4:$B$150,$B57)/1000)</f>
        <v>3980</v>
      </c>
      <c r="G57" s="11">
        <f>IF(SUMPRODUCT((Inputs!$B$4:$B$150=$B57)*ISNUMBER(INDEX(Inputs!$D$4:$AG$150,0,MATCH(G$2,Inputs!$D$2:$AG$2,0))))=0,"",SUMIFS(INDEX(Inputs!$D$4:$AG$150,0,MATCH(G$2,Inputs!$D$2:$AG$2,0)),Inputs!$B$4:$B$150,$B57)/1000)</f>
        <v>4460</v>
      </c>
      <c r="H57" s="12">
        <f>IF(COUNT(D57:G57)=4,SUM(D57:G57),"")</f>
        <v>16789</v>
      </c>
      <c r="I57" s="11">
        <f>IF(SUMPRODUCT((Inputs!$B$4:$B$150=$B57)*ISNUMBER(INDEX(Inputs!$D$4:$AG$150,0,MATCH(I$2,Inputs!$D$2:$AG$2,0))))=0,"",SUMIFS(INDEX(Inputs!$D$4:$AG$150,0,MATCH(I$2,Inputs!$D$2:$AG$2,0)),Inputs!$B$4:$B$150,$B57)/1000)</f>
        <v>3552</v>
      </c>
      <c r="J57" s="11">
        <f>IF(SUMPRODUCT((Inputs!$B$4:$B$150=$B57)*ISNUMBER(INDEX(Inputs!$D$4:$AG$150,0,MATCH(J$2,Inputs!$D$2:$AG$2,0))))=0,"",SUMIFS(INDEX(Inputs!$D$4:$AG$150,0,MATCH(J$2,Inputs!$D$2:$AG$2,0)),Inputs!$B$4:$B$150,$B57)/1000)</f>
        <v>4012</v>
      </c>
      <c r="K57" s="11">
        <f>IF(SUMPRODUCT((Inputs!$B$4:$B$150=$B57)*ISNUMBER(INDEX(Inputs!$D$4:$AG$150,0,MATCH(K$2,Inputs!$D$2:$AG$2,0))))=0,"",SUMIFS(INDEX(Inputs!$D$4:$AG$150,0,MATCH(K$2,Inputs!$D$2:$AG$2,0)),Inputs!$B$4:$B$150,$B57)/1000)</f>
        <v>3781</v>
      </c>
      <c r="L57" s="11">
        <f>IF(SUMPRODUCT((Inputs!$B$4:$B$150=$B57)*ISNUMBER(INDEX(Inputs!$D$4:$AG$150,0,MATCH(L$2,Inputs!$D$2:$AG$2,0))))=0,"",SUMIFS(INDEX(Inputs!$D$4:$AG$150,0,MATCH(L$2,Inputs!$D$2:$AG$2,0)),Inputs!$B$4:$B$150,$B57)/1000)</f>
        <v>4803</v>
      </c>
      <c r="M57" s="12">
        <f>IF(COUNT(I57:L57)=4,SUM(I57:L57),"")</f>
        <v>16148</v>
      </c>
      <c r="N57" s="11">
        <f>IF(SUMPRODUCT((Inputs!$B$4:$B$150=$B57)*ISNUMBER(INDEX(Inputs!$D$4:$AG$150,0,MATCH(N$2,Inputs!$D$2:$AG$2,0))))=0,"",SUMIFS(INDEX(Inputs!$D$4:$AG$150,0,MATCH(N$2,Inputs!$D$2:$AG$2,0)),Inputs!$B$4:$B$150,$B57)/1000)</f>
        <v>3510</v>
      </c>
      <c r="O57" s="11">
        <f>IF(SUMPRODUCT((Inputs!$B$4:$B$150=$B57)*ISNUMBER(INDEX(Inputs!$D$4:$AG$150,0,MATCH(O$2,Inputs!$D$2:$AG$2,0))))=0,"",SUMIFS(INDEX(Inputs!$D$4:$AG$150,0,MATCH(O$2,Inputs!$D$2:$AG$2,0)),Inputs!$B$4:$B$150,$B57)/1000)</f>
        <v>3897</v>
      </c>
      <c r="P57" s="11">
        <f>IF(SUMPRODUCT((Inputs!$B$4:$B$150=$B57)*ISNUMBER(INDEX(Inputs!$D$4:$AG$150,0,MATCH(P$2,Inputs!$D$2:$AG$2,0))))=0,"",SUMIFS(INDEX(Inputs!$D$4:$AG$150,0,MATCH(P$2,Inputs!$D$2:$AG$2,0)),Inputs!$B$4:$B$150,$B57)/1000)</f>
        <v>4121</v>
      </c>
      <c r="Q57" s="11">
        <f>IF(SUMPRODUCT((Inputs!$B$4:$B$150=$B57)*ISNUMBER(INDEX(Inputs!$D$4:$AG$150,0,MATCH(Q$2,Inputs!$D$2:$AG$2,0))))=0,"",SUMIFS(INDEX(Inputs!$D$4:$AG$150,0,MATCH(Q$2,Inputs!$D$2:$AG$2,0)),Inputs!$B$4:$B$150,$B57)/1000)</f>
        <v>4711</v>
      </c>
      <c r="R57" s="12">
        <f>IF(COUNT(N57:Q57)=4,SUM(N57:Q57),"")</f>
        <v>16239</v>
      </c>
      <c r="S57" s="11">
        <f>IF(SUMPRODUCT((Inputs!$B$4:$B$150=$B57)*ISNUMBER(INDEX(Inputs!$D$4:$AG$150,0,MATCH(S$2,Inputs!$D$2:$AG$2,0))))=0,"",SUMIFS(INDEX(Inputs!$D$4:$AG$150,0,MATCH(S$2,Inputs!$D$2:$AG$2,0)),Inputs!$B$4:$B$150,$B57)/1000)</f>
        <v>4088</v>
      </c>
      <c r="T57" s="11">
        <f>IF(SUMPRODUCT((Inputs!$B$4:$B$150=$B57)*ISNUMBER(INDEX(Inputs!$D$4:$AG$150,0,MATCH(T$2,Inputs!$D$2:$AG$2,0))))=0,"",SUMIFS(INDEX(Inputs!$D$4:$AG$150,0,MATCH(T$2,Inputs!$D$2:$AG$2,0)),Inputs!$B$4:$B$150,$B57)/1000)</f>
        <v>4548</v>
      </c>
      <c r="U57" s="11">
        <f>IF(SUMPRODUCT((Inputs!$B$4:$B$150=$B57)*ISNUMBER(INDEX(Inputs!$D$4:$AG$150,0,MATCH(U$2,Inputs!$D$2:$AG$2,0))))=0,"",SUMIFS(INDEX(Inputs!$D$4:$AG$150,0,MATCH(U$2,Inputs!$D$2:$AG$2,0)),Inputs!$B$4:$B$150,$B57)/1000)</f>
        <v>4367</v>
      </c>
      <c r="V57" s="11">
        <f>IF(SUMPRODUCT((Inputs!$B$4:$B$150=$B57)*ISNUMBER(INDEX(Inputs!$D$4:$AG$150,0,MATCH(V$2,Inputs!$D$2:$AG$2,0))))=0,"",SUMIFS(INDEX(Inputs!$D$4:$AG$150,0,MATCH(V$2,Inputs!$D$2:$AG$2,0)),Inputs!$B$4:$B$150,$B57)/1000)</f>
        <v>4261</v>
      </c>
      <c r="W57" s="12">
        <f>IF(COUNT(S57:V57)=4,SUM(S57:V57),"")</f>
        <v>17264</v>
      </c>
      <c r="X57" s="11">
        <f>IF(SUMPRODUCT((Inputs!$B$4:$B$150=$B57)*ISNUMBER(INDEX(Inputs!$D$4:$AG$150,0,MATCH(X$2,Inputs!$D$2:$AG$2,0))))=0,"",SUMIFS(INDEX(Inputs!$D$4:$AG$150,0,MATCH(X$2,Inputs!$D$2:$AG$2,0)),Inputs!$B$4:$B$150,$B57)/1000)</f>
        <v>4328</v>
      </c>
      <c r="Y57" s="11">
        <f>IF(SUMPRODUCT((Inputs!$B$4:$B$150=$B57)*ISNUMBER(INDEX(Inputs!$D$4:$AG$150,0,MATCH(Y$2,Inputs!$D$2:$AG$2,0))))=0,"",SUMIFS(INDEX(Inputs!$D$4:$AG$150,0,MATCH(Y$2,Inputs!$D$2:$AG$2,0)),Inputs!$B$4:$B$150,$B57)/1000)</f>
        <v>3995</v>
      </c>
      <c r="Z57" s="11">
        <f>IF(SUMPRODUCT((Inputs!$B$4:$B$150=$B57)*ISNUMBER(INDEX(Inputs!$D$4:$AG$150,0,MATCH(Z$2,Inputs!$D$2:$AG$2,0))))=0,"",SUMIFS(INDEX(Inputs!$D$4:$AG$150,0,MATCH(Z$2,Inputs!$D$2:$AG$2,0)),Inputs!$B$4:$B$150,$B57)/1000)</f>
        <v>4373</v>
      </c>
      <c r="AA57" s="11">
        <f>IF(SUMPRODUCT((Inputs!$B$4:$B$150=$B57)*ISNUMBER(INDEX(Inputs!$D$4:$AG$150,0,MATCH(AA$2,Inputs!$D$2:$AG$2,0))))=0,"",SUMIFS(INDEX(Inputs!$D$4:$AG$150,0,MATCH(AA$2,Inputs!$D$2:$AG$2,0)),Inputs!$B$4:$B$150,$B57)/1000)</f>
        <v>4616</v>
      </c>
      <c r="AB57" s="12">
        <f>IF(COUNT(X57:AA57)=4,SUM(X57:AA57),"")</f>
        <v>17312</v>
      </c>
      <c r="AC57" s="11">
        <f>IF(SUMPRODUCT((Inputs!$B$4:$B$150=$B57)*ISNUMBER(INDEX(Inputs!$D$4:$AG$150,0,MATCH(AC$2,Inputs!$D$2:$AG$2,0))))=0,"",SUMIFS(INDEX(Inputs!$D$4:$AG$150,0,MATCH(AC$2,Inputs!$D$2:$AG$2,0)),Inputs!$B$4:$B$150,$B57)/1000)</f>
        <v>3991</v>
      </c>
      <c r="AD57" s="11">
        <f>IF(SUMPRODUCT((Inputs!$B$4:$B$150=$B57)*ISNUMBER(INDEX(Inputs!$D$4:$AG$150,0,MATCH(AD$2,Inputs!$D$2:$AG$2,0))))=0,"",SUMIFS(INDEX(Inputs!$D$4:$AG$150,0,MATCH(AD$2,Inputs!$D$2:$AG$2,0)),Inputs!$B$4:$B$150,$B57)/1000)</f>
        <v>4354</v>
      </c>
      <c r="AE57" s="11" t="str">
        <f>IF(SUMPRODUCT((Inputs!$B$4:$B$150=$B57)*ISNUMBER(INDEX(Inputs!$D$4:$AG$150,0,MATCH(AE$2,Inputs!$D$2:$AG$2,0))))=0,"",SUMIFS(INDEX(Inputs!$D$4:$AG$150,0,MATCH(AE$2,Inputs!$D$2:$AG$2,0)),Inputs!$B$4:$B$150,$B57)/1000)</f>
        <v/>
      </c>
      <c r="AF57" s="11" t="str">
        <f>IF(SUMPRODUCT((Inputs!$B$4:$B$150=$B57)*ISNUMBER(INDEX(Inputs!$D$4:$AG$150,0,MATCH(AF$2,Inputs!$D$2:$AG$2,0))))=0,"",SUMIFS(INDEX(Inputs!$D$4:$AG$150,0,MATCH(AF$2,Inputs!$D$2:$AG$2,0)),Inputs!$B$4:$B$150,$B57)/1000)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Rotary and Mission Systems - lucro do segmento (USD)</t>
        </is>
      </c>
      <c r="D58" s="11">
        <f>IF(SUMPRODUCT((Inputs!$B$4:$B$150=$B58)*ISNUMBER(INDEX(Inputs!$D$4:$AG$150,0,MATCH(D$2,Inputs!$D$2:$AG$2,0))))=0,"",SUMIFS(INDEX(Inputs!$D$4:$AG$150,0,MATCH(D$2,Inputs!$D$2:$AG$2,0)),Inputs!$B$4:$B$150,$B58)/1000)</f>
        <v>433</v>
      </c>
      <c r="E58" s="11">
        <f>IF(SUMPRODUCT((Inputs!$B$4:$B$150=$B58)*ISNUMBER(INDEX(Inputs!$D$4:$AG$150,0,MATCH(E$2,Inputs!$D$2:$AG$2,0))))=0,"",SUMIFS(INDEX(Inputs!$D$4:$AG$150,0,MATCH(E$2,Inputs!$D$2:$AG$2,0)),Inputs!$B$4:$B$150,$B58)/1000)</f>
        <v>458</v>
      </c>
      <c r="F58" s="11">
        <f>IF(SUMPRODUCT((Inputs!$B$4:$B$150=$B58)*ISNUMBER(INDEX(Inputs!$D$4:$AG$150,0,MATCH(F$2,Inputs!$D$2:$AG$2,0))))=0,"",SUMIFS(INDEX(Inputs!$D$4:$AG$150,0,MATCH(F$2,Inputs!$D$2:$AG$2,0)),Inputs!$B$4:$B$150,$B58)/1000)</f>
        <v>459</v>
      </c>
      <c r="G58" s="11">
        <f>IF(SUMPRODUCT((Inputs!$B$4:$B$150=$B58)*ISNUMBER(INDEX(Inputs!$D$4:$AG$150,0,MATCH(G$2,Inputs!$D$2:$AG$2,0))))=0,"",SUMIFS(INDEX(Inputs!$D$4:$AG$150,0,MATCH(G$2,Inputs!$D$2:$AG$2,0)),Inputs!$B$4:$B$150,$B58)/1000)</f>
        <v>448</v>
      </c>
      <c r="H58" s="12">
        <f>IF(COUNT(D58:G58)=4,SUM(D58:G58),"")</f>
        <v>1798</v>
      </c>
      <c r="I58" s="11">
        <f>IF(SUMPRODUCT((Inputs!$B$4:$B$150=$B58)*ISNUMBER(INDEX(Inputs!$D$4:$AG$150,0,MATCH(I$2,Inputs!$D$2:$AG$2,0))))=0,"",SUMIFS(INDEX(Inputs!$D$4:$AG$150,0,MATCH(I$2,Inputs!$D$2:$AG$2,0)),Inputs!$B$4:$B$150,$B58)/1000)</f>
        <v>406</v>
      </c>
      <c r="J58" s="11">
        <f>IF(SUMPRODUCT((Inputs!$B$4:$B$150=$B58)*ISNUMBER(INDEX(Inputs!$D$4:$AG$150,0,MATCH(J$2,Inputs!$D$2:$AG$2,0))))=0,"",SUMIFS(INDEX(Inputs!$D$4:$AG$150,0,MATCH(J$2,Inputs!$D$2:$AG$2,0)),Inputs!$B$4:$B$150,$B58)/1000)</f>
        <v>461</v>
      </c>
      <c r="K58" s="11">
        <f>IF(SUMPRODUCT((Inputs!$B$4:$B$150=$B58)*ISNUMBER(INDEX(Inputs!$D$4:$AG$150,0,MATCH(K$2,Inputs!$D$2:$AG$2,0))))=0,"",SUMIFS(INDEX(Inputs!$D$4:$AG$150,0,MATCH(K$2,Inputs!$D$2:$AG$2,0)),Inputs!$B$4:$B$150,$B58)/1000)</f>
        <v>472</v>
      </c>
      <c r="L58" s="11">
        <f>IF(SUMPRODUCT((Inputs!$B$4:$B$150=$B58)*ISNUMBER(INDEX(Inputs!$D$4:$AG$150,0,MATCH(L$2,Inputs!$D$2:$AG$2,0))))=0,"",SUMIFS(INDEX(Inputs!$D$4:$AG$150,0,MATCH(L$2,Inputs!$D$2:$AG$2,0)),Inputs!$B$4:$B$150,$B58)/1000)</f>
        <v>508</v>
      </c>
      <c r="M58" s="12">
        <f>IF(COUNT(I58:L58)=4,SUM(I58:L58),"")</f>
        <v>1847</v>
      </c>
      <c r="N58" s="11">
        <f>IF(SUMPRODUCT((Inputs!$B$4:$B$150=$B58)*ISNUMBER(INDEX(Inputs!$D$4:$AG$150,0,MATCH(N$2,Inputs!$D$2:$AG$2,0))))=0,"",SUMIFS(INDEX(Inputs!$D$4:$AG$150,0,MATCH(N$2,Inputs!$D$2:$AG$2,0)),Inputs!$B$4:$B$150,$B58)/1000)</f>
        <v>350</v>
      </c>
      <c r="O58" s="11">
        <f>IF(SUMPRODUCT((Inputs!$B$4:$B$150=$B58)*ISNUMBER(INDEX(Inputs!$D$4:$AG$150,0,MATCH(O$2,Inputs!$D$2:$AG$2,0))))=0,"",SUMIFS(INDEX(Inputs!$D$4:$AG$150,0,MATCH(O$2,Inputs!$D$2:$AG$2,0)),Inputs!$B$4:$B$150,$B58)/1000)</f>
        <v>454</v>
      </c>
      <c r="P58" s="11">
        <f>IF(SUMPRODUCT((Inputs!$B$4:$B$150=$B58)*ISNUMBER(INDEX(Inputs!$D$4:$AG$150,0,MATCH(P$2,Inputs!$D$2:$AG$2,0))))=0,"",SUMIFS(INDEX(Inputs!$D$4:$AG$150,0,MATCH(P$2,Inputs!$D$2:$AG$2,0)),Inputs!$B$4:$B$150,$B58)/1000)</f>
        <v>482</v>
      </c>
      <c r="Q58" s="11">
        <f>IF(SUMPRODUCT((Inputs!$B$4:$B$150=$B58)*ISNUMBER(INDEX(Inputs!$D$4:$AG$150,0,MATCH(Q$2,Inputs!$D$2:$AG$2,0))))=0,"",SUMIFS(INDEX(Inputs!$D$4:$AG$150,0,MATCH(Q$2,Inputs!$D$2:$AG$2,0)),Inputs!$B$4:$B$150,$B58)/1000)</f>
        <v>579</v>
      </c>
      <c r="R58" s="12">
        <f>IF(COUNT(N58:Q58)=4,SUM(N58:Q58),"")</f>
        <v>1865</v>
      </c>
      <c r="S58" s="11">
        <f>IF(SUMPRODUCT((Inputs!$B$4:$B$150=$B58)*ISNUMBER(INDEX(Inputs!$D$4:$AG$150,0,MATCH(S$2,Inputs!$D$2:$AG$2,0))))=0,"",SUMIFS(INDEX(Inputs!$D$4:$AG$150,0,MATCH(S$2,Inputs!$D$2:$AG$2,0)),Inputs!$B$4:$B$150,$B58)/1000)</f>
        <v>430</v>
      </c>
      <c r="T58" s="11">
        <f>IF(SUMPRODUCT((Inputs!$B$4:$B$150=$B58)*ISNUMBER(INDEX(Inputs!$D$4:$AG$150,0,MATCH(T$2,Inputs!$D$2:$AG$2,0))))=0,"",SUMIFS(INDEX(Inputs!$D$4:$AG$150,0,MATCH(T$2,Inputs!$D$2:$AG$2,0)),Inputs!$B$4:$B$150,$B58)/1000)</f>
        <v>495</v>
      </c>
      <c r="U58" s="11">
        <f>IF(SUMPRODUCT((Inputs!$B$4:$B$150=$B58)*ISNUMBER(INDEX(Inputs!$D$4:$AG$150,0,MATCH(U$2,Inputs!$D$2:$AG$2,0))))=0,"",SUMIFS(INDEX(Inputs!$D$4:$AG$150,0,MATCH(U$2,Inputs!$D$2:$AG$2,0)),Inputs!$B$4:$B$150,$B58)/1000)</f>
        <v>483</v>
      </c>
      <c r="V58" s="11">
        <f>IF(SUMPRODUCT((Inputs!$B$4:$B$150=$B58)*ISNUMBER(INDEX(Inputs!$D$4:$AG$150,0,MATCH(V$2,Inputs!$D$2:$AG$2,0))))=0,"",SUMIFS(INDEX(Inputs!$D$4:$AG$150,0,MATCH(V$2,Inputs!$D$2:$AG$2,0)),Inputs!$B$4:$B$150,$B58)/1000)</f>
        <v>513</v>
      </c>
      <c r="W58" s="12">
        <f>IF(COUNT(S58:V58)=4,SUM(S58:V58),"")</f>
        <v>1921</v>
      </c>
      <c r="X58" s="11">
        <f>IF(SUMPRODUCT((Inputs!$B$4:$B$150=$B58)*ISNUMBER(INDEX(Inputs!$D$4:$AG$150,0,MATCH(X$2,Inputs!$D$2:$AG$2,0))))=0,"",SUMIFS(INDEX(Inputs!$D$4:$AG$150,0,MATCH(X$2,Inputs!$D$2:$AG$2,0)),Inputs!$B$4:$B$150,$B58)/1000)</f>
        <v>521</v>
      </c>
      <c r="Y58" s="11">
        <f>IF(SUMPRODUCT((Inputs!$B$4:$B$150=$B58)*ISNUMBER(INDEX(Inputs!$D$4:$AG$150,0,MATCH(Y$2,Inputs!$D$2:$AG$2,0))))=0,"",SUMIFS(INDEX(Inputs!$D$4:$AG$150,0,MATCH(Y$2,Inputs!$D$2:$AG$2,0)),Inputs!$B$4:$B$150,$B58)/1000)</f>
        <v>-172</v>
      </c>
      <c r="Z58" s="11">
        <f>IF(SUMPRODUCT((Inputs!$B$4:$B$150=$B58)*ISNUMBER(INDEX(Inputs!$D$4:$AG$150,0,MATCH(Z$2,Inputs!$D$2:$AG$2,0))))=0,"",SUMIFS(INDEX(Inputs!$D$4:$AG$150,0,MATCH(Z$2,Inputs!$D$2:$AG$2,0)),Inputs!$B$4:$B$150,$B58)/1000)</f>
        <v>506</v>
      </c>
      <c r="AA58" s="11">
        <f>IF(SUMPRODUCT((Inputs!$B$4:$B$150=$B58)*ISNUMBER(INDEX(Inputs!$D$4:$AG$150,0,MATCH(AA$2,Inputs!$D$2:$AG$2,0))))=0,"",SUMIFS(INDEX(Inputs!$D$4:$AG$150,0,MATCH(AA$2,Inputs!$D$2:$AG$2,0)),Inputs!$B$4:$B$150,$B58)/1000)</f>
        <v>468</v>
      </c>
      <c r="AB58" s="12">
        <f>IF(COUNT(X58:AA58)=4,SUM(X58:AA58),"")</f>
        <v>1323</v>
      </c>
      <c r="AC58" s="11">
        <f>IF(SUMPRODUCT((Inputs!$B$4:$B$150=$B58)*ISNUMBER(INDEX(Inputs!$D$4:$AG$150,0,MATCH(AC$2,Inputs!$D$2:$AG$2,0))))=0,"",SUMIFS(INDEX(Inputs!$D$4:$AG$150,0,MATCH(AC$2,Inputs!$D$2:$AG$2,0)),Inputs!$B$4:$B$150,$B58)/1000)</f>
        <v>423</v>
      </c>
      <c r="AD58" s="11">
        <f>IF(SUMPRODUCT((Inputs!$B$4:$B$150=$B58)*ISNUMBER(INDEX(Inputs!$D$4:$AG$150,0,MATCH(AD$2,Inputs!$D$2:$AG$2,0))))=0,"",SUMIFS(INDEX(Inputs!$D$4:$AG$150,0,MATCH(AD$2,Inputs!$D$2:$AG$2,0)),Inputs!$B$4:$B$150,$B58)/1000)</f>
        <v>437</v>
      </c>
      <c r="AE58" s="11" t="str">
        <f>IF(SUMPRODUCT((Inputs!$B$4:$B$150=$B58)*ISNUMBER(INDEX(Inputs!$D$4:$AG$150,0,MATCH(AE$2,Inputs!$D$2:$AG$2,0))))=0,"",SUMIFS(INDEX(Inputs!$D$4:$AG$150,0,MATCH(AE$2,Inputs!$D$2:$AG$2,0)),Inputs!$B$4:$B$150,$B58)/1000)</f>
        <v/>
      </c>
      <c r="AF58" s="11" t="str">
        <f>IF(SUMPRODUCT((Inputs!$B$4:$B$150=$B58)*ISNUMBER(INDEX(Inputs!$D$4:$AG$150,0,MATCH(AF$2,Inputs!$D$2:$AG$2,0))))=0,"",SUMIFS(INDEX(Inputs!$D$4:$AG$150,0,MATCH(AF$2,Inputs!$D$2:$AG$2,0)),Inputs!$B$4:$B$150,$B58)/1000)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Space - receita (USD)</t>
        </is>
      </c>
      <c r="D59" s="11">
        <f>IF(SUMPRODUCT((Inputs!$B$4:$B$150=$B59)*ISNUMBER(INDEX(Inputs!$D$4:$AG$150,0,MATCH(D$2,Inputs!$D$2:$AG$2,0))))=0,"",SUMIFS(INDEX(Inputs!$D$4:$AG$150,0,MATCH(D$2,Inputs!$D$2:$AG$2,0)),Inputs!$B$4:$B$150,$B59)/1000)</f>
        <v>3015</v>
      </c>
      <c r="E59" s="11">
        <f>IF(SUMPRODUCT((Inputs!$B$4:$B$150=$B59)*ISNUMBER(INDEX(Inputs!$D$4:$AG$150,0,MATCH(E$2,Inputs!$D$2:$AG$2,0))))=0,"",SUMIFS(INDEX(Inputs!$D$4:$AG$150,0,MATCH(E$2,Inputs!$D$2:$AG$2,0)),Inputs!$B$4:$B$150,$B59)/1000)</f>
        <v>3177</v>
      </c>
      <c r="F59" s="11">
        <f>IF(SUMPRODUCT((Inputs!$B$4:$B$150=$B59)*ISNUMBER(INDEX(Inputs!$D$4:$AG$150,0,MATCH(F$2,Inputs!$D$2:$AG$2,0))))=0,"",SUMIFS(INDEX(Inputs!$D$4:$AG$150,0,MATCH(F$2,Inputs!$D$2:$AG$2,0)),Inputs!$B$4:$B$150,$B59)/1000)</f>
        <v>2699</v>
      </c>
      <c r="G59" s="11">
        <f>IF(SUMPRODUCT((Inputs!$B$4:$B$150=$B59)*ISNUMBER(INDEX(Inputs!$D$4:$AG$150,0,MATCH(G$2,Inputs!$D$2:$AG$2,0))))=0,"",SUMIFS(INDEX(Inputs!$D$4:$AG$150,0,MATCH(G$2,Inputs!$D$2:$AG$2,0)),Inputs!$B$4:$B$150,$B59)/1000)</f>
        <v>2923</v>
      </c>
      <c r="H59" s="12">
        <f>IF(COUNT(D59:G59)=4,SUM(D59:G59),"")</f>
        <v>11814</v>
      </c>
      <c r="I59" s="11">
        <f>IF(SUMPRODUCT((Inputs!$B$4:$B$150=$B59)*ISNUMBER(INDEX(Inputs!$D$4:$AG$150,0,MATCH(I$2,Inputs!$D$2:$AG$2,0))))=0,"",SUMIFS(INDEX(Inputs!$D$4:$AG$150,0,MATCH(I$2,Inputs!$D$2:$AG$2,0)),Inputs!$B$4:$B$150,$B59)/1000)</f>
        <v>2559</v>
      </c>
      <c r="J59" s="11">
        <f>IF(SUMPRODUCT((Inputs!$B$4:$B$150=$B59)*ISNUMBER(INDEX(Inputs!$D$4:$AG$150,0,MATCH(J$2,Inputs!$D$2:$AG$2,0))))=0,"",SUMIFS(INDEX(Inputs!$D$4:$AG$150,0,MATCH(J$2,Inputs!$D$2:$AG$2,0)),Inputs!$B$4:$B$150,$B59)/1000)</f>
        <v>2825</v>
      </c>
      <c r="K59" s="11">
        <f>IF(SUMPRODUCT((Inputs!$B$4:$B$150=$B59)*ISNUMBER(INDEX(Inputs!$D$4:$AG$150,0,MATCH(K$2,Inputs!$D$2:$AG$2,0))))=0,"",SUMIFS(INDEX(Inputs!$D$4:$AG$150,0,MATCH(K$2,Inputs!$D$2:$AG$2,0)),Inputs!$B$4:$B$150,$B59)/1000)</f>
        <v>2882</v>
      </c>
      <c r="L59" s="11">
        <f>IF(SUMPRODUCT((Inputs!$B$4:$B$150=$B59)*ISNUMBER(INDEX(Inputs!$D$4:$AG$150,0,MATCH(L$2,Inputs!$D$2:$AG$2,0))))=0,"",SUMIFS(INDEX(Inputs!$D$4:$AG$150,0,MATCH(L$2,Inputs!$D$2:$AG$2,0)),Inputs!$B$4:$B$150,$B59)/1000)</f>
        <v>3266</v>
      </c>
      <c r="M59" s="12">
        <f>IF(COUNT(I59:L59)=4,SUM(I59:L59),"")</f>
        <v>11532</v>
      </c>
      <c r="N59" s="11">
        <f>IF(SUMPRODUCT((Inputs!$B$4:$B$150=$B59)*ISNUMBER(INDEX(Inputs!$D$4:$AG$150,0,MATCH(N$2,Inputs!$D$2:$AG$2,0))))=0,"",SUMIFS(INDEX(Inputs!$D$4:$AG$150,0,MATCH(N$2,Inputs!$D$2:$AG$2,0)),Inputs!$B$4:$B$150,$B59)/1000)</f>
        <v>2959</v>
      </c>
      <c r="O59" s="11">
        <f>IF(SUMPRODUCT((Inputs!$B$4:$B$150=$B59)*ISNUMBER(INDEX(Inputs!$D$4:$AG$150,0,MATCH(O$2,Inputs!$D$2:$AG$2,0))))=0,"",SUMIFS(INDEX(Inputs!$D$4:$AG$150,0,MATCH(O$2,Inputs!$D$2:$AG$2,0)),Inputs!$B$4:$B$150,$B59)/1000)</f>
        <v>3166</v>
      </c>
      <c r="P59" s="11">
        <f>IF(SUMPRODUCT((Inputs!$B$4:$B$150=$B59)*ISNUMBER(INDEX(Inputs!$D$4:$AG$150,0,MATCH(P$2,Inputs!$D$2:$AG$2,0))))=0,"",SUMIFS(INDEX(Inputs!$D$4:$AG$150,0,MATCH(P$2,Inputs!$D$2:$AG$2,0)),Inputs!$B$4:$B$150,$B59)/1000)</f>
        <v>3101</v>
      </c>
      <c r="Q59" s="11">
        <f>IF(SUMPRODUCT((Inputs!$B$4:$B$150=$B59)*ISNUMBER(INDEX(Inputs!$D$4:$AG$150,0,MATCH(Q$2,Inputs!$D$2:$AG$2,0))))=0,"",SUMIFS(INDEX(Inputs!$D$4:$AG$150,0,MATCH(Q$2,Inputs!$D$2:$AG$2,0)),Inputs!$B$4:$B$150,$B59)/1000)</f>
        <v>3379</v>
      </c>
      <c r="R59" s="12">
        <f>IF(COUNT(N59:Q59)=4,SUM(N59:Q59),"")</f>
        <v>12605</v>
      </c>
      <c r="S59" s="11">
        <f>IF(SUMPRODUCT((Inputs!$B$4:$B$150=$B59)*ISNUMBER(INDEX(Inputs!$D$4:$AG$150,0,MATCH(S$2,Inputs!$D$2:$AG$2,0))))=0,"",SUMIFS(INDEX(Inputs!$D$4:$AG$150,0,MATCH(S$2,Inputs!$D$2:$AG$2,0)),Inputs!$B$4:$B$150,$B59)/1000)</f>
        <v>3269</v>
      </c>
      <c r="T59" s="11">
        <f>IF(SUMPRODUCT((Inputs!$B$4:$B$150=$B59)*ISNUMBER(INDEX(Inputs!$D$4:$AG$150,0,MATCH(T$2,Inputs!$D$2:$AG$2,0))))=0,"",SUMIFS(INDEX(Inputs!$D$4:$AG$150,0,MATCH(T$2,Inputs!$D$2:$AG$2,0)),Inputs!$B$4:$B$150,$B59)/1000)</f>
        <v>3195</v>
      </c>
      <c r="U59" s="11">
        <f>IF(SUMPRODUCT((Inputs!$B$4:$B$150=$B59)*ISNUMBER(INDEX(Inputs!$D$4:$AG$150,0,MATCH(U$2,Inputs!$D$2:$AG$2,0))))=0,"",SUMIFS(INDEX(Inputs!$D$4:$AG$150,0,MATCH(U$2,Inputs!$D$2:$AG$2,0)),Inputs!$B$4:$B$150,$B59)/1000)</f>
        <v>3075</v>
      </c>
      <c r="V59" s="11">
        <f>IF(SUMPRODUCT((Inputs!$B$4:$B$150=$B59)*ISNUMBER(INDEX(Inputs!$D$4:$AG$150,0,MATCH(V$2,Inputs!$D$2:$AG$2,0))))=0,"",SUMIFS(INDEX(Inputs!$D$4:$AG$150,0,MATCH(V$2,Inputs!$D$2:$AG$2,0)),Inputs!$B$4:$B$150,$B59)/1000)</f>
        <v>2940</v>
      </c>
      <c r="W59" s="12">
        <f>IF(COUNT(S59:V59)=4,SUM(S59:V59),"")</f>
        <v>12479</v>
      </c>
      <c r="X59" s="11">
        <f>IF(SUMPRODUCT((Inputs!$B$4:$B$150=$B59)*ISNUMBER(INDEX(Inputs!$D$4:$AG$150,0,MATCH(X$2,Inputs!$D$2:$AG$2,0))))=0,"",SUMIFS(INDEX(Inputs!$D$4:$AG$150,0,MATCH(X$2,Inputs!$D$2:$AG$2,0)),Inputs!$B$4:$B$150,$B59)/1000)</f>
        <v>3205</v>
      </c>
      <c r="Y59" s="11">
        <f>IF(SUMPRODUCT((Inputs!$B$4:$B$150=$B59)*ISNUMBER(INDEX(Inputs!$D$4:$AG$150,0,MATCH(Y$2,Inputs!$D$2:$AG$2,0))))=0,"",SUMIFS(INDEX(Inputs!$D$4:$AG$150,0,MATCH(Y$2,Inputs!$D$2:$AG$2,0)),Inputs!$B$4:$B$150,$B59)/1000)</f>
        <v>3307</v>
      </c>
      <c r="Z59" s="11">
        <f>IF(SUMPRODUCT((Inputs!$B$4:$B$150=$B59)*ISNUMBER(INDEX(Inputs!$D$4:$AG$150,0,MATCH(Z$2,Inputs!$D$2:$AG$2,0))))=0,"",SUMIFS(INDEX(Inputs!$D$4:$AG$150,0,MATCH(Z$2,Inputs!$D$2:$AG$2,0)),Inputs!$B$4:$B$150,$B59)/1000)</f>
        <v>3356</v>
      </c>
      <c r="AA59" s="11">
        <f>IF(SUMPRODUCT((Inputs!$B$4:$B$150=$B59)*ISNUMBER(INDEX(Inputs!$D$4:$AG$150,0,MATCH(AA$2,Inputs!$D$2:$AG$2,0))))=0,"",SUMIFS(INDEX(Inputs!$D$4:$AG$150,0,MATCH(AA$2,Inputs!$D$2:$AG$2,0)),Inputs!$B$4:$B$150,$B59)/1000)</f>
        <v>3161</v>
      </c>
      <c r="AB59" s="12">
        <f>IF(COUNT(X59:AA59)=4,SUM(X59:AA59),"")</f>
        <v>13029</v>
      </c>
      <c r="AC59" s="11">
        <f>IF(SUMPRODUCT((Inputs!$B$4:$B$150=$B59)*ISNUMBER(INDEX(Inputs!$D$4:$AG$150,0,MATCH(AC$2,Inputs!$D$2:$AG$2,0))))=0,"",SUMIFS(INDEX(Inputs!$D$4:$AG$150,0,MATCH(AC$2,Inputs!$D$2:$AG$2,0)),Inputs!$B$4:$B$150,$B59)/1000)</f>
        <v>3428</v>
      </c>
      <c r="AD59" s="11">
        <f>IF(SUMPRODUCT((Inputs!$B$4:$B$150=$B59)*ISNUMBER(INDEX(Inputs!$D$4:$AG$150,0,MATCH(AD$2,Inputs!$D$2:$AG$2,0))))=0,"",SUMIFS(INDEX(Inputs!$D$4:$AG$150,0,MATCH(AD$2,Inputs!$D$2:$AG$2,0)),Inputs!$B$4:$B$150,$B59)/1000)</f>
        <v>3496</v>
      </c>
      <c r="AE59" s="11" t="str">
        <f>IF(SUMPRODUCT((Inputs!$B$4:$B$150=$B59)*ISNUMBER(INDEX(Inputs!$D$4:$AG$150,0,MATCH(AE$2,Inputs!$D$2:$AG$2,0))))=0,"",SUMIFS(INDEX(Inputs!$D$4:$AG$150,0,MATCH(AE$2,Inputs!$D$2:$AG$2,0)),Inputs!$B$4:$B$150,$B59)/1000)</f>
        <v/>
      </c>
      <c r="AF59" s="11" t="str">
        <f>IF(SUMPRODUCT((Inputs!$B$4:$B$150=$B59)*ISNUMBER(INDEX(Inputs!$D$4:$AG$150,0,MATCH(AF$2,Inputs!$D$2:$AG$2,0))))=0,"",SUMIFS(INDEX(Inputs!$D$4:$AG$150,0,MATCH(AF$2,Inputs!$D$2:$AG$2,0)),Inputs!$B$4:$B$150,$B59)/1000)</f>
        <v/>
      </c>
      <c r="AG59" s="12" t="str">
        <f>IF(COUNT(AC59:AF59)=4,SUM(AC59:AF59),"")</f>
        <v/>
      </c>
    </row>
    <row r="60">
      <c r="B60" s="9" t="n">
        <v>52</v>
      </c>
      <c r="C60" s="10" t="inlineStr">
        <is>
          <t>Space - lucro do segmento (USD)</t>
        </is>
      </c>
      <c r="D60" s="11">
        <f>IF(SUMPRODUCT((Inputs!$B$4:$B$150=$B60)*ISNUMBER(INDEX(Inputs!$D$4:$AG$150,0,MATCH(D$2,Inputs!$D$2:$AG$2,0))))=0,"",SUMIFS(INDEX(Inputs!$D$4:$AG$150,0,MATCH(D$2,Inputs!$D$2:$AG$2,0)),Inputs!$B$4:$B$150,$B60)/1000)</f>
        <v>227</v>
      </c>
      <c r="E60" s="11">
        <f>IF(SUMPRODUCT((Inputs!$B$4:$B$150=$B60)*ISNUMBER(INDEX(Inputs!$D$4:$AG$150,0,MATCH(E$2,Inputs!$D$2:$AG$2,0))))=0,"",SUMIFS(INDEX(Inputs!$D$4:$AG$150,0,MATCH(E$2,Inputs!$D$2:$AG$2,0)),Inputs!$B$4:$B$150,$B60)/1000)</f>
        <v>335</v>
      </c>
      <c r="F60" s="11">
        <f>IF(SUMPRODUCT((Inputs!$B$4:$B$150=$B60)*ISNUMBER(INDEX(Inputs!$D$4:$AG$150,0,MATCH(F$2,Inputs!$D$2:$AG$2,0))))=0,"",SUMIFS(INDEX(Inputs!$D$4:$AG$150,0,MATCH(F$2,Inputs!$D$2:$AG$2,0)),Inputs!$B$4:$B$150,$B60)/1000)</f>
        <v>264</v>
      </c>
      <c r="G60" s="11">
        <f>IF(SUMPRODUCT((Inputs!$B$4:$B$150=$B60)*ISNUMBER(INDEX(Inputs!$D$4:$AG$150,0,MATCH(G$2,Inputs!$D$2:$AG$2,0))))=0,"",SUMIFS(INDEX(Inputs!$D$4:$AG$150,0,MATCH(G$2,Inputs!$D$2:$AG$2,0)),Inputs!$B$4:$B$150,$B60)/1000)</f>
        <v>308</v>
      </c>
      <c r="H60" s="12">
        <f>IF(COUNT(D60:G60)=4,SUM(D60:G60),"")</f>
        <v>1134</v>
      </c>
      <c r="I60" s="11">
        <f>IF(SUMPRODUCT((Inputs!$B$4:$B$150=$B60)*ISNUMBER(INDEX(Inputs!$D$4:$AG$150,0,MATCH(I$2,Inputs!$D$2:$AG$2,0))))=0,"",SUMIFS(INDEX(Inputs!$D$4:$AG$150,0,MATCH(I$2,Inputs!$D$2:$AG$2,0)),Inputs!$B$4:$B$150,$B60)/1000)</f>
        <v>248</v>
      </c>
      <c r="J60" s="11">
        <f>IF(SUMPRODUCT((Inputs!$B$4:$B$150=$B60)*ISNUMBER(INDEX(Inputs!$D$4:$AG$150,0,MATCH(J$2,Inputs!$D$2:$AG$2,0))))=0,"",SUMIFS(INDEX(Inputs!$D$4:$AG$150,0,MATCH(J$2,Inputs!$D$2:$AG$2,0)),Inputs!$B$4:$B$150,$B60)/1000)</f>
        <v>271</v>
      </c>
      <c r="K60" s="11">
        <f>IF(SUMPRODUCT((Inputs!$B$4:$B$150=$B60)*ISNUMBER(INDEX(Inputs!$D$4:$AG$150,0,MATCH(K$2,Inputs!$D$2:$AG$2,0))))=0,"",SUMIFS(INDEX(Inputs!$D$4:$AG$150,0,MATCH(K$2,Inputs!$D$2:$AG$2,0)),Inputs!$B$4:$B$150,$B60)/1000)</f>
        <v>304</v>
      </c>
      <c r="L60" s="11">
        <f>IF(SUMPRODUCT((Inputs!$B$4:$B$150=$B60)*ISNUMBER(INDEX(Inputs!$D$4:$AG$150,0,MATCH(L$2,Inputs!$D$2:$AG$2,0))))=0,"",SUMIFS(INDEX(Inputs!$D$4:$AG$150,0,MATCH(L$2,Inputs!$D$2:$AG$2,0)),Inputs!$B$4:$B$150,$B60)/1000)</f>
        <v>231</v>
      </c>
      <c r="M60" s="12">
        <f>IF(COUNT(I60:L60)=4,SUM(I60:L60),"")</f>
        <v>1054</v>
      </c>
      <c r="N60" s="11">
        <f>IF(SUMPRODUCT((Inputs!$B$4:$B$150=$B60)*ISNUMBER(INDEX(Inputs!$D$4:$AG$150,0,MATCH(N$2,Inputs!$D$2:$AG$2,0))))=0,"",SUMIFS(INDEX(Inputs!$D$4:$AG$150,0,MATCH(N$2,Inputs!$D$2:$AG$2,0)),Inputs!$B$4:$B$150,$B60)/1000)</f>
        <v>280</v>
      </c>
      <c r="O60" s="11">
        <f>IF(SUMPRODUCT((Inputs!$B$4:$B$150=$B60)*ISNUMBER(INDEX(Inputs!$D$4:$AG$150,0,MATCH(O$2,Inputs!$D$2:$AG$2,0))))=0,"",SUMIFS(INDEX(Inputs!$D$4:$AG$150,0,MATCH(O$2,Inputs!$D$2:$AG$2,0)),Inputs!$B$4:$B$150,$B60)/1000)</f>
        <v>312</v>
      </c>
      <c r="P60" s="11">
        <f>IF(SUMPRODUCT((Inputs!$B$4:$B$150=$B60)*ISNUMBER(INDEX(Inputs!$D$4:$AG$150,0,MATCH(P$2,Inputs!$D$2:$AG$2,0))))=0,"",SUMIFS(INDEX(Inputs!$D$4:$AG$150,0,MATCH(P$2,Inputs!$D$2:$AG$2,0)),Inputs!$B$4:$B$150,$B60)/1000)</f>
        <v>259</v>
      </c>
      <c r="Q60" s="11">
        <f>IF(SUMPRODUCT((Inputs!$B$4:$B$150=$B60)*ISNUMBER(INDEX(Inputs!$D$4:$AG$150,0,MATCH(Q$2,Inputs!$D$2:$AG$2,0))))=0,"",SUMIFS(INDEX(Inputs!$D$4:$AG$150,0,MATCH(Q$2,Inputs!$D$2:$AG$2,0)),Inputs!$B$4:$B$150,$B60)/1000)</f>
        <v>307</v>
      </c>
      <c r="R60" s="12">
        <f>IF(COUNT(N60:Q60)=4,SUM(N60:Q60),"")</f>
        <v>1158</v>
      </c>
      <c r="S60" s="11">
        <f>IF(SUMPRODUCT((Inputs!$B$4:$B$150=$B60)*ISNUMBER(INDEX(Inputs!$D$4:$AG$150,0,MATCH(S$2,Inputs!$D$2:$AG$2,0))))=0,"",SUMIFS(INDEX(Inputs!$D$4:$AG$150,0,MATCH(S$2,Inputs!$D$2:$AG$2,0)),Inputs!$B$4:$B$150,$B60)/1000)</f>
        <v>325</v>
      </c>
      <c r="T60" s="11">
        <f>IF(SUMPRODUCT((Inputs!$B$4:$B$150=$B60)*ISNUMBER(INDEX(Inputs!$D$4:$AG$150,0,MATCH(T$2,Inputs!$D$2:$AG$2,0))))=0,"",SUMIFS(INDEX(Inputs!$D$4:$AG$150,0,MATCH(T$2,Inputs!$D$2:$AG$2,0)),Inputs!$B$4:$B$150,$B60)/1000)</f>
        <v>346</v>
      </c>
      <c r="U60" s="11">
        <f>IF(SUMPRODUCT((Inputs!$B$4:$B$150=$B60)*ISNUMBER(INDEX(Inputs!$D$4:$AG$150,0,MATCH(U$2,Inputs!$D$2:$AG$2,0))))=0,"",SUMIFS(INDEX(Inputs!$D$4:$AG$150,0,MATCH(U$2,Inputs!$D$2:$AG$2,0)),Inputs!$B$4:$B$150,$B60)/1000)</f>
        <v>272</v>
      </c>
      <c r="V60" s="11">
        <f>IF(SUMPRODUCT((Inputs!$B$4:$B$150=$B60)*ISNUMBER(INDEX(Inputs!$D$4:$AG$150,0,MATCH(V$2,Inputs!$D$2:$AG$2,0))))=0,"",SUMIFS(INDEX(Inputs!$D$4:$AG$150,0,MATCH(V$2,Inputs!$D$2:$AG$2,0)),Inputs!$B$4:$B$150,$B60)/1000)</f>
        <v>283</v>
      </c>
      <c r="W60" s="12">
        <f>IF(COUNT(S60:V60)=4,SUM(S60:V60),"")</f>
        <v>1226</v>
      </c>
      <c r="X60" s="11">
        <f>IF(SUMPRODUCT((Inputs!$B$4:$B$150=$B60)*ISNUMBER(INDEX(Inputs!$D$4:$AG$150,0,MATCH(X$2,Inputs!$D$2:$AG$2,0))))=0,"",SUMIFS(INDEX(Inputs!$D$4:$AG$150,0,MATCH(X$2,Inputs!$D$2:$AG$2,0)),Inputs!$B$4:$B$150,$B60)/1000)</f>
        <v>379</v>
      </c>
      <c r="Y60" s="11">
        <f>IF(SUMPRODUCT((Inputs!$B$4:$B$150=$B60)*ISNUMBER(INDEX(Inputs!$D$4:$AG$150,0,MATCH(Y$2,Inputs!$D$2:$AG$2,0))))=0,"",SUMIFS(INDEX(Inputs!$D$4:$AG$150,0,MATCH(Y$2,Inputs!$D$2:$AG$2,0)),Inputs!$B$4:$B$150,$B60)/1000)</f>
        <v>362</v>
      </c>
      <c r="Z60" s="11">
        <f>IF(SUMPRODUCT((Inputs!$B$4:$B$150=$B60)*ISNUMBER(INDEX(Inputs!$D$4:$AG$150,0,MATCH(Z$2,Inputs!$D$2:$AG$2,0))))=0,"",SUMIFS(INDEX(Inputs!$D$4:$AG$150,0,MATCH(Z$2,Inputs!$D$2:$AG$2,0)),Inputs!$B$4:$B$150,$B60)/1000)</f>
        <v>331</v>
      </c>
      <c r="AA60" s="11">
        <f>IF(SUMPRODUCT((Inputs!$B$4:$B$150=$B60)*ISNUMBER(INDEX(Inputs!$D$4:$AG$150,0,MATCH(AA$2,Inputs!$D$2:$AG$2,0))))=0,"",SUMIFS(INDEX(Inputs!$D$4:$AG$150,0,MATCH(AA$2,Inputs!$D$2:$AG$2,0)),Inputs!$B$4:$B$150,$B60)/1000)</f>
        <v>273</v>
      </c>
      <c r="AB60" s="12">
        <f>IF(COUNT(X60:AA60)=4,SUM(X60:AA60),"")</f>
        <v>1345</v>
      </c>
      <c r="AC60" s="11">
        <f>IF(SUMPRODUCT((Inputs!$B$4:$B$150=$B60)*ISNUMBER(INDEX(Inputs!$D$4:$AG$150,0,MATCH(AC$2,Inputs!$D$2:$AG$2,0))))=0,"",SUMIFS(INDEX(Inputs!$D$4:$AG$150,0,MATCH(AC$2,Inputs!$D$2:$AG$2,0)),Inputs!$B$4:$B$150,$B60)/1000)</f>
        <v>281</v>
      </c>
      <c r="AD60" s="11">
        <f>IF(SUMPRODUCT((Inputs!$B$4:$B$150=$B60)*ISNUMBER(INDEX(Inputs!$D$4:$AG$150,0,MATCH(AD$2,Inputs!$D$2:$AG$2,0))))=0,"",SUMIFS(INDEX(Inputs!$D$4:$AG$150,0,MATCH(AD$2,Inputs!$D$2:$AG$2,0)),Inputs!$B$4:$B$150,$B60)/1000)</f>
        <v>371</v>
      </c>
      <c r="AE60" s="11" t="str">
        <f>IF(SUMPRODUCT((Inputs!$B$4:$B$150=$B60)*ISNUMBER(INDEX(Inputs!$D$4:$AG$150,0,MATCH(AE$2,Inputs!$D$2:$AG$2,0))))=0,"",SUMIFS(INDEX(Inputs!$D$4:$AG$150,0,MATCH(AE$2,Inputs!$D$2:$AG$2,0)),Inputs!$B$4:$B$150,$B60)/1000)</f>
        <v/>
      </c>
      <c r="AF60" s="11" t="str">
        <f>IF(SUMPRODUCT((Inputs!$B$4:$B$150=$B60)*ISNUMBER(INDEX(Inputs!$D$4:$AG$150,0,MATCH(AF$2,Inputs!$D$2:$AG$2,0))))=0,"",SUMIFS(INDEX(Inputs!$D$4:$AG$150,0,MATCH(AF$2,Inputs!$D$2:$AG$2,0)),Inputs!$B$4:$B$150,$B60)/1000)</f>
        <v/>
      </c>
      <c r="AG60" s="12" t="str">
        <f>IF(COUNT(AC60:AF60)=4,SUM(AC60:AF60),"")</f>
        <v/>
      </c>
    </row>
    <row r="61">
      <c r="B61" s="9" t="n">
        <v>53</v>
      </c>
      <c r="C61" s="10" t="inlineStr">
        <is>
          <t>Receita de produtos (USD)</t>
        </is>
      </c>
      <c r="D61" s="11">
        <f>IF(SUMPRODUCT((Inputs!$B$4:$B$150=$B61)*ISNUMBER(INDEX(Inputs!$D$4:$AG$150,0,MATCH(D$2,Inputs!$D$2:$AG$2,0))))=0,"",SUMIFS(INDEX(Inputs!$D$4:$AG$150,0,MATCH(D$2,Inputs!$D$2:$AG$2,0)),Inputs!$B$4:$B$150,$B61)/1000)</f>
        <v>13753</v>
      </c>
      <c r="E61" s="11">
        <f>IF(SUMPRODUCT((Inputs!$B$4:$B$150=$B61)*ISNUMBER(INDEX(Inputs!$D$4:$AG$150,0,MATCH(E$2,Inputs!$D$2:$AG$2,0))))=0,"",SUMIFS(INDEX(Inputs!$D$4:$AG$150,0,MATCH(E$2,Inputs!$D$2:$AG$2,0)),Inputs!$B$4:$B$150,$B61)/1000)</f>
        <v>14258</v>
      </c>
      <c r="F61" s="11">
        <f>IF(SUMPRODUCT((Inputs!$B$4:$B$150=$B61)*ISNUMBER(INDEX(Inputs!$D$4:$AG$150,0,MATCH(F$2,Inputs!$D$2:$AG$2,0))))=0,"",SUMIFS(INDEX(Inputs!$D$4:$AG$150,0,MATCH(F$2,Inputs!$D$2:$AG$2,0)),Inputs!$B$4:$B$150,$B61)/1000)</f>
        <v>13475</v>
      </c>
      <c r="G61" s="11">
        <f>IF(SUMPRODUCT((Inputs!$B$4:$B$150=$B61)*ISNUMBER(INDEX(Inputs!$D$4:$AG$150,0,MATCH(G$2,Inputs!$D$2:$AG$2,0))))=0,"",SUMIFS(INDEX(Inputs!$D$4:$AG$150,0,MATCH(G$2,Inputs!$D$2:$AG$2,0)),Inputs!$B$4:$B$150,$B61)/1000)</f>
        <v>14949</v>
      </c>
      <c r="H61" s="12">
        <f>IF(COUNT(D61:G61)=4,SUM(D61:G61),"")</f>
        <v>56435</v>
      </c>
      <c r="I61" s="11">
        <f>IF(SUMPRODUCT((Inputs!$B$4:$B$150=$B61)*ISNUMBER(INDEX(Inputs!$D$4:$AG$150,0,MATCH(I$2,Inputs!$D$2:$AG$2,0))))=0,"",SUMIFS(INDEX(Inputs!$D$4:$AG$150,0,MATCH(I$2,Inputs!$D$2:$AG$2,0)),Inputs!$B$4:$B$150,$B61)/1000)</f>
        <v>12494</v>
      </c>
      <c r="J61" s="11">
        <f>IF(SUMPRODUCT((Inputs!$B$4:$B$150=$B61)*ISNUMBER(INDEX(Inputs!$D$4:$AG$150,0,MATCH(J$2,Inputs!$D$2:$AG$2,0))))=0,"",SUMIFS(INDEX(Inputs!$D$4:$AG$150,0,MATCH(J$2,Inputs!$D$2:$AG$2,0)),Inputs!$B$4:$B$150,$B61)/1000)</f>
        <v>12761</v>
      </c>
      <c r="K61" s="11">
        <f>IF(SUMPRODUCT((Inputs!$B$4:$B$150=$B61)*ISNUMBER(INDEX(Inputs!$D$4:$AG$150,0,MATCH(K$2,Inputs!$D$2:$AG$2,0))))=0,"",SUMIFS(INDEX(Inputs!$D$4:$AG$150,0,MATCH(K$2,Inputs!$D$2:$AG$2,0)),Inputs!$B$4:$B$150,$B61)/1000)</f>
        <v>14011</v>
      </c>
      <c r="L61" s="11">
        <f>IF(SUMPRODUCT((Inputs!$B$4:$B$150=$B61)*ISNUMBER(INDEX(Inputs!$D$4:$AG$150,0,MATCH(L$2,Inputs!$D$2:$AG$2,0))))=0,"",SUMIFS(INDEX(Inputs!$D$4:$AG$150,0,MATCH(L$2,Inputs!$D$2:$AG$2,0)),Inputs!$B$4:$B$150,$B61)/1000)</f>
        <v>16200</v>
      </c>
      <c r="M61" s="12">
        <f>IF(COUNT(I61:L61)=4,SUM(I61:L61),"")</f>
        <v>55466</v>
      </c>
      <c r="N61" s="11">
        <f>IF(SUMPRODUCT((Inputs!$B$4:$B$150=$B61)*ISNUMBER(INDEX(Inputs!$D$4:$AG$150,0,MATCH(N$2,Inputs!$D$2:$AG$2,0))))=0,"",SUMIFS(INDEX(Inputs!$D$4:$AG$150,0,MATCH(N$2,Inputs!$D$2:$AG$2,0)),Inputs!$B$4:$B$150,$B61)/1000)</f>
        <v>12526</v>
      </c>
      <c r="O61" s="11">
        <f>IF(SUMPRODUCT((Inputs!$B$4:$B$150=$B61)*ISNUMBER(INDEX(Inputs!$D$4:$AG$150,0,MATCH(O$2,Inputs!$D$2:$AG$2,0))))=0,"",SUMIFS(INDEX(Inputs!$D$4:$AG$150,0,MATCH(O$2,Inputs!$D$2:$AG$2,0)),Inputs!$B$4:$B$150,$B61)/1000)</f>
        <v>13758</v>
      </c>
      <c r="P61" s="11">
        <f>IF(SUMPRODUCT((Inputs!$B$4:$B$150=$B61)*ISNUMBER(INDEX(Inputs!$D$4:$AG$150,0,MATCH(P$2,Inputs!$D$2:$AG$2,0))))=0,"",SUMIFS(INDEX(Inputs!$D$4:$AG$150,0,MATCH(P$2,Inputs!$D$2:$AG$2,0)),Inputs!$B$4:$B$150,$B61)/1000)</f>
        <v>14014</v>
      </c>
      <c r="Q61" s="11">
        <f>IF(SUMPRODUCT((Inputs!$B$4:$B$150=$B61)*ISNUMBER(INDEX(Inputs!$D$4:$AG$150,0,MATCH(Q$2,Inputs!$D$2:$AG$2,0))))=0,"",SUMIFS(INDEX(Inputs!$D$4:$AG$150,0,MATCH(Q$2,Inputs!$D$2:$AG$2,0)),Inputs!$B$4:$B$150,$B61)/1000)</f>
        <v>15967</v>
      </c>
      <c r="R61" s="12">
        <f>IF(COUNT(N61:Q61)=4,SUM(N61:Q61),"")</f>
        <v>56265</v>
      </c>
      <c r="S61" s="11">
        <f>IF(SUMPRODUCT((Inputs!$B$4:$B$150=$B61)*ISNUMBER(INDEX(Inputs!$D$4:$AG$150,0,MATCH(S$2,Inputs!$D$2:$AG$2,0))))=0,"",SUMIFS(INDEX(Inputs!$D$4:$AG$150,0,MATCH(S$2,Inputs!$D$2:$AG$2,0)),Inputs!$B$4:$B$150,$B61)/1000)</f>
        <v>14196</v>
      </c>
      <c r="T61" s="11">
        <f>IF(SUMPRODUCT((Inputs!$B$4:$B$150=$B61)*ISNUMBER(INDEX(Inputs!$D$4:$AG$150,0,MATCH(T$2,Inputs!$D$2:$AG$2,0))))=0,"",SUMIFS(INDEX(Inputs!$D$4:$AG$150,0,MATCH(T$2,Inputs!$D$2:$AG$2,0)),Inputs!$B$4:$B$150,$B61)/1000)</f>
        <v>15109</v>
      </c>
      <c r="U61" s="11">
        <f>IF(SUMPRODUCT((Inputs!$B$4:$B$150=$B61)*ISNUMBER(INDEX(Inputs!$D$4:$AG$150,0,MATCH(U$2,Inputs!$D$2:$AG$2,0))))=0,"",SUMIFS(INDEX(Inputs!$D$4:$AG$150,0,MATCH(U$2,Inputs!$D$2:$AG$2,0)),Inputs!$B$4:$B$150,$B61)/1000)</f>
        <v>14472</v>
      </c>
      <c r="V61" s="11">
        <f>IF(SUMPRODUCT((Inputs!$B$4:$B$150=$B61)*ISNUMBER(INDEX(Inputs!$D$4:$AG$150,0,MATCH(V$2,Inputs!$D$2:$AG$2,0))))=0,"",SUMIFS(INDEX(Inputs!$D$4:$AG$150,0,MATCH(V$2,Inputs!$D$2:$AG$2,0)),Inputs!$B$4:$B$150,$B61)/1000)</f>
        <v>15500</v>
      </c>
      <c r="W61" s="12">
        <f>IF(COUNT(S61:V61)=4,SUM(S61:V61),"")</f>
        <v>59277</v>
      </c>
      <c r="X61" s="11">
        <f>IF(SUMPRODUCT((Inputs!$B$4:$B$150=$B61)*ISNUMBER(INDEX(Inputs!$D$4:$AG$150,0,MATCH(X$2,Inputs!$D$2:$AG$2,0))))=0,"",SUMIFS(INDEX(Inputs!$D$4:$AG$150,0,MATCH(X$2,Inputs!$D$2:$AG$2,0)),Inputs!$B$4:$B$150,$B61)/1000)</f>
        <v>14936</v>
      </c>
      <c r="Y61" s="11">
        <f>IF(SUMPRODUCT((Inputs!$B$4:$B$150=$B61)*ISNUMBER(INDEX(Inputs!$D$4:$AG$150,0,MATCH(Y$2,Inputs!$D$2:$AG$2,0))))=0,"",SUMIFS(INDEX(Inputs!$D$4:$AG$150,0,MATCH(Y$2,Inputs!$D$2:$AG$2,0)),Inputs!$B$4:$B$150,$B61)/1000)</f>
        <v>15149</v>
      </c>
      <c r="Z61" s="11">
        <f>IF(SUMPRODUCT((Inputs!$B$4:$B$150=$B61)*ISNUMBER(INDEX(Inputs!$D$4:$AG$150,0,MATCH(Z$2,Inputs!$D$2:$AG$2,0))))=0,"",SUMIFS(INDEX(Inputs!$D$4:$AG$150,0,MATCH(Z$2,Inputs!$D$2:$AG$2,0)),Inputs!$B$4:$B$150,$B61)/1000)</f>
        <v>15311</v>
      </c>
      <c r="AA61" s="11">
        <f>IF(SUMPRODUCT((Inputs!$B$4:$B$150=$B61)*ISNUMBER(INDEX(Inputs!$D$4:$AG$150,0,MATCH(AA$2,Inputs!$D$2:$AG$2,0))))=0,"",SUMIFS(INDEX(Inputs!$D$4:$AG$150,0,MATCH(AA$2,Inputs!$D$2:$AG$2,0)),Inputs!$B$4:$B$150,$B61)/1000)</f>
        <v>17258</v>
      </c>
      <c r="AB61" s="12">
        <f>IF(COUNT(X61:AA61)=4,SUM(X61:AA61),"")</f>
        <v>62654</v>
      </c>
      <c r="AC61" s="11">
        <f>IF(SUMPRODUCT((Inputs!$B$4:$B$150=$B61)*ISNUMBER(INDEX(Inputs!$D$4:$AG$150,0,MATCH(AC$2,Inputs!$D$2:$AG$2,0))))=0,"",SUMIFS(INDEX(Inputs!$D$4:$AG$150,0,MATCH(AC$2,Inputs!$D$2:$AG$2,0)),Inputs!$B$4:$B$150,$B61)/1000)</f>
        <v>14831</v>
      </c>
      <c r="AD61" s="11">
        <f>IF(SUMPRODUCT((Inputs!$B$4:$B$150=$B61)*ISNUMBER(INDEX(Inputs!$D$4:$AG$150,0,MATCH(AD$2,Inputs!$D$2:$AG$2,0))))=0,"",SUMIFS(INDEX(Inputs!$D$4:$AG$150,0,MATCH(AD$2,Inputs!$D$2:$AG$2,0)),Inputs!$B$4:$B$150,$B61)/1000)</f>
        <v>16783</v>
      </c>
      <c r="AE61" s="11" t="str">
        <f>IF(SUMPRODUCT((Inputs!$B$4:$B$150=$B61)*ISNUMBER(INDEX(Inputs!$D$4:$AG$150,0,MATCH(AE$2,Inputs!$D$2:$AG$2,0))))=0,"",SUMIFS(INDEX(Inputs!$D$4:$AG$150,0,MATCH(AE$2,Inputs!$D$2:$AG$2,0)),Inputs!$B$4:$B$150,$B61)/1000)</f>
        <v/>
      </c>
      <c r="AF61" s="11" t="str">
        <f>IF(SUMPRODUCT((Inputs!$B$4:$B$150=$B61)*ISNUMBER(INDEX(Inputs!$D$4:$AG$150,0,MATCH(AF$2,Inputs!$D$2:$AG$2,0))))=0,"",SUMIFS(INDEX(Inputs!$D$4:$AG$150,0,MATCH(AF$2,Inputs!$D$2:$AG$2,0)),Inputs!$B$4:$B$150,$B61)/1000)</f>
        <v/>
      </c>
      <c r="AG61" s="12" t="str">
        <f>IF(COUNT(AC61:AF61)=4,SUM(AC61:AF61),"")</f>
        <v/>
      </c>
    </row>
    <row r="62">
      <c r="B62" s="9" t="n">
        <v>54</v>
      </c>
      <c r="C62" s="10" t="inlineStr">
        <is>
          <t>Receita de serviços (USD)</t>
        </is>
      </c>
      <c r="D62" s="11">
        <f>IF(SUMPRODUCT((Inputs!$B$4:$B$150=$B62)*ISNUMBER(INDEX(Inputs!$D$4:$AG$150,0,MATCH(D$2,Inputs!$D$2:$AG$2,0))))=0,"",SUMIFS(INDEX(Inputs!$D$4:$AG$150,0,MATCH(D$2,Inputs!$D$2:$AG$2,0)),Inputs!$B$4:$B$150,$B62)/1000)</f>
        <v>2505</v>
      </c>
      <c r="E62" s="11">
        <f>IF(SUMPRODUCT((Inputs!$B$4:$B$150=$B62)*ISNUMBER(INDEX(Inputs!$D$4:$AG$150,0,MATCH(E$2,Inputs!$D$2:$AG$2,0))))=0,"",SUMIFS(INDEX(Inputs!$D$4:$AG$150,0,MATCH(E$2,Inputs!$D$2:$AG$2,0)),Inputs!$B$4:$B$150,$B62)/1000)</f>
        <v>2771</v>
      </c>
      <c r="F62" s="11">
        <f>IF(SUMPRODUCT((Inputs!$B$4:$B$150=$B62)*ISNUMBER(INDEX(Inputs!$D$4:$AG$150,0,MATCH(F$2,Inputs!$D$2:$AG$2,0))))=0,"",SUMIFS(INDEX(Inputs!$D$4:$AG$150,0,MATCH(F$2,Inputs!$D$2:$AG$2,0)),Inputs!$B$4:$B$150,$B62)/1000)</f>
        <v>2553</v>
      </c>
      <c r="G62" s="11">
        <f>IF(SUMPRODUCT((Inputs!$B$4:$B$150=$B62)*ISNUMBER(INDEX(Inputs!$D$4:$AG$150,0,MATCH(G$2,Inputs!$D$2:$AG$2,0))))=0,"",SUMIFS(INDEX(Inputs!$D$4:$AG$150,0,MATCH(G$2,Inputs!$D$2:$AG$2,0)),Inputs!$B$4:$B$150,$B62)/1000)</f>
        <v>2780</v>
      </c>
      <c r="H62" s="12">
        <f>IF(COUNT(D62:G62)=4,SUM(D62:G62),"")</f>
        <v>10609</v>
      </c>
      <c r="I62" s="11">
        <f>IF(SUMPRODUCT((Inputs!$B$4:$B$150=$B62)*ISNUMBER(INDEX(Inputs!$D$4:$AG$150,0,MATCH(I$2,Inputs!$D$2:$AG$2,0))))=0,"",SUMIFS(INDEX(Inputs!$D$4:$AG$150,0,MATCH(I$2,Inputs!$D$2:$AG$2,0)),Inputs!$B$4:$B$150,$B62)/1000)</f>
        <v>2470</v>
      </c>
      <c r="J62" s="11">
        <f>IF(SUMPRODUCT((Inputs!$B$4:$B$150=$B62)*ISNUMBER(INDEX(Inputs!$D$4:$AG$150,0,MATCH(J$2,Inputs!$D$2:$AG$2,0))))=0,"",SUMIFS(INDEX(Inputs!$D$4:$AG$150,0,MATCH(J$2,Inputs!$D$2:$AG$2,0)),Inputs!$B$4:$B$150,$B62)/1000)</f>
        <v>2685</v>
      </c>
      <c r="K62" s="11">
        <f>IF(SUMPRODUCT((Inputs!$B$4:$B$150=$B62)*ISNUMBER(INDEX(Inputs!$D$4:$AG$150,0,MATCH(K$2,Inputs!$D$2:$AG$2,0))))=0,"",SUMIFS(INDEX(Inputs!$D$4:$AG$150,0,MATCH(K$2,Inputs!$D$2:$AG$2,0)),Inputs!$B$4:$B$150,$B62)/1000)</f>
        <v>2572</v>
      </c>
      <c r="L62" s="11">
        <f>IF(SUMPRODUCT((Inputs!$B$4:$B$150=$B62)*ISNUMBER(INDEX(Inputs!$D$4:$AG$150,0,MATCH(L$2,Inputs!$D$2:$AG$2,0))))=0,"",SUMIFS(INDEX(Inputs!$D$4:$AG$150,0,MATCH(L$2,Inputs!$D$2:$AG$2,0)),Inputs!$B$4:$B$150,$B62)/1000)</f>
        <v>2791</v>
      </c>
      <c r="M62" s="12">
        <f>IF(COUNT(I62:L62)=4,SUM(I62:L62),"")</f>
        <v>10518</v>
      </c>
      <c r="N62" s="11">
        <f>IF(SUMPRODUCT((Inputs!$B$4:$B$150=$B62)*ISNUMBER(INDEX(Inputs!$D$4:$AG$150,0,MATCH(N$2,Inputs!$D$2:$AG$2,0))))=0,"",SUMIFS(INDEX(Inputs!$D$4:$AG$150,0,MATCH(N$2,Inputs!$D$2:$AG$2,0)),Inputs!$B$4:$B$150,$B62)/1000)</f>
        <v>2600</v>
      </c>
      <c r="O62" s="11">
        <f>IF(SUMPRODUCT((Inputs!$B$4:$B$150=$B62)*ISNUMBER(INDEX(Inputs!$D$4:$AG$150,0,MATCH(O$2,Inputs!$D$2:$AG$2,0))))=0,"",SUMIFS(INDEX(Inputs!$D$4:$AG$150,0,MATCH(O$2,Inputs!$D$2:$AG$2,0)),Inputs!$B$4:$B$150,$B62)/1000)</f>
        <v>2935</v>
      </c>
      <c r="P62" s="11">
        <f>IF(SUMPRODUCT((Inputs!$B$4:$B$150=$B62)*ISNUMBER(INDEX(Inputs!$D$4:$AG$150,0,MATCH(P$2,Inputs!$D$2:$AG$2,0))))=0,"",SUMIFS(INDEX(Inputs!$D$4:$AG$150,0,MATCH(P$2,Inputs!$D$2:$AG$2,0)),Inputs!$B$4:$B$150,$B62)/1000)</f>
        <v>2864</v>
      </c>
      <c r="Q62" s="11">
        <f>IF(SUMPRODUCT((Inputs!$B$4:$B$150=$B62)*ISNUMBER(INDEX(Inputs!$D$4:$AG$150,0,MATCH(Q$2,Inputs!$D$2:$AG$2,0))))=0,"",SUMIFS(INDEX(Inputs!$D$4:$AG$150,0,MATCH(Q$2,Inputs!$D$2:$AG$2,0)),Inputs!$B$4:$B$150,$B62)/1000)</f>
        <v>2907</v>
      </c>
      <c r="R62" s="12">
        <f>IF(COUNT(N62:Q62)=4,SUM(N62:Q62),"")</f>
        <v>11306</v>
      </c>
      <c r="S62" s="11">
        <f>IF(SUMPRODUCT((Inputs!$B$4:$B$150=$B62)*ISNUMBER(INDEX(Inputs!$D$4:$AG$150,0,MATCH(S$2,Inputs!$D$2:$AG$2,0))))=0,"",SUMIFS(INDEX(Inputs!$D$4:$AG$150,0,MATCH(S$2,Inputs!$D$2:$AG$2,0)),Inputs!$B$4:$B$150,$B62)/1000)</f>
        <v>2999</v>
      </c>
      <c r="T62" s="11">
        <f>IF(SUMPRODUCT((Inputs!$B$4:$B$150=$B62)*ISNUMBER(INDEX(Inputs!$D$4:$AG$150,0,MATCH(T$2,Inputs!$D$2:$AG$2,0))))=0,"",SUMIFS(INDEX(Inputs!$D$4:$AG$150,0,MATCH(T$2,Inputs!$D$2:$AG$2,0)),Inputs!$B$4:$B$150,$B62)/1000)</f>
        <v>3013</v>
      </c>
      <c r="U62" s="11">
        <f>IF(SUMPRODUCT((Inputs!$B$4:$B$150=$B62)*ISNUMBER(INDEX(Inputs!$D$4:$AG$150,0,MATCH(U$2,Inputs!$D$2:$AG$2,0))))=0,"",SUMIFS(INDEX(Inputs!$D$4:$AG$150,0,MATCH(U$2,Inputs!$D$2:$AG$2,0)),Inputs!$B$4:$B$150,$B62)/1000)</f>
        <v>2632</v>
      </c>
      <c r="V62" s="11">
        <f>IF(SUMPRODUCT((Inputs!$B$4:$B$150=$B62)*ISNUMBER(INDEX(Inputs!$D$4:$AG$150,0,MATCH(V$2,Inputs!$D$2:$AG$2,0))))=0,"",SUMIFS(INDEX(Inputs!$D$4:$AG$150,0,MATCH(V$2,Inputs!$D$2:$AG$2,0)),Inputs!$B$4:$B$150,$B62)/1000)</f>
        <v>3122</v>
      </c>
      <c r="W62" s="12">
        <f>IF(COUNT(S62:V62)=4,SUM(S62:V62),"")</f>
        <v>11766</v>
      </c>
      <c r="X62" s="11">
        <f>IF(SUMPRODUCT((Inputs!$B$4:$B$150=$B62)*ISNUMBER(INDEX(Inputs!$D$4:$AG$150,0,MATCH(X$2,Inputs!$D$2:$AG$2,0))))=0,"",SUMIFS(INDEX(Inputs!$D$4:$AG$150,0,MATCH(X$2,Inputs!$D$2:$AG$2,0)),Inputs!$B$4:$B$150,$B62)/1000)</f>
        <v>3027</v>
      </c>
      <c r="Y62" s="11">
        <f>IF(SUMPRODUCT((Inputs!$B$4:$B$150=$B62)*ISNUMBER(INDEX(Inputs!$D$4:$AG$150,0,MATCH(Y$2,Inputs!$D$2:$AG$2,0))))=0,"",SUMIFS(INDEX(Inputs!$D$4:$AG$150,0,MATCH(Y$2,Inputs!$D$2:$AG$2,0)),Inputs!$B$4:$B$150,$B62)/1000)</f>
        <v>3006</v>
      </c>
      <c r="Z62" s="11">
        <f>IF(SUMPRODUCT((Inputs!$B$4:$B$150=$B62)*ISNUMBER(INDEX(Inputs!$D$4:$AG$150,0,MATCH(Z$2,Inputs!$D$2:$AG$2,0))))=0,"",SUMIFS(INDEX(Inputs!$D$4:$AG$150,0,MATCH(Z$2,Inputs!$D$2:$AG$2,0)),Inputs!$B$4:$B$150,$B62)/1000)</f>
        <v>3298</v>
      </c>
      <c r="AA62" s="11">
        <f>IF(SUMPRODUCT((Inputs!$B$4:$B$150=$B62)*ISNUMBER(INDEX(Inputs!$D$4:$AG$150,0,MATCH(AA$2,Inputs!$D$2:$AG$2,0))))=0,"",SUMIFS(INDEX(Inputs!$D$4:$AG$150,0,MATCH(AA$2,Inputs!$D$2:$AG$2,0)),Inputs!$B$4:$B$150,$B62)/1000)</f>
        <v>3063</v>
      </c>
      <c r="AB62" s="12">
        <f>IF(COUNT(X62:AA62)=4,SUM(X62:AA62),"")</f>
        <v>12394</v>
      </c>
      <c r="AC62" s="11">
        <f>IF(SUMPRODUCT((Inputs!$B$4:$B$150=$B62)*ISNUMBER(INDEX(Inputs!$D$4:$AG$150,0,MATCH(AC$2,Inputs!$D$2:$AG$2,0))))=0,"",SUMIFS(INDEX(Inputs!$D$4:$AG$150,0,MATCH(AC$2,Inputs!$D$2:$AG$2,0)),Inputs!$B$4:$B$150,$B62)/1000)</f>
        <v>3190</v>
      </c>
      <c r="AD62" s="11">
        <f>IF(SUMPRODUCT((Inputs!$B$4:$B$150=$B62)*ISNUMBER(INDEX(Inputs!$D$4:$AG$150,0,MATCH(AD$2,Inputs!$D$2:$AG$2,0))))=0,"",SUMIFS(INDEX(Inputs!$D$4:$AG$150,0,MATCH(AD$2,Inputs!$D$2:$AG$2,0)),Inputs!$B$4:$B$150,$B62)/1000)</f>
        <v>3280</v>
      </c>
      <c r="AE62" s="11" t="str">
        <f>IF(SUMPRODUCT((Inputs!$B$4:$B$150=$B62)*ISNUMBER(INDEX(Inputs!$D$4:$AG$150,0,MATCH(AE$2,Inputs!$D$2:$AG$2,0))))=0,"",SUMIFS(INDEX(Inputs!$D$4:$AG$150,0,MATCH(AE$2,Inputs!$D$2:$AG$2,0)),Inputs!$B$4:$B$150,$B62)/1000)</f>
        <v/>
      </c>
      <c r="AF62" s="11" t="str">
        <f>IF(SUMPRODUCT((Inputs!$B$4:$B$150=$B62)*ISNUMBER(INDEX(Inputs!$D$4:$AG$150,0,MATCH(AF$2,Inputs!$D$2:$AG$2,0))))=0,"",SUMIFS(INDEX(Inputs!$D$4:$AG$150,0,MATCH(AF$2,Inputs!$D$2:$AG$2,0)),Inputs!$B$4:$B$150,$B62)/1000)</f>
        <v/>
      </c>
      <c r="AG62" s="12" t="str">
        <f>IF(COUNT(AC62:AF62)=4,SUM(AC62:AF62),"")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3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</v>
      </c>
      <c r="J1" s="12">
        <f>IF(J2="","",SUM(J2,J3))</f>
        <v>0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0</v>
      </c>
      <c r="O1" s="12">
        <f>IF(O2="","",SUM(O2,O3))</f>
        <v>0</v>
      </c>
      <c r="P1" s="12">
        <f>IF(P2="","",SUM(P2,P3))</f>
        <v>0</v>
      </c>
      <c r="Q1" s="12">
        <f>IF(Q2="","",SUM(Q2,Q3))</f>
        <v>0</v>
      </c>
      <c r="R1" s="12">
        <f>IF(R2="","",SUM(R2,R3))</f>
        <v>0</v>
      </c>
      <c r="S1" s="12">
        <f>IF(S2="","",SUM(S2,S3))</f>
        <v>0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0</v>
      </c>
      <c r="AD1" s="12">
        <f>IF(AD2="","",SUM(AD2,AD3))</f>
        <v>0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1680.13168142207</v>
      </c>
      <c r="AK1" s="12">
        <f>IF(AK2="","",SUM(AK2,AK3))</f>
        <v>1834.70126810564</v>
      </c>
      <c r="AL1" s="12">
        <f>IF(AL2="","",SUM(AL2,AL3))</f>
        <v>6838.83294952771</v>
      </c>
      <c r="AM1" s="12">
        <f>IF(AM2="","",SUM(AM2,AM3))</f>
        <v>1627.04352898636</v>
      </c>
      <c r="AN1" s="12">
        <f>IF(AN2="","",SUM(AN2,AN3))</f>
        <v>1811.40748693487</v>
      </c>
      <c r="AO1" s="12">
        <f>IF(AO2="","",SUM(AO2,AO3))</f>
        <v>1773.66917579666</v>
      </c>
      <c r="AP1" s="12">
        <f>IF(AP2="","",SUM(AP2,AP3))</f>
        <v>1936.84407122166</v>
      </c>
      <c r="AQ1" s="12">
        <f>IF(AQ2="","",SUM(AQ2,AQ3))</f>
        <v>7148.96426293954</v>
      </c>
      <c r="AR1" s="12">
        <f>IF(AR2="","",SUM(AR2,AR3))</f>
        <v>1709.49024406884</v>
      </c>
      <c r="AS1" s="12">
        <f>IF(AS2="","",SUM(AS2,AS3))</f>
        <v>1903.19642454653</v>
      </c>
      <c r="AT1" s="12">
        <f>IF(AT2="","",SUM(AT2,AT3))</f>
        <v>1863.54581067599</v>
      </c>
      <c r="AU1" s="12">
        <f>IF(AU2="","",SUM(AU2,AU3))</f>
        <v>2034.98922127717</v>
      </c>
      <c r="AV1" s="12">
        <f>IF(AV2="","",SUM(AV2,AV3))</f>
        <v>7511.22170056853</v>
      </c>
      <c r="AW1" s="12">
        <f>IF(AW2="","",SUM(AW2,AW3))</f>
        <v>1787.56730693069</v>
      </c>
      <c r="AX1" s="12">
        <f>IF(AX2="","",SUM(AX2,AX3))</f>
        <v>1990.12057482662</v>
      </c>
      <c r="AY1" s="12">
        <f>IF(AY2="","",SUM(AY2,AY3))</f>
        <v>1948.65900971934</v>
      </c>
      <c r="AZ1" s="12">
        <f>IF(AZ2="","",SUM(AZ2,AZ3))</f>
        <v>2127.93270656707</v>
      </c>
      <c r="BA1" s="12">
        <f>IF(BA2="","",SUM(BA2,BA3))</f>
        <v>7854.27959804372</v>
      </c>
      <c r="BB1" s="12">
        <f>IF(BB2="","",SUM(BB2,BB3))</f>
        <v>1860.27252479618</v>
      </c>
      <c r="BC1" s="12">
        <f>IF(BC2="","",SUM(BC2,BC3))</f>
        <v>2071.06418428421</v>
      </c>
      <c r="BD1" s="12">
        <f>IF(BD2="","",SUM(BD2,BD3))</f>
        <v>2027.91626470374</v>
      </c>
      <c r="BE1" s="12">
        <f>IF(BE2="","",SUM(BE2,BE3))</f>
        <v>2214.48150975575</v>
      </c>
      <c r="BF1" s="12">
        <f>IF(BF2="","",SUM(BF2,BF3))</f>
        <v>8173.73448353987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IF(COUNT(I188,I264)&lt;2,"",ABS(I188-I264))</f>
        <v>0</v>
      </c>
      <c r="J2" s="12">
        <f>IF(COUNT(J188,J264)&lt;2,"",ABS(J188-J264))</f>
        <v>0</v>
      </c>
      <c r="K2" s="12">
        <f>IF(COUNT(K188,K264)&lt;2,"",ABS(K188-K264))</f>
        <v>0</v>
      </c>
      <c r="L2" s="12">
        <f>IF(COUNT(L188,L264)&lt;2,"",ABS(L188-L264))</f>
        <v>0</v>
      </c>
      <c r="M2" s="12">
        <f>IF(COUNT(M188,M264)&lt;2,"",ABS(M188-M264))</f>
        <v>0</v>
      </c>
      <c r="N2" s="12">
        <f>IF(COUNT(N188,N264)&lt;2,"",ABS(N188-N264))</f>
        <v>0</v>
      </c>
      <c r="O2" s="12">
        <f>IF(COUNT(O188,O264)&lt;2,"",ABS(O188-O264))</f>
        <v>0</v>
      </c>
      <c r="P2" s="12">
        <f>IF(COUNT(P188,P264)&lt;2,"",ABS(P188-P264))</f>
        <v>0</v>
      </c>
      <c r="Q2" s="12">
        <f>IF(COUNT(Q188,Q264)&lt;2,"",ABS(Q188-Q264))</f>
        <v>0</v>
      </c>
      <c r="R2" s="12">
        <f>IF(COUNT(R188,R264)&lt;2,"",ABS(R188-R264))</f>
        <v>0</v>
      </c>
      <c r="S2" s="12">
        <f>IF(COUNT(S188,S264)&lt;2,"",ABS(S188-S264))</f>
        <v>0</v>
      </c>
      <c r="T2" s="12">
        <f>IF(COUNT(T188,T264)&lt;2,"",ABS(T188-T264))</f>
        <v>0</v>
      </c>
      <c r="U2" s="12">
        <f>IF(COUNT(U188,U264)&lt;2,"",ABS(U188-U264))</f>
        <v>0</v>
      </c>
      <c r="V2" s="12">
        <f>IF(COUNT(V188,V264)&lt;2,"",ABS(V188-V264))</f>
        <v>0</v>
      </c>
      <c r="W2" s="12">
        <f>IF(COUNT(W188,W264)&lt;2,"",ABS(W188-W264))</f>
        <v>0</v>
      </c>
      <c r="X2" s="12">
        <f>IF(COUNT(X188,X264)&lt;2,"",ABS(X188-X264))</f>
        <v>0</v>
      </c>
      <c r="Y2" s="12">
        <f>IF(COUNT(Y188,Y264)&lt;2,"",ABS(Y188-Y264))</f>
        <v>0</v>
      </c>
      <c r="Z2" s="12">
        <f>IF(COUNT(Z188,Z264)&lt;2,"",ABS(Z188-Z264))</f>
        <v>0</v>
      </c>
      <c r="AA2" s="12">
        <f>IF(COUNT(AA188,AA264)&lt;2,"",ABS(AA188-AA264))</f>
        <v>0</v>
      </c>
      <c r="AB2" s="12">
        <f>IF(COUNT(AB188,AB264)&lt;2,"",ABS(AB188-AB264))</f>
        <v>0</v>
      </c>
      <c r="AC2" s="12">
        <f>IF(COUNT(AC188,AC264)&lt;2,"",ABS(AC188-AC264))</f>
        <v>0</v>
      </c>
      <c r="AD2" s="12">
        <f>IF(COUNT(AD188,AD264)&lt;2,"",ABS(AD188-AD264))</f>
        <v>0</v>
      </c>
      <c r="AE2" s="12">
        <f>IF(COUNT(AE188,AE264)&lt;2,"",ABS(AE188-AE264))</f>
        <v>0</v>
      </c>
      <c r="AF2" s="12">
        <f>IF(COUNT(AF188,AF264)&lt;2,"",ABS(AF188-AF264))</f>
        <v>0</v>
      </c>
      <c r="AG2" s="12">
        <f>IF(COUNT(AG188,AG264)&lt;2,"",ABS(AG188-AG264))</f>
        <v>0</v>
      </c>
      <c r="AH2" s="12">
        <f>IF(COUNT(AH188,AH264)&lt;2,"",ABS(AH188-AH264))</f>
        <v>0</v>
      </c>
      <c r="AI2" s="12">
        <f>IF(COUNT(AI188,AI264)&lt;2,"",ABS(AI188-AI264))</f>
        <v>0</v>
      </c>
      <c r="AJ2" s="12">
        <f>IF(COUNT(AJ188,AJ264)&lt;2,"",ABS(AJ188-AJ264))</f>
        <v>0</v>
      </c>
      <c r="AK2" s="12">
        <f>IF(COUNT(AK188,AK264)&lt;2,"",ABS(AK188-AK264))</f>
        <v>0</v>
      </c>
      <c r="AL2" s="12">
        <f>IF(COUNT(AL188,AL264)&lt;2,"",ABS(AL188-AL264))</f>
        <v>0</v>
      </c>
      <c r="AM2" s="12">
        <f>IF(COUNT(AM188,AM264)&lt;2,"",ABS(AM188-AM264))</f>
        <v>0</v>
      </c>
      <c r="AN2" s="12">
        <f>IF(COUNT(AN188,AN264)&lt;2,"",ABS(AN188-AN264))</f>
        <v>0</v>
      </c>
      <c r="AO2" s="12">
        <f>IF(COUNT(AO188,AO264)&lt;2,"",ABS(AO188-AO264))</f>
        <v>0</v>
      </c>
      <c r="AP2" s="12">
        <f>IF(COUNT(AP188,AP264)&lt;2,"",ABS(AP188-AP264))</f>
        <v>0</v>
      </c>
      <c r="AQ2" s="12">
        <f>IF(COUNT(AQ188,AQ264)&lt;2,"",ABS(AQ188-AQ264))</f>
        <v>0</v>
      </c>
      <c r="AR2" s="12">
        <f>IF(COUNT(AR188,AR264)&lt;2,"",ABS(AR188-AR264))</f>
        <v>0</v>
      </c>
      <c r="AS2" s="12">
        <f>IF(COUNT(AS188,AS264)&lt;2,"",ABS(AS188-AS264))</f>
        <v>0</v>
      </c>
      <c r="AT2" s="12">
        <f>IF(COUNT(AT188,AT264)&lt;2,"",ABS(AT188-AT264))</f>
        <v>0</v>
      </c>
      <c r="AU2" s="12">
        <f>IF(COUNT(AU188,AU264)&lt;2,"",ABS(AU188-AU264))</f>
        <v>0</v>
      </c>
      <c r="AV2" s="12">
        <f>IF(COUNT(AV188,AV264)&lt;2,"",ABS(AV188-AV264))</f>
        <v>0</v>
      </c>
      <c r="AW2" s="12">
        <f>IF(COUNT(AW188,AW264)&lt;2,"",ABS(AW188-AW264))</f>
        <v>0</v>
      </c>
      <c r="AX2" s="12">
        <f>IF(COUNT(AX188,AX264)&lt;2,"",ABS(AX188-AX264))</f>
        <v>0</v>
      </c>
      <c r="AY2" s="12">
        <f>IF(COUNT(AY188,AY264)&lt;2,"",ABS(AY188-AY264))</f>
        <v>0</v>
      </c>
      <c r="AZ2" s="12">
        <f>IF(COUNT(AZ188,AZ264)&lt;2,"",ABS(AZ188-AZ264))</f>
        <v>0</v>
      </c>
      <c r="BA2" s="12">
        <f>IF(COUNT(BA188,BA264)&lt;2,"",ABS(BA188-BA264))</f>
        <v>0</v>
      </c>
      <c r="BB2" s="12">
        <f>IF(COUNT(BB188,BB264)&lt;2,"",ABS(BB188-BB264))</f>
        <v>0</v>
      </c>
      <c r="BC2" s="12">
        <f>IF(COUNT(BC188,BC264)&lt;2,"",ABS(BC188-BC264))</f>
        <v>0</v>
      </c>
      <c r="BD2" s="12">
        <f>IF(COUNT(BD188,BD264)&lt;2,"",ABS(BD188-BD264))</f>
        <v>0</v>
      </c>
      <c r="BE2" s="12">
        <f>IF(COUNT(BE188,BE264)&lt;2,"",ABS(BE188-BE264))</f>
        <v>0</v>
      </c>
      <c r="BF2" s="12">
        <f>IF(COUNT(BF188,BF264)&lt;2,"",ABS(BF188-BF264))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IF(COUNT(I128,I4)&lt;2,"",ABS(I128-I4))</f>
        <v>0</v>
      </c>
      <c r="J3" s="12">
        <f>IF(COUNT(J128,J4)&lt;2,"",ABS(J128-J4))</f>
        <v>0</v>
      </c>
      <c r="K3" s="12">
        <f>IF(COUNT(K128,K4)&lt;2,"",ABS(K128-K4))</f>
        <v>0</v>
      </c>
      <c r="L3" s="12">
        <f>IF(COUNT(L128,L4)&lt;2,"",ABS(L128-L4))</f>
        <v>0</v>
      </c>
      <c r="M3" s="12">
        <f>IF(COUNT(M128,M4)&lt;2,"",ABS(M128-M4))</f>
        <v>0</v>
      </c>
      <c r="N3" s="12">
        <f>IF(COUNT(N128,N4)&lt;2,"",ABS(N128-N4))</f>
        <v>0</v>
      </c>
      <c r="O3" s="12">
        <f>IF(COUNT(O128,O4)&lt;2,"",ABS(O128-O4))</f>
        <v>0</v>
      </c>
      <c r="P3" s="12">
        <f>IF(COUNT(P128,P4)&lt;2,"",ABS(P128-P4))</f>
        <v>0</v>
      </c>
      <c r="Q3" s="12">
        <f>IF(COUNT(Q128,Q4)&lt;2,"",ABS(Q128-Q4))</f>
        <v>0</v>
      </c>
      <c r="R3" s="12">
        <f>IF(COUNT(R128,R4)&lt;2,"",ABS(R128-R4))</f>
        <v>0</v>
      </c>
      <c r="S3" s="12">
        <f>IF(COUNT(S128,S4)&lt;2,"",ABS(S128-S4))</f>
        <v>0</v>
      </c>
      <c r="T3" s="12">
        <f>IF(COUNT(T128,T4)&lt;2,"",ABS(T128-T4))</f>
        <v>0</v>
      </c>
      <c r="U3" s="12">
        <f>IF(COUNT(U128,U4)&lt;2,"",ABS(U128-U4))</f>
        <v>0</v>
      </c>
      <c r="V3" s="12">
        <f>IF(COUNT(V128,V4)&lt;2,"",ABS(V128-V4))</f>
        <v>0</v>
      </c>
      <c r="W3" s="12">
        <f>IF(COUNT(W128,W4)&lt;2,"",ABS(W128-W4))</f>
        <v>0</v>
      </c>
      <c r="X3" s="12">
        <f>IF(COUNT(X128,X4)&lt;2,"",ABS(X128-X4))</f>
        <v>0</v>
      </c>
      <c r="Y3" s="12">
        <f>IF(COUNT(Y128,Y4)&lt;2,"",ABS(Y128-Y4))</f>
        <v>0</v>
      </c>
      <c r="Z3" s="12">
        <f>IF(COUNT(Z128,Z4)&lt;2,"",ABS(Z128-Z4))</f>
        <v>0</v>
      </c>
      <c r="AA3" s="12">
        <f>IF(COUNT(AA128,AA4)&lt;2,"",ABS(AA128-AA4))</f>
        <v>0</v>
      </c>
      <c r="AB3" s="12">
        <f>IF(COUNT(AB128,AB4)&lt;2,"",ABS(AB128-AB4))</f>
        <v>0</v>
      </c>
      <c r="AC3" s="12">
        <f>IF(COUNT(AC128,AC4)&lt;2,"",ABS(AC128-AC4))</f>
        <v>0</v>
      </c>
      <c r="AD3" s="12">
        <f>IF(COUNT(AD128,AD4)&lt;2,"",ABS(AD128-AD4))</f>
        <v>0</v>
      </c>
      <c r="AE3" s="12">
        <f>IF(COUNT(AE128,AE4)&lt;2,"",ABS(AE128-AE4))</f>
        <v>0</v>
      </c>
      <c r="AF3" s="12">
        <f>IF(COUNT(AF128,AF4)&lt;2,"",ABS(AF128-AF4))</f>
        <v>0</v>
      </c>
      <c r="AG3" s="12">
        <f>IF(COUNT(AG128,AG4)&lt;2,"",ABS(AG128-AG4))</f>
        <v>0</v>
      </c>
      <c r="AH3" s="12">
        <f>IF(COUNT(AH128,AH4)&lt;2,"",ABS(AH128-AH4))</f>
        <v>0</v>
      </c>
      <c r="AI3" s="12">
        <f>IF(COUNT(AI128,AI4)&lt;2,"",ABS(AI128-AI4))</f>
        <v>0</v>
      </c>
      <c r="AJ3" s="12">
        <f>ABS(AJ128-AJ4)</f>
        <v>1680.13168142207</v>
      </c>
      <c r="AK3" s="12">
        <f>ABS(AK128-AK4)</f>
        <v>1834.70126810564</v>
      </c>
      <c r="AL3" s="12">
        <f>ABS(AL128-AL4)</f>
        <v>6838.83294952771</v>
      </c>
      <c r="AM3" s="12">
        <f>ABS(AM128-AM4)</f>
        <v>1627.04352898636</v>
      </c>
      <c r="AN3" s="12">
        <f>ABS(AN128-AN4)</f>
        <v>1811.40748693487</v>
      </c>
      <c r="AO3" s="12">
        <f>ABS(AO128-AO4)</f>
        <v>1773.66917579666</v>
      </c>
      <c r="AP3" s="12">
        <f>ABS(AP128-AP4)</f>
        <v>1936.84407122166</v>
      </c>
      <c r="AQ3" s="12">
        <f>ABS(AQ128-AQ4)</f>
        <v>7148.96426293954</v>
      </c>
      <c r="AR3" s="12">
        <f>ABS(AR128-AR4)</f>
        <v>1709.49024406884</v>
      </c>
      <c r="AS3" s="12">
        <f>ABS(AS128-AS4)</f>
        <v>1903.19642454653</v>
      </c>
      <c r="AT3" s="12">
        <f>ABS(AT128-AT4)</f>
        <v>1863.54581067599</v>
      </c>
      <c r="AU3" s="12">
        <f>ABS(AU128-AU4)</f>
        <v>2034.98922127717</v>
      </c>
      <c r="AV3" s="12">
        <f>ABS(AV128-AV4)</f>
        <v>7511.22170056853</v>
      </c>
      <c r="AW3" s="12">
        <f>ABS(AW128-AW4)</f>
        <v>1787.56730693069</v>
      </c>
      <c r="AX3" s="12">
        <f>ABS(AX128-AX4)</f>
        <v>1990.12057482662</v>
      </c>
      <c r="AY3" s="12">
        <f>ABS(AY128-AY4)</f>
        <v>1948.65900971934</v>
      </c>
      <c r="AZ3" s="12">
        <f>ABS(AZ128-AZ4)</f>
        <v>2127.93270656707</v>
      </c>
      <c r="BA3" s="12">
        <f>ABS(BA128-BA4)</f>
        <v>7854.27959804372</v>
      </c>
      <c r="BB3" s="12">
        <f>ABS(BB128-BB4)</f>
        <v>1860.27252479618</v>
      </c>
      <c r="BC3" s="12">
        <f>ABS(BC128-BC4)</f>
        <v>2071.06418428421</v>
      </c>
      <c r="BD3" s="12">
        <f>ABS(BD128-BD4)</f>
        <v>2027.91626470374</v>
      </c>
      <c r="BE3" s="12">
        <f>ABS(BE128-BE4)</f>
        <v>2214.48150975575</v>
      </c>
      <c r="BF3" s="12">
        <f>ABS(BF128-BF4)</f>
        <v>8173.73448353987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1837</v>
      </c>
      <c r="J4">
        <f>IF(ISNUMBER('Inputs (2)'!E50),'Inputs (2)'!E50,"")</f>
        <v>1815</v>
      </c>
      <c r="K4">
        <f>IF(ISNUMBER('Inputs (2)'!F50),'Inputs (2)'!F50,"")</f>
        <v>614</v>
      </c>
      <c r="L4">
        <f>IF(ISNUMBER('Inputs (2)'!G50),'Inputs (2)'!G50,"")</f>
        <v>2049</v>
      </c>
      <c r="M4" s="11">
        <f>IF(COUNT(I4:L4)=4,SUM(I4:L4),"")</f>
        <v>6315</v>
      </c>
      <c r="N4">
        <f>IF(ISNUMBER('Inputs (2)'!I50),'Inputs (2)'!I50,"")</f>
        <v>1733</v>
      </c>
      <c r="O4">
        <f>IF(ISNUMBER('Inputs (2)'!J50),'Inputs (2)'!J50,"")</f>
        <v>309</v>
      </c>
      <c r="P4">
        <f>IF(ISNUMBER('Inputs (2)'!K50),'Inputs (2)'!K50,"")</f>
        <v>1778</v>
      </c>
      <c r="Q4">
        <f>IF(ISNUMBER('Inputs (2)'!L50),'Inputs (2)'!L50,"")</f>
        <v>1912</v>
      </c>
      <c r="R4" s="11">
        <f>IF(COUNT(N4:Q4)=4,SUM(N4:Q4),"")</f>
        <v>5732</v>
      </c>
      <c r="S4">
        <f>IF(ISNUMBER('Inputs (2)'!N50),'Inputs (2)'!N50,"")</f>
        <v>1689</v>
      </c>
      <c r="T4">
        <f>IF(ISNUMBER('Inputs (2)'!O50),'Inputs (2)'!O50,"")</f>
        <v>1681</v>
      </c>
      <c r="U4">
        <f>IF(ISNUMBER('Inputs (2)'!P50),'Inputs (2)'!P50,"")</f>
        <v>1684</v>
      </c>
      <c r="V4">
        <f>IF(ISNUMBER('Inputs (2)'!Q50),'Inputs (2)'!Q50,"")</f>
        <v>1866</v>
      </c>
      <c r="W4" s="11">
        <f>IF(COUNT(S4:V4)=4,SUM(S4:V4),"")</f>
        <v>6920</v>
      </c>
      <c r="X4">
        <f>IF(ISNUMBER('Inputs (2)'!S50),'Inputs (2)'!S50,"")</f>
        <v>1545</v>
      </c>
      <c r="Y4">
        <f>IF(ISNUMBER('Inputs (2)'!T50),'Inputs (2)'!T50,"")</f>
        <v>1641</v>
      </c>
      <c r="Z4">
        <f>IF(ISNUMBER('Inputs (2)'!U50),'Inputs (2)'!U50,"")</f>
        <v>1623</v>
      </c>
      <c r="AA4">
        <f>IF(ISNUMBER('Inputs (2)'!V50),'Inputs (2)'!V50,"")</f>
        <v>527</v>
      </c>
      <c r="AB4" s="11">
        <f>IF(COUNT(X4:AA4)=4,SUM(X4:AA4),"")</f>
        <v>5336</v>
      </c>
      <c r="AC4">
        <f>IF(ISNUMBER('Inputs (2)'!X50),'Inputs (2)'!X50,"")</f>
        <v>1712</v>
      </c>
      <c r="AD4">
        <f>IF(ISNUMBER('Inputs (2)'!Y50),'Inputs (2)'!Y50,"")</f>
        <v>342</v>
      </c>
      <c r="AE4">
        <f>IF(ISNUMBER('Inputs (2)'!Z50),'Inputs (2)'!Z50,"")</f>
        <v>1619</v>
      </c>
      <c r="AF4">
        <f>IF(ISNUMBER('Inputs (2)'!AA50),'Inputs (2)'!AA50,"")</f>
        <v>1344</v>
      </c>
      <c r="AG4" s="11">
        <f>IF(COUNT(AC4:AF4)=4,SUM(AC4:AF4),"")</f>
        <v>5017</v>
      </c>
      <c r="AH4" s="11">
        <f>IF(ISNUMBER('Inputs (2)'!AC50),'Inputs (2)'!AC50,"")</f>
        <v>1488</v>
      </c>
      <c r="AI4" s="11">
        <f>IF(ISNUMBER('Inputs (2)'!AD50),'Inputs (2)'!AD50,"")</f>
        <v>1836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16258</v>
      </c>
      <c r="J15" s="34">
        <f>'Inputs (2)'!E4</f>
        <v>17029</v>
      </c>
      <c r="K15" s="34">
        <f>'Inputs (2)'!F4</f>
        <v>16028</v>
      </c>
      <c r="L15" s="34">
        <f>'Inputs (2)'!G4</f>
        <v>17729</v>
      </c>
      <c r="M15" s="35">
        <f>'Inputs (2)'!H4</f>
        <v>67044</v>
      </c>
      <c r="N15" s="34">
        <f>'Inputs (2)'!I4</f>
        <v>14964</v>
      </c>
      <c r="O15" s="34">
        <f>'Inputs (2)'!J4</f>
        <v>15446</v>
      </c>
      <c r="P15" s="34">
        <f>'Inputs (2)'!K4</f>
        <v>16583</v>
      </c>
      <c r="Q15" s="34">
        <f>'Inputs (2)'!L4</f>
        <v>18991</v>
      </c>
      <c r="R15" s="35">
        <f>'Inputs (2)'!M4</f>
        <v>65984</v>
      </c>
      <c r="S15" s="34">
        <f>'Inputs (2)'!N4</f>
        <v>15126</v>
      </c>
      <c r="T15" s="34">
        <f>'Inputs (2)'!O4</f>
        <v>16693</v>
      </c>
      <c r="U15" s="34">
        <f>'Inputs (2)'!P4</f>
        <v>16878</v>
      </c>
      <c r="V15" s="34">
        <f>'Inputs (2)'!Q4</f>
        <v>18874</v>
      </c>
      <c r="W15" s="35">
        <f>'Inputs (2)'!R4</f>
        <v>67571</v>
      </c>
      <c r="X15" s="34">
        <f>'Inputs (2)'!S4</f>
        <v>17195</v>
      </c>
      <c r="Y15" s="34">
        <f>'Inputs (2)'!T4</f>
        <v>18122</v>
      </c>
      <c r="Z15" s="34">
        <f>'Inputs (2)'!U4</f>
        <v>17104</v>
      </c>
      <c r="AA15" s="34">
        <f>'Inputs (2)'!V4</f>
        <v>18622</v>
      </c>
      <c r="AB15" s="35">
        <f>'Inputs (2)'!W4</f>
        <v>71043</v>
      </c>
      <c r="AC15" s="34">
        <f>'Inputs (2)'!X4</f>
        <v>17963</v>
      </c>
      <c r="AD15" s="34">
        <f>'Inputs (2)'!Y4</f>
        <v>18155</v>
      </c>
      <c r="AE15" s="34">
        <f>'Inputs (2)'!Z4</f>
        <v>18609</v>
      </c>
      <c r="AF15" s="34">
        <f>'Inputs (2)'!AA4</f>
        <v>20321</v>
      </c>
      <c r="AG15" s="35">
        <f>'Inputs (2)'!AB4</f>
        <v>75048</v>
      </c>
      <c r="AH15" s="35">
        <f>'Inputs (2)'!AC4</f>
        <v>18021</v>
      </c>
      <c r="AI15" s="35">
        <f>'Inputs (2)'!AD4</f>
        <v>20063</v>
      </c>
      <c r="AJ15" s="35">
        <f>AE15*(1+AJ16)</f>
        <v>19645.0135768307</v>
      </c>
      <c r="AK15" s="35">
        <f>AF15*(1+AK16)</f>
        <v>21452.3252670631</v>
      </c>
      <c r="AL15" s="35">
        <f>SUM(AH15:AK15)</f>
        <v>79181.3388438938</v>
      </c>
      <c r="AM15" s="35">
        <f>AH15*(1+AM16)</f>
        <v>19024.2780196715</v>
      </c>
      <c r="AN15" s="35">
        <f>AI15*(1+AN16)</f>
        <v>21179.9617062687</v>
      </c>
      <c r="AO15" s="35">
        <f>AJ15*(1+AO16)</f>
        <v>20738.704843563</v>
      </c>
      <c r="AP15" s="35">
        <f>AK15*(1+AP16)</f>
        <v>22646.634484714</v>
      </c>
      <c r="AQ15" s="35">
        <f>SUM(AM15:AP15)</f>
        <v>83589.5790542172</v>
      </c>
      <c r="AR15" s="35">
        <f>AM15*(1+AR16)</f>
        <v>19988.2898617609</v>
      </c>
      <c r="AS15" s="35">
        <f>AN15*(1+AS16)</f>
        <v>22253.2078961494</v>
      </c>
      <c r="AT15" s="35">
        <f>AO15*(1+AT16)</f>
        <v>21789.5913496432</v>
      </c>
      <c r="AU15" s="35">
        <f>AP15*(1+AU16)</f>
        <v>23794.2009681391</v>
      </c>
      <c r="AV15" s="35">
        <f>SUM(AR15:AU15)</f>
        <v>87825.2900756926</v>
      </c>
      <c r="AW15" s="35">
        <f>AR15*(1+AW16)</f>
        <v>20901.2093530843</v>
      </c>
      <c r="AX15" s="35">
        <f>AS15*(1+AX16)</f>
        <v>23269.5723462033</v>
      </c>
      <c r="AY15" s="35">
        <f>AT15*(1+AY16)</f>
        <v>22784.7811727164</v>
      </c>
      <c r="AZ15" s="35">
        <f>AU15*(1+AZ16)</f>
        <v>24880.9467575243</v>
      </c>
      <c r="BA15" s="35">
        <f>SUM(AW15:AZ15)</f>
        <v>91836.5096295283</v>
      </c>
      <c r="BB15" s="35">
        <f>AW15*(1+BB16)</f>
        <v>21751.3183105352</v>
      </c>
      <c r="BC15" s="35">
        <f>AX15*(1+BC16)</f>
        <v>24216.0090596674</v>
      </c>
      <c r="BD15" s="35">
        <f>AY15*(1+BD16)</f>
        <v>23711.5001123373</v>
      </c>
      <c r="BE15" s="35">
        <f>AZ15*(1+BE16)</f>
        <v>25892.9224452042</v>
      </c>
      <c r="BF15" s="35">
        <f>SUM(BB15:BE15)</f>
        <v>95571.7499277441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-0.0795915856808955</v>
      </c>
      <c r="O16" s="40">
        <f>IFERROR(O15/J15-1,"")</f>
        <v>-0.0929590698220683</v>
      </c>
      <c r="P16" s="40">
        <f>IFERROR(P15/K15-1,"")</f>
        <v>0.0346269029198902</v>
      </c>
      <c r="Q16" s="40">
        <f>IFERROR(Q15/L15-1,"")</f>
        <v>0.0711828078289807</v>
      </c>
      <c r="R16" s="40">
        <f>IFERROR(R15/M15-1,"")</f>
        <v>-0.0158105124992542</v>
      </c>
      <c r="S16" s="40">
        <f>IFERROR(S15/N15-1,"")</f>
        <v>0.0108259823576584</v>
      </c>
      <c r="T16" s="40">
        <f>IFERROR(T15/O15-1,"")</f>
        <v>0.0807328758254564</v>
      </c>
      <c r="U16" s="40">
        <f>IFERROR(U15/P15-1,"")</f>
        <v>0.0177893022975337</v>
      </c>
      <c r="V16" s="40">
        <f>IFERROR(V15/Q15-1,"")</f>
        <v>-0.00616081301669214</v>
      </c>
      <c r="W16" s="40">
        <f>IFERROR(W15/R15-1,"")</f>
        <v>0.0240512851600387</v>
      </c>
      <c r="X16" s="40">
        <f>IFERROR(X15/S15-1,"")</f>
        <v>0.136784344836705</v>
      </c>
      <c r="Y16" s="40">
        <f>IFERROR(Y15/T15-1,"")</f>
        <v>0.0856047445036843</v>
      </c>
      <c r="Z16" s="40">
        <f>IFERROR(Z15/U15-1,"")</f>
        <v>0.0133902121104397</v>
      </c>
      <c r="AA16" s="40">
        <f>IFERROR(AA15/V15-1,"")</f>
        <v>-0.0133517007523577</v>
      </c>
      <c r="AB16" s="40">
        <f>IFERROR(AB15/W15-1,"")</f>
        <v>0.0513829897441209</v>
      </c>
      <c r="AC16" s="40">
        <f>IFERROR(AC15/X15-1,"")</f>
        <v>0.0446641465542308</v>
      </c>
      <c r="AD16" s="40">
        <f>IFERROR(AD15/Y15-1,"")</f>
        <v>0.00182099106058931</v>
      </c>
      <c r="AE16" s="40">
        <f>IFERROR(AE15/Z15-1,"")</f>
        <v>0.0879911131898972</v>
      </c>
      <c r="AF16" s="41">
        <f>IFERROR(AF15/AA15-1,"")</f>
        <v>0.0912361722693589</v>
      </c>
      <c r="AG16" s="40">
        <f>IFERROR(AG15/AB15-1,"")</f>
        <v>0.0563743085173769</v>
      </c>
      <c r="AH16" s="41">
        <f>IFERROR(AH15/AC15-1,"")</f>
        <v>0.00322885932193961</v>
      </c>
      <c r="AI16" s="41">
        <f>IFERROR(AI15/AD15-1,"")</f>
        <v>0.105095015147342</v>
      </c>
      <c r="AJ16" s="41">
        <f>Control!$B$18</f>
        <v>0.0556727162572264</v>
      </c>
      <c r="AK16" s="41">
        <f>Control!$B$18</f>
        <v>0.0556727162572264</v>
      </c>
      <c r="AL16" s="42">
        <f>IFERROR(AL15/AG15-1,"")</f>
        <v>0.0550759359862196</v>
      </c>
      <c r="AM16" s="41">
        <f>Control!$C$18</f>
        <v>0.0556727162572264</v>
      </c>
      <c r="AN16" s="41">
        <f>Control!$C$18</f>
        <v>0.0556727162572264</v>
      </c>
      <c r="AO16" s="41">
        <f>Control!$C$18</f>
        <v>0.0556727162572264</v>
      </c>
      <c r="AP16" s="41">
        <f>Control!$C$18</f>
        <v>0.0556727162572264</v>
      </c>
      <c r="AQ16" s="42">
        <f>IFERROR(AQ15/AL15-1,"")</f>
        <v>0.0556727162572266</v>
      </c>
      <c r="AR16" s="41">
        <f>Control!$D$18</f>
        <v>0.0506727162572264</v>
      </c>
      <c r="AS16" s="41">
        <f>Control!$D$18</f>
        <v>0.0506727162572264</v>
      </c>
      <c r="AT16" s="41">
        <f>Control!$D$18</f>
        <v>0.0506727162572264</v>
      </c>
      <c r="AU16" s="41">
        <f>Control!$D$18</f>
        <v>0.0506727162572264</v>
      </c>
      <c r="AV16" s="42">
        <f>IFERROR(AV15/AQ15-1,"")</f>
        <v>0.0506727162572265</v>
      </c>
      <c r="AW16" s="41">
        <f>Control!$E$18</f>
        <v>0.0456727162572264</v>
      </c>
      <c r="AX16" s="41">
        <f>Control!$E$18</f>
        <v>0.0456727162572264</v>
      </c>
      <c r="AY16" s="41">
        <f>Control!$E$18</f>
        <v>0.0456727162572264</v>
      </c>
      <c r="AZ16" s="41">
        <f>Control!$E$18</f>
        <v>0.0456727162572264</v>
      </c>
      <c r="BA16" s="42">
        <f>IFERROR(BA15/AV15-1,"")</f>
        <v>0.0456727162572264</v>
      </c>
      <c r="BB16" s="41">
        <f>Control!$F$18</f>
        <v>0.0406727162572264</v>
      </c>
      <c r="BC16" s="41">
        <f>Control!$F$18</f>
        <v>0.0406727162572264</v>
      </c>
      <c r="BD16" s="41">
        <f>Control!$F$18</f>
        <v>0.0406727162572264</v>
      </c>
      <c r="BE16" s="41">
        <f>Control!$F$18</f>
        <v>0.0406727162572264</v>
      </c>
      <c r="BF16" s="42">
        <f>IFERROR(BF15/BA15-1,"")</f>
        <v>0.0406727162572262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>
        <f>IF(ISNUMBER(I24),I24,"")</f>
        <v>0</v>
      </c>
      <c r="J17" s="40">
        <f>IF(ISNUMBER(J24),J24,"")</f>
        <v>0</v>
      </c>
      <c r="K17" s="40">
        <f>IF(ISNUMBER(K24),K24,"")</f>
        <v>0</v>
      </c>
      <c r="L17" s="40">
        <f>IF(ISNUMBER(L24),L24,"")</f>
        <v>0</v>
      </c>
      <c r="M17" s="39">
        <f>IF(ISNUMBER(M24),M24,"")</f>
        <v>0</v>
      </c>
      <c r="N17" s="40">
        <f>IF(ISNUMBER(N24),N24,"")</f>
        <v>0</v>
      </c>
      <c r="O17" s="40">
        <f>IF(ISNUMBER(O24),O24,"")</f>
        <v>0</v>
      </c>
      <c r="P17" s="40">
        <f>IF(ISNUMBER(P24),P24,"")</f>
        <v>0</v>
      </c>
      <c r="Q17" s="40">
        <f>IF(ISNUMBER(Q24),Q24,"")</f>
        <v>0</v>
      </c>
      <c r="R17" s="40">
        <f>IF(ISNUMBER(R24),R24,"")</f>
        <v>0</v>
      </c>
      <c r="S17" s="40">
        <f>IF(ISNUMBER(S24),S24,"")</f>
        <v>0</v>
      </c>
      <c r="T17" s="40">
        <f>IF(ISNUMBER(T24),T24,"")</f>
        <v>0</v>
      </c>
      <c r="U17" s="40">
        <f>IF(ISNUMBER(U24),U24,"")</f>
        <v>0</v>
      </c>
      <c r="V17" s="40">
        <f>IF(ISNUMBER(V24),V24,"")</f>
        <v>0</v>
      </c>
      <c r="W17" s="40">
        <f>IF(ISNUMBER(W24),W24,"")</f>
        <v>0</v>
      </c>
      <c r="X17" s="40">
        <f>IF(ISNUMBER(X24),X24,"")</f>
        <v>0</v>
      </c>
      <c r="Y17" s="40">
        <f>IF(ISNUMBER(Y24),Y24,"")</f>
        <v>0</v>
      </c>
      <c r="Z17" s="40">
        <f>IF(ISNUMBER(Z24),Z24,"")</f>
        <v>0</v>
      </c>
      <c r="AA17" s="40">
        <f>IF(ISNUMBER(AA24),AA24,"")</f>
        <v>0</v>
      </c>
      <c r="AB17" s="40">
        <f>IF(ISNUMBER(AB24),AB24,"")</f>
        <v>0</v>
      </c>
      <c r="AC17" s="40">
        <f>IF(ISNUMBER(AC24),AC24,"")</f>
        <v>0</v>
      </c>
      <c r="AD17" s="40">
        <f>IF(ISNUMBER(AD24),AD24,"")</f>
        <v>0</v>
      </c>
      <c r="AE17" s="40">
        <f>IF(ISNUMBER(AE24),AE24,"")</f>
        <v>0</v>
      </c>
      <c r="AF17" s="40">
        <f>IF(ISNUMBER(AF24),AF24,"")</f>
        <v>0</v>
      </c>
      <c r="AG17" s="40">
        <f>IF(ISNUMBER(AG24),AG24,"")</f>
        <v>0</v>
      </c>
      <c r="AH17" s="41">
        <f>IF(ISNUMBER(AH24),AH24,"")</f>
        <v>0</v>
      </c>
      <c r="AI17" s="41">
        <f>IF(ISNUMBER(AI24),AI24,"")</f>
        <v>0</v>
      </c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Segmentos - receita (USD milhões)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 xml:space="preserve">   Aeronautics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>
        <f>IFERROR(INDEX('Inputs (2)'!$D$53:$AL$53,MATCH(I$7&amp;"",'Inputs (2)'!$D$2:$AL$2,0)),"")</f>
        <v>6387</v>
      </c>
      <c r="J19" s="269">
        <f>IFERROR(INDEX('Inputs (2)'!$D$53:$AL$53,MATCH(J$7&amp;"",'Inputs (2)'!$D$2:$AL$2,0)),"")</f>
        <v>6666</v>
      </c>
      <c r="K19" s="269">
        <f>IFERROR(INDEX('Inputs (2)'!$D$53:$AL$53,MATCH(K$7&amp;"",'Inputs (2)'!$D$2:$AL$2,0)),"")</f>
        <v>6568</v>
      </c>
      <c r="L19" s="269">
        <f>IFERROR(INDEX('Inputs (2)'!$D$53:$AL$53,MATCH(L$7&amp;"",'Inputs (2)'!$D$2:$AL$2,0)),"")</f>
        <v>7127</v>
      </c>
      <c r="M19" s="270">
        <f>IF(COUNT(I19:L19)=4,SUM(I19:L19),"")</f>
        <v>26748</v>
      </c>
      <c r="N19" s="269">
        <f>IFERROR(INDEX('Inputs (2)'!$D$53:$AL$53,MATCH(N$7&amp;"",'Inputs (2)'!$D$2:$AL$2,0)),"")</f>
        <v>6401</v>
      </c>
      <c r="O19" s="269">
        <f>IFERROR(INDEX('Inputs (2)'!$D$53:$AL$53,MATCH(O$7&amp;"",'Inputs (2)'!$D$2:$AL$2,0)),"")</f>
        <v>5862</v>
      </c>
      <c r="P19" s="269">
        <f>IFERROR(INDEX('Inputs (2)'!$D$53:$AL$53,MATCH(P$7&amp;"",'Inputs (2)'!$D$2:$AL$2,0)),"")</f>
        <v>7089</v>
      </c>
      <c r="Q19" s="269">
        <f>IFERROR(INDEX('Inputs (2)'!$D$53:$AL$53,MATCH(Q$7&amp;"",'Inputs (2)'!$D$2:$AL$2,0)),"")</f>
        <v>7635</v>
      </c>
      <c r="R19" s="270">
        <f>IF(COUNT(N19:Q19)=4,SUM(N19:Q19),"")</f>
        <v>26987</v>
      </c>
      <c r="S19" s="269">
        <f>IFERROR(INDEX('Inputs (2)'!$D$53:$AL$53,MATCH(S$7&amp;"",'Inputs (2)'!$D$2:$AL$2,0)),"")</f>
        <v>6269</v>
      </c>
      <c r="T19" s="269">
        <f>IFERROR(INDEX('Inputs (2)'!$D$53:$AL$53,MATCH(T$7&amp;"",'Inputs (2)'!$D$2:$AL$2,0)),"")</f>
        <v>6875</v>
      </c>
      <c r="U19" s="269">
        <f>IFERROR(INDEX('Inputs (2)'!$D$53:$AL$53,MATCH(U$7&amp;"",'Inputs (2)'!$D$2:$AL$2,0)),"")</f>
        <v>6717</v>
      </c>
      <c r="V19" s="269">
        <f>IFERROR(INDEX('Inputs (2)'!$D$53:$AL$53,MATCH(V$7&amp;"",'Inputs (2)'!$D$2:$AL$2,0)),"")</f>
        <v>7613</v>
      </c>
      <c r="W19" s="270">
        <f>IF(COUNT(S19:V19)=4,SUM(S19:V19),"")</f>
        <v>27474</v>
      </c>
      <c r="X19" s="269">
        <f>IFERROR(INDEX('Inputs (2)'!$D$53:$AL$53,MATCH(X$7&amp;"",'Inputs (2)'!$D$2:$AL$2,0)),"")</f>
        <v>6845</v>
      </c>
      <c r="Y19" s="269">
        <f>IFERROR(INDEX('Inputs (2)'!$D$53:$AL$53,MATCH(Y$7&amp;"",'Inputs (2)'!$D$2:$AL$2,0)),"")</f>
        <v>7277</v>
      </c>
      <c r="Z19" s="269">
        <f>IFERROR(INDEX('Inputs (2)'!$D$53:$AL$53,MATCH(Z$7&amp;"",'Inputs (2)'!$D$2:$AL$2,0)),"")</f>
        <v>6487</v>
      </c>
      <c r="AA19" s="269">
        <f>IFERROR(INDEX('Inputs (2)'!$D$53:$AL$53,MATCH(AA$7&amp;"",'Inputs (2)'!$D$2:$AL$2,0)),"")</f>
        <v>8009</v>
      </c>
      <c r="AB19" s="270">
        <f>IF(COUNT(X19:AA19)=4,SUM(X19:AA19),"")</f>
        <v>28618</v>
      </c>
      <c r="AC19" s="269">
        <f>IFERROR(INDEX('Inputs (2)'!$D$53:$AL$53,MATCH(AC$7&amp;"",'Inputs (2)'!$D$2:$AL$2,0)),"")</f>
        <v>7057</v>
      </c>
      <c r="AD19" s="269">
        <f>IFERROR(INDEX('Inputs (2)'!$D$53:$AL$53,MATCH(AD$7&amp;"",'Inputs (2)'!$D$2:$AL$2,0)),"")</f>
        <v>7420</v>
      </c>
      <c r="AE19" s="269">
        <f>IFERROR(INDEX('Inputs (2)'!$D$53:$AL$53,MATCH(AE$7&amp;"",'Inputs (2)'!$D$2:$AL$2,0)),"")</f>
        <v>7256</v>
      </c>
      <c r="AF19" s="269">
        <f>IFERROR(INDEX('Inputs (2)'!$D$53:$AL$53,MATCH(AF$7&amp;"",'Inputs (2)'!$D$2:$AL$2,0)),"")</f>
        <v>8524</v>
      </c>
      <c r="AG19" s="270">
        <f>IF(COUNT(AC19:AF19)=4,SUM(AC19:AF19),"")</f>
        <v>30257</v>
      </c>
      <c r="AH19" s="270">
        <f>IFERROR(INDEX('Inputs (2)'!$D$53:$AL$53,MATCH(AH$7&amp;"",'Inputs (2)'!$D$2:$AL$2,0)),"")</f>
        <v>6953</v>
      </c>
      <c r="AI19" s="270">
        <f>IFERROR(INDEX('Inputs (2)'!$D$53:$AL$53,MATCH(AI$7&amp;"",'Inputs (2)'!$D$2:$AL$2,0)),"")</f>
        <v>8112</v>
      </c>
    </row>
    <row r="20">
      <c r="C20" s="268" t="inlineStr">
        <is>
          <t xml:space="preserve">   Missiles and Fire Control</t>
        </is>
      </c>
      <c r="D20" s="269" t="str">
        <f>IFERROR(INDEX('Inputs (2)'!$D$55:$AL$55,MATCH(D$7&amp;"",'Inputs (2)'!$D$2:$AL$2,0)),"")</f>
        <v/>
      </c>
      <c r="E20" s="269" t="str">
        <f>IFERROR(INDEX('Inputs (2)'!$D$55:$AL$55,MATCH(E$7&amp;"",'Inputs (2)'!$D$2:$AL$2,0)),"")</f>
        <v/>
      </c>
      <c r="F20" s="269" t="str">
        <f>IFERROR(INDEX('Inputs (2)'!$D$55:$AL$55,MATCH(F$7&amp;"",'Inputs (2)'!$D$2:$AL$2,0)),"")</f>
        <v/>
      </c>
      <c r="G20" s="269" t="str">
        <f>IFERROR(INDEX('Inputs (2)'!$D$55:$AL$55,MATCH(G$7&amp;"",'Inputs (2)'!$D$2:$AL$2,0)),"")</f>
        <v/>
      </c>
      <c r="H20" s="270" t="str">
        <f>IF(COUNT(D20:G20)=4,SUM(D20:G20),"")</f>
        <v/>
      </c>
      <c r="I20" s="269">
        <f>IFERROR(INDEX('Inputs (2)'!$D$55:$AL$55,MATCH(I$7&amp;"",'Inputs (2)'!$D$2:$AL$2,0)),"")</f>
        <v>2749</v>
      </c>
      <c r="J20" s="269">
        <f>IFERROR(INDEX('Inputs (2)'!$D$55:$AL$55,MATCH(J$7&amp;"",'Inputs (2)'!$D$2:$AL$2,0)),"")</f>
        <v>2944</v>
      </c>
      <c r="K20" s="269">
        <f>IFERROR(INDEX('Inputs (2)'!$D$55:$AL$55,MATCH(K$7&amp;"",'Inputs (2)'!$D$2:$AL$2,0)),"")</f>
        <v>2781</v>
      </c>
      <c r="L20" s="269">
        <f>IFERROR(INDEX('Inputs (2)'!$D$55:$AL$55,MATCH(L$7&amp;"",'Inputs (2)'!$D$2:$AL$2,0)),"")</f>
        <v>3219</v>
      </c>
      <c r="M20" s="270">
        <f>IF(COUNT(I20:L20)=4,SUM(I20:L20),"")</f>
        <v>11693</v>
      </c>
      <c r="N20" s="269">
        <f>IFERROR(INDEX('Inputs (2)'!$D$55:$AL$55,MATCH(N$7&amp;"",'Inputs (2)'!$D$2:$AL$2,0)),"")</f>
        <v>2452</v>
      </c>
      <c r="O20" s="269">
        <f>IFERROR(INDEX('Inputs (2)'!$D$55:$AL$55,MATCH(O$7&amp;"",'Inputs (2)'!$D$2:$AL$2,0)),"")</f>
        <v>2747</v>
      </c>
      <c r="P20" s="269">
        <f>IFERROR(INDEX('Inputs (2)'!$D$55:$AL$55,MATCH(P$7&amp;"",'Inputs (2)'!$D$2:$AL$2,0)),"")</f>
        <v>2831</v>
      </c>
      <c r="Q20" s="269">
        <f>IFERROR(INDEX('Inputs (2)'!$D$55:$AL$55,MATCH(Q$7&amp;"",'Inputs (2)'!$D$2:$AL$2,0)),"")</f>
        <v>3287</v>
      </c>
      <c r="R20" s="270">
        <f>IF(COUNT(N20:Q20)=4,SUM(N20:Q20),"")</f>
        <v>11317</v>
      </c>
      <c r="S20" s="269">
        <f>IFERROR(INDEX('Inputs (2)'!$D$55:$AL$55,MATCH(S$7&amp;"",'Inputs (2)'!$D$2:$AL$2,0)),"")</f>
        <v>2388</v>
      </c>
      <c r="T20" s="269">
        <f>IFERROR(INDEX('Inputs (2)'!$D$55:$AL$55,MATCH(T$7&amp;"",'Inputs (2)'!$D$2:$AL$2,0)),"")</f>
        <v>2755</v>
      </c>
      <c r="U20" s="269">
        <f>IFERROR(INDEX('Inputs (2)'!$D$55:$AL$55,MATCH(U$7&amp;"",'Inputs (2)'!$D$2:$AL$2,0)),"")</f>
        <v>2939</v>
      </c>
      <c r="V20" s="269">
        <f>IFERROR(INDEX('Inputs (2)'!$D$55:$AL$55,MATCH(V$7&amp;"",'Inputs (2)'!$D$2:$AL$2,0)),"")</f>
        <v>3171</v>
      </c>
      <c r="W20" s="270">
        <f>IF(COUNT(S20:V20)=4,SUM(S20:V20),"")</f>
        <v>11253</v>
      </c>
      <c r="X20" s="269">
        <f>IFERROR(INDEX('Inputs (2)'!$D$55:$AL$55,MATCH(X$7&amp;"",'Inputs (2)'!$D$2:$AL$2,0)),"")</f>
        <v>2993</v>
      </c>
      <c r="Y20" s="269">
        <f>IFERROR(INDEX('Inputs (2)'!$D$55:$AL$55,MATCH(Y$7&amp;"",'Inputs (2)'!$D$2:$AL$2,0)),"")</f>
        <v>3102</v>
      </c>
      <c r="Z20" s="269">
        <f>IFERROR(INDEX('Inputs (2)'!$D$55:$AL$55,MATCH(Z$7&amp;"",'Inputs (2)'!$D$2:$AL$2,0)),"")</f>
        <v>3175</v>
      </c>
      <c r="AA20" s="269">
        <f>IFERROR(INDEX('Inputs (2)'!$D$55:$AL$55,MATCH(AA$7&amp;"",'Inputs (2)'!$D$2:$AL$2,0)),"")</f>
        <v>3412</v>
      </c>
      <c r="AB20" s="270">
        <f>IF(COUNT(X20:AA20)=4,SUM(X20:AA20),"")</f>
        <v>12682</v>
      </c>
      <c r="AC20" s="269">
        <f>IFERROR(INDEX('Inputs (2)'!$D$55:$AL$55,MATCH(AC$7&amp;"",'Inputs (2)'!$D$2:$AL$2,0)),"")</f>
        <v>3373</v>
      </c>
      <c r="AD20" s="269">
        <f>IFERROR(INDEX('Inputs (2)'!$D$55:$AL$55,MATCH(AD$7&amp;"",'Inputs (2)'!$D$2:$AL$2,0)),"")</f>
        <v>3433</v>
      </c>
      <c r="AE20" s="269">
        <f>IFERROR(INDEX('Inputs (2)'!$D$55:$AL$55,MATCH(AE$7&amp;"",'Inputs (2)'!$D$2:$AL$2,0)),"")</f>
        <v>3624</v>
      </c>
      <c r="AF20" s="269">
        <f>IFERROR(INDEX('Inputs (2)'!$D$55:$AL$55,MATCH(AF$7&amp;"",'Inputs (2)'!$D$2:$AL$2,0)),"")</f>
        <v>4020</v>
      </c>
      <c r="AG20" s="270">
        <f>IF(COUNT(AC20:AF20)=4,SUM(AC20:AF20),"")</f>
        <v>14450</v>
      </c>
      <c r="AH20" s="270">
        <f>IFERROR(INDEX('Inputs (2)'!$D$55:$AL$55,MATCH(AH$7&amp;"",'Inputs (2)'!$D$2:$AL$2,0)),"")</f>
        <v>3649</v>
      </c>
      <c r="AI20" s="270">
        <f>IFERROR(INDEX('Inputs (2)'!$D$55:$AL$55,MATCH(AI$7&amp;"",'Inputs (2)'!$D$2:$AL$2,0)),"")</f>
        <v>4101</v>
      </c>
    </row>
    <row r="21">
      <c r="C21" s="268" t="inlineStr">
        <is>
          <t xml:space="preserve">   Rotary and Mission Systems</t>
        </is>
      </c>
      <c r="D21" s="269" t="str">
        <f>IFERROR(INDEX('Inputs (2)'!$D$57:$AL$57,MATCH(D$7&amp;"",'Inputs (2)'!$D$2:$AL$2,0)),"")</f>
        <v/>
      </c>
      <c r="E21" s="269" t="str">
        <f>IFERROR(INDEX('Inputs (2)'!$D$57:$AL$57,MATCH(E$7&amp;"",'Inputs (2)'!$D$2:$AL$2,0)),"")</f>
        <v/>
      </c>
      <c r="F21" s="269" t="str">
        <f>IFERROR(INDEX('Inputs (2)'!$D$57:$AL$57,MATCH(F$7&amp;"",'Inputs (2)'!$D$2:$AL$2,0)),"")</f>
        <v/>
      </c>
      <c r="G21" s="269" t="str">
        <f>IFERROR(INDEX('Inputs (2)'!$D$57:$AL$57,MATCH(G$7&amp;"",'Inputs (2)'!$D$2:$AL$2,0)),"")</f>
        <v/>
      </c>
      <c r="H21" s="270" t="str">
        <f>IF(COUNT(D21:G21)=4,SUM(D21:G21),"")</f>
        <v/>
      </c>
      <c r="I21" s="269">
        <f>IFERROR(INDEX('Inputs (2)'!$D$57:$AL$57,MATCH(I$7&amp;"",'Inputs (2)'!$D$2:$AL$2,0)),"")</f>
        <v>4107</v>
      </c>
      <c r="J21" s="269">
        <f>IFERROR(INDEX('Inputs (2)'!$D$57:$AL$57,MATCH(J$7&amp;"",'Inputs (2)'!$D$2:$AL$2,0)),"")</f>
        <v>4242</v>
      </c>
      <c r="K21" s="269">
        <f>IFERROR(INDEX('Inputs (2)'!$D$57:$AL$57,MATCH(K$7&amp;"",'Inputs (2)'!$D$2:$AL$2,0)),"")</f>
        <v>3980</v>
      </c>
      <c r="L21" s="269">
        <f>IFERROR(INDEX('Inputs (2)'!$D$57:$AL$57,MATCH(L$7&amp;"",'Inputs (2)'!$D$2:$AL$2,0)),"")</f>
        <v>4460</v>
      </c>
      <c r="M21" s="270">
        <f>IF(COUNT(I21:L21)=4,SUM(I21:L21),"")</f>
        <v>16789</v>
      </c>
      <c r="N21" s="269">
        <f>IFERROR(INDEX('Inputs (2)'!$D$57:$AL$57,MATCH(N$7&amp;"",'Inputs (2)'!$D$2:$AL$2,0)),"")</f>
        <v>3552</v>
      </c>
      <c r="O21" s="269">
        <f>IFERROR(INDEX('Inputs (2)'!$D$57:$AL$57,MATCH(O$7&amp;"",'Inputs (2)'!$D$2:$AL$2,0)),"")</f>
        <v>4012</v>
      </c>
      <c r="P21" s="269">
        <f>IFERROR(INDEX('Inputs (2)'!$D$57:$AL$57,MATCH(P$7&amp;"",'Inputs (2)'!$D$2:$AL$2,0)),"")</f>
        <v>3781</v>
      </c>
      <c r="Q21" s="269">
        <f>IFERROR(INDEX('Inputs (2)'!$D$57:$AL$57,MATCH(Q$7&amp;"",'Inputs (2)'!$D$2:$AL$2,0)),"")</f>
        <v>4803</v>
      </c>
      <c r="R21" s="270">
        <f>IF(COUNT(N21:Q21)=4,SUM(N21:Q21),"")</f>
        <v>16148</v>
      </c>
      <c r="S21" s="269">
        <f>IFERROR(INDEX('Inputs (2)'!$D$57:$AL$57,MATCH(S$7&amp;"",'Inputs (2)'!$D$2:$AL$2,0)),"")</f>
        <v>3510</v>
      </c>
      <c r="T21" s="269">
        <f>IFERROR(INDEX('Inputs (2)'!$D$57:$AL$57,MATCH(T$7&amp;"",'Inputs (2)'!$D$2:$AL$2,0)),"")</f>
        <v>3897</v>
      </c>
      <c r="U21" s="269">
        <f>IFERROR(INDEX('Inputs (2)'!$D$57:$AL$57,MATCH(U$7&amp;"",'Inputs (2)'!$D$2:$AL$2,0)),"")</f>
        <v>4121</v>
      </c>
      <c r="V21" s="269">
        <f>IFERROR(INDEX('Inputs (2)'!$D$57:$AL$57,MATCH(V$7&amp;"",'Inputs (2)'!$D$2:$AL$2,0)),"")</f>
        <v>4711</v>
      </c>
      <c r="W21" s="270">
        <f>IF(COUNT(S21:V21)=4,SUM(S21:V21),"")</f>
        <v>16239</v>
      </c>
      <c r="X21" s="269">
        <f>IFERROR(INDEX('Inputs (2)'!$D$57:$AL$57,MATCH(X$7&amp;"",'Inputs (2)'!$D$2:$AL$2,0)),"")</f>
        <v>4088</v>
      </c>
      <c r="Y21" s="269">
        <f>IFERROR(INDEX('Inputs (2)'!$D$57:$AL$57,MATCH(Y$7&amp;"",'Inputs (2)'!$D$2:$AL$2,0)),"")</f>
        <v>4548</v>
      </c>
      <c r="Z21" s="269">
        <f>IFERROR(INDEX('Inputs (2)'!$D$57:$AL$57,MATCH(Z$7&amp;"",'Inputs (2)'!$D$2:$AL$2,0)),"")</f>
        <v>4367</v>
      </c>
      <c r="AA21" s="269">
        <f>IFERROR(INDEX('Inputs (2)'!$D$57:$AL$57,MATCH(AA$7&amp;"",'Inputs (2)'!$D$2:$AL$2,0)),"")</f>
        <v>4261</v>
      </c>
      <c r="AB21" s="270">
        <f>IF(COUNT(X21:AA21)=4,SUM(X21:AA21),"")</f>
        <v>17264</v>
      </c>
      <c r="AC21" s="269">
        <f>IFERROR(INDEX('Inputs (2)'!$D$57:$AL$57,MATCH(AC$7&amp;"",'Inputs (2)'!$D$2:$AL$2,0)),"")</f>
        <v>4328</v>
      </c>
      <c r="AD21" s="269">
        <f>IFERROR(INDEX('Inputs (2)'!$D$57:$AL$57,MATCH(AD$7&amp;"",'Inputs (2)'!$D$2:$AL$2,0)),"")</f>
        <v>3995</v>
      </c>
      <c r="AE21" s="269">
        <f>IFERROR(INDEX('Inputs (2)'!$D$57:$AL$57,MATCH(AE$7&amp;"",'Inputs (2)'!$D$2:$AL$2,0)),"")</f>
        <v>4373</v>
      </c>
      <c r="AF21" s="269">
        <f>IFERROR(INDEX('Inputs (2)'!$D$57:$AL$57,MATCH(AF$7&amp;"",'Inputs (2)'!$D$2:$AL$2,0)),"")</f>
        <v>4616</v>
      </c>
      <c r="AG21" s="270">
        <f>IF(COUNT(AC21:AF21)=4,SUM(AC21:AF21),"")</f>
        <v>17312</v>
      </c>
      <c r="AH21" s="270">
        <f>IFERROR(INDEX('Inputs (2)'!$D$57:$AL$57,MATCH(AH$7&amp;"",'Inputs (2)'!$D$2:$AL$2,0)),"")</f>
        <v>3991</v>
      </c>
      <c r="AI21" s="270">
        <f>IFERROR(INDEX('Inputs (2)'!$D$57:$AL$57,MATCH(AI$7&amp;"",'Inputs (2)'!$D$2:$AL$2,0)),"")</f>
        <v>4354</v>
      </c>
    </row>
    <row r="22">
      <c r="C22" s="268" t="inlineStr">
        <is>
          <t xml:space="preserve">   Space</t>
        </is>
      </c>
      <c r="D22" s="269" t="str">
        <f>IFERROR(INDEX('Inputs (2)'!$D$59:$AL$59,MATCH(D$7&amp;"",'Inputs (2)'!$D$2:$AL$2,0)),"")</f>
        <v/>
      </c>
      <c r="E22" s="269" t="str">
        <f>IFERROR(INDEX('Inputs (2)'!$D$59:$AL$59,MATCH(E$7&amp;"",'Inputs (2)'!$D$2:$AL$2,0)),"")</f>
        <v/>
      </c>
      <c r="F22" s="269" t="str">
        <f>IFERROR(INDEX('Inputs (2)'!$D$59:$AL$59,MATCH(F$7&amp;"",'Inputs (2)'!$D$2:$AL$2,0)),"")</f>
        <v/>
      </c>
      <c r="G22" s="269" t="str">
        <f>IFERROR(INDEX('Inputs (2)'!$D$59:$AL$59,MATCH(G$7&amp;"",'Inputs (2)'!$D$2:$AL$2,0)),"")</f>
        <v/>
      </c>
      <c r="H22" s="270" t="str">
        <f>IF(COUNT(D22:G22)=4,SUM(D22:G22),"")</f>
        <v/>
      </c>
      <c r="I22" s="269">
        <f>IFERROR(INDEX('Inputs (2)'!$D$59:$AL$59,MATCH(I$7&amp;"",'Inputs (2)'!$D$2:$AL$2,0)),"")</f>
        <v>3015</v>
      </c>
      <c r="J22" s="269">
        <f>IFERROR(INDEX('Inputs (2)'!$D$59:$AL$59,MATCH(J$7&amp;"",'Inputs (2)'!$D$2:$AL$2,0)),"")</f>
        <v>3177</v>
      </c>
      <c r="K22" s="269">
        <f>IFERROR(INDEX('Inputs (2)'!$D$59:$AL$59,MATCH(K$7&amp;"",'Inputs (2)'!$D$2:$AL$2,0)),"")</f>
        <v>2699</v>
      </c>
      <c r="L22" s="269">
        <f>IFERROR(INDEX('Inputs (2)'!$D$59:$AL$59,MATCH(L$7&amp;"",'Inputs (2)'!$D$2:$AL$2,0)),"")</f>
        <v>2923</v>
      </c>
      <c r="M22" s="270">
        <f>IF(COUNT(I22:L22)=4,SUM(I22:L22),"")</f>
        <v>11814</v>
      </c>
      <c r="N22" s="269">
        <f>IFERROR(INDEX('Inputs (2)'!$D$59:$AL$59,MATCH(N$7&amp;"",'Inputs (2)'!$D$2:$AL$2,0)),"")</f>
        <v>2559</v>
      </c>
      <c r="O22" s="269">
        <f>IFERROR(INDEX('Inputs (2)'!$D$59:$AL$59,MATCH(O$7&amp;"",'Inputs (2)'!$D$2:$AL$2,0)),"")</f>
        <v>2825</v>
      </c>
      <c r="P22" s="269">
        <f>IFERROR(INDEX('Inputs (2)'!$D$59:$AL$59,MATCH(P$7&amp;"",'Inputs (2)'!$D$2:$AL$2,0)),"")</f>
        <v>2882</v>
      </c>
      <c r="Q22" s="269">
        <f>IFERROR(INDEX('Inputs (2)'!$D$59:$AL$59,MATCH(Q$7&amp;"",'Inputs (2)'!$D$2:$AL$2,0)),"")</f>
        <v>3266</v>
      </c>
      <c r="R22" s="270">
        <f>IF(COUNT(N22:Q22)=4,SUM(N22:Q22),"")</f>
        <v>11532</v>
      </c>
      <c r="S22" s="269">
        <f>IFERROR(INDEX('Inputs (2)'!$D$59:$AL$59,MATCH(S$7&amp;"",'Inputs (2)'!$D$2:$AL$2,0)),"")</f>
        <v>2959</v>
      </c>
      <c r="T22" s="269">
        <f>IFERROR(INDEX('Inputs (2)'!$D$59:$AL$59,MATCH(T$7&amp;"",'Inputs (2)'!$D$2:$AL$2,0)),"")</f>
        <v>3166</v>
      </c>
      <c r="U22" s="269">
        <f>IFERROR(INDEX('Inputs (2)'!$D$59:$AL$59,MATCH(U$7&amp;"",'Inputs (2)'!$D$2:$AL$2,0)),"")</f>
        <v>3101</v>
      </c>
      <c r="V22" s="269">
        <f>IFERROR(INDEX('Inputs (2)'!$D$59:$AL$59,MATCH(V$7&amp;"",'Inputs (2)'!$D$2:$AL$2,0)),"")</f>
        <v>3379</v>
      </c>
      <c r="W22" s="270">
        <f>IF(COUNT(S22:V22)=4,SUM(S22:V22),"")</f>
        <v>12605</v>
      </c>
      <c r="X22" s="269">
        <f>IFERROR(INDEX('Inputs (2)'!$D$59:$AL$59,MATCH(X$7&amp;"",'Inputs (2)'!$D$2:$AL$2,0)),"")</f>
        <v>3269</v>
      </c>
      <c r="Y22" s="269">
        <f>IFERROR(INDEX('Inputs (2)'!$D$59:$AL$59,MATCH(Y$7&amp;"",'Inputs (2)'!$D$2:$AL$2,0)),"")</f>
        <v>3195</v>
      </c>
      <c r="Z22" s="269">
        <f>IFERROR(INDEX('Inputs (2)'!$D$59:$AL$59,MATCH(Z$7&amp;"",'Inputs (2)'!$D$2:$AL$2,0)),"")</f>
        <v>3075</v>
      </c>
      <c r="AA22" s="269">
        <f>IFERROR(INDEX('Inputs (2)'!$D$59:$AL$59,MATCH(AA$7&amp;"",'Inputs (2)'!$D$2:$AL$2,0)),"")</f>
        <v>2940</v>
      </c>
      <c r="AB22" s="270">
        <f>IF(COUNT(X22:AA22)=4,SUM(X22:AA22),"")</f>
        <v>12479</v>
      </c>
      <c r="AC22" s="269">
        <f>IFERROR(INDEX('Inputs (2)'!$D$59:$AL$59,MATCH(AC$7&amp;"",'Inputs (2)'!$D$2:$AL$2,0)),"")</f>
        <v>3205</v>
      </c>
      <c r="AD22" s="269">
        <f>IFERROR(INDEX('Inputs (2)'!$D$59:$AL$59,MATCH(AD$7&amp;"",'Inputs (2)'!$D$2:$AL$2,0)),"")</f>
        <v>3307</v>
      </c>
      <c r="AE22" s="269">
        <f>IFERROR(INDEX('Inputs (2)'!$D$59:$AL$59,MATCH(AE$7&amp;"",'Inputs (2)'!$D$2:$AL$2,0)),"")</f>
        <v>3356</v>
      </c>
      <c r="AF22" s="269">
        <f>IFERROR(INDEX('Inputs (2)'!$D$59:$AL$59,MATCH(AF$7&amp;"",'Inputs (2)'!$D$2:$AL$2,0)),"")</f>
        <v>3161</v>
      </c>
      <c r="AG22" s="270">
        <f>IF(COUNT(AC22:AF22)=4,SUM(AC22:AF22),"")</f>
        <v>13029</v>
      </c>
      <c r="AH22" s="270">
        <f>IFERROR(INDEX('Inputs (2)'!$D$59:$AL$59,MATCH(AH$7&amp;"",'Inputs (2)'!$D$2:$AL$2,0)),"")</f>
        <v>3428</v>
      </c>
      <c r="AI22" s="270">
        <f>IFERROR(INDEX('Inputs (2)'!$D$59:$AL$59,MATCH(AI$7&amp;"",'Inputs (2)'!$D$2:$AL$2,0)),"")</f>
        <v>3496</v>
      </c>
    </row>
    <row r="23">
      <c r="C23" s="271" t="inlineStr">
        <is>
          <t>Receita (soma dos segmentos)</t>
        </is>
      </c>
      <c r="D23" s="269" t="str">
        <f>IF(COUNT(D19,D20,D21,D22)=0,"",N(D19)+N(D20)+N(D21)+N(D22))</f>
        <v/>
      </c>
      <c r="E23" s="269" t="str">
        <f>IF(COUNT(E19,E20,E21,E22)=0,"",N(E19)+N(E20)+N(E21)+N(E22))</f>
        <v/>
      </c>
      <c r="F23" s="269" t="str">
        <f>IF(COUNT(F19,F20,F21,F22)=0,"",N(F19)+N(F20)+N(F21)+N(F22))</f>
        <v/>
      </c>
      <c r="G23" s="269" t="str">
        <f>IF(COUNT(G19,G20,G21,G22)=0,"",N(G19)+N(G20)+N(G21)+N(G22))</f>
        <v/>
      </c>
      <c r="H23" s="270" t="str">
        <f>IF(COUNT(H19,H20,H21,H22)=0,"",N(H19)+N(H20)+N(H21)+N(H22))</f>
        <v/>
      </c>
      <c r="I23" s="269">
        <f>IF(COUNT(I19,I20,I21,I22)=0,"",N(I19)+N(I20)+N(I21)+N(I22))</f>
        <v>16258</v>
      </c>
      <c r="J23" s="269">
        <f>IF(COUNT(J19,J20,J21,J22)=0,"",N(J19)+N(J20)+N(J21)+N(J22))</f>
        <v>17029</v>
      </c>
      <c r="K23" s="269">
        <f>IF(COUNT(K19,K20,K21,K22)=0,"",N(K19)+N(K20)+N(K21)+N(K22))</f>
        <v>16028</v>
      </c>
      <c r="L23" s="269">
        <f>IF(COUNT(L19,L20,L21,L22)=0,"",N(L19)+N(L20)+N(L21)+N(L22))</f>
        <v>17729</v>
      </c>
      <c r="M23" s="270">
        <f>IF(COUNT(M19,M20,M21,M22)=0,"",N(M19)+N(M20)+N(M21)+N(M22))</f>
        <v>67044</v>
      </c>
      <c r="N23" s="269">
        <f>IF(COUNT(N19,N20,N21,N22)=0,"",N(N19)+N(N20)+N(N21)+N(N22))</f>
        <v>14964</v>
      </c>
      <c r="O23" s="269">
        <f>IF(COUNT(O19,O20,O21,O22)=0,"",N(O19)+N(O20)+N(O21)+N(O22))</f>
        <v>15446</v>
      </c>
      <c r="P23" s="269">
        <f>IF(COUNT(P19,P20,P21,P22)=0,"",N(P19)+N(P20)+N(P21)+N(P22))</f>
        <v>16583</v>
      </c>
      <c r="Q23" s="269">
        <f>IF(COUNT(Q19,Q20,Q21,Q22)=0,"",N(Q19)+N(Q20)+N(Q21)+N(Q22))</f>
        <v>18991</v>
      </c>
      <c r="R23" s="270">
        <f>IF(COUNT(R19,R20,R21,R22)=0,"",N(R19)+N(R20)+N(R21)+N(R22))</f>
        <v>65984</v>
      </c>
      <c r="S23" s="269">
        <f>IF(COUNT(S19,S20,S21,S22)=0,"",N(S19)+N(S20)+N(S21)+N(S22))</f>
        <v>15126</v>
      </c>
      <c r="T23" s="269">
        <f>IF(COUNT(T19,T20,T21,T22)=0,"",N(T19)+N(T20)+N(T21)+N(T22))</f>
        <v>16693</v>
      </c>
      <c r="U23" s="269">
        <f>IF(COUNT(U19,U20,U21,U22)=0,"",N(U19)+N(U20)+N(U21)+N(U22))</f>
        <v>16878</v>
      </c>
      <c r="V23" s="269">
        <f>IF(COUNT(V19,V20,V21,V22)=0,"",N(V19)+N(V20)+N(V21)+N(V22))</f>
        <v>18874</v>
      </c>
      <c r="W23" s="270">
        <f>IF(COUNT(W19,W20,W21,W22)=0,"",N(W19)+N(W20)+N(W21)+N(W22))</f>
        <v>67571</v>
      </c>
      <c r="X23" s="269">
        <f>IF(COUNT(X19,X20,X21,X22)=0,"",N(X19)+N(X20)+N(X21)+N(X22))</f>
        <v>17195</v>
      </c>
      <c r="Y23" s="269">
        <f>IF(COUNT(Y19,Y20,Y21,Y22)=0,"",N(Y19)+N(Y20)+N(Y21)+N(Y22))</f>
        <v>18122</v>
      </c>
      <c r="Z23" s="269">
        <f>IF(COUNT(Z19,Z20,Z21,Z22)=0,"",N(Z19)+N(Z20)+N(Z21)+N(Z22))</f>
        <v>17104</v>
      </c>
      <c r="AA23" s="269">
        <f>IF(COUNT(AA19,AA20,AA21,AA22)=0,"",N(AA19)+N(AA20)+N(AA21)+N(AA22))</f>
        <v>18622</v>
      </c>
      <c r="AB23" s="270">
        <f>IF(COUNT(AB19,AB20,AB21,AB22)=0,"",N(AB19)+N(AB20)+N(AB21)+N(AB22))</f>
        <v>71043</v>
      </c>
      <c r="AC23" s="269">
        <f>IF(COUNT(AC19,AC20,AC21,AC22)=0,"",N(AC19)+N(AC20)+N(AC21)+N(AC22))</f>
        <v>17963</v>
      </c>
      <c r="AD23" s="269">
        <f>IF(COUNT(AD19,AD20,AD21,AD22)=0,"",N(AD19)+N(AD20)+N(AD21)+N(AD22))</f>
        <v>18155</v>
      </c>
      <c r="AE23" s="269">
        <f>IF(COUNT(AE19,AE20,AE21,AE22)=0,"",N(AE19)+N(AE20)+N(AE21)+N(AE22))</f>
        <v>18609</v>
      </c>
      <c r="AF23" s="269">
        <f>IF(COUNT(AF19,AF20,AF21,AF22)=0,"",N(AF19)+N(AF20)+N(AF21)+N(AF22))</f>
        <v>20321</v>
      </c>
      <c r="AG23" s="270">
        <f>IF(COUNT(AG19,AG20,AG21,AG22)=0,"",N(AG19)+N(AG20)+N(AG21)+N(AG22))</f>
        <v>75048</v>
      </c>
      <c r="AH23" s="270">
        <f>IF(COUNT(AH19,AH20,AH21,AH22)=0,"",N(AH19)+N(AH20)+N(AH21)+N(AH22))</f>
        <v>18021</v>
      </c>
      <c r="AI23" s="270">
        <f>IF(COUNT(AI19,AI20,AI21,AI22)=0,"",N(AI19)+N(AI20)+N(AI21)+N(AI22))</f>
        <v>20063</v>
      </c>
    </row>
    <row r="24">
      <c r="C24" s="268" t="inlineStr">
        <is>
          <t>Check Receita (linha 15 - soma dos segmentos)</t>
        </is>
      </c>
      <c r="D24" s="269" t="str">
        <f>IF(COUNT(D23)=0,"",ROUND(D15-D23,1))</f>
        <v/>
      </c>
      <c r="E24" s="269" t="str">
        <f>IF(COUNT(E23)=0,"",ROUND(E15-E23,1))</f>
        <v/>
      </c>
      <c r="F24" s="269" t="str">
        <f>IF(COUNT(F23)=0,"",ROUND(F15-F23,1))</f>
        <v/>
      </c>
      <c r="G24" s="269" t="str">
        <f>IF(COUNT(G23)=0,"",ROUND(G15-G23,1))</f>
        <v/>
      </c>
      <c r="H24" s="270" t="str">
        <f>IF(COUNT(H23)=0,"",ROUND(H15-H23,1))</f>
        <v/>
      </c>
      <c r="I24" s="269">
        <f>IF(COUNT(I23)=0,"",ROUND(I15-I23,1))</f>
        <v>0</v>
      </c>
      <c r="J24" s="269">
        <f>IF(COUNT(J23)=0,"",ROUND(J15-J23,1))</f>
        <v>0</v>
      </c>
      <c r="K24" s="269">
        <f>IF(COUNT(K23)=0,"",ROUND(K15-K23,1))</f>
        <v>0</v>
      </c>
      <c r="L24" s="269">
        <f>IF(COUNT(L23)=0,"",ROUND(L15-L23,1))</f>
        <v>0</v>
      </c>
      <c r="M24" s="270">
        <f>IF(COUNT(M23)=0,"",ROUND(M15-M23,1))</f>
        <v>0</v>
      </c>
      <c r="N24" s="269">
        <f>IF(COUNT(N23)=0,"",ROUND(N15-N23,1))</f>
        <v>0</v>
      </c>
      <c r="O24" s="269">
        <f>IF(COUNT(O23)=0,"",ROUND(O15-O23,1))</f>
        <v>0</v>
      </c>
      <c r="P24" s="269">
        <f>IF(COUNT(P23)=0,"",ROUND(P15-P23,1))</f>
        <v>0</v>
      </c>
      <c r="Q24" s="269">
        <f>IF(COUNT(Q23)=0,"",ROUND(Q15-Q23,1))</f>
        <v>0</v>
      </c>
      <c r="R24" s="270">
        <f>IF(COUNT(R23)=0,"",ROUND(R15-R23,1))</f>
        <v>0</v>
      </c>
      <c r="S24" s="269">
        <f>IF(COUNT(S23)=0,"",ROUND(S15-S23,1))</f>
        <v>0</v>
      </c>
      <c r="T24" s="269">
        <f>IF(COUNT(T23)=0,"",ROUND(T15-T23,1))</f>
        <v>0</v>
      </c>
      <c r="U24" s="269">
        <f>IF(COUNT(U23)=0,"",ROUND(U15-U23,1))</f>
        <v>0</v>
      </c>
      <c r="V24" s="269">
        <f>IF(COUNT(V23)=0,"",ROUND(V15-V23,1))</f>
        <v>0</v>
      </c>
      <c r="W24" s="270">
        <f>IF(COUNT(W23)=0,"",ROUND(W15-W23,1))</f>
        <v>0</v>
      </c>
      <c r="X24" s="269">
        <f>IF(COUNT(X23)=0,"",ROUND(X15-X23,1))</f>
        <v>0</v>
      </c>
      <c r="Y24" s="269">
        <f>IF(COUNT(Y23)=0,"",ROUND(Y15-Y23,1))</f>
        <v>0</v>
      </c>
      <c r="Z24" s="269">
        <f>IF(COUNT(Z23)=0,"",ROUND(Z15-Z23,1))</f>
        <v>0</v>
      </c>
      <c r="AA24" s="269">
        <f>IF(COUNT(AA23)=0,"",ROUND(AA15-AA23,1))</f>
        <v>0</v>
      </c>
      <c r="AB24" s="270">
        <f>IF(COUNT(AB23)=0,"",ROUND(AB15-AB23,1))</f>
        <v>0</v>
      </c>
      <c r="AC24" s="269">
        <f>IF(COUNT(AC23)=0,"",ROUND(AC15-AC23,1))</f>
        <v>0</v>
      </c>
      <c r="AD24" s="269">
        <f>IF(COUNT(AD23)=0,"",ROUND(AD15-AD23,1))</f>
        <v>0</v>
      </c>
      <c r="AE24" s="269">
        <f>IF(COUNT(AE23)=0,"",ROUND(AE15-AE23,1))</f>
        <v>0</v>
      </c>
      <c r="AF24" s="269">
        <f>IF(COUNT(AF23)=0,"",ROUND(AF15-AF23,1))</f>
        <v>0</v>
      </c>
      <c r="AG24" s="270">
        <f>IF(COUNT(AG23)=0,"",ROUND(AG15-AG23,1))</f>
        <v>0</v>
      </c>
      <c r="AH24" s="270">
        <f>IF(COUNT(AH23)=0,"",ROUND(AH15-AH23,1))</f>
        <v>0</v>
      </c>
      <c r="AI24" s="270">
        <f>IF(COUNT(AI23)=0,"",ROUND(AI15-AI23,1))</f>
        <v>0</v>
      </c>
    </row>
    <row r="25">
      <c r="C25" s="268" t="inlineStr">
        <is>
          <t xml:space="preserve">   % YoY Aeronautics</t>
        </is>
      </c>
      <c r="D25" s="272" t="str">
        <f>""</f>
        <v/>
      </c>
      <c r="E25" s="272" t="str">
        <f>""</f>
        <v/>
      </c>
      <c r="F25" s="272" t="str">
        <f>""</f>
        <v/>
      </c>
      <c r="G25" s="272" t="str">
        <f>""</f>
        <v/>
      </c>
      <c r="H25" s="273" t="str">
        <f>""</f>
        <v/>
      </c>
      <c r="I25" s="272" t="str">
        <f>IFERROR(I19/D19-1,"")</f>
        <v/>
      </c>
      <c r="J25" s="272" t="str">
        <f>IFERROR(J19/E19-1,"")</f>
        <v/>
      </c>
      <c r="K25" s="272" t="str">
        <f>IFERROR(K19/F19-1,"")</f>
        <v/>
      </c>
      <c r="L25" s="272" t="str">
        <f>IFERROR(L19/G19-1,"")</f>
        <v/>
      </c>
      <c r="M25" s="273" t="str">
        <f>IFERROR(M19/H19-1,"")</f>
        <v/>
      </c>
      <c r="N25" s="272">
        <f>IFERROR(N19/I19-1,"")</f>
        <v>0.00219195240331915</v>
      </c>
      <c r="O25" s="272">
        <f>IFERROR(O19/J19-1,"")</f>
        <v>-0.120612061206121</v>
      </c>
      <c r="P25" s="272">
        <f>IFERROR(P19/K19-1,"")</f>
        <v>0.0793239951278928</v>
      </c>
      <c r="Q25" s="272">
        <f>IFERROR(Q19/L19-1,"")</f>
        <v>0.0712782376876666</v>
      </c>
      <c r="R25" s="273">
        <f>IFERROR(R19/M19-1,"")</f>
        <v>0.00893524749513985</v>
      </c>
      <c r="S25" s="272">
        <f>IFERROR(S19/N19-1,"")</f>
        <v>-0.0206217778472114</v>
      </c>
      <c r="T25" s="272">
        <f>IFERROR(T19/O19-1,"")</f>
        <v>0.17280791538724</v>
      </c>
      <c r="U25" s="272">
        <f>IFERROR(U19/P19-1,"")</f>
        <v>-0.0524756665256031</v>
      </c>
      <c r="V25" s="272">
        <f>IFERROR(V19/Q19-1,"")</f>
        <v>-0.00288146692861824</v>
      </c>
      <c r="W25" s="273">
        <f>IFERROR(W19/R19-1,"")</f>
        <v>0.018045725719791</v>
      </c>
      <c r="X25" s="272">
        <f>IFERROR(X19/S19-1,"")</f>
        <v>0.0918806827245176</v>
      </c>
      <c r="Y25" s="272">
        <f>IFERROR(Y19/T19-1,"")</f>
        <v>0.0584727272727272</v>
      </c>
      <c r="Z25" s="272">
        <f>IFERROR(Z19/U19-1,"")</f>
        <v>-0.0342414768497842</v>
      </c>
      <c r="AA25" s="272">
        <f>IFERROR(AA19/V19-1,"")</f>
        <v>0.0520162879285433</v>
      </c>
      <c r="AB25" s="273">
        <f>IFERROR(AB19/W19-1,"")</f>
        <v>0.0416393681298684</v>
      </c>
      <c r="AC25" s="272">
        <f>IFERROR(AC19/X19-1,"")</f>
        <v>0.0309715120525931</v>
      </c>
      <c r="AD25" s="272">
        <f>IFERROR(AD19/Y19-1,"")</f>
        <v>0.0196509550638999</v>
      </c>
      <c r="AE25" s="272">
        <f>IFERROR(AE19/Z19-1,"")</f>
        <v>0.118544781871435</v>
      </c>
      <c r="AF25" s="272">
        <f>IFERROR(AF19/AA19-1,"")</f>
        <v>0.0643026595080534</v>
      </c>
      <c r="AG25" s="273">
        <f>IFERROR(AG19/AB19-1,"")</f>
        <v>0.0572716472150394</v>
      </c>
      <c r="AH25" s="273">
        <f>IFERROR(AH19/AC19-1,"")</f>
        <v>-0.0147371404279439</v>
      </c>
      <c r="AI25" s="273">
        <f>IFERROR(AI19/AD19-1,"")</f>
        <v>0.0932614555256064</v>
      </c>
    </row>
    <row r="26">
      <c r="C26" s="268" t="inlineStr">
        <is>
          <t xml:space="preserve">   % YoY Missiles and Fire Control</t>
        </is>
      </c>
      <c r="D26" s="272" t="str">
        <f>""</f>
        <v/>
      </c>
      <c r="E26" s="272" t="str">
        <f>""</f>
        <v/>
      </c>
      <c r="F26" s="272" t="str">
        <f>""</f>
        <v/>
      </c>
      <c r="G26" s="272" t="str">
        <f>""</f>
        <v/>
      </c>
      <c r="H26" s="273" t="str">
        <f>""</f>
        <v/>
      </c>
      <c r="I26" s="272" t="str">
        <f>IFERROR(I20/D20-1,"")</f>
        <v/>
      </c>
      <c r="J26" s="272" t="str">
        <f>IFERROR(J20/E20-1,"")</f>
        <v/>
      </c>
      <c r="K26" s="272" t="str">
        <f>IFERROR(K20/F20-1,"")</f>
        <v/>
      </c>
      <c r="L26" s="272" t="str">
        <f>IFERROR(L20/G20-1,"")</f>
        <v/>
      </c>
      <c r="M26" s="273" t="str">
        <f>IFERROR(M20/H20-1,"")</f>
        <v/>
      </c>
      <c r="N26" s="272">
        <f>IFERROR(N20/I20-1,"")</f>
        <v>-0.108039287013459</v>
      </c>
      <c r="O26" s="272">
        <f>IFERROR(O20/J20-1,"")</f>
        <v>-0.0669157608695652</v>
      </c>
      <c r="P26" s="272">
        <f>IFERROR(P20/K20-1,"")</f>
        <v>0.0179791441927364</v>
      </c>
      <c r="Q26" s="272">
        <f>IFERROR(Q20/L20-1,"")</f>
        <v>0.0211245728487108</v>
      </c>
      <c r="R26" s="273">
        <f>IFERROR(R20/M20-1,"")</f>
        <v>-0.0321559907637048</v>
      </c>
      <c r="S26" s="272">
        <f>IFERROR(S20/N20-1,"")</f>
        <v>-0.0261011419249593</v>
      </c>
      <c r="T26" s="272">
        <f>IFERROR(T20/O20-1,"")</f>
        <v>0.00291226792864951</v>
      </c>
      <c r="U26" s="272">
        <f>IFERROR(U20/P20-1,"")</f>
        <v>0.0381490639350053</v>
      </c>
      <c r="V26" s="272">
        <f>IFERROR(V20/Q20-1,"")</f>
        <v>-0.0352905384849407</v>
      </c>
      <c r="W26" s="273">
        <f>IFERROR(W20/R20-1,"")</f>
        <v>-0.00565520897764427</v>
      </c>
      <c r="X26" s="272">
        <f>IFERROR(X20/S20-1,"")</f>
        <v>0.253350083752094</v>
      </c>
      <c r="Y26" s="272">
        <f>IFERROR(Y20/T20-1,"")</f>
        <v>0.125952813067151</v>
      </c>
      <c r="Z26" s="272">
        <f>IFERROR(Z20/U20-1,"")</f>
        <v>0.0802994215719632</v>
      </c>
      <c r="AA26" s="272">
        <f>IFERROR(AA20/V20-1,"")</f>
        <v>0.0760012614317249</v>
      </c>
      <c r="AB26" s="273">
        <f>IFERROR(AB20/W20-1,"")</f>
        <v>0.126988358659913</v>
      </c>
      <c r="AC26" s="272">
        <f>IFERROR(AC20/X20-1,"")</f>
        <v>0.126962913464751</v>
      </c>
      <c r="AD26" s="272">
        <f>IFERROR(AD20/Y20-1,"")</f>
        <v>0.106705351386202</v>
      </c>
      <c r="AE26" s="272">
        <f>IFERROR(AE20/Z20-1,"")</f>
        <v>0.141417322834646</v>
      </c>
      <c r="AF26" s="272">
        <f>IFERROR(AF20/AA20-1,"")</f>
        <v>0.178194607268464</v>
      </c>
      <c r="AG26" s="273">
        <f>IFERROR(AG20/AB20-1,"")</f>
        <v>0.13941018766756</v>
      </c>
      <c r="AH26" s="273">
        <f>IFERROR(AH20/AC20-1,"")</f>
        <v>0.081826267417729</v>
      </c>
      <c r="AI26" s="273">
        <f>IFERROR(AI20/AD20-1,"")</f>
        <v>0.194581998252257</v>
      </c>
    </row>
    <row r="27">
      <c r="C27" s="268" t="inlineStr">
        <is>
          <t xml:space="preserve">   % YoY Rotary and Mission Systems</t>
        </is>
      </c>
      <c r="D27" s="272" t="str">
        <f>""</f>
        <v/>
      </c>
      <c r="E27" s="272" t="str">
        <f>""</f>
        <v/>
      </c>
      <c r="F27" s="272" t="str">
        <f>""</f>
        <v/>
      </c>
      <c r="G27" s="272" t="str">
        <f>""</f>
        <v/>
      </c>
      <c r="H27" s="273" t="str">
        <f>""</f>
        <v/>
      </c>
      <c r="I27" s="272" t="str">
        <f>IFERROR(I21/D21-1,"")</f>
        <v/>
      </c>
      <c r="J27" s="272" t="str">
        <f>IFERROR(J21/E21-1,"")</f>
        <v/>
      </c>
      <c r="K27" s="272" t="str">
        <f>IFERROR(K21/F21-1,"")</f>
        <v/>
      </c>
      <c r="L27" s="272" t="str">
        <f>IFERROR(L21/G21-1,"")</f>
        <v/>
      </c>
      <c r="M27" s="273" t="str">
        <f>IFERROR(M21/H21-1,"")</f>
        <v/>
      </c>
      <c r="N27" s="272">
        <f>IFERROR(N21/I21-1,"")</f>
        <v>-0.135135135135135</v>
      </c>
      <c r="O27" s="272">
        <f>IFERROR(O21/J21-1,"")</f>
        <v>-0.0542197076850542</v>
      </c>
      <c r="P27" s="272">
        <f>IFERROR(P21/K21-1,"")</f>
        <v>-0.05</v>
      </c>
      <c r="Q27" s="272">
        <f>IFERROR(Q21/L21-1,"")</f>
        <v>0.0769058295964125</v>
      </c>
      <c r="R27" s="273">
        <f>IFERROR(R21/M21-1,"")</f>
        <v>-0.0381797605575079</v>
      </c>
      <c r="S27" s="272">
        <f>IFERROR(S21/N21-1,"")</f>
        <v>-0.0118243243243243</v>
      </c>
      <c r="T27" s="272">
        <f>IFERROR(T21/O21-1,"")</f>
        <v>-0.0286640079760718</v>
      </c>
      <c r="U27" s="272">
        <f>IFERROR(U21/P21-1,"")</f>
        <v>0.0899233007140967</v>
      </c>
      <c r="V27" s="272">
        <f>IFERROR(V21/Q21-1,"")</f>
        <v>-0.0191546949823027</v>
      </c>
      <c r="W27" s="273">
        <f>IFERROR(W21/R21-1,"")</f>
        <v>0.00563537280158544</v>
      </c>
      <c r="X27" s="272">
        <f>IFERROR(X21/S21-1,"")</f>
        <v>0.164672364672365</v>
      </c>
      <c r="Y27" s="272">
        <f>IFERROR(Y21/T21-1,"")</f>
        <v>0.167051578137029</v>
      </c>
      <c r="Z27" s="272">
        <f>IFERROR(Z21/U21-1,"")</f>
        <v>0.0596942489686969</v>
      </c>
      <c r="AA27" s="272">
        <f>IFERROR(AA21/V21-1,"")</f>
        <v>-0.0955211207811505</v>
      </c>
      <c r="AB27" s="273">
        <f>IFERROR(AB21/W21-1,"")</f>
        <v>0.0631196502247675</v>
      </c>
      <c r="AC27" s="272">
        <f>IFERROR(AC21/X21-1,"")</f>
        <v>0.0587084148727985</v>
      </c>
      <c r="AD27" s="272">
        <f>IFERROR(AD21/Y21-1,"")</f>
        <v>-0.121591908531222</v>
      </c>
      <c r="AE27" s="272">
        <f>IFERROR(AE21/Z21-1,"")</f>
        <v>0.00137394092054044</v>
      </c>
      <c r="AF27" s="272">
        <f>IFERROR(AF21/AA21-1,"")</f>
        <v>0.0833137761088947</v>
      </c>
      <c r="AG27" s="273">
        <f>IFERROR(AG21/AB21-1,"")</f>
        <v>0.00278035217794259</v>
      </c>
      <c r="AH27" s="273">
        <f>IFERROR(AH21/AC21-1,"")</f>
        <v>-0.0778650646950092</v>
      </c>
      <c r="AI27" s="273">
        <f>IFERROR(AI21/AD21-1,"")</f>
        <v>0.0898623279098874</v>
      </c>
    </row>
    <row r="28"/>
    <row r="29">
      <c r="C29" s="267" t="inlineStr">
        <is>
          <t>Segmentos - lucro e margem (USD milhões)</t>
        </is>
      </c>
      <c r="D29" s="267">
        <f>D7</f>
        <v>0</v>
      </c>
      <c r="E29" s="267">
        <f>E7</f>
        <v>0</v>
      </c>
      <c r="F29" s="267">
        <f>F7</f>
        <v>0</v>
      </c>
      <c r="G29" s="267">
        <f>G7</f>
        <v>0</v>
      </c>
      <c r="H29" s="267">
        <f>H7</f>
        <v>2020</v>
      </c>
      <c r="I29" s="267" t="str">
        <f>I7</f>
        <v>1Q21</v>
      </c>
      <c r="J29" s="267" t="str">
        <f>J7</f>
        <v>2Q21</v>
      </c>
      <c r="K29" s="267" t="str">
        <f>K7</f>
        <v>3Q21</v>
      </c>
      <c r="L29" s="267" t="str">
        <f>L7</f>
        <v>4Q21</v>
      </c>
      <c r="M29" s="267">
        <f>M7</f>
        <v>2021</v>
      </c>
      <c r="N29" s="267" t="str">
        <f>N7</f>
        <v>1Q22</v>
      </c>
      <c r="O29" s="267" t="str">
        <f>O7</f>
        <v>2Q22</v>
      </c>
      <c r="P29" s="267" t="str">
        <f>P7</f>
        <v>3Q22</v>
      </c>
      <c r="Q29" s="267" t="str">
        <f>Q7</f>
        <v>4Q22</v>
      </c>
      <c r="R29" s="267">
        <f>R7</f>
        <v>2022</v>
      </c>
      <c r="S29" s="267" t="str">
        <f>S7</f>
        <v>1Q23</v>
      </c>
      <c r="T29" s="267" t="str">
        <f>T7</f>
        <v>2Q23</v>
      </c>
      <c r="U29" s="267" t="str">
        <f>U7</f>
        <v>3Q23</v>
      </c>
      <c r="V29" s="267" t="str">
        <f>V7</f>
        <v>4Q23</v>
      </c>
      <c r="W29" s="267">
        <f>W7</f>
        <v>2023</v>
      </c>
      <c r="X29" s="267" t="str">
        <f>X7</f>
        <v>1Q24</v>
      </c>
      <c r="Y29" s="267" t="str">
        <f>Y7</f>
        <v>2Q24</v>
      </c>
      <c r="Z29" s="267" t="str">
        <f>Z7</f>
        <v>3Q24</v>
      </c>
      <c r="AA29" s="267" t="str">
        <f>AA7</f>
        <v>4Q24</v>
      </c>
      <c r="AB29" s="267">
        <f>AB7</f>
        <v>2024</v>
      </c>
      <c r="AC29" s="267" t="str">
        <f>AC7</f>
        <v>1Q25</v>
      </c>
      <c r="AD29" s="267" t="str">
        <f>AD7</f>
        <v>2Q25</v>
      </c>
      <c r="AE29" s="267" t="str">
        <f>AE7</f>
        <v>3Q25</v>
      </c>
      <c r="AF29" s="267" t="str">
        <f>AF7</f>
        <v>4Q25</v>
      </c>
      <c r="AG29" s="267">
        <f>AG7</f>
        <v>2025</v>
      </c>
      <c r="AH29" s="267" t="str">
        <f>AH7</f>
        <v>1Q26</v>
      </c>
      <c r="AI29" s="267" t="str">
        <f>AI7</f>
        <v>2Q26</v>
      </c>
    </row>
    <row r="30">
      <c r="C30" s="268" t="inlineStr">
        <is>
          <t xml:space="preserve">   Aeronautics</t>
        </is>
      </c>
      <c r="D30" s="269" t="str">
        <f>IFERROR(INDEX('Inputs (2)'!$D$54:$AL$54,MATCH(D$7&amp;"",'Inputs (2)'!$D$2:$AL$2,0)),"")</f>
        <v/>
      </c>
      <c r="E30" s="269" t="str">
        <f>IFERROR(INDEX('Inputs (2)'!$D$54:$AL$54,MATCH(E$7&amp;"",'Inputs (2)'!$D$2:$AL$2,0)),"")</f>
        <v/>
      </c>
      <c r="F30" s="269" t="str">
        <f>IFERROR(INDEX('Inputs (2)'!$D$54:$AL$54,MATCH(F$7&amp;"",'Inputs (2)'!$D$2:$AL$2,0)),"")</f>
        <v/>
      </c>
      <c r="G30" s="269" t="str">
        <f>IFERROR(INDEX('Inputs (2)'!$D$54:$AL$54,MATCH(G$7&amp;"",'Inputs (2)'!$D$2:$AL$2,0)),"")</f>
        <v/>
      </c>
      <c r="H30" s="270" t="str">
        <f>IF(COUNT(D30:G30)=4,SUM(D30:G30),"")</f>
        <v/>
      </c>
      <c r="I30" s="269">
        <f>IFERROR(INDEX('Inputs (2)'!$D$54:$AL$54,MATCH(I$7&amp;"",'Inputs (2)'!$D$2:$AL$2,0)),"")</f>
        <v>693</v>
      </c>
      <c r="J30" s="269">
        <f>IFERROR(INDEX('Inputs (2)'!$D$54:$AL$54,MATCH(J$7&amp;"",'Inputs (2)'!$D$2:$AL$2,0)),"")</f>
        <v>572</v>
      </c>
      <c r="K30" s="269">
        <f>IFERROR(INDEX('Inputs (2)'!$D$54:$AL$54,MATCH(K$7&amp;"",'Inputs (2)'!$D$2:$AL$2,0)),"")</f>
        <v>714</v>
      </c>
      <c r="L30" s="269">
        <f>IFERROR(INDEX('Inputs (2)'!$D$54:$AL$54,MATCH(L$7&amp;"",'Inputs (2)'!$D$2:$AL$2,0)),"")</f>
        <v>820</v>
      </c>
      <c r="M30" s="270">
        <f>IF(COUNT(I30:L30)=4,SUM(I30:L30),"")</f>
        <v>2799</v>
      </c>
      <c r="N30" s="269">
        <f>IFERROR(INDEX('Inputs (2)'!$D$54:$AL$54,MATCH(N$7&amp;"",'Inputs (2)'!$D$2:$AL$2,0)),"")</f>
        <v>679</v>
      </c>
      <c r="O30" s="269">
        <f>IFERROR(INDEX('Inputs (2)'!$D$54:$AL$54,MATCH(O$7&amp;"",'Inputs (2)'!$D$2:$AL$2,0)),"")</f>
        <v>613</v>
      </c>
      <c r="P30" s="269">
        <f>IFERROR(INDEX('Inputs (2)'!$D$54:$AL$54,MATCH(P$7&amp;"",'Inputs (2)'!$D$2:$AL$2,0)),"")</f>
        <v>759</v>
      </c>
      <c r="Q30" s="269">
        <f>IFERROR(INDEX('Inputs (2)'!$D$54:$AL$54,MATCH(Q$7&amp;"",'Inputs (2)'!$D$2:$AL$2,0)),"")</f>
        <v>816</v>
      </c>
      <c r="R30" s="270">
        <f>IF(COUNT(N30:Q30)=4,SUM(N30:Q30),"")</f>
        <v>2867</v>
      </c>
      <c r="S30" s="269">
        <f>IFERROR(INDEX('Inputs (2)'!$D$54:$AL$54,MATCH(S$7&amp;"",'Inputs (2)'!$D$2:$AL$2,0)),"")</f>
        <v>675</v>
      </c>
      <c r="T30" s="269">
        <f>IFERROR(INDEX('Inputs (2)'!$D$54:$AL$54,MATCH(T$7&amp;"",'Inputs (2)'!$D$2:$AL$2,0)),"")</f>
        <v>718</v>
      </c>
      <c r="U30" s="269">
        <f>IFERROR(INDEX('Inputs (2)'!$D$54:$AL$54,MATCH(U$7&amp;"",'Inputs (2)'!$D$2:$AL$2,0)),"")</f>
        <v>671</v>
      </c>
      <c r="V30" s="269">
        <f>IFERROR(INDEX('Inputs (2)'!$D$54:$AL$54,MATCH(V$7&amp;"",'Inputs (2)'!$D$2:$AL$2,0)),"")</f>
        <v>761</v>
      </c>
      <c r="W30" s="270">
        <f>IF(COUNT(S30:V30)=4,SUM(S30:V30),"")</f>
        <v>2825</v>
      </c>
      <c r="X30" s="269">
        <f>IFERROR(INDEX('Inputs (2)'!$D$54:$AL$54,MATCH(X$7&amp;"",'Inputs (2)'!$D$2:$AL$2,0)),"")</f>
        <v>679</v>
      </c>
      <c r="Y30" s="269">
        <f>IFERROR(INDEX('Inputs (2)'!$D$54:$AL$54,MATCH(Y$7&amp;"",'Inputs (2)'!$D$2:$AL$2,0)),"")</f>
        <v>751</v>
      </c>
      <c r="Z30" s="269">
        <f>IFERROR(INDEX('Inputs (2)'!$D$54:$AL$54,MATCH(Z$7&amp;"",'Inputs (2)'!$D$2:$AL$2,0)),"")</f>
        <v>659</v>
      </c>
      <c r="AA30" s="269">
        <f>IFERROR(INDEX('Inputs (2)'!$D$54:$AL$54,MATCH(AA$7&amp;"",'Inputs (2)'!$D$2:$AL$2,0)),"")</f>
        <v>434</v>
      </c>
      <c r="AB30" s="270">
        <f>IF(COUNT(X30:AA30)=4,SUM(X30:AA30),"")</f>
        <v>2523</v>
      </c>
      <c r="AC30" s="269">
        <f>IFERROR(INDEX('Inputs (2)'!$D$54:$AL$54,MATCH(AC$7&amp;"",'Inputs (2)'!$D$2:$AL$2,0)),"")</f>
        <v>720</v>
      </c>
      <c r="AD30" s="269">
        <f>IFERROR(INDEX('Inputs (2)'!$D$54:$AL$54,MATCH(AD$7&amp;"",'Inputs (2)'!$D$2:$AL$2,0)),"")</f>
        <v>-98</v>
      </c>
      <c r="AE30" s="269">
        <f>IFERROR(INDEX('Inputs (2)'!$D$54:$AL$54,MATCH(AE$7&amp;"",'Inputs (2)'!$D$2:$AL$2,0)),"")</f>
        <v>682</v>
      </c>
      <c r="AF30" s="269">
        <f>IFERROR(INDEX('Inputs (2)'!$D$54:$AL$54,MATCH(AF$7&amp;"",'Inputs (2)'!$D$2:$AL$2,0)),"")</f>
        <v>782</v>
      </c>
      <c r="AG30" s="270">
        <f>IF(COUNT(AC30:AF30)=4,SUM(AC30:AF30),"")</f>
        <v>2086</v>
      </c>
      <c r="AH30" s="270">
        <f>IFERROR(INDEX('Inputs (2)'!$D$54:$AL$54,MATCH(AH$7&amp;"",'Inputs (2)'!$D$2:$AL$2,0)),"")</f>
        <v>619</v>
      </c>
      <c r="AI30" s="270">
        <f>IFERROR(INDEX('Inputs (2)'!$D$54:$AL$54,MATCH(AI$7&amp;"",'Inputs (2)'!$D$2:$AL$2,0)),"")</f>
        <v>760</v>
      </c>
    </row>
    <row r="31">
      <c r="C31" s="268" t="inlineStr">
        <is>
          <t xml:space="preserve">   Missiles and Fire Control</t>
        </is>
      </c>
      <c r="D31" s="269" t="str">
        <f>IFERROR(INDEX('Inputs (2)'!$D$56:$AL$56,MATCH(D$7&amp;"",'Inputs (2)'!$D$2:$AL$2,0)),"")</f>
        <v/>
      </c>
      <c r="E31" s="269" t="str">
        <f>IFERROR(INDEX('Inputs (2)'!$D$56:$AL$56,MATCH(E$7&amp;"",'Inputs (2)'!$D$2:$AL$2,0)),"")</f>
        <v/>
      </c>
      <c r="F31" s="269" t="str">
        <f>IFERROR(INDEX('Inputs (2)'!$D$56:$AL$56,MATCH(F$7&amp;"",'Inputs (2)'!$D$2:$AL$2,0)),"")</f>
        <v/>
      </c>
      <c r="G31" s="269" t="str">
        <f>IFERROR(INDEX('Inputs (2)'!$D$56:$AL$56,MATCH(G$7&amp;"",'Inputs (2)'!$D$2:$AL$2,0)),"")</f>
        <v/>
      </c>
      <c r="H31" s="270" t="str">
        <f>IF(COUNT(D31:G31)=4,SUM(D31:G31),"")</f>
        <v/>
      </c>
      <c r="I31" s="269">
        <f>IFERROR(INDEX('Inputs (2)'!$D$56:$AL$56,MATCH(I$7&amp;"",'Inputs (2)'!$D$2:$AL$2,0)),"")</f>
        <v>396</v>
      </c>
      <c r="J31" s="269">
        <f>IFERROR(INDEX('Inputs (2)'!$D$56:$AL$56,MATCH(J$7&amp;"",'Inputs (2)'!$D$2:$AL$2,0)),"")</f>
        <v>401</v>
      </c>
      <c r="K31" s="269">
        <f>IFERROR(INDEX('Inputs (2)'!$D$56:$AL$56,MATCH(K$7&amp;"",'Inputs (2)'!$D$2:$AL$2,0)),"")</f>
        <v>413</v>
      </c>
      <c r="L31" s="269">
        <f>IFERROR(INDEX('Inputs (2)'!$D$56:$AL$56,MATCH(L$7&amp;"",'Inputs (2)'!$D$2:$AL$2,0)),"")</f>
        <v>438</v>
      </c>
      <c r="M31" s="270">
        <f>IF(COUNT(I31:L31)=4,SUM(I31:L31),"")</f>
        <v>1648</v>
      </c>
      <c r="N31" s="269">
        <f>IFERROR(INDEX('Inputs (2)'!$D$56:$AL$56,MATCH(N$7&amp;"",'Inputs (2)'!$D$2:$AL$2,0)),"")</f>
        <v>385</v>
      </c>
      <c r="O31" s="269">
        <f>IFERROR(INDEX('Inputs (2)'!$D$56:$AL$56,MATCH(O$7&amp;"",'Inputs (2)'!$D$2:$AL$2,0)),"")</f>
        <v>418</v>
      </c>
      <c r="P31" s="269">
        <f>IFERROR(INDEX('Inputs (2)'!$D$56:$AL$56,MATCH(P$7&amp;"",'Inputs (2)'!$D$2:$AL$2,0)),"")</f>
        <v>383</v>
      </c>
      <c r="Q31" s="269">
        <f>IFERROR(INDEX('Inputs (2)'!$D$56:$AL$56,MATCH(Q$7&amp;"",'Inputs (2)'!$D$2:$AL$2,0)),"")</f>
        <v>451</v>
      </c>
      <c r="R31" s="270">
        <f>IF(COUNT(N31:Q31)=4,SUM(N31:Q31),"")</f>
        <v>1637</v>
      </c>
      <c r="S31" s="269">
        <f>IFERROR(INDEX('Inputs (2)'!$D$56:$AL$56,MATCH(S$7&amp;"",'Inputs (2)'!$D$2:$AL$2,0)),"")</f>
        <v>377</v>
      </c>
      <c r="T31" s="269">
        <f>IFERROR(INDEX('Inputs (2)'!$D$56:$AL$56,MATCH(T$7&amp;"",'Inputs (2)'!$D$2:$AL$2,0)),"")</f>
        <v>371</v>
      </c>
      <c r="U31" s="269">
        <f>IFERROR(INDEX('Inputs (2)'!$D$56:$AL$56,MATCH(U$7&amp;"",'Inputs (2)'!$D$2:$AL$2,0)),"")</f>
        <v>398</v>
      </c>
      <c r="V31" s="269">
        <f>IFERROR(INDEX('Inputs (2)'!$D$56:$AL$56,MATCH(V$7&amp;"",'Inputs (2)'!$D$2:$AL$2,0)),"")</f>
        <v>395</v>
      </c>
      <c r="W31" s="270">
        <f>IF(COUNT(S31:V31)=4,SUM(S31:V31),"")</f>
        <v>1541</v>
      </c>
      <c r="X31" s="269">
        <f>IFERROR(INDEX('Inputs (2)'!$D$56:$AL$56,MATCH(X$7&amp;"",'Inputs (2)'!$D$2:$AL$2,0)),"")</f>
        <v>311</v>
      </c>
      <c r="Y31" s="269">
        <f>IFERROR(INDEX('Inputs (2)'!$D$56:$AL$56,MATCH(Y$7&amp;"",'Inputs (2)'!$D$2:$AL$2,0)),"")</f>
        <v>450</v>
      </c>
      <c r="Z31" s="269">
        <f>IFERROR(INDEX('Inputs (2)'!$D$56:$AL$56,MATCH(Z$7&amp;"",'Inputs (2)'!$D$2:$AL$2,0)),"")</f>
        <v>456</v>
      </c>
      <c r="AA31" s="269">
        <f>IFERROR(INDEX('Inputs (2)'!$D$56:$AL$56,MATCH(AA$7&amp;"",'Inputs (2)'!$D$2:$AL$2,0)),"")</f>
        <v>-804</v>
      </c>
      <c r="AB31" s="270">
        <f>IF(COUNT(X31:AA31)=4,SUM(X31:AA31),"")</f>
        <v>413</v>
      </c>
      <c r="AC31" s="269">
        <f>IFERROR(INDEX('Inputs (2)'!$D$56:$AL$56,MATCH(AC$7&amp;"",'Inputs (2)'!$D$2:$AL$2,0)),"")</f>
        <v>465</v>
      </c>
      <c r="AD31" s="269">
        <f>IFERROR(INDEX('Inputs (2)'!$D$56:$AL$56,MATCH(AD$7&amp;"",'Inputs (2)'!$D$2:$AL$2,0)),"")</f>
        <v>479</v>
      </c>
      <c r="AE31" s="269">
        <f>IFERROR(INDEX('Inputs (2)'!$D$56:$AL$56,MATCH(AE$7&amp;"",'Inputs (2)'!$D$2:$AL$2,0)),"")</f>
        <v>510</v>
      </c>
      <c r="AF31" s="269">
        <f>IFERROR(INDEX('Inputs (2)'!$D$56:$AL$56,MATCH(AF$7&amp;"",'Inputs (2)'!$D$2:$AL$2,0)),"")</f>
        <v>535</v>
      </c>
      <c r="AG31" s="270">
        <f>IF(COUNT(AC31:AF31)=4,SUM(AC31:AF31),"")</f>
        <v>1989</v>
      </c>
      <c r="AH31" s="270">
        <f>IFERROR(INDEX('Inputs (2)'!$D$56:$AL$56,MATCH(AH$7&amp;"",'Inputs (2)'!$D$2:$AL$2,0)),"")</f>
        <v>500</v>
      </c>
      <c r="AI31" s="270">
        <f>IFERROR(INDEX('Inputs (2)'!$D$56:$AL$56,MATCH(AI$7&amp;"",'Inputs (2)'!$D$2:$AL$2,0)),"")</f>
        <v>594</v>
      </c>
    </row>
    <row r="32">
      <c r="C32" s="268" t="inlineStr">
        <is>
          <t xml:space="preserve">   Rotary and Mission Systems</t>
        </is>
      </c>
      <c r="D32" s="269" t="str">
        <f>IFERROR(INDEX('Inputs (2)'!$D$58:$AL$58,MATCH(D$7&amp;"",'Inputs (2)'!$D$2:$AL$2,0)),"")</f>
        <v/>
      </c>
      <c r="E32" s="269" t="str">
        <f>IFERROR(INDEX('Inputs (2)'!$D$58:$AL$58,MATCH(E$7&amp;"",'Inputs (2)'!$D$2:$AL$2,0)),"")</f>
        <v/>
      </c>
      <c r="F32" s="269" t="str">
        <f>IFERROR(INDEX('Inputs (2)'!$D$58:$AL$58,MATCH(F$7&amp;"",'Inputs (2)'!$D$2:$AL$2,0)),"")</f>
        <v/>
      </c>
      <c r="G32" s="269" t="str">
        <f>IFERROR(INDEX('Inputs (2)'!$D$58:$AL$58,MATCH(G$7&amp;"",'Inputs (2)'!$D$2:$AL$2,0)),"")</f>
        <v/>
      </c>
      <c r="H32" s="270" t="str">
        <f>IF(COUNT(D32:G32)=4,SUM(D32:G32),"")</f>
        <v/>
      </c>
      <c r="I32" s="269">
        <f>IFERROR(INDEX('Inputs (2)'!$D$58:$AL$58,MATCH(I$7&amp;"",'Inputs (2)'!$D$2:$AL$2,0)),"")</f>
        <v>433</v>
      </c>
      <c r="J32" s="269">
        <f>IFERROR(INDEX('Inputs (2)'!$D$58:$AL$58,MATCH(J$7&amp;"",'Inputs (2)'!$D$2:$AL$2,0)),"")</f>
        <v>458</v>
      </c>
      <c r="K32" s="269">
        <f>IFERROR(INDEX('Inputs (2)'!$D$58:$AL$58,MATCH(K$7&amp;"",'Inputs (2)'!$D$2:$AL$2,0)),"")</f>
        <v>459</v>
      </c>
      <c r="L32" s="269">
        <f>IFERROR(INDEX('Inputs (2)'!$D$58:$AL$58,MATCH(L$7&amp;"",'Inputs (2)'!$D$2:$AL$2,0)),"")</f>
        <v>448</v>
      </c>
      <c r="M32" s="270">
        <f>IF(COUNT(I32:L32)=4,SUM(I32:L32),"")</f>
        <v>1798</v>
      </c>
      <c r="N32" s="269">
        <f>IFERROR(INDEX('Inputs (2)'!$D$58:$AL$58,MATCH(N$7&amp;"",'Inputs (2)'!$D$2:$AL$2,0)),"")</f>
        <v>406</v>
      </c>
      <c r="O32" s="269">
        <f>IFERROR(INDEX('Inputs (2)'!$D$58:$AL$58,MATCH(O$7&amp;"",'Inputs (2)'!$D$2:$AL$2,0)),"")</f>
        <v>461</v>
      </c>
      <c r="P32" s="269">
        <f>IFERROR(INDEX('Inputs (2)'!$D$58:$AL$58,MATCH(P$7&amp;"",'Inputs (2)'!$D$2:$AL$2,0)),"")</f>
        <v>472</v>
      </c>
      <c r="Q32" s="269">
        <f>IFERROR(INDEX('Inputs (2)'!$D$58:$AL$58,MATCH(Q$7&amp;"",'Inputs (2)'!$D$2:$AL$2,0)),"")</f>
        <v>508</v>
      </c>
      <c r="R32" s="270">
        <f>IF(COUNT(N32:Q32)=4,SUM(N32:Q32),"")</f>
        <v>1847</v>
      </c>
      <c r="S32" s="269">
        <f>IFERROR(INDEX('Inputs (2)'!$D$58:$AL$58,MATCH(S$7&amp;"",'Inputs (2)'!$D$2:$AL$2,0)),"")</f>
        <v>350</v>
      </c>
      <c r="T32" s="269">
        <f>IFERROR(INDEX('Inputs (2)'!$D$58:$AL$58,MATCH(T$7&amp;"",'Inputs (2)'!$D$2:$AL$2,0)),"")</f>
        <v>454</v>
      </c>
      <c r="U32" s="269">
        <f>IFERROR(INDEX('Inputs (2)'!$D$58:$AL$58,MATCH(U$7&amp;"",'Inputs (2)'!$D$2:$AL$2,0)),"")</f>
        <v>482</v>
      </c>
      <c r="V32" s="269">
        <f>IFERROR(INDEX('Inputs (2)'!$D$58:$AL$58,MATCH(V$7&amp;"",'Inputs (2)'!$D$2:$AL$2,0)),"")</f>
        <v>579</v>
      </c>
      <c r="W32" s="270">
        <f>IF(COUNT(S32:V32)=4,SUM(S32:V32),"")</f>
        <v>1865</v>
      </c>
      <c r="X32" s="269">
        <f>IFERROR(INDEX('Inputs (2)'!$D$58:$AL$58,MATCH(X$7&amp;"",'Inputs (2)'!$D$2:$AL$2,0)),"")</f>
        <v>430</v>
      </c>
      <c r="Y32" s="269">
        <f>IFERROR(INDEX('Inputs (2)'!$D$58:$AL$58,MATCH(Y$7&amp;"",'Inputs (2)'!$D$2:$AL$2,0)),"")</f>
        <v>495</v>
      </c>
      <c r="Z32" s="269">
        <f>IFERROR(INDEX('Inputs (2)'!$D$58:$AL$58,MATCH(Z$7&amp;"",'Inputs (2)'!$D$2:$AL$2,0)),"")</f>
        <v>483</v>
      </c>
      <c r="AA32" s="269">
        <f>IFERROR(INDEX('Inputs (2)'!$D$58:$AL$58,MATCH(AA$7&amp;"",'Inputs (2)'!$D$2:$AL$2,0)),"")</f>
        <v>513</v>
      </c>
      <c r="AB32" s="270">
        <f>IF(COUNT(X32:AA32)=4,SUM(X32:AA32),"")</f>
        <v>1921</v>
      </c>
      <c r="AC32" s="269">
        <f>IFERROR(INDEX('Inputs (2)'!$D$58:$AL$58,MATCH(AC$7&amp;"",'Inputs (2)'!$D$2:$AL$2,0)),"")</f>
        <v>521</v>
      </c>
      <c r="AD32" s="269">
        <f>IFERROR(INDEX('Inputs (2)'!$D$58:$AL$58,MATCH(AD$7&amp;"",'Inputs (2)'!$D$2:$AL$2,0)),"")</f>
        <v>-172</v>
      </c>
      <c r="AE32" s="269">
        <f>IFERROR(INDEX('Inputs (2)'!$D$58:$AL$58,MATCH(AE$7&amp;"",'Inputs (2)'!$D$2:$AL$2,0)),"")</f>
        <v>506</v>
      </c>
      <c r="AF32" s="269">
        <f>IFERROR(INDEX('Inputs (2)'!$D$58:$AL$58,MATCH(AF$7&amp;"",'Inputs (2)'!$D$2:$AL$2,0)),"")</f>
        <v>468</v>
      </c>
      <c r="AG32" s="270">
        <f>IF(COUNT(AC32:AF32)=4,SUM(AC32:AF32),"")</f>
        <v>1323</v>
      </c>
      <c r="AH32" s="270">
        <f>IFERROR(INDEX('Inputs (2)'!$D$58:$AL$58,MATCH(AH$7&amp;"",'Inputs (2)'!$D$2:$AL$2,0)),"")</f>
        <v>423</v>
      </c>
      <c r="AI32" s="270">
        <f>IFERROR(INDEX('Inputs (2)'!$D$58:$AL$58,MATCH(AI$7&amp;"",'Inputs (2)'!$D$2:$AL$2,0)),"")</f>
        <v>437</v>
      </c>
    </row>
    <row r="33">
      <c r="C33" s="268" t="inlineStr">
        <is>
          <t xml:space="preserve">   Space</t>
        </is>
      </c>
      <c r="D33" s="269" t="str">
        <f>IFERROR(INDEX('Inputs (2)'!$D$60:$AL$60,MATCH(D$7&amp;"",'Inputs (2)'!$D$2:$AL$2,0)),"")</f>
        <v/>
      </c>
      <c r="E33" s="269" t="str">
        <f>IFERROR(INDEX('Inputs (2)'!$D$60:$AL$60,MATCH(E$7&amp;"",'Inputs (2)'!$D$2:$AL$2,0)),"")</f>
        <v/>
      </c>
      <c r="F33" s="269" t="str">
        <f>IFERROR(INDEX('Inputs (2)'!$D$60:$AL$60,MATCH(F$7&amp;"",'Inputs (2)'!$D$2:$AL$2,0)),"")</f>
        <v/>
      </c>
      <c r="G33" s="269" t="str">
        <f>IFERROR(INDEX('Inputs (2)'!$D$60:$AL$60,MATCH(G$7&amp;"",'Inputs (2)'!$D$2:$AL$2,0)),"")</f>
        <v/>
      </c>
      <c r="H33" s="270" t="str">
        <f>IF(COUNT(D33:G33)=4,SUM(D33:G33),"")</f>
        <v/>
      </c>
      <c r="I33" s="269">
        <f>IFERROR(INDEX('Inputs (2)'!$D$60:$AL$60,MATCH(I$7&amp;"",'Inputs (2)'!$D$2:$AL$2,0)),"")</f>
        <v>227</v>
      </c>
      <c r="J33" s="269">
        <f>IFERROR(INDEX('Inputs (2)'!$D$60:$AL$60,MATCH(J$7&amp;"",'Inputs (2)'!$D$2:$AL$2,0)),"")</f>
        <v>335</v>
      </c>
      <c r="K33" s="269">
        <f>IFERROR(INDEX('Inputs (2)'!$D$60:$AL$60,MATCH(K$7&amp;"",'Inputs (2)'!$D$2:$AL$2,0)),"")</f>
        <v>264</v>
      </c>
      <c r="L33" s="269">
        <f>IFERROR(INDEX('Inputs (2)'!$D$60:$AL$60,MATCH(L$7&amp;"",'Inputs (2)'!$D$2:$AL$2,0)),"")</f>
        <v>308</v>
      </c>
      <c r="M33" s="270">
        <f>IF(COUNT(I33:L33)=4,SUM(I33:L33),"")</f>
        <v>1134</v>
      </c>
      <c r="N33" s="269">
        <f>IFERROR(INDEX('Inputs (2)'!$D$60:$AL$60,MATCH(N$7&amp;"",'Inputs (2)'!$D$2:$AL$2,0)),"")</f>
        <v>248</v>
      </c>
      <c r="O33" s="269">
        <f>IFERROR(INDEX('Inputs (2)'!$D$60:$AL$60,MATCH(O$7&amp;"",'Inputs (2)'!$D$2:$AL$2,0)),"")</f>
        <v>271</v>
      </c>
      <c r="P33" s="269">
        <f>IFERROR(INDEX('Inputs (2)'!$D$60:$AL$60,MATCH(P$7&amp;"",'Inputs (2)'!$D$2:$AL$2,0)),"")</f>
        <v>304</v>
      </c>
      <c r="Q33" s="269">
        <f>IFERROR(INDEX('Inputs (2)'!$D$60:$AL$60,MATCH(Q$7&amp;"",'Inputs (2)'!$D$2:$AL$2,0)),"")</f>
        <v>231</v>
      </c>
      <c r="R33" s="270">
        <f>IF(COUNT(N33:Q33)=4,SUM(N33:Q33),"")</f>
        <v>1054</v>
      </c>
      <c r="S33" s="269">
        <f>IFERROR(INDEX('Inputs (2)'!$D$60:$AL$60,MATCH(S$7&amp;"",'Inputs (2)'!$D$2:$AL$2,0)),"")</f>
        <v>280</v>
      </c>
      <c r="T33" s="269">
        <f>IFERROR(INDEX('Inputs (2)'!$D$60:$AL$60,MATCH(T$7&amp;"",'Inputs (2)'!$D$2:$AL$2,0)),"")</f>
        <v>312</v>
      </c>
      <c r="U33" s="269">
        <f>IFERROR(INDEX('Inputs (2)'!$D$60:$AL$60,MATCH(U$7&amp;"",'Inputs (2)'!$D$2:$AL$2,0)),"")</f>
        <v>259</v>
      </c>
      <c r="V33" s="269">
        <f>IFERROR(INDEX('Inputs (2)'!$D$60:$AL$60,MATCH(V$7&amp;"",'Inputs (2)'!$D$2:$AL$2,0)),"")</f>
        <v>307</v>
      </c>
      <c r="W33" s="270">
        <f>IF(COUNT(S33:V33)=4,SUM(S33:V33),"")</f>
        <v>1158</v>
      </c>
      <c r="X33" s="269">
        <f>IFERROR(INDEX('Inputs (2)'!$D$60:$AL$60,MATCH(X$7&amp;"",'Inputs (2)'!$D$2:$AL$2,0)),"")</f>
        <v>325</v>
      </c>
      <c r="Y33" s="269">
        <f>IFERROR(INDEX('Inputs (2)'!$D$60:$AL$60,MATCH(Y$7&amp;"",'Inputs (2)'!$D$2:$AL$2,0)),"")</f>
        <v>346</v>
      </c>
      <c r="Z33" s="269">
        <f>IFERROR(INDEX('Inputs (2)'!$D$60:$AL$60,MATCH(Z$7&amp;"",'Inputs (2)'!$D$2:$AL$2,0)),"")</f>
        <v>272</v>
      </c>
      <c r="AA33" s="269">
        <f>IFERROR(INDEX('Inputs (2)'!$D$60:$AL$60,MATCH(AA$7&amp;"",'Inputs (2)'!$D$2:$AL$2,0)),"")</f>
        <v>283</v>
      </c>
      <c r="AB33" s="270">
        <f>IF(COUNT(X33:AA33)=4,SUM(X33:AA33),"")</f>
        <v>1226</v>
      </c>
      <c r="AC33" s="269">
        <f>IFERROR(INDEX('Inputs (2)'!$D$60:$AL$60,MATCH(AC$7&amp;"",'Inputs (2)'!$D$2:$AL$2,0)),"")</f>
        <v>379</v>
      </c>
      <c r="AD33" s="269">
        <f>IFERROR(INDEX('Inputs (2)'!$D$60:$AL$60,MATCH(AD$7&amp;"",'Inputs (2)'!$D$2:$AL$2,0)),"")</f>
        <v>362</v>
      </c>
      <c r="AE33" s="269">
        <f>IFERROR(INDEX('Inputs (2)'!$D$60:$AL$60,MATCH(AE$7&amp;"",'Inputs (2)'!$D$2:$AL$2,0)),"")</f>
        <v>331</v>
      </c>
      <c r="AF33" s="269">
        <f>IFERROR(INDEX('Inputs (2)'!$D$60:$AL$60,MATCH(AF$7&amp;"",'Inputs (2)'!$D$2:$AL$2,0)),"")</f>
        <v>273</v>
      </c>
      <c r="AG33" s="270">
        <f>IF(COUNT(AC33:AF33)=4,SUM(AC33:AF33),"")</f>
        <v>1345</v>
      </c>
      <c r="AH33" s="270">
        <f>IFERROR(INDEX('Inputs (2)'!$D$60:$AL$60,MATCH(AH$7&amp;"",'Inputs (2)'!$D$2:$AL$2,0)),"")</f>
        <v>281</v>
      </c>
      <c r="AI33" s="270">
        <f>IFERROR(INDEX('Inputs (2)'!$D$60:$AL$60,MATCH(AI$7&amp;"",'Inputs (2)'!$D$2:$AL$2,0)),"")</f>
        <v>371</v>
      </c>
    </row>
    <row r="34">
      <c r="C34" s="268" t="inlineStr">
        <is>
          <t xml:space="preserve">   Margem Aeronautics</t>
        </is>
      </c>
      <c r="D34" s="272" t="str">
        <f>IFERROR(D30/D19,"")</f>
        <v/>
      </c>
      <c r="E34" s="272" t="str">
        <f>IFERROR(E30/E19,"")</f>
        <v/>
      </c>
      <c r="F34" s="272" t="str">
        <f>IFERROR(F30/F19,"")</f>
        <v/>
      </c>
      <c r="G34" s="272" t="str">
        <f>IFERROR(G30/G19,"")</f>
        <v/>
      </c>
      <c r="H34" s="273" t="str">
        <f>IFERROR(H30/H19,"")</f>
        <v/>
      </c>
      <c r="I34" s="272">
        <f>IFERROR(I30/I19,"")</f>
        <v>0.108501643964303</v>
      </c>
      <c r="J34" s="272">
        <f>IFERROR(J30/J19,"")</f>
        <v>0.0858085808580858</v>
      </c>
      <c r="K34" s="272">
        <f>IFERROR(K30/K19,"")</f>
        <v>0.108708891595615</v>
      </c>
      <c r="L34" s="272">
        <f>IFERROR(L30/L19,"")</f>
        <v>0.115055423039147</v>
      </c>
      <c r="M34" s="273">
        <f>IFERROR(M30/M19,"")</f>
        <v>0.10464333781965</v>
      </c>
      <c r="N34" s="272">
        <f>IFERROR(N30/N19,"")</f>
        <v>0.106077175441337</v>
      </c>
      <c r="O34" s="272">
        <f>IFERROR(O30/O19,"")</f>
        <v>0.104571818491982</v>
      </c>
      <c r="P34" s="272">
        <f>IFERROR(P30/P19,"")</f>
        <v>0.107067287346593</v>
      </c>
      <c r="Q34" s="272">
        <f>IFERROR(Q30/Q19,"")</f>
        <v>0.106876227897839</v>
      </c>
      <c r="R34" s="273">
        <f>IFERROR(R30/R19,"")</f>
        <v>0.106236336013636</v>
      </c>
      <c r="S34" s="272">
        <f>IFERROR(S30/S19,"")</f>
        <v>0.107672675067794</v>
      </c>
      <c r="T34" s="272">
        <f>IFERROR(T30/T19,"")</f>
        <v>0.104436363636364</v>
      </c>
      <c r="U34" s="272">
        <f>IFERROR(U30/U19,"")</f>
        <v>0.0998957868095876</v>
      </c>
      <c r="V34" s="272">
        <f>IFERROR(V30/V19,"")</f>
        <v>0.0999605937212663</v>
      </c>
      <c r="W34" s="273">
        <f>IFERROR(W30/W19,"")</f>
        <v>0.102824488607411</v>
      </c>
      <c r="X34" s="272">
        <f>IFERROR(X30/X19,"")</f>
        <v>0.0991964937910884</v>
      </c>
      <c r="Y34" s="272">
        <f>IFERROR(Y30/Y19,"")</f>
        <v>0.10320186890202</v>
      </c>
      <c r="Z34" s="272">
        <f>IFERROR(Z30/Z19,"")</f>
        <v>0.101587790966548</v>
      </c>
      <c r="AA34" s="272">
        <f>IFERROR(AA30/AA19,"")</f>
        <v>0.0541890373330004</v>
      </c>
      <c r="AB34" s="273">
        <f>IFERROR(AB30/AB19,"")</f>
        <v>0.0881612970857502</v>
      </c>
      <c r="AC34" s="272">
        <f>IFERROR(AC30/AC19,"")</f>
        <v>0.102026356808842</v>
      </c>
      <c r="AD34" s="272">
        <f>IFERROR(AD30/AD19,"")</f>
        <v>-0.0132075471698113</v>
      </c>
      <c r="AE34" s="272">
        <f>IFERROR(AE30/AE19,"")</f>
        <v>0.0939911797133407</v>
      </c>
      <c r="AF34" s="272">
        <f>IFERROR(AF30/AF19,"")</f>
        <v>0.0917409666823088</v>
      </c>
      <c r="AG34" s="273">
        <f>IFERROR(AG30/AG19,"")</f>
        <v>0.0689427239977526</v>
      </c>
      <c r="AH34" s="273">
        <f>IFERROR(AH30/AH19,"")</f>
        <v>0.0890263195742845</v>
      </c>
      <c r="AI34" s="273">
        <f>IFERROR(AI30/AI19,"")</f>
        <v>0.0936883629191322</v>
      </c>
    </row>
    <row r="35">
      <c r="C35" s="268" t="inlineStr">
        <is>
          <t xml:space="preserve">   Margem Missiles and Fire Control</t>
        </is>
      </c>
      <c r="D35" s="272" t="str">
        <f>IFERROR(D31/D20,"")</f>
        <v/>
      </c>
      <c r="E35" s="272" t="str">
        <f>IFERROR(E31/E20,"")</f>
        <v/>
      </c>
      <c r="F35" s="272" t="str">
        <f>IFERROR(F31/F20,"")</f>
        <v/>
      </c>
      <c r="G35" s="272" t="str">
        <f>IFERROR(G31/G20,"")</f>
        <v/>
      </c>
      <c r="H35" s="273" t="str">
        <f>IFERROR(H31/H20,"")</f>
        <v/>
      </c>
      <c r="I35" s="272">
        <f>IFERROR(I31/I20,"")</f>
        <v>0.144052382684613</v>
      </c>
      <c r="J35" s="272">
        <f>IFERROR(J31/J20,"")</f>
        <v>0.136209239130435</v>
      </c>
      <c r="K35" s="272">
        <f>IFERROR(K31/K20,"")</f>
        <v>0.148507731032003</v>
      </c>
      <c r="L35" s="272">
        <f>IFERROR(L31/L20,"")</f>
        <v>0.136067101584343</v>
      </c>
      <c r="M35" s="273">
        <f>IFERROR(M31/M20,"")</f>
        <v>0.140939023347302</v>
      </c>
      <c r="N35" s="272">
        <f>IFERROR(N31/N20,"")</f>
        <v>0.157014681892333</v>
      </c>
      <c r="O35" s="272">
        <f>IFERROR(O31/O20,"")</f>
        <v>0.152165999271933</v>
      </c>
      <c r="P35" s="272">
        <f>IFERROR(P31/P20,"")</f>
        <v>0.13528788413988</v>
      </c>
      <c r="Q35" s="272">
        <f>IFERROR(Q31/Q20,"")</f>
        <v>0.137207179799209</v>
      </c>
      <c r="R35" s="273">
        <f>IFERROR(R31/R20,"")</f>
        <v>0.144649642131307</v>
      </c>
      <c r="S35" s="272">
        <f>IFERROR(S31/S20,"")</f>
        <v>0.15787269681742</v>
      </c>
      <c r="T35" s="272">
        <f>IFERROR(T31/T20,"")</f>
        <v>0.134664246823956</v>
      </c>
      <c r="U35" s="272">
        <f>IFERROR(U31/U20,"")</f>
        <v>0.135420210956108</v>
      </c>
      <c r="V35" s="272">
        <f>IFERROR(V31/V20,"")</f>
        <v>0.124566382844529</v>
      </c>
      <c r="W35" s="273">
        <f>IFERROR(W31/W20,"")</f>
        <v>0.136941260108416</v>
      </c>
      <c r="X35" s="272">
        <f>IFERROR(X31/X20,"")</f>
        <v>0.103909121282994</v>
      </c>
      <c r="Y35" s="272">
        <f>IFERROR(Y31/Y20,"")</f>
        <v>0.145067698259188</v>
      </c>
      <c r="Z35" s="272">
        <f>IFERROR(Z31/Z20,"")</f>
        <v>0.143622047244095</v>
      </c>
      <c r="AA35" s="272">
        <f>IFERROR(AA31/AA20,"")</f>
        <v>-0.235638921453693</v>
      </c>
      <c r="AB35" s="273">
        <f>IFERROR(AB31/AB20,"")</f>
        <v>0.0325658413499448</v>
      </c>
      <c r="AC35" s="272">
        <f>IFERROR(AC31/AC20,"")</f>
        <v>0.13785947227987</v>
      </c>
      <c r="AD35" s="272">
        <f>IFERROR(AD31/AD20,"")</f>
        <v>0.139528109525197</v>
      </c>
      <c r="AE35" s="272">
        <f>IFERROR(AE31/AE20,"")</f>
        <v>0.140728476821192</v>
      </c>
      <c r="AF35" s="272">
        <f>IFERROR(AF31/AF20,"")</f>
        <v>0.133084577114428</v>
      </c>
      <c r="AG35" s="273">
        <f>IFERROR(AG31/AG20,"")</f>
        <v>0.137647058823529</v>
      </c>
      <c r="AH35" s="273">
        <f>IFERROR(AH31/AH20,"")</f>
        <v>0.137023842148534</v>
      </c>
      <c r="AI35" s="273">
        <f>IFERROR(AI31/AI20,"")</f>
        <v>0.144842721287491</v>
      </c>
    </row>
    <row r="36">
      <c r="C36" s="268" t="inlineStr">
        <is>
          <t xml:space="preserve">   Margem Rotary and Mission Systems</t>
        </is>
      </c>
      <c r="D36" s="272" t="str">
        <f>IFERROR(D32/D21,"")</f>
        <v/>
      </c>
      <c r="E36" s="272" t="str">
        <f>IFERROR(E32/E21,"")</f>
        <v/>
      </c>
      <c r="F36" s="272" t="str">
        <f>IFERROR(F32/F21,"")</f>
        <v/>
      </c>
      <c r="G36" s="272" t="str">
        <f>IFERROR(G32/G21,"")</f>
        <v/>
      </c>
      <c r="H36" s="273" t="str">
        <f>IFERROR(H32/H21,"")</f>
        <v/>
      </c>
      <c r="I36" s="272">
        <f>IFERROR(I32/I21,"")</f>
        <v>0.105429754078403</v>
      </c>
      <c r="J36" s="272">
        <f>IFERROR(J32/J21,"")</f>
        <v>0.107967939651108</v>
      </c>
      <c r="K36" s="272">
        <f>IFERROR(K32/K21,"")</f>
        <v>0.115326633165829</v>
      </c>
      <c r="L36" s="272">
        <f>IFERROR(L32/L21,"")</f>
        <v>0.100448430493274</v>
      </c>
      <c r="M36" s="273">
        <f>IFERROR(M32/M21,"")</f>
        <v>0.107093930549765</v>
      </c>
      <c r="N36" s="272">
        <f>IFERROR(N32/N21,"")</f>
        <v>0.114301801801802</v>
      </c>
      <c r="O36" s="272">
        <f>IFERROR(O32/O21,"")</f>
        <v>0.114905284147557</v>
      </c>
      <c r="P36" s="272">
        <f>IFERROR(P32/P21,"")</f>
        <v>0.124834699814864</v>
      </c>
      <c r="Q36" s="272">
        <f>IFERROR(Q32/Q21,"")</f>
        <v>0.105767228815324</v>
      </c>
      <c r="R36" s="273">
        <f>IFERROR(R32/R21,"")</f>
        <v>0.114379489720089</v>
      </c>
      <c r="S36" s="272">
        <f>IFERROR(S32/S21,"")</f>
        <v>0.0997150997150997</v>
      </c>
      <c r="T36" s="272">
        <f>IFERROR(T32/T21,"")</f>
        <v>0.116499871696177</v>
      </c>
      <c r="U36" s="272">
        <f>IFERROR(U32/U21,"")</f>
        <v>0.116961902450861</v>
      </c>
      <c r="V36" s="272">
        <f>IFERROR(V32/V21,"")</f>
        <v>0.122903842071747</v>
      </c>
      <c r="W36" s="273">
        <f>IFERROR(W32/W21,"")</f>
        <v>0.114846973335797</v>
      </c>
      <c r="X36" s="272">
        <f>IFERROR(X32/X21,"")</f>
        <v>0.105185909980431</v>
      </c>
      <c r="Y36" s="272">
        <f>IFERROR(Y32/Y21,"")</f>
        <v>0.108839050131926</v>
      </c>
      <c r="Z36" s="272">
        <f>IFERROR(Z32/Z21,"")</f>
        <v>0.110602244103504</v>
      </c>
      <c r="AA36" s="272">
        <f>IFERROR(AA32/AA21,"")</f>
        <v>0.120394273644684</v>
      </c>
      <c r="AB36" s="273">
        <f>IFERROR(AB32/AB21,"")</f>
        <v>0.111272011121409</v>
      </c>
      <c r="AC36" s="272">
        <f>IFERROR(AC32/AC21,"")</f>
        <v>0.120378927911275</v>
      </c>
      <c r="AD36" s="272">
        <f>IFERROR(AD32/AD21,"")</f>
        <v>-0.0430538172715895</v>
      </c>
      <c r="AE36" s="272">
        <f>IFERROR(AE32/AE21,"")</f>
        <v>0.115710038874914</v>
      </c>
      <c r="AF36" s="272">
        <f>IFERROR(AF32/AF21,"")</f>
        <v>0.101386481802426</v>
      </c>
      <c r="AG36" s="273">
        <f>IFERROR(AG32/AG21,"")</f>
        <v>0.0764209796672828</v>
      </c>
      <c r="AH36" s="273">
        <f>IFERROR(AH32/AH21,"")</f>
        <v>0.10598847406665</v>
      </c>
      <c r="AI36" s="273">
        <f>IFERROR(AI32/AI21,"")</f>
        <v>0.100367478180983</v>
      </c>
    </row>
    <row r="37">
      <c r="C37" s="268" t="inlineStr">
        <is>
          <t xml:space="preserve">   Margem Space</t>
        </is>
      </c>
      <c r="D37" s="272" t="str">
        <f>IFERROR(D33/D22,"")</f>
        <v/>
      </c>
      <c r="E37" s="272" t="str">
        <f>IFERROR(E33/E22,"")</f>
        <v/>
      </c>
      <c r="F37" s="272" t="str">
        <f>IFERROR(F33/F22,"")</f>
        <v/>
      </c>
      <c r="G37" s="272" t="str">
        <f>IFERROR(G33/G22,"")</f>
        <v/>
      </c>
      <c r="H37" s="273" t="str">
        <f>IFERROR(H33/H22,"")</f>
        <v/>
      </c>
      <c r="I37" s="272">
        <f>IFERROR(I33/I22,"")</f>
        <v>0.0752902155887231</v>
      </c>
      <c r="J37" s="272">
        <f>IFERROR(J33/J22,"")</f>
        <v>0.105445388731508</v>
      </c>
      <c r="K37" s="272">
        <f>IFERROR(K33/K22,"")</f>
        <v>0.0978140051871063</v>
      </c>
      <c r="L37" s="272">
        <f>IFERROR(L33/L22,"")</f>
        <v>0.105371193978789</v>
      </c>
      <c r="M37" s="273">
        <f>IFERROR(M33/M22,"")</f>
        <v>0.09598781107161</v>
      </c>
      <c r="N37" s="272">
        <f>IFERROR(N33/N22,"")</f>
        <v>0.0969128565846034</v>
      </c>
      <c r="O37" s="272">
        <f>IFERROR(O33/O22,"")</f>
        <v>0.095929203539823</v>
      </c>
      <c r="P37" s="272">
        <f>IFERROR(P33/P22,"")</f>
        <v>0.105482303955586</v>
      </c>
      <c r="Q37" s="272">
        <f>IFERROR(Q33/Q22,"")</f>
        <v>0.0707287201469688</v>
      </c>
      <c r="R37" s="273">
        <f>IFERROR(R33/R22,"")</f>
        <v>0.0913978494623656</v>
      </c>
      <c r="S37" s="272">
        <f>IFERROR(S33/S22,"")</f>
        <v>0.09462656302805</v>
      </c>
      <c r="T37" s="272">
        <f>IFERROR(T33/T22,"")</f>
        <v>0.098547062539482</v>
      </c>
      <c r="U37" s="272">
        <f>IFERROR(U33/U22,"")</f>
        <v>0.0835214446952596</v>
      </c>
      <c r="V37" s="272">
        <f>IFERROR(V33/V22,"")</f>
        <v>0.0908552826279964</v>
      </c>
      <c r="W37" s="273">
        <f>IFERROR(W33/W22,"")</f>
        <v>0.0918683062276874</v>
      </c>
      <c r="X37" s="272">
        <f>IFERROR(X33/X22,"")</f>
        <v>0.0994187825022943</v>
      </c>
      <c r="Y37" s="272">
        <f>IFERROR(Y33/Y22,"")</f>
        <v>0.10829420970266</v>
      </c>
      <c r="Z37" s="272">
        <f>IFERROR(Z33/Z22,"")</f>
        <v>0.0884552845528455</v>
      </c>
      <c r="AA37" s="272">
        <f>IFERROR(AA33/AA22,"")</f>
        <v>0.0962585034013605</v>
      </c>
      <c r="AB37" s="273">
        <f>IFERROR(AB33/AB22,"")</f>
        <v>0.0982450516868339</v>
      </c>
      <c r="AC37" s="272">
        <f>IFERROR(AC33/AC22,"")</f>
        <v>0.118252730109204</v>
      </c>
      <c r="AD37" s="272">
        <f>IFERROR(AD33/AD22,"")</f>
        <v>0.109464771696402</v>
      </c>
      <c r="AE37" s="272">
        <f>IFERROR(AE33/AE22,"")</f>
        <v>0.0986293206197855</v>
      </c>
      <c r="AF37" s="272">
        <f>IFERROR(AF33/AF22,"")</f>
        <v>0.0863650743435622</v>
      </c>
      <c r="AG37" s="273">
        <f>IFERROR(AG33/AG22,"")</f>
        <v>0.103231253357894</v>
      </c>
      <c r="AH37" s="273">
        <f>IFERROR(AH33/AH22,"")</f>
        <v>0.0819719953325554</v>
      </c>
      <c r="AI37" s="273">
        <f>IFERROR(AI33/AI22,"")</f>
        <v>0.106121281464531</v>
      </c>
    </row>
    <row r="38"/>
    <row r="39">
      <c r="C39" s="267" t="inlineStr">
        <is>
          <t>Outras aberturas (USD milhões)</t>
        </is>
      </c>
      <c r="D39" s="267">
        <f>D7</f>
        <v>0</v>
      </c>
      <c r="E39" s="267">
        <f>E7</f>
        <v>0</v>
      </c>
      <c r="F39" s="267">
        <f>F7</f>
        <v>0</v>
      </c>
      <c r="G39" s="267">
        <f>G7</f>
        <v>0</v>
      </c>
      <c r="H39" s="267">
        <f>H7</f>
        <v>2020</v>
      </c>
      <c r="I39" s="267" t="str">
        <f>I7</f>
        <v>1Q21</v>
      </c>
      <c r="J39" s="267" t="str">
        <f>J7</f>
        <v>2Q21</v>
      </c>
      <c r="K39" s="267" t="str">
        <f>K7</f>
        <v>3Q21</v>
      </c>
      <c r="L39" s="267" t="str">
        <f>L7</f>
        <v>4Q21</v>
      </c>
      <c r="M39" s="267">
        <f>M7</f>
        <v>2021</v>
      </c>
      <c r="N39" s="267" t="str">
        <f>N7</f>
        <v>1Q22</v>
      </c>
      <c r="O39" s="267" t="str">
        <f>O7</f>
        <v>2Q22</v>
      </c>
      <c r="P39" s="267" t="str">
        <f>P7</f>
        <v>3Q22</v>
      </c>
      <c r="Q39" s="267" t="str">
        <f>Q7</f>
        <v>4Q22</v>
      </c>
      <c r="R39" s="267">
        <f>R7</f>
        <v>2022</v>
      </c>
      <c r="S39" s="267" t="str">
        <f>S7</f>
        <v>1Q23</v>
      </c>
      <c r="T39" s="267" t="str">
        <f>T7</f>
        <v>2Q23</v>
      </c>
      <c r="U39" s="267" t="str">
        <f>U7</f>
        <v>3Q23</v>
      </c>
      <c r="V39" s="267" t="str">
        <f>V7</f>
        <v>4Q23</v>
      </c>
      <c r="W39" s="267">
        <f>W7</f>
        <v>2023</v>
      </c>
      <c r="X39" s="267" t="str">
        <f>X7</f>
        <v>1Q24</v>
      </c>
      <c r="Y39" s="267" t="str">
        <f>Y7</f>
        <v>2Q24</v>
      </c>
      <c r="Z39" s="267" t="str">
        <f>Z7</f>
        <v>3Q24</v>
      </c>
      <c r="AA39" s="267" t="str">
        <f>AA7</f>
        <v>4Q24</v>
      </c>
      <c r="AB39" s="267">
        <f>AB7</f>
        <v>2024</v>
      </c>
      <c r="AC39" s="267" t="str">
        <f>AC7</f>
        <v>1Q25</v>
      </c>
      <c r="AD39" s="267" t="str">
        <f>AD7</f>
        <v>2Q25</v>
      </c>
      <c r="AE39" s="267" t="str">
        <f>AE7</f>
        <v>3Q25</v>
      </c>
      <c r="AF39" s="267" t="str">
        <f>AF7</f>
        <v>4Q25</v>
      </c>
      <c r="AG39" s="267">
        <f>AG7</f>
        <v>2025</v>
      </c>
      <c r="AH39" s="267" t="str">
        <f>AH7</f>
        <v>1Q26</v>
      </c>
      <c r="AI39" s="267" t="str">
        <f>AI7</f>
        <v>2Q26</v>
      </c>
    </row>
    <row r="40">
      <c r="C40" s="268" t="inlineStr">
        <is>
          <t xml:space="preserve">   Receita de produtos</t>
        </is>
      </c>
      <c r="D40" s="269" t="str">
        <f>IFERROR(INDEX('Inputs (2)'!$D$61:$AL$61,MATCH(D$7&amp;"",'Inputs (2)'!$D$2:$AL$2,0)),"")</f>
        <v/>
      </c>
      <c r="E40" s="269" t="str">
        <f>IFERROR(INDEX('Inputs (2)'!$D$61:$AL$61,MATCH(E$7&amp;"",'Inputs (2)'!$D$2:$AL$2,0)),"")</f>
        <v/>
      </c>
      <c r="F40" s="269" t="str">
        <f>IFERROR(INDEX('Inputs (2)'!$D$61:$AL$61,MATCH(F$7&amp;"",'Inputs (2)'!$D$2:$AL$2,0)),"")</f>
        <v/>
      </c>
      <c r="G40" s="269" t="str">
        <f>IFERROR(INDEX('Inputs (2)'!$D$61:$AL$61,MATCH(G$7&amp;"",'Inputs (2)'!$D$2:$AL$2,0)),"")</f>
        <v/>
      </c>
      <c r="H40" s="270" t="str">
        <f>IF(COUNT(D40:G40)=4,SUM(D40:G40),"")</f>
        <v/>
      </c>
      <c r="I40" s="269">
        <f>IFERROR(INDEX('Inputs (2)'!$D$61:$AL$61,MATCH(I$7&amp;"",'Inputs (2)'!$D$2:$AL$2,0)),"")</f>
        <v>13753</v>
      </c>
      <c r="J40" s="269">
        <f>IFERROR(INDEX('Inputs (2)'!$D$61:$AL$61,MATCH(J$7&amp;"",'Inputs (2)'!$D$2:$AL$2,0)),"")</f>
        <v>14258</v>
      </c>
      <c r="K40" s="269">
        <f>IFERROR(INDEX('Inputs (2)'!$D$61:$AL$61,MATCH(K$7&amp;"",'Inputs (2)'!$D$2:$AL$2,0)),"")</f>
        <v>13475</v>
      </c>
      <c r="L40" s="269">
        <f>IFERROR(INDEX('Inputs (2)'!$D$61:$AL$61,MATCH(L$7&amp;"",'Inputs (2)'!$D$2:$AL$2,0)),"")</f>
        <v>14949</v>
      </c>
      <c r="M40" s="270">
        <f>IF(COUNT(I40:L40)=4,SUM(I40:L40),"")</f>
        <v>56435</v>
      </c>
      <c r="N40" s="269">
        <f>IFERROR(INDEX('Inputs (2)'!$D$61:$AL$61,MATCH(N$7&amp;"",'Inputs (2)'!$D$2:$AL$2,0)),"")</f>
        <v>12494</v>
      </c>
      <c r="O40" s="269">
        <f>IFERROR(INDEX('Inputs (2)'!$D$61:$AL$61,MATCH(O$7&amp;"",'Inputs (2)'!$D$2:$AL$2,0)),"")</f>
        <v>12761</v>
      </c>
      <c r="P40" s="269">
        <f>IFERROR(INDEX('Inputs (2)'!$D$61:$AL$61,MATCH(P$7&amp;"",'Inputs (2)'!$D$2:$AL$2,0)),"")</f>
        <v>14011</v>
      </c>
      <c r="Q40" s="269">
        <f>IFERROR(INDEX('Inputs (2)'!$D$61:$AL$61,MATCH(Q$7&amp;"",'Inputs (2)'!$D$2:$AL$2,0)),"")</f>
        <v>16200</v>
      </c>
      <c r="R40" s="270">
        <f>IF(COUNT(N40:Q40)=4,SUM(N40:Q40),"")</f>
        <v>55466</v>
      </c>
      <c r="S40" s="269">
        <f>IFERROR(INDEX('Inputs (2)'!$D$61:$AL$61,MATCH(S$7&amp;"",'Inputs (2)'!$D$2:$AL$2,0)),"")</f>
        <v>12526</v>
      </c>
      <c r="T40" s="269">
        <f>IFERROR(INDEX('Inputs (2)'!$D$61:$AL$61,MATCH(T$7&amp;"",'Inputs (2)'!$D$2:$AL$2,0)),"")</f>
        <v>13758</v>
      </c>
      <c r="U40" s="269">
        <f>IFERROR(INDEX('Inputs (2)'!$D$61:$AL$61,MATCH(U$7&amp;"",'Inputs (2)'!$D$2:$AL$2,0)),"")</f>
        <v>14014</v>
      </c>
      <c r="V40" s="269">
        <f>IFERROR(INDEX('Inputs (2)'!$D$61:$AL$61,MATCH(V$7&amp;"",'Inputs (2)'!$D$2:$AL$2,0)),"")</f>
        <v>15967</v>
      </c>
      <c r="W40" s="270">
        <f>IF(COUNT(S40:V40)=4,SUM(S40:V40),"")</f>
        <v>56265</v>
      </c>
      <c r="X40" s="269">
        <f>IFERROR(INDEX('Inputs (2)'!$D$61:$AL$61,MATCH(X$7&amp;"",'Inputs (2)'!$D$2:$AL$2,0)),"")</f>
        <v>14196</v>
      </c>
      <c r="Y40" s="269">
        <f>IFERROR(INDEX('Inputs (2)'!$D$61:$AL$61,MATCH(Y$7&amp;"",'Inputs (2)'!$D$2:$AL$2,0)),"")</f>
        <v>15109</v>
      </c>
      <c r="Z40" s="269">
        <f>IFERROR(INDEX('Inputs (2)'!$D$61:$AL$61,MATCH(Z$7&amp;"",'Inputs (2)'!$D$2:$AL$2,0)),"")</f>
        <v>14472</v>
      </c>
      <c r="AA40" s="269">
        <f>IFERROR(INDEX('Inputs (2)'!$D$61:$AL$61,MATCH(AA$7&amp;"",'Inputs (2)'!$D$2:$AL$2,0)),"")</f>
        <v>15500</v>
      </c>
      <c r="AB40" s="270">
        <f>IF(COUNT(X40:AA40)=4,SUM(X40:AA40),"")</f>
        <v>59277</v>
      </c>
      <c r="AC40" s="269">
        <f>IFERROR(INDEX('Inputs (2)'!$D$61:$AL$61,MATCH(AC$7&amp;"",'Inputs (2)'!$D$2:$AL$2,0)),"")</f>
        <v>14936</v>
      </c>
      <c r="AD40" s="269">
        <f>IFERROR(INDEX('Inputs (2)'!$D$61:$AL$61,MATCH(AD$7&amp;"",'Inputs (2)'!$D$2:$AL$2,0)),"")</f>
        <v>15149</v>
      </c>
      <c r="AE40" s="269">
        <f>IFERROR(INDEX('Inputs (2)'!$D$61:$AL$61,MATCH(AE$7&amp;"",'Inputs (2)'!$D$2:$AL$2,0)),"")</f>
        <v>15311</v>
      </c>
      <c r="AF40" s="269">
        <f>IFERROR(INDEX('Inputs (2)'!$D$61:$AL$61,MATCH(AF$7&amp;"",'Inputs (2)'!$D$2:$AL$2,0)),"")</f>
        <v>17258</v>
      </c>
      <c r="AG40" s="270">
        <f>IF(COUNT(AC40:AF40)=4,SUM(AC40:AF40),"")</f>
        <v>62654</v>
      </c>
      <c r="AH40" s="270">
        <f>IFERROR(INDEX('Inputs (2)'!$D$61:$AL$61,MATCH(AH$7&amp;"",'Inputs (2)'!$D$2:$AL$2,0)),"")</f>
        <v>14831</v>
      </c>
      <c r="AI40" s="270">
        <f>IFERROR(INDEX('Inputs (2)'!$D$61:$AL$61,MATCH(AI$7&amp;"",'Inputs (2)'!$D$2:$AL$2,0)),"")</f>
        <v>16783</v>
      </c>
    </row>
    <row r="41">
      <c r="C41" s="268" t="inlineStr">
        <is>
          <t xml:space="preserve">   Receita de serviços</t>
        </is>
      </c>
      <c r="D41" s="269" t="str">
        <f>IFERROR(INDEX('Inputs (2)'!$D$62:$AL$62,MATCH(D$7&amp;"",'Inputs (2)'!$D$2:$AL$2,0)),"")</f>
        <v/>
      </c>
      <c r="E41" s="269" t="str">
        <f>IFERROR(INDEX('Inputs (2)'!$D$62:$AL$62,MATCH(E$7&amp;"",'Inputs (2)'!$D$2:$AL$2,0)),"")</f>
        <v/>
      </c>
      <c r="F41" s="269" t="str">
        <f>IFERROR(INDEX('Inputs (2)'!$D$62:$AL$62,MATCH(F$7&amp;"",'Inputs (2)'!$D$2:$AL$2,0)),"")</f>
        <v/>
      </c>
      <c r="G41" s="269" t="str">
        <f>IFERROR(INDEX('Inputs (2)'!$D$62:$AL$62,MATCH(G$7&amp;"",'Inputs (2)'!$D$2:$AL$2,0)),"")</f>
        <v/>
      </c>
      <c r="H41" s="270" t="str">
        <f>IF(COUNT(D41:G41)=4,SUM(D41:G41),"")</f>
        <v/>
      </c>
      <c r="I41" s="269">
        <f>IFERROR(INDEX('Inputs (2)'!$D$62:$AL$62,MATCH(I$7&amp;"",'Inputs (2)'!$D$2:$AL$2,0)),"")</f>
        <v>2505</v>
      </c>
      <c r="J41" s="269">
        <f>IFERROR(INDEX('Inputs (2)'!$D$62:$AL$62,MATCH(J$7&amp;"",'Inputs (2)'!$D$2:$AL$2,0)),"")</f>
        <v>2771</v>
      </c>
      <c r="K41" s="269">
        <f>IFERROR(INDEX('Inputs (2)'!$D$62:$AL$62,MATCH(K$7&amp;"",'Inputs (2)'!$D$2:$AL$2,0)),"")</f>
        <v>2553</v>
      </c>
      <c r="L41" s="269">
        <f>IFERROR(INDEX('Inputs (2)'!$D$62:$AL$62,MATCH(L$7&amp;"",'Inputs (2)'!$D$2:$AL$2,0)),"")</f>
        <v>2780</v>
      </c>
      <c r="M41" s="270">
        <f>IF(COUNT(I41:L41)=4,SUM(I41:L41),"")</f>
        <v>10609</v>
      </c>
      <c r="N41" s="269">
        <f>IFERROR(INDEX('Inputs (2)'!$D$62:$AL$62,MATCH(N$7&amp;"",'Inputs (2)'!$D$2:$AL$2,0)),"")</f>
        <v>2470</v>
      </c>
      <c r="O41" s="269">
        <f>IFERROR(INDEX('Inputs (2)'!$D$62:$AL$62,MATCH(O$7&amp;"",'Inputs (2)'!$D$2:$AL$2,0)),"")</f>
        <v>2685</v>
      </c>
      <c r="P41" s="269">
        <f>IFERROR(INDEX('Inputs (2)'!$D$62:$AL$62,MATCH(P$7&amp;"",'Inputs (2)'!$D$2:$AL$2,0)),"")</f>
        <v>2572</v>
      </c>
      <c r="Q41" s="269">
        <f>IFERROR(INDEX('Inputs (2)'!$D$62:$AL$62,MATCH(Q$7&amp;"",'Inputs (2)'!$D$2:$AL$2,0)),"")</f>
        <v>2791</v>
      </c>
      <c r="R41" s="270">
        <f>IF(COUNT(N41:Q41)=4,SUM(N41:Q41),"")</f>
        <v>10518</v>
      </c>
      <c r="S41" s="269">
        <f>IFERROR(INDEX('Inputs (2)'!$D$62:$AL$62,MATCH(S$7&amp;"",'Inputs (2)'!$D$2:$AL$2,0)),"")</f>
        <v>2600</v>
      </c>
      <c r="T41" s="269">
        <f>IFERROR(INDEX('Inputs (2)'!$D$62:$AL$62,MATCH(T$7&amp;"",'Inputs (2)'!$D$2:$AL$2,0)),"")</f>
        <v>2935</v>
      </c>
      <c r="U41" s="269">
        <f>IFERROR(INDEX('Inputs (2)'!$D$62:$AL$62,MATCH(U$7&amp;"",'Inputs (2)'!$D$2:$AL$2,0)),"")</f>
        <v>2864</v>
      </c>
      <c r="V41" s="269">
        <f>IFERROR(INDEX('Inputs (2)'!$D$62:$AL$62,MATCH(V$7&amp;"",'Inputs (2)'!$D$2:$AL$2,0)),"")</f>
        <v>2907</v>
      </c>
      <c r="W41" s="270">
        <f>IF(COUNT(S41:V41)=4,SUM(S41:V41),"")</f>
        <v>11306</v>
      </c>
      <c r="X41" s="269">
        <f>IFERROR(INDEX('Inputs (2)'!$D$62:$AL$62,MATCH(X$7&amp;"",'Inputs (2)'!$D$2:$AL$2,0)),"")</f>
        <v>2999</v>
      </c>
      <c r="Y41" s="269">
        <f>IFERROR(INDEX('Inputs (2)'!$D$62:$AL$62,MATCH(Y$7&amp;"",'Inputs (2)'!$D$2:$AL$2,0)),"")</f>
        <v>3013</v>
      </c>
      <c r="Z41" s="269">
        <f>IFERROR(INDEX('Inputs (2)'!$D$62:$AL$62,MATCH(Z$7&amp;"",'Inputs (2)'!$D$2:$AL$2,0)),"")</f>
        <v>2632</v>
      </c>
      <c r="AA41" s="269">
        <f>IFERROR(INDEX('Inputs (2)'!$D$62:$AL$62,MATCH(AA$7&amp;"",'Inputs (2)'!$D$2:$AL$2,0)),"")</f>
        <v>3122</v>
      </c>
      <c r="AB41" s="270">
        <f>IF(COUNT(X41:AA41)=4,SUM(X41:AA41),"")</f>
        <v>11766</v>
      </c>
      <c r="AC41" s="269">
        <f>IFERROR(INDEX('Inputs (2)'!$D$62:$AL$62,MATCH(AC$7&amp;"",'Inputs (2)'!$D$2:$AL$2,0)),"")</f>
        <v>3027</v>
      </c>
      <c r="AD41" s="269">
        <f>IFERROR(INDEX('Inputs (2)'!$D$62:$AL$62,MATCH(AD$7&amp;"",'Inputs (2)'!$D$2:$AL$2,0)),"")</f>
        <v>3006</v>
      </c>
      <c r="AE41" s="269">
        <f>IFERROR(INDEX('Inputs (2)'!$D$62:$AL$62,MATCH(AE$7&amp;"",'Inputs (2)'!$D$2:$AL$2,0)),"")</f>
        <v>3298</v>
      </c>
      <c r="AF41" s="269">
        <f>IFERROR(INDEX('Inputs (2)'!$D$62:$AL$62,MATCH(AF$7&amp;"",'Inputs (2)'!$D$2:$AL$2,0)),"")</f>
        <v>3063</v>
      </c>
      <c r="AG41" s="270">
        <f>IF(COUNT(AC41:AF41)=4,SUM(AC41:AF41),"")</f>
        <v>12394</v>
      </c>
      <c r="AH41" s="270">
        <f>IFERROR(INDEX('Inputs (2)'!$D$62:$AL$62,MATCH(AH$7&amp;"",'Inputs (2)'!$D$2:$AL$2,0)),"")</f>
        <v>3190</v>
      </c>
      <c r="AI41" s="270">
        <f>IFERROR(INDEX('Inputs (2)'!$D$62:$AL$62,MATCH(AI$7&amp;"",'Inputs (2)'!$D$2:$AL$2,0)),"")</f>
        <v>3280</v>
      </c>
    </row>
    <row r="42"/>
    <row r="43" hidden="1" outlineLevel="1" customFormat="1" s="43">
      <c r="A43" s="36" t="n"/>
      <c r="B43" s="37" t="n"/>
      <c r="C43" s="45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W43" s="39" t="n"/>
      <c r="X43" s="39" t="n"/>
      <c r="Y43" s="39" t="n"/>
      <c r="Z43" s="39" t="n"/>
      <c r="AA43" s="39" t="n"/>
      <c r="AB43" s="39" t="n"/>
      <c r="AC43" s="39" t="n"/>
      <c r="AD43" s="39" t="n"/>
      <c r="AE43" s="39" t="n"/>
      <c r="AF43" s="39" t="n"/>
      <c r="AG43" s="39" t="n"/>
      <c r="AH43" s="39" t="n"/>
      <c r="AI43" s="39" t="n"/>
      <c r="AJ43" s="39" t="n"/>
      <c r="AK43" s="39" t="n"/>
      <c r="AL43" s="39" t="n"/>
      <c r="AM43" s="39" t="n"/>
      <c r="AN43" s="39" t="n"/>
      <c r="AO43" s="39" t="n"/>
      <c r="AP43" s="39" t="n"/>
      <c r="AQ43" s="39" t="n"/>
      <c r="AR43" s="39" t="n"/>
      <c r="AS43" s="39" t="n"/>
      <c r="AT43" s="39" t="n"/>
      <c r="AU43" s="39" t="n"/>
      <c r="AV43" s="39" t="n"/>
      <c r="AW43" s="39" t="n"/>
      <c r="AX43" s="39" t="n"/>
      <c r="AY43" s="39" t="n"/>
      <c r="AZ43" s="39" t="n"/>
      <c r="BA43" s="39" t="n"/>
      <c r="BB43" s="39" t="n"/>
      <c r="BC43" s="39" t="n"/>
      <c r="BD43" s="39" t="n"/>
      <c r="BE43" s="39" t="n"/>
      <c r="BF43" s="39" t="n"/>
      <c r="BG43" s="39" t="n"/>
      <c r="BH43" s="39" t="n"/>
      <c r="BI43" s="39" t="n"/>
      <c r="BJ43" s="39" t="n"/>
      <c r="BK43" s="39" t="n"/>
      <c r="BL43" s="39" t="n"/>
      <c r="BM43" s="39" t="n"/>
      <c r="BN43" s="39" t="n"/>
      <c r="BO43" s="39" t="n"/>
      <c r="BP43" s="39" t="n"/>
      <c r="BQ43" s="39" t="n"/>
      <c r="BR43" s="39" t="n"/>
      <c r="BS43" s="39" t="n"/>
      <c r="BT43" s="39" t="n"/>
      <c r="BU43" s="39" t="n"/>
      <c r="BV43" s="39" t="n"/>
      <c r="BW43" s="39" t="n"/>
      <c r="BX43" s="39" t="n"/>
      <c r="BY43" s="39" t="n"/>
      <c r="BZ43" s="39" t="n"/>
      <c r="CA43" s="39" t="n"/>
      <c r="CB43" s="39" t="n"/>
      <c r="CC43" s="39" t="n"/>
      <c r="CD43" s="39" t="n"/>
      <c r="CE43" s="39" t="n"/>
      <c r="CF43" s="39" t="n"/>
      <c r="CG43" s="39" t="n"/>
      <c r="CH43" s="39" t="n"/>
      <c r="CI43" s="39" t="n"/>
      <c r="CJ43" s="39" t="n"/>
      <c r="CK43" s="39" t="n"/>
      <c r="CL43" s="39" t="n"/>
      <c r="CM43" s="39" t="n"/>
      <c r="CN43" s="39" t="n"/>
      <c r="CO43" s="39" t="n"/>
      <c r="CP43" s="39" t="n"/>
      <c r="CQ43" s="39" t="n"/>
      <c r="CR43" s="39" t="n"/>
      <c r="CS43" s="39" t="n"/>
      <c r="CT43" s="39" t="n"/>
      <c r="CU43" s="39" t="n"/>
      <c r="CV43" s="39" t="n"/>
      <c r="CW43" s="39" t="n"/>
      <c r="CX43" s="39" t="n"/>
      <c r="CY43" s="39" t="n"/>
    </row>
    <row r="44" hidden="1" outlineLevel="1" customFormat="1" s="43">
      <c r="A44" s="36" t="n"/>
      <c r="B44" s="37" t="n"/>
      <c r="C44" s="45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W44" s="39" t="n"/>
      <c r="X44" s="39" t="n"/>
      <c r="Y44" s="39" t="n"/>
      <c r="Z44" s="39" t="n"/>
      <c r="AA44" s="39" t="n"/>
      <c r="AB44" s="39" t="n"/>
      <c r="AC44" s="39" t="n"/>
      <c r="AD44" s="39" t="n"/>
      <c r="AE44" s="39" t="n"/>
      <c r="AF44" s="39" t="n"/>
      <c r="AG44" s="39" t="n"/>
      <c r="AH44" s="39" t="n"/>
      <c r="AI44" s="39" t="n"/>
      <c r="AJ44" s="39" t="n"/>
      <c r="AK44" s="39" t="n"/>
      <c r="AL44" s="39" t="n"/>
      <c r="AM44" s="39" t="n"/>
      <c r="AN44" s="39" t="n"/>
      <c r="AO44" s="39" t="n"/>
      <c r="AP44" s="39" t="n"/>
      <c r="AQ44" s="39" t="n"/>
      <c r="AR44" s="39" t="n"/>
      <c r="AS44" s="39" t="n"/>
      <c r="AT44" s="39" t="n"/>
      <c r="AU44" s="39" t="n"/>
      <c r="AV44" s="39" t="n"/>
      <c r="AW44" s="39" t="n"/>
      <c r="AX44" s="39" t="n"/>
      <c r="AY44" s="39" t="n"/>
      <c r="AZ44" s="39" t="n"/>
      <c r="BA44" s="39" t="n"/>
      <c r="BB44" s="39" t="n"/>
      <c r="BC44" s="39" t="n"/>
      <c r="BD44" s="39" t="n"/>
      <c r="BE44" s="39" t="n"/>
      <c r="BF44" s="39" t="n"/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39" t="n"/>
      <c r="BQ44" s="39" t="n"/>
      <c r="BR44" s="39" t="n"/>
      <c r="BS44" s="39" t="n"/>
      <c r="BT44" s="39" t="n"/>
      <c r="BU44" s="39" t="n"/>
      <c r="BV44" s="39" t="n"/>
      <c r="BW44" s="39" t="n"/>
      <c r="BX44" s="39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39" t="n"/>
      <c r="CH44" s="39" t="n"/>
      <c r="CI44" s="39" t="n"/>
      <c r="CJ44" s="39" t="n"/>
      <c r="CK44" s="39" t="n"/>
      <c r="CL44" s="39" t="n"/>
      <c r="CM44" s="39" t="n"/>
      <c r="CN44" s="39" t="n"/>
      <c r="CO44" s="39" t="n"/>
      <c r="CP44" s="39" t="n"/>
      <c r="CQ44" s="39" t="n"/>
      <c r="CR44" s="39" t="n"/>
      <c r="CS44" s="39" t="n"/>
      <c r="CT44" s="39" t="n"/>
      <c r="CU44" s="39" t="n"/>
      <c r="CV44" s="39" t="n"/>
      <c r="CW44" s="39" t="n"/>
      <c r="CX44" s="39" t="n"/>
      <c r="CY44" s="39" t="n"/>
    </row>
    <row r="45" collapsed="1">
      <c r="C45" s="13" t="inlineStr">
        <is>
          <t>COGS (cash)</t>
        </is>
      </c>
      <c r="D45" s="46" t="n"/>
      <c r="E45" s="46" t="n"/>
      <c r="F45" s="46" t="n"/>
      <c r="G45" s="46" t="n"/>
      <c r="H45" s="12" t="n"/>
      <c r="I45" s="46">
        <f>'Inputs (2)'!D5</f>
        <v>-14072</v>
      </c>
      <c r="J45" s="46">
        <f>'Inputs (2)'!E5</f>
        <v>-14878</v>
      </c>
      <c r="K45" s="46">
        <f>'Inputs (2)'!F5</f>
        <v>-13726</v>
      </c>
      <c r="L45" s="46">
        <f>'Inputs (2)'!G5</f>
        <v>-15307</v>
      </c>
      <c r="M45" s="12">
        <f>'Inputs (2)'!H5</f>
        <v>-57983</v>
      </c>
      <c r="N45" s="46">
        <f>'Inputs (2)'!I5</f>
        <v>-13055</v>
      </c>
      <c r="O45" s="46">
        <f>'Inputs (2)'!J5</f>
        <v>-13490</v>
      </c>
      <c r="P45" s="46">
        <f>'Inputs (2)'!K5</f>
        <v>-14463</v>
      </c>
      <c r="Q45" s="46">
        <f>'Inputs (2)'!L5</f>
        <v>-16689</v>
      </c>
      <c r="R45" s="12">
        <f>'Inputs (2)'!M5</f>
        <v>-57697</v>
      </c>
      <c r="S45" s="46">
        <f>'Inputs (2)'!N5</f>
        <v>-13080</v>
      </c>
      <c r="T45" s="46">
        <f>'Inputs (2)'!O5</f>
        <v>-14603</v>
      </c>
      <c r="U45" s="46">
        <f>'Inputs (2)'!P5</f>
        <v>-14830</v>
      </c>
      <c r="V45" s="46">
        <f>'Inputs (2)'!Q5</f>
        <v>-16579</v>
      </c>
      <c r="W45" s="12">
        <f>'Inputs (2)'!R5</f>
        <v>-59092</v>
      </c>
      <c r="X45" s="46">
        <f>'Inputs (2)'!S5</f>
        <v>-15202</v>
      </c>
      <c r="Y45" s="46">
        <f>'Inputs (2)'!T5</f>
        <v>-15992</v>
      </c>
      <c r="Z45" s="46">
        <f>'Inputs (2)'!U5</f>
        <v>-14987</v>
      </c>
      <c r="AA45" s="46">
        <f>'Inputs (2)'!V5</f>
        <v>-17932</v>
      </c>
      <c r="AB45" s="12">
        <f>'Inputs (2)'!W5</f>
        <v>-64113</v>
      </c>
      <c r="AC45" s="46">
        <f>'Inputs (2)'!X5</f>
        <v>-15640</v>
      </c>
      <c r="AD45" s="46">
        <f>'Inputs (2)'!Y5</f>
        <v>-17421</v>
      </c>
      <c r="AE45" s="46">
        <f>'Inputs (2)'!Z5</f>
        <v>-16369</v>
      </c>
      <c r="AF45" s="46">
        <f>'Inputs (2)'!AA5</f>
        <v>-17999</v>
      </c>
      <c r="AG45" s="12">
        <f>'Inputs (2)'!AB5</f>
        <v>-67429</v>
      </c>
      <c r="AH45" s="12">
        <f>'Inputs (2)'!AC5</f>
        <v>-15943</v>
      </c>
      <c r="AI45" s="12">
        <f>'Inputs (2)'!AD5</f>
        <v>-17617</v>
      </c>
      <c r="AJ45" s="12">
        <f>-(1-AJ46)*AJ15</f>
        <v>-17544.2583642207</v>
      </c>
      <c r="AK45" s="12">
        <f>-(1-AK46)*AK15</f>
        <v>-19158.3037357907</v>
      </c>
      <c r="AL45" s="12">
        <f>SUM(AH45:AK45)</f>
        <v>-70262.5621000113</v>
      </c>
      <c r="AM45" s="12">
        <f>-(1-AM46)*AM15</f>
        <v>-16989.9016594992</v>
      </c>
      <c r="AN45" s="12">
        <f>-(1-AN46)*AN15</f>
        <v>-18915.0655898414</v>
      </c>
      <c r="AO45" s="12">
        <f>-(1-AO46)*AO15</f>
        <v>-18520.9948820754</v>
      </c>
      <c r="AP45" s="12">
        <f>-(1-AP46)*AP15</f>
        <v>-20224.8985436431</v>
      </c>
      <c r="AQ45" s="12">
        <f>SUM(AM45:AP45)</f>
        <v>-74650.8606750591</v>
      </c>
      <c r="AR45" s="12">
        <f>-(1-AR46)*AR15</f>
        <v>-17850.8261255292</v>
      </c>
      <c r="AS45" s="12">
        <f>-(1-AS46)*AS15</f>
        <v>-19873.5433414623</v>
      </c>
      <c r="AT45" s="12">
        <f>-(1-AT46)*AT15</f>
        <v>-19459.5040005363</v>
      </c>
      <c r="AU45" s="12">
        <f>-(1-AU46)*AU15</f>
        <v>-21249.7490888763</v>
      </c>
      <c r="AV45" s="12">
        <f>SUM(AR45:AU45)</f>
        <v>-78433.6225564041</v>
      </c>
      <c r="AW45" s="12">
        <f>-(1-AW46)*AW15</f>
        <v>-18666.1218421176</v>
      </c>
      <c r="AX45" s="12">
        <f>-(1-AX46)*AX15</f>
        <v>-20781.2220475226</v>
      </c>
      <c r="AY45" s="12">
        <f>-(1-AY46)*AY15</f>
        <v>-20348.2724052592</v>
      </c>
      <c r="AZ45" s="12">
        <f>-(1-AZ46)*AZ15</f>
        <v>-22220.2828495498</v>
      </c>
      <c r="BA45" s="12">
        <f>SUM(AW45:AZ45)</f>
        <v>-82015.8991444492</v>
      </c>
      <c r="BB45" s="12">
        <f>-(1-BB46)*BB15</f>
        <v>-19425.3237194248</v>
      </c>
      <c r="BC45" s="12">
        <f>-(1-BC46)*BC15</f>
        <v>-21626.4507953399</v>
      </c>
      <c r="BD45" s="12">
        <f>-(1-BD46)*BD15</f>
        <v>-21175.8919151231</v>
      </c>
      <c r="BE45" s="12">
        <f>-(1-BE46)*BE15</f>
        <v>-23124.0421090449</v>
      </c>
      <c r="BF45" s="12">
        <f>SUM(BB45:BE45)</f>
        <v>-85351.7085389326</v>
      </c>
      <c r="BG45" s="12" t="n"/>
      <c r="BH45" s="12" t="n"/>
      <c r="BI45" s="12" t="n"/>
      <c r="BJ45" s="12" t="n"/>
      <c r="BK45" s="12" t="n"/>
      <c r="BL45" s="12" t="n"/>
      <c r="BM45" s="12" t="n"/>
      <c r="BN45" s="12" t="n"/>
      <c r="BO45" s="12" t="n"/>
      <c r="BP45" s="12" t="n"/>
      <c r="BQ45" s="12" t="n"/>
      <c r="BR45" s="12" t="n"/>
      <c r="BS45" s="12" t="n"/>
      <c r="BT45" s="12" t="n"/>
      <c r="BU45" s="12" t="n"/>
      <c r="BV45" s="12" t="n"/>
      <c r="BW45" s="12" t="n"/>
      <c r="BX45" s="12" t="n"/>
      <c r="BY45" s="12" t="n"/>
      <c r="BZ45" s="12" t="n"/>
      <c r="CA45" s="12" t="n"/>
      <c r="CB45" s="12" t="n"/>
      <c r="CC45" s="12" t="n"/>
      <c r="CD45" s="12" t="n"/>
      <c r="CE45" s="12" t="n"/>
      <c r="CF45" s="12" t="n"/>
      <c r="CG45" s="12" t="n"/>
      <c r="CH45" s="12" t="n"/>
      <c r="CI45" s="12" t="n"/>
      <c r="CJ45" s="12" t="n"/>
      <c r="CK45" s="12" t="n"/>
      <c r="CL45" s="12" t="n"/>
      <c r="CM45" s="12" t="n"/>
      <c r="CN45" s="12" t="n"/>
      <c r="CO45" s="12" t="n"/>
      <c r="CP45" s="12" t="n"/>
      <c r="CQ45" s="12" t="n"/>
      <c r="CR45" s="12" t="n"/>
      <c r="CS45" s="12" t="n"/>
      <c r="CT45" s="12" t="n"/>
      <c r="CU45" s="12" t="n"/>
      <c r="CV45" s="12" t="n"/>
      <c r="CW45" s="12" t="n"/>
      <c r="CX45" s="12" t="n"/>
      <c r="CY45" s="12" t="n"/>
    </row>
    <row r="46" hidden="1" outlineLevel="1" customFormat="1" s="3">
      <c r="C46" s="47" t="inlineStr">
        <is>
          <t>% Gross Margin</t>
        </is>
      </c>
      <c r="D46" s="48" t="n"/>
      <c r="E46" s="48" t="n"/>
      <c r="F46" s="48" t="n"/>
      <c r="G46" s="48" t="n"/>
      <c r="H46" s="48" t="n"/>
      <c r="I46" s="48">
        <f>IFERROR((I15+I45)/I$15,"")</f>
        <v>0.134456882765408</v>
      </c>
      <c r="J46" s="48">
        <f>IFERROR((J15+J45)/J$15,"")</f>
        <v>0.12631393505197</v>
      </c>
      <c r="K46" s="48">
        <f>IFERROR((K15+K45)/K$15,"")</f>
        <v>0.143623658597454</v>
      </c>
      <c r="L46" s="48">
        <f>IFERROR((L15+L45)/L$15,"")</f>
        <v>0.136612330080659</v>
      </c>
      <c r="M46" s="48">
        <f>IFERROR((M15+M45)/M$15,"")</f>
        <v>0.135150050712965</v>
      </c>
      <c r="N46" s="48">
        <f>IFERROR((N15+N45)/N$15,"")</f>
        <v>0.127572841486234</v>
      </c>
      <c r="O46" s="48">
        <f>IFERROR((O15+O45)/O$15,"")</f>
        <v>0.126634727437524</v>
      </c>
      <c r="P46" s="48">
        <f>IFERROR((P15+P45)/P$15,"")</f>
        <v>0.127841765663631</v>
      </c>
      <c r="Q46" s="48">
        <f>IFERROR((Q15+Q45)/Q$15,"")</f>
        <v>0.121215312516455</v>
      </c>
      <c r="R46" s="48">
        <f>IFERROR((R15+R45)/R$15,"")</f>
        <v>0.125591052376334</v>
      </c>
      <c r="S46" s="48">
        <f>IFERROR((S15+S45)/S$15,"")</f>
        <v>0.135263784212614</v>
      </c>
      <c r="T46" s="48">
        <f>IFERROR((T15+T45)/T$15,"")</f>
        <v>0.125202180554724</v>
      </c>
      <c r="U46" s="48">
        <f>IFERROR((U15+U45)/U$15,"")</f>
        <v>0.12134139116009</v>
      </c>
      <c r="V46" s="48">
        <f>IFERROR((V15+V45)/V$15,"")</f>
        <v>0.121595846137544</v>
      </c>
      <c r="W46" s="48">
        <f>IFERROR((W15+W45)/W$15,"")</f>
        <v>0.125482825472466</v>
      </c>
      <c r="X46" s="48">
        <f>IFERROR((X15+X45)/X$15,"")</f>
        <v>0.115905786565862</v>
      </c>
      <c r="Y46" s="48">
        <f>IFERROR((Y15+Y45)/Y$15,"")</f>
        <v>0.117536695728948</v>
      </c>
      <c r="Z46" s="48">
        <f>IFERROR((Z15+Z45)/Z$15,"")</f>
        <v>0.123772217025257</v>
      </c>
      <c r="AA46" s="48">
        <f>IFERROR((AA15+AA45)/AA$15,"")</f>
        <v>0.0370529481258726</v>
      </c>
      <c r="AB46" s="48">
        <f>IFERROR((AB15+AB45)/AB$15,"")</f>
        <v>0.0975465563109666</v>
      </c>
      <c r="AC46" s="48">
        <f>IFERROR((AC15+AC45)/AC$15,"")</f>
        <v>0.12932138284251</v>
      </c>
      <c r="AD46" s="48">
        <f>IFERROR((AD15+AD45)/AD$15,"")</f>
        <v>0.0404296337097218</v>
      </c>
      <c r="AE46" s="48">
        <f>IFERROR((AE15+AE45)/AE$15,"")</f>
        <v>0.120371863077006</v>
      </c>
      <c r="AF46" s="41">
        <f>IFERROR((AF15+AF45)/AF$15,"")</f>
        <v>0.114266030215048</v>
      </c>
      <c r="AG46" s="48">
        <f>IFERROR((AG15+AG45)/AG$15,"")</f>
        <v>0.101521692783285</v>
      </c>
      <c r="AH46" s="49">
        <f>IFERROR((AH15+AH45)/AH$15,"")</f>
        <v>0.115309916208867</v>
      </c>
      <c r="AI46" s="49">
        <f>IFERROR((AI15+AI45)/AI$15,"")</f>
        <v>0.12191596471116</v>
      </c>
      <c r="AJ46" s="49">
        <f>Control!$B$19</f>
        <v>0.106935798460719</v>
      </c>
      <c r="AK46" s="49">
        <f>Control!$B$19</f>
        <v>0.106935798460719</v>
      </c>
      <c r="AL46" s="48">
        <f>IFERROR((AL15+AL45)/AL$15,"")</f>
        <v>0.112637357161463</v>
      </c>
      <c r="AM46" s="49">
        <f>Control!$C$19</f>
        <v>0.106935798460719</v>
      </c>
      <c r="AN46" s="49">
        <f>Control!$C$19</f>
        <v>0.106935798460719</v>
      </c>
      <c r="AO46" s="49">
        <f>Control!$C$19</f>
        <v>0.106935798460719</v>
      </c>
      <c r="AP46" s="49">
        <f>Control!$C$19</f>
        <v>0.106935798460719</v>
      </c>
      <c r="AQ46" s="48">
        <f>IFERROR((AQ15+AQ45)/AQ$15,"")</f>
        <v>0.106935798460719</v>
      </c>
      <c r="AR46" s="49">
        <f>Control!$D$19</f>
        <v>0.106935798460719</v>
      </c>
      <c r="AS46" s="49">
        <f>Control!$D$19</f>
        <v>0.106935798460719</v>
      </c>
      <c r="AT46" s="49">
        <f>Control!$D$19</f>
        <v>0.106935798460719</v>
      </c>
      <c r="AU46" s="49">
        <f>Control!$D$19</f>
        <v>0.106935798460719</v>
      </c>
      <c r="AV46" s="48">
        <f>IFERROR((AV15+AV45)/AV$15,"")</f>
        <v>0.106935798460719</v>
      </c>
      <c r="AW46" s="49">
        <f>Control!$E$19</f>
        <v>0.106935798460719</v>
      </c>
      <c r="AX46" s="49">
        <f>Control!$E$19</f>
        <v>0.106935798460719</v>
      </c>
      <c r="AY46" s="49">
        <f>Control!$E$19</f>
        <v>0.106935798460719</v>
      </c>
      <c r="AZ46" s="49">
        <f>Control!$E$19</f>
        <v>0.106935798460719</v>
      </c>
      <c r="BA46" s="48">
        <f>IFERROR((BA15+BA45)/BA$15,"")</f>
        <v>0.106935798460719</v>
      </c>
      <c r="BB46" s="49">
        <f>Control!$F$19</f>
        <v>0.106935798460719</v>
      </c>
      <c r="BC46" s="49">
        <f>Control!$F$19</f>
        <v>0.106935798460719</v>
      </c>
      <c r="BD46" s="49">
        <f>Control!$F$19</f>
        <v>0.106935798460719</v>
      </c>
      <c r="BE46" s="49">
        <f>Control!$F$19</f>
        <v>0.106935798460719</v>
      </c>
      <c r="BF46" s="48">
        <f>IFERROR((BF15+BF45)/BF$15,"")</f>
        <v>0.106935798460719</v>
      </c>
      <c r="BG46" s="49" t="n"/>
      <c r="BH46" s="49" t="n"/>
      <c r="BI46" s="49" t="n"/>
      <c r="BJ46" s="49" t="n"/>
      <c r="BK46" s="48" t="n"/>
      <c r="BL46" s="49" t="n"/>
      <c r="BM46" s="49" t="n"/>
      <c r="BN46" s="49" t="n"/>
      <c r="BO46" s="49" t="n"/>
      <c r="BP46" s="48" t="n"/>
      <c r="BQ46" s="49" t="n"/>
      <c r="BR46" s="49" t="n"/>
      <c r="BS46" s="49" t="n"/>
      <c r="BT46" s="49" t="n"/>
      <c r="BU46" s="48" t="n"/>
      <c r="BV46" s="49" t="n"/>
      <c r="BW46" s="49" t="n"/>
      <c r="BX46" s="49" t="n"/>
      <c r="BY46" s="49" t="n"/>
      <c r="BZ46" s="48" t="n"/>
      <c r="CA46" s="49" t="n"/>
      <c r="CB46" s="49" t="n"/>
      <c r="CC46" s="49" t="n"/>
      <c r="CD46" s="49" t="n"/>
      <c r="CE46" s="48" t="n"/>
      <c r="CF46" s="49" t="n"/>
      <c r="CG46" s="49" t="n"/>
      <c r="CH46" s="49" t="n"/>
      <c r="CI46" s="49" t="n"/>
      <c r="CJ46" s="48" t="n"/>
      <c r="CK46" s="49" t="n"/>
      <c r="CL46" s="49" t="n"/>
      <c r="CM46" s="49" t="n"/>
      <c r="CN46" s="49" t="n"/>
      <c r="CO46" s="48" t="n"/>
      <c r="CP46" s="49" t="n"/>
      <c r="CQ46" s="49" t="n"/>
      <c r="CR46" s="49" t="n"/>
      <c r="CS46" s="49" t="n"/>
      <c r="CT46" s="48" t="n"/>
      <c r="CU46" s="49" t="n"/>
      <c r="CV46" s="49" t="n"/>
      <c r="CW46" s="49" t="n"/>
      <c r="CX46" s="49" t="n"/>
      <c r="CY46" s="48" t="n"/>
    </row>
    <row r="47" hidden="1" outlineLevel="1">
      <c r="C47" s="50" t="n"/>
      <c r="D47" s="50" t="n"/>
      <c r="E47" s="50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  <c r="AV47" s="50" t="n"/>
      <c r="AW47" s="50" t="n"/>
      <c r="AX47" s="50" t="n"/>
      <c r="AY47" s="50" t="n"/>
      <c r="AZ47" s="50" t="n"/>
      <c r="BA47" s="50" t="n"/>
      <c r="BB47" s="50" t="n"/>
      <c r="BC47" s="50" t="n"/>
      <c r="BD47" s="50" t="n"/>
      <c r="BE47" s="50" t="n"/>
      <c r="BF47" s="50" t="n"/>
      <c r="BG47" s="50" t="n"/>
      <c r="BH47" s="50" t="n"/>
      <c r="BI47" s="50" t="n"/>
      <c r="BJ47" s="50" t="n"/>
      <c r="BK47" s="50" t="n"/>
      <c r="BL47" s="50" t="n"/>
      <c r="BM47" s="50" t="n"/>
      <c r="BN47" s="50" t="n"/>
      <c r="BO47" s="50" t="n"/>
      <c r="BP47" s="50" t="n"/>
      <c r="BQ47" s="50" t="n"/>
      <c r="BR47" s="50" t="n"/>
      <c r="BS47" s="50" t="n"/>
      <c r="BT47" s="50" t="n"/>
      <c r="BU47" s="50" t="n"/>
      <c r="BV47" s="50" t="n"/>
      <c r="BW47" s="50" t="n"/>
      <c r="BX47" s="50" t="n"/>
      <c r="BY47" s="50" t="n"/>
      <c r="BZ47" s="50" t="n"/>
      <c r="CA47" s="50" t="n"/>
      <c r="CB47" s="50" t="n"/>
      <c r="CC47" s="50" t="n"/>
      <c r="CD47" s="50" t="n"/>
      <c r="CE47" s="50" t="n"/>
      <c r="CF47" s="50" t="n"/>
      <c r="CG47" s="50" t="n"/>
      <c r="CH47" s="50" t="n"/>
      <c r="CI47" s="50" t="n"/>
      <c r="CJ47" s="50" t="n"/>
      <c r="CK47" s="50" t="n"/>
      <c r="CL47" s="50" t="n"/>
      <c r="CM47" s="50" t="n"/>
      <c r="CN47" s="50" t="n"/>
      <c r="CO47" s="50" t="n"/>
      <c r="CP47" s="50" t="n"/>
      <c r="CQ47" s="50" t="n"/>
      <c r="CR47" s="50" t="n"/>
      <c r="CS47" s="50" t="n"/>
      <c r="CT47" s="50" t="n"/>
      <c r="CU47" s="50" t="n"/>
      <c r="CV47" s="50" t="n"/>
      <c r="CW47" s="50" t="n"/>
      <c r="CX47" s="50" t="n"/>
      <c r="CY47" s="50" t="n"/>
    </row>
    <row r="48" hidden="1" outlineLevel="1"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  <c r="V48" s="50" t="n"/>
      <c r="W48" s="50" t="n"/>
      <c r="X48" s="50" t="n"/>
      <c r="Y48" s="50" t="n"/>
      <c r="Z48" s="50" t="n"/>
      <c r="AA48" s="50" t="n"/>
      <c r="AB48" s="50" t="n"/>
      <c r="AC48" s="50" t="n"/>
      <c r="AD48" s="50" t="n"/>
      <c r="AE48" s="50" t="n"/>
      <c r="AF48" s="50" t="n"/>
      <c r="AG48" s="50" t="n"/>
      <c r="AH48" s="50" t="n"/>
      <c r="AI48" s="50" t="n"/>
      <c r="AJ48" s="50" t="n"/>
      <c r="AK48" s="50" t="n"/>
      <c r="AL48" s="50" t="n"/>
      <c r="AM48" s="50" t="n"/>
      <c r="AN48" s="50" t="n"/>
      <c r="AO48" s="50" t="n"/>
      <c r="AP48" s="50" t="n"/>
      <c r="AQ48" s="50" t="n"/>
      <c r="AR48" s="50" t="n"/>
      <c r="AS48" s="50" t="n"/>
      <c r="AT48" s="50" t="n"/>
      <c r="AU48" s="50" t="n"/>
      <c r="AV48" s="50" t="n"/>
      <c r="AW48" s="50" t="n"/>
      <c r="AX48" s="50" t="n"/>
      <c r="AY48" s="50" t="n"/>
      <c r="AZ48" s="50" t="n"/>
      <c r="BA48" s="50" t="n"/>
      <c r="BB48" s="50" t="n"/>
      <c r="BC48" s="50" t="n"/>
      <c r="BD48" s="50" t="n"/>
      <c r="BE48" s="50" t="n"/>
      <c r="BF48" s="50" t="n"/>
      <c r="BG48" s="50" t="n"/>
      <c r="BH48" s="50" t="n"/>
      <c r="BI48" s="50" t="n"/>
      <c r="BJ48" s="50" t="n"/>
      <c r="BK48" s="50" t="n"/>
      <c r="BL48" s="50" t="n"/>
      <c r="BM48" s="50" t="n"/>
      <c r="BN48" s="50" t="n"/>
      <c r="BO48" s="50" t="n"/>
      <c r="BP48" s="50" t="n"/>
      <c r="BQ48" s="50" t="n"/>
      <c r="BR48" s="50" t="n"/>
      <c r="BS48" s="50" t="n"/>
      <c r="BT48" s="50" t="n"/>
      <c r="BU48" s="50" t="n"/>
      <c r="BV48" s="50" t="n"/>
      <c r="BW48" s="50" t="n"/>
      <c r="BX48" s="50" t="n"/>
      <c r="BY48" s="50" t="n"/>
      <c r="BZ48" s="50" t="n"/>
      <c r="CA48" s="50" t="n"/>
      <c r="CB48" s="50" t="n"/>
      <c r="CC48" s="50" t="n"/>
      <c r="CD48" s="50" t="n"/>
      <c r="CE48" s="50" t="n"/>
      <c r="CF48" s="50" t="n"/>
      <c r="CG48" s="50" t="n"/>
      <c r="CH48" s="50" t="n"/>
      <c r="CI48" s="50" t="n"/>
      <c r="CJ48" s="50" t="n"/>
      <c r="CK48" s="50" t="n"/>
      <c r="CL48" s="50" t="n"/>
      <c r="CM48" s="50" t="n"/>
      <c r="CN48" s="50" t="n"/>
      <c r="CO48" s="50" t="n"/>
      <c r="CP48" s="50" t="n"/>
      <c r="CQ48" s="50" t="n"/>
      <c r="CR48" s="50" t="n"/>
      <c r="CS48" s="50" t="n"/>
      <c r="CT48" s="50" t="n"/>
      <c r="CU48" s="50" t="n"/>
      <c r="CV48" s="50" t="n"/>
      <c r="CW48" s="50" t="n"/>
      <c r="CX48" s="50" t="n"/>
      <c r="CY48" s="50" t="n"/>
    </row>
    <row r="49" collapsed="1">
      <c r="C49" s="13" t="inlineStr">
        <is>
          <t>SG&amp;A and Other (cash)</t>
        </is>
      </c>
      <c r="D49" s="46" t="n"/>
      <c r="E49" s="46" t="n"/>
      <c r="F49" s="46" t="n"/>
      <c r="G49" s="46" t="n"/>
      <c r="H49" s="12" t="n"/>
      <c r="I49" s="46">
        <f>'Inputs (2)'!D6</f>
        <v>332</v>
      </c>
      <c r="J49" s="46">
        <f>'Inputs (2)'!E6</f>
        <v>375</v>
      </c>
      <c r="K49" s="46">
        <f>'Inputs (2)'!F6</f>
        <v>321</v>
      </c>
      <c r="L49" s="46">
        <f>'Inputs (2)'!G6</f>
        <v>398</v>
      </c>
      <c r="M49" s="12">
        <f>'Inputs (2)'!H6</f>
        <v>1426</v>
      </c>
      <c r="N49" s="46">
        <f>'Inputs (2)'!I6</f>
        <v>353</v>
      </c>
      <c r="O49" s="46">
        <f>'Inputs (2)'!J6</f>
        <v>350</v>
      </c>
      <c r="P49" s="46">
        <f>'Inputs (2)'!K6</f>
        <v>332</v>
      </c>
      <c r="Q49" s="46">
        <f>'Inputs (2)'!L6</f>
        <v>430</v>
      </c>
      <c r="R49" s="12">
        <f>'Inputs (2)'!M6</f>
        <v>1465</v>
      </c>
      <c r="S49" s="46">
        <f>'Inputs (2)'!N6</f>
        <v>316</v>
      </c>
      <c r="T49" s="46">
        <f>'Inputs (2)'!O6</f>
        <v>379</v>
      </c>
      <c r="U49" s="46">
        <f>'Inputs (2)'!P6</f>
        <v>344</v>
      </c>
      <c r="V49" s="46">
        <f>'Inputs (2)'!Q6</f>
        <v>419</v>
      </c>
      <c r="W49" s="12">
        <f>'Inputs (2)'!R6</f>
        <v>1458</v>
      </c>
      <c r="X49" s="46">
        <f>'Inputs (2)'!S6</f>
        <v>387</v>
      </c>
      <c r="Y49" s="46">
        <f>'Inputs (2)'!T6</f>
        <v>377</v>
      </c>
      <c r="Z49" s="46">
        <f>'Inputs (2)'!U6</f>
        <v>413</v>
      </c>
      <c r="AA49" s="46">
        <f>'Inputs (2)'!V6</f>
        <v>465</v>
      </c>
      <c r="AB49" s="12">
        <f>'Inputs (2)'!W6</f>
        <v>1642</v>
      </c>
      <c r="AC49" s="46">
        <f>'Inputs (2)'!X6</f>
        <v>446</v>
      </c>
      <c r="AD49" s="46">
        <f>'Inputs (2)'!Y6</f>
        <v>413</v>
      </c>
      <c r="AE49" s="46">
        <f>'Inputs (2)'!Z6</f>
        <v>468</v>
      </c>
      <c r="AF49" s="46">
        <f>'Inputs (2)'!AA6</f>
        <v>472</v>
      </c>
      <c r="AG49" s="12">
        <f>'Inputs (2)'!AB6</f>
        <v>1799</v>
      </c>
      <c r="AH49" s="12">
        <f>'Inputs (2)'!AC6</f>
        <v>383</v>
      </c>
      <c r="AI49" s="12">
        <f>'Inputs (2)'!AD6</f>
        <v>433</v>
      </c>
      <c r="AJ49" s="12">
        <f>-AJ15*AJ50</f>
        <v>454.417626254059</v>
      </c>
      <c r="AK49" s="12">
        <f>-AK15*AK50</f>
        <v>496.223364130729</v>
      </c>
      <c r="AL49" s="12">
        <f>SUM(AH49:AK49)</f>
        <v>1766.64099038479</v>
      </c>
      <c r="AM49" s="12">
        <f>-AM15*AM50</f>
        <v>440.05911347866</v>
      </c>
      <c r="AN49" s="12">
        <f>-AN15*AN50</f>
        <v>489.923200361931</v>
      </c>
      <c r="AO49" s="12">
        <f>-AO15*AO50</f>
        <v>479.716289822783</v>
      </c>
      <c r="AP49" s="12">
        <f>-AP15*AP50</f>
        <v>523.849466682185</v>
      </c>
      <c r="AQ49" s="12">
        <f>SUM(AM49:AP49)</f>
        <v>1933.54807034556</v>
      </c>
      <c r="AR49" s="12">
        <f>-AR15*AR50</f>
        <v>462.358104072371</v>
      </c>
      <c r="AS49" s="12">
        <f>-AS15*AS50</f>
        <v>514.748939681704</v>
      </c>
      <c r="AT49" s="12">
        <f>-AT15*AT50</f>
        <v>504.024817260943</v>
      </c>
      <c r="AU49" s="12">
        <f>-AU15*AU50</f>
        <v>550.394342068871</v>
      </c>
      <c r="AV49" s="12">
        <f>SUM(AR49:AU49)</f>
        <v>2031.52620308389</v>
      </c>
      <c r="AW49" s="12">
        <f>-AW15*AW50</f>
        <v>483.475254568898</v>
      </c>
      <c r="AX49" s="12">
        <f>-AX15*AX50</f>
        <v>538.258921947494</v>
      </c>
      <c r="AY49" s="12">
        <f>-AY15*AY50</f>
        <v>527.044999726302</v>
      </c>
      <c r="AZ49" s="12">
        <f>-AZ15*AZ50</f>
        <v>575.532346683765</v>
      </c>
      <c r="BA49" s="12">
        <f>SUM(AW49:AZ49)</f>
        <v>2124.31152292646</v>
      </c>
      <c r="BB49" s="12">
        <f>-BB15*BB50</f>
        <v>503.139506415369</v>
      </c>
      <c r="BC49" s="12">
        <f>-BC15*BC50</f>
        <v>560.151374352785</v>
      </c>
      <c r="BD49" s="12">
        <f>-BD15*BD50</f>
        <v>548.48135145496</v>
      </c>
      <c r="BE49" s="12">
        <f>-BE15*BE50</f>
        <v>598.940810517289</v>
      </c>
      <c r="BF49" s="12">
        <f>SUM(BB49:BE49)</f>
        <v>2210.7130427404</v>
      </c>
      <c r="BG49" s="12" t="n"/>
      <c r="BH49" s="12" t="n"/>
      <c r="BI49" s="12" t="n"/>
      <c r="BJ49" s="12" t="n"/>
      <c r="BK49" s="12" t="n"/>
      <c r="BL49" s="12" t="n"/>
      <c r="BM49" s="12" t="n"/>
      <c r="BN49" s="12" t="n"/>
      <c r="BO49" s="12" t="n"/>
      <c r="BP49" s="12" t="n"/>
      <c r="BQ49" s="12" t="n"/>
      <c r="BR49" s="12" t="n"/>
      <c r="BS49" s="12" t="n"/>
      <c r="BT49" s="12" t="n"/>
      <c r="BU49" s="12" t="n"/>
      <c r="BV49" s="12" t="n"/>
      <c r="BW49" s="12" t="n"/>
      <c r="BX49" s="12" t="n"/>
      <c r="BY49" s="12" t="n"/>
      <c r="BZ49" s="12" t="n"/>
      <c r="CA49" s="12" t="n"/>
      <c r="CB49" s="12" t="n"/>
      <c r="CC49" s="12" t="n"/>
      <c r="CD49" s="12" t="n"/>
      <c r="CE49" s="12" t="n"/>
      <c r="CF49" s="12" t="n"/>
      <c r="CG49" s="12" t="n"/>
      <c r="CH49" s="12" t="n"/>
      <c r="CI49" s="12" t="n"/>
      <c r="CJ49" s="12" t="n"/>
      <c r="CK49" s="12" t="n"/>
      <c r="CL49" s="12" t="n"/>
      <c r="CM49" s="12" t="n"/>
      <c r="CN49" s="12" t="n"/>
      <c r="CO49" s="12" t="n"/>
      <c r="CP49" s="12" t="n"/>
      <c r="CQ49" s="12" t="n"/>
      <c r="CR49" s="12" t="n"/>
      <c r="CS49" s="12" t="n"/>
      <c r="CT49" s="12" t="n"/>
      <c r="CU49" s="12" t="n"/>
      <c r="CV49" s="12" t="n"/>
      <c r="CW49" s="12" t="n"/>
      <c r="CX49" s="12" t="n"/>
      <c r="CY49" s="12" t="n"/>
    </row>
    <row r="50" hidden="1" outlineLevel="1">
      <c r="C50" s="38" t="inlineStr">
        <is>
          <t>% SG&amp;A and Other Margin</t>
        </is>
      </c>
      <c r="D50" s="51" t="n"/>
      <c r="E50" s="51" t="n"/>
      <c r="F50" s="51" t="n"/>
      <c r="G50" s="51" t="n"/>
      <c r="H50" s="51" t="n"/>
      <c r="I50" s="51">
        <f>IFERROR(-(I49/I$15),"")</f>
        <v>-0.020420715955222</v>
      </c>
      <c r="J50" s="51">
        <f>IFERROR(-(J49/J$15),"")</f>
        <v>-0.0220212578542486</v>
      </c>
      <c r="K50" s="51">
        <f>IFERROR(-(K49/K$15),"")</f>
        <v>-0.0200274519590716</v>
      </c>
      <c r="L50" s="51">
        <f>IFERROR(-(L49/L$15),"")</f>
        <v>-0.022449094703593</v>
      </c>
      <c r="M50" s="51">
        <f>IFERROR(-(M49/M$15),"")</f>
        <v>-0.0212696139848458</v>
      </c>
      <c r="N50" s="51">
        <f>IFERROR(-(N49/N$15),"")</f>
        <v>-0.0235899492114408</v>
      </c>
      <c r="O50" s="51">
        <f>IFERROR(-(O49/O$15),"")</f>
        <v>-0.0226595882429108</v>
      </c>
      <c r="P50" s="51">
        <f>IFERROR(-(P49/P$15),"")</f>
        <v>-0.0200205029246819</v>
      </c>
      <c r="Q50" s="51">
        <f>IFERROR(-(Q49/Q$15),"")</f>
        <v>-0.0226423042493813</v>
      </c>
      <c r="R50" s="51">
        <f>IFERROR(-(R49/R$15),"")</f>
        <v>-0.022202352085354</v>
      </c>
      <c r="S50" s="51">
        <f>IFERROR(-(S49/S$15),"")</f>
        <v>-0.0208911807483803</v>
      </c>
      <c r="T50" s="51">
        <f>IFERROR(-(T49/T$15),"")</f>
        <v>-0.0227041274785838</v>
      </c>
      <c r="U50" s="51">
        <f>IFERROR(-(U49/U$15),"")</f>
        <v>-0.0203815617964214</v>
      </c>
      <c r="V50" s="51">
        <f>IFERROR(-(V49/V$15),"")</f>
        <v>-0.0221998516477694</v>
      </c>
      <c r="W50" s="51">
        <f>IFERROR(-(W49/W$15),"")</f>
        <v>-0.0215773038729633</v>
      </c>
      <c r="X50" s="51">
        <f>IFERROR(-(X49/X$15),"")</f>
        <v>-0.0225065425995929</v>
      </c>
      <c r="Y50" s="51">
        <f>IFERROR(-(Y49/Y$15),"")</f>
        <v>-0.0208034433285509</v>
      </c>
      <c r="Z50" s="51">
        <f>IFERROR(-(Z49/Z$15),"")</f>
        <v>-0.0241463985032741</v>
      </c>
      <c r="AA50" s="51">
        <f>IFERROR(-(AA49/AA$15),"")</f>
        <v>-0.0249704650413489</v>
      </c>
      <c r="AB50" s="51">
        <f>IFERROR(-(AB49/AB$15),"")</f>
        <v>-0.0231127626930169</v>
      </c>
      <c r="AC50" s="51">
        <f>IFERROR(-(AC49/AC$15),"")</f>
        <v>-0.0248288147859489</v>
      </c>
      <c r="AD50" s="51">
        <f>IFERROR(-(AD49/AD$15),"")</f>
        <v>-0.0227485541173231</v>
      </c>
      <c r="AE50" s="51">
        <f>IFERROR(-(AE49/AE$15),"")</f>
        <v>-0.0251491213928744</v>
      </c>
      <c r="AF50" s="41">
        <f>IFERROR(-(AF49/AF$15),"")</f>
        <v>-0.0232272033856602</v>
      </c>
      <c r="AG50" s="51">
        <f>IFERROR(-(AG49/AG$15),"")</f>
        <v>-0.0239713250186547</v>
      </c>
      <c r="AH50" s="52">
        <f>IFERROR(-(AH49/AH$15),"")</f>
        <v>-0.0212529826313745</v>
      </c>
      <c r="AI50" s="52">
        <f>IFERROR(-(AI49/AI$15),"")</f>
        <v>-0.0215820166475602</v>
      </c>
      <c r="AJ50" s="52">
        <f>Control!$B$20</f>
        <v>-0.0231314488267902</v>
      </c>
      <c r="AK50" s="52">
        <f>Control!$B$20</f>
        <v>-0.0231314488267902</v>
      </c>
      <c r="AL50" s="51">
        <f>IFERROR(-(AL49/AL$15),"")</f>
        <v>-0.022311330121201</v>
      </c>
      <c r="AM50" s="52">
        <f>Control!$C$20</f>
        <v>-0.0231314488267902</v>
      </c>
      <c r="AN50" s="52">
        <f>Control!$C$20</f>
        <v>-0.0231314488267902</v>
      </c>
      <c r="AO50" s="52">
        <f>Control!$C$20</f>
        <v>-0.0231314488267902</v>
      </c>
      <c r="AP50" s="52">
        <f>Control!$C$20</f>
        <v>-0.0231314488267902</v>
      </c>
      <c r="AQ50" s="51">
        <f>IFERROR(-(AQ49/AQ$15),"")</f>
        <v>-0.0231314488267902</v>
      </c>
      <c r="AR50" s="52">
        <f>Control!$D$20</f>
        <v>-0.0231314488267902</v>
      </c>
      <c r="AS50" s="52">
        <f>Control!$D$20</f>
        <v>-0.0231314488267902</v>
      </c>
      <c r="AT50" s="52">
        <f>Control!$D$20</f>
        <v>-0.0231314488267902</v>
      </c>
      <c r="AU50" s="52">
        <f>Control!$D$20</f>
        <v>-0.0231314488267902</v>
      </c>
      <c r="AV50" s="51">
        <f>IFERROR(-(AV49/AV$15),"")</f>
        <v>-0.0231314488267902</v>
      </c>
      <c r="AW50" s="52">
        <f>Control!$E$20</f>
        <v>-0.0231314488267902</v>
      </c>
      <c r="AX50" s="52">
        <f>Control!$E$20</f>
        <v>-0.0231314488267902</v>
      </c>
      <c r="AY50" s="52">
        <f>Control!$E$20</f>
        <v>-0.0231314488267902</v>
      </c>
      <c r="AZ50" s="52">
        <f>Control!$E$20</f>
        <v>-0.0231314488267902</v>
      </c>
      <c r="BA50" s="51">
        <f>IFERROR(-(BA49/BA$15),"")</f>
        <v>-0.0231314488267902</v>
      </c>
      <c r="BB50" s="52">
        <f>Control!$F$20</f>
        <v>-0.0231314488267902</v>
      </c>
      <c r="BC50" s="52">
        <f>Control!$F$20</f>
        <v>-0.0231314488267902</v>
      </c>
      <c r="BD50" s="52">
        <f>Control!$F$20</f>
        <v>-0.0231314488267902</v>
      </c>
      <c r="BE50" s="52">
        <f>Control!$F$20</f>
        <v>-0.0231314488267902</v>
      </c>
      <c r="BF50" s="51">
        <f>IFERROR(-(BF49/BF$15),"")</f>
        <v>-0.0231314488267902</v>
      </c>
      <c r="BG50" s="52" t="n"/>
      <c r="BH50" s="52" t="n"/>
      <c r="BI50" s="52" t="n"/>
      <c r="BJ50" s="52" t="n"/>
      <c r="BK50" s="51" t="n"/>
      <c r="BL50" s="52" t="n"/>
      <c r="BM50" s="52" t="n"/>
      <c r="BN50" s="52" t="n"/>
      <c r="BO50" s="52" t="n"/>
      <c r="BP50" s="51" t="n"/>
      <c r="BQ50" s="52" t="n"/>
      <c r="BR50" s="52" t="n"/>
      <c r="BS50" s="52" t="n"/>
      <c r="BT50" s="52" t="n"/>
      <c r="BU50" s="51" t="n"/>
      <c r="BV50" s="52" t="n"/>
      <c r="BW50" s="52" t="n"/>
      <c r="BX50" s="52" t="n"/>
      <c r="BY50" s="52" t="n"/>
      <c r="BZ50" s="51" t="n"/>
      <c r="CA50" s="52" t="n"/>
      <c r="CB50" s="52" t="n"/>
      <c r="CC50" s="52" t="n"/>
      <c r="CD50" s="52" t="n"/>
      <c r="CE50" s="51" t="n"/>
      <c r="CF50" s="52" t="n"/>
      <c r="CG50" s="52" t="n"/>
      <c r="CH50" s="52" t="n"/>
      <c r="CI50" s="52" t="n"/>
      <c r="CJ50" s="51" t="n"/>
      <c r="CK50" s="52" t="n"/>
      <c r="CL50" s="52" t="n"/>
      <c r="CM50" s="52" t="n"/>
      <c r="CN50" s="52" t="n"/>
      <c r="CO50" s="51" t="n"/>
      <c r="CP50" s="52" t="n"/>
      <c r="CQ50" s="52" t="n"/>
      <c r="CR50" s="52" t="n"/>
      <c r="CS50" s="52" t="n"/>
      <c r="CT50" s="51" t="n"/>
      <c r="CU50" s="52" t="n"/>
      <c r="CV50" s="52" t="n"/>
      <c r="CW50" s="52" t="n"/>
      <c r="CX50" s="52" t="n"/>
      <c r="CY50" s="51" t="n"/>
    </row>
    <row r="51" hidden="1" outlineLevel="1"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  <c r="AV51" s="50" t="n"/>
      <c r="AW51" s="50" t="n"/>
      <c r="AX51" s="50" t="n"/>
      <c r="AY51" s="50" t="n"/>
      <c r="AZ51" s="50" t="n"/>
      <c r="BA51" s="50" t="n"/>
      <c r="BB51" s="50" t="n"/>
      <c r="BC51" s="50" t="n"/>
      <c r="BD51" s="50" t="n"/>
      <c r="BE51" s="50" t="n"/>
      <c r="BF51" s="50" t="n"/>
      <c r="BG51" s="50" t="n"/>
      <c r="BH51" s="50" t="n"/>
      <c r="BI51" s="50" t="n"/>
      <c r="BJ51" s="50" t="n"/>
      <c r="BK51" s="50" t="n"/>
      <c r="BL51" s="50" t="n"/>
      <c r="BM51" s="50" t="n"/>
      <c r="BN51" s="50" t="n"/>
      <c r="BO51" s="50" t="n"/>
      <c r="BP51" s="50" t="n"/>
      <c r="BQ51" s="50" t="n"/>
      <c r="BR51" s="50" t="n"/>
      <c r="BS51" s="50" t="n"/>
      <c r="BT51" s="50" t="n"/>
      <c r="BU51" s="50" t="n"/>
      <c r="BV51" s="50" t="n"/>
      <c r="BW51" s="50" t="n"/>
      <c r="BX51" s="50" t="n"/>
      <c r="BY51" s="50" t="n"/>
      <c r="BZ51" s="50" t="n"/>
      <c r="CA51" s="50" t="n"/>
      <c r="CB51" s="50" t="n"/>
      <c r="CC51" s="50" t="n"/>
      <c r="CD51" s="50" t="n"/>
      <c r="CE51" s="50" t="n"/>
      <c r="CF51" s="50" t="n"/>
      <c r="CG51" s="50" t="n"/>
      <c r="CH51" s="50" t="n"/>
      <c r="CI51" s="50" t="n"/>
      <c r="CJ51" s="50" t="n"/>
      <c r="CK51" s="50" t="n"/>
      <c r="CL51" s="50" t="n"/>
      <c r="CM51" s="50" t="n"/>
      <c r="CN51" s="50" t="n"/>
      <c r="CO51" s="50" t="n"/>
      <c r="CP51" s="50" t="n"/>
      <c r="CQ51" s="50" t="n"/>
      <c r="CR51" s="50" t="n"/>
      <c r="CS51" s="50" t="n"/>
      <c r="CT51" s="50" t="n"/>
      <c r="CU51" s="50" t="n"/>
      <c r="CV51" s="50" t="n"/>
      <c r="CW51" s="50" t="n"/>
      <c r="CX51" s="50" t="n"/>
      <c r="CY51" s="50" t="n"/>
    </row>
    <row r="52" hidden="1" outlineLevel="1">
      <c r="C52" s="50" t="inlineStr">
        <is>
          <t>Com Vendas</t>
        </is>
      </c>
      <c r="D52" s="11" t="n"/>
      <c r="E52" s="11" t="n"/>
      <c r="F52" s="11" t="n"/>
      <c r="G52" s="11" t="n"/>
      <c r="H52" s="50" t="n"/>
      <c r="I52" s="11" t="n"/>
      <c r="J52" s="11" t="n"/>
      <c r="K52" s="11" t="n"/>
      <c r="L52" s="11" t="n"/>
      <c r="M52" s="50" t="n"/>
      <c r="N52" s="11" t="n"/>
      <c r="O52" s="11" t="n"/>
      <c r="P52" s="11" t="n"/>
      <c r="Q52" s="11" t="n"/>
      <c r="R52" s="50" t="n"/>
      <c r="S52" s="11" t="n"/>
      <c r="T52" s="11" t="n"/>
      <c r="U52" s="11" t="n"/>
      <c r="V52" s="11" t="n"/>
      <c r="W52" s="50" t="n"/>
      <c r="X52" s="11" t="n"/>
      <c r="Y52" s="11" t="n"/>
      <c r="Z52" s="11" t="n"/>
      <c r="AA52" s="11" t="n"/>
      <c r="AB52" s="50" t="n"/>
      <c r="AC52" s="11" t="n"/>
      <c r="AD52" s="11" t="n"/>
      <c r="AE52" s="11" t="n"/>
      <c r="AF52" s="11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50" t="n"/>
      <c r="AY52" s="50" t="n"/>
      <c r="AZ52" s="50" t="n"/>
      <c r="BA52" s="50" t="n"/>
      <c r="BB52" s="50" t="n"/>
      <c r="BC52" s="50" t="n"/>
      <c r="BD52" s="50" t="n"/>
      <c r="BE52" s="50" t="n"/>
      <c r="BF52" s="50" t="n"/>
      <c r="BG52" s="50" t="n"/>
      <c r="BH52" s="50" t="n"/>
      <c r="BI52" s="50" t="n"/>
      <c r="BJ52" s="50" t="n"/>
      <c r="BK52" s="50" t="n"/>
      <c r="BL52" s="50" t="n"/>
      <c r="BM52" s="50" t="n"/>
      <c r="BN52" s="50" t="n"/>
      <c r="BO52" s="50" t="n"/>
      <c r="BP52" s="50" t="n"/>
      <c r="BQ52" s="50" t="n"/>
      <c r="BR52" s="50" t="n"/>
      <c r="BS52" s="50" t="n"/>
      <c r="BT52" s="50" t="n"/>
      <c r="BU52" s="50" t="n"/>
      <c r="BV52" s="50" t="n"/>
      <c r="BW52" s="50" t="n"/>
      <c r="BX52" s="50" t="n"/>
      <c r="BY52" s="50" t="n"/>
      <c r="BZ52" s="50" t="n"/>
      <c r="CA52" s="50" t="n"/>
      <c r="CB52" s="50" t="n"/>
      <c r="CC52" s="50" t="n"/>
      <c r="CD52" s="50" t="n"/>
      <c r="CE52" s="50" t="n"/>
      <c r="CF52" s="50" t="n"/>
      <c r="CG52" s="50" t="n"/>
      <c r="CH52" s="50" t="n"/>
      <c r="CI52" s="50" t="n"/>
      <c r="CJ52" s="50" t="n"/>
      <c r="CK52" s="50" t="n"/>
      <c r="CL52" s="50" t="n"/>
      <c r="CM52" s="50" t="n"/>
      <c r="CN52" s="50" t="n"/>
      <c r="CO52" s="50" t="n"/>
      <c r="CP52" s="50" t="n"/>
      <c r="CQ52" s="50" t="n"/>
      <c r="CR52" s="50" t="n"/>
      <c r="CS52" s="50" t="n"/>
      <c r="CT52" s="50" t="n"/>
      <c r="CU52" s="50" t="n"/>
      <c r="CV52" s="50" t="n"/>
      <c r="CW52" s="50" t="n"/>
      <c r="CX52" s="50" t="n"/>
      <c r="CY52" s="50" t="n"/>
    </row>
    <row r="53" hidden="1" outlineLevel="1">
      <c r="C53" s="50" t="inlineStr">
        <is>
          <t>Gerais &amp; Administrativas</t>
        </is>
      </c>
      <c r="D53" s="11" t="n"/>
      <c r="E53" s="11" t="n"/>
      <c r="F53" s="11" t="n"/>
      <c r="G53" s="11" t="n"/>
      <c r="H53" s="50" t="n"/>
      <c r="I53" s="11" t="n"/>
      <c r="J53" s="11" t="n"/>
      <c r="K53" s="11" t="n"/>
      <c r="L53" s="11" t="n"/>
      <c r="M53" s="50" t="n"/>
      <c r="N53" s="11" t="n"/>
      <c r="O53" s="11" t="n"/>
      <c r="P53" s="11" t="n"/>
      <c r="Q53" s="11" t="n"/>
      <c r="R53" s="50" t="n"/>
      <c r="S53" s="11" t="n"/>
      <c r="T53" s="11" t="n"/>
      <c r="U53" s="11" t="n"/>
      <c r="V53" s="11" t="n"/>
      <c r="W53" s="50" t="n"/>
      <c r="X53" s="11" t="n"/>
      <c r="Y53" s="11" t="n"/>
      <c r="Z53" s="11" t="n"/>
      <c r="AA53" s="11" t="n"/>
      <c r="AB53" s="50" t="n"/>
      <c r="AC53" s="11" t="n"/>
      <c r="AD53" s="11" t="n"/>
      <c r="AE53" s="11" t="n"/>
      <c r="AF53" s="11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  <c r="AV53" s="50" t="n"/>
      <c r="AW53" s="50" t="n"/>
      <c r="AX53" s="50" t="n"/>
      <c r="AY53" s="50" t="n"/>
      <c r="AZ53" s="50" t="n"/>
      <c r="BA53" s="50" t="n"/>
      <c r="BB53" s="50" t="n"/>
      <c r="BC53" s="50" t="n"/>
      <c r="BD53" s="50" t="n"/>
      <c r="BE53" s="50" t="n"/>
      <c r="BF53" s="50" t="n"/>
      <c r="BG53" s="50" t="n"/>
      <c r="BH53" s="50" t="n"/>
      <c r="BI53" s="50" t="n"/>
      <c r="BJ53" s="50" t="n"/>
      <c r="BK53" s="50" t="n"/>
      <c r="BL53" s="50" t="n"/>
      <c r="BM53" s="50" t="n"/>
      <c r="BN53" s="50" t="n"/>
      <c r="BO53" s="50" t="n"/>
      <c r="BP53" s="50" t="n"/>
      <c r="BQ53" s="50" t="n"/>
      <c r="BR53" s="50" t="n"/>
      <c r="BS53" s="50" t="n"/>
      <c r="BT53" s="50" t="n"/>
      <c r="BU53" s="50" t="n"/>
      <c r="BV53" s="50" t="n"/>
      <c r="BW53" s="50" t="n"/>
      <c r="BX53" s="50" t="n"/>
      <c r="BY53" s="50" t="n"/>
      <c r="BZ53" s="50" t="n"/>
      <c r="CA53" s="50" t="n"/>
      <c r="CB53" s="50" t="n"/>
      <c r="CC53" s="50" t="n"/>
      <c r="CD53" s="50" t="n"/>
      <c r="CE53" s="50" t="n"/>
      <c r="CF53" s="50" t="n"/>
      <c r="CG53" s="50" t="n"/>
      <c r="CH53" s="50" t="n"/>
      <c r="CI53" s="50" t="n"/>
      <c r="CJ53" s="50" t="n"/>
      <c r="CK53" s="50" t="n"/>
      <c r="CL53" s="50" t="n"/>
      <c r="CM53" s="50" t="n"/>
      <c r="CN53" s="50" t="n"/>
      <c r="CO53" s="50" t="n"/>
      <c r="CP53" s="50" t="n"/>
      <c r="CQ53" s="50" t="n"/>
      <c r="CR53" s="50" t="n"/>
      <c r="CS53" s="50" t="n"/>
      <c r="CT53" s="50" t="n"/>
      <c r="CU53" s="50" t="n"/>
      <c r="CV53" s="50" t="n"/>
      <c r="CW53" s="50" t="n"/>
      <c r="CX53" s="50" t="n"/>
      <c r="CY53" s="50" t="n"/>
    </row>
    <row r="54" hidden="1" outlineLevel="1">
      <c r="C54" s="50" t="inlineStr">
        <is>
          <t>Outras Receitas (Despesas) Operacionais, Líquidas</t>
        </is>
      </c>
      <c r="D54" s="11" t="n"/>
      <c r="E54" s="11" t="n"/>
      <c r="F54" s="11" t="n"/>
      <c r="G54" s="11" t="n"/>
      <c r="H54" s="50" t="n"/>
      <c r="I54" s="11" t="n"/>
      <c r="J54" s="11" t="n"/>
      <c r="K54" s="11" t="n"/>
      <c r="L54" s="11" t="n"/>
      <c r="M54" s="50" t="n"/>
      <c r="N54" s="11" t="n"/>
      <c r="O54" s="11" t="n"/>
      <c r="P54" s="11" t="n"/>
      <c r="Q54" s="11" t="n"/>
      <c r="R54" s="50" t="n"/>
      <c r="S54" s="11" t="n"/>
      <c r="T54" s="11" t="n"/>
      <c r="U54" s="11" t="n"/>
      <c r="V54" s="11" t="n"/>
      <c r="W54" s="50" t="n"/>
      <c r="X54" s="11" t="n"/>
      <c r="Y54" s="11" t="n"/>
      <c r="Z54" s="11" t="n"/>
      <c r="AA54" s="11" t="n"/>
      <c r="AB54" s="50" t="n"/>
      <c r="AC54" s="11" t="n"/>
      <c r="AD54" s="11" t="n"/>
      <c r="AE54" s="11" t="n"/>
      <c r="AF54" s="11" t="n"/>
      <c r="AG54" s="50" t="n"/>
      <c r="AH54" s="50" t="n"/>
      <c r="AI54" s="50" t="n"/>
      <c r="AJ54" s="50" t="n"/>
      <c r="AK54" s="50" t="n"/>
      <c r="AL54" s="50" t="n"/>
      <c r="AM54" s="50" t="n"/>
      <c r="AN54" s="50" t="n"/>
      <c r="AO54" s="50" t="n"/>
      <c r="AP54" s="50" t="n"/>
      <c r="AQ54" s="50" t="n"/>
      <c r="AR54" s="50" t="n"/>
      <c r="AS54" s="50" t="n"/>
      <c r="AT54" s="50" t="n"/>
      <c r="AU54" s="50" t="n"/>
      <c r="AV54" s="50" t="n"/>
      <c r="AW54" s="50" t="n"/>
      <c r="AX54" s="50" t="n"/>
      <c r="AY54" s="50" t="n"/>
      <c r="AZ54" s="50" t="n"/>
      <c r="BA54" s="50" t="n"/>
      <c r="BB54" s="50" t="n"/>
      <c r="BC54" s="50" t="n"/>
      <c r="BD54" s="50" t="n"/>
      <c r="BE54" s="50" t="n"/>
      <c r="BF54" s="50" t="n"/>
      <c r="BG54" s="50" t="n"/>
      <c r="BH54" s="50" t="n"/>
      <c r="BI54" s="50" t="n"/>
      <c r="BJ54" s="50" t="n"/>
      <c r="BK54" s="50" t="n"/>
      <c r="BL54" s="50" t="n"/>
      <c r="BM54" s="50" t="n"/>
      <c r="BN54" s="50" t="n"/>
      <c r="BO54" s="50" t="n"/>
      <c r="BP54" s="50" t="n"/>
      <c r="BQ54" s="50" t="n"/>
      <c r="BR54" s="50" t="n"/>
      <c r="BS54" s="50" t="n"/>
      <c r="BT54" s="50" t="n"/>
      <c r="BU54" s="50" t="n"/>
      <c r="BV54" s="50" t="n"/>
      <c r="BW54" s="50" t="n"/>
      <c r="BX54" s="50" t="n"/>
      <c r="BY54" s="50" t="n"/>
      <c r="BZ54" s="50" t="n"/>
      <c r="CA54" s="50" t="n"/>
      <c r="CB54" s="50" t="n"/>
      <c r="CC54" s="50" t="n"/>
      <c r="CD54" s="50" t="n"/>
      <c r="CE54" s="50" t="n"/>
      <c r="CF54" s="50" t="n"/>
      <c r="CG54" s="50" t="n"/>
      <c r="CH54" s="50" t="n"/>
      <c r="CI54" s="50" t="n"/>
      <c r="CJ54" s="50" t="n"/>
      <c r="CK54" s="50" t="n"/>
      <c r="CL54" s="50" t="n"/>
      <c r="CM54" s="50" t="n"/>
      <c r="CN54" s="50" t="n"/>
      <c r="CO54" s="50" t="n"/>
      <c r="CP54" s="50" t="n"/>
      <c r="CQ54" s="50" t="n"/>
      <c r="CR54" s="50" t="n"/>
      <c r="CS54" s="50" t="n"/>
      <c r="CT54" s="50" t="n"/>
      <c r="CU54" s="50" t="n"/>
      <c r="CV54" s="50" t="n"/>
      <c r="CW54" s="50" t="n"/>
      <c r="CX54" s="50" t="n"/>
      <c r="CY54" s="50" t="n"/>
    </row>
    <row r="55" hidden="1" outlineLevel="1"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  <c r="AV55" s="50" t="n"/>
      <c r="AW55" s="50" t="n"/>
      <c r="AX55" s="50" t="n"/>
      <c r="AY55" s="50" t="n"/>
      <c r="AZ55" s="50" t="n"/>
      <c r="BA55" s="50" t="n"/>
      <c r="BB55" s="50" t="n"/>
      <c r="BC55" s="50" t="n"/>
      <c r="BD55" s="50" t="n"/>
      <c r="BE55" s="50" t="n"/>
      <c r="BF55" s="50" t="n"/>
      <c r="BG55" s="50" t="n"/>
      <c r="BH55" s="50" t="n"/>
      <c r="BI55" s="50" t="n"/>
      <c r="BJ55" s="50" t="n"/>
      <c r="BK55" s="50" t="n"/>
      <c r="BL55" s="50" t="n"/>
      <c r="BM55" s="50" t="n"/>
      <c r="BN55" s="50" t="n"/>
      <c r="BO55" s="50" t="n"/>
      <c r="BP55" s="50" t="n"/>
      <c r="BQ55" s="50" t="n"/>
      <c r="BR55" s="50" t="n"/>
      <c r="BS55" s="50" t="n"/>
      <c r="BT55" s="50" t="n"/>
      <c r="BU55" s="50" t="n"/>
      <c r="BV55" s="50" t="n"/>
      <c r="BW55" s="50" t="n"/>
      <c r="BX55" s="50" t="n"/>
      <c r="BY55" s="50" t="n"/>
      <c r="BZ55" s="50" t="n"/>
      <c r="CA55" s="50" t="n"/>
      <c r="CB55" s="50" t="n"/>
      <c r="CC55" s="50" t="n"/>
      <c r="CD55" s="50" t="n"/>
      <c r="CE55" s="50" t="n"/>
      <c r="CF55" s="50" t="n"/>
      <c r="CG55" s="50" t="n"/>
      <c r="CH55" s="50" t="n"/>
      <c r="CI55" s="50" t="n"/>
      <c r="CJ55" s="50" t="n"/>
      <c r="CK55" s="50" t="n"/>
      <c r="CL55" s="50" t="n"/>
      <c r="CM55" s="50" t="n"/>
      <c r="CN55" s="50" t="n"/>
      <c r="CO55" s="50" t="n"/>
      <c r="CP55" s="50" t="n"/>
      <c r="CQ55" s="50" t="n"/>
      <c r="CR55" s="50" t="n"/>
      <c r="CS55" s="50" t="n"/>
      <c r="CT55" s="50" t="n"/>
      <c r="CU55" s="50" t="n"/>
      <c r="CV55" s="50" t="n"/>
      <c r="CW55" s="50" t="n"/>
      <c r="CX55" s="50" t="n"/>
      <c r="CY55" s="50" t="n"/>
    </row>
    <row r="56" hidden="1" outlineLevel="1">
      <c r="C56" s="50" t="inlineStr">
        <is>
          <t>Com Vendas (%)</t>
        </is>
      </c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  <c r="X56" s="50" t="n"/>
      <c r="Y56" s="50" t="n"/>
      <c r="Z56" s="50" t="n"/>
      <c r="AA56" s="50" t="n"/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50" t="n"/>
      <c r="AY56" s="50" t="n"/>
      <c r="AZ56" s="50" t="n"/>
      <c r="BA56" s="50" t="n"/>
      <c r="BB56" s="50" t="n"/>
      <c r="BC56" s="50" t="n"/>
      <c r="BD56" s="50" t="n"/>
      <c r="BE56" s="50" t="n"/>
      <c r="BF56" s="50" t="n"/>
      <c r="BG56" s="50" t="n"/>
      <c r="BH56" s="50" t="n"/>
      <c r="BI56" s="50" t="n"/>
      <c r="BJ56" s="50" t="n"/>
      <c r="BK56" s="50" t="n"/>
      <c r="BL56" s="50" t="n"/>
      <c r="BM56" s="50" t="n"/>
      <c r="BN56" s="50" t="n"/>
      <c r="BO56" s="50" t="n"/>
      <c r="BP56" s="50" t="n"/>
      <c r="BQ56" s="50" t="n"/>
      <c r="BR56" s="50" t="n"/>
      <c r="BS56" s="50" t="n"/>
      <c r="BT56" s="50" t="n"/>
      <c r="BU56" s="50" t="n"/>
      <c r="BV56" s="50" t="n"/>
      <c r="BW56" s="50" t="n"/>
      <c r="BX56" s="50" t="n"/>
      <c r="BY56" s="50" t="n"/>
      <c r="BZ56" s="50" t="n"/>
      <c r="CA56" s="50" t="n"/>
      <c r="CB56" s="50" t="n"/>
      <c r="CC56" s="50" t="n"/>
      <c r="CD56" s="50" t="n"/>
      <c r="CE56" s="50" t="n"/>
      <c r="CF56" s="50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</row>
    <row r="57" hidden="1" outlineLevel="1">
      <c r="C57" s="50" t="inlineStr">
        <is>
          <t>Gerais &amp; Administrativas (%)</t>
        </is>
      </c>
      <c r="D57" s="50" t="n"/>
      <c r="E57" s="50" t="n"/>
      <c r="F57" s="50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  <c r="AV57" s="50" t="n"/>
      <c r="AW57" s="50" t="n"/>
      <c r="AX57" s="50" t="n"/>
      <c r="AY57" s="50" t="n"/>
      <c r="AZ57" s="50" t="n"/>
      <c r="BA57" s="50" t="n"/>
      <c r="BB57" s="50" t="n"/>
      <c r="BC57" s="50" t="n"/>
      <c r="BD57" s="50" t="n"/>
      <c r="BE57" s="50" t="n"/>
      <c r="BF57" s="50" t="n"/>
      <c r="BG57" s="50" t="n"/>
      <c r="BH57" s="50" t="n"/>
      <c r="BI57" s="50" t="n"/>
      <c r="BJ57" s="50" t="n"/>
      <c r="BK57" s="50" t="n"/>
      <c r="BL57" s="50" t="n"/>
      <c r="BM57" s="50" t="n"/>
      <c r="BN57" s="50" t="n"/>
      <c r="BO57" s="50" t="n"/>
      <c r="BP57" s="50" t="n"/>
      <c r="BQ57" s="50" t="n"/>
      <c r="BR57" s="50" t="n"/>
      <c r="BS57" s="50" t="n"/>
      <c r="BT57" s="50" t="n"/>
      <c r="BU57" s="50" t="n"/>
      <c r="BV57" s="50" t="n"/>
      <c r="BW57" s="50" t="n"/>
      <c r="BX57" s="50" t="n"/>
      <c r="BY57" s="50" t="n"/>
      <c r="BZ57" s="50" t="n"/>
      <c r="CA57" s="50" t="n"/>
      <c r="CB57" s="50" t="n"/>
      <c r="CC57" s="50" t="n"/>
      <c r="CD57" s="50" t="n"/>
      <c r="CE57" s="50" t="n"/>
      <c r="CF57" s="50" t="n"/>
      <c r="CG57" s="50" t="n"/>
      <c r="CH57" s="50" t="n"/>
      <c r="CI57" s="50" t="n"/>
      <c r="CJ57" s="50" t="n"/>
      <c r="CK57" s="50" t="n"/>
      <c r="CL57" s="50" t="n"/>
      <c r="CM57" s="50" t="n"/>
      <c r="CN57" s="50" t="n"/>
      <c r="CO57" s="50" t="n"/>
      <c r="CP57" s="50" t="n"/>
      <c r="CQ57" s="50" t="n"/>
      <c r="CR57" s="50" t="n"/>
      <c r="CS57" s="50" t="n"/>
      <c r="CT57" s="50" t="n"/>
      <c r="CU57" s="50" t="n"/>
      <c r="CV57" s="50" t="n"/>
      <c r="CW57" s="50" t="n"/>
      <c r="CX57" s="50" t="n"/>
      <c r="CY57" s="50" t="n"/>
    </row>
    <row r="58" hidden="1" outlineLevel="1">
      <c r="C58" s="50" t="inlineStr">
        <is>
          <t>Outras Receitas (Despesas) Operacionais, Líquidas (%)</t>
        </is>
      </c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  <c r="X58" s="50" t="n"/>
      <c r="Y58" s="50" t="n"/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50" t="n"/>
      <c r="AY58" s="50" t="n"/>
      <c r="AZ58" s="50" t="n"/>
      <c r="BA58" s="50" t="n"/>
      <c r="BB58" s="50" t="n"/>
      <c r="BC58" s="50" t="n"/>
      <c r="BD58" s="50" t="n"/>
      <c r="BE58" s="50" t="n"/>
      <c r="BF58" s="50" t="n"/>
      <c r="BG58" s="50" t="n"/>
      <c r="BH58" s="50" t="n"/>
      <c r="BI58" s="50" t="n"/>
      <c r="BJ58" s="50" t="n"/>
      <c r="BK58" s="50" t="n"/>
      <c r="BL58" s="50" t="n"/>
      <c r="BM58" s="50" t="n"/>
      <c r="BN58" s="50" t="n"/>
      <c r="BO58" s="50" t="n"/>
      <c r="BP58" s="50" t="n"/>
      <c r="BQ58" s="50" t="n"/>
      <c r="BR58" s="50" t="n"/>
      <c r="BS58" s="50" t="n"/>
      <c r="BT58" s="50" t="n"/>
      <c r="BU58" s="50" t="n"/>
      <c r="BV58" s="50" t="n"/>
      <c r="BW58" s="50" t="n"/>
      <c r="BX58" s="50" t="n"/>
      <c r="BY58" s="50" t="n"/>
      <c r="BZ58" s="50" t="n"/>
      <c r="CA58" s="50" t="n"/>
      <c r="CB58" s="50" t="n"/>
      <c r="CC58" s="50" t="n"/>
      <c r="CD58" s="50" t="n"/>
      <c r="CE58" s="50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</row>
    <row r="59" hidden="1" outlineLevel="1"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50" t="n"/>
      <c r="AY59" s="50" t="n"/>
      <c r="AZ59" s="50" t="n"/>
      <c r="BA59" s="50" t="n"/>
      <c r="BB59" s="50" t="n"/>
      <c r="BC59" s="50" t="n"/>
      <c r="BD59" s="50" t="n"/>
      <c r="BE59" s="50" t="n"/>
      <c r="BF59" s="50" t="n"/>
      <c r="BG59" s="50" t="n"/>
      <c r="BH59" s="50" t="n"/>
      <c r="BI59" s="50" t="n"/>
      <c r="BJ59" s="50" t="n"/>
      <c r="BK59" s="50" t="n"/>
      <c r="BL59" s="50" t="n"/>
      <c r="BM59" s="50" t="n"/>
      <c r="BN59" s="50" t="n"/>
      <c r="BO59" s="50" t="n"/>
      <c r="BP59" s="50" t="n"/>
      <c r="BQ59" s="50" t="n"/>
      <c r="BR59" s="50" t="n"/>
      <c r="BS59" s="50" t="n"/>
      <c r="BT59" s="50" t="n"/>
      <c r="BU59" s="50" t="n"/>
      <c r="BV59" s="50" t="n"/>
      <c r="BW59" s="50" t="n"/>
      <c r="BX59" s="50" t="n"/>
      <c r="BY59" s="50" t="n"/>
      <c r="BZ59" s="50" t="n"/>
      <c r="CA59" s="50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</row>
    <row r="60" collapsed="1" customFormat="1" s="32">
      <c r="A60" s="30" t="n"/>
      <c r="B60" s="3" t="n"/>
      <c r="C60" s="33" t="inlineStr">
        <is>
          <t>EBITDA</t>
        </is>
      </c>
      <c r="D60" s="35" t="n"/>
      <c r="E60" s="35" t="n"/>
      <c r="F60" s="35" t="n"/>
      <c r="G60" s="35" t="n"/>
      <c r="H60" s="35" t="n"/>
      <c r="I60" s="35">
        <f>SUM(I15,I45,I49)</f>
        <v>2518</v>
      </c>
      <c r="J60" s="35">
        <f>SUM(J15,J45,J49)</f>
        <v>2526</v>
      </c>
      <c r="K60" s="35">
        <f>SUM(K15,K45,K49)</f>
        <v>2623</v>
      </c>
      <c r="L60" s="35">
        <f>SUM(L15,L45,L49)</f>
        <v>2820</v>
      </c>
      <c r="M60" s="35">
        <f>SUM(I60:L60)</f>
        <v>10487</v>
      </c>
      <c r="N60" s="35">
        <f>SUM(N15,N45,N49)</f>
        <v>2262</v>
      </c>
      <c r="O60" s="35">
        <f>SUM(O15,O45,O49)</f>
        <v>2306</v>
      </c>
      <c r="P60" s="35">
        <f>SUM(P15,P45,P49)</f>
        <v>2452</v>
      </c>
      <c r="Q60" s="35">
        <f>SUM(Q15,Q45,Q49)</f>
        <v>2732</v>
      </c>
      <c r="R60" s="35">
        <f>SUM(N60:Q60)</f>
        <v>9752</v>
      </c>
      <c r="S60" s="35">
        <f>SUM(S15,S45,S49)</f>
        <v>2362</v>
      </c>
      <c r="T60" s="35">
        <f>SUM(T15,T45,T49)</f>
        <v>2469</v>
      </c>
      <c r="U60" s="35">
        <f>SUM(U15,U45,U49)</f>
        <v>2392</v>
      </c>
      <c r="V60" s="35">
        <f>SUM(V15,V45,V49)</f>
        <v>2714</v>
      </c>
      <c r="W60" s="35">
        <f>SUM(S60:V60)</f>
        <v>9937</v>
      </c>
      <c r="X60" s="35">
        <f>SUM(X15,X45,X49)</f>
        <v>2380</v>
      </c>
      <c r="Y60" s="35">
        <f>SUM(Y15,Y45,Y49)</f>
        <v>2507</v>
      </c>
      <c r="Z60" s="35">
        <f>SUM(Z15,Z45,Z49)</f>
        <v>2530</v>
      </c>
      <c r="AA60" s="35">
        <f>SUM(AA15,AA45,AA49)</f>
        <v>1155</v>
      </c>
      <c r="AB60" s="35">
        <f>SUM(X60:AA60)</f>
        <v>8572</v>
      </c>
      <c r="AC60" s="35">
        <f>SUM(AC15,AC45,AC49)</f>
        <v>2769</v>
      </c>
      <c r="AD60" s="35">
        <f>SUM(AD15,AD45,AD49)</f>
        <v>1147</v>
      </c>
      <c r="AE60" s="35">
        <f>SUM(AE15,AE45,AE49)</f>
        <v>2708</v>
      </c>
      <c r="AF60" s="35">
        <f>SUM(AF15,AF45,AF49)</f>
        <v>2794</v>
      </c>
      <c r="AG60" s="35">
        <f>SUM(AC60:AF60)</f>
        <v>9418</v>
      </c>
      <c r="AH60" s="35">
        <f>SUM(AH15,AH45,AH49)</f>
        <v>2461</v>
      </c>
      <c r="AI60" s="35">
        <f>SUM(AI15,AI45,AI49)</f>
        <v>2879</v>
      </c>
      <c r="AJ60" s="35">
        <f>SUM(AJ15,AJ45,AJ49)</f>
        <v>2555.17283886412</v>
      </c>
      <c r="AK60" s="35">
        <f>SUM(AK15,AK45,AK49)</f>
        <v>2790.24489540318</v>
      </c>
      <c r="AL60" s="35">
        <f>SUM(AH60:AK60)</f>
        <v>10685.4177342673</v>
      </c>
      <c r="AM60" s="35">
        <f>SUM(AM15,AM45,AM49)</f>
        <v>2474.43547365094</v>
      </c>
      <c r="AN60" s="35">
        <f>SUM(AN15,AN45,AN49)</f>
        <v>2754.81931678923</v>
      </c>
      <c r="AO60" s="35">
        <f>SUM(AO15,AO45,AO49)</f>
        <v>2697.42625131037</v>
      </c>
      <c r="AP60" s="35">
        <f>SUM(AP15,AP45,AP49)</f>
        <v>2945.58540775313</v>
      </c>
      <c r="AQ60" s="35">
        <f>SUM(AM60:AP60)</f>
        <v>10872.2664495037</v>
      </c>
      <c r="AR60" s="35">
        <f>SUM(AR15,AR45,AR49)</f>
        <v>2599.82184030406</v>
      </c>
      <c r="AS60" s="35">
        <f>SUM(AS15,AS45,AS49)</f>
        <v>2894.41349436882</v>
      </c>
      <c r="AT60" s="35">
        <f>SUM(AT15,AT45,AT49)</f>
        <v>2834.11216636781</v>
      </c>
      <c r="AU60" s="35">
        <f>SUM(AU15,AU45,AU49)</f>
        <v>3094.84622133163</v>
      </c>
      <c r="AV60" s="35">
        <f>SUM(AR60:AU60)</f>
        <v>11423.1937223723</v>
      </c>
      <c r="AW60" s="35">
        <f>SUM(AW15,AW45,AW49)</f>
        <v>2718.56276553561</v>
      </c>
      <c r="AX60" s="35">
        <f>SUM(AX15,AX45,AX49)</f>
        <v>3026.60922062821</v>
      </c>
      <c r="AY60" s="35">
        <f>SUM(AY15,AY45,AY49)</f>
        <v>2963.55376718348</v>
      </c>
      <c r="AZ60" s="35">
        <f>SUM(AZ15,AZ45,AZ49)</f>
        <v>3236.19625465826</v>
      </c>
      <c r="BA60" s="35">
        <f>SUM(AW60:AZ60)</f>
        <v>11944.9220080056</v>
      </c>
      <c r="BB60" s="35">
        <f>SUM(BB15,BB45,BB49)</f>
        <v>2829.1340975257</v>
      </c>
      <c r="BC60" s="35">
        <f>SUM(BC15,BC45,BC49)</f>
        <v>3149.70963868033</v>
      </c>
      <c r="BD60" s="35">
        <f>SUM(BD15,BD45,BD49)</f>
        <v>3084.08954866917</v>
      </c>
      <c r="BE60" s="35">
        <f>SUM(BE15,BE45,BE49)</f>
        <v>3367.82114667667</v>
      </c>
      <c r="BF60" s="35">
        <f>SUM(BB60:BE60)</f>
        <v>12430.7544315519</v>
      </c>
      <c r="BG60" s="35" t="n"/>
      <c r="BH60" s="35" t="n"/>
      <c r="BI60" s="35" t="n"/>
      <c r="BJ60" s="35" t="n"/>
      <c r="BK60" s="35" t="n"/>
      <c r="BL60" s="35" t="n"/>
      <c r="BM60" s="35" t="n"/>
      <c r="BN60" s="35" t="n"/>
      <c r="BO60" s="35" t="n"/>
      <c r="BP60" s="35" t="n"/>
      <c r="BQ60" s="35" t="n"/>
      <c r="BR60" s="35" t="n"/>
      <c r="BS60" s="35" t="n"/>
      <c r="BT60" s="35" t="n"/>
      <c r="BU60" s="35" t="n"/>
      <c r="BV60" s="35" t="n"/>
      <c r="BW60" s="35" t="n"/>
      <c r="BX60" s="35" t="n"/>
      <c r="BY60" s="35" t="n"/>
      <c r="BZ60" s="35" t="n"/>
      <c r="CA60" s="35" t="n"/>
      <c r="CB60" s="35" t="n"/>
      <c r="CC60" s="35" t="n"/>
      <c r="CD60" s="35" t="n"/>
      <c r="CE60" s="35" t="n"/>
      <c r="CF60" s="35" t="n"/>
      <c r="CG60" s="35" t="n"/>
      <c r="CH60" s="35" t="n"/>
      <c r="CI60" s="35" t="n"/>
      <c r="CJ60" s="35" t="n"/>
      <c r="CK60" s="35" t="n"/>
      <c r="CL60" s="35" t="n"/>
      <c r="CM60" s="35" t="n"/>
      <c r="CN60" s="35" t="n"/>
      <c r="CO60" s="35" t="n"/>
      <c r="CP60" s="35" t="n"/>
      <c r="CQ60" s="35" t="n"/>
      <c r="CR60" s="35" t="n"/>
      <c r="CS60" s="35" t="n"/>
      <c r="CT60" s="35" t="n"/>
      <c r="CU60" s="35" t="n"/>
      <c r="CV60" s="35" t="n"/>
      <c r="CW60" s="35" t="n"/>
      <c r="CX60" s="35" t="n"/>
      <c r="CY60" s="35" t="n"/>
    </row>
    <row r="61" ht="13.5" customHeight="1">
      <c r="C61" s="13" t="inlineStr">
        <is>
          <t>D&amp;A</t>
        </is>
      </c>
      <c r="D61" s="46" t="n"/>
      <c r="E61" s="46" t="n"/>
      <c r="F61" s="46" t="n"/>
      <c r="G61" s="46" t="n"/>
      <c r="H61" s="12" t="n"/>
      <c r="I61" s="46">
        <f>'Inputs (2)'!D7</f>
        <v>-336</v>
      </c>
      <c r="J61" s="46">
        <f>'Inputs (2)'!E7</f>
        <v>-334</v>
      </c>
      <c r="K61" s="46">
        <f>'Inputs (2)'!F7</f>
        <v>-329</v>
      </c>
      <c r="L61" s="46">
        <f>'Inputs (2)'!G7</f>
        <v>-365</v>
      </c>
      <c r="M61" s="12">
        <f>'Inputs (2)'!H7</f>
        <v>-1364</v>
      </c>
      <c r="N61" s="46">
        <f>'Inputs (2)'!I7</f>
        <v>-329</v>
      </c>
      <c r="O61" s="46">
        <f>'Inputs (2)'!J7</f>
        <v>-343</v>
      </c>
      <c r="P61" s="46">
        <f>'Inputs (2)'!K7</f>
        <v>-293</v>
      </c>
      <c r="Q61" s="46">
        <f>'Inputs (2)'!L7</f>
        <v>-439</v>
      </c>
      <c r="R61" s="12">
        <f>'Inputs (2)'!M7</f>
        <v>-1404</v>
      </c>
      <c r="S61" s="46">
        <f>'Inputs (2)'!N7</f>
        <v>-325</v>
      </c>
      <c r="T61" s="46">
        <f>'Inputs (2)'!O7</f>
        <v>-334</v>
      </c>
      <c r="U61" s="46">
        <f>'Inputs (2)'!P7</f>
        <v>-350</v>
      </c>
      <c r="V61" s="46">
        <f>'Inputs (2)'!Q7</f>
        <v>-421</v>
      </c>
      <c r="W61" s="12">
        <f>'Inputs (2)'!R7</f>
        <v>-1430</v>
      </c>
      <c r="X61" s="46">
        <f>'Inputs (2)'!S7</f>
        <v>-351</v>
      </c>
      <c r="Y61" s="46">
        <f>'Inputs (2)'!T7</f>
        <v>-359</v>
      </c>
      <c r="Z61" s="46">
        <f>'Inputs (2)'!U7</f>
        <v>-390</v>
      </c>
      <c r="AA61" s="46">
        <f>'Inputs (2)'!V7</f>
        <v>-459</v>
      </c>
      <c r="AB61" s="12">
        <f>'Inputs (2)'!W7</f>
        <v>-1559</v>
      </c>
      <c r="AC61" s="46">
        <f>'Inputs (2)'!X7</f>
        <v>-397</v>
      </c>
      <c r="AD61" s="46">
        <f>'Inputs (2)'!Y7</f>
        <v>-399</v>
      </c>
      <c r="AE61" s="46">
        <f>'Inputs (2)'!Z7</f>
        <v>-428</v>
      </c>
      <c r="AF61" s="46">
        <f>'Inputs (2)'!AA7</f>
        <v>-463</v>
      </c>
      <c r="AG61" s="12">
        <f>'Inputs (2)'!AB7</f>
        <v>-1687</v>
      </c>
      <c r="AH61" s="12">
        <f>'Inputs (2)'!AC7</f>
        <v>-398</v>
      </c>
      <c r="AI61" s="12">
        <f>'Inputs (2)'!AD7</f>
        <v>-400</v>
      </c>
      <c r="AJ61" s="12">
        <f>-AJ62*AJ15</f>
        <v>-431.813377621333</v>
      </c>
      <c r="AK61" s="12">
        <f>-AK62*AK15</f>
        <v>-471.539558635236</v>
      </c>
      <c r="AL61" s="12">
        <f>SUM(AH61:AK61)</f>
        <v>-1701.35293625657</v>
      </c>
      <c r="AM61" s="12">
        <f>-AM62*AM15</f>
        <v>-418.169105170296</v>
      </c>
      <c r="AN61" s="12">
        <f>-AN62*AN15</f>
        <v>-465.552786029168</v>
      </c>
      <c r="AO61" s="12">
        <f>-AO62*AO15</f>
        <v>-455.85360126972</v>
      </c>
      <c r="AP61" s="12">
        <f>-AP62*AP15</f>
        <v>-497.791446687193</v>
      </c>
      <c r="AQ61" s="12">
        <f>SUM(AM61:AP61)</f>
        <v>-1837.36693915638</v>
      </c>
      <c r="AR61" s="12">
        <f>-AR62*AR15</f>
        <v>-439.358869584128</v>
      </c>
      <c r="AS61" s="12">
        <f>-AS62*AS15</f>
        <v>-489.143610258386</v>
      </c>
      <c r="AT61" s="12">
        <f>-AT62*AT15</f>
        <v>-478.952941461695</v>
      </c>
      <c r="AU61" s="12">
        <f>-AU62*AU15</f>
        <v>-523.015891420447</v>
      </c>
      <c r="AV61" s="12">
        <f>SUM(AR61:AU61)</f>
        <v>-1930.47131272466</v>
      </c>
      <c r="AW61" s="12">
        <f>-AW62*AW15</f>
        <v>-459.42558256974</v>
      </c>
      <c r="AX61" s="12">
        <f>-AX62*AX15</f>
        <v>-511.484127578752</v>
      </c>
      <c r="AY61" s="12">
        <f>-AY62*AY15</f>
        <v>-500.828023257639</v>
      </c>
      <c r="AZ61" s="12">
        <f>-AZ62*AZ15</f>
        <v>-546.903447827314</v>
      </c>
      <c r="BA61" s="12">
        <f>SUM(AW61:AZ61)</f>
        <v>-2018.64118123344</v>
      </c>
      <c r="BB61" s="12">
        <f>-BB62*BB15</f>
        <v>-478.11166893091</v>
      </c>
      <c r="BC61" s="12">
        <f>-BC62*BC15</f>
        <v>-532.287576369838</v>
      </c>
      <c r="BD61" s="12">
        <f>-BD62*BD15</f>
        <v>-521.198059341264</v>
      </c>
      <c r="BE61" s="12">
        <f>-BE62*BE15</f>
        <v>-569.147496580893</v>
      </c>
      <c r="BF61" s="12">
        <f>SUM(BB61:BE61)</f>
        <v>-2100.74480122291</v>
      </c>
      <c r="BG61" s="12" t="n"/>
      <c r="BH61" s="12" t="n"/>
      <c r="BI61" s="12" t="n"/>
      <c r="BJ61" s="12" t="n"/>
      <c r="BK61" s="12" t="n"/>
      <c r="BL61" s="12" t="n"/>
      <c r="BM61" s="12" t="n"/>
      <c r="BN61" s="12" t="n"/>
      <c r="BO61" s="12" t="n"/>
      <c r="BP61" s="12" t="n"/>
      <c r="BQ61" s="12" t="n"/>
      <c r="BR61" s="12" t="n"/>
      <c r="BS61" s="12" t="n"/>
      <c r="BT61" s="12" t="n"/>
      <c r="BU61" s="12" t="n"/>
      <c r="BV61" s="12" t="n"/>
      <c r="BW61" s="12" t="n"/>
      <c r="BX61" s="12" t="n"/>
      <c r="BY61" s="12" t="n"/>
      <c r="BZ61" s="12" t="n"/>
      <c r="CA61" s="12" t="n"/>
      <c r="CB61" s="12" t="n"/>
      <c r="CC61" s="12" t="n"/>
      <c r="CD61" s="12" t="n"/>
      <c r="CE61" s="12" t="n"/>
      <c r="CF61" s="12" t="n"/>
      <c r="CG61" s="12" t="n"/>
      <c r="CH61" s="12" t="n"/>
      <c r="CI61" s="12" t="n"/>
      <c r="CJ61" s="12" t="n"/>
      <c r="CK61" s="12" t="n"/>
      <c r="CL61" s="12" t="n"/>
      <c r="CM61" s="12" t="n"/>
      <c r="CN61" s="12" t="n"/>
      <c r="CO61" s="12" t="n"/>
      <c r="CP61" s="12" t="n"/>
      <c r="CQ61" s="12" t="n"/>
      <c r="CR61" s="12" t="n"/>
      <c r="CS61" s="12" t="n"/>
      <c r="CT61" s="12" t="n"/>
      <c r="CU61" s="12" t="n"/>
      <c r="CV61" s="12" t="n"/>
      <c r="CW61" s="12" t="n"/>
      <c r="CX61" s="12" t="n"/>
      <c r="CY61" s="12" t="n"/>
    </row>
    <row r="62" hidden="1" outlineLevel="1" customFormat="1" s="56">
      <c r="A62" s="53" t="n"/>
      <c r="B62" s="53" t="n"/>
      <c r="C62" s="54" t="inlineStr">
        <is>
          <t>% of Revenue</t>
        </is>
      </c>
      <c r="D62" s="53" t="n"/>
      <c r="E62" s="53" t="n"/>
      <c r="F62" s="53" t="n"/>
      <c r="G62" s="53" t="n"/>
      <c r="H62" s="53" t="n"/>
      <c r="I62" s="53">
        <f>IFERROR(-I61/I15,"")</f>
        <v>0.0206667486775741</v>
      </c>
      <c r="J62" s="53">
        <f>IFERROR(-J61/J15,"")</f>
        <v>0.0196136003288508</v>
      </c>
      <c r="K62" s="53">
        <f>IFERROR(-K61/K15,"")</f>
        <v>0.0205265784876466</v>
      </c>
      <c r="L62" s="53">
        <f>IFERROR(-L61/L15,"")</f>
        <v>0.0205877376050539</v>
      </c>
      <c r="M62" s="53" t="n"/>
      <c r="N62" s="53">
        <f>IFERROR(-N61/N15,"")</f>
        <v>0.0219860999732692</v>
      </c>
      <c r="O62" s="53">
        <f>IFERROR(-O61/O15,"")</f>
        <v>0.0222063964780526</v>
      </c>
      <c r="P62" s="53">
        <f>IFERROR(-P61/P15,"")</f>
        <v>0.0176686968582283</v>
      </c>
      <c r="Q62" s="53">
        <f>IFERROR(-Q61/Q15,"")</f>
        <v>0.023116212942973</v>
      </c>
      <c r="R62" s="53" t="n"/>
      <c r="S62" s="53">
        <f>IFERROR(-S61/S15,"")</f>
        <v>0.0214861827317202</v>
      </c>
      <c r="T62" s="53">
        <f>IFERROR(-T61/T15,"")</f>
        <v>0.0200083867489367</v>
      </c>
      <c r="U62" s="53">
        <f>IFERROR(-U61/U15,"")</f>
        <v>0.0207370541533357</v>
      </c>
      <c r="V62" s="53">
        <f>IFERROR(-V61/V15,"")</f>
        <v>0.0223058175267564</v>
      </c>
      <c r="W62" s="53" t="n"/>
      <c r="X62" s="53">
        <f>IFERROR(-X61/X15,"")</f>
        <v>0.0204129107298633</v>
      </c>
      <c r="Y62" s="53">
        <f>IFERROR(-Y61/Y15,"")</f>
        <v>0.0198101754773204</v>
      </c>
      <c r="Z62" s="53">
        <f>IFERROR(-Z61/Z15,"")</f>
        <v>0.0228016838166511</v>
      </c>
      <c r="AA62" s="53">
        <f>IFERROR(-AA61/AA15,"")</f>
        <v>0.0246482654924283</v>
      </c>
      <c r="AB62" s="53" t="n"/>
      <c r="AC62" s="53">
        <f>IFERROR(-AC61/AC15,"")</f>
        <v>0.0221009853587931</v>
      </c>
      <c r="AD62" s="53">
        <f>IFERROR(-AD61/AD15,"")</f>
        <v>0.0219774166896172</v>
      </c>
      <c r="AE62" s="53">
        <f>IFERROR(-AE61/AE15,"")</f>
        <v>0.0229996238379279</v>
      </c>
      <c r="AF62" s="55">
        <f>IFERROR(-AF61/AF15,"")</f>
        <v>0.0227843117956793</v>
      </c>
      <c r="AG62" s="53" t="n"/>
      <c r="AH62" s="55">
        <f>IFERROR(-AH61/AH15,"")</f>
        <v>0.0220853448754231</v>
      </c>
      <c r="AI62" s="55">
        <f>IFERROR(-AI61/AI15,"")</f>
        <v>0.0199371978268454</v>
      </c>
      <c r="AJ62" s="55">
        <f>Control!$B$21</f>
        <v>0.021980813397381</v>
      </c>
      <c r="AK62" s="55">
        <f>Control!$B$21</f>
        <v>0.021980813397381</v>
      </c>
      <c r="AL62" s="53" t="n"/>
      <c r="AM62" s="55">
        <f>Control!$C$21</f>
        <v>0.021980813397381</v>
      </c>
      <c r="AN62" s="55">
        <f>Control!$C$21</f>
        <v>0.021980813397381</v>
      </c>
      <c r="AO62" s="55">
        <f>Control!$C$21</f>
        <v>0.021980813397381</v>
      </c>
      <c r="AP62" s="55">
        <f>Control!$C$21</f>
        <v>0.021980813397381</v>
      </c>
      <c r="AQ62" s="53" t="n"/>
      <c r="AR62" s="55">
        <f>Control!$D$21</f>
        <v>0.021980813397381</v>
      </c>
      <c r="AS62" s="55">
        <f>Control!$D$21</f>
        <v>0.021980813397381</v>
      </c>
      <c r="AT62" s="55">
        <f>Control!$D$21</f>
        <v>0.021980813397381</v>
      </c>
      <c r="AU62" s="55">
        <f>Control!$D$21</f>
        <v>0.021980813397381</v>
      </c>
      <c r="AV62" s="53" t="n"/>
      <c r="AW62" s="55">
        <f>Control!$E$21</f>
        <v>0.021980813397381</v>
      </c>
      <c r="AX62" s="55">
        <f>Control!$E$21</f>
        <v>0.021980813397381</v>
      </c>
      <c r="AY62" s="55">
        <f>Control!$E$21</f>
        <v>0.021980813397381</v>
      </c>
      <c r="AZ62" s="55">
        <f>Control!$E$21</f>
        <v>0.021980813397381</v>
      </c>
      <c r="BA62" s="53" t="n"/>
      <c r="BB62" s="55">
        <f>Control!$F$21</f>
        <v>0.021980813397381</v>
      </c>
      <c r="BC62" s="55">
        <f>Control!$F$21</f>
        <v>0.021980813397381</v>
      </c>
      <c r="BD62" s="55">
        <f>Control!$F$21</f>
        <v>0.021980813397381</v>
      </c>
      <c r="BE62" s="55">
        <f>Control!$F$21</f>
        <v>0.021980813397381</v>
      </c>
      <c r="BF62" s="53" t="n"/>
      <c r="BG62" s="55" t="n"/>
      <c r="BH62" s="55" t="n"/>
      <c r="BI62" s="55" t="n"/>
      <c r="BJ62" s="55" t="n"/>
      <c r="BK62" s="53" t="n"/>
      <c r="BL62" s="55" t="n"/>
      <c r="BM62" s="55" t="n"/>
      <c r="BN62" s="55" t="n"/>
      <c r="BO62" s="55" t="n"/>
      <c r="BP62" s="53" t="n"/>
      <c r="BQ62" s="55" t="n"/>
      <c r="BR62" s="55" t="n"/>
      <c r="BS62" s="55" t="n"/>
      <c r="BT62" s="55" t="n"/>
      <c r="BU62" s="53" t="n"/>
      <c r="BV62" s="55" t="n"/>
      <c r="BW62" s="55" t="n"/>
      <c r="BX62" s="55" t="n"/>
      <c r="BY62" s="55" t="n"/>
      <c r="BZ62" s="53" t="n"/>
      <c r="CA62" s="55" t="n"/>
      <c r="CB62" s="55" t="n"/>
      <c r="CC62" s="55" t="n"/>
      <c r="CD62" s="55" t="n"/>
      <c r="CE62" s="53" t="n"/>
      <c r="CF62" s="55" t="n"/>
      <c r="CG62" s="55" t="n"/>
      <c r="CH62" s="55" t="n"/>
      <c r="CI62" s="55" t="n"/>
      <c r="CJ62" s="53" t="n"/>
      <c r="CK62" s="55" t="n"/>
      <c r="CL62" s="55" t="n"/>
      <c r="CM62" s="55" t="n"/>
      <c r="CN62" s="55" t="n"/>
      <c r="CO62" s="53" t="n"/>
      <c r="CP62" s="55" t="n"/>
      <c r="CQ62" s="55" t="n"/>
      <c r="CR62" s="55" t="n"/>
      <c r="CS62" s="55" t="n"/>
      <c r="CT62" s="53" t="n"/>
      <c r="CU62" s="55" t="n"/>
      <c r="CV62" s="55" t="n"/>
      <c r="CW62" s="55" t="n"/>
      <c r="CX62" s="55" t="n"/>
      <c r="CY62" s="53" t="n"/>
    </row>
    <row r="63" hidden="1" outlineLevel="1">
      <c r="C63" s="50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2" t="n"/>
      <c r="AK63" s="12" t="n"/>
      <c r="AL63" s="12" t="n"/>
      <c r="AM63" s="12" t="n"/>
      <c r="AN63" s="12" t="n"/>
      <c r="AO63" s="12" t="n"/>
      <c r="AP63" s="12" t="n"/>
      <c r="AQ63" s="12" t="n"/>
      <c r="AR63" s="12" t="n"/>
      <c r="AS63" s="12" t="n"/>
      <c r="AT63" s="12" t="n"/>
      <c r="AU63" s="12" t="n"/>
      <c r="AV63" s="12" t="n"/>
      <c r="AW63" s="12" t="n"/>
      <c r="AX63" s="12" t="n"/>
      <c r="AY63" s="12" t="n"/>
      <c r="AZ63" s="12" t="n"/>
      <c r="BA63" s="12" t="n"/>
      <c r="BB63" s="12" t="n"/>
      <c r="BC63" s="12" t="n"/>
      <c r="BD63" s="12" t="n"/>
      <c r="BE63" s="12" t="n"/>
      <c r="BF63" s="12" t="n"/>
      <c r="BG63" s="12" t="n"/>
      <c r="BH63" s="12" t="n"/>
      <c r="BI63" s="12" t="n"/>
      <c r="BJ63" s="12" t="n"/>
      <c r="BK63" s="12" t="n"/>
      <c r="BL63" s="12" t="n"/>
      <c r="BM63" s="12" t="n"/>
      <c r="BN63" s="12" t="n"/>
      <c r="BO63" s="12" t="n"/>
      <c r="BP63" s="12" t="n"/>
      <c r="BQ63" s="12" t="n"/>
      <c r="BR63" s="12" t="n"/>
      <c r="BS63" s="12" t="n"/>
      <c r="BT63" s="12" t="n"/>
      <c r="BU63" s="12" t="n"/>
      <c r="BV63" s="12" t="n"/>
      <c r="BW63" s="12" t="n"/>
      <c r="BX63" s="12" t="n"/>
      <c r="BY63" s="12" t="n"/>
      <c r="BZ63" s="12" t="n"/>
      <c r="CA63" s="12" t="n"/>
      <c r="CB63" s="12" t="n"/>
      <c r="CC63" s="12" t="n"/>
      <c r="CD63" s="12" t="n"/>
      <c r="CE63" s="12" t="n"/>
      <c r="CF63" s="12" t="n"/>
      <c r="CG63" s="12" t="n"/>
      <c r="CH63" s="12" t="n"/>
      <c r="CI63" s="12" t="n"/>
      <c r="CJ63" s="12" t="n"/>
      <c r="CK63" s="12" t="n"/>
      <c r="CL63" s="12" t="n"/>
      <c r="CM63" s="12" t="n"/>
      <c r="CN63" s="12" t="n"/>
      <c r="CO63" s="12" t="n"/>
      <c r="CP63" s="12" t="n"/>
      <c r="CQ63" s="12" t="n"/>
      <c r="CR63" s="12" t="n"/>
      <c r="CS63" s="12" t="n"/>
      <c r="CT63" s="12" t="n"/>
      <c r="CU63" s="12" t="n"/>
      <c r="CV63" s="12" t="n"/>
      <c r="CW63" s="12" t="n"/>
      <c r="CX63" s="12" t="n"/>
      <c r="CY63" s="12" t="n"/>
    </row>
    <row r="64" collapsed="1" customFormat="1" s="32">
      <c r="A64" s="30" t="n"/>
      <c r="B64" s="3" t="n"/>
      <c r="C64" s="33" t="inlineStr">
        <is>
          <t>Operating Profit - EBIT</t>
        </is>
      </c>
      <c r="D64" s="35" t="n"/>
      <c r="E64" s="35" t="n"/>
      <c r="F64" s="35" t="n"/>
      <c r="G64" s="35" t="n"/>
      <c r="H64" s="35" t="n"/>
      <c r="I64" s="35">
        <f>SUM(I60,I61)</f>
        <v>2182</v>
      </c>
      <c r="J64" s="35">
        <f>SUM(J60,J61)</f>
        <v>2192</v>
      </c>
      <c r="K64" s="35">
        <f>SUM(K60,K61)</f>
        <v>2294</v>
      </c>
      <c r="L64" s="35">
        <f>SUM(L60,L61)</f>
        <v>2455</v>
      </c>
      <c r="M64" s="35">
        <f>SUM(I64:L64)</f>
        <v>9123</v>
      </c>
      <c r="N64" s="35">
        <f>SUM(N60,N61)</f>
        <v>1933</v>
      </c>
      <c r="O64" s="35">
        <f>SUM(O60,O61)</f>
        <v>1963</v>
      </c>
      <c r="P64" s="35">
        <f>SUM(P60,P61)</f>
        <v>2159</v>
      </c>
      <c r="Q64" s="35">
        <f>SUM(Q60,Q61)</f>
        <v>2293</v>
      </c>
      <c r="R64" s="35">
        <f>SUM(N64:Q64)</f>
        <v>8348</v>
      </c>
      <c r="S64" s="35">
        <f>SUM(S60,S61)</f>
        <v>2037</v>
      </c>
      <c r="T64" s="35">
        <f>SUM(T60,T61)</f>
        <v>2135</v>
      </c>
      <c r="U64" s="35">
        <f>SUM(U60,U61)</f>
        <v>2042</v>
      </c>
      <c r="V64" s="35">
        <f>SUM(V60,V61)</f>
        <v>2293</v>
      </c>
      <c r="W64" s="35">
        <f>SUM(S64:V64)</f>
        <v>8507</v>
      </c>
      <c r="X64" s="35">
        <f>SUM(X60,X61)</f>
        <v>2029</v>
      </c>
      <c r="Y64" s="35">
        <f>SUM(Y60,Y61)</f>
        <v>2148</v>
      </c>
      <c r="Z64" s="35">
        <f>SUM(Z60,Z61)</f>
        <v>2140</v>
      </c>
      <c r="AA64" s="35">
        <f>SUM(AA60,AA61)</f>
        <v>696</v>
      </c>
      <c r="AB64" s="35">
        <f>SUM(X64:AA64)</f>
        <v>7013</v>
      </c>
      <c r="AC64" s="35">
        <f>SUM(AC60,AC61)</f>
        <v>2372</v>
      </c>
      <c r="AD64" s="35">
        <f>SUM(AD60,AD61)</f>
        <v>748</v>
      </c>
      <c r="AE64" s="35">
        <f>SUM(AE60,AE61)</f>
        <v>2280</v>
      </c>
      <c r="AF64" s="35">
        <f>SUM(AF60,AF61)</f>
        <v>2331</v>
      </c>
      <c r="AG64" s="35">
        <f>SUM(AC64:AF64)</f>
        <v>7731</v>
      </c>
      <c r="AH64" s="35">
        <f>SUM(AH60,AH61)</f>
        <v>2063</v>
      </c>
      <c r="AI64" s="35">
        <f>SUM(AI60,AI61)</f>
        <v>2479</v>
      </c>
      <c r="AJ64" s="35">
        <f>SUM(AJ60,AJ61)</f>
        <v>2123.35946124278</v>
      </c>
      <c r="AK64" s="35">
        <f>SUM(AK60,AK61)</f>
        <v>2318.70533676794</v>
      </c>
      <c r="AL64" s="35">
        <f>SUM(AL60,AL61)</f>
        <v>8984.06479801072</v>
      </c>
      <c r="AM64" s="35">
        <f>SUM(AM60,AM61)</f>
        <v>2056.26636848064</v>
      </c>
      <c r="AN64" s="35">
        <f>SUM(AN60,AN61)</f>
        <v>2289.26653076006</v>
      </c>
      <c r="AO64" s="35">
        <f>SUM(AO60,AO61)</f>
        <v>2241.57265004065</v>
      </c>
      <c r="AP64" s="35">
        <f>SUM(AP60,AP61)</f>
        <v>2447.79396106594</v>
      </c>
      <c r="AQ64" s="35">
        <f>SUM(AQ60,AQ61)</f>
        <v>9034.89951034728</v>
      </c>
      <c r="AR64" s="35">
        <f>SUM(AR60,AR61)</f>
        <v>2160.46297071994</v>
      </c>
      <c r="AS64" s="35">
        <f>SUM(AS60,AS61)</f>
        <v>2405.26988411043</v>
      </c>
      <c r="AT64" s="35">
        <f>SUM(AT60,AT61)</f>
        <v>2355.15922490612</v>
      </c>
      <c r="AU64" s="35">
        <f>SUM(AU60,AU61)</f>
        <v>2571.83032991118</v>
      </c>
      <c r="AV64" s="35">
        <f>SUM(AV60,AV61)</f>
        <v>9492.72240964767</v>
      </c>
      <c r="AW64" s="35">
        <f>SUM(AW60,AW61)</f>
        <v>2259.13718296587</v>
      </c>
      <c r="AX64" s="35">
        <f>SUM(AX60,AX61)</f>
        <v>2515.12509304946</v>
      </c>
      <c r="AY64" s="35">
        <f>SUM(AY60,AY61)</f>
        <v>2462.72574392584</v>
      </c>
      <c r="AZ64" s="35">
        <f>SUM(AZ60,AZ61)</f>
        <v>2689.29280683095</v>
      </c>
      <c r="BA64" s="35">
        <f>SUM(BA60,BA61)</f>
        <v>9926.28082677212</v>
      </c>
      <c r="BB64" s="35">
        <f>SUM(BB60,BB61)</f>
        <v>2351.02242859479</v>
      </c>
      <c r="BC64" s="35">
        <f>SUM(BC60,BC61)</f>
        <v>2617.42206231049</v>
      </c>
      <c r="BD64" s="35">
        <f>SUM(BD60,BD61)</f>
        <v>2562.89148932791</v>
      </c>
      <c r="BE64" s="35">
        <f>SUM(BE60,BE61)</f>
        <v>2798.67365009578</v>
      </c>
      <c r="BF64" s="35">
        <f>SUM(BF60,BF61)</f>
        <v>10330.009630329</v>
      </c>
      <c r="BG64" s="35" t="n"/>
      <c r="BH64" s="35" t="n"/>
      <c r="BI64" s="35" t="n"/>
      <c r="BJ64" s="35" t="n"/>
      <c r="BK64" s="35" t="n"/>
      <c r="BL64" s="35" t="n"/>
      <c r="BM64" s="35" t="n"/>
      <c r="BN64" s="35" t="n"/>
      <c r="BO64" s="35" t="n"/>
      <c r="BP64" s="35" t="n"/>
      <c r="BQ64" s="35" t="n"/>
      <c r="BR64" s="35" t="n"/>
      <c r="BS64" s="35" t="n"/>
      <c r="BT64" s="35" t="n"/>
      <c r="BU64" s="35" t="n"/>
      <c r="BV64" s="35" t="n"/>
      <c r="BW64" s="35" t="n"/>
      <c r="BX64" s="35" t="n"/>
      <c r="BY64" s="35" t="n"/>
      <c r="BZ64" s="35" t="n"/>
      <c r="CA64" s="35" t="n"/>
      <c r="CB64" s="35" t="n"/>
      <c r="CC64" s="35" t="n"/>
      <c r="CD64" s="35" t="n"/>
      <c r="CE64" s="35" t="n"/>
      <c r="CF64" s="35" t="n"/>
      <c r="CG64" s="35" t="n"/>
      <c r="CH64" s="35" t="n"/>
      <c r="CI64" s="35" t="n"/>
      <c r="CJ64" s="35" t="n"/>
      <c r="CK64" s="35" t="n"/>
      <c r="CL64" s="35" t="n"/>
      <c r="CM64" s="35" t="n"/>
      <c r="CN64" s="35" t="n"/>
      <c r="CO64" s="35" t="n"/>
      <c r="CP64" s="35" t="n"/>
      <c r="CQ64" s="35" t="n"/>
      <c r="CR64" s="35" t="n"/>
      <c r="CS64" s="35" t="n"/>
      <c r="CT64" s="35" t="n"/>
      <c r="CU64" s="35" t="n"/>
      <c r="CV64" s="35" t="n"/>
      <c r="CW64" s="35" t="n"/>
      <c r="CX64" s="35" t="n"/>
      <c r="CY64" s="35" t="n"/>
    </row>
    <row r="65">
      <c r="C65" s="14" t="inlineStr">
        <is>
          <t>Interest Expense</t>
        </is>
      </c>
      <c r="D65" s="46" t="n"/>
      <c r="E65" s="46" t="n"/>
      <c r="F65" s="46" t="n"/>
      <c r="G65" s="46" t="n"/>
      <c r="H65" s="12" t="n"/>
      <c r="I65" s="46">
        <f>'Inputs (2)'!D8</f>
        <v>-140</v>
      </c>
      <c r="J65" s="46">
        <f>'Inputs (2)'!E8</f>
        <v>-142</v>
      </c>
      <c r="K65" s="46">
        <f>'Inputs (2)'!F8</f>
        <v>-141</v>
      </c>
      <c r="L65" s="46">
        <f>'Inputs (2)'!G8</f>
        <v>-146</v>
      </c>
      <c r="M65" s="12">
        <f>'Inputs (2)'!H8</f>
        <v>-569</v>
      </c>
      <c r="N65" s="46">
        <f>'Inputs (2)'!I8</f>
        <v>-135</v>
      </c>
      <c r="O65" s="46">
        <f>'Inputs (2)'!J8</f>
        <v>-141</v>
      </c>
      <c r="P65" s="46">
        <f>'Inputs (2)'!K8</f>
        <v>-145</v>
      </c>
      <c r="Q65" s="46">
        <f>'Inputs (2)'!L8</f>
        <v>-202</v>
      </c>
      <c r="R65" s="12">
        <f>'Inputs (2)'!M8</f>
        <v>-623</v>
      </c>
      <c r="S65" s="46">
        <f>'Inputs (2)'!N8</f>
        <v>-202</v>
      </c>
      <c r="T65" s="46">
        <f>'Inputs (2)'!O8</f>
        <v>-223</v>
      </c>
      <c r="U65" s="46">
        <f>'Inputs (2)'!P8</f>
        <v>-237</v>
      </c>
      <c r="V65" s="46">
        <f>'Inputs (2)'!Q8</f>
        <v>-254</v>
      </c>
      <c r="W65" s="12">
        <f>'Inputs (2)'!R8</f>
        <v>-916</v>
      </c>
      <c r="X65" s="46">
        <f>'Inputs (2)'!S8</f>
        <v>-255</v>
      </c>
      <c r="Y65" s="46">
        <f>'Inputs (2)'!T8</f>
        <v>-261</v>
      </c>
      <c r="Z65" s="46">
        <f>'Inputs (2)'!U8</f>
        <v>-256</v>
      </c>
      <c r="AA65" s="46">
        <f>'Inputs (2)'!V8</f>
        <v>-264</v>
      </c>
      <c r="AB65" s="12">
        <f>'Inputs (2)'!W8</f>
        <v>-1036</v>
      </c>
      <c r="AC65" s="46">
        <f>'Inputs (2)'!X8</f>
        <v>-268</v>
      </c>
      <c r="AD65" s="46">
        <f>'Inputs (2)'!Y8</f>
        <v>-274</v>
      </c>
      <c r="AE65" s="46">
        <f>'Inputs (2)'!Z8</f>
        <v>-286</v>
      </c>
      <c r="AF65" s="46">
        <f>'Inputs (2)'!AA8</f>
        <v>-290</v>
      </c>
      <c r="AG65" s="12">
        <f>'Inputs (2)'!AB8</f>
        <v>-1118</v>
      </c>
      <c r="AH65" s="12">
        <f>'Inputs (2)'!AC8</f>
        <v>-269</v>
      </c>
      <c r="AI65" s="12">
        <f>'Inputs (2)'!AD8</f>
        <v>-266</v>
      </c>
      <c r="AJ65" s="12" t="str">
        <f>IF(Control!$E$9="","",-AI83*Control!$E$9/4)</f>
        <v/>
      </c>
      <c r="AK65" s="12" t="str">
        <f>IF(Control!$E$9="","",-AJ83*Control!$E$9/4)</f>
        <v/>
      </c>
      <c r="AL65" s="12">
        <f>SUM(AH65:AK65)</f>
        <v>-535</v>
      </c>
      <c r="AM65" s="12" t="str">
        <f>IF(Control!$E$9="","",-AL83*Control!$E$9/4)</f>
        <v/>
      </c>
      <c r="AN65" s="12" t="str">
        <f>IF(Control!$E$9="","",-AM83*Control!$E$9/4)</f>
        <v/>
      </c>
      <c r="AO65" s="12" t="str">
        <f>IF(Control!$E$9="","",-AN83*Control!$E$9/4)</f>
        <v/>
      </c>
      <c r="AP65" s="12" t="str">
        <f>IF(Control!$E$9="","",-AO83*Control!$E$9/4)</f>
        <v/>
      </c>
      <c r="AQ65" s="12">
        <f>SUM(AM65:AP65)</f>
        <v>0</v>
      </c>
      <c r="AR65" s="12" t="str">
        <f>IF(Control!$E$9="","",-AQ83*Control!$E$9/4)</f>
        <v/>
      </c>
      <c r="AS65" s="12" t="str">
        <f>IF(Control!$E$9="","",-AR83*Control!$E$9/4)</f>
        <v/>
      </c>
      <c r="AT65" s="12" t="str">
        <f>IF(Control!$E$9="","",-AS83*Control!$E$9/4)</f>
        <v/>
      </c>
      <c r="AU65" s="12" t="str">
        <f>IF(Control!$E$9="","",-AT83*Control!$E$9/4)</f>
        <v/>
      </c>
      <c r="AV65" s="12">
        <f>SUM(AR65:AU65)</f>
        <v>0</v>
      </c>
      <c r="AW65" s="12" t="str">
        <f>IF(Control!$E$9="","",-AV83*Control!$E$9/4)</f>
        <v/>
      </c>
      <c r="AX65" s="12" t="str">
        <f>IF(Control!$E$9="","",-AW83*Control!$E$9/4)</f>
        <v/>
      </c>
      <c r="AY65" s="12" t="str">
        <f>IF(Control!$E$9="","",-AX83*Control!$E$9/4)</f>
        <v/>
      </c>
      <c r="AZ65" s="12" t="str">
        <f>IF(Control!$E$9="","",-AY83*Control!$E$9/4)</f>
        <v/>
      </c>
      <c r="BA65" s="12">
        <f>SUM(AW65:AZ65)</f>
        <v>0</v>
      </c>
      <c r="BB65" s="12" t="str">
        <f>IF(Control!$E$9="","",-BA83*Control!$E$9/4)</f>
        <v/>
      </c>
      <c r="BC65" s="12" t="str">
        <f>IF(Control!$E$9="","",-BB83*Control!$E$9/4)</f>
        <v/>
      </c>
      <c r="BD65" s="12" t="str">
        <f>IF(Control!$E$9="","",-BC83*Control!$E$9/4)</f>
        <v/>
      </c>
      <c r="BE65" s="12" t="str">
        <f>IF(Control!$E$9="","",-BD83*Control!$E$9/4)</f>
        <v/>
      </c>
      <c r="BF65" s="12">
        <f>SUM(BB65:BE65)</f>
        <v>0</v>
      </c>
      <c r="BG65" s="12" t="n"/>
      <c r="BH65" s="12" t="n"/>
      <c r="BI65" s="12" t="n"/>
      <c r="BJ65" s="12" t="n"/>
      <c r="BK65" s="12" t="n"/>
      <c r="BL65" s="12" t="n"/>
      <c r="BM65" s="12" t="n"/>
      <c r="BN65" s="12" t="n"/>
      <c r="BO65" s="12" t="n"/>
      <c r="BP65" s="12" t="n"/>
      <c r="BQ65" s="12" t="n"/>
      <c r="BR65" s="12" t="n"/>
      <c r="BS65" s="12" t="n"/>
      <c r="BT65" s="12" t="n"/>
      <c r="BU65" s="12" t="n"/>
      <c r="BV65" s="12" t="n"/>
      <c r="BW65" s="12" t="n"/>
      <c r="BX65" s="12" t="n"/>
      <c r="BY65" s="12" t="n"/>
      <c r="BZ65" s="12" t="n"/>
      <c r="CA65" s="12" t="n"/>
      <c r="CB65" s="12" t="n"/>
      <c r="CC65" s="12" t="n"/>
      <c r="CD65" s="12" t="n"/>
      <c r="CE65" s="12" t="n"/>
      <c r="CF65" s="12" t="n"/>
      <c r="CG65" s="12" t="n"/>
      <c r="CH65" s="12" t="n"/>
      <c r="CI65" s="12" t="n"/>
      <c r="CJ65" s="12" t="n"/>
      <c r="CK65" s="12" t="n"/>
      <c r="CL65" s="12" t="n"/>
      <c r="CM65" s="12" t="n"/>
      <c r="CN65" s="12" t="n"/>
      <c r="CO65" s="12" t="n"/>
      <c r="CP65" s="12" t="n"/>
      <c r="CQ65" s="12" t="n"/>
      <c r="CR65" s="12" t="n"/>
      <c r="CS65" s="12" t="n"/>
      <c r="CT65" s="12" t="n"/>
      <c r="CU65" s="12" t="n"/>
      <c r="CV65" s="12" t="n"/>
      <c r="CW65" s="12" t="n"/>
      <c r="CX65" s="12" t="n"/>
      <c r="CY65" s="12" t="n"/>
    </row>
    <row r="66" hidden="1" outlineLevel="1">
      <c r="C66" s="50" t="inlineStr">
        <is>
          <t>% of Debt</t>
        </is>
      </c>
      <c r="D66" s="53" t="n"/>
      <c r="E66" s="53" t="n"/>
      <c r="F66" s="53" t="n"/>
      <c r="G66" s="53" t="n"/>
      <c r="H66" s="12" t="n"/>
      <c r="I66" s="53">
        <f>IFERROR(-I65/SUM(I203+I208),"")</f>
        <v>0.0115103181780811</v>
      </c>
      <c r="J66" s="53">
        <f>IFERROR(-J65/SUM(J203+J208),"")</f>
        <v>0.011667077479254</v>
      </c>
      <c r="K66" s="53">
        <f>IFERROR(-K65/SUM(K203+K208),"")</f>
        <v>0.0120781223231112</v>
      </c>
      <c r="L66" s="53">
        <f>IFERROR(-L65/SUM(L203+L208),"")</f>
        <v>0.012504282288455</v>
      </c>
      <c r="M66" s="12" t="n"/>
      <c r="N66" s="53">
        <f>IFERROR(-N65/SUM(N203+N208),"")</f>
        <v>0.0115929583512237</v>
      </c>
      <c r="O66" s="53">
        <f>IFERROR(-O65/SUM(O203+O208),"")</f>
        <v>0.012109240810718</v>
      </c>
      <c r="P66" s="53">
        <f>IFERROR(-P65/SUM(P203+P208),"")</f>
        <v>0.0126306620209059</v>
      </c>
      <c r="Q66" s="53">
        <f>IFERROR(-Q65/SUM(Q203+Q208),"")</f>
        <v>0.013092228919567</v>
      </c>
      <c r="R66" s="12" t="n"/>
      <c r="S66" s="53">
        <f>IFERROR(-S65/SUM(S203+S208),"")</f>
        <v>0.0129487179487179</v>
      </c>
      <c r="T66" s="53">
        <f>IFERROR(-T65/SUM(T203+T208),"")</f>
        <v>0.0127101738387005</v>
      </c>
      <c r="U66" s="53">
        <f>IFERROR(-U65/SUM(U203+U208),"")</f>
        <v>0.0136293058830295</v>
      </c>
      <c r="V66" s="53">
        <f>IFERROR(-V65/SUM(V203+V208),"")</f>
        <v>0.0145483704679535</v>
      </c>
      <c r="W66" s="12" t="n"/>
      <c r="X66" s="53">
        <f>IFERROR(-X65/SUM(X203+X208),"")</f>
        <v>0.0131321454320733</v>
      </c>
      <c r="Y66" s="53">
        <f>IFERROR(-Y65/SUM(Y203+Y208),"")</f>
        <v>0.0135535130082567</v>
      </c>
      <c r="Z66" s="53">
        <f>IFERROR(-Z65/SUM(Z203+Z208),"")</f>
        <v>0.0132498317892449</v>
      </c>
      <c r="AA66" s="53">
        <f>IFERROR(-AA65/SUM(AA203+AA208),"")</f>
        <v>0.0130241736556487</v>
      </c>
      <c r="AB66" s="12" t="n"/>
      <c r="AC66" s="53">
        <f>IFERROR(-AC65/SUM(AC203+AC208),"")</f>
        <v>0.0131993695823483</v>
      </c>
      <c r="AD66" s="53">
        <f>IFERROR(-AD65/SUM(AD203+AD208),"")</f>
        <v>0.0126629078473057</v>
      </c>
      <c r="AE66" s="53">
        <f>IFERROR(-AE65/SUM(AE203+AE208),"")</f>
        <v>0.0128892694578395</v>
      </c>
      <c r="AF66" s="55">
        <f>IFERROR(-AF65/SUM(AF203+AF208),"")</f>
        <v>0.0133640552995392</v>
      </c>
      <c r="AG66" s="12" t="n"/>
      <c r="AH66" s="11">
        <f>IFERROR(-AH65/SUM(AH203+AH208),"")</f>
        <v>0.0129970527129536</v>
      </c>
      <c r="AI66" s="11">
        <f>IFERROR(-AI65/SUM(AI203+AI208),"")</f>
        <v>0.0129516019086571</v>
      </c>
      <c r="AJ66" s="11" t="str">
        <f>IFERROR(Control!$E$9,0)</f>
        <v/>
      </c>
      <c r="AK66" s="11" t="str">
        <f>IFERROR(Control!$E$9,0)</f>
        <v/>
      </c>
      <c r="AL66" s="12" t="n"/>
      <c r="AM66" s="11" t="str">
        <f>IFERROR(Control!$E$9,0)</f>
        <v/>
      </c>
      <c r="AN66" s="11" t="str">
        <f>IFERROR(Control!$E$9,0)</f>
        <v/>
      </c>
      <c r="AO66" s="11" t="str">
        <f>IFERROR(Control!$E$9,0)</f>
        <v/>
      </c>
      <c r="AP66" s="11" t="str">
        <f>IFERROR(Control!$E$9,0)</f>
        <v/>
      </c>
      <c r="AQ66" s="12" t="n"/>
      <c r="AR66" s="11" t="str">
        <f>IFERROR(Control!$E$9,0)</f>
        <v/>
      </c>
      <c r="AS66" s="11" t="str">
        <f>IFERROR(Control!$E$9,0)</f>
        <v/>
      </c>
      <c r="AT66" s="11" t="str">
        <f>IFERROR(Control!$E$9,0)</f>
        <v/>
      </c>
      <c r="AU66" s="11" t="str">
        <f>IFERROR(Control!$E$9,0)</f>
        <v/>
      </c>
      <c r="AV66" s="12" t="n"/>
      <c r="AW66" s="11" t="str">
        <f>IFERROR(Control!$E$9,0)</f>
        <v/>
      </c>
      <c r="AX66" s="11" t="str">
        <f>IFERROR(Control!$E$9,0)</f>
        <v/>
      </c>
      <c r="AY66" s="11" t="str">
        <f>IFERROR(Control!$E$9,0)</f>
        <v/>
      </c>
      <c r="AZ66" s="11" t="str">
        <f>IFERROR(Control!$E$9,0)</f>
        <v/>
      </c>
      <c r="BA66" s="12" t="n"/>
      <c r="BB66" s="11" t="str">
        <f>IFERROR(Control!$E$9,0)</f>
        <v/>
      </c>
      <c r="BC66" s="11" t="str">
        <f>IFERROR(Control!$E$9,0)</f>
        <v/>
      </c>
      <c r="BD66" s="11" t="str">
        <f>IFERROR(Control!$E$9,0)</f>
        <v/>
      </c>
      <c r="BE66" s="11" t="str">
        <f>IFERROR(Control!$E$9,0)</f>
        <v/>
      </c>
      <c r="BF66" s="12" t="n"/>
      <c r="BG66" s="11" t="n"/>
      <c r="BH66" s="11" t="n"/>
      <c r="BI66" s="11" t="n"/>
      <c r="BJ66" s="11" t="n"/>
      <c r="BK66" s="12" t="n"/>
      <c r="BL66" s="11" t="n"/>
      <c r="BM66" s="11" t="n"/>
      <c r="BN66" s="11" t="n"/>
      <c r="BO66" s="11" t="n"/>
      <c r="BP66" s="12" t="n"/>
      <c r="BQ66" s="11" t="n"/>
      <c r="BR66" s="11" t="n"/>
      <c r="BS66" s="11" t="n"/>
      <c r="BT66" s="11" t="n"/>
      <c r="BU66" s="12" t="n"/>
      <c r="BV66" s="11" t="n"/>
      <c r="BW66" s="11" t="n"/>
      <c r="BX66" s="11" t="n"/>
      <c r="BY66" s="11" t="n"/>
      <c r="BZ66" s="12" t="n"/>
      <c r="CA66" s="11" t="n"/>
      <c r="CB66" s="11" t="n"/>
      <c r="CC66" s="11" t="n"/>
      <c r="CD66" s="11" t="n"/>
      <c r="CE66" s="12" t="n"/>
      <c r="CF66" s="11" t="n"/>
      <c r="CG66" s="11" t="n"/>
      <c r="CH66" s="11" t="n"/>
      <c r="CI66" s="11" t="n"/>
      <c r="CJ66" s="12" t="n"/>
      <c r="CK66" s="11" t="n"/>
      <c r="CL66" s="11" t="n"/>
      <c r="CM66" s="11" t="n"/>
      <c r="CN66" s="11" t="n"/>
      <c r="CO66" s="12" t="n"/>
      <c r="CP66" s="11" t="n"/>
      <c r="CQ66" s="11" t="n"/>
      <c r="CR66" s="11" t="n"/>
      <c r="CS66" s="11" t="n"/>
      <c r="CT66" s="12" t="n"/>
      <c r="CU66" s="11" t="n"/>
      <c r="CV66" s="11" t="n"/>
      <c r="CW66" s="11" t="n"/>
      <c r="CX66" s="11" t="n"/>
      <c r="CY66" s="12" t="n"/>
    </row>
    <row r="67" hidden="1" outlineLevel="1">
      <c r="C67" s="50" t="inlineStr">
        <is>
          <t>%CDI</t>
        </is>
      </c>
      <c r="D67" s="11" t="n"/>
      <c r="E67" s="11" t="n"/>
      <c r="F67" s="11" t="n"/>
      <c r="G67" s="11" t="n"/>
      <c r="H67" s="12" t="n"/>
      <c r="I67" s="11" t="n"/>
      <c r="J67" s="11" t="n"/>
      <c r="K67" s="11" t="n"/>
      <c r="L67" s="11" t="n"/>
      <c r="M67" s="12" t="n"/>
      <c r="N67" s="11" t="n"/>
      <c r="O67" s="11" t="n"/>
      <c r="P67" s="11" t="n"/>
      <c r="Q67" s="11" t="n"/>
      <c r="R67" s="12" t="n"/>
      <c r="S67" s="11" t="n"/>
      <c r="T67" s="11" t="n"/>
      <c r="U67" s="11" t="n"/>
      <c r="V67" s="11" t="n"/>
      <c r="W67" s="12" t="n"/>
      <c r="X67" s="11" t="n"/>
      <c r="Y67" s="11" t="n"/>
      <c r="Z67" s="11" t="n"/>
      <c r="AA67" s="11" t="n"/>
      <c r="AB67" s="12" t="n"/>
      <c r="AC67" s="11" t="n"/>
      <c r="AD67" s="11" t="n"/>
      <c r="AE67" s="11" t="n"/>
      <c r="AF67" s="11" t="n"/>
      <c r="AG67" s="12" t="n"/>
      <c r="AH67" s="11" t="n"/>
      <c r="AI67" s="11" t="n"/>
      <c r="AJ67" s="11" t="n"/>
      <c r="AK67" s="11" t="n"/>
      <c r="AL67" s="12" t="n"/>
      <c r="AM67" s="11" t="n"/>
      <c r="AN67" s="11" t="n"/>
      <c r="AO67" s="11" t="n"/>
      <c r="AP67" s="11" t="n"/>
      <c r="AQ67" s="12" t="n"/>
      <c r="AR67" s="11" t="n"/>
      <c r="AS67" s="11" t="n"/>
      <c r="AT67" s="11" t="n"/>
      <c r="AU67" s="11" t="n"/>
      <c r="AV67" s="12" t="n"/>
      <c r="AW67" s="11" t="n"/>
      <c r="AX67" s="11" t="n"/>
      <c r="AY67" s="11" t="n"/>
      <c r="AZ67" s="11" t="n"/>
      <c r="BA67" s="12" t="n"/>
      <c r="BB67" s="11" t="n"/>
      <c r="BC67" s="11" t="n"/>
      <c r="BD67" s="11" t="n"/>
      <c r="BE67" s="11" t="n"/>
      <c r="BF67" s="12" t="n"/>
      <c r="BG67" s="11" t="n"/>
      <c r="BH67" s="11" t="n"/>
      <c r="BI67" s="11" t="n"/>
      <c r="BJ67" s="11" t="n"/>
      <c r="BK67" s="12" t="n"/>
      <c r="BL67" s="11" t="n"/>
      <c r="BM67" s="11" t="n"/>
      <c r="BN67" s="11" t="n"/>
      <c r="BO67" s="11" t="n"/>
      <c r="BP67" s="12" t="n"/>
      <c r="BQ67" s="11" t="n"/>
      <c r="BR67" s="11" t="n"/>
      <c r="BS67" s="11" t="n"/>
      <c r="BT67" s="11" t="n"/>
      <c r="BU67" s="12" t="n"/>
      <c r="BV67" s="11" t="n"/>
      <c r="BW67" s="11" t="n"/>
      <c r="BX67" s="11" t="n"/>
      <c r="BY67" s="11" t="n"/>
      <c r="BZ67" s="12" t="n"/>
      <c r="CA67" s="11" t="n"/>
      <c r="CB67" s="11" t="n"/>
      <c r="CC67" s="11" t="n"/>
      <c r="CD67" s="11" t="n"/>
      <c r="CE67" s="12" t="n"/>
      <c r="CF67" s="11" t="n"/>
      <c r="CG67" s="11" t="n"/>
      <c r="CH67" s="11" t="n"/>
      <c r="CI67" s="11" t="n"/>
      <c r="CJ67" s="12" t="n"/>
      <c r="CK67" s="11" t="n"/>
      <c r="CL67" s="11" t="n"/>
      <c r="CM67" s="11" t="n"/>
      <c r="CN67" s="11" t="n"/>
      <c r="CO67" s="12" t="n"/>
      <c r="CP67" s="11" t="n"/>
      <c r="CQ67" s="11" t="n"/>
      <c r="CR67" s="11" t="n"/>
      <c r="CS67" s="11" t="n"/>
      <c r="CT67" s="12" t="n"/>
      <c r="CU67" s="11" t="n"/>
      <c r="CV67" s="11" t="n"/>
      <c r="CW67" s="11" t="n"/>
      <c r="CX67" s="11" t="n"/>
      <c r="CY67" s="12" t="n"/>
    </row>
    <row r="68" hidden="1" outlineLevel="1">
      <c r="C68" s="57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  <c r="AL68" s="12" t="n"/>
      <c r="AM68" s="12" t="n"/>
      <c r="AN68" s="12" t="n"/>
      <c r="AO68" s="12" t="n"/>
      <c r="AP68" s="12" t="n"/>
      <c r="AQ68" s="12" t="n"/>
      <c r="AR68" s="12" t="n"/>
      <c r="AS68" s="12" t="n"/>
      <c r="AT68" s="12" t="n"/>
      <c r="AU68" s="12" t="n"/>
      <c r="AV68" s="12" t="n"/>
      <c r="AW68" s="12" t="n"/>
      <c r="AX68" s="12" t="n"/>
      <c r="AY68" s="12" t="n"/>
      <c r="AZ68" s="12" t="n"/>
      <c r="BA68" s="12" t="n"/>
      <c r="BB68" s="12" t="n"/>
      <c r="BC68" s="12" t="n"/>
      <c r="BD68" s="12" t="n"/>
      <c r="BE68" s="12" t="n"/>
      <c r="BF68" s="12" t="n"/>
      <c r="BG68" s="12" t="n"/>
      <c r="BH68" s="12" t="n"/>
      <c r="BI68" s="12" t="n"/>
      <c r="BJ68" s="12" t="n"/>
      <c r="BK68" s="12" t="n"/>
      <c r="BL68" s="12" t="n"/>
      <c r="BM68" s="12" t="n"/>
      <c r="BN68" s="12" t="n"/>
      <c r="BO68" s="12" t="n"/>
      <c r="BP68" s="12" t="n"/>
      <c r="BQ68" s="12" t="n"/>
      <c r="BR68" s="12" t="n"/>
      <c r="BS68" s="12" t="n"/>
      <c r="BT68" s="12" t="n"/>
      <c r="BU68" s="12" t="n"/>
      <c r="BV68" s="12" t="n"/>
      <c r="BW68" s="12" t="n"/>
      <c r="BX68" s="12" t="n"/>
      <c r="BY68" s="12" t="n"/>
      <c r="BZ68" s="12" t="n"/>
      <c r="CA68" s="12" t="n"/>
      <c r="CB68" s="12" t="n"/>
      <c r="CC68" s="12" t="n"/>
      <c r="CD68" s="12" t="n"/>
      <c r="CE68" s="12" t="n"/>
      <c r="CF68" s="12" t="n"/>
      <c r="CG68" s="12" t="n"/>
      <c r="CH68" s="12" t="n"/>
      <c r="CI68" s="12" t="n"/>
      <c r="CJ68" s="12" t="n"/>
      <c r="CK68" s="12" t="n"/>
      <c r="CL68" s="12" t="n"/>
      <c r="CM68" s="12" t="n"/>
      <c r="CN68" s="12" t="n"/>
      <c r="CO68" s="12" t="n"/>
      <c r="CP68" s="12" t="n"/>
      <c r="CQ68" s="12" t="n"/>
      <c r="CR68" s="12" t="n"/>
      <c r="CS68" s="12" t="n"/>
      <c r="CT68" s="12" t="n"/>
      <c r="CU68" s="12" t="n"/>
      <c r="CV68" s="12" t="n"/>
      <c r="CW68" s="12" t="n"/>
      <c r="CX68" s="12" t="n"/>
      <c r="CY68" s="12" t="n"/>
    </row>
    <row r="69" hidden="1" outlineLevel="1">
      <c r="C69" s="57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  <c r="AL69" s="12" t="n"/>
      <c r="AM69" s="12" t="n"/>
      <c r="AN69" s="12" t="n"/>
      <c r="AO69" s="12" t="n"/>
      <c r="AP69" s="12" t="n"/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  <c r="BE69" s="12" t="n"/>
      <c r="BF69" s="12" t="n"/>
      <c r="BG69" s="12" t="n"/>
      <c r="BH69" s="12" t="n"/>
      <c r="BI69" s="12" t="n"/>
      <c r="BJ69" s="12" t="n"/>
      <c r="BK69" s="12" t="n"/>
      <c r="BL69" s="12" t="n"/>
      <c r="BM69" s="12" t="n"/>
      <c r="BN69" s="12" t="n"/>
      <c r="BO69" s="12" t="n"/>
      <c r="BP69" s="12" t="n"/>
      <c r="BQ69" s="12" t="n"/>
      <c r="BR69" s="12" t="n"/>
      <c r="BS69" s="12" t="n"/>
      <c r="BT69" s="12" t="n"/>
      <c r="BU69" s="12" t="n"/>
      <c r="BV69" s="12" t="n"/>
      <c r="BW69" s="12" t="n"/>
      <c r="BX69" s="12" t="n"/>
      <c r="BY69" s="12" t="n"/>
      <c r="BZ69" s="12" t="n"/>
      <c r="CA69" s="12" t="n"/>
      <c r="CB69" s="12" t="n"/>
      <c r="CC69" s="12" t="n"/>
      <c r="CD69" s="12" t="n"/>
      <c r="CE69" s="12" t="n"/>
      <c r="CF69" s="12" t="n"/>
      <c r="CG69" s="12" t="n"/>
      <c r="CH69" s="12" t="n"/>
      <c r="CI69" s="12" t="n"/>
      <c r="CJ69" s="12" t="n"/>
      <c r="CK69" s="12" t="n"/>
      <c r="CL69" s="12" t="n"/>
      <c r="CM69" s="12" t="n"/>
      <c r="CN69" s="12" t="n"/>
      <c r="CO69" s="12" t="n"/>
      <c r="CP69" s="12" t="n"/>
      <c r="CQ69" s="12" t="n"/>
      <c r="CR69" s="12" t="n"/>
      <c r="CS69" s="12" t="n"/>
      <c r="CT69" s="12" t="n"/>
      <c r="CU69" s="12" t="n"/>
      <c r="CV69" s="12" t="n"/>
      <c r="CW69" s="12" t="n"/>
      <c r="CX69" s="12" t="n"/>
      <c r="CY69" s="12" t="n"/>
    </row>
    <row r="70" hidden="1" outlineLevel="1">
      <c r="C70" s="57" t="inlineStr">
        <is>
          <t>RECEITA FINANCEIRA</t>
        </is>
      </c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  <c r="AL70" s="12" t="n"/>
      <c r="AM70" s="12" t="n"/>
      <c r="AN70" s="12" t="n"/>
      <c r="AO70" s="12" t="n"/>
      <c r="AP70" s="12" t="n"/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  <c r="BE70" s="12" t="n"/>
      <c r="BF70" s="12" t="n"/>
      <c r="BG70" s="12" t="n"/>
      <c r="BH70" s="12" t="n"/>
      <c r="BI70" s="12" t="n"/>
      <c r="BJ70" s="12" t="n"/>
      <c r="BK70" s="12" t="n"/>
      <c r="BL70" s="12" t="n"/>
      <c r="BM70" s="12" t="n"/>
      <c r="BN70" s="12" t="n"/>
      <c r="BO70" s="12" t="n"/>
      <c r="BP70" s="12" t="n"/>
      <c r="BQ70" s="12" t="n"/>
      <c r="BR70" s="12" t="n"/>
      <c r="BS70" s="12" t="n"/>
      <c r="BT70" s="12" t="n"/>
      <c r="BU70" s="12" t="n"/>
      <c r="BV70" s="12" t="n"/>
      <c r="BW70" s="12" t="n"/>
      <c r="BX70" s="12" t="n"/>
      <c r="BY70" s="12" t="n"/>
      <c r="BZ70" s="12" t="n"/>
      <c r="CA70" s="12" t="n"/>
      <c r="CB70" s="12" t="n"/>
      <c r="CC70" s="12" t="n"/>
      <c r="CD70" s="12" t="n"/>
      <c r="CE70" s="12" t="n"/>
      <c r="CF70" s="12" t="n"/>
      <c r="CG70" s="12" t="n"/>
      <c r="CH70" s="12" t="n"/>
      <c r="CI70" s="12" t="n"/>
      <c r="CJ70" s="12" t="n"/>
      <c r="CK70" s="12" t="n"/>
      <c r="CL70" s="12" t="n"/>
      <c r="CM70" s="12" t="n"/>
      <c r="CN70" s="12" t="n"/>
      <c r="CO70" s="12" t="n"/>
      <c r="CP70" s="12" t="n"/>
      <c r="CQ70" s="12" t="n"/>
      <c r="CR70" s="12" t="n"/>
      <c r="CS70" s="12" t="n"/>
      <c r="CT70" s="12" t="n"/>
      <c r="CU70" s="12" t="n"/>
      <c r="CV70" s="12" t="n"/>
      <c r="CW70" s="12" t="n"/>
      <c r="CX70" s="12" t="n"/>
      <c r="CY70" s="12" t="n"/>
    </row>
    <row r="71" hidden="1" outlineLevel="1">
      <c r="C71" s="57" t="inlineStr">
        <is>
          <t>DESPESA FINANCEIRA</t>
        </is>
      </c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  <c r="BE71" s="12" t="n"/>
      <c r="BF71" s="12" t="n"/>
      <c r="BG71" s="12" t="n"/>
      <c r="BH71" s="12" t="n"/>
      <c r="BI71" s="12" t="n"/>
      <c r="BJ71" s="12" t="n"/>
      <c r="BK71" s="12" t="n"/>
      <c r="BL71" s="12" t="n"/>
      <c r="BM71" s="12" t="n"/>
      <c r="BN71" s="12" t="n"/>
      <c r="BO71" s="12" t="n"/>
      <c r="BP71" s="12" t="n"/>
      <c r="BQ71" s="12" t="n"/>
      <c r="BR71" s="12" t="n"/>
      <c r="BS71" s="12" t="n"/>
      <c r="BT71" s="12" t="n"/>
      <c r="BU71" s="12" t="n"/>
      <c r="BV71" s="12" t="n"/>
      <c r="BW71" s="12" t="n"/>
      <c r="BX71" s="12" t="n"/>
      <c r="BY71" s="12" t="n"/>
      <c r="BZ71" s="12" t="n"/>
      <c r="CA71" s="12" t="n"/>
      <c r="CB71" s="12" t="n"/>
      <c r="CC71" s="12" t="n"/>
      <c r="CD71" s="12" t="n"/>
      <c r="CE71" s="12" t="n"/>
      <c r="CF71" s="12" t="n"/>
      <c r="CG71" s="12" t="n"/>
      <c r="CH71" s="12" t="n"/>
      <c r="CI71" s="12" t="n"/>
      <c r="CJ71" s="12" t="n"/>
      <c r="CK71" s="12" t="n"/>
      <c r="CL71" s="12" t="n"/>
      <c r="CM71" s="12" t="n"/>
      <c r="CN71" s="12" t="n"/>
      <c r="CO71" s="12" t="n"/>
      <c r="CP71" s="12" t="n"/>
      <c r="CQ71" s="12" t="n"/>
      <c r="CR71" s="12" t="n"/>
      <c r="CS71" s="12" t="n"/>
      <c r="CT71" s="12" t="n"/>
      <c r="CU71" s="12" t="n"/>
      <c r="CV71" s="12" t="n"/>
      <c r="CW71" s="12" t="n"/>
      <c r="CX71" s="12" t="n"/>
      <c r="CY71" s="12" t="n"/>
    </row>
    <row r="72" hidden="1" outlineLevel="1">
      <c r="C72" s="57" t="inlineStr">
        <is>
          <t>OUTROS</t>
        </is>
      </c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  <c r="BE72" s="12" t="n"/>
      <c r="BF72" s="12" t="n"/>
      <c r="BG72" s="12" t="n"/>
      <c r="BH72" s="12" t="n"/>
      <c r="BI72" s="12" t="n"/>
      <c r="BJ72" s="12" t="n"/>
      <c r="BK72" s="12" t="n"/>
      <c r="BL72" s="12" t="n"/>
      <c r="BM72" s="12" t="n"/>
      <c r="BN72" s="12" t="n"/>
      <c r="BO72" s="12" t="n"/>
      <c r="BP72" s="12" t="n"/>
      <c r="BQ72" s="12" t="n"/>
      <c r="BR72" s="12" t="n"/>
      <c r="BS72" s="12" t="n"/>
      <c r="BT72" s="12" t="n"/>
      <c r="BU72" s="12" t="n"/>
      <c r="BV72" s="12" t="n"/>
      <c r="BW72" s="12" t="n"/>
      <c r="BX72" s="12" t="n"/>
      <c r="BY72" s="12" t="n"/>
      <c r="BZ72" s="12" t="n"/>
      <c r="CA72" s="12" t="n"/>
      <c r="CB72" s="12" t="n"/>
      <c r="CC72" s="12" t="n"/>
      <c r="CD72" s="12" t="n"/>
      <c r="CE72" s="12" t="n"/>
      <c r="CF72" s="12" t="n"/>
      <c r="CG72" s="12" t="n"/>
      <c r="CH72" s="12" t="n"/>
      <c r="CI72" s="12" t="n"/>
      <c r="CJ72" s="12" t="n"/>
      <c r="CK72" s="12" t="n"/>
      <c r="CL72" s="12" t="n"/>
      <c r="CM72" s="12" t="n"/>
      <c r="CN72" s="12" t="n"/>
      <c r="CO72" s="12" t="n"/>
      <c r="CP72" s="12" t="n"/>
      <c r="CQ72" s="12" t="n"/>
      <c r="CR72" s="12" t="n"/>
      <c r="CS72" s="12" t="n"/>
      <c r="CT72" s="12" t="n"/>
      <c r="CU72" s="12" t="n"/>
      <c r="CV72" s="12" t="n"/>
      <c r="CW72" s="12" t="n"/>
      <c r="CX72" s="12" t="n"/>
      <c r="CY72" s="12" t="n"/>
    </row>
    <row r="73" hidden="1" outlineLevel="1">
      <c r="C73" s="57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  <c r="BJ73" s="12" t="n"/>
      <c r="BK73" s="12" t="n"/>
      <c r="BL73" s="12" t="n"/>
      <c r="BM73" s="12" t="n"/>
      <c r="BN73" s="12" t="n"/>
      <c r="BO73" s="12" t="n"/>
      <c r="BP73" s="12" t="n"/>
      <c r="BQ73" s="12" t="n"/>
      <c r="BR73" s="12" t="n"/>
      <c r="BS73" s="12" t="n"/>
      <c r="BT73" s="12" t="n"/>
      <c r="BU73" s="12" t="n"/>
      <c r="BV73" s="12" t="n"/>
      <c r="BW73" s="12" t="n"/>
      <c r="BX73" s="12" t="n"/>
      <c r="BY73" s="12" t="n"/>
      <c r="BZ73" s="12" t="n"/>
      <c r="CA73" s="12" t="n"/>
      <c r="CB73" s="12" t="n"/>
      <c r="CC73" s="12" t="n"/>
      <c r="CD73" s="12" t="n"/>
      <c r="CE73" s="12" t="n"/>
      <c r="CF73" s="12" t="n"/>
      <c r="CG73" s="12" t="n"/>
      <c r="CH73" s="12" t="n"/>
      <c r="CI73" s="12" t="n"/>
      <c r="CJ73" s="12" t="n"/>
      <c r="CK73" s="12" t="n"/>
      <c r="CL73" s="12" t="n"/>
      <c r="CM73" s="12" t="n"/>
      <c r="CN73" s="12" t="n"/>
      <c r="CO73" s="12" t="n"/>
      <c r="CP73" s="12" t="n"/>
      <c r="CQ73" s="12" t="n"/>
      <c r="CR73" s="12" t="n"/>
      <c r="CS73" s="12" t="n"/>
      <c r="CT73" s="12" t="n"/>
      <c r="CU73" s="12" t="n"/>
      <c r="CV73" s="12" t="n"/>
      <c r="CW73" s="12" t="n"/>
      <c r="CX73" s="12" t="n"/>
      <c r="CY73" s="12" t="n"/>
    </row>
    <row r="74" hidden="1" outlineLevel="1">
      <c r="C74" s="57" t="inlineStr">
        <is>
          <t>Cash and equivalents (inc. investment securities)</t>
        </is>
      </c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  <c r="BJ74" s="12" t="n"/>
      <c r="BK74" s="12" t="n"/>
      <c r="BL74" s="12" t="n"/>
      <c r="BM74" s="12" t="n"/>
      <c r="BN74" s="12" t="n"/>
      <c r="BO74" s="12" t="n"/>
      <c r="BP74" s="12" t="n"/>
      <c r="BQ74" s="12" t="n"/>
      <c r="BR74" s="12" t="n"/>
      <c r="BS74" s="12" t="n"/>
      <c r="BT74" s="12" t="n"/>
      <c r="BU74" s="12" t="n"/>
      <c r="BV74" s="12" t="n"/>
      <c r="BW74" s="12" t="n"/>
      <c r="BX74" s="12" t="n"/>
      <c r="BY74" s="12" t="n"/>
      <c r="BZ74" s="12" t="n"/>
      <c r="CA74" s="12" t="n"/>
      <c r="CB74" s="12" t="n"/>
      <c r="CC74" s="12" t="n"/>
      <c r="CD74" s="12" t="n"/>
      <c r="CE74" s="12" t="n"/>
      <c r="CF74" s="12" t="n"/>
      <c r="CG74" s="12" t="n"/>
      <c r="CH74" s="12" t="n"/>
      <c r="CI74" s="12" t="n"/>
      <c r="CJ74" s="12" t="n"/>
      <c r="CK74" s="12" t="n"/>
      <c r="CL74" s="12" t="n"/>
      <c r="CM74" s="12" t="n"/>
      <c r="CN74" s="12" t="n"/>
      <c r="CO74" s="12" t="n"/>
      <c r="CP74" s="12" t="n"/>
      <c r="CQ74" s="12" t="n"/>
      <c r="CR74" s="12" t="n"/>
      <c r="CS74" s="12" t="n"/>
      <c r="CT74" s="12" t="n"/>
      <c r="CU74" s="12" t="n"/>
      <c r="CV74" s="12" t="n"/>
      <c r="CW74" s="12" t="n"/>
      <c r="CX74" s="12" t="n"/>
      <c r="CY74" s="12" t="n"/>
    </row>
    <row r="75" hidden="1" outlineLevel="1">
      <c r="C75" s="57" t="inlineStr">
        <is>
          <t>Interest on cash</t>
        </is>
      </c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  <c r="BJ75" s="12" t="n"/>
      <c r="BK75" s="12" t="n"/>
      <c r="BL75" s="12" t="n"/>
      <c r="BM75" s="12" t="n"/>
      <c r="BN75" s="12" t="n"/>
      <c r="BO75" s="12" t="n"/>
      <c r="BP75" s="12" t="n"/>
      <c r="BQ75" s="12" t="n"/>
      <c r="BR75" s="12" t="n"/>
      <c r="BS75" s="12" t="n"/>
      <c r="BT75" s="12" t="n"/>
      <c r="BU75" s="12" t="n"/>
      <c r="BV75" s="12" t="n"/>
      <c r="BW75" s="12" t="n"/>
      <c r="BX75" s="12" t="n"/>
      <c r="BY75" s="12" t="n"/>
      <c r="BZ75" s="12" t="n"/>
      <c r="CA75" s="12" t="n"/>
      <c r="CB75" s="12" t="n"/>
      <c r="CC75" s="12" t="n"/>
      <c r="CD75" s="12" t="n"/>
      <c r="CE75" s="12" t="n"/>
      <c r="CF75" s="12" t="n"/>
      <c r="CG75" s="12" t="n"/>
      <c r="CH75" s="12" t="n"/>
      <c r="CI75" s="12" t="n"/>
      <c r="CJ75" s="12" t="n"/>
      <c r="CK75" s="12" t="n"/>
      <c r="CL75" s="12" t="n"/>
      <c r="CM75" s="12" t="n"/>
      <c r="CN75" s="12" t="n"/>
      <c r="CO75" s="12" t="n"/>
      <c r="CP75" s="12" t="n"/>
      <c r="CQ75" s="12" t="n"/>
      <c r="CR75" s="12" t="n"/>
      <c r="CS75" s="12" t="n"/>
      <c r="CT75" s="12" t="n"/>
      <c r="CU75" s="12" t="n"/>
      <c r="CV75" s="12" t="n"/>
      <c r="CW75" s="12" t="n"/>
      <c r="CX75" s="12" t="n"/>
      <c r="CY75" s="12" t="n"/>
    </row>
    <row r="76" hidden="1" outlineLevel="1">
      <c r="C76" s="57" t="inlineStr">
        <is>
          <t>Average interest rate</t>
        </is>
      </c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>
      <c r="C77" s="57" t="inlineStr">
        <is>
          <t>% CDI</t>
        </is>
      </c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  <c r="BJ77" s="12" t="n"/>
      <c r="BK77" s="12" t="n"/>
      <c r="BL77" s="12" t="n"/>
      <c r="BM77" s="12" t="n"/>
      <c r="BN77" s="12" t="n"/>
      <c r="BO77" s="12" t="n"/>
      <c r="BP77" s="12" t="n"/>
      <c r="BQ77" s="12" t="n"/>
      <c r="BR77" s="12" t="n"/>
      <c r="BS77" s="12" t="n"/>
      <c r="BT77" s="12" t="n"/>
      <c r="BU77" s="12" t="n"/>
      <c r="BV77" s="12" t="n"/>
      <c r="BW77" s="12" t="n"/>
      <c r="BX77" s="12" t="n"/>
      <c r="BY77" s="12" t="n"/>
      <c r="BZ77" s="12" t="n"/>
      <c r="CA77" s="12" t="n"/>
      <c r="CB77" s="12" t="n"/>
      <c r="CC77" s="12" t="n"/>
      <c r="CD77" s="12" t="n"/>
      <c r="CE77" s="12" t="n"/>
      <c r="CF77" s="12" t="n"/>
      <c r="CG77" s="12" t="n"/>
      <c r="CH77" s="12" t="n"/>
      <c r="CI77" s="12" t="n"/>
      <c r="CJ77" s="12" t="n"/>
      <c r="CK77" s="12" t="n"/>
      <c r="CL77" s="12" t="n"/>
      <c r="CM77" s="12" t="n"/>
      <c r="CN77" s="12" t="n"/>
      <c r="CO77" s="12" t="n"/>
      <c r="CP77" s="12" t="n"/>
      <c r="CQ77" s="12" t="n"/>
      <c r="CR77" s="12" t="n"/>
      <c r="CS77" s="12" t="n"/>
      <c r="CT77" s="12" t="n"/>
      <c r="CU77" s="12" t="n"/>
      <c r="CV77" s="12" t="n"/>
      <c r="CW77" s="12" t="n"/>
      <c r="CX77" s="12" t="n"/>
      <c r="CY77" s="12" t="n"/>
    </row>
    <row r="78" hidden="1" outlineLevel="1">
      <c r="C78" s="57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  <c r="BJ78" s="12" t="n"/>
      <c r="BK78" s="12" t="n"/>
      <c r="BL78" s="12" t="n"/>
      <c r="BM78" s="12" t="n"/>
      <c r="BN78" s="12" t="n"/>
      <c r="BO78" s="12" t="n"/>
      <c r="BP78" s="12" t="n"/>
      <c r="BQ78" s="12" t="n"/>
      <c r="BR78" s="12" t="n"/>
      <c r="BS78" s="12" t="n"/>
      <c r="BT78" s="12" t="n"/>
      <c r="BU78" s="12" t="n"/>
      <c r="BV78" s="12" t="n"/>
      <c r="BW78" s="12" t="n"/>
      <c r="BX78" s="12" t="n"/>
      <c r="BY78" s="12" t="n"/>
      <c r="BZ78" s="12" t="n"/>
      <c r="CA78" s="12" t="n"/>
      <c r="CB78" s="12" t="n"/>
      <c r="CC78" s="12" t="n"/>
      <c r="CD78" s="12" t="n"/>
      <c r="CE78" s="12" t="n"/>
      <c r="CF78" s="12" t="n"/>
      <c r="CG78" s="12" t="n"/>
      <c r="CH78" s="12" t="n"/>
      <c r="CI78" s="12" t="n"/>
      <c r="CJ78" s="12" t="n"/>
      <c r="CK78" s="12" t="n"/>
      <c r="CL78" s="12" t="n"/>
      <c r="CM78" s="12" t="n"/>
      <c r="CN78" s="12" t="n"/>
      <c r="CO78" s="12" t="n"/>
      <c r="CP78" s="12" t="n"/>
      <c r="CQ78" s="12" t="n"/>
      <c r="CR78" s="12" t="n"/>
      <c r="CS78" s="12" t="n"/>
      <c r="CT78" s="12" t="n"/>
      <c r="CU78" s="12" t="n"/>
      <c r="CV78" s="12" t="n"/>
      <c r="CW78" s="12" t="n"/>
      <c r="CX78" s="12" t="n"/>
      <c r="CY78" s="12" t="n"/>
    </row>
    <row r="79" hidden="1" outlineLevel="1">
      <c r="C79" s="57" t="inlineStr">
        <is>
          <t>Current portion of long-term debt</t>
        </is>
      </c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inlineStr">
        <is>
          <t>Short term debt (Revolving credit facility)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inlineStr">
        <is>
          <t>Long term debt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inlineStr">
        <is>
          <t>Convertible debt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inlineStr">
        <is>
          <t>Total debt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inlineStr">
        <is>
          <t>Interest expense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Average interest rate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inlineStr">
        <is>
          <t>Stake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inlineStr">
        <is>
          <t>PRE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inlineStr">
        <is>
          <t>CDI+</t>
        </is>
      </c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inlineStr">
        <is>
          <t>Spread</t>
        </is>
      </c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PRE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inlineStr">
        <is>
          <t>CDI+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inlineStr">
        <is>
          <t>RECEITAS FINANCEIRAS - Rendimentos de aplicações financeiras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RECEITAS FINANCEIRAS - Variação cambial ativa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inlineStr">
        <is>
          <t>RECEITAS FINANCEIRAS - Atualização de contas a pagar por aquisição de empresas</t>
        </is>
      </c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inlineStr">
        <is>
          <t>RECEITAS FINANCEIRAS - Resultado positivo com instrumentos derivativos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inlineStr">
        <is>
          <t>RECEITAS FINANCEIRAS - Descontos obtidos de fornecedores por antecipação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RECEITAS FINANCEIRAS - Atualização monetária sobre Exclusão ICMS da base de PIS/COFINS (nota explicativa nº 7)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inlineStr">
        <is>
          <t>RECEITAS FINANCEIRAS - Outras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inlineStr">
        <is>
          <t>DESPESAS FINANCEIRAS - Encargos sobre empréstimos, financiamentos e debêntures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DESPESAS FINANCEIRAS - Variação cambial passiva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inlineStr">
        <is>
          <t>DESPESAS FINANCEIRAS - Resultado negativo com instrumentos derivativos</t>
        </is>
      </c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inlineStr">
        <is>
          <t>DESPESAS FINANCEIRAS - Juros sobre arrendamento - IFRS16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inlineStr">
        <is>
          <t>DESPESAS FINANCEIRAS - Despesas bancárias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7" t="inlineStr">
        <is>
          <t>DESPESAS FINANCEIRAS - Despesas com obtenção de empréstimos e financiamentos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7" t="inlineStr">
        <is>
          <t>DESPESAS FINANCEIRAS - Atualização de contas a pagar por aquisição de empresas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7" t="inlineStr">
        <is>
          <t>DESPESAS FINANCEIRAS - Outras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inlineStr">
        <is>
          <t>CHECK [EX IFRS-16]</t>
        </is>
      </c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7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collapsed="1">
      <c r="C114" s="14" t="inlineStr">
        <is>
          <t>Nonoperating Income / (Loss)</t>
        </is>
      </c>
      <c r="D114" s="46" t="n"/>
      <c r="E114" s="46" t="n"/>
      <c r="F114" s="46" t="n"/>
      <c r="G114" s="46" t="n"/>
      <c r="H114" s="12" t="n"/>
      <c r="I114" s="46">
        <f>'Inputs (2)'!D9</f>
        <v>169</v>
      </c>
      <c r="J114" s="46">
        <f>'Inputs (2)'!E9</f>
        <v>120</v>
      </c>
      <c r="K114" s="46">
        <f>'Inputs (2)'!F9</f>
        <v>-1474</v>
      </c>
      <c r="L114" s="46">
        <f>'Inputs (2)'!G9</f>
        <v>181</v>
      </c>
      <c r="M114" s="12">
        <f>'Inputs (2)'!H9</f>
        <v>-1004</v>
      </c>
      <c r="N114" s="46">
        <f>'Inputs (2)'!I9</f>
        <v>263</v>
      </c>
      <c r="O114" s="46">
        <f>'Inputs (2)'!J9</f>
        <v>-1492</v>
      </c>
      <c r="P114" s="46">
        <f>'Inputs (2)'!K9</f>
        <v>85</v>
      </c>
      <c r="Q114" s="46">
        <f>'Inputs (2)'!L9</f>
        <v>99</v>
      </c>
      <c r="R114" s="12">
        <f>'Inputs (2)'!M9</f>
        <v>-1045</v>
      </c>
      <c r="S114" s="46">
        <f>'Inputs (2)'!N9</f>
        <v>159</v>
      </c>
      <c r="T114" s="46">
        <f>'Inputs (2)'!O9</f>
        <v>94</v>
      </c>
      <c r="U114" s="46">
        <f>'Inputs (2)'!P9</f>
        <v>148</v>
      </c>
      <c r="V114" s="46">
        <f>'Inputs (2)'!Q9</f>
        <v>106</v>
      </c>
      <c r="W114" s="12">
        <f>'Inputs (2)'!R9</f>
        <v>507</v>
      </c>
      <c r="X114" s="46">
        <f>'Inputs (2)'!S9</f>
        <v>61</v>
      </c>
      <c r="Y114" s="46">
        <f>'Inputs (2)'!T9</f>
        <v>61</v>
      </c>
      <c r="Z114" s="46">
        <f>'Inputs (2)'!U9</f>
        <v>34</v>
      </c>
      <c r="AA114" s="46">
        <f>'Inputs (2)'!V9</f>
        <v>87</v>
      </c>
      <c r="AB114" s="12">
        <f>'Inputs (2)'!W9</f>
        <v>243</v>
      </c>
      <c r="AC114" s="46">
        <f>'Inputs (2)'!X9</f>
        <v>-68</v>
      </c>
      <c r="AD114" s="46">
        <f>'Inputs (2)'!Y9</f>
        <v>-57</v>
      </c>
      <c r="AE114" s="46">
        <f>'Inputs (2)'!Z9</f>
        <v>-56</v>
      </c>
      <c r="AF114" s="46">
        <f>'Inputs (2)'!AA9</f>
        <v>-510</v>
      </c>
      <c r="AG114" s="12">
        <f>'Inputs (2)'!AB9</f>
        <v>-691</v>
      </c>
      <c r="AH114" s="12">
        <f>'Inputs (2)'!AC9</f>
        <v>-20</v>
      </c>
      <c r="AI114" s="12">
        <f>'Inputs (2)'!AD9</f>
        <v>-35</v>
      </c>
      <c r="AJ114" s="12">
        <f>AJ15*Control!$B$23</f>
        <v>-129.540537852382</v>
      </c>
      <c r="AK114" s="12">
        <f>AK15*Control!$B$23</f>
        <v>-141.458072421853</v>
      </c>
      <c r="AL114" s="12">
        <f>SUM(AH114:AK114)</f>
        <v>-325.998610274235</v>
      </c>
      <c r="AM114" s="12">
        <f>AM15*Control!$C$23</f>
        <v>-125.447365932494</v>
      </c>
      <c r="AN114" s="12">
        <f>AN15*Control!$C$23</f>
        <v>-139.662088824351</v>
      </c>
      <c r="AO114" s="12">
        <f>AO15*Control!$C$23</f>
        <v>-136.752411460047</v>
      </c>
      <c r="AP114" s="12">
        <f>AP15*Control!$C$23</f>
        <v>-149.333427550089</v>
      </c>
      <c r="AQ114" s="12">
        <f>SUM(AM114:AP114)</f>
        <v>-551.195293766981</v>
      </c>
      <c r="AR114" s="12">
        <f>AR15*Control!$D$23</f>
        <v>-131.804124711608</v>
      </c>
      <c r="AS114" s="12">
        <f>AS15*Control!$D$23</f>
        <v>-146.739146223239</v>
      </c>
      <c r="AT114" s="12">
        <f>AT15*Control!$D$23</f>
        <v>-143.682027603453</v>
      </c>
      <c r="AU114" s="12">
        <f>AU15*Control!$D$23</f>
        <v>-156.900557952054</v>
      </c>
      <c r="AV114" s="12">
        <f>SUM(AR114:AU114)</f>
        <v>-579.125856490353</v>
      </c>
      <c r="AW114" s="12">
        <f>AW15*Control!$E$23</f>
        <v>-137.823977101093</v>
      </c>
      <c r="AX114" s="12">
        <f>AX15*Control!$E$23</f>
        <v>-153.441121612521</v>
      </c>
      <c r="AY114" s="12">
        <f>AY15*Control!$E$23</f>
        <v>-150.244376081448</v>
      </c>
      <c r="AZ114" s="12">
        <f>AZ15*Control!$E$23</f>
        <v>-164.066632615998</v>
      </c>
      <c r="BA114" s="12">
        <f>SUM(AW114:AZ114)</f>
        <v>-605.57610741106</v>
      </c>
      <c r="BB114" s="12">
        <f>BB15*Control!$F$23</f>
        <v>-143.429652615168</v>
      </c>
      <c r="BC114" s="12">
        <f>BC15*Control!$F$23</f>
        <v>-159.681988814057</v>
      </c>
      <c r="BD114" s="12">
        <f>BD15*Control!$F$23</f>
        <v>-156.355222959053</v>
      </c>
      <c r="BE114" s="12">
        <f>BE15*Control!$F$23</f>
        <v>-170.739668211668</v>
      </c>
      <c r="BF114" s="12">
        <f>SUM(BB114:BE114)</f>
        <v>-630.206532599946</v>
      </c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hidden="1" outlineLevel="1">
      <c r="C115" s="57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hidden="1" outlineLevel="1">
      <c r="C116" s="50" t="inlineStr">
        <is>
          <t>Resultado Não Recorrente</t>
        </is>
      </c>
      <c r="D116" s="11" t="n"/>
      <c r="E116" s="11" t="n"/>
      <c r="F116" s="11" t="n"/>
      <c r="G116" s="11" t="n"/>
      <c r="H116" s="12" t="n"/>
      <c r="I116" s="11" t="n"/>
      <c r="J116" s="11" t="n"/>
      <c r="K116" s="11" t="n"/>
      <c r="L116" s="11" t="n"/>
      <c r="M116" s="12" t="n"/>
      <c r="N116" s="11" t="n"/>
      <c r="O116" s="11" t="n"/>
      <c r="P116" s="11" t="n"/>
      <c r="Q116" s="11" t="n"/>
      <c r="R116" s="12" t="n"/>
      <c r="S116" s="11" t="n"/>
      <c r="T116" s="11" t="n"/>
      <c r="U116" s="11" t="n"/>
      <c r="V116" s="11" t="n"/>
      <c r="W116" s="12" t="n"/>
      <c r="X116" s="11" t="n"/>
      <c r="Y116" s="11" t="n"/>
      <c r="Z116" s="11" t="n"/>
      <c r="AA116" s="11" t="n"/>
      <c r="AB116" s="12" t="n"/>
      <c r="AC116" s="11" t="n"/>
      <c r="AD116" s="11" t="n"/>
      <c r="AE116" s="11" t="n"/>
      <c r="AF116" s="11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hidden="1" outlineLevel="1">
      <c r="C117" s="50" t="inlineStr">
        <is>
          <t>Plano de Opção de Compra de Ações</t>
        </is>
      </c>
      <c r="D117" s="11" t="n"/>
      <c r="E117" s="11" t="n"/>
      <c r="F117" s="11" t="n"/>
      <c r="G117" s="11" t="n"/>
      <c r="H117" s="12" t="n"/>
      <c r="I117" s="11" t="n"/>
      <c r="J117" s="11" t="n"/>
      <c r="K117" s="11" t="n"/>
      <c r="L117" s="11" t="n"/>
      <c r="M117" s="12" t="n"/>
      <c r="N117" s="11" t="n"/>
      <c r="O117" s="11" t="n"/>
      <c r="P117" s="11" t="n"/>
      <c r="Q117" s="11" t="n"/>
      <c r="R117" s="12" t="n"/>
      <c r="S117" s="11" t="n"/>
      <c r="T117" s="11" t="n"/>
      <c r="U117" s="11" t="n"/>
      <c r="V117" s="11" t="n"/>
      <c r="W117" s="12" t="n"/>
      <c r="X117" s="11" t="n"/>
      <c r="Y117" s="11" t="n"/>
      <c r="Z117" s="11" t="n"/>
      <c r="AA117" s="11" t="n"/>
      <c r="AB117" s="12" t="n"/>
      <c r="AC117" s="11" t="n"/>
      <c r="AD117" s="11" t="n"/>
      <c r="AE117" s="11" t="n"/>
      <c r="AF117" s="11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hidden="1" outlineLevel="1">
      <c r="C118" s="50" t="inlineStr">
        <is>
          <t>Baixa Imobilizado</t>
        </is>
      </c>
      <c r="D118" s="11" t="n"/>
      <c r="E118" s="11" t="n"/>
      <c r="F118" s="11" t="n"/>
      <c r="G118" s="11" t="n"/>
      <c r="H118" s="12" t="n"/>
      <c r="I118" s="11" t="n"/>
      <c r="J118" s="11" t="n"/>
      <c r="K118" s="11" t="n"/>
      <c r="L118" s="11" t="n"/>
      <c r="M118" s="12" t="n"/>
      <c r="N118" s="11" t="n"/>
      <c r="O118" s="11" t="n"/>
      <c r="P118" s="11" t="n"/>
      <c r="Q118" s="11" t="n"/>
      <c r="R118" s="12" t="n"/>
      <c r="S118" s="11" t="n"/>
      <c r="T118" s="11" t="n"/>
      <c r="U118" s="11" t="n"/>
      <c r="V118" s="11" t="n"/>
      <c r="W118" s="12" t="n"/>
      <c r="X118" s="11" t="n"/>
      <c r="Y118" s="11" t="n"/>
      <c r="Z118" s="11" t="n"/>
      <c r="AA118" s="11" t="n"/>
      <c r="AB118" s="12" t="n"/>
      <c r="AC118" s="11" t="n"/>
      <c r="AD118" s="11" t="n"/>
      <c r="AE118" s="11" t="n"/>
      <c r="AF118" s="11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hidden="1" outlineLevel="1">
      <c r="C119" s="57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hidden="1" outlineLevel="1">
      <c r="C120" s="57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 collapsed="1" customFormat="1" s="32">
      <c r="A121" s="30" t="n"/>
      <c r="B121" s="3" t="n"/>
      <c r="C121" s="33" t="inlineStr">
        <is>
          <t>Pretax Income - EBT</t>
        </is>
      </c>
      <c r="D121" s="35" t="n"/>
      <c r="E121" s="35" t="n"/>
      <c r="F121" s="35" t="n"/>
      <c r="G121" s="35" t="n"/>
      <c r="H121" s="35" t="n"/>
      <c r="I121" s="35">
        <f>SUM(I64,I65,I114)</f>
        <v>2211</v>
      </c>
      <c r="J121" s="35">
        <f>SUM(J64,J65,J114)</f>
        <v>2170</v>
      </c>
      <c r="K121" s="35">
        <f>SUM(K64,K65,K114)</f>
        <v>679</v>
      </c>
      <c r="L121" s="35">
        <f>SUM(L64,L65,L114)</f>
        <v>2490</v>
      </c>
      <c r="M121" s="35">
        <f>SUM(I121:L121)</f>
        <v>7550</v>
      </c>
      <c r="N121" s="35">
        <f>SUM(N64,N65,N114)</f>
        <v>2061</v>
      </c>
      <c r="O121" s="35">
        <f>SUM(O64,O65,O114)</f>
        <v>330</v>
      </c>
      <c r="P121" s="35">
        <f>SUM(P64,P65,P114)</f>
        <v>2099</v>
      </c>
      <c r="Q121" s="35">
        <f>SUM(Q64,Q65,Q114)</f>
        <v>2190</v>
      </c>
      <c r="R121" s="35">
        <f>SUM(N121:Q121)</f>
        <v>6680</v>
      </c>
      <c r="S121" s="35">
        <f>SUM(S64,S65,S114)</f>
        <v>1994</v>
      </c>
      <c r="T121" s="35">
        <f>SUM(T64,T65,T114)</f>
        <v>2006</v>
      </c>
      <c r="U121" s="35">
        <f>SUM(U64,U65,U114)</f>
        <v>1953</v>
      </c>
      <c r="V121" s="35">
        <f>SUM(V64,V65,V114)</f>
        <v>2145</v>
      </c>
      <c r="W121" s="35">
        <f>SUM(S121:V121)</f>
        <v>8098</v>
      </c>
      <c r="X121" s="35">
        <f>SUM(X64,X65,X114)</f>
        <v>1835</v>
      </c>
      <c r="Y121" s="35">
        <f>SUM(Y64,Y65,Y114)</f>
        <v>1948</v>
      </c>
      <c r="Z121" s="35">
        <f>SUM(Z64,Z65,Z114)</f>
        <v>1918</v>
      </c>
      <c r="AA121" s="35">
        <f>SUM(AA64,AA65,AA114)</f>
        <v>519</v>
      </c>
      <c r="AB121" s="35">
        <f>SUM(X121:AA121)</f>
        <v>6220</v>
      </c>
      <c r="AC121" s="35">
        <f>SUM(AC64,AC65,AC114)</f>
        <v>2036</v>
      </c>
      <c r="AD121" s="35">
        <f>SUM(AD64,AD65,AD114)</f>
        <v>417</v>
      </c>
      <c r="AE121" s="35">
        <f>SUM(AE64,AE65,AE114)</f>
        <v>1938</v>
      </c>
      <c r="AF121" s="35">
        <f>SUM(AF64,AF65,AF114)</f>
        <v>1531</v>
      </c>
      <c r="AG121" s="35">
        <f>SUM(AC121:AF121)</f>
        <v>5922</v>
      </c>
      <c r="AH121" s="35">
        <f>SUM(AH64,AH65,AH114)</f>
        <v>1774</v>
      </c>
      <c r="AI121" s="35">
        <f>SUM(AI64,AI65,AI114)</f>
        <v>2178</v>
      </c>
      <c r="AJ121" s="35">
        <f>SUM(AJ64,AJ65,AJ114:AJ119)</f>
        <v>1993.8189233904</v>
      </c>
      <c r="AK121" s="35">
        <f>SUM(AK64,AK65,AK114:AK119)</f>
        <v>2177.24726434609</v>
      </c>
      <c r="AL121" s="35">
        <f>SUM(AH121:AK121)</f>
        <v>8123.06618773649</v>
      </c>
      <c r="AM121" s="35">
        <f>SUM(AM64,AM65,AM114:AM119)</f>
        <v>1930.81900254815</v>
      </c>
      <c r="AN121" s="35">
        <f>SUM(AN64,AN65,AN114:AN119)</f>
        <v>2149.60444193571</v>
      </c>
      <c r="AO121" s="35">
        <f>SUM(AO64,AO65,AO114:AO119)</f>
        <v>2104.8202385806</v>
      </c>
      <c r="AP121" s="35">
        <f>SUM(AP64,AP65,AP114:AP119)</f>
        <v>2298.46053351585</v>
      </c>
      <c r="AQ121" s="35">
        <f>SUM(AM121:AP121)</f>
        <v>8483.70421658031</v>
      </c>
      <c r="AR121" s="35">
        <f>SUM(AR64,AR65,AR114:AR119)</f>
        <v>2028.65884600833</v>
      </c>
      <c r="AS121" s="35">
        <f>SUM(AS64,AS65,AS114:AS119)</f>
        <v>2258.53073788719</v>
      </c>
      <c r="AT121" s="35">
        <f>SUM(AT64,AT65,AT114:AT119)</f>
        <v>2211.47719730267</v>
      </c>
      <c r="AU121" s="35">
        <f>SUM(AU64,AU65,AU114:AU119)</f>
        <v>2414.92977195913</v>
      </c>
      <c r="AV121" s="35">
        <f>SUM(AR121:AU121)</f>
        <v>8913.59655315732</v>
      </c>
      <c r="AW121" s="35">
        <f>SUM(AW64,AW65,AW114:AW119)</f>
        <v>2121.31320586478</v>
      </c>
      <c r="AX121" s="35">
        <f>SUM(AX64,AX65,AX114:AX119)</f>
        <v>2361.68397143694</v>
      </c>
      <c r="AY121" s="35">
        <f>SUM(AY64,AY65,AY114:AY119)</f>
        <v>2312.4813678444</v>
      </c>
      <c r="AZ121" s="35">
        <f>SUM(AZ64,AZ65,AZ114:AZ119)</f>
        <v>2525.22617421495</v>
      </c>
      <c r="BA121" s="35">
        <f>SUM(AW121:AZ121)</f>
        <v>9320.70471936106</v>
      </c>
      <c r="BB121" s="35">
        <f>SUM(BB64,BB65,BB114:BB119)</f>
        <v>2207.59277597962</v>
      </c>
      <c r="BC121" s="35">
        <f>SUM(BC64,BC65,BC114:BC119)</f>
        <v>2457.74007349643</v>
      </c>
      <c r="BD121" s="35">
        <f>SUM(BD64,BD65,BD114:BD119)</f>
        <v>2406.53626636885</v>
      </c>
      <c r="BE121" s="35">
        <f>SUM(BE64,BE65,BE114:BE119)</f>
        <v>2627.93398188412</v>
      </c>
      <c r="BF121" s="35">
        <f>SUM(BB121:BE121)</f>
        <v>9699.80309772902</v>
      </c>
      <c r="BG121" s="35" t="n"/>
      <c r="BH121" s="35" t="n"/>
      <c r="BI121" s="35" t="n"/>
      <c r="BJ121" s="35" t="n"/>
      <c r="BK121" s="35" t="n"/>
      <c r="BL121" s="35" t="n"/>
      <c r="BM121" s="35" t="n"/>
      <c r="BN121" s="35" t="n"/>
      <c r="BO121" s="35" t="n"/>
      <c r="BP121" s="35" t="n"/>
      <c r="BQ121" s="35" t="n"/>
      <c r="BR121" s="35" t="n"/>
      <c r="BS121" s="35" t="n"/>
      <c r="BT121" s="35" t="n"/>
      <c r="BU121" s="35" t="n"/>
      <c r="BV121" s="35" t="n"/>
      <c r="BW121" s="35" t="n"/>
      <c r="BX121" s="35" t="n"/>
      <c r="BY121" s="35" t="n"/>
      <c r="BZ121" s="35" t="n"/>
      <c r="CA121" s="35" t="n"/>
      <c r="CB121" s="35" t="n"/>
      <c r="CC121" s="35" t="n"/>
      <c r="CD121" s="35" t="n"/>
      <c r="CE121" s="35" t="n"/>
      <c r="CF121" s="35" t="n"/>
      <c r="CG121" s="35" t="n"/>
      <c r="CH121" s="35" t="n"/>
      <c r="CI121" s="35" t="n"/>
      <c r="CJ121" s="35" t="n"/>
      <c r="CK121" s="35" t="n"/>
      <c r="CL121" s="35" t="n"/>
      <c r="CM121" s="35" t="n"/>
      <c r="CN121" s="35" t="n"/>
      <c r="CO121" s="35" t="n"/>
      <c r="CP121" s="35" t="n"/>
      <c r="CQ121" s="35" t="n"/>
      <c r="CR121" s="35" t="n"/>
      <c r="CS121" s="35" t="n"/>
      <c r="CT121" s="35" t="n"/>
      <c r="CU121" s="35" t="n"/>
      <c r="CV121" s="35" t="n"/>
      <c r="CW121" s="35" t="n"/>
      <c r="CX121" s="35" t="n"/>
      <c r="CY121" s="35" t="n"/>
    </row>
    <row r="122">
      <c r="C122" s="14" t="inlineStr">
        <is>
          <t>Taxes</t>
        </is>
      </c>
      <c r="D122" s="46" t="n"/>
      <c r="E122" s="46" t="n"/>
      <c r="F122" s="46" t="n"/>
      <c r="G122" s="46" t="n"/>
      <c r="H122" s="12" t="n"/>
      <c r="I122" s="46">
        <f>'Inputs (2)'!D10</f>
        <v>-374</v>
      </c>
      <c r="J122" s="46">
        <f>'Inputs (2)'!E10</f>
        <v>-355</v>
      </c>
      <c r="K122" s="46">
        <f>'Inputs (2)'!F10</f>
        <v>-65</v>
      </c>
      <c r="L122" s="46">
        <f>'Inputs (2)'!G10</f>
        <v>-441</v>
      </c>
      <c r="M122" s="12">
        <f>'Inputs (2)'!H10</f>
        <v>-1235</v>
      </c>
      <c r="N122" s="46">
        <f>'Inputs (2)'!I10</f>
        <v>-328</v>
      </c>
      <c r="O122" s="46">
        <f>'Inputs (2)'!J10</f>
        <v>-21</v>
      </c>
      <c r="P122" s="46">
        <f>'Inputs (2)'!K10</f>
        <v>-321</v>
      </c>
      <c r="Q122" s="46">
        <f>'Inputs (2)'!L10</f>
        <v>-278</v>
      </c>
      <c r="R122" s="12">
        <f>'Inputs (2)'!M10</f>
        <v>-948</v>
      </c>
      <c r="S122" s="46">
        <f>'Inputs (2)'!N10</f>
        <v>-305</v>
      </c>
      <c r="T122" s="46">
        <f>'Inputs (2)'!O10</f>
        <v>-325</v>
      </c>
      <c r="U122" s="46">
        <f>'Inputs (2)'!P10</f>
        <v>-269</v>
      </c>
      <c r="V122" s="46">
        <f>'Inputs (2)'!Q10</f>
        <v>-279</v>
      </c>
      <c r="W122" s="12">
        <f>'Inputs (2)'!R10</f>
        <v>-1178</v>
      </c>
      <c r="X122" s="46">
        <f>'Inputs (2)'!S10</f>
        <v>-290</v>
      </c>
      <c r="Y122" s="46">
        <f>'Inputs (2)'!T10</f>
        <v>-307</v>
      </c>
      <c r="Z122" s="46">
        <f>'Inputs (2)'!U10</f>
        <v>-295</v>
      </c>
      <c r="AA122" s="46">
        <f>'Inputs (2)'!V10</f>
        <v>8</v>
      </c>
      <c r="AB122" s="12">
        <f>'Inputs (2)'!W10</f>
        <v>-884</v>
      </c>
      <c r="AC122" s="46">
        <f>'Inputs (2)'!X10</f>
        <v>-324</v>
      </c>
      <c r="AD122" s="46">
        <f>'Inputs (2)'!Y10</f>
        <v>-75</v>
      </c>
      <c r="AE122" s="46">
        <f>'Inputs (2)'!Z10</f>
        <v>-319</v>
      </c>
      <c r="AF122" s="46">
        <f>'Inputs (2)'!AA10</f>
        <v>-187</v>
      </c>
      <c r="AG122" s="12">
        <f>'Inputs (2)'!AB10</f>
        <v>-905</v>
      </c>
      <c r="AH122" s="12">
        <f>'Inputs (2)'!AC10</f>
        <v>-286</v>
      </c>
      <c r="AI122" s="12">
        <f>'Inputs (2)'!AD10</f>
        <v>-342</v>
      </c>
      <c r="AJ122" s="12">
        <f>-AJ121*AJ123</f>
        <v>-313.687241968332</v>
      </c>
      <c r="AK122" s="12">
        <f>-AK121*AK123</f>
        <v>-342.545996240446</v>
      </c>
      <c r="AL122" s="12">
        <f>SUM(AH122:AK122)</f>
        <v>-1284.23323820878</v>
      </c>
      <c r="AM122" s="12">
        <f>-AM121*AM123</f>
        <v>-303.775473561788</v>
      </c>
      <c r="AN122" s="12">
        <f>-AN121*AN123</f>
        <v>-338.19695500084</v>
      </c>
      <c r="AO122" s="12">
        <f>-AO121*AO123</f>
        <v>-331.151062783946</v>
      </c>
      <c r="AP122" s="12">
        <f>-AP121*AP123</f>
        <v>-361.61646229419</v>
      </c>
      <c r="AQ122" s="12">
        <f>SUM(AM122:AP122)</f>
        <v>-1334.73995364076</v>
      </c>
      <c r="AR122" s="12">
        <f>-AR121*AR123</f>
        <v>-319.168601939489</v>
      </c>
      <c r="AS122" s="12">
        <f>-AS121*AS123</f>
        <v>-355.334313340656</v>
      </c>
      <c r="AT122" s="12">
        <f>-AT121*AT123</f>
        <v>-347.931386626676</v>
      </c>
      <c r="AU122" s="12">
        <f>-AU121*AU123</f>
        <v>-379.940550681965</v>
      </c>
      <c r="AV122" s="12">
        <f>SUM(AR122:AU122)</f>
        <v>-1402.37485258879</v>
      </c>
      <c r="AW122" s="12">
        <f>-AW121*AW123</f>
        <v>-333.745898934087</v>
      </c>
      <c r="AX122" s="12">
        <f>-AX121*AX123</f>
        <v>-371.56339661032</v>
      </c>
      <c r="AY122" s="12">
        <f>-AY121*AY123</f>
        <v>-363.82235812506</v>
      </c>
      <c r="AZ122" s="12">
        <f>-AZ121*AZ123</f>
        <v>-397.293467647877</v>
      </c>
      <c r="BA122" s="12">
        <f>SUM(AW122:AZ122)</f>
        <v>-1466.42512131734</v>
      </c>
      <c r="BB122" s="12">
        <f>-BB121*BB123</f>
        <v>-347.320251183445</v>
      </c>
      <c r="BC122" s="12">
        <f>-BC121*BC123</f>
        <v>-386.675889212223</v>
      </c>
      <c r="BD122" s="12">
        <f>-BD121*BD123</f>
        <v>-378.620001665115</v>
      </c>
      <c r="BE122" s="12">
        <f>-BE121*BE123</f>
        <v>-413.452472128369</v>
      </c>
      <c r="BF122" s="12">
        <f>SUM(BB122:BE122)</f>
        <v>-1526.06861418915</v>
      </c>
      <c r="BG122" s="12" t="n"/>
      <c r="BH122" s="12" t="n"/>
      <c r="BI122" s="12" t="n"/>
      <c r="BJ122" s="12" t="n"/>
      <c r="BK122" s="12" t="n"/>
      <c r="BL122" s="12" t="n"/>
      <c r="BM122" s="12" t="n"/>
      <c r="BN122" s="12" t="n"/>
      <c r="BO122" s="12" t="n"/>
      <c r="BP122" s="12" t="n"/>
      <c r="BQ122" s="12" t="n"/>
      <c r="BR122" s="12" t="n"/>
      <c r="BS122" s="12" t="n"/>
      <c r="BT122" s="12" t="n"/>
      <c r="BU122" s="12" t="n"/>
      <c r="BV122" s="12" t="n"/>
      <c r="BW122" s="12" t="n"/>
      <c r="BX122" s="12" t="n"/>
      <c r="BY122" s="12" t="n"/>
      <c r="BZ122" s="12" t="n"/>
      <c r="CA122" s="12" t="n"/>
      <c r="CB122" s="12" t="n"/>
      <c r="CC122" s="12" t="n"/>
      <c r="CD122" s="12" t="n"/>
      <c r="CE122" s="12" t="n"/>
      <c r="CF122" s="12" t="n"/>
      <c r="CG122" s="12" t="n"/>
      <c r="CH122" s="12" t="n"/>
      <c r="CI122" s="12" t="n"/>
      <c r="CJ122" s="12" t="n"/>
      <c r="CK122" s="12" t="n"/>
      <c r="CL122" s="12" t="n"/>
      <c r="CM122" s="12" t="n"/>
      <c r="CN122" s="12" t="n"/>
      <c r="CO122" s="12" t="n"/>
      <c r="CP122" s="12" t="n"/>
      <c r="CQ122" s="12" t="n"/>
      <c r="CR122" s="12" t="n"/>
      <c r="CS122" s="12" t="n"/>
      <c r="CT122" s="12" t="n"/>
      <c r="CU122" s="12" t="n"/>
      <c r="CV122" s="12" t="n"/>
      <c r="CW122" s="12" t="n"/>
      <c r="CX122" s="12" t="n"/>
      <c r="CY122" s="12" t="n"/>
    </row>
    <row r="123" hidden="1" outlineLevel="1">
      <c r="C123" s="57" t="inlineStr">
        <is>
          <t>% ETR</t>
        </is>
      </c>
      <c r="D123" s="53" t="n"/>
      <c r="E123" s="53" t="n"/>
      <c r="F123" s="53" t="n"/>
      <c r="G123" s="53" t="n"/>
      <c r="H123" s="53" t="n"/>
      <c r="I123" s="53">
        <f>IFERROR(-I122/I121,"")</f>
        <v>0.169154228855721</v>
      </c>
      <c r="J123" s="53">
        <f>IFERROR(-J122/J121,"")</f>
        <v>0.163594470046083</v>
      </c>
      <c r="K123" s="53">
        <f>IFERROR(-K122/K121,"")</f>
        <v>0.0957290132547865</v>
      </c>
      <c r="L123" s="53">
        <f>IFERROR(-L122/L121,"")</f>
        <v>0.17710843373494</v>
      </c>
      <c r="M123" s="53">
        <f>IFERROR(-M122/M121,"")</f>
        <v>0.163576158940397</v>
      </c>
      <c r="N123" s="53">
        <f>IFERROR(-N122/N121,"")</f>
        <v>0.159146045608928</v>
      </c>
      <c r="O123" s="53">
        <f>IFERROR(-O122/O121,"")</f>
        <v>0.0636363636363636</v>
      </c>
      <c r="P123" s="53">
        <f>IFERROR(-P122/P121,"")</f>
        <v>0.152929966650786</v>
      </c>
      <c r="Q123" s="53">
        <f>IFERROR(-Q122/Q121,"")</f>
        <v>0.126940639269406</v>
      </c>
      <c r="R123" s="53">
        <f>IFERROR(-R122/R121,"")</f>
        <v>0.141916167664671</v>
      </c>
      <c r="S123" s="53">
        <f>IFERROR(-S122/S121,"")</f>
        <v>0.15295887662989</v>
      </c>
      <c r="T123" s="53">
        <f>IFERROR(-T122/T121,"")</f>
        <v>0.162013958125623</v>
      </c>
      <c r="U123" s="53">
        <f>IFERROR(-U122/U121,"")</f>
        <v>0.13773681515617</v>
      </c>
      <c r="V123" s="53">
        <f>IFERROR(-V122/V121,"")</f>
        <v>0.13006993006993</v>
      </c>
      <c r="W123" s="53">
        <f>IFERROR(-W122/W121,"")</f>
        <v>0.14546801679427</v>
      </c>
      <c r="X123" s="53">
        <f>IFERROR(-X122/X121,"")</f>
        <v>0.158038147138965</v>
      </c>
      <c r="Y123" s="53">
        <f>IFERROR(-Y122/Y121,"")</f>
        <v>0.157597535934292</v>
      </c>
      <c r="Z123" s="53">
        <f>IFERROR(-Z122/Z121,"")</f>
        <v>0.153806047966632</v>
      </c>
      <c r="AA123" s="53">
        <f>IFERROR(-AA122/AA121,"")</f>
        <v>-0.0154142581888247</v>
      </c>
      <c r="AB123" s="53">
        <f>IFERROR(-AB122/AB121,"")</f>
        <v>0.142122186495177</v>
      </c>
      <c r="AC123" s="53">
        <f>IFERROR(-AC122/AC121,"")</f>
        <v>0.159135559921415</v>
      </c>
      <c r="AD123" s="53">
        <f>IFERROR(-AD122/AD121,"")</f>
        <v>0.179856115107914</v>
      </c>
      <c r="AE123" s="53">
        <f>IFERROR(-AE122/AE121,"")</f>
        <v>0.164602683178535</v>
      </c>
      <c r="AF123" s="41">
        <f>IFERROR(-AF122/AF121,"")</f>
        <v>0.122142390594383</v>
      </c>
      <c r="AG123" s="53">
        <f>IFERROR(-AG122/AG121,"")</f>
        <v>0.152819993245525</v>
      </c>
      <c r="AH123" s="41">
        <f>IFERROR(-AH122/AH121,"")</f>
        <v>0.161217587373168</v>
      </c>
      <c r="AI123" s="41">
        <f>IFERROR(-AI122/AI121,"")</f>
        <v>0.15702479338843</v>
      </c>
      <c r="AJ123" s="41">
        <f>Control!$B$22</f>
        <v>0.157329854927307</v>
      </c>
      <c r="AK123" s="41">
        <f>Control!$B$22</f>
        <v>0.157329854927307</v>
      </c>
      <c r="AL123" s="53">
        <f>IFERROR(-AL122/AL121,"")</f>
        <v>0.158097103794083</v>
      </c>
      <c r="AM123" s="41">
        <f>Control!$C$22</f>
        <v>0.157329854927307</v>
      </c>
      <c r="AN123" s="41">
        <f>Control!$C$22</f>
        <v>0.157329854927307</v>
      </c>
      <c r="AO123" s="41">
        <f>Control!$C$22</f>
        <v>0.157329854927307</v>
      </c>
      <c r="AP123" s="41">
        <f>Control!$C$22</f>
        <v>0.157329854927307</v>
      </c>
      <c r="AQ123" s="53">
        <f>IFERROR(-AQ122/AQ121,"")</f>
        <v>0.157329854927307</v>
      </c>
      <c r="AR123" s="41">
        <f>Control!$D$22</f>
        <v>0.157329854927307</v>
      </c>
      <c r="AS123" s="41">
        <f>Control!$D$22</f>
        <v>0.157329854927307</v>
      </c>
      <c r="AT123" s="41">
        <f>Control!$D$22</f>
        <v>0.157329854927307</v>
      </c>
      <c r="AU123" s="41">
        <f>Control!$D$22</f>
        <v>0.157329854927307</v>
      </c>
      <c r="AV123" s="53">
        <f>IFERROR(-AV122/AV121,"")</f>
        <v>0.157329854927307</v>
      </c>
      <c r="AW123" s="41">
        <f>Control!$E$22</f>
        <v>0.157329854927307</v>
      </c>
      <c r="AX123" s="41">
        <f>Control!$E$22</f>
        <v>0.157329854927307</v>
      </c>
      <c r="AY123" s="41">
        <f>Control!$E$22</f>
        <v>0.157329854927307</v>
      </c>
      <c r="AZ123" s="41">
        <f>Control!$E$22</f>
        <v>0.157329854927307</v>
      </c>
      <c r="BA123" s="53">
        <f>IFERROR(-BA122/BA121,"")</f>
        <v>0.157329854927307</v>
      </c>
      <c r="BB123" s="41">
        <f>Control!$F$22</f>
        <v>0.157329854927307</v>
      </c>
      <c r="BC123" s="41">
        <f>Control!$F$22</f>
        <v>0.157329854927307</v>
      </c>
      <c r="BD123" s="41">
        <f>Control!$F$22</f>
        <v>0.157329854927307</v>
      </c>
      <c r="BE123" s="41">
        <f>Control!$F$22</f>
        <v>0.157329854927307</v>
      </c>
      <c r="BF123" s="53">
        <f>IFERROR(-BF122/BF121,"")</f>
        <v>0.157329854927307</v>
      </c>
      <c r="BG123" s="41" t="n"/>
      <c r="BH123" s="41" t="n"/>
      <c r="BI123" s="41" t="n"/>
      <c r="BJ123" s="41" t="n"/>
      <c r="BK123" s="53" t="n"/>
      <c r="BL123" s="41" t="n"/>
      <c r="BM123" s="41" t="n"/>
      <c r="BN123" s="41" t="n"/>
      <c r="BO123" s="41" t="n"/>
      <c r="BP123" s="53" t="n"/>
      <c r="BQ123" s="41" t="n"/>
      <c r="BR123" s="41" t="n"/>
      <c r="BS123" s="41" t="n"/>
      <c r="BT123" s="41" t="n"/>
      <c r="BU123" s="53" t="n"/>
      <c r="BV123" s="41" t="n"/>
      <c r="BW123" s="41" t="n"/>
      <c r="BX123" s="41" t="n"/>
      <c r="BY123" s="41" t="n"/>
      <c r="BZ123" s="53" t="n"/>
      <c r="CA123" s="41" t="n"/>
      <c r="CB123" s="41" t="n"/>
      <c r="CC123" s="41" t="n"/>
      <c r="CD123" s="41" t="n"/>
      <c r="CE123" s="53" t="n"/>
      <c r="CF123" s="41" t="n"/>
      <c r="CG123" s="41" t="n"/>
      <c r="CH123" s="41" t="n"/>
      <c r="CI123" s="41" t="n"/>
      <c r="CJ123" s="53" t="n"/>
      <c r="CK123" s="41" t="n"/>
      <c r="CL123" s="41" t="n"/>
      <c r="CM123" s="41" t="n"/>
      <c r="CN123" s="41" t="n"/>
      <c r="CO123" s="53" t="n"/>
      <c r="CP123" s="41" t="n"/>
      <c r="CQ123" s="41" t="n"/>
      <c r="CR123" s="41" t="n"/>
      <c r="CS123" s="41" t="n"/>
      <c r="CT123" s="53" t="n"/>
      <c r="CU123" s="41" t="n"/>
      <c r="CV123" s="41" t="n"/>
      <c r="CW123" s="41" t="n"/>
      <c r="CX123" s="41" t="n"/>
      <c r="CY123" s="53" t="n"/>
    </row>
    <row r="124" hidden="1" outlineLevel="1">
      <c r="C124" s="57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  <c r="BE124" s="12" t="n"/>
      <c r="BF124" s="12" t="n"/>
      <c r="BG124" s="12" t="n"/>
      <c r="BH124" s="12" t="n"/>
      <c r="BI124" s="12" t="n"/>
      <c r="BJ124" s="12" t="n"/>
      <c r="BK124" s="12" t="n"/>
      <c r="BL124" s="12" t="n"/>
      <c r="BM124" s="12" t="n"/>
      <c r="BN124" s="12" t="n"/>
      <c r="BO124" s="12" t="n"/>
      <c r="BP124" s="12" t="n"/>
      <c r="BQ124" s="12" t="n"/>
      <c r="BR124" s="12" t="n"/>
      <c r="BS124" s="12" t="n"/>
      <c r="BT124" s="12" t="n"/>
      <c r="BU124" s="12" t="n"/>
      <c r="BV124" s="12" t="n"/>
      <c r="BW124" s="12" t="n"/>
      <c r="BX124" s="12" t="n"/>
      <c r="BY124" s="12" t="n"/>
      <c r="BZ124" s="12" t="n"/>
      <c r="CA124" s="12" t="n"/>
      <c r="CB124" s="12" t="n"/>
      <c r="CC124" s="12" t="n"/>
      <c r="CD124" s="12" t="n"/>
      <c r="CE124" s="12" t="n"/>
      <c r="CF124" s="12" t="n"/>
      <c r="CG124" s="12" t="n"/>
      <c r="CH124" s="12" t="n"/>
      <c r="CI124" s="12" t="n"/>
      <c r="CJ124" s="12" t="n"/>
      <c r="CK124" s="12" t="n"/>
      <c r="CL124" s="12" t="n"/>
      <c r="CM124" s="12" t="n"/>
      <c r="CN124" s="12" t="n"/>
      <c r="CO124" s="12" t="n"/>
      <c r="CP124" s="12" t="n"/>
      <c r="CQ124" s="12" t="n"/>
      <c r="CR124" s="12" t="n"/>
      <c r="CS124" s="12" t="n"/>
      <c r="CT124" s="12" t="n"/>
      <c r="CU124" s="12" t="n"/>
      <c r="CV124" s="12" t="n"/>
      <c r="CW124" s="12" t="n"/>
      <c r="CX124" s="12" t="n"/>
      <c r="CY124" s="12" t="n"/>
    </row>
    <row r="125" hidden="1" outlineLevel="1">
      <c r="C125" s="57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  <c r="BE125" s="12" t="n"/>
      <c r="BF125" s="12" t="n"/>
      <c r="BG125" s="12" t="n"/>
      <c r="BH125" s="12" t="n"/>
      <c r="BI125" s="12" t="n"/>
      <c r="BJ125" s="12" t="n"/>
      <c r="BK125" s="12" t="n"/>
      <c r="BL125" s="12" t="n"/>
      <c r="BM125" s="12" t="n"/>
      <c r="BN125" s="12" t="n"/>
      <c r="BO125" s="12" t="n"/>
      <c r="BP125" s="12" t="n"/>
      <c r="BQ125" s="12" t="n"/>
      <c r="BR125" s="12" t="n"/>
      <c r="BS125" s="12" t="n"/>
      <c r="BT125" s="12" t="n"/>
      <c r="BU125" s="12" t="n"/>
      <c r="BV125" s="12" t="n"/>
      <c r="BW125" s="12" t="n"/>
      <c r="BX125" s="12" t="n"/>
      <c r="BY125" s="12" t="n"/>
      <c r="BZ125" s="12" t="n"/>
      <c r="CA125" s="12" t="n"/>
      <c r="CB125" s="12" t="n"/>
      <c r="CC125" s="12" t="n"/>
      <c r="CD125" s="12" t="n"/>
      <c r="CE125" s="12" t="n"/>
      <c r="CF125" s="12" t="n"/>
      <c r="CG125" s="12" t="n"/>
      <c r="CH125" s="12" t="n"/>
      <c r="CI125" s="12" t="n"/>
      <c r="CJ125" s="12" t="n"/>
      <c r="CK125" s="12" t="n"/>
      <c r="CL125" s="12" t="n"/>
      <c r="CM125" s="12" t="n"/>
      <c r="CN125" s="12" t="n"/>
      <c r="CO125" s="12" t="n"/>
      <c r="CP125" s="12" t="n"/>
      <c r="CQ125" s="12" t="n"/>
      <c r="CR125" s="12" t="n"/>
      <c r="CS125" s="12" t="n"/>
      <c r="CT125" s="12" t="n"/>
      <c r="CU125" s="12" t="n"/>
      <c r="CV125" s="12" t="n"/>
      <c r="CW125" s="12" t="n"/>
      <c r="CX125" s="12" t="n"/>
      <c r="CY125" s="12" t="n"/>
    </row>
    <row r="126" collapsed="1">
      <c r="C126" s="14" t="inlineStr">
        <is>
          <t>Equity in Income of Affiliates, after tax (enter as +)</t>
        </is>
      </c>
      <c r="D126" s="46" t="n"/>
      <c r="E126" s="46" t="n"/>
      <c r="F126" s="46" t="n"/>
      <c r="G126" s="46" t="n"/>
      <c r="H126" s="12" t="n"/>
      <c r="I126" s="46">
        <f>'Inputs (2)'!D11</f>
        <v>0</v>
      </c>
      <c r="J126" s="46">
        <f>'Inputs (2)'!E11</f>
        <v>0</v>
      </c>
      <c r="K126" s="46">
        <f>'Inputs (2)'!F11</f>
        <v>0</v>
      </c>
      <c r="L126" s="46">
        <f>'Inputs (2)'!G11</f>
        <v>0</v>
      </c>
      <c r="M126" s="12">
        <f>'Inputs (2)'!H11</f>
        <v>0</v>
      </c>
      <c r="N126" s="46">
        <f>'Inputs (2)'!I11</f>
        <v>0</v>
      </c>
      <c r="O126" s="46">
        <f>'Inputs (2)'!J11</f>
        <v>0</v>
      </c>
      <c r="P126" s="46">
        <f>'Inputs (2)'!K11</f>
        <v>0</v>
      </c>
      <c r="Q126" s="46">
        <f>'Inputs (2)'!L11</f>
        <v>0</v>
      </c>
      <c r="R126" s="12">
        <f>'Inputs (2)'!M11</f>
        <v>0</v>
      </c>
      <c r="S126" s="46">
        <f>'Inputs (2)'!N11</f>
        <v>0</v>
      </c>
      <c r="T126" s="46">
        <f>'Inputs (2)'!O11</f>
        <v>0</v>
      </c>
      <c r="U126" s="46">
        <f>'Inputs (2)'!P11</f>
        <v>0</v>
      </c>
      <c r="V126" s="46">
        <f>'Inputs (2)'!Q11</f>
        <v>0</v>
      </c>
      <c r="W126" s="12">
        <f>'Inputs (2)'!R11</f>
        <v>0</v>
      </c>
      <c r="X126" s="46">
        <f>'Inputs (2)'!S11</f>
        <v>0</v>
      </c>
      <c r="Y126" s="46">
        <f>'Inputs (2)'!T11</f>
        <v>0</v>
      </c>
      <c r="Z126" s="46">
        <f>'Inputs (2)'!U11</f>
        <v>0</v>
      </c>
      <c r="AA126" s="46">
        <f>'Inputs (2)'!V11</f>
        <v>0</v>
      </c>
      <c r="AB126" s="12">
        <f>'Inputs (2)'!W11</f>
        <v>0</v>
      </c>
      <c r="AC126" s="46">
        <f>'Inputs (2)'!X11</f>
        <v>0</v>
      </c>
      <c r="AD126" s="46">
        <f>'Inputs (2)'!Y11</f>
        <v>0</v>
      </c>
      <c r="AE126" s="46">
        <f>'Inputs (2)'!Z11</f>
        <v>0</v>
      </c>
      <c r="AF126" s="46">
        <f>'Inputs (2)'!AA11</f>
        <v>0</v>
      </c>
      <c r="AG126" s="12">
        <f>'Inputs (2)'!AB11</f>
        <v>0</v>
      </c>
      <c r="AH126" s="12">
        <f>'Inputs (2)'!AC11</f>
        <v>0</v>
      </c>
      <c r="AI126" s="12">
        <f>'Inputs (2)'!AD11</f>
        <v>0</v>
      </c>
      <c r="AJ126" s="12">
        <f>0</f>
        <v>0</v>
      </c>
      <c r="AK126" s="12">
        <f>0</f>
        <v>0</v>
      </c>
      <c r="AL126" s="12">
        <f>SUM(AH126:AK126)</f>
        <v>0</v>
      </c>
      <c r="AM126" s="12">
        <f>0</f>
        <v>0</v>
      </c>
      <c r="AN126" s="12">
        <f>0</f>
        <v>0</v>
      </c>
      <c r="AO126" s="12">
        <f>0</f>
        <v>0</v>
      </c>
      <c r="AP126" s="12">
        <f>0</f>
        <v>0</v>
      </c>
      <c r="AQ126" s="12">
        <f>SUM(AM126:AP126)</f>
        <v>0</v>
      </c>
      <c r="AR126" s="12">
        <f>0</f>
        <v>0</v>
      </c>
      <c r="AS126" s="12">
        <f>0</f>
        <v>0</v>
      </c>
      <c r="AT126" s="12">
        <f>0</f>
        <v>0</v>
      </c>
      <c r="AU126" s="12">
        <f>0</f>
        <v>0</v>
      </c>
      <c r="AV126" s="12">
        <f>SUM(AR126:AU126)</f>
        <v>0</v>
      </c>
      <c r="AW126" s="12">
        <f>0</f>
        <v>0</v>
      </c>
      <c r="AX126" s="12">
        <f>0</f>
        <v>0</v>
      </c>
      <c r="AY126" s="12">
        <f>0</f>
        <v>0</v>
      </c>
      <c r="AZ126" s="12">
        <f>0</f>
        <v>0</v>
      </c>
      <c r="BA126" s="12">
        <f>SUM(AW126:AZ126)</f>
        <v>0</v>
      </c>
      <c r="BB126" s="12">
        <f>0</f>
        <v>0</v>
      </c>
      <c r="BC126" s="12">
        <f>0</f>
        <v>0</v>
      </c>
      <c r="BD126" s="12">
        <f>0</f>
        <v>0</v>
      </c>
      <c r="BE126" s="12">
        <f>0</f>
        <v>0</v>
      </c>
      <c r="BF126" s="12">
        <f>SUM(BB126:BE126)</f>
        <v>0</v>
      </c>
      <c r="BG126" s="12" t="n"/>
      <c r="BH126" s="12" t="n"/>
      <c r="BI126" s="12" t="n"/>
      <c r="BJ126" s="12" t="n"/>
      <c r="BK126" s="12" t="n"/>
      <c r="BL126" s="12" t="n"/>
      <c r="BM126" s="12" t="n"/>
      <c r="BN126" s="12" t="n"/>
      <c r="BO126" s="12" t="n"/>
      <c r="BP126" s="12" t="n"/>
      <c r="BQ126" s="12" t="n"/>
      <c r="BR126" s="12" t="n"/>
      <c r="BS126" s="12" t="n"/>
      <c r="BT126" s="12" t="n"/>
      <c r="BU126" s="12" t="n"/>
      <c r="BV126" s="12" t="n"/>
      <c r="BW126" s="12" t="n"/>
      <c r="BX126" s="12" t="n"/>
      <c r="BY126" s="12" t="n"/>
      <c r="BZ126" s="12" t="n"/>
      <c r="CA126" s="12" t="n"/>
      <c r="CB126" s="12" t="n"/>
      <c r="CC126" s="12" t="n"/>
      <c r="CD126" s="12" t="n"/>
      <c r="CE126" s="12" t="n"/>
      <c r="CF126" s="12" t="n"/>
      <c r="CG126" s="12" t="n"/>
      <c r="CH126" s="12" t="n"/>
      <c r="CI126" s="12" t="n"/>
      <c r="CJ126" s="12" t="n"/>
      <c r="CK126" s="12" t="n"/>
      <c r="CL126" s="12" t="n"/>
      <c r="CM126" s="12" t="n"/>
      <c r="CN126" s="12" t="n"/>
      <c r="CO126" s="12" t="n"/>
      <c r="CP126" s="12" t="n"/>
      <c r="CQ126" s="12" t="n"/>
      <c r="CR126" s="12" t="n"/>
      <c r="CS126" s="12" t="n"/>
      <c r="CT126" s="12" t="n"/>
      <c r="CU126" s="12" t="n"/>
      <c r="CV126" s="12" t="n"/>
      <c r="CW126" s="12" t="n"/>
      <c r="CX126" s="12" t="n"/>
      <c r="CY126" s="12" t="n"/>
    </row>
    <row r="127">
      <c r="C127" s="14" t="inlineStr">
        <is>
          <t>Minority Interest Expense, after tax (enter as - )</t>
        </is>
      </c>
      <c r="D127" s="46" t="n"/>
      <c r="E127" s="46" t="n"/>
      <c r="F127" s="46" t="n"/>
      <c r="G127" s="46" t="n"/>
      <c r="H127" s="12" t="n"/>
      <c r="I127" s="46">
        <f>'Inputs (2)'!D12</f>
        <v>0</v>
      </c>
      <c r="J127" s="46">
        <f>'Inputs (2)'!E12</f>
        <v>0</v>
      </c>
      <c r="K127" s="46">
        <f>'Inputs (2)'!F12</f>
        <v>0</v>
      </c>
      <c r="L127" s="46">
        <f>'Inputs (2)'!G12</f>
        <v>0</v>
      </c>
      <c r="M127" s="12">
        <f>'Inputs (2)'!H12</f>
        <v>0</v>
      </c>
      <c r="N127" s="46">
        <f>'Inputs (2)'!I12</f>
        <v>0</v>
      </c>
      <c r="O127" s="46">
        <f>'Inputs (2)'!J12</f>
        <v>0</v>
      </c>
      <c r="P127" s="46">
        <f>'Inputs (2)'!K12</f>
        <v>0</v>
      </c>
      <c r="Q127" s="46">
        <f>'Inputs (2)'!L12</f>
        <v>0</v>
      </c>
      <c r="R127" s="12">
        <f>'Inputs (2)'!M12</f>
        <v>0</v>
      </c>
      <c r="S127" s="46">
        <f>'Inputs (2)'!N12</f>
        <v>0</v>
      </c>
      <c r="T127" s="46">
        <f>'Inputs (2)'!O12</f>
        <v>0</v>
      </c>
      <c r="U127" s="46">
        <f>'Inputs (2)'!P12</f>
        <v>0</v>
      </c>
      <c r="V127" s="46">
        <f>'Inputs (2)'!Q12</f>
        <v>0</v>
      </c>
      <c r="W127" s="12">
        <f>'Inputs (2)'!R12</f>
        <v>0</v>
      </c>
      <c r="X127" s="46">
        <f>'Inputs (2)'!S12</f>
        <v>0</v>
      </c>
      <c r="Y127" s="46">
        <f>'Inputs (2)'!T12</f>
        <v>0</v>
      </c>
      <c r="Z127" s="46">
        <f>'Inputs (2)'!U12</f>
        <v>0</v>
      </c>
      <c r="AA127" s="46">
        <f>'Inputs (2)'!V12</f>
        <v>0</v>
      </c>
      <c r="AB127" s="12">
        <f>'Inputs (2)'!W12</f>
        <v>0</v>
      </c>
      <c r="AC127" s="46">
        <f>'Inputs (2)'!X12</f>
        <v>0</v>
      </c>
      <c r="AD127" s="46">
        <f>'Inputs (2)'!Y12</f>
        <v>0</v>
      </c>
      <c r="AE127" s="46">
        <f>'Inputs (2)'!Z12</f>
        <v>0</v>
      </c>
      <c r="AF127" s="46">
        <f>'Inputs (2)'!AA12</f>
        <v>0</v>
      </c>
      <c r="AG127" s="12">
        <f>'Inputs (2)'!AB12</f>
        <v>0</v>
      </c>
      <c r="AH127" s="12">
        <f>'Inputs (2)'!AC12</f>
        <v>0</v>
      </c>
      <c r="AI127" s="12">
        <f>'Inputs (2)'!AD12</f>
        <v>0</v>
      </c>
      <c r="AJ127" s="12">
        <f>0</f>
        <v>0</v>
      </c>
      <c r="AK127" s="12">
        <f>0</f>
        <v>0</v>
      </c>
      <c r="AL127" s="12">
        <f>SUM(AH127:AK127)</f>
        <v>0</v>
      </c>
      <c r="AM127" s="12">
        <f>0</f>
        <v>0</v>
      </c>
      <c r="AN127" s="12">
        <f>0</f>
        <v>0</v>
      </c>
      <c r="AO127" s="12">
        <f>0</f>
        <v>0</v>
      </c>
      <c r="AP127" s="12">
        <f>0</f>
        <v>0</v>
      </c>
      <c r="AQ127" s="12">
        <f>SUM(AM127:AP127)</f>
        <v>0</v>
      </c>
      <c r="AR127" s="12">
        <f>0</f>
        <v>0</v>
      </c>
      <c r="AS127" s="12">
        <f>0</f>
        <v>0</v>
      </c>
      <c r="AT127" s="12">
        <f>0</f>
        <v>0</v>
      </c>
      <c r="AU127" s="12">
        <f>0</f>
        <v>0</v>
      </c>
      <c r="AV127" s="12">
        <f>SUM(AR127:AU127)</f>
        <v>0</v>
      </c>
      <c r="AW127" s="12">
        <f>0</f>
        <v>0</v>
      </c>
      <c r="AX127" s="12">
        <f>0</f>
        <v>0</v>
      </c>
      <c r="AY127" s="12">
        <f>0</f>
        <v>0</v>
      </c>
      <c r="AZ127" s="12">
        <f>0</f>
        <v>0</v>
      </c>
      <c r="BA127" s="12">
        <f>SUM(AW127:AZ127)</f>
        <v>0</v>
      </c>
      <c r="BB127" s="12">
        <f>0</f>
        <v>0</v>
      </c>
      <c r="BC127" s="12">
        <f>0</f>
        <v>0</v>
      </c>
      <c r="BD127" s="12">
        <f>0</f>
        <v>0</v>
      </c>
      <c r="BE127" s="12">
        <f>0</f>
        <v>0</v>
      </c>
      <c r="BF127" s="12">
        <f>SUM(BB127:BE127)</f>
        <v>0</v>
      </c>
      <c r="BG127" s="12" t="n"/>
      <c r="BH127" s="12" t="n"/>
      <c r="BI127" s="12" t="n"/>
      <c r="BJ127" s="12" t="n"/>
      <c r="BK127" s="12" t="n"/>
      <c r="BL127" s="12" t="n"/>
      <c r="BM127" s="12" t="n"/>
      <c r="BN127" s="12" t="n"/>
      <c r="BO127" s="12" t="n"/>
      <c r="BP127" s="12" t="n"/>
      <c r="BQ127" s="12" t="n"/>
      <c r="BR127" s="12" t="n"/>
      <c r="BS127" s="12" t="n"/>
      <c r="BT127" s="12" t="n"/>
      <c r="BU127" s="12" t="n"/>
      <c r="BV127" s="12" t="n"/>
      <c r="BW127" s="12" t="n"/>
      <c r="BX127" s="12" t="n"/>
      <c r="BY127" s="12" t="n"/>
      <c r="BZ127" s="12" t="n"/>
      <c r="CA127" s="12" t="n"/>
      <c r="CB127" s="12" t="n"/>
      <c r="CC127" s="12" t="n"/>
      <c r="CD127" s="12" t="n"/>
      <c r="CE127" s="12" t="n"/>
      <c r="CF127" s="12" t="n"/>
      <c r="CG127" s="12" t="n"/>
      <c r="CH127" s="12" t="n"/>
      <c r="CI127" s="12" t="n"/>
      <c r="CJ127" s="12" t="n"/>
      <c r="CK127" s="12" t="n"/>
      <c r="CL127" s="12" t="n"/>
      <c r="CM127" s="12" t="n"/>
      <c r="CN127" s="12" t="n"/>
      <c r="CO127" s="12" t="n"/>
      <c r="CP127" s="12" t="n"/>
      <c r="CQ127" s="12" t="n"/>
      <c r="CR127" s="12" t="n"/>
      <c r="CS127" s="12" t="n"/>
      <c r="CT127" s="12" t="n"/>
      <c r="CU127" s="12" t="n"/>
      <c r="CV127" s="12" t="n"/>
      <c r="CW127" s="12" t="n"/>
      <c r="CX127" s="12" t="n"/>
      <c r="CY127" s="12" t="n"/>
    </row>
    <row r="128" customFormat="1" s="32">
      <c r="A128" s="30" t="n"/>
      <c r="B128" s="3" t="n"/>
      <c r="C128" s="33" t="inlineStr">
        <is>
          <t>Net Income</t>
        </is>
      </c>
      <c r="D128" s="35" t="n"/>
      <c r="E128" s="35" t="n"/>
      <c r="F128" s="35" t="n"/>
      <c r="G128" s="35" t="n"/>
      <c r="H128" s="35" t="n"/>
      <c r="I128" s="35">
        <f>SUM(I121,I122,I126,I127)</f>
        <v>1837</v>
      </c>
      <c r="J128" s="35">
        <f>SUM(J121,J122,J126,J127)</f>
        <v>1815</v>
      </c>
      <c r="K128" s="35">
        <f>SUM(K121,K122,K126,K127)</f>
        <v>614</v>
      </c>
      <c r="L128" s="35">
        <f>SUM(L121,L122,L126,L127)</f>
        <v>2049</v>
      </c>
      <c r="M128" s="35">
        <f>SUM(I128:L128)</f>
        <v>6315</v>
      </c>
      <c r="N128" s="35">
        <f>SUM(N121,N122,N126,N127)</f>
        <v>1733</v>
      </c>
      <c r="O128" s="35">
        <f>SUM(O121,O122,O126,O127)</f>
        <v>309</v>
      </c>
      <c r="P128" s="35">
        <f>SUM(P121,P122,P126,P127)</f>
        <v>1778</v>
      </c>
      <c r="Q128" s="35">
        <f>SUM(Q121,Q122,Q126,Q127)</f>
        <v>1912</v>
      </c>
      <c r="R128" s="35">
        <f>SUM(N128:Q128)</f>
        <v>5732</v>
      </c>
      <c r="S128" s="35">
        <f>SUM(S121,S122,S126,S127)</f>
        <v>1689</v>
      </c>
      <c r="T128" s="35">
        <f>SUM(T121,T122,T126,T127)</f>
        <v>1681</v>
      </c>
      <c r="U128" s="35">
        <f>SUM(U121,U122,U126,U127)</f>
        <v>1684</v>
      </c>
      <c r="V128" s="35">
        <f>SUM(V121,V122,V126,V127)</f>
        <v>1866</v>
      </c>
      <c r="W128" s="35">
        <f>SUM(S128:V128)</f>
        <v>6920</v>
      </c>
      <c r="X128" s="35">
        <f>SUM(X121,X122,X126,X127)</f>
        <v>1545</v>
      </c>
      <c r="Y128" s="35">
        <f>SUM(Y121,Y122,Y126,Y127)</f>
        <v>1641</v>
      </c>
      <c r="Z128" s="35">
        <f>SUM(Z121,Z122,Z126,Z127)</f>
        <v>1623</v>
      </c>
      <c r="AA128" s="35">
        <f>SUM(AA121,AA122,AA126,AA127)</f>
        <v>527</v>
      </c>
      <c r="AB128" s="35">
        <f>SUM(X128:AA128)</f>
        <v>5336</v>
      </c>
      <c r="AC128" s="35">
        <f>SUM(AC121,AC122,AC126,AC127)</f>
        <v>1712</v>
      </c>
      <c r="AD128" s="35">
        <f>SUM(AD121,AD122,AD126,AD127)</f>
        <v>342</v>
      </c>
      <c r="AE128" s="35">
        <f>SUM(AE121,AE122,AE126,AE127)</f>
        <v>1619</v>
      </c>
      <c r="AF128" s="35">
        <f>SUM(AF121,AF122,AF126,AF127)</f>
        <v>1344</v>
      </c>
      <c r="AG128" s="35">
        <f>SUM(AC128:AF128)</f>
        <v>5017</v>
      </c>
      <c r="AH128" s="35">
        <f>SUM(AH121,AH122,AH126,AH127)</f>
        <v>1488</v>
      </c>
      <c r="AI128" s="35">
        <f>SUM(AI121,AI122,AI126,AI127)</f>
        <v>1836</v>
      </c>
      <c r="AJ128" s="35">
        <f>SUM(AJ121,AJ122,AJ126,AJ127)</f>
        <v>1680.13168142207</v>
      </c>
      <c r="AK128" s="35">
        <f>SUM(AK121,AK122,AK126,AK127)</f>
        <v>1834.70126810564</v>
      </c>
      <c r="AL128" s="35">
        <f>SUM(AH128:AK128)</f>
        <v>6838.83294952771</v>
      </c>
      <c r="AM128" s="35">
        <f>SUM(AM121,AM122,AM126,AM127)</f>
        <v>1627.04352898636</v>
      </c>
      <c r="AN128" s="35">
        <f>SUM(AN121,AN122,AN126,AN127)</f>
        <v>1811.40748693487</v>
      </c>
      <c r="AO128" s="35">
        <f>SUM(AO121,AO122,AO126,AO127)</f>
        <v>1773.66917579666</v>
      </c>
      <c r="AP128" s="35">
        <f>SUM(AP121,AP122,AP126,AP127)</f>
        <v>1936.84407122166</v>
      </c>
      <c r="AQ128" s="35">
        <f>SUM(AM128:AP128)</f>
        <v>7148.96426293954</v>
      </c>
      <c r="AR128" s="35">
        <f>SUM(AR121,AR122,AR126,AR127)</f>
        <v>1709.49024406884</v>
      </c>
      <c r="AS128" s="35">
        <f>SUM(AS121,AS122,AS126,AS127)</f>
        <v>1903.19642454653</v>
      </c>
      <c r="AT128" s="35">
        <f>SUM(AT121,AT122,AT126,AT127)</f>
        <v>1863.54581067599</v>
      </c>
      <c r="AU128" s="35">
        <f>SUM(AU121,AU122,AU126,AU127)</f>
        <v>2034.98922127717</v>
      </c>
      <c r="AV128" s="35">
        <f>SUM(AR128:AU128)</f>
        <v>7511.22170056853</v>
      </c>
      <c r="AW128" s="35">
        <f>SUM(AW121,AW122,AW126,AW127)</f>
        <v>1787.56730693069</v>
      </c>
      <c r="AX128" s="35">
        <f>SUM(AX121,AX122,AX126,AX127)</f>
        <v>1990.12057482662</v>
      </c>
      <c r="AY128" s="35">
        <f>SUM(AY121,AY122,AY126,AY127)</f>
        <v>1948.65900971934</v>
      </c>
      <c r="AZ128" s="35">
        <f>SUM(AZ121,AZ122,AZ126,AZ127)</f>
        <v>2127.93270656707</v>
      </c>
      <c r="BA128" s="35">
        <f>SUM(AW128:AZ128)</f>
        <v>7854.27959804372</v>
      </c>
      <c r="BB128" s="35">
        <f>SUM(BB121,BB122,BB126,BB127)</f>
        <v>1860.27252479618</v>
      </c>
      <c r="BC128" s="35">
        <f>SUM(BC121,BC122,BC126,BC127)</f>
        <v>2071.06418428421</v>
      </c>
      <c r="BD128" s="35">
        <f>SUM(BD121,BD122,BD126,BD127)</f>
        <v>2027.91626470374</v>
      </c>
      <c r="BE128" s="35">
        <f>SUM(BE121,BE122,BE126,BE127)</f>
        <v>2214.48150975575</v>
      </c>
      <c r="BF128" s="35">
        <f>SUM(BB128:BE128)</f>
        <v>8173.73448353987</v>
      </c>
      <c r="BG128" s="35" t="n"/>
      <c r="BH128" s="35" t="n"/>
      <c r="BI128" s="35" t="n"/>
      <c r="BJ128" s="35" t="n"/>
      <c r="BK128" s="35" t="n"/>
      <c r="BL128" s="35" t="n"/>
      <c r="BM128" s="35" t="n"/>
      <c r="BN128" s="35" t="n"/>
      <c r="BO128" s="35" t="n"/>
      <c r="BP128" s="35" t="n"/>
      <c r="BQ128" s="35" t="n"/>
      <c r="BR128" s="35" t="n"/>
      <c r="BS128" s="35" t="n"/>
      <c r="BT128" s="35" t="n"/>
      <c r="BU128" s="35" t="n"/>
      <c r="BV128" s="35" t="n"/>
      <c r="BW128" s="35" t="n"/>
      <c r="BX128" s="35" t="n"/>
      <c r="BY128" s="35" t="n"/>
      <c r="BZ128" s="35" t="n"/>
      <c r="CA128" s="35" t="n"/>
      <c r="CB128" s="35" t="n"/>
      <c r="CC128" s="35" t="n"/>
      <c r="CD128" s="35" t="n"/>
      <c r="CE128" s="35" t="n"/>
      <c r="CF128" s="35" t="n"/>
      <c r="CG128" s="35" t="n"/>
      <c r="CH128" s="35" t="n"/>
      <c r="CI128" s="35" t="n"/>
      <c r="CJ128" s="35" t="n"/>
      <c r="CK128" s="35" t="n"/>
      <c r="CL128" s="35" t="n"/>
      <c r="CM128" s="35" t="n"/>
      <c r="CN128" s="35" t="n"/>
      <c r="CO128" s="35" t="n"/>
      <c r="CP128" s="35" t="n"/>
      <c r="CQ128" s="35" t="n"/>
      <c r="CR128" s="35" t="n"/>
      <c r="CS128" s="35" t="n"/>
      <c r="CT128" s="35" t="n"/>
      <c r="CU128" s="35" t="n"/>
      <c r="CV128" s="35" t="n"/>
      <c r="CW128" s="35" t="n"/>
      <c r="CX128" s="35" t="n"/>
      <c r="CY128" s="35" t="n"/>
    </row>
    <row r="129">
      <c r="C129" s="13" t="inlineStr">
        <is>
          <t>Common Dividends</t>
        </is>
      </c>
      <c r="D129" s="46" t="n"/>
      <c r="E129" s="46" t="n"/>
      <c r="F129" s="46" t="n"/>
      <c r="G129" s="46" t="n"/>
      <c r="H129" s="12" t="n"/>
      <c r="I129" s="46">
        <f>'Inputs (2)'!D13</f>
        <v>-739</v>
      </c>
      <c r="J129" s="46">
        <f>'Inputs (2)'!E13</f>
        <v>-721</v>
      </c>
      <c r="K129" s="46">
        <f>'Inputs (2)'!F13</f>
        <v>-718</v>
      </c>
      <c r="L129" s="46">
        <f>'Inputs (2)'!G13</f>
        <v>-762</v>
      </c>
      <c r="M129" s="12">
        <f>'Inputs (2)'!H13</f>
        <v>-2940</v>
      </c>
      <c r="N129" s="46">
        <f>'Inputs (2)'!I13</f>
        <v>-767</v>
      </c>
      <c r="O129" s="46">
        <f>'Inputs (2)'!J13</f>
        <v>-744</v>
      </c>
      <c r="P129" s="46">
        <f>'Inputs (2)'!K13</f>
        <v>-739</v>
      </c>
      <c r="Q129" s="46">
        <f>'Inputs (2)'!L13</f>
        <v>-766</v>
      </c>
      <c r="R129" s="12">
        <f>'Inputs (2)'!M13</f>
        <v>-3016</v>
      </c>
      <c r="S129" s="46">
        <f>'Inputs (2)'!N13</f>
        <v>-784</v>
      </c>
      <c r="T129" s="46">
        <f>'Inputs (2)'!O13</f>
        <v>-758</v>
      </c>
      <c r="U129" s="46">
        <f>'Inputs (2)'!P13</f>
        <v>-747</v>
      </c>
      <c r="V129" s="46">
        <f>'Inputs (2)'!Q13</f>
        <v>-767</v>
      </c>
      <c r="W129" s="12">
        <f>'Inputs (2)'!R13</f>
        <v>-3056</v>
      </c>
      <c r="X129" s="46">
        <f>'Inputs (2)'!S13</f>
        <v>-780</v>
      </c>
      <c r="Y129" s="46">
        <f>'Inputs (2)'!T13</f>
        <v>-752</v>
      </c>
      <c r="Z129" s="46">
        <f>'Inputs (2)'!U13</f>
        <v>-749</v>
      </c>
      <c r="AA129" s="46">
        <f>'Inputs (2)'!V13</f>
        <v>-778</v>
      </c>
      <c r="AB129" s="12">
        <f>'Inputs (2)'!W13</f>
        <v>-3059</v>
      </c>
      <c r="AC129" s="46">
        <f>'Inputs (2)'!X13</f>
        <v>-796</v>
      </c>
      <c r="AD129" s="46">
        <f>'Inputs (2)'!Y13</f>
        <v>-771</v>
      </c>
      <c r="AE129" s="46">
        <f>'Inputs (2)'!Z13</f>
        <v>-765</v>
      </c>
      <c r="AF129" s="46">
        <f>'Inputs (2)'!AA13</f>
        <v>-799</v>
      </c>
      <c r="AG129" s="12">
        <f>'Inputs (2)'!AB13</f>
        <v>-3131</v>
      </c>
      <c r="AH129" s="12">
        <f>'Inputs (2)'!AC13</f>
        <v>-816</v>
      </c>
      <c r="AI129" s="12">
        <f>'Inputs (2)'!AD13</f>
        <v>-796</v>
      </c>
      <c r="AJ129" s="12">
        <f>-MAX(0,AJ128)*Control!$E$15</f>
        <v>0</v>
      </c>
      <c r="AK129" s="12">
        <f>-MAX(0,AK128)*Control!$E$15</f>
        <v>0</v>
      </c>
      <c r="AL129" s="12">
        <f>SUM(AH129:AK129)</f>
        <v>-1612</v>
      </c>
      <c r="AM129" s="12">
        <f>-MAX(0,AM128)*Control!$E$15</f>
        <v>0</v>
      </c>
      <c r="AN129" s="12">
        <f>-MAX(0,AN128)*Control!$E$15</f>
        <v>0</v>
      </c>
      <c r="AO129" s="12">
        <f>-MAX(0,AO128)*Control!$E$15</f>
        <v>0</v>
      </c>
      <c r="AP129" s="12">
        <f>-MAX(0,AP128)*Control!$E$15</f>
        <v>0</v>
      </c>
      <c r="AQ129" s="12">
        <f>SUM(AM129:AP129)</f>
        <v>0</v>
      </c>
      <c r="AR129" s="12">
        <f>-MAX(0,AR128)*Control!$E$15</f>
        <v>0</v>
      </c>
      <c r="AS129" s="12">
        <f>-MAX(0,AS128)*Control!$E$15</f>
        <v>0</v>
      </c>
      <c r="AT129" s="12">
        <f>-MAX(0,AT128)*Control!$E$15</f>
        <v>0</v>
      </c>
      <c r="AU129" s="12">
        <f>-MAX(0,AU128)*Control!$E$15</f>
        <v>0</v>
      </c>
      <c r="AV129" s="12">
        <f>SUM(AR129:AU129)</f>
        <v>0</v>
      </c>
      <c r="AW129" s="12">
        <f>-MAX(0,AW128)*Control!$E$15</f>
        <v>0</v>
      </c>
      <c r="AX129" s="12">
        <f>-MAX(0,AX128)*Control!$E$15</f>
        <v>0</v>
      </c>
      <c r="AY129" s="12">
        <f>-MAX(0,AY128)*Control!$E$15</f>
        <v>0</v>
      </c>
      <c r="AZ129" s="12">
        <f>-MAX(0,AZ128)*Control!$E$15</f>
        <v>0</v>
      </c>
      <c r="BA129" s="12">
        <f>SUM(AW129:AZ129)</f>
        <v>0</v>
      </c>
      <c r="BB129" s="12">
        <f>-MAX(0,BB128)*Control!$E$15</f>
        <v>0</v>
      </c>
      <c r="BC129" s="12">
        <f>-MAX(0,BC128)*Control!$E$15</f>
        <v>0</v>
      </c>
      <c r="BD129" s="12">
        <f>-MAX(0,BD128)*Control!$E$15</f>
        <v>0</v>
      </c>
      <c r="BE129" s="12">
        <f>-MAX(0,BE128)*Control!$E$15</f>
        <v>0</v>
      </c>
      <c r="BF129" s="12">
        <f>SUM(BB129:BE129)</f>
        <v>0</v>
      </c>
      <c r="BG129" s="12" t="n"/>
      <c r="BH129" s="12" t="n"/>
      <c r="BI129" s="12" t="n"/>
      <c r="BJ129" s="12" t="n"/>
      <c r="BK129" s="12" t="n"/>
      <c r="BL129" s="12" t="n"/>
      <c r="BM129" s="12" t="n"/>
      <c r="BN129" s="12" t="n"/>
      <c r="BO129" s="12" t="n"/>
      <c r="BP129" s="12" t="n"/>
      <c r="BQ129" s="12" t="n"/>
      <c r="BR129" s="12" t="n"/>
      <c r="BS129" s="12" t="n"/>
      <c r="BT129" s="12" t="n"/>
      <c r="BU129" s="12" t="n"/>
      <c r="BV129" s="12" t="n"/>
      <c r="BW129" s="12" t="n"/>
      <c r="BX129" s="12" t="n"/>
      <c r="BY129" s="12" t="n"/>
      <c r="BZ129" s="12" t="n"/>
      <c r="CA129" s="12" t="n"/>
      <c r="CB129" s="12" t="n"/>
      <c r="CC129" s="12" t="n"/>
      <c r="CD129" s="12" t="n"/>
      <c r="CE129" s="12" t="n"/>
      <c r="CF129" s="12" t="n"/>
      <c r="CG129" s="12" t="n"/>
      <c r="CH129" s="12" t="n"/>
      <c r="CI129" s="12" t="n"/>
      <c r="CJ129" s="12" t="n"/>
      <c r="CK129" s="12" t="n"/>
      <c r="CL129" s="12" t="n"/>
      <c r="CM129" s="12" t="n"/>
      <c r="CN129" s="12" t="n"/>
      <c r="CO129" s="12" t="n"/>
      <c r="CP129" s="12" t="n"/>
      <c r="CQ129" s="12" t="n"/>
      <c r="CR129" s="12" t="n"/>
      <c r="CS129" s="12" t="n"/>
      <c r="CT129" s="12" t="n"/>
      <c r="CU129" s="12" t="n"/>
      <c r="CV129" s="12" t="n"/>
      <c r="CW129" s="12" t="n"/>
      <c r="CX129" s="12" t="n"/>
      <c r="CY129" s="12" t="n"/>
    </row>
    <row r="130" hidden="1" outlineLevel="1">
      <c r="C130" s="50" t="inlineStr">
        <is>
          <t>% DVD Payout</t>
        </is>
      </c>
      <c r="D130" s="58" t="n"/>
      <c r="E130" s="58" t="n"/>
      <c r="F130" s="58" t="n"/>
      <c r="G130" s="58" t="n"/>
      <c r="H130" s="58" t="n"/>
      <c r="I130" s="58">
        <f>IF(I128=0,"",-I129/I128)</f>
        <v>0.402286336418073</v>
      </c>
      <c r="J130" s="58">
        <f>IF(J128=0,"",-J129/J128)</f>
        <v>0.397245179063361</v>
      </c>
      <c r="K130" s="58">
        <f>IF(K128=0,"",-K129/K128)</f>
        <v>1.16938110749186</v>
      </c>
      <c r="L130" s="58">
        <f>IF(L128=0,"",-L129/L128)</f>
        <v>0.371888726207906</v>
      </c>
      <c r="M130" s="58">
        <f>IF(M128=0,"",-M129/M128)</f>
        <v>0.465558194774347</v>
      </c>
      <c r="N130" s="58">
        <f>IF(N128=0,"",-N129/N128)</f>
        <v>0.442585112521639</v>
      </c>
      <c r="O130" s="58">
        <f>IF(O128=0,"",-O129/O128)</f>
        <v>2.40776699029126</v>
      </c>
      <c r="P130" s="58">
        <f>IF(P128=0,"",-P129/P128)</f>
        <v>0.415635545556805</v>
      </c>
      <c r="Q130" s="58">
        <f>IF(Q128=0,"",-Q129/Q128)</f>
        <v>0.400627615062762</v>
      </c>
      <c r="R130" s="58">
        <f>IF(R128=0,"",-R129/R128)</f>
        <v>0.526168876482903</v>
      </c>
      <c r="S130" s="58">
        <f>IF(S128=0,"",-S129/S128)</f>
        <v>0.464179988158674</v>
      </c>
      <c r="T130" s="58">
        <f>IF(T128=0,"",-T129/T128)</f>
        <v>0.450922070196312</v>
      </c>
      <c r="U130" s="58">
        <f>IF(U128=0,"",-U129/U128)</f>
        <v>0.443586698337292</v>
      </c>
      <c r="V130" s="58">
        <f>IF(V128=0,"",-V129/V128)</f>
        <v>0.411039657020364</v>
      </c>
      <c r="W130" s="58">
        <f>IF(W128=0,"",-W129/W128)</f>
        <v>0.441618497109827</v>
      </c>
      <c r="X130" s="58">
        <f>IF(X128=0,"",-X129/X128)</f>
        <v>0.504854368932039</v>
      </c>
      <c r="Y130" s="58">
        <f>IF(Y128=0,"",-Y129/Y128)</f>
        <v>0.458257160268129</v>
      </c>
      <c r="Z130" s="58">
        <f>IF(Z128=0,"",-Z129/Z128)</f>
        <v>0.461491065927295</v>
      </c>
      <c r="AA130" s="58">
        <f>IF(AA128=0,"",-AA129/AA128)</f>
        <v>1.47628083491461</v>
      </c>
      <c r="AB130" s="58">
        <f>IF(AB128=0,"",-AB129/AB128)</f>
        <v>0.573275862068966</v>
      </c>
      <c r="AC130" s="58">
        <f>IF(AC128=0,"",-AC129/AC128)</f>
        <v>0.464953271028037</v>
      </c>
      <c r="AD130" s="58">
        <f>IF(AD128=0,"",-AD129/AD128)</f>
        <v>2.25438596491228</v>
      </c>
      <c r="AE130" s="58">
        <f>IF(AE128=0,"",-AE129/AE128)</f>
        <v>0.472513897467573</v>
      </c>
      <c r="AF130" s="41">
        <f>IF(AF128=0,"",-AF129/AF128)</f>
        <v>0.594494047619048</v>
      </c>
      <c r="AG130" s="12">
        <f>IF(AG128=0,"",-AG129/AG128)</f>
        <v>0.624078134343233</v>
      </c>
      <c r="AH130" s="41">
        <f>IF(AH128=0,"",-AH129/AH128)</f>
        <v>0.548387096774194</v>
      </c>
      <c r="AI130" s="41">
        <f>IF(AI128=0,"",-AI129/AI128)</f>
        <v>0.433551198257081</v>
      </c>
      <c r="AJ130" s="41">
        <f>IF(AJ128=0,"",-AJ129/AJ128)</f>
        <v>0</v>
      </c>
      <c r="AK130" s="41">
        <f>IF(AK128=0,"",-AK129/AK128)</f>
        <v>0</v>
      </c>
      <c r="AL130" s="12">
        <f>IF(AL128=0,"",-AL129/AL128)</f>
        <v>0.235712732259577</v>
      </c>
      <c r="AM130" s="41">
        <f>IF(AM128=0,"",-AM129/AM128)</f>
        <v>0</v>
      </c>
      <c r="AN130" s="41">
        <f>IF(AN128=0,"",-AN129/AN128)</f>
        <v>0</v>
      </c>
      <c r="AO130" s="41">
        <f>IF(AO128=0,"",-AO129/AO128)</f>
        <v>0</v>
      </c>
      <c r="AP130" s="41">
        <f>IF(AP128=0,"",-AP129/AP128)</f>
        <v>0</v>
      </c>
      <c r="AQ130" s="12">
        <f>IF(AQ128=0,"",-AQ129/AQ128)</f>
        <v>0</v>
      </c>
      <c r="AR130" s="41">
        <f>IF(AR128=0,"",-AR129/AR128)</f>
        <v>0</v>
      </c>
      <c r="AS130" s="41">
        <f>IF(AS128=0,"",-AS129/AS128)</f>
        <v>0</v>
      </c>
      <c r="AT130" s="41">
        <f>IF(AT128=0,"",-AT129/AT128)</f>
        <v>0</v>
      </c>
      <c r="AU130" s="41">
        <f>IF(AU128=0,"",-AU129/AU128)</f>
        <v>0</v>
      </c>
      <c r="AV130" s="12">
        <f>IF(AV128=0,"",-AV129/AV128)</f>
        <v>0</v>
      </c>
      <c r="AW130" s="41">
        <f>IF(AW128=0,"",-AW129/AW128)</f>
        <v>0</v>
      </c>
      <c r="AX130" s="41">
        <f>IF(AX128=0,"",-AX129/AX128)</f>
        <v>0</v>
      </c>
      <c r="AY130" s="41">
        <f>IF(AY128=0,"",-AY129/AY128)</f>
        <v>0</v>
      </c>
      <c r="AZ130" s="41">
        <f>IF(AZ128=0,"",-AZ129/AZ128)</f>
        <v>0</v>
      </c>
      <c r="BA130" s="12">
        <f>IF(BA128=0,"",-BA129/BA128)</f>
        <v>0</v>
      </c>
      <c r="BB130" s="41">
        <f>IF(BB128=0,"",-BB129/BB128)</f>
        <v>0</v>
      </c>
      <c r="BC130" s="41">
        <f>IF(BC128=0,"",-BC129/BC128)</f>
        <v>0</v>
      </c>
      <c r="BD130" s="41">
        <f>IF(BD128=0,"",-BD129/BD128)</f>
        <v>0</v>
      </c>
      <c r="BE130" s="41">
        <f>IF(BE128=0,"",-BE129/BE128)</f>
        <v>0</v>
      </c>
      <c r="BF130" s="12">
        <f>IF(BF128=0,"",-BF129/BF128)</f>
        <v>0</v>
      </c>
      <c r="BG130" s="41" t="n"/>
      <c r="BH130" s="41" t="n"/>
      <c r="BI130" s="41" t="n"/>
      <c r="BJ130" s="41" t="n"/>
      <c r="BK130" s="12" t="n"/>
      <c r="BL130" s="41" t="n"/>
      <c r="BM130" s="41" t="n"/>
      <c r="BN130" s="41" t="n"/>
      <c r="BO130" s="41" t="n"/>
      <c r="BP130" s="12" t="n"/>
      <c r="BQ130" s="41" t="n"/>
      <c r="BR130" s="41" t="n"/>
      <c r="BS130" s="41" t="n"/>
      <c r="BT130" s="41" t="n"/>
      <c r="BU130" s="12" t="n"/>
      <c r="BV130" s="41" t="n"/>
      <c r="BW130" s="41" t="n"/>
      <c r="BX130" s="41" t="n"/>
      <c r="BY130" s="41" t="n"/>
      <c r="BZ130" s="12" t="n"/>
      <c r="CA130" s="41" t="n"/>
      <c r="CB130" s="41" t="n"/>
      <c r="CC130" s="41" t="n"/>
      <c r="CD130" s="41" t="n"/>
      <c r="CE130" s="12" t="n"/>
      <c r="CF130" s="41" t="n"/>
      <c r="CG130" s="41" t="n"/>
      <c r="CH130" s="41" t="n"/>
      <c r="CI130" s="41" t="n"/>
      <c r="CJ130" s="12" t="n"/>
      <c r="CK130" s="41" t="n"/>
      <c r="CL130" s="41" t="n"/>
      <c r="CM130" s="41" t="n"/>
      <c r="CN130" s="41" t="n"/>
      <c r="CO130" s="12" t="n"/>
      <c r="CP130" s="41" t="n"/>
      <c r="CQ130" s="41" t="n"/>
      <c r="CR130" s="41" t="n"/>
      <c r="CS130" s="41" t="n"/>
      <c r="CT130" s="12" t="n"/>
      <c r="CU130" s="41" t="n"/>
      <c r="CV130" s="41" t="n"/>
      <c r="CW130" s="41" t="n"/>
      <c r="CX130" s="41" t="n"/>
      <c r="CY130" s="12" t="n"/>
    </row>
    <row r="131" hidden="1" outlineLevel="1">
      <c r="C131" s="18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hidden="1" outlineLevel="1">
      <c r="C132" s="18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  <c r="CU132" s="3" t="n"/>
      <c r="CV132" s="3" t="n"/>
      <c r="CW132" s="3" t="n"/>
      <c r="CX132" s="3" t="n"/>
      <c r="CY132" s="3" t="n"/>
    </row>
    <row r="133" collapsed="1" ht="11.25" customHeight="1">
      <c r="C133" s="31" t="inlineStr">
        <is>
          <t>Balance Sheet</t>
        </is>
      </c>
      <c r="D133" s="31" t="n"/>
      <c r="E133" s="31" t="n"/>
      <c r="F133" s="31" t="n"/>
      <c r="G133" s="31" t="n"/>
      <c r="H133" s="31" t="n"/>
      <c r="I133" s="31" t="str">
        <f>I13</f>
        <v>1Q21</v>
      </c>
      <c r="J133" s="31" t="str">
        <f>J13</f>
        <v>2Q21</v>
      </c>
      <c r="K133" s="31" t="str">
        <f>K13</f>
        <v>3Q21</v>
      </c>
      <c r="L133" s="31" t="str">
        <f>L13</f>
        <v>4Q21</v>
      </c>
      <c r="M133" s="31">
        <f>M13</f>
        <v>2021</v>
      </c>
      <c r="N133" s="31" t="str">
        <f>N13</f>
        <v>1Q22</v>
      </c>
      <c r="O133" s="31" t="str">
        <f>O13</f>
        <v>2Q22</v>
      </c>
      <c r="P133" s="31" t="str">
        <f>P13</f>
        <v>3Q22</v>
      </c>
      <c r="Q133" s="31" t="str">
        <f>Q13</f>
        <v>4Q22</v>
      </c>
      <c r="R133" s="31">
        <f>R13</f>
        <v>2022</v>
      </c>
      <c r="S133" s="31" t="str">
        <f>S13</f>
        <v>1Q23</v>
      </c>
      <c r="T133" s="31" t="str">
        <f>T13</f>
        <v>2Q23</v>
      </c>
      <c r="U133" s="31" t="str">
        <f>U13</f>
        <v>3Q23</v>
      </c>
      <c r="V133" s="31" t="str">
        <f>V13</f>
        <v>4Q23</v>
      </c>
      <c r="W133" s="31">
        <f>W13</f>
        <v>2023</v>
      </c>
      <c r="X133" s="31" t="str">
        <f>X13</f>
        <v>1Q24</v>
      </c>
      <c r="Y133" s="31" t="str">
        <f>Y13</f>
        <v>2Q24</v>
      </c>
      <c r="Z133" s="31" t="str">
        <f>Z13</f>
        <v>3Q24</v>
      </c>
      <c r="AA133" s="31" t="str">
        <f>AA13</f>
        <v>4Q24</v>
      </c>
      <c r="AB133" s="31">
        <f>AB13</f>
        <v>2024</v>
      </c>
      <c r="AC133" s="31" t="str">
        <f>AC13</f>
        <v>1Q25</v>
      </c>
      <c r="AD133" s="31" t="str">
        <f>AD13</f>
        <v>2Q25</v>
      </c>
      <c r="AE133" s="31" t="str">
        <f>AE13</f>
        <v>3Q25</v>
      </c>
      <c r="AF133" s="31" t="str">
        <f>AF13</f>
        <v>4Q25</v>
      </c>
      <c r="AG133" s="31">
        <f>AG13</f>
        <v>2025</v>
      </c>
      <c r="AH133" s="31" t="str">
        <f>AH13</f>
        <v>1Q26</v>
      </c>
      <c r="AI133" s="31" t="str">
        <f>AI13</f>
        <v>2Q26</v>
      </c>
      <c r="AJ133" s="31" t="str">
        <f>AJ13</f>
        <v>3Q26</v>
      </c>
      <c r="AK133" s="31" t="str">
        <f>AK13</f>
        <v>4Q26</v>
      </c>
      <c r="AL133" s="31">
        <f>AL13</f>
        <v>2026</v>
      </c>
      <c r="AM133" s="31" t="str">
        <f>AM13</f>
        <v>1Q27</v>
      </c>
      <c r="AN133" s="31" t="str">
        <f>AN13</f>
        <v>2Q27</v>
      </c>
      <c r="AO133" s="31" t="str">
        <f>AO13</f>
        <v>3Q27</v>
      </c>
      <c r="AP133" s="31" t="str">
        <f>AP13</f>
        <v>4Q27</v>
      </c>
      <c r="AQ133" s="31">
        <f>AQ13</f>
        <v>2027</v>
      </c>
      <c r="AR133" s="31" t="str">
        <f>AR13</f>
        <v>1Q28</v>
      </c>
      <c r="AS133" s="31" t="str">
        <f>AS13</f>
        <v>2Q28</v>
      </c>
      <c r="AT133" s="31" t="str">
        <f>AT13</f>
        <v>3Q28</v>
      </c>
      <c r="AU133" s="31" t="str">
        <f>AU13</f>
        <v>4Q28</v>
      </c>
      <c r="AV133" s="31">
        <f>AV13</f>
        <v>2028</v>
      </c>
      <c r="AW133" s="31" t="str">
        <f>AW13</f>
        <v>1Q29</v>
      </c>
      <c r="AX133" s="31" t="str">
        <f>AX13</f>
        <v>2Q29</v>
      </c>
      <c r="AY133" s="31" t="str">
        <f>AY13</f>
        <v>3Q29</v>
      </c>
      <c r="AZ133" s="31" t="str">
        <f>AZ13</f>
        <v>4Q29</v>
      </c>
      <c r="BA133" s="31">
        <f>BA13</f>
        <v>2029</v>
      </c>
      <c r="BB133" s="31" t="str">
        <f>BB13</f>
        <v>1Q30</v>
      </c>
      <c r="BC133" s="31" t="str">
        <f>BC13</f>
        <v>2Q30</v>
      </c>
      <c r="BD133" s="31" t="str">
        <f>BD13</f>
        <v>3Q30</v>
      </c>
      <c r="BE133" s="31" t="str">
        <f>BE13</f>
        <v>4Q30</v>
      </c>
      <c r="BF133" s="31">
        <f>BF13</f>
        <v>2030</v>
      </c>
      <c r="BG133" s="31" t="n"/>
      <c r="BH133" s="31" t="n"/>
      <c r="BI133" s="31" t="n"/>
      <c r="BJ133" s="31" t="n"/>
      <c r="BK133" s="31" t="n"/>
      <c r="BL133" s="31" t="n"/>
      <c r="BM133" s="31" t="n"/>
      <c r="BN133" s="31" t="n"/>
      <c r="BO133" s="31" t="n"/>
      <c r="BP133" s="31" t="n"/>
      <c r="BQ133" s="31" t="n"/>
      <c r="BR133" s="31" t="n"/>
      <c r="BS133" s="31" t="n"/>
      <c r="BT133" s="31" t="n"/>
      <c r="BU133" s="31" t="n"/>
      <c r="BV133" s="31" t="n"/>
      <c r="BW133" s="31" t="n"/>
      <c r="BX133" s="31" t="n"/>
      <c r="BY133" s="31" t="n"/>
      <c r="BZ133" s="31" t="n"/>
      <c r="CA133" s="31" t="n"/>
      <c r="CB133" s="31" t="n"/>
      <c r="CC133" s="31" t="n"/>
      <c r="CD133" s="31" t="n"/>
      <c r="CE133" s="31" t="n"/>
      <c r="CF133" s="31" t="n"/>
      <c r="CG133" s="31" t="n"/>
      <c r="CH133" s="31" t="n"/>
      <c r="CI133" s="31" t="n"/>
      <c r="CJ133" s="31" t="n"/>
      <c r="CK133" s="31" t="n"/>
      <c r="CL133" s="31" t="n"/>
      <c r="CM133" s="31" t="n"/>
      <c r="CN133" s="31" t="n"/>
      <c r="CO133" s="31" t="n"/>
      <c r="CP133" s="31" t="n"/>
      <c r="CQ133" s="31" t="n"/>
      <c r="CR133" s="31" t="n"/>
      <c r="CS133" s="31" t="n"/>
      <c r="CT133" s="31" t="n"/>
      <c r="CU133" s="31" t="n"/>
      <c r="CV133" s="31" t="n"/>
      <c r="CW133" s="31" t="n"/>
      <c r="CX133" s="31" t="n"/>
      <c r="CY133" s="31" t="n"/>
    </row>
    <row r="134">
      <c r="C134" s="18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>
      <c r="C135" s="13" t="inlineStr">
        <is>
          <t>Cash and equivalents (inc. investment securities)</t>
        </is>
      </c>
      <c r="D135" s="46" t="n"/>
      <c r="E135" s="46" t="n"/>
      <c r="F135" s="46" t="n"/>
      <c r="G135" s="46" t="n"/>
      <c r="H135" s="12" t="n"/>
      <c r="I135" s="46">
        <f>'Inputs (2)'!D15</f>
        <v>2933</v>
      </c>
      <c r="J135" s="46">
        <f>'Inputs (2)'!E15</f>
        <v>2745</v>
      </c>
      <c r="K135" s="46">
        <f>'Inputs (2)'!F15</f>
        <v>2727</v>
      </c>
      <c r="L135" s="46">
        <f>'Inputs (2)'!G15</f>
        <v>3604</v>
      </c>
      <c r="M135" s="12">
        <f>'Inputs (2)'!H15</f>
        <v>3604</v>
      </c>
      <c r="N135" s="46">
        <f>'Inputs (2)'!I15</f>
        <v>1883</v>
      </c>
      <c r="O135" s="46">
        <f>'Inputs (2)'!J15</f>
        <v>1775</v>
      </c>
      <c r="P135" s="46">
        <f>'Inputs (2)'!K15</f>
        <v>2430</v>
      </c>
      <c r="Q135" s="46">
        <f>'Inputs (2)'!L15</f>
        <v>2547</v>
      </c>
      <c r="R135" s="12">
        <f>'Inputs (2)'!M15</f>
        <v>2547</v>
      </c>
      <c r="S135" s="46">
        <f>'Inputs (2)'!N15</f>
        <v>2440</v>
      </c>
      <c r="T135" s="46">
        <f>'Inputs (2)'!O15</f>
        <v>3673</v>
      </c>
      <c r="U135" s="46">
        <f>'Inputs (2)'!P15</f>
        <v>3551</v>
      </c>
      <c r="V135" s="46">
        <f>'Inputs (2)'!Q15</f>
        <v>1442</v>
      </c>
      <c r="W135" s="12">
        <f>'Inputs (2)'!R15</f>
        <v>1442</v>
      </c>
      <c r="X135" s="46">
        <f>'Inputs (2)'!S15</f>
        <v>2790</v>
      </c>
      <c r="Y135" s="46">
        <f>'Inputs (2)'!T15</f>
        <v>2523</v>
      </c>
      <c r="Z135" s="46">
        <f>'Inputs (2)'!U15</f>
        <v>3151</v>
      </c>
      <c r="AA135" s="46">
        <f>'Inputs (2)'!V15</f>
        <v>2483</v>
      </c>
      <c r="AB135" s="12">
        <f>'Inputs (2)'!W15</f>
        <v>2483</v>
      </c>
      <c r="AC135" s="46">
        <f>'Inputs (2)'!X15</f>
        <v>1803</v>
      </c>
      <c r="AD135" s="46">
        <f>'Inputs (2)'!Y15</f>
        <v>1293</v>
      </c>
      <c r="AE135" s="46">
        <f>'Inputs (2)'!Z15</f>
        <v>3470</v>
      </c>
      <c r="AF135" s="46">
        <f>'Inputs (2)'!AA15</f>
        <v>4121</v>
      </c>
      <c r="AG135" s="12">
        <f>'Inputs (2)'!AB15</f>
        <v>4121</v>
      </c>
      <c r="AH135" s="12">
        <f>'Inputs (2)'!AC15</f>
        <v>1894</v>
      </c>
      <c r="AI135" s="12">
        <f>'Inputs (2)'!AD15</f>
        <v>3791</v>
      </c>
      <c r="AJ135" s="12">
        <f>AJ264-SUM(AJ136,AJ140,AJ144,AJ145,AJ146,AJ152,AJ157,AJ167,AJ170,AJ171,AJ180)</f>
        <v>7562.54724765733</v>
      </c>
      <c r="AK135" s="12">
        <f>AK264-SUM(AK136,AK140,AK144,AK145,AK146,AK152,AK157,AK167,AK170,AK171,AK180)</f>
        <v>9026.09375925386</v>
      </c>
      <c r="AL135" s="12">
        <f>AK135</f>
        <v>9026.09375925386</v>
      </c>
      <c r="AM135" s="12">
        <f>AM264-SUM(AM136,AM140,AM144,AM145,AM146,AM152,AM157,AM167,AM170,AM171,AM180)</f>
        <v>10439.2830628575</v>
      </c>
      <c r="AN135" s="12">
        <f>AN264-SUM(AN136,AN140,AN144,AN145,AN146,AN152,AN157,AN167,AN170,AN171,AN180)</f>
        <v>11902.3916944417</v>
      </c>
      <c r="AO135" s="12">
        <f>AO264-SUM(AO136,AO140,AO144,AO145,AO146,AO152,AO157,AO167,AO170,AO171,AO180)</f>
        <v>13411.6414661942</v>
      </c>
      <c r="AP135" s="12">
        <f>AP264-SUM(AP136,AP140,AP144,AP145,AP146,AP152,AP157,AP167,AP170,AP171,AP180)</f>
        <v>14989.5507911153</v>
      </c>
      <c r="AQ135" s="12">
        <f>AP135</f>
        <v>14989.5507911153</v>
      </c>
      <c r="AR135" s="12">
        <f>AR264-SUM(AR136,AR140,AR144,AR145,AR146,AR152,AR157,AR167,AR170,AR171,AR180)</f>
        <v>16497.0747138697</v>
      </c>
      <c r="AS135" s="12">
        <f>AS264-SUM(AS136,AS140,AS144,AS145,AS146,AS152,AS157,AS167,AS170,AS171,AS180)</f>
        <v>18043.6400578841</v>
      </c>
      <c r="AT135" s="12">
        <f>AT264-SUM(AT136,AT140,AT144,AT145,AT146,AT152,AT157,AT167,AT170,AT171,AT180)</f>
        <v>19643.7132037785</v>
      </c>
      <c r="AU135" s="12">
        <f>AU264-SUM(AU136,AU140,AU144,AU145,AU146,AU152,AU157,AU167,AU170,AU171,AU180)</f>
        <v>21315.5611806021</v>
      </c>
      <c r="AV135" s="12">
        <f>AU135</f>
        <v>21315.5611806021</v>
      </c>
      <c r="AW135" s="12">
        <f>AW264-SUM(AW136,AW140,AW144,AW145,AW146,AW152,AW157,AW167,AW170,AW171,AW180)</f>
        <v>22900.1589408672</v>
      </c>
      <c r="AX135" s="12">
        <f>AX264-SUM(AX136,AX140,AX144,AX145,AX146,AX152,AX157,AX167,AX170,AX171,AX180)</f>
        <v>24533.4303535805</v>
      </c>
      <c r="AY135" s="12">
        <f>AY264-SUM(AY136,AY140,AY144,AY145,AY146,AY152,AY157,AY167,AY170,AY171,AY180)</f>
        <v>26216.4131512257</v>
      </c>
      <c r="AZ135" s="12">
        <f>AZ264-SUM(AZ136,AZ140,AZ144,AZ145,AZ146,AZ152,AZ157,AZ167,AZ170,AZ171,AZ180)</f>
        <v>27973.6822496615</v>
      </c>
      <c r="BA135" s="12">
        <f>AZ135</f>
        <v>27973.6822496615</v>
      </c>
      <c r="BB135" s="12">
        <f>BB264-SUM(BB136,BB140,BB144,BB145,BB146,BB152,BB157,BB167,BB170,BB171,BB180)</f>
        <v>29631.1086462992</v>
      </c>
      <c r="BC135" s="12">
        <f>BC264-SUM(BC136,BC140,BC144,BC145,BC146,BC152,BC157,BC167,BC170,BC171,BC180)</f>
        <v>31335.3918134394</v>
      </c>
      <c r="BD135" s="12">
        <f>BD264-SUM(BD136,BD140,BD144,BD145,BD146,BD152,BD157,BD167,BD170,BD171,BD180)</f>
        <v>33090.3358869479</v>
      </c>
      <c r="BE135" s="12">
        <f>BE264-SUM(BE136,BE140,BE144,BE145,BE146,BE152,BE157,BE167,BE170,BE171,BE180)</f>
        <v>34921.414204535</v>
      </c>
      <c r="BF135" s="12">
        <f>BE135</f>
        <v>34921.414204535</v>
      </c>
      <c r="BG135" s="12" t="n"/>
      <c r="BH135" s="12" t="n"/>
      <c r="BI135" s="12" t="n"/>
      <c r="BJ135" s="12" t="n"/>
      <c r="BK135" s="12" t="n"/>
      <c r="BL135" s="12" t="n"/>
      <c r="BM135" s="12" t="n"/>
      <c r="BN135" s="12" t="n"/>
      <c r="BO135" s="12" t="n"/>
      <c r="BP135" s="12" t="n"/>
      <c r="BQ135" s="12" t="n"/>
      <c r="BR135" s="12" t="n"/>
      <c r="BS135" s="12" t="n"/>
      <c r="BT135" s="12" t="n"/>
      <c r="BU135" s="12" t="n"/>
      <c r="BV135" s="12" t="n"/>
      <c r="BW135" s="12" t="n"/>
      <c r="BX135" s="12" t="n"/>
      <c r="BY135" s="12" t="n"/>
      <c r="BZ135" s="12" t="n"/>
      <c r="CA135" s="12" t="n"/>
      <c r="CB135" s="12" t="n"/>
      <c r="CC135" s="12" t="n"/>
      <c r="CD135" s="12" t="n"/>
      <c r="CE135" s="12" t="n"/>
      <c r="CF135" s="12" t="n"/>
      <c r="CG135" s="12" t="n"/>
      <c r="CH135" s="12" t="n"/>
      <c r="CI135" s="12" t="n"/>
      <c r="CJ135" s="12" t="n"/>
      <c r="CK135" s="12" t="n"/>
      <c r="CL135" s="12" t="n"/>
      <c r="CM135" s="12" t="n"/>
      <c r="CN135" s="12" t="n"/>
      <c r="CO135" s="12" t="n"/>
      <c r="CP135" s="12" t="n"/>
      <c r="CQ135" s="12" t="n"/>
      <c r="CR135" s="12" t="n"/>
      <c r="CS135" s="12" t="n"/>
      <c r="CT135" s="12" t="n"/>
      <c r="CU135" s="12" t="n"/>
      <c r="CV135" s="12" t="n"/>
      <c r="CW135" s="12" t="n"/>
      <c r="CX135" s="12" t="n"/>
      <c r="CY135" s="12" t="n"/>
    </row>
    <row r="136">
      <c r="C136" s="14" t="inlineStr">
        <is>
          <t>Accounts receivable</t>
        </is>
      </c>
      <c r="D136" s="46" t="n"/>
      <c r="E136" s="46" t="n"/>
      <c r="F136" s="46" t="n"/>
      <c r="G136" s="46" t="n"/>
      <c r="H136" s="12" t="n"/>
      <c r="I136" s="46">
        <f>'Inputs (2)'!D16</f>
        <v>2214</v>
      </c>
      <c r="J136" s="46">
        <f>'Inputs (2)'!E16</f>
        <v>2611</v>
      </c>
      <c r="K136" s="46">
        <f>'Inputs (2)'!F16</f>
        <v>2267</v>
      </c>
      <c r="L136" s="46">
        <f>'Inputs (2)'!G16</f>
        <v>1963</v>
      </c>
      <c r="M136" s="12">
        <f>'Inputs (2)'!H16</f>
        <v>1963</v>
      </c>
      <c r="N136" s="46">
        <f>'Inputs (2)'!I16</f>
        <v>2527</v>
      </c>
      <c r="O136" s="46">
        <f>'Inputs (2)'!J16</f>
        <v>3401</v>
      </c>
      <c r="P136" s="46">
        <f>'Inputs (2)'!K16</f>
        <v>2484</v>
      </c>
      <c r="Q136" s="46">
        <f>'Inputs (2)'!L16</f>
        <v>2505</v>
      </c>
      <c r="R136" s="12">
        <f>'Inputs (2)'!M16</f>
        <v>2505</v>
      </c>
      <c r="S136" s="46">
        <f>'Inputs (2)'!N16</f>
        <v>2583</v>
      </c>
      <c r="T136" s="46">
        <f>'Inputs (2)'!O16</f>
        <v>3427</v>
      </c>
      <c r="U136" s="46">
        <f>'Inputs (2)'!P16</f>
        <v>2405</v>
      </c>
      <c r="V136" s="46">
        <f>'Inputs (2)'!Q16</f>
        <v>2132</v>
      </c>
      <c r="W136" s="12">
        <f>'Inputs (2)'!R16</f>
        <v>2132</v>
      </c>
      <c r="X136" s="46">
        <f>'Inputs (2)'!S16</f>
        <v>2257</v>
      </c>
      <c r="Y136" s="46">
        <f>'Inputs (2)'!T16</f>
        <v>2930</v>
      </c>
      <c r="Z136" s="46">
        <f>'Inputs (2)'!U16</f>
        <v>2141</v>
      </c>
      <c r="AA136" s="46">
        <f>'Inputs (2)'!V16</f>
        <v>2351</v>
      </c>
      <c r="AB136" s="12">
        <f>'Inputs (2)'!W16</f>
        <v>2351</v>
      </c>
      <c r="AC136" s="46">
        <f>'Inputs (2)'!X16</f>
        <v>2024</v>
      </c>
      <c r="AD136" s="46">
        <f>'Inputs (2)'!Y16</f>
        <v>3306</v>
      </c>
      <c r="AE136" s="46">
        <f>'Inputs (2)'!Z16</f>
        <v>3844</v>
      </c>
      <c r="AF136" s="46">
        <f>'Inputs (2)'!AA16</f>
        <v>3901</v>
      </c>
      <c r="AG136" s="12">
        <f>'Inputs (2)'!AB16</f>
        <v>3901</v>
      </c>
      <c r="AH136" s="12">
        <f>'Inputs (2)'!AC16</f>
        <v>2322</v>
      </c>
      <c r="AI136" s="12">
        <f>'Inputs (2)'!AD16</f>
        <v>3356</v>
      </c>
      <c r="AJ136" s="12">
        <f>(AJ137/(AJ$5-AI$5))*AJ$15</f>
        <v>3209.94595337164</v>
      </c>
      <c r="AK136" s="12">
        <f>(AK137/(AK$5-AJ$5))*AK$15</f>
        <v>3505.25615124214</v>
      </c>
      <c r="AL136" s="12">
        <f>AK136</f>
        <v>3505.25615124214</v>
      </c>
      <c r="AM136" s="12">
        <f>(AM137/(AM$5-AL$5))*AM$15</f>
        <v>3177.59752710179</v>
      </c>
      <c r="AN136" s="12">
        <f>(AN137/(AN$5-AM$5))*AN$15</f>
        <v>3498.78287709631</v>
      </c>
      <c r="AO136" s="12">
        <f>(AO137/(AO$5-AN$5))*AO$15</f>
        <v>3388.65236363473</v>
      </c>
      <c r="AP136" s="12">
        <f>(AP137/(AP$5-AO$5))*AP$15</f>
        <v>3700.40328235914</v>
      </c>
      <c r="AQ136" s="12">
        <f>AP136</f>
        <v>3700.40328235914</v>
      </c>
      <c r="AR136" s="12">
        <f>(AR137/(AR$5-AQ$5))*AR$15</f>
        <v>3301.92694777478</v>
      </c>
      <c r="AS136" s="12">
        <f>(AS137/(AS$5-AR$5))*AS$15</f>
        <v>3676.07570907305</v>
      </c>
      <c r="AT136" s="12">
        <f>(AT137/(AT$5-AS$5))*AT$15</f>
        <v>3560.36458335157</v>
      </c>
      <c r="AU136" s="12">
        <f>(AU137/(AU$5-AT$5))*AU$15</f>
        <v>3887.91276792344</v>
      </c>
      <c r="AV136" s="12">
        <f>AU136</f>
        <v>3887.91276792344</v>
      </c>
      <c r="AW136" s="12">
        <f>(AW137/(AW$5-AV$5))*AW$15</f>
        <v>3491.09864169995</v>
      </c>
      <c r="AX136" s="12">
        <f>(AX137/(AX$5-AW$5))*AX$15</f>
        <v>3843.97207187363</v>
      </c>
      <c r="AY136" s="12">
        <f>(AY137/(AY$5-AX$5))*AY$15</f>
        <v>3722.97610473926</v>
      </c>
      <c r="AZ136" s="12">
        <f>(AZ137/(AZ$5-AY$5))*AZ$15</f>
        <v>4065.48430460565</v>
      </c>
      <c r="BA136" s="12">
        <f>AZ136</f>
        <v>4065.48430460565</v>
      </c>
      <c r="BB136" s="12">
        <f>(BB137/(BB$5-BA$5))*BB$15</f>
        <v>3633.0911061798</v>
      </c>
      <c r="BC136" s="12">
        <f>(BC137/(BC$5-BB$5))*BC$15</f>
        <v>4000.31685725365</v>
      </c>
      <c r="BD136" s="12">
        <f>(BD137/(BD$5-BC$5))*BD$15</f>
        <v>3874.39965547976</v>
      </c>
      <c r="BE136" s="12">
        <f>(BE137/(BE$5-BD$5))*BE$15</f>
        <v>4230.83859417509</v>
      </c>
      <c r="BF136" s="12">
        <f>BE136</f>
        <v>4230.83859417509</v>
      </c>
      <c r="BG136" s="12" t="n"/>
      <c r="BH136" s="12" t="n"/>
      <c r="BI136" s="12" t="n"/>
      <c r="BJ136" s="12" t="n"/>
      <c r="BK136" s="12" t="n"/>
      <c r="BL136" s="12" t="n"/>
      <c r="BM136" s="12" t="n"/>
      <c r="BN136" s="12" t="n"/>
      <c r="BO136" s="12" t="n"/>
      <c r="BP136" s="12" t="n"/>
      <c r="BQ136" s="12" t="n"/>
      <c r="BR136" s="12" t="n"/>
      <c r="BS136" s="12" t="n"/>
      <c r="BT136" s="12" t="n"/>
      <c r="BU136" s="12" t="n"/>
      <c r="BV136" s="12" t="n"/>
      <c r="BW136" s="12" t="n"/>
      <c r="BX136" s="12" t="n"/>
      <c r="BY136" s="12" t="n"/>
      <c r="BZ136" s="12" t="n"/>
      <c r="CA136" s="12" t="n"/>
      <c r="CB136" s="12" t="n"/>
      <c r="CC136" s="12" t="n"/>
      <c r="CD136" s="12" t="n"/>
      <c r="CE136" s="12" t="n"/>
      <c r="CF136" s="12" t="n"/>
      <c r="CG136" s="12" t="n"/>
      <c r="CH136" s="12" t="n"/>
      <c r="CI136" s="12" t="n"/>
      <c r="CJ136" s="12" t="n"/>
      <c r="CK136" s="12" t="n"/>
      <c r="CL136" s="12" t="n"/>
      <c r="CM136" s="12" t="n"/>
      <c r="CN136" s="12" t="n"/>
      <c r="CO136" s="12" t="n"/>
      <c r="CP136" s="12" t="n"/>
      <c r="CQ136" s="12" t="n"/>
      <c r="CR136" s="12" t="n"/>
      <c r="CS136" s="12" t="n"/>
      <c r="CT136" s="12" t="n"/>
      <c r="CU136" s="12" t="n"/>
      <c r="CV136" s="12" t="n"/>
      <c r="CW136" s="12" t="n"/>
      <c r="CX136" s="12" t="n"/>
      <c r="CY136" s="12" t="n"/>
    </row>
    <row r="137" hidden="1" outlineLevel="1">
      <c r="C137" s="57" t="inlineStr">
        <is>
          <t>DSO</t>
        </is>
      </c>
      <c r="D137" s="12" t="n"/>
      <c r="E137" s="12" t="n"/>
      <c r="F137" s="12" t="n"/>
      <c r="G137" s="12" t="n"/>
      <c r="H137" s="12" t="n"/>
      <c r="I137" s="12">
        <f>IFERROR((I136/I$15)*(I$5-H$5),"")</f>
        <v>12.2561200639685</v>
      </c>
      <c r="J137" s="12">
        <f>IFERROR((J136/J$15)*(J$5-I$5),"")</f>
        <v>13.9527276998062</v>
      </c>
      <c r="K137" s="12">
        <f>IFERROR((K136/K$15)*(K$5-J$5),"")</f>
        <v>13.0124781632144</v>
      </c>
      <c r="L137" s="12">
        <f>IFERROR((L136/L$15)*(L$5-K$5),"")</f>
        <v>10.1864741384173</v>
      </c>
      <c r="M137" s="12" t="n"/>
      <c r="N137" s="12">
        <f>IFERROR((N136/N$15)*(N$5-M$5),"")</f>
        <v>15.1984763432237</v>
      </c>
      <c r="O137" s="12">
        <f>IFERROR((O136/O$15)*(O$5-N$5),"")</f>
        <v>20.0369674996763</v>
      </c>
      <c r="P137" s="12">
        <f>IFERROR((P136/P$15)*(P$5-O$5),"")</f>
        <v>13.7808599167822</v>
      </c>
      <c r="Q137" s="12">
        <f>IFERROR((Q136/Q$15)*(Q$5-P$5),"")</f>
        <v>12.1352219472382</v>
      </c>
      <c r="R137" s="12" t="n"/>
      <c r="S137" s="12">
        <f>IFERROR((S136/S$15)*(S$5-R$5),"")</f>
        <v>15.3689012296708</v>
      </c>
      <c r="T137" s="12">
        <f>IFERROR((T136/T$15)*(T$5-S$5),"")</f>
        <v>18.6819025939016</v>
      </c>
      <c r="U137" s="12">
        <f>IFERROR((U136/U$15)*(U$5-T$5),"")</f>
        <v>13.1093731484773</v>
      </c>
      <c r="V137" s="12">
        <f>IFERROR((V136/V$15)*(V$5-U$5),"")</f>
        <v>10.3922856840098</v>
      </c>
      <c r="W137" s="12" t="n"/>
      <c r="X137" s="12">
        <f>IFERROR((X136/X$15)*(X$5-W$5),"")</f>
        <v>11.944576911893</v>
      </c>
      <c r="Y137" s="12">
        <f>IFERROR((Y136/Y$15)*(Y$5-X$5),"")</f>
        <v>14.713055954089</v>
      </c>
      <c r="Z137" s="12">
        <f>IFERROR((Z136/Z$15)*(Z$5-Y$5),"")</f>
        <v>11.5161365762395</v>
      </c>
      <c r="AA137" s="12">
        <f>IFERROR((AA136/AA$15)*(AA$5-Z$5),"")</f>
        <v>11.6148641391902</v>
      </c>
      <c r="AB137" s="12" t="n"/>
      <c r="AC137" s="12">
        <f>IFERROR((AC136/AC$15)*(AC$5-AB$5),"")</f>
        <v>10.1408450704225</v>
      </c>
      <c r="AD137" s="12">
        <f>IFERROR((AD136/AD$15)*(AD$5-AC$5),"")</f>
        <v>16.5709721839714</v>
      </c>
      <c r="AE137" s="12">
        <f>IFERROR((AE136/AE$15)*(AE$5-AD$5),"")</f>
        <v>19.0041377827933</v>
      </c>
      <c r="AF137" s="11">
        <f>IFERROR((AF136/AF$15)*(AF$5-AE$5),"")</f>
        <v>17.661138723488</v>
      </c>
      <c r="AG137" s="12" t="n"/>
      <c r="AH137" s="11">
        <f>IFERROR((AH136/AH$15)*(AH$5-AG$5),"")</f>
        <v>11.5964707840852</v>
      </c>
      <c r="AI137" s="11">
        <f>IFERROR((AI136/AI$15)*(AI$5-AH$5),"")</f>
        <v>15.2218511688182</v>
      </c>
      <c r="AJ137" s="11">
        <f>Control!$B$25</f>
        <v>15.0325692855964</v>
      </c>
      <c r="AK137" s="11">
        <f>Control!$B$25</f>
        <v>15.0325692855964</v>
      </c>
      <c r="AL137" s="12" t="n"/>
      <c r="AM137" s="11">
        <f>Control!$C$25</f>
        <v>15.0325692855964</v>
      </c>
      <c r="AN137" s="11">
        <f>Control!$C$25</f>
        <v>15.0325692855964</v>
      </c>
      <c r="AO137" s="11">
        <f>Control!$C$25</f>
        <v>15.0325692855964</v>
      </c>
      <c r="AP137" s="11">
        <f>Control!$C$25</f>
        <v>15.0325692855964</v>
      </c>
      <c r="AQ137" s="12" t="n"/>
      <c r="AR137" s="11">
        <f>Control!$D$25</f>
        <v>15.0325692855964</v>
      </c>
      <c r="AS137" s="11">
        <f>Control!$D$25</f>
        <v>15.0325692855964</v>
      </c>
      <c r="AT137" s="11">
        <f>Control!$D$25</f>
        <v>15.0325692855964</v>
      </c>
      <c r="AU137" s="11">
        <f>Control!$D$25</f>
        <v>15.0325692855964</v>
      </c>
      <c r="AV137" s="12" t="n"/>
      <c r="AW137" s="11">
        <f>Control!$E$25</f>
        <v>15.0325692855964</v>
      </c>
      <c r="AX137" s="11">
        <f>Control!$E$25</f>
        <v>15.0325692855964</v>
      </c>
      <c r="AY137" s="11">
        <f>Control!$E$25</f>
        <v>15.0325692855964</v>
      </c>
      <c r="AZ137" s="11">
        <f>Control!$E$25</f>
        <v>15.0325692855964</v>
      </c>
      <c r="BA137" s="12" t="n"/>
      <c r="BB137" s="11">
        <f>Control!$F$25</f>
        <v>15.0325692855964</v>
      </c>
      <c r="BC137" s="11">
        <f>Control!$F$25</f>
        <v>15.0325692855964</v>
      </c>
      <c r="BD137" s="11">
        <f>Control!$F$25</f>
        <v>15.0325692855964</v>
      </c>
      <c r="BE137" s="11">
        <f>Control!$F$25</f>
        <v>15.0325692855964</v>
      </c>
      <c r="BF137" s="12" t="n"/>
      <c r="BG137" s="11" t="n"/>
      <c r="BH137" s="11" t="n"/>
      <c r="BI137" s="11" t="n"/>
      <c r="BJ137" s="11" t="n"/>
      <c r="BK137" s="12" t="n"/>
      <c r="BL137" s="11" t="n"/>
      <c r="BM137" s="11" t="n"/>
      <c r="BN137" s="11" t="n"/>
      <c r="BO137" s="11" t="n"/>
      <c r="BP137" s="12" t="n"/>
      <c r="BQ137" s="11" t="n"/>
      <c r="BR137" s="11" t="n"/>
      <c r="BS137" s="11" t="n"/>
      <c r="BT137" s="11" t="n"/>
      <c r="BU137" s="12" t="n"/>
      <c r="BV137" s="11" t="n"/>
      <c r="BW137" s="11" t="n"/>
      <c r="BX137" s="11" t="n"/>
      <c r="BY137" s="11" t="n"/>
      <c r="BZ137" s="12" t="n"/>
      <c r="CA137" s="11" t="n"/>
      <c r="CB137" s="11" t="n"/>
      <c r="CC137" s="11" t="n"/>
      <c r="CD137" s="11" t="n"/>
      <c r="CE137" s="12" t="n"/>
      <c r="CF137" s="11" t="n"/>
      <c r="CG137" s="11" t="n"/>
      <c r="CH137" s="11" t="n"/>
      <c r="CI137" s="11" t="n"/>
      <c r="CJ137" s="12" t="n"/>
      <c r="CK137" s="11" t="n"/>
      <c r="CL137" s="11" t="n"/>
      <c r="CM137" s="11" t="n"/>
      <c r="CN137" s="11" t="n"/>
      <c r="CO137" s="12" t="n"/>
      <c r="CP137" s="11" t="n"/>
      <c r="CQ137" s="11" t="n"/>
      <c r="CR137" s="11" t="n"/>
      <c r="CS137" s="11" t="n"/>
      <c r="CT137" s="12" t="n"/>
      <c r="CU137" s="11" t="n"/>
      <c r="CV137" s="11" t="n"/>
      <c r="CW137" s="11" t="n"/>
      <c r="CX137" s="11" t="n"/>
      <c r="CY137" s="12" t="n"/>
    </row>
    <row r="138" hidden="1" outlineLevel="1">
      <c r="C138" s="57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  <c r="AJ138" s="12" t="n"/>
      <c r="AK138" s="12" t="n"/>
      <c r="AL138" s="12" t="n"/>
      <c r="AM138" s="12" t="n"/>
      <c r="AN138" s="12" t="n"/>
      <c r="AO138" s="12" t="n"/>
      <c r="AP138" s="12" t="n"/>
      <c r="AQ138" s="12" t="n"/>
      <c r="AR138" s="12" t="n"/>
      <c r="AS138" s="12" t="n"/>
      <c r="AT138" s="12" t="n"/>
      <c r="AU138" s="12" t="n"/>
      <c r="AV138" s="12" t="n"/>
      <c r="AW138" s="12" t="n"/>
      <c r="AX138" s="12" t="n"/>
      <c r="AY138" s="12" t="n"/>
      <c r="AZ138" s="12" t="n"/>
      <c r="BA138" s="12" t="n"/>
      <c r="BB138" s="12" t="n"/>
      <c r="BC138" s="12" t="n"/>
      <c r="BD138" s="12" t="n"/>
      <c r="BE138" s="12" t="n"/>
      <c r="BF138" s="12" t="n"/>
      <c r="BG138" s="12" t="n"/>
      <c r="BH138" s="12" t="n"/>
      <c r="BI138" s="12" t="n"/>
      <c r="BJ138" s="12" t="n"/>
      <c r="BK138" s="12" t="n"/>
      <c r="BL138" s="12" t="n"/>
      <c r="BM138" s="12" t="n"/>
      <c r="BN138" s="12" t="n"/>
      <c r="BO138" s="12" t="n"/>
      <c r="BP138" s="12" t="n"/>
      <c r="BQ138" s="12" t="n"/>
      <c r="BR138" s="12" t="n"/>
      <c r="BS138" s="12" t="n"/>
      <c r="BT138" s="12" t="n"/>
      <c r="BU138" s="12" t="n"/>
      <c r="BV138" s="12" t="n"/>
      <c r="BW138" s="12" t="n"/>
      <c r="BX138" s="12" t="n"/>
      <c r="BY138" s="12" t="n"/>
      <c r="BZ138" s="12" t="n"/>
      <c r="CA138" s="12" t="n"/>
      <c r="CB138" s="12" t="n"/>
      <c r="CC138" s="12" t="n"/>
      <c r="CD138" s="12" t="n"/>
      <c r="CE138" s="12" t="n"/>
      <c r="CF138" s="12" t="n"/>
      <c r="CG138" s="12" t="n"/>
      <c r="CH138" s="12" t="n"/>
      <c r="CI138" s="12" t="n"/>
      <c r="CJ138" s="12" t="n"/>
      <c r="CK138" s="12" t="n"/>
      <c r="CL138" s="12" t="n"/>
      <c r="CM138" s="12" t="n"/>
      <c r="CN138" s="12" t="n"/>
      <c r="CO138" s="12" t="n"/>
      <c r="CP138" s="12" t="n"/>
      <c r="CQ138" s="12" t="n"/>
      <c r="CR138" s="12" t="n"/>
      <c r="CS138" s="12" t="n"/>
      <c r="CT138" s="12" t="n"/>
      <c r="CU138" s="12" t="n"/>
      <c r="CV138" s="12" t="n"/>
      <c r="CW138" s="12" t="n"/>
      <c r="CX138" s="12" t="n"/>
      <c r="CY138" s="12" t="n"/>
    </row>
    <row r="139" hidden="1" outlineLevel="1">
      <c r="C139" s="57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  <c r="AL139" s="12" t="n"/>
      <c r="AM139" s="12" t="n"/>
      <c r="AN139" s="12" t="n"/>
      <c r="AO139" s="12" t="n"/>
      <c r="AP139" s="12" t="n"/>
      <c r="AQ139" s="12" t="n"/>
      <c r="AR139" s="12" t="n"/>
      <c r="AS139" s="12" t="n"/>
      <c r="AT139" s="12" t="n"/>
      <c r="AU139" s="12" t="n"/>
      <c r="AV139" s="12" t="n"/>
      <c r="AW139" s="12" t="n"/>
      <c r="AX139" s="12" t="n"/>
      <c r="AY139" s="12" t="n"/>
      <c r="AZ139" s="12" t="n"/>
      <c r="BA139" s="12" t="n"/>
      <c r="BB139" s="12" t="n"/>
      <c r="BC139" s="12" t="n"/>
      <c r="BD139" s="12" t="n"/>
      <c r="BE139" s="12" t="n"/>
      <c r="BF139" s="12" t="n"/>
      <c r="BG139" s="12" t="n"/>
      <c r="BH139" s="12" t="n"/>
      <c r="BI139" s="12" t="n"/>
      <c r="BJ139" s="12" t="n"/>
      <c r="BK139" s="12" t="n"/>
      <c r="BL139" s="12" t="n"/>
      <c r="BM139" s="12" t="n"/>
      <c r="BN139" s="12" t="n"/>
      <c r="BO139" s="12" t="n"/>
      <c r="BP139" s="12" t="n"/>
      <c r="BQ139" s="12" t="n"/>
      <c r="BR139" s="12" t="n"/>
      <c r="BS139" s="12" t="n"/>
      <c r="BT139" s="12" t="n"/>
      <c r="BU139" s="12" t="n"/>
      <c r="BV139" s="12" t="n"/>
      <c r="BW139" s="12" t="n"/>
      <c r="BX139" s="12" t="n"/>
      <c r="BY139" s="12" t="n"/>
      <c r="BZ139" s="12" t="n"/>
      <c r="CA139" s="12" t="n"/>
      <c r="CB139" s="12" t="n"/>
      <c r="CC139" s="12" t="n"/>
      <c r="CD139" s="12" t="n"/>
      <c r="CE139" s="12" t="n"/>
      <c r="CF139" s="12" t="n"/>
      <c r="CG139" s="12" t="n"/>
      <c r="CH139" s="12" t="n"/>
      <c r="CI139" s="12" t="n"/>
      <c r="CJ139" s="12" t="n"/>
      <c r="CK139" s="12" t="n"/>
      <c r="CL139" s="12" t="n"/>
      <c r="CM139" s="12" t="n"/>
      <c r="CN139" s="12" t="n"/>
      <c r="CO139" s="12" t="n"/>
      <c r="CP139" s="12" t="n"/>
      <c r="CQ139" s="12" t="n"/>
      <c r="CR139" s="12" t="n"/>
      <c r="CS139" s="12" t="n"/>
      <c r="CT139" s="12" t="n"/>
      <c r="CU139" s="12" t="n"/>
      <c r="CV139" s="12" t="n"/>
      <c r="CW139" s="12" t="n"/>
      <c r="CX139" s="12" t="n"/>
      <c r="CY139" s="12" t="n"/>
    </row>
    <row r="140" collapsed="1">
      <c r="C140" s="14" t="inlineStr">
        <is>
          <t>Inventories</t>
        </is>
      </c>
      <c r="D140" s="46" t="n"/>
      <c r="E140" s="46" t="n"/>
      <c r="F140" s="46" t="n"/>
      <c r="G140" s="46" t="n"/>
      <c r="H140" s="12" t="n"/>
      <c r="I140" s="46">
        <f>'Inputs (2)'!D17</f>
        <v>0</v>
      </c>
      <c r="J140" s="46">
        <f>'Inputs (2)'!E17</f>
        <v>0</v>
      </c>
      <c r="K140" s="46">
        <f>'Inputs (2)'!F17</f>
        <v>0</v>
      </c>
      <c r="L140" s="46">
        <f>'Inputs (2)'!G17</f>
        <v>0</v>
      </c>
      <c r="M140" s="12">
        <f>'Inputs (2)'!H17</f>
        <v>0</v>
      </c>
      <c r="N140" s="46">
        <f>'Inputs (2)'!I17</f>
        <v>0</v>
      </c>
      <c r="O140" s="46">
        <f>'Inputs (2)'!J17</f>
        <v>0</v>
      </c>
      <c r="P140" s="46">
        <f>'Inputs (2)'!K17</f>
        <v>0</v>
      </c>
      <c r="Q140" s="46">
        <f>'Inputs (2)'!L17</f>
        <v>0</v>
      </c>
      <c r="R140" s="12">
        <f>'Inputs (2)'!M17</f>
        <v>0</v>
      </c>
      <c r="S140" s="46">
        <f>'Inputs (2)'!N17</f>
        <v>0</v>
      </c>
      <c r="T140" s="46">
        <f>'Inputs (2)'!O17</f>
        <v>0</v>
      </c>
      <c r="U140" s="46">
        <f>'Inputs (2)'!P17</f>
        <v>0</v>
      </c>
      <c r="V140" s="46">
        <f>'Inputs (2)'!Q17</f>
        <v>0</v>
      </c>
      <c r="W140" s="12">
        <f>'Inputs (2)'!R17</f>
        <v>0</v>
      </c>
      <c r="X140" s="46">
        <f>'Inputs (2)'!S17</f>
        <v>0</v>
      </c>
      <c r="Y140" s="46">
        <f>'Inputs (2)'!T17</f>
        <v>0</v>
      </c>
      <c r="Z140" s="46">
        <f>'Inputs (2)'!U17</f>
        <v>0</v>
      </c>
      <c r="AA140" s="46">
        <f>'Inputs (2)'!V17</f>
        <v>0</v>
      </c>
      <c r="AB140" s="12">
        <f>'Inputs (2)'!W17</f>
        <v>0</v>
      </c>
      <c r="AC140" s="46">
        <f>'Inputs (2)'!X17</f>
        <v>0</v>
      </c>
      <c r="AD140" s="46">
        <f>'Inputs (2)'!Y17</f>
        <v>0</v>
      </c>
      <c r="AE140" s="46">
        <f>'Inputs (2)'!Z17</f>
        <v>0</v>
      </c>
      <c r="AF140" s="46">
        <f>'Inputs (2)'!AA17</f>
        <v>0</v>
      </c>
      <c r="AG140" s="12">
        <f>'Inputs (2)'!AB17</f>
        <v>0</v>
      </c>
      <c r="AH140" s="12">
        <f>'Inputs (2)'!AC17</f>
        <v>4251</v>
      </c>
      <c r="AI140" s="12">
        <f>'Inputs (2)'!AD17</f>
        <v>4411</v>
      </c>
      <c r="AJ140" s="12">
        <f>(AJ141/(AJ$5-AI$5))*-AJ$45</f>
        <v>1486.88328609003</v>
      </c>
      <c r="AK140" s="12">
        <f>(AK141/(AK$5-AJ$5))*-AK$45</f>
        <v>1623.67431117392</v>
      </c>
      <c r="AL140" s="12">
        <f>AK140</f>
        <v>1623.67431117392</v>
      </c>
      <c r="AM140" s="12">
        <f>(AM141/(AM$5-AL$5))*-AM$45</f>
        <v>1471.8991290199</v>
      </c>
      <c r="AN140" s="12">
        <f>(AN141/(AN$5-AM$5))*-AN$45</f>
        <v>1620.67581734458</v>
      </c>
      <c r="AO140" s="12">
        <f>(AO141/(AO$5-AN$5))*-AO$45</f>
        <v>1569.66211738413</v>
      </c>
      <c r="AP140" s="12">
        <f>(AP141/(AP$5-AO$5))*-AP$45</f>
        <v>1714.06867039406</v>
      </c>
      <c r="AQ140" s="12">
        <f>AP140</f>
        <v>1714.06867039406</v>
      </c>
      <c r="AR140" s="12">
        <f>(AR141/(AR$5-AQ$5))*-AR$45</f>
        <v>1529.48992346108</v>
      </c>
      <c r="AS140" s="12">
        <f>(AS141/(AS$5-AR$5))*-AS$45</f>
        <v>1702.79986318183</v>
      </c>
      <c r="AT140" s="12">
        <f>(AT141/(AT$5-AS$5))*-AT$45</f>
        <v>1649.20116047806</v>
      </c>
      <c r="AU140" s="12">
        <f>(AU141/(AU$5-AT$5))*-AU$45</f>
        <v>1800.92518577434</v>
      </c>
      <c r="AV140" s="12">
        <f>AU140</f>
        <v>1800.92518577434</v>
      </c>
      <c r="AW140" s="12">
        <f>(AW141/(AW$5-AV$5))*-AW$45</f>
        <v>1617.11639256198</v>
      </c>
      <c r="AX140" s="12">
        <f>(AX141/(AX$5-AW$5))*-AX$45</f>
        <v>1780.57135817577</v>
      </c>
      <c r="AY140" s="12">
        <f>(AY141/(AY$5-AX$5))*-AY$45</f>
        <v>1724.52465713166</v>
      </c>
      <c r="AZ140" s="12">
        <f>(AZ141/(AZ$5-AY$5))*-AZ$45</f>
        <v>1883.1783307847</v>
      </c>
      <c r="BA140" s="12">
        <f>AZ140</f>
        <v>1883.1783307847</v>
      </c>
      <c r="BB140" s="12">
        <f>(BB141/(BB$5-BA$5))*-BB$45</f>
        <v>1682.88890875156</v>
      </c>
      <c r="BC140" s="12">
        <f>(BC141/(BC$5-BB$5))*-BC$45</f>
        <v>1852.9920318026</v>
      </c>
      <c r="BD140" s="12">
        <f>(BD141/(BD$5-BC$5))*-BD$45</f>
        <v>1794.66575918977</v>
      </c>
      <c r="BE140" s="12">
        <f>(BE141/(BE$5-BD$5))*-BE$45</f>
        <v>1959.77230869446</v>
      </c>
      <c r="BF140" s="12">
        <f>BE140</f>
        <v>1959.77230869446</v>
      </c>
      <c r="BG140" s="12" t="n"/>
      <c r="BH140" s="12" t="n"/>
      <c r="BI140" s="12" t="n"/>
      <c r="BJ140" s="12" t="n"/>
      <c r="BK140" s="12" t="n"/>
      <c r="BL140" s="12" t="n"/>
      <c r="BM140" s="12" t="n"/>
      <c r="BN140" s="12" t="n"/>
      <c r="BO140" s="12" t="n"/>
      <c r="BP140" s="12" t="n"/>
      <c r="BQ140" s="12" t="n"/>
      <c r="BR140" s="12" t="n"/>
      <c r="BS140" s="12" t="n"/>
      <c r="BT140" s="12" t="n"/>
      <c r="BU140" s="12" t="n"/>
      <c r="BV140" s="12" t="n"/>
      <c r="BW140" s="12" t="n"/>
      <c r="BX140" s="12" t="n"/>
      <c r="BY140" s="12" t="n"/>
      <c r="BZ140" s="12" t="n"/>
      <c r="CA140" s="12" t="n"/>
      <c r="CB140" s="12" t="n"/>
      <c r="CC140" s="12" t="n"/>
      <c r="CD140" s="12" t="n"/>
      <c r="CE140" s="12" t="n"/>
      <c r="CF140" s="12" t="n"/>
      <c r="CG140" s="12" t="n"/>
      <c r="CH140" s="12" t="n"/>
      <c r="CI140" s="12" t="n"/>
      <c r="CJ140" s="12" t="n"/>
      <c r="CK140" s="12" t="n"/>
      <c r="CL140" s="12" t="n"/>
      <c r="CM140" s="12" t="n"/>
      <c r="CN140" s="12" t="n"/>
      <c r="CO140" s="12" t="n"/>
      <c r="CP140" s="12" t="n"/>
      <c r="CQ140" s="12" t="n"/>
      <c r="CR140" s="12" t="n"/>
      <c r="CS140" s="12" t="n"/>
      <c r="CT140" s="12" t="n"/>
      <c r="CU140" s="12" t="n"/>
      <c r="CV140" s="12" t="n"/>
      <c r="CW140" s="12" t="n"/>
      <c r="CX140" s="12" t="n"/>
      <c r="CY140" s="12" t="n"/>
    </row>
    <row r="141" hidden="1" outlineLevel="1">
      <c r="C141" s="57" t="inlineStr">
        <is>
          <t>DIO</t>
        </is>
      </c>
      <c r="D141" s="12" t="n"/>
      <c r="E141" s="12" t="n"/>
      <c r="F141" s="12" t="n"/>
      <c r="G141" s="12" t="n"/>
      <c r="H141" s="12" t="n"/>
      <c r="I141" s="12">
        <f>IFERROR(((I140/I$45)*(I$5-H$5))*-1,"")</f>
        <v>0</v>
      </c>
      <c r="J141" s="12">
        <f>IFERROR(((J140/J$45)*(J$5-I$5))*-1,"")</f>
        <v>0</v>
      </c>
      <c r="K141" s="12">
        <f>IFERROR(((K140/K$45)*(K$5-J$5))*-1,"")</f>
        <v>0</v>
      </c>
      <c r="L141" s="12">
        <f>IFERROR(((L140/L$45)*(L$5-K$5))*-1,"")</f>
        <v>0</v>
      </c>
      <c r="M141" s="12" t="n"/>
      <c r="N141" s="12">
        <f>IFERROR(((N140/N$45)*(N$5-M$5))*-1,"")</f>
        <v>0</v>
      </c>
      <c r="O141" s="12">
        <f>IFERROR(((O140/O$45)*(O$5-N$5))*-1,"")</f>
        <v>0</v>
      </c>
      <c r="P141" s="12">
        <f>IFERROR(((P140/P$45)*(P$5-O$5))*-1,"")</f>
        <v>0</v>
      </c>
      <c r="Q141" s="12">
        <f>IFERROR(((Q140/Q$45)*(Q$5-P$5))*-1,"")</f>
        <v>0</v>
      </c>
      <c r="R141" s="12" t="n"/>
      <c r="S141" s="12">
        <f>IFERROR(((S140/S$45)*(S$5-R$5))*-1,"")</f>
        <v>0</v>
      </c>
      <c r="T141" s="12">
        <f>IFERROR(((T140/T$45)*(T$5-S$5))*-1,"")</f>
        <v>0</v>
      </c>
      <c r="U141" s="12">
        <f>IFERROR(((U140/U$45)*(U$5-T$5))*-1,"")</f>
        <v>0</v>
      </c>
      <c r="V141" s="12">
        <f>IFERROR(((V140/V$45)*(V$5-U$5))*-1,"")</f>
        <v>0</v>
      </c>
      <c r="W141" s="12" t="n"/>
      <c r="X141" s="12">
        <f>IFERROR(((X140/X$45)*(X$5-W$5))*-1,"")</f>
        <v>0</v>
      </c>
      <c r="Y141" s="12">
        <f>IFERROR(((Y140/Y$45)*(Y$5-X$5))*-1,"")</f>
        <v>0</v>
      </c>
      <c r="Z141" s="12">
        <f>IFERROR(((Z140/Z$45)*(Z$5-Y$5))*-1,"")</f>
        <v>0</v>
      </c>
      <c r="AA141" s="12">
        <f>IFERROR(((AA140/AA$45)*(AA$5-Z$5))*-1,"")</f>
        <v>0</v>
      </c>
      <c r="AB141" s="12" t="n"/>
      <c r="AC141" s="12">
        <f>IFERROR(((AC140/AC$45)*(AC$5-AB$5))*-1,"")</f>
        <v>0</v>
      </c>
      <c r="AD141" s="12">
        <f>IFERROR(((AD140/AD$45)*(AD$5-AC$5))*-1,"")</f>
        <v>0</v>
      </c>
      <c r="AE141" s="12">
        <f>IFERROR(((AE140/AE$45)*(AE$5-AD$5))*-1,"")</f>
        <v>0</v>
      </c>
      <c r="AF141" s="11">
        <f>IFERROR(((AF140/AF$45)*(AF$5-AE$5))*-1,"")</f>
        <v>0</v>
      </c>
      <c r="AG141" s="12" t="n"/>
      <c r="AH141" s="11">
        <f>IFERROR(((AH140/AH$45)*(AH$5-AG$5))*-1,"")</f>
        <v>23.9973656150034</v>
      </c>
      <c r="AI141" s="11">
        <f>IFERROR(((AI140/AI$45)*(AI$5-AH$5))*-1,"")</f>
        <v>22.7848668899359</v>
      </c>
      <c r="AJ141" s="11">
        <f>Control!$B$26</f>
        <v>7.79703875082322</v>
      </c>
      <c r="AK141" s="11">
        <f>Control!$B$26</f>
        <v>7.79703875082322</v>
      </c>
      <c r="AL141" s="12" t="n"/>
      <c r="AM141" s="11">
        <f>Control!$C$26</f>
        <v>7.79703875082322</v>
      </c>
      <c r="AN141" s="11">
        <f>Control!$C$26</f>
        <v>7.79703875082322</v>
      </c>
      <c r="AO141" s="11">
        <f>Control!$C$26</f>
        <v>7.79703875082322</v>
      </c>
      <c r="AP141" s="11">
        <f>Control!$C$26</f>
        <v>7.79703875082322</v>
      </c>
      <c r="AQ141" s="12" t="n"/>
      <c r="AR141" s="11">
        <f>Control!$D$26</f>
        <v>7.79703875082322</v>
      </c>
      <c r="AS141" s="11">
        <f>Control!$D$26</f>
        <v>7.79703875082322</v>
      </c>
      <c r="AT141" s="11">
        <f>Control!$D$26</f>
        <v>7.79703875082322</v>
      </c>
      <c r="AU141" s="11">
        <f>Control!$D$26</f>
        <v>7.79703875082322</v>
      </c>
      <c r="AV141" s="12" t="n"/>
      <c r="AW141" s="11">
        <f>Control!$E$26</f>
        <v>7.79703875082322</v>
      </c>
      <c r="AX141" s="11">
        <f>Control!$E$26</f>
        <v>7.79703875082322</v>
      </c>
      <c r="AY141" s="11">
        <f>Control!$E$26</f>
        <v>7.79703875082322</v>
      </c>
      <c r="AZ141" s="11">
        <f>Control!$E$26</f>
        <v>7.79703875082322</v>
      </c>
      <c r="BA141" s="12" t="n"/>
      <c r="BB141" s="11">
        <f>Control!$F$26</f>
        <v>7.79703875082322</v>
      </c>
      <c r="BC141" s="11">
        <f>Control!$F$26</f>
        <v>7.79703875082322</v>
      </c>
      <c r="BD141" s="11">
        <f>Control!$F$26</f>
        <v>7.79703875082322</v>
      </c>
      <c r="BE141" s="11">
        <f>Control!$F$26</f>
        <v>7.79703875082322</v>
      </c>
      <c r="BF141" s="12" t="n"/>
      <c r="BG141" s="11" t="n"/>
      <c r="BH141" s="11" t="n"/>
      <c r="BI141" s="11" t="n"/>
      <c r="BJ141" s="11" t="n"/>
      <c r="BK141" s="12" t="n"/>
      <c r="BL141" s="11" t="n"/>
      <c r="BM141" s="11" t="n"/>
      <c r="BN141" s="11" t="n"/>
      <c r="BO141" s="11" t="n"/>
      <c r="BP141" s="12" t="n"/>
      <c r="BQ141" s="11" t="n"/>
      <c r="BR141" s="11" t="n"/>
      <c r="BS141" s="11" t="n"/>
      <c r="BT141" s="11" t="n"/>
      <c r="BU141" s="12" t="n"/>
      <c r="BV141" s="11" t="n"/>
      <c r="BW141" s="11" t="n"/>
      <c r="BX141" s="11" t="n"/>
      <c r="BY141" s="11" t="n"/>
      <c r="BZ141" s="12" t="n"/>
      <c r="CA141" s="11" t="n"/>
      <c r="CB141" s="11" t="n"/>
      <c r="CC141" s="11" t="n"/>
      <c r="CD141" s="11" t="n"/>
      <c r="CE141" s="12" t="n"/>
      <c r="CF141" s="11" t="n"/>
      <c r="CG141" s="11" t="n"/>
      <c r="CH141" s="11" t="n"/>
      <c r="CI141" s="11" t="n"/>
      <c r="CJ141" s="12" t="n"/>
      <c r="CK141" s="11" t="n"/>
      <c r="CL141" s="11" t="n"/>
      <c r="CM141" s="11" t="n"/>
      <c r="CN141" s="11" t="n"/>
      <c r="CO141" s="12" t="n"/>
      <c r="CP141" s="11" t="n"/>
      <c r="CQ141" s="11" t="n"/>
      <c r="CR141" s="11" t="n"/>
      <c r="CS141" s="11" t="n"/>
      <c r="CT141" s="12" t="n"/>
      <c r="CU141" s="11" t="n"/>
      <c r="CV141" s="11" t="n"/>
      <c r="CW141" s="11" t="n"/>
      <c r="CX141" s="11" t="n"/>
      <c r="CY141" s="12" t="n"/>
    </row>
    <row r="142" hidden="1" outlineLevel="1">
      <c r="C142" s="57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  <c r="AJ142" s="12" t="n"/>
      <c r="AK142" s="12" t="n"/>
      <c r="AL142" s="12" t="n"/>
      <c r="AM142" s="12" t="n"/>
      <c r="AN142" s="12" t="n"/>
      <c r="AO142" s="12" t="n"/>
      <c r="AP142" s="12" t="n"/>
      <c r="AQ142" s="12" t="n"/>
      <c r="AR142" s="12" t="n"/>
      <c r="AS142" s="12" t="n"/>
      <c r="AT142" s="12" t="n"/>
      <c r="AU142" s="12" t="n"/>
      <c r="AV142" s="12" t="n"/>
      <c r="AW142" s="12" t="n"/>
      <c r="AX142" s="12" t="n"/>
      <c r="AY142" s="12" t="n"/>
      <c r="AZ142" s="12" t="n"/>
      <c r="BA142" s="12" t="n"/>
      <c r="BB142" s="12" t="n"/>
      <c r="BC142" s="12" t="n"/>
      <c r="BD142" s="12" t="n"/>
      <c r="BE142" s="12" t="n"/>
      <c r="BF142" s="12" t="n"/>
      <c r="BG142" s="12" t="n"/>
      <c r="BH142" s="12" t="n"/>
      <c r="BI142" s="12" t="n"/>
      <c r="BJ142" s="12" t="n"/>
      <c r="BK142" s="12" t="n"/>
      <c r="BL142" s="12" t="n"/>
      <c r="BM142" s="12" t="n"/>
      <c r="BN142" s="12" t="n"/>
      <c r="BO142" s="12" t="n"/>
      <c r="BP142" s="12" t="n"/>
      <c r="BQ142" s="12" t="n"/>
      <c r="BR142" s="12" t="n"/>
      <c r="BS142" s="12" t="n"/>
      <c r="BT142" s="12" t="n"/>
      <c r="BU142" s="12" t="n"/>
      <c r="BV142" s="12" t="n"/>
      <c r="BW142" s="12" t="n"/>
      <c r="BX142" s="12" t="n"/>
      <c r="BY142" s="12" t="n"/>
      <c r="BZ142" s="12" t="n"/>
      <c r="CA142" s="12" t="n"/>
      <c r="CB142" s="12" t="n"/>
      <c r="CC142" s="12" t="n"/>
      <c r="CD142" s="12" t="n"/>
      <c r="CE142" s="12" t="n"/>
      <c r="CF142" s="12" t="n"/>
      <c r="CG142" s="12" t="n"/>
      <c r="CH142" s="12" t="n"/>
      <c r="CI142" s="12" t="n"/>
      <c r="CJ142" s="12" t="n"/>
      <c r="CK142" s="12" t="n"/>
      <c r="CL142" s="12" t="n"/>
      <c r="CM142" s="12" t="n"/>
      <c r="CN142" s="12" t="n"/>
      <c r="CO142" s="12" t="n"/>
      <c r="CP142" s="12" t="n"/>
      <c r="CQ142" s="12" t="n"/>
      <c r="CR142" s="12" t="n"/>
      <c r="CS142" s="12" t="n"/>
      <c r="CT142" s="12" t="n"/>
      <c r="CU142" s="12" t="n"/>
      <c r="CV142" s="12" t="n"/>
      <c r="CW142" s="12" t="n"/>
      <c r="CX142" s="12" t="n"/>
      <c r="CY142" s="12" t="n"/>
    </row>
    <row r="143" hidden="1" outlineLevel="1">
      <c r="C143" s="57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  <c r="BE143" s="12" t="n"/>
      <c r="BF143" s="12" t="n"/>
      <c r="BG143" s="12" t="n"/>
      <c r="BH143" s="12" t="n"/>
      <c r="BI143" s="12" t="n"/>
      <c r="BJ143" s="12" t="n"/>
      <c r="BK143" s="12" t="n"/>
      <c r="BL143" s="12" t="n"/>
      <c r="BM143" s="12" t="n"/>
      <c r="BN143" s="12" t="n"/>
      <c r="BO143" s="12" t="n"/>
      <c r="BP143" s="12" t="n"/>
      <c r="BQ143" s="12" t="n"/>
      <c r="BR143" s="12" t="n"/>
      <c r="BS143" s="12" t="n"/>
      <c r="BT143" s="12" t="n"/>
      <c r="BU143" s="12" t="n"/>
      <c r="BV143" s="12" t="n"/>
      <c r="BW143" s="12" t="n"/>
      <c r="BX143" s="12" t="n"/>
      <c r="BY143" s="12" t="n"/>
      <c r="BZ143" s="12" t="n"/>
      <c r="CA143" s="12" t="n"/>
      <c r="CB143" s="12" t="n"/>
      <c r="CC143" s="12" t="n"/>
      <c r="CD143" s="12" t="n"/>
      <c r="CE143" s="12" t="n"/>
      <c r="CF143" s="12" t="n"/>
      <c r="CG143" s="12" t="n"/>
      <c r="CH143" s="12" t="n"/>
      <c r="CI143" s="12" t="n"/>
      <c r="CJ143" s="12" t="n"/>
      <c r="CK143" s="12" t="n"/>
      <c r="CL143" s="12" t="n"/>
      <c r="CM143" s="12" t="n"/>
      <c r="CN143" s="12" t="n"/>
      <c r="CO143" s="12" t="n"/>
      <c r="CP143" s="12" t="n"/>
      <c r="CQ143" s="12" t="n"/>
      <c r="CR143" s="12" t="n"/>
      <c r="CS143" s="12" t="n"/>
      <c r="CT143" s="12" t="n"/>
      <c r="CU143" s="12" t="n"/>
      <c r="CV143" s="12" t="n"/>
      <c r="CW143" s="12" t="n"/>
      <c r="CX143" s="12" t="n"/>
      <c r="CY143" s="12" t="n"/>
    </row>
    <row r="144" collapsed="1">
      <c r="C144" s="14" t="inlineStr">
        <is>
          <t>Deferred income taxes</t>
        </is>
      </c>
      <c r="D144" s="46" t="n"/>
      <c r="E144" s="46" t="n"/>
      <c r="F144" s="46" t="n"/>
      <c r="G144" s="46" t="n"/>
      <c r="H144" s="12" t="n"/>
      <c r="I144" s="46">
        <f>'Inputs (2)'!D18</f>
        <v>3375</v>
      </c>
      <c r="J144" s="46">
        <f>'Inputs (2)'!E18</f>
        <v>3377</v>
      </c>
      <c r="K144" s="46">
        <f>'Inputs (2)'!F18</f>
        <v>2664</v>
      </c>
      <c r="L144" s="46">
        <f>'Inputs (2)'!G18</f>
        <v>2290</v>
      </c>
      <c r="M144" s="12">
        <f>'Inputs (2)'!H18</f>
        <v>2290</v>
      </c>
      <c r="N144" s="46">
        <f>'Inputs (2)'!I18</f>
        <v>2688</v>
      </c>
      <c r="O144" s="46">
        <f>'Inputs (2)'!J18</f>
        <v>2680</v>
      </c>
      <c r="P144" s="46">
        <f>'Inputs (2)'!K18</f>
        <v>3116</v>
      </c>
      <c r="Q144" s="46">
        <f>'Inputs (2)'!L18</f>
        <v>3744</v>
      </c>
      <c r="R144" s="12">
        <f>'Inputs (2)'!M18</f>
        <v>3744</v>
      </c>
      <c r="S144" s="46">
        <f>'Inputs (2)'!N18</f>
        <v>4175</v>
      </c>
      <c r="T144" s="46">
        <f>'Inputs (2)'!O18</f>
        <v>4518</v>
      </c>
      <c r="U144" s="46">
        <f>'Inputs (2)'!P18</f>
        <v>4873</v>
      </c>
      <c r="V144" s="46">
        <f>'Inputs (2)'!Q18</f>
        <v>2953</v>
      </c>
      <c r="W144" s="12">
        <f>'Inputs (2)'!R18</f>
        <v>2953</v>
      </c>
      <c r="X144" s="46">
        <f>'Inputs (2)'!S18</f>
        <v>3024</v>
      </c>
      <c r="Y144" s="46">
        <f>'Inputs (2)'!T18</f>
        <v>3080</v>
      </c>
      <c r="Z144" s="46">
        <f>'Inputs (2)'!U18</f>
        <v>3105</v>
      </c>
      <c r="AA144" s="46">
        <f>'Inputs (2)'!V18</f>
        <v>3557</v>
      </c>
      <c r="AB144" s="12">
        <f>'Inputs (2)'!W18</f>
        <v>3557</v>
      </c>
      <c r="AC144" s="46">
        <f>'Inputs (2)'!X18</f>
        <v>3568</v>
      </c>
      <c r="AD144" s="46">
        <f>'Inputs (2)'!Y18</f>
        <v>4070</v>
      </c>
      <c r="AE144" s="46">
        <f>'Inputs (2)'!Z18</f>
        <v>3413</v>
      </c>
      <c r="AF144" s="46">
        <f>'Inputs (2)'!AA18</f>
        <v>2975</v>
      </c>
      <c r="AG144" s="12">
        <f>'Inputs (2)'!AB18</f>
        <v>2975</v>
      </c>
      <c r="AH144" s="12">
        <f>'Inputs (2)'!AC18</f>
        <v>2802</v>
      </c>
      <c r="AI144" s="12">
        <f>'Inputs (2)'!AD18</f>
        <v>2414</v>
      </c>
      <c r="AJ144" s="12">
        <f>AI144</f>
        <v>2414</v>
      </c>
      <c r="AK144" s="12">
        <f>AJ144</f>
        <v>2414</v>
      </c>
      <c r="AL144" s="12">
        <f>AK144</f>
        <v>2414</v>
      </c>
      <c r="AM144" s="12">
        <f>AL144</f>
        <v>2414</v>
      </c>
      <c r="AN144" s="12">
        <f>AM144</f>
        <v>2414</v>
      </c>
      <c r="AO144" s="12">
        <f>AN144</f>
        <v>2414</v>
      </c>
      <c r="AP144" s="12">
        <f>AO144</f>
        <v>2414</v>
      </c>
      <c r="AQ144" s="12">
        <f>AP144</f>
        <v>2414</v>
      </c>
      <c r="AR144" s="12">
        <f>AQ144</f>
        <v>2414</v>
      </c>
      <c r="AS144" s="12">
        <f>AR144</f>
        <v>2414</v>
      </c>
      <c r="AT144" s="12">
        <f>AS144</f>
        <v>2414</v>
      </c>
      <c r="AU144" s="12">
        <f>AT144</f>
        <v>2414</v>
      </c>
      <c r="AV144" s="12">
        <f>AU144</f>
        <v>2414</v>
      </c>
      <c r="AW144" s="12">
        <f>AV144</f>
        <v>2414</v>
      </c>
      <c r="AX144" s="12">
        <f>AW144</f>
        <v>2414</v>
      </c>
      <c r="AY144" s="12">
        <f>AX144</f>
        <v>2414</v>
      </c>
      <c r="AZ144" s="12">
        <f>AY144</f>
        <v>2414</v>
      </c>
      <c r="BA144" s="12">
        <f>AZ144</f>
        <v>2414</v>
      </c>
      <c r="BB144" s="12">
        <f>BA144</f>
        <v>2414</v>
      </c>
      <c r="BC144" s="12">
        <f>BB144</f>
        <v>2414</v>
      </c>
      <c r="BD144" s="12">
        <f>BC144</f>
        <v>2414</v>
      </c>
      <c r="BE144" s="12">
        <f>BD144</f>
        <v>2414</v>
      </c>
      <c r="BF144" s="12">
        <f>BE144</f>
        <v>2414</v>
      </c>
      <c r="BG144" s="12" t="n"/>
      <c r="BH144" s="12" t="n"/>
      <c r="BI144" s="12" t="n"/>
      <c r="BJ144" s="12" t="n"/>
      <c r="BK144" s="12" t="n"/>
      <c r="BL144" s="12" t="n"/>
      <c r="BM144" s="12" t="n"/>
      <c r="BN144" s="12" t="n"/>
      <c r="BO144" s="12" t="n"/>
      <c r="BP144" s="12" t="n"/>
      <c r="BQ144" s="12" t="n"/>
      <c r="BR144" s="12" t="n"/>
      <c r="BS144" s="12" t="n"/>
      <c r="BT144" s="12" t="n"/>
      <c r="BU144" s="12" t="n"/>
      <c r="BV144" s="12" t="n"/>
      <c r="BW144" s="12" t="n"/>
      <c r="BX144" s="12" t="n"/>
      <c r="BY144" s="12" t="n"/>
      <c r="BZ144" s="12" t="n"/>
      <c r="CA144" s="12" t="n"/>
      <c r="CB144" s="12" t="n"/>
      <c r="CC144" s="12" t="n"/>
      <c r="CD144" s="12" t="n"/>
      <c r="CE144" s="12" t="n"/>
      <c r="CF144" s="12" t="n"/>
      <c r="CG144" s="12" t="n"/>
      <c r="CH144" s="12" t="n"/>
      <c r="CI144" s="12" t="n"/>
      <c r="CJ144" s="12" t="n"/>
      <c r="CK144" s="12" t="n"/>
      <c r="CL144" s="12" t="n"/>
      <c r="CM144" s="12" t="n"/>
      <c r="CN144" s="12" t="n"/>
      <c r="CO144" s="12" t="n"/>
      <c r="CP144" s="12" t="n"/>
      <c r="CQ144" s="12" t="n"/>
      <c r="CR144" s="12" t="n"/>
      <c r="CS144" s="12" t="n"/>
      <c r="CT144" s="12" t="n"/>
      <c r="CU144" s="12" t="n"/>
      <c r="CV144" s="12" t="n"/>
      <c r="CW144" s="12" t="n"/>
      <c r="CX144" s="12" t="n"/>
      <c r="CY144" s="12" t="n"/>
    </row>
    <row r="145">
      <c r="C145" s="14" t="inlineStr">
        <is>
          <t>Prepaid expenses</t>
        </is>
      </c>
      <c r="D145" s="46" t="n"/>
      <c r="E145" s="46" t="n"/>
      <c r="F145" s="46" t="n"/>
      <c r="G145" s="46" t="n"/>
      <c r="H145" s="12" t="n"/>
      <c r="I145" s="46">
        <f>'Inputs (2)'!D19</f>
        <v>0</v>
      </c>
      <c r="J145" s="46">
        <f>'Inputs (2)'!E19</f>
        <v>0</v>
      </c>
      <c r="K145" s="46">
        <f>'Inputs (2)'!F19</f>
        <v>0</v>
      </c>
      <c r="L145" s="46">
        <f>'Inputs (2)'!G19</f>
        <v>0</v>
      </c>
      <c r="M145" s="12">
        <f>'Inputs (2)'!H19</f>
        <v>0</v>
      </c>
      <c r="N145" s="46">
        <f>'Inputs (2)'!I19</f>
        <v>0</v>
      </c>
      <c r="O145" s="46">
        <f>'Inputs (2)'!J19</f>
        <v>0</v>
      </c>
      <c r="P145" s="46">
        <f>'Inputs (2)'!K19</f>
        <v>0</v>
      </c>
      <c r="Q145" s="46">
        <f>'Inputs (2)'!L19</f>
        <v>0</v>
      </c>
      <c r="R145" s="12">
        <f>'Inputs (2)'!M19</f>
        <v>0</v>
      </c>
      <c r="S145" s="46">
        <f>'Inputs (2)'!N19</f>
        <v>0</v>
      </c>
      <c r="T145" s="46">
        <f>'Inputs (2)'!O19</f>
        <v>0</v>
      </c>
      <c r="U145" s="46">
        <f>'Inputs (2)'!P19</f>
        <v>0</v>
      </c>
      <c r="V145" s="46">
        <f>'Inputs (2)'!Q19</f>
        <v>0</v>
      </c>
      <c r="W145" s="12">
        <f>'Inputs (2)'!R19</f>
        <v>0</v>
      </c>
      <c r="X145" s="46">
        <f>'Inputs (2)'!S19</f>
        <v>0</v>
      </c>
      <c r="Y145" s="46">
        <f>'Inputs (2)'!T19</f>
        <v>0</v>
      </c>
      <c r="Z145" s="46">
        <f>'Inputs (2)'!U19</f>
        <v>0</v>
      </c>
      <c r="AA145" s="46">
        <f>'Inputs (2)'!V19</f>
        <v>0</v>
      </c>
      <c r="AB145" s="12">
        <f>'Inputs (2)'!W19</f>
        <v>0</v>
      </c>
      <c r="AC145" s="46">
        <f>'Inputs (2)'!X19</f>
        <v>0</v>
      </c>
      <c r="AD145" s="46">
        <f>'Inputs (2)'!Y19</f>
        <v>0</v>
      </c>
      <c r="AE145" s="46">
        <f>'Inputs (2)'!Z19</f>
        <v>0</v>
      </c>
      <c r="AF145" s="46">
        <f>'Inputs (2)'!AA19</f>
        <v>0</v>
      </c>
      <c r="AG145" s="12">
        <f>'Inputs (2)'!AB19</f>
        <v>0</v>
      </c>
      <c r="AH145" s="12">
        <f>'Inputs (2)'!AC19</f>
        <v>0</v>
      </c>
      <c r="AI145" s="12">
        <f>'Inputs (2)'!AD19</f>
        <v>0</v>
      </c>
      <c r="AJ145" s="12">
        <f>AI145</f>
        <v>0</v>
      </c>
      <c r="AK145" s="12">
        <f>AJ145</f>
        <v>0</v>
      </c>
      <c r="AL145" s="12">
        <f>AK145</f>
        <v>0</v>
      </c>
      <c r="AM145" s="12">
        <f>AL145</f>
        <v>0</v>
      </c>
      <c r="AN145" s="12">
        <f>AM145</f>
        <v>0</v>
      </c>
      <c r="AO145" s="12">
        <f>AN145</f>
        <v>0</v>
      </c>
      <c r="AP145" s="12">
        <f>AO145</f>
        <v>0</v>
      </c>
      <c r="AQ145" s="12">
        <f>AP145</f>
        <v>0</v>
      </c>
      <c r="AR145" s="12">
        <f>AQ145</f>
        <v>0</v>
      </c>
      <c r="AS145" s="12">
        <f>AR145</f>
        <v>0</v>
      </c>
      <c r="AT145" s="12">
        <f>AS145</f>
        <v>0</v>
      </c>
      <c r="AU145" s="12">
        <f>AT145</f>
        <v>0</v>
      </c>
      <c r="AV145" s="12">
        <f>AU145</f>
        <v>0</v>
      </c>
      <c r="AW145" s="12">
        <f>AV145</f>
        <v>0</v>
      </c>
      <c r="AX145" s="12">
        <f>AW145</f>
        <v>0</v>
      </c>
      <c r="AY145" s="12">
        <f>AX145</f>
        <v>0</v>
      </c>
      <c r="AZ145" s="12">
        <f>AY145</f>
        <v>0</v>
      </c>
      <c r="BA145" s="12">
        <f>AZ145</f>
        <v>0</v>
      </c>
      <c r="BB145" s="12">
        <f>BA145</f>
        <v>0</v>
      </c>
      <c r="BC145" s="12">
        <f>BB145</f>
        <v>0</v>
      </c>
      <c r="BD145" s="12">
        <f>BC145</f>
        <v>0</v>
      </c>
      <c r="BE145" s="12">
        <f>BD145</f>
        <v>0</v>
      </c>
      <c r="BF145" s="12">
        <f>BE145</f>
        <v>0</v>
      </c>
      <c r="BG145" s="12" t="n"/>
      <c r="BH145" s="12" t="n"/>
      <c r="BI145" s="12" t="n"/>
      <c r="BJ145" s="12" t="n"/>
      <c r="BK145" s="12" t="n"/>
      <c r="BL145" s="12" t="n"/>
      <c r="BM145" s="12" t="n"/>
      <c r="BN145" s="12" t="n"/>
      <c r="BO145" s="12" t="n"/>
      <c r="BP145" s="12" t="n"/>
      <c r="BQ145" s="12" t="n"/>
      <c r="BR145" s="12" t="n"/>
      <c r="BS145" s="12" t="n"/>
      <c r="BT145" s="12" t="n"/>
      <c r="BU145" s="12" t="n"/>
      <c r="BV145" s="12" t="n"/>
      <c r="BW145" s="12" t="n"/>
      <c r="BX145" s="12" t="n"/>
      <c r="BY145" s="12" t="n"/>
      <c r="BZ145" s="12" t="n"/>
      <c r="CA145" s="12" t="n"/>
      <c r="CB145" s="12" t="n"/>
      <c r="CC145" s="12" t="n"/>
      <c r="CD145" s="12" t="n"/>
      <c r="CE145" s="12" t="n"/>
      <c r="CF145" s="12" t="n"/>
      <c r="CG145" s="12" t="n"/>
      <c r="CH145" s="12" t="n"/>
      <c r="CI145" s="12" t="n"/>
      <c r="CJ145" s="12" t="n"/>
      <c r="CK145" s="12" t="n"/>
      <c r="CL145" s="12" t="n"/>
      <c r="CM145" s="12" t="n"/>
      <c r="CN145" s="12" t="n"/>
      <c r="CO145" s="12" t="n"/>
      <c r="CP145" s="12" t="n"/>
      <c r="CQ145" s="12" t="n"/>
      <c r="CR145" s="12" t="n"/>
      <c r="CS145" s="12" t="n"/>
      <c r="CT145" s="12" t="n"/>
      <c r="CU145" s="12" t="n"/>
      <c r="CV145" s="12" t="n"/>
      <c r="CW145" s="12" t="n"/>
      <c r="CX145" s="12" t="n"/>
      <c r="CY145" s="12" t="n"/>
    </row>
    <row r="146">
      <c r="C146" s="14" t="inlineStr">
        <is>
          <t>Other current assets</t>
        </is>
      </c>
      <c r="D146" s="46" t="n"/>
      <c r="E146" s="46" t="n"/>
      <c r="F146" s="46" t="n"/>
      <c r="G146" s="46" t="n"/>
      <c r="H146" s="12" t="n"/>
      <c r="I146" s="46">
        <f>'Inputs (2)'!D20</f>
        <v>15105</v>
      </c>
      <c r="J146" s="46">
        <f>'Inputs (2)'!E20</f>
        <v>15318</v>
      </c>
      <c r="K146" s="46">
        <f>'Inputs (2)'!F20</f>
        <v>16363</v>
      </c>
      <c r="L146" s="46">
        <f>'Inputs (2)'!G20</f>
        <v>14248</v>
      </c>
      <c r="M146" s="12">
        <f>'Inputs (2)'!H20</f>
        <v>14248</v>
      </c>
      <c r="N146" s="46">
        <f>'Inputs (2)'!I20</f>
        <v>15980</v>
      </c>
      <c r="O146" s="46">
        <f>'Inputs (2)'!J20</f>
        <v>15797</v>
      </c>
      <c r="P146" s="46">
        <f>'Inputs (2)'!K20</f>
        <v>16046</v>
      </c>
      <c r="Q146" s="46">
        <f>'Inputs (2)'!L20</f>
        <v>15939</v>
      </c>
      <c r="R146" s="12">
        <f>'Inputs (2)'!M20</f>
        <v>15939</v>
      </c>
      <c r="S146" s="46">
        <f>'Inputs (2)'!N20</f>
        <v>17121</v>
      </c>
      <c r="T146" s="46">
        <f>'Inputs (2)'!O20</f>
        <v>16987</v>
      </c>
      <c r="U146" s="46">
        <f>'Inputs (2)'!P20</f>
        <v>17366</v>
      </c>
      <c r="V146" s="46">
        <f>'Inputs (2)'!Q20</f>
        <v>16947</v>
      </c>
      <c r="W146" s="12">
        <f>'Inputs (2)'!R20</f>
        <v>16947</v>
      </c>
      <c r="X146" s="46">
        <f>'Inputs (2)'!S20</f>
        <v>17911</v>
      </c>
      <c r="Y146" s="46">
        <f>'Inputs (2)'!T20</f>
        <v>17514</v>
      </c>
      <c r="Z146" s="46">
        <f>'Inputs (2)'!U20</f>
        <v>17919</v>
      </c>
      <c r="AA146" s="46">
        <f>'Inputs (2)'!V20</f>
        <v>17015</v>
      </c>
      <c r="AB146" s="12">
        <f>'Inputs (2)'!W20</f>
        <v>17015</v>
      </c>
      <c r="AC146" s="46">
        <f>'Inputs (2)'!X20</f>
        <v>18974</v>
      </c>
      <c r="AD146" s="46">
        <f>'Inputs (2)'!Y20</f>
        <v>19389</v>
      </c>
      <c r="AE146" s="46">
        <f>'Inputs (2)'!Z20</f>
        <v>18622</v>
      </c>
      <c r="AF146" s="46">
        <f>'Inputs (2)'!AA20</f>
        <v>17340</v>
      </c>
      <c r="AG146" s="12">
        <f>'Inputs (2)'!AB20</f>
        <v>17340</v>
      </c>
      <c r="AH146" s="12">
        <f>'Inputs (2)'!AC20</f>
        <v>16613</v>
      </c>
      <c r="AI146" s="12">
        <f>'Inputs (2)'!AD20</f>
        <v>16843</v>
      </c>
      <c r="AJ146" s="12">
        <f>AI146</f>
        <v>16843</v>
      </c>
      <c r="AK146" s="12">
        <f>AJ146</f>
        <v>16843</v>
      </c>
      <c r="AL146" s="12">
        <f>AK146</f>
        <v>16843</v>
      </c>
      <c r="AM146" s="12">
        <f>AL146</f>
        <v>16843</v>
      </c>
      <c r="AN146" s="12">
        <f>AM146</f>
        <v>16843</v>
      </c>
      <c r="AO146" s="12">
        <f>AN146</f>
        <v>16843</v>
      </c>
      <c r="AP146" s="12">
        <f>AO146</f>
        <v>16843</v>
      </c>
      <c r="AQ146" s="12">
        <f>AP146</f>
        <v>16843</v>
      </c>
      <c r="AR146" s="12">
        <f>AQ146</f>
        <v>16843</v>
      </c>
      <c r="AS146" s="12">
        <f>AR146</f>
        <v>16843</v>
      </c>
      <c r="AT146" s="12">
        <f>AS146</f>
        <v>16843</v>
      </c>
      <c r="AU146" s="12">
        <f>AT146</f>
        <v>16843</v>
      </c>
      <c r="AV146" s="12">
        <f>AU146</f>
        <v>16843</v>
      </c>
      <c r="AW146" s="12">
        <f>AV146</f>
        <v>16843</v>
      </c>
      <c r="AX146" s="12">
        <f>AW146</f>
        <v>16843</v>
      </c>
      <c r="AY146" s="12">
        <f>AX146</f>
        <v>16843</v>
      </c>
      <c r="AZ146" s="12">
        <f>AY146</f>
        <v>16843</v>
      </c>
      <c r="BA146" s="12">
        <f>AZ146</f>
        <v>16843</v>
      </c>
      <c r="BB146" s="12">
        <f>BA146</f>
        <v>16843</v>
      </c>
      <c r="BC146" s="12">
        <f>BB146</f>
        <v>16843</v>
      </c>
      <c r="BD146" s="12">
        <f>BC146</f>
        <v>16843</v>
      </c>
      <c r="BE146" s="12">
        <f>BD146</f>
        <v>16843</v>
      </c>
      <c r="BF146" s="12">
        <f>BE146</f>
        <v>16843</v>
      </c>
      <c r="BG146" s="12" t="n"/>
      <c r="BH146" s="12" t="n"/>
      <c r="BI146" s="12" t="n"/>
      <c r="BJ146" s="12" t="n"/>
      <c r="BK146" s="12" t="n"/>
      <c r="BL146" s="12" t="n"/>
      <c r="BM146" s="12" t="n"/>
      <c r="BN146" s="12" t="n"/>
      <c r="BO146" s="12" t="n"/>
      <c r="BP146" s="12" t="n"/>
      <c r="BQ146" s="12" t="n"/>
      <c r="BR146" s="12" t="n"/>
      <c r="BS146" s="12" t="n"/>
      <c r="BT146" s="12" t="n"/>
      <c r="BU146" s="12" t="n"/>
      <c r="BV146" s="12" t="n"/>
      <c r="BW146" s="12" t="n"/>
      <c r="BX146" s="12" t="n"/>
      <c r="BY146" s="12" t="n"/>
      <c r="BZ146" s="12" t="n"/>
      <c r="CA146" s="12" t="n"/>
      <c r="CB146" s="12" t="n"/>
      <c r="CC146" s="12" t="n"/>
      <c r="CD146" s="12" t="n"/>
      <c r="CE146" s="12" t="n"/>
      <c r="CF146" s="12" t="n"/>
      <c r="CG146" s="12" t="n"/>
      <c r="CH146" s="12" t="n"/>
      <c r="CI146" s="12" t="n"/>
      <c r="CJ146" s="12" t="n"/>
      <c r="CK146" s="12" t="n"/>
      <c r="CL146" s="12" t="n"/>
      <c r="CM146" s="12" t="n"/>
      <c r="CN146" s="12" t="n"/>
      <c r="CO146" s="12" t="n"/>
      <c r="CP146" s="12" t="n"/>
      <c r="CQ146" s="12" t="n"/>
      <c r="CR146" s="12" t="n"/>
      <c r="CS146" s="12" t="n"/>
      <c r="CT146" s="12" t="n"/>
      <c r="CU146" s="12" t="n"/>
      <c r="CV146" s="12" t="n"/>
      <c r="CW146" s="12" t="n"/>
      <c r="CX146" s="12" t="n"/>
      <c r="CY146" s="12" t="n"/>
    </row>
    <row r="147" hidden="1" outlineLevel="1">
      <c r="C147" s="59" t="inlineStr">
        <is>
          <t>%(Var.)</t>
        </is>
      </c>
      <c r="D147" s="12" t="n"/>
      <c r="E147" s="40" t="n"/>
      <c r="F147" s="40" t="n"/>
      <c r="G147" s="40" t="n"/>
      <c r="H147" s="12" t="n"/>
      <c r="I147" s="40" t="str">
        <f>""</f>
        <v/>
      </c>
      <c r="J147" s="40">
        <f>IFERROR(IF(I146=0,"",J146/I146-1),"")</f>
        <v>0.0141012909632572</v>
      </c>
      <c r="K147" s="40">
        <f>IFERROR(IF(J146=0,"",K146/J146-1),"")</f>
        <v>0.0682203943073509</v>
      </c>
      <c r="L147" s="40">
        <f>IFERROR(IF(K146=0,"",L146/K146-1),"")</f>
        <v>-0.129255026584367</v>
      </c>
      <c r="M147" s="12">
        <f>IFERROR(IF(L146=0,"",M146/L146-1),"")</f>
        <v>0</v>
      </c>
      <c r="N147" s="40">
        <f>IFERROR(IF(M146=0,"",N146/M146-1),"")</f>
        <v>0.121560920830994</v>
      </c>
      <c r="O147" s="40">
        <f>IFERROR(IF(N146=0,"",O146/N146-1),"")</f>
        <v>-0.0114518147684606</v>
      </c>
      <c r="P147" s="40">
        <f>IFERROR(IF(O146=0,"",P146/O146-1),"")</f>
        <v>0.0157624865480788</v>
      </c>
      <c r="Q147" s="40">
        <f>IFERROR(IF(P146=0,"",Q146/P146-1),"")</f>
        <v>-0.00666832855540322</v>
      </c>
      <c r="R147" s="12">
        <f>IFERROR(IF(Q146=0,"",R146/Q146-1),"")</f>
        <v>0</v>
      </c>
      <c r="S147" s="40">
        <f>IFERROR(IF(R146=0,"",S146/R146-1),"")</f>
        <v>0.0741577263316393</v>
      </c>
      <c r="T147" s="40">
        <f>IFERROR(IF(S146=0,"",T146/S146-1),"")</f>
        <v>-0.00782664563985747</v>
      </c>
      <c r="U147" s="40">
        <f>IFERROR(IF(T146=0,"",U146/T146-1),"")</f>
        <v>0.0223111791369872</v>
      </c>
      <c r="V147" s="40">
        <f>IFERROR(IF(U146=0,"",V146/U146-1),"")</f>
        <v>-0.0241276056662444</v>
      </c>
      <c r="W147" s="12">
        <f>IFERROR(IF(V146=0,"",W146/V146-1),"")</f>
        <v>0</v>
      </c>
      <c r="X147" s="40">
        <f>IFERROR(IF(W146=0,"",X146/W146-1),"")</f>
        <v>0.0568832241694695</v>
      </c>
      <c r="Y147" s="40">
        <f>IFERROR(IF(X146=0,"",Y146/X146-1),"")</f>
        <v>-0.0221651499078779</v>
      </c>
      <c r="Z147" s="40">
        <f>IFERROR(IF(Y146=0,"",Z146/Y146-1),"")</f>
        <v>0.0231243576567317</v>
      </c>
      <c r="AA147" s="40">
        <f>IFERROR(IF(Z146=0,"",AA146/Z146-1),"")</f>
        <v>-0.0504492438194095</v>
      </c>
      <c r="AB147" s="12">
        <f>IFERROR(IF(AA146=0,"",AB146/AA146-1),"")</f>
        <v>0</v>
      </c>
      <c r="AC147" s="40">
        <f>IFERROR(IF(AB146=0,"",AC146/AB146-1),"")</f>
        <v>0.115133705553923</v>
      </c>
      <c r="AD147" s="40">
        <f>IFERROR(IF(AC146=0,"",AD146/AC146-1),"")</f>
        <v>0.0218720354168862</v>
      </c>
      <c r="AE147" s="40">
        <f>IFERROR(IF(AD146=0,"",AE146/AD146-1),"")</f>
        <v>-0.0395585125586673</v>
      </c>
      <c r="AF147" s="55">
        <f>IFERROR(IF(AE146=0,"",AF146/AE146-1),"")</f>
        <v>-0.068843303619375</v>
      </c>
      <c r="AG147" s="12">
        <f>IFERROR(IF(AF146=0,"",AG146/AF146-1),"")</f>
        <v>0</v>
      </c>
      <c r="AH147" s="12">
        <f>IFERROR(IF(AG146=0,"",AH146/AG146-1),"")</f>
        <v>-0.0419261822376009</v>
      </c>
      <c r="AI147" s="12">
        <f>IFERROR(IF(AH146=0,"",AI146/AH146-1),"")</f>
        <v>0.0138445795461386</v>
      </c>
      <c r="AJ147" s="12">
        <f>IFERROR(IF(AI146=0,"",AJ146/AI146-1),"")</f>
        <v>0</v>
      </c>
      <c r="AK147" s="12">
        <f>IFERROR(IF(AJ146=0,"",AK146/AJ146-1),"")</f>
        <v>0</v>
      </c>
      <c r="AL147" s="12">
        <f>IFERROR(IF(AK146=0,"",AL146/AK146-1),"")</f>
        <v>0</v>
      </c>
      <c r="AM147" s="12">
        <f>IFERROR(IF(AL146=0,"",AM146/AL146-1),"")</f>
        <v>0</v>
      </c>
      <c r="AN147" s="12">
        <f>IFERROR(IF(AM146=0,"",AN146/AM146-1),"")</f>
        <v>0</v>
      </c>
      <c r="AO147" s="12">
        <f>IFERROR(IF(AN146=0,"",AO146/AN146-1),"")</f>
        <v>0</v>
      </c>
      <c r="AP147" s="12">
        <f>IFERROR(IF(AO146=0,"",AP146/AO146-1),"")</f>
        <v>0</v>
      </c>
      <c r="AQ147" s="12">
        <f>IFERROR(IF(AP146=0,"",AQ146/AP146-1),"")</f>
        <v>0</v>
      </c>
      <c r="AR147" s="12">
        <f>IFERROR(IF(AQ146=0,"",AR146/AQ146-1),"")</f>
        <v>0</v>
      </c>
      <c r="AS147" s="12">
        <f>IFERROR(IF(AR146=0,"",AS146/AR146-1),"")</f>
        <v>0</v>
      </c>
      <c r="AT147" s="12">
        <f>IFERROR(IF(AS146=0,"",AT146/AS146-1),"")</f>
        <v>0</v>
      </c>
      <c r="AU147" s="12">
        <f>IFERROR(IF(AT146=0,"",AU146/AT146-1),"")</f>
        <v>0</v>
      </c>
      <c r="AV147" s="12">
        <f>IFERROR(IF(AU146=0,"",AV146/AU146-1),"")</f>
        <v>0</v>
      </c>
      <c r="AW147" s="12">
        <f>IFERROR(IF(AV146=0,"",AW146/AV146-1),"")</f>
        <v>0</v>
      </c>
      <c r="AX147" s="12">
        <f>IFERROR(IF(AW146=0,"",AX146/AW146-1),"")</f>
        <v>0</v>
      </c>
      <c r="AY147" s="12">
        <f>IFERROR(IF(AX146=0,"",AY146/AX146-1),"")</f>
        <v>0</v>
      </c>
      <c r="AZ147" s="12">
        <f>IFERROR(IF(AY146=0,"",AZ146/AY146-1),"")</f>
        <v>0</v>
      </c>
      <c r="BA147" s="12">
        <f>IFERROR(IF(AZ146=0,"",BA146/AZ146-1),"")</f>
        <v>0</v>
      </c>
      <c r="BB147" s="12">
        <f>IFERROR(IF(BA146=0,"",BB146/BA146-1),"")</f>
        <v>0</v>
      </c>
      <c r="BC147" s="12">
        <f>IFERROR(IF(BB146=0,"",BC146/BB146-1),"")</f>
        <v>0</v>
      </c>
      <c r="BD147" s="12">
        <f>IFERROR(IF(BC146=0,"",BD146/BC146-1),"")</f>
        <v>0</v>
      </c>
      <c r="BE147" s="12">
        <f>IFERROR(IF(BD146=0,"",BE146/BD146-1),"")</f>
        <v>0</v>
      </c>
      <c r="BF147" s="12">
        <f>IFERROR(IF(BE146=0,"",BF146/BE146-1),"")</f>
        <v>0</v>
      </c>
      <c r="BG147" s="12" t="n"/>
      <c r="BH147" s="12" t="n"/>
      <c r="BI147" s="12" t="n"/>
      <c r="BJ147" s="12" t="n"/>
      <c r="BK147" s="12" t="n"/>
      <c r="BL147" s="12" t="n"/>
      <c r="BM147" s="12" t="n"/>
      <c r="BN147" s="12" t="n"/>
      <c r="BO147" s="12" t="n"/>
      <c r="BP147" s="12" t="n"/>
      <c r="BQ147" s="12" t="n"/>
      <c r="BR147" s="12" t="n"/>
      <c r="BS147" s="12" t="n"/>
      <c r="BT147" s="12" t="n"/>
      <c r="BU147" s="12" t="n"/>
      <c r="BV147" s="12" t="n"/>
      <c r="BW147" s="12" t="n"/>
      <c r="BX147" s="12" t="n"/>
      <c r="BY147" s="12" t="n"/>
      <c r="BZ147" s="12" t="n"/>
      <c r="CA147" s="12" t="n"/>
      <c r="CB147" s="12" t="n"/>
      <c r="CC147" s="12" t="n"/>
      <c r="CD147" s="12" t="n"/>
      <c r="CE147" s="12" t="n"/>
      <c r="CF147" s="12" t="n"/>
      <c r="CG147" s="12" t="n"/>
      <c r="CH147" s="12" t="n"/>
      <c r="CI147" s="12" t="n"/>
      <c r="CJ147" s="12" t="n"/>
      <c r="CK147" s="12" t="n"/>
      <c r="CL147" s="12" t="n"/>
      <c r="CM147" s="12" t="n"/>
      <c r="CN147" s="12" t="n"/>
      <c r="CO147" s="12" t="n"/>
      <c r="CP147" s="12" t="n"/>
      <c r="CQ147" s="12" t="n"/>
      <c r="CR147" s="12" t="n"/>
      <c r="CS147" s="12" t="n"/>
      <c r="CT147" s="12" t="n"/>
      <c r="CU147" s="12" t="n"/>
      <c r="CV147" s="12" t="n"/>
      <c r="CW147" s="12" t="n"/>
      <c r="CX147" s="12" t="n"/>
      <c r="CY147" s="12" t="n"/>
    </row>
    <row r="148" hidden="1" outlineLevel="1">
      <c r="C148" s="57" t="n"/>
      <c r="D148" s="12" t="n"/>
      <c r="E148" s="40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  <c r="AL148" s="12" t="n"/>
      <c r="AM148" s="12" t="n"/>
      <c r="AN148" s="12" t="n"/>
      <c r="AO148" s="12" t="n"/>
      <c r="AP148" s="12" t="n"/>
      <c r="AQ148" s="12" t="n"/>
      <c r="AR148" s="12" t="n"/>
      <c r="AS148" s="12" t="n"/>
      <c r="AT148" s="12" t="n"/>
      <c r="AU148" s="12" t="n"/>
      <c r="AV148" s="12" t="n"/>
      <c r="AW148" s="12" t="n"/>
      <c r="AX148" s="12" t="n"/>
      <c r="AY148" s="12" t="n"/>
      <c r="AZ148" s="12" t="n"/>
      <c r="BA148" s="12" t="n"/>
      <c r="BB148" s="12" t="n"/>
      <c r="BC148" s="12" t="n"/>
      <c r="BD148" s="12" t="n"/>
      <c r="BE148" s="12" t="n"/>
      <c r="BF148" s="12" t="n"/>
      <c r="BG148" s="12" t="n"/>
      <c r="BH148" s="12" t="n"/>
      <c r="BI148" s="12" t="n"/>
      <c r="BJ148" s="12" t="n"/>
      <c r="BK148" s="12" t="n"/>
      <c r="BL148" s="12" t="n"/>
      <c r="BM148" s="12" t="n"/>
      <c r="BN148" s="12" t="n"/>
      <c r="BO148" s="12" t="n"/>
      <c r="BP148" s="12" t="n"/>
      <c r="BQ148" s="12" t="n"/>
      <c r="BR148" s="12" t="n"/>
      <c r="BS148" s="12" t="n"/>
      <c r="BT148" s="12" t="n"/>
      <c r="BU148" s="12" t="n"/>
      <c r="BV148" s="12" t="n"/>
      <c r="BW148" s="12" t="n"/>
      <c r="BX148" s="12" t="n"/>
      <c r="BY148" s="12" t="n"/>
      <c r="BZ148" s="12" t="n"/>
      <c r="CA148" s="12" t="n"/>
      <c r="CB148" s="12" t="n"/>
      <c r="CC148" s="12" t="n"/>
      <c r="CD148" s="12" t="n"/>
      <c r="CE148" s="12" t="n"/>
      <c r="CF148" s="12" t="n"/>
      <c r="CG148" s="12" t="n"/>
      <c r="CH148" s="12" t="n"/>
      <c r="CI148" s="12" t="n"/>
      <c r="CJ148" s="12" t="n"/>
      <c r="CK148" s="12" t="n"/>
      <c r="CL148" s="12" t="n"/>
      <c r="CM148" s="12" t="n"/>
      <c r="CN148" s="12" t="n"/>
      <c r="CO148" s="12" t="n"/>
      <c r="CP148" s="12" t="n"/>
      <c r="CQ148" s="12" t="n"/>
      <c r="CR148" s="12" t="n"/>
      <c r="CS148" s="12" t="n"/>
      <c r="CT148" s="12" t="n"/>
      <c r="CU148" s="12" t="n"/>
      <c r="CV148" s="12" t="n"/>
      <c r="CW148" s="12" t="n"/>
      <c r="CX148" s="12" t="n"/>
      <c r="CY148" s="12" t="n"/>
    </row>
    <row r="149" hidden="1" outlineLevel="1">
      <c r="C149" s="60" t="inlineStr">
        <is>
          <t xml:space="preserve">Impostos e Contribuições a Recuperar </t>
        </is>
      </c>
      <c r="D149" s="11" t="n"/>
      <c r="E149" s="11" t="n"/>
      <c r="F149" s="11" t="n"/>
      <c r="G149" s="11" t="n"/>
      <c r="H149" s="12" t="n"/>
      <c r="I149" s="11" t="n"/>
      <c r="J149" s="11" t="n"/>
      <c r="K149" s="11" t="n"/>
      <c r="L149" s="11" t="n"/>
      <c r="M149" s="12" t="n"/>
      <c r="N149" s="11" t="n"/>
      <c r="O149" s="11" t="n"/>
      <c r="P149" s="11" t="n"/>
      <c r="Q149" s="11" t="n"/>
      <c r="R149" s="12" t="n"/>
      <c r="S149" s="11" t="n"/>
      <c r="T149" s="11" t="n"/>
      <c r="U149" s="11" t="n"/>
      <c r="V149" s="11" t="n"/>
      <c r="W149" s="12" t="n"/>
      <c r="X149" s="11" t="n"/>
      <c r="Y149" s="11" t="n"/>
      <c r="Z149" s="11" t="n"/>
      <c r="AA149" s="11" t="n"/>
      <c r="AB149" s="12" t="n"/>
      <c r="AC149" s="11" t="n"/>
      <c r="AD149" s="11" t="n"/>
      <c r="AE149" s="11" t="n"/>
      <c r="AF149" s="11" t="n"/>
      <c r="AG149" s="12">
        <f>AF149</f>
        <v>0</v>
      </c>
      <c r="AH149" s="61">
        <f>IFERROR(AG149*AH15/AG15,"")</f>
        <v>0</v>
      </c>
      <c r="AI149" s="61">
        <f>IFERROR(AH149*AI15/AH15,"")</f>
        <v>0</v>
      </c>
      <c r="AJ149" s="61">
        <f>IFERROR(AI149*AJ15/AI15,"")</f>
        <v>0</v>
      </c>
      <c r="AK149" s="61">
        <f>IFERROR(AJ149*AK15/AJ15,"")</f>
        <v>0</v>
      </c>
      <c r="AL149" s="12">
        <f>IFERROR(AK149,"")</f>
        <v>0</v>
      </c>
      <c r="AM149" s="12" t="n"/>
      <c r="AN149" s="12" t="n"/>
      <c r="AO149" s="12" t="n"/>
      <c r="AP149" s="12" t="n"/>
      <c r="AQ149" s="12" t="n"/>
      <c r="AR149" s="12" t="n"/>
      <c r="AS149" s="12" t="n"/>
      <c r="AT149" s="12" t="n"/>
      <c r="AU149" s="12" t="n"/>
      <c r="AV149" s="12" t="n"/>
      <c r="AW149" s="12" t="n"/>
      <c r="AX149" s="12" t="n"/>
      <c r="AY149" s="12" t="n"/>
      <c r="AZ149" s="12" t="n"/>
      <c r="BA149" s="12" t="n"/>
      <c r="BB149" s="12" t="n"/>
      <c r="BC149" s="12" t="n"/>
      <c r="BD149" s="12" t="n"/>
      <c r="BE149" s="12" t="n"/>
      <c r="BF149" s="12" t="n"/>
      <c r="BG149" s="12" t="n"/>
      <c r="BH149" s="12" t="n"/>
      <c r="BI149" s="12" t="n"/>
      <c r="BJ149" s="12" t="n"/>
      <c r="BK149" s="12" t="n"/>
      <c r="BL149" s="12" t="n"/>
      <c r="BM149" s="12" t="n"/>
      <c r="BN149" s="12" t="n"/>
      <c r="BO149" s="12" t="n"/>
      <c r="BP149" s="12" t="n"/>
      <c r="BQ149" s="12" t="n"/>
      <c r="BR149" s="12" t="n"/>
      <c r="BS149" s="12" t="n"/>
      <c r="BT149" s="12" t="n"/>
      <c r="BU149" s="12" t="n"/>
      <c r="BV149" s="12" t="n"/>
      <c r="BW149" s="12" t="n"/>
      <c r="BX149" s="12" t="n"/>
      <c r="BY149" s="12" t="n"/>
      <c r="BZ149" s="12" t="n"/>
      <c r="CA149" s="12" t="n"/>
      <c r="CB149" s="12" t="n"/>
      <c r="CC149" s="12" t="n"/>
      <c r="CD149" s="12" t="n"/>
      <c r="CE149" s="12" t="n"/>
      <c r="CF149" s="12" t="n"/>
      <c r="CG149" s="12" t="n"/>
      <c r="CH149" s="12" t="n"/>
      <c r="CI149" s="12" t="n"/>
      <c r="CJ149" s="12" t="n"/>
      <c r="CK149" s="12" t="n"/>
      <c r="CL149" s="12" t="n"/>
      <c r="CM149" s="12" t="n"/>
      <c r="CN149" s="12" t="n"/>
      <c r="CO149" s="12" t="n"/>
      <c r="CP149" s="12" t="n"/>
      <c r="CQ149" s="12" t="n"/>
      <c r="CR149" s="12" t="n"/>
      <c r="CS149" s="12" t="n"/>
      <c r="CT149" s="12" t="n"/>
      <c r="CU149" s="12" t="n"/>
      <c r="CV149" s="12" t="n"/>
      <c r="CW149" s="12" t="n"/>
      <c r="CX149" s="12" t="n"/>
      <c r="CY149" s="12" t="n"/>
    </row>
    <row r="150" hidden="1" outlineLevel="1">
      <c r="C150" s="60" t="inlineStr">
        <is>
          <t>Outros Créditos</t>
        </is>
      </c>
      <c r="D150" s="11" t="n"/>
      <c r="E150" s="11" t="n"/>
      <c r="F150" s="11" t="n"/>
      <c r="G150" s="11" t="n"/>
      <c r="H150" s="12" t="n"/>
      <c r="I150" s="11" t="n"/>
      <c r="J150" s="11" t="n"/>
      <c r="K150" s="11" t="n"/>
      <c r="L150" s="11" t="n"/>
      <c r="M150" s="12" t="n"/>
      <c r="N150" s="11" t="n"/>
      <c r="O150" s="11" t="n"/>
      <c r="P150" s="11" t="n"/>
      <c r="Q150" s="11" t="n"/>
      <c r="R150" s="12" t="n"/>
      <c r="S150" s="11" t="n"/>
      <c r="T150" s="11" t="n"/>
      <c r="U150" s="11" t="n"/>
      <c r="V150" s="11" t="n"/>
      <c r="W150" s="12" t="n"/>
      <c r="X150" s="11" t="n"/>
      <c r="Y150" s="11" t="n"/>
      <c r="Z150" s="11" t="n"/>
      <c r="AA150" s="11" t="n"/>
      <c r="AB150" s="12" t="n"/>
      <c r="AC150" s="11" t="n"/>
      <c r="AD150" s="11" t="n"/>
      <c r="AE150" s="11" t="n"/>
      <c r="AF150" s="11" t="n"/>
      <c r="AG150" s="12">
        <f>AF150</f>
        <v>0</v>
      </c>
      <c r="AH150" s="12">
        <f>AG150</f>
        <v>0</v>
      </c>
      <c r="AI150" s="12">
        <f>AH150</f>
        <v>0</v>
      </c>
      <c r="AJ150" s="12">
        <f>AI150</f>
        <v>0</v>
      </c>
      <c r="AK150" s="12">
        <f>AJ150</f>
        <v>0</v>
      </c>
      <c r="AL150" s="12">
        <f>AK150</f>
        <v>0</v>
      </c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  <c r="BE150" s="12" t="n"/>
      <c r="BF150" s="12" t="n"/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</row>
    <row r="151" hidden="1" outlineLevel="1">
      <c r="C151" s="57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  <c r="AL151" s="12" t="n"/>
      <c r="AM151" s="12" t="n"/>
      <c r="AN151" s="12" t="n"/>
      <c r="AO151" s="12" t="n"/>
      <c r="AP151" s="12" t="n"/>
      <c r="AQ151" s="12" t="n"/>
      <c r="AR151" s="12" t="n"/>
      <c r="AS151" s="12" t="n"/>
      <c r="AT151" s="12" t="n"/>
      <c r="AU151" s="12" t="n"/>
      <c r="AV151" s="12" t="n"/>
      <c r="AW151" s="12" t="n"/>
      <c r="AX151" s="12" t="n"/>
      <c r="AY151" s="12" t="n"/>
      <c r="AZ151" s="12" t="n"/>
      <c r="BA151" s="12" t="n"/>
      <c r="BB151" s="12" t="n"/>
      <c r="BC151" s="12" t="n"/>
      <c r="BD151" s="12" t="n"/>
      <c r="BE151" s="12" t="n"/>
      <c r="BF151" s="12" t="n"/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</row>
    <row r="152" collapsed="1">
      <c r="C152" s="14" t="inlineStr">
        <is>
          <t>Equity in affiliates</t>
        </is>
      </c>
      <c r="D152" s="46" t="n"/>
      <c r="E152" s="46" t="n"/>
      <c r="F152" s="46" t="n"/>
      <c r="G152" s="46" t="n"/>
      <c r="H152" s="12" t="n"/>
      <c r="I152" s="46">
        <f>'Inputs (2)'!D21</f>
        <v>0</v>
      </c>
      <c r="J152" s="46">
        <f>'Inputs (2)'!E21</f>
        <v>0</v>
      </c>
      <c r="K152" s="46">
        <f>'Inputs (2)'!F21</f>
        <v>0</v>
      </c>
      <c r="L152" s="46">
        <f>'Inputs (2)'!G21</f>
        <v>0</v>
      </c>
      <c r="M152" s="12">
        <f>'Inputs (2)'!H21</f>
        <v>0</v>
      </c>
      <c r="N152" s="46">
        <f>'Inputs (2)'!I21</f>
        <v>0</v>
      </c>
      <c r="O152" s="46">
        <f>'Inputs (2)'!J21</f>
        <v>0</v>
      </c>
      <c r="P152" s="46">
        <f>'Inputs (2)'!K21</f>
        <v>0</v>
      </c>
      <c r="Q152" s="46">
        <f>'Inputs (2)'!L21</f>
        <v>0</v>
      </c>
      <c r="R152" s="12">
        <f>'Inputs (2)'!M21</f>
        <v>0</v>
      </c>
      <c r="S152" s="46">
        <f>'Inputs (2)'!N21</f>
        <v>0</v>
      </c>
      <c r="T152" s="46">
        <f>'Inputs (2)'!O21</f>
        <v>0</v>
      </c>
      <c r="U152" s="46">
        <f>'Inputs (2)'!P21</f>
        <v>0</v>
      </c>
      <c r="V152" s="46">
        <f>'Inputs (2)'!Q21</f>
        <v>0</v>
      </c>
      <c r="W152" s="12">
        <f>'Inputs (2)'!R21</f>
        <v>0</v>
      </c>
      <c r="X152" s="46">
        <f>'Inputs (2)'!S21</f>
        <v>0</v>
      </c>
      <c r="Y152" s="46">
        <f>'Inputs (2)'!T21</f>
        <v>0</v>
      </c>
      <c r="Z152" s="46">
        <f>'Inputs (2)'!U21</f>
        <v>0</v>
      </c>
      <c r="AA152" s="46">
        <f>'Inputs (2)'!V21</f>
        <v>0</v>
      </c>
      <c r="AB152" s="12">
        <f>'Inputs (2)'!W21</f>
        <v>0</v>
      </c>
      <c r="AC152" s="46">
        <f>'Inputs (2)'!X21</f>
        <v>0</v>
      </c>
      <c r="AD152" s="46">
        <f>'Inputs (2)'!Y21</f>
        <v>0</v>
      </c>
      <c r="AE152" s="46">
        <f>'Inputs (2)'!Z21</f>
        <v>0</v>
      </c>
      <c r="AF152" s="46">
        <f>'Inputs (2)'!AA21</f>
        <v>0</v>
      </c>
      <c r="AG152" s="12">
        <f>'Inputs (2)'!AB21</f>
        <v>0</v>
      </c>
      <c r="AH152" s="12">
        <f>'Inputs (2)'!AC21</f>
        <v>0</v>
      </c>
      <c r="AI152" s="12">
        <f>'Inputs (2)'!AD21</f>
        <v>0</v>
      </c>
      <c r="AJ152" s="12">
        <f>AI152+AJ126</f>
        <v>0</v>
      </c>
      <c r="AK152" s="12">
        <f>AJ152+AK126</f>
        <v>0</v>
      </c>
      <c r="AL152" s="12">
        <f>AK152</f>
        <v>0</v>
      </c>
      <c r="AM152" s="12">
        <f>AL152+AM126</f>
        <v>0</v>
      </c>
      <c r="AN152" s="12">
        <f>AM152+AN126</f>
        <v>0</v>
      </c>
      <c r="AO152" s="12">
        <f>AN152+AO126</f>
        <v>0</v>
      </c>
      <c r="AP152" s="12">
        <f>AO152+AP126</f>
        <v>0</v>
      </c>
      <c r="AQ152" s="12">
        <f>AP152</f>
        <v>0</v>
      </c>
      <c r="AR152" s="12">
        <f>AQ152+AR126</f>
        <v>0</v>
      </c>
      <c r="AS152" s="12">
        <f>AR152+AS126</f>
        <v>0</v>
      </c>
      <c r="AT152" s="12">
        <f>AS152+AT126</f>
        <v>0</v>
      </c>
      <c r="AU152" s="12">
        <f>AT152+AU126</f>
        <v>0</v>
      </c>
      <c r="AV152" s="12">
        <f>AU152</f>
        <v>0</v>
      </c>
      <c r="AW152" s="12">
        <f>AV152+AW126</f>
        <v>0</v>
      </c>
      <c r="AX152" s="12">
        <f>AW152+AX126</f>
        <v>0</v>
      </c>
      <c r="AY152" s="12">
        <f>AX152+AY126</f>
        <v>0</v>
      </c>
      <c r="AZ152" s="12">
        <f>AY152+AZ126</f>
        <v>0</v>
      </c>
      <c r="BA152" s="12">
        <f>AZ152</f>
        <v>0</v>
      </c>
      <c r="BB152" s="12">
        <f>BA152+BB126</f>
        <v>0</v>
      </c>
      <c r="BC152" s="12">
        <f>BB152+BC126</f>
        <v>0</v>
      </c>
      <c r="BD152" s="12">
        <f>BC152+BD126</f>
        <v>0</v>
      </c>
      <c r="BE152" s="12">
        <f>BD152+BE126</f>
        <v>0</v>
      </c>
      <c r="BF152" s="12">
        <f>BE152</f>
        <v>0</v>
      </c>
      <c r="BG152" s="12" t="n"/>
      <c r="BH152" s="12" t="n"/>
      <c r="BI152" s="12" t="n"/>
      <c r="BJ152" s="12" t="n"/>
      <c r="BK152" s="12" t="n"/>
      <c r="BL152" s="12" t="n"/>
      <c r="BM152" s="12" t="n"/>
      <c r="BN152" s="12" t="n"/>
      <c r="BO152" s="12" t="n"/>
      <c r="BP152" s="12" t="n"/>
      <c r="BQ152" s="12" t="n"/>
      <c r="BR152" s="12" t="n"/>
      <c r="BS152" s="12" t="n"/>
      <c r="BT152" s="12" t="n"/>
      <c r="BU152" s="12" t="n"/>
      <c r="BV152" s="12" t="n"/>
      <c r="BW152" s="12" t="n"/>
      <c r="BX152" s="12" t="n"/>
      <c r="BY152" s="12" t="n"/>
      <c r="BZ152" s="12" t="n"/>
      <c r="CA152" s="12" t="n"/>
      <c r="CB152" s="12" t="n"/>
      <c r="CC152" s="12" t="n"/>
      <c r="CD152" s="12" t="n"/>
      <c r="CE152" s="12" t="n"/>
      <c r="CF152" s="12" t="n"/>
      <c r="CG152" s="12" t="n"/>
      <c r="CH152" s="12" t="n"/>
      <c r="CI152" s="12" t="n"/>
      <c r="CJ152" s="12" t="n"/>
      <c r="CK152" s="12" t="n"/>
      <c r="CL152" s="12" t="n"/>
      <c r="CM152" s="12" t="n"/>
      <c r="CN152" s="12" t="n"/>
      <c r="CO152" s="12" t="n"/>
      <c r="CP152" s="12" t="n"/>
      <c r="CQ152" s="12" t="n"/>
      <c r="CR152" s="12" t="n"/>
      <c r="CS152" s="12" t="n"/>
      <c r="CT152" s="12" t="n"/>
      <c r="CU152" s="12" t="n"/>
      <c r="CV152" s="12" t="n"/>
      <c r="CW152" s="12" t="n"/>
      <c r="CX152" s="12" t="n"/>
      <c r="CY152" s="12" t="n"/>
    </row>
    <row r="153" hidden="1" outlineLevel="1">
      <c r="C153" s="57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  <c r="AL153" s="12" t="n"/>
      <c r="AM153" s="12" t="n"/>
      <c r="AN153" s="12" t="n"/>
      <c r="AO153" s="12" t="n"/>
      <c r="AP153" s="12" t="n"/>
      <c r="AQ153" s="12" t="n"/>
      <c r="AR153" s="12" t="n"/>
      <c r="AS153" s="12" t="n"/>
      <c r="AT153" s="12" t="n"/>
      <c r="AU153" s="12" t="n"/>
      <c r="AV153" s="12" t="n"/>
      <c r="AW153" s="12" t="n"/>
      <c r="AX153" s="12" t="n"/>
      <c r="AY153" s="12" t="n"/>
      <c r="AZ153" s="12" t="n"/>
      <c r="BA153" s="12" t="n"/>
      <c r="BB153" s="12" t="n"/>
      <c r="BC153" s="12" t="n"/>
      <c r="BD153" s="12" t="n"/>
      <c r="BE153" s="12" t="n"/>
      <c r="BF153" s="12" t="n"/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 hidden="1" outlineLevel="1">
      <c r="C154" s="57" t="inlineStr">
        <is>
          <t>Equity in Income - % YoY</t>
        </is>
      </c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>
        <f>IF(I126=0,0,N126/I126-1)</f>
        <v>0</v>
      </c>
      <c r="O154" s="12">
        <f>IF(J126=0,0,O126/J126-1)</f>
        <v>0</v>
      </c>
      <c r="P154" s="12">
        <f>IF(K126=0,0,P126/K126-1)</f>
        <v>0</v>
      </c>
      <c r="Q154" s="12">
        <f>IF(L126=0,0,Q126/L126-1)</f>
        <v>0</v>
      </c>
      <c r="R154" s="12" t="n"/>
      <c r="S154" s="12">
        <f>IF(N126=0,0,S126/N126-1)</f>
        <v>0</v>
      </c>
      <c r="T154" s="12">
        <f>IF(O126=0,0,T126/O126-1)</f>
        <v>0</v>
      </c>
      <c r="U154" s="12">
        <f>IF(P126=0,0,U126/P126-1)</f>
        <v>0</v>
      </c>
      <c r="V154" s="12">
        <f>IF(Q126=0,0,V126/Q126-1)</f>
        <v>0</v>
      </c>
      <c r="W154" s="12" t="n"/>
      <c r="X154" s="12">
        <f>IF(S126=0,0,X126/S126-1)</f>
        <v>0</v>
      </c>
      <c r="Y154" s="12">
        <f>IF(T126=0,0,Y126/T126-1)</f>
        <v>0</v>
      </c>
      <c r="Z154" s="12">
        <f>IF(U126=0,0,Z126/U126-1)</f>
        <v>0</v>
      </c>
      <c r="AA154" s="12">
        <f>IF(V126=0,0,AA126/V126-1)</f>
        <v>0</v>
      </c>
      <c r="AB154" s="12" t="n"/>
      <c r="AC154" s="12">
        <f>IF(X126=0,0,AC126/X126-1)</f>
        <v>0</v>
      </c>
      <c r="AD154" s="12">
        <f>IF(Y126=0,0,AD126/Y126-1)</f>
        <v>0</v>
      </c>
      <c r="AE154" s="12">
        <f>IF(Z126=0,0,AE126/Z126-1)</f>
        <v>0</v>
      </c>
      <c r="AF154" s="12">
        <f>IF(AA126=0,0,AF126/AA126-1)</f>
        <v>0</v>
      </c>
      <c r="AG154" s="12" t="n"/>
      <c r="AH154" s="11">
        <f>IF(AC126=0,0,AH126/AC126-1)</f>
        <v>0</v>
      </c>
      <c r="AI154" s="11">
        <f>IF(AD126=0,0,AI126/AD126-1)</f>
        <v>0</v>
      </c>
      <c r="AJ154" s="11" t="n"/>
      <c r="AK154" s="11" t="n"/>
      <c r="AL154" s="12" t="n"/>
      <c r="AM154" s="11" t="n"/>
      <c r="AN154" s="11" t="n"/>
      <c r="AO154" s="11" t="n"/>
      <c r="AP154" s="11" t="n"/>
      <c r="AQ154" s="12" t="n"/>
      <c r="AR154" s="11" t="n"/>
      <c r="AS154" s="11" t="n"/>
      <c r="AT154" s="11" t="n"/>
      <c r="AU154" s="11" t="n"/>
      <c r="AV154" s="12" t="n"/>
      <c r="AW154" s="11" t="n"/>
      <c r="AX154" s="11" t="n"/>
      <c r="AY154" s="11" t="n"/>
      <c r="AZ154" s="11" t="n"/>
      <c r="BA154" s="12" t="n"/>
      <c r="BB154" s="11" t="n"/>
      <c r="BC154" s="11" t="n"/>
      <c r="BD154" s="11" t="n"/>
      <c r="BE154" s="11" t="n"/>
      <c r="BF154" s="12" t="n"/>
      <c r="BG154" s="11" t="n"/>
      <c r="BH154" s="11" t="n"/>
      <c r="BI154" s="11" t="n"/>
      <c r="BJ154" s="11" t="n"/>
      <c r="BK154" s="12" t="n"/>
      <c r="BL154" s="11" t="n"/>
      <c r="BM154" s="11" t="n"/>
      <c r="BN154" s="11" t="n"/>
      <c r="BO154" s="11" t="n"/>
      <c r="BP154" s="12" t="n"/>
      <c r="BQ154" s="11" t="n"/>
      <c r="BR154" s="11" t="n"/>
      <c r="BS154" s="11" t="n"/>
      <c r="BT154" s="11" t="n"/>
      <c r="BU154" s="12" t="n"/>
      <c r="BV154" s="11" t="n"/>
      <c r="BW154" s="11" t="n"/>
      <c r="BX154" s="11" t="n"/>
      <c r="BY154" s="11" t="n"/>
      <c r="BZ154" s="12" t="n"/>
      <c r="CA154" s="11" t="n"/>
      <c r="CB154" s="11" t="n"/>
      <c r="CC154" s="11" t="n"/>
      <c r="CD154" s="11" t="n"/>
      <c r="CE154" s="12" t="n"/>
      <c r="CF154" s="11" t="n"/>
      <c r="CG154" s="11" t="n"/>
      <c r="CH154" s="11" t="n"/>
      <c r="CI154" s="11" t="n"/>
      <c r="CJ154" s="12" t="n"/>
      <c r="CK154" s="11" t="n"/>
      <c r="CL154" s="11" t="n"/>
      <c r="CM154" s="11" t="n"/>
      <c r="CN154" s="11" t="n"/>
      <c r="CO154" s="12" t="n"/>
      <c r="CP154" s="11" t="n"/>
      <c r="CQ154" s="11" t="n"/>
      <c r="CR154" s="11" t="n"/>
      <c r="CS154" s="11" t="n"/>
      <c r="CT154" s="12" t="n"/>
      <c r="CU154" s="11" t="n"/>
      <c r="CV154" s="11" t="n"/>
      <c r="CW154" s="11" t="n"/>
      <c r="CX154" s="11" t="n"/>
      <c r="CY154" s="12" t="n"/>
    </row>
    <row r="155" hidden="1" outlineLevel="1">
      <c r="C155" s="57" t="inlineStr">
        <is>
          <t>Dividends (enter as -)</t>
        </is>
      </c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1" t="n"/>
      <c r="AI155" s="11" t="n"/>
      <c r="AJ155" s="11" t="n"/>
      <c r="AK155" s="11" t="n"/>
      <c r="AL155" s="12" t="n"/>
      <c r="AM155" s="11" t="n"/>
      <c r="AN155" s="11" t="n"/>
      <c r="AO155" s="11" t="n"/>
      <c r="AP155" s="11" t="n"/>
      <c r="AQ155" s="12" t="n"/>
      <c r="AR155" s="11" t="n"/>
      <c r="AS155" s="11" t="n"/>
      <c r="AT155" s="11" t="n"/>
      <c r="AU155" s="11" t="n"/>
      <c r="AV155" s="12" t="n"/>
      <c r="AW155" s="11" t="n"/>
      <c r="AX155" s="11" t="n"/>
      <c r="AY155" s="11" t="n"/>
      <c r="AZ155" s="11" t="n"/>
      <c r="BA155" s="12" t="n"/>
      <c r="BB155" s="11" t="n"/>
      <c r="BC155" s="11" t="n"/>
      <c r="BD155" s="11" t="n"/>
      <c r="BE155" s="11" t="n"/>
      <c r="BF155" s="12" t="n"/>
      <c r="BG155" s="11" t="n"/>
      <c r="BH155" s="11" t="n"/>
      <c r="BI155" s="11" t="n"/>
      <c r="BJ155" s="11" t="n"/>
      <c r="BK155" s="12" t="n"/>
      <c r="BL155" s="11" t="n"/>
      <c r="BM155" s="11" t="n"/>
      <c r="BN155" s="11" t="n"/>
      <c r="BO155" s="11" t="n"/>
      <c r="BP155" s="12" t="n"/>
      <c r="BQ155" s="11" t="n"/>
      <c r="BR155" s="11" t="n"/>
      <c r="BS155" s="11" t="n"/>
      <c r="BT155" s="11" t="n"/>
      <c r="BU155" s="12" t="n"/>
      <c r="BV155" s="11" t="n"/>
      <c r="BW155" s="11" t="n"/>
      <c r="BX155" s="11" t="n"/>
      <c r="BY155" s="11" t="n"/>
      <c r="BZ155" s="12" t="n"/>
      <c r="CA155" s="11" t="n"/>
      <c r="CB155" s="11" t="n"/>
      <c r="CC155" s="11" t="n"/>
      <c r="CD155" s="11" t="n"/>
      <c r="CE155" s="12" t="n"/>
      <c r="CF155" s="11" t="n"/>
      <c r="CG155" s="11" t="n"/>
      <c r="CH155" s="11" t="n"/>
      <c r="CI155" s="11" t="n"/>
      <c r="CJ155" s="12" t="n"/>
      <c r="CK155" s="11" t="n"/>
      <c r="CL155" s="11" t="n"/>
      <c r="CM155" s="11" t="n"/>
      <c r="CN155" s="11" t="n"/>
      <c r="CO155" s="12" t="n"/>
      <c r="CP155" s="11" t="n"/>
      <c r="CQ155" s="11" t="n"/>
      <c r="CR155" s="11" t="n"/>
      <c r="CS155" s="11" t="n"/>
      <c r="CT155" s="12" t="n"/>
      <c r="CU155" s="11" t="n"/>
      <c r="CV155" s="11" t="n"/>
      <c r="CW155" s="11" t="n"/>
      <c r="CX155" s="11" t="n"/>
      <c r="CY155" s="12" t="n"/>
    </row>
    <row r="156" hidden="1" outlineLevel="1">
      <c r="C156" s="57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  <c r="AL156" s="12" t="n"/>
      <c r="AM156" s="12" t="n"/>
      <c r="AN156" s="12" t="n"/>
      <c r="AO156" s="12" t="n"/>
      <c r="AP156" s="12" t="n"/>
      <c r="AQ156" s="12" t="n"/>
      <c r="AR156" s="12" t="n"/>
      <c r="AS156" s="12" t="n"/>
      <c r="AT156" s="12" t="n"/>
      <c r="AU156" s="12" t="n"/>
      <c r="AV156" s="12" t="n"/>
      <c r="AW156" s="12" t="n"/>
      <c r="AX156" s="12" t="n"/>
      <c r="AY156" s="12" t="n"/>
      <c r="AZ156" s="12" t="n"/>
      <c r="BA156" s="12" t="n"/>
      <c r="BB156" s="12" t="n"/>
      <c r="BC156" s="12" t="n"/>
      <c r="BD156" s="12" t="n"/>
      <c r="BE156" s="12" t="n"/>
      <c r="BF156" s="12" t="n"/>
      <c r="BG156" s="12" t="n"/>
      <c r="BH156" s="12" t="n"/>
      <c r="BI156" s="12" t="n"/>
      <c r="BJ156" s="12" t="n"/>
      <c r="BK156" s="12" t="n"/>
      <c r="BL156" s="12" t="n"/>
      <c r="BM156" s="12" t="n"/>
      <c r="BN156" s="12" t="n"/>
      <c r="BO156" s="12" t="n"/>
      <c r="BP156" s="12" t="n"/>
      <c r="BQ156" s="12" t="n"/>
      <c r="BR156" s="12" t="n"/>
      <c r="BS156" s="12" t="n"/>
      <c r="BT156" s="12" t="n"/>
      <c r="BU156" s="12" t="n"/>
      <c r="BV156" s="12" t="n"/>
      <c r="BW156" s="12" t="n"/>
      <c r="BX156" s="12" t="n"/>
      <c r="BY156" s="12" t="n"/>
      <c r="BZ156" s="12" t="n"/>
      <c r="CA156" s="12" t="n"/>
      <c r="CB156" s="12" t="n"/>
      <c r="CC156" s="12" t="n"/>
      <c r="CD156" s="12" t="n"/>
      <c r="CE156" s="12" t="n"/>
      <c r="CF156" s="12" t="n"/>
      <c r="CG156" s="12" t="n"/>
      <c r="CH156" s="12" t="n"/>
      <c r="CI156" s="12" t="n"/>
      <c r="CJ156" s="12" t="n"/>
      <c r="CK156" s="12" t="n"/>
      <c r="CL156" s="12" t="n"/>
      <c r="CM156" s="12" t="n"/>
      <c r="CN156" s="12" t="n"/>
      <c r="CO156" s="12" t="n"/>
      <c r="CP156" s="12" t="n"/>
      <c r="CQ156" s="12" t="n"/>
      <c r="CR156" s="12" t="n"/>
      <c r="CS156" s="12" t="n"/>
      <c r="CT156" s="12" t="n"/>
      <c r="CU156" s="12" t="n"/>
      <c r="CV156" s="12" t="n"/>
      <c r="CW156" s="12" t="n"/>
      <c r="CX156" s="12" t="n"/>
      <c r="CY156" s="12" t="n"/>
    </row>
    <row r="157" collapsed="1">
      <c r="C157" s="14" t="inlineStr">
        <is>
          <t>PP&amp;E</t>
        </is>
      </c>
      <c r="D157" s="46" t="n"/>
      <c r="E157" s="46" t="n"/>
      <c r="F157" s="46" t="n"/>
      <c r="G157" s="46" t="n"/>
      <c r="H157" s="12" t="n"/>
      <c r="I157" s="46">
        <f>'Inputs (2)'!D22</f>
        <v>7213</v>
      </c>
      <c r="J157" s="46">
        <f>'Inputs (2)'!E22</f>
        <v>7290</v>
      </c>
      <c r="K157" s="46">
        <f>'Inputs (2)'!F22</f>
        <v>7332</v>
      </c>
      <c r="L157" s="46">
        <f>'Inputs (2)'!G22</f>
        <v>7597</v>
      </c>
      <c r="M157" s="12">
        <f>'Inputs (2)'!H22</f>
        <v>7597</v>
      </c>
      <c r="N157" s="46">
        <f>'Inputs (2)'!I22</f>
        <v>7561</v>
      </c>
      <c r="O157" s="46">
        <f>'Inputs (2)'!J22</f>
        <v>7569</v>
      </c>
      <c r="P157" s="46">
        <f>'Inputs (2)'!K22</f>
        <v>7629</v>
      </c>
      <c r="Q157" s="46">
        <f>'Inputs (2)'!L22</f>
        <v>7975</v>
      </c>
      <c r="R157" s="12">
        <f>'Inputs (2)'!M22</f>
        <v>7975</v>
      </c>
      <c r="S157" s="46">
        <f>'Inputs (2)'!N22</f>
        <v>7938</v>
      </c>
      <c r="T157" s="46">
        <f>'Inputs (2)'!O22</f>
        <v>7966</v>
      </c>
      <c r="U157" s="46">
        <f>'Inputs (2)'!P22</f>
        <v>8046</v>
      </c>
      <c r="V157" s="46">
        <f>'Inputs (2)'!Q22</f>
        <v>8370</v>
      </c>
      <c r="W157" s="12">
        <f>'Inputs (2)'!R22</f>
        <v>8370</v>
      </c>
      <c r="X157" s="46">
        <f>'Inputs (2)'!S22</f>
        <v>8354</v>
      </c>
      <c r="Y157" s="46">
        <f>'Inputs (2)'!T22</f>
        <v>8394</v>
      </c>
      <c r="Z157" s="46">
        <f>'Inputs (2)'!U22</f>
        <v>8454</v>
      </c>
      <c r="AA157" s="46">
        <f>'Inputs (2)'!V22</f>
        <v>8726</v>
      </c>
      <c r="AB157" s="12">
        <f>'Inputs (2)'!W22</f>
        <v>8726</v>
      </c>
      <c r="AC157" s="46">
        <f>'Inputs (2)'!X22</f>
        <v>8713</v>
      </c>
      <c r="AD157" s="46">
        <f>'Inputs (2)'!Y22</f>
        <v>8670</v>
      </c>
      <c r="AE157" s="46">
        <f>'Inputs (2)'!Z22</f>
        <v>8722</v>
      </c>
      <c r="AF157" s="46">
        <f>'Inputs (2)'!AA22</f>
        <v>8875</v>
      </c>
      <c r="AG157" s="12">
        <f>'Inputs (2)'!AB22</f>
        <v>8875</v>
      </c>
      <c r="AH157" s="12">
        <f>'Inputs (2)'!AC22</f>
        <v>11283</v>
      </c>
      <c r="AI157" s="12">
        <f>'Inputs (2)'!AD22</f>
        <v>11390</v>
      </c>
      <c r="AJ157" s="12">
        <f>AJ162</f>
        <v>11852.2941684938</v>
      </c>
      <c r="AK157" s="12">
        <f>AK162</f>
        <v>12357.118704899</v>
      </c>
      <c r="AL157" s="12">
        <f>AK157</f>
        <v>12357.118704899</v>
      </c>
      <c r="AM157" s="12">
        <f>AM162</f>
        <v>12804.8054806756</v>
      </c>
      <c r="AN157" s="12">
        <f>AN162</f>
        <v>13303.2206508885</v>
      </c>
      <c r="AO157" s="12">
        <f>AO162</f>
        <v>13791.2519914523</v>
      </c>
      <c r="AP157" s="12">
        <f>AP162</f>
        <v>14324.1814810324</v>
      </c>
      <c r="AQ157" s="12">
        <f>AP157</f>
        <v>14324.1814810324</v>
      </c>
      <c r="AR157" s="12">
        <f>AR162</f>
        <v>14794.5537617701</v>
      </c>
      <c r="AS157" s="12">
        <f>AS162</f>
        <v>15318.2249824815</v>
      </c>
      <c r="AT157" s="12">
        <f>AT162</f>
        <v>15830.9861966903</v>
      </c>
      <c r="AU157" s="12">
        <f>AU162</f>
        <v>16390.920671081</v>
      </c>
      <c r="AV157" s="12">
        <f>AU157</f>
        <v>16390.920671081</v>
      </c>
      <c r="AW157" s="12">
        <f>AW162</f>
        <v>16882.776131532</v>
      </c>
      <c r="AX157" s="12">
        <f>AX162</f>
        <v>17430.3648393191</v>
      </c>
      <c r="AY157" s="12">
        <f>AY162</f>
        <v>17966.5452509721</v>
      </c>
      <c r="AZ157" s="12">
        <f>AZ162</f>
        <v>18552.0534537343</v>
      </c>
      <c r="BA157" s="12">
        <f>AZ157</f>
        <v>18552.0534537343</v>
      </c>
      <c r="BB157" s="12">
        <f>BB162</f>
        <v>19063.9140117679</v>
      </c>
      <c r="BC157" s="12">
        <f>BC162</f>
        <v>19633.7746396924</v>
      </c>
      <c r="BD157" s="12">
        <f>BD162</f>
        <v>20191.7629650913</v>
      </c>
      <c r="BE157" s="12">
        <f>BE162</f>
        <v>20801.0853768507</v>
      </c>
      <c r="BF157" s="12">
        <f>BE157</f>
        <v>20801.0853768507</v>
      </c>
      <c r="BG157" s="12" t="n"/>
      <c r="BH157" s="12" t="n"/>
      <c r="BI157" s="12" t="n"/>
      <c r="BJ157" s="12" t="n"/>
      <c r="BK157" s="12" t="n"/>
      <c r="BL157" s="12" t="n"/>
      <c r="BM157" s="12" t="n"/>
      <c r="BN157" s="12" t="n"/>
      <c r="BO157" s="12" t="n"/>
      <c r="BP157" s="12" t="n"/>
      <c r="BQ157" s="12" t="n"/>
      <c r="BR157" s="12" t="n"/>
      <c r="BS157" s="12" t="n"/>
      <c r="BT157" s="12" t="n"/>
      <c r="BU157" s="12" t="n"/>
      <c r="BV157" s="12" t="n"/>
      <c r="BW157" s="12" t="n"/>
      <c r="BX157" s="12" t="n"/>
      <c r="BY157" s="12" t="n"/>
      <c r="BZ157" s="12" t="n"/>
      <c r="CA157" s="12" t="n"/>
      <c r="CB157" s="12" t="n"/>
      <c r="CC157" s="12" t="n"/>
      <c r="CD157" s="12" t="n"/>
      <c r="CE157" s="12" t="n"/>
      <c r="CF157" s="12" t="n"/>
      <c r="CG157" s="12" t="n"/>
      <c r="CH157" s="12" t="n"/>
      <c r="CI157" s="12" t="n"/>
      <c r="CJ157" s="12" t="n"/>
      <c r="CK157" s="12" t="n"/>
      <c r="CL157" s="12" t="n"/>
      <c r="CM157" s="12" t="n"/>
      <c r="CN157" s="12" t="n"/>
      <c r="CO157" s="12" t="n"/>
      <c r="CP157" s="12" t="n"/>
      <c r="CQ157" s="12" t="n"/>
      <c r="CR157" s="12" t="n"/>
      <c r="CS157" s="12" t="n"/>
      <c r="CT157" s="12" t="n"/>
      <c r="CU157" s="12" t="n"/>
      <c r="CV157" s="12" t="n"/>
      <c r="CW157" s="12" t="n"/>
      <c r="CX157" s="12" t="n"/>
      <c r="CY157" s="12" t="n"/>
    </row>
    <row r="158" hidden="1" outlineLevel="1">
      <c r="C158" s="57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  <c r="AL158" s="12" t="n"/>
      <c r="AM158" s="12" t="n"/>
      <c r="AN158" s="12" t="n"/>
      <c r="AO158" s="12" t="n"/>
      <c r="AP158" s="12" t="n"/>
      <c r="AQ158" s="12" t="n"/>
      <c r="AR158" s="12" t="n"/>
      <c r="AS158" s="12" t="n"/>
      <c r="AT158" s="12" t="n"/>
      <c r="AU158" s="12" t="n"/>
      <c r="AV158" s="12" t="n"/>
      <c r="AW158" s="12" t="n"/>
      <c r="AX158" s="12" t="n"/>
      <c r="AY158" s="12" t="n"/>
      <c r="AZ158" s="12" t="n"/>
      <c r="BA158" s="12" t="n"/>
      <c r="BB158" s="12" t="n"/>
      <c r="BC158" s="12" t="n"/>
      <c r="BD158" s="12" t="n"/>
      <c r="BE158" s="12" t="n"/>
      <c r="BF158" s="12" t="n"/>
      <c r="BG158" s="12" t="n"/>
      <c r="BH158" s="12" t="n"/>
      <c r="BI158" s="12" t="n"/>
      <c r="BJ158" s="12" t="n"/>
      <c r="BK158" s="12" t="n"/>
      <c r="BL158" s="12" t="n"/>
      <c r="BM158" s="12" t="n"/>
      <c r="BN158" s="12" t="n"/>
      <c r="BO158" s="12" t="n"/>
      <c r="BP158" s="12" t="n"/>
      <c r="BQ158" s="12" t="n"/>
      <c r="BR158" s="12" t="n"/>
      <c r="BS158" s="12" t="n"/>
      <c r="BT158" s="12" t="n"/>
      <c r="BU158" s="12" t="n"/>
      <c r="BV158" s="12" t="n"/>
      <c r="BW158" s="12" t="n"/>
      <c r="BX158" s="12" t="n"/>
      <c r="BY158" s="12" t="n"/>
      <c r="BZ158" s="12" t="n"/>
      <c r="CA158" s="12" t="n"/>
      <c r="CB158" s="12" t="n"/>
      <c r="CC158" s="12" t="n"/>
      <c r="CD158" s="12" t="n"/>
      <c r="CE158" s="12" t="n"/>
      <c r="CF158" s="12" t="n"/>
      <c r="CG158" s="12" t="n"/>
      <c r="CH158" s="12" t="n"/>
      <c r="CI158" s="12" t="n"/>
      <c r="CJ158" s="12" t="n"/>
      <c r="CK158" s="12" t="n"/>
      <c r="CL158" s="12" t="n"/>
      <c r="CM158" s="12" t="n"/>
      <c r="CN158" s="12" t="n"/>
      <c r="CO158" s="12" t="n"/>
      <c r="CP158" s="12" t="n"/>
      <c r="CQ158" s="12" t="n"/>
      <c r="CR158" s="12" t="n"/>
      <c r="CS158" s="12" t="n"/>
      <c r="CT158" s="12" t="n"/>
      <c r="CU158" s="12" t="n"/>
      <c r="CV158" s="12" t="n"/>
      <c r="CW158" s="12" t="n"/>
      <c r="CX158" s="12" t="n"/>
      <c r="CY158" s="12" t="n"/>
    </row>
    <row r="159" hidden="1" outlineLevel="1">
      <c r="C159" s="57" t="inlineStr">
        <is>
          <t>Capital expenditures</t>
        </is>
      </c>
      <c r="D159" s="12" t="n"/>
      <c r="E159" s="12" t="n"/>
      <c r="F159" s="12" t="n"/>
      <c r="G159" s="12" t="n"/>
      <c r="H159" s="12" t="n"/>
      <c r="I159" s="12" t="n"/>
      <c r="J159" s="12">
        <f>J157-I157-J61</f>
        <v>411</v>
      </c>
      <c r="K159" s="12">
        <f>K157-J157-K61</f>
        <v>371</v>
      </c>
      <c r="L159" s="12">
        <f>L157-K157-L61</f>
        <v>630</v>
      </c>
      <c r="M159" s="12" t="n"/>
      <c r="N159" s="12">
        <f>N157-M157-N61</f>
        <v>293</v>
      </c>
      <c r="O159" s="12">
        <f>O157-N157-O61</f>
        <v>351</v>
      </c>
      <c r="P159" s="12">
        <f>P157-O157-P61</f>
        <v>353</v>
      </c>
      <c r="Q159" s="12">
        <f>Q157-P157-Q61</f>
        <v>785</v>
      </c>
      <c r="R159" s="12" t="n"/>
      <c r="S159" s="12">
        <f>S157-R157-S61</f>
        <v>288</v>
      </c>
      <c r="T159" s="12">
        <f>T157-S157-T61</f>
        <v>362</v>
      </c>
      <c r="U159" s="12">
        <f>U157-T157-U61</f>
        <v>430</v>
      </c>
      <c r="V159" s="12">
        <f>V157-U157-V61</f>
        <v>745</v>
      </c>
      <c r="W159" s="12" t="n"/>
      <c r="X159" s="12">
        <f>X157-W157-X61</f>
        <v>335</v>
      </c>
      <c r="Y159" s="12">
        <f>Y157-X157-Y61</f>
        <v>399</v>
      </c>
      <c r="Z159" s="12">
        <f>Z157-Y157-Z61</f>
        <v>450</v>
      </c>
      <c r="AA159" s="12">
        <f>AA157-Z157-AA61</f>
        <v>731</v>
      </c>
      <c r="AB159" s="12" t="n"/>
      <c r="AC159" s="12">
        <f>AC157-AB157-AC61</f>
        <v>384</v>
      </c>
      <c r="AD159" s="12">
        <f>AD157-AC157-AD61</f>
        <v>356</v>
      </c>
      <c r="AE159" s="12">
        <f>AE157-AD157-AE61</f>
        <v>480</v>
      </c>
      <c r="AF159" s="11">
        <f>AF157-AE157-AF61</f>
        <v>616</v>
      </c>
      <c r="AG159" s="12">
        <f>SUM(AC159:AF159)</f>
        <v>1836</v>
      </c>
      <c r="AH159" s="11">
        <f>AH157-AG157-AH61</f>
        <v>2806</v>
      </c>
      <c r="AI159" s="11">
        <f>AI157-AH157-AI61</f>
        <v>507</v>
      </c>
      <c r="AJ159" s="11">
        <f>AJ15*Control!$B$24</f>
        <v>894.10754611517</v>
      </c>
      <c r="AK159" s="11">
        <f>AK15*Control!$B$24</f>
        <v>976.364095040377</v>
      </c>
      <c r="AL159" s="12" t="n"/>
      <c r="AM159" s="11">
        <f>AM15*Control!$C$24</f>
        <v>865.855880946933</v>
      </c>
      <c r="AN159" s="11">
        <f>AN15*Control!$C$24</f>
        <v>963.967956242069</v>
      </c>
      <c r="AO159" s="11">
        <f>AO15*Control!$C$24</f>
        <v>943.884941833485</v>
      </c>
      <c r="AP159" s="11">
        <f>AP15*Control!$C$24</f>
        <v>1030.7209362673</v>
      </c>
      <c r="AQ159" s="12" t="n"/>
      <c r="AR159" s="11">
        <f>AR15*Control!$D$24</f>
        <v>909.731150321808</v>
      </c>
      <c r="AS159" s="11">
        <f>AS15*Control!$D$24</f>
        <v>1012.81483096978</v>
      </c>
      <c r="AT159" s="11">
        <f>AT15*Control!$D$24</f>
        <v>991.714155670482</v>
      </c>
      <c r="AU159" s="11">
        <f>AU15*Control!$D$24</f>
        <v>1082.95036581116</v>
      </c>
      <c r="AV159" s="12" t="n"/>
      <c r="AW159" s="11">
        <f>AW15*Control!$E$24</f>
        <v>951.281043020816</v>
      </c>
      <c r="AX159" s="11">
        <f>AX15*Control!$E$24</f>
        <v>1059.07283536577</v>
      </c>
      <c r="AY159" s="11">
        <f>AY15*Control!$E$24</f>
        <v>1037.00843491069</v>
      </c>
      <c r="AZ159" s="11">
        <f>AZ15*Control!$E$24</f>
        <v>1132.41165058951</v>
      </c>
      <c r="BA159" s="12" t="n"/>
      <c r="BB159" s="11">
        <f>BB15*Control!$F$24</f>
        <v>989.97222696448</v>
      </c>
      <c r="BC159" s="11">
        <f>BC15*Control!$F$24</f>
        <v>1102.14820429434</v>
      </c>
      <c r="BD159" s="11">
        <f>BD15*Control!$F$24</f>
        <v>1079.18638474017</v>
      </c>
      <c r="BE159" s="11">
        <f>BE15*Control!$F$24</f>
        <v>1178.46990834032</v>
      </c>
      <c r="BF159" s="12" t="n"/>
      <c r="BG159" s="11" t="n"/>
      <c r="BH159" s="11" t="n"/>
      <c r="BI159" s="11" t="n"/>
      <c r="BJ159" s="11" t="n"/>
      <c r="BK159" s="12" t="n"/>
      <c r="BL159" s="11" t="n"/>
      <c r="BM159" s="11" t="n"/>
      <c r="BN159" s="11" t="n"/>
      <c r="BO159" s="11" t="n"/>
      <c r="BP159" s="12" t="n"/>
      <c r="BQ159" s="11" t="n"/>
      <c r="BR159" s="11" t="n"/>
      <c r="BS159" s="11" t="n"/>
      <c r="BT159" s="11" t="n"/>
      <c r="BU159" s="12" t="n"/>
      <c r="BV159" s="11" t="n"/>
      <c r="BW159" s="11" t="n"/>
      <c r="BX159" s="11" t="n"/>
      <c r="BY159" s="11" t="n"/>
      <c r="BZ159" s="12" t="n"/>
      <c r="CA159" s="11" t="n"/>
      <c r="CB159" s="11" t="n"/>
      <c r="CC159" s="11" t="n"/>
      <c r="CD159" s="11" t="n"/>
      <c r="CE159" s="12" t="n"/>
      <c r="CF159" s="11" t="n"/>
      <c r="CG159" s="11" t="n"/>
      <c r="CH159" s="11" t="n"/>
      <c r="CI159" s="11" t="n"/>
      <c r="CJ159" s="12" t="n"/>
      <c r="CK159" s="11" t="n"/>
      <c r="CL159" s="11" t="n"/>
      <c r="CM159" s="11" t="n"/>
      <c r="CN159" s="11" t="n"/>
      <c r="CO159" s="12" t="n"/>
      <c r="CP159" s="11" t="n"/>
      <c r="CQ159" s="11" t="n"/>
      <c r="CR159" s="11" t="n"/>
      <c r="CS159" s="11" t="n"/>
      <c r="CT159" s="12" t="n"/>
      <c r="CU159" s="11" t="n"/>
      <c r="CV159" s="11" t="n"/>
      <c r="CW159" s="11" t="n"/>
      <c r="CX159" s="11" t="n"/>
      <c r="CY159" s="12" t="n"/>
    </row>
    <row r="160" hidden="1" outlineLevel="1">
      <c r="C160" s="57" t="inlineStr">
        <is>
          <t>Recurring asset sales (enter as -)</t>
        </is>
      </c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>
        <f>SUM(I160:L160)</f>
        <v>0</v>
      </c>
      <c r="N160" s="12" t="n"/>
      <c r="O160" s="12" t="n"/>
      <c r="P160" s="12" t="n"/>
      <c r="Q160" s="12" t="n"/>
      <c r="R160" s="12">
        <f>SUM(N160:Q160)</f>
        <v>0</v>
      </c>
      <c r="S160" s="12" t="n"/>
      <c r="T160" s="12" t="n"/>
      <c r="U160" s="12" t="n"/>
      <c r="V160" s="12" t="n"/>
      <c r="W160" s="12">
        <f>SUM(S160:V160)</f>
        <v>0</v>
      </c>
      <c r="X160" s="12" t="n"/>
      <c r="Y160" s="12" t="n"/>
      <c r="Z160" s="12" t="n"/>
      <c r="AA160" s="12" t="n"/>
      <c r="AB160" s="12">
        <f>SUM(X160:AA160)</f>
        <v>0</v>
      </c>
      <c r="AC160" s="12" t="n"/>
      <c r="AD160" s="12" t="n"/>
      <c r="AE160" s="12" t="n"/>
      <c r="AF160" s="11" t="n"/>
      <c r="AG160" s="12">
        <f>SUM(AC160:AF160)</f>
        <v>0</v>
      </c>
      <c r="AH160" s="11" t="n"/>
      <c r="AI160" s="11" t="n"/>
      <c r="AJ160" s="11">
        <f>0</f>
        <v>0</v>
      </c>
      <c r="AK160" s="11">
        <f>0</f>
        <v>0</v>
      </c>
      <c r="AL160" s="12" t="n"/>
      <c r="AM160" s="11">
        <f>0</f>
        <v>0</v>
      </c>
      <c r="AN160" s="11">
        <f>0</f>
        <v>0</v>
      </c>
      <c r="AO160" s="11">
        <f>0</f>
        <v>0</v>
      </c>
      <c r="AP160" s="11">
        <f>0</f>
        <v>0</v>
      </c>
      <c r="AQ160" s="12" t="n"/>
      <c r="AR160" s="11">
        <f>0</f>
        <v>0</v>
      </c>
      <c r="AS160" s="11">
        <f>0</f>
        <v>0</v>
      </c>
      <c r="AT160" s="11">
        <f>0</f>
        <v>0</v>
      </c>
      <c r="AU160" s="11">
        <f>0</f>
        <v>0</v>
      </c>
      <c r="AV160" s="12" t="n"/>
      <c r="AW160" s="11">
        <f>0</f>
        <v>0</v>
      </c>
      <c r="AX160" s="11">
        <f>0</f>
        <v>0</v>
      </c>
      <c r="AY160" s="11">
        <f>0</f>
        <v>0</v>
      </c>
      <c r="AZ160" s="11">
        <f>0</f>
        <v>0</v>
      </c>
      <c r="BA160" s="12" t="n"/>
      <c r="BB160" s="11">
        <f>0</f>
        <v>0</v>
      </c>
      <c r="BC160" s="11">
        <f>0</f>
        <v>0</v>
      </c>
      <c r="BD160" s="11">
        <f>0</f>
        <v>0</v>
      </c>
      <c r="BE160" s="11">
        <f>0</f>
        <v>0</v>
      </c>
      <c r="BF160" s="12" t="n"/>
      <c r="BG160" s="11" t="n"/>
      <c r="BH160" s="11" t="n"/>
      <c r="BI160" s="11" t="n"/>
      <c r="BJ160" s="11" t="n"/>
      <c r="BK160" s="12" t="n"/>
      <c r="BL160" s="11" t="n"/>
      <c r="BM160" s="11" t="n"/>
      <c r="BN160" s="11" t="n"/>
      <c r="BO160" s="11" t="n"/>
      <c r="BP160" s="12" t="n"/>
      <c r="BQ160" s="11" t="n"/>
      <c r="BR160" s="11" t="n"/>
      <c r="BS160" s="11" t="n"/>
      <c r="BT160" s="11" t="n"/>
      <c r="BU160" s="12" t="n"/>
      <c r="BV160" s="11" t="n"/>
      <c r="BW160" s="11" t="n"/>
      <c r="BX160" s="11" t="n"/>
      <c r="BY160" s="11" t="n"/>
      <c r="BZ160" s="12" t="n"/>
      <c r="CA160" s="11" t="n"/>
      <c r="CB160" s="11" t="n"/>
      <c r="CC160" s="11" t="n"/>
      <c r="CD160" s="11" t="n"/>
      <c r="CE160" s="12" t="n"/>
      <c r="CF160" s="11" t="n"/>
      <c r="CG160" s="11" t="n"/>
      <c r="CH160" s="11" t="n"/>
      <c r="CI160" s="11" t="n"/>
      <c r="CJ160" s="12" t="n"/>
      <c r="CK160" s="11" t="n"/>
      <c r="CL160" s="11" t="n"/>
      <c r="CM160" s="11" t="n"/>
      <c r="CN160" s="11" t="n"/>
      <c r="CO160" s="12" t="n"/>
      <c r="CP160" s="11" t="n"/>
      <c r="CQ160" s="11" t="n"/>
      <c r="CR160" s="11" t="n"/>
      <c r="CS160" s="11" t="n"/>
      <c r="CT160" s="12" t="n"/>
      <c r="CU160" s="11" t="n"/>
      <c r="CV160" s="11" t="n"/>
      <c r="CW160" s="11" t="n"/>
      <c r="CX160" s="11" t="n"/>
      <c r="CY160" s="12" t="n"/>
    </row>
    <row r="161" hidden="1" outlineLevel="1">
      <c r="C161" s="57" t="inlineStr">
        <is>
          <t>Depreciation</t>
        </is>
      </c>
      <c r="D161" s="12" t="n"/>
      <c r="E161" s="12" t="n"/>
      <c r="F161" s="12" t="n"/>
      <c r="G161" s="12" t="n"/>
      <c r="H161" s="12" t="n"/>
      <c r="I161" s="12">
        <f>I61</f>
        <v>-336</v>
      </c>
      <c r="J161" s="12">
        <f>J61</f>
        <v>-334</v>
      </c>
      <c r="K161" s="12">
        <f>K61</f>
        <v>-329</v>
      </c>
      <c r="L161" s="12">
        <f>L61</f>
        <v>-365</v>
      </c>
      <c r="M161" s="12" t="n"/>
      <c r="N161" s="12">
        <f>N61</f>
        <v>-329</v>
      </c>
      <c r="O161" s="12">
        <f>O61</f>
        <v>-343</v>
      </c>
      <c r="P161" s="12">
        <f>P61</f>
        <v>-293</v>
      </c>
      <c r="Q161" s="12">
        <f>Q61</f>
        <v>-439</v>
      </c>
      <c r="R161" s="12" t="n"/>
      <c r="S161" s="12">
        <f>S61</f>
        <v>-325</v>
      </c>
      <c r="T161" s="12">
        <f>T61</f>
        <v>-334</v>
      </c>
      <c r="U161" s="12">
        <f>U61</f>
        <v>-350</v>
      </c>
      <c r="V161" s="12">
        <f>V61</f>
        <v>-421</v>
      </c>
      <c r="W161" s="12" t="n"/>
      <c r="X161" s="12">
        <f>X61</f>
        <v>-351</v>
      </c>
      <c r="Y161" s="12">
        <f>Y61</f>
        <v>-359</v>
      </c>
      <c r="Z161" s="12">
        <f>Z61</f>
        <v>-390</v>
      </c>
      <c r="AA161" s="12">
        <f>AA61</f>
        <v>-459</v>
      </c>
      <c r="AB161" s="12" t="n"/>
      <c r="AC161" s="12">
        <f>AC61</f>
        <v>-397</v>
      </c>
      <c r="AD161" s="12">
        <f>AD61</f>
        <v>-399</v>
      </c>
      <c r="AE161" s="12">
        <f>AE61</f>
        <v>-428</v>
      </c>
      <c r="AF161" s="12">
        <f>AF61</f>
        <v>-463</v>
      </c>
      <c r="AG161" s="12" t="n"/>
      <c r="AH161" s="12">
        <f>AH61</f>
        <v>-398</v>
      </c>
      <c r="AI161" s="12">
        <f>AI61</f>
        <v>-400</v>
      </c>
      <c r="AJ161" s="12">
        <f>AJ61</f>
        <v>-431.813377621333</v>
      </c>
      <c r="AK161" s="12">
        <f>AK61</f>
        <v>-471.539558635236</v>
      </c>
      <c r="AL161" s="12" t="n"/>
      <c r="AM161" s="12">
        <f>AM61</f>
        <v>-418.169105170296</v>
      </c>
      <c r="AN161" s="12">
        <f>AN61</f>
        <v>-465.552786029168</v>
      </c>
      <c r="AO161" s="12">
        <f>AO61</f>
        <v>-455.85360126972</v>
      </c>
      <c r="AP161" s="12">
        <f>AP61</f>
        <v>-497.791446687193</v>
      </c>
      <c r="AQ161" s="12" t="n"/>
      <c r="AR161" s="12">
        <f>AR61</f>
        <v>-439.358869584128</v>
      </c>
      <c r="AS161" s="12">
        <f>AS61</f>
        <v>-489.143610258386</v>
      </c>
      <c r="AT161" s="12">
        <f>AT61</f>
        <v>-478.952941461695</v>
      </c>
      <c r="AU161" s="12">
        <f>AU61</f>
        <v>-523.015891420447</v>
      </c>
      <c r="AV161" s="12" t="n"/>
      <c r="AW161" s="12">
        <f>AW61</f>
        <v>-459.42558256974</v>
      </c>
      <c r="AX161" s="12">
        <f>AX61</f>
        <v>-511.484127578752</v>
      </c>
      <c r="AY161" s="12">
        <f>AY61</f>
        <v>-500.828023257639</v>
      </c>
      <c r="AZ161" s="12">
        <f>AZ61</f>
        <v>-546.903447827314</v>
      </c>
      <c r="BA161" s="12" t="n"/>
      <c r="BB161" s="12">
        <f>BB61</f>
        <v>-478.11166893091</v>
      </c>
      <c r="BC161" s="12">
        <f>BC61</f>
        <v>-532.287576369838</v>
      </c>
      <c r="BD161" s="12">
        <f>BD61</f>
        <v>-521.198059341264</v>
      </c>
      <c r="BE161" s="12">
        <f>BE61</f>
        <v>-569.147496580893</v>
      </c>
      <c r="BF161" s="12" t="n"/>
      <c r="BG161" s="12" t="n"/>
      <c r="BH161" s="12" t="n"/>
      <c r="BI161" s="12" t="n"/>
      <c r="BJ161" s="12" t="n"/>
      <c r="BK161" s="12" t="n"/>
      <c r="BL161" s="12" t="n"/>
      <c r="BM161" s="12" t="n"/>
      <c r="BN161" s="12" t="n"/>
      <c r="BO161" s="12" t="n"/>
      <c r="BP161" s="12" t="n"/>
      <c r="BQ161" s="12" t="n"/>
      <c r="BR161" s="12" t="n"/>
      <c r="BS161" s="12" t="n"/>
      <c r="BT161" s="12" t="n"/>
      <c r="BU161" s="12" t="n"/>
      <c r="BV161" s="12" t="n"/>
      <c r="BW161" s="12" t="n"/>
      <c r="BX161" s="12" t="n"/>
      <c r="BY161" s="12" t="n"/>
      <c r="BZ161" s="12" t="n"/>
      <c r="CA161" s="12" t="n"/>
      <c r="CB161" s="12" t="n"/>
      <c r="CC161" s="12" t="n"/>
      <c r="CD161" s="12" t="n"/>
      <c r="CE161" s="12" t="n"/>
      <c r="CF161" s="12" t="n"/>
      <c r="CG161" s="12" t="n"/>
      <c r="CH161" s="12" t="n"/>
      <c r="CI161" s="12" t="n"/>
      <c r="CJ161" s="12" t="n"/>
      <c r="CK161" s="12" t="n"/>
      <c r="CL161" s="12" t="n"/>
      <c r="CM161" s="12" t="n"/>
      <c r="CN161" s="12" t="n"/>
      <c r="CO161" s="12" t="n"/>
      <c r="CP161" s="12" t="n"/>
      <c r="CQ161" s="12" t="n"/>
      <c r="CR161" s="12" t="n"/>
      <c r="CS161" s="12" t="n"/>
      <c r="CT161" s="12" t="n"/>
      <c r="CU161" s="12" t="n"/>
      <c r="CV161" s="12" t="n"/>
      <c r="CW161" s="12" t="n"/>
      <c r="CX161" s="12" t="n"/>
      <c r="CY161" s="12" t="n"/>
    </row>
    <row r="162" hidden="1" outlineLevel="1">
      <c r="C162" s="57" t="inlineStr">
        <is>
          <t>PP&amp;E</t>
        </is>
      </c>
      <c r="D162" s="12" t="n"/>
      <c r="E162" s="12" t="n"/>
      <c r="F162" s="12" t="n"/>
      <c r="G162" s="12" t="n"/>
      <c r="H162" s="12" t="n"/>
      <c r="I162" s="12">
        <f>I157</f>
        <v>7213</v>
      </c>
      <c r="J162" s="12">
        <f>J157</f>
        <v>7290</v>
      </c>
      <c r="K162" s="12">
        <f>K157</f>
        <v>7332</v>
      </c>
      <c r="L162" s="12">
        <f>L157</f>
        <v>7597</v>
      </c>
      <c r="M162" s="12" t="n"/>
      <c r="N162" s="12">
        <f>N157</f>
        <v>7561</v>
      </c>
      <c r="O162" s="12">
        <f>O157</f>
        <v>7569</v>
      </c>
      <c r="P162" s="12">
        <f>P157</f>
        <v>7629</v>
      </c>
      <c r="Q162" s="12">
        <f>Q157</f>
        <v>7975</v>
      </c>
      <c r="R162" s="12" t="n"/>
      <c r="S162" s="12">
        <f>S157</f>
        <v>7938</v>
      </c>
      <c r="T162" s="12">
        <f>T157</f>
        <v>7966</v>
      </c>
      <c r="U162" s="12">
        <f>U157</f>
        <v>8046</v>
      </c>
      <c r="V162" s="12">
        <f>V157</f>
        <v>8370</v>
      </c>
      <c r="W162" s="12" t="n"/>
      <c r="X162" s="12">
        <f>X157</f>
        <v>8354</v>
      </c>
      <c r="Y162" s="12">
        <f>Y157</f>
        <v>8394</v>
      </c>
      <c r="Z162" s="12">
        <f>Z157</f>
        <v>8454</v>
      </c>
      <c r="AA162" s="12">
        <f>Y162+SUM(AA159:AA161)</f>
        <v>8666</v>
      </c>
      <c r="AB162" s="12" t="n"/>
      <c r="AC162" s="12">
        <f>AC157</f>
        <v>8713</v>
      </c>
      <c r="AD162" s="12">
        <f>AD157</f>
        <v>8670</v>
      </c>
      <c r="AE162" s="12">
        <f>AE157</f>
        <v>8722</v>
      </c>
      <c r="AF162" s="12">
        <f>AF157</f>
        <v>8875</v>
      </c>
      <c r="AG162" s="12" t="n"/>
      <c r="AH162" s="12">
        <f>AH157</f>
        <v>11283</v>
      </c>
      <c r="AI162" s="12">
        <f>AI157</f>
        <v>11390</v>
      </c>
      <c r="AJ162" s="12">
        <f>AI162+SUM(AJ159:AJ161)</f>
        <v>11852.2941684938</v>
      </c>
      <c r="AK162" s="12">
        <f>AJ162+SUM(AK159:AK161)</f>
        <v>12357.118704899</v>
      </c>
      <c r="AL162" s="12" t="n"/>
      <c r="AM162" s="12">
        <f>AK162+SUM(AM159:AM161)</f>
        <v>12804.8054806756</v>
      </c>
      <c r="AN162" s="12">
        <f>AM162+SUM(AN159:AN161)</f>
        <v>13303.2206508885</v>
      </c>
      <c r="AO162" s="12">
        <f>AN162+SUM(AO159:AO161)</f>
        <v>13791.2519914523</v>
      </c>
      <c r="AP162" s="12">
        <f>AO162+SUM(AP159:AP161)</f>
        <v>14324.1814810324</v>
      </c>
      <c r="AQ162" s="12" t="n"/>
      <c r="AR162" s="12">
        <f>AP162+SUM(AR159:AR161)</f>
        <v>14794.5537617701</v>
      </c>
      <c r="AS162" s="12">
        <f>AR162+SUM(AS159:AS161)</f>
        <v>15318.2249824815</v>
      </c>
      <c r="AT162" s="12">
        <f>AS162+SUM(AT159:AT161)</f>
        <v>15830.9861966903</v>
      </c>
      <c r="AU162" s="12">
        <f>AT162+SUM(AU159:AU161)</f>
        <v>16390.920671081</v>
      </c>
      <c r="AV162" s="12" t="n"/>
      <c r="AW162" s="12">
        <f>AU162+SUM(AW159:AW161)</f>
        <v>16882.776131532</v>
      </c>
      <c r="AX162" s="12">
        <f>AW162+SUM(AX159:AX161)</f>
        <v>17430.3648393191</v>
      </c>
      <c r="AY162" s="12">
        <f>AX162+SUM(AY159:AY161)</f>
        <v>17966.5452509721</v>
      </c>
      <c r="AZ162" s="12">
        <f>AY162+SUM(AZ159:AZ161)</f>
        <v>18552.0534537343</v>
      </c>
      <c r="BA162" s="12" t="n"/>
      <c r="BB162" s="12">
        <f>AZ162+SUM(BB159:BB161)</f>
        <v>19063.9140117679</v>
      </c>
      <c r="BC162" s="12">
        <f>BB162+SUM(BC159:BC161)</f>
        <v>19633.7746396924</v>
      </c>
      <c r="BD162" s="12">
        <f>BC162+SUM(BD159:BD161)</f>
        <v>20191.7629650913</v>
      </c>
      <c r="BE162" s="12">
        <f>BD162+SUM(BE159:BE161)</f>
        <v>20801.0853768507</v>
      </c>
      <c r="BF162" s="12" t="n"/>
      <c r="BG162" s="12" t="n"/>
      <c r="BH162" s="12" t="n"/>
      <c r="BI162" s="12" t="n"/>
      <c r="BJ162" s="12" t="n"/>
      <c r="BK162" s="12" t="n"/>
      <c r="BL162" s="12" t="n"/>
      <c r="BM162" s="12" t="n"/>
      <c r="BN162" s="12" t="n"/>
      <c r="BO162" s="12" t="n"/>
      <c r="BP162" s="12" t="n"/>
      <c r="BQ162" s="12" t="n"/>
      <c r="BR162" s="12" t="n"/>
      <c r="BS162" s="12" t="n"/>
      <c r="BT162" s="12" t="n"/>
      <c r="BU162" s="12" t="n"/>
      <c r="BV162" s="12" t="n"/>
      <c r="BW162" s="12" t="n"/>
      <c r="BX162" s="12" t="n"/>
      <c r="BY162" s="12" t="n"/>
      <c r="BZ162" s="12" t="n"/>
      <c r="CA162" s="12" t="n"/>
      <c r="CB162" s="12" t="n"/>
      <c r="CC162" s="12" t="n"/>
      <c r="CD162" s="12" t="n"/>
      <c r="CE162" s="12" t="n"/>
      <c r="CF162" s="12" t="n"/>
      <c r="CG162" s="12" t="n"/>
      <c r="CH162" s="12" t="n"/>
      <c r="CI162" s="12" t="n"/>
      <c r="CJ162" s="12" t="n"/>
      <c r="CK162" s="12" t="n"/>
      <c r="CL162" s="12" t="n"/>
      <c r="CM162" s="12" t="n"/>
      <c r="CN162" s="12" t="n"/>
      <c r="CO162" s="12" t="n"/>
      <c r="CP162" s="12" t="n"/>
      <c r="CQ162" s="12" t="n"/>
      <c r="CR162" s="12" t="n"/>
      <c r="CS162" s="12" t="n"/>
      <c r="CT162" s="12" t="n"/>
      <c r="CU162" s="12" t="n"/>
      <c r="CV162" s="12" t="n"/>
      <c r="CW162" s="12" t="n"/>
      <c r="CX162" s="12" t="n"/>
      <c r="CY162" s="12" t="n"/>
    </row>
    <row r="163" hidden="1" outlineLevel="1">
      <c r="C163" s="57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  <c r="AJ163" s="12">
        <f>IF(AJ15=0,"",AJ159/AJ15)</f>
        <v>0.045513205812679</v>
      </c>
      <c r="AK163" s="12">
        <f>IF(AK15=0,"",AK159/AK15)</f>
        <v>0.045513205812679</v>
      </c>
      <c r="AL163" s="12" t="n"/>
      <c r="AM163" s="12">
        <f>IF(AM15=0,"",AM159/AM15)</f>
        <v>0.045513205812679</v>
      </c>
      <c r="AN163" s="12">
        <f>IF(AN15=0,"",AN159/AN15)</f>
        <v>0.045513205812679</v>
      </c>
      <c r="AO163" s="12">
        <f>IF(AO15=0,"",AO159/AO15)</f>
        <v>0.045513205812679</v>
      </c>
      <c r="AP163" s="12">
        <f>IF(AP15=0,"",AP159/AP15)</f>
        <v>0.045513205812679</v>
      </c>
      <c r="AQ163" s="12" t="n"/>
      <c r="AR163" s="12">
        <f>IF(AR15=0,"",AR159/AR15)</f>
        <v>0.045513205812679</v>
      </c>
      <c r="AS163" s="12">
        <f>IF(AS15=0,"",AS159/AS15)</f>
        <v>0.045513205812679</v>
      </c>
      <c r="AT163" s="12">
        <f>IF(AT15=0,"",AT159/AT15)</f>
        <v>0.045513205812679</v>
      </c>
      <c r="AU163" s="12">
        <f>IF(AU15=0,"",AU159/AU15)</f>
        <v>0.045513205812679</v>
      </c>
      <c r="AV163" s="12" t="n"/>
      <c r="AW163" s="12">
        <f>IF(AW15=0,"",AW159/AW15)</f>
        <v>0.045513205812679</v>
      </c>
      <c r="AX163" s="12">
        <f>IF(AX15=0,"",AX159/AX15)</f>
        <v>0.045513205812679</v>
      </c>
      <c r="AY163" s="12">
        <f>IF(AY15=0,"",AY159/AY15)</f>
        <v>0.045513205812679</v>
      </c>
      <c r="AZ163" s="12">
        <f>IF(AZ15=0,"",AZ159/AZ15)</f>
        <v>0.045513205812679</v>
      </c>
      <c r="BA163" s="12" t="n"/>
      <c r="BB163" s="12">
        <f>IF(BB15=0,"",BB159/BB15)</f>
        <v>0.045513205812679</v>
      </c>
      <c r="BC163" s="12">
        <f>IF(BC15=0,"",BC159/BC15)</f>
        <v>0.045513205812679</v>
      </c>
      <c r="BD163" s="12">
        <f>IF(BD15=0,"",BD159/BD15)</f>
        <v>0.045513205812679</v>
      </c>
      <c r="BE163" s="12">
        <f>IF(BE15=0,"",BE159/BE15)</f>
        <v>0.045513205812679</v>
      </c>
      <c r="BF163" s="12" t="n"/>
      <c r="BG163" s="12" t="n"/>
      <c r="BH163" s="12" t="n"/>
      <c r="BI163" s="12" t="n"/>
      <c r="BJ163" s="12" t="n"/>
      <c r="BK163" s="12" t="n"/>
      <c r="BL163" s="12" t="n"/>
      <c r="BM163" s="12" t="n"/>
      <c r="BN163" s="12" t="n"/>
      <c r="BO163" s="12" t="n"/>
      <c r="BP163" s="12" t="n"/>
      <c r="BQ163" s="12" t="n"/>
      <c r="BR163" s="12" t="n"/>
      <c r="BS163" s="12" t="n"/>
      <c r="BT163" s="12" t="n"/>
      <c r="BU163" s="12" t="n"/>
      <c r="BV163" s="12" t="n"/>
      <c r="BW163" s="12" t="n"/>
      <c r="BX163" s="12" t="n"/>
      <c r="BY163" s="12" t="n"/>
      <c r="BZ163" s="12" t="n"/>
      <c r="CA163" s="12" t="n"/>
      <c r="CB163" s="12" t="n"/>
      <c r="CC163" s="12" t="n"/>
      <c r="CD163" s="12" t="n"/>
      <c r="CE163" s="12" t="n"/>
      <c r="CF163" s="12" t="n"/>
      <c r="CG163" s="12" t="n"/>
      <c r="CH163" s="12" t="n"/>
      <c r="CI163" s="12" t="n"/>
      <c r="CJ163" s="12" t="n"/>
      <c r="CK163" s="12" t="n"/>
      <c r="CL163" s="12" t="n"/>
      <c r="CM163" s="12" t="n"/>
      <c r="CN163" s="12" t="n"/>
      <c r="CO163" s="12" t="n"/>
      <c r="CP163" s="12" t="n"/>
      <c r="CQ163" s="12" t="n"/>
      <c r="CR163" s="12" t="n"/>
      <c r="CS163" s="12" t="n"/>
      <c r="CT163" s="12" t="n"/>
      <c r="CU163" s="12" t="n"/>
      <c r="CV163" s="12" t="n"/>
      <c r="CW163" s="12" t="n"/>
      <c r="CX163" s="12" t="n"/>
      <c r="CY163" s="12" t="n"/>
    </row>
    <row r="164" hidden="1" outlineLevel="1">
      <c r="C164" s="57" t="inlineStr">
        <is>
          <t>Capital expenditures (% Net Revenues)</t>
        </is>
      </c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58">
        <f>IFERROR(AF159/AF15,"")</f>
        <v>0.0303134688253531</v>
      </c>
      <c r="AG164" s="58">
        <f>IFERROR(AG159/AG15,"")</f>
        <v>0.0244643428205948</v>
      </c>
      <c r="AH164" s="58">
        <f>IFERROR(AH159/AH15,"")</f>
        <v>0.15570723045336</v>
      </c>
      <c r="AI164" s="58">
        <f>IFERROR(AI159/AI15,"")</f>
        <v>0.0252703982455266</v>
      </c>
      <c r="AJ164" s="58">
        <f>IFERROR(AJ159/AJ15,"")</f>
        <v>0.045513205812679</v>
      </c>
      <c r="AK164" s="58">
        <f>IFERROR(AK159/AK15,"")</f>
        <v>0.045513205812679</v>
      </c>
      <c r="AL164" s="58">
        <f>IFERROR(AL159/AL15,"")</f>
        <v>0</v>
      </c>
      <c r="AM164" s="58">
        <f>IFERROR(AM159/AM15,"")</f>
        <v>0.045513205812679</v>
      </c>
      <c r="AN164" s="58">
        <f>IFERROR(AN159/AN15,"")</f>
        <v>0.045513205812679</v>
      </c>
      <c r="AO164" s="58">
        <f>IFERROR(AO159/AO15,"")</f>
        <v>0.045513205812679</v>
      </c>
      <c r="AP164" s="58">
        <f>IFERROR(AP159/AP15,"")</f>
        <v>0.045513205812679</v>
      </c>
      <c r="AQ164" s="58">
        <f>IFERROR(AQ159/AQ15,"")</f>
        <v>0</v>
      </c>
      <c r="AR164" s="58">
        <f>IFERROR(AR159/AR15,"")</f>
        <v>0.045513205812679</v>
      </c>
      <c r="AS164" s="58">
        <f>IFERROR(AS159/AS15,"")</f>
        <v>0.045513205812679</v>
      </c>
      <c r="AT164" s="58">
        <f>IFERROR(AT159/AT15,"")</f>
        <v>0.045513205812679</v>
      </c>
      <c r="AU164" s="58">
        <f>IFERROR(AU159/AU15,"")</f>
        <v>0.045513205812679</v>
      </c>
      <c r="AV164" s="58">
        <f>IFERROR(AV159/AV15,"")</f>
        <v>0</v>
      </c>
      <c r="AW164" s="58">
        <f>IFERROR(AW159/AW15,"")</f>
        <v>0.045513205812679</v>
      </c>
      <c r="AX164" s="58">
        <f>IFERROR(AX159/AX15,"")</f>
        <v>0.045513205812679</v>
      </c>
      <c r="AY164" s="58">
        <f>IFERROR(AY159/AY15,"")</f>
        <v>0.045513205812679</v>
      </c>
      <c r="AZ164" s="58">
        <f>IFERROR(AZ159/AZ15,"")</f>
        <v>0.045513205812679</v>
      </c>
      <c r="BA164" s="58">
        <f>IFERROR(BA159/BA15,"")</f>
        <v>0</v>
      </c>
      <c r="BB164" s="58">
        <f>IFERROR(BB159/BB15,"")</f>
        <v>0.045513205812679</v>
      </c>
      <c r="BC164" s="58">
        <f>IFERROR(BC159/BC15,"")</f>
        <v>0.045513205812679</v>
      </c>
      <c r="BD164" s="58">
        <f>IFERROR(BD159/BD15,"")</f>
        <v>0.045513205812679</v>
      </c>
      <c r="BE164" s="58">
        <f>IFERROR(BE159/BE15,"")</f>
        <v>0.045513205812679</v>
      </c>
      <c r="BF164" s="58">
        <f>IFERROR(BF159/BF15,"")</f>
        <v>0</v>
      </c>
      <c r="BG164" s="58" t="n"/>
      <c r="BH164" s="58" t="n"/>
      <c r="BI164" s="58" t="n"/>
      <c r="BJ164" s="58" t="n"/>
      <c r="BK164" s="58" t="n"/>
      <c r="BL164" s="58" t="n"/>
      <c r="BM164" s="58" t="n"/>
      <c r="BN164" s="58" t="n"/>
      <c r="BO164" s="58" t="n"/>
      <c r="BP164" s="58" t="n"/>
      <c r="BQ164" s="58" t="n"/>
      <c r="BR164" s="58" t="n"/>
      <c r="BS164" s="58" t="n"/>
      <c r="BT164" s="58" t="n"/>
      <c r="BU164" s="58" t="n"/>
      <c r="BV164" s="58" t="n"/>
      <c r="BW164" s="58" t="n"/>
      <c r="BX164" s="58" t="n"/>
      <c r="BY164" s="58" t="n"/>
      <c r="BZ164" s="58" t="n"/>
      <c r="CA164" s="58" t="n"/>
      <c r="CB164" s="58" t="n"/>
      <c r="CC164" s="58" t="n"/>
      <c r="CD164" s="58" t="n"/>
      <c r="CE164" s="58" t="n"/>
      <c r="CF164" s="58" t="n"/>
      <c r="CG164" s="58" t="n"/>
      <c r="CH164" s="58" t="n"/>
      <c r="CI164" s="58" t="n"/>
      <c r="CJ164" s="58" t="n"/>
      <c r="CK164" s="58" t="n"/>
      <c r="CL164" s="58" t="n"/>
      <c r="CM164" s="58" t="n"/>
      <c r="CN164" s="58" t="n"/>
      <c r="CO164" s="58" t="n"/>
      <c r="CP164" s="58" t="n"/>
      <c r="CQ164" s="58" t="n"/>
      <c r="CR164" s="58" t="n"/>
      <c r="CS164" s="58" t="n"/>
      <c r="CT164" s="58" t="n"/>
      <c r="CU164" s="58" t="n"/>
      <c r="CV164" s="58" t="n"/>
      <c r="CW164" s="58" t="n"/>
      <c r="CX164" s="58" t="n"/>
      <c r="CY164" s="58" t="n"/>
    </row>
    <row r="165" hidden="1" outlineLevel="1">
      <c r="C165" s="57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  <c r="AJ165" s="12" t="n"/>
      <c r="AK165" s="12" t="n"/>
      <c r="AL165" s="12" t="n"/>
      <c r="AM165" s="12" t="n"/>
      <c r="AN165" s="12" t="n"/>
      <c r="AO165" s="12" t="n"/>
      <c r="AP165" s="12" t="n"/>
      <c r="AQ165" s="12" t="n"/>
      <c r="AR165" s="12" t="n"/>
      <c r="AS165" s="12" t="n"/>
      <c r="AT165" s="12" t="n"/>
      <c r="AU165" s="12" t="n"/>
      <c r="AV165" s="12" t="n"/>
      <c r="AW165" s="12" t="n"/>
      <c r="AX165" s="12" t="n"/>
      <c r="AY165" s="12" t="n"/>
      <c r="AZ165" s="12" t="n"/>
      <c r="BA165" s="12" t="n"/>
      <c r="BB165" s="12" t="n"/>
      <c r="BC165" s="12" t="n"/>
      <c r="BD165" s="12" t="n"/>
      <c r="BE165" s="12" t="n"/>
      <c r="BF165" s="12" t="n"/>
      <c r="BG165" s="12" t="n"/>
      <c r="BH165" s="12" t="n"/>
      <c r="BI165" s="12" t="n"/>
      <c r="BJ165" s="12" t="n"/>
      <c r="BK165" s="12" t="n"/>
      <c r="BL165" s="12" t="n"/>
      <c r="BM165" s="12" t="n"/>
      <c r="BN165" s="12" t="n"/>
      <c r="BO165" s="12" t="n"/>
      <c r="BP165" s="12" t="n"/>
      <c r="BQ165" s="12" t="n"/>
      <c r="BR165" s="12" t="n"/>
      <c r="BS165" s="12" t="n"/>
      <c r="BT165" s="12" t="n"/>
      <c r="BU165" s="12" t="n"/>
      <c r="BV165" s="12" t="n"/>
      <c r="BW165" s="12" t="n"/>
      <c r="BX165" s="12" t="n"/>
      <c r="BY165" s="12" t="n"/>
      <c r="BZ165" s="12" t="n"/>
      <c r="CA165" s="12" t="n"/>
      <c r="CB165" s="12" t="n"/>
      <c r="CC165" s="12" t="n"/>
      <c r="CD165" s="12" t="n"/>
      <c r="CE165" s="12" t="n"/>
      <c r="CF165" s="12" t="n"/>
      <c r="CG165" s="12" t="n"/>
      <c r="CH165" s="12" t="n"/>
      <c r="CI165" s="12" t="n"/>
      <c r="CJ165" s="12" t="n"/>
      <c r="CK165" s="12" t="n"/>
      <c r="CL165" s="12" t="n"/>
      <c r="CM165" s="12" t="n"/>
      <c r="CN165" s="12" t="n"/>
      <c r="CO165" s="12" t="n"/>
      <c r="CP165" s="12" t="n"/>
      <c r="CQ165" s="12" t="n"/>
      <c r="CR165" s="12" t="n"/>
      <c r="CS165" s="12" t="n"/>
      <c r="CT165" s="12" t="n"/>
      <c r="CU165" s="12" t="n"/>
      <c r="CV165" s="12" t="n"/>
      <c r="CW165" s="12" t="n"/>
      <c r="CX165" s="12" t="n"/>
      <c r="CY165" s="12" t="n"/>
    </row>
    <row r="166" hidden="1" outlineLevel="1">
      <c r="C166" s="57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  <c r="AL166" s="12" t="n"/>
      <c r="AM166" s="12" t="n"/>
      <c r="AN166" s="12" t="n"/>
      <c r="AO166" s="12" t="n"/>
      <c r="AP166" s="12" t="n"/>
      <c r="AQ166" s="12" t="n"/>
      <c r="AR166" s="12" t="n"/>
      <c r="AS166" s="12" t="n"/>
      <c r="AT166" s="12" t="n"/>
      <c r="AU166" s="12" t="n"/>
      <c r="AV166" s="12" t="n"/>
      <c r="AW166" s="12" t="n"/>
      <c r="AX166" s="12" t="n"/>
      <c r="AY166" s="12" t="n"/>
      <c r="AZ166" s="12" t="n"/>
      <c r="BA166" s="12" t="n"/>
      <c r="BB166" s="12" t="n"/>
      <c r="BC166" s="12" t="n"/>
      <c r="BD166" s="12" t="n"/>
      <c r="BE166" s="12" t="n"/>
      <c r="BF166" s="12" t="n"/>
      <c r="BG166" s="12" t="n"/>
      <c r="BH166" s="12" t="n"/>
      <c r="BI166" s="12" t="n"/>
      <c r="BJ166" s="12" t="n"/>
      <c r="BK166" s="12" t="n"/>
      <c r="BL166" s="12" t="n"/>
      <c r="BM166" s="12" t="n"/>
      <c r="BN166" s="12" t="n"/>
      <c r="BO166" s="12" t="n"/>
      <c r="BP166" s="12" t="n"/>
      <c r="BQ166" s="12" t="n"/>
      <c r="BR166" s="12" t="n"/>
      <c r="BS166" s="12" t="n"/>
      <c r="BT166" s="12" t="n"/>
      <c r="BU166" s="12" t="n"/>
      <c r="BV166" s="12" t="n"/>
      <c r="BW166" s="12" t="n"/>
      <c r="BX166" s="12" t="n"/>
      <c r="BY166" s="12" t="n"/>
      <c r="BZ166" s="12" t="n"/>
      <c r="CA166" s="12" t="n"/>
      <c r="CB166" s="12" t="n"/>
      <c r="CC166" s="12" t="n"/>
      <c r="CD166" s="12" t="n"/>
      <c r="CE166" s="12" t="n"/>
      <c r="CF166" s="12" t="n"/>
      <c r="CG166" s="12" t="n"/>
      <c r="CH166" s="12" t="n"/>
      <c r="CI166" s="12" t="n"/>
      <c r="CJ166" s="12" t="n"/>
      <c r="CK166" s="12" t="n"/>
      <c r="CL166" s="12" t="n"/>
      <c r="CM166" s="12" t="n"/>
      <c r="CN166" s="12" t="n"/>
      <c r="CO166" s="12" t="n"/>
      <c r="CP166" s="12" t="n"/>
      <c r="CQ166" s="12" t="n"/>
      <c r="CR166" s="12" t="n"/>
      <c r="CS166" s="12" t="n"/>
      <c r="CT166" s="12" t="n"/>
      <c r="CU166" s="12" t="n"/>
      <c r="CV166" s="12" t="n"/>
      <c r="CW166" s="12" t="n"/>
      <c r="CX166" s="12" t="n"/>
      <c r="CY166" s="12" t="n"/>
    </row>
    <row r="167" collapsed="1">
      <c r="C167" s="14" t="inlineStr">
        <is>
          <t>Right-of-use-assets</t>
        </is>
      </c>
      <c r="D167" s="46" t="n"/>
      <c r="E167" s="46" t="n"/>
      <c r="F167" s="46" t="n"/>
      <c r="G167" s="46" t="n"/>
      <c r="H167" s="12" t="n"/>
      <c r="I167" s="46">
        <f>'Inputs (2)'!D23</f>
        <v>0</v>
      </c>
      <c r="J167" s="46">
        <f>'Inputs (2)'!E23</f>
        <v>0</v>
      </c>
      <c r="K167" s="46">
        <f>'Inputs (2)'!F23</f>
        <v>0</v>
      </c>
      <c r="L167" s="46">
        <f>'Inputs (2)'!G23</f>
        <v>0</v>
      </c>
      <c r="M167" s="12">
        <f>'Inputs (2)'!H23</f>
        <v>0</v>
      </c>
      <c r="N167" s="46">
        <f>'Inputs (2)'!I23</f>
        <v>0</v>
      </c>
      <c r="O167" s="46">
        <f>'Inputs (2)'!J23</f>
        <v>0</v>
      </c>
      <c r="P167" s="46">
        <f>'Inputs (2)'!K23</f>
        <v>0</v>
      </c>
      <c r="Q167" s="46">
        <f>'Inputs (2)'!L23</f>
        <v>0</v>
      </c>
      <c r="R167" s="12">
        <f>'Inputs (2)'!M23</f>
        <v>0</v>
      </c>
      <c r="S167" s="46">
        <f>'Inputs (2)'!N23</f>
        <v>0</v>
      </c>
      <c r="T167" s="46">
        <f>'Inputs (2)'!O23</f>
        <v>0</v>
      </c>
      <c r="U167" s="46">
        <f>'Inputs (2)'!P23</f>
        <v>0</v>
      </c>
      <c r="V167" s="46">
        <f>'Inputs (2)'!Q23</f>
        <v>0</v>
      </c>
      <c r="W167" s="12">
        <f>'Inputs (2)'!R23</f>
        <v>0</v>
      </c>
      <c r="X167" s="46">
        <f>'Inputs (2)'!S23</f>
        <v>0</v>
      </c>
      <c r="Y167" s="46">
        <f>'Inputs (2)'!T23</f>
        <v>0</v>
      </c>
      <c r="Z167" s="46">
        <f>'Inputs (2)'!U23</f>
        <v>0</v>
      </c>
      <c r="AA167" s="46">
        <f>'Inputs (2)'!V23</f>
        <v>0</v>
      </c>
      <c r="AB167" s="12">
        <f>'Inputs (2)'!W23</f>
        <v>0</v>
      </c>
      <c r="AC167" s="46">
        <f>'Inputs (2)'!X23</f>
        <v>0</v>
      </c>
      <c r="AD167" s="46">
        <f>'Inputs (2)'!Y23</f>
        <v>0</v>
      </c>
      <c r="AE167" s="46">
        <f>'Inputs (2)'!Z23</f>
        <v>0</v>
      </c>
      <c r="AF167" s="46">
        <f>'Inputs (2)'!AA23</f>
        <v>0</v>
      </c>
      <c r="AG167" s="12">
        <f>'Inputs (2)'!AB23</f>
        <v>0</v>
      </c>
      <c r="AH167" s="12">
        <f>'Inputs (2)'!AC23</f>
        <v>0</v>
      </c>
      <c r="AI167" s="12">
        <f>'Inputs (2)'!AD23</f>
        <v>0</v>
      </c>
      <c r="AJ167" s="12">
        <f>AI167</f>
        <v>0</v>
      </c>
      <c r="AK167" s="12">
        <f>AJ167</f>
        <v>0</v>
      </c>
      <c r="AL167" s="12">
        <f>AK167</f>
        <v>0</v>
      </c>
      <c r="AM167" s="12">
        <f>AL167</f>
        <v>0</v>
      </c>
      <c r="AN167" s="12">
        <f>AM167</f>
        <v>0</v>
      </c>
      <c r="AO167" s="12">
        <f>AN167</f>
        <v>0</v>
      </c>
      <c r="AP167" s="12">
        <f>AO167</f>
        <v>0</v>
      </c>
      <c r="AQ167" s="12">
        <f>AP167</f>
        <v>0</v>
      </c>
      <c r="AR167" s="12">
        <f>AQ167</f>
        <v>0</v>
      </c>
      <c r="AS167" s="12">
        <f>AR167</f>
        <v>0</v>
      </c>
      <c r="AT167" s="12">
        <f>AS167</f>
        <v>0</v>
      </c>
      <c r="AU167" s="12">
        <f>AT167</f>
        <v>0</v>
      </c>
      <c r="AV167" s="12">
        <f>AU167</f>
        <v>0</v>
      </c>
      <c r="AW167" s="12">
        <f>AV167</f>
        <v>0</v>
      </c>
      <c r="AX167" s="12">
        <f>AW167</f>
        <v>0</v>
      </c>
      <c r="AY167" s="12">
        <f>AX167</f>
        <v>0</v>
      </c>
      <c r="AZ167" s="12">
        <f>AY167</f>
        <v>0</v>
      </c>
      <c r="BA167" s="12">
        <f>AZ167</f>
        <v>0</v>
      </c>
      <c r="BB167" s="12">
        <f>BA167</f>
        <v>0</v>
      </c>
      <c r="BC167" s="12">
        <f>BB167</f>
        <v>0</v>
      </c>
      <c r="BD167" s="12">
        <f>BC167</f>
        <v>0</v>
      </c>
      <c r="BE167" s="12">
        <f>BD167</f>
        <v>0</v>
      </c>
      <c r="BF167" s="12">
        <f>BE167</f>
        <v>0</v>
      </c>
      <c r="BG167" s="12" t="n"/>
      <c r="BH167" s="12" t="n"/>
      <c r="BI167" s="12" t="n"/>
      <c r="BJ167" s="12" t="n"/>
      <c r="BK167" s="12" t="n"/>
      <c r="BL167" s="12" t="n"/>
      <c r="BM167" s="12" t="n"/>
      <c r="BN167" s="12" t="n"/>
      <c r="BO167" s="12" t="n"/>
      <c r="BP167" s="12" t="n"/>
      <c r="BQ167" s="12" t="n"/>
      <c r="BR167" s="12" t="n"/>
      <c r="BS167" s="12" t="n"/>
      <c r="BT167" s="12" t="n"/>
      <c r="BU167" s="12" t="n"/>
      <c r="BV167" s="12" t="n"/>
      <c r="BW167" s="12" t="n"/>
      <c r="BX167" s="12" t="n"/>
      <c r="BY167" s="12" t="n"/>
      <c r="BZ167" s="12" t="n"/>
      <c r="CA167" s="12" t="n"/>
      <c r="CB167" s="12" t="n"/>
      <c r="CC167" s="12" t="n"/>
      <c r="CD167" s="12" t="n"/>
      <c r="CE167" s="12" t="n"/>
      <c r="CF167" s="12" t="n"/>
      <c r="CG167" s="12" t="n"/>
      <c r="CH167" s="12" t="n"/>
      <c r="CI167" s="12" t="n"/>
      <c r="CJ167" s="12" t="n"/>
      <c r="CK167" s="12" t="n"/>
      <c r="CL167" s="12" t="n"/>
      <c r="CM167" s="12" t="n"/>
      <c r="CN167" s="12" t="n"/>
      <c r="CO167" s="12" t="n"/>
      <c r="CP167" s="12" t="n"/>
      <c r="CQ167" s="12" t="n"/>
      <c r="CR167" s="12" t="n"/>
      <c r="CS167" s="12" t="n"/>
      <c r="CT167" s="12" t="n"/>
      <c r="CU167" s="12" t="n"/>
      <c r="CV167" s="12" t="n"/>
      <c r="CW167" s="12" t="n"/>
      <c r="CX167" s="12" t="n"/>
      <c r="CY167" s="12" t="n"/>
    </row>
    <row r="168" hidden="1" outlineLevel="1">
      <c r="C168" s="59" t="inlineStr">
        <is>
          <t>%(Var.)</t>
        </is>
      </c>
      <c r="D168" s="12" t="n"/>
      <c r="E168" s="40" t="n"/>
      <c r="F168" s="40" t="n"/>
      <c r="G168" s="40" t="n"/>
      <c r="H168" s="12" t="n"/>
      <c r="I168" s="40" t="str">
        <f>""</f>
        <v/>
      </c>
      <c r="J168" s="40" t="str">
        <f>IFERROR(IF(I167=0,"",J167/I167-1),"")</f>
        <v/>
      </c>
      <c r="K168" s="40" t="str">
        <f>IFERROR(IF(J167=0,"",K167/J167-1),"")</f>
        <v/>
      </c>
      <c r="L168" s="40" t="str">
        <f>IFERROR(IF(K167=0,"",L167/K167-1),"")</f>
        <v/>
      </c>
      <c r="M168" s="12" t="str">
        <f>IFERROR(IF(L167=0,"",M167/L167-1),"")</f>
        <v/>
      </c>
      <c r="N168" s="40" t="str">
        <f>IFERROR(IF(M167=0,"",N167/M167-1),"")</f>
        <v/>
      </c>
      <c r="O168" s="40" t="str">
        <f>IFERROR(IF(N167=0,"",O167/N167-1),"")</f>
        <v/>
      </c>
      <c r="P168" s="40" t="str">
        <f>IFERROR(IF(O167=0,"",P167/O167-1),"")</f>
        <v/>
      </c>
      <c r="Q168" s="40" t="str">
        <f>IFERROR(IF(P167=0,"",Q167/P167-1),"")</f>
        <v/>
      </c>
      <c r="R168" s="12" t="str">
        <f>IFERROR(IF(Q167=0,"",R167/Q167-1),"")</f>
        <v/>
      </c>
      <c r="S168" s="40" t="str">
        <f>IFERROR(IF(R167=0,"",S167/R167-1),"")</f>
        <v/>
      </c>
      <c r="T168" s="40" t="str">
        <f>IFERROR(IF(S167=0,"",T167/S167-1),"")</f>
        <v/>
      </c>
      <c r="U168" s="40" t="str">
        <f>IFERROR(IF(T167=0,"",U167/T167-1),"")</f>
        <v/>
      </c>
      <c r="V168" s="40" t="str">
        <f>IFERROR(IF(U167=0,"",V167/U167-1),"")</f>
        <v/>
      </c>
      <c r="W168" s="12" t="str">
        <f>IFERROR(IF(V167=0,"",W167/V167-1),"")</f>
        <v/>
      </c>
      <c r="X168" s="40" t="str">
        <f>IFERROR(IF(W167=0,"",X167/W167-1),"")</f>
        <v/>
      </c>
      <c r="Y168" s="40" t="str">
        <f>IFERROR(IF(X167=0,"",Y167/X167-1),"")</f>
        <v/>
      </c>
      <c r="Z168" s="40" t="str">
        <f>IFERROR(IF(Y167=0,"",Z167/Y167-1),"")</f>
        <v/>
      </c>
      <c r="AA168" s="40" t="str">
        <f>IFERROR(IF(Z167=0,"",AA167/Z167-1),"")</f>
        <v/>
      </c>
      <c r="AB168" s="12" t="str">
        <f>IFERROR(IF(AA167=0,"",AB167/AA167-1),"")</f>
        <v/>
      </c>
      <c r="AC168" s="40" t="str">
        <f>IFERROR(IF(AB167=0,"",AC167/AB167-1),"")</f>
        <v/>
      </c>
      <c r="AD168" s="40" t="str">
        <f>IFERROR(IF(AC167=0,"",AD167/AC167-1),"")</f>
        <v/>
      </c>
      <c r="AE168" s="40" t="str">
        <f>IFERROR(IF(AD167=0,"",AE167/AD167-1),"")</f>
        <v/>
      </c>
      <c r="AF168" s="55" t="str">
        <f>IFERROR(IF(AE167=0,"",AF167/AE167-1),"")</f>
        <v/>
      </c>
      <c r="AG168" s="12" t="str">
        <f>IFERROR(IF(AF167=0,"",AG167/AF167-1),"")</f>
        <v/>
      </c>
      <c r="AH168" s="55" t="str">
        <f>IFERROR(IF(AG167=0,"",AH167/AG167-1),"")</f>
        <v/>
      </c>
      <c r="AI168" s="55" t="str">
        <f>IFERROR(IF(AH167=0,"",AI167/AH167-1),"")</f>
        <v/>
      </c>
      <c r="AJ168" s="55" t="str">
        <f>IFERROR(IF(AI167=0,"",AJ167/AI167-1),"")</f>
        <v/>
      </c>
      <c r="AK168" s="55" t="str">
        <f>IFERROR(IF(AJ167=0,"",AK167/AJ167-1),"")</f>
        <v/>
      </c>
      <c r="AL168" s="12" t="str">
        <f>IFERROR(IF(AK167=0,"",AL167/AK167-1),"")</f>
        <v/>
      </c>
      <c r="AM168" s="55" t="str">
        <f>IFERROR(IF(AL167=0,"",AM167/AL167-1),"")</f>
        <v/>
      </c>
      <c r="AN168" s="55" t="str">
        <f>IFERROR(IF(AM167=0,"",AN167/AM167-1),"")</f>
        <v/>
      </c>
      <c r="AO168" s="55" t="str">
        <f>IFERROR(IF(AN167=0,"",AO167/AN167-1),"")</f>
        <v/>
      </c>
      <c r="AP168" s="55" t="str">
        <f>IFERROR(IF(AO167=0,"",AP167/AO167-1),"")</f>
        <v/>
      </c>
      <c r="AQ168" s="12" t="str">
        <f>IFERROR(IF(AP167=0,"",AQ167/AP167-1),"")</f>
        <v/>
      </c>
      <c r="AR168" s="55" t="str">
        <f>IFERROR(IF(AQ167=0,"",AR167/AQ167-1),"")</f>
        <v/>
      </c>
      <c r="AS168" s="55" t="str">
        <f>IFERROR(IF(AR167=0,"",AS167/AR167-1),"")</f>
        <v/>
      </c>
      <c r="AT168" s="55" t="str">
        <f>IFERROR(IF(AS167=0,"",AT167/AS167-1),"")</f>
        <v/>
      </c>
      <c r="AU168" s="55" t="str">
        <f>IFERROR(IF(AT167=0,"",AU167/AT167-1),"")</f>
        <v/>
      </c>
      <c r="AV168" s="12" t="str">
        <f>IFERROR(IF(AU167=0,"",AV167/AU167-1),"")</f>
        <v/>
      </c>
      <c r="AW168" s="55" t="str">
        <f>IFERROR(IF(AV167=0,"",AW167/AV167-1),"")</f>
        <v/>
      </c>
      <c r="AX168" s="55" t="str">
        <f>IFERROR(IF(AW167=0,"",AX167/AW167-1),"")</f>
        <v/>
      </c>
      <c r="AY168" s="55" t="str">
        <f>IFERROR(IF(AX167=0,"",AY167/AX167-1),"")</f>
        <v/>
      </c>
      <c r="AZ168" s="55" t="str">
        <f>IFERROR(IF(AY167=0,"",AZ167/AY167-1),"")</f>
        <v/>
      </c>
      <c r="BA168" s="12" t="str">
        <f>IFERROR(IF(AZ167=0,"",BA167/AZ167-1),"")</f>
        <v/>
      </c>
      <c r="BB168" s="55" t="str">
        <f>IFERROR(IF(BA167=0,"",BB167/BA167-1),"")</f>
        <v/>
      </c>
      <c r="BC168" s="55" t="str">
        <f>IFERROR(IF(BB167=0,"",BC167/BB167-1),"")</f>
        <v/>
      </c>
      <c r="BD168" s="55" t="str">
        <f>IFERROR(IF(BC167=0,"",BD167/BC167-1),"")</f>
        <v/>
      </c>
      <c r="BE168" s="55" t="str">
        <f>IFERROR(IF(BD167=0,"",BE167/BD167-1),"")</f>
        <v/>
      </c>
      <c r="BF168" s="12" t="str">
        <f>IFERROR(IF(BE167=0,"",BF167/BE167-1),"")</f>
        <v/>
      </c>
      <c r="BG168" s="55" t="n"/>
      <c r="BH168" s="55" t="n"/>
      <c r="BI168" s="55" t="n"/>
      <c r="BJ168" s="55" t="n"/>
      <c r="BK168" s="12" t="n"/>
      <c r="BL168" s="55" t="n"/>
      <c r="BM168" s="55" t="n"/>
      <c r="BN168" s="55" t="n"/>
      <c r="BO168" s="55" t="n"/>
      <c r="BP168" s="12" t="n"/>
      <c r="BQ168" s="55" t="n"/>
      <c r="BR168" s="55" t="n"/>
      <c r="BS168" s="55" t="n"/>
      <c r="BT168" s="55" t="n"/>
      <c r="BU168" s="12" t="n"/>
      <c r="BV168" s="55" t="n"/>
      <c r="BW168" s="55" t="n"/>
      <c r="BX168" s="55" t="n"/>
      <c r="BY168" s="55" t="n"/>
      <c r="BZ168" s="12" t="n"/>
      <c r="CA168" s="55" t="n"/>
      <c r="CB168" s="55" t="n"/>
      <c r="CC168" s="55" t="n"/>
      <c r="CD168" s="55" t="n"/>
      <c r="CE168" s="12" t="n"/>
      <c r="CF168" s="55" t="n"/>
      <c r="CG168" s="55" t="n"/>
      <c r="CH168" s="55" t="n"/>
      <c r="CI168" s="55" t="n"/>
      <c r="CJ168" s="12" t="n"/>
      <c r="CK168" s="55" t="n"/>
      <c r="CL168" s="55" t="n"/>
      <c r="CM168" s="55" t="n"/>
      <c r="CN168" s="55" t="n"/>
      <c r="CO168" s="12" t="n"/>
      <c r="CP168" s="55" t="n"/>
      <c r="CQ168" s="55" t="n"/>
      <c r="CR168" s="55" t="n"/>
      <c r="CS168" s="55" t="n"/>
      <c r="CT168" s="12" t="n"/>
      <c r="CU168" s="55" t="n"/>
      <c r="CV168" s="55" t="n"/>
      <c r="CW168" s="55" t="n"/>
      <c r="CX168" s="55" t="n"/>
      <c r="CY168" s="12" t="n"/>
    </row>
    <row r="169" hidden="1" outlineLevel="1">
      <c r="C169" s="57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  <c r="AL169" s="12" t="n"/>
      <c r="AM169" s="12" t="n"/>
      <c r="AN169" s="12" t="n"/>
      <c r="AO169" s="12" t="n"/>
      <c r="AP169" s="12" t="n"/>
      <c r="AQ169" s="12" t="n"/>
      <c r="AR169" s="12" t="n"/>
      <c r="AS169" s="12" t="n"/>
      <c r="AT169" s="12" t="n"/>
      <c r="AU169" s="12" t="n"/>
      <c r="AV169" s="12" t="n"/>
      <c r="AW169" s="12" t="n"/>
      <c r="AX169" s="12" t="n"/>
      <c r="AY169" s="12" t="n"/>
      <c r="AZ169" s="12" t="n"/>
      <c r="BA169" s="12" t="n"/>
      <c r="BB169" s="12" t="n"/>
      <c r="BC169" s="12" t="n"/>
      <c r="BD169" s="12" t="n"/>
      <c r="BE169" s="12" t="n"/>
      <c r="BF169" s="12" t="n"/>
      <c r="BG169" s="12" t="n"/>
      <c r="BH169" s="12" t="n"/>
      <c r="BI169" s="12" t="n"/>
      <c r="BJ169" s="12" t="n"/>
      <c r="BK169" s="12" t="n"/>
      <c r="BL169" s="12" t="n"/>
      <c r="BM169" s="12" t="n"/>
      <c r="BN169" s="12" t="n"/>
      <c r="BO169" s="12" t="n"/>
      <c r="BP169" s="12" t="n"/>
      <c r="BQ169" s="12" t="n"/>
      <c r="BR169" s="12" t="n"/>
      <c r="BS169" s="12" t="n"/>
      <c r="BT169" s="12" t="n"/>
      <c r="BU169" s="12" t="n"/>
      <c r="BV169" s="12" t="n"/>
      <c r="BW169" s="12" t="n"/>
      <c r="BX169" s="12" t="n"/>
      <c r="BY169" s="12" t="n"/>
      <c r="BZ169" s="12" t="n"/>
      <c r="CA169" s="12" t="n"/>
      <c r="CB169" s="12" t="n"/>
      <c r="CC169" s="12" t="n"/>
      <c r="CD169" s="12" t="n"/>
      <c r="CE169" s="12" t="n"/>
      <c r="CF169" s="12" t="n"/>
      <c r="CG169" s="12" t="n"/>
      <c r="CH169" s="12" t="n"/>
      <c r="CI169" s="12" t="n"/>
      <c r="CJ169" s="12" t="n"/>
      <c r="CK169" s="12" t="n"/>
      <c r="CL169" s="12" t="n"/>
      <c r="CM169" s="12" t="n"/>
      <c r="CN169" s="12" t="n"/>
      <c r="CO169" s="12" t="n"/>
      <c r="CP169" s="12" t="n"/>
      <c r="CQ169" s="12" t="n"/>
      <c r="CR169" s="12" t="n"/>
      <c r="CS169" s="12" t="n"/>
      <c r="CT169" s="12" t="n"/>
      <c r="CU169" s="12" t="n"/>
      <c r="CV169" s="12" t="n"/>
      <c r="CW169" s="12" t="n"/>
      <c r="CX169" s="12" t="n"/>
      <c r="CY169" s="12" t="n"/>
    </row>
    <row r="170" collapsed="1">
      <c r="C170" s="14" t="inlineStr">
        <is>
          <t>Goodwill</t>
        </is>
      </c>
      <c r="D170" s="46" t="n"/>
      <c r="E170" s="46" t="n"/>
      <c r="F170" s="46" t="n"/>
      <c r="G170" s="46" t="n"/>
      <c r="H170" s="12" t="n"/>
      <c r="I170" s="46">
        <f>'Inputs (2)'!D24</f>
        <v>10799</v>
      </c>
      <c r="J170" s="46">
        <f>'Inputs (2)'!E24</f>
        <v>10810</v>
      </c>
      <c r="K170" s="46">
        <f>'Inputs (2)'!F24</f>
        <v>10815</v>
      </c>
      <c r="L170" s="46">
        <f>'Inputs (2)'!G24</f>
        <v>10813</v>
      </c>
      <c r="M170" s="12">
        <f>'Inputs (2)'!H24</f>
        <v>10813</v>
      </c>
      <c r="N170" s="46">
        <f>'Inputs (2)'!I24</f>
        <v>10811</v>
      </c>
      <c r="O170" s="46">
        <f>'Inputs (2)'!J24</f>
        <v>10794</v>
      </c>
      <c r="P170" s="46">
        <f>'Inputs (2)'!K24</f>
        <v>10764</v>
      </c>
      <c r="Q170" s="46">
        <f>'Inputs (2)'!L24</f>
        <v>10780</v>
      </c>
      <c r="R170" s="12">
        <f>'Inputs (2)'!M24</f>
        <v>10780</v>
      </c>
      <c r="S170" s="46">
        <f>'Inputs (2)'!N24</f>
        <v>10776</v>
      </c>
      <c r="T170" s="46">
        <f>'Inputs (2)'!O24</f>
        <v>10795</v>
      </c>
      <c r="U170" s="46">
        <f>'Inputs (2)'!P24</f>
        <v>10782</v>
      </c>
      <c r="V170" s="46">
        <f>'Inputs (2)'!Q24</f>
        <v>10799</v>
      </c>
      <c r="W170" s="12">
        <f>'Inputs (2)'!R24</f>
        <v>10799</v>
      </c>
      <c r="X170" s="46">
        <f>'Inputs (2)'!S24</f>
        <v>10789</v>
      </c>
      <c r="Y170" s="46">
        <f>'Inputs (2)'!T24</f>
        <v>10787</v>
      </c>
      <c r="Z170" s="46">
        <f>'Inputs (2)'!U24</f>
        <v>10800</v>
      </c>
      <c r="AA170" s="46">
        <f>'Inputs (2)'!V24</f>
        <v>11067</v>
      </c>
      <c r="AB170" s="12">
        <f>'Inputs (2)'!W24</f>
        <v>11067</v>
      </c>
      <c r="AC170" s="46">
        <f>'Inputs (2)'!X24</f>
        <v>11076</v>
      </c>
      <c r="AD170" s="46">
        <f>'Inputs (2)'!Y24</f>
        <v>11309</v>
      </c>
      <c r="AE170" s="46">
        <f>'Inputs (2)'!Z24</f>
        <v>11313</v>
      </c>
      <c r="AF170" s="46">
        <f>'Inputs (2)'!AA24</f>
        <v>11314</v>
      </c>
      <c r="AG170" s="12">
        <f>'Inputs (2)'!AB24</f>
        <v>11314</v>
      </c>
      <c r="AH170" s="12">
        <f>'Inputs (2)'!AC24</f>
        <v>11306</v>
      </c>
      <c r="AI170" s="12">
        <f>'Inputs (2)'!AD24</f>
        <v>11298</v>
      </c>
      <c r="AJ170" s="12">
        <f>AI170</f>
        <v>11298</v>
      </c>
      <c r="AK170" s="12">
        <f>AJ170</f>
        <v>11298</v>
      </c>
      <c r="AL170" s="12">
        <f>AK170</f>
        <v>11298</v>
      </c>
      <c r="AM170" s="12">
        <f>AL170</f>
        <v>11298</v>
      </c>
      <c r="AN170" s="12">
        <f>AM170</f>
        <v>11298</v>
      </c>
      <c r="AO170" s="12">
        <f>AN170</f>
        <v>11298</v>
      </c>
      <c r="AP170" s="12">
        <f>AO170</f>
        <v>11298</v>
      </c>
      <c r="AQ170" s="12">
        <f>AP170</f>
        <v>11298</v>
      </c>
      <c r="AR170" s="12">
        <f>AQ170</f>
        <v>11298</v>
      </c>
      <c r="AS170" s="12">
        <f>AR170</f>
        <v>11298</v>
      </c>
      <c r="AT170" s="12">
        <f>AS170</f>
        <v>11298</v>
      </c>
      <c r="AU170" s="12">
        <f>AT170</f>
        <v>11298</v>
      </c>
      <c r="AV170" s="12">
        <f>AU170</f>
        <v>11298</v>
      </c>
      <c r="AW170" s="12">
        <f>AV170</f>
        <v>11298</v>
      </c>
      <c r="AX170" s="12">
        <f>AW170</f>
        <v>11298</v>
      </c>
      <c r="AY170" s="12">
        <f>AX170</f>
        <v>11298</v>
      </c>
      <c r="AZ170" s="12">
        <f>AY170</f>
        <v>11298</v>
      </c>
      <c r="BA170" s="12">
        <f>AZ170</f>
        <v>11298</v>
      </c>
      <c r="BB170" s="12">
        <f>BA170</f>
        <v>11298</v>
      </c>
      <c r="BC170" s="12">
        <f>BB170</f>
        <v>11298</v>
      </c>
      <c r="BD170" s="12">
        <f>BC170</f>
        <v>11298</v>
      </c>
      <c r="BE170" s="12">
        <f>BD170</f>
        <v>11298</v>
      </c>
      <c r="BF170" s="12">
        <f>BE170</f>
        <v>11298</v>
      </c>
      <c r="BG170" s="12" t="n"/>
      <c r="BH170" s="12" t="n"/>
      <c r="BI170" s="12" t="n"/>
      <c r="BJ170" s="12" t="n"/>
      <c r="BK170" s="12" t="n"/>
      <c r="BL170" s="12" t="n"/>
      <c r="BM170" s="12" t="n"/>
      <c r="BN170" s="12" t="n"/>
      <c r="BO170" s="12" t="n"/>
      <c r="BP170" s="12" t="n"/>
      <c r="BQ170" s="12" t="n"/>
      <c r="BR170" s="12" t="n"/>
      <c r="BS170" s="12" t="n"/>
      <c r="BT170" s="12" t="n"/>
      <c r="BU170" s="12" t="n"/>
      <c r="BV170" s="12" t="n"/>
      <c r="BW170" s="12" t="n"/>
      <c r="BX170" s="12" t="n"/>
      <c r="BY170" s="12" t="n"/>
      <c r="BZ170" s="12" t="n"/>
      <c r="CA170" s="12" t="n"/>
      <c r="CB170" s="12" t="n"/>
      <c r="CC170" s="12" t="n"/>
      <c r="CD170" s="12" t="n"/>
      <c r="CE170" s="12" t="n"/>
      <c r="CF170" s="12" t="n"/>
      <c r="CG170" s="12" t="n"/>
      <c r="CH170" s="12" t="n"/>
      <c r="CI170" s="12" t="n"/>
      <c r="CJ170" s="12" t="n"/>
      <c r="CK170" s="12" t="n"/>
      <c r="CL170" s="12" t="n"/>
      <c r="CM170" s="12" t="n"/>
      <c r="CN170" s="12" t="n"/>
      <c r="CO170" s="12" t="n"/>
      <c r="CP170" s="12" t="n"/>
      <c r="CQ170" s="12" t="n"/>
      <c r="CR170" s="12" t="n"/>
      <c r="CS170" s="12" t="n"/>
      <c r="CT170" s="12" t="n"/>
      <c r="CU170" s="12" t="n"/>
      <c r="CV170" s="12" t="n"/>
      <c r="CW170" s="12" t="n"/>
      <c r="CX170" s="12" t="n"/>
      <c r="CY170" s="12" t="n"/>
    </row>
    <row r="171">
      <c r="C171" s="14" t="inlineStr">
        <is>
          <t>Intangibles</t>
        </is>
      </c>
      <c r="D171" s="46" t="n"/>
      <c r="E171" s="46" t="n"/>
      <c r="F171" s="46" t="n"/>
      <c r="G171" s="46" t="n"/>
      <c r="H171" s="12" t="n"/>
      <c r="I171" s="46">
        <f>'Inputs (2)'!D25</f>
        <v>2930</v>
      </c>
      <c r="J171" s="46">
        <f>'Inputs (2)'!E25</f>
        <v>2849</v>
      </c>
      <c r="K171" s="46">
        <f>'Inputs (2)'!F25</f>
        <v>2768</v>
      </c>
      <c r="L171" s="46">
        <f>'Inputs (2)'!G25</f>
        <v>2706</v>
      </c>
      <c r="M171" s="12">
        <f>'Inputs (2)'!H25</f>
        <v>2706</v>
      </c>
      <c r="N171" s="46">
        <f>'Inputs (2)'!I25</f>
        <v>2644</v>
      </c>
      <c r="O171" s="46">
        <f>'Inputs (2)'!J25</f>
        <v>2584</v>
      </c>
      <c r="P171" s="46">
        <f>'Inputs (2)'!K25</f>
        <v>2521</v>
      </c>
      <c r="Q171" s="46">
        <f>'Inputs (2)'!L25</f>
        <v>2459</v>
      </c>
      <c r="R171" s="12">
        <f>'Inputs (2)'!M25</f>
        <v>2459</v>
      </c>
      <c r="S171" s="46">
        <f>'Inputs (2)'!N25</f>
        <v>2397</v>
      </c>
      <c r="T171" s="46">
        <f>'Inputs (2)'!O25</f>
        <v>2336</v>
      </c>
      <c r="U171" s="46">
        <f>'Inputs (2)'!P25</f>
        <v>2274</v>
      </c>
      <c r="V171" s="46">
        <f>'Inputs (2)'!Q25</f>
        <v>2212</v>
      </c>
      <c r="W171" s="12">
        <f>'Inputs (2)'!R25</f>
        <v>2212</v>
      </c>
      <c r="X171" s="46">
        <f>'Inputs (2)'!S25</f>
        <v>2151</v>
      </c>
      <c r="Y171" s="46">
        <f>'Inputs (2)'!T25</f>
        <v>2040</v>
      </c>
      <c r="Z171" s="46">
        <f>'Inputs (2)'!U25</f>
        <v>1979</v>
      </c>
      <c r="AA171" s="46">
        <f>'Inputs (2)'!V25</f>
        <v>2015</v>
      </c>
      <c r="AB171" s="12">
        <f>'Inputs (2)'!W25</f>
        <v>2015</v>
      </c>
      <c r="AC171" s="46">
        <f>'Inputs (2)'!X25</f>
        <v>1952</v>
      </c>
      <c r="AD171" s="46">
        <f>'Inputs (2)'!Y25</f>
        <v>2013</v>
      </c>
      <c r="AE171" s="46">
        <f>'Inputs (2)'!Z25</f>
        <v>1943</v>
      </c>
      <c r="AF171" s="46">
        <f>'Inputs (2)'!AA25</f>
        <v>1887</v>
      </c>
      <c r="AG171" s="12">
        <f>'Inputs (2)'!AB25</f>
        <v>1887</v>
      </c>
      <c r="AH171" s="12">
        <f>'Inputs (2)'!AC25</f>
        <v>1837</v>
      </c>
      <c r="AI171" s="12">
        <f>'Inputs (2)'!AD25</f>
        <v>1787</v>
      </c>
      <c r="AJ171" s="12">
        <f>AI171</f>
        <v>1787</v>
      </c>
      <c r="AK171" s="12">
        <f>AJ171</f>
        <v>1787</v>
      </c>
      <c r="AL171" s="12">
        <f>AK171</f>
        <v>1787</v>
      </c>
      <c r="AM171" s="16">
        <f>AL171</f>
        <v>1787</v>
      </c>
      <c r="AN171" s="12">
        <f>AM171</f>
        <v>1787</v>
      </c>
      <c r="AO171" s="12">
        <f>AN171</f>
        <v>1787</v>
      </c>
      <c r="AP171" s="12">
        <f>AO171</f>
        <v>1787</v>
      </c>
      <c r="AQ171" s="12">
        <f>AP171</f>
        <v>1787</v>
      </c>
      <c r="AR171" s="16">
        <f>AQ171</f>
        <v>1787</v>
      </c>
      <c r="AS171" s="12">
        <f>AR171</f>
        <v>1787</v>
      </c>
      <c r="AT171" s="12">
        <f>AS171</f>
        <v>1787</v>
      </c>
      <c r="AU171" s="12">
        <f>AT171</f>
        <v>1787</v>
      </c>
      <c r="AV171" s="12">
        <f>AU171</f>
        <v>1787</v>
      </c>
      <c r="AW171" s="16">
        <f>AV171</f>
        <v>1787</v>
      </c>
      <c r="AX171" s="12">
        <f>AW171</f>
        <v>1787</v>
      </c>
      <c r="AY171" s="12">
        <f>AX171</f>
        <v>1787</v>
      </c>
      <c r="AZ171" s="12">
        <f>AY171</f>
        <v>1787</v>
      </c>
      <c r="BA171" s="12">
        <f>AZ171</f>
        <v>1787</v>
      </c>
      <c r="BB171" s="16">
        <f>BA171</f>
        <v>1787</v>
      </c>
      <c r="BC171" s="12">
        <f>BB171</f>
        <v>1787</v>
      </c>
      <c r="BD171" s="12">
        <f>BC171</f>
        <v>1787</v>
      </c>
      <c r="BE171" s="12">
        <f>BD171</f>
        <v>1787</v>
      </c>
      <c r="BF171" s="12">
        <f>BE171</f>
        <v>1787</v>
      </c>
      <c r="BH171" s="12" t="n"/>
      <c r="BI171" s="12" t="n"/>
      <c r="BJ171" s="12" t="n"/>
      <c r="BK171" s="12" t="n"/>
      <c r="BM171" s="12" t="n"/>
      <c r="BN171" s="12" t="n"/>
      <c r="BO171" s="12" t="n"/>
      <c r="BP171" s="12" t="n"/>
      <c r="BR171" s="12" t="n"/>
      <c r="BS171" s="12" t="n"/>
      <c r="BT171" s="12" t="n"/>
      <c r="BU171" s="12" t="n"/>
      <c r="BW171" s="12" t="n"/>
      <c r="BX171" s="12" t="n"/>
      <c r="BY171" s="12" t="n"/>
      <c r="BZ171" s="12" t="n"/>
      <c r="CB171" s="12" t="n"/>
      <c r="CC171" s="12" t="n"/>
      <c r="CD171" s="12" t="n"/>
      <c r="CE171" s="12" t="n"/>
      <c r="CG171" s="12" t="n"/>
      <c r="CH171" s="12" t="n"/>
      <c r="CI171" s="12" t="n"/>
      <c r="CJ171" s="12" t="n"/>
      <c r="CL171" s="12" t="n"/>
      <c r="CM171" s="12" t="n"/>
      <c r="CN171" s="12" t="n"/>
      <c r="CO171" s="12" t="n"/>
      <c r="CQ171" s="12" t="n"/>
      <c r="CR171" s="12" t="n"/>
      <c r="CS171" s="12" t="n"/>
      <c r="CT171" s="12" t="n"/>
      <c r="CV171" s="12" t="n"/>
      <c r="CW171" s="12" t="n"/>
      <c r="CX171" s="12" t="n"/>
      <c r="CY171" s="12" t="n"/>
    </row>
    <row r="172" hidden="1" outlineLevel="1">
      <c r="C172" s="57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  <c r="AL172" s="12" t="n"/>
      <c r="AM172" s="12" t="n"/>
      <c r="AN172" s="12" t="n"/>
      <c r="AO172" s="12" t="n"/>
      <c r="AP172" s="12" t="n"/>
      <c r="AQ172" s="12" t="n"/>
      <c r="AR172" s="12" t="n"/>
      <c r="AS172" s="12" t="n"/>
      <c r="AT172" s="12" t="n"/>
      <c r="AU172" s="12" t="n"/>
      <c r="AV172" s="12" t="n"/>
      <c r="AW172" s="12" t="n"/>
      <c r="AX172" s="12" t="n"/>
      <c r="AY172" s="12" t="n"/>
      <c r="AZ172" s="12" t="n"/>
      <c r="BA172" s="12" t="n"/>
      <c r="BB172" s="12" t="n"/>
      <c r="BC172" s="12" t="n"/>
      <c r="BD172" s="12" t="n"/>
      <c r="BE172" s="12" t="n"/>
      <c r="BF172" s="12" t="n"/>
      <c r="BG172" s="12" t="n"/>
      <c r="BH172" s="12" t="n"/>
      <c r="BI172" s="12" t="n"/>
      <c r="BJ172" s="12" t="n"/>
      <c r="BK172" s="12" t="n"/>
      <c r="BL172" s="12" t="n"/>
      <c r="BM172" s="12" t="n"/>
      <c r="BN172" s="12" t="n"/>
      <c r="BO172" s="12" t="n"/>
      <c r="BP172" s="12" t="n"/>
      <c r="BQ172" s="12" t="n"/>
      <c r="BR172" s="12" t="n"/>
      <c r="BS172" s="12" t="n"/>
      <c r="BT172" s="12" t="n"/>
      <c r="BU172" s="12" t="n"/>
      <c r="BV172" s="12" t="n"/>
      <c r="BW172" s="12" t="n"/>
      <c r="BX172" s="12" t="n"/>
      <c r="BY172" s="12" t="n"/>
      <c r="BZ172" s="12" t="n"/>
      <c r="CA172" s="12" t="n"/>
      <c r="CB172" s="12" t="n"/>
      <c r="CC172" s="12" t="n"/>
      <c r="CD172" s="12" t="n"/>
      <c r="CE172" s="12" t="n"/>
      <c r="CF172" s="12" t="n"/>
      <c r="CG172" s="12" t="n"/>
      <c r="CH172" s="12" t="n"/>
      <c r="CI172" s="12" t="n"/>
      <c r="CJ172" s="12" t="n"/>
      <c r="CK172" s="12" t="n"/>
      <c r="CL172" s="12" t="n"/>
      <c r="CM172" s="12" t="n"/>
      <c r="CN172" s="12" t="n"/>
      <c r="CO172" s="12" t="n"/>
      <c r="CP172" s="12" t="n"/>
      <c r="CQ172" s="12" t="n"/>
      <c r="CR172" s="12" t="n"/>
      <c r="CS172" s="12" t="n"/>
      <c r="CT172" s="12" t="n"/>
      <c r="CU172" s="12" t="n"/>
      <c r="CV172" s="12" t="n"/>
      <c r="CW172" s="12" t="n"/>
      <c r="CX172" s="12" t="n"/>
      <c r="CY172" s="12" t="n"/>
    </row>
    <row r="173" hidden="1" outlineLevel="1">
      <c r="C173" s="57" t="inlineStr">
        <is>
          <t>Purchase of intangible assets</t>
        </is>
      </c>
      <c r="D173" s="12" t="n"/>
      <c r="E173" s="12" t="n"/>
      <c r="F173" s="12" t="n"/>
      <c r="G173" s="12" t="n"/>
      <c r="H173" s="12" t="n"/>
      <c r="I173" s="12" t="str">
        <f>IF(COUNT(H171)=0,"",I171-H171-I75)</f>
        <v/>
      </c>
      <c r="J173" s="12">
        <f>J171-I171-J75</f>
        <v>-81</v>
      </c>
      <c r="K173" s="12">
        <f>K171-J171-K75</f>
        <v>-81</v>
      </c>
      <c r="L173" s="12">
        <f>L171-K171-L75</f>
        <v>-62</v>
      </c>
      <c r="M173" s="12" t="n"/>
      <c r="N173" s="12">
        <f>N171-M171-N75</f>
        <v>-62</v>
      </c>
      <c r="O173" s="12">
        <f>O171-N171-O75</f>
        <v>-60</v>
      </c>
      <c r="P173" s="12">
        <f>P171-O171-P75</f>
        <v>-63</v>
      </c>
      <c r="Q173" s="12">
        <f>Q171-P171-Q75</f>
        <v>-62</v>
      </c>
      <c r="R173" s="12" t="n"/>
      <c r="S173" s="12">
        <f>S171-R171-S75</f>
        <v>-62</v>
      </c>
      <c r="T173" s="12">
        <f>T171-S171-T75</f>
        <v>-61</v>
      </c>
      <c r="U173" s="12">
        <f>U171-T171-U75</f>
        <v>-62</v>
      </c>
      <c r="V173" s="12">
        <f>V171-U171-V75</f>
        <v>-62</v>
      </c>
      <c r="W173" s="12" t="n"/>
      <c r="X173" s="12">
        <f>X171-W171-X75</f>
        <v>-61</v>
      </c>
      <c r="Y173" s="12">
        <f>Y171-X171-Y75</f>
        <v>-111</v>
      </c>
      <c r="Z173" s="12">
        <f>Z171-Y171-Z75</f>
        <v>-61</v>
      </c>
      <c r="AA173" s="12">
        <f>AA171-Z171-AA75</f>
        <v>36</v>
      </c>
      <c r="AB173" s="12" t="n"/>
      <c r="AC173" s="12">
        <f>AC171-AB171-AC75</f>
        <v>-63</v>
      </c>
      <c r="AD173" s="12">
        <f>AD171-AC171-AD75</f>
        <v>61</v>
      </c>
      <c r="AE173" s="12">
        <f>AE171-AD171-AE75</f>
        <v>-70</v>
      </c>
      <c r="AF173" s="12">
        <f>AF171-AE171-AF75</f>
        <v>-56</v>
      </c>
      <c r="AG173" s="12" t="n"/>
      <c r="AH173" s="11">
        <f>AH171-AG171-AH75</f>
        <v>-50</v>
      </c>
      <c r="AI173" s="11">
        <f>AI171-AH171-AI75</f>
        <v>-50</v>
      </c>
      <c r="AJ173" s="11" t="n"/>
      <c r="AK173" s="11" t="n"/>
      <c r="AL173" s="12" t="n"/>
      <c r="AM173" s="11" t="n"/>
      <c r="AN173" s="11" t="n"/>
      <c r="AO173" s="11" t="n"/>
      <c r="AP173" s="11" t="n"/>
      <c r="AQ173" s="12" t="n"/>
      <c r="AR173" s="11" t="n"/>
      <c r="AS173" s="11" t="n"/>
      <c r="AT173" s="11" t="n"/>
      <c r="AU173" s="11" t="n"/>
      <c r="AV173" s="12" t="n"/>
      <c r="AW173" s="11" t="n"/>
      <c r="AX173" s="11" t="n"/>
      <c r="AY173" s="11" t="n"/>
      <c r="AZ173" s="11" t="n"/>
      <c r="BA173" s="12" t="n"/>
      <c r="BB173" s="11" t="n"/>
      <c r="BC173" s="11" t="n"/>
      <c r="BD173" s="11" t="n"/>
      <c r="BE173" s="11" t="n"/>
      <c r="BF173" s="12" t="n"/>
      <c r="BG173" s="11" t="n"/>
      <c r="BH173" s="11" t="n"/>
      <c r="BI173" s="11" t="n"/>
      <c r="BJ173" s="11" t="n"/>
      <c r="BK173" s="12" t="n"/>
      <c r="BL173" s="11" t="n"/>
      <c r="BM173" s="11" t="n"/>
      <c r="BN173" s="11" t="n"/>
      <c r="BO173" s="11" t="n"/>
      <c r="BP173" s="12" t="n"/>
      <c r="BQ173" s="11" t="n"/>
      <c r="BR173" s="11" t="n"/>
      <c r="BS173" s="11" t="n"/>
      <c r="BT173" s="11" t="n"/>
      <c r="BU173" s="12" t="n"/>
      <c r="BV173" s="11" t="n"/>
      <c r="BW173" s="11" t="n"/>
      <c r="BX173" s="11" t="n"/>
      <c r="BY173" s="11" t="n"/>
      <c r="BZ173" s="12" t="n"/>
      <c r="CA173" s="11" t="n"/>
      <c r="CB173" s="11" t="n"/>
      <c r="CC173" s="11" t="n"/>
      <c r="CD173" s="11" t="n"/>
      <c r="CE173" s="12" t="n"/>
      <c r="CF173" s="11" t="n"/>
      <c r="CG173" s="11" t="n"/>
      <c r="CH173" s="11" t="n"/>
      <c r="CI173" s="11" t="n"/>
      <c r="CJ173" s="12" t="n"/>
      <c r="CK173" s="11" t="n"/>
      <c r="CL173" s="11" t="n"/>
      <c r="CM173" s="11" t="n"/>
      <c r="CN173" s="11" t="n"/>
      <c r="CO173" s="12" t="n"/>
      <c r="CP173" s="11" t="n"/>
      <c r="CQ173" s="11" t="n"/>
      <c r="CR173" s="11" t="n"/>
      <c r="CS173" s="11" t="n"/>
      <c r="CT173" s="12" t="n"/>
      <c r="CU173" s="11" t="n"/>
      <c r="CV173" s="11" t="n"/>
      <c r="CW173" s="11" t="n"/>
      <c r="CX173" s="11" t="n"/>
      <c r="CY173" s="12" t="n"/>
    </row>
    <row r="174" hidden="1" outlineLevel="1">
      <c r="C174" s="57" t="inlineStr">
        <is>
          <t>Amortization (enter as -)</t>
        </is>
      </c>
      <c r="D174" s="12" t="n"/>
      <c r="E174" s="12" t="n"/>
      <c r="F174" s="12" t="n"/>
      <c r="G174" s="12" t="n"/>
      <c r="H174" s="12" t="n"/>
      <c r="I174" s="12">
        <f>I74</f>
        <v>0</v>
      </c>
      <c r="J174" s="12">
        <f>J74</f>
        <v>0</v>
      </c>
      <c r="K174" s="12">
        <f>K74</f>
        <v>0</v>
      </c>
      <c r="L174" s="12">
        <f>L74</f>
        <v>0</v>
      </c>
      <c r="M174" s="12" t="n"/>
      <c r="N174" s="12">
        <f>N74</f>
        <v>0</v>
      </c>
      <c r="O174" s="12">
        <f>O74</f>
        <v>0</v>
      </c>
      <c r="P174" s="12">
        <f>P74</f>
        <v>0</v>
      </c>
      <c r="Q174" s="12">
        <f>Q74</f>
        <v>0</v>
      </c>
      <c r="R174" s="12" t="n"/>
      <c r="S174" s="12">
        <f>S74</f>
        <v>0</v>
      </c>
      <c r="T174" s="12">
        <f>T74</f>
        <v>0</v>
      </c>
      <c r="U174" s="12">
        <f>U74</f>
        <v>0</v>
      </c>
      <c r="V174" s="12">
        <f>V74</f>
        <v>0</v>
      </c>
      <c r="W174" s="12" t="n"/>
      <c r="X174" s="12">
        <f>X74</f>
        <v>0</v>
      </c>
      <c r="Y174" s="12">
        <f>Y74</f>
        <v>0</v>
      </c>
      <c r="Z174" s="12">
        <f>Z74</f>
        <v>0</v>
      </c>
      <c r="AA174" s="12">
        <f>AA74</f>
        <v>0</v>
      </c>
      <c r="AB174" s="12" t="n"/>
      <c r="AC174" s="12">
        <f>AC74</f>
        <v>0</v>
      </c>
      <c r="AD174" s="12">
        <f>AD74</f>
        <v>0</v>
      </c>
      <c r="AE174" s="12">
        <f>AE74</f>
        <v>0</v>
      </c>
      <c r="AF174" s="12">
        <f>AF74</f>
        <v>0</v>
      </c>
      <c r="AG174" s="12" t="n"/>
      <c r="AH174" s="12">
        <f>AH74</f>
        <v>0</v>
      </c>
      <c r="AI174" s="11">
        <f>AI74</f>
        <v>0</v>
      </c>
      <c r="AJ174" s="11" t="n"/>
      <c r="AK174" s="11" t="n"/>
      <c r="AL174" s="12" t="n"/>
      <c r="AM174" s="11" t="n"/>
      <c r="AN174" s="11" t="n"/>
      <c r="AO174" s="11" t="n"/>
      <c r="AP174" s="11" t="n"/>
      <c r="AQ174" s="12" t="n"/>
      <c r="AR174" s="11" t="n"/>
      <c r="AS174" s="11" t="n"/>
      <c r="AT174" s="11" t="n"/>
      <c r="AU174" s="11" t="n"/>
      <c r="AV174" s="12" t="n"/>
      <c r="AW174" s="11" t="n"/>
      <c r="AX174" s="11" t="n"/>
      <c r="AY174" s="11" t="n"/>
      <c r="AZ174" s="11" t="n"/>
      <c r="BA174" s="12" t="n"/>
      <c r="BB174" s="11" t="n"/>
      <c r="BC174" s="11" t="n"/>
      <c r="BD174" s="11" t="n"/>
      <c r="BE174" s="11" t="n"/>
      <c r="BF174" s="12" t="n"/>
      <c r="BG174" s="11" t="n"/>
      <c r="BH174" s="11" t="n"/>
      <c r="BI174" s="11" t="n"/>
      <c r="BJ174" s="11" t="n"/>
      <c r="BK174" s="12" t="n"/>
      <c r="BL174" s="11" t="n"/>
      <c r="BM174" s="11" t="n"/>
      <c r="BN174" s="11" t="n"/>
      <c r="BO174" s="11" t="n"/>
      <c r="BP174" s="12" t="n"/>
      <c r="BQ174" s="11" t="n"/>
      <c r="BR174" s="11" t="n"/>
      <c r="BS174" s="11" t="n"/>
      <c r="BT174" s="11" t="n"/>
      <c r="BU174" s="12" t="n"/>
      <c r="BV174" s="11" t="n"/>
      <c r="BW174" s="11" t="n"/>
      <c r="BX174" s="11" t="n"/>
      <c r="BY174" s="11" t="n"/>
      <c r="BZ174" s="12" t="n"/>
      <c r="CA174" s="11" t="n"/>
      <c r="CB174" s="11" t="n"/>
      <c r="CC174" s="11" t="n"/>
      <c r="CD174" s="11" t="n"/>
      <c r="CE174" s="12" t="n"/>
      <c r="CF174" s="11" t="n"/>
      <c r="CG174" s="11" t="n"/>
      <c r="CH174" s="11" t="n"/>
      <c r="CI174" s="11" t="n"/>
      <c r="CJ174" s="12" t="n"/>
      <c r="CK174" s="11" t="n"/>
      <c r="CL174" s="11" t="n"/>
      <c r="CM174" s="11" t="n"/>
      <c r="CN174" s="11" t="n"/>
      <c r="CO174" s="12" t="n"/>
      <c r="CP174" s="11" t="n"/>
      <c r="CQ174" s="11" t="n"/>
      <c r="CR174" s="11" t="n"/>
      <c r="CS174" s="11" t="n"/>
      <c r="CT174" s="12" t="n"/>
      <c r="CU174" s="11" t="n"/>
      <c r="CV174" s="11" t="n"/>
      <c r="CW174" s="11" t="n"/>
      <c r="CX174" s="11" t="n"/>
      <c r="CY174" s="12" t="n"/>
    </row>
    <row r="175" hidden="1" outlineLevel="1">
      <c r="C175" s="57" t="inlineStr">
        <is>
          <t>Intangibles</t>
        </is>
      </c>
      <c r="D175" s="12" t="n"/>
      <c r="E175" s="12" t="n"/>
      <c r="F175" s="12" t="n"/>
      <c r="G175" s="12" t="n"/>
      <c r="H175" s="12" t="n"/>
      <c r="I175" s="12">
        <f>I171</f>
        <v>2930</v>
      </c>
      <c r="J175" s="12">
        <f>J171</f>
        <v>2849</v>
      </c>
      <c r="K175" s="12">
        <f>K171</f>
        <v>2768</v>
      </c>
      <c r="L175" s="12">
        <f>L171</f>
        <v>2706</v>
      </c>
      <c r="M175" s="12">
        <f>M171</f>
        <v>2706</v>
      </c>
      <c r="N175" s="12">
        <f>N171</f>
        <v>2644</v>
      </c>
      <c r="O175" s="12">
        <f>O171</f>
        <v>2584</v>
      </c>
      <c r="P175" s="12">
        <f>P171</f>
        <v>2521</v>
      </c>
      <c r="Q175" s="12">
        <f>Q171</f>
        <v>2459</v>
      </c>
      <c r="R175" s="12">
        <f>R171</f>
        <v>2459</v>
      </c>
      <c r="S175" s="12">
        <f>S171</f>
        <v>2397</v>
      </c>
      <c r="T175" s="12">
        <f>T171</f>
        <v>2336</v>
      </c>
      <c r="U175" s="12">
        <f>U171</f>
        <v>2274</v>
      </c>
      <c r="V175" s="12">
        <f>V171</f>
        <v>2212</v>
      </c>
      <c r="W175" s="12">
        <f>W171</f>
        <v>2212</v>
      </c>
      <c r="X175" s="12">
        <f>X171</f>
        <v>2151</v>
      </c>
      <c r="Y175" s="12">
        <f>Y171</f>
        <v>2040</v>
      </c>
      <c r="Z175" s="12">
        <f>Z171</f>
        <v>1979</v>
      </c>
      <c r="AA175" s="12">
        <f>AA171</f>
        <v>2015</v>
      </c>
      <c r="AB175" s="12">
        <f>AB171</f>
        <v>2015</v>
      </c>
      <c r="AC175" s="12">
        <f>AC171</f>
        <v>1952</v>
      </c>
      <c r="AD175" s="12">
        <f>AD171</f>
        <v>2013</v>
      </c>
      <c r="AE175" s="12">
        <f>AE171</f>
        <v>1943</v>
      </c>
      <c r="AF175" s="12">
        <f>AF171</f>
        <v>1887</v>
      </c>
      <c r="AG175" s="12">
        <f>AG171</f>
        <v>1887</v>
      </c>
      <c r="AH175" s="12">
        <f>AH171</f>
        <v>1837</v>
      </c>
      <c r="AI175" s="12">
        <f>AI171</f>
        <v>1787</v>
      </c>
      <c r="AJ175" s="12">
        <f>AJ171</f>
        <v>1787</v>
      </c>
      <c r="AK175" s="12">
        <f>AK171</f>
        <v>1787</v>
      </c>
      <c r="AL175" s="12" t="n"/>
      <c r="AM175" s="12">
        <f>AM171</f>
        <v>1787</v>
      </c>
      <c r="AN175" s="12">
        <f>AN171</f>
        <v>1787</v>
      </c>
      <c r="AO175" s="12">
        <f>AO171</f>
        <v>1787</v>
      </c>
      <c r="AP175" s="12">
        <f>AP171</f>
        <v>1787</v>
      </c>
      <c r="AQ175" s="12" t="n"/>
      <c r="AR175" s="12">
        <f>AR171</f>
        <v>1787</v>
      </c>
      <c r="AS175" s="12">
        <f>AS171</f>
        <v>1787</v>
      </c>
      <c r="AT175" s="12">
        <f>AT171</f>
        <v>1787</v>
      </c>
      <c r="AU175" s="12">
        <f>AU171</f>
        <v>1787</v>
      </c>
      <c r="AV175" s="12" t="n"/>
      <c r="AW175" s="12">
        <f>AW171</f>
        <v>1787</v>
      </c>
      <c r="AX175" s="12">
        <f>AX171</f>
        <v>1787</v>
      </c>
      <c r="AY175" s="12">
        <f>AY171</f>
        <v>1787</v>
      </c>
      <c r="AZ175" s="12">
        <f>AZ171</f>
        <v>1787</v>
      </c>
      <c r="BA175" s="12" t="n"/>
      <c r="BB175" s="12">
        <f>BB171</f>
        <v>1787</v>
      </c>
      <c r="BC175" s="12">
        <f>BC171</f>
        <v>1787</v>
      </c>
      <c r="BD175" s="12">
        <f>BD171</f>
        <v>1787</v>
      </c>
      <c r="BE175" s="12">
        <f>BE171</f>
        <v>1787</v>
      </c>
      <c r="BF175" s="12" t="n"/>
      <c r="BG175" s="12" t="n"/>
      <c r="BH175" s="12" t="n"/>
      <c r="BI175" s="12" t="n"/>
      <c r="BJ175" s="12" t="n"/>
      <c r="BK175" s="12" t="n"/>
      <c r="BL175" s="12" t="n"/>
      <c r="BM175" s="12" t="n"/>
      <c r="BN175" s="12" t="n"/>
      <c r="BO175" s="12" t="n"/>
      <c r="BP175" s="12" t="n"/>
      <c r="BQ175" s="12" t="n"/>
      <c r="BR175" s="12" t="n"/>
      <c r="BS175" s="12" t="n"/>
      <c r="BT175" s="12" t="n"/>
      <c r="BU175" s="12" t="n"/>
      <c r="BV175" s="12" t="n"/>
      <c r="BW175" s="12" t="n"/>
      <c r="BX175" s="12" t="n"/>
      <c r="BY175" s="12" t="n"/>
      <c r="BZ175" s="12" t="n"/>
      <c r="CA175" s="12" t="n"/>
      <c r="CB175" s="12" t="n"/>
      <c r="CC175" s="12" t="n"/>
      <c r="CD175" s="12" t="n"/>
      <c r="CE175" s="12" t="n"/>
      <c r="CF175" s="12" t="n"/>
      <c r="CG175" s="12" t="n"/>
      <c r="CH175" s="12" t="n"/>
      <c r="CI175" s="12" t="n"/>
      <c r="CJ175" s="12" t="n"/>
      <c r="CK175" s="12" t="n"/>
      <c r="CL175" s="12" t="n"/>
      <c r="CM175" s="12" t="n"/>
      <c r="CN175" s="12" t="n"/>
      <c r="CO175" s="12" t="n"/>
      <c r="CP175" s="12" t="n"/>
      <c r="CQ175" s="12" t="n"/>
      <c r="CR175" s="12" t="n"/>
      <c r="CS175" s="12" t="n"/>
      <c r="CT175" s="12" t="n"/>
      <c r="CU175" s="12" t="n"/>
      <c r="CV175" s="12" t="n"/>
      <c r="CW175" s="12" t="n"/>
      <c r="CX175" s="12" t="n"/>
      <c r="CY175" s="12" t="n"/>
    </row>
    <row r="176" hidden="1" outlineLevel="1">
      <c r="C176" s="57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  <c r="AL176" s="12" t="n"/>
      <c r="AM176" s="12" t="n"/>
      <c r="AN176" s="12" t="n"/>
      <c r="AO176" s="12" t="n"/>
      <c r="AP176" s="12" t="n"/>
      <c r="AQ176" s="12" t="n"/>
      <c r="AR176" s="12" t="n"/>
      <c r="AS176" s="12" t="n"/>
      <c r="AT176" s="12" t="n"/>
      <c r="AU176" s="12" t="n"/>
      <c r="AV176" s="12" t="n"/>
      <c r="AW176" s="12" t="n"/>
      <c r="AX176" s="12" t="n"/>
      <c r="AY176" s="12" t="n"/>
      <c r="AZ176" s="12" t="n"/>
      <c r="BA176" s="12" t="n"/>
      <c r="BB176" s="12" t="n"/>
      <c r="BC176" s="12" t="n"/>
      <c r="BD176" s="12" t="n"/>
      <c r="BE176" s="12" t="n"/>
      <c r="BF176" s="12" t="n"/>
      <c r="BG176" s="12" t="n"/>
      <c r="BH176" s="12" t="n"/>
      <c r="BI176" s="12" t="n"/>
      <c r="BJ176" s="12" t="n"/>
      <c r="BK176" s="12" t="n"/>
      <c r="BL176" s="12" t="n"/>
      <c r="BM176" s="12" t="n"/>
      <c r="BN176" s="12" t="n"/>
      <c r="BO176" s="12" t="n"/>
      <c r="BP176" s="12" t="n"/>
      <c r="BQ176" s="12" t="n"/>
      <c r="BR176" s="12" t="n"/>
      <c r="BS176" s="12" t="n"/>
      <c r="BT176" s="12" t="n"/>
      <c r="BU176" s="12" t="n"/>
      <c r="BV176" s="12" t="n"/>
      <c r="BW176" s="12" t="n"/>
      <c r="BX176" s="12" t="n"/>
      <c r="BY176" s="12" t="n"/>
      <c r="BZ176" s="12" t="n"/>
      <c r="CA176" s="12" t="n"/>
      <c r="CB176" s="12" t="n"/>
      <c r="CC176" s="12" t="n"/>
      <c r="CD176" s="12" t="n"/>
      <c r="CE176" s="12" t="n"/>
      <c r="CF176" s="12" t="n"/>
      <c r="CG176" s="12" t="n"/>
      <c r="CH176" s="12" t="n"/>
      <c r="CI176" s="12" t="n"/>
      <c r="CJ176" s="12" t="n"/>
      <c r="CK176" s="12" t="n"/>
      <c r="CL176" s="12" t="n"/>
      <c r="CM176" s="12" t="n"/>
      <c r="CN176" s="12" t="n"/>
      <c r="CO176" s="12" t="n"/>
      <c r="CP176" s="12" t="n"/>
      <c r="CQ176" s="12" t="n"/>
      <c r="CR176" s="12" t="n"/>
      <c r="CS176" s="12" t="n"/>
      <c r="CT176" s="12" t="n"/>
      <c r="CU176" s="12" t="n"/>
      <c r="CV176" s="12" t="n"/>
      <c r="CW176" s="12" t="n"/>
      <c r="CX176" s="12" t="n"/>
      <c r="CY176" s="12" t="n"/>
    </row>
    <row r="177" hidden="1" outlineLevel="1">
      <c r="C177" s="57" t="inlineStr">
        <is>
          <t>Definir % do D&amp;A No PPE and Intagibles</t>
        </is>
      </c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  <c r="BJ177" s="12" t="n"/>
      <c r="BK177" s="12" t="n"/>
      <c r="BL177" s="12" t="n"/>
      <c r="BM177" s="12" t="n"/>
      <c r="BN177" s="12" t="n"/>
      <c r="BO177" s="12" t="n"/>
      <c r="BP177" s="12" t="n"/>
      <c r="BQ177" s="12" t="n"/>
      <c r="BR177" s="12" t="n"/>
      <c r="BS177" s="12" t="n"/>
      <c r="BT177" s="12" t="n"/>
      <c r="BU177" s="12" t="n"/>
      <c r="BV177" s="12" t="n"/>
      <c r="BW177" s="12" t="n"/>
      <c r="BX177" s="12" t="n"/>
      <c r="BY177" s="12" t="n"/>
      <c r="BZ177" s="12" t="n"/>
      <c r="CA177" s="12" t="n"/>
      <c r="CB177" s="12" t="n"/>
      <c r="CC177" s="12" t="n"/>
      <c r="CD177" s="12" t="n"/>
      <c r="CE177" s="12" t="n"/>
      <c r="CF177" s="12" t="n"/>
      <c r="CG177" s="12" t="n"/>
      <c r="CH177" s="12" t="n"/>
      <c r="CI177" s="12" t="n"/>
      <c r="CJ177" s="12" t="n"/>
      <c r="CK177" s="12" t="n"/>
      <c r="CL177" s="12" t="n"/>
      <c r="CM177" s="12" t="n"/>
      <c r="CN177" s="12" t="n"/>
      <c r="CO177" s="12" t="n"/>
      <c r="CP177" s="12" t="n"/>
      <c r="CQ177" s="12" t="n"/>
      <c r="CR177" s="12" t="n"/>
      <c r="CS177" s="12" t="n"/>
      <c r="CT177" s="12" t="n"/>
      <c r="CU177" s="12" t="n"/>
      <c r="CV177" s="12" t="n"/>
      <c r="CW177" s="12" t="n"/>
      <c r="CX177" s="12" t="n"/>
      <c r="CY177" s="12" t="n"/>
    </row>
    <row r="178" hidden="1" outlineLevel="1">
      <c r="C178" s="57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  <c r="AL178" s="12" t="n"/>
      <c r="AM178" s="12" t="n"/>
      <c r="AN178" s="12" t="n"/>
      <c r="AO178" s="12" t="n"/>
      <c r="AP178" s="12" t="n"/>
      <c r="AQ178" s="12" t="n"/>
      <c r="AR178" s="12" t="n"/>
      <c r="AS178" s="12" t="n"/>
      <c r="AT178" s="12" t="n"/>
      <c r="AU178" s="12" t="n"/>
      <c r="AV178" s="12" t="n"/>
      <c r="AW178" s="12" t="n"/>
      <c r="AX178" s="12" t="n"/>
      <c r="AY178" s="12" t="n"/>
      <c r="AZ178" s="12" t="n"/>
      <c r="BA178" s="12" t="n"/>
      <c r="BB178" s="12" t="n"/>
      <c r="BC178" s="12" t="n"/>
      <c r="BD178" s="12" t="n"/>
      <c r="BE178" s="12" t="n"/>
      <c r="BF178" s="12" t="n"/>
      <c r="BG178" s="12" t="n"/>
      <c r="BH178" s="12" t="n"/>
      <c r="BI178" s="12" t="n"/>
      <c r="BJ178" s="12" t="n"/>
      <c r="BK178" s="12" t="n"/>
      <c r="BL178" s="12" t="n"/>
      <c r="BM178" s="12" t="n"/>
      <c r="BN178" s="12" t="n"/>
      <c r="BO178" s="12" t="n"/>
      <c r="BP178" s="12" t="n"/>
      <c r="BQ178" s="12" t="n"/>
      <c r="BR178" s="12" t="n"/>
      <c r="BS178" s="12" t="n"/>
      <c r="BT178" s="12" t="n"/>
      <c r="BU178" s="12" t="n"/>
      <c r="BV178" s="12" t="n"/>
      <c r="BW178" s="12" t="n"/>
      <c r="BX178" s="12" t="n"/>
      <c r="BY178" s="12" t="n"/>
      <c r="BZ178" s="12" t="n"/>
      <c r="CA178" s="12" t="n"/>
      <c r="CB178" s="12" t="n"/>
      <c r="CC178" s="12" t="n"/>
      <c r="CD178" s="12" t="n"/>
      <c r="CE178" s="12" t="n"/>
      <c r="CF178" s="12" t="n"/>
      <c r="CG178" s="12" t="n"/>
      <c r="CH178" s="12" t="n"/>
      <c r="CI178" s="12" t="n"/>
      <c r="CJ178" s="12" t="n"/>
      <c r="CK178" s="12" t="n"/>
      <c r="CL178" s="12" t="n"/>
      <c r="CM178" s="12" t="n"/>
      <c r="CN178" s="12" t="n"/>
      <c r="CO178" s="12" t="n"/>
      <c r="CP178" s="12" t="n"/>
      <c r="CQ178" s="12" t="n"/>
      <c r="CR178" s="12" t="n"/>
      <c r="CS178" s="12" t="n"/>
      <c r="CT178" s="12" t="n"/>
      <c r="CU178" s="12" t="n"/>
      <c r="CV178" s="12" t="n"/>
      <c r="CW178" s="12" t="n"/>
      <c r="CX178" s="12" t="n"/>
      <c r="CY178" s="12" t="n"/>
    </row>
    <row r="179" hidden="1" outlineLevel="1">
      <c r="C179" s="57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  <c r="BE179" s="12" t="n"/>
      <c r="BF179" s="12" t="n"/>
      <c r="BG179" s="12" t="n"/>
      <c r="BH179" s="12" t="n"/>
      <c r="BI179" s="12" t="n"/>
      <c r="BJ179" s="12" t="n"/>
      <c r="BK179" s="12" t="n"/>
      <c r="BL179" s="12" t="n"/>
      <c r="BM179" s="12" t="n"/>
      <c r="BN179" s="12" t="n"/>
      <c r="BO179" s="12" t="n"/>
      <c r="BP179" s="12" t="n"/>
      <c r="BQ179" s="12" t="n"/>
      <c r="BR179" s="12" t="n"/>
      <c r="BS179" s="12" t="n"/>
      <c r="BT179" s="12" t="n"/>
      <c r="BU179" s="12" t="n"/>
      <c r="BV179" s="12" t="n"/>
      <c r="BW179" s="12" t="n"/>
      <c r="BX179" s="12" t="n"/>
      <c r="BY179" s="12" t="n"/>
      <c r="BZ179" s="12" t="n"/>
      <c r="CA179" s="12" t="n"/>
      <c r="CB179" s="12" t="n"/>
      <c r="CC179" s="12" t="n"/>
      <c r="CD179" s="12" t="n"/>
      <c r="CE179" s="12" t="n"/>
      <c r="CF179" s="12" t="n"/>
      <c r="CG179" s="12" t="n"/>
      <c r="CH179" s="12" t="n"/>
      <c r="CI179" s="12" t="n"/>
      <c r="CJ179" s="12" t="n"/>
      <c r="CK179" s="12" t="n"/>
      <c r="CL179" s="12" t="n"/>
      <c r="CM179" s="12" t="n"/>
      <c r="CN179" s="12" t="n"/>
      <c r="CO179" s="12" t="n"/>
      <c r="CP179" s="12" t="n"/>
      <c r="CQ179" s="12" t="n"/>
      <c r="CR179" s="12" t="n"/>
      <c r="CS179" s="12" t="n"/>
      <c r="CT179" s="12" t="n"/>
      <c r="CU179" s="12" t="n"/>
      <c r="CV179" s="12" t="n"/>
      <c r="CW179" s="12" t="n"/>
      <c r="CX179" s="12" t="n"/>
      <c r="CY179" s="12" t="n"/>
    </row>
    <row r="180" collapsed="1">
      <c r="C180" s="14" t="inlineStr">
        <is>
          <t>Other non-current assets</t>
        </is>
      </c>
      <c r="D180" s="46" t="n"/>
      <c r="E180" s="46" t="n"/>
      <c r="F180" s="46" t="n"/>
      <c r="G180" s="46" t="n"/>
      <c r="H180" s="12" t="n"/>
      <c r="I180" s="46">
        <f>'Inputs (2)'!D26</f>
        <v>6868</v>
      </c>
      <c r="J180" s="46">
        <f>'Inputs (2)'!E26</f>
        <v>7099</v>
      </c>
      <c r="K180" s="46">
        <f>'Inputs (2)'!F26</f>
        <v>6907</v>
      </c>
      <c r="L180" s="46">
        <f>'Inputs (2)'!G26</f>
        <v>7652</v>
      </c>
      <c r="M180" s="12">
        <f>'Inputs (2)'!H26</f>
        <v>7652</v>
      </c>
      <c r="N180" s="46">
        <f>'Inputs (2)'!I26</f>
        <v>7416</v>
      </c>
      <c r="O180" s="46">
        <f>'Inputs (2)'!J26</f>
        <v>7158</v>
      </c>
      <c r="P180" s="46">
        <f>'Inputs (2)'!K26</f>
        <v>7040</v>
      </c>
      <c r="Q180" s="46">
        <f>'Inputs (2)'!L26</f>
        <v>6931</v>
      </c>
      <c r="R180" s="12">
        <f>'Inputs (2)'!M26</f>
        <v>6931</v>
      </c>
      <c r="S180" s="46">
        <f>'Inputs (2)'!N26</f>
        <v>7192</v>
      </c>
      <c r="T180" s="46">
        <f>'Inputs (2)'!O26</f>
        <v>7276</v>
      </c>
      <c r="U180" s="46">
        <f>'Inputs (2)'!P26</f>
        <v>7369</v>
      </c>
      <c r="V180" s="46">
        <f>'Inputs (2)'!Q26</f>
        <v>7601</v>
      </c>
      <c r="W180" s="12">
        <f>'Inputs (2)'!R26</f>
        <v>7601</v>
      </c>
      <c r="X180" s="46">
        <f>'Inputs (2)'!S26</f>
        <v>7687</v>
      </c>
      <c r="Y180" s="46">
        <f>'Inputs (2)'!T26</f>
        <v>7808</v>
      </c>
      <c r="Z180" s="46">
        <f>'Inputs (2)'!U26</f>
        <v>7971</v>
      </c>
      <c r="AA180" s="46">
        <f>'Inputs (2)'!V26</f>
        <v>8403</v>
      </c>
      <c r="AB180" s="12">
        <f>'Inputs (2)'!W26</f>
        <v>8403</v>
      </c>
      <c r="AC180" s="46">
        <f>'Inputs (2)'!X26</f>
        <v>8559</v>
      </c>
      <c r="AD180" s="46">
        <f>'Inputs (2)'!Y26</f>
        <v>8820</v>
      </c>
      <c r="AE180" s="46">
        <f>'Inputs (2)'!Z26</f>
        <v>8949</v>
      </c>
      <c r="AF180" s="46">
        <f>'Inputs (2)'!AA26</f>
        <v>9427</v>
      </c>
      <c r="AG180" s="12">
        <f>'Inputs (2)'!AB26</f>
        <v>9427</v>
      </c>
      <c r="AH180" s="12">
        <f>'Inputs (2)'!AC26</f>
        <v>6930</v>
      </c>
      <c r="AI180" s="12">
        <f>'Inputs (2)'!AD26</f>
        <v>7160</v>
      </c>
      <c r="AJ180" s="12">
        <f>AI180</f>
        <v>7160</v>
      </c>
      <c r="AK180" s="12">
        <f>AJ180</f>
        <v>7160</v>
      </c>
      <c r="AL180" s="12">
        <f>AK180</f>
        <v>7160</v>
      </c>
      <c r="AM180" s="12">
        <f>AL180</f>
        <v>7160</v>
      </c>
      <c r="AN180" s="12">
        <f>AM180</f>
        <v>7160</v>
      </c>
      <c r="AO180" s="12">
        <f>AN180</f>
        <v>7160</v>
      </c>
      <c r="AP180" s="12">
        <f>AO180</f>
        <v>7160</v>
      </c>
      <c r="AQ180" s="12">
        <f>AP180</f>
        <v>7160</v>
      </c>
      <c r="AR180" s="12">
        <f>AQ180</f>
        <v>7160</v>
      </c>
      <c r="AS180" s="12">
        <f>AR180</f>
        <v>7160</v>
      </c>
      <c r="AT180" s="12">
        <f>AS180</f>
        <v>7160</v>
      </c>
      <c r="AU180" s="12">
        <f>AT180</f>
        <v>7160</v>
      </c>
      <c r="AV180" s="12">
        <f>AU180</f>
        <v>7160</v>
      </c>
      <c r="AW180" s="12">
        <f>AV180</f>
        <v>7160</v>
      </c>
      <c r="AX180" s="12">
        <f>AW180</f>
        <v>7160</v>
      </c>
      <c r="AY180" s="12">
        <f>AX180</f>
        <v>7160</v>
      </c>
      <c r="AZ180" s="12">
        <f>AY180</f>
        <v>7160</v>
      </c>
      <c r="BA180" s="12">
        <f>AZ180</f>
        <v>7160</v>
      </c>
      <c r="BB180" s="12">
        <f>BA180</f>
        <v>7160</v>
      </c>
      <c r="BC180" s="12">
        <f>BB180</f>
        <v>7160</v>
      </c>
      <c r="BD180" s="12">
        <f>BC180</f>
        <v>7160</v>
      </c>
      <c r="BE180" s="12">
        <f>BD180</f>
        <v>7160</v>
      </c>
      <c r="BF180" s="12">
        <f>BE180</f>
        <v>7160</v>
      </c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hidden="1" outlineLevel="1">
      <c r="C181" s="59" t="inlineStr">
        <is>
          <t>%(Var.)</t>
        </is>
      </c>
      <c r="D181" s="12" t="n"/>
      <c r="E181" s="40" t="n"/>
      <c r="F181" s="40" t="n"/>
      <c r="G181" s="40" t="n"/>
      <c r="H181" s="12" t="n"/>
      <c r="I181" s="40" t="str">
        <f>""</f>
        <v/>
      </c>
      <c r="J181" s="40">
        <f>IF(I180=0,"",J180/I180-1)</f>
        <v>0.0336342457775189</v>
      </c>
      <c r="K181" s="40">
        <f>IF(J180=0,"",K180/J180-1)</f>
        <v>-0.0270460628257501</v>
      </c>
      <c r="L181" s="40">
        <f>IF(K180=0,"",L180/K180-1)</f>
        <v>0.107861589691617</v>
      </c>
      <c r="M181" s="12">
        <f>IF(L180=0,"",M180/L180-1)</f>
        <v>0</v>
      </c>
      <c r="N181" s="40">
        <f>IF(M180=0,"",N180/M180-1)</f>
        <v>-0.0308416100365917</v>
      </c>
      <c r="O181" s="40">
        <f>IF(N180=0,"",O180/N180-1)</f>
        <v>-0.0347896440129449</v>
      </c>
      <c r="P181" s="40">
        <f>IF(O180=0,"",P180/O180-1)</f>
        <v>-0.0164850516904164</v>
      </c>
      <c r="Q181" s="40">
        <f>IF(P180=0,"",Q180/P180-1)</f>
        <v>-0.0154829545454546</v>
      </c>
      <c r="R181" s="12">
        <f>IF(Q180=0,"",R180/Q180-1)</f>
        <v>0</v>
      </c>
      <c r="S181" s="40">
        <f>IF(R180=0,"",S180/R180-1)</f>
        <v>0.0376569037656904</v>
      </c>
      <c r="T181" s="40">
        <f>IF(S180=0,"",T180/S180-1)</f>
        <v>0.0116796440489433</v>
      </c>
      <c r="U181" s="40">
        <f>IF(T180=0,"",U180/T180-1)</f>
        <v>0.0127817482133039</v>
      </c>
      <c r="V181" s="40">
        <f>IF(U180=0,"",V180/U180-1)</f>
        <v>0.0314832406025241</v>
      </c>
      <c r="W181" s="12">
        <f>IF(V180=0,"",W180/V180-1)</f>
        <v>0</v>
      </c>
      <c r="X181" s="40">
        <f>IF(W180=0,"",X180/W180-1)</f>
        <v>0.0113143007499013</v>
      </c>
      <c r="Y181" s="40">
        <f>IF(X180=0,"",Y180/X180-1)</f>
        <v>0.015740861194224</v>
      </c>
      <c r="Z181" s="40">
        <f>IF(Y180=0,"",Z180/Y180-1)</f>
        <v>0.020876024590164</v>
      </c>
      <c r="AA181" s="40">
        <f>IF(Z180=0,"",AA180/Z180-1)</f>
        <v>0.0541964621753859</v>
      </c>
      <c r="AB181" s="12">
        <f>IF(AA180=0,"",AB180/AA180-1)</f>
        <v>0</v>
      </c>
      <c r="AC181" s="40">
        <f>IF(AB180=0,"",AC180/AB180-1)</f>
        <v>0.0185647982863264</v>
      </c>
      <c r="AD181" s="40">
        <f>IF(AC180=0,"",AD180/AC180-1)</f>
        <v>0.0304942166140905</v>
      </c>
      <c r="AE181" s="40">
        <f>IF(AD180=0,"",AE180/AD180-1)</f>
        <v>0.014625850340136</v>
      </c>
      <c r="AF181" s="55">
        <f>IF(AE180=0,"",AF180/AE180-1)</f>
        <v>0.0534137892501956</v>
      </c>
      <c r="AG181" s="12">
        <f>IF(AF180=0,"",AG180/AF180-1)</f>
        <v>0</v>
      </c>
      <c r="AH181" s="55">
        <f>IF(AG180=0,"",AH180/AG180-1)</f>
        <v>-0.26487747957993</v>
      </c>
      <c r="AI181" s="55">
        <f>IF(AH180=0,"",AI180/AH180-1)</f>
        <v>0.0331890331890332</v>
      </c>
      <c r="AJ181" s="55">
        <f>IF(AI180=0,"",AJ180/AI180-1)</f>
        <v>0</v>
      </c>
      <c r="AK181" s="55">
        <f>IF(AJ180=0,"",AK180/AJ180-1)</f>
        <v>0</v>
      </c>
      <c r="AL181" s="12">
        <f>IF(AK180=0,"",AL180/AK180-1)</f>
        <v>0</v>
      </c>
      <c r="AM181" s="55">
        <f>IF(AL180=0,"",AM180/AL180-1)</f>
        <v>0</v>
      </c>
      <c r="AN181" s="55">
        <f>IF(AM180=0,"",AN180/AM180-1)</f>
        <v>0</v>
      </c>
      <c r="AO181" s="55">
        <f>IF(AN180=0,"",AO180/AN180-1)</f>
        <v>0</v>
      </c>
      <c r="AP181" s="55">
        <f>IF(AO180=0,"",AP180/AO180-1)</f>
        <v>0</v>
      </c>
      <c r="AQ181" s="12">
        <f>IF(AP180=0,"",AQ180/AP180-1)</f>
        <v>0</v>
      </c>
      <c r="AR181" s="55">
        <f>IF(AQ180=0,"",AR180/AQ180-1)</f>
        <v>0</v>
      </c>
      <c r="AS181" s="55">
        <f>IF(AR180=0,"",AS180/AR180-1)</f>
        <v>0</v>
      </c>
      <c r="AT181" s="55">
        <f>IF(AS180=0,"",AT180/AS180-1)</f>
        <v>0</v>
      </c>
      <c r="AU181" s="55">
        <f>IF(AT180=0,"",AU180/AT180-1)</f>
        <v>0</v>
      </c>
      <c r="AV181" s="12">
        <f>IF(AU180=0,"",AV180/AU180-1)</f>
        <v>0</v>
      </c>
      <c r="AW181" s="55">
        <f>IF(AV180=0,"",AW180/AV180-1)</f>
        <v>0</v>
      </c>
      <c r="AX181" s="55">
        <f>IF(AW180=0,"",AX180/AW180-1)</f>
        <v>0</v>
      </c>
      <c r="AY181" s="55">
        <f>IF(AX180=0,"",AY180/AX180-1)</f>
        <v>0</v>
      </c>
      <c r="AZ181" s="55">
        <f>IF(AY180=0,"",AZ180/AY180-1)</f>
        <v>0</v>
      </c>
      <c r="BA181" s="12">
        <f>IF(AZ180=0,"",BA180/AZ180-1)</f>
        <v>0</v>
      </c>
      <c r="BB181" s="55">
        <f>IF(BA180=0,"",BB180/BA180-1)</f>
        <v>0</v>
      </c>
      <c r="BC181" s="55">
        <f>IF(BB180=0,"",BC180/BB180-1)</f>
        <v>0</v>
      </c>
      <c r="BD181" s="55">
        <f>IF(BC180=0,"",BD180/BC180-1)</f>
        <v>0</v>
      </c>
      <c r="BE181" s="55">
        <f>IF(BD180=0,"",BE180/BD180-1)</f>
        <v>0</v>
      </c>
      <c r="BF181" s="12">
        <f>IF(BE180=0,"",BF180/BE180-1)</f>
        <v>0</v>
      </c>
      <c r="BG181" s="55" t="n"/>
      <c r="BH181" s="55" t="n"/>
      <c r="BI181" s="55" t="n"/>
      <c r="BJ181" s="55" t="n"/>
      <c r="BK181" s="12" t="n"/>
      <c r="BL181" s="55" t="n"/>
      <c r="BM181" s="55" t="n"/>
      <c r="BN181" s="55" t="n"/>
      <c r="BO181" s="55" t="n"/>
      <c r="BP181" s="12" t="n"/>
      <c r="BQ181" s="55" t="n"/>
      <c r="BR181" s="55" t="n"/>
      <c r="BS181" s="55" t="n"/>
      <c r="BT181" s="55" t="n"/>
      <c r="BU181" s="12" t="n"/>
      <c r="BV181" s="55" t="n"/>
      <c r="BW181" s="55" t="n"/>
      <c r="BX181" s="55" t="n"/>
      <c r="BY181" s="55" t="n"/>
      <c r="BZ181" s="12" t="n"/>
      <c r="CA181" s="55" t="n"/>
      <c r="CB181" s="55" t="n"/>
      <c r="CC181" s="55" t="n"/>
      <c r="CD181" s="55" t="n"/>
      <c r="CE181" s="12" t="n"/>
      <c r="CF181" s="55" t="n"/>
      <c r="CG181" s="55" t="n"/>
      <c r="CH181" s="55" t="n"/>
      <c r="CI181" s="55" t="n"/>
      <c r="CJ181" s="12" t="n"/>
      <c r="CK181" s="55" t="n"/>
      <c r="CL181" s="55" t="n"/>
      <c r="CM181" s="55" t="n"/>
      <c r="CN181" s="55" t="n"/>
      <c r="CO181" s="12" t="n"/>
      <c r="CP181" s="55" t="n"/>
      <c r="CQ181" s="55" t="n"/>
      <c r="CR181" s="55" t="n"/>
      <c r="CS181" s="55" t="n"/>
      <c r="CT181" s="12" t="n"/>
      <c r="CU181" s="55" t="n"/>
      <c r="CV181" s="55" t="n"/>
      <c r="CW181" s="55" t="n"/>
      <c r="CX181" s="55" t="n"/>
      <c r="CY181" s="12" t="n"/>
    </row>
    <row r="182" hidden="1" outlineLevel="1">
      <c r="C182" s="57" t="n"/>
      <c r="D182" s="12" t="n"/>
      <c r="E182" s="40" t="n"/>
      <c r="F182" s="40" t="n"/>
      <c r="G182" s="40" t="n"/>
      <c r="H182" s="12" t="n"/>
      <c r="I182" s="40" t="n"/>
      <c r="J182" s="40" t="n"/>
      <c r="K182" s="40" t="n"/>
      <c r="L182" s="40" t="n"/>
      <c r="M182" s="12" t="n"/>
      <c r="N182" s="40" t="n"/>
      <c r="O182" s="40" t="n"/>
      <c r="P182" s="40" t="n"/>
      <c r="Q182" s="40" t="n"/>
      <c r="R182" s="12" t="n"/>
      <c r="S182" s="40" t="n"/>
      <c r="T182" s="40" t="n"/>
      <c r="U182" s="40" t="n"/>
      <c r="V182" s="40" t="n"/>
      <c r="W182" s="12" t="n"/>
      <c r="X182" s="40" t="n"/>
      <c r="Y182" s="40" t="n"/>
      <c r="Z182" s="40" t="n"/>
      <c r="AA182" s="40" t="n"/>
      <c r="AB182" s="12" t="n"/>
      <c r="AC182" s="40" t="n"/>
      <c r="AD182" s="40" t="n"/>
      <c r="AE182" s="40" t="n"/>
      <c r="AF182" s="55" t="n"/>
      <c r="AG182" s="12" t="n"/>
      <c r="AH182" s="55" t="n"/>
      <c r="AI182" s="55" t="n"/>
      <c r="AJ182" s="55" t="n"/>
      <c r="AK182" s="55" t="n"/>
      <c r="AL182" s="12" t="n"/>
      <c r="AM182" s="55" t="n"/>
      <c r="AN182" s="55" t="n"/>
      <c r="AO182" s="55" t="n"/>
      <c r="AP182" s="55" t="n"/>
      <c r="AQ182" s="12" t="n"/>
      <c r="AR182" s="55" t="n"/>
      <c r="AS182" s="55" t="n"/>
      <c r="AT182" s="55" t="n"/>
      <c r="AU182" s="55" t="n"/>
      <c r="AV182" s="12" t="n"/>
      <c r="AW182" s="55" t="n"/>
      <c r="AX182" s="55" t="n"/>
      <c r="AY182" s="55" t="n"/>
      <c r="AZ182" s="55" t="n"/>
      <c r="BA182" s="12" t="n"/>
      <c r="BB182" s="55" t="n"/>
      <c r="BC182" s="55" t="n"/>
      <c r="BD182" s="55" t="n"/>
      <c r="BE182" s="55" t="n"/>
      <c r="BF182" s="12" t="n"/>
      <c r="BG182" s="55" t="n"/>
      <c r="BH182" s="55" t="n"/>
      <c r="BI182" s="55" t="n"/>
      <c r="BJ182" s="55" t="n"/>
      <c r="BK182" s="12" t="n"/>
      <c r="BL182" s="55" t="n"/>
      <c r="BM182" s="55" t="n"/>
      <c r="BN182" s="55" t="n"/>
      <c r="BO182" s="55" t="n"/>
      <c r="BP182" s="12" t="n"/>
      <c r="BQ182" s="55" t="n"/>
      <c r="BR182" s="55" t="n"/>
      <c r="BS182" s="55" t="n"/>
      <c r="BT182" s="55" t="n"/>
      <c r="BU182" s="12" t="n"/>
      <c r="BV182" s="55" t="n"/>
      <c r="BW182" s="55" t="n"/>
      <c r="BX182" s="55" t="n"/>
      <c r="BY182" s="55" t="n"/>
      <c r="BZ182" s="12" t="n"/>
      <c r="CA182" s="55" t="n"/>
      <c r="CB182" s="55" t="n"/>
      <c r="CC182" s="55" t="n"/>
      <c r="CD182" s="55" t="n"/>
      <c r="CE182" s="12" t="n"/>
      <c r="CF182" s="55" t="n"/>
      <c r="CG182" s="55" t="n"/>
      <c r="CH182" s="55" t="n"/>
      <c r="CI182" s="55" t="n"/>
      <c r="CJ182" s="12" t="n"/>
      <c r="CK182" s="55" t="n"/>
      <c r="CL182" s="55" t="n"/>
      <c r="CM182" s="55" t="n"/>
      <c r="CN182" s="55" t="n"/>
      <c r="CO182" s="12" t="n"/>
      <c r="CP182" s="55" t="n"/>
      <c r="CQ182" s="55" t="n"/>
      <c r="CR182" s="55" t="n"/>
      <c r="CS182" s="55" t="n"/>
      <c r="CT182" s="12" t="n"/>
      <c r="CU182" s="55" t="n"/>
      <c r="CV182" s="55" t="n"/>
      <c r="CW182" s="55" t="n"/>
      <c r="CX182" s="55" t="n"/>
      <c r="CY182" s="12" t="n"/>
    </row>
    <row r="183" hidden="1" outlineLevel="1">
      <c r="C183" s="60" t="inlineStr">
        <is>
          <t>Outros Créditos - LP</t>
        </is>
      </c>
      <c r="D183" s="11" t="n"/>
      <c r="E183" s="11" t="n"/>
      <c r="F183" s="11" t="n"/>
      <c r="G183" s="11" t="n"/>
      <c r="H183" s="12" t="n"/>
      <c r="I183" s="11" t="n"/>
      <c r="J183" s="11" t="n"/>
      <c r="K183" s="11" t="n"/>
      <c r="L183" s="11" t="n"/>
      <c r="M183" s="12" t="n"/>
      <c r="N183" s="11" t="n"/>
      <c r="O183" s="11" t="n"/>
      <c r="P183" s="11" t="n"/>
      <c r="Q183" s="11" t="n"/>
      <c r="R183" s="12" t="n"/>
      <c r="S183" s="11" t="n"/>
      <c r="T183" s="11" t="n"/>
      <c r="U183" s="11" t="n"/>
      <c r="V183" s="11" t="n"/>
      <c r="W183" s="12" t="n"/>
      <c r="X183" s="11" t="n"/>
      <c r="Y183" s="11" t="n"/>
      <c r="Z183" s="11" t="n"/>
      <c r="AA183" s="11" t="n"/>
      <c r="AB183" s="12" t="n"/>
      <c r="AC183" s="11" t="n"/>
      <c r="AD183" s="11" t="n"/>
      <c r="AE183" s="11" t="n"/>
      <c r="AF183" s="11" t="n"/>
      <c r="AG183" s="12" t="n"/>
      <c r="AH183" s="12" t="n"/>
      <c r="AI183" s="12" t="n"/>
      <c r="AJ183" s="12" t="n"/>
      <c r="AK183" s="12" t="n"/>
      <c r="AL183" s="12" t="n"/>
      <c r="AM183" s="12" t="n"/>
      <c r="AN183" s="12" t="n"/>
      <c r="AO183" s="12" t="n"/>
      <c r="AP183" s="12" t="n"/>
      <c r="AQ183" s="12" t="n"/>
      <c r="AR183" s="12" t="n"/>
      <c r="AS183" s="12" t="n"/>
      <c r="AT183" s="12" t="n"/>
      <c r="AU183" s="12" t="n"/>
      <c r="AV183" s="12" t="n"/>
      <c r="AW183" s="12" t="n"/>
      <c r="AX183" s="12" t="n"/>
      <c r="AY183" s="12" t="n"/>
      <c r="AZ183" s="12" t="n"/>
      <c r="BA183" s="12" t="n"/>
      <c r="BB183" s="12" t="n"/>
      <c r="BC183" s="12" t="n"/>
      <c r="BD183" s="12" t="n"/>
      <c r="BE183" s="12" t="n"/>
      <c r="BF183" s="12" t="n"/>
      <c r="BG183" s="12" t="n"/>
      <c r="BH183" s="12" t="n"/>
      <c r="BI183" s="12" t="n"/>
      <c r="BJ183" s="12" t="n"/>
      <c r="BK183" s="12" t="n"/>
      <c r="BL183" s="12" t="n"/>
      <c r="BM183" s="12" t="n"/>
      <c r="BN183" s="12" t="n"/>
      <c r="BO183" s="12" t="n"/>
      <c r="BP183" s="12" t="n"/>
      <c r="BQ183" s="12" t="n"/>
      <c r="BR183" s="12" t="n"/>
      <c r="BS183" s="12" t="n"/>
      <c r="BT183" s="12" t="n"/>
      <c r="BU183" s="12" t="n"/>
      <c r="BV183" s="12" t="n"/>
      <c r="BW183" s="12" t="n"/>
      <c r="BX183" s="12" t="n"/>
      <c r="BY183" s="12" t="n"/>
      <c r="BZ183" s="12" t="n"/>
      <c r="CA183" s="12" t="n"/>
      <c r="CB183" s="12" t="n"/>
      <c r="CC183" s="12" t="n"/>
      <c r="CD183" s="12" t="n"/>
      <c r="CE183" s="12" t="n"/>
      <c r="CF183" s="12" t="n"/>
      <c r="CG183" s="12" t="n"/>
      <c r="CH183" s="12" t="n"/>
      <c r="CI183" s="12" t="n"/>
      <c r="CJ183" s="12" t="n"/>
      <c r="CK183" s="12" t="n"/>
      <c r="CL183" s="12" t="n"/>
      <c r="CM183" s="12" t="n"/>
      <c r="CN183" s="12" t="n"/>
      <c r="CO183" s="12" t="n"/>
      <c r="CP183" s="12" t="n"/>
      <c r="CQ183" s="12" t="n"/>
      <c r="CR183" s="12" t="n"/>
      <c r="CS183" s="12" t="n"/>
      <c r="CT183" s="12" t="n"/>
      <c r="CU183" s="12" t="n"/>
      <c r="CV183" s="12" t="n"/>
      <c r="CW183" s="12" t="n"/>
      <c r="CX183" s="12" t="n"/>
      <c r="CY183" s="12" t="n"/>
    </row>
    <row r="184" hidden="1" outlineLevel="1">
      <c r="C184" s="60" t="inlineStr">
        <is>
          <t xml:space="preserve">Impostos e Contribuições a Recuperar </t>
        </is>
      </c>
      <c r="D184" s="11" t="n"/>
      <c r="E184" s="11" t="n"/>
      <c r="F184" s="11" t="n"/>
      <c r="G184" s="11" t="n"/>
      <c r="H184" s="12" t="n"/>
      <c r="I184" s="11" t="n"/>
      <c r="J184" s="11" t="n"/>
      <c r="K184" s="11" t="n"/>
      <c r="L184" s="11" t="n"/>
      <c r="M184" s="12" t="n"/>
      <c r="N184" s="11" t="n"/>
      <c r="O184" s="11" t="n"/>
      <c r="P184" s="11" t="n"/>
      <c r="Q184" s="11" t="n"/>
      <c r="R184" s="12" t="n"/>
      <c r="S184" s="11" t="n"/>
      <c r="T184" s="11" t="n"/>
      <c r="U184" s="11" t="n"/>
      <c r="V184" s="11" t="n"/>
      <c r="W184" s="12" t="n"/>
      <c r="X184" s="11" t="n"/>
      <c r="Y184" s="11" t="n"/>
      <c r="Z184" s="11" t="n"/>
      <c r="AA184" s="11" t="n"/>
      <c r="AB184" s="12" t="n"/>
      <c r="AC184" s="11" t="n"/>
      <c r="AD184" s="11" t="n"/>
      <c r="AE184" s="11" t="n"/>
      <c r="AF184" s="11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  <c r="BE184" s="12" t="n"/>
      <c r="BF184" s="12" t="n"/>
      <c r="BG184" s="12" t="n"/>
      <c r="BH184" s="12" t="n"/>
      <c r="BI184" s="12" t="n"/>
      <c r="BJ184" s="12" t="n"/>
      <c r="BK184" s="12" t="n"/>
      <c r="BL184" s="12" t="n"/>
      <c r="BM184" s="12" t="n"/>
      <c r="BN184" s="12" t="n"/>
      <c r="BO184" s="12" t="n"/>
      <c r="BP184" s="12" t="n"/>
      <c r="BQ184" s="12" t="n"/>
      <c r="BR184" s="12" t="n"/>
      <c r="BS184" s="12" t="n"/>
      <c r="BT184" s="12" t="n"/>
      <c r="BU184" s="12" t="n"/>
      <c r="BV184" s="12" t="n"/>
      <c r="BW184" s="12" t="n"/>
      <c r="BX184" s="12" t="n"/>
      <c r="BY184" s="12" t="n"/>
      <c r="BZ184" s="12" t="n"/>
      <c r="CA184" s="12" t="n"/>
      <c r="CB184" s="12" t="n"/>
      <c r="CC184" s="12" t="n"/>
      <c r="CD184" s="12" t="n"/>
      <c r="CE184" s="12" t="n"/>
      <c r="CF184" s="12" t="n"/>
      <c r="CG184" s="12" t="n"/>
      <c r="CH184" s="12" t="n"/>
      <c r="CI184" s="12" t="n"/>
      <c r="CJ184" s="12" t="n"/>
      <c r="CK184" s="12" t="n"/>
      <c r="CL184" s="12" t="n"/>
      <c r="CM184" s="12" t="n"/>
      <c r="CN184" s="12" t="n"/>
      <c r="CO184" s="12" t="n"/>
      <c r="CP184" s="12" t="n"/>
      <c r="CQ184" s="12" t="n"/>
      <c r="CR184" s="12" t="n"/>
      <c r="CS184" s="12" t="n"/>
      <c r="CT184" s="12" t="n"/>
      <c r="CU184" s="12" t="n"/>
      <c r="CV184" s="12" t="n"/>
      <c r="CW184" s="12" t="n"/>
      <c r="CX184" s="12" t="n"/>
      <c r="CY184" s="12" t="n"/>
    </row>
    <row r="185" hidden="1" outlineLevel="1">
      <c r="C185" s="60" t="inlineStr">
        <is>
          <t xml:space="preserve">Imposto de Renda e Contribuição Social Diferidos </t>
        </is>
      </c>
      <c r="D185" s="11" t="n"/>
      <c r="E185" s="11" t="n"/>
      <c r="F185" s="11" t="n"/>
      <c r="G185" s="11" t="n"/>
      <c r="H185" s="12" t="n"/>
      <c r="I185" s="11" t="n"/>
      <c r="J185" s="11" t="n"/>
      <c r="K185" s="11" t="n"/>
      <c r="L185" s="11" t="n"/>
      <c r="M185" s="12" t="n"/>
      <c r="N185" s="11" t="n"/>
      <c r="O185" s="11" t="n"/>
      <c r="P185" s="11" t="n"/>
      <c r="Q185" s="11" t="n"/>
      <c r="R185" s="12" t="n"/>
      <c r="S185" s="11" t="n"/>
      <c r="T185" s="11" t="n"/>
      <c r="U185" s="11" t="n"/>
      <c r="V185" s="11" t="n"/>
      <c r="W185" s="12" t="n"/>
      <c r="X185" s="11" t="n"/>
      <c r="Y185" s="11" t="n"/>
      <c r="Z185" s="11" t="n"/>
      <c r="AA185" s="11" t="n"/>
      <c r="AB185" s="12" t="n"/>
      <c r="AC185" s="11" t="n"/>
      <c r="AD185" s="11" t="n"/>
      <c r="AE185" s="11" t="n"/>
      <c r="AF185" s="11" t="n"/>
      <c r="AG185" s="12" t="n"/>
      <c r="AH185" s="12" t="n"/>
      <c r="AI185" s="12" t="n"/>
      <c r="AJ185" s="12" t="n"/>
      <c r="AK185" s="12" t="n"/>
      <c r="AL185" s="12" t="n"/>
      <c r="AM185" s="12" t="n"/>
      <c r="AN185" s="12" t="n"/>
      <c r="AO185" s="12" t="n"/>
      <c r="AP185" s="12" t="n"/>
      <c r="AQ185" s="12" t="n"/>
      <c r="AR185" s="12" t="n"/>
      <c r="AS185" s="12" t="n"/>
      <c r="AT185" s="12" t="n"/>
      <c r="AU185" s="12" t="n"/>
      <c r="AV185" s="12" t="n"/>
      <c r="AW185" s="12" t="n"/>
      <c r="AX185" s="12" t="n"/>
      <c r="AY185" s="12" t="n"/>
      <c r="AZ185" s="12" t="n"/>
      <c r="BA185" s="12" t="n"/>
      <c r="BB185" s="12" t="n"/>
      <c r="BC185" s="12" t="n"/>
      <c r="BD185" s="12" t="n"/>
      <c r="BE185" s="12" t="n"/>
      <c r="BF185" s="12" t="n"/>
      <c r="BG185" s="12" t="n"/>
      <c r="BH185" s="12" t="n"/>
      <c r="BI185" s="12" t="n"/>
      <c r="BJ185" s="12" t="n"/>
      <c r="BK185" s="12" t="n"/>
      <c r="BL185" s="12" t="n"/>
      <c r="BM185" s="12" t="n"/>
      <c r="BN185" s="12" t="n"/>
      <c r="BO185" s="12" t="n"/>
      <c r="BP185" s="12" t="n"/>
      <c r="BQ185" s="12" t="n"/>
      <c r="BR185" s="12" t="n"/>
      <c r="BS185" s="12" t="n"/>
      <c r="BT185" s="12" t="n"/>
      <c r="BU185" s="12" t="n"/>
      <c r="BV185" s="12" t="n"/>
      <c r="BW185" s="12" t="n"/>
      <c r="BX185" s="12" t="n"/>
      <c r="BY185" s="12" t="n"/>
      <c r="BZ185" s="12" t="n"/>
      <c r="CA185" s="12" t="n"/>
      <c r="CB185" s="12" t="n"/>
      <c r="CC185" s="12" t="n"/>
      <c r="CD185" s="12" t="n"/>
      <c r="CE185" s="12" t="n"/>
      <c r="CF185" s="12" t="n"/>
      <c r="CG185" s="12" t="n"/>
      <c r="CH185" s="12" t="n"/>
      <c r="CI185" s="12" t="n"/>
      <c r="CJ185" s="12" t="n"/>
      <c r="CK185" s="12" t="n"/>
      <c r="CL185" s="12" t="n"/>
      <c r="CM185" s="12" t="n"/>
      <c r="CN185" s="12" t="n"/>
      <c r="CO185" s="12" t="n"/>
      <c r="CP185" s="12" t="n"/>
      <c r="CQ185" s="12" t="n"/>
      <c r="CR185" s="12" t="n"/>
      <c r="CS185" s="12" t="n"/>
      <c r="CT185" s="12" t="n"/>
      <c r="CU185" s="12" t="n"/>
      <c r="CV185" s="12" t="n"/>
      <c r="CW185" s="12" t="n"/>
      <c r="CX185" s="12" t="n"/>
      <c r="CY185" s="12" t="n"/>
    </row>
    <row r="186" hidden="1" outlineLevel="1">
      <c r="C186" s="60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  <c r="BE186" s="12" t="n"/>
      <c r="BF186" s="12" t="n"/>
      <c r="BG186" s="12" t="n"/>
      <c r="BH186" s="12" t="n"/>
      <c r="BI186" s="12" t="n"/>
      <c r="BJ186" s="12" t="n"/>
      <c r="BK186" s="12" t="n"/>
      <c r="BL186" s="12" t="n"/>
      <c r="BM186" s="12" t="n"/>
      <c r="BN186" s="12" t="n"/>
      <c r="BO186" s="12" t="n"/>
      <c r="BP186" s="12" t="n"/>
      <c r="BQ186" s="12" t="n"/>
      <c r="BR186" s="12" t="n"/>
      <c r="BS186" s="12" t="n"/>
      <c r="BT186" s="12" t="n"/>
      <c r="BU186" s="12" t="n"/>
      <c r="BV186" s="12" t="n"/>
      <c r="BW186" s="12" t="n"/>
      <c r="BX186" s="12" t="n"/>
      <c r="BY186" s="12" t="n"/>
      <c r="BZ186" s="12" t="n"/>
      <c r="CA186" s="12" t="n"/>
      <c r="CB186" s="12" t="n"/>
      <c r="CC186" s="12" t="n"/>
      <c r="CD186" s="12" t="n"/>
      <c r="CE186" s="12" t="n"/>
      <c r="CF186" s="12" t="n"/>
      <c r="CG186" s="12" t="n"/>
      <c r="CH186" s="12" t="n"/>
      <c r="CI186" s="12" t="n"/>
      <c r="CJ186" s="12" t="n"/>
      <c r="CK186" s="12" t="n"/>
      <c r="CL186" s="12" t="n"/>
      <c r="CM186" s="12" t="n"/>
      <c r="CN186" s="12" t="n"/>
      <c r="CO186" s="12" t="n"/>
      <c r="CP186" s="12" t="n"/>
      <c r="CQ186" s="12" t="n"/>
      <c r="CR186" s="12" t="n"/>
      <c r="CS186" s="12" t="n"/>
      <c r="CT186" s="12" t="n"/>
      <c r="CU186" s="12" t="n"/>
      <c r="CV186" s="12" t="n"/>
      <c r="CW186" s="12" t="n"/>
      <c r="CX186" s="12" t="n"/>
      <c r="CY186" s="12" t="n"/>
    </row>
    <row r="187" hidden="1" outlineLevel="1">
      <c r="C187" s="57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 collapsed="1" customFormat="1" s="32">
      <c r="A188" s="30" t="n"/>
      <c r="B188" s="3" t="n"/>
      <c r="C188" s="33" t="inlineStr">
        <is>
          <t>Total Assets</t>
        </is>
      </c>
      <c r="D188" s="35" t="n"/>
      <c r="E188" s="35" t="n"/>
      <c r="F188" s="35" t="n"/>
      <c r="G188" s="35" t="n"/>
      <c r="H188" s="35" t="n"/>
      <c r="I188" s="35">
        <f>SUM(I135,I136,I140,I144,I145,I146,I152,I157,I167,I170,I171,I180)</f>
        <v>51437</v>
      </c>
      <c r="J188" s="35">
        <f>SUM(J135,J136,J140,J144,J145,J146,J152,J157,J167,J170,J171,J180)</f>
        <v>52099</v>
      </c>
      <c r="K188" s="35">
        <f>SUM(K135,K136,K140,K144,K145,K146,K152,K157,K167,K170,K171,K180)</f>
        <v>51843</v>
      </c>
      <c r="L188" s="35">
        <f>SUM(L135,L136,L140,L144,L145,L146,L152,L157,L167,L170,L171,L180)</f>
        <v>50873</v>
      </c>
      <c r="M188" s="35">
        <f>SUM(M135,M136,M140,M144,M145,M146,M152,M157,M167,M170,M171,M180)</f>
        <v>50873</v>
      </c>
      <c r="N188" s="35">
        <f>SUM(N135,N136,N140,N144,N145,N146,N152,N157,N167,N170,N171,N180)</f>
        <v>51510</v>
      </c>
      <c r="O188" s="35">
        <f>SUM(O135,O136,O140,O144,O145,O146,O152,O157,O167,O170,O171,O180)</f>
        <v>51758</v>
      </c>
      <c r="P188" s="35">
        <f>SUM(P135,P136,P140,P144,P145,P146,P152,P157,P167,P170,P171,P180)</f>
        <v>52030</v>
      </c>
      <c r="Q188" s="35">
        <f>SUM(Q135,Q136,Q140,Q144,Q145,Q146,Q152,Q157,Q167,Q170,Q171,Q180)</f>
        <v>52880</v>
      </c>
      <c r="R188" s="35">
        <f>SUM(R135,R136,R140,R144,R145,R146,R152,R157,R167,R170,R171,R180)</f>
        <v>52880</v>
      </c>
      <c r="S188" s="35">
        <f>SUM(S135,S136,S140,S144,S145,S146,S152,S157,S167,S170,S171,S180)</f>
        <v>54622</v>
      </c>
      <c r="T188" s="35">
        <f>SUM(T135,T136,T140,T144,T145,T146,T152,T157,T167,T170,T171,T180)</f>
        <v>56978</v>
      </c>
      <c r="U188" s="35">
        <f>SUM(U135,U136,U140,U144,U145,U146,U152,U157,U167,U170,U171,U180)</f>
        <v>56666</v>
      </c>
      <c r="V188" s="35">
        <f>SUM(V135,V136,V140,V144,V145,V146,V152,V157,V167,V170,V171,V180)</f>
        <v>52456</v>
      </c>
      <c r="W188" s="35">
        <f>SUM(W135,W136,W140,W144,W145,W146,W152,W157,W167,W170,W171,W180)</f>
        <v>52456</v>
      </c>
      <c r="X188" s="35">
        <f>SUM(X135,X136,X140,X144,X145,X146,X152,X157,X167,X170,X171,X180)</f>
        <v>54963</v>
      </c>
      <c r="Y188" s="35">
        <f>SUM(Y135,Y136,Y140,Y144,Y145,Y146,Y152,Y157,Y167,Y170,Y171,Y180)</f>
        <v>55076</v>
      </c>
      <c r="Z188" s="35">
        <f>SUM(Z135,Z136,Z140,Z144,Z145,Z146,Z152,Z157,Z167,Z170,Z171,Z180)</f>
        <v>55520</v>
      </c>
      <c r="AA188" s="35">
        <f>SUM(AA135,AA136,AA140,AA144,AA145,AA146,AA152,AA157,AA167,AA170,AA171,AA180)</f>
        <v>55617</v>
      </c>
      <c r="AB188" s="35">
        <f>SUM(AB135,AB136,AB140,AB144,AB145,AB146,AB152,AB157,AB167,AB170,AB171,AB180)</f>
        <v>55617</v>
      </c>
      <c r="AC188" s="35">
        <f>SUM(AC135,AC136,AC140,AC144,AC145,AC146,AC152,AC157,AC167,AC170,AC171,AC180)</f>
        <v>56669</v>
      </c>
      <c r="AD188" s="35">
        <f>SUM(AD135,AD136,AD140,AD144,AD145,AD146,AD152,AD157,AD167,AD170,AD171,AD180)</f>
        <v>58870</v>
      </c>
      <c r="AE188" s="35">
        <f>SUM(AE135,AE136,AE140,AE144,AE145,AE146,AE152,AE157,AE167,AE170,AE171,AE180)</f>
        <v>60276</v>
      </c>
      <c r="AF188" s="35">
        <f>SUM(AF135,AF136,AF140,AF144,AF145,AF146,AF152,AF157,AF167,AF170,AF171,AF180)</f>
        <v>59840</v>
      </c>
      <c r="AG188" s="35">
        <f>SUM(AG135,AG136,AG140,AG144,AG145,AG146,AG152,AG157,AG167,AG170,AG171,AG180)</f>
        <v>59840</v>
      </c>
      <c r="AH188" s="35">
        <f>SUM(AH135,AH136,AH140,AH144,AH145,AH146,AH152,AH157,AH167,AH170,AH171,AH180)</f>
        <v>59238</v>
      </c>
      <c r="AI188" s="35">
        <f>SUM(AI135,AI136,AI140,AI144,AI145,AI146,AI152,AI157,AI167,AI170,AI171,AI180)</f>
        <v>62450</v>
      </c>
      <c r="AJ188" s="35">
        <f>SUM(AJ135,AJ136,AJ140,AJ144,AJ145,AJ146,AJ152,AJ157,AJ167,AJ170,AJ171,AJ180)</f>
        <v>63613.6706556128</v>
      </c>
      <c r="AK188" s="35">
        <f>SUM(AK135,AK136,AK140,AK144,AK145,AK146,AK152,AK157,AK167,AK170,AK171,AK180)</f>
        <v>66014.1429265689</v>
      </c>
      <c r="AL188" s="35">
        <f>SUM(AL135,AL136,AL140,AL144,AL145,AL146,AL152,AL157,AL167,AL170,AL171,AL180)</f>
        <v>66014.1429265689</v>
      </c>
      <c r="AM188" s="35">
        <f>SUM(AM135,AM136,AM140,AM144,AM145,AM146,AM152,AM157,AM167,AM170,AM171,AM180)</f>
        <v>67395.5851996548</v>
      </c>
      <c r="AN188" s="35">
        <f>SUM(AN135,AN136,AN140,AN144,AN145,AN146,AN152,AN157,AN167,AN170,AN171,AN180)</f>
        <v>69827.0710397711</v>
      </c>
      <c r="AO188" s="35">
        <f>SUM(AO135,AO136,AO140,AO144,AO145,AO146,AO152,AO157,AO167,AO170,AO171,AO180)</f>
        <v>71663.2079386653</v>
      </c>
      <c r="AP188" s="35">
        <f>SUM(AP135,AP136,AP140,AP144,AP145,AP146,AP152,AP157,AP167,AP170,AP171,AP180)</f>
        <v>74230.2042249009</v>
      </c>
      <c r="AQ188" s="35">
        <f>SUM(AQ135,AQ136,AQ140,AQ144,AQ145,AQ146,AQ152,AQ157,AQ167,AQ170,AQ171,AQ180)</f>
        <v>74230.2042249009</v>
      </c>
      <c r="AR188" s="35">
        <f>SUM(AR135,AR136,AR140,AR144,AR145,AR146,AR152,AR157,AR167,AR170,AR171,AR180)</f>
        <v>75625.0453468756</v>
      </c>
      <c r="AS188" s="35">
        <f>SUM(AS135,AS136,AS140,AS144,AS145,AS146,AS152,AS157,AS167,AS170,AS171,AS180)</f>
        <v>78242.7406126205</v>
      </c>
      <c r="AT188" s="35">
        <f>SUM(AT135,AT136,AT140,AT144,AT145,AT146,AT152,AT157,AT167,AT170,AT171,AT180)</f>
        <v>80186.2651442984</v>
      </c>
      <c r="AU188" s="35">
        <f>SUM(AU135,AU136,AU140,AU144,AU145,AU146,AU152,AU157,AU167,AU170,AU171,AU180)</f>
        <v>82897.3198053808</v>
      </c>
      <c r="AV188" s="35">
        <f>SUM(AV135,AV136,AV140,AV144,AV145,AV146,AV152,AV157,AV167,AV170,AV171,AV180)</f>
        <v>82897.3198053808</v>
      </c>
      <c r="AW188" s="35">
        <f>SUM(AW135,AW136,AW140,AW144,AW145,AW146,AW152,AW157,AW167,AW170,AW171,AW180)</f>
        <v>84393.1501066612</v>
      </c>
      <c r="AX188" s="35">
        <f>SUM(AX135,AX136,AX140,AX144,AX145,AX146,AX152,AX157,AX167,AX170,AX171,AX180)</f>
        <v>87090.338622949</v>
      </c>
      <c r="AY188" s="35">
        <f>SUM(AY135,AY136,AY140,AY144,AY145,AY146,AY152,AY157,AY167,AY170,AY171,AY180)</f>
        <v>89132.4591640687</v>
      </c>
      <c r="AZ188" s="35">
        <f>SUM(AZ135,AZ136,AZ140,AZ144,AZ145,AZ146,AZ152,AZ157,AZ167,AZ170,AZ171,AZ180)</f>
        <v>91976.3983387862</v>
      </c>
      <c r="BA188" s="35">
        <f>SUM(BA135,BA136,BA140,BA144,BA145,BA146,BA152,BA157,BA167,BA170,BA171,BA180)</f>
        <v>91976.3983387862</v>
      </c>
      <c r="BB188" s="35">
        <f>SUM(BB135,BB136,BB140,BB144,BB145,BB146,BB152,BB157,BB167,BB170,BB171,BB180)</f>
        <v>93513.0026729985</v>
      </c>
      <c r="BC188" s="35">
        <f>SUM(BC135,BC136,BC140,BC144,BC145,BC146,BC152,BC157,BC167,BC170,BC171,BC180)</f>
        <v>96324.4753421881</v>
      </c>
      <c r="BD188" s="35">
        <f>SUM(BD135,BD136,BD140,BD144,BD145,BD146,BD152,BD157,BD167,BD170,BD171,BD180)</f>
        <v>98453.1642667087</v>
      </c>
      <c r="BE188" s="35">
        <f>SUM(BE135,BE136,BE140,BE144,BE145,BE146,BE152,BE157,BE167,BE170,BE171,BE180)</f>
        <v>101415.110484255</v>
      </c>
      <c r="BF188" s="35">
        <f>SUM(BF135,BF136,BF140,BF144,BF145,BF146,BF152,BF157,BF167,BF170,BF171,BF180)</f>
        <v>101415.110484255</v>
      </c>
      <c r="BG188" s="35" t="n"/>
      <c r="BH188" s="35" t="n"/>
      <c r="BI188" s="35" t="n"/>
      <c r="BJ188" s="35" t="n"/>
      <c r="BK188" s="35" t="n"/>
      <c r="BL188" s="35" t="n"/>
      <c r="BM188" s="35" t="n"/>
      <c r="BN188" s="35" t="n"/>
      <c r="BO188" s="35" t="n"/>
      <c r="BP188" s="35" t="n"/>
      <c r="BQ188" s="35" t="n"/>
      <c r="BR188" s="35" t="n"/>
      <c r="BS188" s="35" t="n"/>
      <c r="BT188" s="35" t="n"/>
      <c r="BU188" s="35" t="n"/>
      <c r="BV188" s="35" t="n"/>
      <c r="BW188" s="35" t="n"/>
      <c r="BX188" s="35" t="n"/>
      <c r="BY188" s="35" t="n"/>
      <c r="BZ188" s="35" t="n"/>
      <c r="CA188" s="35" t="n"/>
      <c r="CB188" s="35" t="n"/>
      <c r="CC188" s="35" t="n"/>
      <c r="CD188" s="35" t="n"/>
      <c r="CE188" s="35" t="n"/>
      <c r="CF188" s="35" t="n"/>
      <c r="CG188" s="35" t="n"/>
      <c r="CH188" s="35" t="n"/>
      <c r="CI188" s="35" t="n"/>
      <c r="CJ188" s="35" t="n"/>
      <c r="CK188" s="35" t="n"/>
      <c r="CL188" s="35" t="n"/>
      <c r="CM188" s="35" t="n"/>
      <c r="CN188" s="35" t="n"/>
      <c r="CO188" s="35" t="n"/>
      <c r="CP188" s="35" t="n"/>
      <c r="CQ188" s="35" t="n"/>
      <c r="CR188" s="35" t="n"/>
      <c r="CS188" s="35" t="n"/>
      <c r="CT188" s="35" t="n"/>
      <c r="CU188" s="35" t="n"/>
      <c r="CV188" s="35" t="n"/>
      <c r="CW188" s="35" t="n"/>
      <c r="CX188" s="35" t="n"/>
      <c r="CY188" s="35" t="n"/>
    </row>
    <row r="189">
      <c r="C189" s="14" t="inlineStr">
        <is>
          <t>Accounts payable</t>
        </is>
      </c>
      <c r="D189" s="46" t="n"/>
      <c r="E189" s="46" t="n"/>
      <c r="F189" s="46" t="n"/>
      <c r="G189" s="46" t="n"/>
      <c r="H189" s="12" t="n"/>
      <c r="I189" s="46">
        <f>'Inputs (2)'!D28</f>
        <v>1889</v>
      </c>
      <c r="J189" s="46">
        <f>'Inputs (2)'!E28</f>
        <v>1608</v>
      </c>
      <c r="K189" s="46">
        <f>'Inputs (2)'!F28</f>
        <v>1520</v>
      </c>
      <c r="L189" s="46">
        <f>'Inputs (2)'!G28</f>
        <v>780</v>
      </c>
      <c r="M189" s="12">
        <f>'Inputs (2)'!H28</f>
        <v>780</v>
      </c>
      <c r="N189" s="46">
        <f>'Inputs (2)'!I28</f>
        <v>2599</v>
      </c>
      <c r="O189" s="46">
        <f>'Inputs (2)'!J28</f>
        <v>2309</v>
      </c>
      <c r="P189" s="46">
        <f>'Inputs (2)'!K28</f>
        <v>2622</v>
      </c>
      <c r="Q189" s="46">
        <f>'Inputs (2)'!L28</f>
        <v>2117</v>
      </c>
      <c r="R189" s="12">
        <f>'Inputs (2)'!M28</f>
        <v>2117</v>
      </c>
      <c r="S189" s="46">
        <f>'Inputs (2)'!N28</f>
        <v>3271</v>
      </c>
      <c r="T189" s="46">
        <f>'Inputs (2)'!O28</f>
        <v>3466</v>
      </c>
      <c r="U189" s="46">
        <f>'Inputs (2)'!P28</f>
        <v>3817</v>
      </c>
      <c r="V189" s="46">
        <f>'Inputs (2)'!Q28</f>
        <v>2312</v>
      </c>
      <c r="W189" s="12">
        <f>'Inputs (2)'!R28</f>
        <v>2312</v>
      </c>
      <c r="X189" s="46">
        <f>'Inputs (2)'!S28</f>
        <v>3523</v>
      </c>
      <c r="Y189" s="46">
        <f>'Inputs (2)'!T28</f>
        <v>3282</v>
      </c>
      <c r="Z189" s="46">
        <f>'Inputs (2)'!U28</f>
        <v>3221</v>
      </c>
      <c r="AA189" s="46">
        <f>'Inputs (2)'!V28</f>
        <v>2222</v>
      </c>
      <c r="AB189" s="12">
        <f>'Inputs (2)'!W28</f>
        <v>2222</v>
      </c>
      <c r="AC189" s="46">
        <f>'Inputs (2)'!X28</f>
        <v>3821</v>
      </c>
      <c r="AD189" s="46">
        <f>'Inputs (2)'!Y28</f>
        <v>3653</v>
      </c>
      <c r="AE189" s="46">
        <f>'Inputs (2)'!Z28</f>
        <v>3834</v>
      </c>
      <c r="AF189" s="46">
        <f>'Inputs (2)'!AA28</f>
        <v>3630</v>
      </c>
      <c r="AG189" s="12">
        <f>'Inputs (2)'!AB28</f>
        <v>3630</v>
      </c>
      <c r="AH189" s="12">
        <f>'Inputs (2)'!AC28</f>
        <v>4707</v>
      </c>
      <c r="AI189" s="12">
        <f>'Inputs (2)'!AD28</f>
        <v>4915</v>
      </c>
      <c r="AJ189" s="12">
        <f>(AJ190/(AJ$5-AI$5))*-AJ$45</f>
        <v>4231.35380727031</v>
      </c>
      <c r="AK189" s="12">
        <f>(AK190/(AK$5-AJ$5))*-AK$45</f>
        <v>4620.63199083992</v>
      </c>
      <c r="AL189" s="12">
        <f>AK189</f>
        <v>4620.63199083992</v>
      </c>
      <c r="AM189" s="12">
        <f>(AM190/(AM$5-AL$5))*-AM$45</f>
        <v>4188.71208100936</v>
      </c>
      <c r="AN189" s="12">
        <f>(AN190/(AN$5-AM$5))*-AN$45</f>
        <v>4612.09891470706</v>
      </c>
      <c r="AO189" s="12">
        <f>(AO190/(AO$5-AN$5))*-AO$45</f>
        <v>4466.92476716641</v>
      </c>
      <c r="AP189" s="12">
        <f>(AP190/(AP$5-AO$5))*-AP$45</f>
        <v>4877.87512459501</v>
      </c>
      <c r="AQ189" s="12">
        <f>AP189</f>
        <v>4877.87512459501</v>
      </c>
      <c r="AR189" s="12">
        <f>(AR190/(AR$5-AQ$5))*-AR$45</f>
        <v>4352.60324153429</v>
      </c>
      <c r="AS189" s="12">
        <f>(AS190/(AS$5-AR$5))*-AS$45</f>
        <v>4845.80649436227</v>
      </c>
      <c r="AT189" s="12">
        <f>(AT190/(AT$5-AS$5))*-AT$45</f>
        <v>4693.27597843541</v>
      </c>
      <c r="AU189" s="12">
        <f>(AU190/(AU$5-AT$5))*-AU$45</f>
        <v>5125.0503067218</v>
      </c>
      <c r="AV189" s="12">
        <f>AU189</f>
        <v>5125.0503067218</v>
      </c>
      <c r="AW189" s="12">
        <f>(AW190/(AW$5-AV$5))*-AW$45</f>
        <v>4601.96954830256</v>
      </c>
      <c r="AX189" s="12">
        <f>(AX190/(AX$5-AW$5))*-AX$45</f>
        <v>5067.1276394167</v>
      </c>
      <c r="AY189" s="12">
        <f>(AY190/(AY$5-AX$5))*-AY$45</f>
        <v>4907.63064051535</v>
      </c>
      <c r="AZ189" s="12">
        <f>(AZ190/(AZ$5-AY$5))*-AZ$45</f>
        <v>5359.12527518471</v>
      </c>
      <c r="BA189" s="12">
        <f>AZ189</f>
        <v>5359.12527518471</v>
      </c>
      <c r="BB189" s="12">
        <f>(BB190/(BB$5-BA$5))*-BB$45</f>
        <v>4789.14414996507</v>
      </c>
      <c r="BC189" s="12">
        <f>(BC190/(BC$5-BB$5))*-BC$45</f>
        <v>5273.22148413385</v>
      </c>
      <c r="BD189" s="12">
        <f>(BD190/(BD$5-BC$5))*-BD$45</f>
        <v>5107.2373090523</v>
      </c>
      <c r="BE189" s="12">
        <f>(BE190/(BE$5-BD$5))*-BE$45</f>
        <v>5577.09545688923</v>
      </c>
      <c r="BF189" s="12">
        <f>BE189</f>
        <v>5577.09545688923</v>
      </c>
      <c r="BG189" s="12" t="n"/>
      <c r="BH189" s="12" t="n"/>
      <c r="BI189" s="12" t="n"/>
      <c r="BJ189" s="12" t="n"/>
      <c r="BK189" s="12" t="n"/>
      <c r="BL189" s="12" t="n"/>
      <c r="BM189" s="12" t="n"/>
      <c r="BN189" s="12" t="n"/>
      <c r="BO189" s="12" t="n"/>
      <c r="BP189" s="12" t="n"/>
      <c r="BQ189" s="12" t="n"/>
      <c r="BR189" s="12" t="n"/>
      <c r="BS189" s="12" t="n"/>
      <c r="BT189" s="12" t="n"/>
      <c r="BU189" s="12" t="n"/>
      <c r="BV189" s="12" t="n"/>
      <c r="BW189" s="12" t="n"/>
      <c r="BX189" s="12" t="n"/>
      <c r="BY189" s="12" t="n"/>
      <c r="BZ189" s="12" t="n"/>
      <c r="CA189" s="12" t="n"/>
      <c r="CB189" s="12" t="n"/>
      <c r="CC189" s="12" t="n"/>
      <c r="CD189" s="12" t="n"/>
      <c r="CE189" s="12" t="n"/>
      <c r="CF189" s="12" t="n"/>
      <c r="CG189" s="12" t="n"/>
      <c r="CH189" s="12" t="n"/>
      <c r="CI189" s="12" t="n"/>
      <c r="CJ189" s="12" t="n"/>
      <c r="CK189" s="12" t="n"/>
      <c r="CL189" s="12" t="n"/>
      <c r="CM189" s="12" t="n"/>
      <c r="CN189" s="12" t="n"/>
      <c r="CO189" s="12" t="n"/>
      <c r="CP189" s="12" t="n"/>
      <c r="CQ189" s="12" t="n"/>
      <c r="CR189" s="12" t="n"/>
      <c r="CS189" s="12" t="n"/>
      <c r="CT189" s="12" t="n"/>
      <c r="CU189" s="12" t="n"/>
      <c r="CV189" s="12" t="n"/>
      <c r="CW189" s="12" t="n"/>
      <c r="CX189" s="12" t="n"/>
      <c r="CY189" s="12" t="n"/>
    </row>
    <row r="190" hidden="1" outlineLevel="1">
      <c r="C190" s="57" t="inlineStr">
        <is>
          <t>DPO</t>
        </is>
      </c>
      <c r="D190" s="12" t="n"/>
      <c r="E190" s="12" t="n"/>
      <c r="F190" s="12" t="n"/>
      <c r="G190" s="12" t="n"/>
      <c r="H190" s="12" t="n"/>
      <c r="I190" s="12">
        <f>IFERROR(-(I189/I$45)*(I$5-H$5),"")</f>
        <v>12.0814383172257</v>
      </c>
      <c r="J190" s="12">
        <f>IFERROR(-(J189/J$45)*(J$5-I$5),"")</f>
        <v>9.83519290227181</v>
      </c>
      <c r="K190" s="12">
        <f>IFERROR(-(K189/K$45)*(K$5-J$5),"")</f>
        <v>10.1879644470348</v>
      </c>
      <c r="L190" s="12">
        <f>IFERROR(-(L189/L$45)*(L$5-K$5),"")</f>
        <v>4.68805121839681</v>
      </c>
      <c r="M190" s="12" t="n"/>
      <c r="N190" s="12">
        <f>IFERROR(-(N189/N$45)*(N$5-M$5),"")</f>
        <v>17.91727307545</v>
      </c>
      <c r="O190" s="12">
        <f>IFERROR(-(O189/O$45)*(O$5-N$5),"")</f>
        <v>15.5759080800593</v>
      </c>
      <c r="P190" s="12">
        <f>IFERROR(-(P189/P$45)*(P$5-O$5),"")</f>
        <v>16.6786973656918</v>
      </c>
      <c r="Q190" s="12">
        <f>IFERROR(-(Q189/Q$45)*(Q$5-P$5),"")</f>
        <v>11.6702019294146</v>
      </c>
      <c r="R190" s="12" t="n"/>
      <c r="S190" s="12">
        <f>IFERROR(-(S189/S$45)*(S$5-R$5),"")</f>
        <v>22.506880733945</v>
      </c>
      <c r="T190" s="12">
        <f>IFERROR(-(T189/T$45)*(T$5-S$5),"")</f>
        <v>21.5987125933027</v>
      </c>
      <c r="U190" s="12">
        <f>IFERROR(-(U189/U$45)*(U$5-T$5),"")</f>
        <v>23.6792987188132</v>
      </c>
      <c r="V190" s="12">
        <f>IFERROR(-(V189/V$45)*(V$5-U$5),"")</f>
        <v>12.8297243500814</v>
      </c>
      <c r="W190" s="12" t="n"/>
      <c r="X190" s="12">
        <f>IFERROR(-(X189/X$45)*(X$5-W$5),"")</f>
        <v>21.0888698855414</v>
      </c>
      <c r="Y190" s="12">
        <f>IFERROR(-(Y189/Y$45)*(Y$5-X$5),"")</f>
        <v>18.6757128564282</v>
      </c>
      <c r="Z190" s="12">
        <f>IFERROR(-(Z189/Z$45)*(Z$5-Y$5),"")</f>
        <v>19.7726029225329</v>
      </c>
      <c r="AA190" s="12">
        <f>IFERROR(-(AA189/AA$45)*(AA$5-Z$5),"")</f>
        <v>11.3999553870176</v>
      </c>
      <c r="AB190" s="12" t="n"/>
      <c r="AC190" s="12">
        <f>IFERROR(-(AC189/AC$45)*(AC$5-AB$5),"")</f>
        <v>21.9878516624041</v>
      </c>
      <c r="AD190" s="12">
        <f>IFERROR(-(AD189/AD$45)*(AD$5-AC$5),"")</f>
        <v>19.0817404282188</v>
      </c>
      <c r="AE190" s="12">
        <f>IFERROR(-(AE189/AE$45)*(AE$5-AD$5),"")</f>
        <v>21.5485368684709</v>
      </c>
      <c r="AF190" s="11">
        <f>IFERROR(-(AF189/AF$45)*(AF$5-AE$5),"")</f>
        <v>18.5543641313406</v>
      </c>
      <c r="AG190" s="12" t="n"/>
      <c r="AH190" s="11">
        <f>IFERROR(-(AH189/AH$45)*(AH$5-AG$5),"")</f>
        <v>26.5715360973468</v>
      </c>
      <c r="AI190" s="11">
        <f>IFERROR(-(AI189/AI$45)*(AI$5-AH$5),"")</f>
        <v>25.3882613384799</v>
      </c>
      <c r="AJ190" s="11">
        <f>Control!$B$27</f>
        <v>22.1887150877102</v>
      </c>
      <c r="AK190" s="11">
        <f>Control!$B$27</f>
        <v>22.1887150877102</v>
      </c>
      <c r="AL190" s="12" t="n"/>
      <c r="AM190" s="11">
        <f>Control!$C$27</f>
        <v>22.1887150877102</v>
      </c>
      <c r="AN190" s="11">
        <f>Control!$C$27</f>
        <v>22.1887150877102</v>
      </c>
      <c r="AO190" s="11">
        <f>Control!$C$27</f>
        <v>22.1887150877102</v>
      </c>
      <c r="AP190" s="11">
        <f>Control!$C$27</f>
        <v>22.1887150877102</v>
      </c>
      <c r="AQ190" s="12" t="n"/>
      <c r="AR190" s="11">
        <f>Control!$D$27</f>
        <v>22.1887150877102</v>
      </c>
      <c r="AS190" s="11">
        <f>Control!$D$27</f>
        <v>22.1887150877102</v>
      </c>
      <c r="AT190" s="11">
        <f>Control!$D$27</f>
        <v>22.1887150877102</v>
      </c>
      <c r="AU190" s="11">
        <f>Control!$D$27</f>
        <v>22.1887150877102</v>
      </c>
      <c r="AV190" s="12" t="n"/>
      <c r="AW190" s="11">
        <f>Control!$E$27</f>
        <v>22.1887150877102</v>
      </c>
      <c r="AX190" s="11">
        <f>Control!$E$27</f>
        <v>22.1887150877102</v>
      </c>
      <c r="AY190" s="11">
        <f>Control!$E$27</f>
        <v>22.1887150877102</v>
      </c>
      <c r="AZ190" s="11">
        <f>Control!$E$27</f>
        <v>22.1887150877102</v>
      </c>
      <c r="BA190" s="12" t="n"/>
      <c r="BB190" s="11">
        <f>Control!$F$27</f>
        <v>22.1887150877102</v>
      </c>
      <c r="BC190" s="11">
        <f>Control!$F$27</f>
        <v>22.1887150877102</v>
      </c>
      <c r="BD190" s="11">
        <f>Control!$F$27</f>
        <v>22.1887150877102</v>
      </c>
      <c r="BE190" s="11">
        <f>Control!$F$27</f>
        <v>22.1887150877102</v>
      </c>
      <c r="BF190" s="12" t="n"/>
      <c r="BG190" s="11" t="n"/>
      <c r="BH190" s="11" t="n"/>
      <c r="BI190" s="11" t="n"/>
      <c r="BJ190" s="11" t="n"/>
      <c r="BK190" s="12" t="n"/>
      <c r="BL190" s="11" t="n"/>
      <c r="BM190" s="11" t="n"/>
      <c r="BN190" s="11" t="n"/>
      <c r="BO190" s="11" t="n"/>
      <c r="BP190" s="12" t="n"/>
      <c r="BQ190" s="11" t="n"/>
      <c r="BR190" s="11" t="n"/>
      <c r="BS190" s="11" t="n"/>
      <c r="BT190" s="11" t="n"/>
      <c r="BU190" s="12" t="n"/>
      <c r="BV190" s="11" t="n"/>
      <c r="BW190" s="11" t="n"/>
      <c r="BX190" s="11" t="n"/>
      <c r="BY190" s="11" t="n"/>
      <c r="BZ190" s="12" t="n"/>
      <c r="CA190" s="11" t="n"/>
      <c r="CB190" s="11" t="n"/>
      <c r="CC190" s="11" t="n"/>
      <c r="CD190" s="11" t="n"/>
      <c r="CE190" s="12" t="n"/>
      <c r="CF190" s="11" t="n"/>
      <c r="CG190" s="11" t="n"/>
      <c r="CH190" s="11" t="n"/>
      <c r="CI190" s="11" t="n"/>
      <c r="CJ190" s="12" t="n"/>
      <c r="CK190" s="11" t="n"/>
      <c r="CL190" s="11" t="n"/>
      <c r="CM190" s="11" t="n"/>
      <c r="CN190" s="11" t="n"/>
      <c r="CO190" s="12" t="n"/>
      <c r="CP190" s="11" t="n"/>
      <c r="CQ190" s="11" t="n"/>
      <c r="CR190" s="11" t="n"/>
      <c r="CS190" s="11" t="n"/>
      <c r="CT190" s="12" t="n"/>
      <c r="CU190" s="11" t="n"/>
      <c r="CV190" s="11" t="n"/>
      <c r="CW190" s="11" t="n"/>
      <c r="CX190" s="11" t="n"/>
      <c r="CY190" s="12" t="n"/>
    </row>
    <row r="191" hidden="1" outlineLevel="1">
      <c r="C191" s="57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2" t="n"/>
      <c r="AK191" s="12" t="n"/>
      <c r="AL191" s="12" t="n"/>
      <c r="AM191" s="12" t="n"/>
      <c r="AN191" s="12" t="n"/>
      <c r="AO191" s="12" t="n"/>
      <c r="AP191" s="12" t="n"/>
      <c r="AQ191" s="12" t="n"/>
      <c r="AR191" s="12" t="n"/>
      <c r="AS191" s="12" t="n"/>
      <c r="AT191" s="12" t="n"/>
      <c r="AU191" s="12" t="n"/>
      <c r="AV191" s="12" t="n"/>
      <c r="AW191" s="12" t="n"/>
      <c r="AX191" s="12" t="n"/>
      <c r="AY191" s="12" t="n"/>
      <c r="AZ191" s="12" t="n"/>
      <c r="BA191" s="12" t="n"/>
      <c r="BB191" s="12" t="n"/>
      <c r="BC191" s="12" t="n"/>
      <c r="BD191" s="12" t="n"/>
      <c r="BE191" s="12" t="n"/>
      <c r="BF191" s="12" t="n"/>
      <c r="BG191" s="12" t="n"/>
      <c r="BH191" s="12" t="n"/>
      <c r="BI191" s="12" t="n"/>
      <c r="BJ191" s="12" t="n"/>
      <c r="BK191" s="12" t="n"/>
      <c r="BL191" s="12" t="n"/>
      <c r="BM191" s="12" t="n"/>
      <c r="BN191" s="12" t="n"/>
      <c r="BO191" s="12" t="n"/>
      <c r="BP191" s="12" t="n"/>
      <c r="BQ191" s="12" t="n"/>
      <c r="BR191" s="12" t="n"/>
      <c r="BS191" s="12" t="n"/>
      <c r="BT191" s="12" t="n"/>
      <c r="BU191" s="12" t="n"/>
      <c r="BV191" s="12" t="n"/>
      <c r="BW191" s="12" t="n"/>
      <c r="BX191" s="12" t="n"/>
      <c r="BY191" s="12" t="n"/>
      <c r="BZ191" s="12" t="n"/>
      <c r="CA191" s="12" t="n"/>
      <c r="CB191" s="12" t="n"/>
      <c r="CC191" s="12" t="n"/>
      <c r="CD191" s="12" t="n"/>
      <c r="CE191" s="12" t="n"/>
      <c r="CF191" s="12" t="n"/>
      <c r="CG191" s="12" t="n"/>
      <c r="CH191" s="12" t="n"/>
      <c r="CI191" s="12" t="n"/>
      <c r="CJ191" s="12" t="n"/>
      <c r="CK191" s="12" t="n"/>
      <c r="CL191" s="12" t="n"/>
      <c r="CM191" s="12" t="n"/>
      <c r="CN191" s="12" t="n"/>
      <c r="CO191" s="12" t="n"/>
      <c r="CP191" s="12" t="n"/>
      <c r="CQ191" s="12" t="n"/>
      <c r="CR191" s="12" t="n"/>
      <c r="CS191" s="12" t="n"/>
      <c r="CT191" s="12" t="n"/>
      <c r="CU191" s="12" t="n"/>
      <c r="CV191" s="12" t="n"/>
      <c r="CW191" s="12" t="n"/>
      <c r="CX191" s="12" t="n"/>
      <c r="CY191" s="12" t="n"/>
    </row>
    <row r="192" hidden="1" outlineLevel="1">
      <c r="C192" s="57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  <c r="BE192" s="12" t="n"/>
      <c r="BF192" s="12" t="n"/>
      <c r="BG192" s="12" t="n"/>
      <c r="BH192" s="12" t="n"/>
      <c r="BI192" s="12" t="n"/>
      <c r="BJ192" s="12" t="n"/>
      <c r="BK192" s="12" t="n"/>
      <c r="BL192" s="12" t="n"/>
      <c r="BM192" s="12" t="n"/>
      <c r="BN192" s="12" t="n"/>
      <c r="BO192" s="12" t="n"/>
      <c r="BP192" s="12" t="n"/>
      <c r="BQ192" s="12" t="n"/>
      <c r="BR192" s="12" t="n"/>
      <c r="BS192" s="12" t="n"/>
      <c r="BT192" s="12" t="n"/>
      <c r="BU192" s="12" t="n"/>
      <c r="BV192" s="12" t="n"/>
      <c r="BW192" s="12" t="n"/>
      <c r="BX192" s="12" t="n"/>
      <c r="BY192" s="12" t="n"/>
      <c r="BZ192" s="12" t="n"/>
      <c r="CA192" s="12" t="n"/>
      <c r="CB192" s="12" t="n"/>
      <c r="CC192" s="12" t="n"/>
      <c r="CD192" s="12" t="n"/>
      <c r="CE192" s="12" t="n"/>
      <c r="CF192" s="12" t="n"/>
      <c r="CG192" s="12" t="n"/>
      <c r="CH192" s="12" t="n"/>
      <c r="CI192" s="12" t="n"/>
      <c r="CJ192" s="12" t="n"/>
      <c r="CK192" s="12" t="n"/>
      <c r="CL192" s="12" t="n"/>
      <c r="CM192" s="12" t="n"/>
      <c r="CN192" s="12" t="n"/>
      <c r="CO192" s="12" t="n"/>
      <c r="CP192" s="12" t="n"/>
      <c r="CQ192" s="12" t="n"/>
      <c r="CR192" s="12" t="n"/>
      <c r="CS192" s="12" t="n"/>
      <c r="CT192" s="12" t="n"/>
      <c r="CU192" s="12" t="n"/>
      <c r="CV192" s="12" t="n"/>
      <c r="CW192" s="12" t="n"/>
      <c r="CX192" s="12" t="n"/>
      <c r="CY192" s="12" t="n"/>
    </row>
    <row r="193" collapsed="1">
      <c r="C193" s="14" t="inlineStr">
        <is>
          <t>Accrued expenses</t>
        </is>
      </c>
      <c r="D193" s="46" t="n"/>
      <c r="E193" s="46" t="n"/>
      <c r="F193" s="46" t="n"/>
      <c r="G193" s="46" t="n"/>
      <c r="H193" s="12" t="n"/>
      <c r="I193" s="46">
        <f>'Inputs (2)'!D29</f>
        <v>2794</v>
      </c>
      <c r="J193" s="46">
        <f>'Inputs (2)'!E29</f>
        <v>3029</v>
      </c>
      <c r="K193" s="46">
        <f>'Inputs (2)'!F29</f>
        <v>3122</v>
      </c>
      <c r="L193" s="46">
        <f>'Inputs (2)'!G29</f>
        <v>3108</v>
      </c>
      <c r="M193" s="12">
        <f>'Inputs (2)'!H29</f>
        <v>3108</v>
      </c>
      <c r="N193" s="46">
        <f>'Inputs (2)'!I29</f>
        <v>2671</v>
      </c>
      <c r="O193" s="46">
        <f>'Inputs (2)'!J29</f>
        <v>2935</v>
      </c>
      <c r="P193" s="46">
        <f>'Inputs (2)'!K29</f>
        <v>3151</v>
      </c>
      <c r="Q193" s="46">
        <f>'Inputs (2)'!L29</f>
        <v>3075</v>
      </c>
      <c r="R193" s="12">
        <f>'Inputs (2)'!M29</f>
        <v>3075</v>
      </c>
      <c r="S193" s="46">
        <f>'Inputs (2)'!N29</f>
        <v>2634</v>
      </c>
      <c r="T193" s="46">
        <f>'Inputs (2)'!O29</f>
        <v>2896</v>
      </c>
      <c r="U193" s="46">
        <f>'Inputs (2)'!P29</f>
        <v>3139</v>
      </c>
      <c r="V193" s="46">
        <f>'Inputs (2)'!Q29</f>
        <v>3133</v>
      </c>
      <c r="W193" s="12">
        <f>'Inputs (2)'!R29</f>
        <v>3133</v>
      </c>
      <c r="X193" s="46">
        <f>'Inputs (2)'!S29</f>
        <v>2679</v>
      </c>
      <c r="Y193" s="46">
        <f>'Inputs (2)'!T29</f>
        <v>2871</v>
      </c>
      <c r="Z193" s="46">
        <f>'Inputs (2)'!U29</f>
        <v>3076</v>
      </c>
      <c r="AA193" s="46">
        <f>'Inputs (2)'!V29</f>
        <v>3125</v>
      </c>
      <c r="AB193" s="12">
        <f>'Inputs (2)'!W29</f>
        <v>3125</v>
      </c>
      <c r="AC193" s="46">
        <f>'Inputs (2)'!X29</f>
        <v>2391</v>
      </c>
      <c r="AD193" s="46">
        <f>'Inputs (2)'!Y29</f>
        <v>2761</v>
      </c>
      <c r="AE193" s="46">
        <f>'Inputs (2)'!Z29</f>
        <v>3065</v>
      </c>
      <c r="AF193" s="46">
        <f>'Inputs (2)'!AA29</f>
        <v>3184</v>
      </c>
      <c r="AG193" s="12">
        <f>'Inputs (2)'!AB29</f>
        <v>3184</v>
      </c>
      <c r="AH193" s="12">
        <f>'Inputs (2)'!AC29</f>
        <v>2676</v>
      </c>
      <c r="AI193" s="12">
        <f>'Inputs (2)'!AD29</f>
        <v>3003</v>
      </c>
      <c r="AJ193" s="12">
        <f>AI193*(1+AJ16)</f>
        <v>3170.18516692045</v>
      </c>
      <c r="AK193" s="12">
        <f>AJ193*(1+AK16)</f>
        <v>3346.67798620128</v>
      </c>
      <c r="AL193" s="12">
        <f>AK193</f>
        <v>3346.67798620128</v>
      </c>
      <c r="AM193" s="12">
        <f>AL193*(1+AM16)</f>
        <v>3532.99664013137</v>
      </c>
      <c r="AN193" s="12">
        <f>AM193*(1+AN16)</f>
        <v>3729.68815961514</v>
      </c>
      <c r="AO193" s="12">
        <f>AN193*(1+AO16)</f>
        <v>3937.33003025333</v>
      </c>
      <c r="AP193" s="12">
        <f>AO193*(1+AP16)</f>
        <v>4156.53188783868</v>
      </c>
      <c r="AQ193" s="12">
        <f>AP193</f>
        <v>4156.53188783868</v>
      </c>
      <c r="AR193" s="12">
        <f>AQ193*(1+AR16)</f>
        <v>4367.15464880524</v>
      </c>
      <c r="AS193" s="12">
        <f>AR193*(1+AS16)</f>
        <v>4588.45023717558</v>
      </c>
      <c r="AT193" s="12">
        <f>AS193*(1+AT16)</f>
        <v>4820.95947410438</v>
      </c>
      <c r="AU193" s="12">
        <f>AT193*(1+AU16)</f>
        <v>5065.25058562326</v>
      </c>
      <c r="AV193" s="12">
        <f>AU193</f>
        <v>5065.25058562326</v>
      </c>
      <c r="AW193" s="12">
        <f>AV193*(1+AW16)</f>
        <v>5296.59433839218</v>
      </c>
      <c r="AX193" s="12">
        <f>AW193*(1+AX16)</f>
        <v>5538.5041887392</v>
      </c>
      <c r="AY193" s="12">
        <f>AX193*(1+AY16)</f>
        <v>5791.46271904094</v>
      </c>
      <c r="AZ193" s="12">
        <f>AY193*(1+AZ16)</f>
        <v>6055.974552522</v>
      </c>
      <c r="BA193" s="12">
        <f>AZ193</f>
        <v>6055.974552522</v>
      </c>
      <c r="BB193" s="12">
        <f>BA193*(1+BB16)</f>
        <v>6302.28748715771</v>
      </c>
      <c r="BC193" s="12">
        <f>BB193*(1+BC16)</f>
        <v>6558.61863789435</v>
      </c>
      <c r="BD193" s="12">
        <f>BC193*(1+BD16)</f>
        <v>6825.37547279278</v>
      </c>
      <c r="BE193" s="12">
        <f>BD193*(1+BE16)</f>
        <v>7102.98203274671</v>
      </c>
      <c r="BF193" s="12">
        <f>BE193</f>
        <v>7102.98203274671</v>
      </c>
      <c r="BG193" s="12" t="n"/>
      <c r="BH193" s="12" t="n"/>
      <c r="BI193" s="12" t="n"/>
      <c r="BJ193" s="12" t="n"/>
      <c r="BK193" s="12" t="n"/>
      <c r="BL193" s="12" t="n"/>
      <c r="BM193" s="12" t="n"/>
      <c r="BN193" s="12" t="n"/>
      <c r="BO193" s="12" t="n"/>
      <c r="BP193" s="12" t="n"/>
      <c r="BQ193" s="12" t="n"/>
      <c r="BR193" s="12" t="n"/>
      <c r="BS193" s="12" t="n"/>
      <c r="BT193" s="12" t="n"/>
      <c r="BU193" s="12" t="n"/>
      <c r="BV193" s="12" t="n"/>
      <c r="BW193" s="12" t="n"/>
      <c r="BX193" s="12" t="n"/>
      <c r="BY193" s="12" t="n"/>
      <c r="BZ193" s="12" t="n"/>
      <c r="CA193" s="12" t="n"/>
      <c r="CB193" s="12" t="n"/>
      <c r="CC193" s="12" t="n"/>
      <c r="CD193" s="12" t="n"/>
      <c r="CE193" s="12" t="n"/>
      <c r="CF193" s="12" t="n"/>
      <c r="CG193" s="12" t="n"/>
      <c r="CH193" s="12" t="n"/>
      <c r="CI193" s="12" t="n"/>
      <c r="CJ193" s="12" t="n"/>
      <c r="CK193" s="12" t="n"/>
      <c r="CL193" s="12" t="n"/>
      <c r="CM193" s="12" t="n"/>
      <c r="CN193" s="12" t="n"/>
      <c r="CO193" s="12" t="n"/>
      <c r="CP193" s="12" t="n"/>
      <c r="CQ193" s="12" t="n"/>
      <c r="CR193" s="12" t="n"/>
      <c r="CS193" s="12" t="n"/>
      <c r="CT193" s="12" t="n"/>
      <c r="CU193" s="12" t="n"/>
      <c r="CV193" s="12" t="n"/>
      <c r="CW193" s="12" t="n"/>
      <c r="CX193" s="12" t="n"/>
      <c r="CY193" s="12" t="n"/>
    </row>
    <row r="194" hidden="1" outlineLevel="1">
      <c r="C194" s="59" t="inlineStr">
        <is>
          <t>%(Var.)</t>
        </is>
      </c>
      <c r="D194" s="12" t="n"/>
      <c r="E194" s="40" t="n"/>
      <c r="F194" s="40" t="n"/>
      <c r="G194" s="40" t="n"/>
      <c r="H194" s="12" t="n"/>
      <c r="I194" s="40" t="str">
        <f>""</f>
        <v/>
      </c>
      <c r="J194" s="40">
        <f>IFERROR(IF(I193=0,"",J193/I193-1),"")</f>
        <v>0.0841088045812455</v>
      </c>
      <c r="K194" s="40">
        <f>IFERROR(IF(J193=0,"",K193/J193-1),"")</f>
        <v>0.0307032023770222</v>
      </c>
      <c r="L194" s="40">
        <f>IFERROR(IF(K193=0,"",L193/K193-1),"")</f>
        <v>-0.00448430493273544</v>
      </c>
      <c r="M194" s="12">
        <f>IF(L193=0,"",M193/L193-1)</f>
        <v>0</v>
      </c>
      <c r="N194" s="40">
        <f>IFERROR(IF(M193=0,"",N193/M193-1),"")</f>
        <v>-0.140604890604891</v>
      </c>
      <c r="O194" s="40">
        <f>IFERROR(IF(N193=0,"",O193/N193-1),"")</f>
        <v>0.0988393859977537</v>
      </c>
      <c r="P194" s="40">
        <f>IFERROR(IF(O193=0,"",P193/O193-1),"")</f>
        <v>0.0735945485519591</v>
      </c>
      <c r="Q194" s="40">
        <f>IFERROR(IF(P193=0,"",Q193/P193-1),"")</f>
        <v>-0.024119327197715</v>
      </c>
      <c r="R194" s="12">
        <f>IF(Q193=0,"",R193/Q193-1)</f>
        <v>0</v>
      </c>
      <c r="S194" s="40">
        <f>IFERROR(IF(R193=0,"",S193/R193-1),"")</f>
        <v>-0.143414634146341</v>
      </c>
      <c r="T194" s="40">
        <f>IFERROR(IF(S193=0,"",T193/S193-1),"")</f>
        <v>0.0994684889901292</v>
      </c>
      <c r="U194" s="40">
        <f>IFERROR(IF(T193=0,"",U193/T193-1),"")</f>
        <v>0.0839088397790055</v>
      </c>
      <c r="V194" s="40">
        <f>IFERROR(IF(U193=0,"",V193/U193-1),"")</f>
        <v>-0.00191143676330041</v>
      </c>
      <c r="W194" s="12">
        <f>IF(V193=0,"",W193/V193-1)</f>
        <v>0</v>
      </c>
      <c r="X194" s="40">
        <f>IFERROR(IF(W193=0,"",X193/W193-1),"")</f>
        <v>-0.144909032875838</v>
      </c>
      <c r="Y194" s="40">
        <f>IFERROR(IF(X193=0,"",Y193/X193-1),"")</f>
        <v>0.0716685330347144</v>
      </c>
      <c r="Z194" s="40">
        <f>IFERROR(IF(Y193=0,"",Z193/Y193-1),"")</f>
        <v>0.0714036920933472</v>
      </c>
      <c r="AA194" s="40">
        <f>IFERROR(IF(Z193=0,"",AA193/Z193-1),"")</f>
        <v>0.0159297789336801</v>
      </c>
      <c r="AB194" s="12">
        <f>IF(AA193=0,"",AB193/AA193-1)</f>
        <v>0</v>
      </c>
      <c r="AC194" s="40">
        <f>IFERROR(IF(AB193=0,"",AC193/AB193-1),"")</f>
        <v>-0.23488</v>
      </c>
      <c r="AD194" s="40">
        <f>IFERROR(IF(AC193=0,"",AD193/AC193-1),"")</f>
        <v>0.154746967795901</v>
      </c>
      <c r="AE194" s="40">
        <f>IFERROR(IF(AD193=0,"",AE193/AD193-1),"")</f>
        <v>0.110105034407823</v>
      </c>
      <c r="AF194" s="55">
        <f>IFERROR(IF(AE193=0,"",AF193/AE193-1),"")</f>
        <v>0.0388254486133768</v>
      </c>
      <c r="AG194" s="12">
        <f>IF(AF193=0,"",AG193/AF193-1)</f>
        <v>0</v>
      </c>
      <c r="AH194" s="55">
        <f>IFERROR(IF(AG193=0,"",AH193/AG193-1),"")</f>
        <v>-0.159547738693467</v>
      </c>
      <c r="AI194" s="55">
        <f>IFERROR(IF(AH193=0,"",AI193/AH193-1),"")</f>
        <v>0.12219730941704</v>
      </c>
      <c r="AJ194" s="55">
        <f>IFERROR(IF(AI193=0,"",AJ193/AI193-1),"")</f>
        <v>0.0556727162572264</v>
      </c>
      <c r="AK194" s="55">
        <f>IF(AJ193=0,"",AK193/AJ193-1)</f>
        <v>0.0556727162572264</v>
      </c>
      <c r="AL194" s="12">
        <f>IF(AK193=0,"",AL193/AK193-1)</f>
        <v>0</v>
      </c>
      <c r="AM194" s="55">
        <f>IF(AL193=0,"",AM193/AL193-1)</f>
        <v>0.0556727162572264</v>
      </c>
      <c r="AN194" s="55">
        <f>IF(AM193=0,"",AN193/AM193-1)</f>
        <v>0.0556727162572264</v>
      </c>
      <c r="AO194" s="55">
        <f>IF(AN193=0,"",AO193/AN193-1)</f>
        <v>0.0556727162572264</v>
      </c>
      <c r="AP194" s="55">
        <f>IF(AO193=0,"",AP193/AO193-1)</f>
        <v>0.0556727162572264</v>
      </c>
      <c r="AQ194" s="12">
        <f>IF(AP193=0,"",AQ193/AP193-1)</f>
        <v>0</v>
      </c>
      <c r="AR194" s="55">
        <f>IF(AQ193=0,"",AR193/AQ193-1)</f>
        <v>0.0506727162572265</v>
      </c>
      <c r="AS194" s="55">
        <f>IF(AR193=0,"",AS193/AR193-1)</f>
        <v>0.0506727162572265</v>
      </c>
      <c r="AT194" s="55">
        <f>IF(AS193=0,"",AT193/AS193-1)</f>
        <v>0.0506727162572265</v>
      </c>
      <c r="AU194" s="55">
        <f>IF(AT193=0,"",AU193/AT193-1)</f>
        <v>0.0506727162572265</v>
      </c>
      <c r="AV194" s="12">
        <f>IF(AU193=0,"",AV193/AU193-1)</f>
        <v>0</v>
      </c>
      <c r="AW194" s="55">
        <f>IF(AV193=0,"",AW193/AV193-1)</f>
        <v>0.0456727162572264</v>
      </c>
      <c r="AX194" s="55">
        <f>IF(AW193=0,"",AX193/AW193-1)</f>
        <v>0.0456727162572264</v>
      </c>
      <c r="AY194" s="55">
        <f>IF(AX193=0,"",AY193/AX193-1)</f>
        <v>0.0456727162572264</v>
      </c>
      <c r="AZ194" s="55">
        <f>IF(AY193=0,"",AZ193/AY193-1)</f>
        <v>0.0456727162572264</v>
      </c>
      <c r="BA194" s="12">
        <f>IF(AZ193=0,"",BA193/AZ193-1)</f>
        <v>0</v>
      </c>
      <c r="BB194" s="55">
        <f>IF(BA193=0,"",BB193/BA193-1)</f>
        <v>0.0406727162572265</v>
      </c>
      <c r="BC194" s="55">
        <f>IF(BB193=0,"",BC193/BB193-1)</f>
        <v>0.0406727162572265</v>
      </c>
      <c r="BD194" s="55">
        <f>IF(BC193=0,"",BD193/BC193-1)</f>
        <v>0.0406727162572265</v>
      </c>
      <c r="BE194" s="55">
        <f>IF(BD193=0,"",BE193/BD193-1)</f>
        <v>0.0406727162572265</v>
      </c>
      <c r="BF194" s="12">
        <f>IF(BE193=0,"",BF193/BE193-1)</f>
        <v>0</v>
      </c>
      <c r="BG194" s="55" t="n"/>
      <c r="BH194" s="55" t="n"/>
      <c r="BI194" s="55" t="n"/>
      <c r="BJ194" s="55" t="n"/>
      <c r="BK194" s="12" t="n"/>
      <c r="BL194" s="55" t="n"/>
      <c r="BM194" s="55" t="n"/>
      <c r="BN194" s="55" t="n"/>
      <c r="BO194" s="55" t="n"/>
      <c r="BP194" s="12" t="n"/>
      <c r="BQ194" s="55" t="n"/>
      <c r="BR194" s="55" t="n"/>
      <c r="BS194" s="55" t="n"/>
      <c r="BT194" s="55" t="n"/>
      <c r="BU194" s="12" t="n"/>
      <c r="BV194" s="55" t="n"/>
      <c r="BW194" s="55" t="n"/>
      <c r="BX194" s="55" t="n"/>
      <c r="BY194" s="55" t="n"/>
      <c r="BZ194" s="12" t="n"/>
      <c r="CA194" s="55" t="n"/>
      <c r="CB194" s="55" t="n"/>
      <c r="CC194" s="55" t="n"/>
      <c r="CD194" s="55" t="n"/>
      <c r="CE194" s="12" t="n"/>
      <c r="CF194" s="55" t="n"/>
      <c r="CG194" s="55" t="n"/>
      <c r="CH194" s="55" t="n"/>
      <c r="CI194" s="55" t="n"/>
      <c r="CJ194" s="12" t="n"/>
      <c r="CK194" s="55" t="n"/>
      <c r="CL194" s="55" t="n"/>
      <c r="CM194" s="55" t="n"/>
      <c r="CN194" s="55" t="n"/>
      <c r="CO194" s="12" t="n"/>
      <c r="CP194" s="55" t="n"/>
      <c r="CQ194" s="55" t="n"/>
      <c r="CR194" s="55" t="n"/>
      <c r="CS194" s="55" t="n"/>
      <c r="CT194" s="12" t="n"/>
      <c r="CU194" s="55" t="n"/>
      <c r="CV194" s="55" t="n"/>
      <c r="CW194" s="55" t="n"/>
      <c r="CX194" s="55" t="n"/>
      <c r="CY194" s="12" t="n"/>
    </row>
    <row r="195" collapsed="1">
      <c r="C195" s="14" t="inlineStr">
        <is>
          <t>Taxes payable</t>
        </is>
      </c>
      <c r="D195" s="46" t="n"/>
      <c r="E195" s="46" t="n"/>
      <c r="F195" s="46" t="n"/>
      <c r="G195" s="46" t="n"/>
      <c r="H195" s="12" t="n"/>
      <c r="I195" s="46">
        <f>'Inputs (2)'!D30</f>
        <v>0</v>
      </c>
      <c r="J195" s="46">
        <f>'Inputs (2)'!E30</f>
        <v>0</v>
      </c>
      <c r="K195" s="46">
        <f>'Inputs (2)'!F30</f>
        <v>0</v>
      </c>
      <c r="L195" s="46">
        <f>'Inputs (2)'!G30</f>
        <v>0</v>
      </c>
      <c r="M195" s="12">
        <f>'Inputs (2)'!H30</f>
        <v>0</v>
      </c>
      <c r="N195" s="46">
        <f>'Inputs (2)'!I30</f>
        <v>0</v>
      </c>
      <c r="O195" s="46">
        <f>'Inputs (2)'!J30</f>
        <v>0</v>
      </c>
      <c r="P195" s="46">
        <f>'Inputs (2)'!K30</f>
        <v>0</v>
      </c>
      <c r="Q195" s="46">
        <f>'Inputs (2)'!L30</f>
        <v>0</v>
      </c>
      <c r="R195" s="12">
        <f>'Inputs (2)'!M30</f>
        <v>0</v>
      </c>
      <c r="S195" s="46">
        <f>'Inputs (2)'!N30</f>
        <v>0</v>
      </c>
      <c r="T195" s="46">
        <f>'Inputs (2)'!O30</f>
        <v>0</v>
      </c>
      <c r="U195" s="46">
        <f>'Inputs (2)'!P30</f>
        <v>0</v>
      </c>
      <c r="V195" s="46">
        <f>'Inputs (2)'!Q30</f>
        <v>0</v>
      </c>
      <c r="W195" s="12">
        <f>'Inputs (2)'!R30</f>
        <v>0</v>
      </c>
      <c r="X195" s="46">
        <f>'Inputs (2)'!S30</f>
        <v>0</v>
      </c>
      <c r="Y195" s="46">
        <f>'Inputs (2)'!T30</f>
        <v>0</v>
      </c>
      <c r="Z195" s="46">
        <f>'Inputs (2)'!U30</f>
        <v>0</v>
      </c>
      <c r="AA195" s="46">
        <f>'Inputs (2)'!V30</f>
        <v>0</v>
      </c>
      <c r="AB195" s="12">
        <f>'Inputs (2)'!W30</f>
        <v>0</v>
      </c>
      <c r="AC195" s="46">
        <f>'Inputs (2)'!X30</f>
        <v>0</v>
      </c>
      <c r="AD195" s="46">
        <f>'Inputs (2)'!Y30</f>
        <v>0</v>
      </c>
      <c r="AE195" s="46">
        <f>'Inputs (2)'!Z30</f>
        <v>0</v>
      </c>
      <c r="AF195" s="46">
        <f>'Inputs (2)'!AA30</f>
        <v>0</v>
      </c>
      <c r="AG195" s="12">
        <f>'Inputs (2)'!AB30</f>
        <v>0</v>
      </c>
      <c r="AH195" s="12">
        <f>'Inputs (2)'!AC30</f>
        <v>0</v>
      </c>
      <c r="AI195" s="12">
        <f>'Inputs (2)'!AD30</f>
        <v>0</v>
      </c>
      <c r="AJ195" s="12">
        <f>AI195*(1+AJ16)</f>
        <v>0</v>
      </c>
      <c r="AK195" s="12">
        <f>AJ195*(1+AK16)</f>
        <v>0</v>
      </c>
      <c r="AL195" s="12">
        <f>AK195</f>
        <v>0</v>
      </c>
      <c r="AM195" s="12">
        <f>AL195*(1+AM16)</f>
        <v>0</v>
      </c>
      <c r="AN195" s="12">
        <f>AM195*(1+AN16)</f>
        <v>0</v>
      </c>
      <c r="AO195" s="12">
        <f>AN195*(1+AO16)</f>
        <v>0</v>
      </c>
      <c r="AP195" s="12">
        <f>AO195*(1+AP16)</f>
        <v>0</v>
      </c>
      <c r="AQ195" s="12">
        <f>AP195</f>
        <v>0</v>
      </c>
      <c r="AR195" s="12">
        <f>AQ195*(1+AR16)</f>
        <v>0</v>
      </c>
      <c r="AS195" s="12">
        <f>AR195*(1+AS16)</f>
        <v>0</v>
      </c>
      <c r="AT195" s="12">
        <f>AS195*(1+AT16)</f>
        <v>0</v>
      </c>
      <c r="AU195" s="12">
        <f>AT195*(1+AU16)</f>
        <v>0</v>
      </c>
      <c r="AV195" s="12">
        <f>AU195</f>
        <v>0</v>
      </c>
      <c r="AW195" s="12">
        <f>AV195*(1+AW16)</f>
        <v>0</v>
      </c>
      <c r="AX195" s="12">
        <f>AW195*(1+AX16)</f>
        <v>0</v>
      </c>
      <c r="AY195" s="12">
        <f>AX195*(1+AY16)</f>
        <v>0</v>
      </c>
      <c r="AZ195" s="12">
        <f>AY195*(1+AZ16)</f>
        <v>0</v>
      </c>
      <c r="BA195" s="12">
        <f>AZ195</f>
        <v>0</v>
      </c>
      <c r="BB195" s="12">
        <f>BA195*(1+BB16)</f>
        <v>0</v>
      </c>
      <c r="BC195" s="12">
        <f>BB195*(1+BC16)</f>
        <v>0</v>
      </c>
      <c r="BD195" s="12">
        <f>BC195*(1+BD16)</f>
        <v>0</v>
      </c>
      <c r="BE195" s="12">
        <f>BD195*(1+BE16)</f>
        <v>0</v>
      </c>
      <c r="BF195" s="12">
        <f>BE195</f>
        <v>0</v>
      </c>
      <c r="BG195" s="12" t="n"/>
      <c r="BH195" s="12" t="n"/>
      <c r="BI195" s="12" t="n"/>
      <c r="BJ195" s="12" t="n"/>
      <c r="BK195" s="12" t="n"/>
      <c r="BL195" s="12" t="n"/>
      <c r="BM195" s="12" t="n"/>
      <c r="BN195" s="12" t="n"/>
      <c r="BO195" s="12" t="n"/>
      <c r="BP195" s="12" t="n"/>
      <c r="BQ195" s="12" t="n"/>
      <c r="BR195" s="12" t="n"/>
      <c r="BS195" s="12" t="n"/>
      <c r="BT195" s="12" t="n"/>
      <c r="BU195" s="12" t="n"/>
      <c r="BV195" s="12" t="n"/>
      <c r="BW195" s="12" t="n"/>
      <c r="BX195" s="12" t="n"/>
      <c r="BY195" s="12" t="n"/>
      <c r="BZ195" s="12" t="n"/>
      <c r="CA195" s="12" t="n"/>
      <c r="CB195" s="12" t="n"/>
      <c r="CC195" s="12" t="n"/>
      <c r="CD195" s="12" t="n"/>
      <c r="CE195" s="12" t="n"/>
      <c r="CF195" s="12" t="n"/>
      <c r="CG195" s="12" t="n"/>
      <c r="CH195" s="12" t="n"/>
      <c r="CI195" s="12" t="n"/>
      <c r="CJ195" s="12" t="n"/>
      <c r="CK195" s="12" t="n"/>
      <c r="CL195" s="12" t="n"/>
      <c r="CM195" s="12" t="n"/>
      <c r="CN195" s="12" t="n"/>
      <c r="CO195" s="12" t="n"/>
      <c r="CP195" s="12" t="n"/>
      <c r="CQ195" s="12" t="n"/>
      <c r="CR195" s="12" t="n"/>
      <c r="CS195" s="12" t="n"/>
      <c r="CT195" s="12" t="n"/>
      <c r="CU195" s="12" t="n"/>
      <c r="CV195" s="12" t="n"/>
      <c r="CW195" s="12" t="n"/>
      <c r="CX195" s="12" t="n"/>
      <c r="CY195" s="12" t="n"/>
    </row>
    <row r="196">
      <c r="C196" s="14" t="inlineStr">
        <is>
          <t>Other current liabilities (non-debt)</t>
        </is>
      </c>
      <c r="D196" s="46" t="n"/>
      <c r="E196" s="46" t="n"/>
      <c r="F196" s="46" t="n"/>
      <c r="G196" s="46" t="n"/>
      <c r="H196" s="12" t="n"/>
      <c r="I196" s="46">
        <f>'Inputs (2)'!D31</f>
        <v>9528</v>
      </c>
      <c r="J196" s="46">
        <f>'Inputs (2)'!E31</f>
        <v>10099</v>
      </c>
      <c r="K196" s="46">
        <f>'Inputs (2)'!F31</f>
        <v>10378</v>
      </c>
      <c r="L196" s="46">
        <f>'Inputs (2)'!G31</f>
        <v>10103</v>
      </c>
      <c r="M196" s="12">
        <f>'Inputs (2)'!H31</f>
        <v>10103</v>
      </c>
      <c r="N196" s="46">
        <f>'Inputs (2)'!I31</f>
        <v>10277</v>
      </c>
      <c r="O196" s="46">
        <f>'Inputs (2)'!J31</f>
        <v>11235</v>
      </c>
      <c r="P196" s="46">
        <f>'Inputs (2)'!K31</f>
        <v>10574</v>
      </c>
      <c r="Q196" s="46">
        <f>'Inputs (2)'!L31</f>
        <v>10695</v>
      </c>
      <c r="R196" s="12">
        <f>'Inputs (2)'!M31</f>
        <v>10695</v>
      </c>
      <c r="S196" s="46">
        <f>'Inputs (2)'!N31</f>
        <v>10962</v>
      </c>
      <c r="T196" s="46">
        <f>'Inputs (2)'!O31</f>
        <v>11059</v>
      </c>
      <c r="U196" s="46">
        <f>'Inputs (2)'!P31</f>
        <v>10069</v>
      </c>
      <c r="V196" s="46">
        <f>'Inputs (2)'!Q31</f>
        <v>11324</v>
      </c>
      <c r="W196" s="12">
        <f>'Inputs (2)'!R31</f>
        <v>11324</v>
      </c>
      <c r="X196" s="46">
        <f>'Inputs (2)'!S31</f>
        <v>11329</v>
      </c>
      <c r="Y196" s="46">
        <f>'Inputs (2)'!T31</f>
        <v>12198</v>
      </c>
      <c r="Z196" s="46">
        <f>'Inputs (2)'!U31</f>
        <v>11371</v>
      </c>
      <c r="AA196" s="46">
        <f>'Inputs (2)'!V31</f>
        <v>13430</v>
      </c>
      <c r="AB196" s="12">
        <f>'Inputs (2)'!W31</f>
        <v>13430</v>
      </c>
      <c r="AC196" s="46">
        <f>'Inputs (2)'!X31</f>
        <v>13332</v>
      </c>
      <c r="AD196" s="46">
        <f>'Inputs (2)'!Y31</f>
        <v>14822</v>
      </c>
      <c r="AE196" s="46">
        <f>'Inputs (2)'!Z31</f>
        <v>14406</v>
      </c>
      <c r="AF196" s="46">
        <f>'Inputs (2)'!AA31</f>
        <v>15353</v>
      </c>
      <c r="AG196" s="12">
        <f>'Inputs (2)'!AB31</f>
        <v>15353</v>
      </c>
      <c r="AH196" s="12">
        <f>'Inputs (2)'!AC31</f>
        <v>14539</v>
      </c>
      <c r="AI196" s="12">
        <f>'Inputs (2)'!AD31</f>
        <v>15891</v>
      </c>
      <c r="AJ196" s="12">
        <f>AI196</f>
        <v>15891</v>
      </c>
      <c r="AK196" s="12">
        <f>AJ196</f>
        <v>15891</v>
      </c>
      <c r="AL196" s="12">
        <f>AK196</f>
        <v>15891</v>
      </c>
      <c r="AM196" s="12">
        <f>AL196</f>
        <v>15891</v>
      </c>
      <c r="AN196" s="12">
        <f>AM196</f>
        <v>15891</v>
      </c>
      <c r="AO196" s="12">
        <f>AN196</f>
        <v>15891</v>
      </c>
      <c r="AP196" s="12">
        <f>AO196</f>
        <v>15891</v>
      </c>
      <c r="AQ196" s="12">
        <f>AP196</f>
        <v>15891</v>
      </c>
      <c r="AR196" s="12">
        <f>AQ196</f>
        <v>15891</v>
      </c>
      <c r="AS196" s="12">
        <f>AR196</f>
        <v>15891</v>
      </c>
      <c r="AT196" s="12">
        <f>AS196</f>
        <v>15891</v>
      </c>
      <c r="AU196" s="12">
        <f>AT196</f>
        <v>15891</v>
      </c>
      <c r="AV196" s="12">
        <f>AU196</f>
        <v>15891</v>
      </c>
      <c r="AW196" s="12">
        <f>AV196</f>
        <v>15891</v>
      </c>
      <c r="AX196" s="12">
        <f>AW196</f>
        <v>15891</v>
      </c>
      <c r="AY196" s="12">
        <f>AX196</f>
        <v>15891</v>
      </c>
      <c r="AZ196" s="12">
        <f>AY196</f>
        <v>15891</v>
      </c>
      <c r="BA196" s="12">
        <f>AZ196</f>
        <v>15891</v>
      </c>
      <c r="BB196" s="12">
        <f>BA196</f>
        <v>15891</v>
      </c>
      <c r="BC196" s="12">
        <f>BB196</f>
        <v>15891</v>
      </c>
      <c r="BD196" s="12">
        <f>BC196</f>
        <v>15891</v>
      </c>
      <c r="BE196" s="12">
        <f>BD196</f>
        <v>15891</v>
      </c>
      <c r="BF196" s="12">
        <f>BE196</f>
        <v>15891</v>
      </c>
      <c r="BG196" s="12" t="n"/>
      <c r="BH196" s="12" t="n"/>
      <c r="BI196" s="12" t="n"/>
      <c r="BJ196" s="12" t="n"/>
      <c r="BK196" s="12" t="n"/>
      <c r="BL196" s="12" t="n"/>
      <c r="BM196" s="12" t="n"/>
      <c r="BN196" s="12" t="n"/>
      <c r="BO196" s="12" t="n"/>
      <c r="BP196" s="12" t="n"/>
      <c r="BQ196" s="12" t="n"/>
      <c r="BR196" s="12" t="n"/>
      <c r="BS196" s="12" t="n"/>
      <c r="BT196" s="12" t="n"/>
      <c r="BU196" s="12" t="n"/>
      <c r="BV196" s="12" t="n"/>
      <c r="BW196" s="12" t="n"/>
      <c r="BX196" s="12" t="n"/>
      <c r="BY196" s="12" t="n"/>
      <c r="BZ196" s="12" t="n"/>
      <c r="CA196" s="12" t="n"/>
      <c r="CB196" s="12" t="n"/>
      <c r="CC196" s="12" t="n"/>
      <c r="CD196" s="12" t="n"/>
      <c r="CE196" s="12" t="n"/>
      <c r="CF196" s="12" t="n"/>
      <c r="CG196" s="12" t="n"/>
      <c r="CH196" s="12" t="n"/>
      <c r="CI196" s="12" t="n"/>
      <c r="CJ196" s="12" t="n"/>
      <c r="CK196" s="12" t="n"/>
      <c r="CL196" s="12" t="n"/>
      <c r="CM196" s="12" t="n"/>
      <c r="CN196" s="12" t="n"/>
      <c r="CO196" s="12" t="n"/>
      <c r="CP196" s="12" t="n"/>
      <c r="CQ196" s="12" t="n"/>
      <c r="CR196" s="12" t="n"/>
      <c r="CS196" s="12" t="n"/>
      <c r="CT196" s="12" t="n"/>
      <c r="CU196" s="12" t="n"/>
      <c r="CV196" s="12" t="n"/>
      <c r="CW196" s="12" t="n"/>
      <c r="CX196" s="12" t="n"/>
      <c r="CY196" s="12" t="n"/>
    </row>
    <row r="197" hidden="1" outlineLevel="1">
      <c r="C197" s="59" t="inlineStr">
        <is>
          <t>%(Var.)</t>
        </is>
      </c>
      <c r="D197" s="12" t="n"/>
      <c r="E197" s="40" t="n"/>
      <c r="F197" s="40" t="n"/>
      <c r="G197" s="40" t="n"/>
      <c r="H197" s="12" t="n"/>
      <c r="I197" s="40" t="str">
        <f>""</f>
        <v/>
      </c>
      <c r="J197" s="40">
        <f>IFERROR(IF(I196=0,"",J196/I196-1),"")</f>
        <v>0.059928631402183</v>
      </c>
      <c r="K197" s="40">
        <f>IFERROR(IF(J196=0,"",K196/J196-1),"")</f>
        <v>0.0276264976730369</v>
      </c>
      <c r="L197" s="40">
        <f>IFERROR(IF(K196=0,"",L196/K196-1),"")</f>
        <v>-0.026498361919445</v>
      </c>
      <c r="M197" s="12">
        <f>IF(L196=0,"",M196/L196-1)</f>
        <v>0</v>
      </c>
      <c r="N197" s="40">
        <f>IFERROR(IF(M196=0,"",N196/M196-1),"")</f>
        <v>0.0172226071463921</v>
      </c>
      <c r="O197" s="40">
        <f>IFERROR(IF(N196=0,"",O196/N196-1),"")</f>
        <v>0.09321786513574</v>
      </c>
      <c r="P197" s="40">
        <f>IFERROR(IF(O196=0,"",P196/O196-1),"")</f>
        <v>-0.0588340008900756</v>
      </c>
      <c r="Q197" s="40">
        <f>IFERROR(IF(P196=0,"",Q196/P196-1),"")</f>
        <v>0.0114431624739928</v>
      </c>
      <c r="R197" s="12">
        <f>IF(Q196=0,"",R196/Q196-1)</f>
        <v>0</v>
      </c>
      <c r="S197" s="40">
        <f>IFERROR(IF(R196=0,"",S196/R196-1),"")</f>
        <v>0.0249649368863956</v>
      </c>
      <c r="T197" s="40">
        <f>IFERROR(IF(S196=0,"",T196/S196-1),"")</f>
        <v>0.00884875022806053</v>
      </c>
      <c r="U197" s="40">
        <f>IFERROR(IF(T196=0,"",U196/T196-1),"")</f>
        <v>-0.0895198480875306</v>
      </c>
      <c r="V197" s="40">
        <f>IFERROR(IF(U196=0,"",V196/U196-1),"")</f>
        <v>0.124639984109644</v>
      </c>
      <c r="W197" s="12">
        <f>IF(V196=0,"",W196/V196-1)</f>
        <v>0</v>
      </c>
      <c r="X197" s="40">
        <f>IFERROR(IF(W196=0,"",X196/W196-1),"")</f>
        <v>0.000441540091840276</v>
      </c>
      <c r="Y197" s="40">
        <f>IFERROR(IF(X196=0,"",Y196/X196-1),"")</f>
        <v>0.0767057992761939</v>
      </c>
      <c r="Z197" s="40">
        <f>IFERROR(IF(Y196=0,"",Z196/Y196-1),"")</f>
        <v>-0.0677979996720773</v>
      </c>
      <c r="AA197" s="40">
        <f>IFERROR(IF(Z196=0,"",AA196/Z196-1),"")</f>
        <v>0.181074663617976</v>
      </c>
      <c r="AB197" s="12">
        <f>IF(AA196=0,"",AB196/AA196-1)</f>
        <v>0</v>
      </c>
      <c r="AC197" s="40">
        <f>IFERROR(IF(AB196=0,"",AC196/AB196-1),"")</f>
        <v>-0.00729709605361129</v>
      </c>
      <c r="AD197" s="40">
        <f>IFERROR(IF(AC196=0,"",AD196/AC196-1),"")</f>
        <v>0.111761176117612</v>
      </c>
      <c r="AE197" s="40">
        <f>IFERROR(IF(AD196=0,"",AE196/AD196-1),"")</f>
        <v>-0.0280663878019161</v>
      </c>
      <c r="AF197" s="55">
        <f>IFERROR(IF(AE196=0,"",AF196/AE196-1),"")</f>
        <v>0.0657364986811051</v>
      </c>
      <c r="AG197" s="12">
        <f>IF(AF196=0,"",AG196/AF196-1)</f>
        <v>0</v>
      </c>
      <c r="AH197" s="55">
        <f>IFERROR(IF(AG196=0,"",AH196/AG196-1),"")</f>
        <v>-0.053018953950368</v>
      </c>
      <c r="AI197" s="55">
        <f>IFERROR(IF(AH196=0,"",AI196/AH196-1),"")</f>
        <v>0.0929912648737878</v>
      </c>
      <c r="AJ197" s="55">
        <f>IFERROR(IF(AI196=0,"",AJ196/AI196-1),"")</f>
        <v>0</v>
      </c>
      <c r="AK197" s="55">
        <f>IFERROR(IF(AJ196=0,"",AK196/AJ196-1),"")</f>
        <v>0</v>
      </c>
      <c r="AL197" s="12">
        <f>IFERROR(IF(AK196=0,"",AL196/AK196-1),"")</f>
        <v>0</v>
      </c>
      <c r="AM197" s="55">
        <f>IFERROR(IF(AL196=0,"",AM196/AL196-1),"")</f>
        <v>0</v>
      </c>
      <c r="AN197" s="55">
        <f>IFERROR(IF(AM196=0,"",AN196/AM196-1),"")</f>
        <v>0</v>
      </c>
      <c r="AO197" s="55">
        <f>IFERROR(IF(AN196=0,"",AO196/AN196-1),"")</f>
        <v>0</v>
      </c>
      <c r="AP197" s="55">
        <f>IFERROR(IF(AO196=0,"",AP196/AO196-1),"")</f>
        <v>0</v>
      </c>
      <c r="AQ197" s="12">
        <f>IFERROR(IF(AP196=0,"",AQ196/AP196-1),"")</f>
        <v>0</v>
      </c>
      <c r="AR197" s="55">
        <f>IFERROR(IF(AQ196=0,"",AR196/AQ196-1),"")</f>
        <v>0</v>
      </c>
      <c r="AS197" s="55">
        <f>IFERROR(IF(AR196=0,"",AS196/AR196-1),"")</f>
        <v>0</v>
      </c>
      <c r="AT197" s="55">
        <f>IFERROR(IF(AS196=0,"",AT196/AS196-1),"")</f>
        <v>0</v>
      </c>
      <c r="AU197" s="55">
        <f>IFERROR(IF(AT196=0,"",AU196/AT196-1),"")</f>
        <v>0</v>
      </c>
      <c r="AV197" s="12">
        <f>IFERROR(IF(AU196=0,"",AV196/AU196-1),"")</f>
        <v>0</v>
      </c>
      <c r="AW197" s="55">
        <f>IFERROR(IF(AV196=0,"",AW196/AV196-1),"")</f>
        <v>0</v>
      </c>
      <c r="AX197" s="55">
        <f>IFERROR(IF(AW196=0,"",AX196/AW196-1),"")</f>
        <v>0</v>
      </c>
      <c r="AY197" s="55">
        <f>IFERROR(IF(AX196=0,"",AY196/AX196-1),"")</f>
        <v>0</v>
      </c>
      <c r="AZ197" s="55">
        <f>IFERROR(IF(AY196=0,"",AZ196/AY196-1),"")</f>
        <v>0</v>
      </c>
      <c r="BA197" s="12">
        <f>IFERROR(IF(AZ196=0,"",BA196/AZ196-1),"")</f>
        <v>0</v>
      </c>
      <c r="BB197" s="55">
        <f>IFERROR(IF(BA196=0,"",BB196/BA196-1),"")</f>
        <v>0</v>
      </c>
      <c r="BC197" s="55">
        <f>IFERROR(IF(BB196=0,"",BC196/BB196-1),"")</f>
        <v>0</v>
      </c>
      <c r="BD197" s="55">
        <f>IFERROR(IF(BC196=0,"",BD196/BC196-1),"")</f>
        <v>0</v>
      </c>
      <c r="BE197" s="55">
        <f>IFERROR(IF(BD196=0,"",BE196/BD196-1),"")</f>
        <v>0</v>
      </c>
      <c r="BF197" s="12">
        <f>IFERROR(IF(BE196=0,"",BF196/BE196-1),"")</f>
        <v>0</v>
      </c>
      <c r="BG197" s="55" t="n"/>
      <c r="BH197" s="55" t="n"/>
      <c r="BI197" s="55" t="n"/>
      <c r="BJ197" s="55" t="n"/>
      <c r="BK197" s="12" t="n"/>
      <c r="BL197" s="55" t="n"/>
      <c r="BM197" s="55" t="n"/>
      <c r="BN197" s="55" t="n"/>
      <c r="BO197" s="55" t="n"/>
      <c r="BP197" s="12" t="n"/>
      <c r="BQ197" s="55" t="n"/>
      <c r="BR197" s="55" t="n"/>
      <c r="BS197" s="55" t="n"/>
      <c r="BT197" s="55" t="n"/>
      <c r="BU197" s="12" t="n"/>
      <c r="BV197" s="55" t="n"/>
      <c r="BW197" s="55" t="n"/>
      <c r="BX197" s="55" t="n"/>
      <c r="BY197" s="55" t="n"/>
      <c r="BZ197" s="12" t="n"/>
      <c r="CA197" s="55" t="n"/>
      <c r="CB197" s="55" t="n"/>
      <c r="CC197" s="55" t="n"/>
      <c r="CD197" s="55" t="n"/>
      <c r="CE197" s="12" t="n"/>
      <c r="CF197" s="55" t="n"/>
      <c r="CG197" s="55" t="n"/>
      <c r="CH197" s="55" t="n"/>
      <c r="CI197" s="55" t="n"/>
      <c r="CJ197" s="12" t="n"/>
      <c r="CK197" s="55" t="n"/>
      <c r="CL197" s="55" t="n"/>
      <c r="CM197" s="55" t="n"/>
      <c r="CN197" s="55" t="n"/>
      <c r="CO197" s="12" t="n"/>
      <c r="CP197" s="55" t="n"/>
      <c r="CQ197" s="55" t="n"/>
      <c r="CR197" s="55" t="n"/>
      <c r="CS197" s="55" t="n"/>
      <c r="CT197" s="12" t="n"/>
      <c r="CU197" s="55" t="n"/>
      <c r="CV197" s="55" t="n"/>
      <c r="CW197" s="55" t="n"/>
      <c r="CX197" s="55" t="n"/>
      <c r="CY197" s="12" t="n"/>
    </row>
    <row r="198" hidden="1" outlineLevel="1">
      <c r="C198" s="57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  <c r="AL198" s="12" t="n"/>
      <c r="AM198" s="12" t="n"/>
      <c r="AN198" s="12" t="n"/>
      <c r="AO198" s="12" t="n"/>
      <c r="AP198" s="12" t="n"/>
      <c r="AQ198" s="12" t="n"/>
      <c r="AR198" s="12" t="n"/>
      <c r="AS198" s="12" t="n"/>
      <c r="AT198" s="12" t="n"/>
      <c r="AU198" s="12" t="n"/>
      <c r="AV198" s="12" t="n"/>
      <c r="AW198" s="12" t="n"/>
      <c r="AX198" s="12" t="n"/>
      <c r="AY198" s="12" t="n"/>
      <c r="AZ198" s="12" t="n"/>
      <c r="BA198" s="12" t="n"/>
      <c r="BB198" s="12" t="n"/>
      <c r="BC198" s="12" t="n"/>
      <c r="BD198" s="12" t="n"/>
      <c r="BE198" s="12" t="n"/>
      <c r="BF198" s="12" t="n"/>
      <c r="BG198" s="12" t="n"/>
      <c r="BH198" s="12" t="n"/>
      <c r="BI198" s="12" t="n"/>
      <c r="BJ198" s="12" t="n"/>
      <c r="BK198" s="12" t="n"/>
      <c r="BL198" s="12" t="n"/>
      <c r="BM198" s="12" t="n"/>
      <c r="BN198" s="12" t="n"/>
      <c r="BO198" s="12" t="n"/>
      <c r="BP198" s="12" t="n"/>
      <c r="BQ198" s="12" t="n"/>
      <c r="BR198" s="12" t="n"/>
      <c r="BS198" s="12" t="n"/>
      <c r="BT198" s="12" t="n"/>
      <c r="BU198" s="12" t="n"/>
      <c r="BV198" s="12" t="n"/>
      <c r="BW198" s="12" t="n"/>
      <c r="BX198" s="12" t="n"/>
      <c r="BY198" s="12" t="n"/>
      <c r="BZ198" s="12" t="n"/>
      <c r="CA198" s="12" t="n"/>
      <c r="CB198" s="12" t="n"/>
      <c r="CC198" s="12" t="n"/>
      <c r="CD198" s="12" t="n"/>
      <c r="CE198" s="12" t="n"/>
      <c r="CF198" s="12" t="n"/>
      <c r="CG198" s="12" t="n"/>
      <c r="CH198" s="12" t="n"/>
      <c r="CI198" s="12" t="n"/>
      <c r="CJ198" s="12" t="n"/>
      <c r="CK198" s="12" t="n"/>
      <c r="CL198" s="12" t="n"/>
      <c r="CM198" s="12" t="n"/>
      <c r="CN198" s="12" t="n"/>
      <c r="CO198" s="12" t="n"/>
      <c r="CP198" s="12" t="n"/>
      <c r="CQ198" s="12" t="n"/>
      <c r="CR198" s="12" t="n"/>
      <c r="CS198" s="12" t="n"/>
      <c r="CT198" s="12" t="n"/>
      <c r="CU198" s="12" t="n"/>
      <c r="CV198" s="12" t="n"/>
      <c r="CW198" s="12" t="n"/>
      <c r="CX198" s="12" t="n"/>
      <c r="CY198" s="12" t="n"/>
    </row>
    <row r="199" hidden="1" outlineLevel="1">
      <c r="C199" s="57" t="inlineStr">
        <is>
          <t xml:space="preserve">Dividendos a Pagar </t>
        </is>
      </c>
      <c r="D199" s="11" t="n"/>
      <c r="E199" s="11" t="n"/>
      <c r="F199" s="11" t="n"/>
      <c r="G199" s="11" t="n"/>
      <c r="H199" s="12" t="n"/>
      <c r="I199" s="11" t="n"/>
      <c r="J199" s="11" t="n"/>
      <c r="K199" s="11" t="n"/>
      <c r="L199" s="11" t="n"/>
      <c r="M199" s="12" t="n"/>
      <c r="N199" s="11" t="n"/>
      <c r="O199" s="11" t="n"/>
      <c r="P199" s="11" t="n"/>
      <c r="Q199" s="11" t="n"/>
      <c r="R199" s="12" t="n"/>
      <c r="S199" s="11" t="n"/>
      <c r="T199" s="11" t="n"/>
      <c r="U199" s="11" t="n"/>
      <c r="V199" s="11" t="n"/>
      <c r="W199" s="12" t="n"/>
      <c r="X199" s="11" t="n"/>
      <c r="Y199" s="11" t="n"/>
      <c r="Z199" s="11" t="n"/>
      <c r="AA199" s="11" t="n"/>
      <c r="AB199" s="12" t="n"/>
      <c r="AC199" s="11" t="n"/>
      <c r="AD199" s="11" t="n"/>
      <c r="AE199" s="11" t="n"/>
      <c r="AF199" s="11" t="n"/>
      <c r="AG199" s="12" t="n"/>
      <c r="AH199" s="11" t="n"/>
      <c r="AI199" s="11" t="n"/>
      <c r="AJ199" s="11" t="n"/>
      <c r="AK199" s="11" t="n"/>
      <c r="AL199" s="12" t="n"/>
      <c r="AM199" s="11" t="n"/>
      <c r="AN199" s="11" t="n"/>
      <c r="AO199" s="11" t="n"/>
      <c r="AP199" s="11" t="n"/>
      <c r="AQ199" s="12" t="n"/>
      <c r="AR199" s="11" t="n"/>
      <c r="AS199" s="11" t="n"/>
      <c r="AT199" s="11" t="n"/>
      <c r="AU199" s="11" t="n"/>
      <c r="AV199" s="12" t="n"/>
      <c r="AW199" s="11" t="n"/>
      <c r="AX199" s="11" t="n"/>
      <c r="AY199" s="11" t="n"/>
      <c r="AZ199" s="11" t="n"/>
      <c r="BA199" s="12" t="n"/>
      <c r="BB199" s="11" t="n"/>
      <c r="BC199" s="11" t="n"/>
      <c r="BD199" s="11" t="n"/>
      <c r="BE199" s="11" t="n"/>
      <c r="BF199" s="12" t="n"/>
      <c r="BG199" s="11" t="n"/>
      <c r="BH199" s="11" t="n"/>
      <c r="BI199" s="11" t="n"/>
      <c r="BJ199" s="11" t="n"/>
      <c r="BK199" s="12" t="n"/>
      <c r="BL199" s="11" t="n"/>
      <c r="BM199" s="11" t="n"/>
      <c r="BN199" s="11" t="n"/>
      <c r="BO199" s="11" t="n"/>
      <c r="BP199" s="12" t="n"/>
      <c r="BQ199" s="11" t="n"/>
      <c r="BR199" s="11" t="n"/>
      <c r="BS199" s="11" t="n"/>
      <c r="BT199" s="11" t="n"/>
      <c r="BU199" s="12" t="n"/>
      <c r="BV199" s="11" t="n"/>
      <c r="BW199" s="11" t="n"/>
      <c r="BX199" s="11" t="n"/>
      <c r="BY199" s="11" t="n"/>
      <c r="BZ199" s="12" t="n"/>
      <c r="CA199" s="11" t="n"/>
      <c r="CB199" s="11" t="n"/>
      <c r="CC199" s="11" t="n"/>
      <c r="CD199" s="11" t="n"/>
      <c r="CE199" s="12" t="n"/>
      <c r="CF199" s="11" t="n"/>
      <c r="CG199" s="11" t="n"/>
      <c r="CH199" s="11" t="n"/>
      <c r="CI199" s="11" t="n"/>
      <c r="CJ199" s="12" t="n"/>
      <c r="CK199" s="11" t="n"/>
      <c r="CL199" s="11" t="n"/>
      <c r="CM199" s="11" t="n"/>
      <c r="CN199" s="11" t="n"/>
      <c r="CO199" s="12" t="n"/>
      <c r="CP199" s="11" t="n"/>
      <c r="CQ199" s="11" t="n"/>
      <c r="CR199" s="11" t="n"/>
      <c r="CS199" s="11" t="n"/>
      <c r="CT199" s="12" t="n"/>
      <c r="CU199" s="11" t="n"/>
      <c r="CV199" s="11" t="n"/>
      <c r="CW199" s="11" t="n"/>
      <c r="CX199" s="11" t="n"/>
      <c r="CY199" s="12" t="n"/>
    </row>
    <row r="200" hidden="1" outlineLevel="1">
      <c r="C200" s="57" t="inlineStr">
        <is>
          <t>Contas a pagar pela aquisição de controladas</t>
        </is>
      </c>
      <c r="D200" s="11" t="n"/>
      <c r="E200" s="11" t="n"/>
      <c r="F200" s="11" t="n"/>
      <c r="G200" s="11" t="n"/>
      <c r="H200" s="12" t="n"/>
      <c r="I200" s="11" t="n"/>
      <c r="J200" s="11" t="n"/>
      <c r="K200" s="11" t="n"/>
      <c r="L200" s="11" t="n"/>
      <c r="M200" s="12" t="n"/>
      <c r="N200" s="11" t="n"/>
      <c r="O200" s="11" t="n"/>
      <c r="P200" s="11" t="n"/>
      <c r="Q200" s="11" t="n"/>
      <c r="R200" s="12" t="n"/>
      <c r="S200" s="11" t="n"/>
      <c r="T200" s="11" t="n"/>
      <c r="U200" s="11" t="n"/>
      <c r="V200" s="11" t="n"/>
      <c r="W200" s="12" t="n"/>
      <c r="X200" s="11" t="n"/>
      <c r="Y200" s="11" t="n"/>
      <c r="Z200" s="11" t="n"/>
      <c r="AA200" s="11" t="n"/>
      <c r="AB200" s="12" t="n"/>
      <c r="AC200" s="11" t="n"/>
      <c r="AD200" s="11" t="n"/>
      <c r="AE200" s="11" t="n"/>
      <c r="AF200" s="11" t="n"/>
      <c r="AG200" s="12" t="n"/>
      <c r="AH200" s="11" t="n"/>
      <c r="AI200" s="11" t="n"/>
      <c r="AJ200" s="11" t="n"/>
      <c r="AK200" s="11" t="n"/>
      <c r="AL200" s="12" t="n"/>
      <c r="AM200" s="11" t="n"/>
      <c r="AN200" s="11" t="n"/>
      <c r="AO200" s="11" t="n"/>
      <c r="AP200" s="11" t="n"/>
      <c r="AQ200" s="12" t="n"/>
      <c r="AR200" s="11" t="n"/>
      <c r="AS200" s="11" t="n"/>
      <c r="AT200" s="11" t="n"/>
      <c r="AU200" s="11" t="n"/>
      <c r="AV200" s="12" t="n"/>
      <c r="AW200" s="11" t="n"/>
      <c r="AX200" s="11" t="n"/>
      <c r="AY200" s="11" t="n"/>
      <c r="AZ200" s="11" t="n"/>
      <c r="BA200" s="12" t="n"/>
      <c r="BB200" s="11" t="n"/>
      <c r="BC200" s="11" t="n"/>
      <c r="BD200" s="11" t="n"/>
      <c r="BE200" s="11" t="n"/>
      <c r="BF200" s="12" t="n"/>
      <c r="BG200" s="11" t="n"/>
      <c r="BH200" s="11" t="n"/>
      <c r="BI200" s="11" t="n"/>
      <c r="BJ200" s="11" t="n"/>
      <c r="BK200" s="12" t="n"/>
      <c r="BL200" s="11" t="n"/>
      <c r="BM200" s="11" t="n"/>
      <c r="BN200" s="11" t="n"/>
      <c r="BO200" s="11" t="n"/>
      <c r="BP200" s="12" t="n"/>
      <c r="BQ200" s="11" t="n"/>
      <c r="BR200" s="11" t="n"/>
      <c r="BS200" s="11" t="n"/>
      <c r="BT200" s="11" t="n"/>
      <c r="BU200" s="12" t="n"/>
      <c r="BV200" s="11" t="n"/>
      <c r="BW200" s="11" t="n"/>
      <c r="BX200" s="11" t="n"/>
      <c r="BY200" s="11" t="n"/>
      <c r="BZ200" s="12" t="n"/>
      <c r="CA200" s="11" t="n"/>
      <c r="CB200" s="11" t="n"/>
      <c r="CC200" s="11" t="n"/>
      <c r="CD200" s="11" t="n"/>
      <c r="CE200" s="12" t="n"/>
      <c r="CF200" s="11" t="n"/>
      <c r="CG200" s="11" t="n"/>
      <c r="CH200" s="11" t="n"/>
      <c r="CI200" s="11" t="n"/>
      <c r="CJ200" s="12" t="n"/>
      <c r="CK200" s="11" t="n"/>
      <c r="CL200" s="11" t="n"/>
      <c r="CM200" s="11" t="n"/>
      <c r="CN200" s="11" t="n"/>
      <c r="CO200" s="12" t="n"/>
      <c r="CP200" s="11" t="n"/>
      <c r="CQ200" s="11" t="n"/>
      <c r="CR200" s="11" t="n"/>
      <c r="CS200" s="11" t="n"/>
      <c r="CT200" s="12" t="n"/>
      <c r="CU200" s="11" t="n"/>
      <c r="CV200" s="11" t="n"/>
      <c r="CW200" s="11" t="n"/>
      <c r="CX200" s="11" t="n"/>
      <c r="CY200" s="12" t="n"/>
    </row>
    <row r="201" hidden="1" outlineLevel="1">
      <c r="C201" s="57" t="inlineStr">
        <is>
          <t>Outros</t>
        </is>
      </c>
      <c r="D201" s="11" t="n"/>
      <c r="E201" s="11" t="n"/>
      <c r="F201" s="11" t="n"/>
      <c r="G201" s="11" t="n"/>
      <c r="H201" s="12" t="n"/>
      <c r="I201" s="11" t="n"/>
      <c r="J201" s="11" t="n"/>
      <c r="K201" s="11" t="n"/>
      <c r="L201" s="11" t="n"/>
      <c r="M201" s="12" t="n"/>
      <c r="N201" s="11" t="n"/>
      <c r="O201" s="11" t="n"/>
      <c r="P201" s="11" t="n"/>
      <c r="Q201" s="11" t="n"/>
      <c r="R201" s="12" t="n"/>
      <c r="S201" s="11" t="n"/>
      <c r="T201" s="11" t="n"/>
      <c r="U201" s="11" t="n"/>
      <c r="V201" s="11" t="n"/>
      <c r="W201" s="12" t="n"/>
      <c r="X201" s="11" t="n"/>
      <c r="Y201" s="11" t="n"/>
      <c r="Z201" s="11" t="n"/>
      <c r="AA201" s="11" t="n"/>
      <c r="AB201" s="12" t="n"/>
      <c r="AC201" s="11" t="n"/>
      <c r="AD201" s="11" t="n"/>
      <c r="AE201" s="11" t="n"/>
      <c r="AF201" s="11" t="n"/>
      <c r="AG201" s="12" t="n"/>
      <c r="AH201" s="11" t="n"/>
      <c r="AI201" s="11" t="n"/>
      <c r="AJ201" s="11" t="n"/>
      <c r="AK201" s="11" t="n"/>
      <c r="AL201" s="12" t="n"/>
      <c r="AM201" s="11" t="n"/>
      <c r="AN201" s="11" t="n"/>
      <c r="AO201" s="11" t="n"/>
      <c r="AP201" s="11" t="n"/>
      <c r="AQ201" s="12" t="n"/>
      <c r="AR201" s="11" t="n"/>
      <c r="AS201" s="11" t="n"/>
      <c r="AT201" s="11" t="n"/>
      <c r="AU201" s="11" t="n"/>
      <c r="AV201" s="12" t="n"/>
      <c r="AW201" s="11" t="n"/>
      <c r="AX201" s="11" t="n"/>
      <c r="AY201" s="11" t="n"/>
      <c r="AZ201" s="11" t="n"/>
      <c r="BA201" s="12" t="n"/>
      <c r="BB201" s="11" t="n"/>
      <c r="BC201" s="11" t="n"/>
      <c r="BD201" s="11" t="n"/>
      <c r="BE201" s="11" t="n"/>
      <c r="BF201" s="12" t="n"/>
      <c r="BG201" s="11" t="n"/>
      <c r="BH201" s="11" t="n"/>
      <c r="BI201" s="11" t="n"/>
      <c r="BJ201" s="11" t="n"/>
      <c r="BK201" s="12" t="n"/>
      <c r="BL201" s="11" t="n"/>
      <c r="BM201" s="11" t="n"/>
      <c r="BN201" s="11" t="n"/>
      <c r="BO201" s="11" t="n"/>
      <c r="BP201" s="12" t="n"/>
      <c r="BQ201" s="11" t="n"/>
      <c r="BR201" s="11" t="n"/>
      <c r="BS201" s="11" t="n"/>
      <c r="BT201" s="11" t="n"/>
      <c r="BU201" s="12" t="n"/>
      <c r="BV201" s="11" t="n"/>
      <c r="BW201" s="11" t="n"/>
      <c r="BX201" s="11" t="n"/>
      <c r="BY201" s="11" t="n"/>
      <c r="BZ201" s="12" t="n"/>
      <c r="CA201" s="11" t="n"/>
      <c r="CB201" s="11" t="n"/>
      <c r="CC201" s="11" t="n"/>
      <c r="CD201" s="11" t="n"/>
      <c r="CE201" s="12" t="n"/>
      <c r="CF201" s="11" t="n"/>
      <c r="CG201" s="11" t="n"/>
      <c r="CH201" s="11" t="n"/>
      <c r="CI201" s="11" t="n"/>
      <c r="CJ201" s="12" t="n"/>
      <c r="CK201" s="11" t="n"/>
      <c r="CL201" s="11" t="n"/>
      <c r="CM201" s="11" t="n"/>
      <c r="CN201" s="11" t="n"/>
      <c r="CO201" s="12" t="n"/>
      <c r="CP201" s="11" t="n"/>
      <c r="CQ201" s="11" t="n"/>
      <c r="CR201" s="11" t="n"/>
      <c r="CS201" s="11" t="n"/>
      <c r="CT201" s="12" t="n"/>
      <c r="CU201" s="11" t="n"/>
      <c r="CV201" s="11" t="n"/>
      <c r="CW201" s="11" t="n"/>
      <c r="CX201" s="11" t="n"/>
      <c r="CY201" s="12" t="n"/>
    </row>
    <row r="202" hidden="1" outlineLevel="1">
      <c r="C202" s="57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  <c r="AL202" s="12" t="n"/>
      <c r="AM202" s="12" t="n"/>
      <c r="AN202" s="12" t="n"/>
      <c r="AO202" s="12" t="n"/>
      <c r="AP202" s="12" t="n"/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  <c r="BE202" s="12" t="n"/>
      <c r="BF202" s="12" t="n"/>
      <c r="BG202" s="12" t="n"/>
      <c r="BH202" s="12" t="n"/>
      <c r="BI202" s="12" t="n"/>
      <c r="BJ202" s="12" t="n"/>
      <c r="BK202" s="12" t="n"/>
      <c r="BL202" s="12" t="n"/>
      <c r="BM202" s="12" t="n"/>
      <c r="BN202" s="12" t="n"/>
      <c r="BO202" s="12" t="n"/>
      <c r="BP202" s="12" t="n"/>
      <c r="BQ202" s="12" t="n"/>
      <c r="BR202" s="12" t="n"/>
      <c r="BS202" s="12" t="n"/>
      <c r="BT202" s="12" t="n"/>
      <c r="BU202" s="12" t="n"/>
      <c r="BV202" s="12" t="n"/>
      <c r="BW202" s="12" t="n"/>
      <c r="BX202" s="12" t="n"/>
      <c r="BY202" s="12" t="n"/>
      <c r="BZ202" s="12" t="n"/>
      <c r="CA202" s="12" t="n"/>
      <c r="CB202" s="12" t="n"/>
      <c r="CC202" s="12" t="n"/>
      <c r="CD202" s="12" t="n"/>
      <c r="CE202" s="12" t="n"/>
      <c r="CF202" s="12" t="n"/>
      <c r="CG202" s="12" t="n"/>
      <c r="CH202" s="12" t="n"/>
      <c r="CI202" s="12" t="n"/>
      <c r="CJ202" s="12" t="n"/>
      <c r="CK202" s="12" t="n"/>
      <c r="CL202" s="12" t="n"/>
      <c r="CM202" s="12" t="n"/>
      <c r="CN202" s="12" t="n"/>
      <c r="CO202" s="12" t="n"/>
      <c r="CP202" s="12" t="n"/>
      <c r="CQ202" s="12" t="n"/>
      <c r="CR202" s="12" t="n"/>
      <c r="CS202" s="12" t="n"/>
      <c r="CT202" s="12" t="n"/>
      <c r="CU202" s="12" t="n"/>
      <c r="CV202" s="12" t="n"/>
      <c r="CW202" s="12" t="n"/>
      <c r="CX202" s="12" t="n"/>
      <c r="CY202" s="12" t="n"/>
    </row>
    <row r="203" collapsed="1">
      <c r="C203" s="14" t="inlineStr">
        <is>
          <t>Current portion of long-term debt</t>
        </is>
      </c>
      <c r="D203" s="46" t="n"/>
      <c r="E203" s="46" t="n"/>
      <c r="F203" s="46" t="n"/>
      <c r="G203" s="46" t="n"/>
      <c r="H203" s="12" t="n"/>
      <c r="I203" s="46">
        <f>'Inputs (2)'!D32</f>
        <v>506</v>
      </c>
      <c r="J203" s="46">
        <f>'Inputs (2)'!E32</f>
        <v>506</v>
      </c>
      <c r="K203" s="46">
        <f>'Inputs (2)'!F32</f>
        <v>6</v>
      </c>
      <c r="L203" s="46">
        <f>'Inputs (2)'!G32</f>
        <v>6</v>
      </c>
      <c r="M203" s="12">
        <f>'Inputs (2)'!H32</f>
        <v>6</v>
      </c>
      <c r="N203" s="46">
        <f>'Inputs (2)'!I32</f>
        <v>500</v>
      </c>
      <c r="O203" s="46">
        <f>'Inputs (2)'!J32</f>
        <v>0</v>
      </c>
      <c r="P203" s="46">
        <f>'Inputs (2)'!K32</f>
        <v>0</v>
      </c>
      <c r="Q203" s="46">
        <f>'Inputs (2)'!L32</f>
        <v>0</v>
      </c>
      <c r="R203" s="12">
        <f>'Inputs (2)'!M32</f>
        <v>0</v>
      </c>
      <c r="S203" s="46">
        <f>'Inputs (2)'!N32</f>
        <v>115</v>
      </c>
      <c r="T203" s="46">
        <f>'Inputs (2)'!O32</f>
        <v>283</v>
      </c>
      <c r="U203" s="46">
        <f>'Inputs (2)'!P32</f>
        <v>168</v>
      </c>
      <c r="V203" s="46">
        <f>'Inputs (2)'!Q32</f>
        <v>168</v>
      </c>
      <c r="W203" s="12">
        <f>'Inputs (2)'!R32</f>
        <v>168</v>
      </c>
      <c r="X203" s="46">
        <f>'Inputs (2)'!S32</f>
        <v>168</v>
      </c>
      <c r="Y203" s="46">
        <f>'Inputs (2)'!T32</f>
        <v>142</v>
      </c>
      <c r="Z203" s="46">
        <f>'Inputs (2)'!U32</f>
        <v>142</v>
      </c>
      <c r="AA203" s="46">
        <f>'Inputs (2)'!V32</f>
        <v>643</v>
      </c>
      <c r="AB203" s="12">
        <f>'Inputs (2)'!W32</f>
        <v>643</v>
      </c>
      <c r="AC203" s="46">
        <f>'Inputs (2)'!X32</f>
        <v>1643</v>
      </c>
      <c r="AD203" s="46">
        <f>'Inputs (2)'!Y32</f>
        <v>3118</v>
      </c>
      <c r="AE203" s="46">
        <f>'Inputs (2)'!Z32</f>
        <v>1669</v>
      </c>
      <c r="AF203" s="46">
        <f>'Inputs (2)'!AA32</f>
        <v>1168</v>
      </c>
      <c r="AG203" s="12">
        <f>'Inputs (2)'!AB32</f>
        <v>1168</v>
      </c>
      <c r="AH203" s="12">
        <f>'Inputs (2)'!AC32</f>
        <v>168</v>
      </c>
      <c r="AI203" s="12">
        <f>'Inputs (2)'!AD32</f>
        <v>0</v>
      </c>
      <c r="AJ203" s="12">
        <f>AI203</f>
        <v>0</v>
      </c>
      <c r="AK203" s="12">
        <f>AJ203</f>
        <v>0</v>
      </c>
      <c r="AL203" s="12">
        <f>AK203</f>
        <v>0</v>
      </c>
      <c r="AM203" s="12">
        <f>AL203</f>
        <v>0</v>
      </c>
      <c r="AN203" s="12">
        <f>AM203</f>
        <v>0</v>
      </c>
      <c r="AO203" s="12">
        <f>AN203</f>
        <v>0</v>
      </c>
      <c r="AP203" s="12">
        <f>AO203</f>
        <v>0</v>
      </c>
      <c r="AQ203" s="12">
        <f>AP203</f>
        <v>0</v>
      </c>
      <c r="AR203" s="12">
        <f>AQ203</f>
        <v>0</v>
      </c>
      <c r="AS203" s="12">
        <f>AR203</f>
        <v>0</v>
      </c>
      <c r="AT203" s="12">
        <f>AS203</f>
        <v>0</v>
      </c>
      <c r="AU203" s="12">
        <f>AT203</f>
        <v>0</v>
      </c>
      <c r="AV203" s="12">
        <f>AU203</f>
        <v>0</v>
      </c>
      <c r="AW203" s="12">
        <f>AV203</f>
        <v>0</v>
      </c>
      <c r="AX203" s="12">
        <f>AW203</f>
        <v>0</v>
      </c>
      <c r="AY203" s="12">
        <f>AX203</f>
        <v>0</v>
      </c>
      <c r="AZ203" s="12">
        <f>AY203</f>
        <v>0</v>
      </c>
      <c r="BA203" s="12">
        <f>AZ203</f>
        <v>0</v>
      </c>
      <c r="BB203" s="12">
        <f>BA203</f>
        <v>0</v>
      </c>
      <c r="BC203" s="12">
        <f>BB203</f>
        <v>0</v>
      </c>
      <c r="BD203" s="12">
        <f>BC203</f>
        <v>0</v>
      </c>
      <c r="BE203" s="12">
        <f>BD203</f>
        <v>0</v>
      </c>
      <c r="BF203" s="12">
        <f>BE203</f>
        <v>0</v>
      </c>
      <c r="BG203" s="12" t="n"/>
      <c r="BH203" s="12" t="n"/>
      <c r="BI203" s="12" t="n"/>
      <c r="BJ203" s="12" t="n"/>
      <c r="BK203" s="12" t="n"/>
      <c r="BL203" s="12" t="n"/>
      <c r="BM203" s="12" t="n"/>
      <c r="BN203" s="12" t="n"/>
      <c r="BO203" s="12" t="n"/>
      <c r="BP203" s="12" t="n"/>
      <c r="BQ203" s="12" t="n"/>
      <c r="BR203" s="12" t="n"/>
      <c r="BS203" s="12" t="n"/>
      <c r="BT203" s="12" t="n"/>
      <c r="BU203" s="12" t="n"/>
      <c r="BV203" s="12" t="n"/>
      <c r="BW203" s="12" t="n"/>
      <c r="BX203" s="12" t="n"/>
      <c r="BY203" s="12" t="n"/>
      <c r="BZ203" s="12" t="n"/>
      <c r="CA203" s="12" t="n"/>
      <c r="CB203" s="12" t="n"/>
      <c r="CC203" s="12" t="n"/>
      <c r="CD203" s="12" t="n"/>
      <c r="CE203" s="12" t="n"/>
      <c r="CF203" s="12" t="n"/>
      <c r="CG203" s="12" t="n"/>
      <c r="CH203" s="12" t="n"/>
      <c r="CI203" s="12" t="n"/>
      <c r="CJ203" s="12" t="n"/>
      <c r="CK203" s="12" t="n"/>
      <c r="CL203" s="12" t="n"/>
      <c r="CM203" s="12" t="n"/>
      <c r="CN203" s="12" t="n"/>
      <c r="CO203" s="12" t="n"/>
      <c r="CP203" s="12" t="n"/>
      <c r="CQ203" s="12" t="n"/>
      <c r="CR203" s="12" t="n"/>
      <c r="CS203" s="12" t="n"/>
      <c r="CT203" s="12" t="n"/>
      <c r="CU203" s="12" t="n"/>
      <c r="CV203" s="12" t="n"/>
      <c r="CW203" s="12" t="n"/>
      <c r="CX203" s="12" t="n"/>
      <c r="CY203" s="12" t="n"/>
    </row>
    <row r="204">
      <c r="C204" s="14" t="inlineStr">
        <is>
          <t>Short term debt (Revolving credit facility)</t>
        </is>
      </c>
      <c r="D204" s="46" t="n"/>
      <c r="E204" s="46" t="n"/>
      <c r="F204" s="46" t="n"/>
      <c r="G204" s="46" t="n"/>
      <c r="H204" s="12" t="n"/>
      <c r="I204" s="46">
        <f>'Inputs (2)'!D33</f>
        <v>0</v>
      </c>
      <c r="J204" s="46">
        <f>'Inputs (2)'!E33</f>
        <v>0</v>
      </c>
      <c r="K204" s="46">
        <f>'Inputs (2)'!F33</f>
        <v>0</v>
      </c>
      <c r="L204" s="46">
        <f>'Inputs (2)'!G33</f>
        <v>0</v>
      </c>
      <c r="M204" s="12">
        <f>'Inputs (2)'!H33</f>
        <v>0</v>
      </c>
      <c r="N204" s="46">
        <f>'Inputs (2)'!I33</f>
        <v>0</v>
      </c>
      <c r="O204" s="46">
        <f>'Inputs (2)'!J33</f>
        <v>0</v>
      </c>
      <c r="P204" s="46">
        <f>'Inputs (2)'!K33</f>
        <v>0</v>
      </c>
      <c r="Q204" s="46">
        <f>'Inputs (2)'!L33</f>
        <v>0</v>
      </c>
      <c r="R204" s="12">
        <f>'Inputs (2)'!M33</f>
        <v>0</v>
      </c>
      <c r="S204" s="46">
        <f>'Inputs (2)'!N33</f>
        <v>0</v>
      </c>
      <c r="T204" s="46">
        <f>'Inputs (2)'!O33</f>
        <v>0</v>
      </c>
      <c r="U204" s="46">
        <f>'Inputs (2)'!P33</f>
        <v>0</v>
      </c>
      <c r="V204" s="46">
        <f>'Inputs (2)'!Q33</f>
        <v>0</v>
      </c>
      <c r="W204" s="12">
        <f>'Inputs (2)'!R33</f>
        <v>0</v>
      </c>
      <c r="X204" s="46">
        <f>'Inputs (2)'!S33</f>
        <v>0</v>
      </c>
      <c r="Y204" s="46">
        <f>'Inputs (2)'!T33</f>
        <v>0</v>
      </c>
      <c r="Z204" s="46">
        <f>'Inputs (2)'!U33</f>
        <v>0</v>
      </c>
      <c r="AA204" s="46">
        <f>'Inputs (2)'!V33</f>
        <v>0</v>
      </c>
      <c r="AB204" s="12">
        <f>'Inputs (2)'!W33</f>
        <v>0</v>
      </c>
      <c r="AC204" s="46">
        <f>'Inputs (2)'!X33</f>
        <v>0</v>
      </c>
      <c r="AD204" s="46">
        <f>'Inputs (2)'!Y33</f>
        <v>0</v>
      </c>
      <c r="AE204" s="46">
        <f>'Inputs (2)'!Z33</f>
        <v>0</v>
      </c>
      <c r="AF204" s="46">
        <f>'Inputs (2)'!AA33</f>
        <v>0</v>
      </c>
      <c r="AG204" s="12">
        <f>'Inputs (2)'!AB33</f>
        <v>0</v>
      </c>
      <c r="AH204" s="12">
        <f>'Inputs (2)'!AC33</f>
        <v>0</v>
      </c>
      <c r="AI204" s="12">
        <f>'Inputs (2)'!AD33</f>
        <v>0</v>
      </c>
      <c r="AJ204" s="12">
        <f>AI204</f>
        <v>0</v>
      </c>
      <c r="AK204" s="12">
        <f>AJ204</f>
        <v>0</v>
      </c>
      <c r="AL204" s="12">
        <f>AK204</f>
        <v>0</v>
      </c>
      <c r="AM204" s="12">
        <f>AL204</f>
        <v>0</v>
      </c>
      <c r="AN204" s="12">
        <f>AM204</f>
        <v>0</v>
      </c>
      <c r="AO204" s="12">
        <f>AN204</f>
        <v>0</v>
      </c>
      <c r="AP204" s="12">
        <f>AO204</f>
        <v>0</v>
      </c>
      <c r="AQ204" s="12">
        <f>AP204</f>
        <v>0</v>
      </c>
      <c r="AR204" s="12">
        <f>AQ204</f>
        <v>0</v>
      </c>
      <c r="AS204" s="12">
        <f>AR204</f>
        <v>0</v>
      </c>
      <c r="AT204" s="12">
        <f>AS204</f>
        <v>0</v>
      </c>
      <c r="AU204" s="12">
        <f>AT204</f>
        <v>0</v>
      </c>
      <c r="AV204" s="12">
        <f>AU204</f>
        <v>0</v>
      </c>
      <c r="AW204" s="12">
        <f>AV204</f>
        <v>0</v>
      </c>
      <c r="AX204" s="12">
        <f>AW204</f>
        <v>0</v>
      </c>
      <c r="AY204" s="12">
        <f>AX204</f>
        <v>0</v>
      </c>
      <c r="AZ204" s="12">
        <f>AY204</f>
        <v>0</v>
      </c>
      <c r="BA204" s="12">
        <f>AZ204</f>
        <v>0</v>
      </c>
      <c r="BB204" s="12">
        <f>BA204</f>
        <v>0</v>
      </c>
      <c r="BC204" s="12">
        <f>BB204</f>
        <v>0</v>
      </c>
      <c r="BD204" s="12">
        <f>BC204</f>
        <v>0</v>
      </c>
      <c r="BE204" s="12">
        <f>BD204</f>
        <v>0</v>
      </c>
      <c r="BF204" s="12">
        <f>BE204</f>
        <v>0</v>
      </c>
      <c r="BG204" s="12" t="n"/>
      <c r="BH204" s="12" t="n"/>
      <c r="BI204" s="12" t="n"/>
      <c r="BJ204" s="12" t="n"/>
      <c r="BK204" s="12" t="n"/>
      <c r="BL204" s="12" t="n"/>
      <c r="BM204" s="12" t="n"/>
      <c r="BN204" s="12" t="n"/>
      <c r="BO204" s="12" t="n"/>
      <c r="BP204" s="12" t="n"/>
      <c r="BQ204" s="12" t="n"/>
      <c r="BR204" s="12" t="n"/>
      <c r="BS204" s="12" t="n"/>
      <c r="BT204" s="12" t="n"/>
      <c r="BU204" s="12" t="n"/>
      <c r="BV204" s="12" t="n"/>
      <c r="BW204" s="12" t="n"/>
      <c r="BX204" s="12" t="n"/>
      <c r="BY204" s="12" t="n"/>
      <c r="BZ204" s="12" t="n"/>
      <c r="CA204" s="12" t="n"/>
      <c r="CB204" s="12" t="n"/>
      <c r="CC204" s="12" t="n"/>
      <c r="CD204" s="12" t="n"/>
      <c r="CE204" s="12" t="n"/>
      <c r="CF204" s="12" t="n"/>
      <c r="CG204" s="12" t="n"/>
      <c r="CH204" s="12" t="n"/>
      <c r="CI204" s="12" t="n"/>
      <c r="CJ204" s="12" t="n"/>
      <c r="CK204" s="12" t="n"/>
      <c r="CL204" s="12" t="n"/>
      <c r="CM204" s="12" t="n"/>
      <c r="CN204" s="12" t="n"/>
      <c r="CO204" s="12" t="n"/>
      <c r="CP204" s="12" t="n"/>
      <c r="CQ204" s="12" t="n"/>
      <c r="CR204" s="12" t="n"/>
      <c r="CS204" s="12" t="n"/>
      <c r="CT204" s="12" t="n"/>
      <c r="CU204" s="12" t="n"/>
      <c r="CV204" s="12" t="n"/>
      <c r="CW204" s="12" t="n"/>
      <c r="CX204" s="12" t="n"/>
      <c r="CY204" s="12" t="n"/>
    </row>
    <row r="205">
      <c r="C205" s="14" t="inlineStr">
        <is>
          <t>Short term operating leases</t>
        </is>
      </c>
      <c r="D205" s="46" t="n"/>
      <c r="E205" s="46" t="n"/>
      <c r="F205" s="46" t="n"/>
      <c r="G205" s="46" t="n"/>
      <c r="H205" s="12" t="n"/>
      <c r="I205" s="46">
        <f>'Inputs (2)'!D34</f>
        <v>0</v>
      </c>
      <c r="J205" s="46">
        <f>'Inputs (2)'!E34</f>
        <v>0</v>
      </c>
      <c r="K205" s="46">
        <f>'Inputs (2)'!F34</f>
        <v>0</v>
      </c>
      <c r="L205" s="46">
        <f>'Inputs (2)'!G34</f>
        <v>0</v>
      </c>
      <c r="M205" s="12">
        <f>'Inputs (2)'!H34</f>
        <v>0</v>
      </c>
      <c r="N205" s="46">
        <f>'Inputs (2)'!I34</f>
        <v>0</v>
      </c>
      <c r="O205" s="46">
        <f>'Inputs (2)'!J34</f>
        <v>0</v>
      </c>
      <c r="P205" s="46">
        <f>'Inputs (2)'!K34</f>
        <v>0</v>
      </c>
      <c r="Q205" s="46">
        <f>'Inputs (2)'!L34</f>
        <v>0</v>
      </c>
      <c r="R205" s="12">
        <f>'Inputs (2)'!M34</f>
        <v>0</v>
      </c>
      <c r="S205" s="46">
        <f>'Inputs (2)'!N34</f>
        <v>0</v>
      </c>
      <c r="T205" s="46">
        <f>'Inputs (2)'!O34</f>
        <v>0</v>
      </c>
      <c r="U205" s="46">
        <f>'Inputs (2)'!P34</f>
        <v>0</v>
      </c>
      <c r="V205" s="46">
        <f>'Inputs (2)'!Q34</f>
        <v>0</v>
      </c>
      <c r="W205" s="12">
        <f>'Inputs (2)'!R34</f>
        <v>0</v>
      </c>
      <c r="X205" s="46">
        <f>'Inputs (2)'!S34</f>
        <v>0</v>
      </c>
      <c r="Y205" s="46">
        <f>'Inputs (2)'!T34</f>
        <v>0</v>
      </c>
      <c r="Z205" s="46">
        <f>'Inputs (2)'!U34</f>
        <v>0</v>
      </c>
      <c r="AA205" s="46">
        <f>'Inputs (2)'!V34</f>
        <v>0</v>
      </c>
      <c r="AB205" s="12">
        <f>'Inputs (2)'!W34</f>
        <v>0</v>
      </c>
      <c r="AC205" s="46">
        <f>'Inputs (2)'!X34</f>
        <v>0</v>
      </c>
      <c r="AD205" s="46">
        <f>'Inputs (2)'!Y34</f>
        <v>0</v>
      </c>
      <c r="AE205" s="46">
        <f>'Inputs (2)'!Z34</f>
        <v>0</v>
      </c>
      <c r="AF205" s="46">
        <f>'Inputs (2)'!AA34</f>
        <v>0</v>
      </c>
      <c r="AG205" s="12">
        <f>'Inputs (2)'!AB34</f>
        <v>0</v>
      </c>
      <c r="AH205" s="12">
        <f>'Inputs (2)'!AC34</f>
        <v>0</v>
      </c>
      <c r="AI205" s="12">
        <f>'Inputs (2)'!AD34</f>
        <v>0</v>
      </c>
      <c r="AJ205" s="12">
        <f>AI205</f>
        <v>0</v>
      </c>
      <c r="AK205" s="12">
        <f>AJ205</f>
        <v>0</v>
      </c>
      <c r="AL205" s="12">
        <f>AK205</f>
        <v>0</v>
      </c>
      <c r="AM205" s="12">
        <f>AL205</f>
        <v>0</v>
      </c>
      <c r="AN205" s="12">
        <f>AM205</f>
        <v>0</v>
      </c>
      <c r="AO205" s="12">
        <f>AN205</f>
        <v>0</v>
      </c>
      <c r="AP205" s="12">
        <f>AO205</f>
        <v>0</v>
      </c>
      <c r="AQ205" s="12">
        <f>AP205</f>
        <v>0</v>
      </c>
      <c r="AR205" s="12">
        <f>AQ205</f>
        <v>0</v>
      </c>
      <c r="AS205" s="12">
        <f>AR205</f>
        <v>0</v>
      </c>
      <c r="AT205" s="12">
        <f>AS205</f>
        <v>0</v>
      </c>
      <c r="AU205" s="12">
        <f>AT205</f>
        <v>0</v>
      </c>
      <c r="AV205" s="12">
        <f>AU205</f>
        <v>0</v>
      </c>
      <c r="AW205" s="12">
        <f>AV205</f>
        <v>0</v>
      </c>
      <c r="AX205" s="12">
        <f>AW205</f>
        <v>0</v>
      </c>
      <c r="AY205" s="12">
        <f>AX205</f>
        <v>0</v>
      </c>
      <c r="AZ205" s="12">
        <f>AY205</f>
        <v>0</v>
      </c>
      <c r="BA205" s="12">
        <f>AZ205</f>
        <v>0</v>
      </c>
      <c r="BB205" s="12">
        <f>BA205</f>
        <v>0</v>
      </c>
      <c r="BC205" s="12">
        <f>BB205</f>
        <v>0</v>
      </c>
      <c r="BD205" s="12">
        <f>BC205</f>
        <v>0</v>
      </c>
      <c r="BE205" s="12">
        <f>BD205</f>
        <v>0</v>
      </c>
      <c r="BF205" s="12">
        <f>BE205</f>
        <v>0</v>
      </c>
      <c r="BG205" s="12" t="n"/>
      <c r="BH205" s="12" t="n"/>
      <c r="BI205" s="12" t="n"/>
      <c r="BJ205" s="12" t="n"/>
      <c r="BK205" s="12" t="n"/>
      <c r="BL205" s="12" t="n"/>
      <c r="BM205" s="12" t="n"/>
      <c r="BN205" s="12" t="n"/>
      <c r="BO205" s="12" t="n"/>
      <c r="BP205" s="12" t="n"/>
      <c r="BQ205" s="12" t="n"/>
      <c r="BR205" s="12" t="n"/>
      <c r="BS205" s="12" t="n"/>
      <c r="BT205" s="12" t="n"/>
      <c r="BU205" s="12" t="n"/>
      <c r="BV205" s="12" t="n"/>
      <c r="BW205" s="12" t="n"/>
      <c r="BX205" s="12" t="n"/>
      <c r="BY205" s="12" t="n"/>
      <c r="BZ205" s="12" t="n"/>
      <c r="CA205" s="12" t="n"/>
      <c r="CB205" s="12" t="n"/>
      <c r="CC205" s="12" t="n"/>
      <c r="CD205" s="12" t="n"/>
      <c r="CE205" s="12" t="n"/>
      <c r="CF205" s="12" t="n"/>
      <c r="CG205" s="12" t="n"/>
      <c r="CH205" s="12" t="n"/>
      <c r="CI205" s="12" t="n"/>
      <c r="CJ205" s="12" t="n"/>
      <c r="CK205" s="12" t="n"/>
      <c r="CL205" s="12" t="n"/>
      <c r="CM205" s="12" t="n"/>
      <c r="CN205" s="12" t="n"/>
      <c r="CO205" s="12" t="n"/>
      <c r="CP205" s="12" t="n"/>
      <c r="CQ205" s="12" t="n"/>
      <c r="CR205" s="12" t="n"/>
      <c r="CS205" s="12" t="n"/>
      <c r="CT205" s="12" t="n"/>
      <c r="CU205" s="12" t="n"/>
      <c r="CV205" s="12" t="n"/>
      <c r="CW205" s="12" t="n"/>
      <c r="CX205" s="12" t="n"/>
      <c r="CY205" s="12" t="n"/>
    </row>
    <row r="206" hidden="1" outlineLevel="1">
      <c r="C206" s="59" t="inlineStr">
        <is>
          <t>%(Var.)</t>
        </is>
      </c>
      <c r="D206" s="12" t="n"/>
      <c r="E206" s="40" t="n"/>
      <c r="F206" s="40" t="n"/>
      <c r="G206" s="40" t="n"/>
      <c r="H206" s="12" t="n"/>
      <c r="I206" s="40" t="str">
        <f>""</f>
        <v/>
      </c>
      <c r="J206" s="40" t="str">
        <f>IFERROR(IF(I205=0,"",J205/I205-1),"")</f>
        <v/>
      </c>
      <c r="K206" s="40" t="str">
        <f>IFERROR(IF(J205=0,"",K205/J205-1),"")</f>
        <v/>
      </c>
      <c r="L206" s="40" t="str">
        <f>IFERROR(IF(K205=0,"",L205/K205-1),"")</f>
        <v/>
      </c>
      <c r="M206" s="12" t="str">
        <f>IF(L205=0,"",M205/L205-1)</f>
        <v/>
      </c>
      <c r="N206" s="40" t="str">
        <f>IFERROR(IF(M205=0,"",N205/M205-1),"")</f>
        <v/>
      </c>
      <c r="O206" s="40" t="str">
        <f>IFERROR(IF(N205=0,"",O205/N205-1),"")</f>
        <v/>
      </c>
      <c r="P206" s="40" t="str">
        <f>IFERROR(IF(O205=0,"",P205/O205-1),"")</f>
        <v/>
      </c>
      <c r="Q206" s="40" t="str">
        <f>IFERROR(IF(P205=0,"",Q205/P205-1),"")</f>
        <v/>
      </c>
      <c r="R206" s="12" t="str">
        <f>IF(Q205=0,"",R205/Q205-1)</f>
        <v/>
      </c>
      <c r="S206" s="40" t="str">
        <f>IFERROR(IF(R205=0,"",S205/R205-1),"")</f>
        <v/>
      </c>
      <c r="T206" s="40" t="str">
        <f>IFERROR(IF(S205=0,"",T205/S205-1),"")</f>
        <v/>
      </c>
      <c r="U206" s="40" t="str">
        <f>IFERROR(IF(T205=0,"",U205/T205-1),"")</f>
        <v/>
      </c>
      <c r="V206" s="40" t="str">
        <f>IFERROR(IF(U205=0,"",V205/U205-1),"")</f>
        <v/>
      </c>
      <c r="W206" s="12" t="str">
        <f>IF(V205=0,"",W205/V205-1)</f>
        <v/>
      </c>
      <c r="X206" s="40" t="str">
        <f>IFERROR(IF(W205=0,"",X205/W205-1),"")</f>
        <v/>
      </c>
      <c r="Y206" s="40" t="str">
        <f>IFERROR(IF(X205=0,"",Y205/X205-1),"")</f>
        <v/>
      </c>
      <c r="Z206" s="40" t="str">
        <f>IFERROR(IF(Y205=0,"",Z205/Y205-1),"")</f>
        <v/>
      </c>
      <c r="AA206" s="40" t="str">
        <f>IFERROR(IF(Z205=0,"",AA205/Z205-1),"")</f>
        <v/>
      </c>
      <c r="AB206" s="12" t="str">
        <f>IF(AA205=0,"",AB205/AA205-1)</f>
        <v/>
      </c>
      <c r="AC206" s="40" t="str">
        <f>IFERROR(IF(AB205=0,"",AC205/AB205-1),"")</f>
        <v/>
      </c>
      <c r="AD206" s="40" t="str">
        <f>IFERROR(IF(AC205=0,"",AD205/AC205-1),"")</f>
        <v/>
      </c>
      <c r="AE206" s="40" t="str">
        <f>IFERROR(IF(AD205=0,"",AE205/AD205-1),"")</f>
        <v/>
      </c>
      <c r="AF206" s="11" t="str">
        <f>IFERROR(IF(AE205=0,"",AF205/AE205-1),"")</f>
        <v/>
      </c>
      <c r="AG206" s="12" t="str">
        <f>IF(AF205=0,"",AG205/AF205-1)</f>
        <v/>
      </c>
      <c r="AH206" s="11" t="str">
        <f>IFERROR(IF(AG205=0,"",AH205/AG205-1),"")</f>
        <v/>
      </c>
      <c r="AI206" s="11" t="str">
        <f>IFERROR(IF(AH205=0,"",AI205/AH205-1),"")</f>
        <v/>
      </c>
      <c r="AJ206" s="11" t="str">
        <f>IFERROR(IF(AI205=0,"",AJ205/AI205-1),"")</f>
        <v/>
      </c>
      <c r="AK206" s="11" t="str">
        <f>IFERROR(IF(AJ205=0,"",AK205/AJ205-1),"")</f>
        <v/>
      </c>
      <c r="AL206" s="12" t="str">
        <f>IFERROR(IF(AK205=0,"",AL205/AK205-1),"")</f>
        <v/>
      </c>
      <c r="AM206" s="11" t="str">
        <f>IFERROR(IF(AL205=0,"",AM205/AL205-1),"")</f>
        <v/>
      </c>
      <c r="AN206" s="11" t="str">
        <f>IFERROR(IF(AM205=0,"",AN205/AM205-1),"")</f>
        <v/>
      </c>
      <c r="AO206" s="11" t="str">
        <f>IFERROR(IF(AN205=0,"",AO205/AN205-1),"")</f>
        <v/>
      </c>
      <c r="AP206" s="11" t="str">
        <f>IFERROR(IF(AO205=0,"",AP205/AO205-1),"")</f>
        <v/>
      </c>
      <c r="AQ206" s="12" t="str">
        <f>IFERROR(IF(AP205=0,"",AQ205/AP205-1),"")</f>
        <v/>
      </c>
      <c r="AR206" s="11" t="str">
        <f>IFERROR(IF(AQ205=0,"",AR205/AQ205-1),"")</f>
        <v/>
      </c>
      <c r="AS206" s="11" t="str">
        <f>IFERROR(IF(AR205=0,"",AS205/AR205-1),"")</f>
        <v/>
      </c>
      <c r="AT206" s="11" t="str">
        <f>IFERROR(IF(AS205=0,"",AT205/AS205-1),"")</f>
        <v/>
      </c>
      <c r="AU206" s="11" t="str">
        <f>IFERROR(IF(AT205=0,"",AU205/AT205-1),"")</f>
        <v/>
      </c>
      <c r="AV206" s="12" t="str">
        <f>IFERROR(IF(AU205=0,"",AV205/AU205-1),"")</f>
        <v/>
      </c>
      <c r="AW206" s="11" t="str">
        <f>IFERROR(IF(AV205=0,"",AW205/AV205-1),"")</f>
        <v/>
      </c>
      <c r="AX206" s="11" t="str">
        <f>IFERROR(IF(AW205=0,"",AX205/AW205-1),"")</f>
        <v/>
      </c>
      <c r="AY206" s="11" t="str">
        <f>IFERROR(IF(AX205=0,"",AY205/AX205-1),"")</f>
        <v/>
      </c>
      <c r="AZ206" s="11" t="str">
        <f>IFERROR(IF(AY205=0,"",AZ205/AY205-1),"")</f>
        <v/>
      </c>
      <c r="BA206" s="12" t="str">
        <f>IFERROR(IF(AZ205=0,"",BA205/AZ205-1),"")</f>
        <v/>
      </c>
      <c r="BB206" s="11" t="str">
        <f>IFERROR(IF(BA205=0,"",BB205/BA205-1),"")</f>
        <v/>
      </c>
      <c r="BC206" s="11" t="str">
        <f>IFERROR(IF(BB205=0,"",BC205/BB205-1),"")</f>
        <v/>
      </c>
      <c r="BD206" s="11" t="str">
        <f>IFERROR(IF(BC205=0,"",BD205/BC205-1),"")</f>
        <v/>
      </c>
      <c r="BE206" s="11" t="str">
        <f>IFERROR(IF(BD205=0,"",BE205/BD205-1),"")</f>
        <v/>
      </c>
      <c r="BF206" s="12" t="str">
        <f>IFERROR(IF(BE205=0,"",BF205/BE205-1),"")</f>
        <v/>
      </c>
      <c r="BG206" s="11" t="n"/>
      <c r="BH206" s="11" t="n"/>
      <c r="BI206" s="11" t="n"/>
      <c r="BJ206" s="11" t="n"/>
      <c r="BK206" s="12" t="n"/>
      <c r="BL206" s="11" t="n"/>
      <c r="BM206" s="11" t="n"/>
      <c r="BN206" s="11" t="n"/>
      <c r="BO206" s="11" t="n"/>
      <c r="BP206" s="12" t="n"/>
      <c r="BQ206" s="11" t="n"/>
      <c r="BR206" s="11" t="n"/>
      <c r="BS206" s="11" t="n"/>
      <c r="BT206" s="11" t="n"/>
      <c r="BU206" s="12" t="n"/>
      <c r="BV206" s="11" t="n"/>
      <c r="BW206" s="11" t="n"/>
      <c r="BX206" s="11" t="n"/>
      <c r="BY206" s="11" t="n"/>
      <c r="BZ206" s="12" t="n"/>
      <c r="CA206" s="11" t="n"/>
      <c r="CB206" s="11" t="n"/>
      <c r="CC206" s="11" t="n"/>
      <c r="CD206" s="11" t="n"/>
      <c r="CE206" s="12" t="n"/>
      <c r="CF206" s="11" t="n"/>
      <c r="CG206" s="11" t="n"/>
      <c r="CH206" s="11" t="n"/>
      <c r="CI206" s="11" t="n"/>
      <c r="CJ206" s="12" t="n"/>
      <c r="CK206" s="11" t="n"/>
      <c r="CL206" s="11" t="n"/>
      <c r="CM206" s="11" t="n"/>
      <c r="CN206" s="11" t="n"/>
      <c r="CO206" s="12" t="n"/>
      <c r="CP206" s="11" t="n"/>
      <c r="CQ206" s="11" t="n"/>
      <c r="CR206" s="11" t="n"/>
      <c r="CS206" s="11" t="n"/>
      <c r="CT206" s="12" t="n"/>
      <c r="CU206" s="11" t="n"/>
      <c r="CV206" s="11" t="n"/>
      <c r="CW206" s="11" t="n"/>
      <c r="CX206" s="11" t="n"/>
      <c r="CY206" s="12" t="n"/>
    </row>
    <row r="207" hidden="1" outlineLevel="1">
      <c r="C207" s="57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  <c r="AJ207" s="12" t="n"/>
      <c r="AK207" s="12" t="n"/>
      <c r="AL207" s="12" t="n"/>
      <c r="AM207" s="12" t="n"/>
      <c r="AN207" s="12" t="n"/>
      <c r="AO207" s="12" t="n"/>
      <c r="AP207" s="12" t="n"/>
      <c r="AQ207" s="12" t="n"/>
      <c r="AR207" s="12" t="n"/>
      <c r="AS207" s="12" t="n"/>
      <c r="AT207" s="12" t="n"/>
      <c r="AU207" s="12" t="n"/>
      <c r="AV207" s="12" t="n"/>
      <c r="AW207" s="12" t="n"/>
      <c r="AX207" s="12" t="n"/>
      <c r="AY207" s="12" t="n"/>
      <c r="AZ207" s="12" t="n"/>
      <c r="BA207" s="12" t="n"/>
      <c r="BB207" s="12" t="n"/>
      <c r="BC207" s="12" t="n"/>
      <c r="BD207" s="12" t="n"/>
      <c r="BE207" s="12" t="n"/>
      <c r="BF207" s="12" t="n"/>
      <c r="BG207" s="12" t="n"/>
      <c r="BH207" s="12" t="n"/>
      <c r="BI207" s="12" t="n"/>
      <c r="BJ207" s="12" t="n"/>
      <c r="BK207" s="12" t="n"/>
      <c r="BL207" s="12" t="n"/>
      <c r="BM207" s="12" t="n"/>
      <c r="BN207" s="12" t="n"/>
      <c r="BO207" s="12" t="n"/>
      <c r="BP207" s="12" t="n"/>
      <c r="BQ207" s="12" t="n"/>
      <c r="BR207" s="12" t="n"/>
      <c r="BS207" s="12" t="n"/>
      <c r="BT207" s="12" t="n"/>
      <c r="BU207" s="12" t="n"/>
      <c r="BV207" s="12" t="n"/>
      <c r="BW207" s="12" t="n"/>
      <c r="BX207" s="12" t="n"/>
      <c r="BY207" s="12" t="n"/>
      <c r="BZ207" s="12" t="n"/>
      <c r="CA207" s="12" t="n"/>
      <c r="CB207" s="12" t="n"/>
      <c r="CC207" s="12" t="n"/>
      <c r="CD207" s="12" t="n"/>
      <c r="CE207" s="12" t="n"/>
      <c r="CF207" s="12" t="n"/>
      <c r="CG207" s="12" t="n"/>
      <c r="CH207" s="12" t="n"/>
      <c r="CI207" s="12" t="n"/>
      <c r="CJ207" s="12" t="n"/>
      <c r="CK207" s="12" t="n"/>
      <c r="CL207" s="12" t="n"/>
      <c r="CM207" s="12" t="n"/>
      <c r="CN207" s="12" t="n"/>
      <c r="CO207" s="12" t="n"/>
      <c r="CP207" s="12" t="n"/>
      <c r="CQ207" s="12" t="n"/>
      <c r="CR207" s="12" t="n"/>
      <c r="CS207" s="12" t="n"/>
      <c r="CT207" s="12" t="n"/>
      <c r="CU207" s="12" t="n"/>
      <c r="CV207" s="12" t="n"/>
      <c r="CW207" s="12" t="n"/>
      <c r="CX207" s="12" t="n"/>
      <c r="CY207" s="12" t="n"/>
    </row>
    <row r="208" collapsed="1">
      <c r="C208" s="14" t="inlineStr">
        <is>
          <t>Long term debt</t>
        </is>
      </c>
      <c r="D208" s="46" t="n"/>
      <c r="E208" s="46" t="n"/>
      <c r="F208" s="46" t="n"/>
      <c r="G208" s="46" t="n"/>
      <c r="H208" s="12" t="n"/>
      <c r="I208" s="46">
        <f>'Inputs (2)'!D35</f>
        <v>11657</v>
      </c>
      <c r="J208" s="46">
        <f>'Inputs (2)'!E35</f>
        <v>11665</v>
      </c>
      <c r="K208" s="46">
        <f>'Inputs (2)'!F35</f>
        <v>11668</v>
      </c>
      <c r="L208" s="46">
        <f>'Inputs (2)'!G35</f>
        <v>11670</v>
      </c>
      <c r="M208" s="12">
        <f>'Inputs (2)'!H35</f>
        <v>11670</v>
      </c>
      <c r="N208" s="46">
        <f>'Inputs (2)'!I35</f>
        <v>11145</v>
      </c>
      <c r="O208" s="46">
        <f>'Inputs (2)'!J35</f>
        <v>11644</v>
      </c>
      <c r="P208" s="46">
        <f>'Inputs (2)'!K35</f>
        <v>11480</v>
      </c>
      <c r="Q208" s="46">
        <f>'Inputs (2)'!L35</f>
        <v>15429</v>
      </c>
      <c r="R208" s="12">
        <f>'Inputs (2)'!M35</f>
        <v>15429</v>
      </c>
      <c r="S208" s="46">
        <f>'Inputs (2)'!N35</f>
        <v>15485</v>
      </c>
      <c r="T208" s="46">
        <f>'Inputs (2)'!O35</f>
        <v>17262</v>
      </c>
      <c r="U208" s="46">
        <f>'Inputs (2)'!P35</f>
        <v>17221</v>
      </c>
      <c r="V208" s="46">
        <f>'Inputs (2)'!Q35</f>
        <v>17291</v>
      </c>
      <c r="W208" s="12">
        <f>'Inputs (2)'!R35</f>
        <v>17291</v>
      </c>
      <c r="X208" s="46">
        <f>'Inputs (2)'!S35</f>
        <v>19250</v>
      </c>
      <c r="Y208" s="46">
        <f>'Inputs (2)'!T35</f>
        <v>19115</v>
      </c>
      <c r="Z208" s="46">
        <f>'Inputs (2)'!U35</f>
        <v>19179</v>
      </c>
      <c r="AA208" s="46">
        <f>'Inputs (2)'!V35</f>
        <v>19627</v>
      </c>
      <c r="AB208" s="12">
        <f>'Inputs (2)'!W35</f>
        <v>19627</v>
      </c>
      <c r="AC208" s="46">
        <f>'Inputs (2)'!X35</f>
        <v>18661</v>
      </c>
      <c r="AD208" s="46">
        <f>'Inputs (2)'!Y35</f>
        <v>18520</v>
      </c>
      <c r="AE208" s="46">
        <f>'Inputs (2)'!Z35</f>
        <v>20520</v>
      </c>
      <c r="AF208" s="46">
        <f>'Inputs (2)'!AA35</f>
        <v>20532</v>
      </c>
      <c r="AG208" s="12">
        <f>'Inputs (2)'!AB35</f>
        <v>20532</v>
      </c>
      <c r="AH208" s="12">
        <f>'Inputs (2)'!AC35</f>
        <v>20529</v>
      </c>
      <c r="AI208" s="12">
        <f>'Inputs (2)'!AD35</f>
        <v>20538</v>
      </c>
      <c r="AJ208" s="12">
        <f>AJ214</f>
        <v>20538</v>
      </c>
      <c r="AK208" s="12">
        <f>AK214</f>
        <v>20538</v>
      </c>
      <c r="AL208" s="12">
        <f>AK208</f>
        <v>20538</v>
      </c>
      <c r="AM208" s="12">
        <f>AM214</f>
        <v>20538</v>
      </c>
      <c r="AN208" s="12">
        <f>AN214</f>
        <v>20538</v>
      </c>
      <c r="AO208" s="12">
        <f>AO214</f>
        <v>20538</v>
      </c>
      <c r="AP208" s="12">
        <f>AP214</f>
        <v>20538</v>
      </c>
      <c r="AQ208" s="12">
        <f>AP208</f>
        <v>20538</v>
      </c>
      <c r="AR208" s="12">
        <f>AR214</f>
        <v>20538</v>
      </c>
      <c r="AS208" s="12">
        <f>AS214</f>
        <v>20538</v>
      </c>
      <c r="AT208" s="12">
        <f>AT214</f>
        <v>20538</v>
      </c>
      <c r="AU208" s="12">
        <f>AU214</f>
        <v>20538</v>
      </c>
      <c r="AV208" s="12">
        <f>AU208</f>
        <v>20538</v>
      </c>
      <c r="AW208" s="12">
        <f>AW214</f>
        <v>20538</v>
      </c>
      <c r="AX208" s="12">
        <f>AX214</f>
        <v>20538</v>
      </c>
      <c r="AY208" s="12">
        <f>AY214</f>
        <v>20538</v>
      </c>
      <c r="AZ208" s="12">
        <f>AZ214</f>
        <v>20538</v>
      </c>
      <c r="BA208" s="12">
        <f>AZ208</f>
        <v>20538</v>
      </c>
      <c r="BB208" s="12">
        <f>BB214</f>
        <v>20538</v>
      </c>
      <c r="BC208" s="12">
        <f>BC214</f>
        <v>20538</v>
      </c>
      <c r="BD208" s="12">
        <f>BD214</f>
        <v>20538</v>
      </c>
      <c r="BE208" s="12">
        <f>BE214</f>
        <v>20538</v>
      </c>
      <c r="BF208" s="12">
        <f>BE208</f>
        <v>20538</v>
      </c>
      <c r="BG208" s="12" t="n"/>
      <c r="BH208" s="12" t="n"/>
      <c r="BI208" s="12" t="n"/>
      <c r="BJ208" s="12" t="n"/>
      <c r="BK208" s="12" t="n"/>
      <c r="BL208" s="12" t="n"/>
      <c r="BM208" s="12" t="n"/>
      <c r="BN208" s="12" t="n"/>
      <c r="BO208" s="12" t="n"/>
      <c r="BP208" s="12" t="n"/>
      <c r="BQ208" s="12" t="n"/>
      <c r="BR208" s="12" t="n"/>
      <c r="BS208" s="12" t="n"/>
      <c r="BT208" s="12" t="n"/>
      <c r="BU208" s="12" t="n"/>
      <c r="BV208" s="12" t="n"/>
      <c r="BW208" s="12" t="n"/>
      <c r="BX208" s="12" t="n"/>
      <c r="BY208" s="12" t="n"/>
      <c r="BZ208" s="12" t="n"/>
      <c r="CA208" s="12" t="n"/>
      <c r="CB208" s="12" t="n"/>
      <c r="CC208" s="12" t="n"/>
      <c r="CD208" s="12" t="n"/>
      <c r="CE208" s="12" t="n"/>
      <c r="CF208" s="12" t="n"/>
      <c r="CG208" s="12" t="n"/>
      <c r="CH208" s="12" t="n"/>
      <c r="CI208" s="12" t="n"/>
      <c r="CJ208" s="12" t="n"/>
      <c r="CK208" s="12" t="n"/>
      <c r="CL208" s="12" t="n"/>
      <c r="CM208" s="12" t="n"/>
      <c r="CN208" s="12" t="n"/>
      <c r="CO208" s="12" t="n"/>
      <c r="CP208" s="12" t="n"/>
      <c r="CQ208" s="12" t="n"/>
      <c r="CR208" s="12" t="n"/>
      <c r="CS208" s="12" t="n"/>
      <c r="CT208" s="12" t="n"/>
      <c r="CU208" s="12" t="n"/>
      <c r="CV208" s="12" t="n"/>
      <c r="CW208" s="12" t="n"/>
      <c r="CX208" s="12" t="n"/>
      <c r="CY208" s="12" t="n"/>
    </row>
    <row r="209" hidden="1" outlineLevel="1">
      <c r="C209" s="57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  <c r="AJ209" s="12" t="n"/>
      <c r="AK209" s="12" t="n"/>
      <c r="AL209" s="12" t="n"/>
      <c r="AM209" s="12" t="n"/>
      <c r="AN209" s="12" t="n"/>
      <c r="AO209" s="12" t="n"/>
      <c r="AP209" s="12" t="n"/>
      <c r="AQ209" s="12" t="n"/>
      <c r="AR209" s="12" t="n"/>
      <c r="AS209" s="12" t="n"/>
      <c r="AT209" s="12" t="n"/>
      <c r="AU209" s="12" t="n"/>
      <c r="AV209" s="12" t="n"/>
      <c r="AW209" s="12" t="n"/>
      <c r="AX209" s="12" t="n"/>
      <c r="AY209" s="12" t="n"/>
      <c r="AZ209" s="12" t="n"/>
      <c r="BA209" s="12" t="n"/>
      <c r="BB209" s="12" t="n"/>
      <c r="BC209" s="12" t="n"/>
      <c r="BD209" s="12" t="n"/>
      <c r="BE209" s="12" t="n"/>
      <c r="BF209" s="12" t="n"/>
      <c r="BG209" s="12" t="n"/>
      <c r="BH209" s="12" t="n"/>
      <c r="BI209" s="12" t="n"/>
      <c r="BJ209" s="12" t="n"/>
      <c r="BK209" s="12" t="n"/>
      <c r="BL209" s="12" t="n"/>
      <c r="BM209" s="12" t="n"/>
      <c r="BN209" s="12" t="n"/>
      <c r="BO209" s="12" t="n"/>
      <c r="BP209" s="12" t="n"/>
      <c r="BQ209" s="12" t="n"/>
      <c r="BR209" s="12" t="n"/>
      <c r="BS209" s="12" t="n"/>
      <c r="BT209" s="12" t="n"/>
      <c r="BU209" s="12" t="n"/>
      <c r="BV209" s="12" t="n"/>
      <c r="BW209" s="12" t="n"/>
      <c r="BX209" s="12" t="n"/>
      <c r="BY209" s="12" t="n"/>
      <c r="BZ209" s="12" t="n"/>
      <c r="CA209" s="12" t="n"/>
      <c r="CB209" s="12" t="n"/>
      <c r="CC209" s="12" t="n"/>
      <c r="CD209" s="12" t="n"/>
      <c r="CE209" s="12" t="n"/>
      <c r="CF209" s="12" t="n"/>
      <c r="CG209" s="12" t="n"/>
      <c r="CH209" s="12" t="n"/>
      <c r="CI209" s="12" t="n"/>
      <c r="CJ209" s="12" t="n"/>
      <c r="CK209" s="12" t="n"/>
      <c r="CL209" s="12" t="n"/>
      <c r="CM209" s="12" t="n"/>
      <c r="CN209" s="12" t="n"/>
      <c r="CO209" s="12" t="n"/>
      <c r="CP209" s="12" t="n"/>
      <c r="CQ209" s="12" t="n"/>
      <c r="CR209" s="12" t="n"/>
      <c r="CS209" s="12" t="n"/>
      <c r="CT209" s="12" t="n"/>
      <c r="CU209" s="12" t="n"/>
      <c r="CV209" s="12" t="n"/>
      <c r="CW209" s="12" t="n"/>
      <c r="CX209" s="12" t="n"/>
      <c r="CY209" s="12" t="n"/>
    </row>
    <row r="210" hidden="1" outlineLevel="1">
      <c r="C210" s="57" t="inlineStr">
        <is>
          <t>Current portion of LTD</t>
        </is>
      </c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>
        <f>AF203</f>
        <v>1168</v>
      </c>
      <c r="AI210" s="62" t="n"/>
      <c r="AJ210" s="62" t="n"/>
      <c r="AK210" s="62" t="n"/>
      <c r="AL210" s="12" t="n"/>
      <c r="AM210" s="12">
        <f>AK203</f>
        <v>0</v>
      </c>
      <c r="AN210" s="62" t="n"/>
      <c r="AO210" s="62" t="n"/>
      <c r="AP210" s="62" t="n"/>
      <c r="AQ210" s="12" t="n"/>
      <c r="AR210" s="12">
        <f>AP203</f>
        <v>0</v>
      </c>
      <c r="AS210" s="62" t="n"/>
      <c r="AT210" s="62" t="n"/>
      <c r="AU210" s="62" t="n"/>
      <c r="AV210" s="12" t="n"/>
      <c r="AW210" s="12">
        <f>AU203</f>
        <v>0</v>
      </c>
      <c r="AX210" s="62" t="n"/>
      <c r="AY210" s="62" t="n"/>
      <c r="AZ210" s="62" t="n"/>
      <c r="BA210" s="12" t="n"/>
      <c r="BB210" s="12">
        <f>AZ203</f>
        <v>0</v>
      </c>
      <c r="BC210" s="62" t="n"/>
      <c r="BD210" s="62" t="n"/>
      <c r="BE210" s="62" t="n"/>
      <c r="BF210" s="12" t="n"/>
      <c r="BG210" s="12" t="n"/>
      <c r="BH210" s="62" t="n"/>
      <c r="BI210" s="62" t="n"/>
      <c r="BJ210" s="62" t="n"/>
      <c r="BK210" s="12" t="n"/>
      <c r="BL210" s="12" t="n"/>
      <c r="BM210" s="62" t="n"/>
      <c r="BN210" s="62" t="n"/>
      <c r="BO210" s="62" t="n"/>
      <c r="BP210" s="12" t="n"/>
      <c r="BQ210" s="12" t="n"/>
      <c r="BR210" s="62" t="n"/>
      <c r="BS210" s="62" t="n"/>
      <c r="BT210" s="62" t="n"/>
      <c r="BU210" s="12" t="n"/>
      <c r="BV210" s="12" t="n"/>
      <c r="BW210" s="62" t="n"/>
      <c r="BX210" s="62" t="n"/>
      <c r="BY210" s="62" t="n"/>
      <c r="BZ210" s="12" t="n"/>
      <c r="CA210" s="12" t="n"/>
      <c r="CB210" s="62" t="n"/>
      <c r="CC210" s="62" t="n"/>
      <c r="CD210" s="62" t="n"/>
      <c r="CE210" s="12" t="n"/>
      <c r="CF210" s="12" t="n"/>
      <c r="CG210" s="62" t="n"/>
      <c r="CH210" s="62" t="n"/>
      <c r="CI210" s="62" t="n"/>
      <c r="CJ210" s="12" t="n"/>
      <c r="CK210" s="12" t="n"/>
      <c r="CL210" s="62" t="n"/>
      <c r="CM210" s="62" t="n"/>
      <c r="CN210" s="62" t="n"/>
      <c r="CO210" s="12" t="n"/>
      <c r="CP210" s="12" t="n"/>
      <c r="CQ210" s="62" t="n"/>
      <c r="CR210" s="62" t="n"/>
      <c r="CS210" s="62" t="n"/>
      <c r="CT210" s="12" t="n"/>
      <c r="CU210" s="12" t="n"/>
      <c r="CV210" s="62" t="n"/>
      <c r="CW210" s="62" t="n"/>
      <c r="CX210" s="62" t="n"/>
      <c r="CY210" s="12" t="n"/>
    </row>
    <row r="211" hidden="1" outlineLevel="1">
      <c r="C211" s="57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  <c r="AJ211" s="12" t="n"/>
      <c r="AK211" s="12" t="n"/>
      <c r="AL211" s="12" t="n"/>
      <c r="AM211" s="12" t="n"/>
      <c r="AN211" s="12" t="n"/>
      <c r="AO211" s="12" t="n"/>
      <c r="AP211" s="12" t="n"/>
      <c r="AQ211" s="12" t="n"/>
      <c r="AR211" s="12" t="n"/>
      <c r="AS211" s="12" t="n"/>
      <c r="AT211" s="12" t="n"/>
      <c r="AU211" s="12" t="n"/>
      <c r="AV211" s="12" t="n"/>
      <c r="AW211" s="12" t="n"/>
      <c r="AX211" s="12" t="n"/>
      <c r="AY211" s="12" t="n"/>
      <c r="AZ211" s="12" t="n"/>
      <c r="BA211" s="12" t="n"/>
      <c r="BB211" s="12" t="n"/>
      <c r="BC211" s="12" t="n"/>
      <c r="BD211" s="12" t="n"/>
      <c r="BE211" s="12" t="n"/>
      <c r="BF211" s="12" t="n"/>
      <c r="BG211" s="12" t="n"/>
      <c r="BH211" s="12" t="n"/>
      <c r="BI211" s="12" t="n"/>
      <c r="BJ211" s="12" t="n"/>
      <c r="BK211" s="12" t="n"/>
      <c r="BL211" s="12" t="n"/>
      <c r="BM211" s="12" t="n"/>
      <c r="BN211" s="12" t="n"/>
      <c r="BO211" s="12" t="n"/>
      <c r="BP211" s="12" t="n"/>
      <c r="BQ211" s="12" t="n"/>
      <c r="BR211" s="12" t="n"/>
      <c r="BS211" s="12" t="n"/>
      <c r="BT211" s="12" t="n"/>
      <c r="BU211" s="12" t="n"/>
      <c r="BV211" s="12" t="n"/>
      <c r="BW211" s="12" t="n"/>
      <c r="BX211" s="12" t="n"/>
      <c r="BY211" s="12" t="n"/>
      <c r="BZ211" s="12" t="n"/>
      <c r="CA211" s="12" t="n"/>
      <c r="CB211" s="12" t="n"/>
      <c r="CC211" s="12" t="n"/>
      <c r="CD211" s="12" t="n"/>
      <c r="CE211" s="12" t="n"/>
      <c r="CF211" s="12" t="n"/>
      <c r="CG211" s="12" t="n"/>
      <c r="CH211" s="12" t="n"/>
      <c r="CI211" s="12" t="n"/>
      <c r="CJ211" s="12" t="n"/>
      <c r="CK211" s="12" t="n"/>
      <c r="CL211" s="12" t="n"/>
      <c r="CM211" s="12" t="n"/>
      <c r="CN211" s="12" t="n"/>
      <c r="CO211" s="12" t="n"/>
      <c r="CP211" s="12" t="n"/>
      <c r="CQ211" s="12" t="n"/>
      <c r="CR211" s="12" t="n"/>
      <c r="CS211" s="12" t="n"/>
      <c r="CT211" s="12" t="n"/>
      <c r="CU211" s="12" t="n"/>
      <c r="CV211" s="12" t="n"/>
      <c r="CW211" s="12" t="n"/>
      <c r="CX211" s="12" t="n"/>
      <c r="CY211" s="12" t="n"/>
    </row>
    <row r="212" hidden="1" outlineLevel="1">
      <c r="C212" s="57" t="inlineStr">
        <is>
          <t>Reclassification of LTD to CP of LTD</t>
        </is>
      </c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>
        <f>-AI210</f>
        <v>0</v>
      </c>
      <c r="AJ212" s="12">
        <f>-AJ210</f>
        <v>0</v>
      </c>
      <c r="AK212" s="12">
        <f>-AK210</f>
        <v>0</v>
      </c>
      <c r="AL212" s="12" t="n"/>
      <c r="AM212" s="12" t="n"/>
      <c r="AN212" s="12">
        <f>-AN210</f>
        <v>0</v>
      </c>
      <c r="AO212" s="12">
        <f>-AO210</f>
        <v>0</v>
      </c>
      <c r="AP212" s="12">
        <f>-AP210</f>
        <v>0</v>
      </c>
      <c r="AQ212" s="12" t="n"/>
      <c r="AR212" s="12" t="n"/>
      <c r="AS212" s="12">
        <f>-AS210</f>
        <v>0</v>
      </c>
      <c r="AT212" s="12">
        <f>-AT210</f>
        <v>0</v>
      </c>
      <c r="AU212" s="12">
        <f>-AU210</f>
        <v>0</v>
      </c>
      <c r="AV212" s="12" t="n"/>
      <c r="AW212" s="12" t="n"/>
      <c r="AX212" s="12">
        <f>-AX210</f>
        <v>0</v>
      </c>
      <c r="AY212" s="12">
        <f>-AY210</f>
        <v>0</v>
      </c>
      <c r="AZ212" s="12">
        <f>-AZ210</f>
        <v>0</v>
      </c>
      <c r="BA212" s="12" t="n"/>
      <c r="BB212" s="12" t="n"/>
      <c r="BC212" s="12">
        <f>-BC210</f>
        <v>0</v>
      </c>
      <c r="BD212" s="12">
        <f>-BD210</f>
        <v>0</v>
      </c>
      <c r="BE212" s="12">
        <f>-BE210</f>
        <v>0</v>
      </c>
      <c r="BF212" s="12" t="n"/>
      <c r="BG212" s="12" t="n"/>
      <c r="BH212" s="12" t="n"/>
      <c r="BI212" s="12" t="n"/>
      <c r="BJ212" s="12" t="n"/>
      <c r="BK212" s="12" t="n"/>
      <c r="BL212" s="12" t="n"/>
      <c r="BM212" s="12" t="n"/>
      <c r="BN212" s="12" t="n"/>
      <c r="BO212" s="12" t="n"/>
      <c r="BP212" s="12" t="n"/>
      <c r="BQ212" s="12" t="n"/>
      <c r="BR212" s="12" t="n"/>
      <c r="BS212" s="12" t="n"/>
      <c r="BT212" s="12" t="n"/>
      <c r="BU212" s="12" t="n"/>
      <c r="BV212" s="12" t="n"/>
      <c r="BW212" s="12" t="n"/>
      <c r="BX212" s="12" t="n"/>
      <c r="BY212" s="12" t="n"/>
      <c r="BZ212" s="12" t="n"/>
      <c r="CA212" s="12" t="n"/>
      <c r="CB212" s="12" t="n"/>
      <c r="CC212" s="12" t="n"/>
      <c r="CD212" s="12" t="n"/>
      <c r="CE212" s="12" t="n"/>
      <c r="CF212" s="12" t="n"/>
      <c r="CG212" s="12" t="n"/>
      <c r="CH212" s="12" t="n"/>
      <c r="CI212" s="12" t="n"/>
      <c r="CJ212" s="12" t="n"/>
      <c r="CK212" s="12" t="n"/>
      <c r="CL212" s="12" t="n"/>
      <c r="CM212" s="12" t="n"/>
      <c r="CN212" s="12" t="n"/>
      <c r="CO212" s="12" t="n"/>
      <c r="CP212" s="12" t="n"/>
      <c r="CQ212" s="12" t="n"/>
      <c r="CR212" s="12" t="n"/>
      <c r="CS212" s="12" t="n"/>
      <c r="CT212" s="12" t="n"/>
      <c r="CU212" s="12" t="n"/>
      <c r="CV212" s="12" t="n"/>
      <c r="CW212" s="12" t="n"/>
      <c r="CX212" s="12" t="n"/>
      <c r="CY212" s="12" t="n"/>
    </row>
    <row r="213" hidden="1" outlineLevel="1">
      <c r="C213" s="57" t="inlineStr">
        <is>
          <t>Discretionary (paydown)/borrowing of long term debt</t>
        </is>
      </c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62" t="n"/>
      <c r="AI213" s="62" t="n"/>
      <c r="AJ213" s="62" t="n"/>
      <c r="AK213" s="62" t="n"/>
      <c r="AL213" s="12" t="n"/>
      <c r="AM213" s="62" t="n"/>
      <c r="AN213" s="62" t="n"/>
      <c r="AO213" s="62" t="n"/>
      <c r="AP213" s="62" t="n"/>
      <c r="AQ213" s="12" t="n"/>
      <c r="AR213" s="62" t="n"/>
      <c r="AS213" s="62" t="n"/>
      <c r="AT213" s="62" t="n"/>
      <c r="AU213" s="62" t="n"/>
      <c r="AV213" s="12" t="n"/>
      <c r="AW213" s="62" t="n"/>
      <c r="AX213" s="62" t="n"/>
      <c r="AY213" s="62" t="n"/>
      <c r="AZ213" s="62" t="n"/>
      <c r="BA213" s="12" t="n"/>
      <c r="BB213" s="62" t="n"/>
      <c r="BC213" s="62" t="n"/>
      <c r="BD213" s="62" t="n"/>
      <c r="BE213" s="62" t="n"/>
      <c r="BF213" s="12" t="n"/>
      <c r="BG213" s="62" t="n"/>
      <c r="BH213" s="62" t="n"/>
      <c r="BI213" s="62" t="n"/>
      <c r="BJ213" s="62" t="n"/>
      <c r="BK213" s="12" t="n"/>
      <c r="BL213" s="62" t="n"/>
      <c r="BM213" s="62" t="n"/>
      <c r="BN213" s="62" t="n"/>
      <c r="BO213" s="62" t="n"/>
      <c r="BP213" s="12" t="n"/>
      <c r="BQ213" s="62" t="n"/>
      <c r="BR213" s="62" t="n"/>
      <c r="BS213" s="62" t="n"/>
      <c r="BT213" s="62" t="n"/>
      <c r="BU213" s="12" t="n"/>
      <c r="BV213" s="62" t="n"/>
      <c r="BW213" s="62" t="n"/>
      <c r="BX213" s="62" t="n"/>
      <c r="BY213" s="62" t="n"/>
      <c r="BZ213" s="12" t="n"/>
      <c r="CA213" s="62" t="n"/>
      <c r="CB213" s="62" t="n"/>
      <c r="CC213" s="62" t="n"/>
      <c r="CD213" s="62" t="n"/>
      <c r="CE213" s="12" t="n"/>
      <c r="CF213" s="62" t="n"/>
      <c r="CG213" s="62" t="n"/>
      <c r="CH213" s="62" t="n"/>
      <c r="CI213" s="62" t="n"/>
      <c r="CJ213" s="12" t="n"/>
      <c r="CK213" s="62" t="n"/>
      <c r="CL213" s="62" t="n"/>
      <c r="CM213" s="62" t="n"/>
      <c r="CN213" s="62" t="n"/>
      <c r="CO213" s="12" t="n"/>
      <c r="CP213" s="62" t="n"/>
      <c r="CQ213" s="62" t="n"/>
      <c r="CR213" s="62" t="n"/>
      <c r="CS213" s="62" t="n"/>
      <c r="CT213" s="12" t="n"/>
      <c r="CU213" s="62" t="n"/>
      <c r="CV213" s="62" t="n"/>
      <c r="CW213" s="62" t="n"/>
      <c r="CX213" s="62" t="n"/>
      <c r="CY213" s="12" t="n"/>
    </row>
    <row r="214" hidden="1" outlineLevel="1">
      <c r="C214" s="57" t="inlineStr">
        <is>
          <t>Long term debt</t>
        </is>
      </c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>
        <f>AH208</f>
        <v>20529</v>
      </c>
      <c r="AI214" s="12">
        <f>AI208</f>
        <v>20538</v>
      </c>
      <c r="AJ214" s="12">
        <f>AI214+SUM(AJ212:AJ213)</f>
        <v>20538</v>
      </c>
      <c r="AK214" s="12">
        <f>AJ214+SUM(AK212:AK213)</f>
        <v>20538</v>
      </c>
      <c r="AL214" s="12" t="n"/>
      <c r="AM214" s="12">
        <f>AK214+SUM(AM212:AM213)</f>
        <v>20538</v>
      </c>
      <c r="AN214" s="12">
        <f>AM214+SUM(AN212:AN213)</f>
        <v>20538</v>
      </c>
      <c r="AO214" s="12">
        <f>AN214+SUM(AO212:AO213)</f>
        <v>20538</v>
      </c>
      <c r="AP214" s="12">
        <f>AO214+SUM(AP212:AP213)</f>
        <v>20538</v>
      </c>
      <c r="AQ214" s="12" t="n"/>
      <c r="AR214" s="12">
        <f>AP214+SUM(AR212:AR213)</f>
        <v>20538</v>
      </c>
      <c r="AS214" s="12">
        <f>AR214+SUM(AS212:AS213)</f>
        <v>20538</v>
      </c>
      <c r="AT214" s="12">
        <f>AS214+SUM(AT212:AT213)</f>
        <v>20538</v>
      </c>
      <c r="AU214" s="12">
        <f>AT214+SUM(AU212:AU213)</f>
        <v>20538</v>
      </c>
      <c r="AV214" s="12" t="n"/>
      <c r="AW214" s="12">
        <f>AU214+SUM(AW212:AW213)</f>
        <v>20538</v>
      </c>
      <c r="AX214" s="12">
        <f>AW214+SUM(AX212:AX213)</f>
        <v>20538</v>
      </c>
      <c r="AY214" s="12">
        <f>AX214+SUM(AY212:AY213)</f>
        <v>20538</v>
      </c>
      <c r="AZ214" s="12">
        <f>AY214+SUM(AZ212:AZ213)</f>
        <v>20538</v>
      </c>
      <c r="BA214" s="12" t="n"/>
      <c r="BB214" s="12">
        <f>AZ214+SUM(BB212:BB213)</f>
        <v>20538</v>
      </c>
      <c r="BC214" s="12">
        <f>BB214+SUM(BC212:BC213)</f>
        <v>20538</v>
      </c>
      <c r="BD214" s="12">
        <f>BC214+SUM(BD212:BD213)</f>
        <v>20538</v>
      </c>
      <c r="BE214" s="12">
        <f>BD214+SUM(BE212:BE213)</f>
        <v>20538</v>
      </c>
      <c r="BF214" s="12" t="n"/>
      <c r="BG214" s="12" t="n"/>
      <c r="BH214" s="12" t="n"/>
      <c r="BI214" s="12" t="n"/>
      <c r="BJ214" s="12" t="n"/>
      <c r="BK214" s="12" t="n"/>
      <c r="BL214" s="12" t="n"/>
      <c r="BM214" s="12" t="n"/>
      <c r="BN214" s="12" t="n"/>
      <c r="BO214" s="12" t="n"/>
      <c r="BP214" s="12" t="n"/>
      <c r="BQ214" s="12" t="n"/>
      <c r="BR214" s="12" t="n"/>
      <c r="BS214" s="12" t="n"/>
      <c r="BT214" s="12" t="n"/>
      <c r="BU214" s="12" t="n"/>
      <c r="BV214" s="12" t="n"/>
      <c r="BW214" s="12" t="n"/>
      <c r="BX214" s="12" t="n"/>
      <c r="BY214" s="12" t="n"/>
      <c r="BZ214" s="12" t="n"/>
      <c r="CA214" s="12" t="n"/>
      <c r="CB214" s="12" t="n"/>
      <c r="CC214" s="12" t="n"/>
      <c r="CD214" s="12" t="n"/>
      <c r="CE214" s="12" t="n"/>
      <c r="CF214" s="12" t="n"/>
      <c r="CG214" s="12" t="n"/>
      <c r="CH214" s="12" t="n"/>
      <c r="CI214" s="12" t="n"/>
      <c r="CJ214" s="12" t="n"/>
      <c r="CK214" s="12" t="n"/>
      <c r="CL214" s="12" t="n"/>
      <c r="CM214" s="12" t="n"/>
      <c r="CN214" s="12" t="n"/>
      <c r="CO214" s="12" t="n"/>
      <c r="CP214" s="12" t="n"/>
      <c r="CQ214" s="12" t="n"/>
      <c r="CR214" s="12" t="n"/>
      <c r="CS214" s="12" t="n"/>
      <c r="CT214" s="12" t="n"/>
      <c r="CU214" s="12" t="n"/>
      <c r="CV214" s="12" t="n"/>
      <c r="CW214" s="12" t="n"/>
      <c r="CX214" s="12" t="n"/>
      <c r="CY214" s="12" t="n"/>
    </row>
    <row r="215" hidden="1" outlineLevel="1">
      <c r="C215" s="57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  <c r="AJ215" s="12" t="n"/>
      <c r="AK215" s="12" t="n"/>
      <c r="AL215" s="12" t="n"/>
      <c r="AM215" s="12" t="n"/>
      <c r="AN215" s="12" t="n"/>
      <c r="AO215" s="12" t="n"/>
      <c r="AP215" s="12" t="n"/>
      <c r="AQ215" s="12" t="n"/>
      <c r="AR215" s="12" t="n"/>
      <c r="AS215" s="12" t="n"/>
      <c r="AT215" s="12" t="n"/>
      <c r="AU215" s="12" t="n"/>
      <c r="AV215" s="12" t="n"/>
      <c r="AW215" s="12" t="n"/>
      <c r="AX215" s="12" t="n"/>
      <c r="AY215" s="12" t="n"/>
      <c r="AZ215" s="12" t="n"/>
      <c r="BA215" s="12" t="n"/>
      <c r="BB215" s="12" t="n"/>
      <c r="BC215" s="12" t="n"/>
      <c r="BD215" s="12" t="n"/>
      <c r="BE215" s="12" t="n"/>
      <c r="BF215" s="12" t="n"/>
      <c r="BG215" s="12" t="n"/>
      <c r="BH215" s="12" t="n"/>
      <c r="BI215" s="12" t="n"/>
      <c r="BJ215" s="12" t="n"/>
      <c r="BK215" s="12" t="n"/>
      <c r="BL215" s="12" t="n"/>
      <c r="BM215" s="12" t="n"/>
      <c r="BN215" s="12" t="n"/>
      <c r="BO215" s="12" t="n"/>
      <c r="BP215" s="12" t="n"/>
      <c r="BQ215" s="12" t="n"/>
      <c r="BR215" s="12" t="n"/>
      <c r="BS215" s="12" t="n"/>
      <c r="BT215" s="12" t="n"/>
      <c r="BU215" s="12" t="n"/>
      <c r="BV215" s="12" t="n"/>
      <c r="BW215" s="12" t="n"/>
      <c r="BX215" s="12" t="n"/>
      <c r="BY215" s="12" t="n"/>
      <c r="BZ215" s="12" t="n"/>
      <c r="CA215" s="12" t="n"/>
      <c r="CB215" s="12" t="n"/>
      <c r="CC215" s="12" t="n"/>
      <c r="CD215" s="12" t="n"/>
      <c r="CE215" s="12" t="n"/>
      <c r="CF215" s="12" t="n"/>
      <c r="CG215" s="12" t="n"/>
      <c r="CH215" s="12" t="n"/>
      <c r="CI215" s="12" t="n"/>
      <c r="CJ215" s="12" t="n"/>
      <c r="CK215" s="12" t="n"/>
      <c r="CL215" s="12" t="n"/>
      <c r="CM215" s="12" t="n"/>
      <c r="CN215" s="12" t="n"/>
      <c r="CO215" s="12" t="n"/>
      <c r="CP215" s="12" t="n"/>
      <c r="CQ215" s="12" t="n"/>
      <c r="CR215" s="12" t="n"/>
      <c r="CS215" s="12" t="n"/>
      <c r="CT215" s="12" t="n"/>
      <c r="CU215" s="12" t="n"/>
      <c r="CV215" s="12" t="n"/>
      <c r="CW215" s="12" t="n"/>
      <c r="CX215" s="12" t="n"/>
      <c r="CY215" s="12" t="n"/>
    </row>
    <row r="216" hidden="1" outlineLevel="1">
      <c r="C216" s="57" t="inlineStr">
        <is>
          <t>Discretionary (paydown)/borrowing of convertible debt</t>
        </is>
      </c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62" t="n"/>
      <c r="AI216" s="62" t="n"/>
      <c r="AJ216" s="62" t="n"/>
      <c r="AK216" s="62" t="n"/>
      <c r="AL216" s="12" t="n"/>
      <c r="AM216" s="62" t="n"/>
      <c r="AN216" s="62" t="n"/>
      <c r="AO216" s="62" t="n"/>
      <c r="AP216" s="62" t="n"/>
      <c r="AQ216" s="12" t="n"/>
      <c r="AR216" s="62" t="n"/>
      <c r="AS216" s="62" t="n"/>
      <c r="AT216" s="62" t="n"/>
      <c r="AU216" s="62" t="n"/>
      <c r="AV216" s="12" t="n"/>
      <c r="AW216" s="62" t="n"/>
      <c r="AX216" s="62" t="n"/>
      <c r="AY216" s="62" t="n"/>
      <c r="AZ216" s="62" t="n"/>
      <c r="BA216" s="12" t="n"/>
      <c r="BB216" s="62" t="n"/>
      <c r="BC216" s="62" t="n"/>
      <c r="BD216" s="62" t="n"/>
      <c r="BE216" s="62" t="n"/>
      <c r="BF216" s="12" t="n"/>
      <c r="BG216" s="62" t="n"/>
      <c r="BH216" s="62" t="n"/>
      <c r="BI216" s="62" t="n"/>
      <c r="BJ216" s="62" t="n"/>
      <c r="BK216" s="12" t="n"/>
      <c r="BL216" s="62" t="n"/>
      <c r="BM216" s="62" t="n"/>
      <c r="BN216" s="62" t="n"/>
      <c r="BO216" s="62" t="n"/>
      <c r="BP216" s="12" t="n"/>
      <c r="BQ216" s="62" t="n"/>
      <c r="BR216" s="62" t="n"/>
      <c r="BS216" s="62" t="n"/>
      <c r="BT216" s="62" t="n"/>
      <c r="BU216" s="12" t="n"/>
      <c r="BV216" s="62" t="n"/>
      <c r="BW216" s="62" t="n"/>
      <c r="BX216" s="62" t="n"/>
      <c r="BY216" s="62" t="n"/>
      <c r="BZ216" s="12" t="n"/>
      <c r="CA216" s="62" t="n"/>
      <c r="CB216" s="62" t="n"/>
      <c r="CC216" s="62" t="n"/>
      <c r="CD216" s="62" t="n"/>
      <c r="CE216" s="12" t="n"/>
      <c r="CF216" s="62" t="n"/>
      <c r="CG216" s="62" t="n"/>
      <c r="CH216" s="62" t="n"/>
      <c r="CI216" s="62" t="n"/>
      <c r="CJ216" s="12" t="n"/>
      <c r="CK216" s="62" t="n"/>
      <c r="CL216" s="62" t="n"/>
      <c r="CM216" s="62" t="n"/>
      <c r="CN216" s="62" t="n"/>
      <c r="CO216" s="12" t="n"/>
      <c r="CP216" s="62" t="n"/>
      <c r="CQ216" s="62" t="n"/>
      <c r="CR216" s="62" t="n"/>
      <c r="CS216" s="62" t="n"/>
      <c r="CT216" s="12" t="n"/>
      <c r="CU216" s="62" t="n"/>
      <c r="CV216" s="62" t="n"/>
      <c r="CW216" s="62" t="n"/>
      <c r="CX216" s="62" t="n"/>
      <c r="CY216" s="12" t="n"/>
    </row>
    <row r="217" hidden="1" outlineLevel="1">
      <c r="C217" s="57" t="inlineStr">
        <is>
          <t>Convertible debt</t>
        </is>
      </c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>
        <f>AH229</f>
        <v>0</v>
      </c>
      <c r="AI217" s="12">
        <f>AH217+SUM(AI216)</f>
        <v>0</v>
      </c>
      <c r="AJ217" s="12">
        <f>AI217+SUM(AJ216)</f>
        <v>0</v>
      </c>
      <c r="AK217" s="12">
        <f>AJ217+SUM(AK216)</f>
        <v>0</v>
      </c>
      <c r="AL217" s="12" t="n"/>
      <c r="AM217" s="12">
        <f>AM229</f>
        <v>0</v>
      </c>
      <c r="AN217" s="12">
        <f>AM217+SUM(AN216)</f>
        <v>0</v>
      </c>
      <c r="AO217" s="12">
        <f>AN217+SUM(AO216)</f>
        <v>0</v>
      </c>
      <c r="AP217" s="12">
        <f>AO217+SUM(AP216)</f>
        <v>0</v>
      </c>
      <c r="AQ217" s="12" t="n"/>
      <c r="AR217" s="12">
        <f>AR229</f>
        <v>0</v>
      </c>
      <c r="AS217" s="12">
        <f>AR217+SUM(AS216)</f>
        <v>0</v>
      </c>
      <c r="AT217" s="12">
        <f>AS217+SUM(AT216)</f>
        <v>0</v>
      </c>
      <c r="AU217" s="12">
        <f>AT217+SUM(AU216)</f>
        <v>0</v>
      </c>
      <c r="AV217" s="12" t="n"/>
      <c r="AW217" s="12">
        <f>AW229</f>
        <v>0</v>
      </c>
      <c r="AX217" s="12">
        <f>AW217+SUM(AX216)</f>
        <v>0</v>
      </c>
      <c r="AY217" s="12">
        <f>AX217+SUM(AY216)</f>
        <v>0</v>
      </c>
      <c r="AZ217" s="12">
        <f>AY217+SUM(AZ216)</f>
        <v>0</v>
      </c>
      <c r="BA217" s="12" t="n"/>
      <c r="BB217" s="12">
        <f>BB229</f>
        <v>0</v>
      </c>
      <c r="BC217" s="12">
        <f>BB217+SUM(BC216)</f>
        <v>0</v>
      </c>
      <c r="BD217" s="12">
        <f>BC217+SUM(BD216)</f>
        <v>0</v>
      </c>
      <c r="BE217" s="12">
        <f>BD217+SUM(BE216)</f>
        <v>0</v>
      </c>
      <c r="BF217" s="12" t="n"/>
      <c r="BG217" s="12" t="n"/>
      <c r="BH217" s="12" t="n"/>
      <c r="BI217" s="12" t="n"/>
      <c r="BJ217" s="12" t="n"/>
      <c r="BK217" s="12" t="n"/>
      <c r="BL217" s="12" t="n"/>
      <c r="BM217" s="12" t="n"/>
      <c r="BN217" s="12" t="n"/>
      <c r="BO217" s="12" t="n"/>
      <c r="BP217" s="12" t="n"/>
      <c r="BQ217" s="12" t="n"/>
      <c r="BR217" s="12" t="n"/>
      <c r="BS217" s="12" t="n"/>
      <c r="BT217" s="12" t="n"/>
      <c r="BU217" s="12" t="n"/>
      <c r="BV217" s="12" t="n"/>
      <c r="BW217" s="12" t="n"/>
      <c r="BX217" s="12" t="n"/>
      <c r="BY217" s="12" t="n"/>
      <c r="BZ217" s="12" t="n"/>
      <c r="CA217" s="12" t="n"/>
      <c r="CB217" s="12" t="n"/>
      <c r="CC217" s="12" t="n"/>
      <c r="CD217" s="12" t="n"/>
      <c r="CE217" s="12" t="n"/>
      <c r="CF217" s="12" t="n"/>
      <c r="CG217" s="12" t="n"/>
      <c r="CH217" s="12" t="n"/>
      <c r="CI217" s="12" t="n"/>
      <c r="CJ217" s="12" t="n"/>
      <c r="CK217" s="12" t="n"/>
      <c r="CL217" s="12" t="n"/>
      <c r="CM217" s="12" t="n"/>
      <c r="CN217" s="12" t="n"/>
      <c r="CO217" s="12" t="n"/>
      <c r="CP217" s="12" t="n"/>
      <c r="CQ217" s="12" t="n"/>
      <c r="CR217" s="12" t="n"/>
      <c r="CS217" s="12" t="n"/>
      <c r="CT217" s="12" t="n"/>
      <c r="CU217" s="12" t="n"/>
      <c r="CV217" s="12" t="n"/>
      <c r="CW217" s="12" t="n"/>
      <c r="CX217" s="12" t="n"/>
      <c r="CY217" s="12" t="n"/>
    </row>
    <row r="218" hidden="1" outlineLevel="1">
      <c r="C218" s="57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I218" s="12" t="n"/>
      <c r="AJ218" s="12" t="n"/>
      <c r="AK218" s="12" t="n"/>
      <c r="AL218" s="12" t="n"/>
      <c r="AN218" s="12" t="n"/>
      <c r="AO218" s="12" t="n"/>
      <c r="AP218" s="12" t="n"/>
      <c r="AQ218" s="12" t="n"/>
      <c r="AS218" s="12" t="n"/>
      <c r="AT218" s="12" t="n"/>
      <c r="AU218" s="12" t="n"/>
      <c r="AV218" s="12" t="n"/>
      <c r="AX218" s="12" t="n"/>
      <c r="AY218" s="12" t="n"/>
      <c r="AZ218" s="12" t="n"/>
      <c r="BA218" s="12" t="n"/>
      <c r="BC218" s="12" t="n"/>
      <c r="BD218" s="12" t="n"/>
      <c r="BE218" s="12" t="n"/>
      <c r="BF218" s="12" t="n"/>
      <c r="BH218" s="12" t="n"/>
      <c r="BI218" s="12" t="n"/>
      <c r="BJ218" s="12" t="n"/>
      <c r="BK218" s="12" t="n"/>
      <c r="BM218" s="12" t="n"/>
      <c r="BN218" s="12" t="n"/>
      <c r="BO218" s="12" t="n"/>
      <c r="BP218" s="12" t="n"/>
      <c r="BR218" s="12" t="n"/>
      <c r="BS218" s="12" t="n"/>
      <c r="BT218" s="12" t="n"/>
      <c r="BU218" s="12" t="n"/>
      <c r="BW218" s="12" t="n"/>
      <c r="BX218" s="12" t="n"/>
      <c r="BY218" s="12" t="n"/>
      <c r="BZ218" s="12" t="n"/>
      <c r="CB218" s="12" t="n"/>
      <c r="CC218" s="12" t="n"/>
      <c r="CD218" s="12" t="n"/>
      <c r="CE218" s="12" t="n"/>
      <c r="CG218" s="12" t="n"/>
      <c r="CH218" s="12" t="n"/>
      <c r="CI218" s="12" t="n"/>
      <c r="CJ218" s="12" t="n"/>
      <c r="CL218" s="12" t="n"/>
      <c r="CM218" s="12" t="n"/>
      <c r="CN218" s="12" t="n"/>
      <c r="CO218" s="12" t="n"/>
      <c r="CQ218" s="12" t="n"/>
      <c r="CR218" s="12" t="n"/>
      <c r="CS218" s="12" t="n"/>
      <c r="CT218" s="12" t="n"/>
      <c r="CV218" s="12" t="n"/>
      <c r="CW218" s="12" t="n"/>
      <c r="CX218" s="12" t="n"/>
      <c r="CY218" s="12" t="n"/>
    </row>
    <row r="219" hidden="1" outlineLevel="1">
      <c r="C219" s="57" t="inlineStr">
        <is>
          <t>Calculation of short term debt</t>
        </is>
      </c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  <c r="AJ219" s="12" t="n"/>
      <c r="AK219" s="12" t="n"/>
      <c r="AL219" s="12" t="n"/>
      <c r="AM219" s="12" t="n"/>
      <c r="AN219" s="12" t="n"/>
      <c r="AO219" s="12" t="n"/>
      <c r="AP219" s="12" t="n"/>
      <c r="AQ219" s="12" t="n"/>
      <c r="AR219" s="12" t="n"/>
      <c r="AS219" s="12" t="n"/>
      <c r="AT219" s="12" t="n"/>
      <c r="AU219" s="12" t="n"/>
      <c r="AV219" s="12" t="n"/>
      <c r="AW219" s="12" t="n"/>
      <c r="AX219" s="12" t="n"/>
      <c r="AY219" s="12" t="n"/>
      <c r="AZ219" s="12" t="n"/>
      <c r="BA219" s="12" t="n"/>
      <c r="BB219" s="12" t="n"/>
      <c r="BC219" s="12" t="n"/>
      <c r="BD219" s="12" t="n"/>
      <c r="BE219" s="12" t="n"/>
      <c r="BF219" s="12" t="n"/>
      <c r="BG219" s="12" t="n"/>
      <c r="BH219" s="12" t="n"/>
      <c r="BI219" s="12" t="n"/>
      <c r="BJ219" s="12" t="n"/>
      <c r="BK219" s="12" t="n"/>
      <c r="BL219" s="12" t="n"/>
      <c r="BM219" s="12" t="n"/>
      <c r="BN219" s="12" t="n"/>
      <c r="BO219" s="12" t="n"/>
      <c r="BP219" s="12" t="n"/>
      <c r="BQ219" s="12" t="n"/>
      <c r="BR219" s="12" t="n"/>
      <c r="BS219" s="12" t="n"/>
      <c r="BT219" s="12" t="n"/>
      <c r="BU219" s="12" t="n"/>
      <c r="BV219" s="12" t="n"/>
      <c r="BW219" s="12" t="n"/>
      <c r="BX219" s="12" t="n"/>
      <c r="BY219" s="12" t="n"/>
      <c r="BZ219" s="12" t="n"/>
      <c r="CA219" s="12" t="n"/>
      <c r="CB219" s="12" t="n"/>
      <c r="CC219" s="12" t="n"/>
      <c r="CD219" s="12" t="n"/>
      <c r="CE219" s="12" t="n"/>
      <c r="CF219" s="12" t="n"/>
      <c r="CG219" s="12" t="n"/>
      <c r="CH219" s="12" t="n"/>
      <c r="CI219" s="12" t="n"/>
      <c r="CJ219" s="12" t="n"/>
      <c r="CK219" s="12" t="n"/>
      <c r="CL219" s="12" t="n"/>
      <c r="CM219" s="12" t="n"/>
      <c r="CN219" s="12" t="n"/>
      <c r="CO219" s="12" t="n"/>
      <c r="CP219" s="12" t="n"/>
      <c r="CQ219" s="12" t="n"/>
      <c r="CR219" s="12" t="n"/>
      <c r="CS219" s="12" t="n"/>
      <c r="CT219" s="12" t="n"/>
      <c r="CU219" s="12" t="n"/>
      <c r="CV219" s="12" t="n"/>
      <c r="CW219" s="12" t="n"/>
      <c r="CX219" s="12" t="n"/>
      <c r="CY219" s="12" t="n"/>
    </row>
    <row r="220" hidden="1" outlineLevel="1">
      <c r="C220" s="57" t="inlineStr">
        <is>
          <t>Cash @ beginning of the period (end of last period)</t>
        </is>
      </c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63">
        <f>AG135</f>
        <v>4121</v>
      </c>
      <c r="AI220" s="12" t="n"/>
      <c r="AJ220" s="12" t="n"/>
      <c r="AK220" s="12" t="n"/>
      <c r="AL220" s="12" t="n"/>
      <c r="AM220" s="63">
        <f>AL135</f>
        <v>9026.09375925386</v>
      </c>
      <c r="AN220" s="12" t="n"/>
      <c r="AO220" s="12" t="n"/>
      <c r="AP220" s="12" t="n"/>
      <c r="AQ220" s="12" t="n"/>
      <c r="AR220" s="63">
        <f>AQ135</f>
        <v>14989.5507911153</v>
      </c>
      <c r="AS220" s="12" t="n"/>
      <c r="AT220" s="12" t="n"/>
      <c r="AU220" s="12" t="n"/>
      <c r="AV220" s="12" t="n"/>
      <c r="AW220" s="63">
        <f>AV135</f>
        <v>21315.5611806021</v>
      </c>
      <c r="AX220" s="12" t="n"/>
      <c r="AY220" s="12" t="n"/>
      <c r="AZ220" s="12" t="n"/>
      <c r="BA220" s="12" t="n"/>
      <c r="BB220" s="63">
        <f>BA135</f>
        <v>27973.6822496615</v>
      </c>
      <c r="BC220" s="12" t="n"/>
      <c r="BD220" s="12" t="n"/>
      <c r="BE220" s="12" t="n"/>
      <c r="BF220" s="12" t="n"/>
      <c r="BG220" s="63" t="n"/>
      <c r="BH220" s="12" t="n"/>
      <c r="BI220" s="12" t="n"/>
      <c r="BJ220" s="12" t="n"/>
      <c r="BK220" s="12" t="n"/>
      <c r="BL220" s="63" t="n"/>
      <c r="BM220" s="12" t="n"/>
      <c r="BN220" s="12" t="n"/>
      <c r="BO220" s="12" t="n"/>
      <c r="BP220" s="12" t="n"/>
      <c r="BQ220" s="63" t="n"/>
      <c r="BR220" s="12" t="n"/>
      <c r="BS220" s="12" t="n"/>
      <c r="BT220" s="12" t="n"/>
      <c r="BU220" s="12" t="n"/>
      <c r="BV220" s="63" t="n"/>
      <c r="BW220" s="12" t="n"/>
      <c r="BX220" s="12" t="n"/>
      <c r="BY220" s="12" t="n"/>
      <c r="BZ220" s="12" t="n"/>
      <c r="CA220" s="63" t="n"/>
      <c r="CB220" s="12" t="n"/>
      <c r="CC220" s="12" t="n"/>
      <c r="CD220" s="12" t="n"/>
      <c r="CE220" s="12" t="n"/>
      <c r="CF220" s="63" t="n"/>
      <c r="CG220" s="12" t="n"/>
      <c r="CH220" s="12" t="n"/>
      <c r="CI220" s="12" t="n"/>
      <c r="CJ220" s="12" t="n"/>
      <c r="CK220" s="63" t="n"/>
      <c r="CL220" s="12" t="n"/>
      <c r="CM220" s="12" t="n"/>
      <c r="CN220" s="12" t="n"/>
      <c r="CO220" s="12" t="n"/>
      <c r="CP220" s="63" t="n"/>
      <c r="CQ220" s="12" t="n"/>
      <c r="CR220" s="12" t="n"/>
      <c r="CS220" s="12" t="n"/>
      <c r="CT220" s="12" t="n"/>
      <c r="CU220" s="63" t="n"/>
      <c r="CV220" s="12" t="n"/>
      <c r="CW220" s="12" t="n"/>
      <c r="CX220" s="12" t="n"/>
      <c r="CY220" s="12" t="n"/>
    </row>
    <row r="221" hidden="1" outlineLevel="1">
      <c r="C221" s="57" t="inlineStr">
        <is>
          <t>Plus: Free cash flows prior to debt during period</t>
        </is>
      </c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inlineStr">
        <is>
          <t>% of sales</t>
        </is>
      </c>
      <c r="AH221" s="64">
        <f>(AH283+AH290)+SUM(AH293:AH299)</f>
        <v>1655</v>
      </c>
      <c r="AI221" s="64">
        <f>(AI283+AI290)+SUM(AI293:AI299)</f>
        <v>-582</v>
      </c>
      <c r="AJ221" s="64">
        <f>(AJ283+AJ290)+SUM(AJ293:AJ299)</f>
        <v>0</v>
      </c>
      <c r="AK221" s="64">
        <f>(AK283+AK290)+SUM(AK293:AK299)</f>
        <v>0</v>
      </c>
      <c r="AL221" s="12" t="n"/>
      <c r="AM221" s="64">
        <f>(AM283+AM290)+SUM(AM293:AM299)</f>
        <v>0</v>
      </c>
      <c r="AN221" s="64">
        <f>(AN283+AN290)+SUM(AN293:AN299)</f>
        <v>0</v>
      </c>
      <c r="AO221" s="64">
        <f>(AO283+AO290)+SUM(AO293:AO299)</f>
        <v>0</v>
      </c>
      <c r="AP221" s="64">
        <f>(AP283+AP290)+SUM(AP293:AP299)</f>
        <v>0</v>
      </c>
      <c r="AQ221" s="12" t="n"/>
      <c r="AR221" s="64">
        <f>(AR283+AR290)+SUM(AR293:AR299)</f>
        <v>0</v>
      </c>
      <c r="AS221" s="64">
        <f>(AS283+AS290)+SUM(AS293:AS299)</f>
        <v>0</v>
      </c>
      <c r="AT221" s="64">
        <f>(AT283+AT290)+SUM(AT293:AT299)</f>
        <v>0</v>
      </c>
      <c r="AU221" s="64">
        <f>(AU283+AU290)+SUM(AU293:AU299)</f>
        <v>0</v>
      </c>
      <c r="AV221" s="12" t="n"/>
      <c r="AW221" s="64">
        <f>(AW283+AW290)+SUM(AW293:AW299)</f>
        <v>0</v>
      </c>
      <c r="AX221" s="64">
        <f>(AX283+AX290)+SUM(AX293:AX299)</f>
        <v>0</v>
      </c>
      <c r="AY221" s="64">
        <f>(AY283+AY290)+SUM(AY293:AY299)</f>
        <v>0</v>
      </c>
      <c r="AZ221" s="64">
        <f>(AZ283+AZ290)+SUM(AZ293:AZ299)</f>
        <v>0</v>
      </c>
      <c r="BA221" s="12" t="n"/>
      <c r="BB221" s="64">
        <f>(BB283+BB290)+SUM(BB293:BB299)</f>
        <v>0</v>
      </c>
      <c r="BC221" s="64">
        <f>(BC283+BC290)+SUM(BC293:BC299)</f>
        <v>0</v>
      </c>
      <c r="BD221" s="64">
        <f>(BD283+BD290)+SUM(BD293:BD299)</f>
        <v>0</v>
      </c>
      <c r="BE221" s="64">
        <f>(BE283+BE290)+SUM(BE293:BE299)</f>
        <v>0</v>
      </c>
      <c r="BF221" s="12" t="n"/>
      <c r="BG221" s="64" t="n"/>
      <c r="BH221" s="64" t="n"/>
      <c r="BI221" s="64" t="n"/>
      <c r="BJ221" s="64" t="n"/>
      <c r="BK221" s="12" t="n"/>
      <c r="BL221" s="64" t="n"/>
      <c r="BM221" s="64" t="n"/>
      <c r="BN221" s="64" t="n"/>
      <c r="BO221" s="64" t="n"/>
      <c r="BP221" s="12" t="n"/>
      <c r="BQ221" s="64" t="n"/>
      <c r="BR221" s="64" t="n"/>
      <c r="BS221" s="64" t="n"/>
      <c r="BT221" s="64" t="n"/>
      <c r="BU221" s="12" t="n"/>
      <c r="BV221" s="64" t="n"/>
      <c r="BW221" s="64" t="n"/>
      <c r="BX221" s="64" t="n"/>
      <c r="BY221" s="64" t="n"/>
      <c r="BZ221" s="12" t="n"/>
      <c r="CA221" s="64" t="n"/>
      <c r="CB221" s="64" t="n"/>
      <c r="CC221" s="64" t="n"/>
      <c r="CD221" s="64" t="n"/>
      <c r="CE221" s="12" t="n"/>
      <c r="CF221" s="64" t="n"/>
      <c r="CG221" s="64" t="n"/>
      <c r="CH221" s="64" t="n"/>
      <c r="CI221" s="64" t="n"/>
      <c r="CJ221" s="12" t="n"/>
      <c r="CK221" s="64" t="n"/>
      <c r="CL221" s="64" t="n"/>
      <c r="CM221" s="64" t="n"/>
      <c r="CN221" s="64" t="n"/>
      <c r="CO221" s="12" t="n"/>
      <c r="CP221" s="64" t="n"/>
      <c r="CQ221" s="64" t="n"/>
      <c r="CR221" s="64" t="n"/>
      <c r="CS221" s="64" t="n"/>
      <c r="CT221" s="12" t="n"/>
      <c r="CU221" s="64" t="n"/>
      <c r="CV221" s="64" t="n"/>
      <c r="CW221" s="64" t="n"/>
      <c r="CX221" s="64" t="n"/>
      <c r="CY221" s="12" t="n"/>
    </row>
    <row r="222" hidden="1" outlineLevel="1">
      <c r="C222" s="57" t="inlineStr">
        <is>
          <t>Less: Minimum cash balance</t>
        </is>
      </c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52" t="n"/>
      <c r="AH222" s="12">
        <f>($AG$222*AH15)</f>
        <v>0</v>
      </c>
      <c r="AI222" s="12">
        <f>($AG$222*AI15)</f>
        <v>0</v>
      </c>
      <c r="AJ222" s="12">
        <f>($AG$222*AJ15)</f>
        <v>0</v>
      </c>
      <c r="AK222" s="12">
        <f>($AG$222*AK15)</f>
        <v>0</v>
      </c>
      <c r="AL222" s="12" t="n"/>
      <c r="AM222" s="12">
        <f>($AG$222*AM15)</f>
        <v>0</v>
      </c>
      <c r="AN222" s="12">
        <f>($AG$222*AN15)</f>
        <v>0</v>
      </c>
      <c r="AO222" s="12">
        <f>($AG$222*AO15)</f>
        <v>0</v>
      </c>
      <c r="AP222" s="12">
        <f>($AG$222*AP15)</f>
        <v>0</v>
      </c>
      <c r="AQ222" s="12" t="n"/>
      <c r="AR222" s="12">
        <f>($AG$222*AR15)</f>
        <v>0</v>
      </c>
      <c r="AS222" s="12">
        <f>($AG$222*AS15)</f>
        <v>0</v>
      </c>
      <c r="AT222" s="12">
        <f>($AG$222*AT15)</f>
        <v>0</v>
      </c>
      <c r="AU222" s="12">
        <f>($AG$222*AU15)</f>
        <v>0</v>
      </c>
      <c r="AV222" s="12" t="n"/>
      <c r="AW222" s="12">
        <f>($AG$222*AW15)</f>
        <v>0</v>
      </c>
      <c r="AX222" s="12">
        <f>($AG$222*AX15)</f>
        <v>0</v>
      </c>
      <c r="AY222" s="12">
        <f>($AG$222*AY15)</f>
        <v>0</v>
      </c>
      <c r="AZ222" s="12">
        <f>($AG$222*AZ15)</f>
        <v>0</v>
      </c>
      <c r="BA222" s="12" t="n"/>
      <c r="BB222" s="12">
        <f>($AG$222*BB15)</f>
        <v>0</v>
      </c>
      <c r="BC222" s="12">
        <f>($AG$222*BC15)</f>
        <v>0</v>
      </c>
      <c r="BD222" s="12">
        <f>($AG$222*BD15)</f>
        <v>0</v>
      </c>
      <c r="BE222" s="12">
        <f>($AG$222*BE15)</f>
        <v>0</v>
      </c>
      <c r="BF222" s="12" t="n"/>
      <c r="BG222" s="12" t="n"/>
      <c r="BH222" s="12" t="n"/>
      <c r="BI222" s="12" t="n"/>
      <c r="BJ222" s="12" t="n"/>
      <c r="BK222" s="12" t="n"/>
      <c r="BL222" s="12" t="n"/>
      <c r="BM222" s="12" t="n"/>
      <c r="BN222" s="12" t="n"/>
      <c r="BO222" s="12" t="n"/>
      <c r="BP222" s="12" t="n"/>
      <c r="BQ222" s="12" t="n"/>
      <c r="BR222" s="12" t="n"/>
      <c r="BS222" s="12" t="n"/>
      <c r="BT222" s="12" t="n"/>
      <c r="BU222" s="12" t="n"/>
      <c r="BV222" s="12" t="n"/>
      <c r="BW222" s="12" t="n"/>
      <c r="BX222" s="12" t="n"/>
      <c r="BY222" s="12" t="n"/>
      <c r="BZ222" s="12" t="n"/>
      <c r="CA222" s="12" t="n"/>
      <c r="CB222" s="12" t="n"/>
      <c r="CC222" s="12" t="n"/>
      <c r="CD222" s="12" t="n"/>
      <c r="CE222" s="12" t="n"/>
      <c r="CF222" s="12" t="n"/>
      <c r="CG222" s="12" t="n"/>
      <c r="CH222" s="12" t="n"/>
      <c r="CI222" s="12" t="n"/>
      <c r="CJ222" s="12" t="n"/>
      <c r="CK222" s="12" t="n"/>
      <c r="CL222" s="12" t="n"/>
      <c r="CM222" s="12" t="n"/>
      <c r="CN222" s="12" t="n"/>
      <c r="CO222" s="12" t="n"/>
      <c r="CP222" s="12" t="n"/>
      <c r="CQ222" s="12" t="n"/>
      <c r="CR222" s="12" t="n"/>
      <c r="CS222" s="12" t="n"/>
      <c r="CT222" s="12" t="n"/>
      <c r="CU222" s="12" t="n"/>
      <c r="CV222" s="12" t="n"/>
      <c r="CW222" s="12" t="n"/>
      <c r="CX222" s="12" t="n"/>
      <c r="CY222" s="12" t="n"/>
    </row>
    <row r="223" hidden="1" outlineLevel="1">
      <c r="C223" s="57" t="inlineStr">
        <is>
          <t>Total cash available / (debt required) for short term debt paydown</t>
        </is>
      </c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3">
        <f>AH220+AH221-AH222-AF210+AH212+AH216</f>
        <v>5776</v>
      </c>
      <c r="AI223" s="3">
        <f>AI220+AI221-AI222-AG210+AI212+AI216</f>
        <v>-582</v>
      </c>
      <c r="AJ223" s="3">
        <f>AJ220+AJ221-AJ222-AH210+AJ212+AJ216</f>
        <v>-1168</v>
      </c>
      <c r="AK223" s="3">
        <f>AK220+AK221-AK222-AI210+AK212+AK216</f>
        <v>0</v>
      </c>
      <c r="AL223" s="12" t="n"/>
      <c r="AM223" s="3">
        <f>AM220+AM221-AM222-AK210+AM212+AM216</f>
        <v>9026.09375925386</v>
      </c>
      <c r="AN223" s="3">
        <f>AN220+AN221-AN222-AL210+AN212+AN216</f>
        <v>0</v>
      </c>
      <c r="AO223" s="3">
        <f>AO220+AO221-AO222-AM210+AO212+AO216</f>
        <v>0</v>
      </c>
      <c r="AP223" s="3">
        <f>AP220+AP221-AP222-AN210+AP212+AP216</f>
        <v>0</v>
      </c>
      <c r="AQ223" s="12" t="n"/>
      <c r="AR223" s="3">
        <f>AR220+AR221-AR222-AP210+AR212+AR216</f>
        <v>14989.5507911153</v>
      </c>
      <c r="AS223" s="3">
        <f>AS220+AS221-AS222-AQ210+AS212+AS216</f>
        <v>0</v>
      </c>
      <c r="AT223" s="3">
        <f>AT220+AT221-AT222-AR210+AT212+AT216</f>
        <v>0</v>
      </c>
      <c r="AU223" s="3">
        <f>AU220+AU221-AU222-AS210+AU212+AU216</f>
        <v>0</v>
      </c>
      <c r="AV223" s="12" t="n"/>
      <c r="AW223" s="3">
        <f>AW220+AW221-AW222-AU210+AW212+AW216</f>
        <v>21315.5611806021</v>
      </c>
      <c r="AX223" s="3">
        <f>AX220+AX221-AX222-AV210+AX212+AX216</f>
        <v>0</v>
      </c>
      <c r="AY223" s="3">
        <f>AY220+AY221-AY222-AW210+AY212+AY216</f>
        <v>0</v>
      </c>
      <c r="AZ223" s="3">
        <f>AZ220+AZ221-AZ222-AX210+AZ212+AZ216</f>
        <v>0</v>
      </c>
      <c r="BA223" s="12" t="n"/>
      <c r="BB223" s="3">
        <f>BB220+BB221-BB222-AZ210+BB212+BB216</f>
        <v>27973.6822496615</v>
      </c>
      <c r="BC223" s="3">
        <f>BC220+BC221-BC222-BA210+BC212+BC216</f>
        <v>0</v>
      </c>
      <c r="BD223" s="3">
        <f>BD220+BD221-BD222-BB210+BD212+BD216</f>
        <v>0</v>
      </c>
      <c r="BE223" s="3">
        <f>BE220+BE221-BE222-BC210+BE212+BE216</f>
        <v>0</v>
      </c>
      <c r="BF223" s="12" t="n"/>
      <c r="BG223" s="3" t="n"/>
      <c r="BH223" s="3" t="n"/>
      <c r="BI223" s="3" t="n"/>
      <c r="BJ223" s="3" t="n"/>
      <c r="BK223" s="12" t="n"/>
      <c r="BL223" s="3" t="n"/>
      <c r="BM223" s="3" t="n"/>
      <c r="BN223" s="3" t="n"/>
      <c r="BO223" s="3" t="n"/>
      <c r="BP223" s="12" t="n"/>
      <c r="BQ223" s="3" t="n"/>
      <c r="BR223" s="3" t="n"/>
      <c r="BS223" s="3" t="n"/>
      <c r="BT223" s="3" t="n"/>
      <c r="BU223" s="12" t="n"/>
      <c r="BV223" s="3" t="n"/>
      <c r="BW223" s="3" t="n"/>
      <c r="BX223" s="3" t="n"/>
      <c r="BY223" s="3" t="n"/>
      <c r="BZ223" s="12" t="n"/>
      <c r="CA223" s="3" t="n"/>
      <c r="CB223" s="3" t="n"/>
      <c r="CC223" s="3" t="n"/>
      <c r="CD223" s="3" t="n"/>
      <c r="CE223" s="12" t="n"/>
      <c r="CF223" s="3" t="n"/>
      <c r="CG223" s="3" t="n"/>
      <c r="CH223" s="3" t="n"/>
      <c r="CI223" s="3" t="n"/>
      <c r="CJ223" s="12" t="n"/>
      <c r="CK223" s="3" t="n"/>
      <c r="CL223" s="3" t="n"/>
      <c r="CM223" s="3" t="n"/>
      <c r="CN223" s="3" t="n"/>
      <c r="CO223" s="12" t="n"/>
      <c r="CP223" s="3" t="n"/>
      <c r="CQ223" s="3" t="n"/>
      <c r="CR223" s="3" t="n"/>
      <c r="CS223" s="3" t="n"/>
      <c r="CT223" s="12" t="n"/>
      <c r="CU223" s="3" t="n"/>
      <c r="CV223" s="3" t="n"/>
      <c r="CW223" s="3" t="n"/>
      <c r="CX223" s="3" t="n"/>
      <c r="CY223" s="12" t="n"/>
    </row>
    <row r="224" hidden="1" outlineLevel="1">
      <c r="C224" s="57" t="inlineStr">
        <is>
          <t>Short term debt</t>
        </is>
      </c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>
        <f>AH204</f>
        <v>0</v>
      </c>
      <c r="AI224" s="12">
        <f>MAX(0,AH224-AI223)</f>
        <v>582</v>
      </c>
      <c r="AJ224" s="12">
        <f>MAX(0,AI224-AJ223)</f>
        <v>1750</v>
      </c>
      <c r="AK224" s="12">
        <f>MAX(0,AJ224-AK223)</f>
        <v>1750</v>
      </c>
      <c r="AL224" s="12" t="n"/>
      <c r="AM224" s="12">
        <f>AM204</f>
        <v>0</v>
      </c>
      <c r="AN224" s="12">
        <f>MAX(0,AM224-AN223)</f>
        <v>0</v>
      </c>
      <c r="AO224" s="12">
        <f>MAX(0,AN224-AO223)</f>
        <v>0</v>
      </c>
      <c r="AP224" s="12">
        <f>MAX(0,AO224-AP223)</f>
        <v>0</v>
      </c>
      <c r="AQ224" s="12" t="n"/>
      <c r="AR224" s="12">
        <f>AR204</f>
        <v>0</v>
      </c>
      <c r="AS224" s="12">
        <f>MAX(0,AR224-AS223)</f>
        <v>0</v>
      </c>
      <c r="AT224" s="12">
        <f>MAX(0,AS224-AT223)</f>
        <v>0</v>
      </c>
      <c r="AU224" s="12">
        <f>MAX(0,AT224-AU223)</f>
        <v>0</v>
      </c>
      <c r="AV224" s="12" t="n"/>
      <c r="AW224" s="12">
        <f>AW204</f>
        <v>0</v>
      </c>
      <c r="AX224" s="12">
        <f>MAX(0,AW224-AX223)</f>
        <v>0</v>
      </c>
      <c r="AY224" s="12">
        <f>MAX(0,AX224-AY223)</f>
        <v>0</v>
      </c>
      <c r="AZ224" s="12">
        <f>MAX(0,AY224-AZ223)</f>
        <v>0</v>
      </c>
      <c r="BA224" s="12" t="n"/>
      <c r="BB224" s="12">
        <f>BB204</f>
        <v>0</v>
      </c>
      <c r="BC224" s="12">
        <f>MAX(0,BB224-BC223)</f>
        <v>0</v>
      </c>
      <c r="BD224" s="12">
        <f>MAX(0,BC224-BD223)</f>
        <v>0</v>
      </c>
      <c r="BE224" s="12">
        <f>MAX(0,BD224-BE223)</f>
        <v>0</v>
      </c>
      <c r="BF224" s="12" t="n"/>
      <c r="BG224" s="12" t="n"/>
      <c r="BH224" s="12" t="n"/>
      <c r="BI224" s="12" t="n"/>
      <c r="BJ224" s="12" t="n"/>
      <c r="BK224" s="12" t="n"/>
      <c r="BL224" s="12" t="n"/>
      <c r="BM224" s="12" t="n"/>
      <c r="BN224" s="12" t="n"/>
      <c r="BO224" s="12" t="n"/>
      <c r="BP224" s="12" t="n"/>
      <c r="BQ224" s="12" t="n"/>
      <c r="BR224" s="12" t="n"/>
      <c r="BS224" s="12" t="n"/>
      <c r="BT224" s="12" t="n"/>
      <c r="BU224" s="12" t="n"/>
      <c r="BV224" s="12" t="n"/>
      <c r="BW224" s="12" t="n"/>
      <c r="BX224" s="12" t="n"/>
      <c r="BY224" s="12" t="n"/>
      <c r="BZ224" s="12" t="n"/>
      <c r="CA224" s="12" t="n"/>
      <c r="CB224" s="12" t="n"/>
      <c r="CC224" s="12" t="n"/>
      <c r="CD224" s="12" t="n"/>
      <c r="CE224" s="12" t="n"/>
      <c r="CF224" s="12" t="n"/>
      <c r="CG224" s="12" t="n"/>
      <c r="CH224" s="12" t="n"/>
      <c r="CI224" s="12" t="n"/>
      <c r="CJ224" s="12" t="n"/>
      <c r="CK224" s="12" t="n"/>
      <c r="CL224" s="12" t="n"/>
      <c r="CM224" s="12" t="n"/>
      <c r="CN224" s="12" t="n"/>
      <c r="CO224" s="12" t="n"/>
      <c r="CP224" s="12" t="n"/>
      <c r="CQ224" s="12" t="n"/>
      <c r="CR224" s="12" t="n"/>
      <c r="CS224" s="12" t="n"/>
      <c r="CT224" s="12" t="n"/>
      <c r="CU224" s="12" t="n"/>
      <c r="CV224" s="12" t="n"/>
      <c r="CW224" s="12" t="n"/>
      <c r="CX224" s="12" t="n"/>
      <c r="CY224" s="12" t="n"/>
    </row>
    <row r="225" hidden="1" outlineLevel="1">
      <c r="C225" s="57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  <c r="AJ225" s="12" t="n"/>
      <c r="AK225" s="12" t="n"/>
      <c r="AL225" s="12" t="n"/>
      <c r="AM225" s="12" t="n"/>
      <c r="AN225" s="12" t="n"/>
      <c r="AO225" s="12" t="n"/>
      <c r="AP225" s="12" t="n"/>
      <c r="AQ225" s="12" t="n"/>
      <c r="AR225" s="12" t="n"/>
      <c r="AS225" s="12" t="n"/>
      <c r="AT225" s="12" t="n"/>
      <c r="AU225" s="12" t="n"/>
      <c r="AV225" s="12" t="n"/>
      <c r="AW225" s="12" t="n"/>
      <c r="AX225" s="12" t="n"/>
      <c r="AY225" s="12" t="n"/>
      <c r="AZ225" s="12" t="n"/>
      <c r="BA225" s="12" t="n"/>
      <c r="BB225" s="12" t="n"/>
      <c r="BC225" s="12" t="n"/>
      <c r="BD225" s="12" t="n"/>
      <c r="BE225" s="12" t="n"/>
      <c r="BF225" s="12" t="n"/>
      <c r="BG225" s="12" t="n"/>
      <c r="BH225" s="12" t="n"/>
      <c r="BI225" s="12" t="n"/>
      <c r="BJ225" s="12" t="n"/>
      <c r="BK225" s="12" t="n"/>
      <c r="BL225" s="12" t="n"/>
      <c r="BM225" s="12" t="n"/>
      <c r="BN225" s="12" t="n"/>
      <c r="BO225" s="12" t="n"/>
      <c r="BP225" s="12" t="n"/>
      <c r="BQ225" s="12" t="n"/>
      <c r="BR225" s="12" t="n"/>
      <c r="BS225" s="12" t="n"/>
      <c r="BT225" s="12" t="n"/>
      <c r="BU225" s="12" t="n"/>
      <c r="BV225" s="12" t="n"/>
      <c r="BW225" s="12" t="n"/>
      <c r="BX225" s="12" t="n"/>
      <c r="BY225" s="12" t="n"/>
      <c r="BZ225" s="12" t="n"/>
      <c r="CA225" s="12" t="n"/>
      <c r="CB225" s="12" t="n"/>
      <c r="CC225" s="12" t="n"/>
      <c r="CD225" s="12" t="n"/>
      <c r="CE225" s="12" t="n"/>
      <c r="CF225" s="12" t="n"/>
      <c r="CG225" s="12" t="n"/>
      <c r="CH225" s="12" t="n"/>
      <c r="CI225" s="12" t="n"/>
      <c r="CJ225" s="12" t="n"/>
      <c r="CK225" s="12" t="n"/>
      <c r="CL225" s="12" t="n"/>
      <c r="CM225" s="12" t="n"/>
      <c r="CN225" s="12" t="n"/>
      <c r="CO225" s="12" t="n"/>
      <c r="CP225" s="12" t="n"/>
      <c r="CQ225" s="12" t="n"/>
      <c r="CR225" s="12" t="n"/>
      <c r="CS225" s="12" t="n"/>
      <c r="CT225" s="12" t="n"/>
      <c r="CU225" s="12" t="n"/>
      <c r="CV225" s="12" t="n"/>
      <c r="CW225" s="12" t="n"/>
      <c r="CX225" s="12" t="n"/>
      <c r="CY225" s="12" t="n"/>
    </row>
    <row r="226" collapsed="1">
      <c r="C226" s="14" t="inlineStr">
        <is>
          <t>Long term operating leases</t>
        </is>
      </c>
      <c r="D226" s="46" t="n"/>
      <c r="E226" s="46" t="n"/>
      <c r="F226" s="46" t="n"/>
      <c r="G226" s="46" t="n"/>
      <c r="H226" s="12" t="n"/>
      <c r="I226" s="46">
        <f>'Inputs (2)'!D36</f>
        <v>0</v>
      </c>
      <c r="J226" s="46">
        <f>'Inputs (2)'!E36</f>
        <v>0</v>
      </c>
      <c r="K226" s="46">
        <f>'Inputs (2)'!F36</f>
        <v>0</v>
      </c>
      <c r="L226" s="46">
        <f>'Inputs (2)'!G36</f>
        <v>0</v>
      </c>
      <c r="M226" s="12">
        <f>'Inputs (2)'!H36</f>
        <v>0</v>
      </c>
      <c r="N226" s="46">
        <f>'Inputs (2)'!I36</f>
        <v>0</v>
      </c>
      <c r="O226" s="46">
        <f>'Inputs (2)'!J36</f>
        <v>0</v>
      </c>
      <c r="P226" s="46">
        <f>'Inputs (2)'!K36</f>
        <v>0</v>
      </c>
      <c r="Q226" s="46">
        <f>'Inputs (2)'!L36</f>
        <v>0</v>
      </c>
      <c r="R226" s="12">
        <f>'Inputs (2)'!M36</f>
        <v>0</v>
      </c>
      <c r="S226" s="46">
        <f>'Inputs (2)'!N36</f>
        <v>0</v>
      </c>
      <c r="T226" s="46">
        <f>'Inputs (2)'!O36</f>
        <v>0</v>
      </c>
      <c r="U226" s="46">
        <f>'Inputs (2)'!P36</f>
        <v>0</v>
      </c>
      <c r="V226" s="46">
        <f>'Inputs (2)'!Q36</f>
        <v>0</v>
      </c>
      <c r="W226" s="12">
        <f>'Inputs (2)'!R36</f>
        <v>0</v>
      </c>
      <c r="X226" s="46">
        <f>'Inputs (2)'!S36</f>
        <v>0</v>
      </c>
      <c r="Y226" s="46">
        <f>'Inputs (2)'!T36</f>
        <v>0</v>
      </c>
      <c r="Z226" s="46">
        <f>'Inputs (2)'!U36</f>
        <v>0</v>
      </c>
      <c r="AA226" s="46">
        <f>'Inputs (2)'!V36</f>
        <v>0</v>
      </c>
      <c r="AB226" s="12">
        <f>'Inputs (2)'!W36</f>
        <v>0</v>
      </c>
      <c r="AC226" s="46">
        <f>'Inputs (2)'!X36</f>
        <v>0</v>
      </c>
      <c r="AD226" s="46">
        <f>'Inputs (2)'!Y36</f>
        <v>0</v>
      </c>
      <c r="AE226" s="46">
        <f>'Inputs (2)'!Z36</f>
        <v>0</v>
      </c>
      <c r="AF226" s="46">
        <f>'Inputs (2)'!AA36</f>
        <v>0</v>
      </c>
      <c r="AG226" s="12">
        <f>'Inputs (2)'!AB36</f>
        <v>0</v>
      </c>
      <c r="AH226" s="12">
        <f>'Inputs (2)'!AC36</f>
        <v>0</v>
      </c>
      <c r="AI226" s="12">
        <f>'Inputs (2)'!AD36</f>
        <v>0</v>
      </c>
      <c r="AJ226" s="12">
        <f>AI226</f>
        <v>0</v>
      </c>
      <c r="AK226" s="12">
        <f>AJ226</f>
        <v>0</v>
      </c>
      <c r="AL226" s="12">
        <f>AK226</f>
        <v>0</v>
      </c>
      <c r="AM226" s="12">
        <f>AL226</f>
        <v>0</v>
      </c>
      <c r="AN226" s="12">
        <f>AM226</f>
        <v>0</v>
      </c>
      <c r="AO226" s="12">
        <f>AN226</f>
        <v>0</v>
      </c>
      <c r="AP226" s="12">
        <f>AO226</f>
        <v>0</v>
      </c>
      <c r="AQ226" s="12">
        <f>AP226</f>
        <v>0</v>
      </c>
      <c r="AR226" s="12">
        <f>AQ226</f>
        <v>0</v>
      </c>
      <c r="AS226" s="12">
        <f>AR226</f>
        <v>0</v>
      </c>
      <c r="AT226" s="12">
        <f>AS226</f>
        <v>0</v>
      </c>
      <c r="AU226" s="12">
        <f>AT226</f>
        <v>0</v>
      </c>
      <c r="AV226" s="12">
        <f>AU226</f>
        <v>0</v>
      </c>
      <c r="AW226" s="12">
        <f>AV226</f>
        <v>0</v>
      </c>
      <c r="AX226" s="12">
        <f>AW226</f>
        <v>0</v>
      </c>
      <c r="AY226" s="12">
        <f>AX226</f>
        <v>0</v>
      </c>
      <c r="AZ226" s="12">
        <f>AY226</f>
        <v>0</v>
      </c>
      <c r="BA226" s="12">
        <f>AZ226</f>
        <v>0</v>
      </c>
      <c r="BB226" s="12">
        <f>BA226</f>
        <v>0</v>
      </c>
      <c r="BC226" s="12">
        <f>BB226</f>
        <v>0</v>
      </c>
      <c r="BD226" s="12">
        <f>BC226</f>
        <v>0</v>
      </c>
      <c r="BE226" s="12">
        <f>BD226</f>
        <v>0</v>
      </c>
      <c r="BF226" s="12">
        <f>BE226</f>
        <v>0</v>
      </c>
      <c r="BG226" s="12" t="n"/>
      <c r="BH226" s="12" t="n"/>
      <c r="BI226" s="12" t="n"/>
      <c r="BJ226" s="12" t="n"/>
      <c r="BK226" s="12" t="n"/>
      <c r="BL226" s="12" t="n"/>
      <c r="BM226" s="12" t="n"/>
      <c r="BN226" s="12" t="n"/>
      <c r="BO226" s="12" t="n"/>
      <c r="BP226" s="12" t="n"/>
      <c r="BQ226" s="12" t="n"/>
      <c r="BR226" s="12" t="n"/>
      <c r="BS226" s="12" t="n"/>
      <c r="BT226" s="12" t="n"/>
      <c r="BU226" s="12" t="n"/>
      <c r="BV226" s="12" t="n"/>
      <c r="BW226" s="12" t="n"/>
      <c r="BX226" s="12" t="n"/>
      <c r="BY226" s="12" t="n"/>
      <c r="BZ226" s="12" t="n"/>
      <c r="CA226" s="12" t="n"/>
      <c r="CB226" s="12" t="n"/>
      <c r="CC226" s="12" t="n"/>
      <c r="CD226" s="12" t="n"/>
      <c r="CE226" s="12" t="n"/>
      <c r="CF226" s="12" t="n"/>
      <c r="CG226" s="12" t="n"/>
      <c r="CH226" s="12" t="n"/>
      <c r="CI226" s="12" t="n"/>
      <c r="CJ226" s="12" t="n"/>
      <c r="CK226" s="12" t="n"/>
      <c r="CL226" s="12" t="n"/>
      <c r="CM226" s="12" t="n"/>
      <c r="CN226" s="12" t="n"/>
      <c r="CO226" s="12" t="n"/>
      <c r="CP226" s="12" t="n"/>
      <c r="CQ226" s="12" t="n"/>
      <c r="CR226" s="12" t="n"/>
      <c r="CS226" s="12" t="n"/>
      <c r="CT226" s="12" t="n"/>
      <c r="CU226" s="12" t="n"/>
      <c r="CV226" s="12" t="n"/>
      <c r="CW226" s="12" t="n"/>
      <c r="CX226" s="12" t="n"/>
      <c r="CY226" s="12" t="n"/>
    </row>
    <row r="227" hidden="1" outlineLevel="1">
      <c r="C227" s="59" t="inlineStr">
        <is>
          <t>%(Var.)</t>
        </is>
      </c>
      <c r="D227" s="12" t="n"/>
      <c r="E227" s="40" t="n"/>
      <c r="F227" s="40" t="n"/>
      <c r="G227" s="40" t="n"/>
      <c r="H227" s="12" t="n"/>
      <c r="I227" s="40" t="str">
        <f>""</f>
        <v/>
      </c>
      <c r="J227" s="40" t="str">
        <f>IFERROR(IF(I226=0,"",J226/I226-1),"")</f>
        <v/>
      </c>
      <c r="K227" s="40" t="str">
        <f>IFERROR(IF(J226=0,"",K226/J226-1),"")</f>
        <v/>
      </c>
      <c r="L227" s="40" t="str">
        <f>IFERROR(IF(K226=0,"",L226/K226-1),"")</f>
        <v/>
      </c>
      <c r="M227" s="12" t="str">
        <f>IF(L226=0,"",M226/L226-1)</f>
        <v/>
      </c>
      <c r="N227" s="40" t="str">
        <f>IFERROR(IF(M226=0,"",N226/M226-1),"")</f>
        <v/>
      </c>
      <c r="O227" s="40" t="str">
        <f>IFERROR(IF(N226=0,"",O226/N226-1),"")</f>
        <v/>
      </c>
      <c r="P227" s="40" t="str">
        <f>IFERROR(IF(O226=0,"",P226/O226-1),"")</f>
        <v/>
      </c>
      <c r="Q227" s="40" t="str">
        <f>IFERROR(IF(P226=0,"",Q226/P226-1),"")</f>
        <v/>
      </c>
      <c r="R227" s="12" t="str">
        <f>IF(Q226=0,"",R226/Q226-1)</f>
        <v/>
      </c>
      <c r="S227" s="40" t="str">
        <f>IFERROR(IF(R226=0,"",S226/R226-1),"")</f>
        <v/>
      </c>
      <c r="T227" s="40" t="str">
        <f>IFERROR(IF(S226=0,"",T226/S226-1),"")</f>
        <v/>
      </c>
      <c r="U227" s="40" t="str">
        <f>IFERROR(IF(T226=0,"",U226/T226-1),"")</f>
        <v/>
      </c>
      <c r="V227" s="40" t="str">
        <f>IFERROR(IF(U226=0,"",V226/U226-1),"")</f>
        <v/>
      </c>
      <c r="W227" s="12" t="str">
        <f>IF(V226=0,"",W226/V226-1)</f>
        <v/>
      </c>
      <c r="X227" s="40" t="str">
        <f>IFERROR(IF(W226=0,"",X226/W226-1),"")</f>
        <v/>
      </c>
      <c r="Y227" s="40" t="str">
        <f>IFERROR(IF(X226=0,"",Y226/X226-1),"")</f>
        <v/>
      </c>
      <c r="Z227" s="40" t="str">
        <f>IFERROR(IF(Y226=0,"",Z226/Y226-1),"")</f>
        <v/>
      </c>
      <c r="AA227" s="40" t="str">
        <f>IFERROR(IF(Z226=0,"",AA226/Z226-1),"")</f>
        <v/>
      </c>
      <c r="AB227" s="12" t="str">
        <f>IF(AA226=0,"",AB226/AA226-1)</f>
        <v/>
      </c>
      <c r="AC227" s="40" t="str">
        <f>IFERROR(IF(AB226=0,"",AC226/AB226-1),"")</f>
        <v/>
      </c>
      <c r="AD227" s="40" t="str">
        <f>IFERROR(IF(AC226=0,"",AD226/AC226-1),"")</f>
        <v/>
      </c>
      <c r="AE227" s="40" t="str">
        <f>IFERROR(IF(AD226=0,"",AE226/AD226-1),"")</f>
        <v/>
      </c>
      <c r="AF227" s="41" t="str">
        <f>IFERROR(IF(AE226=0,"",AF226/AE226-1),"")</f>
        <v/>
      </c>
      <c r="AG227" s="12" t="str">
        <f>IF(AF226=0,"",AG226/AF226-1)</f>
        <v/>
      </c>
      <c r="AH227" s="11" t="str">
        <f>IFERROR(IF(AG226=0,"",AH226/AG226-1),"")</f>
        <v/>
      </c>
      <c r="AI227" s="11" t="str">
        <f>IFERROR(IF(AH226=0,"",AI226/AH226-1),"")</f>
        <v/>
      </c>
      <c r="AJ227" s="11" t="str">
        <f>IFERROR(IF(AI226=0,"",AJ226/AI226-1),"")</f>
        <v/>
      </c>
      <c r="AK227" s="11" t="str">
        <f>IFERROR(IF(AJ226=0,"",AK226/AJ226-1),"")</f>
        <v/>
      </c>
      <c r="AL227" s="12" t="str">
        <f>IFERROR(IF(AK226=0,"",AL226/AK226-1),"")</f>
        <v/>
      </c>
      <c r="AM227" s="11" t="str">
        <f>IFERROR(IF(AL226=0,"",AM226/AL226-1),"")</f>
        <v/>
      </c>
      <c r="AN227" s="11" t="str">
        <f>IFERROR(IF(AM226=0,"",AN226/AM226-1),"")</f>
        <v/>
      </c>
      <c r="AO227" s="11" t="str">
        <f>IFERROR(IF(AN226=0,"",AO226/AN226-1),"")</f>
        <v/>
      </c>
      <c r="AP227" s="11" t="str">
        <f>IFERROR(IF(AO226=0,"",AP226/AO226-1),"")</f>
        <v/>
      </c>
      <c r="AQ227" s="12" t="str">
        <f>IFERROR(IF(AP226=0,"",AQ226/AP226-1),"")</f>
        <v/>
      </c>
      <c r="AR227" s="11" t="str">
        <f>IFERROR(IF(AQ226=0,"",AR226/AQ226-1),"")</f>
        <v/>
      </c>
      <c r="AS227" s="11" t="str">
        <f>IFERROR(IF(AR226=0,"",AS226/AR226-1),"")</f>
        <v/>
      </c>
      <c r="AT227" s="11" t="str">
        <f>IFERROR(IF(AS226=0,"",AT226/AS226-1),"")</f>
        <v/>
      </c>
      <c r="AU227" s="11" t="str">
        <f>IFERROR(IF(AT226=0,"",AU226/AT226-1),"")</f>
        <v/>
      </c>
      <c r="AV227" s="12" t="str">
        <f>IFERROR(IF(AU226=0,"",AV226/AU226-1),"")</f>
        <v/>
      </c>
      <c r="AW227" s="11" t="str">
        <f>IFERROR(IF(AV226=0,"",AW226/AV226-1),"")</f>
        <v/>
      </c>
      <c r="AX227" s="11" t="str">
        <f>IFERROR(IF(AW226=0,"",AX226/AW226-1),"")</f>
        <v/>
      </c>
      <c r="AY227" s="11" t="str">
        <f>IFERROR(IF(AX226=0,"",AY226/AX226-1),"")</f>
        <v/>
      </c>
      <c r="AZ227" s="11" t="str">
        <f>IFERROR(IF(AY226=0,"",AZ226/AY226-1),"")</f>
        <v/>
      </c>
      <c r="BA227" s="12" t="str">
        <f>IFERROR(IF(AZ226=0,"",BA226/AZ226-1),"")</f>
        <v/>
      </c>
      <c r="BB227" s="11" t="str">
        <f>IFERROR(IF(BA226=0,"",BB226/BA226-1),"")</f>
        <v/>
      </c>
      <c r="BC227" s="11" t="str">
        <f>IFERROR(IF(BB226=0,"",BC226/BB226-1),"")</f>
        <v/>
      </c>
      <c r="BD227" s="11" t="str">
        <f>IFERROR(IF(BC226=0,"",BD226/BC226-1),"")</f>
        <v/>
      </c>
      <c r="BE227" s="11" t="str">
        <f>IFERROR(IF(BD226=0,"",BE226/BD226-1),"")</f>
        <v/>
      </c>
      <c r="BF227" s="12" t="str">
        <f>IFERROR(IF(BE226=0,"",BF226/BE226-1),"")</f>
        <v/>
      </c>
      <c r="BG227" s="11" t="n"/>
      <c r="BH227" s="11" t="n"/>
      <c r="BI227" s="11" t="n"/>
      <c r="BJ227" s="11" t="n"/>
      <c r="BK227" s="12" t="n"/>
      <c r="BL227" s="11" t="n"/>
      <c r="BM227" s="11" t="n"/>
      <c r="BN227" s="11" t="n"/>
      <c r="BO227" s="11" t="n"/>
      <c r="BP227" s="12" t="n"/>
      <c r="BQ227" s="11" t="n"/>
      <c r="BR227" s="11" t="n"/>
      <c r="BS227" s="11" t="n"/>
      <c r="BT227" s="11" t="n"/>
      <c r="BU227" s="12" t="n"/>
      <c r="BV227" s="11" t="n"/>
      <c r="BW227" s="11" t="n"/>
      <c r="BX227" s="11" t="n"/>
      <c r="BY227" s="11" t="n"/>
      <c r="BZ227" s="12" t="n"/>
      <c r="CA227" s="11" t="n"/>
      <c r="CB227" s="11" t="n"/>
      <c r="CC227" s="11" t="n"/>
      <c r="CD227" s="11" t="n"/>
      <c r="CE227" s="12" t="n"/>
      <c r="CF227" s="11" t="n"/>
      <c r="CG227" s="11" t="n"/>
      <c r="CH227" s="11" t="n"/>
      <c r="CI227" s="11" t="n"/>
      <c r="CJ227" s="12" t="n"/>
      <c r="CK227" s="11" t="n"/>
      <c r="CL227" s="11" t="n"/>
      <c r="CM227" s="11" t="n"/>
      <c r="CN227" s="11" t="n"/>
      <c r="CO227" s="12" t="n"/>
      <c r="CP227" s="11" t="n"/>
      <c r="CQ227" s="11" t="n"/>
      <c r="CR227" s="11" t="n"/>
      <c r="CS227" s="11" t="n"/>
      <c r="CT227" s="12" t="n"/>
      <c r="CU227" s="11" t="n"/>
      <c r="CV227" s="11" t="n"/>
      <c r="CW227" s="11" t="n"/>
      <c r="CX227" s="11" t="n"/>
      <c r="CY227" s="12" t="n"/>
    </row>
    <row r="228" hidden="1" outlineLevel="1">
      <c r="C228" s="57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  <c r="AJ228" s="12" t="n"/>
      <c r="AK228" s="12" t="n"/>
      <c r="AL228" s="12" t="n"/>
      <c r="AM228" s="12" t="n"/>
      <c r="AN228" s="12" t="n"/>
      <c r="AO228" s="12" t="n"/>
      <c r="AP228" s="12" t="n"/>
      <c r="AQ228" s="12" t="n"/>
      <c r="AR228" s="12" t="n"/>
      <c r="AS228" s="12" t="n"/>
      <c r="AT228" s="12" t="n"/>
      <c r="AU228" s="12" t="n"/>
      <c r="AV228" s="12" t="n"/>
      <c r="AW228" s="12" t="n"/>
      <c r="AX228" s="12" t="n"/>
      <c r="AY228" s="12" t="n"/>
      <c r="AZ228" s="12" t="n"/>
      <c r="BA228" s="12" t="n"/>
      <c r="BB228" s="12" t="n"/>
      <c r="BC228" s="12" t="n"/>
      <c r="BD228" s="12" t="n"/>
      <c r="BE228" s="12" t="n"/>
      <c r="BF228" s="12" t="n"/>
      <c r="BG228" s="12" t="n"/>
      <c r="BH228" s="12" t="n"/>
      <c r="BI228" s="12" t="n"/>
      <c r="BJ228" s="12" t="n"/>
      <c r="BK228" s="12" t="n"/>
      <c r="BL228" s="12" t="n"/>
      <c r="BM228" s="12" t="n"/>
      <c r="BN228" s="12" t="n"/>
      <c r="BO228" s="12" t="n"/>
      <c r="BP228" s="12" t="n"/>
      <c r="BQ228" s="12" t="n"/>
      <c r="BR228" s="12" t="n"/>
      <c r="BS228" s="12" t="n"/>
      <c r="BT228" s="12" t="n"/>
      <c r="BU228" s="12" t="n"/>
      <c r="BV228" s="12" t="n"/>
      <c r="BW228" s="12" t="n"/>
      <c r="BX228" s="12" t="n"/>
      <c r="BY228" s="12" t="n"/>
      <c r="BZ228" s="12" t="n"/>
      <c r="CA228" s="12" t="n"/>
      <c r="CB228" s="12" t="n"/>
      <c r="CC228" s="12" t="n"/>
      <c r="CD228" s="12" t="n"/>
      <c r="CE228" s="12" t="n"/>
      <c r="CF228" s="12" t="n"/>
      <c r="CG228" s="12" t="n"/>
      <c r="CH228" s="12" t="n"/>
      <c r="CI228" s="12" t="n"/>
      <c r="CJ228" s="12" t="n"/>
      <c r="CK228" s="12" t="n"/>
      <c r="CL228" s="12" t="n"/>
      <c r="CM228" s="12" t="n"/>
      <c r="CN228" s="12" t="n"/>
      <c r="CO228" s="12" t="n"/>
      <c r="CP228" s="12" t="n"/>
      <c r="CQ228" s="12" t="n"/>
      <c r="CR228" s="12" t="n"/>
      <c r="CS228" s="12" t="n"/>
      <c r="CT228" s="12" t="n"/>
      <c r="CU228" s="12" t="n"/>
      <c r="CV228" s="12" t="n"/>
      <c r="CW228" s="12" t="n"/>
      <c r="CX228" s="12" t="n"/>
      <c r="CY228" s="12" t="n"/>
    </row>
    <row r="229" collapsed="1">
      <c r="C229" s="14" t="inlineStr">
        <is>
          <t>Convertible debt</t>
        </is>
      </c>
      <c r="D229" s="46" t="n"/>
      <c r="E229" s="46" t="n"/>
      <c r="F229" s="46" t="n"/>
      <c r="G229" s="46" t="n"/>
      <c r="H229" s="12" t="n"/>
      <c r="I229" s="46">
        <f>'Inputs (2)'!D37</f>
        <v>0</v>
      </c>
      <c r="J229" s="46">
        <f>'Inputs (2)'!E37</f>
        <v>0</v>
      </c>
      <c r="K229" s="46">
        <f>'Inputs (2)'!F37</f>
        <v>0</v>
      </c>
      <c r="L229" s="46">
        <f>'Inputs (2)'!G37</f>
        <v>0</v>
      </c>
      <c r="M229" s="12">
        <f>'Inputs (2)'!H37</f>
        <v>0</v>
      </c>
      <c r="N229" s="46">
        <f>'Inputs (2)'!I37</f>
        <v>0</v>
      </c>
      <c r="O229" s="46">
        <f>'Inputs (2)'!J37</f>
        <v>0</v>
      </c>
      <c r="P229" s="46">
        <f>'Inputs (2)'!K37</f>
        <v>0</v>
      </c>
      <c r="Q229" s="46">
        <f>'Inputs (2)'!L37</f>
        <v>0</v>
      </c>
      <c r="R229" s="12">
        <f>'Inputs (2)'!M37</f>
        <v>0</v>
      </c>
      <c r="S229" s="46">
        <f>'Inputs (2)'!N37</f>
        <v>0</v>
      </c>
      <c r="T229" s="46">
        <f>'Inputs (2)'!O37</f>
        <v>0</v>
      </c>
      <c r="U229" s="46">
        <f>'Inputs (2)'!P37</f>
        <v>0</v>
      </c>
      <c r="V229" s="46">
        <f>'Inputs (2)'!Q37</f>
        <v>0</v>
      </c>
      <c r="W229" s="12">
        <f>'Inputs (2)'!R37</f>
        <v>0</v>
      </c>
      <c r="X229" s="46">
        <f>'Inputs (2)'!S37</f>
        <v>0</v>
      </c>
      <c r="Y229" s="46">
        <f>'Inputs (2)'!T37</f>
        <v>0</v>
      </c>
      <c r="Z229" s="46">
        <f>'Inputs (2)'!U37</f>
        <v>0</v>
      </c>
      <c r="AA229" s="46">
        <f>'Inputs (2)'!V37</f>
        <v>0</v>
      </c>
      <c r="AB229" s="12">
        <f>'Inputs (2)'!W37</f>
        <v>0</v>
      </c>
      <c r="AC229" s="46">
        <f>'Inputs (2)'!X37</f>
        <v>0</v>
      </c>
      <c r="AD229" s="46">
        <f>'Inputs (2)'!Y37</f>
        <v>0</v>
      </c>
      <c r="AE229" s="46">
        <f>'Inputs (2)'!Z37</f>
        <v>0</v>
      </c>
      <c r="AF229" s="46">
        <f>'Inputs (2)'!AA37</f>
        <v>0</v>
      </c>
      <c r="AG229" s="12">
        <f>'Inputs (2)'!AB37</f>
        <v>0</v>
      </c>
      <c r="AH229" s="12">
        <f>'Inputs (2)'!AC37</f>
        <v>0</v>
      </c>
      <c r="AI229" s="12">
        <f>'Inputs (2)'!AD37</f>
        <v>0</v>
      </c>
      <c r="AJ229" s="12">
        <f>AI229</f>
        <v>0</v>
      </c>
      <c r="AK229" s="12">
        <f>AJ229</f>
        <v>0</v>
      </c>
      <c r="AL229" s="12">
        <f>AK229</f>
        <v>0</v>
      </c>
      <c r="AM229" s="12">
        <f>AL229</f>
        <v>0</v>
      </c>
      <c r="AN229" s="12">
        <f>AM229</f>
        <v>0</v>
      </c>
      <c r="AO229" s="12">
        <f>AN229</f>
        <v>0</v>
      </c>
      <c r="AP229" s="12">
        <f>AO229</f>
        <v>0</v>
      </c>
      <c r="AQ229" s="12">
        <f>AP229</f>
        <v>0</v>
      </c>
      <c r="AR229" s="12">
        <f>AQ229</f>
        <v>0</v>
      </c>
      <c r="AS229" s="12">
        <f>AR229</f>
        <v>0</v>
      </c>
      <c r="AT229" s="12">
        <f>AS229</f>
        <v>0</v>
      </c>
      <c r="AU229" s="12">
        <f>AT229</f>
        <v>0</v>
      </c>
      <c r="AV229" s="12">
        <f>AU229</f>
        <v>0</v>
      </c>
      <c r="AW229" s="12">
        <f>AV229</f>
        <v>0</v>
      </c>
      <c r="AX229" s="12">
        <f>AW229</f>
        <v>0</v>
      </c>
      <c r="AY229" s="12">
        <f>AX229</f>
        <v>0</v>
      </c>
      <c r="AZ229" s="12">
        <f>AY229</f>
        <v>0</v>
      </c>
      <c r="BA229" s="12">
        <f>AZ229</f>
        <v>0</v>
      </c>
      <c r="BB229" s="12">
        <f>BA229</f>
        <v>0</v>
      </c>
      <c r="BC229" s="12">
        <f>BB229</f>
        <v>0</v>
      </c>
      <c r="BD229" s="12">
        <f>BC229</f>
        <v>0</v>
      </c>
      <c r="BE229" s="12">
        <f>BD229</f>
        <v>0</v>
      </c>
      <c r="BF229" s="12">
        <f>BE229</f>
        <v>0</v>
      </c>
      <c r="BG229" s="12" t="n"/>
      <c r="BH229" s="12" t="n"/>
      <c r="BI229" s="12" t="n"/>
      <c r="BJ229" s="12" t="n"/>
      <c r="BK229" s="12" t="n"/>
      <c r="BL229" s="12" t="n"/>
      <c r="BM229" s="12" t="n"/>
      <c r="BN229" s="12" t="n"/>
      <c r="BO229" s="12" t="n"/>
      <c r="BP229" s="12" t="n"/>
      <c r="BQ229" s="12" t="n"/>
      <c r="BR229" s="12" t="n"/>
      <c r="BS229" s="12" t="n"/>
      <c r="BT229" s="12" t="n"/>
      <c r="BU229" s="12" t="n"/>
      <c r="BV229" s="12" t="n"/>
      <c r="BW229" s="12" t="n"/>
      <c r="BX229" s="12" t="n"/>
      <c r="BY229" s="12" t="n"/>
      <c r="BZ229" s="12" t="n"/>
      <c r="CA229" s="12" t="n"/>
      <c r="CB229" s="12" t="n"/>
      <c r="CC229" s="12" t="n"/>
      <c r="CD229" s="12" t="n"/>
      <c r="CE229" s="12" t="n"/>
      <c r="CF229" s="12" t="n"/>
      <c r="CG229" s="12" t="n"/>
      <c r="CH229" s="12" t="n"/>
      <c r="CI229" s="12" t="n"/>
      <c r="CJ229" s="12" t="n"/>
      <c r="CK229" s="12" t="n"/>
      <c r="CL229" s="12" t="n"/>
      <c r="CM229" s="12" t="n"/>
      <c r="CN229" s="12" t="n"/>
      <c r="CO229" s="12" t="n"/>
      <c r="CP229" s="12" t="n"/>
      <c r="CQ229" s="12" t="n"/>
      <c r="CR229" s="12" t="n"/>
      <c r="CS229" s="12" t="n"/>
      <c r="CT229" s="12" t="n"/>
      <c r="CU229" s="12" t="n"/>
      <c r="CV229" s="12" t="n"/>
      <c r="CW229" s="12" t="n"/>
      <c r="CX229" s="12" t="n"/>
      <c r="CY229" s="12" t="n"/>
    </row>
    <row r="230">
      <c r="C230" s="14" t="inlineStr">
        <is>
          <t>Deferred income taxes</t>
        </is>
      </c>
      <c r="D230" s="46" t="n"/>
      <c r="E230" s="46" t="n"/>
      <c r="F230" s="46" t="n"/>
      <c r="G230" s="46" t="n"/>
      <c r="H230" s="12" t="n"/>
      <c r="I230" s="46">
        <f>'Inputs (2)'!D38</f>
        <v>0</v>
      </c>
      <c r="J230" s="46">
        <f>'Inputs (2)'!E38</f>
        <v>0</v>
      </c>
      <c r="K230" s="46">
        <f>'Inputs (2)'!F38</f>
        <v>0</v>
      </c>
      <c r="L230" s="46">
        <f>'Inputs (2)'!G38</f>
        <v>0</v>
      </c>
      <c r="M230" s="12">
        <f>'Inputs (2)'!H38</f>
        <v>0</v>
      </c>
      <c r="N230" s="46">
        <f>'Inputs (2)'!I38</f>
        <v>0</v>
      </c>
      <c r="O230" s="46">
        <f>'Inputs (2)'!J38</f>
        <v>0</v>
      </c>
      <c r="P230" s="46">
        <f>'Inputs (2)'!K38</f>
        <v>0</v>
      </c>
      <c r="Q230" s="46">
        <f>'Inputs (2)'!L38</f>
        <v>0</v>
      </c>
      <c r="R230" s="12">
        <f>'Inputs (2)'!M38</f>
        <v>0</v>
      </c>
      <c r="S230" s="46">
        <f>'Inputs (2)'!N38</f>
        <v>0</v>
      </c>
      <c r="T230" s="46">
        <f>'Inputs (2)'!O38</f>
        <v>0</v>
      </c>
      <c r="U230" s="46">
        <f>'Inputs (2)'!P38</f>
        <v>0</v>
      </c>
      <c r="V230" s="46">
        <f>'Inputs (2)'!Q38</f>
        <v>0</v>
      </c>
      <c r="W230" s="12">
        <f>'Inputs (2)'!R38</f>
        <v>0</v>
      </c>
      <c r="X230" s="46">
        <f>'Inputs (2)'!S38</f>
        <v>0</v>
      </c>
      <c r="Y230" s="46">
        <f>'Inputs (2)'!T38</f>
        <v>0</v>
      </c>
      <c r="Z230" s="46">
        <f>'Inputs (2)'!U38</f>
        <v>0</v>
      </c>
      <c r="AA230" s="46">
        <f>'Inputs (2)'!V38</f>
        <v>0</v>
      </c>
      <c r="AB230" s="12">
        <f>'Inputs (2)'!W38</f>
        <v>0</v>
      </c>
      <c r="AC230" s="46">
        <f>'Inputs (2)'!X38</f>
        <v>0</v>
      </c>
      <c r="AD230" s="46">
        <f>'Inputs (2)'!Y38</f>
        <v>0</v>
      </c>
      <c r="AE230" s="46">
        <f>'Inputs (2)'!Z38</f>
        <v>0</v>
      </c>
      <c r="AF230" s="46">
        <f>'Inputs (2)'!AA38</f>
        <v>0</v>
      </c>
      <c r="AG230" s="12">
        <f>'Inputs (2)'!AB38</f>
        <v>0</v>
      </c>
      <c r="AH230" s="12">
        <f>'Inputs (2)'!AC38</f>
        <v>0</v>
      </c>
      <c r="AI230" s="12">
        <f>'Inputs (2)'!AD38</f>
        <v>0</v>
      </c>
      <c r="AJ230" s="12">
        <f>AI230</f>
        <v>0</v>
      </c>
      <c r="AK230" s="12">
        <f>AJ230</f>
        <v>0</v>
      </c>
      <c r="AL230" s="12">
        <f>AK230</f>
        <v>0</v>
      </c>
      <c r="AM230" s="12">
        <f>AL230</f>
        <v>0</v>
      </c>
      <c r="AN230" s="12">
        <f>AM230</f>
        <v>0</v>
      </c>
      <c r="AO230" s="12">
        <f>AN230</f>
        <v>0</v>
      </c>
      <c r="AP230" s="12">
        <f>AO230</f>
        <v>0</v>
      </c>
      <c r="AQ230" s="12">
        <f>AP230</f>
        <v>0</v>
      </c>
      <c r="AR230" s="12">
        <f>AQ230</f>
        <v>0</v>
      </c>
      <c r="AS230" s="12">
        <f>AR230</f>
        <v>0</v>
      </c>
      <c r="AT230" s="12">
        <f>AS230</f>
        <v>0</v>
      </c>
      <c r="AU230" s="12">
        <f>AT230</f>
        <v>0</v>
      </c>
      <c r="AV230" s="12">
        <f>AU230</f>
        <v>0</v>
      </c>
      <c r="AW230" s="12">
        <f>AV230</f>
        <v>0</v>
      </c>
      <c r="AX230" s="12">
        <f>AW230</f>
        <v>0</v>
      </c>
      <c r="AY230" s="12">
        <f>AX230</f>
        <v>0</v>
      </c>
      <c r="AZ230" s="12">
        <f>AY230</f>
        <v>0</v>
      </c>
      <c r="BA230" s="12">
        <f>AZ230</f>
        <v>0</v>
      </c>
      <c r="BB230" s="12">
        <f>BA230</f>
        <v>0</v>
      </c>
      <c r="BC230" s="12">
        <f>BB230</f>
        <v>0</v>
      </c>
      <c r="BD230" s="12">
        <f>BC230</f>
        <v>0</v>
      </c>
      <c r="BE230" s="12">
        <f>BD230</f>
        <v>0</v>
      </c>
      <c r="BF230" s="12">
        <f>BE230</f>
        <v>0</v>
      </c>
      <c r="BG230" s="12" t="n"/>
      <c r="BH230" s="12" t="n"/>
      <c r="BI230" s="12" t="n"/>
      <c r="BJ230" s="12" t="n"/>
      <c r="BK230" s="12" t="n"/>
      <c r="BL230" s="12" t="n"/>
      <c r="BM230" s="12" t="n"/>
      <c r="BN230" s="12" t="n"/>
      <c r="BO230" s="12" t="n"/>
      <c r="BP230" s="12" t="n"/>
      <c r="BQ230" s="12" t="n"/>
      <c r="BR230" s="12" t="n"/>
      <c r="BS230" s="12" t="n"/>
      <c r="BT230" s="12" t="n"/>
      <c r="BU230" s="12" t="n"/>
      <c r="BV230" s="12" t="n"/>
      <c r="BW230" s="12" t="n"/>
      <c r="BX230" s="12" t="n"/>
      <c r="BY230" s="12" t="n"/>
      <c r="BZ230" s="12" t="n"/>
      <c r="CA230" s="12" t="n"/>
      <c r="CB230" s="12" t="n"/>
      <c r="CC230" s="12" t="n"/>
      <c r="CD230" s="12" t="n"/>
      <c r="CE230" s="12" t="n"/>
      <c r="CF230" s="12" t="n"/>
      <c r="CG230" s="12" t="n"/>
      <c r="CH230" s="12" t="n"/>
      <c r="CI230" s="12" t="n"/>
      <c r="CJ230" s="12" t="n"/>
      <c r="CK230" s="12" t="n"/>
      <c r="CL230" s="12" t="n"/>
      <c r="CM230" s="12" t="n"/>
      <c r="CN230" s="12" t="n"/>
      <c r="CO230" s="12" t="n"/>
      <c r="CP230" s="12" t="n"/>
      <c r="CQ230" s="12" t="n"/>
      <c r="CR230" s="12" t="n"/>
      <c r="CS230" s="12" t="n"/>
      <c r="CT230" s="12" t="n"/>
      <c r="CU230" s="12" t="n"/>
      <c r="CV230" s="12" t="n"/>
      <c r="CW230" s="12" t="n"/>
      <c r="CX230" s="12" t="n"/>
      <c r="CY230" s="12" t="n"/>
    </row>
    <row r="231">
      <c r="C231" s="14" t="inlineStr">
        <is>
          <t>Other non-current liabilities</t>
        </is>
      </c>
      <c r="D231" s="46" t="n"/>
      <c r="E231" s="46" t="n"/>
      <c r="F231" s="46" t="n"/>
      <c r="G231" s="46" t="n"/>
      <c r="H231" s="12" t="n"/>
      <c r="I231" s="46">
        <f>'Inputs (2)'!D39</f>
        <v>18730</v>
      </c>
      <c r="J231" s="46">
        <f>'Inputs (2)'!E39</f>
        <v>18662</v>
      </c>
      <c r="K231" s="46">
        <f>'Inputs (2)'!F39</f>
        <v>15518</v>
      </c>
      <c r="L231" s="46">
        <f>'Inputs (2)'!G39</f>
        <v>14247</v>
      </c>
      <c r="M231" s="12">
        <f>'Inputs (2)'!H39</f>
        <v>14247</v>
      </c>
      <c r="N231" s="46">
        <f>'Inputs (2)'!I39</f>
        <v>14316</v>
      </c>
      <c r="O231" s="46">
        <f>'Inputs (2)'!J39</f>
        <v>12203</v>
      </c>
      <c r="P231" s="46">
        <f>'Inputs (2)'!K39</f>
        <v>12237</v>
      </c>
      <c r="Q231" s="46">
        <f>'Inputs (2)'!L39</f>
        <v>12298</v>
      </c>
      <c r="R231" s="12">
        <f>'Inputs (2)'!M39</f>
        <v>12298</v>
      </c>
      <c r="S231" s="46">
        <f>'Inputs (2)'!N39</f>
        <v>12509</v>
      </c>
      <c r="T231" s="46">
        <f>'Inputs (2)'!O39</f>
        <v>12772</v>
      </c>
      <c r="U231" s="46">
        <f>'Inputs (2)'!P39</f>
        <v>12978</v>
      </c>
      <c r="V231" s="46">
        <f>'Inputs (2)'!Q39</f>
        <v>11393</v>
      </c>
      <c r="W231" s="12">
        <f>'Inputs (2)'!R39</f>
        <v>11393</v>
      </c>
      <c r="X231" s="46">
        <f>'Inputs (2)'!S39</f>
        <v>11364</v>
      </c>
      <c r="Y231" s="46">
        <f>'Inputs (2)'!T39</f>
        <v>11293</v>
      </c>
      <c r="Z231" s="46">
        <f>'Inputs (2)'!U39</f>
        <v>11331</v>
      </c>
      <c r="AA231" s="46">
        <f>'Inputs (2)'!V39</f>
        <v>10237</v>
      </c>
      <c r="AB231" s="12">
        <f>'Inputs (2)'!W39</f>
        <v>10237</v>
      </c>
      <c r="AC231" s="46">
        <f>'Inputs (2)'!X39</f>
        <v>10138</v>
      </c>
      <c r="AD231" s="46">
        <f>'Inputs (2)'!Y39</f>
        <v>10662</v>
      </c>
      <c r="AE231" s="46">
        <f>'Inputs (2)'!Z39</f>
        <v>10601</v>
      </c>
      <c r="AF231" s="46">
        <f>'Inputs (2)'!AA39</f>
        <v>9252</v>
      </c>
      <c r="AG231" s="12">
        <f>'Inputs (2)'!AB39</f>
        <v>9252</v>
      </c>
      <c r="AH231" s="12">
        <f>'Inputs (2)'!AC39</f>
        <v>9130</v>
      </c>
      <c r="AI231" s="12">
        <f>'Inputs (2)'!AD39</f>
        <v>9335</v>
      </c>
      <c r="AJ231" s="12">
        <f>AI231</f>
        <v>9335</v>
      </c>
      <c r="AK231" s="12">
        <f>AJ231</f>
        <v>9335</v>
      </c>
      <c r="AL231" s="12">
        <f>AK231</f>
        <v>9335</v>
      </c>
      <c r="AM231" s="12">
        <f>AL231</f>
        <v>9335</v>
      </c>
      <c r="AN231" s="12">
        <f>AM231</f>
        <v>9335</v>
      </c>
      <c r="AO231" s="12">
        <f>AN231</f>
        <v>9335</v>
      </c>
      <c r="AP231" s="12">
        <f>AO231</f>
        <v>9335</v>
      </c>
      <c r="AQ231" s="12">
        <f>AP231</f>
        <v>9335</v>
      </c>
      <c r="AR231" s="12">
        <f>AQ231</f>
        <v>9335</v>
      </c>
      <c r="AS231" s="12">
        <f>AR231</f>
        <v>9335</v>
      </c>
      <c r="AT231" s="12">
        <f>AS231</f>
        <v>9335</v>
      </c>
      <c r="AU231" s="12">
        <f>AT231</f>
        <v>9335</v>
      </c>
      <c r="AV231" s="12">
        <f>AU231</f>
        <v>9335</v>
      </c>
      <c r="AW231" s="12">
        <f>AV231</f>
        <v>9335</v>
      </c>
      <c r="AX231" s="12">
        <f>AW231</f>
        <v>9335</v>
      </c>
      <c r="AY231" s="12">
        <f>AX231</f>
        <v>9335</v>
      </c>
      <c r="AZ231" s="12">
        <f>AY231</f>
        <v>9335</v>
      </c>
      <c r="BA231" s="12">
        <f>AZ231</f>
        <v>9335</v>
      </c>
      <c r="BB231" s="12">
        <f>BA231</f>
        <v>9335</v>
      </c>
      <c r="BC231" s="12">
        <f>BB231</f>
        <v>9335</v>
      </c>
      <c r="BD231" s="12">
        <f>BC231</f>
        <v>9335</v>
      </c>
      <c r="BE231" s="12">
        <f>BD231</f>
        <v>9335</v>
      </c>
      <c r="BF231" s="12">
        <f>BE231</f>
        <v>9335</v>
      </c>
      <c r="BG231" s="12" t="n"/>
      <c r="BH231" s="12" t="n"/>
      <c r="BI231" s="12" t="n"/>
      <c r="BJ231" s="12" t="n"/>
      <c r="BK231" s="12" t="n"/>
      <c r="BL231" s="12" t="n"/>
      <c r="BM231" s="12" t="n"/>
      <c r="BN231" s="12" t="n"/>
      <c r="BO231" s="12" t="n"/>
      <c r="BP231" s="12" t="n"/>
      <c r="BQ231" s="12" t="n"/>
      <c r="BR231" s="12" t="n"/>
      <c r="BS231" s="12" t="n"/>
      <c r="BT231" s="12" t="n"/>
      <c r="BU231" s="12" t="n"/>
      <c r="BV231" s="12" t="n"/>
      <c r="BW231" s="12" t="n"/>
      <c r="BX231" s="12" t="n"/>
      <c r="BY231" s="12" t="n"/>
      <c r="BZ231" s="12" t="n"/>
      <c r="CA231" s="12" t="n"/>
      <c r="CB231" s="12" t="n"/>
      <c r="CC231" s="12" t="n"/>
      <c r="CD231" s="12" t="n"/>
      <c r="CE231" s="12" t="n"/>
      <c r="CF231" s="12" t="n"/>
      <c r="CG231" s="12" t="n"/>
      <c r="CH231" s="12" t="n"/>
      <c r="CI231" s="12" t="n"/>
      <c r="CJ231" s="12" t="n"/>
      <c r="CK231" s="12" t="n"/>
      <c r="CL231" s="12" t="n"/>
      <c r="CM231" s="12" t="n"/>
      <c r="CN231" s="12" t="n"/>
      <c r="CO231" s="12" t="n"/>
      <c r="CP231" s="12" t="n"/>
      <c r="CQ231" s="12" t="n"/>
      <c r="CR231" s="12" t="n"/>
      <c r="CS231" s="12" t="n"/>
      <c r="CT231" s="12" t="n"/>
      <c r="CU231" s="12" t="n"/>
      <c r="CV231" s="12" t="n"/>
      <c r="CW231" s="12" t="n"/>
      <c r="CX231" s="12" t="n"/>
      <c r="CY231" s="12" t="n"/>
    </row>
    <row r="232" hidden="1" outlineLevel="1" ht="12" customHeight="1">
      <c r="C232" s="59" t="inlineStr">
        <is>
          <t>%(Var.)</t>
        </is>
      </c>
      <c r="D232" s="12" t="n"/>
      <c r="E232" s="40" t="n"/>
      <c r="F232" s="40" t="n"/>
      <c r="G232" s="40" t="n"/>
      <c r="H232" s="12" t="n"/>
      <c r="I232" s="40" t="str">
        <f>""</f>
        <v/>
      </c>
      <c r="J232" s="40">
        <f>IF(I231=0,"",J231/I231-1)</f>
        <v>-0.00363053924185797</v>
      </c>
      <c r="K232" s="40">
        <f>IF(J231=0,"",K231/J231-1)</f>
        <v>-0.168470689100847</v>
      </c>
      <c r="L232" s="40">
        <f>IF(K231=0,"",L231/K231-1)</f>
        <v>-0.0819048846500837</v>
      </c>
      <c r="M232" s="12">
        <f>IF(L231=0,"",M231/L231-1)</f>
        <v>0</v>
      </c>
      <c r="N232" s="40">
        <f>IF(M231=0,"",N231/M231-1)</f>
        <v>0.00484312486839333</v>
      </c>
      <c r="O232" s="40">
        <f>IF(N231=0,"",O231/N231-1)</f>
        <v>-0.14759709416038</v>
      </c>
      <c r="P232" s="40">
        <f>IF(O231=0,"",P231/O231-1)</f>
        <v>0.00278620011472586</v>
      </c>
      <c r="Q232" s="40">
        <f>IF(P231=0,"",Q231/P231-1)</f>
        <v>0.00498488191550206</v>
      </c>
      <c r="R232" s="12">
        <f>IF(Q231=0,"",R231/Q231-1)</f>
        <v>0</v>
      </c>
      <c r="S232" s="40">
        <f>IF(R231=0,"",S231/R231-1)</f>
        <v>0.0171572613433078</v>
      </c>
      <c r="T232" s="40">
        <f>IF(S231=0,"",T231/S231-1)</f>
        <v>0.0210248620992886</v>
      </c>
      <c r="U232" s="40">
        <f>IF(T231=0,"",U231/T231-1)</f>
        <v>0.0161290322580645</v>
      </c>
      <c r="V232" s="40">
        <f>IF(U231=0,"",V231/U231-1)</f>
        <v>-0.122129758052088</v>
      </c>
      <c r="W232" s="12">
        <f>IF(V231=0,"",W231/V231-1)</f>
        <v>0</v>
      </c>
      <c r="X232" s="40">
        <f>IF(W231=0,"",X231/W231-1)</f>
        <v>-0.00254542262792945</v>
      </c>
      <c r="Y232" s="40">
        <f>IF(X231=0,"",Y231/X231-1)</f>
        <v>-0.00624780007039771</v>
      </c>
      <c r="Z232" s="40">
        <f>IF(Y231=0,"",Z231/Y231-1)</f>
        <v>0.00336491631984415</v>
      </c>
      <c r="AA232" s="40">
        <f>IF(Z231=0,"",AA231/Z231-1)</f>
        <v>-0.0965492895596152</v>
      </c>
      <c r="AB232" s="12">
        <f>IF(AA231=0,"",AB231/AA231-1)</f>
        <v>0</v>
      </c>
      <c r="AC232" s="40">
        <f>IF(AB231=0,"",AC231/AB231-1)</f>
        <v>-0.00967080199277137</v>
      </c>
      <c r="AD232" s="40">
        <f>IF(AC231=0,"",AD231/AC231-1)</f>
        <v>0.0516867232195699</v>
      </c>
      <c r="AE232" s="40">
        <f>IF(AD231=0,"",AE231/AD231-1)</f>
        <v>-0.00572125304820859</v>
      </c>
      <c r="AF232" s="41">
        <f>IF(AE231=0,"",AF231/AE231-1)</f>
        <v>-0.12725214602396</v>
      </c>
      <c r="AG232" s="12">
        <f>IF(AF231=0,"",AG231/AF231-1)</f>
        <v>0</v>
      </c>
      <c r="AH232" s="41">
        <f>IF(AG231=0,"",AH231/AG231-1)</f>
        <v>-0.0131863380890618</v>
      </c>
      <c r="AI232" s="41">
        <f>IF(AH231=0,"",AI231/AH231-1)</f>
        <v>0.0224534501642935</v>
      </c>
      <c r="AJ232" s="41">
        <f>IF(AI231=0,"",AJ231/AI231-1)</f>
        <v>0</v>
      </c>
      <c r="AK232" s="41">
        <f>IF(AJ231=0,"",AK231/AJ231-1)</f>
        <v>0</v>
      </c>
      <c r="AL232" s="12">
        <f>IF(AK231=0,"",AL231/AK231-1)</f>
        <v>0</v>
      </c>
      <c r="AM232" s="41">
        <f>IF(AL231=0,"",AM231/AL231-1)</f>
        <v>0</v>
      </c>
      <c r="AN232" s="41">
        <f>IF(AM231=0,"",AN231/AM231-1)</f>
        <v>0</v>
      </c>
      <c r="AO232" s="41">
        <f>IF(AN231=0,"",AO231/AN231-1)</f>
        <v>0</v>
      </c>
      <c r="AP232" s="41">
        <f>IF(AO231=0,"",AP231/AO231-1)</f>
        <v>0</v>
      </c>
      <c r="AQ232" s="12">
        <f>IF(AP231=0,"",AQ231/AP231-1)</f>
        <v>0</v>
      </c>
      <c r="AR232" s="41">
        <f>IF(AQ231=0,"",AR231/AQ231-1)</f>
        <v>0</v>
      </c>
      <c r="AS232" s="41">
        <f>IF(AR231=0,"",AS231/AR231-1)</f>
        <v>0</v>
      </c>
      <c r="AT232" s="41">
        <f>IF(AS231=0,"",AT231/AS231-1)</f>
        <v>0</v>
      </c>
      <c r="AU232" s="41">
        <f>IF(AT231=0,"",AU231/AT231-1)</f>
        <v>0</v>
      </c>
      <c r="AV232" s="12">
        <f>IF(AU231=0,"",AV231/AU231-1)</f>
        <v>0</v>
      </c>
      <c r="AW232" s="41">
        <f>IF(AV231=0,"",AW231/AV231-1)</f>
        <v>0</v>
      </c>
      <c r="AX232" s="41">
        <f>IF(AW231=0,"",AX231/AW231-1)</f>
        <v>0</v>
      </c>
      <c r="AY232" s="41">
        <f>IF(AX231=0,"",AY231/AX231-1)</f>
        <v>0</v>
      </c>
      <c r="AZ232" s="41">
        <f>IF(AY231=0,"",AZ231/AY231-1)</f>
        <v>0</v>
      </c>
      <c r="BA232" s="12">
        <f>IF(AZ231=0,"",BA231/AZ231-1)</f>
        <v>0</v>
      </c>
      <c r="BB232" s="41">
        <f>IF(BA231=0,"",BB231/BA231-1)</f>
        <v>0</v>
      </c>
      <c r="BC232" s="41">
        <f>IF(BB231=0,"",BC231/BB231-1)</f>
        <v>0</v>
      </c>
      <c r="BD232" s="41">
        <f>IF(BC231=0,"",BD231/BC231-1)</f>
        <v>0</v>
      </c>
      <c r="BE232" s="41">
        <f>IF(BD231=0,"",BE231/BD231-1)</f>
        <v>0</v>
      </c>
      <c r="BF232" s="12">
        <f>IF(BE231=0,"",BF231/BE231-1)</f>
        <v>0</v>
      </c>
      <c r="BG232" s="41" t="n"/>
      <c r="BH232" s="41" t="n"/>
      <c r="BI232" s="41" t="n"/>
      <c r="BJ232" s="41" t="n"/>
      <c r="BK232" s="12" t="n"/>
      <c r="BL232" s="41" t="n"/>
      <c r="BM232" s="41" t="n"/>
      <c r="BN232" s="41" t="n"/>
      <c r="BO232" s="41" t="n"/>
      <c r="BP232" s="12" t="n"/>
      <c r="BQ232" s="41" t="n"/>
      <c r="BR232" s="41" t="n"/>
      <c r="BS232" s="41" t="n"/>
      <c r="BT232" s="41" t="n"/>
      <c r="BU232" s="12" t="n"/>
      <c r="BV232" s="41" t="n"/>
      <c r="BW232" s="41" t="n"/>
      <c r="BX232" s="41" t="n"/>
      <c r="BY232" s="41" t="n"/>
      <c r="BZ232" s="12" t="n"/>
      <c r="CA232" s="41" t="n"/>
      <c r="CB232" s="41" t="n"/>
      <c r="CC232" s="41" t="n"/>
      <c r="CD232" s="41" t="n"/>
      <c r="CE232" s="12" t="n"/>
      <c r="CF232" s="41" t="n"/>
      <c r="CG232" s="41" t="n"/>
      <c r="CH232" s="41" t="n"/>
      <c r="CI232" s="41" t="n"/>
      <c r="CJ232" s="12" t="n"/>
      <c r="CK232" s="41" t="n"/>
      <c r="CL232" s="41" t="n"/>
      <c r="CM232" s="41" t="n"/>
      <c r="CN232" s="41" t="n"/>
      <c r="CO232" s="12" t="n"/>
      <c r="CP232" s="41" t="n"/>
      <c r="CQ232" s="41" t="n"/>
      <c r="CR232" s="41" t="n"/>
      <c r="CS232" s="41" t="n"/>
      <c r="CT232" s="12" t="n"/>
      <c r="CU232" s="41" t="n"/>
      <c r="CV232" s="41" t="n"/>
      <c r="CW232" s="41" t="n"/>
      <c r="CX232" s="41" t="n"/>
      <c r="CY232" s="12" t="n"/>
    </row>
    <row r="233" hidden="1" outlineLevel="1" ht="12" customHeight="1">
      <c r="C233" s="59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  <c r="AJ233" s="12" t="n"/>
      <c r="AK233" s="12" t="n"/>
      <c r="AL233" s="12" t="n"/>
      <c r="AM233" s="12" t="n"/>
      <c r="AN233" s="12" t="n"/>
      <c r="AO233" s="12" t="n"/>
      <c r="AP233" s="12" t="n"/>
      <c r="AQ233" s="12" t="n"/>
      <c r="AR233" s="12" t="n"/>
      <c r="AS233" s="12" t="n"/>
      <c r="AT233" s="12" t="n"/>
      <c r="AU233" s="12" t="n"/>
      <c r="AV233" s="12" t="n"/>
      <c r="AW233" s="12" t="n"/>
      <c r="AX233" s="12" t="n"/>
      <c r="AY233" s="12" t="n"/>
      <c r="AZ233" s="12" t="n"/>
      <c r="BA233" s="12" t="n"/>
      <c r="BB233" s="12" t="n"/>
      <c r="BC233" s="12" t="n"/>
      <c r="BD233" s="12" t="n"/>
      <c r="BE233" s="12" t="n"/>
      <c r="BF233" s="12" t="n"/>
      <c r="BG233" s="12" t="n"/>
      <c r="BH233" s="12" t="n"/>
      <c r="BI233" s="12" t="n"/>
      <c r="BJ233" s="12" t="n"/>
      <c r="BK233" s="12" t="n"/>
      <c r="BL233" s="12" t="n"/>
      <c r="BM233" s="12" t="n"/>
      <c r="BN233" s="12" t="n"/>
      <c r="BO233" s="12" t="n"/>
      <c r="BP233" s="12" t="n"/>
      <c r="BQ233" s="12" t="n"/>
      <c r="BR233" s="12" t="n"/>
      <c r="BS233" s="12" t="n"/>
      <c r="BT233" s="12" t="n"/>
      <c r="BU233" s="12" t="n"/>
      <c r="BV233" s="12" t="n"/>
      <c r="BW233" s="12" t="n"/>
      <c r="BX233" s="12" t="n"/>
      <c r="BY233" s="12" t="n"/>
      <c r="BZ233" s="12" t="n"/>
      <c r="CA233" s="12" t="n"/>
      <c r="CB233" s="12" t="n"/>
      <c r="CC233" s="12" t="n"/>
      <c r="CD233" s="12" t="n"/>
      <c r="CE233" s="12" t="n"/>
      <c r="CF233" s="12" t="n"/>
      <c r="CG233" s="12" t="n"/>
      <c r="CH233" s="12" t="n"/>
      <c r="CI233" s="12" t="n"/>
      <c r="CJ233" s="12" t="n"/>
      <c r="CK233" s="12" t="n"/>
      <c r="CL233" s="12" t="n"/>
      <c r="CM233" s="12" t="n"/>
      <c r="CN233" s="12" t="n"/>
      <c r="CO233" s="12" t="n"/>
      <c r="CP233" s="12" t="n"/>
      <c r="CQ233" s="12" t="n"/>
      <c r="CR233" s="12" t="n"/>
      <c r="CS233" s="12" t="n"/>
      <c r="CT233" s="12" t="n"/>
      <c r="CU233" s="12" t="n"/>
      <c r="CV233" s="12" t="n"/>
      <c r="CW233" s="12" t="n"/>
      <c r="CX233" s="12" t="n"/>
      <c r="CY233" s="12" t="n"/>
    </row>
    <row r="234" hidden="1" outlineLevel="1">
      <c r="C234" s="57" t="inlineStr">
        <is>
          <t>Contas a pagar pela aquisição de controladas</t>
        </is>
      </c>
      <c r="D234" s="11" t="n"/>
      <c r="E234" s="11" t="n"/>
      <c r="F234" s="11" t="n"/>
      <c r="G234" s="11" t="n"/>
      <c r="H234" s="12" t="n"/>
      <c r="I234" s="11" t="n"/>
      <c r="J234" s="11" t="n"/>
      <c r="K234" s="11" t="n"/>
      <c r="L234" s="11" t="n"/>
      <c r="M234" s="12" t="n"/>
      <c r="N234" s="11" t="n"/>
      <c r="O234" s="11" t="n"/>
      <c r="P234" s="11" t="n"/>
      <c r="Q234" s="11" t="n"/>
      <c r="R234" s="12" t="n"/>
      <c r="S234" s="11" t="n"/>
      <c r="T234" s="11" t="n"/>
      <c r="U234" s="11" t="n"/>
      <c r="V234" s="11" t="n"/>
      <c r="W234" s="12" t="n"/>
      <c r="X234" s="11" t="n"/>
      <c r="Y234" s="11" t="n"/>
      <c r="Z234" s="11" t="n"/>
      <c r="AA234" s="11" t="n"/>
      <c r="AB234" s="12" t="n"/>
      <c r="AC234" s="11" t="n"/>
      <c r="AD234" s="11" t="n"/>
      <c r="AE234" s="11" t="n"/>
      <c r="AF234" s="11" t="n"/>
      <c r="AG234" s="12" t="n"/>
      <c r="AH234" s="12" t="n"/>
      <c r="AI234" s="12" t="n"/>
      <c r="AJ234" s="12" t="n"/>
      <c r="AK234" s="12" t="n"/>
      <c r="AL234" s="12" t="n"/>
      <c r="AM234" s="12" t="n"/>
      <c r="AN234" s="12" t="n"/>
      <c r="AO234" s="12" t="n"/>
      <c r="AP234" s="12" t="n"/>
      <c r="AQ234" s="12" t="n"/>
      <c r="AR234" s="12" t="n"/>
      <c r="AS234" s="12" t="n"/>
      <c r="AT234" s="12" t="n"/>
      <c r="AU234" s="12" t="n"/>
      <c r="AV234" s="12" t="n"/>
      <c r="AW234" s="12" t="n"/>
      <c r="AX234" s="12" t="n"/>
      <c r="AY234" s="12" t="n"/>
      <c r="AZ234" s="12" t="n"/>
      <c r="BA234" s="12" t="n"/>
      <c r="BB234" s="12" t="n"/>
      <c r="BC234" s="12" t="n"/>
      <c r="BD234" s="12" t="n"/>
      <c r="BE234" s="12" t="n"/>
      <c r="BF234" s="12" t="n"/>
      <c r="BG234" s="12" t="n"/>
      <c r="BH234" s="12" t="n"/>
      <c r="BI234" s="12" t="n"/>
      <c r="BJ234" s="12" t="n"/>
      <c r="BK234" s="12" t="n"/>
      <c r="BL234" s="12" t="n"/>
      <c r="BM234" s="12" t="n"/>
      <c r="BN234" s="12" t="n"/>
      <c r="BO234" s="12" t="n"/>
      <c r="BP234" s="12" t="n"/>
      <c r="BQ234" s="12" t="n"/>
      <c r="BR234" s="12" t="n"/>
      <c r="BS234" s="12" t="n"/>
      <c r="BT234" s="12" t="n"/>
      <c r="BU234" s="12" t="n"/>
      <c r="BV234" s="12" t="n"/>
      <c r="BW234" s="12" t="n"/>
      <c r="BX234" s="12" t="n"/>
      <c r="BY234" s="12" t="n"/>
      <c r="BZ234" s="12" t="n"/>
      <c r="CA234" s="12" t="n"/>
      <c r="CB234" s="12" t="n"/>
      <c r="CC234" s="12" t="n"/>
      <c r="CD234" s="12" t="n"/>
      <c r="CE234" s="12" t="n"/>
      <c r="CF234" s="12" t="n"/>
      <c r="CG234" s="12" t="n"/>
      <c r="CH234" s="12" t="n"/>
      <c r="CI234" s="12" t="n"/>
      <c r="CJ234" s="12" t="n"/>
      <c r="CK234" s="12" t="n"/>
      <c r="CL234" s="12" t="n"/>
      <c r="CM234" s="12" t="n"/>
      <c r="CN234" s="12" t="n"/>
      <c r="CO234" s="12" t="n"/>
      <c r="CP234" s="12" t="n"/>
      <c r="CQ234" s="12" t="n"/>
      <c r="CR234" s="12" t="n"/>
      <c r="CS234" s="12" t="n"/>
      <c r="CT234" s="12" t="n"/>
      <c r="CU234" s="12" t="n"/>
      <c r="CV234" s="12" t="n"/>
      <c r="CW234" s="12" t="n"/>
      <c r="CX234" s="12" t="n"/>
      <c r="CY234" s="12" t="n"/>
    </row>
    <row r="235" hidden="1" outlineLevel="1">
      <c r="C235" s="57" t="inlineStr">
        <is>
          <t xml:space="preserve">Outras Obrigações </t>
        </is>
      </c>
      <c r="D235" s="11" t="n"/>
      <c r="E235" s="11" t="n"/>
      <c r="F235" s="11" t="n"/>
      <c r="G235" s="11" t="n"/>
      <c r="H235" s="12" t="n"/>
      <c r="I235" s="11" t="n"/>
      <c r="J235" s="11" t="n"/>
      <c r="K235" s="11" t="n"/>
      <c r="L235" s="11" t="n"/>
      <c r="M235" s="12" t="n"/>
      <c r="N235" s="11" t="n"/>
      <c r="O235" s="11" t="n"/>
      <c r="P235" s="11" t="n"/>
      <c r="Q235" s="11" t="n"/>
      <c r="R235" s="12" t="n"/>
      <c r="S235" s="11" t="n"/>
      <c r="T235" s="11" t="n"/>
      <c r="U235" s="11" t="n"/>
      <c r="V235" s="11" t="n"/>
      <c r="W235" s="12" t="n"/>
      <c r="X235" s="11" t="n"/>
      <c r="Y235" s="11" t="n"/>
      <c r="Z235" s="11" t="n"/>
      <c r="AA235" s="11" t="n"/>
      <c r="AB235" s="12" t="n"/>
      <c r="AC235" s="11" t="n"/>
      <c r="AD235" s="11" t="n"/>
      <c r="AE235" s="11" t="n"/>
      <c r="AF235" s="11" t="n"/>
      <c r="AG235" s="12" t="n"/>
      <c r="AH235" s="12" t="n"/>
      <c r="AI235" s="12" t="n"/>
      <c r="AJ235" s="12" t="n"/>
      <c r="AK235" s="12" t="n"/>
      <c r="AL235" s="12" t="n"/>
      <c r="AM235" s="12" t="n"/>
      <c r="AN235" s="12" t="n"/>
      <c r="AO235" s="12" t="n"/>
      <c r="AP235" s="12" t="n"/>
      <c r="AQ235" s="12" t="n"/>
      <c r="AR235" s="12" t="n"/>
      <c r="AS235" s="12" t="n"/>
      <c r="AT235" s="12" t="n"/>
      <c r="AU235" s="12" t="n"/>
      <c r="AV235" s="12" t="n"/>
      <c r="AW235" s="12" t="n"/>
      <c r="AX235" s="12" t="n"/>
      <c r="AY235" s="12" t="n"/>
      <c r="AZ235" s="12" t="n"/>
      <c r="BA235" s="12" t="n"/>
      <c r="BB235" s="12" t="n"/>
      <c r="BC235" s="12" t="n"/>
      <c r="BD235" s="12" t="n"/>
      <c r="BE235" s="12" t="n"/>
      <c r="BF235" s="12" t="n"/>
      <c r="BG235" s="12" t="n"/>
      <c r="BH235" s="12" t="n"/>
      <c r="BI235" s="12" t="n"/>
      <c r="BJ235" s="12" t="n"/>
      <c r="BK235" s="12" t="n"/>
      <c r="BL235" s="12" t="n"/>
      <c r="BM235" s="12" t="n"/>
      <c r="BN235" s="12" t="n"/>
      <c r="BO235" s="12" t="n"/>
      <c r="BP235" s="12" t="n"/>
      <c r="BQ235" s="12" t="n"/>
      <c r="BR235" s="12" t="n"/>
      <c r="BS235" s="12" t="n"/>
      <c r="BT235" s="12" t="n"/>
      <c r="BU235" s="12" t="n"/>
      <c r="BV235" s="12" t="n"/>
      <c r="BW235" s="12" t="n"/>
      <c r="BX235" s="12" t="n"/>
      <c r="BY235" s="12" t="n"/>
      <c r="BZ235" s="12" t="n"/>
      <c r="CA235" s="12" t="n"/>
      <c r="CB235" s="12" t="n"/>
      <c r="CC235" s="12" t="n"/>
      <c r="CD235" s="12" t="n"/>
      <c r="CE235" s="12" t="n"/>
      <c r="CF235" s="12" t="n"/>
      <c r="CG235" s="12" t="n"/>
      <c r="CH235" s="12" t="n"/>
      <c r="CI235" s="12" t="n"/>
      <c r="CJ235" s="12" t="n"/>
      <c r="CK235" s="12" t="n"/>
      <c r="CL235" s="12" t="n"/>
      <c r="CM235" s="12" t="n"/>
      <c r="CN235" s="12" t="n"/>
      <c r="CO235" s="12" t="n"/>
      <c r="CP235" s="12" t="n"/>
      <c r="CQ235" s="12" t="n"/>
      <c r="CR235" s="12" t="n"/>
      <c r="CS235" s="12" t="n"/>
      <c r="CT235" s="12" t="n"/>
      <c r="CU235" s="12" t="n"/>
      <c r="CV235" s="12" t="n"/>
      <c r="CW235" s="12" t="n"/>
      <c r="CX235" s="12" t="n"/>
      <c r="CY235" s="12" t="n"/>
    </row>
    <row r="236" hidden="1" outlineLevel="1">
      <c r="C236" s="57" t="inlineStr">
        <is>
          <t xml:space="preserve">Provisão de Risco Cíveis, Trabalhistas e Tributários </t>
        </is>
      </c>
      <c r="D236" s="11" t="n"/>
      <c r="E236" s="11" t="n"/>
      <c r="F236" s="11" t="n"/>
      <c r="G236" s="11" t="n"/>
      <c r="H236" s="12" t="n"/>
      <c r="I236" s="11" t="n"/>
      <c r="J236" s="11" t="n"/>
      <c r="K236" s="11" t="n"/>
      <c r="L236" s="11" t="n"/>
      <c r="M236" s="12" t="n"/>
      <c r="N236" s="11" t="n"/>
      <c r="O236" s="11" t="n"/>
      <c r="P236" s="11" t="n"/>
      <c r="Q236" s="11" t="n"/>
      <c r="R236" s="12" t="n"/>
      <c r="S236" s="11" t="n"/>
      <c r="T236" s="11" t="n"/>
      <c r="U236" s="11" t="n"/>
      <c r="V236" s="11" t="n"/>
      <c r="W236" s="12" t="n"/>
      <c r="X236" s="11" t="n"/>
      <c r="Y236" s="11" t="n"/>
      <c r="Z236" s="11" t="n"/>
      <c r="AA236" s="11" t="n"/>
      <c r="AB236" s="12" t="n"/>
      <c r="AC236" s="11" t="n"/>
      <c r="AD236" s="11" t="n"/>
      <c r="AE236" s="11" t="n"/>
      <c r="AF236" s="11" t="n"/>
      <c r="AG236" s="12" t="n"/>
      <c r="AH236" s="12" t="n"/>
      <c r="AI236" s="12" t="n"/>
      <c r="AJ236" s="12" t="n"/>
      <c r="AK236" s="12" t="n"/>
      <c r="AL236" s="12" t="n"/>
      <c r="AM236" s="12" t="n"/>
      <c r="AN236" s="12" t="n"/>
      <c r="AO236" s="12" t="n"/>
      <c r="AP236" s="12" t="n"/>
      <c r="AQ236" s="12" t="n"/>
      <c r="AR236" s="12" t="n"/>
      <c r="AS236" s="12" t="n"/>
      <c r="AT236" s="12" t="n"/>
      <c r="AU236" s="12" t="n"/>
      <c r="AV236" s="12" t="n"/>
      <c r="AW236" s="12" t="n"/>
      <c r="AX236" s="12" t="n"/>
      <c r="AY236" s="12" t="n"/>
      <c r="AZ236" s="12" t="n"/>
      <c r="BA236" s="12" t="n"/>
      <c r="BB236" s="12" t="n"/>
      <c r="BC236" s="12" t="n"/>
      <c r="BD236" s="12" t="n"/>
      <c r="BE236" s="12" t="n"/>
      <c r="BF236" s="12" t="n"/>
      <c r="BG236" s="12" t="n"/>
      <c r="BH236" s="12" t="n"/>
      <c r="BI236" s="12" t="n"/>
      <c r="BJ236" s="12" t="n"/>
      <c r="BK236" s="12" t="n"/>
      <c r="BL236" s="12" t="n"/>
      <c r="BM236" s="12" t="n"/>
      <c r="BN236" s="12" t="n"/>
      <c r="BO236" s="12" t="n"/>
      <c r="BP236" s="12" t="n"/>
      <c r="BQ236" s="12" t="n"/>
      <c r="BR236" s="12" t="n"/>
      <c r="BS236" s="12" t="n"/>
      <c r="BT236" s="12" t="n"/>
      <c r="BU236" s="12" t="n"/>
      <c r="BV236" s="12" t="n"/>
      <c r="BW236" s="12" t="n"/>
      <c r="BX236" s="12" t="n"/>
      <c r="BY236" s="12" t="n"/>
      <c r="BZ236" s="12" t="n"/>
      <c r="CA236" s="12" t="n"/>
      <c r="CB236" s="12" t="n"/>
      <c r="CC236" s="12" t="n"/>
      <c r="CD236" s="12" t="n"/>
      <c r="CE236" s="12" t="n"/>
      <c r="CF236" s="12" t="n"/>
      <c r="CG236" s="12" t="n"/>
      <c r="CH236" s="12" t="n"/>
      <c r="CI236" s="12" t="n"/>
      <c r="CJ236" s="12" t="n"/>
      <c r="CK236" s="12" t="n"/>
      <c r="CL236" s="12" t="n"/>
      <c r="CM236" s="12" t="n"/>
      <c r="CN236" s="12" t="n"/>
      <c r="CO236" s="12" t="n"/>
      <c r="CP236" s="12" t="n"/>
      <c r="CQ236" s="12" t="n"/>
      <c r="CR236" s="12" t="n"/>
      <c r="CS236" s="12" t="n"/>
      <c r="CT236" s="12" t="n"/>
      <c r="CU236" s="12" t="n"/>
      <c r="CV236" s="12" t="n"/>
      <c r="CW236" s="12" t="n"/>
      <c r="CX236" s="12" t="n"/>
      <c r="CY236" s="12" t="n"/>
    </row>
    <row r="237" hidden="1" outlineLevel="1">
      <c r="C237" s="57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  <c r="AJ237" s="12" t="n"/>
      <c r="AK237" s="12" t="n"/>
      <c r="AL237" s="12" t="n"/>
      <c r="AM237" s="12" t="n"/>
      <c r="AN237" s="12" t="n"/>
      <c r="AO237" s="12" t="n"/>
      <c r="AP237" s="12" t="n"/>
      <c r="AQ237" s="12" t="n"/>
      <c r="AR237" s="12" t="n"/>
      <c r="AS237" s="12" t="n"/>
      <c r="AT237" s="12" t="n"/>
      <c r="AU237" s="12" t="n"/>
      <c r="AV237" s="12" t="n"/>
      <c r="AW237" s="12" t="n"/>
      <c r="AX237" s="12" t="n"/>
      <c r="AY237" s="12" t="n"/>
      <c r="AZ237" s="12" t="n"/>
      <c r="BA237" s="12" t="n"/>
      <c r="BB237" s="12" t="n"/>
      <c r="BC237" s="12" t="n"/>
      <c r="BD237" s="12" t="n"/>
      <c r="BE237" s="12" t="n"/>
      <c r="BF237" s="12" t="n"/>
      <c r="BG237" s="12" t="n"/>
      <c r="BH237" s="12" t="n"/>
      <c r="BI237" s="12" t="n"/>
      <c r="BJ237" s="12" t="n"/>
      <c r="BK237" s="12" t="n"/>
      <c r="BL237" s="12" t="n"/>
      <c r="BM237" s="12" t="n"/>
      <c r="BN237" s="12" t="n"/>
      <c r="BO237" s="12" t="n"/>
      <c r="BP237" s="12" t="n"/>
      <c r="BQ237" s="12" t="n"/>
      <c r="BR237" s="12" t="n"/>
      <c r="BS237" s="12" t="n"/>
      <c r="BT237" s="12" t="n"/>
      <c r="BU237" s="12" t="n"/>
      <c r="BV237" s="12" t="n"/>
      <c r="BW237" s="12" t="n"/>
      <c r="BX237" s="12" t="n"/>
      <c r="BY237" s="12" t="n"/>
      <c r="BZ237" s="12" t="n"/>
      <c r="CA237" s="12" t="n"/>
      <c r="CB237" s="12" t="n"/>
      <c r="CC237" s="12" t="n"/>
      <c r="CD237" s="12" t="n"/>
      <c r="CE237" s="12" t="n"/>
      <c r="CF237" s="12" t="n"/>
      <c r="CG237" s="12" t="n"/>
      <c r="CH237" s="12" t="n"/>
      <c r="CI237" s="12" t="n"/>
      <c r="CJ237" s="12" t="n"/>
      <c r="CK237" s="12" t="n"/>
      <c r="CL237" s="12" t="n"/>
      <c r="CM237" s="12" t="n"/>
      <c r="CN237" s="12" t="n"/>
      <c r="CO237" s="12" t="n"/>
      <c r="CP237" s="12" t="n"/>
      <c r="CQ237" s="12" t="n"/>
      <c r="CR237" s="12" t="n"/>
      <c r="CS237" s="12" t="n"/>
      <c r="CT237" s="12" t="n"/>
      <c r="CU237" s="12" t="n"/>
      <c r="CV237" s="12" t="n"/>
      <c r="CW237" s="12" t="n"/>
      <c r="CX237" s="12" t="n"/>
      <c r="CY237" s="12" t="n"/>
    </row>
    <row r="238" collapsed="1" customFormat="1" s="32">
      <c r="A238" s="30" t="n"/>
      <c r="B238" s="30" t="n"/>
      <c r="C238" s="65" t="inlineStr">
        <is>
          <t>Total Liabilities</t>
        </is>
      </c>
      <c r="D238" s="35" t="n"/>
      <c r="E238" s="35" t="n"/>
      <c r="F238" s="35" t="n"/>
      <c r="G238" s="35" t="n"/>
      <c r="H238" s="35" t="n"/>
      <c r="I238" s="35">
        <f>SUM(I189+I193+I195+I196+I203+I204+I205+I208+I226+I229+I230+I231)</f>
        <v>45104</v>
      </c>
      <c r="J238" s="35">
        <f>SUM(J189+J193+J195+J196+J203+J204+J205+J208+J226+J229+J230+J231)</f>
        <v>45569</v>
      </c>
      <c r="K238" s="35">
        <f>SUM(K189+K193+K195+K196+K203+K204+K205+K208+K226+K229+K230+K231)</f>
        <v>42212</v>
      </c>
      <c r="L238" s="35">
        <f>SUM(L189+L193+L195+L196+L203+L204+L205+L208+L226+L229+L230+L231)</f>
        <v>39914</v>
      </c>
      <c r="M238" s="35">
        <f>SUM(M189,M193,M195,M196,M203,M204,M208,M205,M226,M229,M230,M231)</f>
        <v>39914</v>
      </c>
      <c r="N238" s="35">
        <f>SUM(N189+N193+N195+N196+N203+N204+N205+N208+N226+N229+N230+N231)</f>
        <v>41508</v>
      </c>
      <c r="O238" s="35">
        <f>SUM(O189+O193+O195+O196+O203+O204+O205+O208+O226+O229+O230+O231)</f>
        <v>40326</v>
      </c>
      <c r="P238" s="35">
        <f>SUM(P189+P193+P195+P196+P203+P204+P205+P208+P226+P229+P230+P231)</f>
        <v>40064</v>
      </c>
      <c r="Q238" s="35">
        <f>SUM(Q189+Q193+Q195+Q196+Q203+Q204+Q205+Q208+Q226+Q229+Q230+Q231)</f>
        <v>43614</v>
      </c>
      <c r="R238" s="35">
        <f>SUM(R189,R193,R195,R196,R203,R204,R208,R205,R226,R229,R230,R231)</f>
        <v>43614</v>
      </c>
      <c r="S238" s="35">
        <f>SUM(S189+S193+S195+S196+S203+S204+S205+S208+S226+S229+S230+S231)</f>
        <v>44976</v>
      </c>
      <c r="T238" s="35">
        <f>SUM(T189+T193+T195+T196+T203+T204+T205+T208+T226+T229+T230+T231)</f>
        <v>47738</v>
      </c>
      <c r="U238" s="35">
        <f>SUM(U189+U193+U195+U196+U203+U204+U205+U208+U226+U229+U230+U231)</f>
        <v>47392</v>
      </c>
      <c r="V238" s="35">
        <f>SUM(V189+V193+V195+V196+V203+V204+V205+V208+V226+V229+V230+V231)</f>
        <v>45621</v>
      </c>
      <c r="W238" s="35">
        <f>SUM(W189,W193,W195,W196,W203,W204,W208,W205,W226,W229,W230,W231)</f>
        <v>45621</v>
      </c>
      <c r="X238" s="35">
        <f>SUM(X189+X193+X195+X196+X203+X204+X205+X208+X226+X229+X230+X231)</f>
        <v>48313</v>
      </c>
      <c r="Y238" s="35">
        <f>SUM(Y189+Y193+Y195+Y196+Y203+Y204+Y205+Y208+Y226+Y229+Y230+Y231)</f>
        <v>48901</v>
      </c>
      <c r="Z238" s="35">
        <f>SUM(Z189+Z193+Z195+Z196+Z203+Z204+Z205+Z208+Z226+Z229+Z230+Z231)</f>
        <v>48320</v>
      </c>
      <c r="AA238" s="35">
        <f>SUM(AA189+AA193+AA195+AA196+AA203+AA204+AA205+AA208+AA226+AA229+AA230+AA231)</f>
        <v>49284</v>
      </c>
      <c r="AB238" s="35">
        <f>SUM(AB189,AB193,AB195,AB196,AB203,AB204,AB208,AB205,AB226,AB229,AB230,AB231)</f>
        <v>49284</v>
      </c>
      <c r="AC238" s="35">
        <f>SUM(AC189+AC193+AC195+AC196+AC203+AC204+AC205+AC208+AC226+AC229+AC230+AC231)</f>
        <v>49986</v>
      </c>
      <c r="AD238" s="35">
        <f>SUM(AD189+AD193+AD195+AD196+AD203+AD204+AD205+AD208+AD226+AD229+AD230+AD231)</f>
        <v>53536</v>
      </c>
      <c r="AE238" s="35">
        <f>SUM(AE189+AE193+AE195+AE196+AE203+AE204+AE205+AE208+AE226+AE229+AE230+AE231)</f>
        <v>54095</v>
      </c>
      <c r="AF238" s="35">
        <f>SUM(AF189+AF193+AF195+AF196+AF203+AF204+AF205+AF208+AF226+AF229+AF230+AF231)</f>
        <v>53119</v>
      </c>
      <c r="AG238" s="35">
        <f>SUM(AG189,AG193,AG195,AG196,AG203,AG204,AG208,AG205,AG226,AG229,AG230,AG231)</f>
        <v>53119</v>
      </c>
      <c r="AH238" s="35">
        <f>SUM(AH189+AH193+AH195+AH196+AH203+AH204+AH205+AH208+AH226+AH229+AH230+AH231)</f>
        <v>51749</v>
      </c>
      <c r="AI238" s="35">
        <f>SUM(AI189+AI193+AI195+AI196+AI203+AI204+AI205+AI208+AI226+AI229+AI230+AI231)</f>
        <v>53682</v>
      </c>
      <c r="AJ238" s="35">
        <f>SUM(AJ189+AJ193+AJ195+AJ196+AJ203+AJ204+AJ205+AJ208+AJ226+AJ229+AJ230+AJ231)</f>
        <v>53165.5389741908</v>
      </c>
      <c r="AK238" s="35">
        <f>SUM(AK189+AK193+AK195+AK196+AK203+AK204+AK205+AK208+AK226+AK229+AK230+AK231)</f>
        <v>53731.3099770412</v>
      </c>
      <c r="AL238" s="35">
        <f>SUM(AL189,AL193,AL195,AL196,AL203,AL204,AL208,AL205,AL226,AL229,AL230,AL231)</f>
        <v>53731.3099770412</v>
      </c>
      <c r="AM238" s="35">
        <f>SUM(AM189+AM193+AM195+AM196+AM203+AM204+AM205+AM208+AM226+AM229+AM230+AM231)</f>
        <v>53485.7087211407</v>
      </c>
      <c r="AN238" s="35">
        <f>SUM(AN189+AN193+AN195+AN196+AN203+AN204+AN205+AN208+AN226+AN229+AN230+AN231)</f>
        <v>54105.7870743222</v>
      </c>
      <c r="AO238" s="35">
        <f>SUM(AO189+AO193+AO195+AO196+AO203+AO204+AO205+AO208+AO226+AO229+AO230+AO231)</f>
        <v>54168.2547974197</v>
      </c>
      <c r="AP238" s="35">
        <f>SUM(AP189+AP193+AP195+AP196+AP203+AP204+AP205+AP208+AP226+AP229+AP230+AP231)</f>
        <v>54798.4070124337</v>
      </c>
      <c r="AQ238" s="35">
        <f>SUM(AQ189,AQ193,AQ195,AQ196,AQ203,AQ204,AQ208,AQ205,AQ226,AQ229,AQ230,AQ231)</f>
        <v>54798.4070124337</v>
      </c>
      <c r="AR238" s="35">
        <f>SUM(AR189+AR193+AR195+AR196+AR203+AR204+AR205+AR208+AR226+AR229+AR230+AR231)</f>
        <v>54483.7578903395</v>
      </c>
      <c r="AS238" s="35">
        <f>SUM(AS189+AS193+AS195+AS196+AS203+AS204+AS205+AS208+AS226+AS229+AS230+AS231)</f>
        <v>55198.2567315379</v>
      </c>
      <c r="AT238" s="35">
        <f>SUM(AT189+AT193+AT195+AT196+AT203+AT204+AT205+AT208+AT226+AT229+AT230+AT231)</f>
        <v>55278.2354525398</v>
      </c>
      <c r="AU238" s="35">
        <f>SUM(AU189+AU193+AU195+AU196+AU203+AU204+AU205+AU208+AU226+AU229+AU230+AU231)</f>
        <v>55954.3008923451</v>
      </c>
      <c r="AV238" s="35">
        <f>SUM(AV189,AV193,AV195,AV196,AV203,AV204,AV208,AV205,AV226,AV229,AV230,AV231)</f>
        <v>55954.3008923451</v>
      </c>
      <c r="AW238" s="35">
        <f>SUM(AW189+AW193+AW195+AW196+AW203+AW204+AW205+AW208+AW226+AW229+AW230+AW231)</f>
        <v>55662.5638866947</v>
      </c>
      <c r="AX238" s="35">
        <f>SUM(AX189+AX193+AX195+AX196+AX203+AX204+AX205+AX208+AX226+AX229+AX230+AX231)</f>
        <v>56369.6318281559</v>
      </c>
      <c r="AY238" s="35">
        <f>SUM(AY189+AY193+AY195+AY196+AY203+AY204+AY205+AY208+AY226+AY229+AY230+AY231)</f>
        <v>56463.0933595563</v>
      </c>
      <c r="AZ238" s="35">
        <f>SUM(AZ189+AZ193+AZ195+AZ196+AZ203+AZ204+AZ205+AZ208+AZ226+AZ229+AZ230+AZ231)</f>
        <v>57179.0998277067</v>
      </c>
      <c r="BA238" s="35">
        <f>SUM(BA189,BA193,BA195,BA196,BA203,BA204,BA208,BA205,BA226,BA229,BA230,BA231)</f>
        <v>57179.0998277067</v>
      </c>
      <c r="BB238" s="35">
        <f>SUM(BB189+BB193+BB195+BB196+BB203+BB204+BB205+BB208+BB226+BB229+BB230+BB231)</f>
        <v>56855.4316371228</v>
      </c>
      <c r="BC238" s="35">
        <f>SUM(BC189+BC193+BC195+BC196+BC203+BC204+BC205+BC208+BC226+BC229+BC230+BC231)</f>
        <v>57595.8401220282</v>
      </c>
      <c r="BD238" s="35">
        <f>SUM(BD189+BD193+BD195+BD196+BD203+BD204+BD205+BD208+BD226+BD229+BD230+BD231)</f>
        <v>57696.6127818451</v>
      </c>
      <c r="BE238" s="35">
        <f>SUM(BE189+BE193+BE195+BE196+BE203+BE204+BE205+BE208+BE226+BE229+BE230+BE231)</f>
        <v>58444.0774896359</v>
      </c>
      <c r="BF238" s="35">
        <f>SUM(BF189,BF193,BF195,BF196,BF203,BF204,BF208,BF205,BF226,BF229,BF230,BF231)</f>
        <v>58444.0774896359</v>
      </c>
      <c r="BG238" s="35" t="n"/>
      <c r="BH238" s="35" t="n"/>
      <c r="BI238" s="35" t="n"/>
      <c r="BJ238" s="35" t="n"/>
      <c r="BK238" s="35" t="n"/>
      <c r="BL238" s="35" t="n"/>
      <c r="BM238" s="35" t="n"/>
      <c r="BN238" s="35" t="n"/>
      <c r="BO238" s="35" t="n"/>
      <c r="BP238" s="35" t="n"/>
      <c r="BQ238" s="35" t="n"/>
      <c r="BR238" s="35" t="n"/>
      <c r="BS238" s="35" t="n"/>
      <c r="BT238" s="35" t="n"/>
      <c r="BU238" s="35" t="n"/>
      <c r="BV238" s="35" t="n"/>
      <c r="BW238" s="35" t="n"/>
      <c r="BX238" s="35" t="n"/>
      <c r="BY238" s="35" t="n"/>
      <c r="BZ238" s="35" t="n"/>
      <c r="CA238" s="35" t="n"/>
      <c r="CB238" s="35" t="n"/>
      <c r="CC238" s="35" t="n"/>
      <c r="CD238" s="35" t="n"/>
      <c r="CE238" s="35" t="n"/>
      <c r="CF238" s="35" t="n"/>
      <c r="CG238" s="35" t="n"/>
      <c r="CH238" s="35" t="n"/>
      <c r="CI238" s="35" t="n"/>
      <c r="CJ238" s="35" t="n"/>
      <c r="CK238" s="35" t="n"/>
      <c r="CL238" s="35" t="n"/>
      <c r="CM238" s="35" t="n"/>
      <c r="CN238" s="35" t="n"/>
      <c r="CO238" s="35" t="n"/>
      <c r="CP238" s="35" t="n"/>
      <c r="CQ238" s="35" t="n"/>
      <c r="CR238" s="35" t="n"/>
      <c r="CS238" s="35" t="n"/>
      <c r="CT238" s="35" t="n"/>
      <c r="CU238" s="35" t="n"/>
      <c r="CV238" s="35" t="n"/>
      <c r="CW238" s="35" t="n"/>
      <c r="CX238" s="35" t="n"/>
      <c r="CY238" s="35" t="n"/>
    </row>
    <row r="239">
      <c r="C239" s="14" t="inlineStr">
        <is>
          <t>Minority interest</t>
        </is>
      </c>
      <c r="D239" s="46" t="n"/>
      <c r="E239" s="46" t="n"/>
      <c r="F239" s="46" t="n"/>
      <c r="G239" s="46" t="n"/>
      <c r="H239" s="12" t="n"/>
      <c r="I239" s="46">
        <f>'Inputs (2)'!D41</f>
        <v>21</v>
      </c>
      <c r="J239" s="46">
        <f>'Inputs (2)'!E41</f>
        <v>8</v>
      </c>
      <c r="K239" s="46">
        <f>'Inputs (2)'!F41</f>
        <v>0</v>
      </c>
      <c r="L239" s="46">
        <f>'Inputs (2)'!G41</f>
        <v>0</v>
      </c>
      <c r="M239" s="12">
        <f>'Inputs (2)'!H41</f>
        <v>0</v>
      </c>
      <c r="N239" s="46">
        <f>'Inputs (2)'!I41</f>
        <v>0</v>
      </c>
      <c r="O239" s="46">
        <f>'Inputs (2)'!J41</f>
        <v>0</v>
      </c>
      <c r="P239" s="46">
        <f>'Inputs (2)'!K41</f>
        <v>0</v>
      </c>
      <c r="Q239" s="46">
        <f>'Inputs (2)'!L41</f>
        <v>0</v>
      </c>
      <c r="R239" s="12">
        <f>'Inputs (2)'!M41</f>
        <v>0</v>
      </c>
      <c r="S239" s="46">
        <f>'Inputs (2)'!N41</f>
        <v>0</v>
      </c>
      <c r="T239" s="46">
        <f>'Inputs (2)'!O41</f>
        <v>0</v>
      </c>
      <c r="U239" s="46">
        <f>'Inputs (2)'!P41</f>
        <v>0</v>
      </c>
      <c r="V239" s="46">
        <f>'Inputs (2)'!Q41</f>
        <v>0</v>
      </c>
      <c r="W239" s="12">
        <f>'Inputs (2)'!R41</f>
        <v>0</v>
      </c>
      <c r="X239" s="46">
        <f>'Inputs (2)'!S41</f>
        <v>0</v>
      </c>
      <c r="Y239" s="46">
        <f>'Inputs (2)'!T41</f>
        <v>0</v>
      </c>
      <c r="Z239" s="46">
        <f>'Inputs (2)'!U41</f>
        <v>0</v>
      </c>
      <c r="AA239" s="46">
        <f>'Inputs (2)'!V41</f>
        <v>0</v>
      </c>
      <c r="AB239" s="12">
        <f>'Inputs (2)'!W41</f>
        <v>0</v>
      </c>
      <c r="AC239" s="46">
        <f>'Inputs (2)'!X41</f>
        <v>0</v>
      </c>
      <c r="AD239" s="46">
        <f>'Inputs (2)'!Y41</f>
        <v>0</v>
      </c>
      <c r="AE239" s="46">
        <f>'Inputs (2)'!Z41</f>
        <v>0</v>
      </c>
      <c r="AF239" s="46">
        <f>'Inputs (2)'!AA41</f>
        <v>0</v>
      </c>
      <c r="AG239" s="12">
        <f>'Inputs (2)'!AB41</f>
        <v>0</v>
      </c>
      <c r="AH239" s="12">
        <f>'Inputs (2)'!AC41</f>
        <v>0</v>
      </c>
      <c r="AI239" s="12">
        <f>'Inputs (2)'!AD41</f>
        <v>0</v>
      </c>
      <c r="AJ239" s="12">
        <f>AI239</f>
        <v>0</v>
      </c>
      <c r="AK239" s="12">
        <f>AJ239</f>
        <v>0</v>
      </c>
      <c r="AL239" s="12">
        <f>AK239</f>
        <v>0</v>
      </c>
      <c r="AM239" s="12">
        <f>AL239</f>
        <v>0</v>
      </c>
      <c r="AN239" s="12">
        <f>AM239</f>
        <v>0</v>
      </c>
      <c r="AO239" s="12">
        <f>AN239</f>
        <v>0</v>
      </c>
      <c r="AP239" s="12">
        <f>AO239</f>
        <v>0</v>
      </c>
      <c r="AQ239" s="12">
        <f>AP239</f>
        <v>0</v>
      </c>
      <c r="AR239" s="12">
        <f>AQ239</f>
        <v>0</v>
      </c>
      <c r="AS239" s="12">
        <f>AR239</f>
        <v>0</v>
      </c>
      <c r="AT239" s="12">
        <f>AS239</f>
        <v>0</v>
      </c>
      <c r="AU239" s="12">
        <f>AT239</f>
        <v>0</v>
      </c>
      <c r="AV239" s="12">
        <f>AU239</f>
        <v>0</v>
      </c>
      <c r="AW239" s="12">
        <f>AV239</f>
        <v>0</v>
      </c>
      <c r="AX239" s="12">
        <f>AW239</f>
        <v>0</v>
      </c>
      <c r="AY239" s="12">
        <f>AX239</f>
        <v>0</v>
      </c>
      <c r="AZ239" s="12">
        <f>AY239</f>
        <v>0</v>
      </c>
      <c r="BA239" s="12">
        <f>AZ239</f>
        <v>0</v>
      </c>
      <c r="BB239" s="12">
        <f>BA239</f>
        <v>0</v>
      </c>
      <c r="BC239" s="12">
        <f>BB239</f>
        <v>0</v>
      </c>
      <c r="BD239" s="12">
        <f>BC239</f>
        <v>0</v>
      </c>
      <c r="BE239" s="12">
        <f>BD239</f>
        <v>0</v>
      </c>
      <c r="BF239" s="12">
        <f>BE239</f>
        <v>0</v>
      </c>
      <c r="BG239" s="12" t="n"/>
      <c r="BH239" s="12" t="n"/>
      <c r="BI239" s="12" t="n"/>
      <c r="BJ239" s="12" t="n"/>
      <c r="BK239" s="12" t="n"/>
      <c r="BL239" s="12" t="n"/>
      <c r="BM239" s="12" t="n"/>
      <c r="BN239" s="12" t="n"/>
      <c r="BO239" s="12" t="n"/>
      <c r="BP239" s="12" t="n"/>
      <c r="BQ239" s="12" t="n"/>
      <c r="BR239" s="12" t="n"/>
      <c r="BS239" s="12" t="n"/>
      <c r="BT239" s="12" t="n"/>
      <c r="BU239" s="12" t="n"/>
      <c r="BV239" s="12" t="n"/>
      <c r="BW239" s="12" t="n"/>
      <c r="BX239" s="12" t="n"/>
      <c r="BY239" s="12" t="n"/>
      <c r="BZ239" s="12" t="n"/>
      <c r="CA239" s="12" t="n"/>
      <c r="CB239" s="12" t="n"/>
      <c r="CC239" s="12" t="n"/>
      <c r="CD239" s="12" t="n"/>
      <c r="CE239" s="12" t="n"/>
      <c r="CF239" s="12" t="n"/>
      <c r="CG239" s="12" t="n"/>
      <c r="CH239" s="12" t="n"/>
      <c r="CI239" s="12" t="n"/>
      <c r="CJ239" s="12" t="n"/>
      <c r="CK239" s="12" t="n"/>
      <c r="CL239" s="12" t="n"/>
      <c r="CM239" s="12" t="n"/>
      <c r="CN239" s="12" t="n"/>
      <c r="CO239" s="12" t="n"/>
      <c r="CP239" s="12" t="n"/>
      <c r="CQ239" s="12" t="n"/>
      <c r="CR239" s="12" t="n"/>
      <c r="CS239" s="12" t="n"/>
      <c r="CT239" s="12" t="n"/>
      <c r="CU239" s="12" t="n"/>
      <c r="CV239" s="12" t="n"/>
      <c r="CW239" s="12" t="n"/>
      <c r="CX239" s="12" t="n"/>
      <c r="CY239" s="12" t="n"/>
    </row>
    <row r="240" hidden="1" outlineLevel="1" customFormat="1" s="66">
      <c r="A240" s="37" t="n"/>
      <c r="B240" s="37" t="n"/>
      <c r="C240" s="59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  <c r="AA240" s="42" t="n"/>
      <c r="AB240" s="42" t="n"/>
      <c r="AC240" s="42" t="n"/>
      <c r="AD240" s="42" t="n"/>
      <c r="AE240" s="42" t="n"/>
      <c r="AF240" s="42" t="n"/>
      <c r="AG240" s="42" t="n"/>
      <c r="AH240" s="42" t="n"/>
      <c r="AI240" s="42" t="n"/>
      <c r="AJ240" s="42" t="n"/>
      <c r="AK240" s="42" t="n"/>
      <c r="AL240" s="42" t="n"/>
      <c r="AM240" s="42" t="n"/>
      <c r="AN240" s="42" t="n"/>
      <c r="AO240" s="42" t="n"/>
      <c r="AP240" s="42" t="n"/>
      <c r="AQ240" s="42" t="n"/>
      <c r="AR240" s="42" t="n"/>
      <c r="AS240" s="42" t="n"/>
      <c r="AT240" s="42" t="n"/>
      <c r="AU240" s="42" t="n"/>
      <c r="AV240" s="42" t="n"/>
      <c r="AW240" s="42" t="n"/>
      <c r="AX240" s="42" t="n"/>
      <c r="AY240" s="42" t="n"/>
      <c r="AZ240" s="42" t="n"/>
      <c r="BA240" s="42" t="n"/>
      <c r="BB240" s="42" t="n"/>
      <c r="BC240" s="42" t="n"/>
      <c r="BD240" s="42" t="n"/>
      <c r="BE240" s="42" t="n"/>
      <c r="BF240" s="42" t="n"/>
      <c r="BG240" s="42" t="n"/>
      <c r="BH240" s="42" t="n"/>
      <c r="BI240" s="42" t="n"/>
      <c r="BJ240" s="42" t="n"/>
      <c r="BK240" s="42" t="n"/>
      <c r="BL240" s="42" t="n"/>
      <c r="BM240" s="42" t="n"/>
      <c r="BN240" s="42" t="n"/>
      <c r="BO240" s="42" t="n"/>
      <c r="BP240" s="42" t="n"/>
      <c r="BQ240" s="42" t="n"/>
      <c r="BR240" s="42" t="n"/>
      <c r="BS240" s="42" t="n"/>
      <c r="BT240" s="42" t="n"/>
      <c r="BU240" s="42" t="n"/>
      <c r="BV240" s="42" t="n"/>
      <c r="BW240" s="42" t="n"/>
      <c r="BX240" s="42" t="n"/>
      <c r="BY240" s="42" t="n"/>
      <c r="BZ240" s="42" t="n"/>
      <c r="CA240" s="42" t="n"/>
      <c r="CB240" s="42" t="n"/>
      <c r="CC240" s="42" t="n"/>
      <c r="CD240" s="42" t="n"/>
      <c r="CE240" s="42" t="n"/>
      <c r="CF240" s="42" t="n"/>
      <c r="CG240" s="42" t="n"/>
      <c r="CH240" s="42" t="n"/>
      <c r="CI240" s="42" t="n"/>
      <c r="CJ240" s="42" t="n"/>
      <c r="CK240" s="42" t="n"/>
      <c r="CL240" s="42" t="n"/>
      <c r="CM240" s="42" t="n"/>
      <c r="CN240" s="42" t="n"/>
      <c r="CO240" s="42" t="n"/>
      <c r="CP240" s="42" t="n"/>
      <c r="CQ240" s="42" t="n"/>
      <c r="CR240" s="42" t="n"/>
      <c r="CS240" s="42" t="n"/>
      <c r="CT240" s="42" t="n"/>
      <c r="CU240" s="42" t="n"/>
      <c r="CV240" s="42" t="n"/>
      <c r="CW240" s="42" t="n"/>
      <c r="CX240" s="42" t="n"/>
      <c r="CY240" s="42" t="n"/>
    </row>
    <row r="241" hidden="1" outlineLevel="1" customFormat="1" s="66">
      <c r="A241" s="37" t="n"/>
      <c r="B241" s="37" t="n"/>
      <c r="C241" s="57" t="inlineStr">
        <is>
          <t>Minority Interest Expense - % YoY</t>
        </is>
      </c>
      <c r="D241" s="42" t="n"/>
      <c r="E241" s="58" t="n"/>
      <c r="F241" s="42" t="n"/>
      <c r="G241" s="42" t="n"/>
      <c r="H241" s="58" t="n"/>
      <c r="I241" s="42" t="n"/>
      <c r="J241" s="58">
        <f>IF(I126=0,0,J126/I126-1)</f>
        <v>0</v>
      </c>
      <c r="K241" s="42" t="n"/>
      <c r="L241" s="42" t="n"/>
      <c r="M241" s="58" t="n"/>
      <c r="N241" s="58">
        <f>IF(I126=0,0,N126/I126-1)</f>
        <v>0</v>
      </c>
      <c r="O241" s="58">
        <f>IF(J126=0,0,O126/J126-1)</f>
        <v>0</v>
      </c>
      <c r="P241" s="58">
        <f>IF(K126=0,0,P126/K126-1)</f>
        <v>0</v>
      </c>
      <c r="Q241" s="58">
        <f>IF(L126=0,0,Q126/L126-1)</f>
        <v>0</v>
      </c>
      <c r="R241" s="58" t="n"/>
      <c r="S241" s="58">
        <f>IF(N126=0,0,S126/N126-1)</f>
        <v>0</v>
      </c>
      <c r="T241" s="58">
        <f>IF(O126=0,0,T126/O126-1)</f>
        <v>0</v>
      </c>
      <c r="U241" s="58">
        <f>IF(P126=0,0,U126/P126-1)</f>
        <v>0</v>
      </c>
      <c r="V241" s="58">
        <f>IF(Q126=0,0,V126/Q126-1)</f>
        <v>0</v>
      </c>
      <c r="W241" s="58">
        <f>IF(R127=0,0,W127/R127-1)</f>
        <v>0</v>
      </c>
      <c r="X241" s="58">
        <f>IF(S126=0,0,X126/S126-1)</f>
        <v>0</v>
      </c>
      <c r="Y241" s="58">
        <f>IF(T126=0,0,Y126/T126-1)</f>
        <v>0</v>
      </c>
      <c r="Z241" s="58">
        <f>IF(U126=0,0,Z126/U126-1)</f>
        <v>0</v>
      </c>
      <c r="AA241" s="58">
        <f>IF(V126=0,0,AA126/V126-1)</f>
        <v>0</v>
      </c>
      <c r="AB241" s="58">
        <f>IF(W127=0,0,AB127/W127-1)</f>
        <v>0</v>
      </c>
      <c r="AC241" s="58">
        <f>IF(X126=0,0,AC126/X126-1)</f>
        <v>0</v>
      </c>
      <c r="AD241" s="58">
        <f>IF(Y126=0,0,AD126/Y126-1)</f>
        <v>0</v>
      </c>
      <c r="AE241" s="58">
        <f>IF(Z126=0,0,AE126/Z126-1)</f>
        <v>0</v>
      </c>
      <c r="AF241" s="58">
        <f>IF(AA126=0,0,AF126/AA126-1)</f>
        <v>0</v>
      </c>
      <c r="AG241" s="58">
        <f>IF(AB127=0,0,AG127/AB127-1)</f>
        <v>0</v>
      </c>
      <c r="AH241" s="62">
        <f>IF(AC126=0,0,AH126/AC126-1)</f>
        <v>0</v>
      </c>
      <c r="AI241" s="62">
        <f>IF(AD126=0,0,AI126/AD126-1)</f>
        <v>0</v>
      </c>
      <c r="AJ241" s="62" t="n"/>
      <c r="AK241" s="62" t="n"/>
      <c r="AL241" s="58">
        <f>IF(AG127=0,0,AL127/AG127-1)</f>
        <v>0</v>
      </c>
      <c r="AM241" s="62" t="n"/>
      <c r="AN241" s="62" t="n"/>
      <c r="AO241" s="62" t="n"/>
      <c r="AP241" s="62" t="n"/>
      <c r="AQ241" s="58">
        <f>IF(AL127=0,0,AQ127/AL127-1)</f>
        <v>0</v>
      </c>
      <c r="AR241" s="62" t="n"/>
      <c r="AS241" s="62" t="n"/>
      <c r="AT241" s="62" t="n"/>
      <c r="AU241" s="62" t="n"/>
      <c r="AV241" s="58">
        <f>IF(AQ127=0,0,AV127/AQ127-1)</f>
        <v>0</v>
      </c>
      <c r="AW241" s="62" t="n"/>
      <c r="AX241" s="62" t="n"/>
      <c r="AY241" s="62" t="n"/>
      <c r="AZ241" s="62" t="n"/>
      <c r="BA241" s="58">
        <f>IF(AV127=0,0,BA127/AV127-1)</f>
        <v>0</v>
      </c>
      <c r="BB241" s="62" t="n"/>
      <c r="BC241" s="62" t="n"/>
      <c r="BD241" s="62" t="n"/>
      <c r="BE241" s="62" t="n"/>
      <c r="BF241" s="58">
        <f>IF(BA127=0,0,BF127/BA127-1)</f>
        <v>0</v>
      </c>
      <c r="BG241" s="62" t="n"/>
      <c r="BH241" s="62" t="n"/>
      <c r="BI241" s="62" t="n"/>
      <c r="BJ241" s="62" t="n"/>
      <c r="BK241" s="58" t="n"/>
      <c r="BL241" s="62" t="n"/>
      <c r="BM241" s="62" t="n"/>
      <c r="BN241" s="62" t="n"/>
      <c r="BO241" s="62" t="n"/>
      <c r="BP241" s="58" t="n"/>
      <c r="BQ241" s="62" t="n"/>
      <c r="BR241" s="62" t="n"/>
      <c r="BS241" s="62" t="n"/>
      <c r="BT241" s="62" t="n"/>
      <c r="BU241" s="58" t="n"/>
      <c r="BV241" s="62" t="n"/>
      <c r="BW241" s="62" t="n"/>
      <c r="BX241" s="62" t="n"/>
      <c r="BY241" s="62" t="n"/>
      <c r="BZ241" s="58" t="n"/>
      <c r="CA241" s="62" t="n"/>
      <c r="CB241" s="62" t="n"/>
      <c r="CC241" s="62" t="n"/>
      <c r="CD241" s="62" t="n"/>
      <c r="CE241" s="58" t="n"/>
      <c r="CF241" s="62" t="n"/>
      <c r="CG241" s="62" t="n"/>
      <c r="CH241" s="62" t="n"/>
      <c r="CI241" s="62" t="n"/>
      <c r="CJ241" s="58" t="n"/>
      <c r="CK241" s="62" t="n"/>
      <c r="CL241" s="62" t="n"/>
      <c r="CM241" s="62" t="n"/>
      <c r="CN241" s="62" t="n"/>
      <c r="CO241" s="58" t="n"/>
      <c r="CP241" s="62" t="n"/>
      <c r="CQ241" s="62" t="n"/>
      <c r="CR241" s="62" t="n"/>
      <c r="CS241" s="62" t="n"/>
      <c r="CT241" s="58" t="n"/>
      <c r="CU241" s="62" t="n"/>
      <c r="CV241" s="62" t="n"/>
      <c r="CW241" s="62" t="n"/>
      <c r="CX241" s="62" t="n"/>
      <c r="CY241" s="58" t="n"/>
    </row>
    <row r="242" hidden="1" outlineLevel="1" customFormat="1" s="66">
      <c r="A242" s="37" t="n"/>
      <c r="B242" s="37" t="n"/>
      <c r="C242" s="57" t="inlineStr">
        <is>
          <t>Dividends (enter as -)</t>
        </is>
      </c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  <c r="AA242" s="42" t="n"/>
      <c r="AB242" s="42" t="n"/>
      <c r="AC242" s="42" t="n"/>
      <c r="AD242" s="42" t="n"/>
      <c r="AE242" s="42" t="n"/>
      <c r="AF242" s="42" t="n"/>
      <c r="AG242" s="42" t="n"/>
      <c r="AH242" s="62" t="n"/>
      <c r="AI242" s="62" t="n"/>
      <c r="AJ242" s="62" t="n"/>
      <c r="AK242" s="62" t="n"/>
      <c r="AL242" s="42" t="n"/>
      <c r="AM242" s="62" t="n"/>
      <c r="AN242" s="62" t="n"/>
      <c r="AO242" s="62" t="n"/>
      <c r="AP242" s="62" t="n"/>
      <c r="AQ242" s="42" t="n"/>
      <c r="AR242" s="62" t="n"/>
      <c r="AS242" s="62" t="n"/>
      <c r="AT242" s="62" t="n"/>
      <c r="AU242" s="62" t="n"/>
      <c r="AV242" s="42" t="n"/>
      <c r="AW242" s="62" t="n"/>
      <c r="AX242" s="62" t="n"/>
      <c r="AY242" s="62" t="n"/>
      <c r="AZ242" s="62" t="n"/>
      <c r="BA242" s="42" t="n"/>
      <c r="BB242" s="62" t="n"/>
      <c r="BC242" s="62" t="n"/>
      <c r="BD242" s="62" t="n"/>
      <c r="BE242" s="62" t="n"/>
      <c r="BF242" s="42" t="n"/>
      <c r="BG242" s="62" t="n"/>
      <c r="BH242" s="62" t="n"/>
      <c r="BI242" s="62" t="n"/>
      <c r="BJ242" s="62" t="n"/>
      <c r="BK242" s="42" t="n"/>
      <c r="BL242" s="62" t="n"/>
      <c r="BM242" s="62" t="n"/>
      <c r="BN242" s="62" t="n"/>
      <c r="BO242" s="62" t="n"/>
      <c r="BP242" s="42" t="n"/>
      <c r="BQ242" s="62" t="n"/>
      <c r="BR242" s="62" t="n"/>
      <c r="BS242" s="62" t="n"/>
      <c r="BT242" s="62" t="n"/>
      <c r="BU242" s="42" t="n"/>
      <c r="BV242" s="62" t="n"/>
      <c r="BW242" s="62" t="n"/>
      <c r="BX242" s="62" t="n"/>
      <c r="BY242" s="62" t="n"/>
      <c r="BZ242" s="42" t="n"/>
      <c r="CA242" s="62" t="n"/>
      <c r="CB242" s="62" t="n"/>
      <c r="CC242" s="62" t="n"/>
      <c r="CD242" s="62" t="n"/>
      <c r="CE242" s="42" t="n"/>
      <c r="CF242" s="62" t="n"/>
      <c r="CG242" s="62" t="n"/>
      <c r="CH242" s="62" t="n"/>
      <c r="CI242" s="62" t="n"/>
      <c r="CJ242" s="42" t="n"/>
      <c r="CK242" s="62" t="n"/>
      <c r="CL242" s="62" t="n"/>
      <c r="CM242" s="62" t="n"/>
      <c r="CN242" s="62" t="n"/>
      <c r="CO242" s="42" t="n"/>
      <c r="CP242" s="62" t="n"/>
      <c r="CQ242" s="62" t="n"/>
      <c r="CR242" s="62" t="n"/>
      <c r="CS242" s="62" t="n"/>
      <c r="CT242" s="42" t="n"/>
      <c r="CU242" s="62" t="n"/>
      <c r="CV242" s="62" t="n"/>
      <c r="CW242" s="62" t="n"/>
      <c r="CX242" s="62" t="n"/>
      <c r="CY242" s="42" t="n"/>
    </row>
    <row r="243" hidden="1" outlineLevel="1" customFormat="1" s="66">
      <c r="A243" s="37" t="n"/>
      <c r="B243" s="37" t="n"/>
      <c r="C243" s="59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  <c r="AG243" s="42" t="n"/>
      <c r="AH243" s="42" t="n"/>
      <c r="AI243" s="42" t="n"/>
      <c r="AJ243" s="42" t="n"/>
      <c r="AK243" s="42" t="n"/>
      <c r="AL243" s="42" t="n"/>
      <c r="AM243" s="42" t="n"/>
      <c r="AN243" s="42" t="n"/>
      <c r="AO243" s="42" t="n"/>
      <c r="AP243" s="42" t="n"/>
      <c r="AQ243" s="42" t="n"/>
      <c r="AR243" s="42" t="n"/>
      <c r="AS243" s="42" t="n"/>
      <c r="AT243" s="42" t="n"/>
      <c r="AU243" s="42" t="n"/>
      <c r="AV243" s="42" t="n"/>
      <c r="AW243" s="42" t="n"/>
      <c r="AX243" s="42" t="n"/>
      <c r="AY243" s="42" t="n"/>
      <c r="AZ243" s="42" t="n"/>
      <c r="BA243" s="42" t="n"/>
      <c r="BB243" s="42" t="n"/>
      <c r="BC243" s="42" t="n"/>
      <c r="BD243" s="42" t="n"/>
      <c r="BE243" s="42" t="n"/>
      <c r="BF243" s="42" t="n"/>
      <c r="BG243" s="42" t="n"/>
      <c r="BH243" s="42" t="n"/>
      <c r="BI243" s="42" t="n"/>
      <c r="BJ243" s="42" t="n"/>
      <c r="BK243" s="42" t="n"/>
      <c r="BL243" s="42" t="n"/>
      <c r="BM243" s="42" t="n"/>
      <c r="BN243" s="42" t="n"/>
      <c r="BO243" s="42" t="n"/>
      <c r="BP243" s="42" t="n"/>
      <c r="BQ243" s="42" t="n"/>
      <c r="BR243" s="42" t="n"/>
      <c r="BS243" s="42" t="n"/>
      <c r="BT243" s="42" t="n"/>
      <c r="BU243" s="42" t="n"/>
      <c r="BV243" s="42" t="n"/>
      <c r="BW243" s="42" t="n"/>
      <c r="BX243" s="42" t="n"/>
      <c r="BY243" s="42" t="n"/>
      <c r="BZ243" s="42" t="n"/>
      <c r="CA243" s="42" t="n"/>
      <c r="CB243" s="42" t="n"/>
      <c r="CC243" s="42" t="n"/>
      <c r="CD243" s="42" t="n"/>
      <c r="CE243" s="42" t="n"/>
      <c r="CF243" s="42" t="n"/>
      <c r="CG243" s="42" t="n"/>
      <c r="CH243" s="42" t="n"/>
      <c r="CI243" s="42" t="n"/>
      <c r="CJ243" s="42" t="n"/>
      <c r="CK243" s="42" t="n"/>
      <c r="CL243" s="42" t="n"/>
      <c r="CM243" s="42" t="n"/>
      <c r="CN243" s="42" t="n"/>
      <c r="CO243" s="42" t="n"/>
      <c r="CP243" s="42" t="n"/>
      <c r="CQ243" s="42" t="n"/>
      <c r="CR243" s="42" t="n"/>
      <c r="CS243" s="42" t="n"/>
      <c r="CT243" s="42" t="n"/>
      <c r="CU243" s="42" t="n"/>
      <c r="CV243" s="42" t="n"/>
      <c r="CW243" s="42" t="n"/>
      <c r="CX243" s="42" t="n"/>
      <c r="CY243" s="42" t="n"/>
    </row>
    <row r="244" collapsed="1">
      <c r="C244" s="14" t="inlineStr">
        <is>
          <t>Convertible Preferred Stock</t>
        </is>
      </c>
      <c r="D244" s="46" t="n"/>
      <c r="E244" s="46" t="n"/>
      <c r="F244" s="46" t="n"/>
      <c r="G244" s="46" t="n"/>
      <c r="H244" s="12" t="n"/>
      <c r="I244" s="46">
        <f>'Inputs (2)'!D42</f>
        <v>0</v>
      </c>
      <c r="J244" s="46">
        <f>'Inputs (2)'!E42</f>
        <v>0</v>
      </c>
      <c r="K244" s="46">
        <f>'Inputs (2)'!F42</f>
        <v>0</v>
      </c>
      <c r="L244" s="46">
        <f>'Inputs (2)'!G42</f>
        <v>0</v>
      </c>
      <c r="M244" s="12">
        <f>'Inputs (2)'!H42</f>
        <v>0</v>
      </c>
      <c r="N244" s="46">
        <f>'Inputs (2)'!I42</f>
        <v>0</v>
      </c>
      <c r="O244" s="46">
        <f>'Inputs (2)'!J42</f>
        <v>0</v>
      </c>
      <c r="P244" s="46">
        <f>'Inputs (2)'!K42</f>
        <v>0</v>
      </c>
      <c r="Q244" s="46">
        <f>'Inputs (2)'!L42</f>
        <v>0</v>
      </c>
      <c r="R244" s="12">
        <f>'Inputs (2)'!M42</f>
        <v>0</v>
      </c>
      <c r="S244" s="46">
        <f>'Inputs (2)'!N42</f>
        <v>0</v>
      </c>
      <c r="T244" s="46">
        <f>'Inputs (2)'!O42</f>
        <v>0</v>
      </c>
      <c r="U244" s="46">
        <f>'Inputs (2)'!P42</f>
        <v>0</v>
      </c>
      <c r="V244" s="46">
        <f>'Inputs (2)'!Q42</f>
        <v>0</v>
      </c>
      <c r="W244" s="12">
        <f>'Inputs (2)'!R42</f>
        <v>0</v>
      </c>
      <c r="X244" s="46">
        <f>'Inputs (2)'!S42</f>
        <v>0</v>
      </c>
      <c r="Y244" s="46">
        <f>'Inputs (2)'!T42</f>
        <v>0</v>
      </c>
      <c r="Z244" s="46">
        <f>'Inputs (2)'!U42</f>
        <v>0</v>
      </c>
      <c r="AA244" s="46">
        <f>'Inputs (2)'!V42</f>
        <v>0</v>
      </c>
      <c r="AB244" s="12">
        <f>'Inputs (2)'!W42</f>
        <v>0</v>
      </c>
      <c r="AC244" s="46">
        <f>'Inputs (2)'!X42</f>
        <v>0</v>
      </c>
      <c r="AD244" s="46">
        <f>'Inputs (2)'!Y42</f>
        <v>0</v>
      </c>
      <c r="AE244" s="46">
        <f>'Inputs (2)'!Z42</f>
        <v>0</v>
      </c>
      <c r="AF244" s="46">
        <f>'Inputs (2)'!AA42</f>
        <v>0</v>
      </c>
      <c r="AG244" s="12">
        <f>'Inputs (2)'!AB42</f>
        <v>0</v>
      </c>
      <c r="AH244" s="12">
        <f>'Inputs (2)'!AC42</f>
        <v>0</v>
      </c>
      <c r="AI244" s="12">
        <f>'Inputs (2)'!AD42</f>
        <v>0</v>
      </c>
      <c r="AJ244" s="12">
        <f>AI244</f>
        <v>0</v>
      </c>
      <c r="AK244" s="12">
        <f>AJ244</f>
        <v>0</v>
      </c>
      <c r="AL244" s="12">
        <f>AK244</f>
        <v>0</v>
      </c>
      <c r="AM244" s="12">
        <f>AL244</f>
        <v>0</v>
      </c>
      <c r="AN244" s="12">
        <f>AM244</f>
        <v>0</v>
      </c>
      <c r="AO244" s="12">
        <f>AN244</f>
        <v>0</v>
      </c>
      <c r="AP244" s="12">
        <f>AO244</f>
        <v>0</v>
      </c>
      <c r="AQ244" s="12">
        <f>AP244</f>
        <v>0</v>
      </c>
      <c r="AR244" s="12">
        <f>AQ244</f>
        <v>0</v>
      </c>
      <c r="AS244" s="12">
        <f>AR244</f>
        <v>0</v>
      </c>
      <c r="AT244" s="12">
        <f>AS244</f>
        <v>0</v>
      </c>
      <c r="AU244" s="12">
        <f>AT244</f>
        <v>0</v>
      </c>
      <c r="AV244" s="12">
        <f>AU244</f>
        <v>0</v>
      </c>
      <c r="AW244" s="12">
        <f>AV244</f>
        <v>0</v>
      </c>
      <c r="AX244" s="12">
        <f>AW244</f>
        <v>0</v>
      </c>
      <c r="AY244" s="12">
        <f>AX244</f>
        <v>0</v>
      </c>
      <c r="AZ244" s="12">
        <f>AY244</f>
        <v>0</v>
      </c>
      <c r="BA244" s="12">
        <f>AZ244</f>
        <v>0</v>
      </c>
      <c r="BB244" s="12">
        <f>BA244</f>
        <v>0</v>
      </c>
      <c r="BC244" s="12">
        <f>BB244</f>
        <v>0</v>
      </c>
      <c r="BD244" s="12">
        <f>BC244</f>
        <v>0</v>
      </c>
      <c r="BE244" s="12">
        <f>BD244</f>
        <v>0</v>
      </c>
      <c r="BF244" s="12">
        <f>BE244</f>
        <v>0</v>
      </c>
      <c r="BG244" s="12" t="n"/>
      <c r="BH244" s="12" t="n"/>
      <c r="BI244" s="12" t="n"/>
      <c r="BJ244" s="12" t="n"/>
      <c r="BK244" s="12" t="n"/>
      <c r="BL244" s="12" t="n"/>
      <c r="BM244" s="12" t="n"/>
      <c r="BN244" s="12" t="n"/>
      <c r="BO244" s="12" t="n"/>
      <c r="BP244" s="12" t="n"/>
      <c r="BQ244" s="12" t="n"/>
      <c r="BR244" s="12" t="n"/>
      <c r="BS244" s="12" t="n"/>
      <c r="BT244" s="12" t="n"/>
      <c r="BU244" s="12" t="n"/>
      <c r="BV244" s="12" t="n"/>
      <c r="BW244" s="12" t="n"/>
      <c r="BX244" s="12" t="n"/>
      <c r="BY244" s="12" t="n"/>
      <c r="BZ244" s="12" t="n"/>
      <c r="CA244" s="12" t="n"/>
      <c r="CB244" s="12" t="n"/>
      <c r="CC244" s="12" t="n"/>
      <c r="CD244" s="12" t="n"/>
      <c r="CE244" s="12" t="n"/>
      <c r="CF244" s="12" t="n"/>
      <c r="CG244" s="12" t="n"/>
      <c r="CH244" s="12" t="n"/>
      <c r="CI244" s="12" t="n"/>
      <c r="CJ244" s="12" t="n"/>
      <c r="CK244" s="12" t="n"/>
      <c r="CL244" s="12" t="n"/>
      <c r="CM244" s="12" t="n"/>
      <c r="CN244" s="12" t="n"/>
      <c r="CO244" s="12" t="n"/>
      <c r="CP244" s="12" t="n"/>
      <c r="CQ244" s="12" t="n"/>
      <c r="CR244" s="12" t="n"/>
      <c r="CS244" s="12" t="n"/>
      <c r="CT244" s="12" t="n"/>
      <c r="CU244" s="12" t="n"/>
      <c r="CV244" s="12" t="n"/>
      <c r="CW244" s="12" t="n"/>
      <c r="CX244" s="12" t="n"/>
      <c r="CY244" s="12" t="n"/>
    </row>
    <row r="245">
      <c r="C245" s="13" t="inlineStr">
        <is>
          <t>Common Stock and APIC</t>
        </is>
      </c>
      <c r="D245" s="46" t="n"/>
      <c r="E245" s="46" t="n"/>
      <c r="F245" s="46" t="n"/>
      <c r="G245" s="46" t="n"/>
      <c r="H245" s="12" t="n"/>
      <c r="I245" s="46">
        <f>'Inputs (2)'!D43</f>
        <v>343</v>
      </c>
      <c r="J245" s="46">
        <f>'Inputs (2)'!E43</f>
        <v>398</v>
      </c>
      <c r="K245" s="46">
        <f>'Inputs (2)'!F43</f>
        <v>372</v>
      </c>
      <c r="L245" s="46">
        <f>'Inputs (2)'!G43</f>
        <v>365</v>
      </c>
      <c r="M245" s="12">
        <f>'Inputs (2)'!H43</f>
        <v>365</v>
      </c>
      <c r="N245" s="46">
        <f>'Inputs (2)'!I43</f>
        <v>265</v>
      </c>
      <c r="O245" s="46">
        <f>'Inputs (2)'!J43</f>
        <v>264</v>
      </c>
      <c r="P245" s="46">
        <f>'Inputs (2)'!K43</f>
        <v>261</v>
      </c>
      <c r="Q245" s="46">
        <f>'Inputs (2)'!L43</f>
        <v>346</v>
      </c>
      <c r="R245" s="12">
        <f>'Inputs (2)'!M43</f>
        <v>346</v>
      </c>
      <c r="S245" s="46">
        <f>'Inputs (2)'!N43</f>
        <v>254</v>
      </c>
      <c r="T245" s="46">
        <f>'Inputs (2)'!O43</f>
        <v>251</v>
      </c>
      <c r="U245" s="46">
        <f>'Inputs (2)'!P43</f>
        <v>354</v>
      </c>
      <c r="V245" s="46">
        <f>'Inputs (2)'!Q43</f>
        <v>240</v>
      </c>
      <c r="W245" s="12">
        <f>'Inputs (2)'!R43</f>
        <v>240</v>
      </c>
      <c r="X245" s="46">
        <f>'Inputs (2)'!S43</f>
        <v>239</v>
      </c>
      <c r="Y245" s="46">
        <f>'Inputs (2)'!T43</f>
        <v>237</v>
      </c>
      <c r="Z245" s="46">
        <f>'Inputs (2)'!U43</f>
        <v>236</v>
      </c>
      <c r="AA245" s="46">
        <f>'Inputs (2)'!V43</f>
        <v>234</v>
      </c>
      <c r="AB245" s="12">
        <f>'Inputs (2)'!W43</f>
        <v>234</v>
      </c>
      <c r="AC245" s="46">
        <f>'Inputs (2)'!X43</f>
        <v>233</v>
      </c>
      <c r="AD245" s="46">
        <f>'Inputs (2)'!Y43</f>
        <v>232</v>
      </c>
      <c r="AE245" s="46">
        <f>'Inputs (2)'!Z43</f>
        <v>230</v>
      </c>
      <c r="AF245" s="46">
        <f>'Inputs (2)'!AA43</f>
        <v>229</v>
      </c>
      <c r="AG245" s="12">
        <f>'Inputs (2)'!AB43</f>
        <v>229</v>
      </c>
      <c r="AH245" s="12">
        <f>'Inputs (2)'!AC43</f>
        <v>262</v>
      </c>
      <c r="AI245" s="12">
        <f>'Inputs (2)'!AD43</f>
        <v>477</v>
      </c>
      <c r="AJ245" s="12">
        <f>AI245+AJ249</f>
        <v>477</v>
      </c>
      <c r="AK245" s="12">
        <f>AJ245+AK249</f>
        <v>477</v>
      </c>
      <c r="AL245" s="12">
        <f>AK245</f>
        <v>477</v>
      </c>
      <c r="AM245" s="12">
        <f>AL245+AM249</f>
        <v>477</v>
      </c>
      <c r="AN245" s="12">
        <f>AM245+AN249</f>
        <v>477</v>
      </c>
      <c r="AO245" s="12">
        <f>AN245+AO249</f>
        <v>477</v>
      </c>
      <c r="AP245" s="12">
        <f>AO245+AP249</f>
        <v>477</v>
      </c>
      <c r="AQ245" s="12">
        <f>AP245</f>
        <v>477</v>
      </c>
      <c r="AR245" s="12">
        <f>AQ245+AR249</f>
        <v>477</v>
      </c>
      <c r="AS245" s="12">
        <f>AR245+AS249</f>
        <v>477</v>
      </c>
      <c r="AT245" s="12">
        <f>AS245+AT249</f>
        <v>477</v>
      </c>
      <c r="AU245" s="12">
        <f>AT245+AU249</f>
        <v>477</v>
      </c>
      <c r="AV245" s="12">
        <f>AU245</f>
        <v>477</v>
      </c>
      <c r="AW245" s="12">
        <f>AV245+AW249</f>
        <v>477</v>
      </c>
      <c r="AX245" s="12">
        <f>AW245+AX249</f>
        <v>477</v>
      </c>
      <c r="AY245" s="12">
        <f>AX245+AY249</f>
        <v>477</v>
      </c>
      <c r="AZ245" s="12">
        <f>AY245+AZ249</f>
        <v>477</v>
      </c>
      <c r="BA245" s="12">
        <f>AZ245</f>
        <v>477</v>
      </c>
      <c r="BB245" s="12">
        <f>BA245+BB249</f>
        <v>477</v>
      </c>
      <c r="BC245" s="12">
        <f>BB245+BC249</f>
        <v>477</v>
      </c>
      <c r="BD245" s="12">
        <f>BC245+BD249</f>
        <v>477</v>
      </c>
      <c r="BE245" s="12">
        <f>BD245+BE249</f>
        <v>477</v>
      </c>
      <c r="BF245" s="12">
        <f>BE245</f>
        <v>477</v>
      </c>
      <c r="BG245" s="12" t="n"/>
      <c r="BH245" s="12" t="n"/>
      <c r="BI245" s="12" t="n"/>
      <c r="BJ245" s="12" t="n"/>
      <c r="BK245" s="12" t="n"/>
      <c r="BL245" s="12" t="n"/>
      <c r="BM245" s="12" t="n"/>
      <c r="BN245" s="12" t="n"/>
      <c r="BO245" s="12" t="n"/>
      <c r="BP245" s="12" t="n"/>
      <c r="BQ245" s="12" t="n"/>
      <c r="BR245" s="12" t="n"/>
      <c r="BS245" s="12" t="n"/>
      <c r="BT245" s="12" t="n"/>
      <c r="BU245" s="12" t="n"/>
      <c r="BV245" s="12" t="n"/>
      <c r="BW245" s="12" t="n"/>
      <c r="BX245" s="12" t="n"/>
      <c r="BY245" s="12" t="n"/>
      <c r="BZ245" s="12" t="n"/>
      <c r="CA245" s="12" t="n"/>
      <c r="CB245" s="12" t="n"/>
      <c r="CC245" s="12" t="n"/>
      <c r="CD245" s="12" t="n"/>
      <c r="CE245" s="12" t="n"/>
      <c r="CF245" s="12" t="n"/>
      <c r="CG245" s="12" t="n"/>
      <c r="CH245" s="12" t="n"/>
      <c r="CI245" s="12" t="n"/>
      <c r="CJ245" s="12" t="n"/>
      <c r="CK245" s="12" t="n"/>
      <c r="CL245" s="12" t="n"/>
      <c r="CM245" s="12" t="n"/>
      <c r="CN245" s="12" t="n"/>
      <c r="CO245" s="12" t="n"/>
      <c r="CP245" s="12" t="n"/>
      <c r="CQ245" s="12" t="n"/>
      <c r="CR245" s="12" t="n"/>
      <c r="CS245" s="12" t="n"/>
      <c r="CT245" s="12" t="n"/>
      <c r="CU245" s="12" t="n"/>
      <c r="CV245" s="12" t="n"/>
      <c r="CW245" s="12" t="n"/>
      <c r="CX245" s="12" t="n"/>
      <c r="CY245" s="12" t="n"/>
    </row>
    <row r="246" hidden="1" outlineLevel="1" customFormat="1" s="66">
      <c r="A246" s="37" t="n"/>
      <c r="B246" s="37" t="n"/>
      <c r="C246" s="67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  <c r="AA246" s="42" t="n"/>
      <c r="AB246" s="42" t="n"/>
      <c r="AC246" s="42" t="n"/>
      <c r="AD246" s="42" t="n"/>
      <c r="AE246" s="42" t="n"/>
      <c r="AF246" s="42" t="n"/>
      <c r="AG246" s="42" t="n"/>
      <c r="AH246" s="42" t="n"/>
      <c r="AI246" s="42" t="n"/>
      <c r="AJ246" s="42" t="n"/>
      <c r="AK246" s="42" t="n"/>
      <c r="AL246" s="42" t="n"/>
      <c r="AM246" s="42" t="n"/>
      <c r="AN246" s="42" t="n"/>
      <c r="AO246" s="42" t="n"/>
      <c r="AP246" s="42" t="n"/>
      <c r="AQ246" s="42" t="n"/>
      <c r="AR246" s="42" t="n"/>
      <c r="AS246" s="42" t="n"/>
      <c r="AT246" s="42" t="n"/>
      <c r="AU246" s="42" t="n"/>
      <c r="AV246" s="42" t="n"/>
      <c r="AW246" s="42" t="n"/>
      <c r="AX246" s="42" t="n"/>
      <c r="AY246" s="42" t="n"/>
      <c r="AZ246" s="42" t="n"/>
      <c r="BA246" s="42" t="n"/>
      <c r="BB246" s="42" t="n"/>
      <c r="BC246" s="42" t="n"/>
      <c r="BD246" s="42" t="n"/>
      <c r="BE246" s="42" t="n"/>
      <c r="BF246" s="42" t="n"/>
      <c r="BG246" s="42" t="n"/>
      <c r="BH246" s="42" t="n"/>
      <c r="BI246" s="42" t="n"/>
      <c r="BJ246" s="42" t="n"/>
      <c r="BK246" s="42" t="n"/>
      <c r="BL246" s="42" t="n"/>
      <c r="BM246" s="42" t="n"/>
      <c r="BN246" s="42" t="n"/>
      <c r="BO246" s="42" t="n"/>
      <c r="BP246" s="42" t="n"/>
      <c r="BQ246" s="42" t="n"/>
      <c r="BR246" s="42" t="n"/>
      <c r="BS246" s="42" t="n"/>
      <c r="BT246" s="42" t="n"/>
      <c r="BU246" s="42" t="n"/>
      <c r="BV246" s="42" t="n"/>
      <c r="BW246" s="42" t="n"/>
      <c r="BX246" s="42" t="n"/>
      <c r="BY246" s="42" t="n"/>
      <c r="BZ246" s="42" t="n"/>
      <c r="CA246" s="42" t="n"/>
      <c r="CB246" s="42" t="n"/>
      <c r="CC246" s="42" t="n"/>
      <c r="CD246" s="42" t="n"/>
      <c r="CE246" s="42" t="n"/>
      <c r="CF246" s="42" t="n"/>
      <c r="CG246" s="42" t="n"/>
      <c r="CH246" s="42" t="n"/>
      <c r="CI246" s="42" t="n"/>
      <c r="CJ246" s="42" t="n"/>
      <c r="CK246" s="42" t="n"/>
      <c r="CL246" s="42" t="n"/>
      <c r="CM246" s="42" t="n"/>
      <c r="CN246" s="42" t="n"/>
      <c r="CO246" s="42" t="n"/>
      <c r="CP246" s="42" t="n"/>
      <c r="CQ246" s="42" t="n"/>
      <c r="CR246" s="42" t="n"/>
      <c r="CS246" s="42" t="n"/>
      <c r="CT246" s="42" t="n"/>
      <c r="CU246" s="42" t="n"/>
      <c r="CV246" s="42" t="n"/>
      <c r="CW246" s="42" t="n"/>
      <c r="CX246" s="42" t="n"/>
      <c r="CY246" s="42" t="n"/>
    </row>
    <row r="247" hidden="1" outlineLevel="1" customFormat="1" s="66">
      <c r="A247" s="37" t="n"/>
      <c r="B247" s="37" t="n"/>
      <c r="C247" s="67" t="inlineStr">
        <is>
          <t>Diluted Shares outstanding</t>
        </is>
      </c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  <c r="AG247" s="42" t="n"/>
      <c r="AH247" s="42" t="n"/>
      <c r="AI247" s="42" t="n"/>
      <c r="AJ247" s="42" t="n"/>
      <c r="AK247" s="42" t="n"/>
      <c r="AL247" s="42" t="n"/>
      <c r="AM247" s="42" t="n"/>
      <c r="AN247" s="42" t="n"/>
      <c r="AO247" s="42" t="n"/>
      <c r="AP247" s="42" t="n"/>
      <c r="AQ247" s="42" t="n"/>
      <c r="AR247" s="42" t="n"/>
      <c r="AS247" s="42" t="n"/>
      <c r="AT247" s="42" t="n"/>
      <c r="AU247" s="42" t="n"/>
      <c r="AV247" s="42" t="n"/>
      <c r="AW247" s="42" t="n"/>
      <c r="AX247" s="42" t="n"/>
      <c r="AY247" s="42" t="n"/>
      <c r="AZ247" s="42" t="n"/>
      <c r="BA247" s="42" t="n"/>
      <c r="BB247" s="42" t="n"/>
      <c r="BC247" s="42" t="n"/>
      <c r="BD247" s="42" t="n"/>
      <c r="BE247" s="42" t="n"/>
      <c r="BF247" s="42" t="n"/>
      <c r="BG247" s="42" t="n"/>
      <c r="BH247" s="42" t="n"/>
      <c r="BI247" s="42" t="n"/>
      <c r="BJ247" s="42" t="n"/>
      <c r="BK247" s="42" t="n"/>
      <c r="BL247" s="42" t="n"/>
      <c r="BM247" s="42" t="n"/>
      <c r="BN247" s="42" t="n"/>
      <c r="BO247" s="42" t="n"/>
      <c r="BP247" s="42" t="n"/>
      <c r="BQ247" s="42" t="n"/>
      <c r="BR247" s="42" t="n"/>
      <c r="BS247" s="42" t="n"/>
      <c r="BT247" s="42" t="n"/>
      <c r="BU247" s="42" t="n"/>
      <c r="BV247" s="42" t="n"/>
      <c r="BW247" s="42" t="n"/>
      <c r="BX247" s="42" t="n"/>
      <c r="BY247" s="42" t="n"/>
      <c r="BZ247" s="42" t="n"/>
      <c r="CA247" s="42" t="n"/>
      <c r="CB247" s="42" t="n"/>
      <c r="CC247" s="42" t="n"/>
      <c r="CD247" s="42" t="n"/>
      <c r="CE247" s="42" t="n"/>
      <c r="CF247" s="42" t="n"/>
      <c r="CG247" s="42" t="n"/>
      <c r="CH247" s="42" t="n"/>
      <c r="CI247" s="42" t="n"/>
      <c r="CJ247" s="42" t="n"/>
      <c r="CK247" s="42" t="n"/>
      <c r="CL247" s="42" t="n"/>
      <c r="CM247" s="42" t="n"/>
      <c r="CN247" s="42" t="n"/>
      <c r="CO247" s="42" t="n"/>
      <c r="CP247" s="42" t="n"/>
      <c r="CQ247" s="42" t="n"/>
      <c r="CR247" s="42" t="n"/>
      <c r="CS247" s="42" t="n"/>
      <c r="CT247" s="42" t="n"/>
      <c r="CU247" s="42" t="n"/>
      <c r="CV247" s="42" t="n"/>
      <c r="CW247" s="42" t="n"/>
      <c r="CX247" s="42" t="n"/>
      <c r="CY247" s="42" t="n"/>
    </row>
    <row r="248" hidden="1" outlineLevel="1" customFormat="1" s="66">
      <c r="A248" s="37" t="n"/>
      <c r="B248" s="37" t="n"/>
      <c r="C248" s="67" t="inlineStr">
        <is>
          <t>Treasury share $ repurchases</t>
        </is>
      </c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  <c r="AG248" s="42" t="n"/>
      <c r="AH248" s="11" t="n"/>
      <c r="AI248" s="11" t="n"/>
      <c r="AJ248" s="11" t="n"/>
      <c r="AK248" s="11" t="n"/>
      <c r="AL248" s="42" t="n"/>
      <c r="AM248" s="11" t="n"/>
      <c r="AN248" s="11" t="n"/>
      <c r="AO248" s="11" t="n"/>
      <c r="AP248" s="11" t="n"/>
      <c r="AQ248" s="42" t="n"/>
      <c r="AR248" s="11" t="n"/>
      <c r="AS248" s="11" t="n"/>
      <c r="AT248" s="11" t="n"/>
      <c r="AU248" s="11" t="n"/>
      <c r="AV248" s="42" t="n"/>
      <c r="AW248" s="11" t="n"/>
      <c r="AX248" s="11" t="n"/>
      <c r="AY248" s="11" t="n"/>
      <c r="AZ248" s="11" t="n"/>
      <c r="BA248" s="42" t="n"/>
      <c r="BB248" s="11" t="n"/>
      <c r="BC248" s="11" t="n"/>
      <c r="BD248" s="11" t="n"/>
      <c r="BE248" s="11" t="n"/>
      <c r="BF248" s="42" t="n"/>
      <c r="BG248" s="11" t="n"/>
      <c r="BH248" s="11" t="n"/>
      <c r="BI248" s="11" t="n"/>
      <c r="BJ248" s="11" t="n"/>
      <c r="BK248" s="42" t="n"/>
      <c r="BL248" s="11" t="n"/>
      <c r="BM248" s="11" t="n"/>
      <c r="BN248" s="11" t="n"/>
      <c r="BO248" s="11" t="n"/>
      <c r="BP248" s="42" t="n"/>
      <c r="BQ248" s="11" t="n"/>
      <c r="BR248" s="11" t="n"/>
      <c r="BS248" s="11" t="n"/>
      <c r="BT248" s="11" t="n"/>
      <c r="BU248" s="42" t="n"/>
      <c r="BV248" s="11" t="n"/>
      <c r="BW248" s="11" t="n"/>
      <c r="BX248" s="11" t="n"/>
      <c r="BY248" s="11" t="n"/>
      <c r="BZ248" s="42" t="n"/>
      <c r="CA248" s="11" t="n"/>
      <c r="CB248" s="11" t="n"/>
      <c r="CC248" s="11" t="n"/>
      <c r="CD248" s="11" t="n"/>
      <c r="CE248" s="42" t="n"/>
      <c r="CF248" s="11" t="n"/>
      <c r="CG248" s="11" t="n"/>
      <c r="CH248" s="11" t="n"/>
      <c r="CI248" s="11" t="n"/>
      <c r="CJ248" s="42" t="n"/>
      <c r="CK248" s="11" t="n"/>
      <c r="CL248" s="11" t="n"/>
      <c r="CM248" s="11" t="n"/>
      <c r="CN248" s="11" t="n"/>
      <c r="CO248" s="42" t="n"/>
      <c r="CP248" s="11" t="n"/>
      <c r="CQ248" s="11" t="n"/>
      <c r="CR248" s="11" t="n"/>
      <c r="CS248" s="11" t="n"/>
      <c r="CT248" s="42" t="n"/>
      <c r="CU248" s="11" t="n"/>
      <c r="CV248" s="11" t="n"/>
      <c r="CW248" s="11" t="n"/>
      <c r="CX248" s="11" t="n"/>
      <c r="CY248" s="42" t="n"/>
    </row>
    <row r="249" hidden="1" outlineLevel="1" customFormat="1" s="66">
      <c r="A249" s="37" t="n"/>
      <c r="B249" s="37" t="n"/>
      <c r="C249" s="67" t="inlineStr">
        <is>
          <t>Value of shares issued</t>
        </is>
      </c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42" t="n"/>
      <c r="AG249" s="42" t="n"/>
      <c r="AH249" s="11" t="n"/>
      <c r="AI249" s="11" t="n"/>
      <c r="AJ249" s="11" t="n"/>
      <c r="AK249" s="11" t="n"/>
      <c r="AL249" s="42" t="n"/>
      <c r="AM249" s="11" t="n"/>
      <c r="AN249" s="11" t="n"/>
      <c r="AO249" s="11" t="n"/>
      <c r="AP249" s="11" t="n"/>
      <c r="AQ249" s="42" t="n"/>
      <c r="AR249" s="11" t="n"/>
      <c r="AS249" s="11" t="n"/>
      <c r="AT249" s="11" t="n"/>
      <c r="AU249" s="11" t="n"/>
      <c r="AV249" s="42" t="n"/>
      <c r="AW249" s="11" t="n"/>
      <c r="AX249" s="11" t="n"/>
      <c r="AY249" s="11" t="n"/>
      <c r="AZ249" s="11" t="n"/>
      <c r="BA249" s="42" t="n"/>
      <c r="BB249" s="11" t="n"/>
      <c r="BC249" s="11" t="n"/>
      <c r="BD249" s="11" t="n"/>
      <c r="BE249" s="11" t="n"/>
      <c r="BF249" s="42" t="n"/>
      <c r="BG249" s="11" t="n"/>
      <c r="BH249" s="11" t="n"/>
      <c r="BI249" s="11" t="n"/>
      <c r="BJ249" s="11" t="n"/>
      <c r="BK249" s="42" t="n"/>
      <c r="BL249" s="11" t="n"/>
      <c r="BM249" s="11" t="n"/>
      <c r="BN249" s="11" t="n"/>
      <c r="BO249" s="11" t="n"/>
      <c r="BP249" s="42" t="n"/>
      <c r="BQ249" s="11" t="n"/>
      <c r="BR249" s="11" t="n"/>
      <c r="BS249" s="11" t="n"/>
      <c r="BT249" s="11" t="n"/>
      <c r="BU249" s="42" t="n"/>
      <c r="BV249" s="11" t="n"/>
      <c r="BW249" s="11" t="n"/>
      <c r="BX249" s="11" t="n"/>
      <c r="BY249" s="11" t="n"/>
      <c r="BZ249" s="42" t="n"/>
      <c r="CA249" s="11" t="n"/>
      <c r="CB249" s="11" t="n"/>
      <c r="CC249" s="11" t="n"/>
      <c r="CD249" s="11" t="n"/>
      <c r="CE249" s="42" t="n"/>
      <c r="CF249" s="11" t="n"/>
      <c r="CG249" s="11" t="n"/>
      <c r="CH249" s="11" t="n"/>
      <c r="CI249" s="11" t="n"/>
      <c r="CJ249" s="42" t="n"/>
      <c r="CK249" s="11" t="n"/>
      <c r="CL249" s="11" t="n"/>
      <c r="CM249" s="11" t="n"/>
      <c r="CN249" s="11" t="n"/>
      <c r="CO249" s="42" t="n"/>
      <c r="CP249" s="11" t="n"/>
      <c r="CQ249" s="11" t="n"/>
      <c r="CR249" s="11" t="n"/>
      <c r="CS249" s="11" t="n"/>
      <c r="CT249" s="42" t="n"/>
      <c r="CU249" s="11" t="n"/>
      <c r="CV249" s="11" t="n"/>
      <c r="CW249" s="11" t="n"/>
      <c r="CX249" s="11" t="n"/>
      <c r="CY249" s="42" t="n"/>
    </row>
    <row r="250" hidden="1" outlineLevel="1" customFormat="1" s="66">
      <c r="A250" s="37" t="n"/>
      <c r="B250" s="37" t="n"/>
      <c r="C250" s="67" t="inlineStr">
        <is>
          <t>Expected average share price</t>
        </is>
      </c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  <c r="AG250" s="42" t="n"/>
      <c r="AH250" s="68">
        <f>AF250*(1+AH251)</f>
        <v>0</v>
      </c>
      <c r="AI250" s="68">
        <f>AH250*(1+AI251)</f>
        <v>0</v>
      </c>
      <c r="AJ250" s="68">
        <f>AH250*(1+AJ251)</f>
        <v>0</v>
      </c>
      <c r="AK250" s="68">
        <f>AJ250*(1+AK251)</f>
        <v>0</v>
      </c>
      <c r="AL250" s="42" t="n"/>
      <c r="AM250" s="68">
        <f>AK250*(1+AM251)</f>
        <v>0</v>
      </c>
      <c r="AN250" s="68">
        <f>AM250*(1+AN251)</f>
        <v>0</v>
      </c>
      <c r="AO250" s="68">
        <f>AM250*(1+AO251)</f>
        <v>0</v>
      </c>
      <c r="AP250" s="68">
        <f>AO250*(1+AP251)</f>
        <v>0</v>
      </c>
      <c r="AQ250" s="42" t="n"/>
      <c r="AR250" s="68">
        <f>AP250*(1+AR251)</f>
        <v>0</v>
      </c>
      <c r="AS250" s="68">
        <f>AR250*(1+AS251)</f>
        <v>0</v>
      </c>
      <c r="AT250" s="68">
        <f>AR250*(1+AT251)</f>
        <v>0</v>
      </c>
      <c r="AU250" s="68">
        <f>AT250*(1+AU251)</f>
        <v>0</v>
      </c>
      <c r="AV250" s="42" t="n"/>
      <c r="AW250" s="68">
        <f>AU250*(1+AW251)</f>
        <v>0</v>
      </c>
      <c r="AX250" s="68">
        <f>AW250*(1+AX251)</f>
        <v>0</v>
      </c>
      <c r="AY250" s="68">
        <f>AW250*(1+AY251)</f>
        <v>0</v>
      </c>
      <c r="AZ250" s="68">
        <f>AY250*(1+AZ251)</f>
        <v>0</v>
      </c>
      <c r="BA250" s="42" t="n"/>
      <c r="BB250" s="68">
        <f>AZ250*(1+BB251)</f>
        <v>0</v>
      </c>
      <c r="BC250" s="68">
        <f>BB250*(1+BC251)</f>
        <v>0</v>
      </c>
      <c r="BD250" s="68">
        <f>BB250*(1+BD251)</f>
        <v>0</v>
      </c>
      <c r="BE250" s="68">
        <f>BD250*(1+BE251)</f>
        <v>0</v>
      </c>
      <c r="BF250" s="42" t="n"/>
      <c r="BG250" s="68" t="n"/>
      <c r="BH250" s="68" t="n"/>
      <c r="BI250" s="68" t="n"/>
      <c r="BJ250" s="68" t="n"/>
      <c r="BK250" s="42" t="n"/>
      <c r="BL250" s="68" t="n"/>
      <c r="BM250" s="68" t="n"/>
      <c r="BN250" s="68" t="n"/>
      <c r="BO250" s="68" t="n"/>
      <c r="BP250" s="42" t="n"/>
      <c r="BQ250" s="68" t="n"/>
      <c r="BR250" s="68" t="n"/>
      <c r="BS250" s="68" t="n"/>
      <c r="BT250" s="68" t="n"/>
      <c r="BU250" s="42" t="n"/>
      <c r="BV250" s="68" t="n"/>
      <c r="BW250" s="68" t="n"/>
      <c r="BX250" s="68" t="n"/>
      <c r="BY250" s="68" t="n"/>
      <c r="BZ250" s="42" t="n"/>
      <c r="CA250" s="68" t="n"/>
      <c r="CB250" s="68" t="n"/>
      <c r="CC250" s="68" t="n"/>
      <c r="CD250" s="68" t="n"/>
      <c r="CE250" s="42" t="n"/>
      <c r="CF250" s="68" t="n"/>
      <c r="CG250" s="68" t="n"/>
      <c r="CH250" s="68" t="n"/>
      <c r="CI250" s="68" t="n"/>
      <c r="CJ250" s="42" t="n"/>
      <c r="CK250" s="68" t="n"/>
      <c r="CL250" s="68" t="n"/>
      <c r="CM250" s="68" t="n"/>
      <c r="CN250" s="68" t="n"/>
      <c r="CO250" s="42" t="n"/>
      <c r="CP250" s="68" t="n"/>
      <c r="CQ250" s="68" t="n"/>
      <c r="CR250" s="68" t="n"/>
      <c r="CS250" s="68" t="n"/>
      <c r="CT250" s="42" t="n"/>
      <c r="CU250" s="68" t="n"/>
      <c r="CV250" s="68" t="n"/>
      <c r="CW250" s="68" t="n"/>
      <c r="CX250" s="68" t="n"/>
      <c r="CY250" s="42" t="n"/>
    </row>
    <row r="251" hidden="1" outlineLevel="1" customFormat="1" s="66">
      <c r="A251" s="37" t="n"/>
      <c r="B251" s="37" t="n"/>
      <c r="C251" s="67" t="inlineStr">
        <is>
          <t>Consensus EPS growth</t>
        </is>
      </c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58">
        <f>$AL$256</f>
        <v>0</v>
      </c>
      <c r="AI251" s="58">
        <f>$AL$256</f>
        <v>0</v>
      </c>
      <c r="AJ251" s="58">
        <f>$AL$256</f>
        <v>0</v>
      </c>
      <c r="AK251" s="58">
        <f>$AL$256</f>
        <v>0</v>
      </c>
      <c r="AL251" s="42" t="n"/>
      <c r="AM251" s="58">
        <f>$AL$256</f>
        <v>0</v>
      </c>
      <c r="AN251" s="58">
        <f>$AL$256</f>
        <v>0</v>
      </c>
      <c r="AO251" s="58">
        <f>$AL$256</f>
        <v>0</v>
      </c>
      <c r="AP251" s="58">
        <f>$AL$256</f>
        <v>0</v>
      </c>
      <c r="AQ251" s="42" t="n"/>
      <c r="AR251" s="58">
        <f>$AL$256</f>
        <v>0</v>
      </c>
      <c r="AS251" s="58">
        <f>$AL$256</f>
        <v>0</v>
      </c>
      <c r="AT251" s="58">
        <f>$AL$256</f>
        <v>0</v>
      </c>
      <c r="AU251" s="58">
        <f>$AL$256</f>
        <v>0</v>
      </c>
      <c r="AV251" s="42" t="n"/>
      <c r="AW251" s="58">
        <f>$AL$256</f>
        <v>0</v>
      </c>
      <c r="AX251" s="58">
        <f>$AL$256</f>
        <v>0</v>
      </c>
      <c r="AY251" s="58">
        <f>$AL$256</f>
        <v>0</v>
      </c>
      <c r="AZ251" s="58">
        <f>$AL$256</f>
        <v>0</v>
      </c>
      <c r="BA251" s="42" t="n"/>
      <c r="BB251" s="58">
        <f>$AL$256</f>
        <v>0</v>
      </c>
      <c r="BC251" s="58">
        <f>$AL$256</f>
        <v>0</v>
      </c>
      <c r="BD251" s="58">
        <f>$AL$256</f>
        <v>0</v>
      </c>
      <c r="BE251" s="58">
        <f>$AL$256</f>
        <v>0</v>
      </c>
      <c r="BF251" s="42" t="n"/>
      <c r="BG251" s="58" t="n"/>
      <c r="BH251" s="58" t="n"/>
      <c r="BI251" s="58" t="n"/>
      <c r="BJ251" s="58" t="n"/>
      <c r="BK251" s="42" t="n"/>
      <c r="BL251" s="58" t="n"/>
      <c r="BM251" s="58" t="n"/>
      <c r="BN251" s="58" t="n"/>
      <c r="BO251" s="58" t="n"/>
      <c r="BP251" s="42" t="n"/>
      <c r="BQ251" s="58" t="n"/>
      <c r="BR251" s="58" t="n"/>
      <c r="BS251" s="58" t="n"/>
      <c r="BT251" s="58" t="n"/>
      <c r="BU251" s="42" t="n"/>
      <c r="BV251" s="58" t="n"/>
      <c r="BW251" s="58" t="n"/>
      <c r="BX251" s="58" t="n"/>
      <c r="BY251" s="58" t="n"/>
      <c r="BZ251" s="42" t="n"/>
      <c r="CA251" s="58" t="n"/>
      <c r="CB251" s="58" t="n"/>
      <c r="CC251" s="58" t="n"/>
      <c r="CD251" s="58" t="n"/>
      <c r="CE251" s="42" t="n"/>
      <c r="CF251" s="58" t="n"/>
      <c r="CG251" s="58" t="n"/>
      <c r="CH251" s="58" t="n"/>
      <c r="CI251" s="58" t="n"/>
      <c r="CJ251" s="42" t="n"/>
      <c r="CK251" s="58" t="n"/>
      <c r="CL251" s="58" t="n"/>
      <c r="CM251" s="58" t="n"/>
      <c r="CN251" s="58" t="n"/>
      <c r="CO251" s="42" t="n"/>
      <c r="CP251" s="58" t="n"/>
      <c r="CQ251" s="58" t="n"/>
      <c r="CR251" s="58" t="n"/>
      <c r="CS251" s="58" t="n"/>
      <c r="CT251" s="42" t="n"/>
      <c r="CU251" s="58" t="n"/>
      <c r="CV251" s="58" t="n"/>
      <c r="CW251" s="58" t="n"/>
      <c r="CX251" s="58" t="n"/>
      <c r="CY251" s="42" t="n"/>
    </row>
    <row r="252" hidden="1" outlineLevel="1" customFormat="1" s="66">
      <c r="A252" s="37" t="n"/>
      <c r="B252" s="37" t="n"/>
      <c r="C252" s="67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  <c r="AG252" s="42" t="n"/>
      <c r="AH252" s="12" t="n"/>
      <c r="AI252" s="12" t="n"/>
      <c r="AJ252" s="12" t="n"/>
      <c r="AK252" s="12" t="n"/>
      <c r="AL252" s="42" t="n"/>
      <c r="AM252" s="12" t="n"/>
      <c r="AN252" s="12" t="n"/>
      <c r="AO252" s="12" t="n"/>
      <c r="AP252" s="12" t="n"/>
      <c r="AQ252" s="42" t="n"/>
      <c r="AR252" s="12" t="n"/>
      <c r="AS252" s="12" t="n"/>
      <c r="AT252" s="12" t="n"/>
      <c r="AU252" s="12" t="n"/>
      <c r="AV252" s="42" t="n"/>
      <c r="AW252" s="12" t="n"/>
      <c r="AX252" s="12" t="n"/>
      <c r="AY252" s="12" t="n"/>
      <c r="AZ252" s="12" t="n"/>
      <c r="BA252" s="42" t="n"/>
      <c r="BB252" s="12" t="n"/>
      <c r="BC252" s="12" t="n"/>
      <c r="BD252" s="12" t="n"/>
      <c r="BE252" s="12" t="n"/>
      <c r="BF252" s="42" t="n"/>
      <c r="BG252" s="12" t="n"/>
      <c r="BH252" s="12" t="n"/>
      <c r="BI252" s="12" t="n"/>
      <c r="BJ252" s="12" t="n"/>
      <c r="BK252" s="42" t="n"/>
      <c r="BL252" s="12" t="n"/>
      <c r="BM252" s="12" t="n"/>
      <c r="BN252" s="12" t="n"/>
      <c r="BO252" s="12" t="n"/>
      <c r="BP252" s="42" t="n"/>
      <c r="BQ252" s="12" t="n"/>
      <c r="BR252" s="12" t="n"/>
      <c r="BS252" s="12" t="n"/>
      <c r="BT252" s="12" t="n"/>
      <c r="BU252" s="42" t="n"/>
      <c r="BV252" s="12" t="n"/>
      <c r="BW252" s="12" t="n"/>
      <c r="BX252" s="12" t="n"/>
      <c r="BY252" s="12" t="n"/>
      <c r="BZ252" s="42" t="n"/>
      <c r="CA252" s="12" t="n"/>
      <c r="CB252" s="12" t="n"/>
      <c r="CC252" s="12" t="n"/>
      <c r="CD252" s="12" t="n"/>
      <c r="CE252" s="42" t="n"/>
      <c r="CF252" s="12" t="n"/>
      <c r="CG252" s="12" t="n"/>
      <c r="CH252" s="12" t="n"/>
      <c r="CI252" s="12" t="n"/>
      <c r="CJ252" s="42" t="n"/>
      <c r="CK252" s="12" t="n"/>
      <c r="CL252" s="12" t="n"/>
      <c r="CM252" s="12" t="n"/>
      <c r="CN252" s="12" t="n"/>
      <c r="CO252" s="42" t="n"/>
      <c r="CP252" s="12" t="n"/>
      <c r="CQ252" s="12" t="n"/>
      <c r="CR252" s="12" t="n"/>
      <c r="CS252" s="12" t="n"/>
      <c r="CT252" s="42" t="n"/>
      <c r="CU252" s="12" t="n"/>
      <c r="CV252" s="12" t="n"/>
      <c r="CW252" s="12" t="n"/>
      <c r="CX252" s="12" t="n"/>
      <c r="CY252" s="42" t="n"/>
    </row>
    <row r="253" hidden="1" outlineLevel="1" customFormat="1" s="66">
      <c r="A253" s="37" t="n"/>
      <c r="B253" s="37" t="n"/>
      <c r="C253" s="67" t="inlineStr">
        <is>
          <t>Shares repurchased</t>
        </is>
      </c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  <c r="AG253" s="42" t="n"/>
      <c r="AH253" s="69" t="str">
        <f>IFERROR(-AH248/AH250,"")</f>
        <v/>
      </c>
      <c r="AI253" s="69" t="str">
        <f>IFERROR(-AI248/AI250,"")</f>
        <v/>
      </c>
      <c r="AJ253" s="69" t="str">
        <f>IFERROR(-AJ248/AJ250,"")</f>
        <v/>
      </c>
      <c r="AK253" s="69" t="str">
        <f>IFERROR(-AK248/AK250,"")</f>
        <v/>
      </c>
      <c r="AL253" s="42" t="n"/>
      <c r="AM253" s="69" t="str">
        <f>IFERROR(-AM248/AM250,"")</f>
        <v/>
      </c>
      <c r="AN253" s="69" t="str">
        <f>IFERROR(-AN248/AN250,"")</f>
        <v/>
      </c>
      <c r="AO253" s="69" t="str">
        <f>IFERROR(-AO248/AO250,"")</f>
        <v/>
      </c>
      <c r="AP253" s="69" t="str">
        <f>IFERROR(-AP248/AP250,"")</f>
        <v/>
      </c>
      <c r="AQ253" s="42" t="n"/>
      <c r="AR253" s="69" t="str">
        <f>IFERROR(-AR248/AR250,"")</f>
        <v/>
      </c>
      <c r="AS253" s="69" t="str">
        <f>IFERROR(-AS248/AS250,"")</f>
        <v/>
      </c>
      <c r="AT253" s="69" t="str">
        <f>IFERROR(-AT248/AT250,"")</f>
        <v/>
      </c>
      <c r="AU253" s="69" t="str">
        <f>IFERROR(-AU248/AU250,"")</f>
        <v/>
      </c>
      <c r="AV253" s="42" t="n"/>
      <c r="AW253" s="69" t="str">
        <f>IFERROR(-AW248/AW250,"")</f>
        <v/>
      </c>
      <c r="AX253" s="69" t="str">
        <f>IFERROR(-AX248/AX250,"")</f>
        <v/>
      </c>
      <c r="AY253" s="69" t="str">
        <f>IFERROR(-AY248/AY250,"")</f>
        <v/>
      </c>
      <c r="AZ253" s="69" t="str">
        <f>IFERROR(-AZ248/AZ250,"")</f>
        <v/>
      </c>
      <c r="BA253" s="42" t="n"/>
      <c r="BB253" s="69" t="str">
        <f>IFERROR(-BB248/BB250,"")</f>
        <v/>
      </c>
      <c r="BC253" s="69" t="str">
        <f>IFERROR(-BC248/BC250,"")</f>
        <v/>
      </c>
      <c r="BD253" s="69" t="str">
        <f>IFERROR(-BD248/BD250,"")</f>
        <v/>
      </c>
      <c r="BE253" s="69" t="str">
        <f>IFERROR(-BE248/BE250,"")</f>
        <v/>
      </c>
      <c r="BF253" s="42" t="n"/>
      <c r="BG253" s="69" t="n"/>
      <c r="BH253" s="69" t="n"/>
      <c r="BI253" s="69" t="n"/>
      <c r="BJ253" s="69" t="n"/>
      <c r="BK253" s="42" t="n"/>
      <c r="BL253" s="69" t="n"/>
      <c r="BM253" s="69" t="n"/>
      <c r="BN253" s="69" t="n"/>
      <c r="BO253" s="69" t="n"/>
      <c r="BP253" s="42" t="n"/>
      <c r="BQ253" s="69" t="n"/>
      <c r="BR253" s="69" t="n"/>
      <c r="BS253" s="69" t="n"/>
      <c r="BT253" s="69" t="n"/>
      <c r="BU253" s="42" t="n"/>
      <c r="BV253" s="69" t="n"/>
      <c r="BW253" s="69" t="n"/>
      <c r="BX253" s="69" t="n"/>
      <c r="BY253" s="69" t="n"/>
      <c r="BZ253" s="42" t="n"/>
      <c r="CA253" s="69" t="n"/>
      <c r="CB253" s="69" t="n"/>
      <c r="CC253" s="69" t="n"/>
      <c r="CD253" s="69" t="n"/>
      <c r="CE253" s="42" t="n"/>
      <c r="CF253" s="69" t="n"/>
      <c r="CG253" s="69" t="n"/>
      <c r="CH253" s="69" t="n"/>
      <c r="CI253" s="69" t="n"/>
      <c r="CJ253" s="42" t="n"/>
      <c r="CK253" s="69" t="n"/>
      <c r="CL253" s="69" t="n"/>
      <c r="CM253" s="69" t="n"/>
      <c r="CN253" s="69" t="n"/>
      <c r="CO253" s="42" t="n"/>
      <c r="CP253" s="69" t="n"/>
      <c r="CQ253" s="69" t="n"/>
      <c r="CR253" s="69" t="n"/>
      <c r="CS253" s="69" t="n"/>
      <c r="CT253" s="42" t="n"/>
      <c r="CU253" s="69" t="n"/>
      <c r="CV253" s="69" t="n"/>
      <c r="CW253" s="69" t="n"/>
      <c r="CX253" s="69" t="n"/>
      <c r="CY253" s="42" t="n"/>
    </row>
    <row r="254" hidden="1" outlineLevel="1" customFormat="1" s="66">
      <c r="A254" s="37" t="n"/>
      <c r="B254" s="37" t="n"/>
      <c r="C254" s="67" t="inlineStr">
        <is>
          <t>Shares issued</t>
        </is>
      </c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9" t="n"/>
      <c r="AG254" s="42" t="n"/>
      <c r="AH254" s="69" t="str">
        <f>IFERROR(AH249/AH250,"")</f>
        <v/>
      </c>
      <c r="AI254" s="69" t="str">
        <f>IFERROR(AI249/AI250,"")</f>
        <v/>
      </c>
      <c r="AJ254" s="69" t="str">
        <f>IFERROR(AJ249/AJ250,"")</f>
        <v/>
      </c>
      <c r="AK254" s="69" t="str">
        <f>IFERROR(AK249/AK250,"")</f>
        <v/>
      </c>
      <c r="AL254" s="42" t="n"/>
      <c r="AM254" s="69" t="str">
        <f>IFERROR(AM249/AM250,"")</f>
        <v/>
      </c>
      <c r="AN254" s="69" t="str">
        <f>IFERROR(AN249/AN250,"")</f>
        <v/>
      </c>
      <c r="AO254" s="69" t="str">
        <f>IFERROR(AO249/AO250,"")</f>
        <v/>
      </c>
      <c r="AP254" s="69" t="str">
        <f>IFERROR(AP249/AP250,"")</f>
        <v/>
      </c>
      <c r="AQ254" s="42" t="n"/>
      <c r="AR254" s="69" t="str">
        <f>IFERROR(AR249/AR250,"")</f>
        <v/>
      </c>
      <c r="AS254" s="69" t="str">
        <f>IFERROR(AS249/AS250,"")</f>
        <v/>
      </c>
      <c r="AT254" s="69" t="str">
        <f>IFERROR(AT249/AT250,"")</f>
        <v/>
      </c>
      <c r="AU254" s="69" t="str">
        <f>IFERROR(AU249/AU250,"")</f>
        <v/>
      </c>
      <c r="AV254" s="42" t="n"/>
      <c r="AW254" s="69" t="str">
        <f>IFERROR(AW249/AW250,"")</f>
        <v/>
      </c>
      <c r="AX254" s="69" t="str">
        <f>IFERROR(AX249/AX250,"")</f>
        <v/>
      </c>
      <c r="AY254" s="69" t="str">
        <f>IFERROR(AY249/AY250,"")</f>
        <v/>
      </c>
      <c r="AZ254" s="69" t="str">
        <f>IFERROR(AZ249/AZ250,"")</f>
        <v/>
      </c>
      <c r="BA254" s="42" t="n"/>
      <c r="BB254" s="69" t="str">
        <f>IFERROR(BB249/BB250,"")</f>
        <v/>
      </c>
      <c r="BC254" s="69" t="str">
        <f>IFERROR(BC249/BC250,"")</f>
        <v/>
      </c>
      <c r="BD254" s="69" t="str">
        <f>IFERROR(BD249/BD250,"")</f>
        <v/>
      </c>
      <c r="BE254" s="69" t="str">
        <f>IFERROR(BE249/BE250,"")</f>
        <v/>
      </c>
      <c r="BF254" s="42" t="n"/>
      <c r="BG254" s="69" t="n"/>
      <c r="BH254" s="69" t="n"/>
      <c r="BI254" s="69" t="n"/>
      <c r="BJ254" s="69" t="n"/>
      <c r="BK254" s="42" t="n"/>
      <c r="BL254" s="69" t="n"/>
      <c r="BM254" s="69" t="n"/>
      <c r="BN254" s="69" t="n"/>
      <c r="BO254" s="69" t="n"/>
      <c r="BP254" s="42" t="n"/>
      <c r="BQ254" s="69" t="n"/>
      <c r="BR254" s="69" t="n"/>
      <c r="BS254" s="69" t="n"/>
      <c r="BT254" s="69" t="n"/>
      <c r="BU254" s="42" t="n"/>
      <c r="BV254" s="69" t="n"/>
      <c r="BW254" s="69" t="n"/>
      <c r="BX254" s="69" t="n"/>
      <c r="BY254" s="69" t="n"/>
      <c r="BZ254" s="42" t="n"/>
      <c r="CA254" s="69" t="n"/>
      <c r="CB254" s="69" t="n"/>
      <c r="CC254" s="69" t="n"/>
      <c r="CD254" s="69" t="n"/>
      <c r="CE254" s="42" t="n"/>
      <c r="CF254" s="69" t="n"/>
      <c r="CG254" s="69" t="n"/>
      <c r="CH254" s="69" t="n"/>
      <c r="CI254" s="69" t="n"/>
      <c r="CJ254" s="42" t="n"/>
      <c r="CK254" s="69" t="n"/>
      <c r="CL254" s="69" t="n"/>
      <c r="CM254" s="69" t="n"/>
      <c r="CN254" s="69" t="n"/>
      <c r="CO254" s="42" t="n"/>
      <c r="CP254" s="69" t="n"/>
      <c r="CQ254" s="69" t="n"/>
      <c r="CR254" s="69" t="n"/>
      <c r="CS254" s="69" t="n"/>
      <c r="CT254" s="42" t="n"/>
      <c r="CU254" s="69" t="n"/>
      <c r="CV254" s="69" t="n"/>
      <c r="CW254" s="69" t="n"/>
      <c r="CX254" s="69" t="n"/>
      <c r="CY254" s="42" t="n"/>
    </row>
    <row r="255" hidden="1" outlineLevel="1" customFormat="1" s="66">
      <c r="A255" s="37" t="n"/>
      <c r="B255" s="37" t="n"/>
      <c r="C255" s="67" t="inlineStr">
        <is>
          <t>End of period basic shares outstanding</t>
        </is>
      </c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42" t="n"/>
      <c r="AG255" s="42" t="n"/>
      <c r="AH255" s="3" t="str">
        <f>IFERROR(AG255+AH254-AH253,"")</f>
        <v/>
      </c>
      <c r="AI255" s="3" t="str">
        <f>IFERROR(AH255+AI254-AI253,"")</f>
        <v/>
      </c>
      <c r="AJ255" s="69" t="str">
        <f>IFERROR(AH255+AJ254-AJ253,"")</f>
        <v/>
      </c>
      <c r="AK255" s="69" t="str">
        <f>IFERROR(AJ255+AK254-AK253,"")</f>
        <v/>
      </c>
      <c r="AL255" s="42" t="n"/>
      <c r="AM255" s="3" t="str">
        <f>IFERROR(AK255+AM254-AM253,"")</f>
        <v/>
      </c>
      <c r="AN255" s="3" t="str">
        <f>IFERROR(AM255+AN254-AN253,"")</f>
        <v/>
      </c>
      <c r="AO255" s="69" t="str">
        <f>IFERROR(AM255+AO254-AO253,"")</f>
        <v/>
      </c>
      <c r="AP255" s="69" t="str">
        <f>IFERROR(AO255+AP254-AP253,"")</f>
        <v/>
      </c>
      <c r="AQ255" s="42" t="n"/>
      <c r="AR255" s="3" t="str">
        <f>IFERROR(AP255+AR254-AR253,"")</f>
        <v/>
      </c>
      <c r="AS255" s="3" t="str">
        <f>IFERROR(AR255+AS254-AS253,"")</f>
        <v/>
      </c>
      <c r="AT255" s="69" t="str">
        <f>IFERROR(AR255+AT254-AT253,"")</f>
        <v/>
      </c>
      <c r="AU255" s="69" t="str">
        <f>IFERROR(AT255+AU254-AU253,"")</f>
        <v/>
      </c>
      <c r="AV255" s="42" t="n"/>
      <c r="AW255" s="3" t="str">
        <f>IFERROR(AU255+AW254-AW253,"")</f>
        <v/>
      </c>
      <c r="AX255" s="3" t="str">
        <f>IFERROR(AW255+AX254-AX253,"")</f>
        <v/>
      </c>
      <c r="AY255" s="69" t="str">
        <f>IFERROR(AW255+AY254-AY253,"")</f>
        <v/>
      </c>
      <c r="AZ255" s="69" t="str">
        <f>IFERROR(AY255+AZ254-AZ253,"")</f>
        <v/>
      </c>
      <c r="BA255" s="42" t="n"/>
      <c r="BB255" s="3" t="str">
        <f>IFERROR(AZ255+BB254-BB253,"")</f>
        <v/>
      </c>
      <c r="BC255" s="3" t="str">
        <f>IFERROR(BB255+BC254-BC253,"")</f>
        <v/>
      </c>
      <c r="BD255" s="69" t="str">
        <f>IFERROR(BB255+BD254-BD253,"")</f>
        <v/>
      </c>
      <c r="BE255" s="69" t="str">
        <f>IFERROR(BD255+BE254-BE253,"")</f>
        <v/>
      </c>
      <c r="BF255" s="42" t="n"/>
      <c r="BG255" s="3" t="n"/>
      <c r="BH255" s="3" t="n"/>
      <c r="BI255" s="69" t="n"/>
      <c r="BJ255" s="69" t="n"/>
      <c r="BK255" s="42" t="n"/>
      <c r="BL255" s="3" t="n"/>
      <c r="BM255" s="3" t="n"/>
      <c r="BN255" s="69" t="n"/>
      <c r="BO255" s="69" t="n"/>
      <c r="BP255" s="42" t="n"/>
      <c r="BQ255" s="3" t="n"/>
      <c r="BR255" s="3" t="n"/>
      <c r="BS255" s="69" t="n"/>
      <c r="BT255" s="69" t="n"/>
      <c r="BU255" s="42" t="n"/>
      <c r="BV255" s="3" t="n"/>
      <c r="BW255" s="3" t="n"/>
      <c r="BX255" s="69" t="n"/>
      <c r="BY255" s="69" t="n"/>
      <c r="BZ255" s="42" t="n"/>
      <c r="CA255" s="3" t="n"/>
      <c r="CB255" s="3" t="n"/>
      <c r="CC255" s="69" t="n"/>
      <c r="CD255" s="69" t="n"/>
      <c r="CE255" s="42" t="n"/>
      <c r="CF255" s="3" t="n"/>
      <c r="CG255" s="3" t="n"/>
      <c r="CH255" s="69" t="n"/>
      <c r="CI255" s="69" t="n"/>
      <c r="CJ255" s="42" t="n"/>
      <c r="CK255" s="3" t="n"/>
      <c r="CL255" s="3" t="n"/>
      <c r="CM255" s="69" t="n"/>
      <c r="CN255" s="69" t="n"/>
      <c r="CO255" s="42" t="n"/>
      <c r="CP255" s="3" t="n"/>
      <c r="CQ255" s="3" t="n"/>
      <c r="CR255" s="69" t="n"/>
      <c r="CS255" s="69" t="n"/>
      <c r="CT255" s="42" t="n"/>
      <c r="CU255" s="3" t="n"/>
      <c r="CV255" s="3" t="n"/>
      <c r="CW255" s="69" t="n"/>
      <c r="CX255" s="69" t="n"/>
      <c r="CY255" s="42" t="n"/>
    </row>
    <row r="256" hidden="1" outlineLevel="1" customFormat="1" s="66">
      <c r="A256" s="37" t="n"/>
      <c r="B256" s="37" t="n"/>
      <c r="C256" s="67" t="inlineStr">
        <is>
          <t>Weighted average basic shares outstanding</t>
        </is>
      </c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  <c r="AG256" s="42" t="n"/>
      <c r="AH256" s="69" t="str">
        <f>IFERROR(AVERAGE(AG255,AH255),"")</f>
        <v/>
      </c>
      <c r="AI256" s="69" t="str">
        <f>IFERROR(AVERAGE(AH255,AI255),"")</f>
        <v/>
      </c>
      <c r="AJ256" s="69" t="str">
        <f>IFERROR(AVERAGE(AH255,AJ255),"")</f>
        <v/>
      </c>
      <c r="AK256" s="69" t="str">
        <f>IFERROR(AVERAGE(AJ255,AK255),"")</f>
        <v/>
      </c>
      <c r="AL256" s="42" t="n"/>
      <c r="AM256" s="69" t="str">
        <f>IFERROR(AVERAGE(AL255,AM255),"")</f>
        <v/>
      </c>
      <c r="AN256" s="69" t="str">
        <f>IFERROR(AVERAGE(AM255,AN255),"")</f>
        <v/>
      </c>
      <c r="AO256" s="69" t="str">
        <f>IFERROR(AVERAGE(AM255,AO255),"")</f>
        <v/>
      </c>
      <c r="AP256" s="69" t="str">
        <f>IFERROR(AVERAGE(AO255,AP255),"")</f>
        <v/>
      </c>
      <c r="AQ256" s="42" t="n"/>
      <c r="AR256" s="69" t="str">
        <f>IFERROR(AVERAGE(AQ255,AR255),"")</f>
        <v/>
      </c>
      <c r="AS256" s="69" t="str">
        <f>IFERROR(AVERAGE(AR255,AS255),"")</f>
        <v/>
      </c>
      <c r="AT256" s="69" t="str">
        <f>IFERROR(AVERAGE(AR255,AT255),"")</f>
        <v/>
      </c>
      <c r="AU256" s="69" t="str">
        <f>IFERROR(AVERAGE(AT255,AU255),"")</f>
        <v/>
      </c>
      <c r="AV256" s="42" t="n"/>
      <c r="AW256" s="69" t="str">
        <f>IFERROR(AVERAGE(AV255,AW255),"")</f>
        <v/>
      </c>
      <c r="AX256" s="69" t="str">
        <f>IFERROR(AVERAGE(AW255,AX255),"")</f>
        <v/>
      </c>
      <c r="AY256" s="69" t="str">
        <f>IFERROR(AVERAGE(AW255,AY255),"")</f>
        <v/>
      </c>
      <c r="AZ256" s="69" t="str">
        <f>IFERROR(AVERAGE(AY255,AZ255),"")</f>
        <v/>
      </c>
      <c r="BA256" s="42" t="n"/>
      <c r="BB256" s="69" t="str">
        <f>IFERROR(AVERAGE(BA255,BB255),"")</f>
        <v/>
      </c>
      <c r="BC256" s="69" t="str">
        <f>IFERROR(AVERAGE(BB255,BC255),"")</f>
        <v/>
      </c>
      <c r="BD256" s="69" t="str">
        <f>IFERROR(AVERAGE(BB255,BD255),"")</f>
        <v/>
      </c>
      <c r="BE256" s="69" t="str">
        <f>IFERROR(AVERAGE(BD255,BE255),"")</f>
        <v/>
      </c>
      <c r="BF256" s="42" t="n"/>
      <c r="BG256" s="69" t="n"/>
      <c r="BH256" s="69" t="n"/>
      <c r="BI256" s="69" t="n"/>
      <c r="BJ256" s="69" t="n"/>
      <c r="BK256" s="42" t="n"/>
      <c r="BL256" s="69" t="n"/>
      <c r="BM256" s="69" t="n"/>
      <c r="BN256" s="69" t="n"/>
      <c r="BO256" s="69" t="n"/>
      <c r="BP256" s="42" t="n"/>
      <c r="BQ256" s="69" t="n"/>
      <c r="BR256" s="69" t="n"/>
      <c r="BS256" s="69" t="n"/>
      <c r="BT256" s="69" t="n"/>
      <c r="BU256" s="42" t="n"/>
      <c r="BV256" s="69" t="n"/>
      <c r="BW256" s="69" t="n"/>
      <c r="BX256" s="69" t="n"/>
      <c r="BY256" s="69" t="n"/>
      <c r="BZ256" s="42" t="n"/>
      <c r="CA256" s="69" t="n"/>
      <c r="CB256" s="69" t="n"/>
      <c r="CC256" s="69" t="n"/>
      <c r="CD256" s="69" t="n"/>
      <c r="CE256" s="42" t="n"/>
      <c r="CF256" s="69" t="n"/>
      <c r="CG256" s="69" t="n"/>
      <c r="CH256" s="69" t="n"/>
      <c r="CI256" s="69" t="n"/>
      <c r="CJ256" s="42" t="n"/>
      <c r="CK256" s="69" t="n"/>
      <c r="CL256" s="69" t="n"/>
      <c r="CM256" s="69" t="n"/>
      <c r="CN256" s="69" t="n"/>
      <c r="CO256" s="42" t="n"/>
      <c r="CP256" s="69" t="n"/>
      <c r="CQ256" s="69" t="n"/>
      <c r="CR256" s="69" t="n"/>
      <c r="CS256" s="69" t="n"/>
      <c r="CT256" s="42" t="n"/>
      <c r="CU256" s="69" t="n"/>
      <c r="CV256" s="69" t="n"/>
      <c r="CW256" s="69" t="n"/>
      <c r="CX256" s="69" t="n"/>
      <c r="CY256" s="42" t="n"/>
    </row>
    <row r="257" hidden="1" outlineLevel="1" customFormat="1" s="66">
      <c r="A257" s="37" t="n"/>
      <c r="B257" s="37" t="n"/>
      <c r="C257" s="67" t="n"/>
      <c r="D257" s="42" t="n"/>
      <c r="E257" s="42" t="n"/>
      <c r="F257" s="42" t="n"/>
      <c r="G257" s="42" t="n"/>
      <c r="H257" s="12" t="n"/>
      <c r="I257" s="42" t="n"/>
      <c r="J257" s="42" t="n"/>
      <c r="K257" s="42" t="n"/>
      <c r="L257" s="42" t="n"/>
      <c r="M257" s="12" t="n"/>
      <c r="N257" s="42" t="n"/>
      <c r="O257" s="42" t="n"/>
      <c r="P257" s="42" t="n"/>
      <c r="Q257" s="42" t="n"/>
      <c r="R257" s="12" t="n"/>
      <c r="S257" s="42" t="n"/>
      <c r="T257" s="42" t="n"/>
      <c r="U257" s="42" t="n"/>
      <c r="V257" s="42" t="n"/>
      <c r="W257" s="12" t="n"/>
      <c r="X257" s="42" t="n"/>
      <c r="Y257" s="42" t="n"/>
      <c r="Z257" s="42" t="n"/>
      <c r="AA257" s="42" t="n"/>
      <c r="AB257" s="12" t="n"/>
      <c r="AC257" s="42" t="n"/>
      <c r="AD257" s="42" t="n"/>
      <c r="AE257" s="42" t="n"/>
      <c r="AF257" s="42" t="n"/>
      <c r="AG257" s="12" t="n"/>
      <c r="AH257" s="42" t="n"/>
      <c r="AI257" s="42" t="n"/>
      <c r="AJ257" s="42" t="n"/>
      <c r="AK257" s="42" t="n"/>
      <c r="AL257" s="12" t="n"/>
      <c r="AM257" s="42" t="n"/>
      <c r="AN257" s="42" t="n"/>
      <c r="AO257" s="42" t="n"/>
      <c r="AP257" s="42" t="n"/>
      <c r="AQ257" s="12" t="n"/>
      <c r="AR257" s="42" t="n"/>
      <c r="AS257" s="42" t="n"/>
      <c r="AT257" s="42" t="n"/>
      <c r="AU257" s="42" t="n"/>
      <c r="AV257" s="12" t="n"/>
      <c r="AW257" s="42" t="n"/>
      <c r="AX257" s="42" t="n"/>
      <c r="AY257" s="42" t="n"/>
      <c r="AZ257" s="42" t="n"/>
      <c r="BA257" s="12" t="n"/>
      <c r="BB257" s="42" t="n"/>
      <c r="BC257" s="42" t="n"/>
      <c r="BD257" s="42" t="n"/>
      <c r="BE257" s="42" t="n"/>
      <c r="BF257" s="12" t="n"/>
      <c r="BG257" s="42" t="n"/>
      <c r="BH257" s="42" t="n"/>
      <c r="BI257" s="42" t="n"/>
      <c r="BJ257" s="42" t="n"/>
      <c r="BK257" s="12" t="n"/>
      <c r="BL257" s="42" t="n"/>
      <c r="BM257" s="42" t="n"/>
      <c r="BN257" s="42" t="n"/>
      <c r="BO257" s="42" t="n"/>
      <c r="BP257" s="12" t="n"/>
      <c r="BQ257" s="42" t="n"/>
      <c r="BR257" s="42" t="n"/>
      <c r="BS257" s="42" t="n"/>
      <c r="BT257" s="42" t="n"/>
      <c r="BU257" s="12" t="n"/>
      <c r="BV257" s="42" t="n"/>
      <c r="BW257" s="42" t="n"/>
      <c r="BX257" s="42" t="n"/>
      <c r="BY257" s="42" t="n"/>
      <c r="BZ257" s="12" t="n"/>
      <c r="CA257" s="42" t="n"/>
      <c r="CB257" s="42" t="n"/>
      <c r="CC257" s="42" t="n"/>
      <c r="CD257" s="42" t="n"/>
      <c r="CE257" s="12" t="n"/>
      <c r="CF257" s="42" t="n"/>
      <c r="CG257" s="42" t="n"/>
      <c r="CH257" s="42" t="n"/>
      <c r="CI257" s="42" t="n"/>
      <c r="CJ257" s="12" t="n"/>
      <c r="CK257" s="42" t="n"/>
      <c r="CL257" s="42" t="n"/>
      <c r="CM257" s="42" t="n"/>
      <c r="CN257" s="42" t="n"/>
      <c r="CO257" s="12" t="n"/>
      <c r="CP257" s="42" t="n"/>
      <c r="CQ257" s="42" t="n"/>
      <c r="CR257" s="42" t="n"/>
      <c r="CS257" s="42" t="n"/>
      <c r="CT257" s="12" t="n"/>
      <c r="CU257" s="42" t="n"/>
      <c r="CV257" s="42" t="n"/>
      <c r="CW257" s="42" t="n"/>
      <c r="CX257" s="42" t="n"/>
      <c r="CY257" s="12" t="n"/>
    </row>
    <row r="258" collapsed="1">
      <c r="C258" s="14" t="inlineStr">
        <is>
          <t>Treasury stock (contra account)</t>
        </is>
      </c>
      <c r="D258" s="46" t="n"/>
      <c r="E258" s="46" t="n"/>
      <c r="F258" s="46" t="n"/>
      <c r="G258" s="46" t="n"/>
      <c r="H258" s="12" t="n"/>
      <c r="I258" s="46">
        <f>'Inputs (2)'!D44</f>
        <v>0</v>
      </c>
      <c r="J258" s="46">
        <f>'Inputs (2)'!E44</f>
        <v>0</v>
      </c>
      <c r="K258" s="46">
        <f>'Inputs (2)'!F44</f>
        <v>0</v>
      </c>
      <c r="L258" s="46">
        <f>'Inputs (2)'!G44</f>
        <v>0</v>
      </c>
      <c r="M258" s="12">
        <f>'Inputs (2)'!H44</f>
        <v>0</v>
      </c>
      <c r="N258" s="46">
        <f>'Inputs (2)'!I44</f>
        <v>0</v>
      </c>
      <c r="O258" s="46">
        <f>'Inputs (2)'!J44</f>
        <v>0</v>
      </c>
      <c r="P258" s="46">
        <f>'Inputs (2)'!K44</f>
        <v>0</v>
      </c>
      <c r="Q258" s="46">
        <f>'Inputs (2)'!L44</f>
        <v>0</v>
      </c>
      <c r="R258" s="12">
        <f>'Inputs (2)'!M44</f>
        <v>0</v>
      </c>
      <c r="S258" s="46">
        <f>'Inputs (2)'!N44</f>
        <v>0</v>
      </c>
      <c r="T258" s="46">
        <f>'Inputs (2)'!O44</f>
        <v>0</v>
      </c>
      <c r="U258" s="46">
        <f>'Inputs (2)'!P44</f>
        <v>0</v>
      </c>
      <c r="V258" s="46">
        <f>'Inputs (2)'!Q44</f>
        <v>0</v>
      </c>
      <c r="W258" s="12">
        <f>'Inputs (2)'!R44</f>
        <v>0</v>
      </c>
      <c r="X258" s="46">
        <f>'Inputs (2)'!S44</f>
        <v>0</v>
      </c>
      <c r="Y258" s="46">
        <f>'Inputs (2)'!T44</f>
        <v>0</v>
      </c>
      <c r="Z258" s="46">
        <f>'Inputs (2)'!U44</f>
        <v>0</v>
      </c>
      <c r="AA258" s="46">
        <f>'Inputs (2)'!V44</f>
        <v>0</v>
      </c>
      <c r="AB258" s="12">
        <f>'Inputs (2)'!W44</f>
        <v>0</v>
      </c>
      <c r="AC258" s="46">
        <f>'Inputs (2)'!X44</f>
        <v>0</v>
      </c>
      <c r="AD258" s="46">
        <f>'Inputs (2)'!Y44</f>
        <v>0</v>
      </c>
      <c r="AE258" s="46">
        <f>'Inputs (2)'!Z44</f>
        <v>0</v>
      </c>
      <c r="AF258" s="46">
        <f>'Inputs (2)'!AA44</f>
        <v>0</v>
      </c>
      <c r="AG258" s="12">
        <f>'Inputs (2)'!AB44</f>
        <v>0</v>
      </c>
      <c r="AH258" s="12">
        <f>'Inputs (2)'!AC44</f>
        <v>0</v>
      </c>
      <c r="AI258" s="12">
        <f>'Inputs (2)'!AD44</f>
        <v>0</v>
      </c>
      <c r="AJ258" s="12">
        <f>AI258</f>
        <v>0</v>
      </c>
      <c r="AK258" s="12">
        <f>AJ258</f>
        <v>0</v>
      </c>
      <c r="AL258" s="12">
        <f>AK258</f>
        <v>0</v>
      </c>
      <c r="AM258" s="12">
        <f>AL258</f>
        <v>0</v>
      </c>
      <c r="AN258" s="12">
        <f>AM258</f>
        <v>0</v>
      </c>
      <c r="AO258" s="12">
        <f>AN258</f>
        <v>0</v>
      </c>
      <c r="AP258" s="12">
        <f>AO258</f>
        <v>0</v>
      </c>
      <c r="AQ258" s="12">
        <f>AP258</f>
        <v>0</v>
      </c>
      <c r="AR258" s="12">
        <f>AQ258</f>
        <v>0</v>
      </c>
      <c r="AS258" s="12">
        <f>AR258</f>
        <v>0</v>
      </c>
      <c r="AT258" s="12">
        <f>AS258</f>
        <v>0</v>
      </c>
      <c r="AU258" s="12">
        <f>AT258</f>
        <v>0</v>
      </c>
      <c r="AV258" s="12">
        <f>AU258</f>
        <v>0</v>
      </c>
      <c r="AW258" s="12">
        <f>AV258</f>
        <v>0</v>
      </c>
      <c r="AX258" s="12">
        <f>AW258</f>
        <v>0</v>
      </c>
      <c r="AY258" s="12">
        <f>AX258</f>
        <v>0</v>
      </c>
      <c r="AZ258" s="12">
        <f>AY258</f>
        <v>0</v>
      </c>
      <c r="BA258" s="12">
        <f>AZ258</f>
        <v>0</v>
      </c>
      <c r="BB258" s="12">
        <f>BA258</f>
        <v>0</v>
      </c>
      <c r="BC258" s="12">
        <f>BB258</f>
        <v>0</v>
      </c>
      <c r="BD258" s="12">
        <f>BC258</f>
        <v>0</v>
      </c>
      <c r="BE258" s="12">
        <f>BD258</f>
        <v>0</v>
      </c>
      <c r="BF258" s="12">
        <f>BE258</f>
        <v>0</v>
      </c>
      <c r="BG258" s="12" t="n"/>
      <c r="BH258" s="12" t="n"/>
      <c r="BI258" s="12" t="n"/>
      <c r="BJ258" s="12" t="n"/>
      <c r="BK258" s="12" t="n"/>
      <c r="BL258" s="12" t="n"/>
      <c r="BM258" s="12" t="n"/>
      <c r="BN258" s="12" t="n"/>
      <c r="BO258" s="12" t="n"/>
      <c r="BP258" s="12" t="n"/>
      <c r="BQ258" s="12" t="n"/>
      <c r="BR258" s="12" t="n"/>
      <c r="BS258" s="12" t="n"/>
      <c r="BT258" s="12" t="n"/>
      <c r="BU258" s="12" t="n"/>
      <c r="BV258" s="12" t="n"/>
      <c r="BW258" s="12" t="n"/>
      <c r="BX258" s="12" t="n"/>
      <c r="BY258" s="12" t="n"/>
      <c r="BZ258" s="12" t="n"/>
      <c r="CA258" s="12" t="n"/>
      <c r="CB258" s="12" t="n"/>
      <c r="CC258" s="12" t="n"/>
      <c r="CD258" s="12" t="n"/>
      <c r="CE258" s="12" t="n"/>
      <c r="CF258" s="12" t="n"/>
      <c r="CG258" s="12" t="n"/>
      <c r="CH258" s="12" t="n"/>
      <c r="CI258" s="12" t="n"/>
      <c r="CJ258" s="12" t="n"/>
      <c r="CK258" s="12" t="n"/>
      <c r="CL258" s="12" t="n"/>
      <c r="CM258" s="12" t="n"/>
      <c r="CN258" s="12" t="n"/>
      <c r="CO258" s="12" t="n"/>
      <c r="CP258" s="12" t="n"/>
      <c r="CQ258" s="12" t="n"/>
      <c r="CR258" s="12" t="n"/>
      <c r="CS258" s="12" t="n"/>
      <c r="CT258" s="12" t="n"/>
      <c r="CU258" s="12" t="n"/>
      <c r="CV258" s="12" t="n"/>
      <c r="CW258" s="12" t="n"/>
      <c r="CX258" s="12" t="n"/>
      <c r="CY258" s="12" t="n"/>
    </row>
    <row r="259">
      <c r="C259" s="14" t="inlineStr">
        <is>
          <t>Comprehensive (accumulated) loss</t>
        </is>
      </c>
      <c r="D259" s="46" t="n"/>
      <c r="E259" s="46" t="n"/>
      <c r="F259" s="46" t="n"/>
      <c r="G259" s="46" t="n"/>
      <c r="H259" s="12" t="n"/>
      <c r="I259" s="46">
        <f>'Inputs (2)'!D45</f>
        <v>-16008</v>
      </c>
      <c r="J259" s="46">
        <f>'Inputs (2)'!E45</f>
        <v>-15837</v>
      </c>
      <c r="K259" s="46">
        <f>'Inputs (2)'!F45</f>
        <v>-12217</v>
      </c>
      <c r="L259" s="46">
        <f>'Inputs (2)'!G45</f>
        <v>-11006</v>
      </c>
      <c r="M259" s="12">
        <f>'Inputs (2)'!H45</f>
        <v>-11006</v>
      </c>
      <c r="N259" s="46">
        <f>'Inputs (2)'!I45</f>
        <v>-10979</v>
      </c>
      <c r="O259" s="46">
        <f>'Inputs (2)'!J45</f>
        <v>-8168</v>
      </c>
      <c r="P259" s="46">
        <f>'Inputs (2)'!K45</f>
        <v>-8134</v>
      </c>
      <c r="Q259" s="46">
        <f>'Inputs (2)'!L45</f>
        <v>-8023</v>
      </c>
      <c r="R259" s="12">
        <f>'Inputs (2)'!M45</f>
        <v>-8023</v>
      </c>
      <c r="S259" s="46">
        <f>'Inputs (2)'!N45</f>
        <v>-8086</v>
      </c>
      <c r="T259" s="46">
        <f>'Inputs (2)'!O45</f>
        <v>-8079</v>
      </c>
      <c r="U259" s="46">
        <f>'Inputs (2)'!P45</f>
        <v>-8146</v>
      </c>
      <c r="V259" s="46">
        <f>'Inputs (2)'!Q45</f>
        <v>-8803</v>
      </c>
      <c r="W259" s="12">
        <f>'Inputs (2)'!R45</f>
        <v>-8803</v>
      </c>
      <c r="X259" s="46">
        <f>'Inputs (2)'!S45</f>
        <v>-8811</v>
      </c>
      <c r="Y259" s="46">
        <f>'Inputs (2)'!T45</f>
        <v>-8769</v>
      </c>
      <c r="Z259" s="46">
        <f>'Inputs (2)'!U45</f>
        <v>-8693</v>
      </c>
      <c r="AA259" s="46">
        <f>'Inputs (2)'!V45</f>
        <v>-8452</v>
      </c>
      <c r="AB259" s="12">
        <f>'Inputs (2)'!W45</f>
        <v>-8452</v>
      </c>
      <c r="AC259" s="46">
        <f>'Inputs (2)'!X45</f>
        <v>-8323</v>
      </c>
      <c r="AD259" s="46">
        <f>'Inputs (2)'!Y45</f>
        <v>-8157</v>
      </c>
      <c r="AE259" s="46">
        <f>'Inputs (2)'!Z45</f>
        <v>-8102</v>
      </c>
      <c r="AF259" s="46">
        <f>'Inputs (2)'!AA45</f>
        <v>-7542</v>
      </c>
      <c r="AG259" s="12">
        <f>'Inputs (2)'!AB45</f>
        <v>-7542</v>
      </c>
      <c r="AH259" s="12">
        <f>'Inputs (2)'!AC45</f>
        <v>-7496</v>
      </c>
      <c r="AI259" s="12">
        <f>'Inputs (2)'!AD45</f>
        <v>-7468</v>
      </c>
      <c r="AJ259" s="12">
        <f>AI259</f>
        <v>-7468</v>
      </c>
      <c r="AK259" s="12">
        <f>AJ259</f>
        <v>-7468</v>
      </c>
      <c r="AL259" s="12">
        <f>AK259</f>
        <v>-7468</v>
      </c>
      <c r="AM259" s="12">
        <f>AL259</f>
        <v>-7468</v>
      </c>
      <c r="AN259" s="12">
        <f>AM259</f>
        <v>-7468</v>
      </c>
      <c r="AO259" s="12">
        <f>AN259</f>
        <v>-7468</v>
      </c>
      <c r="AP259" s="12">
        <f>AO259</f>
        <v>-7468</v>
      </c>
      <c r="AQ259" s="12">
        <f>AP259</f>
        <v>-7468</v>
      </c>
      <c r="AR259" s="12">
        <f>AQ259</f>
        <v>-7468</v>
      </c>
      <c r="AS259" s="12">
        <f>AR259</f>
        <v>-7468</v>
      </c>
      <c r="AT259" s="12">
        <f>AS259</f>
        <v>-7468</v>
      </c>
      <c r="AU259" s="12">
        <f>AT259</f>
        <v>-7468</v>
      </c>
      <c r="AV259" s="12">
        <f>AU259</f>
        <v>-7468</v>
      </c>
      <c r="AW259" s="12">
        <f>AV259</f>
        <v>-7468</v>
      </c>
      <c r="AX259" s="12">
        <f>AW259</f>
        <v>-7468</v>
      </c>
      <c r="AY259" s="12">
        <f>AX259</f>
        <v>-7468</v>
      </c>
      <c r="AZ259" s="12">
        <f>AY259</f>
        <v>-7468</v>
      </c>
      <c r="BA259" s="12">
        <f>AZ259</f>
        <v>-7468</v>
      </c>
      <c r="BB259" s="12">
        <f>BA259</f>
        <v>-7468</v>
      </c>
      <c r="BC259" s="12">
        <f>BB259</f>
        <v>-7468</v>
      </c>
      <c r="BD259" s="12">
        <f>BC259</f>
        <v>-7468</v>
      </c>
      <c r="BE259" s="12">
        <f>BD259</f>
        <v>-7468</v>
      </c>
      <c r="BF259" s="12">
        <f>BE259</f>
        <v>-7468</v>
      </c>
      <c r="BG259" s="12" t="n"/>
      <c r="BH259" s="12" t="n"/>
      <c r="BI259" s="12" t="n"/>
      <c r="BJ259" s="12" t="n"/>
      <c r="BK259" s="12" t="n"/>
      <c r="BL259" s="12" t="n"/>
      <c r="BM259" s="12" t="n"/>
      <c r="BN259" s="12" t="n"/>
      <c r="BO259" s="12" t="n"/>
      <c r="BP259" s="12" t="n"/>
      <c r="BQ259" s="12" t="n"/>
      <c r="BR259" s="12" t="n"/>
      <c r="BS259" s="12" t="n"/>
      <c r="BT259" s="12" t="n"/>
      <c r="BU259" s="12" t="n"/>
      <c r="BV259" s="12" t="n"/>
      <c r="BW259" s="12" t="n"/>
      <c r="BX259" s="12" t="n"/>
      <c r="BY259" s="12" t="n"/>
      <c r="BZ259" s="12" t="n"/>
      <c r="CA259" s="12" t="n"/>
      <c r="CB259" s="12" t="n"/>
      <c r="CC259" s="12" t="n"/>
      <c r="CD259" s="12" t="n"/>
      <c r="CE259" s="12" t="n"/>
      <c r="CF259" s="12" t="n"/>
      <c r="CG259" s="12" t="n"/>
      <c r="CH259" s="12" t="n"/>
      <c r="CI259" s="12" t="n"/>
      <c r="CJ259" s="12" t="n"/>
      <c r="CK259" s="12" t="n"/>
      <c r="CL259" s="12" t="n"/>
      <c r="CM259" s="12" t="n"/>
      <c r="CN259" s="12" t="n"/>
      <c r="CO259" s="12" t="n"/>
      <c r="CP259" s="12" t="n"/>
      <c r="CQ259" s="12" t="n"/>
      <c r="CR259" s="12" t="n"/>
      <c r="CS259" s="12" t="n"/>
      <c r="CT259" s="12" t="n"/>
      <c r="CU259" s="12" t="n"/>
      <c r="CV259" s="12" t="n"/>
      <c r="CW259" s="12" t="n"/>
      <c r="CX259" s="12" t="n"/>
      <c r="CY259" s="12" t="n"/>
    </row>
    <row r="260">
      <c r="C260" s="14" t="inlineStr">
        <is>
          <t>Other equity account</t>
        </is>
      </c>
      <c r="D260" s="46" t="n"/>
      <c r="E260" s="46" t="n"/>
      <c r="F260" s="46" t="n"/>
      <c r="G260" s="46" t="n"/>
      <c r="H260" s="12" t="n"/>
      <c r="I260" s="46">
        <f>'Inputs (2)'!D46</f>
        <v>0</v>
      </c>
      <c r="J260" s="46">
        <f>'Inputs (2)'!E46</f>
        <v>0</v>
      </c>
      <c r="K260" s="46">
        <f>'Inputs (2)'!F46</f>
        <v>0</v>
      </c>
      <c r="L260" s="46">
        <f>'Inputs (2)'!G46</f>
        <v>0</v>
      </c>
      <c r="M260" s="12">
        <f>'Inputs (2)'!H46</f>
        <v>0</v>
      </c>
      <c r="N260" s="46">
        <f>'Inputs (2)'!I46</f>
        <v>0</v>
      </c>
      <c r="O260" s="46">
        <f>'Inputs (2)'!J46</f>
        <v>0</v>
      </c>
      <c r="P260" s="46">
        <f>'Inputs (2)'!K46</f>
        <v>0</v>
      </c>
      <c r="Q260" s="46">
        <f>'Inputs (2)'!L46</f>
        <v>0</v>
      </c>
      <c r="R260" s="12">
        <f>'Inputs (2)'!M46</f>
        <v>0</v>
      </c>
      <c r="S260" s="46">
        <f>'Inputs (2)'!N46</f>
        <v>0</v>
      </c>
      <c r="T260" s="46">
        <f>'Inputs (2)'!O46</f>
        <v>0</v>
      </c>
      <c r="U260" s="46">
        <f>'Inputs (2)'!P46</f>
        <v>0</v>
      </c>
      <c r="V260" s="46">
        <f>'Inputs (2)'!Q46</f>
        <v>0</v>
      </c>
      <c r="W260" s="12">
        <f>'Inputs (2)'!R46</f>
        <v>0</v>
      </c>
      <c r="X260" s="46">
        <f>'Inputs (2)'!S46</f>
        <v>0</v>
      </c>
      <c r="Y260" s="46">
        <f>'Inputs (2)'!T46</f>
        <v>0</v>
      </c>
      <c r="Z260" s="46">
        <f>'Inputs (2)'!U46</f>
        <v>0</v>
      </c>
      <c r="AA260" s="46">
        <f>'Inputs (2)'!V46</f>
        <v>0</v>
      </c>
      <c r="AB260" s="12">
        <f>'Inputs (2)'!W46</f>
        <v>0</v>
      </c>
      <c r="AC260" s="46">
        <f>'Inputs (2)'!X46</f>
        <v>0</v>
      </c>
      <c r="AD260" s="46">
        <f>'Inputs (2)'!Y46</f>
        <v>0</v>
      </c>
      <c r="AE260" s="46">
        <f>'Inputs (2)'!Z46</f>
        <v>0</v>
      </c>
      <c r="AF260" s="46">
        <f>'Inputs (2)'!AA46</f>
        <v>0</v>
      </c>
      <c r="AG260" s="12">
        <f>'Inputs (2)'!AB46</f>
        <v>0</v>
      </c>
      <c r="AH260" s="12">
        <f>'Inputs (2)'!AC46</f>
        <v>0</v>
      </c>
      <c r="AI260" s="12">
        <f>'Inputs (2)'!AD46</f>
        <v>0</v>
      </c>
      <c r="AJ260" s="12">
        <f>AI260</f>
        <v>0</v>
      </c>
      <c r="AK260" s="12">
        <f>AJ260</f>
        <v>0</v>
      </c>
      <c r="AL260" s="12">
        <f>AK260</f>
        <v>0</v>
      </c>
      <c r="AM260" s="12">
        <f>AL260</f>
        <v>0</v>
      </c>
      <c r="AN260" s="12">
        <f>AM260</f>
        <v>0</v>
      </c>
      <c r="AO260" s="12">
        <f>AN260</f>
        <v>0</v>
      </c>
      <c r="AP260" s="12">
        <f>AO260</f>
        <v>0</v>
      </c>
      <c r="AQ260" s="12">
        <f>AP260</f>
        <v>0</v>
      </c>
      <c r="AR260" s="12">
        <f>AQ260</f>
        <v>0</v>
      </c>
      <c r="AS260" s="12">
        <f>AR260</f>
        <v>0</v>
      </c>
      <c r="AT260" s="12">
        <f>AS260</f>
        <v>0</v>
      </c>
      <c r="AU260" s="12">
        <f>AT260</f>
        <v>0</v>
      </c>
      <c r="AV260" s="12">
        <f>AU260</f>
        <v>0</v>
      </c>
      <c r="AW260" s="12">
        <f>AV260</f>
        <v>0</v>
      </c>
      <c r="AX260" s="12">
        <f>AW260</f>
        <v>0</v>
      </c>
      <c r="AY260" s="12">
        <f>AX260</f>
        <v>0</v>
      </c>
      <c r="AZ260" s="12">
        <f>AY260</f>
        <v>0</v>
      </c>
      <c r="BA260" s="12">
        <f>AZ260</f>
        <v>0</v>
      </c>
      <c r="BB260" s="12">
        <f>BA260</f>
        <v>0</v>
      </c>
      <c r="BC260" s="12">
        <f>BB260</f>
        <v>0</v>
      </c>
      <c r="BD260" s="12">
        <f>BC260</f>
        <v>0</v>
      </c>
      <c r="BE260" s="12">
        <f>BD260</f>
        <v>0</v>
      </c>
      <c r="BF260" s="12">
        <f>BE260</f>
        <v>0</v>
      </c>
      <c r="BG260" s="12" t="n"/>
      <c r="BH260" s="12" t="n"/>
      <c r="BI260" s="12" t="n"/>
      <c r="BJ260" s="12" t="n"/>
      <c r="BK260" s="12" t="n"/>
      <c r="BL260" s="12" t="n"/>
      <c r="BM260" s="12" t="n"/>
      <c r="BN260" s="12" t="n"/>
      <c r="BO260" s="12" t="n"/>
      <c r="BP260" s="12" t="n"/>
      <c r="BQ260" s="12" t="n"/>
      <c r="BR260" s="12" t="n"/>
      <c r="BS260" s="12" t="n"/>
      <c r="BT260" s="12" t="n"/>
      <c r="BU260" s="12" t="n"/>
      <c r="BV260" s="12" t="n"/>
      <c r="BW260" s="12" t="n"/>
      <c r="BX260" s="12" t="n"/>
      <c r="BY260" s="12" t="n"/>
      <c r="BZ260" s="12" t="n"/>
      <c r="CA260" s="12" t="n"/>
      <c r="CB260" s="12" t="n"/>
      <c r="CC260" s="12" t="n"/>
      <c r="CD260" s="12" t="n"/>
      <c r="CE260" s="12" t="n"/>
      <c r="CF260" s="12" t="n"/>
      <c r="CG260" s="12" t="n"/>
      <c r="CH260" s="12" t="n"/>
      <c r="CI260" s="12" t="n"/>
      <c r="CJ260" s="12" t="n"/>
      <c r="CK260" s="12" t="n"/>
      <c r="CL260" s="12" t="n"/>
      <c r="CM260" s="12" t="n"/>
      <c r="CN260" s="12" t="n"/>
      <c r="CO260" s="12" t="n"/>
      <c r="CP260" s="12" t="n"/>
      <c r="CQ260" s="12" t="n"/>
      <c r="CR260" s="12" t="n"/>
      <c r="CS260" s="12" t="n"/>
      <c r="CT260" s="12" t="n"/>
      <c r="CU260" s="12" t="n"/>
      <c r="CV260" s="12" t="n"/>
      <c r="CW260" s="12" t="n"/>
      <c r="CX260" s="12" t="n"/>
      <c r="CY260" s="12" t="n"/>
    </row>
    <row r="261">
      <c r="C261" s="15" t="inlineStr">
        <is>
          <t>Retained earnings</t>
        </is>
      </c>
      <c r="D261" s="46" t="n"/>
      <c r="E261" s="46" t="n"/>
      <c r="F261" s="46" t="n"/>
      <c r="G261" s="46" t="n"/>
      <c r="H261" s="12" t="n"/>
      <c r="I261" s="46">
        <f>'Inputs (2)'!D47</f>
        <v>21977</v>
      </c>
      <c r="J261" s="46">
        <f>'Inputs (2)'!E47</f>
        <v>21961</v>
      </c>
      <c r="K261" s="46">
        <f>'Inputs (2)'!F47</f>
        <v>21476</v>
      </c>
      <c r="L261" s="46">
        <f>'Inputs (2)'!G47</f>
        <v>21600</v>
      </c>
      <c r="M261" s="12">
        <f>'Inputs (2)'!H47</f>
        <v>21600</v>
      </c>
      <c r="N261" s="46">
        <f>'Inputs (2)'!I47</f>
        <v>20716</v>
      </c>
      <c r="O261" s="46">
        <f>'Inputs (2)'!J47</f>
        <v>19336</v>
      </c>
      <c r="P261" s="46">
        <f>'Inputs (2)'!K47</f>
        <v>19839</v>
      </c>
      <c r="Q261" s="46">
        <f>'Inputs (2)'!L47</f>
        <v>16943</v>
      </c>
      <c r="R261" s="12">
        <f>'Inputs (2)'!M47</f>
        <v>16943</v>
      </c>
      <c r="S261" s="46">
        <f>'Inputs (2)'!N47</f>
        <v>17478</v>
      </c>
      <c r="T261" s="46">
        <f>'Inputs (2)'!O47</f>
        <v>17068</v>
      </c>
      <c r="U261" s="46">
        <f>'Inputs (2)'!P47</f>
        <v>17066</v>
      </c>
      <c r="V261" s="46">
        <f>'Inputs (2)'!Q47</f>
        <v>15398</v>
      </c>
      <c r="W261" s="12">
        <f>'Inputs (2)'!R47</f>
        <v>15398</v>
      </c>
      <c r="X261" s="46">
        <f>'Inputs (2)'!S47</f>
        <v>15222</v>
      </c>
      <c r="Y261" s="46">
        <f>'Inputs (2)'!T47</f>
        <v>14707</v>
      </c>
      <c r="Z261" s="46">
        <f>'Inputs (2)'!U47</f>
        <v>15657</v>
      </c>
      <c r="AA261" s="46">
        <f>'Inputs (2)'!V47</f>
        <v>14551</v>
      </c>
      <c r="AB261" s="12">
        <f>'Inputs (2)'!W47</f>
        <v>14551</v>
      </c>
      <c r="AC261" s="46">
        <f>'Inputs (2)'!X47</f>
        <v>14773</v>
      </c>
      <c r="AD261" s="46">
        <f>'Inputs (2)'!Y47</f>
        <v>13259</v>
      </c>
      <c r="AE261" s="46">
        <f>'Inputs (2)'!Z47</f>
        <v>14053</v>
      </c>
      <c r="AF261" s="46">
        <f>'Inputs (2)'!AA47</f>
        <v>14034</v>
      </c>
      <c r="AG261" s="12">
        <f>'Inputs (2)'!AB47</f>
        <v>14034</v>
      </c>
      <c r="AH261" s="12">
        <f>'Inputs (2)'!AC47</f>
        <v>14723</v>
      </c>
      <c r="AI261" s="12">
        <f>'Inputs (2)'!AD47</f>
        <v>15759</v>
      </c>
      <c r="AJ261" s="12">
        <f>AI261+AJ128+AJ129</f>
        <v>17439.1316814221</v>
      </c>
      <c r="AK261" s="12">
        <f>AJ261+AK128+AK129</f>
        <v>19273.8329495277</v>
      </c>
      <c r="AL261" s="12">
        <f>AK261</f>
        <v>19273.8329495277</v>
      </c>
      <c r="AM261" s="12">
        <f>AL261+AM128+AM129</f>
        <v>20900.8764785141</v>
      </c>
      <c r="AN261" s="12">
        <f>AM261+AN128+AN129</f>
        <v>22712.2839654489</v>
      </c>
      <c r="AO261" s="12">
        <f>AN261+AO128+AO129</f>
        <v>24485.9531412456</v>
      </c>
      <c r="AP261" s="12">
        <f>AO261+AP128+AP129</f>
        <v>26422.7972124673</v>
      </c>
      <c r="AQ261" s="12">
        <f>AP261</f>
        <v>26422.7972124673</v>
      </c>
      <c r="AR261" s="12">
        <f>AQ261+AR128+AR129</f>
        <v>28132.2874565361</v>
      </c>
      <c r="AS261" s="12">
        <f>AR261+AS128+AS129</f>
        <v>30035.4838810826</v>
      </c>
      <c r="AT261" s="12">
        <f>AS261+AT128+AT129</f>
        <v>31899.0296917586</v>
      </c>
      <c r="AU261" s="12">
        <f>AT261+AU128+AU129</f>
        <v>33934.0189130358</v>
      </c>
      <c r="AV261" s="12">
        <f>AU261</f>
        <v>33934.0189130358</v>
      </c>
      <c r="AW261" s="12">
        <f>AV261+AW128+AW129</f>
        <v>35721.5862199665</v>
      </c>
      <c r="AX261" s="12">
        <f>AW261+AX128+AX129</f>
        <v>37711.7067947931</v>
      </c>
      <c r="AY261" s="12">
        <f>AX261+AY128+AY129</f>
        <v>39660.3658045124</v>
      </c>
      <c r="AZ261" s="12">
        <f>AY261+AZ128+AZ129</f>
        <v>41788.2985110795</v>
      </c>
      <c r="BA261" s="12">
        <f>AZ261</f>
        <v>41788.2985110795</v>
      </c>
      <c r="BB261" s="12">
        <f>BA261+BB128+BB129</f>
        <v>43648.5710358757</v>
      </c>
      <c r="BC261" s="12">
        <f>BB261+BC128+BC129</f>
        <v>45719.6352201599</v>
      </c>
      <c r="BD261" s="12">
        <f>BC261+BD128+BD129</f>
        <v>47747.5514848636</v>
      </c>
      <c r="BE261" s="12">
        <f>BD261+BE128+BE129</f>
        <v>49962.0329946194</v>
      </c>
      <c r="BF261" s="12">
        <f>BE261</f>
        <v>49962.0329946194</v>
      </c>
      <c r="BG261" s="12" t="n"/>
      <c r="BH261" s="12" t="n"/>
      <c r="BI261" s="12" t="n"/>
      <c r="BJ261" s="12" t="n"/>
      <c r="BK261" s="12" t="n"/>
      <c r="BL261" s="12" t="n"/>
      <c r="BM261" s="12" t="n"/>
      <c r="BN261" s="12" t="n"/>
      <c r="BO261" s="12" t="n"/>
      <c r="BP261" s="12" t="n"/>
      <c r="BQ261" s="12" t="n"/>
      <c r="BR261" s="12" t="n"/>
      <c r="BS261" s="12" t="n"/>
      <c r="BT261" s="12" t="n"/>
      <c r="BU261" s="12" t="n"/>
      <c r="BV261" s="12" t="n"/>
      <c r="BW261" s="12" t="n"/>
      <c r="BX261" s="12" t="n"/>
      <c r="BY261" s="12" t="n"/>
      <c r="BZ261" s="12" t="n"/>
      <c r="CA261" s="12" t="n"/>
      <c r="CB261" s="12" t="n"/>
      <c r="CC261" s="12" t="n"/>
      <c r="CD261" s="12" t="n"/>
      <c r="CE261" s="12" t="n"/>
      <c r="CF261" s="12" t="n"/>
      <c r="CG261" s="12" t="n"/>
      <c r="CH261" s="12" t="n"/>
      <c r="CI261" s="12" t="n"/>
      <c r="CJ261" s="12" t="n"/>
      <c r="CK261" s="12" t="n"/>
      <c r="CL261" s="12" t="n"/>
      <c r="CM261" s="12" t="n"/>
      <c r="CN261" s="12" t="n"/>
      <c r="CO261" s="12" t="n"/>
      <c r="CP261" s="12" t="n"/>
      <c r="CQ261" s="12" t="n"/>
      <c r="CR261" s="12" t="n"/>
      <c r="CS261" s="12" t="n"/>
      <c r="CT261" s="12" t="n"/>
      <c r="CU261" s="12" t="n"/>
      <c r="CV261" s="12" t="n"/>
      <c r="CW261" s="12" t="n"/>
      <c r="CX261" s="12" t="n"/>
      <c r="CY261" s="12" t="n"/>
    </row>
    <row r="262" customFormat="1" s="32">
      <c r="A262" s="30" t="inlineStr">
        <is>
          <t xml:space="preserve"> </t>
        </is>
      </c>
      <c r="B262" s="30" t="n"/>
      <c r="C262" s="65" t="inlineStr">
        <is>
          <t>Total Shareholders' Equity</t>
        </is>
      </c>
      <c r="D262" s="35" t="n"/>
      <c r="E262" s="35" t="n"/>
      <c r="F262" s="35" t="n"/>
      <c r="G262" s="35" t="n"/>
      <c r="H262" s="35" t="n"/>
      <c r="I262" s="35">
        <f>SUM(I239+I244+I245+I258+I259+I260+I261)</f>
        <v>6333</v>
      </c>
      <c r="J262" s="35">
        <f>SUM(J239+J244+J245+J258+J259+J260+J261)</f>
        <v>6530</v>
      </c>
      <c r="K262" s="35">
        <f>SUM(K239+K244+K245+K258+K259+K260+K261)</f>
        <v>9631</v>
      </c>
      <c r="L262" s="35">
        <f>SUM(L239+L244+L245+L258+L259+L260+L261)</f>
        <v>10959</v>
      </c>
      <c r="M262" s="35">
        <f>SUM(M239,M244,M245,M258,M259,M260,M261)</f>
        <v>10959</v>
      </c>
      <c r="N262" s="35">
        <f>SUM(N239+N244+N245+N258+N259+N260+N261)</f>
        <v>10002</v>
      </c>
      <c r="O262" s="35">
        <f>SUM(O239+O244+O245+O258+O259+O260+O261)</f>
        <v>11432</v>
      </c>
      <c r="P262" s="35">
        <f>SUM(P239+P244+P245+P258+P259+P260+P261)</f>
        <v>11966</v>
      </c>
      <c r="Q262" s="35">
        <f>SUM(Q239+Q244+Q245+Q258+Q259+Q260+Q261)</f>
        <v>9266</v>
      </c>
      <c r="R262" s="35">
        <f>SUM(R239,R244,R245,R258,R259,R260,R261)</f>
        <v>9266</v>
      </c>
      <c r="S262" s="35">
        <f>SUM(S239+S244+S245+S258+S259+S260+S261)</f>
        <v>9646</v>
      </c>
      <c r="T262" s="35">
        <f>SUM(T239+T244+T245+T258+T259+T260+T261)</f>
        <v>9240</v>
      </c>
      <c r="U262" s="35">
        <f>SUM(U239+U244+U245+U258+U259+U260+U261)</f>
        <v>9274</v>
      </c>
      <c r="V262" s="35">
        <f>SUM(V239+V244+V245+V258+V259+V260+V261)</f>
        <v>6835</v>
      </c>
      <c r="W262" s="35">
        <f>SUM(W239,W244,W245,W258,W259,W260,W261)</f>
        <v>6835</v>
      </c>
      <c r="X262" s="35">
        <f>SUM(X239+X244+X245+X258+X259+X260+X261)</f>
        <v>6650</v>
      </c>
      <c r="Y262" s="35">
        <f>SUM(Y239+Y244+Y245+Y258+Y259+Y260+Y261)</f>
        <v>6175</v>
      </c>
      <c r="Z262" s="35">
        <f>SUM(Z239+Z244+Z245+Z258+Z259+Z260+Z261)</f>
        <v>7200</v>
      </c>
      <c r="AA262" s="35">
        <f>SUM(AA239+AA244+AA245+AA258+AA259+AA260+AA261)</f>
        <v>6333</v>
      </c>
      <c r="AB262" s="35">
        <f>SUM(AB239,AB244,AB245,AB258,AB259,AB260,AB261)</f>
        <v>6333</v>
      </c>
      <c r="AC262" s="35">
        <f>SUM(AC239+AC244+AC245+AC258+AC259+AC260+AC261)</f>
        <v>6683</v>
      </c>
      <c r="AD262" s="35">
        <f>SUM(AD239+AD244+AD245+AD258+AD259+AD260+AD261)</f>
        <v>5334</v>
      </c>
      <c r="AE262" s="35">
        <f>SUM(AE239+AE244+AE245+AE258+AE259+AE260+AE261)</f>
        <v>6181</v>
      </c>
      <c r="AF262" s="35">
        <f>SUM(AF239+AF244+AF245+AF258+AF259+AF260+AF261)</f>
        <v>6721</v>
      </c>
      <c r="AG262" s="35">
        <f>SUM(AG239,AG244,AG245,AG258,AG259,AG260,AG261)</f>
        <v>6721</v>
      </c>
      <c r="AH262" s="35">
        <f>SUM(AH239+AH244+AH245+AH258+AH259+AH260+AH261)</f>
        <v>7489</v>
      </c>
      <c r="AI262" s="35">
        <f>SUM(AI239+AI244+AI245+AI258+AI259+AI260+AI261)</f>
        <v>8768</v>
      </c>
      <c r="AJ262" s="35">
        <f>SUM(AJ239+AJ244+AJ245+AJ258+AJ259+AJ260+AJ261)</f>
        <v>10448.1316814221</v>
      </c>
      <c r="AK262" s="35">
        <f>SUM(AK239+AK244+AK245+AK258+AK259+AK260+AK261)</f>
        <v>12282.8329495277</v>
      </c>
      <c r="AL262" s="35">
        <f>SUM(AL239,AL244,AL245,AL258,AL259,AL260,AL261)</f>
        <v>12282.8329495277</v>
      </c>
      <c r="AM262" s="35">
        <f>SUM(AM239+AM244+AM245+AM258+AM259+AM260+AM261)</f>
        <v>13909.8764785141</v>
      </c>
      <c r="AN262" s="35">
        <f>SUM(AN239+AN244+AN245+AN258+AN259+AN260+AN261)</f>
        <v>15721.2839654489</v>
      </c>
      <c r="AO262" s="35">
        <f>SUM(AO239+AO244+AO245+AO258+AO259+AO260+AO261)</f>
        <v>17494.9531412456</v>
      </c>
      <c r="AP262" s="35">
        <f>SUM(AP239+AP244+AP245+AP258+AP259+AP260+AP261)</f>
        <v>19431.7972124673</v>
      </c>
      <c r="AQ262" s="35">
        <f>SUM(AQ239,AQ244,AQ245,AQ258,AQ259,AQ260,AQ261)</f>
        <v>19431.7972124673</v>
      </c>
      <c r="AR262" s="35">
        <f>SUM(AR239+AR244+AR245+AR258+AR259+AR260+AR261)</f>
        <v>21141.2874565361</v>
      </c>
      <c r="AS262" s="35">
        <f>SUM(AS239+AS244+AS245+AS258+AS259+AS260+AS261)</f>
        <v>23044.4838810826</v>
      </c>
      <c r="AT262" s="35">
        <f>SUM(AT239+AT244+AT245+AT258+AT259+AT260+AT261)</f>
        <v>24908.0296917586</v>
      </c>
      <c r="AU262" s="35">
        <f>SUM(AU239+AU244+AU245+AU258+AU259+AU260+AU261)</f>
        <v>26943.0189130358</v>
      </c>
      <c r="AV262" s="35">
        <f>SUM(AV239,AV244,AV245,AV258,AV259,AV260,AV261)</f>
        <v>26943.0189130358</v>
      </c>
      <c r="AW262" s="35">
        <f>SUM(AW239+AW244+AW245+AW258+AW259+AW260+AW261)</f>
        <v>28730.5862199665</v>
      </c>
      <c r="AX262" s="35">
        <f>SUM(AX239+AX244+AX245+AX258+AX259+AX260+AX261)</f>
        <v>30720.7067947931</v>
      </c>
      <c r="AY262" s="35">
        <f>SUM(AY239+AY244+AY245+AY258+AY259+AY260+AY261)</f>
        <v>32669.3658045124</v>
      </c>
      <c r="AZ262" s="35">
        <f>SUM(AZ239+AZ244+AZ245+AZ258+AZ259+AZ260+AZ261)</f>
        <v>34797.2985110795</v>
      </c>
      <c r="BA262" s="35">
        <f>SUM(BA239,BA244,BA245,BA258,BA259,BA260,BA261)</f>
        <v>34797.2985110795</v>
      </c>
      <c r="BB262" s="35">
        <f>SUM(BB239+BB244+BB245+BB258+BB259+BB260+BB261)</f>
        <v>36657.5710358757</v>
      </c>
      <c r="BC262" s="35">
        <f>SUM(BC239+BC244+BC245+BC258+BC259+BC260+BC261)</f>
        <v>38728.6352201599</v>
      </c>
      <c r="BD262" s="35">
        <f>SUM(BD239+BD244+BD245+BD258+BD259+BD260+BD261)</f>
        <v>40756.5514848636</v>
      </c>
      <c r="BE262" s="35">
        <f>SUM(BE239+BE244+BE245+BE258+BE259+BE260+BE261)</f>
        <v>42971.0329946194</v>
      </c>
      <c r="BF262" s="35">
        <f>SUM(BF239,BF244,BF245,BF258,BF259,BF260,BF261)</f>
        <v>42971.0329946194</v>
      </c>
      <c r="BG262" s="35" t="n"/>
      <c r="BH262" s="35" t="n"/>
      <c r="BI262" s="35" t="n"/>
      <c r="BJ262" s="35" t="n"/>
      <c r="BK262" s="35" t="n"/>
      <c r="BL262" s="35" t="n"/>
      <c r="BM262" s="35" t="n"/>
      <c r="BN262" s="35" t="n"/>
      <c r="BO262" s="35" t="n"/>
      <c r="BP262" s="35" t="n"/>
      <c r="BQ262" s="35" t="n"/>
      <c r="BR262" s="35" t="n"/>
      <c r="BS262" s="35" t="n"/>
      <c r="BT262" s="35" t="n"/>
      <c r="BU262" s="35" t="n"/>
      <c r="BV262" s="35" t="n"/>
      <c r="BW262" s="35" t="n"/>
      <c r="BX262" s="35" t="n"/>
      <c r="BY262" s="35" t="n"/>
      <c r="BZ262" s="35" t="n"/>
      <c r="CA262" s="35" t="n"/>
      <c r="CB262" s="35" t="n"/>
      <c r="CC262" s="35" t="n"/>
      <c r="CD262" s="35" t="n"/>
      <c r="CE262" s="35" t="n"/>
      <c r="CF262" s="35" t="n"/>
      <c r="CG262" s="35" t="n"/>
      <c r="CH262" s="35" t="n"/>
      <c r="CI262" s="35" t="n"/>
      <c r="CJ262" s="35" t="n"/>
      <c r="CK262" s="35" t="n"/>
      <c r="CL262" s="35" t="n"/>
      <c r="CM262" s="35" t="n"/>
      <c r="CN262" s="35" t="n"/>
      <c r="CO262" s="35" t="n"/>
      <c r="CP262" s="35" t="n"/>
      <c r="CQ262" s="35" t="n"/>
      <c r="CR262" s="35" t="n"/>
      <c r="CS262" s="35" t="n"/>
      <c r="CT262" s="35" t="n"/>
      <c r="CU262" s="35" t="n"/>
      <c r="CV262" s="35" t="n"/>
      <c r="CW262" s="35" t="n"/>
      <c r="CX262" s="35" t="n"/>
      <c r="CY262" s="35" t="n"/>
    </row>
    <row r="263">
      <c r="C263" s="10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  <c r="AJ263" s="12" t="n"/>
      <c r="AK263" s="12" t="n"/>
      <c r="AL263" s="12" t="n"/>
      <c r="AM263" s="12" t="n"/>
      <c r="AN263" s="12" t="n"/>
      <c r="AO263" s="12" t="n"/>
      <c r="AP263" s="12" t="n"/>
      <c r="AQ263" s="12" t="n"/>
      <c r="AR263" s="12" t="n"/>
      <c r="AS263" s="12" t="n"/>
      <c r="AT263" s="12" t="n"/>
      <c r="AU263" s="12" t="n"/>
      <c r="AV263" s="12" t="n"/>
      <c r="AW263" s="12" t="n"/>
      <c r="AX263" s="12" t="n"/>
      <c r="AY263" s="12" t="n"/>
      <c r="AZ263" s="12" t="n"/>
      <c r="BA263" s="12" t="n"/>
      <c r="BB263" s="12" t="n"/>
      <c r="BC263" s="12" t="n"/>
      <c r="BD263" s="12" t="n"/>
      <c r="BE263" s="12" t="n"/>
      <c r="BF263" s="12" t="n"/>
      <c r="BG263" s="12" t="n"/>
      <c r="BH263" s="12" t="n"/>
      <c r="BI263" s="12" t="n"/>
      <c r="BJ263" s="12" t="n"/>
      <c r="BK263" s="12" t="n"/>
      <c r="BL263" s="12" t="n"/>
      <c r="BM263" s="12" t="n"/>
      <c r="BN263" s="12" t="n"/>
      <c r="BO263" s="12" t="n"/>
      <c r="BP263" s="12" t="n"/>
      <c r="BQ263" s="12" t="n"/>
      <c r="BR263" s="12" t="n"/>
      <c r="BS263" s="12" t="n"/>
      <c r="BT263" s="12" t="n"/>
      <c r="BU263" s="12" t="n"/>
      <c r="BV263" s="12" t="n"/>
      <c r="BW263" s="12" t="n"/>
      <c r="BX263" s="12" t="n"/>
      <c r="BY263" s="12" t="n"/>
      <c r="BZ263" s="12" t="n"/>
      <c r="CA263" s="12" t="n"/>
      <c r="CB263" s="12" t="n"/>
      <c r="CC263" s="12" t="n"/>
      <c r="CD263" s="12" t="n"/>
      <c r="CE263" s="12" t="n"/>
      <c r="CF263" s="12" t="n"/>
      <c r="CG263" s="12" t="n"/>
      <c r="CH263" s="12" t="n"/>
      <c r="CI263" s="12" t="n"/>
      <c r="CJ263" s="12" t="n"/>
      <c r="CK263" s="12" t="n"/>
      <c r="CL263" s="12" t="n"/>
      <c r="CM263" s="12" t="n"/>
      <c r="CN263" s="12" t="n"/>
      <c r="CO263" s="12" t="n"/>
      <c r="CP263" s="12" t="n"/>
      <c r="CQ263" s="12" t="n"/>
      <c r="CR263" s="12" t="n"/>
      <c r="CS263" s="12" t="n"/>
      <c r="CT263" s="12" t="n"/>
      <c r="CU263" s="12" t="n"/>
      <c r="CV263" s="12" t="n"/>
      <c r="CW263" s="12" t="n"/>
      <c r="CX263" s="12" t="n"/>
      <c r="CY263" s="12" t="n"/>
    </row>
    <row r="264" customFormat="1" s="32">
      <c r="A264" s="30" t="n"/>
      <c r="B264" s="3" t="n"/>
      <c r="C264" s="33" t="inlineStr">
        <is>
          <t>Total Liabilities + Shareholders' Equity</t>
        </is>
      </c>
      <c r="D264" s="35" t="n"/>
      <c r="E264" s="35" t="n"/>
      <c r="F264" s="35" t="n"/>
      <c r="G264" s="35" t="n"/>
      <c r="H264" s="35" t="n"/>
      <c r="I264" s="35">
        <f>I262+I238</f>
        <v>51437</v>
      </c>
      <c r="J264" s="35">
        <f>J262+J238</f>
        <v>52099</v>
      </c>
      <c r="K264" s="35">
        <f>K262+K238</f>
        <v>51843</v>
      </c>
      <c r="L264" s="35">
        <f>L262+L238</f>
        <v>50873</v>
      </c>
      <c r="M264" s="35">
        <f>M262+M238</f>
        <v>50873</v>
      </c>
      <c r="N264" s="35">
        <f>N262+N238</f>
        <v>51510</v>
      </c>
      <c r="O264" s="35">
        <f>O262+O238</f>
        <v>51758</v>
      </c>
      <c r="P264" s="35">
        <f>P262+P238</f>
        <v>52030</v>
      </c>
      <c r="Q264" s="35">
        <f>Q262+Q238</f>
        <v>52880</v>
      </c>
      <c r="R264" s="35">
        <f>R262+R238</f>
        <v>52880</v>
      </c>
      <c r="S264" s="35">
        <f>S262+S238</f>
        <v>54622</v>
      </c>
      <c r="T264" s="35">
        <f>T262+T238</f>
        <v>56978</v>
      </c>
      <c r="U264" s="35">
        <f>U262+U238</f>
        <v>56666</v>
      </c>
      <c r="V264" s="35">
        <f>V262+V238</f>
        <v>52456</v>
      </c>
      <c r="W264" s="35">
        <f>W262+W238</f>
        <v>52456</v>
      </c>
      <c r="X264" s="35">
        <f>X262+X238</f>
        <v>54963</v>
      </c>
      <c r="Y264" s="35">
        <f>Y262+Y238</f>
        <v>55076</v>
      </c>
      <c r="Z264" s="35">
        <f>Z262+Z238</f>
        <v>55520</v>
      </c>
      <c r="AA264" s="35">
        <f>AA262+AA238</f>
        <v>55617</v>
      </c>
      <c r="AB264" s="35">
        <f>AB262+AB238</f>
        <v>55617</v>
      </c>
      <c r="AC264" s="35">
        <f>AC262+AC238</f>
        <v>56669</v>
      </c>
      <c r="AD264" s="35">
        <f>AD262+AD238</f>
        <v>58870</v>
      </c>
      <c r="AE264" s="35">
        <f>AE262+AE238</f>
        <v>60276</v>
      </c>
      <c r="AF264" s="35">
        <f>AF262+AF238</f>
        <v>59840</v>
      </c>
      <c r="AG264" s="35">
        <f>AG262+AG238</f>
        <v>59840</v>
      </c>
      <c r="AH264" s="35">
        <f>AH262+AH238</f>
        <v>59238</v>
      </c>
      <c r="AI264" s="35">
        <f>AI262+AI238</f>
        <v>62450</v>
      </c>
      <c r="AJ264" s="35">
        <f>AJ262+AJ238</f>
        <v>63613.6706556128</v>
      </c>
      <c r="AK264" s="35">
        <f>AK262+AK238</f>
        <v>66014.1429265689</v>
      </c>
      <c r="AL264" s="35">
        <f>AL262+AL238</f>
        <v>66014.1429265689</v>
      </c>
      <c r="AM264" s="35">
        <f>AM262+AM238</f>
        <v>67395.5851996548</v>
      </c>
      <c r="AN264" s="35">
        <f>AN262+AN238</f>
        <v>69827.0710397711</v>
      </c>
      <c r="AO264" s="35">
        <f>AO262+AO238</f>
        <v>71663.2079386653</v>
      </c>
      <c r="AP264" s="35">
        <f>AP262+AP238</f>
        <v>74230.2042249009</v>
      </c>
      <c r="AQ264" s="35">
        <f>AQ262+AQ238</f>
        <v>74230.2042249009</v>
      </c>
      <c r="AR264" s="35">
        <f>AR262+AR238</f>
        <v>75625.0453468756</v>
      </c>
      <c r="AS264" s="35">
        <f>AS262+AS238</f>
        <v>78242.7406126205</v>
      </c>
      <c r="AT264" s="35">
        <f>AT262+AT238</f>
        <v>80186.2651442984</v>
      </c>
      <c r="AU264" s="35">
        <f>AU262+AU238</f>
        <v>82897.3198053808</v>
      </c>
      <c r="AV264" s="35">
        <f>AV262+AV238</f>
        <v>82897.3198053808</v>
      </c>
      <c r="AW264" s="35">
        <f>AW262+AW238</f>
        <v>84393.1501066612</v>
      </c>
      <c r="AX264" s="35">
        <f>AX262+AX238</f>
        <v>87090.338622949</v>
      </c>
      <c r="AY264" s="35">
        <f>AY262+AY238</f>
        <v>89132.4591640687</v>
      </c>
      <c r="AZ264" s="35">
        <f>AZ262+AZ238</f>
        <v>91976.3983387862</v>
      </c>
      <c r="BA264" s="35">
        <f>BA262+BA238</f>
        <v>91976.3983387862</v>
      </c>
      <c r="BB264" s="35">
        <f>BB262+BB238</f>
        <v>93513.0026729985</v>
      </c>
      <c r="BC264" s="35">
        <f>BC262+BC238</f>
        <v>96324.4753421881</v>
      </c>
      <c r="BD264" s="35">
        <f>BD262+BD238</f>
        <v>98453.1642667087</v>
      </c>
      <c r="BE264" s="35">
        <f>BE262+BE238</f>
        <v>101415.110484255</v>
      </c>
      <c r="BF264" s="35">
        <f>BF262+BF238</f>
        <v>101415.110484255</v>
      </c>
      <c r="BG264" s="35" t="n"/>
      <c r="BH264" s="35" t="n"/>
      <c r="BI264" s="35" t="n"/>
      <c r="BJ264" s="35" t="n"/>
      <c r="BK264" s="35" t="n"/>
      <c r="BL264" s="35" t="n"/>
      <c r="BM264" s="35" t="n"/>
      <c r="BN264" s="35" t="n"/>
      <c r="BO264" s="35" t="n"/>
      <c r="BP264" s="35" t="n"/>
      <c r="BQ264" s="35" t="n"/>
      <c r="BR264" s="35" t="n"/>
      <c r="BS264" s="35" t="n"/>
      <c r="BT264" s="35" t="n"/>
      <c r="BU264" s="35" t="n"/>
      <c r="BV264" s="35" t="n"/>
      <c r="BW264" s="35" t="n"/>
      <c r="BX264" s="35" t="n"/>
      <c r="BY264" s="35" t="n"/>
      <c r="BZ264" s="35" t="n"/>
      <c r="CA264" s="35" t="n"/>
      <c r="CB264" s="35" t="n"/>
      <c r="CC264" s="35" t="n"/>
      <c r="CD264" s="35" t="n"/>
      <c r="CE264" s="35" t="n"/>
      <c r="CF264" s="35" t="n"/>
      <c r="CG264" s="35" t="n"/>
      <c r="CH264" s="35" t="n"/>
      <c r="CI264" s="35" t="n"/>
      <c r="CJ264" s="35" t="n"/>
      <c r="CK264" s="35" t="n"/>
      <c r="CL264" s="35" t="n"/>
      <c r="CM264" s="35" t="n"/>
      <c r="CN264" s="35" t="n"/>
      <c r="CO264" s="35" t="n"/>
      <c r="CP264" s="35" t="n"/>
      <c r="CQ264" s="35" t="n"/>
      <c r="CR264" s="35" t="n"/>
      <c r="CS264" s="35" t="n"/>
      <c r="CT264" s="35" t="n"/>
      <c r="CU264" s="35" t="n"/>
      <c r="CV264" s="35" t="n"/>
      <c r="CW264" s="35" t="n"/>
      <c r="CX264" s="35" t="n"/>
      <c r="CY264" s="35" t="n"/>
    </row>
    <row r="265">
      <c r="C265" s="18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  <c r="AA265" s="3" t="n"/>
      <c r="AB265" s="3" t="n"/>
      <c r="AC265" s="3" t="n"/>
      <c r="AD265" s="3" t="n"/>
      <c r="AE265" s="3" t="n"/>
      <c r="AF265" s="3" t="n"/>
      <c r="AG265" s="3" t="n"/>
      <c r="AH265" s="3" t="n"/>
      <c r="AI265" s="3" t="n"/>
      <c r="AJ265" s="3" t="n"/>
      <c r="AK265" s="3" t="n"/>
      <c r="AL265" s="3" t="n"/>
      <c r="AM265" s="3" t="n"/>
      <c r="AN265" s="3" t="n"/>
      <c r="AO265" s="3" t="n"/>
      <c r="AP265" s="3" t="n"/>
      <c r="AQ265" s="3" t="n"/>
      <c r="AR265" s="3" t="n"/>
      <c r="AS265" s="3" t="n"/>
      <c r="AT265" s="3" t="n"/>
      <c r="AU265" s="3" t="n"/>
      <c r="AV265" s="3" t="n"/>
      <c r="AW265" s="3" t="n"/>
      <c r="AX265" s="3" t="n"/>
      <c r="AY265" s="3" t="n"/>
      <c r="AZ265" s="3" t="n"/>
      <c r="BA265" s="3" t="n"/>
      <c r="BB265" s="3" t="n"/>
      <c r="BC265" s="3" t="n"/>
      <c r="BD265" s="3" t="n"/>
      <c r="BE265" s="3" t="n"/>
      <c r="BF265" s="3" t="n"/>
      <c r="BG265" s="3" t="n"/>
      <c r="BH265" s="3" t="n"/>
      <c r="BI265" s="3" t="n"/>
      <c r="BJ265" s="3" t="n"/>
      <c r="BK265" s="3" t="n"/>
      <c r="BL265" s="3" t="n"/>
      <c r="BM265" s="3" t="n"/>
      <c r="BN265" s="3" t="n"/>
      <c r="BO265" s="3" t="n"/>
      <c r="BP265" s="3" t="n"/>
      <c r="BQ265" s="3" t="n"/>
      <c r="BR265" s="3" t="n"/>
      <c r="BS265" s="3" t="n"/>
      <c r="BT265" s="3" t="n"/>
      <c r="BU265" s="3" t="n"/>
      <c r="BV265" s="3" t="n"/>
      <c r="BW265" s="3" t="n"/>
      <c r="BX265" s="3" t="n"/>
      <c r="BY265" s="3" t="n"/>
      <c r="BZ265" s="3" t="n"/>
      <c r="CA265" s="3" t="n"/>
      <c r="CB265" s="3" t="n"/>
      <c r="CC265" s="3" t="n"/>
      <c r="CD265" s="3" t="n"/>
      <c r="CE265" s="3" t="n"/>
      <c r="CF265" s="3" t="n"/>
      <c r="CG265" s="3" t="n"/>
      <c r="CH265" s="3" t="n"/>
      <c r="CI265" s="3" t="n"/>
      <c r="CJ265" s="3" t="n"/>
      <c r="CK265" s="3" t="n"/>
      <c r="CL265" s="3" t="n"/>
      <c r="CM265" s="3" t="n"/>
      <c r="CN265" s="3" t="n"/>
      <c r="CO265" s="3" t="n"/>
      <c r="CP265" s="3" t="n"/>
      <c r="CQ265" s="3" t="n"/>
      <c r="CR265" s="3" t="n"/>
      <c r="CS265" s="3" t="n"/>
      <c r="CT265" s="3" t="n"/>
      <c r="CU265" s="3" t="n"/>
      <c r="CV265" s="3" t="n"/>
      <c r="CW265" s="3" t="n"/>
      <c r="CX265" s="3" t="n"/>
      <c r="CY265" s="3" t="n"/>
    </row>
    <row r="266" customFormat="1" s="32">
      <c r="A266" s="30" t="n"/>
      <c r="B266" s="30" t="n"/>
      <c r="C266" s="31" t="inlineStr">
        <is>
          <t>Cash Flow Statement</t>
        </is>
      </c>
      <c r="D266" s="70" t="n"/>
      <c r="E266" s="70" t="n"/>
      <c r="F266" s="70" t="n"/>
      <c r="G266" s="70" t="n"/>
      <c r="H266" s="70" t="n"/>
      <c r="I266" s="70" t="str">
        <f>I133</f>
        <v>1Q21</v>
      </c>
      <c r="J266" s="70" t="str">
        <f>J133</f>
        <v>2Q21</v>
      </c>
      <c r="K266" s="70" t="str">
        <f>K133</f>
        <v>3Q21</v>
      </c>
      <c r="L266" s="70" t="str">
        <f>L133</f>
        <v>4Q21</v>
      </c>
      <c r="M266" s="70">
        <f>M133</f>
        <v>2021</v>
      </c>
      <c r="N266" s="70" t="str">
        <f>N133</f>
        <v>1Q22</v>
      </c>
      <c r="O266" s="70" t="str">
        <f>O133</f>
        <v>2Q22</v>
      </c>
      <c r="P266" s="70" t="str">
        <f>P133</f>
        <v>3Q22</v>
      </c>
      <c r="Q266" s="70" t="str">
        <f>Q133</f>
        <v>4Q22</v>
      </c>
      <c r="R266" s="70">
        <f>R133</f>
        <v>2022</v>
      </c>
      <c r="S266" s="70" t="str">
        <f>S133</f>
        <v>1Q23</v>
      </c>
      <c r="T266" s="70" t="str">
        <f>T133</f>
        <v>2Q23</v>
      </c>
      <c r="U266" s="70" t="str">
        <f>U133</f>
        <v>3Q23</v>
      </c>
      <c r="V266" s="70" t="str">
        <f>V133</f>
        <v>4Q23</v>
      </c>
      <c r="W266" s="70">
        <f>W133</f>
        <v>2023</v>
      </c>
      <c r="X266" s="70" t="str">
        <f>X133</f>
        <v>1Q24</v>
      </c>
      <c r="Y266" s="70" t="str">
        <f>Y133</f>
        <v>2Q24</v>
      </c>
      <c r="Z266" s="70" t="str">
        <f>Z133</f>
        <v>3Q24</v>
      </c>
      <c r="AA266" s="70" t="str">
        <f>AA133</f>
        <v>4Q24</v>
      </c>
      <c r="AB266" s="70">
        <f>AB133</f>
        <v>2024</v>
      </c>
      <c r="AC266" s="70" t="str">
        <f>AC133</f>
        <v>1Q25</v>
      </c>
      <c r="AD266" s="70" t="str">
        <f>AD133</f>
        <v>2Q25</v>
      </c>
      <c r="AE266" s="70" t="str">
        <f>AE133</f>
        <v>3Q25</v>
      </c>
      <c r="AF266" s="70" t="str">
        <f>AF133</f>
        <v>4Q25</v>
      </c>
      <c r="AG266" s="70">
        <f>AG133</f>
        <v>2025</v>
      </c>
      <c r="AH266" s="70" t="str">
        <f>AH133</f>
        <v>1Q26</v>
      </c>
      <c r="AI266" s="70" t="str">
        <f>AI133</f>
        <v>2Q26</v>
      </c>
      <c r="AJ266" s="70" t="str">
        <f>AJ133</f>
        <v>3Q26</v>
      </c>
      <c r="AK266" s="70" t="str">
        <f>AK133</f>
        <v>4Q26</v>
      </c>
      <c r="AL266" s="70">
        <f>AL133</f>
        <v>2026</v>
      </c>
      <c r="AM266" s="70" t="str">
        <f>AM133</f>
        <v>1Q27</v>
      </c>
      <c r="AN266" s="70" t="str">
        <f>AN133</f>
        <v>2Q27</v>
      </c>
      <c r="AO266" s="70" t="str">
        <f>AO133</f>
        <v>3Q27</v>
      </c>
      <c r="AP266" s="70" t="str">
        <f>AP133</f>
        <v>4Q27</v>
      </c>
      <c r="AQ266" s="70">
        <f>AQ133</f>
        <v>2027</v>
      </c>
      <c r="AR266" s="70" t="str">
        <f>AR133</f>
        <v>1Q28</v>
      </c>
      <c r="AS266" s="70" t="str">
        <f>AS133</f>
        <v>2Q28</v>
      </c>
      <c r="AT266" s="70" t="str">
        <f>AT133</f>
        <v>3Q28</v>
      </c>
      <c r="AU266" s="70" t="str">
        <f>AU133</f>
        <v>4Q28</v>
      </c>
      <c r="AV266" s="70">
        <f>AV133</f>
        <v>2028</v>
      </c>
      <c r="AW266" s="70" t="str">
        <f>AW133</f>
        <v>1Q29</v>
      </c>
      <c r="AX266" s="70" t="str">
        <f>AX133</f>
        <v>2Q29</v>
      </c>
      <c r="AY266" s="70" t="str">
        <f>AY133</f>
        <v>3Q29</v>
      </c>
      <c r="AZ266" s="70" t="str">
        <f>AZ133</f>
        <v>4Q29</v>
      </c>
      <c r="BA266" s="70">
        <f>BA133</f>
        <v>2029</v>
      </c>
      <c r="BB266" s="70" t="str">
        <f>BB133</f>
        <v>1Q30</v>
      </c>
      <c r="BC266" s="70" t="str">
        <f>BC133</f>
        <v>2Q30</v>
      </c>
      <c r="BD266" s="70" t="str">
        <f>BD133</f>
        <v>3Q30</v>
      </c>
      <c r="BE266" s="70" t="str">
        <f>BE133</f>
        <v>4Q30</v>
      </c>
      <c r="BF266" s="70">
        <f>BF133</f>
        <v>2030</v>
      </c>
      <c r="BG266" s="70" t="n"/>
      <c r="BH266" s="70" t="n"/>
      <c r="BI266" s="70" t="n"/>
      <c r="BJ266" s="70" t="n"/>
      <c r="BK266" s="70" t="n"/>
      <c r="BL266" s="70" t="n"/>
      <c r="BM266" s="70" t="n"/>
      <c r="BN266" s="70" t="n"/>
      <c r="BO266" s="70" t="n"/>
      <c r="BP266" s="70" t="n"/>
      <c r="BQ266" s="70" t="n"/>
      <c r="BR266" s="70" t="n"/>
      <c r="BS266" s="70" t="n"/>
      <c r="BT266" s="70" t="n"/>
      <c r="BU266" s="70" t="n"/>
      <c r="BV266" s="70" t="n"/>
      <c r="BW266" s="70" t="n"/>
      <c r="BX266" s="70" t="n"/>
      <c r="BY266" s="70" t="n"/>
      <c r="BZ266" s="70" t="n"/>
      <c r="CA266" s="70" t="n"/>
      <c r="CB266" s="70" t="n"/>
      <c r="CC266" s="70" t="n"/>
      <c r="CD266" s="70" t="n"/>
      <c r="CE266" s="70" t="n"/>
      <c r="CF266" s="70" t="n"/>
      <c r="CG266" s="70" t="n"/>
      <c r="CH266" s="70" t="n"/>
      <c r="CI266" s="70" t="n"/>
      <c r="CJ266" s="70" t="n"/>
      <c r="CK266" s="70" t="n"/>
      <c r="CL266" s="70" t="n"/>
      <c r="CM266" s="70" t="n"/>
      <c r="CN266" s="70" t="n"/>
      <c r="CO266" s="70" t="n"/>
      <c r="CP266" s="70" t="n"/>
      <c r="CQ266" s="70" t="n"/>
      <c r="CR266" s="70" t="n"/>
      <c r="CS266" s="70" t="n"/>
      <c r="CT266" s="70" t="n"/>
      <c r="CU266" s="70" t="n"/>
      <c r="CV266" s="70" t="n"/>
      <c r="CW266" s="70" t="n"/>
      <c r="CX266" s="70" t="n"/>
      <c r="CY266" s="70" t="n"/>
    </row>
    <row r="267">
      <c r="C267" s="18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3" t="n"/>
      <c r="AD267" s="3" t="n"/>
      <c r="AE267" s="3" t="n"/>
      <c r="AF267" s="3" t="n"/>
      <c r="AG267" s="3" t="n"/>
      <c r="AH267" s="3" t="n"/>
      <c r="AI267" s="3" t="n"/>
      <c r="AJ267" s="3" t="n"/>
      <c r="AK267" s="3" t="n"/>
      <c r="AL267" s="3" t="n"/>
      <c r="AM267" s="3" t="n"/>
      <c r="AN267" s="3" t="n"/>
      <c r="AO267" s="3" t="n"/>
      <c r="AP267" s="3" t="n"/>
      <c r="AQ267" s="3" t="n"/>
      <c r="AR267" s="3" t="n"/>
      <c r="AS267" s="3" t="n"/>
      <c r="AT267" s="3" t="n"/>
      <c r="AU267" s="3" t="n"/>
      <c r="AV267" s="3" t="n"/>
      <c r="AW267" s="3" t="n"/>
      <c r="AX267" s="3" t="n"/>
      <c r="AY267" s="3" t="n"/>
      <c r="AZ267" s="3" t="n"/>
      <c r="BA267" s="3" t="n"/>
      <c r="BB267" s="3" t="n"/>
      <c r="BC267" s="3" t="n"/>
      <c r="BD267" s="3" t="n"/>
      <c r="BE267" s="3" t="n"/>
      <c r="BF267" s="3" t="n"/>
      <c r="BG267" s="3" t="n"/>
      <c r="BH267" s="3" t="n"/>
      <c r="BI267" s="3" t="n"/>
      <c r="BJ267" s="3" t="n"/>
      <c r="BK267" s="3" t="n"/>
      <c r="BL267" s="3" t="n"/>
      <c r="BM267" s="3" t="n"/>
      <c r="BN267" s="3" t="n"/>
      <c r="BO267" s="3" t="n"/>
      <c r="BP267" s="3" t="n"/>
      <c r="BQ267" s="3" t="n"/>
      <c r="BR267" s="3" t="n"/>
      <c r="BS267" s="3" t="n"/>
      <c r="BT267" s="3" t="n"/>
      <c r="BU267" s="3" t="n"/>
      <c r="BV267" s="3" t="n"/>
      <c r="BW267" s="3" t="n"/>
      <c r="BX267" s="3" t="n"/>
      <c r="BY267" s="3" t="n"/>
      <c r="BZ267" s="3" t="n"/>
      <c r="CA267" s="3" t="n"/>
      <c r="CB267" s="3" t="n"/>
      <c r="CC267" s="3" t="n"/>
      <c r="CD267" s="3" t="n"/>
      <c r="CE267" s="3" t="n"/>
      <c r="CF267" s="3" t="n"/>
      <c r="CG267" s="3" t="n"/>
      <c r="CH267" s="3" t="n"/>
      <c r="CI267" s="3" t="n"/>
      <c r="CJ267" s="3" t="n"/>
      <c r="CK267" s="3" t="n"/>
      <c r="CL267" s="3" t="n"/>
      <c r="CM267" s="3" t="n"/>
      <c r="CN267" s="3" t="n"/>
      <c r="CO267" s="3" t="n"/>
      <c r="CP267" s="3" t="n"/>
      <c r="CQ267" s="3" t="n"/>
      <c r="CR267" s="3" t="n"/>
      <c r="CS267" s="3" t="n"/>
      <c r="CT267" s="3" t="n"/>
      <c r="CU267" s="3" t="n"/>
      <c r="CV267" s="3" t="n"/>
      <c r="CW267" s="3" t="n"/>
      <c r="CX267" s="3" t="n"/>
      <c r="CY267" s="3" t="n"/>
    </row>
    <row r="268">
      <c r="C268" s="10" t="inlineStr">
        <is>
          <t>Net Income</t>
        </is>
      </c>
      <c r="D268" s="12" t="n"/>
      <c r="E268" s="12" t="n"/>
      <c r="F268" s="12" t="n"/>
      <c r="G268" s="12" t="n"/>
      <c r="H268" s="12" t="n"/>
      <c r="I268" s="12" t="n"/>
      <c r="J268" s="12">
        <f>J128</f>
        <v>1815</v>
      </c>
      <c r="K268" s="12">
        <f>K128</f>
        <v>614</v>
      </c>
      <c r="L268" s="12">
        <f>L128</f>
        <v>2049</v>
      </c>
      <c r="M268" s="12" t="n"/>
      <c r="N268" s="12">
        <f>N128</f>
        <v>1733</v>
      </c>
      <c r="O268" s="12">
        <f>O128</f>
        <v>309</v>
      </c>
      <c r="P268" s="12">
        <f>P128</f>
        <v>1778</v>
      </c>
      <c r="Q268" s="12">
        <f>Q128</f>
        <v>1912</v>
      </c>
      <c r="R268" s="12">
        <f>SUM(N268:Q268)</f>
        <v>5732</v>
      </c>
      <c r="S268" s="12">
        <f>S128</f>
        <v>1689</v>
      </c>
      <c r="T268" s="12">
        <f>T128</f>
        <v>1681</v>
      </c>
      <c r="U268" s="12">
        <f>U128</f>
        <v>1684</v>
      </c>
      <c r="V268" s="12">
        <f>V128</f>
        <v>1866</v>
      </c>
      <c r="W268" s="12">
        <f>SUM(S268:V268)</f>
        <v>6920</v>
      </c>
      <c r="X268" s="12">
        <f>X128</f>
        <v>1545</v>
      </c>
      <c r="Y268" s="12">
        <f>Y128</f>
        <v>1641</v>
      </c>
      <c r="Z268" s="12">
        <f>Z128</f>
        <v>1623</v>
      </c>
      <c r="AA268" s="12">
        <f>AA128</f>
        <v>527</v>
      </c>
      <c r="AB268" s="12">
        <f>SUM(X268:AA268)</f>
        <v>5336</v>
      </c>
      <c r="AC268" s="12">
        <f>AC128</f>
        <v>1712</v>
      </c>
      <c r="AD268" s="12">
        <f>AD128</f>
        <v>342</v>
      </c>
      <c r="AE268" s="12">
        <f>AE128</f>
        <v>1619</v>
      </c>
      <c r="AF268" s="12">
        <f>AF128</f>
        <v>1344</v>
      </c>
      <c r="AG268" s="12">
        <f>SUM(AC268:AF268)</f>
        <v>5017</v>
      </c>
      <c r="AH268" s="12">
        <f>AH128</f>
        <v>1488</v>
      </c>
      <c r="AI268" s="12">
        <f>AI128</f>
        <v>1836</v>
      </c>
      <c r="AJ268" s="12">
        <f>AJ128</f>
        <v>1680.13168142207</v>
      </c>
      <c r="AK268" s="12">
        <f>AK128</f>
        <v>1834.70126810564</v>
      </c>
      <c r="AL268" s="12">
        <f>SUM(AH268:AK268)</f>
        <v>6838.83294952771</v>
      </c>
      <c r="AM268" s="12">
        <f>AM128</f>
        <v>1627.04352898636</v>
      </c>
      <c r="AN268" s="12">
        <f>AN128</f>
        <v>1811.40748693487</v>
      </c>
      <c r="AO268" s="12">
        <f>AO128</f>
        <v>1773.66917579666</v>
      </c>
      <c r="AP268" s="12">
        <f>AP128</f>
        <v>1936.84407122166</v>
      </c>
      <c r="AQ268" s="12">
        <f>SUM(AM268:AP268)</f>
        <v>7148.96426293954</v>
      </c>
      <c r="AR268" s="12">
        <f>AR128</f>
        <v>1709.49024406884</v>
      </c>
      <c r="AS268" s="12">
        <f>AS128</f>
        <v>1903.19642454653</v>
      </c>
      <c r="AT268" s="12">
        <f>AT128</f>
        <v>1863.54581067599</v>
      </c>
      <c r="AU268" s="12">
        <f>AU128</f>
        <v>2034.98922127717</v>
      </c>
      <c r="AV268" s="12">
        <f>SUM(AR268:AU268)</f>
        <v>7511.22170056853</v>
      </c>
      <c r="AW268" s="12">
        <f>AW128</f>
        <v>1787.56730693069</v>
      </c>
      <c r="AX268" s="12">
        <f>AX128</f>
        <v>1990.12057482662</v>
      </c>
      <c r="AY268" s="12">
        <f>AY128</f>
        <v>1948.65900971934</v>
      </c>
      <c r="AZ268" s="12">
        <f>AZ128</f>
        <v>2127.93270656707</v>
      </c>
      <c r="BA268" s="12">
        <f>SUM(AW268:AZ268)</f>
        <v>7854.27959804372</v>
      </c>
      <c r="BB268" s="12">
        <f>BB128</f>
        <v>1860.27252479618</v>
      </c>
      <c r="BC268" s="12">
        <f>BC128</f>
        <v>2071.06418428421</v>
      </c>
      <c r="BD268" s="12">
        <f>BD128</f>
        <v>2027.91626470374</v>
      </c>
      <c r="BE268" s="12">
        <f>BE128</f>
        <v>2214.48150975575</v>
      </c>
      <c r="BF268" s="12">
        <f>SUM(BB268:BE268)</f>
        <v>8173.73448353987</v>
      </c>
      <c r="BG268" s="12" t="n"/>
      <c r="BH268" s="12" t="n"/>
      <c r="BI268" s="12" t="n"/>
      <c r="BJ268" s="12" t="n"/>
      <c r="BK268" s="12" t="n"/>
      <c r="BL268" s="12" t="n"/>
      <c r="BM268" s="12" t="n"/>
      <c r="BN268" s="12" t="n"/>
      <c r="BO268" s="12" t="n"/>
      <c r="BP268" s="12" t="n"/>
      <c r="BQ268" s="12" t="n"/>
      <c r="BR268" s="12" t="n"/>
      <c r="BS268" s="12" t="n"/>
      <c r="BT268" s="12" t="n"/>
      <c r="BU268" s="12" t="n"/>
      <c r="BV268" s="12" t="n"/>
      <c r="BW268" s="12" t="n"/>
      <c r="BX268" s="12" t="n"/>
      <c r="BY268" s="12" t="n"/>
      <c r="BZ268" s="12" t="n"/>
      <c r="CA268" s="12" t="n"/>
      <c r="CB268" s="12" t="n"/>
      <c r="CC268" s="12" t="n"/>
      <c r="CD268" s="12" t="n"/>
      <c r="CE268" s="12" t="n"/>
      <c r="CF268" s="12" t="n"/>
      <c r="CG268" s="12" t="n"/>
      <c r="CH268" s="12" t="n"/>
      <c r="CI268" s="12" t="n"/>
      <c r="CJ268" s="12" t="n"/>
      <c r="CK268" s="12" t="n"/>
      <c r="CL268" s="12" t="n"/>
      <c r="CM268" s="12" t="n"/>
      <c r="CN268" s="12" t="n"/>
      <c r="CO268" s="12" t="n"/>
      <c r="CP268" s="12" t="n"/>
      <c r="CQ268" s="12" t="n"/>
      <c r="CR268" s="12" t="n"/>
      <c r="CS268" s="12" t="n"/>
      <c r="CT268" s="12" t="n"/>
      <c r="CU268" s="12" t="n"/>
      <c r="CV268" s="12" t="n"/>
      <c r="CW268" s="12" t="n"/>
      <c r="CX268" s="12" t="n"/>
      <c r="CY268" s="12" t="n"/>
    </row>
    <row r="269">
      <c r="C269" s="10" t="inlineStr">
        <is>
          <t>Depreciation &amp; amortization</t>
        </is>
      </c>
      <c r="D269" s="12" t="n"/>
      <c r="E269" s="12" t="n"/>
      <c r="F269" s="12" t="n"/>
      <c r="G269" s="12" t="n"/>
      <c r="H269" s="12" t="n"/>
      <c r="I269" s="12" t="n"/>
      <c r="J269" s="12">
        <f>-J61</f>
        <v>334</v>
      </c>
      <c r="K269" s="12">
        <f>-K61</f>
        <v>329</v>
      </c>
      <c r="L269" s="12">
        <f>-L61</f>
        <v>365</v>
      </c>
      <c r="M269" s="12" t="n"/>
      <c r="N269" s="12">
        <f>-N61</f>
        <v>329</v>
      </c>
      <c r="O269" s="12">
        <f>-O61</f>
        <v>343</v>
      </c>
      <c r="P269" s="12">
        <f>-P61</f>
        <v>293</v>
      </c>
      <c r="Q269" s="12">
        <f>-Q61</f>
        <v>439</v>
      </c>
      <c r="R269" s="12">
        <f>SUM(N269:Q269)</f>
        <v>1404</v>
      </c>
      <c r="S269" s="12">
        <f>-S61</f>
        <v>325</v>
      </c>
      <c r="T269" s="12">
        <f>-T61</f>
        <v>334</v>
      </c>
      <c r="U269" s="12">
        <f>-U61</f>
        <v>350</v>
      </c>
      <c r="V269" s="12">
        <f>-V61</f>
        <v>421</v>
      </c>
      <c r="W269" s="12">
        <f>SUM(S269:V269)</f>
        <v>1430</v>
      </c>
      <c r="X269" s="12">
        <f>-X61</f>
        <v>351</v>
      </c>
      <c r="Y269" s="12">
        <f>-Y61</f>
        <v>359</v>
      </c>
      <c r="Z269" s="12">
        <f>-Z61</f>
        <v>390</v>
      </c>
      <c r="AA269" s="12">
        <f>-AA61</f>
        <v>459</v>
      </c>
      <c r="AB269" s="12">
        <f>SUM(X269:AA269)</f>
        <v>1559</v>
      </c>
      <c r="AC269" s="12">
        <f>-AC61</f>
        <v>397</v>
      </c>
      <c r="AD269" s="12">
        <f>-AD61</f>
        <v>399</v>
      </c>
      <c r="AE269" s="12">
        <f>-AE61</f>
        <v>428</v>
      </c>
      <c r="AF269" s="12">
        <f>-AF61</f>
        <v>463</v>
      </c>
      <c r="AG269" s="12">
        <f>SUM(AC269:AF269)</f>
        <v>1687</v>
      </c>
      <c r="AH269" s="12">
        <f>-AH61</f>
        <v>398</v>
      </c>
      <c r="AI269" s="12">
        <f>-AI61</f>
        <v>400</v>
      </c>
      <c r="AJ269" s="12">
        <f>-AJ61</f>
        <v>431.813377621333</v>
      </c>
      <c r="AK269" s="12">
        <f>-AK61</f>
        <v>471.539558635236</v>
      </c>
      <c r="AL269" s="12">
        <f>SUM(AH269:AK269)</f>
        <v>1701.35293625657</v>
      </c>
      <c r="AM269" s="12">
        <f>-AM61</f>
        <v>418.169105170296</v>
      </c>
      <c r="AN269" s="12">
        <f>-AN61</f>
        <v>465.552786029168</v>
      </c>
      <c r="AO269" s="12">
        <f>-AO61</f>
        <v>455.85360126972</v>
      </c>
      <c r="AP269" s="12">
        <f>-AP61</f>
        <v>497.791446687193</v>
      </c>
      <c r="AQ269" s="12">
        <f>SUM(AM269:AP269)</f>
        <v>1837.36693915638</v>
      </c>
      <c r="AR269" s="12">
        <f>-AR61</f>
        <v>439.358869584128</v>
      </c>
      <c r="AS269" s="12">
        <f>-AS61</f>
        <v>489.143610258386</v>
      </c>
      <c r="AT269" s="12">
        <f>-AT61</f>
        <v>478.952941461695</v>
      </c>
      <c r="AU269" s="12">
        <f>-AU61</f>
        <v>523.015891420447</v>
      </c>
      <c r="AV269" s="12">
        <f>SUM(AR269:AU269)</f>
        <v>1930.47131272466</v>
      </c>
      <c r="AW269" s="12">
        <f>-AW61</f>
        <v>459.42558256974</v>
      </c>
      <c r="AX269" s="12">
        <f>-AX61</f>
        <v>511.484127578752</v>
      </c>
      <c r="AY269" s="12">
        <f>-AY61</f>
        <v>500.828023257639</v>
      </c>
      <c r="AZ269" s="12">
        <f>-AZ61</f>
        <v>546.903447827314</v>
      </c>
      <c r="BA269" s="12">
        <f>SUM(AW269:AZ269)</f>
        <v>2018.64118123344</v>
      </c>
      <c r="BB269" s="12">
        <f>-BB61</f>
        <v>478.11166893091</v>
      </c>
      <c r="BC269" s="12">
        <f>-BC61</f>
        <v>532.287576369838</v>
      </c>
      <c r="BD269" s="12">
        <f>-BD61</f>
        <v>521.198059341264</v>
      </c>
      <c r="BE269" s="12">
        <f>-BE61</f>
        <v>569.147496580893</v>
      </c>
      <c r="BF269" s="12">
        <f>SUM(BB269:BE269)</f>
        <v>2100.74480122291</v>
      </c>
      <c r="BG269" s="12" t="n"/>
      <c r="BH269" s="12" t="n"/>
      <c r="BI269" s="12" t="n"/>
      <c r="BJ269" s="12" t="n"/>
      <c r="BK269" s="12" t="n"/>
      <c r="BL269" s="12" t="n"/>
      <c r="BM269" s="12" t="n"/>
      <c r="BN269" s="12" t="n"/>
      <c r="BO269" s="12" t="n"/>
      <c r="BP269" s="12" t="n"/>
      <c r="BQ269" s="12" t="n"/>
      <c r="BR269" s="12" t="n"/>
      <c r="BS269" s="12" t="n"/>
      <c r="BT269" s="12" t="n"/>
      <c r="BU269" s="12" t="n"/>
      <c r="BV269" s="12" t="n"/>
      <c r="BW269" s="12" t="n"/>
      <c r="BX269" s="12" t="n"/>
      <c r="BY269" s="12" t="n"/>
      <c r="BZ269" s="12" t="n"/>
      <c r="CA269" s="12" t="n"/>
      <c r="CB269" s="12" t="n"/>
      <c r="CC269" s="12" t="n"/>
      <c r="CD269" s="12" t="n"/>
      <c r="CE269" s="12" t="n"/>
      <c r="CF269" s="12" t="n"/>
      <c r="CG269" s="12" t="n"/>
      <c r="CH269" s="12" t="n"/>
      <c r="CI269" s="12" t="n"/>
      <c r="CJ269" s="12" t="n"/>
      <c r="CK269" s="12" t="n"/>
      <c r="CL269" s="12" t="n"/>
      <c r="CM269" s="12" t="n"/>
      <c r="CN269" s="12" t="n"/>
      <c r="CO269" s="12" t="n"/>
      <c r="CP269" s="12" t="n"/>
      <c r="CQ269" s="12" t="n"/>
      <c r="CR269" s="12" t="n"/>
      <c r="CS269" s="12" t="n"/>
      <c r="CT269" s="12" t="n"/>
      <c r="CU269" s="12" t="n"/>
      <c r="CV269" s="12" t="n"/>
      <c r="CW269" s="12" t="n"/>
      <c r="CX269" s="12" t="n"/>
      <c r="CY269" s="12" t="n"/>
    </row>
    <row r="270">
      <c r="C270" s="10" t="inlineStr">
        <is>
          <t xml:space="preserve">Changes in working capital </t>
        </is>
      </c>
      <c r="D270" s="12" t="n"/>
      <c r="E270" s="12" t="n"/>
      <c r="F270" s="12" t="n"/>
      <c r="G270" s="12" t="n"/>
      <c r="H270" s="12" t="n"/>
      <c r="I270" s="12" t="n"/>
      <c r="J270" s="12">
        <f>SUM(J271:J280)</f>
        <v>-87</v>
      </c>
      <c r="K270" s="12">
        <f>SUM(K271:K280)</f>
        <v>296</v>
      </c>
      <c r="L270" s="12">
        <f>SUM(L271:L280)</f>
        <v>1764</v>
      </c>
      <c r="M270" s="12" t="n"/>
      <c r="N270" s="12">
        <f>SUM(N271:N280)</f>
        <v>-1138</v>
      </c>
      <c r="O270" s="12">
        <f>SUM(O271:O280)</f>
        <v>249</v>
      </c>
      <c r="P270" s="12">
        <f>SUM(P271:P280)</f>
        <v>100</v>
      </c>
      <c r="Q270" s="12">
        <f>SUM(Q271:Q280)</f>
        <v>-1002</v>
      </c>
      <c r="R270" s="12">
        <f>SUM(N270:Q270)</f>
        <v>-1791</v>
      </c>
      <c r="S270" s="12">
        <f>SUM(S271:S280)</f>
        <v>-711</v>
      </c>
      <c r="T270" s="12">
        <f>SUM(T271:T280)</f>
        <v>-499</v>
      </c>
      <c r="U270" s="12">
        <f>SUM(U271:U280)</f>
        <v>-108</v>
      </c>
      <c r="V270" s="12">
        <f>SUM(V271:V280)</f>
        <v>2356</v>
      </c>
      <c r="W270" s="12">
        <f>SUM(S270:V270)</f>
        <v>1038</v>
      </c>
      <c r="X270" s="12">
        <f>SUM(X271:X280)</f>
        <v>-398</v>
      </c>
      <c r="Y270" s="12">
        <f>SUM(Y271:Y280)</f>
        <v>488</v>
      </c>
      <c r="Z270" s="12">
        <f>SUM(Z271:Z280)</f>
        <v>-324</v>
      </c>
      <c r="AA270" s="12">
        <f>SUM(AA271:AA280)</f>
        <v>1351</v>
      </c>
      <c r="AB270" s="12">
        <f>SUM(X270:AA270)</f>
        <v>1117</v>
      </c>
      <c r="AC270" s="12">
        <f>SUM(AC271:AC280)</f>
        <v>-876</v>
      </c>
      <c r="AD270" s="12">
        <f>SUM(AD271:AD280)</f>
        <v>-507</v>
      </c>
      <c r="AE270" s="12">
        <f>SUM(AE271:AE280)</f>
        <v>955</v>
      </c>
      <c r="AF270" s="12">
        <f>SUM(AF271:AF280)</f>
        <v>2525</v>
      </c>
      <c r="AG270" s="12">
        <f>SUM(AC270:AF270)</f>
        <v>2097</v>
      </c>
      <c r="AH270" s="12">
        <f>SUM(AH271:AH280)</f>
        <v>-2017</v>
      </c>
      <c r="AI270" s="12">
        <f>SUM(AI271:AI280)</f>
        <v>851</v>
      </c>
      <c r="AJ270" s="12">
        <f>SUM(AJ271:AJ280)</f>
        <v>2553.70973472909</v>
      </c>
      <c r="AK270" s="12">
        <f>SUM(AK271:AK280)</f>
        <v>133.669779896039</v>
      </c>
      <c r="AL270" s="12">
        <f>SUM(AH270:AK270)</f>
        <v>1521.37951462513</v>
      </c>
      <c r="AM270" s="12">
        <f>SUM(AM271:AM280)</f>
        <v>233.832550393908</v>
      </c>
      <c r="AN270" s="12">
        <f>SUM(AN271:AN280)</f>
        <v>150.116314862271</v>
      </c>
      <c r="AO270" s="12">
        <f>SUM(AO271:AO280)</f>
        <v>223.611936519562</v>
      </c>
      <c r="AP270" s="12">
        <f>SUM(AP271:AP280)</f>
        <v>173.994743279616</v>
      </c>
      <c r="AQ270" s="12">
        <f>SUM(AM270:AP270)</f>
        <v>781.555545055357</v>
      </c>
      <c r="AR270" s="12">
        <f>SUM(AR271:AR280)</f>
        <v>268.405959423178</v>
      </c>
      <c r="AS270" s="12">
        <f>SUM(AS271:AS280)</f>
        <v>167.040140179302</v>
      </c>
      <c r="AT270" s="12">
        <f>SUM(AT271:AT280)</f>
        <v>249.288549427189</v>
      </c>
      <c r="AU270" s="12">
        <f>SUM(AU271:AU280)</f>
        <v>196.793229937122</v>
      </c>
      <c r="AV270" s="12">
        <f>SUM(AR270:AU270)</f>
        <v>881.527878966791</v>
      </c>
      <c r="AW270" s="12">
        <f>SUM(AW271:AW280)</f>
        <v>288.885913785525</v>
      </c>
      <c r="AX270" s="12">
        <f>SUM(AX271:AX280)</f>
        <v>190.739545673692</v>
      </c>
      <c r="AY270" s="12">
        <f>SUM(AY271:AY280)</f>
        <v>270.504199578862</v>
      </c>
      <c r="AZ270" s="12">
        <f>SUM(AZ271:AZ280)</f>
        <v>214.844594631002</v>
      </c>
      <c r="BA270" s="12">
        <f>SUM(AW270:AZ270)</f>
        <v>964.974253669081</v>
      </c>
      <c r="BB270" s="12">
        <f>SUM(BB271:BB280)</f>
        <v>309.014429875052</v>
      </c>
      <c r="BC270" s="12">
        <f>SUM(BC271:BC280)</f>
        <v>203.079610780534</v>
      </c>
      <c r="BD270" s="12">
        <f>SUM(BD271:BD280)</f>
        <v>285.016134203602</v>
      </c>
      <c r="BE270" s="12">
        <f>SUM(BE271:BE280)</f>
        <v>225.919219590846</v>
      </c>
      <c r="BF270" s="12">
        <f>SUM(BB270:BE270)</f>
        <v>1023.02939445003</v>
      </c>
      <c r="BG270" s="12" t="n"/>
      <c r="BH270" s="12" t="n"/>
      <c r="BI270" s="12" t="n"/>
      <c r="BJ270" s="12" t="n"/>
      <c r="BK270" s="12" t="n"/>
      <c r="BL270" s="12" t="n"/>
      <c r="BM270" s="12" t="n"/>
      <c r="BN270" s="12" t="n"/>
      <c r="BO270" s="12" t="n"/>
      <c r="BP270" s="12" t="n"/>
      <c r="BQ270" s="12" t="n"/>
      <c r="BR270" s="12" t="n"/>
      <c r="BS270" s="12" t="n"/>
      <c r="BT270" s="12" t="n"/>
      <c r="BU270" s="12" t="n"/>
      <c r="BV270" s="12" t="n"/>
      <c r="BW270" s="12" t="n"/>
      <c r="BX270" s="12" t="n"/>
      <c r="BY270" s="12" t="n"/>
      <c r="BZ270" s="12" t="n"/>
      <c r="CA270" s="12" t="n"/>
      <c r="CB270" s="12" t="n"/>
      <c r="CC270" s="12" t="n"/>
      <c r="CD270" s="12" t="n"/>
      <c r="CE270" s="12" t="n"/>
      <c r="CF270" s="12" t="n"/>
      <c r="CG270" s="12" t="n"/>
      <c r="CH270" s="12" t="n"/>
      <c r="CI270" s="12" t="n"/>
      <c r="CJ270" s="12" t="n"/>
      <c r="CK270" s="12" t="n"/>
      <c r="CL270" s="12" t="n"/>
      <c r="CM270" s="12" t="n"/>
      <c r="CN270" s="12" t="n"/>
      <c r="CO270" s="12" t="n"/>
      <c r="CP270" s="12" t="n"/>
      <c r="CQ270" s="12" t="n"/>
      <c r="CR270" s="12" t="n"/>
      <c r="CS270" s="12" t="n"/>
      <c r="CT270" s="12" t="n"/>
      <c r="CU270" s="12" t="n"/>
      <c r="CV270" s="12" t="n"/>
      <c r="CW270" s="12" t="n"/>
      <c r="CX270" s="12" t="n"/>
      <c r="CY270" s="12" t="n"/>
    </row>
    <row r="271" hidden="1" outlineLevel="1">
      <c r="C271" s="10" t="inlineStr">
        <is>
          <t>Accounts receivable</t>
        </is>
      </c>
      <c r="D271" s="12" t="n"/>
      <c r="E271" s="12" t="n"/>
      <c r="F271" s="12" t="n"/>
      <c r="G271" s="12" t="n"/>
      <c r="H271" s="12" t="n"/>
      <c r="I271" s="12" t="n"/>
      <c r="J271" s="12">
        <f>(J136-I136)*-1</f>
        <v>-397</v>
      </c>
      <c r="K271" s="12">
        <f>(K136-J136)*-1</f>
        <v>344</v>
      </c>
      <c r="L271" s="12">
        <f>(L136-K136)*-1</f>
        <v>304</v>
      </c>
      <c r="M271" s="12" t="n"/>
      <c r="N271" s="12">
        <f>(N136-M136)*-1</f>
        <v>-564</v>
      </c>
      <c r="O271" s="12">
        <f>(O136-N136)*-1</f>
        <v>-874</v>
      </c>
      <c r="P271" s="12">
        <f>(P136-O136)*-1</f>
        <v>917</v>
      </c>
      <c r="Q271" s="12">
        <f>(Q136-P136)*-1</f>
        <v>-21</v>
      </c>
      <c r="R271" s="12">
        <f>SUM(N271:Q271)</f>
        <v>-542</v>
      </c>
      <c r="S271" s="12">
        <f>(S136-R136)*-1</f>
        <v>-78</v>
      </c>
      <c r="T271" s="12">
        <f>(T136-S136)*-1</f>
        <v>-844</v>
      </c>
      <c r="U271" s="12">
        <f>(U136-T136)*-1</f>
        <v>1022</v>
      </c>
      <c r="V271" s="12">
        <f>(V136-U136)*-1</f>
        <v>273</v>
      </c>
      <c r="W271" s="12">
        <f>SUM(S271:V271)</f>
        <v>373</v>
      </c>
      <c r="X271" s="12">
        <f>(X136-W136)*-1</f>
        <v>-125</v>
      </c>
      <c r="Y271" s="12">
        <f>(Y136-X136)*-1</f>
        <v>-673</v>
      </c>
      <c r="Z271" s="12">
        <f>(Z136-Y136)*-1</f>
        <v>789</v>
      </c>
      <c r="AA271" s="12">
        <f>(AA136-Z136)*-1</f>
        <v>-210</v>
      </c>
      <c r="AB271" s="12">
        <f>SUM(X271:AA271)</f>
        <v>-219</v>
      </c>
      <c r="AC271" s="12">
        <f>(AC136-AB136)*-1</f>
        <v>327</v>
      </c>
      <c r="AD271" s="12">
        <f>(AD136-AC136)*-1</f>
        <v>-1282</v>
      </c>
      <c r="AE271" s="12">
        <f>(AE136-AD136)*-1</f>
        <v>-538</v>
      </c>
      <c r="AF271" s="12">
        <f>(AF136-AE136)*-1</f>
        <v>-57</v>
      </c>
      <c r="AG271" s="12">
        <f>SUM(AC271:AF271)</f>
        <v>-1550</v>
      </c>
      <c r="AH271" s="12">
        <f>(AH136-AG136)*-1</f>
        <v>1579</v>
      </c>
      <c r="AI271" s="12">
        <f>(AI136-AH136)*-1</f>
        <v>-1034</v>
      </c>
      <c r="AJ271" s="12">
        <f>(AJ136-AI136)*-1</f>
        <v>146.054046628363</v>
      </c>
      <c r="AK271" s="12">
        <f>(AK136-AJ136)*-1</f>
        <v>-295.310197870505</v>
      </c>
      <c r="AL271" s="12">
        <f>SUM(AH271:AK271)</f>
        <v>395.743848757857</v>
      </c>
      <c r="AM271" s="12">
        <f>(AM136-AL136)*-1</f>
        <v>327.658624140355</v>
      </c>
      <c r="AN271" s="12">
        <f>(AN136-AM136)*-1</f>
        <v>-321.185349994521</v>
      </c>
      <c r="AO271" s="12">
        <f>(AO136-AN136)*-1</f>
        <v>110.13051346158</v>
      </c>
      <c r="AP271" s="12">
        <f>(AP136-AO136)*-1</f>
        <v>-311.750918724415</v>
      </c>
      <c r="AQ271" s="12">
        <f>SUM(AM271:AP271)</f>
        <v>-195.147131117001</v>
      </c>
      <c r="AR271" s="12">
        <f>(AR136-AQ136)*-1</f>
        <v>398.47633458436</v>
      </c>
      <c r="AS271" s="12">
        <f>(AS136-AR136)*-1</f>
        <v>-374.148761298268</v>
      </c>
      <c r="AT271" s="12">
        <f>(AT136-AS136)*-1</f>
        <v>115.711125721482</v>
      </c>
      <c r="AU271" s="12">
        <f>(AU136-AT136)*-1</f>
        <v>-327.548184571868</v>
      </c>
      <c r="AV271" s="12">
        <f>SUM(AR271:AU271)</f>
        <v>-187.509485564295</v>
      </c>
      <c r="AW271" s="12">
        <f>(AW136-AV136)*-1</f>
        <v>396.814126223485</v>
      </c>
      <c r="AX271" s="12">
        <f>(AX136-AW136)*-1</f>
        <v>-352.873430173675</v>
      </c>
      <c r="AY271" s="12">
        <f>(AY136-AX136)*-1</f>
        <v>120.995967134364</v>
      </c>
      <c r="AZ271" s="12">
        <f>(AZ136-AY136)*-1</f>
        <v>-342.508199866389</v>
      </c>
      <c r="BA271" s="12">
        <f>SUM(AW271:AZ271)</f>
        <v>-177.571536682215</v>
      </c>
      <c r="BB271" s="12">
        <f>(BB136-BA136)*-1</f>
        <v>432.393198425849</v>
      </c>
      <c r="BC271" s="12">
        <f>(BC136-BB136)*-1</f>
        <v>-367.225751073843</v>
      </c>
      <c r="BD271" s="12">
        <f>(BD136-BC136)*-1</f>
        <v>125.917201773887</v>
      </c>
      <c r="BE271" s="12">
        <f>(BE136-BD136)*-1</f>
        <v>-356.438938695328</v>
      </c>
      <c r="BF271" s="12">
        <f>SUM(BB271:BE271)</f>
        <v>-165.354289569434</v>
      </c>
      <c r="BG271" s="12" t="n"/>
      <c r="BH271" s="12" t="n"/>
      <c r="BI271" s="12" t="n"/>
      <c r="BJ271" s="12" t="n"/>
      <c r="BK271" s="12" t="n"/>
      <c r="BL271" s="12" t="n"/>
      <c r="BM271" s="12" t="n"/>
      <c r="BN271" s="12" t="n"/>
      <c r="BO271" s="12" t="n"/>
      <c r="BP271" s="12" t="n"/>
      <c r="BQ271" s="12" t="n"/>
      <c r="BR271" s="12" t="n"/>
      <c r="BS271" s="12" t="n"/>
      <c r="BT271" s="12" t="n"/>
      <c r="BU271" s="12" t="n"/>
      <c r="BV271" s="12" t="n"/>
      <c r="BW271" s="12" t="n"/>
      <c r="BX271" s="12" t="n"/>
      <c r="BY271" s="12" t="n"/>
      <c r="BZ271" s="12" t="n"/>
      <c r="CA271" s="12" t="n"/>
      <c r="CB271" s="12" t="n"/>
      <c r="CC271" s="12" t="n"/>
      <c r="CD271" s="12" t="n"/>
      <c r="CE271" s="12" t="n"/>
      <c r="CF271" s="12" t="n"/>
      <c r="CG271" s="12" t="n"/>
      <c r="CH271" s="12" t="n"/>
      <c r="CI271" s="12" t="n"/>
      <c r="CJ271" s="12" t="n"/>
      <c r="CK271" s="12" t="n"/>
      <c r="CL271" s="12" t="n"/>
      <c r="CM271" s="12" t="n"/>
      <c r="CN271" s="12" t="n"/>
      <c r="CO271" s="12" t="n"/>
      <c r="CP271" s="12" t="n"/>
      <c r="CQ271" s="12" t="n"/>
      <c r="CR271" s="12" t="n"/>
      <c r="CS271" s="12" t="n"/>
      <c r="CT271" s="12" t="n"/>
      <c r="CU271" s="12" t="n"/>
      <c r="CV271" s="12" t="n"/>
      <c r="CW271" s="12" t="n"/>
      <c r="CX271" s="12" t="n"/>
      <c r="CY271" s="12" t="n"/>
    </row>
    <row r="272" hidden="1" outlineLevel="1">
      <c r="C272" s="10" t="inlineStr">
        <is>
          <t>Inventories</t>
        </is>
      </c>
      <c r="D272" s="12" t="n"/>
      <c r="E272" s="12" t="n"/>
      <c r="F272" s="12" t="n"/>
      <c r="G272" s="12" t="n"/>
      <c r="H272" s="12" t="n"/>
      <c r="I272" s="12" t="n"/>
      <c r="J272" s="12">
        <f>(J140-I140)*-1</f>
        <v>0</v>
      </c>
      <c r="K272" s="12">
        <f>(K140-J140)*-1</f>
        <v>0</v>
      </c>
      <c r="L272" s="12">
        <f>(L140-K140)*-1</f>
        <v>0</v>
      </c>
      <c r="M272" s="12" t="n"/>
      <c r="N272" s="12">
        <f>(N140-M140)*-1</f>
        <v>0</v>
      </c>
      <c r="O272" s="12">
        <f>(O140-N140)*-1</f>
        <v>0</v>
      </c>
      <c r="P272" s="12">
        <f>(P140-O140)*-1</f>
        <v>0</v>
      </c>
      <c r="Q272" s="12">
        <f>(Q140-P140)*-1</f>
        <v>0</v>
      </c>
      <c r="R272" s="12">
        <f>SUM(N272:Q272)</f>
        <v>0</v>
      </c>
      <c r="S272" s="12">
        <f>(S140-R140)*-1</f>
        <v>0</v>
      </c>
      <c r="T272" s="12">
        <f>(T140-S140)*-1</f>
        <v>0</v>
      </c>
      <c r="U272" s="12">
        <f>(U140-T140)*-1</f>
        <v>0</v>
      </c>
      <c r="V272" s="12">
        <f>(V140-U140)*-1</f>
        <v>0</v>
      </c>
      <c r="W272" s="12">
        <f>SUM(S272:V272)</f>
        <v>0</v>
      </c>
      <c r="X272" s="12">
        <f>(X140-W140)*-1</f>
        <v>0</v>
      </c>
      <c r="Y272" s="12">
        <f>(Y140-X140)*-1</f>
        <v>0</v>
      </c>
      <c r="Z272" s="12">
        <f>(Z140-Y140)*-1</f>
        <v>0</v>
      </c>
      <c r="AA272" s="12">
        <f>(AA140-Z140)*-1</f>
        <v>0</v>
      </c>
      <c r="AB272" s="12">
        <f>SUM(X272:AA272)</f>
        <v>0</v>
      </c>
      <c r="AC272" s="12">
        <f>(AC140-AB140)*-1</f>
        <v>0</v>
      </c>
      <c r="AD272" s="12">
        <f>(AD140-AC140)*-1</f>
        <v>0</v>
      </c>
      <c r="AE272" s="12">
        <f>(AE140-AD140)*-1</f>
        <v>0</v>
      </c>
      <c r="AF272" s="12">
        <f>(AF140-AE140)*-1</f>
        <v>0</v>
      </c>
      <c r="AG272" s="12">
        <f>SUM(AC272:AF272)</f>
        <v>0</v>
      </c>
      <c r="AH272" s="12">
        <f>(AH140-AG140)*-1</f>
        <v>-4251</v>
      </c>
      <c r="AI272" s="12">
        <f>(AI140-AH140)*-1</f>
        <v>-160</v>
      </c>
      <c r="AJ272" s="12">
        <f>(AJ140-AI140)*-1</f>
        <v>2924.11671390997</v>
      </c>
      <c r="AK272" s="12">
        <f>(AK140-AJ140)*-1</f>
        <v>-136.791025083891</v>
      </c>
      <c r="AL272" s="12">
        <f>SUM(AH272:AK272)</f>
        <v>-1623.67431117392</v>
      </c>
      <c r="AM272" s="12">
        <f>(AM140-AL140)*-1</f>
        <v>151.775182154023</v>
      </c>
      <c r="AN272" s="12">
        <f>(AN140-AM140)*-1</f>
        <v>-148.776688324677</v>
      </c>
      <c r="AO272" s="12">
        <f>(AO140-AN140)*-1</f>
        <v>51.0136999604426</v>
      </c>
      <c r="AP272" s="12">
        <f>(AP140-AO140)*-1</f>
        <v>-144.406553009921</v>
      </c>
      <c r="AQ272" s="12">
        <f>SUM(AM272:AP272)</f>
        <v>-90.3943592201331</v>
      </c>
      <c r="AR272" s="12">
        <f>(AR140-AQ140)*-1</f>
        <v>184.578746932973</v>
      </c>
      <c r="AS272" s="12">
        <f>(AS140-AR140)*-1</f>
        <v>-173.309939720744</v>
      </c>
      <c r="AT272" s="12">
        <f>(AT140-AS140)*-1</f>
        <v>53.5987027037691</v>
      </c>
      <c r="AU272" s="12">
        <f>(AU140-AT140)*-1</f>
        <v>-151.724025296278</v>
      </c>
      <c r="AV272" s="12">
        <f>SUM(AR272:AU272)</f>
        <v>-86.8565153802797</v>
      </c>
      <c r="AW272" s="12">
        <f>(AW140-AV140)*-1</f>
        <v>183.808793212354</v>
      </c>
      <c r="AX272" s="12">
        <f>(AX140-AW140)*-1</f>
        <v>-163.454965613793</v>
      </c>
      <c r="AY272" s="12">
        <f>(AY140-AX140)*-1</f>
        <v>56.0467010441139</v>
      </c>
      <c r="AZ272" s="12">
        <f>(AZ140-AY140)*-1</f>
        <v>-158.653673653039</v>
      </c>
      <c r="BA272" s="12">
        <f>SUM(AW272:AZ272)</f>
        <v>-82.2531450103638</v>
      </c>
      <c r="BB272" s="12">
        <f>(BB140-BA140)*-1</f>
        <v>200.289422033135</v>
      </c>
      <c r="BC272" s="12">
        <f>(BC140-BB140)*-1</f>
        <v>-170.103123051037</v>
      </c>
      <c r="BD272" s="12">
        <f>(BD140-BC140)*-1</f>
        <v>58.3262726128348</v>
      </c>
      <c r="BE272" s="12">
        <f>(BE140-BD140)*-1</f>
        <v>-165.106549504696</v>
      </c>
      <c r="BF272" s="12">
        <f>SUM(BB272:BE272)</f>
        <v>-76.5939779097635</v>
      </c>
      <c r="BG272" s="12" t="n"/>
      <c r="BH272" s="12" t="n"/>
      <c r="BI272" s="12" t="n"/>
      <c r="BJ272" s="12" t="n"/>
      <c r="BK272" s="12" t="n"/>
      <c r="BL272" s="12" t="n"/>
      <c r="BM272" s="12" t="n"/>
      <c r="BN272" s="12" t="n"/>
      <c r="BO272" s="12" t="n"/>
      <c r="BP272" s="12" t="n"/>
      <c r="BQ272" s="12" t="n"/>
      <c r="BR272" s="12" t="n"/>
      <c r="BS272" s="12" t="n"/>
      <c r="BT272" s="12" t="n"/>
      <c r="BU272" s="12" t="n"/>
      <c r="BV272" s="12" t="n"/>
      <c r="BW272" s="12" t="n"/>
      <c r="BX272" s="12" t="n"/>
      <c r="BY272" s="12" t="n"/>
      <c r="BZ272" s="12" t="n"/>
      <c r="CA272" s="12" t="n"/>
      <c r="CB272" s="12" t="n"/>
      <c r="CC272" s="12" t="n"/>
      <c r="CD272" s="12" t="n"/>
      <c r="CE272" s="12" t="n"/>
      <c r="CF272" s="12" t="n"/>
      <c r="CG272" s="12" t="n"/>
      <c r="CH272" s="12" t="n"/>
      <c r="CI272" s="12" t="n"/>
      <c r="CJ272" s="12" t="n"/>
      <c r="CK272" s="12" t="n"/>
      <c r="CL272" s="12" t="n"/>
      <c r="CM272" s="12" t="n"/>
      <c r="CN272" s="12" t="n"/>
      <c r="CO272" s="12" t="n"/>
      <c r="CP272" s="12" t="n"/>
      <c r="CQ272" s="12" t="n"/>
      <c r="CR272" s="12" t="n"/>
      <c r="CS272" s="12" t="n"/>
      <c r="CT272" s="12" t="n"/>
      <c r="CU272" s="12" t="n"/>
      <c r="CV272" s="12" t="n"/>
      <c r="CW272" s="12" t="n"/>
      <c r="CX272" s="12" t="n"/>
      <c r="CY272" s="12" t="n"/>
    </row>
    <row r="273" hidden="1" outlineLevel="1">
      <c r="C273" s="10" t="inlineStr">
        <is>
          <t>Deferred income taxes</t>
        </is>
      </c>
      <c r="D273" s="12" t="n"/>
      <c r="E273" s="12" t="n"/>
      <c r="F273" s="12" t="n"/>
      <c r="G273" s="12" t="n"/>
      <c r="H273" s="12" t="n"/>
      <c r="I273" s="12" t="n"/>
      <c r="J273" s="12">
        <f>(J144-I144)*-1</f>
        <v>-2</v>
      </c>
      <c r="K273" s="12">
        <f>(K144-J144)*-1</f>
        <v>713</v>
      </c>
      <c r="L273" s="12">
        <f>(L144-K144)*-1</f>
        <v>374</v>
      </c>
      <c r="M273" s="12" t="n"/>
      <c r="N273" s="12">
        <f>(N144-M144)*-1</f>
        <v>-398</v>
      </c>
      <c r="O273" s="12">
        <f>(O144-N144)*-1</f>
        <v>8</v>
      </c>
      <c r="P273" s="12">
        <f>(P144-O144)*-1</f>
        <v>-436</v>
      </c>
      <c r="Q273" s="12">
        <f>(Q144-P144)*-1</f>
        <v>-628</v>
      </c>
      <c r="R273" s="12">
        <f>SUM(N273:Q273)</f>
        <v>-1454</v>
      </c>
      <c r="S273" s="12">
        <f>(S144-R144)*-1</f>
        <v>-431</v>
      </c>
      <c r="T273" s="12">
        <f>(T144-S144)*-1</f>
        <v>-343</v>
      </c>
      <c r="U273" s="12">
        <f>(U144-T144)*-1</f>
        <v>-355</v>
      </c>
      <c r="V273" s="12">
        <f>(V144-U144)*-1</f>
        <v>1920</v>
      </c>
      <c r="W273" s="12">
        <f>SUM(S273:V273)</f>
        <v>791</v>
      </c>
      <c r="X273" s="12">
        <f>(X144-W144)*-1</f>
        <v>-71</v>
      </c>
      <c r="Y273" s="12">
        <f>(Y144-X144)*-1</f>
        <v>-56</v>
      </c>
      <c r="Z273" s="12">
        <f>(Z144-Y144)*-1</f>
        <v>-25</v>
      </c>
      <c r="AA273" s="12">
        <f>(AA144-Z144)*-1</f>
        <v>-452</v>
      </c>
      <c r="AB273" s="12">
        <f>SUM(X273:AA273)</f>
        <v>-604</v>
      </c>
      <c r="AC273" s="12">
        <f>(AC144-AB144)*-1</f>
        <v>-11</v>
      </c>
      <c r="AD273" s="12">
        <f>(AD144-AC144)*-1</f>
        <v>-502</v>
      </c>
      <c r="AE273" s="12">
        <f>(AE144-AD144)*-1</f>
        <v>657</v>
      </c>
      <c r="AF273" s="12">
        <f>(AF144-AE144)*-1</f>
        <v>438</v>
      </c>
      <c r="AG273" s="12">
        <f>SUM(AC273:AF273)</f>
        <v>582</v>
      </c>
      <c r="AH273" s="12">
        <f>(AH144-AG144)*-1</f>
        <v>173</v>
      </c>
      <c r="AI273" s="12">
        <f>(AI144-AH144)*-1</f>
        <v>388</v>
      </c>
      <c r="AJ273" s="12">
        <f>(AJ144-AI144)*-1</f>
        <v>0</v>
      </c>
      <c r="AK273" s="12">
        <f>(AK144-AJ144)*-1</f>
        <v>0</v>
      </c>
      <c r="AL273" s="12">
        <f>SUM(AH273:AK273)</f>
        <v>561</v>
      </c>
      <c r="AM273" s="12">
        <f>(AM144-AL144)*-1</f>
        <v>0</v>
      </c>
      <c r="AN273" s="12">
        <f>(AN144-AM144)*-1</f>
        <v>0</v>
      </c>
      <c r="AO273" s="12">
        <f>(AO144-AN144)*-1</f>
        <v>0</v>
      </c>
      <c r="AP273" s="12">
        <f>(AP144-AO144)*-1</f>
        <v>0</v>
      </c>
      <c r="AQ273" s="12">
        <f>SUM(AM273:AP273)</f>
        <v>0</v>
      </c>
      <c r="AR273" s="12">
        <f>(AR144-AQ144)*-1</f>
        <v>0</v>
      </c>
      <c r="AS273" s="12">
        <f>(AS144-AR144)*-1</f>
        <v>0</v>
      </c>
      <c r="AT273" s="12">
        <f>(AT144-AS144)*-1</f>
        <v>0</v>
      </c>
      <c r="AU273" s="12">
        <f>(AU144-AT144)*-1</f>
        <v>0</v>
      </c>
      <c r="AV273" s="12">
        <f>SUM(AR273:AU273)</f>
        <v>0</v>
      </c>
      <c r="AW273" s="12">
        <f>(AW144-AV144)*-1</f>
        <v>0</v>
      </c>
      <c r="AX273" s="12">
        <f>(AX144-AW144)*-1</f>
        <v>0</v>
      </c>
      <c r="AY273" s="12">
        <f>(AY144-AX144)*-1</f>
        <v>0</v>
      </c>
      <c r="AZ273" s="12">
        <f>(AZ144-AY144)*-1</f>
        <v>0</v>
      </c>
      <c r="BA273" s="12">
        <f>SUM(AW273:AZ273)</f>
        <v>0</v>
      </c>
      <c r="BB273" s="12">
        <f>(BB144-BA144)*-1</f>
        <v>0</v>
      </c>
      <c r="BC273" s="12">
        <f>(BC144-BB144)*-1</f>
        <v>0</v>
      </c>
      <c r="BD273" s="12">
        <f>(BD144-BC144)*-1</f>
        <v>0</v>
      </c>
      <c r="BE273" s="12">
        <f>(BE144-BD144)*-1</f>
        <v>0</v>
      </c>
      <c r="BF273" s="12">
        <f>SUM(BB273:BE273)</f>
        <v>0</v>
      </c>
      <c r="BG273" s="12" t="n"/>
      <c r="BH273" s="12" t="n"/>
      <c r="BI273" s="12" t="n"/>
      <c r="BJ273" s="12" t="n"/>
      <c r="BK273" s="12" t="n"/>
      <c r="BL273" s="12" t="n"/>
      <c r="BM273" s="12" t="n"/>
      <c r="BN273" s="12" t="n"/>
      <c r="BO273" s="12" t="n"/>
      <c r="BP273" s="12" t="n"/>
      <c r="BQ273" s="12" t="n"/>
      <c r="BR273" s="12" t="n"/>
      <c r="BS273" s="12" t="n"/>
      <c r="BT273" s="12" t="n"/>
      <c r="BU273" s="12" t="n"/>
      <c r="BV273" s="12" t="n"/>
      <c r="BW273" s="12" t="n"/>
      <c r="BX273" s="12" t="n"/>
      <c r="BY273" s="12" t="n"/>
      <c r="BZ273" s="12" t="n"/>
      <c r="CA273" s="12" t="n"/>
      <c r="CB273" s="12" t="n"/>
      <c r="CC273" s="12" t="n"/>
      <c r="CD273" s="12" t="n"/>
      <c r="CE273" s="12" t="n"/>
      <c r="CF273" s="12" t="n"/>
      <c r="CG273" s="12" t="n"/>
      <c r="CH273" s="12" t="n"/>
      <c r="CI273" s="12" t="n"/>
      <c r="CJ273" s="12" t="n"/>
      <c r="CK273" s="12" t="n"/>
      <c r="CL273" s="12" t="n"/>
      <c r="CM273" s="12" t="n"/>
      <c r="CN273" s="12" t="n"/>
      <c r="CO273" s="12" t="n"/>
      <c r="CP273" s="12" t="n"/>
      <c r="CQ273" s="12" t="n"/>
      <c r="CR273" s="12" t="n"/>
      <c r="CS273" s="12" t="n"/>
      <c r="CT273" s="12" t="n"/>
      <c r="CU273" s="12" t="n"/>
      <c r="CV273" s="12" t="n"/>
      <c r="CW273" s="12" t="n"/>
      <c r="CX273" s="12" t="n"/>
      <c r="CY273" s="12" t="n"/>
    </row>
    <row r="274" hidden="1" outlineLevel="1">
      <c r="C274" s="10" t="inlineStr">
        <is>
          <t>Prepaid expenses</t>
        </is>
      </c>
      <c r="D274" s="12" t="n"/>
      <c r="E274" s="12" t="n"/>
      <c r="F274" s="12" t="n"/>
      <c r="G274" s="12" t="n"/>
      <c r="H274" s="12" t="n"/>
      <c r="I274" s="12" t="n"/>
      <c r="J274" s="12">
        <f>(J145-I145)*-1</f>
        <v>0</v>
      </c>
      <c r="K274" s="12">
        <f>(K145-J145)*-1</f>
        <v>0</v>
      </c>
      <c r="L274" s="12">
        <f>(L145-K145)*-1</f>
        <v>0</v>
      </c>
      <c r="M274" s="12" t="n"/>
      <c r="N274" s="12">
        <f>(N145-M145)*-1</f>
        <v>0</v>
      </c>
      <c r="O274" s="12">
        <f>(O145-N145)*-1</f>
        <v>0</v>
      </c>
      <c r="P274" s="12">
        <f>(P145-O145)*-1</f>
        <v>0</v>
      </c>
      <c r="Q274" s="12">
        <f>(Q145-P145)*-1</f>
        <v>0</v>
      </c>
      <c r="R274" s="12">
        <f>SUM(N274:Q274)</f>
        <v>0</v>
      </c>
      <c r="S274" s="12">
        <f>(S145-R145)*-1</f>
        <v>0</v>
      </c>
      <c r="T274" s="12">
        <f>(T145-S145)*-1</f>
        <v>0</v>
      </c>
      <c r="U274" s="12">
        <f>(U145-T145)*-1</f>
        <v>0</v>
      </c>
      <c r="V274" s="12">
        <f>(V145-U145)*-1</f>
        <v>0</v>
      </c>
      <c r="W274" s="12">
        <f>SUM(S274:V274)</f>
        <v>0</v>
      </c>
      <c r="X274" s="12">
        <f>(X145-W145)*-1</f>
        <v>0</v>
      </c>
      <c r="Y274" s="12">
        <f>(Y145-X145)*-1</f>
        <v>0</v>
      </c>
      <c r="Z274" s="12">
        <f>(Z145-Y145)*-1</f>
        <v>0</v>
      </c>
      <c r="AA274" s="12">
        <f>(AA145-Z145)*-1</f>
        <v>0</v>
      </c>
      <c r="AB274" s="12">
        <f>SUM(X274:AA274)</f>
        <v>0</v>
      </c>
      <c r="AC274" s="12">
        <f>(AC145-AB145)*-1</f>
        <v>0</v>
      </c>
      <c r="AD274" s="12">
        <f>(AD145-AC145)*-1</f>
        <v>0</v>
      </c>
      <c r="AE274" s="12">
        <f>(AE145-AD145)*-1</f>
        <v>0</v>
      </c>
      <c r="AF274" s="12">
        <f>(AF145-AE145)*-1</f>
        <v>0</v>
      </c>
      <c r="AG274" s="12">
        <f>SUM(AC274:AF274)</f>
        <v>0</v>
      </c>
      <c r="AH274" s="12">
        <f>(AH145-AG145)*-1</f>
        <v>0</v>
      </c>
      <c r="AI274" s="12">
        <f>(AI145-AH145)*-1</f>
        <v>0</v>
      </c>
      <c r="AJ274" s="12">
        <f>(AJ145-AI145)*-1</f>
        <v>0</v>
      </c>
      <c r="AK274" s="12">
        <f>(AK145-AJ145)*-1</f>
        <v>0</v>
      </c>
      <c r="AL274" s="12">
        <f>SUM(AH274:AK274)</f>
        <v>0</v>
      </c>
      <c r="AM274" s="12">
        <f>(AM145-AL145)*-1</f>
        <v>0</v>
      </c>
      <c r="AN274" s="12">
        <f>(AN145-AM145)*-1</f>
        <v>0</v>
      </c>
      <c r="AO274" s="12">
        <f>(AO145-AN145)*-1</f>
        <v>0</v>
      </c>
      <c r="AP274" s="12">
        <f>(AP145-AO145)*-1</f>
        <v>0</v>
      </c>
      <c r="AQ274" s="12">
        <f>SUM(AM274:AP274)</f>
        <v>0</v>
      </c>
      <c r="AR274" s="12">
        <f>(AR145-AQ145)*-1</f>
        <v>0</v>
      </c>
      <c r="AS274" s="12">
        <f>(AS145-AR145)*-1</f>
        <v>0</v>
      </c>
      <c r="AT274" s="12">
        <f>(AT145-AS145)*-1</f>
        <v>0</v>
      </c>
      <c r="AU274" s="12">
        <f>(AU145-AT145)*-1</f>
        <v>0</v>
      </c>
      <c r="AV274" s="12">
        <f>SUM(AR274:AU274)</f>
        <v>0</v>
      </c>
      <c r="AW274" s="12">
        <f>(AW145-AV145)*-1</f>
        <v>0</v>
      </c>
      <c r="AX274" s="12">
        <f>(AX145-AW145)*-1</f>
        <v>0</v>
      </c>
      <c r="AY274" s="12">
        <f>(AY145-AX145)*-1</f>
        <v>0</v>
      </c>
      <c r="AZ274" s="12">
        <f>(AZ145-AY145)*-1</f>
        <v>0</v>
      </c>
      <c r="BA274" s="12">
        <f>SUM(AW274:AZ274)</f>
        <v>0</v>
      </c>
      <c r="BB274" s="12">
        <f>(BB145-BA145)*-1</f>
        <v>0</v>
      </c>
      <c r="BC274" s="12">
        <f>(BC145-BB145)*-1</f>
        <v>0</v>
      </c>
      <c r="BD274" s="12">
        <f>(BD145-BC145)*-1</f>
        <v>0</v>
      </c>
      <c r="BE274" s="12">
        <f>(BE145-BD145)*-1</f>
        <v>0</v>
      </c>
      <c r="BF274" s="12">
        <f>SUM(BB274:BE274)</f>
        <v>0</v>
      </c>
      <c r="BG274" s="12" t="n"/>
      <c r="BH274" s="12" t="n"/>
      <c r="BI274" s="12" t="n"/>
      <c r="BJ274" s="12" t="n"/>
      <c r="BK274" s="12" t="n"/>
      <c r="BL274" s="12" t="n"/>
      <c r="BM274" s="12" t="n"/>
      <c r="BN274" s="12" t="n"/>
      <c r="BO274" s="12" t="n"/>
      <c r="BP274" s="12" t="n"/>
      <c r="BQ274" s="12" t="n"/>
      <c r="BR274" s="12" t="n"/>
      <c r="BS274" s="12" t="n"/>
      <c r="BT274" s="12" t="n"/>
      <c r="BU274" s="12" t="n"/>
      <c r="BV274" s="12" t="n"/>
      <c r="BW274" s="12" t="n"/>
      <c r="BX274" s="12" t="n"/>
      <c r="BY274" s="12" t="n"/>
      <c r="BZ274" s="12" t="n"/>
      <c r="CA274" s="12" t="n"/>
      <c r="CB274" s="12" t="n"/>
      <c r="CC274" s="12" t="n"/>
      <c r="CD274" s="12" t="n"/>
      <c r="CE274" s="12" t="n"/>
      <c r="CF274" s="12" t="n"/>
      <c r="CG274" s="12" t="n"/>
      <c r="CH274" s="12" t="n"/>
      <c r="CI274" s="12" t="n"/>
      <c r="CJ274" s="12" t="n"/>
      <c r="CK274" s="12" t="n"/>
      <c r="CL274" s="12" t="n"/>
      <c r="CM274" s="12" t="n"/>
      <c r="CN274" s="12" t="n"/>
      <c r="CO274" s="12" t="n"/>
      <c r="CP274" s="12" t="n"/>
      <c r="CQ274" s="12" t="n"/>
      <c r="CR274" s="12" t="n"/>
      <c r="CS274" s="12" t="n"/>
      <c r="CT274" s="12" t="n"/>
      <c r="CU274" s="12" t="n"/>
      <c r="CV274" s="12" t="n"/>
      <c r="CW274" s="12" t="n"/>
      <c r="CX274" s="12" t="n"/>
      <c r="CY274" s="12" t="n"/>
    </row>
    <row r="275" hidden="1" outlineLevel="1">
      <c r="C275" s="10" t="inlineStr">
        <is>
          <t>Other current assets</t>
        </is>
      </c>
      <c r="D275" s="12" t="n"/>
      <c r="E275" s="12" t="n"/>
      <c r="F275" s="12" t="n"/>
      <c r="G275" s="12" t="n"/>
      <c r="H275" s="12" t="n"/>
      <c r="I275" s="12" t="n"/>
      <c r="J275" s="12">
        <f>(J146-I146)*-1</f>
        <v>-213</v>
      </c>
      <c r="K275" s="12">
        <f>(K146-J146)*-1</f>
        <v>-1045</v>
      </c>
      <c r="L275" s="12">
        <f>(L146-K146)*-1</f>
        <v>2115</v>
      </c>
      <c r="M275" s="12" t="n"/>
      <c r="N275" s="12">
        <f>(N146-M146)*-1</f>
        <v>-1732</v>
      </c>
      <c r="O275" s="12">
        <f>(O146-N146)*-1</f>
        <v>183</v>
      </c>
      <c r="P275" s="12">
        <f>(P146-O146)*-1</f>
        <v>-249</v>
      </c>
      <c r="Q275" s="12">
        <f>(Q146-P146)*-1</f>
        <v>107</v>
      </c>
      <c r="R275" s="12">
        <f>SUM(N275:Q275)</f>
        <v>-1691</v>
      </c>
      <c r="S275" s="12">
        <f>(S146-R146)*-1</f>
        <v>-1182</v>
      </c>
      <c r="T275" s="12">
        <f>(T146-S146)*-1</f>
        <v>134</v>
      </c>
      <c r="U275" s="12">
        <f>(U146-T146)*-1</f>
        <v>-379</v>
      </c>
      <c r="V275" s="12">
        <f>(V146-U146)*-1</f>
        <v>419</v>
      </c>
      <c r="W275" s="12">
        <f>SUM(S275:V275)</f>
        <v>-1008</v>
      </c>
      <c r="X275" s="12">
        <f>(X146-W146)*-1</f>
        <v>-964</v>
      </c>
      <c r="Y275" s="12">
        <f>(Y146-X146)*-1</f>
        <v>397</v>
      </c>
      <c r="Z275" s="12">
        <f>(Z146-Y146)*-1</f>
        <v>-405</v>
      </c>
      <c r="AA275" s="12">
        <f>(AA146-Z146)*-1</f>
        <v>904</v>
      </c>
      <c r="AB275" s="12">
        <f>SUM(X275:AA275)</f>
        <v>-68</v>
      </c>
      <c r="AC275" s="12">
        <f>(AC146-AB146)*-1</f>
        <v>-1959</v>
      </c>
      <c r="AD275" s="12">
        <f>(AD146-AC146)*-1</f>
        <v>-415</v>
      </c>
      <c r="AE275" s="12">
        <f>(AE146-AD146)*-1</f>
        <v>767</v>
      </c>
      <c r="AF275" s="12">
        <f>(AF146-AE146)*-1</f>
        <v>1282</v>
      </c>
      <c r="AG275" s="12">
        <f>SUM(AC275:AF275)</f>
        <v>-325</v>
      </c>
      <c r="AH275" s="12">
        <f>(AH146-AG146)*-1</f>
        <v>727</v>
      </c>
      <c r="AI275" s="12">
        <f>(AI146-AH146)*-1</f>
        <v>-230</v>
      </c>
      <c r="AJ275" s="12">
        <f>(AJ146-AI146)*-1</f>
        <v>0</v>
      </c>
      <c r="AK275" s="12">
        <f>(AK146-AJ146)*-1</f>
        <v>0</v>
      </c>
      <c r="AL275" s="12">
        <f>SUM(AH275:AK275)</f>
        <v>497</v>
      </c>
      <c r="AM275" s="12">
        <f>(AM146-AL146)*-1</f>
        <v>0</v>
      </c>
      <c r="AN275" s="12">
        <f>(AN146-AM146)*-1</f>
        <v>0</v>
      </c>
      <c r="AO275" s="12">
        <f>(AO146-AN146)*-1</f>
        <v>0</v>
      </c>
      <c r="AP275" s="12">
        <f>(AP146-AO146)*-1</f>
        <v>0</v>
      </c>
      <c r="AQ275" s="12">
        <f>SUM(AM275:AP275)</f>
        <v>0</v>
      </c>
      <c r="AR275" s="12">
        <f>(AR146-AQ146)*-1</f>
        <v>0</v>
      </c>
      <c r="AS275" s="12">
        <f>(AS146-AR146)*-1</f>
        <v>0</v>
      </c>
      <c r="AT275" s="12">
        <f>(AT146-AS146)*-1</f>
        <v>0</v>
      </c>
      <c r="AU275" s="12">
        <f>(AU146-AT146)*-1</f>
        <v>0</v>
      </c>
      <c r="AV275" s="12">
        <f>SUM(AR275:AU275)</f>
        <v>0</v>
      </c>
      <c r="AW275" s="12">
        <f>(AW146-AV146)*-1</f>
        <v>0</v>
      </c>
      <c r="AX275" s="12">
        <f>(AX146-AW146)*-1</f>
        <v>0</v>
      </c>
      <c r="AY275" s="12">
        <f>(AY146-AX146)*-1</f>
        <v>0</v>
      </c>
      <c r="AZ275" s="12">
        <f>(AZ146-AY146)*-1</f>
        <v>0</v>
      </c>
      <c r="BA275" s="12">
        <f>SUM(AW275:AZ275)</f>
        <v>0</v>
      </c>
      <c r="BB275" s="12">
        <f>(BB146-BA146)*-1</f>
        <v>0</v>
      </c>
      <c r="BC275" s="12">
        <f>(BC146-BB146)*-1</f>
        <v>0</v>
      </c>
      <c r="BD275" s="12">
        <f>(BD146-BC146)*-1</f>
        <v>0</v>
      </c>
      <c r="BE275" s="12">
        <f>(BE146-BD146)*-1</f>
        <v>0</v>
      </c>
      <c r="BF275" s="12">
        <f>SUM(BB275:BE275)</f>
        <v>0</v>
      </c>
      <c r="BG275" s="12" t="n"/>
      <c r="BH275" s="12" t="n"/>
      <c r="BI275" s="12" t="n"/>
      <c r="BJ275" s="12" t="n"/>
      <c r="BK275" s="12" t="n"/>
      <c r="BL275" s="12" t="n"/>
      <c r="BM275" s="12" t="n"/>
      <c r="BN275" s="12" t="n"/>
      <c r="BO275" s="12" t="n"/>
      <c r="BP275" s="12" t="n"/>
      <c r="BQ275" s="12" t="n"/>
      <c r="BR275" s="12" t="n"/>
      <c r="BS275" s="12" t="n"/>
      <c r="BT275" s="12" t="n"/>
      <c r="BU275" s="12" t="n"/>
      <c r="BV275" s="12" t="n"/>
      <c r="BW275" s="12" t="n"/>
      <c r="BX275" s="12" t="n"/>
      <c r="BY275" s="12" t="n"/>
      <c r="BZ275" s="12" t="n"/>
      <c r="CA275" s="12" t="n"/>
      <c r="CB275" s="12" t="n"/>
      <c r="CC275" s="12" t="n"/>
      <c r="CD275" s="12" t="n"/>
      <c r="CE275" s="12" t="n"/>
      <c r="CF275" s="12" t="n"/>
      <c r="CG275" s="12" t="n"/>
      <c r="CH275" s="12" t="n"/>
      <c r="CI275" s="12" t="n"/>
      <c r="CJ275" s="12" t="n"/>
      <c r="CK275" s="12" t="n"/>
      <c r="CL275" s="12" t="n"/>
      <c r="CM275" s="12" t="n"/>
      <c r="CN275" s="12" t="n"/>
      <c r="CO275" s="12" t="n"/>
      <c r="CP275" s="12" t="n"/>
      <c r="CQ275" s="12" t="n"/>
      <c r="CR275" s="12" t="n"/>
      <c r="CS275" s="12" t="n"/>
      <c r="CT275" s="12" t="n"/>
      <c r="CU275" s="12" t="n"/>
      <c r="CV275" s="12" t="n"/>
      <c r="CW275" s="12" t="n"/>
      <c r="CX275" s="12" t="n"/>
      <c r="CY275" s="12" t="n"/>
    </row>
    <row r="276" hidden="1" outlineLevel="1">
      <c r="C276" s="10" t="inlineStr">
        <is>
          <t>Accounts payable</t>
        </is>
      </c>
      <c r="D276" s="12" t="n"/>
      <c r="E276" s="12" t="n"/>
      <c r="F276" s="12" t="n"/>
      <c r="G276" s="12" t="n"/>
      <c r="H276" s="12" t="n"/>
      <c r="I276" s="12" t="n"/>
      <c r="J276" s="12">
        <f>J189-I189</f>
        <v>-281</v>
      </c>
      <c r="K276" s="12">
        <f>K189-J189</f>
        <v>-88</v>
      </c>
      <c r="L276" s="12">
        <f>L189-K189</f>
        <v>-740</v>
      </c>
      <c r="M276" s="12" t="n"/>
      <c r="N276" s="12">
        <f>N189-M189</f>
        <v>1819</v>
      </c>
      <c r="O276" s="12">
        <f>O189-N189</f>
        <v>-290</v>
      </c>
      <c r="P276" s="12">
        <f>P189-O189</f>
        <v>313</v>
      </c>
      <c r="Q276" s="12">
        <f>Q189-P189</f>
        <v>-505</v>
      </c>
      <c r="R276" s="12">
        <f>SUM(N276:Q276)</f>
        <v>1337</v>
      </c>
      <c r="S276" s="12">
        <f>S189-R189</f>
        <v>1154</v>
      </c>
      <c r="T276" s="12">
        <f>T189-S189</f>
        <v>195</v>
      </c>
      <c r="U276" s="12">
        <f>U189-T189</f>
        <v>351</v>
      </c>
      <c r="V276" s="12">
        <f>V189-U189</f>
        <v>-1505</v>
      </c>
      <c r="W276" s="12">
        <f>SUM(S276:V276)</f>
        <v>195</v>
      </c>
      <c r="X276" s="12">
        <f>X189-W189</f>
        <v>1211</v>
      </c>
      <c r="Y276" s="12">
        <f>Y189-X189</f>
        <v>-241</v>
      </c>
      <c r="Z276" s="12">
        <f>Z189-Y189</f>
        <v>-61</v>
      </c>
      <c r="AA276" s="12">
        <f>AA189-Z189</f>
        <v>-999</v>
      </c>
      <c r="AB276" s="12">
        <f>SUM(X276:AA276)</f>
        <v>-90</v>
      </c>
      <c r="AC276" s="12">
        <f>AC189-AB189</f>
        <v>1599</v>
      </c>
      <c r="AD276" s="12">
        <f>AD189-AC189</f>
        <v>-168</v>
      </c>
      <c r="AE276" s="12">
        <f>AE189-AD189</f>
        <v>181</v>
      </c>
      <c r="AF276" s="12">
        <f>AF189-AE189</f>
        <v>-204</v>
      </c>
      <c r="AG276" s="12">
        <f>SUM(AC276:AF276)</f>
        <v>1408</v>
      </c>
      <c r="AH276" s="12">
        <f>AH189-AG189</f>
        <v>1077</v>
      </c>
      <c r="AI276" s="12">
        <f>AI189-AH189</f>
        <v>208</v>
      </c>
      <c r="AJ276" s="12">
        <f>AJ189-AI189</f>
        <v>-683.646192729688</v>
      </c>
      <c r="AK276" s="12">
        <f>AK189-AJ189</f>
        <v>389.278183569605</v>
      </c>
      <c r="AL276" s="12">
        <f>SUM(AH276:AK276)</f>
        <v>990.631990839917</v>
      </c>
      <c r="AM276" s="12">
        <f>AM189-AL189</f>
        <v>-431.919909830559</v>
      </c>
      <c r="AN276" s="12">
        <f>AN189-AM189</f>
        <v>423.386833697701</v>
      </c>
      <c r="AO276" s="12">
        <f>AO189-AN189</f>
        <v>-145.174147540652</v>
      </c>
      <c r="AP276" s="12">
        <f>AP189-AO189</f>
        <v>410.950357428603</v>
      </c>
      <c r="AQ276" s="12">
        <f>SUM(AM276:AP276)</f>
        <v>257.243133755093</v>
      </c>
      <c r="AR276" s="12">
        <f>AR189-AQ189</f>
        <v>-525.271883060718</v>
      </c>
      <c r="AS276" s="12">
        <f>AS189-AR189</f>
        <v>493.203252827979</v>
      </c>
      <c r="AT276" s="12">
        <f>AT189-AS189</f>
        <v>-152.530515926863</v>
      </c>
      <c r="AU276" s="12">
        <f>AU189-AT189</f>
        <v>431.774328286389</v>
      </c>
      <c r="AV276" s="12">
        <f>SUM(AR276:AU276)</f>
        <v>247.175182126786</v>
      </c>
      <c r="AW276" s="12">
        <f>AW189-AV189</f>
        <v>-523.080758419234</v>
      </c>
      <c r="AX276" s="12">
        <f>AX189-AW189</f>
        <v>465.158091114142</v>
      </c>
      <c r="AY276" s="12">
        <f>AY189-AX189</f>
        <v>-159.49699890136</v>
      </c>
      <c r="AZ276" s="12">
        <f>AZ189-AY189</f>
        <v>451.494634669368</v>
      </c>
      <c r="BA276" s="12">
        <f>SUM(AW276:AZ276)</f>
        <v>234.074968462915</v>
      </c>
      <c r="BB276" s="12">
        <f>BB189-BA189</f>
        <v>-569.981125219643</v>
      </c>
      <c r="BC276" s="12">
        <f>BC189-BB189</f>
        <v>484.07733416878</v>
      </c>
      <c r="BD276" s="12">
        <f>BD189-BC189</f>
        <v>-165.984175081554</v>
      </c>
      <c r="BE276" s="12">
        <f>BE189-BD189</f>
        <v>469.858147836936</v>
      </c>
      <c r="BF276" s="12">
        <f>SUM(BB276:BE276)</f>
        <v>217.970181704519</v>
      </c>
      <c r="BG276" s="12" t="n"/>
      <c r="BH276" s="12" t="n"/>
      <c r="BI276" s="12" t="n"/>
      <c r="BJ276" s="12" t="n"/>
      <c r="BK276" s="12" t="n"/>
      <c r="BL276" s="12" t="n"/>
      <c r="BM276" s="12" t="n"/>
      <c r="BN276" s="12" t="n"/>
      <c r="BO276" s="12" t="n"/>
      <c r="BP276" s="12" t="n"/>
      <c r="BQ276" s="12" t="n"/>
      <c r="BR276" s="12" t="n"/>
      <c r="BS276" s="12" t="n"/>
      <c r="BT276" s="12" t="n"/>
      <c r="BU276" s="12" t="n"/>
      <c r="BV276" s="12" t="n"/>
      <c r="BW276" s="12" t="n"/>
      <c r="BX276" s="12" t="n"/>
      <c r="BY276" s="12" t="n"/>
      <c r="BZ276" s="12" t="n"/>
      <c r="CA276" s="12" t="n"/>
      <c r="CB276" s="12" t="n"/>
      <c r="CC276" s="12" t="n"/>
      <c r="CD276" s="12" t="n"/>
      <c r="CE276" s="12" t="n"/>
      <c r="CF276" s="12" t="n"/>
      <c r="CG276" s="12" t="n"/>
      <c r="CH276" s="12" t="n"/>
      <c r="CI276" s="12" t="n"/>
      <c r="CJ276" s="12" t="n"/>
      <c r="CK276" s="12" t="n"/>
      <c r="CL276" s="12" t="n"/>
      <c r="CM276" s="12" t="n"/>
      <c r="CN276" s="12" t="n"/>
      <c r="CO276" s="12" t="n"/>
      <c r="CP276" s="12" t="n"/>
      <c r="CQ276" s="12" t="n"/>
      <c r="CR276" s="12" t="n"/>
      <c r="CS276" s="12" t="n"/>
      <c r="CT276" s="12" t="n"/>
      <c r="CU276" s="12" t="n"/>
      <c r="CV276" s="12" t="n"/>
      <c r="CW276" s="12" t="n"/>
      <c r="CX276" s="12" t="n"/>
      <c r="CY276" s="12" t="n"/>
    </row>
    <row r="277" hidden="1" outlineLevel="1">
      <c r="C277" s="10" t="inlineStr">
        <is>
          <t>Accrued expenses</t>
        </is>
      </c>
      <c r="D277" s="12" t="n"/>
      <c r="E277" s="12" t="n"/>
      <c r="F277" s="12" t="n"/>
      <c r="G277" s="12" t="n"/>
      <c r="H277" s="12" t="n"/>
      <c r="I277" s="12" t="n"/>
      <c r="J277" s="12">
        <f>J193-I193</f>
        <v>235</v>
      </c>
      <c r="K277" s="12">
        <f>K193-J193</f>
        <v>93</v>
      </c>
      <c r="L277" s="12">
        <f>L193-K193</f>
        <v>-14</v>
      </c>
      <c r="M277" s="12" t="n"/>
      <c r="N277" s="12">
        <f>N193-M193</f>
        <v>-437</v>
      </c>
      <c r="O277" s="12">
        <f>O193-N193</f>
        <v>264</v>
      </c>
      <c r="P277" s="12">
        <f>P193-O193</f>
        <v>216</v>
      </c>
      <c r="Q277" s="12">
        <f>Q193-P193</f>
        <v>-76</v>
      </c>
      <c r="R277" s="12">
        <f>SUM(N277:Q277)</f>
        <v>-33</v>
      </c>
      <c r="S277" s="12">
        <f>S193-R193</f>
        <v>-441</v>
      </c>
      <c r="T277" s="12">
        <f>T193-S193</f>
        <v>262</v>
      </c>
      <c r="U277" s="12">
        <f>U193-T193</f>
        <v>243</v>
      </c>
      <c r="V277" s="12">
        <f>V193-U193</f>
        <v>-6</v>
      </c>
      <c r="W277" s="12">
        <f>SUM(S277:V277)</f>
        <v>58</v>
      </c>
      <c r="X277" s="12">
        <f>X193-W193</f>
        <v>-454</v>
      </c>
      <c r="Y277" s="12">
        <f>Y193-X193</f>
        <v>192</v>
      </c>
      <c r="Z277" s="12">
        <f>Z193-Y193</f>
        <v>205</v>
      </c>
      <c r="AA277" s="12">
        <f>AA193-Z193</f>
        <v>49</v>
      </c>
      <c r="AB277" s="12">
        <f>SUM(X277:AA277)</f>
        <v>-8</v>
      </c>
      <c r="AC277" s="12">
        <f>AC193-AB193</f>
        <v>-734</v>
      </c>
      <c r="AD277" s="12">
        <f>AD193-AC193</f>
        <v>370</v>
      </c>
      <c r="AE277" s="12">
        <f>AE193-AD193</f>
        <v>304</v>
      </c>
      <c r="AF277" s="12">
        <f>AF193-AE193</f>
        <v>119</v>
      </c>
      <c r="AG277" s="12">
        <f>SUM(AC277:AF277)</f>
        <v>59</v>
      </c>
      <c r="AH277" s="12">
        <f>AH193-AG193</f>
        <v>-508</v>
      </c>
      <c r="AI277" s="12">
        <f>AI193-AH193</f>
        <v>327</v>
      </c>
      <c r="AJ277" s="12">
        <f>AJ193-AI193</f>
        <v>167.185166920451</v>
      </c>
      <c r="AK277" s="12">
        <f>AK193-AJ193</f>
        <v>176.49281928083</v>
      </c>
      <c r="AL277" s="12">
        <f>SUM(AH277:AK277)</f>
        <v>162.677986201281</v>
      </c>
      <c r="AM277" s="12">
        <f>AM193-AL193</f>
        <v>186.31865393009</v>
      </c>
      <c r="AN277" s="12">
        <f>AN193-AM193</f>
        <v>196.691519483768</v>
      </c>
      <c r="AO277" s="12">
        <f>AO193-AN193</f>
        <v>207.641870638191</v>
      </c>
      <c r="AP277" s="12">
        <f>AP193-AO193</f>
        <v>219.20185758535</v>
      </c>
      <c r="AQ277" s="12">
        <f>SUM(AM277:AP277)</f>
        <v>809.853901637398</v>
      </c>
      <c r="AR277" s="12">
        <f>AR193-AQ193</f>
        <v>210.622760966563</v>
      </c>
      <c r="AS277" s="12">
        <f>AS193-AR193</f>
        <v>221.295588370335</v>
      </c>
      <c r="AT277" s="12">
        <f>AT193-AS193</f>
        <v>232.509236928801</v>
      </c>
      <c r="AU277" s="12">
        <f>AU193-AT193</f>
        <v>244.291111518879</v>
      </c>
      <c r="AV277" s="12">
        <f>SUM(AR277:AU277)</f>
        <v>908.718697784579</v>
      </c>
      <c r="AW277" s="12">
        <f>AW193-AV193</f>
        <v>231.34375276892</v>
      </c>
      <c r="AX277" s="12">
        <f>AX193-AW193</f>
        <v>241.909850347018</v>
      </c>
      <c r="AY277" s="12">
        <f>AY193-AX193</f>
        <v>252.958530301745</v>
      </c>
      <c r="AZ277" s="12">
        <f>AZ193-AY193</f>
        <v>264.511833481061</v>
      </c>
      <c r="BA277" s="12">
        <f>SUM(AW277:AZ277)</f>
        <v>990.723966898744</v>
      </c>
      <c r="BB277" s="12">
        <f>BB193-BA193</f>
        <v>246.312934635711</v>
      </c>
      <c r="BC277" s="12">
        <f>BC193-BB193</f>
        <v>256.331150736634</v>
      </c>
      <c r="BD277" s="12">
        <f>BD193-BC193</f>
        <v>266.756834898434</v>
      </c>
      <c r="BE277" s="12">
        <f>BE193-BD193</f>
        <v>277.606559953933</v>
      </c>
      <c r="BF277" s="12">
        <f>SUM(BB277:BE277)</f>
        <v>1047.00748022471</v>
      </c>
      <c r="BG277" s="12" t="n"/>
      <c r="BH277" s="12" t="n"/>
      <c r="BI277" s="12" t="n"/>
      <c r="BJ277" s="12" t="n"/>
      <c r="BK277" s="12" t="n"/>
      <c r="BL277" s="12" t="n"/>
      <c r="BM277" s="12" t="n"/>
      <c r="BN277" s="12" t="n"/>
      <c r="BO277" s="12" t="n"/>
      <c r="BP277" s="12" t="n"/>
      <c r="BQ277" s="12" t="n"/>
      <c r="BR277" s="12" t="n"/>
      <c r="BS277" s="12" t="n"/>
      <c r="BT277" s="12" t="n"/>
      <c r="BU277" s="12" t="n"/>
      <c r="BV277" s="12" t="n"/>
      <c r="BW277" s="12" t="n"/>
      <c r="BX277" s="12" t="n"/>
      <c r="BY277" s="12" t="n"/>
      <c r="BZ277" s="12" t="n"/>
      <c r="CA277" s="12" t="n"/>
      <c r="CB277" s="12" t="n"/>
      <c r="CC277" s="12" t="n"/>
      <c r="CD277" s="12" t="n"/>
      <c r="CE277" s="12" t="n"/>
      <c r="CF277" s="12" t="n"/>
      <c r="CG277" s="12" t="n"/>
      <c r="CH277" s="12" t="n"/>
      <c r="CI277" s="12" t="n"/>
      <c r="CJ277" s="12" t="n"/>
      <c r="CK277" s="12" t="n"/>
      <c r="CL277" s="12" t="n"/>
      <c r="CM277" s="12" t="n"/>
      <c r="CN277" s="12" t="n"/>
      <c r="CO277" s="12" t="n"/>
      <c r="CP277" s="12" t="n"/>
      <c r="CQ277" s="12" t="n"/>
      <c r="CR277" s="12" t="n"/>
      <c r="CS277" s="12" t="n"/>
      <c r="CT277" s="12" t="n"/>
      <c r="CU277" s="12" t="n"/>
      <c r="CV277" s="12" t="n"/>
      <c r="CW277" s="12" t="n"/>
      <c r="CX277" s="12" t="n"/>
      <c r="CY277" s="12" t="n"/>
    </row>
    <row r="278" hidden="1" outlineLevel="1">
      <c r="C278" s="10" t="inlineStr">
        <is>
          <t>Taxes payable</t>
        </is>
      </c>
      <c r="D278" s="12" t="n"/>
      <c r="E278" s="12" t="n"/>
      <c r="F278" s="12" t="n"/>
      <c r="G278" s="12" t="n"/>
      <c r="H278" s="12" t="n"/>
      <c r="I278" s="12" t="n"/>
      <c r="J278" s="12">
        <f>J195-I195</f>
        <v>0</v>
      </c>
      <c r="K278" s="12">
        <f>K195-J195</f>
        <v>0</v>
      </c>
      <c r="L278" s="12">
        <f>L195-K195</f>
        <v>0</v>
      </c>
      <c r="M278" s="12" t="n"/>
      <c r="N278" s="12">
        <f>N195-M195</f>
        <v>0</v>
      </c>
      <c r="O278" s="12">
        <f>O195-N195</f>
        <v>0</v>
      </c>
      <c r="P278" s="12">
        <f>P195-O195</f>
        <v>0</v>
      </c>
      <c r="Q278" s="12">
        <f>Q195-P195</f>
        <v>0</v>
      </c>
      <c r="R278" s="12">
        <f>SUM(N278:Q278)</f>
        <v>0</v>
      </c>
      <c r="S278" s="12">
        <f>S195-R195</f>
        <v>0</v>
      </c>
      <c r="T278" s="12">
        <f>T195-S195</f>
        <v>0</v>
      </c>
      <c r="U278" s="12">
        <f>U195-T195</f>
        <v>0</v>
      </c>
      <c r="V278" s="12">
        <f>V195-U195</f>
        <v>0</v>
      </c>
      <c r="W278" s="12">
        <f>SUM(S278:V278)</f>
        <v>0</v>
      </c>
      <c r="X278" s="12">
        <f>X195-W195</f>
        <v>0</v>
      </c>
      <c r="Y278" s="12">
        <f>Y195-X195</f>
        <v>0</v>
      </c>
      <c r="Z278" s="12">
        <f>Z195-Y195</f>
        <v>0</v>
      </c>
      <c r="AA278" s="12">
        <f>AA195-Z195</f>
        <v>0</v>
      </c>
      <c r="AB278" s="12">
        <f>SUM(X278:AA278)</f>
        <v>0</v>
      </c>
      <c r="AC278" s="12">
        <f>AC195-AB195</f>
        <v>0</v>
      </c>
      <c r="AD278" s="12">
        <f>AD195-AC195</f>
        <v>0</v>
      </c>
      <c r="AE278" s="12">
        <f>AE195-AD195</f>
        <v>0</v>
      </c>
      <c r="AF278" s="12">
        <f>AF195-AE195</f>
        <v>0</v>
      </c>
      <c r="AG278" s="12">
        <f>SUM(AC278:AF278)</f>
        <v>0</v>
      </c>
      <c r="AH278" s="12">
        <f>AH195-AG195</f>
        <v>0</v>
      </c>
      <c r="AI278" s="12">
        <f>AI195-AH195</f>
        <v>0</v>
      </c>
      <c r="AJ278" s="12">
        <f>AJ195-AI195</f>
        <v>0</v>
      </c>
      <c r="AK278" s="12">
        <f>AK195-AJ195</f>
        <v>0</v>
      </c>
      <c r="AL278" s="12">
        <f>SUM(AH278:AK278)</f>
        <v>0</v>
      </c>
      <c r="AM278" s="12">
        <f>AM195-AL195</f>
        <v>0</v>
      </c>
      <c r="AN278" s="12">
        <f>AN195-AM195</f>
        <v>0</v>
      </c>
      <c r="AO278" s="12">
        <f>AO195-AN195</f>
        <v>0</v>
      </c>
      <c r="AP278" s="12">
        <f>AP195-AO195</f>
        <v>0</v>
      </c>
      <c r="AQ278" s="12">
        <f>SUM(AM278:AP278)</f>
        <v>0</v>
      </c>
      <c r="AR278" s="12">
        <f>AR195-AQ195</f>
        <v>0</v>
      </c>
      <c r="AS278" s="12">
        <f>AS195-AR195</f>
        <v>0</v>
      </c>
      <c r="AT278" s="12">
        <f>AT195-AS195</f>
        <v>0</v>
      </c>
      <c r="AU278" s="12">
        <f>AU195-AT195</f>
        <v>0</v>
      </c>
      <c r="AV278" s="12">
        <f>SUM(AR278:AU278)</f>
        <v>0</v>
      </c>
      <c r="AW278" s="12">
        <f>AW195-AV195</f>
        <v>0</v>
      </c>
      <c r="AX278" s="12">
        <f>AX195-AW195</f>
        <v>0</v>
      </c>
      <c r="AY278" s="12">
        <f>AY195-AX195</f>
        <v>0</v>
      </c>
      <c r="AZ278" s="12">
        <f>AZ195-AY195</f>
        <v>0</v>
      </c>
      <c r="BA278" s="12">
        <f>SUM(AW278:AZ278)</f>
        <v>0</v>
      </c>
      <c r="BB278" s="12">
        <f>BB195-BA195</f>
        <v>0</v>
      </c>
      <c r="BC278" s="12">
        <f>BC195-BB195</f>
        <v>0</v>
      </c>
      <c r="BD278" s="12">
        <f>BD195-BC195</f>
        <v>0</v>
      </c>
      <c r="BE278" s="12">
        <f>BE195-BD195</f>
        <v>0</v>
      </c>
      <c r="BF278" s="12">
        <f>SUM(BB278:BE278)</f>
        <v>0</v>
      </c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</row>
    <row r="279" hidden="1" outlineLevel="1">
      <c r="C279" s="10" t="inlineStr">
        <is>
          <t>Other current liabilities (non-debt)</t>
        </is>
      </c>
      <c r="D279" s="12" t="n"/>
      <c r="E279" s="12" t="n"/>
      <c r="F279" s="12" t="n"/>
      <c r="G279" s="12" t="n"/>
      <c r="H279" s="12" t="n"/>
      <c r="I279" s="12" t="n"/>
      <c r="J279" s="12">
        <f>J196-I196</f>
        <v>571</v>
      </c>
      <c r="K279" s="12">
        <f>K196-J196</f>
        <v>279</v>
      </c>
      <c r="L279" s="12">
        <f>L196-K196</f>
        <v>-275</v>
      </c>
      <c r="M279" s="12" t="n"/>
      <c r="N279" s="12">
        <f>N196-M196</f>
        <v>174</v>
      </c>
      <c r="O279" s="12">
        <f>O196-N196</f>
        <v>958</v>
      </c>
      <c r="P279" s="12">
        <f>P196-O196</f>
        <v>-661</v>
      </c>
      <c r="Q279" s="12">
        <f>Q196-P196</f>
        <v>121</v>
      </c>
      <c r="R279" s="12">
        <f>SUM(N279:Q279)</f>
        <v>592</v>
      </c>
      <c r="S279" s="12">
        <f>S196-R196</f>
        <v>267</v>
      </c>
      <c r="T279" s="12">
        <f>T196-S196</f>
        <v>97</v>
      </c>
      <c r="U279" s="12">
        <f>U196-T196</f>
        <v>-990</v>
      </c>
      <c r="V279" s="12">
        <f>V196-U196</f>
        <v>1255</v>
      </c>
      <c r="W279" s="12">
        <f>SUM(S279:V279)</f>
        <v>629</v>
      </c>
      <c r="X279" s="12">
        <f>X196-W196</f>
        <v>5</v>
      </c>
      <c r="Y279" s="12">
        <f>Y196-X196</f>
        <v>869</v>
      </c>
      <c r="Z279" s="12">
        <f>Z196-Y196</f>
        <v>-827</v>
      </c>
      <c r="AA279" s="12">
        <f>AA196-Z196</f>
        <v>2059</v>
      </c>
      <c r="AB279" s="12">
        <f>SUM(X279:AA279)</f>
        <v>2106</v>
      </c>
      <c r="AC279" s="12">
        <f>AC196-AB196</f>
        <v>-98</v>
      </c>
      <c r="AD279" s="12">
        <f>AD196-AC196</f>
        <v>1490</v>
      </c>
      <c r="AE279" s="12">
        <f>AE196-AD196</f>
        <v>-416</v>
      </c>
      <c r="AF279" s="12">
        <f>AF196-AE196</f>
        <v>947</v>
      </c>
      <c r="AG279" s="12">
        <f>SUM(AC279:AF279)</f>
        <v>1923</v>
      </c>
      <c r="AH279" s="12">
        <f>AH196-AG196</f>
        <v>-814</v>
      </c>
      <c r="AI279" s="12">
        <f>AI196-AH196</f>
        <v>1352</v>
      </c>
      <c r="AJ279" s="12">
        <f>AJ196-AI196</f>
        <v>0</v>
      </c>
      <c r="AK279" s="12">
        <f>AK196-AJ196</f>
        <v>0</v>
      </c>
      <c r="AL279" s="12">
        <f>SUM(AH279:AK279)</f>
        <v>538</v>
      </c>
      <c r="AM279" s="12">
        <f>AM196-AL196</f>
        <v>0</v>
      </c>
      <c r="AN279" s="12">
        <f>AN196-AM196</f>
        <v>0</v>
      </c>
      <c r="AO279" s="12">
        <f>AO196-AN196</f>
        <v>0</v>
      </c>
      <c r="AP279" s="12">
        <f>AP196-AO196</f>
        <v>0</v>
      </c>
      <c r="AQ279" s="12">
        <f>SUM(AM279:AP279)</f>
        <v>0</v>
      </c>
      <c r="AR279" s="12">
        <f>AR196-AQ196</f>
        <v>0</v>
      </c>
      <c r="AS279" s="12">
        <f>AS196-AR196</f>
        <v>0</v>
      </c>
      <c r="AT279" s="12">
        <f>AT196-AS196</f>
        <v>0</v>
      </c>
      <c r="AU279" s="12">
        <f>AU196-AT196</f>
        <v>0</v>
      </c>
      <c r="AV279" s="12">
        <f>SUM(AR279:AU279)</f>
        <v>0</v>
      </c>
      <c r="AW279" s="12">
        <f>AW196-AV196</f>
        <v>0</v>
      </c>
      <c r="AX279" s="12">
        <f>AX196-AW196</f>
        <v>0</v>
      </c>
      <c r="AY279" s="12">
        <f>AY196-AX196</f>
        <v>0</v>
      </c>
      <c r="AZ279" s="12">
        <f>AZ196-AY196</f>
        <v>0</v>
      </c>
      <c r="BA279" s="12">
        <f>SUM(AW279:AZ279)</f>
        <v>0</v>
      </c>
      <c r="BB279" s="12">
        <f>BB196-BA196</f>
        <v>0</v>
      </c>
      <c r="BC279" s="12">
        <f>BC196-BB196</f>
        <v>0</v>
      </c>
      <c r="BD279" s="12">
        <f>BD196-BC196</f>
        <v>0</v>
      </c>
      <c r="BE279" s="12">
        <f>BE196-BD196</f>
        <v>0</v>
      </c>
      <c r="BF279" s="12">
        <f>SUM(BB279:BE279)</f>
        <v>0</v>
      </c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 hidden="1" outlineLevel="1">
      <c r="C280" s="10" t="inlineStr">
        <is>
          <t>Deferred income taxes</t>
        </is>
      </c>
      <c r="D280" s="12" t="n"/>
      <c r="E280" s="12" t="n"/>
      <c r="F280" s="12" t="n"/>
      <c r="G280" s="12" t="n"/>
      <c r="H280" s="12" t="n"/>
      <c r="I280" s="12" t="n"/>
      <c r="J280" s="12">
        <f>J230-I230</f>
        <v>0</v>
      </c>
      <c r="K280" s="12">
        <f>K230-J230</f>
        <v>0</v>
      </c>
      <c r="L280" s="12">
        <f>L230-K230</f>
        <v>0</v>
      </c>
      <c r="M280" s="12" t="n"/>
      <c r="N280" s="12">
        <f>N230-M230</f>
        <v>0</v>
      </c>
      <c r="O280" s="12">
        <f>O230-N230</f>
        <v>0</v>
      </c>
      <c r="P280" s="12">
        <f>P230-O230</f>
        <v>0</v>
      </c>
      <c r="Q280" s="12">
        <f>Q230-P230</f>
        <v>0</v>
      </c>
      <c r="R280" s="12">
        <f>SUM(N280:Q280)</f>
        <v>0</v>
      </c>
      <c r="S280" s="12">
        <f>S230-R230</f>
        <v>0</v>
      </c>
      <c r="T280" s="12">
        <f>T230-S230</f>
        <v>0</v>
      </c>
      <c r="U280" s="12">
        <f>U230-T230</f>
        <v>0</v>
      </c>
      <c r="V280" s="12">
        <f>V230-U230</f>
        <v>0</v>
      </c>
      <c r="W280" s="12">
        <f>SUM(S280:V280)</f>
        <v>0</v>
      </c>
      <c r="X280" s="12">
        <f>X230-W230</f>
        <v>0</v>
      </c>
      <c r="Y280" s="12">
        <f>Y230-X230</f>
        <v>0</v>
      </c>
      <c r="Z280" s="12">
        <f>Z230-Y230</f>
        <v>0</v>
      </c>
      <c r="AA280" s="12">
        <f>AA230-Z230</f>
        <v>0</v>
      </c>
      <c r="AB280" s="12">
        <f>SUM(X280:AA280)</f>
        <v>0</v>
      </c>
      <c r="AC280" s="12">
        <f>AC230-AB230</f>
        <v>0</v>
      </c>
      <c r="AD280" s="12">
        <f>AD230-AC230</f>
        <v>0</v>
      </c>
      <c r="AE280" s="12">
        <f>AE230-AD230</f>
        <v>0</v>
      </c>
      <c r="AF280" s="12">
        <f>AF230-AE230</f>
        <v>0</v>
      </c>
      <c r="AG280" s="12">
        <f>SUM(AC280:AF280)</f>
        <v>0</v>
      </c>
      <c r="AH280" s="12">
        <f>AH230-AG230</f>
        <v>0</v>
      </c>
      <c r="AI280" s="12">
        <f>AI230-AH230</f>
        <v>0</v>
      </c>
      <c r="AJ280" s="12">
        <f>AJ230-AI230</f>
        <v>0</v>
      </c>
      <c r="AK280" s="12">
        <f>AK230-AJ230</f>
        <v>0</v>
      </c>
      <c r="AL280" s="12">
        <f>SUM(AH280:AK280)</f>
        <v>0</v>
      </c>
      <c r="AM280" s="12">
        <f>AM230-AL230</f>
        <v>0</v>
      </c>
      <c r="AN280" s="12">
        <f>AN230-AM230</f>
        <v>0</v>
      </c>
      <c r="AO280" s="12">
        <f>AO230-AN230</f>
        <v>0</v>
      </c>
      <c r="AP280" s="12">
        <f>AP230-AO230</f>
        <v>0</v>
      </c>
      <c r="AQ280" s="12">
        <f>SUM(AM280:AP280)</f>
        <v>0</v>
      </c>
      <c r="AR280" s="12">
        <f>AR230-AQ230</f>
        <v>0</v>
      </c>
      <c r="AS280" s="12">
        <f>AS230-AR230</f>
        <v>0</v>
      </c>
      <c r="AT280" s="12">
        <f>AT230-AS230</f>
        <v>0</v>
      </c>
      <c r="AU280" s="12">
        <f>AU230-AT230</f>
        <v>0</v>
      </c>
      <c r="AV280" s="12">
        <f>SUM(AR280:AU280)</f>
        <v>0</v>
      </c>
      <c r="AW280" s="12">
        <f>AW230-AV230</f>
        <v>0</v>
      </c>
      <c r="AX280" s="12">
        <f>AX230-AW230</f>
        <v>0</v>
      </c>
      <c r="AY280" s="12">
        <f>AY230-AX230</f>
        <v>0</v>
      </c>
      <c r="AZ280" s="12">
        <f>AZ230-AY230</f>
        <v>0</v>
      </c>
      <c r="BA280" s="12">
        <f>SUM(AW280:AZ280)</f>
        <v>0</v>
      </c>
      <c r="BB280" s="12">
        <f>BB230-BA230</f>
        <v>0</v>
      </c>
      <c r="BC280" s="12">
        <f>BC230-BB230</f>
        <v>0</v>
      </c>
      <c r="BD280" s="12">
        <f>BD230-BC230</f>
        <v>0</v>
      </c>
      <c r="BE280" s="12">
        <f>BE230-BD230</f>
        <v>0</v>
      </c>
      <c r="BF280" s="12">
        <f>SUM(BB280:BE280)</f>
        <v>0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</row>
    <row r="281" collapsed="1">
      <c r="C281" s="10" t="inlineStr">
        <is>
          <t>Equity income in affiliates</t>
        </is>
      </c>
      <c r="D281" s="12" t="n"/>
      <c r="E281" s="12" t="n"/>
      <c r="F281" s="12" t="n"/>
      <c r="G281" s="12" t="n"/>
      <c r="H281" s="12" t="n"/>
      <c r="I281" s="12" t="n"/>
      <c r="J281" s="12">
        <f>(J152-I152)*-1</f>
        <v>0</v>
      </c>
      <c r="K281" s="12">
        <f>(K152-J152)*-1</f>
        <v>0</v>
      </c>
      <c r="L281" s="12">
        <f>(L152-K152)*-1</f>
        <v>0</v>
      </c>
      <c r="M281" s="12" t="n"/>
      <c r="N281" s="12">
        <f>(N152-M152)*-1</f>
        <v>0</v>
      </c>
      <c r="O281" s="12">
        <f>(O152-N152)*-1</f>
        <v>0</v>
      </c>
      <c r="P281" s="12">
        <f>(P152-O152)*-1</f>
        <v>0</v>
      </c>
      <c r="Q281" s="12">
        <f>(Q152-P152)*-1</f>
        <v>0</v>
      </c>
      <c r="R281" s="12">
        <f>SUM(N281:Q281)</f>
        <v>0</v>
      </c>
      <c r="S281" s="12">
        <f>(S152-R152)*-1</f>
        <v>0</v>
      </c>
      <c r="T281" s="12">
        <f>(T152-S152)*-1</f>
        <v>0</v>
      </c>
      <c r="U281" s="12">
        <f>(U152-T152)*-1</f>
        <v>0</v>
      </c>
      <c r="V281" s="12">
        <f>(V152-U152)*-1</f>
        <v>0</v>
      </c>
      <c r="W281" s="12">
        <f>SUM(S281:V281)</f>
        <v>0</v>
      </c>
      <c r="X281" s="12">
        <f>(X152-W152)*-1</f>
        <v>0</v>
      </c>
      <c r="Y281" s="12">
        <f>(Y152-X152)*-1</f>
        <v>0</v>
      </c>
      <c r="Z281" s="12">
        <f>(Z152-Y152)*-1</f>
        <v>0</v>
      </c>
      <c r="AA281" s="12">
        <f>(AA152-Z152)*-1</f>
        <v>0</v>
      </c>
      <c r="AB281" s="12">
        <f>SUM(X281:AA281)</f>
        <v>0</v>
      </c>
      <c r="AC281" s="12">
        <f>(AC152-AB152)*-1</f>
        <v>0</v>
      </c>
      <c r="AD281" s="12">
        <f>(AD152-AC152)*-1</f>
        <v>0</v>
      </c>
      <c r="AE281" s="12">
        <f>(AE152-AD152)*-1</f>
        <v>0</v>
      </c>
      <c r="AF281" s="12">
        <f>(AF152-AE152)*-1</f>
        <v>0</v>
      </c>
      <c r="AG281" s="12">
        <f>SUM(AC281:AF281)</f>
        <v>0</v>
      </c>
      <c r="AH281" s="12">
        <f>(AH152-AG152)*-1</f>
        <v>0</v>
      </c>
      <c r="AI281" s="12">
        <f>(AI152-AH152)*-1</f>
        <v>0</v>
      </c>
      <c r="AJ281" s="12">
        <f>(AJ152-AI152)*-1</f>
        <v>0</v>
      </c>
      <c r="AK281" s="12">
        <f>(AK152-AJ152)*-1</f>
        <v>0</v>
      </c>
      <c r="AL281" s="12">
        <f>SUM(AH281:AK281)</f>
        <v>0</v>
      </c>
      <c r="AM281" s="12">
        <f>(AM152-AL152)*-1</f>
        <v>0</v>
      </c>
      <c r="AN281" s="12">
        <f>(AN152-AM152)*-1</f>
        <v>0</v>
      </c>
      <c r="AO281" s="12">
        <f>(AO152-AN152)*-1</f>
        <v>0</v>
      </c>
      <c r="AP281" s="12">
        <f>(AP152-AO152)*-1</f>
        <v>0</v>
      </c>
      <c r="AQ281" s="12">
        <f>SUM(AM281:AP281)</f>
        <v>0</v>
      </c>
      <c r="AR281" s="12">
        <f>(AR152-AQ152)*-1</f>
        <v>0</v>
      </c>
      <c r="AS281" s="12">
        <f>(AS152-AR152)*-1</f>
        <v>0</v>
      </c>
      <c r="AT281" s="12">
        <f>(AT152-AS152)*-1</f>
        <v>0</v>
      </c>
      <c r="AU281" s="12">
        <f>(AU152-AT152)*-1</f>
        <v>0</v>
      </c>
      <c r="AV281" s="12">
        <f>SUM(AR281:AU281)</f>
        <v>0</v>
      </c>
      <c r="AW281" s="12">
        <f>(AW152-AV152)*-1</f>
        <v>0</v>
      </c>
      <c r="AX281" s="12">
        <f>(AX152-AW152)*-1</f>
        <v>0</v>
      </c>
      <c r="AY281" s="12">
        <f>(AY152-AX152)*-1</f>
        <v>0</v>
      </c>
      <c r="AZ281" s="12">
        <f>(AZ152-AY152)*-1</f>
        <v>0</v>
      </c>
      <c r="BA281" s="12">
        <f>SUM(AW281:AZ281)</f>
        <v>0</v>
      </c>
      <c r="BB281" s="12">
        <f>(BB152-BA152)*-1</f>
        <v>0</v>
      </c>
      <c r="BC281" s="12">
        <f>(BC152-BB152)*-1</f>
        <v>0</v>
      </c>
      <c r="BD281" s="12">
        <f>(BD152-BC152)*-1</f>
        <v>0</v>
      </c>
      <c r="BE281" s="12">
        <f>(BE152-BD152)*-1</f>
        <v>0</v>
      </c>
      <c r="BF281" s="12">
        <f>SUM(BB281:BE281)</f>
        <v>0</v>
      </c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</row>
    <row r="282">
      <c r="C282" s="10" t="inlineStr">
        <is>
          <t>Dividends received from affiliates</t>
        </is>
      </c>
      <c r="D282" s="12" t="n"/>
      <c r="E282" s="12" t="n"/>
      <c r="F282" s="12" t="n"/>
      <c r="G282" s="12" t="n"/>
      <c r="H282" s="12" t="n"/>
      <c r="I282" s="12" t="n"/>
      <c r="J282" s="12">
        <f>-J155</f>
        <v>0</v>
      </c>
      <c r="K282" s="12">
        <f>-K155</f>
        <v>0</v>
      </c>
      <c r="L282" s="12">
        <f>-L155</f>
        <v>0</v>
      </c>
      <c r="M282" s="12" t="n"/>
      <c r="N282" s="12">
        <f>-N155</f>
        <v>0</v>
      </c>
      <c r="O282" s="12">
        <f>-O155</f>
        <v>0</v>
      </c>
      <c r="P282" s="12">
        <f>-P155</f>
        <v>0</v>
      </c>
      <c r="Q282" s="12">
        <f>-Q155</f>
        <v>0</v>
      </c>
      <c r="R282" s="12">
        <f>SUM(N282:Q282)</f>
        <v>0</v>
      </c>
      <c r="S282" s="12">
        <f>-S155</f>
        <v>0</v>
      </c>
      <c r="T282" s="12">
        <f>-T155</f>
        <v>0</v>
      </c>
      <c r="U282" s="12">
        <f>-U155</f>
        <v>0</v>
      </c>
      <c r="V282" s="12">
        <f>-V155</f>
        <v>0</v>
      </c>
      <c r="W282" s="12">
        <f>SUM(S282:V282)</f>
        <v>0</v>
      </c>
      <c r="X282" s="12">
        <f>-X155</f>
        <v>0</v>
      </c>
      <c r="Y282" s="12">
        <f>-Y155</f>
        <v>0</v>
      </c>
      <c r="Z282" s="12">
        <f>-Z155</f>
        <v>0</v>
      </c>
      <c r="AA282" s="12">
        <f>-AA155</f>
        <v>0</v>
      </c>
      <c r="AB282" s="12">
        <f>SUM(X282:AA282)</f>
        <v>0</v>
      </c>
      <c r="AC282" s="12">
        <f>-AC155</f>
        <v>0</v>
      </c>
      <c r="AD282" s="12">
        <f>-AD155</f>
        <v>0</v>
      </c>
      <c r="AE282" s="12">
        <f>-AE155</f>
        <v>0</v>
      </c>
      <c r="AF282" s="12">
        <f>-AF155</f>
        <v>0</v>
      </c>
      <c r="AG282" s="12">
        <f>SUM(AC282:AF282)</f>
        <v>0</v>
      </c>
      <c r="AH282" s="12">
        <f>-AH155</f>
        <v>0</v>
      </c>
      <c r="AI282" s="12">
        <f>-AI155</f>
        <v>0</v>
      </c>
      <c r="AJ282" s="12">
        <f>-AJ155</f>
        <v>0</v>
      </c>
      <c r="AK282" s="12">
        <f>-AK155</f>
        <v>0</v>
      </c>
      <c r="AL282" s="12">
        <f>SUM(AH282:AK282)</f>
        <v>0</v>
      </c>
      <c r="AM282" s="12">
        <f>-AM155</f>
        <v>0</v>
      </c>
      <c r="AN282" s="12">
        <f>-AN155</f>
        <v>0</v>
      </c>
      <c r="AO282" s="12">
        <f>-AO155</f>
        <v>0</v>
      </c>
      <c r="AP282" s="12">
        <f>-AP155</f>
        <v>0</v>
      </c>
      <c r="AQ282" s="12">
        <f>SUM(AM282:AP282)</f>
        <v>0</v>
      </c>
      <c r="AR282" s="12">
        <f>-AR155</f>
        <v>0</v>
      </c>
      <c r="AS282" s="12">
        <f>-AS155</f>
        <v>0</v>
      </c>
      <c r="AT282" s="12">
        <f>-AT155</f>
        <v>0</v>
      </c>
      <c r="AU282" s="12">
        <f>-AU155</f>
        <v>0</v>
      </c>
      <c r="AV282" s="12">
        <f>SUM(AR282:AU282)</f>
        <v>0</v>
      </c>
      <c r="AW282" s="12">
        <f>-AW155</f>
        <v>0</v>
      </c>
      <c r="AX282" s="12">
        <f>-AX155</f>
        <v>0</v>
      </c>
      <c r="AY282" s="12">
        <f>-AY155</f>
        <v>0</v>
      </c>
      <c r="AZ282" s="12">
        <f>-AZ155</f>
        <v>0</v>
      </c>
      <c r="BA282" s="12">
        <f>SUM(AW282:AZ282)</f>
        <v>0</v>
      </c>
      <c r="BB282" s="12">
        <f>-BB155</f>
        <v>0</v>
      </c>
      <c r="BC282" s="12">
        <f>-BC155</f>
        <v>0</v>
      </c>
      <c r="BD282" s="12">
        <f>-BD155</f>
        <v>0</v>
      </c>
      <c r="BE282" s="12">
        <f>-BE155</f>
        <v>0</v>
      </c>
      <c r="BF282" s="12">
        <f>SUM(BB282:BE282)</f>
        <v>0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>
      <c r="C283" s="71" t="inlineStr">
        <is>
          <t>Minority interest expense</t>
        </is>
      </c>
      <c r="D283" s="12" t="n"/>
      <c r="E283" s="12" t="n"/>
      <c r="F283" s="12" t="n"/>
      <c r="G283" s="12" t="n"/>
      <c r="H283" s="12" t="n"/>
      <c r="I283" s="12" t="n"/>
      <c r="J283" s="12">
        <f>-J127</f>
        <v>0</v>
      </c>
      <c r="K283" s="12">
        <f>-K127</f>
        <v>0</v>
      </c>
      <c r="L283" s="12">
        <f>-L127</f>
        <v>0</v>
      </c>
      <c r="M283" s="12" t="n"/>
      <c r="N283" s="12">
        <f>-N127</f>
        <v>0</v>
      </c>
      <c r="O283" s="12">
        <f>-O127</f>
        <v>0</v>
      </c>
      <c r="P283" s="12">
        <f>-P127</f>
        <v>0</v>
      </c>
      <c r="Q283" s="12">
        <f>-Q127</f>
        <v>0</v>
      </c>
      <c r="R283" s="12">
        <f>SUM(N283:Q283)</f>
        <v>0</v>
      </c>
      <c r="S283" s="12">
        <f>-S127</f>
        <v>0</v>
      </c>
      <c r="T283" s="12">
        <f>-T127</f>
        <v>0</v>
      </c>
      <c r="U283" s="12">
        <f>-U127</f>
        <v>0</v>
      </c>
      <c r="V283" s="12">
        <f>-V127</f>
        <v>0</v>
      </c>
      <c r="W283" s="12">
        <f>SUM(S283:V283)</f>
        <v>0</v>
      </c>
      <c r="X283" s="12">
        <f>-X127</f>
        <v>0</v>
      </c>
      <c r="Y283" s="12">
        <f>-Y127</f>
        <v>0</v>
      </c>
      <c r="Z283" s="12">
        <f>-Z127</f>
        <v>0</v>
      </c>
      <c r="AA283" s="12">
        <f>-AA127</f>
        <v>0</v>
      </c>
      <c r="AB283" s="12">
        <f>SUM(X283:AA283)</f>
        <v>0</v>
      </c>
      <c r="AC283" s="12">
        <f>-AC127</f>
        <v>0</v>
      </c>
      <c r="AD283" s="12">
        <f>-AD127</f>
        <v>0</v>
      </c>
      <c r="AE283" s="12">
        <f>-AE127</f>
        <v>0</v>
      </c>
      <c r="AF283" s="12">
        <f>-AF127</f>
        <v>0</v>
      </c>
      <c r="AG283" s="12">
        <f>SUM(AC283:AF283)</f>
        <v>0</v>
      </c>
      <c r="AH283" s="12">
        <f>-AH127</f>
        <v>0</v>
      </c>
      <c r="AI283" s="12">
        <f>-AI127</f>
        <v>0</v>
      </c>
      <c r="AJ283" s="12">
        <f>-AJ127</f>
        <v>0</v>
      </c>
      <c r="AK283" s="12">
        <f>-AK127</f>
        <v>0</v>
      </c>
      <c r="AL283" s="12">
        <f>SUM(AH283:AK283)</f>
        <v>0</v>
      </c>
      <c r="AM283" s="12">
        <f>-AM127</f>
        <v>0</v>
      </c>
      <c r="AN283" s="12">
        <f>-AN127</f>
        <v>0</v>
      </c>
      <c r="AO283" s="12">
        <f>-AO127</f>
        <v>0</v>
      </c>
      <c r="AP283" s="12">
        <f>-AP127</f>
        <v>0</v>
      </c>
      <c r="AQ283" s="12">
        <f>SUM(AM283:AP283)</f>
        <v>0</v>
      </c>
      <c r="AR283" s="12">
        <f>-AR127</f>
        <v>0</v>
      </c>
      <c r="AS283" s="12">
        <f>-AS127</f>
        <v>0</v>
      </c>
      <c r="AT283" s="12">
        <f>-AT127</f>
        <v>0</v>
      </c>
      <c r="AU283" s="12">
        <f>-AU127</f>
        <v>0</v>
      </c>
      <c r="AV283" s="12">
        <f>SUM(AR283:AU283)</f>
        <v>0</v>
      </c>
      <c r="AW283" s="12">
        <f>-AW127</f>
        <v>0</v>
      </c>
      <c r="AX283" s="12">
        <f>-AX127</f>
        <v>0</v>
      </c>
      <c r="AY283" s="12">
        <f>-AY127</f>
        <v>0</v>
      </c>
      <c r="AZ283" s="12">
        <f>-AZ127</f>
        <v>0</v>
      </c>
      <c r="BA283" s="12">
        <f>SUM(AW283:AZ283)</f>
        <v>0</v>
      </c>
      <c r="BB283" s="12">
        <f>-BB127</f>
        <v>0</v>
      </c>
      <c r="BC283" s="12">
        <f>-BC127</f>
        <v>0</v>
      </c>
      <c r="BD283" s="12">
        <f>-BD127</f>
        <v>0</v>
      </c>
      <c r="BE283" s="12">
        <f>-BE127</f>
        <v>0</v>
      </c>
      <c r="BF283" s="12">
        <f>SUM(BB283:BE283)</f>
        <v>0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>
      <c r="C284" s="14" t="inlineStr">
        <is>
          <t>Cash from operations</t>
        </is>
      </c>
      <c r="D284" s="12" t="n"/>
      <c r="E284" s="12" t="n"/>
      <c r="F284" s="12" t="n"/>
      <c r="G284" s="12" t="n"/>
      <c r="H284" s="12" t="n"/>
      <c r="I284" s="12" t="n"/>
      <c r="J284" s="12">
        <f>SUM(J268,J269,J270,J281,J282,J283)</f>
        <v>2062</v>
      </c>
      <c r="K284" s="12">
        <f>SUM(K268,K269,K270,K281,K282,K283)</f>
        <v>1239</v>
      </c>
      <c r="L284" s="12">
        <f>SUM(L268,L269,L270,L281,L282,L283)</f>
        <v>4178</v>
      </c>
      <c r="M284" s="12" t="n"/>
      <c r="N284" s="12">
        <f>SUM(N268,N269,N270,N281,N282,N283)</f>
        <v>924</v>
      </c>
      <c r="O284" s="12">
        <f>SUM(O268,O269,O270,O281,O282,O283)</f>
        <v>901</v>
      </c>
      <c r="P284" s="12">
        <f>SUM(P268,P269,P270,P281,P282,P283)</f>
        <v>2171</v>
      </c>
      <c r="Q284" s="12">
        <f>SUM(Q268,Q269,Q270,Q281,Q282,Q283)</f>
        <v>1349</v>
      </c>
      <c r="R284" s="12">
        <f>SUM(R268,R269,R270,R281,R282,R283)</f>
        <v>5345</v>
      </c>
      <c r="S284" s="12">
        <f>SUM(S268,S269,S270,S281,S282,S283)</f>
        <v>1303</v>
      </c>
      <c r="T284" s="12">
        <f>SUM(T268,T269,T270,T281,T282,T283)</f>
        <v>1516</v>
      </c>
      <c r="U284" s="12">
        <f>SUM(U268,U269,U270,U281,U282,U283)</f>
        <v>1926</v>
      </c>
      <c r="V284" s="12">
        <f>SUM(V268,V269,V270,V281,V282,V283)</f>
        <v>4643</v>
      </c>
      <c r="W284" s="12">
        <f>SUM(W268,W269,W270,W281,W282,W283)</f>
        <v>9388</v>
      </c>
      <c r="X284" s="12">
        <f>SUM(X268,X269,X270,X281,X282,X283)</f>
        <v>1498</v>
      </c>
      <c r="Y284" s="12">
        <f>SUM(Y268,Y269,Y270,Y281,Y282,Y283)</f>
        <v>2488</v>
      </c>
      <c r="Z284" s="12">
        <f>SUM(Z268,Z269,Z270,Z281,Z282,Z283)</f>
        <v>1689</v>
      </c>
      <c r="AA284" s="12">
        <f>SUM(AA268,AA269,AA270,AA281,AA282,AA283)</f>
        <v>2337</v>
      </c>
      <c r="AB284" s="12">
        <f>SUM(AB268,AB269,AB270,AB281,AB282,AB283)</f>
        <v>8012</v>
      </c>
      <c r="AC284" s="12">
        <f>SUM(AC268,AC269,AC270,AC281,AC282,AC283)</f>
        <v>1233</v>
      </c>
      <c r="AD284" s="12">
        <f>SUM(AD268,AD269,AD270,AD281,AD282,AD283)</f>
        <v>234</v>
      </c>
      <c r="AE284" s="12">
        <f>SUM(AE268,AE269,AE270,AE281,AE282,AE283)</f>
        <v>3002</v>
      </c>
      <c r="AF284" s="12">
        <f>SUM(AF268,AF269,AF270,AF281,AF282,AF283)</f>
        <v>4332</v>
      </c>
      <c r="AG284" s="12">
        <f>SUM(AG268,AG269,AG270,AG281,AG282,AG283)</f>
        <v>8801</v>
      </c>
      <c r="AH284" s="12">
        <f>SUM(AH268,AH269,AH270,AH281,AH282,AH283)</f>
        <v>-131</v>
      </c>
      <c r="AI284" s="12">
        <f>SUM(AI268,AI269,AI270,AI281,AI282,AI283)</f>
        <v>3087</v>
      </c>
      <c r="AJ284" s="12">
        <f>SUM(AJ268,AJ269,AJ270,AJ281,AJ282,AJ283)</f>
        <v>4665.6547937725</v>
      </c>
      <c r="AK284" s="12">
        <f>SUM(AK268,AK269,AK270,AK281,AK282,AK283)</f>
        <v>2439.91060663691</v>
      </c>
      <c r="AL284" s="12">
        <f>SUM(AL268,AL269,AL270,AL281,AL282,AL283)</f>
        <v>10061.5654004094</v>
      </c>
      <c r="AM284" s="12">
        <f>SUM(AM268,AM269,AM270,AM281,AM282,AM283)</f>
        <v>2279.04518455056</v>
      </c>
      <c r="AN284" s="12">
        <f>SUM(AN268,AN269,AN270,AN281,AN282,AN283)</f>
        <v>2427.07658782631</v>
      </c>
      <c r="AO284" s="12">
        <f>SUM(AO268,AO269,AO270,AO281,AO282,AO283)</f>
        <v>2453.13471358594</v>
      </c>
      <c r="AP284" s="12">
        <f>SUM(AP268,AP269,AP270,AP281,AP282,AP283)</f>
        <v>2608.63026118847</v>
      </c>
      <c r="AQ284" s="12">
        <f>SUM(AQ268,AQ269,AQ270,AQ281,AQ282,AQ283)</f>
        <v>9767.88674715127</v>
      </c>
      <c r="AR284" s="12">
        <f>SUM(AR268,AR269,AR270,AR281,AR282,AR283)</f>
        <v>2417.25507307615</v>
      </c>
      <c r="AS284" s="12">
        <f>SUM(AS268,AS269,AS270,AS281,AS282,AS283)</f>
        <v>2559.38017498422</v>
      </c>
      <c r="AT284" s="12">
        <f>SUM(AT268,AT269,AT270,AT281,AT282,AT283)</f>
        <v>2591.78730156487</v>
      </c>
      <c r="AU284" s="12">
        <f>SUM(AU268,AU269,AU270,AU281,AU282,AU283)</f>
        <v>2754.79834263473</v>
      </c>
      <c r="AV284" s="12">
        <f>SUM(AV268,AV269,AV270,AV281,AV282,AV283)</f>
        <v>10323.22089226</v>
      </c>
      <c r="AW284" s="12">
        <f>SUM(AW268,AW269,AW270,AW281,AW282,AW283)</f>
        <v>2535.87880328596</v>
      </c>
      <c r="AX284" s="12">
        <f>SUM(AX268,AX269,AX270,AX281,AX282,AX283)</f>
        <v>2692.34424807906</v>
      </c>
      <c r="AY284" s="12">
        <f>SUM(AY268,AY269,AY270,AY281,AY282,AY283)</f>
        <v>2719.99123255584</v>
      </c>
      <c r="AZ284" s="12">
        <f>SUM(AZ268,AZ269,AZ270,AZ281,AZ282,AZ283)</f>
        <v>2889.68074902539</v>
      </c>
      <c r="BA284" s="12">
        <f>SUM(BA268,BA269,BA270,BA281,BA282,BA283)</f>
        <v>10837.8950329462</v>
      </c>
      <c r="BB284" s="12">
        <f>SUM(BB268,BB269,BB270,BB281,BB282,BB283)</f>
        <v>2647.39862360214</v>
      </c>
      <c r="BC284" s="12">
        <f>SUM(BC268,BC269,BC270,BC281,BC282,BC283)</f>
        <v>2806.43137143458</v>
      </c>
      <c r="BD284" s="12">
        <f>SUM(BD268,BD269,BD270,BD281,BD282,BD283)</f>
        <v>2834.13045824861</v>
      </c>
      <c r="BE284" s="12">
        <f>SUM(BE268,BE269,BE270,BE281,BE282,BE283)</f>
        <v>3009.54822592749</v>
      </c>
      <c r="BF284" s="12">
        <f>SUM(BF268,BF269,BF270,BF281,BF282,BF283)</f>
        <v>11297.5086792128</v>
      </c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>
      <c r="C285" s="14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  <c r="AJ285" s="12" t="n"/>
      <c r="AK285" s="12" t="n"/>
      <c r="AL285" s="12" t="n"/>
      <c r="AM285" s="12" t="n"/>
      <c r="AN285" s="12" t="n"/>
      <c r="AO285" s="12" t="n"/>
      <c r="AP285" s="12" t="n"/>
      <c r="AQ285" s="12" t="n"/>
      <c r="AR285" s="12" t="n"/>
      <c r="AS285" s="12" t="n"/>
      <c r="AT285" s="12" t="n"/>
      <c r="AU285" s="12" t="n"/>
      <c r="AV285" s="12" t="n"/>
      <c r="AW285" s="12" t="n"/>
      <c r="AX285" s="12" t="n"/>
      <c r="AY285" s="12" t="n"/>
      <c r="AZ285" s="12" t="n"/>
      <c r="BA285" s="12" t="n"/>
      <c r="BB285" s="12" t="n"/>
      <c r="BC285" s="12" t="n"/>
      <c r="BD285" s="12" t="n"/>
      <c r="BE285" s="12" t="n"/>
      <c r="BF285" s="12" t="n"/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>
      <c r="C286" s="10" t="inlineStr">
        <is>
          <t>Purchase of fixed assets (capital expenditures)</t>
        </is>
      </c>
      <c r="D286" s="12" t="n"/>
      <c r="E286" s="12" t="n"/>
      <c r="F286" s="12" t="n"/>
      <c r="G286" s="12" t="n"/>
      <c r="H286" s="12" t="n"/>
      <c r="I286" s="12" t="n"/>
      <c r="J286" s="12">
        <f>-J159</f>
        <v>-411</v>
      </c>
      <c r="K286" s="12">
        <f>-K159</f>
        <v>-371</v>
      </c>
      <c r="L286" s="12">
        <f>-L159</f>
        <v>-630</v>
      </c>
      <c r="M286" s="12" t="n"/>
      <c r="N286" s="12">
        <f>-N159</f>
        <v>-293</v>
      </c>
      <c r="O286" s="12">
        <f>-O159</f>
        <v>-351</v>
      </c>
      <c r="P286" s="12">
        <f>-P159</f>
        <v>-353</v>
      </c>
      <c r="Q286" s="12">
        <f>-Q159</f>
        <v>-785</v>
      </c>
      <c r="R286" s="12">
        <f>SUM(N286:Q286)</f>
        <v>-1782</v>
      </c>
      <c r="S286" s="12">
        <f>-S159</f>
        <v>-288</v>
      </c>
      <c r="T286" s="12">
        <f>-T159</f>
        <v>-362</v>
      </c>
      <c r="U286" s="12">
        <f>-U159</f>
        <v>-430</v>
      </c>
      <c r="V286" s="12">
        <f>-V159</f>
        <v>-745</v>
      </c>
      <c r="W286" s="12">
        <f>SUM(S286:V286)</f>
        <v>-1825</v>
      </c>
      <c r="X286" s="12">
        <f>-X159</f>
        <v>-335</v>
      </c>
      <c r="Y286" s="12">
        <f>-Y159</f>
        <v>-399</v>
      </c>
      <c r="Z286" s="12">
        <f>-Z159</f>
        <v>-450</v>
      </c>
      <c r="AA286" s="12">
        <f>-AA159</f>
        <v>-731</v>
      </c>
      <c r="AB286" s="12">
        <f>SUM(X286:AA286)</f>
        <v>-1915</v>
      </c>
      <c r="AC286" s="12">
        <f>-AC159</f>
        <v>-384</v>
      </c>
      <c r="AD286" s="12">
        <f>-AD159</f>
        <v>-356</v>
      </c>
      <c r="AE286" s="12">
        <f>-AE159</f>
        <v>-480</v>
      </c>
      <c r="AF286" s="12">
        <f>-AF159</f>
        <v>-616</v>
      </c>
      <c r="AG286" s="12">
        <f>SUM(AC286:AF286)</f>
        <v>-1836</v>
      </c>
      <c r="AH286" s="12">
        <f>-AH159</f>
        <v>-2806</v>
      </c>
      <c r="AI286" s="12">
        <f>-AI159</f>
        <v>-507</v>
      </c>
      <c r="AJ286" s="12">
        <f>-AJ159</f>
        <v>-894.10754611517</v>
      </c>
      <c r="AK286" s="12">
        <f>-AK159</f>
        <v>-976.364095040377</v>
      </c>
      <c r="AL286" s="12">
        <f>SUM(AH286:AK286)</f>
        <v>-5183.47164115555</v>
      </c>
      <c r="AM286" s="12">
        <f>-AM159</f>
        <v>-865.855880946933</v>
      </c>
      <c r="AN286" s="12">
        <f>-AN159</f>
        <v>-963.967956242069</v>
      </c>
      <c r="AO286" s="12">
        <f>-AO159</f>
        <v>-943.884941833485</v>
      </c>
      <c r="AP286" s="12">
        <f>-AP159</f>
        <v>-1030.7209362673</v>
      </c>
      <c r="AQ286" s="12">
        <f>SUM(AM286:AP286)</f>
        <v>-3804.42971528979</v>
      </c>
      <c r="AR286" s="12">
        <f>-AR159</f>
        <v>-909.731150321808</v>
      </c>
      <c r="AS286" s="12">
        <f>-AS159</f>
        <v>-1012.81483096978</v>
      </c>
      <c r="AT286" s="12">
        <f>-AT159</f>
        <v>-991.714155670482</v>
      </c>
      <c r="AU286" s="12">
        <f>-AU159</f>
        <v>-1082.95036581116</v>
      </c>
      <c r="AV286" s="12">
        <f>SUM(AR286:AU286)</f>
        <v>-3997.21050277323</v>
      </c>
      <c r="AW286" s="12">
        <f>-AW159</f>
        <v>-951.281043020816</v>
      </c>
      <c r="AX286" s="12">
        <f>-AX159</f>
        <v>-1059.07283536577</v>
      </c>
      <c r="AY286" s="12">
        <f>-AY159</f>
        <v>-1037.00843491069</v>
      </c>
      <c r="AZ286" s="12">
        <f>-AZ159</f>
        <v>-1132.41165058951</v>
      </c>
      <c r="BA286" s="12">
        <f>SUM(AW286:AZ286)</f>
        <v>-4179.7739638868</v>
      </c>
      <c r="BB286" s="12">
        <f>-BB159</f>
        <v>-989.97222696448</v>
      </c>
      <c r="BC286" s="12">
        <f>-BC159</f>
        <v>-1102.14820429434</v>
      </c>
      <c r="BD286" s="12">
        <f>-BD159</f>
        <v>-1079.18638474017</v>
      </c>
      <c r="BE286" s="12">
        <f>-BE159</f>
        <v>-1178.46990834032</v>
      </c>
      <c r="BF286" s="12">
        <f>SUM(BB286:BE286)</f>
        <v>-4349.77672433931</v>
      </c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>
      <c r="C287" s="10" t="inlineStr">
        <is>
          <t>Proceeds from sale of fixed assets</t>
        </is>
      </c>
      <c r="D287" s="12" t="n"/>
      <c r="E287" s="12" t="n"/>
      <c r="F287" s="12" t="n"/>
      <c r="G287" s="12" t="n"/>
      <c r="H287" s="12" t="n"/>
      <c r="I287" s="12" t="n"/>
      <c r="J287" s="12">
        <f>-J160</f>
        <v>0</v>
      </c>
      <c r="K287" s="12">
        <f>-K160</f>
        <v>0</v>
      </c>
      <c r="L287" s="12">
        <f>-L160</f>
        <v>0</v>
      </c>
      <c r="M287" s="12" t="n"/>
      <c r="N287" s="12">
        <f>-N160</f>
        <v>0</v>
      </c>
      <c r="O287" s="12">
        <f>-O160</f>
        <v>0</v>
      </c>
      <c r="P287" s="12">
        <f>-P160</f>
        <v>0</v>
      </c>
      <c r="Q287" s="12">
        <f>-Q160</f>
        <v>0</v>
      </c>
      <c r="R287" s="12">
        <f>SUM(N287:Q287)</f>
        <v>0</v>
      </c>
      <c r="S287" s="12">
        <f>-S160</f>
        <v>0</v>
      </c>
      <c r="T287" s="12">
        <f>-T160</f>
        <v>0</v>
      </c>
      <c r="U287" s="12">
        <f>-U160</f>
        <v>0</v>
      </c>
      <c r="V287" s="12">
        <f>-V160</f>
        <v>0</v>
      </c>
      <c r="W287" s="12">
        <f>SUM(S287:V287)</f>
        <v>0</v>
      </c>
      <c r="X287" s="12">
        <f>-X160</f>
        <v>0</v>
      </c>
      <c r="Y287" s="12">
        <f>-Y160</f>
        <v>0</v>
      </c>
      <c r="Z287" s="12">
        <f>-Z160</f>
        <v>0</v>
      </c>
      <c r="AA287" s="12">
        <f>-AA160</f>
        <v>0</v>
      </c>
      <c r="AB287" s="12">
        <f>SUM(X287:AA287)</f>
        <v>0</v>
      </c>
      <c r="AC287" s="12">
        <f>-AC160</f>
        <v>0</v>
      </c>
      <c r="AD287" s="12">
        <f>-AD160</f>
        <v>0</v>
      </c>
      <c r="AE287" s="12">
        <f>-AE160</f>
        <v>0</v>
      </c>
      <c r="AF287" s="12">
        <f>-AF160</f>
        <v>0</v>
      </c>
      <c r="AG287" s="12">
        <f>SUM(AC287:AF287)</f>
        <v>0</v>
      </c>
      <c r="AH287" s="12">
        <f>-AH160</f>
        <v>0</v>
      </c>
      <c r="AI287" s="12">
        <f>-AI160</f>
        <v>0</v>
      </c>
      <c r="AJ287" s="12">
        <f>-AJ160</f>
        <v>0</v>
      </c>
      <c r="AK287" s="12">
        <f>-AK160</f>
        <v>0</v>
      </c>
      <c r="AL287" s="12">
        <f>SUM(AH287:AK287)</f>
        <v>0</v>
      </c>
      <c r="AM287" s="12">
        <f>-AM160</f>
        <v>0</v>
      </c>
      <c r="AN287" s="12">
        <f>-AN160</f>
        <v>0</v>
      </c>
      <c r="AO287" s="12">
        <f>-AO160</f>
        <v>0</v>
      </c>
      <c r="AP287" s="12">
        <f>-AP160</f>
        <v>0</v>
      </c>
      <c r="AQ287" s="12">
        <f>SUM(AM287:AP287)</f>
        <v>0</v>
      </c>
      <c r="AR287" s="12">
        <f>-AR160</f>
        <v>0</v>
      </c>
      <c r="AS287" s="12">
        <f>-AS160</f>
        <v>0</v>
      </c>
      <c r="AT287" s="12">
        <f>-AT160</f>
        <v>0</v>
      </c>
      <c r="AU287" s="12">
        <f>-AU160</f>
        <v>0</v>
      </c>
      <c r="AV287" s="12">
        <f>SUM(AR287:AU287)</f>
        <v>0</v>
      </c>
      <c r="AW287" s="12">
        <f>-AW160</f>
        <v>0</v>
      </c>
      <c r="AX287" s="12">
        <f>-AX160</f>
        <v>0</v>
      </c>
      <c r="AY287" s="12">
        <f>-AY160</f>
        <v>0</v>
      </c>
      <c r="AZ287" s="12">
        <f>-AZ160</f>
        <v>0</v>
      </c>
      <c r="BA287" s="12">
        <f>SUM(AW287:AZ287)</f>
        <v>0</v>
      </c>
      <c r="BB287" s="12">
        <f>-BB160</f>
        <v>0</v>
      </c>
      <c r="BC287" s="12">
        <f>-BC160</f>
        <v>0</v>
      </c>
      <c r="BD287" s="12">
        <f>-BD160</f>
        <v>0</v>
      </c>
      <c r="BE287" s="12">
        <f>-BE160</f>
        <v>0</v>
      </c>
      <c r="BF287" s="12">
        <f>SUM(BB287:BE287)</f>
        <v>0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>
      <c r="C288" s="10" t="inlineStr">
        <is>
          <t>Var.Right-of-use-assets</t>
        </is>
      </c>
      <c r="D288" s="12" t="n"/>
      <c r="E288" s="12" t="n"/>
      <c r="F288" s="12" t="n"/>
      <c r="G288" s="12" t="n"/>
      <c r="H288" s="12" t="n"/>
      <c r="I288" s="12" t="n"/>
      <c r="J288" s="12">
        <f>(J167-I167)*-1</f>
        <v>0</v>
      </c>
      <c r="K288" s="12">
        <f>(K167-J167)*-1</f>
        <v>0</v>
      </c>
      <c r="L288" s="12">
        <f>(L167-K167)*-1</f>
        <v>0</v>
      </c>
      <c r="M288" s="12" t="n"/>
      <c r="N288" s="12">
        <f>(N167-M167)*-1</f>
        <v>0</v>
      </c>
      <c r="O288" s="12">
        <f>(O167-N167)*-1</f>
        <v>0</v>
      </c>
      <c r="P288" s="12">
        <f>(P167-O167)*-1</f>
        <v>0</v>
      </c>
      <c r="Q288" s="12">
        <f>(Q167-P167)*-1</f>
        <v>0</v>
      </c>
      <c r="R288" s="12">
        <f>SUM(N288:Q288)</f>
        <v>0</v>
      </c>
      <c r="S288" s="12">
        <f>(S167-R167)*-1</f>
        <v>0</v>
      </c>
      <c r="T288" s="12">
        <f>(T167-S167)*-1</f>
        <v>0</v>
      </c>
      <c r="U288" s="12">
        <f>(U167-T167)*-1</f>
        <v>0</v>
      </c>
      <c r="V288" s="12">
        <f>(V167-U167)*-1</f>
        <v>0</v>
      </c>
      <c r="W288" s="12">
        <f>SUM(S288:V288)</f>
        <v>0</v>
      </c>
      <c r="X288" s="12">
        <f>(X167-W167)*-1</f>
        <v>0</v>
      </c>
      <c r="Y288" s="12">
        <f>(Y167-X167)*-1</f>
        <v>0</v>
      </c>
      <c r="Z288" s="12">
        <f>(Z167-Y167)*-1</f>
        <v>0</v>
      </c>
      <c r="AA288" s="12">
        <f>(AA167-Z167)*-1</f>
        <v>0</v>
      </c>
      <c r="AB288" s="12">
        <f>SUM(X288:AA288)</f>
        <v>0</v>
      </c>
      <c r="AC288" s="12">
        <f>(AC167-AB167)*-1</f>
        <v>0</v>
      </c>
      <c r="AD288" s="12">
        <f>(AD167-AC167)*-1</f>
        <v>0</v>
      </c>
      <c r="AE288" s="12">
        <f>(AE167-AD167)*-1</f>
        <v>0</v>
      </c>
      <c r="AF288" s="12">
        <f>(AF167-AE167)*-1</f>
        <v>0</v>
      </c>
      <c r="AG288" s="12">
        <f>SUM(AC288:AF288)</f>
        <v>0</v>
      </c>
      <c r="AH288" s="12">
        <f>(AH167-AG167)*-1</f>
        <v>0</v>
      </c>
      <c r="AI288" s="12">
        <f>(AI167-AH167)*-1</f>
        <v>0</v>
      </c>
      <c r="AJ288" s="12">
        <f>(AJ167-AI167)*-1</f>
        <v>0</v>
      </c>
      <c r="AK288" s="12">
        <f>(AK167-AJ167)*-1</f>
        <v>0</v>
      </c>
      <c r="AL288" s="12">
        <f>SUM(AH288:AK288)</f>
        <v>0</v>
      </c>
      <c r="AM288" s="12">
        <f>(AM167-AL167)*-1</f>
        <v>0</v>
      </c>
      <c r="AN288" s="12">
        <f>(AN167-AM167)*-1</f>
        <v>0</v>
      </c>
      <c r="AO288" s="12">
        <f>(AO167-AN167)*-1</f>
        <v>0</v>
      </c>
      <c r="AP288" s="12">
        <f>(AP167-AO167)*-1</f>
        <v>0</v>
      </c>
      <c r="AQ288" s="12">
        <f>SUM(AM288:AP288)</f>
        <v>0</v>
      </c>
      <c r="AR288" s="12">
        <f>(AR167-AQ167)*-1</f>
        <v>0</v>
      </c>
      <c r="AS288" s="12">
        <f>(AS167-AR167)*-1</f>
        <v>0</v>
      </c>
      <c r="AT288" s="12">
        <f>(AT167-AS167)*-1</f>
        <v>0</v>
      </c>
      <c r="AU288" s="12">
        <f>(AU167-AT167)*-1</f>
        <v>0</v>
      </c>
      <c r="AV288" s="12">
        <f>SUM(AR288:AU288)</f>
        <v>0</v>
      </c>
      <c r="AW288" s="12">
        <f>(AW167-AV167)*-1</f>
        <v>0</v>
      </c>
      <c r="AX288" s="12">
        <f>(AX167-AW167)*-1</f>
        <v>0</v>
      </c>
      <c r="AY288" s="12">
        <f>(AY167-AX167)*-1</f>
        <v>0</v>
      </c>
      <c r="AZ288" s="12">
        <f>(AZ167-AY167)*-1</f>
        <v>0</v>
      </c>
      <c r="BA288" s="12">
        <f>SUM(AW288:AZ288)</f>
        <v>0</v>
      </c>
      <c r="BB288" s="12">
        <f>(BB167-BA167)*-1</f>
        <v>0</v>
      </c>
      <c r="BC288" s="12">
        <f>(BC167-BB167)*-1</f>
        <v>0</v>
      </c>
      <c r="BD288" s="12">
        <f>(BD167-BC167)*-1</f>
        <v>0</v>
      </c>
      <c r="BE288" s="12">
        <f>(BE167-BD167)*-1</f>
        <v>0</v>
      </c>
      <c r="BF288" s="12">
        <f>SUM(BB288:BE288)</f>
        <v>0</v>
      </c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  <c r="CZ288" s="12" t="n"/>
      <c r="DA288" s="12" t="n"/>
      <c r="DB288" s="12" t="n"/>
      <c r="DC288" s="12" t="n"/>
    </row>
    <row r="289">
      <c r="C289" s="10" t="inlineStr">
        <is>
          <t>Purchases of intangible assets</t>
        </is>
      </c>
      <c r="D289" s="12" t="n"/>
      <c r="E289" s="12" t="n"/>
      <c r="F289" s="12" t="n"/>
      <c r="G289" s="12" t="n"/>
      <c r="H289" s="12" t="n"/>
      <c r="I289" s="12" t="n"/>
      <c r="J289" s="12">
        <f>((J171-I171)*-1)+((J170-I170)*-1)</f>
        <v>70</v>
      </c>
      <c r="K289" s="12">
        <f>((K171-J171)*-1)+((K170-J170)*-1)</f>
        <v>76</v>
      </c>
      <c r="L289" s="12">
        <f>((L171-K171)*-1)+((L170-K170)*-1)</f>
        <v>64</v>
      </c>
      <c r="M289" s="12" t="n"/>
      <c r="N289" s="12">
        <f>((N171-M171)*-1)+((N170-M170)*-1)</f>
        <v>64</v>
      </c>
      <c r="O289" s="12">
        <f>((O171-N171)*-1)+((O170-N170)*-1)</f>
        <v>77</v>
      </c>
      <c r="P289" s="12">
        <f>((P171-O171)*-1)+((P170-O170)*-1)</f>
        <v>93</v>
      </c>
      <c r="Q289" s="12">
        <f>((Q171-P171)*-1)+((Q170-P170)*-1)</f>
        <v>46</v>
      </c>
      <c r="R289" s="12">
        <f>SUM(N289:Q289)</f>
        <v>280</v>
      </c>
      <c r="S289" s="12">
        <f>((S171-R171)*-1)+((S170-R170)*-1)</f>
        <v>66</v>
      </c>
      <c r="T289" s="12">
        <f>((T171-S171)*-1)+((T170-S170)*-1)</f>
        <v>42</v>
      </c>
      <c r="U289" s="12">
        <f>((U171-T171)*-1)+((U170-T170)*-1)</f>
        <v>75</v>
      </c>
      <c r="V289" s="12">
        <f>((V171-U171)*-1)+((V170-U170)*-1)</f>
        <v>45</v>
      </c>
      <c r="W289" s="12">
        <f>SUM(S289:V289)</f>
        <v>228</v>
      </c>
      <c r="X289" s="12">
        <f>((X171-W171)*-1)+((X170-W170)*-1)</f>
        <v>71</v>
      </c>
      <c r="Y289" s="12">
        <f>((Y171-X171)*-1)+((Y170-X170)*-1)</f>
        <v>113</v>
      </c>
      <c r="Z289" s="12">
        <f>((Z171-Y171)*-1)+((Z170-Y170)*-1)</f>
        <v>48</v>
      </c>
      <c r="AA289" s="12">
        <f>((AA171-Z171)*-1)+((AA170-Z170)*-1)</f>
        <v>-303</v>
      </c>
      <c r="AB289" s="12">
        <f>SUM(X289:AA289)</f>
        <v>-71</v>
      </c>
      <c r="AC289" s="12">
        <f>((AC171-AB171)*-1)+((AC170-AB170)*-1)</f>
        <v>54</v>
      </c>
      <c r="AD289" s="12">
        <f>((AD171-AC171)*-1)+((AD170-AC170)*-1)</f>
        <v>-294</v>
      </c>
      <c r="AE289" s="12">
        <f>((AE171-AD171)*-1)+((AE170-AD170)*-1)</f>
        <v>66</v>
      </c>
      <c r="AF289" s="12">
        <f>((AF171-AE171)*-1)+((AF170-AE170)*-1)</f>
        <v>55</v>
      </c>
      <c r="AG289" s="12">
        <f>SUM(AC289:AF289)</f>
        <v>-119</v>
      </c>
      <c r="AH289" s="12">
        <f>((AH171-AG171)*-1)+((AH170-AG170)*-1)</f>
        <v>58</v>
      </c>
      <c r="AI289" s="12">
        <f>((AI171-AH171)*-1)+((AI170-AH170)*-1)</f>
        <v>58</v>
      </c>
      <c r="AJ289" s="12">
        <f>((AJ171-AI171)*-1)+((AJ170-AI170)*-1)</f>
        <v>0</v>
      </c>
      <c r="AK289" s="12">
        <f>((AK171-AJ171)*-1)+((AK170-AJ170)*-1)</f>
        <v>0</v>
      </c>
      <c r="AL289" s="12">
        <f>SUM(AH289:AK289)</f>
        <v>116</v>
      </c>
      <c r="AM289" s="12">
        <f>((AM171-AL171)*-1)+((AM170-AL170)*-1)</f>
        <v>0</v>
      </c>
      <c r="AN289" s="12">
        <f>((AN171-AM171)*-1)+((AN170-AM170)*-1)</f>
        <v>0</v>
      </c>
      <c r="AO289" s="12">
        <f>((AO171-AN171)*-1)+((AO170-AN170)*-1)</f>
        <v>0</v>
      </c>
      <c r="AP289" s="12">
        <f>((AP171-AO171)*-1)+((AP170-AO170)*-1)</f>
        <v>0</v>
      </c>
      <c r="AQ289" s="12">
        <f>SUM(AM289:AP289)</f>
        <v>0</v>
      </c>
      <c r="AR289" s="12">
        <f>((AR171-AQ171)*-1)+((AR170-AQ170)*-1)</f>
        <v>0</v>
      </c>
      <c r="AS289" s="12">
        <f>((AS171-AR171)*-1)+((AS170-AR170)*-1)</f>
        <v>0</v>
      </c>
      <c r="AT289" s="12">
        <f>((AT171-AS171)*-1)+((AT170-AS170)*-1)</f>
        <v>0</v>
      </c>
      <c r="AU289" s="12">
        <f>((AU171-AT171)*-1)+((AU170-AT170)*-1)</f>
        <v>0</v>
      </c>
      <c r="AV289" s="12">
        <f>SUM(AR289:AU289)</f>
        <v>0</v>
      </c>
      <c r="AW289" s="12">
        <f>((AW171-AV171)*-1)+((AW170-AV170)*-1)</f>
        <v>0</v>
      </c>
      <c r="AX289" s="12">
        <f>((AX171-AW171)*-1)+((AX170-AW170)*-1)</f>
        <v>0</v>
      </c>
      <c r="AY289" s="12">
        <f>((AY171-AX171)*-1)+((AY170-AX170)*-1)</f>
        <v>0</v>
      </c>
      <c r="AZ289" s="12">
        <f>((AZ171-AY171)*-1)+((AZ170-AY170)*-1)</f>
        <v>0</v>
      </c>
      <c r="BA289" s="12">
        <f>SUM(AW289:AZ289)</f>
        <v>0</v>
      </c>
      <c r="BB289" s="12">
        <f>((BB171-BA171)*-1)+((BB170-BA170)*-1)</f>
        <v>0</v>
      </c>
      <c r="BC289" s="12">
        <f>((BC171-BB171)*-1)+((BC170-BB170)*-1)</f>
        <v>0</v>
      </c>
      <c r="BD289" s="12">
        <f>((BD171-BC171)*-1)+((BD170-BC170)*-1)</f>
        <v>0</v>
      </c>
      <c r="BE289" s="12">
        <f>((BE171-BD171)*-1)+((BE170-BD170)*-1)</f>
        <v>0</v>
      </c>
      <c r="BF289" s="12">
        <f>SUM(BB289:BE289)</f>
        <v>0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  <c r="CZ289" s="12" t="n"/>
      <c r="DA289" s="12" t="n"/>
      <c r="DB289" s="12" t="n"/>
      <c r="DC289" s="12" t="n"/>
    </row>
    <row r="290">
      <c r="C290" s="71" t="inlineStr">
        <is>
          <t>Purchases/Proceeds from other long-term assets</t>
        </is>
      </c>
      <c r="D290" s="12" t="n"/>
      <c r="E290" s="12" t="n"/>
      <c r="F290" s="12" t="n"/>
      <c r="G290" s="12" t="n"/>
      <c r="H290" s="12" t="n"/>
      <c r="I290" s="12" t="n"/>
      <c r="J290" s="12">
        <f>((J180-I180)*-1)+(J231-I231)</f>
        <v>-299</v>
      </c>
      <c r="K290" s="12">
        <f>((K180-J180)*-1)+(K231-J231)</f>
        <v>-2952</v>
      </c>
      <c r="L290" s="12">
        <f>((L180-K180)*-1)+(L231-K231)</f>
        <v>-2016</v>
      </c>
      <c r="M290" s="12" t="n"/>
      <c r="N290" s="12">
        <f>((N180-M180)*-1)+(N231-M231)</f>
        <v>305</v>
      </c>
      <c r="O290" s="12">
        <f>((O180-N180)*-1)+(O231-N231)</f>
        <v>-1855</v>
      </c>
      <c r="P290" s="12">
        <f>((P180-O180)*-1)+(P231-O231)</f>
        <v>152</v>
      </c>
      <c r="Q290" s="12">
        <f>((Q180-P180)*-1)+(Q231-P231)</f>
        <v>170</v>
      </c>
      <c r="R290" s="12">
        <f>SUM(N290:Q290)</f>
        <v>-1228</v>
      </c>
      <c r="S290" s="12">
        <f>((S180-R180)*-1)+(S231-R231)</f>
        <v>-50</v>
      </c>
      <c r="T290" s="12">
        <f>((T180-S180)*-1)+(T231-S231)</f>
        <v>179</v>
      </c>
      <c r="U290" s="12">
        <f>((U180-T180)*-1)+(U231-T231)</f>
        <v>113</v>
      </c>
      <c r="V290" s="12">
        <f>((V180-U180)*-1)+(V231-U231)</f>
        <v>-1817</v>
      </c>
      <c r="W290" s="12">
        <f>SUM(S290:V290)</f>
        <v>-1575</v>
      </c>
      <c r="X290" s="12">
        <f>((X180-W180)*-1)+(X231-W231)</f>
        <v>-115</v>
      </c>
      <c r="Y290" s="12">
        <f>((Y180-X180)*-1)+(Y231-X231)</f>
        <v>-192</v>
      </c>
      <c r="Z290" s="12">
        <f>((Z180-Y180)*-1)+(Z231-Y231)</f>
        <v>-125</v>
      </c>
      <c r="AA290" s="12">
        <f>((AA180-Z180)*-1)+(AA231-Z231)</f>
        <v>-1526</v>
      </c>
      <c r="AB290" s="12">
        <f>SUM(X290:AA290)</f>
        <v>-1958</v>
      </c>
      <c r="AC290" s="12">
        <f>((AC180-AB180)*-1)+(AC231-AB231)</f>
        <v>-255</v>
      </c>
      <c r="AD290" s="12">
        <f>((AD180-AC180)*-1)+(AD231-AC231)</f>
        <v>263</v>
      </c>
      <c r="AE290" s="12">
        <f>((AE180-AD180)*-1)+(AE231-AD231)</f>
        <v>-190</v>
      </c>
      <c r="AF290" s="12">
        <f>((AF180-AE180)*-1)+(AF231-AE231)</f>
        <v>-1827</v>
      </c>
      <c r="AG290" s="12">
        <f>SUM(AC290:AF290)</f>
        <v>-2009</v>
      </c>
      <c r="AH290" s="12">
        <f>((AH180-AG180)*-1)+(AH231-AG231)</f>
        <v>2375</v>
      </c>
      <c r="AI290" s="12">
        <f>((AI180-AH180)*-1)+(AI231-AH231)</f>
        <v>-25</v>
      </c>
      <c r="AJ290" s="12">
        <f>((AJ180-AI180)*-1)+(AJ231-AI231)</f>
        <v>0</v>
      </c>
      <c r="AK290" s="12">
        <f>((AK180-AJ180)*-1)+(AK231-AJ231)</f>
        <v>0</v>
      </c>
      <c r="AL290" s="12">
        <f>SUM(AH290:AK290)</f>
        <v>2350</v>
      </c>
      <c r="AM290" s="12">
        <f>((AM180-AL180)*-1)+(AM231-AL231)</f>
        <v>0</v>
      </c>
      <c r="AN290" s="12">
        <f>((AN180-AM180)*-1)+(AN231-AM231)</f>
        <v>0</v>
      </c>
      <c r="AO290" s="12">
        <f>((AO180-AN180)*-1)+(AO231-AN231)</f>
        <v>0</v>
      </c>
      <c r="AP290" s="12">
        <f>((AP180-AO180)*-1)+(AP231-AO231)</f>
        <v>0</v>
      </c>
      <c r="AQ290" s="12">
        <f>SUM(AM290:AP290)</f>
        <v>0</v>
      </c>
      <c r="AR290" s="12">
        <f>((AR180-AQ180)*-1)+(AR231-AQ231)</f>
        <v>0</v>
      </c>
      <c r="AS290" s="12">
        <f>((AS180-AR180)*-1)+(AS231-AR231)</f>
        <v>0</v>
      </c>
      <c r="AT290" s="12">
        <f>((AT180-AS180)*-1)+(AT231-AS231)</f>
        <v>0</v>
      </c>
      <c r="AU290" s="12">
        <f>((AU180-AT180)*-1)+(AU231-AT231)</f>
        <v>0</v>
      </c>
      <c r="AV290" s="12">
        <f>SUM(AR290:AU290)</f>
        <v>0</v>
      </c>
      <c r="AW290" s="12">
        <f>((AW180-AV180)*-1)+(AW231-AV231)</f>
        <v>0</v>
      </c>
      <c r="AX290" s="12">
        <f>((AX180-AW180)*-1)+(AX231-AW231)</f>
        <v>0</v>
      </c>
      <c r="AY290" s="12">
        <f>((AY180-AX180)*-1)+(AY231-AX231)</f>
        <v>0</v>
      </c>
      <c r="AZ290" s="12">
        <f>((AZ180-AY180)*-1)+(AZ231-AY231)</f>
        <v>0</v>
      </c>
      <c r="BA290" s="12">
        <f>SUM(AW290:AZ290)</f>
        <v>0</v>
      </c>
      <c r="BB290" s="12">
        <f>((BB180-BA180)*-1)+(BB231-BA231)</f>
        <v>0</v>
      </c>
      <c r="BC290" s="12">
        <f>((BC180-BB180)*-1)+(BC231-BB231)</f>
        <v>0</v>
      </c>
      <c r="BD290" s="12">
        <f>((BD180-BC180)*-1)+(BD231-BC231)</f>
        <v>0</v>
      </c>
      <c r="BE290" s="12">
        <f>((BE180-BD180)*-1)+(BE231-BD231)</f>
        <v>0</v>
      </c>
      <c r="BF290" s="12">
        <f>SUM(BB290:BE290)</f>
        <v>0</v>
      </c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</row>
    <row r="291">
      <c r="C291" s="14" t="inlineStr">
        <is>
          <t>Cash from investing</t>
        </is>
      </c>
      <c r="D291" s="12" t="n"/>
      <c r="E291" s="12" t="n"/>
      <c r="F291" s="12" t="n"/>
      <c r="G291" s="12" t="n"/>
      <c r="H291" s="12" t="n"/>
      <c r="I291" s="12" t="n"/>
      <c r="J291" s="12">
        <f>SUM(J286,J287,J289,J290,J288)</f>
        <v>-640</v>
      </c>
      <c r="K291" s="12">
        <f>SUM(K286,K287,K289,K290,K288)</f>
        <v>-3247</v>
      </c>
      <c r="L291" s="12">
        <f>SUM(L286,L287,L289,L290,L288)</f>
        <v>-2582</v>
      </c>
      <c r="M291" s="12" t="n"/>
      <c r="N291" s="12">
        <f>SUM(N286,N287,N289,N290,N288)</f>
        <v>76</v>
      </c>
      <c r="O291" s="12">
        <f>SUM(O286,O287,O289,O290,O288)</f>
        <v>-2129</v>
      </c>
      <c r="P291" s="12">
        <f>SUM(P286,P287,P289,P290,P288)</f>
        <v>-108</v>
      </c>
      <c r="Q291" s="12">
        <f>SUM(Q286,Q287,Q289,Q290,Q288)</f>
        <v>-569</v>
      </c>
      <c r="R291" s="12">
        <f>SUM(R286,R287,R289,R290)</f>
        <v>-2730</v>
      </c>
      <c r="S291" s="12">
        <f>SUM(S286,S287,S289,S290,S288)</f>
        <v>-272</v>
      </c>
      <c r="T291" s="12">
        <f>SUM(T286,T287,T289,T290,T288)</f>
        <v>-141</v>
      </c>
      <c r="U291" s="12">
        <f>SUM(U286,U287,U289,U290,U288)</f>
        <v>-242</v>
      </c>
      <c r="V291" s="12">
        <f>SUM(V286,V287,V289,V290,V288)</f>
        <v>-2517</v>
      </c>
      <c r="W291" s="12">
        <f>SUM(W286,W287,W289,W290)</f>
        <v>-3172</v>
      </c>
      <c r="X291" s="12">
        <f>SUM(X286,X287,X289,X290,X288)</f>
        <v>-379</v>
      </c>
      <c r="Y291" s="12">
        <f>SUM(Y286,Y287,Y289,Y290,Y288)</f>
        <v>-478</v>
      </c>
      <c r="Z291" s="12">
        <f>SUM(Z286,Z287,Z289,Z290,Z288)</f>
        <v>-527</v>
      </c>
      <c r="AA291" s="12">
        <f>SUM(AA286,AA287,AA289,AA290,AA288)</f>
        <v>-2560</v>
      </c>
      <c r="AB291" s="12">
        <f>SUM(AB286,AB287,AB289,AB290)</f>
        <v>-3944</v>
      </c>
      <c r="AC291" s="12">
        <f>SUM(AC286,AC287,AC289,AC290,AC288)</f>
        <v>-585</v>
      </c>
      <c r="AD291" s="12">
        <f>SUM(AD286,AD287,AD289,AD290,AD288)</f>
        <v>-387</v>
      </c>
      <c r="AE291" s="12">
        <f>SUM(AE286,AE287,AE289,AE290,AE288)</f>
        <v>-604</v>
      </c>
      <c r="AF291" s="12">
        <f>SUM(AF286,AF287,AF289,AF290,AF288)</f>
        <v>-2388</v>
      </c>
      <c r="AG291" s="12">
        <f>SUM(AG286,AG287,AG289,AG290)</f>
        <v>-3964</v>
      </c>
      <c r="AH291" s="12">
        <f>SUM(AH286,AH287,AH289,AH290,AH288)</f>
        <v>-373</v>
      </c>
      <c r="AI291" s="12">
        <f>SUM(AI286,AI287,AI289,AI290,AI288)</f>
        <v>-474</v>
      </c>
      <c r="AJ291" s="12">
        <f>SUM(AJ286,AJ287,AJ289,AJ290,AJ288)</f>
        <v>-894.10754611517</v>
      </c>
      <c r="AK291" s="12">
        <f>SUM(AK286,AK287,AK289,AK290,AK288)</f>
        <v>-976.364095040377</v>
      </c>
      <c r="AL291" s="12">
        <f>SUM(AL286,AL287,AL289,AL290)</f>
        <v>-2717.47164115555</v>
      </c>
      <c r="AM291" s="12">
        <f>SUM(AM286,AM287,AM289,AM290,AM288)</f>
        <v>-865.855880946933</v>
      </c>
      <c r="AN291" s="12">
        <f>SUM(AN286,AN287,AN289,AN290,AN288)</f>
        <v>-963.967956242069</v>
      </c>
      <c r="AO291" s="12">
        <f>SUM(AO286,AO287,AO289,AO290,AO288)</f>
        <v>-943.884941833485</v>
      </c>
      <c r="AP291" s="12">
        <f>SUM(AP286,AP287,AP289,AP290,AP288)</f>
        <v>-1030.7209362673</v>
      </c>
      <c r="AQ291" s="12">
        <f>SUM(AQ286,AQ287,AQ289,AQ290)</f>
        <v>-3804.42971528979</v>
      </c>
      <c r="AR291" s="12">
        <f>SUM(AR286,AR287,AR289,AR290,AR288)</f>
        <v>-909.731150321808</v>
      </c>
      <c r="AS291" s="12">
        <f>SUM(AS286,AS287,AS289,AS290,AS288)</f>
        <v>-1012.81483096978</v>
      </c>
      <c r="AT291" s="12">
        <f>SUM(AT286,AT287,AT289,AT290,AT288)</f>
        <v>-991.714155670482</v>
      </c>
      <c r="AU291" s="12">
        <f>SUM(AU286,AU287,AU289,AU290,AU288)</f>
        <v>-1082.95036581116</v>
      </c>
      <c r="AV291" s="12">
        <f>SUM(AV286,AV287,AV289,AV290)</f>
        <v>-3997.21050277323</v>
      </c>
      <c r="AW291" s="12">
        <f>SUM(AW286,AW287,AW289,AW290,AW288)</f>
        <v>-951.281043020816</v>
      </c>
      <c r="AX291" s="12">
        <f>SUM(AX286,AX287,AX289,AX290,AX288)</f>
        <v>-1059.07283536577</v>
      </c>
      <c r="AY291" s="12">
        <f>SUM(AY286,AY287,AY289,AY290,AY288)</f>
        <v>-1037.00843491069</v>
      </c>
      <c r="AZ291" s="12">
        <f>SUM(AZ286,AZ287,AZ289,AZ290,AZ288)</f>
        <v>-1132.41165058951</v>
      </c>
      <c r="BA291" s="12">
        <f>SUM(BA286,BA287,BA289,BA290)</f>
        <v>-4179.7739638868</v>
      </c>
      <c r="BB291" s="12">
        <f>SUM(BB286,BB287,BB289,BB290,BB288)</f>
        <v>-989.97222696448</v>
      </c>
      <c r="BC291" s="12">
        <f>SUM(BC286,BC287,BC289,BC290,BC288)</f>
        <v>-1102.14820429434</v>
      </c>
      <c r="BD291" s="12">
        <f>SUM(BD286,BD287,BD289,BD290,BD288)</f>
        <v>-1079.18638474017</v>
      </c>
      <c r="BE291" s="12">
        <f>SUM(BE286,BE287,BE289,BE290,BE288)</f>
        <v>-1178.46990834032</v>
      </c>
      <c r="BF291" s="12">
        <f>SUM(BF286,BF287,BF289,BF290)</f>
        <v>-4349.77672433931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>
      <c r="C292" s="14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  <c r="AJ292" s="12" t="n"/>
      <c r="AK292" s="12" t="n"/>
      <c r="AL292" s="12" t="n"/>
      <c r="AM292" s="12" t="n"/>
      <c r="AN292" s="12" t="n"/>
      <c r="AO292" s="12" t="n"/>
      <c r="AP292" s="12" t="n"/>
      <c r="AQ292" s="12" t="n"/>
      <c r="AR292" s="12" t="n"/>
      <c r="AS292" s="12" t="n"/>
      <c r="AT292" s="12" t="n"/>
      <c r="AU292" s="12" t="n"/>
      <c r="AV292" s="12" t="n"/>
      <c r="AW292" s="12" t="n"/>
      <c r="AX292" s="12" t="n"/>
      <c r="AY292" s="12" t="n"/>
      <c r="AZ292" s="12" t="n"/>
      <c r="BA292" s="12" t="n"/>
      <c r="BB292" s="12" t="n"/>
      <c r="BC292" s="12" t="n"/>
      <c r="BD292" s="12" t="n"/>
      <c r="BE292" s="12" t="n"/>
      <c r="BF292" s="12" t="n"/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</row>
    <row r="293">
      <c r="C293" s="14" t="inlineStr">
        <is>
          <t>Convertible preferred stock</t>
        </is>
      </c>
      <c r="D293" s="12" t="n"/>
      <c r="E293" s="12" t="n"/>
      <c r="F293" s="12" t="n"/>
      <c r="G293" s="12" t="n"/>
      <c r="H293" s="12" t="n"/>
      <c r="I293" s="12" t="n"/>
      <c r="J293" s="12">
        <f>J244-I244</f>
        <v>0</v>
      </c>
      <c r="K293" s="12">
        <f>K244-J244</f>
        <v>0</v>
      </c>
      <c r="L293" s="12">
        <f>L244-K244</f>
        <v>0</v>
      </c>
      <c r="M293" s="12" t="n"/>
      <c r="N293" s="12">
        <f>N244-M244</f>
        <v>0</v>
      </c>
      <c r="O293" s="12">
        <f>O244-N244</f>
        <v>0</v>
      </c>
      <c r="P293" s="12">
        <f>P244-O244</f>
        <v>0</v>
      </c>
      <c r="Q293" s="12">
        <f>Q244-P244</f>
        <v>0</v>
      </c>
      <c r="R293" s="12">
        <f>SUM(N293:Q293)</f>
        <v>0</v>
      </c>
      <c r="S293" s="12">
        <f>S244-R244</f>
        <v>0</v>
      </c>
      <c r="T293" s="12">
        <f>T244-S244</f>
        <v>0</v>
      </c>
      <c r="U293" s="12">
        <f>U244-T244</f>
        <v>0</v>
      </c>
      <c r="V293" s="12">
        <f>V244-U244</f>
        <v>0</v>
      </c>
      <c r="W293" s="12">
        <f>SUM(S293:V293)</f>
        <v>0</v>
      </c>
      <c r="X293" s="12">
        <f>X244-W244</f>
        <v>0</v>
      </c>
      <c r="Y293" s="12">
        <f>Y244-X244</f>
        <v>0</v>
      </c>
      <c r="Z293" s="12">
        <f>Z244-Y244</f>
        <v>0</v>
      </c>
      <c r="AA293" s="12">
        <f>AA244-Z244</f>
        <v>0</v>
      </c>
      <c r="AB293" s="12">
        <f>SUM(X293:AA293)</f>
        <v>0</v>
      </c>
      <c r="AC293" s="12">
        <f>AC244-AB244</f>
        <v>0</v>
      </c>
      <c r="AD293" s="12">
        <f>AD244-AC244</f>
        <v>0</v>
      </c>
      <c r="AE293" s="12">
        <f>AE244-AD244</f>
        <v>0</v>
      </c>
      <c r="AF293" s="12">
        <f>AF244-AE244</f>
        <v>0</v>
      </c>
      <c r="AG293" s="12">
        <f>SUM(AC293:AF293)</f>
        <v>0</v>
      </c>
      <c r="AH293" s="12">
        <f>AH244-AG244</f>
        <v>0</v>
      </c>
      <c r="AI293" s="12">
        <f>AI244-AH244</f>
        <v>0</v>
      </c>
      <c r="AJ293" s="12">
        <f>AJ244-AI244</f>
        <v>0</v>
      </c>
      <c r="AK293" s="12">
        <f>AK244-AJ244</f>
        <v>0</v>
      </c>
      <c r="AL293" s="12">
        <f>SUM(AH293:AK293)</f>
        <v>0</v>
      </c>
      <c r="AM293" s="12">
        <f>AM244-AL244</f>
        <v>0</v>
      </c>
      <c r="AN293" s="12">
        <f>AN244-AM244</f>
        <v>0</v>
      </c>
      <c r="AO293" s="12">
        <f>AO244-AN244</f>
        <v>0</v>
      </c>
      <c r="AP293" s="12">
        <f>AP244-AO244</f>
        <v>0</v>
      </c>
      <c r="AQ293" s="12">
        <f>SUM(AM293:AP293)</f>
        <v>0</v>
      </c>
      <c r="AR293" s="12">
        <f>AR244-AQ244</f>
        <v>0</v>
      </c>
      <c r="AS293" s="12">
        <f>AS244-AR244</f>
        <v>0</v>
      </c>
      <c r="AT293" s="12">
        <f>AT244-AS244</f>
        <v>0</v>
      </c>
      <c r="AU293" s="12">
        <f>AU244-AT244</f>
        <v>0</v>
      </c>
      <c r="AV293" s="12">
        <f>SUM(AR293:AU293)</f>
        <v>0</v>
      </c>
      <c r="AW293" s="12">
        <f>AW244-AV244</f>
        <v>0</v>
      </c>
      <c r="AX293" s="12">
        <f>AX244-AW244</f>
        <v>0</v>
      </c>
      <c r="AY293" s="12">
        <f>AY244-AX244</f>
        <v>0</v>
      </c>
      <c r="AZ293" s="12">
        <f>AZ244-AY244</f>
        <v>0</v>
      </c>
      <c r="BA293" s="12">
        <f>SUM(AW293:AZ293)</f>
        <v>0</v>
      </c>
      <c r="BB293" s="12">
        <f>BB244-BA244</f>
        <v>0</v>
      </c>
      <c r="BC293" s="12">
        <f>BC244-BB244</f>
        <v>0</v>
      </c>
      <c r="BD293" s="12">
        <f>BD244-BC244</f>
        <v>0</v>
      </c>
      <c r="BE293" s="12">
        <f>BE244-BD244</f>
        <v>0</v>
      </c>
      <c r="BF293" s="12">
        <f>SUM(BB293:BE293)</f>
        <v>0</v>
      </c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>
      <c r="C294" s="14" t="inlineStr">
        <is>
          <t>Common stock and APIC</t>
        </is>
      </c>
      <c r="D294" s="12" t="n"/>
      <c r="E294" s="12" t="n"/>
      <c r="F294" s="12" t="n"/>
      <c r="G294" s="12" t="n"/>
      <c r="H294" s="12" t="n"/>
      <c r="I294" s="12" t="n"/>
      <c r="J294" s="12">
        <f>J245-I245</f>
        <v>55</v>
      </c>
      <c r="K294" s="12">
        <f>K245-J245</f>
        <v>-26</v>
      </c>
      <c r="L294" s="12">
        <f>L245-K245</f>
        <v>-7</v>
      </c>
      <c r="M294" s="12" t="n"/>
      <c r="N294" s="12">
        <f>N245-M245</f>
        <v>-100</v>
      </c>
      <c r="O294" s="12">
        <f>O245-N245</f>
        <v>-1</v>
      </c>
      <c r="P294" s="12">
        <f>P245-O245</f>
        <v>-3</v>
      </c>
      <c r="Q294" s="12">
        <f>Q245-P245</f>
        <v>85</v>
      </c>
      <c r="R294" s="12">
        <f>SUM(N294:Q294)</f>
        <v>-19</v>
      </c>
      <c r="S294" s="12">
        <f>S245-R245</f>
        <v>-92</v>
      </c>
      <c r="T294" s="12">
        <f>T245-S245</f>
        <v>-3</v>
      </c>
      <c r="U294" s="12">
        <f>U245-T245</f>
        <v>103</v>
      </c>
      <c r="V294" s="12">
        <f>V245-U245</f>
        <v>-114</v>
      </c>
      <c r="W294" s="12">
        <f>SUM(S294:V294)</f>
        <v>-106</v>
      </c>
      <c r="X294" s="12">
        <f>X245-W245</f>
        <v>-1</v>
      </c>
      <c r="Y294" s="12">
        <f>Y245-X245</f>
        <v>-2</v>
      </c>
      <c r="Z294" s="12">
        <f>Z245-Y245</f>
        <v>-1</v>
      </c>
      <c r="AA294" s="12">
        <f>AA245-Z245</f>
        <v>-2</v>
      </c>
      <c r="AB294" s="12">
        <f>SUM(X294:AA294)</f>
        <v>-6</v>
      </c>
      <c r="AC294" s="12">
        <f>AC245-AB245</f>
        <v>-1</v>
      </c>
      <c r="AD294" s="12">
        <f>AD245-AC245</f>
        <v>-1</v>
      </c>
      <c r="AE294" s="12">
        <f>AE245-AD245</f>
        <v>-2</v>
      </c>
      <c r="AF294" s="12">
        <f>AF245-AE245</f>
        <v>-1</v>
      </c>
      <c r="AG294" s="12">
        <f>SUM(AC294:AF294)</f>
        <v>-5</v>
      </c>
      <c r="AH294" s="12">
        <f>AH245-AG245</f>
        <v>33</v>
      </c>
      <c r="AI294" s="12">
        <f>AI245-AH245</f>
        <v>215</v>
      </c>
      <c r="AJ294" s="12">
        <f>AJ245-AI245</f>
        <v>0</v>
      </c>
      <c r="AK294" s="12">
        <f>AK245-AJ245</f>
        <v>0</v>
      </c>
      <c r="AL294" s="12">
        <f>SUM(AH294:AK294)</f>
        <v>248</v>
      </c>
      <c r="AM294" s="12">
        <f>AM245-AL245</f>
        <v>0</v>
      </c>
      <c r="AN294" s="12">
        <f>AN245-AM245</f>
        <v>0</v>
      </c>
      <c r="AO294" s="12">
        <f>AO245-AN245</f>
        <v>0</v>
      </c>
      <c r="AP294" s="12">
        <f>AP245-AO245</f>
        <v>0</v>
      </c>
      <c r="AQ294" s="12">
        <f>SUM(AM294:AP294)</f>
        <v>0</v>
      </c>
      <c r="AR294" s="12">
        <f>AR245-AQ245</f>
        <v>0</v>
      </c>
      <c r="AS294" s="12">
        <f>AS245-AR245</f>
        <v>0</v>
      </c>
      <c r="AT294" s="12">
        <f>AT245-AS245</f>
        <v>0</v>
      </c>
      <c r="AU294" s="12">
        <f>AU245-AT245</f>
        <v>0</v>
      </c>
      <c r="AV294" s="12">
        <f>SUM(AR294:AU294)</f>
        <v>0</v>
      </c>
      <c r="AW294" s="12">
        <f>AW245-AV245</f>
        <v>0</v>
      </c>
      <c r="AX294" s="12">
        <f>AX245-AW245</f>
        <v>0</v>
      </c>
      <c r="AY294" s="12">
        <f>AY245-AX245</f>
        <v>0</v>
      </c>
      <c r="AZ294" s="12">
        <f>AZ245-AY245</f>
        <v>0</v>
      </c>
      <c r="BA294" s="12">
        <f>SUM(AW294:AZ294)</f>
        <v>0</v>
      </c>
      <c r="BB294" s="12">
        <f>BB245-BA245</f>
        <v>0</v>
      </c>
      <c r="BC294" s="12">
        <f>BC245-BB245</f>
        <v>0</v>
      </c>
      <c r="BD294" s="12">
        <f>BD245-BC245</f>
        <v>0</v>
      </c>
      <c r="BE294" s="12">
        <f>BE245-BD245</f>
        <v>0</v>
      </c>
      <c r="BF294" s="12">
        <f>SUM(BB294:BE294)</f>
        <v>0</v>
      </c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</row>
    <row r="295">
      <c r="C295" s="14" t="inlineStr">
        <is>
          <t>Treasury stock repurchases</t>
        </is>
      </c>
      <c r="D295" s="12" t="n"/>
      <c r="E295" s="12" t="n"/>
      <c r="F295" s="12" t="n"/>
      <c r="G295" s="12" t="n"/>
      <c r="H295" s="12" t="n"/>
      <c r="I295" s="12" t="n"/>
      <c r="J295" s="12">
        <f>J258-I258</f>
        <v>0</v>
      </c>
      <c r="K295" s="12">
        <f>K258-J258</f>
        <v>0</v>
      </c>
      <c r="L295" s="12">
        <f>L258-K258</f>
        <v>0</v>
      </c>
      <c r="M295" s="12" t="n"/>
      <c r="N295" s="12">
        <f>N258-M258</f>
        <v>0</v>
      </c>
      <c r="O295" s="12">
        <f>O258-N258</f>
        <v>0</v>
      </c>
      <c r="P295" s="12">
        <f>P258-O258</f>
        <v>0</v>
      </c>
      <c r="Q295" s="12">
        <f>Q258-P258</f>
        <v>0</v>
      </c>
      <c r="R295" s="12">
        <f>SUM(N295:Q295)</f>
        <v>0</v>
      </c>
      <c r="S295" s="12">
        <f>S258-R258</f>
        <v>0</v>
      </c>
      <c r="T295" s="12">
        <f>T258-S258</f>
        <v>0</v>
      </c>
      <c r="U295" s="12">
        <f>U258-T258</f>
        <v>0</v>
      </c>
      <c r="V295" s="12">
        <f>V258-U258</f>
        <v>0</v>
      </c>
      <c r="W295" s="12">
        <f>SUM(S295:V295)</f>
        <v>0</v>
      </c>
      <c r="X295" s="12">
        <f>X258-W258</f>
        <v>0</v>
      </c>
      <c r="Y295" s="12">
        <f>Y258-X258</f>
        <v>0</v>
      </c>
      <c r="Z295" s="12">
        <f>Z258-Y258</f>
        <v>0</v>
      </c>
      <c r="AA295" s="12">
        <f>AA258-Z258</f>
        <v>0</v>
      </c>
      <c r="AB295" s="12">
        <f>SUM(X295:AA295)</f>
        <v>0</v>
      </c>
      <c r="AC295" s="12">
        <f>AC258-AB258</f>
        <v>0</v>
      </c>
      <c r="AD295" s="12">
        <f>AD258-AC258</f>
        <v>0</v>
      </c>
      <c r="AE295" s="12">
        <f>AE258-AD258</f>
        <v>0</v>
      </c>
      <c r="AF295" s="12">
        <f>AF258-AE258</f>
        <v>0</v>
      </c>
      <c r="AG295" s="12">
        <f>SUM(AC295:AF295)</f>
        <v>0</v>
      </c>
      <c r="AH295" s="12">
        <f>AH258-AG258</f>
        <v>0</v>
      </c>
      <c r="AI295" s="12">
        <f>AI258-AH258</f>
        <v>0</v>
      </c>
      <c r="AJ295" s="12">
        <f>AJ258-AI258</f>
        <v>0</v>
      </c>
      <c r="AK295" s="12">
        <f>AK258-AJ258</f>
        <v>0</v>
      </c>
      <c r="AL295" s="12">
        <f>SUM(AH295:AK295)</f>
        <v>0</v>
      </c>
      <c r="AM295" s="12">
        <f>AM258-AL258</f>
        <v>0</v>
      </c>
      <c r="AN295" s="12">
        <f>AN258-AM258</f>
        <v>0</v>
      </c>
      <c r="AO295" s="12">
        <f>AO258-AN258</f>
        <v>0</v>
      </c>
      <c r="AP295" s="12">
        <f>AP258-AO258</f>
        <v>0</v>
      </c>
      <c r="AQ295" s="12">
        <f>SUM(AM295:AP295)</f>
        <v>0</v>
      </c>
      <c r="AR295" s="12">
        <f>AR258-AQ258</f>
        <v>0</v>
      </c>
      <c r="AS295" s="12">
        <f>AS258-AR258</f>
        <v>0</v>
      </c>
      <c r="AT295" s="12">
        <f>AT258-AS258</f>
        <v>0</v>
      </c>
      <c r="AU295" s="12">
        <f>AU258-AT258</f>
        <v>0</v>
      </c>
      <c r="AV295" s="12">
        <f>SUM(AR295:AU295)</f>
        <v>0</v>
      </c>
      <c r="AW295" s="12">
        <f>AW258-AV258</f>
        <v>0</v>
      </c>
      <c r="AX295" s="12">
        <f>AX258-AW258</f>
        <v>0</v>
      </c>
      <c r="AY295" s="12">
        <f>AY258-AX258</f>
        <v>0</v>
      </c>
      <c r="AZ295" s="12">
        <f>AZ258-AY258</f>
        <v>0</v>
      </c>
      <c r="BA295" s="12">
        <f>SUM(AW295:AZ295)</f>
        <v>0</v>
      </c>
      <c r="BB295" s="12">
        <f>BB258-BA258</f>
        <v>0</v>
      </c>
      <c r="BC295" s="12">
        <f>BC258-BB258</f>
        <v>0</v>
      </c>
      <c r="BD295" s="12">
        <f>BD258-BC258</f>
        <v>0</v>
      </c>
      <c r="BE295" s="12">
        <f>BE258-BD258</f>
        <v>0</v>
      </c>
      <c r="BF295" s="12">
        <f>SUM(BB295:BE295)</f>
        <v>0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>
      <c r="C296" s="14" t="inlineStr">
        <is>
          <t>Comprehensive accumulated loss</t>
        </is>
      </c>
      <c r="D296" s="12" t="n"/>
      <c r="E296" s="12" t="n"/>
      <c r="F296" s="12" t="n"/>
      <c r="G296" s="12" t="n"/>
      <c r="H296" s="12" t="n"/>
      <c r="I296" s="12" t="n"/>
      <c r="J296" s="12">
        <f>J259-I259</f>
        <v>171</v>
      </c>
      <c r="K296" s="12">
        <f>K259-J259</f>
        <v>3620</v>
      </c>
      <c r="L296" s="12">
        <f>L259-K259</f>
        <v>1211</v>
      </c>
      <c r="M296" s="12" t="n"/>
      <c r="N296" s="12">
        <f>N259-M259</f>
        <v>27</v>
      </c>
      <c r="O296" s="12">
        <f>O259-N259</f>
        <v>2811</v>
      </c>
      <c r="P296" s="12">
        <f>P259-O259</f>
        <v>34</v>
      </c>
      <c r="Q296" s="12">
        <f>Q259-P259</f>
        <v>111</v>
      </c>
      <c r="R296" s="12">
        <f>SUM(N296:Q296)</f>
        <v>2983</v>
      </c>
      <c r="S296" s="12">
        <f>S259-R259</f>
        <v>-63</v>
      </c>
      <c r="T296" s="12">
        <f>T259-S259</f>
        <v>7</v>
      </c>
      <c r="U296" s="12">
        <f>U259-T259</f>
        <v>-67</v>
      </c>
      <c r="V296" s="12">
        <f>V259-U259</f>
        <v>-657</v>
      </c>
      <c r="W296" s="12">
        <f>SUM(S296:V296)</f>
        <v>-780</v>
      </c>
      <c r="X296" s="12">
        <f>X259-W259</f>
        <v>-8</v>
      </c>
      <c r="Y296" s="12">
        <f>Y259-X259</f>
        <v>42</v>
      </c>
      <c r="Z296" s="12">
        <f>Z259-Y259</f>
        <v>76</v>
      </c>
      <c r="AA296" s="12">
        <f>AA259-Z259</f>
        <v>241</v>
      </c>
      <c r="AB296" s="12">
        <f>SUM(X296:AA296)</f>
        <v>351</v>
      </c>
      <c r="AC296" s="12">
        <f>AC259-AB259</f>
        <v>129</v>
      </c>
      <c r="AD296" s="12">
        <f>AD259-AC259</f>
        <v>166</v>
      </c>
      <c r="AE296" s="12">
        <f>AE259-AD259</f>
        <v>55</v>
      </c>
      <c r="AF296" s="12">
        <f>AF259-AE259</f>
        <v>560</v>
      </c>
      <c r="AG296" s="12">
        <f>SUM(AC296:AF296)</f>
        <v>910</v>
      </c>
      <c r="AH296" s="12">
        <f>AH259-AG259</f>
        <v>46</v>
      </c>
      <c r="AI296" s="12">
        <f>AI259-AH259</f>
        <v>28</v>
      </c>
      <c r="AJ296" s="12">
        <f>AJ259-AI259</f>
        <v>0</v>
      </c>
      <c r="AK296" s="12">
        <f>AK259-AJ259</f>
        <v>0</v>
      </c>
      <c r="AL296" s="12">
        <f>SUM(AH296:AK296)</f>
        <v>74</v>
      </c>
      <c r="AM296" s="12">
        <f>AM259-AL259</f>
        <v>0</v>
      </c>
      <c r="AN296" s="12">
        <f>AN259-AM259</f>
        <v>0</v>
      </c>
      <c r="AO296" s="12">
        <f>AO259-AN259</f>
        <v>0</v>
      </c>
      <c r="AP296" s="12">
        <f>AP259-AO259</f>
        <v>0</v>
      </c>
      <c r="AQ296" s="12">
        <f>SUM(AM296:AP296)</f>
        <v>0</v>
      </c>
      <c r="AR296" s="12">
        <f>AR259-AQ259</f>
        <v>0</v>
      </c>
      <c r="AS296" s="12">
        <f>AS259-AR259</f>
        <v>0</v>
      </c>
      <c r="AT296" s="12">
        <f>AT259-AS259</f>
        <v>0</v>
      </c>
      <c r="AU296" s="12">
        <f>AU259-AT259</f>
        <v>0</v>
      </c>
      <c r="AV296" s="12">
        <f>SUM(AR296:AU296)</f>
        <v>0</v>
      </c>
      <c r="AW296" s="12">
        <f>AW259-AV259</f>
        <v>0</v>
      </c>
      <c r="AX296" s="12">
        <f>AX259-AW259</f>
        <v>0</v>
      </c>
      <c r="AY296" s="12">
        <f>AY259-AX259</f>
        <v>0</v>
      </c>
      <c r="AZ296" s="12">
        <f>AZ259-AY259</f>
        <v>0</v>
      </c>
      <c r="BA296" s="12">
        <f>SUM(AW296:AZ296)</f>
        <v>0</v>
      </c>
      <c r="BB296" s="12">
        <f>BB259-BA259</f>
        <v>0</v>
      </c>
      <c r="BC296" s="12">
        <f>BC259-BB259</f>
        <v>0</v>
      </c>
      <c r="BD296" s="12">
        <f>BD259-BC259</f>
        <v>0</v>
      </c>
      <c r="BE296" s="12">
        <f>BE259-BD259</f>
        <v>0</v>
      </c>
      <c r="BF296" s="12">
        <f>SUM(BB296:BE296)</f>
        <v>0</v>
      </c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</row>
    <row r="297">
      <c r="C297" s="14" t="inlineStr">
        <is>
          <t>Other equity account</t>
        </is>
      </c>
      <c r="D297" s="12" t="n"/>
      <c r="E297" s="12" t="n"/>
      <c r="F297" s="12" t="n"/>
      <c r="G297" s="12" t="n"/>
      <c r="H297" s="12" t="n"/>
      <c r="I297" s="12" t="n"/>
      <c r="J297" s="12">
        <f>J260-I260</f>
        <v>0</v>
      </c>
      <c r="K297" s="12">
        <f>K260-J260</f>
        <v>0</v>
      </c>
      <c r="L297" s="12">
        <f>L260-K260</f>
        <v>0</v>
      </c>
      <c r="M297" s="12" t="n"/>
      <c r="N297" s="12">
        <f>N260-M260</f>
        <v>0</v>
      </c>
      <c r="O297" s="12">
        <f>O260-N260</f>
        <v>0</v>
      </c>
      <c r="P297" s="12">
        <f>P260-O260</f>
        <v>0</v>
      </c>
      <c r="Q297" s="12">
        <f>Q260-P260</f>
        <v>0</v>
      </c>
      <c r="R297" s="12">
        <f>SUM(N297:Q297)</f>
        <v>0</v>
      </c>
      <c r="S297" s="12">
        <f>S260-R260</f>
        <v>0</v>
      </c>
      <c r="T297" s="12">
        <f>T260-S260</f>
        <v>0</v>
      </c>
      <c r="U297" s="12">
        <f>U260-T260</f>
        <v>0</v>
      </c>
      <c r="V297" s="12">
        <f>V260-U260</f>
        <v>0</v>
      </c>
      <c r="W297" s="12">
        <f>SUM(S297:V297)</f>
        <v>0</v>
      </c>
      <c r="X297" s="12">
        <f>X260-W260</f>
        <v>0</v>
      </c>
      <c r="Y297" s="12">
        <f>Y260-X260</f>
        <v>0</v>
      </c>
      <c r="Z297" s="12">
        <f>Z260-Y260</f>
        <v>0</v>
      </c>
      <c r="AA297" s="12">
        <f>AA260-Z260</f>
        <v>0</v>
      </c>
      <c r="AB297" s="12">
        <f>SUM(X297:AA297)</f>
        <v>0</v>
      </c>
      <c r="AC297" s="12">
        <f>AC260-AB260</f>
        <v>0</v>
      </c>
      <c r="AD297" s="12">
        <f>AD260-AC260</f>
        <v>0</v>
      </c>
      <c r="AE297" s="12">
        <f>AE260-AD260</f>
        <v>0</v>
      </c>
      <c r="AF297" s="12">
        <f>AF260-AE260</f>
        <v>0</v>
      </c>
      <c r="AG297" s="12">
        <f>SUM(AC297:AF297)</f>
        <v>0</v>
      </c>
      <c r="AH297" s="12">
        <f>AH260-AG260</f>
        <v>0</v>
      </c>
      <c r="AI297" s="12">
        <f>AI260-AH260</f>
        <v>0</v>
      </c>
      <c r="AJ297" s="12">
        <f>AJ260-AI260</f>
        <v>0</v>
      </c>
      <c r="AK297" s="12">
        <f>AK260-AJ260</f>
        <v>0</v>
      </c>
      <c r="AL297" s="12">
        <f>SUM(AH297:AK297)</f>
        <v>0</v>
      </c>
      <c r="AM297" s="12">
        <f>AM260-AL260</f>
        <v>0</v>
      </c>
      <c r="AN297" s="12">
        <f>AN260-AM260</f>
        <v>0</v>
      </c>
      <c r="AO297" s="12">
        <f>AO260-AN260</f>
        <v>0</v>
      </c>
      <c r="AP297" s="12">
        <f>AP260-AO260</f>
        <v>0</v>
      </c>
      <c r="AQ297" s="12">
        <f>SUM(AM297:AP297)</f>
        <v>0</v>
      </c>
      <c r="AR297" s="12">
        <f>AR260-AQ260</f>
        <v>0</v>
      </c>
      <c r="AS297" s="12">
        <f>AS260-AR260</f>
        <v>0</v>
      </c>
      <c r="AT297" s="12">
        <f>AT260-AS260</f>
        <v>0</v>
      </c>
      <c r="AU297" s="12">
        <f>AU260-AT260</f>
        <v>0</v>
      </c>
      <c r="AV297" s="12">
        <f>SUM(AR297:AU297)</f>
        <v>0</v>
      </c>
      <c r="AW297" s="12">
        <f>AW260-AV260</f>
        <v>0</v>
      </c>
      <c r="AX297" s="12">
        <f>AX260-AW260</f>
        <v>0</v>
      </c>
      <c r="AY297" s="12">
        <f>AY260-AX260</f>
        <v>0</v>
      </c>
      <c r="AZ297" s="12">
        <f>AZ260-AY260</f>
        <v>0</v>
      </c>
      <c r="BA297" s="12">
        <f>SUM(AW297:AZ297)</f>
        <v>0</v>
      </c>
      <c r="BB297" s="12">
        <f>BB260-BA260</f>
        <v>0</v>
      </c>
      <c r="BC297" s="12">
        <f>BC260-BB260</f>
        <v>0</v>
      </c>
      <c r="BD297" s="12">
        <f>BD260-BC260</f>
        <v>0</v>
      </c>
      <c r="BE297" s="12">
        <f>BE260-BD260</f>
        <v>0</v>
      </c>
      <c r="BF297" s="12">
        <f>SUM(BB297:BE297)</f>
        <v>0</v>
      </c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>
      <c r="C298" s="10" t="inlineStr">
        <is>
          <t>Common and preferred dividends</t>
        </is>
      </c>
      <c r="D298" s="12" t="n"/>
      <c r="E298" s="12" t="n"/>
      <c r="F298" s="12" t="n"/>
      <c r="G298" s="12" t="n"/>
      <c r="H298" s="12" t="n"/>
      <c r="I298" s="12" t="n"/>
      <c r="J298" s="12">
        <f>(J261-I261)-J268</f>
        <v>-1831</v>
      </c>
      <c r="K298" s="12">
        <f>(K261-J261)-K268</f>
        <v>-1099</v>
      </c>
      <c r="L298" s="12">
        <f>(L261-K261)-L268</f>
        <v>-1925</v>
      </c>
      <c r="M298" s="12" t="n"/>
      <c r="N298" s="12">
        <f>(N261-M261)-N268</f>
        <v>-2617</v>
      </c>
      <c r="O298" s="12">
        <f>(O261-N261)-O268</f>
        <v>-1689</v>
      </c>
      <c r="P298" s="12">
        <f>(P261-O261)-P268</f>
        <v>-1275</v>
      </c>
      <c r="Q298" s="12">
        <f>(Q261-P261)-Q268</f>
        <v>-4808</v>
      </c>
      <c r="R298" s="12">
        <f>SUM(N298:Q298)</f>
        <v>-10389</v>
      </c>
      <c r="S298" s="12">
        <f>(S261-R261)-S268</f>
        <v>-1154</v>
      </c>
      <c r="T298" s="12">
        <f>(T261-S261)-T268</f>
        <v>-2091</v>
      </c>
      <c r="U298" s="12">
        <f>(U261-T261)-U268</f>
        <v>-1686</v>
      </c>
      <c r="V298" s="12">
        <f>(V261-U261)-V268</f>
        <v>-3534</v>
      </c>
      <c r="W298" s="12">
        <f>SUM(S298:V298)</f>
        <v>-8465</v>
      </c>
      <c r="X298" s="12">
        <f>(X261-W261)-X268</f>
        <v>-1721</v>
      </c>
      <c r="Y298" s="12">
        <f>(Y261-X261)-Y268</f>
        <v>-2156</v>
      </c>
      <c r="Z298" s="12">
        <f>(Z261-Y261)-Z268</f>
        <v>-673</v>
      </c>
      <c r="AA298" s="12">
        <f>(AA261-Z261)-AA268</f>
        <v>-1633</v>
      </c>
      <c r="AB298" s="12">
        <f>SUM(X298:AA298)</f>
        <v>-6183</v>
      </c>
      <c r="AC298" s="12">
        <f>(AC261-AB261)-AC268</f>
        <v>-1490</v>
      </c>
      <c r="AD298" s="12">
        <f>(AD261-AC261)-AD268</f>
        <v>-1856</v>
      </c>
      <c r="AE298" s="12">
        <f>(AE261-AD261)-AE268</f>
        <v>-825</v>
      </c>
      <c r="AF298" s="12">
        <f>(AF261-AE261)-AF268</f>
        <v>-1363</v>
      </c>
      <c r="AG298" s="12">
        <f>SUM(AC298:AF298)</f>
        <v>-5534</v>
      </c>
      <c r="AH298" s="12">
        <f>(AH261-AG261)-AH268</f>
        <v>-799</v>
      </c>
      <c r="AI298" s="12">
        <f>(AI261-AH261)-AI268</f>
        <v>-800</v>
      </c>
      <c r="AJ298" s="12">
        <f>(AJ261-AI261)-AJ268</f>
        <v>0</v>
      </c>
      <c r="AK298" s="12">
        <f>(AK261-AJ261)-AK268</f>
        <v>0</v>
      </c>
      <c r="AL298" s="12">
        <f>SUM(AH298:AK298)</f>
        <v>-1599</v>
      </c>
      <c r="AM298" s="12">
        <f>(AM261-AL261)-AM268</f>
        <v>0</v>
      </c>
      <c r="AN298" s="12">
        <f>(AN261-AM261)-AN268</f>
        <v>0</v>
      </c>
      <c r="AO298" s="12">
        <f>(AO261-AN261)-AO268</f>
        <v>0</v>
      </c>
      <c r="AP298" s="12">
        <f>(AP261-AO261)-AP268</f>
        <v>0</v>
      </c>
      <c r="AQ298" s="12">
        <f>SUM(AM298:AP298)</f>
        <v>0</v>
      </c>
      <c r="AR298" s="12">
        <f>(AR261-AQ261)-AR268</f>
        <v>0</v>
      </c>
      <c r="AS298" s="12">
        <f>(AS261-AR261)-AS268</f>
        <v>0</v>
      </c>
      <c r="AT298" s="12">
        <f>(AT261-AS261)-AT268</f>
        <v>0</v>
      </c>
      <c r="AU298" s="12">
        <f>(AU261-AT261)-AU268</f>
        <v>0</v>
      </c>
      <c r="AV298" s="12">
        <f>SUM(AR298:AU298)</f>
        <v>0</v>
      </c>
      <c r="AW298" s="12">
        <f>(AW261-AV261)-AW268</f>
        <v>0</v>
      </c>
      <c r="AX298" s="12">
        <f>(AX261-AW261)-AX268</f>
        <v>0</v>
      </c>
      <c r="AY298" s="12">
        <f>(AY261-AX261)-AY268</f>
        <v>0</v>
      </c>
      <c r="AZ298" s="12">
        <f>(AZ261-AY261)-AZ268</f>
        <v>0</v>
      </c>
      <c r="BA298" s="12">
        <f>SUM(AW298:AZ298)</f>
        <v>0</v>
      </c>
      <c r="BB298" s="12">
        <f>(BB261-BA261)-BB268</f>
        <v>0</v>
      </c>
      <c r="BC298" s="12">
        <f>(BC261-BB261)-BC268</f>
        <v>0</v>
      </c>
      <c r="BD298" s="12">
        <f>(BD261-BC261)-BD268</f>
        <v>0</v>
      </c>
      <c r="BE298" s="12">
        <f>(BE261-BD261)-BE268</f>
        <v>0</v>
      </c>
      <c r="BF298" s="12">
        <f>SUM(BB298:BE298)</f>
        <v>0</v>
      </c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>
      <c r="C299" s="14" t="inlineStr">
        <is>
          <t>Dividends to minority interests</t>
        </is>
      </c>
      <c r="D299" s="12" t="n"/>
      <c r="E299" s="12" t="n"/>
      <c r="F299" s="12" t="n"/>
      <c r="G299" s="12" t="n"/>
      <c r="H299" s="12" t="n"/>
      <c r="I299" s="12" t="n"/>
      <c r="J299" s="12">
        <f>(J239-I239)+J127</f>
        <v>-13</v>
      </c>
      <c r="K299" s="12">
        <f>(K239-J239)+K127</f>
        <v>-8</v>
      </c>
      <c r="L299" s="12">
        <f>(L239-K239)+L127</f>
        <v>0</v>
      </c>
      <c r="M299" s="12" t="n"/>
      <c r="N299" s="12">
        <f>(N239-M239)+N127</f>
        <v>0</v>
      </c>
      <c r="O299" s="12">
        <f>(O239-N239)+O127</f>
        <v>0</v>
      </c>
      <c r="P299" s="12">
        <f>(P239-O239)+P127</f>
        <v>0</v>
      </c>
      <c r="Q299" s="12">
        <f>(Q239-P239)+Q127</f>
        <v>0</v>
      </c>
      <c r="R299" s="12">
        <f>SUM(N299:Q299)</f>
        <v>0</v>
      </c>
      <c r="S299" s="12">
        <f>(S239-R239)+S127</f>
        <v>0</v>
      </c>
      <c r="T299" s="12">
        <f>(T239-S239)+T127</f>
        <v>0</v>
      </c>
      <c r="U299" s="12">
        <f>(U239-T239)+U127</f>
        <v>0</v>
      </c>
      <c r="V299" s="12">
        <f>(V239-U239)+V127</f>
        <v>0</v>
      </c>
      <c r="W299" s="12">
        <f>SUM(S299:V299)</f>
        <v>0</v>
      </c>
      <c r="X299" s="12">
        <f>(X239-W239)+X127</f>
        <v>0</v>
      </c>
      <c r="Y299" s="12">
        <f>(Y239-X239)+Y127</f>
        <v>0</v>
      </c>
      <c r="Z299" s="12">
        <f>(Z239-Y239)+Z127</f>
        <v>0</v>
      </c>
      <c r="AA299" s="12">
        <f>(AA239-Z239)+AA127</f>
        <v>0</v>
      </c>
      <c r="AB299" s="12">
        <f>SUM(X299:AA299)</f>
        <v>0</v>
      </c>
      <c r="AC299" s="12">
        <f>(AC239-AB239)+AC127</f>
        <v>0</v>
      </c>
      <c r="AD299" s="12">
        <f>(AD239-AC239)+AD127</f>
        <v>0</v>
      </c>
      <c r="AE299" s="12">
        <f>(AE239-AD239)+AE127</f>
        <v>0</v>
      </c>
      <c r="AF299" s="12">
        <f>(AF239-AE239)+AF127</f>
        <v>0</v>
      </c>
      <c r="AG299" s="12">
        <f>SUM(AC299:AF299)</f>
        <v>0</v>
      </c>
      <c r="AH299" s="12">
        <f>(AH239-AG239)+AH127</f>
        <v>0</v>
      </c>
      <c r="AI299" s="12">
        <f>(AI239-AH239)+AI127</f>
        <v>0</v>
      </c>
      <c r="AJ299" s="12">
        <f>(AJ239-AI239)+AJ127</f>
        <v>0</v>
      </c>
      <c r="AK299" s="12">
        <f>(AK239-AJ239)+AK127</f>
        <v>0</v>
      </c>
      <c r="AL299" s="12">
        <f>SUM(AH299:AK299)</f>
        <v>0</v>
      </c>
      <c r="AM299" s="12">
        <f>(AM239-AL239)+AM127</f>
        <v>0</v>
      </c>
      <c r="AN299" s="12">
        <f>(AN239-AM239)+AN127</f>
        <v>0</v>
      </c>
      <c r="AO299" s="12">
        <f>(AO239-AN239)+AO127</f>
        <v>0</v>
      </c>
      <c r="AP299" s="12">
        <f>(AP239-AO239)+AP127</f>
        <v>0</v>
      </c>
      <c r="AQ299" s="12">
        <f>SUM(AM299:AP299)</f>
        <v>0</v>
      </c>
      <c r="AR299" s="12">
        <f>(AR239-AQ239)+AR127</f>
        <v>0</v>
      </c>
      <c r="AS299" s="12">
        <f>(AS239-AR239)+AS127</f>
        <v>0</v>
      </c>
      <c r="AT299" s="12">
        <f>(AT239-AS239)+AT127</f>
        <v>0</v>
      </c>
      <c r="AU299" s="12">
        <f>(AU239-AT239)+AU127</f>
        <v>0</v>
      </c>
      <c r="AV299" s="12">
        <f>SUM(AR299:AU299)</f>
        <v>0</v>
      </c>
      <c r="AW299" s="12">
        <f>(AW239-AV239)+AW127</f>
        <v>0</v>
      </c>
      <c r="AX299" s="12">
        <f>(AX239-AW239)+AX127</f>
        <v>0</v>
      </c>
      <c r="AY299" s="12">
        <f>(AY239-AX239)+AY127</f>
        <v>0</v>
      </c>
      <c r="AZ299" s="12">
        <f>(AZ239-AY239)+AZ127</f>
        <v>0</v>
      </c>
      <c r="BA299" s="12">
        <f>SUM(AW299:AZ299)</f>
        <v>0</v>
      </c>
      <c r="BB299" s="12">
        <f>(BB239-BA239)+BB127</f>
        <v>0</v>
      </c>
      <c r="BC299" s="12">
        <f>(BC239-BB239)+BC127</f>
        <v>0</v>
      </c>
      <c r="BD299" s="12">
        <f>(BD239-BC239)+BD127</f>
        <v>0</v>
      </c>
      <c r="BE299" s="12">
        <f>(BE239-BD239)+BE127</f>
        <v>0</v>
      </c>
      <c r="BF299" s="12">
        <f>SUM(BB299:BE299)</f>
        <v>0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</row>
    <row r="300">
      <c r="C300" s="15" t="inlineStr">
        <is>
          <t>Increases / (decreases) in debt</t>
        </is>
      </c>
      <c r="D300" s="12" t="n"/>
      <c r="E300" s="12" t="n"/>
      <c r="F300" s="12" t="n"/>
      <c r="G300" s="12" t="n"/>
      <c r="H300" s="12" t="n"/>
      <c r="I300" s="12" t="n"/>
      <c r="J300" s="12">
        <f>SUM(J203:J205,J208,J229,J226)-SUM(I203:I205,I208,I229,I226)</f>
        <v>8</v>
      </c>
      <c r="K300" s="12">
        <f>SUM(K203:K205,K208,K229,K226)-SUM(J203:J205,J208,J229,J226)</f>
        <v>-497</v>
      </c>
      <c r="L300" s="12">
        <f>SUM(L203:L205,L208,L229,L226)-SUM(K203:K205,K208,K229,K226)</f>
        <v>2</v>
      </c>
      <c r="M300" s="12" t="n"/>
      <c r="N300" s="12">
        <f>SUM(N203:N205,N208,N229,N226)-SUM(M203:M205,M208,M229,M226)</f>
        <v>-31</v>
      </c>
      <c r="O300" s="12">
        <f>SUM(O203:O205,O208,O229,O226)-SUM(N203:N205,N208,N229,N226)</f>
        <v>-1</v>
      </c>
      <c r="P300" s="12">
        <f>SUM(P203:P205,P208,P229,P226)-SUM(O203:O205,O208,O229,O226)</f>
        <v>-164</v>
      </c>
      <c r="Q300" s="12">
        <f>SUM(Q203:Q205,Q208,Q229,Q226)-SUM(P203:P205,P208,P229,P226)</f>
        <v>3949</v>
      </c>
      <c r="R300" s="12">
        <f>SUM(N300:Q300)</f>
        <v>3753</v>
      </c>
      <c r="S300" s="12">
        <f>SUM(S203:S205,S208,S229,S226)-SUM(R203:R205,R208,R229,R226)</f>
        <v>171</v>
      </c>
      <c r="T300" s="12">
        <f>SUM(T203:T205,T208,T229,T226)-SUM(S203:S205,S208,S229,S226)</f>
        <v>1945</v>
      </c>
      <c r="U300" s="12">
        <f>SUM(U203:U205,U208,U229,U226)-SUM(T203:T205,T208,T229,T226)</f>
        <v>-156</v>
      </c>
      <c r="V300" s="12">
        <f>SUM(V203:V205,V208,V229,V226)-SUM(U203:U205,U208,U229,U226)</f>
        <v>70</v>
      </c>
      <c r="W300" s="12">
        <f>SUM(S300:V300)</f>
        <v>2030</v>
      </c>
      <c r="X300" s="12">
        <f>SUM(X203:X205,X208,X229,X226)-SUM(W203:W205,W208,W229,W226)</f>
        <v>1959</v>
      </c>
      <c r="Y300" s="12">
        <f>SUM(Y203:Y205,Y208,Y229,Y226)-SUM(X203:X205,X208,X229,X226)</f>
        <v>-161</v>
      </c>
      <c r="Z300" s="12">
        <f>SUM(Z203:Z205,Z208,Z229,Z226)-SUM(Y203:Y205,Y208,Y229,Y226)</f>
        <v>64</v>
      </c>
      <c r="AA300" s="12">
        <f>SUM(AA203:AA205,AA208,AA229,AA226)-SUM(Z203:Z205,Z208,Z229,Z226)</f>
        <v>949</v>
      </c>
      <c r="AB300" s="12">
        <f>SUM(X300:AA300)</f>
        <v>2811</v>
      </c>
      <c r="AC300" s="12">
        <f>SUM(AC203:AC205,AC208,AC229,AC226)-SUM(AB203:AB205,AB208,AB229,AB226)</f>
        <v>34</v>
      </c>
      <c r="AD300" s="12">
        <f>SUM(AD203:AD205,AD208,AD229,AD226)-SUM(AC203:AC205,AC208,AC229,AC226)</f>
        <v>1334</v>
      </c>
      <c r="AE300" s="12">
        <f>SUM(AE203:AE205,AE208,AE229,AE226)-SUM(AD203:AD205,AD208,AD229,AD226)</f>
        <v>551</v>
      </c>
      <c r="AF300" s="12">
        <f>SUM(AF203:AF205,AF208,AF229,AF226)-SUM(AE203:AE205,AE208,AE229,AE226)</f>
        <v>-489</v>
      </c>
      <c r="AG300" s="12">
        <f>SUM(AC300:AF300)</f>
        <v>1430</v>
      </c>
      <c r="AH300" s="12">
        <f>SUM(AH203:AH205,AH208,AH229,AH226)-SUM(AG203:AG205,AG208,AG229,AG226)</f>
        <v>-1003</v>
      </c>
      <c r="AI300" s="12">
        <f>SUM(AI203:AI205,AI208,AI229,AI226)-SUM(AH203:AH205,AH208,AH229,AH226)</f>
        <v>-159</v>
      </c>
      <c r="AJ300" s="12">
        <f>SUM(AJ203:AJ205,AJ208,AJ229,AJ226)-SUM(AI203:AI205,AI208,AI229,AI226)</f>
        <v>0</v>
      </c>
      <c r="AK300" s="12">
        <f>SUM(AK203:AK205,AK208,AK229,AK226)-SUM(AJ203:AJ205,AJ208,AJ229,AJ226)</f>
        <v>0</v>
      </c>
      <c r="AL300" s="12">
        <f>SUM(AH300:AK300)</f>
        <v>-1162</v>
      </c>
      <c r="AM300" s="12">
        <f>SUM(AM203:AM205,AM208,AM229,AM226)-SUM(AL203:AL205,AL208,AL229,AL226)</f>
        <v>0</v>
      </c>
      <c r="AN300" s="12">
        <f>SUM(AN203:AN205,AN208,AN229,AN226)-SUM(AM203:AM205,AM208,AM229,AM226)</f>
        <v>0</v>
      </c>
      <c r="AO300" s="12">
        <f>SUM(AO203:AO205,AO208,AO229,AO226)-SUM(AN203:AN205,AN208,AN229,AN226)</f>
        <v>0</v>
      </c>
      <c r="AP300" s="12">
        <f>SUM(AP203:AP205,AP208,AP229,AP226)-SUM(AO203:AO205,AO208,AO229,AO226)</f>
        <v>0</v>
      </c>
      <c r="AQ300" s="12">
        <f>SUM(AM300:AP300)</f>
        <v>0</v>
      </c>
      <c r="AR300" s="12">
        <f>SUM(AR203:AR205,AR208,AR229,AR226)-SUM(AQ203:AQ205,AQ208,AQ229,AQ226)</f>
        <v>0</v>
      </c>
      <c r="AS300" s="12">
        <f>SUM(AS203:AS205,AS208,AS229,AS226)-SUM(AR203:AR205,AR208,AR229,AR226)</f>
        <v>0</v>
      </c>
      <c r="AT300" s="12">
        <f>SUM(AT203:AT205,AT208,AT229,AT226)-SUM(AS203:AS205,AS208,AS229,AS226)</f>
        <v>0</v>
      </c>
      <c r="AU300" s="12">
        <f>SUM(AU203:AU205,AU208,AU229,AU226)-SUM(AT203:AT205,AT208,AT229,AT226)</f>
        <v>0</v>
      </c>
      <c r="AV300" s="12">
        <f>SUM(AR300:AU300)</f>
        <v>0</v>
      </c>
      <c r="AW300" s="12">
        <f>SUM(AW203:AW205,AW208,AW229,AW226)-SUM(AV203:AV205,AV208,AV229,AV226)</f>
        <v>0</v>
      </c>
      <c r="AX300" s="12">
        <f>SUM(AX203:AX205,AX208,AX229,AX226)-SUM(AW203:AW205,AW208,AW229,AW226)</f>
        <v>0</v>
      </c>
      <c r="AY300" s="12">
        <f>SUM(AY203:AY205,AY208,AY229,AY226)-SUM(AX203:AX205,AX208,AX229,AX226)</f>
        <v>0</v>
      </c>
      <c r="AZ300" s="12">
        <f>SUM(AZ203:AZ205,AZ208,AZ229,AZ226)-SUM(AY203:AY205,AY208,AY229,AY226)</f>
        <v>0</v>
      </c>
      <c r="BA300" s="12">
        <f>SUM(AW300:AZ300)</f>
        <v>0</v>
      </c>
      <c r="BB300" s="12">
        <f>SUM(BB203:BB205,BB208,BB229,BB226)-SUM(BA203:BA205,BA208,BA229,BA226)</f>
        <v>0</v>
      </c>
      <c r="BC300" s="12">
        <f>SUM(BC203:BC205,BC208,BC229,BC226)-SUM(BB203:BB205,BB208,BB229,BB226)</f>
        <v>0</v>
      </c>
      <c r="BD300" s="12">
        <f>SUM(BD203:BD205,BD208,BD229,BD226)-SUM(BC203:BC205,BC208,BC229,BC226)</f>
        <v>0</v>
      </c>
      <c r="BE300" s="12">
        <f>SUM(BE203:BE205,BE208,BE229,BE226)-SUM(BD203:BD205,BD208,BD229,BD226)</f>
        <v>0</v>
      </c>
      <c r="BF300" s="12">
        <f>SUM(BB300:BE300)</f>
        <v>0</v>
      </c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  <c r="CZ300" s="12" t="n"/>
      <c r="DA300" s="12" t="n"/>
      <c r="DB300" s="12" t="n"/>
      <c r="DC300" s="12" t="n"/>
    </row>
    <row r="301">
      <c r="C301" s="14" t="inlineStr">
        <is>
          <t>Cash from financing</t>
        </is>
      </c>
      <c r="D301" s="12" t="n"/>
      <c r="E301" s="12" t="n"/>
      <c r="F301" s="12" t="n"/>
      <c r="G301" s="12" t="n"/>
      <c r="H301" s="12" t="n"/>
      <c r="I301" s="12" t="n"/>
      <c r="J301" s="12">
        <f>SUM(J293,J294,J295,J296,J297,J298,J299,J300)</f>
        <v>-1610</v>
      </c>
      <c r="K301" s="12">
        <f>SUM(K293,K294,K295,K296,K297,K298,K299,K300)</f>
        <v>1990</v>
      </c>
      <c r="L301" s="12">
        <f>SUM(L293,L294,L295,L296,L297,L298,L299,L300)</f>
        <v>-719</v>
      </c>
      <c r="M301" s="12" t="n"/>
      <c r="N301" s="12">
        <f>SUM(N293,N294,N295,N296,N297,N298,N299,N300)</f>
        <v>-2721</v>
      </c>
      <c r="O301" s="12">
        <f>SUM(O293,O294,O295,O296,O297,O298,O299,O300)</f>
        <v>1120</v>
      </c>
      <c r="P301" s="12">
        <f>SUM(P293,P294,P295,P296,P297,P298,P299,P300)</f>
        <v>-1408</v>
      </c>
      <c r="Q301" s="12">
        <f>SUM(Q293,Q294,Q295,Q296,Q297,Q298,Q299,Q300)</f>
        <v>-663</v>
      </c>
      <c r="R301" s="12">
        <f>SUM(R293,R294,R295,R296,R297,R298,R299,R300)</f>
        <v>-3672</v>
      </c>
      <c r="S301" s="12">
        <f>SUM(S293,S294,S295,S296,S297,S298,S299,S300)</f>
        <v>-1138</v>
      </c>
      <c r="T301" s="12">
        <f>SUM(T293,T294,T295,T296,T297,T298,T299,T300)</f>
        <v>-142</v>
      </c>
      <c r="U301" s="12">
        <f>SUM(U293,U294,U295,U296,U297,U298,U299,U300)</f>
        <v>-1806</v>
      </c>
      <c r="V301" s="12">
        <f>SUM(V293,V294,V295,V296,V297,V298,V299,V300)</f>
        <v>-4235</v>
      </c>
      <c r="W301" s="12">
        <f>SUM(W293,W294,W295,W296,W297,W298,W299,W300)</f>
        <v>-7321</v>
      </c>
      <c r="X301" s="12">
        <f>SUM(X293,X294,X295,X296,X297,X298,X299,X300)</f>
        <v>229</v>
      </c>
      <c r="Y301" s="12">
        <f>SUM(Y293,Y294,Y295,Y296,Y297,Y298,Y299,Y300)</f>
        <v>-2277</v>
      </c>
      <c r="Z301" s="12">
        <f>SUM(Z293,Z294,Z295,Z296,Z297,Z298,Z299,Z300)</f>
        <v>-534</v>
      </c>
      <c r="AA301" s="12">
        <f>SUM(AA293,AA294,AA295,AA296,AA297,AA298,AA299,AA300)</f>
        <v>-445</v>
      </c>
      <c r="AB301" s="12">
        <f>SUM(AB293,AB294,AB295,AB296,AB297,AB298,AB299,AB300)</f>
        <v>-3027</v>
      </c>
      <c r="AC301" s="12">
        <f>SUM(AC293,AC294,AC295,AC296,AC297,AC298,AC299,AC300)</f>
        <v>-1328</v>
      </c>
      <c r="AD301" s="12">
        <f>SUM(AD293,AD294,AD295,AD296,AD297,AD298,AD299,AD300)</f>
        <v>-357</v>
      </c>
      <c r="AE301" s="12">
        <f>SUM(AE293,AE294,AE295,AE296,AE297,AE298,AE299,AE300)</f>
        <v>-221</v>
      </c>
      <c r="AF301" s="12">
        <f>SUM(AF293,AF294,AF295,AF296,AF297,AF298,AF299,AF300)</f>
        <v>-1293</v>
      </c>
      <c r="AG301" s="12">
        <f>SUM(AG293,AG294,AG295,AG296,AG297,AG298,AG299,AG300)</f>
        <v>-3199</v>
      </c>
      <c r="AH301" s="12">
        <f>SUM(AH293,AH294,AH295,AH296,AH297,AH298,AH299,AH300)</f>
        <v>-1723</v>
      </c>
      <c r="AI301" s="12">
        <f>SUM(AI293,AI294,AI295,AI296,AI297,AI298,AI299,AI300)</f>
        <v>-716</v>
      </c>
      <c r="AJ301" s="12">
        <f>SUM(AJ293,AJ294,AJ295,AJ296,AJ297,AJ298,AJ299,AJ300)</f>
        <v>0</v>
      </c>
      <c r="AK301" s="12">
        <f>SUM(AK293,AK294,AK295,AK296,AK297,AK298,AK299,AK300)</f>
        <v>0</v>
      </c>
      <c r="AL301" s="12">
        <f>SUM(AL293,AL294,AL295,AL296,AL297,AL298,AL299,AL300)</f>
        <v>-2439</v>
      </c>
      <c r="AM301" s="12">
        <f>SUM(AM293,AM294,AM295,AM296,AM297,AM298,AM299,AM300)</f>
        <v>0</v>
      </c>
      <c r="AN301" s="12">
        <f>SUM(AN293,AN294,AN295,AN296,AN297,AN298,AN299,AN300)</f>
        <v>0</v>
      </c>
      <c r="AO301" s="12">
        <f>SUM(AO293,AO294,AO295,AO296,AO297,AO298,AO299,AO300)</f>
        <v>0</v>
      </c>
      <c r="AP301" s="12">
        <f>SUM(AP293,AP294,AP295,AP296,AP297,AP298,AP299,AP300)</f>
        <v>0</v>
      </c>
      <c r="AQ301" s="12">
        <f>SUM(AQ293,AQ294,AQ295,AQ296,AQ297,AQ298,AQ299,AQ300)</f>
        <v>0</v>
      </c>
      <c r="AR301" s="12">
        <f>SUM(AR293,AR294,AR295,AR296,AR297,AR298,AR299,AR300)</f>
        <v>0</v>
      </c>
      <c r="AS301" s="12">
        <f>SUM(AS293,AS294,AS295,AS296,AS297,AS298,AS299,AS300)</f>
        <v>0</v>
      </c>
      <c r="AT301" s="12">
        <f>SUM(AT293,AT294,AT295,AT296,AT297,AT298,AT299,AT300)</f>
        <v>0</v>
      </c>
      <c r="AU301" s="12">
        <f>SUM(AU293,AU294,AU295,AU296,AU297,AU298,AU299,AU300)</f>
        <v>0</v>
      </c>
      <c r="AV301" s="12">
        <f>SUM(AV293,AV294,AV295,AV296,AV297,AV298,AV299,AV300)</f>
        <v>0</v>
      </c>
      <c r="AW301" s="12">
        <f>SUM(AW293,AW294,AW295,AW296,AW297,AW298,AW299,AW300)</f>
        <v>0</v>
      </c>
      <c r="AX301" s="12">
        <f>SUM(AX293,AX294,AX295,AX296,AX297,AX298,AX299,AX300)</f>
        <v>0</v>
      </c>
      <c r="AY301" s="12">
        <f>SUM(AY293,AY294,AY295,AY296,AY297,AY298,AY299,AY300)</f>
        <v>0</v>
      </c>
      <c r="AZ301" s="12">
        <f>SUM(AZ293,AZ294,AZ295,AZ296,AZ297,AZ298,AZ299,AZ300)</f>
        <v>0</v>
      </c>
      <c r="BA301" s="12">
        <f>SUM(BA293,BA294,BA295,BA296,BA297,BA298,BA299,BA300)</f>
        <v>0</v>
      </c>
      <c r="BB301" s="12">
        <f>SUM(BB293,BB294,BB295,BB296,BB297,BB298,BB299,BB300)</f>
        <v>0</v>
      </c>
      <c r="BC301" s="12">
        <f>SUM(BC293,BC294,BC295,BC296,BC297,BC298,BC299,BC300)</f>
        <v>0</v>
      </c>
      <c r="BD301" s="12">
        <f>SUM(BD293,BD294,BD295,BD296,BD297,BD298,BD299,BD300)</f>
        <v>0</v>
      </c>
      <c r="BE301" s="12">
        <f>SUM(BE293,BE294,BE295,BE296,BE297,BE298,BE299,BE300)</f>
        <v>0</v>
      </c>
      <c r="BF301" s="12">
        <f>SUM(BF293,BF294,BF295,BF296,BF297,BF298,BF299,BF300)</f>
        <v>0</v>
      </c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</row>
    <row r="302">
      <c r="C302" s="14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  <c r="AJ302" s="12" t="n"/>
      <c r="AK302" s="12" t="n"/>
      <c r="AL302" s="12" t="n"/>
      <c r="AM302" s="12" t="n"/>
      <c r="AN302" s="12" t="n"/>
      <c r="AO302" s="12" t="n"/>
      <c r="AP302" s="12" t="n"/>
      <c r="AQ302" s="12" t="n"/>
      <c r="AR302" s="12" t="n"/>
      <c r="AS302" s="12" t="n"/>
      <c r="AT302" s="12" t="n"/>
      <c r="AU302" s="12" t="n"/>
      <c r="AV302" s="12" t="n"/>
      <c r="AW302" s="12" t="n"/>
      <c r="AX302" s="12" t="n"/>
      <c r="AY302" s="12" t="n"/>
      <c r="AZ302" s="12" t="n"/>
      <c r="BA302" s="12" t="n"/>
      <c r="BB302" s="12" t="n"/>
      <c r="BC302" s="12" t="n"/>
      <c r="BD302" s="12" t="n"/>
      <c r="BE302" s="12" t="n"/>
      <c r="BF302" s="12" t="n"/>
      <c r="BG302" s="12" t="n"/>
      <c r="BH302" s="12" t="n"/>
      <c r="BI302" s="12" t="n"/>
      <c r="BJ302" s="12" t="n"/>
      <c r="BK302" s="12" t="n"/>
      <c r="BL302" s="12" t="n"/>
      <c r="BM302" s="12" t="n"/>
      <c r="BN302" s="12" t="n"/>
      <c r="BO302" s="12" t="n"/>
      <c r="BP302" s="12" t="n"/>
      <c r="BQ302" s="12" t="n"/>
      <c r="BR302" s="12" t="n"/>
      <c r="BS302" s="12" t="n"/>
      <c r="BT302" s="12" t="n"/>
      <c r="BU302" s="12" t="n"/>
      <c r="BV302" s="12" t="n"/>
      <c r="BW302" s="12" t="n"/>
      <c r="BX302" s="12" t="n"/>
      <c r="BY302" s="12" t="n"/>
      <c r="BZ302" s="12" t="n"/>
      <c r="CA302" s="12" t="n"/>
      <c r="CB302" s="12" t="n"/>
      <c r="CC302" s="12" t="n"/>
      <c r="CD302" s="12" t="n"/>
      <c r="CE302" s="12" t="n"/>
      <c r="CF302" s="12" t="n"/>
      <c r="CG302" s="12" t="n"/>
      <c r="CH302" s="12" t="n"/>
      <c r="CI302" s="12" t="n"/>
      <c r="CJ302" s="12" t="n"/>
      <c r="CK302" s="12" t="n"/>
      <c r="CL302" s="12" t="n"/>
      <c r="CM302" s="12" t="n"/>
      <c r="CN302" s="12" t="n"/>
      <c r="CO302" s="12" t="n"/>
      <c r="CP302" s="12" t="n"/>
      <c r="CQ302" s="12" t="n"/>
      <c r="CR302" s="12" t="n"/>
      <c r="CS302" s="12" t="n"/>
      <c r="CT302" s="12" t="n"/>
      <c r="CU302" s="12" t="n"/>
      <c r="CV302" s="12" t="n"/>
      <c r="CW302" s="12" t="n"/>
      <c r="CX302" s="12" t="n"/>
      <c r="CY302" s="12" t="n"/>
    </row>
    <row r="303">
      <c r="C303" s="14" t="inlineStr">
        <is>
          <t>Others / cash reconciliation plug</t>
        </is>
      </c>
      <c r="D303" s="12" t="n"/>
      <c r="E303" s="12" t="n"/>
      <c r="F303" s="12" t="n"/>
      <c r="G303" s="12" t="n"/>
      <c r="H303" s="12" t="n"/>
      <c r="I303" s="12" t="n"/>
      <c r="J303" s="12">
        <f>J135-I135-SUM(J284,J291,J301)</f>
        <v>0</v>
      </c>
      <c r="K303" s="12">
        <f>K135-J135-SUM(K284,K291,K301)</f>
        <v>0</v>
      </c>
      <c r="L303" s="12">
        <f>L135-K135-SUM(L284,L291,L301)</f>
        <v>0</v>
      </c>
      <c r="M303" s="12" t="n"/>
      <c r="N303" s="12">
        <f>N135-M135-SUM(N284,N291,N301)</f>
        <v>0</v>
      </c>
      <c r="O303" s="12">
        <f>O135-N135-SUM(O284,O291,O301)</f>
        <v>0</v>
      </c>
      <c r="P303" s="12">
        <f>P135-O135-SUM(P284,P291,P301)</f>
        <v>0</v>
      </c>
      <c r="Q303" s="12">
        <f>Q135-P135-SUM(Q284,Q291,Q301)</f>
        <v>0</v>
      </c>
      <c r="R303" s="12">
        <f>SUM(N303:Q303)</f>
        <v>0</v>
      </c>
      <c r="S303" s="12">
        <f>S135-R135-SUM(S284,S291,S301)</f>
        <v>0</v>
      </c>
      <c r="T303" s="12">
        <f>T135-S135-SUM(T284,T291,T301)</f>
        <v>0</v>
      </c>
      <c r="U303" s="12">
        <f>U135-T135-SUM(U284,U291,U301)</f>
        <v>0</v>
      </c>
      <c r="V303" s="12">
        <f>V135-U135-SUM(V284,V291,V301)</f>
        <v>0</v>
      </c>
      <c r="W303" s="12">
        <f>SUM(S303:V303)</f>
        <v>0</v>
      </c>
      <c r="X303" s="12">
        <f>X135-W135-SUM(X284,X291,X301)</f>
        <v>0</v>
      </c>
      <c r="Y303" s="12">
        <f>Y135-X135-SUM(Y284,Y291,Y301)</f>
        <v>0</v>
      </c>
      <c r="Z303" s="12">
        <f>Z135-Y135-SUM(Z284,Z291,Z301)</f>
        <v>0</v>
      </c>
      <c r="AA303" s="12">
        <f>AA135-Z135-SUM(AA284,AA291,AA301)</f>
        <v>0</v>
      </c>
      <c r="AB303" s="12">
        <f>SUM(X303:AA303)</f>
        <v>0</v>
      </c>
      <c r="AC303" s="12">
        <f>AC135-AB135-SUM(AC284,AC291,AC301)</f>
        <v>0</v>
      </c>
      <c r="AD303" s="12">
        <f>AD135-AC135-SUM(AD284,AD291,AD301)</f>
        <v>0</v>
      </c>
      <c r="AE303" s="12">
        <f>AE135-AD135-SUM(AE284,AE291,AE301)</f>
        <v>0</v>
      </c>
      <c r="AF303" s="12">
        <f>AF135-AE135-SUM(AF284,AF291,AF301)</f>
        <v>0</v>
      </c>
      <c r="AG303" s="12">
        <f>SUM(AC303:AF303)</f>
        <v>0</v>
      </c>
      <c r="AH303" s="12">
        <f>AH135-AG135-SUM(AH284,AH291,AH301)</f>
        <v>0</v>
      </c>
      <c r="AI303" s="12">
        <f>AI135-AH135-SUM(AI284,AI291,AI301)</f>
        <v>0</v>
      </c>
      <c r="AJ303" s="12">
        <f>AJ135-AI135-SUM(AJ284,AJ291,AJ301)</f>
        <v>0</v>
      </c>
      <c r="AK303" s="12">
        <f>AK135-AJ135-SUM(AK284,AK291,AK301)</f>
        <v>0</v>
      </c>
      <c r="AL303" s="12">
        <f>SUM(AH303:AK303)</f>
        <v>0</v>
      </c>
      <c r="AM303" s="12">
        <f>AM135-AL135-SUM(AM284,AM291,AM301)</f>
        <v>5.91171556152403e-12</v>
      </c>
      <c r="AN303" s="12">
        <f>AN135-AM135-SUM(AN284,AN291,AN301)</f>
        <v>0</v>
      </c>
      <c r="AO303" s="12">
        <f>AO135-AN135-SUM(AO284,AO291,AO301)</f>
        <v>-1.40971678774804e-11</v>
      </c>
      <c r="AP303" s="12">
        <f>AP135-AO135-SUM(AP284,AP291,AP301)</f>
        <v>7.50333128962666e-12</v>
      </c>
      <c r="AQ303" s="12">
        <f>SUM(AM303:AP303)</f>
        <v>-6.82121026329696e-13</v>
      </c>
      <c r="AR303" s="12">
        <f>AR135-AQ135-SUM(AR284,AR291,AR301)</f>
        <v>-9.54969436861575e-12</v>
      </c>
      <c r="AS303" s="12">
        <f>AS135-AR135-SUM(AS284,AS291,AS301)</f>
        <v>1.18234311230481e-11</v>
      </c>
      <c r="AT303" s="12">
        <f>AT135-AS135-SUM(AT284,AT291,AT301)</f>
        <v>-1.38697942020372e-11</v>
      </c>
      <c r="AU303" s="12">
        <f>AU135-AT135-SUM(AU284,AU291,AU301)</f>
        <v>9.09494701772928e-12</v>
      </c>
      <c r="AV303" s="12">
        <f>SUM(AR303:AU303)</f>
        <v>-2.50111042987555e-12</v>
      </c>
      <c r="AW303" s="12">
        <f>AW135-AV135-SUM(AW284,AW291,AW301)</f>
        <v>5.91171556152403e-12</v>
      </c>
      <c r="AX303" s="12">
        <f>AX135-AW135-SUM(AX284,AX291,AX301)</f>
        <v>-6.59383658785373e-12</v>
      </c>
      <c r="AY303" s="12">
        <f>AY135-AX135-SUM(AY284,AY291,AY301)</f>
        <v>0</v>
      </c>
      <c r="AZ303" s="12">
        <f>AZ135-AY135-SUM(AZ284,AZ291,AZ301)</f>
        <v>9.77706804405898e-12</v>
      </c>
      <c r="BA303" s="12">
        <f>SUM(AW303:AZ303)</f>
        <v>9.09494701772928e-12</v>
      </c>
      <c r="BB303" s="12">
        <f>BB135-BA135-SUM(BB284,BB291,BB301)</f>
        <v>0</v>
      </c>
      <c r="BC303" s="12">
        <f>BC135-BB135-SUM(BC284,BC291,BC301)</f>
        <v>0</v>
      </c>
      <c r="BD303" s="12">
        <f>BD135-BC135-SUM(BD284,BD291,BD301)</f>
        <v>-1.02318153949454e-11</v>
      </c>
      <c r="BE303" s="12">
        <f>BE135-BD135-SUM(BE284,BE291,BE301)</f>
        <v>0</v>
      </c>
      <c r="BF303" s="12">
        <f>SUM(BB303:BE303)</f>
        <v>-1.02318153949454e-11</v>
      </c>
      <c r="BG303" s="12" t="n"/>
      <c r="BH303" s="12" t="n"/>
      <c r="BI303" s="12" t="n"/>
      <c r="BJ303" s="12" t="n"/>
      <c r="BK303" s="12" t="n"/>
      <c r="BL303" s="12" t="n"/>
      <c r="BM303" s="12" t="n"/>
      <c r="BN303" s="12" t="n"/>
      <c r="BO303" s="12" t="n"/>
      <c r="BP303" s="12" t="n"/>
      <c r="BQ303" s="12" t="n"/>
      <c r="BR303" s="12" t="n"/>
      <c r="BS303" s="12" t="n"/>
      <c r="BT303" s="12" t="n"/>
      <c r="BU303" s="12" t="n"/>
      <c r="BV303" s="12" t="n"/>
      <c r="BW303" s="12" t="n"/>
      <c r="BX303" s="12" t="n"/>
      <c r="BY303" s="12" t="n"/>
      <c r="BZ303" s="12" t="n"/>
      <c r="CA303" s="12" t="n"/>
      <c r="CB303" s="12" t="n"/>
      <c r="CC303" s="12" t="n"/>
      <c r="CD303" s="12" t="n"/>
      <c r="CE303" s="12" t="n"/>
      <c r="CF303" s="12" t="n"/>
      <c r="CG303" s="12" t="n"/>
      <c r="CH303" s="12" t="n"/>
      <c r="CI303" s="12" t="n"/>
      <c r="CJ303" s="12" t="n"/>
      <c r="CK303" s="12" t="n"/>
      <c r="CL303" s="12" t="n"/>
      <c r="CM303" s="12" t="n"/>
      <c r="CN303" s="12" t="n"/>
      <c r="CO303" s="12" t="n"/>
      <c r="CP303" s="12" t="n"/>
      <c r="CQ303" s="12" t="n"/>
      <c r="CR303" s="12" t="n"/>
      <c r="CS303" s="12" t="n"/>
      <c r="CT303" s="12" t="n"/>
      <c r="CU303" s="12" t="n"/>
      <c r="CV303" s="12" t="n"/>
      <c r="CW303" s="12" t="n"/>
      <c r="CX303" s="12" t="n"/>
      <c r="CY303" s="12" t="n"/>
    </row>
    <row r="304">
      <c r="C304" s="14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  <c r="AJ304" s="12" t="n"/>
      <c r="AK304" s="12" t="n"/>
      <c r="AL304" s="12" t="n"/>
      <c r="AM304" s="12" t="n"/>
      <c r="AN304" s="12" t="n"/>
      <c r="AO304" s="12" t="n"/>
      <c r="AP304" s="12" t="n"/>
      <c r="AQ304" s="12" t="n"/>
      <c r="AR304" s="12" t="n"/>
      <c r="AS304" s="12" t="n"/>
      <c r="AT304" s="12" t="n"/>
      <c r="AU304" s="12" t="n"/>
      <c r="AV304" s="12" t="n"/>
      <c r="AW304" s="12" t="n"/>
      <c r="AX304" s="12" t="n"/>
      <c r="AY304" s="12" t="n"/>
      <c r="AZ304" s="12" t="n"/>
      <c r="BA304" s="12" t="n"/>
      <c r="BB304" s="12" t="n"/>
      <c r="BC304" s="12" t="n"/>
      <c r="BD304" s="12" t="n"/>
      <c r="BE304" s="12" t="n"/>
      <c r="BF304" s="12" t="n"/>
      <c r="BG304" s="12" t="n"/>
      <c r="BH304" s="12" t="n"/>
      <c r="BI304" s="12" t="n"/>
      <c r="BJ304" s="12" t="n"/>
      <c r="BK304" s="12" t="n"/>
      <c r="BL304" s="12" t="n"/>
      <c r="BM304" s="12" t="n"/>
      <c r="BN304" s="12" t="n"/>
      <c r="BO304" s="12" t="n"/>
      <c r="BP304" s="12" t="n"/>
      <c r="BQ304" s="12" t="n"/>
      <c r="BR304" s="12" t="n"/>
      <c r="BS304" s="12" t="n"/>
      <c r="BT304" s="12" t="n"/>
      <c r="BU304" s="12" t="n"/>
      <c r="BV304" s="12" t="n"/>
      <c r="BW304" s="12" t="n"/>
      <c r="BX304" s="12" t="n"/>
      <c r="BY304" s="12" t="n"/>
      <c r="BZ304" s="12" t="n"/>
      <c r="CA304" s="12" t="n"/>
      <c r="CB304" s="12" t="n"/>
      <c r="CC304" s="12" t="n"/>
      <c r="CD304" s="12" t="n"/>
      <c r="CE304" s="12" t="n"/>
      <c r="CF304" s="12" t="n"/>
      <c r="CG304" s="12" t="n"/>
      <c r="CH304" s="12" t="n"/>
      <c r="CI304" s="12" t="n"/>
      <c r="CJ304" s="12" t="n"/>
      <c r="CK304" s="12" t="n"/>
      <c r="CL304" s="12" t="n"/>
      <c r="CM304" s="12" t="n"/>
      <c r="CN304" s="12" t="n"/>
      <c r="CO304" s="12" t="n"/>
      <c r="CP304" s="12" t="n"/>
      <c r="CQ304" s="12" t="n"/>
      <c r="CR304" s="12" t="n"/>
      <c r="CS304" s="12" t="n"/>
      <c r="CT304" s="12" t="n"/>
      <c r="CU304" s="12" t="n"/>
      <c r="CV304" s="12" t="n"/>
      <c r="CW304" s="12" t="n"/>
      <c r="CX304" s="12" t="n"/>
      <c r="CY304" s="12" t="n"/>
    </row>
    <row r="305">
      <c r="C305" s="14" t="inlineStr">
        <is>
          <t>Total increase/decrease of cash</t>
        </is>
      </c>
      <c r="D305" s="12" t="n"/>
      <c r="E305" s="12" t="n"/>
      <c r="F305" s="12" t="n"/>
      <c r="G305" s="12" t="n"/>
      <c r="H305" s="12" t="n"/>
      <c r="I305" s="12" t="n"/>
      <c r="J305" s="12">
        <f>SUM(J284,J291,J301,J303)</f>
        <v>-188</v>
      </c>
      <c r="K305" s="12">
        <f>SUM(K284,K291,K301,K303)</f>
        <v>-18</v>
      </c>
      <c r="L305" s="12">
        <f>SUM(L284,L291,L301,L303)</f>
        <v>877</v>
      </c>
      <c r="M305" s="12" t="n"/>
      <c r="N305" s="12">
        <f>SUM(N284,N291,N301,N303)</f>
        <v>-1721</v>
      </c>
      <c r="O305" s="12">
        <f>SUM(O284,O291,O301,O303)</f>
        <v>-108</v>
      </c>
      <c r="P305" s="12">
        <f>SUM(P284,P291,P301,P303)</f>
        <v>655</v>
      </c>
      <c r="Q305" s="12">
        <f>SUM(Q284,Q291,Q301,Q303)</f>
        <v>117</v>
      </c>
      <c r="R305" s="12">
        <f>SUM(N305:Q305)</f>
        <v>-1057</v>
      </c>
      <c r="S305" s="12">
        <f>SUM(S284,S291,S301,S303)</f>
        <v>-107</v>
      </c>
      <c r="T305" s="12">
        <f>SUM(T284,T291,T301,T303)</f>
        <v>1233</v>
      </c>
      <c r="U305" s="12">
        <f>SUM(U284,U291,U301,U303)</f>
        <v>-122</v>
      </c>
      <c r="V305" s="12">
        <f>SUM(V284,V291,V301,V303)</f>
        <v>-2109</v>
      </c>
      <c r="W305" s="12">
        <f>SUM(S305:V305)</f>
        <v>-1105</v>
      </c>
      <c r="X305" s="12">
        <f>SUM(X284,X291,X301,X303)</f>
        <v>1348</v>
      </c>
      <c r="Y305" s="12">
        <f>SUM(Y284,Y291,Y301,Y303)</f>
        <v>-267</v>
      </c>
      <c r="Z305" s="12">
        <f>SUM(Z284,Z291,Z301,Z303)</f>
        <v>628</v>
      </c>
      <c r="AA305" s="12">
        <f>SUM(AA284,AA291,AA301,AA303)</f>
        <v>-668</v>
      </c>
      <c r="AB305" s="12">
        <f>SUM(X305:AA305)</f>
        <v>1041</v>
      </c>
      <c r="AC305" s="12">
        <f>SUM(AC284,AC291,AC301,AC303)</f>
        <v>-680</v>
      </c>
      <c r="AD305" s="12">
        <f>SUM(AD284,AD291,AD301,AD303)</f>
        <v>-510</v>
      </c>
      <c r="AE305" s="12">
        <f>SUM(AE284,AE291,AE301,AE303)</f>
        <v>2177</v>
      </c>
      <c r="AF305" s="12">
        <f>SUM(AF284,AF291,AF301,AF303)</f>
        <v>651</v>
      </c>
      <c r="AG305" s="12">
        <f>SUM(AC305:AF305)</f>
        <v>1638</v>
      </c>
      <c r="AH305" s="12">
        <f>SUM(AH284,AH291,AH301,AH303)</f>
        <v>-2227</v>
      </c>
      <c r="AI305" s="12">
        <f>SUM(AI284,AI291,AI301,AI303)</f>
        <v>1897</v>
      </c>
      <c r="AJ305" s="12">
        <f>SUM(AJ284,AJ291,AJ301,AJ303)</f>
        <v>3771.54724765733</v>
      </c>
      <c r="AK305" s="12">
        <f>SUM(AK284,AK291,AK301,AK303)</f>
        <v>1463.54651159654</v>
      </c>
      <c r="AL305" s="12">
        <f>SUM(AH305:AK305)</f>
        <v>4905.09375925386</v>
      </c>
      <c r="AM305" s="12">
        <f>SUM(AM284,AM291,AM301,AM303)</f>
        <v>1413.18930360363</v>
      </c>
      <c r="AN305" s="12">
        <f>SUM(AN284,AN291,AN301,AN303)</f>
        <v>1463.10863158424</v>
      </c>
      <c r="AO305" s="12">
        <f>SUM(AO284,AO291,AO301,AO303)</f>
        <v>1509.24977175244</v>
      </c>
      <c r="AP305" s="12">
        <f>SUM(AP284,AP291,AP301,AP303)</f>
        <v>1577.90932492117</v>
      </c>
      <c r="AQ305" s="12">
        <f>SUM(AM305:AP305)</f>
        <v>5963.45703186148</v>
      </c>
      <c r="AR305" s="12">
        <f>SUM(AR284,AR291,AR301,AR303)</f>
        <v>1507.52392275433</v>
      </c>
      <c r="AS305" s="12">
        <f>SUM(AS284,AS291,AS301,AS303)</f>
        <v>1546.56534401445</v>
      </c>
      <c r="AT305" s="12">
        <f>SUM(AT284,AT291,AT301,AT303)</f>
        <v>1600.07314589438</v>
      </c>
      <c r="AU305" s="12">
        <f>SUM(AU284,AU291,AU301,AU303)</f>
        <v>1671.84797682358</v>
      </c>
      <c r="AV305" s="12">
        <f>SUM(AR305:AU305)</f>
        <v>6326.01038948674</v>
      </c>
      <c r="AW305" s="12">
        <f>SUM(AW284,AW291,AW301,AW303)</f>
        <v>1584.59776026515</v>
      </c>
      <c r="AX305" s="12">
        <f>SUM(AX284,AX291,AX301,AX303)</f>
        <v>1633.27141271328</v>
      </c>
      <c r="AY305" s="12">
        <f>SUM(AY284,AY291,AY301,AY303)</f>
        <v>1682.98279764514</v>
      </c>
      <c r="AZ305" s="12">
        <f>SUM(AZ284,AZ291,AZ301,AZ303)</f>
        <v>1757.26909843589</v>
      </c>
      <c r="BA305" s="12">
        <f>SUM(AW305:AZ305)</f>
        <v>6658.12106905945</v>
      </c>
      <c r="BB305" s="12">
        <f>SUM(BB284,BB291,BB301,BB303)</f>
        <v>1657.42639663766</v>
      </c>
      <c r="BC305" s="12">
        <f>SUM(BC284,BC291,BC301,BC303)</f>
        <v>1704.28316714024</v>
      </c>
      <c r="BD305" s="12">
        <f>SUM(BD284,BD291,BD301,BD303)</f>
        <v>1754.94407350843</v>
      </c>
      <c r="BE305" s="12">
        <f>SUM(BE284,BE291,BE301,BE303)</f>
        <v>1831.07831758717</v>
      </c>
      <c r="BF305" s="12">
        <f>SUM(BB305:BE305)</f>
        <v>6947.73195487349</v>
      </c>
      <c r="BG305" s="12" t="n"/>
      <c r="BH305" s="12" t="n"/>
      <c r="BI305" s="12" t="n"/>
      <c r="BJ305" s="12" t="n"/>
      <c r="BK305" s="12" t="n"/>
      <c r="BL305" s="12" t="n"/>
      <c r="BM305" s="12" t="n"/>
      <c r="BN305" s="12" t="n"/>
      <c r="BO305" s="12" t="n"/>
      <c r="BP305" s="12" t="n"/>
      <c r="BQ305" s="12" t="n"/>
      <c r="BR305" s="12" t="n"/>
      <c r="BS305" s="12" t="n"/>
      <c r="BT305" s="12" t="n"/>
      <c r="BU305" s="12" t="n"/>
      <c r="BV305" s="12" t="n"/>
      <c r="BW305" s="12" t="n"/>
      <c r="BX305" s="12" t="n"/>
      <c r="BY305" s="12" t="n"/>
      <c r="BZ305" s="12" t="n"/>
      <c r="CA305" s="12" t="n"/>
      <c r="CB305" s="12" t="n"/>
      <c r="CC305" s="12" t="n"/>
      <c r="CD305" s="12" t="n"/>
      <c r="CE305" s="12" t="n"/>
      <c r="CF305" s="12" t="n"/>
      <c r="CG305" s="12" t="n"/>
      <c r="CH305" s="12" t="n"/>
      <c r="CI305" s="12" t="n"/>
      <c r="CJ305" s="12" t="n"/>
      <c r="CK305" s="12" t="n"/>
      <c r="CL305" s="12" t="n"/>
      <c r="CM305" s="12" t="n"/>
      <c r="CN305" s="12" t="n"/>
      <c r="CO305" s="12" t="n"/>
      <c r="CP305" s="12" t="n"/>
      <c r="CQ305" s="12" t="n"/>
      <c r="CR305" s="12" t="n"/>
      <c r="CS305" s="12" t="n"/>
      <c r="CT305" s="12" t="n"/>
      <c r="CU305" s="12" t="n"/>
      <c r="CV305" s="12" t="n"/>
      <c r="CW305" s="12" t="n"/>
      <c r="CX305" s="12" t="n"/>
      <c r="CY305" s="12" t="n"/>
    </row>
    <row r="306">
      <c r="C306" s="4" t="inlineStr">
        <is>
          <t>Check</t>
        </is>
      </c>
      <c r="E306" s="72" t="n"/>
      <c r="F306" s="72" t="n"/>
      <c r="G306" s="72" t="n"/>
      <c r="I306" s="72" t="str">
        <f>""</f>
        <v/>
      </c>
      <c r="J306" s="72">
        <f>J135-I135-J305</f>
        <v>0</v>
      </c>
      <c r="K306" s="72">
        <f>K135-J135-K305</f>
        <v>0</v>
      </c>
      <c r="L306" s="72">
        <f>L135-K135-L305</f>
        <v>0</v>
      </c>
      <c r="M306" s="4" t="str">
        <f>""</f>
        <v/>
      </c>
      <c r="N306" s="72">
        <f>N135-M135-N305</f>
        <v>0</v>
      </c>
      <c r="O306" s="72">
        <f>O135-N135-O305</f>
        <v>0</v>
      </c>
      <c r="P306" s="72">
        <f>P135-O135-P305</f>
        <v>0</v>
      </c>
      <c r="Q306" s="72">
        <f>Q135-P135-Q305</f>
        <v>0</v>
      </c>
      <c r="R306" s="4">
        <f>R135-M135-R305</f>
        <v>0</v>
      </c>
      <c r="S306" s="72">
        <f>S135-R135-S305</f>
        <v>0</v>
      </c>
      <c r="T306" s="72">
        <f>T135-S135-T305</f>
        <v>0</v>
      </c>
      <c r="U306" s="72">
        <f>U135-T135-U305</f>
        <v>0</v>
      </c>
      <c r="V306" s="72">
        <f>V135-U135-V305</f>
        <v>0</v>
      </c>
      <c r="W306" s="4">
        <f>W135-R135-W305</f>
        <v>0</v>
      </c>
      <c r="X306" s="72">
        <f>X135-W135-X305</f>
        <v>0</v>
      </c>
      <c r="Y306" s="72">
        <f>Y135-X135-Y305</f>
        <v>0</v>
      </c>
      <c r="Z306" s="72">
        <f>Z135-Y135-Z305</f>
        <v>0</v>
      </c>
      <c r="AA306" s="72">
        <f>AA135-Z135-AA305</f>
        <v>0</v>
      </c>
      <c r="AB306" s="4">
        <f>AB135-W135-AB305</f>
        <v>0</v>
      </c>
      <c r="AC306" s="72">
        <f>AC135-AB135-AC305</f>
        <v>0</v>
      </c>
      <c r="AD306" s="72">
        <f>AD135-AC135-AD305</f>
        <v>0</v>
      </c>
      <c r="AE306" s="72">
        <f>AE135-AD135-AE305</f>
        <v>0</v>
      </c>
      <c r="AF306" s="72">
        <f>AF135-AE135-AF305</f>
        <v>0</v>
      </c>
      <c r="AG306" s="4">
        <f>AG135-AB135-AG305</f>
        <v>0</v>
      </c>
      <c r="AH306" s="72">
        <f>AH135-AG135-AH305</f>
        <v>0</v>
      </c>
      <c r="AI306" s="72">
        <f>AI135-AH135-AI305</f>
        <v>0</v>
      </c>
      <c r="AJ306" s="72">
        <f>AJ135-AI135-AJ305</f>
        <v>0</v>
      </c>
      <c r="AK306" s="72">
        <f>AK135-AJ135-AK305</f>
        <v>0</v>
      </c>
      <c r="AL306" s="4">
        <f>AL135-AG135-AL305</f>
        <v>0</v>
      </c>
      <c r="AM306" s="72">
        <f>AM135-AL135-AM305</f>
        <v>0</v>
      </c>
      <c r="AN306" s="72">
        <f>AN135-AM135-AN305</f>
        <v>0</v>
      </c>
      <c r="AO306" s="72">
        <f>AO135-AN135-AO305</f>
        <v>0</v>
      </c>
      <c r="AP306" s="72">
        <f>AP135-AO135-AP305</f>
        <v>0</v>
      </c>
      <c r="AQ306" s="4">
        <f>AQ135-AL135-AQ305</f>
        <v>0</v>
      </c>
      <c r="AR306" s="72">
        <f>AR135-AQ135-AR305</f>
        <v>0</v>
      </c>
      <c r="AS306" s="72">
        <f>AS135-AR135-AS305</f>
        <v>0</v>
      </c>
      <c r="AT306" s="72">
        <f>AT135-AS135-AT305</f>
        <v>0</v>
      </c>
      <c r="AU306" s="72">
        <f>AU135-AT135-AU305</f>
        <v>0</v>
      </c>
      <c r="AV306" s="4">
        <f>AV135-AQ135-AV305</f>
        <v>0</v>
      </c>
      <c r="AW306" s="72">
        <f>AW135-AV135-AW305</f>
        <v>0</v>
      </c>
      <c r="AX306" s="72">
        <f>AX135-AW135-AX305</f>
        <v>0</v>
      </c>
      <c r="AY306" s="72">
        <f>AY135-AX135-AY305</f>
        <v>0</v>
      </c>
      <c r="AZ306" s="72">
        <f>AZ135-AY135-AZ305</f>
        <v>0</v>
      </c>
      <c r="BA306" s="4">
        <f>BA135-AV135-BA305</f>
        <v>0</v>
      </c>
      <c r="BB306" s="72">
        <f>BB135-BA135-BB305</f>
        <v>0</v>
      </c>
      <c r="BC306" s="72">
        <f>BC135-BB135-BC305</f>
        <v>0</v>
      </c>
      <c r="BD306" s="72">
        <f>BD135-BC135-BD305</f>
        <v>0</v>
      </c>
      <c r="BE306" s="72">
        <f>BE135-BD135-BE305</f>
        <v>0</v>
      </c>
      <c r="BF306" s="4">
        <f>BF135-BA135-BF305</f>
        <v>0</v>
      </c>
      <c r="BG306" s="72" t="n"/>
      <c r="BH306" s="72" t="n"/>
      <c r="BI306" s="72" t="n"/>
      <c r="BJ306" s="72" t="n"/>
      <c r="BL306" s="72" t="n"/>
      <c r="BM306" s="72" t="n"/>
      <c r="BN306" s="72" t="n"/>
      <c r="BO306" s="72" t="n"/>
      <c r="BQ306" s="72" t="n"/>
      <c r="BR306" s="72" t="n"/>
      <c r="BS306" s="72" t="n"/>
      <c r="BT306" s="72" t="n"/>
      <c r="BV306" s="72" t="n"/>
      <c r="BW306" s="72" t="n"/>
      <c r="BX306" s="72" t="n"/>
      <c r="BY306" s="72" t="n"/>
      <c r="CA306" s="72" t="n"/>
      <c r="CB306" s="72" t="n"/>
      <c r="CC306" s="72" t="n"/>
      <c r="CD306" s="72" t="n"/>
      <c r="CF306" s="72" t="n"/>
      <c r="CG306" s="72" t="n"/>
      <c r="CH306" s="72" t="n"/>
      <c r="CI306" s="72" t="n"/>
      <c r="CK306" s="72" t="n"/>
      <c r="CL306" s="72" t="n"/>
      <c r="CM306" s="72" t="n"/>
      <c r="CN306" s="72" t="n"/>
      <c r="CP306" s="72" t="n"/>
      <c r="CQ306" s="72" t="n"/>
      <c r="CR306" s="72" t="n"/>
      <c r="CS306" s="72" t="n"/>
      <c r="CU306" s="72" t="n"/>
      <c r="CV306" s="72" t="n"/>
      <c r="CW306" s="72" t="n"/>
      <c r="CX306" s="72" t="n"/>
    </row>
    <row r="307"/>
    <row r="308">
      <c r="C308" s="73" t="inlineStr">
        <is>
          <t>Ratio Analysis</t>
        </is>
      </c>
      <c r="D308" s="73" t="n"/>
      <c r="E308" s="73" t="n"/>
      <c r="F308" s="73" t="n"/>
      <c r="G308" s="73" t="n"/>
      <c r="H308" s="73" t="n"/>
      <c r="I308" s="73" t="n"/>
      <c r="J308" s="73" t="n"/>
      <c r="K308" s="73" t="n"/>
      <c r="L308" s="73" t="n"/>
      <c r="M308" s="73" t="n"/>
      <c r="N308" s="73" t="n"/>
      <c r="O308" s="73" t="n"/>
      <c r="P308" s="73" t="n"/>
      <c r="Q308" s="73" t="n"/>
      <c r="R308" s="73" t="n"/>
      <c r="S308" s="73" t="n"/>
      <c r="T308" s="73" t="n"/>
      <c r="U308" s="73" t="n"/>
      <c r="V308" s="73" t="n"/>
      <c r="W308" s="73" t="n"/>
      <c r="X308" s="73" t="n"/>
      <c r="Y308" s="73" t="n"/>
      <c r="Z308" s="73" t="n"/>
      <c r="AA308" s="73" t="n"/>
      <c r="AB308" s="73" t="n"/>
      <c r="AC308" s="73" t="n"/>
      <c r="AD308" s="73" t="n"/>
      <c r="AE308" s="73" t="n"/>
      <c r="AF308" s="73" t="n"/>
      <c r="AG308" s="73" t="n"/>
      <c r="AH308" s="73" t="n"/>
      <c r="AI308" s="73" t="n"/>
      <c r="AJ308" s="73" t="n"/>
      <c r="AK308" s="73" t="n"/>
      <c r="AL308" s="73" t="n"/>
      <c r="AM308" s="73" t="n"/>
      <c r="AN308" s="73" t="n"/>
      <c r="AO308" s="73" t="n"/>
      <c r="AP308" s="73" t="n"/>
      <c r="AQ308" s="73" t="n"/>
      <c r="AR308" s="73" t="n"/>
      <c r="AS308" s="73" t="n"/>
      <c r="AT308" s="73" t="n"/>
      <c r="AU308" s="73" t="n"/>
      <c r="AV308" s="73" t="n"/>
      <c r="AW308" s="73" t="n"/>
      <c r="AX308" s="73" t="n"/>
      <c r="AY308" s="73" t="n"/>
      <c r="AZ308" s="73" t="n"/>
      <c r="BA308" s="73" t="n"/>
      <c r="BB308" s="73" t="n"/>
      <c r="BC308" s="73" t="n"/>
      <c r="BD308" s="73" t="n"/>
      <c r="BE308" s="73" t="n"/>
      <c r="BF308" s="73" t="n"/>
      <c r="BG308" s="73" t="n"/>
      <c r="BH308" s="73" t="n"/>
      <c r="BI308" s="73" t="n"/>
      <c r="BJ308" s="73" t="n"/>
      <c r="BK308" s="73" t="n"/>
      <c r="BL308" s="73" t="n"/>
      <c r="BM308" s="73" t="n"/>
      <c r="BN308" s="73" t="n"/>
      <c r="BO308" s="73" t="n"/>
      <c r="BP308" s="73" t="n"/>
      <c r="BQ308" s="73" t="n"/>
      <c r="BR308" s="73" t="n"/>
      <c r="BS308" s="73" t="n"/>
      <c r="BT308" s="73" t="n"/>
      <c r="BU308" s="73" t="n"/>
      <c r="BV308" s="73" t="n"/>
      <c r="BW308" s="73" t="n"/>
      <c r="BX308" s="73" t="n"/>
      <c r="BY308" s="73" t="n"/>
      <c r="BZ308" s="73" t="n"/>
      <c r="CA308" s="73" t="n"/>
      <c r="CB308" s="73" t="n"/>
      <c r="CC308" s="73" t="n"/>
      <c r="CD308" s="73" t="n"/>
      <c r="CE308" s="73" t="n"/>
      <c r="CF308" s="73" t="n"/>
      <c r="CG308" s="73" t="n"/>
      <c r="CH308" s="73" t="n"/>
      <c r="CI308" s="73" t="n"/>
      <c r="CJ308" s="73" t="n"/>
      <c r="CK308" s="73" t="n"/>
      <c r="CL308" s="73" t="n"/>
      <c r="CM308" s="73" t="n"/>
      <c r="CN308" s="73" t="n"/>
      <c r="CO308" s="73" t="n"/>
      <c r="CP308" s="73" t="n"/>
      <c r="CQ308" s="73" t="n"/>
      <c r="CR308" s="73" t="n"/>
      <c r="CS308" s="73" t="n"/>
      <c r="CT308" s="73" t="n"/>
      <c r="CU308" s="73" t="n"/>
      <c r="CV308" s="73" t="n"/>
      <c r="CW308" s="73" t="n"/>
      <c r="CX308" s="73" t="n"/>
      <c r="CY308" s="73" t="n"/>
    </row>
    <row r="309"/>
    <row r="310" customFormat="1" s="74">
      <c r="C310" s="74" t="inlineStr">
        <is>
          <t>YEAR</t>
        </is>
      </c>
      <c r="D310">
        <f>IFERROR(D266,"")</f>
        <v>0</v>
      </c>
      <c r="E310" s="75">
        <f>IFERROR(E266,"")</f>
        <v>0</v>
      </c>
      <c r="F310" s="75">
        <f>IFERROR(F266,"")</f>
        <v>0</v>
      </c>
      <c r="G310" s="75">
        <f>IFERROR(G266,"")</f>
        <v>0</v>
      </c>
      <c r="H310" s="75">
        <f>IFERROR(H266,"")</f>
        <v>0</v>
      </c>
      <c r="I310" s="75" t="str">
        <f>IFERROR(I266,"")</f>
        <v>1Q21</v>
      </c>
      <c r="J310" s="75" t="str">
        <f>IFERROR(J266,"")</f>
        <v>2Q21</v>
      </c>
      <c r="K310" s="75" t="str">
        <f>IFERROR(K266,"")</f>
        <v>3Q21</v>
      </c>
      <c r="L310" s="75" t="str">
        <f>IFERROR(L266,"")</f>
        <v>4Q21</v>
      </c>
      <c r="M310" s="75">
        <f>IFERROR(M266,"")</f>
        <v>2021</v>
      </c>
      <c r="N310" s="75" t="str">
        <f>IFERROR(N266,"")</f>
        <v>1Q22</v>
      </c>
      <c r="O310" s="75" t="str">
        <f>IFERROR(O266,"")</f>
        <v>2Q22</v>
      </c>
      <c r="P310" s="75" t="str">
        <f>IFERROR(P266,"")</f>
        <v>3Q22</v>
      </c>
      <c r="Q310" s="75" t="str">
        <f>IFERROR(Q266,"")</f>
        <v>4Q22</v>
      </c>
      <c r="R310" s="75">
        <f>IFERROR(R266,"")</f>
        <v>2022</v>
      </c>
      <c r="S310" s="75" t="str">
        <f>IFERROR(S266,"")</f>
        <v>1Q23</v>
      </c>
      <c r="T310" s="75" t="str">
        <f>IFERROR(T266,"")</f>
        <v>2Q23</v>
      </c>
      <c r="U310" s="75" t="str">
        <f>IFERROR(U266,"")</f>
        <v>3Q23</v>
      </c>
      <c r="V310" s="75" t="str">
        <f>IFERROR(V266,"")</f>
        <v>4Q23</v>
      </c>
      <c r="W310" s="75">
        <f>IFERROR(W266,"")</f>
        <v>2023</v>
      </c>
      <c r="X310" s="75" t="str">
        <f>IFERROR(X266,"")</f>
        <v>1Q24</v>
      </c>
      <c r="Y310" s="75" t="str">
        <f>IFERROR(Y266,"")</f>
        <v>2Q24</v>
      </c>
      <c r="Z310" s="75" t="str">
        <f>IFERROR(Z266,"")</f>
        <v>3Q24</v>
      </c>
      <c r="AA310" s="75" t="str">
        <f>IFERROR(AA266,"")</f>
        <v>4Q24</v>
      </c>
      <c r="AB310" s="75">
        <f>IFERROR(AB266,"")</f>
        <v>2024</v>
      </c>
      <c r="AC310" s="75" t="str">
        <f>IFERROR(AC266,"")</f>
        <v>1Q25</v>
      </c>
      <c r="AD310" s="75" t="str">
        <f>IFERROR(AD266,"")</f>
        <v>2Q25</v>
      </c>
      <c r="AE310" s="75" t="str">
        <f>IFERROR(AE266,"")</f>
        <v>3Q25</v>
      </c>
      <c r="AF310" s="75" t="str">
        <f>IFERROR(AF266,"")</f>
        <v>4Q25</v>
      </c>
      <c r="AG310" s="75">
        <f>IFERROR(AG266,"")</f>
        <v>2025</v>
      </c>
      <c r="AH310" s="75" t="str">
        <f>IFERROR(AH266,"")</f>
        <v>1Q26</v>
      </c>
      <c r="AI310" s="75" t="str">
        <f>IFERROR(AI266,"")</f>
        <v>2Q26</v>
      </c>
      <c r="AJ310" s="75" t="str">
        <f>IFERROR(AJ266,"")</f>
        <v>3Q26</v>
      </c>
      <c r="AK310" s="75" t="str">
        <f>IFERROR(AK266,"")</f>
        <v>4Q26</v>
      </c>
      <c r="AL310" s="75">
        <f>IFERROR(AL266,"")</f>
        <v>2026</v>
      </c>
      <c r="AM310" s="75" t="str">
        <f>IFERROR(AM266,"")</f>
        <v>1Q27</v>
      </c>
      <c r="AN310" s="75" t="str">
        <f>IFERROR(AN266,"")</f>
        <v>2Q27</v>
      </c>
      <c r="AO310" s="75" t="str">
        <f>IFERROR(AO266,"")</f>
        <v>3Q27</v>
      </c>
      <c r="AP310" s="75" t="str">
        <f>IFERROR(AP266,"")</f>
        <v>4Q27</v>
      </c>
      <c r="AQ310" s="75">
        <f>IFERROR(AQ266,"")</f>
        <v>2027</v>
      </c>
      <c r="AR310" s="75" t="str">
        <f>IFERROR(AR266,"")</f>
        <v>1Q28</v>
      </c>
      <c r="AS310" s="75" t="str">
        <f>IFERROR(AS266,"")</f>
        <v>2Q28</v>
      </c>
      <c r="AT310" s="75" t="str">
        <f>IFERROR(AT266,"")</f>
        <v>3Q28</v>
      </c>
      <c r="AU310" s="75" t="str">
        <f>IFERROR(AU266,"")</f>
        <v>4Q28</v>
      </c>
      <c r="AV310" s="75">
        <f>IFERROR(AV266,"")</f>
        <v>2028</v>
      </c>
      <c r="AW310" s="75" t="str">
        <f>IFERROR(AW266,"")</f>
        <v>1Q29</v>
      </c>
      <c r="AX310" s="75" t="str">
        <f>IFERROR(AX266,"")</f>
        <v>2Q29</v>
      </c>
      <c r="AY310" s="75" t="str">
        <f>IFERROR(AY266,"")</f>
        <v>3Q29</v>
      </c>
      <c r="AZ310" s="75" t="str">
        <f>IFERROR(AZ266,"")</f>
        <v>4Q29</v>
      </c>
      <c r="BA310" s="75">
        <f>IFERROR(BA266,"")</f>
        <v>2029</v>
      </c>
      <c r="BB310" s="75" t="str">
        <f>IFERROR(BB266,"")</f>
        <v>1Q30</v>
      </c>
      <c r="BC310" s="75" t="str">
        <f>IFERROR(BC266,"")</f>
        <v>2Q30</v>
      </c>
      <c r="BD310" s="75" t="str">
        <f>IFERROR(BD266,"")</f>
        <v>3Q30</v>
      </c>
      <c r="BE310" s="75" t="str">
        <f>IFERROR(BE266,"")</f>
        <v>4Q30</v>
      </c>
      <c r="BF310" s="75">
        <f>IFERROR(BF266,"")</f>
        <v>2030</v>
      </c>
      <c r="BG310" s="75" t="n"/>
      <c r="BH310" s="75" t="n"/>
      <c r="BI310" s="75" t="n"/>
      <c r="BJ310" s="75" t="n"/>
      <c r="BK310" s="75" t="n"/>
      <c r="BL310" s="75" t="n"/>
      <c r="BM310" s="75" t="n"/>
      <c r="BN310" s="75" t="n"/>
      <c r="BO310" s="75" t="n"/>
      <c r="BP310" s="75" t="n"/>
      <c r="BQ310" s="75" t="n"/>
      <c r="BR310" s="75" t="n"/>
      <c r="BS310" s="75" t="n"/>
      <c r="BT310" s="75" t="n"/>
      <c r="BU310" s="75" t="n"/>
      <c r="BV310" s="75" t="n"/>
      <c r="BW310" s="75" t="n"/>
      <c r="BX310" s="75" t="n"/>
      <c r="BY310" s="75" t="n"/>
      <c r="BZ310" s="75" t="n"/>
      <c r="CA310" s="75" t="n"/>
      <c r="CB310" s="75" t="n"/>
      <c r="CC310" s="75" t="n"/>
      <c r="CD310" s="75" t="n"/>
      <c r="CE310" s="75" t="n"/>
      <c r="CF310" s="75" t="n"/>
      <c r="CG310" s="75" t="n"/>
      <c r="CH310" s="75" t="n"/>
      <c r="CI310" s="75" t="n"/>
      <c r="CJ310" s="75" t="n"/>
      <c r="CK310" s="75" t="n"/>
      <c r="CL310" s="75" t="n"/>
      <c r="CM310" s="75" t="n"/>
      <c r="CN310" s="75" t="n"/>
      <c r="CO310" s="75" t="n"/>
      <c r="CP310" s="75" t="n"/>
      <c r="CQ310" s="75" t="n"/>
      <c r="CR310" s="75" t="n"/>
      <c r="CS310" s="75" t="n"/>
      <c r="CT310" s="75" t="n"/>
      <c r="CU310" s="75" t="n"/>
      <c r="CV310" s="75" t="n"/>
      <c r="CW310" s="75" t="n"/>
      <c r="CX310" s="75" t="n"/>
      <c r="CY310" s="75" t="n"/>
    </row>
    <row r="311" customFormat="1" s="77">
      <c r="A311" s="76" t="n"/>
      <c r="B311" s="76" t="n"/>
      <c r="C311" s="74" t="inlineStr">
        <is>
          <t>GROWTH &amp; MARGINS</t>
        </is>
      </c>
    </row>
    <row r="312" customFormat="1" s="77">
      <c r="A312" s="76" t="n"/>
      <c r="B312" s="76" t="n"/>
      <c r="C312" s="77" t="inlineStr">
        <is>
          <t>NET REVENUE GROWTH (YoY)</t>
        </is>
      </c>
      <c r="E312" s="78" t="str">
        <f>IFERROR(E15/D15-1,"")</f>
        <v/>
      </c>
      <c r="F312" s="78" t="str">
        <f>IFERROR(F15/E15-1,"")</f>
        <v/>
      </c>
      <c r="G312" s="78" t="str">
        <f>IFERROR(G15/F15-1,"")</f>
        <v/>
      </c>
      <c r="H312" s="257" t="str">
        <f>""</f>
        <v/>
      </c>
      <c r="I312" s="257" t="str">
        <f>""</f>
        <v/>
      </c>
      <c r="J312" s="257" t="str">
        <f>""</f>
        <v/>
      </c>
      <c r="K312" s="257" t="str">
        <f>""</f>
        <v/>
      </c>
      <c r="L312" s="257" t="str">
        <f>""</f>
        <v/>
      </c>
      <c r="M312" s="257" t="str">
        <f>IFERROR(IF(AND(ISNUMBER(M15),ISNUMBER(H15),H15&lt;&gt;0),M15/H15-1,""),"")</f>
        <v/>
      </c>
      <c r="N312" s="257">
        <f>IFERROR(IF(AND(ISNUMBER(N15),ISNUMBER(I15),I15&lt;&gt;0),N15/I15-1,""),"")</f>
        <v>-0.0795915856808955</v>
      </c>
      <c r="O312" s="257">
        <f>IFERROR(IF(AND(ISNUMBER(O15),ISNUMBER(J15),J15&lt;&gt;0),O15/J15-1,""),"")</f>
        <v>-0.0929590698220683</v>
      </c>
      <c r="P312" s="257">
        <f>IFERROR(IF(AND(ISNUMBER(P15),ISNUMBER(K15),K15&lt;&gt;0),P15/K15-1,""),"")</f>
        <v>0.0346269029198902</v>
      </c>
      <c r="Q312" s="257">
        <f>IFERROR(IF(AND(ISNUMBER(Q15),ISNUMBER(L15),L15&lt;&gt;0),Q15/L15-1,""),"")</f>
        <v>0.0711828078289807</v>
      </c>
      <c r="R312" s="257">
        <f>IFERROR(IF(AND(ISNUMBER(R15),ISNUMBER(M15),M15&lt;&gt;0),R15/M15-1,""),"")</f>
        <v>-0.0158105124992542</v>
      </c>
      <c r="S312" s="257">
        <f>IFERROR(IF(AND(ISNUMBER(S15),ISNUMBER(N15),N15&lt;&gt;0),S15/N15-1,""),"")</f>
        <v>0.0108259823576584</v>
      </c>
      <c r="T312" s="257">
        <f>IFERROR(IF(AND(ISNUMBER(T15),ISNUMBER(O15),O15&lt;&gt;0),T15/O15-1,""),"")</f>
        <v>0.0807328758254564</v>
      </c>
      <c r="U312" s="257">
        <f>IFERROR(IF(AND(ISNUMBER(U15),ISNUMBER(P15),P15&lt;&gt;0),U15/P15-1,""),"")</f>
        <v>0.0177893022975337</v>
      </c>
      <c r="V312" s="257">
        <f>IFERROR(IF(AND(ISNUMBER(V15),ISNUMBER(Q15),Q15&lt;&gt;0),V15/Q15-1,""),"")</f>
        <v>-0.00616081301669214</v>
      </c>
      <c r="W312" s="257">
        <f>IFERROR(IF(AND(ISNUMBER(W15),ISNUMBER(R15),R15&lt;&gt;0),W15/R15-1,""),"")</f>
        <v>0.0240512851600387</v>
      </c>
      <c r="X312" s="257">
        <f>IFERROR(IF(AND(ISNUMBER(X15),ISNUMBER(S15),S15&lt;&gt;0),X15/S15-1,""),"")</f>
        <v>0.136784344836705</v>
      </c>
      <c r="Y312" s="257">
        <f>IFERROR(IF(AND(ISNUMBER(Y15),ISNUMBER(T15),T15&lt;&gt;0),Y15/T15-1,""),"")</f>
        <v>0.0856047445036843</v>
      </c>
      <c r="Z312" s="257">
        <f>IFERROR(IF(AND(ISNUMBER(Z15),ISNUMBER(U15),U15&lt;&gt;0),Z15/U15-1,""),"")</f>
        <v>0.0133902121104397</v>
      </c>
      <c r="AA312" s="257">
        <f>IFERROR(IF(AND(ISNUMBER(AA15),ISNUMBER(V15),V15&lt;&gt;0),AA15/V15-1,""),"")</f>
        <v>-0.0133517007523577</v>
      </c>
      <c r="AB312" s="257">
        <f>IFERROR(IF(AND(ISNUMBER(AB15),ISNUMBER(W15),W15&lt;&gt;0),AB15/W15-1,""),"")</f>
        <v>0.0513829897441209</v>
      </c>
      <c r="AC312" s="257">
        <f>IFERROR(IF(AND(ISNUMBER(AC15),ISNUMBER(X15),X15&lt;&gt;0),AC15/X15-1,""),"")</f>
        <v>0.0446641465542308</v>
      </c>
      <c r="AD312" s="257">
        <f>IFERROR(IF(AND(ISNUMBER(AD15),ISNUMBER(Y15),Y15&lt;&gt;0),AD15/Y15-1,""),"")</f>
        <v>0.00182099106058931</v>
      </c>
      <c r="AE312" s="257">
        <f>IFERROR(IF(AND(ISNUMBER(AE15),ISNUMBER(Z15),Z15&lt;&gt;0),AE15/Z15-1,""),"")</f>
        <v>0.0879911131898972</v>
      </c>
      <c r="AF312" s="257">
        <f>IFERROR(IF(AND(ISNUMBER(AF15),ISNUMBER(AA15),AA15&lt;&gt;0),AF15/AA15-1,""),"")</f>
        <v>0.0912361722693589</v>
      </c>
      <c r="AG312" s="257">
        <f>IFERROR(IF(AND(ISNUMBER(AG15),ISNUMBER(AB15),AB15&lt;&gt;0),AG15/AB15-1,""),"")</f>
        <v>0.0563743085173769</v>
      </c>
      <c r="AH312" s="257">
        <f>IFERROR(IF(AND(ISNUMBER(AH15),ISNUMBER(AC15),AC15&lt;&gt;0),AH15/AC15-1,""),"")</f>
        <v>0.00322885932193961</v>
      </c>
      <c r="AI312" s="257">
        <f>IFERROR(IF(AND(ISNUMBER(AI15),ISNUMBER(AD15),AD15&lt;&gt;0),AI15/AD15-1,""),"")</f>
        <v>0.105095015147342</v>
      </c>
      <c r="AJ312" s="257">
        <f>IFERROR(IF(AND(ISNUMBER(AJ15),ISNUMBER(AE15),AE15&lt;&gt;0),AJ15/AE15-1,""),"")</f>
        <v>0.0556727162572264</v>
      </c>
      <c r="AK312" s="257">
        <f>IFERROR(IF(AND(ISNUMBER(AK15),ISNUMBER(AF15),AF15&lt;&gt;0),AK15/AF15-1,""),"")</f>
        <v>0.0556727162572264</v>
      </c>
      <c r="AL312" s="257">
        <f>IFERROR(IF(AND(ISNUMBER(AL15),ISNUMBER(AG15),AG15&lt;&gt;0),AL15/AG15-1,""),"")</f>
        <v>0.0550759359862196</v>
      </c>
      <c r="AM312" s="257">
        <f>IFERROR(IF(AND(ISNUMBER(AM15),ISNUMBER(AH15),AH15&lt;&gt;0),AM15/AH15-1,""),"")</f>
        <v>0.0556727162572264</v>
      </c>
      <c r="AN312" s="257">
        <f>IFERROR(IF(AND(ISNUMBER(AN15),ISNUMBER(AI15),AI15&lt;&gt;0),AN15/AI15-1,""),"")</f>
        <v>0.0556727162572264</v>
      </c>
      <c r="AO312" s="257">
        <f>IFERROR(IF(AND(ISNUMBER(AO15),ISNUMBER(AJ15),AJ15&lt;&gt;0),AO15/AJ15-1,""),"")</f>
        <v>0.0556727162572264</v>
      </c>
      <c r="AP312" s="257">
        <f>IFERROR(IF(AND(ISNUMBER(AP15),ISNUMBER(AK15),AK15&lt;&gt;0),AP15/AK15-1,""),"")</f>
        <v>0.0556727162572264</v>
      </c>
      <c r="AQ312" s="257">
        <f>IFERROR(IF(AND(ISNUMBER(AQ15),ISNUMBER(AL15),AL15&lt;&gt;0),AQ15/AL15-1,""),"")</f>
        <v>0.0556727162572266</v>
      </c>
      <c r="AR312" s="257">
        <f>IFERROR(IF(AND(ISNUMBER(AR15),ISNUMBER(AM15),AM15&lt;&gt;0),AR15/AM15-1,""),"")</f>
        <v>0.0506727162572265</v>
      </c>
      <c r="AS312" s="257">
        <f>IFERROR(IF(AND(ISNUMBER(AS15),ISNUMBER(AN15),AN15&lt;&gt;0),AS15/AN15-1,""),"")</f>
        <v>0.0506727162572265</v>
      </c>
      <c r="AT312" s="257">
        <f>IFERROR(IF(AND(ISNUMBER(AT15),ISNUMBER(AO15),AO15&lt;&gt;0),AT15/AO15-1,""),"")</f>
        <v>0.0506727162572265</v>
      </c>
      <c r="AU312" s="257">
        <f>IFERROR(IF(AND(ISNUMBER(AU15),ISNUMBER(AP15),AP15&lt;&gt;0),AU15/AP15-1,""),"")</f>
        <v>0.0506727162572265</v>
      </c>
      <c r="AV312" s="257">
        <f>IFERROR(IF(AND(ISNUMBER(AV15),ISNUMBER(AQ15),AQ15&lt;&gt;0),AV15/AQ15-1,""),"")</f>
        <v>0.0506727162572265</v>
      </c>
      <c r="AW312" s="257">
        <f>IFERROR(IF(AND(ISNUMBER(AW15),ISNUMBER(AR15),AR15&lt;&gt;0),AW15/AR15-1,""),"")</f>
        <v>0.0456727162572264</v>
      </c>
      <c r="AX312" s="257">
        <f>IFERROR(IF(AND(ISNUMBER(AX15),ISNUMBER(AS15),AS15&lt;&gt;0),AX15/AS15-1,""),"")</f>
        <v>0.0456727162572264</v>
      </c>
      <c r="AY312" s="257">
        <f>IFERROR(IF(AND(ISNUMBER(AY15),ISNUMBER(AT15),AT15&lt;&gt;0),AY15/AT15-1,""),"")</f>
        <v>0.0456727162572264</v>
      </c>
      <c r="AZ312" s="257">
        <f>IFERROR(IF(AND(ISNUMBER(AZ15),ISNUMBER(AU15),AU15&lt;&gt;0),AZ15/AU15-1,""),"")</f>
        <v>0.0456727162572264</v>
      </c>
      <c r="BA312" s="257">
        <f>IFERROR(IF(AND(ISNUMBER(BA15),ISNUMBER(AV15),AV15&lt;&gt;0),BA15/AV15-1,""),"")</f>
        <v>0.0456727162572264</v>
      </c>
      <c r="BB312" s="257">
        <f>IFERROR(IF(AND(ISNUMBER(BB15),ISNUMBER(AW15),AW15&lt;&gt;0),BB15/AW15-1,""),"")</f>
        <v>0.0406727162572265</v>
      </c>
      <c r="BC312" s="257">
        <f>IFERROR(IF(AND(ISNUMBER(BC15),ISNUMBER(AX15),AX15&lt;&gt;0),BC15/AX15-1,""),"")</f>
        <v>0.0406727162572265</v>
      </c>
      <c r="BD312" s="257">
        <f>IFERROR(IF(AND(ISNUMBER(BD15),ISNUMBER(AY15),AY15&lt;&gt;0),BD15/AY15-1,""),"")</f>
        <v>0.0406727162572265</v>
      </c>
      <c r="BE312" s="257">
        <f>IFERROR(IF(AND(ISNUMBER(BE15),ISNUMBER(AZ15),AZ15&lt;&gt;0),BE15/AZ15-1,""),"")</f>
        <v>0.0406727162572265</v>
      </c>
      <c r="BF312" s="257">
        <f>IFERROR(IF(AND(ISNUMBER(BF15),ISNUMBER(BA15),BA15&lt;&gt;0),BF15/BA15-1,""),"")</f>
        <v>0.0406727162572262</v>
      </c>
      <c r="BG312" s="79" t="n"/>
      <c r="BH312" s="79" t="n"/>
      <c r="BI312" s="79" t="n"/>
      <c r="BJ312" s="79" t="n"/>
      <c r="BK312" s="78" t="n"/>
      <c r="BL312" s="79" t="n"/>
      <c r="BM312" s="79" t="n"/>
      <c r="BN312" s="79" t="n"/>
      <c r="BO312" s="79" t="n"/>
      <c r="BP312" s="78" t="n"/>
      <c r="BQ312" s="79" t="n"/>
      <c r="BR312" s="79" t="n"/>
      <c r="BS312" s="79" t="n"/>
      <c r="BT312" s="79" t="n"/>
      <c r="BU312" s="78" t="n"/>
      <c r="BV312" s="79" t="n"/>
      <c r="BW312" s="79" t="n"/>
      <c r="BX312" s="79" t="n"/>
      <c r="BY312" s="79" t="n"/>
      <c r="BZ312" s="78" t="n"/>
      <c r="CA312" s="79" t="n"/>
      <c r="CB312" s="79" t="n"/>
      <c r="CC312" s="79" t="n"/>
      <c r="CD312" s="79" t="n"/>
      <c r="CE312" s="78" t="n"/>
      <c r="CF312" s="79" t="n"/>
      <c r="CG312" s="79" t="n"/>
      <c r="CH312" s="79" t="n"/>
      <c r="CI312" s="79" t="n"/>
      <c r="CJ312" s="78" t="n"/>
      <c r="CK312" s="79" t="n"/>
      <c r="CL312" s="79" t="n"/>
      <c r="CM312" s="79" t="n"/>
      <c r="CN312" s="79" t="n"/>
      <c r="CO312" s="78" t="n"/>
      <c r="CP312" s="79" t="n"/>
      <c r="CQ312" s="79" t="n"/>
      <c r="CR312" s="79" t="n"/>
      <c r="CS312" s="79" t="n"/>
      <c r="CT312" s="78" t="n"/>
      <c r="CU312" s="79" t="n"/>
      <c r="CV312" s="79" t="n"/>
      <c r="CW312" s="79" t="n"/>
      <c r="CX312" s="79" t="n"/>
      <c r="CY312" s="78" t="n"/>
    </row>
    <row r="313" customFormat="1" s="77">
      <c r="A313" s="76" t="n"/>
      <c r="B313" s="76" t="n"/>
      <c r="C313" s="77" t="inlineStr">
        <is>
          <t>GROSS MARGIN</t>
        </is>
      </c>
      <c r="D313" s="79" t="str">
        <f>IFERROR(SUM(D15,D45)/D15,"")</f>
        <v/>
      </c>
      <c r="E313" s="79" t="str">
        <f>IFERROR(SUM(E15,E45)/E15,"")</f>
        <v/>
      </c>
      <c r="F313" s="79" t="str">
        <f>IFERROR(SUM(F15,F45)/F15,"")</f>
        <v/>
      </c>
      <c r="G313" s="79" t="str">
        <f>IFERROR(SUM(G15,G45)/G15,"")</f>
        <v/>
      </c>
      <c r="H313" s="258" t="str">
        <f>IFERROR(IF(N(H15)&lt;&gt;0,(H15+H45)/H15,""),"")</f>
        <v/>
      </c>
      <c r="I313" s="258">
        <f>IFERROR(IF(N(I15)&lt;&gt;0,(I15+I45)/I15,""),"")</f>
        <v>0.134456882765408</v>
      </c>
      <c r="J313" s="258">
        <f>IFERROR(IF(N(J15)&lt;&gt;0,(J15+J45)/J15,""),"")</f>
        <v>0.12631393505197</v>
      </c>
      <c r="K313" s="258">
        <f>IFERROR(IF(N(K15)&lt;&gt;0,(K15+K45)/K15,""),"")</f>
        <v>0.143623658597454</v>
      </c>
      <c r="L313" s="258">
        <f>IFERROR(IF(N(L15)&lt;&gt;0,(L15+L45)/L15,""),"")</f>
        <v>0.136612330080659</v>
      </c>
      <c r="M313" s="258">
        <f>IFERROR(IF(N(M15)&lt;&gt;0,(M15+M45)/M15,""),"")</f>
        <v>0.135150050712965</v>
      </c>
      <c r="N313" s="258">
        <f>IFERROR(IF(N(N15)&lt;&gt;0,(N15+N45)/N15,""),"")</f>
        <v>0.127572841486234</v>
      </c>
      <c r="O313" s="258">
        <f>IFERROR(IF(N(O15)&lt;&gt;0,(O15+O45)/O15,""),"")</f>
        <v>0.126634727437524</v>
      </c>
      <c r="P313" s="258">
        <f>IFERROR(IF(N(P15)&lt;&gt;0,(P15+P45)/P15,""),"")</f>
        <v>0.127841765663631</v>
      </c>
      <c r="Q313" s="258">
        <f>IFERROR(IF(N(Q15)&lt;&gt;0,(Q15+Q45)/Q15,""),"")</f>
        <v>0.121215312516455</v>
      </c>
      <c r="R313" s="258">
        <f>IFERROR(IF(N(R15)&lt;&gt;0,(R15+R45)/R15,""),"")</f>
        <v>0.125591052376334</v>
      </c>
      <c r="S313" s="258">
        <f>IFERROR(IF(N(S15)&lt;&gt;0,(S15+S45)/S15,""),"")</f>
        <v>0.135263784212614</v>
      </c>
      <c r="T313" s="258">
        <f>IFERROR(IF(N(T15)&lt;&gt;0,(T15+T45)/T15,""),"")</f>
        <v>0.125202180554724</v>
      </c>
      <c r="U313" s="258">
        <f>IFERROR(IF(N(U15)&lt;&gt;0,(U15+U45)/U15,""),"")</f>
        <v>0.12134139116009</v>
      </c>
      <c r="V313" s="258">
        <f>IFERROR(IF(N(V15)&lt;&gt;0,(V15+V45)/V15,""),"")</f>
        <v>0.121595846137544</v>
      </c>
      <c r="W313" s="258">
        <f>IFERROR(IF(N(W15)&lt;&gt;0,(W15+W45)/W15,""),"")</f>
        <v>0.125482825472466</v>
      </c>
      <c r="X313" s="258">
        <f>IFERROR(IF(N(X15)&lt;&gt;0,(X15+X45)/X15,""),"")</f>
        <v>0.115905786565862</v>
      </c>
      <c r="Y313" s="258">
        <f>IFERROR(IF(N(Y15)&lt;&gt;0,(Y15+Y45)/Y15,""),"")</f>
        <v>0.117536695728948</v>
      </c>
      <c r="Z313" s="258">
        <f>IFERROR(IF(N(Z15)&lt;&gt;0,(Z15+Z45)/Z15,""),"")</f>
        <v>0.123772217025257</v>
      </c>
      <c r="AA313" s="258">
        <f>IFERROR(IF(N(AA15)&lt;&gt;0,(AA15+AA45)/AA15,""),"")</f>
        <v>0.0370529481258726</v>
      </c>
      <c r="AB313" s="258">
        <f>IFERROR(IF(N(AB15)&lt;&gt;0,(AB15+AB45)/AB15,""),"")</f>
        <v>0.0975465563109666</v>
      </c>
      <c r="AC313" s="258">
        <f>IFERROR(IF(N(AC15)&lt;&gt;0,(AC15+AC45)/AC15,""),"")</f>
        <v>0.12932138284251</v>
      </c>
      <c r="AD313" s="258">
        <f>IFERROR(IF(N(AD15)&lt;&gt;0,(AD15+AD45)/AD15,""),"")</f>
        <v>0.0404296337097218</v>
      </c>
      <c r="AE313" s="258">
        <f>IFERROR(IF(N(AE15)&lt;&gt;0,(AE15+AE45)/AE15,""),"")</f>
        <v>0.120371863077006</v>
      </c>
      <c r="AF313" s="258">
        <f>IFERROR(IF(N(AF15)&lt;&gt;0,(AF15+AF45)/AF15,""),"")</f>
        <v>0.114266030215048</v>
      </c>
      <c r="AG313" s="258">
        <f>IFERROR(IF(N(AG15)&lt;&gt;0,(AG15+AG45)/AG15,""),"")</f>
        <v>0.101521692783285</v>
      </c>
      <c r="AH313" s="258">
        <f>IFERROR(IF(N(AH15)&lt;&gt;0,(AH15+AH45)/AH15,""),"")</f>
        <v>0.115309916208867</v>
      </c>
      <c r="AI313" s="258">
        <f>IFERROR(IF(N(AI15)&lt;&gt;0,(AI15+AI45)/AI15,""),"")</f>
        <v>0.12191596471116</v>
      </c>
      <c r="AJ313" s="258">
        <f>IFERROR(IF(N(AJ15)&lt;&gt;0,(AJ15+AJ45)/AJ15,""),"")</f>
        <v>0.106935798460719</v>
      </c>
      <c r="AK313" s="258">
        <f>IFERROR(IF(N(AK15)&lt;&gt;0,(AK15+AK45)/AK15,""),"")</f>
        <v>0.106935798460719</v>
      </c>
      <c r="AL313" s="258">
        <f>IFERROR(IF(N(AL15)&lt;&gt;0,(AL15+AL45)/AL15,""),"")</f>
        <v>0.112637357161463</v>
      </c>
      <c r="AM313" s="258">
        <f>IFERROR(IF(N(AM15)&lt;&gt;0,(AM15+AM45)/AM15,""),"")</f>
        <v>0.106935798460719</v>
      </c>
      <c r="AN313" s="258">
        <f>IFERROR(IF(N(AN15)&lt;&gt;0,(AN15+AN45)/AN15,""),"")</f>
        <v>0.106935798460719</v>
      </c>
      <c r="AO313" s="258">
        <f>IFERROR(IF(N(AO15)&lt;&gt;0,(AO15+AO45)/AO15,""),"")</f>
        <v>0.106935798460719</v>
      </c>
      <c r="AP313" s="258">
        <f>IFERROR(IF(N(AP15)&lt;&gt;0,(AP15+AP45)/AP15,""),"")</f>
        <v>0.106935798460719</v>
      </c>
      <c r="AQ313" s="258">
        <f>IFERROR(IF(N(AQ15)&lt;&gt;0,(AQ15+AQ45)/AQ15,""),"")</f>
        <v>0.106935798460719</v>
      </c>
      <c r="AR313" s="258">
        <f>IFERROR(IF(N(AR15)&lt;&gt;0,(AR15+AR45)/AR15,""),"")</f>
        <v>0.106935798460719</v>
      </c>
      <c r="AS313" s="258">
        <f>IFERROR(IF(N(AS15)&lt;&gt;0,(AS15+AS45)/AS15,""),"")</f>
        <v>0.106935798460719</v>
      </c>
      <c r="AT313" s="258">
        <f>IFERROR(IF(N(AT15)&lt;&gt;0,(AT15+AT45)/AT15,""),"")</f>
        <v>0.106935798460719</v>
      </c>
      <c r="AU313" s="258">
        <f>IFERROR(IF(N(AU15)&lt;&gt;0,(AU15+AU45)/AU15,""),"")</f>
        <v>0.106935798460719</v>
      </c>
      <c r="AV313" s="258">
        <f>IFERROR(IF(N(AV15)&lt;&gt;0,(AV15+AV45)/AV15,""),"")</f>
        <v>0.106935798460719</v>
      </c>
      <c r="AW313" s="258">
        <f>IFERROR(IF(N(AW15)&lt;&gt;0,(AW15+AW45)/AW15,""),"")</f>
        <v>0.106935798460719</v>
      </c>
      <c r="AX313" s="258">
        <f>IFERROR(IF(N(AX15)&lt;&gt;0,(AX15+AX45)/AX15,""),"")</f>
        <v>0.106935798460719</v>
      </c>
      <c r="AY313" s="258">
        <f>IFERROR(IF(N(AY15)&lt;&gt;0,(AY15+AY45)/AY15,""),"")</f>
        <v>0.106935798460719</v>
      </c>
      <c r="AZ313" s="258">
        <f>IFERROR(IF(N(AZ15)&lt;&gt;0,(AZ15+AZ45)/AZ15,""),"")</f>
        <v>0.106935798460719</v>
      </c>
      <c r="BA313" s="258">
        <f>IFERROR(IF(N(BA15)&lt;&gt;0,(BA15+BA45)/BA15,""),"")</f>
        <v>0.106935798460719</v>
      </c>
      <c r="BB313" s="258">
        <f>IFERROR(IF(N(BB15)&lt;&gt;0,(BB15+BB45)/BB15,""),"")</f>
        <v>0.106935798460719</v>
      </c>
      <c r="BC313" s="258">
        <f>IFERROR(IF(N(BC15)&lt;&gt;0,(BC15+BC45)/BC15,""),"")</f>
        <v>0.106935798460719</v>
      </c>
      <c r="BD313" s="258">
        <f>IFERROR(IF(N(BD15)&lt;&gt;0,(BD15+BD45)/BD15,""),"")</f>
        <v>0.106935798460719</v>
      </c>
      <c r="BE313" s="258">
        <f>IFERROR(IF(N(BE15)&lt;&gt;0,(BE15+BE45)/BE15,""),"")</f>
        <v>0.106935798460719</v>
      </c>
      <c r="BF313" s="258">
        <f>IFERROR(IF(N(BF15)&lt;&gt;0,(BF15+BF45)/BF15,""),"")</f>
        <v>0.106935798460719</v>
      </c>
      <c r="BG313" s="80" t="n"/>
      <c r="BH313" s="80" t="n"/>
      <c r="BI313" s="80" t="n"/>
      <c r="BJ313" s="80" t="n"/>
      <c r="BL313" s="80" t="n"/>
      <c r="BM313" s="80" t="n"/>
      <c r="BN313" s="80" t="n"/>
      <c r="BO313" s="80" t="n"/>
      <c r="BQ313" s="80" t="n"/>
      <c r="BR313" s="80" t="n"/>
      <c r="BS313" s="80" t="n"/>
      <c r="BT313" s="80" t="n"/>
      <c r="BV313" s="80" t="n"/>
      <c r="BW313" s="80" t="n"/>
      <c r="BX313" s="80" t="n"/>
      <c r="BY313" s="80" t="n"/>
      <c r="CA313" s="80" t="n"/>
      <c r="CB313" s="80" t="n"/>
      <c r="CC313" s="80" t="n"/>
      <c r="CD313" s="80" t="n"/>
      <c r="CF313" s="80" t="n"/>
      <c r="CG313" s="80" t="n"/>
      <c r="CH313" s="80" t="n"/>
      <c r="CI313" s="80" t="n"/>
      <c r="CK313" s="80" t="n"/>
      <c r="CL313" s="80" t="n"/>
      <c r="CM313" s="80" t="n"/>
      <c r="CN313" s="80" t="n"/>
      <c r="CP313" s="80" t="n"/>
      <c r="CQ313" s="80" t="n"/>
      <c r="CR313" s="80" t="n"/>
      <c r="CS313" s="80" t="n"/>
      <c r="CU313" s="80" t="n"/>
      <c r="CV313" s="80" t="n"/>
      <c r="CW313" s="80" t="n"/>
      <c r="CX313" s="80" t="n"/>
    </row>
    <row r="314" customFormat="1" s="77">
      <c r="A314" s="76" t="n"/>
      <c r="B314" s="76" t="n"/>
      <c r="C314" s="77" t="inlineStr">
        <is>
          <t>EBIT MARGIN</t>
        </is>
      </c>
      <c r="D314" s="78" t="str">
        <f>IFERROR((D64/D15),"")</f>
        <v/>
      </c>
      <c r="E314" s="78" t="str">
        <f>IFERROR((E64/E15),"")</f>
        <v/>
      </c>
      <c r="F314" s="78" t="str">
        <f>IFERROR((F64/F15),"")</f>
        <v/>
      </c>
      <c r="G314" s="78" t="str">
        <f>IFERROR((G64/G15),"")</f>
        <v/>
      </c>
      <c r="H314" s="258" t="str">
        <f>IFERROR(IF(N(H15)&lt;&gt;0,H64/H15,""),"")</f>
        <v/>
      </c>
      <c r="I314" s="257">
        <f>IFERROR(IF(N(I15)&lt;&gt;0,I64/I15,""),"")</f>
        <v>0.134210850043056</v>
      </c>
      <c r="J314" s="257">
        <f>IFERROR(IF(N(J15)&lt;&gt;0,J64/J15,""),"")</f>
        <v>0.128721592577368</v>
      </c>
      <c r="K314" s="257">
        <f>IFERROR(IF(N(K15)&lt;&gt;0,K64/K15,""),"")</f>
        <v>0.143124532068879</v>
      </c>
      <c r="L314" s="257">
        <f>IFERROR(IF(N(L15)&lt;&gt;0,L64/L15,""),"")</f>
        <v>0.138473687179198</v>
      </c>
      <c r="M314" s="258">
        <f>IFERROR(IF(N(M15)&lt;&gt;0,M64/M15,""),"")</f>
        <v>0.136074816538393</v>
      </c>
      <c r="N314" s="257">
        <f>IFERROR(IF(N(N15)&lt;&gt;0,N64/N15,""),"")</f>
        <v>0.129176690724405</v>
      </c>
      <c r="O314" s="257">
        <f>IFERROR(IF(N(O15)&lt;&gt;0,O64/O15,""),"")</f>
        <v>0.127087919202383</v>
      </c>
      <c r="P314" s="257">
        <f>IFERROR(IF(N(P15)&lt;&gt;0,P64/P15,""),"")</f>
        <v>0.130193571730085</v>
      </c>
      <c r="Q314" s="257">
        <f>IFERROR(IF(N(Q15)&lt;&gt;0,Q64/Q15,""),"")</f>
        <v>0.120741403822863</v>
      </c>
      <c r="R314" s="258">
        <f>IFERROR(IF(N(R15)&lt;&gt;0,R64/R15,""),"")</f>
        <v>0.126515518913676</v>
      </c>
      <c r="S314" s="257">
        <f>IFERROR(IF(N(S15)&lt;&gt;0,S64/S15,""),"")</f>
        <v>0.134668782229274</v>
      </c>
      <c r="T314" s="257">
        <f>IFERROR(IF(N(T15)&lt;&gt;0,T64/T15,""),"")</f>
        <v>0.127897921284371</v>
      </c>
      <c r="U314" s="257">
        <f>IFERROR(IF(N(U15)&lt;&gt;0,U64/U15,""),"")</f>
        <v>0.120985898803176</v>
      </c>
      <c r="V314" s="257">
        <f>IFERROR(IF(N(V15)&lt;&gt;0,V64/V15,""),"")</f>
        <v>0.121489880258557</v>
      </c>
      <c r="W314" s="258">
        <f>IFERROR(IF(N(W15)&lt;&gt;0,W64/W15,""),"")</f>
        <v>0.125897204422015</v>
      </c>
      <c r="X314" s="257">
        <f>IFERROR(IF(N(X15)&lt;&gt;0,X64/X15,""),"")</f>
        <v>0.117999418435592</v>
      </c>
      <c r="Y314" s="257">
        <f>IFERROR(IF(N(Y15)&lt;&gt;0,Y64/Y15,""),"")</f>
        <v>0.118529963580179</v>
      </c>
      <c r="Z314" s="257">
        <f>IFERROR(IF(N(Z15)&lt;&gt;0,Z64/Z15,""),"")</f>
        <v>0.12511693171188</v>
      </c>
      <c r="AA314" s="257">
        <f>IFERROR(IF(N(AA15)&lt;&gt;0,AA64/AA15,""),"")</f>
        <v>0.0373751476747933</v>
      </c>
      <c r="AB314" s="258">
        <f>IFERROR(IF(N(AB15)&lt;&gt;0,AB64/AB15,""),"")</f>
        <v>0.0987148628295539</v>
      </c>
      <c r="AC314" s="257">
        <f>IFERROR(IF(N(AC15)&lt;&gt;0,AC64/AC15,""),"")</f>
        <v>0.132049212269665</v>
      </c>
      <c r="AD314" s="257">
        <f>IFERROR(IF(N(AD15)&lt;&gt;0,AD64/AD15,""),"")</f>
        <v>0.0412007711374277</v>
      </c>
      <c r="AE314" s="257">
        <f>IFERROR(IF(N(AE15)&lt;&gt;0,AE64/AE15,""),"")</f>
        <v>0.122521360631952</v>
      </c>
      <c r="AF314" s="257">
        <f>IFERROR(IF(N(AF15)&lt;&gt;0,AF64/AF15,""),"")</f>
        <v>0.114708921805029</v>
      </c>
      <c r="AG314" s="258">
        <f>IFERROR(IF(N(AG15)&lt;&gt;0,AG64/AG15,""),"")</f>
        <v>0.103014070994563</v>
      </c>
      <c r="AH314" s="257">
        <f>IFERROR(IF(N(AH15)&lt;&gt;0,AH64/AH15,""),"")</f>
        <v>0.114477553964819</v>
      </c>
      <c r="AI314" s="257">
        <f>IFERROR(IF(N(AI15)&lt;&gt;0,AI64/AI15,""),"")</f>
        <v>0.123560783531875</v>
      </c>
      <c r="AJ314" s="257">
        <f>IFERROR(IF(N(AJ15)&lt;&gt;0,AJ64/AJ15,""),"")</f>
        <v>0.108086433890128</v>
      </c>
      <c r="AK314" s="257">
        <f>IFERROR(IF(N(AK15)&lt;&gt;0,AK64/AK15,""),"")</f>
        <v>0.108086433890128</v>
      </c>
      <c r="AL314" s="258">
        <f>IFERROR(IF(N(AL15)&lt;&gt;0,AL64/AL15,""),"")</f>
        <v>0.113461895557523</v>
      </c>
      <c r="AM314" s="257">
        <f>IFERROR(IF(N(AM15)&lt;&gt;0,AM64/AM15,""),"")</f>
        <v>0.108086433890128</v>
      </c>
      <c r="AN314" s="257">
        <f>IFERROR(IF(N(AN15)&lt;&gt;0,AN64/AN15,""),"")</f>
        <v>0.108086433890128</v>
      </c>
      <c r="AO314" s="257">
        <f>IFERROR(IF(N(AO15)&lt;&gt;0,AO64/AO15,""),"")</f>
        <v>0.108086433890128</v>
      </c>
      <c r="AP314" s="257">
        <f>IFERROR(IF(N(AP15)&lt;&gt;0,AP64/AP15,""),"")</f>
        <v>0.108086433890128</v>
      </c>
      <c r="AQ314" s="258">
        <f>IFERROR(IF(N(AQ15)&lt;&gt;0,AQ64/AQ15,""),"")</f>
        <v>0.108086433890128</v>
      </c>
      <c r="AR314" s="257">
        <f>IFERROR(IF(N(AR15)&lt;&gt;0,AR64/AR15,""),"")</f>
        <v>0.108086433890128</v>
      </c>
      <c r="AS314" s="257">
        <f>IFERROR(IF(N(AS15)&lt;&gt;0,AS64/AS15,""),"")</f>
        <v>0.108086433890128</v>
      </c>
      <c r="AT314" s="257">
        <f>IFERROR(IF(N(AT15)&lt;&gt;0,AT64/AT15,""),"")</f>
        <v>0.108086433890128</v>
      </c>
      <c r="AU314" s="257">
        <f>IFERROR(IF(N(AU15)&lt;&gt;0,AU64/AU15,""),"")</f>
        <v>0.108086433890128</v>
      </c>
      <c r="AV314" s="258">
        <f>IFERROR(IF(N(AV15)&lt;&gt;0,AV64/AV15,""),"")</f>
        <v>0.108086433890128</v>
      </c>
      <c r="AW314" s="257">
        <f>IFERROR(IF(N(AW15)&lt;&gt;0,AW64/AW15,""),"")</f>
        <v>0.108086433890128</v>
      </c>
      <c r="AX314" s="257">
        <f>IFERROR(IF(N(AX15)&lt;&gt;0,AX64/AX15,""),"")</f>
        <v>0.108086433890128</v>
      </c>
      <c r="AY314" s="257">
        <f>IFERROR(IF(N(AY15)&lt;&gt;0,AY64/AY15,""),"")</f>
        <v>0.108086433890128</v>
      </c>
      <c r="AZ314" s="257">
        <f>IFERROR(IF(N(AZ15)&lt;&gt;0,AZ64/AZ15,""),"")</f>
        <v>0.108086433890128</v>
      </c>
      <c r="BA314" s="258">
        <f>IFERROR(IF(N(BA15)&lt;&gt;0,BA64/BA15,""),"")</f>
        <v>0.108086433890128</v>
      </c>
      <c r="BB314" s="257">
        <f>IFERROR(IF(N(BB15)&lt;&gt;0,BB64/BB15,""),"")</f>
        <v>0.108086433890128</v>
      </c>
      <c r="BC314" s="257">
        <f>IFERROR(IF(N(BC15)&lt;&gt;0,BC64/BC15,""),"")</f>
        <v>0.108086433890128</v>
      </c>
      <c r="BD314" s="257">
        <f>IFERROR(IF(N(BD15)&lt;&gt;0,BD64/BD15,""),"")</f>
        <v>0.108086433890128</v>
      </c>
      <c r="BE314" s="257">
        <f>IFERROR(IF(N(BE15)&lt;&gt;0,BE64/BE15,""),"")</f>
        <v>0.108086433890128</v>
      </c>
      <c r="BF314" s="258">
        <f>IFERROR(IF(N(BF15)&lt;&gt;0,BF64/BF15,""),"")</f>
        <v>0.108086433890128</v>
      </c>
      <c r="BG314" s="81" t="n"/>
      <c r="BH314" s="81" t="n"/>
      <c r="BI314" s="81" t="n"/>
      <c r="BJ314" s="81" t="n"/>
      <c r="BL314" s="81" t="n"/>
      <c r="BM314" s="81" t="n"/>
      <c r="BN314" s="81" t="n"/>
      <c r="BO314" s="81" t="n"/>
      <c r="BQ314" s="81" t="n"/>
      <c r="BR314" s="81" t="n"/>
      <c r="BS314" s="81" t="n"/>
      <c r="BT314" s="81" t="n"/>
      <c r="BV314" s="81" t="n"/>
      <c r="BW314" s="81" t="n"/>
      <c r="BX314" s="81" t="n"/>
      <c r="BY314" s="81" t="n"/>
      <c r="CA314" s="81" t="n"/>
      <c r="CB314" s="81" t="n"/>
      <c r="CC314" s="81" t="n"/>
      <c r="CD314" s="81" t="n"/>
      <c r="CF314" s="81" t="n"/>
      <c r="CG314" s="81" t="n"/>
      <c r="CH314" s="81" t="n"/>
      <c r="CI314" s="81" t="n"/>
      <c r="CK314" s="81" t="n"/>
      <c r="CL314" s="81" t="n"/>
      <c r="CM314" s="81" t="n"/>
      <c r="CN314" s="81" t="n"/>
      <c r="CP314" s="81" t="n"/>
      <c r="CQ314" s="81" t="n"/>
      <c r="CR314" s="81" t="n"/>
      <c r="CS314" s="81" t="n"/>
      <c r="CU314" s="81" t="n"/>
      <c r="CV314" s="81" t="n"/>
      <c r="CW314" s="81" t="n"/>
      <c r="CX314" s="81" t="n"/>
    </row>
    <row r="315" customFormat="1" s="77">
      <c r="A315" s="76" t="n"/>
      <c r="B315" s="76" t="n"/>
      <c r="C315" s="77" t="inlineStr">
        <is>
          <t>EBITDA MARGIN</t>
        </is>
      </c>
      <c r="D315" s="78" t="str">
        <f>IFERROR(D60/D15,"")</f>
        <v/>
      </c>
      <c r="E315" s="78" t="str">
        <f>IFERROR(E60/E15,"")</f>
        <v/>
      </c>
      <c r="F315" s="78" t="str">
        <f>IFERROR(F60/F15,"")</f>
        <v/>
      </c>
      <c r="G315" s="78" t="str">
        <f>IFERROR(G60/G15,"")</f>
        <v/>
      </c>
      <c r="H315" s="258" t="str">
        <f>IFERROR(IF(N(H15)&lt;&gt;0,H60/H15,""),"")</f>
        <v/>
      </c>
      <c r="I315" s="257">
        <f>IFERROR(IF(N(I15)&lt;&gt;0,I60/I15,""),"")</f>
        <v>0.15487759872063</v>
      </c>
      <c r="J315" s="257">
        <f>IFERROR(IF(N(J15)&lt;&gt;0,J60/J15,""),"")</f>
        <v>0.148335192906219</v>
      </c>
      <c r="K315" s="257">
        <f>IFERROR(IF(N(K15)&lt;&gt;0,K60/K15,""),"")</f>
        <v>0.163651110556526</v>
      </c>
      <c r="L315" s="257">
        <f>IFERROR(IF(N(L15)&lt;&gt;0,L60/L15,""),"")</f>
        <v>0.159061424784252</v>
      </c>
      <c r="M315" s="258">
        <f>IFERROR(IF(N(M15)&lt;&gt;0,M60/M15,""),"")</f>
        <v>0.15641966469781</v>
      </c>
      <c r="N315" s="257">
        <f>IFERROR(IF(N(N15)&lt;&gt;0,N60/N15,""),"")</f>
        <v>0.151162790697674</v>
      </c>
      <c r="O315" s="257">
        <f>IFERROR(IF(N(O15)&lt;&gt;0,O60/O15,""),"")</f>
        <v>0.149294315680435</v>
      </c>
      <c r="P315" s="257">
        <f>IFERROR(IF(N(P15)&lt;&gt;0,P60/P15,""),"")</f>
        <v>0.147862268588313</v>
      </c>
      <c r="Q315" s="257">
        <f>IFERROR(IF(N(Q15)&lt;&gt;0,Q60/Q15,""),"")</f>
        <v>0.143857616765836</v>
      </c>
      <c r="R315" s="258">
        <f>IFERROR(IF(N(R15)&lt;&gt;0,R60/R15,""),"")</f>
        <v>0.147793404461688</v>
      </c>
      <c r="S315" s="257">
        <f>IFERROR(IF(N(S15)&lt;&gt;0,S60/S15,""),"")</f>
        <v>0.156154964960994</v>
      </c>
      <c r="T315" s="257">
        <f>IFERROR(IF(N(T15)&lt;&gt;0,T60/T15,""),"")</f>
        <v>0.147906308033307</v>
      </c>
      <c r="U315" s="257">
        <f>IFERROR(IF(N(U15)&lt;&gt;0,U60/U15,""),"")</f>
        <v>0.141722952956511</v>
      </c>
      <c r="V315" s="257">
        <f>IFERROR(IF(N(V15)&lt;&gt;0,V60/V15,""),"")</f>
        <v>0.143795697785313</v>
      </c>
      <c r="W315" s="258">
        <f>IFERROR(IF(N(W15)&lt;&gt;0,W60/W15,""),"")</f>
        <v>0.147060129345429</v>
      </c>
      <c r="X315" s="257">
        <f>IFERROR(IF(N(X15)&lt;&gt;0,X60/X15,""),"")</f>
        <v>0.138412329165455</v>
      </c>
      <c r="Y315" s="257">
        <f>IFERROR(IF(N(Y15)&lt;&gt;0,Y60/Y15,""),"")</f>
        <v>0.138340139057499</v>
      </c>
      <c r="Z315" s="257">
        <f>IFERROR(IF(N(Z15)&lt;&gt;0,Z60/Z15,""),"")</f>
        <v>0.147918615528531</v>
      </c>
      <c r="AA315" s="257">
        <f>IFERROR(IF(N(AA15)&lt;&gt;0,AA60/AA15,""),"")</f>
        <v>0.0620234131672216</v>
      </c>
      <c r="AB315" s="258">
        <f>IFERROR(IF(N(AB15)&lt;&gt;0,AB60/AB15,""),"")</f>
        <v>0.120659319003984</v>
      </c>
      <c r="AC315" s="257">
        <f>IFERROR(IF(N(AC15)&lt;&gt;0,AC60/AC15,""),"")</f>
        <v>0.154150197628459</v>
      </c>
      <c r="AD315" s="257">
        <f>IFERROR(IF(N(AD15)&lt;&gt;0,AD60/AD15,""),"")</f>
        <v>0.0631781878270449</v>
      </c>
      <c r="AE315" s="257">
        <f>IFERROR(IF(N(AE15)&lt;&gt;0,AE60/AE15,""),"")</f>
        <v>0.14552098446988</v>
      </c>
      <c r="AF315" s="257">
        <f>IFERROR(IF(N(AF15)&lt;&gt;0,AF60/AF15,""),"")</f>
        <v>0.137493233600709</v>
      </c>
      <c r="AG315" s="258">
        <f>IFERROR(IF(N(AG15)&lt;&gt;0,AG60/AG15,""),"")</f>
        <v>0.12549301780194</v>
      </c>
      <c r="AH315" s="257">
        <f>IFERROR(IF(N(AH15)&lt;&gt;0,AH60/AH15,""),"")</f>
        <v>0.136562898840242</v>
      </c>
      <c r="AI315" s="257">
        <f>IFERROR(IF(N(AI15)&lt;&gt;0,AI60/AI15,""),"")</f>
        <v>0.14349798135872</v>
      </c>
      <c r="AJ315" s="257">
        <f>IFERROR(IF(N(AJ15)&lt;&gt;0,AJ60/AJ15,""),"")</f>
        <v>0.130067247287509</v>
      </c>
      <c r="AK315" s="257">
        <f>IFERROR(IF(N(AK15)&lt;&gt;0,AK60/AK15,""),"")</f>
        <v>0.130067247287509</v>
      </c>
      <c r="AL315" s="258">
        <f>IFERROR(IF(N(AL15)&lt;&gt;0,AL60/AL15,""),"")</f>
        <v>0.134948687282664</v>
      </c>
      <c r="AM315" s="257">
        <f>IFERROR(IF(N(AM15)&lt;&gt;0,AM60/AM15,""),"")</f>
        <v>0.130067247287509</v>
      </c>
      <c r="AN315" s="257">
        <f>IFERROR(IF(N(AN15)&lt;&gt;0,AN60/AN15,""),"")</f>
        <v>0.130067247287509</v>
      </c>
      <c r="AO315" s="257">
        <f>IFERROR(IF(N(AO15)&lt;&gt;0,AO60/AO15,""),"")</f>
        <v>0.130067247287509</v>
      </c>
      <c r="AP315" s="257">
        <f>IFERROR(IF(N(AP15)&lt;&gt;0,AP60/AP15,""),"")</f>
        <v>0.130067247287509</v>
      </c>
      <c r="AQ315" s="258">
        <f>IFERROR(IF(N(AQ15)&lt;&gt;0,AQ60/AQ15,""),"")</f>
        <v>0.130067247287509</v>
      </c>
      <c r="AR315" s="257">
        <f>IFERROR(IF(N(AR15)&lt;&gt;0,AR60/AR15,""),"")</f>
        <v>0.130067247287509</v>
      </c>
      <c r="AS315" s="257">
        <f>IFERROR(IF(N(AS15)&lt;&gt;0,AS60/AS15,""),"")</f>
        <v>0.130067247287509</v>
      </c>
      <c r="AT315" s="257">
        <f>IFERROR(IF(N(AT15)&lt;&gt;0,AT60/AT15,""),"")</f>
        <v>0.130067247287509</v>
      </c>
      <c r="AU315" s="257">
        <f>IFERROR(IF(N(AU15)&lt;&gt;0,AU60/AU15,""),"")</f>
        <v>0.130067247287509</v>
      </c>
      <c r="AV315" s="258">
        <f>IFERROR(IF(N(AV15)&lt;&gt;0,AV60/AV15,""),"")</f>
        <v>0.130067247287509</v>
      </c>
      <c r="AW315" s="257">
        <f>IFERROR(IF(N(AW15)&lt;&gt;0,AW60/AW15,""),"")</f>
        <v>0.130067247287509</v>
      </c>
      <c r="AX315" s="257">
        <f>IFERROR(IF(N(AX15)&lt;&gt;0,AX60/AX15,""),"")</f>
        <v>0.130067247287509</v>
      </c>
      <c r="AY315" s="257">
        <f>IFERROR(IF(N(AY15)&lt;&gt;0,AY60/AY15,""),"")</f>
        <v>0.130067247287509</v>
      </c>
      <c r="AZ315" s="257">
        <f>IFERROR(IF(N(AZ15)&lt;&gt;0,AZ60/AZ15,""),"")</f>
        <v>0.130067247287509</v>
      </c>
      <c r="BA315" s="258">
        <f>IFERROR(IF(N(BA15)&lt;&gt;0,BA60/BA15,""),"")</f>
        <v>0.130067247287509</v>
      </c>
      <c r="BB315" s="257">
        <f>IFERROR(IF(N(BB15)&lt;&gt;0,BB60/BB15,""),"")</f>
        <v>0.130067247287509</v>
      </c>
      <c r="BC315" s="257">
        <f>IFERROR(IF(N(BC15)&lt;&gt;0,BC60/BC15,""),"")</f>
        <v>0.130067247287509</v>
      </c>
      <c r="BD315" s="257">
        <f>IFERROR(IF(N(BD15)&lt;&gt;0,BD60/BD15,""),"")</f>
        <v>0.130067247287509</v>
      </c>
      <c r="BE315" s="257">
        <f>IFERROR(IF(N(BE15)&lt;&gt;0,BE60/BE15,""),"")</f>
        <v>0.130067247287509</v>
      </c>
      <c r="BF315" s="258">
        <f>IFERROR(IF(N(BF15)&lt;&gt;0,BF60/BF15,""),"")</f>
        <v>0.130067247287509</v>
      </c>
      <c r="BG315" s="81" t="n"/>
      <c r="BH315" s="81" t="n"/>
      <c r="BI315" s="81" t="n"/>
      <c r="BJ315" s="81" t="n"/>
      <c r="BL315" s="81" t="n"/>
      <c r="BM315" s="81" t="n"/>
      <c r="BN315" s="81" t="n"/>
      <c r="BO315" s="81" t="n"/>
      <c r="BQ315" s="81" t="n"/>
      <c r="BR315" s="81" t="n"/>
      <c r="BS315" s="81" t="n"/>
      <c r="BT315" s="81" t="n"/>
      <c r="BV315" s="81" t="n"/>
      <c r="BW315" s="81" t="n"/>
      <c r="BX315" s="81" t="n"/>
      <c r="BY315" s="81" t="n"/>
      <c r="CA315" s="81" t="n"/>
      <c r="CB315" s="81" t="n"/>
      <c r="CC315" s="81" t="n"/>
      <c r="CD315" s="81" t="n"/>
      <c r="CF315" s="81" t="n"/>
      <c r="CG315" s="81" t="n"/>
      <c r="CH315" s="81" t="n"/>
      <c r="CI315" s="81" t="n"/>
      <c r="CK315" s="81" t="n"/>
      <c r="CL315" s="81" t="n"/>
      <c r="CM315" s="81" t="n"/>
      <c r="CN315" s="81" t="n"/>
      <c r="CP315" s="81" t="n"/>
      <c r="CQ315" s="81" t="n"/>
      <c r="CR315" s="81" t="n"/>
      <c r="CS315" s="81" t="n"/>
      <c r="CU315" s="81" t="n"/>
      <c r="CV315" s="81" t="n"/>
      <c r="CW315" s="81" t="n"/>
      <c r="CX315" s="81" t="n"/>
    </row>
    <row r="316" customFormat="1" s="77">
      <c r="A316" s="76" t="n"/>
      <c r="B316" s="76" t="n"/>
      <c r="C316" s="77" t="inlineStr">
        <is>
          <t>ETR</t>
        </is>
      </c>
      <c r="D316" s="78" t="str">
        <f>IFERROR(-D122/D121,"")</f>
        <v/>
      </c>
      <c r="E316" s="78" t="str">
        <f>IFERROR(-E122/E121,"")</f>
        <v/>
      </c>
      <c r="F316" s="78" t="str">
        <f>IFERROR(-F122/F121,"")</f>
        <v/>
      </c>
      <c r="G316" s="78" t="str">
        <f>IFERROR(-G122/G121,"")</f>
        <v/>
      </c>
      <c r="H316" s="258" t="str">
        <f>IFERROR(IF(N(H121)&lt;&gt;0,-H122/H121,""),"")</f>
        <v/>
      </c>
      <c r="I316" s="257">
        <f>IFERROR(IF(N(I121)&lt;&gt;0,-I122/I121,""),"")</f>
        <v>0.169154228855721</v>
      </c>
      <c r="J316" s="257">
        <f>IFERROR(IF(N(J121)&lt;&gt;0,-J122/J121,""),"")</f>
        <v>0.163594470046083</v>
      </c>
      <c r="K316" s="257">
        <f>IFERROR(IF(N(K121)&lt;&gt;0,-K122/K121,""),"")</f>
        <v>0.0957290132547865</v>
      </c>
      <c r="L316" s="257">
        <f>IFERROR(IF(N(L121)&lt;&gt;0,-L122/L121,""),"")</f>
        <v>0.17710843373494</v>
      </c>
      <c r="M316" s="258">
        <f>IFERROR(IF(N(M121)&lt;&gt;0,-M122/M121,""),"")</f>
        <v>0.163576158940397</v>
      </c>
      <c r="N316" s="257">
        <f>IFERROR(IF(N(N121)&lt;&gt;0,-N122/N121,""),"")</f>
        <v>0.159146045608928</v>
      </c>
      <c r="O316" s="257">
        <f>IFERROR(IF(N(O121)&lt;&gt;0,-O122/O121,""),"")</f>
        <v>0.0636363636363636</v>
      </c>
      <c r="P316" s="257">
        <f>IFERROR(IF(N(P121)&lt;&gt;0,-P122/P121,""),"")</f>
        <v>0.152929966650786</v>
      </c>
      <c r="Q316" s="257">
        <f>IFERROR(IF(N(Q121)&lt;&gt;0,-Q122/Q121,""),"")</f>
        <v>0.126940639269406</v>
      </c>
      <c r="R316" s="258">
        <f>IFERROR(IF(N(R121)&lt;&gt;0,-R122/R121,""),"")</f>
        <v>0.141916167664671</v>
      </c>
      <c r="S316" s="257">
        <f>IFERROR(IF(N(S121)&lt;&gt;0,-S122/S121,""),"")</f>
        <v>0.15295887662989</v>
      </c>
      <c r="T316" s="257">
        <f>IFERROR(IF(N(T121)&lt;&gt;0,-T122/T121,""),"")</f>
        <v>0.162013958125623</v>
      </c>
      <c r="U316" s="257">
        <f>IFERROR(IF(N(U121)&lt;&gt;0,-U122/U121,""),"")</f>
        <v>0.13773681515617</v>
      </c>
      <c r="V316" s="257">
        <f>IFERROR(IF(N(V121)&lt;&gt;0,-V122/V121,""),"")</f>
        <v>0.13006993006993</v>
      </c>
      <c r="W316" s="258">
        <f>IFERROR(IF(N(W121)&lt;&gt;0,-W122/W121,""),"")</f>
        <v>0.14546801679427</v>
      </c>
      <c r="X316" s="257">
        <f>IFERROR(IF(N(X121)&lt;&gt;0,-X122/X121,""),"")</f>
        <v>0.158038147138965</v>
      </c>
      <c r="Y316" s="257">
        <f>IFERROR(IF(N(Y121)&lt;&gt;0,-Y122/Y121,""),"")</f>
        <v>0.157597535934292</v>
      </c>
      <c r="Z316" s="257">
        <f>IFERROR(IF(N(Z121)&lt;&gt;0,-Z122/Z121,""),"")</f>
        <v>0.153806047966632</v>
      </c>
      <c r="AA316" s="257">
        <f>IFERROR(IF(N(AA121)&lt;&gt;0,-AA122/AA121,""),"")</f>
        <v>-0.0154142581888247</v>
      </c>
      <c r="AB316" s="258">
        <f>IFERROR(IF(N(AB121)&lt;&gt;0,-AB122/AB121,""),"")</f>
        <v>0.142122186495177</v>
      </c>
      <c r="AC316" s="257">
        <f>IFERROR(IF(N(AC121)&lt;&gt;0,-AC122/AC121,""),"")</f>
        <v>0.159135559921415</v>
      </c>
      <c r="AD316" s="257">
        <f>IFERROR(IF(N(AD121)&lt;&gt;0,-AD122/AD121,""),"")</f>
        <v>0.179856115107914</v>
      </c>
      <c r="AE316" s="257">
        <f>IFERROR(IF(N(AE121)&lt;&gt;0,-AE122/AE121,""),"")</f>
        <v>0.164602683178535</v>
      </c>
      <c r="AF316" s="257">
        <f>IFERROR(IF(N(AF121)&lt;&gt;0,-AF122/AF121,""),"")</f>
        <v>0.122142390594383</v>
      </c>
      <c r="AG316" s="258">
        <f>IFERROR(IF(N(AG121)&lt;&gt;0,-AG122/AG121,""),"")</f>
        <v>0.152819993245525</v>
      </c>
      <c r="AH316" s="257">
        <f>IFERROR(IF(N(AH121)&lt;&gt;0,-AH122/AH121,""),"")</f>
        <v>0.161217587373168</v>
      </c>
      <c r="AI316" s="257">
        <f>IFERROR(IF(N(AI121)&lt;&gt;0,-AI122/AI121,""),"")</f>
        <v>0.15702479338843</v>
      </c>
      <c r="AJ316" s="257">
        <f>IFERROR(IF(N(AJ121)&lt;&gt;0,-AJ122/AJ121,""),"")</f>
        <v>0.157329854927307</v>
      </c>
      <c r="AK316" s="257">
        <f>IFERROR(IF(N(AK121)&lt;&gt;0,-AK122/AK121,""),"")</f>
        <v>0.157329854927307</v>
      </c>
      <c r="AL316" s="258">
        <f>IFERROR(IF(N(AL121)&lt;&gt;0,-AL122/AL121,""),"")</f>
        <v>0.158097103794083</v>
      </c>
      <c r="AM316" s="257">
        <f>IFERROR(IF(N(AM121)&lt;&gt;0,-AM122/AM121,""),"")</f>
        <v>0.157329854927307</v>
      </c>
      <c r="AN316" s="257">
        <f>IFERROR(IF(N(AN121)&lt;&gt;0,-AN122/AN121,""),"")</f>
        <v>0.157329854927307</v>
      </c>
      <c r="AO316" s="257">
        <f>IFERROR(IF(N(AO121)&lt;&gt;0,-AO122/AO121,""),"")</f>
        <v>0.157329854927307</v>
      </c>
      <c r="AP316" s="257">
        <f>IFERROR(IF(N(AP121)&lt;&gt;0,-AP122/AP121,""),"")</f>
        <v>0.157329854927307</v>
      </c>
      <c r="AQ316" s="258">
        <f>IFERROR(IF(N(AQ121)&lt;&gt;0,-AQ122/AQ121,""),"")</f>
        <v>0.157329854927307</v>
      </c>
      <c r="AR316" s="257">
        <f>IFERROR(IF(N(AR121)&lt;&gt;0,-AR122/AR121,""),"")</f>
        <v>0.157329854927307</v>
      </c>
      <c r="AS316" s="257">
        <f>IFERROR(IF(N(AS121)&lt;&gt;0,-AS122/AS121,""),"")</f>
        <v>0.157329854927307</v>
      </c>
      <c r="AT316" s="257">
        <f>IFERROR(IF(N(AT121)&lt;&gt;0,-AT122/AT121,""),"")</f>
        <v>0.157329854927307</v>
      </c>
      <c r="AU316" s="257">
        <f>IFERROR(IF(N(AU121)&lt;&gt;0,-AU122/AU121,""),"")</f>
        <v>0.157329854927307</v>
      </c>
      <c r="AV316" s="258">
        <f>IFERROR(IF(N(AV121)&lt;&gt;0,-AV122/AV121,""),"")</f>
        <v>0.157329854927307</v>
      </c>
      <c r="AW316" s="257">
        <f>IFERROR(IF(N(AW121)&lt;&gt;0,-AW122/AW121,""),"")</f>
        <v>0.157329854927307</v>
      </c>
      <c r="AX316" s="257">
        <f>IFERROR(IF(N(AX121)&lt;&gt;0,-AX122/AX121,""),"")</f>
        <v>0.157329854927307</v>
      </c>
      <c r="AY316" s="257">
        <f>IFERROR(IF(N(AY121)&lt;&gt;0,-AY122/AY121,""),"")</f>
        <v>0.157329854927307</v>
      </c>
      <c r="AZ316" s="257">
        <f>IFERROR(IF(N(AZ121)&lt;&gt;0,-AZ122/AZ121,""),"")</f>
        <v>0.157329854927307</v>
      </c>
      <c r="BA316" s="258">
        <f>IFERROR(IF(N(BA121)&lt;&gt;0,-BA122/BA121,""),"")</f>
        <v>0.157329854927307</v>
      </c>
      <c r="BB316" s="257">
        <f>IFERROR(IF(N(BB121)&lt;&gt;0,-BB122/BB121,""),"")</f>
        <v>0.157329854927307</v>
      </c>
      <c r="BC316" s="257">
        <f>IFERROR(IF(N(BC121)&lt;&gt;0,-BC122/BC121,""),"")</f>
        <v>0.157329854927307</v>
      </c>
      <c r="BD316" s="257">
        <f>IFERROR(IF(N(BD121)&lt;&gt;0,-BD122/BD121,""),"")</f>
        <v>0.157329854927307</v>
      </c>
      <c r="BE316" s="257">
        <f>IFERROR(IF(N(BE121)&lt;&gt;0,-BE122/BE121,""),"")</f>
        <v>0.157329854927307</v>
      </c>
      <c r="BF316" s="258">
        <f>IFERROR(IF(N(BF121)&lt;&gt;0,-BF122/BF121,""),"")</f>
        <v>0.157329854927307</v>
      </c>
      <c r="BG316" s="81" t="n"/>
      <c r="BH316" s="81" t="n"/>
      <c r="BI316" s="81" t="n"/>
      <c r="BJ316" s="81" t="n"/>
      <c r="BL316" s="81" t="n"/>
      <c r="BM316" s="81" t="n"/>
      <c r="BN316" s="81" t="n"/>
      <c r="BO316" s="81" t="n"/>
      <c r="BQ316" s="81" t="n"/>
      <c r="BR316" s="81" t="n"/>
      <c r="BS316" s="81" t="n"/>
      <c r="BT316" s="81" t="n"/>
      <c r="BV316" s="81" t="n"/>
      <c r="BW316" s="81" t="n"/>
      <c r="BX316" s="81" t="n"/>
      <c r="BY316" s="81" t="n"/>
      <c r="CA316" s="81" t="n"/>
      <c r="CB316" s="81" t="n"/>
      <c r="CC316" s="81" t="n"/>
      <c r="CD316" s="81" t="n"/>
      <c r="CF316" s="81" t="n"/>
      <c r="CG316" s="81" t="n"/>
      <c r="CH316" s="81" t="n"/>
      <c r="CI316" s="81" t="n"/>
      <c r="CK316" s="81" t="n"/>
      <c r="CL316" s="81" t="n"/>
      <c r="CM316" s="81" t="n"/>
      <c r="CN316" s="81" t="n"/>
      <c r="CP316" s="81" t="n"/>
      <c r="CQ316" s="81" t="n"/>
      <c r="CR316" s="81" t="n"/>
      <c r="CS316" s="81" t="n"/>
      <c r="CU316" s="81" t="n"/>
      <c r="CV316" s="81" t="n"/>
      <c r="CW316" s="81" t="n"/>
      <c r="CX316" s="81" t="n"/>
    </row>
    <row r="317" customFormat="1" s="77">
      <c r="A317" s="76" t="n"/>
      <c r="B317" s="76" t="n"/>
    </row>
    <row r="318" customFormat="1" s="77">
      <c r="A318" s="76" t="n"/>
      <c r="B318" s="76" t="n"/>
      <c r="C318" s="74" t="inlineStr">
        <is>
          <t>CAPITAL STRUCTURE</t>
        </is>
      </c>
    </row>
    <row r="319" customFormat="1" s="77">
      <c r="A319" s="76" t="n"/>
      <c r="B319" s="76" t="n"/>
      <c r="C319" s="77" t="inlineStr">
        <is>
          <t>TOTAL DEBT / EQUITY (BOOK VALUE)</t>
        </is>
      </c>
      <c r="H319" s="262" t="str">
        <f>IFERROR(IF(N(H262)&lt;&gt;0,(N(H203)+N(H204)+N(H205)+N(H208)+N(H226)+N(H229))/H262,""),"")</f>
        <v/>
      </c>
      <c r="I319" s="262">
        <f>IFERROR(IF(N(I262)&lt;&gt;0,(N(I203)+N(I204)+N(I205)+N(I208)+N(I226)+N(I229))/I262,""),"")</f>
        <v>1.92057476709301</v>
      </c>
      <c r="J319" s="262">
        <f>IFERROR(IF(N(J262)&lt;&gt;0,(N(J203)+N(J204)+N(J205)+N(J208)+N(J226)+N(J229))/J262,""),"")</f>
        <v>1.86385911179173</v>
      </c>
      <c r="K319" s="262">
        <f>IFERROR(IF(N(K262)&lt;&gt;0,(N(K203)+N(K204)+N(K205)+N(K208)+N(K226)+N(K229))/K262,""),"")</f>
        <v>1.21212750493199</v>
      </c>
      <c r="L319" s="262">
        <f>IFERROR(IF(N(L262)&lt;&gt;0,(N(L203)+N(L204)+N(L205)+N(L208)+N(L226)+N(L229))/L262,""),"")</f>
        <v>1.06542567752532</v>
      </c>
      <c r="M319" s="262">
        <f>IFERROR(IF(N(M262)&lt;&gt;0,(N(M203)+N(M204)+N(M205)+N(M208)+N(M226)+N(M229))/M262,""),"")</f>
        <v>1.06542567752532</v>
      </c>
      <c r="N319" s="262">
        <f>IFERROR(IF(N(N262)&lt;&gt;0,(N(N203)+N(N204)+N(N205)+N(N208)+N(N226)+N(N229))/N262,""),"")</f>
        <v>1.16426714657069</v>
      </c>
      <c r="O319" s="262">
        <f>IFERROR(IF(N(O262)&lt;&gt;0,(N(O203)+N(O204)+N(O205)+N(O208)+N(O226)+N(O229))/O262,""),"")</f>
        <v>1.018544436669</v>
      </c>
      <c r="P319" s="262">
        <f>IFERROR(IF(N(P262)&lt;&gt;0,(N(P203)+N(P204)+N(P205)+N(P208)+N(P226)+N(P229))/P262,""),"")</f>
        <v>0.959384923951195</v>
      </c>
      <c r="Q319" s="262">
        <f>IFERROR(IF(N(Q262)&lt;&gt;0,(N(Q203)+N(Q204)+N(Q205)+N(Q208)+N(Q226)+N(Q229))/Q262,""),"")</f>
        <v>1.66511979279085</v>
      </c>
      <c r="R319" s="262">
        <f>IFERROR(IF(N(R262)&lt;&gt;0,(N(R203)+N(R204)+N(R205)+N(R208)+N(R226)+N(R229))/R262,""),"")</f>
        <v>1.66511979279085</v>
      </c>
      <c r="S319" s="262">
        <f>IFERROR(IF(N(S262)&lt;&gt;0,(N(S203)+N(S204)+N(S205)+N(S208)+N(S226)+N(S229))/S262,""),"")</f>
        <v>1.61725067385445</v>
      </c>
      <c r="T319" s="262">
        <f>IFERROR(IF(N(T262)&lt;&gt;0,(N(T203)+N(T204)+N(T205)+N(T208)+N(T226)+N(T229))/T262,""),"")</f>
        <v>1.89880952380952</v>
      </c>
      <c r="U319" s="262">
        <f>IFERROR(IF(N(U262)&lt;&gt;0,(N(U203)+N(U204)+N(U205)+N(U208)+N(U226)+N(U229))/U262,""),"")</f>
        <v>1.87502695708432</v>
      </c>
      <c r="V319" s="262">
        <f>IFERROR(IF(N(V262)&lt;&gt;0,(N(V203)+N(V204)+N(V205)+N(V208)+N(V226)+N(V229))/V262,""),"")</f>
        <v>2.55435259692758</v>
      </c>
      <c r="W319" s="262">
        <f>IFERROR(IF(N(W262)&lt;&gt;0,(N(W203)+N(W204)+N(W205)+N(W208)+N(W226)+N(W229))/W262,""),"")</f>
        <v>2.55435259692758</v>
      </c>
      <c r="X319" s="262">
        <f>IFERROR(IF(N(X262)&lt;&gt;0,(N(X203)+N(X204)+N(X205)+N(X208)+N(X226)+N(X229))/X262,""),"")</f>
        <v>2.92</v>
      </c>
      <c r="Y319" s="262">
        <f>IFERROR(IF(N(Y262)&lt;&gt;0,(N(Y203)+N(Y204)+N(Y205)+N(Y208)+N(Y226)+N(Y229))/Y262,""),"")</f>
        <v>3.11854251012146</v>
      </c>
      <c r="Z319" s="262">
        <f>IFERROR(IF(N(Z262)&lt;&gt;0,(N(Z203)+N(Z204)+N(Z205)+N(Z208)+N(Z226)+N(Z229))/Z262,""),"")</f>
        <v>2.68347222222222</v>
      </c>
      <c r="AA319" s="262">
        <f>IFERROR(IF(N(AA262)&lt;&gt;0,(N(AA203)+N(AA204)+N(AA205)+N(AA208)+N(AA226)+N(AA229))/AA262,""),"")</f>
        <v>3.20069477340913</v>
      </c>
      <c r="AB319" s="262">
        <f>IFERROR(IF(N(AB262)&lt;&gt;0,(N(AB203)+N(AB204)+N(AB205)+N(AB208)+N(AB226)+N(AB229))/AB262,""),"")</f>
        <v>3.20069477340913</v>
      </c>
      <c r="AC319" s="262">
        <f>IFERROR(IF(N(AC262)&lt;&gt;0,(N(AC203)+N(AC204)+N(AC205)+N(AC208)+N(AC226)+N(AC229))/AC262,""),"")</f>
        <v>3.03815651653449</v>
      </c>
      <c r="AD319" s="262">
        <f>IFERROR(IF(N(AD262)&lt;&gt;0,(N(AD203)+N(AD204)+N(AD205)+N(AD208)+N(AD226)+N(AD229))/AD262,""),"")</f>
        <v>4.05661792275966</v>
      </c>
      <c r="AE319" s="262">
        <f>IFERROR(IF(N(AE262)&lt;&gt;0,(N(AE203)+N(AE204)+N(AE205)+N(AE208)+N(AE226)+N(AE229))/AE262,""),"")</f>
        <v>3.58987218896619</v>
      </c>
      <c r="AF319" s="262">
        <f>IFERROR(IF(N(AF262)&lt;&gt;0,(N(AF203)+N(AF204)+N(AF205)+N(AF208)+N(AF226)+N(AF229))/AF262,""),"")</f>
        <v>3.22868620740961</v>
      </c>
      <c r="AG319" s="262">
        <f>IFERROR(IF(N(AG262)&lt;&gt;0,(N(AG203)+N(AG204)+N(AG205)+N(AG208)+N(AG226)+N(AG229))/AG262,""),"")</f>
        <v>3.22868620740961</v>
      </c>
      <c r="AH319" s="262">
        <f>IFERROR(IF(N(AH262)&lt;&gt;0,(N(AH203)+N(AH204)+N(AH205)+N(AH208)+N(AH226)+N(AH229))/AH262,""),"")</f>
        <v>2.76365335825878</v>
      </c>
      <c r="AI319" s="262">
        <f>IFERROR(IF(N(AI262)&lt;&gt;0,(N(AI203)+N(AI204)+N(AI205)+N(AI208)+N(AI226)+N(AI229))/AI262,""),"")</f>
        <v>2.34238138686131</v>
      </c>
      <c r="AJ319" s="262">
        <f>IFERROR(IF(N(AJ262)&lt;&gt;0,(N(AJ203)+N(AJ204)+N(AJ205)+N(AJ208)+N(AJ226)+N(AJ229))/AJ262,""),"")</f>
        <v>1.96571029407285</v>
      </c>
      <c r="AK319" s="262">
        <f>IFERROR(IF(N(AK262)&lt;&gt;0,(N(AK203)+N(AK204)+N(AK205)+N(AK208)+N(AK226)+N(AK229))/AK262,""),"")</f>
        <v>1.67208982523773</v>
      </c>
      <c r="AL319" s="262">
        <f>IFERROR(IF(N(AL262)&lt;&gt;0,(N(AL203)+N(AL204)+N(AL205)+N(AL208)+N(AL226)+N(AL229))/AL262,""),"")</f>
        <v>1.67208982523773</v>
      </c>
      <c r="AM319" s="262">
        <f>IFERROR(IF(N(AM262)&lt;&gt;0,(N(AM203)+N(AM204)+N(AM205)+N(AM208)+N(AM226)+N(AM229))/AM262,""),"")</f>
        <v>1.47650484400232</v>
      </c>
      <c r="AN319" s="262">
        <f>IFERROR(IF(N(AN262)&lt;&gt;0,(N(AN203)+N(AN204)+N(AN205)+N(AN208)+N(AN226)+N(AN229))/AN262,""),"")</f>
        <v>1.30638184801807</v>
      </c>
      <c r="AO319" s="262">
        <f>IFERROR(IF(N(AO262)&lt;&gt;0,(N(AO203)+N(AO204)+N(AO205)+N(AO208)+N(AO226)+N(AO229))/AO262,""),"")</f>
        <v>1.17393855440403</v>
      </c>
      <c r="AP319" s="262">
        <f>IFERROR(IF(N(AP262)&lt;&gt;0,(N(AP203)+N(AP204)+N(AP205)+N(AP208)+N(AP226)+N(AP229))/AP262,""),"")</f>
        <v>1.05692745634578</v>
      </c>
      <c r="AQ319" s="262">
        <f>IFERROR(IF(N(AQ262)&lt;&gt;0,(N(AQ203)+N(AQ204)+N(AQ205)+N(AQ208)+N(AQ226)+N(AQ229))/AQ262,""),"")</f>
        <v>1.05692745634578</v>
      </c>
      <c r="AR319" s="262">
        <f>IFERROR(IF(N(AR262)&lt;&gt;0,(N(AR203)+N(AR204)+N(AR205)+N(AR208)+N(AR226)+N(AR229))/AR262,""),"")</f>
        <v>0.971464015246168</v>
      </c>
      <c r="AS319" s="262">
        <f>IFERROR(IF(N(AS262)&lt;&gt;0,(N(AS203)+N(AS204)+N(AS205)+N(AS208)+N(AS226)+N(AS229))/AS262,""),"")</f>
        <v>0.89123280460448</v>
      </c>
      <c r="AT319" s="262">
        <f>IFERROR(IF(N(AT262)&lt;&gt;0,(N(AT203)+N(AT204)+N(AT205)+N(AT208)+N(AT226)+N(AT229))/AT262,""),"")</f>
        <v>0.824553377130246</v>
      </c>
      <c r="AU319" s="262">
        <f>IFERROR(IF(N(AU262)&lt;&gt;0,(N(AU203)+N(AU204)+N(AU205)+N(AU208)+N(AU226)+N(AU229))/AU262,""),"")</f>
        <v>0.762275380731858</v>
      </c>
      <c r="AV319" s="262">
        <f>IFERROR(IF(N(AV262)&lt;&gt;0,(N(AV203)+N(AV204)+N(AV205)+N(AV208)+N(AV226)+N(AV229))/AV262,""),"")</f>
        <v>0.762275380731858</v>
      </c>
      <c r="AW319" s="262">
        <f>IFERROR(IF(N(AW262)&lt;&gt;0,(N(AW203)+N(AW204)+N(AW205)+N(AW208)+N(AW226)+N(AW229))/AW262,""),"")</f>
        <v>0.71484792697084</v>
      </c>
      <c r="AX319" s="262">
        <f>IFERROR(IF(N(AX262)&lt;&gt;0,(N(AX203)+N(AX204)+N(AX205)+N(AX208)+N(AX226)+N(AX229))/AX262,""),"")</f>
        <v>0.668539305986314</v>
      </c>
      <c r="AY319" s="262">
        <f>IFERROR(IF(N(AY262)&lt;&gt;0,(N(AY203)+N(AY204)+N(AY205)+N(AY208)+N(AY226)+N(AY229))/AY262,""),"")</f>
        <v>0.628662341439246</v>
      </c>
      <c r="AZ319" s="262">
        <f>IFERROR(IF(N(AZ262)&lt;&gt;0,(N(AZ203)+N(AZ204)+N(AZ205)+N(AZ208)+N(AZ226)+N(AZ229))/AZ262,""),"")</f>
        <v>0.590218231839483</v>
      </c>
      <c r="BA319" s="262">
        <f>IFERROR(IF(N(BA262)&lt;&gt;0,(N(BA203)+N(BA204)+N(BA205)+N(BA208)+N(BA226)+N(BA229))/BA262,""),"")</f>
        <v>0.590218231839483</v>
      </c>
      <c r="BB319" s="262">
        <f>IFERROR(IF(N(BB262)&lt;&gt;0,(N(BB203)+N(BB204)+N(BB205)+N(BB208)+N(BB226)+N(BB229))/BB262,""),"")</f>
        <v>0.560266253863358</v>
      </c>
      <c r="BC319" s="262">
        <f>IFERROR(IF(N(BC262)&lt;&gt;0,(N(BC203)+N(BC204)+N(BC205)+N(BC208)+N(BC226)+N(BC229))/BC262,""),"")</f>
        <v>0.530305286598612</v>
      </c>
      <c r="BD319" s="262">
        <f>IFERROR(IF(N(BD262)&lt;&gt;0,(N(BD203)+N(BD204)+N(BD205)+N(BD208)+N(BD226)+N(BD229))/BD262,""),"")</f>
        <v>0.503918983617334</v>
      </c>
      <c r="BE319" s="262">
        <f>IFERROR(IF(N(BE262)&lt;&gt;0,(N(BE203)+N(BE204)+N(BE205)+N(BE208)+N(BE226)+N(BE229))/BE262,""),"")</f>
        <v>0.477949878527977</v>
      </c>
      <c r="BF319" s="262">
        <f>IFERROR(IF(N(BF262)&lt;&gt;0,(N(BF203)+N(BF204)+N(BF205)+N(BF208)+N(BF226)+N(BF229))/BF262,""),"")</f>
        <v>0.477949878527977</v>
      </c>
    </row>
    <row r="320" customFormat="1" s="77">
      <c r="A320" s="76" t="n"/>
      <c r="B320" s="76" t="n"/>
      <c r="C320" s="77" t="inlineStr">
        <is>
          <t>NET DEBT / (NET DEBT + EQUITY) (BOOK VALUE)</t>
        </is>
      </c>
      <c r="H320" s="258" t="str">
        <f>IFERROR(IF(((N(H203)+N(H204)+N(H205)+N(H208)+N(H226)+N(H229))-N(H135)+N(H262))&lt;&gt;0,((N(H203)+N(H204)+N(H205)+N(H208)+N(H226)+N(H229))-N(H135))/((N(H203)+N(H204)+N(H205)+N(H208)+N(H226)+N(H229))-N(H135)+H262),""),"")</f>
        <v/>
      </c>
      <c r="I320" s="258">
        <f>IFERROR(IF(((N(I203)+N(I204)+N(I205)+N(I208)+N(I226)+N(I229))-N(I135)+N(I262))&lt;&gt;0,((N(I203)+N(I204)+N(I205)+N(I208)+N(I226)+N(I229))-N(I135))/((N(I203)+N(I204)+N(I205)+N(I208)+N(I226)+N(I229))-N(I135)+I262),""),"")</f>
        <v>0.593073314913577</v>
      </c>
      <c r="J320" s="258">
        <f>IFERROR(IF(((N(J203)+N(J204)+N(J205)+N(J208)+N(J226)+N(J229))-N(J135)+N(J262))&lt;&gt;0,((N(J203)+N(J204)+N(J205)+N(J208)+N(J226)+N(J229))-N(J135))/((N(J203)+N(J204)+N(J205)+N(J208)+N(J226)+N(J229))-N(J135)+J262),""),"")</f>
        <v>0.590749561293557</v>
      </c>
      <c r="K320" s="258">
        <f>IFERROR(IF(((N(K203)+N(K204)+N(K205)+N(K208)+N(K226)+N(K229))-N(K135)+N(K262))&lt;&gt;0,((N(K203)+N(K204)+N(K205)+N(K208)+N(K226)+N(K229))-N(K135))/((N(K203)+N(K204)+N(K205)+N(K208)+N(K226)+N(K229))-N(K135)+K262),""),"")</f>
        <v>0.481591129292712</v>
      </c>
      <c r="L320" s="258">
        <f>IFERROR(IF(((N(L203)+N(L204)+N(L205)+N(L208)+N(L226)+N(L229))-N(L135)+N(L262))&lt;&gt;0,((N(L203)+N(L204)+N(L205)+N(L208)+N(L226)+N(L229))-N(L135))/((N(L203)+N(L204)+N(L205)+N(L208)+N(L226)+N(L229))-N(L135)+L262),""),"")</f>
        <v>0.424150070936892</v>
      </c>
      <c r="M320" s="258">
        <f>IFERROR(IF(((N(M203)+N(M204)+N(M205)+N(M208)+N(M226)+N(M229))-N(M135)+N(M262))&lt;&gt;0,((N(M203)+N(M204)+N(M205)+N(M208)+N(M226)+N(M229))-N(M135))/((N(M203)+N(M204)+N(M205)+N(M208)+N(M226)+N(M229))-N(M135)+M262),""),"")</f>
        <v>0.424150070936892</v>
      </c>
      <c r="N320" s="258">
        <f>IFERROR(IF(((N(N203)+N(N204)+N(N205)+N(N208)+N(N226)+N(N229))-N(N135)+N(N262))&lt;&gt;0,((N(N203)+N(N204)+N(N205)+N(N208)+N(N226)+N(N229))-N(N135))/((N(N203)+N(N204)+N(N205)+N(N208)+N(N226)+N(N229))-N(N135)+N262),""),"")</f>
        <v>0.493928354584092</v>
      </c>
      <c r="O320" s="258">
        <f>IFERROR(IF(((N(O203)+N(O204)+N(O205)+N(O208)+N(O226)+N(O229))-N(O135)+N(O262))&lt;&gt;0,((N(O203)+N(O204)+N(O205)+N(O208)+N(O226)+N(O229))-N(O135))/((N(O203)+N(O204)+N(O205)+N(O208)+N(O226)+N(O229))-N(O135)+O262),""),"")</f>
        <v>0.463311581615887</v>
      </c>
      <c r="P320" s="258">
        <f>IFERROR(IF(((N(P203)+N(P204)+N(P205)+N(P208)+N(P226)+N(P229))-N(P135)+N(P262))&lt;&gt;0,((N(P203)+N(P204)+N(P205)+N(P208)+N(P226)+N(P229))-N(P135))/((N(P203)+N(P204)+N(P205)+N(P208)+N(P226)+N(P229))-N(P135)+P262),""),"")</f>
        <v>0.430624286258089</v>
      </c>
      <c r="Q320" s="258">
        <f>IFERROR(IF(((N(Q203)+N(Q204)+N(Q205)+N(Q208)+N(Q226)+N(Q229))-N(Q135)+N(Q262))&lt;&gt;0,((N(Q203)+N(Q204)+N(Q205)+N(Q208)+N(Q226)+N(Q229))-N(Q135))/((N(Q203)+N(Q204)+N(Q205)+N(Q208)+N(Q226)+N(Q229))-N(Q135)+Q262),""),"")</f>
        <v>0.581632653061225</v>
      </c>
      <c r="R320" s="258">
        <f>IFERROR(IF(((N(R203)+N(R204)+N(R205)+N(R208)+N(R226)+N(R229))-N(R135)+N(R262))&lt;&gt;0,((N(R203)+N(R204)+N(R205)+N(R208)+N(R226)+N(R229))-N(R135))/((N(R203)+N(R204)+N(R205)+N(R208)+N(R226)+N(R229))-N(R135)+R262),""),"")</f>
        <v>0.581632653061225</v>
      </c>
      <c r="S320" s="258">
        <f>IFERROR(IF(((N(S203)+N(S204)+N(S205)+N(S208)+N(S226)+N(S229))-N(S135)+N(S262))&lt;&gt;0,((N(S203)+N(S204)+N(S205)+N(S208)+N(S226)+N(S229))-N(S135))/((N(S203)+N(S204)+N(S205)+N(S208)+N(S226)+N(S229))-N(S135)+S262),""),"")</f>
        <v>0.577041129527317</v>
      </c>
      <c r="T320" s="258">
        <f>IFERROR(IF(((N(T203)+N(T204)+N(T205)+N(T208)+N(T226)+N(T229))-N(T135)+N(T262))&lt;&gt;0,((N(T203)+N(T204)+N(T205)+N(T208)+N(T226)+N(T229))-N(T135))/((N(T203)+N(T204)+N(T205)+N(T208)+N(T226)+N(T229))-N(T135)+T262),""),"")</f>
        <v>0.600207684319834</v>
      </c>
      <c r="U320" s="258">
        <f>IFERROR(IF(((N(U203)+N(U204)+N(U205)+N(U208)+N(U226)+N(U229))-N(U135)+N(U262))&lt;&gt;0,((N(U203)+N(U204)+N(U205)+N(U208)+N(U226)+N(U229))-N(U135))/((N(U203)+N(U204)+N(U205)+N(U208)+N(U226)+N(U229))-N(U135)+U262),""),"")</f>
        <v>0.598736587054344</v>
      </c>
      <c r="V320" s="258">
        <f>IFERROR(IF(((N(V203)+N(V204)+N(V205)+N(V208)+N(V226)+N(V229))-N(V135)+N(V262))&lt;&gt;0,((N(V203)+N(V204)+N(V205)+N(V208)+N(V226)+N(V229))-N(V135))/((N(V203)+N(V204)+N(V205)+N(V208)+N(V226)+N(V229))-N(V135)+V262),""),"")</f>
        <v>0.700901452826886</v>
      </c>
      <c r="W320" s="258">
        <f>IFERROR(IF(((N(W203)+N(W204)+N(W205)+N(W208)+N(W226)+N(W229))-N(W135)+N(W262))&lt;&gt;0,((N(W203)+N(W204)+N(W205)+N(W208)+N(W226)+N(W229))-N(W135))/((N(W203)+N(W204)+N(W205)+N(W208)+N(W226)+N(W229))-N(W135)+W262),""),"")</f>
        <v>0.700901452826886</v>
      </c>
      <c r="X320" s="258">
        <f>IFERROR(IF(((N(X203)+N(X204)+N(X205)+N(X208)+N(X226)+N(X229))-N(X135)+N(X262))&lt;&gt;0,((N(X203)+N(X204)+N(X205)+N(X208)+N(X226)+N(X229))-N(X135))/((N(X203)+N(X204)+N(X205)+N(X208)+N(X226)+N(X229))-N(X135)+X262),""),"")</f>
        <v>0.71432253630037</v>
      </c>
      <c r="Y320" s="258">
        <f>IFERROR(IF(((N(Y203)+N(Y204)+N(Y205)+N(Y208)+N(Y226)+N(Y229))-N(Y135)+N(Y262))&lt;&gt;0,((N(Y203)+N(Y204)+N(Y205)+N(Y208)+N(Y226)+N(Y229))-N(Y135))/((N(Y203)+N(Y204)+N(Y205)+N(Y208)+N(Y226)+N(Y229))-N(Y135)+Y262),""),"")</f>
        <v>0.730455279584443</v>
      </c>
      <c r="Z320" s="258">
        <f>IFERROR(IF(((N(Z203)+N(Z204)+N(Z205)+N(Z208)+N(Z226)+N(Z229))-N(Z135)+N(Z262))&lt;&gt;0,((N(Z203)+N(Z204)+N(Z205)+N(Z208)+N(Z226)+N(Z229))-N(Z135))/((N(Z203)+N(Z204)+N(Z205)+N(Z208)+N(Z226)+N(Z229))-N(Z135)+Z262),""),"")</f>
        <v>0.69191270860077</v>
      </c>
      <c r="AA320" s="258">
        <f>IFERROR(IF(((N(AA203)+N(AA204)+N(AA205)+N(AA208)+N(AA226)+N(AA229))-N(AA135)+N(AA262))&lt;&gt;0,((N(AA203)+N(AA204)+N(AA205)+N(AA208)+N(AA226)+N(AA229))-N(AA135))/((N(AA203)+N(AA204)+N(AA205)+N(AA208)+N(AA226)+N(AA229))-N(AA135)+AA262),""),"")</f>
        <v>0.737437810945274</v>
      </c>
      <c r="AB320" s="258">
        <f>IFERROR(IF(((N(AB203)+N(AB204)+N(AB205)+N(AB208)+N(AB226)+N(AB229))-N(AB135)+N(AB262))&lt;&gt;0,((N(AB203)+N(AB204)+N(AB205)+N(AB208)+N(AB226)+N(AB229))-N(AB135))/((N(AB203)+N(AB204)+N(AB205)+N(AB208)+N(AB226)+N(AB229))-N(AB135)+AB262),""),"")</f>
        <v>0.737437810945274</v>
      </c>
      <c r="AC320" s="258">
        <f>IFERROR(IF(((N(AC203)+N(AC204)+N(AC205)+N(AC208)+N(AC226)+N(AC229))-N(AC135)+N(AC262))&lt;&gt;0,((N(AC203)+N(AC204)+N(AC205)+N(AC208)+N(AC226)+N(AC229))-N(AC135))/((N(AC203)+N(AC204)+N(AC205)+N(AC208)+N(AC226)+N(AC229))-N(AC135)+AC262),""),"")</f>
        <v>0.734633100381194</v>
      </c>
      <c r="AD320" s="258">
        <f>IFERROR(IF(((N(AD203)+N(AD204)+N(AD205)+N(AD208)+N(AD226)+N(AD229))-N(AD135)+N(AD262))&lt;&gt;0,((N(AD203)+N(AD204)+N(AD205)+N(AD208)+N(AD226)+N(AD229))-N(AD135))/((N(AD203)+N(AD204)+N(AD205)+N(AD208)+N(AD226)+N(AD229))-N(AD135)+AD262),""),"")</f>
        <v>0.79228163090463</v>
      </c>
      <c r="AE320" s="258">
        <f>IFERROR(IF(((N(AE203)+N(AE204)+N(AE205)+N(AE208)+N(AE226)+N(AE229))-N(AE135)+N(AE262))&lt;&gt;0,((N(AE203)+N(AE204)+N(AE205)+N(AE208)+N(AE226)+N(AE229))-N(AE135))/((N(AE203)+N(AE204)+N(AE205)+N(AE208)+N(AE226)+N(AE229))-N(AE135)+AE262),""),"")</f>
        <v>0.751767068273092</v>
      </c>
      <c r="AF320" s="258">
        <f>IFERROR(IF(((N(AF203)+N(AF204)+N(AF205)+N(AF208)+N(AF226)+N(AF229))-N(AF135)+N(AF262))&lt;&gt;0,((N(AF203)+N(AF204)+N(AF205)+N(AF208)+N(AF226)+N(AF229))-N(AF135))/((N(AF203)+N(AF204)+N(AF205)+N(AF208)+N(AF226)+N(AF229))-N(AF135)+AF262),""),"")</f>
        <v>0.723415637860082</v>
      </c>
      <c r="AG320" s="258">
        <f>IFERROR(IF(((N(AG203)+N(AG204)+N(AG205)+N(AG208)+N(AG226)+N(AG229))-N(AG135)+N(AG262))&lt;&gt;0,((N(AG203)+N(AG204)+N(AG205)+N(AG208)+N(AG226)+N(AG229))-N(AG135))/((N(AG203)+N(AG204)+N(AG205)+N(AG208)+N(AG226)+N(AG229))-N(AG135)+AG262),""),"")</f>
        <v>0.723415637860082</v>
      </c>
      <c r="AH320" s="258">
        <f>IFERROR(IF(((N(AH203)+N(AH204)+N(AH205)+N(AH208)+N(AH226)+N(AH229))-N(AH135)+N(AH262))&lt;&gt;0,((N(AH203)+N(AH204)+N(AH205)+N(AH208)+N(AH226)+N(AH229))-N(AH135))/((N(AH203)+N(AH204)+N(AH205)+N(AH208)+N(AH226)+N(AH229))-N(AH135)+AH262),""),"")</f>
        <v>0.715160505096607</v>
      </c>
      <c r="AI320" s="258">
        <f>IFERROR(IF(((N(AI203)+N(AI204)+N(AI205)+N(AI208)+N(AI226)+N(AI229))-N(AI135)+N(AI262))&lt;&gt;0,((N(AI203)+N(AI204)+N(AI205)+N(AI208)+N(AI226)+N(AI229))-N(AI135))/((N(AI203)+N(AI204)+N(AI205)+N(AI208)+N(AI226)+N(AI229))-N(AI135)+AI262),""),"")</f>
        <v>0.656359004507153</v>
      </c>
      <c r="AJ320" s="258">
        <f>IFERROR(IF(((N(AJ203)+N(AJ204)+N(AJ205)+N(AJ208)+N(AJ226)+N(AJ229))-N(AJ135)+N(AJ262))&lt;&gt;0,((N(AJ203)+N(AJ204)+N(AJ205)+N(AJ208)+N(AJ226)+N(AJ229))-N(AJ135))/((N(AJ203)+N(AJ204)+N(AJ205)+N(AJ208)+N(AJ226)+N(AJ229))-N(AJ135)+AJ262),""),"")</f>
        <v>0.553948213563709</v>
      </c>
      <c r="AK320" s="258">
        <f>IFERROR(IF(((N(AK203)+N(AK204)+N(AK205)+N(AK208)+N(AK226)+N(AK229))-N(AK135)+N(AK262))&lt;&gt;0,((N(AK203)+N(AK204)+N(AK205)+N(AK208)+N(AK226)+N(AK229))-N(AK135))/((N(AK203)+N(AK204)+N(AK205)+N(AK208)+N(AK226)+N(AK229))-N(AK135)+AK262),""),"")</f>
        <v>0.483800479958682</v>
      </c>
      <c r="AL320" s="258">
        <f>IFERROR(IF(((N(AL203)+N(AL204)+N(AL205)+N(AL208)+N(AL226)+N(AL229))-N(AL135)+N(AL262))&lt;&gt;0,((N(AL203)+N(AL204)+N(AL205)+N(AL208)+N(AL226)+N(AL229))-N(AL135))/((N(AL203)+N(AL204)+N(AL205)+N(AL208)+N(AL226)+N(AL229))-N(AL135)+AL262),""),"")</f>
        <v>0.483800479958682</v>
      </c>
      <c r="AM320" s="258">
        <f>IFERROR(IF(((N(AM203)+N(AM204)+N(AM205)+N(AM208)+N(AM226)+N(AM229))-N(AM135)+N(AM262))&lt;&gt;0,((N(AM203)+N(AM204)+N(AM205)+N(AM208)+N(AM226)+N(AM229))-N(AM135))/((N(AM203)+N(AM204)+N(AM205)+N(AM208)+N(AM226)+N(AM229))-N(AM135)+AM262),""),"")</f>
        <v>0.420629262293929</v>
      </c>
      <c r="AN320" s="258">
        <f>IFERROR(IF(((N(AN203)+N(AN204)+N(AN205)+N(AN208)+N(AN226)+N(AN229))-N(AN135)+N(AN262))&lt;&gt;0,((N(AN203)+N(AN204)+N(AN205)+N(AN208)+N(AN226)+N(AN229))-N(AN135))/((N(AN203)+N(AN204)+N(AN205)+N(AN208)+N(AN226)+N(AN229))-N(AN135)+AN262),""),"")</f>
        <v>0.354544751008219</v>
      </c>
      <c r="AO320" s="258">
        <f>IFERROR(IF(((N(AO203)+N(AO204)+N(AO205)+N(AO208)+N(AO226)+N(AO229))-N(AO135)+N(AO262))&lt;&gt;0,((N(AO203)+N(AO204)+N(AO205)+N(AO208)+N(AO226)+N(AO229))-N(AO135))/((N(AO203)+N(AO204)+N(AO205)+N(AO208)+N(AO226)+N(AO229))-N(AO135)+AO262),""),"")</f>
        <v>0.289438622436469</v>
      </c>
      <c r="AP320" s="258">
        <f>IFERROR(IF(((N(AP203)+N(AP204)+N(AP205)+N(AP208)+N(AP226)+N(AP229))-N(AP135)+N(AP262))&lt;&gt;0,((N(AP203)+N(AP204)+N(AP205)+N(AP208)+N(AP226)+N(AP229))-N(AP135))/((N(AP203)+N(AP204)+N(AP205)+N(AP208)+N(AP226)+N(AP229))-N(AP135)+AP262),""),"")</f>
        <v>0.222113469791159</v>
      </c>
      <c r="AQ320" s="258">
        <f>IFERROR(IF(((N(AQ203)+N(AQ204)+N(AQ205)+N(AQ208)+N(AQ226)+N(AQ229))-N(AQ135)+N(AQ262))&lt;&gt;0,((N(AQ203)+N(AQ204)+N(AQ205)+N(AQ208)+N(AQ226)+N(AQ229))-N(AQ135))/((N(AQ203)+N(AQ204)+N(AQ205)+N(AQ208)+N(AQ226)+N(AQ229))-N(AQ135)+AQ262),""),"")</f>
        <v>0.222113469791159</v>
      </c>
      <c r="AR320" s="258">
        <f>IFERROR(IF(((N(AR203)+N(AR204)+N(AR205)+N(AR208)+N(AR226)+N(AR229))-N(AR135)+N(AR262))&lt;&gt;0,((N(AR203)+N(AR204)+N(AR205)+N(AR208)+N(AR226)+N(AR229))-N(AR135))/((N(AR203)+N(AR204)+N(AR205)+N(AR208)+N(AR226)+N(AR229))-N(AR135)+AR262),""),"")</f>
        <v>0.160467442929817</v>
      </c>
      <c r="AS320" s="258">
        <f>IFERROR(IF(((N(AS203)+N(AS204)+N(AS205)+N(AS208)+N(AS226)+N(AS229))-N(AS135)+N(AS262))&lt;&gt;0,((N(AS203)+N(AS204)+N(AS205)+N(AS208)+N(AS226)+N(AS229))-N(AS135))/((N(AS203)+N(AS204)+N(AS205)+N(AS208)+N(AS226)+N(AS229))-N(AS135)+AS262),""),"")</f>
        <v>0.0976692586157754</v>
      </c>
      <c r="AT320" s="258">
        <f>IFERROR(IF(((N(AT203)+N(AT204)+N(AT205)+N(AT208)+N(AT226)+N(AT229))-N(AT135)+N(AT262))&lt;&gt;0,((N(AT203)+N(AT204)+N(AT205)+N(AT208)+N(AT226)+N(AT229))-N(AT135))/((N(AT203)+N(AT204)+N(AT205)+N(AT208)+N(AT226)+N(AT229))-N(AT135)+AT262),""),"")</f>
        <v>0.0346591670030129</v>
      </c>
      <c r="AU320" s="258">
        <f>IFERROR(IF(((N(AU203)+N(AU204)+N(AU205)+N(AU208)+N(AU226)+N(AU229))-N(AU135)+N(AU262))&lt;&gt;0,((N(AU203)+N(AU204)+N(AU205)+N(AU208)+N(AU226)+N(AU229))-N(AU135))/((N(AU203)+N(AU204)+N(AU205)+N(AU208)+N(AU226)+N(AU229))-N(AU135)+AU262),""),"")</f>
        <v>-0.0297170868766517</v>
      </c>
      <c r="AV320" s="258">
        <f>IFERROR(IF(((N(AV203)+N(AV204)+N(AV205)+N(AV208)+N(AV226)+N(AV229))-N(AV135)+N(AV262))&lt;&gt;0,((N(AV203)+N(AV204)+N(AV205)+N(AV208)+N(AV226)+N(AV229))-N(AV135))/((N(AV203)+N(AV204)+N(AV205)+N(AV208)+N(AV226)+N(AV229))-N(AV135)+AV262),""),"")</f>
        <v>-0.0297170868766517</v>
      </c>
      <c r="AW320" s="258">
        <f>IFERROR(IF(((N(AW203)+N(AW204)+N(AW205)+N(AW208)+N(AW226)+N(AW229))-N(AW135)+N(AW262))&lt;&gt;0,((N(AW203)+N(AW204)+N(AW205)+N(AW208)+N(AW226)+N(AW229))-N(AW135))/((N(AW203)+N(AW204)+N(AW205)+N(AW208)+N(AW226)+N(AW229))-N(AW135)+AW262),""),"")</f>
        <v>-0.0895828528514322</v>
      </c>
      <c r="AX320" s="258">
        <f>IFERROR(IF(((N(AX203)+N(AX204)+N(AX205)+N(AX208)+N(AX226)+N(AX229))-N(AX135)+N(AX262))&lt;&gt;0,((N(AX203)+N(AX204)+N(AX205)+N(AX208)+N(AX226)+N(AX229))-N(AX135))/((N(AX203)+N(AX204)+N(AX205)+N(AX208)+N(AX226)+N(AX229))-N(AX135)+AX262),""),"")</f>
        <v>-0.149500057085256</v>
      </c>
      <c r="AY320" s="258">
        <f>IFERROR(IF(((N(AY203)+N(AY204)+N(AY205)+N(AY208)+N(AY226)+N(AY229))-N(AY135)+N(AY262))&lt;&gt;0,((N(AY203)+N(AY204)+N(AY205)+N(AY208)+N(AY226)+N(AY229))-N(AY135))/((N(AY203)+N(AY204)+N(AY205)+N(AY208)+N(AY226)+N(AY229))-N(AY135)+AY262),""),"")</f>
        <v>-0.210382094480618</v>
      </c>
      <c r="AZ320" s="258">
        <f>IFERROR(IF(((N(AZ203)+N(AZ204)+N(AZ205)+N(AZ208)+N(AZ226)+N(AZ229))-N(AZ135)+N(AZ262))&lt;&gt;0,((N(AZ203)+N(AZ204)+N(AZ205)+N(AZ208)+N(AZ226)+N(AZ229))-N(AZ135))/((N(AZ203)+N(AZ204)+N(AZ205)+N(AZ208)+N(AZ226)+N(AZ229))-N(AZ135)+AZ262),""),"")</f>
        <v>-0.271755958369552</v>
      </c>
      <c r="BA320" s="258">
        <f>IFERROR(IF(((N(BA203)+N(BA204)+N(BA205)+N(BA208)+N(BA226)+N(BA229))-N(BA135)+N(BA262))&lt;&gt;0,((N(BA203)+N(BA204)+N(BA205)+N(BA208)+N(BA226)+N(BA229))-N(BA135))/((N(BA203)+N(BA204)+N(BA205)+N(BA208)+N(BA226)+N(BA229))-N(BA135)+BA262),""),"")</f>
        <v>-0.271755958369552</v>
      </c>
      <c r="BB320" s="258">
        <f>IFERROR(IF(((N(BB203)+N(BB204)+N(BB205)+N(BB208)+N(BB226)+N(BB229))-N(BB135)+N(BB262))&lt;&gt;0,((N(BB203)+N(BB204)+N(BB205)+N(BB208)+N(BB226)+N(BB229))-N(BB135))/((N(BB203)+N(BB204)+N(BB205)+N(BB208)+N(BB226)+N(BB229))-N(BB135)+BB262),""),"")</f>
        <v>-0.329885216616369</v>
      </c>
      <c r="BC320" s="258">
        <f>IFERROR(IF(((N(BC203)+N(BC204)+N(BC205)+N(BC208)+N(BC226)+N(BC229))-N(BC135)+N(BC262))&lt;&gt;0,((N(BC203)+N(BC204)+N(BC205)+N(BC208)+N(BC226)+N(BC229))-N(BC135))/((N(BC203)+N(BC204)+N(BC205)+N(BC208)+N(BC226)+N(BC229))-N(BC135)+BC262),""),"")</f>
        <v>-0.38657039560371</v>
      </c>
      <c r="BD320" s="258">
        <f>IFERROR(IF(((N(BD203)+N(BD204)+N(BD205)+N(BD208)+N(BD226)+N(BD229))-N(BD135)+N(BD262))&lt;&gt;0,((N(BD203)+N(BD204)+N(BD205)+N(BD208)+N(BD226)+N(BD229))-N(BD135))/((N(BD203)+N(BD204)+N(BD205)+N(BD208)+N(BD226)+N(BD229))-N(BD135)+BD262),""),"")</f>
        <v>-0.445051763392259</v>
      </c>
      <c r="BE320" s="258">
        <f>IFERROR(IF(((N(BE203)+N(BE204)+N(BE205)+N(BE208)+N(BE226)+N(BE229))-N(BE135)+N(BE262))&lt;&gt;0,((N(BE203)+N(BE204)+N(BE205)+N(BE208)+N(BE226)+N(BE229))-N(BE135))/((N(BE203)+N(BE204)+N(BE205)+N(BE208)+N(BE226)+N(BE229))-N(BE135)+BE262),""),"")</f>
        <v>-0.50313439220492</v>
      </c>
      <c r="BF320" s="258">
        <f>IFERROR(IF(((N(BF203)+N(BF204)+N(BF205)+N(BF208)+N(BF226)+N(BF229))-N(BF135)+N(BF262))&lt;&gt;0,((N(BF203)+N(BF204)+N(BF205)+N(BF208)+N(BF226)+N(BF229))-N(BF135))/((N(BF203)+N(BF204)+N(BF205)+N(BF208)+N(BF226)+N(BF229))-N(BF135)+BF262),""),"")</f>
        <v>-0.50313439220492</v>
      </c>
    </row>
    <row r="321" customFormat="1" s="77">
      <c r="A321" s="76" t="n"/>
      <c r="B321" s="76" t="n"/>
    </row>
    <row r="322" customFormat="1" s="77">
      <c r="A322" s="76" t="n"/>
      <c r="B322" s="76" t="n"/>
      <c r="C322" s="74" t="inlineStr">
        <is>
          <t>FINANCIAL RISK RATIOS</t>
        </is>
      </c>
    </row>
    <row r="323" customFormat="1" s="77">
      <c r="A323" s="76" t="n"/>
      <c r="B323" s="76" t="n"/>
      <c r="C323" s="77" t="inlineStr">
        <is>
          <t>EBITDA / TOTAL INTEREST (LTM)</t>
        </is>
      </c>
      <c r="D323" s="82" t="str">
        <f>IFERROR(D60/-D65,"")</f>
        <v/>
      </c>
      <c r="E323" s="82" t="str">
        <f>IFERROR(E60/-E65,"")</f>
        <v/>
      </c>
      <c r="F323" s="82" t="str">
        <f>IFERROR(F60/-F65,"")</f>
        <v/>
      </c>
      <c r="G323" s="82" t="str">
        <f>IFERROR(G60/-G65,"")</f>
        <v/>
      </c>
      <c r="H323" s="262" t="str">
        <f>IFERROR(IF(AND(COUNT(H60)=1,(H65)&lt;&gt;0),(H60)/-(H65),""),"")</f>
        <v/>
      </c>
      <c r="I323" s="262" t="str">
        <f>""</f>
        <v/>
      </c>
      <c r="J323" s="262" t="str">
        <f>""</f>
        <v/>
      </c>
      <c r="K323" s="262" t="str">
        <f>""</f>
        <v/>
      </c>
      <c r="L323" s="262">
        <f>IFERROR(IF(AND(COUNT(I60,J60,K60,L60)=4,(I65+J65+K65+L65)&lt;&gt;0),(I60+J60+K60+L60)/-(I65+J65+K65+L65),""),"")</f>
        <v>18.4305799648506</v>
      </c>
      <c r="M323" s="262">
        <f>IFERROR(IF(AND(COUNT(I60,J60,K60,L60)=4,(I65+J65+K65+L65)&lt;&gt;0),(I60+J60+K60+L60)/-(I65+J65+K65+L65),""),"")</f>
        <v>18.4305799648506</v>
      </c>
      <c r="N323" s="262">
        <f>IFERROR(IF(AND(COUNT(J60,K60,L60,N60)=4,(J65+K65+L65+N65)&lt;&gt;0),(J60+K60+L60+N60)/-(J65+K65+L65+N65),""),"")</f>
        <v>18.1400709219858</v>
      </c>
      <c r="O323" s="262">
        <f>IFERROR(IF(AND(COUNT(K60,L60,N60,O60)=4,(K65+L65+N65+O65)&lt;&gt;0),(K60+L60+N60+O60)/-(K65+L65+N65+O65),""),"")</f>
        <v>17.7815275310835</v>
      </c>
      <c r="P323" s="262">
        <f>IFERROR(IF(AND(COUNT(L60,N60,O60,P60)=4,(L65+N65+O65+P65)&lt;&gt;0),(L60+N60+O60+P60)/-(L65+N65+O65+P65),""),"")</f>
        <v>17.3544973544974</v>
      </c>
      <c r="Q323" s="262">
        <f>IFERROR(IF(AND(COUNT(N60,O60,P60,Q60)=4,(N65+O65+P65+Q65)&lt;&gt;0),(N60+O60+P60+Q60)/-(N65+O65+P65+Q65),""),"")</f>
        <v>15.653290529695</v>
      </c>
      <c r="R323" s="262">
        <f>IFERROR(IF(AND(COUNT(N60,O60,P60,Q60)=4,(N65+O65+P65+Q65)&lt;&gt;0),(N60+O60+P60+Q60)/-(N65+O65+P65+Q65),""),"")</f>
        <v>15.653290529695</v>
      </c>
      <c r="S323" s="262">
        <f>IFERROR(IF(AND(COUNT(O60,P60,Q60,S60)=4,(O65+P65+Q65+S65)&lt;&gt;0),(O60+P60+Q60+S60)/-(O65+P65+Q65+S65),""),"")</f>
        <v>14.2782608695652</v>
      </c>
      <c r="T323" s="262">
        <f>IFERROR(IF(AND(COUNT(P60,Q60,S60,T60)=4,(P65+Q65+S65+T65)&lt;&gt;0),(P60+Q60+S60+T60)/-(P65+Q65+S65+T65),""),"")</f>
        <v>12.9727979274611</v>
      </c>
      <c r="U323" s="262">
        <f>IFERROR(IF(AND(COUNT(Q60,S60,T60,U60)=4,(Q65+S65+T65+U65)&lt;&gt;0),(Q60+S60+T60+U60)/-(Q65+S65+T65+U65),""),"")</f>
        <v>11.5219907407407</v>
      </c>
      <c r="V323" s="262">
        <f>IFERROR(IF(AND(COUNT(S60,T60,U60,V60)=4,(S65+T65+U65+V65)&lt;&gt;0),(S60+T60+U60+V60)/-(S65+T65+U65+V65),""),"")</f>
        <v>10.8482532751092</v>
      </c>
      <c r="W323" s="262">
        <f>IFERROR(IF(AND(COUNT(S60,T60,U60,V60)=4,(S65+T65+U65+V65)&lt;&gt;0),(S60+T60+U60+V60)/-(S65+T65+U65+V65),""),"")</f>
        <v>10.8482532751092</v>
      </c>
      <c r="X323" s="262">
        <f>IFERROR(IF(AND(COUNT(T60,U60,V60,X60)=4,(T65+U65+V65+X65)&lt;&gt;0),(T60+U60+V60+X60)/-(T65+U65+V65+X65),""),"")</f>
        <v>10.2734778121775</v>
      </c>
      <c r="Y323" s="262">
        <f>IFERROR(IF(AND(COUNT(U60,V60,X60,Y60)=4,(U65+V65+X65+Y65)&lt;&gt;0),(U60+V60+X60+Y60)/-(U65+V65+X65+Y65),""),"")</f>
        <v>9.92353525322741</v>
      </c>
      <c r="Z323" s="262">
        <f>IFERROR(IF(AND(COUNT(V60,X60,Y60,Z60)=4,(V65+X65+Y65+Z65)&lt;&gt;0),(V60+X60+Y60+Z60)/-(V65+X65+Y65+Z65),""),"")</f>
        <v>9.87426900584795</v>
      </c>
      <c r="AA323" s="262">
        <f>IFERROR(IF(AND(COUNT(X60,Y60,Z60,AA60)=4,(X65+Y65+Z65+AA65)&lt;&gt;0),(X60+Y60+Z60+AA60)/-(X65+Y65+Z65+AA65),""),"")</f>
        <v>8.27413127413128</v>
      </c>
      <c r="AB323" s="262">
        <f>IFERROR(IF(AND(COUNT(X60,Y60,Z60,AA60)=4,(X65+Y65+Z65+AA65)&lt;&gt;0),(X60+Y60+Z60+AA60)/-(X65+Y65+Z65+AA65),""),"")</f>
        <v>8.27413127413128</v>
      </c>
      <c r="AC323" s="262">
        <f>IFERROR(IF(AND(COUNT(Y60,Z60,AA60,AC60)=4,(Y65+Z65+AA65+AC65)&lt;&gt;0),(Y60+Z60+AA60+AC60)/-(Y65+Z65+AA65+AC65),""),"")</f>
        <v>8.54242135367016</v>
      </c>
      <c r="AD323" s="262">
        <f>IFERROR(IF(AND(COUNT(Z60,AA60,AC60,AD60)=4,(Z65+AA65+AC65+AD65)&lt;&gt;0),(Z60+AA60+AC60+AD60)/-(Z65+AA65+AC65+AD65),""),"")</f>
        <v>7.15725047080979</v>
      </c>
      <c r="AE323" s="262">
        <f>IFERROR(IF(AND(COUNT(AA60,AC60,AD60,AE60)=4,(AA65+AC65+AD65+AE65)&lt;&gt;0),(AA60+AC60+AD60+AE60)/-(AA65+AC65+AD65+AE65),""),"")</f>
        <v>7.12362637362637</v>
      </c>
      <c r="AF323" s="262">
        <f>IFERROR(IF(AND(COUNT(AB60,AD60,AE60,AF60)=4,(AB65+AD65+AE65+AF65)&lt;&gt;0),(AB60+AD60+AE60+AF60)/-(AB65+AD65+AE65+AF65),""),"")</f>
        <v>8.07051961823966</v>
      </c>
      <c r="AG323" s="262">
        <f>IFERROR(IF(AND(COUNT(AC60,AD60,AE60,AF60)=4,(AC65+AD65+AE65+AF65)&lt;&gt;0),(AC60+AD60+AE60+AF60)/-(AC65+AD65+AE65+AF65),""),"")</f>
        <v>8.42397137745975</v>
      </c>
      <c r="AH323" s="262">
        <f>IFERROR(IF(AND(COUNT(AD60,AF60,AG60,AH60)=4,(AD65+AF65+AG65+AH65)&lt;&gt;0),(AD60+AF60+AG60+AH60)/-(AD65+AF65+AG65+AH65),""),"")</f>
        <v>8.10866222450026</v>
      </c>
      <c r="AI323" s="262">
        <f>IFERROR(IF(AND(COUNT(AE60,AG60,AH60,AI60)=4,(AE65+AG65+AH65+AI65)&lt;&gt;0),(AE60+AG60+AH60+AI60)/-(AE65+AG65+AH65+AI65),""),"")</f>
        <v>9.00773594636411</v>
      </c>
      <c r="AJ323" s="262" t="str">
        <f>IFERROR(IF(AND(COUNT(AF60,AH60,AI60,AJ60)=4,(AF65+AH65+AI65+AJ65)&lt;&gt;0),(AF60+AH60+AI60+AJ60)/-(AF65+AH65+AI65+AJ65),""),"")</f>
        <v/>
      </c>
      <c r="AK323" s="262" t="str">
        <f>IFERROR(IF(AND(COUNT(AH60,AI60,AJ60,AK60)=4,(AH65+AI65+AJ65+AK65)&lt;&gt;0),(AH60+AI60+AJ60+AK60)/-(AH65+AI65+AJ65+AK65),""),"")</f>
        <v/>
      </c>
      <c r="AL323" s="262" t="str">
        <f>IFERROR(IF(AND(COUNT(AH60,AI60,AJ60,AK60)=4,(AH65+AI65+AJ65+AK65)&lt;&gt;0),(AH60+AI60+AJ60+AK60)/-(AH65+AI65+AJ65+AK65),""),"")</f>
        <v/>
      </c>
      <c r="AM323" s="262" t="str">
        <f>IFERROR(IF(AND(COUNT(AI60,AJ60,AK60,AM60)=4,(AI65+AJ65+AK65+AM65)&lt;&gt;0),(AI60+AJ60+AK60+AM60)/-(AI65+AJ65+AK65+AM65),""),"")</f>
        <v/>
      </c>
      <c r="AN323" s="262" t="str">
        <f>IFERROR(IF(AND(COUNT(AJ60,AK60,AM60,AN60)=4,(AJ65+AK65+AM65+AN65)&lt;&gt;0),(AJ60+AK60+AM60+AN60)/-(AJ65+AK65+AM65+AN65),""),"")</f>
        <v/>
      </c>
      <c r="AO323" s="262" t="str">
        <f>IFERROR(IF(AND(COUNT(AK60,AM60,AN60,AO60)=4,(AK65+AM65+AN65+AO65)&lt;&gt;0),(AK60+AM60+AN60+AO60)/-(AK65+AM65+AN65+AO65),""),"")</f>
        <v/>
      </c>
      <c r="AP323" s="262" t="str">
        <f>IFERROR(IF(AND(COUNT(AM60,AN60,AO60,AP60)=4,(AM65+AN65+AO65+AP65)&lt;&gt;0),(AM60+AN60+AO60+AP60)/-(AM65+AN65+AO65+AP65),""),"")</f>
        <v/>
      </c>
      <c r="AQ323" s="262" t="str">
        <f>IFERROR(IF(AND(COUNT(AM60,AN60,AO60,AP60)=4,(AM65+AN65+AO65+AP65)&lt;&gt;0),(AM60+AN60+AO60+AP60)/-(AM65+AN65+AO65+AP65),""),"")</f>
        <v/>
      </c>
      <c r="AR323" s="262" t="str">
        <f>IFERROR(IF(AND(COUNT(AN60,AO60,AP60,AR60)=4,(AN65+AO65+AP65+AR65)&lt;&gt;0),(AN60+AO60+AP60+AR60)/-(AN65+AO65+AP65+AR65),""),"")</f>
        <v/>
      </c>
      <c r="AS323" s="262" t="str">
        <f>IFERROR(IF(AND(COUNT(AO60,AP60,AR60,AS60)=4,(AO65+AP65+AR65+AS65)&lt;&gt;0),(AO60+AP60+AR60+AS60)/-(AO65+AP65+AR65+AS65),""),"")</f>
        <v/>
      </c>
      <c r="AT323" s="262" t="str">
        <f>IFERROR(IF(AND(COUNT(AP60,AR60,AS60,AT60)=4,(AP65+AR65+AS65+AT65)&lt;&gt;0),(AP60+AR60+AS60+AT60)/-(AP65+AR65+AS65+AT65),""),"")</f>
        <v/>
      </c>
      <c r="AU323" s="262" t="str">
        <f>IFERROR(IF(AND(COUNT(AR60,AS60,AT60,AU60)=4,(AR65+AS65+AT65+AU65)&lt;&gt;0),(AR60+AS60+AT60+AU60)/-(AR65+AS65+AT65+AU65),""),"")</f>
        <v/>
      </c>
      <c r="AV323" s="262" t="str">
        <f>IFERROR(IF(AND(COUNT(AR60,AS60,AT60,AU60)=4,(AR65+AS65+AT65+AU65)&lt;&gt;0),(AR60+AS60+AT60+AU60)/-(AR65+AS65+AT65+AU65),""),"")</f>
        <v/>
      </c>
      <c r="AW323" s="262" t="str">
        <f>IFERROR(IF(AND(COUNT(AS60,AT60,AU60,AW60)=4,(AS65+AT65+AU65+AW65)&lt;&gt;0),(AS60+AT60+AU60+AW60)/-(AS65+AT65+AU65+AW65),""),"")</f>
        <v/>
      </c>
      <c r="AX323" s="262" t="str">
        <f>IFERROR(IF(AND(COUNT(AT60,AU60,AW60,AX60)=4,(AT65+AU65+AW65+AX65)&lt;&gt;0),(AT60+AU60+AW60+AX60)/-(AT65+AU65+AW65+AX65),""),"")</f>
        <v/>
      </c>
      <c r="AY323" s="262" t="str">
        <f>IFERROR(IF(AND(COUNT(AU60,AW60,AX60,AY60)=4,(AU65+AW65+AX65+AY65)&lt;&gt;0),(AU60+AW60+AX60+AY60)/-(AU65+AW65+AX65+AY65),""),"")</f>
        <v/>
      </c>
      <c r="AZ323" s="262" t="str">
        <f>IFERROR(IF(AND(COUNT(AW60,AX60,AY60,AZ60)=4,(AW65+AX65+AY65+AZ65)&lt;&gt;0),(AW60+AX60+AY60+AZ60)/-(AW65+AX65+AY65+AZ65),""),"")</f>
        <v/>
      </c>
      <c r="BA323" s="262" t="str">
        <f>IFERROR(IF(AND(COUNT(AW60,AX60,AY60,AZ60)=4,(AW65+AX65+AY65+AZ65)&lt;&gt;0),(AW60+AX60+AY60+AZ60)/-(AW65+AX65+AY65+AZ65),""),"")</f>
        <v/>
      </c>
      <c r="BB323" s="262" t="str">
        <f>IFERROR(IF(AND(COUNT(AX60,AY60,AZ60,BB60)=4,(AX65+AY65+AZ65+BB65)&lt;&gt;0),(AX60+AY60+AZ60+BB60)/-(AX65+AY65+AZ65+BB65),""),"")</f>
        <v/>
      </c>
      <c r="BC323" s="262" t="str">
        <f>IFERROR(IF(AND(COUNT(AY60,AZ60,BB60,BC60)=4,(AY65+AZ65+BB65+BC65)&lt;&gt;0),(AY60+AZ60+BB60+BC60)/-(AY65+AZ65+BB65+BC65),""),"")</f>
        <v/>
      </c>
      <c r="BD323" s="262" t="str">
        <f>IFERROR(IF(AND(COUNT(AZ60,BB60,BC60,BD60)=4,(AZ65+BB65+BC65+BD65)&lt;&gt;0),(AZ60+BB60+BC60+BD60)/-(AZ65+BB65+BC65+BD65),""),"")</f>
        <v/>
      </c>
      <c r="BE323" s="262" t="str">
        <f>IFERROR(IF(AND(COUNT(BB60,BC60,BD60,BE60)=4,(BB65+BC65+BD65+BE65)&lt;&gt;0),(BB60+BC60+BD60+BE60)/-(BB65+BC65+BD65+BE65),""),"")</f>
        <v/>
      </c>
      <c r="BF323" s="262" t="str">
        <f>IFERROR(IF(AND(COUNT(BB60,BC60,BD60,BE60)=4,(BB65+BC65+BD65+BE65)&lt;&gt;0),(BB60+BC60+BD60+BE60)/-(BB65+BC65+BD65+BE65),""),"")</f>
        <v/>
      </c>
      <c r="BG323" s="82" t="n"/>
      <c r="BH323" s="82" t="n"/>
      <c r="BI323" s="82" t="n"/>
      <c r="BJ323" s="82" t="n"/>
      <c r="BL323" s="82" t="n"/>
      <c r="BM323" s="82" t="n"/>
      <c r="BN323" s="82" t="n"/>
      <c r="BO323" s="82" t="n"/>
      <c r="BQ323" s="82" t="n"/>
      <c r="BR323" s="82" t="n"/>
      <c r="BS323" s="82" t="n"/>
      <c r="BT323" s="82" t="n"/>
      <c r="BV323" s="82" t="n"/>
      <c r="BW323" s="82" t="n"/>
      <c r="BX323" s="82" t="n"/>
      <c r="BY323" s="82" t="n"/>
      <c r="CA323" s="82" t="n"/>
      <c r="CB323" s="82" t="n"/>
      <c r="CC323" s="82" t="n"/>
      <c r="CD323" s="82" t="n"/>
      <c r="CF323" s="82" t="n"/>
      <c r="CG323" s="82" t="n"/>
      <c r="CH323" s="82" t="n"/>
      <c r="CI323" s="82" t="n"/>
      <c r="CK323" s="82" t="n"/>
      <c r="CL323" s="82" t="n"/>
      <c r="CM323" s="82" t="n"/>
      <c r="CN323" s="82" t="n"/>
      <c r="CP323" s="82" t="n"/>
      <c r="CQ323" s="82" t="n"/>
      <c r="CR323" s="82" t="n"/>
      <c r="CS323" s="82" t="n"/>
      <c r="CU323" s="82" t="n"/>
      <c r="CV323" s="82" t="n"/>
      <c r="CW323" s="82" t="n"/>
      <c r="CX323" s="82" t="n"/>
    </row>
    <row r="324" customFormat="1" s="77">
      <c r="A324" s="76" t="n"/>
      <c r="B324" s="76" t="n"/>
      <c r="C324" s="77" t="inlineStr">
        <is>
          <t>(EBITDA - CAPEX) / TOTAL INTEREST (LTM)</t>
        </is>
      </c>
      <c r="D324" s="82" t="str">
        <f>IFERROR((D60-D159)/-D65,"")</f>
        <v/>
      </c>
      <c r="E324" s="82" t="str">
        <f>IFERROR((E60-E159)/-E65,"")</f>
        <v/>
      </c>
      <c r="F324" s="82" t="str">
        <f>IFERROR((F60-F159)/-F65,"")</f>
        <v/>
      </c>
      <c r="G324" s="82" t="str">
        <f>IFERROR((G60-G159)/-G65,"")</f>
        <v/>
      </c>
      <c r="H324" s="262" t="str">
        <f>IFERROR(IF(AND(COUNT(H60)=1,(H65)&lt;&gt;0),((H60)-(H159))/-(H65),""),"")</f>
        <v/>
      </c>
      <c r="I324" s="262" t="str">
        <f>""</f>
        <v/>
      </c>
      <c r="J324" s="262" t="str">
        <f>""</f>
        <v/>
      </c>
      <c r="K324" s="262" t="str">
        <f>""</f>
        <v/>
      </c>
      <c r="L324" s="262">
        <f>IFERROR(IF(AND(COUNT(I60,J60,K60,L60)=4,(I65+J65+K65+L65)&lt;&gt;0),((I60+J60+K60+L60)-(I159+J159+K159+L159))/-(I65+J65+K65+L65),""),"")</f>
        <v>15.9490333919156</v>
      </c>
      <c r="M324" s="262">
        <f>IFERROR(IF(AND(COUNT(I60,J60,K60,L60)=4,(I65+J65+K65+L65)&lt;&gt;0),((I60+J60+K60+L60)-(I159+J159+K159+L159))/-(I65+J65+K65+L65),""),"")</f>
        <v>15.9490333919156</v>
      </c>
      <c r="N324" s="262">
        <f>IFERROR(IF(AND(COUNT(J60,K60,L60,N60)=4,(J65+K65+L65+N65)&lt;&gt;0),((J60+K60+L60+N60)-(J159+K159+L159+N159))/-(J65+K65+L65+N65),""),"")</f>
        <v>15.1170212765957</v>
      </c>
      <c r="O324" s="262">
        <f>IFERROR(IF(AND(COUNT(K60,L60,N60,O60)=4,(K65+L65+N65+O65)&lt;&gt;0),((K60+L60+N60+O60)-(K159+L159+N159+O159))/-(K65+L65+N65+O65),""),"")</f>
        <v>14.8596802841918</v>
      </c>
      <c r="P324" s="262">
        <f>IFERROR(IF(AND(COUNT(L60,N60,O60,P60)=4,(L65+N65+O65+P65)&lt;&gt;0),((L60+N60+O60+P60)-(L159+N159+O159+P159))/-(L65+N65+O65+P65),""),"")</f>
        <v>14.4850088183422</v>
      </c>
      <c r="Q324" s="262">
        <f>IFERROR(IF(AND(COUNT(N60,O60,P60,Q60)=4,(N65+O65+P65+Q65)&lt;&gt;0),((N60+O60+P60+Q60)-(N159+O159+P159+Q159))/-(N65+O65+P65+Q65),""),"")</f>
        <v>12.792937399679</v>
      </c>
      <c r="R324" s="262">
        <f>IFERROR(IF(AND(COUNT(N60,O60,P60,Q60)=4,(N65+O65+P65+Q65)&lt;&gt;0),((N60+O60+P60+Q60)-(N159+O159+P159+Q159))/-(N65+O65+P65+Q65),""),"")</f>
        <v>12.792937399679</v>
      </c>
      <c r="S324" s="262">
        <f>IFERROR(IF(AND(COUNT(O60,P60,Q60,S60)=4,(O65+P65+Q65+S65)&lt;&gt;0),((O60+P60+Q60+S60)-(O159+P159+Q159+S159))/-(O65+P65+Q65+S65),""),"")</f>
        <v>11.7028985507246</v>
      </c>
      <c r="T324" s="262">
        <f>IFERROR(IF(AND(COUNT(P60,Q60,S60,T60)=4,(P65+Q65+S65+T65)&lt;&gt;0),((P60+Q60+S60+T60)-(P159+Q159+S159+T159))/-(P65+Q65+S65+T65),""),"")</f>
        <v>10.6567357512953</v>
      </c>
      <c r="U324" s="262">
        <f>IFERROR(IF(AND(COUNT(Q60,S60,T60,U60)=4,(Q65+S65+T65+U65)&lt;&gt;0),((Q60+S60+T60+U60)-(Q159+S159+T159+U159))/-(Q65+S65+T65+U65),""),"")</f>
        <v>9.36342592592593</v>
      </c>
      <c r="V324" s="262">
        <f>IFERROR(IF(AND(COUNT(S60,T60,U60,V60)=4,(S65+T65+U65+V65)&lt;&gt;0),((S60+T60+U60+V60)-(S159+T159+U159+V159))/-(S65+T65+U65+V65),""),"")</f>
        <v>8.85589519650655</v>
      </c>
      <c r="W324" s="262">
        <f>IFERROR(IF(AND(COUNT(S60,T60,U60,V60)=4,(S65+T65+U65+V65)&lt;&gt;0),((S60+T60+U60+V60)-(S159+T159+U159+V159))/-(S65+T65+U65+V65),""),"")</f>
        <v>8.85589519650655</v>
      </c>
      <c r="X324" s="262">
        <f>IFERROR(IF(AND(COUNT(T60,U60,V60,X60)=4,(T65+U65+V65+X65)&lt;&gt;0),((T60+U60+V60+X60)-(T159+U159+V159+X159))/-(T65+U65+V65+X65),""),"")</f>
        <v>8.34158926728586</v>
      </c>
      <c r="Y324" s="262">
        <f>IFERROR(IF(AND(COUNT(U60,V60,X60,Y60)=4,(U65+V65+X65+Y65)&lt;&gt;0),((U60+V60+X60+Y60)-(U159+V159+X159+Y159))/-(U65+V65+X65+Y65),""),"")</f>
        <v>8.02780536246276</v>
      </c>
      <c r="Z324" s="262">
        <f>IFERROR(IF(AND(COUNT(V60,X60,Y60,Z60)=4,(V65+X65+Y65+Z65)&lt;&gt;0),((V60+X60+Y60+Z60)-(V159+X159+Y159+Z159))/-(V65+X65+Y65+Z65),""),"")</f>
        <v>7.99415204678363</v>
      </c>
      <c r="AA324" s="262">
        <f>IFERROR(IF(AND(COUNT(X60,Y60,Z60,AA60)=4,(X65+Y65+Z65+AA65)&lt;&gt;0),((X60+Y60+Z60+AA60)-(X159+Y159+Z159+AA159))/-(X65+Y65+Z65+AA65),""),"")</f>
        <v>6.42567567567568</v>
      </c>
      <c r="AB324" s="262">
        <f>IFERROR(IF(AND(COUNT(X60,Y60,Z60,AA60)=4,(X65+Y65+Z65+AA65)&lt;&gt;0),((X60+Y60+Z60+AA60)-(X159+Y159+Z159+AA159))/-(X65+Y65+Z65+AA65),""),"")</f>
        <v>6.42567567567568</v>
      </c>
      <c r="AC324" s="262">
        <f>IFERROR(IF(AND(COUNT(Y60,Z60,AA60,AC60)=4,(Y65+Z65+AA65+AC65)&lt;&gt;0),((Y60+Z60+AA60+AC60)-(Y159+Z159+AA159+AC159))/-(Y65+Z65+AA65+AC65),""),"")</f>
        <v>6.67016205910391</v>
      </c>
      <c r="AD324" s="262">
        <f>IFERROR(IF(AND(COUNT(Z60,AA60,AC60,AD60)=4,(Z65+AA65+AC65+AD65)&lt;&gt;0),((Z60+AA60+AC60+AD60)-(Z159+AA159+AC159+AD159))/-(Z65+AA65+AC65+AD65),""),"")</f>
        <v>5.34839924670433</v>
      </c>
      <c r="AE324" s="262">
        <f>IFERROR(IF(AND(COUNT(AA60,AC60,AD60,AE60)=4,(AA65+AC65+AD65+AE65)&lt;&gt;0),((AA60+AC60+AD60+AE60)-(AA159+AC159+AD159+AE159))/-(AA65+AC65+AD65+AE65),""),"")</f>
        <v>5.33699633699634</v>
      </c>
      <c r="AF324" s="262">
        <f>IFERROR(IF(AND(COUNT(AB60,AD60,AE60,AF60)=4,(AB65+AD65+AE65+AF65)&lt;&gt;0),((AB60+AD60+AE60+AF60)-(AB159+AD159+AE159+AF159))/-(AB65+AD65+AE65+AF65),""),"")</f>
        <v>7.30063626723224</v>
      </c>
      <c r="AG324" s="262">
        <f>IFERROR(IF(AND(COUNT(AC60,AD60,AE60,AF60)=4,(AC65+AD65+AE65+AF65)&lt;&gt;0),((AC60+AD60+AE60+AF60)-(AC159+AD159+AE159+AF159))/-(AC65+AD65+AE65+AF65),""),"")</f>
        <v>6.78175313059034</v>
      </c>
      <c r="AH324" s="262">
        <f>IFERROR(IF(AND(COUNT(AD60,AF60,AG60,AH60)=4,(AD65+AF65+AG65+AH65)&lt;&gt;0),((AD60+AF60+AG60+AH60)-(AD159+AF159+AG159+AH159))/-(AD65+AF65+AG65+AH65),""),"")</f>
        <v>5.23116350589441</v>
      </c>
      <c r="AI324" s="262">
        <f>IFERROR(IF(AND(COUNT(AE60,AG60,AH60,AI60)=4,(AE65+AG65+AH65+AI65)&lt;&gt;0),((AE60+AG60+AH60+AI60)-(AE159+AG159+AH159+AI159))/-(AE65+AG65+AH65+AI65),""),"")</f>
        <v>6.10469314079422</v>
      </c>
      <c r="AJ324" s="262" t="str">
        <f>IFERROR(IF(AND(COUNT(AF60,AH60,AI60,AJ60)=4,(AF65+AH65+AI65+AJ65)&lt;&gt;0),((AF60+AH60+AI60+AJ60)-(AF159+AH159+AI159+AJ159))/-(AF65+AH65+AI65+AJ65),""),"")</f>
        <v/>
      </c>
      <c r="AK324" s="262" t="str">
        <f>IFERROR(IF(AND(COUNT(AH60,AI60,AJ60,AK60)=4,(AH65+AI65+AJ65+AK65)&lt;&gt;0),((AH60+AI60+AJ60+AK60)-(AH159+AI159+AJ159+AK159))/-(AH65+AI65+AJ65+AK65),""),"")</f>
        <v/>
      </c>
      <c r="AL324" s="262" t="str">
        <f>IFERROR(IF(AND(COUNT(AH60,AI60,AJ60,AK60)=4,(AH65+AI65+AJ65+AK65)&lt;&gt;0),((AH60+AI60+AJ60+AK60)-(AH159+AI159+AJ159+AK159))/-(AH65+AI65+AJ65+AK65),""),"")</f>
        <v/>
      </c>
      <c r="AM324" s="262" t="str">
        <f>IFERROR(IF(AND(COUNT(AI60,AJ60,AK60,AM60)=4,(AI65+AJ65+AK65+AM65)&lt;&gt;0),((AI60+AJ60+AK60+AM60)-(AI159+AJ159+AK159+AM159))/-(AI65+AJ65+AK65+AM65),""),"")</f>
        <v/>
      </c>
      <c r="AN324" s="262" t="str">
        <f>IFERROR(IF(AND(COUNT(AJ60,AK60,AM60,AN60)=4,(AJ65+AK65+AM65+AN65)&lt;&gt;0),((AJ60+AK60+AM60+AN60)-(AJ159+AK159+AM159+AN159))/-(AJ65+AK65+AM65+AN65),""),"")</f>
        <v/>
      </c>
      <c r="AO324" s="262" t="str">
        <f>IFERROR(IF(AND(COUNT(AK60,AM60,AN60,AO60)=4,(AK65+AM65+AN65+AO65)&lt;&gt;0),((AK60+AM60+AN60+AO60)-(AK159+AM159+AN159+AO159))/-(AK65+AM65+AN65+AO65),""),"")</f>
        <v/>
      </c>
      <c r="AP324" s="262" t="str">
        <f>IFERROR(IF(AND(COUNT(AM60,AN60,AO60,AP60)=4,(AM65+AN65+AO65+AP65)&lt;&gt;0),((AM60+AN60+AO60+AP60)-(AM159+AN159+AO159+AP159))/-(AM65+AN65+AO65+AP65),""),"")</f>
        <v/>
      </c>
      <c r="AQ324" s="262" t="str">
        <f>IFERROR(IF(AND(COUNT(AM60,AN60,AO60,AP60)=4,(AM65+AN65+AO65+AP65)&lt;&gt;0),((AM60+AN60+AO60+AP60)-(AM159+AN159+AO159+AP159))/-(AM65+AN65+AO65+AP65),""),"")</f>
        <v/>
      </c>
      <c r="AR324" s="262" t="str">
        <f>IFERROR(IF(AND(COUNT(AN60,AO60,AP60,AR60)=4,(AN65+AO65+AP65+AR65)&lt;&gt;0),((AN60+AO60+AP60+AR60)-(AN159+AO159+AP159+AR159))/-(AN65+AO65+AP65+AR65),""),"")</f>
        <v/>
      </c>
      <c r="AS324" s="262" t="str">
        <f>IFERROR(IF(AND(COUNT(AO60,AP60,AR60,AS60)=4,(AO65+AP65+AR65+AS65)&lt;&gt;0),((AO60+AP60+AR60+AS60)-(AO159+AP159+AR159+AS159))/-(AO65+AP65+AR65+AS65),""),"")</f>
        <v/>
      </c>
      <c r="AT324" s="262" t="str">
        <f>IFERROR(IF(AND(COUNT(AP60,AR60,AS60,AT60)=4,(AP65+AR65+AS65+AT65)&lt;&gt;0),((AP60+AR60+AS60+AT60)-(AP159+AR159+AS159+AT159))/-(AP65+AR65+AS65+AT65),""),"")</f>
        <v/>
      </c>
      <c r="AU324" s="262" t="str">
        <f>IFERROR(IF(AND(COUNT(AR60,AS60,AT60,AU60)=4,(AR65+AS65+AT65+AU65)&lt;&gt;0),((AR60+AS60+AT60+AU60)-(AR159+AS159+AT159+AU159))/-(AR65+AS65+AT65+AU65),""),"")</f>
        <v/>
      </c>
      <c r="AV324" s="262" t="str">
        <f>IFERROR(IF(AND(COUNT(AR60,AS60,AT60,AU60)=4,(AR65+AS65+AT65+AU65)&lt;&gt;0),((AR60+AS60+AT60+AU60)-(AR159+AS159+AT159+AU159))/-(AR65+AS65+AT65+AU65),""),"")</f>
        <v/>
      </c>
      <c r="AW324" s="262" t="str">
        <f>IFERROR(IF(AND(COUNT(AS60,AT60,AU60,AW60)=4,(AS65+AT65+AU65+AW65)&lt;&gt;0),((AS60+AT60+AU60+AW60)-(AS159+AT159+AU159+AW159))/-(AS65+AT65+AU65+AW65),""),"")</f>
        <v/>
      </c>
      <c r="AX324" s="262" t="str">
        <f>IFERROR(IF(AND(COUNT(AT60,AU60,AW60,AX60)=4,(AT65+AU65+AW65+AX65)&lt;&gt;0),((AT60+AU60+AW60+AX60)-(AT159+AU159+AW159+AX159))/-(AT65+AU65+AW65+AX65),""),"")</f>
        <v/>
      </c>
      <c r="AY324" s="262" t="str">
        <f>IFERROR(IF(AND(COUNT(AU60,AW60,AX60,AY60)=4,(AU65+AW65+AX65+AY65)&lt;&gt;0),((AU60+AW60+AX60+AY60)-(AU159+AW159+AX159+AY159))/-(AU65+AW65+AX65+AY65),""),"")</f>
        <v/>
      </c>
      <c r="AZ324" s="262" t="str">
        <f>IFERROR(IF(AND(COUNT(AW60,AX60,AY60,AZ60)=4,(AW65+AX65+AY65+AZ65)&lt;&gt;0),((AW60+AX60+AY60+AZ60)-(AW159+AX159+AY159+AZ159))/-(AW65+AX65+AY65+AZ65),""),"")</f>
        <v/>
      </c>
      <c r="BA324" s="262" t="str">
        <f>IFERROR(IF(AND(COUNT(AW60,AX60,AY60,AZ60)=4,(AW65+AX65+AY65+AZ65)&lt;&gt;0),((AW60+AX60+AY60+AZ60)-(AW159+AX159+AY159+AZ159))/-(AW65+AX65+AY65+AZ65),""),"")</f>
        <v/>
      </c>
      <c r="BB324" s="262" t="str">
        <f>IFERROR(IF(AND(COUNT(AX60,AY60,AZ60,BB60)=4,(AX65+AY65+AZ65+BB65)&lt;&gt;0),((AX60+AY60+AZ60+BB60)-(AX159+AY159+AZ159+BB159))/-(AX65+AY65+AZ65+BB65),""),"")</f>
        <v/>
      </c>
      <c r="BC324" s="262" t="str">
        <f>IFERROR(IF(AND(COUNT(AY60,AZ60,BB60,BC60)=4,(AY65+AZ65+BB65+BC65)&lt;&gt;0),((AY60+AZ60+BB60+BC60)-(AY159+AZ159+BB159+BC159))/-(AY65+AZ65+BB65+BC65),""),"")</f>
        <v/>
      </c>
      <c r="BD324" s="262" t="str">
        <f>IFERROR(IF(AND(COUNT(AZ60,BB60,BC60,BD60)=4,(AZ65+BB65+BC65+BD65)&lt;&gt;0),((AZ60+BB60+BC60+BD60)-(AZ159+BB159+BC159+BD159))/-(AZ65+BB65+BC65+BD65),""),"")</f>
        <v/>
      </c>
      <c r="BE324" s="262" t="str">
        <f>IFERROR(IF(AND(COUNT(BB60,BC60,BD60,BE60)=4,(BB65+BC65+BD65+BE65)&lt;&gt;0),((BB60+BC60+BD60+BE60)-(BB159+BC159+BD159+BE159))/-(BB65+BC65+BD65+BE65),""),"")</f>
        <v/>
      </c>
      <c r="BF324" s="262" t="str">
        <f>IFERROR(IF(AND(COUNT(BB60,BC60,BD60,BE60)=4,(BB65+BC65+BD65+BE65)&lt;&gt;0),((BB60+BC60+BD60+BE60)-(BB159+BC159+BD159+BE159))/-(BB65+BC65+BD65+BE65),""),"")</f>
        <v/>
      </c>
      <c r="BG324" s="82" t="n"/>
      <c r="BH324" s="82" t="n"/>
      <c r="BI324" s="82" t="n"/>
      <c r="BJ324" s="82" t="n"/>
      <c r="BL324" s="82" t="n"/>
      <c r="BM324" s="82" t="n"/>
      <c r="BN324" s="82" t="n"/>
      <c r="BO324" s="82" t="n"/>
      <c r="BQ324" s="82" t="n"/>
      <c r="BR324" s="82" t="n"/>
      <c r="BS324" s="82" t="n"/>
      <c r="BT324" s="82" t="n"/>
      <c r="BV324" s="82" t="n"/>
      <c r="BW324" s="82" t="n"/>
      <c r="BX324" s="82" t="n"/>
      <c r="BY324" s="82" t="n"/>
      <c r="CA324" s="82" t="n"/>
      <c r="CB324" s="82" t="n"/>
      <c r="CC324" s="82" t="n"/>
      <c r="CD324" s="82" t="n"/>
      <c r="CF324" s="82" t="n"/>
      <c r="CG324" s="82" t="n"/>
      <c r="CH324" s="82" t="n"/>
      <c r="CI324" s="82" t="n"/>
      <c r="CK324" s="82" t="n"/>
      <c r="CL324" s="82" t="n"/>
      <c r="CM324" s="82" t="n"/>
      <c r="CN324" s="82" t="n"/>
      <c r="CP324" s="82" t="n"/>
      <c r="CQ324" s="82" t="n"/>
      <c r="CR324" s="82" t="n"/>
      <c r="CS324" s="82" t="n"/>
      <c r="CU324" s="82" t="n"/>
      <c r="CV324" s="82" t="n"/>
      <c r="CW324" s="82" t="n"/>
      <c r="CX324" s="82" t="n"/>
    </row>
    <row r="325" customFormat="1" s="77">
      <c r="A325" s="76" t="n"/>
      <c r="B325" s="76" t="n"/>
      <c r="C325" s="77" t="inlineStr">
        <is>
          <t>TOTAL DEBT / EBITDA (LTM)</t>
        </is>
      </c>
      <c r="D325" s="82" t="str">
        <f>IFERROR(SUM(D203,D204,D205,D208,D226,D229)/D60,"")</f>
        <v/>
      </c>
      <c r="E325" s="82" t="str">
        <f>IFERROR(SUM(E203,E204,E205,E208,E226,E229)/E60,"")</f>
        <v/>
      </c>
      <c r="F325" s="82" t="str">
        <f>IFERROR(SUM(F203,F204,F205,F208,F226,F229)/F60,"")</f>
        <v/>
      </c>
      <c r="G325" s="82" t="str">
        <f>IFERROR(SUM(G203,G204,G205,G208,G226,G229)/G60,"")</f>
        <v/>
      </c>
      <c r="H325" s="262" t="str">
        <f>IFERROR(IF(AND(COUNT(H60)=1,(H60)&lt;&gt;0),(N(H203)+N(H204)+N(H205)+N(H208)+N(H226)+N(H229))/(H60),""),"")</f>
        <v/>
      </c>
      <c r="I325" s="262" t="str">
        <f>""</f>
        <v/>
      </c>
      <c r="J325" s="262" t="str">
        <f>""</f>
        <v/>
      </c>
      <c r="K325" s="262" t="str">
        <f>""</f>
        <v/>
      </c>
      <c r="L325" s="262">
        <f>IFERROR(IF(AND(COUNT(I60,J60,K60,L60)=4,(I60+J60+K60+L60)&lt;&gt;0),(N(L203)+N(L204)+N(L205)+N(L208)+N(L226)+N(L229))/(I60+J60+K60+L60),""),"")</f>
        <v>1.11337846858015</v>
      </c>
      <c r="M325" s="262">
        <f>IFERROR(IF(AND(COUNT(I60,J60,K60,L60)=4,(I60+J60+K60+L60)&lt;&gt;0),(N(M203)+N(M204)+N(M205)+N(M208)+N(M226)+N(M229))/(I60+J60+K60+L60),""),"")</f>
        <v>1.11337846858015</v>
      </c>
      <c r="N325" s="262">
        <f>IFERROR(IF(AND(COUNT(J60,K60,L60,N60)=4,(J60+K60+L60+N60)&lt;&gt;0),(N(N203)+N(N204)+N(N205)+N(N208)+N(N226)+N(N229))/(J60+K60+L60+N60),""),"")</f>
        <v>1.13820740885544</v>
      </c>
      <c r="O325" s="262">
        <f>IFERROR(IF(AND(COUNT(K60,L60,N60,O60)=4,(K60+L60+N60+O60)&lt;&gt;0),(N(O203)+N(O204)+N(O205)+N(O208)+N(O226)+N(O229))/(K60+L60+N60+O60),""),"")</f>
        <v>1.16312056737589</v>
      </c>
      <c r="P325" s="262">
        <f>IFERROR(IF(AND(COUNT(L60,N60,O60,P60)=4,(L60+N60+O60+P60)&lt;&gt;0),(N(P203)+N(P204)+N(P205)+N(P208)+N(P226)+N(P229))/(L60+N60+O60+P60),""),"")</f>
        <v>1.16666666666667</v>
      </c>
      <c r="Q325" s="262">
        <f>IFERROR(IF(AND(COUNT(N60,O60,P60,Q60)=4,(N60+O60+P60+Q60)&lt;&gt;0),(N(Q203)+N(Q204)+N(Q205)+N(Q208)+N(Q226)+N(Q229))/(N60+O60+P60+Q60),""),"")</f>
        <v>1.58213699753897</v>
      </c>
      <c r="R325" s="262">
        <f>IFERROR(IF(AND(COUNT(N60,O60,P60,Q60)=4,(N60+O60+P60+Q60)&lt;&gt;0),(N(R203)+N(R204)+N(R205)+N(R208)+N(R226)+N(R229))/(N60+O60+P60+Q60),""),"")</f>
        <v>1.58213699753897</v>
      </c>
      <c r="S325" s="262">
        <f>IFERROR(IF(AND(COUNT(O60,P60,Q60,S60)=4,(O60+P60+Q60+S60)&lt;&gt;0),(N(S203)+N(S204)+N(S205)+N(S208)+N(S226)+N(S229))/(O60+P60+Q60+S60),""),"")</f>
        <v>1.58343483556638</v>
      </c>
      <c r="T325" s="262">
        <f>IFERROR(IF(AND(COUNT(P60,Q60,S60,T60)=4,(P60+Q60+S60+T60)&lt;&gt;0),(N(T203)+N(T204)+N(T205)+N(T208)+N(T226)+N(T229))/(P60+Q60+S60+T60),""),"")</f>
        <v>1.75187219171243</v>
      </c>
      <c r="U325" s="262">
        <f>IFERROR(IF(AND(COUNT(Q60,S60,T60,U60)=4,(Q60+S60+T60+U60)&lt;&gt;0),(N(U203)+N(U204)+N(U205)+N(U208)+N(U226)+N(U229))/(Q60+S60+T60+U60),""),"")</f>
        <v>1.74676042189854</v>
      </c>
      <c r="V325" s="262">
        <f>IFERROR(IF(AND(COUNT(S60,T60,U60,V60)=4,(S60+T60+U60+V60)&lt;&gt;0),(N(V203)+N(V204)+N(V205)+N(V208)+N(V226)+N(V229))/(S60+T60+U60+V60),""),"")</f>
        <v>1.7569689040958</v>
      </c>
      <c r="W325" s="262">
        <f>IFERROR(IF(AND(COUNT(S60,T60,U60,V60)=4,(S60+T60+U60+V60)&lt;&gt;0),(N(W203)+N(W204)+N(W205)+N(W208)+N(W226)+N(W229))/(S60+T60+U60+V60),""),"")</f>
        <v>1.7569689040958</v>
      </c>
      <c r="X325" s="262">
        <f>IFERROR(IF(AND(COUNT(T60,U60,V60,X60)=4,(T60+U60+V60+X60)&lt;&gt;0),(N(X203)+N(X204)+N(X205)+N(X208)+N(X226)+N(X229))/(T60+U60+V60+X60),""),"")</f>
        <v>1.95057759919638</v>
      </c>
      <c r="Y325" s="262">
        <f>IFERROR(IF(AND(COUNT(U60,V60,X60,Y60)=4,(U60+V60+X60+Y60)&lt;&gt;0),(N(Y203)+N(Y204)+N(Y205)+N(Y208)+N(Y226)+N(Y229))/(U60+V60+X60+Y60),""),"")</f>
        <v>1.92704893425398</v>
      </c>
      <c r="Z325" s="262">
        <f>IFERROR(IF(AND(COUNT(V60,X60,Y60,Z60)=4,(V60+X60+Y60+Z60)&lt;&gt;0),(N(Z203)+N(Z204)+N(Z205)+N(Z208)+N(Z226)+N(Z229))/(V60+X60+Y60+Z60),""),"")</f>
        <v>1.90711677030895</v>
      </c>
      <c r="AA325" s="262">
        <f>IFERROR(IF(AND(COUNT(X60,Y60,Z60,AA60)=4,(X60+Y60+Z60+AA60)&lt;&gt;0),(N(AA203)+N(AA204)+N(AA205)+N(AA208)+N(AA226)+N(AA229))/(X60+Y60+Z60+AA60),""),"")</f>
        <v>2.36467568828745</v>
      </c>
      <c r="AB325" s="262">
        <f>IFERROR(IF(AND(COUNT(X60,Y60,Z60,AA60)=4,(X60+Y60+Z60+AA60)&lt;&gt;0),(N(AB203)+N(AB204)+N(AB205)+N(AB208)+N(AB226)+N(AB229))/(X60+Y60+Z60+AA60),""),"")</f>
        <v>2.36467568828745</v>
      </c>
      <c r="AC325" s="262">
        <f>IFERROR(IF(AND(COUNT(Y60,Z60,AA60,AC60)=4,(Y60+Z60+AA60+AC60)&lt;&gt;0),(N(AC203)+N(AC204)+N(AC205)+N(AC208)+N(AC226)+N(AC229))/(Y60+Z60+AA60+AC60),""),"")</f>
        <v>2.26581854703716</v>
      </c>
      <c r="AD325" s="262">
        <f>IFERROR(IF(AND(COUNT(Z60,AA60,AC60,AD60)=4,(Z60+AA60+AC60+AD60)&lt;&gt;0),(N(AD203)+N(AD204)+N(AD205)+N(AD208)+N(AD226)+N(AD229))/(Z60+AA60+AC60+AD60),""),"")</f>
        <v>2.84673069332983</v>
      </c>
      <c r="AE325" s="262">
        <f>IFERROR(IF(AND(COUNT(AA60,AC60,AD60,AE60)=4,(AA60+AC60+AD60+AE60)&lt;&gt;0),(N(AE203)+N(AE204)+N(AE205)+N(AE208)+N(AE226)+N(AE229))/(AA60+AC60+AD60+AE60),""),"")</f>
        <v>2.85242319064147</v>
      </c>
      <c r="AF325" s="262">
        <f>IFERROR(IF(AND(COUNT(AB60,AD60,AE60,AF60)=4,(AB60+AD60+AE60+AF60)&lt;&gt;0),(N(AF203)+N(AF204)+N(AF205)+N(AF208)+N(AF226)+N(AF229))/(AB60+AD60+AE60+AF60),""),"")</f>
        <v>1.42566191446029</v>
      </c>
      <c r="AG325" s="262">
        <f>IFERROR(IF(AND(COUNT(AC60,AD60,AE60,AF60)=4,(AC60+AD60+AE60+AF60)&lt;&gt;0),(N(AG203)+N(AG204)+N(AG205)+N(AG208)+N(AG226)+N(AG229))/(AC60+AD60+AE60+AF60),""),"")</f>
        <v>2.30409853472075</v>
      </c>
      <c r="AH325" s="262">
        <f>IFERROR(IF(AND(COUNT(AD60,AF60,AG60,AH60)=4,(AD60+AF60+AG60+AH60)&lt;&gt;0),(N(AH203)+N(AH204)+N(AH205)+N(AH208)+N(AH226)+N(AH229))/(AD60+AF60+AG60+AH60),""),"")</f>
        <v>1.3082806573957</v>
      </c>
      <c r="AI325" s="262">
        <f>IFERROR(IF(AND(COUNT(AE60,AG60,AH60,AI60)=4,(AE60+AG60+AH60+AI60)&lt;&gt;0),(N(AI203)+N(AI204)+N(AI205)+N(AI208)+N(AI226)+N(AI229))/(AE60+AG60+AH60+AI60),""),"")</f>
        <v>1.17588457574717</v>
      </c>
      <c r="AJ325" s="262">
        <f>IFERROR(IF(AND(COUNT(AF60,AH60,AI60,AJ60)=4,(AF60+AH60+AI60+AJ60)&lt;&gt;0),(N(AJ203)+N(AJ204)+N(AJ205)+N(AJ208)+N(AJ226)+N(AJ229))/(AF60+AH60+AI60+AJ60),""),"")</f>
        <v>1.921383469947</v>
      </c>
      <c r="AK325" s="262">
        <f>IFERROR(IF(AND(COUNT(AH60,AI60,AJ60,AK60)=4,(AH60+AI60+AJ60+AK60)&lt;&gt;0),(N(AK203)+N(AK204)+N(AK205)+N(AK208)+N(AK226)+N(AK229))/(AH60+AI60+AJ60+AK60),""),"")</f>
        <v>1.92205868883687</v>
      </c>
      <c r="AL325" s="262">
        <f>IFERROR(IF(AND(COUNT(AH60,AI60,AJ60,AK60)=4,(AH60+AI60+AJ60+AK60)&lt;&gt;0),(N(AL203)+N(AL204)+N(AL205)+N(AL208)+N(AL226)+N(AL229))/(AH60+AI60+AJ60+AK60),""),"")</f>
        <v>1.92205868883687</v>
      </c>
      <c r="AM325" s="262">
        <f>IFERROR(IF(AND(COUNT(AI60,AJ60,AK60,AM60)=4,(AI60+AJ60+AK60+AM60)&lt;&gt;0),(N(AM203)+N(AM204)+N(AM205)+N(AM208)+N(AM226)+N(AM229))/(AI60+AJ60+AK60+AM60),""),"")</f>
        <v>1.91964499380175</v>
      </c>
      <c r="AN325" s="262">
        <f>IFERROR(IF(AND(COUNT(AJ60,AK60,AM60,AN60)=4,(AJ60+AK60+AM60+AN60)&lt;&gt;0),(N(AN203)+N(AN204)+N(AN205)+N(AN208)+N(AN226)+N(AN229))/(AJ60+AK60+AM60+AN60),""),"")</f>
        <v>1.94218780316965</v>
      </c>
      <c r="AO325" s="262">
        <f>IFERROR(IF(AND(COUNT(AK60,AM60,AN60,AO60)=4,(AK60+AM60+AN60+AO60)&lt;&gt;0),(N(AO203)+N(AO204)+N(AO205)+N(AO208)+N(AO226)+N(AO229))/(AK60+AM60+AN60+AO60),""),"")</f>
        <v>1.91640775726539</v>
      </c>
      <c r="AP325" s="262">
        <f>IFERROR(IF(AND(COUNT(AM60,AN60,AO60,AP60)=4,(AM60+AN60+AO60+AP60)&lt;&gt;0),(N(AP203)+N(AP204)+N(AP205)+N(AP208)+N(AP226)+N(AP229))/(AM60+AN60+AO60+AP60),""),"")</f>
        <v>1.88902655167521</v>
      </c>
      <c r="AQ325" s="262">
        <f>IFERROR(IF(AND(COUNT(AM60,AN60,AO60,AP60)=4,(AM60+AN60+AO60+AP60)&lt;&gt;0),(N(AQ203)+N(AQ204)+N(AQ205)+N(AQ208)+N(AQ226)+N(AQ229))/(AM60+AN60+AO60+AP60),""),"")</f>
        <v>1.88902655167521</v>
      </c>
      <c r="AR325" s="262">
        <f>IFERROR(IF(AND(COUNT(AN60,AO60,AP60,AR60)=4,(AN60+AO60+AP60+AR60)&lt;&gt;0),(N(AR203)+N(AR204)+N(AR205)+N(AR208)+N(AR226)+N(AR229))/(AN60+AO60+AP60+AR60),""),"")</f>
        <v>1.8674893946304</v>
      </c>
      <c r="AS325" s="262">
        <f>IFERROR(IF(AND(COUNT(AO60,AP60,AR60,AS60)=4,(AO60+AP60+AR60+AS60)&lt;&gt;0),(N(AS203)+N(AS204)+N(AS205)+N(AS208)+N(AS226)+N(AS229))/(AO60+AP60+AR60+AS60),""),"")</f>
        <v>1.84408229534198</v>
      </c>
      <c r="AT325" s="262">
        <f>IFERROR(IF(AND(COUNT(AP60,AR60,AS60,AT60)=4,(AP60+AR60+AS60+AT60)&lt;&gt;0),(N(AT203)+N(AT204)+N(AT205)+N(AT208)+N(AT226)+N(AT229))/(AP60+AR60+AS60+AT60),""),"")</f>
        <v>1.8217245185112</v>
      </c>
      <c r="AU325" s="262">
        <f>IFERROR(IF(AND(COUNT(AR60,AS60,AT60,AU60)=4,(AR60+AS60+AT60+AU60)&lt;&gt;0),(N(AU203)+N(AU204)+N(AU205)+N(AU208)+N(AU226)+N(AU229))/(AR60+AS60+AT60+AU60),""),"")</f>
        <v>1.7979210104593</v>
      </c>
      <c r="AV325" s="262">
        <f>IFERROR(IF(AND(COUNT(AR60,AS60,AT60,AU60)=4,(AR60+AS60+AT60+AU60)&lt;&gt;0),(N(AV203)+N(AV204)+N(AV205)+N(AV208)+N(AV226)+N(AV229))/(AR60+AS60+AT60+AU60),""),"")</f>
        <v>1.7979210104593</v>
      </c>
      <c r="AW325" s="262">
        <f>IFERROR(IF(AND(COUNT(AS60,AT60,AU60,AW60)=4,(AS60+AT60+AU60+AW60)&lt;&gt;0),(N(AW203)+N(AW204)+N(AW205)+N(AW208)+N(AW226)+N(AW229))/(AS60+AT60+AU60+AW60),""),"")</f>
        <v>1.77942438829037</v>
      </c>
      <c r="AX325" s="262">
        <f>IFERROR(IF(AND(COUNT(AT60,AU60,AW60,AX60)=4,(AT60+AU60+AW60+AX60)&lt;&gt;0),(N(AX203)+N(AX204)+N(AX205)+N(AX208)+N(AX226)+N(AX229))/(AT60+AU60+AW60+AX60),""),"")</f>
        <v>1.75927451058639</v>
      </c>
      <c r="AY325" s="262">
        <f>IFERROR(IF(AND(COUNT(AU60,AW60,AX60,AY60)=4,(AU60+AW60+AX60+AY60)&lt;&gt;0),(N(AY203)+N(AY204)+N(AY205)+N(AY208)+N(AY226)+N(AY229))/(AU60+AW60+AX60+AY60),""),"")</f>
        <v>1.73998176518584</v>
      </c>
      <c r="AZ325" s="262">
        <f>IFERROR(IF(AND(COUNT(AW60,AX60,AY60,AZ60)=4,(AW60+AX60+AY60+AZ60)&lt;&gt;0),(N(AZ203)+N(AZ204)+N(AZ205)+N(AZ208)+N(AZ226)+N(AZ229))/(AW60+AX60+AY60+AZ60),""),"")</f>
        <v>1.71939172028376</v>
      </c>
      <c r="BA325" s="262">
        <f>IFERROR(IF(AND(COUNT(AW60,AX60,AY60,AZ60)=4,(AW60+AX60+AY60+AZ60)&lt;&gt;0),(N(BA203)+N(BA204)+N(BA205)+N(BA208)+N(BA226)+N(BA229))/(AW60+AX60+AY60+AZ60),""),"")</f>
        <v>1.71939172028376</v>
      </c>
      <c r="BB325" s="262">
        <f>IFERROR(IF(AND(COUNT(AX60,AY60,AZ60,BB60)=4,(AX60+AY60+AZ60+BB60)&lt;&gt;0),(N(BB203)+N(BB204)+N(BB205)+N(BB208)+N(BB226)+N(BB229))/(AX60+AY60+AZ60+BB60),""),"")</f>
        <v>1.70362169517049</v>
      </c>
      <c r="BC325" s="262">
        <f>IFERROR(IF(AND(COUNT(AY60,AZ60,BB60,BC60)=4,(AY60+AZ60+BB60+BC60)&lt;&gt;0),(N(BC203)+N(BC204)+N(BC205)+N(BC208)+N(BC226)+N(BC229))/(AY60+AZ60+BB60+BC60),""),"")</f>
        <v>1.68640160005569</v>
      </c>
      <c r="BD325" s="262">
        <f>IFERROR(IF(AND(COUNT(AZ60,BB60,BC60,BD60)=4,(AZ60+BB60+BC60+BD60)&lt;&gt;0),(N(BD203)+N(BD204)+N(BD205)+N(BD208)+N(BD226)+N(BD229))/(AZ60+BB60+BC60+BD60),""),"")</f>
        <v>1.66987427313324</v>
      </c>
      <c r="BE325" s="262">
        <f>IFERROR(IF(AND(COUNT(BB60,BC60,BD60,BE60)=4,(BB60+BC60+BD60+BE60)&lt;&gt;0),(N(BE203)+N(BE204)+N(BE205)+N(BE208)+N(BE226)+N(BE229))/(BB60+BC60+BD60+BE60),""),"")</f>
        <v>1.65219256104603</v>
      </c>
      <c r="BF325" s="262">
        <f>IFERROR(IF(AND(COUNT(BB60,BC60,BD60,BE60)=4,(BB60+BC60+BD60+BE60)&lt;&gt;0),(N(BF203)+N(BF204)+N(BF205)+N(BF208)+N(BF226)+N(BF229))/(BB60+BC60+BD60+BE60),""),"")</f>
        <v>1.65219256104603</v>
      </c>
      <c r="BG325" s="82" t="n"/>
      <c r="BH325" s="82" t="n"/>
      <c r="BI325" s="82" t="n"/>
      <c r="BJ325" s="82" t="n"/>
      <c r="BL325" s="82" t="n"/>
      <c r="BM325" s="82" t="n"/>
      <c r="BN325" s="82" t="n"/>
      <c r="BO325" s="82" t="n"/>
      <c r="BQ325" s="82" t="n"/>
      <c r="BR325" s="82" t="n"/>
      <c r="BS325" s="82" t="n"/>
      <c r="BT325" s="82" t="n"/>
      <c r="BV325" s="82" t="n"/>
      <c r="BW325" s="82" t="n"/>
      <c r="BX325" s="82" t="n"/>
      <c r="BY325" s="82" t="n"/>
      <c r="CA325" s="82" t="n"/>
      <c r="CB325" s="82" t="n"/>
      <c r="CC325" s="82" t="n"/>
      <c r="CD325" s="82" t="n"/>
      <c r="CF325" s="82" t="n"/>
      <c r="CG325" s="82" t="n"/>
      <c r="CH325" s="82" t="n"/>
      <c r="CI325" s="82" t="n"/>
      <c r="CK325" s="82" t="n"/>
      <c r="CL325" s="82" t="n"/>
      <c r="CM325" s="82" t="n"/>
      <c r="CN325" s="82" t="n"/>
      <c r="CP325" s="82" t="n"/>
      <c r="CQ325" s="82" t="n"/>
      <c r="CR325" s="82" t="n"/>
      <c r="CS325" s="82" t="n"/>
      <c r="CU325" s="82" t="n"/>
      <c r="CV325" s="82" t="n"/>
      <c r="CW325" s="82" t="n"/>
      <c r="CX325" s="82" t="n"/>
    </row>
    <row r="326" customFormat="1" s="77">
      <c r="A326" s="76" t="n"/>
      <c r="B326" s="76" t="n"/>
      <c r="C326" s="77" t="inlineStr">
        <is>
          <t>TOTAL DEBT / TOTAL CAPITALIZATION</t>
        </is>
      </c>
      <c r="D326" s="80" t="str">
        <f>IFERROR(SUM(D203+D204+D205+D208+D226+D229)/(SUM(D203+D204+D205+D208+D226+D229)+D262),"")</f>
        <v/>
      </c>
      <c r="E326" s="80" t="str">
        <f>IFERROR(SUM(E203+E204+E205+E208+E226+E229)/(SUM(E203+E204+E205+E208+E226+E229)+E262),"")</f>
        <v/>
      </c>
      <c r="F326" s="80" t="str">
        <f>IFERROR(SUM(F203+F204+F205+F208+F226+F229)/(SUM(F203+F204+F205+F208+F226+F229)+F262),"")</f>
        <v/>
      </c>
      <c r="G326" s="80" t="str">
        <f>IFERROR(SUM(G203+G204+G205+G208+G226+G229)/(SUM(G203+G204+G205+G208+G226+G229)+G262),"")</f>
        <v/>
      </c>
      <c r="H326" s="258" t="str">
        <f>IFERROR(IF(((N(H203)+N(H204)+N(H205)+N(H208)+N(H226)+N(H229))+N(H262))&lt;&gt;0,(N(H203)+N(H204)+N(H205)+N(H208)+N(H226)+N(H229))/((N(H203)+N(H204)+N(H205)+N(H208)+N(H226)+N(H229))+H262),""),"")</f>
        <v/>
      </c>
      <c r="I326" s="258">
        <f>IFERROR(IF(((N(I203)+N(I204)+N(I205)+N(I208)+N(I226)+N(I229))+N(I262))&lt;&gt;0,(N(I203)+N(I204)+N(I205)+N(I208)+N(I226)+N(I229))/((N(I203)+N(I204)+N(I205)+N(I208)+N(I226)+N(I229))+I262),""),"")</f>
        <v>0.657601643598616</v>
      </c>
      <c r="J326" s="258">
        <f>IFERROR(IF(((N(J203)+N(J204)+N(J205)+N(J208)+N(J226)+N(J229))+N(J262))&lt;&gt;0,(N(J203)+N(J204)+N(J205)+N(J208)+N(J226)+N(J229))/((N(J203)+N(J204)+N(J205)+N(J208)+N(J226)+N(J229))+J262),""),"")</f>
        <v>0.650820811721298</v>
      </c>
      <c r="K326" s="258">
        <f>IFERROR(IF(((N(K203)+N(K204)+N(K205)+N(K208)+N(K226)+N(K229))+N(K262))&lt;&gt;0,(N(K203)+N(K204)+N(K205)+N(K208)+N(K226)+N(K229))/((N(K203)+N(K204)+N(K205)+N(K208)+N(K226)+N(K229))+K262),""),"")</f>
        <v>0.547946491433936</v>
      </c>
      <c r="L326" s="258">
        <f>IFERROR(IF(((N(L203)+N(L204)+N(L205)+N(L208)+N(L226)+N(L229))+N(L262))&lt;&gt;0,(N(L203)+N(L204)+N(L205)+N(L208)+N(L226)+N(L229))/((N(L203)+N(L204)+N(L205)+N(L208)+N(L226)+N(L229))+L262),""),"")</f>
        <v>0.51583830351226</v>
      </c>
      <c r="M326" s="258">
        <f>IFERROR(IF(((N(M203)+N(M204)+N(M205)+N(M208)+N(M226)+N(M229))+N(M262))&lt;&gt;0,(N(M203)+N(M204)+N(M205)+N(M208)+N(M226)+N(M229))/((N(M203)+N(M204)+N(M205)+N(M208)+N(M226)+N(M229))+M262),""),"")</f>
        <v>0.51583830351226</v>
      </c>
      <c r="N326" s="258">
        <f>IFERROR(IF(((N(N203)+N(N204)+N(N205)+N(N208)+N(N226)+N(N229))+N(N262))&lt;&gt;0,(N(N203)+N(N204)+N(N205)+N(N208)+N(N226)+N(N229))/((N(N203)+N(N204)+N(N205)+N(N208)+N(N226)+N(N229))+N262),""),"")</f>
        <v>0.537949831385411</v>
      </c>
      <c r="O326" s="258">
        <f>IFERROR(IF(((N(O203)+N(O204)+N(O205)+N(O208)+N(O226)+N(O229))+N(O262))&lt;&gt;0,(N(O203)+N(O204)+N(O205)+N(O208)+N(O226)+N(O229))/((N(O203)+N(O204)+N(O205)+N(O208)+N(O226)+N(O229))+O262),""),"")</f>
        <v>0.504593517074016</v>
      </c>
      <c r="P326" s="258">
        <f>IFERROR(IF(((N(P203)+N(P204)+N(P205)+N(P208)+N(P226)+N(P229))+N(P262))&lt;&gt;0,(N(P203)+N(P204)+N(P205)+N(P208)+N(P226)+N(P229))/((N(P203)+N(P204)+N(P205)+N(P208)+N(P226)+N(P229))+P262),""),"")</f>
        <v>0.489635758764821</v>
      </c>
      <c r="Q326" s="258">
        <f>IFERROR(IF(((N(Q203)+N(Q204)+N(Q205)+N(Q208)+N(Q226)+N(Q229))+N(Q262))&lt;&gt;0,(N(Q203)+N(Q204)+N(Q205)+N(Q208)+N(Q226)+N(Q229))/((N(Q203)+N(Q204)+N(Q205)+N(Q208)+N(Q226)+N(Q229))+Q262),""),"")</f>
        <v>0.624782344604171</v>
      </c>
      <c r="R326" s="258">
        <f>IFERROR(IF(((N(R203)+N(R204)+N(R205)+N(R208)+N(R226)+N(R229))+N(R262))&lt;&gt;0,(N(R203)+N(R204)+N(R205)+N(R208)+N(R226)+N(R229))/((N(R203)+N(R204)+N(R205)+N(R208)+N(R226)+N(R229))+R262),""),"")</f>
        <v>0.624782344604171</v>
      </c>
      <c r="S326" s="258">
        <f>IFERROR(IF(((N(S203)+N(S204)+N(S205)+N(S208)+N(S226)+N(S229))+N(S262))&lt;&gt;0,(N(S203)+N(S204)+N(S205)+N(S208)+N(S226)+N(S229))/((N(S203)+N(S204)+N(S205)+N(S208)+N(S226)+N(S229))+S262),""),"")</f>
        <v>0.617919670442843</v>
      </c>
      <c r="T326" s="258">
        <f>IFERROR(IF(((N(T203)+N(T204)+N(T205)+N(T208)+N(T226)+N(T229))+N(T262))&lt;&gt;0,(N(T203)+N(T204)+N(T205)+N(T208)+N(T226)+N(T229))/((N(T203)+N(T204)+N(T205)+N(T208)+N(T226)+N(T229))+T262),""),"")</f>
        <v>0.655030800821355</v>
      </c>
      <c r="U326" s="258">
        <f>IFERROR(IF(((N(U203)+N(U204)+N(U205)+N(U208)+N(U226)+N(U229))+N(U262))&lt;&gt;0,(N(U203)+N(U204)+N(U205)+N(U208)+N(U226)+N(U229))/((N(U203)+N(U204)+N(U205)+N(U208)+N(U226)+N(U229))+U262),""),"")</f>
        <v>0.652177174361475</v>
      </c>
      <c r="V326" s="258">
        <f>IFERROR(IF(((N(V203)+N(V204)+N(V205)+N(V208)+N(V226)+N(V229))+N(V262))&lt;&gt;0,(N(V203)+N(V204)+N(V205)+N(V208)+N(V226)+N(V229))/((N(V203)+N(V204)+N(V205)+N(V208)+N(V226)+N(V229))+V262),""),"")</f>
        <v>0.718654811887709</v>
      </c>
      <c r="W326" s="258">
        <f>IFERROR(IF(((N(W203)+N(W204)+N(W205)+N(W208)+N(W226)+N(W229))+N(W262))&lt;&gt;0,(N(W203)+N(W204)+N(W205)+N(W208)+N(W226)+N(W229))/((N(W203)+N(W204)+N(W205)+N(W208)+N(W226)+N(W229))+W262),""),"")</f>
        <v>0.718654811887709</v>
      </c>
      <c r="X326" s="258">
        <f>IFERROR(IF(((N(X203)+N(X204)+N(X205)+N(X208)+N(X226)+N(X229))+N(X262))&lt;&gt;0,(N(X203)+N(X204)+N(X205)+N(X208)+N(X226)+N(X229))/((N(X203)+N(X204)+N(X205)+N(X208)+N(X226)+N(X229))+X262),""),"")</f>
        <v>0.744897959183674</v>
      </c>
      <c r="Y326" s="258">
        <f>IFERROR(IF(((N(Y203)+N(Y204)+N(Y205)+N(Y208)+N(Y226)+N(Y229))+N(Y262))&lt;&gt;0,(N(Y203)+N(Y204)+N(Y205)+N(Y208)+N(Y226)+N(Y229))/((N(Y203)+N(Y204)+N(Y205)+N(Y208)+N(Y226)+N(Y229))+Y262),""),"")</f>
        <v>0.757195659012268</v>
      </c>
      <c r="Z326" s="258">
        <f>IFERROR(IF(((N(Z203)+N(Z204)+N(Z205)+N(Z208)+N(Z226)+N(Z229))+N(Z262))&lt;&gt;0,(N(Z203)+N(Z204)+N(Z205)+N(Z208)+N(Z226)+N(Z229))/((N(Z203)+N(Z204)+N(Z205)+N(Z208)+N(Z226)+N(Z229))+Z262),""),"")</f>
        <v>0.728517024244938</v>
      </c>
      <c r="AA326" s="258">
        <f>IFERROR(IF(((N(AA203)+N(AA204)+N(AA205)+N(AA208)+N(AA226)+N(AA229))+N(AA262))&lt;&gt;0,(N(AA203)+N(AA204)+N(AA205)+N(AA208)+N(AA226)+N(AA229))/((N(AA203)+N(AA204)+N(AA205)+N(AA208)+N(AA226)+N(AA229))+AA262),""),"")</f>
        <v>0.761944141638161</v>
      </c>
      <c r="AB326" s="258">
        <f>IFERROR(IF(((N(AB203)+N(AB204)+N(AB205)+N(AB208)+N(AB226)+N(AB229))+N(AB262))&lt;&gt;0,(N(AB203)+N(AB204)+N(AB205)+N(AB208)+N(AB226)+N(AB229))/((N(AB203)+N(AB204)+N(AB205)+N(AB208)+N(AB226)+N(AB229))+AB262),""),"")</f>
        <v>0.761944141638161</v>
      </c>
      <c r="AC326" s="258">
        <f>IFERROR(IF(((N(AC203)+N(AC204)+N(AC205)+N(AC208)+N(AC226)+N(AC229))+N(AC262))&lt;&gt;0,(N(AC203)+N(AC204)+N(AC205)+N(AC208)+N(AC226)+N(AC229))/((N(AC203)+N(AC204)+N(AC205)+N(AC208)+N(AC226)+N(AC229))+AC262),""),"")</f>
        <v>0.752362248490014</v>
      </c>
      <c r="AD326" s="258">
        <f>IFERROR(IF(((N(AD203)+N(AD204)+N(AD205)+N(AD208)+N(AD226)+N(AD229))+N(AD262))&lt;&gt;0,(N(AD203)+N(AD204)+N(AD205)+N(AD208)+N(AD226)+N(AD229))/((N(AD203)+N(AD204)+N(AD205)+N(AD208)+N(AD226)+N(AD229))+AD262),""),"")</f>
        <v>0.802239359335607</v>
      </c>
      <c r="AE326" s="258">
        <f>IFERROR(IF(((N(AE203)+N(AE204)+N(AE205)+N(AE208)+N(AE226)+N(AE229))+N(AE262))&lt;&gt;0,(N(AE203)+N(AE204)+N(AE205)+N(AE208)+N(AE226)+N(AE229))/((N(AE203)+N(AE204)+N(AE205)+N(AE208)+N(AE226)+N(AE229))+AE262),""),"")</f>
        <v>0.782129009517096</v>
      </c>
      <c r="AF326" s="258">
        <f>IFERROR(IF(((N(AF203)+N(AF204)+N(AF205)+N(AF208)+N(AF226)+N(AF229))+N(AF262))&lt;&gt;0,(N(AF203)+N(AF204)+N(AF205)+N(AF208)+N(AF226)+N(AF229))/((N(AF203)+N(AF204)+N(AF205)+N(AF208)+N(AF226)+N(AF229))+AF262),""),"")</f>
        <v>0.763519932444319</v>
      </c>
      <c r="AG326" s="258">
        <f>IFERROR(IF(((N(AG203)+N(AG204)+N(AG205)+N(AG208)+N(AG226)+N(AG229))+N(AG262))&lt;&gt;0,(N(AG203)+N(AG204)+N(AG205)+N(AG208)+N(AG226)+N(AG229))/((N(AG203)+N(AG204)+N(AG205)+N(AG208)+N(AG226)+N(AG229))+AG262),""),"")</f>
        <v>0.763519932444319</v>
      </c>
      <c r="AH326" s="258">
        <f>IFERROR(IF(((N(AH203)+N(AH204)+N(AH205)+N(AH208)+N(AH226)+N(AH229))+N(AH262))&lt;&gt;0,(N(AH203)+N(AH204)+N(AH205)+N(AH208)+N(AH226)+N(AH229))/((N(AH203)+N(AH204)+N(AH205)+N(AH208)+N(AH226)+N(AH229))+AH262),""),"")</f>
        <v>0.734300716667849</v>
      </c>
      <c r="AI326" s="258">
        <f>IFERROR(IF(((N(AI203)+N(AI204)+N(AI205)+N(AI208)+N(AI226)+N(AI229))+N(AI262))&lt;&gt;0,(N(AI203)+N(AI204)+N(AI205)+N(AI208)+N(AI226)+N(AI229))/((N(AI203)+N(AI204)+N(AI205)+N(AI208)+N(AI226)+N(AI229))+AI262),""),"")</f>
        <v>0.700812120384904</v>
      </c>
      <c r="AJ326" s="258">
        <f>IFERROR(IF(((N(AJ203)+N(AJ204)+N(AJ205)+N(AJ208)+N(AJ226)+N(AJ229))+N(AJ262))&lt;&gt;0,(N(AJ203)+N(AJ204)+N(AJ205)+N(AJ208)+N(AJ226)+N(AJ229))/((N(AJ203)+N(AJ204)+N(AJ205)+N(AJ208)+N(AJ226)+N(AJ229))+AJ262),""),"")</f>
        <v>0.66281264828916</v>
      </c>
      <c r="AK326" s="258">
        <f>IFERROR(IF(((N(AK203)+N(AK204)+N(AK205)+N(AK208)+N(AK226)+N(AK229))+N(AK262))&lt;&gt;0,(N(AK203)+N(AK204)+N(AK205)+N(AK208)+N(AK226)+N(AK229))/((N(AK203)+N(AK204)+N(AK205)+N(AK208)+N(AK226)+N(AK229))+AK262),""),"")</f>
        <v>0.625761083869614</v>
      </c>
      <c r="AL326" s="258">
        <f>IFERROR(IF(((N(AL203)+N(AL204)+N(AL205)+N(AL208)+N(AL226)+N(AL229))+N(AL262))&lt;&gt;0,(N(AL203)+N(AL204)+N(AL205)+N(AL208)+N(AL226)+N(AL229))/((N(AL203)+N(AL204)+N(AL205)+N(AL208)+N(AL226)+N(AL229))+AL262),""),"")</f>
        <v>0.625761083869614</v>
      </c>
      <c r="AM326" s="258">
        <f>IFERROR(IF(((N(AM203)+N(AM204)+N(AM205)+N(AM208)+N(AM226)+N(AM229))+N(AM262))&lt;&gt;0,(N(AM203)+N(AM204)+N(AM205)+N(AM208)+N(AM226)+N(AM229))/((N(AM203)+N(AM204)+N(AM205)+N(AM208)+N(AM226)+N(AM229))+AM262),""),"")</f>
        <v>0.596205110431409</v>
      </c>
      <c r="AN326" s="258">
        <f>IFERROR(IF(((N(AN203)+N(AN204)+N(AN205)+N(AN208)+N(AN226)+N(AN229))+N(AN262))&lt;&gt;0,(N(AN203)+N(AN204)+N(AN205)+N(AN208)+N(AN226)+N(AN229))/((N(AN203)+N(AN204)+N(AN205)+N(AN208)+N(AN226)+N(AN229))+AN262),""),"")</f>
        <v>0.566420451644065</v>
      </c>
      <c r="AO326" s="258">
        <f>IFERROR(IF(((N(AO203)+N(AO204)+N(AO205)+N(AO208)+N(AO226)+N(AO229))+N(AO262))&lt;&gt;0,(N(AO203)+N(AO204)+N(AO205)+N(AO208)+N(AO226)+N(AO229))/((N(AO203)+N(AO204)+N(AO205)+N(AO208)+N(AO226)+N(AO229))+AO262),""),"")</f>
        <v>0.540005398048546</v>
      </c>
      <c r="AP326" s="258">
        <f>IFERROR(IF(((N(AP203)+N(AP204)+N(AP205)+N(AP208)+N(AP226)+N(AP229))+N(AP262))&lt;&gt;0,(N(AP203)+N(AP204)+N(AP205)+N(AP208)+N(AP226)+N(AP229))/((N(AP203)+N(AP204)+N(AP205)+N(AP208)+N(AP226)+N(AP229))+AP262),""),"")</f>
        <v>0.513837983486037</v>
      </c>
      <c r="AQ326" s="258">
        <f>IFERROR(IF(((N(AQ203)+N(AQ204)+N(AQ205)+N(AQ208)+N(AQ226)+N(AQ229))+N(AQ262))&lt;&gt;0,(N(AQ203)+N(AQ204)+N(AQ205)+N(AQ208)+N(AQ226)+N(AQ229))/((N(AQ203)+N(AQ204)+N(AQ205)+N(AQ208)+N(AQ226)+N(AQ229))+AQ262),""),"")</f>
        <v>0.513837983486037</v>
      </c>
      <c r="AR326" s="258">
        <f>IFERROR(IF(((N(AR203)+N(AR204)+N(AR205)+N(AR208)+N(AR226)+N(AR229))+N(AR262))&lt;&gt;0,(N(AR203)+N(AR204)+N(AR205)+N(AR208)+N(AR226)+N(AR229))/((N(AR203)+N(AR204)+N(AR205)+N(AR208)+N(AR226)+N(AR229))+AR262),""),"")</f>
        <v>0.49276274267926</v>
      </c>
      <c r="AS326" s="258">
        <f>IFERROR(IF(((N(AS203)+N(AS204)+N(AS205)+N(AS208)+N(AS226)+N(AS229))+N(AS262))&lt;&gt;0,(N(AS203)+N(AS204)+N(AS205)+N(AS208)+N(AS226)+N(AS229))/((N(AS203)+N(AS204)+N(AS205)+N(AS208)+N(AS226)+N(AS229))+AS262),""),"")</f>
        <v>0.471244366338531</v>
      </c>
      <c r="AT326" s="258">
        <f>IFERROR(IF(((N(AT203)+N(AT204)+N(AT205)+N(AT208)+N(AT226)+N(AT229))+N(AT262))&lt;&gt;0,(N(AT203)+N(AT204)+N(AT205)+N(AT208)+N(AT226)+N(AT229))/((N(AT203)+N(AT204)+N(AT205)+N(AT208)+N(AT226)+N(AT229))+AT262),""),"")</f>
        <v>0.451920665882161</v>
      </c>
      <c r="AU326" s="258">
        <f>IFERROR(IF(((N(AU203)+N(AU204)+N(AU205)+N(AU208)+N(AU226)+N(AU229))+N(AU262))&lt;&gt;0,(N(AU203)+N(AU204)+N(AU205)+N(AU208)+N(AU226)+N(AU229))/((N(AU203)+N(AU204)+N(AU205)+N(AU208)+N(AU226)+N(AU229))+AU262),""),"")</f>
        <v>0.432551795857973</v>
      </c>
      <c r="AV326" s="258">
        <f>IFERROR(IF(((N(AV203)+N(AV204)+N(AV205)+N(AV208)+N(AV226)+N(AV229))+N(AV262))&lt;&gt;0,(N(AV203)+N(AV204)+N(AV205)+N(AV208)+N(AV226)+N(AV229))/((N(AV203)+N(AV204)+N(AV205)+N(AV208)+N(AV226)+N(AV229))+AV262),""),"")</f>
        <v>0.432551795857973</v>
      </c>
      <c r="AW326" s="258">
        <f>IFERROR(IF(((N(AW203)+N(AW204)+N(AW205)+N(AW208)+N(AW226)+N(AW229))+N(AW262))&lt;&gt;0,(N(AW203)+N(AW204)+N(AW205)+N(AW208)+N(AW226)+N(AW229))/((N(AW203)+N(AW204)+N(AW205)+N(AW208)+N(AW226)+N(AW229))+AW262),""),"")</f>
        <v>0.416857912429337</v>
      </c>
      <c r="AX326" s="258">
        <f>IFERROR(IF(((N(AX203)+N(AX204)+N(AX205)+N(AX208)+N(AX226)+N(AX229))+N(AX262))&lt;&gt;0,(N(AX203)+N(AX204)+N(AX205)+N(AX208)+N(AX226)+N(AX229))/((N(AX203)+N(AX204)+N(AX205)+N(AX208)+N(AX226)+N(AX229))+AX262),""),"")</f>
        <v>0.400673393541139</v>
      </c>
      <c r="AY326" s="258">
        <f>IFERROR(IF(((N(AY203)+N(AY204)+N(AY205)+N(AY208)+N(AY226)+N(AY229))+N(AY262))&lt;&gt;0,(N(AY203)+N(AY204)+N(AY205)+N(AY208)+N(AY226)+N(AY229))/((N(AY203)+N(AY204)+N(AY205)+N(AY208)+N(AY226)+N(AY229))+AY262),""),"")</f>
        <v>0.385999188072156</v>
      </c>
      <c r="AZ326" s="258">
        <f>IFERROR(IF(((N(AZ203)+N(AZ204)+N(AZ205)+N(AZ208)+N(AZ226)+N(AZ229))+N(AZ262))&lt;&gt;0,(N(AZ203)+N(AZ204)+N(AZ205)+N(AZ208)+N(AZ226)+N(AZ229))/((N(AZ203)+N(AZ204)+N(AZ205)+N(AZ208)+N(AZ226)+N(AZ229))+AZ262),""),"")</f>
        <v>0.371155493014785</v>
      </c>
      <c r="BA326" s="258">
        <f>IFERROR(IF(((N(BA203)+N(BA204)+N(BA205)+N(BA208)+N(BA226)+N(BA229))+N(BA262))&lt;&gt;0,(N(BA203)+N(BA204)+N(BA205)+N(BA208)+N(BA226)+N(BA229))/((N(BA203)+N(BA204)+N(BA205)+N(BA208)+N(BA226)+N(BA229))+BA262),""),"")</f>
        <v>0.371155493014785</v>
      </c>
      <c r="BB326" s="258">
        <f>IFERROR(IF(((N(BB203)+N(BB204)+N(BB205)+N(BB208)+N(BB226)+N(BB229))+N(BB262))&lt;&gt;0,(N(BB203)+N(BB204)+N(BB205)+N(BB208)+N(BB226)+N(BB229))/((N(BB203)+N(BB204)+N(BB205)+N(BB208)+N(BB226)+N(BB229))+BB262),""),"")</f>
        <v>0.359083747710424</v>
      </c>
      <c r="BC326" s="258">
        <f>IFERROR(IF(((N(BC203)+N(BC204)+N(BC205)+N(BC208)+N(BC226)+N(BC229))+N(BC262))&lt;&gt;0,(N(BC203)+N(BC204)+N(BC205)+N(BC208)+N(BC226)+N(BC229))/((N(BC203)+N(BC204)+N(BC205)+N(BC208)+N(BC226)+N(BC229))+BC262),""),"")</f>
        <v>0.346535616940404</v>
      </c>
      <c r="BD326" s="258">
        <f>IFERROR(IF(((N(BD203)+N(BD204)+N(BD205)+N(BD208)+N(BD226)+N(BD229))+N(BD262))&lt;&gt;0,(N(BD203)+N(BD204)+N(BD205)+N(BD208)+N(BD226)+N(BD229))/((N(BD203)+N(BD204)+N(BD205)+N(BD208)+N(BD226)+N(BD229))+BD262),""),"")</f>
        <v>0.335070565041523</v>
      </c>
      <c r="BE326" s="258">
        <f>IFERROR(IF(((N(BE203)+N(BE204)+N(BE205)+N(BE208)+N(BE226)+N(BE229))+N(BE262))&lt;&gt;0,(N(BE203)+N(BE204)+N(BE205)+N(BE208)+N(BE226)+N(BE229))/((N(BE203)+N(BE204)+N(BE205)+N(BE208)+N(BE226)+N(BE229))+BE262),""),"")</f>
        <v>0.323387068446469</v>
      </c>
      <c r="BF326" s="258">
        <f>IFERROR(IF(((N(BF203)+N(BF204)+N(BF205)+N(BF208)+N(BF226)+N(BF229))+N(BF262))&lt;&gt;0,(N(BF203)+N(BF204)+N(BF205)+N(BF208)+N(BF226)+N(BF229))/((N(BF203)+N(BF204)+N(BF205)+N(BF208)+N(BF226)+N(BF229))+BF262),""),"")</f>
        <v>0.323387068446469</v>
      </c>
      <c r="BG326" s="80" t="n"/>
      <c r="BH326" s="80" t="n"/>
      <c r="BI326" s="80" t="n"/>
      <c r="BJ326" s="80" t="n"/>
      <c r="BL326" s="80" t="n"/>
      <c r="BM326" s="80" t="n"/>
      <c r="BN326" s="80" t="n"/>
      <c r="BO326" s="80" t="n"/>
      <c r="BQ326" s="80" t="n"/>
      <c r="BR326" s="80" t="n"/>
      <c r="BS326" s="80" t="n"/>
      <c r="BT326" s="80" t="n"/>
      <c r="BV326" s="80" t="n"/>
      <c r="BW326" s="80" t="n"/>
      <c r="BX326" s="80" t="n"/>
      <c r="BY326" s="80" t="n"/>
      <c r="CA326" s="80" t="n"/>
      <c r="CB326" s="80" t="n"/>
      <c r="CC326" s="80" t="n"/>
      <c r="CD326" s="80" t="n"/>
      <c r="CF326" s="80" t="n"/>
      <c r="CG326" s="80" t="n"/>
      <c r="CH326" s="80" t="n"/>
      <c r="CI326" s="80" t="n"/>
      <c r="CK326" s="80" t="n"/>
      <c r="CL326" s="80" t="n"/>
      <c r="CM326" s="80" t="n"/>
      <c r="CN326" s="80" t="n"/>
      <c r="CP326" s="80" t="n"/>
      <c r="CQ326" s="80" t="n"/>
      <c r="CR326" s="80" t="n"/>
      <c r="CS326" s="80" t="n"/>
      <c r="CU326" s="80" t="n"/>
      <c r="CV326" s="80" t="n"/>
      <c r="CW326" s="80" t="n"/>
      <c r="CX326" s="80" t="n"/>
    </row>
    <row r="327" customFormat="1" s="77">
      <c r="A327" s="76" t="n"/>
      <c r="B327" s="76" t="n"/>
      <c r="C327" s="77" t="inlineStr">
        <is>
          <t>NET DEBT / EBITDA (LTM)</t>
        </is>
      </c>
      <c r="D327" s="82" t="str">
        <f>IFERROR(SUM((D203+D204+D205+D208+D226)-D135)/(D60*4),"")</f>
        <v/>
      </c>
      <c r="E327" s="82" t="str">
        <f>IFERROR(SUM((E203+E204+E205+E208+E226)-E135)/(E60*4),"")</f>
        <v/>
      </c>
      <c r="F327" s="82" t="str">
        <f>IFERROR(SUM((F203+F204+F205+F208+F226)-F135)/(F60*4),"")</f>
        <v/>
      </c>
      <c r="G327" s="82" t="str">
        <f>IFERROR(SUM((G203+G204+G205+G208+G226)-G135)/(G60*4),"")</f>
        <v/>
      </c>
      <c r="H327" s="262" t="str">
        <f>IFERROR(IF(AND(COUNT(H60)=1,(H60)&lt;&gt;0),((N(H203)+N(H204)+N(H205)+N(H208)+N(H226)+N(H229))-N(H135))/(H60),""),"")</f>
        <v/>
      </c>
      <c r="I327" s="262" t="str">
        <f>""</f>
        <v/>
      </c>
      <c r="J327" s="262" t="str">
        <f>""</f>
        <v/>
      </c>
      <c r="K327" s="262" t="str">
        <f>""</f>
        <v/>
      </c>
      <c r="L327" s="262">
        <f>IFERROR(IF(AND(COUNT(I60,J60,K60,L60)=4,(I60+J60+K60+L60)&lt;&gt;0),((N(L203)+N(L204)+N(L205)+N(L208)+N(L226)+N(L229))-N(L135))/(I60+J60+K60+L60),""),"")</f>
        <v>0.769714885095833</v>
      </c>
      <c r="M327" s="262">
        <f>IFERROR(IF(AND(COUNT(I60,J60,K60,L60)=4,(I60+J60+K60+L60)&lt;&gt;0),((N(M203)+N(M204)+N(M205)+N(M208)+N(M226)+N(M229))-N(M135))/(I60+J60+K60+L60),""),"")</f>
        <v>0.769714885095833</v>
      </c>
      <c r="N327" s="262">
        <f>IFERROR(IF(AND(COUNT(J60,K60,L60,N60)=4,(J60+K60+L60+N60)&lt;&gt;0),((N(N203)+N(N204)+N(N205)+N(N208)+N(N226)+N(N229))-N(N135))/(J60+K60+L60+N60),""),"")</f>
        <v>0.954158928745968</v>
      </c>
      <c r="O327" s="262">
        <f>IFERROR(IF(AND(COUNT(K60,L60,N60,O60)=4,(K60+L60+N60+O60)&lt;&gt;0),((N(O203)+N(O204)+N(O205)+N(O208)+N(O226)+N(O229))-N(O135))/(K60+L60+N60+O60),""),"")</f>
        <v>0.985815602836879</v>
      </c>
      <c r="P327" s="262">
        <f>IFERROR(IF(AND(COUNT(L60,N60,O60,P60)=4,(L60+N60+O60+P60)&lt;&gt;0),((N(P203)+N(P204)+N(P205)+N(P208)+N(P226)+N(P229))-N(P135))/(L60+N60+O60+P60),""),"")</f>
        <v>0.919715447154472</v>
      </c>
      <c r="Q327" s="262">
        <f>IFERROR(IF(AND(COUNT(N60,O60,P60,Q60)=4,(N60+O60+P60+Q60)&lt;&gt;0),((N(Q203)+N(Q204)+N(Q205)+N(Q208)+N(Q226)+N(Q229))-N(Q135))/(N60+O60+P60+Q60),""),"")</f>
        <v>1.32095980311731</v>
      </c>
      <c r="R327" s="262">
        <f>IFERROR(IF(AND(COUNT(N60,O60,P60,Q60)=4,(N60+O60+P60+Q60)&lt;&gt;0),((N(R203)+N(R204)+N(R205)+N(R208)+N(R226)+N(R229))-N(R135))/(N60+O60+P60+Q60),""),"")</f>
        <v>1.32095980311731</v>
      </c>
      <c r="S327" s="262">
        <f>IFERROR(IF(AND(COUNT(O60,P60,Q60,S60)=4,(O60+P60+Q60+S60)&lt;&gt;0),((N(S203)+N(S204)+N(S205)+N(S208)+N(S226)+N(S229))-N(S135))/(O60+P60+Q60+S60),""),"")</f>
        <v>1.33576938692651</v>
      </c>
      <c r="T327" s="262">
        <f>IFERROR(IF(AND(COUNT(P60,Q60,S60,T60)=4,(P60+Q60+S60+T60)&lt;&gt;0),((N(T203)+N(T204)+N(T205)+N(T208)+N(T226)+N(T229))-N(T135))/(P60+Q60+S60+T60),""),"")</f>
        <v>1.38512231652521</v>
      </c>
      <c r="U327" s="262">
        <f>IFERROR(IF(AND(COUNT(Q60,S60,T60,U60)=4,(Q60+S60+T60+U60)&lt;&gt;0),((N(U203)+N(U204)+N(U205)+N(U208)+N(U226)+N(U229))-N(U135))/(Q60+S60+T60+U60),""),"")</f>
        <v>1.39005524861878</v>
      </c>
      <c r="V327" s="262">
        <f>IFERROR(IF(AND(COUNT(S60,T60,U60,V60)=4,(S60+T60+U60+V60)&lt;&gt;0),((N(V203)+N(V204)+N(V205)+N(V208)+N(V226)+N(V229))-N(V135))/(S60+T60+U60+V60),""),"")</f>
        <v>1.61185468451243</v>
      </c>
      <c r="W327" s="262">
        <f>IFERROR(IF(AND(COUNT(S60,T60,U60,V60)=4,(S60+T60+U60+V60)&lt;&gt;0),((N(W203)+N(W204)+N(W205)+N(W208)+N(W226)+N(W229))-N(W135))/(S60+T60+U60+V60),""),"")</f>
        <v>1.61185468451243</v>
      </c>
      <c r="X327" s="262">
        <f>IFERROR(IF(AND(COUNT(T60,U60,V60,X60)=4,(T60+U60+V60+X60)&lt;&gt;0),((N(X203)+N(X204)+N(X205)+N(X208)+N(X226)+N(X229))-N(X135))/(T60+U60+V60+X60),""),"")</f>
        <v>1.67031642390758</v>
      </c>
      <c r="Y327" s="262">
        <f>IFERROR(IF(AND(COUNT(U60,V60,X60,Y60)=4,(U60+V60+X60+Y60)&lt;&gt;0),((N(Y203)+N(Y204)+N(Y205)+N(Y208)+N(Y226)+N(Y229))-N(Y135))/(U60+V60+X60+Y60),""),"")</f>
        <v>1.67457220054038</v>
      </c>
      <c r="Z327" s="262">
        <f>IFERROR(IF(AND(COUNT(V60,X60,Y60,Z60)=4,(V60+X60+Y60+Z60)&lt;&gt;0),((N(Z203)+N(Z204)+N(Z205)+N(Z208)+N(Z226)+N(Z229))-N(Z135))/(V60+X60+Y60+Z60),""),"")</f>
        <v>1.59609120521173</v>
      </c>
      <c r="AA327" s="262">
        <f>IFERROR(IF(AND(COUNT(X60,Y60,Z60,AA60)=4,(X60+Y60+Z60+AA60)&lt;&gt;0),((N(AA203)+N(AA204)+N(AA205)+N(AA208)+N(AA226)+N(AA229))-N(AA135))/(X60+Y60+Z60+AA60),""),"")</f>
        <v>2.07501166588894</v>
      </c>
      <c r="AB327" s="262">
        <f>IFERROR(IF(AND(COUNT(X60,Y60,Z60,AA60)=4,(X60+Y60+Z60+AA60)&lt;&gt;0),((N(AB203)+N(AB204)+N(AB205)+N(AB208)+N(AB226)+N(AB229))-N(AB135))/(X60+Y60+Z60+AA60),""),"")</f>
        <v>2.07501166588894</v>
      </c>
      <c r="AC327" s="262">
        <f>IFERROR(IF(AND(COUNT(Y60,Z60,AA60,AC60)=4,(Y60+Z60+AA60+AC60)&lt;&gt;0),((N(AC203)+N(AC204)+N(AC205)+N(AC208)+N(AC226)+N(AC229))-N(AC135))/(Y60+Z60+AA60+AC60),""),"")</f>
        <v>2.06461332440576</v>
      </c>
      <c r="AD327" s="262">
        <f>IFERROR(IF(AND(COUNT(Z60,AA60,AC60,AD60)=4,(Z60+AA60+AC60+AD60)&lt;&gt;0),((N(AD203)+N(AD204)+N(AD205)+N(AD208)+N(AD226)+N(AD229))-N(AD135))/(Z60+AA60+AC60+AD60),""),"")</f>
        <v>2.67662149717143</v>
      </c>
      <c r="AE327" s="262">
        <f>IFERROR(IF(AND(COUNT(AA60,AC60,AD60,AE60)=4,(AA60+AC60+AD60+AE60)&lt;&gt;0),((N(AE203)+N(AE204)+N(AE205)+N(AE208)+N(AE226)+N(AE229))-N(AE135))/(AA60+AC60+AD60+AE60),""),"")</f>
        <v>2.40635043064661</v>
      </c>
      <c r="AF327" s="262">
        <f>IFERROR(IF(AND(COUNT(AB60,AD60,AE60,AF60)=4,(AB60+AD60+AE60+AF60)&lt;&gt;0),((N(AF203)+N(AF204)+N(AF205)+N(AF208)+N(AF226)+N(AF229))-N(AF135))/(AB60+AD60+AE60+AF60),""),"")</f>
        <v>1.1549175481243</v>
      </c>
      <c r="AG327" s="262">
        <f>IFERROR(IF(AND(COUNT(AC60,AD60,AE60,AF60)=4,(AC60+AD60+AE60+AF60)&lt;&gt;0),((N(AG203)+N(AG204)+N(AG205)+N(AG208)+N(AG226)+N(AG229))-N(AG135))/(AC60+AD60+AE60+AF60),""),"")</f>
        <v>1.86653217243576</v>
      </c>
      <c r="AH327" s="262">
        <f>IFERROR(IF(AND(COUNT(AD60,AF60,AG60,AH60)=4,(AD60+AF60+AG60+AH60)&lt;&gt;0),((N(AH203)+N(AH204)+N(AH205)+N(AH208)+N(AH226)+N(AH229))-N(AH135))/(AD60+AF60+AG60+AH60),""),"")</f>
        <v>1.1885587863464</v>
      </c>
      <c r="AI327" s="262">
        <f>IFERROR(IF(AND(COUNT(AE60,AG60,AH60,AI60)=4,(AE60+AG60+AH60+AI60)&lt;&gt;0),((N(AI203)+N(AI204)+N(AI205)+N(AI208)+N(AI226)+N(AI229))-N(AI135))/(AE60+AG60+AH60+AI60),""),"")</f>
        <v>0.958834306652926</v>
      </c>
      <c r="AJ327" s="262">
        <f>IFERROR(IF(AND(COUNT(AF60,AH60,AI60,AJ60)=4,(AF60+AH60+AI60+AJ60)&lt;&gt;0),((N(AJ203)+N(AJ204)+N(AJ205)+N(AJ208)+N(AJ226)+N(AJ229))-N(AJ135))/(AF60+AH60+AI60+AJ60),""),"")</f>
        <v>1.21388744928569</v>
      </c>
      <c r="AK327" s="262">
        <f>IFERROR(IF(AND(COUNT(AH60,AI60,AJ60,AK60)=4,(AH60+AI60+AJ60+AK60)&lt;&gt;0),((N(AK203)+N(AK204)+N(AK205)+N(AK208)+N(AK226)+N(AK229))-N(AK135))/(AH60+AI60+AJ60+AK60),""),"")</f>
        <v>1.07734732764152</v>
      </c>
      <c r="AL327" s="262">
        <f>IFERROR(IF(AND(COUNT(AH60,AI60,AJ60,AK60)=4,(AH60+AI60+AJ60+AK60)&lt;&gt;0),((N(AL203)+N(AL204)+N(AL205)+N(AL208)+N(AL226)+N(AL229))-N(AL135))/(AH60+AI60+AJ60+AK60),""),"")</f>
        <v>1.07734732764152</v>
      </c>
      <c r="AM327" s="262">
        <f>IFERROR(IF(AND(COUNT(AI60,AJ60,AK60,AM60)=4,(AI60+AJ60+AK60+AM60)&lt;&gt;0),((N(AM203)+N(AM204)+N(AM205)+N(AM208)+N(AM226)+N(AM229))-N(AM135))/(AI60+AJ60+AK60+AM60),""),"")</f>
        <v>0.94390648613334</v>
      </c>
      <c r="AN327" s="262">
        <f>IFERROR(IF(AND(COUNT(AJ60,AK60,AM60,AN60)=4,(AJ60+AK60+AM60+AN60)&lt;&gt;0),((N(AN203)+N(AN204)+N(AN205)+N(AN208)+N(AN226)+N(AN229))-N(AN135))/(AJ60+AK60+AM60+AN60),""),"")</f>
        <v>0.816631274905335</v>
      </c>
      <c r="AO327" s="262">
        <f>IFERROR(IF(AND(COUNT(AK60,AM60,AN60,AO60)=4,(AK60+AM60+AN60+AO60)&lt;&gt;0),((N(AO203)+N(AO204)+N(AO205)+N(AO208)+N(AO226)+N(AO229))-N(AO135))/(AK60+AM60+AN60+AO60),""),"")</f>
        <v>0.664962935789263</v>
      </c>
      <c r="AP327" s="262">
        <f>IFERROR(IF(AND(COUNT(AM60,AN60,AO60,AP60)=4,(AM60+AN60+AO60+AP60)&lt;&gt;0),((N(AP203)+N(AP204)+N(AP205)+N(AP208)+N(AP226)+N(AP229))-N(AP135))/(AM60+AN60+AO60+AP60),""),"")</f>
        <v>0.5103305032722</v>
      </c>
      <c r="AQ327" s="262">
        <f>IFERROR(IF(AND(COUNT(AM60,AN60,AO60,AP60)=4,(AM60+AN60+AO60+AP60)&lt;&gt;0),((N(AQ203)+N(AQ204)+N(AQ205)+N(AQ208)+N(AQ226)+N(AQ229))-N(AQ135))/(AM60+AN60+AO60+AP60),""),"")</f>
        <v>0.5103305032722</v>
      </c>
      <c r="AR327" s="262">
        <f>IFERROR(IF(AND(COUNT(AN60,AO60,AP60,AR60)=4,(AN60+AO60+AP60+AR60)&lt;&gt;0),((N(AR203)+N(AR204)+N(AR205)+N(AR208)+N(AR226)+N(AR229))-N(AR135))/(AN60+AO60+AP60+AR60),""),"")</f>
        <v>0.367435247655186</v>
      </c>
      <c r="AS327" s="262">
        <f>IFERROR(IF(AND(COUNT(AO60,AP60,AR60,AS60)=4,(AO60+AP60+AR60+AS60)&lt;&gt;0),((N(AS203)+N(AS204)+N(AS205)+N(AS208)+N(AS226)+N(AS229))-N(AS135))/(AO60+AP60+AR60+AS60),""),"")</f>
        <v>0.223965576368981</v>
      </c>
      <c r="AT327" s="262">
        <f>IFERROR(IF(AND(COUNT(AP60,AR60,AS60,AT60)=4,(AP60+AR60+AS60+AT60)&lt;&gt;0),((N(AT203)+N(AT204)+N(AT205)+N(AT208)+N(AT226)+N(AT229))-N(AT135))/(AP60+AR60+AS60+AT60),""),"")</f>
        <v>0.0793234094487061</v>
      </c>
      <c r="AU327" s="262">
        <f>IFERROR(IF(AND(COUNT(AR60,AS60,AT60,AU60)=4,(AR60+AS60+AT60+AU60)&lt;&gt;0),((N(AU203)+N(AU204)+N(AU205)+N(AU208)+N(AU226)+N(AU229))-N(AU135))/(AR60+AS60+AT60+AU60),""),"")</f>
        <v>-0.0680686329497535</v>
      </c>
      <c r="AV327" s="262">
        <f>IFERROR(IF(AND(COUNT(AR60,AS60,AT60,AU60)=4,(AR60+AS60+AT60+AU60)&lt;&gt;0),((N(AV203)+N(AV204)+N(AV205)+N(AV208)+N(AV226)+N(AV229))-N(AV135))/(AR60+AS60+AT60+AU60),""),"")</f>
        <v>-0.0680686329497535</v>
      </c>
      <c r="AW327" s="262">
        <f>IFERROR(IF(AND(COUNT(AS60,AT60,AU60,AW60)=4,(AS60+AT60+AU60+AW60)&lt;&gt;0),((N(AW203)+N(AW204)+N(AW205)+N(AW208)+N(AW226)+N(AW229))-N(AW135))/(AS60+AT60+AU60+AW60),""),"")</f>
        <v>-0.204658838659914</v>
      </c>
      <c r="AX327" s="262">
        <f>IFERROR(IF(AND(COUNT(AT60,AU60,AW60,AX60)=4,(AT60+AU60+AW60+AX60)&lt;&gt;0),((N(AX203)+N(AX204)+N(AX205)+N(AX208)+N(AX226)+N(AX229))-N(AX135))/(AT60+AU60+AW60+AX60),""),"")</f>
        <v>-0.342246507930537</v>
      </c>
      <c r="AY327" s="262">
        <f>IFERROR(IF(AND(COUNT(AU60,AW60,AX60,AY60)=4,(AU60+AW60+AX60+AY60)&lt;&gt;0),((N(AY203)+N(AY204)+N(AY205)+N(AY208)+N(AY226)+N(AY229))-N(AY135))/(AU60+AW60+AX60+AY60),""),"")</f>
        <v>-0.481075827165456</v>
      </c>
      <c r="AZ327" s="262">
        <f>IFERROR(IF(AND(COUNT(AW60,AX60,AY60,AZ60)=4,(AW60+AX60+AY60+AZ60)&lt;&gt;0),((N(AZ203)+N(AZ204)+N(AZ205)+N(AZ208)+N(AZ226)+N(AZ229))-N(AZ135))/(AW60+AX60+AY60+AZ60),""),"")</f>
        <v>-0.622497346125667</v>
      </c>
      <c r="BA327" s="262">
        <f>IFERROR(IF(AND(COUNT(AW60,AX60,AY60,AZ60)=4,(AW60+AX60+AY60+AZ60)&lt;&gt;0),((N(BA203)+N(BA204)+N(BA205)+N(BA208)+N(BA226)+N(BA229))-N(BA135))/(AW60+AX60+AY60+AZ60),""),"")</f>
        <v>-0.622497346125667</v>
      </c>
      <c r="BB327" s="262">
        <f>IFERROR(IF(AND(COUNT(AX60,AY60,AZ60,BB60)=4,(AX60+AY60+AZ60+BB60)&lt;&gt;0),((N(BB203)+N(BB204)+N(BB205)+N(BB208)+N(BB226)+N(BB229))-N(BB135))/(AX60+AY60+AZ60+BB60),""),"")</f>
        <v>-0.754270969246164</v>
      </c>
      <c r="BC327" s="262">
        <f>IFERROR(IF(AND(COUNT(AY60,AZ60,BB60,BC60)=4,(AY60+AZ60+BB60+BC60)&lt;&gt;0),((N(BC203)+N(BC204)+N(BC205)+N(BC208)+N(BC226)+N(BC229))-N(BC135))/(AY60+AZ60+BB60+BC60),""),"")</f>
        <v>-0.886587731551878</v>
      </c>
      <c r="BD327" s="262">
        <f>IFERROR(IF(AND(COUNT(AZ60,BB60,BC60,BD60)=4,(AZ60+BB60+BC60+BD60)&lt;&gt;0),((N(BD203)+N(BD204)+N(BD205)+N(BD208)+N(BD226)+N(BD229))-N(BD135))/(AZ60+BB60+BC60+BD60),""),"")</f>
        <v>-1.02058733885195</v>
      </c>
      <c r="BE327" s="262">
        <f>IFERROR(IF(AND(COUNT(BB60,BC60,BD60,BE60)=4,(BB60+BC60+BD60+BE60)&lt;&gt;0),((N(BE203)+N(BE204)+N(BE205)+N(BE208)+N(BE226)+N(BE229))-N(BE135))/(BB60+BC60+BD60+BE60),""),"")</f>
        <v>-1.15708296577937</v>
      </c>
      <c r="BF327" s="262">
        <f>IFERROR(IF(AND(COUNT(BB60,BC60,BD60,BE60)=4,(BB60+BC60+BD60+BE60)&lt;&gt;0),((N(BF203)+N(BF204)+N(BF205)+N(BF208)+N(BF226)+N(BF229))-N(BF135))/(BB60+BC60+BD60+BE60),""),"")</f>
        <v>-1.15708296577937</v>
      </c>
      <c r="BG327" s="82" t="n"/>
      <c r="BH327" s="82" t="n"/>
      <c r="BI327" s="82" t="n"/>
      <c r="BJ327" s="82" t="n"/>
      <c r="BL327" s="82" t="n"/>
      <c r="BM327" s="82" t="n"/>
      <c r="BN327" s="82" t="n"/>
      <c r="BO327" s="82" t="n"/>
      <c r="BQ327" s="82" t="n"/>
      <c r="BR327" s="82" t="n"/>
      <c r="BS327" s="82" t="n"/>
      <c r="BT327" s="82" t="n"/>
      <c r="BV327" s="82" t="n"/>
      <c r="BW327" s="82" t="n"/>
      <c r="BX327" s="82" t="n"/>
      <c r="BY327" s="82" t="n"/>
      <c r="CA327" s="82" t="n"/>
      <c r="CB327" s="82" t="n"/>
      <c r="CC327" s="82" t="n"/>
      <c r="CD327" s="82" t="n"/>
      <c r="CF327" s="82" t="n"/>
      <c r="CG327" s="82" t="n"/>
      <c r="CH327" s="82" t="n"/>
      <c r="CI327" s="82" t="n"/>
      <c r="CK327" s="82" t="n"/>
      <c r="CL327" s="82" t="n"/>
      <c r="CM327" s="82" t="n"/>
      <c r="CN327" s="82" t="n"/>
      <c r="CP327" s="82" t="n"/>
      <c r="CQ327" s="82" t="n"/>
      <c r="CR327" s="82" t="n"/>
      <c r="CS327" s="82" t="n"/>
      <c r="CU327" s="82" t="n"/>
      <c r="CV327" s="82" t="n"/>
      <c r="CW327" s="82" t="n"/>
      <c r="CX327" s="82" t="n"/>
    </row>
    <row r="328" customFormat="1" s="77">
      <c r="A328" s="76" t="n"/>
      <c r="B328" s="76" t="n"/>
      <c r="C328" s="83" t="inlineStr">
        <is>
          <t>NET DEBT (EX IFRS 16.) / EBITDA (LTM)</t>
        </is>
      </c>
      <c r="D328" s="82" t="str">
        <f>IFERROR(SUM((D203+D204+D208)-D135)/(D60*4),"")</f>
        <v/>
      </c>
      <c r="E328" s="82" t="str">
        <f>IFERROR(SUM((E203+E204+E208)-E135)/(E60*4),"")</f>
        <v/>
      </c>
      <c r="F328" s="82" t="str">
        <f>IFERROR(SUM((F203+F204+F208)-F135)/(F60*4),"")</f>
        <v/>
      </c>
      <c r="G328" s="82" t="str">
        <f>IFERROR(SUM((G203+G204+G208)-G135)/(G60*4),"")</f>
        <v/>
      </c>
      <c r="H328" s="262" t="str">
        <f>IFERROR(IF(AND(COUNT(H60)=1,(H60)&lt;&gt;0),((N(H203)+N(H204)+N(H208)+N(H229))-N(H135))/(H60),""),"")</f>
        <v/>
      </c>
      <c r="I328" s="262" t="str">
        <f>""</f>
        <v/>
      </c>
      <c r="J328" s="262" t="str">
        <f>""</f>
        <v/>
      </c>
      <c r="K328" s="262" t="str">
        <f>""</f>
        <v/>
      </c>
      <c r="L328" s="262">
        <f>IFERROR(IF(AND(COUNT(I60,J60,K60,L60)=4,(I60+J60+K60+L60)&lt;&gt;0),((N(L203)+N(L204)+N(L208)+N(L229))-N(L135))/(I60+J60+K60+L60),""),"")</f>
        <v>0.769714885095833</v>
      </c>
      <c r="M328" s="262">
        <f>IFERROR(IF(AND(COUNT(I60,J60,K60,L60)=4,(I60+J60+K60+L60)&lt;&gt;0),((N(M203)+N(M204)+N(M208)+N(M229))-N(M135))/(I60+J60+K60+L60),""),"")</f>
        <v>0.769714885095833</v>
      </c>
      <c r="N328" s="262">
        <f>IFERROR(IF(AND(COUNT(J60,K60,L60,N60)=4,(J60+K60+L60+N60)&lt;&gt;0),((N(N203)+N(N204)+N(N208)+N(N229))-N(N135))/(J60+K60+L60+N60),""),"")</f>
        <v>0.954158928745968</v>
      </c>
      <c r="O328" s="262">
        <f>IFERROR(IF(AND(COUNT(K60,L60,N60,O60)=4,(K60+L60+N60+O60)&lt;&gt;0),((N(O203)+N(O204)+N(O208)+N(O229))-N(O135))/(K60+L60+N60+O60),""),"")</f>
        <v>0.985815602836879</v>
      </c>
      <c r="P328" s="262">
        <f>IFERROR(IF(AND(COUNT(L60,N60,O60,P60)=4,(L60+N60+O60+P60)&lt;&gt;0),((N(P203)+N(P204)+N(P208)+N(P229))-N(P135))/(L60+N60+O60+P60),""),"")</f>
        <v>0.919715447154472</v>
      </c>
      <c r="Q328" s="262">
        <f>IFERROR(IF(AND(COUNT(N60,O60,P60,Q60)=4,(N60+O60+P60+Q60)&lt;&gt;0),((N(Q203)+N(Q204)+N(Q208)+N(Q229))-N(Q135))/(N60+O60+P60+Q60),""),"")</f>
        <v>1.32095980311731</v>
      </c>
      <c r="R328" s="262">
        <f>IFERROR(IF(AND(COUNT(N60,O60,P60,Q60)=4,(N60+O60+P60+Q60)&lt;&gt;0),((N(R203)+N(R204)+N(R208)+N(R229))-N(R135))/(N60+O60+P60+Q60),""),"")</f>
        <v>1.32095980311731</v>
      </c>
      <c r="S328" s="262">
        <f>IFERROR(IF(AND(COUNT(O60,P60,Q60,S60)=4,(O60+P60+Q60+S60)&lt;&gt;0),((N(S203)+N(S204)+N(S208)+N(S229))-N(S135))/(O60+P60+Q60+S60),""),"")</f>
        <v>1.33576938692651</v>
      </c>
      <c r="T328" s="262">
        <f>IFERROR(IF(AND(COUNT(P60,Q60,S60,T60)=4,(P60+Q60+S60+T60)&lt;&gt;0),((N(T203)+N(T204)+N(T208)+N(T229))-N(T135))/(P60+Q60+S60+T60),""),"")</f>
        <v>1.38512231652521</v>
      </c>
      <c r="U328" s="262">
        <f>IFERROR(IF(AND(COUNT(Q60,S60,T60,U60)=4,(Q60+S60+T60+U60)&lt;&gt;0),((N(U203)+N(U204)+N(U208)+N(U229))-N(U135))/(Q60+S60+T60+U60),""),"")</f>
        <v>1.39005524861878</v>
      </c>
      <c r="V328" s="262">
        <f>IFERROR(IF(AND(COUNT(S60,T60,U60,V60)=4,(S60+T60+U60+V60)&lt;&gt;0),((N(V203)+N(V204)+N(V208)+N(V229))-N(V135))/(S60+T60+U60+V60),""),"")</f>
        <v>1.61185468451243</v>
      </c>
      <c r="W328" s="262">
        <f>IFERROR(IF(AND(COUNT(S60,T60,U60,V60)=4,(S60+T60+U60+V60)&lt;&gt;0),((N(W203)+N(W204)+N(W208)+N(W229))-N(W135))/(S60+T60+U60+V60),""),"")</f>
        <v>1.61185468451243</v>
      </c>
      <c r="X328" s="262">
        <f>IFERROR(IF(AND(COUNT(T60,U60,V60,X60)=4,(T60+U60+V60+X60)&lt;&gt;0),((N(X203)+N(X204)+N(X208)+N(X229))-N(X135))/(T60+U60+V60+X60),""),"")</f>
        <v>1.67031642390758</v>
      </c>
      <c r="Y328" s="262">
        <f>IFERROR(IF(AND(COUNT(U60,V60,X60,Y60)=4,(U60+V60+X60+Y60)&lt;&gt;0),((N(Y203)+N(Y204)+N(Y208)+N(Y229))-N(Y135))/(U60+V60+X60+Y60),""),"")</f>
        <v>1.67457220054038</v>
      </c>
      <c r="Z328" s="262">
        <f>IFERROR(IF(AND(COUNT(V60,X60,Y60,Z60)=4,(V60+X60+Y60+Z60)&lt;&gt;0),((N(Z203)+N(Z204)+N(Z208)+N(Z229))-N(Z135))/(V60+X60+Y60+Z60),""),"")</f>
        <v>1.59609120521173</v>
      </c>
      <c r="AA328" s="262">
        <f>IFERROR(IF(AND(COUNT(X60,Y60,Z60,AA60)=4,(X60+Y60+Z60+AA60)&lt;&gt;0),((N(AA203)+N(AA204)+N(AA208)+N(AA229))-N(AA135))/(X60+Y60+Z60+AA60),""),"")</f>
        <v>2.07501166588894</v>
      </c>
      <c r="AB328" s="262">
        <f>IFERROR(IF(AND(COUNT(X60,Y60,Z60,AA60)=4,(X60+Y60+Z60+AA60)&lt;&gt;0),((N(AB203)+N(AB204)+N(AB208)+N(AB229))-N(AB135))/(X60+Y60+Z60+AA60),""),"")</f>
        <v>2.07501166588894</v>
      </c>
      <c r="AC328" s="262">
        <f>IFERROR(IF(AND(COUNT(Y60,Z60,AA60,AC60)=4,(Y60+Z60+AA60+AC60)&lt;&gt;0),((N(AC203)+N(AC204)+N(AC208)+N(AC229))-N(AC135))/(Y60+Z60+AA60+AC60),""),"")</f>
        <v>2.06461332440576</v>
      </c>
      <c r="AD328" s="262">
        <f>IFERROR(IF(AND(COUNT(Z60,AA60,AC60,AD60)=4,(Z60+AA60+AC60+AD60)&lt;&gt;0),((N(AD203)+N(AD204)+N(AD208)+N(AD229))-N(AD135))/(Z60+AA60+AC60+AD60),""),"")</f>
        <v>2.67662149717143</v>
      </c>
      <c r="AE328" s="262">
        <f>IFERROR(IF(AND(COUNT(AA60,AC60,AD60,AE60)=4,(AA60+AC60+AD60+AE60)&lt;&gt;0),((N(AE203)+N(AE204)+N(AE208)+N(AE229))-N(AE135))/(AA60+AC60+AD60+AE60),""),"")</f>
        <v>2.40635043064661</v>
      </c>
      <c r="AF328" s="262">
        <f>IFERROR(IF(AND(COUNT(AB60,AD60,AE60,AF60)=4,(AB60+AD60+AE60+AF60)&lt;&gt;0),((N(AF203)+N(AF204)+N(AF208)+N(AF229))-N(AF135))/(AB60+AD60+AE60+AF60),""),"")</f>
        <v>1.1549175481243</v>
      </c>
      <c r="AG328" s="262">
        <f>IFERROR(IF(AND(COUNT(AC60,AD60,AE60,AF60)=4,(AC60+AD60+AE60+AF60)&lt;&gt;0),((N(AG203)+N(AG204)+N(AG208)+N(AG229))-N(AG135))/(AC60+AD60+AE60+AF60),""),"")</f>
        <v>1.86653217243576</v>
      </c>
      <c r="AH328" s="262">
        <f>IFERROR(IF(AND(COUNT(AD60,AF60,AG60,AH60)=4,(AD60+AF60+AG60+AH60)&lt;&gt;0),((N(AH203)+N(AH204)+N(AH208)+N(AH229))-N(AH135))/(AD60+AF60+AG60+AH60),""),"")</f>
        <v>1.1885587863464</v>
      </c>
      <c r="AI328" s="262">
        <f>IFERROR(IF(AND(COUNT(AE60,AG60,AH60,AI60)=4,(AE60+AG60+AH60+AI60)&lt;&gt;0),((N(AI203)+N(AI204)+N(AI208)+N(AI229))-N(AI135))/(AE60+AG60+AH60+AI60),""),"")</f>
        <v>0.958834306652926</v>
      </c>
      <c r="AJ328" s="262">
        <f>IFERROR(IF(AND(COUNT(AF60,AH60,AI60,AJ60)=4,(AF60+AH60+AI60+AJ60)&lt;&gt;0),((N(AJ203)+N(AJ204)+N(AJ208)+N(AJ229))-N(AJ135))/(AF60+AH60+AI60+AJ60),""),"")</f>
        <v>1.21388744928569</v>
      </c>
      <c r="AK328" s="262">
        <f>IFERROR(IF(AND(COUNT(AH60,AI60,AJ60,AK60)=4,(AH60+AI60+AJ60+AK60)&lt;&gt;0),((N(AK203)+N(AK204)+N(AK208)+N(AK229))-N(AK135))/(AH60+AI60+AJ60+AK60),""),"")</f>
        <v>1.07734732764152</v>
      </c>
      <c r="AL328" s="262">
        <f>IFERROR(IF(AND(COUNT(AH60,AI60,AJ60,AK60)=4,(AH60+AI60+AJ60+AK60)&lt;&gt;0),((N(AL203)+N(AL204)+N(AL208)+N(AL229))-N(AL135))/(AH60+AI60+AJ60+AK60),""),"")</f>
        <v>1.07734732764152</v>
      </c>
      <c r="AM328" s="262">
        <f>IFERROR(IF(AND(COUNT(AI60,AJ60,AK60,AM60)=4,(AI60+AJ60+AK60+AM60)&lt;&gt;0),((N(AM203)+N(AM204)+N(AM208)+N(AM229))-N(AM135))/(AI60+AJ60+AK60+AM60),""),"")</f>
        <v>0.94390648613334</v>
      </c>
      <c r="AN328" s="262">
        <f>IFERROR(IF(AND(COUNT(AJ60,AK60,AM60,AN60)=4,(AJ60+AK60+AM60+AN60)&lt;&gt;0),((N(AN203)+N(AN204)+N(AN208)+N(AN229))-N(AN135))/(AJ60+AK60+AM60+AN60),""),"")</f>
        <v>0.816631274905335</v>
      </c>
      <c r="AO328" s="262">
        <f>IFERROR(IF(AND(COUNT(AK60,AM60,AN60,AO60)=4,(AK60+AM60+AN60+AO60)&lt;&gt;0),((N(AO203)+N(AO204)+N(AO208)+N(AO229))-N(AO135))/(AK60+AM60+AN60+AO60),""),"")</f>
        <v>0.664962935789263</v>
      </c>
      <c r="AP328" s="262">
        <f>IFERROR(IF(AND(COUNT(AM60,AN60,AO60,AP60)=4,(AM60+AN60+AO60+AP60)&lt;&gt;0),((N(AP203)+N(AP204)+N(AP208)+N(AP229))-N(AP135))/(AM60+AN60+AO60+AP60),""),"")</f>
        <v>0.5103305032722</v>
      </c>
      <c r="AQ328" s="262">
        <f>IFERROR(IF(AND(COUNT(AM60,AN60,AO60,AP60)=4,(AM60+AN60+AO60+AP60)&lt;&gt;0),((N(AQ203)+N(AQ204)+N(AQ208)+N(AQ229))-N(AQ135))/(AM60+AN60+AO60+AP60),""),"")</f>
        <v>0.5103305032722</v>
      </c>
      <c r="AR328" s="262">
        <f>IFERROR(IF(AND(COUNT(AN60,AO60,AP60,AR60)=4,(AN60+AO60+AP60+AR60)&lt;&gt;0),((N(AR203)+N(AR204)+N(AR208)+N(AR229))-N(AR135))/(AN60+AO60+AP60+AR60),""),"")</f>
        <v>0.367435247655186</v>
      </c>
      <c r="AS328" s="262">
        <f>IFERROR(IF(AND(COUNT(AO60,AP60,AR60,AS60)=4,(AO60+AP60+AR60+AS60)&lt;&gt;0),((N(AS203)+N(AS204)+N(AS208)+N(AS229))-N(AS135))/(AO60+AP60+AR60+AS60),""),"")</f>
        <v>0.223965576368981</v>
      </c>
      <c r="AT328" s="262">
        <f>IFERROR(IF(AND(COUNT(AP60,AR60,AS60,AT60)=4,(AP60+AR60+AS60+AT60)&lt;&gt;0),((N(AT203)+N(AT204)+N(AT208)+N(AT229))-N(AT135))/(AP60+AR60+AS60+AT60),""),"")</f>
        <v>0.0793234094487061</v>
      </c>
      <c r="AU328" s="262">
        <f>IFERROR(IF(AND(COUNT(AR60,AS60,AT60,AU60)=4,(AR60+AS60+AT60+AU60)&lt;&gt;0),((N(AU203)+N(AU204)+N(AU208)+N(AU229))-N(AU135))/(AR60+AS60+AT60+AU60),""),"")</f>
        <v>-0.0680686329497535</v>
      </c>
      <c r="AV328" s="262">
        <f>IFERROR(IF(AND(COUNT(AR60,AS60,AT60,AU60)=4,(AR60+AS60+AT60+AU60)&lt;&gt;0),((N(AV203)+N(AV204)+N(AV208)+N(AV229))-N(AV135))/(AR60+AS60+AT60+AU60),""),"")</f>
        <v>-0.0680686329497535</v>
      </c>
      <c r="AW328" s="262">
        <f>IFERROR(IF(AND(COUNT(AS60,AT60,AU60,AW60)=4,(AS60+AT60+AU60+AW60)&lt;&gt;0),((N(AW203)+N(AW204)+N(AW208)+N(AW229))-N(AW135))/(AS60+AT60+AU60+AW60),""),"")</f>
        <v>-0.204658838659914</v>
      </c>
      <c r="AX328" s="262">
        <f>IFERROR(IF(AND(COUNT(AT60,AU60,AW60,AX60)=4,(AT60+AU60+AW60+AX60)&lt;&gt;0),((N(AX203)+N(AX204)+N(AX208)+N(AX229))-N(AX135))/(AT60+AU60+AW60+AX60),""),"")</f>
        <v>-0.342246507930537</v>
      </c>
      <c r="AY328" s="262">
        <f>IFERROR(IF(AND(COUNT(AU60,AW60,AX60,AY60)=4,(AU60+AW60+AX60+AY60)&lt;&gt;0),((N(AY203)+N(AY204)+N(AY208)+N(AY229))-N(AY135))/(AU60+AW60+AX60+AY60),""),"")</f>
        <v>-0.481075827165456</v>
      </c>
      <c r="AZ328" s="262">
        <f>IFERROR(IF(AND(COUNT(AW60,AX60,AY60,AZ60)=4,(AW60+AX60+AY60+AZ60)&lt;&gt;0),((N(AZ203)+N(AZ204)+N(AZ208)+N(AZ229))-N(AZ135))/(AW60+AX60+AY60+AZ60),""),"")</f>
        <v>-0.622497346125667</v>
      </c>
      <c r="BA328" s="262">
        <f>IFERROR(IF(AND(COUNT(AW60,AX60,AY60,AZ60)=4,(AW60+AX60+AY60+AZ60)&lt;&gt;0),((N(BA203)+N(BA204)+N(BA208)+N(BA229))-N(BA135))/(AW60+AX60+AY60+AZ60),""),"")</f>
        <v>-0.622497346125667</v>
      </c>
      <c r="BB328" s="262">
        <f>IFERROR(IF(AND(COUNT(AX60,AY60,AZ60,BB60)=4,(AX60+AY60+AZ60+BB60)&lt;&gt;0),((N(BB203)+N(BB204)+N(BB208)+N(BB229))-N(BB135))/(AX60+AY60+AZ60+BB60),""),"")</f>
        <v>-0.754270969246164</v>
      </c>
      <c r="BC328" s="262">
        <f>IFERROR(IF(AND(COUNT(AY60,AZ60,BB60,BC60)=4,(AY60+AZ60+BB60+BC60)&lt;&gt;0),((N(BC203)+N(BC204)+N(BC208)+N(BC229))-N(BC135))/(AY60+AZ60+BB60+BC60),""),"")</f>
        <v>-0.886587731551878</v>
      </c>
      <c r="BD328" s="262">
        <f>IFERROR(IF(AND(COUNT(AZ60,BB60,BC60,BD60)=4,(AZ60+BB60+BC60+BD60)&lt;&gt;0),((N(BD203)+N(BD204)+N(BD208)+N(BD229))-N(BD135))/(AZ60+BB60+BC60+BD60),""),"")</f>
        <v>-1.02058733885195</v>
      </c>
      <c r="BE328" s="262">
        <f>IFERROR(IF(AND(COUNT(BB60,BC60,BD60,BE60)=4,(BB60+BC60+BD60+BE60)&lt;&gt;0),((N(BE203)+N(BE204)+N(BE208)+N(BE229))-N(BE135))/(BB60+BC60+BD60+BE60),""),"")</f>
        <v>-1.15708296577937</v>
      </c>
      <c r="BF328" s="262">
        <f>IFERROR(IF(AND(COUNT(BB60,BC60,BD60,BE60)=4,(BB60+BC60+BD60+BE60)&lt;&gt;0),((N(BF203)+N(BF204)+N(BF208)+N(BF229))-N(BF135))/(BB60+BC60+BD60+BE60),""),"")</f>
        <v>-1.15708296577937</v>
      </c>
      <c r="BG328" s="82" t="n"/>
      <c r="BH328" s="82" t="n"/>
      <c r="BI328" s="82" t="n"/>
      <c r="BJ328" s="82" t="n"/>
      <c r="BL328" s="82" t="n"/>
      <c r="BM328" s="82" t="n"/>
      <c r="BN328" s="82" t="n"/>
      <c r="BO328" s="82" t="n"/>
      <c r="BQ328" s="82" t="n"/>
      <c r="BR328" s="82" t="n"/>
      <c r="BS328" s="82" t="n"/>
      <c r="BT328" s="82" t="n"/>
      <c r="BV328" s="82" t="n"/>
      <c r="BW328" s="82" t="n"/>
      <c r="BX328" s="82" t="n"/>
      <c r="BY328" s="82" t="n"/>
      <c r="CA328" s="82" t="n"/>
      <c r="CB328" s="82" t="n"/>
      <c r="CC328" s="82" t="n"/>
      <c r="CD328" s="82" t="n"/>
      <c r="CF328" s="82" t="n"/>
      <c r="CG328" s="82" t="n"/>
      <c r="CH328" s="82" t="n"/>
      <c r="CI328" s="82" t="n"/>
      <c r="CK328" s="82" t="n"/>
      <c r="CL328" s="82" t="n"/>
      <c r="CM328" s="82" t="n"/>
      <c r="CN328" s="82" t="n"/>
      <c r="CP328" s="82" t="n"/>
      <c r="CQ328" s="82" t="n"/>
      <c r="CR328" s="82" t="n"/>
      <c r="CS328" s="82" t="n"/>
      <c r="CU328" s="82" t="n"/>
      <c r="CV328" s="82" t="n"/>
      <c r="CW328" s="82" t="n"/>
      <c r="CX328" s="82" t="n"/>
    </row>
    <row r="329" customFormat="1" s="77">
      <c r="A329" s="76" t="n"/>
      <c r="B329" s="76" t="n"/>
      <c r="C329" s="77" t="inlineStr">
        <is>
          <t>INTEREST COVERAGE (EBIT / INTEREST, LTM)</t>
        </is>
      </c>
      <c r="D329" s="82" t="str">
        <f>IFERROR(D64/-D65,"")</f>
        <v/>
      </c>
      <c r="E329" s="82" t="str">
        <f>IFERROR(E64/-E65,"")</f>
        <v/>
      </c>
      <c r="F329" s="82" t="str">
        <f>IFERROR(F64/-F65,"")</f>
        <v/>
      </c>
      <c r="G329" s="82" t="str">
        <f>IFERROR(G64/-G65,"")</f>
        <v/>
      </c>
      <c r="H329" s="262" t="str">
        <f>IFERROR(IF(AND(COUNT(H64)=1,(H65)&lt;&gt;0),(H64)/-(H65),""),"")</f>
        <v/>
      </c>
      <c r="I329" s="262" t="str">
        <f>""</f>
        <v/>
      </c>
      <c r="J329" s="262" t="str">
        <f>""</f>
        <v/>
      </c>
      <c r="K329" s="262" t="str">
        <f>""</f>
        <v/>
      </c>
      <c r="L329" s="262">
        <f>IFERROR(IF(AND(COUNT(I64,J64,K64,L64)=4,(I65+J65+K65+L65)&lt;&gt;0),(I64+J64+K64+L64)/-(I65+J65+K65+L65),""),"")</f>
        <v>16.0333919156415</v>
      </c>
      <c r="M329" s="262">
        <f>IFERROR(IF(AND(COUNT(I64,J64,K64,L64)=4,(I65+J65+K65+L65)&lt;&gt;0),(I64+J64+K64+L64)/-(I65+J65+K65+L65),""),"")</f>
        <v>16.0333919156415</v>
      </c>
      <c r="N329" s="262">
        <f>IFERROR(IF(AND(COUNT(J64,K64,L64,N64)=4,(J65+K65+L65+N65)&lt;&gt;0),(J64+K64+L64+N64)/-(J65+K65+L65+N65),""),"")</f>
        <v>15.7340425531915</v>
      </c>
      <c r="O329" s="262">
        <f>IFERROR(IF(AND(COUNT(K64,L64,N64,O64)=4,(K65+L65+N65+O65)&lt;&gt;0),(K64+L64+N64+O64)/-(K65+L65+N65+O65),""),"")</f>
        <v>15.3552397868561</v>
      </c>
      <c r="P329" s="262">
        <f>IFERROR(IF(AND(COUNT(L64,N64,O64,P64)=4,(L65+N65+O65+P65)&lt;&gt;0),(L64+N64+O64+P64)/-(L65+N65+O65+P65),""),"")</f>
        <v>15.0088183421517</v>
      </c>
      <c r="Q329" s="262">
        <f>IFERROR(IF(AND(COUNT(N64,O64,P64,Q64)=4,(N65+O65+P65+Q65)&lt;&gt;0),(N64+O64+P64+Q64)/-(N65+O65+P65+Q65),""),"")</f>
        <v>13.3996789727127</v>
      </c>
      <c r="R329" s="262">
        <f>IFERROR(IF(AND(COUNT(N64,O64,P64,Q64)=4,(N65+O65+P65+Q65)&lt;&gt;0),(N64+O64+P64+Q64)/-(N65+O65+P65+Q65),""),"")</f>
        <v>13.3996789727127</v>
      </c>
      <c r="S329" s="262">
        <f>IFERROR(IF(AND(COUNT(O64,P64,Q64,S64)=4,(O65+P65+Q65+S65)&lt;&gt;0),(O64+P64+Q64+S64)/-(O65+P65+Q65+S65),""),"")</f>
        <v>12.2492753623188</v>
      </c>
      <c r="T329" s="262">
        <f>IFERROR(IF(AND(COUNT(P64,Q64,S64,T64)=4,(P65+Q65+S65+T65)&lt;&gt;0),(P64+Q64+S64+T64)/-(P65+Q65+S65+T65),""),"")</f>
        <v>11.1709844559586</v>
      </c>
      <c r="U329" s="262">
        <f>IFERROR(IF(AND(COUNT(Q64,S64,T64,U64)=4,(Q65+S65+T65+U65)&lt;&gt;0),(Q64+S64+T64+U64)/-(Q65+S65+T65+U65),""),"")</f>
        <v>9.84606481481482</v>
      </c>
      <c r="V329" s="262">
        <f>IFERROR(IF(AND(COUNT(S64,T64,U64,V64)=4,(S65+T65+U65+V65)&lt;&gt;0),(S64+T64+U64+V64)/-(S65+T65+U65+V65),""),"")</f>
        <v>9.28711790393013</v>
      </c>
      <c r="W329" s="262">
        <f>IFERROR(IF(AND(COUNT(S64,T64,U64,V64)=4,(S65+T65+U65+V65)&lt;&gt;0),(S64+T64+U64+V64)/-(S65+T65+U65+V65),""),"")</f>
        <v>9.28711790393013</v>
      </c>
      <c r="X329" s="262">
        <f>IFERROR(IF(AND(COUNT(T64,U64,V64,X64)=4,(T65+U65+V65+X65)&lt;&gt;0),(T64+U64+V64+X64)/-(T65+U65+V65+X65),""),"")</f>
        <v>8.77089783281734</v>
      </c>
      <c r="Y329" s="262">
        <f>IFERROR(IF(AND(COUNT(U64,V64,X64,Y64)=4,(U65+V65+X65+Y65)&lt;&gt;0),(U64+V64+X64+Y64)/-(U65+V65+X65+Y65),""),"")</f>
        <v>8.45283018867925</v>
      </c>
      <c r="Z329" s="262">
        <f>IFERROR(IF(AND(COUNT(V64,X64,Y64,Z64)=4,(V65+X65+Y65+Z65)&lt;&gt;0),(V64+X64+Y64+Z64)/-(V65+X65+Y65+Z65),""),"")</f>
        <v>8.39181286549708</v>
      </c>
      <c r="AA329" s="262">
        <f>IFERROR(IF(AND(COUNT(X64,Y64,Z64,AA64)=4,(X65+Y65+Z65+AA65)&lt;&gt;0),(X64+Y64+Z64+AA64)/-(X65+Y65+Z65+AA65),""),"")</f>
        <v>6.76930501930502</v>
      </c>
      <c r="AB329" s="262">
        <f>IFERROR(IF(AND(COUNT(X64,Y64,Z64,AA64)=4,(X65+Y65+Z65+AA65)&lt;&gt;0),(X64+Y64+Z64+AA64)/-(X65+Y65+Z65+AA65),""),"")</f>
        <v>6.76930501930502</v>
      </c>
      <c r="AC329" s="262">
        <f>IFERROR(IF(AND(COUNT(Y64,Z64,AA64,AC64)=4,(Y65+Z65+AA65+AC65)&lt;&gt;0),(Y64+Z64+AA64+AC64)/-(Y65+Z65+AA65+AC65),""),"")</f>
        <v>7.01239275500477</v>
      </c>
      <c r="AD329" s="262">
        <f>IFERROR(IF(AND(COUNT(Z64,AA64,AC64,AD64)=4,(Z65+AA65+AC65+AD65)&lt;&gt;0),(Z64+AA64+AC64+AD64)/-(Z65+AA65+AC65+AD65),""),"")</f>
        <v>5.60828625235405</v>
      </c>
      <c r="AE329" s="262">
        <f>IFERROR(IF(AND(COUNT(AA64,AC64,AD64,AE64)=4,(AA65+AC65+AD65+AE65)&lt;&gt;0),(AA64+AC64+AD64+AE64)/-(AA65+AC65+AD65+AE65),""),"")</f>
        <v>5.58241758241758</v>
      </c>
      <c r="AF329" s="262">
        <f>IFERROR(IF(AND(COUNT(AB64,AD64,AE64,AF64)=4,(AB65+AD65+AE65+AF65)&lt;&gt;0),(AB64+AD64+AE64+AF64)/-(AB65+AD65+AE65+AF65),""),"")</f>
        <v>6.55991516436904</v>
      </c>
      <c r="AG329" s="262">
        <f>IFERROR(IF(AND(COUNT(AC64,AD64,AE64,AF64)=4,(AC65+AD65+AE65+AF65)&lt;&gt;0),(AC64+AD64+AE64+AF64)/-(AC65+AD65+AE65+AF65),""),"")</f>
        <v>6.91502683363149</v>
      </c>
      <c r="AH329" s="262">
        <f>IFERROR(IF(AND(COUNT(AD64,AF64,AG64,AH64)=4,(AD65+AF65+AG65+AH65)&lt;&gt;0),(AD64+AF64+AG64+AH64)/-(AD65+AF65+AG65+AH65),""),"")</f>
        <v>6.59815479241415</v>
      </c>
      <c r="AI329" s="262">
        <f>IFERROR(IF(AND(COUNT(AE64,AG64,AH64,AI64)=4,(AE65+AG65+AH65+AI65)&lt;&gt;0),(AE64+AG64+AH64+AI64)/-(AE65+AG65+AH65+AI65),""),"")</f>
        <v>7.50541516245487</v>
      </c>
      <c r="AJ329" s="262" t="str">
        <f>IFERROR(IF(AND(COUNT(AF64,AH64,AI64,AJ64)=4,(AF65+AH65+AI65+AJ65)&lt;&gt;0),(AF64+AH64+AI64+AJ64)/-(AF65+AH65+AI65+AJ65),""),"")</f>
        <v/>
      </c>
      <c r="AK329" s="262" t="str">
        <f>IFERROR(IF(AND(COUNT(AH64,AI64,AJ64,AK64)=4,(AH65+AI65+AJ65+AK65)&lt;&gt;0),(AH64+AI64+AJ64+AK64)/-(AH65+AI65+AJ65+AK65),""),"")</f>
        <v/>
      </c>
      <c r="AL329" s="262" t="str">
        <f>IFERROR(IF(AND(COUNT(AH64,AI64,AJ64,AK64)=4,(AH65+AI65+AJ65+AK65)&lt;&gt;0),(AH64+AI64+AJ64+AK64)/-(AH65+AI65+AJ65+AK65),""),"")</f>
        <v/>
      </c>
      <c r="AM329" s="262" t="str">
        <f>IFERROR(IF(AND(COUNT(AI64,AJ64,AK64,AM64)=4,(AI65+AJ65+AK65+AM65)&lt;&gt;0),(AI64+AJ64+AK64+AM64)/-(AI65+AJ65+AK65+AM65),""),"")</f>
        <v/>
      </c>
      <c r="AN329" s="262" t="str">
        <f>IFERROR(IF(AND(COUNT(AJ64,AK64,AM64,AN64)=4,(AJ65+AK65+AM65+AN65)&lt;&gt;0),(AJ64+AK64+AM64+AN64)/-(AJ65+AK65+AM65+AN65),""),"")</f>
        <v/>
      </c>
      <c r="AO329" s="262" t="str">
        <f>IFERROR(IF(AND(COUNT(AK64,AM64,AN64,AO64)=4,(AK65+AM65+AN65+AO65)&lt;&gt;0),(AK64+AM64+AN64+AO64)/-(AK65+AM65+AN65+AO65),""),"")</f>
        <v/>
      </c>
      <c r="AP329" s="262" t="str">
        <f>IFERROR(IF(AND(COUNT(AM64,AN64,AO64,AP64)=4,(AM65+AN65+AO65+AP65)&lt;&gt;0),(AM64+AN64+AO64+AP64)/-(AM65+AN65+AO65+AP65),""),"")</f>
        <v/>
      </c>
      <c r="AQ329" s="262" t="str">
        <f>IFERROR(IF(AND(COUNT(AM64,AN64,AO64,AP64)=4,(AM65+AN65+AO65+AP65)&lt;&gt;0),(AM64+AN64+AO64+AP64)/-(AM65+AN65+AO65+AP65),""),"")</f>
        <v/>
      </c>
      <c r="AR329" s="262" t="str">
        <f>IFERROR(IF(AND(COUNT(AN64,AO64,AP64,AR64)=4,(AN65+AO65+AP65+AR65)&lt;&gt;0),(AN64+AO64+AP64+AR64)/-(AN65+AO65+AP65+AR65),""),"")</f>
        <v/>
      </c>
      <c r="AS329" s="262" t="str">
        <f>IFERROR(IF(AND(COUNT(AO64,AP64,AR64,AS64)=4,(AO65+AP65+AR65+AS65)&lt;&gt;0),(AO64+AP64+AR64+AS64)/-(AO65+AP65+AR65+AS65),""),"")</f>
        <v/>
      </c>
      <c r="AT329" s="262" t="str">
        <f>IFERROR(IF(AND(COUNT(AP64,AR64,AS64,AT64)=4,(AP65+AR65+AS65+AT65)&lt;&gt;0),(AP64+AR64+AS64+AT64)/-(AP65+AR65+AS65+AT65),""),"")</f>
        <v/>
      </c>
      <c r="AU329" s="262" t="str">
        <f>IFERROR(IF(AND(COUNT(AR64,AS64,AT64,AU64)=4,(AR65+AS65+AT65+AU65)&lt;&gt;0),(AR64+AS64+AT64+AU64)/-(AR65+AS65+AT65+AU65),""),"")</f>
        <v/>
      </c>
      <c r="AV329" s="262" t="str">
        <f>IFERROR(IF(AND(COUNT(AR64,AS64,AT64,AU64)=4,(AR65+AS65+AT65+AU65)&lt;&gt;0),(AR64+AS64+AT64+AU64)/-(AR65+AS65+AT65+AU65),""),"")</f>
        <v/>
      </c>
      <c r="AW329" s="262" t="str">
        <f>IFERROR(IF(AND(COUNT(AS64,AT64,AU64,AW64)=4,(AS65+AT65+AU65+AW65)&lt;&gt;0),(AS64+AT64+AU64+AW64)/-(AS65+AT65+AU65+AW65),""),"")</f>
        <v/>
      </c>
      <c r="AX329" s="262" t="str">
        <f>IFERROR(IF(AND(COUNT(AT64,AU64,AW64,AX64)=4,(AT65+AU65+AW65+AX65)&lt;&gt;0),(AT64+AU64+AW64+AX64)/-(AT65+AU65+AW65+AX65),""),"")</f>
        <v/>
      </c>
      <c r="AY329" s="262" t="str">
        <f>IFERROR(IF(AND(COUNT(AU64,AW64,AX64,AY64)=4,(AU65+AW65+AX65+AY65)&lt;&gt;0),(AU64+AW64+AX64+AY64)/-(AU65+AW65+AX65+AY65),""),"")</f>
        <v/>
      </c>
      <c r="AZ329" s="262" t="str">
        <f>IFERROR(IF(AND(COUNT(AW64,AX64,AY64,AZ64)=4,(AW65+AX65+AY65+AZ65)&lt;&gt;0),(AW64+AX64+AY64+AZ64)/-(AW65+AX65+AY65+AZ65),""),"")</f>
        <v/>
      </c>
      <c r="BA329" s="262" t="str">
        <f>IFERROR(IF(AND(COUNT(AW64,AX64,AY64,AZ64)=4,(AW65+AX65+AY65+AZ65)&lt;&gt;0),(AW64+AX64+AY64+AZ64)/-(AW65+AX65+AY65+AZ65),""),"")</f>
        <v/>
      </c>
      <c r="BB329" s="262" t="str">
        <f>IFERROR(IF(AND(COUNT(AX64,AY64,AZ64,BB64)=4,(AX65+AY65+AZ65+BB65)&lt;&gt;0),(AX64+AY64+AZ64+BB64)/-(AX65+AY65+AZ65+BB65),""),"")</f>
        <v/>
      </c>
      <c r="BC329" s="262" t="str">
        <f>IFERROR(IF(AND(COUNT(AY64,AZ64,BB64,BC64)=4,(AY65+AZ65+BB65+BC65)&lt;&gt;0),(AY64+AZ64+BB64+BC64)/-(AY65+AZ65+BB65+BC65),""),"")</f>
        <v/>
      </c>
      <c r="BD329" s="262" t="str">
        <f>IFERROR(IF(AND(COUNT(AZ64,BB64,BC64,BD64)=4,(AZ65+BB65+BC65+BD65)&lt;&gt;0),(AZ64+BB64+BC64+BD64)/-(AZ65+BB65+BC65+BD65),""),"")</f>
        <v/>
      </c>
      <c r="BE329" s="262" t="str">
        <f>IFERROR(IF(AND(COUNT(BB64,BC64,BD64,BE64)=4,(BB65+BC65+BD65+BE65)&lt;&gt;0),(BB64+BC64+BD64+BE64)/-(BB65+BC65+BD65+BE65),""),"")</f>
        <v/>
      </c>
      <c r="BF329" s="262" t="str">
        <f>IFERROR(IF(AND(COUNT(BB64,BC64,BD64,BE64)=4,(BB65+BC65+BD65+BE65)&lt;&gt;0),(BB64+BC64+BD64+BE64)/-(BB65+BC65+BD65+BE65),""),"")</f>
        <v/>
      </c>
      <c r="BG329" s="82" t="n"/>
      <c r="BH329" s="82" t="n"/>
      <c r="BI329" s="82" t="n"/>
      <c r="BJ329" s="82" t="n"/>
      <c r="BL329" s="82" t="n"/>
      <c r="BM329" s="82" t="n"/>
      <c r="BN329" s="82" t="n"/>
      <c r="BO329" s="82" t="n"/>
      <c r="BQ329" s="82" t="n"/>
      <c r="BR329" s="82" t="n"/>
      <c r="BS329" s="82" t="n"/>
      <c r="BT329" s="82" t="n"/>
      <c r="BV329" s="82" t="n"/>
      <c r="BW329" s="82" t="n"/>
      <c r="BX329" s="82" t="n"/>
      <c r="BY329" s="82" t="n"/>
      <c r="CA329" s="82" t="n"/>
      <c r="CB329" s="82" t="n"/>
      <c r="CC329" s="82" t="n"/>
      <c r="CD329" s="82" t="n"/>
      <c r="CF329" s="82" t="n"/>
      <c r="CG329" s="82" t="n"/>
      <c r="CH329" s="82" t="n"/>
      <c r="CI329" s="82" t="n"/>
      <c r="CK329" s="82" t="n"/>
      <c r="CL329" s="82" t="n"/>
      <c r="CM329" s="82" t="n"/>
      <c r="CN329" s="82" t="n"/>
      <c r="CP329" s="82" t="n"/>
      <c r="CQ329" s="82" t="n"/>
      <c r="CR329" s="82" t="n"/>
      <c r="CS329" s="82" t="n"/>
      <c r="CU329" s="82" t="n"/>
      <c r="CV329" s="82" t="n"/>
      <c r="CW329" s="82" t="n"/>
      <c r="CX329" s="82" t="n"/>
    </row>
    <row r="330" customFormat="1" s="77">
      <c r="A330" s="76" t="n"/>
      <c r="B330" s="76" t="n"/>
    </row>
    <row r="331" customFormat="1" s="77">
      <c r="A331" s="76" t="n"/>
      <c r="B331" s="76" t="n"/>
      <c r="C331" s="74" t="inlineStr">
        <is>
          <t>INTERNAL LIQUIDITY</t>
        </is>
      </c>
    </row>
    <row r="332" customFormat="1" s="77">
      <c r="A332" s="76" t="n"/>
      <c r="B332" s="76" t="n"/>
      <c r="C332" s="77" t="inlineStr">
        <is>
          <t>CURRENT RATIO</t>
        </is>
      </c>
      <c r="D332" s="82" t="str">
        <f>IFERROR(SUM(D135,D136,D140,D144,D145,D146)/SUM(D189,D193,D195,D196),"")</f>
        <v/>
      </c>
      <c r="E332" s="82" t="str">
        <f>IFERROR(SUM(E135,E136,E140,E144,E145,E146)/SUM(E189,E193,E195,E196),"")</f>
        <v/>
      </c>
      <c r="F332" s="82" t="str">
        <f>IFERROR(SUM(F135,F136,F140,F144,F145,F146)/SUM(F189,F193,F195,F196),"")</f>
        <v/>
      </c>
      <c r="G332" s="82" t="str">
        <f>IFERROR(SUM(G135,G136,G140,G144,G145,G146)/SUM(G189,G193,G195,G196),"")</f>
        <v/>
      </c>
      <c r="H332" s="262" t="str">
        <f>IFERROR(IF((N(H189)+N(H193)+N(H195)+N(H196)+N(H203)+N(H204)+N(H205))&lt;&gt;0,(N(H135)+(N(H136)+N(H140)+N(H144)+N(H145)+N(H146)))/(N(H189)+N(H193)+N(H195)+N(H196)+N(H203)+N(H204)+N(H205)),""),"")</f>
        <v/>
      </c>
      <c r="I332" s="262">
        <f>IFERROR(IF((N(I189)+N(I193)+N(I195)+N(I196)+N(I203)+N(I204)+N(I205))&lt;&gt;0,(N(I135)+(N(I136)+N(I140)+N(I144)+N(I145)+N(I146)))/(N(I189)+N(I193)+N(I195)+N(I196)+N(I203)+N(I204)+N(I205)),""),"")</f>
        <v>1.60542230074064</v>
      </c>
      <c r="J332" s="262">
        <f>IFERROR(IF((N(J189)+N(J193)+N(J195)+N(J196)+N(J203)+N(J204)+N(J205))&lt;&gt;0,(N(J135)+(N(J136)+N(J140)+N(J144)+N(J145)+N(J146)))/(N(J189)+N(J193)+N(J195)+N(J196)+N(J203)+N(J204)+N(J205)),""),"")</f>
        <v>1.5779425272274</v>
      </c>
      <c r="K332" s="262">
        <f>IFERROR(IF((N(K189)+N(K193)+N(K195)+N(K196)+N(K203)+N(K204)+N(K205))&lt;&gt;0,(N(K135)+(N(K136)+N(K140)+N(K144)+N(K145)+N(K146)))/(N(K189)+N(K193)+N(K195)+N(K196)+N(K203)+N(K204)+N(K205)),""),"")</f>
        <v>1.59862904299215</v>
      </c>
      <c r="L332" s="262">
        <f>IFERROR(IF((N(L189)+N(L193)+N(L195)+N(L196)+N(L203)+N(L204)+N(L205))&lt;&gt;0,(N(L135)+(N(L136)+N(L140)+N(L144)+N(L145)+N(L146)))/(N(L189)+N(L193)+N(L195)+N(L196)+N(L203)+N(L204)+N(L205)),""),"")</f>
        <v>1.57926698578267</v>
      </c>
      <c r="M332" s="262">
        <f>IFERROR(IF((N(M189)+N(M193)+N(M195)+N(M196)+N(M203)+N(M204)+N(M205))&lt;&gt;0,(N(M135)+(N(M136)+N(M140)+N(M144)+N(M145)+N(M146)))/(N(M189)+N(M193)+N(M195)+N(M196)+N(M203)+N(M204)+N(M205)),""),"")</f>
        <v>1.57926698578267</v>
      </c>
      <c r="N332" s="262">
        <f>IFERROR(IF((N(N189)+N(N193)+N(N195)+N(N196)+N(N203)+N(N204)+N(N205))&lt;&gt;0,(N(N135)+(N(N136)+N(N140)+N(N144)+N(N145)+N(N146)))/(N(N189)+N(N193)+N(N195)+N(N196)+N(N203)+N(N204)+N(N205)),""),"")</f>
        <v>1.43815043310276</v>
      </c>
      <c r="O332" s="262">
        <f>IFERROR(IF((N(O189)+N(O193)+N(O195)+N(O196)+N(O203)+N(O204)+N(O205))&lt;&gt;0,(N(O135)+(N(O136)+N(O140)+N(O144)+N(O145)+N(O146)))/(N(O189)+N(O193)+N(O195)+N(O196)+N(O203)+N(O204)+N(O205)),""),"")</f>
        <v>1.43534195036107</v>
      </c>
      <c r="P332" s="262">
        <f>IFERROR(IF((N(P189)+N(P193)+N(P195)+N(P196)+N(P203)+N(P204)+N(P205))&lt;&gt;0,(N(P135)+(N(P136)+N(P140)+N(P144)+N(P145)+N(P146)))/(N(P189)+N(P193)+N(P195)+N(P196)+N(P203)+N(P204)+N(P205)),""),"")</f>
        <v>1.47280846638527</v>
      </c>
      <c r="Q332" s="262">
        <f>IFERROR(IF((N(Q189)+N(Q193)+N(Q195)+N(Q196)+N(Q203)+N(Q204)+N(Q205))&lt;&gt;0,(N(Q135)+(N(Q136)+N(Q140)+N(Q144)+N(Q145)+N(Q146)))/(N(Q189)+N(Q193)+N(Q195)+N(Q196)+N(Q203)+N(Q204)+N(Q205)),""),"")</f>
        <v>1.55693334172594</v>
      </c>
      <c r="R332" s="262">
        <f>IFERROR(IF((N(R189)+N(R193)+N(R195)+N(R196)+N(R203)+N(R204)+N(R205))&lt;&gt;0,(N(R135)+(N(R136)+N(R140)+N(R144)+N(R145)+N(R146)))/(N(R189)+N(R193)+N(R195)+N(R196)+N(R203)+N(R204)+N(R205)),""),"")</f>
        <v>1.55693334172594</v>
      </c>
      <c r="S332" s="262">
        <f>IFERROR(IF((N(S189)+N(S193)+N(S195)+N(S196)+N(S203)+N(S204)+N(S205))&lt;&gt;0,(N(S135)+(N(S136)+N(S140)+N(S144)+N(S145)+N(S146)))/(N(S189)+N(S193)+N(S195)+N(S196)+N(S203)+N(S204)+N(S205)),""),"")</f>
        <v>1.54981745377458</v>
      </c>
      <c r="T332" s="262">
        <f>IFERROR(IF((N(T189)+N(T193)+N(T195)+N(T196)+N(T203)+N(T204)+N(T205))&lt;&gt;0,(N(T135)+(N(T136)+N(T140)+N(T144)+N(T145)+N(T146)))/(N(T189)+N(T193)+N(T195)+N(T196)+N(T203)+N(T204)+N(T205)),""),"")</f>
        <v>1.61573655671035</v>
      </c>
      <c r="U332" s="262">
        <f>IFERROR(IF((N(U189)+N(U193)+N(U195)+N(U196)+N(U203)+N(U204)+N(U205))&lt;&gt;0,(N(U135)+(N(U136)+N(U140)+N(U144)+N(U145)+N(U146)))/(N(U189)+N(U193)+N(U195)+N(U196)+N(U203)+N(U204)+N(U205)),""),"")</f>
        <v>1.63991159192695</v>
      </c>
      <c r="V332" s="262">
        <f>IFERROR(IF((N(V189)+N(V193)+N(V195)+N(V196)+N(V203)+N(V204)+N(V205))&lt;&gt;0,(N(V135)+(N(V136)+N(V140)+N(V144)+N(V145)+N(V146)))/(N(V189)+N(V193)+N(V195)+N(V196)+N(V203)+N(V204)+N(V205)),""),"")</f>
        <v>1.38595973312865</v>
      </c>
      <c r="W332" s="262">
        <f>IFERROR(IF((N(W189)+N(W193)+N(W195)+N(W196)+N(W203)+N(W204)+N(W205))&lt;&gt;0,(N(W135)+(N(W136)+N(W140)+N(W144)+N(W145)+N(W146)))/(N(W189)+N(W193)+N(W195)+N(W196)+N(W203)+N(W204)+N(W205)),""),"")</f>
        <v>1.38595973312865</v>
      </c>
      <c r="X332" s="262">
        <f>IFERROR(IF((N(X189)+N(X193)+N(X195)+N(X196)+N(X203)+N(X204)+N(X205))&lt;&gt;0,(N(X135)+(N(X136)+N(X140)+N(X144)+N(X145)+N(X146)))/(N(X189)+N(X193)+N(X195)+N(X196)+N(X203)+N(X204)+N(X205)),""),"")</f>
        <v>1.46799254195152</v>
      </c>
      <c r="Y332" s="262">
        <f>IFERROR(IF((N(Y189)+N(Y193)+N(Y195)+N(Y196)+N(Y203)+N(Y204)+N(Y205))&lt;&gt;0,(N(Y135)+(N(Y136)+N(Y140)+N(Y144)+N(Y145)+N(Y146)))/(N(Y189)+N(Y193)+N(Y195)+N(Y196)+N(Y203)+N(Y204)+N(Y205)),""),"")</f>
        <v>1.40847888390202</v>
      </c>
      <c r="Z332" s="262">
        <f>IFERROR(IF((N(Z189)+N(Z193)+N(Z195)+N(Z196)+N(Z203)+N(Z204)+N(Z205))&lt;&gt;0,(N(Z135)+(N(Z136)+N(Z140)+N(Z144)+N(Z145)+N(Z146)))/(N(Z189)+N(Z193)+N(Z195)+N(Z196)+N(Z203)+N(Z204)+N(Z205)),""),"")</f>
        <v>1.47759685569905</v>
      </c>
      <c r="AA332" s="262">
        <f>IFERROR(IF((N(AA189)+N(AA193)+N(AA195)+N(AA196)+N(AA203)+N(AA204)+N(AA205))&lt;&gt;0,(N(AA135)+(N(AA136)+N(AA140)+N(AA144)+N(AA145)+N(AA146)))/(N(AA189)+N(AA193)+N(AA195)+N(AA196)+N(AA203)+N(AA204)+N(AA205)),""),"")</f>
        <v>1.30823892893924</v>
      </c>
      <c r="AB332" s="262">
        <f>IFERROR(IF((N(AB189)+N(AB193)+N(AB195)+N(AB196)+N(AB203)+N(AB204)+N(AB205))&lt;&gt;0,(N(AB135)+(N(AB136)+N(AB140)+N(AB144)+N(AB145)+N(AB146)))/(N(AB189)+N(AB193)+N(AB195)+N(AB196)+N(AB203)+N(AB204)+N(AB205)),""),"")</f>
        <v>1.30823892893924</v>
      </c>
      <c r="AC332" s="262">
        <f>IFERROR(IF((N(AC189)+N(AC193)+N(AC195)+N(AC196)+N(AC203)+N(AC204)+N(AC205))&lt;&gt;0,(N(AC135)+(N(AC136)+N(AC140)+N(AC144)+N(AC145)+N(AC146)))/(N(AC189)+N(AC193)+N(AC195)+N(AC196)+N(AC203)+N(AC204)+N(AC205)),""),"")</f>
        <v>1.24458394298391</v>
      </c>
      <c r="AD332" s="262">
        <f>IFERROR(IF((N(AD189)+N(AD193)+N(AD195)+N(AD196)+N(AD203)+N(AD204)+N(AD205))&lt;&gt;0,(N(AD135)+(N(AD136)+N(AD140)+N(AD144)+N(AD145)+N(AD146)))/(N(AD189)+N(AD193)+N(AD195)+N(AD196)+N(AD203)+N(AD204)+N(AD205)),""),"")</f>
        <v>1.15209000574854</v>
      </c>
      <c r="AE332" s="262">
        <f>IFERROR(IF((N(AE189)+N(AE193)+N(AE195)+N(AE196)+N(AE203)+N(AE204)+N(AE205))&lt;&gt;0,(N(AE135)+(N(AE136)+N(AE140)+N(AE144)+N(AE145)+N(AE146)))/(N(AE189)+N(AE193)+N(AE195)+N(AE196)+N(AE203)+N(AE204)+N(AE205)),""),"")</f>
        <v>1.27748759467224</v>
      </c>
      <c r="AF332" s="262">
        <f>IFERROR(IF((N(AF189)+N(AF193)+N(AF195)+N(AF196)+N(AF203)+N(AF204)+N(AF205))&lt;&gt;0,(N(AF135)+(N(AF136)+N(AF140)+N(AF144)+N(AF145)+N(AF146)))/(N(AF189)+N(AF193)+N(AF195)+N(AF196)+N(AF203)+N(AF204)+N(AF205)),""),"")</f>
        <v>1.21435611742018</v>
      </c>
      <c r="AG332" s="262">
        <f>IFERROR(IF((N(AG189)+N(AG193)+N(AG195)+N(AG196)+N(AG203)+N(AG204)+N(AG205))&lt;&gt;0,(N(AG135)+(N(AG136)+N(AG140)+N(AG144)+N(AG145)+N(AG146)))/(N(AG189)+N(AG193)+N(AG195)+N(AG196)+N(AG203)+N(AG204)+N(AG205)),""),"")</f>
        <v>1.21435611742018</v>
      </c>
      <c r="AH332" s="262">
        <f>IFERROR(IF((N(AH189)+N(AH193)+N(AH195)+N(AH196)+N(AH203)+N(AH204)+N(AH205))&lt;&gt;0,(N(AH135)+(N(AH136)+N(AH140)+N(AH144)+N(AH145)+N(AH146)))/(N(AH189)+N(AH193)+N(AH195)+N(AH196)+N(AH203)+N(AH204)+N(AH205)),""),"")</f>
        <v>1.26220009053871</v>
      </c>
      <c r="AI332" s="262">
        <f>IFERROR(IF((N(AI189)+N(AI193)+N(AI195)+N(AI196)+N(AI203)+N(AI204)+N(AI205))&lt;&gt;0,(N(AI135)+(N(AI136)+N(AI140)+N(AI144)+N(AI145)+N(AI146)))/(N(AI189)+N(AI193)+N(AI195)+N(AI196)+N(AI203)+N(AI204)+N(AI205)),""),"")</f>
        <v>1.29425847368642</v>
      </c>
      <c r="AJ332" s="262">
        <f>IFERROR(IF((N(AJ189)+N(AJ193)+N(AJ195)+N(AJ196)+N(AJ203)+N(AJ204)+N(AJ205))&lt;&gt;0,(N(AJ135)+(N(AJ136)+N(AJ140)+N(AJ144)+N(AJ145)+N(AJ146)))/(N(AJ189)+N(AJ193)+N(AJ195)+N(AJ196)+N(AJ203)+N(AJ204)+N(AJ205)),""),"")</f>
        <v>1.35306745743951</v>
      </c>
      <c r="AK332" s="262">
        <f>IFERROR(IF((N(AK189)+N(AK193)+N(AK195)+N(AK196)+N(AK203)+N(AK204)+N(AK205))&lt;&gt;0,(N(AK135)+(N(AK136)+N(AK140)+N(AK144)+N(AK145)+N(AK146)))/(N(AK189)+N(AK193)+N(AK195)+N(AK196)+N(AK203)+N(AK204)+N(AK205)),""),"")</f>
        <v>1.40043549831578</v>
      </c>
      <c r="AL332" s="262">
        <f>IFERROR(IF((N(AL189)+N(AL193)+N(AL195)+N(AL196)+N(AL203)+N(AL204)+N(AL205))&lt;&gt;0,(N(AL135)+(N(AL136)+N(AL140)+N(AL144)+N(AL145)+N(AL146)))/(N(AL189)+N(AL193)+N(AL195)+N(AL196)+N(AL203)+N(AL204)+N(AL205)),""),"")</f>
        <v>1.40043549831578</v>
      </c>
      <c r="AM332" s="262">
        <f>IFERROR(IF((N(AM189)+N(AM193)+N(AM195)+N(AM196)+N(AM203)+N(AM204)+N(AM205))&lt;&gt;0,(N(AM135)+(N(AM136)+N(AM140)+N(AM144)+N(AM145)+N(AM146)))/(N(AM189)+N(AM193)+N(AM195)+N(AM196)+N(AM203)+N(AM204)+N(AM205)),""),"")</f>
        <v>1.45454636842359</v>
      </c>
      <c r="AN332" s="262">
        <f>IFERROR(IF((N(AN189)+N(AN193)+N(AN195)+N(AN196)+N(AN203)+N(AN204)+N(AN205))&lt;&gt;0,(N(AN135)+(N(AN136)+N(AN140)+N(AN144)+N(AN145)+N(AN146)))/(N(AN189)+N(AN193)+N(AN195)+N(AN196)+N(AN203)+N(AN204)+N(AN205)),""),"")</f>
        <v>1.49709772456693</v>
      </c>
      <c r="AO332" s="262">
        <f>IFERROR(IF((N(AO189)+N(AO193)+N(AO195)+N(AO196)+N(AO203)+N(AO204)+N(AO205))&lt;&gt;0,(N(AO135)+(N(AO136)+N(AO140)+N(AO144)+N(AO145)+N(AO146)))/(N(AO189)+N(AO193)+N(AO195)+N(AO196)+N(AO203)+N(AO204)+N(AO205)),""),"")</f>
        <v>1.54873683198454</v>
      </c>
      <c r="AP332" s="262">
        <f>IFERROR(IF((N(AP189)+N(AP193)+N(AP195)+N(AP196)+N(AP203)+N(AP204)+N(AP205))&lt;&gt;0,(N(AP135)+(N(AP136)+N(AP140)+N(AP144)+N(AP145)+N(AP146)))/(N(AP189)+N(AP193)+N(AP195)+N(AP196)+N(AP203)+N(AP204)+N(AP205)),""),"")</f>
        <v>1.59118857012382</v>
      </c>
      <c r="AQ332" s="262">
        <f>IFERROR(IF((N(AQ189)+N(AQ193)+N(AQ195)+N(AQ196)+N(AQ203)+N(AQ204)+N(AQ205))&lt;&gt;0,(N(AQ135)+(N(AQ136)+N(AQ140)+N(AQ144)+N(AQ145)+N(AQ146)))/(N(AQ189)+N(AQ193)+N(AQ195)+N(AQ196)+N(AQ203)+N(AQ204)+N(AQ205)),""),"")</f>
        <v>1.59118857012382</v>
      </c>
      <c r="AR332" s="262">
        <f>IFERROR(IF((N(AR189)+N(AR193)+N(AR195)+N(AR196)+N(AR203)+N(AR204)+N(AR205))&lt;&gt;0,(N(AR135)+(N(AR136)+N(AR140)+N(AR144)+N(AR145)+N(AR146)))/(N(AR189)+N(AR193)+N(AR195)+N(AR196)+N(AR203)+N(AR204)+N(AR205)),""),"")</f>
        <v>1.64909556080906</v>
      </c>
      <c r="AS332" s="262">
        <f>IFERROR(IF((N(AS189)+N(AS193)+N(AS195)+N(AS196)+N(AS203)+N(AS204)+N(AS205))&lt;&gt;0,(N(AS135)+(N(AS136)+N(AS140)+N(AS144)+N(AS145)+N(AS146)))/(N(AS189)+N(AS193)+N(AS195)+N(AS196)+N(AS203)+N(AS204)+N(AS205)),""),"")</f>
        <v>1.6852550038314</v>
      </c>
      <c r="AT332" s="262">
        <f>IFERROR(IF((N(AT189)+N(AT193)+N(AT195)+N(AT196)+N(AT203)+N(AT204)+N(AT205))&lt;&gt;0,(N(AT135)+(N(AT136)+N(AT140)+N(AT144)+N(AT145)+N(AT146)))/(N(AT189)+N(AT193)+N(AT195)+N(AT196)+N(AT203)+N(AT204)+N(AT205)),""),"")</f>
        <v>1.73626727569645</v>
      </c>
      <c r="AU332" s="262">
        <f>IFERROR(IF((N(AU189)+N(AU193)+N(AU195)+N(AU196)+N(AU203)+N(AU204)+N(AU205))&lt;&gt;0,(N(AU135)+(N(AU136)+N(AU140)+N(AU144)+N(AU145)+N(AU146)))/(N(AU189)+N(AU193)+N(AU195)+N(AU196)+N(AU203)+N(AU204)+N(AU205)),""),"")</f>
        <v>1.77373817836969</v>
      </c>
      <c r="AV332" s="262">
        <f>IFERROR(IF((N(AV189)+N(AV193)+N(AV195)+N(AV196)+N(AV203)+N(AV204)+N(AV205))&lt;&gt;0,(N(AV135)+(N(AV136)+N(AV140)+N(AV144)+N(AV145)+N(AV146)))/(N(AV189)+N(AV193)+N(AV195)+N(AV196)+N(AV203)+N(AV204)+N(AV205)),""),"")</f>
        <v>1.77373817836969</v>
      </c>
      <c r="AW332" s="262">
        <f>IFERROR(IF((N(AW189)+N(AW193)+N(AW195)+N(AW196)+N(AW203)+N(AW204)+N(AW205))&lt;&gt;0,(N(AW135)+(N(AW136)+N(AW140)+N(AW144)+N(AW145)+N(AW146)))/(N(AW189)+N(AW193)+N(AW195)+N(AW196)+N(AW203)+N(AW204)+N(AW205)),""),"")</f>
        <v>1.83273258062011</v>
      </c>
      <c r="AX332" s="262">
        <f>IFERROR(IF((N(AX189)+N(AX193)+N(AX195)+N(AX196)+N(AX203)+N(AX204)+N(AX205))&lt;&gt;0,(N(AX135)+(N(AX136)+N(AX140)+N(AX144)+N(AX145)+N(AX146)))/(N(AX189)+N(AX193)+N(AX195)+N(AX196)+N(AX203)+N(AX204)+N(AX205)),""),"")</f>
        <v>1.86495302890236</v>
      </c>
      <c r="AY332" s="262">
        <f>IFERROR(IF((N(AY189)+N(AY193)+N(AY195)+N(AY196)+N(AY203)+N(AY204)+N(AY205))&lt;&gt;0,(N(AY135)+(N(AY136)+N(AY140)+N(AY144)+N(AY145)+N(AY146)))/(N(AY189)+N(AY193)+N(AY195)+N(AY196)+N(AY203)+N(AY204)+N(AY205)),""),"")</f>
        <v>1.91503328794429</v>
      </c>
      <c r="AZ332" s="262">
        <f>IFERROR(IF((N(AZ189)+N(AZ193)+N(AZ195)+N(AZ196)+N(AZ203)+N(AZ204)+N(AZ205))&lt;&gt;0,(N(AZ135)+(N(AZ136)+N(AZ140)+N(AZ144)+N(AZ145)+N(AZ146)))/(N(AZ189)+N(AZ193)+N(AZ195)+N(AZ196)+N(AZ203)+N(AZ204)+N(AZ205)),""),"")</f>
        <v>1.94752620185957</v>
      </c>
      <c r="BA332" s="262">
        <f>IFERROR(IF((N(BA189)+N(BA193)+N(BA195)+N(BA196)+N(BA203)+N(BA204)+N(BA205))&lt;&gt;0,(N(BA135)+(N(BA136)+N(BA140)+N(BA144)+N(BA145)+N(BA146)))/(N(BA189)+N(BA193)+N(BA195)+N(BA196)+N(BA203)+N(BA204)+N(BA205)),""),"")</f>
        <v>1.94752620185957</v>
      </c>
      <c r="BB332" s="262">
        <f>IFERROR(IF((N(BB189)+N(BB193)+N(BB195)+N(BB196)+N(BB203)+N(BB204)+N(BB205))&lt;&gt;0,(N(BB135)+(N(BB136)+N(BB140)+N(BB144)+N(BB145)+N(BB146)))/(N(BB189)+N(BB193)+N(BB195)+N(BB196)+N(BB203)+N(BB204)+N(BB205)),""),"")</f>
        <v>2.00886596842724</v>
      </c>
      <c r="BC332" s="262">
        <f>IFERROR(IF((N(BC189)+N(BC193)+N(BC195)+N(BC196)+N(BC203)+N(BC204)+N(BC205))&lt;&gt;0,(N(BC135)+(N(BC136)+N(BC140)+N(BC144)+N(BC145)+N(BC146)))/(N(BC189)+N(BC193)+N(BC195)+N(BC196)+N(BC203)+N(BC204)+N(BC205)),""),"")</f>
        <v>2.03607207825885</v>
      </c>
      <c r="BD332" s="262">
        <f>IFERROR(IF((N(BD189)+N(BD193)+N(BD195)+N(BD196)+N(BD203)+N(BD204)+N(BD205))&lt;&gt;0,(N(BD135)+(N(BD136)+N(BD140)+N(BD144)+N(BD145)+N(BD146)))/(N(BD189)+N(BD193)+N(BD195)+N(BD196)+N(BD203)+N(BD204)+N(BD205)),""),"")</f>
        <v>2.08514982423394</v>
      </c>
      <c r="BE332" s="262">
        <f>IFERROR(IF((N(BE189)+N(BE193)+N(BE195)+N(BE196)+N(BE203)+N(BE204)+N(BE205))&lt;&gt;0,(N(BE135)+(N(BE136)+N(BE140)+N(BE144)+N(BE145)+N(BE146)))/(N(BE189)+N(BE193)+N(BE195)+N(BE196)+N(BE203)+N(BE204)+N(BE205)),""),"")</f>
        <v>2.1129418422985</v>
      </c>
      <c r="BF332" s="262">
        <f>IFERROR(IF((N(BF189)+N(BF193)+N(BF195)+N(BF196)+N(BF203)+N(BF204)+N(BF205))&lt;&gt;0,(N(BF135)+(N(BF136)+N(BF140)+N(BF144)+N(BF145)+N(BF146)))/(N(BF189)+N(BF193)+N(BF195)+N(BF196)+N(BF203)+N(BF204)+N(BF205)),""),"")</f>
        <v>2.1129418422985</v>
      </c>
      <c r="BG332" s="82" t="n"/>
      <c r="BH332" s="82" t="n"/>
      <c r="BI332" s="82" t="n"/>
      <c r="BJ332" s="82" t="n"/>
      <c r="BL332" s="82" t="n"/>
      <c r="BM332" s="82" t="n"/>
      <c r="BN332" s="82" t="n"/>
      <c r="BO332" s="82" t="n"/>
      <c r="BQ332" s="82" t="n"/>
      <c r="BR332" s="82" t="n"/>
      <c r="BS332" s="82" t="n"/>
      <c r="BT332" s="82" t="n"/>
      <c r="BV332" s="82" t="n"/>
      <c r="BW332" s="82" t="n"/>
      <c r="BX332" s="82" t="n"/>
      <c r="BY332" s="82" t="n"/>
      <c r="CA332" s="82" t="n"/>
      <c r="CB332" s="82" t="n"/>
      <c r="CC332" s="82" t="n"/>
      <c r="CD332" s="82" t="n"/>
      <c r="CF332" s="82" t="n"/>
      <c r="CG332" s="82" t="n"/>
      <c r="CH332" s="82" t="n"/>
      <c r="CI332" s="82" t="n"/>
      <c r="CK332" s="82" t="n"/>
      <c r="CL332" s="82" t="n"/>
      <c r="CM332" s="82" t="n"/>
      <c r="CN332" s="82" t="n"/>
      <c r="CP332" s="82" t="n"/>
      <c r="CQ332" s="82" t="n"/>
      <c r="CR332" s="82" t="n"/>
      <c r="CS332" s="82" t="n"/>
      <c r="CU332" s="82" t="n"/>
      <c r="CV332" s="82" t="n"/>
      <c r="CW332" s="82" t="n"/>
      <c r="CX332" s="82" t="n"/>
    </row>
    <row r="333" customFormat="1" s="77">
      <c r="A333" s="76" t="n"/>
      <c r="B333" s="76" t="n"/>
      <c r="C333" s="77" t="inlineStr">
        <is>
          <t>CASH RATIO</t>
        </is>
      </c>
      <c r="D333" s="82" t="str">
        <f>IFERROR(SUM(D135)/SUM(D189,D193,D195,D196),"")</f>
        <v/>
      </c>
      <c r="E333" s="82" t="str">
        <f>IFERROR(SUM(E135)/SUM(E189,E193,E195,E196),"")</f>
        <v/>
      </c>
      <c r="F333" s="82" t="str">
        <f>IFERROR(SUM(F135)/SUM(F189,F193,F195,F196),"")</f>
        <v/>
      </c>
      <c r="G333" s="82" t="str">
        <f>IFERROR(SUM(G135)/SUM(G189,G193,G195,G196),"")</f>
        <v/>
      </c>
      <c r="H333" s="262" t="str">
        <f>IFERROR(IF((N(H189)+N(H193)+N(H195)+N(H196)+N(H203)+N(H204)+N(H205))&lt;&gt;0,N(H135)/(N(H189)+N(H193)+N(H195)+N(H196)+N(H203)+N(H204)+N(H205)),""),"")</f>
        <v/>
      </c>
      <c r="I333" s="262">
        <f>IFERROR(IF((N(I189)+N(I193)+N(I195)+N(I196)+N(I203)+N(I204)+N(I205))&lt;&gt;0,N(I135)/(N(I189)+N(I193)+N(I195)+N(I196)+N(I203)+N(I204)+N(I205)),""),"")</f>
        <v>0.199293334239315</v>
      </c>
      <c r="J333" s="262">
        <f>IFERROR(IF((N(J189)+N(J193)+N(J195)+N(J196)+N(J203)+N(J204)+N(J205))&lt;&gt;0,N(J135)/(N(J189)+N(J193)+N(J195)+N(J196)+N(J203)+N(J204)+N(J205)),""),"")</f>
        <v>0.180094475790579</v>
      </c>
      <c r="K333" s="262">
        <f>IFERROR(IF((N(K189)+N(K193)+N(K195)+N(K196)+N(K203)+N(K204)+N(K205))&lt;&gt;0,N(K135)/(N(K189)+N(K193)+N(K195)+N(K196)+N(K203)+N(K204)+N(K205)),""),"")</f>
        <v>0.181485425262878</v>
      </c>
      <c r="L333" s="262">
        <f>IFERROR(IF((N(L189)+N(L193)+N(L195)+N(L196)+N(L203)+N(L204)+N(L205))&lt;&gt;0,N(L135)/(N(L189)+N(L193)+N(L195)+N(L196)+N(L203)+N(L204)+N(L205)),""),"")</f>
        <v>0.257483746517111</v>
      </c>
      <c r="M333" s="262">
        <f>IFERROR(IF((N(M189)+N(M193)+N(M195)+N(M196)+N(M203)+N(M204)+N(M205))&lt;&gt;0,N(M135)/(N(M189)+N(M193)+N(M195)+N(M196)+N(M203)+N(M204)+N(M205)),""),"")</f>
        <v>0.257483746517111</v>
      </c>
      <c r="N333" s="262">
        <f>IFERROR(IF((N(N189)+N(N193)+N(N195)+N(N196)+N(N203)+N(N204)+N(N205))&lt;&gt;0,N(N135)/(N(N189)+N(N193)+N(N195)+N(N196)+N(N203)+N(N204)+N(N205)),""),"")</f>
        <v>0.117342805508818</v>
      </c>
      <c r="O333" s="262">
        <f>IFERROR(IF((N(O189)+N(O193)+N(O195)+N(O196)+N(O203)+N(O204)+N(O205))&lt;&gt;0,N(O135)/(N(O189)+N(O193)+N(O195)+N(O196)+N(O203)+N(O204)+N(O205)),""),"")</f>
        <v>0.107712846653316</v>
      </c>
      <c r="P333" s="262">
        <f>IFERROR(IF((N(P189)+N(P193)+N(P195)+N(P196)+N(P203)+N(P204)+N(P205))&lt;&gt;0,N(P135)/(N(P189)+N(P193)+N(P195)+N(P196)+N(P203)+N(P204)+N(P205)),""),"")</f>
        <v>0.148651128647458</v>
      </c>
      <c r="Q333" s="262">
        <f>IFERROR(IF((N(Q189)+N(Q193)+N(Q195)+N(Q196)+N(Q203)+N(Q204)+N(Q205))&lt;&gt;0,N(Q135)/(N(Q189)+N(Q193)+N(Q195)+N(Q196)+N(Q203)+N(Q204)+N(Q205)),""),"")</f>
        <v>0.160319758292944</v>
      </c>
      <c r="R333" s="262">
        <f>IFERROR(IF((N(R189)+N(R193)+N(R195)+N(R196)+N(R203)+N(R204)+N(R205))&lt;&gt;0,N(R135)/(N(R189)+N(R193)+N(R195)+N(R196)+N(R203)+N(R204)+N(R205)),""),"")</f>
        <v>0.160319758292944</v>
      </c>
      <c r="S333" s="262">
        <f>IFERROR(IF((N(S189)+N(S193)+N(S195)+N(S196)+N(S203)+N(S204)+N(S205))&lt;&gt;0,N(S135)/(N(S189)+N(S193)+N(S195)+N(S196)+N(S203)+N(S204)+N(S205)),""),"")</f>
        <v>0.143681545165469</v>
      </c>
      <c r="T333" s="262">
        <f>IFERROR(IF((N(T189)+N(T193)+N(T195)+N(T196)+N(T203)+N(T204)+N(T205))&lt;&gt;0,N(T135)/(N(T189)+N(T193)+N(T195)+N(T196)+N(T203)+N(T204)+N(T205)),""),"")</f>
        <v>0.207467239042024</v>
      </c>
      <c r="U333" s="262">
        <f>IFERROR(IF((N(U189)+N(U193)+N(U195)+N(U196)+N(U203)+N(U204)+N(U205))&lt;&gt;0,N(U135)/(N(U189)+N(U193)+N(U195)+N(U196)+N(U203)+N(U204)+N(U205)),""),"")</f>
        <v>0.206537544349445</v>
      </c>
      <c r="V333" s="262">
        <f>IFERROR(IF((N(V189)+N(V193)+N(V195)+N(V196)+N(V203)+N(V204)+N(V205))&lt;&gt;0,N(V135)/(N(V189)+N(V193)+N(V195)+N(V196)+N(V203)+N(V204)+N(V205)),""),"")</f>
        <v>0.0851390446950464</v>
      </c>
      <c r="W333" s="262">
        <f>IFERROR(IF((N(W189)+N(W193)+N(W195)+N(W196)+N(W203)+N(W204)+N(W205))&lt;&gt;0,N(W135)/(N(W189)+N(W193)+N(W195)+N(W196)+N(W203)+N(W204)+N(W205)),""),"")</f>
        <v>0.0851390446950464</v>
      </c>
      <c r="X333" s="262">
        <f>IFERROR(IF((N(X189)+N(X193)+N(X195)+N(X196)+N(X203)+N(X204)+N(X205))&lt;&gt;0,N(X135)/(N(X189)+N(X193)+N(X195)+N(X196)+N(X203)+N(X204)+N(X205)),""),"")</f>
        <v>0.15763602463416</v>
      </c>
      <c r="Y333" s="262">
        <f>IFERROR(IF((N(Y189)+N(Y193)+N(Y195)+N(Y196)+N(Y203)+N(Y204)+N(Y205))&lt;&gt;0,N(Y135)/(N(Y189)+N(Y193)+N(Y195)+N(Y196)+N(Y203)+N(Y204)+N(Y205)),""),"")</f>
        <v>0.136430000540745</v>
      </c>
      <c r="Z333" s="262">
        <f>IFERROR(IF((N(Z189)+N(Z193)+N(Z195)+N(Z196)+N(Z203)+N(Z204)+N(Z205))&lt;&gt;0,N(Z135)/(N(Z189)+N(Z193)+N(Z195)+N(Z196)+N(Z203)+N(Z204)+N(Z205)),""),"")</f>
        <v>0.176923076923077</v>
      </c>
      <c r="AA333" s="262">
        <f>IFERROR(IF((N(AA189)+N(AA193)+N(AA195)+N(AA196)+N(AA203)+N(AA204)+N(AA205))&lt;&gt;0,N(AA135)/(N(AA189)+N(AA193)+N(AA195)+N(AA196)+N(AA203)+N(AA204)+N(AA205)),""),"")</f>
        <v>0.127857878475798</v>
      </c>
      <c r="AB333" s="262">
        <f>IFERROR(IF((N(AB189)+N(AB193)+N(AB195)+N(AB196)+N(AB203)+N(AB204)+N(AB205))&lt;&gt;0,N(AB135)/(N(AB189)+N(AB193)+N(AB195)+N(AB196)+N(AB203)+N(AB204)+N(AB205)),""),"")</f>
        <v>0.127857878475798</v>
      </c>
      <c r="AC333" s="262">
        <f>IFERROR(IF((N(AC189)+N(AC193)+N(AC195)+N(AC196)+N(AC203)+N(AC204)+N(AC205))&lt;&gt;0,N(AC135)/(N(AC189)+N(AC193)+N(AC195)+N(AC196)+N(AC203)+N(AC204)+N(AC205)),""),"")</f>
        <v>0.0850993533770709</v>
      </c>
      <c r="AD333" s="262">
        <f>IFERROR(IF((N(AD189)+N(AD193)+N(AD195)+N(AD196)+N(AD203)+N(AD204)+N(AD205))&lt;&gt;0,N(AD135)/(N(AD189)+N(AD193)+N(AD195)+N(AD196)+N(AD203)+N(AD204)+N(AD205)),""),"")</f>
        <v>0.0530918945553092</v>
      </c>
      <c r="AE333" s="262">
        <f>IFERROR(IF((N(AE189)+N(AE193)+N(AE195)+N(AE196)+N(AE203)+N(AE204)+N(AE205))&lt;&gt;0,N(AE135)/(N(AE189)+N(AE193)+N(AE195)+N(AE196)+N(AE203)+N(AE204)+N(AE205)),""),"")</f>
        <v>0.151040306433359</v>
      </c>
      <c r="AF333" s="262">
        <f>IFERROR(IF((N(AF189)+N(AF193)+N(AF195)+N(AF196)+N(AF203)+N(AF204)+N(AF205))&lt;&gt;0,N(AF135)/(N(AF189)+N(AF193)+N(AF195)+N(AF196)+N(AF203)+N(AF204)+N(AF205)),""),"")</f>
        <v>0.176601671309192</v>
      </c>
      <c r="AG333" s="262">
        <f>IFERROR(IF((N(AG189)+N(AG193)+N(AG195)+N(AG196)+N(AG203)+N(AG204)+N(AG205))&lt;&gt;0,N(AG135)/(N(AG189)+N(AG193)+N(AG195)+N(AG196)+N(AG203)+N(AG204)+N(AG205)),""),"")</f>
        <v>0.176601671309192</v>
      </c>
      <c r="AH333" s="262">
        <f>IFERROR(IF((N(AH189)+N(AH193)+N(AH195)+N(AH196)+N(AH203)+N(AH204)+N(AH205))&lt;&gt;0,N(AH135)/(N(AH189)+N(AH193)+N(AH195)+N(AH196)+N(AH203)+N(AH204)+N(AH205)),""),"")</f>
        <v>0.085740153915799</v>
      </c>
      <c r="AI333" s="262">
        <f>IFERROR(IF((N(AI189)+N(AI193)+N(AI195)+N(AI196)+N(AI203)+N(AI204)+N(AI205))&lt;&gt;0,N(AI135)/(N(AI189)+N(AI193)+N(AI195)+N(AI196)+N(AI203)+N(AI204)+N(AI205)),""),"")</f>
        <v>0.159225502961065</v>
      </c>
      <c r="AJ333" s="262">
        <f>IFERROR(IF((N(AJ189)+N(AJ193)+N(AJ195)+N(AJ196)+N(AJ203)+N(AJ204)+N(AJ205))&lt;&gt;0,N(AJ135)/(N(AJ189)+N(AJ193)+N(AJ195)+N(AJ196)+N(AJ203)+N(AJ204)+N(AJ205)),""),"")</f>
        <v>0.324676809859028</v>
      </c>
      <c r="AK333" s="262">
        <f>IFERROR(IF((N(AK189)+N(AK193)+N(AK195)+N(AK196)+N(AK203)+N(AK204)+N(AK205))&lt;&gt;0,N(AK135)/(N(AK189)+N(AK193)+N(AK195)+N(AK196)+N(AK203)+N(AK204)+N(AK205)),""),"")</f>
        <v>0.378320751467294</v>
      </c>
      <c r="AL333" s="262">
        <f>IFERROR(IF((N(AL189)+N(AL193)+N(AL195)+N(AL196)+N(AL203)+N(AL204)+N(AL205))&lt;&gt;0,N(AL135)/(N(AL189)+N(AL193)+N(AL195)+N(AL196)+N(AL203)+N(AL204)+N(AL205)),""),"")</f>
        <v>0.378320751467294</v>
      </c>
      <c r="AM333" s="262">
        <f>IFERROR(IF((N(AM189)+N(AM193)+N(AM195)+N(AM196)+N(AM203)+N(AM204)+N(AM205))&lt;&gt;0,N(AM135)/(N(AM189)+N(AM193)+N(AM195)+N(AM196)+N(AM203)+N(AM204)+N(AM205)),""),"")</f>
        <v>0.442104427160069</v>
      </c>
      <c r="AN333" s="262">
        <f>IFERROR(IF((N(AN189)+N(AN193)+N(AN195)+N(AN196)+N(AN203)+N(AN204)+N(AN205))&lt;&gt;0,N(AN135)/(N(AN189)+N(AN193)+N(AN195)+N(AN196)+N(AN203)+N(AN204)+N(AN205)),""),"")</f>
        <v>0.491168913337825</v>
      </c>
      <c r="AO333" s="262">
        <f>IFERROR(IF((N(AO189)+N(AO193)+N(AO195)+N(AO196)+N(AO203)+N(AO204)+N(AO205))&lt;&gt;0,N(AO135)/(N(AO189)+N(AO193)+N(AO195)+N(AO196)+N(AO203)+N(AO204)+N(AO205)),""),"")</f>
        <v>0.552027199468538</v>
      </c>
      <c r="AP333" s="262">
        <f>IFERROR(IF((N(AP189)+N(AP193)+N(AP195)+N(AP196)+N(AP203)+N(AP204)+N(AP205))&lt;&gt;0,N(AP135)/(N(AP189)+N(AP193)+N(AP195)+N(AP196)+N(AP203)+N(AP204)+N(AP205)),""),"")</f>
        <v>0.601376370048362</v>
      </c>
      <c r="AQ333" s="262">
        <f>IFERROR(IF((N(AQ189)+N(AQ193)+N(AQ195)+N(AQ196)+N(AQ203)+N(AQ204)+N(AQ205))&lt;&gt;0,N(AQ135)/(N(AQ189)+N(AQ193)+N(AQ195)+N(AQ196)+N(AQ203)+N(AQ204)+N(AQ205)),""),"")</f>
        <v>0.601376370048362</v>
      </c>
      <c r="AR333" s="262">
        <f>IFERROR(IF((N(AR189)+N(AR193)+N(AR195)+N(AR196)+N(AR203)+N(AR204)+N(AR205))&lt;&gt;0,N(AR135)/(N(AR189)+N(AR193)+N(AR195)+N(AR196)+N(AR203)+N(AR204)+N(AR205)),""),"")</f>
        <v>0.670319654005669</v>
      </c>
      <c r="AS333" s="262">
        <f>IFERROR(IF((N(AS189)+N(AS193)+N(AS195)+N(AS196)+N(AS203)+N(AS204)+N(AS205))&lt;&gt;0,N(AS135)/(N(AS189)+N(AS193)+N(AS195)+N(AS196)+N(AS203)+N(AS204)+N(AS205)),""),"")</f>
        <v>0.712476096458053</v>
      </c>
      <c r="AT333" s="262">
        <f>IFERROR(IF((N(AT189)+N(AT193)+N(AT195)+N(AT196)+N(AT203)+N(AT204)+N(AT205))&lt;&gt;0,N(AT135)/(N(AT189)+N(AT193)+N(AT195)+N(AT196)+N(AT203)+N(AT204)+N(AT205)),""),"")</f>
        <v>0.773215160334785</v>
      </c>
      <c r="AU333" s="262">
        <f>IFERROR(IF((N(AU189)+N(AU193)+N(AU195)+N(AU196)+N(AU203)+N(AU204)+N(AU205))&lt;&gt;0,N(AU135)/(N(AU189)+N(AU193)+N(AU195)+N(AU196)+N(AU203)+N(AU204)+N(AU205)),""),"")</f>
        <v>0.817273696146739</v>
      </c>
      <c r="AV333" s="262">
        <f>IFERROR(IF((N(AV189)+N(AV193)+N(AV195)+N(AV196)+N(AV203)+N(AV204)+N(AV205))&lt;&gt;0,N(AV135)/(N(AV189)+N(AV193)+N(AV195)+N(AV196)+N(AV203)+N(AV204)+N(AV205)),""),"")</f>
        <v>0.817273696146739</v>
      </c>
      <c r="AW333" s="262">
        <f>IFERROR(IF((N(AW189)+N(AW193)+N(AW195)+N(AW196)+N(AW203)+N(AW204)+N(AW205))&lt;&gt;0,N(AW135)/(N(AW189)+N(AW193)+N(AW195)+N(AW196)+N(AW203)+N(AW204)+N(AW205)),""),"")</f>
        <v>0.887962240907913</v>
      </c>
      <c r="AX333" s="262">
        <f>IFERROR(IF((N(AX189)+N(AX193)+N(AX195)+N(AX196)+N(AX203)+N(AX204)+N(AX205))&lt;&gt;0,N(AX135)/(N(AX189)+N(AX193)+N(AX195)+N(AX196)+N(AX203)+N(AX204)+N(AX205)),""),"")</f>
        <v>0.925907508270948</v>
      </c>
      <c r="AY333" s="262">
        <f>IFERROR(IF((N(AY189)+N(AY193)+N(AY195)+N(AY196)+N(AY203)+N(AY204)+N(AY205))&lt;&gt;0,N(AY135)/(N(AY189)+N(AY193)+N(AY195)+N(AY196)+N(AY203)+N(AY204)+N(AY205)),""),"")</f>
        <v>0.985946637972359</v>
      </c>
      <c r="AZ333" s="262">
        <f>IFERROR(IF((N(AZ189)+N(AZ193)+N(AZ195)+N(AZ196)+N(AZ203)+N(AZ204)+N(AZ205))&lt;&gt;0,N(AZ135)/(N(AZ189)+N(AZ193)+N(AZ195)+N(AZ196)+N(AZ203)+N(AZ204)+N(AZ205)),""),"")</f>
        <v>1.02444810596047</v>
      </c>
      <c r="BA333" s="262">
        <f>IFERROR(IF((N(BA189)+N(BA193)+N(BA195)+N(BA196)+N(BA203)+N(BA204)+N(BA205))&lt;&gt;0,N(BA135)/(N(BA189)+N(BA193)+N(BA195)+N(BA196)+N(BA203)+N(BA204)+N(BA205)),""),"")</f>
        <v>1.02444810596047</v>
      </c>
      <c r="BB333" s="262">
        <f>IFERROR(IF((N(BB189)+N(BB193)+N(BB195)+N(BB196)+N(BB203)+N(BB204)+N(BB205))&lt;&gt;0,N(BB135)/(N(BB189)+N(BB193)+N(BB195)+N(BB196)+N(BB203)+N(BB204)+N(BB205)),""),"")</f>
        <v>1.09816302121312</v>
      </c>
      <c r="BC333" s="262">
        <f>IFERROR(IF((N(BC189)+N(BC193)+N(BC195)+N(BC196)+N(BC203)+N(BC204)+N(BC205))&lt;&gt;0,N(BC135)/(N(BC189)+N(BC193)+N(BC195)+N(BC196)+N(BC203)+N(BC204)+N(BC205)),""),"")</f>
        <v>1.13030958139605</v>
      </c>
      <c r="BD333" s="262">
        <f>IFERROR(IF((N(BD189)+N(BD193)+N(BD195)+N(BD196)+N(BD203)+N(BD204)+N(BD205))&lt;&gt;0,N(BD135)/(N(BD189)+N(BD193)+N(BD195)+N(BD196)+N(BD203)+N(BD204)+N(BD205)),""),"")</f>
        <v>1.18928969240613</v>
      </c>
      <c r="BE333" s="262">
        <f>IFERROR(IF((N(BE189)+N(BE193)+N(BE195)+N(BE196)+N(BE203)+N(BE204)+N(BE205))&lt;&gt;0,N(BE135)/(N(BE189)+N(BE193)+N(BE195)+N(BE196)+N(BE203)+N(BE204)+N(BE205)),""),"")</f>
        <v>1.22226451617734</v>
      </c>
      <c r="BF333" s="262">
        <f>IFERROR(IF((N(BF189)+N(BF193)+N(BF195)+N(BF196)+N(BF203)+N(BF204)+N(BF205))&lt;&gt;0,N(BF135)/(N(BF189)+N(BF193)+N(BF195)+N(BF196)+N(BF203)+N(BF204)+N(BF205)),""),"")</f>
        <v>1.22226451617734</v>
      </c>
      <c r="BG333" s="82" t="n"/>
      <c r="BH333" s="82" t="n"/>
      <c r="BI333" s="82" t="n"/>
      <c r="BJ333" s="82" t="n"/>
      <c r="BL333" s="82" t="n"/>
      <c r="BM333" s="82" t="n"/>
      <c r="BN333" s="82" t="n"/>
      <c r="BO333" s="82" t="n"/>
      <c r="BQ333" s="82" t="n"/>
      <c r="BR333" s="82" t="n"/>
      <c r="BS333" s="82" t="n"/>
      <c r="BT333" s="82" t="n"/>
      <c r="BV333" s="82" t="n"/>
      <c r="BW333" s="82" t="n"/>
      <c r="BX333" s="82" t="n"/>
      <c r="BY333" s="82" t="n"/>
      <c r="CA333" s="82" t="n"/>
      <c r="CB333" s="82" t="n"/>
      <c r="CC333" s="82" t="n"/>
      <c r="CD333" s="82" t="n"/>
      <c r="CF333" s="82" t="n"/>
      <c r="CG333" s="82" t="n"/>
      <c r="CH333" s="82" t="n"/>
      <c r="CI333" s="82" t="n"/>
      <c r="CK333" s="82" t="n"/>
      <c r="CL333" s="82" t="n"/>
      <c r="CM333" s="82" t="n"/>
      <c r="CN333" s="82" t="n"/>
      <c r="CP333" s="82" t="n"/>
      <c r="CQ333" s="82" t="n"/>
      <c r="CR333" s="82" t="n"/>
      <c r="CS333" s="82" t="n"/>
      <c r="CU333" s="82" t="n"/>
      <c r="CV333" s="82" t="n"/>
      <c r="CW333" s="82" t="n"/>
      <c r="CX333" s="82" t="n"/>
    </row>
    <row r="334" customFormat="1" s="77">
      <c r="A334" s="76" t="n"/>
      <c r="B334" s="76" t="n"/>
    </row>
    <row r="335" customFormat="1" s="77">
      <c r="A335" s="76" t="n"/>
      <c r="B335" s="76" t="n"/>
      <c r="C335" s="74" t="inlineStr">
        <is>
          <t>OPERATING EFFICIENCY</t>
        </is>
      </c>
    </row>
    <row r="336" customFormat="1" s="84">
      <c r="A336" s="81" t="n"/>
      <c r="B336" s="81" t="n"/>
      <c r="C336" s="84" t="inlineStr">
        <is>
          <t>RETURN ON CAPITAL (ROIC) - LTM</t>
        </is>
      </c>
      <c r="D336" t="str">
        <f>IFERROR(D338/D341,"")</f>
        <v/>
      </c>
      <c r="E336" t="str">
        <f>IFERROR(E338/E341,"")</f>
        <v/>
      </c>
      <c r="F336" t="str">
        <f>IFERROR(F338/F341,"")</f>
        <v/>
      </c>
      <c r="G336" t="str">
        <f>IFERROR(G338/G341,"")</f>
        <v/>
      </c>
      <c r="H336" s="257" t="str">
        <f>IFERROR(IF(AND(COUNT(H338)=1,N(H341)&lt;&gt;0),(H338)/H341,""),"")</f>
        <v/>
      </c>
      <c r="I336" s="257" t="str">
        <f>""</f>
        <v/>
      </c>
      <c r="J336" s="257" t="str">
        <f>""</f>
        <v/>
      </c>
      <c r="K336" s="257" t="str">
        <f>""</f>
        <v/>
      </c>
      <c r="L336" s="257">
        <f>IFERROR(IF(AND(COUNT(I338,J338,K338,L338)=4,N(L341)&lt;&gt;0),(I338+J338+K338+L338)/L341,""),"")</f>
        <v>0.406752290109298</v>
      </c>
      <c r="M336" s="257">
        <f>IFERROR(IF(AND(COUNT(I338,J338,K338,L338)=4,N(M341)&lt;&gt;0),(I338+J338+K338+L338)/M341,""),"")</f>
        <v>0.406752290109298</v>
      </c>
      <c r="N336" s="257">
        <f>IFERROR(IF(AND(COUNT(J338,K338,L338,N338)=4,N(N341)&lt;&gt;0),(J338+K338+L338+N338)/N341,""),"")</f>
        <v>0.382178104344828</v>
      </c>
      <c r="O336" s="257">
        <f>IFERROR(IF(AND(COUNT(K338,L338,N338,O338)=4,N(O341)&lt;&gt;0),(K338+L338+N338+O338)/O341,""),"")</f>
        <v>0.354821320632553</v>
      </c>
      <c r="P336" s="257">
        <f>IFERROR(IF(AND(COUNT(L338,N338,O338,P338)=4,N(P341)&lt;&gt;0),(L338+N338+O338+P338)/P341,""),"")</f>
        <v>0.347948016235318</v>
      </c>
      <c r="Q336" s="257">
        <f>IFERROR(IF(AND(COUNT(N338,O338,P338,Q338)=4,N(Q341)&lt;&gt;0),(N338+O338+P338+Q338)/Q341,""),"")</f>
        <v>0.329339074777676</v>
      </c>
      <c r="R336" s="257">
        <f>IFERROR(IF(AND(COUNT(N338,O338,P338,Q338)=4,N(R341)&lt;&gt;0),(N338+O338+P338+Q338)/R341,""),"")</f>
        <v>0.329339074777676</v>
      </c>
      <c r="S336" s="257">
        <f>IFERROR(IF(AND(COUNT(O338,P338,Q338,S338)=4,N(S341)&lt;&gt;0),(O338+P338+Q338+S338)/S341,""),"")</f>
        <v>0.324224059573925</v>
      </c>
      <c r="T336" s="257">
        <f>IFERROR(IF(AND(COUNT(P338,Q338,S338,T338)=4,N(T341)&lt;&gt;0),(P338+Q338+S338+T338)/T341,""),"")</f>
        <v>0.317812057972608</v>
      </c>
      <c r="U336" s="257">
        <f>IFERROR(IF(AND(COUNT(Q338,S338,T338,U338)=4,N(U341)&lt;&gt;0),(Q338+S338+T338+U338)/U341,""),"")</f>
        <v>0.314866281815207</v>
      </c>
      <c r="V336" s="257">
        <f>IFERROR(IF(AND(COUNT(S338,T338,U338,V338)=4,N(V341)&lt;&gt;0),(S338+T338+U338+V338)/V341,""),"")</f>
        <v>0.318134694622241</v>
      </c>
      <c r="W336" s="257">
        <f>IFERROR(IF(AND(COUNT(S338,T338,U338,V338)=4,N(W341)&lt;&gt;0),(S338+T338+U338+V338)/W341,""),"")</f>
        <v>0.318134694622241</v>
      </c>
      <c r="X336" s="257">
        <f>IFERROR(IF(AND(COUNT(T338,U338,V338,X338)=4,N(X341)&lt;&gt;0),(T338+U338+V338+X338)/X341,""),"")</f>
        <v>0.311578824325869</v>
      </c>
      <c r="Y336" s="257">
        <f>IFERROR(IF(AND(COUNT(U338,V338,X338,Y338)=4,N(Y341)&lt;&gt;0),(U338+V338+X338+Y338)/Y341,""),"")</f>
        <v>0.31748710838836</v>
      </c>
      <c r="Z336" s="257">
        <f>IFERROR(IF(AND(COUNT(V338,X338,Y338,Z338)=4,N(Z341)&lt;&gt;0),(V338+X338+Y338+Z338)/Z341,""),"")</f>
        <v>0.313368669232745</v>
      </c>
      <c r="AA336" s="257">
        <f>IFERROR(IF(AND(COUNT(X338,Y338,Z338,AA338)=4,N(AA341)&lt;&gt;0),(X338+Y338+Z338+AA338)/AA341,""),"")</f>
        <v>0.249779276518225</v>
      </c>
      <c r="AB336" s="257">
        <f>IFERROR(IF(AND(COUNT(X338,Y338,Z338,AA338)=4,N(AB341)&lt;&gt;0),(X338+Y338+Z338+AA338)/AB341,""),"")</f>
        <v>0.249779276518225</v>
      </c>
      <c r="AC336" s="257">
        <f>IFERROR(IF(AND(COUNT(Y338,Z338,AA338,AC338)=4,N(AC341)&lt;&gt;0),(Y338+Z338+AA338+AC338)/AC341,""),"")</f>
        <v>0.250590295506312</v>
      </c>
      <c r="AD336" s="257">
        <f>IFERROR(IF(AND(COUNT(Z338,AA338,AC338,AD338)=4,N(AD341)&lt;&gt;0),(Z338+AA338+AC338+AD338)/AD341,""),"")</f>
        <v>0.199184280350368</v>
      </c>
      <c r="AE336" s="257">
        <f>IFERROR(IF(AND(COUNT(AA338,AC338,AD338,AE338)=4,N(AE341)&lt;&gt;0),(AA338+AC338+AD338+AE338)/AE341,""),"")</f>
        <v>0.209184897996732</v>
      </c>
      <c r="AF336" s="257">
        <f>IFERROR(IF(AND(COUNT(AB338,AD338,AE338,AF338)=4,N(AF341)&lt;&gt;0),(AB338+AD338+AE338+AF338)/AF341,""),"")</f>
        <v>0.435422086497368</v>
      </c>
      <c r="AG336" s="257">
        <f>IFERROR(IF(AND(COUNT(AC338,AD338,AE338,AF338)=4,N(AG341)&lt;&gt;0),(AC338+AD338+AE338+AF338)/AG341,""),"")</f>
        <v>0.26991728591124</v>
      </c>
      <c r="AH336" s="257">
        <f>IFERROR(IF(AND(COUNT(AD338,AF338,AG338,AH338)=4,N(AH341)&lt;&gt;0),(AD338+AF338+AG338+AH338)/AH341,""),"")</f>
        <v>0.416085138555141</v>
      </c>
      <c r="AI336" s="257">
        <f>IFERROR(IF(AND(COUNT(AE338,AG338,AH338,AI338)=4,N(AI341)&lt;&gt;0),(AE338+AG338+AH338+AI338)/AI341,""),"")</f>
        <v>0.481065967823281</v>
      </c>
      <c r="AJ336" s="257">
        <f>IFERROR(IF(AND(COUNT(AF338,AH338,AI338,AJ338)=4,N(AJ341)&lt;&gt;0),(AF338+AH338+AI338+AJ338)/AJ341,""),"")</f>
        <v>0.326838165561674</v>
      </c>
      <c r="AK336" s="257">
        <f>IFERROR(IF(AND(COUNT(AH338,AI338,AJ338,AK338)=4,N(AK341)&lt;&gt;0),(AH338+AI338+AJ338+AK338)/AK341,""),"")</f>
        <v>0.317857614732452</v>
      </c>
      <c r="AL336" s="257">
        <f>IFERROR(IF(AND(COUNT(AH338,AI338,AJ338,AK338)=4,N(AL341)&lt;&gt;0),(AH338+AI338+AJ338+AK338)/AL341,""),"")</f>
        <v>0.317857614732452</v>
      </c>
      <c r="AM336" s="257">
        <f>IFERROR(IF(AND(COUNT(AI338,AJ338,AK338,AM338)=4,N(AM341)&lt;&gt;0),(AI338+AJ338+AK338+AM338)/AM341,""),"")</f>
        <v>0.315124050501601</v>
      </c>
      <c r="AN336" s="257">
        <f>IFERROR(IF(AND(COUNT(AJ338,AK338,AM338,AN338)=4,N(AN341)&lt;&gt;0),(AJ338+AK338+AM338+AN338)/AN341,""),"")</f>
        <v>0.304022620948149</v>
      </c>
      <c r="AO336" s="257">
        <f>IFERROR(IF(AND(COUNT(AK338,AM338,AN338,AO338)=4,N(AO341)&lt;&gt;0),(AK338+AM338+AN338+AO338)/AO341,""),"")</f>
        <v>0.304803458498986</v>
      </c>
      <c r="AP336" s="257">
        <f>IFERROR(IF(AND(COUNT(AM338,AN338,AO338,AP338)=4,N(AP341)&lt;&gt;0),(AM338+AN338+AO338+AP338)/AP341,""),"")</f>
        <v>0.304778421825093</v>
      </c>
      <c r="AQ336" s="257">
        <f>IFERROR(IF(AND(COUNT(AM338,AN338,AO338,AP338)=4,N(AQ341)&lt;&gt;0),(AM338+AN338+AO338+AP338)/AQ341,""),"")</f>
        <v>0.304778421825093</v>
      </c>
      <c r="AR336" s="257">
        <f>IFERROR(IF(AND(COUNT(AN338,AO338,AP338,AR338)=4,N(AR341)&lt;&gt;0),(AN338+AO338+AP338+AR338)/AR341,""),"")</f>
        <v>0.305820760301113</v>
      </c>
      <c r="AS336" s="257">
        <f>IFERROR(IF(AND(COUNT(AO338,AP338,AR338,AS338)=4,N(AS341)&lt;&gt;0),(AO338+AP338+AR338+AS338)/AS341,""),"")</f>
        <v>0.305377802676368</v>
      </c>
      <c r="AT336" s="257">
        <f>IFERROR(IF(AND(COUNT(AP338,AR338,AS338,AT338)=4,N(AT341)&lt;&gt;0),(AP338+AR338+AS338+AT338)/AT341,""),"")</f>
        <v>0.305969118269718</v>
      </c>
      <c r="AU336" s="257">
        <f>IFERROR(IF(AND(COUNT(AR338,AS338,AT338,AU338)=4,N(AU341)&lt;&gt;0),(AR338+AS338+AT338+AU338)/AU341,""),"")</f>
        <v>0.305717325944467</v>
      </c>
      <c r="AV336" s="257">
        <f>IFERROR(IF(AND(COUNT(AR338,AS338,AT338,AU338)=4,N(AV341)&lt;&gt;0),(AR338+AS338+AT338+AU338)/AV341,""),"")</f>
        <v>0.305717325944467</v>
      </c>
      <c r="AW336" s="257">
        <f>IFERROR(IF(AND(COUNT(AS338,AT338,AU338,AW338)=4,N(AW341)&lt;&gt;0),(AS338+AT338+AU338+AW338)/AW341,""),"")</f>
        <v>0.306517468686017</v>
      </c>
      <c r="AX336" s="257">
        <f>IFERROR(IF(AND(COUNT(AT338,AU338,AW338,AX338)=4,N(AX341)&lt;&gt;0),(AT338+AU338+AW338+AX338)/AX341,""),"")</f>
        <v>0.305888521140534</v>
      </c>
      <c r="AY336" s="257">
        <f>IFERROR(IF(AND(COUNT(AU338,AW338,AX338,AY338)=4,N(AY341)&lt;&gt;0),(AU338+AW338+AX338+AY338)/AY341,""),"")</f>
        <v>0.306235889041703</v>
      </c>
      <c r="AZ336" s="257">
        <f>IFERROR(IF(AND(COUNT(AW338,AX338,AY338,AZ338)=4,N(AZ341)&lt;&gt;0),(AW338+AX338+AY338+AZ338)/AZ341,""),"")</f>
        <v>0.30570491247343</v>
      </c>
      <c r="BA336" s="257">
        <f>IFERROR(IF(AND(COUNT(AW338,AX338,AY338,AZ338)=4,N(BA341)&lt;&gt;0),(AW338+AX338+AY338+AZ338)/BA341,""),"")</f>
        <v>0.30570491247343</v>
      </c>
      <c r="BB336" s="257">
        <f>IFERROR(IF(AND(COUNT(AX338,AY338,AZ338,BB338)=4,N(BB341)&lt;&gt;0),(AX338+AY338+AZ338+BB338)/BB341,""),"")</f>
        <v>0.306264252074978</v>
      </c>
      <c r="BC336" s="257">
        <f>IFERROR(IF(AND(COUNT(AY338,AZ338,BB338,BC338)=4,N(BC341)&lt;&gt;0),(AY338+AZ338+BB338+BC338)/BC341,""),"")</f>
        <v>0.305328765187312</v>
      </c>
      <c r="BD336" s="257">
        <f>IFERROR(IF(AND(COUNT(AZ338,BB338,BC338,BD338)=4,N(BD341)&lt;&gt;0),(AZ338+BB338+BC338+BD338)/BD341,""),"")</f>
        <v>0.305366363153384</v>
      </c>
      <c r="BE336" s="257">
        <f>IFERROR(IF(AND(COUNT(BB338,BC338,BD338,BE338)=4,N(BE341)&lt;&gt;0),(BB338+BC338+BD338+BE338)/BE341,""),"")</f>
        <v>0.30449513048673</v>
      </c>
      <c r="BF336" s="257">
        <f>IFERROR(IF(AND(COUNT(BB338,BC338,BD338,BE338)=4,N(BF341)&lt;&gt;0),(BB338+BC338+BD338+BE338)/BF341,""),"")</f>
        <v>0.30449513048673</v>
      </c>
      <c r="BG336" s="81" t="n"/>
      <c r="BH336" s="81" t="n"/>
      <c r="BI336" s="81" t="n"/>
      <c r="BJ336" s="81" t="n"/>
      <c r="BL336" s="81" t="n"/>
      <c r="BM336" s="81" t="n"/>
      <c r="BN336" s="81" t="n"/>
      <c r="BO336" s="81" t="n"/>
      <c r="BQ336" s="81" t="n"/>
      <c r="BR336" s="81" t="n"/>
      <c r="BS336" s="81" t="n"/>
      <c r="BT336" s="81" t="n"/>
      <c r="BV336" s="81" t="n"/>
      <c r="BW336" s="81" t="n"/>
      <c r="BX336" s="81" t="n"/>
      <c r="BY336" s="81" t="n"/>
      <c r="CA336" s="81" t="n"/>
      <c r="CB336" s="81" t="n"/>
      <c r="CC336" s="81" t="n"/>
      <c r="CD336" s="81" t="n"/>
      <c r="CF336" s="81" t="n"/>
      <c r="CG336" s="81" t="n"/>
      <c r="CH336" s="81" t="n"/>
      <c r="CI336" s="81" t="n"/>
      <c r="CK336" s="81" t="n"/>
      <c r="CL336" s="81" t="n"/>
      <c r="CM336" s="81" t="n"/>
      <c r="CN336" s="81" t="n"/>
      <c r="CP336" s="81" t="n"/>
      <c r="CQ336" s="81" t="n"/>
      <c r="CR336" s="81" t="n"/>
      <c r="CS336" s="81" t="n"/>
      <c r="CU336" s="81" t="n"/>
      <c r="CV336" s="81" t="n"/>
      <c r="CW336" s="81" t="n"/>
      <c r="CX336" s="81" t="n"/>
    </row>
    <row r="337" customFormat="1" s="84">
      <c r="A337" s="81" t="n"/>
      <c r="B337" s="81" t="n"/>
      <c r="C337" s="84" t="inlineStr">
        <is>
          <t>RETURN ON CAPITAL (ROIC) - EX GOODWILL - LTM</t>
        </is>
      </c>
      <c r="D337" t="str">
        <f>IFERROR(D338/D342,"")</f>
        <v/>
      </c>
      <c r="E337" t="str">
        <f>IFERROR(E338/E342,"")</f>
        <v/>
      </c>
      <c r="F337" t="str">
        <f>IFERROR(F338/F342,"")</f>
        <v/>
      </c>
      <c r="G337" t="str">
        <f>IFERROR(G338/G342,"")</f>
        <v/>
      </c>
      <c r="H337" s="257" t="str">
        <f>IFERROR(IF(AND(COUNT(H338)=1,N(H342)&lt;&gt;0),(H338)/H342,""),"")</f>
        <v/>
      </c>
      <c r="I337" s="257" t="str">
        <f>""</f>
        <v/>
      </c>
      <c r="J337" s="257" t="str">
        <f>""</f>
        <v/>
      </c>
      <c r="K337" s="257" t="str">
        <f>""</f>
        <v/>
      </c>
      <c r="L337" s="257">
        <f>IFERROR(IF(AND(COUNT(I338,J338,K338,L338)=4,N(L342)&lt;&gt;0),(I338+J338+K338+L338)/L342,""),"")</f>
        <v>0.941944856786328</v>
      </c>
      <c r="M337" s="257">
        <f>IFERROR(IF(AND(COUNT(I338,J338,K338,L338)=4,N(M342)&lt;&gt;0),(I338+J338+K338+L338)/M342,""),"")</f>
        <v>0.941944856786328</v>
      </c>
      <c r="N337" s="257">
        <f>IFERROR(IF(AND(COUNT(J338,K338,L338,N338)=4,N(N342)&lt;&gt;0),(J338+K338+L338+N338)/N342,""),"")</f>
        <v>0.843668943848003</v>
      </c>
      <c r="O337" s="257">
        <f>IFERROR(IF(AND(COUNT(K338,L338,N338,O338)=4,N(O342)&lt;&gt;0),(K338+L338+N338+O338)/O342,""),"")</f>
        <v>0.719334629370325</v>
      </c>
      <c r="P337" s="257">
        <f>IFERROR(IF(AND(COUNT(L338,N338,O338,P338)=4,N(P342)&lt;&gt;0),(L338+N338+O338+P338)/P342,""),"")</f>
        <v>0.713273069567054</v>
      </c>
      <c r="Q337" s="257">
        <f>IFERROR(IF(AND(COUNT(N338,O338,P338,Q338)=4,N(Q342)&lt;&gt;0),(N338+O338+P338+Q338)/Q342,""),"")</f>
        <v>0.641643369825472</v>
      </c>
      <c r="R337" s="257">
        <f>IFERROR(IF(AND(COUNT(N338,O338,P338,Q338)=4,N(R342)&lt;&gt;0),(N338+O338+P338+Q338)/R342,""),"")</f>
        <v>0.641643369825472</v>
      </c>
      <c r="S337" s="257">
        <f>IFERROR(IF(AND(COUNT(O338,P338,Q338,S338)=4,N(S342)&lt;&gt;0),(O338+P338+Q338+S338)/S342,""),"")</f>
        <v>0.614651197227177</v>
      </c>
      <c r="T337" s="257">
        <f>IFERROR(IF(AND(COUNT(P338,Q338,S338,T338)=4,N(T342)&lt;&gt;0),(P338+Q338+S338+T338)/T342,""),"")</f>
        <v>0.596352381575295</v>
      </c>
      <c r="U337" s="257">
        <f>IFERROR(IF(AND(COUNT(Q338,S338,T338,U338)=4,N(U342)&lt;&gt;0),(Q338+S338+T338+U338)/U342,""),"")</f>
        <v>0.590201906351424</v>
      </c>
      <c r="V337" s="257">
        <f>IFERROR(IF(AND(COUNT(S338,T338,U338,V338)=4,N(V342)&lt;&gt;0),(S338+T338+U338+V338)/V342,""),"")</f>
        <v>0.603170500415453</v>
      </c>
      <c r="W337" s="257">
        <f>IFERROR(IF(AND(COUNT(S338,T338,U338,V338)=4,N(W342)&lt;&gt;0),(S338+T338+U338+V338)/W342,""),"")</f>
        <v>0.603170500415453</v>
      </c>
      <c r="X337" s="257">
        <f>IFERROR(IF(AND(COUNT(T338,U338,V338,X338)=4,N(X342)&lt;&gt;0),(T338+U338+V338+X338)/X342,""),"")</f>
        <v>0.580745605945839</v>
      </c>
      <c r="Y337" s="257">
        <f>IFERROR(IF(AND(COUNT(U338,V338,X338,Y338)=4,N(Y342)&lt;&gt;0),(U338+V338+X338+Y338)/Y342,""),"")</f>
        <v>0.600009253099236</v>
      </c>
      <c r="Z337" s="257">
        <f>IFERROR(IF(AND(COUNT(V338,X338,Y338,Z338)=4,N(Z342)&lt;&gt;0),(V338+X338+Y338+Z338)/Z342,""),"")</f>
        <v>0.582611439933909</v>
      </c>
      <c r="AA337" s="257">
        <f>IFERROR(IF(AND(COUNT(X338,Y338,Z338,AA338)=4,N(AA342)&lt;&gt;0),(X338+Y338+Z338+AA338)/AA342,""),"")</f>
        <v>0.461554903058269</v>
      </c>
      <c r="AB337" s="257">
        <f>IFERROR(IF(AND(COUNT(X338,Y338,Z338,AA338)=4,N(AB342)&lt;&gt;0),(X338+Y338+Z338+AA338)/AB342,""),"")</f>
        <v>0.461554903058269</v>
      </c>
      <c r="AC337" s="257">
        <f>IFERROR(IF(AND(COUNT(Y338,Z338,AA338,AC338)=4,N(AC342)&lt;&gt;0),(Y338+Z338+AA338+AC338)/AC342,""),"")</f>
        <v>0.447325347464627</v>
      </c>
      <c r="AD337" s="257">
        <f>IFERROR(IF(AND(COUNT(Z338,AA338,AC338,AD338)=4,N(AD342)&lt;&gt;0),(Z338+AA338+AC338+AD338)/AD342,""),"")</f>
        <v>0.355939675373493</v>
      </c>
      <c r="AE337" s="257">
        <f>IFERROR(IF(AND(COUNT(AA338,AC338,AD338,AE338)=4,N(AE342)&lt;&gt;0),(AA338+AC338+AD338+AE338)/AE342,""),"")</f>
        <v>0.3833593847147</v>
      </c>
      <c r="AF337" s="257">
        <f>IFERROR(IF(AND(COUNT(AB338,AD338,AE338,AF338)=4,N(AF342)&lt;&gt;0),(AB338+AD338+AE338+AF338)/AF342,""),"")</f>
        <v>0.814781819027109</v>
      </c>
      <c r="AG337" s="257">
        <f>IFERROR(IF(AND(COUNT(AC338,AD338,AE338,AF338)=4,N(AG342)&lt;&gt;0),(AC338+AD338+AE338+AF338)/AG342,""),"")</f>
        <v>0.505081630035663</v>
      </c>
      <c r="AH337" s="257">
        <f>IFERROR(IF(AND(COUNT(AD338,AF338,AG338,AH338)=4,N(AH342)&lt;&gt;0),(AD338+AF338+AG338+AH338)/AH342,""),"")</f>
        <v>0.72999535986199</v>
      </c>
      <c r="AI337" s="257">
        <f>IFERROR(IF(AND(COUNT(AE338,AG338,AH338,AI338)=4,N(AI342)&lt;&gt;0),(AE338+AG338+AH338+AI338)/AI342,""),"")</f>
        <v>0.8633606364923</v>
      </c>
      <c r="AJ337" s="257">
        <f>IFERROR(IF(AND(COUNT(AF338,AH338,AI338,AJ338)=4,N(AJ342)&lt;&gt;0),(AF338+AH338+AI338+AJ338)/AJ342,""),"")</f>
        <v>0.631369267933399</v>
      </c>
      <c r="AK337" s="257">
        <f>IFERROR(IF(AND(COUNT(AH338,AI338,AJ338,AK338)=4,N(AK342)&lt;&gt;0),(AH338+AI338+AJ338+AK338)/AK342,""),"")</f>
        <v>0.605225005262792</v>
      </c>
      <c r="AL337" s="257">
        <f>IFERROR(IF(AND(COUNT(AH338,AI338,AJ338,AK338)=4,N(AL342)&lt;&gt;0),(AH338+AI338+AJ338+AK338)/AL342,""),"")</f>
        <v>0.605225005262792</v>
      </c>
      <c r="AM337" s="257">
        <f>IFERROR(IF(AND(COUNT(AI338,AJ338,AK338,AM338)=4,N(AM342)&lt;&gt;0),(AI338+AJ338+AK338+AM338)/AM342,""),"")</f>
        <v>0.595226749576345</v>
      </c>
      <c r="AN337" s="257">
        <f>IFERROR(IF(AND(COUNT(AJ338,AK338,AM338,AN338)=4,N(AN342)&lt;&gt;0),(AJ338+AK338+AM338+AN338)/AN342,""),"")</f>
        <v>0.567050104458223</v>
      </c>
      <c r="AO337" s="257">
        <f>IFERROR(IF(AND(COUNT(AK338,AM338,AN338,AO338)=4,N(AO342)&lt;&gt;0),(AK338+AM338+AN338+AO338)/AO342,""),"")</f>
        <v>0.563272941020361</v>
      </c>
      <c r="AP337" s="257">
        <f>IFERROR(IF(AND(COUNT(AM338,AN338,AO338,AP338)=4,N(AP342)&lt;&gt;0),(AM338+AN338+AO338+AP338)/AP342,""),"")</f>
        <v>0.556446642359865</v>
      </c>
      <c r="AQ337" s="257">
        <f>IFERROR(IF(AND(COUNT(AM338,AN338,AO338,AP338)=4,N(AQ342)&lt;&gt;0),(AM338+AN338+AO338+AP338)/AQ342,""),"")</f>
        <v>0.556446642359865</v>
      </c>
      <c r="AR337" s="257">
        <f>IFERROR(IF(AND(COUNT(AN338,AO338,AP338,AR338)=4,N(AR342)&lt;&gt;0),(AN338+AO338+AP338+AR338)/AR342,""),"")</f>
        <v>0.554676277997425</v>
      </c>
      <c r="AS337" s="257">
        <f>IFERROR(IF(AND(COUNT(AO338,AP338,AR338,AS338)=4,N(AS342)&lt;&gt;0),(AO338+AP338+AR338+AS338)/AS342,""),"")</f>
        <v>0.547649851823994</v>
      </c>
      <c r="AT337" s="257">
        <f>IFERROR(IF(AND(COUNT(AP338,AR338,AS338,AT338)=4,N(AT342)&lt;&gt;0),(AP338+AR338+AS338+AT338)/AT342,""),"")</f>
        <v>0.544300865999851</v>
      </c>
      <c r="AU337" s="257">
        <f>IFERROR(IF(AND(COUNT(AR338,AS338,AT338,AU338)=4,N(AU342)&lt;&gt;0),(AR338+AS338+AT338+AU338)/AU342,""),"")</f>
        <v>0.538036422502961</v>
      </c>
      <c r="AV337" s="257">
        <f>IFERROR(IF(AND(COUNT(AR338,AS338,AT338,AU338)=4,N(AV342)&lt;&gt;0),(AR338+AS338+AT338+AU338)/AV342,""),"")</f>
        <v>0.538036422502961</v>
      </c>
      <c r="AW337" s="257">
        <f>IFERROR(IF(AND(COUNT(AS338,AT338,AU338,AW338)=4,N(AW342)&lt;&gt;0),(AS338+AT338+AU338+AW338)/AW342,""),"")</f>
        <v>0.536307526862895</v>
      </c>
      <c r="AX337" s="257">
        <f>IFERROR(IF(AND(COUNT(AT338,AU338,AW338,AX338)=4,N(AX342)&lt;&gt;0),(AT338+AU338+AW338+AX338)/AX342,""),"")</f>
        <v>0.529902690136271</v>
      </c>
      <c r="AY337" s="257">
        <f>IFERROR(IF(AND(COUNT(AU338,AW338,AX338,AY338)=4,N(AY342)&lt;&gt;0),(AU338+AW338+AX338+AY338)/AY342,""),"")</f>
        <v>0.526707660723784</v>
      </c>
      <c r="AZ337" s="257">
        <f>IFERROR(IF(AND(COUNT(AW338,AX338,AY338,AZ338)=4,N(AZ342)&lt;&gt;0),(AW338+AX338+AY338+AZ338)/AZ342,""),"")</f>
        <v>0.520715906568226</v>
      </c>
      <c r="BA337" s="257">
        <f>IFERROR(IF(AND(COUNT(AW338,AX338,AY338,AZ338)=4,N(BA342)&lt;&gt;0),(AW338+AX338+AY338+AZ338)/BA342,""),"")</f>
        <v>0.520715906568226</v>
      </c>
      <c r="BB337" s="257">
        <f>IFERROR(IF(AND(COUNT(AX338,AY338,AZ338,BB338)=4,N(BB342)&lt;&gt;0),(AX338+AY338+AZ338+BB338)/BB342,""),"")</f>
        <v>0.518982508637043</v>
      </c>
      <c r="BC337" s="257">
        <f>IFERROR(IF(AND(COUNT(AY338,AZ338,BB338,BC338)=4,N(BC342)&lt;&gt;0),(AY338+AZ338+BB338+BC338)/BC342,""),"")</f>
        <v>0.512720931870359</v>
      </c>
      <c r="BD337" s="257">
        <f>IFERROR(IF(AND(COUNT(AZ338,BB338,BC338,BD338)=4,N(BD342)&lt;&gt;0),(AZ338+BB338+BC338+BD338)/BD342,""),"")</f>
        <v>0.509435047296526</v>
      </c>
      <c r="BE337" s="257">
        <f>IFERROR(IF(AND(COUNT(BB338,BC338,BD338,BE338)=4,N(BE342)&lt;&gt;0),(BB338+BC338+BD338+BE338)/BE342,""),"")</f>
        <v>0.503469210020053</v>
      </c>
      <c r="BF337" s="257">
        <f>IFERROR(IF(AND(COUNT(BB338,BC338,BD338,BE338)=4,N(BF342)&lt;&gt;0),(BB338+BC338+BD338+BE338)/BF342,""),"")</f>
        <v>0.503469210020053</v>
      </c>
      <c r="BG337" s="81" t="n"/>
      <c r="BH337" s="81" t="n"/>
      <c r="BI337" s="81" t="n"/>
      <c r="BJ337" s="81" t="n"/>
      <c r="BL337" s="81" t="n"/>
      <c r="BM337" s="81" t="n"/>
      <c r="BN337" s="81" t="n"/>
      <c r="BO337" s="81" t="n"/>
      <c r="BQ337" s="81" t="n"/>
      <c r="BR337" s="81" t="n"/>
      <c r="BS337" s="81" t="n"/>
      <c r="BT337" s="81" t="n"/>
      <c r="BV337" s="81" t="n"/>
      <c r="BW337" s="81" t="n"/>
      <c r="BX337" s="81" t="n"/>
      <c r="BY337" s="81" t="n"/>
      <c r="CA337" s="81" t="n"/>
      <c r="CB337" s="81" t="n"/>
      <c r="CC337" s="81" t="n"/>
      <c r="CD337" s="81" t="n"/>
      <c r="CF337" s="81" t="n"/>
      <c r="CG337" s="81" t="n"/>
      <c r="CH337" s="81" t="n"/>
      <c r="CI337" s="81" t="n"/>
      <c r="CK337" s="81" t="n"/>
      <c r="CL337" s="81" t="n"/>
      <c r="CM337" s="81" t="n"/>
      <c r="CN337" s="81" t="n"/>
      <c r="CP337" s="81" t="n"/>
      <c r="CQ337" s="81" t="n"/>
      <c r="CR337" s="81" t="n"/>
      <c r="CS337" s="81" t="n"/>
      <c r="CU337" s="81" t="n"/>
      <c r="CV337" s="81" t="n"/>
      <c r="CW337" s="81" t="n"/>
      <c r="CX337" s="81" t="n"/>
    </row>
    <row r="338" customFormat="1" s="77">
      <c r="A338" s="76" t="n"/>
      <c r="B338" s="76" t="n"/>
      <c r="C338" s="77" t="inlineStr">
        <is>
          <t>NOPLAT</t>
        </is>
      </c>
      <c r="D338">
        <f>IFERROR(D339*(1-D340),"")</f>
        <v>0</v>
      </c>
      <c r="E338">
        <f>IFERROR(E339*(1-E340),"")</f>
        <v>0</v>
      </c>
      <c r="F338">
        <f>IFERROR(F339*(1-F340),"")</f>
        <v>0</v>
      </c>
      <c r="G338">
        <f>IFERROR(G339*(1-G340),"")</f>
        <v>0</v>
      </c>
      <c r="H338" s="263">
        <f>IFERROR(H339*(1-N(H340)),0)</f>
        <v>0</v>
      </c>
      <c r="I338" s="263">
        <f>IFERROR(I339*(1-N(I340)),0)</f>
        <v>1812.90547263682</v>
      </c>
      <c r="J338" s="263">
        <f>IFERROR(J339*(1-N(J340)),0)</f>
        <v>1833.40092165899</v>
      </c>
      <c r="K338" s="263">
        <f>IFERROR(K339*(1-N(K340)),0)</f>
        <v>2074.39764359352</v>
      </c>
      <c r="L338" s="263">
        <f>IFERROR(L339*(1-N(L340)),0)</f>
        <v>2020.19879518072</v>
      </c>
      <c r="M338" s="263">
        <f>IFERROR(M339*(1-N(M340)),0)</f>
        <v>7630.69470198676</v>
      </c>
      <c r="N338" s="263">
        <f>IFERROR(N339*(1-N(N340)),0)</f>
        <v>1625.37069383794</v>
      </c>
      <c r="O338" s="263">
        <f>IFERROR(O339*(1-N(O340)),0)</f>
        <v>1838.08181818182</v>
      </c>
      <c r="P338" s="263">
        <f>IFERROR(P339*(1-N(P340)),0)</f>
        <v>1828.82420200095</v>
      </c>
      <c r="Q338" s="263">
        <f>IFERROR(Q339*(1-N(Q340)),0)</f>
        <v>2001.92511415525</v>
      </c>
      <c r="R338" s="263">
        <f>IFERROR(R339*(1-N(R340)),0)</f>
        <v>7163.28383233533</v>
      </c>
      <c r="S338" s="263">
        <f>IFERROR(S339*(1-N(S340)),0)</f>
        <v>1725.42276830491</v>
      </c>
      <c r="T338" s="263">
        <f>IFERROR(T339*(1-N(T340)),0)</f>
        <v>1789.10019940179</v>
      </c>
      <c r="U338" s="263">
        <f>IFERROR(U339*(1-N(U340)),0)</f>
        <v>1760.7414234511</v>
      </c>
      <c r="V338" s="263">
        <f>IFERROR(V339*(1-N(V340)),0)</f>
        <v>1994.74965034965</v>
      </c>
      <c r="W338" s="263">
        <f>IFERROR(W339*(1-N(W340)),0)</f>
        <v>7269.50358113114</v>
      </c>
      <c r="X338" s="263">
        <f>IFERROR(X339*(1-N(X340)),0)</f>
        <v>1708.34059945504</v>
      </c>
      <c r="Y338" s="263">
        <f>IFERROR(Y339*(1-N(Y340)),0)</f>
        <v>1809.48049281314</v>
      </c>
      <c r="Z338" s="263">
        <f>IFERROR(Z339*(1-N(Z340)),0)</f>
        <v>1810.85505735141</v>
      </c>
      <c r="AA338" s="263">
        <f>IFERROR(AA339*(1-N(AA340)),0)</f>
        <v>696</v>
      </c>
      <c r="AB338" s="263">
        <f>IFERROR(AB339*(1-N(AB340)),0)</f>
        <v>6016.29710610933</v>
      </c>
      <c r="AC338" s="263">
        <f>IFERROR(AC339*(1-N(AC340)),0)</f>
        <v>1994.5304518664</v>
      </c>
      <c r="AD338" s="263">
        <f>IFERROR(AD339*(1-N(AD340)),0)</f>
        <v>613.467625899281</v>
      </c>
      <c r="AE338" s="263">
        <f>IFERROR(AE339*(1-N(AE340)),0)</f>
        <v>1904.70588235294</v>
      </c>
      <c r="AF338" s="263">
        <f>IFERROR(AF339*(1-N(AF340)),0)</f>
        <v>2046.28608752449</v>
      </c>
      <c r="AG338" s="263">
        <f>IFERROR(AG339*(1-N(AG340)),0)</f>
        <v>6549.54863221884</v>
      </c>
      <c r="AH338" s="263">
        <f>IFERROR(AH339*(1-N(AH340)),0)</f>
        <v>1730.40811724915</v>
      </c>
      <c r="AI338" s="263">
        <f>IFERROR(AI339*(1-N(AI340)),0)</f>
        <v>2089.73553719008</v>
      </c>
      <c r="AJ338" s="263">
        <f>IFERROR(AJ339*(1-N(AJ340)),0)</f>
        <v>1789.29162524693</v>
      </c>
      <c r="AK338" s="263">
        <f>IFERROR(AK339*(1-N(AK340)),0)</f>
        <v>1953.90376251507</v>
      </c>
      <c r="AL338" s="263">
        <f>IFERROR(AL339*(1-N(AL340)),0)</f>
        <v>7563.71017314686</v>
      </c>
      <c r="AM338" s="263">
        <f>IFERROR(AM339*(1-N(AM340)),0)</f>
        <v>1732.75427903568</v>
      </c>
      <c r="AN338" s="263">
        <f>IFERROR(AN339*(1-N(AN340)),0)</f>
        <v>1929.09655958564</v>
      </c>
      <c r="AO338" s="263">
        <f>IFERROR(AO339*(1-N(AO340)),0)</f>
        <v>1888.90635020073</v>
      </c>
      <c r="AP338" s="263">
        <f>IFERROR(AP339*(1-N(AP340)),0)</f>
        <v>2062.6828922795</v>
      </c>
      <c r="AQ338" s="263">
        <f>IFERROR(AQ339*(1-N(AQ340)),0)</f>
        <v>7613.44008110155</v>
      </c>
      <c r="AR338" s="263">
        <f>IFERROR(AR339*(1-N(AR340)),0)</f>
        <v>1820.55764496075</v>
      </c>
      <c r="AS338" s="263">
        <f>IFERROR(AS339*(1-N(AS340)),0)</f>
        <v>2026.84912218231</v>
      </c>
      <c r="AT338" s="263">
        <f>IFERROR(AT339*(1-N(AT340)),0)</f>
        <v>1984.62236572093</v>
      </c>
      <c r="AU338" s="263">
        <f>IFERROR(AU339*(1-N(AU340)),0)</f>
        <v>2167.20463720861</v>
      </c>
      <c r="AV338" s="263">
        <f>IFERROR(AV339*(1-N(AV340)),0)</f>
        <v>7999.2337700726</v>
      </c>
      <c r="AW338" s="263">
        <f>IFERROR(AW339*(1-N(AW340)),0)</f>
        <v>1903.70745770897</v>
      </c>
      <c r="AX338" s="263">
        <f>IFERROR(AX339*(1-N(AX340)),0)</f>
        <v>2119.42082703596</v>
      </c>
      <c r="AY338" s="263">
        <f>IFERROR(AY339*(1-N(AY340)),0)</f>
        <v>2075.26545990825</v>
      </c>
      <c r="AZ338" s="263">
        <f>IFERROR(AZ339*(1-N(AZ340)),0)</f>
        <v>2266.18675967518</v>
      </c>
      <c r="BA338" s="263">
        <f>IFERROR(BA339*(1-N(BA340)),0)</f>
        <v>8364.58050432835</v>
      </c>
      <c r="BB338" s="263">
        <f>IFERROR(BB339*(1-N(BB340)),0)</f>
        <v>1981.13641097313</v>
      </c>
      <c r="BC338" s="263">
        <f>IFERROR(BC339*(1-N(BC340)),0)</f>
        <v>2205.62342896365</v>
      </c>
      <c r="BD338" s="263">
        <f>IFERROR(BD339*(1-N(BD340)),0)</f>
        <v>2159.67214311752</v>
      </c>
      <c r="BE338" s="263">
        <f>IFERROR(BE339*(1-N(BE340)),0)</f>
        <v>2358.35873073734</v>
      </c>
      <c r="BF338" s="263">
        <f>IFERROR(BF339*(1-N(BF340)),0)</f>
        <v>8704.79071379163</v>
      </c>
      <c r="BG338" s="85" t="n"/>
      <c r="BH338" s="76" t="n"/>
      <c r="BI338" s="76" t="n"/>
      <c r="BJ338" s="76" t="n"/>
      <c r="BL338" s="85" t="n"/>
      <c r="BM338" s="76" t="n"/>
      <c r="BN338" s="76" t="n"/>
      <c r="BO338" s="76" t="n"/>
      <c r="BQ338" s="85" t="n"/>
      <c r="BR338" s="76" t="n"/>
      <c r="BS338" s="76" t="n"/>
      <c r="BT338" s="76" t="n"/>
      <c r="BV338" s="85" t="n"/>
      <c r="BW338" s="76" t="n"/>
      <c r="BX338" s="76" t="n"/>
      <c r="BY338" s="76" t="n"/>
      <c r="CA338" s="85" t="n"/>
      <c r="CB338" s="76" t="n"/>
      <c r="CC338" s="76" t="n"/>
      <c r="CD338" s="76" t="n"/>
      <c r="CF338" s="85" t="n"/>
      <c r="CG338" s="76" t="n"/>
      <c r="CH338" s="76" t="n"/>
      <c r="CI338" s="76" t="n"/>
      <c r="CK338" s="85" t="n"/>
      <c r="CL338" s="76" t="n"/>
      <c r="CM338" s="76" t="n"/>
      <c r="CN338" s="76" t="n"/>
      <c r="CP338" s="85" t="n"/>
      <c r="CQ338" s="76" t="n"/>
      <c r="CR338" s="76" t="n"/>
      <c r="CS338" s="76" t="n"/>
      <c r="CU338" s="85" t="n"/>
      <c r="CV338" s="76" t="n"/>
      <c r="CW338" s="76" t="n"/>
      <c r="CX338" s="76" t="n"/>
    </row>
    <row r="339" customFormat="1" s="77">
      <c r="A339" s="76" t="n"/>
      <c r="B339" s="76" t="n"/>
      <c r="C339" s="77" t="inlineStr">
        <is>
          <t>EBIT</t>
        </is>
      </c>
      <c r="D339" s="86">
        <f>IFERROR(D121,"")</f>
        <v>0</v>
      </c>
      <c r="E339" s="86">
        <f>IFERROR(E121,"")</f>
        <v>0</v>
      </c>
      <c r="F339" s="86">
        <f>IFERROR(F121,"")</f>
        <v>0</v>
      </c>
      <c r="G339" s="86">
        <f>IFERROR(G121,"")</f>
        <v>0</v>
      </c>
      <c r="H339" s="263">
        <f>IFERROR(H64,0)</f>
        <v>0</v>
      </c>
      <c r="I339" s="263">
        <f>IFERROR(I64,0)</f>
        <v>2182</v>
      </c>
      <c r="J339" s="263">
        <f>IFERROR(J64,0)</f>
        <v>2192</v>
      </c>
      <c r="K339" s="263">
        <f>IFERROR(K64,0)</f>
        <v>2294</v>
      </c>
      <c r="L339" s="263">
        <f>IFERROR(L64,0)</f>
        <v>2455</v>
      </c>
      <c r="M339" s="263">
        <f>IFERROR(M64,0)</f>
        <v>9123</v>
      </c>
      <c r="N339" s="263">
        <f>IFERROR(N64,0)</f>
        <v>1933</v>
      </c>
      <c r="O339" s="263">
        <f>IFERROR(O64,0)</f>
        <v>1963</v>
      </c>
      <c r="P339" s="263">
        <f>IFERROR(P64,0)</f>
        <v>2159</v>
      </c>
      <c r="Q339" s="263">
        <f>IFERROR(Q64,0)</f>
        <v>2293</v>
      </c>
      <c r="R339" s="263">
        <f>IFERROR(R64,0)</f>
        <v>8348</v>
      </c>
      <c r="S339" s="263">
        <f>IFERROR(S64,0)</f>
        <v>2037</v>
      </c>
      <c r="T339" s="263">
        <f>IFERROR(T64,0)</f>
        <v>2135</v>
      </c>
      <c r="U339" s="263">
        <f>IFERROR(U64,0)</f>
        <v>2042</v>
      </c>
      <c r="V339" s="263">
        <f>IFERROR(V64,0)</f>
        <v>2293</v>
      </c>
      <c r="W339" s="263">
        <f>IFERROR(W64,0)</f>
        <v>8507</v>
      </c>
      <c r="X339" s="263">
        <f>IFERROR(X64,0)</f>
        <v>2029</v>
      </c>
      <c r="Y339" s="263">
        <f>IFERROR(Y64,0)</f>
        <v>2148</v>
      </c>
      <c r="Z339" s="263">
        <f>IFERROR(Z64,0)</f>
        <v>2140</v>
      </c>
      <c r="AA339" s="263">
        <f>IFERROR(AA64,0)</f>
        <v>696</v>
      </c>
      <c r="AB339" s="263">
        <f>IFERROR(AB64,0)</f>
        <v>7013</v>
      </c>
      <c r="AC339" s="263">
        <f>IFERROR(AC64,0)</f>
        <v>2372</v>
      </c>
      <c r="AD339" s="263">
        <f>IFERROR(AD64,0)</f>
        <v>748</v>
      </c>
      <c r="AE339" s="263">
        <f>IFERROR(AE64,0)</f>
        <v>2280</v>
      </c>
      <c r="AF339" s="263">
        <f>IFERROR(AF64,0)</f>
        <v>2331</v>
      </c>
      <c r="AG339" s="263">
        <f>IFERROR(AG64,0)</f>
        <v>7731</v>
      </c>
      <c r="AH339" s="263">
        <f>IFERROR(AH64,0)</f>
        <v>2063</v>
      </c>
      <c r="AI339" s="263">
        <f>IFERROR(AI64,0)</f>
        <v>2479</v>
      </c>
      <c r="AJ339" s="263">
        <f>IFERROR(AJ64,0)</f>
        <v>2123.35946124278</v>
      </c>
      <c r="AK339" s="263">
        <f>IFERROR(AK64,0)</f>
        <v>2318.70533676794</v>
      </c>
      <c r="AL339" s="263">
        <f>IFERROR(AL64,0)</f>
        <v>8984.06479801072</v>
      </c>
      <c r="AM339" s="263">
        <f>IFERROR(AM64,0)</f>
        <v>2056.26636848064</v>
      </c>
      <c r="AN339" s="263">
        <f>IFERROR(AN64,0)</f>
        <v>2289.26653076006</v>
      </c>
      <c r="AO339" s="263">
        <f>IFERROR(AO64,0)</f>
        <v>2241.57265004065</v>
      </c>
      <c r="AP339" s="263">
        <f>IFERROR(AP64,0)</f>
        <v>2447.79396106594</v>
      </c>
      <c r="AQ339" s="263">
        <f>IFERROR(AQ64,0)</f>
        <v>9034.89951034728</v>
      </c>
      <c r="AR339" s="263">
        <f>IFERROR(AR64,0)</f>
        <v>2160.46297071994</v>
      </c>
      <c r="AS339" s="263">
        <f>IFERROR(AS64,0)</f>
        <v>2405.26988411043</v>
      </c>
      <c r="AT339" s="263">
        <f>IFERROR(AT64,0)</f>
        <v>2355.15922490612</v>
      </c>
      <c r="AU339" s="263">
        <f>IFERROR(AU64,0)</f>
        <v>2571.83032991118</v>
      </c>
      <c r="AV339" s="263">
        <f>IFERROR(AV64,0)</f>
        <v>9492.72240964767</v>
      </c>
      <c r="AW339" s="263">
        <f>IFERROR(AW64,0)</f>
        <v>2259.13718296587</v>
      </c>
      <c r="AX339" s="263">
        <f>IFERROR(AX64,0)</f>
        <v>2515.12509304946</v>
      </c>
      <c r="AY339" s="263">
        <f>IFERROR(AY64,0)</f>
        <v>2462.72574392584</v>
      </c>
      <c r="AZ339" s="263">
        <f>IFERROR(AZ64,0)</f>
        <v>2689.29280683095</v>
      </c>
      <c r="BA339" s="263">
        <f>IFERROR(BA64,0)</f>
        <v>9926.28082677212</v>
      </c>
      <c r="BB339" s="263">
        <f>IFERROR(BB64,0)</f>
        <v>2351.02242859479</v>
      </c>
      <c r="BC339" s="263">
        <f>IFERROR(BC64,0)</f>
        <v>2617.42206231049</v>
      </c>
      <c r="BD339" s="263">
        <f>IFERROR(BD64,0)</f>
        <v>2562.89148932791</v>
      </c>
      <c r="BE339" s="263">
        <f>IFERROR(BE64,0)</f>
        <v>2798.67365009578</v>
      </c>
      <c r="BF339" s="263">
        <f>IFERROR(BF64,0)</f>
        <v>10330.009630329</v>
      </c>
      <c r="BG339" s="63" t="n"/>
      <c r="BH339" s="63" t="n"/>
      <c r="BI339" s="63" t="n"/>
      <c r="BJ339" s="63" t="n"/>
      <c r="BL339" s="63" t="n"/>
      <c r="BM339" s="63" t="n"/>
      <c r="BN339" s="63" t="n"/>
      <c r="BO339" s="63" t="n"/>
      <c r="BQ339" s="63" t="n"/>
      <c r="BR339" s="63" t="n"/>
      <c r="BS339" s="63" t="n"/>
      <c r="BT339" s="63" t="n"/>
      <c r="BV339" s="63" t="n"/>
      <c r="BW339" s="63" t="n"/>
      <c r="BX339" s="63" t="n"/>
      <c r="BY339" s="63" t="n"/>
      <c r="CA339" s="63" t="n"/>
      <c r="CB339" s="63" t="n"/>
      <c r="CC339" s="63" t="n"/>
      <c r="CD339" s="63" t="n"/>
      <c r="CF339" s="63" t="n"/>
      <c r="CG339" s="63" t="n"/>
      <c r="CH339" s="63" t="n"/>
      <c r="CI339" s="63" t="n"/>
      <c r="CK339" s="63" t="n"/>
      <c r="CL339" s="63" t="n"/>
      <c r="CM339" s="63" t="n"/>
      <c r="CN339" s="63" t="n"/>
      <c r="CP339" s="63" t="n"/>
      <c r="CQ339" s="63" t="n"/>
      <c r="CR339" s="63" t="n"/>
      <c r="CS339" s="63" t="n"/>
      <c r="CU339" s="63" t="n"/>
      <c r="CV339" s="63" t="n"/>
      <c r="CW339" s="63" t="n"/>
      <c r="CX339" s="63" t="n"/>
    </row>
    <row r="340" customFormat="1" s="77">
      <c r="A340" s="76" t="n"/>
      <c r="B340" s="76" t="n"/>
      <c r="C340" s="77" t="inlineStr">
        <is>
          <t>ETR (LIMITED TO 0%-100%)</t>
        </is>
      </c>
      <c r="D340" s="87">
        <f>IFERROR(D123,"")</f>
        <v>0</v>
      </c>
      <c r="E340" s="87">
        <f>IFERROR(E123,"")</f>
        <v>0</v>
      </c>
      <c r="F340" s="87">
        <f>IFERROR(F123,"")</f>
        <v>0</v>
      </c>
      <c r="G340" s="87">
        <f>IFERROR(G123,"")</f>
        <v>0</v>
      </c>
      <c r="H340" s="258" t="str">
        <f>IFERROR(IF(N(H121)&lt;&gt;0,MAX(0,MIN(1,-H122/H121)),""),"")</f>
        <v/>
      </c>
      <c r="I340" s="258">
        <f>IFERROR(IF(N(I121)&lt;&gt;0,MAX(0,MIN(1,-I122/I121)),""),"")</f>
        <v>0.169154228855721</v>
      </c>
      <c r="J340" s="258">
        <f>IFERROR(IF(N(J121)&lt;&gt;0,MAX(0,MIN(1,-J122/J121)),""),"")</f>
        <v>0.163594470046083</v>
      </c>
      <c r="K340" s="258">
        <f>IFERROR(IF(N(K121)&lt;&gt;0,MAX(0,MIN(1,-K122/K121)),""),"")</f>
        <v>0.0957290132547865</v>
      </c>
      <c r="L340" s="258">
        <f>IFERROR(IF(N(L121)&lt;&gt;0,MAX(0,MIN(1,-L122/L121)),""),"")</f>
        <v>0.17710843373494</v>
      </c>
      <c r="M340" s="258">
        <f>IFERROR(IF(N(M121)&lt;&gt;0,MAX(0,MIN(1,-M122/M121)),""),"")</f>
        <v>0.163576158940397</v>
      </c>
      <c r="N340" s="258">
        <f>IFERROR(IF(N(N121)&lt;&gt;0,MAX(0,MIN(1,-N122/N121)),""),"")</f>
        <v>0.159146045608928</v>
      </c>
      <c r="O340" s="258">
        <f>IFERROR(IF(N(O121)&lt;&gt;0,MAX(0,MIN(1,-O122/O121)),""),"")</f>
        <v>0.0636363636363636</v>
      </c>
      <c r="P340" s="258">
        <f>IFERROR(IF(N(P121)&lt;&gt;0,MAX(0,MIN(1,-P122/P121)),""),"")</f>
        <v>0.152929966650786</v>
      </c>
      <c r="Q340" s="258">
        <f>IFERROR(IF(N(Q121)&lt;&gt;0,MAX(0,MIN(1,-Q122/Q121)),""),"")</f>
        <v>0.126940639269406</v>
      </c>
      <c r="R340" s="258">
        <f>IFERROR(IF(N(R121)&lt;&gt;0,MAX(0,MIN(1,-R122/R121)),""),"")</f>
        <v>0.141916167664671</v>
      </c>
      <c r="S340" s="258">
        <f>IFERROR(IF(N(S121)&lt;&gt;0,MAX(0,MIN(1,-S122/S121)),""),"")</f>
        <v>0.15295887662989</v>
      </c>
      <c r="T340" s="258">
        <f>IFERROR(IF(N(T121)&lt;&gt;0,MAX(0,MIN(1,-T122/T121)),""),"")</f>
        <v>0.162013958125623</v>
      </c>
      <c r="U340" s="258">
        <f>IFERROR(IF(N(U121)&lt;&gt;0,MAX(0,MIN(1,-U122/U121)),""),"")</f>
        <v>0.13773681515617</v>
      </c>
      <c r="V340" s="258">
        <f>IFERROR(IF(N(V121)&lt;&gt;0,MAX(0,MIN(1,-V122/V121)),""),"")</f>
        <v>0.13006993006993</v>
      </c>
      <c r="W340" s="258">
        <f>IFERROR(IF(N(W121)&lt;&gt;0,MAX(0,MIN(1,-W122/W121)),""),"")</f>
        <v>0.14546801679427</v>
      </c>
      <c r="X340" s="258">
        <f>IFERROR(IF(N(X121)&lt;&gt;0,MAX(0,MIN(1,-X122/X121)),""),"")</f>
        <v>0.158038147138965</v>
      </c>
      <c r="Y340" s="258">
        <f>IFERROR(IF(N(Y121)&lt;&gt;0,MAX(0,MIN(1,-Y122/Y121)),""),"")</f>
        <v>0.157597535934292</v>
      </c>
      <c r="Z340" s="258">
        <f>IFERROR(IF(N(Z121)&lt;&gt;0,MAX(0,MIN(1,-Z122/Z121)),""),"")</f>
        <v>0.153806047966632</v>
      </c>
      <c r="AA340" s="258">
        <f>IFERROR(IF(N(AA121)&lt;&gt;0,MAX(0,MIN(1,-AA122/AA121)),""),"")</f>
        <v>0</v>
      </c>
      <c r="AB340" s="258">
        <f>IFERROR(IF(N(AB121)&lt;&gt;0,MAX(0,MIN(1,-AB122/AB121)),""),"")</f>
        <v>0.142122186495177</v>
      </c>
      <c r="AC340" s="258">
        <f>IFERROR(IF(N(AC121)&lt;&gt;0,MAX(0,MIN(1,-AC122/AC121)),""),"")</f>
        <v>0.159135559921415</v>
      </c>
      <c r="AD340" s="258">
        <f>IFERROR(IF(N(AD121)&lt;&gt;0,MAX(0,MIN(1,-AD122/AD121)),""),"")</f>
        <v>0.179856115107914</v>
      </c>
      <c r="AE340" s="258">
        <f>IFERROR(IF(N(AE121)&lt;&gt;0,MAX(0,MIN(1,-AE122/AE121)),""),"")</f>
        <v>0.164602683178535</v>
      </c>
      <c r="AF340" s="258">
        <f>IFERROR(IF(N(AF121)&lt;&gt;0,MAX(0,MIN(1,-AF122/AF121)),""),"")</f>
        <v>0.122142390594383</v>
      </c>
      <c r="AG340" s="258">
        <f>IFERROR(IF(N(AG121)&lt;&gt;0,MAX(0,MIN(1,-AG122/AG121)),""),"")</f>
        <v>0.152819993245525</v>
      </c>
      <c r="AH340" s="258">
        <f>IFERROR(IF(N(AH121)&lt;&gt;0,MAX(0,MIN(1,-AH122/AH121)),""),"")</f>
        <v>0.161217587373168</v>
      </c>
      <c r="AI340" s="258">
        <f>IFERROR(IF(N(AI121)&lt;&gt;0,MAX(0,MIN(1,-AI122/AI121)),""),"")</f>
        <v>0.15702479338843</v>
      </c>
      <c r="AJ340" s="258">
        <f>IFERROR(IF(N(AJ121)&lt;&gt;0,MAX(0,MIN(1,-AJ122/AJ121)),""),"")</f>
        <v>0.157329854927307</v>
      </c>
      <c r="AK340" s="258">
        <f>IFERROR(IF(N(AK121)&lt;&gt;0,MAX(0,MIN(1,-AK122/AK121)),""),"")</f>
        <v>0.157329854927307</v>
      </c>
      <c r="AL340" s="258">
        <f>IFERROR(IF(N(AL121)&lt;&gt;0,MAX(0,MIN(1,-AL122/AL121)),""),"")</f>
        <v>0.158097103794083</v>
      </c>
      <c r="AM340" s="258">
        <f>IFERROR(IF(N(AM121)&lt;&gt;0,MAX(0,MIN(1,-AM122/AM121)),""),"")</f>
        <v>0.157329854927307</v>
      </c>
      <c r="AN340" s="258">
        <f>IFERROR(IF(N(AN121)&lt;&gt;0,MAX(0,MIN(1,-AN122/AN121)),""),"")</f>
        <v>0.157329854927307</v>
      </c>
      <c r="AO340" s="258">
        <f>IFERROR(IF(N(AO121)&lt;&gt;0,MAX(0,MIN(1,-AO122/AO121)),""),"")</f>
        <v>0.157329854927307</v>
      </c>
      <c r="AP340" s="258">
        <f>IFERROR(IF(N(AP121)&lt;&gt;0,MAX(0,MIN(1,-AP122/AP121)),""),"")</f>
        <v>0.157329854927307</v>
      </c>
      <c r="AQ340" s="258">
        <f>IFERROR(IF(N(AQ121)&lt;&gt;0,MAX(0,MIN(1,-AQ122/AQ121)),""),"")</f>
        <v>0.157329854927307</v>
      </c>
      <c r="AR340" s="258">
        <f>IFERROR(IF(N(AR121)&lt;&gt;0,MAX(0,MIN(1,-AR122/AR121)),""),"")</f>
        <v>0.157329854927307</v>
      </c>
      <c r="AS340" s="258">
        <f>IFERROR(IF(N(AS121)&lt;&gt;0,MAX(0,MIN(1,-AS122/AS121)),""),"")</f>
        <v>0.157329854927307</v>
      </c>
      <c r="AT340" s="258">
        <f>IFERROR(IF(N(AT121)&lt;&gt;0,MAX(0,MIN(1,-AT122/AT121)),""),"")</f>
        <v>0.157329854927307</v>
      </c>
      <c r="AU340" s="258">
        <f>IFERROR(IF(N(AU121)&lt;&gt;0,MAX(0,MIN(1,-AU122/AU121)),""),"")</f>
        <v>0.157329854927307</v>
      </c>
      <c r="AV340" s="258">
        <f>IFERROR(IF(N(AV121)&lt;&gt;0,MAX(0,MIN(1,-AV122/AV121)),""),"")</f>
        <v>0.157329854927307</v>
      </c>
      <c r="AW340" s="258">
        <f>IFERROR(IF(N(AW121)&lt;&gt;0,MAX(0,MIN(1,-AW122/AW121)),""),"")</f>
        <v>0.157329854927307</v>
      </c>
      <c r="AX340" s="258">
        <f>IFERROR(IF(N(AX121)&lt;&gt;0,MAX(0,MIN(1,-AX122/AX121)),""),"")</f>
        <v>0.157329854927307</v>
      </c>
      <c r="AY340" s="258">
        <f>IFERROR(IF(N(AY121)&lt;&gt;0,MAX(0,MIN(1,-AY122/AY121)),""),"")</f>
        <v>0.157329854927307</v>
      </c>
      <c r="AZ340" s="258">
        <f>IFERROR(IF(N(AZ121)&lt;&gt;0,MAX(0,MIN(1,-AZ122/AZ121)),""),"")</f>
        <v>0.157329854927307</v>
      </c>
      <c r="BA340" s="258">
        <f>IFERROR(IF(N(BA121)&lt;&gt;0,MAX(0,MIN(1,-BA122/BA121)),""),"")</f>
        <v>0.157329854927307</v>
      </c>
      <c r="BB340" s="258">
        <f>IFERROR(IF(N(BB121)&lt;&gt;0,MAX(0,MIN(1,-BB122/BB121)),""),"")</f>
        <v>0.157329854927307</v>
      </c>
      <c r="BC340" s="258">
        <f>IFERROR(IF(N(BC121)&lt;&gt;0,MAX(0,MIN(1,-BC122/BC121)),""),"")</f>
        <v>0.157329854927307</v>
      </c>
      <c r="BD340" s="258">
        <f>IFERROR(IF(N(BD121)&lt;&gt;0,MAX(0,MIN(1,-BD122/BD121)),""),"")</f>
        <v>0.157329854927307</v>
      </c>
      <c r="BE340" s="258">
        <f>IFERROR(IF(N(BE121)&lt;&gt;0,MAX(0,MIN(1,-BE122/BE121)),""),"")</f>
        <v>0.157329854927307</v>
      </c>
      <c r="BF340" s="258">
        <f>IFERROR(IF(N(BF121)&lt;&gt;0,MAX(0,MIN(1,-BF122/BF121)),""),"")</f>
        <v>0.157329854927307</v>
      </c>
      <c r="BG340" s="88" t="n"/>
      <c r="BH340" s="88" t="n"/>
      <c r="BI340" s="88" t="n"/>
      <c r="BJ340" s="88" t="n"/>
      <c r="BL340" s="88" t="n"/>
      <c r="BM340" s="88" t="n"/>
      <c r="BN340" s="88" t="n"/>
      <c r="BO340" s="88" t="n"/>
      <c r="BQ340" s="88" t="n"/>
      <c r="BR340" s="88" t="n"/>
      <c r="BS340" s="88" t="n"/>
      <c r="BT340" s="88" t="n"/>
      <c r="BV340" s="88" t="n"/>
      <c r="BW340" s="88" t="n"/>
      <c r="BX340" s="88" t="n"/>
      <c r="BY340" s="88" t="n"/>
      <c r="CA340" s="88" t="n"/>
      <c r="CB340" s="88" t="n"/>
      <c r="CC340" s="88" t="n"/>
      <c r="CD340" s="88" t="n"/>
      <c r="CF340" s="88" t="n"/>
      <c r="CG340" s="88" t="n"/>
      <c r="CH340" s="88" t="n"/>
      <c r="CI340" s="88" t="n"/>
      <c r="CK340" s="88" t="n"/>
      <c r="CL340" s="88" t="n"/>
      <c r="CM340" s="88" t="n"/>
      <c r="CN340" s="88" t="n"/>
      <c r="CP340" s="88" t="n"/>
      <c r="CQ340" s="88" t="n"/>
      <c r="CR340" s="88" t="n"/>
      <c r="CS340" s="88" t="n"/>
      <c r="CU340" s="88" t="n"/>
      <c r="CV340" s="88" t="n"/>
      <c r="CW340" s="88" t="n"/>
      <c r="CX340" s="88" t="n"/>
    </row>
    <row r="341" customFormat="1" s="77">
      <c r="A341" s="76" t="n"/>
      <c r="B341" s="76" t="n"/>
      <c r="C341" s="77" t="inlineStr">
        <is>
          <t>INVESTED CAPITAL</t>
        </is>
      </c>
      <c r="D341" s="86">
        <f>IFERROR(D344-D345+D346,"")</f>
        <v>0</v>
      </c>
      <c r="E341" s="86">
        <f>IFERROR(E344-E345+E346,"")</f>
        <v>0</v>
      </c>
      <c r="F341" s="86">
        <f>IFERROR(F344-F345+F346,"")</f>
        <v>0</v>
      </c>
      <c r="G341" s="86">
        <f>IFERROR(G344-G345+G346,"")</f>
        <v>0</v>
      </c>
      <c r="H341" s="263">
        <f>IFERROR(H343+H346,0)</f>
        <v>0</v>
      </c>
      <c r="I341" s="263">
        <f>IFERROR(I343+I346,0)</f>
        <v>15563</v>
      </c>
      <c r="J341" s="263">
        <f>IFERROR(J343+J346,0)</f>
        <v>15956</v>
      </c>
      <c r="K341" s="263">
        <f>IFERROR(K343+K346,0)</f>
        <v>18578</v>
      </c>
      <c r="L341" s="263">
        <f>IFERROR(L343+L346,0)</f>
        <v>19031</v>
      </c>
      <c r="M341" s="263">
        <f>IFERROR(M343+M346,0)</f>
        <v>19031</v>
      </c>
      <c r="N341" s="263">
        <f>IFERROR(N343+N346,0)</f>
        <v>19764</v>
      </c>
      <c r="O341" s="263">
        <f>IFERROR(O343+O346,0)</f>
        <v>21301</v>
      </c>
      <c r="P341" s="263">
        <f>IFERROR(P343+P346,0)</f>
        <v>21016</v>
      </c>
      <c r="Q341" s="263">
        <f>IFERROR(Q343+Q346,0)</f>
        <v>22148</v>
      </c>
      <c r="R341" s="263">
        <f>IFERROR(R343+R346,0)</f>
        <v>22148</v>
      </c>
      <c r="S341" s="263">
        <f>IFERROR(S343+S346,0)</f>
        <v>22806</v>
      </c>
      <c r="T341" s="263">
        <f>IFERROR(T343+T346,0)</f>
        <v>23112</v>
      </c>
      <c r="U341" s="263">
        <f>IFERROR(U343+U346,0)</f>
        <v>23112</v>
      </c>
      <c r="V341" s="263">
        <f>IFERROR(V343+V346,0)</f>
        <v>22852</v>
      </c>
      <c r="W341" s="263">
        <f>IFERROR(W343+W346,0)</f>
        <v>22852</v>
      </c>
      <c r="X341" s="263">
        <f>IFERROR(X343+X346,0)</f>
        <v>23278</v>
      </c>
      <c r="Y341" s="263">
        <f>IFERROR(Y343+Y346,0)</f>
        <v>22909</v>
      </c>
      <c r="Z341" s="263">
        <f>IFERROR(Z343+Z346,0)</f>
        <v>23370</v>
      </c>
      <c r="AA341" s="263">
        <f>IFERROR(AA343+AA346,0)</f>
        <v>24120</v>
      </c>
      <c r="AB341" s="263">
        <f>IFERROR(AB343+AB346,0)</f>
        <v>24120</v>
      </c>
      <c r="AC341" s="263">
        <f>IFERROR(AC343+AC346,0)</f>
        <v>25184</v>
      </c>
      <c r="AD341" s="263">
        <f>IFERROR(AD343+AD346,0)</f>
        <v>25679</v>
      </c>
      <c r="AE341" s="263">
        <f>IFERROR(AE343+AE346,0)</f>
        <v>24900</v>
      </c>
      <c r="AF341" s="263">
        <f>IFERROR(AF343+AF346,0)</f>
        <v>24300</v>
      </c>
      <c r="AG341" s="263">
        <f>IFERROR(AG343+AG346,0)</f>
        <v>24300</v>
      </c>
      <c r="AH341" s="263">
        <f>IFERROR(AH343+AH346,0)</f>
        <v>26292</v>
      </c>
      <c r="AI341" s="263">
        <f>IFERROR(AI343+AI346,0)</f>
        <v>25515</v>
      </c>
      <c r="AJ341" s="263">
        <f>IFERROR(AJ343+AJ346,0)</f>
        <v>23423.5844337647</v>
      </c>
      <c r="AK341" s="263">
        <f>IFERROR(AK343+AK346,0)</f>
        <v>23794.7391902739</v>
      </c>
      <c r="AL341" s="263">
        <f>IFERROR(AL343+AL346,0)</f>
        <v>23794.7391902739</v>
      </c>
      <c r="AM341" s="263">
        <f>IFERROR(AM343+AM346,0)</f>
        <v>24008.5934156566</v>
      </c>
      <c r="AN341" s="263">
        <f>IFERROR(AN343+AN346,0)</f>
        <v>24356.8922710072</v>
      </c>
      <c r="AO341" s="263">
        <f>IFERROR(AO343+AO346,0)</f>
        <v>24621.3116750514</v>
      </c>
      <c r="AP341" s="263">
        <f>IFERROR(AP343+AP346,0)</f>
        <v>24980.2464213519</v>
      </c>
      <c r="AQ341" s="263">
        <f>IFERROR(AQ343+AQ346,0)</f>
        <v>24980.2464213519</v>
      </c>
      <c r="AR341" s="263">
        <f>IFERROR(AR343+AR346,0)</f>
        <v>25182.2127426664</v>
      </c>
      <c r="AS341" s="263">
        <f>IFERROR(AS343+AS346,0)</f>
        <v>25538.8438231985</v>
      </c>
      <c r="AT341" s="263">
        <f>IFERROR(AT343+AT346,0)</f>
        <v>25802.3164879801</v>
      </c>
      <c r="AU341" s="263">
        <f>IFERROR(AU343+AU346,0)</f>
        <v>26165.4577324337</v>
      </c>
      <c r="AV341" s="263">
        <f>IFERROR(AV343+AV346,0)</f>
        <v>26165.4577324337</v>
      </c>
      <c r="AW341" s="263">
        <f>IFERROR(AW343+AW346,0)</f>
        <v>26368.4272790992</v>
      </c>
      <c r="AX341" s="263">
        <f>IFERROR(AX343+AX346,0)</f>
        <v>26725.2764412126</v>
      </c>
      <c r="AY341" s="263">
        <f>IFERROR(AY343+AY346,0)</f>
        <v>26990.9526532868</v>
      </c>
      <c r="AZ341" s="263">
        <f>IFERROR(AZ343+AZ346,0)</f>
        <v>27361.616261418</v>
      </c>
      <c r="BA341" s="263">
        <f>IFERROR(BA343+BA346,0)</f>
        <v>27361.616261418</v>
      </c>
      <c r="BB341" s="263">
        <f>IFERROR(BB343+BB346,0)</f>
        <v>27564.4623895765</v>
      </c>
      <c r="BC341" s="263">
        <f>IFERROR(BC343+BC346,0)</f>
        <v>27931.2434067204</v>
      </c>
      <c r="BD341" s="263">
        <f>IFERROR(BD343+BD346,0)</f>
        <v>28204.2155979158</v>
      </c>
      <c r="BE341" s="263">
        <f>IFERROR(BE343+BE346,0)</f>
        <v>28587.6187900843</v>
      </c>
      <c r="BF341" s="263">
        <f>IFERROR(BF343+BF346,0)</f>
        <v>28587.6187900843</v>
      </c>
      <c r="BG341" s="63" t="n"/>
      <c r="BH341" s="63" t="n"/>
      <c r="BI341" s="63" t="n"/>
      <c r="BJ341" s="63" t="n"/>
      <c r="BL341" s="63" t="n"/>
      <c r="BM341" s="63" t="n"/>
      <c r="BN341" s="63" t="n"/>
      <c r="BO341" s="63" t="n"/>
      <c r="BQ341" s="63" t="n"/>
      <c r="BR341" s="63" t="n"/>
      <c r="BS341" s="63" t="n"/>
      <c r="BT341" s="63" t="n"/>
      <c r="BV341" s="63" t="n"/>
      <c r="BW341" s="63" t="n"/>
      <c r="BX341" s="63" t="n"/>
      <c r="BY341" s="63" t="n"/>
      <c r="CA341" s="63" t="n"/>
      <c r="CB341" s="63" t="n"/>
      <c r="CC341" s="63" t="n"/>
      <c r="CD341" s="63" t="n"/>
      <c r="CF341" s="63" t="n"/>
      <c r="CG341" s="63" t="n"/>
      <c r="CH341" s="63" t="n"/>
      <c r="CI341" s="63" t="n"/>
      <c r="CK341" s="63" t="n"/>
      <c r="CL341" s="63" t="n"/>
      <c r="CM341" s="63" t="n"/>
      <c r="CN341" s="63" t="n"/>
      <c r="CP341" s="63" t="n"/>
      <c r="CQ341" s="63" t="n"/>
      <c r="CR341" s="63" t="n"/>
      <c r="CS341" s="63" t="n"/>
      <c r="CU341" s="63" t="n"/>
      <c r="CV341" s="63" t="n"/>
      <c r="CW341" s="63" t="n"/>
      <c r="CX341" s="63" t="n"/>
    </row>
    <row r="342" customFormat="1" s="77">
      <c r="A342" s="76" t="n"/>
      <c r="B342" s="76" t="n"/>
      <c r="C342" s="77" t="inlineStr">
        <is>
          <t>INVESTED CAPITAL - EX GOODWILL</t>
        </is>
      </c>
      <c r="D342" s="89">
        <f>IFERROR(D341-D170,"")</f>
        <v>0</v>
      </c>
      <c r="E342" s="89">
        <f>IFERROR(E341-E170,"")</f>
        <v>0</v>
      </c>
      <c r="F342" s="89">
        <f>IFERROR(F341-F170,"")</f>
        <v>0</v>
      </c>
      <c r="G342" s="89">
        <f>IFERROR(G341-G170,"")</f>
        <v>0</v>
      </c>
      <c r="H342" s="263">
        <f>IFERROR(H341-N(H170),0)</f>
        <v>0</v>
      </c>
      <c r="I342" s="263">
        <f>IFERROR(I341-N(I170),0)</f>
        <v>4764</v>
      </c>
      <c r="J342" s="263">
        <f>IFERROR(J341-N(J170),0)</f>
        <v>5146</v>
      </c>
      <c r="K342" s="263">
        <f>IFERROR(K341-N(K170),0)</f>
        <v>7763</v>
      </c>
      <c r="L342" s="263">
        <f>IFERROR(L341-N(L170),0)</f>
        <v>8218</v>
      </c>
      <c r="M342" s="263">
        <f>IFERROR(M341-N(M170),0)</f>
        <v>8218</v>
      </c>
      <c r="N342" s="263">
        <f>IFERROR(N341-N(N170),0)</f>
        <v>8953</v>
      </c>
      <c r="O342" s="263">
        <f>IFERROR(O341-N(O170),0)</f>
        <v>10507</v>
      </c>
      <c r="P342" s="263">
        <f>IFERROR(P341-N(P170),0)</f>
        <v>10252</v>
      </c>
      <c r="Q342" s="263">
        <f>IFERROR(Q341-N(Q170),0)</f>
        <v>11368</v>
      </c>
      <c r="R342" s="263">
        <f>IFERROR(R341-N(R170),0)</f>
        <v>11368</v>
      </c>
      <c r="S342" s="263">
        <f>IFERROR(S341-N(S170),0)</f>
        <v>12030</v>
      </c>
      <c r="T342" s="263">
        <f>IFERROR(T341-N(T170),0)</f>
        <v>12317</v>
      </c>
      <c r="U342" s="263">
        <f>IFERROR(U341-N(U170),0)</f>
        <v>12330</v>
      </c>
      <c r="V342" s="263">
        <f>IFERROR(V341-N(V170),0)</f>
        <v>12053</v>
      </c>
      <c r="W342" s="263">
        <f>IFERROR(W341-N(W170),0)</f>
        <v>12053</v>
      </c>
      <c r="X342" s="263">
        <f>IFERROR(X341-N(X170),0)</f>
        <v>12489</v>
      </c>
      <c r="Y342" s="263">
        <f>IFERROR(Y341-N(Y170),0)</f>
        <v>12122</v>
      </c>
      <c r="Z342" s="263">
        <f>IFERROR(Z341-N(Z170),0)</f>
        <v>12570</v>
      </c>
      <c r="AA342" s="263">
        <f>IFERROR(AA341-N(AA170),0)</f>
        <v>13053</v>
      </c>
      <c r="AB342" s="263">
        <f>IFERROR(AB341-N(AB170),0)</f>
        <v>13053</v>
      </c>
      <c r="AC342" s="263">
        <f>IFERROR(AC341-N(AC170),0)</f>
        <v>14108</v>
      </c>
      <c r="AD342" s="263">
        <f>IFERROR(AD341-N(AD170),0)</f>
        <v>14370</v>
      </c>
      <c r="AE342" s="263">
        <f>IFERROR(AE341-N(AE170),0)</f>
        <v>13587</v>
      </c>
      <c r="AF342" s="263">
        <f>IFERROR(AF341-N(AF170),0)</f>
        <v>12986</v>
      </c>
      <c r="AG342" s="263">
        <f>IFERROR(AG341-N(AG170),0)</f>
        <v>12986</v>
      </c>
      <c r="AH342" s="263">
        <f>IFERROR(AH341-N(AH170),0)</f>
        <v>14986</v>
      </c>
      <c r="AI342" s="263">
        <f>IFERROR(AI341-N(AI170),0)</f>
        <v>14217</v>
      </c>
      <c r="AJ342" s="263">
        <f>IFERROR(AJ341-N(AJ170),0)</f>
        <v>12125.5844337647</v>
      </c>
      <c r="AK342" s="263">
        <f>IFERROR(AK341-N(AK170),0)</f>
        <v>12496.7391902738</v>
      </c>
      <c r="AL342" s="263">
        <f>IFERROR(AL341-N(AL170),0)</f>
        <v>12496.7391902738</v>
      </c>
      <c r="AM342" s="263">
        <f>IFERROR(AM341-N(AM170),0)</f>
        <v>12710.5934156566</v>
      </c>
      <c r="AN342" s="263">
        <f>IFERROR(AN341-N(AN170),0)</f>
        <v>13058.8922710072</v>
      </c>
      <c r="AO342" s="263">
        <f>IFERROR(AO341-N(AO170),0)</f>
        <v>13323.3116750514</v>
      </c>
      <c r="AP342" s="263">
        <f>IFERROR(AP341-N(AP170),0)</f>
        <v>13682.2464213519</v>
      </c>
      <c r="AQ342" s="263">
        <f>IFERROR(AQ341-N(AQ170),0)</f>
        <v>13682.2464213519</v>
      </c>
      <c r="AR342" s="263">
        <f>IFERROR(AR341-N(AR170),0)</f>
        <v>13884.2127426664</v>
      </c>
      <c r="AS342" s="263">
        <f>IFERROR(AS341-N(AS170),0)</f>
        <v>14240.8438231985</v>
      </c>
      <c r="AT342" s="263">
        <f>IFERROR(AT341-N(AT170),0)</f>
        <v>14504.3164879801</v>
      </c>
      <c r="AU342" s="263">
        <f>IFERROR(AU341-N(AU170),0)</f>
        <v>14867.4577324337</v>
      </c>
      <c r="AV342" s="263">
        <f>IFERROR(AV341-N(AV170),0)</f>
        <v>14867.4577324337</v>
      </c>
      <c r="AW342" s="263">
        <f>IFERROR(AW341-N(AW170),0)</f>
        <v>15070.4272790992</v>
      </c>
      <c r="AX342" s="263">
        <f>IFERROR(AX341-N(AX170),0)</f>
        <v>15427.2764412126</v>
      </c>
      <c r="AY342" s="263">
        <f>IFERROR(AY341-N(AY170),0)</f>
        <v>15692.9526532868</v>
      </c>
      <c r="AZ342" s="263">
        <f>IFERROR(AZ341-N(AZ170),0)</f>
        <v>16063.616261418</v>
      </c>
      <c r="BA342" s="263">
        <f>IFERROR(BA341-N(BA170),0)</f>
        <v>16063.616261418</v>
      </c>
      <c r="BB342" s="263">
        <f>IFERROR(BB341-N(BB170),0)</f>
        <v>16266.4623895765</v>
      </c>
      <c r="BC342" s="263">
        <f>IFERROR(BC341-N(BC170),0)</f>
        <v>16633.2434067204</v>
      </c>
      <c r="BD342" s="263">
        <f>IFERROR(BD341-N(BD170),0)</f>
        <v>16906.2155979158</v>
      </c>
      <c r="BE342" s="263">
        <f>IFERROR(BE341-N(BE170),0)</f>
        <v>17289.6187900843</v>
      </c>
      <c r="BF342" s="263">
        <f>IFERROR(BF341-N(BF170),0)</f>
        <v>17289.6187900843</v>
      </c>
      <c r="BG342" s="90" t="n"/>
      <c r="BH342" s="90" t="n"/>
      <c r="BI342" s="90" t="n"/>
      <c r="BJ342" s="90" t="n"/>
      <c r="BL342" s="90" t="n"/>
      <c r="BM342" s="90" t="n"/>
      <c r="BN342" s="90" t="n"/>
      <c r="BO342" s="90" t="n"/>
      <c r="BQ342" s="90" t="n"/>
      <c r="BR342" s="90" t="n"/>
      <c r="BS342" s="90" t="n"/>
      <c r="BT342" s="90" t="n"/>
      <c r="BV342" s="90" t="n"/>
      <c r="BW342" s="90" t="n"/>
      <c r="BX342" s="90" t="n"/>
      <c r="BY342" s="90" t="n"/>
      <c r="CA342" s="90" t="n"/>
      <c r="CB342" s="90" t="n"/>
      <c r="CC342" s="90" t="n"/>
      <c r="CD342" s="90" t="n"/>
      <c r="CF342" s="90" t="n"/>
      <c r="CG342" s="90" t="n"/>
      <c r="CH342" s="90" t="n"/>
      <c r="CI342" s="90" t="n"/>
      <c r="CK342" s="90" t="n"/>
      <c r="CL342" s="90" t="n"/>
      <c r="CM342" s="90" t="n"/>
      <c r="CN342" s="90" t="n"/>
      <c r="CP342" s="90" t="n"/>
      <c r="CQ342" s="90" t="n"/>
      <c r="CR342" s="90" t="n"/>
      <c r="CS342" s="90" t="n"/>
      <c r="CU342" s="90" t="n"/>
      <c r="CV342" s="90" t="n"/>
      <c r="CW342" s="90" t="n"/>
      <c r="CX342" s="90" t="n"/>
    </row>
    <row r="343" customFormat="1" s="77">
      <c r="A343" s="76" t="n"/>
      <c r="B343" s="76" t="n"/>
      <c r="C343" s="77" t="inlineStr">
        <is>
          <t>OPERATING WORKING CAPITAL</t>
        </is>
      </c>
      <c r="D343" s="91">
        <f>IFERROR(D344-D345,"")</f>
        <v>0</v>
      </c>
      <c r="E343" s="91">
        <f>IFERROR(E344-E345,"")</f>
        <v>0</v>
      </c>
      <c r="F343" s="91">
        <f>IFERROR(F344-F345,"")</f>
        <v>0</v>
      </c>
      <c r="G343" s="91">
        <f>IFERROR(G344-G345,"")</f>
        <v>0</v>
      </c>
      <c r="H343" s="263">
        <f>IFERROR(H344-H345,0)</f>
        <v>0</v>
      </c>
      <c r="I343" s="263">
        <f>IFERROR(I344-I345,0)</f>
        <v>6483</v>
      </c>
      <c r="J343" s="263">
        <f>IFERROR(J344-J345,0)</f>
        <v>6570</v>
      </c>
      <c r="K343" s="263">
        <f>IFERROR(K344-K345,0)</f>
        <v>6274</v>
      </c>
      <c r="L343" s="263">
        <f>IFERROR(L344-L345,0)</f>
        <v>4510</v>
      </c>
      <c r="M343" s="263">
        <f>IFERROR(M344-M345,0)</f>
        <v>4510</v>
      </c>
      <c r="N343" s="263">
        <f>IFERROR(N344-N345,0)</f>
        <v>5648</v>
      </c>
      <c r="O343" s="263">
        <f>IFERROR(O344-O345,0)</f>
        <v>5399</v>
      </c>
      <c r="P343" s="263">
        <f>IFERROR(P344-P345,0)</f>
        <v>5299</v>
      </c>
      <c r="Q343" s="263">
        <f>IFERROR(Q344-Q345,0)</f>
        <v>6301</v>
      </c>
      <c r="R343" s="263">
        <f>IFERROR(R344-R345,0)</f>
        <v>6301</v>
      </c>
      <c r="S343" s="263">
        <f>IFERROR(S344-S345,0)</f>
        <v>7012</v>
      </c>
      <c r="T343" s="263">
        <f>IFERROR(T344-T345,0)</f>
        <v>7511</v>
      </c>
      <c r="U343" s="263">
        <f>IFERROR(U344-U345,0)</f>
        <v>7619</v>
      </c>
      <c r="V343" s="263">
        <f>IFERROR(V344-V345,0)</f>
        <v>5263</v>
      </c>
      <c r="W343" s="263">
        <f>IFERROR(W344-W345,0)</f>
        <v>5263</v>
      </c>
      <c r="X343" s="263">
        <f>IFERROR(X344-X345,0)</f>
        <v>5661</v>
      </c>
      <c r="Y343" s="263">
        <f>IFERROR(Y344-Y345,0)</f>
        <v>5173</v>
      </c>
      <c r="Z343" s="263">
        <f>IFERROR(Z344-Z345,0)</f>
        <v>5497</v>
      </c>
      <c r="AA343" s="263">
        <f>IFERROR(AA344-AA345,0)</f>
        <v>4146</v>
      </c>
      <c r="AB343" s="263">
        <f>IFERROR(AB344-AB345,0)</f>
        <v>4146</v>
      </c>
      <c r="AC343" s="263">
        <f>IFERROR(AC344-AC345,0)</f>
        <v>5022</v>
      </c>
      <c r="AD343" s="263">
        <f>IFERROR(AD344-AD345,0)</f>
        <v>5529</v>
      </c>
      <c r="AE343" s="263">
        <f>IFERROR(AE344-AE345,0)</f>
        <v>4574</v>
      </c>
      <c r="AF343" s="263">
        <f>IFERROR(AF344-AF345,0)</f>
        <v>2049</v>
      </c>
      <c r="AG343" s="263">
        <f>IFERROR(AG344-AG345,0)</f>
        <v>2049</v>
      </c>
      <c r="AH343" s="263">
        <f>IFERROR(AH344-AH345,0)</f>
        <v>4066</v>
      </c>
      <c r="AI343" s="263">
        <f>IFERROR(AI344-AI345,0)</f>
        <v>3215</v>
      </c>
      <c r="AJ343" s="263">
        <f>IFERROR(AJ344-AJ345,0)</f>
        <v>661.290265270905</v>
      </c>
      <c r="AK343" s="263">
        <f>IFERROR(AK344-AK345,0)</f>
        <v>527.620485374868</v>
      </c>
      <c r="AL343" s="263">
        <f>IFERROR(AL344-AL345,0)</f>
        <v>527.620485374868</v>
      </c>
      <c r="AM343" s="263">
        <f>IFERROR(AM344-AM345,0)</f>
        <v>293.787934980959</v>
      </c>
      <c r="AN343" s="263">
        <f>IFERROR(AN344-AN345,0)</f>
        <v>143.67162011869</v>
      </c>
      <c r="AO343" s="263">
        <f>IFERROR(AO344-AO345,0)</f>
        <v>-79.9403164008763</v>
      </c>
      <c r="AP343" s="263">
        <f>IFERROR(AP344-AP345,0)</f>
        <v>-253.935059680491</v>
      </c>
      <c r="AQ343" s="263">
        <f>IFERROR(AQ344-AQ345,0)</f>
        <v>-253.935059680491</v>
      </c>
      <c r="AR343" s="263">
        <f>IFERROR(AR344-AR345,0)</f>
        <v>-522.341019103667</v>
      </c>
      <c r="AS343" s="263">
        <f>IFERROR(AS344-AS345,0)</f>
        <v>-689.381159282966</v>
      </c>
      <c r="AT343" s="263">
        <f>IFERROR(AT344-AT345,0)</f>
        <v>-938.669708710157</v>
      </c>
      <c r="AU343" s="263">
        <f>IFERROR(AU344-AU345,0)</f>
        <v>-1135.46293864728</v>
      </c>
      <c r="AV343" s="263">
        <f>IFERROR(AV344-AV345,0)</f>
        <v>-1135.46293864728</v>
      </c>
      <c r="AW343" s="263">
        <f>IFERROR(AW344-AW345,0)</f>
        <v>-1424.34885243281</v>
      </c>
      <c r="AX343" s="263">
        <f>IFERROR(AX344-AX345,0)</f>
        <v>-1615.0883981065</v>
      </c>
      <c r="AY343" s="263">
        <f>IFERROR(AY344-AY345,0)</f>
        <v>-1885.59259768536</v>
      </c>
      <c r="AZ343" s="263">
        <f>IFERROR(AZ344-AZ345,0)</f>
        <v>-2100.43719231636</v>
      </c>
      <c r="BA343" s="263">
        <f>IFERROR(BA344-BA345,0)</f>
        <v>-2100.43719231636</v>
      </c>
      <c r="BB343" s="263">
        <f>IFERROR(BB344-BB345,0)</f>
        <v>-2409.45162219142</v>
      </c>
      <c r="BC343" s="263">
        <f>IFERROR(BC344-BC345,0)</f>
        <v>-2612.53123297195</v>
      </c>
      <c r="BD343" s="263">
        <f>IFERROR(BD344-BD345,0)</f>
        <v>-2897.54736717555</v>
      </c>
      <c r="BE343" s="263">
        <f>IFERROR(BE344-BE345,0)</f>
        <v>-3123.46658676639</v>
      </c>
      <c r="BF343" s="263">
        <f>IFERROR(BF344-BF345,0)</f>
        <v>-3123.46658676639</v>
      </c>
      <c r="BG343" s="63" t="n"/>
      <c r="BH343" s="63" t="n"/>
      <c r="BI343" s="63" t="n"/>
      <c r="BJ343" s="63" t="n"/>
      <c r="BL343" s="63" t="n"/>
      <c r="BM343" s="63" t="n"/>
      <c r="BN343" s="63" t="n"/>
      <c r="BO343" s="63" t="n"/>
      <c r="BQ343" s="63" t="n"/>
      <c r="BR343" s="63" t="n"/>
      <c r="BS343" s="63" t="n"/>
      <c r="BT343" s="63" t="n"/>
      <c r="BV343" s="63" t="n"/>
      <c r="BW343" s="63" t="n"/>
      <c r="BX343" s="63" t="n"/>
      <c r="BY343" s="63" t="n"/>
      <c r="CA343" s="63" t="n"/>
      <c r="CB343" s="63" t="n"/>
      <c r="CC343" s="63" t="n"/>
      <c r="CD343" s="63" t="n"/>
      <c r="CF343" s="63" t="n"/>
      <c r="CG343" s="63" t="n"/>
      <c r="CH343" s="63" t="n"/>
      <c r="CI343" s="63" t="n"/>
      <c r="CK343" s="63" t="n"/>
      <c r="CL343" s="63" t="n"/>
      <c r="CM343" s="63" t="n"/>
      <c r="CN343" s="63" t="n"/>
      <c r="CP343" s="63" t="n"/>
      <c r="CQ343" s="63" t="n"/>
      <c r="CR343" s="63" t="n"/>
      <c r="CS343" s="63" t="n"/>
      <c r="CU343" s="63" t="n"/>
      <c r="CV343" s="63" t="n"/>
      <c r="CW343" s="63" t="n"/>
      <c r="CX343" s="63" t="n"/>
    </row>
    <row r="344" customFormat="1" s="77">
      <c r="A344" s="76" t="n"/>
      <c r="B344" s="76" t="n"/>
      <c r="C344" s="77" t="inlineStr">
        <is>
          <t>CURRENT ASSETS (OPERATING, EX CASH)</t>
        </is>
      </c>
      <c r="D344" s="89">
        <f>IFERROR(D136+D140+D144+D145+D146,"")</f>
        <v>0</v>
      </c>
      <c r="E344" s="89">
        <f>IFERROR(E136+E140+E144+E145+E146,"")</f>
        <v>0</v>
      </c>
      <c r="F344" s="89">
        <f>IFERROR(F136+F140+F144+F145+F146,"")</f>
        <v>0</v>
      </c>
      <c r="G344" s="89">
        <f>IFERROR(G136+G140+G144+G145+G146,"")</f>
        <v>0</v>
      </c>
      <c r="H344" s="263">
        <f>IFERROR((N(H136)+N(H140)+N(H144)+N(H145)+N(H146)),0)</f>
        <v>0</v>
      </c>
      <c r="I344" s="263">
        <f>IFERROR((N(I136)+N(I140)+N(I144)+N(I145)+N(I146)),0)</f>
        <v>20694</v>
      </c>
      <c r="J344" s="263">
        <f>IFERROR((N(J136)+N(J140)+N(J144)+N(J145)+N(J146)),0)</f>
        <v>21306</v>
      </c>
      <c r="K344" s="263">
        <f>IFERROR((N(K136)+N(K140)+N(K144)+N(K145)+N(K146)),0)</f>
        <v>21294</v>
      </c>
      <c r="L344" s="263">
        <f>IFERROR((N(L136)+N(L140)+N(L144)+N(L145)+N(L146)),0)</f>
        <v>18501</v>
      </c>
      <c r="M344" s="263">
        <f>IFERROR((N(M136)+N(M140)+N(M144)+N(M145)+N(M146)),0)</f>
        <v>18501</v>
      </c>
      <c r="N344" s="263">
        <f>IFERROR((N(N136)+N(N140)+N(N144)+N(N145)+N(N146)),0)</f>
        <v>21195</v>
      </c>
      <c r="O344" s="263">
        <f>IFERROR((N(O136)+N(O140)+N(O144)+N(O145)+N(O146)),0)</f>
        <v>21878</v>
      </c>
      <c r="P344" s="263">
        <f>IFERROR((N(P136)+N(P140)+N(P144)+N(P145)+N(P146)),0)</f>
        <v>21646</v>
      </c>
      <c r="Q344" s="263">
        <f>IFERROR((N(Q136)+N(Q140)+N(Q144)+N(Q145)+N(Q146)),0)</f>
        <v>22188</v>
      </c>
      <c r="R344" s="263">
        <f>IFERROR((N(R136)+N(R140)+N(R144)+N(R145)+N(R146)),0)</f>
        <v>22188</v>
      </c>
      <c r="S344" s="263">
        <f>IFERROR((N(S136)+N(S140)+N(S144)+N(S145)+N(S146)),0)</f>
        <v>23879</v>
      </c>
      <c r="T344" s="263">
        <f>IFERROR((N(T136)+N(T140)+N(T144)+N(T145)+N(T146)),0)</f>
        <v>24932</v>
      </c>
      <c r="U344" s="263">
        <f>IFERROR((N(U136)+N(U140)+N(U144)+N(U145)+N(U146)),0)</f>
        <v>24644</v>
      </c>
      <c r="V344" s="263">
        <f>IFERROR((N(V136)+N(V140)+N(V144)+N(V145)+N(V146)),0)</f>
        <v>22032</v>
      </c>
      <c r="W344" s="263">
        <f>IFERROR((N(W136)+N(W140)+N(W144)+N(W145)+N(W146)),0)</f>
        <v>22032</v>
      </c>
      <c r="X344" s="263">
        <f>IFERROR((N(X136)+N(X140)+N(X144)+N(X145)+N(X146)),0)</f>
        <v>23192</v>
      </c>
      <c r="Y344" s="263">
        <f>IFERROR((N(Y136)+N(Y140)+N(Y144)+N(Y145)+N(Y146)),0)</f>
        <v>23524</v>
      </c>
      <c r="Z344" s="263">
        <f>IFERROR((N(Z136)+N(Z140)+N(Z144)+N(Z145)+N(Z146)),0)</f>
        <v>23165</v>
      </c>
      <c r="AA344" s="263">
        <f>IFERROR((N(AA136)+N(AA140)+N(AA144)+N(AA145)+N(AA146)),0)</f>
        <v>22923</v>
      </c>
      <c r="AB344" s="263">
        <f>IFERROR((N(AB136)+N(AB140)+N(AB144)+N(AB145)+N(AB146)),0)</f>
        <v>22923</v>
      </c>
      <c r="AC344" s="263">
        <f>IFERROR((N(AC136)+N(AC140)+N(AC144)+N(AC145)+N(AC146)),0)</f>
        <v>24566</v>
      </c>
      <c r="AD344" s="263">
        <f>IFERROR((N(AD136)+N(AD140)+N(AD144)+N(AD145)+N(AD146)),0)</f>
        <v>26765</v>
      </c>
      <c r="AE344" s="263">
        <f>IFERROR((N(AE136)+N(AE140)+N(AE144)+N(AE145)+N(AE146)),0)</f>
        <v>25879</v>
      </c>
      <c r="AF344" s="263">
        <f>IFERROR((N(AF136)+N(AF140)+N(AF144)+N(AF145)+N(AF146)),0)</f>
        <v>24216</v>
      </c>
      <c r="AG344" s="263">
        <f>IFERROR((N(AG136)+N(AG140)+N(AG144)+N(AG145)+N(AG146)),0)</f>
        <v>24216</v>
      </c>
      <c r="AH344" s="263">
        <f>IFERROR((N(AH136)+N(AH140)+N(AH144)+N(AH145)+N(AH146)),0)</f>
        <v>25988</v>
      </c>
      <c r="AI344" s="263">
        <f>IFERROR((N(AI136)+N(AI140)+N(AI144)+N(AI145)+N(AI146)),0)</f>
        <v>27024</v>
      </c>
      <c r="AJ344" s="263">
        <f>IFERROR((N(AJ136)+N(AJ140)+N(AJ144)+N(AJ145)+N(AJ146)),0)</f>
        <v>23953.8292394617</v>
      </c>
      <c r="AK344" s="263">
        <f>IFERROR((N(AK136)+N(AK140)+N(AK144)+N(AK145)+N(AK146)),0)</f>
        <v>24385.9304624161</v>
      </c>
      <c r="AL344" s="263">
        <f>IFERROR((N(AL136)+N(AL140)+N(AL144)+N(AL145)+N(AL146)),0)</f>
        <v>24385.9304624161</v>
      </c>
      <c r="AM344" s="263">
        <f>IFERROR((N(AM136)+N(AM140)+N(AM144)+N(AM145)+N(AM146)),0)</f>
        <v>23906.4966561217</v>
      </c>
      <c r="AN344" s="263">
        <f>IFERROR((N(AN136)+N(AN140)+N(AN144)+N(AN145)+N(AN146)),0)</f>
        <v>24376.4586944409</v>
      </c>
      <c r="AO344" s="263">
        <f>IFERROR((N(AO136)+N(AO140)+N(AO144)+N(AO145)+N(AO146)),0)</f>
        <v>24215.3144810189</v>
      </c>
      <c r="AP344" s="263">
        <f>IFERROR((N(AP136)+N(AP140)+N(AP144)+N(AP145)+N(AP146)),0)</f>
        <v>24671.4719527532</v>
      </c>
      <c r="AQ344" s="263">
        <f>IFERROR((N(AQ136)+N(AQ140)+N(AQ144)+N(AQ145)+N(AQ146)),0)</f>
        <v>24671.4719527532</v>
      </c>
      <c r="AR344" s="263">
        <f>IFERROR((N(AR136)+N(AR140)+N(AR144)+N(AR145)+N(AR146)),0)</f>
        <v>24088.4168712359</v>
      </c>
      <c r="AS344" s="263">
        <f>IFERROR((N(AS136)+N(AS140)+N(AS144)+N(AS145)+N(AS146)),0)</f>
        <v>24635.8755722549</v>
      </c>
      <c r="AT344" s="263">
        <f>IFERROR((N(AT136)+N(AT140)+N(AT144)+N(AT145)+N(AT146)),0)</f>
        <v>24466.5657438296</v>
      </c>
      <c r="AU344" s="263">
        <f>IFERROR((N(AU136)+N(AU140)+N(AU144)+N(AU145)+N(AU146)),0)</f>
        <v>24945.8379536978</v>
      </c>
      <c r="AV344" s="263">
        <f>IFERROR((N(AV136)+N(AV140)+N(AV144)+N(AV145)+N(AV146)),0)</f>
        <v>24945.8379536978</v>
      </c>
      <c r="AW344" s="263">
        <f>IFERROR((N(AW136)+N(AW140)+N(AW144)+N(AW145)+N(AW146)),0)</f>
        <v>24365.2150342619</v>
      </c>
      <c r="AX344" s="263">
        <f>IFERROR((N(AX136)+N(AX140)+N(AX144)+N(AX145)+N(AX146)),0)</f>
        <v>24881.5434300494</v>
      </c>
      <c r="AY344" s="263">
        <f>IFERROR((N(AY136)+N(AY140)+N(AY144)+N(AY145)+N(AY146)),0)</f>
        <v>24704.5007618709</v>
      </c>
      <c r="AZ344" s="263">
        <f>IFERROR((N(AZ136)+N(AZ140)+N(AZ144)+N(AZ145)+N(AZ146)),0)</f>
        <v>25205.6626353904</v>
      </c>
      <c r="BA344" s="263">
        <f>IFERROR((N(BA136)+N(BA140)+N(BA144)+N(BA145)+N(BA146)),0)</f>
        <v>25205.6626353904</v>
      </c>
      <c r="BB344" s="263">
        <f>IFERROR((N(BB136)+N(BB140)+N(BB144)+N(BB145)+N(BB146)),0)</f>
        <v>24572.9800149314</v>
      </c>
      <c r="BC344" s="263">
        <f>IFERROR((N(BC136)+N(BC140)+N(BC144)+N(BC145)+N(BC146)),0)</f>
        <v>25110.3088890563</v>
      </c>
      <c r="BD344" s="263">
        <f>IFERROR((N(BD136)+N(BD140)+N(BD144)+N(BD145)+N(BD146)),0)</f>
        <v>24926.0654146695</v>
      </c>
      <c r="BE344" s="263">
        <f>IFERROR((N(BE136)+N(BE140)+N(BE144)+N(BE145)+N(BE146)),0)</f>
        <v>25447.6109028696</v>
      </c>
      <c r="BF344" s="263">
        <f>IFERROR((N(BF136)+N(BF140)+N(BF144)+N(BF145)+N(BF146)),0)</f>
        <v>25447.6109028696</v>
      </c>
      <c r="BG344" s="90" t="n"/>
      <c r="BH344" s="90" t="n"/>
      <c r="BI344" s="90" t="n"/>
      <c r="BJ344" s="90" t="n"/>
      <c r="BL344" s="90" t="n"/>
      <c r="BM344" s="90" t="n"/>
      <c r="BN344" s="90" t="n"/>
      <c r="BO344" s="90" t="n"/>
      <c r="BQ344" s="90" t="n"/>
      <c r="BR344" s="90" t="n"/>
      <c r="BS344" s="90" t="n"/>
      <c r="BT344" s="90" t="n"/>
      <c r="BV344" s="90" t="n"/>
      <c r="BW344" s="90" t="n"/>
      <c r="BX344" s="90" t="n"/>
      <c r="BY344" s="90" t="n"/>
      <c r="CA344" s="90" t="n"/>
      <c r="CB344" s="90" t="n"/>
      <c r="CC344" s="90" t="n"/>
      <c r="CD344" s="90" t="n"/>
      <c r="CF344" s="90" t="n"/>
      <c r="CG344" s="90" t="n"/>
      <c r="CH344" s="90" t="n"/>
      <c r="CI344" s="90" t="n"/>
      <c r="CK344" s="90" t="n"/>
      <c r="CL344" s="90" t="n"/>
      <c r="CM344" s="90" t="n"/>
      <c r="CN344" s="90" t="n"/>
      <c r="CP344" s="90" t="n"/>
      <c r="CQ344" s="90" t="n"/>
      <c r="CR344" s="90" t="n"/>
      <c r="CS344" s="90" t="n"/>
      <c r="CU344" s="90" t="n"/>
      <c r="CV344" s="90" t="n"/>
      <c r="CW344" s="90" t="n"/>
      <c r="CX344" s="90" t="n"/>
    </row>
    <row r="345" customFormat="1" s="77">
      <c r="A345" s="76" t="n"/>
      <c r="B345" s="76" t="n"/>
      <c r="C345" s="77" t="inlineStr">
        <is>
          <t>CURRENT LIABILITIES (OPERATING, EX DEBT)</t>
        </is>
      </c>
      <c r="D345" s="89">
        <f>IFERROR(D189+D193+D195+D196,"")</f>
        <v>0</v>
      </c>
      <c r="E345" s="89">
        <f>IFERROR(E189+E193+E195+E196,"")</f>
        <v>0</v>
      </c>
      <c r="F345" s="89">
        <f>IFERROR(F189+F193+F195+F196,"")</f>
        <v>0</v>
      </c>
      <c r="G345" s="89">
        <f>IFERROR(G189+G193+G195+G196,"")</f>
        <v>0</v>
      </c>
      <c r="H345" s="263">
        <f>IFERROR((N(H189)+N(H193)+N(H195)+N(H196)),0)</f>
        <v>0</v>
      </c>
      <c r="I345" s="263">
        <f>IFERROR((N(I189)+N(I193)+N(I195)+N(I196)),0)</f>
        <v>14211</v>
      </c>
      <c r="J345" s="263">
        <f>IFERROR((N(J189)+N(J193)+N(J195)+N(J196)),0)</f>
        <v>14736</v>
      </c>
      <c r="K345" s="263">
        <f>IFERROR((N(K189)+N(K193)+N(K195)+N(K196)),0)</f>
        <v>15020</v>
      </c>
      <c r="L345" s="263">
        <f>IFERROR((N(L189)+N(L193)+N(L195)+N(L196)),0)</f>
        <v>13991</v>
      </c>
      <c r="M345" s="263">
        <f>IFERROR((N(M189)+N(M193)+N(M195)+N(M196)),0)</f>
        <v>13991</v>
      </c>
      <c r="N345" s="263">
        <f>IFERROR((N(N189)+N(N193)+N(N195)+N(N196)),0)</f>
        <v>15547</v>
      </c>
      <c r="O345" s="263">
        <f>IFERROR((N(O189)+N(O193)+N(O195)+N(O196)),0)</f>
        <v>16479</v>
      </c>
      <c r="P345" s="263">
        <f>IFERROR((N(P189)+N(P193)+N(P195)+N(P196)),0)</f>
        <v>16347</v>
      </c>
      <c r="Q345" s="263">
        <f>IFERROR((N(Q189)+N(Q193)+N(Q195)+N(Q196)),0)</f>
        <v>15887</v>
      </c>
      <c r="R345" s="263">
        <f>IFERROR((N(R189)+N(R193)+N(R195)+N(R196)),0)</f>
        <v>15887</v>
      </c>
      <c r="S345" s="263">
        <f>IFERROR((N(S189)+N(S193)+N(S195)+N(S196)),0)</f>
        <v>16867</v>
      </c>
      <c r="T345" s="263">
        <f>IFERROR((N(T189)+N(T193)+N(T195)+N(T196)),0)</f>
        <v>17421</v>
      </c>
      <c r="U345" s="263">
        <f>IFERROR((N(U189)+N(U193)+N(U195)+N(U196)),0)</f>
        <v>17025</v>
      </c>
      <c r="V345" s="263">
        <f>IFERROR((N(V189)+N(V193)+N(V195)+N(V196)),0)</f>
        <v>16769</v>
      </c>
      <c r="W345" s="263">
        <f>IFERROR((N(W189)+N(W193)+N(W195)+N(W196)),0)</f>
        <v>16769</v>
      </c>
      <c r="X345" s="263">
        <f>IFERROR((N(X189)+N(X193)+N(X195)+N(X196)),0)</f>
        <v>17531</v>
      </c>
      <c r="Y345" s="263">
        <f>IFERROR((N(Y189)+N(Y193)+N(Y195)+N(Y196)),0)</f>
        <v>18351</v>
      </c>
      <c r="Z345" s="263">
        <f>IFERROR((N(Z189)+N(Z193)+N(Z195)+N(Z196)),0)</f>
        <v>17668</v>
      </c>
      <c r="AA345" s="263">
        <f>IFERROR((N(AA189)+N(AA193)+N(AA195)+N(AA196)),0)</f>
        <v>18777</v>
      </c>
      <c r="AB345" s="263">
        <f>IFERROR((N(AB189)+N(AB193)+N(AB195)+N(AB196)),0)</f>
        <v>18777</v>
      </c>
      <c r="AC345" s="263">
        <f>IFERROR((N(AC189)+N(AC193)+N(AC195)+N(AC196)),0)</f>
        <v>19544</v>
      </c>
      <c r="AD345" s="263">
        <f>IFERROR((N(AD189)+N(AD193)+N(AD195)+N(AD196)),0)</f>
        <v>21236</v>
      </c>
      <c r="AE345" s="263">
        <f>IFERROR((N(AE189)+N(AE193)+N(AE195)+N(AE196)),0)</f>
        <v>21305</v>
      </c>
      <c r="AF345" s="263">
        <f>IFERROR((N(AF189)+N(AF193)+N(AF195)+N(AF196)),0)</f>
        <v>22167</v>
      </c>
      <c r="AG345" s="263">
        <f>IFERROR((N(AG189)+N(AG193)+N(AG195)+N(AG196)),0)</f>
        <v>22167</v>
      </c>
      <c r="AH345" s="263">
        <f>IFERROR((N(AH189)+N(AH193)+N(AH195)+N(AH196)),0)</f>
        <v>21922</v>
      </c>
      <c r="AI345" s="263">
        <f>IFERROR((N(AI189)+N(AI193)+N(AI195)+N(AI196)),0)</f>
        <v>23809</v>
      </c>
      <c r="AJ345" s="263">
        <f>IFERROR((N(AJ189)+N(AJ193)+N(AJ195)+N(AJ196)),0)</f>
        <v>23292.5389741908</v>
      </c>
      <c r="AK345" s="263">
        <f>IFERROR((N(AK189)+N(AK193)+N(AK195)+N(AK196)),0)</f>
        <v>23858.3099770412</v>
      </c>
      <c r="AL345" s="263">
        <f>IFERROR((N(AL189)+N(AL193)+N(AL195)+N(AL196)),0)</f>
        <v>23858.3099770412</v>
      </c>
      <c r="AM345" s="263">
        <f>IFERROR((N(AM189)+N(AM193)+N(AM195)+N(AM196)),0)</f>
        <v>23612.7087211407</v>
      </c>
      <c r="AN345" s="263">
        <f>IFERROR((N(AN189)+N(AN193)+N(AN195)+N(AN196)),0)</f>
        <v>24232.7870743222</v>
      </c>
      <c r="AO345" s="263">
        <f>IFERROR((N(AO189)+N(AO193)+N(AO195)+N(AO196)),0)</f>
        <v>24295.2547974197</v>
      </c>
      <c r="AP345" s="263">
        <f>IFERROR((N(AP189)+N(AP193)+N(AP195)+N(AP196)),0)</f>
        <v>24925.4070124337</v>
      </c>
      <c r="AQ345" s="263">
        <f>IFERROR((N(AQ189)+N(AQ193)+N(AQ195)+N(AQ196)),0)</f>
        <v>24925.4070124337</v>
      </c>
      <c r="AR345" s="263">
        <f>IFERROR((N(AR189)+N(AR193)+N(AR195)+N(AR196)),0)</f>
        <v>24610.7578903395</v>
      </c>
      <c r="AS345" s="263">
        <f>IFERROR((N(AS189)+N(AS193)+N(AS195)+N(AS196)),0)</f>
        <v>25325.2567315378</v>
      </c>
      <c r="AT345" s="263">
        <f>IFERROR((N(AT189)+N(AT193)+N(AT195)+N(AT196)),0)</f>
        <v>25405.2354525398</v>
      </c>
      <c r="AU345" s="263">
        <f>IFERROR((N(AU189)+N(AU193)+N(AU195)+N(AU196)),0)</f>
        <v>26081.3008923451</v>
      </c>
      <c r="AV345" s="263">
        <f>IFERROR((N(AV189)+N(AV193)+N(AV195)+N(AV196)),0)</f>
        <v>26081.3008923451</v>
      </c>
      <c r="AW345" s="263">
        <f>IFERROR((N(AW189)+N(AW193)+N(AW195)+N(AW196)),0)</f>
        <v>25789.5638866947</v>
      </c>
      <c r="AX345" s="263">
        <f>IFERROR((N(AX189)+N(AX193)+N(AX195)+N(AX196)),0)</f>
        <v>26496.6318281559</v>
      </c>
      <c r="AY345" s="263">
        <f>IFERROR((N(AY189)+N(AY193)+N(AY195)+N(AY196)),0)</f>
        <v>26590.0933595563</v>
      </c>
      <c r="AZ345" s="263">
        <f>IFERROR((N(AZ189)+N(AZ193)+N(AZ195)+N(AZ196)),0)</f>
        <v>27306.0998277067</v>
      </c>
      <c r="BA345" s="263">
        <f>IFERROR((N(BA189)+N(BA193)+N(BA195)+N(BA196)),0)</f>
        <v>27306.0998277067</v>
      </c>
      <c r="BB345" s="263">
        <f>IFERROR((N(BB189)+N(BB193)+N(BB195)+N(BB196)),0)</f>
        <v>26982.4316371228</v>
      </c>
      <c r="BC345" s="263">
        <f>IFERROR((N(BC189)+N(BC193)+N(BC195)+N(BC196)),0)</f>
        <v>27722.8401220282</v>
      </c>
      <c r="BD345" s="263">
        <f>IFERROR((N(BD189)+N(BD193)+N(BD195)+N(BD196)),0)</f>
        <v>27823.6127818451</v>
      </c>
      <c r="BE345" s="263">
        <f>IFERROR((N(BE189)+N(BE193)+N(BE195)+N(BE196)),0)</f>
        <v>28571.0774896359</v>
      </c>
      <c r="BF345" s="263">
        <f>IFERROR((N(BF189)+N(BF193)+N(BF195)+N(BF196)),0)</f>
        <v>28571.0774896359</v>
      </c>
      <c r="BG345" s="90" t="n"/>
      <c r="BH345" s="90" t="n"/>
      <c r="BI345" s="90" t="n"/>
      <c r="BJ345" s="90" t="n"/>
      <c r="BL345" s="90" t="n"/>
      <c r="BM345" s="90" t="n"/>
      <c r="BN345" s="90" t="n"/>
      <c r="BO345" s="90" t="n"/>
      <c r="BQ345" s="90" t="n"/>
      <c r="BR345" s="90" t="n"/>
      <c r="BS345" s="90" t="n"/>
      <c r="BT345" s="90" t="n"/>
      <c r="BV345" s="90" t="n"/>
      <c r="BW345" s="90" t="n"/>
      <c r="BX345" s="90" t="n"/>
      <c r="BY345" s="90" t="n"/>
      <c r="CA345" s="90" t="n"/>
      <c r="CB345" s="90" t="n"/>
      <c r="CC345" s="90" t="n"/>
      <c r="CD345" s="90" t="n"/>
      <c r="CF345" s="90" t="n"/>
      <c r="CG345" s="90" t="n"/>
      <c r="CH345" s="90" t="n"/>
      <c r="CI345" s="90" t="n"/>
      <c r="CK345" s="90" t="n"/>
      <c r="CL345" s="90" t="n"/>
      <c r="CM345" s="90" t="n"/>
      <c r="CN345" s="90" t="n"/>
      <c r="CP345" s="90" t="n"/>
      <c r="CQ345" s="90" t="n"/>
      <c r="CR345" s="90" t="n"/>
      <c r="CS345" s="90" t="n"/>
      <c r="CU345" s="90" t="n"/>
      <c r="CV345" s="90" t="n"/>
      <c r="CW345" s="90" t="n"/>
      <c r="CX345" s="90" t="n"/>
    </row>
    <row r="346" customFormat="1" s="77">
      <c r="A346" s="76" t="n"/>
      <c r="B346" s="76" t="n"/>
      <c r="C346" s="77" t="inlineStr">
        <is>
          <t>FIXED ASSETS</t>
        </is>
      </c>
      <c r="D346" s="89">
        <f>IFERROR(D157+D167+D170+D171+D180-D231,"")</f>
        <v>0</v>
      </c>
      <c r="E346" s="89">
        <f>IFERROR(E157+E167+E170+E171+E180-E231,"")</f>
        <v>0</v>
      </c>
      <c r="F346" s="89">
        <f>IFERROR(F157+F167+F170+F171+F180-F231,"")</f>
        <v>0</v>
      </c>
      <c r="G346" s="89">
        <f>IFERROR(G157+G167+G170+G171+G180-G231,"")</f>
        <v>0</v>
      </c>
      <c r="H346" s="263">
        <f>IFERROR((N(H157)+N(H167)+N(H170)+N(H171)+N(H180))-N(H231),0)</f>
        <v>0</v>
      </c>
      <c r="I346" s="263">
        <f>IFERROR((N(I157)+N(I167)+N(I170)+N(I171)+N(I180))-N(I231),0)</f>
        <v>9080</v>
      </c>
      <c r="J346" s="263">
        <f>IFERROR((N(J157)+N(J167)+N(J170)+N(J171)+N(J180))-N(J231),0)</f>
        <v>9386</v>
      </c>
      <c r="K346" s="263">
        <f>IFERROR((N(K157)+N(K167)+N(K170)+N(K171)+N(K180))-N(K231),0)</f>
        <v>12304</v>
      </c>
      <c r="L346" s="263">
        <f>IFERROR((N(L157)+N(L167)+N(L170)+N(L171)+N(L180))-N(L231),0)</f>
        <v>14521</v>
      </c>
      <c r="M346" s="263">
        <f>IFERROR((N(M157)+N(M167)+N(M170)+N(M171)+N(M180))-N(M231),0)</f>
        <v>14521</v>
      </c>
      <c r="N346" s="263">
        <f>IFERROR((N(N157)+N(N167)+N(N170)+N(N171)+N(N180))-N(N231),0)</f>
        <v>14116</v>
      </c>
      <c r="O346" s="263">
        <f>IFERROR((N(O157)+N(O167)+N(O170)+N(O171)+N(O180))-N(O231),0)</f>
        <v>15902</v>
      </c>
      <c r="P346" s="263">
        <f>IFERROR((N(P157)+N(P167)+N(P170)+N(P171)+N(P180))-N(P231),0)</f>
        <v>15717</v>
      </c>
      <c r="Q346" s="263">
        <f>IFERROR((N(Q157)+N(Q167)+N(Q170)+N(Q171)+N(Q180))-N(Q231),0)</f>
        <v>15847</v>
      </c>
      <c r="R346" s="263">
        <f>IFERROR((N(R157)+N(R167)+N(R170)+N(R171)+N(R180))-N(R231),0)</f>
        <v>15847</v>
      </c>
      <c r="S346" s="263">
        <f>IFERROR((N(S157)+N(S167)+N(S170)+N(S171)+N(S180))-N(S231),0)</f>
        <v>15794</v>
      </c>
      <c r="T346" s="263">
        <f>IFERROR((N(T157)+N(T167)+N(T170)+N(T171)+N(T180))-N(T231),0)</f>
        <v>15601</v>
      </c>
      <c r="U346" s="263">
        <f>IFERROR((N(U157)+N(U167)+N(U170)+N(U171)+N(U180))-N(U231),0)</f>
        <v>15493</v>
      </c>
      <c r="V346" s="263">
        <f>IFERROR((N(V157)+N(V167)+N(V170)+N(V171)+N(V180))-N(V231),0)</f>
        <v>17589</v>
      </c>
      <c r="W346" s="263">
        <f>IFERROR((N(W157)+N(W167)+N(W170)+N(W171)+N(W180))-N(W231),0)</f>
        <v>17589</v>
      </c>
      <c r="X346" s="263">
        <f>IFERROR((N(X157)+N(X167)+N(X170)+N(X171)+N(X180))-N(X231),0)</f>
        <v>17617</v>
      </c>
      <c r="Y346" s="263">
        <f>IFERROR((N(Y157)+N(Y167)+N(Y170)+N(Y171)+N(Y180))-N(Y231),0)</f>
        <v>17736</v>
      </c>
      <c r="Z346" s="263">
        <f>IFERROR((N(Z157)+N(Z167)+N(Z170)+N(Z171)+N(Z180))-N(Z231),0)</f>
        <v>17873</v>
      </c>
      <c r="AA346" s="263">
        <f>IFERROR((N(AA157)+N(AA167)+N(AA170)+N(AA171)+N(AA180))-N(AA231),0)</f>
        <v>19974</v>
      </c>
      <c r="AB346" s="263">
        <f>IFERROR((N(AB157)+N(AB167)+N(AB170)+N(AB171)+N(AB180))-N(AB231),0)</f>
        <v>19974</v>
      </c>
      <c r="AC346" s="263">
        <f>IFERROR((N(AC157)+N(AC167)+N(AC170)+N(AC171)+N(AC180))-N(AC231),0)</f>
        <v>20162</v>
      </c>
      <c r="AD346" s="263">
        <f>IFERROR((N(AD157)+N(AD167)+N(AD170)+N(AD171)+N(AD180))-N(AD231),0)</f>
        <v>20150</v>
      </c>
      <c r="AE346" s="263">
        <f>IFERROR((N(AE157)+N(AE167)+N(AE170)+N(AE171)+N(AE180))-N(AE231),0)</f>
        <v>20326</v>
      </c>
      <c r="AF346" s="263">
        <f>IFERROR((N(AF157)+N(AF167)+N(AF170)+N(AF171)+N(AF180))-N(AF231),0)</f>
        <v>22251</v>
      </c>
      <c r="AG346" s="263">
        <f>IFERROR((N(AG157)+N(AG167)+N(AG170)+N(AG171)+N(AG180))-N(AG231),0)</f>
        <v>22251</v>
      </c>
      <c r="AH346" s="263">
        <f>IFERROR((N(AH157)+N(AH167)+N(AH170)+N(AH171)+N(AH180))-N(AH231),0)</f>
        <v>22226</v>
      </c>
      <c r="AI346" s="263">
        <f>IFERROR((N(AI157)+N(AI167)+N(AI170)+N(AI171)+N(AI180))-N(AI231),0)</f>
        <v>22300</v>
      </c>
      <c r="AJ346" s="263">
        <f>IFERROR((N(AJ157)+N(AJ167)+N(AJ170)+N(AJ171)+N(AJ180))-N(AJ231),0)</f>
        <v>22762.2941684938</v>
      </c>
      <c r="AK346" s="263">
        <f>IFERROR((N(AK157)+N(AK167)+N(AK170)+N(AK171)+N(AK180))-N(AK231),0)</f>
        <v>23267.118704899</v>
      </c>
      <c r="AL346" s="263">
        <f>IFERROR((N(AL157)+N(AL167)+N(AL170)+N(AL171)+N(AL180))-N(AL231),0)</f>
        <v>23267.118704899</v>
      </c>
      <c r="AM346" s="263">
        <f>IFERROR((N(AM157)+N(AM167)+N(AM170)+N(AM171)+N(AM180))-N(AM231),0)</f>
        <v>23714.8054806756</v>
      </c>
      <c r="AN346" s="263">
        <f>IFERROR((N(AN157)+N(AN167)+N(AN170)+N(AN171)+N(AN180))-N(AN231),0)</f>
        <v>24213.2206508885</v>
      </c>
      <c r="AO346" s="263">
        <f>IFERROR((N(AO157)+N(AO167)+N(AO170)+N(AO171)+N(AO180))-N(AO231),0)</f>
        <v>24701.2519914523</v>
      </c>
      <c r="AP346" s="263">
        <f>IFERROR((N(AP157)+N(AP167)+N(AP170)+N(AP171)+N(AP180))-N(AP231),0)</f>
        <v>25234.1814810324</v>
      </c>
      <c r="AQ346" s="263">
        <f>IFERROR((N(AQ157)+N(AQ167)+N(AQ170)+N(AQ171)+N(AQ180))-N(AQ231),0)</f>
        <v>25234.1814810324</v>
      </c>
      <c r="AR346" s="263">
        <f>IFERROR((N(AR157)+N(AR167)+N(AR170)+N(AR171)+N(AR180))-N(AR231),0)</f>
        <v>25704.5537617701</v>
      </c>
      <c r="AS346" s="263">
        <f>IFERROR((N(AS157)+N(AS167)+N(AS170)+N(AS171)+N(AS180))-N(AS231),0)</f>
        <v>26228.2249824815</v>
      </c>
      <c r="AT346" s="263">
        <f>IFERROR((N(AT157)+N(AT167)+N(AT170)+N(AT171)+N(AT180))-N(AT231),0)</f>
        <v>26740.9861966903</v>
      </c>
      <c r="AU346" s="263">
        <f>IFERROR((N(AU157)+N(AU167)+N(AU170)+N(AU171)+N(AU180))-N(AU231),0)</f>
        <v>27300.920671081</v>
      </c>
      <c r="AV346" s="263">
        <f>IFERROR((N(AV157)+N(AV167)+N(AV170)+N(AV171)+N(AV180))-N(AV231),0)</f>
        <v>27300.920671081</v>
      </c>
      <c r="AW346" s="263">
        <f>IFERROR((N(AW157)+N(AW167)+N(AW170)+N(AW171)+N(AW180))-N(AW231),0)</f>
        <v>27792.776131532</v>
      </c>
      <c r="AX346" s="263">
        <f>IFERROR((N(AX157)+N(AX167)+N(AX170)+N(AX171)+N(AX180))-N(AX231),0)</f>
        <v>28340.3648393191</v>
      </c>
      <c r="AY346" s="263">
        <f>IFERROR((N(AY157)+N(AY167)+N(AY170)+N(AY171)+N(AY180))-N(AY231),0)</f>
        <v>28876.5452509721</v>
      </c>
      <c r="AZ346" s="263">
        <f>IFERROR((N(AZ157)+N(AZ167)+N(AZ170)+N(AZ171)+N(AZ180))-N(AZ231),0)</f>
        <v>29462.0534537343</v>
      </c>
      <c r="BA346" s="263">
        <f>IFERROR((N(BA157)+N(BA167)+N(BA170)+N(BA171)+N(BA180))-N(BA231),0)</f>
        <v>29462.0534537343</v>
      </c>
      <c r="BB346" s="263">
        <f>IFERROR((N(BB157)+N(BB167)+N(BB170)+N(BB171)+N(BB180))-N(BB231),0)</f>
        <v>29973.9140117679</v>
      </c>
      <c r="BC346" s="263">
        <f>IFERROR((N(BC157)+N(BC167)+N(BC170)+N(BC171)+N(BC180))-N(BC231),0)</f>
        <v>30543.7746396924</v>
      </c>
      <c r="BD346" s="263">
        <f>IFERROR((N(BD157)+N(BD167)+N(BD170)+N(BD171)+N(BD180))-N(BD231),0)</f>
        <v>31101.7629650913</v>
      </c>
      <c r="BE346" s="263">
        <f>IFERROR((N(BE157)+N(BE167)+N(BE170)+N(BE171)+N(BE180))-N(BE231),0)</f>
        <v>31711.0853768507</v>
      </c>
      <c r="BF346" s="263">
        <f>IFERROR((N(BF157)+N(BF167)+N(BF170)+N(BF171)+N(BF180))-N(BF231),0)</f>
        <v>31711.0853768507</v>
      </c>
      <c r="BG346" s="90" t="n"/>
      <c r="BH346" s="90" t="n"/>
      <c r="BI346" s="90" t="n"/>
      <c r="BJ346" s="90" t="n"/>
      <c r="BL346" s="90" t="n"/>
      <c r="BM346" s="90" t="n"/>
      <c r="BN346" s="90" t="n"/>
      <c r="BO346" s="90" t="n"/>
      <c r="BQ346" s="90" t="n"/>
      <c r="BR346" s="90" t="n"/>
      <c r="BS346" s="90" t="n"/>
      <c r="BT346" s="90" t="n"/>
      <c r="BV346" s="90" t="n"/>
      <c r="BW346" s="90" t="n"/>
      <c r="BX346" s="90" t="n"/>
      <c r="BY346" s="90" t="n"/>
      <c r="CA346" s="90" t="n"/>
      <c r="CB346" s="90" t="n"/>
      <c r="CC346" s="90" t="n"/>
      <c r="CD346" s="90" t="n"/>
      <c r="CF346" s="90" t="n"/>
      <c r="CG346" s="90" t="n"/>
      <c r="CH346" s="90" t="n"/>
      <c r="CI346" s="90" t="n"/>
      <c r="CK346" s="90" t="n"/>
      <c r="CL346" s="90" t="n"/>
      <c r="CM346" s="90" t="n"/>
      <c r="CN346" s="90" t="n"/>
      <c r="CP346" s="90" t="n"/>
      <c r="CQ346" s="90" t="n"/>
      <c r="CR346" s="90" t="n"/>
      <c r="CS346" s="90" t="n"/>
      <c r="CU346" s="90" t="n"/>
      <c r="CV346" s="90" t="n"/>
      <c r="CW346" s="90" t="n"/>
      <c r="CX346" s="90" t="n"/>
    </row>
    <row r="347" customFormat="1" s="77">
      <c r="A347" s="76" t="n"/>
      <c r="B347" s="76" t="n"/>
    </row>
    <row r="348" customFormat="1" s="77">
      <c r="A348" s="76" t="n"/>
      <c r="B348" s="76" t="n"/>
    </row>
    <row r="349" customFormat="1" s="77">
      <c r="A349" s="76" t="n"/>
      <c r="B349" s="76" t="n"/>
    </row>
    <row r="350" customFormat="1" s="77">
      <c r="A350" s="76" t="n"/>
      <c r="B350" s="76" t="n"/>
    </row>
    <row r="351" customFormat="1" s="77">
      <c r="A351" s="76" t="n"/>
      <c r="B351" s="76" t="n"/>
    </row>
    <row r="352" customFormat="1" s="77">
      <c r="A352" s="76" t="n"/>
      <c r="B352" s="76" t="n"/>
    </row>
    <row r="353" customFormat="1" s="77">
      <c r="A353" s="76" t="n"/>
      <c r="B353" s="76" t="n"/>
    </row>
    <row r="354" customFormat="1" s="77">
      <c r="A354" s="76" t="n"/>
      <c r="B354" s="76" t="n"/>
      <c r="C354" s="74" t="inlineStr">
        <is>
          <t>DUPONT ANALYSIS</t>
        </is>
      </c>
    </row>
    <row r="355" customFormat="1" s="77">
      <c r="A355" s="76" t="n"/>
      <c r="B355" s="76" t="n"/>
      <c r="C355" s="77" t="inlineStr">
        <is>
          <t>NET PROFIT MARGIN (LTM)</t>
        </is>
      </c>
      <c r="D355" s="84" t="str">
        <f>IFERROR(D128/D15,"")</f>
        <v/>
      </c>
      <c r="E355" s="84" t="str">
        <f>IFERROR(E128/E15,"")</f>
        <v/>
      </c>
      <c r="F355" s="84" t="str">
        <f>IFERROR(F128/F15,"")</f>
        <v/>
      </c>
      <c r="G355" s="84" t="str">
        <f>IFERROR(G128/G15,"")</f>
        <v/>
      </c>
      <c r="H355" s="258" t="str">
        <f>IFERROR(IF(AND(COUNT(H128)=1,(H15)&lt;&gt;0),(H128)/(H15),""),"")</f>
        <v/>
      </c>
      <c r="I355" s="257" t="str">
        <f>""</f>
        <v/>
      </c>
      <c r="J355" s="257" t="str">
        <f>""</f>
        <v/>
      </c>
      <c r="K355" s="257" t="str">
        <f>""</f>
        <v/>
      </c>
      <c r="L355" s="257">
        <f>IFERROR(IF(AND(COUNT(I128,J128,K128,L128)=4,(I15+J15+K15+L15)&lt;&gt;0),(I128+J128+K128+L128)/(I15+J15+K15+L15),""),"")</f>
        <v>0.0941918739931985</v>
      </c>
      <c r="M355" s="258">
        <f>IFERROR(IF(AND(COUNT(I128,J128,K128,L128)=4,(I15+J15+K15+L15)&lt;&gt;0),(I128+J128+K128+L128)/(I15+J15+K15+L15),""),"")</f>
        <v>0.0941918739931985</v>
      </c>
      <c r="N355" s="257">
        <f>IFERROR(IF(AND(COUNT(J128,K128,L128,N128)=4,(J15+K15+L15+N15)&lt;&gt;0),(J128+K128+L128+N128)/(J15+K15+L15+N15),""),"")</f>
        <v>0.0944638783269962</v>
      </c>
      <c r="O355" s="257">
        <f>IFERROR(IF(AND(COUNT(K128,L128,N128,O128)=4,(K15+L15+N15+O15)&lt;&gt;0),(K128+L128+N128+O128)/(K15+L15+N15+O15),""),"")</f>
        <v>0.0733242944192498</v>
      </c>
      <c r="P355" s="257">
        <f>IFERROR(IF(AND(COUNT(L128,N128,O128,P128)=4,(L15+N15+O15+P15)&lt;&gt;0),(L128+N128+O128+P128)/(L15+N15+O15+P15),""),"")</f>
        <v>0.0906801396742993</v>
      </c>
      <c r="Q355" s="257">
        <f>IFERROR(IF(AND(COUNT(N128,O128,P128,Q128)=4,(N15+O15+P15+Q15)&lt;&gt;0),(N128+O128+P128+Q128)/(N15+O15+P15+Q15),""),"")</f>
        <v>0.0868695441319108</v>
      </c>
      <c r="R355" s="258">
        <f>IFERROR(IF(AND(COUNT(N128,O128,P128,Q128)=4,(N15+O15+P15+Q15)&lt;&gt;0),(N128+O128+P128+Q128)/(N15+O15+P15+Q15),""),"")</f>
        <v>0.0868695441319108</v>
      </c>
      <c r="S355" s="257">
        <f>IFERROR(IF(AND(COUNT(O128,P128,Q128,S128)=4,(O15+P15+Q15+S15)&lt;&gt;0),(O128+P128+Q128+S128)/(O15+P15+Q15+S15),""),"")</f>
        <v>0.0859915943518883</v>
      </c>
      <c r="T355" s="257">
        <f>IFERROR(IF(AND(COUNT(P128,Q128,S128,T128)=4,(P15+Q15+S15+T15)&lt;&gt;0),(P128+Q128+S128+T128)/(P15+Q15+S15+T15),""),"")</f>
        <v>0.104758654459662</v>
      </c>
      <c r="U355" s="257">
        <f>IFERROR(IF(AND(COUNT(Q128,S128,T128,U128)=4,(Q15+S15+T15+U15)&lt;&gt;0),(Q128+S128+T128+U128)/(Q15+S15+T15+U15),""),"")</f>
        <v>0.102913367214277</v>
      </c>
      <c r="V355" s="257">
        <f>IFERROR(IF(AND(COUNT(S128,T128,U128,V128)=4,(S15+T15+U15+V15)&lt;&gt;0),(S128+T128+U128+V128)/(S15+T15+U15+V15),""),"")</f>
        <v>0.102410797531485</v>
      </c>
      <c r="W355" s="258">
        <f>IFERROR(IF(AND(COUNT(S128,T128,U128,V128)=4,(S15+T15+U15+V15)&lt;&gt;0),(S128+T128+U128+V128)/(S15+T15+U15+V15),""),"")</f>
        <v>0.102410797531485</v>
      </c>
      <c r="X355" s="257">
        <f>IFERROR(IF(AND(COUNT(T128,U128,V128,X128)=4,(T15+U15+V15+X15)&lt;&gt;0),(T128+U128+V128+X128)/(T15+U15+V15+X15),""),"")</f>
        <v>0.0973004020677771</v>
      </c>
      <c r="Y355" s="257">
        <f>IFERROR(IF(AND(COUNT(U128,V128,X128,Y128)=4,(U15+V15+X15+Y15)&lt;&gt;0),(U128+V128+X128+Y128)/(U15+V15+X15+Y15),""),"")</f>
        <v>0.0947811281993556</v>
      </c>
      <c r="Z355" s="257">
        <f>IFERROR(IF(AND(COUNT(V128,X128,Y128,Z128)=4,(V15+X15+Y15+Z15)&lt;&gt;0),(V128+X128+Y128+Z128)/(V15+X15+Y15+Z15),""),"")</f>
        <v>0.0936250788975384</v>
      </c>
      <c r="AA355" s="257">
        <f>IFERROR(IF(AND(COUNT(X128,Y128,Z128,AA128)=4,(X15+Y15+Z15+AA15)&lt;&gt;0),(X128+Y128+Z128+AA128)/(X15+Y15+Z15+AA15),""),"")</f>
        <v>0.0751094407612291</v>
      </c>
      <c r="AB355" s="258">
        <f>IFERROR(IF(AND(COUNT(X128,Y128,Z128,AA128)=4,(X15+Y15+Z15+AA15)&lt;&gt;0),(X128+Y128+Z128+AA128)/(X15+Y15+Z15+AA15),""),"")</f>
        <v>0.0751094407612291</v>
      </c>
      <c r="AC355" s="257">
        <f>IFERROR(IF(AND(COUNT(Y128,Z128,AA128,AC128)=4,(Y15+Z15+AA15+AC15)&lt;&gt;0),(Y128+Z128+AA128+AC128)/(Y15+Z15+AA15+AC15),""),"")</f>
        <v>0.0766317138042918</v>
      </c>
      <c r="AD355" s="257">
        <f>IFERROR(IF(AND(COUNT(Z128,AA128,AC128,AD128)=4,(Z15+AA15+AC15+AD15)&lt;&gt;0),(Z128+AA128+AC128+AD128)/(Z15+AA15+AC15+AD15),""),"")</f>
        <v>0.0585156728467235</v>
      </c>
      <c r="AE355" s="257">
        <f>IFERROR(IF(AND(COUNT(AA128,AC128,AD128,AE128)=4,(AA15+AC15+AD15+AE15)&lt;&gt;0),(AA128+AC128+AD128+AE128)/(AA15+AC15+AD15+AE15),""),"")</f>
        <v>0.0572604943489345</v>
      </c>
      <c r="AF355" s="257">
        <f>IFERROR(IF(AND(COUNT(AB128,AD128,AE128,AF128)=4,(AB15+AD15+AE15+AF15)&lt;&gt;0),(AB128+AD128+AE128+AF128)/(AB15+AD15+AE15+AF15),""),"")</f>
        <v>0.0674403721278721</v>
      </c>
      <c r="AG355" s="258">
        <f>IFERROR(IF(AND(COUNT(AC128,AD128,AE128,AF128)=4,(AC15+AD15+AE15+AF15)&lt;&gt;0),(AC128+AD128+AE128+AF128)/(AC15+AD15+AE15+AF15),""),"")</f>
        <v>0.0668505489819849</v>
      </c>
      <c r="AH355" s="257">
        <f>IFERROR(IF(AND(COUNT(AD128,AF128,AG128,AH128)=4,(AD15+AF15+AG15+AH15)&lt;&gt;0),(AD128+AF128+AG128+AH128)/(AD15+AF15+AG15+AH15),""),"")</f>
        <v>0.0622676650575849</v>
      </c>
      <c r="AI355" s="257">
        <f>IFERROR(IF(AND(COUNT(AE128,AG128,AH128,AI128)=4,(AE15+AG15+AH15+AI15)&lt;&gt;0),(AE128+AG128+AH128+AI128)/(AE15+AG15+AH15+AI15),""),"")</f>
        <v>0.075602887483775</v>
      </c>
      <c r="AJ355" s="257">
        <f>IFERROR(IF(AND(COUNT(AF128,AH128,AI128,AJ128)=4,(AF15+AH15+AI15+AJ15)&lt;&gt;0),(AF128+AH128+AI128+AJ128)/(AF15+AH15+AI15+AJ15),""),"")</f>
        <v>0.0813341521737611</v>
      </c>
      <c r="AK355" s="257">
        <f>IFERROR(IF(AND(COUNT(AH128,AI128,AJ128,AK128)=4,(AH15+AI15+AJ15+AK15)&lt;&gt;0),(AH128+AI128+AJ128+AK128)/(AH15+AI15+AJ15+AK15),""),"")</f>
        <v>0.0863692512576793</v>
      </c>
      <c r="AL355" s="258">
        <f>IFERROR(IF(AND(COUNT(AH128,AI128,AJ128,AK128)=4,(AH15+AI15+AJ15+AK15)&lt;&gt;0),(AH128+AI128+AJ128+AK128)/(AH15+AI15+AJ15+AK15),""),"")</f>
        <v>0.0863692512576793</v>
      </c>
      <c r="AM355" s="257">
        <f>IFERROR(IF(AND(COUNT(AI128,AJ128,AK128,AM128)=4,(AI15+AJ15+AK15+AM15)&lt;&gt;0),(AI128+AJ128+AK128+AM128)/(AI15+AJ15+AK15+AM15),""),"")</f>
        <v>0.087022632912083</v>
      </c>
      <c r="AN355" s="257">
        <f>IFERROR(IF(AND(COUNT(AJ128,AK128,AM128,AN128)=4,(AJ15+AK15+AM15+AN15)&lt;&gt;0),(AJ128+AK128+AM128+AN128)/(AJ15+AK15+AM15+AN15),""),"")</f>
        <v>0.0855245874405305</v>
      </c>
      <c r="AO355" s="257">
        <f>IFERROR(IF(AND(COUNT(AK128,AM128,AN128,AO128)=4,(AK15+AM15+AN15+AO15)&lt;&gt;0),(AK128+AM128+AN128+AO128)/(AK15+AM15+AN15+AO15),""),"")</f>
        <v>0.0855245874405305</v>
      </c>
      <c r="AP355" s="257">
        <f>IFERROR(IF(AND(COUNT(AM128,AN128,AO128,AP128)=4,(AM15+AN15+AO15+AP15)&lt;&gt;0),(AM128+AN128+AO128+AP128)/(AM15+AN15+AO15+AP15),""),"")</f>
        <v>0.0855245874405305</v>
      </c>
      <c r="AQ355" s="258">
        <f>IFERROR(IF(AND(COUNT(AM128,AN128,AO128,AP128)=4,(AM15+AN15+AO15+AP15)&lt;&gt;0),(AM128+AN128+AO128+AP128)/(AM15+AN15+AO15+AP15),""),"")</f>
        <v>0.0855245874405305</v>
      </c>
      <c r="AR355" s="257">
        <f>IFERROR(IF(AND(COUNT(AN128,AO128,AP128,AR128)=4,(AN15+AO15+AP15+AR15)&lt;&gt;0),(AN128+AO128+AP128+AR128)/(AN15+AO15+AP15+AR15),""),"")</f>
        <v>0.0855245874405305</v>
      </c>
      <c r="AS355" s="257">
        <f>IFERROR(IF(AND(COUNT(AO128,AP128,AR128,AS128)=4,(AO15+AP15+AR15+AS15)&lt;&gt;0),(AO128+AP128+AR128+AS128)/(AO15+AP15+AR15+AS15),""),"")</f>
        <v>0.0855245874405305</v>
      </c>
      <c r="AT355" s="257">
        <f>IFERROR(IF(AND(COUNT(AP128,AR128,AS128,AT128)=4,(AP15+AR15+AS15+AT15)&lt;&gt;0),(AP128+AR128+AS128+AT128)/(AP15+AR15+AS15+AT15),""),"")</f>
        <v>0.0855245874405306</v>
      </c>
      <c r="AU355" s="257">
        <f>IFERROR(IF(AND(COUNT(AR128,AS128,AT128,AU128)=4,(AR15+AS15+AT15+AU15)&lt;&gt;0),(AR128+AS128+AT128+AU128)/(AR15+AS15+AT15+AU15),""),"")</f>
        <v>0.0855245874405306</v>
      </c>
      <c r="AV355" s="258">
        <f>IFERROR(IF(AND(COUNT(AR128,AS128,AT128,AU128)=4,(AR15+AS15+AT15+AU15)&lt;&gt;0),(AR128+AS128+AT128+AU128)/(AR15+AS15+AT15+AU15),""),"")</f>
        <v>0.0855245874405306</v>
      </c>
      <c r="AW355" s="257">
        <f>IFERROR(IF(AND(COUNT(AS128,AT128,AU128,AW128)=4,(AS15+AT15+AU15+AW15)&lt;&gt;0),(AS128+AT128+AU128+AW128)/(AS15+AT15+AU15+AW15),""),"")</f>
        <v>0.0855245874405305</v>
      </c>
      <c r="AX355" s="257">
        <f>IFERROR(IF(AND(COUNT(AT128,AU128,AW128,AX128)=4,(AT15+AU15+AW15+AX15)&lt;&gt;0),(AT128+AU128+AW128+AX128)/(AT15+AU15+AW15+AX15),""),"")</f>
        <v>0.0855245874405305</v>
      </c>
      <c r="AY355" s="257">
        <f>IFERROR(IF(AND(COUNT(AU128,AW128,AX128,AY128)=4,(AU15+AW15+AX15+AY15)&lt;&gt;0),(AU128+AW128+AX128+AY128)/(AU15+AW15+AX15+AY15),""),"")</f>
        <v>0.0855245874405305</v>
      </c>
      <c r="AZ355" s="257">
        <f>IFERROR(IF(AND(COUNT(AW128,AX128,AY128,AZ128)=4,(AW15+AX15+AY15+AZ15)&lt;&gt;0),(AW128+AX128+AY128+AZ128)/(AW15+AX15+AY15+AZ15),""),"")</f>
        <v>0.0855245874405305</v>
      </c>
      <c r="BA355" s="258">
        <f>IFERROR(IF(AND(COUNT(AW128,AX128,AY128,AZ128)=4,(AW15+AX15+AY15+AZ15)&lt;&gt;0),(AW128+AX128+AY128+AZ128)/(AW15+AX15+AY15+AZ15),""),"")</f>
        <v>0.0855245874405305</v>
      </c>
      <c r="BB355" s="257">
        <f>IFERROR(IF(AND(COUNT(AX128,AY128,AZ128,BB128)=4,(AX15+AY15+AZ15+BB15)&lt;&gt;0),(AX128+AY128+AZ128+BB128)/(AX15+AY15+AZ15+BB15),""),"")</f>
        <v>0.0855245874405305</v>
      </c>
      <c r="BC355" s="257">
        <f>IFERROR(IF(AND(COUNT(AY128,AZ128,BB128,BC128)=4,(AY15+AZ15+BB15+BC15)&lt;&gt;0),(AY128+AZ128+BB128+BC128)/(AY15+AZ15+BB15+BC15),""),"")</f>
        <v>0.0855245874405305</v>
      </c>
      <c r="BD355" s="257">
        <f>IFERROR(IF(AND(COUNT(AZ128,BB128,BC128,BD128)=4,(AZ15+BB15+BC15+BD15)&lt;&gt;0),(AZ128+BB128+BC128+BD128)/(AZ15+BB15+BC15+BD15),""),"")</f>
        <v>0.0855245874405305</v>
      </c>
      <c r="BE355" s="257">
        <f>IFERROR(IF(AND(COUNT(BB128,BC128,BD128,BE128)=4,(BB15+BC15+BD15+BE15)&lt;&gt;0),(BB128+BC128+BD128+BE128)/(BB15+BC15+BD15+BE15),""),"")</f>
        <v>0.0855245874405305</v>
      </c>
      <c r="BF355" s="258">
        <f>IFERROR(IF(AND(COUNT(BB128,BC128,BD128,BE128)=4,(BB15+BC15+BD15+BE15)&lt;&gt;0),(BB128+BC128+BD128+BE128)/(BB15+BC15+BD15+BE15),""),"")</f>
        <v>0.0855245874405305</v>
      </c>
      <c r="BG355" s="81" t="n"/>
      <c r="BH355" s="81" t="n"/>
      <c r="BI355" s="81" t="n"/>
      <c r="BJ355" s="81" t="n"/>
      <c r="BL355" s="81" t="n"/>
      <c r="BM355" s="81" t="n"/>
      <c r="BN355" s="81" t="n"/>
      <c r="BO355" s="81" t="n"/>
      <c r="BQ355" s="81" t="n"/>
      <c r="BR355" s="81" t="n"/>
      <c r="BS355" s="81" t="n"/>
      <c r="BT355" s="81" t="n"/>
      <c r="BV355" s="81" t="n"/>
      <c r="BW355" s="81" t="n"/>
      <c r="BX355" s="81" t="n"/>
      <c r="BY355" s="81" t="n"/>
      <c r="CA355" s="81" t="n"/>
      <c r="CB355" s="81" t="n"/>
      <c r="CC355" s="81" t="n"/>
      <c r="CD355" s="81" t="n"/>
      <c r="CF355" s="81" t="n"/>
      <c r="CG355" s="81" t="n"/>
      <c r="CH355" s="81" t="n"/>
      <c r="CI355" s="81" t="n"/>
      <c r="CK355" s="81" t="n"/>
      <c r="CL355" s="81" t="n"/>
      <c r="CM355" s="81" t="n"/>
      <c r="CN355" s="81" t="n"/>
      <c r="CP355" s="81" t="n"/>
      <c r="CQ355" s="81" t="n"/>
      <c r="CR355" s="81" t="n"/>
      <c r="CS355" s="81" t="n"/>
      <c r="CU355" s="81" t="n"/>
      <c r="CV355" s="81" t="n"/>
      <c r="CW355" s="81" t="n"/>
      <c r="CX355" s="81" t="n"/>
    </row>
    <row r="356" customFormat="1" s="77">
      <c r="A356" s="76" t="n"/>
      <c r="B356" s="76" t="n"/>
      <c r="C356" s="77" t="inlineStr">
        <is>
          <t>ASSET TURNOVER (LTM REVENUE / ASSETS)</t>
        </is>
      </c>
      <c r="D356" s="84" t="str">
        <f>IFERROR(D15/D188,"")</f>
        <v/>
      </c>
      <c r="E356" s="84" t="str">
        <f>IFERROR(E15/E188,"")</f>
        <v/>
      </c>
      <c r="F356" s="84" t="str">
        <f>IFERROR(F15/F188,"")</f>
        <v/>
      </c>
      <c r="G356" s="84" t="str">
        <f>IFERROR(G15/G188,"")</f>
        <v/>
      </c>
      <c r="H356" s="262" t="str">
        <f>IFERROR(IF(AND(COUNT(H15)=1,N(H188)&lt;&gt;0),(H15)/H188,""),"")</f>
        <v/>
      </c>
      <c r="I356" s="264" t="str">
        <f>""</f>
        <v/>
      </c>
      <c r="J356" s="264" t="str">
        <f>""</f>
        <v/>
      </c>
      <c r="K356" s="264" t="str">
        <f>""</f>
        <v/>
      </c>
      <c r="L356" s="264">
        <f>IFERROR(IF(AND(COUNT(I15,J15,K15,L15)=4,N(L188)&lt;&gt;0),(I15+J15+K15+L15)/L188,""),"")</f>
        <v>1.31786998997504</v>
      </c>
      <c r="M356" s="262">
        <f>IFERROR(IF(AND(COUNT(I15,J15,K15,L15)=4,N(M188)&lt;&gt;0),(I15+J15+K15+L15)/M188,""),"")</f>
        <v>1.31786998997504</v>
      </c>
      <c r="N356" s="264">
        <f>IFERROR(IF(AND(COUNT(J15,K15,L15,N15)=4,N(N188)&lt;&gt;0),(J15+K15+L15+N15)/N188,""),"")</f>
        <v>1.27645117452922</v>
      </c>
      <c r="O356" s="264">
        <f>IFERROR(IF(AND(COUNT(K15,L15,N15,O15)=4,N(O188)&lt;&gt;0),(K15+L15+N15+O15)/O188,""),"")</f>
        <v>1.23975037675335</v>
      </c>
      <c r="P356" s="264">
        <f>IFERROR(IF(AND(COUNT(L15,N15,O15,P15)=4,N(P188)&lt;&gt;0),(L15+N15+O15+P15)/P188,""),"")</f>
        <v>1.24393619065924</v>
      </c>
      <c r="Q356" s="264">
        <f>IFERROR(IF(AND(COUNT(N15,O15,P15,Q15)=4,N(Q188)&lt;&gt;0),(N15+O15+P15+Q15)/Q188,""),"")</f>
        <v>1.24780635400908</v>
      </c>
      <c r="R356" s="262">
        <f>IFERROR(IF(AND(COUNT(N15,O15,P15,Q15)=4,N(R188)&lt;&gt;0),(N15+O15+P15+Q15)/R188,""),"")</f>
        <v>1.24780635400908</v>
      </c>
      <c r="S356" s="264">
        <f>IFERROR(IF(AND(COUNT(O15,P15,Q15,S15)=4,N(S188)&lt;&gt;0),(O15+P15+Q15+S15)/S188,""),"")</f>
        <v>1.21097726190912</v>
      </c>
      <c r="T356" s="264">
        <f>IFERROR(IF(AND(COUNT(P15,Q15,S15,T15)=4,N(T188)&lt;&gt;0),(P15+Q15+S15+T15)/T188,""),"")</f>
        <v>1.18278984871354</v>
      </c>
      <c r="U356" s="264">
        <f>IFERROR(IF(AND(COUNT(Q15,S15,T15,U15)=4,N(U188)&lt;&gt;0),(Q15+S15+T15+U15)/U188,""),"")</f>
        <v>1.19450817068436</v>
      </c>
      <c r="V356" s="264">
        <f>IFERROR(IF(AND(COUNT(S15,T15,U15,V15)=4,N(V188)&lt;&gt;0),(S15+T15+U15+V15)/V188,""),"")</f>
        <v>1.28814625590971</v>
      </c>
      <c r="W356" s="262">
        <f>IFERROR(IF(AND(COUNT(S15,T15,U15,V15)=4,N(W188)&lt;&gt;0),(S15+T15+U15+V15)/W188,""),"")</f>
        <v>1.28814625590971</v>
      </c>
      <c r="X356" s="264">
        <f>IFERROR(IF(AND(COUNT(T15,U15,V15,X15)=4,N(X188)&lt;&gt;0),(T15+U15+V15+X15)/X188,""),"")</f>
        <v>1.26703418663465</v>
      </c>
      <c r="Y356" s="264">
        <f>IFERROR(IF(AND(COUNT(U15,V15,X15,Y15)=4,N(Y188)&lt;&gt;0),(U15+V15+X15+Y15)/Y188,""),"")</f>
        <v>1.2903805650374</v>
      </c>
      <c r="Z356" s="264">
        <f>IFERROR(IF(AND(COUNT(V15,X15,Y15,Z15)=4,N(Z188)&lt;&gt;0),(V15+X15+Y15+Z15)/Z188,""),"")</f>
        <v>1.2841318443804</v>
      </c>
      <c r="AA356" s="264">
        <f>IFERROR(IF(AND(COUNT(X15,Y15,Z15,AA15)=4,N(AA188)&lt;&gt;0),(X15+Y15+Z15+AA15)/AA188,""),"")</f>
        <v>1.27736123847025</v>
      </c>
      <c r="AB356" s="262">
        <f>IFERROR(IF(AND(COUNT(X15,Y15,Z15,AA15)=4,N(AB188)&lt;&gt;0),(X15+Y15+Z15+AA15)/AB188,""),"")</f>
        <v>1.27736123847025</v>
      </c>
      <c r="AC356" s="264">
        <f>IFERROR(IF(AND(COUNT(Y15,Z15,AA15,AC15)=4,N(AC188)&lt;&gt;0),(Y15+Z15+AA15+AC15)/AC188,""),"")</f>
        <v>1.26720076232155</v>
      </c>
      <c r="AD356" s="264">
        <f>IFERROR(IF(AND(COUNT(Z15,AA15,AC15,AD15)=4,N(AD188)&lt;&gt;0),(Z15+AA15+AC15+AD15)/AD188,""),"")</f>
        <v>1.22038389672159</v>
      </c>
      <c r="AE356" s="264">
        <f>IFERROR(IF(AND(COUNT(AA15,AC15,AD15,AE15)=4,N(AE188)&lt;&gt;0),(AA15+AC15+AD15+AE15)/AE188,""),"")</f>
        <v>1.21688565930055</v>
      </c>
      <c r="AF356" s="264">
        <f>IFERROR(IF(AND(COUNT(AB15,AD15,AE15,AF15)=4,N(AF188)&lt;&gt;0),(AB15+AD15+AE15+AF15)/AF188,""),"")</f>
        <v>2.14117647058824</v>
      </c>
      <c r="AG356" s="262">
        <f>IFERROR(IF(AND(COUNT(AC15,AD15,AE15,AF15)=4,N(AG188)&lt;&gt;0),(AC15+AD15+AE15+AF15)/AG188,""),"")</f>
        <v>1.25414438502674</v>
      </c>
      <c r="AH356" s="264">
        <f>IFERROR(IF(AND(COUNT(AD15,AF15,AG15,AH15)=4,N(AH188)&lt;&gt;0),(AD15+AF15+AG15+AH15)/AH188,""),"")</f>
        <v>2.22061852189473</v>
      </c>
      <c r="AI356" s="264">
        <f>IFERROR(IF(AND(COUNT(AE15,AG15,AH15,AI15)=4,N(AI188)&lt;&gt;0),(AE15+AG15+AH15+AI15)/AI188,""),"")</f>
        <v>2.10954363490793</v>
      </c>
      <c r="AJ356" s="264">
        <f>IFERROR(IF(AND(COUNT(AF15,AH15,AI15,AJ15)=4,N(AJ188)&lt;&gt;0),(AF15+AH15+AI15+AJ15)/AJ188,""),"")</f>
        <v>1.22693774423696</v>
      </c>
      <c r="AK356" s="264">
        <f>IFERROR(IF(AND(COUNT(AH15,AI15,AJ15,AK15)=4,N(AK188)&lt;&gt;0),(AH15+AI15+AJ15+AK15)/AK188,""),"")</f>
        <v>1.19946022675734</v>
      </c>
      <c r="AL356" s="262">
        <f>IFERROR(IF(AND(COUNT(AH15,AI15,AJ15,AK15)=4,N(AL188)&lt;&gt;0),(AH15+AI15+AJ15+AK15)/AL188,""),"")</f>
        <v>1.19946022675734</v>
      </c>
      <c r="AM356" s="264">
        <f>IFERROR(IF(AND(COUNT(AI15,AJ15,AK15,AM15)=4,N(AM188)&lt;&gt;0),(AI15+AJ15+AK15+AM15)/AM188,""),"")</f>
        <v>1.18976067387832</v>
      </c>
      <c r="AN356" s="264">
        <f>IFERROR(IF(AND(COUNT(AJ15,AK15,AM15,AN15)=4,N(AN188)&lt;&gt;0),(AJ15+AK15+AM15+AN15)/AN188,""),"")</f>
        <v>1.16432749303673</v>
      </c>
      <c r="AO356" s="264">
        <f>IFERROR(IF(AND(COUNT(AK15,AM15,AN15,AO15)=4,N(AO188)&lt;&gt;0),(AK15+AM15+AN15+AO15)/AO188,""),"")</f>
        <v>1.14975692836813</v>
      </c>
      <c r="AP356" s="264">
        <f>IFERROR(IF(AND(COUNT(AM15,AN15,AO15,AP15)=4,N(AP188)&lt;&gt;0),(AM15+AN15+AO15+AP15)/AP188,""),"")</f>
        <v>1.12608580195953</v>
      </c>
      <c r="AQ356" s="262">
        <f>IFERROR(IF(AND(COUNT(AM15,AN15,AO15,AP15)=4,N(AQ188)&lt;&gt;0),(AM15+AN15+AO15+AP15)/AQ188,""),"")</f>
        <v>1.12608580195953</v>
      </c>
      <c r="AR356" s="264">
        <f>IFERROR(IF(AND(COUNT(AN15,AO15,AP15,AR15)=4,N(AR188)&lt;&gt;0),(AN15+AO15+AP15+AR15)/AR188,""),"")</f>
        <v>1.11806334142978</v>
      </c>
      <c r="AS356" s="264">
        <f>IFERROR(IF(AND(COUNT(AO15,AP15,AR15,AS15)=4,N(AS188)&lt;&gt;0),(AO15+AP15+AR15+AS15)/AS188,""),"")</f>
        <v>1.09437420539914</v>
      </c>
      <c r="AT356" s="264">
        <f>IFERROR(IF(AND(COUNT(AP15,AR15,AS15,AT15)=4,N(AT188)&lt;&gt;0),(AP15+AR15+AS15+AT15)/AT188,""),"")</f>
        <v>1.08095474251466</v>
      </c>
      <c r="AU356" s="264">
        <f>IFERROR(IF(AND(COUNT(AR15,AS15,AT15,AU15)=4,N(AU188)&lt;&gt;0),(AR15+AS15+AT15+AU15)/AU188,""),"")</f>
        <v>1.05944667791288</v>
      </c>
      <c r="AV356" s="262">
        <f>IFERROR(IF(AND(COUNT(AR15,AS15,AT15,AU15)=4,N(AV188)&lt;&gt;0),(AR15+AS15+AT15+AU15)/AV188,""),"")</f>
        <v>1.05944667791288</v>
      </c>
      <c r="AW356" s="264">
        <f>IFERROR(IF(AND(COUNT(AS15,AT15,AU15,AW15)=4,N(AW188)&lt;&gt;0),(AS15+AT15+AU15+AW15)/AW188,""),"")</f>
        <v>1.05148592575183</v>
      </c>
      <c r="AX356" s="264">
        <f>IFERROR(IF(AND(COUNT(AT15,AU15,AW15,AX15)=4,N(AX188)&lt;&gt;0),(AT15+AU15+AW15+AX15)/AX188,""),"")</f>
        <v>1.0305916297519</v>
      </c>
      <c r="AY356" s="264">
        <f>IFERROR(IF(AND(COUNT(AU15,AW15,AX15,AY15)=4,N(AY188)&lt;&gt;0),(AU15+AW15+AX15+AY15)/AY188,""),"")</f>
        <v>1.01814495741778</v>
      </c>
      <c r="AZ356" s="264">
        <f>IFERROR(IF(AND(COUNT(AW15,AX15,AY15,AZ15)=4,N(AZ188)&lt;&gt;0),(AW15+AX15+AY15+AZ15)/AZ188,""),"")</f>
        <v>0.998479080375134</v>
      </c>
      <c r="BA356" s="262">
        <f>IFERROR(IF(AND(COUNT(AW15,AX15,AY15,AZ15)=4,N(BA188)&lt;&gt;0),(AW15+AX15+AY15+AZ15)/BA188,""),"")</f>
        <v>0.998479080375134</v>
      </c>
      <c r="BB356" s="264">
        <f>IFERROR(IF(AND(COUNT(AX15,AY15,AZ15,BB15)=4,N(BB188)&lt;&gt;0),(AX15+AY15+AZ15+BB15)/BB188,""),"")</f>
        <v>0.991162896470034</v>
      </c>
      <c r="BC356" s="264">
        <f>IFERROR(IF(AND(COUNT(AY15,AZ15,BB15,BC15)=4,N(BC188)&lt;&gt;0),(AY15+AZ15+BB15+BC15)/BC188,""),"")</f>
        <v>0.972058814416755</v>
      </c>
      <c r="BD356" s="264">
        <f>IFERROR(IF(AND(COUNT(AZ15,BB15,BC15,BD15)=4,N(BD188)&lt;&gt;0),(AZ15+BB15+BC15+BD15)/BD188,""),"")</f>
        <v>0.960454394171656</v>
      </c>
      <c r="BE356" s="264">
        <f>IFERROR(IF(AND(COUNT(BB15,BC15,BD15,BE15)=4,N(BE188)&lt;&gt;0),(BB15+BC15+BD15+BE15)/BE188,""),"")</f>
        <v>0.942381756243135</v>
      </c>
      <c r="BF356" s="262">
        <f>IFERROR(IF(AND(COUNT(BB15,BC15,BD15,BE15)=4,N(BF188)&lt;&gt;0),(BB15+BC15+BD15+BE15)/BF188,""),"")</f>
        <v>0.942381756243135</v>
      </c>
      <c r="BG356" s="81" t="n"/>
      <c r="BH356" s="81" t="n"/>
      <c r="BI356" s="81" t="n"/>
      <c r="BJ356" s="81" t="n"/>
      <c r="BL356" s="81" t="n"/>
      <c r="BM356" s="81" t="n"/>
      <c r="BN356" s="81" t="n"/>
      <c r="BO356" s="81" t="n"/>
      <c r="BQ356" s="81" t="n"/>
      <c r="BR356" s="81" t="n"/>
      <c r="BS356" s="81" t="n"/>
      <c r="BT356" s="81" t="n"/>
      <c r="BV356" s="81" t="n"/>
      <c r="BW356" s="81" t="n"/>
      <c r="BX356" s="81" t="n"/>
      <c r="BY356" s="81" t="n"/>
      <c r="CA356" s="81" t="n"/>
      <c r="CB356" s="81" t="n"/>
      <c r="CC356" s="81" t="n"/>
      <c r="CD356" s="81" t="n"/>
      <c r="CF356" s="81" t="n"/>
      <c r="CG356" s="81" t="n"/>
      <c r="CH356" s="81" t="n"/>
      <c r="CI356" s="81" t="n"/>
      <c r="CK356" s="81" t="n"/>
      <c r="CL356" s="81" t="n"/>
      <c r="CM356" s="81" t="n"/>
      <c r="CN356" s="81" t="n"/>
      <c r="CP356" s="81" t="n"/>
      <c r="CQ356" s="81" t="n"/>
      <c r="CR356" s="81" t="n"/>
      <c r="CS356" s="81" t="n"/>
      <c r="CU356" s="81" t="n"/>
      <c r="CV356" s="81" t="n"/>
      <c r="CW356" s="81" t="n"/>
      <c r="CX356" s="81" t="n"/>
    </row>
    <row r="357" customFormat="1" s="77">
      <c r="A357" s="76" t="n"/>
      <c r="B357" s="76" t="n"/>
      <c r="C357" s="77" t="inlineStr">
        <is>
          <t>EQUITY MULTIPLIER (ASSETS / EQUITY)</t>
        </is>
      </c>
      <c r="D357" s="84" t="str">
        <f>IFERROR(D188/D262,"")</f>
        <v/>
      </c>
      <c r="E357" s="84" t="str">
        <f>IFERROR(E188/E262,"")</f>
        <v/>
      </c>
      <c r="F357" s="84" t="str">
        <f>IFERROR(F188/F262,"")</f>
        <v/>
      </c>
      <c r="G357" s="84" t="str">
        <f>IFERROR(G188/G262,"")</f>
        <v/>
      </c>
      <c r="H357" s="262" t="str">
        <f>IFERROR(IF(N(H262)&lt;&gt;0,H188/H262,""),"")</f>
        <v/>
      </c>
      <c r="I357" s="264">
        <f>IFERROR(IF(N(I262)&lt;&gt;0,I188/I262,""),"")</f>
        <v>8.12205905573978</v>
      </c>
      <c r="J357" s="264">
        <f>IFERROR(IF(N(J262)&lt;&gt;0,J188/J262,""),"")</f>
        <v>7.97840735068913</v>
      </c>
      <c r="K357" s="264">
        <f>IFERROR(IF(N(K262)&lt;&gt;0,K188/K262,""),"")</f>
        <v>5.38293012148271</v>
      </c>
      <c r="L357" s="264">
        <f>IFERROR(IF(N(L262)&lt;&gt;0,L188/L262,""),"")</f>
        <v>4.64212063144448</v>
      </c>
      <c r="M357" s="262">
        <f>IFERROR(IF(N(M262)&lt;&gt;0,M188/M262,""),"")</f>
        <v>4.64212063144448</v>
      </c>
      <c r="N357" s="264">
        <f>IFERROR(IF(N(N262)&lt;&gt;0,N188/N262,""),"")</f>
        <v>5.1499700059988</v>
      </c>
      <c r="O357" s="264">
        <f>IFERROR(IF(N(O262)&lt;&gt;0,O188/O262,""),"")</f>
        <v>4.52746675997201</v>
      </c>
      <c r="P357" s="264">
        <f>IFERROR(IF(N(P262)&lt;&gt;0,P188/P262,""),"")</f>
        <v>4.34815310045128</v>
      </c>
      <c r="Q357" s="264">
        <f>IFERROR(IF(N(Q262)&lt;&gt;0,Q188/Q262,""),"")</f>
        <v>5.70688538743795</v>
      </c>
      <c r="R357" s="262">
        <f>IFERROR(IF(N(R262)&lt;&gt;0,R188/R262,""),"")</f>
        <v>5.70688538743795</v>
      </c>
      <c r="S357" s="264">
        <f>IFERROR(IF(N(S262)&lt;&gt;0,S188/S262,""),"")</f>
        <v>5.66265809662036</v>
      </c>
      <c r="T357" s="264">
        <f>IFERROR(IF(N(T262)&lt;&gt;0,T188/T262,""),"")</f>
        <v>6.16645021645022</v>
      </c>
      <c r="U357" s="264">
        <f>IFERROR(IF(N(U262)&lt;&gt;0,U188/U262,""),"")</f>
        <v>6.11020056070735</v>
      </c>
      <c r="V357" s="264">
        <f>IFERROR(IF(N(V262)&lt;&gt;0,V188/V262,""),"")</f>
        <v>7.67461594732992</v>
      </c>
      <c r="W357" s="262">
        <f>IFERROR(IF(N(W262)&lt;&gt;0,W188/W262,""),"")</f>
        <v>7.67461594732992</v>
      </c>
      <c r="X357" s="264">
        <f>IFERROR(IF(N(X262)&lt;&gt;0,X188/X262,""),"")</f>
        <v>8.26511278195489</v>
      </c>
      <c r="Y357" s="264">
        <f>IFERROR(IF(N(Y262)&lt;&gt;0,Y188/Y262,""),"")</f>
        <v>8.91919028340081</v>
      </c>
      <c r="Z357" s="264">
        <f>IFERROR(IF(N(Z262)&lt;&gt;0,Z188/Z262,""),"")</f>
        <v>7.71111111111111</v>
      </c>
      <c r="AA357" s="264">
        <f>IFERROR(IF(N(AA262)&lt;&gt;0,AA188/AA262,""),"")</f>
        <v>8.78209379441023</v>
      </c>
      <c r="AB357" s="262">
        <f>IFERROR(IF(N(AB262)&lt;&gt;0,AB188/AB262,""),"")</f>
        <v>8.78209379441023</v>
      </c>
      <c r="AC357" s="264">
        <f>IFERROR(IF(N(AC262)&lt;&gt;0,AC188/AC262,""),"")</f>
        <v>8.47957504114918</v>
      </c>
      <c r="AD357" s="264">
        <f>IFERROR(IF(N(AD262)&lt;&gt;0,AD188/AD262,""),"")</f>
        <v>11.0367454068241</v>
      </c>
      <c r="AE357" s="264">
        <f>IFERROR(IF(N(AE262)&lt;&gt;0,AE188/AE262,""),"")</f>
        <v>9.75182009383595</v>
      </c>
      <c r="AF357" s="264">
        <f>IFERROR(IF(N(AF262)&lt;&gt;0,AF188/AF262,""),"")</f>
        <v>8.90343698854337</v>
      </c>
      <c r="AG357" s="262">
        <f>IFERROR(IF(N(AG262)&lt;&gt;0,AG188/AG262,""),"")</f>
        <v>8.90343698854337</v>
      </c>
      <c r="AH357" s="264">
        <f>IFERROR(IF(N(AH262)&lt;&gt;0,AH188/AH262,""),"")</f>
        <v>7.91000133529176</v>
      </c>
      <c r="AI357" s="264">
        <f>IFERROR(IF(N(AI262)&lt;&gt;0,AI188/AI262,""),"")</f>
        <v>7.12249087591241</v>
      </c>
      <c r="AJ357" s="264">
        <f>IFERROR(IF(N(AJ262)&lt;&gt;0,AJ188/AJ262,""),"")</f>
        <v>6.0885211438065</v>
      </c>
      <c r="AK357" s="264">
        <f>IFERROR(IF(N(AK262)&lt;&gt;0,AK188/AK262,""),"")</f>
        <v>5.37450466010834</v>
      </c>
      <c r="AL357" s="262">
        <f>IFERROR(IF(N(AL262)&lt;&gt;0,AL188/AL262,""),"")</f>
        <v>5.37450466010834</v>
      </c>
      <c r="AM357" s="264">
        <f>IFERROR(IF(N(AM262)&lt;&gt;0,AM188/AM262,""),"")</f>
        <v>4.84516058095538</v>
      </c>
      <c r="AN357" s="264">
        <f>IFERROR(IF(N(AN262)&lt;&gt;0,AN188/AN262,""),"")</f>
        <v>4.44156286428207</v>
      </c>
      <c r="AO357" s="264">
        <f>IFERROR(IF(N(AO262)&lt;&gt;0,AO188/AO262,""),"")</f>
        <v>4.09622177093543</v>
      </c>
      <c r="AP357" s="264">
        <f>IFERROR(IF(N(AP262)&lt;&gt;0,AP188/AP262,""),"")</f>
        <v>3.82003802392892</v>
      </c>
      <c r="AQ357" s="262">
        <f>IFERROR(IF(N(AQ262)&lt;&gt;0,AQ188/AQ262,""),"")</f>
        <v>3.82003802392892</v>
      </c>
      <c r="AR357" s="264">
        <f>IFERROR(IF(N(AR262)&lt;&gt;0,AR188/AR262,""),"")</f>
        <v>3.57712582558425</v>
      </c>
      <c r="AS357" s="264">
        <f>IFERROR(IF(N(AS262)&lt;&gt;0,AS188/AS262,""),"")</f>
        <v>3.39529151602525</v>
      </c>
      <c r="AT357" s="264">
        <f>IFERROR(IF(N(AT262)&lt;&gt;0,AT188/AT262,""),"")</f>
        <v>3.21929378343522</v>
      </c>
      <c r="AU357" s="264">
        <f>IFERROR(IF(N(AU262)&lt;&gt;0,AU188/AU262,""),"")</f>
        <v>3.07676434006706</v>
      </c>
      <c r="AV357" s="262">
        <f>IFERROR(IF(N(AV262)&lt;&gt;0,AV188/AV262,""),"")</f>
        <v>3.07676434006706</v>
      </c>
      <c r="AW357" s="264">
        <f>IFERROR(IF(N(AW262)&lt;&gt;0,AW188/AW262,""),"")</f>
        <v>2.93739742936438</v>
      </c>
      <c r="AX357" s="264">
        <f>IFERROR(IF(N(AX262)&lt;&gt;0,AX188/AX262,""),"")</f>
        <v>2.83490673586033</v>
      </c>
      <c r="AY357" s="264">
        <f>IFERROR(IF(N(AY262)&lt;&gt;0,AY188/AY262,""),"")</f>
        <v>2.72831923635804</v>
      </c>
      <c r="AZ357" s="264">
        <f>IFERROR(IF(N(AZ262)&lt;&gt;0,AZ188/AZ262,""),"")</f>
        <v>2.64320514161468</v>
      </c>
      <c r="BA357" s="262">
        <f>IFERROR(IF(N(BA262)&lt;&gt;0,BA188/BA262,""),"")</f>
        <v>2.64320514161468</v>
      </c>
      <c r="BB357" s="264">
        <f>IFERROR(IF(N(BB262)&lt;&gt;0,BB188/BB262,""),"")</f>
        <v>2.55098742307503</v>
      </c>
      <c r="BC357" s="264">
        <f>IFERROR(IF(N(BC262)&lt;&gt;0,BC188/BC262,""),"")</f>
        <v>2.48716420794625</v>
      </c>
      <c r="BD357" s="264">
        <f>IFERROR(IF(N(BD262)&lt;&gt;0,BD188/BD262,""),"")</f>
        <v>2.41564020212242</v>
      </c>
      <c r="BE357" s="264">
        <f>IFERROR(IF(N(BE262)&lt;&gt;0,BE188/BE262,""),"")</f>
        <v>2.36008081297357</v>
      </c>
      <c r="BF357" s="262">
        <f>IFERROR(IF(N(BF262)&lt;&gt;0,BF188/BF262,""),"")</f>
        <v>2.36008081297357</v>
      </c>
      <c r="BG357" s="81" t="n"/>
      <c r="BH357" s="81" t="n"/>
      <c r="BI357" s="81" t="n"/>
      <c r="BJ357" s="81" t="n"/>
      <c r="BL357" s="81" t="n"/>
      <c r="BM357" s="81" t="n"/>
      <c r="BN357" s="81" t="n"/>
      <c r="BO357" s="81" t="n"/>
      <c r="BQ357" s="81" t="n"/>
      <c r="BR357" s="81" t="n"/>
      <c r="BS357" s="81" t="n"/>
      <c r="BT357" s="81" t="n"/>
      <c r="BV357" s="81" t="n"/>
      <c r="BW357" s="81" t="n"/>
      <c r="BX357" s="81" t="n"/>
      <c r="BY357" s="81" t="n"/>
      <c r="CA357" s="81" t="n"/>
      <c r="CB357" s="81" t="n"/>
      <c r="CC357" s="81" t="n"/>
      <c r="CD357" s="81" t="n"/>
      <c r="CF357" s="81" t="n"/>
      <c r="CG357" s="81" t="n"/>
      <c r="CH357" s="81" t="n"/>
      <c r="CI357" s="81" t="n"/>
      <c r="CK357" s="81" t="n"/>
      <c r="CL357" s="81" t="n"/>
      <c r="CM357" s="81" t="n"/>
      <c r="CN357" s="81" t="n"/>
      <c r="CP357" s="81" t="n"/>
      <c r="CQ357" s="81" t="n"/>
      <c r="CR357" s="81" t="n"/>
      <c r="CS357" s="81" t="n"/>
      <c r="CU357" s="81" t="n"/>
      <c r="CV357" s="81" t="n"/>
      <c r="CW357" s="81" t="n"/>
      <c r="CX357" s="81" t="n"/>
    </row>
    <row r="358" customFormat="1" s="77">
      <c r="A358" s="76" t="n"/>
      <c r="B358" s="76" t="n"/>
      <c r="C358" s="77" t="inlineStr">
        <is>
          <t>ROE - DUPONT</t>
        </is>
      </c>
      <c r="D358" s="84">
        <f>IFERROR(PRODUCT(D355:D357),"")</f>
        <v>0</v>
      </c>
      <c r="E358" s="84">
        <f>IFERROR(PRODUCT(E355:E357),"")</f>
        <v>0</v>
      </c>
      <c r="F358" s="84">
        <f>IFERROR(PRODUCT(F355:F357),"")</f>
        <v>0</v>
      </c>
      <c r="G358" s="84">
        <f>IFERROR(PRODUCT(G355:G357),"")</f>
        <v>0</v>
      </c>
      <c r="H358" s="258" t="str">
        <f>IFERROR(IF(COUNT(H355,H356,H357)=3,H355*H356*H357,""),"")</f>
        <v/>
      </c>
      <c r="I358" s="257" t="str">
        <f>IFERROR(IF(COUNT(I355,I356,I357)=3,I355*I356*I357,""),"")</f>
        <v/>
      </c>
      <c r="J358" s="257" t="str">
        <f>IFERROR(IF(COUNT(J355,J356,J357)=3,J355*J356*J357,""),"")</f>
        <v/>
      </c>
      <c r="K358" s="257" t="str">
        <f>IFERROR(IF(COUNT(K355,K356,K357)=3,K355*K356*K357,""),"")</f>
        <v/>
      </c>
      <c r="L358" s="257">
        <f>IFERROR(IF(COUNT(L355,L356,L357)=3,L355*L356*L357,""),"")</f>
        <v>0.576238707911306</v>
      </c>
      <c r="M358" s="258">
        <f>IFERROR(IF(COUNT(M355,M356,M357)=3,M355*M356*M357,""),"")</f>
        <v>0.576238707911306</v>
      </c>
      <c r="N358" s="257">
        <f>IFERROR(IF(COUNT(N355,N356,N357)=3,N355*N356*N357,""),"")</f>
        <v>0.620975804839032</v>
      </c>
      <c r="O358" s="257">
        <f>IFERROR(IF(COUNT(O355,O356,O357)=3,O355*O356*O357,""),"")</f>
        <v>0.411564030790763</v>
      </c>
      <c r="P358" s="257">
        <f>IFERROR(IF(COUNT(P355,P356,P357)=3,P355*P356*P357,""),"")</f>
        <v>0.490473006852749</v>
      </c>
      <c r="Q358" s="257">
        <f>IFERROR(IF(COUNT(Q355,Q356,Q357)=3,Q355*Q356*Q357,""),"")</f>
        <v>0.6186056550831</v>
      </c>
      <c r="R358" s="258">
        <f>IFERROR(IF(COUNT(R355,R356,R357)=3,R355*R356*R357,""),"")</f>
        <v>0.6186056550831</v>
      </c>
      <c r="S358" s="257">
        <f>IFERROR(IF(COUNT(S355,S356,S357)=3,S355*S356*S357,""),"")</f>
        <v>0.589674476466929</v>
      </c>
      <c r="T358" s="257">
        <f>IFERROR(IF(COUNT(T355,T356,T357)=3,T355*T356*T357,""),"")</f>
        <v>0.764069264069264</v>
      </c>
      <c r="U358" s="257">
        <f>IFERROR(IF(COUNT(U355,U356,U357)=3,U355*U356*U357,""),"")</f>
        <v>0.751132197541514</v>
      </c>
      <c r="V358" s="257">
        <f>IFERROR(IF(COUNT(V355,V356,V357)=3,V355*V356*V357,""),"")</f>
        <v>1.01243599122165</v>
      </c>
      <c r="W358" s="258">
        <f>IFERROR(IF(COUNT(W355,W356,W357)=3,W355*W356*W357,""),"")</f>
        <v>1.01243599122165</v>
      </c>
      <c r="X358" s="257">
        <f>IFERROR(IF(COUNT(X355,X356,X357)=3,X355*X356*X357,""),"")</f>
        <v>1.01894736842105</v>
      </c>
      <c r="Y358" s="257">
        <f>IFERROR(IF(COUNT(Y355,Y356,Y357)=3,Y355*Y356*Y357,""),"")</f>
        <v>1.09085020242915</v>
      </c>
      <c r="Z358" s="257">
        <f>IFERROR(IF(COUNT(Z355,Z356,Z357)=3,Z355*Z356*Z357,""),"")</f>
        <v>0.927083333333333</v>
      </c>
      <c r="AA358" s="257">
        <f>IFERROR(IF(COUNT(AA355,AA356,AA357)=3,AA355*AA356*AA357,""),"")</f>
        <v>0.842570661613769</v>
      </c>
      <c r="AB358" s="258">
        <f>IFERROR(IF(COUNT(AB355,AB356,AB357)=3,AB355*AB356*AB357,""),"")</f>
        <v>0.842570661613769</v>
      </c>
      <c r="AC358" s="257">
        <f>IFERROR(IF(COUNT(AC355,AC356,AC357)=3,AC355*AC356*AC357,""),"")</f>
        <v>0.823432590154122</v>
      </c>
      <c r="AD358" s="257">
        <f>IFERROR(IF(COUNT(AD355,AD356,AD357)=3,AD355*AD356*AD357,""),"")</f>
        <v>0.788151481064867</v>
      </c>
      <c r="AE358" s="257">
        <f>IFERROR(IF(COUNT(AE355,AE356,AE357)=3,AE355*AE356*AE357,""),"")</f>
        <v>0.679501698754247</v>
      </c>
      <c r="AF358" s="257">
        <f>IFERROR(IF(COUNT(AF355,AF356,AF357)=3,AF355*AF356*AF357,""),"")</f>
        <v>1.28567177503348</v>
      </c>
      <c r="AG358" s="258">
        <f>IFERROR(IF(COUNT(AG355,AG356,AG357)=3,AG355*AG356*AG357,""),"")</f>
        <v>0.746466299657789</v>
      </c>
      <c r="AH358" s="257">
        <f>IFERROR(IF(COUNT(AH355,AH356,AH357)=3,AH355*AH356*AH357,""),"")</f>
        <v>1.09373748163974</v>
      </c>
      <c r="AI358" s="257">
        <f>IFERROR(IF(COUNT(AI355,AI356,AI357)=3,AI355*AI356*AI357,""),"")</f>
        <v>1.13594890510949</v>
      </c>
      <c r="AJ358" s="257">
        <f>IFERROR(IF(COUNT(AJ355,AJ356,AJ357)=3,AJ355*AJ356*AJ357,""),"")</f>
        <v>0.607585343962476</v>
      </c>
      <c r="AK358" s="257">
        <f>IFERROR(IF(COUNT(AK355,AK356,AK357)=3,AK355*AK356*AK357,""),"")</f>
        <v>0.556779773658867</v>
      </c>
      <c r="AL358" s="258">
        <f>IFERROR(IF(COUNT(AL355,AL356,AL357)=3,AL355*AL356*AL357,""),"")</f>
        <v>0.556779773658867</v>
      </c>
      <c r="AM358" s="257">
        <f>IFERROR(IF(COUNT(AM355,AM356,AM357)=3,AM355*AM356*AM357,""),"")</f>
        <v>0.501649061319305</v>
      </c>
      <c r="AN358" s="257">
        <f>IFERROR(IF(COUNT(AN355,AN356,AN357)=3,AN355*AN356*AN357,""),"")</f>
        <v>0.442284738366812</v>
      </c>
      <c r="AO358" s="257">
        <f>IFERROR(IF(COUNT(AO355,AO356,AO357)=3,AO355*AO356*AO357,""),"")</f>
        <v>0.402791673857653</v>
      </c>
      <c r="AP358" s="257">
        <f>IFERROR(IF(COUNT(AP355,AP356,AP357)=3,AP355*AP356*AP357,""),"")</f>
        <v>0.367900312296015</v>
      </c>
      <c r="AQ358" s="258">
        <f>IFERROR(IF(COUNT(AQ355,AQ356,AQ357)=3,AQ355*AQ356*AQ357,""),"")</f>
        <v>0.367900312296015</v>
      </c>
      <c r="AR358" s="257">
        <f>IFERROR(IF(COUNT(AR355,AR356,AR357)=3,AR355*AR356*AR357,""),"")</f>
        <v>0.342051589473391</v>
      </c>
      <c r="AS358" s="257">
        <f>IFERROR(IF(COUNT(AS355,AS356,AS357)=3,AS355*AS356*AS357,""),"")</f>
        <v>0.317785373429229</v>
      </c>
      <c r="AT358" s="257">
        <f>IFERROR(IF(COUNT(AT355,AT356,AT357)=3,AT355*AT356*AT357,""),"")</f>
        <v>0.297617942577201</v>
      </c>
      <c r="AU358" s="257">
        <f>IFERROR(IF(COUNT(AU355,AU356,AU357)=3,AU355*AU356*AU357,""),"")</f>
        <v>0.278781740264985</v>
      </c>
      <c r="AV358" s="258">
        <f>IFERROR(IF(COUNT(AV355,AV356,AV357)=3,AV355*AV356*AV357,""),"")</f>
        <v>0.278781740264985</v>
      </c>
      <c r="AW358" s="257">
        <f>IFERROR(IF(COUNT(AW355,AW356,AW357)=3,AW355*AW356*AW357,""),"")</f>
        <v>0.264153982286521</v>
      </c>
      <c r="AX358" s="257">
        <f>IFERROR(IF(COUNT(AX355,AX356,AX357)=3,AX355*AX356*AX357,""),"")</f>
        <v>0.249871299022701</v>
      </c>
      <c r="AY358" s="257">
        <f>IFERROR(IF(COUNT(AY355,AY356,AY357)=3,AY355*AY356*AY357,""),"")</f>
        <v>0.237572292011919</v>
      </c>
      <c r="AZ358" s="257">
        <f>IFERROR(IF(COUNT(AZ355,AZ356,AZ357)=3,AZ355*AZ356*AZ357,""),"")</f>
        <v>0.225715211643309</v>
      </c>
      <c r="BA358" s="258">
        <f>IFERROR(IF(COUNT(BA355,BA356,BA357)=3,BA355*BA356*BA357,""),"")</f>
        <v>0.225715211643309</v>
      </c>
      <c r="BB358" s="257">
        <f>IFERROR(IF(COUNT(BB355,BB356,BB357)=3,BB355*BB356*BB357,""),"")</f>
        <v>0.216244137074748</v>
      </c>
      <c r="BC358" s="257">
        <f>IFERROR(IF(COUNT(BC355,BC356,BC357)=3,BC355*BC356*BC357,""),"")</f>
        <v>0.206770220015353</v>
      </c>
      <c r="BD358" s="257">
        <f>IFERROR(IF(COUNT(BD355,BD356,BD357)=3,BD355*BD356*BD357,""),"")</f>
        <v>0.198426642728953</v>
      </c>
      <c r="BE358" s="257">
        <f>IFERROR(IF(COUNT(BE355,BE356,BE357)=3,BE355*BE356*BE357,""),"")</f>
        <v>0.190214987025407</v>
      </c>
      <c r="BF358" s="258">
        <f>IFERROR(IF(COUNT(BF355,BF356,BF357)=3,BF355*BF356*BF357,""),"")</f>
        <v>0.190214987025407</v>
      </c>
      <c r="BG358" s="81" t="n"/>
      <c r="BH358" s="81" t="n"/>
      <c r="BI358" s="81" t="n"/>
      <c r="BJ358" s="81" t="n"/>
      <c r="BL358" s="81" t="n"/>
      <c r="BM358" s="81" t="n"/>
      <c r="BN358" s="81" t="n"/>
      <c r="BO358" s="81" t="n"/>
      <c r="BQ358" s="81" t="n"/>
      <c r="BR358" s="81" t="n"/>
      <c r="BS358" s="81" t="n"/>
      <c r="BT358" s="81" t="n"/>
      <c r="BV358" s="81" t="n"/>
      <c r="BW358" s="81" t="n"/>
      <c r="BX358" s="81" t="n"/>
      <c r="BY358" s="81" t="n"/>
      <c r="CA358" s="81" t="n"/>
      <c r="CB358" s="81" t="n"/>
      <c r="CC358" s="81" t="n"/>
      <c r="CD358" s="81" t="n"/>
      <c r="CF358" s="81" t="n"/>
      <c r="CG358" s="81" t="n"/>
      <c r="CH358" s="81" t="n"/>
      <c r="CI358" s="81" t="n"/>
      <c r="CK358" s="81" t="n"/>
      <c r="CL358" s="81" t="n"/>
      <c r="CM358" s="81" t="n"/>
      <c r="CN358" s="81" t="n"/>
      <c r="CP358" s="81" t="n"/>
      <c r="CQ358" s="81" t="n"/>
      <c r="CR358" s="81" t="n"/>
      <c r="CS358" s="81" t="n"/>
      <c r="CU358" s="81" t="n"/>
      <c r="CV358" s="81" t="n"/>
      <c r="CW358" s="81" t="n"/>
      <c r="CX358" s="81" t="n"/>
    </row>
    <row r="359" customFormat="1" s="77">
      <c r="A359" s="76" t="n"/>
      <c r="B359" s="76" t="n"/>
      <c r="C359" s="77" t="inlineStr">
        <is>
          <t>ROE (LTM)</t>
        </is>
      </c>
      <c r="D359" s="84" t="str">
        <f>IFERROR(D128/D262,"")</f>
        <v/>
      </c>
      <c r="E359" s="84" t="str">
        <f>IFERROR(E128/E262,"")</f>
        <v/>
      </c>
      <c r="F359" s="84" t="str">
        <f>IFERROR(F128/F262,"")</f>
        <v/>
      </c>
      <c r="G359" s="84" t="str">
        <f>IFERROR(G128/G262,"")</f>
        <v/>
      </c>
      <c r="H359" s="258" t="str">
        <f>IFERROR(IF(AND(COUNT(H128)=1,N(H262)&lt;&gt;0),(H128)/H262,""),"")</f>
        <v/>
      </c>
      <c r="I359" s="257" t="str">
        <f>""</f>
        <v/>
      </c>
      <c r="J359" s="257" t="str">
        <f>""</f>
        <v/>
      </c>
      <c r="K359" s="257" t="str">
        <f>""</f>
        <v/>
      </c>
      <c r="L359" s="257">
        <f>IFERROR(IF(AND(COUNT(I128,J128,K128,L128)=4,N(L262)&lt;&gt;0),(I128+J128+K128+L128)/L262,""),"")</f>
        <v>0.576238707911306</v>
      </c>
      <c r="M359" s="258">
        <f>IFERROR(IF(AND(COUNT(I128,J128,K128,L128)=4,N(M262)&lt;&gt;0),(I128+J128+K128+L128)/M262,""),"")</f>
        <v>0.576238707911306</v>
      </c>
      <c r="N359" s="257">
        <f>IFERROR(IF(AND(COUNT(J128,K128,L128,N128)=4,N(N262)&lt;&gt;0),(J128+K128+L128+N128)/N262,""),"")</f>
        <v>0.620975804839032</v>
      </c>
      <c r="O359" s="257">
        <f>IFERROR(IF(AND(COUNT(K128,L128,N128,O128)=4,N(O262)&lt;&gt;0),(K128+L128+N128+O128)/O262,""),"")</f>
        <v>0.411564030790763</v>
      </c>
      <c r="P359" s="257">
        <f>IFERROR(IF(AND(COUNT(L128,N128,O128,P128)=4,N(P262)&lt;&gt;0),(L128+N128+O128+P128)/P262,""),"")</f>
        <v>0.490473006852749</v>
      </c>
      <c r="Q359" s="257">
        <f>IFERROR(IF(AND(COUNT(N128,O128,P128,Q128)=4,N(Q262)&lt;&gt;0),(N128+O128+P128+Q128)/Q262,""),"")</f>
        <v>0.6186056550831</v>
      </c>
      <c r="R359" s="258">
        <f>IFERROR(IF(AND(COUNT(N128,O128,P128,Q128)=4,N(R262)&lt;&gt;0),(N128+O128+P128+Q128)/R262,""),"")</f>
        <v>0.6186056550831</v>
      </c>
      <c r="S359" s="257">
        <f>IFERROR(IF(AND(COUNT(O128,P128,Q128,S128)=4,N(S262)&lt;&gt;0),(O128+P128+Q128+S128)/S262,""),"")</f>
        <v>0.589674476466929</v>
      </c>
      <c r="T359" s="257">
        <f>IFERROR(IF(AND(COUNT(P128,Q128,S128,T128)=4,N(T262)&lt;&gt;0),(P128+Q128+S128+T128)/T262,""),"")</f>
        <v>0.764069264069264</v>
      </c>
      <c r="U359" s="257">
        <f>IFERROR(IF(AND(COUNT(Q128,S128,T128,U128)=4,N(U262)&lt;&gt;0),(Q128+S128+T128+U128)/U262,""),"")</f>
        <v>0.751132197541514</v>
      </c>
      <c r="V359" s="257">
        <f>IFERROR(IF(AND(COUNT(S128,T128,U128,V128)=4,N(V262)&lt;&gt;0),(S128+T128+U128+V128)/V262,""),"")</f>
        <v>1.01243599122165</v>
      </c>
      <c r="W359" s="258">
        <f>IFERROR(IF(AND(COUNT(S128,T128,U128,V128)=4,N(W262)&lt;&gt;0),(S128+T128+U128+V128)/W262,""),"")</f>
        <v>1.01243599122165</v>
      </c>
      <c r="X359" s="257">
        <f>IFERROR(IF(AND(COUNT(T128,U128,V128,X128)=4,N(X262)&lt;&gt;0),(T128+U128+V128+X128)/X262,""),"")</f>
        <v>1.01894736842105</v>
      </c>
      <c r="Y359" s="257">
        <f>IFERROR(IF(AND(COUNT(U128,V128,X128,Y128)=4,N(Y262)&lt;&gt;0),(U128+V128+X128+Y128)/Y262,""),"")</f>
        <v>1.09085020242915</v>
      </c>
      <c r="Z359" s="257">
        <f>IFERROR(IF(AND(COUNT(V128,X128,Y128,Z128)=4,N(Z262)&lt;&gt;0),(V128+X128+Y128+Z128)/Z262,""),"")</f>
        <v>0.927083333333333</v>
      </c>
      <c r="AA359" s="257">
        <f>IFERROR(IF(AND(COUNT(X128,Y128,Z128,AA128)=4,N(AA262)&lt;&gt;0),(X128+Y128+Z128+AA128)/AA262,""),"")</f>
        <v>0.842570661613769</v>
      </c>
      <c r="AB359" s="258">
        <f>IFERROR(IF(AND(COUNT(X128,Y128,Z128,AA128)=4,N(AB262)&lt;&gt;0),(X128+Y128+Z128+AA128)/AB262,""),"")</f>
        <v>0.842570661613769</v>
      </c>
      <c r="AC359" s="257">
        <f>IFERROR(IF(AND(COUNT(Y128,Z128,AA128,AC128)=4,N(AC262)&lt;&gt;0),(Y128+Z128+AA128+AC128)/AC262,""),"")</f>
        <v>0.823432590154122</v>
      </c>
      <c r="AD359" s="257">
        <f>IFERROR(IF(AND(COUNT(Z128,AA128,AC128,AD128)=4,N(AD262)&lt;&gt;0),(Z128+AA128+AC128+AD128)/AD262,""),"")</f>
        <v>0.788151481064867</v>
      </c>
      <c r="AE359" s="257">
        <f>IFERROR(IF(AND(COUNT(AA128,AC128,AD128,AE128)=4,N(AE262)&lt;&gt;0),(AA128+AC128+AD128+AE128)/AE262,""),"")</f>
        <v>0.679501698754247</v>
      </c>
      <c r="AF359" s="257">
        <f>IFERROR(IF(AND(COUNT(AB128,AD128,AE128,AF128)=4,N(AF262)&lt;&gt;0),(AB128+AD128+AE128+AF128)/AF262,""),"")</f>
        <v>1.28567177503348</v>
      </c>
      <c r="AG359" s="258">
        <f>IFERROR(IF(AND(COUNT(AC128,AD128,AE128,AF128)=4,N(AG262)&lt;&gt;0),(AC128+AD128+AE128+AF128)/AG262,""),"")</f>
        <v>0.746466299657789</v>
      </c>
      <c r="AH359" s="257">
        <f>IFERROR(IF(AND(COUNT(AD128,AF128,AG128,AH128)=4,N(AH262)&lt;&gt;0),(AD128+AF128+AG128+AH128)/AH262,""),"")</f>
        <v>1.09373748163974</v>
      </c>
      <c r="AI359" s="257">
        <f>IFERROR(IF(AND(COUNT(AE128,AG128,AH128,AI128)=4,N(AI262)&lt;&gt;0),(AE128+AG128+AH128+AI128)/AI262,""),"")</f>
        <v>1.13594890510949</v>
      </c>
      <c r="AJ359" s="257">
        <f>IFERROR(IF(AND(COUNT(AF128,AH128,AI128,AJ128)=4,N(AJ262)&lt;&gt;0),(AF128+AH128+AI128+AJ128)/AJ262,""),"")</f>
        <v>0.607585343962476</v>
      </c>
      <c r="AK359" s="257">
        <f>IFERROR(IF(AND(COUNT(AH128,AI128,AJ128,AK128)=4,N(AK262)&lt;&gt;0),(AH128+AI128+AJ128+AK128)/AK262,""),"")</f>
        <v>0.556779773658867</v>
      </c>
      <c r="AL359" s="258">
        <f>IFERROR(IF(AND(COUNT(AH128,AI128,AJ128,AK128)=4,N(AL262)&lt;&gt;0),(AH128+AI128+AJ128+AK128)/AL262,""),"")</f>
        <v>0.556779773658867</v>
      </c>
      <c r="AM359" s="257">
        <f>IFERROR(IF(AND(COUNT(AI128,AJ128,AK128,AM128)=4,N(AM262)&lt;&gt;0),(AI128+AJ128+AK128+AM128)/AM262,""),"")</f>
        <v>0.501649061319305</v>
      </c>
      <c r="AN359" s="257">
        <f>IFERROR(IF(AND(COUNT(AJ128,AK128,AM128,AN128)=4,N(AN262)&lt;&gt;0),(AJ128+AK128+AM128+AN128)/AN262,""),"")</f>
        <v>0.442284738366812</v>
      </c>
      <c r="AO359" s="257">
        <f>IFERROR(IF(AND(COUNT(AK128,AM128,AN128,AO128)=4,N(AO262)&lt;&gt;0),(AK128+AM128+AN128+AO128)/AO262,""),"")</f>
        <v>0.402791673857653</v>
      </c>
      <c r="AP359" s="257">
        <f>IFERROR(IF(AND(COUNT(AM128,AN128,AO128,AP128)=4,N(AP262)&lt;&gt;0),(AM128+AN128+AO128+AP128)/AP262,""),"")</f>
        <v>0.367900312296015</v>
      </c>
      <c r="AQ359" s="258">
        <f>IFERROR(IF(AND(COUNT(AM128,AN128,AO128,AP128)=4,N(AQ262)&lt;&gt;0),(AM128+AN128+AO128+AP128)/AQ262,""),"")</f>
        <v>0.367900312296015</v>
      </c>
      <c r="AR359" s="257">
        <f>IFERROR(IF(AND(COUNT(AN128,AO128,AP128,AR128)=4,N(AR262)&lt;&gt;0),(AN128+AO128+AP128+AR128)/AR262,""),"")</f>
        <v>0.342051589473391</v>
      </c>
      <c r="AS359" s="257">
        <f>IFERROR(IF(AND(COUNT(AO128,AP128,AR128,AS128)=4,N(AS262)&lt;&gt;0),(AO128+AP128+AR128+AS128)/AS262,""),"")</f>
        <v>0.317785373429229</v>
      </c>
      <c r="AT359" s="257">
        <f>IFERROR(IF(AND(COUNT(AP128,AR128,AS128,AT128)=4,N(AT262)&lt;&gt;0),(AP128+AR128+AS128+AT128)/AT262,""),"")</f>
        <v>0.297617942577201</v>
      </c>
      <c r="AU359" s="257">
        <f>IFERROR(IF(AND(COUNT(AR128,AS128,AT128,AU128)=4,N(AU262)&lt;&gt;0),(AR128+AS128+AT128+AU128)/AU262,""),"")</f>
        <v>0.278781740264985</v>
      </c>
      <c r="AV359" s="258">
        <f>IFERROR(IF(AND(COUNT(AR128,AS128,AT128,AU128)=4,N(AV262)&lt;&gt;0),(AR128+AS128+AT128+AU128)/AV262,""),"")</f>
        <v>0.278781740264985</v>
      </c>
      <c r="AW359" s="257">
        <f>IFERROR(IF(AND(COUNT(AS128,AT128,AU128,AW128)=4,N(AW262)&lt;&gt;0),(AS128+AT128+AU128+AW128)/AW262,""),"")</f>
        <v>0.264153982286521</v>
      </c>
      <c r="AX359" s="257">
        <f>IFERROR(IF(AND(COUNT(AT128,AU128,AW128,AX128)=4,N(AX262)&lt;&gt;0),(AT128+AU128+AW128+AX128)/AX262,""),"")</f>
        <v>0.249871299022701</v>
      </c>
      <c r="AY359" s="257">
        <f>IFERROR(IF(AND(COUNT(AU128,AW128,AX128,AY128)=4,N(AY262)&lt;&gt;0),(AU128+AW128+AX128+AY128)/AY262,""),"")</f>
        <v>0.237572292011919</v>
      </c>
      <c r="AZ359" s="257">
        <f>IFERROR(IF(AND(COUNT(AW128,AX128,AY128,AZ128)=4,N(AZ262)&lt;&gt;0),(AW128+AX128+AY128+AZ128)/AZ262,""),"")</f>
        <v>0.225715211643309</v>
      </c>
      <c r="BA359" s="258">
        <f>IFERROR(IF(AND(COUNT(AW128,AX128,AY128,AZ128)=4,N(BA262)&lt;&gt;0),(AW128+AX128+AY128+AZ128)/BA262,""),"")</f>
        <v>0.225715211643309</v>
      </c>
      <c r="BB359" s="257">
        <f>IFERROR(IF(AND(COUNT(AX128,AY128,AZ128,BB128)=4,N(BB262)&lt;&gt;0),(AX128+AY128+AZ128+BB128)/BB262,""),"")</f>
        <v>0.216244137074748</v>
      </c>
      <c r="BC359" s="257">
        <f>IFERROR(IF(AND(COUNT(AY128,AZ128,BB128,BC128)=4,N(BC262)&lt;&gt;0),(AY128+AZ128+BB128+BC128)/BC262,""),"")</f>
        <v>0.206770220015353</v>
      </c>
      <c r="BD359" s="257">
        <f>IFERROR(IF(AND(COUNT(AZ128,BB128,BC128,BD128)=4,N(BD262)&lt;&gt;0),(AZ128+BB128+BC128+BD128)/BD262,""),"")</f>
        <v>0.198426642728953</v>
      </c>
      <c r="BE359" s="257">
        <f>IFERROR(IF(AND(COUNT(BB128,BC128,BD128,BE128)=4,N(BE262)&lt;&gt;0),(BB128+BC128+BD128+BE128)/BE262,""),"")</f>
        <v>0.190214987025407</v>
      </c>
      <c r="BF359" s="258">
        <f>IFERROR(IF(AND(COUNT(BB128,BC128,BD128,BE128)=4,N(BF262)&lt;&gt;0),(BB128+BC128+BD128+BE128)/BF262,""),"")</f>
        <v>0.190214987025407</v>
      </c>
      <c r="BG359" s="81" t="n"/>
      <c r="BH359" s="81" t="n"/>
      <c r="BI359" s="81" t="n"/>
      <c r="BJ359" s="81" t="n"/>
      <c r="BL359" s="81" t="n"/>
      <c r="BM359" s="81" t="n"/>
      <c r="BN359" s="81" t="n"/>
      <c r="BO359" s="81" t="n"/>
      <c r="BQ359" s="81" t="n"/>
      <c r="BR359" s="81" t="n"/>
      <c r="BS359" s="81" t="n"/>
      <c r="BT359" s="81" t="n"/>
      <c r="BV359" s="81" t="n"/>
      <c r="BW359" s="81" t="n"/>
      <c r="BX359" s="81" t="n"/>
      <c r="BY359" s="81" t="n"/>
      <c r="CA359" s="81" t="n"/>
      <c r="CB359" s="81" t="n"/>
      <c r="CC359" s="81" t="n"/>
      <c r="CD359" s="81" t="n"/>
      <c r="CF359" s="81" t="n"/>
      <c r="CG359" s="81" t="n"/>
      <c r="CH359" s="81" t="n"/>
      <c r="CI359" s="81" t="n"/>
      <c r="CK359" s="81" t="n"/>
      <c r="CL359" s="81" t="n"/>
      <c r="CM359" s="81" t="n"/>
      <c r="CN359" s="81" t="n"/>
      <c r="CP359" s="81" t="n"/>
      <c r="CQ359" s="81" t="n"/>
      <c r="CR359" s="81" t="n"/>
      <c r="CS359" s="81" t="n"/>
      <c r="CU359" s="81" t="n"/>
      <c r="CV359" s="81" t="n"/>
      <c r="CW359" s="81" t="n"/>
      <c r="CX359" s="81" t="n"/>
    </row>
    <row r="360"/>
    <row r="361">
      <c r="C361" s="73" t="inlineStr">
        <is>
          <t>Scenario Analysis</t>
        </is>
      </c>
      <c r="D361" s="73" t="n"/>
      <c r="E361" s="73" t="n"/>
      <c r="F361" s="73" t="n"/>
      <c r="G361" s="73" t="n"/>
      <c r="H361" s="73" t="n"/>
      <c r="I361" s="73" t="n"/>
      <c r="J361" s="73" t="n"/>
      <c r="K361" s="73" t="n"/>
      <c r="L361" s="73" t="n"/>
      <c r="M361" s="73" t="n"/>
      <c r="N361" s="73" t="n"/>
      <c r="O361" s="73" t="n"/>
      <c r="P361" s="73" t="n"/>
      <c r="Q361" s="73" t="n"/>
      <c r="R361" s="73" t="n"/>
      <c r="S361" s="73" t="n"/>
      <c r="T361" s="73" t="n"/>
      <c r="U361" s="73" t="n"/>
      <c r="V361" s="73" t="n"/>
      <c r="W361" s="73" t="n"/>
      <c r="X361" s="73" t="n"/>
      <c r="Y361" s="73" t="n"/>
      <c r="Z361" s="73" t="n"/>
      <c r="AA361" s="73" t="n"/>
      <c r="AB361" s="73" t="n"/>
      <c r="AC361" s="73" t="n"/>
      <c r="AD361" s="73" t="n"/>
      <c r="AE361" s="73" t="n"/>
      <c r="AF361" s="73" t="n"/>
      <c r="AG361" s="73" t="n"/>
      <c r="AH361" s="73" t="n"/>
      <c r="AI361" s="73" t="n"/>
      <c r="AJ361" s="73" t="n"/>
      <c r="AK361" s="73" t="n"/>
      <c r="AL361" s="73" t="n"/>
      <c r="AM361" s="73" t="n"/>
      <c r="AN361" s="73" t="n"/>
      <c r="AO361" s="73" t="n"/>
      <c r="AP361" s="73" t="n"/>
      <c r="AQ361" s="73" t="n"/>
      <c r="AR361" s="73" t="n"/>
      <c r="AS361" s="73" t="n"/>
      <c r="AT361" s="73" t="n"/>
      <c r="AU361" s="73" t="n"/>
      <c r="AV361" s="73" t="n"/>
      <c r="AW361" s="73" t="n"/>
      <c r="AX361" s="73" t="n"/>
      <c r="AY361" s="73" t="n"/>
      <c r="AZ361" s="73" t="n"/>
      <c r="BA361" s="73" t="n"/>
      <c r="BB361" s="73" t="n"/>
      <c r="BC361" s="73" t="n"/>
      <c r="BD361" s="73" t="n"/>
      <c r="BE361" s="73" t="n"/>
      <c r="BF361" s="73" t="n"/>
      <c r="BG361" s="73" t="n"/>
      <c r="BH361" s="73" t="n"/>
      <c r="BI361" s="73" t="n"/>
      <c r="BJ361" s="73" t="n"/>
      <c r="BK361" s="73" t="n"/>
      <c r="BL361" s="73" t="n"/>
      <c r="BM361" s="73" t="n"/>
      <c r="BN361" s="73" t="n"/>
      <c r="BO361" s="73" t="n"/>
      <c r="BP361" s="73" t="n"/>
      <c r="BQ361" s="73" t="n"/>
      <c r="BR361" s="73" t="n"/>
      <c r="BS361" s="73" t="n"/>
      <c r="BT361" s="73" t="n"/>
      <c r="BU361" s="73" t="n"/>
      <c r="BV361" s="73" t="n"/>
      <c r="BW361" s="73" t="n"/>
      <c r="BX361" s="73" t="n"/>
      <c r="BY361" s="73" t="n"/>
      <c r="BZ361" s="73" t="n"/>
      <c r="CA361" s="73" t="n"/>
      <c r="CB361" s="73" t="n"/>
      <c r="CC361" s="73" t="n"/>
      <c r="CD361" s="73" t="n"/>
      <c r="CE361" s="73" t="n"/>
      <c r="CF361" s="73" t="n"/>
      <c r="CG361" s="73" t="n"/>
      <c r="CH361" s="73" t="n"/>
      <c r="CI361" s="73" t="n"/>
      <c r="CJ361" s="73" t="n"/>
      <c r="CK361" s="73" t="n"/>
      <c r="CL361" s="73" t="n"/>
      <c r="CM361" s="73" t="n"/>
      <c r="CN361" s="73" t="n"/>
      <c r="CO361" s="73" t="n"/>
      <c r="CP361" s="73" t="n"/>
      <c r="CQ361" s="73" t="n"/>
      <c r="CR361" s="73" t="n"/>
      <c r="CS361" s="73" t="n"/>
      <c r="CT361" s="73" t="n"/>
      <c r="CU361" s="73" t="n"/>
      <c r="CV361" s="73" t="n"/>
      <c r="CW361" s="73" t="n"/>
      <c r="CX361" s="73" t="n"/>
      <c r="CY361" s="73" t="n"/>
    </row>
    <row r="362"/>
    <row r="363"/>
    <row r="364">
      <c r="C364" s="4" t="inlineStr">
        <is>
          <t>Bull case</t>
        </is>
      </c>
    </row>
    <row r="365">
      <c r="C365" s="4" t="inlineStr">
        <is>
          <t>Base case</t>
        </is>
      </c>
    </row>
    <row r="366">
      <c r="C366" s="4" t="inlineStr">
        <is>
          <t>Bear case</t>
        </is>
      </c>
    </row>
    <row r="367"/>
    <row r="368"/>
    <row r="369">
      <c r="C369" s="4" t="inlineStr">
        <is>
          <t>Bull case</t>
        </is>
      </c>
    </row>
    <row r="370">
      <c r="C370" s="4" t="inlineStr">
        <is>
          <t>Base case</t>
        </is>
      </c>
    </row>
    <row r="371">
      <c r="C371" s="4" t="inlineStr">
        <is>
          <t>Bear case</t>
        </is>
      </c>
    </row>
    <row r="372"/>
    <row r="373"/>
    <row r="374">
      <c r="C374" s="4" t="inlineStr">
        <is>
          <t>% Gross Margin</t>
        </is>
      </c>
    </row>
    <row r="375">
      <c r="C375" s="4" t="inlineStr">
        <is>
          <t>Bull case</t>
        </is>
      </c>
    </row>
    <row r="376">
      <c r="C376" s="4" t="inlineStr">
        <is>
          <t>Base case</t>
        </is>
      </c>
    </row>
    <row r="377">
      <c r="C377" s="4" t="inlineStr">
        <is>
          <t>Bear case</t>
        </is>
      </c>
    </row>
    <row r="378"/>
    <row r="379"/>
    <row r="380">
      <c r="C380" s="4" t="inlineStr">
        <is>
          <t>Capital expenditures</t>
        </is>
      </c>
    </row>
    <row r="381">
      <c r="C381" s="4" t="inlineStr">
        <is>
          <t>Bull case</t>
        </is>
      </c>
    </row>
    <row r="382">
      <c r="C382" s="4" t="inlineStr">
        <is>
          <t>Base case</t>
        </is>
      </c>
    </row>
    <row r="383">
      <c r="C383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06:G306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06:L306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06:Q306">
    <cfRule type="cellIs" priority="22" operator="notEqual" dxfId="0">
      <formula>0</formula>
    </cfRule>
  </conditionalFormatting>
  <conditionalFormatting sqref="S306:V306">
    <cfRule type="cellIs" priority="21" operator="notEqual" dxfId="0">
      <formula>0</formula>
    </cfRule>
  </conditionalFormatting>
  <conditionalFormatting sqref="X306:AA306">
    <cfRule type="cellIs" priority="20" operator="notEqual" dxfId="0">
      <formula>0</formula>
    </cfRule>
  </conditionalFormatting>
  <conditionalFormatting sqref="AC306:AF306">
    <cfRule type="cellIs" priority="19" operator="notEqual" dxfId="0">
      <formula>0</formula>
    </cfRule>
  </conditionalFormatting>
  <conditionalFormatting sqref="AH306:AK306">
    <cfRule type="cellIs" priority="15" operator="notEqual" dxfId="0">
      <formula>0</formula>
    </cfRule>
  </conditionalFormatting>
  <conditionalFormatting sqref="AM306:AP306">
    <cfRule type="cellIs" priority="14" operator="notEqual" dxfId="0">
      <formula>0</formula>
    </cfRule>
  </conditionalFormatting>
  <conditionalFormatting sqref="AR306:AU306">
    <cfRule type="cellIs" priority="13" operator="notEqual" dxfId="0">
      <formula>0</formula>
    </cfRule>
  </conditionalFormatting>
  <conditionalFormatting sqref="AW306:AZ306">
    <cfRule type="cellIs" priority="12" operator="notEqual" dxfId="0">
      <formula>0</formula>
    </cfRule>
  </conditionalFormatting>
  <conditionalFormatting sqref="BB306:BE306">
    <cfRule type="cellIs" priority="11" operator="notEqual" dxfId="0">
      <formula>0</formula>
    </cfRule>
  </conditionalFormatting>
  <conditionalFormatting sqref="BG306:BJ306">
    <cfRule type="cellIs" priority="10" operator="notEqual" dxfId="0">
      <formula>0</formula>
    </cfRule>
  </conditionalFormatting>
  <conditionalFormatting sqref="BL306:BO306">
    <cfRule type="cellIs" priority="9" operator="notEqual" dxfId="0">
      <formula>0</formula>
    </cfRule>
  </conditionalFormatting>
  <conditionalFormatting sqref="BQ306:BT306">
    <cfRule type="cellIs" priority="8" operator="notEqual" dxfId="0">
      <formula>0</formula>
    </cfRule>
  </conditionalFormatting>
  <conditionalFormatting sqref="BV306:BY306">
    <cfRule type="cellIs" priority="7" operator="notEqual" dxfId="0">
      <formula>0</formula>
    </cfRule>
  </conditionalFormatting>
  <conditionalFormatting sqref="CA306:CD306">
    <cfRule type="cellIs" priority="6" operator="notEqual" dxfId="0">
      <formula>0</formula>
    </cfRule>
  </conditionalFormatting>
  <conditionalFormatting sqref="CF306:CI306">
    <cfRule type="cellIs" priority="5" operator="notEqual" dxfId="0">
      <formula>0</formula>
    </cfRule>
  </conditionalFormatting>
  <conditionalFormatting sqref="CK306:CN306">
    <cfRule type="cellIs" priority="4" operator="notEqual" dxfId="0">
      <formula>0</formula>
    </cfRule>
  </conditionalFormatting>
  <conditionalFormatting sqref="CP306:CS306">
    <cfRule type="cellIs" priority="3" operator="notEqual" dxfId="0">
      <formula>0</formula>
    </cfRule>
  </conditionalFormatting>
  <conditionalFormatting sqref="CU306:CX306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LMT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67571</v>
      </c>
      <c r="E18" s="113">
        <f>IFERROR(Model!AB15,"")</f>
        <v>71043</v>
      </c>
      <c r="F18" s="113">
        <f>IFERROR(Model!AG15,"")</f>
        <v>75048</v>
      </c>
      <c r="G18" s="113">
        <f>IFERROR(Model!AL15,"")</f>
        <v>79181.3388438938</v>
      </c>
      <c r="H18" s="113">
        <f>IFERROR(Model!AQ15,"")</f>
        <v>83589.5790542172</v>
      </c>
      <c r="I18" s="113">
        <f>IFERROR(Model!AV15,"")</f>
        <v>87825.2900756926</v>
      </c>
      <c r="J18" s="113">
        <f>IFERROR(Model!BA15,"")</f>
        <v>91836.5096295283</v>
      </c>
      <c r="K18" s="113">
        <f>IFERROR(Model!BF15,"")</f>
        <v>95571.7499277441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0.0513829897441209</v>
      </c>
      <c r="F19" s="117">
        <f>IFERROR(IF(E18=0,"",F18/E18-1),"")</f>
        <v>0.0563743085173769</v>
      </c>
      <c r="G19" s="117">
        <f>IFERROR(IF(F18=0,"",G18/F18-1),"")</f>
        <v>0.0550759359862196</v>
      </c>
      <c r="H19" s="117">
        <f>IFERROR(IF(G18=0,"",H18/G18-1),"")</f>
        <v>0.0556727162572266</v>
      </c>
      <c r="I19" s="117">
        <f>IFERROR(IF(H18=0,"",I18/H18-1),"")</f>
        <v>0.0506727162572265</v>
      </c>
      <c r="J19" s="117">
        <f>IFERROR(IF(I18=0,"",J18/I18-1),"")</f>
        <v>0.0456727162572264</v>
      </c>
      <c r="K19" s="117">
        <f>IFERROR(IF(J18=0,"",K18/J18-1),"")</f>
        <v>0.0406727162572262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IFERROR(Model!W60,"")</f>
        <v>9937</v>
      </c>
      <c r="E20" s="113">
        <f>IFERROR(Model!AB60,"")</f>
        <v>8572</v>
      </c>
      <c r="F20" s="113">
        <f>IFERROR(Model!AG60,"")</f>
        <v>9418</v>
      </c>
      <c r="G20" s="113">
        <f>IFERROR(Model!AL60,"")</f>
        <v>10685.4177342673</v>
      </c>
      <c r="H20" s="113">
        <f>IFERROR(Model!AQ60,"")</f>
        <v>10872.2664495037</v>
      </c>
      <c r="I20" s="113">
        <f>IFERROR(Model!AV60,"")</f>
        <v>11423.1937223723</v>
      </c>
      <c r="J20" s="113">
        <f>IFERROR(Model!BA60,"")</f>
        <v>11944.9220080056</v>
      </c>
      <c r="K20" s="113">
        <f>IFERROR(Model!BF60,"")</f>
        <v>12430.7544315519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0.147060129345429</v>
      </c>
      <c r="E21" s="122">
        <f>IFERROR(IF(E18=0,"",E20/E18),"")</f>
        <v>0.120659319003984</v>
      </c>
      <c r="F21" s="122">
        <f>IFERROR(IF(F18=0,"",F20/F18),"")</f>
        <v>0.12549301780194</v>
      </c>
      <c r="G21" s="122">
        <f>IFERROR(IF(G18=0,"",G20/G18),"")</f>
        <v>0.134948687282664</v>
      </c>
      <c r="H21" s="122">
        <f>IFERROR(IF(H18=0,"",H20/H18),"")</f>
        <v>0.130067247287509</v>
      </c>
      <c r="I21" s="122">
        <f>IFERROR(IF(I18=0,"",I20/I18),"")</f>
        <v>0.130067247287509</v>
      </c>
      <c r="J21" s="122">
        <f>IFERROR(IF(J18=0,"",J20/J18),"")</f>
        <v>0.130067247287509</v>
      </c>
      <c r="K21" s="122">
        <f>IFERROR(IF(K18=0,"",K20/K18),"")</f>
        <v>0.130067247287509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IFERROR(Model!W64,"")</f>
        <v>8507</v>
      </c>
      <c r="E22" s="113">
        <f>IFERROR(Model!AB64,"")</f>
        <v>7013</v>
      </c>
      <c r="F22" s="113">
        <f>IFERROR(Model!AG64,"")</f>
        <v>7731</v>
      </c>
      <c r="G22" s="113">
        <f>IFERROR(Model!AL64,"")</f>
        <v>8984.06479801072</v>
      </c>
      <c r="H22" s="113">
        <f>IFERROR(Model!AQ64,"")</f>
        <v>9034.89951034728</v>
      </c>
      <c r="I22" s="113">
        <f>IFERROR(Model!AV64,"")</f>
        <v>9492.72240964767</v>
      </c>
      <c r="J22" s="113">
        <f>IFERROR(Model!BA64,"")</f>
        <v>9926.28082677212</v>
      </c>
      <c r="K22" s="113">
        <f>IFERROR(Model!BF64,"")</f>
        <v>10330.009630329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0.125897204422015</v>
      </c>
      <c r="E23" s="122">
        <f>IFERROR(IF(E18=0,"",E22/E18),"")</f>
        <v>0.0987148628295539</v>
      </c>
      <c r="F23" s="122">
        <f>IFERROR(IF(F18=0,"",F22/F18),"")</f>
        <v>0.103014070994563</v>
      </c>
      <c r="G23" s="122">
        <f>IFERROR(IF(G18=0,"",G22/G18),"")</f>
        <v>0.113461895557523</v>
      </c>
      <c r="H23" s="122">
        <f>IFERROR(IF(H18=0,"",H22/H18),"")</f>
        <v>0.108086433890128</v>
      </c>
      <c r="I23" s="122">
        <f>IFERROR(IF(I18=0,"",I22/I18),"")</f>
        <v>0.108086433890128</v>
      </c>
      <c r="J23" s="122">
        <f>IFERROR(IF(J18=0,"",J22/J18),"")</f>
        <v>0.108086433890128</v>
      </c>
      <c r="K23" s="122">
        <f>IFERROR(IF(K18=0,"",K22/K18),"")</f>
        <v>0.108086433890128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IFERROR(Model!W123,"")</f>
        <v>0.14546801679427</v>
      </c>
      <c r="E24" s="125">
        <f>IFERROR(Model!AB123,"")</f>
        <v>0.142122186495177</v>
      </c>
      <c r="F24" s="125">
        <f>IFERROR(Model!AG123,"")</f>
        <v>0.152819993245525</v>
      </c>
      <c r="G24" s="125">
        <f>IFERROR(Model!AL123,"")</f>
        <v>0.158097103794083</v>
      </c>
      <c r="H24" s="125">
        <f>IFERROR(Model!AQ123,"")</f>
        <v>0.157329854927307</v>
      </c>
      <c r="I24" s="125">
        <f>IFERROR(Model!AV123,"")</f>
        <v>0.157329854927307</v>
      </c>
      <c r="J24" s="125">
        <f>IFERROR(Model!BA123,"")</f>
        <v>0.157329854927307</v>
      </c>
      <c r="K24" s="125">
        <f>IFERROR(Model!BF123,"")</f>
        <v>0.157329854927307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7269.50358113114</v>
      </c>
      <c r="E25" s="127">
        <f>IFERROR(E22*(1-E24),"")</f>
        <v>6016.29710610933</v>
      </c>
      <c r="F25" s="127">
        <f>IFERROR(F22*(1-F24),"")</f>
        <v>6549.54863221884</v>
      </c>
      <c r="G25" s="127">
        <f>IFERROR(G22*(1-G24),"")</f>
        <v>7563.71017314686</v>
      </c>
      <c r="H25" s="127">
        <f>IFERROR(H22*(1-H24),"")</f>
        <v>7613.44008110155</v>
      </c>
      <c r="I25" s="127">
        <f>IFERROR(I22*(1-I24),"")</f>
        <v>7999.2337700726</v>
      </c>
      <c r="J25" s="127">
        <f>IFERROR(J22*(1-J24),"")</f>
        <v>8364.58050432835</v>
      </c>
      <c r="K25" s="127">
        <f>IFERROR(K22*(1-K24),"")</f>
        <v>8704.79071379163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IFERROR(-Model!W61,"")</f>
        <v>1430</v>
      </c>
      <c r="E26" s="130">
        <f>IFERROR(-Model!AB61,"")</f>
        <v>1559</v>
      </c>
      <c r="F26" s="130">
        <f>IFERROR(-Model!AG61,"")</f>
        <v>1687</v>
      </c>
      <c r="G26" s="130">
        <f>IFERROR(-Model!AL61,"")</f>
        <v>1701.35293625657</v>
      </c>
      <c r="H26" s="130">
        <f>IFERROR(-Model!AQ61,"")</f>
        <v>1837.36693915638</v>
      </c>
      <c r="I26" s="130">
        <f>IFERROR(-Model!AV61,"")</f>
        <v>1930.47131272466</v>
      </c>
      <c r="J26" s="130">
        <f>IFERROR(-Model!BA61,"")</f>
        <v>2018.64118123344</v>
      </c>
      <c r="K26" s="130">
        <f>IFERROR(-Model!BF61,"")</f>
        <v>2100.74480122291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IFERROR(Model!W270,"")</f>
        <v>1038</v>
      </c>
      <c r="E27" s="133">
        <f>IFERROR(Model!AB270,"")</f>
        <v>1117</v>
      </c>
      <c r="F27" s="133">
        <f>IFERROR(Model!AG270,"")</f>
        <v>2097</v>
      </c>
      <c r="G27" s="133">
        <f>IFERROR(Model!AL270,"")</f>
        <v>1521.37951462513</v>
      </c>
      <c r="H27" s="133">
        <f>IFERROR(Model!AQ270,"")</f>
        <v>781.555545055357</v>
      </c>
      <c r="I27" s="133">
        <f>IFERROR(Model!AV270,"")</f>
        <v>881.527878966791</v>
      </c>
      <c r="J27" s="133">
        <f>IFERROR(Model!BA270,"")</f>
        <v>964.974253669081</v>
      </c>
      <c r="K27" s="133">
        <f>IFERROR(Model!BF270,"")</f>
        <v>1023.02939445003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IFERROR(Model!W271,"")</f>
        <v>373</v>
      </c>
      <c r="E28" s="136">
        <f>IFERROR(Model!AB271,"")</f>
        <v>-219</v>
      </c>
      <c r="F28" s="136">
        <f>IFERROR(Model!AG271,"")</f>
        <v>-1550</v>
      </c>
      <c r="G28" s="136">
        <f>IFERROR(Model!AL271,"")</f>
        <v>395.743848757857</v>
      </c>
      <c r="H28" s="136">
        <f>IFERROR(Model!AQ271,"")</f>
        <v>-195.147131117001</v>
      </c>
      <c r="I28" s="136">
        <f>IFERROR(Model!AV271,"")</f>
        <v>-187.509485564295</v>
      </c>
      <c r="J28" s="136">
        <f>IFERROR(Model!BA271,"")</f>
        <v>-177.571536682215</v>
      </c>
      <c r="K28" s="136">
        <f>IFERROR(Model!BF271,"")</f>
        <v>-165.354289569434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IFERROR(Model!W272,"")</f>
        <v>0</v>
      </c>
      <c r="E29" s="136">
        <f>IFERROR(Model!AB272,"")</f>
        <v>0</v>
      </c>
      <c r="F29" s="136">
        <f>IFERROR(Model!AG272,"")</f>
        <v>0</v>
      </c>
      <c r="G29" s="136">
        <f>IFERROR(Model!AL272,"")</f>
        <v>-1623.67431117392</v>
      </c>
      <c r="H29" s="136">
        <f>IFERROR(Model!AQ272,"")</f>
        <v>-90.3943592201331</v>
      </c>
      <c r="I29" s="136">
        <f>IFERROR(Model!AV272,"")</f>
        <v>-86.8565153802797</v>
      </c>
      <c r="J29" s="136">
        <f>IFERROR(Model!BA272,"")</f>
        <v>-82.2531450103638</v>
      </c>
      <c r="K29" s="136">
        <f>IFERROR(Model!BF272,"")</f>
        <v>-76.5939779097635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IFERROR(Model!W273,"")</f>
        <v>791</v>
      </c>
      <c r="E30" s="136">
        <f>IFERROR(Model!AB273,"")</f>
        <v>-604</v>
      </c>
      <c r="F30" s="136">
        <f>IFERROR(Model!AG273,"")</f>
        <v>582</v>
      </c>
      <c r="G30" s="136">
        <f>IFERROR(Model!AL273,"")</f>
        <v>561</v>
      </c>
      <c r="H30" s="136">
        <f>IFERROR(Model!AQ273,"")</f>
        <v>0</v>
      </c>
      <c r="I30" s="136">
        <f>IFERROR(Model!AV273,"")</f>
        <v>0</v>
      </c>
      <c r="J30" s="136">
        <f>IFERROR(Model!BA273,"")</f>
        <v>0</v>
      </c>
      <c r="K30" s="136">
        <f>IFERROR(Model!BF273,"")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IFERROR(Model!W274,"")</f>
        <v>0</v>
      </c>
      <c r="E31" s="136">
        <f>IFERROR(Model!AB274,"")</f>
        <v>0</v>
      </c>
      <c r="F31" s="136">
        <f>IFERROR(Model!AG274,"")</f>
        <v>0</v>
      </c>
      <c r="G31" s="136">
        <f>IFERROR(Model!AL274,"")</f>
        <v>0</v>
      </c>
      <c r="H31" s="136">
        <f>IFERROR(Model!AQ274,"")</f>
        <v>0</v>
      </c>
      <c r="I31" s="136">
        <f>IFERROR(Model!AV274,"")</f>
        <v>0</v>
      </c>
      <c r="J31" s="136">
        <f>IFERROR(Model!BA274,"")</f>
        <v>0</v>
      </c>
      <c r="K31" s="136">
        <f>IFERROR(Model!BF274,"")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IFERROR(Model!W275,"")</f>
        <v>-1008</v>
      </c>
      <c r="E32" s="136">
        <f>IFERROR(Model!AB275,"")</f>
        <v>-68</v>
      </c>
      <c r="F32" s="136">
        <f>IFERROR(Model!AG275,"")</f>
        <v>-325</v>
      </c>
      <c r="G32" s="136">
        <f>IFERROR(Model!AL275,"")</f>
        <v>497</v>
      </c>
      <c r="H32" s="136">
        <f>IFERROR(Model!AQ275,"")</f>
        <v>0</v>
      </c>
      <c r="I32" s="136">
        <f>IFERROR(Model!AV275,"")</f>
        <v>0</v>
      </c>
      <c r="J32" s="136">
        <f>IFERROR(Model!BA275,"")</f>
        <v>0</v>
      </c>
      <c r="K32" s="136">
        <f>IFERROR(Model!BF275,"")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IFERROR(Model!W276,"")</f>
        <v>195</v>
      </c>
      <c r="E33" s="136">
        <f>IFERROR(Model!AB276,"")</f>
        <v>-90</v>
      </c>
      <c r="F33" s="136">
        <f>IFERROR(Model!AG276,"")</f>
        <v>1408</v>
      </c>
      <c r="G33" s="136">
        <f>IFERROR(Model!AL276,"")</f>
        <v>990.631990839917</v>
      </c>
      <c r="H33" s="136">
        <f>IFERROR(Model!AQ276,"")</f>
        <v>257.243133755093</v>
      </c>
      <c r="I33" s="136">
        <f>IFERROR(Model!AV276,"")</f>
        <v>247.175182126786</v>
      </c>
      <c r="J33" s="136">
        <f>IFERROR(Model!BA276,"")</f>
        <v>234.074968462915</v>
      </c>
      <c r="K33" s="136">
        <f>IFERROR(Model!BF276,"")</f>
        <v>217.970181704519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IFERROR(Model!W277,"")</f>
        <v>58</v>
      </c>
      <c r="E34" s="136">
        <f>IFERROR(Model!AB277,"")</f>
        <v>-8</v>
      </c>
      <c r="F34" s="136">
        <f>IFERROR(Model!AG277,"")</f>
        <v>59</v>
      </c>
      <c r="G34" s="136">
        <f>IFERROR(Model!AL277,"")</f>
        <v>162.677986201281</v>
      </c>
      <c r="H34" s="136">
        <f>IFERROR(Model!AQ277,"")</f>
        <v>809.853901637398</v>
      </c>
      <c r="I34" s="136">
        <f>IFERROR(Model!AV277,"")</f>
        <v>908.718697784579</v>
      </c>
      <c r="J34" s="136">
        <f>IFERROR(Model!BA277,"")</f>
        <v>990.723966898744</v>
      </c>
      <c r="K34" s="136">
        <f>IFERROR(Model!BF277,"")</f>
        <v>1047.00748022471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IFERROR(Model!W278,"")</f>
        <v>0</v>
      </c>
      <c r="E35" s="136">
        <f>IFERROR(Model!AB278,"")</f>
        <v>0</v>
      </c>
      <c r="F35" s="136">
        <f>IFERROR(Model!AG278,"")</f>
        <v>0</v>
      </c>
      <c r="G35" s="136">
        <f>IFERROR(Model!AL278,"")</f>
        <v>0</v>
      </c>
      <c r="H35" s="136">
        <f>IFERROR(Model!AQ278,"")</f>
        <v>0</v>
      </c>
      <c r="I35" s="136">
        <f>IFERROR(Model!AV278,"")</f>
        <v>0</v>
      </c>
      <c r="J35" s="136">
        <f>IFERROR(Model!BA278,"")</f>
        <v>0</v>
      </c>
      <c r="K35" s="136">
        <f>IFERROR(Model!BF278,"")</f>
        <v>0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IFERROR(Model!W279,"")</f>
        <v>629</v>
      </c>
      <c r="E36" s="136">
        <f>IFERROR(Model!AB279,"")</f>
        <v>2106</v>
      </c>
      <c r="F36" s="136">
        <f>IFERROR(Model!AG279,"")</f>
        <v>1923</v>
      </c>
      <c r="G36" s="136">
        <f>IFERROR(Model!AL279,"")</f>
        <v>538</v>
      </c>
      <c r="H36" s="136">
        <f>IFERROR(Model!AQ279,"")</f>
        <v>0</v>
      </c>
      <c r="I36" s="136">
        <f>IFERROR(Model!AV279,"")</f>
        <v>0</v>
      </c>
      <c r="J36" s="136">
        <f>IFERROR(Model!BA279,"")</f>
        <v>0</v>
      </c>
      <c r="K36" s="136">
        <f>IFERROR(Model!BF279,"")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IFERROR(Model!W280,"")</f>
        <v>0</v>
      </c>
      <c r="E37" s="136">
        <f>IFERROR(Model!AB280,"")</f>
        <v>0</v>
      </c>
      <c r="F37" s="136">
        <f>IFERROR(Model!AG280,"")</f>
        <v>0</v>
      </c>
      <c r="G37" s="136">
        <f>IFERROR(Model!AL280,"")</f>
        <v>0</v>
      </c>
      <c r="H37" s="136">
        <f>IFERROR(Model!AQ280,"")</f>
        <v>0</v>
      </c>
      <c r="I37" s="136">
        <f>IFERROR(Model!AV280,"")</f>
        <v>0</v>
      </c>
      <c r="J37" s="136">
        <f>IFERROR(Model!BA280,"")</f>
        <v>0</v>
      </c>
      <c r="K37" s="136">
        <f>IFERROR(Model!BF280,"")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IFERROR((Model!W180-Model!R180)*-1,"")</f>
        <v>-670</v>
      </c>
      <c r="E38" s="136">
        <f>IFERROR((Model!AB180-Model!W180)*-1,"")</f>
        <v>-802</v>
      </c>
      <c r="F38" s="136">
        <f>IFERROR((Model!AG180-Model!AB180)*-1,"")</f>
        <v>-1024</v>
      </c>
      <c r="G38" s="136">
        <f>IFERROR((Model!AL180-Model!AG180)*-1,"")</f>
        <v>2267</v>
      </c>
      <c r="H38" s="136">
        <f>IFERROR((Model!AQ180-Model!AL180)*-1,"")</f>
        <v>0</v>
      </c>
      <c r="I38" s="136">
        <f>IFERROR((Model!AV180-Model!AQ180)*-1,"")</f>
        <v>0</v>
      </c>
      <c r="J38" s="136">
        <f>IFERROR((Model!BA180-Model!AV180)*-1,"")</f>
        <v>0</v>
      </c>
      <c r="K38" s="136">
        <f>IFERROR((Model!BF180-Model!BA180)*-1,"")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IFERROR(Model!W231-Model!R231,"")</f>
        <v>-905</v>
      </c>
      <c r="E39" s="136">
        <f>IFERROR(Model!AB231-Model!W231,"")</f>
        <v>-1156</v>
      </c>
      <c r="F39" s="136">
        <f>IFERROR(Model!AG231-Model!AB231,"")</f>
        <v>-985</v>
      </c>
      <c r="G39" s="136">
        <f>IFERROR(Model!AL231-Model!AG231,"")</f>
        <v>83</v>
      </c>
      <c r="H39" s="136">
        <f>IFERROR(Model!AQ231-Model!AL231,"")</f>
        <v>0</v>
      </c>
      <c r="I39" s="136">
        <f>IFERROR(Model!AV231-Model!AQ231,"")</f>
        <v>0</v>
      </c>
      <c r="J39" s="136">
        <f>IFERROR(Model!BA231-Model!AV231,"")</f>
        <v>0</v>
      </c>
      <c r="K39" s="136">
        <f>IFERROR(Model!BF231-Model!BA231,"")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IFERROR(Model!W286,"")</f>
        <v>-1825</v>
      </c>
      <c r="E40" s="136">
        <f>IFERROR(Model!AB286,"")</f>
        <v>-1915</v>
      </c>
      <c r="F40" s="136">
        <f>IFERROR(Model!AG286,"")</f>
        <v>-1836</v>
      </c>
      <c r="G40" s="136">
        <f>IFERROR(Model!AL286,"")</f>
        <v>-5183.47164115555</v>
      </c>
      <c r="H40" s="136">
        <f>IFERROR(Model!AQ286,"")</f>
        <v>-3804.42971528979</v>
      </c>
      <c r="I40" s="136">
        <f>IFERROR(Model!AV286,"")</f>
        <v>-3997.21050277323</v>
      </c>
      <c r="J40" s="136">
        <f>IFERROR(Model!BA286,"")</f>
        <v>-4179.7739638868</v>
      </c>
      <c r="K40" s="136">
        <f>IFERROR(Model!BF286,"")</f>
        <v>-4349.77672433931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643</v>
      </c>
      <c r="E44" s="133">
        <f>IFERROR(SUM(E27,E40:E42,E26),"")</f>
        <v>761</v>
      </c>
      <c r="F44" s="133">
        <f>IFERROR(SUM(F27,F40:F42,F26),"")</f>
        <v>1948</v>
      </c>
      <c r="G44" s="133">
        <f>IFERROR(SUM(G27,G40:G42,G26),"")</f>
        <v>-1960.73919027385</v>
      </c>
      <c r="H44" s="133">
        <f>IFERROR(SUM(H27,H40:H42,H26),"")</f>
        <v>-1185.50723107806</v>
      </c>
      <c r="I44" s="133">
        <f>IFERROR(SUM(I27,I40:I42,I26),"")</f>
        <v>-1185.21131108178</v>
      </c>
      <c r="J44" s="133">
        <f>IFERROR(SUM(J27,J40:J42,J26),"")</f>
        <v>-1196.15852898427</v>
      </c>
      <c r="K44" s="133">
        <f>IFERROR(SUM(K27,K40:K42,K26),"")</f>
        <v>-1226.00252866637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IFERROR(Model!W341,"")</f>
        <v>22852</v>
      </c>
      <c r="E46" s="136">
        <f>IFERROR(Model!AB341,"")</f>
        <v>24120</v>
      </c>
      <c r="F46" s="136">
        <f>IFERROR(Model!AG341,"")</f>
        <v>24300</v>
      </c>
      <c r="G46" s="136">
        <f>IFERROR(Model!AL341,"")</f>
        <v>23794.7391902739</v>
      </c>
      <c r="H46" s="136">
        <f>IFERROR(Model!AQ341,"")</f>
        <v>24980.2464213519</v>
      </c>
      <c r="I46" s="136">
        <f>IFERROR(Model!AV341,"")</f>
        <v>26165.4577324337</v>
      </c>
      <c r="J46" s="136">
        <f>IFERROR(Model!BA341,"")</f>
        <v>27361.616261418</v>
      </c>
      <c r="K46" s="136">
        <f>IFERROR(Model!BF341,"")</f>
        <v>28587.6187900843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IFERROR(Model!W342,"")</f>
        <v>12053</v>
      </c>
      <c r="E47" s="136">
        <f>IFERROR(Model!AB342,"")</f>
        <v>13053</v>
      </c>
      <c r="F47" s="136">
        <f>IFERROR(Model!AG342,"")</f>
        <v>12986</v>
      </c>
      <c r="G47" s="136">
        <f>IFERROR(Model!AL342,"")</f>
        <v>12496.7391902738</v>
      </c>
      <c r="H47" s="136">
        <f>IFERROR(Model!AQ342,"")</f>
        <v>13682.2464213519</v>
      </c>
      <c r="I47" s="136">
        <f>IFERROR(Model!AV342,"")</f>
        <v>14867.4577324337</v>
      </c>
      <c r="J47" s="136">
        <f>IFERROR(Model!BA342,"")</f>
        <v>16063.616261418</v>
      </c>
      <c r="K47" s="136">
        <f>IFERROR(Model!BF342,"")</f>
        <v>17289.6187900843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0.338192419825073</v>
      </c>
      <c r="E48" s="122">
        <f>IFERROR(IF(E18=0,"",E46/E18),"")</f>
        <v>0.33951268949791</v>
      </c>
      <c r="F48" s="122">
        <f>IFERROR(IF(F18=0,"",F46/F18),"")</f>
        <v>0.32379277262552</v>
      </c>
      <c r="G48" s="122">
        <f>IFERROR(IF(G18=0,"",G46/G18),"")</f>
        <v>0.300509432369983</v>
      </c>
      <c r="H48" s="122">
        <f>IFERROR(IF(H18=0,"",H46/H18),"")</f>
        <v>0.2988440270186</v>
      </c>
      <c r="I48" s="122">
        <f>IFERROR(IF(I18=0,"",I46/I18),"")</f>
        <v>0.297926231839176</v>
      </c>
      <c r="J48" s="122">
        <f>IFERROR(IF(J18=0,"",J46/J18),"")</f>
        <v>0.297938329448666</v>
      </c>
      <c r="K48" s="122">
        <f>IFERROR(IF(K18=0,"",K46/K18),"")</f>
        <v>0.299122060773164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0.318112356954802</v>
      </c>
      <c r="E50" s="150">
        <f>IFERROR(IF(E46=0,"",E25/E46),"")</f>
        <v>0.249431886654615</v>
      </c>
      <c r="F50" s="150">
        <f>IFERROR(IF(F46=0,"",F25/F46),"")</f>
        <v>0.269528750297072</v>
      </c>
      <c r="G50" s="150">
        <f>IFERROR(IF(G46=0,"",G25/G46),"")</f>
        <v>0.317873211917302</v>
      </c>
      <c r="H50" s="150">
        <f>IFERROR(IF(H46=0,"",H25/H46),"")</f>
        <v>0.304778421825092</v>
      </c>
      <c r="I50" s="150">
        <f>IFERROR(IF(I46=0,"",I25/I46),"")</f>
        <v>0.305717325944467</v>
      </c>
      <c r="J50" s="150">
        <f>IFERROR(IF(J46=0,"",J25/J46),"")</f>
        <v>0.30570491247343</v>
      </c>
      <c r="K50" s="150">
        <f>IFERROR(IF(K46=0,"",K25/K46),"")</f>
        <v>0.30449513048673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2.95689655172414</v>
      </c>
      <c r="E51" s="154">
        <f>IFERROR(IF(E46=0,"",E18/E46),"")</f>
        <v>2.94539800995025</v>
      </c>
      <c r="F51" s="154">
        <f>IFERROR(IF(F46=0,"",F18/F46),"")</f>
        <v>3.0883950617284</v>
      </c>
      <c r="G51" s="154">
        <f>IFERROR(IF(G46=0,"",G18/G46),"")</f>
        <v>3.32768256927394</v>
      </c>
      <c r="H51" s="154">
        <f>IFERROR(IF(H46=0,"",H18/H46),"")</f>
        <v>3.34622716062436</v>
      </c>
      <c r="I51" s="154">
        <f>IFERROR(IF(I46=0,"",I18/I46),"")</f>
        <v>3.3565355887823</v>
      </c>
      <c r="J51" s="154">
        <f>IFERROR(IF(J46=0,"",J18/J46),"")</f>
        <v>3.35639929864176</v>
      </c>
      <c r="K51" s="154">
        <f>IFERROR(IF(K46=0,"",K18/K46),"")</f>
        <v>3.34311684472627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7912.50358113114</v>
      </c>
      <c r="E53" s="155">
        <f>IFERROR(E25+E44,"")</f>
        <v>6777.29710610933</v>
      </c>
      <c r="F53" s="155">
        <f>IFERROR(F25+F44,"")</f>
        <v>8497.54863221884</v>
      </c>
      <c r="G53" s="156">
        <f>IFERROR(G25+G44,"")</f>
        <v>5602.97098287301</v>
      </c>
      <c r="H53" s="155">
        <f>IFERROR(H25+H44,"")</f>
        <v>6427.93285002349</v>
      </c>
      <c r="I53" s="155">
        <f>IFERROR(I25+I44,"")</f>
        <v>6814.02245899082</v>
      </c>
      <c r="J53" s="155">
        <f>IFERROR(J25+J44,"")</f>
        <v>7168.42197534408</v>
      </c>
      <c r="K53" s="155">
        <f>IFERROR(K25+K44,"")</f>
        <v>7478.78818512526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0.30449513048673</v>
      </c>
      <c r="E64" s="157" t="inlineStr">
        <is>
          <t>Current portion of long-term debt</t>
        </is>
      </c>
      <c r="H64" s="137">
        <f>IFERROR(INDEX(Model!$I$203:$BF$203,1,MATCH(Control!$B$7,Model!$I$5:$BF$5,0)),"")</f>
        <v>0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IFERROR(INDEX(Model!$I$204:$BF$204,1,MATCH(Control!$B$7,Model!$I$5:$BF$5,0)),"")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IFERROR(INDEX(Model!$I$208:$BF$208,1,MATCH(Control!$B$7,Model!$I$5:$BF$5,0)),"")</f>
        <v>20538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IFERROR(INDEX(Model!$I$229:$BF$229,1,MATCH(Control!$B$7,Model!$I$5:$BF$5,0)),"")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IFERROR(INDEX(Model!$I$239:$BF$239,1,MATCH(Control!$B$7,Model!$I$5:$BF$5,0)),"")</f>
        <v>0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IFERROR(INDEX(Model!$I$244:$BF$244,1,MATCH(Control!$B$7,Model!$I$5:$BF$5,0)),"")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IFERROR(INDEX(Model!$I$205:$BF$205,1,MATCH(Control!$B$7,Model!$I$5:$BF$5,0)),"")</f>
        <v>0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IFERROR(INDEX(Model!$I$226:$BF$226,1,MATCH(Control!$B$7,Model!$I$5:$BF$5,0)),"")</f>
        <v>0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IFERROR(-INDEX(Model!$I$135:$BF$135,1,MATCH(Control!$B$7,Model!$I$5:$BF$5,0)),"")</f>
        <v>-3791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12430.7544315519</v>
      </c>
      <c r="E73" s="157" t="inlineStr">
        <is>
          <t>Less: Equity investments</t>
        </is>
      </c>
      <c r="H73" s="137">
        <f>IFERROR(-INDEX(Model!$I$152:$BF$152,1,MATCH(Control!$B$7,Model!$I$5:$BF$5,0)),"")</f>
        <v>0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16747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16747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16747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LMT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Lockheed Martin Corporation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LMT</t>
        </is>
      </c>
      <c r="D4" t="inlineStr">
        <is>
          <t>Last close (US$/share)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USD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US$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4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IFERROR(-Model!AG65/AVERAGE(Model!AB83,Model!AG83),"")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0.0556727162572264</v>
      </c>
      <c r="C18" s="247">
        <f>IF(B18="","",B18)</f>
        <v>0.0556727162572264</v>
      </c>
      <c r="D18" s="247">
        <f>IF(C18="","",MAX(0,C18-0.5%))</f>
        <v>0.0506727162572264</v>
      </c>
      <c r="E18" s="247">
        <f>IF(D18="","",MAX(0,D18-0.5%))</f>
        <v>0.0456727162572264</v>
      </c>
      <c r="F18" s="247">
        <f>IF(E18="","",MAX(0,E18-0.5%))</f>
        <v>0.0406727162572264</v>
      </c>
    </row>
    <row r="19" ht="15" customHeight="1">
      <c r="A19" t="inlineStr">
        <is>
          <t>Gross margin</t>
        </is>
      </c>
      <c r="B19" s="247">
        <f>IFERROR(AVERAGE(Model!AC46:AF46,Model!AH46:AI46),"")</f>
        <v>0.106935798460719</v>
      </c>
      <c r="C19" s="247">
        <f>IF(B19="","",B19)</f>
        <v>0.106935798460719</v>
      </c>
      <c r="D19" s="247">
        <f>IF(C19="","",C19)</f>
        <v>0.106935798460719</v>
      </c>
      <c r="E19" s="247">
        <f>IF(D19="","",D19)</f>
        <v>0.106935798460719</v>
      </c>
      <c r="F19" s="247">
        <f>IF(E19="","",E19)</f>
        <v>0.106935798460719</v>
      </c>
    </row>
    <row r="20" ht="15" customHeight="1">
      <c r="A20" t="inlineStr">
        <is>
          <t>SG&amp;A / Revenue</t>
        </is>
      </c>
      <c r="B20" s="247">
        <f>IFERROR(AVERAGE(Model!AC50:AF50,Model!AH50:AI50),"")</f>
        <v>-0.0231314488267902</v>
      </c>
      <c r="C20" s="247">
        <f>IF(B20="","",B20)</f>
        <v>-0.0231314488267902</v>
      </c>
      <c r="D20" s="247">
        <f>IF(C20="","",C20)</f>
        <v>-0.0231314488267902</v>
      </c>
      <c r="E20" s="247">
        <f>IF(D20="","",D20)</f>
        <v>-0.0231314488267902</v>
      </c>
      <c r="F20" s="247">
        <f>IF(E20="","",E20)</f>
        <v>-0.0231314488267902</v>
      </c>
    </row>
    <row r="21" ht="15" customHeight="1">
      <c r="A21" t="inlineStr">
        <is>
          <t>D&amp;A / Revenue</t>
        </is>
      </c>
      <c r="B21" s="247">
        <f>IFERROR(AVERAGE(Model!AC62:AF62,Model!AH62:AI62),"")</f>
        <v>0.021980813397381</v>
      </c>
      <c r="C21" s="247">
        <f>IF(B21="","",B21)</f>
        <v>0.021980813397381</v>
      </c>
      <c r="D21" s="247">
        <f>IF(C21="","",C21)</f>
        <v>0.021980813397381</v>
      </c>
      <c r="E21" s="247">
        <f>IF(D21="","",D21)</f>
        <v>0.021980813397381</v>
      </c>
      <c r="F21" s="247">
        <f>IF(E21="","",E21)</f>
        <v>0.021980813397381</v>
      </c>
    </row>
    <row r="22" ht="15" customHeight="1">
      <c r="A22" t="inlineStr">
        <is>
          <t>Effective tax rate</t>
        </is>
      </c>
      <c r="B22" s="247">
        <f>IFERROR(AVERAGE(Model!AC123:AF123,Model!AH123:AI123),"")</f>
        <v>0.157329854927307</v>
      </c>
      <c r="C22" s="247">
        <f>IF(B22="","",B22)</f>
        <v>0.157329854927307</v>
      </c>
      <c r="D22" s="247">
        <f>IF(C22="","",C22)</f>
        <v>0.157329854927307</v>
      </c>
      <c r="E22" s="247">
        <f>IF(D22="","",D22)</f>
        <v>0.157329854927307</v>
      </c>
      <c r="F22" s="247">
        <f>IF(E22="","",E22)</f>
        <v>0.157329854927307</v>
      </c>
    </row>
    <row r="23" ht="15" customHeight="1">
      <c r="A23" t="inlineStr">
        <is>
          <t>Financial income / Revenue</t>
        </is>
      </c>
      <c r="B23" s="247">
        <f>IFERROR(AVERAGE(Model!AC114:AF114,Model!AH114:AI114)/AVERAGE(Model!AC15:AF15,Model!AH15:AI15),"")</f>
        <v>-0.00659406710744971</v>
      </c>
      <c r="C23" s="247">
        <f>IF(B23="","",B23)</f>
        <v>-0.00659406710744971</v>
      </c>
      <c r="D23" s="247">
        <f>IF(C23="","",C23)</f>
        <v>-0.00659406710744971</v>
      </c>
      <c r="E23" s="247">
        <f>IF(D23="","",D23)</f>
        <v>-0.00659406710744971</v>
      </c>
      <c r="F23" s="247">
        <f>IF(E23="","",E23)</f>
        <v>-0.00659406710744971</v>
      </c>
    </row>
    <row r="24" ht="15" customHeight="1">
      <c r="A24" t="inlineStr">
        <is>
          <t>Capex / Revenue</t>
        </is>
      </c>
      <c r="B24" s="247">
        <f>IFERROR(-AVERAGE(Model!AC286:AF286,Model!AH286:AI286)/AVERAGE(Model!AC15:AF15,Model!AH15:AI15),"")</f>
        <v>0.045513205812679</v>
      </c>
      <c r="C24" s="247">
        <f>IF(B24="","",B24)</f>
        <v>0.045513205812679</v>
      </c>
      <c r="D24" s="247">
        <f>IF(C24="","",C24)</f>
        <v>0.045513205812679</v>
      </c>
      <c r="E24" s="247">
        <f>IF(D24="","",D24)</f>
        <v>0.045513205812679</v>
      </c>
      <c r="F24" s="247">
        <f>IF(E24="","",E24)</f>
        <v>0.045513205812679</v>
      </c>
    </row>
    <row r="25" ht="15" customHeight="1">
      <c r="A25" t="inlineStr">
        <is>
          <t>DSO</t>
        </is>
      </c>
      <c r="B25" s="249">
        <f>IFERROR(AVERAGE(Model!AC137:AF137,Model!AH137:AI137),0)</f>
        <v>15.0325692855964</v>
      </c>
      <c r="C25" s="249">
        <f>IF(B25="","",B25)</f>
        <v>15.0325692855964</v>
      </c>
      <c r="D25" s="249">
        <f>IF(C25="","",C25)</f>
        <v>15.0325692855964</v>
      </c>
      <c r="E25" s="249">
        <f>IF(D25="","",D25)</f>
        <v>15.0325692855964</v>
      </c>
      <c r="F25" s="249">
        <f>IF(E25="","",E25)</f>
        <v>15.0325692855964</v>
      </c>
    </row>
    <row r="26" ht="15" customHeight="1">
      <c r="A26" t="inlineStr">
        <is>
          <t>DIO</t>
        </is>
      </c>
      <c r="B26" s="249">
        <f>IFERROR(AVERAGE(Model!AC141:AF141,Model!AH141:AI141),0)</f>
        <v>7.79703875082322</v>
      </c>
      <c r="C26" s="249">
        <f>IF(B26="","",B26)</f>
        <v>7.79703875082322</v>
      </c>
      <c r="D26" s="249">
        <f>IF(C26="","",C26)</f>
        <v>7.79703875082322</v>
      </c>
      <c r="E26" s="249">
        <f>IF(D26="","",D26)</f>
        <v>7.79703875082322</v>
      </c>
      <c r="F26" s="249">
        <f>IF(E26="","",E26)</f>
        <v>7.79703875082322</v>
      </c>
    </row>
    <row r="27" ht="15" customHeight="1">
      <c r="A27" t="inlineStr">
        <is>
          <t>DPO</t>
        </is>
      </c>
      <c r="B27" s="249">
        <f>IFERROR(AVERAGE(Model!AC190:AF190,Model!AH190:AI190),0)</f>
        <v>22.1887150877102</v>
      </c>
      <c r="C27" s="249">
        <f>IF(B27="","",B27)</f>
        <v>22.1887150877102</v>
      </c>
      <c r="D27" s="249">
        <f>IF(C27="","",C27)</f>
        <v>22.1887150877102</v>
      </c>
      <c r="E27" s="249">
        <f>IF(D27="","",D27)</f>
        <v>22.1887150877102</v>
      </c>
      <c r="F27" s="249">
        <f>IF(E27="","",E27)</f>
        <v>22.1887150877102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>Lockheed Martin Corporation (LMT, CIK 936468) - fonte: SEC EDGAR XBRL (instâncias dos 10-Q/10-K). Moeda: USD. Brutos em USD unidades (fator 0,000001 -&gt; milhões). Colunas = trimestres-CALENDÁRIO (cada fechamento vai para o fim de trimestre mais próxim</t>
        </is>
      </c>
    </row>
    <row r="31">
      <c r="A31" t="inlineStr">
        <is>
          <t>Unit flow</t>
        </is>
      </c>
      <c r="B31" t="inlineStr">
        <is>
          <t>US$ mil na Inputs → US$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2026-10-16T15:38:50Z</dcterms:modified>
  <cp:lastModifiedBy>Lucas Nascimento</cp:lastModifiedBy>
  <cp:revision>0</cp:revision>
</cp:coreProperties>
</file>