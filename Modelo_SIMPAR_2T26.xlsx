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family val="2"/>
      <b val="1"/>
      <color rgb="FFFFFFFF"/>
      <sz val="10"/>
    </font>
    <font>
      <name val="Verdana"/>
      <family val="2"/>
      <b val="1"/>
      <color theme="1"/>
      <sz val="10"/>
    </font>
    <font>
      <name val="Verdana"/>
      <b val="1"/>
      <sz val="10"/>
    </font>
  </fonts>
  <fills count="18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  <fill>
      <patternFill patternType="solid">
        <fgColor rgb="FF00B050"/>
        <bgColor rgb="FF00B050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9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15" borderId="0" applyAlignment="1" pivotButton="0" quotePrefix="0" xfId="0">
      <alignment horizontal="left"/>
    </xf>
    <xf numFmtId="0" fontId="24" fillId="16" borderId="0" pivotButton="0" quotePrefix="0" xfId="0"/>
    <xf numFmtId="190" fontId="24" fillId="17" borderId="0" applyAlignment="1" pivotButton="0" quotePrefix="0" xfId="0">
      <alignment horizontal="center"/>
    </xf>
    <xf numFmtId="190" fontId="24" fillId="0" borderId="0" applyAlignment="1" pivotButton="0" quotePrefix="0" xfId="0">
      <alignment horizontal="center"/>
    </xf>
    <xf numFmtId="0" fontId="25" fillId="16" borderId="0" pivotButton="0" quotePrefix="0" xfId="0"/>
    <xf numFmtId="171" fontId="24" fillId="17" borderId="0" applyAlignment="1" pivotButton="0" quotePrefix="0" xfId="0">
      <alignment horizontal="center"/>
    </xf>
    <xf numFmtId="171" fontId="24" fillId="0" borderId="0" applyAlignment="1" pivotButton="0" quotePrefix="0" xfId="0">
      <alignment horizontal="center"/>
    </xf>
    <xf numFmtId="4" fontId="24" fillId="17" borderId="0" applyAlignment="1" pivotButton="0" quotePrefix="0" xfId="0">
      <alignment horizontal="center"/>
    </xf>
    <xf numFmtId="4" fontId="24" fillId="0" borderId="0" applyAlignment="1" pivotButton="0" quotePrefix="0" xfId="0">
      <alignment horizontal="center"/>
    </xf>
    <xf numFmtId="3" fontId="24" fillId="17" borderId="0" applyAlignment="1" pivotButton="0" quotePrefix="0" xfId="0">
      <alignment horizontal="center"/>
    </xf>
    <xf numFmtId="3" fontId="24" fillId="0" borderId="0" applyAlignment="1" pivotButton="0" quotePrefix="0" xfId="0">
      <alignment horizontal="center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59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(R$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R$ mil (monetário); demais unidades × 1.000</t>
        </is>
      </c>
    </row>
    <row r="4">
      <c r="A4" t="inlineStr">
        <is>
          <t>DRE - TRIMESTRE ISOLADO (aba Consolidado, linhas 4-54; R$ milhoes). 1T20 e 4T20 = colunas "2" da planilha: desconsideram o impairment da Movida do 1T20 (nota 2)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(=) Receita Líquida (Consolidado l.10) · fonte · unid. moeda</t>
        </is>
      </c>
      <c r="B5" t="n">
        <v>1</v>
      </c>
      <c r="C5" t="inlineStr">
        <is>
          <t>Net Revenues</t>
        </is>
      </c>
      <c r="D5" s="265" t="n">
        <v>2620105.655916</v>
      </c>
      <c r="E5" s="265" t="n">
        <v>3149066.344084</v>
      </c>
      <c r="F5" s="265" t="n">
        <v>3958280</v>
      </c>
      <c r="G5" s="265" t="n">
        <v>4138767</v>
      </c>
      <c r="I5" s="265" t="n">
        <v>4530197.01274</v>
      </c>
      <c r="J5" s="265" t="n">
        <v>5387147.35583</v>
      </c>
      <c r="K5" s="265" t="n">
        <v>6823350.471412</v>
      </c>
      <c r="L5" s="265" t="n">
        <v>7341186.278311</v>
      </c>
      <c r="N5" s="265" t="n">
        <v>7440043.821226</v>
      </c>
      <c r="O5" s="265" t="n">
        <v>7563636.178774</v>
      </c>
      <c r="P5" s="265" t="n">
        <v>8318109</v>
      </c>
      <c r="Q5" s="265" t="n">
        <v>8521824</v>
      </c>
      <c r="S5" s="265" t="n">
        <v>9066596.42925</v>
      </c>
      <c r="T5" s="265" t="n">
        <v>10227190.18878</v>
      </c>
      <c r="U5" s="265" t="n">
        <v>10790490.60251</v>
      </c>
      <c r="V5" s="265" t="n">
        <v>10653808.70459</v>
      </c>
      <c r="X5" s="265" t="n">
        <v>10244634.61166</v>
      </c>
      <c r="Y5" s="265" t="n">
        <v>10340786.06133</v>
      </c>
      <c r="Z5" s="265" t="n">
        <v>11100933.42807</v>
      </c>
      <c r="AA5" s="265" t="n">
        <v>11119491.97747</v>
      </c>
      <c r="AC5" s="265" t="n">
        <v>10924298.2817</v>
      </c>
      <c r="AD5" s="265" t="n">
        <v>11248661.85844</v>
      </c>
    </row>
    <row r="6">
      <c r="A6" t="inlineStr">
        <is>
          <t>Custo de Serviços (Consolidado l.16) (inclui D&amp;A, devolvida abaixo) · fonte · unid. moeda</t>
        </is>
      </c>
      <c r="B6" t="n">
        <v>2</v>
      </c>
      <c r="C6" t="inlineStr">
        <is>
          <t>COGS (cash)</t>
        </is>
      </c>
      <c r="D6" s="265" t="n">
        <v>-1481366.969685</v>
      </c>
      <c r="E6" s="265" t="n">
        <v>-1652826.83987</v>
      </c>
      <c r="F6" s="265" t="n">
        <v>-2035891.421872</v>
      </c>
      <c r="G6" s="265" t="n">
        <v>-2134448.768573</v>
      </c>
      <c r="I6" s="265" t="n">
        <v>-2223278.01274</v>
      </c>
      <c r="J6" s="265" t="n">
        <v>-2629607.15583</v>
      </c>
      <c r="K6" s="265" t="n">
        <v>-3516196.671412</v>
      </c>
      <c r="L6" s="265" t="n">
        <v>-3955435.857954</v>
      </c>
      <c r="N6" s="265" t="n">
        <v>-3874945.896208</v>
      </c>
      <c r="O6" s="265" t="n">
        <v>-4188999.884652</v>
      </c>
      <c r="P6" s="265" t="n">
        <v>-4564552.450661</v>
      </c>
      <c r="Q6" s="265" t="n">
        <v>-5529047.279542</v>
      </c>
      <c r="S6" s="265" t="n">
        <v>-4888512.43513</v>
      </c>
      <c r="T6" s="265" t="n">
        <v>-5508377.39988</v>
      </c>
      <c r="U6" s="265" t="n">
        <v>-5804791.33708</v>
      </c>
      <c r="V6" s="265" t="n">
        <v>-6204226.13234</v>
      </c>
      <c r="X6" s="265" t="n">
        <v>-5624734.01052</v>
      </c>
      <c r="Y6" s="265" t="n">
        <v>-5675810.74653</v>
      </c>
      <c r="Z6" s="265" t="n">
        <v>-6069728.01255</v>
      </c>
      <c r="AA6" s="265" t="n">
        <v>-6291595.62943</v>
      </c>
      <c r="AC6" s="265" t="n">
        <v>-6029201.78462</v>
      </c>
      <c r="AD6" s="265" t="n">
        <v>-6368122.48257</v>
      </c>
    </row>
    <row r="7">
      <c r="A7" t="inlineStr">
        <is>
          <t>Custo de Construção (Consolidado l.17) · fonte · unid. moeda</t>
        </is>
      </c>
      <c r="B7" t="n">
        <v>2</v>
      </c>
      <c r="C7" t="inlineStr">
        <is>
          <t>COGS (cash)</t>
        </is>
      </c>
      <c r="D7" s="265" t="n">
        <v>0</v>
      </c>
      <c r="E7" s="265" t="n">
        <v>0</v>
      </c>
      <c r="F7" s="265" t="n">
        <v>0</v>
      </c>
      <c r="G7" s="265" t="n">
        <v>0</v>
      </c>
      <c r="I7" s="265" t="n">
        <v>0</v>
      </c>
      <c r="J7" s="265" t="n">
        <v>0</v>
      </c>
      <c r="K7" s="265" t="n">
        <v>0</v>
      </c>
      <c r="L7" s="265" t="n">
        <v>0</v>
      </c>
      <c r="N7" s="265" t="n">
        <v>-14312.97656</v>
      </c>
      <c r="O7" s="265" t="n">
        <v>-10787.48175</v>
      </c>
      <c r="P7" s="265" t="n">
        <v>-57521.26711</v>
      </c>
      <c r="Q7" s="265" t="n">
        <v>-92885.16147000001</v>
      </c>
      <c r="S7" s="265" t="n">
        <v>-118308.26324</v>
      </c>
      <c r="T7" s="265" t="n">
        <v>-223030.71139</v>
      </c>
      <c r="U7" s="265" t="n">
        <v>-167648.80399</v>
      </c>
      <c r="V7" s="265" t="n">
        <v>-209166.69777</v>
      </c>
      <c r="X7" s="265" t="n">
        <v>-20009.11337</v>
      </c>
      <c r="Y7" s="265" t="n">
        <v>-15237.78054</v>
      </c>
      <c r="Z7" s="265" t="n">
        <v>-39488.76117</v>
      </c>
      <c r="AA7" s="265" t="n">
        <v>-61195.85187</v>
      </c>
      <c r="AC7" s="265" t="n">
        <v>-49969.72591</v>
      </c>
      <c r="AD7" s="265" t="n">
        <v>-89118.33869</v>
      </c>
    </row>
    <row r="8">
      <c r="A8" t="inlineStr">
        <is>
          <t>Custo de Venda de Ativos (Consolidado l.18) (custo dos seminovos/ativos vendidos - valor contabil) · fonte · unid. moeda</t>
        </is>
      </c>
      <c r="B8" t="n">
        <v>2</v>
      </c>
      <c r="C8" t="inlineStr">
        <is>
          <t>COGS (cash)</t>
        </is>
      </c>
      <c r="D8" s="265" t="n">
        <v>-311056.54403</v>
      </c>
      <c r="E8" s="265" t="n">
        <v>-519478.70414</v>
      </c>
      <c r="F8" s="265" t="n">
        <v>-658818.09324</v>
      </c>
      <c r="G8" s="265" t="n">
        <v>-588426.65859</v>
      </c>
      <c r="I8" s="265" t="n">
        <v>-730090</v>
      </c>
      <c r="J8" s="265" t="n">
        <v>-958129</v>
      </c>
      <c r="K8" s="265" t="n">
        <v>-1234134</v>
      </c>
      <c r="L8" s="265" t="n">
        <v>-1243838.65695</v>
      </c>
      <c r="N8" s="265" t="n">
        <v>-1417268.77623</v>
      </c>
      <c r="O8" s="265" t="n">
        <v>-1213561.61166</v>
      </c>
      <c r="P8" s="265" t="n">
        <v>-1473479.2374</v>
      </c>
      <c r="Q8" s="265" t="n">
        <v>-1262397.978668</v>
      </c>
      <c r="S8" s="265" t="n">
        <v>-1616181.27854</v>
      </c>
      <c r="T8" s="265" t="n">
        <v>-1917728.66611</v>
      </c>
      <c r="U8" s="265" t="n">
        <v>-2118765.03903</v>
      </c>
      <c r="V8" s="265" t="n">
        <v>-1533904.2355</v>
      </c>
      <c r="X8" s="265" t="n">
        <v>-1905299.36553</v>
      </c>
      <c r="Y8" s="265" t="n">
        <v>-1872985.18609</v>
      </c>
      <c r="Z8" s="265" t="n">
        <v>-2103369.64634</v>
      </c>
      <c r="AA8" s="265" t="n">
        <v>-1814650.53077</v>
      </c>
      <c r="AC8" s="265" t="n">
        <v>-1897760.90867</v>
      </c>
      <c r="AD8" s="265" t="n">
        <v>-1610105.62574</v>
      </c>
    </row>
    <row r="9">
      <c r="A9" t="inlineStr">
        <is>
          <t>Despesas Administrativas e Comerciais (Consolidado l.24) · fonte · unid. moeda</t>
        </is>
      </c>
      <c r="B9" t="n">
        <v>3</v>
      </c>
      <c r="C9" t="inlineStr">
        <is>
          <t>SG&amp;A and Other (cash)</t>
        </is>
      </c>
      <c r="D9" s="265" t="n">
        <v>-279247.883304</v>
      </c>
      <c r="E9" s="265" t="n">
        <v>-315348.56429</v>
      </c>
      <c r="F9" s="265" t="n">
        <v>-414170.263236</v>
      </c>
      <c r="G9" s="265" t="n">
        <v>-429995.572969</v>
      </c>
      <c r="I9" s="265" t="n">
        <v>-459752</v>
      </c>
      <c r="J9" s="265" t="n">
        <v>-536422</v>
      </c>
      <c r="K9" s="265" t="n">
        <v>-641044.932976</v>
      </c>
      <c r="L9" s="265" t="n">
        <v>-772005.094122</v>
      </c>
      <c r="N9" s="265" t="n">
        <v>-711219.8118659999</v>
      </c>
      <c r="O9" s="265" t="n">
        <v>-723505.457907</v>
      </c>
      <c r="P9" s="265" t="n">
        <v>-717064.887739</v>
      </c>
      <c r="Q9" s="265" t="n">
        <v>-1069582.992251</v>
      </c>
      <c r="S9" s="265" t="n">
        <v>-796740.9101100001</v>
      </c>
      <c r="T9" s="265" t="n">
        <v>-861089.88454</v>
      </c>
      <c r="U9" s="265" t="n">
        <v>-885702.27774</v>
      </c>
      <c r="V9" s="265" t="n">
        <v>-907576.42633</v>
      </c>
      <c r="X9" s="265" t="n">
        <v>-854194.5402</v>
      </c>
      <c r="Y9" s="265" t="n">
        <v>-925898.17963</v>
      </c>
      <c r="Z9" s="265" t="n">
        <v>-973758.71374</v>
      </c>
      <c r="AA9" s="265" t="n">
        <v>-992854.69896</v>
      </c>
      <c r="AC9" s="265" t="n">
        <v>-1000359.40666</v>
      </c>
      <c r="AD9" s="265" t="n">
        <v>-1044995.84741</v>
      </c>
    </row>
    <row r="10">
      <c r="A10" t="inlineStr">
        <is>
          <t>Despesas Tributárias (Consolidado l.25) · fonte · unid. moeda</t>
        </is>
      </c>
      <c r="B10" t="n">
        <v>3</v>
      </c>
      <c r="C10" t="inlineStr">
        <is>
          <t>SG&amp;A and Other (cash)</t>
        </is>
      </c>
      <c r="D10" s="265" t="n">
        <v>-3876.755974</v>
      </c>
      <c r="E10" s="265" t="n">
        <v>-3862.52701</v>
      </c>
      <c r="F10" s="265" t="n">
        <v>-5416.748828</v>
      </c>
      <c r="G10" s="265" t="n">
        <v>-4234.684389</v>
      </c>
      <c r="I10" s="265" t="n">
        <v>0</v>
      </c>
      <c r="J10" s="265" t="n">
        <v>0</v>
      </c>
      <c r="K10" s="265" t="n">
        <v>0</v>
      </c>
      <c r="L10" s="265" t="n">
        <v>0</v>
      </c>
      <c r="N10" s="265" t="n">
        <v>0</v>
      </c>
      <c r="O10" s="265" t="n">
        <v>0</v>
      </c>
      <c r="P10" s="265" t="n">
        <v>-73854.29392900001</v>
      </c>
      <c r="Q10" s="265" t="n">
        <v>13099.837968</v>
      </c>
      <c r="S10" s="265" t="n">
        <v>-17386.27696</v>
      </c>
      <c r="T10" s="265" t="n">
        <v>-16999.83078</v>
      </c>
      <c r="U10" s="265" t="n">
        <v>-21902.20364</v>
      </c>
      <c r="V10" s="265" t="n">
        <v>-24585.1899</v>
      </c>
      <c r="X10" s="265" t="n">
        <v>-16930.68564</v>
      </c>
      <c r="Y10" s="265" t="n">
        <v>-16821.63068</v>
      </c>
      <c r="Z10" s="265" t="n">
        <v>-25056.97097</v>
      </c>
      <c r="AA10" s="265" t="n">
        <v>-20919.12622</v>
      </c>
      <c r="AC10" s="265" t="n">
        <v>-22084.75991</v>
      </c>
      <c r="AD10" s="265" t="n">
        <v>-25307.73821</v>
      </c>
    </row>
    <row r="11">
      <c r="A11" t="inlineStr">
        <is>
          <t>Outras Receitas (Despesas) Operacionais (Consolidado l.26) (inclui equivalencia patrimonial) · fonte · unid. moeda</t>
        </is>
      </c>
      <c r="B11" t="n">
        <v>3</v>
      </c>
      <c r="C11" t="inlineStr">
        <is>
          <t>SG&amp;A and Other (cash)</t>
        </is>
      </c>
      <c r="D11" s="265" t="n">
        <v>-27902.48472</v>
      </c>
      <c r="E11" s="265" t="n">
        <v>66025.88415</v>
      </c>
      <c r="F11" s="265" t="n">
        <v>45698.27136</v>
      </c>
      <c r="G11" s="265" t="n">
        <v>18977.32921</v>
      </c>
      <c r="I11" s="265" t="n">
        <v>18474</v>
      </c>
      <c r="J11" s="265" t="n">
        <v>23760</v>
      </c>
      <c r="K11" s="265" t="n">
        <v>-3968.866565</v>
      </c>
      <c r="L11" s="265" t="n">
        <v>-103395.592904</v>
      </c>
      <c r="N11" s="265" t="n">
        <v>-105191.631592</v>
      </c>
      <c r="O11" s="265" t="n">
        <v>161325.386394</v>
      </c>
      <c r="P11" s="265" t="n">
        <v>-63773.406258</v>
      </c>
      <c r="Q11" s="265" t="n">
        <v>10584.691022</v>
      </c>
      <c r="S11" s="265" t="n">
        <v>-90301.82169</v>
      </c>
      <c r="T11" s="265" t="n">
        <v>-597.38857</v>
      </c>
      <c r="U11" s="265" t="n">
        <v>-89594.6103</v>
      </c>
      <c r="V11" s="265" t="n">
        <v>-133709.17944</v>
      </c>
      <c r="X11" s="265" t="n">
        <v>-73859.85831</v>
      </c>
      <c r="Y11" s="265" t="n">
        <v>-30337.65972</v>
      </c>
      <c r="Z11" s="265" t="n">
        <v>-154722.58092</v>
      </c>
      <c r="AA11" s="265" t="n">
        <v>929812.34051</v>
      </c>
      <c r="AC11" s="265" t="n">
        <v>-152609.1109</v>
      </c>
      <c r="AD11" s="265" t="n">
        <v>-12683.27525</v>
      </c>
    </row>
    <row r="12">
      <c r="A12" t="inlineStr">
        <is>
          <t>Receitas Financeiras (Consolidado l.33) · fonte · unid. moeda</t>
        </is>
      </c>
      <c r="B12" t="n">
        <v>6</v>
      </c>
      <c r="C12" t="inlineStr">
        <is>
          <t>Nonoperating Income / (Loss)</t>
        </is>
      </c>
      <c r="D12" s="265" t="n">
        <v>225148.916479</v>
      </c>
      <c r="E12" s="265" t="n">
        <v>10131.28014</v>
      </c>
      <c r="F12" s="265" t="n">
        <v>210230.477917</v>
      </c>
      <c r="G12" s="265" t="n">
        <v>290851.325464</v>
      </c>
      <c r="I12" s="265" t="n">
        <v>345152</v>
      </c>
      <c r="J12" s="265" t="n">
        <v>283463</v>
      </c>
      <c r="K12" s="265" t="n">
        <v>246492</v>
      </c>
      <c r="L12" s="265" t="n">
        <v>353934.680599</v>
      </c>
      <c r="N12" s="265" t="n">
        <v>338376</v>
      </c>
      <c r="O12" s="265" t="n">
        <v>183206</v>
      </c>
      <c r="P12" s="265" t="n">
        <v>316416</v>
      </c>
      <c r="Q12" s="265" t="n">
        <v>299504</v>
      </c>
      <c r="S12" s="265" t="n">
        <v>367502.81197</v>
      </c>
      <c r="T12" s="265" t="n">
        <v>382482.00492</v>
      </c>
      <c r="U12" s="265" t="n">
        <v>432027.35158</v>
      </c>
      <c r="V12" s="265" t="n">
        <v>484819.83153</v>
      </c>
      <c r="X12" s="265" t="n">
        <v>455022.8587</v>
      </c>
      <c r="Y12" s="265" t="n">
        <v>516744.1413</v>
      </c>
      <c r="Z12" s="265" t="n">
        <v>567399</v>
      </c>
      <c r="AA12" s="265" t="n">
        <v>540990.3639999999</v>
      </c>
      <c r="AC12" s="265" t="n">
        <v>611519</v>
      </c>
      <c r="AD12" s="265" t="n">
        <v>693054</v>
      </c>
    </row>
    <row r="13">
      <c r="A13" t="inlineStr">
        <is>
          <t>Despesa Financeiras (Consolidado l.34) · fonte · unid. moeda</t>
        </is>
      </c>
      <c r="B13" t="n">
        <v>5</v>
      </c>
      <c r="C13" t="inlineStr">
        <is>
          <t>Interest Expense</t>
        </is>
      </c>
      <c r="D13" s="265" t="n">
        <v>-454957.867286</v>
      </c>
      <c r="E13" s="265" t="n">
        <v>-191112.10572</v>
      </c>
      <c r="F13" s="265" t="n">
        <v>-526933.886687</v>
      </c>
      <c r="G13" s="265" t="n">
        <v>-780951.140307</v>
      </c>
      <c r="I13" s="265" t="n">
        <v>-1017218</v>
      </c>
      <c r="J13" s="265" t="n">
        <v>-1246042</v>
      </c>
      <c r="K13" s="265" t="n">
        <v>-1499372</v>
      </c>
      <c r="L13" s="265" t="n">
        <v>-1595840.510535</v>
      </c>
      <c r="N13" s="265" t="n">
        <v>-1648827</v>
      </c>
      <c r="O13" s="265" t="n">
        <v>-1664541</v>
      </c>
      <c r="P13" s="265" t="n">
        <v>-1877077</v>
      </c>
      <c r="Q13" s="265" t="n">
        <v>-1840783</v>
      </c>
      <c r="S13" s="265" t="n">
        <v>-1808784.18443</v>
      </c>
      <c r="T13" s="265" t="n">
        <v>-1862356.69101</v>
      </c>
      <c r="U13" s="265" t="n">
        <v>-1990900.45149</v>
      </c>
      <c r="V13" s="265" t="n">
        <v>-2181358.18543</v>
      </c>
      <c r="X13" s="265" t="n">
        <v>-2235645</v>
      </c>
      <c r="Y13" s="265" t="n">
        <v>-2445210</v>
      </c>
      <c r="Z13" s="265" t="n">
        <v>-2633139</v>
      </c>
      <c r="AA13" s="265" t="n">
        <v>-2646005</v>
      </c>
      <c r="AC13" s="265" t="n">
        <v>-2595690</v>
      </c>
      <c r="AD13" s="265" t="n">
        <v>-2958432</v>
      </c>
    </row>
    <row r="14">
      <c r="A14" t="inlineStr">
        <is>
          <t>Impostos e contribuições sobre o lucro (Consolidado l.37) · fonte · unid. moeda</t>
        </is>
      </c>
      <c r="B14" t="n">
        <v>7</v>
      </c>
      <c r="C14" t="inlineStr">
        <is>
          <t>Taxes</t>
        </is>
      </c>
      <c r="D14" s="265" t="n">
        <v>-115677.993871</v>
      </c>
      <c r="E14" s="265" t="n">
        <v>-150762.08871</v>
      </c>
      <c r="F14" s="265" t="n">
        <v>-173623.83393</v>
      </c>
      <c r="G14" s="265" t="n">
        <v>-143944.083489</v>
      </c>
      <c r="I14" s="265" t="n">
        <v>-134962</v>
      </c>
      <c r="J14" s="265" t="n">
        <v>-111208</v>
      </c>
      <c r="K14" s="265" t="n">
        <v>-64128</v>
      </c>
      <c r="L14" s="265" t="n">
        <v>263619.712305</v>
      </c>
      <c r="N14" s="265" t="n">
        <v>70277.89576</v>
      </c>
      <c r="O14" s="265" t="n">
        <v>-6886.477127</v>
      </c>
      <c r="P14" s="265" t="n">
        <v>82158.32055800001</v>
      </c>
      <c r="Q14" s="265" t="n">
        <v>231655.263591</v>
      </c>
      <c r="S14" s="265" t="n">
        <v>-16365.50454</v>
      </c>
      <c r="T14" s="265" t="n">
        <v>-79027.01432</v>
      </c>
      <c r="U14" s="265" t="n">
        <v>-41456.35505</v>
      </c>
      <c r="V14" s="265" t="n">
        <v>-178772.75664</v>
      </c>
      <c r="X14" s="265" t="n">
        <v>33112.94772</v>
      </c>
      <c r="Y14" s="265" t="n">
        <v>76221.04517</v>
      </c>
      <c r="Z14" s="265" t="n">
        <v>83718.2697</v>
      </c>
      <c r="AA14" s="265" t="n">
        <v>-239261.91702</v>
      </c>
      <c r="AC14" s="265" t="n">
        <v>58796.69943</v>
      </c>
      <c r="AD14" s="265" t="n">
        <v>40521.43457</v>
      </c>
    </row>
    <row r="15">
      <c r="A15" t="inlineStr">
        <is>
          <t>(-) Prejuízo após os tributos de operações descontinuadas (Consolidado l.41) (operacoes descontinuadas -&gt; cod 6, nao operacional) · fonte · unid. moeda</t>
        </is>
      </c>
      <c r="B15" t="n">
        <v>6</v>
      </c>
      <c r="C15" t="inlineStr">
        <is>
          <t>Nonoperating Income / (Loss)</t>
        </is>
      </c>
      <c r="D15" s="265" t="n">
        <v>0</v>
      </c>
      <c r="E15" s="265" t="n">
        <v>0</v>
      </c>
      <c r="F15" s="265" t="n">
        <v>0</v>
      </c>
      <c r="G15" s="265" t="n">
        <v>0</v>
      </c>
      <c r="I15" s="265" t="n">
        <v>0</v>
      </c>
      <c r="J15" s="265" t="n">
        <v>0</v>
      </c>
      <c r="K15" s="265" t="n">
        <v>0</v>
      </c>
      <c r="L15" s="265" t="n">
        <v>0</v>
      </c>
      <c r="N15" s="265" t="n">
        <v>0</v>
      </c>
      <c r="O15" s="265" t="n">
        <v>0</v>
      </c>
      <c r="P15" s="265" t="n">
        <v>0</v>
      </c>
      <c r="Q15" s="265" t="n">
        <v>0</v>
      </c>
      <c r="S15" s="265" t="n">
        <v>-8805.52716</v>
      </c>
      <c r="T15" s="265" t="n">
        <v>1383.95262</v>
      </c>
      <c r="U15" s="265" t="n">
        <v>1176.55056</v>
      </c>
      <c r="V15" s="265" t="n">
        <v>11006.81092</v>
      </c>
      <c r="X15" s="265" t="n">
        <v>9500.609119999999</v>
      </c>
      <c r="Y15" s="265" t="n">
        <v>5626.11137</v>
      </c>
      <c r="Z15" s="265" t="n">
        <v>8701.46127</v>
      </c>
      <c r="AA15" s="265" t="n">
        <v>-40983.6007</v>
      </c>
      <c r="AC15" s="265" t="n">
        <v>-21214.93637</v>
      </c>
      <c r="AD15" s="265" t="n">
        <v>-24593.78762</v>
      </c>
    </row>
    <row r="16">
      <c r="A16" t="inlineStr">
        <is>
          <t>(=) Lucro líquido do exercício (l.43) - memoria · memoria · unid. moeda</t>
        </is>
      </c>
      <c r="C16" t="inlineStr">
        <is>
          <t>[linha bruta, sem código; lançada nas linhas abaixo]</t>
        </is>
      </c>
      <c r="D16" s="265" t="n">
        <v>171168.073525</v>
      </c>
      <c r="E16" s="265" t="n">
        <v>391832.678634</v>
      </c>
      <c r="F16" s="265" t="n">
        <v>399354.501484</v>
      </c>
      <c r="G16" s="265" t="n">
        <v>366594.746357</v>
      </c>
      <c r="I16" s="265" t="n">
        <v>328523</v>
      </c>
      <c r="J16" s="265" t="n">
        <v>212962.2</v>
      </c>
      <c r="K16" s="265" t="n">
        <v>110998.000459</v>
      </c>
      <c r="L16" s="265" t="n">
        <v>288224.95875</v>
      </c>
      <c r="N16" s="265" t="n">
        <v>76931.62453099999</v>
      </c>
      <c r="O16" s="265" t="n">
        <v>99885.652072</v>
      </c>
      <c r="P16" s="265" t="n">
        <v>-110639.222539</v>
      </c>
      <c r="Q16" s="265" t="n">
        <v>-718028.6193500001</v>
      </c>
      <c r="S16" s="265" t="n">
        <v>72713.03942</v>
      </c>
      <c r="T16" s="265" t="n">
        <v>141848.55972</v>
      </c>
      <c r="U16" s="265" t="n">
        <v>102933.42633</v>
      </c>
      <c r="V16" s="265" t="n">
        <v>-223663.45631</v>
      </c>
      <c r="X16" s="265" t="n">
        <v>11598.45363</v>
      </c>
      <c r="Y16" s="265" t="n">
        <v>-42923.82402</v>
      </c>
      <c r="Z16" s="265" t="n">
        <v>-238511.52665</v>
      </c>
      <c r="AA16" s="265" t="n">
        <v>482828.32701</v>
      </c>
      <c r="AC16" s="265" t="n">
        <v>-174276.65191</v>
      </c>
      <c r="AD16" s="265" t="n">
        <v>-151121.80248</v>
      </c>
    </row>
    <row r="17">
      <c r="A17" t="inlineStr">
        <is>
          <t>(=) Lucro líquido do Controladores (l.46) - memoria · memoria · unid. moeda</t>
        </is>
      </c>
      <c r="C17" t="inlineStr">
        <is>
          <t>[linha bruta, sem código; lançada nas linhas abaixo]</t>
        </is>
      </c>
      <c r="D17" s="265" t="n">
        <v>94243</v>
      </c>
      <c r="E17" s="265" t="n">
        <v>267247</v>
      </c>
      <c r="F17" s="265" t="n">
        <v>245763</v>
      </c>
      <c r="G17" s="265" t="n">
        <v>215002</v>
      </c>
      <c r="I17" s="265" t="n">
        <v>191676</v>
      </c>
      <c r="J17" s="265" t="n">
        <v>101977</v>
      </c>
      <c r="K17" s="265" t="n">
        <v>18501</v>
      </c>
      <c r="L17" s="265" t="n">
        <v>169929</v>
      </c>
      <c r="N17" s="265" t="n">
        <v>6189</v>
      </c>
      <c r="O17" s="265" t="n">
        <v>12329</v>
      </c>
      <c r="P17" s="265" t="n">
        <v>-136515</v>
      </c>
      <c r="Q17" s="265" t="n">
        <v>-377224</v>
      </c>
      <c r="S17" s="265" t="n">
        <v>-13055.23078</v>
      </c>
      <c r="T17" s="265" t="n">
        <v>49299.83453</v>
      </c>
      <c r="U17" s="265" t="n">
        <v>10842.24994</v>
      </c>
      <c r="V17" s="265" t="n">
        <v>-245242.47127</v>
      </c>
      <c r="X17" s="265" t="n">
        <v>-50953</v>
      </c>
      <c r="Y17" s="265" t="n">
        <v>-96291</v>
      </c>
      <c r="Z17" s="265" t="n">
        <v>-246193</v>
      </c>
      <c r="AA17" s="265" t="n">
        <v>432908</v>
      </c>
      <c r="AC17" s="265" t="n">
        <v>-179597.33257</v>
      </c>
      <c r="AD17" s="265" t="n">
        <v>-189469.66743</v>
      </c>
    </row>
    <row r="18">
      <c r="A18" t="inlineStr">
        <is>
          <t>EBIT (l.28) - memoria · memoria · unid. moeda</t>
        </is>
      </c>
      <c r="C18" t="inlineStr">
        <is>
          <t>[linha bruta, sem código; lançada nas linhas abaixo]</t>
        </is>
      </c>
      <c r="D18" s="265" t="n">
        <v>516655.018203</v>
      </c>
      <c r="E18" s="265" t="n">
        <v>723575.592924</v>
      </c>
      <c r="F18" s="265" t="n">
        <v>889681.744184</v>
      </c>
      <c r="G18" s="265" t="n">
        <v>1000638.644689</v>
      </c>
      <c r="I18" s="265" t="n">
        <v>1135551</v>
      </c>
      <c r="J18" s="265" t="n">
        <v>1286749.2</v>
      </c>
      <c r="K18" s="265" t="n">
        <v>1428006.000459</v>
      </c>
      <c r="L18" s="265" t="n">
        <v>1266511.076381</v>
      </c>
      <c r="N18" s="265" t="n">
        <v>1317104.72877</v>
      </c>
      <c r="O18" s="265" t="n">
        <v>1588107.129199</v>
      </c>
      <c r="P18" s="265" t="n">
        <v>1367863.456903</v>
      </c>
      <c r="Q18" s="265" t="n">
        <v>591595.117059</v>
      </c>
      <c r="S18" s="265" t="n">
        <v>1539165.44358</v>
      </c>
      <c r="T18" s="265" t="n">
        <v>1699366.30751</v>
      </c>
      <c r="U18" s="265" t="n">
        <v>1702086.33073</v>
      </c>
      <c r="V18" s="265" t="n">
        <v>1640640.84331</v>
      </c>
      <c r="X18" s="265" t="n">
        <v>1749607.03809</v>
      </c>
      <c r="Y18" s="265" t="n">
        <v>1803694.87814</v>
      </c>
      <c r="Z18" s="265" t="n">
        <v>1734808.74238</v>
      </c>
      <c r="AA18" s="265" t="n">
        <v>2868088.48073</v>
      </c>
      <c r="AC18" s="265" t="n">
        <v>1772312.58503</v>
      </c>
      <c r="AD18" s="265" t="n">
        <v>2098328.55057</v>
      </c>
    </row>
    <row r="19">
      <c r="A19" t="inlineStr">
        <is>
          <t>EBITDA (l.49, como divulgado) - memoria · memoria · unid. moeda</t>
        </is>
      </c>
      <c r="C19" t="inlineStr">
        <is>
          <t>[linha bruta, sem código; lançada nas linhas abaixo]</t>
        </is>
      </c>
      <c r="D19" s="265" t="n">
        <v>733704.018203</v>
      </c>
      <c r="E19" s="265" t="n">
        <v>965009.871226</v>
      </c>
      <c r="F19" s="265" t="n">
        <v>1165521.110571</v>
      </c>
      <c r="G19" s="265" t="n">
        <v>1325431.002642</v>
      </c>
      <c r="I19" s="265" t="n">
        <v>1513044</v>
      </c>
      <c r="J19" s="265" t="n">
        <v>1702956.997424</v>
      </c>
      <c r="K19" s="265" t="n">
        <v>1938071.306386</v>
      </c>
      <c r="L19" s="265" t="n">
        <v>1849021.97303</v>
      </c>
      <c r="N19" s="265" t="n">
        <v>1963864.513621</v>
      </c>
      <c r="O19" s="265" t="n">
        <v>2267493.125676</v>
      </c>
      <c r="P19" s="265" t="n">
        <v>2084944.463603</v>
      </c>
      <c r="Q19" s="265" t="n">
        <v>1652320.961532</v>
      </c>
      <c r="S19" s="265" t="n">
        <v>2361145.21292</v>
      </c>
      <c r="T19" s="265" t="n">
        <v>2597009.52965</v>
      </c>
      <c r="U19" s="265" t="n">
        <v>2699280.85968</v>
      </c>
      <c r="V19" s="265" t="n">
        <v>2614943.21323</v>
      </c>
      <c r="X19" s="265" t="n">
        <v>2802020.29992</v>
      </c>
      <c r="Y19" s="265" t="n">
        <v>2922635.77782</v>
      </c>
      <c r="Z19" s="265" t="n">
        <v>2906870.71613</v>
      </c>
      <c r="AA19" s="265" t="n">
        <v>4066058.14928</v>
      </c>
      <c r="AC19" s="265" t="n">
        <v>3012239.12156</v>
      </c>
      <c r="AD19" s="265" t="n">
        <v>3351882.69447</v>
      </c>
    </row>
    <row r="20">
      <c r="A20" t="inlineStr">
        <is>
          <t>EBITDA-A (l.53; EBITDA + custo de venda de ativos) - memoria · memoria · unid. moeda</t>
        </is>
      </c>
      <c r="C20" t="inlineStr">
        <is>
          <t>[linha bruta, sem código; lançada nas linhas abaixo]</t>
        </is>
      </c>
      <c r="D20" s="265" t="n">
        <v>1044760.562233</v>
      </c>
      <c r="E20" s="265" t="n">
        <v>1484488.575366</v>
      </c>
      <c r="F20" s="265" t="n">
        <v>1824339.203811</v>
      </c>
      <c r="G20" s="265" t="n">
        <v>1913857.661232</v>
      </c>
      <c r="I20" s="265" t="n">
        <v>2243134</v>
      </c>
      <c r="J20" s="265" t="n">
        <v>2661085.997424</v>
      </c>
      <c r="K20" s="265" t="n">
        <v>3172205.306386</v>
      </c>
      <c r="L20" s="265" t="n">
        <v>3092860.62998</v>
      </c>
      <c r="N20" s="265" t="n">
        <v>3381133.289851</v>
      </c>
      <c r="O20" s="265" t="n">
        <v>3481054.737336</v>
      </c>
      <c r="P20" s="265" t="n">
        <v>3558423.701003</v>
      </c>
      <c r="Q20" s="265" t="n">
        <v>2914718.9402</v>
      </c>
      <c r="S20" s="265" t="n">
        <v>3977326.49146</v>
      </c>
      <c r="T20" s="265" t="n">
        <v>4514738.19576</v>
      </c>
      <c r="U20" s="265" t="n">
        <v>4818045.89871</v>
      </c>
      <c r="V20" s="265" t="n">
        <v>4148847.44873</v>
      </c>
      <c r="X20" s="265" t="n">
        <v>4707319.66545</v>
      </c>
      <c r="Y20" s="265" t="n">
        <v>4795620.96391</v>
      </c>
      <c r="Z20" s="265" t="n">
        <v>5010240.36247</v>
      </c>
      <c r="AA20" s="265" t="n">
        <v>5880708.68005</v>
      </c>
      <c r="AC20" s="265" t="n">
        <v>4910000.03023</v>
      </c>
      <c r="AD20" s="265" t="n">
        <v>4961988.32021</v>
      </c>
    </row>
    <row r="21">
      <c r="A21" t="inlineStr">
        <is>
          <t>DFC - ACUMULADO NO ANO (aba Fluxo de caixa; R$ milhoes). ATENCAO: colunas de periodos diferentes vem de documentos com reapresentacoes (ex.: 9M20 &lt; 6M20 em dividendos)</t>
        </is>
      </c>
      <c r="C21" t="inlineStr">
        <is>
          <t>[linha bruta, sem código; lançada nas linhas abaixo]</t>
        </is>
      </c>
      <c r="D21" s="265" t="n"/>
      <c r="E21" s="265" t="n"/>
      <c r="F21" s="265" t="n"/>
      <c r="G21" s="265" t="n"/>
      <c r="I21" s="265" t="n"/>
      <c r="J21" s="265" t="n"/>
      <c r="K21" s="265" t="n"/>
      <c r="L21" s="265" t="n"/>
      <c r="N21" s="265" t="n"/>
      <c r="O21" s="265" t="n"/>
      <c r="P21" s="265" t="n"/>
      <c r="Q21" s="265" t="n"/>
      <c r="S21" s="265" t="n"/>
      <c r="T21" s="265" t="n"/>
      <c r="U21" s="265" t="n"/>
      <c r="V21" s="265" t="n"/>
      <c r="X21" s="265" t="n"/>
      <c r="Y21" s="265" t="n"/>
      <c r="Z21" s="265" t="n"/>
      <c r="AA21" s="265" t="n"/>
      <c r="AC21" s="265" t="n"/>
      <c r="AD21" s="265" t="n"/>
    </row>
    <row r="22">
      <c r="A22" t="inlineStr">
        <is>
          <t>Dividendos e JCP pagos (DFC l.59, acum.) · memoria · unid. moeda</t>
        </is>
      </c>
      <c r="C22" t="inlineStr">
        <is>
          <t>[linha bruta, sem código; lançada nas linhas abaixo]</t>
        </is>
      </c>
      <c r="D22" s="265" t="n">
        <v>-23249</v>
      </c>
      <c r="E22" s="265" t="n">
        <v>-83506</v>
      </c>
      <c r="F22" s="265" t="n">
        <v>-113606</v>
      </c>
      <c r="G22" s="265" t="n">
        <v>-226573</v>
      </c>
      <c r="I22" s="265" t="n">
        <v>-125184</v>
      </c>
      <c r="J22" s="265" t="n">
        <v>-546665</v>
      </c>
      <c r="K22" s="265" t="n">
        <v>-595858</v>
      </c>
      <c r="L22" s="265" t="n">
        <v>-415184</v>
      </c>
      <c r="N22" s="265" t="n">
        <v>-125974</v>
      </c>
      <c r="O22" s="265" t="n">
        <v>-235098</v>
      </c>
      <c r="P22" s="265" t="n">
        <v>-257782</v>
      </c>
      <c r="Q22" s="265" t="n">
        <v>-481563</v>
      </c>
      <c r="S22" s="265" t="n">
        <v>0</v>
      </c>
      <c r="T22" s="265" t="n">
        <v>0</v>
      </c>
      <c r="U22" s="265" t="n">
        <v>-112087</v>
      </c>
      <c r="V22" s="265" t="n">
        <v>-157178</v>
      </c>
      <c r="X22" s="265" t="n">
        <v>-40884</v>
      </c>
      <c r="Y22" s="265" t="n">
        <v>-230635</v>
      </c>
      <c r="Z22" s="265" t="n">
        <v>-236437</v>
      </c>
      <c r="AA22" s="265" t="n">
        <v>-229051</v>
      </c>
      <c r="AC22" s="265" t="n">
        <v>0</v>
      </c>
      <c r="AD22" s="265" t="n">
        <v>-168720</v>
      </c>
    </row>
    <row r="23">
      <c r="A23" t="inlineStr">
        <is>
          <t>Depreciacao, amortizacao e impairment (DFC l.8, acum.) - memoria · memoria · unid. moeda</t>
        </is>
      </c>
      <c r="C23" t="inlineStr">
        <is>
          <t>[linha bruta, sem código; lançada nas linhas abaixo]</t>
        </is>
      </c>
      <c r="D23" s="265" t="n">
        <v>217049</v>
      </c>
      <c r="E23" s="265" t="n">
        <v>458483</v>
      </c>
      <c r="F23" s="265" t="n">
        <v>734322</v>
      </c>
      <c r="G23" s="265" t="n">
        <v>1059114</v>
      </c>
      <c r="I23" s="265" t="n">
        <v>377493</v>
      </c>
      <c r="J23" s="265" t="n">
        <v>793699</v>
      </c>
      <c r="K23" s="265" t="n">
        <v>1303765</v>
      </c>
      <c r="L23" s="265" t="n">
        <v>1895775</v>
      </c>
      <c r="N23" s="265" t="n">
        <v>646761</v>
      </c>
      <c r="O23" s="265" t="n">
        <v>1326146</v>
      </c>
      <c r="P23" s="265" t="n">
        <v>2043227</v>
      </c>
      <c r="Q23" s="265" t="n">
        <v>3481049</v>
      </c>
      <c r="S23" s="265" t="n">
        <v>813581</v>
      </c>
      <c r="T23" s="265" t="n">
        <v>1858994</v>
      </c>
      <c r="U23" s="265" t="n">
        <v>2914121</v>
      </c>
      <c r="V23" s="265" t="n">
        <v>4010493</v>
      </c>
      <c r="X23" s="265" t="n">
        <v>1070425</v>
      </c>
      <c r="Y23" s="265" t="n">
        <v>2322567</v>
      </c>
      <c r="Z23" s="265" t="n">
        <v>3646428</v>
      </c>
      <c r="AA23" s="265" t="n">
        <v>4882131</v>
      </c>
      <c r="AC23" s="265" t="n">
        <v>1340958</v>
      </c>
      <c r="AD23" s="265" t="n">
        <v>1291856</v>
      </c>
    </row>
    <row r="24">
      <c r="A24" t="inlineStr">
        <is>
          <t>Compra de imobilizado operacional para locacao (DFC l.32, acum.) - memoria · memoria · unid. moeda</t>
        </is>
      </c>
      <c r="C24" t="inlineStr">
        <is>
          <t>[linha bruta, sem código; lançada nas linhas abaixo]</t>
        </is>
      </c>
      <c r="D24" s="265" t="n">
        <v>-1766086</v>
      </c>
      <c r="E24" s="265" t="n">
        <v>-3980548</v>
      </c>
      <c r="F24" s="265" t="n">
        <v>-7316132</v>
      </c>
      <c r="G24" s="265" t="n">
        <v>-10084996</v>
      </c>
      <c r="I24" s="265" t="n">
        <v>-3561009</v>
      </c>
      <c r="J24" s="265" t="n">
        <v>-7501827</v>
      </c>
      <c r="K24" s="265" t="n">
        <v>-12980307</v>
      </c>
      <c r="L24" s="265" t="n">
        <v>-15080412</v>
      </c>
      <c r="N24" s="265" t="n">
        <v>-3703141</v>
      </c>
      <c r="O24" s="265" t="n">
        <v>-6491819</v>
      </c>
      <c r="P24" s="265" t="n">
        <v>-9095136</v>
      </c>
      <c r="Q24" s="265" t="n">
        <v>-10477540</v>
      </c>
      <c r="S24" s="265" t="n">
        <v>-4241138</v>
      </c>
      <c r="T24" s="265" t="n">
        <v>-8468889</v>
      </c>
      <c r="U24" s="265" t="n">
        <v>-11831202</v>
      </c>
      <c r="V24" s="265" t="n">
        <v>-14859243</v>
      </c>
      <c r="X24" s="265" t="n">
        <v>-2614813</v>
      </c>
      <c r="Y24" s="265" t="n">
        <v>-6178595</v>
      </c>
      <c r="Z24" s="265" t="n">
        <v>-8977631</v>
      </c>
      <c r="AA24" s="265" t="n">
        <v>-12997609</v>
      </c>
      <c r="AC24" s="265" t="n">
        <v>-1809101</v>
      </c>
      <c r="AD24" s="265" t="n">
        <v>-4642176</v>
      </c>
    </row>
    <row r="25">
      <c r="A25" t="inlineStr">
        <is>
          <t>DERIVADAS (formula nesta aba)</t>
        </is>
      </c>
      <c r="C25" t="inlineStr">
        <is>
          <t>[linha bruta, sem código; lançada nas linhas abaixo]</t>
        </is>
      </c>
      <c r="D25" s="265" t="n"/>
      <c r="E25" s="265" t="n"/>
      <c r="F25" s="265" t="n"/>
      <c r="G25" s="265" t="n"/>
      <c r="I25" s="265" t="n"/>
      <c r="J25" s="265" t="n"/>
      <c r="K25" s="265" t="n"/>
      <c r="L25" s="265" t="n"/>
      <c r="N25" s="265" t="n"/>
      <c r="O25" s="265" t="n"/>
      <c r="P25" s="265" t="n"/>
      <c r="Q25" s="265" t="n"/>
      <c r="S25" s="265" t="n"/>
      <c r="T25" s="265" t="n"/>
      <c r="U25" s="265" t="n"/>
      <c r="V25" s="265" t="n"/>
      <c r="X25" s="265" t="n"/>
      <c r="Y25" s="265" t="n"/>
      <c r="Z25" s="265" t="n"/>
      <c r="AA25" s="265" t="n"/>
      <c r="AC25" s="265" t="n"/>
      <c r="AD25" s="265" t="n"/>
    </row>
    <row r="26">
      <c r="A26" t="inlineStr">
        <is>
          <t>D&amp;A = EBITDA - EBIT divulgados (l.49 - l.28). COD1=4 lanca; COD2=2 devolve ao custo (depreciacao da frota esta no custo) · derivada · unid. moeda</t>
        </is>
      </c>
      <c r="C26" t="inlineStr">
        <is>
          <t>[linha bruta, sem código; lançada nas linhas abaixo]</t>
        </is>
      </c>
      <c r="D26" s="265">
        <f>D19-D18</f>
        <v>217049</v>
      </c>
      <c r="E26" s="265">
        <f>E19-E18</f>
        <v>241434.278302</v>
      </c>
      <c r="F26" s="265">
        <f>F19-F18</f>
        <v>275839.366387</v>
      </c>
      <c r="G26" s="265">
        <f>G19-G18</f>
        <v>324792.357953</v>
      </c>
      <c r="I26" s="265">
        <f>I19-I18</f>
        <v>377493</v>
      </c>
      <c r="J26" s="265">
        <f>J19-J18</f>
        <v>416207.797424</v>
      </c>
      <c r="K26" s="265">
        <f>K19-K18</f>
        <v>510065.305927</v>
      </c>
      <c r="L26" s="265">
        <f>L19-L18</f>
        <v>582510.896649</v>
      </c>
      <c r="N26" s="265">
        <f>N19-N18</f>
        <v>646759.784851</v>
      </c>
      <c r="O26" s="265">
        <f>O19-O18</f>
        <v>679385.996477</v>
      </c>
      <c r="P26" s="265">
        <f>P19-P18</f>
        <v>717081.0067</v>
      </c>
      <c r="Q26" s="265">
        <f>Q19-Q18</f>
        <v>1060725.844473</v>
      </c>
      <c r="S26" s="265">
        <f>S19-S18</f>
        <v>821979.76934</v>
      </c>
      <c r="T26" s="265">
        <f>T19-T18</f>
        <v>897643.22214</v>
      </c>
      <c r="U26" s="265">
        <f>U19-U18</f>
        <v>997194.52895</v>
      </c>
      <c r="V26" s="265">
        <f>V19-V18</f>
        <v>974302.36992</v>
      </c>
      <c r="X26" s="265">
        <f>X19-X18</f>
        <v>1052413.26183</v>
      </c>
      <c r="Y26" s="265">
        <f>Y19-Y18</f>
        <v>1118940.89968</v>
      </c>
      <c r="Z26" s="265">
        <f>Z19-Z18</f>
        <v>1172061.97375</v>
      </c>
      <c r="AA26" s="265">
        <f>AA19-AA18</f>
        <v>1197969.66855</v>
      </c>
      <c r="AC26" s="265">
        <f>AC19-AC18</f>
        <v>1239926.53653</v>
      </c>
      <c r="AD26" s="265">
        <f>AD19-AD18</f>
        <v>1253554.1439</v>
      </c>
    </row>
    <row r="27">
      <c r="A27" t="inlineStr">
        <is>
          <t>(lançamento) código 4, sinal -1 sobre a linha bruta 26: D&amp;A = EBITDA - EBIT divulgados (l.49 - l.28). COD1=4 lanca; COD2=2 devolve ao custo (depre</t>
        </is>
      </c>
      <c r="B27" t="n">
        <v>4</v>
      </c>
      <c r="C27" t="inlineStr">
        <is>
          <t>D&amp;A</t>
        </is>
      </c>
      <c r="D27" s="265">
        <f>IF(D26="","",-1*D26)</f>
        <v>-217049</v>
      </c>
      <c r="E27" s="265">
        <f>IF(E26="","",-1*E26)</f>
        <v>-241434.278302</v>
      </c>
      <c r="F27" s="265">
        <f>IF(F26="","",-1*F26)</f>
        <v>-275839.366387</v>
      </c>
      <c r="G27" s="265">
        <f>IF(G26="","",-1*G26)</f>
        <v>-324792.357953</v>
      </c>
      <c r="I27" s="265">
        <f>IF(I26="","",-1*I26)</f>
        <v>-377493</v>
      </c>
      <c r="J27" s="265">
        <f>IF(J26="","",-1*J26)</f>
        <v>-416207.797424</v>
      </c>
      <c r="K27" s="265">
        <f>IF(K26="","",-1*K26)</f>
        <v>-510065.305927</v>
      </c>
      <c r="L27" s="265">
        <f>IF(L26="","",-1*L26)</f>
        <v>-582510.896649</v>
      </c>
      <c r="N27" s="265">
        <f>IF(N26="","",-1*N26)</f>
        <v>-646759.784851</v>
      </c>
      <c r="O27" s="265">
        <f>IF(O26="","",-1*O26)</f>
        <v>-679385.996477</v>
      </c>
      <c r="P27" s="265">
        <f>IF(P26="","",-1*P26)</f>
        <v>-717081.0067</v>
      </c>
      <c r="Q27" s="265">
        <f>IF(Q26="","",-1*Q26)</f>
        <v>-1060725.844473</v>
      </c>
      <c r="S27" s="265">
        <f>IF(S26="","",-1*S26)</f>
        <v>-821979.76934</v>
      </c>
      <c r="T27" s="265">
        <f>IF(T26="","",-1*T26)</f>
        <v>-897643.22214</v>
      </c>
      <c r="U27" s="265">
        <f>IF(U26="","",-1*U26)</f>
        <v>-997194.52895</v>
      </c>
      <c r="V27" s="265">
        <f>IF(V26="","",-1*V26)</f>
        <v>-974302.36992</v>
      </c>
      <c r="X27" s="265">
        <f>IF(X26="","",-1*X26)</f>
        <v>-1052413.26183</v>
      </c>
      <c r="Y27" s="265">
        <f>IF(Y26="","",-1*Y26)</f>
        <v>-1118940.89968</v>
      </c>
      <c r="Z27" s="265">
        <f>IF(Z26="","",-1*Z26)</f>
        <v>-1172061.97375</v>
      </c>
      <c r="AA27" s="265">
        <f>IF(AA26="","",-1*AA26)</f>
        <v>-1197969.66855</v>
      </c>
      <c r="AC27" s="265">
        <f>IF(AC26="","",-1*AC26)</f>
        <v>-1239926.53653</v>
      </c>
      <c r="AD27" s="265">
        <f>IF(AD26="","",-1*AD26)</f>
        <v>-1253554.1439</v>
      </c>
    </row>
    <row r="28">
      <c r="A28" t="inlineStr">
        <is>
          <t>(lançamento) código 2, sinal +1 sobre a linha bruta 26: D&amp;A = EBITDA - EBIT divulgados (l.49 - l.28). COD1=4 lanca; COD2=2 devolve ao custo (depre</t>
        </is>
      </c>
      <c r="B28" t="n">
        <v>2</v>
      </c>
      <c r="C28" t="inlineStr">
        <is>
          <t>COGS (cash)</t>
        </is>
      </c>
      <c r="D28" s="265">
        <f>IF(D26="","",D26)</f>
        <v>217049</v>
      </c>
      <c r="E28" s="265">
        <f>IF(E26="","",E26)</f>
        <v>241434.278302</v>
      </c>
      <c r="F28" s="265">
        <f>IF(F26="","",F26)</f>
        <v>275839.366387</v>
      </c>
      <c r="G28" s="265">
        <f>IF(G26="","",G26)</f>
        <v>324792.357953</v>
      </c>
      <c r="I28" s="265">
        <f>IF(I26="","",I26)</f>
        <v>377493</v>
      </c>
      <c r="J28" s="265">
        <f>IF(J26="","",J26)</f>
        <v>416207.797424</v>
      </c>
      <c r="K28" s="265">
        <f>IF(K26="","",K26)</f>
        <v>510065.305927</v>
      </c>
      <c r="L28" s="265">
        <f>IF(L26="","",L26)</f>
        <v>582510.896649</v>
      </c>
      <c r="N28" s="265">
        <f>IF(N26="","",N26)</f>
        <v>646759.784851</v>
      </c>
      <c r="O28" s="265">
        <f>IF(O26="","",O26)</f>
        <v>679385.996477</v>
      </c>
      <c r="P28" s="265">
        <f>IF(P26="","",P26)</f>
        <v>717081.0067</v>
      </c>
      <c r="Q28" s="265">
        <f>IF(Q26="","",Q26)</f>
        <v>1060725.844473</v>
      </c>
      <c r="S28" s="265">
        <f>IF(S26="","",S26)</f>
        <v>821979.76934</v>
      </c>
      <c r="T28" s="265">
        <f>IF(T26="","",T26)</f>
        <v>897643.22214</v>
      </c>
      <c r="U28" s="265">
        <f>IF(U26="","",U26)</f>
        <v>997194.52895</v>
      </c>
      <c r="V28" s="265">
        <f>IF(V26="","",V26)</f>
        <v>974302.36992</v>
      </c>
      <c r="X28" s="265">
        <f>IF(X26="","",X26)</f>
        <v>1052413.26183</v>
      </c>
      <c r="Y28" s="265">
        <f>IF(Y26="","",Y26)</f>
        <v>1118940.89968</v>
      </c>
      <c r="Z28" s="265">
        <f>IF(Z26="","",Z26)</f>
        <v>1172061.97375</v>
      </c>
      <c r="AA28" s="265">
        <f>IF(AA26="","",AA26)</f>
        <v>1197969.66855</v>
      </c>
      <c r="AC28" s="265">
        <f>IF(AC26="","",AC26)</f>
        <v>1239926.53653</v>
      </c>
      <c r="AD28" s="265">
        <f>IF(AD26="","",AD26)</f>
        <v>1253554.1439</v>
      </c>
    </row>
    <row r="29">
      <c r="A29" t="inlineStr">
        <is>
          <t>Participacao de nao controladores = lucro dos controladores - lucro total (l.46 - l.43; negativo quando os minoritarios tem lucro) · derivada · unid. moeda</t>
        </is>
      </c>
      <c r="B29" t="n">
        <v>9</v>
      </c>
      <c r="C29" t="inlineStr">
        <is>
          <t>Minority Interest Expense, after tax (enter as - )</t>
        </is>
      </c>
      <c r="D29" s="265">
        <f>D17-D16</f>
        <v>-76925.073525</v>
      </c>
      <c r="E29" s="265">
        <f>E17-E16</f>
        <v>-124585.678634</v>
      </c>
      <c r="F29" s="265">
        <f>F17-F16</f>
        <v>-153591.501484</v>
      </c>
      <c r="G29" s="265">
        <f>G17-G16</f>
        <v>-151592.746357</v>
      </c>
      <c r="I29" s="265">
        <f>I17-I16</f>
        <v>-136847</v>
      </c>
      <c r="J29" s="265">
        <f>J17-J16</f>
        <v>-110985.2</v>
      </c>
      <c r="K29" s="265">
        <f>K17-K16</f>
        <v>-92497.000459</v>
      </c>
      <c r="L29" s="265">
        <f>L17-L16</f>
        <v>-118295.95875</v>
      </c>
      <c r="N29" s="265">
        <f>N17-N16</f>
        <v>-70742.624531</v>
      </c>
      <c r="O29" s="265">
        <f>O17-O16</f>
        <v>-87556.652072</v>
      </c>
      <c r="P29" s="265">
        <f>P17-P16</f>
        <v>-25875.777461</v>
      </c>
      <c r="Q29" s="265">
        <f>Q17-Q16</f>
        <v>340804.61935</v>
      </c>
      <c r="S29" s="265">
        <f>S17-S16</f>
        <v>-85768.2702</v>
      </c>
      <c r="T29" s="265">
        <f>T17-T16</f>
        <v>-92548.72519</v>
      </c>
      <c r="U29" s="265">
        <f>U17-U16</f>
        <v>-92091.17639</v>
      </c>
      <c r="V29" s="265">
        <f>V17-V16</f>
        <v>-21579.01496</v>
      </c>
      <c r="X29" s="265">
        <f>X17-X16</f>
        <v>-62551.45363</v>
      </c>
      <c r="Y29" s="265">
        <f>Y17-Y16</f>
        <v>-53367.17598</v>
      </c>
      <c r="Z29" s="265">
        <f>Z17-Z16</f>
        <v>-7681.47334999999</v>
      </c>
      <c r="AA29" s="265">
        <f>AA17-AA16</f>
        <v>-49920.32701</v>
      </c>
      <c r="AC29" s="265">
        <f>AC17-AC16</f>
        <v>-5320.68066000001</v>
      </c>
      <c r="AD29" s="265">
        <f>AD17-AD16</f>
        <v>-38347.86495</v>
      </c>
    </row>
    <row r="30">
      <c r="A30" t="inlineStr">
        <is>
          <t>Lucro liquido dos controladores (l.46) - COD 44 alimenta o check IS do Model (linha 4) · derivada · unid. moeda</t>
        </is>
      </c>
      <c r="B30" t="n">
        <v>44</v>
      </c>
      <c r="C30" t="inlineStr">
        <is>
          <t>Lucro liquido dos controladores (l.46) - COD 44 alimenta o c</t>
        </is>
      </c>
      <c r="D30" s="265">
        <f>D17</f>
        <v>94243</v>
      </c>
      <c r="E30" s="265">
        <f>E17</f>
        <v>267247</v>
      </c>
      <c r="F30" s="265">
        <f>F17</f>
        <v>245763</v>
      </c>
      <c r="G30" s="265">
        <f>G17</f>
        <v>215002</v>
      </c>
      <c r="I30" s="265">
        <f>I17</f>
        <v>191676</v>
      </c>
      <c r="J30" s="265">
        <f>J17</f>
        <v>101977</v>
      </c>
      <c r="K30" s="265">
        <f>K17</f>
        <v>18501</v>
      </c>
      <c r="L30" s="265">
        <f>L17</f>
        <v>169929</v>
      </c>
      <c r="N30" s="265">
        <f>N17</f>
        <v>6189</v>
      </c>
      <c r="O30" s="265">
        <f>O17</f>
        <v>12329</v>
      </c>
      <c r="P30" s="265">
        <f>P17</f>
        <v>-136515</v>
      </c>
      <c r="Q30" s="265">
        <f>Q17</f>
        <v>-377224</v>
      </c>
      <c r="S30" s="265">
        <f>S17</f>
        <v>-13055.23078</v>
      </c>
      <c r="T30" s="265">
        <f>T17</f>
        <v>49299.83453</v>
      </c>
      <c r="U30" s="265">
        <f>U17</f>
        <v>10842.24994</v>
      </c>
      <c r="V30" s="265">
        <f>V17</f>
        <v>-245242.47127</v>
      </c>
      <c r="X30" s="265">
        <f>X17</f>
        <v>-50953</v>
      </c>
      <c r="Y30" s="265">
        <f>Y17</f>
        <v>-96291</v>
      </c>
      <c r="Z30" s="265">
        <f>Z17</f>
        <v>-246193</v>
      </c>
      <c r="AA30" s="265">
        <f>AA17</f>
        <v>432908</v>
      </c>
      <c r="AC30" s="265">
        <f>AC17</f>
        <v>-179597.33257</v>
      </c>
      <c r="AD30" s="265">
        <f>AD17</f>
        <v>-189469.66743</v>
      </c>
    </row>
    <row r="31">
      <c r="A31" t="inlineStr">
        <is>
          <t>Dividendos e JCP pagos (DFC trimestralizado; trimestres com reapresentacao podem sair positivos) · derivada · unid. moeda</t>
        </is>
      </c>
      <c r="B31" t="n">
        <v>10</v>
      </c>
      <c r="C31" t="inlineStr">
        <is>
          <t>Common Dividends</t>
        </is>
      </c>
      <c r="D31" s="265">
        <f>N(D22)</f>
        <v>-23249</v>
      </c>
      <c r="E31" s="265">
        <f>N(E22)-N(D22)</f>
        <v>-60257</v>
      </c>
      <c r="F31" s="265">
        <f>N(F22)-N(E22)</f>
        <v>-30100</v>
      </c>
      <c r="G31" s="265">
        <f>N(G22)-N(F22)</f>
        <v>-112967</v>
      </c>
      <c r="I31" s="265">
        <f>N(I22)</f>
        <v>-125184</v>
      </c>
      <c r="J31" s="265">
        <f>N(J22)-N(I22)</f>
        <v>-421481</v>
      </c>
      <c r="K31" s="265">
        <f>N(K22)-N(J22)</f>
        <v>-49193</v>
      </c>
      <c r="L31" s="265">
        <f>N(L22)-N(K22)</f>
        <v>180674</v>
      </c>
      <c r="N31" s="265">
        <f>N(N22)</f>
        <v>-125974</v>
      </c>
      <c r="O31" s="265">
        <f>N(O22)-N(N22)</f>
        <v>-109124</v>
      </c>
      <c r="P31" s="265">
        <f>N(P22)-N(O22)</f>
        <v>-22684</v>
      </c>
      <c r="Q31" s="265">
        <f>N(Q22)-N(P22)</f>
        <v>-223781</v>
      </c>
      <c r="S31" s="265">
        <f>N(S22)</f>
        <v>0</v>
      </c>
      <c r="T31" s="265">
        <f>N(T22)-N(S22)</f>
        <v>0</v>
      </c>
      <c r="U31" s="265">
        <f>N(U22)-N(T22)</f>
        <v>-112087</v>
      </c>
      <c r="V31" s="265">
        <f>N(V22)-N(U22)</f>
        <v>-45091</v>
      </c>
      <c r="X31" s="265">
        <f>N(X22)</f>
        <v>-40884</v>
      </c>
      <c r="Y31" s="265">
        <f>N(Y22)-N(X22)</f>
        <v>-189751</v>
      </c>
      <c r="Z31" s="265">
        <f>N(Z22)-N(Y22)</f>
        <v>-5802</v>
      </c>
      <c r="AA31" s="265">
        <f>N(AA22)-N(Z22)</f>
        <v>7386</v>
      </c>
      <c r="AC31" s="265">
        <f>N(AC22)</f>
        <v>0</v>
      </c>
      <c r="AD31" s="265">
        <f>N(AD22)-N(AC22)</f>
        <v>-168720</v>
      </c>
    </row>
    <row r="32">
      <c r="A32" t="inlineStr">
        <is>
          <t>Capex de frota (DFC trimestralizado) - memoria · derivada · unid. moeda</t>
        </is>
      </c>
      <c r="C32" t="inlineStr">
        <is>
          <t>[linha bruta, sem código; lançada nas linhas abaixo]</t>
        </is>
      </c>
      <c r="D32" s="265">
        <f>N(D24)</f>
        <v>-1766086</v>
      </c>
      <c r="E32" s="265">
        <f>N(E24)-N(D24)</f>
        <v>-2214462</v>
      </c>
      <c r="F32" s="265">
        <f>N(F24)-N(E24)</f>
        <v>-3335584</v>
      </c>
      <c r="G32" s="265">
        <f>N(G24)-N(F24)</f>
        <v>-2768864</v>
      </c>
      <c r="I32" s="265">
        <f>N(I24)</f>
        <v>-3561009</v>
      </c>
      <c r="J32" s="265">
        <f>N(J24)-N(I24)</f>
        <v>-3940818</v>
      </c>
      <c r="K32" s="265">
        <f>N(K24)-N(J24)</f>
        <v>-5478480</v>
      </c>
      <c r="L32" s="265">
        <f>N(L24)-N(K24)</f>
        <v>-2100105</v>
      </c>
      <c r="N32" s="265">
        <f>N(N24)</f>
        <v>-3703141</v>
      </c>
      <c r="O32" s="265">
        <f>N(O24)-N(N24)</f>
        <v>-2788678</v>
      </c>
      <c r="P32" s="265">
        <f>N(P24)-N(O24)</f>
        <v>-2603317</v>
      </c>
      <c r="Q32" s="265">
        <f>N(Q24)-N(P24)</f>
        <v>-1382404</v>
      </c>
      <c r="S32" s="265">
        <f>N(S24)</f>
        <v>-4241138</v>
      </c>
      <c r="T32" s="265">
        <f>N(T24)-N(S24)</f>
        <v>-4227751</v>
      </c>
      <c r="U32" s="265">
        <f>N(U24)-N(T24)</f>
        <v>-3362313</v>
      </c>
      <c r="V32" s="265">
        <f>N(V24)-N(U24)</f>
        <v>-3028041</v>
      </c>
      <c r="X32" s="265">
        <f>N(X24)</f>
        <v>-2614813</v>
      </c>
      <c r="Y32" s="265">
        <f>N(Y24)-N(X24)</f>
        <v>-3563782</v>
      </c>
      <c r="Z32" s="265">
        <f>N(Z24)-N(Y24)</f>
        <v>-2799036</v>
      </c>
      <c r="AA32" s="265">
        <f>N(AA24)-N(Z24)</f>
        <v>-4019978</v>
      </c>
      <c r="AC32" s="265">
        <f>N(AC24)</f>
        <v>-1809101</v>
      </c>
      <c r="AD32" s="265">
        <f>N(AD24)-N(AC24)</f>
        <v>-2833075</v>
      </c>
    </row>
    <row r="33">
      <c r="A33" t="inlineStr">
        <is>
          <t>BALANCO (aba Consolidado, linhas 64-181; R$ milhoes, fim de trimestre)</t>
        </is>
      </c>
      <c r="C33" t="inlineStr">
        <is>
          <t>[linha bruta, sem código; lançada nas linhas abaixo]</t>
        </is>
      </c>
      <c r="D33" s="265" t="n"/>
      <c r="E33" s="265" t="n"/>
      <c r="F33" s="265" t="n"/>
      <c r="G33" s="265" t="n"/>
      <c r="I33" s="265" t="n"/>
      <c r="J33" s="265" t="n"/>
      <c r="K33" s="265" t="n"/>
      <c r="L33" s="265" t="n"/>
      <c r="N33" s="265" t="n"/>
      <c r="O33" s="265" t="n"/>
      <c r="P33" s="265" t="n"/>
      <c r="Q33" s="265" t="n"/>
      <c r="S33" s="265" t="n"/>
      <c r="T33" s="265" t="n"/>
      <c r="U33" s="265" t="n"/>
      <c r="V33" s="265" t="n"/>
      <c r="X33" s="265" t="n"/>
      <c r="Y33" s="265" t="n"/>
      <c r="Z33" s="265" t="n"/>
      <c r="AA33" s="265" t="n"/>
      <c r="AC33" s="265" t="n"/>
      <c r="AD33" s="265" t="n"/>
    </row>
    <row r="34">
      <c r="A34" t="inlineStr">
        <is>
          <t>A: Caixa e equivalentes de caixa (l.67) · fonte · unid. moeda</t>
        </is>
      </c>
      <c r="B34" t="n">
        <v>11</v>
      </c>
      <c r="C34" t="inlineStr">
        <is>
          <t>Cash and equivalents (inc. investment securities)</t>
        </is>
      </c>
      <c r="D34" s="265" t="n">
        <v>1726238.997296</v>
      </c>
      <c r="E34" s="265" t="n">
        <v>3301653</v>
      </c>
      <c r="F34" s="265" t="n">
        <v>5168084</v>
      </c>
      <c r="G34" s="265" t="n">
        <v>1029384</v>
      </c>
      <c r="I34" s="265" t="n">
        <v>2552381</v>
      </c>
      <c r="J34" s="265" t="n">
        <v>2530055</v>
      </c>
      <c r="K34" s="265" t="n">
        <v>1884290</v>
      </c>
      <c r="L34" s="265" t="n">
        <v>1718025</v>
      </c>
      <c r="N34" s="265" t="n">
        <v>2623671.679392</v>
      </c>
      <c r="O34" s="265" t="n">
        <v>1586507.17643</v>
      </c>
      <c r="P34" s="265" t="n">
        <v>1636283.275942</v>
      </c>
      <c r="Q34" s="265" t="n">
        <v>1345474.992552</v>
      </c>
      <c r="S34" s="265" t="n">
        <v>1553011.990959</v>
      </c>
      <c r="T34" s="265" t="n">
        <v>2098161.657756</v>
      </c>
      <c r="U34" s="265" t="n">
        <v>1868154.365105</v>
      </c>
      <c r="V34" s="265" t="n">
        <v>1885415.36947</v>
      </c>
      <c r="X34" s="265" t="n">
        <v>1730638.3785</v>
      </c>
      <c r="Y34" s="265" t="n">
        <v>2214586.63282</v>
      </c>
      <c r="Z34" s="265" t="n">
        <v>3105451.85032</v>
      </c>
      <c r="AA34" s="265" t="n">
        <v>2953811.01289</v>
      </c>
      <c r="AC34" s="265" t="n">
        <v>3477948.46539</v>
      </c>
      <c r="AD34" s="265" t="n">
        <v>3441567.32972</v>
      </c>
    </row>
    <row r="35">
      <c r="A35" t="inlineStr">
        <is>
          <t>A: Títulos e valores mobiliários (l.68) · fonte · unid. moeda</t>
        </is>
      </c>
      <c r="B35" t="n">
        <v>11</v>
      </c>
      <c r="C35" t="inlineStr">
        <is>
          <t>Cash and equivalents (inc. investment securities)</t>
        </is>
      </c>
      <c r="D35" s="265" t="n">
        <v>9102151.955080001</v>
      </c>
      <c r="E35" s="265" t="n">
        <v>8800845</v>
      </c>
      <c r="F35" s="265" t="n">
        <v>11475516</v>
      </c>
      <c r="G35" s="265" t="n">
        <v>17622841</v>
      </c>
      <c r="I35" s="265" t="n">
        <v>12143677</v>
      </c>
      <c r="J35" s="265" t="n">
        <v>12483413</v>
      </c>
      <c r="K35" s="265" t="n">
        <v>13473979</v>
      </c>
      <c r="L35" s="265" t="n">
        <v>11024128</v>
      </c>
      <c r="N35" s="265" t="n">
        <v>7154999.112232</v>
      </c>
      <c r="O35" s="265" t="n">
        <v>6184316.586702</v>
      </c>
      <c r="P35" s="265" t="n">
        <v>6324008.337712</v>
      </c>
      <c r="Q35" s="265" t="n">
        <v>9600835.349103</v>
      </c>
      <c r="S35" s="265" t="n">
        <v>11216067.386653</v>
      </c>
      <c r="T35" s="265" t="n">
        <v>9927847.502032001</v>
      </c>
      <c r="U35" s="265" t="n">
        <v>12137606.338857</v>
      </c>
      <c r="V35" s="265" t="n">
        <v>11288478.59747</v>
      </c>
      <c r="X35" s="265" t="n">
        <v>11594217.45237</v>
      </c>
      <c r="Y35" s="265" t="n">
        <v>10123045.75635</v>
      </c>
      <c r="Z35" s="265" t="n">
        <v>9369580.414170001</v>
      </c>
      <c r="AA35" s="265" t="n">
        <v>11074647.56949</v>
      </c>
      <c r="AC35" s="265" t="n">
        <v>11703556.48949</v>
      </c>
      <c r="AD35" s="265" t="n">
        <v>10442730.18776</v>
      </c>
    </row>
    <row r="36">
      <c r="A36" t="inlineStr">
        <is>
          <t>A: Instrumentos financeiros derivativos (l.69) · fonte · unid. moeda</t>
        </is>
      </c>
      <c r="B36" t="n">
        <v>16</v>
      </c>
      <c r="C36" t="inlineStr">
        <is>
          <t>Other current assets</t>
        </is>
      </c>
      <c r="D36" s="265" t="n">
        <v>20338.02997</v>
      </c>
      <c r="E36" s="265" t="n">
        <v>116</v>
      </c>
      <c r="F36" s="265" t="n">
        <v>147</v>
      </c>
      <c r="G36" s="265" t="n">
        <v>147</v>
      </c>
      <c r="I36" s="265" t="n">
        <v>147</v>
      </c>
      <c r="J36" s="265" t="n">
        <v>79</v>
      </c>
      <c r="K36" s="265" t="n">
        <v>7605</v>
      </c>
      <c r="L36" s="265" t="n">
        <v>86</v>
      </c>
      <c r="N36" s="265" t="n">
        <v>82.0253</v>
      </c>
      <c r="O36" s="265" t="n">
        <v>44.96455</v>
      </c>
      <c r="P36" s="265" t="n">
        <v>2725.15041</v>
      </c>
      <c r="Q36" s="265" t="n">
        <v>29180.99713</v>
      </c>
      <c r="S36" s="265" t="n">
        <v>31840.03521</v>
      </c>
      <c r="T36" s="265" t="n">
        <v>248275.92153</v>
      </c>
      <c r="U36" s="265" t="n">
        <v>272111.478598</v>
      </c>
      <c r="V36" s="265" t="n">
        <v>1033606.24455</v>
      </c>
      <c r="X36" s="265" t="n">
        <v>521733.47004</v>
      </c>
      <c r="Y36" s="265" t="n">
        <v>157771.92001</v>
      </c>
      <c r="Z36" s="265" t="n">
        <v>156777.27466</v>
      </c>
      <c r="AA36" s="265" t="n">
        <v>147067.2794</v>
      </c>
      <c r="AC36" s="265" t="n">
        <v>116739.12121</v>
      </c>
      <c r="AD36" s="265" t="n">
        <v>84271.30829</v>
      </c>
    </row>
    <row r="37">
      <c r="A37" t="inlineStr">
        <is>
          <t>A: Contas a receber (l.70) · fonte · unid. moeda</t>
        </is>
      </c>
      <c r="B37" t="n">
        <v>12</v>
      </c>
      <c r="C37" t="inlineStr">
        <is>
          <t>Accounts receivable</t>
        </is>
      </c>
      <c r="D37" s="265" t="n">
        <v>2151392.651979</v>
      </c>
      <c r="E37" s="265" t="n">
        <v>2430890</v>
      </c>
      <c r="F37" s="265" t="n">
        <v>2779127</v>
      </c>
      <c r="G37" s="265" t="n">
        <v>3260329</v>
      </c>
      <c r="I37" s="265" t="n">
        <v>3702988</v>
      </c>
      <c r="J37" s="265" t="n">
        <v>3976906</v>
      </c>
      <c r="K37" s="265" t="n">
        <v>4223848</v>
      </c>
      <c r="L37" s="265" t="n">
        <v>4433345</v>
      </c>
      <c r="N37" s="265" t="n">
        <v>4794602.078925</v>
      </c>
      <c r="O37" s="265" t="n">
        <v>5221968.302858</v>
      </c>
      <c r="P37" s="265" t="n">
        <v>5708640.767071</v>
      </c>
      <c r="Q37" s="265" t="n">
        <v>5106680.167461</v>
      </c>
      <c r="S37" s="265" t="n">
        <v>5418712.73677</v>
      </c>
      <c r="T37" s="265" t="n">
        <v>5801981.164879</v>
      </c>
      <c r="U37" s="265" t="n">
        <v>6344784.78164</v>
      </c>
      <c r="V37" s="265" t="n">
        <v>6051441.02391</v>
      </c>
      <c r="X37" s="265" t="n">
        <v>6817360.07656</v>
      </c>
      <c r="Y37" s="265" t="n">
        <v>7493702.15503</v>
      </c>
      <c r="Z37" s="265" t="n">
        <v>7771081.04948</v>
      </c>
      <c r="AA37" s="265" t="n">
        <v>7614797.69078</v>
      </c>
      <c r="AC37" s="265" t="n">
        <v>7759615.30065</v>
      </c>
      <c r="AD37" s="265" t="n">
        <v>8715741.253970001</v>
      </c>
    </row>
    <row r="38">
      <c r="A38" t="inlineStr">
        <is>
          <t>A: Estoques (l.71) · fonte · unid. moeda</t>
        </is>
      </c>
      <c r="B38" t="n">
        <v>13</v>
      </c>
      <c r="C38" t="inlineStr">
        <is>
          <t>Inventories</t>
        </is>
      </c>
      <c r="D38" s="265" t="n">
        <v>255362.56732</v>
      </c>
      <c r="E38" s="265" t="n">
        <v>378575</v>
      </c>
      <c r="F38" s="265" t="n">
        <v>378180</v>
      </c>
      <c r="G38" s="265" t="n">
        <v>525950</v>
      </c>
      <c r="I38" s="265" t="n">
        <v>596625</v>
      </c>
      <c r="J38" s="265" t="n">
        <v>775164</v>
      </c>
      <c r="K38" s="265" t="n">
        <v>1166831</v>
      </c>
      <c r="L38" s="265" t="n">
        <v>1694320</v>
      </c>
      <c r="N38" s="265" t="n">
        <v>1774066.246812</v>
      </c>
      <c r="O38" s="265" t="n">
        <v>2010428.732998</v>
      </c>
      <c r="P38" s="265" t="n">
        <v>2549582.530292</v>
      </c>
      <c r="Q38" s="265" t="n">
        <v>2890509.3802</v>
      </c>
      <c r="S38" s="265" t="n">
        <v>2876054.845874</v>
      </c>
      <c r="T38" s="265" t="n">
        <v>2973787.268087</v>
      </c>
      <c r="U38" s="265" t="n">
        <v>3204842.103803</v>
      </c>
      <c r="V38" s="265" t="n">
        <v>3180420.84757</v>
      </c>
      <c r="X38" s="265" t="n">
        <v>3017703.46832</v>
      </c>
      <c r="Y38" s="265" t="n">
        <v>3009382.09893</v>
      </c>
      <c r="Z38" s="265" t="n">
        <v>2814703.55854</v>
      </c>
      <c r="AA38" s="265" t="n">
        <v>2827606.33441</v>
      </c>
      <c r="AC38" s="265" t="n">
        <v>2524444.6876</v>
      </c>
      <c r="AD38" s="265" t="n">
        <v>2670240.45105</v>
      </c>
    </row>
    <row r="39">
      <c r="A39" t="inlineStr">
        <is>
          <t>A: Tributos a recuperar (l.72) · fonte · unid. moeda</t>
        </is>
      </c>
      <c r="B39" t="n">
        <v>16</v>
      </c>
      <c r="C39" t="inlineStr">
        <is>
          <t>Other current assets</t>
        </is>
      </c>
      <c r="D39" s="265" t="n">
        <v>150997.800067</v>
      </c>
      <c r="E39" s="265" t="n">
        <v>114452</v>
      </c>
      <c r="F39" s="265" t="n">
        <v>162229</v>
      </c>
      <c r="G39" s="265" t="n">
        <v>325496</v>
      </c>
      <c r="I39" s="265" t="n">
        <v>377863</v>
      </c>
      <c r="J39" s="265" t="n">
        <v>446778</v>
      </c>
      <c r="K39" s="265" t="n">
        <v>496207</v>
      </c>
      <c r="L39" s="265" t="n">
        <v>361125</v>
      </c>
      <c r="N39" s="265" t="n">
        <v>325887.65696</v>
      </c>
      <c r="O39" s="265" t="n">
        <v>388858.724431</v>
      </c>
      <c r="P39" s="265" t="n">
        <v>431689.149148</v>
      </c>
      <c r="Q39" s="265" t="n">
        <v>499764.567946</v>
      </c>
      <c r="S39" s="265" t="n">
        <v>525301.884825</v>
      </c>
      <c r="T39" s="265" t="n">
        <v>538206.8115</v>
      </c>
      <c r="U39" s="265" t="n">
        <v>499487.724537</v>
      </c>
      <c r="V39" s="265" t="n">
        <v>461802.12933</v>
      </c>
      <c r="X39" s="265" t="n">
        <v>445810.44868</v>
      </c>
      <c r="Y39" s="265" t="n">
        <v>606926.28394</v>
      </c>
      <c r="Z39" s="265" t="n">
        <v>547307.99649</v>
      </c>
      <c r="AA39" s="265" t="n">
        <v>506638.14625</v>
      </c>
      <c r="AC39" s="265" t="n">
        <v>585238.36761</v>
      </c>
      <c r="AD39" s="265" t="n">
        <v>446313.55298</v>
      </c>
    </row>
    <row r="40">
      <c r="A40" t="inlineStr">
        <is>
          <t>A: Imposto de renda e contribuição social a recuperar (l.73) · fonte · unid. moeda</t>
        </is>
      </c>
      <c r="B40" t="n">
        <v>16</v>
      </c>
      <c r="C40" t="inlineStr">
        <is>
          <t>Other current assets</t>
        </is>
      </c>
      <c r="D40" s="265" t="n">
        <v>214998.226801</v>
      </c>
      <c r="E40" s="265" t="n">
        <v>268861</v>
      </c>
      <c r="F40" s="265" t="n">
        <v>283454</v>
      </c>
      <c r="G40" s="265" t="n">
        <v>227643</v>
      </c>
      <c r="I40" s="265" t="n">
        <v>277368</v>
      </c>
      <c r="J40" s="265" t="n">
        <v>389085</v>
      </c>
      <c r="K40" s="265" t="n">
        <v>508702</v>
      </c>
      <c r="L40" s="265" t="n">
        <v>577912</v>
      </c>
      <c r="N40" s="265" t="n">
        <v>563139.586885</v>
      </c>
      <c r="O40" s="265" t="n">
        <v>623514.5830250001</v>
      </c>
      <c r="P40" s="265" t="n">
        <v>683054.892587</v>
      </c>
      <c r="Q40" s="265" t="n">
        <v>855075.839367</v>
      </c>
      <c r="S40" s="265" t="n">
        <v>821743.617372</v>
      </c>
      <c r="T40" s="265" t="n">
        <v>854269.5313649999</v>
      </c>
      <c r="U40" s="265" t="n">
        <v>822080.076935</v>
      </c>
      <c r="V40" s="265" t="n">
        <v>937234.2154099999</v>
      </c>
      <c r="X40" s="265" t="n">
        <v>1086465.77885</v>
      </c>
      <c r="Y40" s="265" t="n">
        <v>1227820.40736</v>
      </c>
      <c r="Z40" s="265" t="n">
        <v>1224877.98008</v>
      </c>
      <c r="AA40" s="265" t="n">
        <v>1091004.80426</v>
      </c>
      <c r="AC40" s="265" t="n">
        <v>1100737.67684</v>
      </c>
      <c r="AD40" s="265" t="n">
        <v>1189628.74758</v>
      </c>
    </row>
    <row r="41">
      <c r="A41" t="inlineStr">
        <is>
          <t>A: Despesas antecipadas (l.74) · fonte · unid. moeda</t>
        </is>
      </c>
      <c r="B41" t="n">
        <v>15</v>
      </c>
      <c r="C41" t="inlineStr">
        <is>
          <t>Prepaid expenses</t>
        </is>
      </c>
      <c r="D41" s="265" t="n">
        <v>154826.873849</v>
      </c>
      <c r="E41" s="265" t="n">
        <v>145481</v>
      </c>
      <c r="F41" s="265" t="n">
        <v>115248</v>
      </c>
      <c r="G41" s="265" t="n">
        <v>67977</v>
      </c>
      <c r="I41" s="265" t="n">
        <v>219519</v>
      </c>
      <c r="J41" s="265" t="n">
        <v>189826</v>
      </c>
      <c r="K41" s="265" t="n">
        <v>176358</v>
      </c>
      <c r="L41" s="265" t="n">
        <v>98457</v>
      </c>
      <c r="N41" s="265" t="n">
        <v>205016.639258</v>
      </c>
      <c r="O41" s="265" t="n">
        <v>348508.64311</v>
      </c>
      <c r="P41" s="265" t="n">
        <v>264295.392198</v>
      </c>
      <c r="Q41" s="265" t="n">
        <v>127727.105078</v>
      </c>
      <c r="S41" s="265" t="n">
        <v>393758.507142</v>
      </c>
      <c r="T41" s="265" t="n">
        <v>415559.772474</v>
      </c>
      <c r="U41" s="265" t="n">
        <v>320164.965196</v>
      </c>
      <c r="V41" s="265" t="n">
        <v>165442.56093</v>
      </c>
      <c r="X41" s="265" t="n">
        <v>537144.27348</v>
      </c>
      <c r="Y41" s="265" t="n">
        <v>508516.91581</v>
      </c>
      <c r="Z41" s="265" t="n">
        <v>346888.26298</v>
      </c>
      <c r="AA41" s="265" t="n">
        <v>211973.74409</v>
      </c>
      <c r="AC41" s="265" t="n">
        <v>581068.5771699999</v>
      </c>
      <c r="AD41" s="265" t="n">
        <v>475816.39252</v>
      </c>
    </row>
    <row r="42">
      <c r="A42" t="inlineStr">
        <is>
          <t>A: Dividendos a receber (l.75) · fonte · unid. moeda</t>
        </is>
      </c>
      <c r="B42" t="n">
        <v>16</v>
      </c>
      <c r="C42" t="inlineStr">
        <is>
          <t>Other current assets</t>
        </is>
      </c>
      <c r="D42" s="265" t="n">
        <v>0</v>
      </c>
      <c r="E42" s="265" t="n">
        <v>0</v>
      </c>
      <c r="F42" s="265" t="n">
        <v>0</v>
      </c>
      <c r="G42" s="265" t="n">
        <v>0</v>
      </c>
      <c r="I42" s="265" t="n">
        <v>0</v>
      </c>
      <c r="J42" s="265" t="n">
        <v>280</v>
      </c>
      <c r="K42" s="265" t="n">
        <v>572</v>
      </c>
      <c r="L42" s="265" t="n">
        <v>0</v>
      </c>
      <c r="N42" s="265" t="n">
        <v>322.06496</v>
      </c>
      <c r="O42" s="265" t="n">
        <v>1e-05</v>
      </c>
      <c r="P42" s="265" t="n">
        <v>-5e-05</v>
      </c>
      <c r="Q42" s="265" t="n">
        <v>-5e-05</v>
      </c>
      <c r="S42" s="265" t="n">
        <v>585.19963</v>
      </c>
      <c r="T42" s="265" t="n">
        <v>585.19964</v>
      </c>
      <c r="U42" s="265" t="n">
        <v>585.19969</v>
      </c>
      <c r="V42" s="265" t="n">
        <v>748.16063</v>
      </c>
      <c r="X42" s="265" t="n">
        <v>162.96194</v>
      </c>
      <c r="Y42" s="265" t="n">
        <v>434.68422</v>
      </c>
      <c r="Z42" s="265" t="n">
        <v>434.64383</v>
      </c>
      <c r="AA42" s="265" t="n">
        <v>434.6845</v>
      </c>
      <c r="AC42" s="265" t="n">
        <v>3344.64383</v>
      </c>
      <c r="AD42" s="265" t="n">
        <v>580.93421</v>
      </c>
    </row>
    <row r="43">
      <c r="A43" t="inlineStr">
        <is>
          <t>A: Ativo imobilizado disponibilizado para venda (l.76) (frota desmobilizada para venda) · fonte · unid. moeda</t>
        </is>
      </c>
      <c r="B43" t="n">
        <v>16</v>
      </c>
      <c r="C43" t="inlineStr">
        <is>
          <t>Other current assets</t>
        </is>
      </c>
      <c r="D43" s="265" t="n">
        <v>359344.65392</v>
      </c>
      <c r="E43" s="265" t="n">
        <v>508655</v>
      </c>
      <c r="F43" s="265" t="n">
        <v>459638</v>
      </c>
      <c r="G43" s="265" t="n">
        <v>431962</v>
      </c>
      <c r="I43" s="265" t="n">
        <v>757035</v>
      </c>
      <c r="J43" s="265" t="n">
        <v>851292</v>
      </c>
      <c r="K43" s="265" t="n">
        <v>1218401</v>
      </c>
      <c r="L43" s="265" t="n">
        <v>1527738</v>
      </c>
      <c r="N43" s="265" t="n">
        <v>1320498.97519</v>
      </c>
      <c r="O43" s="265" t="n">
        <v>1262917.24934</v>
      </c>
      <c r="P43" s="265" t="n">
        <v>1515064.2818</v>
      </c>
      <c r="Q43" s="265" t="n">
        <v>1262240.3463</v>
      </c>
      <c r="S43" s="265" t="n">
        <v>1642618.02711</v>
      </c>
      <c r="T43" s="265" t="n">
        <v>1931597.82094</v>
      </c>
      <c r="U43" s="265" t="n">
        <v>1992772.1687</v>
      </c>
      <c r="V43" s="265" t="n">
        <v>1575614.17951</v>
      </c>
      <c r="X43" s="265" t="n">
        <v>2188219.80678</v>
      </c>
      <c r="Y43" s="265" t="n">
        <v>2405421.77814</v>
      </c>
      <c r="Z43" s="265" t="n">
        <v>2024054.27022</v>
      </c>
      <c r="AA43" s="265" t="n">
        <v>1337663.2507</v>
      </c>
      <c r="AC43" s="265" t="n">
        <v>1542347.15717</v>
      </c>
      <c r="AD43" s="265" t="n">
        <v>1575515.76342</v>
      </c>
    </row>
    <row r="44">
      <c r="A44" t="inlineStr">
        <is>
          <t>A: Adiantamento de Terceiros (l.77) · fonte · unid. moeda</t>
        </is>
      </c>
      <c r="B44" t="n">
        <v>16</v>
      </c>
      <c r="C44" t="inlineStr">
        <is>
          <t>Other current assets</t>
        </is>
      </c>
      <c r="D44" s="265" t="n">
        <v>45776</v>
      </c>
      <c r="E44" s="265" t="n">
        <v>52810</v>
      </c>
      <c r="F44" s="265" t="n">
        <v>72564</v>
      </c>
      <c r="G44" s="265" t="n">
        <v>69140</v>
      </c>
      <c r="I44" s="265" t="n">
        <v>59008</v>
      </c>
      <c r="J44" s="265" t="n">
        <v>75926</v>
      </c>
      <c r="K44" s="265" t="n">
        <v>134897</v>
      </c>
      <c r="L44" s="265" t="n">
        <v>111317</v>
      </c>
      <c r="N44" s="265" t="n">
        <v>107184.453911</v>
      </c>
      <c r="O44" s="265" t="n">
        <v>225418.797927</v>
      </c>
      <c r="P44" s="265" t="n">
        <v>349270.255787</v>
      </c>
      <c r="Q44" s="265" t="n">
        <v>380190.283689</v>
      </c>
      <c r="S44" s="265" t="n">
        <v>387120.398524</v>
      </c>
      <c r="T44" s="265" t="n">
        <v>377003.443766</v>
      </c>
      <c r="U44" s="265" t="n">
        <v>360745.097448</v>
      </c>
      <c r="V44" s="265" t="n">
        <v>404141.44183</v>
      </c>
      <c r="X44" s="265" t="n">
        <v>313228.12164</v>
      </c>
      <c r="Y44" s="265" t="n">
        <v>364409.68117</v>
      </c>
      <c r="Z44" s="265" t="n">
        <v>387655.97687</v>
      </c>
      <c r="AA44" s="265" t="n">
        <v>513723.32792</v>
      </c>
      <c r="AC44" s="265" t="n">
        <v>512432.16615</v>
      </c>
      <c r="AD44" s="265" t="n">
        <v>479711.23978</v>
      </c>
    </row>
    <row r="45">
      <c r="A45" t="inlineStr">
        <is>
          <t>A: Adiantamento a terceiros - Intergrupo (l.78) · fonte · unid. moeda</t>
        </is>
      </c>
      <c r="B45" t="n">
        <v>16</v>
      </c>
      <c r="C45" t="inlineStr">
        <is>
          <t>Other current assets</t>
        </is>
      </c>
      <c r="D45" s="265" t="n">
        <v>0</v>
      </c>
      <c r="E45" s="265" t="n">
        <v>0</v>
      </c>
      <c r="F45" s="265" t="n">
        <v>0</v>
      </c>
      <c r="G45" s="265" t="n">
        <v>0</v>
      </c>
      <c r="I45" s="265" t="n">
        <v>69144</v>
      </c>
      <c r="J45" s="265" t="n">
        <v>105091</v>
      </c>
      <c r="K45" s="265" t="n">
        <v>0</v>
      </c>
      <c r="L45" s="265" t="n">
        <v>0</v>
      </c>
      <c r="N45" s="265" t="n">
        <v>0</v>
      </c>
      <c r="O45" s="265" t="n">
        <v>0</v>
      </c>
      <c r="P45" s="265" t="n">
        <v>0</v>
      </c>
      <c r="Q45" s="265" t="n">
        <v>49.61745</v>
      </c>
      <c r="S45" s="265" t="n">
        <v>0</v>
      </c>
      <c r="T45" s="265" t="n">
        <v>0</v>
      </c>
      <c r="U45" s="265" t="n">
        <v>0</v>
      </c>
      <c r="V45" s="265" t="n">
        <v>0</v>
      </c>
      <c r="X45" s="265" t="n">
        <v>791.89683</v>
      </c>
      <c r="Y45" s="265" t="n">
        <v>598.35376</v>
      </c>
      <c r="Z45" s="265" t="n">
        <v>815.00159</v>
      </c>
      <c r="AA45" s="265" t="n">
        <v>0</v>
      </c>
      <c r="AC45" s="265" t="n">
        <v>-50778.94917</v>
      </c>
      <c r="AD45" s="265" t="n">
        <v>-23984.46929</v>
      </c>
    </row>
    <row r="46">
      <c r="A46" t="inlineStr">
        <is>
          <t>A: Outros créditos (l.79) · fonte · unid. moeda</t>
        </is>
      </c>
      <c r="B46" t="n">
        <v>16</v>
      </c>
      <c r="C46" t="inlineStr">
        <is>
          <t>Other current assets</t>
        </is>
      </c>
      <c r="D46" s="265" t="n">
        <v>127170</v>
      </c>
      <c r="E46" s="265" t="n">
        <v>64202</v>
      </c>
      <c r="F46" s="265" t="n">
        <v>47066</v>
      </c>
      <c r="G46" s="265" t="n">
        <v>381</v>
      </c>
      <c r="I46" s="265" t="n">
        <v>0</v>
      </c>
      <c r="J46" s="265" t="n">
        <v>0</v>
      </c>
      <c r="K46" s="265" t="n">
        <v>102675</v>
      </c>
      <c r="L46" s="265" t="n">
        <v>86140</v>
      </c>
      <c r="N46" s="265" t="n">
        <v>176840.008423</v>
      </c>
      <c r="O46" s="265" t="n">
        <v>167717.21682</v>
      </c>
      <c r="P46" s="265" t="n">
        <v>60270.87528</v>
      </c>
      <c r="Q46" s="265" t="n">
        <v>62848.309496</v>
      </c>
      <c r="S46" s="265" t="n">
        <v>101908.056326</v>
      </c>
      <c r="T46" s="265" t="n">
        <v>163607.415153</v>
      </c>
      <c r="U46" s="265" t="n">
        <v>149100.648926</v>
      </c>
      <c r="V46" s="265" t="n">
        <v>283918.10933</v>
      </c>
      <c r="X46" s="265" t="n">
        <v>62983.53746</v>
      </c>
      <c r="Y46" s="265" t="n">
        <v>464858.63119</v>
      </c>
      <c r="Z46" s="265" t="n">
        <v>418718.46297</v>
      </c>
      <c r="AA46" s="265" t="n">
        <v>363161.59661</v>
      </c>
      <c r="AC46" s="265" t="n">
        <v>487027.05976</v>
      </c>
      <c r="AD46" s="265" t="n">
        <v>246400.39953</v>
      </c>
    </row>
    <row r="47">
      <c r="A47" t="inlineStr">
        <is>
          <t>A: Partes Relacionadas (l.80) · fonte · unid. moeda</t>
        </is>
      </c>
      <c r="B47" t="n">
        <v>16</v>
      </c>
      <c r="C47" t="inlineStr">
        <is>
          <t>Other current assets</t>
        </is>
      </c>
      <c r="D47" s="265" t="n">
        <v>0</v>
      </c>
      <c r="E47" s="265" t="n">
        <v>0</v>
      </c>
      <c r="F47" s="265" t="n">
        <v>0</v>
      </c>
      <c r="G47" s="265" t="n">
        <v>0</v>
      </c>
      <c r="I47" s="265" t="n">
        <v>0</v>
      </c>
      <c r="J47" s="265" t="n">
        <v>73</v>
      </c>
      <c r="K47" s="265" t="n">
        <v>73</v>
      </c>
      <c r="L47" s="265" t="n">
        <v>253</v>
      </c>
      <c r="N47" s="265" t="n">
        <v>253.20551</v>
      </c>
      <c r="O47" s="265" t="n">
        <v>0</v>
      </c>
      <c r="P47" s="265" t="n">
        <v>0</v>
      </c>
      <c r="Q47" s="265" t="n">
        <v>0</v>
      </c>
      <c r="S47" s="265" t="n">
        <v>0</v>
      </c>
      <c r="T47" s="265" t="n">
        <v>0</v>
      </c>
      <c r="U47" s="265" t="n">
        <v>0</v>
      </c>
      <c r="V47" s="265" t="n">
        <v>0</v>
      </c>
      <c r="X47" s="265" t="n">
        <v>0</v>
      </c>
      <c r="Y47" s="265" t="n">
        <v>0</v>
      </c>
      <c r="Z47" s="265" t="n">
        <v>0</v>
      </c>
      <c r="AA47" s="265" t="n">
        <v>0</v>
      </c>
      <c r="AC47" s="265" t="n">
        <v>0</v>
      </c>
      <c r="AD47" s="265" t="n">
        <v>0</v>
      </c>
    </row>
    <row r="48">
      <c r="A48" t="inlineStr">
        <is>
          <t>A: Ativo mantido para venda (l.83) · fonte · unid. moeda</t>
        </is>
      </c>
      <c r="B48" t="n">
        <v>16</v>
      </c>
      <c r="C48" t="inlineStr">
        <is>
          <t>Other current assets</t>
        </is>
      </c>
      <c r="D48" s="265" t="n">
        <v>0</v>
      </c>
      <c r="E48" s="265" t="n">
        <v>0</v>
      </c>
      <c r="F48" s="265" t="n">
        <v>0</v>
      </c>
      <c r="G48" s="265" t="n">
        <v>0</v>
      </c>
      <c r="I48" s="265" t="n">
        <v>0</v>
      </c>
      <c r="J48" s="265" t="n">
        <v>0</v>
      </c>
      <c r="K48" s="265" t="n">
        <v>0</v>
      </c>
      <c r="L48" s="265" t="n">
        <v>0</v>
      </c>
      <c r="N48" s="265" t="n">
        <v>0</v>
      </c>
      <c r="O48" s="265" t="n">
        <v>0</v>
      </c>
      <c r="P48" s="265" t="n">
        <v>0</v>
      </c>
      <c r="Q48" s="265" t="n">
        <v>0</v>
      </c>
      <c r="S48" s="265" t="n">
        <v>0</v>
      </c>
      <c r="T48" s="265" t="n">
        <v>0</v>
      </c>
      <c r="U48" s="265" t="n">
        <v>0</v>
      </c>
      <c r="V48" s="265" t="n">
        <v>0</v>
      </c>
      <c r="X48" s="265" t="n">
        <v>0</v>
      </c>
      <c r="Y48" s="265" t="n">
        <v>0</v>
      </c>
      <c r="Z48" s="265" t="n">
        <v>0</v>
      </c>
      <c r="AA48" s="265" t="n">
        <v>0</v>
      </c>
      <c r="AC48" s="265" t="n">
        <v>0</v>
      </c>
      <c r="AD48" s="265" t="n">
        <v>1736447.62975</v>
      </c>
    </row>
    <row r="49">
      <c r="A49" t="inlineStr">
        <is>
          <t>A: Títulos e valores mobiliários (l.87) (TVM de longo prazo: a Cia inclui na liquidez da divida liquida -&gt; cod 11) · fonte · unid. moeda</t>
        </is>
      </c>
      <c r="B49" t="n">
        <v>11</v>
      </c>
      <c r="C49" t="inlineStr">
        <is>
          <t>Cash and equivalents (inc. investment securities)</t>
        </is>
      </c>
      <c r="D49" s="265" t="n">
        <v>2587799.75335</v>
      </c>
      <c r="E49" s="265" t="n">
        <v>71557</v>
      </c>
      <c r="F49" s="265" t="n">
        <v>3289</v>
      </c>
      <c r="G49" s="265" t="n">
        <v>9264</v>
      </c>
      <c r="I49" s="265" t="n">
        <v>9260</v>
      </c>
      <c r="J49" s="265" t="n">
        <v>8012</v>
      </c>
      <c r="K49" s="265" t="n">
        <v>125314</v>
      </c>
      <c r="L49" s="265" t="n">
        <v>160116</v>
      </c>
      <c r="N49" s="265" t="n">
        <v>152992.49602</v>
      </c>
      <c r="O49" s="265" t="n">
        <v>123594.4244</v>
      </c>
      <c r="P49" s="265" t="n">
        <v>117883.78978</v>
      </c>
      <c r="Q49" s="265" t="n">
        <v>178226.38536</v>
      </c>
      <c r="S49" s="265" t="n">
        <v>174201.55995</v>
      </c>
      <c r="T49" s="265" t="n">
        <v>174087.36432</v>
      </c>
      <c r="U49" s="265" t="n">
        <v>169419.36885</v>
      </c>
      <c r="V49" s="265" t="n">
        <v>187240.87677</v>
      </c>
      <c r="X49" s="265" t="n">
        <v>211180.75845</v>
      </c>
      <c r="Y49" s="265" t="n">
        <v>201009.58603</v>
      </c>
      <c r="Z49" s="265" t="n">
        <v>210167.42719</v>
      </c>
      <c r="AA49" s="265" t="n">
        <v>2990993.0709</v>
      </c>
      <c r="AC49" s="265" t="n">
        <v>2823670.25267</v>
      </c>
      <c r="AD49" s="265" t="n">
        <v>4259148.58409</v>
      </c>
    </row>
    <row r="50">
      <c r="A50" t="inlineStr">
        <is>
          <t>A: Instrumentos financeiros derivativos (l.88) · fonte · unid. moeda</t>
        </is>
      </c>
      <c r="B50" t="n">
        <v>22</v>
      </c>
      <c r="C50" t="inlineStr">
        <is>
          <t>Other non-current assets</t>
        </is>
      </c>
      <c r="D50" s="265" t="n">
        <v>279472.22211</v>
      </c>
      <c r="E50" s="265" t="n">
        <v>164022</v>
      </c>
      <c r="F50" s="265" t="n">
        <v>45705</v>
      </c>
      <c r="G50" s="265" t="n">
        <v>58733</v>
      </c>
      <c r="I50" s="265" t="n">
        <v>77601</v>
      </c>
      <c r="J50" s="265" t="n">
        <v>102169</v>
      </c>
      <c r="K50" s="265" t="n">
        <v>165102</v>
      </c>
      <c r="L50" s="265" t="n">
        <v>184154</v>
      </c>
      <c r="N50" s="265" t="n">
        <v>144526.14739</v>
      </c>
      <c r="O50" s="265" t="n">
        <v>505590.13239</v>
      </c>
      <c r="P50" s="265" t="n">
        <v>288348.15328</v>
      </c>
      <c r="Q50" s="265" t="n">
        <v>873061.70332</v>
      </c>
      <c r="S50" s="265" t="n">
        <v>763143.095948</v>
      </c>
      <c r="T50" s="265" t="n">
        <v>1161396.45643</v>
      </c>
      <c r="U50" s="265" t="n">
        <v>1128663.429662</v>
      </c>
      <c r="V50" s="265" t="n">
        <v>2244452.52108</v>
      </c>
      <c r="X50" s="265" t="n">
        <v>1259649.32766</v>
      </c>
      <c r="Y50" s="265" t="n">
        <v>562408.91072</v>
      </c>
      <c r="Z50" s="265" t="n">
        <v>467971.66963</v>
      </c>
      <c r="AA50" s="265" t="n">
        <v>594439.9564</v>
      </c>
      <c r="AC50" s="265" t="n">
        <v>493443.6522</v>
      </c>
      <c r="AD50" s="265" t="n">
        <v>386419.58421</v>
      </c>
    </row>
    <row r="51">
      <c r="A51" t="inlineStr">
        <is>
          <t>A: Contas a receber (l.89) · fonte · unid. moeda</t>
        </is>
      </c>
      <c r="B51" t="n">
        <v>22</v>
      </c>
      <c r="C51" t="inlineStr">
        <is>
          <t>Other non-current assets</t>
        </is>
      </c>
      <c r="D51" s="265" t="n">
        <v>109943.60356</v>
      </c>
      <c r="E51" s="265" t="n">
        <v>120744</v>
      </c>
      <c r="F51" s="265" t="n">
        <v>125865</v>
      </c>
      <c r="G51" s="265" t="n">
        <v>134627</v>
      </c>
      <c r="I51" s="265" t="n">
        <v>129826</v>
      </c>
      <c r="J51" s="265" t="n">
        <v>155766</v>
      </c>
      <c r="K51" s="265" t="n">
        <v>171709</v>
      </c>
      <c r="L51" s="265" t="n">
        <v>190197</v>
      </c>
      <c r="N51" s="265" t="n">
        <v>206187.393678</v>
      </c>
      <c r="O51" s="265" t="n">
        <v>208412.973392</v>
      </c>
      <c r="P51" s="265" t="n">
        <v>216245.347981</v>
      </c>
      <c r="Q51" s="265" t="n">
        <v>494197.967481</v>
      </c>
      <c r="S51" s="265" t="n">
        <v>321051.338287</v>
      </c>
      <c r="T51" s="265" t="n">
        <v>329265.873709</v>
      </c>
      <c r="U51" s="265" t="n">
        <v>344710.066631</v>
      </c>
      <c r="V51" s="265" t="n">
        <v>306636.93469</v>
      </c>
      <c r="X51" s="265" t="n">
        <v>316718.44052</v>
      </c>
      <c r="Y51" s="265" t="n">
        <v>298980.86436</v>
      </c>
      <c r="Z51" s="265" t="n">
        <v>322181.75633</v>
      </c>
      <c r="AA51" s="265" t="n">
        <v>271001.92957</v>
      </c>
      <c r="AC51" s="265" t="n">
        <v>500849.37124</v>
      </c>
      <c r="AD51" s="265" t="n">
        <v>651693.18583</v>
      </c>
    </row>
    <row r="52">
      <c r="A52" t="inlineStr">
        <is>
          <t>A: Tributos a recuperar (l.90) · fonte · unid. moeda</t>
        </is>
      </c>
      <c r="B52" t="n">
        <v>22</v>
      </c>
      <c r="C52" t="inlineStr">
        <is>
          <t>Other non-current assets</t>
        </is>
      </c>
      <c r="D52" s="265" t="n">
        <v>168467.96359</v>
      </c>
      <c r="E52" s="265" t="n">
        <v>340423</v>
      </c>
      <c r="F52" s="265" t="n">
        <v>312407</v>
      </c>
      <c r="G52" s="265" t="n">
        <v>231145</v>
      </c>
      <c r="I52" s="265" t="n">
        <v>284359</v>
      </c>
      <c r="J52" s="265" t="n">
        <v>284306</v>
      </c>
      <c r="K52" s="265" t="n">
        <v>231854</v>
      </c>
      <c r="L52" s="265" t="n">
        <v>448366</v>
      </c>
      <c r="N52" s="265" t="n">
        <v>371769.971913</v>
      </c>
      <c r="O52" s="265" t="n">
        <v>367570.769427</v>
      </c>
      <c r="P52" s="265" t="n">
        <v>396259.425612</v>
      </c>
      <c r="Q52" s="265" t="n">
        <v>384773.033082</v>
      </c>
      <c r="S52" s="265" t="n">
        <v>403389.132193</v>
      </c>
      <c r="T52" s="265" t="n">
        <v>348356.940727</v>
      </c>
      <c r="U52" s="265" t="n">
        <v>455527.368026</v>
      </c>
      <c r="V52" s="265" t="n">
        <v>507903.29802</v>
      </c>
      <c r="X52" s="265" t="n">
        <v>507334.42281</v>
      </c>
      <c r="Y52" s="265" t="n">
        <v>532028.5286</v>
      </c>
      <c r="Z52" s="265" t="n">
        <v>595646.86879</v>
      </c>
      <c r="AA52" s="265" t="n">
        <v>680425.93186</v>
      </c>
      <c r="AC52" s="265" t="n">
        <v>630649.48531</v>
      </c>
      <c r="AD52" s="265" t="n">
        <v>728304.86809</v>
      </c>
    </row>
    <row r="53">
      <c r="A53" t="inlineStr">
        <is>
          <t>A: Imposto de renda e contribuição social a recuperar (l.91) · fonte · unid. moeda</t>
        </is>
      </c>
      <c r="B53" t="n">
        <v>22</v>
      </c>
      <c r="C53" t="inlineStr">
        <is>
          <t>Other non-current assets</t>
        </is>
      </c>
      <c r="D53" s="265" t="n">
        <v>175264.82161</v>
      </c>
      <c r="E53" s="265" t="n">
        <v>17231</v>
      </c>
      <c r="F53" s="265" t="n">
        <v>40330</v>
      </c>
      <c r="G53" s="265" t="n">
        <v>127733</v>
      </c>
      <c r="I53" s="265" t="n">
        <v>99129</v>
      </c>
      <c r="J53" s="265" t="n">
        <v>87521</v>
      </c>
      <c r="K53" s="265" t="n">
        <v>74850</v>
      </c>
      <c r="L53" s="265" t="n">
        <v>155806</v>
      </c>
      <c r="N53" s="265" t="n">
        <v>129451.518635</v>
      </c>
      <c r="O53" s="265" t="n">
        <v>126160.638845</v>
      </c>
      <c r="P53" s="265" t="n">
        <v>110419.697055</v>
      </c>
      <c r="Q53" s="265" t="n">
        <v>114025.735565</v>
      </c>
      <c r="S53" s="265" t="n">
        <v>111897.946565</v>
      </c>
      <c r="T53" s="265" t="n">
        <v>105173.987365</v>
      </c>
      <c r="U53" s="265" t="n">
        <v>107393.459995</v>
      </c>
      <c r="V53" s="265" t="n">
        <v>198069.4341</v>
      </c>
      <c r="X53" s="265" t="n">
        <v>102776.2443</v>
      </c>
      <c r="Y53" s="265" t="n">
        <v>104558.33224</v>
      </c>
      <c r="Z53" s="265" t="n">
        <v>107658.92521</v>
      </c>
      <c r="AA53" s="265" t="n">
        <v>289540.5375</v>
      </c>
      <c r="AC53" s="265" t="n">
        <v>293612.78524</v>
      </c>
      <c r="AD53" s="265" t="n">
        <v>245104.01983</v>
      </c>
    </row>
    <row r="54">
      <c r="A54" t="inlineStr">
        <is>
          <t>A: Depósitos judiciais (l.92) · fonte · unid. moeda</t>
        </is>
      </c>
      <c r="B54" t="n">
        <v>22</v>
      </c>
      <c r="C54" t="inlineStr">
        <is>
          <t>Other non-current assets</t>
        </is>
      </c>
      <c r="D54" s="265" t="n">
        <v>73277.60859</v>
      </c>
      <c r="E54" s="265" t="n">
        <v>76181</v>
      </c>
      <c r="F54" s="265" t="n">
        <v>92751</v>
      </c>
      <c r="G54" s="265" t="n">
        <v>103303</v>
      </c>
      <c r="I54" s="265" t="n">
        <v>94491</v>
      </c>
      <c r="J54" s="265" t="n">
        <v>98114</v>
      </c>
      <c r="K54" s="265" t="n">
        <v>110195</v>
      </c>
      <c r="L54" s="265" t="n">
        <v>105475</v>
      </c>
      <c r="N54" s="265" t="n">
        <v>108487.20559</v>
      </c>
      <c r="O54" s="265" t="n">
        <v>114261.07624</v>
      </c>
      <c r="P54" s="265" t="n">
        <v>119997.13778</v>
      </c>
      <c r="Q54" s="265" t="n">
        <v>118517.85892</v>
      </c>
      <c r="S54" s="265" t="n">
        <v>139044.45351</v>
      </c>
      <c r="T54" s="265" t="n">
        <v>145185.78116</v>
      </c>
      <c r="U54" s="265" t="n">
        <v>155536.05426</v>
      </c>
      <c r="V54" s="265" t="n">
        <v>152428.38303</v>
      </c>
      <c r="X54" s="265" t="n">
        <v>154527.85636</v>
      </c>
      <c r="Y54" s="265" t="n">
        <v>138960.69553</v>
      </c>
      <c r="Z54" s="265" t="n">
        <v>149391.80675</v>
      </c>
      <c r="AA54" s="265" t="n">
        <v>144601.71781</v>
      </c>
      <c r="AC54" s="265" t="n">
        <v>148159.91979</v>
      </c>
      <c r="AD54" s="265" t="n">
        <v>146672.10614</v>
      </c>
    </row>
    <row r="55">
      <c r="A55" t="inlineStr">
        <is>
          <t>A: Imposto de renda e contribuição social diferidos (l.93) · fonte · unid. moeda</t>
        </is>
      </c>
      <c r="B55" t="n">
        <v>14</v>
      </c>
      <c r="C55" t="inlineStr">
        <is>
          <t>Deferred income taxes</t>
        </is>
      </c>
      <c r="D55" s="265" t="n">
        <v>241268</v>
      </c>
      <c r="E55" s="265" t="n">
        <v>256819</v>
      </c>
      <c r="F55" s="265" t="n">
        <v>412573</v>
      </c>
      <c r="G55" s="265" t="n">
        <v>407120</v>
      </c>
      <c r="I55" s="265" t="n">
        <v>539700</v>
      </c>
      <c r="J55" s="265" t="n">
        <v>736221</v>
      </c>
      <c r="K55" s="265" t="n">
        <v>973754</v>
      </c>
      <c r="L55" s="265" t="n">
        <v>1177823</v>
      </c>
      <c r="N55" s="265" t="n">
        <v>1491856.17508</v>
      </c>
      <c r="O55" s="265" t="n">
        <v>1461702.91024</v>
      </c>
      <c r="P55" s="265" t="n">
        <v>1511048.730212</v>
      </c>
      <c r="Q55" s="265" t="n">
        <v>1591412.92869</v>
      </c>
      <c r="S55" s="265" t="n">
        <v>1766879.14727</v>
      </c>
      <c r="T55" s="265" t="n">
        <v>1821170.66609</v>
      </c>
      <c r="U55" s="265" t="n">
        <v>2015686.9975</v>
      </c>
      <c r="V55" s="265" t="n">
        <v>1630838.74262</v>
      </c>
      <c r="X55" s="265" t="n">
        <v>1592806.56682</v>
      </c>
      <c r="Y55" s="265" t="n">
        <v>1880256.87392</v>
      </c>
      <c r="Z55" s="265" t="n">
        <v>1983943.57365</v>
      </c>
      <c r="AA55" s="265" t="n">
        <v>1466636.3021</v>
      </c>
      <c r="AC55" s="265" t="n">
        <v>1625766.54579</v>
      </c>
      <c r="AD55" s="265" t="n">
        <v>1782308.7295</v>
      </c>
    </row>
    <row r="56">
      <c r="A56" t="inlineStr">
        <is>
          <t>A: Partes relacionadas (l.94) · fonte · unid. moeda</t>
        </is>
      </c>
      <c r="B56" t="n">
        <v>22</v>
      </c>
      <c r="C56" t="inlineStr">
        <is>
          <t>Other non-current assets</t>
        </is>
      </c>
      <c r="D56" s="265" t="n">
        <v>0</v>
      </c>
      <c r="E56" s="265" t="n">
        <v>0</v>
      </c>
      <c r="F56" s="265" t="n">
        <v>0</v>
      </c>
      <c r="G56" s="265" t="n">
        <v>0</v>
      </c>
      <c r="I56" s="265" t="n">
        <v>0</v>
      </c>
      <c r="J56" s="265" t="n">
        <v>263</v>
      </c>
      <c r="K56" s="265" t="n">
        <v>389</v>
      </c>
      <c r="L56" s="265" t="n">
        <v>791</v>
      </c>
      <c r="N56" s="265" t="n">
        <v>843.0186</v>
      </c>
      <c r="O56" s="265" t="n">
        <v>941.79619</v>
      </c>
      <c r="P56" s="265" t="n">
        <v>941.79619</v>
      </c>
      <c r="Q56" s="265" t="n">
        <v>941.79619</v>
      </c>
      <c r="S56" s="265" t="n">
        <v>941.89518</v>
      </c>
      <c r="T56" s="265" t="n">
        <v>941.89518</v>
      </c>
      <c r="U56" s="265" t="n">
        <v>941.89516</v>
      </c>
      <c r="V56" s="265" t="n">
        <v>-6e-05</v>
      </c>
      <c r="X56" s="265" t="n">
        <v>941.79662</v>
      </c>
      <c r="Y56" s="265" t="n">
        <v>941.89562</v>
      </c>
      <c r="Z56" s="265" t="n">
        <v>941.89562</v>
      </c>
      <c r="AA56" s="265" t="n">
        <v>941.8955999999999</v>
      </c>
      <c r="AC56" s="265" t="n">
        <v>941.89562</v>
      </c>
      <c r="AD56" s="265" t="n">
        <v>941.89562</v>
      </c>
    </row>
    <row r="57">
      <c r="A57" t="inlineStr">
        <is>
          <t>A: Fundo para capitalização de concessionárias (l.95) · fonte · unid. moeda</t>
        </is>
      </c>
      <c r="B57" t="n">
        <v>22</v>
      </c>
      <c r="C57" t="inlineStr">
        <is>
          <t>Other non-current assets</t>
        </is>
      </c>
      <c r="D57" s="265" t="n">
        <v>0</v>
      </c>
      <c r="E57" s="265" t="n">
        <v>0</v>
      </c>
      <c r="F57" s="265" t="n">
        <v>0</v>
      </c>
      <c r="G57" s="265" t="n">
        <v>0</v>
      </c>
      <c r="I57" s="265" t="n">
        <v>0</v>
      </c>
      <c r="J57" s="265" t="n">
        <v>0</v>
      </c>
      <c r="K57" s="265" t="n">
        <v>0</v>
      </c>
      <c r="L57" s="265" t="n">
        <v>0</v>
      </c>
      <c r="N57" s="265" t="n">
        <v>70262.74674</v>
      </c>
      <c r="O57" s="265" t="n">
        <v>156205.07756</v>
      </c>
      <c r="P57" s="265" t="n">
        <v>152519.46944</v>
      </c>
      <c r="Q57" s="265" t="n">
        <v>156630.42435</v>
      </c>
      <c r="S57" s="265" t="n">
        <v>121933.3439</v>
      </c>
      <c r="T57" s="265" t="n">
        <v>119456.89571</v>
      </c>
      <c r="U57" s="265" t="n">
        <v>114931.77273</v>
      </c>
      <c r="V57" s="265" t="n">
        <v>121848.1481</v>
      </c>
      <c r="X57" s="265" t="n">
        <v>136353.3897</v>
      </c>
      <c r="Y57" s="265" t="n">
        <v>145064.17659</v>
      </c>
      <c r="Z57" s="265" t="n">
        <v>121866.34867</v>
      </c>
      <c r="AA57" s="265" t="n">
        <v>135374.7403</v>
      </c>
      <c r="AC57" s="265" t="n">
        <v>105006.82164</v>
      </c>
      <c r="AD57" s="265" t="n">
        <v>117820.12834</v>
      </c>
    </row>
    <row r="58">
      <c r="A58" t="inlineStr">
        <is>
          <t>A: Ativo de indenização por combinação de negócios (l.96) · fonte · unid. moeda</t>
        </is>
      </c>
      <c r="B58" t="n">
        <v>22</v>
      </c>
      <c r="C58" t="inlineStr">
        <is>
          <t>Other non-current assets</t>
        </is>
      </c>
      <c r="D58" s="265" t="n">
        <v>92404</v>
      </c>
      <c r="E58" s="265" t="n">
        <v>298777</v>
      </c>
      <c r="F58" s="265" t="n">
        <v>305950</v>
      </c>
      <c r="G58" s="265" t="n">
        <v>281432</v>
      </c>
      <c r="I58" s="265" t="n">
        <v>267190</v>
      </c>
      <c r="J58" s="265" t="n">
        <v>256717</v>
      </c>
      <c r="K58" s="265" t="n">
        <v>0</v>
      </c>
      <c r="L58" s="265" t="n">
        <v>0</v>
      </c>
      <c r="N58" s="265" t="n">
        <v>0</v>
      </c>
      <c r="O58" s="265" t="n">
        <v>0</v>
      </c>
      <c r="P58" s="265" t="n">
        <v>0</v>
      </c>
      <c r="Q58" s="265" t="n">
        <v>0</v>
      </c>
      <c r="S58" s="265" t="n">
        <v>0</v>
      </c>
      <c r="T58" s="265" t="n">
        <v>0</v>
      </c>
      <c r="U58" s="265" t="n">
        <v>0</v>
      </c>
      <c r="V58" s="265" t="n">
        <v>0</v>
      </c>
      <c r="X58" s="265" t="n">
        <v>0</v>
      </c>
      <c r="Y58" s="265" t="n">
        <v>0</v>
      </c>
      <c r="Z58" s="265" t="n">
        <v>0</v>
      </c>
      <c r="AA58" s="265" t="n">
        <v>0</v>
      </c>
      <c r="AC58" s="265" t="n">
        <v>0</v>
      </c>
      <c r="AD58" s="265" t="n">
        <v>0</v>
      </c>
    </row>
    <row r="59">
      <c r="A59" t="inlineStr">
        <is>
          <t>A: Outros créditos (l.97) · fonte · unid. moeda</t>
        </is>
      </c>
      <c r="B59" t="n">
        <v>22</v>
      </c>
      <c r="C59" t="inlineStr">
        <is>
          <t>Other non-current assets</t>
        </is>
      </c>
      <c r="D59" s="265" t="n">
        <v>83915</v>
      </c>
      <c r="E59" s="265" t="n">
        <v>91281</v>
      </c>
      <c r="F59" s="265" t="n">
        <v>83868</v>
      </c>
      <c r="G59" s="265" t="n">
        <v>108782</v>
      </c>
      <c r="I59" s="265" t="n">
        <v>80163</v>
      </c>
      <c r="J59" s="265" t="n">
        <v>111529</v>
      </c>
      <c r="K59" s="265" t="n">
        <v>459521</v>
      </c>
      <c r="L59" s="265" t="n">
        <v>112804</v>
      </c>
      <c r="N59" s="265" t="n">
        <v>54451.687119</v>
      </c>
      <c r="O59" s="265" t="n">
        <v>57732.441585</v>
      </c>
      <c r="P59" s="265" t="n">
        <v>-2e-06</v>
      </c>
      <c r="Q59" s="265" t="n">
        <v>82834.32883</v>
      </c>
      <c r="S59" s="265" t="n">
        <v>78256.796539</v>
      </c>
      <c r="T59" s="265" t="n">
        <v>111600.470735</v>
      </c>
      <c r="U59" s="265" t="n">
        <v>132835.086697</v>
      </c>
      <c r="V59" s="265" t="n">
        <v>144808.12097</v>
      </c>
      <c r="X59" s="265" t="n">
        <v>107905.07853</v>
      </c>
      <c r="Y59" s="265" t="n">
        <v>149350.12311</v>
      </c>
      <c r="Z59" s="265" t="n">
        <v>213924.17945</v>
      </c>
      <c r="AA59" s="265" t="n">
        <v>136816.0981</v>
      </c>
      <c r="AC59" s="265" t="n">
        <v>316067.01177</v>
      </c>
      <c r="AD59" s="265" t="n">
        <v>172963.00953</v>
      </c>
    </row>
    <row r="60">
      <c r="A60" t="inlineStr">
        <is>
          <t>A: Outros créditos Intercompany (l.98) · fonte · unid. moeda</t>
        </is>
      </c>
      <c r="B60" t="n">
        <v>22</v>
      </c>
      <c r="C60" t="inlineStr">
        <is>
          <t>Other non-current assets</t>
        </is>
      </c>
      <c r="D60" s="265" t="n">
        <v>0</v>
      </c>
      <c r="E60" s="265" t="n">
        <v>0</v>
      </c>
      <c r="F60" s="265" t="n">
        <v>0</v>
      </c>
      <c r="G60" s="265" t="n">
        <v>0</v>
      </c>
      <c r="I60" s="265" t="n">
        <v>0</v>
      </c>
      <c r="J60" s="265" t="n">
        <v>0</v>
      </c>
      <c r="K60" s="265" t="n">
        <v>0</v>
      </c>
      <c r="L60" s="265" t="n">
        <v>0</v>
      </c>
      <c r="N60" s="265" t="n">
        <v>-0.00054</v>
      </c>
      <c r="O60" s="265" t="n">
        <v>0</v>
      </c>
      <c r="P60" s="265" t="n">
        <v>2177.31174</v>
      </c>
      <c r="Q60" s="265" t="n">
        <v>0</v>
      </c>
      <c r="S60" s="265" t="n">
        <v>11827.38095</v>
      </c>
      <c r="T60" s="265" t="n">
        <v>13202.38095</v>
      </c>
      <c r="U60" s="265" t="n">
        <v>1222.22222</v>
      </c>
      <c r="V60" s="265" t="n">
        <v>2797.22223</v>
      </c>
      <c r="X60" s="265" t="n">
        <v>1301.807</v>
      </c>
      <c r="Y60" s="265" t="n">
        <v>2466.27</v>
      </c>
      <c r="Z60" s="265" t="n">
        <v>1495.41838</v>
      </c>
      <c r="AA60" s="265" t="n">
        <v>0</v>
      </c>
      <c r="AC60" s="265" t="n">
        <v>0.00211</v>
      </c>
      <c r="AD60" s="265" t="n">
        <v>0</v>
      </c>
    </row>
    <row r="61">
      <c r="A61" t="inlineStr">
        <is>
          <t>A: Despesas antecipadas (l.99) · fonte · unid. moeda</t>
        </is>
      </c>
      <c r="B61" t="n">
        <v>22</v>
      </c>
      <c r="C61" t="inlineStr">
        <is>
          <t>Other non-current assets</t>
        </is>
      </c>
      <c r="D61" s="265" t="n">
        <v>0</v>
      </c>
      <c r="E61" s="265" t="n">
        <v>0</v>
      </c>
      <c r="F61" s="265" t="n">
        <v>0</v>
      </c>
      <c r="G61" s="265" t="n">
        <v>0</v>
      </c>
      <c r="I61" s="265" t="n">
        <v>0</v>
      </c>
      <c r="J61" s="265" t="n">
        <v>0</v>
      </c>
      <c r="K61" s="265" t="n">
        <v>0</v>
      </c>
      <c r="L61" s="265" t="n">
        <v>0</v>
      </c>
      <c r="N61" s="265" t="n">
        <v>0</v>
      </c>
      <c r="O61" s="265" t="n">
        <v>0</v>
      </c>
      <c r="P61" s="265" t="n">
        <v>0</v>
      </c>
      <c r="Q61" s="265" t="n">
        <v>0</v>
      </c>
      <c r="S61" s="265" t="n">
        <v>0</v>
      </c>
      <c r="T61" s="265" t="n">
        <v>0</v>
      </c>
      <c r="U61" s="265" t="n">
        <v>0</v>
      </c>
      <c r="V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C61" s="265" t="n">
        <v>0</v>
      </c>
      <c r="AD61" s="265" t="n">
        <v>0</v>
      </c>
    </row>
    <row r="62">
      <c r="A62" t="inlineStr">
        <is>
          <t>A: Ativos de operações descontinuadas (l.100) · fonte · unid. moeda</t>
        </is>
      </c>
      <c r="B62" t="n">
        <v>22</v>
      </c>
      <c r="C62" t="inlineStr">
        <is>
          <t>Other non-current assets</t>
        </is>
      </c>
      <c r="D62" s="265" t="n">
        <v>0</v>
      </c>
      <c r="E62" s="265" t="n">
        <v>0</v>
      </c>
      <c r="F62" s="265" t="n">
        <v>0</v>
      </c>
      <c r="G62" s="265" t="n">
        <v>0</v>
      </c>
      <c r="I62" s="265" t="n">
        <v>0</v>
      </c>
      <c r="J62" s="265" t="n">
        <v>0</v>
      </c>
      <c r="K62" s="265" t="n">
        <v>0</v>
      </c>
      <c r="L62" s="265" t="n">
        <v>0</v>
      </c>
      <c r="N62" s="265" t="n">
        <v>0</v>
      </c>
      <c r="O62" s="265" t="n">
        <v>0</v>
      </c>
      <c r="P62" s="265" t="n">
        <v>0</v>
      </c>
      <c r="Q62" s="265" t="n">
        <v>0</v>
      </c>
      <c r="S62" s="265" t="n">
        <v>0</v>
      </c>
      <c r="T62" s="265" t="n">
        <v>0</v>
      </c>
      <c r="U62" s="265" t="n">
        <v>0</v>
      </c>
      <c r="V62" s="265" t="n">
        <v>0</v>
      </c>
      <c r="X62" s="265" t="n">
        <v>0</v>
      </c>
      <c r="Y62" s="265" t="n">
        <v>0</v>
      </c>
      <c r="Z62" s="265" t="n">
        <v>0</v>
      </c>
      <c r="AA62" s="265" t="n">
        <v>0</v>
      </c>
      <c r="AC62" s="265" t="n">
        <v>0</v>
      </c>
      <c r="AD62" s="265" t="n">
        <v>0</v>
      </c>
    </row>
    <row r="63">
      <c r="A63" t="inlineStr">
        <is>
          <t>A: Ativo de Indenização (l.101) · fonte · unid. moeda</t>
        </is>
      </c>
      <c r="B63" t="n">
        <v>22</v>
      </c>
      <c r="C63" t="inlineStr">
        <is>
          <t>Other non-current assets</t>
        </is>
      </c>
      <c r="D63" s="265" t="n">
        <v>0</v>
      </c>
      <c r="E63" s="265" t="n">
        <v>0</v>
      </c>
      <c r="F63" s="265" t="n">
        <v>0</v>
      </c>
      <c r="G63" s="265" t="n">
        <v>0</v>
      </c>
      <c r="I63" s="265" t="n">
        <v>0</v>
      </c>
      <c r="J63" s="265" t="n">
        <v>0</v>
      </c>
      <c r="K63" s="265" t="n">
        <v>298571</v>
      </c>
      <c r="L63" s="265" t="n">
        <v>299342</v>
      </c>
      <c r="N63" s="265" t="n">
        <v>285810.79028</v>
      </c>
      <c r="O63" s="265" t="n">
        <v>585963.6866</v>
      </c>
      <c r="P63" s="265" t="n">
        <v>630133.300129</v>
      </c>
      <c r="Q63" s="265" t="n">
        <v>604599.9220500001</v>
      </c>
      <c r="S63" s="265" t="n">
        <v>597902.16604</v>
      </c>
      <c r="T63" s="265" t="n">
        <v>569134.3903</v>
      </c>
      <c r="U63" s="265" t="n">
        <v>527714.08053</v>
      </c>
      <c r="V63" s="265" t="n">
        <v>519955.59624</v>
      </c>
      <c r="X63" s="265" t="n">
        <v>494391.01486</v>
      </c>
      <c r="Y63" s="265" t="n">
        <v>464762.10516</v>
      </c>
      <c r="Z63" s="265" t="n">
        <v>438128.21561</v>
      </c>
      <c r="AA63" s="265" t="n">
        <v>381872.9614</v>
      </c>
      <c r="AC63" s="265" t="n">
        <v>349476.93275</v>
      </c>
      <c r="AD63" s="265" t="n">
        <v>325929.72719</v>
      </c>
    </row>
    <row r="64">
      <c r="A64" t="inlineStr">
        <is>
          <t>A: Investimentos (l.104) · fonte · unid. moeda</t>
        </is>
      </c>
      <c r="B64" t="n">
        <v>17</v>
      </c>
      <c r="C64" t="inlineStr">
        <is>
          <t>Equity in affiliates</t>
        </is>
      </c>
      <c r="D64" s="265" t="n">
        <v>19015</v>
      </c>
      <c r="E64" s="265" t="n">
        <v>22141</v>
      </c>
      <c r="F64" s="265" t="n">
        <v>24978</v>
      </c>
      <c r="G64" s="265" t="n">
        <v>30248</v>
      </c>
      <c r="I64" s="265" t="n">
        <v>29559</v>
      </c>
      <c r="J64" s="265" t="n">
        <v>28004</v>
      </c>
      <c r="K64" s="265" t="n">
        <v>32577</v>
      </c>
      <c r="L64" s="265" t="n">
        <v>34024</v>
      </c>
      <c r="N64" s="265" t="n">
        <v>33994.894681</v>
      </c>
      <c r="O64" s="265" t="n">
        <v>35106.088705</v>
      </c>
      <c r="P64" s="265" t="n">
        <v>35365.489275</v>
      </c>
      <c r="Q64" s="265" t="n">
        <v>38222.815605</v>
      </c>
      <c r="S64" s="265" t="n">
        <v>36645.08406</v>
      </c>
      <c r="T64" s="265" t="n">
        <v>35592.206354</v>
      </c>
      <c r="U64" s="265" t="n">
        <v>38821.177602</v>
      </c>
      <c r="V64" s="265" t="n">
        <v>42475.28321</v>
      </c>
      <c r="X64" s="265" t="n">
        <v>41881.72165</v>
      </c>
      <c r="Y64" s="265" t="n">
        <v>42086.7079</v>
      </c>
      <c r="Z64" s="265" t="n">
        <v>38035.58317</v>
      </c>
      <c r="AA64" s="265" t="n">
        <v>43418.3894</v>
      </c>
      <c r="AC64" s="265" t="n">
        <v>46946.38454</v>
      </c>
      <c r="AD64" s="265" t="n">
        <v>47170.816</v>
      </c>
    </row>
    <row r="65">
      <c r="A65" t="inlineStr">
        <is>
          <t>A: Imobilizado líquido (l.105) · fonte · unid. moeda</t>
        </is>
      </c>
      <c r="B65" t="n">
        <v>18</v>
      </c>
      <c r="C65" t="inlineStr">
        <is>
          <t>PP&amp;E</t>
        </is>
      </c>
      <c r="D65" s="265" t="n">
        <v>12745105</v>
      </c>
      <c r="E65" s="265" t="n">
        <v>15023583</v>
      </c>
      <c r="F65" s="265" t="n">
        <v>17425606</v>
      </c>
      <c r="G65" s="265" t="n">
        <v>21567720</v>
      </c>
      <c r="I65" s="265" t="n">
        <v>23807944</v>
      </c>
      <c r="J65" s="265" t="n">
        <v>27512254</v>
      </c>
      <c r="K65" s="265" t="n">
        <v>30582589</v>
      </c>
      <c r="L65" s="265" t="n">
        <v>34130983</v>
      </c>
      <c r="N65" s="265" t="n">
        <v>34225482.216155</v>
      </c>
      <c r="O65" s="265" t="n">
        <v>34978682.717719</v>
      </c>
      <c r="P65" s="265" t="n">
        <v>36138915.837121</v>
      </c>
      <c r="Q65" s="265" t="n">
        <v>39826161.94536</v>
      </c>
      <c r="S65" s="265" t="n">
        <v>41091228.30083</v>
      </c>
      <c r="T65" s="265" t="n">
        <v>42196613.93108</v>
      </c>
      <c r="U65" s="265" t="n">
        <v>42975007.818529</v>
      </c>
      <c r="V65" s="265" t="n">
        <v>45618213.26671</v>
      </c>
      <c r="X65" s="265" t="n">
        <v>44794682.91003</v>
      </c>
      <c r="Y65" s="265" t="n">
        <v>45294248.20465</v>
      </c>
      <c r="Z65" s="265" t="n">
        <v>45456946.28539</v>
      </c>
      <c r="AA65" s="265" t="n">
        <v>47862569.33573</v>
      </c>
      <c r="AC65" s="265" t="n">
        <v>46426005.72838</v>
      </c>
      <c r="AD65" s="265" t="n">
        <v>48115277.56408</v>
      </c>
    </row>
    <row r="66">
      <c r="A66" t="inlineStr">
        <is>
          <t>A: Intangível (l.111) (inclui agio das aquisicoes) · fonte · unid. moeda</t>
        </is>
      </c>
      <c r="B66" t="n">
        <v>21</v>
      </c>
      <c r="C66" t="inlineStr">
        <is>
          <t>Intangibles</t>
        </is>
      </c>
      <c r="D66" s="265" t="n">
        <v>1075183</v>
      </c>
      <c r="E66" s="265" t="n">
        <v>1223829</v>
      </c>
      <c r="F66" s="265" t="n">
        <v>1267480</v>
      </c>
      <c r="G66" s="265" t="n">
        <v>1346837</v>
      </c>
      <c r="I66" s="265" t="n">
        <v>1368722</v>
      </c>
      <c r="J66" s="265" t="n">
        <v>1751855</v>
      </c>
      <c r="K66" s="265" t="n">
        <v>2385375</v>
      </c>
      <c r="L66" s="265" t="n">
        <v>3026787</v>
      </c>
      <c r="N66" s="265" t="n">
        <v>3044651.275902</v>
      </c>
      <c r="O66" s="265" t="n">
        <v>3317400.544578</v>
      </c>
      <c r="P66" s="265" t="n">
        <v>3452474.2408</v>
      </c>
      <c r="Q66" s="265" t="n">
        <v>3516655.042059</v>
      </c>
      <c r="S66" s="265" t="n">
        <v>3603060.874718</v>
      </c>
      <c r="T66" s="265" t="n">
        <v>3831161.809654</v>
      </c>
      <c r="U66" s="265" t="n">
        <v>3966677.671259</v>
      </c>
      <c r="V66" s="265" t="n">
        <v>4206934.08546</v>
      </c>
      <c r="X66" s="265" t="n">
        <v>2990350.23541</v>
      </c>
      <c r="Y66" s="265" t="n">
        <v>3019637.95716</v>
      </c>
      <c r="Z66" s="265" t="n">
        <v>2986688.14482</v>
      </c>
      <c r="AA66" s="265" t="n">
        <v>3061050.97683</v>
      </c>
      <c r="AC66" s="265" t="n">
        <v>3074306.21869</v>
      </c>
      <c r="AD66" s="265" t="n">
        <v>3134041.44719</v>
      </c>
    </row>
    <row r="67">
      <c r="A67" t="inlineStr">
        <is>
          <t>P: Fornecedores (l.120) · fonte · unid. moeda</t>
        </is>
      </c>
      <c r="B67" t="n">
        <v>23</v>
      </c>
      <c r="C67" t="inlineStr">
        <is>
          <t>Accounts payable</t>
        </is>
      </c>
      <c r="D67" s="265" t="n">
        <v>1695649</v>
      </c>
      <c r="E67" s="265" t="n">
        <v>2487282.948623</v>
      </c>
      <c r="F67" s="265" t="n">
        <v>2124889</v>
      </c>
      <c r="G67" s="265" t="n">
        <v>3374264</v>
      </c>
      <c r="I67" s="265" t="n">
        <v>3099206</v>
      </c>
      <c r="J67" s="265" t="n">
        <v>4239277</v>
      </c>
      <c r="K67" s="265" t="n">
        <v>3821553</v>
      </c>
      <c r="L67" s="265" t="n">
        <v>5724420</v>
      </c>
      <c r="N67" s="265" t="n">
        <v>3139944.286385</v>
      </c>
      <c r="O67" s="265" t="n">
        <v>1870548.854218</v>
      </c>
      <c r="P67" s="265" t="n">
        <v>3268349.991281</v>
      </c>
      <c r="Q67" s="265" t="n">
        <v>6391443.230498</v>
      </c>
      <c r="S67" s="265" t="n">
        <v>6183061.38241</v>
      </c>
      <c r="T67" s="265" t="n">
        <v>5609461.53685</v>
      </c>
      <c r="U67" s="265" t="n">
        <v>5637089.01635</v>
      </c>
      <c r="V67" s="265" t="n">
        <v>7191116.62354</v>
      </c>
      <c r="X67" s="265" t="n">
        <v>5592698.14315</v>
      </c>
      <c r="Y67" s="265" t="n">
        <v>6101771.02806</v>
      </c>
      <c r="Z67" s="265" t="n">
        <v>5901555.74733</v>
      </c>
      <c r="AA67" s="265" t="n">
        <v>7318196.62878</v>
      </c>
      <c r="AC67" s="265" t="n">
        <v>6262092.00245</v>
      </c>
      <c r="AD67" s="265" t="n">
        <v>7159395.67258</v>
      </c>
    </row>
    <row r="68">
      <c r="A68" t="inlineStr">
        <is>
          <t>P: Floor Plan (l.121) (floor plan das concessionarias -&gt; fornecedores) · fonte · unid. moeda</t>
        </is>
      </c>
      <c r="B68" t="n">
        <v>23</v>
      </c>
      <c r="C68" t="inlineStr">
        <is>
          <t>Accounts payable</t>
        </is>
      </c>
      <c r="D68" s="265" t="n">
        <v>89911.86061</v>
      </c>
      <c r="E68" s="265" t="n">
        <v>109877.55894</v>
      </c>
      <c r="F68" s="265" t="n">
        <v>142060</v>
      </c>
      <c r="G68" s="265" t="n">
        <v>175536</v>
      </c>
      <c r="I68" s="265" t="n">
        <v>194516</v>
      </c>
      <c r="J68" s="265" t="n">
        <v>206128</v>
      </c>
      <c r="K68" s="265" t="n">
        <v>198507</v>
      </c>
      <c r="L68" s="265" t="n">
        <v>378753</v>
      </c>
      <c r="N68" s="265" t="n">
        <v>404635.95487</v>
      </c>
      <c r="O68" s="265" t="n">
        <v>381011.99108</v>
      </c>
      <c r="P68" s="265" t="n">
        <v>361835.75313</v>
      </c>
      <c r="Q68" s="265" t="n">
        <v>376999.98325</v>
      </c>
      <c r="S68" s="265" t="n">
        <v>468912.1199</v>
      </c>
      <c r="T68" s="265" t="n">
        <v>697246.5679800001</v>
      </c>
      <c r="U68" s="265" t="n">
        <v>841722.80134</v>
      </c>
      <c r="V68" s="265" t="n">
        <v>747044.6716999999</v>
      </c>
      <c r="X68" s="265" t="n">
        <v>708947.15302</v>
      </c>
      <c r="Y68" s="265" t="n">
        <v>876904.2517</v>
      </c>
      <c r="Z68" s="265" t="n">
        <v>952484.41655</v>
      </c>
      <c r="AA68" s="265" t="n">
        <v>1027622.0543</v>
      </c>
      <c r="AC68" s="265" t="n">
        <v>1380466.47795</v>
      </c>
      <c r="AD68" s="265" t="n">
        <v>1441220.54061</v>
      </c>
    </row>
    <row r="69">
      <c r="A69" t="inlineStr">
        <is>
          <t>P: Risco sacado a pagar (l.122) (a Cia inclui na divida bruta -&gt; cod 27) · fonte · unid. moeda</t>
        </is>
      </c>
      <c r="B69" t="n">
        <v>27</v>
      </c>
      <c r="C69" t="inlineStr">
        <is>
          <t>Current portion of long-term debt</t>
        </is>
      </c>
      <c r="D69" s="265" t="n">
        <v>0</v>
      </c>
      <c r="E69" s="265" t="n">
        <v>3243.31088</v>
      </c>
      <c r="F69" s="265" t="n">
        <v>0</v>
      </c>
      <c r="G69" s="265" t="n">
        <v>0</v>
      </c>
      <c r="I69" s="265" t="n">
        <v>0</v>
      </c>
      <c r="J69" s="265" t="n">
        <v>0</v>
      </c>
      <c r="K69" s="265" t="n">
        <v>0</v>
      </c>
      <c r="L69" s="265" t="n">
        <v>72920</v>
      </c>
      <c r="N69" s="265" t="n">
        <v>74179.11857000001</v>
      </c>
      <c r="O69" s="265" t="n">
        <v>61274.24552</v>
      </c>
      <c r="P69" s="265" t="n">
        <v>120328.02225</v>
      </c>
      <c r="Q69" s="265" t="n">
        <v>115581.90794</v>
      </c>
      <c r="S69" s="265" t="n">
        <v>55195.78571</v>
      </c>
      <c r="T69" s="265" t="n">
        <v>24945.50126</v>
      </c>
      <c r="U69" s="265" t="n">
        <v>60997.3648</v>
      </c>
      <c r="V69" s="265" t="n">
        <v>32860.48987</v>
      </c>
      <c r="X69" s="265" t="n">
        <v>2254.70001</v>
      </c>
      <c r="Y69" s="265" t="n">
        <v>28101.14596</v>
      </c>
      <c r="Z69" s="265" t="n">
        <v>49684.37359</v>
      </c>
      <c r="AA69" s="265" t="n">
        <v>17896.81101</v>
      </c>
      <c r="AC69" s="265" t="n">
        <v>847.20001</v>
      </c>
      <c r="AD69" s="265" t="n">
        <v>11035.77415</v>
      </c>
    </row>
    <row r="70">
      <c r="A70" t="inlineStr">
        <is>
          <t>P: Empréstimos e financiamentos (l.123) · fonte · unid. moeda</t>
        </is>
      </c>
      <c r="B70" t="n">
        <v>27</v>
      </c>
      <c r="C70" t="inlineStr">
        <is>
          <t>Current portion of long-term debt</t>
        </is>
      </c>
      <c r="D70" s="265" t="n">
        <v>586477</v>
      </c>
      <c r="E70" s="265" t="n">
        <v>603923.75669</v>
      </c>
      <c r="F70" s="265" t="n">
        <v>473286</v>
      </c>
      <c r="G70" s="265" t="n">
        <v>765352</v>
      </c>
      <c r="I70" s="265" t="n">
        <v>609512</v>
      </c>
      <c r="J70" s="265" t="n">
        <v>893473</v>
      </c>
      <c r="K70" s="265" t="n">
        <v>975222</v>
      </c>
      <c r="L70" s="265" t="n">
        <v>1427853</v>
      </c>
      <c r="N70" s="265" t="n">
        <v>1412951.398462</v>
      </c>
      <c r="O70" s="265" t="n">
        <v>1778802.043448</v>
      </c>
      <c r="P70" s="265" t="n">
        <v>1947453.782639</v>
      </c>
      <c r="Q70" s="265" t="n">
        <v>2372350.516837</v>
      </c>
      <c r="S70" s="265" t="n">
        <v>2946562.911335</v>
      </c>
      <c r="T70" s="265" t="n">
        <v>4793177.851965</v>
      </c>
      <c r="U70" s="265" t="n">
        <v>4684374.908475</v>
      </c>
      <c r="V70" s="265" t="n">
        <v>4952082.22564</v>
      </c>
      <c r="X70" s="265" t="n">
        <v>5136642.07233</v>
      </c>
      <c r="Y70" s="265" t="n">
        <v>4378424.34117</v>
      </c>
      <c r="Z70" s="265" t="n">
        <v>4703614.9553</v>
      </c>
      <c r="AA70" s="265" t="n">
        <v>6292179.38742</v>
      </c>
      <c r="AC70" s="265" t="n">
        <v>4699967.74298</v>
      </c>
      <c r="AD70" s="265" t="n">
        <v>4395233.688</v>
      </c>
    </row>
    <row r="71">
      <c r="A71" t="inlineStr">
        <is>
          <t>P: Debêntures (l.124) · fonte · unid. moeda</t>
        </is>
      </c>
      <c r="B71" t="n">
        <v>27</v>
      </c>
      <c r="C71" t="inlineStr">
        <is>
          <t>Current portion of long-term debt</t>
        </is>
      </c>
      <c r="D71" s="265" t="n">
        <v>562649.77996</v>
      </c>
      <c r="E71" s="265" t="n">
        <v>535767</v>
      </c>
      <c r="F71" s="265" t="n">
        <v>544970</v>
      </c>
      <c r="G71" s="265" t="n">
        <v>661877</v>
      </c>
      <c r="I71" s="265" t="n">
        <v>847065</v>
      </c>
      <c r="J71" s="265" t="n">
        <v>1038196</v>
      </c>
      <c r="K71" s="265" t="n">
        <v>1633921</v>
      </c>
      <c r="L71" s="265" t="n">
        <v>2361078</v>
      </c>
      <c r="N71" s="265" t="n">
        <v>1296934.935115</v>
      </c>
      <c r="O71" s="265" t="n">
        <v>1099453.609937</v>
      </c>
      <c r="P71" s="265" t="n">
        <v>1137671.54639</v>
      </c>
      <c r="Q71" s="265" t="n">
        <v>1320556.5626</v>
      </c>
      <c r="S71" s="265" t="n">
        <v>1352426.13651</v>
      </c>
      <c r="T71" s="265" t="n">
        <v>1199311.55316</v>
      </c>
      <c r="U71" s="265" t="n">
        <v>1635412.29798</v>
      </c>
      <c r="V71" s="265" t="n">
        <v>1997440.78657</v>
      </c>
      <c r="X71" s="265" t="n">
        <v>2194015.90898</v>
      </c>
      <c r="Y71" s="265" t="n">
        <v>2535945.07722</v>
      </c>
      <c r="Z71" s="265" t="n">
        <v>3038376.42015</v>
      </c>
      <c r="AA71" s="265" t="n">
        <v>2719517.9279</v>
      </c>
      <c r="AC71" s="265" t="n">
        <v>3226072.72234</v>
      </c>
      <c r="AD71" s="265" t="n">
        <v>3080986.10651</v>
      </c>
    </row>
    <row r="72">
      <c r="A72" t="inlineStr">
        <is>
          <t>P: Arrendamento por instituições financeiras (l.125) (arrendamento financeiro: divida bruta da Cia) · fonte · unid. moeda</t>
        </is>
      </c>
      <c r="B72" t="n">
        <v>27</v>
      </c>
      <c r="C72" t="inlineStr">
        <is>
          <t>Current portion of long-term debt</t>
        </is>
      </c>
      <c r="D72" s="265" t="n">
        <v>100473.58431</v>
      </c>
      <c r="E72" s="265" t="n">
        <v>76768.62166</v>
      </c>
      <c r="F72" s="265" t="n">
        <v>113855</v>
      </c>
      <c r="G72" s="265" t="n">
        <v>118833</v>
      </c>
      <c r="I72" s="265" t="n">
        <v>108972</v>
      </c>
      <c r="J72" s="265" t="n">
        <v>100062</v>
      </c>
      <c r="K72" s="265" t="n">
        <v>72411</v>
      </c>
      <c r="L72" s="265" t="n">
        <v>71637</v>
      </c>
      <c r="N72" s="265" t="n">
        <v>101625.19944</v>
      </c>
      <c r="O72" s="265" t="n">
        <v>107170.42471</v>
      </c>
      <c r="P72" s="265" t="n">
        <v>117473.1791</v>
      </c>
      <c r="Q72" s="265" t="n">
        <v>124609.02107</v>
      </c>
      <c r="S72" s="265" t="n">
        <v>132262.60027</v>
      </c>
      <c r="T72" s="265" t="n">
        <v>135030.95829</v>
      </c>
      <c r="U72" s="265" t="n">
        <v>137061.34264</v>
      </c>
      <c r="V72" s="265" t="n">
        <v>131764.88341</v>
      </c>
      <c r="X72" s="265" t="n">
        <v>115086.862</v>
      </c>
      <c r="Y72" s="265" t="n">
        <v>123533.9865</v>
      </c>
      <c r="Z72" s="265" t="n">
        <v>121236.68616</v>
      </c>
      <c r="AA72" s="265" t="n">
        <v>79819.2308</v>
      </c>
      <c r="AC72" s="265" t="n">
        <v>74783.12553999999</v>
      </c>
      <c r="AD72" s="265" t="n">
        <v>69155.00637</v>
      </c>
    </row>
    <row r="73">
      <c r="A73" t="inlineStr">
        <is>
          <t>P: Arrendamento por direito de uso (l.126) · fonte · unid. moeda</t>
        </is>
      </c>
      <c r="B73" t="n">
        <v>29</v>
      </c>
      <c r="C73" t="inlineStr">
        <is>
          <t>Short term operating leases</t>
        </is>
      </c>
      <c r="D73" s="265" t="n">
        <v>115268.27369</v>
      </c>
      <c r="E73" s="265" t="n">
        <v>135257.61191</v>
      </c>
      <c r="F73" s="265" t="n">
        <v>324387</v>
      </c>
      <c r="G73" s="265" t="n">
        <v>197769</v>
      </c>
      <c r="I73" s="265" t="n">
        <v>197789</v>
      </c>
      <c r="J73" s="265" t="n">
        <v>212550</v>
      </c>
      <c r="K73" s="265" t="n">
        <v>248393</v>
      </c>
      <c r="L73" s="265" t="n">
        <v>291430</v>
      </c>
      <c r="N73" s="265" t="n">
        <v>302015.930157</v>
      </c>
      <c r="O73" s="265" t="n">
        <v>319175.826534</v>
      </c>
      <c r="P73" s="265" t="n">
        <v>342244.387795</v>
      </c>
      <c r="Q73" s="265" t="n">
        <v>364875.069911</v>
      </c>
      <c r="S73" s="265" t="n">
        <v>354372.035038</v>
      </c>
      <c r="T73" s="265" t="n">
        <v>387947.807953</v>
      </c>
      <c r="U73" s="265" t="n">
        <v>434542.762599</v>
      </c>
      <c r="V73" s="265" t="n">
        <v>444884.50984</v>
      </c>
      <c r="X73" s="265" t="n">
        <v>409767.93177</v>
      </c>
      <c r="Y73" s="265" t="n">
        <v>160221.82137</v>
      </c>
      <c r="Z73" s="265" t="n">
        <v>64340.33223</v>
      </c>
      <c r="AA73" s="265" t="n">
        <v>319416.26964</v>
      </c>
      <c r="AC73" s="265" t="n">
        <v>327669.16642</v>
      </c>
      <c r="AD73" s="265" t="n">
        <v>199068.20025</v>
      </c>
    </row>
    <row r="74">
      <c r="A74" t="inlineStr">
        <is>
          <t>P: Cessão de direitos creditórios (l.127) · fonte · unid. moeda</t>
        </is>
      </c>
      <c r="B74" t="n">
        <v>26</v>
      </c>
      <c r="C74" t="inlineStr">
        <is>
          <t>Other current liabilities (non-debt)</t>
        </is>
      </c>
      <c r="D74" s="265" t="n">
        <v>6042.62847</v>
      </c>
      <c r="E74" s="265" t="n">
        <v>6042.62847</v>
      </c>
      <c r="F74" s="265" t="n">
        <v>6260</v>
      </c>
      <c r="G74" s="265" t="n">
        <v>6043</v>
      </c>
      <c r="I74" s="265" t="n">
        <v>2013</v>
      </c>
      <c r="J74" s="265" t="n">
        <v>3021</v>
      </c>
      <c r="K74" s="265" t="n">
        <v>316650</v>
      </c>
      <c r="L74" s="265" t="n">
        <v>698404</v>
      </c>
      <c r="N74" s="265" t="n">
        <v>981360.9426</v>
      </c>
      <c r="O74" s="265" t="n">
        <v>857016.68299</v>
      </c>
      <c r="P74" s="265" t="n">
        <v>548014.96192</v>
      </c>
      <c r="Q74" s="265" t="n">
        <v>1129946.18095</v>
      </c>
      <c r="S74" s="265" t="n">
        <v>1707821.91595</v>
      </c>
      <c r="T74" s="265" t="n">
        <v>1734883.02861</v>
      </c>
      <c r="U74" s="265" t="n">
        <v>1421486.69244</v>
      </c>
      <c r="V74" s="265" t="n">
        <v>1367847.30554</v>
      </c>
      <c r="X74" s="265" t="n">
        <v>1676586.52162</v>
      </c>
      <c r="Y74" s="265" t="n">
        <v>1848217.64283</v>
      </c>
      <c r="Z74" s="265" t="n">
        <v>2027509.81233</v>
      </c>
      <c r="AA74" s="265" t="n">
        <v>2047126.5441</v>
      </c>
      <c r="AC74" s="265" t="n">
        <v>1801741.30481</v>
      </c>
      <c r="AD74" s="265" t="n">
        <v>1284244.40197</v>
      </c>
    </row>
    <row r="75">
      <c r="A75" t="inlineStr">
        <is>
          <t>P: Instrumentos financeiros derivativos (l.128) · fonte · unid. moeda</t>
        </is>
      </c>
      <c r="B75" t="n">
        <v>26</v>
      </c>
      <c r="C75" t="inlineStr">
        <is>
          <t>Other current liabilities (non-debt)</t>
        </is>
      </c>
      <c r="D75" s="265" t="n">
        <v>0</v>
      </c>
      <c r="E75" s="265" t="n">
        <v>0</v>
      </c>
      <c r="F75" s="265" t="n">
        <v>0</v>
      </c>
      <c r="G75" s="265" t="n">
        <v>271251</v>
      </c>
      <c r="I75" s="265" t="n">
        <v>463208</v>
      </c>
      <c r="J75" s="265" t="n">
        <v>490337</v>
      </c>
      <c r="K75" s="265" t="n">
        <v>535922</v>
      </c>
      <c r="L75" s="265" t="n">
        <v>561290</v>
      </c>
      <c r="N75" s="265" t="n">
        <v>504086.53177</v>
      </c>
      <c r="O75" s="265" t="n">
        <v>845069.6826300001</v>
      </c>
      <c r="P75" s="265" t="n">
        <v>611279.00921</v>
      </c>
      <c r="Q75" s="265" t="n">
        <v>723681.42421</v>
      </c>
      <c r="S75" s="265" t="n">
        <v>750587.2942680001</v>
      </c>
      <c r="T75" s="265" t="n">
        <v>797148.03259</v>
      </c>
      <c r="U75" s="265" t="n">
        <v>919187.23677</v>
      </c>
      <c r="V75" s="265" t="n">
        <v>1560378.74021</v>
      </c>
      <c r="X75" s="265" t="n">
        <v>1213437.90004</v>
      </c>
      <c r="Y75" s="265" t="n">
        <v>1053056.87283</v>
      </c>
      <c r="Z75" s="265" t="n">
        <v>1062576.84267</v>
      </c>
      <c r="AA75" s="265" t="n">
        <v>1020515.9461</v>
      </c>
      <c r="AC75" s="265" t="n">
        <v>1206840.11058</v>
      </c>
      <c r="AD75" s="265" t="n">
        <v>1193509.92438</v>
      </c>
    </row>
    <row r="76">
      <c r="A76" t="inlineStr">
        <is>
          <t>P: Obrigações trabalhistas (l.129) · fonte · unid. moeda</t>
        </is>
      </c>
      <c r="B76" t="n">
        <v>24</v>
      </c>
      <c r="C76" t="inlineStr">
        <is>
          <t>Accrued expenses</t>
        </is>
      </c>
      <c r="D76" s="265" t="n">
        <v>314313.235398</v>
      </c>
      <c r="E76" s="265" t="n">
        <v>395071.7992</v>
      </c>
      <c r="F76" s="265" t="n">
        <v>462694</v>
      </c>
      <c r="G76" s="265" t="n">
        <v>408154</v>
      </c>
      <c r="I76" s="265" t="n">
        <v>464144</v>
      </c>
      <c r="J76" s="265" t="n">
        <v>510412</v>
      </c>
      <c r="K76" s="265" t="n">
        <v>658286</v>
      </c>
      <c r="L76" s="265" t="n">
        <v>625156</v>
      </c>
      <c r="N76" s="265" t="n">
        <v>702028.5645400001</v>
      </c>
      <c r="O76" s="265" t="n">
        <v>805710.163915</v>
      </c>
      <c r="P76" s="265" t="n">
        <v>919264.424689</v>
      </c>
      <c r="Q76" s="265" t="n">
        <v>727767.074322</v>
      </c>
      <c r="S76" s="265" t="n">
        <v>756147.315319</v>
      </c>
      <c r="T76" s="265" t="n">
        <v>781022.510349</v>
      </c>
      <c r="U76" s="265" t="n">
        <v>860483.808124</v>
      </c>
      <c r="V76" s="265" t="n">
        <v>747297.25973</v>
      </c>
      <c r="X76" s="265" t="n">
        <v>778191.14601</v>
      </c>
      <c r="Y76" s="265" t="n">
        <v>861570.04729</v>
      </c>
      <c r="Z76" s="265" t="n">
        <v>959030.46664</v>
      </c>
      <c r="AA76" s="265" t="n">
        <v>845769.07274</v>
      </c>
      <c r="AC76" s="265" t="n">
        <v>1127902.86505</v>
      </c>
      <c r="AD76" s="265" t="n">
        <v>1191838.97208</v>
      </c>
    </row>
    <row r="77">
      <c r="A77" t="inlineStr">
        <is>
          <t>P: Imposto de renda e contribuição social a recolher (l.130) · fonte · unid. moeda</t>
        </is>
      </c>
      <c r="B77" t="n">
        <v>25</v>
      </c>
      <c r="C77" t="inlineStr">
        <is>
          <t>Taxes payable</t>
        </is>
      </c>
      <c r="D77" s="265" t="n">
        <v>81317</v>
      </c>
      <c r="E77" s="265" t="n">
        <v>49699.130237</v>
      </c>
      <c r="F77" s="265" t="n">
        <v>58894</v>
      </c>
      <c r="G77" s="265" t="n">
        <v>45865</v>
      </c>
      <c r="I77" s="265" t="n">
        <v>28608</v>
      </c>
      <c r="J77" s="265" t="n">
        <v>60969</v>
      </c>
      <c r="K77" s="265" t="n">
        <v>105766</v>
      </c>
      <c r="L77" s="265" t="n">
        <v>99818</v>
      </c>
      <c r="N77" s="265" t="n">
        <v>58300.50451</v>
      </c>
      <c r="O77" s="265" t="n">
        <v>58241.313924</v>
      </c>
      <c r="P77" s="265" t="n">
        <v>61085.826068</v>
      </c>
      <c r="Q77" s="265" t="n">
        <v>45215.293825</v>
      </c>
      <c r="S77" s="265" t="n">
        <v>52949.432678</v>
      </c>
      <c r="T77" s="265" t="n">
        <v>73295.906437</v>
      </c>
      <c r="U77" s="265" t="n">
        <v>51412.406932</v>
      </c>
      <c r="V77" s="265" t="n">
        <v>52325.92571</v>
      </c>
      <c r="X77" s="265" t="n">
        <v>57322.90109</v>
      </c>
      <c r="Y77" s="265" t="n">
        <v>37055.0998</v>
      </c>
      <c r="Z77" s="265" t="n">
        <v>42573.39722</v>
      </c>
      <c r="AA77" s="265" t="n">
        <v>52122.38426</v>
      </c>
      <c r="AC77" s="265" t="n">
        <v>79153.71034000001</v>
      </c>
      <c r="AD77" s="265" t="n">
        <v>99267.33001000001</v>
      </c>
    </row>
    <row r="78">
      <c r="A78" t="inlineStr">
        <is>
          <t>P: Tributos a recolher (l.131) · fonte · unid. moeda</t>
        </is>
      </c>
      <c r="B78" t="n">
        <v>25</v>
      </c>
      <c r="C78" t="inlineStr">
        <is>
          <t>Taxes payable</t>
        </is>
      </c>
      <c r="D78" s="265" t="n">
        <v>108550.586462</v>
      </c>
      <c r="E78" s="265" t="n">
        <v>139893.26844</v>
      </c>
      <c r="F78" s="265" t="n">
        <v>146794</v>
      </c>
      <c r="G78" s="265" t="n">
        <v>220213</v>
      </c>
      <c r="I78" s="265" t="n">
        <v>195173</v>
      </c>
      <c r="J78" s="265" t="n">
        <v>244767</v>
      </c>
      <c r="K78" s="265" t="n">
        <v>249599</v>
      </c>
      <c r="L78" s="265" t="n">
        <v>385329</v>
      </c>
      <c r="N78" s="265" t="n">
        <v>289480.858423</v>
      </c>
      <c r="O78" s="265" t="n">
        <v>324778.180725</v>
      </c>
      <c r="P78" s="265" t="n">
        <v>361705.987038</v>
      </c>
      <c r="Q78" s="265" t="n">
        <v>455583.881998</v>
      </c>
      <c r="S78" s="265" t="n">
        <v>417786.804644</v>
      </c>
      <c r="T78" s="265" t="n">
        <v>389845.018198</v>
      </c>
      <c r="U78" s="265" t="n">
        <v>449469.411721</v>
      </c>
      <c r="V78" s="265" t="n">
        <v>534353.48849</v>
      </c>
      <c r="X78" s="265" t="n">
        <v>448392.2567</v>
      </c>
      <c r="Y78" s="265" t="n">
        <v>491401.13898</v>
      </c>
      <c r="Z78" s="265" t="n">
        <v>494743.00129</v>
      </c>
      <c r="AA78" s="265" t="n">
        <v>654625.59817</v>
      </c>
      <c r="AC78" s="265" t="n">
        <v>510741.00896</v>
      </c>
      <c r="AD78" s="265" t="n">
        <v>559703.0504900001</v>
      </c>
    </row>
    <row r="79">
      <c r="A79" t="inlineStr">
        <is>
          <t>P: Outras contas a pagar (l.132) · fonte · unid. moeda</t>
        </is>
      </c>
      <c r="B79" t="n">
        <v>26</v>
      </c>
      <c r="C79" t="inlineStr">
        <is>
          <t>Other current liabilities (non-debt)</t>
        </is>
      </c>
      <c r="D79" s="265" t="n">
        <v>448281</v>
      </c>
      <c r="E79" s="265" t="n">
        <v>519721</v>
      </c>
      <c r="F79" s="265" t="n">
        <v>512220</v>
      </c>
      <c r="G79" s="265" t="n">
        <v>420724</v>
      </c>
      <c r="I79" s="265" t="n">
        <v>495153</v>
      </c>
      <c r="J79" s="265" t="n">
        <v>573636</v>
      </c>
      <c r="K79" s="265" t="n">
        <v>279659</v>
      </c>
      <c r="L79" s="265" t="n">
        <v>289150</v>
      </c>
      <c r="N79" s="265" t="n">
        <v>307172.241038</v>
      </c>
      <c r="O79" s="265" t="n">
        <v>281895.132726</v>
      </c>
      <c r="P79" s="265" t="n">
        <v>345263.351551</v>
      </c>
      <c r="Q79" s="265" t="n">
        <v>130096.89605</v>
      </c>
      <c r="S79" s="265" t="n">
        <v>179757.079106</v>
      </c>
      <c r="T79" s="265" t="n">
        <v>221213.062981</v>
      </c>
      <c r="U79" s="265" t="n">
        <v>208096.475172</v>
      </c>
      <c r="V79" s="265" t="n">
        <v>64561.3757</v>
      </c>
      <c r="X79" s="265" t="n">
        <v>-211462.65432</v>
      </c>
      <c r="Y79" s="265" t="n">
        <v>-437693.51712</v>
      </c>
      <c r="Z79" s="265" t="n">
        <v>5474.94991</v>
      </c>
      <c r="AA79" s="265" t="n">
        <v>13207.45485</v>
      </c>
      <c r="AC79" s="265" t="n">
        <v>-56659.05382</v>
      </c>
      <c r="AD79" s="265" t="n">
        <v>-211851.15894</v>
      </c>
    </row>
    <row r="80">
      <c r="A80" t="inlineStr">
        <is>
          <t>P: Aquisição de empresas a pagar (l.133) · fonte · unid. moeda</t>
        </is>
      </c>
      <c r="B80" t="n">
        <v>26</v>
      </c>
      <c r="C80" t="inlineStr">
        <is>
          <t>Other current liabilities (non-debt)</t>
        </is>
      </c>
      <c r="D80" s="265" t="n">
        <v>0</v>
      </c>
      <c r="E80" s="265" t="n">
        <v>0</v>
      </c>
      <c r="F80" s="265" t="n">
        <v>0</v>
      </c>
      <c r="G80" s="265" t="n">
        <v>0</v>
      </c>
      <c r="I80" s="265" t="n">
        <v>0</v>
      </c>
      <c r="J80" s="265" t="n">
        <v>0</v>
      </c>
      <c r="K80" s="265" t="n">
        <v>144825</v>
      </c>
      <c r="L80" s="265" t="n">
        <v>153852</v>
      </c>
      <c r="N80" s="265" t="n">
        <v>99351.09435</v>
      </c>
      <c r="O80" s="265" t="n">
        <v>206123.62197</v>
      </c>
      <c r="P80" s="265" t="n">
        <v>233654.07311</v>
      </c>
      <c r="Q80" s="265" t="n">
        <v>268291.21489</v>
      </c>
      <c r="S80" s="265" t="n">
        <v>312131.35621</v>
      </c>
      <c r="T80" s="265" t="n">
        <v>261735.75203</v>
      </c>
      <c r="U80" s="265" t="n">
        <v>287451.26855</v>
      </c>
      <c r="V80" s="265" t="n">
        <v>391003.61019</v>
      </c>
      <c r="X80" s="265" t="n">
        <v>235482.51878</v>
      </c>
      <c r="Y80" s="265" t="n">
        <v>226859.79739</v>
      </c>
      <c r="Z80" s="265" t="n">
        <v>250883.06685</v>
      </c>
      <c r="AA80" s="265" t="n">
        <v>384918.5433</v>
      </c>
      <c r="AC80" s="265" t="n">
        <v>385105.98274</v>
      </c>
      <c r="AD80" s="265" t="n">
        <v>221364.96039</v>
      </c>
    </row>
    <row r="81">
      <c r="A81" t="inlineStr">
        <is>
          <t>P: Dividendos a pagar (l.134) · fonte · unid. moeda</t>
        </is>
      </c>
      <c r="B81" t="n">
        <v>26</v>
      </c>
      <c r="C81" t="inlineStr">
        <is>
          <t>Other current liabilities (non-debt)</t>
        </is>
      </c>
      <c r="D81" s="265" t="n">
        <v>88716.93957</v>
      </c>
      <c r="E81" s="265" t="n">
        <v>42455.315628</v>
      </c>
      <c r="F81" s="265" t="n">
        <v>21529</v>
      </c>
      <c r="G81" s="265" t="n">
        <v>263280</v>
      </c>
      <c r="I81" s="265" t="n">
        <v>485637</v>
      </c>
      <c r="J81" s="265" t="n">
        <v>36068</v>
      </c>
      <c r="K81" s="265" t="n">
        <v>30553</v>
      </c>
      <c r="L81" s="265" t="n">
        <v>259201</v>
      </c>
      <c r="N81" s="265" t="n">
        <v>133227.447698</v>
      </c>
      <c r="O81" s="265" t="n">
        <v>18842.603499</v>
      </c>
      <c r="P81" s="265" t="n">
        <v>4122.916149</v>
      </c>
      <c r="Q81" s="265" t="n">
        <v>123656.653359</v>
      </c>
      <c r="S81" s="265" t="n">
        <v>133709.729969</v>
      </c>
      <c r="T81" s="265" t="n">
        <v>4122.916138</v>
      </c>
      <c r="U81" s="265" t="n">
        <v>11570.225829</v>
      </c>
      <c r="V81" s="265" t="n">
        <v>180560.2054</v>
      </c>
      <c r="X81" s="265" t="n">
        <v>139350.80306</v>
      </c>
      <c r="Y81" s="265" t="n">
        <v>9599.5345</v>
      </c>
      <c r="Z81" s="265" t="n">
        <v>3797.90839</v>
      </c>
      <c r="AA81" s="265" t="n">
        <v>320388.4575</v>
      </c>
      <c r="AC81" s="265" t="n">
        <v>319888.66836</v>
      </c>
      <c r="AD81" s="265" t="n">
        <v>244291.78452</v>
      </c>
    </row>
    <row r="82">
      <c r="A82" t="inlineStr">
        <is>
          <t>P: Adiantamento de clientes (l.135) · fonte · unid. moeda</t>
        </is>
      </c>
      <c r="B82" t="n">
        <v>26</v>
      </c>
      <c r="C82" t="inlineStr">
        <is>
          <t>Other current liabilities (non-debt)</t>
        </is>
      </c>
      <c r="D82" s="265" t="n">
        <v>200793.935229</v>
      </c>
      <c r="E82" s="265" t="n">
        <v>163791.68258</v>
      </c>
      <c r="F82" s="265" t="n">
        <v>192082</v>
      </c>
      <c r="G82" s="265" t="n">
        <v>207720</v>
      </c>
      <c r="I82" s="265" t="n">
        <v>251614</v>
      </c>
      <c r="J82" s="265" t="n">
        <v>295716</v>
      </c>
      <c r="K82" s="265" t="n">
        <v>362767</v>
      </c>
      <c r="L82" s="265" t="n">
        <v>428469</v>
      </c>
      <c r="N82" s="265" t="n">
        <v>527673.7894529999</v>
      </c>
      <c r="O82" s="265" t="n">
        <v>613772.56663</v>
      </c>
      <c r="P82" s="265" t="n">
        <v>770394.22838</v>
      </c>
      <c r="Q82" s="265" t="n">
        <v>657600.61104</v>
      </c>
      <c r="S82" s="265" t="n">
        <v>776422.950236</v>
      </c>
      <c r="T82" s="265" t="n">
        <v>759374.0772450001</v>
      </c>
      <c r="U82" s="265" t="n">
        <v>671989.351348</v>
      </c>
      <c r="V82" s="265" t="n">
        <v>541241.67934</v>
      </c>
      <c r="X82" s="265" t="n">
        <v>742296.19225</v>
      </c>
      <c r="Y82" s="265" t="n">
        <v>732738.85951</v>
      </c>
      <c r="Z82" s="265" t="n">
        <v>608673.50822</v>
      </c>
      <c r="AA82" s="265" t="n">
        <v>615893.2540599999</v>
      </c>
      <c r="AC82" s="265" t="n">
        <v>542527.32144</v>
      </c>
      <c r="AD82" s="265" t="n">
        <v>429527.34777</v>
      </c>
    </row>
    <row r="83">
      <c r="A83" t="inlineStr">
        <is>
          <t>P: Adiantamento de clientes - Intergrupo (l.136) · fonte · unid. moeda</t>
        </is>
      </c>
      <c r="B83" t="n">
        <v>26</v>
      </c>
      <c r="C83" t="inlineStr">
        <is>
          <t>Other current liabilities (non-debt)</t>
        </is>
      </c>
      <c r="D83" s="265" t="n">
        <v>0</v>
      </c>
      <c r="E83" s="265" t="n">
        <v>0</v>
      </c>
      <c r="F83" s="265" t="n">
        <v>0</v>
      </c>
      <c r="G83" s="265" t="n">
        <v>0</v>
      </c>
      <c r="I83" s="265" t="n">
        <v>0</v>
      </c>
      <c r="J83" s="265" t="n">
        <v>0</v>
      </c>
      <c r="K83" s="265" t="n">
        <v>0</v>
      </c>
      <c r="L83" s="265" t="n">
        <v>0</v>
      </c>
      <c r="N83" s="265" t="n">
        <v>0.02785</v>
      </c>
      <c r="O83" s="265" t="n">
        <v>0</v>
      </c>
      <c r="P83" s="265" t="n">
        <v>199.67962</v>
      </c>
      <c r="Q83" s="265" t="n">
        <v>0</v>
      </c>
      <c r="S83" s="265" t="n">
        <v>0</v>
      </c>
      <c r="T83" s="265" t="n">
        <v>0</v>
      </c>
      <c r="U83" s="265" t="n">
        <v>0</v>
      </c>
      <c r="V83" s="265" t="n">
        <v>-2e-05</v>
      </c>
      <c r="X83" s="265" t="n">
        <v>109.0554</v>
      </c>
      <c r="Y83" s="265" t="n">
        <v>137958.40739</v>
      </c>
      <c r="Z83" s="265" t="n">
        <v>0.00131</v>
      </c>
      <c r="AA83" s="265" t="n">
        <v>0</v>
      </c>
      <c r="AC83" s="265" t="n">
        <v>2049.29232</v>
      </c>
      <c r="AD83" s="265" t="n">
        <v>103830.17643</v>
      </c>
    </row>
    <row r="84">
      <c r="A84" t="inlineStr">
        <is>
          <t>P: Compra de ações de controladas a termo (l.137) · fonte · unid. moeda</t>
        </is>
      </c>
      <c r="B84" t="n">
        <v>26</v>
      </c>
      <c r="C84" t="inlineStr">
        <is>
          <t>Other current liabilities (non-debt)</t>
        </is>
      </c>
      <c r="D84" s="265" t="n">
        <v>0</v>
      </c>
      <c r="E84" s="265" t="n">
        <v>0</v>
      </c>
      <c r="F84" s="265" t="n">
        <v>0</v>
      </c>
      <c r="G84" s="265" t="n">
        <v>0</v>
      </c>
      <c r="I84" s="265" t="n">
        <v>0</v>
      </c>
      <c r="J84" s="265" t="n">
        <v>122257</v>
      </c>
      <c r="K84" s="265" t="n">
        <v>125994</v>
      </c>
      <c r="L84" s="265" t="n">
        <v>130606</v>
      </c>
      <c r="N84" s="265" t="n">
        <v>135433.40598</v>
      </c>
      <c r="O84" s="265" t="n">
        <v>0</v>
      </c>
      <c r="P84" s="265" t="n">
        <v>0</v>
      </c>
      <c r="Q84" s="265" t="n">
        <v>0</v>
      </c>
      <c r="S84" s="265" t="n">
        <v>132659.90451</v>
      </c>
      <c r="T84" s="265" t="n">
        <v>166561.44163</v>
      </c>
      <c r="U84" s="265" t="n">
        <v>159553.42684</v>
      </c>
      <c r="V84" s="265" t="n">
        <v>85562.63604</v>
      </c>
      <c r="X84" s="265" t="n">
        <v>80322.62776</v>
      </c>
      <c r="Y84" s="265" t="n">
        <v>123225.42342</v>
      </c>
      <c r="Z84" s="265" t="n">
        <v>120855.53972</v>
      </c>
      <c r="AA84" s="265" t="n">
        <v>166931.0454</v>
      </c>
      <c r="AC84" s="265" t="n">
        <v>1235242.18219</v>
      </c>
      <c r="AD84" s="265" t="n">
        <v>1279647.65892</v>
      </c>
    </row>
    <row r="85">
      <c r="A85" t="inlineStr">
        <is>
          <t>P: Partes relacionadas (l.138) · fonte · unid. moeda</t>
        </is>
      </c>
      <c r="B85" t="n">
        <v>26</v>
      </c>
      <c r="C85" t="inlineStr">
        <is>
          <t>Other current liabilities (non-debt)</t>
        </is>
      </c>
      <c r="D85" s="265" t="n">
        <v>453</v>
      </c>
      <c r="E85" s="265" t="n">
        <v>453</v>
      </c>
      <c r="F85" s="265" t="n">
        <v>453</v>
      </c>
      <c r="G85" s="265" t="n">
        <v>453</v>
      </c>
      <c r="I85" s="265" t="n">
        <v>221</v>
      </c>
      <c r="J85" s="265" t="n">
        <v>453</v>
      </c>
      <c r="K85" s="265" t="n">
        <v>877</v>
      </c>
      <c r="L85" s="265" t="n">
        <v>499</v>
      </c>
      <c r="N85" s="265" t="n">
        <v>132.00743</v>
      </c>
      <c r="O85" s="265" t="n">
        <v>0</v>
      </c>
      <c r="P85" s="265" t="n">
        <v>396.02229</v>
      </c>
      <c r="Q85" s="265" t="n">
        <v>510.84084</v>
      </c>
      <c r="S85" s="265" t="n">
        <v>125.38199</v>
      </c>
      <c r="T85" s="265" t="n">
        <v>0</v>
      </c>
      <c r="U85" s="265" t="n">
        <v>0</v>
      </c>
      <c r="V85" s="265" t="n">
        <v>106.99945</v>
      </c>
      <c r="X85" s="265" t="n">
        <v>146.60762</v>
      </c>
      <c r="Y85" s="265" t="n">
        <v>146.60762</v>
      </c>
      <c r="Z85" s="265" t="n">
        <v>108.97656</v>
      </c>
      <c r="AA85" s="265" t="n">
        <v>-0.0001</v>
      </c>
      <c r="AC85" s="265" t="n">
        <v>0</v>
      </c>
      <c r="AD85" s="265" t="n">
        <v>0</v>
      </c>
    </row>
    <row r="86">
      <c r="A86" t="inlineStr">
        <is>
          <t>P: Provisões para perdas Investimentos em operações descontinuadas (l.139) · fonte · unid. moeda</t>
        </is>
      </c>
      <c r="B86" t="n">
        <v>26</v>
      </c>
      <c r="C86" t="inlineStr">
        <is>
          <t>Other current liabilities (non-debt)</t>
        </is>
      </c>
      <c r="D86" s="265" t="n">
        <v>0</v>
      </c>
      <c r="E86" s="265" t="n">
        <v>0</v>
      </c>
      <c r="F86" s="265" t="n">
        <v>0</v>
      </c>
      <c r="G86" s="265" t="n">
        <v>0</v>
      </c>
      <c r="I86" s="265" t="n">
        <v>0</v>
      </c>
      <c r="J86" s="265" t="n">
        <v>0</v>
      </c>
      <c r="K86" s="265" t="n">
        <v>0</v>
      </c>
      <c r="L86" s="265" t="n">
        <v>0</v>
      </c>
      <c r="N86" s="265" t="n">
        <v>0</v>
      </c>
      <c r="O86" s="265" t="n">
        <v>0</v>
      </c>
      <c r="P86" s="265" t="n">
        <v>0</v>
      </c>
      <c r="Q86" s="265" t="n">
        <v>0</v>
      </c>
      <c r="S86" s="265" t="n">
        <v>0</v>
      </c>
      <c r="T86" s="265" t="n">
        <v>0</v>
      </c>
      <c r="U86" s="265" t="n">
        <v>0</v>
      </c>
      <c r="V86" s="265" t="n">
        <v>0</v>
      </c>
      <c r="X86" s="265" t="n">
        <v>0</v>
      </c>
      <c r="Y86" s="265" t="n">
        <v>0</v>
      </c>
      <c r="Z86" s="265" t="n">
        <v>0</v>
      </c>
      <c r="AA86" s="265" t="n">
        <v>0</v>
      </c>
      <c r="AC86" s="265" t="n">
        <v>0</v>
      </c>
      <c r="AD86" s="265" t="n">
        <v>0</v>
      </c>
    </row>
    <row r="87">
      <c r="A87" t="inlineStr">
        <is>
          <t>P: DF - Passivos mantidos para venda (l.142) · fonte · unid. moeda</t>
        </is>
      </c>
      <c r="B87" t="n">
        <v>26</v>
      </c>
      <c r="C87" t="inlineStr">
        <is>
          <t>Other current liabilities (non-debt)</t>
        </is>
      </c>
      <c r="D87" s="265" t="n">
        <v>0</v>
      </c>
      <c r="E87" s="265" t="n">
        <v>0</v>
      </c>
      <c r="F87" s="265" t="n">
        <v>0</v>
      </c>
      <c r="G87" s="265" t="n">
        <v>0</v>
      </c>
      <c r="I87" s="265" t="n">
        <v>0</v>
      </c>
      <c r="J87" s="265" t="n">
        <v>0</v>
      </c>
      <c r="K87" s="265" t="n">
        <v>0</v>
      </c>
      <c r="L87" s="265" t="n">
        <v>0</v>
      </c>
      <c r="N87" s="265" t="n">
        <v>0</v>
      </c>
      <c r="O87" s="265" t="n">
        <v>0</v>
      </c>
      <c r="P87" s="265" t="n">
        <v>0</v>
      </c>
      <c r="Q87" s="265" t="n">
        <v>0</v>
      </c>
      <c r="S87" s="265" t="n">
        <v>0</v>
      </c>
      <c r="T87" s="265" t="n">
        <v>0</v>
      </c>
      <c r="U87" s="265" t="n">
        <v>0</v>
      </c>
      <c r="V87" s="265" t="n">
        <v>0</v>
      </c>
      <c r="X87" s="265" t="n">
        <v>0</v>
      </c>
      <c r="Y87" s="265" t="n">
        <v>0</v>
      </c>
      <c r="Z87" s="265" t="n">
        <v>0</v>
      </c>
      <c r="AA87" s="265" t="n">
        <v>0</v>
      </c>
      <c r="AC87" s="265" t="n">
        <v>0</v>
      </c>
      <c r="AD87" s="265" t="n">
        <v>1749264.5323</v>
      </c>
    </row>
    <row r="88">
      <c r="A88" t="inlineStr">
        <is>
          <t>P: Empréstimos e financiamentos (l.145) · fonte · unid. moeda</t>
        </is>
      </c>
      <c r="B88" t="n">
        <v>30</v>
      </c>
      <c r="C88" t="inlineStr">
        <is>
          <t>Long term debt</t>
        </is>
      </c>
      <c r="D88" s="265" t="n">
        <v>16156053</v>
      </c>
      <c r="E88" s="265" t="n">
        <v>14863597.93899</v>
      </c>
      <c r="F88" s="265" t="n">
        <v>16767376</v>
      </c>
      <c r="G88" s="265" t="n">
        <v>17962499</v>
      </c>
      <c r="I88" s="265" t="n">
        <v>16334326</v>
      </c>
      <c r="J88" s="265" t="n">
        <v>18924988</v>
      </c>
      <c r="K88" s="265" t="n">
        <v>18049157</v>
      </c>
      <c r="L88" s="265" t="n">
        <v>15397022</v>
      </c>
      <c r="N88" s="265" t="n">
        <v>16051805.768475</v>
      </c>
      <c r="O88" s="265" t="n">
        <v>16363847.921887</v>
      </c>
      <c r="P88" s="265" t="n">
        <v>17095761.133318</v>
      </c>
      <c r="Q88" s="265" t="n">
        <v>18686783.909572</v>
      </c>
      <c r="S88" s="265" t="n">
        <v>20493999.616315</v>
      </c>
      <c r="T88" s="265" t="n">
        <v>22718103.775079</v>
      </c>
      <c r="U88" s="265" t="n">
        <v>24358300.223935</v>
      </c>
      <c r="V88" s="265" t="n">
        <v>25168469.0453</v>
      </c>
      <c r="X88" s="265" t="n">
        <v>25871058.63974</v>
      </c>
      <c r="Y88" s="265" t="n">
        <v>26525107.23267</v>
      </c>
      <c r="Z88" s="265" t="n">
        <v>25904748.17503</v>
      </c>
      <c r="AA88" s="265" t="n">
        <v>23882404.29271</v>
      </c>
      <c r="AC88" s="265" t="n">
        <v>24679239.36255</v>
      </c>
      <c r="AD88" s="265" t="n">
        <v>25381226.87645</v>
      </c>
    </row>
    <row r="89">
      <c r="A89" t="inlineStr">
        <is>
          <t>P: Debêntures (l.146) · fonte · unid. moeda</t>
        </is>
      </c>
      <c r="B89" t="n">
        <v>30</v>
      </c>
      <c r="C89" t="inlineStr">
        <is>
          <t>Long term debt</t>
        </is>
      </c>
      <c r="D89" s="265" t="n">
        <v>5418502.41724</v>
      </c>
      <c r="E89" s="265" t="n">
        <v>6260906</v>
      </c>
      <c r="F89" s="265" t="n">
        <v>10353431</v>
      </c>
      <c r="G89" s="265" t="n">
        <v>13874041</v>
      </c>
      <c r="I89" s="265" t="n">
        <v>13847358</v>
      </c>
      <c r="J89" s="265" t="n">
        <v>15020543</v>
      </c>
      <c r="K89" s="265" t="n">
        <v>18862473</v>
      </c>
      <c r="L89" s="265" t="n">
        <v>18714687</v>
      </c>
      <c r="N89" s="265" t="n">
        <v>18835850.38899</v>
      </c>
      <c r="O89" s="265" t="n">
        <v>19417444.92283</v>
      </c>
      <c r="P89" s="265" t="n">
        <v>18890791.95113</v>
      </c>
      <c r="Q89" s="265" t="n">
        <v>20786420.65988</v>
      </c>
      <c r="S89" s="265" t="n">
        <v>21717227.41428</v>
      </c>
      <c r="T89" s="265" t="n">
        <v>20270391.51899</v>
      </c>
      <c r="U89" s="265" t="n">
        <v>21703045.31005</v>
      </c>
      <c r="V89" s="265" t="n">
        <v>22374852.60575</v>
      </c>
      <c r="X89" s="265" t="n">
        <v>22147454.96263</v>
      </c>
      <c r="Y89" s="265" t="n">
        <v>21041081.43537</v>
      </c>
      <c r="Z89" s="265" t="n">
        <v>19673483.03844</v>
      </c>
      <c r="AA89" s="265" t="n">
        <v>22720454.8965</v>
      </c>
      <c r="AC89" s="265" t="n">
        <v>24307382.23521</v>
      </c>
      <c r="AD89" s="265" t="n">
        <v>23169147.27958</v>
      </c>
    </row>
    <row r="90">
      <c r="A90" t="inlineStr">
        <is>
          <t>P: Arrendamento por instituições financeiras (l.147) (arrendamento financeiro: divida bruta da Cia) · fonte · unid. moeda</t>
        </is>
      </c>
      <c r="B90" t="n">
        <v>30</v>
      </c>
      <c r="C90" t="inlineStr">
        <is>
          <t>Long term debt</t>
        </is>
      </c>
      <c r="D90" s="265" t="n">
        <v>155215</v>
      </c>
      <c r="E90" s="265" t="n">
        <v>138863.21748</v>
      </c>
      <c r="F90" s="265" t="n">
        <v>184675</v>
      </c>
      <c r="G90" s="265" t="n">
        <v>137126</v>
      </c>
      <c r="I90" s="265" t="n">
        <v>116764</v>
      </c>
      <c r="J90" s="265" t="n">
        <v>108679</v>
      </c>
      <c r="K90" s="265" t="n">
        <v>103662</v>
      </c>
      <c r="L90" s="265" t="n">
        <v>161623</v>
      </c>
      <c r="N90" s="265" t="n">
        <v>155929.95539</v>
      </c>
      <c r="O90" s="265" t="n">
        <v>166664.7883</v>
      </c>
      <c r="P90" s="265" t="n">
        <v>154207.12932</v>
      </c>
      <c r="Q90" s="265" t="n">
        <v>147481.31491</v>
      </c>
      <c r="S90" s="265" t="n">
        <v>127488.41513</v>
      </c>
      <c r="T90" s="265" t="n">
        <v>115904.38946</v>
      </c>
      <c r="U90" s="265" t="n">
        <v>103693.38753</v>
      </c>
      <c r="V90" s="265" t="n">
        <v>92114.36515</v>
      </c>
      <c r="X90" s="265" t="n">
        <v>81160.75853000001</v>
      </c>
      <c r="Y90" s="265" t="n">
        <v>69738.85692000001</v>
      </c>
      <c r="Z90" s="265" t="n">
        <v>13452.41202</v>
      </c>
      <c r="AA90" s="265" t="n">
        <v>11252.1444</v>
      </c>
      <c r="AC90" s="265" t="n">
        <v>44613.83845</v>
      </c>
      <c r="AD90" s="265" t="n">
        <v>41145.21879</v>
      </c>
    </row>
    <row r="91">
      <c r="A91" t="inlineStr">
        <is>
          <t>P: Arrendamento por direito de uso (l.148) · fonte · unid. moeda</t>
        </is>
      </c>
      <c r="B91" t="n">
        <v>31</v>
      </c>
      <c r="C91" t="inlineStr">
        <is>
          <t>Long term operating leases</t>
        </is>
      </c>
      <c r="D91" s="265" t="n">
        <v>506122.2104</v>
      </c>
      <c r="E91" s="265" t="n">
        <v>571303.21603</v>
      </c>
      <c r="F91" s="265" t="n">
        <v>419081</v>
      </c>
      <c r="G91" s="265" t="n">
        <v>660011</v>
      </c>
      <c r="I91" s="265" t="n">
        <v>707509</v>
      </c>
      <c r="J91" s="265" t="n">
        <v>758746</v>
      </c>
      <c r="K91" s="265" t="n">
        <v>967671</v>
      </c>
      <c r="L91" s="265" t="n">
        <v>1399556</v>
      </c>
      <c r="N91" s="265" t="n">
        <v>1448605.56487</v>
      </c>
      <c r="O91" s="265" t="n">
        <v>1400040.72114</v>
      </c>
      <c r="P91" s="265" t="n">
        <v>1429058.78962</v>
      </c>
      <c r="Q91" s="265" t="n">
        <v>1499744.892956</v>
      </c>
      <c r="S91" s="265" t="n">
        <v>1549570.144089</v>
      </c>
      <c r="T91" s="265" t="n">
        <v>1641605.202739</v>
      </c>
      <c r="U91" s="265" t="n">
        <v>1654308.334949</v>
      </c>
      <c r="V91" s="265" t="n">
        <v>1664989.13914</v>
      </c>
      <c r="X91" s="265" t="n">
        <v>1329387.60701</v>
      </c>
      <c r="Y91" s="265" t="n">
        <v>1663233.45869</v>
      </c>
      <c r="Z91" s="265" t="n">
        <v>1720592.77814</v>
      </c>
      <c r="AA91" s="265" t="n">
        <v>1437189.48274</v>
      </c>
      <c r="AC91" s="265" t="n">
        <v>1415918.45937</v>
      </c>
      <c r="AD91" s="265" t="n">
        <v>1671736.6149</v>
      </c>
    </row>
    <row r="92">
      <c r="A92" t="inlineStr">
        <is>
          <t>P: Cessão de direitos creditórios (l.149) · fonte · unid. moeda</t>
        </is>
      </c>
      <c r="B92" t="n">
        <v>34</v>
      </c>
      <c r="C92" t="inlineStr">
        <is>
          <t>Other non-current liabilities</t>
        </is>
      </c>
      <c r="D92" s="265" t="n">
        <v>4532.04579</v>
      </c>
      <c r="E92" s="265" t="n">
        <v>3021.36384</v>
      </c>
      <c r="F92" s="265" t="n">
        <v>1122</v>
      </c>
      <c r="G92" s="265" t="n">
        <v>0</v>
      </c>
      <c r="I92" s="265" t="n">
        <v>2519</v>
      </c>
      <c r="J92" s="265" t="n">
        <v>0</v>
      </c>
      <c r="K92" s="265" t="n">
        <v>970345</v>
      </c>
      <c r="L92" s="265" t="n">
        <v>1318613</v>
      </c>
      <c r="N92" s="265" t="n">
        <v>1623372.50971</v>
      </c>
      <c r="O92" s="265" t="n">
        <v>1713158.79782</v>
      </c>
      <c r="P92" s="265" t="n">
        <v>1634679.07996</v>
      </c>
      <c r="Q92" s="265" t="n">
        <v>1191701.30993</v>
      </c>
      <c r="S92" s="265" t="n">
        <v>1196067.33257</v>
      </c>
      <c r="T92" s="265" t="n">
        <v>993596.50187</v>
      </c>
      <c r="U92" s="265" t="n">
        <v>949360.8393699999</v>
      </c>
      <c r="V92" s="265" t="n">
        <v>548699.03476</v>
      </c>
      <c r="X92" s="265" t="n">
        <v>683746.65115</v>
      </c>
      <c r="Y92" s="265" t="n">
        <v>840795.7654799999</v>
      </c>
      <c r="Z92" s="265" t="n">
        <v>1351032.49266</v>
      </c>
      <c r="AA92" s="265" t="n">
        <v>1257103.9175</v>
      </c>
      <c r="AC92" s="265" t="n">
        <v>1226507.40845</v>
      </c>
      <c r="AD92" s="265" t="n">
        <v>966153.2980299999</v>
      </c>
    </row>
    <row r="93">
      <c r="A93" t="inlineStr">
        <is>
          <t>P: Instrumentos financeiros derivativos (l.150) · fonte · unid. moeda</t>
        </is>
      </c>
      <c r="B93" t="n">
        <v>34</v>
      </c>
      <c r="C93" t="inlineStr">
        <is>
          <t>Other non-current liabilities</t>
        </is>
      </c>
      <c r="D93" s="265" t="n">
        <v>231561.47</v>
      </c>
      <c r="E93" s="265" t="n">
        <v>637445.65675</v>
      </c>
      <c r="F93" s="265" t="n">
        <v>737743</v>
      </c>
      <c r="G93" s="265" t="n">
        <v>409000</v>
      </c>
      <c r="I93" s="265" t="n">
        <v>1863833</v>
      </c>
      <c r="J93" s="265" t="n">
        <v>2108837</v>
      </c>
      <c r="K93" s="265" t="n">
        <v>2212443</v>
      </c>
      <c r="L93" s="265" t="n">
        <v>2670500</v>
      </c>
      <c r="N93" s="265" t="n">
        <v>2471937.06016</v>
      </c>
      <c r="O93" s="265" t="n">
        <v>1935629.48318</v>
      </c>
      <c r="P93" s="265" t="n">
        <v>1889412.52323</v>
      </c>
      <c r="Q93" s="265" t="n">
        <v>1163486.40617</v>
      </c>
      <c r="S93" s="265" t="n">
        <v>998229.39961</v>
      </c>
      <c r="T93" s="265" t="n">
        <v>1231691.6032</v>
      </c>
      <c r="U93" s="265" t="n">
        <v>1093162.44543</v>
      </c>
      <c r="V93" s="265" t="n">
        <v>2017018.66182</v>
      </c>
      <c r="X93" s="265" t="n">
        <v>1409744.52693</v>
      </c>
      <c r="Y93" s="265" t="n">
        <v>1329374.64563</v>
      </c>
      <c r="Z93" s="265" t="n">
        <v>1670970.13979</v>
      </c>
      <c r="AA93" s="265" t="n">
        <v>1602422.0488</v>
      </c>
      <c r="AC93" s="265" t="n">
        <v>1847625.19113</v>
      </c>
      <c r="AD93" s="265" t="n">
        <v>2528036.55699</v>
      </c>
    </row>
    <row r="94">
      <c r="A94" t="inlineStr">
        <is>
          <t>P: Tributos a recolher (l.151) · fonte · unid. moeda</t>
        </is>
      </c>
      <c r="B94" t="n">
        <v>34</v>
      </c>
      <c r="C94" t="inlineStr">
        <is>
          <t>Other non-current liabilities</t>
        </is>
      </c>
      <c r="D94" s="265" t="n">
        <v>14339.13851</v>
      </c>
      <c r="E94" s="265" t="n">
        <v>28275.13135</v>
      </c>
      <c r="F94" s="265" t="n">
        <v>29568</v>
      </c>
      <c r="G94" s="265" t="n">
        <v>26995</v>
      </c>
      <c r="I94" s="265" t="n">
        <v>24820</v>
      </c>
      <c r="J94" s="265" t="n">
        <v>33966</v>
      </c>
      <c r="K94" s="265" t="n">
        <v>35596</v>
      </c>
      <c r="L94" s="265" t="n">
        <v>32945</v>
      </c>
      <c r="N94" s="265" t="n">
        <v>32708.02381</v>
      </c>
      <c r="O94" s="265" t="n">
        <v>35355.12249</v>
      </c>
      <c r="P94" s="265" t="n">
        <v>36742.30006</v>
      </c>
      <c r="Q94" s="265" t="n">
        <v>31355.50713</v>
      </c>
      <c r="S94" s="265" t="n">
        <v>31257.26903</v>
      </c>
      <c r="T94" s="265" t="n">
        <v>29374.62593</v>
      </c>
      <c r="U94" s="265" t="n">
        <v>15538.94611</v>
      </c>
      <c r="V94" s="265" t="n">
        <v>17052.70781</v>
      </c>
      <c r="X94" s="265" t="n">
        <v>15456.20014</v>
      </c>
      <c r="Y94" s="265" t="n">
        <v>14740.17158</v>
      </c>
      <c r="Z94" s="265" t="n">
        <v>14473.45344</v>
      </c>
      <c r="AA94" s="265" t="n">
        <v>13619.381</v>
      </c>
      <c r="AC94" s="265" t="n">
        <v>12711.40095</v>
      </c>
      <c r="AD94" s="265" t="n">
        <v>12864.8658</v>
      </c>
    </row>
    <row r="95">
      <c r="A95" t="inlineStr">
        <is>
          <t>P: Provisão para demandas judiciais e administrativas (l.152) · fonte · unid. moeda</t>
        </is>
      </c>
      <c r="B95" t="n">
        <v>34</v>
      </c>
      <c r="C95" t="inlineStr">
        <is>
          <t>Other non-current liabilities</t>
        </is>
      </c>
      <c r="D95" s="265" t="n">
        <v>168059</v>
      </c>
      <c r="E95" s="265" t="n">
        <v>378598.04185</v>
      </c>
      <c r="F95" s="265" t="n">
        <v>383274</v>
      </c>
      <c r="G95" s="265" t="n">
        <v>356544</v>
      </c>
      <c r="I95" s="265" t="n">
        <v>336739</v>
      </c>
      <c r="J95" s="265" t="n">
        <v>329473</v>
      </c>
      <c r="K95" s="265" t="n">
        <v>408341</v>
      </c>
      <c r="L95" s="265" t="n">
        <v>415333</v>
      </c>
      <c r="N95" s="265" t="n">
        <v>402402.64845</v>
      </c>
      <c r="O95" s="265" t="n">
        <v>732269.3264200001</v>
      </c>
      <c r="P95" s="265" t="n">
        <v>799966.668695</v>
      </c>
      <c r="Q95" s="265" t="n">
        <v>766066.4161799999</v>
      </c>
      <c r="S95" s="265" t="n">
        <v>767863.644491</v>
      </c>
      <c r="T95" s="265" t="n">
        <v>728360.4289159999</v>
      </c>
      <c r="U95" s="265" t="n">
        <v>695057.1778759999</v>
      </c>
      <c r="V95" s="265" t="n">
        <v>667619.87654</v>
      </c>
      <c r="X95" s="265" t="n">
        <v>647304.01301</v>
      </c>
      <c r="Y95" s="265" t="n">
        <v>625342.0046099999</v>
      </c>
      <c r="Z95" s="265" t="n">
        <v>604561.65339</v>
      </c>
      <c r="AA95" s="265" t="n">
        <v>535383.01297</v>
      </c>
      <c r="AC95" s="265" t="n">
        <v>505555.67324</v>
      </c>
      <c r="AD95" s="265" t="n">
        <v>492992.41168</v>
      </c>
    </row>
    <row r="96">
      <c r="A96" t="inlineStr">
        <is>
          <t>P: Imposto de renda e contribuição social diferidos (l.153) · fonte · unid. moeda</t>
        </is>
      </c>
      <c r="B96" t="n">
        <v>33</v>
      </c>
      <c r="C96" t="inlineStr">
        <is>
          <t>Deferred income taxes</t>
        </is>
      </c>
      <c r="D96" s="265" t="n">
        <v>625738</v>
      </c>
      <c r="E96" s="265" t="n">
        <v>761224.803474</v>
      </c>
      <c r="F96" s="265" t="n">
        <v>952252</v>
      </c>
      <c r="G96" s="265" t="n">
        <v>1038582</v>
      </c>
      <c r="I96" s="265" t="n">
        <v>1027149</v>
      </c>
      <c r="J96" s="265" t="n">
        <v>1146917</v>
      </c>
      <c r="K96" s="265" t="n">
        <v>1221456</v>
      </c>
      <c r="L96" s="265" t="n">
        <v>1205986</v>
      </c>
      <c r="N96" s="265" t="n">
        <v>1389603.526757</v>
      </c>
      <c r="O96" s="265" t="n">
        <v>1518261.844707</v>
      </c>
      <c r="P96" s="265" t="n">
        <v>1513033.617955</v>
      </c>
      <c r="Q96" s="265" t="n">
        <v>1494779.262608</v>
      </c>
      <c r="S96" s="265" t="n">
        <v>1615290.270759</v>
      </c>
      <c r="T96" s="265" t="n">
        <v>1679813.7356</v>
      </c>
      <c r="U96" s="265" t="n">
        <v>1920669.425864</v>
      </c>
      <c r="V96" s="265" t="n">
        <v>1593233.90944</v>
      </c>
      <c r="X96" s="265" t="n">
        <v>1591588.78821</v>
      </c>
      <c r="Y96" s="265" t="n">
        <v>1660637.37016</v>
      </c>
      <c r="Z96" s="265" t="n">
        <v>1697597.06335</v>
      </c>
      <c r="AA96" s="265" t="n">
        <v>1895535.06878</v>
      </c>
      <c r="AC96" s="265" t="n">
        <v>1984031.41804</v>
      </c>
      <c r="AD96" s="265" t="n">
        <v>2004352.23231</v>
      </c>
    </row>
    <row r="97">
      <c r="A97" t="inlineStr">
        <is>
          <t>P: Mutuo (l.154) · fonte · unid. moeda</t>
        </is>
      </c>
      <c r="B97" t="n">
        <v>34</v>
      </c>
      <c r="C97" t="inlineStr">
        <is>
          <t>Other non-current liabilities</t>
        </is>
      </c>
      <c r="D97" s="265" t="n">
        <v>528</v>
      </c>
      <c r="E97" s="265" t="n">
        <v>528.4041</v>
      </c>
      <c r="F97" s="265" t="n">
        <v>528</v>
      </c>
      <c r="G97" s="265" t="n">
        <v>528</v>
      </c>
      <c r="I97" s="265" t="n">
        <v>528</v>
      </c>
      <c r="J97" s="265" t="n">
        <v>528</v>
      </c>
      <c r="K97" s="265" t="n">
        <v>27465</v>
      </c>
      <c r="L97" s="265" t="n">
        <v>28047</v>
      </c>
      <c r="N97" s="265" t="n">
        <v>29713.31997</v>
      </c>
      <c r="O97" s="265" t="n">
        <v>24731.52884</v>
      </c>
      <c r="P97" s="265" t="n">
        <v>25553.99711</v>
      </c>
      <c r="Q97" s="265" t="n">
        <v>528.40419</v>
      </c>
      <c r="S97" s="265" t="n">
        <v>528.4041099999999</v>
      </c>
      <c r="T97" s="265" t="n">
        <v>528.4041099999999</v>
      </c>
      <c r="U97" s="265" t="n">
        <v>528.40413</v>
      </c>
      <c r="V97" s="265" t="n">
        <v>528.4041099999999</v>
      </c>
      <c r="X97" s="265" t="n">
        <v>-4461.44127</v>
      </c>
      <c r="Y97" s="265" t="n">
        <v>528.40414</v>
      </c>
      <c r="Z97" s="265" t="n">
        <v>528.3287</v>
      </c>
      <c r="AA97" s="265" t="n">
        <v>528.4041</v>
      </c>
      <c r="AC97" s="265" t="n">
        <v>528.40464</v>
      </c>
      <c r="AD97" s="265" t="n">
        <v>528.40413</v>
      </c>
    </row>
    <row r="98">
      <c r="A98" t="inlineStr">
        <is>
          <t>P: Outras contas a pagar (l.155) · fonte · unid. moeda</t>
        </is>
      </c>
      <c r="B98" t="n">
        <v>34</v>
      </c>
      <c r="C98" t="inlineStr">
        <is>
          <t>Other non-current liabilities</t>
        </is>
      </c>
      <c r="D98" s="265" t="n">
        <v>327881</v>
      </c>
      <c r="E98" s="265" t="n">
        <v>417097</v>
      </c>
      <c r="F98" s="265" t="n">
        <v>425389</v>
      </c>
      <c r="G98" s="265" t="n">
        <v>541274</v>
      </c>
      <c r="I98" s="265" t="n">
        <v>425426</v>
      </c>
      <c r="J98" s="265" t="n">
        <v>470983</v>
      </c>
      <c r="K98" s="265" t="n">
        <v>181954</v>
      </c>
      <c r="L98" s="265" t="n">
        <v>121916</v>
      </c>
      <c r="N98" s="265" t="n">
        <v>130337.43403</v>
      </c>
      <c r="O98" s="265" t="n">
        <v>112855.87941</v>
      </c>
      <c r="P98" s="265" t="n">
        <v>147677.637781</v>
      </c>
      <c r="Q98" s="265" t="n">
        <v>123139.351775</v>
      </c>
      <c r="S98" s="265" t="n">
        <v>122993.76198</v>
      </c>
      <c r="T98" s="265" t="n">
        <v>111906.186072</v>
      </c>
      <c r="U98" s="265" t="n">
        <v>173658.772858</v>
      </c>
      <c r="V98" s="265" t="n">
        <v>197088.51451</v>
      </c>
      <c r="X98" s="265" t="n">
        <v>212810.89264</v>
      </c>
      <c r="Y98" s="265" t="n">
        <v>176122.14786</v>
      </c>
      <c r="Z98" s="265" t="n">
        <v>174856.03533</v>
      </c>
      <c r="AA98" s="265" t="n">
        <v>172708.59557</v>
      </c>
      <c r="AC98" s="265" t="n">
        <v>158877.78402</v>
      </c>
      <c r="AD98" s="265" t="n">
        <v>157195.87249</v>
      </c>
    </row>
    <row r="99">
      <c r="A99" t="inlineStr">
        <is>
          <t>P: Aquisição de empresas a pagar (l.156) · fonte · unid. moeda</t>
        </is>
      </c>
      <c r="B99" t="n">
        <v>34</v>
      </c>
      <c r="C99" t="inlineStr">
        <is>
          <t>Other non-current liabilities</t>
        </is>
      </c>
      <c r="D99" s="265" t="n">
        <v>0</v>
      </c>
      <c r="E99" s="265" t="n">
        <v>0</v>
      </c>
      <c r="F99" s="265" t="n">
        <v>0</v>
      </c>
      <c r="G99" s="265" t="n">
        <v>0</v>
      </c>
      <c r="I99" s="265" t="n">
        <v>0</v>
      </c>
      <c r="J99" s="265" t="n">
        <v>0</v>
      </c>
      <c r="K99" s="265" t="n">
        <v>565223</v>
      </c>
      <c r="L99" s="265" t="n">
        <v>641975</v>
      </c>
      <c r="N99" s="265" t="n">
        <v>620556.226961</v>
      </c>
      <c r="O99" s="265" t="n">
        <v>888279.055851</v>
      </c>
      <c r="P99" s="265" t="n">
        <v>978670.915441</v>
      </c>
      <c r="Q99" s="265" t="n">
        <v>971665.678141</v>
      </c>
      <c r="S99" s="265" t="n">
        <v>1084022.263311</v>
      </c>
      <c r="T99" s="265" t="n">
        <v>1033012.568361</v>
      </c>
      <c r="U99" s="265" t="n">
        <v>991315.611831</v>
      </c>
      <c r="V99" s="265" t="n">
        <v>1138727.39006</v>
      </c>
      <c r="X99" s="265" t="n">
        <v>1169712.10737</v>
      </c>
      <c r="Y99" s="265" t="n">
        <v>1100186.96168</v>
      </c>
      <c r="Z99" s="265" t="n">
        <v>1115584.17059</v>
      </c>
      <c r="AA99" s="265" t="n">
        <v>918347.9159</v>
      </c>
      <c r="AC99" s="265" t="n">
        <v>846999.9855299999</v>
      </c>
      <c r="AD99" s="265" t="n">
        <v>836914.5046400001</v>
      </c>
    </row>
    <row r="100">
      <c r="A100" t="inlineStr">
        <is>
          <t>P: Aterro sanitário – custo de encerramento (l.157) · fonte · unid. moeda</t>
        </is>
      </c>
      <c r="B100" t="n">
        <v>34</v>
      </c>
      <c r="C100" t="inlineStr">
        <is>
          <t>Other non-current liabilities</t>
        </is>
      </c>
      <c r="D100" s="265" t="n">
        <v>0</v>
      </c>
      <c r="E100" s="265" t="n">
        <v>0</v>
      </c>
      <c r="F100" s="265" t="n">
        <v>0</v>
      </c>
      <c r="G100" s="265" t="n">
        <v>0</v>
      </c>
      <c r="I100" s="265" t="n">
        <v>105073</v>
      </c>
      <c r="J100" s="265" t="n">
        <v>98926</v>
      </c>
      <c r="K100" s="265" t="n">
        <v>83359</v>
      </c>
      <c r="L100" s="265" t="n">
        <v>9693</v>
      </c>
      <c r="N100" s="265" t="n">
        <v>9813.282440999999</v>
      </c>
      <c r="O100" s="265" t="n">
        <v>11919.54276</v>
      </c>
      <c r="P100" s="265" t="n">
        <v>0</v>
      </c>
      <c r="Q100" s="265" t="n">
        <v>0</v>
      </c>
      <c r="S100" s="265" t="n">
        <v>0</v>
      </c>
      <c r="T100" s="265" t="n">
        <v>0</v>
      </c>
      <c r="U100" s="265" t="n">
        <v>0</v>
      </c>
      <c r="V100" s="265" t="n">
        <v>0</v>
      </c>
      <c r="X100" s="265" t="n">
        <v>0</v>
      </c>
      <c r="Y100" s="265" t="n">
        <v>0</v>
      </c>
      <c r="Z100" s="265" t="n">
        <v>0</v>
      </c>
      <c r="AA100" s="265" t="n">
        <v>0</v>
      </c>
      <c r="AC100" s="265" t="n">
        <v>0</v>
      </c>
      <c r="AD100" s="265" t="n">
        <v>0</v>
      </c>
    </row>
    <row r="101">
      <c r="A101" t="inlineStr">
        <is>
          <t>P: Floor Plan (l.158) (floor plan) · fonte · unid. moeda</t>
        </is>
      </c>
      <c r="B101" t="n">
        <v>34</v>
      </c>
      <c r="C101" t="inlineStr">
        <is>
          <t>Other non-current liabilities</t>
        </is>
      </c>
      <c r="D101" s="265" t="n">
        <v>0</v>
      </c>
      <c r="E101" s="265" t="n">
        <v>0</v>
      </c>
      <c r="F101" s="265" t="n">
        <v>0</v>
      </c>
      <c r="G101" s="265" t="n">
        <v>0</v>
      </c>
      <c r="I101" s="265" t="n">
        <v>0</v>
      </c>
      <c r="J101" s="265" t="n">
        <v>0</v>
      </c>
      <c r="K101" s="265" t="n">
        <v>0</v>
      </c>
      <c r="L101" s="265" t="n">
        <v>0</v>
      </c>
      <c r="N101" s="265" t="n">
        <v>0</v>
      </c>
      <c r="O101" s="265" t="n">
        <v>0</v>
      </c>
      <c r="P101" s="265" t="n">
        <v>0</v>
      </c>
      <c r="Q101" s="265" t="n">
        <v>0</v>
      </c>
      <c r="S101" s="265" t="n">
        <v>0</v>
      </c>
      <c r="T101" s="265" t="n">
        <v>0</v>
      </c>
      <c r="U101" s="265" t="n">
        <v>0</v>
      </c>
      <c r="V101" s="265" t="n">
        <v>0</v>
      </c>
      <c r="X101" s="265" t="n">
        <v>0</v>
      </c>
      <c r="Y101" s="265" t="n">
        <v>0</v>
      </c>
      <c r="Z101" s="265" t="n">
        <v>0</v>
      </c>
      <c r="AA101" s="265" t="n">
        <v>0</v>
      </c>
      <c r="AC101" s="265" t="n">
        <v>0</v>
      </c>
      <c r="AD101" s="265" t="n">
        <v>0</v>
      </c>
    </row>
    <row r="102">
      <c r="A102" t="inlineStr">
        <is>
          <t>P: Compra de ações de controladas a termo (l.159) · fonte · unid. moeda</t>
        </is>
      </c>
      <c r="B102" t="n">
        <v>34</v>
      </c>
      <c r="C102" t="inlineStr">
        <is>
          <t>Other non-current liabilities</t>
        </is>
      </c>
      <c r="D102" s="265" t="n">
        <v>0</v>
      </c>
      <c r="E102" s="265" t="n">
        <v>0</v>
      </c>
      <c r="F102" s="265" t="n">
        <v>0</v>
      </c>
      <c r="G102" s="265" t="n">
        <v>0</v>
      </c>
      <c r="I102" s="265" t="n">
        <v>61277</v>
      </c>
      <c r="J102" s="265" t="n">
        <v>0</v>
      </c>
      <c r="K102" s="265" t="n">
        <v>0</v>
      </c>
      <c r="L102" s="265" t="n">
        <v>0</v>
      </c>
      <c r="N102" s="265" t="n">
        <v>0</v>
      </c>
      <c r="O102" s="265" t="n">
        <v>0</v>
      </c>
      <c r="P102" s="265" t="n">
        <v>0</v>
      </c>
      <c r="Q102" s="265" t="n">
        <v>0</v>
      </c>
      <c r="S102" s="265" t="n">
        <v>0</v>
      </c>
      <c r="T102" s="265" t="n">
        <v>0</v>
      </c>
      <c r="U102" s="265" t="n">
        <v>0</v>
      </c>
      <c r="V102" s="265" t="n">
        <v>0</v>
      </c>
      <c r="X102" s="265" t="n">
        <v>0</v>
      </c>
      <c r="Y102" s="265" t="n">
        <v>0</v>
      </c>
      <c r="Z102" s="265" t="n">
        <v>0</v>
      </c>
      <c r="AA102" s="265" t="n">
        <v>0</v>
      </c>
      <c r="AC102" s="265" t="n">
        <v>0</v>
      </c>
      <c r="AD102" s="265" t="n">
        <v>0</v>
      </c>
    </row>
    <row r="103">
      <c r="A103" t="inlineStr">
        <is>
          <t>P: Obrigações tributárias (l.160) · fonte · unid. moeda</t>
        </is>
      </c>
      <c r="B103" t="n">
        <v>34</v>
      </c>
      <c r="C103" t="inlineStr">
        <is>
          <t>Other non-current liabilities</t>
        </is>
      </c>
      <c r="D103" s="265" t="n">
        <v>0</v>
      </c>
      <c r="E103" s="265" t="n">
        <v>0</v>
      </c>
      <c r="F103" s="265" t="n">
        <v>0</v>
      </c>
      <c r="G103" s="265" t="n">
        <v>0</v>
      </c>
      <c r="I103" s="265" t="n">
        <v>0</v>
      </c>
      <c r="J103" s="265" t="n">
        <v>0</v>
      </c>
      <c r="K103" s="265" t="n">
        <v>0</v>
      </c>
      <c r="L103" s="265" t="n">
        <v>0</v>
      </c>
      <c r="N103" s="265" t="n">
        <v>0</v>
      </c>
      <c r="O103" s="265" t="n">
        <v>0</v>
      </c>
      <c r="P103" s="265" t="n">
        <v>0</v>
      </c>
      <c r="Q103" s="265" t="n">
        <v>0</v>
      </c>
      <c r="S103" s="265" t="n">
        <v>0</v>
      </c>
      <c r="T103" s="265" t="n">
        <v>0</v>
      </c>
      <c r="U103" s="265" t="n">
        <v>0</v>
      </c>
      <c r="V103" s="265" t="n">
        <v>0</v>
      </c>
      <c r="X103" s="265" t="n">
        <v>0</v>
      </c>
      <c r="Y103" s="265" t="n">
        <v>0</v>
      </c>
      <c r="Z103" s="265" t="n">
        <v>0</v>
      </c>
      <c r="AA103" s="265" t="n">
        <v>0</v>
      </c>
      <c r="AC103" s="265" t="n">
        <v>0</v>
      </c>
      <c r="AD103" s="265" t="n">
        <v>0</v>
      </c>
    </row>
    <row r="104">
      <c r="A104" t="inlineStr">
        <is>
          <t>P: Obrigações trabalhistas (l.161) · fonte · unid. moeda</t>
        </is>
      </c>
      <c r="B104" t="n">
        <v>34</v>
      </c>
      <c r="C104" t="inlineStr">
        <is>
          <t>Other non-current liabilities</t>
        </is>
      </c>
      <c r="D104" s="265" t="n">
        <v>0</v>
      </c>
      <c r="E104" s="265" t="n">
        <v>0</v>
      </c>
      <c r="F104" s="265" t="n">
        <v>0</v>
      </c>
      <c r="G104" s="265" t="n">
        <v>0</v>
      </c>
      <c r="I104" s="265" t="n">
        <v>0</v>
      </c>
      <c r="J104" s="265" t="n">
        <v>0</v>
      </c>
      <c r="K104" s="265" t="n">
        <v>0</v>
      </c>
      <c r="L104" s="265" t="n">
        <v>0</v>
      </c>
      <c r="N104" s="265" t="n">
        <v>0</v>
      </c>
      <c r="O104" s="265" t="n">
        <v>0</v>
      </c>
      <c r="P104" s="265" t="n">
        <v>0</v>
      </c>
      <c r="Q104" s="265" t="n">
        <v>138705.11316</v>
      </c>
      <c r="S104" s="265" t="n">
        <v>138224.94577</v>
      </c>
      <c r="T104" s="265" t="n">
        <v>4840.722</v>
      </c>
      <c r="U104" s="265" t="n">
        <v>4840.722</v>
      </c>
      <c r="V104" s="265" t="n">
        <v>4288.37697</v>
      </c>
      <c r="X104" s="265" t="n">
        <v>4288.37697</v>
      </c>
      <c r="Y104" s="265" t="n">
        <v>4288.37697</v>
      </c>
      <c r="Z104" s="265" t="n">
        <v>4288.37697</v>
      </c>
      <c r="AA104" s="265" t="n">
        <v>5413.122</v>
      </c>
      <c r="AC104" s="265" t="n">
        <v>5413.12197</v>
      </c>
      <c r="AD104" s="265" t="n">
        <v>5413.12197</v>
      </c>
    </row>
    <row r="105">
      <c r="A105" t="inlineStr">
        <is>
          <t>P: Compra (Recompra) de ações Controladas (l.162) · fonte · unid. moeda</t>
        </is>
      </c>
      <c r="B105" t="n">
        <v>34</v>
      </c>
      <c r="C105" t="inlineStr">
        <is>
          <t>Other non-current liabilities</t>
        </is>
      </c>
      <c r="D105" s="265" t="n">
        <v>0</v>
      </c>
      <c r="E105" s="265" t="n">
        <v>0</v>
      </c>
      <c r="F105" s="265" t="n">
        <v>0</v>
      </c>
      <c r="G105" s="265" t="n">
        <v>0</v>
      </c>
      <c r="I105" s="265" t="n">
        <v>0</v>
      </c>
      <c r="J105" s="265" t="n">
        <v>0</v>
      </c>
      <c r="K105" s="265" t="n">
        <v>0</v>
      </c>
      <c r="L105" s="265" t="n">
        <v>0</v>
      </c>
      <c r="N105" s="265" t="n">
        <v>0</v>
      </c>
      <c r="O105" s="265" t="n">
        <v>0</v>
      </c>
      <c r="P105" s="265" t="n">
        <v>0</v>
      </c>
      <c r="Q105" s="265" t="n">
        <v>1058485.7258</v>
      </c>
      <c r="S105" s="265" t="n">
        <v>1058485.7258</v>
      </c>
      <c r="T105" s="265" t="n">
        <v>1058485.7258</v>
      </c>
      <c r="U105" s="265" t="n">
        <v>1058485.7258</v>
      </c>
      <c r="V105" s="265" t="n">
        <v>1081123.28552</v>
      </c>
      <c r="X105" s="265" t="n">
        <v>1081123.28552</v>
      </c>
      <c r="Y105" s="265" t="n">
        <v>1079607.39972</v>
      </c>
      <c r="Z105" s="265" t="n">
        <v>1079607.39972</v>
      </c>
      <c r="AA105" s="265" t="n">
        <v>1079607.3997</v>
      </c>
      <c r="AC105" s="265" t="n">
        <v>0</v>
      </c>
      <c r="AD105" s="265" t="n">
        <v>0</v>
      </c>
    </row>
    <row r="106">
      <c r="A106" t="inlineStr">
        <is>
          <t>P: Adiantamentos a pagar (l.163) · fonte · unid. moeda</t>
        </is>
      </c>
      <c r="B106" t="n">
        <v>34</v>
      </c>
      <c r="C106" t="inlineStr">
        <is>
          <t>Other non-current liabilities</t>
        </is>
      </c>
      <c r="D106" s="265" t="n">
        <v>0</v>
      </c>
      <c r="E106" s="265" t="n">
        <v>0</v>
      </c>
      <c r="F106" s="265" t="n">
        <v>0</v>
      </c>
      <c r="G106" s="265" t="n">
        <v>0</v>
      </c>
      <c r="I106" s="265" t="n">
        <v>0</v>
      </c>
      <c r="J106" s="265" t="n">
        <v>0</v>
      </c>
      <c r="K106" s="265" t="n">
        <v>0</v>
      </c>
      <c r="L106" s="265" t="n">
        <v>0</v>
      </c>
      <c r="N106" s="265" t="n">
        <v>0</v>
      </c>
      <c r="O106" s="265" t="n">
        <v>0</v>
      </c>
      <c r="P106" s="265" t="n">
        <v>0</v>
      </c>
      <c r="Q106" s="265" t="n">
        <v>0</v>
      </c>
      <c r="S106" s="265" t="n">
        <v>0</v>
      </c>
      <c r="T106" s="265" t="n">
        <v>0</v>
      </c>
      <c r="U106" s="265" t="n">
        <v>0</v>
      </c>
      <c r="V106" s="265" t="n">
        <v>0</v>
      </c>
      <c r="X106" s="265" t="n">
        <v>0</v>
      </c>
      <c r="Y106" s="265" t="n">
        <v>0</v>
      </c>
      <c r="Z106" s="265" t="n">
        <v>0</v>
      </c>
      <c r="AA106" s="265" t="n">
        <v>0</v>
      </c>
      <c r="AC106" s="265" t="n">
        <v>0</v>
      </c>
      <c r="AD106" s="265" t="n">
        <v>367.56</v>
      </c>
    </row>
    <row r="107">
      <c r="A107" t="inlineStr">
        <is>
          <t>PL: Capital social (l.167) · fonte · unid. moeda</t>
        </is>
      </c>
      <c r="B107" t="n">
        <v>37</v>
      </c>
      <c r="C107" t="inlineStr">
        <is>
          <t>Common Stock and APIC</t>
        </is>
      </c>
      <c r="D107" s="265" t="n">
        <v>715882</v>
      </c>
      <c r="E107" s="265" t="n">
        <v>721061</v>
      </c>
      <c r="F107" s="265" t="n">
        <v>722206</v>
      </c>
      <c r="G107" s="265" t="n">
        <v>1164330</v>
      </c>
      <c r="I107" s="265" t="n">
        <v>1164330</v>
      </c>
      <c r="J107" s="265" t="n">
        <v>1167069</v>
      </c>
      <c r="K107" s="265" t="n">
        <v>1167069</v>
      </c>
      <c r="L107" s="265" t="n">
        <v>1174362</v>
      </c>
      <c r="N107" s="265" t="n">
        <v>1174361.60643</v>
      </c>
      <c r="O107" s="265" t="n">
        <v>1174361.60643</v>
      </c>
      <c r="P107" s="265" t="n">
        <v>1174361.60643</v>
      </c>
      <c r="Q107" s="265" t="n">
        <v>1174361.60643</v>
      </c>
      <c r="S107" s="265" t="n">
        <v>1174361.60643</v>
      </c>
      <c r="T107" s="265" t="n">
        <v>1174361.60643</v>
      </c>
      <c r="U107" s="265" t="n">
        <v>1174361.60643</v>
      </c>
      <c r="V107" s="265" t="n">
        <v>1174361.60643</v>
      </c>
      <c r="X107" s="265" t="n">
        <v>1022988.29343</v>
      </c>
      <c r="Y107" s="265" t="n">
        <v>1022988.29343</v>
      </c>
      <c r="Z107" s="265" t="n">
        <v>1022988.29343</v>
      </c>
      <c r="AA107" s="265" t="n">
        <v>1022988.2934</v>
      </c>
      <c r="AC107" s="265" t="n">
        <v>1022988.29343</v>
      </c>
      <c r="AD107" s="265" t="n">
        <v>1331323.14013</v>
      </c>
    </row>
    <row r="108">
      <c r="A108" t="inlineStr">
        <is>
          <t>PL: Reserva de capital (l.168) · fonte · unid. moeda</t>
        </is>
      </c>
      <c r="B108" t="n">
        <v>37</v>
      </c>
      <c r="C108" t="inlineStr">
        <is>
          <t>Common Stock and APIC</t>
        </is>
      </c>
      <c r="D108" s="265" t="n">
        <v>1369969</v>
      </c>
      <c r="E108" s="265" t="n">
        <v>1408261</v>
      </c>
      <c r="F108" s="265" t="n">
        <v>1977901</v>
      </c>
      <c r="G108" s="265" t="n">
        <v>1633343</v>
      </c>
      <c r="I108" s="265" t="n">
        <v>1585882</v>
      </c>
      <c r="J108" s="265" t="n">
        <v>1575111</v>
      </c>
      <c r="K108" s="265" t="n">
        <v>1967999</v>
      </c>
      <c r="L108" s="265" t="n">
        <v>1903189</v>
      </c>
      <c r="N108" s="265" t="n">
        <v>19005.5411</v>
      </c>
      <c r="O108" s="265" t="n">
        <v>19005.5411</v>
      </c>
      <c r="P108" s="265" t="n">
        <v>19005.5411</v>
      </c>
      <c r="Q108" s="265" t="n">
        <v>2252267.787484</v>
      </c>
      <c r="S108" s="265" t="n">
        <v>2105509.026654</v>
      </c>
      <c r="T108" s="265" t="n">
        <v>2104124.992694</v>
      </c>
      <c r="U108" s="265" t="n">
        <v>2102945.202904</v>
      </c>
      <c r="V108" s="265" t="n">
        <v>1922056.09342</v>
      </c>
      <c r="X108" s="265" t="n">
        <v>1963689.53894</v>
      </c>
      <c r="Y108" s="265" t="n">
        <v>1991174.99575</v>
      </c>
      <c r="Z108" s="265" t="n">
        <v>1960728.43315</v>
      </c>
      <c r="AA108" s="265" t="n">
        <v>2140890.6856</v>
      </c>
      <c r="AC108" s="265" t="n">
        <v>1961421.73729</v>
      </c>
      <c r="AD108" s="265" t="n">
        <v>3704736.03866</v>
      </c>
    </row>
    <row r="109">
      <c r="A109" t="inlineStr">
        <is>
          <t>PL: Reserva de Desagio (l.169) · fonte · unid. moeda</t>
        </is>
      </c>
      <c r="B109" t="n">
        <v>37</v>
      </c>
      <c r="C109" t="inlineStr">
        <is>
          <t>Common Stock and APIC</t>
        </is>
      </c>
      <c r="D109" s="265" t="n">
        <v>0</v>
      </c>
      <c r="E109" s="265" t="n">
        <v>0</v>
      </c>
      <c r="F109" s="265" t="n">
        <v>0</v>
      </c>
      <c r="G109" s="265" t="n">
        <v>0</v>
      </c>
      <c r="I109" s="265" t="n">
        <v>0</v>
      </c>
      <c r="J109" s="265" t="n">
        <v>0</v>
      </c>
      <c r="K109" s="265" t="n">
        <v>0</v>
      </c>
      <c r="L109" s="265" t="n">
        <v>0</v>
      </c>
      <c r="N109" s="265" t="n">
        <v>2287911.933734</v>
      </c>
      <c r="O109" s="265" t="n">
        <v>2287911.933734</v>
      </c>
      <c r="P109" s="265" t="n">
        <v>2233854.793644</v>
      </c>
      <c r="Q109" s="265" t="n">
        <v>0</v>
      </c>
      <c r="S109" s="265" t="n">
        <v>0</v>
      </c>
      <c r="T109" s="265" t="n">
        <v>0</v>
      </c>
      <c r="U109" s="265" t="n">
        <v>0</v>
      </c>
      <c r="V109" s="265" t="n">
        <v>0</v>
      </c>
      <c r="X109" s="265" t="n">
        <v>0</v>
      </c>
      <c r="Y109" s="265" t="n">
        <v>0</v>
      </c>
      <c r="Z109" s="265" t="n">
        <v>0</v>
      </c>
      <c r="AA109" s="265" t="n">
        <v>0</v>
      </c>
      <c r="AC109" s="265" t="n">
        <v>0</v>
      </c>
      <c r="AD109" s="265" t="n">
        <v>0</v>
      </c>
    </row>
    <row r="110">
      <c r="A110" t="inlineStr">
        <is>
          <t>PL: Ações em tesouraria (l.170) · fonte · unid. moeda</t>
        </is>
      </c>
      <c r="B110" t="n">
        <v>38</v>
      </c>
      <c r="C110" t="inlineStr">
        <is>
          <t>Treasury stock (contra account)</t>
        </is>
      </c>
      <c r="D110" s="265" t="n">
        <v>-272346</v>
      </c>
      <c r="E110" s="265" t="n">
        <v>-282509</v>
      </c>
      <c r="F110" s="265" t="n">
        <v>-151633</v>
      </c>
      <c r="G110" s="265" t="n">
        <v>-151633</v>
      </c>
      <c r="I110" s="265" t="n">
        <v>-151633</v>
      </c>
      <c r="J110" s="265" t="n">
        <v>-155635</v>
      </c>
      <c r="K110" s="265" t="n">
        <v>-165751</v>
      </c>
      <c r="L110" s="265" t="n">
        <v>-148114</v>
      </c>
      <c r="N110" s="265" t="n">
        <v>-148114.32551</v>
      </c>
      <c r="O110" s="265" t="n">
        <v>-150879.27403</v>
      </c>
      <c r="P110" s="265" t="n">
        <v>-151047.12491</v>
      </c>
      <c r="Q110" s="265" t="n">
        <v>-151047.12491</v>
      </c>
      <c r="S110" s="265" t="n">
        <v>-151047.12491</v>
      </c>
      <c r="T110" s="265" t="n">
        <v>-151184.33764</v>
      </c>
      <c r="U110" s="265" t="n">
        <v>-151519.45841</v>
      </c>
      <c r="V110" s="265" t="n">
        <v>-155783.35443</v>
      </c>
      <c r="X110" s="265" t="n">
        <v>-181916.66977</v>
      </c>
      <c r="Y110" s="265" t="n">
        <v>-181968.30777</v>
      </c>
      <c r="Z110" s="265" t="n">
        <v>-181968.30777</v>
      </c>
      <c r="AA110" s="265" t="n">
        <v>-181968.3078</v>
      </c>
      <c r="AC110" s="265" t="n">
        <v>0</v>
      </c>
      <c r="AD110" s="265" t="n">
        <v>0</v>
      </c>
    </row>
    <row r="111">
      <c r="A111" t="inlineStr">
        <is>
          <t>PL: Reservas de lucros (l.171) · fonte · unid. moeda</t>
        </is>
      </c>
      <c r="B111" t="n">
        <v>41</v>
      </c>
      <c r="C111" t="inlineStr">
        <is>
          <t>Retained earnings</t>
        </is>
      </c>
      <c r="D111" s="265" t="n">
        <v>316661</v>
      </c>
      <c r="E111" s="265" t="n">
        <v>262336</v>
      </c>
      <c r="F111" s="265" t="n">
        <v>262336</v>
      </c>
      <c r="G111" s="265" t="n">
        <v>877940</v>
      </c>
      <c r="I111" s="265" t="n">
        <v>765355</v>
      </c>
      <c r="J111" s="265" t="n">
        <v>867332</v>
      </c>
      <c r="K111" s="265" t="n">
        <v>885833</v>
      </c>
      <c r="L111" s="265" t="n">
        <v>925757</v>
      </c>
      <c r="N111" s="265" t="n">
        <v>931950.33978</v>
      </c>
      <c r="O111" s="265" t="n">
        <v>944277.08215</v>
      </c>
      <c r="P111" s="265" t="n">
        <v>807760.8754810001</v>
      </c>
      <c r="Q111" s="265" t="n">
        <v>430538.50448</v>
      </c>
      <c r="S111" s="265" t="n">
        <v>417483.2737</v>
      </c>
      <c r="T111" s="265" t="n">
        <v>466783.10823</v>
      </c>
      <c r="U111" s="265" t="n">
        <v>477625.35819</v>
      </c>
      <c r="V111" s="265" t="n">
        <v>232351.30397</v>
      </c>
      <c r="X111" s="265" t="n">
        <v>177248.0134</v>
      </c>
      <c r="Y111" s="265" t="n">
        <v>22615.2274</v>
      </c>
      <c r="Z111" s="265" t="n">
        <v>-222643.06702</v>
      </c>
      <c r="AA111" s="265" t="n">
        <v>216918.63636</v>
      </c>
      <c r="AC111" s="265" t="n">
        <v>58536.2407</v>
      </c>
      <c r="AD111" s="265" t="n">
        <v>-257243.94704</v>
      </c>
    </row>
    <row r="112">
      <c r="A112" t="inlineStr">
        <is>
          <t>PL: Outros resultados abrangentes (l.172) · fonte · unid. moeda</t>
        </is>
      </c>
      <c r="B112" t="n">
        <v>39</v>
      </c>
      <c r="C112" t="inlineStr">
        <is>
          <t>Comprehensive (accumulated) loss</t>
        </is>
      </c>
      <c r="D112" s="265" t="n">
        <v>-254944</v>
      </c>
      <c r="E112" s="265" t="n">
        <v>-197213</v>
      </c>
      <c r="F112" s="265" t="n">
        <v>-272784</v>
      </c>
      <c r="G112" s="265" t="n">
        <v>-255956</v>
      </c>
      <c r="I112" s="265" t="n">
        <v>-484674</v>
      </c>
      <c r="J112" s="265" t="n">
        <v>-621426</v>
      </c>
      <c r="K112" s="265" t="n">
        <v>-786104</v>
      </c>
      <c r="L112" s="265" t="n">
        <v>-769101</v>
      </c>
      <c r="N112" s="265" t="n">
        <v>-1465249.79457</v>
      </c>
      <c r="O112" s="265" t="n">
        <v>-1250019.8477</v>
      </c>
      <c r="P112" s="265" t="n">
        <v>-619757.97215</v>
      </c>
      <c r="Q112" s="265" t="n">
        <v>-537800.46718</v>
      </c>
      <c r="S112" s="265" t="n">
        <v>-578046.03903</v>
      </c>
      <c r="T112" s="265" t="n">
        <v>-621204.81416</v>
      </c>
      <c r="U112" s="265" t="n">
        <v>-547919.28197</v>
      </c>
      <c r="V112" s="265" t="n">
        <v>-714322.97789</v>
      </c>
      <c r="X112" s="265" t="n">
        <v>-613619.64313</v>
      </c>
      <c r="Y112" s="265" t="n">
        <v>-525093.5850899999</v>
      </c>
      <c r="Z112" s="265" t="n">
        <v>-553987.30904</v>
      </c>
      <c r="AA112" s="265" t="n">
        <v>170247.2995</v>
      </c>
      <c r="AC112" s="265" t="n">
        <v>170247.29947</v>
      </c>
      <c r="AD112" s="265" t="n">
        <v>200682.71918</v>
      </c>
    </row>
    <row r="113">
      <c r="A113" t="inlineStr">
        <is>
          <t>PL: Adiantamento para Futuro Aumento de Capital (l.173) · fonte · unid. moeda</t>
        </is>
      </c>
      <c r="B113" t="n">
        <v>37</v>
      </c>
      <c r="C113" t="inlineStr">
        <is>
          <t>Common Stock and APIC</t>
        </is>
      </c>
      <c r="D113" s="265" t="n">
        <v>0</v>
      </c>
      <c r="E113" s="265" t="n">
        <v>0</v>
      </c>
      <c r="F113" s="265" t="n">
        <v>0</v>
      </c>
      <c r="G113" s="265" t="n">
        <v>0</v>
      </c>
      <c r="I113" s="265" t="n">
        <v>0</v>
      </c>
      <c r="J113" s="265" t="n">
        <v>0</v>
      </c>
      <c r="K113" s="265" t="n">
        <v>0</v>
      </c>
      <c r="L113" s="265" t="n">
        <v>0</v>
      </c>
      <c r="N113" s="265" t="n">
        <v>0</v>
      </c>
      <c r="O113" s="265" t="n">
        <v>0</v>
      </c>
      <c r="P113" s="265" t="n">
        <v>0</v>
      </c>
      <c r="Q113" s="265" t="n">
        <v>0</v>
      </c>
      <c r="S113" s="265" t="n">
        <v>0</v>
      </c>
      <c r="T113" s="265" t="n">
        <v>0</v>
      </c>
      <c r="U113" s="265" t="n">
        <v>0</v>
      </c>
      <c r="V113" s="265" t="n">
        <v>0</v>
      </c>
      <c r="X113" s="265" t="n">
        <v>0</v>
      </c>
      <c r="Y113" s="265" t="n">
        <v>0</v>
      </c>
      <c r="Z113" s="265" t="n">
        <v>0</v>
      </c>
      <c r="AA113" s="265" t="n">
        <v>0</v>
      </c>
      <c r="AC113" s="265" t="n">
        <v>0</v>
      </c>
      <c r="AD113" s="265" t="n">
        <v>0</v>
      </c>
    </row>
    <row r="114">
      <c r="A114" t="inlineStr">
        <is>
          <t>PL: Ajustes de avaliação patrimonial (l.174) · fonte · unid. moeda</t>
        </is>
      </c>
      <c r="B114" t="n">
        <v>39</v>
      </c>
      <c r="C114" t="inlineStr">
        <is>
          <t>Comprehensive (accumulated) loss</t>
        </is>
      </c>
      <c r="D114" s="265" t="n">
        <v>470044</v>
      </c>
      <c r="E114" s="265" t="n">
        <v>467579</v>
      </c>
      <c r="F114" s="265" t="n">
        <v>487722</v>
      </c>
      <c r="G114" s="265" t="n">
        <v>517257</v>
      </c>
      <c r="I114" s="265" t="n">
        <v>516617</v>
      </c>
      <c r="J114" s="265" t="n">
        <v>517257</v>
      </c>
      <c r="K114" s="265" t="n">
        <v>517257</v>
      </c>
      <c r="L114" s="265" t="n">
        <v>517257</v>
      </c>
      <c r="N114" s="265" t="n">
        <v>510314.409573</v>
      </c>
      <c r="O114" s="265" t="n">
        <v>524455.894463</v>
      </c>
      <c r="P114" s="265" t="n">
        <v>534840.334443</v>
      </c>
      <c r="Q114" s="265" t="n">
        <v>132295.631353</v>
      </c>
      <c r="S114" s="265" t="n">
        <v>132295.631353</v>
      </c>
      <c r="T114" s="265" t="n">
        <v>132295.631353</v>
      </c>
      <c r="U114" s="265" t="n">
        <v>132295.631353</v>
      </c>
      <c r="V114" s="265" t="n">
        <v>132295.63239</v>
      </c>
      <c r="X114" s="265" t="n">
        <v>132295.63239</v>
      </c>
      <c r="Y114" s="265" t="n">
        <v>132295.63239</v>
      </c>
      <c r="Z114" s="265" t="n">
        <v>132295.63239</v>
      </c>
      <c r="AA114" s="265" t="n">
        <v>132295.6324</v>
      </c>
      <c r="AC114" s="265" t="n">
        <v>132295.63239</v>
      </c>
      <c r="AD114" s="265" t="n">
        <v>132751.88498</v>
      </c>
    </row>
    <row r="115">
      <c r="A115" t="inlineStr">
        <is>
          <t>PL: Outras Movimentações Patrimoniais (l.175) · fonte · unid. moeda</t>
        </is>
      </c>
      <c r="B115" t="n">
        <v>40</v>
      </c>
      <c r="C115" t="inlineStr">
        <is>
          <t>Other equity account</t>
        </is>
      </c>
      <c r="D115" s="265" t="n">
        <v>0</v>
      </c>
      <c r="E115" s="265" t="n">
        <v>0</v>
      </c>
      <c r="F115" s="265" t="n">
        <v>0</v>
      </c>
      <c r="G115" s="265" t="n">
        <v>0</v>
      </c>
      <c r="I115" s="265" t="n">
        <v>0</v>
      </c>
      <c r="J115" s="265" t="n">
        <v>0</v>
      </c>
      <c r="K115" s="265" t="n">
        <v>-816101</v>
      </c>
      <c r="L115" s="265" t="n">
        <v>0</v>
      </c>
      <c r="N115" s="265" t="n">
        <v>-403134.70557</v>
      </c>
      <c r="O115" s="265" t="n">
        <v>-403134.70557</v>
      </c>
      <c r="P115" s="265" t="n">
        <v>-403134.70557</v>
      </c>
      <c r="Q115" s="265" t="n">
        <v>0</v>
      </c>
      <c r="S115" s="265" t="n">
        <v>0</v>
      </c>
      <c r="T115" s="265" t="n">
        <v>0</v>
      </c>
      <c r="U115" s="265" t="n">
        <v>0</v>
      </c>
      <c r="V115" s="265" t="n">
        <v>0</v>
      </c>
      <c r="X115" s="265" t="n">
        <v>0</v>
      </c>
      <c r="Y115" s="265" t="n">
        <v>0</v>
      </c>
      <c r="Z115" s="265" t="n">
        <v>0</v>
      </c>
      <c r="AA115" s="265" t="n">
        <v>0</v>
      </c>
      <c r="AC115" s="265" t="n">
        <v>0</v>
      </c>
      <c r="AD115" s="265" t="n">
        <v>0</v>
      </c>
    </row>
    <row r="116">
      <c r="A116" t="inlineStr">
        <is>
          <t>PL: Participação dos acionistas não controladores (l.176) · fonte · unid. moeda</t>
        </is>
      </c>
      <c r="B116" t="n">
        <v>35</v>
      </c>
      <c r="C116" t="inlineStr">
        <is>
          <t>Minority interest</t>
        </is>
      </c>
      <c r="D116" s="265" t="n">
        <v>1671055</v>
      </c>
      <c r="E116" s="265" t="n">
        <v>1815693</v>
      </c>
      <c r="F116" s="265" t="n">
        <v>2296413</v>
      </c>
      <c r="G116" s="265" t="n">
        <v>2308182</v>
      </c>
      <c r="I116" s="265" t="n">
        <v>2292362</v>
      </c>
      <c r="J116" s="265" t="n">
        <v>2294679</v>
      </c>
      <c r="K116" s="265" t="n">
        <v>2785986</v>
      </c>
      <c r="L116" s="265" t="n">
        <v>2699977</v>
      </c>
      <c r="N116" s="265" t="n">
        <v>2783524</v>
      </c>
      <c r="O116" s="265" t="n">
        <v>2960640.248788</v>
      </c>
      <c r="P116" s="265" t="n">
        <v>3452882.286124</v>
      </c>
      <c r="Q116" s="265" t="n">
        <v>3425485.977938</v>
      </c>
      <c r="S116" s="265" t="n">
        <v>3505858.461793</v>
      </c>
      <c r="T116" s="265" t="n">
        <v>3600120.510361</v>
      </c>
      <c r="U116" s="265" t="n">
        <v>3743753.330734</v>
      </c>
      <c r="V116" s="265" t="n">
        <v>2973476.41786</v>
      </c>
      <c r="X116" s="265" t="n">
        <v>2973151.52807</v>
      </c>
      <c r="Y116" s="265" t="n">
        <v>2968920.14546</v>
      </c>
      <c r="Z116" s="265" t="n">
        <v>3021071.72258</v>
      </c>
      <c r="AA116" s="265" t="n">
        <v>2898181.2004</v>
      </c>
      <c r="AC116" s="265" t="n">
        <v>2877631.07836</v>
      </c>
      <c r="AD116" s="265" t="n">
        <v>3938390.84761</v>
      </c>
    </row>
    <row r="117">
      <c r="A117" t="inlineStr">
        <is>
          <t>PL: Lucros / Prejuízos acumulados (l.177) · fonte · unid. moeda</t>
        </is>
      </c>
      <c r="B117" t="n">
        <v>41</v>
      </c>
      <c r="C117" t="inlineStr">
        <is>
          <t>Retained earnings</t>
        </is>
      </c>
      <c r="D117" s="265" t="n">
        <v>94243</v>
      </c>
      <c r="E117" s="265" t="n">
        <v>361490</v>
      </c>
      <c r="F117" s="265" t="n">
        <v>607253</v>
      </c>
      <c r="G117" s="265" t="n">
        <v>0</v>
      </c>
      <c r="I117" s="265" t="n">
        <v>0</v>
      </c>
      <c r="J117" s="265" t="n">
        <v>0</v>
      </c>
      <c r="K117" s="265" t="n">
        <v>0</v>
      </c>
      <c r="L117" s="265" t="n">
        <v>0</v>
      </c>
      <c r="N117" s="265" t="n">
        <v>0</v>
      </c>
      <c r="O117" s="265" t="n">
        <v>0</v>
      </c>
      <c r="P117" s="265" t="n">
        <v>0</v>
      </c>
      <c r="Q117" s="265" t="n">
        <v>0</v>
      </c>
      <c r="S117" s="265" t="n">
        <v>0</v>
      </c>
      <c r="T117" s="265" t="n">
        <v>0</v>
      </c>
      <c r="U117" s="265" t="n">
        <v>0</v>
      </c>
      <c r="V117" s="265" t="n">
        <v>0</v>
      </c>
      <c r="X117" s="265" t="n">
        <v>0</v>
      </c>
      <c r="Y117" s="265" t="n">
        <v>0</v>
      </c>
      <c r="Z117" s="265" t="n">
        <v>0</v>
      </c>
      <c r="AA117" s="265" t="n">
        <v>0</v>
      </c>
      <c r="AC117" s="265" t="n">
        <v>0</v>
      </c>
      <c r="AD117" s="265" t="n">
        <v>0</v>
      </c>
    </row>
    <row r="118">
      <c r="A118" t="inlineStr">
        <is>
          <t>PL: Outros ajustes patrimoniais reflexos de controladas (l.178) · fonte · unid. moeda</t>
        </is>
      </c>
      <c r="B118" t="n">
        <v>40</v>
      </c>
      <c r="C118" t="inlineStr">
        <is>
          <t>Other equity account</t>
        </is>
      </c>
      <c r="D118" s="265" t="n">
        <v>-158278</v>
      </c>
      <c r="E118" s="265" t="n">
        <v>-113680</v>
      </c>
      <c r="F118" s="265" t="n">
        <v>-226171</v>
      </c>
      <c r="G118" s="265" t="n">
        <v>-269203</v>
      </c>
      <c r="I118" s="265" t="n">
        <v>-440692</v>
      </c>
      <c r="J118" s="265" t="n">
        <v>-717596</v>
      </c>
      <c r="K118" s="265" t="n">
        <v>0</v>
      </c>
      <c r="L118" s="265" t="n">
        <v>-721574</v>
      </c>
      <c r="N118" s="265" t="n">
        <v>3559.72436</v>
      </c>
      <c r="O118" s="265" t="n">
        <v>3559.72436</v>
      </c>
      <c r="P118" s="265" t="n">
        <v>-97444.27564000001</v>
      </c>
      <c r="Q118" s="265" t="n">
        <v>25628.11802</v>
      </c>
      <c r="S118" s="265" t="n">
        <v>-30430.85043</v>
      </c>
      <c r="T118" s="265" t="n">
        <v>-66011.77379000001</v>
      </c>
      <c r="U118" s="265" t="n">
        <v>-17889.5838</v>
      </c>
      <c r="V118" s="265" t="n">
        <v>207.80122</v>
      </c>
      <c r="X118" s="265" t="n">
        <v>-4519.10642</v>
      </c>
      <c r="Y118" s="265" t="n">
        <v>563498.5897</v>
      </c>
      <c r="Z118" s="265" t="n">
        <v>651520.11473</v>
      </c>
      <c r="AA118" s="265" t="n">
        <v>874543.9404</v>
      </c>
      <c r="AC118" s="265" t="n">
        <v>793667.3753599999</v>
      </c>
      <c r="AD118" s="265" t="n">
        <v>775326.91685</v>
      </c>
    </row>
    <row r="119">
      <c r="A119" t="inlineStr">
        <is>
          <t>BALANCO - totais divulgados (memoria)</t>
        </is>
      </c>
      <c r="C119" t="inlineStr">
        <is>
          <t>[linha bruta, sem código; lançada nas linhas abaixo]</t>
        </is>
      </c>
      <c r="D119" s="265" t="n"/>
      <c r="E119" s="265" t="n"/>
      <c r="F119" s="265" t="n"/>
      <c r="G119" s="265" t="n"/>
      <c r="I119" s="265" t="n"/>
      <c r="J119" s="265" t="n"/>
      <c r="K119" s="265" t="n"/>
      <c r="L119" s="265" t="n"/>
      <c r="N119" s="265" t="n"/>
      <c r="O119" s="265" t="n"/>
      <c r="P119" s="265" t="n"/>
      <c r="Q119" s="265" t="n"/>
      <c r="S119" s="265" t="n"/>
      <c r="T119" s="265" t="n"/>
      <c r="U119" s="265" t="n"/>
      <c r="V119" s="265" t="n"/>
      <c r="X119" s="265" t="n"/>
      <c r="Y119" s="265" t="n"/>
      <c r="Z119" s="265" t="n"/>
      <c r="AA119" s="265" t="n"/>
      <c r="AC119" s="265" t="n"/>
      <c r="AD119" s="265" t="n"/>
    </row>
    <row r="120">
      <c r="A120" t="inlineStr">
        <is>
          <t>Total do ativo (l.116) · memoria · unid. moeda</t>
        </is>
      </c>
      <c r="C120" t="inlineStr">
        <is>
          <t>[linha bruta, sem código; lançada nas linhas abaixo]</t>
        </is>
      </c>
      <c r="D120" s="265" t="n">
        <v>31959713.729092</v>
      </c>
      <c r="E120" s="265" t="n">
        <v>33773128</v>
      </c>
      <c r="F120" s="265" t="n">
        <v>41082055</v>
      </c>
      <c r="G120" s="265" t="n">
        <v>47968194</v>
      </c>
      <c r="I120" s="265" t="n">
        <v>47543699</v>
      </c>
      <c r="J120" s="265" t="n">
        <v>52956699</v>
      </c>
      <c r="K120" s="265" t="n">
        <v>59006238</v>
      </c>
      <c r="L120" s="265" t="n">
        <v>61659514</v>
      </c>
      <c r="N120" s="265" t="n">
        <v>59367331.271</v>
      </c>
      <c r="O120" s="265" t="n">
        <v>60059526.256071</v>
      </c>
      <c r="P120" s="265" t="n">
        <v>62697614.63457</v>
      </c>
      <c r="Q120" s="265" t="n">
        <v>70140838.842583</v>
      </c>
      <c r="S120" s="265" t="n">
        <v>74190125.202335</v>
      </c>
      <c r="T120" s="265" t="n">
        <v>76293224.55888601</v>
      </c>
      <c r="U120" s="265" t="n">
        <v>80107523.419085</v>
      </c>
      <c r="V120" s="265" t="n">
        <v>83152864.79311</v>
      </c>
      <c r="X120" s="265" t="n">
        <v>81029261.24217001</v>
      </c>
      <c r="Y120" s="265" t="n">
        <v>81414236.53032</v>
      </c>
      <c r="Z120" s="265" t="n">
        <v>81263334.84085999</v>
      </c>
      <c r="AA120" s="265" t="n">
        <v>86702213.28479999</v>
      </c>
      <c r="AC120" s="265" t="n">
        <v>87178623.77144</v>
      </c>
      <c r="AD120" s="265" t="n">
        <v>91594776.38691001</v>
      </c>
    </row>
    <row r="121">
      <c r="A121" t="inlineStr">
        <is>
          <t>Total do passivo e PL (l.181) · memoria · unid. moeda</t>
        </is>
      </c>
      <c r="C121" t="inlineStr">
        <is>
          <t>[linha bruta, sem código; lançada nas linhas abaixo]</t>
        </is>
      </c>
      <c r="D121" s="265" t="n">
        <v>31959715.105639</v>
      </c>
      <c r="E121" s="265" t="n">
        <v>33773127.407122</v>
      </c>
      <c r="F121" s="265" t="n">
        <v>41082055</v>
      </c>
      <c r="G121" s="265" t="n">
        <v>47968194</v>
      </c>
      <c r="I121" s="265" t="n">
        <v>47543699</v>
      </c>
      <c r="J121" s="265" t="n">
        <v>52956699</v>
      </c>
      <c r="K121" s="265" t="n">
        <v>59006238</v>
      </c>
      <c r="L121" s="265" t="n">
        <v>61659514</v>
      </c>
      <c r="N121" s="265" t="n">
        <v>59367298.677983</v>
      </c>
      <c r="O121" s="265" t="n">
        <v>60059524.083815</v>
      </c>
      <c r="P121" s="265" t="n">
        <v>62697614.245182</v>
      </c>
      <c r="Q121" s="265" t="n">
        <v>70140840.34960499</v>
      </c>
      <c r="S121" s="265" t="n">
        <v>74190124.72885799</v>
      </c>
      <c r="T121" s="265" t="n">
        <v>76293223.835272</v>
      </c>
      <c r="U121" s="265" t="n">
        <v>80107518.93107399</v>
      </c>
      <c r="V121" s="265" t="n">
        <v>83152881.2562</v>
      </c>
      <c r="X121" s="265" t="n">
        <v>81029281.60276</v>
      </c>
      <c r="Y121" s="265" t="n">
        <v>81414252.78917</v>
      </c>
      <c r="Z121" s="265" t="n">
        <v>81263301.43244</v>
      </c>
      <c r="AA121" s="265" t="n">
        <v>86702213.67316</v>
      </c>
      <c r="AC121" s="265" t="n">
        <v>87178623.77121</v>
      </c>
      <c r="AD121" s="265" t="n">
        <v>91594776.38692001</v>
      </c>
    </row>
    <row r="122">
      <c r="A122" t="inlineStr">
        <is>
          <t>Divida liquida (l.208, conceito da Cia) - memoria · memoria · unid. moeda</t>
        </is>
      </c>
      <c r="C122" t="inlineStr">
        <is>
          <t>[linha bruta, sem código; lançada nas linhas abaixo]</t>
        </is>
      </c>
      <c r="D122" s="265" t="n">
        <v>9494931.293703999</v>
      </c>
      <c r="E122" s="265" t="n">
        <v>10782322.50245</v>
      </c>
      <c r="F122" s="265" t="n">
        <v>12482595</v>
      </c>
      <c r="G122" s="265" t="n">
        <v>15479610</v>
      </c>
      <c r="I122" s="265" t="n">
        <v>18005872</v>
      </c>
      <c r="J122" s="265" t="n">
        <v>21998237.090748</v>
      </c>
      <c r="K122" s="265" t="n">
        <v>24496264.626123</v>
      </c>
      <c r="L122" s="265" t="n">
        <v>26040933.60277</v>
      </c>
      <c r="N122" s="265" t="n">
        <v>28454064.836338</v>
      </c>
      <c r="O122" s="265" t="n">
        <v>31465991.52052</v>
      </c>
      <c r="P122" s="265" t="n">
        <v>31605173.375523</v>
      </c>
      <c r="Q122" s="265" t="n">
        <v>31745270.230174</v>
      </c>
      <c r="S122" s="265" t="n">
        <v>33536479.072946</v>
      </c>
      <c r="T122" s="265" t="n">
        <v>36221214.695606</v>
      </c>
      <c r="U122" s="265" t="n">
        <v>37861418.749588</v>
      </c>
      <c r="V122" s="265" t="n">
        <v>39880032.667632</v>
      </c>
      <c r="X122" s="265" t="n">
        <v>41337645.901987</v>
      </c>
      <c r="Y122" s="265" t="n">
        <v>42537963.49247</v>
      </c>
      <c r="Z122" s="265" t="n">
        <v>41627908.985782</v>
      </c>
      <c r="AA122" s="265" t="n">
        <v>40561901.694465</v>
      </c>
      <c r="AC122" s="265" t="n">
        <v>41796451.08667</v>
      </c>
      <c r="AD122" s="265" t="n">
        <v>41288431.41568</v>
      </c>
    </row>
    <row r="123">
      <c r="A123" t="inlineStr">
        <is>
          <t>CHECKS (devem ser 0)</t>
        </is>
      </c>
      <c r="C123" t="inlineStr">
        <is>
          <t>[linha bruta, sem código; lançada nas linhas abaixo]</t>
        </is>
      </c>
      <c r="D123" s="265" t="n"/>
      <c r="E123" s="265" t="n"/>
      <c r="F123" s="265" t="n"/>
      <c r="G123" s="265" t="n"/>
      <c r="I123" s="265" t="n"/>
      <c r="J123" s="265" t="n"/>
      <c r="K123" s="265" t="n"/>
      <c r="L123" s="265" t="n"/>
      <c r="N123" s="265" t="n"/>
      <c r="O123" s="265" t="n"/>
      <c r="P123" s="265" t="n"/>
      <c r="Q123" s="265" t="n"/>
      <c r="S123" s="265" t="n"/>
      <c r="T123" s="265" t="n"/>
      <c r="U123" s="265" t="n"/>
      <c r="V123" s="265" t="n"/>
      <c r="X123" s="265" t="n"/>
      <c r="Y123" s="265" t="n"/>
      <c r="Z123" s="265" t="n"/>
      <c r="AA123" s="265" t="n"/>
      <c r="AC123" s="265" t="n"/>
      <c r="AD123" s="265" t="n"/>
    </row>
    <row r="124">
      <c r="A124" t="inlineStr">
        <is>
          <t>CHECK: receita + custos + despesas op. + resultado financeiro + IR + descontinuadas - lucro liquido total · derivada · unid. moeda</t>
        </is>
      </c>
      <c r="C124" t="inlineStr">
        <is>
          <t>[linha bruta, sem código; lançada nas linhas abaixo]</t>
        </is>
      </c>
      <c r="D124" s="265">
        <f>ROUND(D5+D6+D7+D8+D9+D10+D11+D12+D13+D14+D15-D16,1)</f>
        <v>0</v>
      </c>
      <c r="E124" s="265">
        <f>ROUND(E5+E6+E7+E8+E9+E10+E11+E12+E13+E14+E15-E16,1)</f>
        <v>0</v>
      </c>
      <c r="F124" s="265">
        <f>ROUND(F5+F6+F7+F8+F9+F10+F11+F12+F13+F14+F15-F16,1)</f>
        <v>0</v>
      </c>
      <c r="G124" s="265">
        <f>ROUND(G5+G6+G7+G8+G9+G10+G11+G12+G13+G14+G15-G16,1)</f>
        <v>0</v>
      </c>
      <c r="I124" s="265">
        <f>ROUND(I5+I6+I7+I8+I9+I10+I11+I12+I13+I14+I15-I16,1)</f>
        <v>0</v>
      </c>
      <c r="J124" s="265">
        <f>ROUND(J5+J6+J7+J8+J9+J10+J11+J12+J13+J14+J15-J16,1)</f>
        <v>0</v>
      </c>
      <c r="K124" s="265">
        <f>ROUND(K5+K6+K7+K8+K9+K10+K11+K12+K13+K14+K15-K16,1)</f>
        <v>0</v>
      </c>
      <c r="L124" s="265">
        <f>ROUND(L5+L6+L7+L8+L9+L10+L11+L12+L13+L14+L15-L16,1)</f>
        <v>0</v>
      </c>
      <c r="N124" s="265">
        <f>ROUND(N5+N6+N7+N8+N9+N10+N11+N12+N13+N14+N15-N16,1)</f>
        <v>0</v>
      </c>
      <c r="O124" s="265">
        <f>ROUND(O5+O6+O7+O8+O9+O10+O11+O12+O13+O14+O15-O16,1)</f>
        <v>0</v>
      </c>
      <c r="P124" s="265">
        <f>ROUND(P5+P6+P7+P8+P9+P10+P11+P12+P13+P14+P15-P16,1)</f>
        <v>0</v>
      </c>
      <c r="Q124" s="265">
        <f>ROUND(Q5+Q6+Q7+Q8+Q9+Q10+Q11+Q12+Q13+Q14+Q15-Q16,1)</f>
        <v>0</v>
      </c>
      <c r="S124" s="265">
        <f>ROUND(S5+S6+S7+S8+S9+S10+S11+S12+S13+S14+S15-S16,1)</f>
        <v>0</v>
      </c>
      <c r="T124" s="265">
        <f>ROUND(T5+T6+T7+T8+T9+T10+T11+T12+T13+T14+T15-T16,1)</f>
        <v>0</v>
      </c>
      <c r="U124" s="265">
        <f>ROUND(U5+U6+U7+U8+U9+U10+U11+U12+U13+U14+U15-U16,1)</f>
        <v>0</v>
      </c>
      <c r="V124" s="265">
        <f>ROUND(V5+V6+V7+V8+V9+V10+V11+V12+V13+V14+V15-V16,1)</f>
        <v>0</v>
      </c>
      <c r="X124" s="265">
        <f>ROUND(X5+X6+X7+X8+X9+X10+X11+X12+X13+X14+X15-X16,1)</f>
        <v>0</v>
      </c>
      <c r="Y124" s="265">
        <f>ROUND(Y5+Y6+Y7+Y8+Y9+Y10+Y11+Y12+Y13+Y14+Y15-Y16,1)</f>
        <v>0</v>
      </c>
      <c r="Z124" s="265">
        <f>ROUND(Z5+Z6+Z7+Z8+Z9+Z10+Z11+Z12+Z13+Z14+Z15-Z16,1)</f>
        <v>0</v>
      </c>
      <c r="AA124" s="265">
        <f>ROUND(AA5+AA6+AA7+AA8+AA9+AA10+AA11+AA12+AA13+AA14+AA15-AA16,1)</f>
        <v>0</v>
      </c>
      <c r="AC124" s="265">
        <f>ROUND(AC5+AC6+AC7+AC8+AC9+AC10+AC11+AC12+AC13+AC14+AC15-AC16,1)</f>
        <v>0</v>
      </c>
      <c r="AD124" s="265">
        <f>ROUND(AD5+AD6+AD7+AD8+AD9+AD10+AD11+AD12+AD13+AD14+AD15-AD16,1)</f>
        <v>0</v>
      </c>
    </row>
    <row r="125">
      <c r="A125" t="inlineStr">
        <is>
          <t>CHECK: contas de ativo - ativo total · derivada · unid. moeda</t>
        </is>
      </c>
      <c r="C125" t="inlineStr">
        <is>
          <t>[linha bruta, sem código; lançada nas linhas abaixo]</t>
        </is>
      </c>
      <c r="D125" s="265">
        <f>ROUND(D34+D35+D36+D37+D38+D39+D40+D41+D42+D43+D44+D45+D46+D47+D48+D49+D50+D51+D52+D53+D54+D55+D56+D57+D58+D59+D60+D61+D62+D63+D64+D65+D66-D120,1)</f>
        <v>0</v>
      </c>
      <c r="E125" s="265">
        <f>ROUND(E34+E35+E36+E37+E38+E39+E40+E41+E42+E43+E44+E45+E46+E47+E48+E49+E50+E51+E52+E53+E54+E55+E56+E57+E58+E59+E60+E61+E62+E63+E64+E65+E66-E120,1)</f>
        <v>0</v>
      </c>
      <c r="F125" s="265">
        <f>ROUND(F34+F35+F36+F37+F38+F39+F40+F41+F42+F43+F44+F45+F46+F47+F48+F49+F50+F51+F52+F53+F54+F55+F56+F57+F58+F59+F60+F61+F62+F63+F64+F65+F66-F120,1)</f>
        <v>0</v>
      </c>
      <c r="G125" s="265">
        <f>ROUND(G34+G35+G36+G37+G38+G39+G40+G41+G42+G43+G44+G45+G46+G47+G48+G49+G50+G51+G52+G53+G54+G55+G56+G57+G58+G59+G60+G61+G62+G63+G64+G65+G66-G120,1)</f>
        <v>0</v>
      </c>
      <c r="I125" s="265">
        <f>ROUND(I34+I35+I36+I37+I38+I39+I40+I41+I42+I43+I44+I45+I46+I47+I48+I49+I50+I51+I52+I53+I54+I55+I56+I57+I58+I59+I60+I61+I62+I63+I64+I65+I66-I120,1)</f>
        <v>0</v>
      </c>
      <c r="J125" s="265">
        <f>ROUND(J34+J35+J36+J37+J38+J39+J40+J41+J42+J43+J44+J45+J46+J47+J48+J49+J50+J51+J52+J53+J54+J55+J56+J57+J58+J59+J60+J61+J62+J63+J64+J65+J66-J120,1)</f>
        <v>0</v>
      </c>
      <c r="K125" s="265">
        <f>ROUND(K34+K35+K36+K37+K38+K39+K40+K41+K42+K43+K44+K45+K46+K47+K48+K49+K50+K51+K52+K53+K54+K55+K56+K57+K58+K59+K60+K61+K62+K63+K64+K65+K66-K120,1)</f>
        <v>0</v>
      </c>
      <c r="L125" s="265">
        <f>ROUND(L34+L35+L36+L37+L38+L39+L40+L41+L42+L43+L44+L45+L46+L47+L48+L49+L50+L51+L52+L53+L54+L55+L56+L57+L58+L59+L60+L61+L62+L63+L64+L65+L66-L120,1)</f>
        <v>0</v>
      </c>
      <c r="N125" s="265">
        <f>ROUND(N34+N35+N36+N37+N38+N39+N40+N41+N42+N43+N44+N45+N46+N47+N48+N49+N50+N51+N52+N53+N54+N55+N56+N57+N58+N59+N60+N61+N62+N63+N64+N65+N66-N120,1)</f>
        <v>0</v>
      </c>
      <c r="O125" s="265">
        <f>ROUND(O34+O35+O36+O37+O38+O39+O40+O41+O42+O43+O44+O45+O46+O47+O48+O49+O50+O51+O52+O53+O54+O55+O56+O57+O58+O59+O60+O61+O62+O63+O64+O65+O66-O120,1)</f>
        <v>0</v>
      </c>
      <c r="P125" s="265">
        <f>ROUND(P34+P35+P36+P37+P38+P39+P40+P41+P42+P43+P44+P45+P46+P47+P48+P49+P50+P51+P52+P53+P54+P55+P56+P57+P58+P59+P60+P61+P62+P63+P64+P65+P66-P120,1)</f>
        <v>0</v>
      </c>
      <c r="Q125" s="265">
        <f>ROUND(Q34+Q35+Q36+Q37+Q38+Q39+Q40+Q41+Q42+Q43+Q44+Q45+Q46+Q47+Q48+Q49+Q50+Q51+Q52+Q53+Q54+Q55+Q56+Q57+Q58+Q59+Q60+Q61+Q62+Q63+Q64+Q65+Q66-Q120,1)</f>
        <v>0</v>
      </c>
      <c r="S125" s="265">
        <f>ROUND(S34+S35+S36+S37+S38+S39+S40+S41+S42+S43+S44+S45+S46+S47+S48+S49+S50+S51+S52+S53+S54+S55+S56+S57+S58+S59+S60+S61+S62+S63+S64+S65+S66-S120,1)</f>
        <v>0</v>
      </c>
      <c r="T125" s="265">
        <f>ROUND(T34+T35+T36+T37+T38+T39+T40+T41+T42+T43+T44+T45+T46+T47+T48+T49+T50+T51+T52+T53+T54+T55+T56+T57+T58+T59+T60+T61+T62+T63+T64+T65+T66-T120,1)</f>
        <v>0</v>
      </c>
      <c r="U125" s="265">
        <f>ROUND(U34+U35+U36+U37+U38+U39+U40+U41+U42+U43+U44+U45+U46+U47+U48+U49+U50+U51+U52+U53+U54+U55+U56+U57+U58+U59+U60+U61+U62+U63+U64+U65+U66-U120,1)</f>
        <v>0</v>
      </c>
      <c r="V125" s="265">
        <f>ROUND(V34+V35+V36+V37+V38+V39+V40+V41+V42+V43+V44+V45+V46+V47+V48+V49+V50+V51+V52+V53+V54+V55+V56+V57+V58+V59+V60+V61+V62+V63+V64+V65+V66-V120,1)</f>
        <v>0</v>
      </c>
      <c r="X125" s="265">
        <f>ROUND(X34+X35+X36+X37+X38+X39+X40+X41+X42+X43+X44+X45+X46+X47+X48+X49+X50+X51+X52+X53+X54+X55+X56+X57+X58+X59+X60+X61+X62+X63+X64+X65+X66-X120,1)</f>
        <v>0</v>
      </c>
      <c r="Y125" s="265">
        <f>ROUND(Y34+Y35+Y36+Y37+Y38+Y39+Y40+Y41+Y42+Y43+Y44+Y45+Y46+Y47+Y48+Y49+Y50+Y51+Y52+Y53+Y54+Y55+Y56+Y57+Y58+Y59+Y60+Y61+Y62+Y63+Y64+Y65+Y66-Y120,1)</f>
        <v>0</v>
      </c>
      <c r="Z125" s="265">
        <f>ROUND(Z34+Z35+Z36+Z37+Z38+Z39+Z40+Z41+Z42+Z43+Z44+Z45+Z46+Z47+Z48+Z49+Z50+Z51+Z52+Z53+Z54+Z55+Z56+Z57+Z58+Z59+Z60+Z61+Z62+Z63+Z64+Z65+Z66-Z120,1)</f>
        <v>0</v>
      </c>
      <c r="AA125" s="265">
        <f>ROUND(AA34+AA35+AA36+AA37+AA38+AA39+AA40+AA41+AA42+AA43+AA44+AA45+AA46+AA47+AA48+AA49+AA50+AA51+AA52+AA53+AA54+AA55+AA56+AA57+AA58+AA59+AA60+AA61+AA62+AA63+AA64+AA65+AA66-AA120,1)</f>
        <v>0</v>
      </c>
      <c r="AC125" s="265">
        <f>ROUND(AC34+AC35+AC36+AC37+AC38+AC39+AC40+AC41+AC42+AC43+AC44+AC45+AC46+AC47+AC48+AC49+AC50+AC51+AC52+AC53+AC54+AC55+AC56+AC57+AC58+AC59+AC60+AC61+AC62+AC63+AC64+AC65+AC66-AC120,1)</f>
        <v>0</v>
      </c>
      <c r="AD125" s="265">
        <f>ROUND(AD34+AD35+AD36+AD37+AD38+AD39+AD40+AD41+AD42+AD43+AD44+AD45+AD46+AD47+AD48+AD49+AD50+AD51+AD52+AD53+AD54+AD55+AD56+AD57+AD58+AD59+AD60+AD61+AD62+AD63+AD64+AD65+AD66-AD120,1)</f>
        <v>0</v>
      </c>
    </row>
    <row r="126">
      <c r="A126" t="inlineStr">
        <is>
          <t>CHECK: passivo + PL - passivo total · derivada · unid. moeda</t>
        </is>
      </c>
      <c r="C126" t="inlineStr">
        <is>
          <t>[linha bruta, sem código; lançada nas linhas abaixo]</t>
        </is>
      </c>
      <c r="D126" s="265">
        <f>ROUND(D67+D68+D69+D70+D71+D72+D73+D74+D75+D76+D77+D78+D79+D80+D81+D82+D83+D84+D85+D86+D87+D88+D89+D90+D91+D92+D93+D94+D95+D96+D97+D98+D99+D100+D101+D102+D103+D104+D105+D106+D107+D108+D109+D110+D111+D112+D113+D114+D115+D116+D117+D118-D121,1)</f>
        <v>0</v>
      </c>
      <c r="E126" s="265">
        <f>ROUND(E67+E68+E69+E70+E71+E72+E73+E74+E75+E76+E77+E78+E79+E80+E81+E82+E83+E84+E85+E86+E87+E88+E89+E90+E91+E92+E93+E94+E95+E96+E97+E98+E99+E100+E101+E102+E103+E104+E105+E106+E107+E108+E109+E110+E111+E112+E113+E114+E115+E116+E117+E118-E121,1)</f>
        <v>0</v>
      </c>
      <c r="F126" s="265">
        <f>ROUND(F67+F68+F69+F70+F71+F72+F73+F74+F75+F76+F77+F78+F79+F80+F81+F82+F83+F84+F85+F86+F87+F88+F89+F90+F91+F92+F93+F94+F95+F96+F97+F98+F99+F100+F101+F102+F103+F104+F105+F106+F107+F108+F109+F110+F111+F112+F113+F114+F115+F116+F117+F118-F121,1)</f>
        <v>0</v>
      </c>
      <c r="G126" s="265">
        <f>ROUND(G67+G68+G69+G70+G71+G72+G73+G74+G75+G76+G77+G78+G79+G80+G81+G82+G83+G84+G85+G86+G87+G88+G89+G90+G91+G92+G93+G94+G95+G96+G97+G98+G99+G100+G101+G102+G103+G104+G105+G106+G107+G108+G109+G110+G111+G112+G113+G114+G115+G116+G117+G118-G121,1)</f>
        <v>0</v>
      </c>
      <c r="I126" s="265">
        <f>ROUND(I67+I68+I69+I70+I71+I72+I73+I74+I75+I76+I77+I78+I79+I80+I81+I82+I83+I84+I85+I86+I87+I88+I89+I90+I91+I92+I93+I94+I95+I96+I97+I98+I99+I100+I101+I102+I103+I104+I105+I106+I107+I108+I109+I110+I111+I112+I113+I114+I115+I116+I117+I118-I121,1)</f>
        <v>0</v>
      </c>
      <c r="J126" s="265">
        <f>ROUND(J67+J68+J69+J70+J71+J72+J73+J74+J75+J76+J77+J78+J79+J80+J81+J82+J83+J84+J85+J86+J87+J88+J89+J90+J91+J92+J93+J94+J95+J96+J97+J98+J99+J100+J101+J102+J103+J104+J105+J106+J107+J108+J109+J110+J111+J112+J113+J114+J115+J116+J117+J118-J121,1)</f>
        <v>0</v>
      </c>
      <c r="K126" s="265">
        <f>ROUND(K67+K68+K69+K70+K71+K72+K73+K74+K75+K76+K77+K78+K79+K80+K81+K82+K83+K84+K85+K86+K87+K88+K89+K90+K91+K92+K93+K94+K95+K96+K97+K98+K99+K100+K101+K102+K103+K104+K105+K106+K107+K108+K109+K110+K111+K112+K113+K114+K115+K116+K117+K118-K121,1)</f>
        <v>0</v>
      </c>
      <c r="L126" s="265">
        <f>ROUND(L67+L68+L69+L70+L71+L72+L73+L74+L75+L76+L77+L78+L79+L80+L81+L82+L83+L84+L85+L86+L87+L88+L89+L90+L91+L92+L93+L94+L95+L96+L97+L98+L99+L100+L101+L102+L103+L104+L105+L106+L107+L108+L109+L110+L111+L112+L113+L114+L115+L116+L117+L118-L121,1)</f>
        <v>0</v>
      </c>
      <c r="N126" s="265">
        <f>ROUND(N67+N68+N69+N70+N71+N72+N73+N74+N75+N76+N77+N78+N79+N80+N81+N82+N83+N84+N85+N86+N87+N88+N89+N90+N91+N92+N93+N94+N95+N96+N97+N98+N99+N100+N101+N102+N103+N104+N105+N106+N107+N108+N109+N110+N111+N112+N113+N114+N115+N116+N117+N118-N121,1)</f>
        <v>0</v>
      </c>
      <c r="O126" s="265">
        <f>ROUND(O67+O68+O69+O70+O71+O72+O73+O74+O75+O76+O77+O78+O79+O80+O81+O82+O83+O84+O85+O86+O87+O88+O89+O90+O91+O92+O93+O94+O95+O96+O97+O98+O99+O100+O101+O102+O103+O104+O105+O106+O107+O108+O109+O110+O111+O112+O113+O114+O115+O116+O117+O118-O121,1)</f>
        <v>0</v>
      </c>
      <c r="P126" s="265">
        <f>ROUND(P67+P68+P69+P70+P71+P72+P73+P74+P75+P76+P77+P78+P79+P80+P81+P82+P83+P84+P85+P86+P87+P88+P89+P90+P91+P92+P93+P94+P95+P96+P97+P98+P99+P100+P101+P102+P103+P104+P105+P106+P107+P108+P109+P110+P111+P112+P113+P114+P115+P116+P117+P118-P121,1)</f>
        <v>0</v>
      </c>
      <c r="Q126" s="265">
        <f>ROUND(Q67+Q68+Q69+Q70+Q71+Q72+Q73+Q74+Q75+Q76+Q77+Q78+Q79+Q80+Q81+Q82+Q83+Q84+Q85+Q86+Q87+Q88+Q89+Q90+Q91+Q92+Q93+Q94+Q95+Q96+Q97+Q98+Q99+Q100+Q101+Q102+Q103+Q104+Q105+Q106+Q107+Q108+Q109+Q110+Q111+Q112+Q113+Q114+Q115+Q116+Q117+Q118-Q121,1)</f>
        <v>0</v>
      </c>
      <c r="S126" s="265">
        <f>ROUND(S67+S68+S69+S70+S71+S72+S73+S74+S75+S76+S77+S78+S79+S80+S81+S82+S83+S84+S85+S86+S87+S88+S89+S90+S91+S92+S93+S94+S95+S96+S97+S98+S99+S100+S101+S102+S103+S104+S105+S106+S107+S108+S109+S110+S111+S112+S113+S114+S115+S116+S117+S118-S121,1)</f>
        <v>0</v>
      </c>
      <c r="T126" s="265">
        <f>ROUND(T67+T68+T69+T70+T71+T72+T73+T74+T75+T76+T77+T78+T79+T80+T81+T82+T83+T84+T85+T86+T87+T88+T89+T90+T91+T92+T93+T94+T95+T96+T97+T98+T99+T100+T101+T102+T103+T104+T105+T106+T107+T108+T109+T110+T111+T112+T113+T114+T115+T116+T117+T118-T121,1)</f>
        <v>0</v>
      </c>
      <c r="U126" s="265">
        <f>ROUND(U67+U68+U69+U70+U71+U72+U73+U74+U75+U76+U77+U78+U79+U80+U81+U82+U83+U84+U85+U86+U87+U88+U89+U90+U91+U92+U93+U94+U95+U96+U97+U98+U99+U100+U101+U102+U103+U104+U105+U106+U107+U108+U109+U110+U111+U112+U113+U114+U115+U116+U117+U118-U121,1)</f>
        <v>0</v>
      </c>
      <c r="V126" s="265">
        <f>ROUND(V67+V68+V69+V70+V71+V72+V73+V74+V75+V76+V77+V78+V79+V80+V81+V82+V83+V84+V85+V86+V87+V88+V89+V90+V91+V92+V93+V94+V95+V96+V97+V98+V99+V100+V101+V102+V103+V104+V105+V106+V107+V108+V109+V110+V111+V112+V113+V114+V115+V116+V117+V118-V121,1)</f>
        <v>0</v>
      </c>
      <c r="X126" s="265">
        <f>ROUND(X67+X68+X69+X70+X71+X72+X73+X74+X75+X76+X77+X78+X79+X80+X81+X82+X83+X84+X85+X86+X87+X88+X89+X90+X91+X92+X93+X94+X95+X96+X97+X98+X99+X100+X101+X102+X103+X104+X105+X106+X107+X108+X109+X110+X111+X112+X113+X114+X115+X116+X117+X118-X121,1)</f>
        <v>0</v>
      </c>
      <c r="Y126" s="265">
        <f>ROUND(Y67+Y68+Y69+Y70+Y71+Y72+Y73+Y74+Y75+Y76+Y77+Y78+Y79+Y80+Y81+Y82+Y83+Y84+Y85+Y86+Y87+Y88+Y89+Y90+Y91+Y92+Y93+Y94+Y95+Y96+Y97+Y98+Y99+Y100+Y101+Y102+Y103+Y104+Y105+Y106+Y107+Y108+Y109+Y110+Y111+Y112+Y113+Y114+Y115+Y116+Y117+Y118-Y121,1)</f>
        <v>0</v>
      </c>
      <c r="Z126" s="265">
        <f>ROUND(Z67+Z68+Z69+Z70+Z71+Z72+Z73+Z74+Z75+Z76+Z77+Z78+Z79+Z80+Z81+Z82+Z83+Z84+Z85+Z86+Z87+Z88+Z89+Z90+Z91+Z92+Z93+Z94+Z95+Z96+Z97+Z98+Z99+Z100+Z101+Z102+Z103+Z104+Z105+Z106+Z107+Z108+Z109+Z110+Z111+Z112+Z113+Z114+Z115+Z116+Z117+Z118-Z121,1)</f>
        <v>0</v>
      </c>
      <c r="AA126" s="265">
        <f>ROUND(AA67+AA68+AA69+AA70+AA71+AA72+AA73+AA74+AA75+AA76+AA77+AA78+AA79+AA80+AA81+AA82+AA83+AA84+AA85+AA86+AA87+AA88+AA89+AA90+AA91+AA92+AA93+AA94+AA95+AA96+AA97+AA98+AA99+AA100+AA101+AA102+AA103+AA104+AA105+AA106+AA107+AA108+AA109+AA110+AA111+AA112+AA113+AA114+AA115+AA116+AA117+AA118-AA121,1)</f>
        <v>0</v>
      </c>
      <c r="AC126" s="265">
        <f>ROUND(AC67+AC68+AC69+AC70+AC71+AC72+AC73+AC74+AC75+AC76+AC77+AC78+AC79+AC80+AC81+AC82+AC83+AC84+AC85+AC86+AC87+AC88+AC89+AC90+AC91+AC92+AC93+AC94+AC95+AC96+AC97+AC98+AC99+AC100+AC101+AC102+AC103+AC104+AC105+AC106+AC107+AC108+AC109+AC110+AC111+AC112+AC113+AC114+AC115+AC116+AC117+AC118-AC121,1)</f>
        <v>0</v>
      </c>
      <c r="AD126" s="265">
        <f>ROUND(AD67+AD68+AD69+AD70+AD71+AD72+AD73+AD74+AD75+AD76+AD77+AD78+AD79+AD80+AD81+AD82+AD83+AD84+AD85+AD86+AD87+AD88+AD89+AD90+AD91+AD92+AD93+AD94+AD95+AD96+AD97+AD98+AD99+AD100+AD101+AD102+AD103+AD104+AD105+AD106+AD107+AD108+AD109+AD110+AD111+AD112+AD113+AD114+AD115+AD116+AD117+AD118-AD121,1)</f>
        <v>0</v>
      </c>
    </row>
    <row r="127">
      <c r="A127" t="inlineStr">
        <is>
          <t>[vazio] cod 8 Equity in affiliates: dentro de "Outras receitas (despesas) operacionais" na planilha</t>
        </is>
      </c>
      <c r="C127" t="inlineStr">
        <is>
          <t>[linha bruta, sem código; lançada nas linhas abaixo]</t>
        </is>
      </c>
      <c r="D127" s="265" t="n"/>
      <c r="E127" s="265" t="n"/>
      <c r="F127" s="265" t="n"/>
      <c r="G127" s="265" t="n"/>
      <c r="I127" s="265" t="n"/>
      <c r="J127" s="265" t="n"/>
      <c r="K127" s="265" t="n"/>
      <c r="L127" s="265" t="n"/>
      <c r="N127" s="265" t="n"/>
      <c r="O127" s="265" t="n"/>
      <c r="P127" s="265" t="n"/>
      <c r="Q127" s="265" t="n"/>
      <c r="S127" s="265" t="n"/>
      <c r="T127" s="265" t="n"/>
      <c r="U127" s="265" t="n"/>
      <c r="V127" s="265" t="n"/>
      <c r="X127" s="265" t="n"/>
      <c r="Y127" s="265" t="n"/>
      <c r="Z127" s="265" t="n"/>
      <c r="AA127" s="265" t="n"/>
      <c r="AC127" s="265" t="n"/>
      <c r="AD127" s="265" t="n"/>
    </row>
    <row r="128">
      <c r="A128" t="inlineStr">
        <is>
          <t>[vazio] cod 20 Goodwill: dentro do intangivel</t>
        </is>
      </c>
      <c r="C128" t="inlineStr">
        <is>
          <t>[linha bruta, sem código; lançada nas linhas abaixo]</t>
        </is>
      </c>
      <c r="D128" s="265" t="n"/>
      <c r="E128" s="265" t="n"/>
      <c r="F128" s="265" t="n"/>
      <c r="G128" s="265" t="n"/>
      <c r="I128" s="265" t="n"/>
      <c r="J128" s="265" t="n"/>
      <c r="K128" s="265" t="n"/>
      <c r="L128" s="265" t="n"/>
      <c r="N128" s="265" t="n"/>
      <c r="O128" s="265" t="n"/>
      <c r="P128" s="265" t="n"/>
      <c r="Q128" s="265" t="n"/>
      <c r="S128" s="265" t="n"/>
      <c r="T128" s="265" t="n"/>
      <c r="U128" s="265" t="n"/>
      <c r="V128" s="265" t="n"/>
      <c r="X128" s="265" t="n"/>
      <c r="Y128" s="265" t="n"/>
      <c r="Z128" s="265" t="n"/>
      <c r="AA128" s="265" t="n"/>
      <c r="AC128" s="265" t="n"/>
      <c r="AD128" s="265" t="n"/>
    </row>
    <row r="129">
      <c r="A129" t="inlineStr">
        <is>
          <t>[vazio] cod 28 Revolver: sem linha propria</t>
        </is>
      </c>
      <c r="C129" t="inlineStr">
        <is>
          <t>[linha bruta, sem código; lançada nas linhas abaixo]</t>
        </is>
      </c>
      <c r="D129" s="265" t="n"/>
      <c r="E129" s="265" t="n"/>
      <c r="F129" s="265" t="n"/>
      <c r="G129" s="265" t="n"/>
      <c r="I129" s="265" t="n"/>
      <c r="J129" s="265" t="n"/>
      <c r="K129" s="265" t="n"/>
      <c r="L129" s="265" t="n"/>
      <c r="N129" s="265" t="n"/>
      <c r="O129" s="265" t="n"/>
      <c r="P129" s="265" t="n"/>
      <c r="Q129" s="265" t="n"/>
      <c r="S129" s="265" t="n"/>
      <c r="T129" s="265" t="n"/>
      <c r="U129" s="265" t="n"/>
      <c r="V129" s="265" t="n"/>
      <c r="X129" s="265" t="n"/>
      <c r="Y129" s="265" t="n"/>
      <c r="Z129" s="265" t="n"/>
      <c r="AA129" s="265" t="n"/>
      <c r="AC129" s="265" t="n"/>
      <c r="AD129" s="265" t="n"/>
    </row>
    <row r="130">
      <c r="A130" t="inlineStr">
        <is>
          <t>[vazio] cod 32 Convertible debt: inexistente</t>
        </is>
      </c>
      <c r="C130" t="inlineStr">
        <is>
          <t>[linha bruta, sem código; lançada nas linhas abaixo]</t>
        </is>
      </c>
      <c r="D130" s="265" t="n"/>
      <c r="E130" s="265" t="n"/>
      <c r="F130" s="265" t="n"/>
      <c r="G130" s="265" t="n"/>
      <c r="I130" s="265" t="n"/>
      <c r="J130" s="265" t="n"/>
      <c r="K130" s="265" t="n"/>
      <c r="L130" s="265" t="n"/>
      <c r="N130" s="265" t="n"/>
      <c r="O130" s="265" t="n"/>
      <c r="P130" s="265" t="n"/>
      <c r="Q130" s="265" t="n"/>
      <c r="S130" s="265" t="n"/>
      <c r="T130" s="265" t="n"/>
      <c r="U130" s="265" t="n"/>
      <c r="V130" s="265" t="n"/>
      <c r="X130" s="265" t="n"/>
      <c r="Y130" s="265" t="n"/>
      <c r="Z130" s="265" t="n"/>
      <c r="AA130" s="265" t="n"/>
      <c r="AC130" s="265" t="n"/>
      <c r="AD130" s="265" t="n"/>
    </row>
    <row r="131">
      <c r="A131" t="inlineStr">
        <is>
          <t>[vazio] cod 36 Convertible Preferred Stock: inexistente</t>
        </is>
      </c>
      <c r="C131" t="inlineStr">
        <is>
          <t>[linha bruta, sem código; lançada nas linhas abaixo]</t>
        </is>
      </c>
      <c r="D131" s="265" t="n"/>
      <c r="E131" s="265" t="n"/>
      <c r="F131" s="265" t="n"/>
      <c r="G131" s="265" t="n"/>
      <c r="I131" s="265" t="n"/>
      <c r="J131" s="265" t="n"/>
      <c r="K131" s="265" t="n"/>
      <c r="L131" s="265" t="n"/>
      <c r="N131" s="265" t="n"/>
      <c r="O131" s="265" t="n"/>
      <c r="P131" s="265" t="n"/>
      <c r="Q131" s="265" t="n"/>
      <c r="S131" s="265" t="n"/>
      <c r="T131" s="265" t="n"/>
      <c r="U131" s="265" t="n"/>
      <c r="V131" s="265" t="n"/>
      <c r="X131" s="265" t="n"/>
      <c r="Y131" s="265" t="n"/>
      <c r="Z131" s="265" t="n"/>
      <c r="AA131" s="265" t="n"/>
      <c r="AC131" s="265" t="n"/>
      <c r="AD131" s="265" t="n"/>
    </row>
    <row r="132">
      <c r="D132" s="265" t="n"/>
      <c r="E132" s="265" t="n"/>
      <c r="F132" s="265" t="n"/>
      <c r="G132" s="265" t="n"/>
      <c r="I132" s="265" t="n"/>
      <c r="J132" s="265" t="n"/>
      <c r="K132" s="265" t="n"/>
      <c r="L132" s="265" t="n"/>
      <c r="N132" s="265" t="n"/>
      <c r="O132" s="265" t="n"/>
      <c r="P132" s="265" t="n"/>
      <c r="Q132" s="265" t="n"/>
      <c r="S132" s="265" t="n"/>
      <c r="T132" s="265" t="n"/>
      <c r="U132" s="265" t="n"/>
      <c r="V132" s="265" t="n"/>
      <c r="X132" s="265" t="n"/>
      <c r="Y132" s="265" t="n"/>
      <c r="Z132" s="265" t="n"/>
      <c r="AA132" s="265" t="n"/>
      <c r="AC132" s="265" t="n"/>
      <c r="AD132" s="265" t="n"/>
    </row>
    <row r="133">
      <c r="A133" t="inlineStr">
        <is>
          <t>DRIVERS DE RECEITA (codigos 45+): receita por natureza e por controlada (R$ milhoes, UNID moeda, fator 1) e KPIs operacionais (UNID un) da Planilha de Fundamentos.</t>
        </is>
      </c>
      <c r="C133" t="inlineStr">
        <is>
          <t>[linha bruta, sem código; lançada nas linhas abaixo]</t>
        </is>
      </c>
      <c r="D133" s="265" t="n"/>
      <c r="E133" s="265" t="n"/>
      <c r="F133" s="265" t="n"/>
      <c r="G133" s="265" t="n"/>
      <c r="I133" s="265" t="n"/>
      <c r="J133" s="265" t="n"/>
      <c r="K133" s="265" t="n"/>
      <c r="L133" s="265" t="n"/>
      <c r="N133" s="265" t="n"/>
      <c r="O133" s="265" t="n"/>
      <c r="P133" s="265" t="n"/>
      <c r="Q133" s="265" t="n"/>
      <c r="S133" s="265" t="n"/>
      <c r="T133" s="265" t="n"/>
      <c r="U133" s="265" t="n"/>
      <c r="V133" s="265" t="n"/>
      <c r="X133" s="265" t="n"/>
      <c r="Y133" s="265" t="n"/>
      <c r="Z133" s="265" t="n"/>
      <c r="AA133" s="265" t="n"/>
      <c r="AC133" s="265" t="n"/>
      <c r="AD133" s="265" t="n"/>
    </row>
    <row r="134">
      <c r="A134" t="inlineStr">
        <is>
          <t>Receita liquida de vendas e prestacao de servicos (Consolidado l.11) · fonte · unid. moeda</t>
        </is>
      </c>
      <c r="B134" t="n">
        <v>45</v>
      </c>
      <c r="C134" t="inlineStr">
        <is>
          <t>Receita liquida de vendas e prestacao de servicos (Consolida</t>
        </is>
      </c>
      <c r="D134" s="265" t="n">
        <v>2228989.279886</v>
      </c>
      <c r="E134" s="265" t="n">
        <v>2434439.720114</v>
      </c>
      <c r="F134" s="265" t="n">
        <v>3035233</v>
      </c>
      <c r="G134" s="265" t="n">
        <v>3306956</v>
      </c>
      <c r="I134" s="265" t="n">
        <v>3513118.01274</v>
      </c>
      <c r="J134" s="265" t="n">
        <v>4128041.35583</v>
      </c>
      <c r="K134" s="265" t="n">
        <v>5325289.471412</v>
      </c>
      <c r="L134" s="265" t="n">
        <v>5865371.577861</v>
      </c>
      <c r="N134" s="265" t="n">
        <v>5777433.838496</v>
      </c>
      <c r="O134" s="265" t="n">
        <v>6044163.703194</v>
      </c>
      <c r="P134" s="265" t="n">
        <v>6692131.45831</v>
      </c>
      <c r="Q134" s="265" t="n">
        <v>7086905.11311</v>
      </c>
      <c r="S134" s="265" t="n">
        <v>7163345.65164</v>
      </c>
      <c r="T134" s="265" t="n">
        <v>7938094.44039</v>
      </c>
      <c r="U134" s="265" t="n">
        <v>8358224.467</v>
      </c>
      <c r="V134" s="265" t="n">
        <v>8796819.27012</v>
      </c>
      <c r="X134" s="265" t="n">
        <v>8189747.53867</v>
      </c>
      <c r="Y134" s="265" t="n">
        <v>8295850.26633</v>
      </c>
      <c r="Z134" s="265" t="n">
        <v>8958100.303409999</v>
      </c>
      <c r="AA134" s="265" t="n">
        <v>9041600.200850001</v>
      </c>
      <c r="AC134" s="265" t="n">
        <v>8877849.953640001</v>
      </c>
      <c r="AD134" s="265" t="n">
        <v>9488048.60035</v>
      </c>
    </row>
    <row r="135">
      <c r="A135" t="inlineStr">
        <is>
          <t>Receita liquida de construcao (Consolidado l.12; concessoes - ICPC 01) · fonte · unid. moeda</t>
        </is>
      </c>
      <c r="B135" t="n">
        <v>46</v>
      </c>
      <c r="C135" t="inlineStr">
        <is>
          <t xml:space="preserve">Receita liquida de construcao (Consolidado l.12; concessoes </t>
        </is>
      </c>
      <c r="D135" s="265" t="n">
        <v>0</v>
      </c>
      <c r="E135" s="265" t="n">
        <v>0</v>
      </c>
      <c r="F135" s="265" t="n">
        <v>0</v>
      </c>
      <c r="G135" s="265" t="n">
        <v>0</v>
      </c>
      <c r="I135" s="265" t="n">
        <v>0</v>
      </c>
      <c r="J135" s="265" t="n">
        <v>0</v>
      </c>
      <c r="K135" s="265" t="n">
        <v>0</v>
      </c>
      <c r="L135" s="265" t="n">
        <v>0</v>
      </c>
      <c r="N135" s="265" t="n">
        <v>14312.97656</v>
      </c>
      <c r="O135" s="265" t="n">
        <v>10787.48175</v>
      </c>
      <c r="P135" s="265" t="n">
        <v>57521.54169</v>
      </c>
      <c r="Q135" s="265" t="n">
        <v>92884.88688999999</v>
      </c>
      <c r="S135" s="265" t="n">
        <v>118308.26324</v>
      </c>
      <c r="T135" s="265" t="n">
        <v>223030.71139</v>
      </c>
      <c r="U135" s="265" t="n">
        <v>167648.89649</v>
      </c>
      <c r="V135" s="265" t="n">
        <v>209166.69777</v>
      </c>
      <c r="X135" s="265" t="n">
        <v>20009.11337</v>
      </c>
      <c r="Y135" s="265" t="n">
        <v>15237.78054</v>
      </c>
      <c r="Z135" s="265" t="n">
        <v>39488.76117</v>
      </c>
      <c r="AA135" s="265" t="n">
        <v>61195.85187</v>
      </c>
      <c r="AC135" s="265" t="n">
        <v>49969.72591</v>
      </c>
      <c r="AD135" s="265" t="n">
        <v>89118.33869</v>
      </c>
    </row>
    <row r="136">
      <c r="A136" t="inlineStr">
        <is>
          <t>Receita liquida de renovacao de frota / venda de ativos (Consolidado l.13) · fonte · unid. moeda</t>
        </is>
      </c>
      <c r="B136" t="n">
        <v>47</v>
      </c>
      <c r="C136" t="inlineStr">
        <is>
          <t>Receita liquida de renovacao de frota / venda de ativos (Con</t>
        </is>
      </c>
      <c r="D136" s="265" t="n">
        <v>391116.37603</v>
      </c>
      <c r="E136" s="265" t="n">
        <v>714626.62397</v>
      </c>
      <c r="F136" s="265" t="n">
        <v>923047</v>
      </c>
      <c r="G136" s="265" t="n">
        <v>831811</v>
      </c>
      <c r="I136" s="265" t="n">
        <v>1017079</v>
      </c>
      <c r="J136" s="265" t="n">
        <v>1259106</v>
      </c>
      <c r="K136" s="265" t="n">
        <v>1498061</v>
      </c>
      <c r="L136" s="265" t="n">
        <v>1475814.70045</v>
      </c>
      <c r="N136" s="265" t="n">
        <v>1648297.00617</v>
      </c>
      <c r="O136" s="265" t="n">
        <v>1508684.99383</v>
      </c>
      <c r="P136" s="265" t="n">
        <v>1568456</v>
      </c>
      <c r="Q136" s="265" t="n">
        <v>1342034</v>
      </c>
      <c r="S136" s="265" t="n">
        <v>1784942.51437</v>
      </c>
      <c r="T136" s="265" t="n">
        <v>2066065.037</v>
      </c>
      <c r="U136" s="265" t="n">
        <v>2264617.23902</v>
      </c>
      <c r="V136" s="265" t="n">
        <v>1647822.7367</v>
      </c>
      <c r="X136" s="265" t="n">
        <v>2034877.95962</v>
      </c>
      <c r="Y136" s="265" t="n">
        <v>2029698.01446</v>
      </c>
      <c r="Z136" s="265" t="n">
        <v>2103344.36349</v>
      </c>
      <c r="AA136" s="265" t="n">
        <v>2016695.92475</v>
      </c>
      <c r="AC136" s="265" t="n">
        <v>1996478.60215</v>
      </c>
      <c r="AD136" s="265" t="n">
        <v>1671494.9194</v>
      </c>
    </row>
    <row r="137">
      <c r="A137" t="inlineStr">
        <is>
          <t>Receita liquida - JSL (aba JSL l.23) · fonte · unid. moeda</t>
        </is>
      </c>
      <c r="B137" t="n">
        <v>48</v>
      </c>
      <c r="C137" t="inlineStr">
        <is>
          <t>Receita liquida - JSL (aba JSL l.23)</t>
        </is>
      </c>
      <c r="D137" s="265" t="n">
        <v>868171.27987</v>
      </c>
      <c r="E137" s="265" t="n">
        <v>922366.763344</v>
      </c>
      <c r="F137" s="265" t="n">
        <v>1177767.629515</v>
      </c>
      <c r="G137" s="265" t="n">
        <v>1327763.050508</v>
      </c>
      <c r="I137" s="265" t="n">
        <v>1296459.404967</v>
      </c>
      <c r="J137" s="265" t="n">
        <v>1438682.634673</v>
      </c>
      <c r="K137" s="265" t="n">
        <v>1624818.07872</v>
      </c>
      <c r="L137" s="265" t="n">
        <v>1662445.197142</v>
      </c>
      <c r="N137" s="265" t="n">
        <v>1563577.828957</v>
      </c>
      <c r="O137" s="265" t="n">
        <v>1839575.226492</v>
      </c>
      <c r="P137" s="265" t="n">
        <v>2010125.053543</v>
      </c>
      <c r="Q137" s="265" t="n">
        <v>2161366.092574</v>
      </c>
      <c r="S137" s="265" t="n">
        <v>2070340.507097</v>
      </c>
      <c r="T137" s="265" t="n">
        <v>2142594.740855</v>
      </c>
      <c r="U137" s="265" t="n">
        <v>2352356.008492</v>
      </c>
      <c r="V137" s="265" t="n">
        <v>2490966.844766</v>
      </c>
      <c r="X137" s="265" t="n">
        <v>2319934.39908</v>
      </c>
      <c r="Y137" s="265" t="n">
        <v>2381758.57342</v>
      </c>
      <c r="Z137" s="265" t="n">
        <v>2484893.22322</v>
      </c>
      <c r="AA137" s="265" t="n">
        <v>2454022.04209</v>
      </c>
      <c r="AC137" s="265" t="n">
        <v>2372711.51418</v>
      </c>
      <c r="AD137" s="265" t="n">
        <v>2498854.03582</v>
      </c>
    </row>
    <row r="138">
      <c r="A138" t="inlineStr">
        <is>
          <t>Receita liquida de servicos - JSL (aba JSL l.24) · fonte · unid. moeda</t>
        </is>
      </c>
      <c r="B138" t="n">
        <v>49</v>
      </c>
      <c r="C138" t="inlineStr">
        <is>
          <t>Receita liquida de servicos - JSL (aba JSL l.24)</t>
        </is>
      </c>
      <c r="D138" s="265" t="n">
        <v>853242.52604</v>
      </c>
      <c r="E138" s="265" t="n">
        <v>902462.956154</v>
      </c>
      <c r="F138" s="265" t="n">
        <v>1150147.687295</v>
      </c>
      <c r="G138" s="265" t="n">
        <v>1306865.315978</v>
      </c>
      <c r="I138" s="265" t="n">
        <v>1267613.594237</v>
      </c>
      <c r="J138" s="265" t="n">
        <v>1372718.656313</v>
      </c>
      <c r="K138" s="265" t="n">
        <v>1570792.27938</v>
      </c>
      <c r="L138" s="265" t="n">
        <v>1607670.524482</v>
      </c>
      <c r="N138" s="265" t="n">
        <v>1505456.944937</v>
      </c>
      <c r="O138" s="265" t="n">
        <v>1779168.148592</v>
      </c>
      <c r="P138" s="265" t="n">
        <v>1942875.783983</v>
      </c>
      <c r="Q138" s="265" t="n">
        <v>2071473.266424</v>
      </c>
      <c r="S138" s="265" t="n">
        <v>1993449.825677</v>
      </c>
      <c r="T138" s="265" t="n">
        <v>2073172.417475</v>
      </c>
      <c r="U138" s="265" t="n">
        <v>2284423.721182</v>
      </c>
      <c r="V138" s="265" t="n">
        <v>2411338.751076</v>
      </c>
      <c r="X138" s="265" t="n">
        <v>2229455.42087</v>
      </c>
      <c r="Y138" s="265" t="n">
        <v>2274311.85248</v>
      </c>
      <c r="Z138" s="265" t="n">
        <v>2369647.04483</v>
      </c>
      <c r="AA138" s="265" t="n">
        <v>2354727.42575</v>
      </c>
      <c r="AC138" s="265" t="n">
        <v>2272764.46455</v>
      </c>
      <c r="AD138" s="265" t="n">
        <v>2409503.95348</v>
      </c>
    </row>
    <row r="139">
      <c r="A139" t="inlineStr">
        <is>
          <t>Receita liquida - Movida (aba Movida l.15) · fonte · unid. moeda</t>
        </is>
      </c>
      <c r="B139" t="n">
        <v>50</v>
      </c>
      <c r="C139" t="inlineStr">
        <is>
          <t>Receita liquida - Movida (aba Movida l.15)</t>
        </is>
      </c>
      <c r="D139" s="265" t="n">
        <v>804889</v>
      </c>
      <c r="E139" s="265" t="n">
        <v>1211498.77851</v>
      </c>
      <c r="F139" s="265" t="n">
        <v>1575241</v>
      </c>
      <c r="G139" s="265" t="n">
        <v>1740993.754074</v>
      </c>
      <c r="I139" s="265" t="n">
        <v>1905657.076952</v>
      </c>
      <c r="J139" s="265" t="n">
        <v>2230992.16766</v>
      </c>
      <c r="K139" s="265" t="n">
        <v>2536864.066479</v>
      </c>
      <c r="L139" s="265" t="n">
        <v>2626632.792704</v>
      </c>
      <c r="N139" s="265" t="n">
        <v>2703206.25153</v>
      </c>
      <c r="O139" s="265" t="n">
        <v>2479144.29072</v>
      </c>
      <c r="P139" s="265" t="n">
        <v>2666219.94829</v>
      </c>
      <c r="Q139" s="265" t="n">
        <v>2493444.20164</v>
      </c>
      <c r="S139" s="265" t="n">
        <v>3021645.86942</v>
      </c>
      <c r="T139" s="265" t="n">
        <v>3435603.55662</v>
      </c>
      <c r="U139" s="265" t="n">
        <v>3775863.68257</v>
      </c>
      <c r="V139" s="265" t="n">
        <v>3248157.01974</v>
      </c>
      <c r="X139" s="265" t="n">
        <v>3568230.52826</v>
      </c>
      <c r="Y139" s="265" t="n">
        <v>3679005.57345</v>
      </c>
      <c r="Z139" s="265" t="n">
        <v>3765842.76528</v>
      </c>
      <c r="AA139" s="265" t="n">
        <v>3658975.15315</v>
      </c>
      <c r="AC139" s="265" t="n">
        <v>3780644.96646</v>
      </c>
      <c r="AD139" s="265" t="n">
        <v>3765830.20683</v>
      </c>
    </row>
    <row r="140">
      <c r="A140" t="inlineStr">
        <is>
          <t>Receita liquida de servicos - Movida (aba Movida l.16) · fonte · unid. moeda</t>
        </is>
      </c>
      <c r="B140" t="n">
        <v>51</v>
      </c>
      <c r="C140" t="inlineStr">
        <is>
          <t>Receita liquida de servicos - Movida (aba Movida l.16)</t>
        </is>
      </c>
      <c r="D140" s="265" t="n">
        <v>530348.66179</v>
      </c>
      <c r="E140" s="265" t="n">
        <v>538018.73694</v>
      </c>
      <c r="F140" s="265" t="n">
        <v>730620.531958</v>
      </c>
      <c r="G140" s="265" t="n">
        <v>931878.558554</v>
      </c>
      <c r="I140" s="265" t="n">
        <v>931895.052062</v>
      </c>
      <c r="J140" s="265" t="n">
        <v>1002357.66763</v>
      </c>
      <c r="K140" s="265" t="n">
        <v>1126436.479119</v>
      </c>
      <c r="L140" s="265" t="n">
        <v>1222225.612664</v>
      </c>
      <c r="N140" s="265" t="n">
        <v>1239741.70094</v>
      </c>
      <c r="O140" s="265" t="n">
        <v>1233780.83778</v>
      </c>
      <c r="P140" s="265" t="n">
        <v>1297317.71027</v>
      </c>
      <c r="Q140" s="265" t="n">
        <v>1339620.50644</v>
      </c>
      <c r="S140" s="265" t="n">
        <v>1495198.29253</v>
      </c>
      <c r="T140" s="265" t="n">
        <v>1608060.50374</v>
      </c>
      <c r="U140" s="265" t="n">
        <v>1744724.3125</v>
      </c>
      <c r="V140" s="265" t="n">
        <v>1791056.91627</v>
      </c>
      <c r="X140" s="265" t="n">
        <v>1878904.1189</v>
      </c>
      <c r="Y140" s="265" t="n">
        <v>1892632.00983</v>
      </c>
      <c r="Z140" s="265" t="n">
        <v>2010811.57436</v>
      </c>
      <c r="AA140" s="265" t="n">
        <v>2096394.08926</v>
      </c>
      <c r="AC140" s="265" t="n">
        <v>2205616.50379</v>
      </c>
      <c r="AD140" s="265" t="n">
        <v>2295334.6397</v>
      </c>
    </row>
    <row r="141">
      <c r="A141" t="inlineStr">
        <is>
          <t>Receita liquida - Vamos locacao + industria. 1T23+: aba VAMOS - Income Statement l.21 (SIMPAR); 1T20-4T22: Planilha de Fundamentos ANTIGA da Vamos (com concessionarias, ate 3T24), aba VAMOS DRE_BP l.65 (locacoes) + l.130 (customizacao/industria) · fonte · unid. moeda</t>
        </is>
      </c>
      <c r="B141" t="n">
        <v>52</v>
      </c>
      <c r="C141" t="inlineStr">
        <is>
          <t>Receita liquida - Vamos locacao + industria. 1T23+: aba VAMO</t>
        </is>
      </c>
      <c r="D141" s="265" t="n">
        <v>265745.826808</v>
      </c>
      <c r="E141" s="265" t="n">
        <v>273970.729803</v>
      </c>
      <c r="F141" s="265" t="n">
        <v>303688.421312</v>
      </c>
      <c r="G141" s="265" t="n">
        <v>328269.593499</v>
      </c>
      <c r="I141" s="265" t="n">
        <v>366989.043808</v>
      </c>
      <c r="J141" s="265" t="n">
        <v>461856.360135</v>
      </c>
      <c r="K141" s="265" t="n">
        <v>590219.336458</v>
      </c>
      <c r="L141" s="265" t="n">
        <v>715334.382749</v>
      </c>
      <c r="N141" s="265" t="n">
        <v>945322.649895</v>
      </c>
      <c r="O141" s="265" t="n">
        <v>912724.971865</v>
      </c>
      <c r="P141" s="265" t="n">
        <v>984459.24996</v>
      </c>
      <c r="Q141" s="265" t="n">
        <v>705909.904108</v>
      </c>
      <c r="S141" s="265" t="n">
        <v>1077929.02978</v>
      </c>
      <c r="T141" s="265" t="n">
        <v>1207099.88748</v>
      </c>
      <c r="U141" s="265" t="n">
        <v>1221094.74171</v>
      </c>
      <c r="V141" s="265" t="n">
        <v>1193188.259075</v>
      </c>
      <c r="X141" s="265" t="n">
        <v>1332015.835002</v>
      </c>
      <c r="Y141" s="265" t="n">
        <v>1411665.932279</v>
      </c>
      <c r="Z141" s="265" t="n">
        <v>1529007.232168</v>
      </c>
      <c r="AA141" s="265" t="n">
        <v>1483023</v>
      </c>
      <c r="AC141" s="265" t="n">
        <v>1620289.839565</v>
      </c>
      <c r="AD141" s="265" t="n">
        <v>1564305.164472</v>
      </c>
    </row>
    <row r="142">
      <c r="A142" t="inlineStr">
        <is>
          <t>Receita liquida de servicos de locacao - Vamos (1T23+: l.23 SIMPAR; 1T20-4T22: planilha antiga Vamos l.66) · fonte · unid. moeda</t>
        </is>
      </c>
      <c r="B142" t="n">
        <v>53</v>
      </c>
      <c r="C142" t="inlineStr">
        <is>
          <t xml:space="preserve">Receita liquida de servicos de locacao - Vamos (1T23+: l.23 </t>
        </is>
      </c>
      <c r="D142" s="265" t="n">
        <v>199184.27502</v>
      </c>
      <c r="E142" s="265" t="n">
        <v>225108.53423</v>
      </c>
      <c r="F142" s="265" t="n">
        <v>250832.69783</v>
      </c>
      <c r="G142" s="265" t="n">
        <v>278683.27376</v>
      </c>
      <c r="I142" s="265" t="n">
        <v>306159.0249</v>
      </c>
      <c r="J142" s="265" t="n">
        <v>383464.06758</v>
      </c>
      <c r="K142" s="265" t="n">
        <v>435804.83879</v>
      </c>
      <c r="L142" s="265" t="n">
        <v>511047.03223</v>
      </c>
      <c r="N142" s="265" t="n">
        <v>595694.33335</v>
      </c>
      <c r="O142" s="265" t="n">
        <v>656336.66665</v>
      </c>
      <c r="P142" s="265" t="n">
        <v>700141</v>
      </c>
      <c r="Q142" s="265" t="n">
        <v>773892.95826</v>
      </c>
      <c r="S142" s="265" t="n">
        <v>838378</v>
      </c>
      <c r="T142" s="265" t="n">
        <v>921710</v>
      </c>
      <c r="U142" s="265" t="n">
        <v>927638</v>
      </c>
      <c r="V142" s="265" t="n">
        <v>962055.71644</v>
      </c>
      <c r="X142" s="265" t="n">
        <v>960613.34328</v>
      </c>
      <c r="Y142" s="265" t="n">
        <v>1002130.08166</v>
      </c>
      <c r="Z142" s="265" t="n">
        <v>1038691.478707</v>
      </c>
      <c r="AA142" s="265" t="n">
        <v>1071583.096353</v>
      </c>
      <c r="AC142" s="265" t="n">
        <v>1054381.49487</v>
      </c>
      <c r="AD142" s="265" t="n">
        <v>1087876.80806</v>
      </c>
    </row>
    <row r="143">
      <c r="A143" t="inlineStr">
        <is>
          <t>Receita liquida - Concessionarias da Vamos (1T20-4T22; planilha antiga Vamos l.97; a partir de 2023 dentro da Automob) · fonte · unid. moeda</t>
        </is>
      </c>
      <c r="B143" t="n">
        <v>54</v>
      </c>
      <c r="C143" t="inlineStr">
        <is>
          <t>Receita liquida - Concessionarias da Vamos (1T20-4T22; plani</t>
        </is>
      </c>
      <c r="D143" s="265" t="n">
        <v>278363.39997</v>
      </c>
      <c r="E143" s="265" t="n">
        <v>412521.10149</v>
      </c>
      <c r="F143" s="265" t="n">
        <v>526580.10199</v>
      </c>
      <c r="G143" s="265" t="n">
        <v>478959.53918</v>
      </c>
      <c r="I143" s="265" t="n">
        <v>578190.47126</v>
      </c>
      <c r="J143" s="265" t="n">
        <v>736840.08429</v>
      </c>
      <c r="K143" s="265" t="n">
        <v>787921.01835</v>
      </c>
      <c r="L143" s="265" t="n">
        <v>676102.41582</v>
      </c>
      <c r="N143" s="265" t="n"/>
      <c r="O143" s="265" t="n"/>
      <c r="P143" s="265" t="n"/>
      <c r="Q143" s="265" t="n"/>
      <c r="S143" s="265" t="n"/>
      <c r="T143" s="265" t="n"/>
      <c r="U143" s="265" t="n"/>
      <c r="V143" s="265" t="n"/>
      <c r="X143" s="265" t="n"/>
      <c r="Y143" s="265" t="n"/>
      <c r="Z143" s="265" t="n"/>
      <c r="AA143" s="265" t="n"/>
      <c r="AC143" s="265" t="n"/>
      <c r="AD143" s="265" t="n"/>
    </row>
    <row r="144">
      <c r="A144" t="inlineStr">
        <is>
          <t>Receita liquida - Automob (aba Automob - Site l.29; desde 1T23) · fonte · unid. moeda</t>
        </is>
      </c>
      <c r="B144" t="n">
        <v>55</v>
      </c>
      <c r="C144" t="inlineStr">
        <is>
          <t>Receita liquida - Automob (aba Automob - Site l.29; desde 1T</t>
        </is>
      </c>
      <c r="D144" s="265" t="n"/>
      <c r="E144" s="265" t="n"/>
      <c r="F144" s="265" t="n"/>
      <c r="G144" s="265" t="n"/>
      <c r="I144" s="265" t="n"/>
      <c r="J144" s="265" t="n"/>
      <c r="K144" s="265" t="n"/>
      <c r="L144" s="265" t="n"/>
      <c r="N144" s="265" t="n">
        <v>2137910</v>
      </c>
      <c r="O144" s="265" t="n">
        <v>2204250</v>
      </c>
      <c r="P144" s="265" t="n">
        <v>2483790</v>
      </c>
      <c r="Q144" s="265" t="n">
        <v>2695640</v>
      </c>
      <c r="S144" s="265" t="n">
        <v>2681521.926</v>
      </c>
      <c r="T144" s="265" t="n">
        <v>3050089.37</v>
      </c>
      <c r="U144" s="265" t="n">
        <v>3110245.079</v>
      </c>
      <c r="V144" s="265" t="n">
        <v>3144697.977</v>
      </c>
      <c r="X144" s="265" t="n">
        <v>2907883.374879</v>
      </c>
      <c r="Y144" s="265" t="n">
        <v>3087332.639111</v>
      </c>
      <c r="Z144" s="265" t="n">
        <v>3465492.43777</v>
      </c>
      <c r="AA144" s="265" t="n">
        <v>3354690.20929</v>
      </c>
      <c r="AC144" s="265" t="n">
        <v>3126492.63894</v>
      </c>
      <c r="AD144" s="265" t="n">
        <v>3455111.38736</v>
      </c>
    </row>
    <row r="145">
      <c r="A145" t="inlineStr">
        <is>
          <t>Receita liquida - CS Brasil (aba CS Brasil l.22) · fonte · unid. moeda</t>
        </is>
      </c>
      <c r="B145" t="n">
        <v>56</v>
      </c>
      <c r="C145" t="inlineStr">
        <is>
          <t>Receita liquida - CS Brasil (aba CS Brasil l.22)</t>
        </is>
      </c>
      <c r="D145" s="265" t="n">
        <v>253159.64785</v>
      </c>
      <c r="E145" s="265" t="n">
        <v>280221.25865</v>
      </c>
      <c r="F145" s="265" t="n">
        <v>175244.142446</v>
      </c>
      <c r="G145" s="265" t="n">
        <v>125001.64548</v>
      </c>
      <c r="I145" s="265" t="n">
        <v>120592.2828</v>
      </c>
      <c r="J145" s="265" t="n">
        <v>135577.65826</v>
      </c>
      <c r="K145" s="265" t="n">
        <v>185379.70771</v>
      </c>
      <c r="L145" s="265" t="n">
        <v>275848.9468</v>
      </c>
      <c r="N145" s="265" t="n">
        <v>175432.02768</v>
      </c>
      <c r="O145" s="265" t="n">
        <v>176426.14706</v>
      </c>
      <c r="P145" s="265" t="n">
        <v>176482.27026</v>
      </c>
      <c r="Q145" s="265" t="n">
        <v>153209.68642</v>
      </c>
      <c r="S145" s="265" t="n">
        <v>143818.06892</v>
      </c>
      <c r="T145" s="265" t="n">
        <v>153542.71196</v>
      </c>
      <c r="U145" s="265" t="n">
        <v>151235.04785</v>
      </c>
      <c r="V145" s="265" t="n">
        <v>144917.85129</v>
      </c>
      <c r="X145" s="265" t="n">
        <v>146346.48783</v>
      </c>
      <c r="Y145" s="265" t="n">
        <v>183873.45888</v>
      </c>
      <c r="Z145" s="265" t="n">
        <v>186550.60318</v>
      </c>
      <c r="AA145" s="265" t="n">
        <v>173982.58148</v>
      </c>
      <c r="AC145" s="265" t="n">
        <v>138338.67604</v>
      </c>
      <c r="AD145" s="265" t="n">
        <v>230749.52679</v>
      </c>
    </row>
    <row r="146">
      <c r="A146" t="inlineStr">
        <is>
          <t>Receita liquida - CS Infra (aba CS Infra l.10; desde 1T22; a partir de 2025 sem a Ciclus Rio, vendida) · fonte · unid. moeda</t>
        </is>
      </c>
      <c r="B146" t="n">
        <v>57</v>
      </c>
      <c r="C146" t="inlineStr">
        <is>
          <t>Receita liquida - CS Infra (aba CS Infra l.10; desde 1T22; a</t>
        </is>
      </c>
      <c r="D146" s="265" t="n"/>
      <c r="E146" s="265" t="n"/>
      <c r="F146" s="265" t="n"/>
      <c r="G146" s="265" t="n"/>
      <c r="I146" s="265" t="n">
        <v>98582.54148</v>
      </c>
      <c r="J146" s="265" t="n">
        <v>99051.92402999999</v>
      </c>
      <c r="K146" s="265" t="n">
        <v>101151.80881</v>
      </c>
      <c r="L146" s="265" t="n">
        <v>102359.19871</v>
      </c>
      <c r="N146" s="265" t="n">
        <v>146706.15843</v>
      </c>
      <c r="O146" s="265" t="n">
        <v>156594.06708</v>
      </c>
      <c r="P146" s="265" t="n">
        <v>215896.63183</v>
      </c>
      <c r="Q146" s="265" t="n">
        <v>238418.46435</v>
      </c>
      <c r="S146" s="265" t="n">
        <v>146551.15785</v>
      </c>
      <c r="T146" s="265" t="n">
        <v>275777.0609</v>
      </c>
      <c r="U146" s="265" t="n">
        <v>215816.65142</v>
      </c>
      <c r="V146" s="265" t="n">
        <v>279383.39776</v>
      </c>
      <c r="X146" s="265" t="n">
        <v>42045.55003</v>
      </c>
      <c r="Y146" s="265" t="n">
        <v>42089.97818</v>
      </c>
      <c r="Z146" s="265" t="n">
        <v>71743.17879000001</v>
      </c>
      <c r="AA146" s="265" t="n">
        <v>134135.62926</v>
      </c>
      <c r="AC146" s="265" t="n">
        <v>122336.28311</v>
      </c>
      <c r="AD146" s="265" t="n">
        <v>175851.6919</v>
      </c>
    </row>
    <row r="147">
      <c r="A147" t="inlineStr">
        <is>
          <t>Receita liquida - BBC (aba BBC l.10) · fonte · unid. moeda</t>
        </is>
      </c>
      <c r="B147" t="n">
        <v>58</v>
      </c>
      <c r="C147" t="inlineStr">
        <is>
          <t>Receita liquida - BBC (aba BBC l.10)</t>
        </is>
      </c>
      <c r="D147" s="265" t="n">
        <v>10284.29948</v>
      </c>
      <c r="E147" s="265" t="n">
        <v>10141.09567</v>
      </c>
      <c r="F147" s="265" t="n">
        <v>10644.28845</v>
      </c>
      <c r="G147" s="265" t="n">
        <v>12196.99554</v>
      </c>
      <c r="I147" s="265" t="n">
        <v>15518.83671</v>
      </c>
      <c r="J147" s="265" t="n">
        <v>17604.29878</v>
      </c>
      <c r="K147" s="265" t="n">
        <v>19517.64546</v>
      </c>
      <c r="L147" s="265" t="n">
        <v>24912.92716</v>
      </c>
      <c r="N147" s="265" t="n">
        <v>2690.21527</v>
      </c>
      <c r="O147" s="265" t="n">
        <v>3762.60749</v>
      </c>
      <c r="P147" s="265" t="n">
        <v>3730.96101</v>
      </c>
      <c r="Q147" s="265" t="n">
        <v>3857.59612</v>
      </c>
      <c r="S147" s="265" t="n">
        <v>1903.7001</v>
      </c>
      <c r="T147" s="265" t="n">
        <v>2029.47268</v>
      </c>
      <c r="U147" s="265" t="n">
        <v>2425.04255</v>
      </c>
      <c r="V147" s="265" t="n">
        <v>2901.84133</v>
      </c>
      <c r="X147" s="265" t="n">
        <v>1817.28511</v>
      </c>
      <c r="Y147" s="265" t="n">
        <v>1992.36753</v>
      </c>
      <c r="Z147" s="265" t="n">
        <v>1851.56006</v>
      </c>
      <c r="AA147" s="265" t="n">
        <v>1531.75477</v>
      </c>
      <c r="AC147" s="265" t="n">
        <v>1475.64871</v>
      </c>
      <c r="AD147" s="265" t="n">
        <v>1525.14017</v>
      </c>
    </row>
    <row r="148">
      <c r="A148" t="inlineStr">
        <is>
          <t>Movida RAC - frota final (carros; Movida - Operational data l.8) · fonte · unid. un</t>
        </is>
      </c>
      <c r="B148" t="n">
        <v>59</v>
      </c>
      <c r="C148" t="inlineStr">
        <is>
          <t xml:space="preserve">Movida RAC - frota final (carros; Movida - Operational data </t>
        </is>
      </c>
      <c r="D148" s="265" t="n">
        <v>70213000</v>
      </c>
      <c r="E148" s="265" t="n">
        <v>78453000</v>
      </c>
      <c r="F148" s="265" t="n">
        <v>79888000</v>
      </c>
      <c r="G148" s="265" t="n">
        <v>90671000</v>
      </c>
      <c r="I148" s="265" t="n">
        <v>96572000</v>
      </c>
      <c r="J148" s="265" t="n">
        <v>100403000</v>
      </c>
      <c r="K148" s="265" t="n">
        <v>104987000</v>
      </c>
      <c r="L148" s="265" t="n">
        <v>111632000</v>
      </c>
      <c r="N148" s="265" t="n">
        <v>98373000</v>
      </c>
      <c r="O148" s="265" t="n">
        <v>91632000</v>
      </c>
      <c r="P148" s="265" t="n">
        <v>94273000</v>
      </c>
      <c r="Q148" s="265" t="n">
        <v>113150000</v>
      </c>
      <c r="S148" s="265" t="n">
        <v>110091000</v>
      </c>
      <c r="T148" s="265" t="n">
        <v>108716000</v>
      </c>
      <c r="U148" s="265" t="n">
        <v>110182000</v>
      </c>
      <c r="V148" s="265" t="n">
        <v>121942000</v>
      </c>
      <c r="X148" s="265" t="n">
        <v>113257000</v>
      </c>
      <c r="Y148" s="265" t="n">
        <v>120133000</v>
      </c>
      <c r="Z148" s="265" t="n">
        <v>115498000</v>
      </c>
      <c r="AA148" s="265" t="n">
        <v>130634000</v>
      </c>
      <c r="AC148" s="265" t="n">
        <v>125307000</v>
      </c>
      <c r="AD148" s="265" t="n">
        <v>139785000</v>
      </c>
    </row>
    <row r="149">
      <c r="A149" t="inlineStr">
        <is>
          <t>Movida RAC - numero de diarias (mil; l.16) · fonte · unid. un</t>
        </is>
      </c>
      <c r="B149" t="n">
        <v>60</v>
      </c>
      <c r="C149" t="inlineStr">
        <is>
          <t>Movida RAC - numero de diarias (mil; l.16)</t>
        </is>
      </c>
      <c r="D149" s="265" t="n">
        <v>5067042</v>
      </c>
      <c r="E149" s="265" t="n">
        <v>4618390</v>
      </c>
      <c r="F149" s="265" t="n">
        <v>5143355</v>
      </c>
      <c r="G149" s="265" t="n">
        <v>5281203</v>
      </c>
      <c r="I149" s="265" t="n">
        <v>5224573</v>
      </c>
      <c r="J149" s="265" t="n">
        <v>5677490</v>
      </c>
      <c r="K149" s="265" t="n">
        <v>5888846</v>
      </c>
      <c r="L149" s="265" t="n">
        <v>6111338</v>
      </c>
      <c r="N149" s="265" t="n">
        <v>6218754</v>
      </c>
      <c r="O149" s="265" t="n">
        <v>5837236</v>
      </c>
      <c r="P149" s="265" t="n">
        <v>5819624</v>
      </c>
      <c r="Q149" s="265" t="n">
        <v>5945636</v>
      </c>
      <c r="S149" s="265" t="n">
        <v>6414484</v>
      </c>
      <c r="T149" s="265" t="n">
        <v>6200041</v>
      </c>
      <c r="U149" s="265" t="n">
        <v>6004671</v>
      </c>
      <c r="V149" s="265" t="n">
        <v>5958805</v>
      </c>
      <c r="X149" s="265" t="n">
        <v>6026629</v>
      </c>
      <c r="Y149" s="265" t="n">
        <v>6070355</v>
      </c>
      <c r="Z149" s="265" t="n">
        <v>6084784</v>
      </c>
      <c r="AA149" s="265" t="n">
        <v>6688820</v>
      </c>
      <c r="AC149" s="265" t="n">
        <v>7085315.149551</v>
      </c>
      <c r="AD149" s="265" t="n">
        <v>7412786.999999</v>
      </c>
    </row>
    <row r="150">
      <c r="A150" t="inlineStr">
        <is>
          <t>Movida RAC - taxa de ocupacao (l.17) · fonte · unid. un</t>
        </is>
      </c>
      <c r="B150" t="n">
        <v>61</v>
      </c>
      <c r="C150" t="inlineStr">
        <is>
          <t>Movida RAC - taxa de ocupacao (l.17)</t>
        </is>
      </c>
      <c r="D150" s="265" t="n">
        <v>793</v>
      </c>
      <c r="E150" s="265" t="n">
        <v>796</v>
      </c>
      <c r="F150" s="265" t="n">
        <v>829</v>
      </c>
      <c r="G150" s="265" t="n">
        <v>808</v>
      </c>
      <c r="I150" s="265" t="n">
        <v>761</v>
      </c>
      <c r="J150" s="265" t="n">
        <v>793</v>
      </c>
      <c r="K150" s="265" t="n">
        <v>772</v>
      </c>
      <c r="L150" s="265" t="n">
        <v>766</v>
      </c>
      <c r="N150" s="265" t="n">
        <v>784</v>
      </c>
      <c r="O150" s="265" t="n">
        <v>783</v>
      </c>
      <c r="P150" s="265" t="n">
        <v>811</v>
      </c>
      <c r="Q150" s="265" t="n">
        <v>820</v>
      </c>
      <c r="S150" s="265" t="n">
        <v>802</v>
      </c>
      <c r="T150" s="265" t="n">
        <v>781</v>
      </c>
      <c r="U150" s="265" t="n">
        <v>781</v>
      </c>
      <c r="V150" s="265" t="n">
        <v>749</v>
      </c>
      <c r="X150" s="265" t="n">
        <v>717</v>
      </c>
      <c r="Y150" s="265" t="n">
        <v>741</v>
      </c>
      <c r="Z150" s="265" t="n">
        <v>718</v>
      </c>
      <c r="AA150" s="265" t="n">
        <v>758.469913</v>
      </c>
      <c r="AC150" s="265" t="n">
        <v>772.834169</v>
      </c>
      <c r="AD150" s="265" t="n">
        <v>762.080418</v>
      </c>
    </row>
    <row r="151">
      <c r="A151" t="inlineStr">
        <is>
          <t>Movida RAC - diaria media (R$; l.18) · fonte · unid. un</t>
        </is>
      </c>
      <c r="B151" t="n">
        <v>62</v>
      </c>
      <c r="C151" t="inlineStr">
        <is>
          <t>Movida RAC - diaria media (R$; l.18)</t>
        </is>
      </c>
      <c r="D151" s="265" t="n">
        <v>81742</v>
      </c>
      <c r="E151" s="265" t="n">
        <v>84087</v>
      </c>
      <c r="F151" s="265" t="n">
        <v>96404</v>
      </c>
      <c r="G151" s="265" t="n">
        <v>118614</v>
      </c>
      <c r="I151" s="265" t="n">
        <v>118610</v>
      </c>
      <c r="J151" s="265" t="n">
        <v>115745</v>
      </c>
      <c r="K151" s="265" t="n">
        <v>128557</v>
      </c>
      <c r="L151" s="265" t="n">
        <v>127297</v>
      </c>
      <c r="N151" s="265" t="n">
        <v>126002</v>
      </c>
      <c r="O151" s="265" t="n">
        <v>123362</v>
      </c>
      <c r="P151" s="265" t="n">
        <v>124524</v>
      </c>
      <c r="Q151" s="265" t="n">
        <v>126100</v>
      </c>
      <c r="S151" s="265" t="n">
        <v>130299</v>
      </c>
      <c r="T151" s="265" t="n">
        <v>134541</v>
      </c>
      <c r="U151" s="265" t="n">
        <v>142036</v>
      </c>
      <c r="V151" s="265" t="n">
        <v>150723</v>
      </c>
      <c r="X151" s="265" t="n">
        <v>158045</v>
      </c>
      <c r="Y151" s="265" t="n">
        <v>154171</v>
      </c>
      <c r="Z151" s="265" t="n">
        <v>159266</v>
      </c>
      <c r="AA151" s="265" t="n">
        <v>160587.85571</v>
      </c>
      <c r="AC151" s="265" t="n">
        <v>168451.826808</v>
      </c>
      <c r="AD151" s="265" t="n">
        <v>164725.592339</v>
      </c>
    </row>
    <row r="152">
      <c r="A152" t="inlineStr">
        <is>
          <t>Movida GTF - frota final (carros; l.21) · fonte · unid. un</t>
        </is>
      </c>
      <c r="B152" t="n">
        <v>63</v>
      </c>
      <c r="C152" t="inlineStr">
        <is>
          <t>Movida GTF - frota final (carros; l.21)</t>
        </is>
      </c>
      <c r="D152" s="265" t="n">
        <v>52395000</v>
      </c>
      <c r="E152" s="265" t="n">
        <v>55776000</v>
      </c>
      <c r="F152" s="265" t="n">
        <v>88379000</v>
      </c>
      <c r="G152" s="265" t="n">
        <v>96303000</v>
      </c>
      <c r="I152" s="265" t="n">
        <v>95370000</v>
      </c>
      <c r="J152" s="265" t="n">
        <v>106498000</v>
      </c>
      <c r="K152" s="265" t="n">
        <v>107728000</v>
      </c>
      <c r="L152" s="265" t="n">
        <v>112352000</v>
      </c>
      <c r="N152" s="265" t="n">
        <v>114617000</v>
      </c>
      <c r="O152" s="265" t="n">
        <v>113678000</v>
      </c>
      <c r="P152" s="265" t="n">
        <v>119574000</v>
      </c>
      <c r="Q152" s="265" t="n">
        <v>130781000</v>
      </c>
      <c r="S152" s="265" t="n">
        <v>135628000</v>
      </c>
      <c r="T152" s="265" t="n">
        <v>137648000</v>
      </c>
      <c r="U152" s="265" t="n">
        <v>137405000</v>
      </c>
      <c r="V152" s="265" t="n">
        <v>146543000</v>
      </c>
      <c r="X152" s="265" t="n">
        <v>143794000</v>
      </c>
      <c r="Y152" s="265" t="n">
        <v>142296000</v>
      </c>
      <c r="Z152" s="265" t="n">
        <v>143449000</v>
      </c>
      <c r="AA152" s="265" t="n">
        <v>144207000</v>
      </c>
      <c r="AC152" s="265" t="n">
        <v>141949000</v>
      </c>
      <c r="AD152" s="265" t="n">
        <v>145882000</v>
      </c>
    </row>
    <row r="153">
      <c r="A153" t="inlineStr">
        <is>
          <t>Movida GTF - ticket medio mensal (R$; l.26) · fonte · unid. un</t>
        </is>
      </c>
      <c r="B153" t="n">
        <v>64</v>
      </c>
      <c r="C153" t="inlineStr">
        <is>
          <t>Movida GTF - ticket medio mensal (R$; l.26)</t>
        </is>
      </c>
      <c r="D153" s="265" t="n">
        <v>1372319</v>
      </c>
      <c r="E153" s="265" t="n">
        <v>1446677</v>
      </c>
      <c r="F153" s="265" t="n">
        <v>1556347</v>
      </c>
      <c r="G153" s="265" t="n">
        <v>1554954</v>
      </c>
      <c r="I153" s="265" t="n">
        <v>1656100</v>
      </c>
      <c r="J153" s="265" t="n">
        <v>1785390</v>
      </c>
      <c r="K153" s="265" t="n">
        <v>1811553</v>
      </c>
      <c r="L153" s="265" t="n">
        <v>1924074</v>
      </c>
      <c r="N153" s="265" t="n">
        <v>2040898</v>
      </c>
      <c r="O153" s="265" t="n">
        <v>2110268</v>
      </c>
      <c r="P153" s="265" t="n">
        <v>2191255</v>
      </c>
      <c r="Q153" s="265" t="n">
        <v>2275453</v>
      </c>
      <c r="S153" s="265" t="n">
        <v>2380167</v>
      </c>
      <c r="T153" s="265" t="n">
        <v>2582260</v>
      </c>
      <c r="U153" s="265" t="n">
        <v>2695784</v>
      </c>
      <c r="V153" s="265" t="n">
        <v>2780174</v>
      </c>
      <c r="X153" s="265" t="n">
        <v>2855385</v>
      </c>
      <c r="Y153" s="265" t="n">
        <v>2948728</v>
      </c>
      <c r="Z153" s="265" t="n">
        <v>3025387</v>
      </c>
      <c r="AA153" s="265" t="n">
        <v>3123287.436343</v>
      </c>
      <c r="AC153" s="265" t="n">
        <v>3162020.318345</v>
      </c>
      <c r="AD153" s="265" t="n">
        <v>3288956.832502</v>
      </c>
    </row>
    <row r="154">
      <c r="A154" t="inlineStr">
        <is>
          <t>Movida - carros vendidos (seminovos; l.29) · fonte · unid. un</t>
        </is>
      </c>
      <c r="B154" t="n">
        <v>65</v>
      </c>
      <c r="C154" t="inlineStr">
        <is>
          <t>Movida - carros vendidos (seminovos; l.29)</t>
        </is>
      </c>
      <c r="D154" s="265" t="n">
        <v>5356000</v>
      </c>
      <c r="E154" s="265" t="n">
        <v>12462000</v>
      </c>
      <c r="F154" s="265" t="n">
        <v>14509000</v>
      </c>
      <c r="G154" s="265" t="n">
        <v>12472000</v>
      </c>
      <c r="I154" s="265" t="n">
        <v>15225000</v>
      </c>
      <c r="J154" s="265" t="n">
        <v>18474000</v>
      </c>
      <c r="K154" s="265" t="n">
        <v>20023000</v>
      </c>
      <c r="L154" s="265" t="n">
        <v>18697000</v>
      </c>
      <c r="N154" s="265" t="n">
        <v>19610000</v>
      </c>
      <c r="O154" s="265" t="n">
        <v>18806000</v>
      </c>
      <c r="P154" s="265" t="n">
        <v>20503000</v>
      </c>
      <c r="Q154" s="265" t="n">
        <v>17253000</v>
      </c>
      <c r="S154" s="265" t="n">
        <v>23249000</v>
      </c>
      <c r="T154" s="265" t="n">
        <v>27954000</v>
      </c>
      <c r="U154" s="265" t="n">
        <v>30572000</v>
      </c>
      <c r="V154" s="265" t="n">
        <v>21916000</v>
      </c>
      <c r="X154" s="265" t="n">
        <v>24784000</v>
      </c>
      <c r="Y154" s="265" t="n">
        <v>25917000</v>
      </c>
      <c r="Z154" s="265" t="n">
        <v>24472000</v>
      </c>
      <c r="AA154" s="265" t="n">
        <v>22172000</v>
      </c>
      <c r="AC154" s="265" t="n">
        <v>20620000</v>
      </c>
      <c r="AD154" s="265" t="n">
        <v>19414000</v>
      </c>
    </row>
    <row r="155">
      <c r="A155" t="inlineStr">
        <is>
          <t>Movida - preco medio do carro vendido (R$; l.32) · fonte · unid. un</t>
        </is>
      </c>
      <c r="B155" t="n">
        <v>66</v>
      </c>
      <c r="C155" t="inlineStr">
        <is>
          <t>Movida - preco medio do carro vendido (R$; l.32)</t>
        </is>
      </c>
      <c r="D155" s="265" t="n">
        <v>51893918</v>
      </c>
      <c r="E155" s="265" t="n">
        <v>54575562</v>
      </c>
      <c r="F155" s="265" t="n">
        <v>58732576</v>
      </c>
      <c r="G155" s="265" t="n">
        <v>65422791</v>
      </c>
      <c r="I155" s="265" t="n">
        <v>64467473</v>
      </c>
      <c r="J155" s="265" t="n">
        <v>66619727</v>
      </c>
      <c r="K155" s="265" t="n">
        <v>70866812</v>
      </c>
      <c r="L155" s="265" t="n">
        <v>75437883</v>
      </c>
      <c r="N155" s="265" t="n">
        <v>75131641</v>
      </c>
      <c r="O155" s="265" t="n">
        <v>67009986</v>
      </c>
      <c r="P155" s="265" t="n">
        <v>67718251</v>
      </c>
      <c r="Q155" s="265" t="n">
        <v>68176185</v>
      </c>
      <c r="S155" s="265" t="n">
        <v>66942505</v>
      </c>
      <c r="T155" s="265" t="n">
        <v>66598725</v>
      </c>
      <c r="U155" s="265" t="n">
        <v>67728675</v>
      </c>
      <c r="V155" s="265" t="n">
        <v>68181225</v>
      </c>
      <c r="X155" s="265" t="n">
        <v>69546779</v>
      </c>
      <c r="Y155" s="265" t="n">
        <v>70398095</v>
      </c>
      <c r="Z155" s="265" t="n">
        <v>73431672</v>
      </c>
      <c r="AA155" s="265" t="n">
        <v>72269744.454723</v>
      </c>
      <c r="AC155" s="265" t="n">
        <v>77823728.680949</v>
      </c>
      <c r="AD155" s="265" t="n">
        <v>77252184.054344</v>
      </c>
    </row>
    <row r="156">
      <c r="A156" t="inlineStr">
        <is>
          <t>Vamos - frota de locacao final (ativos; 1T21+: VAMOS - Operational Data l.21 da SIMPAR; 2020: planilha antiga Vamos, VAMOS Operational Data l.20) · fonte · unid. un</t>
        </is>
      </c>
      <c r="B156" t="n">
        <v>67</v>
      </c>
      <c r="C156" t="inlineStr">
        <is>
          <t>Vamos - frota de locacao final (ativos; 1T21+: VAMOS - Opera</t>
        </is>
      </c>
      <c r="D156" s="265" t="n">
        <v>16025000</v>
      </c>
      <c r="E156" s="265" t="n">
        <v>18395000</v>
      </c>
      <c r="F156" s="265" t="n">
        <v>20384000</v>
      </c>
      <c r="G156" s="265" t="n">
        <v>23627000</v>
      </c>
      <c r="I156" s="265" t="n">
        <v>26859000</v>
      </c>
      <c r="J156" s="265" t="n">
        <v>33940000</v>
      </c>
      <c r="K156" s="265" t="n">
        <v>38561000</v>
      </c>
      <c r="L156" s="265" t="n">
        <v>43829000</v>
      </c>
      <c r="N156" s="265" t="n">
        <v>45055000</v>
      </c>
      <c r="O156" s="265" t="n">
        <v>45279000</v>
      </c>
      <c r="P156" s="265" t="n">
        <v>45161000</v>
      </c>
      <c r="Q156" s="265" t="n">
        <v>45727000</v>
      </c>
      <c r="S156" s="265" t="n">
        <v>49515000</v>
      </c>
      <c r="T156" s="265" t="n">
        <v>50384000</v>
      </c>
      <c r="U156" s="265" t="n">
        <v>51090000</v>
      </c>
      <c r="V156" s="265" t="n">
        <v>51604000</v>
      </c>
      <c r="X156" s="265" t="n">
        <v>52593000</v>
      </c>
      <c r="Y156" s="265" t="n">
        <v>52544000</v>
      </c>
      <c r="Z156" s="265" t="n">
        <v>52047000</v>
      </c>
      <c r="AA156" s="265" t="n">
        <v>51953000</v>
      </c>
      <c r="AC156" s="265" t="n">
        <v>50980000</v>
      </c>
      <c r="AD156" s="265" t="n">
        <v>51256000</v>
      </c>
    </row>
    <row r="157">
      <c r="A157" t="inlineStr">
        <is>
          <t>Notas: (i) Vamos 1T20-4T22 vem da Planilha de Fundamentos ANTIGA da Vamos (ri.grupovamos.com.br, versao com concessionarias ate 3T24): locacao + industria, e as concessionarias da Vamos em linha propria. No 1T23 a serie SIMPAR (945,3) supera locacao + industria da planilha antiga (887,5) pelas reclassificacoes da cisao. A Automob (desde 1T23) e maior que as concessionarias da Vamos: inclui as demais concessionarias do grupo, que ate 4T22 ficam no residual. (ii) Receitas por controlada como divulgadas (JSL, Automob e CS Brasil ajustados, nota do release); a diferenca para o consolidado = holding, eliminacoes e ajustes.</t>
        </is>
      </c>
      <c r="C157" t="inlineStr">
        <is>
          <t>[linha bruta, sem código; lançada nas linhas abaixo]</t>
        </is>
      </c>
      <c r="D157" s="265" t="n"/>
      <c r="E157" s="265" t="n"/>
      <c r="F157" s="265" t="n"/>
      <c r="G157" s="265" t="n"/>
      <c r="I157" s="265" t="n"/>
      <c r="J157" s="265" t="n"/>
      <c r="K157" s="265" t="n"/>
      <c r="L157" s="265" t="n"/>
      <c r="N157" s="265" t="n"/>
      <c r="O157" s="265" t="n"/>
      <c r="P157" s="265" t="n"/>
      <c r="Q157" s="265" t="n"/>
      <c r="S157" s="265" t="n"/>
      <c r="T157" s="265" t="n"/>
      <c r="U157" s="265" t="n"/>
      <c r="V157" s="265" t="n"/>
      <c r="X157" s="265" t="n"/>
      <c r="Y157" s="265" t="n"/>
      <c r="Z157" s="265" t="n"/>
      <c r="AA157" s="265" t="n"/>
      <c r="AC157" s="265" t="n"/>
      <c r="AD157" s="265" t="n"/>
    </row>
    <row r="159">
      <c r="A159" t="inlineStr">
        <is>
          <t>Linhas de origem: 4 a 157. A Inputs (2) varre as linhas 4 a 200; as linhas 158 a 200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75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SIMPAR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R$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IF(D$3=0,"",SUMIFS(INDEX(Inputs!$D$4:$AG$200,0,MATCH(D$2,Inputs!$D$2:$AG$2,0)),Inputs!$B$4:$B$200,$B4)/1000)</f>
        <v>2620.105655916</v>
      </c>
      <c r="E4" s="11">
        <f>IF(E$3=0,"",SUMIFS(INDEX(Inputs!$D$4:$AG$200,0,MATCH(E$2,Inputs!$D$2:$AG$2,0)),Inputs!$B$4:$B$200,$B4)/1000)</f>
        <v>3149.066344084</v>
      </c>
      <c r="F4" s="11">
        <f>IF(F$3=0,"",SUMIFS(INDEX(Inputs!$D$4:$AG$200,0,MATCH(F$2,Inputs!$D$2:$AG$2,0)),Inputs!$B$4:$B$200,$B4)/1000)</f>
        <v>3958.28</v>
      </c>
      <c r="G4" s="11">
        <f>IF(G$3=0,"",SUMIFS(INDEX(Inputs!$D$4:$AG$200,0,MATCH(G$2,Inputs!$D$2:$AG$2,0)),Inputs!$B$4:$B$200,$B4)/1000)</f>
        <v>4138.767</v>
      </c>
      <c r="H4" s="12">
        <f>IF(COUNT(D4:G4)=4,SUM(D4:G4),"")</f>
        <v>13866.219</v>
      </c>
      <c r="I4" s="11">
        <f>IF(I$3=0,"",SUMIFS(INDEX(Inputs!$D$4:$AG$200,0,MATCH(I$2,Inputs!$D$2:$AG$2,0)),Inputs!$B$4:$B$200,$B4)/1000)</f>
        <v>4530.19701274</v>
      </c>
      <c r="J4" s="11">
        <f>IF(J$3=0,"",SUMIFS(INDEX(Inputs!$D$4:$AG$200,0,MATCH(J$2,Inputs!$D$2:$AG$2,0)),Inputs!$B$4:$B$200,$B4)/1000)</f>
        <v>5387.14735583</v>
      </c>
      <c r="K4" s="11">
        <f>IF(K$3=0,"",SUMIFS(INDEX(Inputs!$D$4:$AG$200,0,MATCH(K$2,Inputs!$D$2:$AG$2,0)),Inputs!$B$4:$B$200,$B4)/1000)</f>
        <v>6823.350471412</v>
      </c>
      <c r="L4" s="11">
        <f>IF(L$3=0,"",SUMIFS(INDEX(Inputs!$D$4:$AG$200,0,MATCH(L$2,Inputs!$D$2:$AG$2,0)),Inputs!$B$4:$B$200,$B4)/1000)</f>
        <v>7341.186278311</v>
      </c>
      <c r="M4" s="12">
        <f>IF(COUNT(I4:L4)=4,SUM(I4:L4),"")</f>
        <v>24081.881118293</v>
      </c>
      <c r="N4" s="11">
        <f>IF(N$3=0,"",SUMIFS(INDEX(Inputs!$D$4:$AG$200,0,MATCH(N$2,Inputs!$D$2:$AG$2,0)),Inputs!$B$4:$B$200,$B4)/1000)</f>
        <v>7440.043821226</v>
      </c>
      <c r="O4" s="11">
        <f>IF(O$3=0,"",SUMIFS(INDEX(Inputs!$D$4:$AG$200,0,MATCH(O$2,Inputs!$D$2:$AG$2,0)),Inputs!$B$4:$B$200,$B4)/1000)</f>
        <v>7563.636178774</v>
      </c>
      <c r="P4" s="11">
        <f>IF(P$3=0,"",SUMIFS(INDEX(Inputs!$D$4:$AG$200,0,MATCH(P$2,Inputs!$D$2:$AG$2,0)),Inputs!$B$4:$B$200,$B4)/1000)</f>
        <v>8318.109</v>
      </c>
      <c r="Q4" s="11">
        <f>IF(Q$3=0,"",SUMIFS(INDEX(Inputs!$D$4:$AG$200,0,MATCH(Q$2,Inputs!$D$2:$AG$2,0)),Inputs!$B$4:$B$200,$B4)/1000)</f>
        <v>8521.824</v>
      </c>
      <c r="R4" s="12">
        <f>IF(COUNT(N4:Q4)=4,SUM(N4:Q4),"")</f>
        <v>31843.613</v>
      </c>
      <c r="S4" s="11">
        <f>IF(S$3=0,"",SUMIFS(INDEX(Inputs!$D$4:$AG$200,0,MATCH(S$2,Inputs!$D$2:$AG$2,0)),Inputs!$B$4:$B$200,$B4)/1000)</f>
        <v>9066.59642925</v>
      </c>
      <c r="T4" s="11">
        <f>IF(T$3=0,"",SUMIFS(INDEX(Inputs!$D$4:$AG$200,0,MATCH(T$2,Inputs!$D$2:$AG$2,0)),Inputs!$B$4:$B$200,$B4)/1000)</f>
        <v>10227.19018878</v>
      </c>
      <c r="U4" s="11">
        <f>IF(U$3=0,"",SUMIFS(INDEX(Inputs!$D$4:$AG$200,0,MATCH(U$2,Inputs!$D$2:$AG$2,0)),Inputs!$B$4:$B$200,$B4)/1000)</f>
        <v>10790.49060251</v>
      </c>
      <c r="V4" s="11">
        <f>IF(V$3=0,"",SUMIFS(INDEX(Inputs!$D$4:$AG$200,0,MATCH(V$2,Inputs!$D$2:$AG$2,0)),Inputs!$B$4:$B$200,$B4)/1000)</f>
        <v>10653.80870459</v>
      </c>
      <c r="W4" s="12">
        <f>IF(COUNT(S4:V4)=4,SUM(S4:V4),"")</f>
        <v>40738.08592513</v>
      </c>
      <c r="X4" s="11">
        <f>IF(X$3=0,"",SUMIFS(INDEX(Inputs!$D$4:$AG$200,0,MATCH(X$2,Inputs!$D$2:$AG$2,0)),Inputs!$B$4:$B$200,$B4)/1000)</f>
        <v>10244.63461166</v>
      </c>
      <c r="Y4" s="11">
        <f>IF(Y$3=0,"",SUMIFS(INDEX(Inputs!$D$4:$AG$200,0,MATCH(Y$2,Inputs!$D$2:$AG$2,0)),Inputs!$B$4:$B$200,$B4)/1000)</f>
        <v>10340.78606133</v>
      </c>
      <c r="Z4" s="11">
        <f>IF(Z$3=0,"",SUMIFS(INDEX(Inputs!$D$4:$AG$200,0,MATCH(Z$2,Inputs!$D$2:$AG$2,0)),Inputs!$B$4:$B$200,$B4)/1000)</f>
        <v>11100.93342807</v>
      </c>
      <c r="AA4" s="11">
        <f>IF(AA$3=0,"",SUMIFS(INDEX(Inputs!$D$4:$AG$200,0,MATCH(AA$2,Inputs!$D$2:$AG$2,0)),Inputs!$B$4:$B$200,$B4)/1000)</f>
        <v>11119.49197747</v>
      </c>
      <c r="AB4" s="12">
        <f>IF(COUNT(X4:AA4)=4,SUM(X4:AA4),"")</f>
        <v>42805.84607853</v>
      </c>
      <c r="AC4" s="11">
        <f>IF(AC$3=0,"",SUMIFS(INDEX(Inputs!$D$4:$AG$200,0,MATCH(AC$2,Inputs!$D$2:$AG$2,0)),Inputs!$B$4:$B$200,$B4)/1000)</f>
        <v>10924.2982817</v>
      </c>
      <c r="AD4" s="11">
        <f>IF(AD$3=0,"",SUMIFS(INDEX(Inputs!$D$4:$AG$200,0,MATCH(AD$2,Inputs!$D$2:$AG$2,0)),Inputs!$B$4:$B$200,$B4)/1000)</f>
        <v>11248.66185844</v>
      </c>
      <c r="AE4" s="11" t="str">
        <f>IF(AE$3=0,"",SUMIFS(INDEX(Inputs!$D$4:$AG$200,0,MATCH(AE$2,Inputs!$D$2:$AG$2,0)),Inputs!$B$4:$B$200,$B4)/1000)</f>
        <v/>
      </c>
      <c r="AF4" s="11" t="str">
        <f>IF(AF$3=0,"",SUMIFS(INDEX(Inputs!$D$4:$AG$200,0,MATCH(AF$2,Inputs!$D$2:$AG$2,0)),Inputs!$B$4:$B$200,$B4)/1000)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IF(D$3=0,"",SUMIFS(INDEX(Inputs!$D$4:$AG$200,0,MATCH(D$2,Inputs!$D$2:$AG$2,0)),Inputs!$B$4:$B$200,$B5)/1000)</f>
        <v>-1575.374513715</v>
      </c>
      <c r="E5" s="11">
        <f>IF(E$3=0,"",SUMIFS(INDEX(Inputs!$D$4:$AG$200,0,MATCH(E$2,Inputs!$D$2:$AG$2,0)),Inputs!$B$4:$B$200,$B5)/1000)</f>
        <v>-1930.871265708</v>
      </c>
      <c r="F5" s="11">
        <f>IF(F$3=0,"",SUMIFS(INDEX(Inputs!$D$4:$AG$200,0,MATCH(F$2,Inputs!$D$2:$AG$2,0)),Inputs!$B$4:$B$200,$B5)/1000)</f>
        <v>-2418.870148725</v>
      </c>
      <c r="G5" s="11">
        <f>IF(G$3=0,"",SUMIFS(INDEX(Inputs!$D$4:$AG$200,0,MATCH(G$2,Inputs!$D$2:$AG$2,0)),Inputs!$B$4:$B$200,$B5)/1000)</f>
        <v>-2398.08306921</v>
      </c>
      <c r="H5" s="12">
        <f>IF(COUNT(D5:G5)=4,SUM(D5:G5),"")</f>
        <v>-8323.198997358</v>
      </c>
      <c r="I5" s="11">
        <f>IF(I$3=0,"",SUMIFS(INDEX(Inputs!$D$4:$AG$200,0,MATCH(I$2,Inputs!$D$2:$AG$2,0)),Inputs!$B$4:$B$200,$B5)/1000)</f>
        <v>-2575.87501274</v>
      </c>
      <c r="J5" s="11">
        <f>IF(J$3=0,"",SUMIFS(INDEX(Inputs!$D$4:$AG$200,0,MATCH(J$2,Inputs!$D$2:$AG$2,0)),Inputs!$B$4:$B$200,$B5)/1000)</f>
        <v>-3171.528358406</v>
      </c>
      <c r="K5" s="11">
        <f>IF(K$3=0,"",SUMIFS(INDEX(Inputs!$D$4:$AG$200,0,MATCH(K$2,Inputs!$D$2:$AG$2,0)),Inputs!$B$4:$B$200,$B5)/1000)</f>
        <v>-4240.265365485</v>
      </c>
      <c r="L5" s="11">
        <f>IF(L$3=0,"",SUMIFS(INDEX(Inputs!$D$4:$AG$200,0,MATCH(L$2,Inputs!$D$2:$AG$2,0)),Inputs!$B$4:$B$200,$B5)/1000)</f>
        <v>-4616.763618255</v>
      </c>
      <c r="M5" s="12">
        <f>IF(COUNT(I5:L5)=4,SUM(I5:L5),"")</f>
        <v>-14604.432354886</v>
      </c>
      <c r="N5" s="11">
        <f>IF(N$3=0,"",SUMIFS(INDEX(Inputs!$D$4:$AG$200,0,MATCH(N$2,Inputs!$D$2:$AG$2,0)),Inputs!$B$4:$B$200,$B5)/1000)</f>
        <v>-4659.767864147</v>
      </c>
      <c r="O5" s="11">
        <f>IF(O$3=0,"",SUMIFS(INDEX(Inputs!$D$4:$AG$200,0,MATCH(O$2,Inputs!$D$2:$AG$2,0)),Inputs!$B$4:$B$200,$B5)/1000)</f>
        <v>-4733.962981585</v>
      </c>
      <c r="P5" s="11">
        <f>IF(P$3=0,"",SUMIFS(INDEX(Inputs!$D$4:$AG$200,0,MATCH(P$2,Inputs!$D$2:$AG$2,0)),Inputs!$B$4:$B$200,$B5)/1000)</f>
        <v>-5378.471948471</v>
      </c>
      <c r="Q5" s="11">
        <f>IF(Q$3=0,"",SUMIFS(INDEX(Inputs!$D$4:$AG$200,0,MATCH(Q$2,Inputs!$D$2:$AG$2,0)),Inputs!$B$4:$B$200,$B5)/1000)</f>
        <v>-5823.604575207</v>
      </c>
      <c r="R5" s="12">
        <f>IF(COUNT(N5:Q5)=4,SUM(N5:Q5),"")</f>
        <v>-20595.80736941</v>
      </c>
      <c r="S5" s="11">
        <f>IF(S$3=0,"",SUMIFS(INDEX(Inputs!$D$4:$AG$200,0,MATCH(S$2,Inputs!$D$2:$AG$2,0)),Inputs!$B$4:$B$200,$B5)/1000)</f>
        <v>-5801.02220757</v>
      </c>
      <c r="T5" s="11">
        <f>IF(T$3=0,"",SUMIFS(INDEX(Inputs!$D$4:$AG$200,0,MATCH(T$2,Inputs!$D$2:$AG$2,0)),Inputs!$B$4:$B$200,$B5)/1000)</f>
        <v>-6751.49355524</v>
      </c>
      <c r="U5" s="11">
        <f>IF(U$3=0,"",SUMIFS(INDEX(Inputs!$D$4:$AG$200,0,MATCH(U$2,Inputs!$D$2:$AG$2,0)),Inputs!$B$4:$B$200,$B5)/1000)</f>
        <v>-7094.01065115</v>
      </c>
      <c r="V5" s="11">
        <f>IF(V$3=0,"",SUMIFS(INDEX(Inputs!$D$4:$AG$200,0,MATCH(V$2,Inputs!$D$2:$AG$2,0)),Inputs!$B$4:$B$200,$B5)/1000)</f>
        <v>-6972.99469569</v>
      </c>
      <c r="W5" s="12">
        <f>IF(COUNT(S5:V5)=4,SUM(S5:V5),"")</f>
        <v>-26619.52110965</v>
      </c>
      <c r="X5" s="11">
        <f>IF(X$3=0,"",SUMIFS(INDEX(Inputs!$D$4:$AG$200,0,MATCH(X$2,Inputs!$D$2:$AG$2,0)),Inputs!$B$4:$B$200,$B5)/1000)</f>
        <v>-6497.62922759</v>
      </c>
      <c r="Y5" s="11">
        <f>IF(Y$3=0,"",SUMIFS(INDEX(Inputs!$D$4:$AG$200,0,MATCH(Y$2,Inputs!$D$2:$AG$2,0)),Inputs!$B$4:$B$200,$B5)/1000)</f>
        <v>-6445.09281348</v>
      </c>
      <c r="Z5" s="11">
        <f>IF(Z$3=0,"",SUMIFS(INDEX(Inputs!$D$4:$AG$200,0,MATCH(Z$2,Inputs!$D$2:$AG$2,0)),Inputs!$B$4:$B$200,$B5)/1000)</f>
        <v>-7040.52444631</v>
      </c>
      <c r="AA5" s="11">
        <f>IF(AA$3=0,"",SUMIFS(INDEX(Inputs!$D$4:$AG$200,0,MATCH(AA$2,Inputs!$D$2:$AG$2,0)),Inputs!$B$4:$B$200,$B5)/1000)</f>
        <v>-6969.47234352</v>
      </c>
      <c r="AB5" s="12">
        <f>IF(COUNT(X5:AA5)=4,SUM(X5:AA5),"")</f>
        <v>-26952.7188309</v>
      </c>
      <c r="AC5" s="11">
        <f>IF(AC$3=0,"",SUMIFS(INDEX(Inputs!$D$4:$AG$200,0,MATCH(AC$2,Inputs!$D$2:$AG$2,0)),Inputs!$B$4:$B$200,$B5)/1000)</f>
        <v>-6737.00588267</v>
      </c>
      <c r="AD5" s="11">
        <f>IF(AD$3=0,"",SUMIFS(INDEX(Inputs!$D$4:$AG$200,0,MATCH(AD$2,Inputs!$D$2:$AG$2,0)),Inputs!$B$4:$B$200,$B5)/1000)</f>
        <v>-6813.7923031</v>
      </c>
      <c r="AE5" s="11" t="str">
        <f>IF(AE$3=0,"",SUMIFS(INDEX(Inputs!$D$4:$AG$200,0,MATCH(AE$2,Inputs!$D$2:$AG$2,0)),Inputs!$B$4:$B$200,$B5)/1000)</f>
        <v/>
      </c>
      <c r="AF5" s="11" t="str">
        <f>IF(AF$3=0,"",SUMIFS(INDEX(Inputs!$D$4:$AG$200,0,MATCH(AF$2,Inputs!$D$2:$AG$2,0)),Inputs!$B$4:$B$200,$B5)/1000)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IF(D$3=0,"",SUMIFS(INDEX(Inputs!$D$4:$AG$200,0,MATCH(D$2,Inputs!$D$2:$AG$2,0)),Inputs!$B$4:$B$200,$B6)/1000)</f>
        <v>-311.027123998</v>
      </c>
      <c r="E6" s="11">
        <f>IF(E$3=0,"",SUMIFS(INDEX(Inputs!$D$4:$AG$200,0,MATCH(E$2,Inputs!$D$2:$AG$2,0)),Inputs!$B$4:$B$200,$B6)/1000)</f>
        <v>-253.18520715</v>
      </c>
      <c r="F6" s="11">
        <f>IF(F$3=0,"",SUMIFS(INDEX(Inputs!$D$4:$AG$200,0,MATCH(F$2,Inputs!$D$2:$AG$2,0)),Inputs!$B$4:$B$200,$B6)/1000)</f>
        <v>-373.888740704</v>
      </c>
      <c r="G6" s="11">
        <f>IF(G$3=0,"",SUMIFS(INDEX(Inputs!$D$4:$AG$200,0,MATCH(G$2,Inputs!$D$2:$AG$2,0)),Inputs!$B$4:$B$200,$B6)/1000)</f>
        <v>-415.252928148</v>
      </c>
      <c r="H6" s="12">
        <f>IF(COUNT(D6:G6)=4,SUM(D6:G6),"")</f>
        <v>-1353.354</v>
      </c>
      <c r="I6" s="11">
        <f>IF(I$3=0,"",SUMIFS(INDEX(Inputs!$D$4:$AG$200,0,MATCH(I$2,Inputs!$D$2:$AG$2,0)),Inputs!$B$4:$B$200,$B6)/1000)</f>
        <v>-441.278</v>
      </c>
      <c r="J6" s="11">
        <f>IF(J$3=0,"",SUMIFS(INDEX(Inputs!$D$4:$AG$200,0,MATCH(J$2,Inputs!$D$2:$AG$2,0)),Inputs!$B$4:$B$200,$B6)/1000)</f>
        <v>-512.662</v>
      </c>
      <c r="K6" s="11">
        <f>IF(K$3=0,"",SUMIFS(INDEX(Inputs!$D$4:$AG$200,0,MATCH(K$2,Inputs!$D$2:$AG$2,0)),Inputs!$B$4:$B$200,$B6)/1000)</f>
        <v>-645.013799541</v>
      </c>
      <c r="L6" s="11">
        <f>IF(L$3=0,"",SUMIFS(INDEX(Inputs!$D$4:$AG$200,0,MATCH(L$2,Inputs!$D$2:$AG$2,0)),Inputs!$B$4:$B$200,$B6)/1000)</f>
        <v>-875.400687026</v>
      </c>
      <c r="M6" s="12">
        <f>IF(COUNT(I6:L6)=4,SUM(I6:L6),"")</f>
        <v>-2474.354486567</v>
      </c>
      <c r="N6" s="11">
        <f>IF(N$3=0,"",SUMIFS(INDEX(Inputs!$D$4:$AG$200,0,MATCH(N$2,Inputs!$D$2:$AG$2,0)),Inputs!$B$4:$B$200,$B6)/1000)</f>
        <v>-816.411443458</v>
      </c>
      <c r="O6" s="11">
        <f>IF(O$3=0,"",SUMIFS(INDEX(Inputs!$D$4:$AG$200,0,MATCH(O$2,Inputs!$D$2:$AG$2,0)),Inputs!$B$4:$B$200,$B6)/1000)</f>
        <v>-562.180071513</v>
      </c>
      <c r="P6" s="11">
        <f>IF(P$3=0,"",SUMIFS(INDEX(Inputs!$D$4:$AG$200,0,MATCH(P$2,Inputs!$D$2:$AG$2,0)),Inputs!$B$4:$B$200,$B6)/1000)</f>
        <v>-854.692587926</v>
      </c>
      <c r="Q6" s="11">
        <f>IF(Q$3=0,"",SUMIFS(INDEX(Inputs!$D$4:$AG$200,0,MATCH(Q$2,Inputs!$D$2:$AG$2,0)),Inputs!$B$4:$B$200,$B6)/1000)</f>
        <v>-1045.898463261</v>
      </c>
      <c r="R6" s="12">
        <f>IF(COUNT(N6:Q6)=4,SUM(N6:Q6),"")</f>
        <v>-3279.182566158</v>
      </c>
      <c r="S6" s="11">
        <f>IF(S$3=0,"",SUMIFS(INDEX(Inputs!$D$4:$AG$200,0,MATCH(S$2,Inputs!$D$2:$AG$2,0)),Inputs!$B$4:$B$200,$B6)/1000)</f>
        <v>-904.42900876</v>
      </c>
      <c r="T6" s="11">
        <f>IF(T$3=0,"",SUMIFS(INDEX(Inputs!$D$4:$AG$200,0,MATCH(T$2,Inputs!$D$2:$AG$2,0)),Inputs!$B$4:$B$200,$B6)/1000)</f>
        <v>-878.68710389</v>
      </c>
      <c r="U6" s="11">
        <f>IF(U$3=0,"",SUMIFS(INDEX(Inputs!$D$4:$AG$200,0,MATCH(U$2,Inputs!$D$2:$AG$2,0)),Inputs!$B$4:$B$200,$B6)/1000)</f>
        <v>-997.19909168</v>
      </c>
      <c r="V6" s="11">
        <f>IF(V$3=0,"",SUMIFS(INDEX(Inputs!$D$4:$AG$200,0,MATCH(V$2,Inputs!$D$2:$AG$2,0)),Inputs!$B$4:$B$200,$B6)/1000)</f>
        <v>-1065.87079567</v>
      </c>
      <c r="W6" s="12">
        <f>IF(COUNT(S6:V6)=4,SUM(S6:V6),"")</f>
        <v>-3846.186</v>
      </c>
      <c r="X6" s="11">
        <f>IF(X$3=0,"",SUMIFS(INDEX(Inputs!$D$4:$AG$200,0,MATCH(X$2,Inputs!$D$2:$AG$2,0)),Inputs!$B$4:$B$200,$B6)/1000)</f>
        <v>-944.98508415</v>
      </c>
      <c r="Y6" s="11">
        <f>IF(Y$3=0,"",SUMIFS(INDEX(Inputs!$D$4:$AG$200,0,MATCH(Y$2,Inputs!$D$2:$AG$2,0)),Inputs!$B$4:$B$200,$B6)/1000)</f>
        <v>-973.05747003</v>
      </c>
      <c r="Z6" s="11">
        <f>IF(Z$3=0,"",SUMIFS(INDEX(Inputs!$D$4:$AG$200,0,MATCH(Z$2,Inputs!$D$2:$AG$2,0)),Inputs!$B$4:$B$200,$B6)/1000)</f>
        <v>-1153.53826563</v>
      </c>
      <c r="AA6" s="11">
        <f>IF(AA$3=0,"",SUMIFS(INDEX(Inputs!$D$4:$AG$200,0,MATCH(AA$2,Inputs!$D$2:$AG$2,0)),Inputs!$B$4:$B$200,$B6)/1000)</f>
        <v>-83.96148467</v>
      </c>
      <c r="AB6" s="12">
        <f>IF(COUNT(X6:AA6)=4,SUM(X6:AA6),"")</f>
        <v>-3155.54230448</v>
      </c>
      <c r="AC6" s="11">
        <f>IF(AC$3=0,"",SUMIFS(INDEX(Inputs!$D$4:$AG$200,0,MATCH(AC$2,Inputs!$D$2:$AG$2,0)),Inputs!$B$4:$B$200,$B6)/1000)</f>
        <v>-1175.05327747</v>
      </c>
      <c r="AD6" s="11">
        <f>IF(AD$3=0,"",SUMIFS(INDEX(Inputs!$D$4:$AG$200,0,MATCH(AD$2,Inputs!$D$2:$AG$2,0)),Inputs!$B$4:$B$200,$B6)/1000)</f>
        <v>-1082.98686087</v>
      </c>
      <c r="AE6" s="11" t="str">
        <f>IF(AE$3=0,"",SUMIFS(INDEX(Inputs!$D$4:$AG$200,0,MATCH(AE$2,Inputs!$D$2:$AG$2,0)),Inputs!$B$4:$B$200,$B6)/1000)</f>
        <v/>
      </c>
      <c r="AF6" s="11" t="str">
        <f>IF(AF$3=0,"",SUMIFS(INDEX(Inputs!$D$4:$AG$200,0,MATCH(AF$2,Inputs!$D$2:$AG$2,0)),Inputs!$B$4:$B$200,$B6)/1000)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IF(D$3=0,"",SUMIFS(INDEX(Inputs!$D$4:$AG$200,0,MATCH(D$2,Inputs!$D$2:$AG$2,0)),Inputs!$B$4:$B$200,$B7)/1000)</f>
        <v>-217.049</v>
      </c>
      <c r="E7" s="11">
        <f>IF(E$3=0,"",SUMIFS(INDEX(Inputs!$D$4:$AG$200,0,MATCH(E$2,Inputs!$D$2:$AG$2,0)),Inputs!$B$4:$B$200,$B7)/1000)</f>
        <v>-241.434278302</v>
      </c>
      <c r="F7" s="11">
        <f>IF(F$3=0,"",SUMIFS(INDEX(Inputs!$D$4:$AG$200,0,MATCH(F$2,Inputs!$D$2:$AG$2,0)),Inputs!$B$4:$B$200,$B7)/1000)</f>
        <v>-275.839366387</v>
      </c>
      <c r="G7" s="11">
        <f>IF(G$3=0,"",SUMIFS(INDEX(Inputs!$D$4:$AG$200,0,MATCH(G$2,Inputs!$D$2:$AG$2,0)),Inputs!$B$4:$B$200,$B7)/1000)</f>
        <v>-324.792357953</v>
      </c>
      <c r="H7" s="12">
        <f>IF(COUNT(D7:G7)=4,SUM(D7:G7),"")</f>
        <v>-1059.115002642</v>
      </c>
      <c r="I7" s="11">
        <f>IF(I$3=0,"",SUMIFS(INDEX(Inputs!$D$4:$AG$200,0,MATCH(I$2,Inputs!$D$2:$AG$2,0)),Inputs!$B$4:$B$200,$B7)/1000)</f>
        <v>-377.493</v>
      </c>
      <c r="J7" s="11">
        <f>IF(J$3=0,"",SUMIFS(INDEX(Inputs!$D$4:$AG$200,0,MATCH(J$2,Inputs!$D$2:$AG$2,0)),Inputs!$B$4:$B$200,$B7)/1000)</f>
        <v>-416.207797424</v>
      </c>
      <c r="K7" s="11">
        <f>IF(K$3=0,"",SUMIFS(INDEX(Inputs!$D$4:$AG$200,0,MATCH(K$2,Inputs!$D$2:$AG$2,0)),Inputs!$B$4:$B$200,$B7)/1000)</f>
        <v>-510.065305927</v>
      </c>
      <c r="L7" s="11">
        <f>IF(L$3=0,"",SUMIFS(INDEX(Inputs!$D$4:$AG$200,0,MATCH(L$2,Inputs!$D$2:$AG$2,0)),Inputs!$B$4:$B$200,$B7)/1000)</f>
        <v>-582.510896649</v>
      </c>
      <c r="M7" s="12">
        <f>IF(COUNT(I7:L7)=4,SUM(I7:L7),"")</f>
        <v>-1886.277</v>
      </c>
      <c r="N7" s="11">
        <f>IF(N$3=0,"",SUMIFS(INDEX(Inputs!$D$4:$AG$200,0,MATCH(N$2,Inputs!$D$2:$AG$2,0)),Inputs!$B$4:$B$200,$B7)/1000)</f>
        <v>-646.759784851</v>
      </c>
      <c r="O7" s="11">
        <f>IF(O$3=0,"",SUMIFS(INDEX(Inputs!$D$4:$AG$200,0,MATCH(O$2,Inputs!$D$2:$AG$2,0)),Inputs!$B$4:$B$200,$B7)/1000)</f>
        <v>-679.385996477</v>
      </c>
      <c r="P7" s="11">
        <f>IF(P$3=0,"",SUMIFS(INDEX(Inputs!$D$4:$AG$200,0,MATCH(P$2,Inputs!$D$2:$AG$2,0)),Inputs!$B$4:$B$200,$B7)/1000)</f>
        <v>-717.0810067</v>
      </c>
      <c r="Q7" s="11">
        <f>IF(Q$3=0,"",SUMIFS(INDEX(Inputs!$D$4:$AG$200,0,MATCH(Q$2,Inputs!$D$2:$AG$2,0)),Inputs!$B$4:$B$200,$B7)/1000)</f>
        <v>-1060.725844473</v>
      </c>
      <c r="R7" s="12">
        <f>IF(COUNT(N7:Q7)=4,SUM(N7:Q7),"")</f>
        <v>-3103.952632501</v>
      </c>
      <c r="S7" s="11">
        <f>IF(S$3=0,"",SUMIFS(INDEX(Inputs!$D$4:$AG$200,0,MATCH(S$2,Inputs!$D$2:$AG$2,0)),Inputs!$B$4:$B$200,$B7)/1000)</f>
        <v>-821.97976934</v>
      </c>
      <c r="T7" s="11">
        <f>IF(T$3=0,"",SUMIFS(INDEX(Inputs!$D$4:$AG$200,0,MATCH(T$2,Inputs!$D$2:$AG$2,0)),Inputs!$B$4:$B$200,$B7)/1000)</f>
        <v>-897.64322214</v>
      </c>
      <c r="U7" s="11">
        <f>IF(U$3=0,"",SUMIFS(INDEX(Inputs!$D$4:$AG$200,0,MATCH(U$2,Inputs!$D$2:$AG$2,0)),Inputs!$B$4:$B$200,$B7)/1000)</f>
        <v>-997.19452895</v>
      </c>
      <c r="V7" s="11">
        <f>IF(V$3=0,"",SUMIFS(INDEX(Inputs!$D$4:$AG$200,0,MATCH(V$2,Inputs!$D$2:$AG$2,0)),Inputs!$B$4:$B$200,$B7)/1000)</f>
        <v>-974.30236992</v>
      </c>
      <c r="W7" s="12">
        <f>IF(COUNT(S7:V7)=4,SUM(S7:V7),"")</f>
        <v>-3691.11989035</v>
      </c>
      <c r="X7" s="11">
        <f>IF(X$3=0,"",SUMIFS(INDEX(Inputs!$D$4:$AG$200,0,MATCH(X$2,Inputs!$D$2:$AG$2,0)),Inputs!$B$4:$B$200,$B7)/1000)</f>
        <v>-1052.41326183</v>
      </c>
      <c r="Y7" s="11">
        <f>IF(Y$3=0,"",SUMIFS(INDEX(Inputs!$D$4:$AG$200,0,MATCH(Y$2,Inputs!$D$2:$AG$2,0)),Inputs!$B$4:$B$200,$B7)/1000)</f>
        <v>-1118.94089968</v>
      </c>
      <c r="Z7" s="11">
        <f>IF(Z$3=0,"",SUMIFS(INDEX(Inputs!$D$4:$AG$200,0,MATCH(Z$2,Inputs!$D$2:$AG$2,0)),Inputs!$B$4:$B$200,$B7)/1000)</f>
        <v>-1172.06197375</v>
      </c>
      <c r="AA7" s="11">
        <f>IF(AA$3=0,"",SUMIFS(INDEX(Inputs!$D$4:$AG$200,0,MATCH(AA$2,Inputs!$D$2:$AG$2,0)),Inputs!$B$4:$B$200,$B7)/1000)</f>
        <v>-1197.96966855</v>
      </c>
      <c r="AB7" s="12">
        <f>IF(COUNT(X7:AA7)=4,SUM(X7:AA7),"")</f>
        <v>-4541.38580381</v>
      </c>
      <c r="AC7" s="11">
        <f>IF(AC$3=0,"",SUMIFS(INDEX(Inputs!$D$4:$AG$200,0,MATCH(AC$2,Inputs!$D$2:$AG$2,0)),Inputs!$B$4:$B$200,$B7)/1000)</f>
        <v>-1239.92653653</v>
      </c>
      <c r="AD7" s="11">
        <f>IF(AD$3=0,"",SUMIFS(INDEX(Inputs!$D$4:$AG$200,0,MATCH(AD$2,Inputs!$D$2:$AG$2,0)),Inputs!$B$4:$B$200,$B7)/1000)</f>
        <v>-1253.5541439</v>
      </c>
      <c r="AE7" s="11" t="str">
        <f>IF(AE$3=0,"",SUMIFS(INDEX(Inputs!$D$4:$AG$200,0,MATCH(AE$2,Inputs!$D$2:$AG$2,0)),Inputs!$B$4:$B$200,$B7)/1000)</f>
        <v/>
      </c>
      <c r="AF7" s="11" t="str">
        <f>IF(AF$3=0,"",SUMIFS(INDEX(Inputs!$D$4:$AG$200,0,MATCH(AF$2,Inputs!$D$2:$AG$2,0)),Inputs!$B$4:$B$200,$B7)/1000)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IF(D$3=0,"",SUMIFS(INDEX(Inputs!$D$4:$AG$200,0,MATCH(D$2,Inputs!$D$2:$AG$2,0)),Inputs!$B$4:$B$200,$B8)/1000)</f>
        <v>-454.957867286</v>
      </c>
      <c r="E8" s="11">
        <f>IF(E$3=0,"",SUMIFS(INDEX(Inputs!$D$4:$AG$200,0,MATCH(E$2,Inputs!$D$2:$AG$2,0)),Inputs!$B$4:$B$200,$B8)/1000)</f>
        <v>-191.11210572</v>
      </c>
      <c r="F8" s="11">
        <f>IF(F$3=0,"",SUMIFS(INDEX(Inputs!$D$4:$AG$200,0,MATCH(F$2,Inputs!$D$2:$AG$2,0)),Inputs!$B$4:$B$200,$B8)/1000)</f>
        <v>-526.933886687</v>
      </c>
      <c r="G8" s="11">
        <f>IF(G$3=0,"",SUMIFS(INDEX(Inputs!$D$4:$AG$200,0,MATCH(G$2,Inputs!$D$2:$AG$2,0)),Inputs!$B$4:$B$200,$B8)/1000)</f>
        <v>-780.951140307</v>
      </c>
      <c r="H8" s="12">
        <f>IF(COUNT(D8:G8)=4,SUM(D8:G8),"")</f>
        <v>-1953.955</v>
      </c>
      <c r="I8" s="11">
        <f>IF(I$3=0,"",SUMIFS(INDEX(Inputs!$D$4:$AG$200,0,MATCH(I$2,Inputs!$D$2:$AG$2,0)),Inputs!$B$4:$B$200,$B8)/1000)</f>
        <v>-1017.218</v>
      </c>
      <c r="J8" s="11">
        <f>IF(J$3=0,"",SUMIFS(INDEX(Inputs!$D$4:$AG$200,0,MATCH(J$2,Inputs!$D$2:$AG$2,0)),Inputs!$B$4:$B$200,$B8)/1000)</f>
        <v>-1246.042</v>
      </c>
      <c r="K8" s="11">
        <f>IF(K$3=0,"",SUMIFS(INDEX(Inputs!$D$4:$AG$200,0,MATCH(K$2,Inputs!$D$2:$AG$2,0)),Inputs!$B$4:$B$200,$B8)/1000)</f>
        <v>-1499.372</v>
      </c>
      <c r="L8" s="11">
        <f>IF(L$3=0,"",SUMIFS(INDEX(Inputs!$D$4:$AG$200,0,MATCH(L$2,Inputs!$D$2:$AG$2,0)),Inputs!$B$4:$B$200,$B8)/1000)</f>
        <v>-1595.840510535</v>
      </c>
      <c r="M8" s="12">
        <f>IF(COUNT(I8:L8)=4,SUM(I8:L8),"")</f>
        <v>-5358.472510535</v>
      </c>
      <c r="N8" s="11">
        <f>IF(N$3=0,"",SUMIFS(INDEX(Inputs!$D$4:$AG$200,0,MATCH(N$2,Inputs!$D$2:$AG$2,0)),Inputs!$B$4:$B$200,$B8)/1000)</f>
        <v>-1648.827</v>
      </c>
      <c r="O8" s="11">
        <f>IF(O$3=0,"",SUMIFS(INDEX(Inputs!$D$4:$AG$200,0,MATCH(O$2,Inputs!$D$2:$AG$2,0)),Inputs!$B$4:$B$200,$B8)/1000)</f>
        <v>-1664.541</v>
      </c>
      <c r="P8" s="11">
        <f>IF(P$3=0,"",SUMIFS(INDEX(Inputs!$D$4:$AG$200,0,MATCH(P$2,Inputs!$D$2:$AG$2,0)),Inputs!$B$4:$B$200,$B8)/1000)</f>
        <v>-1877.077</v>
      </c>
      <c r="Q8" s="11">
        <f>IF(Q$3=0,"",SUMIFS(INDEX(Inputs!$D$4:$AG$200,0,MATCH(Q$2,Inputs!$D$2:$AG$2,0)),Inputs!$B$4:$B$200,$B8)/1000)</f>
        <v>-1840.783</v>
      </c>
      <c r="R8" s="12">
        <f>IF(COUNT(N8:Q8)=4,SUM(N8:Q8),"")</f>
        <v>-7031.228</v>
      </c>
      <c r="S8" s="11">
        <f>IF(S$3=0,"",SUMIFS(INDEX(Inputs!$D$4:$AG$200,0,MATCH(S$2,Inputs!$D$2:$AG$2,0)),Inputs!$B$4:$B$200,$B8)/1000)</f>
        <v>-1808.78418443</v>
      </c>
      <c r="T8" s="11">
        <f>IF(T$3=0,"",SUMIFS(INDEX(Inputs!$D$4:$AG$200,0,MATCH(T$2,Inputs!$D$2:$AG$2,0)),Inputs!$B$4:$B$200,$B8)/1000)</f>
        <v>-1862.35669101</v>
      </c>
      <c r="U8" s="11">
        <f>IF(U$3=0,"",SUMIFS(INDEX(Inputs!$D$4:$AG$200,0,MATCH(U$2,Inputs!$D$2:$AG$2,0)),Inputs!$B$4:$B$200,$B8)/1000)</f>
        <v>-1990.90045149</v>
      </c>
      <c r="V8" s="11">
        <f>IF(V$3=0,"",SUMIFS(INDEX(Inputs!$D$4:$AG$200,0,MATCH(V$2,Inputs!$D$2:$AG$2,0)),Inputs!$B$4:$B$200,$B8)/1000)</f>
        <v>-2181.35818543</v>
      </c>
      <c r="W8" s="12">
        <f>IF(COUNT(S8:V8)=4,SUM(S8:V8),"")</f>
        <v>-7843.39951236</v>
      </c>
      <c r="X8" s="11">
        <f>IF(X$3=0,"",SUMIFS(INDEX(Inputs!$D$4:$AG$200,0,MATCH(X$2,Inputs!$D$2:$AG$2,0)),Inputs!$B$4:$B$200,$B8)/1000)</f>
        <v>-2235.645</v>
      </c>
      <c r="Y8" s="11">
        <f>IF(Y$3=0,"",SUMIFS(INDEX(Inputs!$D$4:$AG$200,0,MATCH(Y$2,Inputs!$D$2:$AG$2,0)),Inputs!$B$4:$B$200,$B8)/1000)</f>
        <v>-2445.21</v>
      </c>
      <c r="Z8" s="11">
        <f>IF(Z$3=0,"",SUMIFS(INDEX(Inputs!$D$4:$AG$200,0,MATCH(Z$2,Inputs!$D$2:$AG$2,0)),Inputs!$B$4:$B$200,$B8)/1000)</f>
        <v>-2633.139</v>
      </c>
      <c r="AA8" s="11">
        <f>IF(AA$3=0,"",SUMIFS(INDEX(Inputs!$D$4:$AG$200,0,MATCH(AA$2,Inputs!$D$2:$AG$2,0)),Inputs!$B$4:$B$200,$B8)/1000)</f>
        <v>-2646.005</v>
      </c>
      <c r="AB8" s="12">
        <f>IF(COUNT(X8:AA8)=4,SUM(X8:AA8),"")</f>
        <v>-9959.999</v>
      </c>
      <c r="AC8" s="11">
        <f>IF(AC$3=0,"",SUMIFS(INDEX(Inputs!$D$4:$AG$200,0,MATCH(AC$2,Inputs!$D$2:$AG$2,0)),Inputs!$B$4:$B$200,$B8)/1000)</f>
        <v>-2595.69</v>
      </c>
      <c r="AD8" s="11">
        <f>IF(AD$3=0,"",SUMIFS(INDEX(Inputs!$D$4:$AG$200,0,MATCH(AD$2,Inputs!$D$2:$AG$2,0)),Inputs!$B$4:$B$200,$B8)/1000)</f>
        <v>-2958.432</v>
      </c>
      <c r="AE8" s="11" t="str">
        <f>IF(AE$3=0,"",SUMIFS(INDEX(Inputs!$D$4:$AG$200,0,MATCH(AE$2,Inputs!$D$2:$AG$2,0)),Inputs!$B$4:$B$200,$B8)/1000)</f>
        <v/>
      </c>
      <c r="AF8" s="11" t="str">
        <f>IF(AF$3=0,"",SUMIFS(INDEX(Inputs!$D$4:$AG$200,0,MATCH(AF$2,Inputs!$D$2:$AG$2,0)),Inputs!$B$4:$B$200,$B8)/1000)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IF(D$3=0,"",SUMIFS(INDEX(Inputs!$D$4:$AG$200,0,MATCH(D$2,Inputs!$D$2:$AG$2,0)),Inputs!$B$4:$B$200,$B9)/1000)</f>
        <v>225.148916479</v>
      </c>
      <c r="E9" s="11">
        <f>IF(E$3=0,"",SUMIFS(INDEX(Inputs!$D$4:$AG$200,0,MATCH(E$2,Inputs!$D$2:$AG$2,0)),Inputs!$B$4:$B$200,$B9)/1000)</f>
        <v>10.13128014</v>
      </c>
      <c r="F9" s="11">
        <f>IF(F$3=0,"",SUMIFS(INDEX(Inputs!$D$4:$AG$200,0,MATCH(F$2,Inputs!$D$2:$AG$2,0)),Inputs!$B$4:$B$200,$B9)/1000)</f>
        <v>210.230477917</v>
      </c>
      <c r="G9" s="11">
        <f>IF(G$3=0,"",SUMIFS(INDEX(Inputs!$D$4:$AG$200,0,MATCH(G$2,Inputs!$D$2:$AG$2,0)),Inputs!$B$4:$B$200,$B9)/1000)</f>
        <v>290.851325464</v>
      </c>
      <c r="H9" s="12">
        <f>IF(COUNT(D9:G9)=4,SUM(D9:G9),"")</f>
        <v>736.362</v>
      </c>
      <c r="I9" s="11">
        <f>IF(I$3=0,"",SUMIFS(INDEX(Inputs!$D$4:$AG$200,0,MATCH(I$2,Inputs!$D$2:$AG$2,0)),Inputs!$B$4:$B$200,$B9)/1000)</f>
        <v>345.152</v>
      </c>
      <c r="J9" s="11">
        <f>IF(J$3=0,"",SUMIFS(INDEX(Inputs!$D$4:$AG$200,0,MATCH(J$2,Inputs!$D$2:$AG$2,0)),Inputs!$B$4:$B$200,$B9)/1000)</f>
        <v>283.463</v>
      </c>
      <c r="K9" s="11">
        <f>IF(K$3=0,"",SUMIFS(INDEX(Inputs!$D$4:$AG$200,0,MATCH(K$2,Inputs!$D$2:$AG$2,0)),Inputs!$B$4:$B$200,$B9)/1000)</f>
        <v>246.492</v>
      </c>
      <c r="L9" s="11">
        <f>IF(L$3=0,"",SUMIFS(INDEX(Inputs!$D$4:$AG$200,0,MATCH(L$2,Inputs!$D$2:$AG$2,0)),Inputs!$B$4:$B$200,$B9)/1000)</f>
        <v>353.934680599</v>
      </c>
      <c r="M9" s="12">
        <f>IF(COUNT(I9:L9)=4,SUM(I9:L9),"")</f>
        <v>1229.041680599</v>
      </c>
      <c r="N9" s="11">
        <f>IF(N$3=0,"",SUMIFS(INDEX(Inputs!$D$4:$AG$200,0,MATCH(N$2,Inputs!$D$2:$AG$2,0)),Inputs!$B$4:$B$200,$B9)/1000)</f>
        <v>338.376</v>
      </c>
      <c r="O9" s="11">
        <f>IF(O$3=0,"",SUMIFS(INDEX(Inputs!$D$4:$AG$200,0,MATCH(O$2,Inputs!$D$2:$AG$2,0)),Inputs!$B$4:$B$200,$B9)/1000)</f>
        <v>183.206</v>
      </c>
      <c r="P9" s="11">
        <f>IF(P$3=0,"",SUMIFS(INDEX(Inputs!$D$4:$AG$200,0,MATCH(P$2,Inputs!$D$2:$AG$2,0)),Inputs!$B$4:$B$200,$B9)/1000)</f>
        <v>316.416</v>
      </c>
      <c r="Q9" s="11">
        <f>IF(Q$3=0,"",SUMIFS(INDEX(Inputs!$D$4:$AG$200,0,MATCH(Q$2,Inputs!$D$2:$AG$2,0)),Inputs!$B$4:$B$200,$B9)/1000)</f>
        <v>299.504</v>
      </c>
      <c r="R9" s="12">
        <f>IF(COUNT(N9:Q9)=4,SUM(N9:Q9),"")</f>
        <v>1137.502</v>
      </c>
      <c r="S9" s="11">
        <f>IF(S$3=0,"",SUMIFS(INDEX(Inputs!$D$4:$AG$200,0,MATCH(S$2,Inputs!$D$2:$AG$2,0)),Inputs!$B$4:$B$200,$B9)/1000)</f>
        <v>358.69728481</v>
      </c>
      <c r="T9" s="11">
        <f>IF(T$3=0,"",SUMIFS(INDEX(Inputs!$D$4:$AG$200,0,MATCH(T$2,Inputs!$D$2:$AG$2,0)),Inputs!$B$4:$B$200,$B9)/1000)</f>
        <v>383.86595754</v>
      </c>
      <c r="U9" s="11">
        <f>IF(U$3=0,"",SUMIFS(INDEX(Inputs!$D$4:$AG$200,0,MATCH(U$2,Inputs!$D$2:$AG$2,0)),Inputs!$B$4:$B$200,$B9)/1000)</f>
        <v>433.20390214</v>
      </c>
      <c r="V9" s="11">
        <f>IF(V$3=0,"",SUMIFS(INDEX(Inputs!$D$4:$AG$200,0,MATCH(V$2,Inputs!$D$2:$AG$2,0)),Inputs!$B$4:$B$200,$B9)/1000)</f>
        <v>495.82664245</v>
      </c>
      <c r="W9" s="12">
        <f>IF(COUNT(S9:V9)=4,SUM(S9:V9),"")</f>
        <v>1671.59378694</v>
      </c>
      <c r="X9" s="11">
        <f>IF(X$3=0,"",SUMIFS(INDEX(Inputs!$D$4:$AG$200,0,MATCH(X$2,Inputs!$D$2:$AG$2,0)),Inputs!$B$4:$B$200,$B9)/1000)</f>
        <v>464.52346782</v>
      </c>
      <c r="Y9" s="11">
        <f>IF(Y$3=0,"",SUMIFS(INDEX(Inputs!$D$4:$AG$200,0,MATCH(Y$2,Inputs!$D$2:$AG$2,0)),Inputs!$B$4:$B$200,$B9)/1000)</f>
        <v>522.37025267</v>
      </c>
      <c r="Z9" s="11">
        <f>IF(Z$3=0,"",SUMIFS(INDEX(Inputs!$D$4:$AG$200,0,MATCH(Z$2,Inputs!$D$2:$AG$2,0)),Inputs!$B$4:$B$200,$B9)/1000)</f>
        <v>576.10046127</v>
      </c>
      <c r="AA9" s="11">
        <f>IF(AA$3=0,"",SUMIFS(INDEX(Inputs!$D$4:$AG$200,0,MATCH(AA$2,Inputs!$D$2:$AG$2,0)),Inputs!$B$4:$B$200,$B9)/1000)</f>
        <v>500.0067633</v>
      </c>
      <c r="AB9" s="12">
        <f>IF(COUNT(X9:AA9)=4,SUM(X9:AA9),"")</f>
        <v>2063.00094506</v>
      </c>
      <c r="AC9" s="11">
        <f>IF(AC$3=0,"",SUMIFS(INDEX(Inputs!$D$4:$AG$200,0,MATCH(AC$2,Inputs!$D$2:$AG$2,0)),Inputs!$B$4:$B$200,$B9)/1000)</f>
        <v>590.30406363</v>
      </c>
      <c r="AD9" s="11">
        <f>IF(AD$3=0,"",SUMIFS(INDEX(Inputs!$D$4:$AG$200,0,MATCH(AD$2,Inputs!$D$2:$AG$2,0)),Inputs!$B$4:$B$200,$B9)/1000)</f>
        <v>668.46021238</v>
      </c>
      <c r="AE9" s="11" t="str">
        <f>IF(AE$3=0,"",SUMIFS(INDEX(Inputs!$D$4:$AG$200,0,MATCH(AE$2,Inputs!$D$2:$AG$2,0)),Inputs!$B$4:$B$200,$B9)/1000)</f>
        <v/>
      </c>
      <c r="AF9" s="11" t="str">
        <f>IF(AF$3=0,"",SUMIFS(INDEX(Inputs!$D$4:$AG$200,0,MATCH(AF$2,Inputs!$D$2:$AG$2,0)),Inputs!$B$4:$B$200,$B9)/1000)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IF(D$3=0,"",SUMIFS(INDEX(Inputs!$D$4:$AG$200,0,MATCH(D$2,Inputs!$D$2:$AG$2,0)),Inputs!$B$4:$B$200,$B10)/1000)</f>
        <v>-115.677993871</v>
      </c>
      <c r="E10" s="11">
        <f>IF(E$3=0,"",SUMIFS(INDEX(Inputs!$D$4:$AG$200,0,MATCH(E$2,Inputs!$D$2:$AG$2,0)),Inputs!$B$4:$B$200,$B10)/1000)</f>
        <v>-150.76208871</v>
      </c>
      <c r="F10" s="11">
        <f>IF(F$3=0,"",SUMIFS(INDEX(Inputs!$D$4:$AG$200,0,MATCH(F$2,Inputs!$D$2:$AG$2,0)),Inputs!$B$4:$B$200,$B10)/1000)</f>
        <v>-173.62383393</v>
      </c>
      <c r="G10" s="11">
        <f>IF(G$3=0,"",SUMIFS(INDEX(Inputs!$D$4:$AG$200,0,MATCH(G$2,Inputs!$D$2:$AG$2,0)),Inputs!$B$4:$B$200,$B10)/1000)</f>
        <v>-143.944083489</v>
      </c>
      <c r="H10" s="12">
        <f>IF(COUNT(D10:G10)=4,SUM(D10:G10),"")</f>
        <v>-584.008</v>
      </c>
      <c r="I10" s="11">
        <f>IF(I$3=0,"",SUMIFS(INDEX(Inputs!$D$4:$AG$200,0,MATCH(I$2,Inputs!$D$2:$AG$2,0)),Inputs!$B$4:$B$200,$B10)/1000)</f>
        <v>-134.962</v>
      </c>
      <c r="J10" s="11">
        <f>IF(J$3=0,"",SUMIFS(INDEX(Inputs!$D$4:$AG$200,0,MATCH(J$2,Inputs!$D$2:$AG$2,0)),Inputs!$B$4:$B$200,$B10)/1000)</f>
        <v>-111.208</v>
      </c>
      <c r="K10" s="11">
        <f>IF(K$3=0,"",SUMIFS(INDEX(Inputs!$D$4:$AG$200,0,MATCH(K$2,Inputs!$D$2:$AG$2,0)),Inputs!$B$4:$B$200,$B10)/1000)</f>
        <v>-64.128</v>
      </c>
      <c r="L10" s="11">
        <f>IF(L$3=0,"",SUMIFS(INDEX(Inputs!$D$4:$AG$200,0,MATCH(L$2,Inputs!$D$2:$AG$2,0)),Inputs!$B$4:$B$200,$B10)/1000)</f>
        <v>263.619712305</v>
      </c>
      <c r="M10" s="12">
        <f>IF(COUNT(I10:L10)=4,SUM(I10:L10),"")</f>
        <v>-46.678287695</v>
      </c>
      <c r="N10" s="11">
        <f>IF(N$3=0,"",SUMIFS(INDEX(Inputs!$D$4:$AG$200,0,MATCH(N$2,Inputs!$D$2:$AG$2,0)),Inputs!$B$4:$B$200,$B10)/1000)</f>
        <v>70.27789576</v>
      </c>
      <c r="O10" s="11">
        <f>IF(O$3=0,"",SUMIFS(INDEX(Inputs!$D$4:$AG$200,0,MATCH(O$2,Inputs!$D$2:$AG$2,0)),Inputs!$B$4:$B$200,$B10)/1000)</f>
        <v>-6.886477127</v>
      </c>
      <c r="P10" s="11">
        <f>IF(P$3=0,"",SUMIFS(INDEX(Inputs!$D$4:$AG$200,0,MATCH(P$2,Inputs!$D$2:$AG$2,0)),Inputs!$B$4:$B$200,$B10)/1000)</f>
        <v>82.158320558</v>
      </c>
      <c r="Q10" s="11">
        <f>IF(Q$3=0,"",SUMIFS(INDEX(Inputs!$D$4:$AG$200,0,MATCH(Q$2,Inputs!$D$2:$AG$2,0)),Inputs!$B$4:$B$200,$B10)/1000)</f>
        <v>231.655263591</v>
      </c>
      <c r="R10" s="12">
        <f>IF(COUNT(N10:Q10)=4,SUM(N10:Q10),"")</f>
        <v>377.205002782</v>
      </c>
      <c r="S10" s="11">
        <f>IF(S$3=0,"",SUMIFS(INDEX(Inputs!$D$4:$AG$200,0,MATCH(S$2,Inputs!$D$2:$AG$2,0)),Inputs!$B$4:$B$200,$B10)/1000)</f>
        <v>-16.36550454</v>
      </c>
      <c r="T10" s="11">
        <f>IF(T$3=0,"",SUMIFS(INDEX(Inputs!$D$4:$AG$200,0,MATCH(T$2,Inputs!$D$2:$AG$2,0)),Inputs!$B$4:$B$200,$B10)/1000)</f>
        <v>-79.02701432</v>
      </c>
      <c r="U10" s="11">
        <f>IF(U$3=0,"",SUMIFS(INDEX(Inputs!$D$4:$AG$200,0,MATCH(U$2,Inputs!$D$2:$AG$2,0)),Inputs!$B$4:$B$200,$B10)/1000)</f>
        <v>-41.45635505</v>
      </c>
      <c r="V10" s="11">
        <f>IF(V$3=0,"",SUMIFS(INDEX(Inputs!$D$4:$AG$200,0,MATCH(V$2,Inputs!$D$2:$AG$2,0)),Inputs!$B$4:$B$200,$B10)/1000)</f>
        <v>-178.77275664</v>
      </c>
      <c r="W10" s="12">
        <f>IF(COUNT(S10:V10)=4,SUM(S10:V10),"")</f>
        <v>-315.62163055</v>
      </c>
      <c r="X10" s="11">
        <f>IF(X$3=0,"",SUMIFS(INDEX(Inputs!$D$4:$AG$200,0,MATCH(X$2,Inputs!$D$2:$AG$2,0)),Inputs!$B$4:$B$200,$B10)/1000)</f>
        <v>33.11294772</v>
      </c>
      <c r="Y10" s="11">
        <f>IF(Y$3=0,"",SUMIFS(INDEX(Inputs!$D$4:$AG$200,0,MATCH(Y$2,Inputs!$D$2:$AG$2,0)),Inputs!$B$4:$B$200,$B10)/1000)</f>
        <v>76.22104517</v>
      </c>
      <c r="Z10" s="11">
        <f>IF(Z$3=0,"",SUMIFS(INDEX(Inputs!$D$4:$AG$200,0,MATCH(Z$2,Inputs!$D$2:$AG$2,0)),Inputs!$B$4:$B$200,$B10)/1000)</f>
        <v>83.7182697</v>
      </c>
      <c r="AA10" s="11">
        <f>IF(AA$3=0,"",SUMIFS(INDEX(Inputs!$D$4:$AG$200,0,MATCH(AA$2,Inputs!$D$2:$AG$2,0)),Inputs!$B$4:$B$200,$B10)/1000)</f>
        <v>-239.26191702</v>
      </c>
      <c r="AB10" s="12">
        <f>IF(COUNT(X10:AA10)=4,SUM(X10:AA10),"")</f>
        <v>-46.20965443</v>
      </c>
      <c r="AC10" s="11">
        <f>IF(AC$3=0,"",SUMIFS(INDEX(Inputs!$D$4:$AG$200,0,MATCH(AC$2,Inputs!$D$2:$AG$2,0)),Inputs!$B$4:$B$200,$B10)/1000)</f>
        <v>58.79669943</v>
      </c>
      <c r="AD10" s="11">
        <f>IF(AD$3=0,"",SUMIFS(INDEX(Inputs!$D$4:$AG$200,0,MATCH(AD$2,Inputs!$D$2:$AG$2,0)),Inputs!$B$4:$B$200,$B10)/1000)</f>
        <v>40.52143457</v>
      </c>
      <c r="AE10" s="11" t="str">
        <f>IF(AE$3=0,"",SUMIFS(INDEX(Inputs!$D$4:$AG$200,0,MATCH(AE$2,Inputs!$D$2:$AG$2,0)),Inputs!$B$4:$B$200,$B10)/1000)</f>
        <v/>
      </c>
      <c r="AF10" s="11" t="str">
        <f>IF(AF$3=0,"",SUMIFS(INDEX(Inputs!$D$4:$AG$200,0,MATCH(AF$2,Inputs!$D$2:$AG$2,0)),Inputs!$B$4:$B$200,$B10)/1000)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IF(D$3=0,"",SUMIFS(INDEX(Inputs!$D$4:$AG$200,0,MATCH(D$2,Inputs!$D$2:$AG$2,0)),Inputs!$B$4:$B$200,$B11)/1000)</f>
        <v>0</v>
      </c>
      <c r="E11" s="11">
        <f>IF(E$3=0,"",SUMIFS(INDEX(Inputs!$D$4:$AG$200,0,MATCH(E$2,Inputs!$D$2:$AG$2,0)),Inputs!$B$4:$B$200,$B11)/1000)</f>
        <v>0</v>
      </c>
      <c r="F11" s="11">
        <f>IF(F$3=0,"",SUMIFS(INDEX(Inputs!$D$4:$AG$200,0,MATCH(F$2,Inputs!$D$2:$AG$2,0)),Inputs!$B$4:$B$200,$B11)/1000)</f>
        <v>0</v>
      </c>
      <c r="G11" s="11">
        <f>IF(G$3=0,"",SUMIFS(INDEX(Inputs!$D$4:$AG$200,0,MATCH(G$2,Inputs!$D$2:$AG$2,0)),Inputs!$B$4:$B$200,$B11)/1000)</f>
        <v>0</v>
      </c>
      <c r="H11" s="12">
        <f>IF(COUNT(D11:G11)=4,SUM(D11:G11),"")</f>
        <v>0</v>
      </c>
      <c r="I11" s="11">
        <f>IF(I$3=0,"",SUMIFS(INDEX(Inputs!$D$4:$AG$200,0,MATCH(I$2,Inputs!$D$2:$AG$2,0)),Inputs!$B$4:$B$200,$B11)/1000)</f>
        <v>0</v>
      </c>
      <c r="J11" s="11">
        <f>IF(J$3=0,"",SUMIFS(INDEX(Inputs!$D$4:$AG$200,0,MATCH(J$2,Inputs!$D$2:$AG$2,0)),Inputs!$B$4:$B$200,$B11)/1000)</f>
        <v>0</v>
      </c>
      <c r="K11" s="11">
        <f>IF(K$3=0,"",SUMIFS(INDEX(Inputs!$D$4:$AG$200,0,MATCH(K$2,Inputs!$D$2:$AG$2,0)),Inputs!$B$4:$B$200,$B11)/1000)</f>
        <v>0</v>
      </c>
      <c r="L11" s="11">
        <f>IF(L$3=0,"",SUMIFS(INDEX(Inputs!$D$4:$AG$200,0,MATCH(L$2,Inputs!$D$2:$AG$2,0)),Inputs!$B$4:$B$200,$B11)/1000)</f>
        <v>0</v>
      </c>
      <c r="M11" s="12">
        <f>IF(COUNT(I11:L11)=4,SUM(I11:L11),"")</f>
        <v>0</v>
      </c>
      <c r="N11" s="11">
        <f>IF(N$3=0,"",SUMIFS(INDEX(Inputs!$D$4:$AG$200,0,MATCH(N$2,Inputs!$D$2:$AG$2,0)),Inputs!$B$4:$B$200,$B11)/1000)</f>
        <v>0</v>
      </c>
      <c r="O11" s="11">
        <f>IF(O$3=0,"",SUMIFS(INDEX(Inputs!$D$4:$AG$200,0,MATCH(O$2,Inputs!$D$2:$AG$2,0)),Inputs!$B$4:$B$200,$B11)/1000)</f>
        <v>0</v>
      </c>
      <c r="P11" s="11">
        <f>IF(P$3=0,"",SUMIFS(INDEX(Inputs!$D$4:$AG$200,0,MATCH(P$2,Inputs!$D$2:$AG$2,0)),Inputs!$B$4:$B$200,$B11)/1000)</f>
        <v>0</v>
      </c>
      <c r="Q11" s="11">
        <f>IF(Q$3=0,"",SUMIFS(INDEX(Inputs!$D$4:$AG$200,0,MATCH(Q$2,Inputs!$D$2:$AG$2,0)),Inputs!$B$4:$B$200,$B11)/1000)</f>
        <v>0</v>
      </c>
      <c r="R11" s="12">
        <f>IF(COUNT(N11:Q11)=4,SUM(N11:Q11),"")</f>
        <v>0</v>
      </c>
      <c r="S11" s="11">
        <f>IF(S$3=0,"",SUMIFS(INDEX(Inputs!$D$4:$AG$200,0,MATCH(S$2,Inputs!$D$2:$AG$2,0)),Inputs!$B$4:$B$200,$B11)/1000)</f>
        <v>0</v>
      </c>
      <c r="T11" s="11">
        <f>IF(T$3=0,"",SUMIFS(INDEX(Inputs!$D$4:$AG$200,0,MATCH(T$2,Inputs!$D$2:$AG$2,0)),Inputs!$B$4:$B$200,$B11)/1000)</f>
        <v>0</v>
      </c>
      <c r="U11" s="11">
        <f>IF(U$3=0,"",SUMIFS(INDEX(Inputs!$D$4:$AG$200,0,MATCH(U$2,Inputs!$D$2:$AG$2,0)),Inputs!$B$4:$B$200,$B11)/1000)</f>
        <v>0</v>
      </c>
      <c r="V11" s="11">
        <f>IF(V$3=0,"",SUMIFS(INDEX(Inputs!$D$4:$AG$200,0,MATCH(V$2,Inputs!$D$2:$AG$2,0)),Inputs!$B$4:$B$200,$B11)/1000)</f>
        <v>0</v>
      </c>
      <c r="W11" s="12">
        <f>IF(COUNT(S11:V11)=4,SUM(S11:V11),"")</f>
        <v>0</v>
      </c>
      <c r="X11" s="11">
        <f>IF(X$3=0,"",SUMIFS(INDEX(Inputs!$D$4:$AG$200,0,MATCH(X$2,Inputs!$D$2:$AG$2,0)),Inputs!$B$4:$B$200,$B11)/1000)</f>
        <v>0</v>
      </c>
      <c r="Y11" s="11">
        <f>IF(Y$3=0,"",SUMIFS(INDEX(Inputs!$D$4:$AG$200,0,MATCH(Y$2,Inputs!$D$2:$AG$2,0)),Inputs!$B$4:$B$200,$B11)/1000)</f>
        <v>0</v>
      </c>
      <c r="Z11" s="11">
        <f>IF(Z$3=0,"",SUMIFS(INDEX(Inputs!$D$4:$AG$200,0,MATCH(Z$2,Inputs!$D$2:$AG$2,0)),Inputs!$B$4:$B$200,$B11)/1000)</f>
        <v>0</v>
      </c>
      <c r="AA11" s="11">
        <f>IF(AA$3=0,"",SUMIFS(INDEX(Inputs!$D$4:$AG$200,0,MATCH(AA$2,Inputs!$D$2:$AG$2,0)),Inputs!$B$4:$B$200,$B11)/1000)</f>
        <v>0</v>
      </c>
      <c r="AB11" s="12">
        <f>IF(COUNT(X11:AA11)=4,SUM(X11:AA11),"")</f>
        <v>0</v>
      </c>
      <c r="AC11" s="11">
        <f>IF(AC$3=0,"",SUMIFS(INDEX(Inputs!$D$4:$AG$200,0,MATCH(AC$2,Inputs!$D$2:$AG$2,0)),Inputs!$B$4:$B$200,$B11)/1000)</f>
        <v>0</v>
      </c>
      <c r="AD11" s="11">
        <f>IF(AD$3=0,"",SUMIFS(INDEX(Inputs!$D$4:$AG$200,0,MATCH(AD$2,Inputs!$D$2:$AG$2,0)),Inputs!$B$4:$B$200,$B11)/1000)</f>
        <v>0</v>
      </c>
      <c r="AE11" s="11" t="str">
        <f>IF(AE$3=0,"",SUMIFS(INDEX(Inputs!$D$4:$AG$200,0,MATCH(AE$2,Inputs!$D$2:$AG$2,0)),Inputs!$B$4:$B$200,$B11)/1000)</f>
        <v/>
      </c>
      <c r="AF11" s="11" t="str">
        <f>IF(AF$3=0,"",SUMIFS(INDEX(Inputs!$D$4:$AG$200,0,MATCH(AF$2,Inputs!$D$2:$AG$2,0)),Inputs!$B$4:$B$200,$B11)/1000)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IF(D$3=0,"",SUMIFS(INDEX(Inputs!$D$4:$AG$200,0,MATCH(D$2,Inputs!$D$2:$AG$2,0)),Inputs!$B$4:$B$200,$B12)/1000)</f>
        <v>-76.925073525</v>
      </c>
      <c r="E12" s="11">
        <f>IF(E$3=0,"",SUMIFS(INDEX(Inputs!$D$4:$AG$200,0,MATCH(E$2,Inputs!$D$2:$AG$2,0)),Inputs!$B$4:$B$200,$B12)/1000)</f>
        <v>-124.585678634</v>
      </c>
      <c r="F12" s="11">
        <f>IF(F$3=0,"",SUMIFS(INDEX(Inputs!$D$4:$AG$200,0,MATCH(F$2,Inputs!$D$2:$AG$2,0)),Inputs!$B$4:$B$200,$B12)/1000)</f>
        <v>-153.591501484</v>
      </c>
      <c r="G12" s="11">
        <f>IF(G$3=0,"",SUMIFS(INDEX(Inputs!$D$4:$AG$200,0,MATCH(G$2,Inputs!$D$2:$AG$2,0)),Inputs!$B$4:$B$200,$B12)/1000)</f>
        <v>-151.592746357</v>
      </c>
      <c r="H12" s="12">
        <f>IF(COUNT(D12:G12)=4,SUM(D12:G12),"")</f>
        <v>-506.695</v>
      </c>
      <c r="I12" s="11">
        <f>IF(I$3=0,"",SUMIFS(INDEX(Inputs!$D$4:$AG$200,0,MATCH(I$2,Inputs!$D$2:$AG$2,0)),Inputs!$B$4:$B$200,$B12)/1000)</f>
        <v>-136.847</v>
      </c>
      <c r="J12" s="11">
        <f>IF(J$3=0,"",SUMIFS(INDEX(Inputs!$D$4:$AG$200,0,MATCH(J$2,Inputs!$D$2:$AG$2,0)),Inputs!$B$4:$B$200,$B12)/1000)</f>
        <v>-110.9852</v>
      </c>
      <c r="K12" s="11">
        <f>IF(K$3=0,"",SUMIFS(INDEX(Inputs!$D$4:$AG$200,0,MATCH(K$2,Inputs!$D$2:$AG$2,0)),Inputs!$B$4:$B$200,$B12)/1000)</f>
        <v>-92.497000459</v>
      </c>
      <c r="L12" s="11">
        <f>IF(L$3=0,"",SUMIFS(INDEX(Inputs!$D$4:$AG$200,0,MATCH(L$2,Inputs!$D$2:$AG$2,0)),Inputs!$B$4:$B$200,$B12)/1000)</f>
        <v>-118.29595875</v>
      </c>
      <c r="M12" s="12">
        <f>IF(COUNT(I12:L12)=4,SUM(I12:L12),"")</f>
        <v>-458.625159209</v>
      </c>
      <c r="N12" s="11">
        <f>IF(N$3=0,"",SUMIFS(INDEX(Inputs!$D$4:$AG$200,0,MATCH(N$2,Inputs!$D$2:$AG$2,0)),Inputs!$B$4:$B$200,$B12)/1000)</f>
        <v>-70.742624531</v>
      </c>
      <c r="O12" s="11">
        <f>IF(O$3=0,"",SUMIFS(INDEX(Inputs!$D$4:$AG$200,0,MATCH(O$2,Inputs!$D$2:$AG$2,0)),Inputs!$B$4:$B$200,$B12)/1000)</f>
        <v>-87.556652072</v>
      </c>
      <c r="P12" s="11">
        <f>IF(P$3=0,"",SUMIFS(INDEX(Inputs!$D$4:$AG$200,0,MATCH(P$2,Inputs!$D$2:$AG$2,0)),Inputs!$B$4:$B$200,$B12)/1000)</f>
        <v>-25.875777461</v>
      </c>
      <c r="Q12" s="11">
        <f>IF(Q$3=0,"",SUMIFS(INDEX(Inputs!$D$4:$AG$200,0,MATCH(Q$2,Inputs!$D$2:$AG$2,0)),Inputs!$B$4:$B$200,$B12)/1000)</f>
        <v>340.80461935</v>
      </c>
      <c r="R12" s="12">
        <f>IF(COUNT(N12:Q12)=4,SUM(N12:Q12),"")</f>
        <v>156.629565286</v>
      </c>
      <c r="S12" s="11">
        <f>IF(S$3=0,"",SUMIFS(INDEX(Inputs!$D$4:$AG$200,0,MATCH(S$2,Inputs!$D$2:$AG$2,0)),Inputs!$B$4:$B$200,$B12)/1000)</f>
        <v>-85.7682702</v>
      </c>
      <c r="T12" s="11">
        <f>IF(T$3=0,"",SUMIFS(INDEX(Inputs!$D$4:$AG$200,0,MATCH(T$2,Inputs!$D$2:$AG$2,0)),Inputs!$B$4:$B$200,$B12)/1000)</f>
        <v>-92.54872519</v>
      </c>
      <c r="U12" s="11">
        <f>IF(U$3=0,"",SUMIFS(INDEX(Inputs!$D$4:$AG$200,0,MATCH(U$2,Inputs!$D$2:$AG$2,0)),Inputs!$B$4:$B$200,$B12)/1000)</f>
        <v>-92.09117639</v>
      </c>
      <c r="V12" s="11">
        <f>IF(V$3=0,"",SUMIFS(INDEX(Inputs!$D$4:$AG$200,0,MATCH(V$2,Inputs!$D$2:$AG$2,0)),Inputs!$B$4:$B$200,$B12)/1000)</f>
        <v>-21.57901496</v>
      </c>
      <c r="W12" s="12">
        <f>IF(COUNT(S12:V12)=4,SUM(S12:V12),"")</f>
        <v>-291.98718674</v>
      </c>
      <c r="X12" s="11">
        <f>IF(X$3=0,"",SUMIFS(INDEX(Inputs!$D$4:$AG$200,0,MATCH(X$2,Inputs!$D$2:$AG$2,0)),Inputs!$B$4:$B$200,$B12)/1000)</f>
        <v>-62.55145363</v>
      </c>
      <c r="Y12" s="11">
        <f>IF(Y$3=0,"",SUMIFS(INDEX(Inputs!$D$4:$AG$200,0,MATCH(Y$2,Inputs!$D$2:$AG$2,0)),Inputs!$B$4:$B$200,$B12)/1000)</f>
        <v>-53.36717598</v>
      </c>
      <c r="Z12" s="11">
        <f>IF(Z$3=0,"",SUMIFS(INDEX(Inputs!$D$4:$AG$200,0,MATCH(Z$2,Inputs!$D$2:$AG$2,0)),Inputs!$B$4:$B$200,$B12)/1000)</f>
        <v>-7.68147334999999</v>
      </c>
      <c r="AA12" s="11">
        <f>IF(AA$3=0,"",SUMIFS(INDEX(Inputs!$D$4:$AG$200,0,MATCH(AA$2,Inputs!$D$2:$AG$2,0)),Inputs!$B$4:$B$200,$B12)/1000)</f>
        <v>-49.92032701</v>
      </c>
      <c r="AB12" s="12">
        <f>IF(COUNT(X12:AA12)=4,SUM(X12:AA12),"")</f>
        <v>-173.52042997</v>
      </c>
      <c r="AC12" s="11">
        <f>IF(AC$3=0,"",SUMIFS(INDEX(Inputs!$D$4:$AG$200,0,MATCH(AC$2,Inputs!$D$2:$AG$2,0)),Inputs!$B$4:$B$200,$B12)/1000)</f>
        <v>-5.32068066000001</v>
      </c>
      <c r="AD12" s="11">
        <f>IF(AD$3=0,"",SUMIFS(INDEX(Inputs!$D$4:$AG$200,0,MATCH(AD$2,Inputs!$D$2:$AG$2,0)),Inputs!$B$4:$B$200,$B12)/1000)</f>
        <v>-38.34786495</v>
      </c>
      <c r="AE12" s="11" t="str">
        <f>IF(AE$3=0,"",SUMIFS(INDEX(Inputs!$D$4:$AG$200,0,MATCH(AE$2,Inputs!$D$2:$AG$2,0)),Inputs!$B$4:$B$200,$B12)/1000)</f>
        <v/>
      </c>
      <c r="AF12" s="11" t="str">
        <f>IF(AF$3=0,"",SUMIFS(INDEX(Inputs!$D$4:$AG$200,0,MATCH(AF$2,Inputs!$D$2:$AG$2,0)),Inputs!$B$4:$B$200,$B12)/1000)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IF(D$3=0,"",SUMIFS(INDEX(Inputs!$D$4:$AG$200,0,MATCH(D$2,Inputs!$D$2:$AG$2,0)),Inputs!$B$4:$B$200,$B13)/1000)</f>
        <v>-23.249</v>
      </c>
      <c r="E13" s="11">
        <f>IF(E$3=0,"",SUMIFS(INDEX(Inputs!$D$4:$AG$200,0,MATCH(E$2,Inputs!$D$2:$AG$2,0)),Inputs!$B$4:$B$200,$B13)/1000)</f>
        <v>-60.257</v>
      </c>
      <c r="F13" s="11">
        <f>IF(F$3=0,"",SUMIFS(INDEX(Inputs!$D$4:$AG$200,0,MATCH(F$2,Inputs!$D$2:$AG$2,0)),Inputs!$B$4:$B$200,$B13)/1000)</f>
        <v>-30.1</v>
      </c>
      <c r="G13" s="11">
        <f>IF(G$3=0,"",SUMIFS(INDEX(Inputs!$D$4:$AG$200,0,MATCH(G$2,Inputs!$D$2:$AG$2,0)),Inputs!$B$4:$B$200,$B13)/1000)</f>
        <v>-112.967</v>
      </c>
      <c r="H13" s="12">
        <f>IF(COUNT(D13:G13)=4,SUM(D13:G13),"")</f>
        <v>-226.573</v>
      </c>
      <c r="I13" s="11">
        <f>IF(I$3=0,"",SUMIFS(INDEX(Inputs!$D$4:$AG$200,0,MATCH(I$2,Inputs!$D$2:$AG$2,0)),Inputs!$B$4:$B$200,$B13)/1000)</f>
        <v>-125.184</v>
      </c>
      <c r="J13" s="11">
        <f>IF(J$3=0,"",SUMIFS(INDEX(Inputs!$D$4:$AG$200,0,MATCH(J$2,Inputs!$D$2:$AG$2,0)),Inputs!$B$4:$B$200,$B13)/1000)</f>
        <v>-421.481</v>
      </c>
      <c r="K13" s="11">
        <f>IF(K$3=0,"",SUMIFS(INDEX(Inputs!$D$4:$AG$200,0,MATCH(K$2,Inputs!$D$2:$AG$2,0)),Inputs!$B$4:$B$200,$B13)/1000)</f>
        <v>-49.193</v>
      </c>
      <c r="L13" s="11">
        <f>IF(L$3=0,"",SUMIFS(INDEX(Inputs!$D$4:$AG$200,0,MATCH(L$2,Inputs!$D$2:$AG$2,0)),Inputs!$B$4:$B$200,$B13)/1000)</f>
        <v>180.674</v>
      </c>
      <c r="M13" s="12">
        <f>IF(COUNT(I13:L13)=4,SUM(I13:L13),"")</f>
        <v>-415.184</v>
      </c>
      <c r="N13" s="11">
        <f>IF(N$3=0,"",SUMIFS(INDEX(Inputs!$D$4:$AG$200,0,MATCH(N$2,Inputs!$D$2:$AG$2,0)),Inputs!$B$4:$B$200,$B13)/1000)</f>
        <v>-125.974</v>
      </c>
      <c r="O13" s="11">
        <f>IF(O$3=0,"",SUMIFS(INDEX(Inputs!$D$4:$AG$200,0,MATCH(O$2,Inputs!$D$2:$AG$2,0)),Inputs!$B$4:$B$200,$B13)/1000)</f>
        <v>-109.124</v>
      </c>
      <c r="P13" s="11">
        <f>IF(P$3=0,"",SUMIFS(INDEX(Inputs!$D$4:$AG$200,0,MATCH(P$2,Inputs!$D$2:$AG$2,0)),Inputs!$B$4:$B$200,$B13)/1000)</f>
        <v>-22.684</v>
      </c>
      <c r="Q13" s="11">
        <f>IF(Q$3=0,"",SUMIFS(INDEX(Inputs!$D$4:$AG$200,0,MATCH(Q$2,Inputs!$D$2:$AG$2,0)),Inputs!$B$4:$B$200,$B13)/1000)</f>
        <v>-223.781</v>
      </c>
      <c r="R13" s="12">
        <f>IF(COUNT(N13:Q13)=4,SUM(N13:Q13),"")</f>
        <v>-481.563</v>
      </c>
      <c r="S13" s="11">
        <f>IF(S$3=0,"",SUMIFS(INDEX(Inputs!$D$4:$AG$200,0,MATCH(S$2,Inputs!$D$2:$AG$2,0)),Inputs!$B$4:$B$200,$B13)/1000)</f>
        <v>0</v>
      </c>
      <c r="T13" s="11">
        <f>IF(T$3=0,"",SUMIFS(INDEX(Inputs!$D$4:$AG$200,0,MATCH(T$2,Inputs!$D$2:$AG$2,0)),Inputs!$B$4:$B$200,$B13)/1000)</f>
        <v>0</v>
      </c>
      <c r="U13" s="11">
        <f>IF(U$3=0,"",SUMIFS(INDEX(Inputs!$D$4:$AG$200,0,MATCH(U$2,Inputs!$D$2:$AG$2,0)),Inputs!$B$4:$B$200,$B13)/1000)</f>
        <v>-112.087</v>
      </c>
      <c r="V13" s="11">
        <f>IF(V$3=0,"",SUMIFS(INDEX(Inputs!$D$4:$AG$200,0,MATCH(V$2,Inputs!$D$2:$AG$2,0)),Inputs!$B$4:$B$200,$B13)/1000)</f>
        <v>-45.091</v>
      </c>
      <c r="W13" s="12">
        <f>IF(COUNT(S13:V13)=4,SUM(S13:V13),"")</f>
        <v>-157.178</v>
      </c>
      <c r="X13" s="11">
        <f>IF(X$3=0,"",SUMIFS(INDEX(Inputs!$D$4:$AG$200,0,MATCH(X$2,Inputs!$D$2:$AG$2,0)),Inputs!$B$4:$B$200,$B13)/1000)</f>
        <v>-40.884</v>
      </c>
      <c r="Y13" s="11">
        <f>IF(Y$3=0,"",SUMIFS(INDEX(Inputs!$D$4:$AG$200,0,MATCH(Y$2,Inputs!$D$2:$AG$2,0)),Inputs!$B$4:$B$200,$B13)/1000)</f>
        <v>-189.751</v>
      </c>
      <c r="Z13" s="11">
        <f>IF(Z$3=0,"",SUMIFS(INDEX(Inputs!$D$4:$AG$200,0,MATCH(Z$2,Inputs!$D$2:$AG$2,0)),Inputs!$B$4:$B$200,$B13)/1000)</f>
        <v>-5.802</v>
      </c>
      <c r="AA13" s="11">
        <f>IF(AA$3=0,"",SUMIFS(INDEX(Inputs!$D$4:$AG$200,0,MATCH(AA$2,Inputs!$D$2:$AG$2,0)),Inputs!$B$4:$B$200,$B13)/1000)</f>
        <v>7.386</v>
      </c>
      <c r="AB13" s="12">
        <f>IF(COUNT(X13:AA13)=4,SUM(X13:AA13),"")</f>
        <v>-229.051</v>
      </c>
      <c r="AC13" s="11">
        <f>IF(AC$3=0,"",SUMIFS(INDEX(Inputs!$D$4:$AG$200,0,MATCH(AC$2,Inputs!$D$2:$AG$2,0)),Inputs!$B$4:$B$200,$B13)/1000)</f>
        <v>0</v>
      </c>
      <c r="AD13" s="11">
        <f>IF(AD$3=0,"",SUMIFS(INDEX(Inputs!$D$4:$AG$200,0,MATCH(AD$2,Inputs!$D$2:$AG$2,0)),Inputs!$B$4:$B$200,$B13)/1000)</f>
        <v>-168.72</v>
      </c>
      <c r="AE13" s="11" t="str">
        <f>IF(AE$3=0,"",SUMIFS(INDEX(Inputs!$D$4:$AG$200,0,MATCH(AE$2,Inputs!$D$2:$AG$2,0)),Inputs!$B$4:$B$200,$B13)/1000)</f>
        <v/>
      </c>
      <c r="AF13" s="11" t="str">
        <f>IF(AF$3=0,"",SUMIFS(INDEX(Inputs!$D$4:$AG$200,0,MATCH(AF$2,Inputs!$D$2:$AG$2,0)),Inputs!$B$4:$B$200,$B13)/1000)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IF(D$3=0,"",SUMIFS(INDEX(Inputs!$D$4:$AG$200,0,MATCH(D$2,Inputs!$D$2:$AG$2,0)),Inputs!$B$4:$B$200,$B15)/1000)</f>
        <v>13416.190705726</v>
      </c>
      <c r="E15" s="11">
        <f>IF(E$3=0,"",SUMIFS(INDEX(Inputs!$D$4:$AG$200,0,MATCH(E$2,Inputs!$D$2:$AG$2,0)),Inputs!$B$4:$B$200,$B15)/1000)</f>
        <v>12174.055</v>
      </c>
      <c r="F15" s="11">
        <f>IF(F$3=0,"",SUMIFS(INDEX(Inputs!$D$4:$AG$200,0,MATCH(F$2,Inputs!$D$2:$AG$2,0)),Inputs!$B$4:$B$200,$B15)/1000)</f>
        <v>16646.889</v>
      </c>
      <c r="G15" s="11">
        <f>IF(G$3=0,"",SUMIFS(INDEX(Inputs!$D$4:$AG$200,0,MATCH(G$2,Inputs!$D$2:$AG$2,0)),Inputs!$B$4:$B$200,$B15)/1000)</f>
        <v>18661.489</v>
      </c>
      <c r="H15" s="12">
        <f>IF(G15="","",G15)</f>
        <v>18661.489</v>
      </c>
      <c r="I15" s="11">
        <f>IF(I$3=0,"",SUMIFS(INDEX(Inputs!$D$4:$AG$200,0,MATCH(I$2,Inputs!$D$2:$AG$2,0)),Inputs!$B$4:$B$200,$B15)/1000)</f>
        <v>14705.318</v>
      </c>
      <c r="J15" s="11">
        <f>IF(J$3=0,"",SUMIFS(INDEX(Inputs!$D$4:$AG$200,0,MATCH(J$2,Inputs!$D$2:$AG$2,0)),Inputs!$B$4:$B$200,$B15)/1000)</f>
        <v>15021.48</v>
      </c>
      <c r="K15" s="11">
        <f>IF(K$3=0,"",SUMIFS(INDEX(Inputs!$D$4:$AG$200,0,MATCH(K$2,Inputs!$D$2:$AG$2,0)),Inputs!$B$4:$B$200,$B15)/1000)</f>
        <v>15483.583</v>
      </c>
      <c r="L15" s="11">
        <f>IF(L$3=0,"",SUMIFS(INDEX(Inputs!$D$4:$AG$200,0,MATCH(L$2,Inputs!$D$2:$AG$2,0)),Inputs!$B$4:$B$200,$B15)/1000)</f>
        <v>12902.269</v>
      </c>
      <c r="M15" s="12">
        <f>IF(L15="","",L15)</f>
        <v>12902.269</v>
      </c>
      <c r="N15" s="11">
        <f>IF(N$3=0,"",SUMIFS(INDEX(Inputs!$D$4:$AG$200,0,MATCH(N$2,Inputs!$D$2:$AG$2,0)),Inputs!$B$4:$B$200,$B15)/1000)</f>
        <v>9931.663287644</v>
      </c>
      <c r="O15" s="11">
        <f>IF(O$3=0,"",SUMIFS(INDEX(Inputs!$D$4:$AG$200,0,MATCH(O$2,Inputs!$D$2:$AG$2,0)),Inputs!$B$4:$B$200,$B15)/1000)</f>
        <v>7894.418187532</v>
      </c>
      <c r="P15" s="11">
        <f>IF(P$3=0,"",SUMIFS(INDEX(Inputs!$D$4:$AG$200,0,MATCH(P$2,Inputs!$D$2:$AG$2,0)),Inputs!$B$4:$B$200,$B15)/1000)</f>
        <v>8078.175403434</v>
      </c>
      <c r="Q15" s="11">
        <f>IF(Q$3=0,"",SUMIFS(INDEX(Inputs!$D$4:$AG$200,0,MATCH(Q$2,Inputs!$D$2:$AG$2,0)),Inputs!$B$4:$B$200,$B15)/1000)</f>
        <v>11124.536727015</v>
      </c>
      <c r="R15" s="12">
        <f>IF(Q15="","",Q15)</f>
        <v>11124.536727015</v>
      </c>
      <c r="S15" s="11">
        <f>IF(S$3=0,"",SUMIFS(INDEX(Inputs!$D$4:$AG$200,0,MATCH(S$2,Inputs!$D$2:$AG$2,0)),Inputs!$B$4:$B$200,$B15)/1000)</f>
        <v>12943.280937562</v>
      </c>
      <c r="T15" s="11">
        <f>IF(T$3=0,"",SUMIFS(INDEX(Inputs!$D$4:$AG$200,0,MATCH(T$2,Inputs!$D$2:$AG$2,0)),Inputs!$B$4:$B$200,$B15)/1000)</f>
        <v>12200.096524108</v>
      </c>
      <c r="U15" s="11">
        <f>IF(U$3=0,"",SUMIFS(INDEX(Inputs!$D$4:$AG$200,0,MATCH(U$2,Inputs!$D$2:$AG$2,0)),Inputs!$B$4:$B$200,$B15)/1000)</f>
        <v>14175.180072812</v>
      </c>
      <c r="V15" s="11">
        <f>IF(V$3=0,"",SUMIFS(INDEX(Inputs!$D$4:$AG$200,0,MATCH(V$2,Inputs!$D$2:$AG$2,0)),Inputs!$B$4:$B$200,$B15)/1000)</f>
        <v>13361.13484371</v>
      </c>
      <c r="W15" s="12">
        <f>IF(V15="","",V15)</f>
        <v>13361.13484371</v>
      </c>
      <c r="X15" s="11">
        <f>IF(X$3=0,"",SUMIFS(INDEX(Inputs!$D$4:$AG$200,0,MATCH(X$2,Inputs!$D$2:$AG$2,0)),Inputs!$B$4:$B$200,$B15)/1000)</f>
        <v>13536.03658932</v>
      </c>
      <c r="Y15" s="11">
        <f>IF(Y$3=0,"",SUMIFS(INDEX(Inputs!$D$4:$AG$200,0,MATCH(Y$2,Inputs!$D$2:$AG$2,0)),Inputs!$B$4:$B$200,$B15)/1000)</f>
        <v>12538.6419752</v>
      </c>
      <c r="Z15" s="11">
        <f>IF(Z$3=0,"",SUMIFS(INDEX(Inputs!$D$4:$AG$200,0,MATCH(Z$2,Inputs!$D$2:$AG$2,0)),Inputs!$B$4:$B$200,$B15)/1000)</f>
        <v>12685.19969168</v>
      </c>
      <c r="AA15" s="11">
        <f>IF(AA$3=0,"",SUMIFS(INDEX(Inputs!$D$4:$AG$200,0,MATCH(AA$2,Inputs!$D$2:$AG$2,0)),Inputs!$B$4:$B$200,$B15)/1000)</f>
        <v>17019.45165328</v>
      </c>
      <c r="AB15" s="12">
        <f>IF(AA15="","",AA15)</f>
        <v>17019.45165328</v>
      </c>
      <c r="AC15" s="11">
        <f>IF(AC$3=0,"",SUMIFS(INDEX(Inputs!$D$4:$AG$200,0,MATCH(AC$2,Inputs!$D$2:$AG$2,0)),Inputs!$B$4:$B$200,$B15)/1000)</f>
        <v>18005.17520755</v>
      </c>
      <c r="AD15" s="11">
        <f>IF(AD$3=0,"",SUMIFS(INDEX(Inputs!$D$4:$AG$200,0,MATCH(AD$2,Inputs!$D$2:$AG$2,0)),Inputs!$B$4:$B$200,$B15)/1000)</f>
        <v>18143.44610157</v>
      </c>
      <c r="AE15" s="11" t="str">
        <f>IF(AE$3=0,"",SUMIFS(INDEX(Inputs!$D$4:$AG$200,0,MATCH(AE$2,Inputs!$D$2:$AG$2,0)),Inputs!$B$4:$B$200,$B15)/1000)</f>
        <v/>
      </c>
      <c r="AF15" s="11" t="str">
        <f>IF(AF$3=0,"",SUMIFS(INDEX(Inputs!$D$4:$AG$200,0,MATCH(AF$2,Inputs!$D$2:$AG$2,0)),Inputs!$B$4:$B$200,$B15)/1000)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IF(D$3=0,"",SUMIFS(INDEX(Inputs!$D$4:$AG$200,0,MATCH(D$2,Inputs!$D$2:$AG$2,0)),Inputs!$B$4:$B$200,$B16)/1000)</f>
        <v>2151.392651979</v>
      </c>
      <c r="E16" s="11">
        <f>IF(E$3=0,"",SUMIFS(INDEX(Inputs!$D$4:$AG$200,0,MATCH(E$2,Inputs!$D$2:$AG$2,0)),Inputs!$B$4:$B$200,$B16)/1000)</f>
        <v>2430.89</v>
      </c>
      <c r="F16" s="11">
        <f>IF(F$3=0,"",SUMIFS(INDEX(Inputs!$D$4:$AG$200,0,MATCH(F$2,Inputs!$D$2:$AG$2,0)),Inputs!$B$4:$B$200,$B16)/1000)</f>
        <v>2779.127</v>
      </c>
      <c r="G16" s="11">
        <f>IF(G$3=0,"",SUMIFS(INDEX(Inputs!$D$4:$AG$200,0,MATCH(G$2,Inputs!$D$2:$AG$2,0)),Inputs!$B$4:$B$200,$B16)/1000)</f>
        <v>3260.329</v>
      </c>
      <c r="H16" s="12">
        <f>IF(G16="","",G16)</f>
        <v>3260.329</v>
      </c>
      <c r="I16" s="11">
        <f>IF(I$3=0,"",SUMIFS(INDEX(Inputs!$D$4:$AG$200,0,MATCH(I$2,Inputs!$D$2:$AG$2,0)),Inputs!$B$4:$B$200,$B16)/1000)</f>
        <v>3702.988</v>
      </c>
      <c r="J16" s="11">
        <f>IF(J$3=0,"",SUMIFS(INDEX(Inputs!$D$4:$AG$200,0,MATCH(J$2,Inputs!$D$2:$AG$2,0)),Inputs!$B$4:$B$200,$B16)/1000)</f>
        <v>3976.906</v>
      </c>
      <c r="K16" s="11">
        <f>IF(K$3=0,"",SUMIFS(INDEX(Inputs!$D$4:$AG$200,0,MATCH(K$2,Inputs!$D$2:$AG$2,0)),Inputs!$B$4:$B$200,$B16)/1000)</f>
        <v>4223.848</v>
      </c>
      <c r="L16" s="11">
        <f>IF(L$3=0,"",SUMIFS(INDEX(Inputs!$D$4:$AG$200,0,MATCH(L$2,Inputs!$D$2:$AG$2,0)),Inputs!$B$4:$B$200,$B16)/1000)</f>
        <v>4433.345</v>
      </c>
      <c r="M16" s="12">
        <f>IF(L16="","",L16)</f>
        <v>4433.345</v>
      </c>
      <c r="N16" s="11">
        <f>IF(N$3=0,"",SUMIFS(INDEX(Inputs!$D$4:$AG$200,0,MATCH(N$2,Inputs!$D$2:$AG$2,0)),Inputs!$B$4:$B$200,$B16)/1000)</f>
        <v>4794.602078925</v>
      </c>
      <c r="O16" s="11">
        <f>IF(O$3=0,"",SUMIFS(INDEX(Inputs!$D$4:$AG$200,0,MATCH(O$2,Inputs!$D$2:$AG$2,0)),Inputs!$B$4:$B$200,$B16)/1000)</f>
        <v>5221.968302858</v>
      </c>
      <c r="P16" s="11">
        <f>IF(P$3=0,"",SUMIFS(INDEX(Inputs!$D$4:$AG$200,0,MATCH(P$2,Inputs!$D$2:$AG$2,0)),Inputs!$B$4:$B$200,$B16)/1000)</f>
        <v>5708.640767071</v>
      </c>
      <c r="Q16" s="11">
        <f>IF(Q$3=0,"",SUMIFS(INDEX(Inputs!$D$4:$AG$200,0,MATCH(Q$2,Inputs!$D$2:$AG$2,0)),Inputs!$B$4:$B$200,$B16)/1000)</f>
        <v>5106.680167461</v>
      </c>
      <c r="R16" s="12">
        <f>IF(Q16="","",Q16)</f>
        <v>5106.680167461</v>
      </c>
      <c r="S16" s="11">
        <f>IF(S$3=0,"",SUMIFS(INDEX(Inputs!$D$4:$AG$200,0,MATCH(S$2,Inputs!$D$2:$AG$2,0)),Inputs!$B$4:$B$200,$B16)/1000)</f>
        <v>5418.71273677</v>
      </c>
      <c r="T16" s="11">
        <f>IF(T$3=0,"",SUMIFS(INDEX(Inputs!$D$4:$AG$200,0,MATCH(T$2,Inputs!$D$2:$AG$2,0)),Inputs!$B$4:$B$200,$B16)/1000)</f>
        <v>5801.981164879</v>
      </c>
      <c r="U16" s="11">
        <f>IF(U$3=0,"",SUMIFS(INDEX(Inputs!$D$4:$AG$200,0,MATCH(U$2,Inputs!$D$2:$AG$2,0)),Inputs!$B$4:$B$200,$B16)/1000)</f>
        <v>6344.78478164</v>
      </c>
      <c r="V16" s="11">
        <f>IF(V$3=0,"",SUMIFS(INDEX(Inputs!$D$4:$AG$200,0,MATCH(V$2,Inputs!$D$2:$AG$2,0)),Inputs!$B$4:$B$200,$B16)/1000)</f>
        <v>6051.44102391</v>
      </c>
      <c r="W16" s="12">
        <f>IF(V16="","",V16)</f>
        <v>6051.44102391</v>
      </c>
      <c r="X16" s="11">
        <f>IF(X$3=0,"",SUMIFS(INDEX(Inputs!$D$4:$AG$200,0,MATCH(X$2,Inputs!$D$2:$AG$2,0)),Inputs!$B$4:$B$200,$B16)/1000)</f>
        <v>6817.36007656</v>
      </c>
      <c r="Y16" s="11">
        <f>IF(Y$3=0,"",SUMIFS(INDEX(Inputs!$D$4:$AG$200,0,MATCH(Y$2,Inputs!$D$2:$AG$2,0)),Inputs!$B$4:$B$200,$B16)/1000)</f>
        <v>7493.70215503</v>
      </c>
      <c r="Z16" s="11">
        <f>IF(Z$3=0,"",SUMIFS(INDEX(Inputs!$D$4:$AG$200,0,MATCH(Z$2,Inputs!$D$2:$AG$2,0)),Inputs!$B$4:$B$200,$B16)/1000)</f>
        <v>7771.08104948</v>
      </c>
      <c r="AA16" s="11">
        <f>IF(AA$3=0,"",SUMIFS(INDEX(Inputs!$D$4:$AG$200,0,MATCH(AA$2,Inputs!$D$2:$AG$2,0)),Inputs!$B$4:$B$200,$B16)/1000)</f>
        <v>7614.79769078</v>
      </c>
      <c r="AB16" s="12">
        <f>IF(AA16="","",AA16)</f>
        <v>7614.79769078</v>
      </c>
      <c r="AC16" s="11">
        <f>IF(AC$3=0,"",SUMIFS(INDEX(Inputs!$D$4:$AG$200,0,MATCH(AC$2,Inputs!$D$2:$AG$2,0)),Inputs!$B$4:$B$200,$B16)/1000)</f>
        <v>7759.61530065</v>
      </c>
      <c r="AD16" s="11">
        <f>IF(AD$3=0,"",SUMIFS(INDEX(Inputs!$D$4:$AG$200,0,MATCH(AD$2,Inputs!$D$2:$AG$2,0)),Inputs!$B$4:$B$200,$B16)/1000)</f>
        <v>8715.74125397</v>
      </c>
      <c r="AE16" s="11" t="str">
        <f>IF(AE$3=0,"",SUMIFS(INDEX(Inputs!$D$4:$AG$200,0,MATCH(AE$2,Inputs!$D$2:$AG$2,0)),Inputs!$B$4:$B$200,$B16)/1000)</f>
        <v/>
      </c>
      <c r="AF16" s="11" t="str">
        <f>IF(AF$3=0,"",SUMIFS(INDEX(Inputs!$D$4:$AG$200,0,MATCH(AF$2,Inputs!$D$2:$AG$2,0)),Inputs!$B$4:$B$200,$B16)/1000)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IF(D$3=0,"",SUMIFS(INDEX(Inputs!$D$4:$AG$200,0,MATCH(D$2,Inputs!$D$2:$AG$2,0)),Inputs!$B$4:$B$200,$B17)/1000)</f>
        <v>255.36256732</v>
      </c>
      <c r="E17" s="11">
        <f>IF(E$3=0,"",SUMIFS(INDEX(Inputs!$D$4:$AG$200,0,MATCH(E$2,Inputs!$D$2:$AG$2,0)),Inputs!$B$4:$B$200,$B17)/1000)</f>
        <v>378.575</v>
      </c>
      <c r="F17" s="11">
        <f>IF(F$3=0,"",SUMIFS(INDEX(Inputs!$D$4:$AG$200,0,MATCH(F$2,Inputs!$D$2:$AG$2,0)),Inputs!$B$4:$B$200,$B17)/1000)</f>
        <v>378.18</v>
      </c>
      <c r="G17" s="11">
        <f>IF(G$3=0,"",SUMIFS(INDEX(Inputs!$D$4:$AG$200,0,MATCH(G$2,Inputs!$D$2:$AG$2,0)),Inputs!$B$4:$B$200,$B17)/1000)</f>
        <v>525.95</v>
      </c>
      <c r="H17" s="12">
        <f>IF(G17="","",G17)</f>
        <v>525.95</v>
      </c>
      <c r="I17" s="11">
        <f>IF(I$3=0,"",SUMIFS(INDEX(Inputs!$D$4:$AG$200,0,MATCH(I$2,Inputs!$D$2:$AG$2,0)),Inputs!$B$4:$B$200,$B17)/1000)</f>
        <v>596.625</v>
      </c>
      <c r="J17" s="11">
        <f>IF(J$3=0,"",SUMIFS(INDEX(Inputs!$D$4:$AG$200,0,MATCH(J$2,Inputs!$D$2:$AG$2,0)),Inputs!$B$4:$B$200,$B17)/1000)</f>
        <v>775.164</v>
      </c>
      <c r="K17" s="11">
        <f>IF(K$3=0,"",SUMIFS(INDEX(Inputs!$D$4:$AG$200,0,MATCH(K$2,Inputs!$D$2:$AG$2,0)),Inputs!$B$4:$B$200,$B17)/1000)</f>
        <v>1166.831</v>
      </c>
      <c r="L17" s="11">
        <f>IF(L$3=0,"",SUMIFS(INDEX(Inputs!$D$4:$AG$200,0,MATCH(L$2,Inputs!$D$2:$AG$2,0)),Inputs!$B$4:$B$200,$B17)/1000)</f>
        <v>1694.32</v>
      </c>
      <c r="M17" s="12">
        <f>IF(L17="","",L17)</f>
        <v>1694.32</v>
      </c>
      <c r="N17" s="11">
        <f>IF(N$3=0,"",SUMIFS(INDEX(Inputs!$D$4:$AG$200,0,MATCH(N$2,Inputs!$D$2:$AG$2,0)),Inputs!$B$4:$B$200,$B17)/1000)</f>
        <v>1774.066246812</v>
      </c>
      <c r="O17" s="11">
        <f>IF(O$3=0,"",SUMIFS(INDEX(Inputs!$D$4:$AG$200,0,MATCH(O$2,Inputs!$D$2:$AG$2,0)),Inputs!$B$4:$B$200,$B17)/1000)</f>
        <v>2010.428732998</v>
      </c>
      <c r="P17" s="11">
        <f>IF(P$3=0,"",SUMIFS(INDEX(Inputs!$D$4:$AG$200,0,MATCH(P$2,Inputs!$D$2:$AG$2,0)),Inputs!$B$4:$B$200,$B17)/1000)</f>
        <v>2549.582530292</v>
      </c>
      <c r="Q17" s="11">
        <f>IF(Q$3=0,"",SUMIFS(INDEX(Inputs!$D$4:$AG$200,0,MATCH(Q$2,Inputs!$D$2:$AG$2,0)),Inputs!$B$4:$B$200,$B17)/1000)</f>
        <v>2890.5093802</v>
      </c>
      <c r="R17" s="12">
        <f>IF(Q17="","",Q17)</f>
        <v>2890.5093802</v>
      </c>
      <c r="S17" s="11">
        <f>IF(S$3=0,"",SUMIFS(INDEX(Inputs!$D$4:$AG$200,0,MATCH(S$2,Inputs!$D$2:$AG$2,0)),Inputs!$B$4:$B$200,$B17)/1000)</f>
        <v>2876.054845874</v>
      </c>
      <c r="T17" s="11">
        <f>IF(T$3=0,"",SUMIFS(INDEX(Inputs!$D$4:$AG$200,0,MATCH(T$2,Inputs!$D$2:$AG$2,0)),Inputs!$B$4:$B$200,$B17)/1000)</f>
        <v>2973.787268087</v>
      </c>
      <c r="U17" s="11">
        <f>IF(U$3=0,"",SUMIFS(INDEX(Inputs!$D$4:$AG$200,0,MATCH(U$2,Inputs!$D$2:$AG$2,0)),Inputs!$B$4:$B$200,$B17)/1000)</f>
        <v>3204.842103803</v>
      </c>
      <c r="V17" s="11">
        <f>IF(V$3=0,"",SUMIFS(INDEX(Inputs!$D$4:$AG$200,0,MATCH(V$2,Inputs!$D$2:$AG$2,0)),Inputs!$B$4:$B$200,$B17)/1000)</f>
        <v>3180.42084757</v>
      </c>
      <c r="W17" s="12">
        <f>IF(V17="","",V17)</f>
        <v>3180.42084757</v>
      </c>
      <c r="X17" s="11">
        <f>IF(X$3=0,"",SUMIFS(INDEX(Inputs!$D$4:$AG$200,0,MATCH(X$2,Inputs!$D$2:$AG$2,0)),Inputs!$B$4:$B$200,$B17)/1000)</f>
        <v>3017.70346832</v>
      </c>
      <c r="Y17" s="11">
        <f>IF(Y$3=0,"",SUMIFS(INDEX(Inputs!$D$4:$AG$200,0,MATCH(Y$2,Inputs!$D$2:$AG$2,0)),Inputs!$B$4:$B$200,$B17)/1000)</f>
        <v>3009.38209893</v>
      </c>
      <c r="Z17" s="11">
        <f>IF(Z$3=0,"",SUMIFS(INDEX(Inputs!$D$4:$AG$200,0,MATCH(Z$2,Inputs!$D$2:$AG$2,0)),Inputs!$B$4:$B$200,$B17)/1000)</f>
        <v>2814.70355854</v>
      </c>
      <c r="AA17" s="11">
        <f>IF(AA$3=0,"",SUMIFS(INDEX(Inputs!$D$4:$AG$200,0,MATCH(AA$2,Inputs!$D$2:$AG$2,0)),Inputs!$B$4:$B$200,$B17)/1000)</f>
        <v>2827.60633441</v>
      </c>
      <c r="AB17" s="12">
        <f>IF(AA17="","",AA17)</f>
        <v>2827.60633441</v>
      </c>
      <c r="AC17" s="11">
        <f>IF(AC$3=0,"",SUMIFS(INDEX(Inputs!$D$4:$AG$200,0,MATCH(AC$2,Inputs!$D$2:$AG$2,0)),Inputs!$B$4:$B$200,$B17)/1000)</f>
        <v>2524.4446876</v>
      </c>
      <c r="AD17" s="11">
        <f>IF(AD$3=0,"",SUMIFS(INDEX(Inputs!$D$4:$AG$200,0,MATCH(AD$2,Inputs!$D$2:$AG$2,0)),Inputs!$B$4:$B$200,$B17)/1000)</f>
        <v>2670.24045105</v>
      </c>
      <c r="AE17" s="11" t="str">
        <f>IF(AE$3=0,"",SUMIFS(INDEX(Inputs!$D$4:$AG$200,0,MATCH(AE$2,Inputs!$D$2:$AG$2,0)),Inputs!$B$4:$B$200,$B17)/1000)</f>
        <v/>
      </c>
      <c r="AF17" s="11" t="str">
        <f>IF(AF$3=0,"",SUMIFS(INDEX(Inputs!$D$4:$AG$200,0,MATCH(AF$2,Inputs!$D$2:$AG$2,0)),Inputs!$B$4:$B$200,$B17)/1000)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IF(D$3=0,"",SUMIFS(INDEX(Inputs!$D$4:$AG$200,0,MATCH(D$2,Inputs!$D$2:$AG$2,0)),Inputs!$B$4:$B$200,$B18)/1000)</f>
        <v>241.268</v>
      </c>
      <c r="E18" s="11">
        <f>IF(E$3=0,"",SUMIFS(INDEX(Inputs!$D$4:$AG$200,0,MATCH(E$2,Inputs!$D$2:$AG$2,0)),Inputs!$B$4:$B$200,$B18)/1000)</f>
        <v>256.819</v>
      </c>
      <c r="F18" s="11">
        <f>IF(F$3=0,"",SUMIFS(INDEX(Inputs!$D$4:$AG$200,0,MATCH(F$2,Inputs!$D$2:$AG$2,0)),Inputs!$B$4:$B$200,$B18)/1000)</f>
        <v>412.573</v>
      </c>
      <c r="G18" s="11">
        <f>IF(G$3=0,"",SUMIFS(INDEX(Inputs!$D$4:$AG$200,0,MATCH(G$2,Inputs!$D$2:$AG$2,0)),Inputs!$B$4:$B$200,$B18)/1000)</f>
        <v>407.12</v>
      </c>
      <c r="H18" s="12">
        <f>IF(G18="","",G18)</f>
        <v>407.12</v>
      </c>
      <c r="I18" s="11">
        <f>IF(I$3=0,"",SUMIFS(INDEX(Inputs!$D$4:$AG$200,0,MATCH(I$2,Inputs!$D$2:$AG$2,0)),Inputs!$B$4:$B$200,$B18)/1000)</f>
        <v>539.7</v>
      </c>
      <c r="J18" s="11">
        <f>IF(J$3=0,"",SUMIFS(INDEX(Inputs!$D$4:$AG$200,0,MATCH(J$2,Inputs!$D$2:$AG$2,0)),Inputs!$B$4:$B$200,$B18)/1000)</f>
        <v>736.221</v>
      </c>
      <c r="K18" s="11">
        <f>IF(K$3=0,"",SUMIFS(INDEX(Inputs!$D$4:$AG$200,0,MATCH(K$2,Inputs!$D$2:$AG$2,0)),Inputs!$B$4:$B$200,$B18)/1000)</f>
        <v>973.754</v>
      </c>
      <c r="L18" s="11">
        <f>IF(L$3=0,"",SUMIFS(INDEX(Inputs!$D$4:$AG$200,0,MATCH(L$2,Inputs!$D$2:$AG$2,0)),Inputs!$B$4:$B$200,$B18)/1000)</f>
        <v>1177.823</v>
      </c>
      <c r="M18" s="12">
        <f>IF(L18="","",L18)</f>
        <v>1177.823</v>
      </c>
      <c r="N18" s="11">
        <f>IF(N$3=0,"",SUMIFS(INDEX(Inputs!$D$4:$AG$200,0,MATCH(N$2,Inputs!$D$2:$AG$2,0)),Inputs!$B$4:$B$200,$B18)/1000)</f>
        <v>1491.85617508</v>
      </c>
      <c r="O18" s="11">
        <f>IF(O$3=0,"",SUMIFS(INDEX(Inputs!$D$4:$AG$200,0,MATCH(O$2,Inputs!$D$2:$AG$2,0)),Inputs!$B$4:$B$200,$B18)/1000)</f>
        <v>1461.70291024</v>
      </c>
      <c r="P18" s="11">
        <f>IF(P$3=0,"",SUMIFS(INDEX(Inputs!$D$4:$AG$200,0,MATCH(P$2,Inputs!$D$2:$AG$2,0)),Inputs!$B$4:$B$200,$B18)/1000)</f>
        <v>1511.048730212</v>
      </c>
      <c r="Q18" s="11">
        <f>IF(Q$3=0,"",SUMIFS(INDEX(Inputs!$D$4:$AG$200,0,MATCH(Q$2,Inputs!$D$2:$AG$2,0)),Inputs!$B$4:$B$200,$B18)/1000)</f>
        <v>1591.41292869</v>
      </c>
      <c r="R18" s="12">
        <f>IF(Q18="","",Q18)</f>
        <v>1591.41292869</v>
      </c>
      <c r="S18" s="11">
        <f>IF(S$3=0,"",SUMIFS(INDEX(Inputs!$D$4:$AG$200,0,MATCH(S$2,Inputs!$D$2:$AG$2,0)),Inputs!$B$4:$B$200,$B18)/1000)</f>
        <v>1766.87914727</v>
      </c>
      <c r="T18" s="11">
        <f>IF(T$3=0,"",SUMIFS(INDEX(Inputs!$D$4:$AG$200,0,MATCH(T$2,Inputs!$D$2:$AG$2,0)),Inputs!$B$4:$B$200,$B18)/1000)</f>
        <v>1821.17066609</v>
      </c>
      <c r="U18" s="11">
        <f>IF(U$3=0,"",SUMIFS(INDEX(Inputs!$D$4:$AG$200,0,MATCH(U$2,Inputs!$D$2:$AG$2,0)),Inputs!$B$4:$B$200,$B18)/1000)</f>
        <v>2015.6869975</v>
      </c>
      <c r="V18" s="11">
        <f>IF(V$3=0,"",SUMIFS(INDEX(Inputs!$D$4:$AG$200,0,MATCH(V$2,Inputs!$D$2:$AG$2,0)),Inputs!$B$4:$B$200,$B18)/1000)</f>
        <v>1630.83874262</v>
      </c>
      <c r="W18" s="12">
        <f>IF(V18="","",V18)</f>
        <v>1630.83874262</v>
      </c>
      <c r="X18" s="11">
        <f>IF(X$3=0,"",SUMIFS(INDEX(Inputs!$D$4:$AG$200,0,MATCH(X$2,Inputs!$D$2:$AG$2,0)),Inputs!$B$4:$B$200,$B18)/1000)</f>
        <v>1592.80656682</v>
      </c>
      <c r="Y18" s="11">
        <f>IF(Y$3=0,"",SUMIFS(INDEX(Inputs!$D$4:$AG$200,0,MATCH(Y$2,Inputs!$D$2:$AG$2,0)),Inputs!$B$4:$B$200,$B18)/1000)</f>
        <v>1880.25687392</v>
      </c>
      <c r="Z18" s="11">
        <f>IF(Z$3=0,"",SUMIFS(INDEX(Inputs!$D$4:$AG$200,0,MATCH(Z$2,Inputs!$D$2:$AG$2,0)),Inputs!$B$4:$B$200,$B18)/1000)</f>
        <v>1983.94357365</v>
      </c>
      <c r="AA18" s="11">
        <f>IF(AA$3=0,"",SUMIFS(INDEX(Inputs!$D$4:$AG$200,0,MATCH(AA$2,Inputs!$D$2:$AG$2,0)),Inputs!$B$4:$B$200,$B18)/1000)</f>
        <v>1466.6363021</v>
      </c>
      <c r="AB18" s="12">
        <f>IF(AA18="","",AA18)</f>
        <v>1466.6363021</v>
      </c>
      <c r="AC18" s="11">
        <f>IF(AC$3=0,"",SUMIFS(INDEX(Inputs!$D$4:$AG$200,0,MATCH(AC$2,Inputs!$D$2:$AG$2,0)),Inputs!$B$4:$B$200,$B18)/1000)</f>
        <v>1625.76654579</v>
      </c>
      <c r="AD18" s="11">
        <f>IF(AD$3=0,"",SUMIFS(INDEX(Inputs!$D$4:$AG$200,0,MATCH(AD$2,Inputs!$D$2:$AG$2,0)),Inputs!$B$4:$B$200,$B18)/1000)</f>
        <v>1782.3087295</v>
      </c>
      <c r="AE18" s="11" t="str">
        <f>IF(AE$3=0,"",SUMIFS(INDEX(Inputs!$D$4:$AG$200,0,MATCH(AE$2,Inputs!$D$2:$AG$2,0)),Inputs!$B$4:$B$200,$B18)/1000)</f>
        <v/>
      </c>
      <c r="AF18" s="11" t="str">
        <f>IF(AF$3=0,"",SUMIFS(INDEX(Inputs!$D$4:$AG$200,0,MATCH(AF$2,Inputs!$D$2:$AG$2,0)),Inputs!$B$4:$B$200,$B18)/1000)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IF(D$3=0,"",SUMIFS(INDEX(Inputs!$D$4:$AG$200,0,MATCH(D$2,Inputs!$D$2:$AG$2,0)),Inputs!$B$4:$B$200,$B19)/1000)</f>
        <v>154.826873849</v>
      </c>
      <c r="E19" s="11">
        <f>IF(E$3=0,"",SUMIFS(INDEX(Inputs!$D$4:$AG$200,0,MATCH(E$2,Inputs!$D$2:$AG$2,0)),Inputs!$B$4:$B$200,$B19)/1000)</f>
        <v>145.481</v>
      </c>
      <c r="F19" s="11">
        <f>IF(F$3=0,"",SUMIFS(INDEX(Inputs!$D$4:$AG$200,0,MATCH(F$2,Inputs!$D$2:$AG$2,0)),Inputs!$B$4:$B$200,$B19)/1000)</f>
        <v>115.248</v>
      </c>
      <c r="G19" s="11">
        <f>IF(G$3=0,"",SUMIFS(INDEX(Inputs!$D$4:$AG$200,0,MATCH(G$2,Inputs!$D$2:$AG$2,0)),Inputs!$B$4:$B$200,$B19)/1000)</f>
        <v>67.977</v>
      </c>
      <c r="H19" s="12">
        <f>IF(G19="","",G19)</f>
        <v>67.977</v>
      </c>
      <c r="I19" s="11">
        <f>IF(I$3=0,"",SUMIFS(INDEX(Inputs!$D$4:$AG$200,0,MATCH(I$2,Inputs!$D$2:$AG$2,0)),Inputs!$B$4:$B$200,$B19)/1000)</f>
        <v>219.519</v>
      </c>
      <c r="J19" s="11">
        <f>IF(J$3=0,"",SUMIFS(INDEX(Inputs!$D$4:$AG$200,0,MATCH(J$2,Inputs!$D$2:$AG$2,0)),Inputs!$B$4:$B$200,$B19)/1000)</f>
        <v>189.826</v>
      </c>
      <c r="K19" s="11">
        <f>IF(K$3=0,"",SUMIFS(INDEX(Inputs!$D$4:$AG$200,0,MATCH(K$2,Inputs!$D$2:$AG$2,0)),Inputs!$B$4:$B$200,$B19)/1000)</f>
        <v>176.358</v>
      </c>
      <c r="L19" s="11">
        <f>IF(L$3=0,"",SUMIFS(INDEX(Inputs!$D$4:$AG$200,0,MATCH(L$2,Inputs!$D$2:$AG$2,0)),Inputs!$B$4:$B$200,$B19)/1000)</f>
        <v>98.457</v>
      </c>
      <c r="M19" s="12">
        <f>IF(L19="","",L19)</f>
        <v>98.457</v>
      </c>
      <c r="N19" s="11">
        <f>IF(N$3=0,"",SUMIFS(INDEX(Inputs!$D$4:$AG$200,0,MATCH(N$2,Inputs!$D$2:$AG$2,0)),Inputs!$B$4:$B$200,$B19)/1000)</f>
        <v>205.016639258</v>
      </c>
      <c r="O19" s="11">
        <f>IF(O$3=0,"",SUMIFS(INDEX(Inputs!$D$4:$AG$200,0,MATCH(O$2,Inputs!$D$2:$AG$2,0)),Inputs!$B$4:$B$200,$B19)/1000)</f>
        <v>348.50864311</v>
      </c>
      <c r="P19" s="11">
        <f>IF(P$3=0,"",SUMIFS(INDEX(Inputs!$D$4:$AG$200,0,MATCH(P$2,Inputs!$D$2:$AG$2,0)),Inputs!$B$4:$B$200,$B19)/1000)</f>
        <v>264.295392198</v>
      </c>
      <c r="Q19" s="11">
        <f>IF(Q$3=0,"",SUMIFS(INDEX(Inputs!$D$4:$AG$200,0,MATCH(Q$2,Inputs!$D$2:$AG$2,0)),Inputs!$B$4:$B$200,$B19)/1000)</f>
        <v>127.727105078</v>
      </c>
      <c r="R19" s="12">
        <f>IF(Q19="","",Q19)</f>
        <v>127.727105078</v>
      </c>
      <c r="S19" s="11">
        <f>IF(S$3=0,"",SUMIFS(INDEX(Inputs!$D$4:$AG$200,0,MATCH(S$2,Inputs!$D$2:$AG$2,0)),Inputs!$B$4:$B$200,$B19)/1000)</f>
        <v>393.758507142</v>
      </c>
      <c r="T19" s="11">
        <f>IF(T$3=0,"",SUMIFS(INDEX(Inputs!$D$4:$AG$200,0,MATCH(T$2,Inputs!$D$2:$AG$2,0)),Inputs!$B$4:$B$200,$B19)/1000)</f>
        <v>415.559772474</v>
      </c>
      <c r="U19" s="11">
        <f>IF(U$3=0,"",SUMIFS(INDEX(Inputs!$D$4:$AG$200,0,MATCH(U$2,Inputs!$D$2:$AG$2,0)),Inputs!$B$4:$B$200,$B19)/1000)</f>
        <v>320.164965196</v>
      </c>
      <c r="V19" s="11">
        <f>IF(V$3=0,"",SUMIFS(INDEX(Inputs!$D$4:$AG$200,0,MATCH(V$2,Inputs!$D$2:$AG$2,0)),Inputs!$B$4:$B$200,$B19)/1000)</f>
        <v>165.44256093</v>
      </c>
      <c r="W19" s="12">
        <f>IF(V19="","",V19)</f>
        <v>165.44256093</v>
      </c>
      <c r="X19" s="11">
        <f>IF(X$3=0,"",SUMIFS(INDEX(Inputs!$D$4:$AG$200,0,MATCH(X$2,Inputs!$D$2:$AG$2,0)),Inputs!$B$4:$B$200,$B19)/1000)</f>
        <v>537.14427348</v>
      </c>
      <c r="Y19" s="11">
        <f>IF(Y$3=0,"",SUMIFS(INDEX(Inputs!$D$4:$AG$200,0,MATCH(Y$2,Inputs!$D$2:$AG$2,0)),Inputs!$B$4:$B$200,$B19)/1000)</f>
        <v>508.51691581</v>
      </c>
      <c r="Z19" s="11">
        <f>IF(Z$3=0,"",SUMIFS(INDEX(Inputs!$D$4:$AG$200,0,MATCH(Z$2,Inputs!$D$2:$AG$2,0)),Inputs!$B$4:$B$200,$B19)/1000)</f>
        <v>346.88826298</v>
      </c>
      <c r="AA19" s="11">
        <f>IF(AA$3=0,"",SUMIFS(INDEX(Inputs!$D$4:$AG$200,0,MATCH(AA$2,Inputs!$D$2:$AG$2,0)),Inputs!$B$4:$B$200,$B19)/1000)</f>
        <v>211.97374409</v>
      </c>
      <c r="AB19" s="12">
        <f>IF(AA19="","",AA19)</f>
        <v>211.97374409</v>
      </c>
      <c r="AC19" s="11">
        <f>IF(AC$3=0,"",SUMIFS(INDEX(Inputs!$D$4:$AG$200,0,MATCH(AC$2,Inputs!$D$2:$AG$2,0)),Inputs!$B$4:$B$200,$B19)/1000)</f>
        <v>581.06857717</v>
      </c>
      <c r="AD19" s="11">
        <f>IF(AD$3=0,"",SUMIFS(INDEX(Inputs!$D$4:$AG$200,0,MATCH(AD$2,Inputs!$D$2:$AG$2,0)),Inputs!$B$4:$B$200,$B19)/1000)</f>
        <v>475.81639252</v>
      </c>
      <c r="AE19" s="11" t="str">
        <f>IF(AE$3=0,"",SUMIFS(INDEX(Inputs!$D$4:$AG$200,0,MATCH(AE$2,Inputs!$D$2:$AG$2,0)),Inputs!$B$4:$B$200,$B19)/1000)</f>
        <v/>
      </c>
      <c r="AF19" s="11" t="str">
        <f>IF(AF$3=0,"",SUMIFS(INDEX(Inputs!$D$4:$AG$200,0,MATCH(AF$2,Inputs!$D$2:$AG$2,0)),Inputs!$B$4:$B$200,$B19)/1000)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IF(D$3=0,"",SUMIFS(INDEX(Inputs!$D$4:$AG$200,0,MATCH(D$2,Inputs!$D$2:$AG$2,0)),Inputs!$B$4:$B$200,$B20)/1000)</f>
        <v>918.624710758</v>
      </c>
      <c r="E20" s="11">
        <f>IF(E$3=0,"",SUMIFS(INDEX(Inputs!$D$4:$AG$200,0,MATCH(E$2,Inputs!$D$2:$AG$2,0)),Inputs!$B$4:$B$200,$B20)/1000)</f>
        <v>1009.096</v>
      </c>
      <c r="F20" s="11">
        <f>IF(F$3=0,"",SUMIFS(INDEX(Inputs!$D$4:$AG$200,0,MATCH(F$2,Inputs!$D$2:$AG$2,0)),Inputs!$B$4:$B$200,$B20)/1000)</f>
        <v>1025.098</v>
      </c>
      <c r="G20" s="11">
        <f>IF(G$3=0,"",SUMIFS(INDEX(Inputs!$D$4:$AG$200,0,MATCH(G$2,Inputs!$D$2:$AG$2,0)),Inputs!$B$4:$B$200,$B20)/1000)</f>
        <v>1054.769</v>
      </c>
      <c r="H20" s="12">
        <f>IF(G20="","",G20)</f>
        <v>1054.769</v>
      </c>
      <c r="I20" s="11">
        <f>IF(I$3=0,"",SUMIFS(INDEX(Inputs!$D$4:$AG$200,0,MATCH(I$2,Inputs!$D$2:$AG$2,0)),Inputs!$B$4:$B$200,$B20)/1000)</f>
        <v>1540.565</v>
      </c>
      <c r="J20" s="11">
        <f>IF(J$3=0,"",SUMIFS(INDEX(Inputs!$D$4:$AG$200,0,MATCH(J$2,Inputs!$D$2:$AG$2,0)),Inputs!$B$4:$B$200,$B20)/1000)</f>
        <v>1868.604</v>
      </c>
      <c r="K20" s="11">
        <f>IF(K$3=0,"",SUMIFS(INDEX(Inputs!$D$4:$AG$200,0,MATCH(K$2,Inputs!$D$2:$AG$2,0)),Inputs!$B$4:$B$200,$B20)/1000)</f>
        <v>2469.132</v>
      </c>
      <c r="L20" s="11">
        <f>IF(L$3=0,"",SUMIFS(INDEX(Inputs!$D$4:$AG$200,0,MATCH(L$2,Inputs!$D$2:$AG$2,0)),Inputs!$B$4:$B$200,$B20)/1000)</f>
        <v>2664.571</v>
      </c>
      <c r="M20" s="12">
        <f>IF(L20="","",L20)</f>
        <v>2664.571</v>
      </c>
      <c r="N20" s="11">
        <f>IF(N$3=0,"",SUMIFS(INDEX(Inputs!$D$4:$AG$200,0,MATCH(N$2,Inputs!$D$2:$AG$2,0)),Inputs!$B$4:$B$200,$B20)/1000)</f>
        <v>2494.207977139</v>
      </c>
      <c r="O20" s="11">
        <f>IF(O$3=0,"",SUMIFS(INDEX(Inputs!$D$4:$AG$200,0,MATCH(O$2,Inputs!$D$2:$AG$2,0)),Inputs!$B$4:$B$200,$B20)/1000)</f>
        <v>2668.471536103</v>
      </c>
      <c r="P20" s="11">
        <f>IF(P$3=0,"",SUMIFS(INDEX(Inputs!$D$4:$AG$200,0,MATCH(P$2,Inputs!$D$2:$AG$2,0)),Inputs!$B$4:$B$200,$B20)/1000)</f>
        <v>3042.074604962</v>
      </c>
      <c r="Q20" s="11">
        <f>IF(Q$3=0,"",SUMIFS(INDEX(Inputs!$D$4:$AG$200,0,MATCH(Q$2,Inputs!$D$2:$AG$2,0)),Inputs!$B$4:$B$200,$B20)/1000)</f>
        <v>3089.349961328</v>
      </c>
      <c r="R20" s="12">
        <f>IF(Q20="","",Q20)</f>
        <v>3089.349961328</v>
      </c>
      <c r="S20" s="11">
        <f>IF(S$3=0,"",SUMIFS(INDEX(Inputs!$D$4:$AG$200,0,MATCH(S$2,Inputs!$D$2:$AG$2,0)),Inputs!$B$4:$B$200,$B20)/1000)</f>
        <v>3511.117218997</v>
      </c>
      <c r="T20" s="11">
        <f>IF(T$3=0,"",SUMIFS(INDEX(Inputs!$D$4:$AG$200,0,MATCH(T$2,Inputs!$D$2:$AG$2,0)),Inputs!$B$4:$B$200,$B20)/1000)</f>
        <v>4113.546143894</v>
      </c>
      <c r="U20" s="11">
        <f>IF(U$3=0,"",SUMIFS(INDEX(Inputs!$D$4:$AG$200,0,MATCH(U$2,Inputs!$D$2:$AG$2,0)),Inputs!$B$4:$B$200,$B20)/1000)</f>
        <v>4096.882394834</v>
      </c>
      <c r="V20" s="11">
        <f>IF(V$3=0,"",SUMIFS(INDEX(Inputs!$D$4:$AG$200,0,MATCH(V$2,Inputs!$D$2:$AG$2,0)),Inputs!$B$4:$B$200,$B20)/1000)</f>
        <v>4697.06448059</v>
      </c>
      <c r="W20" s="12">
        <f>IF(V20="","",V20)</f>
        <v>4697.06448059</v>
      </c>
      <c r="X20" s="11">
        <f>IF(X$3=0,"",SUMIFS(INDEX(Inputs!$D$4:$AG$200,0,MATCH(X$2,Inputs!$D$2:$AG$2,0)),Inputs!$B$4:$B$200,$B20)/1000)</f>
        <v>4619.39602222</v>
      </c>
      <c r="Y20" s="11">
        <f>IF(Y$3=0,"",SUMIFS(INDEX(Inputs!$D$4:$AG$200,0,MATCH(Y$2,Inputs!$D$2:$AG$2,0)),Inputs!$B$4:$B$200,$B20)/1000)</f>
        <v>5228.24173979</v>
      </c>
      <c r="Z20" s="11">
        <f>IF(Z$3=0,"",SUMIFS(INDEX(Inputs!$D$4:$AG$200,0,MATCH(Z$2,Inputs!$D$2:$AG$2,0)),Inputs!$B$4:$B$200,$B20)/1000)</f>
        <v>4760.64160671</v>
      </c>
      <c r="AA20" s="11">
        <f>IF(AA$3=0,"",SUMIFS(INDEX(Inputs!$D$4:$AG$200,0,MATCH(AA$2,Inputs!$D$2:$AG$2,0)),Inputs!$B$4:$B$200,$B20)/1000)</f>
        <v>3959.69308964</v>
      </c>
      <c r="AB20" s="12">
        <f>IF(AA20="","",AA20)</f>
        <v>3959.69308964</v>
      </c>
      <c r="AC20" s="11">
        <f>IF(AC$3=0,"",SUMIFS(INDEX(Inputs!$D$4:$AG$200,0,MATCH(AC$2,Inputs!$D$2:$AG$2,0)),Inputs!$B$4:$B$200,$B20)/1000)</f>
        <v>4297.0872434</v>
      </c>
      <c r="AD20" s="11">
        <f>IF(AD$3=0,"",SUMIFS(INDEX(Inputs!$D$4:$AG$200,0,MATCH(AD$2,Inputs!$D$2:$AG$2,0)),Inputs!$B$4:$B$200,$B20)/1000)</f>
        <v>5734.88510625</v>
      </c>
      <c r="AE20" s="11" t="str">
        <f>IF(AE$3=0,"",SUMIFS(INDEX(Inputs!$D$4:$AG$200,0,MATCH(AE$2,Inputs!$D$2:$AG$2,0)),Inputs!$B$4:$B$200,$B20)/1000)</f>
        <v/>
      </c>
      <c r="AF20" s="11" t="str">
        <f>IF(AF$3=0,"",SUMIFS(INDEX(Inputs!$D$4:$AG$200,0,MATCH(AF$2,Inputs!$D$2:$AG$2,0)),Inputs!$B$4:$B$200,$B20)/1000)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IF(D$3=0,"",SUMIFS(INDEX(Inputs!$D$4:$AG$200,0,MATCH(D$2,Inputs!$D$2:$AG$2,0)),Inputs!$B$4:$B$200,$B21)/1000)</f>
        <v>19.015</v>
      </c>
      <c r="E21" s="11">
        <f>IF(E$3=0,"",SUMIFS(INDEX(Inputs!$D$4:$AG$200,0,MATCH(E$2,Inputs!$D$2:$AG$2,0)),Inputs!$B$4:$B$200,$B21)/1000)</f>
        <v>22.141</v>
      </c>
      <c r="F21" s="11">
        <f>IF(F$3=0,"",SUMIFS(INDEX(Inputs!$D$4:$AG$200,0,MATCH(F$2,Inputs!$D$2:$AG$2,0)),Inputs!$B$4:$B$200,$B21)/1000)</f>
        <v>24.978</v>
      </c>
      <c r="G21" s="11">
        <f>IF(G$3=0,"",SUMIFS(INDEX(Inputs!$D$4:$AG$200,0,MATCH(G$2,Inputs!$D$2:$AG$2,0)),Inputs!$B$4:$B$200,$B21)/1000)</f>
        <v>30.248</v>
      </c>
      <c r="H21" s="12">
        <f>IF(G21="","",G21)</f>
        <v>30.248</v>
      </c>
      <c r="I21" s="11">
        <f>IF(I$3=0,"",SUMIFS(INDEX(Inputs!$D$4:$AG$200,0,MATCH(I$2,Inputs!$D$2:$AG$2,0)),Inputs!$B$4:$B$200,$B21)/1000)</f>
        <v>29.559</v>
      </c>
      <c r="J21" s="11">
        <f>IF(J$3=0,"",SUMIFS(INDEX(Inputs!$D$4:$AG$200,0,MATCH(J$2,Inputs!$D$2:$AG$2,0)),Inputs!$B$4:$B$200,$B21)/1000)</f>
        <v>28.004</v>
      </c>
      <c r="K21" s="11">
        <f>IF(K$3=0,"",SUMIFS(INDEX(Inputs!$D$4:$AG$200,0,MATCH(K$2,Inputs!$D$2:$AG$2,0)),Inputs!$B$4:$B$200,$B21)/1000)</f>
        <v>32.577</v>
      </c>
      <c r="L21" s="11">
        <f>IF(L$3=0,"",SUMIFS(INDEX(Inputs!$D$4:$AG$200,0,MATCH(L$2,Inputs!$D$2:$AG$2,0)),Inputs!$B$4:$B$200,$B21)/1000)</f>
        <v>34.024</v>
      </c>
      <c r="M21" s="12">
        <f>IF(L21="","",L21)</f>
        <v>34.024</v>
      </c>
      <c r="N21" s="11">
        <f>IF(N$3=0,"",SUMIFS(INDEX(Inputs!$D$4:$AG$200,0,MATCH(N$2,Inputs!$D$2:$AG$2,0)),Inputs!$B$4:$B$200,$B21)/1000)</f>
        <v>33.994894681</v>
      </c>
      <c r="O21" s="11">
        <f>IF(O$3=0,"",SUMIFS(INDEX(Inputs!$D$4:$AG$200,0,MATCH(O$2,Inputs!$D$2:$AG$2,0)),Inputs!$B$4:$B$200,$B21)/1000)</f>
        <v>35.106088705</v>
      </c>
      <c r="P21" s="11">
        <f>IF(P$3=0,"",SUMIFS(INDEX(Inputs!$D$4:$AG$200,0,MATCH(P$2,Inputs!$D$2:$AG$2,0)),Inputs!$B$4:$B$200,$B21)/1000)</f>
        <v>35.365489275</v>
      </c>
      <c r="Q21" s="11">
        <f>IF(Q$3=0,"",SUMIFS(INDEX(Inputs!$D$4:$AG$200,0,MATCH(Q$2,Inputs!$D$2:$AG$2,0)),Inputs!$B$4:$B$200,$B21)/1000)</f>
        <v>38.222815605</v>
      </c>
      <c r="R21" s="12">
        <f>IF(Q21="","",Q21)</f>
        <v>38.222815605</v>
      </c>
      <c r="S21" s="11">
        <f>IF(S$3=0,"",SUMIFS(INDEX(Inputs!$D$4:$AG$200,0,MATCH(S$2,Inputs!$D$2:$AG$2,0)),Inputs!$B$4:$B$200,$B21)/1000)</f>
        <v>36.64508406</v>
      </c>
      <c r="T21" s="11">
        <f>IF(T$3=0,"",SUMIFS(INDEX(Inputs!$D$4:$AG$200,0,MATCH(T$2,Inputs!$D$2:$AG$2,0)),Inputs!$B$4:$B$200,$B21)/1000)</f>
        <v>35.592206354</v>
      </c>
      <c r="U21" s="11">
        <f>IF(U$3=0,"",SUMIFS(INDEX(Inputs!$D$4:$AG$200,0,MATCH(U$2,Inputs!$D$2:$AG$2,0)),Inputs!$B$4:$B$200,$B21)/1000)</f>
        <v>38.821177602</v>
      </c>
      <c r="V21" s="11">
        <f>IF(V$3=0,"",SUMIFS(INDEX(Inputs!$D$4:$AG$200,0,MATCH(V$2,Inputs!$D$2:$AG$2,0)),Inputs!$B$4:$B$200,$B21)/1000)</f>
        <v>42.47528321</v>
      </c>
      <c r="W21" s="12">
        <f>IF(V21="","",V21)</f>
        <v>42.47528321</v>
      </c>
      <c r="X21" s="11">
        <f>IF(X$3=0,"",SUMIFS(INDEX(Inputs!$D$4:$AG$200,0,MATCH(X$2,Inputs!$D$2:$AG$2,0)),Inputs!$B$4:$B$200,$B21)/1000)</f>
        <v>41.88172165</v>
      </c>
      <c r="Y21" s="11">
        <f>IF(Y$3=0,"",SUMIFS(INDEX(Inputs!$D$4:$AG$200,0,MATCH(Y$2,Inputs!$D$2:$AG$2,0)),Inputs!$B$4:$B$200,$B21)/1000)</f>
        <v>42.0867079</v>
      </c>
      <c r="Z21" s="11">
        <f>IF(Z$3=0,"",SUMIFS(INDEX(Inputs!$D$4:$AG$200,0,MATCH(Z$2,Inputs!$D$2:$AG$2,0)),Inputs!$B$4:$B$200,$B21)/1000)</f>
        <v>38.03558317</v>
      </c>
      <c r="AA21" s="11">
        <f>IF(AA$3=0,"",SUMIFS(INDEX(Inputs!$D$4:$AG$200,0,MATCH(AA$2,Inputs!$D$2:$AG$2,0)),Inputs!$B$4:$B$200,$B21)/1000)</f>
        <v>43.4183894</v>
      </c>
      <c r="AB21" s="12">
        <f>IF(AA21="","",AA21)</f>
        <v>43.4183894</v>
      </c>
      <c r="AC21" s="11">
        <f>IF(AC$3=0,"",SUMIFS(INDEX(Inputs!$D$4:$AG$200,0,MATCH(AC$2,Inputs!$D$2:$AG$2,0)),Inputs!$B$4:$B$200,$B21)/1000)</f>
        <v>46.94638454</v>
      </c>
      <c r="AD21" s="11">
        <f>IF(AD$3=0,"",SUMIFS(INDEX(Inputs!$D$4:$AG$200,0,MATCH(AD$2,Inputs!$D$2:$AG$2,0)),Inputs!$B$4:$B$200,$B21)/1000)</f>
        <v>47.170816</v>
      </c>
      <c r="AE21" s="11" t="str">
        <f>IF(AE$3=0,"",SUMIFS(INDEX(Inputs!$D$4:$AG$200,0,MATCH(AE$2,Inputs!$D$2:$AG$2,0)),Inputs!$B$4:$B$200,$B21)/1000)</f>
        <v/>
      </c>
      <c r="AF21" s="11" t="str">
        <f>IF(AF$3=0,"",SUMIFS(INDEX(Inputs!$D$4:$AG$200,0,MATCH(AF$2,Inputs!$D$2:$AG$2,0)),Inputs!$B$4:$B$200,$B21)/1000)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IF(D$3=0,"",SUMIFS(INDEX(Inputs!$D$4:$AG$200,0,MATCH(D$2,Inputs!$D$2:$AG$2,0)),Inputs!$B$4:$B$200,$B22)/1000)</f>
        <v>12745.105</v>
      </c>
      <c r="E22" s="11">
        <f>IF(E$3=0,"",SUMIFS(INDEX(Inputs!$D$4:$AG$200,0,MATCH(E$2,Inputs!$D$2:$AG$2,0)),Inputs!$B$4:$B$200,$B22)/1000)</f>
        <v>15023.583</v>
      </c>
      <c r="F22" s="11">
        <f>IF(F$3=0,"",SUMIFS(INDEX(Inputs!$D$4:$AG$200,0,MATCH(F$2,Inputs!$D$2:$AG$2,0)),Inputs!$B$4:$B$200,$B22)/1000)</f>
        <v>17425.606</v>
      </c>
      <c r="G22" s="11">
        <f>IF(G$3=0,"",SUMIFS(INDEX(Inputs!$D$4:$AG$200,0,MATCH(G$2,Inputs!$D$2:$AG$2,0)),Inputs!$B$4:$B$200,$B22)/1000)</f>
        <v>21567.72</v>
      </c>
      <c r="H22" s="12">
        <f>IF(G22="","",G22)</f>
        <v>21567.72</v>
      </c>
      <c r="I22" s="11">
        <f>IF(I$3=0,"",SUMIFS(INDEX(Inputs!$D$4:$AG$200,0,MATCH(I$2,Inputs!$D$2:$AG$2,0)),Inputs!$B$4:$B$200,$B22)/1000)</f>
        <v>23807.944</v>
      </c>
      <c r="J22" s="11">
        <f>IF(J$3=0,"",SUMIFS(INDEX(Inputs!$D$4:$AG$200,0,MATCH(J$2,Inputs!$D$2:$AG$2,0)),Inputs!$B$4:$B$200,$B22)/1000)</f>
        <v>27512.254</v>
      </c>
      <c r="K22" s="11">
        <f>IF(K$3=0,"",SUMIFS(INDEX(Inputs!$D$4:$AG$200,0,MATCH(K$2,Inputs!$D$2:$AG$2,0)),Inputs!$B$4:$B$200,$B22)/1000)</f>
        <v>30582.589</v>
      </c>
      <c r="L22" s="11">
        <f>IF(L$3=0,"",SUMIFS(INDEX(Inputs!$D$4:$AG$200,0,MATCH(L$2,Inputs!$D$2:$AG$2,0)),Inputs!$B$4:$B$200,$B22)/1000)</f>
        <v>34130.983</v>
      </c>
      <c r="M22" s="12">
        <f>IF(L22="","",L22)</f>
        <v>34130.983</v>
      </c>
      <c r="N22" s="11">
        <f>IF(N$3=0,"",SUMIFS(INDEX(Inputs!$D$4:$AG$200,0,MATCH(N$2,Inputs!$D$2:$AG$2,0)),Inputs!$B$4:$B$200,$B22)/1000)</f>
        <v>34225.482216155</v>
      </c>
      <c r="O22" s="11">
        <f>IF(O$3=0,"",SUMIFS(INDEX(Inputs!$D$4:$AG$200,0,MATCH(O$2,Inputs!$D$2:$AG$2,0)),Inputs!$B$4:$B$200,$B22)/1000)</f>
        <v>34978.682717719</v>
      </c>
      <c r="P22" s="11">
        <f>IF(P$3=0,"",SUMIFS(INDEX(Inputs!$D$4:$AG$200,0,MATCH(P$2,Inputs!$D$2:$AG$2,0)),Inputs!$B$4:$B$200,$B22)/1000)</f>
        <v>36138.915837121</v>
      </c>
      <c r="Q22" s="11">
        <f>IF(Q$3=0,"",SUMIFS(INDEX(Inputs!$D$4:$AG$200,0,MATCH(Q$2,Inputs!$D$2:$AG$2,0)),Inputs!$B$4:$B$200,$B22)/1000)</f>
        <v>39826.16194536</v>
      </c>
      <c r="R22" s="12">
        <f>IF(Q22="","",Q22)</f>
        <v>39826.16194536</v>
      </c>
      <c r="S22" s="11">
        <f>IF(S$3=0,"",SUMIFS(INDEX(Inputs!$D$4:$AG$200,0,MATCH(S$2,Inputs!$D$2:$AG$2,0)),Inputs!$B$4:$B$200,$B22)/1000)</f>
        <v>41091.22830083</v>
      </c>
      <c r="T22" s="11">
        <f>IF(T$3=0,"",SUMIFS(INDEX(Inputs!$D$4:$AG$200,0,MATCH(T$2,Inputs!$D$2:$AG$2,0)),Inputs!$B$4:$B$200,$B22)/1000)</f>
        <v>42196.61393108</v>
      </c>
      <c r="U22" s="11">
        <f>IF(U$3=0,"",SUMIFS(INDEX(Inputs!$D$4:$AG$200,0,MATCH(U$2,Inputs!$D$2:$AG$2,0)),Inputs!$B$4:$B$200,$B22)/1000)</f>
        <v>42975.007818529</v>
      </c>
      <c r="V22" s="11">
        <f>IF(V$3=0,"",SUMIFS(INDEX(Inputs!$D$4:$AG$200,0,MATCH(V$2,Inputs!$D$2:$AG$2,0)),Inputs!$B$4:$B$200,$B22)/1000)</f>
        <v>45618.21326671</v>
      </c>
      <c r="W22" s="12">
        <f>IF(V22="","",V22)</f>
        <v>45618.21326671</v>
      </c>
      <c r="X22" s="11">
        <f>IF(X$3=0,"",SUMIFS(INDEX(Inputs!$D$4:$AG$200,0,MATCH(X$2,Inputs!$D$2:$AG$2,0)),Inputs!$B$4:$B$200,$B22)/1000)</f>
        <v>44794.68291003</v>
      </c>
      <c r="Y22" s="11">
        <f>IF(Y$3=0,"",SUMIFS(INDEX(Inputs!$D$4:$AG$200,0,MATCH(Y$2,Inputs!$D$2:$AG$2,0)),Inputs!$B$4:$B$200,$B22)/1000)</f>
        <v>45294.24820465</v>
      </c>
      <c r="Z22" s="11">
        <f>IF(Z$3=0,"",SUMIFS(INDEX(Inputs!$D$4:$AG$200,0,MATCH(Z$2,Inputs!$D$2:$AG$2,0)),Inputs!$B$4:$B$200,$B22)/1000)</f>
        <v>45456.94628539</v>
      </c>
      <c r="AA22" s="11">
        <f>IF(AA$3=0,"",SUMIFS(INDEX(Inputs!$D$4:$AG$200,0,MATCH(AA$2,Inputs!$D$2:$AG$2,0)),Inputs!$B$4:$B$200,$B22)/1000)</f>
        <v>47862.56933573</v>
      </c>
      <c r="AB22" s="12">
        <f>IF(AA22="","",AA22)</f>
        <v>47862.56933573</v>
      </c>
      <c r="AC22" s="11">
        <f>IF(AC$3=0,"",SUMIFS(INDEX(Inputs!$D$4:$AG$200,0,MATCH(AC$2,Inputs!$D$2:$AG$2,0)),Inputs!$B$4:$B$200,$B22)/1000)</f>
        <v>46426.00572838</v>
      </c>
      <c r="AD22" s="11">
        <f>IF(AD$3=0,"",SUMIFS(INDEX(Inputs!$D$4:$AG$200,0,MATCH(AD$2,Inputs!$D$2:$AG$2,0)),Inputs!$B$4:$B$200,$B22)/1000)</f>
        <v>48115.27756408</v>
      </c>
      <c r="AE22" s="11" t="str">
        <f>IF(AE$3=0,"",SUMIFS(INDEX(Inputs!$D$4:$AG$200,0,MATCH(AE$2,Inputs!$D$2:$AG$2,0)),Inputs!$B$4:$B$200,$B22)/1000)</f>
        <v/>
      </c>
      <c r="AF22" s="11" t="str">
        <f>IF(AF$3=0,"",SUMIFS(INDEX(Inputs!$D$4:$AG$200,0,MATCH(AF$2,Inputs!$D$2:$AG$2,0)),Inputs!$B$4:$B$200,$B22)/1000)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IF(D$3=0,"",SUMIFS(INDEX(Inputs!$D$4:$AG$200,0,MATCH(D$2,Inputs!$D$2:$AG$2,0)),Inputs!$B$4:$B$200,$B23)/1000)</f>
        <v>0</v>
      </c>
      <c r="E23" s="11">
        <f>IF(E$3=0,"",SUMIFS(INDEX(Inputs!$D$4:$AG$200,0,MATCH(E$2,Inputs!$D$2:$AG$2,0)),Inputs!$B$4:$B$200,$B23)/1000)</f>
        <v>0</v>
      </c>
      <c r="F23" s="11">
        <f>IF(F$3=0,"",SUMIFS(INDEX(Inputs!$D$4:$AG$200,0,MATCH(F$2,Inputs!$D$2:$AG$2,0)),Inputs!$B$4:$B$200,$B23)/1000)</f>
        <v>0</v>
      </c>
      <c r="G23" s="11">
        <f>IF(G$3=0,"",SUMIFS(INDEX(Inputs!$D$4:$AG$200,0,MATCH(G$2,Inputs!$D$2:$AG$2,0)),Inputs!$B$4:$B$200,$B23)/1000)</f>
        <v>0</v>
      </c>
      <c r="H23" s="12">
        <f>IF(G23="","",G23)</f>
        <v>0</v>
      </c>
      <c r="I23" s="11">
        <f>IF(I$3=0,"",SUMIFS(INDEX(Inputs!$D$4:$AG$200,0,MATCH(I$2,Inputs!$D$2:$AG$2,0)),Inputs!$B$4:$B$200,$B23)/1000)</f>
        <v>0</v>
      </c>
      <c r="J23" s="11">
        <f>IF(J$3=0,"",SUMIFS(INDEX(Inputs!$D$4:$AG$200,0,MATCH(J$2,Inputs!$D$2:$AG$2,0)),Inputs!$B$4:$B$200,$B23)/1000)</f>
        <v>0</v>
      </c>
      <c r="K23" s="11">
        <f>IF(K$3=0,"",SUMIFS(INDEX(Inputs!$D$4:$AG$200,0,MATCH(K$2,Inputs!$D$2:$AG$2,0)),Inputs!$B$4:$B$200,$B23)/1000)</f>
        <v>0</v>
      </c>
      <c r="L23" s="11">
        <f>IF(L$3=0,"",SUMIFS(INDEX(Inputs!$D$4:$AG$200,0,MATCH(L$2,Inputs!$D$2:$AG$2,0)),Inputs!$B$4:$B$200,$B23)/1000)</f>
        <v>0</v>
      </c>
      <c r="M23" s="12">
        <f>IF(L23="","",L23)</f>
        <v>0</v>
      </c>
      <c r="N23" s="11">
        <f>IF(N$3=0,"",SUMIFS(INDEX(Inputs!$D$4:$AG$200,0,MATCH(N$2,Inputs!$D$2:$AG$2,0)),Inputs!$B$4:$B$200,$B23)/1000)</f>
        <v>0</v>
      </c>
      <c r="O23" s="11">
        <f>IF(O$3=0,"",SUMIFS(INDEX(Inputs!$D$4:$AG$200,0,MATCH(O$2,Inputs!$D$2:$AG$2,0)),Inputs!$B$4:$B$200,$B23)/1000)</f>
        <v>0</v>
      </c>
      <c r="P23" s="11">
        <f>IF(P$3=0,"",SUMIFS(INDEX(Inputs!$D$4:$AG$200,0,MATCH(P$2,Inputs!$D$2:$AG$2,0)),Inputs!$B$4:$B$200,$B23)/1000)</f>
        <v>0</v>
      </c>
      <c r="Q23" s="11">
        <f>IF(Q$3=0,"",SUMIFS(INDEX(Inputs!$D$4:$AG$200,0,MATCH(Q$2,Inputs!$D$2:$AG$2,0)),Inputs!$B$4:$B$200,$B23)/1000)</f>
        <v>0</v>
      </c>
      <c r="R23" s="12">
        <f>IF(Q23="","",Q23)</f>
        <v>0</v>
      </c>
      <c r="S23" s="11">
        <f>IF(S$3=0,"",SUMIFS(INDEX(Inputs!$D$4:$AG$200,0,MATCH(S$2,Inputs!$D$2:$AG$2,0)),Inputs!$B$4:$B$200,$B23)/1000)</f>
        <v>0</v>
      </c>
      <c r="T23" s="11">
        <f>IF(T$3=0,"",SUMIFS(INDEX(Inputs!$D$4:$AG$200,0,MATCH(T$2,Inputs!$D$2:$AG$2,0)),Inputs!$B$4:$B$200,$B23)/1000)</f>
        <v>0</v>
      </c>
      <c r="U23" s="11">
        <f>IF(U$3=0,"",SUMIFS(INDEX(Inputs!$D$4:$AG$200,0,MATCH(U$2,Inputs!$D$2:$AG$2,0)),Inputs!$B$4:$B$200,$B23)/1000)</f>
        <v>0</v>
      </c>
      <c r="V23" s="11">
        <f>IF(V$3=0,"",SUMIFS(INDEX(Inputs!$D$4:$AG$200,0,MATCH(V$2,Inputs!$D$2:$AG$2,0)),Inputs!$B$4:$B$200,$B23)/1000)</f>
        <v>0</v>
      </c>
      <c r="W23" s="12">
        <f>IF(V23="","",V23)</f>
        <v>0</v>
      </c>
      <c r="X23" s="11">
        <f>IF(X$3=0,"",SUMIFS(INDEX(Inputs!$D$4:$AG$200,0,MATCH(X$2,Inputs!$D$2:$AG$2,0)),Inputs!$B$4:$B$200,$B23)/1000)</f>
        <v>0</v>
      </c>
      <c r="Y23" s="11">
        <f>IF(Y$3=0,"",SUMIFS(INDEX(Inputs!$D$4:$AG$200,0,MATCH(Y$2,Inputs!$D$2:$AG$2,0)),Inputs!$B$4:$B$200,$B23)/1000)</f>
        <v>0</v>
      </c>
      <c r="Z23" s="11">
        <f>IF(Z$3=0,"",SUMIFS(INDEX(Inputs!$D$4:$AG$200,0,MATCH(Z$2,Inputs!$D$2:$AG$2,0)),Inputs!$B$4:$B$200,$B23)/1000)</f>
        <v>0</v>
      </c>
      <c r="AA23" s="11">
        <f>IF(AA$3=0,"",SUMIFS(INDEX(Inputs!$D$4:$AG$200,0,MATCH(AA$2,Inputs!$D$2:$AG$2,0)),Inputs!$B$4:$B$200,$B23)/1000)</f>
        <v>0</v>
      </c>
      <c r="AB23" s="12">
        <f>IF(AA23="","",AA23)</f>
        <v>0</v>
      </c>
      <c r="AC23" s="11">
        <f>IF(AC$3=0,"",SUMIFS(INDEX(Inputs!$D$4:$AG$200,0,MATCH(AC$2,Inputs!$D$2:$AG$2,0)),Inputs!$B$4:$B$200,$B23)/1000)</f>
        <v>0</v>
      </c>
      <c r="AD23" s="11">
        <f>IF(AD$3=0,"",SUMIFS(INDEX(Inputs!$D$4:$AG$200,0,MATCH(AD$2,Inputs!$D$2:$AG$2,0)),Inputs!$B$4:$B$200,$B23)/1000)</f>
        <v>0</v>
      </c>
      <c r="AE23" s="11" t="str">
        <f>IF(AE$3=0,"",SUMIFS(INDEX(Inputs!$D$4:$AG$200,0,MATCH(AE$2,Inputs!$D$2:$AG$2,0)),Inputs!$B$4:$B$200,$B23)/1000)</f>
        <v/>
      </c>
      <c r="AF23" s="11" t="str">
        <f>IF(AF$3=0,"",SUMIFS(INDEX(Inputs!$D$4:$AG$200,0,MATCH(AF$2,Inputs!$D$2:$AG$2,0)),Inputs!$B$4:$B$200,$B23)/1000)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IF(D$3=0,"",SUMIFS(INDEX(Inputs!$D$4:$AG$200,0,MATCH(D$2,Inputs!$D$2:$AG$2,0)),Inputs!$B$4:$B$200,$B24)/1000)</f>
        <v>0</v>
      </c>
      <c r="E24" s="11">
        <f>IF(E$3=0,"",SUMIFS(INDEX(Inputs!$D$4:$AG$200,0,MATCH(E$2,Inputs!$D$2:$AG$2,0)),Inputs!$B$4:$B$200,$B24)/1000)</f>
        <v>0</v>
      </c>
      <c r="F24" s="11">
        <f>IF(F$3=0,"",SUMIFS(INDEX(Inputs!$D$4:$AG$200,0,MATCH(F$2,Inputs!$D$2:$AG$2,0)),Inputs!$B$4:$B$200,$B24)/1000)</f>
        <v>0</v>
      </c>
      <c r="G24" s="11">
        <f>IF(G$3=0,"",SUMIFS(INDEX(Inputs!$D$4:$AG$200,0,MATCH(G$2,Inputs!$D$2:$AG$2,0)),Inputs!$B$4:$B$200,$B24)/1000)</f>
        <v>0</v>
      </c>
      <c r="H24" s="12">
        <f>IF(G24="","",G24)</f>
        <v>0</v>
      </c>
      <c r="I24" s="11">
        <f>IF(I$3=0,"",SUMIFS(INDEX(Inputs!$D$4:$AG$200,0,MATCH(I$2,Inputs!$D$2:$AG$2,0)),Inputs!$B$4:$B$200,$B24)/1000)</f>
        <v>0</v>
      </c>
      <c r="J24" s="11">
        <f>IF(J$3=0,"",SUMIFS(INDEX(Inputs!$D$4:$AG$200,0,MATCH(J$2,Inputs!$D$2:$AG$2,0)),Inputs!$B$4:$B$200,$B24)/1000)</f>
        <v>0</v>
      </c>
      <c r="K24" s="11">
        <f>IF(K$3=0,"",SUMIFS(INDEX(Inputs!$D$4:$AG$200,0,MATCH(K$2,Inputs!$D$2:$AG$2,0)),Inputs!$B$4:$B$200,$B24)/1000)</f>
        <v>0</v>
      </c>
      <c r="L24" s="11">
        <f>IF(L$3=0,"",SUMIFS(INDEX(Inputs!$D$4:$AG$200,0,MATCH(L$2,Inputs!$D$2:$AG$2,0)),Inputs!$B$4:$B$200,$B24)/1000)</f>
        <v>0</v>
      </c>
      <c r="M24" s="12">
        <f>IF(L24="","",L24)</f>
        <v>0</v>
      </c>
      <c r="N24" s="11">
        <f>IF(N$3=0,"",SUMIFS(INDEX(Inputs!$D$4:$AG$200,0,MATCH(N$2,Inputs!$D$2:$AG$2,0)),Inputs!$B$4:$B$200,$B24)/1000)</f>
        <v>0</v>
      </c>
      <c r="O24" s="11">
        <f>IF(O$3=0,"",SUMIFS(INDEX(Inputs!$D$4:$AG$200,0,MATCH(O$2,Inputs!$D$2:$AG$2,0)),Inputs!$B$4:$B$200,$B24)/1000)</f>
        <v>0</v>
      </c>
      <c r="P24" s="11">
        <f>IF(P$3=0,"",SUMIFS(INDEX(Inputs!$D$4:$AG$200,0,MATCH(P$2,Inputs!$D$2:$AG$2,0)),Inputs!$B$4:$B$200,$B24)/1000)</f>
        <v>0</v>
      </c>
      <c r="Q24" s="11">
        <f>IF(Q$3=0,"",SUMIFS(INDEX(Inputs!$D$4:$AG$200,0,MATCH(Q$2,Inputs!$D$2:$AG$2,0)),Inputs!$B$4:$B$200,$B24)/1000)</f>
        <v>0</v>
      </c>
      <c r="R24" s="12">
        <f>IF(Q24="","",Q24)</f>
        <v>0</v>
      </c>
      <c r="S24" s="11">
        <f>IF(S$3=0,"",SUMIFS(INDEX(Inputs!$D$4:$AG$200,0,MATCH(S$2,Inputs!$D$2:$AG$2,0)),Inputs!$B$4:$B$200,$B24)/1000)</f>
        <v>0</v>
      </c>
      <c r="T24" s="11">
        <f>IF(T$3=0,"",SUMIFS(INDEX(Inputs!$D$4:$AG$200,0,MATCH(T$2,Inputs!$D$2:$AG$2,0)),Inputs!$B$4:$B$200,$B24)/1000)</f>
        <v>0</v>
      </c>
      <c r="U24" s="11">
        <f>IF(U$3=0,"",SUMIFS(INDEX(Inputs!$D$4:$AG$200,0,MATCH(U$2,Inputs!$D$2:$AG$2,0)),Inputs!$B$4:$B$200,$B24)/1000)</f>
        <v>0</v>
      </c>
      <c r="V24" s="11">
        <f>IF(V$3=0,"",SUMIFS(INDEX(Inputs!$D$4:$AG$200,0,MATCH(V$2,Inputs!$D$2:$AG$2,0)),Inputs!$B$4:$B$200,$B24)/1000)</f>
        <v>0</v>
      </c>
      <c r="W24" s="12">
        <f>IF(V24="","",V24)</f>
        <v>0</v>
      </c>
      <c r="X24" s="11">
        <f>IF(X$3=0,"",SUMIFS(INDEX(Inputs!$D$4:$AG$200,0,MATCH(X$2,Inputs!$D$2:$AG$2,0)),Inputs!$B$4:$B$200,$B24)/1000)</f>
        <v>0</v>
      </c>
      <c r="Y24" s="11">
        <f>IF(Y$3=0,"",SUMIFS(INDEX(Inputs!$D$4:$AG$200,0,MATCH(Y$2,Inputs!$D$2:$AG$2,0)),Inputs!$B$4:$B$200,$B24)/1000)</f>
        <v>0</v>
      </c>
      <c r="Z24" s="11">
        <f>IF(Z$3=0,"",SUMIFS(INDEX(Inputs!$D$4:$AG$200,0,MATCH(Z$2,Inputs!$D$2:$AG$2,0)),Inputs!$B$4:$B$200,$B24)/1000)</f>
        <v>0</v>
      </c>
      <c r="AA24" s="11">
        <f>IF(AA$3=0,"",SUMIFS(INDEX(Inputs!$D$4:$AG$200,0,MATCH(AA$2,Inputs!$D$2:$AG$2,0)),Inputs!$B$4:$B$200,$B24)/1000)</f>
        <v>0</v>
      </c>
      <c r="AB24" s="12">
        <f>IF(AA24="","",AA24)</f>
        <v>0</v>
      </c>
      <c r="AC24" s="11">
        <f>IF(AC$3=0,"",SUMIFS(INDEX(Inputs!$D$4:$AG$200,0,MATCH(AC$2,Inputs!$D$2:$AG$2,0)),Inputs!$B$4:$B$200,$B24)/1000)</f>
        <v>0</v>
      </c>
      <c r="AD24" s="11">
        <f>IF(AD$3=0,"",SUMIFS(INDEX(Inputs!$D$4:$AG$200,0,MATCH(AD$2,Inputs!$D$2:$AG$2,0)),Inputs!$B$4:$B$200,$B24)/1000)</f>
        <v>0</v>
      </c>
      <c r="AE24" s="11" t="str">
        <f>IF(AE$3=0,"",SUMIFS(INDEX(Inputs!$D$4:$AG$200,0,MATCH(AE$2,Inputs!$D$2:$AG$2,0)),Inputs!$B$4:$B$200,$B24)/1000)</f>
        <v/>
      </c>
      <c r="AF24" s="11" t="str">
        <f>IF(AF$3=0,"",SUMIFS(INDEX(Inputs!$D$4:$AG$200,0,MATCH(AF$2,Inputs!$D$2:$AG$2,0)),Inputs!$B$4:$B$200,$B24)/1000)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IF(D$3=0,"",SUMIFS(INDEX(Inputs!$D$4:$AG$200,0,MATCH(D$2,Inputs!$D$2:$AG$2,0)),Inputs!$B$4:$B$200,$B25)/1000)</f>
        <v>1075.183</v>
      </c>
      <c r="E25" s="11">
        <f>IF(E$3=0,"",SUMIFS(INDEX(Inputs!$D$4:$AG$200,0,MATCH(E$2,Inputs!$D$2:$AG$2,0)),Inputs!$B$4:$B$200,$B25)/1000)</f>
        <v>1223.829</v>
      </c>
      <c r="F25" s="11">
        <f>IF(F$3=0,"",SUMIFS(INDEX(Inputs!$D$4:$AG$200,0,MATCH(F$2,Inputs!$D$2:$AG$2,0)),Inputs!$B$4:$B$200,$B25)/1000)</f>
        <v>1267.48</v>
      </c>
      <c r="G25" s="11">
        <f>IF(G$3=0,"",SUMIFS(INDEX(Inputs!$D$4:$AG$200,0,MATCH(G$2,Inputs!$D$2:$AG$2,0)),Inputs!$B$4:$B$200,$B25)/1000)</f>
        <v>1346.837</v>
      </c>
      <c r="H25" s="12">
        <f>IF(G25="","",G25)</f>
        <v>1346.837</v>
      </c>
      <c r="I25" s="11">
        <f>IF(I$3=0,"",SUMIFS(INDEX(Inputs!$D$4:$AG$200,0,MATCH(I$2,Inputs!$D$2:$AG$2,0)),Inputs!$B$4:$B$200,$B25)/1000)</f>
        <v>1368.722</v>
      </c>
      <c r="J25" s="11">
        <f>IF(J$3=0,"",SUMIFS(INDEX(Inputs!$D$4:$AG$200,0,MATCH(J$2,Inputs!$D$2:$AG$2,0)),Inputs!$B$4:$B$200,$B25)/1000)</f>
        <v>1751.855</v>
      </c>
      <c r="K25" s="11">
        <f>IF(K$3=0,"",SUMIFS(INDEX(Inputs!$D$4:$AG$200,0,MATCH(K$2,Inputs!$D$2:$AG$2,0)),Inputs!$B$4:$B$200,$B25)/1000)</f>
        <v>2385.375</v>
      </c>
      <c r="L25" s="11">
        <f>IF(L$3=0,"",SUMIFS(INDEX(Inputs!$D$4:$AG$200,0,MATCH(L$2,Inputs!$D$2:$AG$2,0)),Inputs!$B$4:$B$200,$B25)/1000)</f>
        <v>3026.787</v>
      </c>
      <c r="M25" s="12">
        <f>IF(L25="","",L25)</f>
        <v>3026.787</v>
      </c>
      <c r="N25" s="11">
        <f>IF(N$3=0,"",SUMIFS(INDEX(Inputs!$D$4:$AG$200,0,MATCH(N$2,Inputs!$D$2:$AG$2,0)),Inputs!$B$4:$B$200,$B25)/1000)</f>
        <v>3044.651275902</v>
      </c>
      <c r="O25" s="11">
        <f>IF(O$3=0,"",SUMIFS(INDEX(Inputs!$D$4:$AG$200,0,MATCH(O$2,Inputs!$D$2:$AG$2,0)),Inputs!$B$4:$B$200,$B25)/1000)</f>
        <v>3317.400544578</v>
      </c>
      <c r="P25" s="11">
        <f>IF(P$3=0,"",SUMIFS(INDEX(Inputs!$D$4:$AG$200,0,MATCH(P$2,Inputs!$D$2:$AG$2,0)),Inputs!$B$4:$B$200,$B25)/1000)</f>
        <v>3452.4742408</v>
      </c>
      <c r="Q25" s="11">
        <f>IF(Q$3=0,"",SUMIFS(INDEX(Inputs!$D$4:$AG$200,0,MATCH(Q$2,Inputs!$D$2:$AG$2,0)),Inputs!$B$4:$B$200,$B25)/1000)</f>
        <v>3516.655042059</v>
      </c>
      <c r="R25" s="12">
        <f>IF(Q25="","",Q25)</f>
        <v>3516.655042059</v>
      </c>
      <c r="S25" s="11">
        <f>IF(S$3=0,"",SUMIFS(INDEX(Inputs!$D$4:$AG$200,0,MATCH(S$2,Inputs!$D$2:$AG$2,0)),Inputs!$B$4:$B$200,$B25)/1000)</f>
        <v>3603.060874718</v>
      </c>
      <c r="T25" s="11">
        <f>IF(T$3=0,"",SUMIFS(INDEX(Inputs!$D$4:$AG$200,0,MATCH(T$2,Inputs!$D$2:$AG$2,0)),Inputs!$B$4:$B$200,$B25)/1000)</f>
        <v>3831.161809654</v>
      </c>
      <c r="U25" s="11">
        <f>IF(U$3=0,"",SUMIFS(INDEX(Inputs!$D$4:$AG$200,0,MATCH(U$2,Inputs!$D$2:$AG$2,0)),Inputs!$B$4:$B$200,$B25)/1000)</f>
        <v>3966.677671259</v>
      </c>
      <c r="V25" s="11">
        <f>IF(V$3=0,"",SUMIFS(INDEX(Inputs!$D$4:$AG$200,0,MATCH(V$2,Inputs!$D$2:$AG$2,0)),Inputs!$B$4:$B$200,$B25)/1000)</f>
        <v>4206.93408546</v>
      </c>
      <c r="W25" s="12">
        <f>IF(V25="","",V25)</f>
        <v>4206.93408546</v>
      </c>
      <c r="X25" s="11">
        <f>IF(X$3=0,"",SUMIFS(INDEX(Inputs!$D$4:$AG$200,0,MATCH(X$2,Inputs!$D$2:$AG$2,0)),Inputs!$B$4:$B$200,$B25)/1000)</f>
        <v>2990.35023541</v>
      </c>
      <c r="Y25" s="11">
        <f>IF(Y$3=0,"",SUMIFS(INDEX(Inputs!$D$4:$AG$200,0,MATCH(Y$2,Inputs!$D$2:$AG$2,0)),Inputs!$B$4:$B$200,$B25)/1000)</f>
        <v>3019.63795716</v>
      </c>
      <c r="Z25" s="11">
        <f>IF(Z$3=0,"",SUMIFS(INDEX(Inputs!$D$4:$AG$200,0,MATCH(Z$2,Inputs!$D$2:$AG$2,0)),Inputs!$B$4:$B$200,$B25)/1000)</f>
        <v>2986.68814482</v>
      </c>
      <c r="AA25" s="11">
        <f>IF(AA$3=0,"",SUMIFS(INDEX(Inputs!$D$4:$AG$200,0,MATCH(AA$2,Inputs!$D$2:$AG$2,0)),Inputs!$B$4:$B$200,$B25)/1000)</f>
        <v>3061.05097683</v>
      </c>
      <c r="AB25" s="12">
        <f>IF(AA25="","",AA25)</f>
        <v>3061.05097683</v>
      </c>
      <c r="AC25" s="11">
        <f>IF(AC$3=0,"",SUMIFS(INDEX(Inputs!$D$4:$AG$200,0,MATCH(AC$2,Inputs!$D$2:$AG$2,0)),Inputs!$B$4:$B$200,$B25)/1000)</f>
        <v>3074.30621869</v>
      </c>
      <c r="AD25" s="11">
        <f>IF(AD$3=0,"",SUMIFS(INDEX(Inputs!$D$4:$AG$200,0,MATCH(AD$2,Inputs!$D$2:$AG$2,0)),Inputs!$B$4:$B$200,$B25)/1000)</f>
        <v>3134.04144719</v>
      </c>
      <c r="AE25" s="11" t="str">
        <f>IF(AE$3=0,"",SUMIFS(INDEX(Inputs!$D$4:$AG$200,0,MATCH(AE$2,Inputs!$D$2:$AG$2,0)),Inputs!$B$4:$B$200,$B25)/1000)</f>
        <v/>
      </c>
      <c r="AF25" s="11" t="str">
        <f>IF(AF$3=0,"",SUMIFS(INDEX(Inputs!$D$4:$AG$200,0,MATCH(AF$2,Inputs!$D$2:$AG$2,0)),Inputs!$B$4:$B$200,$B25)/1000)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IF(D$3=0,"",SUMIFS(INDEX(Inputs!$D$4:$AG$200,0,MATCH(D$2,Inputs!$D$2:$AG$2,0)),Inputs!$B$4:$B$200,$B26)/1000)</f>
        <v>982.74521946</v>
      </c>
      <c r="E26" s="11">
        <f>IF(E$3=0,"",SUMIFS(INDEX(Inputs!$D$4:$AG$200,0,MATCH(E$2,Inputs!$D$2:$AG$2,0)),Inputs!$B$4:$B$200,$B26)/1000)</f>
        <v>1108.659</v>
      </c>
      <c r="F26" s="11">
        <f>IF(F$3=0,"",SUMIFS(INDEX(Inputs!$D$4:$AG$200,0,MATCH(F$2,Inputs!$D$2:$AG$2,0)),Inputs!$B$4:$B$200,$B26)/1000)</f>
        <v>1006.876</v>
      </c>
      <c r="G26" s="11">
        <f>IF(G$3=0,"",SUMIFS(INDEX(Inputs!$D$4:$AG$200,0,MATCH(G$2,Inputs!$D$2:$AG$2,0)),Inputs!$B$4:$B$200,$B26)/1000)</f>
        <v>1045.755</v>
      </c>
      <c r="H26" s="12">
        <f>IF(G26="","",G26)</f>
        <v>1045.755</v>
      </c>
      <c r="I26" s="11">
        <f>IF(I$3=0,"",SUMIFS(INDEX(Inputs!$D$4:$AG$200,0,MATCH(I$2,Inputs!$D$2:$AG$2,0)),Inputs!$B$4:$B$200,$B26)/1000)</f>
        <v>1032.759</v>
      </c>
      <c r="J26" s="11">
        <f>IF(J$3=0,"",SUMIFS(INDEX(Inputs!$D$4:$AG$200,0,MATCH(J$2,Inputs!$D$2:$AG$2,0)),Inputs!$B$4:$B$200,$B26)/1000)</f>
        <v>1096.385</v>
      </c>
      <c r="K26" s="11">
        <f>IF(K$3=0,"",SUMIFS(INDEX(Inputs!$D$4:$AG$200,0,MATCH(K$2,Inputs!$D$2:$AG$2,0)),Inputs!$B$4:$B$200,$B26)/1000)</f>
        <v>1512.191</v>
      </c>
      <c r="L26" s="11">
        <f>IF(L$3=0,"",SUMIFS(INDEX(Inputs!$D$4:$AG$200,0,MATCH(L$2,Inputs!$D$2:$AG$2,0)),Inputs!$B$4:$B$200,$B26)/1000)</f>
        <v>1496.935</v>
      </c>
      <c r="M26" s="12">
        <f>IF(L26="","",L26)</f>
        <v>1496.935</v>
      </c>
      <c r="N26" s="11">
        <f>IF(N$3=0,"",SUMIFS(INDEX(Inputs!$D$4:$AG$200,0,MATCH(N$2,Inputs!$D$2:$AG$2,0)),Inputs!$B$4:$B$200,$B26)/1000)</f>
        <v>1371.790479405</v>
      </c>
      <c r="O26" s="11">
        <f>IF(O$3=0,"",SUMIFS(INDEX(Inputs!$D$4:$AG$200,0,MATCH(O$2,Inputs!$D$2:$AG$2,0)),Inputs!$B$4:$B$200,$B26)/1000)</f>
        <v>2122.838592229</v>
      </c>
      <c r="P26" s="11">
        <f>IF(P$3=0,"",SUMIFS(INDEX(Inputs!$D$4:$AG$200,0,MATCH(P$2,Inputs!$D$2:$AG$2,0)),Inputs!$B$4:$B$200,$B26)/1000)</f>
        <v>1917.041639205</v>
      </c>
      <c r="Q26" s="11">
        <f>IF(Q$3=0,"",SUMIFS(INDEX(Inputs!$D$4:$AG$200,0,MATCH(Q$2,Inputs!$D$2:$AG$2,0)),Inputs!$B$4:$B$200,$B26)/1000)</f>
        <v>2829.582769788</v>
      </c>
      <c r="R26" s="12">
        <f>IF(Q26="","",Q26)</f>
        <v>2829.582769788</v>
      </c>
      <c r="S26" s="11">
        <f>IF(S$3=0,"",SUMIFS(INDEX(Inputs!$D$4:$AG$200,0,MATCH(S$2,Inputs!$D$2:$AG$2,0)),Inputs!$B$4:$B$200,$B26)/1000)</f>
        <v>2549.387549112</v>
      </c>
      <c r="T26" s="11">
        <f>IF(T$3=0,"",SUMIFS(INDEX(Inputs!$D$4:$AG$200,0,MATCH(T$2,Inputs!$D$2:$AG$2,0)),Inputs!$B$4:$B$200,$B26)/1000)</f>
        <v>2903.715072266</v>
      </c>
      <c r="U26" s="11">
        <f>IF(U$3=0,"",SUMIFS(INDEX(Inputs!$D$4:$AG$200,0,MATCH(U$2,Inputs!$D$2:$AG$2,0)),Inputs!$B$4:$B$200,$B26)/1000)</f>
        <v>2969.475435911</v>
      </c>
      <c r="V26" s="11">
        <f>IF(V$3=0,"",SUMIFS(INDEX(Inputs!$D$4:$AG$200,0,MATCH(V$2,Inputs!$D$2:$AG$2,0)),Inputs!$B$4:$B$200,$B26)/1000)</f>
        <v>4198.8996584</v>
      </c>
      <c r="W26" s="12">
        <f>IF(V26="","",V26)</f>
        <v>4198.8996584</v>
      </c>
      <c r="X26" s="11">
        <f>IF(X$3=0,"",SUMIFS(INDEX(Inputs!$D$4:$AG$200,0,MATCH(X$2,Inputs!$D$2:$AG$2,0)),Inputs!$B$4:$B$200,$B26)/1000)</f>
        <v>3081.89937836</v>
      </c>
      <c r="Y26" s="11">
        <f>IF(Y$3=0,"",SUMIFS(INDEX(Inputs!$D$4:$AG$200,0,MATCH(Y$2,Inputs!$D$2:$AG$2,0)),Inputs!$B$4:$B$200,$B26)/1000)</f>
        <v>2399.52190193</v>
      </c>
      <c r="Z26" s="11">
        <f>IF(Z$3=0,"",SUMIFS(INDEX(Inputs!$D$4:$AG$200,0,MATCH(Z$2,Inputs!$D$2:$AG$2,0)),Inputs!$B$4:$B$200,$B26)/1000)</f>
        <v>2419.20708444</v>
      </c>
      <c r="AA26" s="11">
        <f>IF(AA$3=0,"",SUMIFS(INDEX(Inputs!$D$4:$AG$200,0,MATCH(AA$2,Inputs!$D$2:$AG$2,0)),Inputs!$B$4:$B$200,$B26)/1000)</f>
        <v>2635.01576854</v>
      </c>
      <c r="AB26" s="12">
        <f>IF(AA26="","",AA26)</f>
        <v>2635.01576854</v>
      </c>
      <c r="AC26" s="11">
        <f>IF(AC$3=0,"",SUMIFS(INDEX(Inputs!$D$4:$AG$200,0,MATCH(AC$2,Inputs!$D$2:$AG$2,0)),Inputs!$B$4:$B$200,$B26)/1000)</f>
        <v>2838.20787767</v>
      </c>
      <c r="AD26" s="11">
        <f>IF(AD$3=0,"",SUMIFS(INDEX(Inputs!$D$4:$AG$200,0,MATCH(AD$2,Inputs!$D$2:$AG$2,0)),Inputs!$B$4:$B$200,$B26)/1000)</f>
        <v>2775.84852478</v>
      </c>
      <c r="AE26" s="11" t="str">
        <f>IF(AE$3=0,"",SUMIFS(INDEX(Inputs!$D$4:$AG$200,0,MATCH(AE$2,Inputs!$D$2:$AG$2,0)),Inputs!$B$4:$B$200,$B26)/1000)</f>
        <v/>
      </c>
      <c r="AF26" s="11" t="str">
        <f>IF(AF$3=0,"",SUMIFS(INDEX(Inputs!$D$4:$AG$200,0,MATCH(AF$2,Inputs!$D$2:$AG$2,0)),Inputs!$B$4:$B$200,$B26)/1000)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IF(D$3=0,"",SUMIFS(INDEX(Inputs!$D$4:$AG$200,0,MATCH(D$2,Inputs!$D$2:$AG$2,0)),Inputs!$B$4:$B$200,$B28)/1000)</f>
        <v>1785.56086061</v>
      </c>
      <c r="E28" s="11">
        <f>IF(E$3=0,"",SUMIFS(INDEX(Inputs!$D$4:$AG$200,0,MATCH(E$2,Inputs!$D$2:$AG$2,0)),Inputs!$B$4:$B$200,$B28)/1000)</f>
        <v>2597.160507563</v>
      </c>
      <c r="F28" s="11">
        <f>IF(F$3=0,"",SUMIFS(INDEX(Inputs!$D$4:$AG$200,0,MATCH(F$2,Inputs!$D$2:$AG$2,0)),Inputs!$B$4:$B$200,$B28)/1000)</f>
        <v>2266.949</v>
      </c>
      <c r="G28" s="11">
        <f>IF(G$3=0,"",SUMIFS(INDEX(Inputs!$D$4:$AG$200,0,MATCH(G$2,Inputs!$D$2:$AG$2,0)),Inputs!$B$4:$B$200,$B28)/1000)</f>
        <v>3549.8</v>
      </c>
      <c r="H28" s="12">
        <f>IF(G28="","",G28)</f>
        <v>3549.8</v>
      </c>
      <c r="I28" s="11">
        <f>IF(I$3=0,"",SUMIFS(INDEX(Inputs!$D$4:$AG$200,0,MATCH(I$2,Inputs!$D$2:$AG$2,0)),Inputs!$B$4:$B$200,$B28)/1000)</f>
        <v>3293.722</v>
      </c>
      <c r="J28" s="11">
        <f>IF(J$3=0,"",SUMIFS(INDEX(Inputs!$D$4:$AG$200,0,MATCH(J$2,Inputs!$D$2:$AG$2,0)),Inputs!$B$4:$B$200,$B28)/1000)</f>
        <v>4445.405</v>
      </c>
      <c r="K28" s="11">
        <f>IF(K$3=0,"",SUMIFS(INDEX(Inputs!$D$4:$AG$200,0,MATCH(K$2,Inputs!$D$2:$AG$2,0)),Inputs!$B$4:$B$200,$B28)/1000)</f>
        <v>4020.06</v>
      </c>
      <c r="L28" s="11">
        <f>IF(L$3=0,"",SUMIFS(INDEX(Inputs!$D$4:$AG$200,0,MATCH(L$2,Inputs!$D$2:$AG$2,0)),Inputs!$B$4:$B$200,$B28)/1000)</f>
        <v>6103.173</v>
      </c>
      <c r="M28" s="12">
        <f>IF(L28="","",L28)</f>
        <v>6103.173</v>
      </c>
      <c r="N28" s="11">
        <f>IF(N$3=0,"",SUMIFS(INDEX(Inputs!$D$4:$AG$200,0,MATCH(N$2,Inputs!$D$2:$AG$2,0)),Inputs!$B$4:$B$200,$B28)/1000)</f>
        <v>3544.580241255</v>
      </c>
      <c r="O28" s="11">
        <f>IF(O$3=0,"",SUMIFS(INDEX(Inputs!$D$4:$AG$200,0,MATCH(O$2,Inputs!$D$2:$AG$2,0)),Inputs!$B$4:$B$200,$B28)/1000)</f>
        <v>2251.560845298</v>
      </c>
      <c r="P28" s="11">
        <f>IF(P$3=0,"",SUMIFS(INDEX(Inputs!$D$4:$AG$200,0,MATCH(P$2,Inputs!$D$2:$AG$2,0)),Inputs!$B$4:$B$200,$B28)/1000)</f>
        <v>3630.185744411</v>
      </c>
      <c r="Q28" s="11">
        <f>IF(Q$3=0,"",SUMIFS(INDEX(Inputs!$D$4:$AG$200,0,MATCH(Q$2,Inputs!$D$2:$AG$2,0)),Inputs!$B$4:$B$200,$B28)/1000)</f>
        <v>6768.443213748</v>
      </c>
      <c r="R28" s="12">
        <f>IF(Q28="","",Q28)</f>
        <v>6768.443213748</v>
      </c>
      <c r="S28" s="11">
        <f>IF(S$3=0,"",SUMIFS(INDEX(Inputs!$D$4:$AG$200,0,MATCH(S$2,Inputs!$D$2:$AG$2,0)),Inputs!$B$4:$B$200,$B28)/1000)</f>
        <v>6651.97350231</v>
      </c>
      <c r="T28" s="11">
        <f>IF(T$3=0,"",SUMIFS(INDEX(Inputs!$D$4:$AG$200,0,MATCH(T$2,Inputs!$D$2:$AG$2,0)),Inputs!$B$4:$B$200,$B28)/1000)</f>
        <v>6306.70810483</v>
      </c>
      <c r="U28" s="11">
        <f>IF(U$3=0,"",SUMIFS(INDEX(Inputs!$D$4:$AG$200,0,MATCH(U$2,Inputs!$D$2:$AG$2,0)),Inputs!$B$4:$B$200,$B28)/1000)</f>
        <v>6478.81181769</v>
      </c>
      <c r="V28" s="11">
        <f>IF(V$3=0,"",SUMIFS(INDEX(Inputs!$D$4:$AG$200,0,MATCH(V$2,Inputs!$D$2:$AG$2,0)),Inputs!$B$4:$B$200,$B28)/1000)</f>
        <v>7938.16129524</v>
      </c>
      <c r="W28" s="12">
        <f>IF(V28="","",V28)</f>
        <v>7938.16129524</v>
      </c>
      <c r="X28" s="11">
        <f>IF(X$3=0,"",SUMIFS(INDEX(Inputs!$D$4:$AG$200,0,MATCH(X$2,Inputs!$D$2:$AG$2,0)),Inputs!$B$4:$B$200,$B28)/1000)</f>
        <v>6301.64529617</v>
      </c>
      <c r="Y28" s="11">
        <f>IF(Y$3=0,"",SUMIFS(INDEX(Inputs!$D$4:$AG$200,0,MATCH(Y$2,Inputs!$D$2:$AG$2,0)),Inputs!$B$4:$B$200,$B28)/1000)</f>
        <v>6978.67527976</v>
      </c>
      <c r="Z28" s="11">
        <f>IF(Z$3=0,"",SUMIFS(INDEX(Inputs!$D$4:$AG$200,0,MATCH(Z$2,Inputs!$D$2:$AG$2,0)),Inputs!$B$4:$B$200,$B28)/1000)</f>
        <v>6854.04016388</v>
      </c>
      <c r="AA28" s="11">
        <f>IF(AA$3=0,"",SUMIFS(INDEX(Inputs!$D$4:$AG$200,0,MATCH(AA$2,Inputs!$D$2:$AG$2,0)),Inputs!$B$4:$B$200,$B28)/1000)</f>
        <v>8345.81868308</v>
      </c>
      <c r="AB28" s="12">
        <f>IF(AA28="","",AA28)</f>
        <v>8345.81868308</v>
      </c>
      <c r="AC28" s="11">
        <f>IF(AC$3=0,"",SUMIFS(INDEX(Inputs!$D$4:$AG$200,0,MATCH(AC$2,Inputs!$D$2:$AG$2,0)),Inputs!$B$4:$B$200,$B28)/1000)</f>
        <v>7642.5584804</v>
      </c>
      <c r="AD28" s="11">
        <f>IF(AD$3=0,"",SUMIFS(INDEX(Inputs!$D$4:$AG$200,0,MATCH(AD$2,Inputs!$D$2:$AG$2,0)),Inputs!$B$4:$B$200,$B28)/1000)</f>
        <v>8600.61621319</v>
      </c>
      <c r="AE28" s="11" t="str">
        <f>IF(AE$3=0,"",SUMIFS(INDEX(Inputs!$D$4:$AG$200,0,MATCH(AE$2,Inputs!$D$2:$AG$2,0)),Inputs!$B$4:$B$200,$B28)/1000)</f>
        <v/>
      </c>
      <c r="AF28" s="11" t="str">
        <f>IF(AF$3=0,"",SUMIFS(INDEX(Inputs!$D$4:$AG$200,0,MATCH(AF$2,Inputs!$D$2:$AG$2,0)),Inputs!$B$4:$B$200,$B28)/1000)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IF(D$3=0,"",SUMIFS(INDEX(Inputs!$D$4:$AG$200,0,MATCH(D$2,Inputs!$D$2:$AG$2,0)),Inputs!$B$4:$B$200,$B29)/1000)</f>
        <v>314.313235398</v>
      </c>
      <c r="E29" s="11">
        <f>IF(E$3=0,"",SUMIFS(INDEX(Inputs!$D$4:$AG$200,0,MATCH(E$2,Inputs!$D$2:$AG$2,0)),Inputs!$B$4:$B$200,$B29)/1000)</f>
        <v>395.0717992</v>
      </c>
      <c r="F29" s="11">
        <f>IF(F$3=0,"",SUMIFS(INDEX(Inputs!$D$4:$AG$200,0,MATCH(F$2,Inputs!$D$2:$AG$2,0)),Inputs!$B$4:$B$200,$B29)/1000)</f>
        <v>462.694</v>
      </c>
      <c r="G29" s="11">
        <f>IF(G$3=0,"",SUMIFS(INDEX(Inputs!$D$4:$AG$200,0,MATCH(G$2,Inputs!$D$2:$AG$2,0)),Inputs!$B$4:$B$200,$B29)/1000)</f>
        <v>408.154</v>
      </c>
      <c r="H29" s="12">
        <f>IF(G29="","",G29)</f>
        <v>408.154</v>
      </c>
      <c r="I29" s="11">
        <f>IF(I$3=0,"",SUMIFS(INDEX(Inputs!$D$4:$AG$200,0,MATCH(I$2,Inputs!$D$2:$AG$2,0)),Inputs!$B$4:$B$200,$B29)/1000)</f>
        <v>464.144</v>
      </c>
      <c r="J29" s="11">
        <f>IF(J$3=0,"",SUMIFS(INDEX(Inputs!$D$4:$AG$200,0,MATCH(J$2,Inputs!$D$2:$AG$2,0)),Inputs!$B$4:$B$200,$B29)/1000)</f>
        <v>510.412</v>
      </c>
      <c r="K29" s="11">
        <f>IF(K$3=0,"",SUMIFS(INDEX(Inputs!$D$4:$AG$200,0,MATCH(K$2,Inputs!$D$2:$AG$2,0)),Inputs!$B$4:$B$200,$B29)/1000)</f>
        <v>658.286</v>
      </c>
      <c r="L29" s="11">
        <f>IF(L$3=0,"",SUMIFS(INDEX(Inputs!$D$4:$AG$200,0,MATCH(L$2,Inputs!$D$2:$AG$2,0)),Inputs!$B$4:$B$200,$B29)/1000)</f>
        <v>625.156</v>
      </c>
      <c r="M29" s="12">
        <f>IF(L29="","",L29)</f>
        <v>625.156</v>
      </c>
      <c r="N29" s="11">
        <f>IF(N$3=0,"",SUMIFS(INDEX(Inputs!$D$4:$AG$200,0,MATCH(N$2,Inputs!$D$2:$AG$2,0)),Inputs!$B$4:$B$200,$B29)/1000)</f>
        <v>702.02856454</v>
      </c>
      <c r="O29" s="11">
        <f>IF(O$3=0,"",SUMIFS(INDEX(Inputs!$D$4:$AG$200,0,MATCH(O$2,Inputs!$D$2:$AG$2,0)),Inputs!$B$4:$B$200,$B29)/1000)</f>
        <v>805.710163915</v>
      </c>
      <c r="P29" s="11">
        <f>IF(P$3=0,"",SUMIFS(INDEX(Inputs!$D$4:$AG$200,0,MATCH(P$2,Inputs!$D$2:$AG$2,0)),Inputs!$B$4:$B$200,$B29)/1000)</f>
        <v>919.264424689</v>
      </c>
      <c r="Q29" s="11">
        <f>IF(Q$3=0,"",SUMIFS(INDEX(Inputs!$D$4:$AG$200,0,MATCH(Q$2,Inputs!$D$2:$AG$2,0)),Inputs!$B$4:$B$200,$B29)/1000)</f>
        <v>727.767074322</v>
      </c>
      <c r="R29" s="12">
        <f>IF(Q29="","",Q29)</f>
        <v>727.767074322</v>
      </c>
      <c r="S29" s="11">
        <f>IF(S$3=0,"",SUMIFS(INDEX(Inputs!$D$4:$AG$200,0,MATCH(S$2,Inputs!$D$2:$AG$2,0)),Inputs!$B$4:$B$200,$B29)/1000)</f>
        <v>756.147315319</v>
      </c>
      <c r="T29" s="11">
        <f>IF(T$3=0,"",SUMIFS(INDEX(Inputs!$D$4:$AG$200,0,MATCH(T$2,Inputs!$D$2:$AG$2,0)),Inputs!$B$4:$B$200,$B29)/1000)</f>
        <v>781.022510349</v>
      </c>
      <c r="U29" s="11">
        <f>IF(U$3=0,"",SUMIFS(INDEX(Inputs!$D$4:$AG$200,0,MATCH(U$2,Inputs!$D$2:$AG$2,0)),Inputs!$B$4:$B$200,$B29)/1000)</f>
        <v>860.483808124</v>
      </c>
      <c r="V29" s="11">
        <f>IF(V$3=0,"",SUMIFS(INDEX(Inputs!$D$4:$AG$200,0,MATCH(V$2,Inputs!$D$2:$AG$2,0)),Inputs!$B$4:$B$200,$B29)/1000)</f>
        <v>747.29725973</v>
      </c>
      <c r="W29" s="12">
        <f>IF(V29="","",V29)</f>
        <v>747.29725973</v>
      </c>
      <c r="X29" s="11">
        <f>IF(X$3=0,"",SUMIFS(INDEX(Inputs!$D$4:$AG$200,0,MATCH(X$2,Inputs!$D$2:$AG$2,0)),Inputs!$B$4:$B$200,$B29)/1000)</f>
        <v>778.19114601</v>
      </c>
      <c r="Y29" s="11">
        <f>IF(Y$3=0,"",SUMIFS(INDEX(Inputs!$D$4:$AG$200,0,MATCH(Y$2,Inputs!$D$2:$AG$2,0)),Inputs!$B$4:$B$200,$B29)/1000)</f>
        <v>861.57004729</v>
      </c>
      <c r="Z29" s="11">
        <f>IF(Z$3=0,"",SUMIFS(INDEX(Inputs!$D$4:$AG$200,0,MATCH(Z$2,Inputs!$D$2:$AG$2,0)),Inputs!$B$4:$B$200,$B29)/1000)</f>
        <v>959.03046664</v>
      </c>
      <c r="AA29" s="11">
        <f>IF(AA$3=0,"",SUMIFS(INDEX(Inputs!$D$4:$AG$200,0,MATCH(AA$2,Inputs!$D$2:$AG$2,0)),Inputs!$B$4:$B$200,$B29)/1000)</f>
        <v>845.76907274</v>
      </c>
      <c r="AB29" s="12">
        <f>IF(AA29="","",AA29)</f>
        <v>845.76907274</v>
      </c>
      <c r="AC29" s="11">
        <f>IF(AC$3=0,"",SUMIFS(INDEX(Inputs!$D$4:$AG$200,0,MATCH(AC$2,Inputs!$D$2:$AG$2,0)),Inputs!$B$4:$B$200,$B29)/1000)</f>
        <v>1127.90286505</v>
      </c>
      <c r="AD29" s="11">
        <f>IF(AD$3=0,"",SUMIFS(INDEX(Inputs!$D$4:$AG$200,0,MATCH(AD$2,Inputs!$D$2:$AG$2,0)),Inputs!$B$4:$B$200,$B29)/1000)</f>
        <v>1191.83897208</v>
      </c>
      <c r="AE29" s="11" t="str">
        <f>IF(AE$3=0,"",SUMIFS(INDEX(Inputs!$D$4:$AG$200,0,MATCH(AE$2,Inputs!$D$2:$AG$2,0)),Inputs!$B$4:$B$200,$B29)/1000)</f>
        <v/>
      </c>
      <c r="AF29" s="11" t="str">
        <f>IF(AF$3=0,"",SUMIFS(INDEX(Inputs!$D$4:$AG$200,0,MATCH(AF$2,Inputs!$D$2:$AG$2,0)),Inputs!$B$4:$B$200,$B29)/1000)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IF(D$3=0,"",SUMIFS(INDEX(Inputs!$D$4:$AG$200,0,MATCH(D$2,Inputs!$D$2:$AG$2,0)),Inputs!$B$4:$B$200,$B30)/1000)</f>
        <v>189.867586462</v>
      </c>
      <c r="E30" s="11">
        <f>IF(E$3=0,"",SUMIFS(INDEX(Inputs!$D$4:$AG$200,0,MATCH(E$2,Inputs!$D$2:$AG$2,0)),Inputs!$B$4:$B$200,$B30)/1000)</f>
        <v>189.592398677</v>
      </c>
      <c r="F30" s="11">
        <f>IF(F$3=0,"",SUMIFS(INDEX(Inputs!$D$4:$AG$200,0,MATCH(F$2,Inputs!$D$2:$AG$2,0)),Inputs!$B$4:$B$200,$B30)/1000)</f>
        <v>205.688</v>
      </c>
      <c r="G30" s="11">
        <f>IF(G$3=0,"",SUMIFS(INDEX(Inputs!$D$4:$AG$200,0,MATCH(G$2,Inputs!$D$2:$AG$2,0)),Inputs!$B$4:$B$200,$B30)/1000)</f>
        <v>266.078</v>
      </c>
      <c r="H30" s="12">
        <f>IF(G30="","",G30)</f>
        <v>266.078</v>
      </c>
      <c r="I30" s="11">
        <f>IF(I$3=0,"",SUMIFS(INDEX(Inputs!$D$4:$AG$200,0,MATCH(I$2,Inputs!$D$2:$AG$2,0)),Inputs!$B$4:$B$200,$B30)/1000)</f>
        <v>223.781</v>
      </c>
      <c r="J30" s="11">
        <f>IF(J$3=0,"",SUMIFS(INDEX(Inputs!$D$4:$AG$200,0,MATCH(J$2,Inputs!$D$2:$AG$2,0)),Inputs!$B$4:$B$200,$B30)/1000)</f>
        <v>305.736</v>
      </c>
      <c r="K30" s="11">
        <f>IF(K$3=0,"",SUMIFS(INDEX(Inputs!$D$4:$AG$200,0,MATCH(K$2,Inputs!$D$2:$AG$2,0)),Inputs!$B$4:$B$200,$B30)/1000)</f>
        <v>355.365</v>
      </c>
      <c r="L30" s="11">
        <f>IF(L$3=0,"",SUMIFS(INDEX(Inputs!$D$4:$AG$200,0,MATCH(L$2,Inputs!$D$2:$AG$2,0)),Inputs!$B$4:$B$200,$B30)/1000)</f>
        <v>485.147</v>
      </c>
      <c r="M30" s="12">
        <f>IF(L30="","",L30)</f>
        <v>485.147</v>
      </c>
      <c r="N30" s="11">
        <f>IF(N$3=0,"",SUMIFS(INDEX(Inputs!$D$4:$AG$200,0,MATCH(N$2,Inputs!$D$2:$AG$2,0)),Inputs!$B$4:$B$200,$B30)/1000)</f>
        <v>347.781362933</v>
      </c>
      <c r="O30" s="11">
        <f>IF(O$3=0,"",SUMIFS(INDEX(Inputs!$D$4:$AG$200,0,MATCH(O$2,Inputs!$D$2:$AG$2,0)),Inputs!$B$4:$B$200,$B30)/1000)</f>
        <v>383.019494649</v>
      </c>
      <c r="P30" s="11">
        <f>IF(P$3=0,"",SUMIFS(INDEX(Inputs!$D$4:$AG$200,0,MATCH(P$2,Inputs!$D$2:$AG$2,0)),Inputs!$B$4:$B$200,$B30)/1000)</f>
        <v>422.791813106</v>
      </c>
      <c r="Q30" s="11">
        <f>IF(Q$3=0,"",SUMIFS(INDEX(Inputs!$D$4:$AG$200,0,MATCH(Q$2,Inputs!$D$2:$AG$2,0)),Inputs!$B$4:$B$200,$B30)/1000)</f>
        <v>500.799175823</v>
      </c>
      <c r="R30" s="12">
        <f>IF(Q30="","",Q30)</f>
        <v>500.799175823</v>
      </c>
      <c r="S30" s="11">
        <f>IF(S$3=0,"",SUMIFS(INDEX(Inputs!$D$4:$AG$200,0,MATCH(S$2,Inputs!$D$2:$AG$2,0)),Inputs!$B$4:$B$200,$B30)/1000)</f>
        <v>470.736237322</v>
      </c>
      <c r="T30" s="11">
        <f>IF(T$3=0,"",SUMIFS(INDEX(Inputs!$D$4:$AG$200,0,MATCH(T$2,Inputs!$D$2:$AG$2,0)),Inputs!$B$4:$B$200,$B30)/1000)</f>
        <v>463.140924635</v>
      </c>
      <c r="U30" s="11">
        <f>IF(U$3=0,"",SUMIFS(INDEX(Inputs!$D$4:$AG$200,0,MATCH(U$2,Inputs!$D$2:$AG$2,0)),Inputs!$B$4:$B$200,$B30)/1000)</f>
        <v>500.881818653</v>
      </c>
      <c r="V30" s="11">
        <f>IF(V$3=0,"",SUMIFS(INDEX(Inputs!$D$4:$AG$200,0,MATCH(V$2,Inputs!$D$2:$AG$2,0)),Inputs!$B$4:$B$200,$B30)/1000)</f>
        <v>586.6794142</v>
      </c>
      <c r="W30" s="12">
        <f>IF(V30="","",V30)</f>
        <v>586.6794142</v>
      </c>
      <c r="X30" s="11">
        <f>IF(X$3=0,"",SUMIFS(INDEX(Inputs!$D$4:$AG$200,0,MATCH(X$2,Inputs!$D$2:$AG$2,0)),Inputs!$B$4:$B$200,$B30)/1000)</f>
        <v>505.71515779</v>
      </c>
      <c r="Y30" s="11">
        <f>IF(Y$3=0,"",SUMIFS(INDEX(Inputs!$D$4:$AG$200,0,MATCH(Y$2,Inputs!$D$2:$AG$2,0)),Inputs!$B$4:$B$200,$B30)/1000)</f>
        <v>528.45623878</v>
      </c>
      <c r="Z30" s="11">
        <f>IF(Z$3=0,"",SUMIFS(INDEX(Inputs!$D$4:$AG$200,0,MATCH(Z$2,Inputs!$D$2:$AG$2,0)),Inputs!$B$4:$B$200,$B30)/1000)</f>
        <v>537.31639851</v>
      </c>
      <c r="AA30" s="11">
        <f>IF(AA$3=0,"",SUMIFS(INDEX(Inputs!$D$4:$AG$200,0,MATCH(AA$2,Inputs!$D$2:$AG$2,0)),Inputs!$B$4:$B$200,$B30)/1000)</f>
        <v>706.74798243</v>
      </c>
      <c r="AB30" s="12">
        <f>IF(AA30="","",AA30)</f>
        <v>706.74798243</v>
      </c>
      <c r="AC30" s="11">
        <f>IF(AC$3=0,"",SUMIFS(INDEX(Inputs!$D$4:$AG$200,0,MATCH(AC$2,Inputs!$D$2:$AG$2,0)),Inputs!$B$4:$B$200,$B30)/1000)</f>
        <v>589.8947193</v>
      </c>
      <c r="AD30" s="11">
        <f>IF(AD$3=0,"",SUMIFS(INDEX(Inputs!$D$4:$AG$200,0,MATCH(AD$2,Inputs!$D$2:$AG$2,0)),Inputs!$B$4:$B$200,$B30)/1000)</f>
        <v>658.9703805</v>
      </c>
      <c r="AE30" s="11" t="str">
        <f>IF(AE$3=0,"",SUMIFS(INDEX(Inputs!$D$4:$AG$200,0,MATCH(AE$2,Inputs!$D$2:$AG$2,0)),Inputs!$B$4:$B$200,$B30)/1000)</f>
        <v/>
      </c>
      <c r="AF30" s="11" t="str">
        <f>IF(AF$3=0,"",SUMIFS(INDEX(Inputs!$D$4:$AG$200,0,MATCH(AF$2,Inputs!$D$2:$AG$2,0)),Inputs!$B$4:$B$200,$B30)/1000)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IF(D$3=0,"",SUMIFS(INDEX(Inputs!$D$4:$AG$200,0,MATCH(D$2,Inputs!$D$2:$AG$2,0)),Inputs!$B$4:$B$200,$B31)/1000)</f>
        <v>744.287503269</v>
      </c>
      <c r="E31" s="11">
        <f>IF(E$3=0,"",SUMIFS(INDEX(Inputs!$D$4:$AG$200,0,MATCH(E$2,Inputs!$D$2:$AG$2,0)),Inputs!$B$4:$B$200,$B31)/1000)</f>
        <v>732.463626678</v>
      </c>
      <c r="F31" s="11">
        <f>IF(F$3=0,"",SUMIFS(INDEX(Inputs!$D$4:$AG$200,0,MATCH(F$2,Inputs!$D$2:$AG$2,0)),Inputs!$B$4:$B$200,$B31)/1000)</f>
        <v>732.544</v>
      </c>
      <c r="G31" s="11">
        <f>IF(G$3=0,"",SUMIFS(INDEX(Inputs!$D$4:$AG$200,0,MATCH(G$2,Inputs!$D$2:$AG$2,0)),Inputs!$B$4:$B$200,$B31)/1000)</f>
        <v>1169.471</v>
      </c>
      <c r="H31" s="12">
        <f>IF(G31="","",G31)</f>
        <v>1169.471</v>
      </c>
      <c r="I31" s="11">
        <f>IF(I$3=0,"",SUMIFS(INDEX(Inputs!$D$4:$AG$200,0,MATCH(I$2,Inputs!$D$2:$AG$2,0)),Inputs!$B$4:$B$200,$B31)/1000)</f>
        <v>1697.846</v>
      </c>
      <c r="J31" s="11">
        <f>IF(J$3=0,"",SUMIFS(INDEX(Inputs!$D$4:$AG$200,0,MATCH(J$2,Inputs!$D$2:$AG$2,0)),Inputs!$B$4:$B$200,$B31)/1000)</f>
        <v>1521.488</v>
      </c>
      <c r="K31" s="11">
        <f>IF(K$3=0,"",SUMIFS(INDEX(Inputs!$D$4:$AG$200,0,MATCH(K$2,Inputs!$D$2:$AG$2,0)),Inputs!$B$4:$B$200,$B31)/1000)</f>
        <v>1797.247</v>
      </c>
      <c r="L31" s="11">
        <f>IF(L$3=0,"",SUMIFS(INDEX(Inputs!$D$4:$AG$200,0,MATCH(L$2,Inputs!$D$2:$AG$2,0)),Inputs!$B$4:$B$200,$B31)/1000)</f>
        <v>2521.471</v>
      </c>
      <c r="M31" s="12">
        <f>IF(L31="","",L31)</f>
        <v>2521.471</v>
      </c>
      <c r="N31" s="11">
        <f>IF(N$3=0,"",SUMIFS(INDEX(Inputs!$D$4:$AG$200,0,MATCH(N$2,Inputs!$D$2:$AG$2,0)),Inputs!$B$4:$B$200,$B31)/1000)</f>
        <v>2688.437488169</v>
      </c>
      <c r="O31" s="11">
        <f>IF(O$3=0,"",SUMIFS(INDEX(Inputs!$D$4:$AG$200,0,MATCH(O$2,Inputs!$D$2:$AG$2,0)),Inputs!$B$4:$B$200,$B31)/1000)</f>
        <v>2822.720290445</v>
      </c>
      <c r="P31" s="11">
        <f>IF(P$3=0,"",SUMIFS(INDEX(Inputs!$D$4:$AG$200,0,MATCH(P$2,Inputs!$D$2:$AG$2,0)),Inputs!$B$4:$B$200,$B31)/1000)</f>
        <v>2513.32424223</v>
      </c>
      <c r="Q31" s="11">
        <f>IF(Q$3=0,"",SUMIFS(INDEX(Inputs!$D$4:$AG$200,0,MATCH(Q$2,Inputs!$D$2:$AG$2,0)),Inputs!$B$4:$B$200,$B31)/1000)</f>
        <v>3033.783821339</v>
      </c>
      <c r="R31" s="12">
        <f>IF(Q31="","",Q31)</f>
        <v>3033.783821339</v>
      </c>
      <c r="S31" s="11">
        <f>IF(S$3=0,"",SUMIFS(INDEX(Inputs!$D$4:$AG$200,0,MATCH(S$2,Inputs!$D$2:$AG$2,0)),Inputs!$B$4:$B$200,$B31)/1000)</f>
        <v>3993.215612239</v>
      </c>
      <c r="T31" s="11">
        <f>IF(T$3=0,"",SUMIFS(INDEX(Inputs!$D$4:$AG$200,0,MATCH(T$2,Inputs!$D$2:$AG$2,0)),Inputs!$B$4:$B$200,$B31)/1000)</f>
        <v>3945.038311224</v>
      </c>
      <c r="U31" s="11">
        <f>IF(U$3=0,"",SUMIFS(INDEX(Inputs!$D$4:$AG$200,0,MATCH(U$2,Inputs!$D$2:$AG$2,0)),Inputs!$B$4:$B$200,$B31)/1000)</f>
        <v>3679.334676949</v>
      </c>
      <c r="V31" s="11">
        <f>IF(V$3=0,"",SUMIFS(INDEX(Inputs!$D$4:$AG$200,0,MATCH(V$2,Inputs!$D$2:$AG$2,0)),Inputs!$B$4:$B$200,$B31)/1000)</f>
        <v>4191.26255185</v>
      </c>
      <c r="W31" s="12">
        <f>IF(V31="","",V31)</f>
        <v>4191.26255185</v>
      </c>
      <c r="X31" s="11">
        <f>IF(X$3=0,"",SUMIFS(INDEX(Inputs!$D$4:$AG$200,0,MATCH(X$2,Inputs!$D$2:$AG$2,0)),Inputs!$B$4:$B$200,$B31)/1000)</f>
        <v>3876.26957221</v>
      </c>
      <c r="Y31" s="11">
        <f>IF(Y$3=0,"",SUMIFS(INDEX(Inputs!$D$4:$AG$200,0,MATCH(Y$2,Inputs!$D$2:$AG$2,0)),Inputs!$B$4:$B$200,$B31)/1000)</f>
        <v>3694.10962837</v>
      </c>
      <c r="Z31" s="11">
        <f>IF(Z$3=0,"",SUMIFS(INDEX(Inputs!$D$4:$AG$200,0,MATCH(Z$2,Inputs!$D$2:$AG$2,0)),Inputs!$B$4:$B$200,$B31)/1000)</f>
        <v>4079.88060596</v>
      </c>
      <c r="AA31" s="11">
        <f>IF(AA$3=0,"",SUMIFS(INDEX(Inputs!$D$4:$AG$200,0,MATCH(AA$2,Inputs!$D$2:$AG$2,0)),Inputs!$B$4:$B$200,$B31)/1000)</f>
        <v>4568.98124521</v>
      </c>
      <c r="AB31" s="12">
        <f>IF(AA31="","",AA31)</f>
        <v>4568.98124521</v>
      </c>
      <c r="AC31" s="11">
        <f>IF(AC$3=0,"",SUMIFS(INDEX(Inputs!$D$4:$AG$200,0,MATCH(AC$2,Inputs!$D$2:$AG$2,0)),Inputs!$B$4:$B$200,$B31)/1000)</f>
        <v>5436.73580862</v>
      </c>
      <c r="AD31" s="11">
        <f>IF(AD$3=0,"",SUMIFS(INDEX(Inputs!$D$4:$AG$200,0,MATCH(AD$2,Inputs!$D$2:$AG$2,0)),Inputs!$B$4:$B$200,$B31)/1000)</f>
        <v>6293.82962774</v>
      </c>
      <c r="AE31" s="11" t="str">
        <f>IF(AE$3=0,"",SUMIFS(INDEX(Inputs!$D$4:$AG$200,0,MATCH(AE$2,Inputs!$D$2:$AG$2,0)),Inputs!$B$4:$B$200,$B31)/1000)</f>
        <v/>
      </c>
      <c r="AF31" s="11" t="str">
        <f>IF(AF$3=0,"",SUMIFS(INDEX(Inputs!$D$4:$AG$200,0,MATCH(AF$2,Inputs!$D$2:$AG$2,0)),Inputs!$B$4:$B$200,$B31)/1000)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IF(D$3=0,"",SUMIFS(INDEX(Inputs!$D$4:$AG$200,0,MATCH(D$2,Inputs!$D$2:$AG$2,0)),Inputs!$B$4:$B$200,$B32)/1000)</f>
        <v>1249.60036427</v>
      </c>
      <c r="E32" s="11">
        <f>IF(E$3=0,"",SUMIFS(INDEX(Inputs!$D$4:$AG$200,0,MATCH(E$2,Inputs!$D$2:$AG$2,0)),Inputs!$B$4:$B$200,$B32)/1000)</f>
        <v>1219.70268923</v>
      </c>
      <c r="F32" s="11">
        <f>IF(F$3=0,"",SUMIFS(INDEX(Inputs!$D$4:$AG$200,0,MATCH(F$2,Inputs!$D$2:$AG$2,0)),Inputs!$B$4:$B$200,$B32)/1000)</f>
        <v>1132.111</v>
      </c>
      <c r="G32" s="11">
        <f>IF(G$3=0,"",SUMIFS(INDEX(Inputs!$D$4:$AG$200,0,MATCH(G$2,Inputs!$D$2:$AG$2,0)),Inputs!$B$4:$B$200,$B32)/1000)</f>
        <v>1546.062</v>
      </c>
      <c r="H32" s="12">
        <f>IF(G32="","",G32)</f>
        <v>1546.062</v>
      </c>
      <c r="I32" s="11">
        <f>IF(I$3=0,"",SUMIFS(INDEX(Inputs!$D$4:$AG$200,0,MATCH(I$2,Inputs!$D$2:$AG$2,0)),Inputs!$B$4:$B$200,$B32)/1000)</f>
        <v>1565.549</v>
      </c>
      <c r="J32" s="11">
        <f>IF(J$3=0,"",SUMIFS(INDEX(Inputs!$D$4:$AG$200,0,MATCH(J$2,Inputs!$D$2:$AG$2,0)),Inputs!$B$4:$B$200,$B32)/1000)</f>
        <v>2031.731</v>
      </c>
      <c r="K32" s="11">
        <f>IF(K$3=0,"",SUMIFS(INDEX(Inputs!$D$4:$AG$200,0,MATCH(K$2,Inputs!$D$2:$AG$2,0)),Inputs!$B$4:$B$200,$B32)/1000)</f>
        <v>2681.554</v>
      </c>
      <c r="L32" s="11">
        <f>IF(L$3=0,"",SUMIFS(INDEX(Inputs!$D$4:$AG$200,0,MATCH(L$2,Inputs!$D$2:$AG$2,0)),Inputs!$B$4:$B$200,$B32)/1000)</f>
        <v>3933.488</v>
      </c>
      <c r="M32" s="12">
        <f>IF(L32="","",L32)</f>
        <v>3933.488</v>
      </c>
      <c r="N32" s="11">
        <f>IF(N$3=0,"",SUMIFS(INDEX(Inputs!$D$4:$AG$200,0,MATCH(N$2,Inputs!$D$2:$AG$2,0)),Inputs!$B$4:$B$200,$B32)/1000)</f>
        <v>2885.690651587</v>
      </c>
      <c r="O32" s="11">
        <f>IF(O$3=0,"",SUMIFS(INDEX(Inputs!$D$4:$AG$200,0,MATCH(O$2,Inputs!$D$2:$AG$2,0)),Inputs!$B$4:$B$200,$B32)/1000)</f>
        <v>3046.700323615</v>
      </c>
      <c r="P32" s="11">
        <f>IF(P$3=0,"",SUMIFS(INDEX(Inputs!$D$4:$AG$200,0,MATCH(P$2,Inputs!$D$2:$AG$2,0)),Inputs!$B$4:$B$200,$B32)/1000)</f>
        <v>3322.926530379</v>
      </c>
      <c r="Q32" s="11">
        <f>IF(Q$3=0,"",SUMIFS(INDEX(Inputs!$D$4:$AG$200,0,MATCH(Q$2,Inputs!$D$2:$AG$2,0)),Inputs!$B$4:$B$200,$B32)/1000)</f>
        <v>3933.098008447</v>
      </c>
      <c r="R32" s="12">
        <f>IF(Q32="","",Q32)</f>
        <v>3933.098008447</v>
      </c>
      <c r="S32" s="11">
        <f>IF(S$3=0,"",SUMIFS(INDEX(Inputs!$D$4:$AG$200,0,MATCH(S$2,Inputs!$D$2:$AG$2,0)),Inputs!$B$4:$B$200,$B32)/1000)</f>
        <v>4486.447433825</v>
      </c>
      <c r="T32" s="11">
        <f>IF(T$3=0,"",SUMIFS(INDEX(Inputs!$D$4:$AG$200,0,MATCH(T$2,Inputs!$D$2:$AG$2,0)),Inputs!$B$4:$B$200,$B32)/1000)</f>
        <v>6152.465864675</v>
      </c>
      <c r="U32" s="11">
        <f>IF(U$3=0,"",SUMIFS(INDEX(Inputs!$D$4:$AG$200,0,MATCH(U$2,Inputs!$D$2:$AG$2,0)),Inputs!$B$4:$B$200,$B32)/1000)</f>
        <v>6517.845913895</v>
      </c>
      <c r="V32" s="11">
        <f>IF(V$3=0,"",SUMIFS(INDEX(Inputs!$D$4:$AG$200,0,MATCH(V$2,Inputs!$D$2:$AG$2,0)),Inputs!$B$4:$B$200,$B32)/1000)</f>
        <v>7114.14838549</v>
      </c>
      <c r="W32" s="12">
        <f>IF(V32="","",V32)</f>
        <v>7114.14838549</v>
      </c>
      <c r="X32" s="11">
        <f>IF(X$3=0,"",SUMIFS(INDEX(Inputs!$D$4:$AG$200,0,MATCH(X$2,Inputs!$D$2:$AG$2,0)),Inputs!$B$4:$B$200,$B32)/1000)</f>
        <v>7447.99954332</v>
      </c>
      <c r="Y32" s="11">
        <f>IF(Y$3=0,"",SUMIFS(INDEX(Inputs!$D$4:$AG$200,0,MATCH(Y$2,Inputs!$D$2:$AG$2,0)),Inputs!$B$4:$B$200,$B32)/1000)</f>
        <v>7066.00455085</v>
      </c>
      <c r="Z32" s="11">
        <f>IF(Z$3=0,"",SUMIFS(INDEX(Inputs!$D$4:$AG$200,0,MATCH(Z$2,Inputs!$D$2:$AG$2,0)),Inputs!$B$4:$B$200,$B32)/1000)</f>
        <v>7912.9124352</v>
      </c>
      <c r="AA32" s="11">
        <f>IF(AA$3=0,"",SUMIFS(INDEX(Inputs!$D$4:$AG$200,0,MATCH(AA$2,Inputs!$D$2:$AG$2,0)),Inputs!$B$4:$B$200,$B32)/1000)</f>
        <v>9109.41335713</v>
      </c>
      <c r="AB32" s="12">
        <f>IF(AA32="","",AA32)</f>
        <v>9109.41335713</v>
      </c>
      <c r="AC32" s="11">
        <f>IF(AC$3=0,"",SUMIFS(INDEX(Inputs!$D$4:$AG$200,0,MATCH(AC$2,Inputs!$D$2:$AG$2,0)),Inputs!$B$4:$B$200,$B32)/1000)</f>
        <v>8001.67079087</v>
      </c>
      <c r="AD32" s="11">
        <f>IF(AD$3=0,"",SUMIFS(INDEX(Inputs!$D$4:$AG$200,0,MATCH(AD$2,Inputs!$D$2:$AG$2,0)),Inputs!$B$4:$B$200,$B32)/1000)</f>
        <v>7556.41057503</v>
      </c>
      <c r="AE32" s="11" t="str">
        <f>IF(AE$3=0,"",SUMIFS(INDEX(Inputs!$D$4:$AG$200,0,MATCH(AE$2,Inputs!$D$2:$AG$2,0)),Inputs!$B$4:$B$200,$B32)/1000)</f>
        <v/>
      </c>
      <c r="AF32" s="11" t="str">
        <f>IF(AF$3=0,"",SUMIFS(INDEX(Inputs!$D$4:$AG$200,0,MATCH(AF$2,Inputs!$D$2:$AG$2,0)),Inputs!$B$4:$B$200,$B32)/1000)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IF(D$3=0,"",SUMIFS(INDEX(Inputs!$D$4:$AG$200,0,MATCH(D$2,Inputs!$D$2:$AG$2,0)),Inputs!$B$4:$B$200,$B33)/1000)</f>
        <v>0</v>
      </c>
      <c r="E33" s="11">
        <f>IF(E$3=0,"",SUMIFS(INDEX(Inputs!$D$4:$AG$200,0,MATCH(E$2,Inputs!$D$2:$AG$2,0)),Inputs!$B$4:$B$200,$B33)/1000)</f>
        <v>0</v>
      </c>
      <c r="F33" s="11">
        <f>IF(F$3=0,"",SUMIFS(INDEX(Inputs!$D$4:$AG$200,0,MATCH(F$2,Inputs!$D$2:$AG$2,0)),Inputs!$B$4:$B$200,$B33)/1000)</f>
        <v>0</v>
      </c>
      <c r="G33" s="11">
        <f>IF(G$3=0,"",SUMIFS(INDEX(Inputs!$D$4:$AG$200,0,MATCH(G$2,Inputs!$D$2:$AG$2,0)),Inputs!$B$4:$B$200,$B33)/1000)</f>
        <v>0</v>
      </c>
      <c r="H33" s="12">
        <f>IF(G33="","",G33)</f>
        <v>0</v>
      </c>
      <c r="I33" s="11">
        <f>IF(I$3=0,"",SUMIFS(INDEX(Inputs!$D$4:$AG$200,0,MATCH(I$2,Inputs!$D$2:$AG$2,0)),Inputs!$B$4:$B$200,$B33)/1000)</f>
        <v>0</v>
      </c>
      <c r="J33" s="11">
        <f>IF(J$3=0,"",SUMIFS(INDEX(Inputs!$D$4:$AG$200,0,MATCH(J$2,Inputs!$D$2:$AG$2,0)),Inputs!$B$4:$B$200,$B33)/1000)</f>
        <v>0</v>
      </c>
      <c r="K33" s="11">
        <f>IF(K$3=0,"",SUMIFS(INDEX(Inputs!$D$4:$AG$200,0,MATCH(K$2,Inputs!$D$2:$AG$2,0)),Inputs!$B$4:$B$200,$B33)/1000)</f>
        <v>0</v>
      </c>
      <c r="L33" s="11">
        <f>IF(L$3=0,"",SUMIFS(INDEX(Inputs!$D$4:$AG$200,0,MATCH(L$2,Inputs!$D$2:$AG$2,0)),Inputs!$B$4:$B$200,$B33)/1000)</f>
        <v>0</v>
      </c>
      <c r="M33" s="12">
        <f>IF(L33="","",L33)</f>
        <v>0</v>
      </c>
      <c r="N33" s="11">
        <f>IF(N$3=0,"",SUMIFS(INDEX(Inputs!$D$4:$AG$200,0,MATCH(N$2,Inputs!$D$2:$AG$2,0)),Inputs!$B$4:$B$200,$B33)/1000)</f>
        <v>0</v>
      </c>
      <c r="O33" s="11">
        <f>IF(O$3=0,"",SUMIFS(INDEX(Inputs!$D$4:$AG$200,0,MATCH(O$2,Inputs!$D$2:$AG$2,0)),Inputs!$B$4:$B$200,$B33)/1000)</f>
        <v>0</v>
      </c>
      <c r="P33" s="11">
        <f>IF(P$3=0,"",SUMIFS(INDEX(Inputs!$D$4:$AG$200,0,MATCH(P$2,Inputs!$D$2:$AG$2,0)),Inputs!$B$4:$B$200,$B33)/1000)</f>
        <v>0</v>
      </c>
      <c r="Q33" s="11">
        <f>IF(Q$3=0,"",SUMIFS(INDEX(Inputs!$D$4:$AG$200,0,MATCH(Q$2,Inputs!$D$2:$AG$2,0)),Inputs!$B$4:$B$200,$B33)/1000)</f>
        <v>0</v>
      </c>
      <c r="R33" s="12">
        <f>IF(Q33="","",Q33)</f>
        <v>0</v>
      </c>
      <c r="S33" s="11">
        <f>IF(S$3=0,"",SUMIFS(INDEX(Inputs!$D$4:$AG$200,0,MATCH(S$2,Inputs!$D$2:$AG$2,0)),Inputs!$B$4:$B$200,$B33)/1000)</f>
        <v>0</v>
      </c>
      <c r="T33" s="11">
        <f>IF(T$3=0,"",SUMIFS(INDEX(Inputs!$D$4:$AG$200,0,MATCH(T$2,Inputs!$D$2:$AG$2,0)),Inputs!$B$4:$B$200,$B33)/1000)</f>
        <v>0</v>
      </c>
      <c r="U33" s="11">
        <f>IF(U$3=0,"",SUMIFS(INDEX(Inputs!$D$4:$AG$200,0,MATCH(U$2,Inputs!$D$2:$AG$2,0)),Inputs!$B$4:$B$200,$B33)/1000)</f>
        <v>0</v>
      </c>
      <c r="V33" s="11">
        <f>IF(V$3=0,"",SUMIFS(INDEX(Inputs!$D$4:$AG$200,0,MATCH(V$2,Inputs!$D$2:$AG$2,0)),Inputs!$B$4:$B$200,$B33)/1000)</f>
        <v>0</v>
      </c>
      <c r="W33" s="12">
        <f>IF(V33="","",V33)</f>
        <v>0</v>
      </c>
      <c r="X33" s="11">
        <f>IF(X$3=0,"",SUMIFS(INDEX(Inputs!$D$4:$AG$200,0,MATCH(X$2,Inputs!$D$2:$AG$2,0)),Inputs!$B$4:$B$200,$B33)/1000)</f>
        <v>0</v>
      </c>
      <c r="Y33" s="11">
        <f>IF(Y$3=0,"",SUMIFS(INDEX(Inputs!$D$4:$AG$200,0,MATCH(Y$2,Inputs!$D$2:$AG$2,0)),Inputs!$B$4:$B$200,$B33)/1000)</f>
        <v>0</v>
      </c>
      <c r="Z33" s="11">
        <f>IF(Z$3=0,"",SUMIFS(INDEX(Inputs!$D$4:$AG$200,0,MATCH(Z$2,Inputs!$D$2:$AG$2,0)),Inputs!$B$4:$B$200,$B33)/1000)</f>
        <v>0</v>
      </c>
      <c r="AA33" s="11">
        <f>IF(AA$3=0,"",SUMIFS(INDEX(Inputs!$D$4:$AG$200,0,MATCH(AA$2,Inputs!$D$2:$AG$2,0)),Inputs!$B$4:$B$200,$B33)/1000)</f>
        <v>0</v>
      </c>
      <c r="AB33" s="12">
        <f>IF(AA33="","",AA33)</f>
        <v>0</v>
      </c>
      <c r="AC33" s="11">
        <f>IF(AC$3=0,"",SUMIFS(INDEX(Inputs!$D$4:$AG$200,0,MATCH(AC$2,Inputs!$D$2:$AG$2,0)),Inputs!$B$4:$B$200,$B33)/1000)</f>
        <v>0</v>
      </c>
      <c r="AD33" s="11">
        <f>IF(AD$3=0,"",SUMIFS(INDEX(Inputs!$D$4:$AG$200,0,MATCH(AD$2,Inputs!$D$2:$AG$2,0)),Inputs!$B$4:$B$200,$B33)/1000)</f>
        <v>0</v>
      </c>
      <c r="AE33" s="11" t="str">
        <f>IF(AE$3=0,"",SUMIFS(INDEX(Inputs!$D$4:$AG$200,0,MATCH(AE$2,Inputs!$D$2:$AG$2,0)),Inputs!$B$4:$B$200,$B33)/1000)</f>
        <v/>
      </c>
      <c r="AF33" s="11" t="str">
        <f>IF(AF$3=0,"",SUMIFS(INDEX(Inputs!$D$4:$AG$200,0,MATCH(AF$2,Inputs!$D$2:$AG$2,0)),Inputs!$B$4:$B$200,$B33)/1000)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IF(D$3=0,"",SUMIFS(INDEX(Inputs!$D$4:$AG$200,0,MATCH(D$2,Inputs!$D$2:$AG$2,0)),Inputs!$B$4:$B$200,$B34)/1000)</f>
        <v>115.26827369</v>
      </c>
      <c r="E34" s="11">
        <f>IF(E$3=0,"",SUMIFS(INDEX(Inputs!$D$4:$AG$200,0,MATCH(E$2,Inputs!$D$2:$AG$2,0)),Inputs!$B$4:$B$200,$B34)/1000)</f>
        <v>135.25761191</v>
      </c>
      <c r="F34" s="11">
        <f>IF(F$3=0,"",SUMIFS(INDEX(Inputs!$D$4:$AG$200,0,MATCH(F$2,Inputs!$D$2:$AG$2,0)),Inputs!$B$4:$B$200,$B34)/1000)</f>
        <v>324.387</v>
      </c>
      <c r="G34" s="11">
        <f>IF(G$3=0,"",SUMIFS(INDEX(Inputs!$D$4:$AG$200,0,MATCH(G$2,Inputs!$D$2:$AG$2,0)),Inputs!$B$4:$B$200,$B34)/1000)</f>
        <v>197.769</v>
      </c>
      <c r="H34" s="12">
        <f>IF(G34="","",G34)</f>
        <v>197.769</v>
      </c>
      <c r="I34" s="11">
        <f>IF(I$3=0,"",SUMIFS(INDEX(Inputs!$D$4:$AG$200,0,MATCH(I$2,Inputs!$D$2:$AG$2,0)),Inputs!$B$4:$B$200,$B34)/1000)</f>
        <v>197.789</v>
      </c>
      <c r="J34" s="11">
        <f>IF(J$3=0,"",SUMIFS(INDEX(Inputs!$D$4:$AG$200,0,MATCH(J$2,Inputs!$D$2:$AG$2,0)),Inputs!$B$4:$B$200,$B34)/1000)</f>
        <v>212.55</v>
      </c>
      <c r="K34" s="11">
        <f>IF(K$3=0,"",SUMIFS(INDEX(Inputs!$D$4:$AG$200,0,MATCH(K$2,Inputs!$D$2:$AG$2,0)),Inputs!$B$4:$B$200,$B34)/1000)</f>
        <v>248.393</v>
      </c>
      <c r="L34" s="11">
        <f>IF(L$3=0,"",SUMIFS(INDEX(Inputs!$D$4:$AG$200,0,MATCH(L$2,Inputs!$D$2:$AG$2,0)),Inputs!$B$4:$B$200,$B34)/1000)</f>
        <v>291.43</v>
      </c>
      <c r="M34" s="12">
        <f>IF(L34="","",L34)</f>
        <v>291.43</v>
      </c>
      <c r="N34" s="11">
        <f>IF(N$3=0,"",SUMIFS(INDEX(Inputs!$D$4:$AG$200,0,MATCH(N$2,Inputs!$D$2:$AG$2,0)),Inputs!$B$4:$B$200,$B34)/1000)</f>
        <v>302.015930157</v>
      </c>
      <c r="O34" s="11">
        <f>IF(O$3=0,"",SUMIFS(INDEX(Inputs!$D$4:$AG$200,0,MATCH(O$2,Inputs!$D$2:$AG$2,0)),Inputs!$B$4:$B$200,$B34)/1000)</f>
        <v>319.175826534</v>
      </c>
      <c r="P34" s="11">
        <f>IF(P$3=0,"",SUMIFS(INDEX(Inputs!$D$4:$AG$200,0,MATCH(P$2,Inputs!$D$2:$AG$2,0)),Inputs!$B$4:$B$200,$B34)/1000)</f>
        <v>342.244387795</v>
      </c>
      <c r="Q34" s="11">
        <f>IF(Q$3=0,"",SUMIFS(INDEX(Inputs!$D$4:$AG$200,0,MATCH(Q$2,Inputs!$D$2:$AG$2,0)),Inputs!$B$4:$B$200,$B34)/1000)</f>
        <v>364.875069911</v>
      </c>
      <c r="R34" s="12">
        <f>IF(Q34="","",Q34)</f>
        <v>364.875069911</v>
      </c>
      <c r="S34" s="11">
        <f>IF(S$3=0,"",SUMIFS(INDEX(Inputs!$D$4:$AG$200,0,MATCH(S$2,Inputs!$D$2:$AG$2,0)),Inputs!$B$4:$B$200,$B34)/1000)</f>
        <v>354.372035038</v>
      </c>
      <c r="T34" s="11">
        <f>IF(T$3=0,"",SUMIFS(INDEX(Inputs!$D$4:$AG$200,0,MATCH(T$2,Inputs!$D$2:$AG$2,0)),Inputs!$B$4:$B$200,$B34)/1000)</f>
        <v>387.947807953</v>
      </c>
      <c r="U34" s="11">
        <f>IF(U$3=0,"",SUMIFS(INDEX(Inputs!$D$4:$AG$200,0,MATCH(U$2,Inputs!$D$2:$AG$2,0)),Inputs!$B$4:$B$200,$B34)/1000)</f>
        <v>434.542762599</v>
      </c>
      <c r="V34" s="11">
        <f>IF(V$3=0,"",SUMIFS(INDEX(Inputs!$D$4:$AG$200,0,MATCH(V$2,Inputs!$D$2:$AG$2,0)),Inputs!$B$4:$B$200,$B34)/1000)</f>
        <v>444.88450984</v>
      </c>
      <c r="W34" s="12">
        <f>IF(V34="","",V34)</f>
        <v>444.88450984</v>
      </c>
      <c r="X34" s="11">
        <f>IF(X$3=0,"",SUMIFS(INDEX(Inputs!$D$4:$AG$200,0,MATCH(X$2,Inputs!$D$2:$AG$2,0)),Inputs!$B$4:$B$200,$B34)/1000)</f>
        <v>409.76793177</v>
      </c>
      <c r="Y34" s="11">
        <f>IF(Y$3=0,"",SUMIFS(INDEX(Inputs!$D$4:$AG$200,0,MATCH(Y$2,Inputs!$D$2:$AG$2,0)),Inputs!$B$4:$B$200,$B34)/1000)</f>
        <v>160.22182137</v>
      </c>
      <c r="Z34" s="11">
        <f>IF(Z$3=0,"",SUMIFS(INDEX(Inputs!$D$4:$AG$200,0,MATCH(Z$2,Inputs!$D$2:$AG$2,0)),Inputs!$B$4:$B$200,$B34)/1000)</f>
        <v>64.34033223</v>
      </c>
      <c r="AA34" s="11">
        <f>IF(AA$3=0,"",SUMIFS(INDEX(Inputs!$D$4:$AG$200,0,MATCH(AA$2,Inputs!$D$2:$AG$2,0)),Inputs!$B$4:$B$200,$B34)/1000)</f>
        <v>319.41626964</v>
      </c>
      <c r="AB34" s="12">
        <f>IF(AA34="","",AA34)</f>
        <v>319.41626964</v>
      </c>
      <c r="AC34" s="11">
        <f>IF(AC$3=0,"",SUMIFS(INDEX(Inputs!$D$4:$AG$200,0,MATCH(AC$2,Inputs!$D$2:$AG$2,0)),Inputs!$B$4:$B$200,$B34)/1000)</f>
        <v>327.66916642</v>
      </c>
      <c r="AD34" s="11">
        <f>IF(AD$3=0,"",SUMIFS(INDEX(Inputs!$D$4:$AG$200,0,MATCH(AD$2,Inputs!$D$2:$AG$2,0)),Inputs!$B$4:$B$200,$B34)/1000)</f>
        <v>199.06820025</v>
      </c>
      <c r="AE34" s="11" t="str">
        <f>IF(AE$3=0,"",SUMIFS(INDEX(Inputs!$D$4:$AG$200,0,MATCH(AE$2,Inputs!$D$2:$AG$2,0)),Inputs!$B$4:$B$200,$B34)/1000)</f>
        <v/>
      </c>
      <c r="AF34" s="11" t="str">
        <f>IF(AF$3=0,"",SUMIFS(INDEX(Inputs!$D$4:$AG$200,0,MATCH(AF$2,Inputs!$D$2:$AG$2,0)),Inputs!$B$4:$B$200,$B34)/1000)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IF(D$3=0,"",SUMIFS(INDEX(Inputs!$D$4:$AG$200,0,MATCH(D$2,Inputs!$D$2:$AG$2,0)),Inputs!$B$4:$B$200,$B35)/1000)</f>
        <v>21729.77041724</v>
      </c>
      <c r="E35" s="11">
        <f>IF(E$3=0,"",SUMIFS(INDEX(Inputs!$D$4:$AG$200,0,MATCH(E$2,Inputs!$D$2:$AG$2,0)),Inputs!$B$4:$B$200,$B35)/1000)</f>
        <v>21263.36715647</v>
      </c>
      <c r="F35" s="11">
        <f>IF(F$3=0,"",SUMIFS(INDEX(Inputs!$D$4:$AG$200,0,MATCH(F$2,Inputs!$D$2:$AG$2,0)),Inputs!$B$4:$B$200,$B35)/1000)</f>
        <v>27305.482</v>
      </c>
      <c r="G35" s="11">
        <f>IF(G$3=0,"",SUMIFS(INDEX(Inputs!$D$4:$AG$200,0,MATCH(G$2,Inputs!$D$2:$AG$2,0)),Inputs!$B$4:$B$200,$B35)/1000)</f>
        <v>31973.666</v>
      </c>
      <c r="H35" s="12">
        <f>IF(G35="","",G35)</f>
        <v>31973.666</v>
      </c>
      <c r="I35" s="11">
        <f>IF(I$3=0,"",SUMIFS(INDEX(Inputs!$D$4:$AG$200,0,MATCH(I$2,Inputs!$D$2:$AG$2,0)),Inputs!$B$4:$B$200,$B35)/1000)</f>
        <v>30298.448</v>
      </c>
      <c r="J35" s="11">
        <f>IF(J$3=0,"",SUMIFS(INDEX(Inputs!$D$4:$AG$200,0,MATCH(J$2,Inputs!$D$2:$AG$2,0)),Inputs!$B$4:$B$200,$B35)/1000)</f>
        <v>34054.21</v>
      </c>
      <c r="K35" s="11">
        <f>IF(K$3=0,"",SUMIFS(INDEX(Inputs!$D$4:$AG$200,0,MATCH(K$2,Inputs!$D$2:$AG$2,0)),Inputs!$B$4:$B$200,$B35)/1000)</f>
        <v>37015.292</v>
      </c>
      <c r="L35" s="11">
        <f>IF(L$3=0,"",SUMIFS(INDEX(Inputs!$D$4:$AG$200,0,MATCH(L$2,Inputs!$D$2:$AG$2,0)),Inputs!$B$4:$B$200,$B35)/1000)</f>
        <v>34273.332</v>
      </c>
      <c r="M35" s="12">
        <f>IF(L35="","",L35)</f>
        <v>34273.332</v>
      </c>
      <c r="N35" s="11">
        <f>IF(N$3=0,"",SUMIFS(INDEX(Inputs!$D$4:$AG$200,0,MATCH(N$2,Inputs!$D$2:$AG$2,0)),Inputs!$B$4:$B$200,$B35)/1000)</f>
        <v>35043.586112855</v>
      </c>
      <c r="O35" s="11">
        <f>IF(O$3=0,"",SUMIFS(INDEX(Inputs!$D$4:$AG$200,0,MATCH(O$2,Inputs!$D$2:$AG$2,0)),Inputs!$B$4:$B$200,$B35)/1000)</f>
        <v>35947.957633017</v>
      </c>
      <c r="P35" s="11">
        <f>IF(P$3=0,"",SUMIFS(INDEX(Inputs!$D$4:$AG$200,0,MATCH(P$2,Inputs!$D$2:$AG$2,0)),Inputs!$B$4:$B$200,$B35)/1000)</f>
        <v>36140.760213768</v>
      </c>
      <c r="Q35" s="11">
        <f>IF(Q$3=0,"",SUMIFS(INDEX(Inputs!$D$4:$AG$200,0,MATCH(Q$2,Inputs!$D$2:$AG$2,0)),Inputs!$B$4:$B$200,$B35)/1000)</f>
        <v>39620.685884362</v>
      </c>
      <c r="R35" s="12">
        <f>IF(Q35="","",Q35)</f>
        <v>39620.685884362</v>
      </c>
      <c r="S35" s="11">
        <f>IF(S$3=0,"",SUMIFS(INDEX(Inputs!$D$4:$AG$200,0,MATCH(S$2,Inputs!$D$2:$AG$2,0)),Inputs!$B$4:$B$200,$B35)/1000)</f>
        <v>42338.715445725</v>
      </c>
      <c r="T35" s="11">
        <f>IF(T$3=0,"",SUMIFS(INDEX(Inputs!$D$4:$AG$200,0,MATCH(T$2,Inputs!$D$2:$AG$2,0)),Inputs!$B$4:$B$200,$B35)/1000)</f>
        <v>43104.399683529</v>
      </c>
      <c r="U35" s="11">
        <f>IF(U$3=0,"",SUMIFS(INDEX(Inputs!$D$4:$AG$200,0,MATCH(U$2,Inputs!$D$2:$AG$2,0)),Inputs!$B$4:$B$200,$B35)/1000)</f>
        <v>46165.038921515</v>
      </c>
      <c r="V35" s="11">
        <f>IF(V$3=0,"",SUMIFS(INDEX(Inputs!$D$4:$AG$200,0,MATCH(V$2,Inputs!$D$2:$AG$2,0)),Inputs!$B$4:$B$200,$B35)/1000)</f>
        <v>47635.4360162</v>
      </c>
      <c r="W35" s="12">
        <f>IF(V35="","",V35)</f>
        <v>47635.4360162</v>
      </c>
      <c r="X35" s="11">
        <f>IF(X$3=0,"",SUMIFS(INDEX(Inputs!$D$4:$AG$200,0,MATCH(X$2,Inputs!$D$2:$AG$2,0)),Inputs!$B$4:$B$200,$B35)/1000)</f>
        <v>48099.6743609</v>
      </c>
      <c r="Y35" s="11">
        <f>IF(Y$3=0,"",SUMIFS(INDEX(Inputs!$D$4:$AG$200,0,MATCH(Y$2,Inputs!$D$2:$AG$2,0)),Inputs!$B$4:$B$200,$B35)/1000)</f>
        <v>47635.92752496</v>
      </c>
      <c r="Z35" s="11">
        <f>IF(Z$3=0,"",SUMIFS(INDEX(Inputs!$D$4:$AG$200,0,MATCH(Z$2,Inputs!$D$2:$AG$2,0)),Inputs!$B$4:$B$200,$B35)/1000)</f>
        <v>45591.68362549</v>
      </c>
      <c r="AA35" s="11">
        <f>IF(AA$3=0,"",SUMIFS(INDEX(Inputs!$D$4:$AG$200,0,MATCH(AA$2,Inputs!$D$2:$AG$2,0)),Inputs!$B$4:$B$200,$B35)/1000)</f>
        <v>46614.11133361</v>
      </c>
      <c r="AB35" s="12">
        <f>IF(AA35="","",AA35)</f>
        <v>46614.11133361</v>
      </c>
      <c r="AC35" s="11">
        <f>IF(AC$3=0,"",SUMIFS(INDEX(Inputs!$D$4:$AG$200,0,MATCH(AC$2,Inputs!$D$2:$AG$2,0)),Inputs!$B$4:$B$200,$B35)/1000)</f>
        <v>49031.23543621</v>
      </c>
      <c r="AD35" s="11">
        <f>IF(AD$3=0,"",SUMIFS(INDEX(Inputs!$D$4:$AG$200,0,MATCH(AD$2,Inputs!$D$2:$AG$2,0)),Inputs!$B$4:$B$200,$B35)/1000)</f>
        <v>48591.51937482</v>
      </c>
      <c r="AE35" s="11" t="str">
        <f>IF(AE$3=0,"",SUMIFS(INDEX(Inputs!$D$4:$AG$200,0,MATCH(AE$2,Inputs!$D$2:$AG$2,0)),Inputs!$B$4:$B$200,$B35)/1000)</f>
        <v/>
      </c>
      <c r="AF35" s="11" t="str">
        <f>IF(AF$3=0,"",SUMIFS(INDEX(Inputs!$D$4:$AG$200,0,MATCH(AF$2,Inputs!$D$2:$AG$2,0)),Inputs!$B$4:$B$200,$B35)/1000)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IF(D$3=0,"",SUMIFS(INDEX(Inputs!$D$4:$AG$200,0,MATCH(D$2,Inputs!$D$2:$AG$2,0)),Inputs!$B$4:$B$200,$B36)/1000)</f>
        <v>506.1222104</v>
      </c>
      <c r="E36" s="11">
        <f>IF(E$3=0,"",SUMIFS(INDEX(Inputs!$D$4:$AG$200,0,MATCH(E$2,Inputs!$D$2:$AG$2,0)),Inputs!$B$4:$B$200,$B36)/1000)</f>
        <v>571.30321603</v>
      </c>
      <c r="F36" s="11">
        <f>IF(F$3=0,"",SUMIFS(INDEX(Inputs!$D$4:$AG$200,0,MATCH(F$2,Inputs!$D$2:$AG$2,0)),Inputs!$B$4:$B$200,$B36)/1000)</f>
        <v>419.081</v>
      </c>
      <c r="G36" s="11">
        <f>IF(G$3=0,"",SUMIFS(INDEX(Inputs!$D$4:$AG$200,0,MATCH(G$2,Inputs!$D$2:$AG$2,0)),Inputs!$B$4:$B$200,$B36)/1000)</f>
        <v>660.011</v>
      </c>
      <c r="H36" s="12">
        <f>IF(G36="","",G36)</f>
        <v>660.011</v>
      </c>
      <c r="I36" s="11">
        <f>IF(I$3=0,"",SUMIFS(INDEX(Inputs!$D$4:$AG$200,0,MATCH(I$2,Inputs!$D$2:$AG$2,0)),Inputs!$B$4:$B$200,$B36)/1000)</f>
        <v>707.509</v>
      </c>
      <c r="J36" s="11">
        <f>IF(J$3=0,"",SUMIFS(INDEX(Inputs!$D$4:$AG$200,0,MATCH(J$2,Inputs!$D$2:$AG$2,0)),Inputs!$B$4:$B$200,$B36)/1000)</f>
        <v>758.746</v>
      </c>
      <c r="K36" s="11">
        <f>IF(K$3=0,"",SUMIFS(INDEX(Inputs!$D$4:$AG$200,0,MATCH(K$2,Inputs!$D$2:$AG$2,0)),Inputs!$B$4:$B$200,$B36)/1000)</f>
        <v>967.671</v>
      </c>
      <c r="L36" s="11">
        <f>IF(L$3=0,"",SUMIFS(INDEX(Inputs!$D$4:$AG$200,0,MATCH(L$2,Inputs!$D$2:$AG$2,0)),Inputs!$B$4:$B$200,$B36)/1000)</f>
        <v>1399.556</v>
      </c>
      <c r="M36" s="12">
        <f>IF(L36="","",L36)</f>
        <v>1399.556</v>
      </c>
      <c r="N36" s="11">
        <f>IF(N$3=0,"",SUMIFS(INDEX(Inputs!$D$4:$AG$200,0,MATCH(N$2,Inputs!$D$2:$AG$2,0)),Inputs!$B$4:$B$200,$B36)/1000)</f>
        <v>1448.60556487</v>
      </c>
      <c r="O36" s="11">
        <f>IF(O$3=0,"",SUMIFS(INDEX(Inputs!$D$4:$AG$200,0,MATCH(O$2,Inputs!$D$2:$AG$2,0)),Inputs!$B$4:$B$200,$B36)/1000)</f>
        <v>1400.04072114</v>
      </c>
      <c r="P36" s="11">
        <f>IF(P$3=0,"",SUMIFS(INDEX(Inputs!$D$4:$AG$200,0,MATCH(P$2,Inputs!$D$2:$AG$2,0)),Inputs!$B$4:$B$200,$B36)/1000)</f>
        <v>1429.05878962</v>
      </c>
      <c r="Q36" s="11">
        <f>IF(Q$3=0,"",SUMIFS(INDEX(Inputs!$D$4:$AG$200,0,MATCH(Q$2,Inputs!$D$2:$AG$2,0)),Inputs!$B$4:$B$200,$B36)/1000)</f>
        <v>1499.744892956</v>
      </c>
      <c r="R36" s="12">
        <f>IF(Q36="","",Q36)</f>
        <v>1499.744892956</v>
      </c>
      <c r="S36" s="11">
        <f>IF(S$3=0,"",SUMIFS(INDEX(Inputs!$D$4:$AG$200,0,MATCH(S$2,Inputs!$D$2:$AG$2,0)),Inputs!$B$4:$B$200,$B36)/1000)</f>
        <v>1549.570144089</v>
      </c>
      <c r="T36" s="11">
        <f>IF(T$3=0,"",SUMIFS(INDEX(Inputs!$D$4:$AG$200,0,MATCH(T$2,Inputs!$D$2:$AG$2,0)),Inputs!$B$4:$B$200,$B36)/1000)</f>
        <v>1641.605202739</v>
      </c>
      <c r="U36" s="11">
        <f>IF(U$3=0,"",SUMIFS(INDEX(Inputs!$D$4:$AG$200,0,MATCH(U$2,Inputs!$D$2:$AG$2,0)),Inputs!$B$4:$B$200,$B36)/1000)</f>
        <v>1654.308334949</v>
      </c>
      <c r="V36" s="11">
        <f>IF(V$3=0,"",SUMIFS(INDEX(Inputs!$D$4:$AG$200,0,MATCH(V$2,Inputs!$D$2:$AG$2,0)),Inputs!$B$4:$B$200,$B36)/1000)</f>
        <v>1664.98913914</v>
      </c>
      <c r="W36" s="12">
        <f>IF(V36="","",V36)</f>
        <v>1664.98913914</v>
      </c>
      <c r="X36" s="11">
        <f>IF(X$3=0,"",SUMIFS(INDEX(Inputs!$D$4:$AG$200,0,MATCH(X$2,Inputs!$D$2:$AG$2,0)),Inputs!$B$4:$B$200,$B36)/1000)</f>
        <v>1329.38760701</v>
      </c>
      <c r="Y36" s="11">
        <f>IF(Y$3=0,"",SUMIFS(INDEX(Inputs!$D$4:$AG$200,0,MATCH(Y$2,Inputs!$D$2:$AG$2,0)),Inputs!$B$4:$B$200,$B36)/1000)</f>
        <v>1663.23345869</v>
      </c>
      <c r="Z36" s="11">
        <f>IF(Z$3=0,"",SUMIFS(INDEX(Inputs!$D$4:$AG$200,0,MATCH(Z$2,Inputs!$D$2:$AG$2,0)),Inputs!$B$4:$B$200,$B36)/1000)</f>
        <v>1720.59277814</v>
      </c>
      <c r="AA36" s="11">
        <f>IF(AA$3=0,"",SUMIFS(INDEX(Inputs!$D$4:$AG$200,0,MATCH(AA$2,Inputs!$D$2:$AG$2,0)),Inputs!$B$4:$B$200,$B36)/1000)</f>
        <v>1437.18948274</v>
      </c>
      <c r="AB36" s="12">
        <f>IF(AA36="","",AA36)</f>
        <v>1437.18948274</v>
      </c>
      <c r="AC36" s="11">
        <f>IF(AC$3=0,"",SUMIFS(INDEX(Inputs!$D$4:$AG$200,0,MATCH(AC$2,Inputs!$D$2:$AG$2,0)),Inputs!$B$4:$B$200,$B36)/1000)</f>
        <v>1415.91845937</v>
      </c>
      <c r="AD36" s="11">
        <f>IF(AD$3=0,"",SUMIFS(INDEX(Inputs!$D$4:$AG$200,0,MATCH(AD$2,Inputs!$D$2:$AG$2,0)),Inputs!$B$4:$B$200,$B36)/1000)</f>
        <v>1671.7366149</v>
      </c>
      <c r="AE36" s="11" t="str">
        <f>IF(AE$3=0,"",SUMIFS(INDEX(Inputs!$D$4:$AG$200,0,MATCH(AE$2,Inputs!$D$2:$AG$2,0)),Inputs!$B$4:$B$200,$B36)/1000)</f>
        <v/>
      </c>
      <c r="AF36" s="11" t="str">
        <f>IF(AF$3=0,"",SUMIFS(INDEX(Inputs!$D$4:$AG$200,0,MATCH(AF$2,Inputs!$D$2:$AG$2,0)),Inputs!$B$4:$B$200,$B36)/1000)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IF(D$3=0,"",SUMIFS(INDEX(Inputs!$D$4:$AG$200,0,MATCH(D$2,Inputs!$D$2:$AG$2,0)),Inputs!$B$4:$B$200,$B37)/1000)</f>
        <v>0</v>
      </c>
      <c r="E37" s="11">
        <f>IF(E$3=0,"",SUMIFS(INDEX(Inputs!$D$4:$AG$200,0,MATCH(E$2,Inputs!$D$2:$AG$2,0)),Inputs!$B$4:$B$200,$B37)/1000)</f>
        <v>0</v>
      </c>
      <c r="F37" s="11">
        <f>IF(F$3=0,"",SUMIFS(INDEX(Inputs!$D$4:$AG$200,0,MATCH(F$2,Inputs!$D$2:$AG$2,0)),Inputs!$B$4:$B$200,$B37)/1000)</f>
        <v>0</v>
      </c>
      <c r="G37" s="11">
        <f>IF(G$3=0,"",SUMIFS(INDEX(Inputs!$D$4:$AG$200,0,MATCH(G$2,Inputs!$D$2:$AG$2,0)),Inputs!$B$4:$B$200,$B37)/1000)</f>
        <v>0</v>
      </c>
      <c r="H37" s="12">
        <f>IF(G37="","",G37)</f>
        <v>0</v>
      </c>
      <c r="I37" s="11">
        <f>IF(I$3=0,"",SUMIFS(INDEX(Inputs!$D$4:$AG$200,0,MATCH(I$2,Inputs!$D$2:$AG$2,0)),Inputs!$B$4:$B$200,$B37)/1000)</f>
        <v>0</v>
      </c>
      <c r="J37" s="11">
        <f>IF(J$3=0,"",SUMIFS(INDEX(Inputs!$D$4:$AG$200,0,MATCH(J$2,Inputs!$D$2:$AG$2,0)),Inputs!$B$4:$B$200,$B37)/1000)</f>
        <v>0</v>
      </c>
      <c r="K37" s="11">
        <f>IF(K$3=0,"",SUMIFS(INDEX(Inputs!$D$4:$AG$200,0,MATCH(K$2,Inputs!$D$2:$AG$2,0)),Inputs!$B$4:$B$200,$B37)/1000)</f>
        <v>0</v>
      </c>
      <c r="L37" s="11">
        <f>IF(L$3=0,"",SUMIFS(INDEX(Inputs!$D$4:$AG$200,0,MATCH(L$2,Inputs!$D$2:$AG$2,0)),Inputs!$B$4:$B$200,$B37)/1000)</f>
        <v>0</v>
      </c>
      <c r="M37" s="12">
        <f>IF(L37="","",L37)</f>
        <v>0</v>
      </c>
      <c r="N37" s="11">
        <f>IF(N$3=0,"",SUMIFS(INDEX(Inputs!$D$4:$AG$200,0,MATCH(N$2,Inputs!$D$2:$AG$2,0)),Inputs!$B$4:$B$200,$B37)/1000)</f>
        <v>0</v>
      </c>
      <c r="O37" s="11">
        <f>IF(O$3=0,"",SUMIFS(INDEX(Inputs!$D$4:$AG$200,0,MATCH(O$2,Inputs!$D$2:$AG$2,0)),Inputs!$B$4:$B$200,$B37)/1000)</f>
        <v>0</v>
      </c>
      <c r="P37" s="11">
        <f>IF(P$3=0,"",SUMIFS(INDEX(Inputs!$D$4:$AG$200,0,MATCH(P$2,Inputs!$D$2:$AG$2,0)),Inputs!$B$4:$B$200,$B37)/1000)</f>
        <v>0</v>
      </c>
      <c r="Q37" s="11">
        <f>IF(Q$3=0,"",SUMIFS(INDEX(Inputs!$D$4:$AG$200,0,MATCH(Q$2,Inputs!$D$2:$AG$2,0)),Inputs!$B$4:$B$200,$B37)/1000)</f>
        <v>0</v>
      </c>
      <c r="R37" s="12">
        <f>IF(Q37="","",Q37)</f>
        <v>0</v>
      </c>
      <c r="S37" s="11">
        <f>IF(S$3=0,"",SUMIFS(INDEX(Inputs!$D$4:$AG$200,0,MATCH(S$2,Inputs!$D$2:$AG$2,0)),Inputs!$B$4:$B$200,$B37)/1000)</f>
        <v>0</v>
      </c>
      <c r="T37" s="11">
        <f>IF(T$3=0,"",SUMIFS(INDEX(Inputs!$D$4:$AG$200,0,MATCH(T$2,Inputs!$D$2:$AG$2,0)),Inputs!$B$4:$B$200,$B37)/1000)</f>
        <v>0</v>
      </c>
      <c r="U37" s="11">
        <f>IF(U$3=0,"",SUMIFS(INDEX(Inputs!$D$4:$AG$200,0,MATCH(U$2,Inputs!$D$2:$AG$2,0)),Inputs!$B$4:$B$200,$B37)/1000)</f>
        <v>0</v>
      </c>
      <c r="V37" s="11">
        <f>IF(V$3=0,"",SUMIFS(INDEX(Inputs!$D$4:$AG$200,0,MATCH(V$2,Inputs!$D$2:$AG$2,0)),Inputs!$B$4:$B$200,$B37)/1000)</f>
        <v>0</v>
      </c>
      <c r="W37" s="12">
        <f>IF(V37="","",V37)</f>
        <v>0</v>
      </c>
      <c r="X37" s="11">
        <f>IF(X$3=0,"",SUMIFS(INDEX(Inputs!$D$4:$AG$200,0,MATCH(X$2,Inputs!$D$2:$AG$2,0)),Inputs!$B$4:$B$200,$B37)/1000)</f>
        <v>0</v>
      </c>
      <c r="Y37" s="11">
        <f>IF(Y$3=0,"",SUMIFS(INDEX(Inputs!$D$4:$AG$200,0,MATCH(Y$2,Inputs!$D$2:$AG$2,0)),Inputs!$B$4:$B$200,$B37)/1000)</f>
        <v>0</v>
      </c>
      <c r="Z37" s="11">
        <f>IF(Z$3=0,"",SUMIFS(INDEX(Inputs!$D$4:$AG$200,0,MATCH(Z$2,Inputs!$D$2:$AG$2,0)),Inputs!$B$4:$B$200,$B37)/1000)</f>
        <v>0</v>
      </c>
      <c r="AA37" s="11">
        <f>IF(AA$3=0,"",SUMIFS(INDEX(Inputs!$D$4:$AG$200,0,MATCH(AA$2,Inputs!$D$2:$AG$2,0)),Inputs!$B$4:$B$200,$B37)/1000)</f>
        <v>0</v>
      </c>
      <c r="AB37" s="12">
        <f>IF(AA37="","",AA37)</f>
        <v>0</v>
      </c>
      <c r="AC37" s="11">
        <f>IF(AC$3=0,"",SUMIFS(INDEX(Inputs!$D$4:$AG$200,0,MATCH(AC$2,Inputs!$D$2:$AG$2,0)),Inputs!$B$4:$B$200,$B37)/1000)</f>
        <v>0</v>
      </c>
      <c r="AD37" s="11">
        <f>IF(AD$3=0,"",SUMIFS(INDEX(Inputs!$D$4:$AG$200,0,MATCH(AD$2,Inputs!$D$2:$AG$2,0)),Inputs!$B$4:$B$200,$B37)/1000)</f>
        <v>0</v>
      </c>
      <c r="AE37" s="11" t="str">
        <f>IF(AE$3=0,"",SUMIFS(INDEX(Inputs!$D$4:$AG$200,0,MATCH(AE$2,Inputs!$D$2:$AG$2,0)),Inputs!$B$4:$B$200,$B37)/1000)</f>
        <v/>
      </c>
      <c r="AF37" s="11" t="str">
        <f>IF(AF$3=0,"",SUMIFS(INDEX(Inputs!$D$4:$AG$200,0,MATCH(AF$2,Inputs!$D$2:$AG$2,0)),Inputs!$B$4:$B$200,$B37)/1000)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IF(D$3=0,"",SUMIFS(INDEX(Inputs!$D$4:$AG$200,0,MATCH(D$2,Inputs!$D$2:$AG$2,0)),Inputs!$B$4:$B$200,$B38)/1000)</f>
        <v>625.738</v>
      </c>
      <c r="E38" s="11">
        <f>IF(E$3=0,"",SUMIFS(INDEX(Inputs!$D$4:$AG$200,0,MATCH(E$2,Inputs!$D$2:$AG$2,0)),Inputs!$B$4:$B$200,$B38)/1000)</f>
        <v>761.224803474</v>
      </c>
      <c r="F38" s="11">
        <f>IF(F$3=0,"",SUMIFS(INDEX(Inputs!$D$4:$AG$200,0,MATCH(F$2,Inputs!$D$2:$AG$2,0)),Inputs!$B$4:$B$200,$B38)/1000)</f>
        <v>952.252</v>
      </c>
      <c r="G38" s="11">
        <f>IF(G$3=0,"",SUMIFS(INDEX(Inputs!$D$4:$AG$200,0,MATCH(G$2,Inputs!$D$2:$AG$2,0)),Inputs!$B$4:$B$200,$B38)/1000)</f>
        <v>1038.582</v>
      </c>
      <c r="H38" s="12">
        <f>IF(G38="","",G38)</f>
        <v>1038.582</v>
      </c>
      <c r="I38" s="11">
        <f>IF(I$3=0,"",SUMIFS(INDEX(Inputs!$D$4:$AG$200,0,MATCH(I$2,Inputs!$D$2:$AG$2,0)),Inputs!$B$4:$B$200,$B38)/1000)</f>
        <v>1027.149</v>
      </c>
      <c r="J38" s="11">
        <f>IF(J$3=0,"",SUMIFS(INDEX(Inputs!$D$4:$AG$200,0,MATCH(J$2,Inputs!$D$2:$AG$2,0)),Inputs!$B$4:$B$200,$B38)/1000)</f>
        <v>1146.917</v>
      </c>
      <c r="K38" s="11">
        <f>IF(K$3=0,"",SUMIFS(INDEX(Inputs!$D$4:$AG$200,0,MATCH(K$2,Inputs!$D$2:$AG$2,0)),Inputs!$B$4:$B$200,$B38)/1000)</f>
        <v>1221.456</v>
      </c>
      <c r="L38" s="11">
        <f>IF(L$3=0,"",SUMIFS(INDEX(Inputs!$D$4:$AG$200,0,MATCH(L$2,Inputs!$D$2:$AG$2,0)),Inputs!$B$4:$B$200,$B38)/1000)</f>
        <v>1205.986</v>
      </c>
      <c r="M38" s="12">
        <f>IF(L38="","",L38)</f>
        <v>1205.986</v>
      </c>
      <c r="N38" s="11">
        <f>IF(N$3=0,"",SUMIFS(INDEX(Inputs!$D$4:$AG$200,0,MATCH(N$2,Inputs!$D$2:$AG$2,0)),Inputs!$B$4:$B$200,$B38)/1000)</f>
        <v>1389.603526757</v>
      </c>
      <c r="O38" s="11">
        <f>IF(O$3=0,"",SUMIFS(INDEX(Inputs!$D$4:$AG$200,0,MATCH(O$2,Inputs!$D$2:$AG$2,0)),Inputs!$B$4:$B$200,$B38)/1000)</f>
        <v>1518.261844707</v>
      </c>
      <c r="P38" s="11">
        <f>IF(P$3=0,"",SUMIFS(INDEX(Inputs!$D$4:$AG$200,0,MATCH(P$2,Inputs!$D$2:$AG$2,0)),Inputs!$B$4:$B$200,$B38)/1000)</f>
        <v>1513.033617955</v>
      </c>
      <c r="Q38" s="11">
        <f>IF(Q$3=0,"",SUMIFS(INDEX(Inputs!$D$4:$AG$200,0,MATCH(Q$2,Inputs!$D$2:$AG$2,0)),Inputs!$B$4:$B$200,$B38)/1000)</f>
        <v>1494.779262608</v>
      </c>
      <c r="R38" s="12">
        <f>IF(Q38="","",Q38)</f>
        <v>1494.779262608</v>
      </c>
      <c r="S38" s="11">
        <f>IF(S$3=0,"",SUMIFS(INDEX(Inputs!$D$4:$AG$200,0,MATCH(S$2,Inputs!$D$2:$AG$2,0)),Inputs!$B$4:$B$200,$B38)/1000)</f>
        <v>1615.290270759</v>
      </c>
      <c r="T38" s="11">
        <f>IF(T$3=0,"",SUMIFS(INDEX(Inputs!$D$4:$AG$200,0,MATCH(T$2,Inputs!$D$2:$AG$2,0)),Inputs!$B$4:$B$200,$B38)/1000)</f>
        <v>1679.8137356</v>
      </c>
      <c r="U38" s="11">
        <f>IF(U$3=0,"",SUMIFS(INDEX(Inputs!$D$4:$AG$200,0,MATCH(U$2,Inputs!$D$2:$AG$2,0)),Inputs!$B$4:$B$200,$B38)/1000)</f>
        <v>1920.669425864</v>
      </c>
      <c r="V38" s="11">
        <f>IF(V$3=0,"",SUMIFS(INDEX(Inputs!$D$4:$AG$200,0,MATCH(V$2,Inputs!$D$2:$AG$2,0)),Inputs!$B$4:$B$200,$B38)/1000)</f>
        <v>1593.23390944</v>
      </c>
      <c r="W38" s="12">
        <f>IF(V38="","",V38)</f>
        <v>1593.23390944</v>
      </c>
      <c r="X38" s="11">
        <f>IF(X$3=0,"",SUMIFS(INDEX(Inputs!$D$4:$AG$200,0,MATCH(X$2,Inputs!$D$2:$AG$2,0)),Inputs!$B$4:$B$200,$B38)/1000)</f>
        <v>1591.58878821</v>
      </c>
      <c r="Y38" s="11">
        <f>IF(Y$3=0,"",SUMIFS(INDEX(Inputs!$D$4:$AG$200,0,MATCH(Y$2,Inputs!$D$2:$AG$2,0)),Inputs!$B$4:$B$200,$B38)/1000)</f>
        <v>1660.63737016</v>
      </c>
      <c r="Z38" s="11">
        <f>IF(Z$3=0,"",SUMIFS(INDEX(Inputs!$D$4:$AG$200,0,MATCH(Z$2,Inputs!$D$2:$AG$2,0)),Inputs!$B$4:$B$200,$B38)/1000)</f>
        <v>1697.59706335</v>
      </c>
      <c r="AA38" s="11">
        <f>IF(AA$3=0,"",SUMIFS(INDEX(Inputs!$D$4:$AG$200,0,MATCH(AA$2,Inputs!$D$2:$AG$2,0)),Inputs!$B$4:$B$200,$B38)/1000)</f>
        <v>1895.53506878</v>
      </c>
      <c r="AB38" s="12">
        <f>IF(AA38="","",AA38)</f>
        <v>1895.53506878</v>
      </c>
      <c r="AC38" s="11">
        <f>IF(AC$3=0,"",SUMIFS(INDEX(Inputs!$D$4:$AG$200,0,MATCH(AC$2,Inputs!$D$2:$AG$2,0)),Inputs!$B$4:$B$200,$B38)/1000)</f>
        <v>1984.03141804</v>
      </c>
      <c r="AD38" s="11">
        <f>IF(AD$3=0,"",SUMIFS(INDEX(Inputs!$D$4:$AG$200,0,MATCH(AD$2,Inputs!$D$2:$AG$2,0)),Inputs!$B$4:$B$200,$B38)/1000)</f>
        <v>2004.35223231</v>
      </c>
      <c r="AE38" s="11" t="str">
        <f>IF(AE$3=0,"",SUMIFS(INDEX(Inputs!$D$4:$AG$200,0,MATCH(AE$2,Inputs!$D$2:$AG$2,0)),Inputs!$B$4:$B$200,$B38)/1000)</f>
        <v/>
      </c>
      <c r="AF38" s="11" t="str">
        <f>IF(AF$3=0,"",SUMIFS(INDEX(Inputs!$D$4:$AG$200,0,MATCH(AF$2,Inputs!$D$2:$AG$2,0)),Inputs!$B$4:$B$200,$B38)/1000)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IF(D$3=0,"",SUMIFS(INDEX(Inputs!$D$4:$AG$200,0,MATCH(D$2,Inputs!$D$2:$AG$2,0)),Inputs!$B$4:$B$200,$B39)/1000)</f>
        <v>746.9006543</v>
      </c>
      <c r="E39" s="11">
        <f>IF(E$3=0,"",SUMIFS(INDEX(Inputs!$D$4:$AG$200,0,MATCH(E$2,Inputs!$D$2:$AG$2,0)),Inputs!$B$4:$B$200,$B39)/1000)</f>
        <v>1464.96559789</v>
      </c>
      <c r="F39" s="11">
        <f>IF(F$3=0,"",SUMIFS(INDEX(Inputs!$D$4:$AG$200,0,MATCH(F$2,Inputs!$D$2:$AG$2,0)),Inputs!$B$4:$B$200,$B39)/1000)</f>
        <v>1577.624</v>
      </c>
      <c r="G39" s="11">
        <f>IF(G$3=0,"",SUMIFS(INDEX(Inputs!$D$4:$AG$200,0,MATCH(G$2,Inputs!$D$2:$AG$2,0)),Inputs!$B$4:$B$200,$B39)/1000)</f>
        <v>1334.341</v>
      </c>
      <c r="H39" s="12">
        <f>IF(G39="","",G39)</f>
        <v>1334.341</v>
      </c>
      <c r="I39" s="11">
        <f>IF(I$3=0,"",SUMIFS(INDEX(Inputs!$D$4:$AG$200,0,MATCH(I$2,Inputs!$D$2:$AG$2,0)),Inputs!$B$4:$B$200,$B39)/1000)</f>
        <v>2820.215</v>
      </c>
      <c r="J39" s="11">
        <f>IF(J$3=0,"",SUMIFS(INDEX(Inputs!$D$4:$AG$200,0,MATCH(J$2,Inputs!$D$2:$AG$2,0)),Inputs!$B$4:$B$200,$B39)/1000)</f>
        <v>3042.713</v>
      </c>
      <c r="K39" s="11">
        <f>IF(K$3=0,"",SUMIFS(INDEX(Inputs!$D$4:$AG$200,0,MATCH(K$2,Inputs!$D$2:$AG$2,0)),Inputs!$B$4:$B$200,$B39)/1000)</f>
        <v>4484.726</v>
      </c>
      <c r="L39" s="11">
        <f>IF(L$3=0,"",SUMIFS(INDEX(Inputs!$D$4:$AG$200,0,MATCH(L$2,Inputs!$D$2:$AG$2,0)),Inputs!$B$4:$B$200,$B39)/1000)</f>
        <v>5239.022</v>
      </c>
      <c r="M39" s="12">
        <f>IF(L39="","",L39)</f>
        <v>5239.022</v>
      </c>
      <c r="N39" s="11">
        <f>IF(N$3=0,"",SUMIFS(INDEX(Inputs!$D$4:$AG$200,0,MATCH(N$2,Inputs!$D$2:$AG$2,0)),Inputs!$B$4:$B$200,$B39)/1000)</f>
        <v>5320.840505532</v>
      </c>
      <c r="O39" s="11">
        <f>IF(O$3=0,"",SUMIFS(INDEX(Inputs!$D$4:$AG$200,0,MATCH(O$2,Inputs!$D$2:$AG$2,0)),Inputs!$B$4:$B$200,$B39)/1000)</f>
        <v>5454.198736771</v>
      </c>
      <c r="P39" s="11">
        <f>IF(P$3=0,"",SUMIFS(INDEX(Inputs!$D$4:$AG$200,0,MATCH(P$2,Inputs!$D$2:$AG$2,0)),Inputs!$B$4:$B$200,$B39)/1000)</f>
        <v>5512.703122277</v>
      </c>
      <c r="Q39" s="11">
        <f>IF(Q$3=0,"",SUMIFS(INDEX(Inputs!$D$4:$AG$200,0,MATCH(Q$2,Inputs!$D$2:$AG$2,0)),Inputs!$B$4:$B$200,$B39)/1000)</f>
        <v>5445.133912476</v>
      </c>
      <c r="R39" s="12">
        <f>IF(Q39="","",Q39)</f>
        <v>5445.133912476</v>
      </c>
      <c r="S39" s="11">
        <f>IF(S$3=0,"",SUMIFS(INDEX(Inputs!$D$4:$AG$200,0,MATCH(S$2,Inputs!$D$2:$AG$2,0)),Inputs!$B$4:$B$200,$B39)/1000)</f>
        <v>5397.672746672</v>
      </c>
      <c r="T39" s="11">
        <f>IF(T$3=0,"",SUMIFS(INDEX(Inputs!$D$4:$AG$200,0,MATCH(T$2,Inputs!$D$2:$AG$2,0)),Inputs!$B$4:$B$200,$B39)/1000)</f>
        <v>5191.796766259</v>
      </c>
      <c r="U39" s="11">
        <f>IF(U$3=0,"",SUMIFS(INDEX(Inputs!$D$4:$AG$200,0,MATCH(U$2,Inputs!$D$2:$AG$2,0)),Inputs!$B$4:$B$200,$B39)/1000)</f>
        <v>4981.948645405</v>
      </c>
      <c r="V39" s="11">
        <f>IF(V$3=0,"",SUMIFS(INDEX(Inputs!$D$4:$AG$200,0,MATCH(V$2,Inputs!$D$2:$AG$2,0)),Inputs!$B$4:$B$200,$B39)/1000)</f>
        <v>5672.1462521</v>
      </c>
      <c r="W39" s="12">
        <f>IF(V39="","",V39)</f>
        <v>5672.1462521</v>
      </c>
      <c r="X39" s="11">
        <f>IF(X$3=0,"",SUMIFS(INDEX(Inputs!$D$4:$AG$200,0,MATCH(X$2,Inputs!$D$2:$AG$2,0)),Inputs!$B$4:$B$200,$B39)/1000)</f>
        <v>5219.72461246</v>
      </c>
      <c r="Y39" s="11">
        <f>IF(Y$3=0,"",SUMIFS(INDEX(Inputs!$D$4:$AG$200,0,MATCH(Y$2,Inputs!$D$2:$AG$2,0)),Inputs!$B$4:$B$200,$B39)/1000)</f>
        <v>5170.98587767</v>
      </c>
      <c r="Z39" s="11">
        <f>IF(Z$3=0,"",SUMIFS(INDEX(Inputs!$D$4:$AG$200,0,MATCH(Z$2,Inputs!$D$2:$AG$2,0)),Inputs!$B$4:$B$200,$B39)/1000)</f>
        <v>6015.90205059</v>
      </c>
      <c r="AA39" s="11">
        <f>IF(AA$3=0,"",SUMIFS(INDEX(Inputs!$D$4:$AG$200,0,MATCH(AA$2,Inputs!$D$2:$AG$2,0)),Inputs!$B$4:$B$200,$B39)/1000)</f>
        <v>5585.13379754</v>
      </c>
      <c r="AB39" s="12">
        <f>IF(AA39="","",AA39)</f>
        <v>5585.13379754</v>
      </c>
      <c r="AC39" s="11">
        <f>IF(AC$3=0,"",SUMIFS(INDEX(Inputs!$D$4:$AG$200,0,MATCH(AC$2,Inputs!$D$2:$AG$2,0)),Inputs!$B$4:$B$200,$B39)/1000)</f>
        <v>4604.21896993</v>
      </c>
      <c r="AD39" s="11">
        <f>IF(AD$3=0,"",SUMIFS(INDEX(Inputs!$D$4:$AG$200,0,MATCH(AD$2,Inputs!$D$2:$AG$2,0)),Inputs!$B$4:$B$200,$B39)/1000)</f>
        <v>5000.46659573</v>
      </c>
      <c r="AE39" s="11" t="str">
        <f>IF(AE$3=0,"",SUMIFS(INDEX(Inputs!$D$4:$AG$200,0,MATCH(AE$2,Inputs!$D$2:$AG$2,0)),Inputs!$B$4:$B$200,$B39)/1000)</f>
        <v/>
      </c>
      <c r="AF39" s="11" t="str">
        <f>IF(AF$3=0,"",SUMIFS(INDEX(Inputs!$D$4:$AG$200,0,MATCH(AF$2,Inputs!$D$2:$AG$2,0)),Inputs!$B$4:$B$200,$B39)/1000)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IF(D$3=0,"",SUMIFS(INDEX(Inputs!$D$4:$AG$200,0,MATCH(D$2,Inputs!$D$2:$AG$2,0)),Inputs!$B$4:$B$200,$B41)/1000)</f>
        <v>1671.055</v>
      </c>
      <c r="E41" s="11">
        <f>IF(E$3=0,"",SUMIFS(INDEX(Inputs!$D$4:$AG$200,0,MATCH(E$2,Inputs!$D$2:$AG$2,0)),Inputs!$B$4:$B$200,$B41)/1000)</f>
        <v>1815.693</v>
      </c>
      <c r="F41" s="11">
        <f>IF(F$3=0,"",SUMIFS(INDEX(Inputs!$D$4:$AG$200,0,MATCH(F$2,Inputs!$D$2:$AG$2,0)),Inputs!$B$4:$B$200,$B41)/1000)</f>
        <v>2296.413</v>
      </c>
      <c r="G41" s="11">
        <f>IF(G$3=0,"",SUMIFS(INDEX(Inputs!$D$4:$AG$200,0,MATCH(G$2,Inputs!$D$2:$AG$2,0)),Inputs!$B$4:$B$200,$B41)/1000)</f>
        <v>2308.182</v>
      </c>
      <c r="H41" s="12">
        <f>IF(G41="","",G41)</f>
        <v>2308.182</v>
      </c>
      <c r="I41" s="11">
        <f>IF(I$3=0,"",SUMIFS(INDEX(Inputs!$D$4:$AG$200,0,MATCH(I$2,Inputs!$D$2:$AG$2,0)),Inputs!$B$4:$B$200,$B41)/1000)</f>
        <v>2292.362</v>
      </c>
      <c r="J41" s="11">
        <f>IF(J$3=0,"",SUMIFS(INDEX(Inputs!$D$4:$AG$200,0,MATCH(J$2,Inputs!$D$2:$AG$2,0)),Inputs!$B$4:$B$200,$B41)/1000)</f>
        <v>2294.679</v>
      </c>
      <c r="K41" s="11">
        <f>IF(K$3=0,"",SUMIFS(INDEX(Inputs!$D$4:$AG$200,0,MATCH(K$2,Inputs!$D$2:$AG$2,0)),Inputs!$B$4:$B$200,$B41)/1000)</f>
        <v>2785.986</v>
      </c>
      <c r="L41" s="11">
        <f>IF(L$3=0,"",SUMIFS(INDEX(Inputs!$D$4:$AG$200,0,MATCH(L$2,Inputs!$D$2:$AG$2,0)),Inputs!$B$4:$B$200,$B41)/1000)</f>
        <v>2699.977</v>
      </c>
      <c r="M41" s="12">
        <f>IF(L41="","",L41)</f>
        <v>2699.977</v>
      </c>
      <c r="N41" s="11">
        <f>IF(N$3=0,"",SUMIFS(INDEX(Inputs!$D$4:$AG$200,0,MATCH(N$2,Inputs!$D$2:$AG$2,0)),Inputs!$B$4:$B$200,$B41)/1000)</f>
        <v>2783.524</v>
      </c>
      <c r="O41" s="11">
        <f>IF(O$3=0,"",SUMIFS(INDEX(Inputs!$D$4:$AG$200,0,MATCH(O$2,Inputs!$D$2:$AG$2,0)),Inputs!$B$4:$B$200,$B41)/1000)</f>
        <v>2960.640248788</v>
      </c>
      <c r="P41" s="11">
        <f>IF(P$3=0,"",SUMIFS(INDEX(Inputs!$D$4:$AG$200,0,MATCH(P$2,Inputs!$D$2:$AG$2,0)),Inputs!$B$4:$B$200,$B41)/1000)</f>
        <v>3452.882286124</v>
      </c>
      <c r="Q41" s="11">
        <f>IF(Q$3=0,"",SUMIFS(INDEX(Inputs!$D$4:$AG$200,0,MATCH(Q$2,Inputs!$D$2:$AG$2,0)),Inputs!$B$4:$B$200,$B41)/1000)</f>
        <v>3425.485977938</v>
      </c>
      <c r="R41" s="12">
        <f>IF(Q41="","",Q41)</f>
        <v>3425.485977938</v>
      </c>
      <c r="S41" s="11">
        <f>IF(S$3=0,"",SUMIFS(INDEX(Inputs!$D$4:$AG$200,0,MATCH(S$2,Inputs!$D$2:$AG$2,0)),Inputs!$B$4:$B$200,$B41)/1000)</f>
        <v>3505.858461793</v>
      </c>
      <c r="T41" s="11">
        <f>IF(T$3=0,"",SUMIFS(INDEX(Inputs!$D$4:$AG$200,0,MATCH(T$2,Inputs!$D$2:$AG$2,0)),Inputs!$B$4:$B$200,$B41)/1000)</f>
        <v>3600.120510361</v>
      </c>
      <c r="U41" s="11">
        <f>IF(U$3=0,"",SUMIFS(INDEX(Inputs!$D$4:$AG$200,0,MATCH(U$2,Inputs!$D$2:$AG$2,0)),Inputs!$B$4:$B$200,$B41)/1000)</f>
        <v>3743.753330734</v>
      </c>
      <c r="V41" s="11">
        <f>IF(V$3=0,"",SUMIFS(INDEX(Inputs!$D$4:$AG$200,0,MATCH(V$2,Inputs!$D$2:$AG$2,0)),Inputs!$B$4:$B$200,$B41)/1000)</f>
        <v>2973.47641786</v>
      </c>
      <c r="W41" s="12">
        <f>IF(V41="","",V41)</f>
        <v>2973.47641786</v>
      </c>
      <c r="X41" s="11">
        <f>IF(X$3=0,"",SUMIFS(INDEX(Inputs!$D$4:$AG$200,0,MATCH(X$2,Inputs!$D$2:$AG$2,0)),Inputs!$B$4:$B$200,$B41)/1000)</f>
        <v>2973.15152807</v>
      </c>
      <c r="Y41" s="11">
        <f>IF(Y$3=0,"",SUMIFS(INDEX(Inputs!$D$4:$AG$200,0,MATCH(Y$2,Inputs!$D$2:$AG$2,0)),Inputs!$B$4:$B$200,$B41)/1000)</f>
        <v>2968.92014546</v>
      </c>
      <c r="Z41" s="11">
        <f>IF(Z$3=0,"",SUMIFS(INDEX(Inputs!$D$4:$AG$200,0,MATCH(Z$2,Inputs!$D$2:$AG$2,0)),Inputs!$B$4:$B$200,$B41)/1000)</f>
        <v>3021.07172258</v>
      </c>
      <c r="AA41" s="11">
        <f>IF(AA$3=0,"",SUMIFS(INDEX(Inputs!$D$4:$AG$200,0,MATCH(AA$2,Inputs!$D$2:$AG$2,0)),Inputs!$B$4:$B$200,$B41)/1000)</f>
        <v>2898.1812004</v>
      </c>
      <c r="AB41" s="12">
        <f>IF(AA41="","",AA41)</f>
        <v>2898.1812004</v>
      </c>
      <c r="AC41" s="11">
        <f>IF(AC$3=0,"",SUMIFS(INDEX(Inputs!$D$4:$AG$200,0,MATCH(AC$2,Inputs!$D$2:$AG$2,0)),Inputs!$B$4:$B$200,$B41)/1000)</f>
        <v>2877.63107836</v>
      </c>
      <c r="AD41" s="11">
        <f>IF(AD$3=0,"",SUMIFS(INDEX(Inputs!$D$4:$AG$200,0,MATCH(AD$2,Inputs!$D$2:$AG$2,0)),Inputs!$B$4:$B$200,$B41)/1000)</f>
        <v>3938.39084761</v>
      </c>
      <c r="AE41" s="11" t="str">
        <f>IF(AE$3=0,"",SUMIFS(INDEX(Inputs!$D$4:$AG$200,0,MATCH(AE$2,Inputs!$D$2:$AG$2,0)),Inputs!$B$4:$B$200,$B41)/1000)</f>
        <v/>
      </c>
      <c r="AF41" s="11" t="str">
        <f>IF(AF$3=0,"",SUMIFS(INDEX(Inputs!$D$4:$AG$200,0,MATCH(AF$2,Inputs!$D$2:$AG$2,0)),Inputs!$B$4:$B$200,$B41)/1000)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IF(D$3=0,"",SUMIFS(INDEX(Inputs!$D$4:$AG$200,0,MATCH(D$2,Inputs!$D$2:$AG$2,0)),Inputs!$B$4:$B$200,$B42)/1000)</f>
        <v>0</v>
      </c>
      <c r="E42" s="11">
        <f>IF(E$3=0,"",SUMIFS(INDEX(Inputs!$D$4:$AG$200,0,MATCH(E$2,Inputs!$D$2:$AG$2,0)),Inputs!$B$4:$B$200,$B42)/1000)</f>
        <v>0</v>
      </c>
      <c r="F42" s="11">
        <f>IF(F$3=0,"",SUMIFS(INDEX(Inputs!$D$4:$AG$200,0,MATCH(F$2,Inputs!$D$2:$AG$2,0)),Inputs!$B$4:$B$200,$B42)/1000)</f>
        <v>0</v>
      </c>
      <c r="G42" s="11">
        <f>IF(G$3=0,"",SUMIFS(INDEX(Inputs!$D$4:$AG$200,0,MATCH(G$2,Inputs!$D$2:$AG$2,0)),Inputs!$B$4:$B$200,$B42)/1000)</f>
        <v>0</v>
      </c>
      <c r="H42" s="12">
        <f>IF(G42="","",G42)</f>
        <v>0</v>
      </c>
      <c r="I42" s="11">
        <f>IF(I$3=0,"",SUMIFS(INDEX(Inputs!$D$4:$AG$200,0,MATCH(I$2,Inputs!$D$2:$AG$2,0)),Inputs!$B$4:$B$200,$B42)/1000)</f>
        <v>0</v>
      </c>
      <c r="J42" s="11">
        <f>IF(J$3=0,"",SUMIFS(INDEX(Inputs!$D$4:$AG$200,0,MATCH(J$2,Inputs!$D$2:$AG$2,0)),Inputs!$B$4:$B$200,$B42)/1000)</f>
        <v>0</v>
      </c>
      <c r="K42" s="11">
        <f>IF(K$3=0,"",SUMIFS(INDEX(Inputs!$D$4:$AG$200,0,MATCH(K$2,Inputs!$D$2:$AG$2,0)),Inputs!$B$4:$B$200,$B42)/1000)</f>
        <v>0</v>
      </c>
      <c r="L42" s="11">
        <f>IF(L$3=0,"",SUMIFS(INDEX(Inputs!$D$4:$AG$200,0,MATCH(L$2,Inputs!$D$2:$AG$2,0)),Inputs!$B$4:$B$200,$B42)/1000)</f>
        <v>0</v>
      </c>
      <c r="M42" s="12">
        <f>IF(L42="","",L42)</f>
        <v>0</v>
      </c>
      <c r="N42" s="11">
        <f>IF(N$3=0,"",SUMIFS(INDEX(Inputs!$D$4:$AG$200,0,MATCH(N$2,Inputs!$D$2:$AG$2,0)),Inputs!$B$4:$B$200,$B42)/1000)</f>
        <v>0</v>
      </c>
      <c r="O42" s="11">
        <f>IF(O$3=0,"",SUMIFS(INDEX(Inputs!$D$4:$AG$200,0,MATCH(O$2,Inputs!$D$2:$AG$2,0)),Inputs!$B$4:$B$200,$B42)/1000)</f>
        <v>0</v>
      </c>
      <c r="P42" s="11">
        <f>IF(P$3=0,"",SUMIFS(INDEX(Inputs!$D$4:$AG$200,0,MATCH(P$2,Inputs!$D$2:$AG$2,0)),Inputs!$B$4:$B$200,$B42)/1000)</f>
        <v>0</v>
      </c>
      <c r="Q42" s="11">
        <f>IF(Q$3=0,"",SUMIFS(INDEX(Inputs!$D$4:$AG$200,0,MATCH(Q$2,Inputs!$D$2:$AG$2,0)),Inputs!$B$4:$B$200,$B42)/1000)</f>
        <v>0</v>
      </c>
      <c r="R42" s="12">
        <f>IF(Q42="","",Q42)</f>
        <v>0</v>
      </c>
      <c r="S42" s="11">
        <f>IF(S$3=0,"",SUMIFS(INDEX(Inputs!$D$4:$AG$200,0,MATCH(S$2,Inputs!$D$2:$AG$2,0)),Inputs!$B$4:$B$200,$B42)/1000)</f>
        <v>0</v>
      </c>
      <c r="T42" s="11">
        <f>IF(T$3=0,"",SUMIFS(INDEX(Inputs!$D$4:$AG$200,0,MATCH(T$2,Inputs!$D$2:$AG$2,0)),Inputs!$B$4:$B$200,$B42)/1000)</f>
        <v>0</v>
      </c>
      <c r="U42" s="11">
        <f>IF(U$3=0,"",SUMIFS(INDEX(Inputs!$D$4:$AG$200,0,MATCH(U$2,Inputs!$D$2:$AG$2,0)),Inputs!$B$4:$B$200,$B42)/1000)</f>
        <v>0</v>
      </c>
      <c r="V42" s="11">
        <f>IF(V$3=0,"",SUMIFS(INDEX(Inputs!$D$4:$AG$200,0,MATCH(V$2,Inputs!$D$2:$AG$2,0)),Inputs!$B$4:$B$200,$B42)/1000)</f>
        <v>0</v>
      </c>
      <c r="W42" s="12">
        <f>IF(V42="","",V42)</f>
        <v>0</v>
      </c>
      <c r="X42" s="11">
        <f>IF(X$3=0,"",SUMIFS(INDEX(Inputs!$D$4:$AG$200,0,MATCH(X$2,Inputs!$D$2:$AG$2,0)),Inputs!$B$4:$B$200,$B42)/1000)</f>
        <v>0</v>
      </c>
      <c r="Y42" s="11">
        <f>IF(Y$3=0,"",SUMIFS(INDEX(Inputs!$D$4:$AG$200,0,MATCH(Y$2,Inputs!$D$2:$AG$2,0)),Inputs!$B$4:$B$200,$B42)/1000)</f>
        <v>0</v>
      </c>
      <c r="Z42" s="11">
        <f>IF(Z$3=0,"",SUMIFS(INDEX(Inputs!$D$4:$AG$200,0,MATCH(Z$2,Inputs!$D$2:$AG$2,0)),Inputs!$B$4:$B$200,$B42)/1000)</f>
        <v>0</v>
      </c>
      <c r="AA42" s="11">
        <f>IF(AA$3=0,"",SUMIFS(INDEX(Inputs!$D$4:$AG$200,0,MATCH(AA$2,Inputs!$D$2:$AG$2,0)),Inputs!$B$4:$B$200,$B42)/1000)</f>
        <v>0</v>
      </c>
      <c r="AB42" s="12">
        <f>IF(AA42="","",AA42)</f>
        <v>0</v>
      </c>
      <c r="AC42" s="11">
        <f>IF(AC$3=0,"",SUMIFS(INDEX(Inputs!$D$4:$AG$200,0,MATCH(AC$2,Inputs!$D$2:$AG$2,0)),Inputs!$B$4:$B$200,$B42)/1000)</f>
        <v>0</v>
      </c>
      <c r="AD42" s="11">
        <f>IF(AD$3=0,"",SUMIFS(INDEX(Inputs!$D$4:$AG$200,0,MATCH(AD$2,Inputs!$D$2:$AG$2,0)),Inputs!$B$4:$B$200,$B42)/1000)</f>
        <v>0</v>
      </c>
      <c r="AE42" s="11" t="str">
        <f>IF(AE$3=0,"",SUMIFS(INDEX(Inputs!$D$4:$AG$200,0,MATCH(AE$2,Inputs!$D$2:$AG$2,0)),Inputs!$B$4:$B$200,$B42)/1000)</f>
        <v/>
      </c>
      <c r="AF42" s="11" t="str">
        <f>IF(AF$3=0,"",SUMIFS(INDEX(Inputs!$D$4:$AG$200,0,MATCH(AF$2,Inputs!$D$2:$AG$2,0)),Inputs!$B$4:$B$200,$B42)/1000)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IF(D$3=0,"",SUMIFS(INDEX(Inputs!$D$4:$AG$200,0,MATCH(D$2,Inputs!$D$2:$AG$2,0)),Inputs!$B$4:$B$200,$B43)/1000)</f>
        <v>2085.851</v>
      </c>
      <c r="E43" s="11">
        <f>IF(E$3=0,"",SUMIFS(INDEX(Inputs!$D$4:$AG$200,0,MATCH(E$2,Inputs!$D$2:$AG$2,0)),Inputs!$B$4:$B$200,$B43)/1000)</f>
        <v>2129.322</v>
      </c>
      <c r="F43" s="11">
        <f>IF(F$3=0,"",SUMIFS(INDEX(Inputs!$D$4:$AG$200,0,MATCH(F$2,Inputs!$D$2:$AG$2,0)),Inputs!$B$4:$B$200,$B43)/1000)</f>
        <v>2700.107</v>
      </c>
      <c r="G43" s="11">
        <f>IF(G$3=0,"",SUMIFS(INDEX(Inputs!$D$4:$AG$200,0,MATCH(G$2,Inputs!$D$2:$AG$2,0)),Inputs!$B$4:$B$200,$B43)/1000)</f>
        <v>2797.673</v>
      </c>
      <c r="H43" s="12">
        <f>IF(G43="","",G43)</f>
        <v>2797.673</v>
      </c>
      <c r="I43" s="11">
        <f>IF(I$3=0,"",SUMIFS(INDEX(Inputs!$D$4:$AG$200,0,MATCH(I$2,Inputs!$D$2:$AG$2,0)),Inputs!$B$4:$B$200,$B43)/1000)</f>
        <v>2750.212</v>
      </c>
      <c r="J43" s="11">
        <f>IF(J$3=0,"",SUMIFS(INDEX(Inputs!$D$4:$AG$200,0,MATCH(J$2,Inputs!$D$2:$AG$2,0)),Inputs!$B$4:$B$200,$B43)/1000)</f>
        <v>2742.18</v>
      </c>
      <c r="K43" s="11">
        <f>IF(K$3=0,"",SUMIFS(INDEX(Inputs!$D$4:$AG$200,0,MATCH(K$2,Inputs!$D$2:$AG$2,0)),Inputs!$B$4:$B$200,$B43)/1000)</f>
        <v>3135.068</v>
      </c>
      <c r="L43" s="11">
        <f>IF(L$3=0,"",SUMIFS(INDEX(Inputs!$D$4:$AG$200,0,MATCH(L$2,Inputs!$D$2:$AG$2,0)),Inputs!$B$4:$B$200,$B43)/1000)</f>
        <v>3077.551</v>
      </c>
      <c r="M43" s="12">
        <f>IF(L43="","",L43)</f>
        <v>3077.551</v>
      </c>
      <c r="N43" s="11">
        <f>IF(N$3=0,"",SUMIFS(INDEX(Inputs!$D$4:$AG$200,0,MATCH(N$2,Inputs!$D$2:$AG$2,0)),Inputs!$B$4:$B$200,$B43)/1000)</f>
        <v>3481.279081264</v>
      </c>
      <c r="O43" s="11">
        <f>IF(O$3=0,"",SUMIFS(INDEX(Inputs!$D$4:$AG$200,0,MATCH(O$2,Inputs!$D$2:$AG$2,0)),Inputs!$B$4:$B$200,$B43)/1000)</f>
        <v>3481.279081264</v>
      </c>
      <c r="P43" s="11">
        <f>IF(P$3=0,"",SUMIFS(INDEX(Inputs!$D$4:$AG$200,0,MATCH(P$2,Inputs!$D$2:$AG$2,0)),Inputs!$B$4:$B$200,$B43)/1000)</f>
        <v>3427.221941174</v>
      </c>
      <c r="Q43" s="11">
        <f>IF(Q$3=0,"",SUMIFS(INDEX(Inputs!$D$4:$AG$200,0,MATCH(Q$2,Inputs!$D$2:$AG$2,0)),Inputs!$B$4:$B$200,$B43)/1000)</f>
        <v>3426.629393914</v>
      </c>
      <c r="R43" s="12">
        <f>IF(Q43="","",Q43)</f>
        <v>3426.629393914</v>
      </c>
      <c r="S43" s="11">
        <f>IF(S$3=0,"",SUMIFS(INDEX(Inputs!$D$4:$AG$200,0,MATCH(S$2,Inputs!$D$2:$AG$2,0)),Inputs!$B$4:$B$200,$B43)/1000)</f>
        <v>3279.870633084</v>
      </c>
      <c r="T43" s="11">
        <f>IF(T$3=0,"",SUMIFS(INDEX(Inputs!$D$4:$AG$200,0,MATCH(T$2,Inputs!$D$2:$AG$2,0)),Inputs!$B$4:$B$200,$B43)/1000)</f>
        <v>3278.486599124</v>
      </c>
      <c r="U43" s="11">
        <f>IF(U$3=0,"",SUMIFS(INDEX(Inputs!$D$4:$AG$200,0,MATCH(U$2,Inputs!$D$2:$AG$2,0)),Inputs!$B$4:$B$200,$B43)/1000)</f>
        <v>3277.306809334</v>
      </c>
      <c r="V43" s="11">
        <f>IF(V$3=0,"",SUMIFS(INDEX(Inputs!$D$4:$AG$200,0,MATCH(V$2,Inputs!$D$2:$AG$2,0)),Inputs!$B$4:$B$200,$B43)/1000)</f>
        <v>3096.41769985</v>
      </c>
      <c r="W43" s="12">
        <f>IF(V43="","",V43)</f>
        <v>3096.41769985</v>
      </c>
      <c r="X43" s="11">
        <f>IF(X$3=0,"",SUMIFS(INDEX(Inputs!$D$4:$AG$200,0,MATCH(X$2,Inputs!$D$2:$AG$2,0)),Inputs!$B$4:$B$200,$B43)/1000)</f>
        <v>2986.67783237</v>
      </c>
      <c r="Y43" s="11">
        <f>IF(Y$3=0,"",SUMIFS(INDEX(Inputs!$D$4:$AG$200,0,MATCH(Y$2,Inputs!$D$2:$AG$2,0)),Inputs!$B$4:$B$200,$B43)/1000)</f>
        <v>3014.16328918</v>
      </c>
      <c r="Z43" s="11">
        <f>IF(Z$3=0,"",SUMIFS(INDEX(Inputs!$D$4:$AG$200,0,MATCH(Z$2,Inputs!$D$2:$AG$2,0)),Inputs!$B$4:$B$200,$B43)/1000)</f>
        <v>2983.71672658</v>
      </c>
      <c r="AA43" s="11">
        <f>IF(AA$3=0,"",SUMIFS(INDEX(Inputs!$D$4:$AG$200,0,MATCH(AA$2,Inputs!$D$2:$AG$2,0)),Inputs!$B$4:$B$200,$B43)/1000)</f>
        <v>3163.878979</v>
      </c>
      <c r="AB43" s="12">
        <f>IF(AA43="","",AA43)</f>
        <v>3163.878979</v>
      </c>
      <c r="AC43" s="11">
        <f>IF(AC$3=0,"",SUMIFS(INDEX(Inputs!$D$4:$AG$200,0,MATCH(AC$2,Inputs!$D$2:$AG$2,0)),Inputs!$B$4:$B$200,$B43)/1000)</f>
        <v>2984.41003072</v>
      </c>
      <c r="AD43" s="11">
        <f>IF(AD$3=0,"",SUMIFS(INDEX(Inputs!$D$4:$AG$200,0,MATCH(AD$2,Inputs!$D$2:$AG$2,0)),Inputs!$B$4:$B$200,$B43)/1000)</f>
        <v>5036.05917879</v>
      </c>
      <c r="AE43" s="11" t="str">
        <f>IF(AE$3=0,"",SUMIFS(INDEX(Inputs!$D$4:$AG$200,0,MATCH(AE$2,Inputs!$D$2:$AG$2,0)),Inputs!$B$4:$B$200,$B43)/1000)</f>
        <v/>
      </c>
      <c r="AF43" s="11" t="str">
        <f>IF(AF$3=0,"",SUMIFS(INDEX(Inputs!$D$4:$AG$200,0,MATCH(AF$2,Inputs!$D$2:$AG$2,0)),Inputs!$B$4:$B$200,$B43)/1000)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IF(D$3=0,"",SUMIFS(INDEX(Inputs!$D$4:$AG$200,0,MATCH(D$2,Inputs!$D$2:$AG$2,0)),Inputs!$B$4:$B$200,$B44)/1000)</f>
        <v>-272.346</v>
      </c>
      <c r="E44" s="11">
        <f>IF(E$3=0,"",SUMIFS(INDEX(Inputs!$D$4:$AG$200,0,MATCH(E$2,Inputs!$D$2:$AG$2,0)),Inputs!$B$4:$B$200,$B44)/1000)</f>
        <v>-282.509</v>
      </c>
      <c r="F44" s="11">
        <f>IF(F$3=0,"",SUMIFS(INDEX(Inputs!$D$4:$AG$200,0,MATCH(F$2,Inputs!$D$2:$AG$2,0)),Inputs!$B$4:$B$200,$B44)/1000)</f>
        <v>-151.633</v>
      </c>
      <c r="G44" s="11">
        <f>IF(G$3=0,"",SUMIFS(INDEX(Inputs!$D$4:$AG$200,0,MATCH(G$2,Inputs!$D$2:$AG$2,0)),Inputs!$B$4:$B$200,$B44)/1000)</f>
        <v>-151.633</v>
      </c>
      <c r="H44" s="12">
        <f>IF(G44="","",G44)</f>
        <v>-151.633</v>
      </c>
      <c r="I44" s="11">
        <f>IF(I$3=0,"",SUMIFS(INDEX(Inputs!$D$4:$AG$200,0,MATCH(I$2,Inputs!$D$2:$AG$2,0)),Inputs!$B$4:$B$200,$B44)/1000)</f>
        <v>-151.633</v>
      </c>
      <c r="J44" s="11">
        <f>IF(J$3=0,"",SUMIFS(INDEX(Inputs!$D$4:$AG$200,0,MATCH(J$2,Inputs!$D$2:$AG$2,0)),Inputs!$B$4:$B$200,$B44)/1000)</f>
        <v>-155.635</v>
      </c>
      <c r="K44" s="11">
        <f>IF(K$3=0,"",SUMIFS(INDEX(Inputs!$D$4:$AG$200,0,MATCH(K$2,Inputs!$D$2:$AG$2,0)),Inputs!$B$4:$B$200,$B44)/1000)</f>
        <v>-165.751</v>
      </c>
      <c r="L44" s="11">
        <f>IF(L$3=0,"",SUMIFS(INDEX(Inputs!$D$4:$AG$200,0,MATCH(L$2,Inputs!$D$2:$AG$2,0)),Inputs!$B$4:$B$200,$B44)/1000)</f>
        <v>-148.114</v>
      </c>
      <c r="M44" s="12">
        <f>IF(L44="","",L44)</f>
        <v>-148.114</v>
      </c>
      <c r="N44" s="11">
        <f>IF(N$3=0,"",SUMIFS(INDEX(Inputs!$D$4:$AG$200,0,MATCH(N$2,Inputs!$D$2:$AG$2,0)),Inputs!$B$4:$B$200,$B44)/1000)</f>
        <v>-148.11432551</v>
      </c>
      <c r="O44" s="11">
        <f>IF(O$3=0,"",SUMIFS(INDEX(Inputs!$D$4:$AG$200,0,MATCH(O$2,Inputs!$D$2:$AG$2,0)),Inputs!$B$4:$B$200,$B44)/1000)</f>
        <v>-150.87927403</v>
      </c>
      <c r="P44" s="11">
        <f>IF(P$3=0,"",SUMIFS(INDEX(Inputs!$D$4:$AG$200,0,MATCH(P$2,Inputs!$D$2:$AG$2,0)),Inputs!$B$4:$B$200,$B44)/1000)</f>
        <v>-151.04712491</v>
      </c>
      <c r="Q44" s="11">
        <f>IF(Q$3=0,"",SUMIFS(INDEX(Inputs!$D$4:$AG$200,0,MATCH(Q$2,Inputs!$D$2:$AG$2,0)),Inputs!$B$4:$B$200,$B44)/1000)</f>
        <v>-151.04712491</v>
      </c>
      <c r="R44" s="12">
        <f>IF(Q44="","",Q44)</f>
        <v>-151.04712491</v>
      </c>
      <c r="S44" s="11">
        <f>IF(S$3=0,"",SUMIFS(INDEX(Inputs!$D$4:$AG$200,0,MATCH(S$2,Inputs!$D$2:$AG$2,0)),Inputs!$B$4:$B$200,$B44)/1000)</f>
        <v>-151.04712491</v>
      </c>
      <c r="T44" s="11">
        <f>IF(T$3=0,"",SUMIFS(INDEX(Inputs!$D$4:$AG$200,0,MATCH(T$2,Inputs!$D$2:$AG$2,0)),Inputs!$B$4:$B$200,$B44)/1000)</f>
        <v>-151.18433764</v>
      </c>
      <c r="U44" s="11">
        <f>IF(U$3=0,"",SUMIFS(INDEX(Inputs!$D$4:$AG$200,0,MATCH(U$2,Inputs!$D$2:$AG$2,0)),Inputs!$B$4:$B$200,$B44)/1000)</f>
        <v>-151.51945841</v>
      </c>
      <c r="V44" s="11">
        <f>IF(V$3=0,"",SUMIFS(INDEX(Inputs!$D$4:$AG$200,0,MATCH(V$2,Inputs!$D$2:$AG$2,0)),Inputs!$B$4:$B$200,$B44)/1000)</f>
        <v>-155.78335443</v>
      </c>
      <c r="W44" s="12">
        <f>IF(V44="","",V44)</f>
        <v>-155.78335443</v>
      </c>
      <c r="X44" s="11">
        <f>IF(X$3=0,"",SUMIFS(INDEX(Inputs!$D$4:$AG$200,0,MATCH(X$2,Inputs!$D$2:$AG$2,0)),Inputs!$B$4:$B$200,$B44)/1000)</f>
        <v>-181.91666977</v>
      </c>
      <c r="Y44" s="11">
        <f>IF(Y$3=0,"",SUMIFS(INDEX(Inputs!$D$4:$AG$200,0,MATCH(Y$2,Inputs!$D$2:$AG$2,0)),Inputs!$B$4:$B$200,$B44)/1000)</f>
        <v>-181.96830777</v>
      </c>
      <c r="Z44" s="11">
        <f>IF(Z$3=0,"",SUMIFS(INDEX(Inputs!$D$4:$AG$200,0,MATCH(Z$2,Inputs!$D$2:$AG$2,0)),Inputs!$B$4:$B$200,$B44)/1000)</f>
        <v>-181.96830777</v>
      </c>
      <c r="AA44" s="11">
        <f>IF(AA$3=0,"",SUMIFS(INDEX(Inputs!$D$4:$AG$200,0,MATCH(AA$2,Inputs!$D$2:$AG$2,0)),Inputs!$B$4:$B$200,$B44)/1000)</f>
        <v>-181.9683078</v>
      </c>
      <c r="AB44" s="12">
        <f>IF(AA44="","",AA44)</f>
        <v>-181.9683078</v>
      </c>
      <c r="AC44" s="11">
        <f>IF(AC$3=0,"",SUMIFS(INDEX(Inputs!$D$4:$AG$200,0,MATCH(AC$2,Inputs!$D$2:$AG$2,0)),Inputs!$B$4:$B$200,$B44)/1000)</f>
        <v>0</v>
      </c>
      <c r="AD44" s="11">
        <f>IF(AD$3=0,"",SUMIFS(INDEX(Inputs!$D$4:$AG$200,0,MATCH(AD$2,Inputs!$D$2:$AG$2,0)),Inputs!$B$4:$B$200,$B44)/1000)</f>
        <v>0</v>
      </c>
      <c r="AE44" s="11" t="str">
        <f>IF(AE$3=0,"",SUMIFS(INDEX(Inputs!$D$4:$AG$200,0,MATCH(AE$2,Inputs!$D$2:$AG$2,0)),Inputs!$B$4:$B$200,$B44)/1000)</f>
        <v/>
      </c>
      <c r="AF44" s="11" t="str">
        <f>IF(AF$3=0,"",SUMIFS(INDEX(Inputs!$D$4:$AG$200,0,MATCH(AF$2,Inputs!$D$2:$AG$2,0)),Inputs!$B$4:$B$200,$B44)/1000)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IF(D$3=0,"",SUMIFS(INDEX(Inputs!$D$4:$AG$200,0,MATCH(D$2,Inputs!$D$2:$AG$2,0)),Inputs!$B$4:$B$200,$B45)/1000)</f>
        <v>215.1</v>
      </c>
      <c r="E45" s="11">
        <f>IF(E$3=0,"",SUMIFS(INDEX(Inputs!$D$4:$AG$200,0,MATCH(E$2,Inputs!$D$2:$AG$2,0)),Inputs!$B$4:$B$200,$B45)/1000)</f>
        <v>270.366</v>
      </c>
      <c r="F45" s="11">
        <f>IF(F$3=0,"",SUMIFS(INDEX(Inputs!$D$4:$AG$200,0,MATCH(F$2,Inputs!$D$2:$AG$2,0)),Inputs!$B$4:$B$200,$B45)/1000)</f>
        <v>214.938</v>
      </c>
      <c r="G45" s="11">
        <f>IF(G$3=0,"",SUMIFS(INDEX(Inputs!$D$4:$AG$200,0,MATCH(G$2,Inputs!$D$2:$AG$2,0)),Inputs!$B$4:$B$200,$B45)/1000)</f>
        <v>261.301</v>
      </c>
      <c r="H45" s="12">
        <f>IF(G45="","",G45)</f>
        <v>261.301</v>
      </c>
      <c r="I45" s="11">
        <f>IF(I$3=0,"",SUMIFS(INDEX(Inputs!$D$4:$AG$200,0,MATCH(I$2,Inputs!$D$2:$AG$2,0)),Inputs!$B$4:$B$200,$B45)/1000)</f>
        <v>31.943</v>
      </c>
      <c r="J45" s="11">
        <f>IF(J$3=0,"",SUMIFS(INDEX(Inputs!$D$4:$AG$200,0,MATCH(J$2,Inputs!$D$2:$AG$2,0)),Inputs!$B$4:$B$200,$B45)/1000)</f>
        <v>-104.169</v>
      </c>
      <c r="K45" s="11">
        <f>IF(K$3=0,"",SUMIFS(INDEX(Inputs!$D$4:$AG$200,0,MATCH(K$2,Inputs!$D$2:$AG$2,0)),Inputs!$B$4:$B$200,$B45)/1000)</f>
        <v>-268.847</v>
      </c>
      <c r="L45" s="11">
        <f>IF(L$3=0,"",SUMIFS(INDEX(Inputs!$D$4:$AG$200,0,MATCH(L$2,Inputs!$D$2:$AG$2,0)),Inputs!$B$4:$B$200,$B45)/1000)</f>
        <v>-251.844</v>
      </c>
      <c r="M45" s="12">
        <f>IF(L45="","",L45)</f>
        <v>-251.844</v>
      </c>
      <c r="N45" s="11">
        <f>IF(N$3=0,"",SUMIFS(INDEX(Inputs!$D$4:$AG$200,0,MATCH(N$2,Inputs!$D$2:$AG$2,0)),Inputs!$B$4:$B$200,$B45)/1000)</f>
        <v>-954.935384997</v>
      </c>
      <c r="O45" s="11">
        <f>IF(O$3=0,"",SUMIFS(INDEX(Inputs!$D$4:$AG$200,0,MATCH(O$2,Inputs!$D$2:$AG$2,0)),Inputs!$B$4:$B$200,$B45)/1000)</f>
        <v>-725.563953237</v>
      </c>
      <c r="P45" s="11">
        <f>IF(P$3=0,"",SUMIFS(INDEX(Inputs!$D$4:$AG$200,0,MATCH(P$2,Inputs!$D$2:$AG$2,0)),Inputs!$B$4:$B$200,$B45)/1000)</f>
        <v>-84.917637707</v>
      </c>
      <c r="Q45" s="11">
        <f>IF(Q$3=0,"",SUMIFS(INDEX(Inputs!$D$4:$AG$200,0,MATCH(Q$2,Inputs!$D$2:$AG$2,0)),Inputs!$B$4:$B$200,$B45)/1000)</f>
        <v>-405.504835827</v>
      </c>
      <c r="R45" s="12">
        <f>IF(Q45="","",Q45)</f>
        <v>-405.504835827</v>
      </c>
      <c r="S45" s="11">
        <f>IF(S$3=0,"",SUMIFS(INDEX(Inputs!$D$4:$AG$200,0,MATCH(S$2,Inputs!$D$2:$AG$2,0)),Inputs!$B$4:$B$200,$B45)/1000)</f>
        <v>-445.750407677</v>
      </c>
      <c r="T45" s="11">
        <f>IF(T$3=0,"",SUMIFS(INDEX(Inputs!$D$4:$AG$200,0,MATCH(T$2,Inputs!$D$2:$AG$2,0)),Inputs!$B$4:$B$200,$B45)/1000)</f>
        <v>-488.909182807</v>
      </c>
      <c r="U45" s="11">
        <f>IF(U$3=0,"",SUMIFS(INDEX(Inputs!$D$4:$AG$200,0,MATCH(U$2,Inputs!$D$2:$AG$2,0)),Inputs!$B$4:$B$200,$B45)/1000)</f>
        <v>-415.623650617</v>
      </c>
      <c r="V45" s="11">
        <f>IF(V$3=0,"",SUMIFS(INDEX(Inputs!$D$4:$AG$200,0,MATCH(V$2,Inputs!$D$2:$AG$2,0)),Inputs!$B$4:$B$200,$B45)/1000)</f>
        <v>-582.0273455</v>
      </c>
      <c r="W45" s="12">
        <f>IF(V45="","",V45)</f>
        <v>-582.0273455</v>
      </c>
      <c r="X45" s="11">
        <f>IF(X$3=0,"",SUMIFS(INDEX(Inputs!$D$4:$AG$200,0,MATCH(X$2,Inputs!$D$2:$AG$2,0)),Inputs!$B$4:$B$200,$B45)/1000)</f>
        <v>-481.32401074</v>
      </c>
      <c r="Y45" s="11">
        <f>IF(Y$3=0,"",SUMIFS(INDEX(Inputs!$D$4:$AG$200,0,MATCH(Y$2,Inputs!$D$2:$AG$2,0)),Inputs!$B$4:$B$200,$B45)/1000)</f>
        <v>-392.7979527</v>
      </c>
      <c r="Z45" s="11">
        <f>IF(Z$3=0,"",SUMIFS(INDEX(Inputs!$D$4:$AG$200,0,MATCH(Z$2,Inputs!$D$2:$AG$2,0)),Inputs!$B$4:$B$200,$B45)/1000)</f>
        <v>-421.69167665</v>
      </c>
      <c r="AA45" s="11">
        <f>IF(AA$3=0,"",SUMIFS(INDEX(Inputs!$D$4:$AG$200,0,MATCH(AA$2,Inputs!$D$2:$AG$2,0)),Inputs!$B$4:$B$200,$B45)/1000)</f>
        <v>302.5429319</v>
      </c>
      <c r="AB45" s="12">
        <f>IF(AA45="","",AA45)</f>
        <v>302.5429319</v>
      </c>
      <c r="AC45" s="11">
        <f>IF(AC$3=0,"",SUMIFS(INDEX(Inputs!$D$4:$AG$200,0,MATCH(AC$2,Inputs!$D$2:$AG$2,0)),Inputs!$B$4:$B$200,$B45)/1000)</f>
        <v>302.54293186</v>
      </c>
      <c r="AD45" s="11">
        <f>IF(AD$3=0,"",SUMIFS(INDEX(Inputs!$D$4:$AG$200,0,MATCH(AD$2,Inputs!$D$2:$AG$2,0)),Inputs!$B$4:$B$200,$B45)/1000)</f>
        <v>333.43460416</v>
      </c>
      <c r="AE45" s="11" t="str">
        <f>IF(AE$3=0,"",SUMIFS(INDEX(Inputs!$D$4:$AG$200,0,MATCH(AE$2,Inputs!$D$2:$AG$2,0)),Inputs!$B$4:$B$200,$B45)/1000)</f>
        <v/>
      </c>
      <c r="AF45" s="11" t="str">
        <f>IF(AF$3=0,"",SUMIFS(INDEX(Inputs!$D$4:$AG$200,0,MATCH(AF$2,Inputs!$D$2:$AG$2,0)),Inputs!$B$4:$B$200,$B45)/1000)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IF(D$3=0,"",SUMIFS(INDEX(Inputs!$D$4:$AG$200,0,MATCH(D$2,Inputs!$D$2:$AG$2,0)),Inputs!$B$4:$B$200,$B46)/1000)</f>
        <v>-158.278</v>
      </c>
      <c r="E46" s="11">
        <f>IF(E$3=0,"",SUMIFS(INDEX(Inputs!$D$4:$AG$200,0,MATCH(E$2,Inputs!$D$2:$AG$2,0)),Inputs!$B$4:$B$200,$B46)/1000)</f>
        <v>-113.68</v>
      </c>
      <c r="F46" s="11">
        <f>IF(F$3=0,"",SUMIFS(INDEX(Inputs!$D$4:$AG$200,0,MATCH(F$2,Inputs!$D$2:$AG$2,0)),Inputs!$B$4:$B$200,$B46)/1000)</f>
        <v>-226.171</v>
      </c>
      <c r="G46" s="11">
        <f>IF(G$3=0,"",SUMIFS(INDEX(Inputs!$D$4:$AG$200,0,MATCH(G$2,Inputs!$D$2:$AG$2,0)),Inputs!$B$4:$B$200,$B46)/1000)</f>
        <v>-269.203</v>
      </c>
      <c r="H46" s="12">
        <f>IF(G46="","",G46)</f>
        <v>-269.203</v>
      </c>
      <c r="I46" s="11">
        <f>IF(I$3=0,"",SUMIFS(INDEX(Inputs!$D$4:$AG$200,0,MATCH(I$2,Inputs!$D$2:$AG$2,0)),Inputs!$B$4:$B$200,$B46)/1000)</f>
        <v>-440.692</v>
      </c>
      <c r="J46" s="11">
        <f>IF(J$3=0,"",SUMIFS(INDEX(Inputs!$D$4:$AG$200,0,MATCH(J$2,Inputs!$D$2:$AG$2,0)),Inputs!$B$4:$B$200,$B46)/1000)</f>
        <v>-717.596</v>
      </c>
      <c r="K46" s="11">
        <f>IF(K$3=0,"",SUMIFS(INDEX(Inputs!$D$4:$AG$200,0,MATCH(K$2,Inputs!$D$2:$AG$2,0)),Inputs!$B$4:$B$200,$B46)/1000)</f>
        <v>-816.101</v>
      </c>
      <c r="L46" s="11">
        <f>IF(L$3=0,"",SUMIFS(INDEX(Inputs!$D$4:$AG$200,0,MATCH(L$2,Inputs!$D$2:$AG$2,0)),Inputs!$B$4:$B$200,$B46)/1000)</f>
        <v>-721.574</v>
      </c>
      <c r="M46" s="12">
        <f>IF(L46="","",L46)</f>
        <v>-721.574</v>
      </c>
      <c r="N46" s="11">
        <f>IF(N$3=0,"",SUMIFS(INDEX(Inputs!$D$4:$AG$200,0,MATCH(N$2,Inputs!$D$2:$AG$2,0)),Inputs!$B$4:$B$200,$B46)/1000)</f>
        <v>-399.57498121</v>
      </c>
      <c r="O46" s="11">
        <f>IF(O$3=0,"",SUMIFS(INDEX(Inputs!$D$4:$AG$200,0,MATCH(O$2,Inputs!$D$2:$AG$2,0)),Inputs!$B$4:$B$200,$B46)/1000)</f>
        <v>-399.57498121</v>
      </c>
      <c r="P46" s="11">
        <f>IF(P$3=0,"",SUMIFS(INDEX(Inputs!$D$4:$AG$200,0,MATCH(P$2,Inputs!$D$2:$AG$2,0)),Inputs!$B$4:$B$200,$B46)/1000)</f>
        <v>-500.57898121</v>
      </c>
      <c r="Q46" s="11">
        <f>IF(Q$3=0,"",SUMIFS(INDEX(Inputs!$D$4:$AG$200,0,MATCH(Q$2,Inputs!$D$2:$AG$2,0)),Inputs!$B$4:$B$200,$B46)/1000)</f>
        <v>25.62811802</v>
      </c>
      <c r="R46" s="12">
        <f>IF(Q46="","",Q46)</f>
        <v>25.62811802</v>
      </c>
      <c r="S46" s="11">
        <f>IF(S$3=0,"",SUMIFS(INDEX(Inputs!$D$4:$AG$200,0,MATCH(S$2,Inputs!$D$2:$AG$2,0)),Inputs!$B$4:$B$200,$B46)/1000)</f>
        <v>-30.43085043</v>
      </c>
      <c r="T46" s="11">
        <f>IF(T$3=0,"",SUMIFS(INDEX(Inputs!$D$4:$AG$200,0,MATCH(T$2,Inputs!$D$2:$AG$2,0)),Inputs!$B$4:$B$200,$B46)/1000)</f>
        <v>-66.01177379</v>
      </c>
      <c r="U46" s="11">
        <f>IF(U$3=0,"",SUMIFS(INDEX(Inputs!$D$4:$AG$200,0,MATCH(U$2,Inputs!$D$2:$AG$2,0)),Inputs!$B$4:$B$200,$B46)/1000)</f>
        <v>-17.8895838</v>
      </c>
      <c r="V46" s="11">
        <f>IF(V$3=0,"",SUMIFS(INDEX(Inputs!$D$4:$AG$200,0,MATCH(V$2,Inputs!$D$2:$AG$2,0)),Inputs!$B$4:$B$200,$B46)/1000)</f>
        <v>0.20780122</v>
      </c>
      <c r="W46" s="12">
        <f>IF(V46="","",V46)</f>
        <v>0.20780122</v>
      </c>
      <c r="X46" s="11">
        <f>IF(X$3=0,"",SUMIFS(INDEX(Inputs!$D$4:$AG$200,0,MATCH(X$2,Inputs!$D$2:$AG$2,0)),Inputs!$B$4:$B$200,$B46)/1000)</f>
        <v>-4.51910642</v>
      </c>
      <c r="Y46" s="11">
        <f>IF(Y$3=0,"",SUMIFS(INDEX(Inputs!$D$4:$AG$200,0,MATCH(Y$2,Inputs!$D$2:$AG$2,0)),Inputs!$B$4:$B$200,$B46)/1000)</f>
        <v>563.4985897</v>
      </c>
      <c r="Z46" s="11">
        <f>IF(Z$3=0,"",SUMIFS(INDEX(Inputs!$D$4:$AG$200,0,MATCH(Z$2,Inputs!$D$2:$AG$2,0)),Inputs!$B$4:$B$200,$B46)/1000)</f>
        <v>651.52011473</v>
      </c>
      <c r="AA46" s="11">
        <f>IF(AA$3=0,"",SUMIFS(INDEX(Inputs!$D$4:$AG$200,0,MATCH(AA$2,Inputs!$D$2:$AG$2,0)),Inputs!$B$4:$B$200,$B46)/1000)</f>
        <v>874.5439404</v>
      </c>
      <c r="AB46" s="12">
        <f>IF(AA46="","",AA46)</f>
        <v>874.5439404</v>
      </c>
      <c r="AC46" s="11">
        <f>IF(AC$3=0,"",SUMIFS(INDEX(Inputs!$D$4:$AG$200,0,MATCH(AC$2,Inputs!$D$2:$AG$2,0)),Inputs!$B$4:$B$200,$B46)/1000)</f>
        <v>793.66737536</v>
      </c>
      <c r="AD46" s="11">
        <f>IF(AD$3=0,"",SUMIFS(INDEX(Inputs!$D$4:$AG$200,0,MATCH(AD$2,Inputs!$D$2:$AG$2,0)),Inputs!$B$4:$B$200,$B46)/1000)</f>
        <v>775.32691685</v>
      </c>
      <c r="AE46" s="11" t="str">
        <f>IF(AE$3=0,"",SUMIFS(INDEX(Inputs!$D$4:$AG$200,0,MATCH(AE$2,Inputs!$D$2:$AG$2,0)),Inputs!$B$4:$B$200,$B46)/1000)</f>
        <v/>
      </c>
      <c r="AF46" s="11" t="str">
        <f>IF(AF$3=0,"",SUMIFS(INDEX(Inputs!$D$4:$AG$200,0,MATCH(AF$2,Inputs!$D$2:$AG$2,0)),Inputs!$B$4:$B$200,$B46)/1000)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IF(D$3=0,"",SUMIFS(INDEX(Inputs!$D$4:$AG$200,0,MATCH(D$2,Inputs!$D$2:$AG$2,0)),Inputs!$B$4:$B$200,$B47)/1000)</f>
        <v>410.904</v>
      </c>
      <c r="E47" s="11">
        <f>IF(E$3=0,"",SUMIFS(INDEX(Inputs!$D$4:$AG$200,0,MATCH(E$2,Inputs!$D$2:$AG$2,0)),Inputs!$B$4:$B$200,$B47)/1000)</f>
        <v>623.826</v>
      </c>
      <c r="F47" s="11">
        <f>IF(F$3=0,"",SUMIFS(INDEX(Inputs!$D$4:$AG$200,0,MATCH(F$2,Inputs!$D$2:$AG$2,0)),Inputs!$B$4:$B$200,$B47)/1000)</f>
        <v>869.589</v>
      </c>
      <c r="G47" s="11">
        <f>IF(G$3=0,"",SUMIFS(INDEX(Inputs!$D$4:$AG$200,0,MATCH(G$2,Inputs!$D$2:$AG$2,0)),Inputs!$B$4:$B$200,$B47)/1000)</f>
        <v>877.94</v>
      </c>
      <c r="H47" s="12">
        <f>IF(G47="","",G47)</f>
        <v>877.94</v>
      </c>
      <c r="I47" s="11">
        <f>IF(I$3=0,"",SUMIFS(INDEX(Inputs!$D$4:$AG$200,0,MATCH(I$2,Inputs!$D$2:$AG$2,0)),Inputs!$B$4:$B$200,$B47)/1000)</f>
        <v>765.355</v>
      </c>
      <c r="J47" s="11">
        <f>IF(J$3=0,"",SUMIFS(INDEX(Inputs!$D$4:$AG$200,0,MATCH(J$2,Inputs!$D$2:$AG$2,0)),Inputs!$B$4:$B$200,$B47)/1000)</f>
        <v>867.332</v>
      </c>
      <c r="K47" s="11">
        <f>IF(K$3=0,"",SUMIFS(INDEX(Inputs!$D$4:$AG$200,0,MATCH(K$2,Inputs!$D$2:$AG$2,0)),Inputs!$B$4:$B$200,$B47)/1000)</f>
        <v>885.833</v>
      </c>
      <c r="L47" s="11">
        <f>IF(L$3=0,"",SUMIFS(INDEX(Inputs!$D$4:$AG$200,0,MATCH(L$2,Inputs!$D$2:$AG$2,0)),Inputs!$B$4:$B$200,$B47)/1000)</f>
        <v>925.757</v>
      </c>
      <c r="M47" s="12">
        <f>IF(L47="","",L47)</f>
        <v>925.757</v>
      </c>
      <c r="N47" s="11">
        <f>IF(N$3=0,"",SUMIFS(INDEX(Inputs!$D$4:$AG$200,0,MATCH(N$2,Inputs!$D$2:$AG$2,0)),Inputs!$B$4:$B$200,$B47)/1000)</f>
        <v>931.95033978</v>
      </c>
      <c r="O47" s="11">
        <f>IF(O$3=0,"",SUMIFS(INDEX(Inputs!$D$4:$AG$200,0,MATCH(O$2,Inputs!$D$2:$AG$2,0)),Inputs!$B$4:$B$200,$B47)/1000)</f>
        <v>944.27708215</v>
      </c>
      <c r="P47" s="11">
        <f>IF(P$3=0,"",SUMIFS(INDEX(Inputs!$D$4:$AG$200,0,MATCH(P$2,Inputs!$D$2:$AG$2,0)),Inputs!$B$4:$B$200,$B47)/1000)</f>
        <v>807.760875481</v>
      </c>
      <c r="Q47" s="11">
        <f>IF(Q$3=0,"",SUMIFS(INDEX(Inputs!$D$4:$AG$200,0,MATCH(Q$2,Inputs!$D$2:$AG$2,0)),Inputs!$B$4:$B$200,$B47)/1000)</f>
        <v>430.53850448</v>
      </c>
      <c r="R47" s="12">
        <f>IF(Q47="","",Q47)</f>
        <v>430.53850448</v>
      </c>
      <c r="S47" s="11">
        <f>IF(S$3=0,"",SUMIFS(INDEX(Inputs!$D$4:$AG$200,0,MATCH(S$2,Inputs!$D$2:$AG$2,0)),Inputs!$B$4:$B$200,$B47)/1000)</f>
        <v>417.4832737</v>
      </c>
      <c r="T47" s="11">
        <f>IF(T$3=0,"",SUMIFS(INDEX(Inputs!$D$4:$AG$200,0,MATCH(T$2,Inputs!$D$2:$AG$2,0)),Inputs!$B$4:$B$200,$B47)/1000)</f>
        <v>466.78310823</v>
      </c>
      <c r="U47" s="11">
        <f>IF(U$3=0,"",SUMIFS(INDEX(Inputs!$D$4:$AG$200,0,MATCH(U$2,Inputs!$D$2:$AG$2,0)),Inputs!$B$4:$B$200,$B47)/1000)</f>
        <v>477.62535819</v>
      </c>
      <c r="V47" s="11">
        <f>IF(V$3=0,"",SUMIFS(INDEX(Inputs!$D$4:$AG$200,0,MATCH(V$2,Inputs!$D$2:$AG$2,0)),Inputs!$B$4:$B$200,$B47)/1000)</f>
        <v>232.35130397</v>
      </c>
      <c r="W47" s="12">
        <f>IF(V47="","",V47)</f>
        <v>232.35130397</v>
      </c>
      <c r="X47" s="11">
        <f>IF(X$3=0,"",SUMIFS(INDEX(Inputs!$D$4:$AG$200,0,MATCH(X$2,Inputs!$D$2:$AG$2,0)),Inputs!$B$4:$B$200,$B47)/1000)</f>
        <v>177.2480134</v>
      </c>
      <c r="Y47" s="11">
        <f>IF(Y$3=0,"",SUMIFS(INDEX(Inputs!$D$4:$AG$200,0,MATCH(Y$2,Inputs!$D$2:$AG$2,0)),Inputs!$B$4:$B$200,$B47)/1000)</f>
        <v>22.6152274</v>
      </c>
      <c r="Z47" s="11">
        <f>IF(Z$3=0,"",SUMIFS(INDEX(Inputs!$D$4:$AG$200,0,MATCH(Z$2,Inputs!$D$2:$AG$2,0)),Inputs!$B$4:$B$200,$B47)/1000)</f>
        <v>-222.64306702</v>
      </c>
      <c r="AA47" s="11">
        <f>IF(AA$3=0,"",SUMIFS(INDEX(Inputs!$D$4:$AG$200,0,MATCH(AA$2,Inputs!$D$2:$AG$2,0)),Inputs!$B$4:$B$200,$B47)/1000)</f>
        <v>216.91863636</v>
      </c>
      <c r="AB47" s="12">
        <f>IF(AA47="","",AA47)</f>
        <v>216.91863636</v>
      </c>
      <c r="AC47" s="11">
        <f>IF(AC$3=0,"",SUMIFS(INDEX(Inputs!$D$4:$AG$200,0,MATCH(AC$2,Inputs!$D$2:$AG$2,0)),Inputs!$B$4:$B$200,$B47)/1000)</f>
        <v>58.5362407</v>
      </c>
      <c r="AD47" s="11">
        <f>IF(AD$3=0,"",SUMIFS(INDEX(Inputs!$D$4:$AG$200,0,MATCH(AD$2,Inputs!$D$2:$AG$2,0)),Inputs!$B$4:$B$200,$B47)/1000)</f>
        <v>-257.24394704</v>
      </c>
      <c r="AE47" s="11" t="str">
        <f>IF(AE$3=0,"",SUMIFS(INDEX(Inputs!$D$4:$AG$200,0,MATCH(AE$2,Inputs!$D$2:$AG$2,0)),Inputs!$B$4:$B$200,$B47)/1000)</f>
        <v/>
      </c>
      <c r="AF47" s="11" t="str">
        <f>IF(AF$3=0,"",SUMIFS(INDEX(Inputs!$D$4:$AG$200,0,MATCH(AF$2,Inputs!$D$2:$AG$2,0)),Inputs!$B$4:$B$200,$B47)/1000)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IF(SUMPRODUCT((Inputs!$B$4:$B$200=$B50)*ISNUMBER(INDEX(Inputs!$D$4:$AG$200,0,MATCH(D$2,Inputs!$D$2:$AG$2,0))))=0,"",SUMIFS(INDEX(Inputs!$D$4:$AG$200,0,MATCH(D$2,Inputs!$D$2:$AG$2,0)),Inputs!$B$4:$B$200,$B50)/1000)</f>
        <v>94.243</v>
      </c>
      <c r="E50" s="11">
        <f>IF(SUMPRODUCT((Inputs!$B$4:$B$200=$B50)*ISNUMBER(INDEX(Inputs!$D$4:$AG$200,0,MATCH(E$2,Inputs!$D$2:$AG$2,0))))=0,"",SUMIFS(INDEX(Inputs!$D$4:$AG$200,0,MATCH(E$2,Inputs!$D$2:$AG$2,0)),Inputs!$B$4:$B$200,$B50)/1000)</f>
        <v>267.247</v>
      </c>
      <c r="F50" s="11">
        <f>IF(SUMPRODUCT((Inputs!$B$4:$B$200=$B50)*ISNUMBER(INDEX(Inputs!$D$4:$AG$200,0,MATCH(F$2,Inputs!$D$2:$AG$2,0))))=0,"",SUMIFS(INDEX(Inputs!$D$4:$AG$200,0,MATCH(F$2,Inputs!$D$2:$AG$2,0)),Inputs!$B$4:$B$200,$B50)/1000)</f>
        <v>245.763</v>
      </c>
      <c r="G50" s="11">
        <f>IF(SUMPRODUCT((Inputs!$B$4:$B$200=$B50)*ISNUMBER(INDEX(Inputs!$D$4:$AG$200,0,MATCH(G$2,Inputs!$D$2:$AG$2,0))))=0,"",SUMIFS(INDEX(Inputs!$D$4:$AG$200,0,MATCH(G$2,Inputs!$D$2:$AG$2,0)),Inputs!$B$4:$B$200,$B50)/1000)</f>
        <v>215.002</v>
      </c>
      <c r="H50" s="12">
        <f>IF(COUNT(D50:G50)=4,SUM(D50:G50),"")</f>
        <v>822.255</v>
      </c>
      <c r="I50" s="11">
        <f>IF(SUMPRODUCT((Inputs!$B$4:$B$200=$B50)*ISNUMBER(INDEX(Inputs!$D$4:$AG$200,0,MATCH(I$2,Inputs!$D$2:$AG$2,0))))=0,"",SUMIFS(INDEX(Inputs!$D$4:$AG$200,0,MATCH(I$2,Inputs!$D$2:$AG$2,0)),Inputs!$B$4:$B$200,$B50)/1000)</f>
        <v>191.676</v>
      </c>
      <c r="J50" s="11">
        <f>IF(SUMPRODUCT((Inputs!$B$4:$B$200=$B50)*ISNUMBER(INDEX(Inputs!$D$4:$AG$200,0,MATCH(J$2,Inputs!$D$2:$AG$2,0))))=0,"",SUMIFS(INDEX(Inputs!$D$4:$AG$200,0,MATCH(J$2,Inputs!$D$2:$AG$2,0)),Inputs!$B$4:$B$200,$B50)/1000)</f>
        <v>101.977</v>
      </c>
      <c r="K50" s="11">
        <f>IF(SUMPRODUCT((Inputs!$B$4:$B$200=$B50)*ISNUMBER(INDEX(Inputs!$D$4:$AG$200,0,MATCH(K$2,Inputs!$D$2:$AG$2,0))))=0,"",SUMIFS(INDEX(Inputs!$D$4:$AG$200,0,MATCH(K$2,Inputs!$D$2:$AG$2,0)),Inputs!$B$4:$B$200,$B50)/1000)</f>
        <v>18.501</v>
      </c>
      <c r="L50" s="11">
        <f>IF(SUMPRODUCT((Inputs!$B$4:$B$200=$B50)*ISNUMBER(INDEX(Inputs!$D$4:$AG$200,0,MATCH(L$2,Inputs!$D$2:$AG$2,0))))=0,"",SUMIFS(INDEX(Inputs!$D$4:$AG$200,0,MATCH(L$2,Inputs!$D$2:$AG$2,0)),Inputs!$B$4:$B$200,$B50)/1000)</f>
        <v>169.929</v>
      </c>
      <c r="M50" s="12">
        <f>IF(COUNT(I50:L50)=4,SUM(I50:L50),"")</f>
        <v>482.083</v>
      </c>
      <c r="N50" s="11">
        <f>IF(SUMPRODUCT((Inputs!$B$4:$B$200=$B50)*ISNUMBER(INDEX(Inputs!$D$4:$AG$200,0,MATCH(N$2,Inputs!$D$2:$AG$2,0))))=0,"",SUMIFS(INDEX(Inputs!$D$4:$AG$200,0,MATCH(N$2,Inputs!$D$2:$AG$2,0)),Inputs!$B$4:$B$200,$B50)/1000)</f>
        <v>6.189</v>
      </c>
      <c r="O50" s="11">
        <f>IF(SUMPRODUCT((Inputs!$B$4:$B$200=$B50)*ISNUMBER(INDEX(Inputs!$D$4:$AG$200,0,MATCH(O$2,Inputs!$D$2:$AG$2,0))))=0,"",SUMIFS(INDEX(Inputs!$D$4:$AG$200,0,MATCH(O$2,Inputs!$D$2:$AG$2,0)),Inputs!$B$4:$B$200,$B50)/1000)</f>
        <v>12.329</v>
      </c>
      <c r="P50" s="11">
        <f>IF(SUMPRODUCT((Inputs!$B$4:$B$200=$B50)*ISNUMBER(INDEX(Inputs!$D$4:$AG$200,0,MATCH(P$2,Inputs!$D$2:$AG$2,0))))=0,"",SUMIFS(INDEX(Inputs!$D$4:$AG$200,0,MATCH(P$2,Inputs!$D$2:$AG$2,0)),Inputs!$B$4:$B$200,$B50)/1000)</f>
        <v>-136.515</v>
      </c>
      <c r="Q50" s="11">
        <f>IF(SUMPRODUCT((Inputs!$B$4:$B$200=$B50)*ISNUMBER(INDEX(Inputs!$D$4:$AG$200,0,MATCH(Q$2,Inputs!$D$2:$AG$2,0))))=0,"",SUMIFS(INDEX(Inputs!$D$4:$AG$200,0,MATCH(Q$2,Inputs!$D$2:$AG$2,0)),Inputs!$B$4:$B$200,$B50)/1000)</f>
        <v>-377.224</v>
      </c>
      <c r="R50" s="12">
        <f>IF(COUNT(N50:Q50)=4,SUM(N50:Q50),"")</f>
        <v>-495.221</v>
      </c>
      <c r="S50" s="11">
        <f>IF(SUMPRODUCT((Inputs!$B$4:$B$200=$B50)*ISNUMBER(INDEX(Inputs!$D$4:$AG$200,0,MATCH(S$2,Inputs!$D$2:$AG$2,0))))=0,"",SUMIFS(INDEX(Inputs!$D$4:$AG$200,0,MATCH(S$2,Inputs!$D$2:$AG$2,0)),Inputs!$B$4:$B$200,$B50)/1000)</f>
        <v>-13.05523078</v>
      </c>
      <c r="T50" s="11">
        <f>IF(SUMPRODUCT((Inputs!$B$4:$B$200=$B50)*ISNUMBER(INDEX(Inputs!$D$4:$AG$200,0,MATCH(T$2,Inputs!$D$2:$AG$2,0))))=0,"",SUMIFS(INDEX(Inputs!$D$4:$AG$200,0,MATCH(T$2,Inputs!$D$2:$AG$2,0)),Inputs!$B$4:$B$200,$B50)/1000)</f>
        <v>49.29983453</v>
      </c>
      <c r="U50" s="11">
        <f>IF(SUMPRODUCT((Inputs!$B$4:$B$200=$B50)*ISNUMBER(INDEX(Inputs!$D$4:$AG$200,0,MATCH(U$2,Inputs!$D$2:$AG$2,0))))=0,"",SUMIFS(INDEX(Inputs!$D$4:$AG$200,0,MATCH(U$2,Inputs!$D$2:$AG$2,0)),Inputs!$B$4:$B$200,$B50)/1000)</f>
        <v>10.84224994</v>
      </c>
      <c r="V50" s="11">
        <f>IF(SUMPRODUCT((Inputs!$B$4:$B$200=$B50)*ISNUMBER(INDEX(Inputs!$D$4:$AG$200,0,MATCH(V$2,Inputs!$D$2:$AG$2,0))))=0,"",SUMIFS(INDEX(Inputs!$D$4:$AG$200,0,MATCH(V$2,Inputs!$D$2:$AG$2,0)),Inputs!$B$4:$B$200,$B50)/1000)</f>
        <v>-245.24247127</v>
      </c>
      <c r="W50" s="12">
        <f>IF(COUNT(S50:V50)=4,SUM(S50:V50),"")</f>
        <v>-198.15561758</v>
      </c>
      <c r="X50" s="11">
        <f>IF(SUMPRODUCT((Inputs!$B$4:$B$200=$B50)*ISNUMBER(INDEX(Inputs!$D$4:$AG$200,0,MATCH(X$2,Inputs!$D$2:$AG$2,0))))=0,"",SUMIFS(INDEX(Inputs!$D$4:$AG$200,0,MATCH(X$2,Inputs!$D$2:$AG$2,0)),Inputs!$B$4:$B$200,$B50)/1000)</f>
        <v>-50.953</v>
      </c>
      <c r="Y50" s="11">
        <f>IF(SUMPRODUCT((Inputs!$B$4:$B$200=$B50)*ISNUMBER(INDEX(Inputs!$D$4:$AG$200,0,MATCH(Y$2,Inputs!$D$2:$AG$2,0))))=0,"",SUMIFS(INDEX(Inputs!$D$4:$AG$200,0,MATCH(Y$2,Inputs!$D$2:$AG$2,0)),Inputs!$B$4:$B$200,$B50)/1000)</f>
        <v>-96.291</v>
      </c>
      <c r="Z50" s="11">
        <f>IF(SUMPRODUCT((Inputs!$B$4:$B$200=$B50)*ISNUMBER(INDEX(Inputs!$D$4:$AG$200,0,MATCH(Z$2,Inputs!$D$2:$AG$2,0))))=0,"",SUMIFS(INDEX(Inputs!$D$4:$AG$200,0,MATCH(Z$2,Inputs!$D$2:$AG$2,0)),Inputs!$B$4:$B$200,$B50)/1000)</f>
        <v>-246.193</v>
      </c>
      <c r="AA50" s="11">
        <f>IF(SUMPRODUCT((Inputs!$B$4:$B$200=$B50)*ISNUMBER(INDEX(Inputs!$D$4:$AG$200,0,MATCH(AA$2,Inputs!$D$2:$AG$2,0))))=0,"",SUMIFS(INDEX(Inputs!$D$4:$AG$200,0,MATCH(AA$2,Inputs!$D$2:$AG$2,0)),Inputs!$B$4:$B$200,$B50)/1000)</f>
        <v>432.908</v>
      </c>
      <c r="AB50" s="12">
        <f>IF(COUNT(X50:AA50)=4,SUM(X50:AA50),"")</f>
        <v>39.471</v>
      </c>
      <c r="AC50" s="11">
        <f>IF(SUMPRODUCT((Inputs!$B$4:$B$200=$B50)*ISNUMBER(INDEX(Inputs!$D$4:$AG$200,0,MATCH(AC$2,Inputs!$D$2:$AG$2,0))))=0,"",SUMIFS(INDEX(Inputs!$D$4:$AG$200,0,MATCH(AC$2,Inputs!$D$2:$AG$2,0)),Inputs!$B$4:$B$200,$B50)/1000)</f>
        <v>-179.59733257</v>
      </c>
      <c r="AD50" s="11">
        <f>IF(SUMPRODUCT((Inputs!$B$4:$B$200=$B50)*ISNUMBER(INDEX(Inputs!$D$4:$AG$200,0,MATCH(AD$2,Inputs!$D$2:$AG$2,0))))=0,"",SUMIFS(INDEX(Inputs!$D$4:$AG$200,0,MATCH(AD$2,Inputs!$D$2:$AG$2,0)),Inputs!$B$4:$B$200,$B50)/1000)</f>
        <v>-189.46966743</v>
      </c>
      <c r="AE50" s="11" t="str">
        <f>IF(SUMPRODUCT((Inputs!$B$4:$B$200=$B50)*ISNUMBER(INDEX(Inputs!$D$4:$AG$200,0,MATCH(AE$2,Inputs!$D$2:$AG$2,0))))=0,"",SUMIFS(INDEX(Inputs!$D$4:$AG$200,0,MATCH(AE$2,Inputs!$D$2:$AG$2,0)),Inputs!$B$4:$B$200,$B50)/1000)</f>
        <v/>
      </c>
      <c r="AF50" s="11" t="str">
        <f>IF(SUMPRODUCT((Inputs!$B$4:$B$200=$B50)*ISNUMBER(INDEX(Inputs!$D$4:$AG$200,0,MATCH(AF$2,Inputs!$D$2:$AG$2,0))))=0,"",SUMIFS(INDEX(Inputs!$D$4:$AG$200,0,MATCH(AF$2,Inputs!$D$2:$AG$2,0)),Inputs!$B$4:$B$200,$B50)/1000)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Receita liquida de vendas e prestacao de servicos (Consolidado l.11)</t>
        </is>
      </c>
      <c r="D53" s="11">
        <f>IF(SUMPRODUCT((Inputs!$B$4:$B$200=$B53)*ISNUMBER(INDEX(Inputs!$D$4:$AG$200,0,MATCH(D$2,Inputs!$D$2:$AG$2,0))))=0,"",SUMIFS(INDEX(Inputs!$D$4:$AG$200,0,MATCH(D$2,Inputs!$D$2:$AG$2,0)),Inputs!$B$4:$B$200,$B53)/1000)</f>
        <v>2228.989279886</v>
      </c>
      <c r="E53" s="11">
        <f>IF(SUMPRODUCT((Inputs!$B$4:$B$200=$B53)*ISNUMBER(INDEX(Inputs!$D$4:$AG$200,0,MATCH(E$2,Inputs!$D$2:$AG$2,0))))=0,"",SUMIFS(INDEX(Inputs!$D$4:$AG$200,0,MATCH(E$2,Inputs!$D$2:$AG$2,0)),Inputs!$B$4:$B$200,$B53)/1000)</f>
        <v>2434.439720114</v>
      </c>
      <c r="F53" s="11">
        <f>IF(SUMPRODUCT((Inputs!$B$4:$B$200=$B53)*ISNUMBER(INDEX(Inputs!$D$4:$AG$200,0,MATCH(F$2,Inputs!$D$2:$AG$2,0))))=0,"",SUMIFS(INDEX(Inputs!$D$4:$AG$200,0,MATCH(F$2,Inputs!$D$2:$AG$2,0)),Inputs!$B$4:$B$200,$B53)/1000)</f>
        <v>3035.233</v>
      </c>
      <c r="G53" s="11">
        <f>IF(SUMPRODUCT((Inputs!$B$4:$B$200=$B53)*ISNUMBER(INDEX(Inputs!$D$4:$AG$200,0,MATCH(G$2,Inputs!$D$2:$AG$2,0))))=0,"",SUMIFS(INDEX(Inputs!$D$4:$AG$200,0,MATCH(G$2,Inputs!$D$2:$AG$2,0)),Inputs!$B$4:$B$200,$B53)/1000)</f>
        <v>3306.956</v>
      </c>
      <c r="H53" s="12">
        <f>IF(COUNT(D53:G53)=4,SUM(D53:G53),"")</f>
        <v>11005.618</v>
      </c>
      <c r="I53" s="11">
        <f>IF(SUMPRODUCT((Inputs!$B$4:$B$200=$B53)*ISNUMBER(INDEX(Inputs!$D$4:$AG$200,0,MATCH(I$2,Inputs!$D$2:$AG$2,0))))=0,"",SUMIFS(INDEX(Inputs!$D$4:$AG$200,0,MATCH(I$2,Inputs!$D$2:$AG$2,0)),Inputs!$B$4:$B$200,$B53)/1000)</f>
        <v>3513.11801274</v>
      </c>
      <c r="J53" s="11">
        <f>IF(SUMPRODUCT((Inputs!$B$4:$B$200=$B53)*ISNUMBER(INDEX(Inputs!$D$4:$AG$200,0,MATCH(J$2,Inputs!$D$2:$AG$2,0))))=0,"",SUMIFS(INDEX(Inputs!$D$4:$AG$200,0,MATCH(J$2,Inputs!$D$2:$AG$2,0)),Inputs!$B$4:$B$200,$B53)/1000)</f>
        <v>4128.04135583</v>
      </c>
      <c r="K53" s="11">
        <f>IF(SUMPRODUCT((Inputs!$B$4:$B$200=$B53)*ISNUMBER(INDEX(Inputs!$D$4:$AG$200,0,MATCH(K$2,Inputs!$D$2:$AG$2,0))))=0,"",SUMIFS(INDEX(Inputs!$D$4:$AG$200,0,MATCH(K$2,Inputs!$D$2:$AG$2,0)),Inputs!$B$4:$B$200,$B53)/1000)</f>
        <v>5325.289471412</v>
      </c>
      <c r="L53" s="11">
        <f>IF(SUMPRODUCT((Inputs!$B$4:$B$200=$B53)*ISNUMBER(INDEX(Inputs!$D$4:$AG$200,0,MATCH(L$2,Inputs!$D$2:$AG$2,0))))=0,"",SUMIFS(INDEX(Inputs!$D$4:$AG$200,0,MATCH(L$2,Inputs!$D$2:$AG$2,0)),Inputs!$B$4:$B$200,$B53)/1000)</f>
        <v>5865.371577861</v>
      </c>
      <c r="M53" s="12">
        <f>IF(COUNT(I53:L53)=4,SUM(I53:L53),"")</f>
        <v>18831.820417843</v>
      </c>
      <c r="N53" s="11">
        <f>IF(SUMPRODUCT((Inputs!$B$4:$B$200=$B53)*ISNUMBER(INDEX(Inputs!$D$4:$AG$200,0,MATCH(N$2,Inputs!$D$2:$AG$2,0))))=0,"",SUMIFS(INDEX(Inputs!$D$4:$AG$200,0,MATCH(N$2,Inputs!$D$2:$AG$2,0)),Inputs!$B$4:$B$200,$B53)/1000)</f>
        <v>5777.433838496</v>
      </c>
      <c r="O53" s="11">
        <f>IF(SUMPRODUCT((Inputs!$B$4:$B$200=$B53)*ISNUMBER(INDEX(Inputs!$D$4:$AG$200,0,MATCH(O$2,Inputs!$D$2:$AG$2,0))))=0,"",SUMIFS(INDEX(Inputs!$D$4:$AG$200,0,MATCH(O$2,Inputs!$D$2:$AG$2,0)),Inputs!$B$4:$B$200,$B53)/1000)</f>
        <v>6044.163703194</v>
      </c>
      <c r="P53" s="11">
        <f>IF(SUMPRODUCT((Inputs!$B$4:$B$200=$B53)*ISNUMBER(INDEX(Inputs!$D$4:$AG$200,0,MATCH(P$2,Inputs!$D$2:$AG$2,0))))=0,"",SUMIFS(INDEX(Inputs!$D$4:$AG$200,0,MATCH(P$2,Inputs!$D$2:$AG$2,0)),Inputs!$B$4:$B$200,$B53)/1000)</f>
        <v>6692.13145831</v>
      </c>
      <c r="Q53" s="11">
        <f>IF(SUMPRODUCT((Inputs!$B$4:$B$200=$B53)*ISNUMBER(INDEX(Inputs!$D$4:$AG$200,0,MATCH(Q$2,Inputs!$D$2:$AG$2,0))))=0,"",SUMIFS(INDEX(Inputs!$D$4:$AG$200,0,MATCH(Q$2,Inputs!$D$2:$AG$2,0)),Inputs!$B$4:$B$200,$B53)/1000)</f>
        <v>7086.90511311</v>
      </c>
      <c r="R53" s="12">
        <f>IF(COUNT(N53:Q53)=4,SUM(N53:Q53),"")</f>
        <v>25600.63411311</v>
      </c>
      <c r="S53" s="11">
        <f>IF(SUMPRODUCT((Inputs!$B$4:$B$200=$B53)*ISNUMBER(INDEX(Inputs!$D$4:$AG$200,0,MATCH(S$2,Inputs!$D$2:$AG$2,0))))=0,"",SUMIFS(INDEX(Inputs!$D$4:$AG$200,0,MATCH(S$2,Inputs!$D$2:$AG$2,0)),Inputs!$B$4:$B$200,$B53)/1000)</f>
        <v>7163.34565164</v>
      </c>
      <c r="T53" s="11">
        <f>IF(SUMPRODUCT((Inputs!$B$4:$B$200=$B53)*ISNUMBER(INDEX(Inputs!$D$4:$AG$200,0,MATCH(T$2,Inputs!$D$2:$AG$2,0))))=0,"",SUMIFS(INDEX(Inputs!$D$4:$AG$200,0,MATCH(T$2,Inputs!$D$2:$AG$2,0)),Inputs!$B$4:$B$200,$B53)/1000)</f>
        <v>7938.09444039</v>
      </c>
      <c r="U53" s="11">
        <f>IF(SUMPRODUCT((Inputs!$B$4:$B$200=$B53)*ISNUMBER(INDEX(Inputs!$D$4:$AG$200,0,MATCH(U$2,Inputs!$D$2:$AG$2,0))))=0,"",SUMIFS(INDEX(Inputs!$D$4:$AG$200,0,MATCH(U$2,Inputs!$D$2:$AG$2,0)),Inputs!$B$4:$B$200,$B53)/1000)</f>
        <v>8358.224467</v>
      </c>
      <c r="V53" s="11">
        <f>IF(SUMPRODUCT((Inputs!$B$4:$B$200=$B53)*ISNUMBER(INDEX(Inputs!$D$4:$AG$200,0,MATCH(V$2,Inputs!$D$2:$AG$2,0))))=0,"",SUMIFS(INDEX(Inputs!$D$4:$AG$200,0,MATCH(V$2,Inputs!$D$2:$AG$2,0)),Inputs!$B$4:$B$200,$B53)/1000)</f>
        <v>8796.81927012</v>
      </c>
      <c r="W53" s="12">
        <f>IF(COUNT(S53:V53)=4,SUM(S53:V53),"")</f>
        <v>32256.48382915</v>
      </c>
      <c r="X53" s="11">
        <f>IF(SUMPRODUCT((Inputs!$B$4:$B$200=$B53)*ISNUMBER(INDEX(Inputs!$D$4:$AG$200,0,MATCH(X$2,Inputs!$D$2:$AG$2,0))))=0,"",SUMIFS(INDEX(Inputs!$D$4:$AG$200,0,MATCH(X$2,Inputs!$D$2:$AG$2,0)),Inputs!$B$4:$B$200,$B53)/1000)</f>
        <v>8189.74753867</v>
      </c>
      <c r="Y53" s="11">
        <f>IF(SUMPRODUCT((Inputs!$B$4:$B$200=$B53)*ISNUMBER(INDEX(Inputs!$D$4:$AG$200,0,MATCH(Y$2,Inputs!$D$2:$AG$2,0))))=0,"",SUMIFS(INDEX(Inputs!$D$4:$AG$200,0,MATCH(Y$2,Inputs!$D$2:$AG$2,0)),Inputs!$B$4:$B$200,$B53)/1000)</f>
        <v>8295.85026633</v>
      </c>
      <c r="Z53" s="11">
        <f>IF(SUMPRODUCT((Inputs!$B$4:$B$200=$B53)*ISNUMBER(INDEX(Inputs!$D$4:$AG$200,0,MATCH(Z$2,Inputs!$D$2:$AG$2,0))))=0,"",SUMIFS(INDEX(Inputs!$D$4:$AG$200,0,MATCH(Z$2,Inputs!$D$2:$AG$2,0)),Inputs!$B$4:$B$200,$B53)/1000)</f>
        <v>8958.10030341</v>
      </c>
      <c r="AA53" s="11">
        <f>IF(SUMPRODUCT((Inputs!$B$4:$B$200=$B53)*ISNUMBER(INDEX(Inputs!$D$4:$AG$200,0,MATCH(AA$2,Inputs!$D$2:$AG$2,0))))=0,"",SUMIFS(INDEX(Inputs!$D$4:$AG$200,0,MATCH(AA$2,Inputs!$D$2:$AG$2,0)),Inputs!$B$4:$B$200,$B53)/1000)</f>
        <v>9041.60020085</v>
      </c>
      <c r="AB53" s="12">
        <f>IF(COUNT(X53:AA53)=4,SUM(X53:AA53),"")</f>
        <v>34485.29830926</v>
      </c>
      <c r="AC53" s="11">
        <f>IF(SUMPRODUCT((Inputs!$B$4:$B$200=$B53)*ISNUMBER(INDEX(Inputs!$D$4:$AG$200,0,MATCH(AC$2,Inputs!$D$2:$AG$2,0))))=0,"",SUMIFS(INDEX(Inputs!$D$4:$AG$200,0,MATCH(AC$2,Inputs!$D$2:$AG$2,0)),Inputs!$B$4:$B$200,$B53)/1000)</f>
        <v>8877.84995364</v>
      </c>
      <c r="AD53" s="11">
        <f>IF(SUMPRODUCT((Inputs!$B$4:$B$200=$B53)*ISNUMBER(INDEX(Inputs!$D$4:$AG$200,0,MATCH(AD$2,Inputs!$D$2:$AG$2,0))))=0,"",SUMIFS(INDEX(Inputs!$D$4:$AG$200,0,MATCH(AD$2,Inputs!$D$2:$AG$2,0)),Inputs!$B$4:$B$200,$B53)/1000)</f>
        <v>9488.04860035</v>
      </c>
      <c r="AE53" s="11" t="str">
        <f>IF(SUMPRODUCT((Inputs!$B$4:$B$200=$B53)*ISNUMBER(INDEX(Inputs!$D$4:$AG$200,0,MATCH(AE$2,Inputs!$D$2:$AG$2,0))))=0,"",SUMIFS(INDEX(Inputs!$D$4:$AG$200,0,MATCH(AE$2,Inputs!$D$2:$AG$2,0)),Inputs!$B$4:$B$200,$B53)/1000)</f>
        <v/>
      </c>
      <c r="AF53" s="11" t="str">
        <f>IF(SUMPRODUCT((Inputs!$B$4:$B$200=$B53)*ISNUMBER(INDEX(Inputs!$D$4:$AG$200,0,MATCH(AF$2,Inputs!$D$2:$AG$2,0))))=0,"",SUMIFS(INDEX(Inputs!$D$4:$AG$200,0,MATCH(AF$2,Inputs!$D$2:$AG$2,0)),Inputs!$B$4:$B$200,$B53)/1000)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Receita liquida de construcao (Consolidado l.12; concessoes - ICPC 01)</t>
        </is>
      </c>
      <c r="D54" s="11">
        <f>IF(SUMPRODUCT((Inputs!$B$4:$B$200=$B54)*ISNUMBER(INDEX(Inputs!$D$4:$AG$200,0,MATCH(D$2,Inputs!$D$2:$AG$2,0))))=0,"",SUMIFS(INDEX(Inputs!$D$4:$AG$200,0,MATCH(D$2,Inputs!$D$2:$AG$2,0)),Inputs!$B$4:$B$200,$B54)/1000)</f>
        <v>0</v>
      </c>
      <c r="E54" s="11">
        <f>IF(SUMPRODUCT((Inputs!$B$4:$B$200=$B54)*ISNUMBER(INDEX(Inputs!$D$4:$AG$200,0,MATCH(E$2,Inputs!$D$2:$AG$2,0))))=0,"",SUMIFS(INDEX(Inputs!$D$4:$AG$200,0,MATCH(E$2,Inputs!$D$2:$AG$2,0)),Inputs!$B$4:$B$200,$B54)/1000)</f>
        <v>0</v>
      </c>
      <c r="F54" s="11">
        <f>IF(SUMPRODUCT((Inputs!$B$4:$B$200=$B54)*ISNUMBER(INDEX(Inputs!$D$4:$AG$200,0,MATCH(F$2,Inputs!$D$2:$AG$2,0))))=0,"",SUMIFS(INDEX(Inputs!$D$4:$AG$200,0,MATCH(F$2,Inputs!$D$2:$AG$2,0)),Inputs!$B$4:$B$200,$B54)/1000)</f>
        <v>0</v>
      </c>
      <c r="G54" s="11">
        <f>IF(SUMPRODUCT((Inputs!$B$4:$B$200=$B54)*ISNUMBER(INDEX(Inputs!$D$4:$AG$200,0,MATCH(G$2,Inputs!$D$2:$AG$2,0))))=0,"",SUMIFS(INDEX(Inputs!$D$4:$AG$200,0,MATCH(G$2,Inputs!$D$2:$AG$2,0)),Inputs!$B$4:$B$200,$B54)/1000)</f>
        <v>0</v>
      </c>
      <c r="H54" s="12">
        <f>IF(COUNT(D54:G54)=4,SUM(D54:G54),"")</f>
        <v>0</v>
      </c>
      <c r="I54" s="11">
        <f>IF(SUMPRODUCT((Inputs!$B$4:$B$200=$B54)*ISNUMBER(INDEX(Inputs!$D$4:$AG$200,0,MATCH(I$2,Inputs!$D$2:$AG$2,0))))=0,"",SUMIFS(INDEX(Inputs!$D$4:$AG$200,0,MATCH(I$2,Inputs!$D$2:$AG$2,0)),Inputs!$B$4:$B$200,$B54)/1000)</f>
        <v>0</v>
      </c>
      <c r="J54" s="11">
        <f>IF(SUMPRODUCT((Inputs!$B$4:$B$200=$B54)*ISNUMBER(INDEX(Inputs!$D$4:$AG$200,0,MATCH(J$2,Inputs!$D$2:$AG$2,0))))=0,"",SUMIFS(INDEX(Inputs!$D$4:$AG$200,0,MATCH(J$2,Inputs!$D$2:$AG$2,0)),Inputs!$B$4:$B$200,$B54)/1000)</f>
        <v>0</v>
      </c>
      <c r="K54" s="11">
        <f>IF(SUMPRODUCT((Inputs!$B$4:$B$200=$B54)*ISNUMBER(INDEX(Inputs!$D$4:$AG$200,0,MATCH(K$2,Inputs!$D$2:$AG$2,0))))=0,"",SUMIFS(INDEX(Inputs!$D$4:$AG$200,0,MATCH(K$2,Inputs!$D$2:$AG$2,0)),Inputs!$B$4:$B$200,$B54)/1000)</f>
        <v>0</v>
      </c>
      <c r="L54" s="11">
        <f>IF(SUMPRODUCT((Inputs!$B$4:$B$200=$B54)*ISNUMBER(INDEX(Inputs!$D$4:$AG$200,0,MATCH(L$2,Inputs!$D$2:$AG$2,0))))=0,"",SUMIFS(INDEX(Inputs!$D$4:$AG$200,0,MATCH(L$2,Inputs!$D$2:$AG$2,0)),Inputs!$B$4:$B$200,$B54)/1000)</f>
        <v>0</v>
      </c>
      <c r="M54" s="12">
        <f>IF(COUNT(I54:L54)=4,SUM(I54:L54),"")</f>
        <v>0</v>
      </c>
      <c r="N54" s="11">
        <f>IF(SUMPRODUCT((Inputs!$B$4:$B$200=$B54)*ISNUMBER(INDEX(Inputs!$D$4:$AG$200,0,MATCH(N$2,Inputs!$D$2:$AG$2,0))))=0,"",SUMIFS(INDEX(Inputs!$D$4:$AG$200,0,MATCH(N$2,Inputs!$D$2:$AG$2,0)),Inputs!$B$4:$B$200,$B54)/1000)</f>
        <v>14.31297656</v>
      </c>
      <c r="O54" s="11">
        <f>IF(SUMPRODUCT((Inputs!$B$4:$B$200=$B54)*ISNUMBER(INDEX(Inputs!$D$4:$AG$200,0,MATCH(O$2,Inputs!$D$2:$AG$2,0))))=0,"",SUMIFS(INDEX(Inputs!$D$4:$AG$200,0,MATCH(O$2,Inputs!$D$2:$AG$2,0)),Inputs!$B$4:$B$200,$B54)/1000)</f>
        <v>10.78748175</v>
      </c>
      <c r="P54" s="11">
        <f>IF(SUMPRODUCT((Inputs!$B$4:$B$200=$B54)*ISNUMBER(INDEX(Inputs!$D$4:$AG$200,0,MATCH(P$2,Inputs!$D$2:$AG$2,0))))=0,"",SUMIFS(INDEX(Inputs!$D$4:$AG$200,0,MATCH(P$2,Inputs!$D$2:$AG$2,0)),Inputs!$B$4:$B$200,$B54)/1000)</f>
        <v>57.52154169</v>
      </c>
      <c r="Q54" s="11">
        <f>IF(SUMPRODUCT((Inputs!$B$4:$B$200=$B54)*ISNUMBER(INDEX(Inputs!$D$4:$AG$200,0,MATCH(Q$2,Inputs!$D$2:$AG$2,0))))=0,"",SUMIFS(INDEX(Inputs!$D$4:$AG$200,0,MATCH(Q$2,Inputs!$D$2:$AG$2,0)),Inputs!$B$4:$B$200,$B54)/1000)</f>
        <v>92.88488689</v>
      </c>
      <c r="R54" s="12">
        <f>IF(COUNT(N54:Q54)=4,SUM(N54:Q54),"")</f>
        <v>175.50688689</v>
      </c>
      <c r="S54" s="11">
        <f>IF(SUMPRODUCT((Inputs!$B$4:$B$200=$B54)*ISNUMBER(INDEX(Inputs!$D$4:$AG$200,0,MATCH(S$2,Inputs!$D$2:$AG$2,0))))=0,"",SUMIFS(INDEX(Inputs!$D$4:$AG$200,0,MATCH(S$2,Inputs!$D$2:$AG$2,0)),Inputs!$B$4:$B$200,$B54)/1000)</f>
        <v>118.30826324</v>
      </c>
      <c r="T54" s="11">
        <f>IF(SUMPRODUCT((Inputs!$B$4:$B$200=$B54)*ISNUMBER(INDEX(Inputs!$D$4:$AG$200,0,MATCH(T$2,Inputs!$D$2:$AG$2,0))))=0,"",SUMIFS(INDEX(Inputs!$D$4:$AG$200,0,MATCH(T$2,Inputs!$D$2:$AG$2,0)),Inputs!$B$4:$B$200,$B54)/1000)</f>
        <v>223.03071139</v>
      </c>
      <c r="U54" s="11">
        <f>IF(SUMPRODUCT((Inputs!$B$4:$B$200=$B54)*ISNUMBER(INDEX(Inputs!$D$4:$AG$200,0,MATCH(U$2,Inputs!$D$2:$AG$2,0))))=0,"",SUMIFS(INDEX(Inputs!$D$4:$AG$200,0,MATCH(U$2,Inputs!$D$2:$AG$2,0)),Inputs!$B$4:$B$200,$B54)/1000)</f>
        <v>167.64889649</v>
      </c>
      <c r="V54" s="11">
        <f>IF(SUMPRODUCT((Inputs!$B$4:$B$200=$B54)*ISNUMBER(INDEX(Inputs!$D$4:$AG$200,0,MATCH(V$2,Inputs!$D$2:$AG$2,0))))=0,"",SUMIFS(INDEX(Inputs!$D$4:$AG$200,0,MATCH(V$2,Inputs!$D$2:$AG$2,0)),Inputs!$B$4:$B$200,$B54)/1000)</f>
        <v>209.16669777</v>
      </c>
      <c r="W54" s="12">
        <f>IF(COUNT(S54:V54)=4,SUM(S54:V54),"")</f>
        <v>718.15456889</v>
      </c>
      <c r="X54" s="11">
        <f>IF(SUMPRODUCT((Inputs!$B$4:$B$200=$B54)*ISNUMBER(INDEX(Inputs!$D$4:$AG$200,0,MATCH(X$2,Inputs!$D$2:$AG$2,0))))=0,"",SUMIFS(INDEX(Inputs!$D$4:$AG$200,0,MATCH(X$2,Inputs!$D$2:$AG$2,0)),Inputs!$B$4:$B$200,$B54)/1000)</f>
        <v>20.00911337</v>
      </c>
      <c r="Y54" s="11">
        <f>IF(SUMPRODUCT((Inputs!$B$4:$B$200=$B54)*ISNUMBER(INDEX(Inputs!$D$4:$AG$200,0,MATCH(Y$2,Inputs!$D$2:$AG$2,0))))=0,"",SUMIFS(INDEX(Inputs!$D$4:$AG$200,0,MATCH(Y$2,Inputs!$D$2:$AG$2,0)),Inputs!$B$4:$B$200,$B54)/1000)</f>
        <v>15.23778054</v>
      </c>
      <c r="Z54" s="11">
        <f>IF(SUMPRODUCT((Inputs!$B$4:$B$200=$B54)*ISNUMBER(INDEX(Inputs!$D$4:$AG$200,0,MATCH(Z$2,Inputs!$D$2:$AG$2,0))))=0,"",SUMIFS(INDEX(Inputs!$D$4:$AG$200,0,MATCH(Z$2,Inputs!$D$2:$AG$2,0)),Inputs!$B$4:$B$200,$B54)/1000)</f>
        <v>39.48876117</v>
      </c>
      <c r="AA54" s="11">
        <f>IF(SUMPRODUCT((Inputs!$B$4:$B$200=$B54)*ISNUMBER(INDEX(Inputs!$D$4:$AG$200,0,MATCH(AA$2,Inputs!$D$2:$AG$2,0))))=0,"",SUMIFS(INDEX(Inputs!$D$4:$AG$200,0,MATCH(AA$2,Inputs!$D$2:$AG$2,0)),Inputs!$B$4:$B$200,$B54)/1000)</f>
        <v>61.19585187</v>
      </c>
      <c r="AB54" s="12">
        <f>IF(COUNT(X54:AA54)=4,SUM(X54:AA54),"")</f>
        <v>135.93150695</v>
      </c>
      <c r="AC54" s="11">
        <f>IF(SUMPRODUCT((Inputs!$B$4:$B$200=$B54)*ISNUMBER(INDEX(Inputs!$D$4:$AG$200,0,MATCH(AC$2,Inputs!$D$2:$AG$2,0))))=0,"",SUMIFS(INDEX(Inputs!$D$4:$AG$200,0,MATCH(AC$2,Inputs!$D$2:$AG$2,0)),Inputs!$B$4:$B$200,$B54)/1000)</f>
        <v>49.96972591</v>
      </c>
      <c r="AD54" s="11">
        <f>IF(SUMPRODUCT((Inputs!$B$4:$B$200=$B54)*ISNUMBER(INDEX(Inputs!$D$4:$AG$200,0,MATCH(AD$2,Inputs!$D$2:$AG$2,0))))=0,"",SUMIFS(INDEX(Inputs!$D$4:$AG$200,0,MATCH(AD$2,Inputs!$D$2:$AG$2,0)),Inputs!$B$4:$B$200,$B54)/1000)</f>
        <v>89.11833869</v>
      </c>
      <c r="AE54" s="11" t="str">
        <f>IF(SUMPRODUCT((Inputs!$B$4:$B$200=$B54)*ISNUMBER(INDEX(Inputs!$D$4:$AG$200,0,MATCH(AE$2,Inputs!$D$2:$AG$2,0))))=0,"",SUMIFS(INDEX(Inputs!$D$4:$AG$200,0,MATCH(AE$2,Inputs!$D$2:$AG$2,0)),Inputs!$B$4:$B$200,$B54)/1000)</f>
        <v/>
      </c>
      <c r="AF54" s="11" t="str">
        <f>IF(SUMPRODUCT((Inputs!$B$4:$B$200=$B54)*ISNUMBER(INDEX(Inputs!$D$4:$AG$200,0,MATCH(AF$2,Inputs!$D$2:$AG$2,0))))=0,"",SUMIFS(INDEX(Inputs!$D$4:$AG$200,0,MATCH(AF$2,Inputs!$D$2:$AG$2,0)),Inputs!$B$4:$B$200,$B54)/1000)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Receita liquida de renovacao de frota / venda de ativos (Consolidado l.13)</t>
        </is>
      </c>
      <c r="D55" s="11">
        <f>IF(SUMPRODUCT((Inputs!$B$4:$B$200=$B55)*ISNUMBER(INDEX(Inputs!$D$4:$AG$200,0,MATCH(D$2,Inputs!$D$2:$AG$2,0))))=0,"",SUMIFS(INDEX(Inputs!$D$4:$AG$200,0,MATCH(D$2,Inputs!$D$2:$AG$2,0)),Inputs!$B$4:$B$200,$B55)/1000)</f>
        <v>391.11637603</v>
      </c>
      <c r="E55" s="11">
        <f>IF(SUMPRODUCT((Inputs!$B$4:$B$200=$B55)*ISNUMBER(INDEX(Inputs!$D$4:$AG$200,0,MATCH(E$2,Inputs!$D$2:$AG$2,0))))=0,"",SUMIFS(INDEX(Inputs!$D$4:$AG$200,0,MATCH(E$2,Inputs!$D$2:$AG$2,0)),Inputs!$B$4:$B$200,$B55)/1000)</f>
        <v>714.62662397</v>
      </c>
      <c r="F55" s="11">
        <f>IF(SUMPRODUCT((Inputs!$B$4:$B$200=$B55)*ISNUMBER(INDEX(Inputs!$D$4:$AG$200,0,MATCH(F$2,Inputs!$D$2:$AG$2,0))))=0,"",SUMIFS(INDEX(Inputs!$D$4:$AG$200,0,MATCH(F$2,Inputs!$D$2:$AG$2,0)),Inputs!$B$4:$B$200,$B55)/1000)</f>
        <v>923.047</v>
      </c>
      <c r="G55" s="11">
        <f>IF(SUMPRODUCT((Inputs!$B$4:$B$200=$B55)*ISNUMBER(INDEX(Inputs!$D$4:$AG$200,0,MATCH(G$2,Inputs!$D$2:$AG$2,0))))=0,"",SUMIFS(INDEX(Inputs!$D$4:$AG$200,0,MATCH(G$2,Inputs!$D$2:$AG$2,0)),Inputs!$B$4:$B$200,$B55)/1000)</f>
        <v>831.811</v>
      </c>
      <c r="H55" s="12">
        <f>IF(COUNT(D55:G55)=4,SUM(D55:G55),"")</f>
        <v>2860.601</v>
      </c>
      <c r="I55" s="11">
        <f>IF(SUMPRODUCT((Inputs!$B$4:$B$200=$B55)*ISNUMBER(INDEX(Inputs!$D$4:$AG$200,0,MATCH(I$2,Inputs!$D$2:$AG$2,0))))=0,"",SUMIFS(INDEX(Inputs!$D$4:$AG$200,0,MATCH(I$2,Inputs!$D$2:$AG$2,0)),Inputs!$B$4:$B$200,$B55)/1000)</f>
        <v>1017.079</v>
      </c>
      <c r="J55" s="11">
        <f>IF(SUMPRODUCT((Inputs!$B$4:$B$200=$B55)*ISNUMBER(INDEX(Inputs!$D$4:$AG$200,0,MATCH(J$2,Inputs!$D$2:$AG$2,0))))=0,"",SUMIFS(INDEX(Inputs!$D$4:$AG$200,0,MATCH(J$2,Inputs!$D$2:$AG$2,0)),Inputs!$B$4:$B$200,$B55)/1000)</f>
        <v>1259.106</v>
      </c>
      <c r="K55" s="11">
        <f>IF(SUMPRODUCT((Inputs!$B$4:$B$200=$B55)*ISNUMBER(INDEX(Inputs!$D$4:$AG$200,0,MATCH(K$2,Inputs!$D$2:$AG$2,0))))=0,"",SUMIFS(INDEX(Inputs!$D$4:$AG$200,0,MATCH(K$2,Inputs!$D$2:$AG$2,0)),Inputs!$B$4:$B$200,$B55)/1000)</f>
        <v>1498.061</v>
      </c>
      <c r="L55" s="11">
        <f>IF(SUMPRODUCT((Inputs!$B$4:$B$200=$B55)*ISNUMBER(INDEX(Inputs!$D$4:$AG$200,0,MATCH(L$2,Inputs!$D$2:$AG$2,0))))=0,"",SUMIFS(INDEX(Inputs!$D$4:$AG$200,0,MATCH(L$2,Inputs!$D$2:$AG$2,0)),Inputs!$B$4:$B$200,$B55)/1000)</f>
        <v>1475.81470045</v>
      </c>
      <c r="M55" s="12">
        <f>IF(COUNT(I55:L55)=4,SUM(I55:L55),"")</f>
        <v>5250.06070045</v>
      </c>
      <c r="N55" s="11">
        <f>IF(SUMPRODUCT((Inputs!$B$4:$B$200=$B55)*ISNUMBER(INDEX(Inputs!$D$4:$AG$200,0,MATCH(N$2,Inputs!$D$2:$AG$2,0))))=0,"",SUMIFS(INDEX(Inputs!$D$4:$AG$200,0,MATCH(N$2,Inputs!$D$2:$AG$2,0)),Inputs!$B$4:$B$200,$B55)/1000)</f>
        <v>1648.29700617</v>
      </c>
      <c r="O55" s="11">
        <f>IF(SUMPRODUCT((Inputs!$B$4:$B$200=$B55)*ISNUMBER(INDEX(Inputs!$D$4:$AG$200,0,MATCH(O$2,Inputs!$D$2:$AG$2,0))))=0,"",SUMIFS(INDEX(Inputs!$D$4:$AG$200,0,MATCH(O$2,Inputs!$D$2:$AG$2,0)),Inputs!$B$4:$B$200,$B55)/1000)</f>
        <v>1508.68499383</v>
      </c>
      <c r="P55" s="11">
        <f>IF(SUMPRODUCT((Inputs!$B$4:$B$200=$B55)*ISNUMBER(INDEX(Inputs!$D$4:$AG$200,0,MATCH(P$2,Inputs!$D$2:$AG$2,0))))=0,"",SUMIFS(INDEX(Inputs!$D$4:$AG$200,0,MATCH(P$2,Inputs!$D$2:$AG$2,0)),Inputs!$B$4:$B$200,$B55)/1000)</f>
        <v>1568.456</v>
      </c>
      <c r="Q55" s="11">
        <f>IF(SUMPRODUCT((Inputs!$B$4:$B$200=$B55)*ISNUMBER(INDEX(Inputs!$D$4:$AG$200,0,MATCH(Q$2,Inputs!$D$2:$AG$2,0))))=0,"",SUMIFS(INDEX(Inputs!$D$4:$AG$200,0,MATCH(Q$2,Inputs!$D$2:$AG$2,0)),Inputs!$B$4:$B$200,$B55)/1000)</f>
        <v>1342.034</v>
      </c>
      <c r="R55" s="12">
        <f>IF(COUNT(N55:Q55)=4,SUM(N55:Q55),"")</f>
        <v>6067.472</v>
      </c>
      <c r="S55" s="11">
        <f>IF(SUMPRODUCT((Inputs!$B$4:$B$200=$B55)*ISNUMBER(INDEX(Inputs!$D$4:$AG$200,0,MATCH(S$2,Inputs!$D$2:$AG$2,0))))=0,"",SUMIFS(INDEX(Inputs!$D$4:$AG$200,0,MATCH(S$2,Inputs!$D$2:$AG$2,0)),Inputs!$B$4:$B$200,$B55)/1000)</f>
        <v>1784.94251437</v>
      </c>
      <c r="T55" s="11">
        <f>IF(SUMPRODUCT((Inputs!$B$4:$B$200=$B55)*ISNUMBER(INDEX(Inputs!$D$4:$AG$200,0,MATCH(T$2,Inputs!$D$2:$AG$2,0))))=0,"",SUMIFS(INDEX(Inputs!$D$4:$AG$200,0,MATCH(T$2,Inputs!$D$2:$AG$2,0)),Inputs!$B$4:$B$200,$B55)/1000)</f>
        <v>2066.065037</v>
      </c>
      <c r="U55" s="11">
        <f>IF(SUMPRODUCT((Inputs!$B$4:$B$200=$B55)*ISNUMBER(INDEX(Inputs!$D$4:$AG$200,0,MATCH(U$2,Inputs!$D$2:$AG$2,0))))=0,"",SUMIFS(INDEX(Inputs!$D$4:$AG$200,0,MATCH(U$2,Inputs!$D$2:$AG$2,0)),Inputs!$B$4:$B$200,$B55)/1000)</f>
        <v>2264.61723902</v>
      </c>
      <c r="V55" s="11">
        <f>IF(SUMPRODUCT((Inputs!$B$4:$B$200=$B55)*ISNUMBER(INDEX(Inputs!$D$4:$AG$200,0,MATCH(V$2,Inputs!$D$2:$AG$2,0))))=0,"",SUMIFS(INDEX(Inputs!$D$4:$AG$200,0,MATCH(V$2,Inputs!$D$2:$AG$2,0)),Inputs!$B$4:$B$200,$B55)/1000)</f>
        <v>1647.8227367</v>
      </c>
      <c r="W55" s="12">
        <f>IF(COUNT(S55:V55)=4,SUM(S55:V55),"")</f>
        <v>7763.44752709</v>
      </c>
      <c r="X55" s="11">
        <f>IF(SUMPRODUCT((Inputs!$B$4:$B$200=$B55)*ISNUMBER(INDEX(Inputs!$D$4:$AG$200,0,MATCH(X$2,Inputs!$D$2:$AG$2,0))))=0,"",SUMIFS(INDEX(Inputs!$D$4:$AG$200,0,MATCH(X$2,Inputs!$D$2:$AG$2,0)),Inputs!$B$4:$B$200,$B55)/1000)</f>
        <v>2034.87795962</v>
      </c>
      <c r="Y55" s="11">
        <f>IF(SUMPRODUCT((Inputs!$B$4:$B$200=$B55)*ISNUMBER(INDEX(Inputs!$D$4:$AG$200,0,MATCH(Y$2,Inputs!$D$2:$AG$2,0))))=0,"",SUMIFS(INDEX(Inputs!$D$4:$AG$200,0,MATCH(Y$2,Inputs!$D$2:$AG$2,0)),Inputs!$B$4:$B$200,$B55)/1000)</f>
        <v>2029.69801446</v>
      </c>
      <c r="Z55" s="11">
        <f>IF(SUMPRODUCT((Inputs!$B$4:$B$200=$B55)*ISNUMBER(INDEX(Inputs!$D$4:$AG$200,0,MATCH(Z$2,Inputs!$D$2:$AG$2,0))))=0,"",SUMIFS(INDEX(Inputs!$D$4:$AG$200,0,MATCH(Z$2,Inputs!$D$2:$AG$2,0)),Inputs!$B$4:$B$200,$B55)/1000)</f>
        <v>2103.34436349</v>
      </c>
      <c r="AA55" s="11">
        <f>IF(SUMPRODUCT((Inputs!$B$4:$B$200=$B55)*ISNUMBER(INDEX(Inputs!$D$4:$AG$200,0,MATCH(AA$2,Inputs!$D$2:$AG$2,0))))=0,"",SUMIFS(INDEX(Inputs!$D$4:$AG$200,0,MATCH(AA$2,Inputs!$D$2:$AG$2,0)),Inputs!$B$4:$B$200,$B55)/1000)</f>
        <v>2016.69592475</v>
      </c>
      <c r="AB55" s="12">
        <f>IF(COUNT(X55:AA55)=4,SUM(X55:AA55),"")</f>
        <v>8184.61626232</v>
      </c>
      <c r="AC55" s="11">
        <f>IF(SUMPRODUCT((Inputs!$B$4:$B$200=$B55)*ISNUMBER(INDEX(Inputs!$D$4:$AG$200,0,MATCH(AC$2,Inputs!$D$2:$AG$2,0))))=0,"",SUMIFS(INDEX(Inputs!$D$4:$AG$200,0,MATCH(AC$2,Inputs!$D$2:$AG$2,0)),Inputs!$B$4:$B$200,$B55)/1000)</f>
        <v>1996.47860215</v>
      </c>
      <c r="AD55" s="11">
        <f>IF(SUMPRODUCT((Inputs!$B$4:$B$200=$B55)*ISNUMBER(INDEX(Inputs!$D$4:$AG$200,0,MATCH(AD$2,Inputs!$D$2:$AG$2,0))))=0,"",SUMIFS(INDEX(Inputs!$D$4:$AG$200,0,MATCH(AD$2,Inputs!$D$2:$AG$2,0)),Inputs!$B$4:$B$200,$B55)/1000)</f>
        <v>1671.4949194</v>
      </c>
      <c r="AE55" s="11" t="str">
        <f>IF(SUMPRODUCT((Inputs!$B$4:$B$200=$B55)*ISNUMBER(INDEX(Inputs!$D$4:$AG$200,0,MATCH(AE$2,Inputs!$D$2:$AG$2,0))))=0,"",SUMIFS(INDEX(Inputs!$D$4:$AG$200,0,MATCH(AE$2,Inputs!$D$2:$AG$2,0)),Inputs!$B$4:$B$200,$B55)/1000)</f>
        <v/>
      </c>
      <c r="AF55" s="11" t="str">
        <f>IF(SUMPRODUCT((Inputs!$B$4:$B$200=$B55)*ISNUMBER(INDEX(Inputs!$D$4:$AG$200,0,MATCH(AF$2,Inputs!$D$2:$AG$2,0))))=0,"",SUMIFS(INDEX(Inputs!$D$4:$AG$200,0,MATCH(AF$2,Inputs!$D$2:$AG$2,0)),Inputs!$B$4:$B$200,$B55)/1000)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Receita liquida - JSL (aba JSL l.23)</t>
        </is>
      </c>
      <c r="D56" s="11">
        <f>IF(SUMPRODUCT((Inputs!$B$4:$B$200=$B56)*ISNUMBER(INDEX(Inputs!$D$4:$AG$200,0,MATCH(D$2,Inputs!$D$2:$AG$2,0))))=0,"",SUMIFS(INDEX(Inputs!$D$4:$AG$200,0,MATCH(D$2,Inputs!$D$2:$AG$2,0)),Inputs!$B$4:$B$200,$B56)/1000)</f>
        <v>868.17127987</v>
      </c>
      <c r="E56" s="11">
        <f>IF(SUMPRODUCT((Inputs!$B$4:$B$200=$B56)*ISNUMBER(INDEX(Inputs!$D$4:$AG$200,0,MATCH(E$2,Inputs!$D$2:$AG$2,0))))=0,"",SUMIFS(INDEX(Inputs!$D$4:$AG$200,0,MATCH(E$2,Inputs!$D$2:$AG$2,0)),Inputs!$B$4:$B$200,$B56)/1000)</f>
        <v>922.366763344</v>
      </c>
      <c r="F56" s="11">
        <f>IF(SUMPRODUCT((Inputs!$B$4:$B$200=$B56)*ISNUMBER(INDEX(Inputs!$D$4:$AG$200,0,MATCH(F$2,Inputs!$D$2:$AG$2,0))))=0,"",SUMIFS(INDEX(Inputs!$D$4:$AG$200,0,MATCH(F$2,Inputs!$D$2:$AG$2,0)),Inputs!$B$4:$B$200,$B56)/1000)</f>
        <v>1177.767629515</v>
      </c>
      <c r="G56" s="11">
        <f>IF(SUMPRODUCT((Inputs!$B$4:$B$200=$B56)*ISNUMBER(INDEX(Inputs!$D$4:$AG$200,0,MATCH(G$2,Inputs!$D$2:$AG$2,0))))=0,"",SUMIFS(INDEX(Inputs!$D$4:$AG$200,0,MATCH(G$2,Inputs!$D$2:$AG$2,0)),Inputs!$B$4:$B$200,$B56)/1000)</f>
        <v>1327.763050508</v>
      </c>
      <c r="H56" s="12">
        <f>IF(COUNT(D56:G56)=4,SUM(D56:G56),"")</f>
        <v>4296.068723237</v>
      </c>
      <c r="I56" s="11">
        <f>IF(SUMPRODUCT((Inputs!$B$4:$B$200=$B56)*ISNUMBER(INDEX(Inputs!$D$4:$AG$200,0,MATCH(I$2,Inputs!$D$2:$AG$2,0))))=0,"",SUMIFS(INDEX(Inputs!$D$4:$AG$200,0,MATCH(I$2,Inputs!$D$2:$AG$2,0)),Inputs!$B$4:$B$200,$B56)/1000)</f>
        <v>1296.459404967</v>
      </c>
      <c r="J56" s="11">
        <f>IF(SUMPRODUCT((Inputs!$B$4:$B$200=$B56)*ISNUMBER(INDEX(Inputs!$D$4:$AG$200,0,MATCH(J$2,Inputs!$D$2:$AG$2,0))))=0,"",SUMIFS(INDEX(Inputs!$D$4:$AG$200,0,MATCH(J$2,Inputs!$D$2:$AG$2,0)),Inputs!$B$4:$B$200,$B56)/1000)</f>
        <v>1438.682634673</v>
      </c>
      <c r="K56" s="11">
        <f>IF(SUMPRODUCT((Inputs!$B$4:$B$200=$B56)*ISNUMBER(INDEX(Inputs!$D$4:$AG$200,0,MATCH(K$2,Inputs!$D$2:$AG$2,0))))=0,"",SUMIFS(INDEX(Inputs!$D$4:$AG$200,0,MATCH(K$2,Inputs!$D$2:$AG$2,0)),Inputs!$B$4:$B$200,$B56)/1000)</f>
        <v>1624.81807872</v>
      </c>
      <c r="L56" s="11">
        <f>IF(SUMPRODUCT((Inputs!$B$4:$B$200=$B56)*ISNUMBER(INDEX(Inputs!$D$4:$AG$200,0,MATCH(L$2,Inputs!$D$2:$AG$2,0))))=0,"",SUMIFS(INDEX(Inputs!$D$4:$AG$200,0,MATCH(L$2,Inputs!$D$2:$AG$2,0)),Inputs!$B$4:$B$200,$B56)/1000)</f>
        <v>1662.445197142</v>
      </c>
      <c r="M56" s="12">
        <f>IF(COUNT(I56:L56)=4,SUM(I56:L56),"")</f>
        <v>6022.405315502</v>
      </c>
      <c r="N56" s="11">
        <f>IF(SUMPRODUCT((Inputs!$B$4:$B$200=$B56)*ISNUMBER(INDEX(Inputs!$D$4:$AG$200,0,MATCH(N$2,Inputs!$D$2:$AG$2,0))))=0,"",SUMIFS(INDEX(Inputs!$D$4:$AG$200,0,MATCH(N$2,Inputs!$D$2:$AG$2,0)),Inputs!$B$4:$B$200,$B56)/1000)</f>
        <v>1563.577828957</v>
      </c>
      <c r="O56" s="11">
        <f>IF(SUMPRODUCT((Inputs!$B$4:$B$200=$B56)*ISNUMBER(INDEX(Inputs!$D$4:$AG$200,0,MATCH(O$2,Inputs!$D$2:$AG$2,0))))=0,"",SUMIFS(INDEX(Inputs!$D$4:$AG$200,0,MATCH(O$2,Inputs!$D$2:$AG$2,0)),Inputs!$B$4:$B$200,$B56)/1000)</f>
        <v>1839.575226492</v>
      </c>
      <c r="P56" s="11">
        <f>IF(SUMPRODUCT((Inputs!$B$4:$B$200=$B56)*ISNUMBER(INDEX(Inputs!$D$4:$AG$200,0,MATCH(P$2,Inputs!$D$2:$AG$2,0))))=0,"",SUMIFS(INDEX(Inputs!$D$4:$AG$200,0,MATCH(P$2,Inputs!$D$2:$AG$2,0)),Inputs!$B$4:$B$200,$B56)/1000)</f>
        <v>2010.125053543</v>
      </c>
      <c r="Q56" s="11">
        <f>IF(SUMPRODUCT((Inputs!$B$4:$B$200=$B56)*ISNUMBER(INDEX(Inputs!$D$4:$AG$200,0,MATCH(Q$2,Inputs!$D$2:$AG$2,0))))=0,"",SUMIFS(INDEX(Inputs!$D$4:$AG$200,0,MATCH(Q$2,Inputs!$D$2:$AG$2,0)),Inputs!$B$4:$B$200,$B56)/1000)</f>
        <v>2161.366092574</v>
      </c>
      <c r="R56" s="12">
        <f>IF(COUNT(N56:Q56)=4,SUM(N56:Q56),"")</f>
        <v>7574.644201566</v>
      </c>
      <c r="S56" s="11">
        <f>IF(SUMPRODUCT((Inputs!$B$4:$B$200=$B56)*ISNUMBER(INDEX(Inputs!$D$4:$AG$200,0,MATCH(S$2,Inputs!$D$2:$AG$2,0))))=0,"",SUMIFS(INDEX(Inputs!$D$4:$AG$200,0,MATCH(S$2,Inputs!$D$2:$AG$2,0)),Inputs!$B$4:$B$200,$B56)/1000)</f>
        <v>2070.340507097</v>
      </c>
      <c r="T56" s="11">
        <f>IF(SUMPRODUCT((Inputs!$B$4:$B$200=$B56)*ISNUMBER(INDEX(Inputs!$D$4:$AG$200,0,MATCH(T$2,Inputs!$D$2:$AG$2,0))))=0,"",SUMIFS(INDEX(Inputs!$D$4:$AG$200,0,MATCH(T$2,Inputs!$D$2:$AG$2,0)),Inputs!$B$4:$B$200,$B56)/1000)</f>
        <v>2142.594740855</v>
      </c>
      <c r="U56" s="11">
        <f>IF(SUMPRODUCT((Inputs!$B$4:$B$200=$B56)*ISNUMBER(INDEX(Inputs!$D$4:$AG$200,0,MATCH(U$2,Inputs!$D$2:$AG$2,0))))=0,"",SUMIFS(INDEX(Inputs!$D$4:$AG$200,0,MATCH(U$2,Inputs!$D$2:$AG$2,0)),Inputs!$B$4:$B$200,$B56)/1000)</f>
        <v>2352.356008492</v>
      </c>
      <c r="V56" s="11">
        <f>IF(SUMPRODUCT((Inputs!$B$4:$B$200=$B56)*ISNUMBER(INDEX(Inputs!$D$4:$AG$200,0,MATCH(V$2,Inputs!$D$2:$AG$2,0))))=0,"",SUMIFS(INDEX(Inputs!$D$4:$AG$200,0,MATCH(V$2,Inputs!$D$2:$AG$2,0)),Inputs!$B$4:$B$200,$B56)/1000)</f>
        <v>2490.966844766</v>
      </c>
      <c r="W56" s="12">
        <f>IF(COUNT(S56:V56)=4,SUM(S56:V56),"")</f>
        <v>9056.25810121</v>
      </c>
      <c r="X56" s="11">
        <f>IF(SUMPRODUCT((Inputs!$B$4:$B$200=$B56)*ISNUMBER(INDEX(Inputs!$D$4:$AG$200,0,MATCH(X$2,Inputs!$D$2:$AG$2,0))))=0,"",SUMIFS(INDEX(Inputs!$D$4:$AG$200,0,MATCH(X$2,Inputs!$D$2:$AG$2,0)),Inputs!$B$4:$B$200,$B56)/1000)</f>
        <v>2319.93439908</v>
      </c>
      <c r="Y56" s="11">
        <f>IF(SUMPRODUCT((Inputs!$B$4:$B$200=$B56)*ISNUMBER(INDEX(Inputs!$D$4:$AG$200,0,MATCH(Y$2,Inputs!$D$2:$AG$2,0))))=0,"",SUMIFS(INDEX(Inputs!$D$4:$AG$200,0,MATCH(Y$2,Inputs!$D$2:$AG$2,0)),Inputs!$B$4:$B$200,$B56)/1000)</f>
        <v>2381.75857342</v>
      </c>
      <c r="Z56" s="11">
        <f>IF(SUMPRODUCT((Inputs!$B$4:$B$200=$B56)*ISNUMBER(INDEX(Inputs!$D$4:$AG$200,0,MATCH(Z$2,Inputs!$D$2:$AG$2,0))))=0,"",SUMIFS(INDEX(Inputs!$D$4:$AG$200,0,MATCH(Z$2,Inputs!$D$2:$AG$2,0)),Inputs!$B$4:$B$200,$B56)/1000)</f>
        <v>2484.89322322</v>
      </c>
      <c r="AA56" s="11">
        <f>IF(SUMPRODUCT((Inputs!$B$4:$B$200=$B56)*ISNUMBER(INDEX(Inputs!$D$4:$AG$200,0,MATCH(AA$2,Inputs!$D$2:$AG$2,0))))=0,"",SUMIFS(INDEX(Inputs!$D$4:$AG$200,0,MATCH(AA$2,Inputs!$D$2:$AG$2,0)),Inputs!$B$4:$B$200,$B56)/1000)</f>
        <v>2454.02204209</v>
      </c>
      <c r="AB56" s="12">
        <f>IF(COUNT(X56:AA56)=4,SUM(X56:AA56),"")</f>
        <v>9640.60823781</v>
      </c>
      <c r="AC56" s="11">
        <f>IF(SUMPRODUCT((Inputs!$B$4:$B$200=$B56)*ISNUMBER(INDEX(Inputs!$D$4:$AG$200,0,MATCH(AC$2,Inputs!$D$2:$AG$2,0))))=0,"",SUMIFS(INDEX(Inputs!$D$4:$AG$200,0,MATCH(AC$2,Inputs!$D$2:$AG$2,0)),Inputs!$B$4:$B$200,$B56)/1000)</f>
        <v>2372.71151418</v>
      </c>
      <c r="AD56" s="11">
        <f>IF(SUMPRODUCT((Inputs!$B$4:$B$200=$B56)*ISNUMBER(INDEX(Inputs!$D$4:$AG$200,0,MATCH(AD$2,Inputs!$D$2:$AG$2,0))))=0,"",SUMIFS(INDEX(Inputs!$D$4:$AG$200,0,MATCH(AD$2,Inputs!$D$2:$AG$2,0)),Inputs!$B$4:$B$200,$B56)/1000)</f>
        <v>2498.85403582</v>
      </c>
      <c r="AE56" s="11" t="str">
        <f>IF(SUMPRODUCT((Inputs!$B$4:$B$200=$B56)*ISNUMBER(INDEX(Inputs!$D$4:$AG$200,0,MATCH(AE$2,Inputs!$D$2:$AG$2,0))))=0,"",SUMIFS(INDEX(Inputs!$D$4:$AG$200,0,MATCH(AE$2,Inputs!$D$2:$AG$2,0)),Inputs!$B$4:$B$200,$B56)/1000)</f>
        <v/>
      </c>
      <c r="AF56" s="11" t="str">
        <f>IF(SUMPRODUCT((Inputs!$B$4:$B$200=$B56)*ISNUMBER(INDEX(Inputs!$D$4:$AG$200,0,MATCH(AF$2,Inputs!$D$2:$AG$2,0))))=0,"",SUMIFS(INDEX(Inputs!$D$4:$AG$200,0,MATCH(AF$2,Inputs!$D$2:$AG$2,0)),Inputs!$B$4:$B$200,$B56)/1000)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Receita liquida de servicos - JSL (aba JSL l.24)</t>
        </is>
      </c>
      <c r="D57" s="11">
        <f>IF(SUMPRODUCT((Inputs!$B$4:$B$200=$B57)*ISNUMBER(INDEX(Inputs!$D$4:$AG$200,0,MATCH(D$2,Inputs!$D$2:$AG$2,0))))=0,"",SUMIFS(INDEX(Inputs!$D$4:$AG$200,0,MATCH(D$2,Inputs!$D$2:$AG$2,0)),Inputs!$B$4:$B$200,$B57)/1000)</f>
        <v>853.24252604</v>
      </c>
      <c r="E57" s="11">
        <f>IF(SUMPRODUCT((Inputs!$B$4:$B$200=$B57)*ISNUMBER(INDEX(Inputs!$D$4:$AG$200,0,MATCH(E$2,Inputs!$D$2:$AG$2,0))))=0,"",SUMIFS(INDEX(Inputs!$D$4:$AG$200,0,MATCH(E$2,Inputs!$D$2:$AG$2,0)),Inputs!$B$4:$B$200,$B57)/1000)</f>
        <v>902.462956154</v>
      </c>
      <c r="F57" s="11">
        <f>IF(SUMPRODUCT((Inputs!$B$4:$B$200=$B57)*ISNUMBER(INDEX(Inputs!$D$4:$AG$200,0,MATCH(F$2,Inputs!$D$2:$AG$2,0))))=0,"",SUMIFS(INDEX(Inputs!$D$4:$AG$200,0,MATCH(F$2,Inputs!$D$2:$AG$2,0)),Inputs!$B$4:$B$200,$B57)/1000)</f>
        <v>1150.147687295</v>
      </c>
      <c r="G57" s="11">
        <f>IF(SUMPRODUCT((Inputs!$B$4:$B$200=$B57)*ISNUMBER(INDEX(Inputs!$D$4:$AG$200,0,MATCH(G$2,Inputs!$D$2:$AG$2,0))))=0,"",SUMIFS(INDEX(Inputs!$D$4:$AG$200,0,MATCH(G$2,Inputs!$D$2:$AG$2,0)),Inputs!$B$4:$B$200,$B57)/1000)</f>
        <v>1306.865315978</v>
      </c>
      <c r="H57" s="12">
        <f>IF(COUNT(D57:G57)=4,SUM(D57:G57),"")</f>
        <v>4212.718485467</v>
      </c>
      <c r="I57" s="11">
        <f>IF(SUMPRODUCT((Inputs!$B$4:$B$200=$B57)*ISNUMBER(INDEX(Inputs!$D$4:$AG$200,0,MATCH(I$2,Inputs!$D$2:$AG$2,0))))=0,"",SUMIFS(INDEX(Inputs!$D$4:$AG$200,0,MATCH(I$2,Inputs!$D$2:$AG$2,0)),Inputs!$B$4:$B$200,$B57)/1000)</f>
        <v>1267.613594237</v>
      </c>
      <c r="J57" s="11">
        <f>IF(SUMPRODUCT((Inputs!$B$4:$B$200=$B57)*ISNUMBER(INDEX(Inputs!$D$4:$AG$200,0,MATCH(J$2,Inputs!$D$2:$AG$2,0))))=0,"",SUMIFS(INDEX(Inputs!$D$4:$AG$200,0,MATCH(J$2,Inputs!$D$2:$AG$2,0)),Inputs!$B$4:$B$200,$B57)/1000)</f>
        <v>1372.718656313</v>
      </c>
      <c r="K57" s="11">
        <f>IF(SUMPRODUCT((Inputs!$B$4:$B$200=$B57)*ISNUMBER(INDEX(Inputs!$D$4:$AG$200,0,MATCH(K$2,Inputs!$D$2:$AG$2,0))))=0,"",SUMIFS(INDEX(Inputs!$D$4:$AG$200,0,MATCH(K$2,Inputs!$D$2:$AG$2,0)),Inputs!$B$4:$B$200,$B57)/1000)</f>
        <v>1570.79227938</v>
      </c>
      <c r="L57" s="11">
        <f>IF(SUMPRODUCT((Inputs!$B$4:$B$200=$B57)*ISNUMBER(INDEX(Inputs!$D$4:$AG$200,0,MATCH(L$2,Inputs!$D$2:$AG$2,0))))=0,"",SUMIFS(INDEX(Inputs!$D$4:$AG$200,0,MATCH(L$2,Inputs!$D$2:$AG$2,0)),Inputs!$B$4:$B$200,$B57)/1000)</f>
        <v>1607.670524482</v>
      </c>
      <c r="M57" s="12">
        <f>IF(COUNT(I57:L57)=4,SUM(I57:L57),"")</f>
        <v>5818.795054412</v>
      </c>
      <c r="N57" s="11">
        <f>IF(SUMPRODUCT((Inputs!$B$4:$B$200=$B57)*ISNUMBER(INDEX(Inputs!$D$4:$AG$200,0,MATCH(N$2,Inputs!$D$2:$AG$2,0))))=0,"",SUMIFS(INDEX(Inputs!$D$4:$AG$200,0,MATCH(N$2,Inputs!$D$2:$AG$2,0)),Inputs!$B$4:$B$200,$B57)/1000)</f>
        <v>1505.456944937</v>
      </c>
      <c r="O57" s="11">
        <f>IF(SUMPRODUCT((Inputs!$B$4:$B$200=$B57)*ISNUMBER(INDEX(Inputs!$D$4:$AG$200,0,MATCH(O$2,Inputs!$D$2:$AG$2,0))))=0,"",SUMIFS(INDEX(Inputs!$D$4:$AG$200,0,MATCH(O$2,Inputs!$D$2:$AG$2,0)),Inputs!$B$4:$B$200,$B57)/1000)</f>
        <v>1779.168148592</v>
      </c>
      <c r="P57" s="11">
        <f>IF(SUMPRODUCT((Inputs!$B$4:$B$200=$B57)*ISNUMBER(INDEX(Inputs!$D$4:$AG$200,0,MATCH(P$2,Inputs!$D$2:$AG$2,0))))=0,"",SUMIFS(INDEX(Inputs!$D$4:$AG$200,0,MATCH(P$2,Inputs!$D$2:$AG$2,0)),Inputs!$B$4:$B$200,$B57)/1000)</f>
        <v>1942.875783983</v>
      </c>
      <c r="Q57" s="11">
        <f>IF(SUMPRODUCT((Inputs!$B$4:$B$200=$B57)*ISNUMBER(INDEX(Inputs!$D$4:$AG$200,0,MATCH(Q$2,Inputs!$D$2:$AG$2,0))))=0,"",SUMIFS(INDEX(Inputs!$D$4:$AG$200,0,MATCH(Q$2,Inputs!$D$2:$AG$2,0)),Inputs!$B$4:$B$200,$B57)/1000)</f>
        <v>2071.473266424</v>
      </c>
      <c r="R57" s="12">
        <f>IF(COUNT(N57:Q57)=4,SUM(N57:Q57),"")</f>
        <v>7298.974143936</v>
      </c>
      <c r="S57" s="11">
        <f>IF(SUMPRODUCT((Inputs!$B$4:$B$200=$B57)*ISNUMBER(INDEX(Inputs!$D$4:$AG$200,0,MATCH(S$2,Inputs!$D$2:$AG$2,0))))=0,"",SUMIFS(INDEX(Inputs!$D$4:$AG$200,0,MATCH(S$2,Inputs!$D$2:$AG$2,0)),Inputs!$B$4:$B$200,$B57)/1000)</f>
        <v>1993.449825677</v>
      </c>
      <c r="T57" s="11">
        <f>IF(SUMPRODUCT((Inputs!$B$4:$B$200=$B57)*ISNUMBER(INDEX(Inputs!$D$4:$AG$200,0,MATCH(T$2,Inputs!$D$2:$AG$2,0))))=0,"",SUMIFS(INDEX(Inputs!$D$4:$AG$200,0,MATCH(T$2,Inputs!$D$2:$AG$2,0)),Inputs!$B$4:$B$200,$B57)/1000)</f>
        <v>2073.172417475</v>
      </c>
      <c r="U57" s="11">
        <f>IF(SUMPRODUCT((Inputs!$B$4:$B$200=$B57)*ISNUMBER(INDEX(Inputs!$D$4:$AG$200,0,MATCH(U$2,Inputs!$D$2:$AG$2,0))))=0,"",SUMIFS(INDEX(Inputs!$D$4:$AG$200,0,MATCH(U$2,Inputs!$D$2:$AG$2,0)),Inputs!$B$4:$B$200,$B57)/1000)</f>
        <v>2284.423721182</v>
      </c>
      <c r="V57" s="11">
        <f>IF(SUMPRODUCT((Inputs!$B$4:$B$200=$B57)*ISNUMBER(INDEX(Inputs!$D$4:$AG$200,0,MATCH(V$2,Inputs!$D$2:$AG$2,0))))=0,"",SUMIFS(INDEX(Inputs!$D$4:$AG$200,0,MATCH(V$2,Inputs!$D$2:$AG$2,0)),Inputs!$B$4:$B$200,$B57)/1000)</f>
        <v>2411.338751076</v>
      </c>
      <c r="W57" s="12">
        <f>IF(COUNT(S57:V57)=4,SUM(S57:V57),"")</f>
        <v>8762.38471541</v>
      </c>
      <c r="X57" s="11">
        <f>IF(SUMPRODUCT((Inputs!$B$4:$B$200=$B57)*ISNUMBER(INDEX(Inputs!$D$4:$AG$200,0,MATCH(X$2,Inputs!$D$2:$AG$2,0))))=0,"",SUMIFS(INDEX(Inputs!$D$4:$AG$200,0,MATCH(X$2,Inputs!$D$2:$AG$2,0)),Inputs!$B$4:$B$200,$B57)/1000)</f>
        <v>2229.45542087</v>
      </c>
      <c r="Y57" s="11">
        <f>IF(SUMPRODUCT((Inputs!$B$4:$B$200=$B57)*ISNUMBER(INDEX(Inputs!$D$4:$AG$200,0,MATCH(Y$2,Inputs!$D$2:$AG$2,0))))=0,"",SUMIFS(INDEX(Inputs!$D$4:$AG$200,0,MATCH(Y$2,Inputs!$D$2:$AG$2,0)),Inputs!$B$4:$B$200,$B57)/1000)</f>
        <v>2274.31185248</v>
      </c>
      <c r="Z57" s="11">
        <f>IF(SUMPRODUCT((Inputs!$B$4:$B$200=$B57)*ISNUMBER(INDEX(Inputs!$D$4:$AG$200,0,MATCH(Z$2,Inputs!$D$2:$AG$2,0))))=0,"",SUMIFS(INDEX(Inputs!$D$4:$AG$200,0,MATCH(Z$2,Inputs!$D$2:$AG$2,0)),Inputs!$B$4:$B$200,$B57)/1000)</f>
        <v>2369.64704483</v>
      </c>
      <c r="AA57" s="11">
        <f>IF(SUMPRODUCT((Inputs!$B$4:$B$200=$B57)*ISNUMBER(INDEX(Inputs!$D$4:$AG$200,0,MATCH(AA$2,Inputs!$D$2:$AG$2,0))))=0,"",SUMIFS(INDEX(Inputs!$D$4:$AG$200,0,MATCH(AA$2,Inputs!$D$2:$AG$2,0)),Inputs!$B$4:$B$200,$B57)/1000)</f>
        <v>2354.72742575</v>
      </c>
      <c r="AB57" s="12">
        <f>IF(COUNT(X57:AA57)=4,SUM(X57:AA57),"")</f>
        <v>9228.14174393</v>
      </c>
      <c r="AC57" s="11">
        <f>IF(SUMPRODUCT((Inputs!$B$4:$B$200=$B57)*ISNUMBER(INDEX(Inputs!$D$4:$AG$200,0,MATCH(AC$2,Inputs!$D$2:$AG$2,0))))=0,"",SUMIFS(INDEX(Inputs!$D$4:$AG$200,0,MATCH(AC$2,Inputs!$D$2:$AG$2,0)),Inputs!$B$4:$B$200,$B57)/1000)</f>
        <v>2272.76446455</v>
      </c>
      <c r="AD57" s="11">
        <f>IF(SUMPRODUCT((Inputs!$B$4:$B$200=$B57)*ISNUMBER(INDEX(Inputs!$D$4:$AG$200,0,MATCH(AD$2,Inputs!$D$2:$AG$2,0))))=0,"",SUMIFS(INDEX(Inputs!$D$4:$AG$200,0,MATCH(AD$2,Inputs!$D$2:$AG$2,0)),Inputs!$B$4:$B$200,$B57)/1000)</f>
        <v>2409.50395348</v>
      </c>
      <c r="AE57" s="11" t="str">
        <f>IF(SUMPRODUCT((Inputs!$B$4:$B$200=$B57)*ISNUMBER(INDEX(Inputs!$D$4:$AG$200,0,MATCH(AE$2,Inputs!$D$2:$AG$2,0))))=0,"",SUMIFS(INDEX(Inputs!$D$4:$AG$200,0,MATCH(AE$2,Inputs!$D$2:$AG$2,0)),Inputs!$B$4:$B$200,$B57)/1000)</f>
        <v/>
      </c>
      <c r="AF57" s="11" t="str">
        <f>IF(SUMPRODUCT((Inputs!$B$4:$B$200=$B57)*ISNUMBER(INDEX(Inputs!$D$4:$AG$200,0,MATCH(AF$2,Inputs!$D$2:$AG$2,0))))=0,"",SUMIFS(INDEX(Inputs!$D$4:$AG$200,0,MATCH(AF$2,Inputs!$D$2:$AG$2,0)),Inputs!$B$4:$B$200,$B57)/1000)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Receita liquida - Movida (aba Movida l.15)</t>
        </is>
      </c>
      <c r="D58" s="11">
        <f>IF(SUMPRODUCT((Inputs!$B$4:$B$200=$B58)*ISNUMBER(INDEX(Inputs!$D$4:$AG$200,0,MATCH(D$2,Inputs!$D$2:$AG$2,0))))=0,"",SUMIFS(INDEX(Inputs!$D$4:$AG$200,0,MATCH(D$2,Inputs!$D$2:$AG$2,0)),Inputs!$B$4:$B$200,$B58)/1000)</f>
        <v>804.889</v>
      </c>
      <c r="E58" s="11">
        <f>IF(SUMPRODUCT((Inputs!$B$4:$B$200=$B58)*ISNUMBER(INDEX(Inputs!$D$4:$AG$200,0,MATCH(E$2,Inputs!$D$2:$AG$2,0))))=0,"",SUMIFS(INDEX(Inputs!$D$4:$AG$200,0,MATCH(E$2,Inputs!$D$2:$AG$2,0)),Inputs!$B$4:$B$200,$B58)/1000)</f>
        <v>1211.49877851</v>
      </c>
      <c r="F58" s="11">
        <f>IF(SUMPRODUCT((Inputs!$B$4:$B$200=$B58)*ISNUMBER(INDEX(Inputs!$D$4:$AG$200,0,MATCH(F$2,Inputs!$D$2:$AG$2,0))))=0,"",SUMIFS(INDEX(Inputs!$D$4:$AG$200,0,MATCH(F$2,Inputs!$D$2:$AG$2,0)),Inputs!$B$4:$B$200,$B58)/1000)</f>
        <v>1575.241</v>
      </c>
      <c r="G58" s="11">
        <f>IF(SUMPRODUCT((Inputs!$B$4:$B$200=$B58)*ISNUMBER(INDEX(Inputs!$D$4:$AG$200,0,MATCH(G$2,Inputs!$D$2:$AG$2,0))))=0,"",SUMIFS(INDEX(Inputs!$D$4:$AG$200,0,MATCH(G$2,Inputs!$D$2:$AG$2,0)),Inputs!$B$4:$B$200,$B58)/1000)</f>
        <v>1740.993754074</v>
      </c>
      <c r="H58" s="12">
        <f>IF(COUNT(D58:G58)=4,SUM(D58:G58),"")</f>
        <v>5332.622532584</v>
      </c>
      <c r="I58" s="11">
        <f>IF(SUMPRODUCT((Inputs!$B$4:$B$200=$B58)*ISNUMBER(INDEX(Inputs!$D$4:$AG$200,0,MATCH(I$2,Inputs!$D$2:$AG$2,0))))=0,"",SUMIFS(INDEX(Inputs!$D$4:$AG$200,0,MATCH(I$2,Inputs!$D$2:$AG$2,0)),Inputs!$B$4:$B$200,$B58)/1000)</f>
        <v>1905.657076952</v>
      </c>
      <c r="J58" s="11">
        <f>IF(SUMPRODUCT((Inputs!$B$4:$B$200=$B58)*ISNUMBER(INDEX(Inputs!$D$4:$AG$200,0,MATCH(J$2,Inputs!$D$2:$AG$2,0))))=0,"",SUMIFS(INDEX(Inputs!$D$4:$AG$200,0,MATCH(J$2,Inputs!$D$2:$AG$2,0)),Inputs!$B$4:$B$200,$B58)/1000)</f>
        <v>2230.99216766</v>
      </c>
      <c r="K58" s="11">
        <f>IF(SUMPRODUCT((Inputs!$B$4:$B$200=$B58)*ISNUMBER(INDEX(Inputs!$D$4:$AG$200,0,MATCH(K$2,Inputs!$D$2:$AG$2,0))))=0,"",SUMIFS(INDEX(Inputs!$D$4:$AG$200,0,MATCH(K$2,Inputs!$D$2:$AG$2,0)),Inputs!$B$4:$B$200,$B58)/1000)</f>
        <v>2536.864066479</v>
      </c>
      <c r="L58" s="11">
        <f>IF(SUMPRODUCT((Inputs!$B$4:$B$200=$B58)*ISNUMBER(INDEX(Inputs!$D$4:$AG$200,0,MATCH(L$2,Inputs!$D$2:$AG$2,0))))=0,"",SUMIFS(INDEX(Inputs!$D$4:$AG$200,0,MATCH(L$2,Inputs!$D$2:$AG$2,0)),Inputs!$B$4:$B$200,$B58)/1000)</f>
        <v>2626.632792704</v>
      </c>
      <c r="M58" s="12">
        <f>IF(COUNT(I58:L58)=4,SUM(I58:L58),"")</f>
        <v>9300.146103795</v>
      </c>
      <c r="N58" s="11">
        <f>IF(SUMPRODUCT((Inputs!$B$4:$B$200=$B58)*ISNUMBER(INDEX(Inputs!$D$4:$AG$200,0,MATCH(N$2,Inputs!$D$2:$AG$2,0))))=0,"",SUMIFS(INDEX(Inputs!$D$4:$AG$200,0,MATCH(N$2,Inputs!$D$2:$AG$2,0)),Inputs!$B$4:$B$200,$B58)/1000)</f>
        <v>2703.20625153</v>
      </c>
      <c r="O58" s="11">
        <f>IF(SUMPRODUCT((Inputs!$B$4:$B$200=$B58)*ISNUMBER(INDEX(Inputs!$D$4:$AG$200,0,MATCH(O$2,Inputs!$D$2:$AG$2,0))))=0,"",SUMIFS(INDEX(Inputs!$D$4:$AG$200,0,MATCH(O$2,Inputs!$D$2:$AG$2,0)),Inputs!$B$4:$B$200,$B58)/1000)</f>
        <v>2479.14429072</v>
      </c>
      <c r="P58" s="11">
        <f>IF(SUMPRODUCT((Inputs!$B$4:$B$200=$B58)*ISNUMBER(INDEX(Inputs!$D$4:$AG$200,0,MATCH(P$2,Inputs!$D$2:$AG$2,0))))=0,"",SUMIFS(INDEX(Inputs!$D$4:$AG$200,0,MATCH(P$2,Inputs!$D$2:$AG$2,0)),Inputs!$B$4:$B$200,$B58)/1000)</f>
        <v>2666.21994829</v>
      </c>
      <c r="Q58" s="11">
        <f>IF(SUMPRODUCT((Inputs!$B$4:$B$200=$B58)*ISNUMBER(INDEX(Inputs!$D$4:$AG$200,0,MATCH(Q$2,Inputs!$D$2:$AG$2,0))))=0,"",SUMIFS(INDEX(Inputs!$D$4:$AG$200,0,MATCH(Q$2,Inputs!$D$2:$AG$2,0)),Inputs!$B$4:$B$200,$B58)/1000)</f>
        <v>2493.44420164</v>
      </c>
      <c r="R58" s="12">
        <f>IF(COUNT(N58:Q58)=4,SUM(N58:Q58),"")</f>
        <v>10342.01469218</v>
      </c>
      <c r="S58" s="11">
        <f>IF(SUMPRODUCT((Inputs!$B$4:$B$200=$B58)*ISNUMBER(INDEX(Inputs!$D$4:$AG$200,0,MATCH(S$2,Inputs!$D$2:$AG$2,0))))=0,"",SUMIFS(INDEX(Inputs!$D$4:$AG$200,0,MATCH(S$2,Inputs!$D$2:$AG$2,0)),Inputs!$B$4:$B$200,$B58)/1000)</f>
        <v>3021.64586942</v>
      </c>
      <c r="T58" s="11">
        <f>IF(SUMPRODUCT((Inputs!$B$4:$B$200=$B58)*ISNUMBER(INDEX(Inputs!$D$4:$AG$200,0,MATCH(T$2,Inputs!$D$2:$AG$2,0))))=0,"",SUMIFS(INDEX(Inputs!$D$4:$AG$200,0,MATCH(T$2,Inputs!$D$2:$AG$2,0)),Inputs!$B$4:$B$200,$B58)/1000)</f>
        <v>3435.60355662</v>
      </c>
      <c r="U58" s="11">
        <f>IF(SUMPRODUCT((Inputs!$B$4:$B$200=$B58)*ISNUMBER(INDEX(Inputs!$D$4:$AG$200,0,MATCH(U$2,Inputs!$D$2:$AG$2,0))))=0,"",SUMIFS(INDEX(Inputs!$D$4:$AG$200,0,MATCH(U$2,Inputs!$D$2:$AG$2,0)),Inputs!$B$4:$B$200,$B58)/1000)</f>
        <v>3775.86368257</v>
      </c>
      <c r="V58" s="11">
        <f>IF(SUMPRODUCT((Inputs!$B$4:$B$200=$B58)*ISNUMBER(INDEX(Inputs!$D$4:$AG$200,0,MATCH(V$2,Inputs!$D$2:$AG$2,0))))=0,"",SUMIFS(INDEX(Inputs!$D$4:$AG$200,0,MATCH(V$2,Inputs!$D$2:$AG$2,0)),Inputs!$B$4:$B$200,$B58)/1000)</f>
        <v>3248.15701974</v>
      </c>
      <c r="W58" s="12">
        <f>IF(COUNT(S58:V58)=4,SUM(S58:V58),"")</f>
        <v>13481.27012835</v>
      </c>
      <c r="X58" s="11">
        <f>IF(SUMPRODUCT((Inputs!$B$4:$B$200=$B58)*ISNUMBER(INDEX(Inputs!$D$4:$AG$200,0,MATCH(X$2,Inputs!$D$2:$AG$2,0))))=0,"",SUMIFS(INDEX(Inputs!$D$4:$AG$200,0,MATCH(X$2,Inputs!$D$2:$AG$2,0)),Inputs!$B$4:$B$200,$B58)/1000)</f>
        <v>3568.23052826</v>
      </c>
      <c r="Y58" s="11">
        <f>IF(SUMPRODUCT((Inputs!$B$4:$B$200=$B58)*ISNUMBER(INDEX(Inputs!$D$4:$AG$200,0,MATCH(Y$2,Inputs!$D$2:$AG$2,0))))=0,"",SUMIFS(INDEX(Inputs!$D$4:$AG$200,0,MATCH(Y$2,Inputs!$D$2:$AG$2,0)),Inputs!$B$4:$B$200,$B58)/1000)</f>
        <v>3679.00557345</v>
      </c>
      <c r="Z58" s="11">
        <f>IF(SUMPRODUCT((Inputs!$B$4:$B$200=$B58)*ISNUMBER(INDEX(Inputs!$D$4:$AG$200,0,MATCH(Z$2,Inputs!$D$2:$AG$2,0))))=0,"",SUMIFS(INDEX(Inputs!$D$4:$AG$200,0,MATCH(Z$2,Inputs!$D$2:$AG$2,0)),Inputs!$B$4:$B$200,$B58)/1000)</f>
        <v>3765.84276528</v>
      </c>
      <c r="AA58" s="11">
        <f>IF(SUMPRODUCT((Inputs!$B$4:$B$200=$B58)*ISNUMBER(INDEX(Inputs!$D$4:$AG$200,0,MATCH(AA$2,Inputs!$D$2:$AG$2,0))))=0,"",SUMIFS(INDEX(Inputs!$D$4:$AG$200,0,MATCH(AA$2,Inputs!$D$2:$AG$2,0)),Inputs!$B$4:$B$200,$B58)/1000)</f>
        <v>3658.97515315</v>
      </c>
      <c r="AB58" s="12">
        <f>IF(COUNT(X58:AA58)=4,SUM(X58:AA58),"")</f>
        <v>14672.05402014</v>
      </c>
      <c r="AC58" s="11">
        <f>IF(SUMPRODUCT((Inputs!$B$4:$B$200=$B58)*ISNUMBER(INDEX(Inputs!$D$4:$AG$200,0,MATCH(AC$2,Inputs!$D$2:$AG$2,0))))=0,"",SUMIFS(INDEX(Inputs!$D$4:$AG$200,0,MATCH(AC$2,Inputs!$D$2:$AG$2,0)),Inputs!$B$4:$B$200,$B58)/1000)</f>
        <v>3780.64496646</v>
      </c>
      <c r="AD58" s="11">
        <f>IF(SUMPRODUCT((Inputs!$B$4:$B$200=$B58)*ISNUMBER(INDEX(Inputs!$D$4:$AG$200,0,MATCH(AD$2,Inputs!$D$2:$AG$2,0))))=0,"",SUMIFS(INDEX(Inputs!$D$4:$AG$200,0,MATCH(AD$2,Inputs!$D$2:$AG$2,0)),Inputs!$B$4:$B$200,$B58)/1000)</f>
        <v>3765.83020683</v>
      </c>
      <c r="AE58" s="11" t="str">
        <f>IF(SUMPRODUCT((Inputs!$B$4:$B$200=$B58)*ISNUMBER(INDEX(Inputs!$D$4:$AG$200,0,MATCH(AE$2,Inputs!$D$2:$AG$2,0))))=0,"",SUMIFS(INDEX(Inputs!$D$4:$AG$200,0,MATCH(AE$2,Inputs!$D$2:$AG$2,0)),Inputs!$B$4:$B$200,$B58)/1000)</f>
        <v/>
      </c>
      <c r="AF58" s="11" t="str">
        <f>IF(SUMPRODUCT((Inputs!$B$4:$B$200=$B58)*ISNUMBER(INDEX(Inputs!$D$4:$AG$200,0,MATCH(AF$2,Inputs!$D$2:$AG$2,0))))=0,"",SUMIFS(INDEX(Inputs!$D$4:$AG$200,0,MATCH(AF$2,Inputs!$D$2:$AG$2,0)),Inputs!$B$4:$B$200,$B58)/1000)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Receita liquida de servicos - Movida (aba Movida l.16)</t>
        </is>
      </c>
      <c r="D59" s="11">
        <f>IF(SUMPRODUCT((Inputs!$B$4:$B$200=$B59)*ISNUMBER(INDEX(Inputs!$D$4:$AG$200,0,MATCH(D$2,Inputs!$D$2:$AG$2,0))))=0,"",SUMIFS(INDEX(Inputs!$D$4:$AG$200,0,MATCH(D$2,Inputs!$D$2:$AG$2,0)),Inputs!$B$4:$B$200,$B59)/1000)</f>
        <v>530.34866179</v>
      </c>
      <c r="E59" s="11">
        <f>IF(SUMPRODUCT((Inputs!$B$4:$B$200=$B59)*ISNUMBER(INDEX(Inputs!$D$4:$AG$200,0,MATCH(E$2,Inputs!$D$2:$AG$2,0))))=0,"",SUMIFS(INDEX(Inputs!$D$4:$AG$200,0,MATCH(E$2,Inputs!$D$2:$AG$2,0)),Inputs!$B$4:$B$200,$B59)/1000)</f>
        <v>538.01873694</v>
      </c>
      <c r="F59" s="11">
        <f>IF(SUMPRODUCT((Inputs!$B$4:$B$200=$B59)*ISNUMBER(INDEX(Inputs!$D$4:$AG$200,0,MATCH(F$2,Inputs!$D$2:$AG$2,0))))=0,"",SUMIFS(INDEX(Inputs!$D$4:$AG$200,0,MATCH(F$2,Inputs!$D$2:$AG$2,0)),Inputs!$B$4:$B$200,$B59)/1000)</f>
        <v>730.620531958</v>
      </c>
      <c r="G59" s="11">
        <f>IF(SUMPRODUCT((Inputs!$B$4:$B$200=$B59)*ISNUMBER(INDEX(Inputs!$D$4:$AG$200,0,MATCH(G$2,Inputs!$D$2:$AG$2,0))))=0,"",SUMIFS(INDEX(Inputs!$D$4:$AG$200,0,MATCH(G$2,Inputs!$D$2:$AG$2,0)),Inputs!$B$4:$B$200,$B59)/1000)</f>
        <v>931.878558554</v>
      </c>
      <c r="H59" s="12">
        <f>IF(COUNT(D59:G59)=4,SUM(D59:G59),"")</f>
        <v>2730.866489242</v>
      </c>
      <c r="I59" s="11">
        <f>IF(SUMPRODUCT((Inputs!$B$4:$B$200=$B59)*ISNUMBER(INDEX(Inputs!$D$4:$AG$200,0,MATCH(I$2,Inputs!$D$2:$AG$2,0))))=0,"",SUMIFS(INDEX(Inputs!$D$4:$AG$200,0,MATCH(I$2,Inputs!$D$2:$AG$2,0)),Inputs!$B$4:$B$200,$B59)/1000)</f>
        <v>931.895052062</v>
      </c>
      <c r="J59" s="11">
        <f>IF(SUMPRODUCT((Inputs!$B$4:$B$200=$B59)*ISNUMBER(INDEX(Inputs!$D$4:$AG$200,0,MATCH(J$2,Inputs!$D$2:$AG$2,0))))=0,"",SUMIFS(INDEX(Inputs!$D$4:$AG$200,0,MATCH(J$2,Inputs!$D$2:$AG$2,0)),Inputs!$B$4:$B$200,$B59)/1000)</f>
        <v>1002.35766763</v>
      </c>
      <c r="K59" s="11">
        <f>IF(SUMPRODUCT((Inputs!$B$4:$B$200=$B59)*ISNUMBER(INDEX(Inputs!$D$4:$AG$200,0,MATCH(K$2,Inputs!$D$2:$AG$2,0))))=0,"",SUMIFS(INDEX(Inputs!$D$4:$AG$200,0,MATCH(K$2,Inputs!$D$2:$AG$2,0)),Inputs!$B$4:$B$200,$B59)/1000)</f>
        <v>1126.436479119</v>
      </c>
      <c r="L59" s="11">
        <f>IF(SUMPRODUCT((Inputs!$B$4:$B$200=$B59)*ISNUMBER(INDEX(Inputs!$D$4:$AG$200,0,MATCH(L$2,Inputs!$D$2:$AG$2,0))))=0,"",SUMIFS(INDEX(Inputs!$D$4:$AG$200,0,MATCH(L$2,Inputs!$D$2:$AG$2,0)),Inputs!$B$4:$B$200,$B59)/1000)</f>
        <v>1222.225612664</v>
      </c>
      <c r="M59" s="12">
        <f>IF(COUNT(I59:L59)=4,SUM(I59:L59),"")</f>
        <v>4282.914811475</v>
      </c>
      <c r="N59" s="11">
        <f>IF(SUMPRODUCT((Inputs!$B$4:$B$200=$B59)*ISNUMBER(INDEX(Inputs!$D$4:$AG$200,0,MATCH(N$2,Inputs!$D$2:$AG$2,0))))=0,"",SUMIFS(INDEX(Inputs!$D$4:$AG$200,0,MATCH(N$2,Inputs!$D$2:$AG$2,0)),Inputs!$B$4:$B$200,$B59)/1000)</f>
        <v>1239.74170094</v>
      </c>
      <c r="O59" s="11">
        <f>IF(SUMPRODUCT((Inputs!$B$4:$B$200=$B59)*ISNUMBER(INDEX(Inputs!$D$4:$AG$200,0,MATCH(O$2,Inputs!$D$2:$AG$2,0))))=0,"",SUMIFS(INDEX(Inputs!$D$4:$AG$200,0,MATCH(O$2,Inputs!$D$2:$AG$2,0)),Inputs!$B$4:$B$200,$B59)/1000)</f>
        <v>1233.78083778</v>
      </c>
      <c r="P59" s="11">
        <f>IF(SUMPRODUCT((Inputs!$B$4:$B$200=$B59)*ISNUMBER(INDEX(Inputs!$D$4:$AG$200,0,MATCH(P$2,Inputs!$D$2:$AG$2,0))))=0,"",SUMIFS(INDEX(Inputs!$D$4:$AG$200,0,MATCH(P$2,Inputs!$D$2:$AG$2,0)),Inputs!$B$4:$B$200,$B59)/1000)</f>
        <v>1297.31771027</v>
      </c>
      <c r="Q59" s="11">
        <f>IF(SUMPRODUCT((Inputs!$B$4:$B$200=$B59)*ISNUMBER(INDEX(Inputs!$D$4:$AG$200,0,MATCH(Q$2,Inputs!$D$2:$AG$2,0))))=0,"",SUMIFS(INDEX(Inputs!$D$4:$AG$200,0,MATCH(Q$2,Inputs!$D$2:$AG$2,0)),Inputs!$B$4:$B$200,$B59)/1000)</f>
        <v>1339.62050644</v>
      </c>
      <c r="R59" s="12">
        <f>IF(COUNT(N59:Q59)=4,SUM(N59:Q59),"")</f>
        <v>5110.46075543</v>
      </c>
      <c r="S59" s="11">
        <f>IF(SUMPRODUCT((Inputs!$B$4:$B$200=$B59)*ISNUMBER(INDEX(Inputs!$D$4:$AG$200,0,MATCH(S$2,Inputs!$D$2:$AG$2,0))))=0,"",SUMIFS(INDEX(Inputs!$D$4:$AG$200,0,MATCH(S$2,Inputs!$D$2:$AG$2,0)),Inputs!$B$4:$B$200,$B59)/1000)</f>
        <v>1495.19829253</v>
      </c>
      <c r="T59" s="11">
        <f>IF(SUMPRODUCT((Inputs!$B$4:$B$200=$B59)*ISNUMBER(INDEX(Inputs!$D$4:$AG$200,0,MATCH(T$2,Inputs!$D$2:$AG$2,0))))=0,"",SUMIFS(INDEX(Inputs!$D$4:$AG$200,0,MATCH(T$2,Inputs!$D$2:$AG$2,0)),Inputs!$B$4:$B$200,$B59)/1000)</f>
        <v>1608.06050374</v>
      </c>
      <c r="U59" s="11">
        <f>IF(SUMPRODUCT((Inputs!$B$4:$B$200=$B59)*ISNUMBER(INDEX(Inputs!$D$4:$AG$200,0,MATCH(U$2,Inputs!$D$2:$AG$2,0))))=0,"",SUMIFS(INDEX(Inputs!$D$4:$AG$200,0,MATCH(U$2,Inputs!$D$2:$AG$2,0)),Inputs!$B$4:$B$200,$B59)/1000)</f>
        <v>1744.7243125</v>
      </c>
      <c r="V59" s="11">
        <f>IF(SUMPRODUCT((Inputs!$B$4:$B$200=$B59)*ISNUMBER(INDEX(Inputs!$D$4:$AG$200,0,MATCH(V$2,Inputs!$D$2:$AG$2,0))))=0,"",SUMIFS(INDEX(Inputs!$D$4:$AG$200,0,MATCH(V$2,Inputs!$D$2:$AG$2,0)),Inputs!$B$4:$B$200,$B59)/1000)</f>
        <v>1791.05691627</v>
      </c>
      <c r="W59" s="12">
        <f>IF(COUNT(S59:V59)=4,SUM(S59:V59),"")</f>
        <v>6639.04002504</v>
      </c>
      <c r="X59" s="11">
        <f>IF(SUMPRODUCT((Inputs!$B$4:$B$200=$B59)*ISNUMBER(INDEX(Inputs!$D$4:$AG$200,0,MATCH(X$2,Inputs!$D$2:$AG$2,0))))=0,"",SUMIFS(INDEX(Inputs!$D$4:$AG$200,0,MATCH(X$2,Inputs!$D$2:$AG$2,0)),Inputs!$B$4:$B$200,$B59)/1000)</f>
        <v>1878.9041189</v>
      </c>
      <c r="Y59" s="11">
        <f>IF(SUMPRODUCT((Inputs!$B$4:$B$200=$B59)*ISNUMBER(INDEX(Inputs!$D$4:$AG$200,0,MATCH(Y$2,Inputs!$D$2:$AG$2,0))))=0,"",SUMIFS(INDEX(Inputs!$D$4:$AG$200,0,MATCH(Y$2,Inputs!$D$2:$AG$2,0)),Inputs!$B$4:$B$200,$B59)/1000)</f>
        <v>1892.63200983</v>
      </c>
      <c r="Z59" s="11">
        <f>IF(SUMPRODUCT((Inputs!$B$4:$B$200=$B59)*ISNUMBER(INDEX(Inputs!$D$4:$AG$200,0,MATCH(Z$2,Inputs!$D$2:$AG$2,0))))=0,"",SUMIFS(INDEX(Inputs!$D$4:$AG$200,0,MATCH(Z$2,Inputs!$D$2:$AG$2,0)),Inputs!$B$4:$B$200,$B59)/1000)</f>
        <v>2010.81157436</v>
      </c>
      <c r="AA59" s="11">
        <f>IF(SUMPRODUCT((Inputs!$B$4:$B$200=$B59)*ISNUMBER(INDEX(Inputs!$D$4:$AG$200,0,MATCH(AA$2,Inputs!$D$2:$AG$2,0))))=0,"",SUMIFS(INDEX(Inputs!$D$4:$AG$200,0,MATCH(AA$2,Inputs!$D$2:$AG$2,0)),Inputs!$B$4:$B$200,$B59)/1000)</f>
        <v>2096.39408926</v>
      </c>
      <c r="AB59" s="12">
        <f>IF(COUNT(X59:AA59)=4,SUM(X59:AA59),"")</f>
        <v>7878.74179235</v>
      </c>
      <c r="AC59" s="11">
        <f>IF(SUMPRODUCT((Inputs!$B$4:$B$200=$B59)*ISNUMBER(INDEX(Inputs!$D$4:$AG$200,0,MATCH(AC$2,Inputs!$D$2:$AG$2,0))))=0,"",SUMIFS(INDEX(Inputs!$D$4:$AG$200,0,MATCH(AC$2,Inputs!$D$2:$AG$2,0)),Inputs!$B$4:$B$200,$B59)/1000)</f>
        <v>2205.61650379</v>
      </c>
      <c r="AD59" s="11">
        <f>IF(SUMPRODUCT((Inputs!$B$4:$B$200=$B59)*ISNUMBER(INDEX(Inputs!$D$4:$AG$200,0,MATCH(AD$2,Inputs!$D$2:$AG$2,0))))=0,"",SUMIFS(INDEX(Inputs!$D$4:$AG$200,0,MATCH(AD$2,Inputs!$D$2:$AG$2,0)),Inputs!$B$4:$B$200,$B59)/1000)</f>
        <v>2295.3346397</v>
      </c>
      <c r="AE59" s="11" t="str">
        <f>IF(SUMPRODUCT((Inputs!$B$4:$B$200=$B59)*ISNUMBER(INDEX(Inputs!$D$4:$AG$200,0,MATCH(AE$2,Inputs!$D$2:$AG$2,0))))=0,"",SUMIFS(INDEX(Inputs!$D$4:$AG$200,0,MATCH(AE$2,Inputs!$D$2:$AG$2,0)),Inputs!$B$4:$B$200,$B59)/1000)</f>
        <v/>
      </c>
      <c r="AF59" s="11" t="str">
        <f>IF(SUMPRODUCT((Inputs!$B$4:$B$200=$B59)*ISNUMBER(INDEX(Inputs!$D$4:$AG$200,0,MATCH(AF$2,Inputs!$D$2:$AG$2,0))))=0,"",SUMIFS(INDEX(Inputs!$D$4:$AG$200,0,MATCH(AF$2,Inputs!$D$2:$AG$2,0)),Inputs!$B$4:$B$200,$B59)/1000)</f>
        <v/>
      </c>
      <c r="AG59" s="12" t="str">
        <f>IF(COUNT(AC59:AF59)=4,SUM(AC59:AF59),"")</f>
        <v/>
      </c>
    </row>
    <row r="60">
      <c r="B60" s="9" t="n">
        <v>52</v>
      </c>
      <c r="C60" s="10" t="inlineStr">
        <is>
          <t>Receita liquida - Vamos locacao + industria. 1T23+: aba VAMOS - Income Statement l.21 (SIMPAR); 1T20-4T22: Planilha de Fundamentos ANTIGA da Vamos (com concessionarias, ate 3T24), aba VAMOS DRE_BP l.65 (locacoes) + l.130 (customizacao/industria)</t>
        </is>
      </c>
      <c r="D60" s="11">
        <f>IF(SUMPRODUCT((Inputs!$B$4:$B$200=$B60)*ISNUMBER(INDEX(Inputs!$D$4:$AG$200,0,MATCH(D$2,Inputs!$D$2:$AG$2,0))))=0,"",SUMIFS(INDEX(Inputs!$D$4:$AG$200,0,MATCH(D$2,Inputs!$D$2:$AG$2,0)),Inputs!$B$4:$B$200,$B60)/1000)</f>
        <v>265.745826808</v>
      </c>
      <c r="E60" s="11">
        <f>IF(SUMPRODUCT((Inputs!$B$4:$B$200=$B60)*ISNUMBER(INDEX(Inputs!$D$4:$AG$200,0,MATCH(E$2,Inputs!$D$2:$AG$2,0))))=0,"",SUMIFS(INDEX(Inputs!$D$4:$AG$200,0,MATCH(E$2,Inputs!$D$2:$AG$2,0)),Inputs!$B$4:$B$200,$B60)/1000)</f>
        <v>273.970729803</v>
      </c>
      <c r="F60" s="11">
        <f>IF(SUMPRODUCT((Inputs!$B$4:$B$200=$B60)*ISNUMBER(INDEX(Inputs!$D$4:$AG$200,0,MATCH(F$2,Inputs!$D$2:$AG$2,0))))=0,"",SUMIFS(INDEX(Inputs!$D$4:$AG$200,0,MATCH(F$2,Inputs!$D$2:$AG$2,0)),Inputs!$B$4:$B$200,$B60)/1000)</f>
        <v>303.688421312</v>
      </c>
      <c r="G60" s="11">
        <f>IF(SUMPRODUCT((Inputs!$B$4:$B$200=$B60)*ISNUMBER(INDEX(Inputs!$D$4:$AG$200,0,MATCH(G$2,Inputs!$D$2:$AG$2,0))))=0,"",SUMIFS(INDEX(Inputs!$D$4:$AG$200,0,MATCH(G$2,Inputs!$D$2:$AG$2,0)),Inputs!$B$4:$B$200,$B60)/1000)</f>
        <v>328.269593499</v>
      </c>
      <c r="H60" s="12">
        <f>IF(COUNT(D60:G60)=4,SUM(D60:G60),"")</f>
        <v>1171.674571422</v>
      </c>
      <c r="I60" s="11">
        <f>IF(SUMPRODUCT((Inputs!$B$4:$B$200=$B60)*ISNUMBER(INDEX(Inputs!$D$4:$AG$200,0,MATCH(I$2,Inputs!$D$2:$AG$2,0))))=0,"",SUMIFS(INDEX(Inputs!$D$4:$AG$200,0,MATCH(I$2,Inputs!$D$2:$AG$2,0)),Inputs!$B$4:$B$200,$B60)/1000)</f>
        <v>366.989043808</v>
      </c>
      <c r="J60" s="11">
        <f>IF(SUMPRODUCT((Inputs!$B$4:$B$200=$B60)*ISNUMBER(INDEX(Inputs!$D$4:$AG$200,0,MATCH(J$2,Inputs!$D$2:$AG$2,0))))=0,"",SUMIFS(INDEX(Inputs!$D$4:$AG$200,0,MATCH(J$2,Inputs!$D$2:$AG$2,0)),Inputs!$B$4:$B$200,$B60)/1000)</f>
        <v>461.856360135</v>
      </c>
      <c r="K60" s="11">
        <f>IF(SUMPRODUCT((Inputs!$B$4:$B$200=$B60)*ISNUMBER(INDEX(Inputs!$D$4:$AG$200,0,MATCH(K$2,Inputs!$D$2:$AG$2,0))))=0,"",SUMIFS(INDEX(Inputs!$D$4:$AG$200,0,MATCH(K$2,Inputs!$D$2:$AG$2,0)),Inputs!$B$4:$B$200,$B60)/1000)</f>
        <v>590.219336458</v>
      </c>
      <c r="L60" s="11">
        <f>IF(SUMPRODUCT((Inputs!$B$4:$B$200=$B60)*ISNUMBER(INDEX(Inputs!$D$4:$AG$200,0,MATCH(L$2,Inputs!$D$2:$AG$2,0))))=0,"",SUMIFS(INDEX(Inputs!$D$4:$AG$200,0,MATCH(L$2,Inputs!$D$2:$AG$2,0)),Inputs!$B$4:$B$200,$B60)/1000)</f>
        <v>715.334382749</v>
      </c>
      <c r="M60" s="12">
        <f>IF(COUNT(I60:L60)=4,SUM(I60:L60),"")</f>
        <v>2134.39912315</v>
      </c>
      <c r="N60" s="11">
        <f>IF(SUMPRODUCT((Inputs!$B$4:$B$200=$B60)*ISNUMBER(INDEX(Inputs!$D$4:$AG$200,0,MATCH(N$2,Inputs!$D$2:$AG$2,0))))=0,"",SUMIFS(INDEX(Inputs!$D$4:$AG$200,0,MATCH(N$2,Inputs!$D$2:$AG$2,0)),Inputs!$B$4:$B$200,$B60)/1000)</f>
        <v>945.322649895</v>
      </c>
      <c r="O60" s="11">
        <f>IF(SUMPRODUCT((Inputs!$B$4:$B$200=$B60)*ISNUMBER(INDEX(Inputs!$D$4:$AG$200,0,MATCH(O$2,Inputs!$D$2:$AG$2,0))))=0,"",SUMIFS(INDEX(Inputs!$D$4:$AG$200,0,MATCH(O$2,Inputs!$D$2:$AG$2,0)),Inputs!$B$4:$B$200,$B60)/1000)</f>
        <v>912.724971865</v>
      </c>
      <c r="P60" s="11">
        <f>IF(SUMPRODUCT((Inputs!$B$4:$B$200=$B60)*ISNUMBER(INDEX(Inputs!$D$4:$AG$200,0,MATCH(P$2,Inputs!$D$2:$AG$2,0))))=0,"",SUMIFS(INDEX(Inputs!$D$4:$AG$200,0,MATCH(P$2,Inputs!$D$2:$AG$2,0)),Inputs!$B$4:$B$200,$B60)/1000)</f>
        <v>984.45924996</v>
      </c>
      <c r="Q60" s="11">
        <f>IF(SUMPRODUCT((Inputs!$B$4:$B$200=$B60)*ISNUMBER(INDEX(Inputs!$D$4:$AG$200,0,MATCH(Q$2,Inputs!$D$2:$AG$2,0))))=0,"",SUMIFS(INDEX(Inputs!$D$4:$AG$200,0,MATCH(Q$2,Inputs!$D$2:$AG$2,0)),Inputs!$B$4:$B$200,$B60)/1000)</f>
        <v>705.909904108</v>
      </c>
      <c r="R60" s="12">
        <f>IF(COUNT(N60:Q60)=4,SUM(N60:Q60),"")</f>
        <v>3548.416775828</v>
      </c>
      <c r="S60" s="11">
        <f>IF(SUMPRODUCT((Inputs!$B$4:$B$200=$B60)*ISNUMBER(INDEX(Inputs!$D$4:$AG$200,0,MATCH(S$2,Inputs!$D$2:$AG$2,0))))=0,"",SUMIFS(INDEX(Inputs!$D$4:$AG$200,0,MATCH(S$2,Inputs!$D$2:$AG$2,0)),Inputs!$B$4:$B$200,$B60)/1000)</f>
        <v>1077.92902978</v>
      </c>
      <c r="T60" s="11">
        <f>IF(SUMPRODUCT((Inputs!$B$4:$B$200=$B60)*ISNUMBER(INDEX(Inputs!$D$4:$AG$200,0,MATCH(T$2,Inputs!$D$2:$AG$2,0))))=0,"",SUMIFS(INDEX(Inputs!$D$4:$AG$200,0,MATCH(T$2,Inputs!$D$2:$AG$2,0)),Inputs!$B$4:$B$200,$B60)/1000)</f>
        <v>1207.09988748</v>
      </c>
      <c r="U60" s="11">
        <f>IF(SUMPRODUCT((Inputs!$B$4:$B$200=$B60)*ISNUMBER(INDEX(Inputs!$D$4:$AG$200,0,MATCH(U$2,Inputs!$D$2:$AG$2,0))))=0,"",SUMIFS(INDEX(Inputs!$D$4:$AG$200,0,MATCH(U$2,Inputs!$D$2:$AG$2,0)),Inputs!$B$4:$B$200,$B60)/1000)</f>
        <v>1221.09474171</v>
      </c>
      <c r="V60" s="11">
        <f>IF(SUMPRODUCT((Inputs!$B$4:$B$200=$B60)*ISNUMBER(INDEX(Inputs!$D$4:$AG$200,0,MATCH(V$2,Inputs!$D$2:$AG$2,0))))=0,"",SUMIFS(INDEX(Inputs!$D$4:$AG$200,0,MATCH(V$2,Inputs!$D$2:$AG$2,0)),Inputs!$B$4:$B$200,$B60)/1000)</f>
        <v>1193.188259075</v>
      </c>
      <c r="W60" s="12">
        <f>IF(COUNT(S60:V60)=4,SUM(S60:V60),"")</f>
        <v>4699.311918045</v>
      </c>
      <c r="X60" s="11">
        <f>IF(SUMPRODUCT((Inputs!$B$4:$B$200=$B60)*ISNUMBER(INDEX(Inputs!$D$4:$AG$200,0,MATCH(X$2,Inputs!$D$2:$AG$2,0))))=0,"",SUMIFS(INDEX(Inputs!$D$4:$AG$200,0,MATCH(X$2,Inputs!$D$2:$AG$2,0)),Inputs!$B$4:$B$200,$B60)/1000)</f>
        <v>1332.015835002</v>
      </c>
      <c r="Y60" s="11">
        <f>IF(SUMPRODUCT((Inputs!$B$4:$B$200=$B60)*ISNUMBER(INDEX(Inputs!$D$4:$AG$200,0,MATCH(Y$2,Inputs!$D$2:$AG$2,0))))=0,"",SUMIFS(INDEX(Inputs!$D$4:$AG$200,0,MATCH(Y$2,Inputs!$D$2:$AG$2,0)),Inputs!$B$4:$B$200,$B60)/1000)</f>
        <v>1411.665932279</v>
      </c>
      <c r="Z60" s="11">
        <f>IF(SUMPRODUCT((Inputs!$B$4:$B$200=$B60)*ISNUMBER(INDEX(Inputs!$D$4:$AG$200,0,MATCH(Z$2,Inputs!$D$2:$AG$2,0))))=0,"",SUMIFS(INDEX(Inputs!$D$4:$AG$200,0,MATCH(Z$2,Inputs!$D$2:$AG$2,0)),Inputs!$B$4:$B$200,$B60)/1000)</f>
        <v>1529.007232168</v>
      </c>
      <c r="AA60" s="11">
        <f>IF(SUMPRODUCT((Inputs!$B$4:$B$200=$B60)*ISNUMBER(INDEX(Inputs!$D$4:$AG$200,0,MATCH(AA$2,Inputs!$D$2:$AG$2,0))))=0,"",SUMIFS(INDEX(Inputs!$D$4:$AG$200,0,MATCH(AA$2,Inputs!$D$2:$AG$2,0)),Inputs!$B$4:$B$200,$B60)/1000)</f>
        <v>1483.023</v>
      </c>
      <c r="AB60" s="12">
        <f>IF(COUNT(X60:AA60)=4,SUM(X60:AA60),"")</f>
        <v>5755.711999449</v>
      </c>
      <c r="AC60" s="11">
        <f>IF(SUMPRODUCT((Inputs!$B$4:$B$200=$B60)*ISNUMBER(INDEX(Inputs!$D$4:$AG$200,0,MATCH(AC$2,Inputs!$D$2:$AG$2,0))))=0,"",SUMIFS(INDEX(Inputs!$D$4:$AG$200,0,MATCH(AC$2,Inputs!$D$2:$AG$2,0)),Inputs!$B$4:$B$200,$B60)/1000)</f>
        <v>1620.289839565</v>
      </c>
      <c r="AD60" s="11">
        <f>IF(SUMPRODUCT((Inputs!$B$4:$B$200=$B60)*ISNUMBER(INDEX(Inputs!$D$4:$AG$200,0,MATCH(AD$2,Inputs!$D$2:$AG$2,0))))=0,"",SUMIFS(INDEX(Inputs!$D$4:$AG$200,0,MATCH(AD$2,Inputs!$D$2:$AG$2,0)),Inputs!$B$4:$B$200,$B60)/1000)</f>
        <v>1564.305164472</v>
      </c>
      <c r="AE60" s="11" t="str">
        <f>IF(SUMPRODUCT((Inputs!$B$4:$B$200=$B60)*ISNUMBER(INDEX(Inputs!$D$4:$AG$200,0,MATCH(AE$2,Inputs!$D$2:$AG$2,0))))=0,"",SUMIFS(INDEX(Inputs!$D$4:$AG$200,0,MATCH(AE$2,Inputs!$D$2:$AG$2,0)),Inputs!$B$4:$B$200,$B60)/1000)</f>
        <v/>
      </c>
      <c r="AF60" s="11" t="str">
        <f>IF(SUMPRODUCT((Inputs!$B$4:$B$200=$B60)*ISNUMBER(INDEX(Inputs!$D$4:$AG$200,0,MATCH(AF$2,Inputs!$D$2:$AG$2,0))))=0,"",SUMIFS(INDEX(Inputs!$D$4:$AG$200,0,MATCH(AF$2,Inputs!$D$2:$AG$2,0)),Inputs!$B$4:$B$200,$B60)/1000)</f>
        <v/>
      </c>
      <c r="AG60" s="12" t="str">
        <f>IF(COUNT(AC60:AF60)=4,SUM(AC60:AF60),"")</f>
        <v/>
      </c>
    </row>
    <row r="61">
      <c r="B61" s="9" t="n">
        <v>53</v>
      </c>
      <c r="C61" s="10" t="inlineStr">
        <is>
          <t>Receita liquida de servicos de locacao - Vamos (1T23+: l.23 SIMPAR; 1T20-4T22: planilha antiga Vamos l.66)</t>
        </is>
      </c>
      <c r="D61" s="11">
        <f>IF(SUMPRODUCT((Inputs!$B$4:$B$200=$B61)*ISNUMBER(INDEX(Inputs!$D$4:$AG$200,0,MATCH(D$2,Inputs!$D$2:$AG$2,0))))=0,"",SUMIFS(INDEX(Inputs!$D$4:$AG$200,0,MATCH(D$2,Inputs!$D$2:$AG$2,0)),Inputs!$B$4:$B$200,$B61)/1000)</f>
        <v>199.18427502</v>
      </c>
      <c r="E61" s="11">
        <f>IF(SUMPRODUCT((Inputs!$B$4:$B$200=$B61)*ISNUMBER(INDEX(Inputs!$D$4:$AG$200,0,MATCH(E$2,Inputs!$D$2:$AG$2,0))))=0,"",SUMIFS(INDEX(Inputs!$D$4:$AG$200,0,MATCH(E$2,Inputs!$D$2:$AG$2,0)),Inputs!$B$4:$B$200,$B61)/1000)</f>
        <v>225.10853423</v>
      </c>
      <c r="F61" s="11">
        <f>IF(SUMPRODUCT((Inputs!$B$4:$B$200=$B61)*ISNUMBER(INDEX(Inputs!$D$4:$AG$200,0,MATCH(F$2,Inputs!$D$2:$AG$2,0))))=0,"",SUMIFS(INDEX(Inputs!$D$4:$AG$200,0,MATCH(F$2,Inputs!$D$2:$AG$2,0)),Inputs!$B$4:$B$200,$B61)/1000)</f>
        <v>250.83269783</v>
      </c>
      <c r="G61" s="11">
        <f>IF(SUMPRODUCT((Inputs!$B$4:$B$200=$B61)*ISNUMBER(INDEX(Inputs!$D$4:$AG$200,0,MATCH(G$2,Inputs!$D$2:$AG$2,0))))=0,"",SUMIFS(INDEX(Inputs!$D$4:$AG$200,0,MATCH(G$2,Inputs!$D$2:$AG$2,0)),Inputs!$B$4:$B$200,$B61)/1000)</f>
        <v>278.68327376</v>
      </c>
      <c r="H61" s="12">
        <f>IF(COUNT(D61:G61)=4,SUM(D61:G61),"")</f>
        <v>953.80878084</v>
      </c>
      <c r="I61" s="11">
        <f>IF(SUMPRODUCT((Inputs!$B$4:$B$200=$B61)*ISNUMBER(INDEX(Inputs!$D$4:$AG$200,0,MATCH(I$2,Inputs!$D$2:$AG$2,0))))=0,"",SUMIFS(INDEX(Inputs!$D$4:$AG$200,0,MATCH(I$2,Inputs!$D$2:$AG$2,0)),Inputs!$B$4:$B$200,$B61)/1000)</f>
        <v>306.1590249</v>
      </c>
      <c r="J61" s="11">
        <f>IF(SUMPRODUCT((Inputs!$B$4:$B$200=$B61)*ISNUMBER(INDEX(Inputs!$D$4:$AG$200,0,MATCH(J$2,Inputs!$D$2:$AG$2,0))))=0,"",SUMIFS(INDEX(Inputs!$D$4:$AG$200,0,MATCH(J$2,Inputs!$D$2:$AG$2,0)),Inputs!$B$4:$B$200,$B61)/1000)</f>
        <v>383.46406758</v>
      </c>
      <c r="K61" s="11">
        <f>IF(SUMPRODUCT((Inputs!$B$4:$B$200=$B61)*ISNUMBER(INDEX(Inputs!$D$4:$AG$200,0,MATCH(K$2,Inputs!$D$2:$AG$2,0))))=0,"",SUMIFS(INDEX(Inputs!$D$4:$AG$200,0,MATCH(K$2,Inputs!$D$2:$AG$2,0)),Inputs!$B$4:$B$200,$B61)/1000)</f>
        <v>435.80483879</v>
      </c>
      <c r="L61" s="11">
        <f>IF(SUMPRODUCT((Inputs!$B$4:$B$200=$B61)*ISNUMBER(INDEX(Inputs!$D$4:$AG$200,0,MATCH(L$2,Inputs!$D$2:$AG$2,0))))=0,"",SUMIFS(INDEX(Inputs!$D$4:$AG$200,0,MATCH(L$2,Inputs!$D$2:$AG$2,0)),Inputs!$B$4:$B$200,$B61)/1000)</f>
        <v>511.04703223</v>
      </c>
      <c r="M61" s="12">
        <f>IF(COUNT(I61:L61)=4,SUM(I61:L61),"")</f>
        <v>1636.4749635</v>
      </c>
      <c r="N61" s="11">
        <f>IF(SUMPRODUCT((Inputs!$B$4:$B$200=$B61)*ISNUMBER(INDEX(Inputs!$D$4:$AG$200,0,MATCH(N$2,Inputs!$D$2:$AG$2,0))))=0,"",SUMIFS(INDEX(Inputs!$D$4:$AG$200,0,MATCH(N$2,Inputs!$D$2:$AG$2,0)),Inputs!$B$4:$B$200,$B61)/1000)</f>
        <v>595.69433335</v>
      </c>
      <c r="O61" s="11">
        <f>IF(SUMPRODUCT((Inputs!$B$4:$B$200=$B61)*ISNUMBER(INDEX(Inputs!$D$4:$AG$200,0,MATCH(O$2,Inputs!$D$2:$AG$2,0))))=0,"",SUMIFS(INDEX(Inputs!$D$4:$AG$200,0,MATCH(O$2,Inputs!$D$2:$AG$2,0)),Inputs!$B$4:$B$200,$B61)/1000)</f>
        <v>656.33666665</v>
      </c>
      <c r="P61" s="11">
        <f>IF(SUMPRODUCT((Inputs!$B$4:$B$200=$B61)*ISNUMBER(INDEX(Inputs!$D$4:$AG$200,0,MATCH(P$2,Inputs!$D$2:$AG$2,0))))=0,"",SUMIFS(INDEX(Inputs!$D$4:$AG$200,0,MATCH(P$2,Inputs!$D$2:$AG$2,0)),Inputs!$B$4:$B$200,$B61)/1000)</f>
        <v>700.141</v>
      </c>
      <c r="Q61" s="11">
        <f>IF(SUMPRODUCT((Inputs!$B$4:$B$200=$B61)*ISNUMBER(INDEX(Inputs!$D$4:$AG$200,0,MATCH(Q$2,Inputs!$D$2:$AG$2,0))))=0,"",SUMIFS(INDEX(Inputs!$D$4:$AG$200,0,MATCH(Q$2,Inputs!$D$2:$AG$2,0)),Inputs!$B$4:$B$200,$B61)/1000)</f>
        <v>773.89295826</v>
      </c>
      <c r="R61" s="12">
        <f>IF(COUNT(N61:Q61)=4,SUM(N61:Q61),"")</f>
        <v>2726.06495826</v>
      </c>
      <c r="S61" s="11">
        <f>IF(SUMPRODUCT((Inputs!$B$4:$B$200=$B61)*ISNUMBER(INDEX(Inputs!$D$4:$AG$200,0,MATCH(S$2,Inputs!$D$2:$AG$2,0))))=0,"",SUMIFS(INDEX(Inputs!$D$4:$AG$200,0,MATCH(S$2,Inputs!$D$2:$AG$2,0)),Inputs!$B$4:$B$200,$B61)/1000)</f>
        <v>838.378</v>
      </c>
      <c r="T61" s="11">
        <f>IF(SUMPRODUCT((Inputs!$B$4:$B$200=$B61)*ISNUMBER(INDEX(Inputs!$D$4:$AG$200,0,MATCH(T$2,Inputs!$D$2:$AG$2,0))))=0,"",SUMIFS(INDEX(Inputs!$D$4:$AG$200,0,MATCH(T$2,Inputs!$D$2:$AG$2,0)),Inputs!$B$4:$B$200,$B61)/1000)</f>
        <v>921.71</v>
      </c>
      <c r="U61" s="11">
        <f>IF(SUMPRODUCT((Inputs!$B$4:$B$200=$B61)*ISNUMBER(INDEX(Inputs!$D$4:$AG$200,0,MATCH(U$2,Inputs!$D$2:$AG$2,0))))=0,"",SUMIFS(INDEX(Inputs!$D$4:$AG$200,0,MATCH(U$2,Inputs!$D$2:$AG$2,0)),Inputs!$B$4:$B$200,$B61)/1000)</f>
        <v>927.638</v>
      </c>
      <c r="V61" s="11">
        <f>IF(SUMPRODUCT((Inputs!$B$4:$B$200=$B61)*ISNUMBER(INDEX(Inputs!$D$4:$AG$200,0,MATCH(V$2,Inputs!$D$2:$AG$2,0))))=0,"",SUMIFS(INDEX(Inputs!$D$4:$AG$200,0,MATCH(V$2,Inputs!$D$2:$AG$2,0)),Inputs!$B$4:$B$200,$B61)/1000)</f>
        <v>962.05571644</v>
      </c>
      <c r="W61" s="12">
        <f>IF(COUNT(S61:V61)=4,SUM(S61:V61),"")</f>
        <v>3649.78171644</v>
      </c>
      <c r="X61" s="11">
        <f>IF(SUMPRODUCT((Inputs!$B$4:$B$200=$B61)*ISNUMBER(INDEX(Inputs!$D$4:$AG$200,0,MATCH(X$2,Inputs!$D$2:$AG$2,0))))=0,"",SUMIFS(INDEX(Inputs!$D$4:$AG$200,0,MATCH(X$2,Inputs!$D$2:$AG$2,0)),Inputs!$B$4:$B$200,$B61)/1000)</f>
        <v>960.61334328</v>
      </c>
      <c r="Y61" s="11">
        <f>IF(SUMPRODUCT((Inputs!$B$4:$B$200=$B61)*ISNUMBER(INDEX(Inputs!$D$4:$AG$200,0,MATCH(Y$2,Inputs!$D$2:$AG$2,0))))=0,"",SUMIFS(INDEX(Inputs!$D$4:$AG$200,0,MATCH(Y$2,Inputs!$D$2:$AG$2,0)),Inputs!$B$4:$B$200,$B61)/1000)</f>
        <v>1002.13008166</v>
      </c>
      <c r="Z61" s="11">
        <f>IF(SUMPRODUCT((Inputs!$B$4:$B$200=$B61)*ISNUMBER(INDEX(Inputs!$D$4:$AG$200,0,MATCH(Z$2,Inputs!$D$2:$AG$2,0))))=0,"",SUMIFS(INDEX(Inputs!$D$4:$AG$200,0,MATCH(Z$2,Inputs!$D$2:$AG$2,0)),Inputs!$B$4:$B$200,$B61)/1000)</f>
        <v>1038.691478707</v>
      </c>
      <c r="AA61" s="11">
        <f>IF(SUMPRODUCT((Inputs!$B$4:$B$200=$B61)*ISNUMBER(INDEX(Inputs!$D$4:$AG$200,0,MATCH(AA$2,Inputs!$D$2:$AG$2,0))))=0,"",SUMIFS(INDEX(Inputs!$D$4:$AG$200,0,MATCH(AA$2,Inputs!$D$2:$AG$2,0)),Inputs!$B$4:$B$200,$B61)/1000)</f>
        <v>1071.583096353</v>
      </c>
      <c r="AB61" s="12">
        <f>IF(COUNT(X61:AA61)=4,SUM(X61:AA61),"")</f>
        <v>4073.018</v>
      </c>
      <c r="AC61" s="11">
        <f>IF(SUMPRODUCT((Inputs!$B$4:$B$200=$B61)*ISNUMBER(INDEX(Inputs!$D$4:$AG$200,0,MATCH(AC$2,Inputs!$D$2:$AG$2,0))))=0,"",SUMIFS(INDEX(Inputs!$D$4:$AG$200,0,MATCH(AC$2,Inputs!$D$2:$AG$2,0)),Inputs!$B$4:$B$200,$B61)/1000)</f>
        <v>1054.38149487</v>
      </c>
      <c r="AD61" s="11">
        <f>IF(SUMPRODUCT((Inputs!$B$4:$B$200=$B61)*ISNUMBER(INDEX(Inputs!$D$4:$AG$200,0,MATCH(AD$2,Inputs!$D$2:$AG$2,0))))=0,"",SUMIFS(INDEX(Inputs!$D$4:$AG$200,0,MATCH(AD$2,Inputs!$D$2:$AG$2,0)),Inputs!$B$4:$B$200,$B61)/1000)</f>
        <v>1087.87680806</v>
      </c>
      <c r="AE61" s="11" t="str">
        <f>IF(SUMPRODUCT((Inputs!$B$4:$B$200=$B61)*ISNUMBER(INDEX(Inputs!$D$4:$AG$200,0,MATCH(AE$2,Inputs!$D$2:$AG$2,0))))=0,"",SUMIFS(INDEX(Inputs!$D$4:$AG$200,0,MATCH(AE$2,Inputs!$D$2:$AG$2,0)),Inputs!$B$4:$B$200,$B61)/1000)</f>
        <v/>
      </c>
      <c r="AF61" s="11" t="str">
        <f>IF(SUMPRODUCT((Inputs!$B$4:$B$200=$B61)*ISNUMBER(INDEX(Inputs!$D$4:$AG$200,0,MATCH(AF$2,Inputs!$D$2:$AG$2,0))))=0,"",SUMIFS(INDEX(Inputs!$D$4:$AG$200,0,MATCH(AF$2,Inputs!$D$2:$AG$2,0)),Inputs!$B$4:$B$200,$B61)/1000)</f>
        <v/>
      </c>
      <c r="AG61" s="12" t="str">
        <f>IF(COUNT(AC61:AF61)=4,SUM(AC61:AF61),"")</f>
        <v/>
      </c>
    </row>
    <row r="62">
      <c r="B62" s="9" t="n">
        <v>54</v>
      </c>
      <c r="C62" s="10" t="inlineStr">
        <is>
          <t>Receita liquida - Concessionarias da Vamos (1T20-4T22; planilha antiga Vamos l.97; a partir de 2023 dentro da Automob)</t>
        </is>
      </c>
      <c r="D62" s="11">
        <f>IF(SUMPRODUCT((Inputs!$B$4:$B$200=$B62)*ISNUMBER(INDEX(Inputs!$D$4:$AG$200,0,MATCH(D$2,Inputs!$D$2:$AG$2,0))))=0,"",SUMIFS(INDEX(Inputs!$D$4:$AG$200,0,MATCH(D$2,Inputs!$D$2:$AG$2,0)),Inputs!$B$4:$B$200,$B62)/1000)</f>
        <v>278.36339997</v>
      </c>
      <c r="E62" s="11">
        <f>IF(SUMPRODUCT((Inputs!$B$4:$B$200=$B62)*ISNUMBER(INDEX(Inputs!$D$4:$AG$200,0,MATCH(E$2,Inputs!$D$2:$AG$2,0))))=0,"",SUMIFS(INDEX(Inputs!$D$4:$AG$200,0,MATCH(E$2,Inputs!$D$2:$AG$2,0)),Inputs!$B$4:$B$200,$B62)/1000)</f>
        <v>412.52110149</v>
      </c>
      <c r="F62" s="11">
        <f>IF(SUMPRODUCT((Inputs!$B$4:$B$200=$B62)*ISNUMBER(INDEX(Inputs!$D$4:$AG$200,0,MATCH(F$2,Inputs!$D$2:$AG$2,0))))=0,"",SUMIFS(INDEX(Inputs!$D$4:$AG$200,0,MATCH(F$2,Inputs!$D$2:$AG$2,0)),Inputs!$B$4:$B$200,$B62)/1000)</f>
        <v>526.58010199</v>
      </c>
      <c r="G62" s="11">
        <f>IF(SUMPRODUCT((Inputs!$B$4:$B$200=$B62)*ISNUMBER(INDEX(Inputs!$D$4:$AG$200,0,MATCH(G$2,Inputs!$D$2:$AG$2,0))))=0,"",SUMIFS(INDEX(Inputs!$D$4:$AG$200,0,MATCH(G$2,Inputs!$D$2:$AG$2,0)),Inputs!$B$4:$B$200,$B62)/1000)</f>
        <v>478.95953918</v>
      </c>
      <c r="H62" s="12">
        <f>IF(COUNT(D62:G62)=4,SUM(D62:G62),"")</f>
        <v>1696.42414263</v>
      </c>
      <c r="I62" s="11">
        <f>IF(SUMPRODUCT((Inputs!$B$4:$B$200=$B62)*ISNUMBER(INDEX(Inputs!$D$4:$AG$200,0,MATCH(I$2,Inputs!$D$2:$AG$2,0))))=0,"",SUMIFS(INDEX(Inputs!$D$4:$AG$200,0,MATCH(I$2,Inputs!$D$2:$AG$2,0)),Inputs!$B$4:$B$200,$B62)/1000)</f>
        <v>578.19047126</v>
      </c>
      <c r="J62" s="11">
        <f>IF(SUMPRODUCT((Inputs!$B$4:$B$200=$B62)*ISNUMBER(INDEX(Inputs!$D$4:$AG$200,0,MATCH(J$2,Inputs!$D$2:$AG$2,0))))=0,"",SUMIFS(INDEX(Inputs!$D$4:$AG$200,0,MATCH(J$2,Inputs!$D$2:$AG$2,0)),Inputs!$B$4:$B$200,$B62)/1000)</f>
        <v>736.84008429</v>
      </c>
      <c r="K62" s="11">
        <f>IF(SUMPRODUCT((Inputs!$B$4:$B$200=$B62)*ISNUMBER(INDEX(Inputs!$D$4:$AG$200,0,MATCH(K$2,Inputs!$D$2:$AG$2,0))))=0,"",SUMIFS(INDEX(Inputs!$D$4:$AG$200,0,MATCH(K$2,Inputs!$D$2:$AG$2,0)),Inputs!$B$4:$B$200,$B62)/1000)</f>
        <v>787.92101835</v>
      </c>
      <c r="L62" s="11">
        <f>IF(SUMPRODUCT((Inputs!$B$4:$B$200=$B62)*ISNUMBER(INDEX(Inputs!$D$4:$AG$200,0,MATCH(L$2,Inputs!$D$2:$AG$2,0))))=0,"",SUMIFS(INDEX(Inputs!$D$4:$AG$200,0,MATCH(L$2,Inputs!$D$2:$AG$2,0)),Inputs!$B$4:$B$200,$B62)/1000)</f>
        <v>676.10241582</v>
      </c>
      <c r="M62" s="12">
        <f>IF(COUNT(I62:L62)=4,SUM(I62:L62),"")</f>
        <v>2779.05398972</v>
      </c>
      <c r="N62" s="11" t="str">
        <f>IF(SUMPRODUCT((Inputs!$B$4:$B$200=$B62)*ISNUMBER(INDEX(Inputs!$D$4:$AG$200,0,MATCH(N$2,Inputs!$D$2:$AG$2,0))))=0,"",SUMIFS(INDEX(Inputs!$D$4:$AG$200,0,MATCH(N$2,Inputs!$D$2:$AG$2,0)),Inputs!$B$4:$B$200,$B62)/1000)</f>
        <v/>
      </c>
      <c r="O62" s="11" t="str">
        <f>IF(SUMPRODUCT((Inputs!$B$4:$B$200=$B62)*ISNUMBER(INDEX(Inputs!$D$4:$AG$200,0,MATCH(O$2,Inputs!$D$2:$AG$2,0))))=0,"",SUMIFS(INDEX(Inputs!$D$4:$AG$200,0,MATCH(O$2,Inputs!$D$2:$AG$2,0)),Inputs!$B$4:$B$200,$B62)/1000)</f>
        <v/>
      </c>
      <c r="P62" s="11" t="str">
        <f>IF(SUMPRODUCT((Inputs!$B$4:$B$200=$B62)*ISNUMBER(INDEX(Inputs!$D$4:$AG$200,0,MATCH(P$2,Inputs!$D$2:$AG$2,0))))=0,"",SUMIFS(INDEX(Inputs!$D$4:$AG$200,0,MATCH(P$2,Inputs!$D$2:$AG$2,0)),Inputs!$B$4:$B$200,$B62)/1000)</f>
        <v/>
      </c>
      <c r="Q62" s="11" t="str">
        <f>IF(SUMPRODUCT((Inputs!$B$4:$B$200=$B62)*ISNUMBER(INDEX(Inputs!$D$4:$AG$200,0,MATCH(Q$2,Inputs!$D$2:$AG$2,0))))=0,"",SUMIFS(INDEX(Inputs!$D$4:$AG$200,0,MATCH(Q$2,Inputs!$D$2:$AG$2,0)),Inputs!$B$4:$B$200,$B62)/1000)</f>
        <v/>
      </c>
      <c r="R62" s="12" t="str">
        <f>IF(COUNT(N62:Q62)=4,SUM(N62:Q62),"")</f>
        <v/>
      </c>
      <c r="S62" s="11" t="str">
        <f>IF(SUMPRODUCT((Inputs!$B$4:$B$200=$B62)*ISNUMBER(INDEX(Inputs!$D$4:$AG$200,0,MATCH(S$2,Inputs!$D$2:$AG$2,0))))=0,"",SUMIFS(INDEX(Inputs!$D$4:$AG$200,0,MATCH(S$2,Inputs!$D$2:$AG$2,0)),Inputs!$B$4:$B$200,$B62)/1000)</f>
        <v/>
      </c>
      <c r="T62" s="11" t="str">
        <f>IF(SUMPRODUCT((Inputs!$B$4:$B$200=$B62)*ISNUMBER(INDEX(Inputs!$D$4:$AG$200,0,MATCH(T$2,Inputs!$D$2:$AG$2,0))))=0,"",SUMIFS(INDEX(Inputs!$D$4:$AG$200,0,MATCH(T$2,Inputs!$D$2:$AG$2,0)),Inputs!$B$4:$B$200,$B62)/1000)</f>
        <v/>
      </c>
      <c r="U62" s="11" t="str">
        <f>IF(SUMPRODUCT((Inputs!$B$4:$B$200=$B62)*ISNUMBER(INDEX(Inputs!$D$4:$AG$200,0,MATCH(U$2,Inputs!$D$2:$AG$2,0))))=0,"",SUMIFS(INDEX(Inputs!$D$4:$AG$200,0,MATCH(U$2,Inputs!$D$2:$AG$2,0)),Inputs!$B$4:$B$200,$B62)/1000)</f>
        <v/>
      </c>
      <c r="V62" s="11" t="str">
        <f>IF(SUMPRODUCT((Inputs!$B$4:$B$200=$B62)*ISNUMBER(INDEX(Inputs!$D$4:$AG$200,0,MATCH(V$2,Inputs!$D$2:$AG$2,0))))=0,"",SUMIFS(INDEX(Inputs!$D$4:$AG$200,0,MATCH(V$2,Inputs!$D$2:$AG$2,0)),Inputs!$B$4:$B$200,$B62)/1000)</f>
        <v/>
      </c>
      <c r="W62" s="12" t="str">
        <f>IF(COUNT(S62:V62)=4,SUM(S62:V62),"")</f>
        <v/>
      </c>
      <c r="X62" s="11" t="str">
        <f>IF(SUMPRODUCT((Inputs!$B$4:$B$200=$B62)*ISNUMBER(INDEX(Inputs!$D$4:$AG$200,0,MATCH(X$2,Inputs!$D$2:$AG$2,0))))=0,"",SUMIFS(INDEX(Inputs!$D$4:$AG$200,0,MATCH(X$2,Inputs!$D$2:$AG$2,0)),Inputs!$B$4:$B$200,$B62)/1000)</f>
        <v/>
      </c>
      <c r="Y62" s="11" t="str">
        <f>IF(SUMPRODUCT((Inputs!$B$4:$B$200=$B62)*ISNUMBER(INDEX(Inputs!$D$4:$AG$200,0,MATCH(Y$2,Inputs!$D$2:$AG$2,0))))=0,"",SUMIFS(INDEX(Inputs!$D$4:$AG$200,0,MATCH(Y$2,Inputs!$D$2:$AG$2,0)),Inputs!$B$4:$B$200,$B62)/1000)</f>
        <v/>
      </c>
      <c r="Z62" s="11" t="str">
        <f>IF(SUMPRODUCT((Inputs!$B$4:$B$200=$B62)*ISNUMBER(INDEX(Inputs!$D$4:$AG$200,0,MATCH(Z$2,Inputs!$D$2:$AG$2,0))))=0,"",SUMIFS(INDEX(Inputs!$D$4:$AG$200,0,MATCH(Z$2,Inputs!$D$2:$AG$2,0)),Inputs!$B$4:$B$200,$B62)/1000)</f>
        <v/>
      </c>
      <c r="AA62" s="11" t="str">
        <f>IF(SUMPRODUCT((Inputs!$B$4:$B$200=$B62)*ISNUMBER(INDEX(Inputs!$D$4:$AG$200,0,MATCH(AA$2,Inputs!$D$2:$AG$2,0))))=0,"",SUMIFS(INDEX(Inputs!$D$4:$AG$200,0,MATCH(AA$2,Inputs!$D$2:$AG$2,0)),Inputs!$B$4:$B$200,$B62)/1000)</f>
        <v/>
      </c>
      <c r="AB62" s="12" t="str">
        <f>IF(COUNT(X62:AA62)=4,SUM(X62:AA62),"")</f>
        <v/>
      </c>
      <c r="AC62" s="11" t="str">
        <f>IF(SUMPRODUCT((Inputs!$B$4:$B$200=$B62)*ISNUMBER(INDEX(Inputs!$D$4:$AG$200,0,MATCH(AC$2,Inputs!$D$2:$AG$2,0))))=0,"",SUMIFS(INDEX(Inputs!$D$4:$AG$200,0,MATCH(AC$2,Inputs!$D$2:$AG$2,0)),Inputs!$B$4:$B$200,$B62)/1000)</f>
        <v/>
      </c>
      <c r="AD62" s="11" t="str">
        <f>IF(SUMPRODUCT((Inputs!$B$4:$B$200=$B62)*ISNUMBER(INDEX(Inputs!$D$4:$AG$200,0,MATCH(AD$2,Inputs!$D$2:$AG$2,0))))=0,"",SUMIFS(INDEX(Inputs!$D$4:$AG$200,0,MATCH(AD$2,Inputs!$D$2:$AG$2,0)),Inputs!$B$4:$B$200,$B62)/1000)</f>
        <v/>
      </c>
      <c r="AE62" s="11" t="str">
        <f>IF(SUMPRODUCT((Inputs!$B$4:$B$200=$B62)*ISNUMBER(INDEX(Inputs!$D$4:$AG$200,0,MATCH(AE$2,Inputs!$D$2:$AG$2,0))))=0,"",SUMIFS(INDEX(Inputs!$D$4:$AG$200,0,MATCH(AE$2,Inputs!$D$2:$AG$2,0)),Inputs!$B$4:$B$200,$B62)/1000)</f>
        <v/>
      </c>
      <c r="AF62" s="11" t="str">
        <f>IF(SUMPRODUCT((Inputs!$B$4:$B$200=$B62)*ISNUMBER(INDEX(Inputs!$D$4:$AG$200,0,MATCH(AF$2,Inputs!$D$2:$AG$2,0))))=0,"",SUMIFS(INDEX(Inputs!$D$4:$AG$200,0,MATCH(AF$2,Inputs!$D$2:$AG$2,0)),Inputs!$B$4:$B$200,$B62)/1000)</f>
        <v/>
      </c>
      <c r="AG62" s="12" t="str">
        <f>IF(COUNT(AC62:AF62)=4,SUM(AC62:AF62),"")</f>
        <v/>
      </c>
    </row>
    <row r="63">
      <c r="B63" s="9" t="n">
        <v>55</v>
      </c>
      <c r="C63" s="10" t="inlineStr">
        <is>
          <t>Receita liquida - Automob (aba Automob - Site l.29; desde 1T23)</t>
        </is>
      </c>
      <c r="D63" s="11" t="str">
        <f>IF(SUMPRODUCT((Inputs!$B$4:$B$200=$B63)*ISNUMBER(INDEX(Inputs!$D$4:$AG$200,0,MATCH(D$2,Inputs!$D$2:$AG$2,0))))=0,"",SUMIFS(INDEX(Inputs!$D$4:$AG$200,0,MATCH(D$2,Inputs!$D$2:$AG$2,0)),Inputs!$B$4:$B$200,$B63)/1000)</f>
        <v/>
      </c>
      <c r="E63" s="11" t="str">
        <f>IF(SUMPRODUCT((Inputs!$B$4:$B$200=$B63)*ISNUMBER(INDEX(Inputs!$D$4:$AG$200,0,MATCH(E$2,Inputs!$D$2:$AG$2,0))))=0,"",SUMIFS(INDEX(Inputs!$D$4:$AG$200,0,MATCH(E$2,Inputs!$D$2:$AG$2,0)),Inputs!$B$4:$B$200,$B63)/1000)</f>
        <v/>
      </c>
      <c r="F63" s="11" t="str">
        <f>IF(SUMPRODUCT((Inputs!$B$4:$B$200=$B63)*ISNUMBER(INDEX(Inputs!$D$4:$AG$200,0,MATCH(F$2,Inputs!$D$2:$AG$2,0))))=0,"",SUMIFS(INDEX(Inputs!$D$4:$AG$200,0,MATCH(F$2,Inputs!$D$2:$AG$2,0)),Inputs!$B$4:$B$200,$B63)/1000)</f>
        <v/>
      </c>
      <c r="G63" s="11" t="str">
        <f>IF(SUMPRODUCT((Inputs!$B$4:$B$200=$B63)*ISNUMBER(INDEX(Inputs!$D$4:$AG$200,0,MATCH(G$2,Inputs!$D$2:$AG$2,0))))=0,"",SUMIFS(INDEX(Inputs!$D$4:$AG$200,0,MATCH(G$2,Inputs!$D$2:$AG$2,0)),Inputs!$B$4:$B$200,$B63)/1000)</f>
        <v/>
      </c>
      <c r="H63" s="12" t="str">
        <f>IF(COUNT(D63:G63)=4,SUM(D63:G63),"")</f>
        <v/>
      </c>
      <c r="I63" s="11" t="str">
        <f>IF(SUMPRODUCT((Inputs!$B$4:$B$200=$B63)*ISNUMBER(INDEX(Inputs!$D$4:$AG$200,0,MATCH(I$2,Inputs!$D$2:$AG$2,0))))=0,"",SUMIFS(INDEX(Inputs!$D$4:$AG$200,0,MATCH(I$2,Inputs!$D$2:$AG$2,0)),Inputs!$B$4:$B$200,$B63)/1000)</f>
        <v/>
      </c>
      <c r="J63" s="11" t="str">
        <f>IF(SUMPRODUCT((Inputs!$B$4:$B$200=$B63)*ISNUMBER(INDEX(Inputs!$D$4:$AG$200,0,MATCH(J$2,Inputs!$D$2:$AG$2,0))))=0,"",SUMIFS(INDEX(Inputs!$D$4:$AG$200,0,MATCH(J$2,Inputs!$D$2:$AG$2,0)),Inputs!$B$4:$B$200,$B63)/1000)</f>
        <v/>
      </c>
      <c r="K63" s="11" t="str">
        <f>IF(SUMPRODUCT((Inputs!$B$4:$B$200=$B63)*ISNUMBER(INDEX(Inputs!$D$4:$AG$200,0,MATCH(K$2,Inputs!$D$2:$AG$2,0))))=0,"",SUMIFS(INDEX(Inputs!$D$4:$AG$200,0,MATCH(K$2,Inputs!$D$2:$AG$2,0)),Inputs!$B$4:$B$200,$B63)/1000)</f>
        <v/>
      </c>
      <c r="L63" s="11" t="str">
        <f>IF(SUMPRODUCT((Inputs!$B$4:$B$200=$B63)*ISNUMBER(INDEX(Inputs!$D$4:$AG$200,0,MATCH(L$2,Inputs!$D$2:$AG$2,0))))=0,"",SUMIFS(INDEX(Inputs!$D$4:$AG$200,0,MATCH(L$2,Inputs!$D$2:$AG$2,0)),Inputs!$B$4:$B$200,$B63)/1000)</f>
        <v/>
      </c>
      <c r="M63" s="12" t="str">
        <f>IF(COUNT(I63:L63)=4,SUM(I63:L63),"")</f>
        <v/>
      </c>
      <c r="N63" s="11">
        <f>IF(SUMPRODUCT((Inputs!$B$4:$B$200=$B63)*ISNUMBER(INDEX(Inputs!$D$4:$AG$200,0,MATCH(N$2,Inputs!$D$2:$AG$2,0))))=0,"",SUMIFS(INDEX(Inputs!$D$4:$AG$200,0,MATCH(N$2,Inputs!$D$2:$AG$2,0)),Inputs!$B$4:$B$200,$B63)/1000)</f>
        <v>2137.91</v>
      </c>
      <c r="O63" s="11">
        <f>IF(SUMPRODUCT((Inputs!$B$4:$B$200=$B63)*ISNUMBER(INDEX(Inputs!$D$4:$AG$200,0,MATCH(O$2,Inputs!$D$2:$AG$2,0))))=0,"",SUMIFS(INDEX(Inputs!$D$4:$AG$200,0,MATCH(O$2,Inputs!$D$2:$AG$2,0)),Inputs!$B$4:$B$200,$B63)/1000)</f>
        <v>2204.25</v>
      </c>
      <c r="P63" s="11">
        <f>IF(SUMPRODUCT((Inputs!$B$4:$B$200=$B63)*ISNUMBER(INDEX(Inputs!$D$4:$AG$200,0,MATCH(P$2,Inputs!$D$2:$AG$2,0))))=0,"",SUMIFS(INDEX(Inputs!$D$4:$AG$200,0,MATCH(P$2,Inputs!$D$2:$AG$2,0)),Inputs!$B$4:$B$200,$B63)/1000)</f>
        <v>2483.79</v>
      </c>
      <c r="Q63" s="11">
        <f>IF(SUMPRODUCT((Inputs!$B$4:$B$200=$B63)*ISNUMBER(INDEX(Inputs!$D$4:$AG$200,0,MATCH(Q$2,Inputs!$D$2:$AG$2,0))))=0,"",SUMIFS(INDEX(Inputs!$D$4:$AG$200,0,MATCH(Q$2,Inputs!$D$2:$AG$2,0)),Inputs!$B$4:$B$200,$B63)/1000)</f>
        <v>2695.64</v>
      </c>
      <c r="R63" s="12">
        <f>IF(COUNT(N63:Q63)=4,SUM(N63:Q63),"")</f>
        <v>9521.59</v>
      </c>
      <c r="S63" s="11">
        <f>IF(SUMPRODUCT((Inputs!$B$4:$B$200=$B63)*ISNUMBER(INDEX(Inputs!$D$4:$AG$200,0,MATCH(S$2,Inputs!$D$2:$AG$2,0))))=0,"",SUMIFS(INDEX(Inputs!$D$4:$AG$200,0,MATCH(S$2,Inputs!$D$2:$AG$2,0)),Inputs!$B$4:$B$200,$B63)/1000)</f>
        <v>2681.521926</v>
      </c>
      <c r="T63" s="11">
        <f>IF(SUMPRODUCT((Inputs!$B$4:$B$200=$B63)*ISNUMBER(INDEX(Inputs!$D$4:$AG$200,0,MATCH(T$2,Inputs!$D$2:$AG$2,0))))=0,"",SUMIFS(INDEX(Inputs!$D$4:$AG$200,0,MATCH(T$2,Inputs!$D$2:$AG$2,0)),Inputs!$B$4:$B$200,$B63)/1000)</f>
        <v>3050.08937</v>
      </c>
      <c r="U63" s="11">
        <f>IF(SUMPRODUCT((Inputs!$B$4:$B$200=$B63)*ISNUMBER(INDEX(Inputs!$D$4:$AG$200,0,MATCH(U$2,Inputs!$D$2:$AG$2,0))))=0,"",SUMIFS(INDEX(Inputs!$D$4:$AG$200,0,MATCH(U$2,Inputs!$D$2:$AG$2,0)),Inputs!$B$4:$B$200,$B63)/1000)</f>
        <v>3110.245079</v>
      </c>
      <c r="V63" s="11">
        <f>IF(SUMPRODUCT((Inputs!$B$4:$B$200=$B63)*ISNUMBER(INDEX(Inputs!$D$4:$AG$200,0,MATCH(V$2,Inputs!$D$2:$AG$2,0))))=0,"",SUMIFS(INDEX(Inputs!$D$4:$AG$200,0,MATCH(V$2,Inputs!$D$2:$AG$2,0)),Inputs!$B$4:$B$200,$B63)/1000)</f>
        <v>3144.697977</v>
      </c>
      <c r="W63" s="12">
        <f>IF(COUNT(S63:V63)=4,SUM(S63:V63),"")</f>
        <v>11986.554352</v>
      </c>
      <c r="X63" s="11">
        <f>IF(SUMPRODUCT((Inputs!$B$4:$B$200=$B63)*ISNUMBER(INDEX(Inputs!$D$4:$AG$200,0,MATCH(X$2,Inputs!$D$2:$AG$2,0))))=0,"",SUMIFS(INDEX(Inputs!$D$4:$AG$200,0,MATCH(X$2,Inputs!$D$2:$AG$2,0)),Inputs!$B$4:$B$200,$B63)/1000)</f>
        <v>2907.883374879</v>
      </c>
      <c r="Y63" s="11">
        <f>IF(SUMPRODUCT((Inputs!$B$4:$B$200=$B63)*ISNUMBER(INDEX(Inputs!$D$4:$AG$200,0,MATCH(Y$2,Inputs!$D$2:$AG$2,0))))=0,"",SUMIFS(INDEX(Inputs!$D$4:$AG$200,0,MATCH(Y$2,Inputs!$D$2:$AG$2,0)),Inputs!$B$4:$B$200,$B63)/1000)</f>
        <v>3087.332639111</v>
      </c>
      <c r="Z63" s="11">
        <f>IF(SUMPRODUCT((Inputs!$B$4:$B$200=$B63)*ISNUMBER(INDEX(Inputs!$D$4:$AG$200,0,MATCH(Z$2,Inputs!$D$2:$AG$2,0))))=0,"",SUMIFS(INDEX(Inputs!$D$4:$AG$200,0,MATCH(Z$2,Inputs!$D$2:$AG$2,0)),Inputs!$B$4:$B$200,$B63)/1000)</f>
        <v>3465.49243777</v>
      </c>
      <c r="AA63" s="11">
        <f>IF(SUMPRODUCT((Inputs!$B$4:$B$200=$B63)*ISNUMBER(INDEX(Inputs!$D$4:$AG$200,0,MATCH(AA$2,Inputs!$D$2:$AG$2,0))))=0,"",SUMIFS(INDEX(Inputs!$D$4:$AG$200,0,MATCH(AA$2,Inputs!$D$2:$AG$2,0)),Inputs!$B$4:$B$200,$B63)/1000)</f>
        <v>3354.69020929</v>
      </c>
      <c r="AB63" s="12">
        <f>IF(COUNT(X63:AA63)=4,SUM(X63:AA63),"")</f>
        <v>12815.39866105</v>
      </c>
      <c r="AC63" s="11">
        <f>IF(SUMPRODUCT((Inputs!$B$4:$B$200=$B63)*ISNUMBER(INDEX(Inputs!$D$4:$AG$200,0,MATCH(AC$2,Inputs!$D$2:$AG$2,0))))=0,"",SUMIFS(INDEX(Inputs!$D$4:$AG$200,0,MATCH(AC$2,Inputs!$D$2:$AG$2,0)),Inputs!$B$4:$B$200,$B63)/1000)</f>
        <v>3126.49263894</v>
      </c>
      <c r="AD63" s="11">
        <f>IF(SUMPRODUCT((Inputs!$B$4:$B$200=$B63)*ISNUMBER(INDEX(Inputs!$D$4:$AG$200,0,MATCH(AD$2,Inputs!$D$2:$AG$2,0))))=0,"",SUMIFS(INDEX(Inputs!$D$4:$AG$200,0,MATCH(AD$2,Inputs!$D$2:$AG$2,0)),Inputs!$B$4:$B$200,$B63)/1000)</f>
        <v>3455.11138736</v>
      </c>
      <c r="AE63" s="11" t="str">
        <f>IF(SUMPRODUCT((Inputs!$B$4:$B$200=$B63)*ISNUMBER(INDEX(Inputs!$D$4:$AG$200,0,MATCH(AE$2,Inputs!$D$2:$AG$2,0))))=0,"",SUMIFS(INDEX(Inputs!$D$4:$AG$200,0,MATCH(AE$2,Inputs!$D$2:$AG$2,0)),Inputs!$B$4:$B$200,$B63)/1000)</f>
        <v/>
      </c>
      <c r="AF63" s="11" t="str">
        <f>IF(SUMPRODUCT((Inputs!$B$4:$B$200=$B63)*ISNUMBER(INDEX(Inputs!$D$4:$AG$200,0,MATCH(AF$2,Inputs!$D$2:$AG$2,0))))=0,"",SUMIFS(INDEX(Inputs!$D$4:$AG$200,0,MATCH(AF$2,Inputs!$D$2:$AG$2,0)),Inputs!$B$4:$B$200,$B63)/1000)</f>
        <v/>
      </c>
      <c r="AG63" s="12" t="str">
        <f>IF(COUNT(AC63:AF63)=4,SUM(AC63:AF63),"")</f>
        <v/>
      </c>
    </row>
    <row r="64">
      <c r="B64" s="9" t="n">
        <v>56</v>
      </c>
      <c r="C64" s="10" t="inlineStr">
        <is>
          <t>Receita liquida - CS Brasil (aba CS Brasil l.22)</t>
        </is>
      </c>
      <c r="D64" s="11">
        <f>IF(SUMPRODUCT((Inputs!$B$4:$B$200=$B64)*ISNUMBER(INDEX(Inputs!$D$4:$AG$200,0,MATCH(D$2,Inputs!$D$2:$AG$2,0))))=0,"",SUMIFS(INDEX(Inputs!$D$4:$AG$200,0,MATCH(D$2,Inputs!$D$2:$AG$2,0)),Inputs!$B$4:$B$200,$B64)/1000)</f>
        <v>253.15964785</v>
      </c>
      <c r="E64" s="11">
        <f>IF(SUMPRODUCT((Inputs!$B$4:$B$200=$B64)*ISNUMBER(INDEX(Inputs!$D$4:$AG$200,0,MATCH(E$2,Inputs!$D$2:$AG$2,0))))=0,"",SUMIFS(INDEX(Inputs!$D$4:$AG$200,0,MATCH(E$2,Inputs!$D$2:$AG$2,0)),Inputs!$B$4:$B$200,$B64)/1000)</f>
        <v>280.22125865</v>
      </c>
      <c r="F64" s="11">
        <f>IF(SUMPRODUCT((Inputs!$B$4:$B$200=$B64)*ISNUMBER(INDEX(Inputs!$D$4:$AG$200,0,MATCH(F$2,Inputs!$D$2:$AG$2,0))))=0,"",SUMIFS(INDEX(Inputs!$D$4:$AG$200,0,MATCH(F$2,Inputs!$D$2:$AG$2,0)),Inputs!$B$4:$B$200,$B64)/1000)</f>
        <v>175.244142446</v>
      </c>
      <c r="G64" s="11">
        <f>IF(SUMPRODUCT((Inputs!$B$4:$B$200=$B64)*ISNUMBER(INDEX(Inputs!$D$4:$AG$200,0,MATCH(G$2,Inputs!$D$2:$AG$2,0))))=0,"",SUMIFS(INDEX(Inputs!$D$4:$AG$200,0,MATCH(G$2,Inputs!$D$2:$AG$2,0)),Inputs!$B$4:$B$200,$B64)/1000)</f>
        <v>125.00164548</v>
      </c>
      <c r="H64" s="12">
        <f>IF(COUNT(D64:G64)=4,SUM(D64:G64),"")</f>
        <v>833.626694426</v>
      </c>
      <c r="I64" s="11">
        <f>IF(SUMPRODUCT((Inputs!$B$4:$B$200=$B64)*ISNUMBER(INDEX(Inputs!$D$4:$AG$200,0,MATCH(I$2,Inputs!$D$2:$AG$2,0))))=0,"",SUMIFS(INDEX(Inputs!$D$4:$AG$200,0,MATCH(I$2,Inputs!$D$2:$AG$2,0)),Inputs!$B$4:$B$200,$B64)/1000)</f>
        <v>120.5922828</v>
      </c>
      <c r="J64" s="11">
        <f>IF(SUMPRODUCT((Inputs!$B$4:$B$200=$B64)*ISNUMBER(INDEX(Inputs!$D$4:$AG$200,0,MATCH(J$2,Inputs!$D$2:$AG$2,0))))=0,"",SUMIFS(INDEX(Inputs!$D$4:$AG$200,0,MATCH(J$2,Inputs!$D$2:$AG$2,0)),Inputs!$B$4:$B$200,$B64)/1000)</f>
        <v>135.57765826</v>
      </c>
      <c r="K64" s="11">
        <f>IF(SUMPRODUCT((Inputs!$B$4:$B$200=$B64)*ISNUMBER(INDEX(Inputs!$D$4:$AG$200,0,MATCH(K$2,Inputs!$D$2:$AG$2,0))))=0,"",SUMIFS(INDEX(Inputs!$D$4:$AG$200,0,MATCH(K$2,Inputs!$D$2:$AG$2,0)),Inputs!$B$4:$B$200,$B64)/1000)</f>
        <v>185.37970771</v>
      </c>
      <c r="L64" s="11">
        <f>IF(SUMPRODUCT((Inputs!$B$4:$B$200=$B64)*ISNUMBER(INDEX(Inputs!$D$4:$AG$200,0,MATCH(L$2,Inputs!$D$2:$AG$2,0))))=0,"",SUMIFS(INDEX(Inputs!$D$4:$AG$200,0,MATCH(L$2,Inputs!$D$2:$AG$2,0)),Inputs!$B$4:$B$200,$B64)/1000)</f>
        <v>275.8489468</v>
      </c>
      <c r="M64" s="12">
        <f>IF(COUNT(I64:L64)=4,SUM(I64:L64),"")</f>
        <v>717.39859557</v>
      </c>
      <c r="N64" s="11">
        <f>IF(SUMPRODUCT((Inputs!$B$4:$B$200=$B64)*ISNUMBER(INDEX(Inputs!$D$4:$AG$200,0,MATCH(N$2,Inputs!$D$2:$AG$2,0))))=0,"",SUMIFS(INDEX(Inputs!$D$4:$AG$200,0,MATCH(N$2,Inputs!$D$2:$AG$2,0)),Inputs!$B$4:$B$200,$B64)/1000)</f>
        <v>175.43202768</v>
      </c>
      <c r="O64" s="11">
        <f>IF(SUMPRODUCT((Inputs!$B$4:$B$200=$B64)*ISNUMBER(INDEX(Inputs!$D$4:$AG$200,0,MATCH(O$2,Inputs!$D$2:$AG$2,0))))=0,"",SUMIFS(INDEX(Inputs!$D$4:$AG$200,0,MATCH(O$2,Inputs!$D$2:$AG$2,0)),Inputs!$B$4:$B$200,$B64)/1000)</f>
        <v>176.42614706</v>
      </c>
      <c r="P64" s="11">
        <f>IF(SUMPRODUCT((Inputs!$B$4:$B$200=$B64)*ISNUMBER(INDEX(Inputs!$D$4:$AG$200,0,MATCH(P$2,Inputs!$D$2:$AG$2,0))))=0,"",SUMIFS(INDEX(Inputs!$D$4:$AG$200,0,MATCH(P$2,Inputs!$D$2:$AG$2,0)),Inputs!$B$4:$B$200,$B64)/1000)</f>
        <v>176.48227026</v>
      </c>
      <c r="Q64" s="11">
        <f>IF(SUMPRODUCT((Inputs!$B$4:$B$200=$B64)*ISNUMBER(INDEX(Inputs!$D$4:$AG$200,0,MATCH(Q$2,Inputs!$D$2:$AG$2,0))))=0,"",SUMIFS(INDEX(Inputs!$D$4:$AG$200,0,MATCH(Q$2,Inputs!$D$2:$AG$2,0)),Inputs!$B$4:$B$200,$B64)/1000)</f>
        <v>153.20968642</v>
      </c>
      <c r="R64" s="12">
        <f>IF(COUNT(N64:Q64)=4,SUM(N64:Q64),"")</f>
        <v>681.55013142</v>
      </c>
      <c r="S64" s="11">
        <f>IF(SUMPRODUCT((Inputs!$B$4:$B$200=$B64)*ISNUMBER(INDEX(Inputs!$D$4:$AG$200,0,MATCH(S$2,Inputs!$D$2:$AG$2,0))))=0,"",SUMIFS(INDEX(Inputs!$D$4:$AG$200,0,MATCH(S$2,Inputs!$D$2:$AG$2,0)),Inputs!$B$4:$B$200,$B64)/1000)</f>
        <v>143.81806892</v>
      </c>
      <c r="T64" s="11">
        <f>IF(SUMPRODUCT((Inputs!$B$4:$B$200=$B64)*ISNUMBER(INDEX(Inputs!$D$4:$AG$200,0,MATCH(T$2,Inputs!$D$2:$AG$2,0))))=0,"",SUMIFS(INDEX(Inputs!$D$4:$AG$200,0,MATCH(T$2,Inputs!$D$2:$AG$2,0)),Inputs!$B$4:$B$200,$B64)/1000)</f>
        <v>153.54271196</v>
      </c>
      <c r="U64" s="11">
        <f>IF(SUMPRODUCT((Inputs!$B$4:$B$200=$B64)*ISNUMBER(INDEX(Inputs!$D$4:$AG$200,0,MATCH(U$2,Inputs!$D$2:$AG$2,0))))=0,"",SUMIFS(INDEX(Inputs!$D$4:$AG$200,0,MATCH(U$2,Inputs!$D$2:$AG$2,0)),Inputs!$B$4:$B$200,$B64)/1000)</f>
        <v>151.23504785</v>
      </c>
      <c r="V64" s="11">
        <f>IF(SUMPRODUCT((Inputs!$B$4:$B$200=$B64)*ISNUMBER(INDEX(Inputs!$D$4:$AG$200,0,MATCH(V$2,Inputs!$D$2:$AG$2,0))))=0,"",SUMIFS(INDEX(Inputs!$D$4:$AG$200,0,MATCH(V$2,Inputs!$D$2:$AG$2,0)),Inputs!$B$4:$B$200,$B64)/1000)</f>
        <v>144.91785129</v>
      </c>
      <c r="W64" s="12">
        <f>IF(COUNT(S64:V64)=4,SUM(S64:V64),"")</f>
        <v>593.51368002</v>
      </c>
      <c r="X64" s="11">
        <f>IF(SUMPRODUCT((Inputs!$B$4:$B$200=$B64)*ISNUMBER(INDEX(Inputs!$D$4:$AG$200,0,MATCH(X$2,Inputs!$D$2:$AG$2,0))))=0,"",SUMIFS(INDEX(Inputs!$D$4:$AG$200,0,MATCH(X$2,Inputs!$D$2:$AG$2,0)),Inputs!$B$4:$B$200,$B64)/1000)</f>
        <v>146.34648783</v>
      </c>
      <c r="Y64" s="11">
        <f>IF(SUMPRODUCT((Inputs!$B$4:$B$200=$B64)*ISNUMBER(INDEX(Inputs!$D$4:$AG$200,0,MATCH(Y$2,Inputs!$D$2:$AG$2,0))))=0,"",SUMIFS(INDEX(Inputs!$D$4:$AG$200,0,MATCH(Y$2,Inputs!$D$2:$AG$2,0)),Inputs!$B$4:$B$200,$B64)/1000)</f>
        <v>183.87345888</v>
      </c>
      <c r="Z64" s="11">
        <f>IF(SUMPRODUCT((Inputs!$B$4:$B$200=$B64)*ISNUMBER(INDEX(Inputs!$D$4:$AG$200,0,MATCH(Z$2,Inputs!$D$2:$AG$2,0))))=0,"",SUMIFS(INDEX(Inputs!$D$4:$AG$200,0,MATCH(Z$2,Inputs!$D$2:$AG$2,0)),Inputs!$B$4:$B$200,$B64)/1000)</f>
        <v>186.55060318</v>
      </c>
      <c r="AA64" s="11">
        <f>IF(SUMPRODUCT((Inputs!$B$4:$B$200=$B64)*ISNUMBER(INDEX(Inputs!$D$4:$AG$200,0,MATCH(AA$2,Inputs!$D$2:$AG$2,0))))=0,"",SUMIFS(INDEX(Inputs!$D$4:$AG$200,0,MATCH(AA$2,Inputs!$D$2:$AG$2,0)),Inputs!$B$4:$B$200,$B64)/1000)</f>
        <v>173.98258148</v>
      </c>
      <c r="AB64" s="12">
        <f>IF(COUNT(X64:AA64)=4,SUM(X64:AA64),"")</f>
        <v>690.75313137</v>
      </c>
      <c r="AC64" s="11">
        <f>IF(SUMPRODUCT((Inputs!$B$4:$B$200=$B64)*ISNUMBER(INDEX(Inputs!$D$4:$AG$200,0,MATCH(AC$2,Inputs!$D$2:$AG$2,0))))=0,"",SUMIFS(INDEX(Inputs!$D$4:$AG$200,0,MATCH(AC$2,Inputs!$D$2:$AG$2,0)),Inputs!$B$4:$B$200,$B64)/1000)</f>
        <v>138.33867604</v>
      </c>
      <c r="AD64" s="11">
        <f>IF(SUMPRODUCT((Inputs!$B$4:$B$200=$B64)*ISNUMBER(INDEX(Inputs!$D$4:$AG$200,0,MATCH(AD$2,Inputs!$D$2:$AG$2,0))))=0,"",SUMIFS(INDEX(Inputs!$D$4:$AG$200,0,MATCH(AD$2,Inputs!$D$2:$AG$2,0)),Inputs!$B$4:$B$200,$B64)/1000)</f>
        <v>230.74952679</v>
      </c>
      <c r="AE64" s="11" t="str">
        <f>IF(SUMPRODUCT((Inputs!$B$4:$B$200=$B64)*ISNUMBER(INDEX(Inputs!$D$4:$AG$200,0,MATCH(AE$2,Inputs!$D$2:$AG$2,0))))=0,"",SUMIFS(INDEX(Inputs!$D$4:$AG$200,0,MATCH(AE$2,Inputs!$D$2:$AG$2,0)),Inputs!$B$4:$B$200,$B64)/1000)</f>
        <v/>
      </c>
      <c r="AF64" s="11" t="str">
        <f>IF(SUMPRODUCT((Inputs!$B$4:$B$200=$B64)*ISNUMBER(INDEX(Inputs!$D$4:$AG$200,0,MATCH(AF$2,Inputs!$D$2:$AG$2,0))))=0,"",SUMIFS(INDEX(Inputs!$D$4:$AG$200,0,MATCH(AF$2,Inputs!$D$2:$AG$2,0)),Inputs!$B$4:$B$200,$B64)/1000)</f>
        <v/>
      </c>
      <c r="AG64" s="12" t="str">
        <f>IF(COUNT(AC64:AF64)=4,SUM(AC64:AF64),"")</f>
        <v/>
      </c>
    </row>
    <row r="65">
      <c r="B65" s="9" t="n">
        <v>57</v>
      </c>
      <c r="C65" s="10" t="inlineStr">
        <is>
          <t>Receita liquida - CS Infra (aba CS Infra l.10; desde 1T22; a partir de 2025 sem a Ciclus Rio, vendida)</t>
        </is>
      </c>
      <c r="D65" s="11" t="str">
        <f>IF(SUMPRODUCT((Inputs!$B$4:$B$200=$B65)*ISNUMBER(INDEX(Inputs!$D$4:$AG$200,0,MATCH(D$2,Inputs!$D$2:$AG$2,0))))=0,"",SUMIFS(INDEX(Inputs!$D$4:$AG$200,0,MATCH(D$2,Inputs!$D$2:$AG$2,0)),Inputs!$B$4:$B$200,$B65)/1000)</f>
        <v/>
      </c>
      <c r="E65" s="11" t="str">
        <f>IF(SUMPRODUCT((Inputs!$B$4:$B$200=$B65)*ISNUMBER(INDEX(Inputs!$D$4:$AG$200,0,MATCH(E$2,Inputs!$D$2:$AG$2,0))))=0,"",SUMIFS(INDEX(Inputs!$D$4:$AG$200,0,MATCH(E$2,Inputs!$D$2:$AG$2,0)),Inputs!$B$4:$B$200,$B65)/1000)</f>
        <v/>
      </c>
      <c r="F65" s="11" t="str">
        <f>IF(SUMPRODUCT((Inputs!$B$4:$B$200=$B65)*ISNUMBER(INDEX(Inputs!$D$4:$AG$200,0,MATCH(F$2,Inputs!$D$2:$AG$2,0))))=0,"",SUMIFS(INDEX(Inputs!$D$4:$AG$200,0,MATCH(F$2,Inputs!$D$2:$AG$2,0)),Inputs!$B$4:$B$200,$B65)/1000)</f>
        <v/>
      </c>
      <c r="G65" s="11" t="str">
        <f>IF(SUMPRODUCT((Inputs!$B$4:$B$200=$B65)*ISNUMBER(INDEX(Inputs!$D$4:$AG$200,0,MATCH(G$2,Inputs!$D$2:$AG$2,0))))=0,"",SUMIFS(INDEX(Inputs!$D$4:$AG$200,0,MATCH(G$2,Inputs!$D$2:$AG$2,0)),Inputs!$B$4:$B$200,$B65)/1000)</f>
        <v/>
      </c>
      <c r="H65" s="12" t="str">
        <f>IF(COUNT(D65:G65)=4,SUM(D65:G65),"")</f>
        <v/>
      </c>
      <c r="I65" s="11">
        <f>IF(SUMPRODUCT((Inputs!$B$4:$B$200=$B65)*ISNUMBER(INDEX(Inputs!$D$4:$AG$200,0,MATCH(I$2,Inputs!$D$2:$AG$2,0))))=0,"",SUMIFS(INDEX(Inputs!$D$4:$AG$200,0,MATCH(I$2,Inputs!$D$2:$AG$2,0)),Inputs!$B$4:$B$200,$B65)/1000)</f>
        <v>98.58254148</v>
      </c>
      <c r="J65" s="11">
        <f>IF(SUMPRODUCT((Inputs!$B$4:$B$200=$B65)*ISNUMBER(INDEX(Inputs!$D$4:$AG$200,0,MATCH(J$2,Inputs!$D$2:$AG$2,0))))=0,"",SUMIFS(INDEX(Inputs!$D$4:$AG$200,0,MATCH(J$2,Inputs!$D$2:$AG$2,0)),Inputs!$B$4:$B$200,$B65)/1000)</f>
        <v>99.05192403</v>
      </c>
      <c r="K65" s="11">
        <f>IF(SUMPRODUCT((Inputs!$B$4:$B$200=$B65)*ISNUMBER(INDEX(Inputs!$D$4:$AG$200,0,MATCH(K$2,Inputs!$D$2:$AG$2,0))))=0,"",SUMIFS(INDEX(Inputs!$D$4:$AG$200,0,MATCH(K$2,Inputs!$D$2:$AG$2,0)),Inputs!$B$4:$B$200,$B65)/1000)</f>
        <v>101.15180881</v>
      </c>
      <c r="L65" s="11">
        <f>IF(SUMPRODUCT((Inputs!$B$4:$B$200=$B65)*ISNUMBER(INDEX(Inputs!$D$4:$AG$200,0,MATCH(L$2,Inputs!$D$2:$AG$2,0))))=0,"",SUMIFS(INDEX(Inputs!$D$4:$AG$200,0,MATCH(L$2,Inputs!$D$2:$AG$2,0)),Inputs!$B$4:$B$200,$B65)/1000)</f>
        <v>102.35919871</v>
      </c>
      <c r="M65" s="12">
        <f>IF(COUNT(I65:L65)=4,SUM(I65:L65),"")</f>
        <v>401.14547303</v>
      </c>
      <c r="N65" s="11">
        <f>IF(SUMPRODUCT((Inputs!$B$4:$B$200=$B65)*ISNUMBER(INDEX(Inputs!$D$4:$AG$200,0,MATCH(N$2,Inputs!$D$2:$AG$2,0))))=0,"",SUMIFS(INDEX(Inputs!$D$4:$AG$200,0,MATCH(N$2,Inputs!$D$2:$AG$2,0)),Inputs!$B$4:$B$200,$B65)/1000)</f>
        <v>146.70615843</v>
      </c>
      <c r="O65" s="11">
        <f>IF(SUMPRODUCT((Inputs!$B$4:$B$200=$B65)*ISNUMBER(INDEX(Inputs!$D$4:$AG$200,0,MATCH(O$2,Inputs!$D$2:$AG$2,0))))=0,"",SUMIFS(INDEX(Inputs!$D$4:$AG$200,0,MATCH(O$2,Inputs!$D$2:$AG$2,0)),Inputs!$B$4:$B$200,$B65)/1000)</f>
        <v>156.59406708</v>
      </c>
      <c r="P65" s="11">
        <f>IF(SUMPRODUCT((Inputs!$B$4:$B$200=$B65)*ISNUMBER(INDEX(Inputs!$D$4:$AG$200,0,MATCH(P$2,Inputs!$D$2:$AG$2,0))))=0,"",SUMIFS(INDEX(Inputs!$D$4:$AG$200,0,MATCH(P$2,Inputs!$D$2:$AG$2,0)),Inputs!$B$4:$B$200,$B65)/1000)</f>
        <v>215.89663183</v>
      </c>
      <c r="Q65" s="11">
        <f>IF(SUMPRODUCT((Inputs!$B$4:$B$200=$B65)*ISNUMBER(INDEX(Inputs!$D$4:$AG$200,0,MATCH(Q$2,Inputs!$D$2:$AG$2,0))))=0,"",SUMIFS(INDEX(Inputs!$D$4:$AG$200,0,MATCH(Q$2,Inputs!$D$2:$AG$2,0)),Inputs!$B$4:$B$200,$B65)/1000)</f>
        <v>238.41846435</v>
      </c>
      <c r="R65" s="12">
        <f>IF(COUNT(N65:Q65)=4,SUM(N65:Q65),"")</f>
        <v>757.61532169</v>
      </c>
      <c r="S65" s="11">
        <f>IF(SUMPRODUCT((Inputs!$B$4:$B$200=$B65)*ISNUMBER(INDEX(Inputs!$D$4:$AG$200,0,MATCH(S$2,Inputs!$D$2:$AG$2,0))))=0,"",SUMIFS(INDEX(Inputs!$D$4:$AG$200,0,MATCH(S$2,Inputs!$D$2:$AG$2,0)),Inputs!$B$4:$B$200,$B65)/1000)</f>
        <v>146.55115785</v>
      </c>
      <c r="T65" s="11">
        <f>IF(SUMPRODUCT((Inputs!$B$4:$B$200=$B65)*ISNUMBER(INDEX(Inputs!$D$4:$AG$200,0,MATCH(T$2,Inputs!$D$2:$AG$2,0))))=0,"",SUMIFS(INDEX(Inputs!$D$4:$AG$200,0,MATCH(T$2,Inputs!$D$2:$AG$2,0)),Inputs!$B$4:$B$200,$B65)/1000)</f>
        <v>275.7770609</v>
      </c>
      <c r="U65" s="11">
        <f>IF(SUMPRODUCT((Inputs!$B$4:$B$200=$B65)*ISNUMBER(INDEX(Inputs!$D$4:$AG$200,0,MATCH(U$2,Inputs!$D$2:$AG$2,0))))=0,"",SUMIFS(INDEX(Inputs!$D$4:$AG$200,0,MATCH(U$2,Inputs!$D$2:$AG$2,0)),Inputs!$B$4:$B$200,$B65)/1000)</f>
        <v>215.81665142</v>
      </c>
      <c r="V65" s="11">
        <f>IF(SUMPRODUCT((Inputs!$B$4:$B$200=$B65)*ISNUMBER(INDEX(Inputs!$D$4:$AG$200,0,MATCH(V$2,Inputs!$D$2:$AG$2,0))))=0,"",SUMIFS(INDEX(Inputs!$D$4:$AG$200,0,MATCH(V$2,Inputs!$D$2:$AG$2,0)),Inputs!$B$4:$B$200,$B65)/1000)</f>
        <v>279.38339776</v>
      </c>
      <c r="W65" s="12">
        <f>IF(COUNT(S65:V65)=4,SUM(S65:V65),"")</f>
        <v>917.52826793</v>
      </c>
      <c r="X65" s="11">
        <f>IF(SUMPRODUCT((Inputs!$B$4:$B$200=$B65)*ISNUMBER(INDEX(Inputs!$D$4:$AG$200,0,MATCH(X$2,Inputs!$D$2:$AG$2,0))))=0,"",SUMIFS(INDEX(Inputs!$D$4:$AG$200,0,MATCH(X$2,Inputs!$D$2:$AG$2,0)),Inputs!$B$4:$B$200,$B65)/1000)</f>
        <v>42.04555003</v>
      </c>
      <c r="Y65" s="11">
        <f>IF(SUMPRODUCT((Inputs!$B$4:$B$200=$B65)*ISNUMBER(INDEX(Inputs!$D$4:$AG$200,0,MATCH(Y$2,Inputs!$D$2:$AG$2,0))))=0,"",SUMIFS(INDEX(Inputs!$D$4:$AG$200,0,MATCH(Y$2,Inputs!$D$2:$AG$2,0)),Inputs!$B$4:$B$200,$B65)/1000)</f>
        <v>42.08997818</v>
      </c>
      <c r="Z65" s="11">
        <f>IF(SUMPRODUCT((Inputs!$B$4:$B$200=$B65)*ISNUMBER(INDEX(Inputs!$D$4:$AG$200,0,MATCH(Z$2,Inputs!$D$2:$AG$2,0))))=0,"",SUMIFS(INDEX(Inputs!$D$4:$AG$200,0,MATCH(Z$2,Inputs!$D$2:$AG$2,0)),Inputs!$B$4:$B$200,$B65)/1000)</f>
        <v>71.74317879</v>
      </c>
      <c r="AA65" s="11">
        <f>IF(SUMPRODUCT((Inputs!$B$4:$B$200=$B65)*ISNUMBER(INDEX(Inputs!$D$4:$AG$200,0,MATCH(AA$2,Inputs!$D$2:$AG$2,0))))=0,"",SUMIFS(INDEX(Inputs!$D$4:$AG$200,0,MATCH(AA$2,Inputs!$D$2:$AG$2,0)),Inputs!$B$4:$B$200,$B65)/1000)</f>
        <v>134.13562926</v>
      </c>
      <c r="AB65" s="12">
        <f>IF(COUNT(X65:AA65)=4,SUM(X65:AA65),"")</f>
        <v>290.01433626</v>
      </c>
      <c r="AC65" s="11">
        <f>IF(SUMPRODUCT((Inputs!$B$4:$B$200=$B65)*ISNUMBER(INDEX(Inputs!$D$4:$AG$200,0,MATCH(AC$2,Inputs!$D$2:$AG$2,0))))=0,"",SUMIFS(INDEX(Inputs!$D$4:$AG$200,0,MATCH(AC$2,Inputs!$D$2:$AG$2,0)),Inputs!$B$4:$B$200,$B65)/1000)</f>
        <v>122.33628311</v>
      </c>
      <c r="AD65" s="11">
        <f>IF(SUMPRODUCT((Inputs!$B$4:$B$200=$B65)*ISNUMBER(INDEX(Inputs!$D$4:$AG$200,0,MATCH(AD$2,Inputs!$D$2:$AG$2,0))))=0,"",SUMIFS(INDEX(Inputs!$D$4:$AG$200,0,MATCH(AD$2,Inputs!$D$2:$AG$2,0)),Inputs!$B$4:$B$200,$B65)/1000)</f>
        <v>175.8516919</v>
      </c>
      <c r="AE65" s="11" t="str">
        <f>IF(SUMPRODUCT((Inputs!$B$4:$B$200=$B65)*ISNUMBER(INDEX(Inputs!$D$4:$AG$200,0,MATCH(AE$2,Inputs!$D$2:$AG$2,0))))=0,"",SUMIFS(INDEX(Inputs!$D$4:$AG$200,0,MATCH(AE$2,Inputs!$D$2:$AG$2,0)),Inputs!$B$4:$B$200,$B65)/1000)</f>
        <v/>
      </c>
      <c r="AF65" s="11" t="str">
        <f>IF(SUMPRODUCT((Inputs!$B$4:$B$200=$B65)*ISNUMBER(INDEX(Inputs!$D$4:$AG$200,0,MATCH(AF$2,Inputs!$D$2:$AG$2,0))))=0,"",SUMIFS(INDEX(Inputs!$D$4:$AG$200,0,MATCH(AF$2,Inputs!$D$2:$AG$2,0)),Inputs!$B$4:$B$200,$B65)/1000)</f>
        <v/>
      </c>
      <c r="AG65" s="12" t="str">
        <f>IF(COUNT(AC65:AF65)=4,SUM(AC65:AF65),"")</f>
        <v/>
      </c>
    </row>
    <row r="66">
      <c r="B66" s="9" t="n">
        <v>58</v>
      </c>
      <c r="C66" s="10" t="inlineStr">
        <is>
          <t>Receita liquida - BBC (aba BBC l.10)</t>
        </is>
      </c>
      <c r="D66" s="11">
        <f>IF(SUMPRODUCT((Inputs!$B$4:$B$200=$B66)*ISNUMBER(INDEX(Inputs!$D$4:$AG$200,0,MATCH(D$2,Inputs!$D$2:$AG$2,0))))=0,"",SUMIFS(INDEX(Inputs!$D$4:$AG$200,0,MATCH(D$2,Inputs!$D$2:$AG$2,0)),Inputs!$B$4:$B$200,$B66)/1000)</f>
        <v>10.28429948</v>
      </c>
      <c r="E66" s="11">
        <f>IF(SUMPRODUCT((Inputs!$B$4:$B$200=$B66)*ISNUMBER(INDEX(Inputs!$D$4:$AG$200,0,MATCH(E$2,Inputs!$D$2:$AG$2,0))))=0,"",SUMIFS(INDEX(Inputs!$D$4:$AG$200,0,MATCH(E$2,Inputs!$D$2:$AG$2,0)),Inputs!$B$4:$B$200,$B66)/1000)</f>
        <v>10.14109567</v>
      </c>
      <c r="F66" s="11">
        <f>IF(SUMPRODUCT((Inputs!$B$4:$B$200=$B66)*ISNUMBER(INDEX(Inputs!$D$4:$AG$200,0,MATCH(F$2,Inputs!$D$2:$AG$2,0))))=0,"",SUMIFS(INDEX(Inputs!$D$4:$AG$200,0,MATCH(F$2,Inputs!$D$2:$AG$2,0)),Inputs!$B$4:$B$200,$B66)/1000)</f>
        <v>10.64428845</v>
      </c>
      <c r="G66" s="11">
        <f>IF(SUMPRODUCT((Inputs!$B$4:$B$200=$B66)*ISNUMBER(INDEX(Inputs!$D$4:$AG$200,0,MATCH(G$2,Inputs!$D$2:$AG$2,0))))=0,"",SUMIFS(INDEX(Inputs!$D$4:$AG$200,0,MATCH(G$2,Inputs!$D$2:$AG$2,0)),Inputs!$B$4:$B$200,$B66)/1000)</f>
        <v>12.19699554</v>
      </c>
      <c r="H66" s="12">
        <f>IF(COUNT(D66:G66)=4,SUM(D66:G66),"")</f>
        <v>43.26667914</v>
      </c>
      <c r="I66" s="11">
        <f>IF(SUMPRODUCT((Inputs!$B$4:$B$200=$B66)*ISNUMBER(INDEX(Inputs!$D$4:$AG$200,0,MATCH(I$2,Inputs!$D$2:$AG$2,0))))=0,"",SUMIFS(INDEX(Inputs!$D$4:$AG$200,0,MATCH(I$2,Inputs!$D$2:$AG$2,0)),Inputs!$B$4:$B$200,$B66)/1000)</f>
        <v>15.51883671</v>
      </c>
      <c r="J66" s="11">
        <f>IF(SUMPRODUCT((Inputs!$B$4:$B$200=$B66)*ISNUMBER(INDEX(Inputs!$D$4:$AG$200,0,MATCH(J$2,Inputs!$D$2:$AG$2,0))))=0,"",SUMIFS(INDEX(Inputs!$D$4:$AG$200,0,MATCH(J$2,Inputs!$D$2:$AG$2,0)),Inputs!$B$4:$B$200,$B66)/1000)</f>
        <v>17.60429878</v>
      </c>
      <c r="K66" s="11">
        <f>IF(SUMPRODUCT((Inputs!$B$4:$B$200=$B66)*ISNUMBER(INDEX(Inputs!$D$4:$AG$200,0,MATCH(K$2,Inputs!$D$2:$AG$2,0))))=0,"",SUMIFS(INDEX(Inputs!$D$4:$AG$200,0,MATCH(K$2,Inputs!$D$2:$AG$2,0)),Inputs!$B$4:$B$200,$B66)/1000)</f>
        <v>19.51764546</v>
      </c>
      <c r="L66" s="11">
        <f>IF(SUMPRODUCT((Inputs!$B$4:$B$200=$B66)*ISNUMBER(INDEX(Inputs!$D$4:$AG$200,0,MATCH(L$2,Inputs!$D$2:$AG$2,0))))=0,"",SUMIFS(INDEX(Inputs!$D$4:$AG$200,0,MATCH(L$2,Inputs!$D$2:$AG$2,0)),Inputs!$B$4:$B$200,$B66)/1000)</f>
        <v>24.91292716</v>
      </c>
      <c r="M66" s="12">
        <f>IF(COUNT(I66:L66)=4,SUM(I66:L66),"")</f>
        <v>77.55370811</v>
      </c>
      <c r="N66" s="11">
        <f>IF(SUMPRODUCT((Inputs!$B$4:$B$200=$B66)*ISNUMBER(INDEX(Inputs!$D$4:$AG$200,0,MATCH(N$2,Inputs!$D$2:$AG$2,0))))=0,"",SUMIFS(INDEX(Inputs!$D$4:$AG$200,0,MATCH(N$2,Inputs!$D$2:$AG$2,0)),Inputs!$B$4:$B$200,$B66)/1000)</f>
        <v>2.69021527</v>
      </c>
      <c r="O66" s="11">
        <f>IF(SUMPRODUCT((Inputs!$B$4:$B$200=$B66)*ISNUMBER(INDEX(Inputs!$D$4:$AG$200,0,MATCH(O$2,Inputs!$D$2:$AG$2,0))))=0,"",SUMIFS(INDEX(Inputs!$D$4:$AG$200,0,MATCH(O$2,Inputs!$D$2:$AG$2,0)),Inputs!$B$4:$B$200,$B66)/1000)</f>
        <v>3.76260749</v>
      </c>
      <c r="P66" s="11">
        <f>IF(SUMPRODUCT((Inputs!$B$4:$B$200=$B66)*ISNUMBER(INDEX(Inputs!$D$4:$AG$200,0,MATCH(P$2,Inputs!$D$2:$AG$2,0))))=0,"",SUMIFS(INDEX(Inputs!$D$4:$AG$200,0,MATCH(P$2,Inputs!$D$2:$AG$2,0)),Inputs!$B$4:$B$200,$B66)/1000)</f>
        <v>3.73096101</v>
      </c>
      <c r="Q66" s="11">
        <f>IF(SUMPRODUCT((Inputs!$B$4:$B$200=$B66)*ISNUMBER(INDEX(Inputs!$D$4:$AG$200,0,MATCH(Q$2,Inputs!$D$2:$AG$2,0))))=0,"",SUMIFS(INDEX(Inputs!$D$4:$AG$200,0,MATCH(Q$2,Inputs!$D$2:$AG$2,0)),Inputs!$B$4:$B$200,$B66)/1000)</f>
        <v>3.85759612</v>
      </c>
      <c r="R66" s="12">
        <f>IF(COUNT(N66:Q66)=4,SUM(N66:Q66),"")</f>
        <v>14.04137989</v>
      </c>
      <c r="S66" s="11">
        <f>IF(SUMPRODUCT((Inputs!$B$4:$B$200=$B66)*ISNUMBER(INDEX(Inputs!$D$4:$AG$200,0,MATCH(S$2,Inputs!$D$2:$AG$2,0))))=0,"",SUMIFS(INDEX(Inputs!$D$4:$AG$200,0,MATCH(S$2,Inputs!$D$2:$AG$2,0)),Inputs!$B$4:$B$200,$B66)/1000)</f>
        <v>1.9037001</v>
      </c>
      <c r="T66" s="11">
        <f>IF(SUMPRODUCT((Inputs!$B$4:$B$200=$B66)*ISNUMBER(INDEX(Inputs!$D$4:$AG$200,0,MATCH(T$2,Inputs!$D$2:$AG$2,0))))=0,"",SUMIFS(INDEX(Inputs!$D$4:$AG$200,0,MATCH(T$2,Inputs!$D$2:$AG$2,0)),Inputs!$B$4:$B$200,$B66)/1000)</f>
        <v>2.02947268</v>
      </c>
      <c r="U66" s="11">
        <f>IF(SUMPRODUCT((Inputs!$B$4:$B$200=$B66)*ISNUMBER(INDEX(Inputs!$D$4:$AG$200,0,MATCH(U$2,Inputs!$D$2:$AG$2,0))))=0,"",SUMIFS(INDEX(Inputs!$D$4:$AG$200,0,MATCH(U$2,Inputs!$D$2:$AG$2,0)),Inputs!$B$4:$B$200,$B66)/1000)</f>
        <v>2.42504255</v>
      </c>
      <c r="V66" s="11">
        <f>IF(SUMPRODUCT((Inputs!$B$4:$B$200=$B66)*ISNUMBER(INDEX(Inputs!$D$4:$AG$200,0,MATCH(V$2,Inputs!$D$2:$AG$2,0))))=0,"",SUMIFS(INDEX(Inputs!$D$4:$AG$200,0,MATCH(V$2,Inputs!$D$2:$AG$2,0)),Inputs!$B$4:$B$200,$B66)/1000)</f>
        <v>2.90184133</v>
      </c>
      <c r="W66" s="12">
        <f>IF(COUNT(S66:V66)=4,SUM(S66:V66),"")</f>
        <v>9.26005666</v>
      </c>
      <c r="X66" s="11">
        <f>IF(SUMPRODUCT((Inputs!$B$4:$B$200=$B66)*ISNUMBER(INDEX(Inputs!$D$4:$AG$200,0,MATCH(X$2,Inputs!$D$2:$AG$2,0))))=0,"",SUMIFS(INDEX(Inputs!$D$4:$AG$200,0,MATCH(X$2,Inputs!$D$2:$AG$2,0)),Inputs!$B$4:$B$200,$B66)/1000)</f>
        <v>1.81728511</v>
      </c>
      <c r="Y66" s="11">
        <f>IF(SUMPRODUCT((Inputs!$B$4:$B$200=$B66)*ISNUMBER(INDEX(Inputs!$D$4:$AG$200,0,MATCH(Y$2,Inputs!$D$2:$AG$2,0))))=0,"",SUMIFS(INDEX(Inputs!$D$4:$AG$200,0,MATCH(Y$2,Inputs!$D$2:$AG$2,0)),Inputs!$B$4:$B$200,$B66)/1000)</f>
        <v>1.99236753</v>
      </c>
      <c r="Z66" s="11">
        <f>IF(SUMPRODUCT((Inputs!$B$4:$B$200=$B66)*ISNUMBER(INDEX(Inputs!$D$4:$AG$200,0,MATCH(Z$2,Inputs!$D$2:$AG$2,0))))=0,"",SUMIFS(INDEX(Inputs!$D$4:$AG$200,0,MATCH(Z$2,Inputs!$D$2:$AG$2,0)),Inputs!$B$4:$B$200,$B66)/1000)</f>
        <v>1.85156006</v>
      </c>
      <c r="AA66" s="11">
        <f>IF(SUMPRODUCT((Inputs!$B$4:$B$200=$B66)*ISNUMBER(INDEX(Inputs!$D$4:$AG$200,0,MATCH(AA$2,Inputs!$D$2:$AG$2,0))))=0,"",SUMIFS(INDEX(Inputs!$D$4:$AG$200,0,MATCH(AA$2,Inputs!$D$2:$AG$2,0)),Inputs!$B$4:$B$200,$B66)/1000)</f>
        <v>1.53175477</v>
      </c>
      <c r="AB66" s="12">
        <f>IF(COUNT(X66:AA66)=4,SUM(X66:AA66),"")</f>
        <v>7.19296747</v>
      </c>
      <c r="AC66" s="11">
        <f>IF(SUMPRODUCT((Inputs!$B$4:$B$200=$B66)*ISNUMBER(INDEX(Inputs!$D$4:$AG$200,0,MATCH(AC$2,Inputs!$D$2:$AG$2,0))))=0,"",SUMIFS(INDEX(Inputs!$D$4:$AG$200,0,MATCH(AC$2,Inputs!$D$2:$AG$2,0)),Inputs!$B$4:$B$200,$B66)/1000)</f>
        <v>1.47564871</v>
      </c>
      <c r="AD66" s="11">
        <f>IF(SUMPRODUCT((Inputs!$B$4:$B$200=$B66)*ISNUMBER(INDEX(Inputs!$D$4:$AG$200,0,MATCH(AD$2,Inputs!$D$2:$AG$2,0))))=0,"",SUMIFS(INDEX(Inputs!$D$4:$AG$200,0,MATCH(AD$2,Inputs!$D$2:$AG$2,0)),Inputs!$B$4:$B$200,$B66)/1000)</f>
        <v>1.52514017</v>
      </c>
      <c r="AE66" s="11" t="str">
        <f>IF(SUMPRODUCT((Inputs!$B$4:$B$200=$B66)*ISNUMBER(INDEX(Inputs!$D$4:$AG$200,0,MATCH(AE$2,Inputs!$D$2:$AG$2,0))))=0,"",SUMIFS(INDEX(Inputs!$D$4:$AG$200,0,MATCH(AE$2,Inputs!$D$2:$AG$2,0)),Inputs!$B$4:$B$200,$B66)/1000)</f>
        <v/>
      </c>
      <c r="AF66" s="11" t="str">
        <f>IF(SUMPRODUCT((Inputs!$B$4:$B$200=$B66)*ISNUMBER(INDEX(Inputs!$D$4:$AG$200,0,MATCH(AF$2,Inputs!$D$2:$AG$2,0))))=0,"",SUMIFS(INDEX(Inputs!$D$4:$AG$200,0,MATCH(AF$2,Inputs!$D$2:$AG$2,0)),Inputs!$B$4:$B$200,$B66)/1000)</f>
        <v/>
      </c>
      <c r="AG66" s="12" t="str">
        <f>IF(COUNT(AC66:AF66)=4,SUM(AC66:AF66),"")</f>
        <v/>
      </c>
    </row>
    <row r="67">
      <c r="B67" s="9" t="n">
        <v>59</v>
      </c>
      <c r="C67" s="10" t="inlineStr">
        <is>
          <t>Movida RAC - frota final (carros; Movida - Operational data l.8)</t>
        </is>
      </c>
      <c r="D67" s="11">
        <f>IF(SUMPRODUCT((Inputs!$B$4:$B$200=$B67)*ISNUMBER(INDEX(Inputs!$D$4:$AG$200,0,MATCH(D$2,Inputs!$D$2:$AG$2,0))))=0,"",SUMIFS(INDEX(Inputs!$D$4:$AG$200,0,MATCH(D$2,Inputs!$D$2:$AG$2,0)),Inputs!$B$4:$B$200,$B67)/1000)</f>
        <v>70213</v>
      </c>
      <c r="E67" s="11">
        <f>IF(SUMPRODUCT((Inputs!$B$4:$B$200=$B67)*ISNUMBER(INDEX(Inputs!$D$4:$AG$200,0,MATCH(E$2,Inputs!$D$2:$AG$2,0))))=0,"",SUMIFS(INDEX(Inputs!$D$4:$AG$200,0,MATCH(E$2,Inputs!$D$2:$AG$2,0)),Inputs!$B$4:$B$200,$B67)/1000)</f>
        <v>78453</v>
      </c>
      <c r="F67" s="11">
        <f>IF(SUMPRODUCT((Inputs!$B$4:$B$200=$B67)*ISNUMBER(INDEX(Inputs!$D$4:$AG$200,0,MATCH(F$2,Inputs!$D$2:$AG$2,0))))=0,"",SUMIFS(INDEX(Inputs!$D$4:$AG$200,0,MATCH(F$2,Inputs!$D$2:$AG$2,0)),Inputs!$B$4:$B$200,$B67)/1000)</f>
        <v>79888</v>
      </c>
      <c r="G67" s="11">
        <f>IF(SUMPRODUCT((Inputs!$B$4:$B$200=$B67)*ISNUMBER(INDEX(Inputs!$D$4:$AG$200,0,MATCH(G$2,Inputs!$D$2:$AG$2,0))))=0,"",SUMIFS(INDEX(Inputs!$D$4:$AG$200,0,MATCH(G$2,Inputs!$D$2:$AG$2,0)),Inputs!$B$4:$B$200,$B67)/1000)</f>
        <v>90671</v>
      </c>
      <c r="H67" s="12">
        <f>IF(COUNT(D67:G67)=4,SUM(D67:G67),"")</f>
        <v>319225</v>
      </c>
      <c r="I67" s="11">
        <f>IF(SUMPRODUCT((Inputs!$B$4:$B$200=$B67)*ISNUMBER(INDEX(Inputs!$D$4:$AG$200,0,MATCH(I$2,Inputs!$D$2:$AG$2,0))))=0,"",SUMIFS(INDEX(Inputs!$D$4:$AG$200,0,MATCH(I$2,Inputs!$D$2:$AG$2,0)),Inputs!$B$4:$B$200,$B67)/1000)</f>
        <v>96572</v>
      </c>
      <c r="J67" s="11">
        <f>IF(SUMPRODUCT((Inputs!$B$4:$B$200=$B67)*ISNUMBER(INDEX(Inputs!$D$4:$AG$200,0,MATCH(J$2,Inputs!$D$2:$AG$2,0))))=0,"",SUMIFS(INDEX(Inputs!$D$4:$AG$200,0,MATCH(J$2,Inputs!$D$2:$AG$2,0)),Inputs!$B$4:$B$200,$B67)/1000)</f>
        <v>100403</v>
      </c>
      <c r="K67" s="11">
        <f>IF(SUMPRODUCT((Inputs!$B$4:$B$200=$B67)*ISNUMBER(INDEX(Inputs!$D$4:$AG$200,0,MATCH(K$2,Inputs!$D$2:$AG$2,0))))=0,"",SUMIFS(INDEX(Inputs!$D$4:$AG$200,0,MATCH(K$2,Inputs!$D$2:$AG$2,0)),Inputs!$B$4:$B$200,$B67)/1000)</f>
        <v>104987</v>
      </c>
      <c r="L67" s="11">
        <f>IF(SUMPRODUCT((Inputs!$B$4:$B$200=$B67)*ISNUMBER(INDEX(Inputs!$D$4:$AG$200,0,MATCH(L$2,Inputs!$D$2:$AG$2,0))))=0,"",SUMIFS(INDEX(Inputs!$D$4:$AG$200,0,MATCH(L$2,Inputs!$D$2:$AG$2,0)),Inputs!$B$4:$B$200,$B67)/1000)</f>
        <v>111632</v>
      </c>
      <c r="M67" s="12">
        <f>IF(COUNT(I67:L67)=4,SUM(I67:L67),"")</f>
        <v>413594</v>
      </c>
      <c r="N67" s="11">
        <f>IF(SUMPRODUCT((Inputs!$B$4:$B$200=$B67)*ISNUMBER(INDEX(Inputs!$D$4:$AG$200,0,MATCH(N$2,Inputs!$D$2:$AG$2,0))))=0,"",SUMIFS(INDEX(Inputs!$D$4:$AG$200,0,MATCH(N$2,Inputs!$D$2:$AG$2,0)),Inputs!$B$4:$B$200,$B67)/1000)</f>
        <v>98373</v>
      </c>
      <c r="O67" s="11">
        <f>IF(SUMPRODUCT((Inputs!$B$4:$B$200=$B67)*ISNUMBER(INDEX(Inputs!$D$4:$AG$200,0,MATCH(O$2,Inputs!$D$2:$AG$2,0))))=0,"",SUMIFS(INDEX(Inputs!$D$4:$AG$200,0,MATCH(O$2,Inputs!$D$2:$AG$2,0)),Inputs!$B$4:$B$200,$B67)/1000)</f>
        <v>91632</v>
      </c>
      <c r="P67" s="11">
        <f>IF(SUMPRODUCT((Inputs!$B$4:$B$200=$B67)*ISNUMBER(INDEX(Inputs!$D$4:$AG$200,0,MATCH(P$2,Inputs!$D$2:$AG$2,0))))=0,"",SUMIFS(INDEX(Inputs!$D$4:$AG$200,0,MATCH(P$2,Inputs!$D$2:$AG$2,0)),Inputs!$B$4:$B$200,$B67)/1000)</f>
        <v>94273</v>
      </c>
      <c r="Q67" s="11">
        <f>IF(SUMPRODUCT((Inputs!$B$4:$B$200=$B67)*ISNUMBER(INDEX(Inputs!$D$4:$AG$200,0,MATCH(Q$2,Inputs!$D$2:$AG$2,0))))=0,"",SUMIFS(INDEX(Inputs!$D$4:$AG$200,0,MATCH(Q$2,Inputs!$D$2:$AG$2,0)),Inputs!$B$4:$B$200,$B67)/1000)</f>
        <v>113150</v>
      </c>
      <c r="R67" s="12">
        <f>IF(COUNT(N67:Q67)=4,SUM(N67:Q67),"")</f>
        <v>397428</v>
      </c>
      <c r="S67" s="11">
        <f>IF(SUMPRODUCT((Inputs!$B$4:$B$200=$B67)*ISNUMBER(INDEX(Inputs!$D$4:$AG$200,0,MATCH(S$2,Inputs!$D$2:$AG$2,0))))=0,"",SUMIFS(INDEX(Inputs!$D$4:$AG$200,0,MATCH(S$2,Inputs!$D$2:$AG$2,0)),Inputs!$B$4:$B$200,$B67)/1000)</f>
        <v>110091</v>
      </c>
      <c r="T67" s="11">
        <f>IF(SUMPRODUCT((Inputs!$B$4:$B$200=$B67)*ISNUMBER(INDEX(Inputs!$D$4:$AG$200,0,MATCH(T$2,Inputs!$D$2:$AG$2,0))))=0,"",SUMIFS(INDEX(Inputs!$D$4:$AG$200,0,MATCH(T$2,Inputs!$D$2:$AG$2,0)),Inputs!$B$4:$B$200,$B67)/1000)</f>
        <v>108716</v>
      </c>
      <c r="U67" s="11">
        <f>IF(SUMPRODUCT((Inputs!$B$4:$B$200=$B67)*ISNUMBER(INDEX(Inputs!$D$4:$AG$200,0,MATCH(U$2,Inputs!$D$2:$AG$2,0))))=0,"",SUMIFS(INDEX(Inputs!$D$4:$AG$200,0,MATCH(U$2,Inputs!$D$2:$AG$2,0)),Inputs!$B$4:$B$200,$B67)/1000)</f>
        <v>110182</v>
      </c>
      <c r="V67" s="11">
        <f>IF(SUMPRODUCT((Inputs!$B$4:$B$200=$B67)*ISNUMBER(INDEX(Inputs!$D$4:$AG$200,0,MATCH(V$2,Inputs!$D$2:$AG$2,0))))=0,"",SUMIFS(INDEX(Inputs!$D$4:$AG$200,0,MATCH(V$2,Inputs!$D$2:$AG$2,0)),Inputs!$B$4:$B$200,$B67)/1000)</f>
        <v>121942</v>
      </c>
      <c r="W67" s="12">
        <f>IF(COUNT(S67:V67)=4,SUM(S67:V67),"")</f>
        <v>450931</v>
      </c>
      <c r="X67" s="11">
        <f>IF(SUMPRODUCT((Inputs!$B$4:$B$200=$B67)*ISNUMBER(INDEX(Inputs!$D$4:$AG$200,0,MATCH(X$2,Inputs!$D$2:$AG$2,0))))=0,"",SUMIFS(INDEX(Inputs!$D$4:$AG$200,0,MATCH(X$2,Inputs!$D$2:$AG$2,0)),Inputs!$B$4:$B$200,$B67)/1000)</f>
        <v>113257</v>
      </c>
      <c r="Y67" s="11">
        <f>IF(SUMPRODUCT((Inputs!$B$4:$B$200=$B67)*ISNUMBER(INDEX(Inputs!$D$4:$AG$200,0,MATCH(Y$2,Inputs!$D$2:$AG$2,0))))=0,"",SUMIFS(INDEX(Inputs!$D$4:$AG$200,0,MATCH(Y$2,Inputs!$D$2:$AG$2,0)),Inputs!$B$4:$B$200,$B67)/1000)</f>
        <v>120133</v>
      </c>
      <c r="Z67" s="11">
        <f>IF(SUMPRODUCT((Inputs!$B$4:$B$200=$B67)*ISNUMBER(INDEX(Inputs!$D$4:$AG$200,0,MATCH(Z$2,Inputs!$D$2:$AG$2,0))))=0,"",SUMIFS(INDEX(Inputs!$D$4:$AG$200,0,MATCH(Z$2,Inputs!$D$2:$AG$2,0)),Inputs!$B$4:$B$200,$B67)/1000)</f>
        <v>115498</v>
      </c>
      <c r="AA67" s="11">
        <f>IF(SUMPRODUCT((Inputs!$B$4:$B$200=$B67)*ISNUMBER(INDEX(Inputs!$D$4:$AG$200,0,MATCH(AA$2,Inputs!$D$2:$AG$2,0))))=0,"",SUMIFS(INDEX(Inputs!$D$4:$AG$200,0,MATCH(AA$2,Inputs!$D$2:$AG$2,0)),Inputs!$B$4:$B$200,$B67)/1000)</f>
        <v>130634</v>
      </c>
      <c r="AB67" s="12">
        <f>IF(COUNT(X67:AA67)=4,SUM(X67:AA67),"")</f>
        <v>479522</v>
      </c>
      <c r="AC67" s="11">
        <f>IF(SUMPRODUCT((Inputs!$B$4:$B$200=$B67)*ISNUMBER(INDEX(Inputs!$D$4:$AG$200,0,MATCH(AC$2,Inputs!$D$2:$AG$2,0))))=0,"",SUMIFS(INDEX(Inputs!$D$4:$AG$200,0,MATCH(AC$2,Inputs!$D$2:$AG$2,0)),Inputs!$B$4:$B$200,$B67)/1000)</f>
        <v>125307</v>
      </c>
      <c r="AD67" s="11">
        <f>IF(SUMPRODUCT((Inputs!$B$4:$B$200=$B67)*ISNUMBER(INDEX(Inputs!$D$4:$AG$200,0,MATCH(AD$2,Inputs!$D$2:$AG$2,0))))=0,"",SUMIFS(INDEX(Inputs!$D$4:$AG$200,0,MATCH(AD$2,Inputs!$D$2:$AG$2,0)),Inputs!$B$4:$B$200,$B67)/1000)</f>
        <v>139785</v>
      </c>
      <c r="AE67" s="11" t="str">
        <f>IF(SUMPRODUCT((Inputs!$B$4:$B$200=$B67)*ISNUMBER(INDEX(Inputs!$D$4:$AG$200,0,MATCH(AE$2,Inputs!$D$2:$AG$2,0))))=0,"",SUMIFS(INDEX(Inputs!$D$4:$AG$200,0,MATCH(AE$2,Inputs!$D$2:$AG$2,0)),Inputs!$B$4:$B$200,$B67)/1000)</f>
        <v/>
      </c>
      <c r="AF67" s="11" t="str">
        <f>IF(SUMPRODUCT((Inputs!$B$4:$B$200=$B67)*ISNUMBER(INDEX(Inputs!$D$4:$AG$200,0,MATCH(AF$2,Inputs!$D$2:$AG$2,0))))=0,"",SUMIFS(INDEX(Inputs!$D$4:$AG$200,0,MATCH(AF$2,Inputs!$D$2:$AG$2,0)),Inputs!$B$4:$B$200,$B67)/1000)</f>
        <v/>
      </c>
      <c r="AG67" s="12" t="str">
        <f>IF(COUNT(AC67:AF67)=4,SUM(AC67:AF67),"")</f>
        <v/>
      </c>
    </row>
    <row r="68">
      <c r="B68" s="9" t="n">
        <v>60</v>
      </c>
      <c r="C68" s="10" t="inlineStr">
        <is>
          <t>Movida RAC - numero de diarias (mil; l.16)</t>
        </is>
      </c>
      <c r="D68" s="11">
        <f>IF(SUMPRODUCT((Inputs!$B$4:$B$200=$B68)*ISNUMBER(INDEX(Inputs!$D$4:$AG$200,0,MATCH(D$2,Inputs!$D$2:$AG$2,0))))=0,"",SUMIFS(INDEX(Inputs!$D$4:$AG$200,0,MATCH(D$2,Inputs!$D$2:$AG$2,0)),Inputs!$B$4:$B$200,$B68)/1000)</f>
        <v>5067.042</v>
      </c>
      <c r="E68" s="11">
        <f>IF(SUMPRODUCT((Inputs!$B$4:$B$200=$B68)*ISNUMBER(INDEX(Inputs!$D$4:$AG$200,0,MATCH(E$2,Inputs!$D$2:$AG$2,0))))=0,"",SUMIFS(INDEX(Inputs!$D$4:$AG$200,0,MATCH(E$2,Inputs!$D$2:$AG$2,0)),Inputs!$B$4:$B$200,$B68)/1000)</f>
        <v>4618.39</v>
      </c>
      <c r="F68" s="11">
        <f>IF(SUMPRODUCT((Inputs!$B$4:$B$200=$B68)*ISNUMBER(INDEX(Inputs!$D$4:$AG$200,0,MATCH(F$2,Inputs!$D$2:$AG$2,0))))=0,"",SUMIFS(INDEX(Inputs!$D$4:$AG$200,0,MATCH(F$2,Inputs!$D$2:$AG$2,0)),Inputs!$B$4:$B$200,$B68)/1000)</f>
        <v>5143.355</v>
      </c>
      <c r="G68" s="11">
        <f>IF(SUMPRODUCT((Inputs!$B$4:$B$200=$B68)*ISNUMBER(INDEX(Inputs!$D$4:$AG$200,0,MATCH(G$2,Inputs!$D$2:$AG$2,0))))=0,"",SUMIFS(INDEX(Inputs!$D$4:$AG$200,0,MATCH(G$2,Inputs!$D$2:$AG$2,0)),Inputs!$B$4:$B$200,$B68)/1000)</f>
        <v>5281.203</v>
      </c>
      <c r="H68" s="12">
        <f>IF(COUNT(D68:G68)=4,SUM(D68:G68),"")</f>
        <v>20109.99</v>
      </c>
      <c r="I68" s="11">
        <f>IF(SUMPRODUCT((Inputs!$B$4:$B$200=$B68)*ISNUMBER(INDEX(Inputs!$D$4:$AG$200,0,MATCH(I$2,Inputs!$D$2:$AG$2,0))))=0,"",SUMIFS(INDEX(Inputs!$D$4:$AG$200,0,MATCH(I$2,Inputs!$D$2:$AG$2,0)),Inputs!$B$4:$B$200,$B68)/1000)</f>
        <v>5224.573</v>
      </c>
      <c r="J68" s="11">
        <f>IF(SUMPRODUCT((Inputs!$B$4:$B$200=$B68)*ISNUMBER(INDEX(Inputs!$D$4:$AG$200,0,MATCH(J$2,Inputs!$D$2:$AG$2,0))))=0,"",SUMIFS(INDEX(Inputs!$D$4:$AG$200,0,MATCH(J$2,Inputs!$D$2:$AG$2,0)),Inputs!$B$4:$B$200,$B68)/1000)</f>
        <v>5677.49</v>
      </c>
      <c r="K68" s="11">
        <f>IF(SUMPRODUCT((Inputs!$B$4:$B$200=$B68)*ISNUMBER(INDEX(Inputs!$D$4:$AG$200,0,MATCH(K$2,Inputs!$D$2:$AG$2,0))))=0,"",SUMIFS(INDEX(Inputs!$D$4:$AG$200,0,MATCH(K$2,Inputs!$D$2:$AG$2,0)),Inputs!$B$4:$B$200,$B68)/1000)</f>
        <v>5888.846</v>
      </c>
      <c r="L68" s="11">
        <f>IF(SUMPRODUCT((Inputs!$B$4:$B$200=$B68)*ISNUMBER(INDEX(Inputs!$D$4:$AG$200,0,MATCH(L$2,Inputs!$D$2:$AG$2,0))))=0,"",SUMIFS(INDEX(Inputs!$D$4:$AG$200,0,MATCH(L$2,Inputs!$D$2:$AG$2,0)),Inputs!$B$4:$B$200,$B68)/1000)</f>
        <v>6111.338</v>
      </c>
      <c r="M68" s="12">
        <f>IF(COUNT(I68:L68)=4,SUM(I68:L68),"")</f>
        <v>22902.247</v>
      </c>
      <c r="N68" s="11">
        <f>IF(SUMPRODUCT((Inputs!$B$4:$B$200=$B68)*ISNUMBER(INDEX(Inputs!$D$4:$AG$200,0,MATCH(N$2,Inputs!$D$2:$AG$2,0))))=0,"",SUMIFS(INDEX(Inputs!$D$4:$AG$200,0,MATCH(N$2,Inputs!$D$2:$AG$2,0)),Inputs!$B$4:$B$200,$B68)/1000)</f>
        <v>6218.754</v>
      </c>
      <c r="O68" s="11">
        <f>IF(SUMPRODUCT((Inputs!$B$4:$B$200=$B68)*ISNUMBER(INDEX(Inputs!$D$4:$AG$200,0,MATCH(O$2,Inputs!$D$2:$AG$2,0))))=0,"",SUMIFS(INDEX(Inputs!$D$4:$AG$200,0,MATCH(O$2,Inputs!$D$2:$AG$2,0)),Inputs!$B$4:$B$200,$B68)/1000)</f>
        <v>5837.236</v>
      </c>
      <c r="P68" s="11">
        <f>IF(SUMPRODUCT((Inputs!$B$4:$B$200=$B68)*ISNUMBER(INDEX(Inputs!$D$4:$AG$200,0,MATCH(P$2,Inputs!$D$2:$AG$2,0))))=0,"",SUMIFS(INDEX(Inputs!$D$4:$AG$200,0,MATCH(P$2,Inputs!$D$2:$AG$2,0)),Inputs!$B$4:$B$200,$B68)/1000)</f>
        <v>5819.624</v>
      </c>
      <c r="Q68" s="11">
        <f>IF(SUMPRODUCT((Inputs!$B$4:$B$200=$B68)*ISNUMBER(INDEX(Inputs!$D$4:$AG$200,0,MATCH(Q$2,Inputs!$D$2:$AG$2,0))))=0,"",SUMIFS(INDEX(Inputs!$D$4:$AG$200,0,MATCH(Q$2,Inputs!$D$2:$AG$2,0)),Inputs!$B$4:$B$200,$B68)/1000)</f>
        <v>5945.636</v>
      </c>
      <c r="R68" s="12">
        <f>IF(COUNT(N68:Q68)=4,SUM(N68:Q68),"")</f>
        <v>23821.25</v>
      </c>
      <c r="S68" s="11">
        <f>IF(SUMPRODUCT((Inputs!$B$4:$B$200=$B68)*ISNUMBER(INDEX(Inputs!$D$4:$AG$200,0,MATCH(S$2,Inputs!$D$2:$AG$2,0))))=0,"",SUMIFS(INDEX(Inputs!$D$4:$AG$200,0,MATCH(S$2,Inputs!$D$2:$AG$2,0)),Inputs!$B$4:$B$200,$B68)/1000)</f>
        <v>6414.484</v>
      </c>
      <c r="T68" s="11">
        <f>IF(SUMPRODUCT((Inputs!$B$4:$B$200=$B68)*ISNUMBER(INDEX(Inputs!$D$4:$AG$200,0,MATCH(T$2,Inputs!$D$2:$AG$2,0))))=0,"",SUMIFS(INDEX(Inputs!$D$4:$AG$200,0,MATCH(T$2,Inputs!$D$2:$AG$2,0)),Inputs!$B$4:$B$200,$B68)/1000)</f>
        <v>6200.041</v>
      </c>
      <c r="U68" s="11">
        <f>IF(SUMPRODUCT((Inputs!$B$4:$B$200=$B68)*ISNUMBER(INDEX(Inputs!$D$4:$AG$200,0,MATCH(U$2,Inputs!$D$2:$AG$2,0))))=0,"",SUMIFS(INDEX(Inputs!$D$4:$AG$200,0,MATCH(U$2,Inputs!$D$2:$AG$2,0)),Inputs!$B$4:$B$200,$B68)/1000)</f>
        <v>6004.671</v>
      </c>
      <c r="V68" s="11">
        <f>IF(SUMPRODUCT((Inputs!$B$4:$B$200=$B68)*ISNUMBER(INDEX(Inputs!$D$4:$AG$200,0,MATCH(V$2,Inputs!$D$2:$AG$2,0))))=0,"",SUMIFS(INDEX(Inputs!$D$4:$AG$200,0,MATCH(V$2,Inputs!$D$2:$AG$2,0)),Inputs!$B$4:$B$200,$B68)/1000)</f>
        <v>5958.805</v>
      </c>
      <c r="W68" s="12">
        <f>IF(COUNT(S68:V68)=4,SUM(S68:V68),"")</f>
        <v>24578.001</v>
      </c>
      <c r="X68" s="11">
        <f>IF(SUMPRODUCT((Inputs!$B$4:$B$200=$B68)*ISNUMBER(INDEX(Inputs!$D$4:$AG$200,0,MATCH(X$2,Inputs!$D$2:$AG$2,0))))=0,"",SUMIFS(INDEX(Inputs!$D$4:$AG$200,0,MATCH(X$2,Inputs!$D$2:$AG$2,0)),Inputs!$B$4:$B$200,$B68)/1000)</f>
        <v>6026.629</v>
      </c>
      <c r="Y68" s="11">
        <f>IF(SUMPRODUCT((Inputs!$B$4:$B$200=$B68)*ISNUMBER(INDEX(Inputs!$D$4:$AG$200,0,MATCH(Y$2,Inputs!$D$2:$AG$2,0))))=0,"",SUMIFS(INDEX(Inputs!$D$4:$AG$200,0,MATCH(Y$2,Inputs!$D$2:$AG$2,0)),Inputs!$B$4:$B$200,$B68)/1000)</f>
        <v>6070.355</v>
      </c>
      <c r="Z68" s="11">
        <f>IF(SUMPRODUCT((Inputs!$B$4:$B$200=$B68)*ISNUMBER(INDEX(Inputs!$D$4:$AG$200,0,MATCH(Z$2,Inputs!$D$2:$AG$2,0))))=0,"",SUMIFS(INDEX(Inputs!$D$4:$AG$200,0,MATCH(Z$2,Inputs!$D$2:$AG$2,0)),Inputs!$B$4:$B$200,$B68)/1000)</f>
        <v>6084.784</v>
      </c>
      <c r="AA68" s="11">
        <f>IF(SUMPRODUCT((Inputs!$B$4:$B$200=$B68)*ISNUMBER(INDEX(Inputs!$D$4:$AG$200,0,MATCH(AA$2,Inputs!$D$2:$AG$2,0))))=0,"",SUMIFS(INDEX(Inputs!$D$4:$AG$200,0,MATCH(AA$2,Inputs!$D$2:$AG$2,0)),Inputs!$B$4:$B$200,$B68)/1000)</f>
        <v>6688.82</v>
      </c>
      <c r="AB68" s="12">
        <f>IF(COUNT(X68:AA68)=4,SUM(X68:AA68),"")</f>
        <v>24870.588</v>
      </c>
      <c r="AC68" s="11">
        <f>IF(SUMPRODUCT((Inputs!$B$4:$B$200=$B68)*ISNUMBER(INDEX(Inputs!$D$4:$AG$200,0,MATCH(AC$2,Inputs!$D$2:$AG$2,0))))=0,"",SUMIFS(INDEX(Inputs!$D$4:$AG$200,0,MATCH(AC$2,Inputs!$D$2:$AG$2,0)),Inputs!$B$4:$B$200,$B68)/1000)</f>
        <v>7085.315149551</v>
      </c>
      <c r="AD68" s="11">
        <f>IF(SUMPRODUCT((Inputs!$B$4:$B$200=$B68)*ISNUMBER(INDEX(Inputs!$D$4:$AG$200,0,MATCH(AD$2,Inputs!$D$2:$AG$2,0))))=0,"",SUMIFS(INDEX(Inputs!$D$4:$AG$200,0,MATCH(AD$2,Inputs!$D$2:$AG$2,0)),Inputs!$B$4:$B$200,$B68)/1000)</f>
        <v>7412.786999999</v>
      </c>
      <c r="AE68" s="11" t="str">
        <f>IF(SUMPRODUCT((Inputs!$B$4:$B$200=$B68)*ISNUMBER(INDEX(Inputs!$D$4:$AG$200,0,MATCH(AE$2,Inputs!$D$2:$AG$2,0))))=0,"",SUMIFS(INDEX(Inputs!$D$4:$AG$200,0,MATCH(AE$2,Inputs!$D$2:$AG$2,0)),Inputs!$B$4:$B$200,$B68)/1000)</f>
        <v/>
      </c>
      <c r="AF68" s="11" t="str">
        <f>IF(SUMPRODUCT((Inputs!$B$4:$B$200=$B68)*ISNUMBER(INDEX(Inputs!$D$4:$AG$200,0,MATCH(AF$2,Inputs!$D$2:$AG$2,0))))=0,"",SUMIFS(INDEX(Inputs!$D$4:$AG$200,0,MATCH(AF$2,Inputs!$D$2:$AG$2,0)),Inputs!$B$4:$B$200,$B68)/1000)</f>
        <v/>
      </c>
      <c r="AG68" s="12" t="str">
        <f>IF(COUNT(AC68:AF68)=4,SUM(AC68:AF68),"")</f>
        <v/>
      </c>
    </row>
    <row r="69">
      <c r="B69" s="9" t="n">
        <v>61</v>
      </c>
      <c r="C69" s="10" t="inlineStr">
        <is>
          <t>Movida RAC - taxa de ocupacao (l.17)</t>
        </is>
      </c>
      <c r="D69" s="11">
        <f>IF(SUMPRODUCT((Inputs!$B$4:$B$200=$B69)*ISNUMBER(INDEX(Inputs!$D$4:$AG$200,0,MATCH(D$2,Inputs!$D$2:$AG$2,0))))=0,"",SUMIFS(INDEX(Inputs!$D$4:$AG$200,0,MATCH(D$2,Inputs!$D$2:$AG$2,0)),Inputs!$B$4:$B$200,$B69)/1000)</f>
        <v>0.793</v>
      </c>
      <c r="E69" s="11">
        <f>IF(SUMPRODUCT((Inputs!$B$4:$B$200=$B69)*ISNUMBER(INDEX(Inputs!$D$4:$AG$200,0,MATCH(E$2,Inputs!$D$2:$AG$2,0))))=0,"",SUMIFS(INDEX(Inputs!$D$4:$AG$200,0,MATCH(E$2,Inputs!$D$2:$AG$2,0)),Inputs!$B$4:$B$200,$B69)/1000)</f>
        <v>0.796</v>
      </c>
      <c r="F69" s="11">
        <f>IF(SUMPRODUCT((Inputs!$B$4:$B$200=$B69)*ISNUMBER(INDEX(Inputs!$D$4:$AG$200,0,MATCH(F$2,Inputs!$D$2:$AG$2,0))))=0,"",SUMIFS(INDEX(Inputs!$D$4:$AG$200,0,MATCH(F$2,Inputs!$D$2:$AG$2,0)),Inputs!$B$4:$B$200,$B69)/1000)</f>
        <v>0.829</v>
      </c>
      <c r="G69" s="11">
        <f>IF(SUMPRODUCT((Inputs!$B$4:$B$200=$B69)*ISNUMBER(INDEX(Inputs!$D$4:$AG$200,0,MATCH(G$2,Inputs!$D$2:$AG$2,0))))=0,"",SUMIFS(INDEX(Inputs!$D$4:$AG$200,0,MATCH(G$2,Inputs!$D$2:$AG$2,0)),Inputs!$B$4:$B$200,$B69)/1000)</f>
        <v>0.808</v>
      </c>
      <c r="H69" s="12">
        <f>IF(COUNT(D69:G69)=4,SUM(D69:G69),"")</f>
        <v>3.226</v>
      </c>
      <c r="I69" s="11">
        <f>IF(SUMPRODUCT((Inputs!$B$4:$B$200=$B69)*ISNUMBER(INDEX(Inputs!$D$4:$AG$200,0,MATCH(I$2,Inputs!$D$2:$AG$2,0))))=0,"",SUMIFS(INDEX(Inputs!$D$4:$AG$200,0,MATCH(I$2,Inputs!$D$2:$AG$2,0)),Inputs!$B$4:$B$200,$B69)/1000)</f>
        <v>0.761</v>
      </c>
      <c r="J69" s="11">
        <f>IF(SUMPRODUCT((Inputs!$B$4:$B$200=$B69)*ISNUMBER(INDEX(Inputs!$D$4:$AG$200,0,MATCH(J$2,Inputs!$D$2:$AG$2,0))))=0,"",SUMIFS(INDEX(Inputs!$D$4:$AG$200,0,MATCH(J$2,Inputs!$D$2:$AG$2,0)),Inputs!$B$4:$B$200,$B69)/1000)</f>
        <v>0.793</v>
      </c>
      <c r="K69" s="11">
        <f>IF(SUMPRODUCT((Inputs!$B$4:$B$200=$B69)*ISNUMBER(INDEX(Inputs!$D$4:$AG$200,0,MATCH(K$2,Inputs!$D$2:$AG$2,0))))=0,"",SUMIFS(INDEX(Inputs!$D$4:$AG$200,0,MATCH(K$2,Inputs!$D$2:$AG$2,0)),Inputs!$B$4:$B$200,$B69)/1000)</f>
        <v>0.772</v>
      </c>
      <c r="L69" s="11">
        <f>IF(SUMPRODUCT((Inputs!$B$4:$B$200=$B69)*ISNUMBER(INDEX(Inputs!$D$4:$AG$200,0,MATCH(L$2,Inputs!$D$2:$AG$2,0))))=0,"",SUMIFS(INDEX(Inputs!$D$4:$AG$200,0,MATCH(L$2,Inputs!$D$2:$AG$2,0)),Inputs!$B$4:$B$200,$B69)/1000)</f>
        <v>0.766</v>
      </c>
      <c r="M69" s="12">
        <f>IF(COUNT(I69:L69)=4,SUM(I69:L69),"")</f>
        <v>3.092</v>
      </c>
      <c r="N69" s="11">
        <f>IF(SUMPRODUCT((Inputs!$B$4:$B$200=$B69)*ISNUMBER(INDEX(Inputs!$D$4:$AG$200,0,MATCH(N$2,Inputs!$D$2:$AG$2,0))))=0,"",SUMIFS(INDEX(Inputs!$D$4:$AG$200,0,MATCH(N$2,Inputs!$D$2:$AG$2,0)),Inputs!$B$4:$B$200,$B69)/1000)</f>
        <v>0.784</v>
      </c>
      <c r="O69" s="11">
        <f>IF(SUMPRODUCT((Inputs!$B$4:$B$200=$B69)*ISNUMBER(INDEX(Inputs!$D$4:$AG$200,0,MATCH(O$2,Inputs!$D$2:$AG$2,0))))=0,"",SUMIFS(INDEX(Inputs!$D$4:$AG$200,0,MATCH(O$2,Inputs!$D$2:$AG$2,0)),Inputs!$B$4:$B$200,$B69)/1000)</f>
        <v>0.783</v>
      </c>
      <c r="P69" s="11">
        <f>IF(SUMPRODUCT((Inputs!$B$4:$B$200=$B69)*ISNUMBER(INDEX(Inputs!$D$4:$AG$200,0,MATCH(P$2,Inputs!$D$2:$AG$2,0))))=0,"",SUMIFS(INDEX(Inputs!$D$4:$AG$200,0,MATCH(P$2,Inputs!$D$2:$AG$2,0)),Inputs!$B$4:$B$200,$B69)/1000)</f>
        <v>0.811</v>
      </c>
      <c r="Q69" s="11">
        <f>IF(SUMPRODUCT((Inputs!$B$4:$B$200=$B69)*ISNUMBER(INDEX(Inputs!$D$4:$AG$200,0,MATCH(Q$2,Inputs!$D$2:$AG$2,0))))=0,"",SUMIFS(INDEX(Inputs!$D$4:$AG$200,0,MATCH(Q$2,Inputs!$D$2:$AG$2,0)),Inputs!$B$4:$B$200,$B69)/1000)</f>
        <v>0.82</v>
      </c>
      <c r="R69" s="12">
        <f>IF(COUNT(N69:Q69)=4,SUM(N69:Q69),"")</f>
        <v>3.198</v>
      </c>
      <c r="S69" s="11">
        <f>IF(SUMPRODUCT((Inputs!$B$4:$B$200=$B69)*ISNUMBER(INDEX(Inputs!$D$4:$AG$200,0,MATCH(S$2,Inputs!$D$2:$AG$2,0))))=0,"",SUMIFS(INDEX(Inputs!$D$4:$AG$200,0,MATCH(S$2,Inputs!$D$2:$AG$2,0)),Inputs!$B$4:$B$200,$B69)/1000)</f>
        <v>0.802</v>
      </c>
      <c r="T69" s="11">
        <f>IF(SUMPRODUCT((Inputs!$B$4:$B$200=$B69)*ISNUMBER(INDEX(Inputs!$D$4:$AG$200,0,MATCH(T$2,Inputs!$D$2:$AG$2,0))))=0,"",SUMIFS(INDEX(Inputs!$D$4:$AG$200,0,MATCH(T$2,Inputs!$D$2:$AG$2,0)),Inputs!$B$4:$B$200,$B69)/1000)</f>
        <v>0.781</v>
      </c>
      <c r="U69" s="11">
        <f>IF(SUMPRODUCT((Inputs!$B$4:$B$200=$B69)*ISNUMBER(INDEX(Inputs!$D$4:$AG$200,0,MATCH(U$2,Inputs!$D$2:$AG$2,0))))=0,"",SUMIFS(INDEX(Inputs!$D$4:$AG$200,0,MATCH(U$2,Inputs!$D$2:$AG$2,0)),Inputs!$B$4:$B$200,$B69)/1000)</f>
        <v>0.781</v>
      </c>
      <c r="V69" s="11">
        <f>IF(SUMPRODUCT((Inputs!$B$4:$B$200=$B69)*ISNUMBER(INDEX(Inputs!$D$4:$AG$200,0,MATCH(V$2,Inputs!$D$2:$AG$2,0))))=0,"",SUMIFS(INDEX(Inputs!$D$4:$AG$200,0,MATCH(V$2,Inputs!$D$2:$AG$2,0)),Inputs!$B$4:$B$200,$B69)/1000)</f>
        <v>0.749</v>
      </c>
      <c r="W69" s="12">
        <f>IF(COUNT(S69:V69)=4,SUM(S69:V69),"")</f>
        <v>3.113</v>
      </c>
      <c r="X69" s="11">
        <f>IF(SUMPRODUCT((Inputs!$B$4:$B$200=$B69)*ISNUMBER(INDEX(Inputs!$D$4:$AG$200,0,MATCH(X$2,Inputs!$D$2:$AG$2,0))))=0,"",SUMIFS(INDEX(Inputs!$D$4:$AG$200,0,MATCH(X$2,Inputs!$D$2:$AG$2,0)),Inputs!$B$4:$B$200,$B69)/1000)</f>
        <v>0.717</v>
      </c>
      <c r="Y69" s="11">
        <f>IF(SUMPRODUCT((Inputs!$B$4:$B$200=$B69)*ISNUMBER(INDEX(Inputs!$D$4:$AG$200,0,MATCH(Y$2,Inputs!$D$2:$AG$2,0))))=0,"",SUMIFS(INDEX(Inputs!$D$4:$AG$200,0,MATCH(Y$2,Inputs!$D$2:$AG$2,0)),Inputs!$B$4:$B$200,$B69)/1000)</f>
        <v>0.741</v>
      </c>
      <c r="Z69" s="11">
        <f>IF(SUMPRODUCT((Inputs!$B$4:$B$200=$B69)*ISNUMBER(INDEX(Inputs!$D$4:$AG$200,0,MATCH(Z$2,Inputs!$D$2:$AG$2,0))))=0,"",SUMIFS(INDEX(Inputs!$D$4:$AG$200,0,MATCH(Z$2,Inputs!$D$2:$AG$2,0)),Inputs!$B$4:$B$200,$B69)/1000)</f>
        <v>0.718</v>
      </c>
      <c r="AA69" s="11">
        <f>IF(SUMPRODUCT((Inputs!$B$4:$B$200=$B69)*ISNUMBER(INDEX(Inputs!$D$4:$AG$200,0,MATCH(AA$2,Inputs!$D$2:$AG$2,0))))=0,"",SUMIFS(INDEX(Inputs!$D$4:$AG$200,0,MATCH(AA$2,Inputs!$D$2:$AG$2,0)),Inputs!$B$4:$B$200,$B69)/1000)</f>
        <v>0.758469913</v>
      </c>
      <c r="AB69" s="12">
        <f>IF(COUNT(X69:AA69)=4,SUM(X69:AA69),"")</f>
        <v>2.934469913</v>
      </c>
      <c r="AC69" s="11">
        <f>IF(SUMPRODUCT((Inputs!$B$4:$B$200=$B69)*ISNUMBER(INDEX(Inputs!$D$4:$AG$200,0,MATCH(AC$2,Inputs!$D$2:$AG$2,0))))=0,"",SUMIFS(INDEX(Inputs!$D$4:$AG$200,0,MATCH(AC$2,Inputs!$D$2:$AG$2,0)),Inputs!$B$4:$B$200,$B69)/1000)</f>
        <v>0.772834169</v>
      </c>
      <c r="AD69" s="11">
        <f>IF(SUMPRODUCT((Inputs!$B$4:$B$200=$B69)*ISNUMBER(INDEX(Inputs!$D$4:$AG$200,0,MATCH(AD$2,Inputs!$D$2:$AG$2,0))))=0,"",SUMIFS(INDEX(Inputs!$D$4:$AG$200,0,MATCH(AD$2,Inputs!$D$2:$AG$2,0)),Inputs!$B$4:$B$200,$B69)/1000)</f>
        <v>0.762080418</v>
      </c>
      <c r="AE69" s="11" t="str">
        <f>IF(SUMPRODUCT((Inputs!$B$4:$B$200=$B69)*ISNUMBER(INDEX(Inputs!$D$4:$AG$200,0,MATCH(AE$2,Inputs!$D$2:$AG$2,0))))=0,"",SUMIFS(INDEX(Inputs!$D$4:$AG$200,0,MATCH(AE$2,Inputs!$D$2:$AG$2,0)),Inputs!$B$4:$B$200,$B69)/1000)</f>
        <v/>
      </c>
      <c r="AF69" s="11" t="str">
        <f>IF(SUMPRODUCT((Inputs!$B$4:$B$200=$B69)*ISNUMBER(INDEX(Inputs!$D$4:$AG$200,0,MATCH(AF$2,Inputs!$D$2:$AG$2,0))))=0,"",SUMIFS(INDEX(Inputs!$D$4:$AG$200,0,MATCH(AF$2,Inputs!$D$2:$AG$2,0)),Inputs!$B$4:$B$200,$B69)/1000)</f>
        <v/>
      </c>
      <c r="AG69" s="12" t="str">
        <f>IF(COUNT(AC69:AF69)=4,SUM(AC69:AF69),"")</f>
        <v/>
      </c>
    </row>
    <row r="70">
      <c r="B70" s="9" t="n">
        <v>62</v>
      </c>
      <c r="C70" s="10" t="inlineStr">
        <is>
          <t>Movida RAC - diaria media (R$; l.18)</t>
        </is>
      </c>
      <c r="D70" s="11">
        <f>IF(SUMPRODUCT((Inputs!$B$4:$B$200=$B70)*ISNUMBER(INDEX(Inputs!$D$4:$AG$200,0,MATCH(D$2,Inputs!$D$2:$AG$2,0))))=0,"",SUMIFS(INDEX(Inputs!$D$4:$AG$200,0,MATCH(D$2,Inputs!$D$2:$AG$2,0)),Inputs!$B$4:$B$200,$B70)/1000)</f>
        <v>81.742</v>
      </c>
      <c r="E70" s="11">
        <f>IF(SUMPRODUCT((Inputs!$B$4:$B$200=$B70)*ISNUMBER(INDEX(Inputs!$D$4:$AG$200,0,MATCH(E$2,Inputs!$D$2:$AG$2,0))))=0,"",SUMIFS(INDEX(Inputs!$D$4:$AG$200,0,MATCH(E$2,Inputs!$D$2:$AG$2,0)),Inputs!$B$4:$B$200,$B70)/1000)</f>
        <v>84.087</v>
      </c>
      <c r="F70" s="11">
        <f>IF(SUMPRODUCT((Inputs!$B$4:$B$200=$B70)*ISNUMBER(INDEX(Inputs!$D$4:$AG$200,0,MATCH(F$2,Inputs!$D$2:$AG$2,0))))=0,"",SUMIFS(INDEX(Inputs!$D$4:$AG$200,0,MATCH(F$2,Inputs!$D$2:$AG$2,0)),Inputs!$B$4:$B$200,$B70)/1000)</f>
        <v>96.404</v>
      </c>
      <c r="G70" s="11">
        <f>IF(SUMPRODUCT((Inputs!$B$4:$B$200=$B70)*ISNUMBER(INDEX(Inputs!$D$4:$AG$200,0,MATCH(G$2,Inputs!$D$2:$AG$2,0))))=0,"",SUMIFS(INDEX(Inputs!$D$4:$AG$200,0,MATCH(G$2,Inputs!$D$2:$AG$2,0)),Inputs!$B$4:$B$200,$B70)/1000)</f>
        <v>118.614</v>
      </c>
      <c r="H70" s="12">
        <f>IF(COUNT(D70:G70)=4,SUM(D70:G70),"")</f>
        <v>380.847</v>
      </c>
      <c r="I70" s="11">
        <f>IF(SUMPRODUCT((Inputs!$B$4:$B$200=$B70)*ISNUMBER(INDEX(Inputs!$D$4:$AG$200,0,MATCH(I$2,Inputs!$D$2:$AG$2,0))))=0,"",SUMIFS(INDEX(Inputs!$D$4:$AG$200,0,MATCH(I$2,Inputs!$D$2:$AG$2,0)),Inputs!$B$4:$B$200,$B70)/1000)</f>
        <v>118.61</v>
      </c>
      <c r="J70" s="11">
        <f>IF(SUMPRODUCT((Inputs!$B$4:$B$200=$B70)*ISNUMBER(INDEX(Inputs!$D$4:$AG$200,0,MATCH(J$2,Inputs!$D$2:$AG$2,0))))=0,"",SUMIFS(INDEX(Inputs!$D$4:$AG$200,0,MATCH(J$2,Inputs!$D$2:$AG$2,0)),Inputs!$B$4:$B$200,$B70)/1000)</f>
        <v>115.745</v>
      </c>
      <c r="K70" s="11">
        <f>IF(SUMPRODUCT((Inputs!$B$4:$B$200=$B70)*ISNUMBER(INDEX(Inputs!$D$4:$AG$200,0,MATCH(K$2,Inputs!$D$2:$AG$2,0))))=0,"",SUMIFS(INDEX(Inputs!$D$4:$AG$200,0,MATCH(K$2,Inputs!$D$2:$AG$2,0)),Inputs!$B$4:$B$200,$B70)/1000)</f>
        <v>128.557</v>
      </c>
      <c r="L70" s="11">
        <f>IF(SUMPRODUCT((Inputs!$B$4:$B$200=$B70)*ISNUMBER(INDEX(Inputs!$D$4:$AG$200,0,MATCH(L$2,Inputs!$D$2:$AG$2,0))))=0,"",SUMIFS(INDEX(Inputs!$D$4:$AG$200,0,MATCH(L$2,Inputs!$D$2:$AG$2,0)),Inputs!$B$4:$B$200,$B70)/1000)</f>
        <v>127.297</v>
      </c>
      <c r="M70" s="12">
        <f>IF(COUNT(I70:L70)=4,SUM(I70:L70),"")</f>
        <v>490.209</v>
      </c>
      <c r="N70" s="11">
        <f>IF(SUMPRODUCT((Inputs!$B$4:$B$200=$B70)*ISNUMBER(INDEX(Inputs!$D$4:$AG$200,0,MATCH(N$2,Inputs!$D$2:$AG$2,0))))=0,"",SUMIFS(INDEX(Inputs!$D$4:$AG$200,0,MATCH(N$2,Inputs!$D$2:$AG$2,0)),Inputs!$B$4:$B$200,$B70)/1000)</f>
        <v>126.002</v>
      </c>
      <c r="O70" s="11">
        <f>IF(SUMPRODUCT((Inputs!$B$4:$B$200=$B70)*ISNUMBER(INDEX(Inputs!$D$4:$AG$200,0,MATCH(O$2,Inputs!$D$2:$AG$2,0))))=0,"",SUMIFS(INDEX(Inputs!$D$4:$AG$200,0,MATCH(O$2,Inputs!$D$2:$AG$2,0)),Inputs!$B$4:$B$200,$B70)/1000)</f>
        <v>123.362</v>
      </c>
      <c r="P70" s="11">
        <f>IF(SUMPRODUCT((Inputs!$B$4:$B$200=$B70)*ISNUMBER(INDEX(Inputs!$D$4:$AG$200,0,MATCH(P$2,Inputs!$D$2:$AG$2,0))))=0,"",SUMIFS(INDEX(Inputs!$D$4:$AG$200,0,MATCH(P$2,Inputs!$D$2:$AG$2,0)),Inputs!$B$4:$B$200,$B70)/1000)</f>
        <v>124.524</v>
      </c>
      <c r="Q70" s="11">
        <f>IF(SUMPRODUCT((Inputs!$B$4:$B$200=$B70)*ISNUMBER(INDEX(Inputs!$D$4:$AG$200,0,MATCH(Q$2,Inputs!$D$2:$AG$2,0))))=0,"",SUMIFS(INDEX(Inputs!$D$4:$AG$200,0,MATCH(Q$2,Inputs!$D$2:$AG$2,0)),Inputs!$B$4:$B$200,$B70)/1000)</f>
        <v>126.1</v>
      </c>
      <c r="R70" s="12">
        <f>IF(COUNT(N70:Q70)=4,SUM(N70:Q70),"")</f>
        <v>499.988</v>
      </c>
      <c r="S70" s="11">
        <f>IF(SUMPRODUCT((Inputs!$B$4:$B$200=$B70)*ISNUMBER(INDEX(Inputs!$D$4:$AG$200,0,MATCH(S$2,Inputs!$D$2:$AG$2,0))))=0,"",SUMIFS(INDEX(Inputs!$D$4:$AG$200,0,MATCH(S$2,Inputs!$D$2:$AG$2,0)),Inputs!$B$4:$B$200,$B70)/1000)</f>
        <v>130.299</v>
      </c>
      <c r="T70" s="11">
        <f>IF(SUMPRODUCT((Inputs!$B$4:$B$200=$B70)*ISNUMBER(INDEX(Inputs!$D$4:$AG$200,0,MATCH(T$2,Inputs!$D$2:$AG$2,0))))=0,"",SUMIFS(INDEX(Inputs!$D$4:$AG$200,0,MATCH(T$2,Inputs!$D$2:$AG$2,0)),Inputs!$B$4:$B$200,$B70)/1000)</f>
        <v>134.541</v>
      </c>
      <c r="U70" s="11">
        <f>IF(SUMPRODUCT((Inputs!$B$4:$B$200=$B70)*ISNUMBER(INDEX(Inputs!$D$4:$AG$200,0,MATCH(U$2,Inputs!$D$2:$AG$2,0))))=0,"",SUMIFS(INDEX(Inputs!$D$4:$AG$200,0,MATCH(U$2,Inputs!$D$2:$AG$2,0)),Inputs!$B$4:$B$200,$B70)/1000)</f>
        <v>142.036</v>
      </c>
      <c r="V70" s="11">
        <f>IF(SUMPRODUCT((Inputs!$B$4:$B$200=$B70)*ISNUMBER(INDEX(Inputs!$D$4:$AG$200,0,MATCH(V$2,Inputs!$D$2:$AG$2,0))))=0,"",SUMIFS(INDEX(Inputs!$D$4:$AG$200,0,MATCH(V$2,Inputs!$D$2:$AG$2,0)),Inputs!$B$4:$B$200,$B70)/1000)</f>
        <v>150.723</v>
      </c>
      <c r="W70" s="12">
        <f>IF(COUNT(S70:V70)=4,SUM(S70:V70),"")</f>
        <v>557.599</v>
      </c>
      <c r="X70" s="11">
        <f>IF(SUMPRODUCT((Inputs!$B$4:$B$200=$B70)*ISNUMBER(INDEX(Inputs!$D$4:$AG$200,0,MATCH(X$2,Inputs!$D$2:$AG$2,0))))=0,"",SUMIFS(INDEX(Inputs!$D$4:$AG$200,0,MATCH(X$2,Inputs!$D$2:$AG$2,0)),Inputs!$B$4:$B$200,$B70)/1000)</f>
        <v>158.045</v>
      </c>
      <c r="Y70" s="11">
        <f>IF(SUMPRODUCT((Inputs!$B$4:$B$200=$B70)*ISNUMBER(INDEX(Inputs!$D$4:$AG$200,0,MATCH(Y$2,Inputs!$D$2:$AG$2,0))))=0,"",SUMIFS(INDEX(Inputs!$D$4:$AG$200,0,MATCH(Y$2,Inputs!$D$2:$AG$2,0)),Inputs!$B$4:$B$200,$B70)/1000)</f>
        <v>154.171</v>
      </c>
      <c r="Z70" s="11">
        <f>IF(SUMPRODUCT((Inputs!$B$4:$B$200=$B70)*ISNUMBER(INDEX(Inputs!$D$4:$AG$200,0,MATCH(Z$2,Inputs!$D$2:$AG$2,0))))=0,"",SUMIFS(INDEX(Inputs!$D$4:$AG$200,0,MATCH(Z$2,Inputs!$D$2:$AG$2,0)),Inputs!$B$4:$B$200,$B70)/1000)</f>
        <v>159.266</v>
      </c>
      <c r="AA70" s="11">
        <f>IF(SUMPRODUCT((Inputs!$B$4:$B$200=$B70)*ISNUMBER(INDEX(Inputs!$D$4:$AG$200,0,MATCH(AA$2,Inputs!$D$2:$AG$2,0))))=0,"",SUMIFS(INDEX(Inputs!$D$4:$AG$200,0,MATCH(AA$2,Inputs!$D$2:$AG$2,0)),Inputs!$B$4:$B$200,$B70)/1000)</f>
        <v>160.58785571</v>
      </c>
      <c r="AB70" s="12">
        <f>IF(COUNT(X70:AA70)=4,SUM(X70:AA70),"")</f>
        <v>632.06985571</v>
      </c>
      <c r="AC70" s="11">
        <f>IF(SUMPRODUCT((Inputs!$B$4:$B$200=$B70)*ISNUMBER(INDEX(Inputs!$D$4:$AG$200,0,MATCH(AC$2,Inputs!$D$2:$AG$2,0))))=0,"",SUMIFS(INDEX(Inputs!$D$4:$AG$200,0,MATCH(AC$2,Inputs!$D$2:$AG$2,0)),Inputs!$B$4:$B$200,$B70)/1000)</f>
        <v>168.451826808</v>
      </c>
      <c r="AD70" s="11">
        <f>IF(SUMPRODUCT((Inputs!$B$4:$B$200=$B70)*ISNUMBER(INDEX(Inputs!$D$4:$AG$200,0,MATCH(AD$2,Inputs!$D$2:$AG$2,0))))=0,"",SUMIFS(INDEX(Inputs!$D$4:$AG$200,0,MATCH(AD$2,Inputs!$D$2:$AG$2,0)),Inputs!$B$4:$B$200,$B70)/1000)</f>
        <v>164.725592339</v>
      </c>
      <c r="AE70" s="11" t="str">
        <f>IF(SUMPRODUCT((Inputs!$B$4:$B$200=$B70)*ISNUMBER(INDEX(Inputs!$D$4:$AG$200,0,MATCH(AE$2,Inputs!$D$2:$AG$2,0))))=0,"",SUMIFS(INDEX(Inputs!$D$4:$AG$200,0,MATCH(AE$2,Inputs!$D$2:$AG$2,0)),Inputs!$B$4:$B$200,$B70)/1000)</f>
        <v/>
      </c>
      <c r="AF70" s="11" t="str">
        <f>IF(SUMPRODUCT((Inputs!$B$4:$B$200=$B70)*ISNUMBER(INDEX(Inputs!$D$4:$AG$200,0,MATCH(AF$2,Inputs!$D$2:$AG$2,0))))=0,"",SUMIFS(INDEX(Inputs!$D$4:$AG$200,0,MATCH(AF$2,Inputs!$D$2:$AG$2,0)),Inputs!$B$4:$B$200,$B70)/1000)</f>
        <v/>
      </c>
      <c r="AG70" s="12" t="str">
        <f>IF(COUNT(AC70:AF70)=4,SUM(AC70:AF70),"")</f>
        <v/>
      </c>
    </row>
    <row r="71">
      <c r="B71" s="9" t="n">
        <v>63</v>
      </c>
      <c r="C71" s="10" t="inlineStr">
        <is>
          <t>Movida GTF - frota final (carros; l.21)</t>
        </is>
      </c>
      <c r="D71" s="11">
        <f>IF(SUMPRODUCT((Inputs!$B$4:$B$200=$B71)*ISNUMBER(INDEX(Inputs!$D$4:$AG$200,0,MATCH(D$2,Inputs!$D$2:$AG$2,0))))=0,"",SUMIFS(INDEX(Inputs!$D$4:$AG$200,0,MATCH(D$2,Inputs!$D$2:$AG$2,0)),Inputs!$B$4:$B$200,$B71)/1000)</f>
        <v>52395</v>
      </c>
      <c r="E71" s="11">
        <f>IF(SUMPRODUCT((Inputs!$B$4:$B$200=$B71)*ISNUMBER(INDEX(Inputs!$D$4:$AG$200,0,MATCH(E$2,Inputs!$D$2:$AG$2,0))))=0,"",SUMIFS(INDEX(Inputs!$D$4:$AG$200,0,MATCH(E$2,Inputs!$D$2:$AG$2,0)),Inputs!$B$4:$B$200,$B71)/1000)</f>
        <v>55776</v>
      </c>
      <c r="F71" s="11">
        <f>IF(SUMPRODUCT((Inputs!$B$4:$B$200=$B71)*ISNUMBER(INDEX(Inputs!$D$4:$AG$200,0,MATCH(F$2,Inputs!$D$2:$AG$2,0))))=0,"",SUMIFS(INDEX(Inputs!$D$4:$AG$200,0,MATCH(F$2,Inputs!$D$2:$AG$2,0)),Inputs!$B$4:$B$200,$B71)/1000)</f>
        <v>88379</v>
      </c>
      <c r="G71" s="11">
        <f>IF(SUMPRODUCT((Inputs!$B$4:$B$200=$B71)*ISNUMBER(INDEX(Inputs!$D$4:$AG$200,0,MATCH(G$2,Inputs!$D$2:$AG$2,0))))=0,"",SUMIFS(INDEX(Inputs!$D$4:$AG$200,0,MATCH(G$2,Inputs!$D$2:$AG$2,0)),Inputs!$B$4:$B$200,$B71)/1000)</f>
        <v>96303</v>
      </c>
      <c r="H71" s="12">
        <f>IF(COUNT(D71:G71)=4,SUM(D71:G71),"")</f>
        <v>292853</v>
      </c>
      <c r="I71" s="11">
        <f>IF(SUMPRODUCT((Inputs!$B$4:$B$200=$B71)*ISNUMBER(INDEX(Inputs!$D$4:$AG$200,0,MATCH(I$2,Inputs!$D$2:$AG$2,0))))=0,"",SUMIFS(INDEX(Inputs!$D$4:$AG$200,0,MATCH(I$2,Inputs!$D$2:$AG$2,0)),Inputs!$B$4:$B$200,$B71)/1000)</f>
        <v>95370</v>
      </c>
      <c r="J71" s="11">
        <f>IF(SUMPRODUCT((Inputs!$B$4:$B$200=$B71)*ISNUMBER(INDEX(Inputs!$D$4:$AG$200,0,MATCH(J$2,Inputs!$D$2:$AG$2,0))))=0,"",SUMIFS(INDEX(Inputs!$D$4:$AG$200,0,MATCH(J$2,Inputs!$D$2:$AG$2,0)),Inputs!$B$4:$B$200,$B71)/1000)</f>
        <v>106498</v>
      </c>
      <c r="K71" s="11">
        <f>IF(SUMPRODUCT((Inputs!$B$4:$B$200=$B71)*ISNUMBER(INDEX(Inputs!$D$4:$AG$200,0,MATCH(K$2,Inputs!$D$2:$AG$2,0))))=0,"",SUMIFS(INDEX(Inputs!$D$4:$AG$200,0,MATCH(K$2,Inputs!$D$2:$AG$2,0)),Inputs!$B$4:$B$200,$B71)/1000)</f>
        <v>107728</v>
      </c>
      <c r="L71" s="11">
        <f>IF(SUMPRODUCT((Inputs!$B$4:$B$200=$B71)*ISNUMBER(INDEX(Inputs!$D$4:$AG$200,0,MATCH(L$2,Inputs!$D$2:$AG$2,0))))=0,"",SUMIFS(INDEX(Inputs!$D$4:$AG$200,0,MATCH(L$2,Inputs!$D$2:$AG$2,0)),Inputs!$B$4:$B$200,$B71)/1000)</f>
        <v>112352</v>
      </c>
      <c r="M71" s="12">
        <f>IF(COUNT(I71:L71)=4,SUM(I71:L71),"")</f>
        <v>421948</v>
      </c>
      <c r="N71" s="11">
        <f>IF(SUMPRODUCT((Inputs!$B$4:$B$200=$B71)*ISNUMBER(INDEX(Inputs!$D$4:$AG$200,0,MATCH(N$2,Inputs!$D$2:$AG$2,0))))=0,"",SUMIFS(INDEX(Inputs!$D$4:$AG$200,0,MATCH(N$2,Inputs!$D$2:$AG$2,0)),Inputs!$B$4:$B$200,$B71)/1000)</f>
        <v>114617</v>
      </c>
      <c r="O71" s="11">
        <f>IF(SUMPRODUCT((Inputs!$B$4:$B$200=$B71)*ISNUMBER(INDEX(Inputs!$D$4:$AG$200,0,MATCH(O$2,Inputs!$D$2:$AG$2,0))))=0,"",SUMIFS(INDEX(Inputs!$D$4:$AG$200,0,MATCH(O$2,Inputs!$D$2:$AG$2,0)),Inputs!$B$4:$B$200,$B71)/1000)</f>
        <v>113678</v>
      </c>
      <c r="P71" s="11">
        <f>IF(SUMPRODUCT((Inputs!$B$4:$B$200=$B71)*ISNUMBER(INDEX(Inputs!$D$4:$AG$200,0,MATCH(P$2,Inputs!$D$2:$AG$2,0))))=0,"",SUMIFS(INDEX(Inputs!$D$4:$AG$200,0,MATCH(P$2,Inputs!$D$2:$AG$2,0)),Inputs!$B$4:$B$200,$B71)/1000)</f>
        <v>119574</v>
      </c>
      <c r="Q71" s="11">
        <f>IF(SUMPRODUCT((Inputs!$B$4:$B$200=$B71)*ISNUMBER(INDEX(Inputs!$D$4:$AG$200,0,MATCH(Q$2,Inputs!$D$2:$AG$2,0))))=0,"",SUMIFS(INDEX(Inputs!$D$4:$AG$200,0,MATCH(Q$2,Inputs!$D$2:$AG$2,0)),Inputs!$B$4:$B$200,$B71)/1000)</f>
        <v>130781</v>
      </c>
      <c r="R71" s="12">
        <f>IF(COUNT(N71:Q71)=4,SUM(N71:Q71),"")</f>
        <v>478650</v>
      </c>
      <c r="S71" s="11">
        <f>IF(SUMPRODUCT((Inputs!$B$4:$B$200=$B71)*ISNUMBER(INDEX(Inputs!$D$4:$AG$200,0,MATCH(S$2,Inputs!$D$2:$AG$2,0))))=0,"",SUMIFS(INDEX(Inputs!$D$4:$AG$200,0,MATCH(S$2,Inputs!$D$2:$AG$2,0)),Inputs!$B$4:$B$200,$B71)/1000)</f>
        <v>135628</v>
      </c>
      <c r="T71" s="11">
        <f>IF(SUMPRODUCT((Inputs!$B$4:$B$200=$B71)*ISNUMBER(INDEX(Inputs!$D$4:$AG$200,0,MATCH(T$2,Inputs!$D$2:$AG$2,0))))=0,"",SUMIFS(INDEX(Inputs!$D$4:$AG$200,0,MATCH(T$2,Inputs!$D$2:$AG$2,0)),Inputs!$B$4:$B$200,$B71)/1000)</f>
        <v>137648</v>
      </c>
      <c r="U71" s="11">
        <f>IF(SUMPRODUCT((Inputs!$B$4:$B$200=$B71)*ISNUMBER(INDEX(Inputs!$D$4:$AG$200,0,MATCH(U$2,Inputs!$D$2:$AG$2,0))))=0,"",SUMIFS(INDEX(Inputs!$D$4:$AG$200,0,MATCH(U$2,Inputs!$D$2:$AG$2,0)),Inputs!$B$4:$B$200,$B71)/1000)</f>
        <v>137405</v>
      </c>
      <c r="V71" s="11">
        <f>IF(SUMPRODUCT((Inputs!$B$4:$B$200=$B71)*ISNUMBER(INDEX(Inputs!$D$4:$AG$200,0,MATCH(V$2,Inputs!$D$2:$AG$2,0))))=0,"",SUMIFS(INDEX(Inputs!$D$4:$AG$200,0,MATCH(V$2,Inputs!$D$2:$AG$2,0)),Inputs!$B$4:$B$200,$B71)/1000)</f>
        <v>146543</v>
      </c>
      <c r="W71" s="12">
        <f>IF(COUNT(S71:V71)=4,SUM(S71:V71),"")</f>
        <v>557224</v>
      </c>
      <c r="X71" s="11">
        <f>IF(SUMPRODUCT((Inputs!$B$4:$B$200=$B71)*ISNUMBER(INDEX(Inputs!$D$4:$AG$200,0,MATCH(X$2,Inputs!$D$2:$AG$2,0))))=0,"",SUMIFS(INDEX(Inputs!$D$4:$AG$200,0,MATCH(X$2,Inputs!$D$2:$AG$2,0)),Inputs!$B$4:$B$200,$B71)/1000)</f>
        <v>143794</v>
      </c>
      <c r="Y71" s="11">
        <f>IF(SUMPRODUCT((Inputs!$B$4:$B$200=$B71)*ISNUMBER(INDEX(Inputs!$D$4:$AG$200,0,MATCH(Y$2,Inputs!$D$2:$AG$2,0))))=0,"",SUMIFS(INDEX(Inputs!$D$4:$AG$200,0,MATCH(Y$2,Inputs!$D$2:$AG$2,0)),Inputs!$B$4:$B$200,$B71)/1000)</f>
        <v>142296</v>
      </c>
      <c r="Z71" s="11">
        <f>IF(SUMPRODUCT((Inputs!$B$4:$B$200=$B71)*ISNUMBER(INDEX(Inputs!$D$4:$AG$200,0,MATCH(Z$2,Inputs!$D$2:$AG$2,0))))=0,"",SUMIFS(INDEX(Inputs!$D$4:$AG$200,0,MATCH(Z$2,Inputs!$D$2:$AG$2,0)),Inputs!$B$4:$B$200,$B71)/1000)</f>
        <v>143449</v>
      </c>
      <c r="AA71" s="11">
        <f>IF(SUMPRODUCT((Inputs!$B$4:$B$200=$B71)*ISNUMBER(INDEX(Inputs!$D$4:$AG$200,0,MATCH(AA$2,Inputs!$D$2:$AG$2,0))))=0,"",SUMIFS(INDEX(Inputs!$D$4:$AG$200,0,MATCH(AA$2,Inputs!$D$2:$AG$2,0)),Inputs!$B$4:$B$200,$B71)/1000)</f>
        <v>144207</v>
      </c>
      <c r="AB71" s="12">
        <f>IF(COUNT(X71:AA71)=4,SUM(X71:AA71),"")</f>
        <v>573746</v>
      </c>
      <c r="AC71" s="11">
        <f>IF(SUMPRODUCT((Inputs!$B$4:$B$200=$B71)*ISNUMBER(INDEX(Inputs!$D$4:$AG$200,0,MATCH(AC$2,Inputs!$D$2:$AG$2,0))))=0,"",SUMIFS(INDEX(Inputs!$D$4:$AG$200,0,MATCH(AC$2,Inputs!$D$2:$AG$2,0)),Inputs!$B$4:$B$200,$B71)/1000)</f>
        <v>141949</v>
      </c>
      <c r="AD71" s="11">
        <f>IF(SUMPRODUCT((Inputs!$B$4:$B$200=$B71)*ISNUMBER(INDEX(Inputs!$D$4:$AG$200,0,MATCH(AD$2,Inputs!$D$2:$AG$2,0))))=0,"",SUMIFS(INDEX(Inputs!$D$4:$AG$200,0,MATCH(AD$2,Inputs!$D$2:$AG$2,0)),Inputs!$B$4:$B$200,$B71)/1000)</f>
        <v>145882</v>
      </c>
      <c r="AE71" s="11" t="str">
        <f>IF(SUMPRODUCT((Inputs!$B$4:$B$200=$B71)*ISNUMBER(INDEX(Inputs!$D$4:$AG$200,0,MATCH(AE$2,Inputs!$D$2:$AG$2,0))))=0,"",SUMIFS(INDEX(Inputs!$D$4:$AG$200,0,MATCH(AE$2,Inputs!$D$2:$AG$2,0)),Inputs!$B$4:$B$200,$B71)/1000)</f>
        <v/>
      </c>
      <c r="AF71" s="11" t="str">
        <f>IF(SUMPRODUCT((Inputs!$B$4:$B$200=$B71)*ISNUMBER(INDEX(Inputs!$D$4:$AG$200,0,MATCH(AF$2,Inputs!$D$2:$AG$2,0))))=0,"",SUMIFS(INDEX(Inputs!$D$4:$AG$200,0,MATCH(AF$2,Inputs!$D$2:$AG$2,0)),Inputs!$B$4:$B$200,$B71)/1000)</f>
        <v/>
      </c>
      <c r="AG71" s="12" t="str">
        <f>IF(COUNT(AC71:AF71)=4,SUM(AC71:AF71),"")</f>
        <v/>
      </c>
    </row>
    <row r="72">
      <c r="B72" s="9" t="n">
        <v>64</v>
      </c>
      <c r="C72" s="10" t="inlineStr">
        <is>
          <t>Movida GTF - ticket medio mensal (R$; l.26)</t>
        </is>
      </c>
      <c r="D72" s="11">
        <f>IF(SUMPRODUCT((Inputs!$B$4:$B$200=$B72)*ISNUMBER(INDEX(Inputs!$D$4:$AG$200,0,MATCH(D$2,Inputs!$D$2:$AG$2,0))))=0,"",SUMIFS(INDEX(Inputs!$D$4:$AG$200,0,MATCH(D$2,Inputs!$D$2:$AG$2,0)),Inputs!$B$4:$B$200,$B72)/1000)</f>
        <v>1372.319</v>
      </c>
      <c r="E72" s="11">
        <f>IF(SUMPRODUCT((Inputs!$B$4:$B$200=$B72)*ISNUMBER(INDEX(Inputs!$D$4:$AG$200,0,MATCH(E$2,Inputs!$D$2:$AG$2,0))))=0,"",SUMIFS(INDEX(Inputs!$D$4:$AG$200,0,MATCH(E$2,Inputs!$D$2:$AG$2,0)),Inputs!$B$4:$B$200,$B72)/1000)</f>
        <v>1446.677</v>
      </c>
      <c r="F72" s="11">
        <f>IF(SUMPRODUCT((Inputs!$B$4:$B$200=$B72)*ISNUMBER(INDEX(Inputs!$D$4:$AG$200,0,MATCH(F$2,Inputs!$D$2:$AG$2,0))))=0,"",SUMIFS(INDEX(Inputs!$D$4:$AG$200,0,MATCH(F$2,Inputs!$D$2:$AG$2,0)),Inputs!$B$4:$B$200,$B72)/1000)</f>
        <v>1556.347</v>
      </c>
      <c r="G72" s="11">
        <f>IF(SUMPRODUCT((Inputs!$B$4:$B$200=$B72)*ISNUMBER(INDEX(Inputs!$D$4:$AG$200,0,MATCH(G$2,Inputs!$D$2:$AG$2,0))))=0,"",SUMIFS(INDEX(Inputs!$D$4:$AG$200,0,MATCH(G$2,Inputs!$D$2:$AG$2,0)),Inputs!$B$4:$B$200,$B72)/1000)</f>
        <v>1554.954</v>
      </c>
      <c r="H72" s="12">
        <f>IF(COUNT(D72:G72)=4,SUM(D72:G72),"")</f>
        <v>5930.297</v>
      </c>
      <c r="I72" s="11">
        <f>IF(SUMPRODUCT((Inputs!$B$4:$B$200=$B72)*ISNUMBER(INDEX(Inputs!$D$4:$AG$200,0,MATCH(I$2,Inputs!$D$2:$AG$2,0))))=0,"",SUMIFS(INDEX(Inputs!$D$4:$AG$200,0,MATCH(I$2,Inputs!$D$2:$AG$2,0)),Inputs!$B$4:$B$200,$B72)/1000)</f>
        <v>1656.1</v>
      </c>
      <c r="J72" s="11">
        <f>IF(SUMPRODUCT((Inputs!$B$4:$B$200=$B72)*ISNUMBER(INDEX(Inputs!$D$4:$AG$200,0,MATCH(J$2,Inputs!$D$2:$AG$2,0))))=0,"",SUMIFS(INDEX(Inputs!$D$4:$AG$200,0,MATCH(J$2,Inputs!$D$2:$AG$2,0)),Inputs!$B$4:$B$200,$B72)/1000)</f>
        <v>1785.39</v>
      </c>
      <c r="K72" s="11">
        <f>IF(SUMPRODUCT((Inputs!$B$4:$B$200=$B72)*ISNUMBER(INDEX(Inputs!$D$4:$AG$200,0,MATCH(K$2,Inputs!$D$2:$AG$2,0))))=0,"",SUMIFS(INDEX(Inputs!$D$4:$AG$200,0,MATCH(K$2,Inputs!$D$2:$AG$2,0)),Inputs!$B$4:$B$200,$B72)/1000)</f>
        <v>1811.553</v>
      </c>
      <c r="L72" s="11">
        <f>IF(SUMPRODUCT((Inputs!$B$4:$B$200=$B72)*ISNUMBER(INDEX(Inputs!$D$4:$AG$200,0,MATCH(L$2,Inputs!$D$2:$AG$2,0))))=0,"",SUMIFS(INDEX(Inputs!$D$4:$AG$200,0,MATCH(L$2,Inputs!$D$2:$AG$2,0)),Inputs!$B$4:$B$200,$B72)/1000)</f>
        <v>1924.074</v>
      </c>
      <c r="M72" s="12">
        <f>IF(COUNT(I72:L72)=4,SUM(I72:L72),"")</f>
        <v>7177.117</v>
      </c>
      <c r="N72" s="11">
        <f>IF(SUMPRODUCT((Inputs!$B$4:$B$200=$B72)*ISNUMBER(INDEX(Inputs!$D$4:$AG$200,0,MATCH(N$2,Inputs!$D$2:$AG$2,0))))=0,"",SUMIFS(INDEX(Inputs!$D$4:$AG$200,0,MATCH(N$2,Inputs!$D$2:$AG$2,0)),Inputs!$B$4:$B$200,$B72)/1000)</f>
        <v>2040.898</v>
      </c>
      <c r="O72" s="11">
        <f>IF(SUMPRODUCT((Inputs!$B$4:$B$200=$B72)*ISNUMBER(INDEX(Inputs!$D$4:$AG$200,0,MATCH(O$2,Inputs!$D$2:$AG$2,0))))=0,"",SUMIFS(INDEX(Inputs!$D$4:$AG$200,0,MATCH(O$2,Inputs!$D$2:$AG$2,0)),Inputs!$B$4:$B$200,$B72)/1000)</f>
        <v>2110.268</v>
      </c>
      <c r="P72" s="11">
        <f>IF(SUMPRODUCT((Inputs!$B$4:$B$200=$B72)*ISNUMBER(INDEX(Inputs!$D$4:$AG$200,0,MATCH(P$2,Inputs!$D$2:$AG$2,0))))=0,"",SUMIFS(INDEX(Inputs!$D$4:$AG$200,0,MATCH(P$2,Inputs!$D$2:$AG$2,0)),Inputs!$B$4:$B$200,$B72)/1000)</f>
        <v>2191.255</v>
      </c>
      <c r="Q72" s="11">
        <f>IF(SUMPRODUCT((Inputs!$B$4:$B$200=$B72)*ISNUMBER(INDEX(Inputs!$D$4:$AG$200,0,MATCH(Q$2,Inputs!$D$2:$AG$2,0))))=0,"",SUMIFS(INDEX(Inputs!$D$4:$AG$200,0,MATCH(Q$2,Inputs!$D$2:$AG$2,0)),Inputs!$B$4:$B$200,$B72)/1000)</f>
        <v>2275.453</v>
      </c>
      <c r="R72" s="12">
        <f>IF(COUNT(N72:Q72)=4,SUM(N72:Q72),"")</f>
        <v>8617.874</v>
      </c>
      <c r="S72" s="11">
        <f>IF(SUMPRODUCT((Inputs!$B$4:$B$200=$B72)*ISNUMBER(INDEX(Inputs!$D$4:$AG$200,0,MATCH(S$2,Inputs!$D$2:$AG$2,0))))=0,"",SUMIFS(INDEX(Inputs!$D$4:$AG$200,0,MATCH(S$2,Inputs!$D$2:$AG$2,0)),Inputs!$B$4:$B$200,$B72)/1000)</f>
        <v>2380.167</v>
      </c>
      <c r="T72" s="11">
        <f>IF(SUMPRODUCT((Inputs!$B$4:$B$200=$B72)*ISNUMBER(INDEX(Inputs!$D$4:$AG$200,0,MATCH(T$2,Inputs!$D$2:$AG$2,0))))=0,"",SUMIFS(INDEX(Inputs!$D$4:$AG$200,0,MATCH(T$2,Inputs!$D$2:$AG$2,0)),Inputs!$B$4:$B$200,$B72)/1000)</f>
        <v>2582.26</v>
      </c>
      <c r="U72" s="11">
        <f>IF(SUMPRODUCT((Inputs!$B$4:$B$200=$B72)*ISNUMBER(INDEX(Inputs!$D$4:$AG$200,0,MATCH(U$2,Inputs!$D$2:$AG$2,0))))=0,"",SUMIFS(INDEX(Inputs!$D$4:$AG$200,0,MATCH(U$2,Inputs!$D$2:$AG$2,0)),Inputs!$B$4:$B$200,$B72)/1000)</f>
        <v>2695.784</v>
      </c>
      <c r="V72" s="11">
        <f>IF(SUMPRODUCT((Inputs!$B$4:$B$200=$B72)*ISNUMBER(INDEX(Inputs!$D$4:$AG$200,0,MATCH(V$2,Inputs!$D$2:$AG$2,0))))=0,"",SUMIFS(INDEX(Inputs!$D$4:$AG$200,0,MATCH(V$2,Inputs!$D$2:$AG$2,0)),Inputs!$B$4:$B$200,$B72)/1000)</f>
        <v>2780.174</v>
      </c>
      <c r="W72" s="12">
        <f>IF(COUNT(S72:V72)=4,SUM(S72:V72),"")</f>
        <v>10438.385</v>
      </c>
      <c r="X72" s="11">
        <f>IF(SUMPRODUCT((Inputs!$B$4:$B$200=$B72)*ISNUMBER(INDEX(Inputs!$D$4:$AG$200,0,MATCH(X$2,Inputs!$D$2:$AG$2,0))))=0,"",SUMIFS(INDEX(Inputs!$D$4:$AG$200,0,MATCH(X$2,Inputs!$D$2:$AG$2,0)),Inputs!$B$4:$B$200,$B72)/1000)</f>
        <v>2855.385</v>
      </c>
      <c r="Y72" s="11">
        <f>IF(SUMPRODUCT((Inputs!$B$4:$B$200=$B72)*ISNUMBER(INDEX(Inputs!$D$4:$AG$200,0,MATCH(Y$2,Inputs!$D$2:$AG$2,0))))=0,"",SUMIFS(INDEX(Inputs!$D$4:$AG$200,0,MATCH(Y$2,Inputs!$D$2:$AG$2,0)),Inputs!$B$4:$B$200,$B72)/1000)</f>
        <v>2948.728</v>
      </c>
      <c r="Z72" s="11">
        <f>IF(SUMPRODUCT((Inputs!$B$4:$B$200=$B72)*ISNUMBER(INDEX(Inputs!$D$4:$AG$200,0,MATCH(Z$2,Inputs!$D$2:$AG$2,0))))=0,"",SUMIFS(INDEX(Inputs!$D$4:$AG$200,0,MATCH(Z$2,Inputs!$D$2:$AG$2,0)),Inputs!$B$4:$B$200,$B72)/1000)</f>
        <v>3025.387</v>
      </c>
      <c r="AA72" s="11">
        <f>IF(SUMPRODUCT((Inputs!$B$4:$B$200=$B72)*ISNUMBER(INDEX(Inputs!$D$4:$AG$200,0,MATCH(AA$2,Inputs!$D$2:$AG$2,0))))=0,"",SUMIFS(INDEX(Inputs!$D$4:$AG$200,0,MATCH(AA$2,Inputs!$D$2:$AG$2,0)),Inputs!$B$4:$B$200,$B72)/1000)</f>
        <v>3123.287436343</v>
      </c>
      <c r="AB72" s="12">
        <f>IF(COUNT(X72:AA72)=4,SUM(X72:AA72),"")</f>
        <v>11952.787436343</v>
      </c>
      <c r="AC72" s="11">
        <f>IF(SUMPRODUCT((Inputs!$B$4:$B$200=$B72)*ISNUMBER(INDEX(Inputs!$D$4:$AG$200,0,MATCH(AC$2,Inputs!$D$2:$AG$2,0))))=0,"",SUMIFS(INDEX(Inputs!$D$4:$AG$200,0,MATCH(AC$2,Inputs!$D$2:$AG$2,0)),Inputs!$B$4:$B$200,$B72)/1000)</f>
        <v>3162.020318345</v>
      </c>
      <c r="AD72" s="11">
        <f>IF(SUMPRODUCT((Inputs!$B$4:$B$200=$B72)*ISNUMBER(INDEX(Inputs!$D$4:$AG$200,0,MATCH(AD$2,Inputs!$D$2:$AG$2,0))))=0,"",SUMIFS(INDEX(Inputs!$D$4:$AG$200,0,MATCH(AD$2,Inputs!$D$2:$AG$2,0)),Inputs!$B$4:$B$200,$B72)/1000)</f>
        <v>3288.956832502</v>
      </c>
      <c r="AE72" s="11" t="str">
        <f>IF(SUMPRODUCT((Inputs!$B$4:$B$200=$B72)*ISNUMBER(INDEX(Inputs!$D$4:$AG$200,0,MATCH(AE$2,Inputs!$D$2:$AG$2,0))))=0,"",SUMIFS(INDEX(Inputs!$D$4:$AG$200,0,MATCH(AE$2,Inputs!$D$2:$AG$2,0)),Inputs!$B$4:$B$200,$B72)/1000)</f>
        <v/>
      </c>
      <c r="AF72" s="11" t="str">
        <f>IF(SUMPRODUCT((Inputs!$B$4:$B$200=$B72)*ISNUMBER(INDEX(Inputs!$D$4:$AG$200,0,MATCH(AF$2,Inputs!$D$2:$AG$2,0))))=0,"",SUMIFS(INDEX(Inputs!$D$4:$AG$200,0,MATCH(AF$2,Inputs!$D$2:$AG$2,0)),Inputs!$B$4:$B$200,$B72)/1000)</f>
        <v/>
      </c>
      <c r="AG72" s="12" t="str">
        <f>IF(COUNT(AC72:AF72)=4,SUM(AC72:AF72),"")</f>
        <v/>
      </c>
    </row>
    <row r="73">
      <c r="B73" s="9" t="n">
        <v>65</v>
      </c>
      <c r="C73" s="10" t="inlineStr">
        <is>
          <t>Movida - carros vendidos (seminovos; l.29)</t>
        </is>
      </c>
      <c r="D73" s="11">
        <f>IF(SUMPRODUCT((Inputs!$B$4:$B$200=$B73)*ISNUMBER(INDEX(Inputs!$D$4:$AG$200,0,MATCH(D$2,Inputs!$D$2:$AG$2,0))))=0,"",SUMIFS(INDEX(Inputs!$D$4:$AG$200,0,MATCH(D$2,Inputs!$D$2:$AG$2,0)),Inputs!$B$4:$B$200,$B73)/1000)</f>
        <v>5356</v>
      </c>
      <c r="E73" s="11">
        <f>IF(SUMPRODUCT((Inputs!$B$4:$B$200=$B73)*ISNUMBER(INDEX(Inputs!$D$4:$AG$200,0,MATCH(E$2,Inputs!$D$2:$AG$2,0))))=0,"",SUMIFS(INDEX(Inputs!$D$4:$AG$200,0,MATCH(E$2,Inputs!$D$2:$AG$2,0)),Inputs!$B$4:$B$200,$B73)/1000)</f>
        <v>12462</v>
      </c>
      <c r="F73" s="11">
        <f>IF(SUMPRODUCT((Inputs!$B$4:$B$200=$B73)*ISNUMBER(INDEX(Inputs!$D$4:$AG$200,0,MATCH(F$2,Inputs!$D$2:$AG$2,0))))=0,"",SUMIFS(INDEX(Inputs!$D$4:$AG$200,0,MATCH(F$2,Inputs!$D$2:$AG$2,0)),Inputs!$B$4:$B$200,$B73)/1000)</f>
        <v>14509</v>
      </c>
      <c r="G73" s="11">
        <f>IF(SUMPRODUCT((Inputs!$B$4:$B$200=$B73)*ISNUMBER(INDEX(Inputs!$D$4:$AG$200,0,MATCH(G$2,Inputs!$D$2:$AG$2,0))))=0,"",SUMIFS(INDEX(Inputs!$D$4:$AG$200,0,MATCH(G$2,Inputs!$D$2:$AG$2,0)),Inputs!$B$4:$B$200,$B73)/1000)</f>
        <v>12472</v>
      </c>
      <c r="H73" s="12">
        <f>IF(COUNT(D73:G73)=4,SUM(D73:G73),"")</f>
        <v>44799</v>
      </c>
      <c r="I73" s="11">
        <f>IF(SUMPRODUCT((Inputs!$B$4:$B$200=$B73)*ISNUMBER(INDEX(Inputs!$D$4:$AG$200,0,MATCH(I$2,Inputs!$D$2:$AG$2,0))))=0,"",SUMIFS(INDEX(Inputs!$D$4:$AG$200,0,MATCH(I$2,Inputs!$D$2:$AG$2,0)),Inputs!$B$4:$B$200,$B73)/1000)</f>
        <v>15225</v>
      </c>
      <c r="J73" s="11">
        <f>IF(SUMPRODUCT((Inputs!$B$4:$B$200=$B73)*ISNUMBER(INDEX(Inputs!$D$4:$AG$200,0,MATCH(J$2,Inputs!$D$2:$AG$2,0))))=0,"",SUMIFS(INDEX(Inputs!$D$4:$AG$200,0,MATCH(J$2,Inputs!$D$2:$AG$2,0)),Inputs!$B$4:$B$200,$B73)/1000)</f>
        <v>18474</v>
      </c>
      <c r="K73" s="11">
        <f>IF(SUMPRODUCT((Inputs!$B$4:$B$200=$B73)*ISNUMBER(INDEX(Inputs!$D$4:$AG$200,0,MATCH(K$2,Inputs!$D$2:$AG$2,0))))=0,"",SUMIFS(INDEX(Inputs!$D$4:$AG$200,0,MATCH(K$2,Inputs!$D$2:$AG$2,0)),Inputs!$B$4:$B$200,$B73)/1000)</f>
        <v>20023</v>
      </c>
      <c r="L73" s="11">
        <f>IF(SUMPRODUCT((Inputs!$B$4:$B$200=$B73)*ISNUMBER(INDEX(Inputs!$D$4:$AG$200,0,MATCH(L$2,Inputs!$D$2:$AG$2,0))))=0,"",SUMIFS(INDEX(Inputs!$D$4:$AG$200,0,MATCH(L$2,Inputs!$D$2:$AG$2,0)),Inputs!$B$4:$B$200,$B73)/1000)</f>
        <v>18697</v>
      </c>
      <c r="M73" s="12">
        <f>IF(COUNT(I73:L73)=4,SUM(I73:L73),"")</f>
        <v>72419</v>
      </c>
      <c r="N73" s="11">
        <f>IF(SUMPRODUCT((Inputs!$B$4:$B$200=$B73)*ISNUMBER(INDEX(Inputs!$D$4:$AG$200,0,MATCH(N$2,Inputs!$D$2:$AG$2,0))))=0,"",SUMIFS(INDEX(Inputs!$D$4:$AG$200,0,MATCH(N$2,Inputs!$D$2:$AG$2,0)),Inputs!$B$4:$B$200,$B73)/1000)</f>
        <v>19610</v>
      </c>
      <c r="O73" s="11">
        <f>IF(SUMPRODUCT((Inputs!$B$4:$B$200=$B73)*ISNUMBER(INDEX(Inputs!$D$4:$AG$200,0,MATCH(O$2,Inputs!$D$2:$AG$2,0))))=0,"",SUMIFS(INDEX(Inputs!$D$4:$AG$200,0,MATCH(O$2,Inputs!$D$2:$AG$2,0)),Inputs!$B$4:$B$200,$B73)/1000)</f>
        <v>18806</v>
      </c>
      <c r="P73" s="11">
        <f>IF(SUMPRODUCT((Inputs!$B$4:$B$200=$B73)*ISNUMBER(INDEX(Inputs!$D$4:$AG$200,0,MATCH(P$2,Inputs!$D$2:$AG$2,0))))=0,"",SUMIFS(INDEX(Inputs!$D$4:$AG$200,0,MATCH(P$2,Inputs!$D$2:$AG$2,0)),Inputs!$B$4:$B$200,$B73)/1000)</f>
        <v>20503</v>
      </c>
      <c r="Q73" s="11">
        <f>IF(SUMPRODUCT((Inputs!$B$4:$B$200=$B73)*ISNUMBER(INDEX(Inputs!$D$4:$AG$200,0,MATCH(Q$2,Inputs!$D$2:$AG$2,0))))=0,"",SUMIFS(INDEX(Inputs!$D$4:$AG$200,0,MATCH(Q$2,Inputs!$D$2:$AG$2,0)),Inputs!$B$4:$B$200,$B73)/1000)</f>
        <v>17253</v>
      </c>
      <c r="R73" s="12">
        <f>IF(COUNT(N73:Q73)=4,SUM(N73:Q73),"")</f>
        <v>76172</v>
      </c>
      <c r="S73" s="11">
        <f>IF(SUMPRODUCT((Inputs!$B$4:$B$200=$B73)*ISNUMBER(INDEX(Inputs!$D$4:$AG$200,0,MATCH(S$2,Inputs!$D$2:$AG$2,0))))=0,"",SUMIFS(INDEX(Inputs!$D$4:$AG$200,0,MATCH(S$2,Inputs!$D$2:$AG$2,0)),Inputs!$B$4:$B$200,$B73)/1000)</f>
        <v>23249</v>
      </c>
      <c r="T73" s="11">
        <f>IF(SUMPRODUCT((Inputs!$B$4:$B$200=$B73)*ISNUMBER(INDEX(Inputs!$D$4:$AG$200,0,MATCH(T$2,Inputs!$D$2:$AG$2,0))))=0,"",SUMIFS(INDEX(Inputs!$D$4:$AG$200,0,MATCH(T$2,Inputs!$D$2:$AG$2,0)),Inputs!$B$4:$B$200,$B73)/1000)</f>
        <v>27954</v>
      </c>
      <c r="U73" s="11">
        <f>IF(SUMPRODUCT((Inputs!$B$4:$B$200=$B73)*ISNUMBER(INDEX(Inputs!$D$4:$AG$200,0,MATCH(U$2,Inputs!$D$2:$AG$2,0))))=0,"",SUMIFS(INDEX(Inputs!$D$4:$AG$200,0,MATCH(U$2,Inputs!$D$2:$AG$2,0)),Inputs!$B$4:$B$200,$B73)/1000)</f>
        <v>30572</v>
      </c>
      <c r="V73" s="11">
        <f>IF(SUMPRODUCT((Inputs!$B$4:$B$200=$B73)*ISNUMBER(INDEX(Inputs!$D$4:$AG$200,0,MATCH(V$2,Inputs!$D$2:$AG$2,0))))=0,"",SUMIFS(INDEX(Inputs!$D$4:$AG$200,0,MATCH(V$2,Inputs!$D$2:$AG$2,0)),Inputs!$B$4:$B$200,$B73)/1000)</f>
        <v>21916</v>
      </c>
      <c r="W73" s="12">
        <f>IF(COUNT(S73:V73)=4,SUM(S73:V73),"")</f>
        <v>103691</v>
      </c>
      <c r="X73" s="11">
        <f>IF(SUMPRODUCT((Inputs!$B$4:$B$200=$B73)*ISNUMBER(INDEX(Inputs!$D$4:$AG$200,0,MATCH(X$2,Inputs!$D$2:$AG$2,0))))=0,"",SUMIFS(INDEX(Inputs!$D$4:$AG$200,0,MATCH(X$2,Inputs!$D$2:$AG$2,0)),Inputs!$B$4:$B$200,$B73)/1000)</f>
        <v>24784</v>
      </c>
      <c r="Y73" s="11">
        <f>IF(SUMPRODUCT((Inputs!$B$4:$B$200=$B73)*ISNUMBER(INDEX(Inputs!$D$4:$AG$200,0,MATCH(Y$2,Inputs!$D$2:$AG$2,0))))=0,"",SUMIFS(INDEX(Inputs!$D$4:$AG$200,0,MATCH(Y$2,Inputs!$D$2:$AG$2,0)),Inputs!$B$4:$B$200,$B73)/1000)</f>
        <v>25917</v>
      </c>
      <c r="Z73" s="11">
        <f>IF(SUMPRODUCT((Inputs!$B$4:$B$200=$B73)*ISNUMBER(INDEX(Inputs!$D$4:$AG$200,0,MATCH(Z$2,Inputs!$D$2:$AG$2,0))))=0,"",SUMIFS(INDEX(Inputs!$D$4:$AG$200,0,MATCH(Z$2,Inputs!$D$2:$AG$2,0)),Inputs!$B$4:$B$200,$B73)/1000)</f>
        <v>24472</v>
      </c>
      <c r="AA73" s="11">
        <f>IF(SUMPRODUCT((Inputs!$B$4:$B$200=$B73)*ISNUMBER(INDEX(Inputs!$D$4:$AG$200,0,MATCH(AA$2,Inputs!$D$2:$AG$2,0))))=0,"",SUMIFS(INDEX(Inputs!$D$4:$AG$200,0,MATCH(AA$2,Inputs!$D$2:$AG$2,0)),Inputs!$B$4:$B$200,$B73)/1000)</f>
        <v>22172</v>
      </c>
      <c r="AB73" s="12">
        <f>IF(COUNT(X73:AA73)=4,SUM(X73:AA73),"")</f>
        <v>97345</v>
      </c>
      <c r="AC73" s="11">
        <f>IF(SUMPRODUCT((Inputs!$B$4:$B$200=$B73)*ISNUMBER(INDEX(Inputs!$D$4:$AG$200,0,MATCH(AC$2,Inputs!$D$2:$AG$2,0))))=0,"",SUMIFS(INDEX(Inputs!$D$4:$AG$200,0,MATCH(AC$2,Inputs!$D$2:$AG$2,0)),Inputs!$B$4:$B$200,$B73)/1000)</f>
        <v>20620</v>
      </c>
      <c r="AD73" s="11">
        <f>IF(SUMPRODUCT((Inputs!$B$4:$B$200=$B73)*ISNUMBER(INDEX(Inputs!$D$4:$AG$200,0,MATCH(AD$2,Inputs!$D$2:$AG$2,0))))=0,"",SUMIFS(INDEX(Inputs!$D$4:$AG$200,0,MATCH(AD$2,Inputs!$D$2:$AG$2,0)),Inputs!$B$4:$B$200,$B73)/1000)</f>
        <v>19414</v>
      </c>
      <c r="AE73" s="11" t="str">
        <f>IF(SUMPRODUCT((Inputs!$B$4:$B$200=$B73)*ISNUMBER(INDEX(Inputs!$D$4:$AG$200,0,MATCH(AE$2,Inputs!$D$2:$AG$2,0))))=0,"",SUMIFS(INDEX(Inputs!$D$4:$AG$200,0,MATCH(AE$2,Inputs!$D$2:$AG$2,0)),Inputs!$B$4:$B$200,$B73)/1000)</f>
        <v/>
      </c>
      <c r="AF73" s="11" t="str">
        <f>IF(SUMPRODUCT((Inputs!$B$4:$B$200=$B73)*ISNUMBER(INDEX(Inputs!$D$4:$AG$200,0,MATCH(AF$2,Inputs!$D$2:$AG$2,0))))=0,"",SUMIFS(INDEX(Inputs!$D$4:$AG$200,0,MATCH(AF$2,Inputs!$D$2:$AG$2,0)),Inputs!$B$4:$B$200,$B73)/1000)</f>
        <v/>
      </c>
      <c r="AG73" s="12" t="str">
        <f>IF(COUNT(AC73:AF73)=4,SUM(AC73:AF73),"")</f>
        <v/>
      </c>
    </row>
    <row r="74">
      <c r="B74" s="9" t="n">
        <v>66</v>
      </c>
      <c r="C74" s="10" t="inlineStr">
        <is>
          <t>Movida - preco medio do carro vendido (R$; l.32)</t>
        </is>
      </c>
      <c r="D74" s="11">
        <f>IF(SUMPRODUCT((Inputs!$B$4:$B$200=$B74)*ISNUMBER(INDEX(Inputs!$D$4:$AG$200,0,MATCH(D$2,Inputs!$D$2:$AG$2,0))))=0,"",SUMIFS(INDEX(Inputs!$D$4:$AG$200,0,MATCH(D$2,Inputs!$D$2:$AG$2,0)),Inputs!$B$4:$B$200,$B74)/1000)</f>
        <v>51893.918</v>
      </c>
      <c r="E74" s="11">
        <f>IF(SUMPRODUCT((Inputs!$B$4:$B$200=$B74)*ISNUMBER(INDEX(Inputs!$D$4:$AG$200,0,MATCH(E$2,Inputs!$D$2:$AG$2,0))))=0,"",SUMIFS(INDEX(Inputs!$D$4:$AG$200,0,MATCH(E$2,Inputs!$D$2:$AG$2,0)),Inputs!$B$4:$B$200,$B74)/1000)</f>
        <v>54575.562</v>
      </c>
      <c r="F74" s="11">
        <f>IF(SUMPRODUCT((Inputs!$B$4:$B$200=$B74)*ISNUMBER(INDEX(Inputs!$D$4:$AG$200,0,MATCH(F$2,Inputs!$D$2:$AG$2,0))))=0,"",SUMIFS(INDEX(Inputs!$D$4:$AG$200,0,MATCH(F$2,Inputs!$D$2:$AG$2,0)),Inputs!$B$4:$B$200,$B74)/1000)</f>
        <v>58732.576</v>
      </c>
      <c r="G74" s="11">
        <f>IF(SUMPRODUCT((Inputs!$B$4:$B$200=$B74)*ISNUMBER(INDEX(Inputs!$D$4:$AG$200,0,MATCH(G$2,Inputs!$D$2:$AG$2,0))))=0,"",SUMIFS(INDEX(Inputs!$D$4:$AG$200,0,MATCH(G$2,Inputs!$D$2:$AG$2,0)),Inputs!$B$4:$B$200,$B74)/1000)</f>
        <v>65422.791</v>
      </c>
      <c r="H74" s="12">
        <f>IF(COUNT(D74:G74)=4,SUM(D74:G74),"")</f>
        <v>230624.847</v>
      </c>
      <c r="I74" s="11">
        <f>IF(SUMPRODUCT((Inputs!$B$4:$B$200=$B74)*ISNUMBER(INDEX(Inputs!$D$4:$AG$200,0,MATCH(I$2,Inputs!$D$2:$AG$2,0))))=0,"",SUMIFS(INDEX(Inputs!$D$4:$AG$200,0,MATCH(I$2,Inputs!$D$2:$AG$2,0)),Inputs!$B$4:$B$200,$B74)/1000)</f>
        <v>64467.473</v>
      </c>
      <c r="J74" s="11">
        <f>IF(SUMPRODUCT((Inputs!$B$4:$B$200=$B74)*ISNUMBER(INDEX(Inputs!$D$4:$AG$200,0,MATCH(J$2,Inputs!$D$2:$AG$2,0))))=0,"",SUMIFS(INDEX(Inputs!$D$4:$AG$200,0,MATCH(J$2,Inputs!$D$2:$AG$2,0)),Inputs!$B$4:$B$200,$B74)/1000)</f>
        <v>66619.727</v>
      </c>
      <c r="K74" s="11">
        <f>IF(SUMPRODUCT((Inputs!$B$4:$B$200=$B74)*ISNUMBER(INDEX(Inputs!$D$4:$AG$200,0,MATCH(K$2,Inputs!$D$2:$AG$2,0))))=0,"",SUMIFS(INDEX(Inputs!$D$4:$AG$200,0,MATCH(K$2,Inputs!$D$2:$AG$2,0)),Inputs!$B$4:$B$200,$B74)/1000)</f>
        <v>70866.812</v>
      </c>
      <c r="L74" s="11">
        <f>IF(SUMPRODUCT((Inputs!$B$4:$B$200=$B74)*ISNUMBER(INDEX(Inputs!$D$4:$AG$200,0,MATCH(L$2,Inputs!$D$2:$AG$2,0))))=0,"",SUMIFS(INDEX(Inputs!$D$4:$AG$200,0,MATCH(L$2,Inputs!$D$2:$AG$2,0)),Inputs!$B$4:$B$200,$B74)/1000)</f>
        <v>75437.883</v>
      </c>
      <c r="M74" s="12">
        <f>IF(COUNT(I74:L74)=4,SUM(I74:L74),"")</f>
        <v>277391.895</v>
      </c>
      <c r="N74" s="11">
        <f>IF(SUMPRODUCT((Inputs!$B$4:$B$200=$B74)*ISNUMBER(INDEX(Inputs!$D$4:$AG$200,0,MATCH(N$2,Inputs!$D$2:$AG$2,0))))=0,"",SUMIFS(INDEX(Inputs!$D$4:$AG$200,0,MATCH(N$2,Inputs!$D$2:$AG$2,0)),Inputs!$B$4:$B$200,$B74)/1000)</f>
        <v>75131.641</v>
      </c>
      <c r="O74" s="11">
        <f>IF(SUMPRODUCT((Inputs!$B$4:$B$200=$B74)*ISNUMBER(INDEX(Inputs!$D$4:$AG$200,0,MATCH(O$2,Inputs!$D$2:$AG$2,0))))=0,"",SUMIFS(INDEX(Inputs!$D$4:$AG$200,0,MATCH(O$2,Inputs!$D$2:$AG$2,0)),Inputs!$B$4:$B$200,$B74)/1000)</f>
        <v>67009.986</v>
      </c>
      <c r="P74" s="11">
        <f>IF(SUMPRODUCT((Inputs!$B$4:$B$200=$B74)*ISNUMBER(INDEX(Inputs!$D$4:$AG$200,0,MATCH(P$2,Inputs!$D$2:$AG$2,0))))=0,"",SUMIFS(INDEX(Inputs!$D$4:$AG$200,0,MATCH(P$2,Inputs!$D$2:$AG$2,0)),Inputs!$B$4:$B$200,$B74)/1000)</f>
        <v>67718.251</v>
      </c>
      <c r="Q74" s="11">
        <f>IF(SUMPRODUCT((Inputs!$B$4:$B$200=$B74)*ISNUMBER(INDEX(Inputs!$D$4:$AG$200,0,MATCH(Q$2,Inputs!$D$2:$AG$2,0))))=0,"",SUMIFS(INDEX(Inputs!$D$4:$AG$200,0,MATCH(Q$2,Inputs!$D$2:$AG$2,0)),Inputs!$B$4:$B$200,$B74)/1000)</f>
        <v>68176.185</v>
      </c>
      <c r="R74" s="12">
        <f>IF(COUNT(N74:Q74)=4,SUM(N74:Q74),"")</f>
        <v>278036.063</v>
      </c>
      <c r="S74" s="11">
        <f>IF(SUMPRODUCT((Inputs!$B$4:$B$200=$B74)*ISNUMBER(INDEX(Inputs!$D$4:$AG$200,0,MATCH(S$2,Inputs!$D$2:$AG$2,0))))=0,"",SUMIFS(INDEX(Inputs!$D$4:$AG$200,0,MATCH(S$2,Inputs!$D$2:$AG$2,0)),Inputs!$B$4:$B$200,$B74)/1000)</f>
        <v>66942.505</v>
      </c>
      <c r="T74" s="11">
        <f>IF(SUMPRODUCT((Inputs!$B$4:$B$200=$B74)*ISNUMBER(INDEX(Inputs!$D$4:$AG$200,0,MATCH(T$2,Inputs!$D$2:$AG$2,0))))=0,"",SUMIFS(INDEX(Inputs!$D$4:$AG$200,0,MATCH(T$2,Inputs!$D$2:$AG$2,0)),Inputs!$B$4:$B$200,$B74)/1000)</f>
        <v>66598.725</v>
      </c>
      <c r="U74" s="11">
        <f>IF(SUMPRODUCT((Inputs!$B$4:$B$200=$B74)*ISNUMBER(INDEX(Inputs!$D$4:$AG$200,0,MATCH(U$2,Inputs!$D$2:$AG$2,0))))=0,"",SUMIFS(INDEX(Inputs!$D$4:$AG$200,0,MATCH(U$2,Inputs!$D$2:$AG$2,0)),Inputs!$B$4:$B$200,$B74)/1000)</f>
        <v>67728.675</v>
      </c>
      <c r="V74" s="11">
        <f>IF(SUMPRODUCT((Inputs!$B$4:$B$200=$B74)*ISNUMBER(INDEX(Inputs!$D$4:$AG$200,0,MATCH(V$2,Inputs!$D$2:$AG$2,0))))=0,"",SUMIFS(INDEX(Inputs!$D$4:$AG$200,0,MATCH(V$2,Inputs!$D$2:$AG$2,0)),Inputs!$B$4:$B$200,$B74)/1000)</f>
        <v>68181.225</v>
      </c>
      <c r="W74" s="12">
        <f>IF(COUNT(S74:V74)=4,SUM(S74:V74),"")</f>
        <v>269451.13</v>
      </c>
      <c r="X74" s="11">
        <f>IF(SUMPRODUCT((Inputs!$B$4:$B$200=$B74)*ISNUMBER(INDEX(Inputs!$D$4:$AG$200,0,MATCH(X$2,Inputs!$D$2:$AG$2,0))))=0,"",SUMIFS(INDEX(Inputs!$D$4:$AG$200,0,MATCH(X$2,Inputs!$D$2:$AG$2,0)),Inputs!$B$4:$B$200,$B74)/1000)</f>
        <v>69546.779</v>
      </c>
      <c r="Y74" s="11">
        <f>IF(SUMPRODUCT((Inputs!$B$4:$B$200=$B74)*ISNUMBER(INDEX(Inputs!$D$4:$AG$200,0,MATCH(Y$2,Inputs!$D$2:$AG$2,0))))=0,"",SUMIFS(INDEX(Inputs!$D$4:$AG$200,0,MATCH(Y$2,Inputs!$D$2:$AG$2,0)),Inputs!$B$4:$B$200,$B74)/1000)</f>
        <v>70398.095</v>
      </c>
      <c r="Z74" s="11">
        <f>IF(SUMPRODUCT((Inputs!$B$4:$B$200=$B74)*ISNUMBER(INDEX(Inputs!$D$4:$AG$200,0,MATCH(Z$2,Inputs!$D$2:$AG$2,0))))=0,"",SUMIFS(INDEX(Inputs!$D$4:$AG$200,0,MATCH(Z$2,Inputs!$D$2:$AG$2,0)),Inputs!$B$4:$B$200,$B74)/1000)</f>
        <v>73431.672</v>
      </c>
      <c r="AA74" s="11">
        <f>IF(SUMPRODUCT((Inputs!$B$4:$B$200=$B74)*ISNUMBER(INDEX(Inputs!$D$4:$AG$200,0,MATCH(AA$2,Inputs!$D$2:$AG$2,0))))=0,"",SUMIFS(INDEX(Inputs!$D$4:$AG$200,0,MATCH(AA$2,Inputs!$D$2:$AG$2,0)),Inputs!$B$4:$B$200,$B74)/1000)</f>
        <v>72269.744454723</v>
      </c>
      <c r="AB74" s="12">
        <f>IF(COUNT(X74:AA74)=4,SUM(X74:AA74),"")</f>
        <v>285646.290454723</v>
      </c>
      <c r="AC74" s="11">
        <f>IF(SUMPRODUCT((Inputs!$B$4:$B$200=$B74)*ISNUMBER(INDEX(Inputs!$D$4:$AG$200,0,MATCH(AC$2,Inputs!$D$2:$AG$2,0))))=0,"",SUMIFS(INDEX(Inputs!$D$4:$AG$200,0,MATCH(AC$2,Inputs!$D$2:$AG$2,0)),Inputs!$B$4:$B$200,$B74)/1000)</f>
        <v>77823.728680949</v>
      </c>
      <c r="AD74" s="11">
        <f>IF(SUMPRODUCT((Inputs!$B$4:$B$200=$B74)*ISNUMBER(INDEX(Inputs!$D$4:$AG$200,0,MATCH(AD$2,Inputs!$D$2:$AG$2,0))))=0,"",SUMIFS(INDEX(Inputs!$D$4:$AG$200,0,MATCH(AD$2,Inputs!$D$2:$AG$2,0)),Inputs!$B$4:$B$200,$B74)/1000)</f>
        <v>77252.184054344</v>
      </c>
      <c r="AE74" s="11" t="str">
        <f>IF(SUMPRODUCT((Inputs!$B$4:$B$200=$B74)*ISNUMBER(INDEX(Inputs!$D$4:$AG$200,0,MATCH(AE$2,Inputs!$D$2:$AG$2,0))))=0,"",SUMIFS(INDEX(Inputs!$D$4:$AG$200,0,MATCH(AE$2,Inputs!$D$2:$AG$2,0)),Inputs!$B$4:$B$200,$B74)/1000)</f>
        <v/>
      </c>
      <c r="AF74" s="11" t="str">
        <f>IF(SUMPRODUCT((Inputs!$B$4:$B$200=$B74)*ISNUMBER(INDEX(Inputs!$D$4:$AG$200,0,MATCH(AF$2,Inputs!$D$2:$AG$2,0))))=0,"",SUMIFS(INDEX(Inputs!$D$4:$AG$200,0,MATCH(AF$2,Inputs!$D$2:$AG$2,0)),Inputs!$B$4:$B$200,$B74)/1000)</f>
        <v/>
      </c>
      <c r="AG74" s="12" t="str">
        <f>IF(COUNT(AC74:AF74)=4,SUM(AC74:AF74),"")</f>
        <v/>
      </c>
    </row>
    <row r="75">
      <c r="B75" s="9" t="n">
        <v>67</v>
      </c>
      <c r="C75" s="10" t="inlineStr">
        <is>
          <t>Vamos - frota de locacao final (ativos; 1T21+: VAMOS - Operational Data l.21 da SIMPAR; 2020: planilha antiga Vamos, VAMOS Operational Data l.20)</t>
        </is>
      </c>
      <c r="D75" s="11">
        <f>IF(SUMPRODUCT((Inputs!$B$4:$B$200=$B75)*ISNUMBER(INDEX(Inputs!$D$4:$AG$200,0,MATCH(D$2,Inputs!$D$2:$AG$2,0))))=0,"",SUMIFS(INDEX(Inputs!$D$4:$AG$200,0,MATCH(D$2,Inputs!$D$2:$AG$2,0)),Inputs!$B$4:$B$200,$B75)/1000)</f>
        <v>16025</v>
      </c>
      <c r="E75" s="11">
        <f>IF(SUMPRODUCT((Inputs!$B$4:$B$200=$B75)*ISNUMBER(INDEX(Inputs!$D$4:$AG$200,0,MATCH(E$2,Inputs!$D$2:$AG$2,0))))=0,"",SUMIFS(INDEX(Inputs!$D$4:$AG$200,0,MATCH(E$2,Inputs!$D$2:$AG$2,0)),Inputs!$B$4:$B$200,$B75)/1000)</f>
        <v>18395</v>
      </c>
      <c r="F75" s="11">
        <f>IF(SUMPRODUCT((Inputs!$B$4:$B$200=$B75)*ISNUMBER(INDEX(Inputs!$D$4:$AG$200,0,MATCH(F$2,Inputs!$D$2:$AG$2,0))))=0,"",SUMIFS(INDEX(Inputs!$D$4:$AG$200,0,MATCH(F$2,Inputs!$D$2:$AG$2,0)),Inputs!$B$4:$B$200,$B75)/1000)</f>
        <v>20384</v>
      </c>
      <c r="G75" s="11">
        <f>IF(SUMPRODUCT((Inputs!$B$4:$B$200=$B75)*ISNUMBER(INDEX(Inputs!$D$4:$AG$200,0,MATCH(G$2,Inputs!$D$2:$AG$2,0))))=0,"",SUMIFS(INDEX(Inputs!$D$4:$AG$200,0,MATCH(G$2,Inputs!$D$2:$AG$2,0)),Inputs!$B$4:$B$200,$B75)/1000)</f>
        <v>23627</v>
      </c>
      <c r="H75" s="12">
        <f>IF(COUNT(D75:G75)=4,SUM(D75:G75),"")</f>
        <v>78431</v>
      </c>
      <c r="I75" s="11">
        <f>IF(SUMPRODUCT((Inputs!$B$4:$B$200=$B75)*ISNUMBER(INDEX(Inputs!$D$4:$AG$200,0,MATCH(I$2,Inputs!$D$2:$AG$2,0))))=0,"",SUMIFS(INDEX(Inputs!$D$4:$AG$200,0,MATCH(I$2,Inputs!$D$2:$AG$2,0)),Inputs!$B$4:$B$200,$B75)/1000)</f>
        <v>26859</v>
      </c>
      <c r="J75" s="11">
        <f>IF(SUMPRODUCT((Inputs!$B$4:$B$200=$B75)*ISNUMBER(INDEX(Inputs!$D$4:$AG$200,0,MATCH(J$2,Inputs!$D$2:$AG$2,0))))=0,"",SUMIFS(INDEX(Inputs!$D$4:$AG$200,0,MATCH(J$2,Inputs!$D$2:$AG$2,0)),Inputs!$B$4:$B$200,$B75)/1000)</f>
        <v>33940</v>
      </c>
      <c r="K75" s="11">
        <f>IF(SUMPRODUCT((Inputs!$B$4:$B$200=$B75)*ISNUMBER(INDEX(Inputs!$D$4:$AG$200,0,MATCH(K$2,Inputs!$D$2:$AG$2,0))))=0,"",SUMIFS(INDEX(Inputs!$D$4:$AG$200,0,MATCH(K$2,Inputs!$D$2:$AG$2,0)),Inputs!$B$4:$B$200,$B75)/1000)</f>
        <v>38561</v>
      </c>
      <c r="L75" s="11">
        <f>IF(SUMPRODUCT((Inputs!$B$4:$B$200=$B75)*ISNUMBER(INDEX(Inputs!$D$4:$AG$200,0,MATCH(L$2,Inputs!$D$2:$AG$2,0))))=0,"",SUMIFS(INDEX(Inputs!$D$4:$AG$200,0,MATCH(L$2,Inputs!$D$2:$AG$2,0)),Inputs!$B$4:$B$200,$B75)/1000)</f>
        <v>43829</v>
      </c>
      <c r="M75" s="12">
        <f>IF(COUNT(I75:L75)=4,SUM(I75:L75),"")</f>
        <v>143189</v>
      </c>
      <c r="N75" s="11">
        <f>IF(SUMPRODUCT((Inputs!$B$4:$B$200=$B75)*ISNUMBER(INDEX(Inputs!$D$4:$AG$200,0,MATCH(N$2,Inputs!$D$2:$AG$2,0))))=0,"",SUMIFS(INDEX(Inputs!$D$4:$AG$200,0,MATCH(N$2,Inputs!$D$2:$AG$2,0)),Inputs!$B$4:$B$200,$B75)/1000)</f>
        <v>45055</v>
      </c>
      <c r="O75" s="11">
        <f>IF(SUMPRODUCT((Inputs!$B$4:$B$200=$B75)*ISNUMBER(INDEX(Inputs!$D$4:$AG$200,0,MATCH(O$2,Inputs!$D$2:$AG$2,0))))=0,"",SUMIFS(INDEX(Inputs!$D$4:$AG$200,0,MATCH(O$2,Inputs!$D$2:$AG$2,0)),Inputs!$B$4:$B$200,$B75)/1000)</f>
        <v>45279</v>
      </c>
      <c r="P75" s="11">
        <f>IF(SUMPRODUCT((Inputs!$B$4:$B$200=$B75)*ISNUMBER(INDEX(Inputs!$D$4:$AG$200,0,MATCH(P$2,Inputs!$D$2:$AG$2,0))))=0,"",SUMIFS(INDEX(Inputs!$D$4:$AG$200,0,MATCH(P$2,Inputs!$D$2:$AG$2,0)),Inputs!$B$4:$B$200,$B75)/1000)</f>
        <v>45161</v>
      </c>
      <c r="Q75" s="11">
        <f>IF(SUMPRODUCT((Inputs!$B$4:$B$200=$B75)*ISNUMBER(INDEX(Inputs!$D$4:$AG$200,0,MATCH(Q$2,Inputs!$D$2:$AG$2,0))))=0,"",SUMIFS(INDEX(Inputs!$D$4:$AG$200,0,MATCH(Q$2,Inputs!$D$2:$AG$2,0)),Inputs!$B$4:$B$200,$B75)/1000)</f>
        <v>45727</v>
      </c>
      <c r="R75" s="12">
        <f>IF(COUNT(N75:Q75)=4,SUM(N75:Q75),"")</f>
        <v>181222</v>
      </c>
      <c r="S75" s="11">
        <f>IF(SUMPRODUCT((Inputs!$B$4:$B$200=$B75)*ISNUMBER(INDEX(Inputs!$D$4:$AG$200,0,MATCH(S$2,Inputs!$D$2:$AG$2,0))))=0,"",SUMIFS(INDEX(Inputs!$D$4:$AG$200,0,MATCH(S$2,Inputs!$D$2:$AG$2,0)),Inputs!$B$4:$B$200,$B75)/1000)</f>
        <v>49515</v>
      </c>
      <c r="T75" s="11">
        <f>IF(SUMPRODUCT((Inputs!$B$4:$B$200=$B75)*ISNUMBER(INDEX(Inputs!$D$4:$AG$200,0,MATCH(T$2,Inputs!$D$2:$AG$2,0))))=0,"",SUMIFS(INDEX(Inputs!$D$4:$AG$200,0,MATCH(T$2,Inputs!$D$2:$AG$2,0)),Inputs!$B$4:$B$200,$B75)/1000)</f>
        <v>50384</v>
      </c>
      <c r="U75" s="11">
        <f>IF(SUMPRODUCT((Inputs!$B$4:$B$200=$B75)*ISNUMBER(INDEX(Inputs!$D$4:$AG$200,0,MATCH(U$2,Inputs!$D$2:$AG$2,0))))=0,"",SUMIFS(INDEX(Inputs!$D$4:$AG$200,0,MATCH(U$2,Inputs!$D$2:$AG$2,0)),Inputs!$B$4:$B$200,$B75)/1000)</f>
        <v>51090</v>
      </c>
      <c r="V75" s="11">
        <f>IF(SUMPRODUCT((Inputs!$B$4:$B$200=$B75)*ISNUMBER(INDEX(Inputs!$D$4:$AG$200,0,MATCH(V$2,Inputs!$D$2:$AG$2,0))))=0,"",SUMIFS(INDEX(Inputs!$D$4:$AG$200,0,MATCH(V$2,Inputs!$D$2:$AG$2,0)),Inputs!$B$4:$B$200,$B75)/1000)</f>
        <v>51604</v>
      </c>
      <c r="W75" s="12">
        <f>IF(COUNT(S75:V75)=4,SUM(S75:V75),"")</f>
        <v>202593</v>
      </c>
      <c r="X75" s="11">
        <f>IF(SUMPRODUCT((Inputs!$B$4:$B$200=$B75)*ISNUMBER(INDEX(Inputs!$D$4:$AG$200,0,MATCH(X$2,Inputs!$D$2:$AG$2,0))))=0,"",SUMIFS(INDEX(Inputs!$D$4:$AG$200,0,MATCH(X$2,Inputs!$D$2:$AG$2,0)),Inputs!$B$4:$B$200,$B75)/1000)</f>
        <v>52593</v>
      </c>
      <c r="Y75" s="11">
        <f>IF(SUMPRODUCT((Inputs!$B$4:$B$200=$B75)*ISNUMBER(INDEX(Inputs!$D$4:$AG$200,0,MATCH(Y$2,Inputs!$D$2:$AG$2,0))))=0,"",SUMIFS(INDEX(Inputs!$D$4:$AG$200,0,MATCH(Y$2,Inputs!$D$2:$AG$2,0)),Inputs!$B$4:$B$200,$B75)/1000)</f>
        <v>52544</v>
      </c>
      <c r="Z75" s="11">
        <f>IF(SUMPRODUCT((Inputs!$B$4:$B$200=$B75)*ISNUMBER(INDEX(Inputs!$D$4:$AG$200,0,MATCH(Z$2,Inputs!$D$2:$AG$2,0))))=0,"",SUMIFS(INDEX(Inputs!$D$4:$AG$200,0,MATCH(Z$2,Inputs!$D$2:$AG$2,0)),Inputs!$B$4:$B$200,$B75)/1000)</f>
        <v>52047</v>
      </c>
      <c r="AA75" s="11">
        <f>IF(SUMPRODUCT((Inputs!$B$4:$B$200=$B75)*ISNUMBER(INDEX(Inputs!$D$4:$AG$200,0,MATCH(AA$2,Inputs!$D$2:$AG$2,0))))=0,"",SUMIFS(INDEX(Inputs!$D$4:$AG$200,0,MATCH(AA$2,Inputs!$D$2:$AG$2,0)),Inputs!$B$4:$B$200,$B75)/1000)</f>
        <v>51953</v>
      </c>
      <c r="AB75" s="12">
        <f>IF(COUNT(X75:AA75)=4,SUM(X75:AA75),"")</f>
        <v>209137</v>
      </c>
      <c r="AC75" s="11">
        <f>IF(SUMPRODUCT((Inputs!$B$4:$B$200=$B75)*ISNUMBER(INDEX(Inputs!$D$4:$AG$200,0,MATCH(AC$2,Inputs!$D$2:$AG$2,0))))=0,"",SUMIFS(INDEX(Inputs!$D$4:$AG$200,0,MATCH(AC$2,Inputs!$D$2:$AG$2,0)),Inputs!$B$4:$B$200,$B75)/1000)</f>
        <v>50980</v>
      </c>
      <c r="AD75" s="11">
        <f>IF(SUMPRODUCT((Inputs!$B$4:$B$200=$B75)*ISNUMBER(INDEX(Inputs!$D$4:$AG$200,0,MATCH(AD$2,Inputs!$D$2:$AG$2,0))))=0,"",SUMIFS(INDEX(Inputs!$D$4:$AG$200,0,MATCH(AD$2,Inputs!$D$2:$AG$2,0)),Inputs!$B$4:$B$200,$B75)/1000)</f>
        <v>51256</v>
      </c>
      <c r="AE75" s="11" t="str">
        <f>IF(SUMPRODUCT((Inputs!$B$4:$B$200=$B75)*ISNUMBER(INDEX(Inputs!$D$4:$AG$200,0,MATCH(AE$2,Inputs!$D$2:$AG$2,0))))=0,"",SUMIFS(INDEX(Inputs!$D$4:$AG$200,0,MATCH(AE$2,Inputs!$D$2:$AG$2,0)),Inputs!$B$4:$B$200,$B75)/1000)</f>
        <v/>
      </c>
      <c r="AF75" s="11" t="str">
        <f>IF(SUMPRODUCT((Inputs!$B$4:$B$200=$B75)*ISNUMBER(INDEX(Inputs!$D$4:$AG$200,0,MATCH(AF$2,Inputs!$D$2:$AG$2,0))))=0,"",SUMIFS(INDEX(Inputs!$D$4:$AG$200,0,MATCH(AF$2,Inputs!$D$2:$AG$2,0)),Inputs!$B$4:$B$200,$B75)/1000)</f>
        <v/>
      </c>
      <c r="AG75" s="12" t="str">
        <f>IF(COUNT(AC75:AF75)=4,SUM(AC75:AF75),"")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98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0.00137654700301937</v>
      </c>
      <c r="J1" s="12">
        <f>IF(J2="","",SUM(J2,J3))</f>
        <v>0.000592878001043573</v>
      </c>
      <c r="K1" s="12">
        <f>IF(K2="","",SUM(K2,K3))</f>
        <v>0</v>
      </c>
      <c r="L1" s="12">
        <f>IF(L2="","",SUM(L2,L3))</f>
        <v>0</v>
      </c>
      <c r="M1" s="12">
        <f>IF(M2="","",SUM(M2,M3))</f>
        <v>0</v>
      </c>
      <c r="N1" s="12">
        <f>IF(N2="","",SUM(N2,N3))</f>
        <v>0</v>
      </c>
      <c r="O1" s="12">
        <f>IF(O2="","",SUM(O2,O3))</f>
        <v>0</v>
      </c>
      <c r="P1" s="12">
        <f>IF(P2="","",SUM(P2,P3))</f>
        <v>6.00408611717285e-13</v>
      </c>
      <c r="Q1" s="12">
        <f>IF(Q2="","",SUM(Q2,Q3))</f>
        <v>0</v>
      </c>
      <c r="R1" s="12">
        <f>IF(R2="","",SUM(R2,R3))</f>
        <v>0</v>
      </c>
      <c r="S1" s="12">
        <f>IF(S2="","",SUM(S2,S3))</f>
        <v>0.032593019987381</v>
      </c>
      <c r="T1" s="12">
        <f>IF(T2="","",SUM(T2,T3))</f>
        <v>0.00217225601294047</v>
      </c>
      <c r="U1" s="12">
        <f>IF(U2="","",SUM(U2,U3))</f>
        <v>0.000389387999604196</v>
      </c>
      <c r="V1" s="12">
        <f>IF(V2="","",SUM(V2,V3))</f>
        <v>0.00150702300015837</v>
      </c>
      <c r="W1" s="12">
        <f>IF(W2="","",SUM(W2,W3))</f>
        <v>0.00150702401253966</v>
      </c>
      <c r="X1" s="12">
        <f>IF(X2="","",SUM(X2,X3))</f>
        <v>0.000473477005483502</v>
      </c>
      <c r="Y1" s="12">
        <f>IF(Y2="","",SUM(Y2,Y3))</f>
        <v>0.00072361499900353</v>
      </c>
      <c r="Z1" s="12">
        <f>IF(Z2="","",SUM(Z2,Z3))</f>
        <v>0.00448801198298376</v>
      </c>
      <c r="AA1" s="12">
        <f>IF(AA2="","",SUM(AA2,AA3))</f>
        <v>0.0164630900117686</v>
      </c>
      <c r="AB1" s="12">
        <f>IF(AB2="","",SUM(AB2,AB3))</f>
        <v>0.0164630899962503</v>
      </c>
      <c r="AC1" s="12">
        <f>IF(AC2="","",SUM(AC2,AC3))</f>
        <v>0.0203605899889467</v>
      </c>
      <c r="AD1" s="12">
        <f>IF(AD2="","",SUM(AD2,AD3))</f>
        <v>0.0162588499806589</v>
      </c>
      <c r="AE1" s="12">
        <f>IF(AE2="","",SUM(AE2,AE3))</f>
        <v>0.0334084200015639</v>
      </c>
      <c r="AF1" s="12">
        <f>IF(AF2="","",SUM(AF2,AF3))</f>
        <v>0.000388359985663556</v>
      </c>
      <c r="AG1" s="12">
        <f>IF(AG2="","",SUM(AG2,AG3))</f>
        <v>0.000388360002546051</v>
      </c>
      <c r="AH1" s="12">
        <f>IF(AH2="","",SUM(AH2,AH3))</f>
        <v>2.29979889354581e-07</v>
      </c>
      <c r="AI1" s="12">
        <f>IF(AI2="","",SUM(AI2,AI3))</f>
        <v>1.00125134849804e-08</v>
      </c>
      <c r="AJ1" s="12">
        <f>IF(AJ2="","",SUM(AJ2,AJ3))</f>
        <v>1280.90332960078</v>
      </c>
      <c r="AK1" s="12">
        <f>IF(AK2="","",SUM(AK2,AK3))</f>
        <v>1283.04474481357</v>
      </c>
      <c r="AL1" s="12">
        <f>IF(AL2="","",SUM(AL2,AL3))</f>
        <v>2194.88107441436</v>
      </c>
      <c r="AM1" s="12">
        <f>IF(AM2="","",SUM(AM2,AM3))</f>
        <v>1260.52193117372</v>
      </c>
      <c r="AN1" s="12">
        <f>IF(AN2="","",SUM(AN2,AN3))</f>
        <v>1297.94926898631</v>
      </c>
      <c r="AO1" s="12">
        <f>IF(AO2="","",SUM(AO2,AO3))</f>
        <v>1359.39248944756</v>
      </c>
      <c r="AP1" s="12">
        <f>IF(AP2="","",SUM(AP2,AP3))</f>
        <v>1361.66512290068</v>
      </c>
      <c r="AQ1" s="12">
        <f>IF(AQ2="","",SUM(AQ2,AQ3))</f>
        <v>5279.52881250827</v>
      </c>
      <c r="AR1" s="12">
        <f>IF(AR2="","",SUM(AR2,AR3))</f>
        <v>1331.45958240241</v>
      </c>
      <c r="AS1" s="12">
        <f>IF(AS2="","",SUM(AS2,AS3))</f>
        <v>1370.99319648875</v>
      </c>
      <c r="AT1" s="12">
        <f>IF(AT2="","",SUM(AT2,AT3))</f>
        <v>1435.89422092442</v>
      </c>
      <c r="AU1" s="12">
        <f>IF(AU2="","",SUM(AU2,AU3))</f>
        <v>1438.29475003351</v>
      </c>
      <c r="AV1" s="12">
        <f>IF(AV2="","",SUM(AV2,AV3))</f>
        <v>5576.64174984908</v>
      </c>
      <c r="AW1" s="12">
        <f>IF(AW2="","",SUM(AW2,AW3))</f>
        <v>1399.73205218878</v>
      </c>
      <c r="AX1" s="12">
        <f>IF(AX2="","",SUM(AX2,AX3))</f>
        <v>1441.29280814929</v>
      </c>
      <c r="AY1" s="12">
        <f>IF(AY2="","",SUM(AY2,AY3))</f>
        <v>1509.52172423743</v>
      </c>
      <c r="AZ1" s="12">
        <f>IF(AZ2="","",SUM(AZ2,AZ3))</f>
        <v>1512.04534386556</v>
      </c>
      <c r="BA1" s="12">
        <f>IF(BA2="","",SUM(BA2,BA3))</f>
        <v>5862.59192844106</v>
      </c>
      <c r="BB1" s="12">
        <f>IF(BB2="","",SUM(BB2,BB3))</f>
        <v>1464.5066289867</v>
      </c>
      <c r="BC1" s="12">
        <f>IF(BC2="","",SUM(BC2,BC3))</f>
        <v>1507.99066760301</v>
      </c>
      <c r="BD1" s="12">
        <f>IF(BD2="","",SUM(BD2,BD3))</f>
        <v>1579.37697310586</v>
      </c>
      <c r="BE1" s="12">
        <f>IF(BE2="","",SUM(BE2,BE3))</f>
        <v>1582.01737679502</v>
      </c>
      <c r="BF1" s="12">
        <f>IF(BF2="","",SUM(BF2,BF3))</f>
        <v>6133.89164649059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IF(COUNT(I203,I279)&lt;2,"",ABS(I203-I279))</f>
        <v>0.00137654700301937</v>
      </c>
      <c r="J2" s="12">
        <f>IF(COUNT(J203,J279)&lt;2,"",ABS(J203-J279))</f>
        <v>0.000592878001043573</v>
      </c>
      <c r="K2" s="12">
        <f>IF(COUNT(K203,K279)&lt;2,"",ABS(K203-K279))</f>
        <v>0</v>
      </c>
      <c r="L2" s="12">
        <f>IF(COUNT(L203,L279)&lt;2,"",ABS(L203-L279))</f>
        <v>0</v>
      </c>
      <c r="M2" s="12">
        <f>IF(COUNT(M203,M279)&lt;2,"",ABS(M203-M279))</f>
        <v>0</v>
      </c>
      <c r="N2" s="12">
        <f>IF(COUNT(N203,N279)&lt;2,"",ABS(N203-N279))</f>
        <v>0</v>
      </c>
      <c r="O2" s="12">
        <f>IF(COUNT(O203,O279)&lt;2,"",ABS(O203-O279))</f>
        <v>0</v>
      </c>
      <c r="P2" s="12">
        <f>IF(COUNT(P203,P279)&lt;2,"",ABS(P203-P279))</f>
        <v>0</v>
      </c>
      <c r="Q2" s="12">
        <f>IF(COUNT(Q203,Q279)&lt;2,"",ABS(Q203-Q279))</f>
        <v>0</v>
      </c>
      <c r="R2" s="12">
        <f>IF(COUNT(R203,R279)&lt;2,"",ABS(R203-R279))</f>
        <v>0</v>
      </c>
      <c r="S2" s="12">
        <f>IF(COUNT(S203,S279)&lt;2,"",ABS(S203-S279))</f>
        <v>0.0325930189865176</v>
      </c>
      <c r="T2" s="12">
        <f>IF(COUNT(T203,T279)&lt;2,"",ABS(T203-T279))</f>
        <v>0.00217225601227256</v>
      </c>
      <c r="U2" s="12">
        <f>IF(COUNT(U203,U279)&lt;2,"",ABS(U203-U279))</f>
        <v>0.000389387998438906</v>
      </c>
      <c r="V2" s="12">
        <f>IF(COUNT(V203,V279)&lt;2,"",ABS(V203-V279))</f>
        <v>0.00150702300015837</v>
      </c>
      <c r="W2" s="12">
        <f>IF(COUNT(W203,W279)&lt;2,"",ABS(W203-W279))</f>
        <v>0.00150702301471028</v>
      </c>
      <c r="X2" s="12">
        <f>IF(COUNT(X203,X279)&lt;2,"",ABS(X203-X279))</f>
        <v>0.000473477004561573</v>
      </c>
      <c r="Y2" s="12">
        <f>IF(COUNT(Y203,Y279)&lt;2,"",ABS(Y203-Y279))</f>
        <v>0.000723614997696132</v>
      </c>
      <c r="Z2" s="12">
        <f>IF(COUNT(Z203,Z279)&lt;2,"",ABS(Z203-Z279))</f>
        <v>0.00448801198217552</v>
      </c>
      <c r="AA2" s="12">
        <f>IF(COUNT(AA203,AA279)&lt;2,"",ABS(AA203-AA279))</f>
        <v>0.0164630900108023</v>
      </c>
      <c r="AB2" s="12">
        <f>IF(COUNT(AB203,AB279)&lt;2,"",ABS(AB203-AB279))</f>
        <v>0.0164630899962503</v>
      </c>
      <c r="AC2" s="12">
        <f>IF(COUNT(AC203,AC279)&lt;2,"",ABS(AC203-AC279))</f>
        <v>0.0203605899878312</v>
      </c>
      <c r="AD2" s="12">
        <f>IF(COUNT(AD203,AD279)&lt;2,"",ABS(AD203-AD279))</f>
        <v>0.0162588499806589</v>
      </c>
      <c r="AE2" s="12">
        <f>IF(COUNT(AE203,AE279)&lt;2,"",ABS(AE203-AE279))</f>
        <v>0.0334084200003417</v>
      </c>
      <c r="AF2" s="12">
        <f>IF(COUNT(AF203,AF279)&lt;2,"",ABS(AF203-AF279))</f>
        <v>0.000388359985663556</v>
      </c>
      <c r="AG2" s="12">
        <f>IF(COUNT(AG203,AG279)&lt;2,"",ABS(AG203-AG279))</f>
        <v>0.000388360000215471</v>
      </c>
      <c r="AH2" s="12">
        <f>IF(COUNT(AH203,AH279)&lt;2,"",ABS(AH203-AH279))</f>
        <v>2.2997846826911e-07</v>
      </c>
      <c r="AI2" s="12">
        <f>IF(COUNT(AI203,AI279)&lt;2,"",ABS(AI203-AI279))</f>
        <v>1.00117176771164e-08</v>
      </c>
      <c r="AJ2" s="12">
        <f>IF(COUNT(AJ203,AJ279)&lt;2,"",ABS(AJ203-AJ279))</f>
        <v>0</v>
      </c>
      <c r="AK2" s="12">
        <f>IF(COUNT(AK203,AK279)&lt;2,"",ABS(AK203-AK279))</f>
        <v>0</v>
      </c>
      <c r="AL2" s="12">
        <f>IF(COUNT(AL203,AL279)&lt;2,"",ABS(AL203-AL279))</f>
        <v>0</v>
      </c>
      <c r="AM2" s="12">
        <f>IF(COUNT(AM203,AM279)&lt;2,"",ABS(AM203-AM279))</f>
        <v>0</v>
      </c>
      <c r="AN2" s="12">
        <f>IF(COUNT(AN203,AN279)&lt;2,"",ABS(AN203-AN279))</f>
        <v>0</v>
      </c>
      <c r="AO2" s="12">
        <f>IF(COUNT(AO203,AO279)&lt;2,"",ABS(AO203-AO279))</f>
        <v>0</v>
      </c>
      <c r="AP2" s="12">
        <f>IF(COUNT(AP203,AP279)&lt;2,"",ABS(AP203-AP279))</f>
        <v>0</v>
      </c>
      <c r="AQ2" s="12">
        <f>IF(COUNT(AQ203,AQ279)&lt;2,"",ABS(AQ203-AQ279))</f>
        <v>0</v>
      </c>
      <c r="AR2" s="12">
        <f>IF(COUNT(AR203,AR279)&lt;2,"",ABS(AR203-AR279))</f>
        <v>0</v>
      </c>
      <c r="AS2" s="12">
        <f>IF(COUNT(AS203,AS279)&lt;2,"",ABS(AS203-AS279))</f>
        <v>0</v>
      </c>
      <c r="AT2" s="12">
        <f>IF(COUNT(AT203,AT279)&lt;2,"",ABS(AT203-AT279))</f>
        <v>0</v>
      </c>
      <c r="AU2" s="12">
        <f>IF(COUNT(AU203,AU279)&lt;2,"",ABS(AU203-AU279))</f>
        <v>0</v>
      </c>
      <c r="AV2" s="12">
        <f>IF(COUNT(AV203,AV279)&lt;2,"",ABS(AV203-AV279))</f>
        <v>0</v>
      </c>
      <c r="AW2" s="12">
        <f>IF(COUNT(AW203,AW279)&lt;2,"",ABS(AW203-AW279))</f>
        <v>0</v>
      </c>
      <c r="AX2" s="12">
        <f>IF(COUNT(AX203,AX279)&lt;2,"",ABS(AX203-AX279))</f>
        <v>0</v>
      </c>
      <c r="AY2" s="12">
        <f>IF(COUNT(AY203,AY279)&lt;2,"",ABS(AY203-AY279))</f>
        <v>0</v>
      </c>
      <c r="AZ2" s="12">
        <f>IF(COUNT(AZ203,AZ279)&lt;2,"",ABS(AZ203-AZ279))</f>
        <v>0</v>
      </c>
      <c r="BA2" s="12">
        <f>IF(COUNT(BA203,BA279)&lt;2,"",ABS(BA203-BA279))</f>
        <v>0</v>
      </c>
      <c r="BB2" s="12">
        <f>IF(COUNT(BB203,BB279)&lt;2,"",ABS(BB203-BB279))</f>
        <v>0</v>
      </c>
      <c r="BC2" s="12">
        <f>IF(COUNT(BC203,BC279)&lt;2,"",ABS(BC203-BC279))</f>
        <v>0</v>
      </c>
      <c r="BD2" s="12">
        <f>IF(COUNT(BD203,BD279)&lt;2,"",ABS(BD203-BD279))</f>
        <v>0</v>
      </c>
      <c r="BE2" s="12">
        <f>IF(COUNT(BE203,BE279)&lt;2,"",ABS(BE203-BE279))</f>
        <v>0</v>
      </c>
      <c r="BF2" s="12">
        <f>IF(COUNT(BF203,BF279)&lt;2,"",ABS(BF203-BF279))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IF(COUNT(I143,I4)&lt;2,"",ABS(I143-I4))</f>
        <v>0</v>
      </c>
      <c r="J3" s="12">
        <f>IF(COUNT(J143,J4)&lt;2,"",ABS(J143-J4))</f>
        <v>0</v>
      </c>
      <c r="K3" s="12">
        <f>IF(COUNT(K143,K4)&lt;2,"",ABS(K143-K4))</f>
        <v>0</v>
      </c>
      <c r="L3" s="12">
        <f>IF(COUNT(L143,L4)&lt;2,"",ABS(L143-L4))</f>
        <v>0</v>
      </c>
      <c r="M3" s="12">
        <f>IF(COUNT(M143,M4)&lt;2,"",ABS(M143-M4))</f>
        <v>0</v>
      </c>
      <c r="N3" s="12">
        <f>IF(COUNT(N143,N4)&lt;2,"",ABS(N143-N4))</f>
        <v>0</v>
      </c>
      <c r="O3" s="12">
        <f>IF(COUNT(O143,O4)&lt;2,"",ABS(O143-O4))</f>
        <v>0</v>
      </c>
      <c r="P3" s="12">
        <f>IF(COUNT(P143,P4)&lt;2,"",ABS(P143-P4))</f>
        <v>6.00408611717285e-13</v>
      </c>
      <c r="Q3" s="12">
        <f>IF(COUNT(Q143,Q4)&lt;2,"",ABS(Q143-Q4))</f>
        <v>0</v>
      </c>
      <c r="R3" s="12">
        <f>IF(COUNT(R143,R4)&lt;2,"",ABS(R143-R4))</f>
        <v>0</v>
      </c>
      <c r="S3" s="12">
        <f>IF(COUNT(S143,S4)&lt;2,"",ABS(S143-S4))</f>
        <v>1.00086339216432e-09</v>
      </c>
      <c r="T3" s="12">
        <f>IF(COUNT(T143,T4)&lt;2,"",ABS(T143-T4))</f>
        <v>6.67910171614494e-13</v>
      </c>
      <c r="U3" s="12">
        <f>IF(COUNT(U143,U4)&lt;2,"",ABS(U143-U4))</f>
        <v>1.16529008664656e-12</v>
      </c>
      <c r="V3" s="12">
        <f>IF(COUNT(V143,V4)&lt;2,"",ABS(V143-V4))</f>
        <v>0</v>
      </c>
      <c r="W3" s="12">
        <f>IF(COUNT(W143,W4)&lt;2,"",ABS(W143-W4))</f>
        <v>9.97829374682624e-10</v>
      </c>
      <c r="X3" s="12">
        <f>IF(COUNT(X143,X4)&lt;2,"",ABS(X143-X4))</f>
        <v>9.2192919964873e-13</v>
      </c>
      <c r="Y3" s="12">
        <f>IF(COUNT(Y143,Y4)&lt;2,"",ABS(Y143-Y4))</f>
        <v>1.30739863379858e-12</v>
      </c>
      <c r="Z3" s="12">
        <f>IF(COUNT(Z143,Z4)&lt;2,"",ABS(Z143-Z4))</f>
        <v>8.08242361927114e-13</v>
      </c>
      <c r="AA3" s="12">
        <f>IF(COUNT(AA143,AA4)&lt;2,"",ABS(AA143-AA4))</f>
        <v>9.66338120633736e-13</v>
      </c>
      <c r="AB3" s="12">
        <f>IF(COUNT(AB143,AB4)&lt;2,"",ABS(AB143-AB4))</f>
        <v>0</v>
      </c>
      <c r="AC3" s="12">
        <f>IF(COUNT(AC143,AC4)&lt;2,"",ABS(AC143-AC4))</f>
        <v>1.11555209514336e-12</v>
      </c>
      <c r="AD3" s="12">
        <f>IF(COUNT(AD143,AD4)&lt;2,"",ABS(AD143-AD4))</f>
        <v>0</v>
      </c>
      <c r="AE3" s="12">
        <f>IF(COUNT(AE143,AE4)&lt;2,"",ABS(AE143-AE4))</f>
        <v>1.22213350550737e-12</v>
      </c>
      <c r="AF3" s="12">
        <f>IF(COUNT(AF143,AF4)&lt;2,"",ABS(AF143-AF4))</f>
        <v>0</v>
      </c>
      <c r="AG3" s="12">
        <f>IF(COUNT(AG143,AG4)&lt;2,"",ABS(AG143-AG4))</f>
        <v>2.33058017329313e-12</v>
      </c>
      <c r="AH3" s="12">
        <f>IF(COUNT(AH143,AH4)&lt;2,"",ABS(AH143-AH4))</f>
        <v>1.4210854715202e-12</v>
      </c>
      <c r="AI3" s="12">
        <f>IF(COUNT(AI143,AI4)&lt;2,"",ABS(AI143-AI4))</f>
        <v>7.95807864051312e-13</v>
      </c>
      <c r="AJ3" s="12">
        <f>ABS(AJ143-AJ4)</f>
        <v>1280.90332960078</v>
      </c>
      <c r="AK3" s="12">
        <f>ABS(AK143-AK4)</f>
        <v>1283.04474481357</v>
      </c>
      <c r="AL3" s="12">
        <f>ABS(AL143-AL4)</f>
        <v>2194.88107441436</v>
      </c>
      <c r="AM3" s="12">
        <f>ABS(AM143-AM4)</f>
        <v>1260.52193117372</v>
      </c>
      <c r="AN3" s="12">
        <f>ABS(AN143-AN4)</f>
        <v>1297.94926898631</v>
      </c>
      <c r="AO3" s="12">
        <f>ABS(AO143-AO4)</f>
        <v>1359.39248944756</v>
      </c>
      <c r="AP3" s="12">
        <f>ABS(AP143-AP4)</f>
        <v>1361.66512290068</v>
      </c>
      <c r="AQ3" s="12">
        <f>ABS(AQ143-AQ4)</f>
        <v>5279.52881250827</v>
      </c>
      <c r="AR3" s="12">
        <f>ABS(AR143-AR4)</f>
        <v>1331.45958240241</v>
      </c>
      <c r="AS3" s="12">
        <f>ABS(AS143-AS4)</f>
        <v>1370.99319648875</v>
      </c>
      <c r="AT3" s="12">
        <f>ABS(AT143-AT4)</f>
        <v>1435.89422092442</v>
      </c>
      <c r="AU3" s="12">
        <f>ABS(AU143-AU4)</f>
        <v>1438.29475003351</v>
      </c>
      <c r="AV3" s="12">
        <f>ABS(AV143-AV4)</f>
        <v>5576.64174984908</v>
      </c>
      <c r="AW3" s="12">
        <f>ABS(AW143-AW4)</f>
        <v>1399.73205218878</v>
      </c>
      <c r="AX3" s="12">
        <f>ABS(AX143-AX4)</f>
        <v>1441.29280814929</v>
      </c>
      <c r="AY3" s="12">
        <f>ABS(AY143-AY4)</f>
        <v>1509.52172423743</v>
      </c>
      <c r="AZ3" s="12">
        <f>ABS(AZ143-AZ4)</f>
        <v>1512.04534386556</v>
      </c>
      <c r="BA3" s="12">
        <f>ABS(BA143-BA4)</f>
        <v>5862.59192844106</v>
      </c>
      <c r="BB3" s="12">
        <f>ABS(BB143-BB4)</f>
        <v>1464.5066289867</v>
      </c>
      <c r="BC3" s="12">
        <f>ABS(BC143-BC4)</f>
        <v>1507.99066760301</v>
      </c>
      <c r="BD3" s="12">
        <f>ABS(BD143-BD4)</f>
        <v>1579.37697310586</v>
      </c>
      <c r="BE3" s="12">
        <f>ABS(BE143-BE4)</f>
        <v>1582.01737679502</v>
      </c>
      <c r="BF3" s="12">
        <f>ABS(BF143-BF4)</f>
        <v>6133.89164649059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94.243</v>
      </c>
      <c r="J4">
        <f>IF(ISNUMBER('Inputs (2)'!E50),'Inputs (2)'!E50,"")</f>
        <v>267.247</v>
      </c>
      <c r="K4">
        <f>IF(ISNUMBER('Inputs (2)'!F50),'Inputs (2)'!F50,"")</f>
        <v>245.763</v>
      </c>
      <c r="L4">
        <f>IF(ISNUMBER('Inputs (2)'!G50),'Inputs (2)'!G50,"")</f>
        <v>215.002</v>
      </c>
      <c r="M4" s="11">
        <f>IF(COUNT(I4:L4)=4,SUM(I4:L4),"")</f>
        <v>822.255</v>
      </c>
      <c r="N4">
        <f>IF(ISNUMBER('Inputs (2)'!I50),'Inputs (2)'!I50,"")</f>
        <v>191.676</v>
      </c>
      <c r="O4">
        <f>IF(ISNUMBER('Inputs (2)'!J50),'Inputs (2)'!J50,"")</f>
        <v>101.977</v>
      </c>
      <c r="P4">
        <f>IF(ISNUMBER('Inputs (2)'!K50),'Inputs (2)'!K50,"")</f>
        <v>18.501</v>
      </c>
      <c r="Q4">
        <f>IF(ISNUMBER('Inputs (2)'!L50),'Inputs (2)'!L50,"")</f>
        <v>169.929</v>
      </c>
      <c r="R4" s="11">
        <f>IF(COUNT(N4:Q4)=4,SUM(N4:Q4),"")</f>
        <v>482.083</v>
      </c>
      <c r="S4">
        <f>IF(ISNUMBER('Inputs (2)'!N50),'Inputs (2)'!N50,"")</f>
        <v>6.189</v>
      </c>
      <c r="T4">
        <f>IF(ISNUMBER('Inputs (2)'!O50),'Inputs (2)'!O50,"")</f>
        <v>12.329</v>
      </c>
      <c r="U4">
        <f>IF(ISNUMBER('Inputs (2)'!P50),'Inputs (2)'!P50,"")</f>
        <v>-136.515</v>
      </c>
      <c r="V4">
        <f>IF(ISNUMBER('Inputs (2)'!Q50),'Inputs (2)'!Q50,"")</f>
        <v>-377.224</v>
      </c>
      <c r="W4" s="11">
        <f>IF(COUNT(S4:V4)=4,SUM(S4:V4),"")</f>
        <v>-495.221</v>
      </c>
      <c r="X4">
        <f>IF(ISNUMBER('Inputs (2)'!S50),'Inputs (2)'!S50,"")</f>
        <v>-13.05523078</v>
      </c>
      <c r="Y4">
        <f>IF(ISNUMBER('Inputs (2)'!T50),'Inputs (2)'!T50,"")</f>
        <v>49.29983453</v>
      </c>
      <c r="Z4">
        <f>IF(ISNUMBER('Inputs (2)'!U50),'Inputs (2)'!U50,"")</f>
        <v>10.84224994</v>
      </c>
      <c r="AA4">
        <f>IF(ISNUMBER('Inputs (2)'!V50),'Inputs (2)'!V50,"")</f>
        <v>-245.24247127</v>
      </c>
      <c r="AB4" s="11">
        <f>IF(COUNT(X4:AA4)=4,SUM(X4:AA4),"")</f>
        <v>-198.15561758</v>
      </c>
      <c r="AC4">
        <f>IF(ISNUMBER('Inputs (2)'!X50),'Inputs (2)'!X50,"")</f>
        <v>-50.953</v>
      </c>
      <c r="AD4">
        <f>IF(ISNUMBER('Inputs (2)'!Y50),'Inputs (2)'!Y50,"")</f>
        <v>-96.291</v>
      </c>
      <c r="AE4">
        <f>IF(ISNUMBER('Inputs (2)'!Z50),'Inputs (2)'!Z50,"")</f>
        <v>-246.193</v>
      </c>
      <c r="AF4">
        <f>IF(ISNUMBER('Inputs (2)'!AA50),'Inputs (2)'!AA50,"")</f>
        <v>432.908</v>
      </c>
      <c r="AG4" s="11">
        <f>IF(COUNT(AC4:AF4)=4,SUM(AC4:AF4),"")</f>
        <v>39.471</v>
      </c>
      <c r="AH4" s="11">
        <f>IF(ISNUMBER('Inputs (2)'!AC50),'Inputs (2)'!AC50,"")</f>
        <v>-179.59733257</v>
      </c>
      <c r="AI4" s="11">
        <f>IF(ISNUMBER('Inputs (2)'!AD50),'Inputs (2)'!AD50,"")</f>
        <v>-189.46966743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2620.105655916</v>
      </c>
      <c r="J15" s="34">
        <f>'Inputs (2)'!E4</f>
        <v>3149.066344084</v>
      </c>
      <c r="K15" s="34">
        <f>'Inputs (2)'!F4</f>
        <v>3958.28</v>
      </c>
      <c r="L15" s="34">
        <f>'Inputs (2)'!G4</f>
        <v>4138.767</v>
      </c>
      <c r="M15" s="35">
        <f>'Inputs (2)'!H4</f>
        <v>13866.219</v>
      </c>
      <c r="N15" s="34">
        <f>'Inputs (2)'!I4</f>
        <v>4530.19701274</v>
      </c>
      <c r="O15" s="34">
        <f>'Inputs (2)'!J4</f>
        <v>5387.14735583</v>
      </c>
      <c r="P15" s="34">
        <f>'Inputs (2)'!K4</f>
        <v>6823.350471412</v>
      </c>
      <c r="Q15" s="34">
        <f>'Inputs (2)'!L4</f>
        <v>7341.186278311</v>
      </c>
      <c r="R15" s="35">
        <f>'Inputs (2)'!M4</f>
        <v>24081.881118293</v>
      </c>
      <c r="S15" s="34">
        <f>'Inputs (2)'!N4</f>
        <v>7440.043821226</v>
      </c>
      <c r="T15" s="34">
        <f>'Inputs (2)'!O4</f>
        <v>7563.636178774</v>
      </c>
      <c r="U15" s="34">
        <f>'Inputs (2)'!P4</f>
        <v>8318.109</v>
      </c>
      <c r="V15" s="34">
        <f>'Inputs (2)'!Q4</f>
        <v>8521.824</v>
      </c>
      <c r="W15" s="35">
        <f>'Inputs (2)'!R4</f>
        <v>31843.613</v>
      </c>
      <c r="X15" s="34">
        <f>'Inputs (2)'!S4</f>
        <v>9066.59642925</v>
      </c>
      <c r="Y15" s="34">
        <f>'Inputs (2)'!T4</f>
        <v>10227.19018878</v>
      </c>
      <c r="Z15" s="34">
        <f>'Inputs (2)'!U4</f>
        <v>10790.49060251</v>
      </c>
      <c r="AA15" s="34">
        <f>'Inputs (2)'!V4</f>
        <v>10653.80870459</v>
      </c>
      <c r="AB15" s="35">
        <f>'Inputs (2)'!W4</f>
        <v>40738.08592513</v>
      </c>
      <c r="AC15" s="34">
        <f>'Inputs (2)'!X4</f>
        <v>10244.63461166</v>
      </c>
      <c r="AD15" s="34">
        <f>'Inputs (2)'!Y4</f>
        <v>10340.78606133</v>
      </c>
      <c r="AE15" s="34">
        <f>'Inputs (2)'!Z4</f>
        <v>11100.93342807</v>
      </c>
      <c r="AF15" s="34">
        <f>'Inputs (2)'!AA4</f>
        <v>11119.49197747</v>
      </c>
      <c r="AG15" s="35">
        <f>'Inputs (2)'!AB4</f>
        <v>42805.84607853</v>
      </c>
      <c r="AH15" s="35">
        <f>'Inputs (2)'!AC4</f>
        <v>10924.2982817</v>
      </c>
      <c r="AI15" s="35">
        <f>'Inputs (2)'!AD4</f>
        <v>11248.66185844</v>
      </c>
      <c r="AJ15" s="35">
        <f>AE15*(1+AJ16)</f>
        <v>11781.1587957063</v>
      </c>
      <c r="AK15" s="35">
        <f>AF15*(1+AK16)</f>
        <v>11800.854546421</v>
      </c>
      <c r="AL15" s="35">
        <f>SUM(AH15:AK15)</f>
        <v>45754.9734822673</v>
      </c>
      <c r="AM15" s="35">
        <f>AH15*(1+AM16)</f>
        <v>11593.7000813764</v>
      </c>
      <c r="AN15" s="35">
        <f>AI15*(1+AN16)</f>
        <v>11937.939494204</v>
      </c>
      <c r="AO15" s="35">
        <f>AJ15*(1+AO16)</f>
        <v>12503.0659330581</v>
      </c>
      <c r="AP15" s="35">
        <f>AK15*(1+AP16)</f>
        <v>12523.9685687034</v>
      </c>
      <c r="AQ15" s="35">
        <f>SUM(AM15:AP15)</f>
        <v>48558.6740773419</v>
      </c>
      <c r="AR15" s="35">
        <f>AM15*(1+AR16)</f>
        <v>12246.1519209544</v>
      </c>
      <c r="AS15" s="35">
        <f>AN15*(1+AS16)</f>
        <v>12609.7638927216</v>
      </c>
      <c r="AT15" s="35">
        <f>AO15*(1+AT16)</f>
        <v>13206.693619744</v>
      </c>
      <c r="AU15" s="35">
        <f>AP15*(1+AU16)</f>
        <v>13228.7725807197</v>
      </c>
      <c r="AV15" s="35">
        <f>SUM(AR15:AU15)</f>
        <v>51291.3820141398</v>
      </c>
      <c r="AW15" s="35">
        <f>AR15*(1+AW16)</f>
        <v>12874.090649304</v>
      </c>
      <c r="AX15" s="35">
        <f>AS15*(1+AX16)</f>
        <v>13256.3473382557</v>
      </c>
      <c r="AY15" s="35">
        <f>AT15*(1+AY16)</f>
        <v>13883.8854797514</v>
      </c>
      <c r="AZ15" s="35">
        <f>AU15*(1+AZ16)</f>
        <v>13907.0965706213</v>
      </c>
      <c r="BA15" s="35">
        <f>SUM(AW15:AZ15)</f>
        <v>53921.4200379325</v>
      </c>
      <c r="BB15" s="35">
        <f>AW15*(1+BB16)</f>
        <v>13469.8573692007</v>
      </c>
      <c r="BC15" s="35">
        <f>AX15*(1+BC16)</f>
        <v>13869.8035260876</v>
      </c>
      <c r="BD15" s="35">
        <f>AY15*(1+BD16)</f>
        <v>14526.381881013</v>
      </c>
      <c r="BE15" s="35">
        <f>AZ15*(1+BE16)</f>
        <v>14550.6670978814</v>
      </c>
      <c r="BF15" s="35">
        <f>SUM(BB15:BE15)</f>
        <v>56416.7098741826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0.729013103922416</v>
      </c>
      <c r="O16" s="40">
        <f>IFERROR(O15/J15-1,"")</f>
        <v>0.710712562772955</v>
      </c>
      <c r="P16" s="40">
        <f>IFERROR(P15/K15-1,"")</f>
        <v>0.723817029470376</v>
      </c>
      <c r="Q16" s="40">
        <f>IFERROR(Q15/L15-1,"")</f>
        <v>0.773761673056493</v>
      </c>
      <c r="R16" s="40">
        <f>IFERROR(R15/M15-1,"")</f>
        <v>0.736730187103853</v>
      </c>
      <c r="S16" s="40">
        <f>IFERROR(S15/N15-1,"")</f>
        <v>0.642322353818788</v>
      </c>
      <c r="T16" s="40">
        <f>IFERROR(T15/O15-1,"")</f>
        <v>0.404015089839448</v>
      </c>
      <c r="U16" s="40">
        <f>IFERROR(U15/P15-1,"")</f>
        <v>0.219065184303611</v>
      </c>
      <c r="V16" s="40">
        <f>IFERROR(V15/Q15-1,"")</f>
        <v>0.160823833768816</v>
      </c>
      <c r="W16" s="40">
        <f>IFERROR(W15/R15-1,"")</f>
        <v>0.322305879826434</v>
      </c>
      <c r="X16" s="40">
        <f>IFERROR(X15/S15-1,"")</f>
        <v>0.21862137469991</v>
      </c>
      <c r="Y16" s="40">
        <f>IFERROR(Y15/T15-1,"")</f>
        <v>0.352152582045233</v>
      </c>
      <c r="Z16" s="40">
        <f>IFERROR(Z15/U15-1,"")</f>
        <v>0.297228805550636</v>
      </c>
      <c r="AA16" s="40">
        <f>IFERROR(AA15/V15-1,"")</f>
        <v>0.25017938701738</v>
      </c>
      <c r="AB16" s="40">
        <f>IFERROR(AB15/W15-1,"")</f>
        <v>0.279317328882561</v>
      </c>
      <c r="AC16" s="40">
        <f>IFERROR(AC15/X15-1,"")</f>
        <v>0.129931688434868</v>
      </c>
      <c r="AD16" s="40">
        <f>IFERROR(AD15/Y15-1,"")</f>
        <v>0.011107241622887</v>
      </c>
      <c r="AE16" s="40">
        <f>IFERROR(AE15/Z15-1,"")</f>
        <v>0.0287700380822153</v>
      </c>
      <c r="AF16" s="41">
        <f>IFERROR(AF15/AA15-1,"")</f>
        <v>0.0437104969492617</v>
      </c>
      <c r="AG16" s="40">
        <f>IFERROR(AG15/AB15-1,"")</f>
        <v>0.0507574203952588</v>
      </c>
      <c r="AH16" s="41">
        <f>IFERROR(AH15/AC15-1,"")</f>
        <v>0.066343378344254</v>
      </c>
      <c r="AI16" s="41">
        <f>IFERROR(AI15/AD15-1,"")</f>
        <v>0.0877956271143696</v>
      </c>
      <c r="AJ16" s="41">
        <f>Control!$B$18</f>
        <v>0.061276411757976</v>
      </c>
      <c r="AK16" s="41">
        <f>Control!$B$18</f>
        <v>0.061276411757976</v>
      </c>
      <c r="AL16" s="42">
        <f>IFERROR(AL15/AG15-1,"")</f>
        <v>0.0688954354114832</v>
      </c>
      <c r="AM16" s="41">
        <f>Control!$C$18</f>
        <v>0.061276411757976</v>
      </c>
      <c r="AN16" s="41">
        <f>Control!$C$18</f>
        <v>0.061276411757976</v>
      </c>
      <c r="AO16" s="41">
        <f>Control!$C$18</f>
        <v>0.061276411757976</v>
      </c>
      <c r="AP16" s="41">
        <f>Control!$C$18</f>
        <v>0.061276411757976</v>
      </c>
      <c r="AQ16" s="42">
        <f>IFERROR(AQ15/AL15-1,"")</f>
        <v>0.0612764117579763</v>
      </c>
      <c r="AR16" s="41">
        <f>Control!$D$18</f>
        <v>0.056276411757976</v>
      </c>
      <c r="AS16" s="41">
        <f>Control!$D$18</f>
        <v>0.056276411757976</v>
      </c>
      <c r="AT16" s="41">
        <f>Control!$D$18</f>
        <v>0.056276411757976</v>
      </c>
      <c r="AU16" s="41">
        <f>Control!$D$18</f>
        <v>0.056276411757976</v>
      </c>
      <c r="AV16" s="42">
        <f>IFERROR(AV15/AQ15-1,"")</f>
        <v>0.0562764117579759</v>
      </c>
      <c r="AW16" s="41">
        <f>Control!$E$18</f>
        <v>0.051276411757976</v>
      </c>
      <c r="AX16" s="41">
        <f>Control!$E$18</f>
        <v>0.051276411757976</v>
      </c>
      <c r="AY16" s="41">
        <f>Control!$E$18</f>
        <v>0.051276411757976</v>
      </c>
      <c r="AZ16" s="41">
        <f>Control!$E$18</f>
        <v>0.051276411757976</v>
      </c>
      <c r="BA16" s="42">
        <f>IFERROR(BA15/AV15-1,"")</f>
        <v>0.051276411757976</v>
      </c>
      <c r="BB16" s="41">
        <f>Control!$F$18</f>
        <v>0.046276411757976</v>
      </c>
      <c r="BC16" s="41">
        <f>Control!$F$18</f>
        <v>0.046276411757976</v>
      </c>
      <c r="BD16" s="41">
        <f>Control!$F$18</f>
        <v>0.046276411757976</v>
      </c>
      <c r="BE16" s="41">
        <f>Control!$F$18</f>
        <v>0.046276411757976</v>
      </c>
      <c r="BF16" s="42">
        <f>IFERROR(BF15/BA15-1,"")</f>
        <v>0.0462764117579759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>
        <f>IF(ISNUMBER(I23),I23,"")</f>
        <v>0</v>
      </c>
      <c r="J17" s="40">
        <f>IF(ISNUMBER(J23),J23,"")</f>
        <v>0</v>
      </c>
      <c r="K17" s="40">
        <f>IF(ISNUMBER(K23),K23,"")</f>
        <v>0</v>
      </c>
      <c r="L17" s="40">
        <f>IF(ISNUMBER(L23),L23,"")</f>
        <v>0</v>
      </c>
      <c r="M17" s="39">
        <f>IF(ISNUMBER(M23),M23,"")</f>
        <v>0</v>
      </c>
      <c r="N17" s="40">
        <f>IF(ISNUMBER(N23),N23,"")</f>
        <v>0</v>
      </c>
      <c r="O17" s="40">
        <f>IF(ISNUMBER(O23),O23,"")</f>
        <v>0</v>
      </c>
      <c r="P17" s="40">
        <f>IF(ISNUMBER(P23),P23,"")</f>
        <v>0</v>
      </c>
      <c r="Q17" s="40">
        <f>IF(ISNUMBER(Q23),Q23,"")</f>
        <v>0</v>
      </c>
      <c r="R17" s="40">
        <f>IF(ISNUMBER(R23),R23,"")</f>
        <v>0</v>
      </c>
      <c r="S17" s="40">
        <f>IF(ISNUMBER(S23),S23,"")</f>
        <v>0</v>
      </c>
      <c r="T17" s="40">
        <f>IF(ISNUMBER(T23),T23,"")</f>
        <v>0</v>
      </c>
      <c r="U17" s="40">
        <f>IF(ISNUMBER(U23),U23,"")</f>
        <v>0</v>
      </c>
      <c r="V17" s="40">
        <f>IF(ISNUMBER(V23),V23,"")</f>
        <v>0</v>
      </c>
      <c r="W17" s="40">
        <f>IF(ISNUMBER(W23),W23,"")</f>
        <v>0</v>
      </c>
      <c r="X17" s="40">
        <f>IF(ISNUMBER(X23),X23,"")</f>
        <v>0</v>
      </c>
      <c r="Y17" s="40">
        <f>IF(ISNUMBER(Y23),Y23,"")</f>
        <v>0</v>
      </c>
      <c r="Z17" s="40">
        <f>IF(ISNUMBER(Z23),Z23,"")</f>
        <v>0</v>
      </c>
      <c r="AA17" s="40">
        <f>IF(ISNUMBER(AA23),AA23,"")</f>
        <v>0</v>
      </c>
      <c r="AB17" s="40">
        <f>IF(ISNUMBER(AB23),AB23,"")</f>
        <v>0</v>
      </c>
      <c r="AC17" s="40">
        <f>IF(ISNUMBER(AC23),AC23,"")</f>
        <v>0</v>
      </c>
      <c r="AD17" s="40">
        <f>IF(ISNUMBER(AD23),AD23,"")</f>
        <v>0</v>
      </c>
      <c r="AE17" s="40">
        <f>IF(ISNUMBER(AE23),AE23,"")</f>
        <v>0</v>
      </c>
      <c r="AF17" s="40">
        <f>IF(ISNUMBER(AF23),AF23,"")</f>
        <v>0</v>
      </c>
      <c r="AG17" s="40">
        <f>IF(ISNUMBER(AG23),AG23,"")</f>
        <v>0</v>
      </c>
      <c r="AH17" s="41">
        <f>IF(ISNUMBER(AH23),AH23,"")</f>
        <v>0</v>
      </c>
      <c r="AI17" s="41">
        <f>IF(ISNUMBER(AI23),AI23,"")</f>
        <v>0</v>
      </c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Receita liquida consolidada por natureza (Planilha de Fundamentos; R$ milhoes)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 xml:space="preserve">   Servicos (locacao, logistica, concessoes, concessionarias)</t>
        </is>
      </c>
      <c r="D19" s="269" t="str">
        <f>IFERROR(INDEX('Inputs (2)'!$D$53:$AL$53,MATCH(D$7&amp;"",'Inputs (2)'!$D$2:$AL$2,0)),"")</f>
        <v/>
      </c>
      <c r="E19" s="269" t="str">
        <f>IFERROR(INDEX('Inputs (2)'!$D$53:$AL$53,MATCH(E$7&amp;"",'Inputs (2)'!$D$2:$AL$2,0)),"")</f>
        <v/>
      </c>
      <c r="F19" s="269" t="str">
        <f>IFERROR(INDEX('Inputs (2)'!$D$53:$AL$53,MATCH(F$7&amp;"",'Inputs (2)'!$D$2:$AL$2,0)),"")</f>
        <v/>
      </c>
      <c r="G19" s="269" t="str">
        <f>IFERROR(INDEX('Inputs (2)'!$D$53:$AL$53,MATCH(G$7&amp;"",'Inputs (2)'!$D$2:$AL$2,0)),"")</f>
        <v/>
      </c>
      <c r="H19" s="270" t="str">
        <f>IF(COUNT(D19:G19)=4,SUM(D19:G19),"")</f>
        <v/>
      </c>
      <c r="I19" s="269">
        <f>IFERROR(INDEX('Inputs (2)'!$D$53:$AL$53,MATCH(I$7&amp;"",'Inputs (2)'!$D$2:$AL$2,0)),"")</f>
        <v>2228.989279886</v>
      </c>
      <c r="J19" s="269">
        <f>IFERROR(INDEX('Inputs (2)'!$D$53:$AL$53,MATCH(J$7&amp;"",'Inputs (2)'!$D$2:$AL$2,0)),"")</f>
        <v>2434.439720114</v>
      </c>
      <c r="K19" s="269">
        <f>IFERROR(INDEX('Inputs (2)'!$D$53:$AL$53,MATCH(K$7&amp;"",'Inputs (2)'!$D$2:$AL$2,0)),"")</f>
        <v>3035.233</v>
      </c>
      <c r="L19" s="269">
        <f>IFERROR(INDEX('Inputs (2)'!$D$53:$AL$53,MATCH(L$7&amp;"",'Inputs (2)'!$D$2:$AL$2,0)),"")</f>
        <v>3306.956</v>
      </c>
      <c r="M19" s="270">
        <f>IF(COUNT(I19:L19)=4,SUM(I19:L19),"")</f>
        <v>11005.618</v>
      </c>
      <c r="N19" s="269">
        <f>IFERROR(INDEX('Inputs (2)'!$D$53:$AL$53,MATCH(N$7&amp;"",'Inputs (2)'!$D$2:$AL$2,0)),"")</f>
        <v>3513.11801274</v>
      </c>
      <c r="O19" s="269">
        <f>IFERROR(INDEX('Inputs (2)'!$D$53:$AL$53,MATCH(O$7&amp;"",'Inputs (2)'!$D$2:$AL$2,0)),"")</f>
        <v>4128.04135583</v>
      </c>
      <c r="P19" s="269">
        <f>IFERROR(INDEX('Inputs (2)'!$D$53:$AL$53,MATCH(P$7&amp;"",'Inputs (2)'!$D$2:$AL$2,0)),"")</f>
        <v>5325.289471412</v>
      </c>
      <c r="Q19" s="269">
        <f>IFERROR(INDEX('Inputs (2)'!$D$53:$AL$53,MATCH(Q$7&amp;"",'Inputs (2)'!$D$2:$AL$2,0)),"")</f>
        <v>5865.371577861</v>
      </c>
      <c r="R19" s="270">
        <f>IF(COUNT(N19:Q19)=4,SUM(N19:Q19),"")</f>
        <v>18831.820417843</v>
      </c>
      <c r="S19" s="269">
        <f>IFERROR(INDEX('Inputs (2)'!$D$53:$AL$53,MATCH(S$7&amp;"",'Inputs (2)'!$D$2:$AL$2,0)),"")</f>
        <v>5777.433838496</v>
      </c>
      <c r="T19" s="269">
        <f>IFERROR(INDEX('Inputs (2)'!$D$53:$AL$53,MATCH(T$7&amp;"",'Inputs (2)'!$D$2:$AL$2,0)),"")</f>
        <v>6044.163703194</v>
      </c>
      <c r="U19" s="269">
        <f>IFERROR(INDEX('Inputs (2)'!$D$53:$AL$53,MATCH(U$7&amp;"",'Inputs (2)'!$D$2:$AL$2,0)),"")</f>
        <v>6692.13145831</v>
      </c>
      <c r="V19" s="269">
        <f>IFERROR(INDEX('Inputs (2)'!$D$53:$AL$53,MATCH(V$7&amp;"",'Inputs (2)'!$D$2:$AL$2,0)),"")</f>
        <v>7086.90511311</v>
      </c>
      <c r="W19" s="270">
        <f>IF(COUNT(S19:V19)=4,SUM(S19:V19),"")</f>
        <v>25600.63411311</v>
      </c>
      <c r="X19" s="269">
        <f>IFERROR(INDEX('Inputs (2)'!$D$53:$AL$53,MATCH(X$7&amp;"",'Inputs (2)'!$D$2:$AL$2,0)),"")</f>
        <v>7163.34565164</v>
      </c>
      <c r="Y19" s="269">
        <f>IFERROR(INDEX('Inputs (2)'!$D$53:$AL$53,MATCH(Y$7&amp;"",'Inputs (2)'!$D$2:$AL$2,0)),"")</f>
        <v>7938.09444039</v>
      </c>
      <c r="Z19" s="269">
        <f>IFERROR(INDEX('Inputs (2)'!$D$53:$AL$53,MATCH(Z$7&amp;"",'Inputs (2)'!$D$2:$AL$2,0)),"")</f>
        <v>8358.224467</v>
      </c>
      <c r="AA19" s="269">
        <f>IFERROR(INDEX('Inputs (2)'!$D$53:$AL$53,MATCH(AA$7&amp;"",'Inputs (2)'!$D$2:$AL$2,0)),"")</f>
        <v>8796.81927012</v>
      </c>
      <c r="AB19" s="270">
        <f>IF(COUNT(X19:AA19)=4,SUM(X19:AA19),"")</f>
        <v>32256.48382915</v>
      </c>
      <c r="AC19" s="269">
        <f>IFERROR(INDEX('Inputs (2)'!$D$53:$AL$53,MATCH(AC$7&amp;"",'Inputs (2)'!$D$2:$AL$2,0)),"")</f>
        <v>8189.74753867</v>
      </c>
      <c r="AD19" s="269">
        <f>IFERROR(INDEX('Inputs (2)'!$D$53:$AL$53,MATCH(AD$7&amp;"",'Inputs (2)'!$D$2:$AL$2,0)),"")</f>
        <v>8295.85026633</v>
      </c>
      <c r="AE19" s="269">
        <f>IFERROR(INDEX('Inputs (2)'!$D$53:$AL$53,MATCH(AE$7&amp;"",'Inputs (2)'!$D$2:$AL$2,0)),"")</f>
        <v>8958.10030341</v>
      </c>
      <c r="AF19" s="269">
        <f>IFERROR(INDEX('Inputs (2)'!$D$53:$AL$53,MATCH(AF$7&amp;"",'Inputs (2)'!$D$2:$AL$2,0)),"")</f>
        <v>9041.60020085</v>
      </c>
      <c r="AG19" s="270">
        <f>IF(COUNT(AC19:AF19)=4,SUM(AC19:AF19),"")</f>
        <v>34485.29830926</v>
      </c>
      <c r="AH19" s="270">
        <f>IFERROR(INDEX('Inputs (2)'!$D$53:$AL$53,MATCH(AH$7&amp;"",'Inputs (2)'!$D$2:$AL$2,0)),"")</f>
        <v>8877.84995364</v>
      </c>
      <c r="AI19" s="270">
        <f>IFERROR(INDEX('Inputs (2)'!$D$53:$AL$53,MATCH(AI$7&amp;"",'Inputs (2)'!$D$2:$AL$2,0)),"")</f>
        <v>9488.04860035</v>
      </c>
    </row>
    <row r="20">
      <c r="C20" s="268" t="inlineStr">
        <is>
          <t xml:space="preserve">   Construcao (concessoes - ICPC 01)</t>
        </is>
      </c>
      <c r="D20" s="269" t="str">
        <f>IFERROR(INDEX('Inputs (2)'!$D$54:$AL$54,MATCH(D$7&amp;"",'Inputs (2)'!$D$2:$AL$2,0)),"")</f>
        <v/>
      </c>
      <c r="E20" s="269" t="str">
        <f>IFERROR(INDEX('Inputs (2)'!$D$54:$AL$54,MATCH(E$7&amp;"",'Inputs (2)'!$D$2:$AL$2,0)),"")</f>
        <v/>
      </c>
      <c r="F20" s="269" t="str">
        <f>IFERROR(INDEX('Inputs (2)'!$D$54:$AL$54,MATCH(F$7&amp;"",'Inputs (2)'!$D$2:$AL$2,0)),"")</f>
        <v/>
      </c>
      <c r="G20" s="269" t="str">
        <f>IFERROR(INDEX('Inputs (2)'!$D$54:$AL$54,MATCH(G$7&amp;"",'Inputs (2)'!$D$2:$AL$2,0)),"")</f>
        <v/>
      </c>
      <c r="H20" s="270" t="str">
        <f>IF(COUNT(D20:G20)=4,SUM(D20:G20),"")</f>
        <v/>
      </c>
      <c r="I20" s="269">
        <f>IFERROR(INDEX('Inputs (2)'!$D$54:$AL$54,MATCH(I$7&amp;"",'Inputs (2)'!$D$2:$AL$2,0)),"")</f>
        <v>0</v>
      </c>
      <c r="J20" s="269">
        <f>IFERROR(INDEX('Inputs (2)'!$D$54:$AL$54,MATCH(J$7&amp;"",'Inputs (2)'!$D$2:$AL$2,0)),"")</f>
        <v>0</v>
      </c>
      <c r="K20" s="269">
        <f>IFERROR(INDEX('Inputs (2)'!$D$54:$AL$54,MATCH(K$7&amp;"",'Inputs (2)'!$D$2:$AL$2,0)),"")</f>
        <v>0</v>
      </c>
      <c r="L20" s="269">
        <f>IFERROR(INDEX('Inputs (2)'!$D$54:$AL$54,MATCH(L$7&amp;"",'Inputs (2)'!$D$2:$AL$2,0)),"")</f>
        <v>0</v>
      </c>
      <c r="M20" s="270">
        <f>IF(COUNT(I20:L20)=4,SUM(I20:L20),"")</f>
        <v>0</v>
      </c>
      <c r="N20" s="269">
        <f>IFERROR(INDEX('Inputs (2)'!$D$54:$AL$54,MATCH(N$7&amp;"",'Inputs (2)'!$D$2:$AL$2,0)),"")</f>
        <v>0</v>
      </c>
      <c r="O20" s="269">
        <f>IFERROR(INDEX('Inputs (2)'!$D$54:$AL$54,MATCH(O$7&amp;"",'Inputs (2)'!$D$2:$AL$2,0)),"")</f>
        <v>0</v>
      </c>
      <c r="P20" s="269">
        <f>IFERROR(INDEX('Inputs (2)'!$D$54:$AL$54,MATCH(P$7&amp;"",'Inputs (2)'!$D$2:$AL$2,0)),"")</f>
        <v>0</v>
      </c>
      <c r="Q20" s="269">
        <f>IFERROR(INDEX('Inputs (2)'!$D$54:$AL$54,MATCH(Q$7&amp;"",'Inputs (2)'!$D$2:$AL$2,0)),"")</f>
        <v>0</v>
      </c>
      <c r="R20" s="270">
        <f>IF(COUNT(N20:Q20)=4,SUM(N20:Q20),"")</f>
        <v>0</v>
      </c>
      <c r="S20" s="269">
        <f>IFERROR(INDEX('Inputs (2)'!$D$54:$AL$54,MATCH(S$7&amp;"",'Inputs (2)'!$D$2:$AL$2,0)),"")</f>
        <v>14.31297656</v>
      </c>
      <c r="T20" s="269">
        <f>IFERROR(INDEX('Inputs (2)'!$D$54:$AL$54,MATCH(T$7&amp;"",'Inputs (2)'!$D$2:$AL$2,0)),"")</f>
        <v>10.78748175</v>
      </c>
      <c r="U20" s="269">
        <f>IFERROR(INDEX('Inputs (2)'!$D$54:$AL$54,MATCH(U$7&amp;"",'Inputs (2)'!$D$2:$AL$2,0)),"")</f>
        <v>57.52154169</v>
      </c>
      <c r="V20" s="269">
        <f>IFERROR(INDEX('Inputs (2)'!$D$54:$AL$54,MATCH(V$7&amp;"",'Inputs (2)'!$D$2:$AL$2,0)),"")</f>
        <v>92.88488689</v>
      </c>
      <c r="W20" s="270">
        <f>IF(COUNT(S20:V20)=4,SUM(S20:V20),"")</f>
        <v>175.50688689</v>
      </c>
      <c r="X20" s="269">
        <f>IFERROR(INDEX('Inputs (2)'!$D$54:$AL$54,MATCH(X$7&amp;"",'Inputs (2)'!$D$2:$AL$2,0)),"")</f>
        <v>118.30826324</v>
      </c>
      <c r="Y20" s="269">
        <f>IFERROR(INDEX('Inputs (2)'!$D$54:$AL$54,MATCH(Y$7&amp;"",'Inputs (2)'!$D$2:$AL$2,0)),"")</f>
        <v>223.03071139</v>
      </c>
      <c r="Z20" s="269">
        <f>IFERROR(INDEX('Inputs (2)'!$D$54:$AL$54,MATCH(Z$7&amp;"",'Inputs (2)'!$D$2:$AL$2,0)),"")</f>
        <v>167.64889649</v>
      </c>
      <c r="AA20" s="269">
        <f>IFERROR(INDEX('Inputs (2)'!$D$54:$AL$54,MATCH(AA$7&amp;"",'Inputs (2)'!$D$2:$AL$2,0)),"")</f>
        <v>209.16669777</v>
      </c>
      <c r="AB20" s="270">
        <f>IF(COUNT(X20:AA20)=4,SUM(X20:AA20),"")</f>
        <v>718.15456889</v>
      </c>
      <c r="AC20" s="269">
        <f>IFERROR(INDEX('Inputs (2)'!$D$54:$AL$54,MATCH(AC$7&amp;"",'Inputs (2)'!$D$2:$AL$2,0)),"")</f>
        <v>20.00911337</v>
      </c>
      <c r="AD20" s="269">
        <f>IFERROR(INDEX('Inputs (2)'!$D$54:$AL$54,MATCH(AD$7&amp;"",'Inputs (2)'!$D$2:$AL$2,0)),"")</f>
        <v>15.23778054</v>
      </c>
      <c r="AE20" s="269">
        <f>IFERROR(INDEX('Inputs (2)'!$D$54:$AL$54,MATCH(AE$7&amp;"",'Inputs (2)'!$D$2:$AL$2,0)),"")</f>
        <v>39.48876117</v>
      </c>
      <c r="AF20" s="269">
        <f>IFERROR(INDEX('Inputs (2)'!$D$54:$AL$54,MATCH(AF$7&amp;"",'Inputs (2)'!$D$2:$AL$2,0)),"")</f>
        <v>61.19585187</v>
      </c>
      <c r="AG20" s="270">
        <f>IF(COUNT(AC20:AF20)=4,SUM(AC20:AF20),"")</f>
        <v>135.93150695</v>
      </c>
      <c r="AH20" s="270">
        <f>IFERROR(INDEX('Inputs (2)'!$D$54:$AL$54,MATCH(AH$7&amp;"",'Inputs (2)'!$D$2:$AL$2,0)),"")</f>
        <v>49.96972591</v>
      </c>
      <c r="AI20" s="270">
        <f>IFERROR(INDEX('Inputs (2)'!$D$54:$AL$54,MATCH(AI$7&amp;"",'Inputs (2)'!$D$2:$AL$2,0)),"")</f>
        <v>89.11833869</v>
      </c>
    </row>
    <row r="21">
      <c r="C21" s="268" t="inlineStr">
        <is>
          <t xml:space="preserve">   Venda de ativos / renovacao de frota (seminovos)</t>
        </is>
      </c>
      <c r="D21" s="269" t="str">
        <f>IFERROR(INDEX('Inputs (2)'!$D$55:$AL$55,MATCH(D$7&amp;"",'Inputs (2)'!$D$2:$AL$2,0)),"")</f>
        <v/>
      </c>
      <c r="E21" s="269" t="str">
        <f>IFERROR(INDEX('Inputs (2)'!$D$55:$AL$55,MATCH(E$7&amp;"",'Inputs (2)'!$D$2:$AL$2,0)),"")</f>
        <v/>
      </c>
      <c r="F21" s="269" t="str">
        <f>IFERROR(INDEX('Inputs (2)'!$D$55:$AL$55,MATCH(F$7&amp;"",'Inputs (2)'!$D$2:$AL$2,0)),"")</f>
        <v/>
      </c>
      <c r="G21" s="269" t="str">
        <f>IFERROR(INDEX('Inputs (2)'!$D$55:$AL$55,MATCH(G$7&amp;"",'Inputs (2)'!$D$2:$AL$2,0)),"")</f>
        <v/>
      </c>
      <c r="H21" s="270" t="str">
        <f>IF(COUNT(D21:G21)=4,SUM(D21:G21),"")</f>
        <v/>
      </c>
      <c r="I21" s="269">
        <f>IFERROR(INDEX('Inputs (2)'!$D$55:$AL$55,MATCH(I$7&amp;"",'Inputs (2)'!$D$2:$AL$2,0)),"")</f>
        <v>391.11637603</v>
      </c>
      <c r="J21" s="269">
        <f>IFERROR(INDEX('Inputs (2)'!$D$55:$AL$55,MATCH(J$7&amp;"",'Inputs (2)'!$D$2:$AL$2,0)),"")</f>
        <v>714.62662397</v>
      </c>
      <c r="K21" s="269">
        <f>IFERROR(INDEX('Inputs (2)'!$D$55:$AL$55,MATCH(K$7&amp;"",'Inputs (2)'!$D$2:$AL$2,0)),"")</f>
        <v>923.047</v>
      </c>
      <c r="L21" s="269">
        <f>IFERROR(INDEX('Inputs (2)'!$D$55:$AL$55,MATCH(L$7&amp;"",'Inputs (2)'!$D$2:$AL$2,0)),"")</f>
        <v>831.811</v>
      </c>
      <c r="M21" s="270">
        <f>IF(COUNT(I21:L21)=4,SUM(I21:L21),"")</f>
        <v>2860.601</v>
      </c>
      <c r="N21" s="269">
        <f>IFERROR(INDEX('Inputs (2)'!$D$55:$AL$55,MATCH(N$7&amp;"",'Inputs (2)'!$D$2:$AL$2,0)),"")</f>
        <v>1017.079</v>
      </c>
      <c r="O21" s="269">
        <f>IFERROR(INDEX('Inputs (2)'!$D$55:$AL$55,MATCH(O$7&amp;"",'Inputs (2)'!$D$2:$AL$2,0)),"")</f>
        <v>1259.106</v>
      </c>
      <c r="P21" s="269">
        <f>IFERROR(INDEX('Inputs (2)'!$D$55:$AL$55,MATCH(P$7&amp;"",'Inputs (2)'!$D$2:$AL$2,0)),"")</f>
        <v>1498.061</v>
      </c>
      <c r="Q21" s="269">
        <f>IFERROR(INDEX('Inputs (2)'!$D$55:$AL$55,MATCH(Q$7&amp;"",'Inputs (2)'!$D$2:$AL$2,0)),"")</f>
        <v>1475.81470045</v>
      </c>
      <c r="R21" s="270">
        <f>IF(COUNT(N21:Q21)=4,SUM(N21:Q21),"")</f>
        <v>5250.06070045</v>
      </c>
      <c r="S21" s="269">
        <f>IFERROR(INDEX('Inputs (2)'!$D$55:$AL$55,MATCH(S$7&amp;"",'Inputs (2)'!$D$2:$AL$2,0)),"")</f>
        <v>1648.29700617</v>
      </c>
      <c r="T21" s="269">
        <f>IFERROR(INDEX('Inputs (2)'!$D$55:$AL$55,MATCH(T$7&amp;"",'Inputs (2)'!$D$2:$AL$2,0)),"")</f>
        <v>1508.68499383</v>
      </c>
      <c r="U21" s="269">
        <f>IFERROR(INDEX('Inputs (2)'!$D$55:$AL$55,MATCH(U$7&amp;"",'Inputs (2)'!$D$2:$AL$2,0)),"")</f>
        <v>1568.456</v>
      </c>
      <c r="V21" s="269">
        <f>IFERROR(INDEX('Inputs (2)'!$D$55:$AL$55,MATCH(V$7&amp;"",'Inputs (2)'!$D$2:$AL$2,0)),"")</f>
        <v>1342.034</v>
      </c>
      <c r="W21" s="270">
        <f>IF(COUNT(S21:V21)=4,SUM(S21:V21),"")</f>
        <v>6067.472</v>
      </c>
      <c r="X21" s="269">
        <f>IFERROR(INDEX('Inputs (2)'!$D$55:$AL$55,MATCH(X$7&amp;"",'Inputs (2)'!$D$2:$AL$2,0)),"")</f>
        <v>1784.94251437</v>
      </c>
      <c r="Y21" s="269">
        <f>IFERROR(INDEX('Inputs (2)'!$D$55:$AL$55,MATCH(Y$7&amp;"",'Inputs (2)'!$D$2:$AL$2,0)),"")</f>
        <v>2066.065037</v>
      </c>
      <c r="Z21" s="269">
        <f>IFERROR(INDEX('Inputs (2)'!$D$55:$AL$55,MATCH(Z$7&amp;"",'Inputs (2)'!$D$2:$AL$2,0)),"")</f>
        <v>2264.61723902</v>
      </c>
      <c r="AA21" s="269">
        <f>IFERROR(INDEX('Inputs (2)'!$D$55:$AL$55,MATCH(AA$7&amp;"",'Inputs (2)'!$D$2:$AL$2,0)),"")</f>
        <v>1647.8227367</v>
      </c>
      <c r="AB21" s="270">
        <f>IF(COUNT(X21:AA21)=4,SUM(X21:AA21),"")</f>
        <v>7763.44752709</v>
      </c>
      <c r="AC21" s="269">
        <f>IFERROR(INDEX('Inputs (2)'!$D$55:$AL$55,MATCH(AC$7&amp;"",'Inputs (2)'!$D$2:$AL$2,0)),"")</f>
        <v>2034.87795962</v>
      </c>
      <c r="AD21" s="269">
        <f>IFERROR(INDEX('Inputs (2)'!$D$55:$AL$55,MATCH(AD$7&amp;"",'Inputs (2)'!$D$2:$AL$2,0)),"")</f>
        <v>2029.69801446</v>
      </c>
      <c r="AE21" s="269">
        <f>IFERROR(INDEX('Inputs (2)'!$D$55:$AL$55,MATCH(AE$7&amp;"",'Inputs (2)'!$D$2:$AL$2,0)),"")</f>
        <v>2103.34436349</v>
      </c>
      <c r="AF21" s="269">
        <f>IFERROR(INDEX('Inputs (2)'!$D$55:$AL$55,MATCH(AF$7&amp;"",'Inputs (2)'!$D$2:$AL$2,0)),"")</f>
        <v>2016.69592475</v>
      </c>
      <c r="AG21" s="270">
        <f>IF(COUNT(AC21:AF21)=4,SUM(AC21:AF21),"")</f>
        <v>8184.61626232</v>
      </c>
      <c r="AH21" s="270">
        <f>IFERROR(INDEX('Inputs (2)'!$D$55:$AL$55,MATCH(AH$7&amp;"",'Inputs (2)'!$D$2:$AL$2,0)),"")</f>
        <v>1996.47860215</v>
      </c>
      <c r="AI21" s="270">
        <f>IFERROR(INDEX('Inputs (2)'!$D$55:$AL$55,MATCH(AI$7&amp;"",'Inputs (2)'!$D$2:$AL$2,0)),"")</f>
        <v>1671.4949194</v>
      </c>
    </row>
    <row r="22">
      <c r="C22" s="271" t="inlineStr">
        <is>
          <t>Receita liquida (soma)</t>
        </is>
      </c>
      <c r="D22" s="269" t="str">
        <f>IF(COUNT(D19:D21)=0,"",SUM(D19:D21))</f>
        <v/>
      </c>
      <c r="E22" s="269" t="str">
        <f>IF(COUNT(E19:E21)=0,"",SUM(E19:E21))</f>
        <v/>
      </c>
      <c r="F22" s="269" t="str">
        <f>IF(COUNT(F19:F21)=0,"",SUM(F19:F21))</f>
        <v/>
      </c>
      <c r="G22" s="269" t="str">
        <f>IF(COUNT(G19:G21)=0,"",SUM(G19:G21))</f>
        <v/>
      </c>
      <c r="H22" s="270" t="str">
        <f>IF(COUNT(H19:H21)=0,"",SUM(H19:H21))</f>
        <v/>
      </c>
      <c r="I22" s="269">
        <f>IF(COUNT(I19:I21)=0,"",SUM(I19:I21))</f>
        <v>2620.105655916</v>
      </c>
      <c r="J22" s="269">
        <f>IF(COUNT(J19:J21)=0,"",SUM(J19:J21))</f>
        <v>3149.066344084</v>
      </c>
      <c r="K22" s="269">
        <f>IF(COUNT(K19:K21)=0,"",SUM(K19:K21))</f>
        <v>3958.28</v>
      </c>
      <c r="L22" s="269">
        <f>IF(COUNT(L19:L21)=0,"",SUM(L19:L21))</f>
        <v>4138.767</v>
      </c>
      <c r="M22" s="270">
        <f>IF(COUNT(M19:M21)=0,"",SUM(M19:M21))</f>
        <v>13866.219</v>
      </c>
      <c r="N22" s="269">
        <f>IF(COUNT(N19:N21)=0,"",SUM(N19:N21))</f>
        <v>4530.19701274</v>
      </c>
      <c r="O22" s="269">
        <f>IF(COUNT(O19:O21)=0,"",SUM(O19:O21))</f>
        <v>5387.14735583</v>
      </c>
      <c r="P22" s="269">
        <f>IF(COUNT(P19:P21)=0,"",SUM(P19:P21))</f>
        <v>6823.350471412</v>
      </c>
      <c r="Q22" s="269">
        <f>IF(COUNT(Q19:Q21)=0,"",SUM(Q19:Q21))</f>
        <v>7341.186278311</v>
      </c>
      <c r="R22" s="270">
        <f>IF(COUNT(R19:R21)=0,"",SUM(R19:R21))</f>
        <v>24081.881118293</v>
      </c>
      <c r="S22" s="269">
        <f>IF(COUNT(S19:S21)=0,"",SUM(S19:S21))</f>
        <v>7440.043821226</v>
      </c>
      <c r="T22" s="269">
        <f>IF(COUNT(T19:T21)=0,"",SUM(T19:T21))</f>
        <v>7563.636178774</v>
      </c>
      <c r="U22" s="269">
        <f>IF(COUNT(U19:U21)=0,"",SUM(U19:U21))</f>
        <v>8318.109</v>
      </c>
      <c r="V22" s="269">
        <f>IF(COUNT(V19:V21)=0,"",SUM(V19:V21))</f>
        <v>8521.824</v>
      </c>
      <c r="W22" s="270">
        <f>IF(COUNT(W19:W21)=0,"",SUM(W19:W21))</f>
        <v>31843.613</v>
      </c>
      <c r="X22" s="269">
        <f>IF(COUNT(X19:X21)=0,"",SUM(X19:X21))</f>
        <v>9066.59642925</v>
      </c>
      <c r="Y22" s="269">
        <f>IF(COUNT(Y19:Y21)=0,"",SUM(Y19:Y21))</f>
        <v>10227.19018878</v>
      </c>
      <c r="Z22" s="269">
        <f>IF(COUNT(Z19:Z21)=0,"",SUM(Z19:Z21))</f>
        <v>10790.49060251</v>
      </c>
      <c r="AA22" s="269">
        <f>IF(COUNT(AA19:AA21)=0,"",SUM(AA19:AA21))</f>
        <v>10653.80870459</v>
      </c>
      <c r="AB22" s="270">
        <f>IF(COUNT(AB19:AB21)=0,"",SUM(AB19:AB21))</f>
        <v>40738.08592513</v>
      </c>
      <c r="AC22" s="269">
        <f>IF(COUNT(AC19:AC21)=0,"",SUM(AC19:AC21))</f>
        <v>10244.63461166</v>
      </c>
      <c r="AD22" s="269">
        <f>IF(COUNT(AD19:AD21)=0,"",SUM(AD19:AD21))</f>
        <v>10340.78606133</v>
      </c>
      <c r="AE22" s="269">
        <f>IF(COUNT(AE19:AE21)=0,"",SUM(AE19:AE21))</f>
        <v>11100.93342807</v>
      </c>
      <c r="AF22" s="269">
        <f>IF(COUNT(AF19:AF21)=0,"",SUM(AF19:AF21))</f>
        <v>11119.49197747</v>
      </c>
      <c r="AG22" s="270">
        <f>IF(COUNT(AG19:AG21)=0,"",SUM(AG19:AG21))</f>
        <v>42805.84607853</v>
      </c>
      <c r="AH22" s="270">
        <f>IF(COUNT(AH19:AH21)=0,"",SUM(AH19:AH21))</f>
        <v>10924.2982817</v>
      </c>
      <c r="AI22" s="270">
        <f>IF(COUNT(AI19:AI21)=0,"",SUM(AI19:AI21))</f>
        <v>11248.66185844</v>
      </c>
    </row>
    <row r="23">
      <c r="C23" s="268" t="inlineStr">
        <is>
          <t>Check vs Net Revenues (linha 15)</t>
        </is>
      </c>
      <c r="D23" s="269" t="str">
        <f>IF(COUNT(D22)=0,"",ROUND(D15-D22,3))</f>
        <v/>
      </c>
      <c r="E23" s="269" t="str">
        <f>IF(COUNT(E22)=0,"",ROUND(E15-E22,3))</f>
        <v/>
      </c>
      <c r="F23" s="269" t="str">
        <f>IF(COUNT(F22)=0,"",ROUND(F15-F22,3))</f>
        <v/>
      </c>
      <c r="G23" s="269" t="str">
        <f>IF(COUNT(G22)=0,"",ROUND(G15-G22,3))</f>
        <v/>
      </c>
      <c r="H23" s="270" t="str">
        <f>IF(COUNT(H22)=0,"",ROUND(H15-H22,3))</f>
        <v/>
      </c>
      <c r="I23" s="269">
        <f>IF(COUNT(I22)=0,"",ROUND(I15-I22,3))</f>
        <v>0</v>
      </c>
      <c r="J23" s="269">
        <f>IF(COUNT(J22)=0,"",ROUND(J15-J22,3))</f>
        <v>0</v>
      </c>
      <c r="K23" s="269">
        <f>IF(COUNT(K22)=0,"",ROUND(K15-K22,3))</f>
        <v>0</v>
      </c>
      <c r="L23" s="269">
        <f>IF(COUNT(L22)=0,"",ROUND(L15-L22,3))</f>
        <v>0</v>
      </c>
      <c r="M23" s="270">
        <f>IF(COUNT(M22)=0,"",ROUND(M15-M22,3))</f>
        <v>0</v>
      </c>
      <c r="N23" s="269">
        <f>IF(COUNT(N22)=0,"",ROUND(N15-N22,3))</f>
        <v>0</v>
      </c>
      <c r="O23" s="269">
        <f>IF(COUNT(O22)=0,"",ROUND(O15-O22,3))</f>
        <v>0</v>
      </c>
      <c r="P23" s="269">
        <f>IF(COUNT(P22)=0,"",ROUND(P15-P22,3))</f>
        <v>0</v>
      </c>
      <c r="Q23" s="269">
        <f>IF(COUNT(Q22)=0,"",ROUND(Q15-Q22,3))</f>
        <v>0</v>
      </c>
      <c r="R23" s="270">
        <f>IF(COUNT(R22)=0,"",ROUND(R15-R22,3))</f>
        <v>0</v>
      </c>
      <c r="S23" s="269">
        <f>IF(COUNT(S22)=0,"",ROUND(S15-S22,3))</f>
        <v>0</v>
      </c>
      <c r="T23" s="269">
        <f>IF(COUNT(T22)=0,"",ROUND(T15-T22,3))</f>
        <v>0</v>
      </c>
      <c r="U23" s="269">
        <f>IF(COUNT(U22)=0,"",ROUND(U15-U22,3))</f>
        <v>0</v>
      </c>
      <c r="V23" s="269">
        <f>IF(COUNT(V22)=0,"",ROUND(V15-V22,3))</f>
        <v>0</v>
      </c>
      <c r="W23" s="270">
        <f>IF(COUNT(W22)=0,"",ROUND(W15-W22,3))</f>
        <v>0</v>
      </c>
      <c r="X23" s="269">
        <f>IF(COUNT(X22)=0,"",ROUND(X15-X22,3))</f>
        <v>0</v>
      </c>
      <c r="Y23" s="269">
        <f>IF(COUNT(Y22)=0,"",ROUND(Y15-Y22,3))</f>
        <v>0</v>
      </c>
      <c r="Z23" s="269">
        <f>IF(COUNT(Z22)=0,"",ROUND(Z15-Z22,3))</f>
        <v>0</v>
      </c>
      <c r="AA23" s="269">
        <f>IF(COUNT(AA22)=0,"",ROUND(AA15-AA22,3))</f>
        <v>0</v>
      </c>
      <c r="AB23" s="270">
        <f>IF(COUNT(AB22)=0,"",ROUND(AB15-AB22,3))</f>
        <v>0</v>
      </c>
      <c r="AC23" s="269">
        <f>IF(COUNT(AC22)=0,"",ROUND(AC15-AC22,3))</f>
        <v>0</v>
      </c>
      <c r="AD23" s="269">
        <f>IF(COUNT(AD22)=0,"",ROUND(AD15-AD22,3))</f>
        <v>0</v>
      </c>
      <c r="AE23" s="269">
        <f>IF(COUNT(AE22)=0,"",ROUND(AE15-AE22,3))</f>
        <v>0</v>
      </c>
      <c r="AF23" s="269">
        <f>IF(COUNT(AF22)=0,"",ROUND(AF15-AF22,3))</f>
        <v>0</v>
      </c>
      <c r="AG23" s="270">
        <f>IF(COUNT(AG22)=0,"",ROUND(AG15-AG22,3))</f>
        <v>0</v>
      </c>
      <c r="AH23" s="270">
        <f>IF(COUNT(AH22)=0,"",ROUND(AH15-AH22,3))</f>
        <v>0</v>
      </c>
      <c r="AI23" s="270">
        <f>IF(COUNT(AI22)=0,"",ROUND(AI15-AI22,3))</f>
        <v>0</v>
      </c>
    </row>
    <row r="24">
      <c r="C24" s="268" t="inlineStr">
        <is>
          <t xml:space="preserve">   % venda de ativos na receita</t>
        </is>
      </c>
      <c r="D24" s="272" t="str">
        <f>IFERROR(D21/D22,"")</f>
        <v/>
      </c>
      <c r="E24" s="272" t="str">
        <f>IFERROR(E21/E22,"")</f>
        <v/>
      </c>
      <c r="F24" s="272" t="str">
        <f>IFERROR(F21/F22,"")</f>
        <v/>
      </c>
      <c r="G24" s="272" t="str">
        <f>IFERROR(G21/G22,"")</f>
        <v/>
      </c>
      <c r="H24" s="273" t="str">
        <f>IFERROR(H21/H22,"")</f>
        <v/>
      </c>
      <c r="I24" s="272">
        <f>IFERROR(I21/I22,"")</f>
        <v>0.149275039785853</v>
      </c>
      <c r="J24" s="272">
        <f>IFERROR(J21/J22,"")</f>
        <v>0.226932857515859</v>
      </c>
      <c r="K24" s="272">
        <f>IFERROR(K21/K22,"")</f>
        <v>0.233193963034449</v>
      </c>
      <c r="L24" s="272">
        <f>IFERROR(L21/L22,"")</f>
        <v>0.200980388603659</v>
      </c>
      <c r="M24" s="273">
        <f>IFERROR(M21/M22,"")</f>
        <v>0.20630000146399</v>
      </c>
      <c r="N24" s="272">
        <f>IFERROR(N21/N22,"")</f>
        <v>0.224510986418412</v>
      </c>
      <c r="O24" s="272">
        <f>IFERROR(O21/O22,"")</f>
        <v>0.233724068942979</v>
      </c>
      <c r="P24" s="272">
        <f>IFERROR(P21/P22,"")</f>
        <v>0.219549179875264</v>
      </c>
      <c r="Q24" s="272">
        <f>IFERROR(Q21/Q22,"")</f>
        <v>0.201032182606534</v>
      </c>
      <c r="R24" s="273">
        <f>IFERROR(R21/R22,"")</f>
        <v>0.218008745855903</v>
      </c>
      <c r="S24" s="272">
        <f>IFERROR(S21/S22,"")</f>
        <v>0.221543991645252</v>
      </c>
      <c r="T24" s="272">
        <f>IFERROR(T21/T22,"")</f>
        <v>0.199465568963226</v>
      </c>
      <c r="U24" s="272">
        <f>IFERROR(U21/U22,"")</f>
        <v>0.188559202578375</v>
      </c>
      <c r="V24" s="272">
        <f>IFERROR(V21/V22,"")</f>
        <v>0.157482013240358</v>
      </c>
      <c r="W24" s="273">
        <f>IFERROR(W21/W22,"")</f>
        <v>0.190539685305182</v>
      </c>
      <c r="X24" s="272">
        <f>IFERROR(X21/X22,"")</f>
        <v>0.19687018478197</v>
      </c>
      <c r="Y24" s="272">
        <f>IFERROR(Y21/Y22,"")</f>
        <v>0.202016878425379</v>
      </c>
      <c r="Z24" s="272">
        <f>IFERROR(Z21/Z22,"")</f>
        <v>0.209871573262222</v>
      </c>
      <c r="AA24" s="272">
        <f>IFERROR(AA21/AA22,"")</f>
        <v>0.154669825823892</v>
      </c>
      <c r="AB24" s="273">
        <f>IFERROR(AB21/AB22,"")</f>
        <v>0.190569766614906</v>
      </c>
      <c r="AC24" s="272">
        <f>IFERROR(AC21/AC22,"")</f>
        <v>0.198628651655764</v>
      </c>
      <c r="AD24" s="272">
        <f>IFERROR(AD21/AD22,"")</f>
        <v>0.196280824535204</v>
      </c>
      <c r="AE24" s="272">
        <f>IFERROR(AE21/AE22,"")</f>
        <v>0.189474549786187</v>
      </c>
      <c r="AF24" s="272">
        <f>IFERROR(AF21/AF22,"")</f>
        <v>0.181365832974759</v>
      </c>
      <c r="AG24" s="273">
        <f>IFERROR(AG21/AG22,"")</f>
        <v>0.191203235354928</v>
      </c>
      <c r="AH24" s="273">
        <f>IFERROR(AH21/AH22,"")</f>
        <v>0.182755775306358</v>
      </c>
      <c r="AI24" s="273">
        <f>IFERROR(AI21/AI22,"")</f>
        <v>0.148595000937454</v>
      </c>
    </row>
    <row r="25">
      <c r="C25" s="268" t="inlineStr">
        <is>
          <t xml:space="preserve">   % YoY receita de servicos</t>
        </is>
      </c>
      <c r="D25" s="272" t="str">
        <f>""</f>
        <v/>
      </c>
      <c r="E25" s="272" t="str">
        <f>""</f>
        <v/>
      </c>
      <c r="F25" s="272" t="str">
        <f>""</f>
        <v/>
      </c>
      <c r="G25" s="272" t="str">
        <f>""</f>
        <v/>
      </c>
      <c r="H25" s="273" t="str">
        <f>""</f>
        <v/>
      </c>
      <c r="I25" s="272" t="str">
        <f>IFERROR(I19/D19-1,"")</f>
        <v/>
      </c>
      <c r="J25" s="272" t="str">
        <f>IFERROR(J19/E19-1,"")</f>
        <v/>
      </c>
      <c r="K25" s="272" t="str">
        <f>IFERROR(K19/F19-1,"")</f>
        <v/>
      </c>
      <c r="L25" s="272" t="str">
        <f>IFERROR(L19/G19-1,"")</f>
        <v/>
      </c>
      <c r="M25" s="273" t="str">
        <f>IFERROR(M19/H19-1,"")</f>
        <v/>
      </c>
      <c r="N25" s="272">
        <f>IFERROR(N19/I19-1,"")</f>
        <v>0.576103592979001</v>
      </c>
      <c r="O25" s="272">
        <f>IFERROR(O19/J19-1,"")</f>
        <v>0.695684358796402</v>
      </c>
      <c r="P25" s="272">
        <f>IFERROR(P19/K19-1,"")</f>
        <v>0.754491161440324</v>
      </c>
      <c r="Q25" s="272">
        <f>IFERROR(Q19/L19-1,"")</f>
        <v>0.77364669438027</v>
      </c>
      <c r="R25" s="273">
        <f>IFERROR(R19/M19-1,"")</f>
        <v>0.711109763926296</v>
      </c>
      <c r="S25" s="272">
        <f>IFERROR(S19/N19-1,"")</f>
        <v>0.644531671735668</v>
      </c>
      <c r="T25" s="272">
        <f>IFERROR(T19/O19-1,"")</f>
        <v>0.464172274984086</v>
      </c>
      <c r="U25" s="272">
        <f>IFERROR(U19/P19-1,"")</f>
        <v>0.25666998840827</v>
      </c>
      <c r="V25" s="272">
        <f>IFERROR(V19/Q19-1,"")</f>
        <v>0.208261918112692</v>
      </c>
      <c r="W25" s="273">
        <f>IFERROR(W19/R19-1,"")</f>
        <v>0.359434910968756</v>
      </c>
      <c r="X25" s="272">
        <f>IFERROR(X19/S19-1,"")</f>
        <v>0.239883632056406</v>
      </c>
      <c r="Y25" s="272">
        <f>IFERROR(Y19/T19-1,"")</f>
        <v>0.313348683159453</v>
      </c>
      <c r="Z25" s="272">
        <f>IFERROR(Z19/U19-1,"")</f>
        <v>0.248962982731177</v>
      </c>
      <c r="AA25" s="272">
        <f>IFERROR(AA19/V19-1,"")</f>
        <v>0.241277980968991</v>
      </c>
      <c r="AB25" s="273">
        <f>IFERROR(AB19/W19-1,"")</f>
        <v>0.259987689626468</v>
      </c>
      <c r="AC25" s="272">
        <f>IFERROR(AC19/X19-1,"")</f>
        <v>0.143285265983921</v>
      </c>
      <c r="AD25" s="272">
        <f>IFERROR(AD19/Y19-1,"")</f>
        <v>0.0450682249532954</v>
      </c>
      <c r="AE25" s="272">
        <f>IFERROR(AE19/Z19-1,"")</f>
        <v>0.071770725801686</v>
      </c>
      <c r="AF25" s="272">
        <f>IFERROR(AF19/AA19-1,"")</f>
        <v>0.0278260724943438</v>
      </c>
      <c r="AG25" s="273">
        <f>IFERROR(AG19/AB19-1,"")</f>
        <v>0.0690966347080844</v>
      </c>
      <c r="AH25" s="273">
        <f>IFERROR(AH19/AC19-1,"")</f>
        <v>0.0840199788480596</v>
      </c>
      <c r="AI25" s="273">
        <f>IFERROR(AI19/AD19-1,"")</f>
        <v>0.143710203987013</v>
      </c>
    </row>
    <row r="26"/>
    <row r="27">
      <c r="C27" s="267" t="inlineStr">
        <is>
          <t>Receita liquida por controlada - como a Cia divulga (abas das controladas; R$ milhoes)</t>
        </is>
      </c>
      <c r="D27" s="267">
        <f>D7</f>
        <v>0</v>
      </c>
      <c r="E27" s="267">
        <f>E7</f>
        <v>0</v>
      </c>
      <c r="F27" s="267">
        <f>F7</f>
        <v>0</v>
      </c>
      <c r="G27" s="267">
        <f>G7</f>
        <v>0</v>
      </c>
      <c r="H27" s="267">
        <f>H7</f>
        <v>2020</v>
      </c>
      <c r="I27" s="267" t="str">
        <f>I7</f>
        <v>1Q21</v>
      </c>
      <c r="J27" s="267" t="str">
        <f>J7</f>
        <v>2Q21</v>
      </c>
      <c r="K27" s="267" t="str">
        <f>K7</f>
        <v>3Q21</v>
      </c>
      <c r="L27" s="267" t="str">
        <f>L7</f>
        <v>4Q21</v>
      </c>
      <c r="M27" s="267">
        <f>M7</f>
        <v>2021</v>
      </c>
      <c r="N27" s="267" t="str">
        <f>N7</f>
        <v>1Q22</v>
      </c>
      <c r="O27" s="267" t="str">
        <f>O7</f>
        <v>2Q22</v>
      </c>
      <c r="P27" s="267" t="str">
        <f>P7</f>
        <v>3Q22</v>
      </c>
      <c r="Q27" s="267" t="str">
        <f>Q7</f>
        <v>4Q22</v>
      </c>
      <c r="R27" s="267">
        <f>R7</f>
        <v>2022</v>
      </c>
      <c r="S27" s="267" t="str">
        <f>S7</f>
        <v>1Q23</v>
      </c>
      <c r="T27" s="267" t="str">
        <f>T7</f>
        <v>2Q23</v>
      </c>
      <c r="U27" s="267" t="str">
        <f>U7</f>
        <v>3Q23</v>
      </c>
      <c r="V27" s="267" t="str">
        <f>V7</f>
        <v>4Q23</v>
      </c>
      <c r="W27" s="267">
        <f>W7</f>
        <v>2023</v>
      </c>
      <c r="X27" s="267" t="str">
        <f>X7</f>
        <v>1Q24</v>
      </c>
      <c r="Y27" s="267" t="str">
        <f>Y7</f>
        <v>2Q24</v>
      </c>
      <c r="Z27" s="267" t="str">
        <f>Z7</f>
        <v>3Q24</v>
      </c>
      <c r="AA27" s="267" t="str">
        <f>AA7</f>
        <v>4Q24</v>
      </c>
      <c r="AB27" s="267">
        <f>AB7</f>
        <v>2024</v>
      </c>
      <c r="AC27" s="267" t="str">
        <f>AC7</f>
        <v>1Q25</v>
      </c>
      <c r="AD27" s="267" t="str">
        <f>AD7</f>
        <v>2Q25</v>
      </c>
      <c r="AE27" s="267" t="str">
        <f>AE7</f>
        <v>3Q25</v>
      </c>
      <c r="AF27" s="267" t="str">
        <f>AF7</f>
        <v>4Q25</v>
      </c>
      <c r="AG27" s="267">
        <f>AG7</f>
        <v>2025</v>
      </c>
      <c r="AH27" s="267" t="str">
        <f>AH7</f>
        <v>1Q26</v>
      </c>
      <c r="AI27" s="267" t="str">
        <f>AI7</f>
        <v>2Q26</v>
      </c>
    </row>
    <row r="28">
      <c r="C28" s="268" t="inlineStr">
        <is>
          <t xml:space="preserve">   JSL</t>
        </is>
      </c>
      <c r="D28" s="269" t="str">
        <f>IFERROR(INDEX('Inputs (2)'!$D$56:$AL$56,MATCH(D$7&amp;"",'Inputs (2)'!$D$2:$AL$2,0)),"")</f>
        <v/>
      </c>
      <c r="E28" s="269" t="str">
        <f>IFERROR(INDEX('Inputs (2)'!$D$56:$AL$56,MATCH(E$7&amp;"",'Inputs (2)'!$D$2:$AL$2,0)),"")</f>
        <v/>
      </c>
      <c r="F28" s="269" t="str">
        <f>IFERROR(INDEX('Inputs (2)'!$D$56:$AL$56,MATCH(F$7&amp;"",'Inputs (2)'!$D$2:$AL$2,0)),"")</f>
        <v/>
      </c>
      <c r="G28" s="269" t="str">
        <f>IFERROR(INDEX('Inputs (2)'!$D$56:$AL$56,MATCH(G$7&amp;"",'Inputs (2)'!$D$2:$AL$2,0)),"")</f>
        <v/>
      </c>
      <c r="H28" s="270" t="str">
        <f>IF(COUNT(D28:G28)=4,SUM(D28:G28),"")</f>
        <v/>
      </c>
      <c r="I28" s="269">
        <f>IFERROR(INDEX('Inputs (2)'!$D$56:$AL$56,MATCH(I$7&amp;"",'Inputs (2)'!$D$2:$AL$2,0)),"")</f>
        <v>868.17127987</v>
      </c>
      <c r="J28" s="269">
        <f>IFERROR(INDEX('Inputs (2)'!$D$56:$AL$56,MATCH(J$7&amp;"",'Inputs (2)'!$D$2:$AL$2,0)),"")</f>
        <v>922.366763344</v>
      </c>
      <c r="K28" s="269">
        <f>IFERROR(INDEX('Inputs (2)'!$D$56:$AL$56,MATCH(K$7&amp;"",'Inputs (2)'!$D$2:$AL$2,0)),"")</f>
        <v>1177.767629515</v>
      </c>
      <c r="L28" s="269">
        <f>IFERROR(INDEX('Inputs (2)'!$D$56:$AL$56,MATCH(L$7&amp;"",'Inputs (2)'!$D$2:$AL$2,0)),"")</f>
        <v>1327.763050508</v>
      </c>
      <c r="M28" s="270">
        <f>IF(COUNT(I28:L28)=4,SUM(I28:L28),"")</f>
        <v>4296.068723237</v>
      </c>
      <c r="N28" s="269">
        <f>IFERROR(INDEX('Inputs (2)'!$D$56:$AL$56,MATCH(N$7&amp;"",'Inputs (2)'!$D$2:$AL$2,0)),"")</f>
        <v>1296.459404967</v>
      </c>
      <c r="O28" s="269">
        <f>IFERROR(INDEX('Inputs (2)'!$D$56:$AL$56,MATCH(O$7&amp;"",'Inputs (2)'!$D$2:$AL$2,0)),"")</f>
        <v>1438.682634673</v>
      </c>
      <c r="P28" s="269">
        <f>IFERROR(INDEX('Inputs (2)'!$D$56:$AL$56,MATCH(P$7&amp;"",'Inputs (2)'!$D$2:$AL$2,0)),"")</f>
        <v>1624.81807872</v>
      </c>
      <c r="Q28" s="269">
        <f>IFERROR(INDEX('Inputs (2)'!$D$56:$AL$56,MATCH(Q$7&amp;"",'Inputs (2)'!$D$2:$AL$2,0)),"")</f>
        <v>1662.445197142</v>
      </c>
      <c r="R28" s="270">
        <f>IF(COUNT(N28:Q28)=4,SUM(N28:Q28),"")</f>
        <v>6022.405315502</v>
      </c>
      <c r="S28" s="269">
        <f>IFERROR(INDEX('Inputs (2)'!$D$56:$AL$56,MATCH(S$7&amp;"",'Inputs (2)'!$D$2:$AL$2,0)),"")</f>
        <v>1563.577828957</v>
      </c>
      <c r="T28" s="269">
        <f>IFERROR(INDEX('Inputs (2)'!$D$56:$AL$56,MATCH(T$7&amp;"",'Inputs (2)'!$D$2:$AL$2,0)),"")</f>
        <v>1839.575226492</v>
      </c>
      <c r="U28" s="269">
        <f>IFERROR(INDEX('Inputs (2)'!$D$56:$AL$56,MATCH(U$7&amp;"",'Inputs (2)'!$D$2:$AL$2,0)),"")</f>
        <v>2010.125053543</v>
      </c>
      <c r="V28" s="269">
        <f>IFERROR(INDEX('Inputs (2)'!$D$56:$AL$56,MATCH(V$7&amp;"",'Inputs (2)'!$D$2:$AL$2,0)),"")</f>
        <v>2161.366092574</v>
      </c>
      <c r="W28" s="270">
        <f>IF(COUNT(S28:V28)=4,SUM(S28:V28),"")</f>
        <v>7574.644201566</v>
      </c>
      <c r="X28" s="269">
        <f>IFERROR(INDEX('Inputs (2)'!$D$56:$AL$56,MATCH(X$7&amp;"",'Inputs (2)'!$D$2:$AL$2,0)),"")</f>
        <v>2070.340507097</v>
      </c>
      <c r="Y28" s="269">
        <f>IFERROR(INDEX('Inputs (2)'!$D$56:$AL$56,MATCH(Y$7&amp;"",'Inputs (2)'!$D$2:$AL$2,0)),"")</f>
        <v>2142.594740855</v>
      </c>
      <c r="Z28" s="269">
        <f>IFERROR(INDEX('Inputs (2)'!$D$56:$AL$56,MATCH(Z$7&amp;"",'Inputs (2)'!$D$2:$AL$2,0)),"")</f>
        <v>2352.356008492</v>
      </c>
      <c r="AA28" s="269">
        <f>IFERROR(INDEX('Inputs (2)'!$D$56:$AL$56,MATCH(AA$7&amp;"",'Inputs (2)'!$D$2:$AL$2,0)),"")</f>
        <v>2490.966844766</v>
      </c>
      <c r="AB28" s="270">
        <f>IF(COUNT(X28:AA28)=4,SUM(X28:AA28),"")</f>
        <v>9056.25810121</v>
      </c>
      <c r="AC28" s="269">
        <f>IFERROR(INDEX('Inputs (2)'!$D$56:$AL$56,MATCH(AC$7&amp;"",'Inputs (2)'!$D$2:$AL$2,0)),"")</f>
        <v>2319.93439908</v>
      </c>
      <c r="AD28" s="269">
        <f>IFERROR(INDEX('Inputs (2)'!$D$56:$AL$56,MATCH(AD$7&amp;"",'Inputs (2)'!$D$2:$AL$2,0)),"")</f>
        <v>2381.75857342</v>
      </c>
      <c r="AE28" s="269">
        <f>IFERROR(INDEX('Inputs (2)'!$D$56:$AL$56,MATCH(AE$7&amp;"",'Inputs (2)'!$D$2:$AL$2,0)),"")</f>
        <v>2484.89322322</v>
      </c>
      <c r="AF28" s="269">
        <f>IFERROR(INDEX('Inputs (2)'!$D$56:$AL$56,MATCH(AF$7&amp;"",'Inputs (2)'!$D$2:$AL$2,0)),"")</f>
        <v>2454.02204209</v>
      </c>
      <c r="AG28" s="270">
        <f>IF(COUNT(AC28:AF28)=4,SUM(AC28:AF28),"")</f>
        <v>9640.60823781</v>
      </c>
      <c r="AH28" s="270">
        <f>IFERROR(INDEX('Inputs (2)'!$D$56:$AL$56,MATCH(AH$7&amp;"",'Inputs (2)'!$D$2:$AL$2,0)),"")</f>
        <v>2372.71151418</v>
      </c>
      <c r="AI28" s="270">
        <f>IFERROR(INDEX('Inputs (2)'!$D$56:$AL$56,MATCH(AI$7&amp;"",'Inputs (2)'!$D$2:$AL$2,0)),"")</f>
        <v>2498.85403582</v>
      </c>
    </row>
    <row r="29">
      <c r="C29" s="268" t="inlineStr">
        <is>
          <t xml:space="preserve">   Movida</t>
        </is>
      </c>
      <c r="D29" s="269" t="str">
        <f>IFERROR(INDEX('Inputs (2)'!$D$58:$AL$58,MATCH(D$7&amp;"",'Inputs (2)'!$D$2:$AL$2,0)),"")</f>
        <v/>
      </c>
      <c r="E29" s="269" t="str">
        <f>IFERROR(INDEX('Inputs (2)'!$D$58:$AL$58,MATCH(E$7&amp;"",'Inputs (2)'!$D$2:$AL$2,0)),"")</f>
        <v/>
      </c>
      <c r="F29" s="269" t="str">
        <f>IFERROR(INDEX('Inputs (2)'!$D$58:$AL$58,MATCH(F$7&amp;"",'Inputs (2)'!$D$2:$AL$2,0)),"")</f>
        <v/>
      </c>
      <c r="G29" s="269" t="str">
        <f>IFERROR(INDEX('Inputs (2)'!$D$58:$AL$58,MATCH(G$7&amp;"",'Inputs (2)'!$D$2:$AL$2,0)),"")</f>
        <v/>
      </c>
      <c r="H29" s="270" t="str">
        <f>IF(COUNT(D29:G29)=4,SUM(D29:G29),"")</f>
        <v/>
      </c>
      <c r="I29" s="269">
        <f>IFERROR(INDEX('Inputs (2)'!$D$58:$AL$58,MATCH(I$7&amp;"",'Inputs (2)'!$D$2:$AL$2,0)),"")</f>
        <v>804.889</v>
      </c>
      <c r="J29" s="269">
        <f>IFERROR(INDEX('Inputs (2)'!$D$58:$AL$58,MATCH(J$7&amp;"",'Inputs (2)'!$D$2:$AL$2,0)),"")</f>
        <v>1211.49877851</v>
      </c>
      <c r="K29" s="269">
        <f>IFERROR(INDEX('Inputs (2)'!$D$58:$AL$58,MATCH(K$7&amp;"",'Inputs (2)'!$D$2:$AL$2,0)),"")</f>
        <v>1575.241</v>
      </c>
      <c r="L29" s="269">
        <f>IFERROR(INDEX('Inputs (2)'!$D$58:$AL$58,MATCH(L$7&amp;"",'Inputs (2)'!$D$2:$AL$2,0)),"")</f>
        <v>1740.993754074</v>
      </c>
      <c r="M29" s="270">
        <f>IF(COUNT(I29:L29)=4,SUM(I29:L29),"")</f>
        <v>5332.622532584</v>
      </c>
      <c r="N29" s="269">
        <f>IFERROR(INDEX('Inputs (2)'!$D$58:$AL$58,MATCH(N$7&amp;"",'Inputs (2)'!$D$2:$AL$2,0)),"")</f>
        <v>1905.657076952</v>
      </c>
      <c r="O29" s="269">
        <f>IFERROR(INDEX('Inputs (2)'!$D$58:$AL$58,MATCH(O$7&amp;"",'Inputs (2)'!$D$2:$AL$2,0)),"")</f>
        <v>2230.99216766</v>
      </c>
      <c r="P29" s="269">
        <f>IFERROR(INDEX('Inputs (2)'!$D$58:$AL$58,MATCH(P$7&amp;"",'Inputs (2)'!$D$2:$AL$2,0)),"")</f>
        <v>2536.864066479</v>
      </c>
      <c r="Q29" s="269">
        <f>IFERROR(INDEX('Inputs (2)'!$D$58:$AL$58,MATCH(Q$7&amp;"",'Inputs (2)'!$D$2:$AL$2,0)),"")</f>
        <v>2626.632792704</v>
      </c>
      <c r="R29" s="270">
        <f>IF(COUNT(N29:Q29)=4,SUM(N29:Q29),"")</f>
        <v>9300.146103795</v>
      </c>
      <c r="S29" s="269">
        <f>IFERROR(INDEX('Inputs (2)'!$D$58:$AL$58,MATCH(S$7&amp;"",'Inputs (2)'!$D$2:$AL$2,0)),"")</f>
        <v>2703.20625153</v>
      </c>
      <c r="T29" s="269">
        <f>IFERROR(INDEX('Inputs (2)'!$D$58:$AL$58,MATCH(T$7&amp;"",'Inputs (2)'!$D$2:$AL$2,0)),"")</f>
        <v>2479.14429072</v>
      </c>
      <c r="U29" s="269">
        <f>IFERROR(INDEX('Inputs (2)'!$D$58:$AL$58,MATCH(U$7&amp;"",'Inputs (2)'!$D$2:$AL$2,0)),"")</f>
        <v>2666.21994829</v>
      </c>
      <c r="V29" s="269">
        <f>IFERROR(INDEX('Inputs (2)'!$D$58:$AL$58,MATCH(V$7&amp;"",'Inputs (2)'!$D$2:$AL$2,0)),"")</f>
        <v>2493.44420164</v>
      </c>
      <c r="W29" s="270">
        <f>IF(COUNT(S29:V29)=4,SUM(S29:V29),"")</f>
        <v>10342.01469218</v>
      </c>
      <c r="X29" s="269">
        <f>IFERROR(INDEX('Inputs (2)'!$D$58:$AL$58,MATCH(X$7&amp;"",'Inputs (2)'!$D$2:$AL$2,0)),"")</f>
        <v>3021.64586942</v>
      </c>
      <c r="Y29" s="269">
        <f>IFERROR(INDEX('Inputs (2)'!$D$58:$AL$58,MATCH(Y$7&amp;"",'Inputs (2)'!$D$2:$AL$2,0)),"")</f>
        <v>3435.60355662</v>
      </c>
      <c r="Z29" s="269">
        <f>IFERROR(INDEX('Inputs (2)'!$D$58:$AL$58,MATCH(Z$7&amp;"",'Inputs (2)'!$D$2:$AL$2,0)),"")</f>
        <v>3775.86368257</v>
      </c>
      <c r="AA29" s="269">
        <f>IFERROR(INDEX('Inputs (2)'!$D$58:$AL$58,MATCH(AA$7&amp;"",'Inputs (2)'!$D$2:$AL$2,0)),"")</f>
        <v>3248.15701974</v>
      </c>
      <c r="AB29" s="270">
        <f>IF(COUNT(X29:AA29)=4,SUM(X29:AA29),"")</f>
        <v>13481.27012835</v>
      </c>
      <c r="AC29" s="269">
        <f>IFERROR(INDEX('Inputs (2)'!$D$58:$AL$58,MATCH(AC$7&amp;"",'Inputs (2)'!$D$2:$AL$2,0)),"")</f>
        <v>3568.23052826</v>
      </c>
      <c r="AD29" s="269">
        <f>IFERROR(INDEX('Inputs (2)'!$D$58:$AL$58,MATCH(AD$7&amp;"",'Inputs (2)'!$D$2:$AL$2,0)),"")</f>
        <v>3679.00557345</v>
      </c>
      <c r="AE29" s="269">
        <f>IFERROR(INDEX('Inputs (2)'!$D$58:$AL$58,MATCH(AE$7&amp;"",'Inputs (2)'!$D$2:$AL$2,0)),"")</f>
        <v>3765.84276528</v>
      </c>
      <c r="AF29" s="269">
        <f>IFERROR(INDEX('Inputs (2)'!$D$58:$AL$58,MATCH(AF$7&amp;"",'Inputs (2)'!$D$2:$AL$2,0)),"")</f>
        <v>3658.97515315</v>
      </c>
      <c r="AG29" s="270">
        <f>IF(COUNT(AC29:AF29)=4,SUM(AC29:AF29),"")</f>
        <v>14672.05402014</v>
      </c>
      <c r="AH29" s="270">
        <f>IFERROR(INDEX('Inputs (2)'!$D$58:$AL$58,MATCH(AH$7&amp;"",'Inputs (2)'!$D$2:$AL$2,0)),"")</f>
        <v>3780.64496646</v>
      </c>
      <c r="AI29" s="270">
        <f>IFERROR(INDEX('Inputs (2)'!$D$58:$AL$58,MATCH(AI$7&amp;"",'Inputs (2)'!$D$2:$AL$2,0)),"")</f>
        <v>3765.83020683</v>
      </c>
    </row>
    <row r="30">
      <c r="C30" s="268" t="inlineStr">
        <is>
          <t xml:space="preserve">   Vamos - locacao + industria</t>
        </is>
      </c>
      <c r="D30" s="269" t="str">
        <f>IFERROR(INDEX('Inputs (2)'!$D$60:$AL$60,MATCH(D$7&amp;"",'Inputs (2)'!$D$2:$AL$2,0)),"")</f>
        <v/>
      </c>
      <c r="E30" s="269" t="str">
        <f>IFERROR(INDEX('Inputs (2)'!$D$60:$AL$60,MATCH(E$7&amp;"",'Inputs (2)'!$D$2:$AL$2,0)),"")</f>
        <v/>
      </c>
      <c r="F30" s="269" t="str">
        <f>IFERROR(INDEX('Inputs (2)'!$D$60:$AL$60,MATCH(F$7&amp;"",'Inputs (2)'!$D$2:$AL$2,0)),"")</f>
        <v/>
      </c>
      <c r="G30" s="269" t="str">
        <f>IFERROR(INDEX('Inputs (2)'!$D$60:$AL$60,MATCH(G$7&amp;"",'Inputs (2)'!$D$2:$AL$2,0)),"")</f>
        <v/>
      </c>
      <c r="H30" s="270" t="str">
        <f>IF(COUNT(D30:G30)=4,SUM(D30:G30),"")</f>
        <v/>
      </c>
      <c r="I30" s="269">
        <f>IFERROR(INDEX('Inputs (2)'!$D$60:$AL$60,MATCH(I$7&amp;"",'Inputs (2)'!$D$2:$AL$2,0)),"")</f>
        <v>265.745826808</v>
      </c>
      <c r="J30" s="269">
        <f>IFERROR(INDEX('Inputs (2)'!$D$60:$AL$60,MATCH(J$7&amp;"",'Inputs (2)'!$D$2:$AL$2,0)),"")</f>
        <v>273.970729803</v>
      </c>
      <c r="K30" s="269">
        <f>IFERROR(INDEX('Inputs (2)'!$D$60:$AL$60,MATCH(K$7&amp;"",'Inputs (2)'!$D$2:$AL$2,0)),"")</f>
        <v>303.688421312</v>
      </c>
      <c r="L30" s="269">
        <f>IFERROR(INDEX('Inputs (2)'!$D$60:$AL$60,MATCH(L$7&amp;"",'Inputs (2)'!$D$2:$AL$2,0)),"")</f>
        <v>328.269593499</v>
      </c>
      <c r="M30" s="270">
        <f>IF(COUNT(I30:L30)=4,SUM(I30:L30),"")</f>
        <v>1171.674571422</v>
      </c>
      <c r="N30" s="269">
        <f>IFERROR(INDEX('Inputs (2)'!$D$60:$AL$60,MATCH(N$7&amp;"",'Inputs (2)'!$D$2:$AL$2,0)),"")</f>
        <v>366.989043808</v>
      </c>
      <c r="O30" s="269">
        <f>IFERROR(INDEX('Inputs (2)'!$D$60:$AL$60,MATCH(O$7&amp;"",'Inputs (2)'!$D$2:$AL$2,0)),"")</f>
        <v>461.856360135</v>
      </c>
      <c r="P30" s="269">
        <f>IFERROR(INDEX('Inputs (2)'!$D$60:$AL$60,MATCH(P$7&amp;"",'Inputs (2)'!$D$2:$AL$2,0)),"")</f>
        <v>590.219336458</v>
      </c>
      <c r="Q30" s="269">
        <f>IFERROR(INDEX('Inputs (2)'!$D$60:$AL$60,MATCH(Q$7&amp;"",'Inputs (2)'!$D$2:$AL$2,0)),"")</f>
        <v>715.334382749</v>
      </c>
      <c r="R30" s="270">
        <f>IF(COUNT(N30:Q30)=4,SUM(N30:Q30),"")</f>
        <v>2134.39912315</v>
      </c>
      <c r="S30" s="269">
        <f>IFERROR(INDEX('Inputs (2)'!$D$60:$AL$60,MATCH(S$7&amp;"",'Inputs (2)'!$D$2:$AL$2,0)),"")</f>
        <v>945.322649895</v>
      </c>
      <c r="T30" s="269">
        <f>IFERROR(INDEX('Inputs (2)'!$D$60:$AL$60,MATCH(T$7&amp;"",'Inputs (2)'!$D$2:$AL$2,0)),"")</f>
        <v>912.724971865</v>
      </c>
      <c r="U30" s="269">
        <f>IFERROR(INDEX('Inputs (2)'!$D$60:$AL$60,MATCH(U$7&amp;"",'Inputs (2)'!$D$2:$AL$2,0)),"")</f>
        <v>984.45924996</v>
      </c>
      <c r="V30" s="269">
        <f>IFERROR(INDEX('Inputs (2)'!$D$60:$AL$60,MATCH(V$7&amp;"",'Inputs (2)'!$D$2:$AL$2,0)),"")</f>
        <v>705.909904108</v>
      </c>
      <c r="W30" s="270">
        <f>IF(COUNT(S30:V30)=4,SUM(S30:V30),"")</f>
        <v>3548.416775828</v>
      </c>
      <c r="X30" s="269">
        <f>IFERROR(INDEX('Inputs (2)'!$D$60:$AL$60,MATCH(X$7&amp;"",'Inputs (2)'!$D$2:$AL$2,0)),"")</f>
        <v>1077.92902978</v>
      </c>
      <c r="Y30" s="269">
        <f>IFERROR(INDEX('Inputs (2)'!$D$60:$AL$60,MATCH(Y$7&amp;"",'Inputs (2)'!$D$2:$AL$2,0)),"")</f>
        <v>1207.09988748</v>
      </c>
      <c r="Z30" s="269">
        <f>IFERROR(INDEX('Inputs (2)'!$D$60:$AL$60,MATCH(Z$7&amp;"",'Inputs (2)'!$D$2:$AL$2,0)),"")</f>
        <v>1221.09474171</v>
      </c>
      <c r="AA30" s="269">
        <f>IFERROR(INDEX('Inputs (2)'!$D$60:$AL$60,MATCH(AA$7&amp;"",'Inputs (2)'!$D$2:$AL$2,0)),"")</f>
        <v>1193.188259075</v>
      </c>
      <c r="AB30" s="270">
        <f>IF(COUNT(X30:AA30)=4,SUM(X30:AA30),"")</f>
        <v>4699.311918045</v>
      </c>
      <c r="AC30" s="269">
        <f>IFERROR(INDEX('Inputs (2)'!$D$60:$AL$60,MATCH(AC$7&amp;"",'Inputs (2)'!$D$2:$AL$2,0)),"")</f>
        <v>1332.015835002</v>
      </c>
      <c r="AD30" s="269">
        <f>IFERROR(INDEX('Inputs (2)'!$D$60:$AL$60,MATCH(AD$7&amp;"",'Inputs (2)'!$D$2:$AL$2,0)),"")</f>
        <v>1411.665932279</v>
      </c>
      <c r="AE30" s="269">
        <f>IFERROR(INDEX('Inputs (2)'!$D$60:$AL$60,MATCH(AE$7&amp;"",'Inputs (2)'!$D$2:$AL$2,0)),"")</f>
        <v>1529.007232168</v>
      </c>
      <c r="AF30" s="269">
        <f>IFERROR(INDEX('Inputs (2)'!$D$60:$AL$60,MATCH(AF$7&amp;"",'Inputs (2)'!$D$2:$AL$2,0)),"")</f>
        <v>1483.023</v>
      </c>
      <c r="AG30" s="270">
        <f>IF(COUNT(AC30:AF30)=4,SUM(AC30:AF30),"")</f>
        <v>5755.711999449</v>
      </c>
      <c r="AH30" s="270">
        <f>IFERROR(INDEX('Inputs (2)'!$D$60:$AL$60,MATCH(AH$7&amp;"",'Inputs (2)'!$D$2:$AL$2,0)),"")</f>
        <v>1620.289839565</v>
      </c>
      <c r="AI30" s="270">
        <f>IFERROR(INDEX('Inputs (2)'!$D$60:$AL$60,MATCH(AI$7&amp;"",'Inputs (2)'!$D$2:$AL$2,0)),"")</f>
        <v>1564.305164472</v>
      </c>
    </row>
    <row r="31">
      <c r="C31" s="268" t="inlineStr">
        <is>
          <t xml:space="preserve">   Concessionarias Vamos (ate 4T22)</t>
        </is>
      </c>
      <c r="D31" s="269" t="str">
        <f>IFERROR(INDEX('Inputs (2)'!$D$62:$AL$62,MATCH(D$7&amp;"",'Inputs (2)'!$D$2:$AL$2,0)),"")</f>
        <v/>
      </c>
      <c r="E31" s="269" t="str">
        <f>IFERROR(INDEX('Inputs (2)'!$D$62:$AL$62,MATCH(E$7&amp;"",'Inputs (2)'!$D$2:$AL$2,0)),"")</f>
        <v/>
      </c>
      <c r="F31" s="269" t="str">
        <f>IFERROR(INDEX('Inputs (2)'!$D$62:$AL$62,MATCH(F$7&amp;"",'Inputs (2)'!$D$2:$AL$2,0)),"")</f>
        <v/>
      </c>
      <c r="G31" s="269" t="str">
        <f>IFERROR(INDEX('Inputs (2)'!$D$62:$AL$62,MATCH(G$7&amp;"",'Inputs (2)'!$D$2:$AL$2,0)),"")</f>
        <v/>
      </c>
      <c r="H31" s="270" t="str">
        <f>IF(COUNT(D31:G31)=4,SUM(D31:G31),"")</f>
        <v/>
      </c>
      <c r="I31" s="269">
        <f>IFERROR(INDEX('Inputs (2)'!$D$62:$AL$62,MATCH(I$7&amp;"",'Inputs (2)'!$D$2:$AL$2,0)),"")</f>
        <v>278.36339997</v>
      </c>
      <c r="J31" s="269">
        <f>IFERROR(INDEX('Inputs (2)'!$D$62:$AL$62,MATCH(J$7&amp;"",'Inputs (2)'!$D$2:$AL$2,0)),"")</f>
        <v>412.52110149</v>
      </c>
      <c r="K31" s="269">
        <f>IFERROR(INDEX('Inputs (2)'!$D$62:$AL$62,MATCH(K$7&amp;"",'Inputs (2)'!$D$2:$AL$2,0)),"")</f>
        <v>526.58010199</v>
      </c>
      <c r="L31" s="269">
        <f>IFERROR(INDEX('Inputs (2)'!$D$62:$AL$62,MATCH(L$7&amp;"",'Inputs (2)'!$D$2:$AL$2,0)),"")</f>
        <v>478.95953918</v>
      </c>
      <c r="M31" s="270">
        <f>IF(COUNT(I31:L31)=4,SUM(I31:L31),"")</f>
        <v>1696.42414263</v>
      </c>
      <c r="N31" s="269">
        <f>IFERROR(INDEX('Inputs (2)'!$D$62:$AL$62,MATCH(N$7&amp;"",'Inputs (2)'!$D$2:$AL$2,0)),"")</f>
        <v>578.19047126</v>
      </c>
      <c r="O31" s="269">
        <f>IFERROR(INDEX('Inputs (2)'!$D$62:$AL$62,MATCH(O$7&amp;"",'Inputs (2)'!$D$2:$AL$2,0)),"")</f>
        <v>736.84008429</v>
      </c>
      <c r="P31" s="269">
        <f>IFERROR(INDEX('Inputs (2)'!$D$62:$AL$62,MATCH(P$7&amp;"",'Inputs (2)'!$D$2:$AL$2,0)),"")</f>
        <v>787.92101835</v>
      </c>
      <c r="Q31" s="269">
        <f>IFERROR(INDEX('Inputs (2)'!$D$62:$AL$62,MATCH(Q$7&amp;"",'Inputs (2)'!$D$2:$AL$2,0)),"")</f>
        <v>676.10241582</v>
      </c>
      <c r="R31" s="270">
        <f>IF(COUNT(N31:Q31)=4,SUM(N31:Q31),"")</f>
        <v>2779.05398972</v>
      </c>
      <c r="S31" s="269" t="str">
        <f>IFERROR(INDEX('Inputs (2)'!$D$62:$AL$62,MATCH(S$7&amp;"",'Inputs (2)'!$D$2:$AL$2,0)),"")</f>
        <v/>
      </c>
      <c r="T31" s="269" t="str">
        <f>IFERROR(INDEX('Inputs (2)'!$D$62:$AL$62,MATCH(T$7&amp;"",'Inputs (2)'!$D$2:$AL$2,0)),"")</f>
        <v/>
      </c>
      <c r="U31" s="269" t="str">
        <f>IFERROR(INDEX('Inputs (2)'!$D$62:$AL$62,MATCH(U$7&amp;"",'Inputs (2)'!$D$2:$AL$2,0)),"")</f>
        <v/>
      </c>
      <c r="V31" s="269" t="str">
        <f>IFERROR(INDEX('Inputs (2)'!$D$62:$AL$62,MATCH(V$7&amp;"",'Inputs (2)'!$D$2:$AL$2,0)),"")</f>
        <v/>
      </c>
      <c r="W31" s="270" t="str">
        <f>IF(COUNT(S31:V31)=4,SUM(S31:V31),"")</f>
        <v/>
      </c>
      <c r="X31" s="269" t="str">
        <f>IFERROR(INDEX('Inputs (2)'!$D$62:$AL$62,MATCH(X$7&amp;"",'Inputs (2)'!$D$2:$AL$2,0)),"")</f>
        <v/>
      </c>
      <c r="Y31" s="269" t="str">
        <f>IFERROR(INDEX('Inputs (2)'!$D$62:$AL$62,MATCH(Y$7&amp;"",'Inputs (2)'!$D$2:$AL$2,0)),"")</f>
        <v/>
      </c>
      <c r="Z31" s="269" t="str">
        <f>IFERROR(INDEX('Inputs (2)'!$D$62:$AL$62,MATCH(Z$7&amp;"",'Inputs (2)'!$D$2:$AL$2,0)),"")</f>
        <v/>
      </c>
      <c r="AA31" s="269" t="str">
        <f>IFERROR(INDEX('Inputs (2)'!$D$62:$AL$62,MATCH(AA$7&amp;"",'Inputs (2)'!$D$2:$AL$2,0)),"")</f>
        <v/>
      </c>
      <c r="AB31" s="270" t="str">
        <f>IF(COUNT(X31:AA31)=4,SUM(X31:AA31),"")</f>
        <v/>
      </c>
      <c r="AC31" s="269" t="str">
        <f>IFERROR(INDEX('Inputs (2)'!$D$62:$AL$62,MATCH(AC$7&amp;"",'Inputs (2)'!$D$2:$AL$2,0)),"")</f>
        <v/>
      </c>
      <c r="AD31" s="269" t="str">
        <f>IFERROR(INDEX('Inputs (2)'!$D$62:$AL$62,MATCH(AD$7&amp;"",'Inputs (2)'!$D$2:$AL$2,0)),"")</f>
        <v/>
      </c>
      <c r="AE31" s="269" t="str">
        <f>IFERROR(INDEX('Inputs (2)'!$D$62:$AL$62,MATCH(AE$7&amp;"",'Inputs (2)'!$D$2:$AL$2,0)),"")</f>
        <v/>
      </c>
      <c r="AF31" s="269" t="str">
        <f>IFERROR(INDEX('Inputs (2)'!$D$62:$AL$62,MATCH(AF$7&amp;"",'Inputs (2)'!$D$2:$AL$2,0)),"")</f>
        <v/>
      </c>
      <c r="AG31" s="270" t="str">
        <f>IF(COUNT(AC31:AF31)=4,SUM(AC31:AF31),"")</f>
        <v/>
      </c>
      <c r="AH31" s="270" t="str">
        <f>IFERROR(INDEX('Inputs (2)'!$D$62:$AL$62,MATCH(AH$7&amp;"",'Inputs (2)'!$D$2:$AL$2,0)),"")</f>
        <v/>
      </c>
      <c r="AI31" s="270" t="str">
        <f>IFERROR(INDEX('Inputs (2)'!$D$62:$AL$62,MATCH(AI$7&amp;"",'Inputs (2)'!$D$2:$AL$2,0)),"")</f>
        <v/>
      </c>
    </row>
    <row r="32">
      <c r="C32" s="268" t="inlineStr">
        <is>
          <t xml:space="preserve">   Automob (desde 1T23)</t>
        </is>
      </c>
      <c r="D32" s="269" t="str">
        <f>IFERROR(INDEX('Inputs (2)'!$D$63:$AL$63,MATCH(D$7&amp;"",'Inputs (2)'!$D$2:$AL$2,0)),"")</f>
        <v/>
      </c>
      <c r="E32" s="269" t="str">
        <f>IFERROR(INDEX('Inputs (2)'!$D$63:$AL$63,MATCH(E$7&amp;"",'Inputs (2)'!$D$2:$AL$2,0)),"")</f>
        <v/>
      </c>
      <c r="F32" s="269" t="str">
        <f>IFERROR(INDEX('Inputs (2)'!$D$63:$AL$63,MATCH(F$7&amp;"",'Inputs (2)'!$D$2:$AL$2,0)),"")</f>
        <v/>
      </c>
      <c r="G32" s="269" t="str">
        <f>IFERROR(INDEX('Inputs (2)'!$D$63:$AL$63,MATCH(G$7&amp;"",'Inputs (2)'!$D$2:$AL$2,0)),"")</f>
        <v/>
      </c>
      <c r="H32" s="270" t="str">
        <f>IF(COUNT(D32:G32)=4,SUM(D32:G32),"")</f>
        <v/>
      </c>
      <c r="I32" s="269" t="str">
        <f>IFERROR(INDEX('Inputs (2)'!$D$63:$AL$63,MATCH(I$7&amp;"",'Inputs (2)'!$D$2:$AL$2,0)),"")</f>
        <v/>
      </c>
      <c r="J32" s="269" t="str">
        <f>IFERROR(INDEX('Inputs (2)'!$D$63:$AL$63,MATCH(J$7&amp;"",'Inputs (2)'!$D$2:$AL$2,0)),"")</f>
        <v/>
      </c>
      <c r="K32" s="269" t="str">
        <f>IFERROR(INDEX('Inputs (2)'!$D$63:$AL$63,MATCH(K$7&amp;"",'Inputs (2)'!$D$2:$AL$2,0)),"")</f>
        <v/>
      </c>
      <c r="L32" s="269" t="str">
        <f>IFERROR(INDEX('Inputs (2)'!$D$63:$AL$63,MATCH(L$7&amp;"",'Inputs (2)'!$D$2:$AL$2,0)),"")</f>
        <v/>
      </c>
      <c r="M32" s="270" t="str">
        <f>IF(COUNT(I32:L32)=4,SUM(I32:L32),"")</f>
        <v/>
      </c>
      <c r="N32" s="269" t="str">
        <f>IFERROR(INDEX('Inputs (2)'!$D$63:$AL$63,MATCH(N$7&amp;"",'Inputs (2)'!$D$2:$AL$2,0)),"")</f>
        <v/>
      </c>
      <c r="O32" s="269" t="str">
        <f>IFERROR(INDEX('Inputs (2)'!$D$63:$AL$63,MATCH(O$7&amp;"",'Inputs (2)'!$D$2:$AL$2,0)),"")</f>
        <v/>
      </c>
      <c r="P32" s="269" t="str">
        <f>IFERROR(INDEX('Inputs (2)'!$D$63:$AL$63,MATCH(P$7&amp;"",'Inputs (2)'!$D$2:$AL$2,0)),"")</f>
        <v/>
      </c>
      <c r="Q32" s="269" t="str">
        <f>IFERROR(INDEX('Inputs (2)'!$D$63:$AL$63,MATCH(Q$7&amp;"",'Inputs (2)'!$D$2:$AL$2,0)),"")</f>
        <v/>
      </c>
      <c r="R32" s="270" t="str">
        <f>IF(COUNT(N32:Q32)=4,SUM(N32:Q32),"")</f>
        <v/>
      </c>
      <c r="S32" s="269">
        <f>IFERROR(INDEX('Inputs (2)'!$D$63:$AL$63,MATCH(S$7&amp;"",'Inputs (2)'!$D$2:$AL$2,0)),"")</f>
        <v>2137.91</v>
      </c>
      <c r="T32" s="269">
        <f>IFERROR(INDEX('Inputs (2)'!$D$63:$AL$63,MATCH(T$7&amp;"",'Inputs (2)'!$D$2:$AL$2,0)),"")</f>
        <v>2204.25</v>
      </c>
      <c r="U32" s="269">
        <f>IFERROR(INDEX('Inputs (2)'!$D$63:$AL$63,MATCH(U$7&amp;"",'Inputs (2)'!$D$2:$AL$2,0)),"")</f>
        <v>2483.79</v>
      </c>
      <c r="V32" s="269">
        <f>IFERROR(INDEX('Inputs (2)'!$D$63:$AL$63,MATCH(V$7&amp;"",'Inputs (2)'!$D$2:$AL$2,0)),"")</f>
        <v>2695.64</v>
      </c>
      <c r="W32" s="270">
        <f>IF(COUNT(S32:V32)=4,SUM(S32:V32),"")</f>
        <v>9521.59</v>
      </c>
      <c r="X32" s="269">
        <f>IFERROR(INDEX('Inputs (2)'!$D$63:$AL$63,MATCH(X$7&amp;"",'Inputs (2)'!$D$2:$AL$2,0)),"")</f>
        <v>2681.521926</v>
      </c>
      <c r="Y32" s="269">
        <f>IFERROR(INDEX('Inputs (2)'!$D$63:$AL$63,MATCH(Y$7&amp;"",'Inputs (2)'!$D$2:$AL$2,0)),"")</f>
        <v>3050.08937</v>
      </c>
      <c r="Z32" s="269">
        <f>IFERROR(INDEX('Inputs (2)'!$D$63:$AL$63,MATCH(Z$7&amp;"",'Inputs (2)'!$D$2:$AL$2,0)),"")</f>
        <v>3110.245079</v>
      </c>
      <c r="AA32" s="269">
        <f>IFERROR(INDEX('Inputs (2)'!$D$63:$AL$63,MATCH(AA$7&amp;"",'Inputs (2)'!$D$2:$AL$2,0)),"")</f>
        <v>3144.697977</v>
      </c>
      <c r="AB32" s="270">
        <f>IF(COUNT(X32:AA32)=4,SUM(X32:AA32),"")</f>
        <v>11986.554352</v>
      </c>
      <c r="AC32" s="269">
        <f>IFERROR(INDEX('Inputs (2)'!$D$63:$AL$63,MATCH(AC$7&amp;"",'Inputs (2)'!$D$2:$AL$2,0)),"")</f>
        <v>2907.883374879</v>
      </c>
      <c r="AD32" s="269">
        <f>IFERROR(INDEX('Inputs (2)'!$D$63:$AL$63,MATCH(AD$7&amp;"",'Inputs (2)'!$D$2:$AL$2,0)),"")</f>
        <v>3087.332639111</v>
      </c>
      <c r="AE32" s="269">
        <f>IFERROR(INDEX('Inputs (2)'!$D$63:$AL$63,MATCH(AE$7&amp;"",'Inputs (2)'!$D$2:$AL$2,0)),"")</f>
        <v>3465.49243777</v>
      </c>
      <c r="AF32" s="269">
        <f>IFERROR(INDEX('Inputs (2)'!$D$63:$AL$63,MATCH(AF$7&amp;"",'Inputs (2)'!$D$2:$AL$2,0)),"")</f>
        <v>3354.69020929</v>
      </c>
      <c r="AG32" s="270">
        <f>IF(COUNT(AC32:AF32)=4,SUM(AC32:AF32),"")</f>
        <v>12815.39866105</v>
      </c>
      <c r="AH32" s="270">
        <f>IFERROR(INDEX('Inputs (2)'!$D$63:$AL$63,MATCH(AH$7&amp;"",'Inputs (2)'!$D$2:$AL$2,0)),"")</f>
        <v>3126.49263894</v>
      </c>
      <c r="AI32" s="270">
        <f>IFERROR(INDEX('Inputs (2)'!$D$63:$AL$63,MATCH(AI$7&amp;"",'Inputs (2)'!$D$2:$AL$2,0)),"")</f>
        <v>3455.11138736</v>
      </c>
    </row>
    <row r="33">
      <c r="C33" s="268" t="inlineStr">
        <is>
          <t xml:space="preserve">   CS Brasil</t>
        </is>
      </c>
      <c r="D33" s="269" t="str">
        <f>IFERROR(INDEX('Inputs (2)'!$D$64:$AL$64,MATCH(D$7&amp;"",'Inputs (2)'!$D$2:$AL$2,0)),"")</f>
        <v/>
      </c>
      <c r="E33" s="269" t="str">
        <f>IFERROR(INDEX('Inputs (2)'!$D$64:$AL$64,MATCH(E$7&amp;"",'Inputs (2)'!$D$2:$AL$2,0)),"")</f>
        <v/>
      </c>
      <c r="F33" s="269" t="str">
        <f>IFERROR(INDEX('Inputs (2)'!$D$64:$AL$64,MATCH(F$7&amp;"",'Inputs (2)'!$D$2:$AL$2,0)),"")</f>
        <v/>
      </c>
      <c r="G33" s="269" t="str">
        <f>IFERROR(INDEX('Inputs (2)'!$D$64:$AL$64,MATCH(G$7&amp;"",'Inputs (2)'!$D$2:$AL$2,0)),"")</f>
        <v/>
      </c>
      <c r="H33" s="270" t="str">
        <f>IF(COUNT(D33:G33)=4,SUM(D33:G33),"")</f>
        <v/>
      </c>
      <c r="I33" s="269">
        <f>IFERROR(INDEX('Inputs (2)'!$D$64:$AL$64,MATCH(I$7&amp;"",'Inputs (2)'!$D$2:$AL$2,0)),"")</f>
        <v>253.15964785</v>
      </c>
      <c r="J33" s="269">
        <f>IFERROR(INDEX('Inputs (2)'!$D$64:$AL$64,MATCH(J$7&amp;"",'Inputs (2)'!$D$2:$AL$2,0)),"")</f>
        <v>280.22125865</v>
      </c>
      <c r="K33" s="269">
        <f>IFERROR(INDEX('Inputs (2)'!$D$64:$AL$64,MATCH(K$7&amp;"",'Inputs (2)'!$D$2:$AL$2,0)),"")</f>
        <v>175.244142446</v>
      </c>
      <c r="L33" s="269">
        <f>IFERROR(INDEX('Inputs (2)'!$D$64:$AL$64,MATCH(L$7&amp;"",'Inputs (2)'!$D$2:$AL$2,0)),"")</f>
        <v>125.00164548</v>
      </c>
      <c r="M33" s="270">
        <f>IF(COUNT(I33:L33)=4,SUM(I33:L33),"")</f>
        <v>833.626694426</v>
      </c>
      <c r="N33" s="269">
        <f>IFERROR(INDEX('Inputs (2)'!$D$64:$AL$64,MATCH(N$7&amp;"",'Inputs (2)'!$D$2:$AL$2,0)),"")</f>
        <v>120.5922828</v>
      </c>
      <c r="O33" s="269">
        <f>IFERROR(INDEX('Inputs (2)'!$D$64:$AL$64,MATCH(O$7&amp;"",'Inputs (2)'!$D$2:$AL$2,0)),"")</f>
        <v>135.57765826</v>
      </c>
      <c r="P33" s="269">
        <f>IFERROR(INDEX('Inputs (2)'!$D$64:$AL$64,MATCH(P$7&amp;"",'Inputs (2)'!$D$2:$AL$2,0)),"")</f>
        <v>185.37970771</v>
      </c>
      <c r="Q33" s="269">
        <f>IFERROR(INDEX('Inputs (2)'!$D$64:$AL$64,MATCH(Q$7&amp;"",'Inputs (2)'!$D$2:$AL$2,0)),"")</f>
        <v>275.8489468</v>
      </c>
      <c r="R33" s="270">
        <f>IF(COUNT(N33:Q33)=4,SUM(N33:Q33),"")</f>
        <v>717.39859557</v>
      </c>
      <c r="S33" s="269">
        <f>IFERROR(INDEX('Inputs (2)'!$D$64:$AL$64,MATCH(S$7&amp;"",'Inputs (2)'!$D$2:$AL$2,0)),"")</f>
        <v>175.43202768</v>
      </c>
      <c r="T33" s="269">
        <f>IFERROR(INDEX('Inputs (2)'!$D$64:$AL$64,MATCH(T$7&amp;"",'Inputs (2)'!$D$2:$AL$2,0)),"")</f>
        <v>176.42614706</v>
      </c>
      <c r="U33" s="269">
        <f>IFERROR(INDEX('Inputs (2)'!$D$64:$AL$64,MATCH(U$7&amp;"",'Inputs (2)'!$D$2:$AL$2,0)),"")</f>
        <v>176.48227026</v>
      </c>
      <c r="V33" s="269">
        <f>IFERROR(INDEX('Inputs (2)'!$D$64:$AL$64,MATCH(V$7&amp;"",'Inputs (2)'!$D$2:$AL$2,0)),"")</f>
        <v>153.20968642</v>
      </c>
      <c r="W33" s="270">
        <f>IF(COUNT(S33:V33)=4,SUM(S33:V33),"")</f>
        <v>681.55013142</v>
      </c>
      <c r="X33" s="269">
        <f>IFERROR(INDEX('Inputs (2)'!$D$64:$AL$64,MATCH(X$7&amp;"",'Inputs (2)'!$D$2:$AL$2,0)),"")</f>
        <v>143.81806892</v>
      </c>
      <c r="Y33" s="269">
        <f>IFERROR(INDEX('Inputs (2)'!$D$64:$AL$64,MATCH(Y$7&amp;"",'Inputs (2)'!$D$2:$AL$2,0)),"")</f>
        <v>153.54271196</v>
      </c>
      <c r="Z33" s="269">
        <f>IFERROR(INDEX('Inputs (2)'!$D$64:$AL$64,MATCH(Z$7&amp;"",'Inputs (2)'!$D$2:$AL$2,0)),"")</f>
        <v>151.23504785</v>
      </c>
      <c r="AA33" s="269">
        <f>IFERROR(INDEX('Inputs (2)'!$D$64:$AL$64,MATCH(AA$7&amp;"",'Inputs (2)'!$D$2:$AL$2,0)),"")</f>
        <v>144.91785129</v>
      </c>
      <c r="AB33" s="270">
        <f>IF(COUNT(X33:AA33)=4,SUM(X33:AA33),"")</f>
        <v>593.51368002</v>
      </c>
      <c r="AC33" s="269">
        <f>IFERROR(INDEX('Inputs (2)'!$D$64:$AL$64,MATCH(AC$7&amp;"",'Inputs (2)'!$D$2:$AL$2,0)),"")</f>
        <v>146.34648783</v>
      </c>
      <c r="AD33" s="269">
        <f>IFERROR(INDEX('Inputs (2)'!$D$64:$AL$64,MATCH(AD$7&amp;"",'Inputs (2)'!$D$2:$AL$2,0)),"")</f>
        <v>183.87345888</v>
      </c>
      <c r="AE33" s="269">
        <f>IFERROR(INDEX('Inputs (2)'!$D$64:$AL$64,MATCH(AE$7&amp;"",'Inputs (2)'!$D$2:$AL$2,0)),"")</f>
        <v>186.55060318</v>
      </c>
      <c r="AF33" s="269">
        <f>IFERROR(INDEX('Inputs (2)'!$D$64:$AL$64,MATCH(AF$7&amp;"",'Inputs (2)'!$D$2:$AL$2,0)),"")</f>
        <v>173.98258148</v>
      </c>
      <c r="AG33" s="270">
        <f>IF(COUNT(AC33:AF33)=4,SUM(AC33:AF33),"")</f>
        <v>690.75313137</v>
      </c>
      <c r="AH33" s="270">
        <f>IFERROR(INDEX('Inputs (2)'!$D$64:$AL$64,MATCH(AH$7&amp;"",'Inputs (2)'!$D$2:$AL$2,0)),"")</f>
        <v>138.33867604</v>
      </c>
      <c r="AI33" s="270">
        <f>IFERROR(INDEX('Inputs (2)'!$D$64:$AL$64,MATCH(AI$7&amp;"",'Inputs (2)'!$D$2:$AL$2,0)),"")</f>
        <v>230.74952679</v>
      </c>
    </row>
    <row r="34">
      <c r="C34" s="268" t="inlineStr">
        <is>
          <t xml:space="preserve">   CS Infra (desde 1T22)</t>
        </is>
      </c>
      <c r="D34" s="269" t="str">
        <f>IFERROR(INDEX('Inputs (2)'!$D$65:$AL$65,MATCH(D$7&amp;"",'Inputs (2)'!$D$2:$AL$2,0)),"")</f>
        <v/>
      </c>
      <c r="E34" s="269" t="str">
        <f>IFERROR(INDEX('Inputs (2)'!$D$65:$AL$65,MATCH(E$7&amp;"",'Inputs (2)'!$D$2:$AL$2,0)),"")</f>
        <v/>
      </c>
      <c r="F34" s="269" t="str">
        <f>IFERROR(INDEX('Inputs (2)'!$D$65:$AL$65,MATCH(F$7&amp;"",'Inputs (2)'!$D$2:$AL$2,0)),"")</f>
        <v/>
      </c>
      <c r="G34" s="269" t="str">
        <f>IFERROR(INDEX('Inputs (2)'!$D$65:$AL$65,MATCH(G$7&amp;"",'Inputs (2)'!$D$2:$AL$2,0)),"")</f>
        <v/>
      </c>
      <c r="H34" s="270" t="str">
        <f>IF(COUNT(D34:G34)=4,SUM(D34:G34),"")</f>
        <v/>
      </c>
      <c r="I34" s="269" t="str">
        <f>IFERROR(INDEX('Inputs (2)'!$D$65:$AL$65,MATCH(I$7&amp;"",'Inputs (2)'!$D$2:$AL$2,0)),"")</f>
        <v/>
      </c>
      <c r="J34" s="269" t="str">
        <f>IFERROR(INDEX('Inputs (2)'!$D$65:$AL$65,MATCH(J$7&amp;"",'Inputs (2)'!$D$2:$AL$2,0)),"")</f>
        <v/>
      </c>
      <c r="K34" s="269" t="str">
        <f>IFERROR(INDEX('Inputs (2)'!$D$65:$AL$65,MATCH(K$7&amp;"",'Inputs (2)'!$D$2:$AL$2,0)),"")</f>
        <v/>
      </c>
      <c r="L34" s="269" t="str">
        <f>IFERROR(INDEX('Inputs (2)'!$D$65:$AL$65,MATCH(L$7&amp;"",'Inputs (2)'!$D$2:$AL$2,0)),"")</f>
        <v/>
      </c>
      <c r="M34" s="270" t="str">
        <f>IF(COUNT(I34:L34)=4,SUM(I34:L34),"")</f>
        <v/>
      </c>
      <c r="N34" s="269">
        <f>IFERROR(INDEX('Inputs (2)'!$D$65:$AL$65,MATCH(N$7&amp;"",'Inputs (2)'!$D$2:$AL$2,0)),"")</f>
        <v>98.58254148</v>
      </c>
      <c r="O34" s="269">
        <f>IFERROR(INDEX('Inputs (2)'!$D$65:$AL$65,MATCH(O$7&amp;"",'Inputs (2)'!$D$2:$AL$2,0)),"")</f>
        <v>99.05192403</v>
      </c>
      <c r="P34" s="269">
        <f>IFERROR(INDEX('Inputs (2)'!$D$65:$AL$65,MATCH(P$7&amp;"",'Inputs (2)'!$D$2:$AL$2,0)),"")</f>
        <v>101.15180881</v>
      </c>
      <c r="Q34" s="269">
        <f>IFERROR(INDEX('Inputs (2)'!$D$65:$AL$65,MATCH(Q$7&amp;"",'Inputs (2)'!$D$2:$AL$2,0)),"")</f>
        <v>102.35919871</v>
      </c>
      <c r="R34" s="270">
        <f>IF(COUNT(N34:Q34)=4,SUM(N34:Q34),"")</f>
        <v>401.14547303</v>
      </c>
      <c r="S34" s="269">
        <f>IFERROR(INDEX('Inputs (2)'!$D$65:$AL$65,MATCH(S$7&amp;"",'Inputs (2)'!$D$2:$AL$2,0)),"")</f>
        <v>146.70615843</v>
      </c>
      <c r="T34" s="269">
        <f>IFERROR(INDEX('Inputs (2)'!$D$65:$AL$65,MATCH(T$7&amp;"",'Inputs (2)'!$D$2:$AL$2,0)),"")</f>
        <v>156.59406708</v>
      </c>
      <c r="U34" s="269">
        <f>IFERROR(INDEX('Inputs (2)'!$D$65:$AL$65,MATCH(U$7&amp;"",'Inputs (2)'!$D$2:$AL$2,0)),"")</f>
        <v>215.89663183</v>
      </c>
      <c r="V34" s="269">
        <f>IFERROR(INDEX('Inputs (2)'!$D$65:$AL$65,MATCH(V$7&amp;"",'Inputs (2)'!$D$2:$AL$2,0)),"")</f>
        <v>238.41846435</v>
      </c>
      <c r="W34" s="270">
        <f>IF(COUNT(S34:V34)=4,SUM(S34:V34),"")</f>
        <v>757.61532169</v>
      </c>
      <c r="X34" s="269">
        <f>IFERROR(INDEX('Inputs (2)'!$D$65:$AL$65,MATCH(X$7&amp;"",'Inputs (2)'!$D$2:$AL$2,0)),"")</f>
        <v>146.55115785</v>
      </c>
      <c r="Y34" s="269">
        <f>IFERROR(INDEX('Inputs (2)'!$D$65:$AL$65,MATCH(Y$7&amp;"",'Inputs (2)'!$D$2:$AL$2,0)),"")</f>
        <v>275.7770609</v>
      </c>
      <c r="Z34" s="269">
        <f>IFERROR(INDEX('Inputs (2)'!$D$65:$AL$65,MATCH(Z$7&amp;"",'Inputs (2)'!$D$2:$AL$2,0)),"")</f>
        <v>215.81665142</v>
      </c>
      <c r="AA34" s="269">
        <f>IFERROR(INDEX('Inputs (2)'!$D$65:$AL$65,MATCH(AA$7&amp;"",'Inputs (2)'!$D$2:$AL$2,0)),"")</f>
        <v>279.38339776</v>
      </c>
      <c r="AB34" s="270">
        <f>IF(COUNT(X34:AA34)=4,SUM(X34:AA34),"")</f>
        <v>917.52826793</v>
      </c>
      <c r="AC34" s="269">
        <f>IFERROR(INDEX('Inputs (2)'!$D$65:$AL$65,MATCH(AC$7&amp;"",'Inputs (2)'!$D$2:$AL$2,0)),"")</f>
        <v>42.04555003</v>
      </c>
      <c r="AD34" s="269">
        <f>IFERROR(INDEX('Inputs (2)'!$D$65:$AL$65,MATCH(AD$7&amp;"",'Inputs (2)'!$D$2:$AL$2,0)),"")</f>
        <v>42.08997818</v>
      </c>
      <c r="AE34" s="269">
        <f>IFERROR(INDEX('Inputs (2)'!$D$65:$AL$65,MATCH(AE$7&amp;"",'Inputs (2)'!$D$2:$AL$2,0)),"")</f>
        <v>71.74317879</v>
      </c>
      <c r="AF34" s="269">
        <f>IFERROR(INDEX('Inputs (2)'!$D$65:$AL$65,MATCH(AF$7&amp;"",'Inputs (2)'!$D$2:$AL$2,0)),"")</f>
        <v>134.13562926</v>
      </c>
      <c r="AG34" s="270">
        <f>IF(COUNT(AC34:AF34)=4,SUM(AC34:AF34),"")</f>
        <v>290.01433626</v>
      </c>
      <c r="AH34" s="270">
        <f>IFERROR(INDEX('Inputs (2)'!$D$65:$AL$65,MATCH(AH$7&amp;"",'Inputs (2)'!$D$2:$AL$2,0)),"")</f>
        <v>122.33628311</v>
      </c>
      <c r="AI34" s="270">
        <f>IFERROR(INDEX('Inputs (2)'!$D$65:$AL$65,MATCH(AI$7&amp;"",'Inputs (2)'!$D$2:$AL$2,0)),"")</f>
        <v>175.8516919</v>
      </c>
    </row>
    <row r="35">
      <c r="C35" s="268" t="inlineStr">
        <is>
          <t xml:space="preserve">   BBC</t>
        </is>
      </c>
      <c r="D35" s="269" t="str">
        <f>IFERROR(INDEX('Inputs (2)'!$D$66:$AL$66,MATCH(D$7&amp;"",'Inputs (2)'!$D$2:$AL$2,0)),"")</f>
        <v/>
      </c>
      <c r="E35" s="269" t="str">
        <f>IFERROR(INDEX('Inputs (2)'!$D$66:$AL$66,MATCH(E$7&amp;"",'Inputs (2)'!$D$2:$AL$2,0)),"")</f>
        <v/>
      </c>
      <c r="F35" s="269" t="str">
        <f>IFERROR(INDEX('Inputs (2)'!$D$66:$AL$66,MATCH(F$7&amp;"",'Inputs (2)'!$D$2:$AL$2,0)),"")</f>
        <v/>
      </c>
      <c r="G35" s="269" t="str">
        <f>IFERROR(INDEX('Inputs (2)'!$D$66:$AL$66,MATCH(G$7&amp;"",'Inputs (2)'!$D$2:$AL$2,0)),"")</f>
        <v/>
      </c>
      <c r="H35" s="270" t="str">
        <f>IF(COUNT(D35:G35)=4,SUM(D35:G35),"")</f>
        <v/>
      </c>
      <c r="I35" s="269">
        <f>IFERROR(INDEX('Inputs (2)'!$D$66:$AL$66,MATCH(I$7&amp;"",'Inputs (2)'!$D$2:$AL$2,0)),"")</f>
        <v>10.28429948</v>
      </c>
      <c r="J35" s="269">
        <f>IFERROR(INDEX('Inputs (2)'!$D$66:$AL$66,MATCH(J$7&amp;"",'Inputs (2)'!$D$2:$AL$2,0)),"")</f>
        <v>10.14109567</v>
      </c>
      <c r="K35" s="269">
        <f>IFERROR(INDEX('Inputs (2)'!$D$66:$AL$66,MATCH(K$7&amp;"",'Inputs (2)'!$D$2:$AL$2,0)),"")</f>
        <v>10.64428845</v>
      </c>
      <c r="L35" s="269">
        <f>IFERROR(INDEX('Inputs (2)'!$D$66:$AL$66,MATCH(L$7&amp;"",'Inputs (2)'!$D$2:$AL$2,0)),"")</f>
        <v>12.19699554</v>
      </c>
      <c r="M35" s="270">
        <f>IF(COUNT(I35:L35)=4,SUM(I35:L35),"")</f>
        <v>43.26667914</v>
      </c>
      <c r="N35" s="269">
        <f>IFERROR(INDEX('Inputs (2)'!$D$66:$AL$66,MATCH(N$7&amp;"",'Inputs (2)'!$D$2:$AL$2,0)),"")</f>
        <v>15.51883671</v>
      </c>
      <c r="O35" s="269">
        <f>IFERROR(INDEX('Inputs (2)'!$D$66:$AL$66,MATCH(O$7&amp;"",'Inputs (2)'!$D$2:$AL$2,0)),"")</f>
        <v>17.60429878</v>
      </c>
      <c r="P35" s="269">
        <f>IFERROR(INDEX('Inputs (2)'!$D$66:$AL$66,MATCH(P$7&amp;"",'Inputs (2)'!$D$2:$AL$2,0)),"")</f>
        <v>19.51764546</v>
      </c>
      <c r="Q35" s="269">
        <f>IFERROR(INDEX('Inputs (2)'!$D$66:$AL$66,MATCH(Q$7&amp;"",'Inputs (2)'!$D$2:$AL$2,0)),"")</f>
        <v>24.91292716</v>
      </c>
      <c r="R35" s="270">
        <f>IF(COUNT(N35:Q35)=4,SUM(N35:Q35),"")</f>
        <v>77.55370811</v>
      </c>
      <c r="S35" s="269">
        <f>IFERROR(INDEX('Inputs (2)'!$D$66:$AL$66,MATCH(S$7&amp;"",'Inputs (2)'!$D$2:$AL$2,0)),"")</f>
        <v>2.69021527</v>
      </c>
      <c r="T35" s="269">
        <f>IFERROR(INDEX('Inputs (2)'!$D$66:$AL$66,MATCH(T$7&amp;"",'Inputs (2)'!$D$2:$AL$2,0)),"")</f>
        <v>3.76260749</v>
      </c>
      <c r="U35" s="269">
        <f>IFERROR(INDEX('Inputs (2)'!$D$66:$AL$66,MATCH(U$7&amp;"",'Inputs (2)'!$D$2:$AL$2,0)),"")</f>
        <v>3.73096101</v>
      </c>
      <c r="V35" s="269">
        <f>IFERROR(INDEX('Inputs (2)'!$D$66:$AL$66,MATCH(V$7&amp;"",'Inputs (2)'!$D$2:$AL$2,0)),"")</f>
        <v>3.85759612</v>
      </c>
      <c r="W35" s="270">
        <f>IF(COUNT(S35:V35)=4,SUM(S35:V35),"")</f>
        <v>14.04137989</v>
      </c>
      <c r="X35" s="269">
        <f>IFERROR(INDEX('Inputs (2)'!$D$66:$AL$66,MATCH(X$7&amp;"",'Inputs (2)'!$D$2:$AL$2,0)),"")</f>
        <v>1.9037001</v>
      </c>
      <c r="Y35" s="269">
        <f>IFERROR(INDEX('Inputs (2)'!$D$66:$AL$66,MATCH(Y$7&amp;"",'Inputs (2)'!$D$2:$AL$2,0)),"")</f>
        <v>2.02947268</v>
      </c>
      <c r="Z35" s="269">
        <f>IFERROR(INDEX('Inputs (2)'!$D$66:$AL$66,MATCH(Z$7&amp;"",'Inputs (2)'!$D$2:$AL$2,0)),"")</f>
        <v>2.42504255</v>
      </c>
      <c r="AA35" s="269">
        <f>IFERROR(INDEX('Inputs (2)'!$D$66:$AL$66,MATCH(AA$7&amp;"",'Inputs (2)'!$D$2:$AL$2,0)),"")</f>
        <v>2.90184133</v>
      </c>
      <c r="AB35" s="270">
        <f>IF(COUNT(X35:AA35)=4,SUM(X35:AA35),"")</f>
        <v>9.26005666</v>
      </c>
      <c r="AC35" s="269">
        <f>IFERROR(INDEX('Inputs (2)'!$D$66:$AL$66,MATCH(AC$7&amp;"",'Inputs (2)'!$D$2:$AL$2,0)),"")</f>
        <v>1.81728511</v>
      </c>
      <c r="AD35" s="269">
        <f>IFERROR(INDEX('Inputs (2)'!$D$66:$AL$66,MATCH(AD$7&amp;"",'Inputs (2)'!$D$2:$AL$2,0)),"")</f>
        <v>1.99236753</v>
      </c>
      <c r="AE35" s="269">
        <f>IFERROR(INDEX('Inputs (2)'!$D$66:$AL$66,MATCH(AE$7&amp;"",'Inputs (2)'!$D$2:$AL$2,0)),"")</f>
        <v>1.85156006</v>
      </c>
      <c r="AF35" s="269">
        <f>IFERROR(INDEX('Inputs (2)'!$D$66:$AL$66,MATCH(AF$7&amp;"",'Inputs (2)'!$D$2:$AL$2,0)),"")</f>
        <v>1.53175477</v>
      </c>
      <c r="AG35" s="270">
        <f>IF(COUNT(AC35:AF35)=4,SUM(AC35:AF35),"")</f>
        <v>7.19296747</v>
      </c>
      <c r="AH35" s="270">
        <f>IFERROR(INDEX('Inputs (2)'!$D$66:$AL$66,MATCH(AH$7&amp;"",'Inputs (2)'!$D$2:$AL$2,0)),"")</f>
        <v>1.47564871</v>
      </c>
      <c r="AI35" s="270">
        <f>IFERROR(INDEX('Inputs (2)'!$D$66:$AL$66,MATCH(AI$7&amp;"",'Inputs (2)'!$D$2:$AL$2,0)),"")</f>
        <v>1.52514017</v>
      </c>
    </row>
    <row r="36">
      <c r="C36" s="268" t="inlineStr">
        <is>
          <t xml:space="preserve">   Holding, eliminacoes e ajustes (residual; ate 4T22 inclui as demais concessionarias do grupo)</t>
        </is>
      </c>
      <c r="D36" s="269" t="str">
        <f>IF(COUNT(D28)=0,"",D15-SUM(D28:D35))</f>
        <v/>
      </c>
      <c r="E36" s="269" t="str">
        <f>IF(COUNT(E28)=0,"",E15-SUM(E28:E35))</f>
        <v/>
      </c>
      <c r="F36" s="269" t="str">
        <f>IF(COUNT(F28)=0,"",F15-SUM(F28:F35))</f>
        <v/>
      </c>
      <c r="G36" s="269" t="str">
        <f>IF(COUNT(G28)=0,"",G15-SUM(G28:G35))</f>
        <v/>
      </c>
      <c r="H36" s="270" t="str">
        <f>IF(COUNT(H28)=0,"",H15-SUM(H28:H35))</f>
        <v/>
      </c>
      <c r="I36" s="269">
        <f>IF(COUNT(I28)=0,"",I15-SUM(I28:I35))</f>
        <v>139.492201938</v>
      </c>
      <c r="J36" s="269">
        <f>IF(COUNT(J28)=0,"",J15-SUM(J28:J35))</f>
        <v>38.3466166170001</v>
      </c>
      <c r="K36" s="269">
        <f>IF(COUNT(K28)=0,"",K15-SUM(K28:K35))</f>
        <v>189.114416287</v>
      </c>
      <c r="L36" s="269">
        <f>IF(COUNT(L28)=0,"",L15-SUM(L28:L35))</f>
        <v>125.582421719</v>
      </c>
      <c r="M36" s="270">
        <f>IF(COUNT(M28)=0,"",M15-SUM(M28:M35))</f>
        <v>492.535656561</v>
      </c>
      <c r="N36" s="269">
        <f>IF(COUNT(N28)=0,"",N15-SUM(N28:N35))</f>
        <v>148.207354763</v>
      </c>
      <c r="O36" s="269">
        <f>IF(COUNT(O28)=0,"",O15-SUM(O28:O35))</f>
        <v>266.542228001999</v>
      </c>
      <c r="P36" s="269">
        <f>IF(COUNT(P28)=0,"",P15-SUM(P28:P35))</f>
        <v>977.478809425001</v>
      </c>
      <c r="Q36" s="269">
        <f>IF(COUNT(Q28)=0,"",Q15-SUM(Q28:Q35))</f>
        <v>1257.550417226</v>
      </c>
      <c r="R36" s="270">
        <f>IF(COUNT(R28)=0,"",R15-SUM(R28:R35))</f>
        <v>2649.778809416</v>
      </c>
      <c r="S36" s="269">
        <f>IF(COUNT(S28)=0,"",S15-SUM(S28:S35))</f>
        <v>-234.801310536001</v>
      </c>
      <c r="T36" s="269">
        <f>IF(COUNT(T28)=0,"",T15-SUM(T28:T35))</f>
        <v>-208.841131933</v>
      </c>
      <c r="U36" s="269">
        <f>IF(COUNT(U28)=0,"",U15-SUM(U28:U35))</f>
        <v>-222.595114893</v>
      </c>
      <c r="V36" s="269">
        <f>IF(COUNT(V28)=0,"",V15-SUM(V28:V35))</f>
        <v>69.978054788</v>
      </c>
      <c r="W36" s="270">
        <f>IF(COUNT(W28)=0,"",W15-SUM(W28:W35))</f>
        <v>-596.259502574001</v>
      </c>
      <c r="X36" s="269">
        <f>IF(COUNT(X28)=0,"",X15-SUM(X28:X35))</f>
        <v>-77.1138299169998</v>
      </c>
      <c r="Y36" s="269">
        <f>IF(COUNT(Y28)=0,"",Y15-SUM(Y28:Y35))</f>
        <v>-39.546611714999</v>
      </c>
      <c r="Z36" s="269">
        <f>IF(COUNT(Z28)=0,"",Z15-SUM(Z28:Z35))</f>
        <v>-38.5456510820004</v>
      </c>
      <c r="AA36" s="269">
        <f>IF(COUNT(AA28)=0,"",AA15-SUM(AA28:AA35))</f>
        <v>149.595513629001</v>
      </c>
      <c r="AB36" s="270">
        <f>IF(COUNT(AB28)=0,"",AB15-SUM(AB28:AB35))</f>
        <v>-5.61057908499788</v>
      </c>
      <c r="AC36" s="269">
        <f>IF(COUNT(AC28)=0,"",AC15-SUM(AC28:AC35))</f>
        <v>-73.6388485309999</v>
      </c>
      <c r="AD36" s="269">
        <f>IF(COUNT(AD28)=0,"",AD15-SUM(AD28:AD35))</f>
        <v>-446.93246152</v>
      </c>
      <c r="AE36" s="269">
        <f>IF(COUNT(AE28)=0,"",AE15-SUM(AE28:AE35))</f>
        <v>-404.447572398001</v>
      </c>
      <c r="AF36" s="269">
        <f>IF(COUNT(AF28)=0,"",AF15-SUM(AF28:AF35))</f>
        <v>-140.868392570001</v>
      </c>
      <c r="AG36" s="270">
        <f>IF(COUNT(AG28)=0,"",AG15-SUM(AG28:AG35))</f>
        <v>-1065.88727501901</v>
      </c>
      <c r="AH36" s="270">
        <f>IF(COUNT(AH28)=0,"",AH15-SUM(AH28:AH35))</f>
        <v>-237.991285305001</v>
      </c>
      <c r="AI36" s="270">
        <f>IF(COUNT(AI28)=0,"",AI15-SUM(AI28:AI35))</f>
        <v>-443.565294902</v>
      </c>
    </row>
    <row r="37">
      <c r="C37" s="271" t="inlineStr">
        <is>
          <t>Receita liquida consolidada (linha 15)</t>
        </is>
      </c>
      <c r="D37" s="269">
        <f>D15</f>
        <v>0</v>
      </c>
      <c r="E37" s="269">
        <f>E15</f>
        <v>0</v>
      </c>
      <c r="F37" s="269">
        <f>F15</f>
        <v>0</v>
      </c>
      <c r="G37" s="269">
        <f>G15</f>
        <v>0</v>
      </c>
      <c r="H37" s="270">
        <f>H15</f>
        <v>0</v>
      </c>
      <c r="I37" s="269">
        <f>I15</f>
        <v>2620.105655916</v>
      </c>
      <c r="J37" s="269">
        <f>J15</f>
        <v>3149.066344084</v>
      </c>
      <c r="K37" s="269">
        <f>K15</f>
        <v>3958.28</v>
      </c>
      <c r="L37" s="269">
        <f>L15</f>
        <v>4138.767</v>
      </c>
      <c r="M37" s="270">
        <f>M15</f>
        <v>13866.219</v>
      </c>
      <c r="N37" s="269">
        <f>N15</f>
        <v>4530.19701274</v>
      </c>
      <c r="O37" s="269">
        <f>O15</f>
        <v>5387.14735583</v>
      </c>
      <c r="P37" s="269">
        <f>P15</f>
        <v>6823.350471412</v>
      </c>
      <c r="Q37" s="269">
        <f>Q15</f>
        <v>7341.186278311</v>
      </c>
      <c r="R37" s="270">
        <f>R15</f>
        <v>24081.881118293</v>
      </c>
      <c r="S37" s="269">
        <f>S15</f>
        <v>7440.043821226</v>
      </c>
      <c r="T37" s="269">
        <f>T15</f>
        <v>7563.636178774</v>
      </c>
      <c r="U37" s="269">
        <f>U15</f>
        <v>8318.109</v>
      </c>
      <c r="V37" s="269">
        <f>V15</f>
        <v>8521.824</v>
      </c>
      <c r="W37" s="270">
        <f>W15</f>
        <v>31843.613</v>
      </c>
      <c r="X37" s="269">
        <f>X15</f>
        <v>9066.59642925</v>
      </c>
      <c r="Y37" s="269">
        <f>Y15</f>
        <v>10227.19018878</v>
      </c>
      <c r="Z37" s="269">
        <f>Z15</f>
        <v>10790.49060251</v>
      </c>
      <c r="AA37" s="269">
        <f>AA15</f>
        <v>10653.80870459</v>
      </c>
      <c r="AB37" s="270">
        <f>AB15</f>
        <v>40738.08592513</v>
      </c>
      <c r="AC37" s="269">
        <f>AC15</f>
        <v>10244.63461166</v>
      </c>
      <c r="AD37" s="269">
        <f>AD15</f>
        <v>10340.78606133</v>
      </c>
      <c r="AE37" s="269">
        <f>AE15</f>
        <v>11100.93342807</v>
      </c>
      <c r="AF37" s="269">
        <f>AF15</f>
        <v>11119.49197747</v>
      </c>
      <c r="AG37" s="270">
        <f>AG15</f>
        <v>42805.84607853</v>
      </c>
      <c r="AH37" s="270">
        <f>AH15</f>
        <v>10924.2982817</v>
      </c>
      <c r="AI37" s="270">
        <f>AI15</f>
        <v>11248.66185844</v>
      </c>
    </row>
    <row r="38">
      <c r="C38" s="268" t="inlineStr">
        <is>
          <t xml:space="preserve">   % YoY JSL</t>
        </is>
      </c>
      <c r="D38" s="272" t="str">
        <f>""</f>
        <v/>
      </c>
      <c r="E38" s="272" t="str">
        <f>""</f>
        <v/>
      </c>
      <c r="F38" s="272" t="str">
        <f>""</f>
        <v/>
      </c>
      <c r="G38" s="272" t="str">
        <f>""</f>
        <v/>
      </c>
      <c r="H38" s="273" t="str">
        <f>""</f>
        <v/>
      </c>
      <c r="I38" s="272" t="str">
        <f>IFERROR(I28/D28-1,"")</f>
        <v/>
      </c>
      <c r="J38" s="272" t="str">
        <f>IFERROR(J28/E28-1,"")</f>
        <v/>
      </c>
      <c r="K38" s="272" t="str">
        <f>IFERROR(K28/F28-1,"")</f>
        <v/>
      </c>
      <c r="L38" s="272" t="str">
        <f>IFERROR(L28/G28-1,"")</f>
        <v/>
      </c>
      <c r="M38" s="273" t="str">
        <f>IFERROR(M28/H28-1,"")</f>
        <v/>
      </c>
      <c r="N38" s="272">
        <f>IFERROR(N28/I28-1,"")</f>
        <v>0.493322153159837</v>
      </c>
      <c r="O38" s="272">
        <f>IFERROR(O28/J28-1,"")</f>
        <v>0.559772849421763</v>
      </c>
      <c r="P38" s="272">
        <f>IFERROR(P28/K28-1,"")</f>
        <v>0.379574406701171</v>
      </c>
      <c r="Q38" s="272">
        <f>IFERROR(Q28/L28-1,"")</f>
        <v>0.25206466357529</v>
      </c>
      <c r="R38" s="273">
        <f>IFERROR(R28/M28-1,"")</f>
        <v>0.401841009415753</v>
      </c>
      <c r="S38" s="272">
        <f>IFERROR(S28/N28-1,"")</f>
        <v>0.206036859285077</v>
      </c>
      <c r="T38" s="272">
        <f>IFERROR(T28/O28-1,"")</f>
        <v>0.278652554884086</v>
      </c>
      <c r="U38" s="272">
        <f>IFERROR(U28/P28-1,"")</f>
        <v>0.237138532534385</v>
      </c>
      <c r="V38" s="272">
        <f>IFERROR(V28/Q28-1,"")</f>
        <v>0.300112687196981</v>
      </c>
      <c r="W38" s="273">
        <f>IFERROR(W28/R28-1,"")</f>
        <v>0.257744008372942</v>
      </c>
      <c r="X38" s="272">
        <f>IFERROR(X28/S28-1,"")</f>
        <v>0.32410454328202</v>
      </c>
      <c r="Y38" s="272">
        <f>IFERROR(Y28/T28-1,"")</f>
        <v>0.16472254572641</v>
      </c>
      <c r="Z38" s="272">
        <f>IFERROR(Z28/U28-1,"")</f>
        <v>0.170253564247554</v>
      </c>
      <c r="AA38" s="272">
        <f>IFERROR(AA28/V28-1,"")</f>
        <v>0.152496494381233</v>
      </c>
      <c r="AB38" s="273">
        <f>IFERROR(AB28/W28-1,"")</f>
        <v>0.195601781445746</v>
      </c>
      <c r="AC38" s="272">
        <f>IFERROR(AC28/X28-1,"")</f>
        <v>0.12055692825765</v>
      </c>
      <c r="AD38" s="272">
        <f>IFERROR(AD28/Y28-1,"")</f>
        <v>0.111623457299051</v>
      </c>
      <c r="AE38" s="272">
        <f>IFERROR(AE28/Z28-1,"")</f>
        <v>0.0563423283931264</v>
      </c>
      <c r="AF38" s="272">
        <f>IFERROR(AF28/AA28-1,"")</f>
        <v>-0.0148315112076373</v>
      </c>
      <c r="AG38" s="273">
        <f>IFERROR(AG28/AB28-1,"")</f>
        <v>0.0645244570185037</v>
      </c>
      <c r="AH38" s="273">
        <f>IFERROR(AH28/AC28-1,"")</f>
        <v>0.0227493997765322</v>
      </c>
      <c r="AI38" s="273">
        <f>IFERROR(AI28/AD28-1,"")</f>
        <v>0.049163447423582</v>
      </c>
    </row>
    <row r="39">
      <c r="C39" s="268" t="inlineStr">
        <is>
          <t xml:space="preserve">   % YoY Movida</t>
        </is>
      </c>
      <c r="D39" s="272" t="str">
        <f>""</f>
        <v/>
      </c>
      <c r="E39" s="272" t="str">
        <f>""</f>
        <v/>
      </c>
      <c r="F39" s="272" t="str">
        <f>""</f>
        <v/>
      </c>
      <c r="G39" s="272" t="str">
        <f>""</f>
        <v/>
      </c>
      <c r="H39" s="273" t="str">
        <f>""</f>
        <v/>
      </c>
      <c r="I39" s="272" t="str">
        <f>IFERROR(I29/D29-1,"")</f>
        <v/>
      </c>
      <c r="J39" s="272" t="str">
        <f>IFERROR(J29/E29-1,"")</f>
        <v/>
      </c>
      <c r="K39" s="272" t="str">
        <f>IFERROR(K29/F29-1,"")</f>
        <v/>
      </c>
      <c r="L39" s="272" t="str">
        <f>IFERROR(L29/G29-1,"")</f>
        <v/>
      </c>
      <c r="M39" s="273" t="str">
        <f>IFERROR(M29/H29-1,"")</f>
        <v/>
      </c>
      <c r="N39" s="272">
        <f>IFERROR(N29/I29-1,"")</f>
        <v>1.3676023364116</v>
      </c>
      <c r="O39" s="272">
        <f>IFERROR(O29/J29-1,"")</f>
        <v>0.841514170079359</v>
      </c>
      <c r="P39" s="272">
        <f>IFERROR(P29/K29-1,"")</f>
        <v>0.610460917712908</v>
      </c>
      <c r="Q39" s="272">
        <f>IFERROR(Q29/L29-1,"")</f>
        <v>0.508697424420718</v>
      </c>
      <c r="R39" s="273">
        <f>IFERROR(R29/M29-1,"")</f>
        <v>0.744009827616371</v>
      </c>
      <c r="S39" s="272">
        <f>IFERROR(S29/N29-1,"")</f>
        <v>0.418516628318899</v>
      </c>
      <c r="T39" s="272">
        <f>IFERROR(T29/O29-1,"")</f>
        <v>0.111229490922094</v>
      </c>
      <c r="U39" s="272">
        <f>IFERROR(U29/P29-1,"")</f>
        <v>0.0509904663479024</v>
      </c>
      <c r="V39" s="272">
        <f>IFERROR(V29/Q29-1,"")</f>
        <v>-0.0507069703210734</v>
      </c>
      <c r="W39" s="273">
        <f>IFERROR(W29/R29-1,"")</f>
        <v>0.112027120515866</v>
      </c>
      <c r="X39" s="272">
        <f>IFERROR(X29/S29-1,"")</f>
        <v>0.117800710807681</v>
      </c>
      <c r="Y39" s="272">
        <f>IFERROR(Y29/T29-1,"")</f>
        <v>0.385802177582097</v>
      </c>
      <c r="Z39" s="272">
        <f>IFERROR(Z29/U29-1,"")</f>
        <v>0.416186119600402</v>
      </c>
      <c r="AA39" s="272">
        <f>IFERROR(AA29/V29-1,"")</f>
        <v>0.302678847837704</v>
      </c>
      <c r="AB39" s="273">
        <f>IFERROR(AB29/W29-1,"")</f>
        <v>0.303543896388361</v>
      </c>
      <c r="AC39" s="272">
        <f>IFERROR(AC29/X29-1,"")</f>
        <v>0.180889714566359</v>
      </c>
      <c r="AD39" s="272">
        <f>IFERROR(AD29/Y29-1,"")</f>
        <v>0.0708469451782332</v>
      </c>
      <c r="AE39" s="272">
        <f>IFERROR(AE29/Z29-1,"")</f>
        <v>-0.00265394043123379</v>
      </c>
      <c r="AF39" s="272">
        <f>IFERROR(AF29/AA29-1,"")</f>
        <v>0.126477301101313</v>
      </c>
      <c r="AG39" s="273">
        <f>IFERROR(AG29/AB29-1,"")</f>
        <v>0.0883287613446659</v>
      </c>
      <c r="AH39" s="273">
        <f>IFERROR(AH29/AC29-1,"")</f>
        <v>0.0595293483752524</v>
      </c>
      <c r="AI39" s="273">
        <f>IFERROR(AI29/AD29-1,"")</f>
        <v>0.0236000276831818</v>
      </c>
    </row>
    <row r="40">
      <c r="C40" s="268" t="inlineStr">
        <is>
          <t xml:space="preserve">   % YoY Vamos</t>
        </is>
      </c>
      <c r="D40" s="272" t="str">
        <f>""</f>
        <v/>
      </c>
      <c r="E40" s="272" t="str">
        <f>""</f>
        <v/>
      </c>
      <c r="F40" s="272" t="str">
        <f>""</f>
        <v/>
      </c>
      <c r="G40" s="272" t="str">
        <f>""</f>
        <v/>
      </c>
      <c r="H40" s="273" t="str">
        <f>""</f>
        <v/>
      </c>
      <c r="I40" s="272" t="str">
        <f>IFERROR(I30/D30-1,"")</f>
        <v/>
      </c>
      <c r="J40" s="272" t="str">
        <f>IFERROR(J30/E30-1,"")</f>
        <v/>
      </c>
      <c r="K40" s="272" t="str">
        <f>IFERROR(K30/F30-1,"")</f>
        <v/>
      </c>
      <c r="L40" s="272" t="str">
        <f>IFERROR(L30/G30-1,"")</f>
        <v/>
      </c>
      <c r="M40" s="273" t="str">
        <f>IFERROR(M30/H30-1,"")</f>
        <v/>
      </c>
      <c r="N40" s="272">
        <f>IFERROR(N30/I30-1,"")</f>
        <v>0.38097763647347</v>
      </c>
      <c r="O40" s="272">
        <f>IFERROR(O30/J30-1,"")</f>
        <v>0.685787238903587</v>
      </c>
      <c r="P40" s="272">
        <f>IFERROR(P30/K30-1,"")</f>
        <v>0.943502929443685</v>
      </c>
      <c r="Q40" s="272">
        <f>IFERROR(Q30/L30-1,"")</f>
        <v>1.17910643238171</v>
      </c>
      <c r="R40" s="273">
        <f>IFERROR(R30/M30-1,"")</f>
        <v>0.821665482216271</v>
      </c>
      <c r="S40" s="272">
        <f>IFERROR(S30/N30-1,"")</f>
        <v>1.57588793410838</v>
      </c>
      <c r="T40" s="272">
        <f>IFERROR(T30/O30-1,"")</f>
        <v>0.976209598149112</v>
      </c>
      <c r="U40" s="272">
        <f>IFERROR(U30/P30-1,"")</f>
        <v>0.667954926498844</v>
      </c>
      <c r="V40" s="272">
        <f>IFERROR(V30/Q30-1,"")</f>
        <v>-0.0131749275140139</v>
      </c>
      <c r="W40" s="273">
        <f>IFERROR(W30/R30-1,"")</f>
        <v>0.662489802090603</v>
      </c>
      <c r="X40" s="272">
        <f>IFERROR(X30/S30-1,"")</f>
        <v>0.140276317191521</v>
      </c>
      <c r="Y40" s="272">
        <f>IFERROR(Y30/T30-1,"")</f>
        <v>0.322523130942166</v>
      </c>
      <c r="Z40" s="272">
        <f>IFERROR(Z30/U30-1,"")</f>
        <v>0.240371037967914</v>
      </c>
      <c r="AA40" s="272">
        <f>IFERROR(AA30/V30-1,"")</f>
        <v>0.690284060517232</v>
      </c>
      <c r="AB40" s="273">
        <f>IFERROR(AB30/W30-1,"")</f>
        <v>0.32434046362788</v>
      </c>
      <c r="AC40" s="272">
        <f>IFERROR(AC30/X30-1,"")</f>
        <v>0.235717564145997</v>
      </c>
      <c r="AD40" s="272">
        <f>IFERROR(AD30/Y30-1,"")</f>
        <v>0.169469028139885</v>
      </c>
      <c r="AE40" s="272">
        <f>IFERROR(AE30/Z30-1,"")</f>
        <v>0.252161015800301</v>
      </c>
      <c r="AF40" s="272">
        <f>IFERROR(AF30/AA30-1,"")</f>
        <v>0.242907804967583</v>
      </c>
      <c r="AG40" s="273">
        <f>IFERROR(AG30/AB30-1,"")</f>
        <v>0.22479888541714</v>
      </c>
      <c r="AH40" s="273">
        <f>IFERROR(AH30/AC30-1,"")</f>
        <v>0.216419352524114</v>
      </c>
      <c r="AI40" s="273">
        <f>IFERROR(AI30/AD30-1,"")</f>
        <v>0.108127021204357</v>
      </c>
    </row>
    <row r="41">
      <c r="C41" s="268" t="inlineStr">
        <is>
          <t xml:space="preserve">   % YoY Automob</t>
        </is>
      </c>
      <c r="D41" s="272" t="str">
        <f>""</f>
        <v/>
      </c>
      <c r="E41" s="272" t="str">
        <f>""</f>
        <v/>
      </c>
      <c r="F41" s="272" t="str">
        <f>""</f>
        <v/>
      </c>
      <c r="G41" s="272" t="str">
        <f>""</f>
        <v/>
      </c>
      <c r="H41" s="273" t="str">
        <f>""</f>
        <v/>
      </c>
      <c r="I41" s="272" t="str">
        <f>IFERROR(I32/D32-1,"")</f>
        <v/>
      </c>
      <c r="J41" s="272" t="str">
        <f>IFERROR(J32/E32-1,"")</f>
        <v/>
      </c>
      <c r="K41" s="272" t="str">
        <f>IFERROR(K32/F32-1,"")</f>
        <v/>
      </c>
      <c r="L41" s="272" t="str">
        <f>IFERROR(L32/G32-1,"")</f>
        <v/>
      </c>
      <c r="M41" s="273" t="str">
        <f>IFERROR(M32/H32-1,"")</f>
        <v/>
      </c>
      <c r="N41" s="272" t="str">
        <f>IFERROR(N32/I32-1,"")</f>
        <v/>
      </c>
      <c r="O41" s="272" t="str">
        <f>IFERROR(O32/J32-1,"")</f>
        <v/>
      </c>
      <c r="P41" s="272" t="str">
        <f>IFERROR(P32/K32-1,"")</f>
        <v/>
      </c>
      <c r="Q41" s="272" t="str">
        <f>IFERROR(Q32/L32-1,"")</f>
        <v/>
      </c>
      <c r="R41" s="273" t="str">
        <f>IFERROR(R32/M32-1,"")</f>
        <v/>
      </c>
      <c r="S41" s="272" t="str">
        <f>IFERROR(S32/N32-1,"")</f>
        <v/>
      </c>
      <c r="T41" s="272" t="str">
        <f>IFERROR(T32/O32-1,"")</f>
        <v/>
      </c>
      <c r="U41" s="272" t="str">
        <f>IFERROR(U32/P32-1,"")</f>
        <v/>
      </c>
      <c r="V41" s="272" t="str">
        <f>IFERROR(V32/Q32-1,"")</f>
        <v/>
      </c>
      <c r="W41" s="273" t="str">
        <f>IFERROR(W32/R32-1,"")</f>
        <v/>
      </c>
      <c r="X41" s="272">
        <f>IFERROR(X32/S32-1,"")</f>
        <v>0.254272596133607</v>
      </c>
      <c r="Y41" s="272">
        <f>IFERROR(Y32/T32-1,"")</f>
        <v>0.383731142111829</v>
      </c>
      <c r="Z41" s="272">
        <f>IFERROR(Z32/U32-1,"")</f>
        <v>0.252217409281783</v>
      </c>
      <c r="AA41" s="272">
        <f>IFERROR(AA32/V32-1,"")</f>
        <v>0.166586776053182</v>
      </c>
      <c r="AB41" s="273">
        <f>IFERROR(AB32/W32-1,"")</f>
        <v>0.25888158931439</v>
      </c>
      <c r="AC41" s="272">
        <f>IFERROR(AC32/X32-1,"")</f>
        <v>0.0844152891998393</v>
      </c>
      <c r="AD41" s="272">
        <f>IFERROR(AD32/Y32-1,"")</f>
        <v>0.0122105501161101</v>
      </c>
      <c r="AE41" s="272">
        <f>IFERROR(AE32/Z32-1,"")</f>
        <v>0.114218445732328</v>
      </c>
      <c r="AF41" s="272">
        <f>IFERROR(AF32/AA32-1,"")</f>
        <v>0.0667765978882111</v>
      </c>
      <c r="AG41" s="273">
        <f>IFERROR(AG32/AB32-1,"")</f>
        <v>0.0691478372107581</v>
      </c>
      <c r="AH41" s="273">
        <f>IFERROR(AH32/AC32-1,"")</f>
        <v>0.0751781402065674</v>
      </c>
      <c r="AI41" s="273">
        <f>IFERROR(AI32/AD32-1,"")</f>
        <v>0.119125080203506</v>
      </c>
    </row>
    <row r="42">
      <c r="C42" s="268" t="inlineStr">
        <is>
          <t xml:space="preserve">   JSL - receita de servicos</t>
        </is>
      </c>
      <c r="D42" s="269" t="str">
        <f>IFERROR(INDEX('Inputs (2)'!$D$57:$AL$57,MATCH(D$7&amp;"",'Inputs (2)'!$D$2:$AL$2,0)),"")</f>
        <v/>
      </c>
      <c r="E42" s="269" t="str">
        <f>IFERROR(INDEX('Inputs (2)'!$D$57:$AL$57,MATCH(E$7&amp;"",'Inputs (2)'!$D$2:$AL$2,0)),"")</f>
        <v/>
      </c>
      <c r="F42" s="269" t="str">
        <f>IFERROR(INDEX('Inputs (2)'!$D$57:$AL$57,MATCH(F$7&amp;"",'Inputs (2)'!$D$2:$AL$2,0)),"")</f>
        <v/>
      </c>
      <c r="G42" s="269" t="str">
        <f>IFERROR(INDEX('Inputs (2)'!$D$57:$AL$57,MATCH(G$7&amp;"",'Inputs (2)'!$D$2:$AL$2,0)),"")</f>
        <v/>
      </c>
      <c r="H42" s="270" t="str">
        <f>IF(COUNT(D42:G42)=4,SUM(D42:G42),"")</f>
        <v/>
      </c>
      <c r="I42" s="269">
        <f>IFERROR(INDEX('Inputs (2)'!$D$57:$AL$57,MATCH(I$7&amp;"",'Inputs (2)'!$D$2:$AL$2,0)),"")</f>
        <v>853.24252604</v>
      </c>
      <c r="J42" s="269">
        <f>IFERROR(INDEX('Inputs (2)'!$D$57:$AL$57,MATCH(J$7&amp;"",'Inputs (2)'!$D$2:$AL$2,0)),"")</f>
        <v>902.462956154</v>
      </c>
      <c r="K42" s="269">
        <f>IFERROR(INDEX('Inputs (2)'!$D$57:$AL$57,MATCH(K$7&amp;"",'Inputs (2)'!$D$2:$AL$2,0)),"")</f>
        <v>1150.147687295</v>
      </c>
      <c r="L42" s="269">
        <f>IFERROR(INDEX('Inputs (2)'!$D$57:$AL$57,MATCH(L$7&amp;"",'Inputs (2)'!$D$2:$AL$2,0)),"")</f>
        <v>1306.865315978</v>
      </c>
      <c r="M42" s="270">
        <f>IF(COUNT(I42:L42)=4,SUM(I42:L42),"")</f>
        <v>4212.718485467</v>
      </c>
      <c r="N42" s="269">
        <f>IFERROR(INDEX('Inputs (2)'!$D$57:$AL$57,MATCH(N$7&amp;"",'Inputs (2)'!$D$2:$AL$2,0)),"")</f>
        <v>1267.613594237</v>
      </c>
      <c r="O42" s="269">
        <f>IFERROR(INDEX('Inputs (2)'!$D$57:$AL$57,MATCH(O$7&amp;"",'Inputs (2)'!$D$2:$AL$2,0)),"")</f>
        <v>1372.718656313</v>
      </c>
      <c r="P42" s="269">
        <f>IFERROR(INDEX('Inputs (2)'!$D$57:$AL$57,MATCH(P$7&amp;"",'Inputs (2)'!$D$2:$AL$2,0)),"")</f>
        <v>1570.79227938</v>
      </c>
      <c r="Q42" s="269">
        <f>IFERROR(INDEX('Inputs (2)'!$D$57:$AL$57,MATCH(Q$7&amp;"",'Inputs (2)'!$D$2:$AL$2,0)),"")</f>
        <v>1607.670524482</v>
      </c>
      <c r="R42" s="270">
        <f>IF(COUNT(N42:Q42)=4,SUM(N42:Q42),"")</f>
        <v>5818.795054412</v>
      </c>
      <c r="S42" s="269">
        <f>IFERROR(INDEX('Inputs (2)'!$D$57:$AL$57,MATCH(S$7&amp;"",'Inputs (2)'!$D$2:$AL$2,0)),"")</f>
        <v>1505.456944937</v>
      </c>
      <c r="T42" s="269">
        <f>IFERROR(INDEX('Inputs (2)'!$D$57:$AL$57,MATCH(T$7&amp;"",'Inputs (2)'!$D$2:$AL$2,0)),"")</f>
        <v>1779.168148592</v>
      </c>
      <c r="U42" s="269">
        <f>IFERROR(INDEX('Inputs (2)'!$D$57:$AL$57,MATCH(U$7&amp;"",'Inputs (2)'!$D$2:$AL$2,0)),"")</f>
        <v>1942.875783983</v>
      </c>
      <c r="V42" s="269">
        <f>IFERROR(INDEX('Inputs (2)'!$D$57:$AL$57,MATCH(V$7&amp;"",'Inputs (2)'!$D$2:$AL$2,0)),"")</f>
        <v>2071.473266424</v>
      </c>
      <c r="W42" s="270">
        <f>IF(COUNT(S42:V42)=4,SUM(S42:V42),"")</f>
        <v>7298.974143936</v>
      </c>
      <c r="X42" s="269">
        <f>IFERROR(INDEX('Inputs (2)'!$D$57:$AL$57,MATCH(X$7&amp;"",'Inputs (2)'!$D$2:$AL$2,0)),"")</f>
        <v>1993.449825677</v>
      </c>
      <c r="Y42" s="269">
        <f>IFERROR(INDEX('Inputs (2)'!$D$57:$AL$57,MATCH(Y$7&amp;"",'Inputs (2)'!$D$2:$AL$2,0)),"")</f>
        <v>2073.172417475</v>
      </c>
      <c r="Z42" s="269">
        <f>IFERROR(INDEX('Inputs (2)'!$D$57:$AL$57,MATCH(Z$7&amp;"",'Inputs (2)'!$D$2:$AL$2,0)),"")</f>
        <v>2284.423721182</v>
      </c>
      <c r="AA42" s="269">
        <f>IFERROR(INDEX('Inputs (2)'!$D$57:$AL$57,MATCH(AA$7&amp;"",'Inputs (2)'!$D$2:$AL$2,0)),"")</f>
        <v>2411.338751076</v>
      </c>
      <c r="AB42" s="270">
        <f>IF(COUNT(X42:AA42)=4,SUM(X42:AA42),"")</f>
        <v>8762.38471541</v>
      </c>
      <c r="AC42" s="269">
        <f>IFERROR(INDEX('Inputs (2)'!$D$57:$AL$57,MATCH(AC$7&amp;"",'Inputs (2)'!$D$2:$AL$2,0)),"")</f>
        <v>2229.45542087</v>
      </c>
      <c r="AD42" s="269">
        <f>IFERROR(INDEX('Inputs (2)'!$D$57:$AL$57,MATCH(AD$7&amp;"",'Inputs (2)'!$D$2:$AL$2,0)),"")</f>
        <v>2274.31185248</v>
      </c>
      <c r="AE42" s="269">
        <f>IFERROR(INDEX('Inputs (2)'!$D$57:$AL$57,MATCH(AE$7&amp;"",'Inputs (2)'!$D$2:$AL$2,0)),"")</f>
        <v>2369.64704483</v>
      </c>
      <c r="AF42" s="269">
        <f>IFERROR(INDEX('Inputs (2)'!$D$57:$AL$57,MATCH(AF$7&amp;"",'Inputs (2)'!$D$2:$AL$2,0)),"")</f>
        <v>2354.72742575</v>
      </c>
      <c r="AG42" s="270">
        <f>IF(COUNT(AC42:AF42)=4,SUM(AC42:AF42),"")</f>
        <v>9228.14174393</v>
      </c>
      <c r="AH42" s="270">
        <f>IFERROR(INDEX('Inputs (2)'!$D$57:$AL$57,MATCH(AH$7&amp;"",'Inputs (2)'!$D$2:$AL$2,0)),"")</f>
        <v>2272.76446455</v>
      </c>
      <c r="AI42" s="270">
        <f>IFERROR(INDEX('Inputs (2)'!$D$57:$AL$57,MATCH(AI$7&amp;"",'Inputs (2)'!$D$2:$AL$2,0)),"")</f>
        <v>2409.50395348</v>
      </c>
    </row>
    <row r="43">
      <c r="C43" s="268" t="inlineStr">
        <is>
          <t xml:space="preserve">   Movida - receita de servicos (aluguel RAC + GTF)</t>
        </is>
      </c>
      <c r="D43" s="269" t="str">
        <f>IFERROR(INDEX('Inputs (2)'!$D$59:$AL$59,MATCH(D$7&amp;"",'Inputs (2)'!$D$2:$AL$2,0)),"")</f>
        <v/>
      </c>
      <c r="E43" s="269" t="str">
        <f>IFERROR(INDEX('Inputs (2)'!$D$59:$AL$59,MATCH(E$7&amp;"",'Inputs (2)'!$D$2:$AL$2,0)),"")</f>
        <v/>
      </c>
      <c r="F43" s="269" t="str">
        <f>IFERROR(INDEX('Inputs (2)'!$D$59:$AL$59,MATCH(F$7&amp;"",'Inputs (2)'!$D$2:$AL$2,0)),"")</f>
        <v/>
      </c>
      <c r="G43" s="269" t="str">
        <f>IFERROR(INDEX('Inputs (2)'!$D$59:$AL$59,MATCH(G$7&amp;"",'Inputs (2)'!$D$2:$AL$2,0)),"")</f>
        <v/>
      </c>
      <c r="H43" s="270" t="str">
        <f>IF(COUNT(D43:G43)=4,SUM(D43:G43),"")</f>
        <v/>
      </c>
      <c r="I43" s="269">
        <f>IFERROR(INDEX('Inputs (2)'!$D$59:$AL$59,MATCH(I$7&amp;"",'Inputs (2)'!$D$2:$AL$2,0)),"")</f>
        <v>530.34866179</v>
      </c>
      <c r="J43" s="269">
        <f>IFERROR(INDEX('Inputs (2)'!$D$59:$AL$59,MATCH(J$7&amp;"",'Inputs (2)'!$D$2:$AL$2,0)),"")</f>
        <v>538.01873694</v>
      </c>
      <c r="K43" s="269">
        <f>IFERROR(INDEX('Inputs (2)'!$D$59:$AL$59,MATCH(K$7&amp;"",'Inputs (2)'!$D$2:$AL$2,0)),"")</f>
        <v>730.620531958</v>
      </c>
      <c r="L43" s="269">
        <f>IFERROR(INDEX('Inputs (2)'!$D$59:$AL$59,MATCH(L$7&amp;"",'Inputs (2)'!$D$2:$AL$2,0)),"")</f>
        <v>931.878558554</v>
      </c>
      <c r="M43" s="270">
        <f>IF(COUNT(I43:L43)=4,SUM(I43:L43),"")</f>
        <v>2730.866489242</v>
      </c>
      <c r="N43" s="269">
        <f>IFERROR(INDEX('Inputs (2)'!$D$59:$AL$59,MATCH(N$7&amp;"",'Inputs (2)'!$D$2:$AL$2,0)),"")</f>
        <v>931.895052062</v>
      </c>
      <c r="O43" s="269">
        <f>IFERROR(INDEX('Inputs (2)'!$D$59:$AL$59,MATCH(O$7&amp;"",'Inputs (2)'!$D$2:$AL$2,0)),"")</f>
        <v>1002.35766763</v>
      </c>
      <c r="P43" s="269">
        <f>IFERROR(INDEX('Inputs (2)'!$D$59:$AL$59,MATCH(P$7&amp;"",'Inputs (2)'!$D$2:$AL$2,0)),"")</f>
        <v>1126.436479119</v>
      </c>
      <c r="Q43" s="269">
        <f>IFERROR(INDEX('Inputs (2)'!$D$59:$AL$59,MATCH(Q$7&amp;"",'Inputs (2)'!$D$2:$AL$2,0)),"")</f>
        <v>1222.225612664</v>
      </c>
      <c r="R43" s="270">
        <f>IF(COUNT(N43:Q43)=4,SUM(N43:Q43),"")</f>
        <v>4282.914811475</v>
      </c>
      <c r="S43" s="269">
        <f>IFERROR(INDEX('Inputs (2)'!$D$59:$AL$59,MATCH(S$7&amp;"",'Inputs (2)'!$D$2:$AL$2,0)),"")</f>
        <v>1239.74170094</v>
      </c>
      <c r="T43" s="269">
        <f>IFERROR(INDEX('Inputs (2)'!$D$59:$AL$59,MATCH(T$7&amp;"",'Inputs (2)'!$D$2:$AL$2,0)),"")</f>
        <v>1233.78083778</v>
      </c>
      <c r="U43" s="269">
        <f>IFERROR(INDEX('Inputs (2)'!$D$59:$AL$59,MATCH(U$7&amp;"",'Inputs (2)'!$D$2:$AL$2,0)),"")</f>
        <v>1297.31771027</v>
      </c>
      <c r="V43" s="269">
        <f>IFERROR(INDEX('Inputs (2)'!$D$59:$AL$59,MATCH(V$7&amp;"",'Inputs (2)'!$D$2:$AL$2,0)),"")</f>
        <v>1339.62050644</v>
      </c>
      <c r="W43" s="270">
        <f>IF(COUNT(S43:V43)=4,SUM(S43:V43),"")</f>
        <v>5110.46075543</v>
      </c>
      <c r="X43" s="269">
        <f>IFERROR(INDEX('Inputs (2)'!$D$59:$AL$59,MATCH(X$7&amp;"",'Inputs (2)'!$D$2:$AL$2,0)),"")</f>
        <v>1495.19829253</v>
      </c>
      <c r="Y43" s="269">
        <f>IFERROR(INDEX('Inputs (2)'!$D$59:$AL$59,MATCH(Y$7&amp;"",'Inputs (2)'!$D$2:$AL$2,0)),"")</f>
        <v>1608.06050374</v>
      </c>
      <c r="Z43" s="269">
        <f>IFERROR(INDEX('Inputs (2)'!$D$59:$AL$59,MATCH(Z$7&amp;"",'Inputs (2)'!$D$2:$AL$2,0)),"")</f>
        <v>1744.7243125</v>
      </c>
      <c r="AA43" s="269">
        <f>IFERROR(INDEX('Inputs (2)'!$D$59:$AL$59,MATCH(AA$7&amp;"",'Inputs (2)'!$D$2:$AL$2,0)),"")</f>
        <v>1791.05691627</v>
      </c>
      <c r="AB43" s="270">
        <f>IF(COUNT(X43:AA43)=4,SUM(X43:AA43),"")</f>
        <v>6639.04002504</v>
      </c>
      <c r="AC43" s="269">
        <f>IFERROR(INDEX('Inputs (2)'!$D$59:$AL$59,MATCH(AC$7&amp;"",'Inputs (2)'!$D$2:$AL$2,0)),"")</f>
        <v>1878.9041189</v>
      </c>
      <c r="AD43" s="269">
        <f>IFERROR(INDEX('Inputs (2)'!$D$59:$AL$59,MATCH(AD$7&amp;"",'Inputs (2)'!$D$2:$AL$2,0)),"")</f>
        <v>1892.63200983</v>
      </c>
      <c r="AE43" s="269">
        <f>IFERROR(INDEX('Inputs (2)'!$D$59:$AL$59,MATCH(AE$7&amp;"",'Inputs (2)'!$D$2:$AL$2,0)),"")</f>
        <v>2010.81157436</v>
      </c>
      <c r="AF43" s="269">
        <f>IFERROR(INDEX('Inputs (2)'!$D$59:$AL$59,MATCH(AF$7&amp;"",'Inputs (2)'!$D$2:$AL$2,0)),"")</f>
        <v>2096.39408926</v>
      </c>
      <c r="AG43" s="270">
        <f>IF(COUNT(AC43:AF43)=4,SUM(AC43:AF43),"")</f>
        <v>7878.74179235</v>
      </c>
      <c r="AH43" s="270">
        <f>IFERROR(INDEX('Inputs (2)'!$D$59:$AL$59,MATCH(AH$7&amp;"",'Inputs (2)'!$D$2:$AL$2,0)),"")</f>
        <v>2205.61650379</v>
      </c>
      <c r="AI43" s="270">
        <f>IFERROR(INDEX('Inputs (2)'!$D$59:$AL$59,MATCH(AI$7&amp;"",'Inputs (2)'!$D$2:$AL$2,0)),"")</f>
        <v>2295.3346397</v>
      </c>
    </row>
    <row r="44">
      <c r="C44" s="268" t="inlineStr">
        <is>
          <t xml:space="preserve">   Vamos - receita de servicos de locacao</t>
        </is>
      </c>
      <c r="D44" s="269" t="str">
        <f>IFERROR(INDEX('Inputs (2)'!$D$61:$AL$61,MATCH(D$7&amp;"",'Inputs (2)'!$D$2:$AL$2,0)),"")</f>
        <v/>
      </c>
      <c r="E44" s="269" t="str">
        <f>IFERROR(INDEX('Inputs (2)'!$D$61:$AL$61,MATCH(E$7&amp;"",'Inputs (2)'!$D$2:$AL$2,0)),"")</f>
        <v/>
      </c>
      <c r="F44" s="269" t="str">
        <f>IFERROR(INDEX('Inputs (2)'!$D$61:$AL$61,MATCH(F$7&amp;"",'Inputs (2)'!$D$2:$AL$2,0)),"")</f>
        <v/>
      </c>
      <c r="G44" s="269" t="str">
        <f>IFERROR(INDEX('Inputs (2)'!$D$61:$AL$61,MATCH(G$7&amp;"",'Inputs (2)'!$D$2:$AL$2,0)),"")</f>
        <v/>
      </c>
      <c r="H44" s="270" t="str">
        <f>IF(COUNT(D44:G44)=4,SUM(D44:G44),"")</f>
        <v/>
      </c>
      <c r="I44" s="269">
        <f>IFERROR(INDEX('Inputs (2)'!$D$61:$AL$61,MATCH(I$7&amp;"",'Inputs (2)'!$D$2:$AL$2,0)),"")</f>
        <v>199.18427502</v>
      </c>
      <c r="J44" s="269">
        <f>IFERROR(INDEX('Inputs (2)'!$D$61:$AL$61,MATCH(J$7&amp;"",'Inputs (2)'!$D$2:$AL$2,0)),"")</f>
        <v>225.10853423</v>
      </c>
      <c r="K44" s="269">
        <f>IFERROR(INDEX('Inputs (2)'!$D$61:$AL$61,MATCH(K$7&amp;"",'Inputs (2)'!$D$2:$AL$2,0)),"")</f>
        <v>250.83269783</v>
      </c>
      <c r="L44" s="269">
        <f>IFERROR(INDEX('Inputs (2)'!$D$61:$AL$61,MATCH(L$7&amp;"",'Inputs (2)'!$D$2:$AL$2,0)),"")</f>
        <v>278.68327376</v>
      </c>
      <c r="M44" s="270">
        <f>IF(COUNT(I44:L44)=4,SUM(I44:L44),"")</f>
        <v>953.80878084</v>
      </c>
      <c r="N44" s="269">
        <f>IFERROR(INDEX('Inputs (2)'!$D$61:$AL$61,MATCH(N$7&amp;"",'Inputs (2)'!$D$2:$AL$2,0)),"")</f>
        <v>306.1590249</v>
      </c>
      <c r="O44" s="269">
        <f>IFERROR(INDEX('Inputs (2)'!$D$61:$AL$61,MATCH(O$7&amp;"",'Inputs (2)'!$D$2:$AL$2,0)),"")</f>
        <v>383.46406758</v>
      </c>
      <c r="P44" s="269">
        <f>IFERROR(INDEX('Inputs (2)'!$D$61:$AL$61,MATCH(P$7&amp;"",'Inputs (2)'!$D$2:$AL$2,0)),"")</f>
        <v>435.80483879</v>
      </c>
      <c r="Q44" s="269">
        <f>IFERROR(INDEX('Inputs (2)'!$D$61:$AL$61,MATCH(Q$7&amp;"",'Inputs (2)'!$D$2:$AL$2,0)),"")</f>
        <v>511.04703223</v>
      </c>
      <c r="R44" s="270">
        <f>IF(COUNT(N44:Q44)=4,SUM(N44:Q44),"")</f>
        <v>1636.4749635</v>
      </c>
      <c r="S44" s="269">
        <f>IFERROR(INDEX('Inputs (2)'!$D$61:$AL$61,MATCH(S$7&amp;"",'Inputs (2)'!$D$2:$AL$2,0)),"")</f>
        <v>595.69433335</v>
      </c>
      <c r="T44" s="269">
        <f>IFERROR(INDEX('Inputs (2)'!$D$61:$AL$61,MATCH(T$7&amp;"",'Inputs (2)'!$D$2:$AL$2,0)),"")</f>
        <v>656.33666665</v>
      </c>
      <c r="U44" s="269">
        <f>IFERROR(INDEX('Inputs (2)'!$D$61:$AL$61,MATCH(U$7&amp;"",'Inputs (2)'!$D$2:$AL$2,0)),"")</f>
        <v>700.141</v>
      </c>
      <c r="V44" s="269">
        <f>IFERROR(INDEX('Inputs (2)'!$D$61:$AL$61,MATCH(V$7&amp;"",'Inputs (2)'!$D$2:$AL$2,0)),"")</f>
        <v>773.89295826</v>
      </c>
      <c r="W44" s="270">
        <f>IF(COUNT(S44:V44)=4,SUM(S44:V44),"")</f>
        <v>2726.06495826</v>
      </c>
      <c r="X44" s="269">
        <f>IFERROR(INDEX('Inputs (2)'!$D$61:$AL$61,MATCH(X$7&amp;"",'Inputs (2)'!$D$2:$AL$2,0)),"")</f>
        <v>838.378</v>
      </c>
      <c r="Y44" s="269">
        <f>IFERROR(INDEX('Inputs (2)'!$D$61:$AL$61,MATCH(Y$7&amp;"",'Inputs (2)'!$D$2:$AL$2,0)),"")</f>
        <v>921.71</v>
      </c>
      <c r="Z44" s="269">
        <f>IFERROR(INDEX('Inputs (2)'!$D$61:$AL$61,MATCH(Z$7&amp;"",'Inputs (2)'!$D$2:$AL$2,0)),"")</f>
        <v>927.638</v>
      </c>
      <c r="AA44" s="269">
        <f>IFERROR(INDEX('Inputs (2)'!$D$61:$AL$61,MATCH(AA$7&amp;"",'Inputs (2)'!$D$2:$AL$2,0)),"")</f>
        <v>962.05571644</v>
      </c>
      <c r="AB44" s="270">
        <f>IF(COUNT(X44:AA44)=4,SUM(X44:AA44),"")</f>
        <v>3649.78171644</v>
      </c>
      <c r="AC44" s="269">
        <f>IFERROR(INDEX('Inputs (2)'!$D$61:$AL$61,MATCH(AC$7&amp;"",'Inputs (2)'!$D$2:$AL$2,0)),"")</f>
        <v>960.61334328</v>
      </c>
      <c r="AD44" s="269">
        <f>IFERROR(INDEX('Inputs (2)'!$D$61:$AL$61,MATCH(AD$7&amp;"",'Inputs (2)'!$D$2:$AL$2,0)),"")</f>
        <v>1002.13008166</v>
      </c>
      <c r="AE44" s="269">
        <f>IFERROR(INDEX('Inputs (2)'!$D$61:$AL$61,MATCH(AE$7&amp;"",'Inputs (2)'!$D$2:$AL$2,0)),"")</f>
        <v>1038.691478707</v>
      </c>
      <c r="AF44" s="269">
        <f>IFERROR(INDEX('Inputs (2)'!$D$61:$AL$61,MATCH(AF$7&amp;"",'Inputs (2)'!$D$2:$AL$2,0)),"")</f>
        <v>1071.583096353</v>
      </c>
      <c r="AG44" s="270">
        <f>IF(COUNT(AC44:AF44)=4,SUM(AC44:AF44),"")</f>
        <v>4073.018</v>
      </c>
      <c r="AH44" s="270">
        <f>IFERROR(INDEX('Inputs (2)'!$D$61:$AL$61,MATCH(AH$7&amp;"",'Inputs (2)'!$D$2:$AL$2,0)),"")</f>
        <v>1054.38149487</v>
      </c>
      <c r="AI44" s="270">
        <f>IFERROR(INDEX('Inputs (2)'!$D$61:$AL$61,MATCH(AI$7&amp;"",'Inputs (2)'!$D$2:$AL$2,0)),"")</f>
        <v>1087.87680806</v>
      </c>
    </row>
    <row r="45"/>
    <row r="46">
      <c r="C46" s="267" t="inlineStr">
        <is>
          <t>Drivers operacionais - Movida (RAC, GTF, seminovos) e Vamos (frota)</t>
        </is>
      </c>
      <c r="D46" s="267">
        <f>D7</f>
        <v>0</v>
      </c>
      <c r="E46" s="267">
        <f>E7</f>
        <v>0</v>
      </c>
      <c r="F46" s="267">
        <f>F7</f>
        <v>0</v>
      </c>
      <c r="G46" s="267">
        <f>G7</f>
        <v>0</v>
      </c>
      <c r="H46" s="267">
        <f>H7</f>
        <v>2020</v>
      </c>
      <c r="I46" s="267" t="str">
        <f>I7</f>
        <v>1Q21</v>
      </c>
      <c r="J46" s="267" t="str">
        <f>J7</f>
        <v>2Q21</v>
      </c>
      <c r="K46" s="267" t="str">
        <f>K7</f>
        <v>3Q21</v>
      </c>
      <c r="L46" s="267" t="str">
        <f>L7</f>
        <v>4Q21</v>
      </c>
      <c r="M46" s="267">
        <f>M7</f>
        <v>2021</v>
      </c>
      <c r="N46" s="267" t="str">
        <f>N7</f>
        <v>1Q22</v>
      </c>
      <c r="O46" s="267" t="str">
        <f>O7</f>
        <v>2Q22</v>
      </c>
      <c r="P46" s="267" t="str">
        <f>P7</f>
        <v>3Q22</v>
      </c>
      <c r="Q46" s="267" t="str">
        <f>Q7</f>
        <v>4Q22</v>
      </c>
      <c r="R46" s="267">
        <f>R7</f>
        <v>2022</v>
      </c>
      <c r="S46" s="267" t="str">
        <f>S7</f>
        <v>1Q23</v>
      </c>
      <c r="T46" s="267" t="str">
        <f>T7</f>
        <v>2Q23</v>
      </c>
      <c r="U46" s="267" t="str">
        <f>U7</f>
        <v>3Q23</v>
      </c>
      <c r="V46" s="267" t="str">
        <f>V7</f>
        <v>4Q23</v>
      </c>
      <c r="W46" s="267">
        <f>W7</f>
        <v>2023</v>
      </c>
      <c r="X46" s="267" t="str">
        <f>X7</f>
        <v>1Q24</v>
      </c>
      <c r="Y46" s="267" t="str">
        <f>Y7</f>
        <v>2Q24</v>
      </c>
      <c r="Z46" s="267" t="str">
        <f>Z7</f>
        <v>3Q24</v>
      </c>
      <c r="AA46" s="267" t="str">
        <f>AA7</f>
        <v>4Q24</v>
      </c>
      <c r="AB46" s="267">
        <f>AB7</f>
        <v>2024</v>
      </c>
      <c r="AC46" s="267" t="str">
        <f>AC7</f>
        <v>1Q25</v>
      </c>
      <c r="AD46" s="267" t="str">
        <f>AD7</f>
        <v>2Q25</v>
      </c>
      <c r="AE46" s="267" t="str">
        <f>AE7</f>
        <v>3Q25</v>
      </c>
      <c r="AF46" s="267" t="str">
        <f>AF7</f>
        <v>4Q25</v>
      </c>
      <c r="AG46" s="267">
        <f>AG7</f>
        <v>2025</v>
      </c>
      <c r="AH46" s="267" t="str">
        <f>AH7</f>
        <v>1Q26</v>
      </c>
      <c r="AI46" s="267" t="str">
        <f>AI7</f>
        <v>2Q26</v>
      </c>
    </row>
    <row r="47">
      <c r="C47" s="268" t="inlineStr">
        <is>
          <t>Movida RAC - frota final (mil carros)</t>
        </is>
      </c>
      <c r="D47" s="269" t="str">
        <f>IFERROR(IFERROR(INDEX('Inputs (2)'!$D$67:$AL$67,MATCH(D$7&amp;"",'Inputs (2)'!$D$2:$AL$2,0)),"")/1000,"")</f>
        <v/>
      </c>
      <c r="E47" s="269" t="str">
        <f>IFERROR(IFERROR(INDEX('Inputs (2)'!$D$67:$AL$67,MATCH(E$7&amp;"",'Inputs (2)'!$D$2:$AL$2,0)),"")/1000,"")</f>
        <v/>
      </c>
      <c r="F47" s="269" t="str">
        <f>IFERROR(IFERROR(INDEX('Inputs (2)'!$D$67:$AL$67,MATCH(F$7&amp;"",'Inputs (2)'!$D$2:$AL$2,0)),"")/1000,"")</f>
        <v/>
      </c>
      <c r="G47" s="269" t="str">
        <f>IFERROR(IFERROR(INDEX('Inputs (2)'!$D$67:$AL$67,MATCH(G$7&amp;"",'Inputs (2)'!$D$2:$AL$2,0)),"")/1000,"")</f>
        <v/>
      </c>
      <c r="H47" s="270" t="str">
        <f>IF(COUNT(G47)=0,"",G47)</f>
        <v/>
      </c>
      <c r="I47" s="269">
        <f>IFERROR(IFERROR(INDEX('Inputs (2)'!$D$67:$AL$67,MATCH(I$7&amp;"",'Inputs (2)'!$D$2:$AL$2,0)),"")/1000,"")</f>
        <v>70.213</v>
      </c>
      <c r="J47" s="269">
        <f>IFERROR(IFERROR(INDEX('Inputs (2)'!$D$67:$AL$67,MATCH(J$7&amp;"",'Inputs (2)'!$D$2:$AL$2,0)),"")/1000,"")</f>
        <v>78.453</v>
      </c>
      <c r="K47" s="269">
        <f>IFERROR(IFERROR(INDEX('Inputs (2)'!$D$67:$AL$67,MATCH(K$7&amp;"",'Inputs (2)'!$D$2:$AL$2,0)),"")/1000,"")</f>
        <v>79.888</v>
      </c>
      <c r="L47" s="269">
        <f>IFERROR(IFERROR(INDEX('Inputs (2)'!$D$67:$AL$67,MATCH(L$7&amp;"",'Inputs (2)'!$D$2:$AL$2,0)),"")/1000,"")</f>
        <v>90.671</v>
      </c>
      <c r="M47" s="270">
        <f>IF(COUNT(L47)=0,"",L47)</f>
        <v>90.671</v>
      </c>
      <c r="N47" s="269">
        <f>IFERROR(IFERROR(INDEX('Inputs (2)'!$D$67:$AL$67,MATCH(N$7&amp;"",'Inputs (2)'!$D$2:$AL$2,0)),"")/1000,"")</f>
        <v>96.572</v>
      </c>
      <c r="O47" s="269">
        <f>IFERROR(IFERROR(INDEX('Inputs (2)'!$D$67:$AL$67,MATCH(O$7&amp;"",'Inputs (2)'!$D$2:$AL$2,0)),"")/1000,"")</f>
        <v>100.403</v>
      </c>
      <c r="P47" s="269">
        <f>IFERROR(IFERROR(INDEX('Inputs (2)'!$D$67:$AL$67,MATCH(P$7&amp;"",'Inputs (2)'!$D$2:$AL$2,0)),"")/1000,"")</f>
        <v>104.987</v>
      </c>
      <c r="Q47" s="269">
        <f>IFERROR(IFERROR(INDEX('Inputs (2)'!$D$67:$AL$67,MATCH(Q$7&amp;"",'Inputs (2)'!$D$2:$AL$2,0)),"")/1000,"")</f>
        <v>111.632</v>
      </c>
      <c r="R47" s="270">
        <f>IF(COUNT(Q47)=0,"",Q47)</f>
        <v>111.632</v>
      </c>
      <c r="S47" s="269">
        <f>IFERROR(IFERROR(INDEX('Inputs (2)'!$D$67:$AL$67,MATCH(S$7&amp;"",'Inputs (2)'!$D$2:$AL$2,0)),"")/1000,"")</f>
        <v>98.373</v>
      </c>
      <c r="T47" s="269">
        <f>IFERROR(IFERROR(INDEX('Inputs (2)'!$D$67:$AL$67,MATCH(T$7&amp;"",'Inputs (2)'!$D$2:$AL$2,0)),"")/1000,"")</f>
        <v>91.632</v>
      </c>
      <c r="U47" s="269">
        <f>IFERROR(IFERROR(INDEX('Inputs (2)'!$D$67:$AL$67,MATCH(U$7&amp;"",'Inputs (2)'!$D$2:$AL$2,0)),"")/1000,"")</f>
        <v>94.273</v>
      </c>
      <c r="V47" s="269">
        <f>IFERROR(IFERROR(INDEX('Inputs (2)'!$D$67:$AL$67,MATCH(V$7&amp;"",'Inputs (2)'!$D$2:$AL$2,0)),"")/1000,"")</f>
        <v>113.15</v>
      </c>
      <c r="W47" s="270">
        <f>IF(COUNT(V47)=0,"",V47)</f>
        <v>113.15</v>
      </c>
      <c r="X47" s="269">
        <f>IFERROR(IFERROR(INDEX('Inputs (2)'!$D$67:$AL$67,MATCH(X$7&amp;"",'Inputs (2)'!$D$2:$AL$2,0)),"")/1000,"")</f>
        <v>110.091</v>
      </c>
      <c r="Y47" s="269">
        <f>IFERROR(IFERROR(INDEX('Inputs (2)'!$D$67:$AL$67,MATCH(Y$7&amp;"",'Inputs (2)'!$D$2:$AL$2,0)),"")/1000,"")</f>
        <v>108.716</v>
      </c>
      <c r="Z47" s="269">
        <f>IFERROR(IFERROR(INDEX('Inputs (2)'!$D$67:$AL$67,MATCH(Z$7&amp;"",'Inputs (2)'!$D$2:$AL$2,0)),"")/1000,"")</f>
        <v>110.182</v>
      </c>
      <c r="AA47" s="269">
        <f>IFERROR(IFERROR(INDEX('Inputs (2)'!$D$67:$AL$67,MATCH(AA$7&amp;"",'Inputs (2)'!$D$2:$AL$2,0)),"")/1000,"")</f>
        <v>121.942</v>
      </c>
      <c r="AB47" s="270">
        <f>IF(COUNT(AA47)=0,"",AA47)</f>
        <v>121.942</v>
      </c>
      <c r="AC47" s="269">
        <f>IFERROR(IFERROR(INDEX('Inputs (2)'!$D$67:$AL$67,MATCH(AC$7&amp;"",'Inputs (2)'!$D$2:$AL$2,0)),"")/1000,"")</f>
        <v>113.257</v>
      </c>
      <c r="AD47" s="269">
        <f>IFERROR(IFERROR(INDEX('Inputs (2)'!$D$67:$AL$67,MATCH(AD$7&amp;"",'Inputs (2)'!$D$2:$AL$2,0)),"")/1000,"")</f>
        <v>120.133</v>
      </c>
      <c r="AE47" s="269">
        <f>IFERROR(IFERROR(INDEX('Inputs (2)'!$D$67:$AL$67,MATCH(AE$7&amp;"",'Inputs (2)'!$D$2:$AL$2,0)),"")/1000,"")</f>
        <v>115.498</v>
      </c>
      <c r="AF47" s="269">
        <f>IFERROR(IFERROR(INDEX('Inputs (2)'!$D$67:$AL$67,MATCH(AF$7&amp;"",'Inputs (2)'!$D$2:$AL$2,0)),"")/1000,"")</f>
        <v>130.634</v>
      </c>
      <c r="AG47" s="270">
        <f>IF(COUNT(AF47)=0,"",AF47)</f>
        <v>130.634</v>
      </c>
      <c r="AH47" s="270">
        <f>IFERROR(IFERROR(INDEX('Inputs (2)'!$D$67:$AL$67,MATCH(AH$7&amp;"",'Inputs (2)'!$D$2:$AL$2,0)),"")/1000,"")</f>
        <v>125.307</v>
      </c>
      <c r="AI47" s="270">
        <f>IFERROR(IFERROR(INDEX('Inputs (2)'!$D$67:$AL$67,MATCH(AI$7&amp;"",'Inputs (2)'!$D$2:$AL$2,0)),"")/1000,"")</f>
        <v>139.785</v>
      </c>
    </row>
    <row r="48">
      <c r="C48" s="268" t="inlineStr">
        <is>
          <t>Movida RAC - diarias (milhoes)</t>
        </is>
      </c>
      <c r="D48" s="274" t="str">
        <f>IFERROR(IFERROR(INDEX('Inputs (2)'!$D$68:$AL$68,MATCH(D$7&amp;"",'Inputs (2)'!$D$2:$AL$2,0)),"")/1000,"")</f>
        <v/>
      </c>
      <c r="E48" s="274" t="str">
        <f>IFERROR(IFERROR(INDEX('Inputs (2)'!$D$68:$AL$68,MATCH(E$7&amp;"",'Inputs (2)'!$D$2:$AL$2,0)),"")/1000,"")</f>
        <v/>
      </c>
      <c r="F48" s="274" t="str">
        <f>IFERROR(IFERROR(INDEX('Inputs (2)'!$D$68:$AL$68,MATCH(F$7&amp;"",'Inputs (2)'!$D$2:$AL$2,0)),"")/1000,"")</f>
        <v/>
      </c>
      <c r="G48" s="274" t="str">
        <f>IFERROR(IFERROR(INDEX('Inputs (2)'!$D$68:$AL$68,MATCH(G$7&amp;"",'Inputs (2)'!$D$2:$AL$2,0)),"")/1000,"")</f>
        <v/>
      </c>
      <c r="H48" s="275" t="str">
        <f>IF(COUNT(D48:G48)=4,SUM(D48:G48),"")</f>
        <v/>
      </c>
      <c r="I48" s="274">
        <f>IFERROR(IFERROR(INDEX('Inputs (2)'!$D$68:$AL$68,MATCH(I$7&amp;"",'Inputs (2)'!$D$2:$AL$2,0)),"")/1000,"")</f>
        <v>5.067042</v>
      </c>
      <c r="J48" s="274">
        <f>IFERROR(IFERROR(INDEX('Inputs (2)'!$D$68:$AL$68,MATCH(J$7&amp;"",'Inputs (2)'!$D$2:$AL$2,0)),"")/1000,"")</f>
        <v>4.61839</v>
      </c>
      <c r="K48" s="274">
        <f>IFERROR(IFERROR(INDEX('Inputs (2)'!$D$68:$AL$68,MATCH(K$7&amp;"",'Inputs (2)'!$D$2:$AL$2,0)),"")/1000,"")</f>
        <v>5.143355</v>
      </c>
      <c r="L48" s="274">
        <f>IFERROR(IFERROR(INDEX('Inputs (2)'!$D$68:$AL$68,MATCH(L$7&amp;"",'Inputs (2)'!$D$2:$AL$2,0)),"")/1000,"")</f>
        <v>5.281203</v>
      </c>
      <c r="M48" s="275">
        <f>IF(COUNT(I48:L48)=4,SUM(I48:L48),"")</f>
        <v>20.10999</v>
      </c>
      <c r="N48" s="274">
        <f>IFERROR(IFERROR(INDEX('Inputs (2)'!$D$68:$AL$68,MATCH(N$7&amp;"",'Inputs (2)'!$D$2:$AL$2,0)),"")/1000,"")</f>
        <v>5.224573</v>
      </c>
      <c r="O48" s="274">
        <f>IFERROR(IFERROR(INDEX('Inputs (2)'!$D$68:$AL$68,MATCH(O$7&amp;"",'Inputs (2)'!$D$2:$AL$2,0)),"")/1000,"")</f>
        <v>5.67749</v>
      </c>
      <c r="P48" s="274">
        <f>IFERROR(IFERROR(INDEX('Inputs (2)'!$D$68:$AL$68,MATCH(P$7&amp;"",'Inputs (2)'!$D$2:$AL$2,0)),"")/1000,"")</f>
        <v>5.888846</v>
      </c>
      <c r="Q48" s="274">
        <f>IFERROR(IFERROR(INDEX('Inputs (2)'!$D$68:$AL$68,MATCH(Q$7&amp;"",'Inputs (2)'!$D$2:$AL$2,0)),"")/1000,"")</f>
        <v>6.111338</v>
      </c>
      <c r="R48" s="275">
        <f>IF(COUNT(N48:Q48)=4,SUM(N48:Q48),"")</f>
        <v>22.902247</v>
      </c>
      <c r="S48" s="274">
        <f>IFERROR(IFERROR(INDEX('Inputs (2)'!$D$68:$AL$68,MATCH(S$7&amp;"",'Inputs (2)'!$D$2:$AL$2,0)),"")/1000,"")</f>
        <v>6.218754</v>
      </c>
      <c r="T48" s="274">
        <f>IFERROR(IFERROR(INDEX('Inputs (2)'!$D$68:$AL$68,MATCH(T$7&amp;"",'Inputs (2)'!$D$2:$AL$2,0)),"")/1000,"")</f>
        <v>5.837236</v>
      </c>
      <c r="U48" s="274">
        <f>IFERROR(IFERROR(INDEX('Inputs (2)'!$D$68:$AL$68,MATCH(U$7&amp;"",'Inputs (2)'!$D$2:$AL$2,0)),"")/1000,"")</f>
        <v>5.819624</v>
      </c>
      <c r="V48" s="274">
        <f>IFERROR(IFERROR(INDEX('Inputs (2)'!$D$68:$AL$68,MATCH(V$7&amp;"",'Inputs (2)'!$D$2:$AL$2,0)),"")/1000,"")</f>
        <v>5.945636</v>
      </c>
      <c r="W48" s="275">
        <f>IF(COUNT(S48:V48)=4,SUM(S48:V48),"")</f>
        <v>23.82125</v>
      </c>
      <c r="X48" s="274">
        <f>IFERROR(IFERROR(INDEX('Inputs (2)'!$D$68:$AL$68,MATCH(X$7&amp;"",'Inputs (2)'!$D$2:$AL$2,0)),"")/1000,"")</f>
        <v>6.414484</v>
      </c>
      <c r="Y48" s="274">
        <f>IFERROR(IFERROR(INDEX('Inputs (2)'!$D$68:$AL$68,MATCH(Y$7&amp;"",'Inputs (2)'!$D$2:$AL$2,0)),"")/1000,"")</f>
        <v>6.200041</v>
      </c>
      <c r="Z48" s="274">
        <f>IFERROR(IFERROR(INDEX('Inputs (2)'!$D$68:$AL$68,MATCH(Z$7&amp;"",'Inputs (2)'!$D$2:$AL$2,0)),"")/1000,"")</f>
        <v>6.004671</v>
      </c>
      <c r="AA48" s="274">
        <f>IFERROR(IFERROR(INDEX('Inputs (2)'!$D$68:$AL$68,MATCH(AA$7&amp;"",'Inputs (2)'!$D$2:$AL$2,0)),"")/1000,"")</f>
        <v>5.958805</v>
      </c>
      <c r="AB48" s="275">
        <f>IF(COUNT(X48:AA48)=4,SUM(X48:AA48),"")</f>
        <v>24.578001</v>
      </c>
      <c r="AC48" s="274">
        <f>IFERROR(IFERROR(INDEX('Inputs (2)'!$D$68:$AL$68,MATCH(AC$7&amp;"",'Inputs (2)'!$D$2:$AL$2,0)),"")/1000,"")</f>
        <v>6.026629</v>
      </c>
      <c r="AD48" s="274">
        <f>IFERROR(IFERROR(INDEX('Inputs (2)'!$D$68:$AL$68,MATCH(AD$7&amp;"",'Inputs (2)'!$D$2:$AL$2,0)),"")/1000,"")</f>
        <v>6.070355</v>
      </c>
      <c r="AE48" s="274">
        <f>IFERROR(IFERROR(INDEX('Inputs (2)'!$D$68:$AL$68,MATCH(AE$7&amp;"",'Inputs (2)'!$D$2:$AL$2,0)),"")/1000,"")</f>
        <v>6.084784</v>
      </c>
      <c r="AF48" s="274">
        <f>IFERROR(IFERROR(INDEX('Inputs (2)'!$D$68:$AL$68,MATCH(AF$7&amp;"",'Inputs (2)'!$D$2:$AL$2,0)),"")/1000,"")</f>
        <v>6.68882</v>
      </c>
      <c r="AG48" s="275">
        <f>IF(COUNT(AC48:AF48)=4,SUM(AC48:AF48),"")</f>
        <v>24.870588</v>
      </c>
      <c r="AH48" s="275">
        <f>IFERROR(IFERROR(INDEX('Inputs (2)'!$D$68:$AL$68,MATCH(AH$7&amp;"",'Inputs (2)'!$D$2:$AL$2,0)),"")/1000,"")</f>
        <v>7.085315149551</v>
      </c>
      <c r="AI48" s="275">
        <f>IFERROR(IFERROR(INDEX('Inputs (2)'!$D$68:$AL$68,MATCH(AI$7&amp;"",'Inputs (2)'!$D$2:$AL$2,0)),"")/1000,"")</f>
        <v>7.412786999999</v>
      </c>
    </row>
    <row r="49">
      <c r="C49" s="268" t="inlineStr">
        <is>
          <t>Movida RAC - taxa de ocupacao</t>
        </is>
      </c>
      <c r="D49" s="272" t="str">
        <f>IFERROR(INDEX('Inputs (2)'!$D$69:$AL$69,MATCH(D$7&amp;"",'Inputs (2)'!$D$2:$AL$2,0)),"")</f>
        <v/>
      </c>
      <c r="E49" s="272" t="str">
        <f>IFERROR(INDEX('Inputs (2)'!$D$69:$AL$69,MATCH(E$7&amp;"",'Inputs (2)'!$D$2:$AL$2,0)),"")</f>
        <v/>
      </c>
      <c r="F49" s="272" t="str">
        <f>IFERROR(INDEX('Inputs (2)'!$D$69:$AL$69,MATCH(F$7&amp;"",'Inputs (2)'!$D$2:$AL$2,0)),"")</f>
        <v/>
      </c>
      <c r="G49" s="272" t="str">
        <f>IFERROR(INDEX('Inputs (2)'!$D$69:$AL$69,MATCH(G$7&amp;"",'Inputs (2)'!$D$2:$AL$2,0)),"")</f>
        <v/>
      </c>
      <c r="H49" s="273" t="n"/>
      <c r="I49" s="272">
        <f>IFERROR(INDEX('Inputs (2)'!$D$69:$AL$69,MATCH(I$7&amp;"",'Inputs (2)'!$D$2:$AL$2,0)),"")</f>
        <v>0.793</v>
      </c>
      <c r="J49" s="272">
        <f>IFERROR(INDEX('Inputs (2)'!$D$69:$AL$69,MATCH(J$7&amp;"",'Inputs (2)'!$D$2:$AL$2,0)),"")</f>
        <v>0.796</v>
      </c>
      <c r="K49" s="272">
        <f>IFERROR(INDEX('Inputs (2)'!$D$69:$AL$69,MATCH(K$7&amp;"",'Inputs (2)'!$D$2:$AL$2,0)),"")</f>
        <v>0.829</v>
      </c>
      <c r="L49" s="272">
        <f>IFERROR(INDEX('Inputs (2)'!$D$69:$AL$69,MATCH(L$7&amp;"",'Inputs (2)'!$D$2:$AL$2,0)),"")</f>
        <v>0.808</v>
      </c>
      <c r="M49" s="273" t="n"/>
      <c r="N49" s="272">
        <f>IFERROR(INDEX('Inputs (2)'!$D$69:$AL$69,MATCH(N$7&amp;"",'Inputs (2)'!$D$2:$AL$2,0)),"")</f>
        <v>0.761</v>
      </c>
      <c r="O49" s="272">
        <f>IFERROR(INDEX('Inputs (2)'!$D$69:$AL$69,MATCH(O$7&amp;"",'Inputs (2)'!$D$2:$AL$2,0)),"")</f>
        <v>0.793</v>
      </c>
      <c r="P49" s="272">
        <f>IFERROR(INDEX('Inputs (2)'!$D$69:$AL$69,MATCH(P$7&amp;"",'Inputs (2)'!$D$2:$AL$2,0)),"")</f>
        <v>0.772</v>
      </c>
      <c r="Q49" s="272">
        <f>IFERROR(INDEX('Inputs (2)'!$D$69:$AL$69,MATCH(Q$7&amp;"",'Inputs (2)'!$D$2:$AL$2,0)),"")</f>
        <v>0.766</v>
      </c>
      <c r="R49" s="273" t="n"/>
      <c r="S49" s="272">
        <f>IFERROR(INDEX('Inputs (2)'!$D$69:$AL$69,MATCH(S$7&amp;"",'Inputs (2)'!$D$2:$AL$2,0)),"")</f>
        <v>0.784</v>
      </c>
      <c r="T49" s="272">
        <f>IFERROR(INDEX('Inputs (2)'!$D$69:$AL$69,MATCH(T$7&amp;"",'Inputs (2)'!$D$2:$AL$2,0)),"")</f>
        <v>0.783</v>
      </c>
      <c r="U49" s="272">
        <f>IFERROR(INDEX('Inputs (2)'!$D$69:$AL$69,MATCH(U$7&amp;"",'Inputs (2)'!$D$2:$AL$2,0)),"")</f>
        <v>0.811</v>
      </c>
      <c r="V49" s="272">
        <f>IFERROR(INDEX('Inputs (2)'!$D$69:$AL$69,MATCH(V$7&amp;"",'Inputs (2)'!$D$2:$AL$2,0)),"")</f>
        <v>0.82</v>
      </c>
      <c r="W49" s="273" t="n"/>
      <c r="X49" s="272">
        <f>IFERROR(INDEX('Inputs (2)'!$D$69:$AL$69,MATCH(X$7&amp;"",'Inputs (2)'!$D$2:$AL$2,0)),"")</f>
        <v>0.802</v>
      </c>
      <c r="Y49" s="272">
        <f>IFERROR(INDEX('Inputs (2)'!$D$69:$AL$69,MATCH(Y$7&amp;"",'Inputs (2)'!$D$2:$AL$2,0)),"")</f>
        <v>0.781</v>
      </c>
      <c r="Z49" s="272">
        <f>IFERROR(INDEX('Inputs (2)'!$D$69:$AL$69,MATCH(Z$7&amp;"",'Inputs (2)'!$D$2:$AL$2,0)),"")</f>
        <v>0.781</v>
      </c>
      <c r="AA49" s="272">
        <f>IFERROR(INDEX('Inputs (2)'!$D$69:$AL$69,MATCH(AA$7&amp;"",'Inputs (2)'!$D$2:$AL$2,0)),"")</f>
        <v>0.749</v>
      </c>
      <c r="AB49" s="273" t="n"/>
      <c r="AC49" s="272">
        <f>IFERROR(INDEX('Inputs (2)'!$D$69:$AL$69,MATCH(AC$7&amp;"",'Inputs (2)'!$D$2:$AL$2,0)),"")</f>
        <v>0.717</v>
      </c>
      <c r="AD49" s="272">
        <f>IFERROR(INDEX('Inputs (2)'!$D$69:$AL$69,MATCH(AD$7&amp;"",'Inputs (2)'!$D$2:$AL$2,0)),"")</f>
        <v>0.741</v>
      </c>
      <c r="AE49" s="272">
        <f>IFERROR(INDEX('Inputs (2)'!$D$69:$AL$69,MATCH(AE$7&amp;"",'Inputs (2)'!$D$2:$AL$2,0)),"")</f>
        <v>0.718</v>
      </c>
      <c r="AF49" s="272">
        <f>IFERROR(INDEX('Inputs (2)'!$D$69:$AL$69,MATCH(AF$7&amp;"",'Inputs (2)'!$D$2:$AL$2,0)),"")</f>
        <v>0.758469913</v>
      </c>
      <c r="AG49" s="273" t="n"/>
      <c r="AH49" s="273">
        <f>IFERROR(INDEX('Inputs (2)'!$D$69:$AL$69,MATCH(AH$7&amp;"",'Inputs (2)'!$D$2:$AL$2,0)),"")</f>
        <v>0.772834169</v>
      </c>
      <c r="AI49" s="273">
        <f>IFERROR(INDEX('Inputs (2)'!$D$69:$AL$69,MATCH(AI$7&amp;"",'Inputs (2)'!$D$2:$AL$2,0)),"")</f>
        <v>0.762080418</v>
      </c>
    </row>
    <row r="50">
      <c r="C50" s="268" t="inlineStr">
        <is>
          <t>Movida RAC - diaria media (R$)</t>
        </is>
      </c>
      <c r="D50" s="269" t="str">
        <f>IFERROR(INDEX('Inputs (2)'!$D$70:$AL$70,MATCH(D$7&amp;"",'Inputs (2)'!$D$2:$AL$2,0)),"")</f>
        <v/>
      </c>
      <c r="E50" s="269" t="str">
        <f>IFERROR(INDEX('Inputs (2)'!$D$70:$AL$70,MATCH(E$7&amp;"",'Inputs (2)'!$D$2:$AL$2,0)),"")</f>
        <v/>
      </c>
      <c r="F50" s="269" t="str">
        <f>IFERROR(INDEX('Inputs (2)'!$D$70:$AL$70,MATCH(F$7&amp;"",'Inputs (2)'!$D$2:$AL$2,0)),"")</f>
        <v/>
      </c>
      <c r="G50" s="269" t="str">
        <f>IFERROR(INDEX('Inputs (2)'!$D$70:$AL$70,MATCH(G$7&amp;"",'Inputs (2)'!$D$2:$AL$2,0)),"")</f>
        <v/>
      </c>
      <c r="H50" s="270" t="n"/>
      <c r="I50" s="269">
        <f>IFERROR(INDEX('Inputs (2)'!$D$70:$AL$70,MATCH(I$7&amp;"",'Inputs (2)'!$D$2:$AL$2,0)),"")</f>
        <v>81.742</v>
      </c>
      <c r="J50" s="269">
        <f>IFERROR(INDEX('Inputs (2)'!$D$70:$AL$70,MATCH(J$7&amp;"",'Inputs (2)'!$D$2:$AL$2,0)),"")</f>
        <v>84.087</v>
      </c>
      <c r="K50" s="269">
        <f>IFERROR(INDEX('Inputs (2)'!$D$70:$AL$70,MATCH(K$7&amp;"",'Inputs (2)'!$D$2:$AL$2,0)),"")</f>
        <v>96.404</v>
      </c>
      <c r="L50" s="269">
        <f>IFERROR(INDEX('Inputs (2)'!$D$70:$AL$70,MATCH(L$7&amp;"",'Inputs (2)'!$D$2:$AL$2,0)),"")</f>
        <v>118.614</v>
      </c>
      <c r="M50" s="270" t="n"/>
      <c r="N50" s="269">
        <f>IFERROR(INDEX('Inputs (2)'!$D$70:$AL$70,MATCH(N$7&amp;"",'Inputs (2)'!$D$2:$AL$2,0)),"")</f>
        <v>118.61</v>
      </c>
      <c r="O50" s="269">
        <f>IFERROR(INDEX('Inputs (2)'!$D$70:$AL$70,MATCH(O$7&amp;"",'Inputs (2)'!$D$2:$AL$2,0)),"")</f>
        <v>115.745</v>
      </c>
      <c r="P50" s="269">
        <f>IFERROR(INDEX('Inputs (2)'!$D$70:$AL$70,MATCH(P$7&amp;"",'Inputs (2)'!$D$2:$AL$2,0)),"")</f>
        <v>128.557</v>
      </c>
      <c r="Q50" s="269">
        <f>IFERROR(INDEX('Inputs (2)'!$D$70:$AL$70,MATCH(Q$7&amp;"",'Inputs (2)'!$D$2:$AL$2,0)),"")</f>
        <v>127.297</v>
      </c>
      <c r="R50" s="270" t="n"/>
      <c r="S50" s="269">
        <f>IFERROR(INDEX('Inputs (2)'!$D$70:$AL$70,MATCH(S$7&amp;"",'Inputs (2)'!$D$2:$AL$2,0)),"")</f>
        <v>126.002</v>
      </c>
      <c r="T50" s="269">
        <f>IFERROR(INDEX('Inputs (2)'!$D$70:$AL$70,MATCH(T$7&amp;"",'Inputs (2)'!$D$2:$AL$2,0)),"")</f>
        <v>123.362</v>
      </c>
      <c r="U50" s="269">
        <f>IFERROR(INDEX('Inputs (2)'!$D$70:$AL$70,MATCH(U$7&amp;"",'Inputs (2)'!$D$2:$AL$2,0)),"")</f>
        <v>124.524</v>
      </c>
      <c r="V50" s="269">
        <f>IFERROR(INDEX('Inputs (2)'!$D$70:$AL$70,MATCH(V$7&amp;"",'Inputs (2)'!$D$2:$AL$2,0)),"")</f>
        <v>126.1</v>
      </c>
      <c r="W50" s="270" t="n"/>
      <c r="X50" s="269">
        <f>IFERROR(INDEX('Inputs (2)'!$D$70:$AL$70,MATCH(X$7&amp;"",'Inputs (2)'!$D$2:$AL$2,0)),"")</f>
        <v>130.299</v>
      </c>
      <c r="Y50" s="269">
        <f>IFERROR(INDEX('Inputs (2)'!$D$70:$AL$70,MATCH(Y$7&amp;"",'Inputs (2)'!$D$2:$AL$2,0)),"")</f>
        <v>134.541</v>
      </c>
      <c r="Z50" s="269">
        <f>IFERROR(INDEX('Inputs (2)'!$D$70:$AL$70,MATCH(Z$7&amp;"",'Inputs (2)'!$D$2:$AL$2,0)),"")</f>
        <v>142.036</v>
      </c>
      <c r="AA50" s="269">
        <f>IFERROR(INDEX('Inputs (2)'!$D$70:$AL$70,MATCH(AA$7&amp;"",'Inputs (2)'!$D$2:$AL$2,0)),"")</f>
        <v>150.723</v>
      </c>
      <c r="AB50" s="270" t="n"/>
      <c r="AC50" s="269">
        <f>IFERROR(INDEX('Inputs (2)'!$D$70:$AL$70,MATCH(AC$7&amp;"",'Inputs (2)'!$D$2:$AL$2,0)),"")</f>
        <v>158.045</v>
      </c>
      <c r="AD50" s="269">
        <f>IFERROR(INDEX('Inputs (2)'!$D$70:$AL$70,MATCH(AD$7&amp;"",'Inputs (2)'!$D$2:$AL$2,0)),"")</f>
        <v>154.171</v>
      </c>
      <c r="AE50" s="269">
        <f>IFERROR(INDEX('Inputs (2)'!$D$70:$AL$70,MATCH(AE$7&amp;"",'Inputs (2)'!$D$2:$AL$2,0)),"")</f>
        <v>159.266</v>
      </c>
      <c r="AF50" s="269">
        <f>IFERROR(INDEX('Inputs (2)'!$D$70:$AL$70,MATCH(AF$7&amp;"",'Inputs (2)'!$D$2:$AL$2,0)),"")</f>
        <v>160.58785571</v>
      </c>
      <c r="AG50" s="270" t="n"/>
      <c r="AH50" s="270">
        <f>IFERROR(INDEX('Inputs (2)'!$D$70:$AL$70,MATCH(AH$7&amp;"",'Inputs (2)'!$D$2:$AL$2,0)),"")</f>
        <v>168.451826808</v>
      </c>
      <c r="AI50" s="270">
        <f>IFERROR(INDEX('Inputs (2)'!$D$70:$AL$70,MATCH(AI$7&amp;"",'Inputs (2)'!$D$2:$AL$2,0)),"")</f>
        <v>164.725592339</v>
      </c>
    </row>
    <row r="51">
      <c r="C51" s="268" t="inlineStr">
        <is>
          <t>Movida GTF - frota final (mil carros)</t>
        </is>
      </c>
      <c r="D51" s="269" t="str">
        <f>IFERROR(IFERROR(INDEX('Inputs (2)'!$D$71:$AL$71,MATCH(D$7&amp;"",'Inputs (2)'!$D$2:$AL$2,0)),"")/1000,"")</f>
        <v/>
      </c>
      <c r="E51" s="269" t="str">
        <f>IFERROR(IFERROR(INDEX('Inputs (2)'!$D$71:$AL$71,MATCH(E$7&amp;"",'Inputs (2)'!$D$2:$AL$2,0)),"")/1000,"")</f>
        <v/>
      </c>
      <c r="F51" s="269" t="str">
        <f>IFERROR(IFERROR(INDEX('Inputs (2)'!$D$71:$AL$71,MATCH(F$7&amp;"",'Inputs (2)'!$D$2:$AL$2,0)),"")/1000,"")</f>
        <v/>
      </c>
      <c r="G51" s="269" t="str">
        <f>IFERROR(IFERROR(INDEX('Inputs (2)'!$D$71:$AL$71,MATCH(G$7&amp;"",'Inputs (2)'!$D$2:$AL$2,0)),"")/1000,"")</f>
        <v/>
      </c>
      <c r="H51" s="270" t="str">
        <f>IF(COUNT(G51)=0,"",G51)</f>
        <v/>
      </c>
      <c r="I51" s="269">
        <f>IFERROR(IFERROR(INDEX('Inputs (2)'!$D$71:$AL$71,MATCH(I$7&amp;"",'Inputs (2)'!$D$2:$AL$2,0)),"")/1000,"")</f>
        <v>52.395</v>
      </c>
      <c r="J51" s="269">
        <f>IFERROR(IFERROR(INDEX('Inputs (2)'!$D$71:$AL$71,MATCH(J$7&amp;"",'Inputs (2)'!$D$2:$AL$2,0)),"")/1000,"")</f>
        <v>55.776</v>
      </c>
      <c r="K51" s="269">
        <f>IFERROR(IFERROR(INDEX('Inputs (2)'!$D$71:$AL$71,MATCH(K$7&amp;"",'Inputs (2)'!$D$2:$AL$2,0)),"")/1000,"")</f>
        <v>88.379</v>
      </c>
      <c r="L51" s="269">
        <f>IFERROR(IFERROR(INDEX('Inputs (2)'!$D$71:$AL$71,MATCH(L$7&amp;"",'Inputs (2)'!$D$2:$AL$2,0)),"")/1000,"")</f>
        <v>96.303</v>
      </c>
      <c r="M51" s="270">
        <f>IF(COUNT(L51)=0,"",L51)</f>
        <v>96.303</v>
      </c>
      <c r="N51" s="269">
        <f>IFERROR(IFERROR(INDEX('Inputs (2)'!$D$71:$AL$71,MATCH(N$7&amp;"",'Inputs (2)'!$D$2:$AL$2,0)),"")/1000,"")</f>
        <v>95.37</v>
      </c>
      <c r="O51" s="269">
        <f>IFERROR(IFERROR(INDEX('Inputs (2)'!$D$71:$AL$71,MATCH(O$7&amp;"",'Inputs (2)'!$D$2:$AL$2,0)),"")/1000,"")</f>
        <v>106.498</v>
      </c>
      <c r="P51" s="269">
        <f>IFERROR(IFERROR(INDEX('Inputs (2)'!$D$71:$AL$71,MATCH(P$7&amp;"",'Inputs (2)'!$D$2:$AL$2,0)),"")/1000,"")</f>
        <v>107.728</v>
      </c>
      <c r="Q51" s="269">
        <f>IFERROR(IFERROR(INDEX('Inputs (2)'!$D$71:$AL$71,MATCH(Q$7&amp;"",'Inputs (2)'!$D$2:$AL$2,0)),"")/1000,"")</f>
        <v>112.352</v>
      </c>
      <c r="R51" s="270">
        <f>IF(COUNT(Q51)=0,"",Q51)</f>
        <v>112.352</v>
      </c>
      <c r="S51" s="269">
        <f>IFERROR(IFERROR(INDEX('Inputs (2)'!$D$71:$AL$71,MATCH(S$7&amp;"",'Inputs (2)'!$D$2:$AL$2,0)),"")/1000,"")</f>
        <v>114.617</v>
      </c>
      <c r="T51" s="269">
        <f>IFERROR(IFERROR(INDEX('Inputs (2)'!$D$71:$AL$71,MATCH(T$7&amp;"",'Inputs (2)'!$D$2:$AL$2,0)),"")/1000,"")</f>
        <v>113.678</v>
      </c>
      <c r="U51" s="269">
        <f>IFERROR(IFERROR(INDEX('Inputs (2)'!$D$71:$AL$71,MATCH(U$7&amp;"",'Inputs (2)'!$D$2:$AL$2,0)),"")/1000,"")</f>
        <v>119.574</v>
      </c>
      <c r="V51" s="269">
        <f>IFERROR(IFERROR(INDEX('Inputs (2)'!$D$71:$AL$71,MATCH(V$7&amp;"",'Inputs (2)'!$D$2:$AL$2,0)),"")/1000,"")</f>
        <v>130.781</v>
      </c>
      <c r="W51" s="270">
        <f>IF(COUNT(V51)=0,"",V51)</f>
        <v>130.781</v>
      </c>
      <c r="X51" s="269">
        <f>IFERROR(IFERROR(INDEX('Inputs (2)'!$D$71:$AL$71,MATCH(X$7&amp;"",'Inputs (2)'!$D$2:$AL$2,0)),"")/1000,"")</f>
        <v>135.628</v>
      </c>
      <c r="Y51" s="269">
        <f>IFERROR(IFERROR(INDEX('Inputs (2)'!$D$71:$AL$71,MATCH(Y$7&amp;"",'Inputs (2)'!$D$2:$AL$2,0)),"")/1000,"")</f>
        <v>137.648</v>
      </c>
      <c r="Z51" s="269">
        <f>IFERROR(IFERROR(INDEX('Inputs (2)'!$D$71:$AL$71,MATCH(Z$7&amp;"",'Inputs (2)'!$D$2:$AL$2,0)),"")/1000,"")</f>
        <v>137.405</v>
      </c>
      <c r="AA51" s="269">
        <f>IFERROR(IFERROR(INDEX('Inputs (2)'!$D$71:$AL$71,MATCH(AA$7&amp;"",'Inputs (2)'!$D$2:$AL$2,0)),"")/1000,"")</f>
        <v>146.543</v>
      </c>
      <c r="AB51" s="270">
        <f>IF(COUNT(AA51)=0,"",AA51)</f>
        <v>146.543</v>
      </c>
      <c r="AC51" s="269">
        <f>IFERROR(IFERROR(INDEX('Inputs (2)'!$D$71:$AL$71,MATCH(AC$7&amp;"",'Inputs (2)'!$D$2:$AL$2,0)),"")/1000,"")</f>
        <v>143.794</v>
      </c>
      <c r="AD51" s="269">
        <f>IFERROR(IFERROR(INDEX('Inputs (2)'!$D$71:$AL$71,MATCH(AD$7&amp;"",'Inputs (2)'!$D$2:$AL$2,0)),"")/1000,"")</f>
        <v>142.296</v>
      </c>
      <c r="AE51" s="269">
        <f>IFERROR(IFERROR(INDEX('Inputs (2)'!$D$71:$AL$71,MATCH(AE$7&amp;"",'Inputs (2)'!$D$2:$AL$2,0)),"")/1000,"")</f>
        <v>143.449</v>
      </c>
      <c r="AF51" s="269">
        <f>IFERROR(IFERROR(INDEX('Inputs (2)'!$D$71:$AL$71,MATCH(AF$7&amp;"",'Inputs (2)'!$D$2:$AL$2,0)),"")/1000,"")</f>
        <v>144.207</v>
      </c>
      <c r="AG51" s="270">
        <f>IF(COUNT(AF51)=0,"",AF51)</f>
        <v>144.207</v>
      </c>
      <c r="AH51" s="270">
        <f>IFERROR(IFERROR(INDEX('Inputs (2)'!$D$71:$AL$71,MATCH(AH$7&amp;"",'Inputs (2)'!$D$2:$AL$2,0)),"")/1000,"")</f>
        <v>141.949</v>
      </c>
      <c r="AI51" s="270">
        <f>IFERROR(IFERROR(INDEX('Inputs (2)'!$D$71:$AL$71,MATCH(AI$7&amp;"",'Inputs (2)'!$D$2:$AL$2,0)),"")/1000,"")</f>
        <v>145.882</v>
      </c>
    </row>
    <row r="52">
      <c r="C52" s="268" t="inlineStr">
        <is>
          <t>Movida GTF - ticket medio mensal (R$)</t>
        </is>
      </c>
      <c r="D52" s="276" t="str">
        <f>IFERROR(INDEX('Inputs (2)'!$D$72:$AL$72,MATCH(D$7&amp;"",'Inputs (2)'!$D$2:$AL$2,0)),"")</f>
        <v/>
      </c>
      <c r="E52" s="276" t="str">
        <f>IFERROR(INDEX('Inputs (2)'!$D$72:$AL$72,MATCH(E$7&amp;"",'Inputs (2)'!$D$2:$AL$2,0)),"")</f>
        <v/>
      </c>
      <c r="F52" s="276" t="str">
        <f>IFERROR(INDEX('Inputs (2)'!$D$72:$AL$72,MATCH(F$7&amp;"",'Inputs (2)'!$D$2:$AL$2,0)),"")</f>
        <v/>
      </c>
      <c r="G52" s="276" t="str">
        <f>IFERROR(INDEX('Inputs (2)'!$D$72:$AL$72,MATCH(G$7&amp;"",'Inputs (2)'!$D$2:$AL$2,0)),"")</f>
        <v/>
      </c>
      <c r="H52" s="277" t="n"/>
      <c r="I52" s="276">
        <f>IFERROR(INDEX('Inputs (2)'!$D$72:$AL$72,MATCH(I$7&amp;"",'Inputs (2)'!$D$2:$AL$2,0)),"")</f>
        <v>1372.319</v>
      </c>
      <c r="J52" s="276">
        <f>IFERROR(INDEX('Inputs (2)'!$D$72:$AL$72,MATCH(J$7&amp;"",'Inputs (2)'!$D$2:$AL$2,0)),"")</f>
        <v>1446.677</v>
      </c>
      <c r="K52" s="276">
        <f>IFERROR(INDEX('Inputs (2)'!$D$72:$AL$72,MATCH(K$7&amp;"",'Inputs (2)'!$D$2:$AL$2,0)),"")</f>
        <v>1556.347</v>
      </c>
      <c r="L52" s="276">
        <f>IFERROR(INDEX('Inputs (2)'!$D$72:$AL$72,MATCH(L$7&amp;"",'Inputs (2)'!$D$2:$AL$2,0)),"")</f>
        <v>1554.954</v>
      </c>
      <c r="M52" s="277" t="n"/>
      <c r="N52" s="276">
        <f>IFERROR(INDEX('Inputs (2)'!$D$72:$AL$72,MATCH(N$7&amp;"",'Inputs (2)'!$D$2:$AL$2,0)),"")</f>
        <v>1656.1</v>
      </c>
      <c r="O52" s="276">
        <f>IFERROR(INDEX('Inputs (2)'!$D$72:$AL$72,MATCH(O$7&amp;"",'Inputs (2)'!$D$2:$AL$2,0)),"")</f>
        <v>1785.39</v>
      </c>
      <c r="P52" s="276">
        <f>IFERROR(INDEX('Inputs (2)'!$D$72:$AL$72,MATCH(P$7&amp;"",'Inputs (2)'!$D$2:$AL$2,0)),"")</f>
        <v>1811.553</v>
      </c>
      <c r="Q52" s="276">
        <f>IFERROR(INDEX('Inputs (2)'!$D$72:$AL$72,MATCH(Q$7&amp;"",'Inputs (2)'!$D$2:$AL$2,0)),"")</f>
        <v>1924.074</v>
      </c>
      <c r="R52" s="277" t="n"/>
      <c r="S52" s="276">
        <f>IFERROR(INDEX('Inputs (2)'!$D$72:$AL$72,MATCH(S$7&amp;"",'Inputs (2)'!$D$2:$AL$2,0)),"")</f>
        <v>2040.898</v>
      </c>
      <c r="T52" s="276">
        <f>IFERROR(INDEX('Inputs (2)'!$D$72:$AL$72,MATCH(T$7&amp;"",'Inputs (2)'!$D$2:$AL$2,0)),"")</f>
        <v>2110.268</v>
      </c>
      <c r="U52" s="276">
        <f>IFERROR(INDEX('Inputs (2)'!$D$72:$AL$72,MATCH(U$7&amp;"",'Inputs (2)'!$D$2:$AL$2,0)),"")</f>
        <v>2191.255</v>
      </c>
      <c r="V52" s="276">
        <f>IFERROR(INDEX('Inputs (2)'!$D$72:$AL$72,MATCH(V$7&amp;"",'Inputs (2)'!$D$2:$AL$2,0)),"")</f>
        <v>2275.453</v>
      </c>
      <c r="W52" s="277" t="n"/>
      <c r="X52" s="276">
        <f>IFERROR(INDEX('Inputs (2)'!$D$72:$AL$72,MATCH(X$7&amp;"",'Inputs (2)'!$D$2:$AL$2,0)),"")</f>
        <v>2380.167</v>
      </c>
      <c r="Y52" s="276">
        <f>IFERROR(INDEX('Inputs (2)'!$D$72:$AL$72,MATCH(Y$7&amp;"",'Inputs (2)'!$D$2:$AL$2,0)),"")</f>
        <v>2582.26</v>
      </c>
      <c r="Z52" s="276">
        <f>IFERROR(INDEX('Inputs (2)'!$D$72:$AL$72,MATCH(Z$7&amp;"",'Inputs (2)'!$D$2:$AL$2,0)),"")</f>
        <v>2695.784</v>
      </c>
      <c r="AA52" s="276">
        <f>IFERROR(INDEX('Inputs (2)'!$D$72:$AL$72,MATCH(AA$7&amp;"",'Inputs (2)'!$D$2:$AL$2,0)),"")</f>
        <v>2780.174</v>
      </c>
      <c r="AB52" s="277" t="n"/>
      <c r="AC52" s="276">
        <f>IFERROR(INDEX('Inputs (2)'!$D$72:$AL$72,MATCH(AC$7&amp;"",'Inputs (2)'!$D$2:$AL$2,0)),"")</f>
        <v>2855.385</v>
      </c>
      <c r="AD52" s="276">
        <f>IFERROR(INDEX('Inputs (2)'!$D$72:$AL$72,MATCH(AD$7&amp;"",'Inputs (2)'!$D$2:$AL$2,0)),"")</f>
        <v>2948.728</v>
      </c>
      <c r="AE52" s="276">
        <f>IFERROR(INDEX('Inputs (2)'!$D$72:$AL$72,MATCH(AE$7&amp;"",'Inputs (2)'!$D$2:$AL$2,0)),"")</f>
        <v>3025.387</v>
      </c>
      <c r="AF52" s="276">
        <f>IFERROR(INDEX('Inputs (2)'!$D$72:$AL$72,MATCH(AF$7&amp;"",'Inputs (2)'!$D$2:$AL$2,0)),"")</f>
        <v>3123.287436343</v>
      </c>
      <c r="AG52" s="277" t="n"/>
      <c r="AH52" s="277">
        <f>IFERROR(INDEX('Inputs (2)'!$D$72:$AL$72,MATCH(AH$7&amp;"",'Inputs (2)'!$D$2:$AL$2,0)),"")</f>
        <v>3162.020318345</v>
      </c>
      <c r="AI52" s="277">
        <f>IFERROR(INDEX('Inputs (2)'!$D$72:$AL$72,MATCH(AI$7&amp;"",'Inputs (2)'!$D$2:$AL$2,0)),"")</f>
        <v>3288.956832502</v>
      </c>
    </row>
    <row r="53">
      <c r="C53" s="268" t="inlineStr">
        <is>
          <t>Movida - carros vendidos (mil)</t>
        </is>
      </c>
      <c r="D53" s="269" t="str">
        <f>IFERROR(IFERROR(INDEX('Inputs (2)'!$D$73:$AL$73,MATCH(D$7&amp;"",'Inputs (2)'!$D$2:$AL$2,0)),"")/1000,"")</f>
        <v/>
      </c>
      <c r="E53" s="269" t="str">
        <f>IFERROR(IFERROR(INDEX('Inputs (2)'!$D$73:$AL$73,MATCH(E$7&amp;"",'Inputs (2)'!$D$2:$AL$2,0)),"")/1000,"")</f>
        <v/>
      </c>
      <c r="F53" s="269" t="str">
        <f>IFERROR(IFERROR(INDEX('Inputs (2)'!$D$73:$AL$73,MATCH(F$7&amp;"",'Inputs (2)'!$D$2:$AL$2,0)),"")/1000,"")</f>
        <v/>
      </c>
      <c r="G53" s="269" t="str">
        <f>IFERROR(IFERROR(INDEX('Inputs (2)'!$D$73:$AL$73,MATCH(G$7&amp;"",'Inputs (2)'!$D$2:$AL$2,0)),"")/1000,"")</f>
        <v/>
      </c>
      <c r="H53" s="270" t="str">
        <f>IF(COUNT(D53:G53)=4,SUM(D53:G53),"")</f>
        <v/>
      </c>
      <c r="I53" s="269">
        <f>IFERROR(IFERROR(INDEX('Inputs (2)'!$D$73:$AL$73,MATCH(I$7&amp;"",'Inputs (2)'!$D$2:$AL$2,0)),"")/1000,"")</f>
        <v>5.356</v>
      </c>
      <c r="J53" s="269">
        <f>IFERROR(IFERROR(INDEX('Inputs (2)'!$D$73:$AL$73,MATCH(J$7&amp;"",'Inputs (2)'!$D$2:$AL$2,0)),"")/1000,"")</f>
        <v>12.462</v>
      </c>
      <c r="K53" s="269">
        <f>IFERROR(IFERROR(INDEX('Inputs (2)'!$D$73:$AL$73,MATCH(K$7&amp;"",'Inputs (2)'!$D$2:$AL$2,0)),"")/1000,"")</f>
        <v>14.509</v>
      </c>
      <c r="L53" s="269">
        <f>IFERROR(IFERROR(INDEX('Inputs (2)'!$D$73:$AL$73,MATCH(L$7&amp;"",'Inputs (2)'!$D$2:$AL$2,0)),"")/1000,"")</f>
        <v>12.472</v>
      </c>
      <c r="M53" s="270">
        <f>IF(COUNT(I53:L53)=4,SUM(I53:L53),"")</f>
        <v>44.799</v>
      </c>
      <c r="N53" s="269">
        <f>IFERROR(IFERROR(INDEX('Inputs (2)'!$D$73:$AL$73,MATCH(N$7&amp;"",'Inputs (2)'!$D$2:$AL$2,0)),"")/1000,"")</f>
        <v>15.225</v>
      </c>
      <c r="O53" s="269">
        <f>IFERROR(IFERROR(INDEX('Inputs (2)'!$D$73:$AL$73,MATCH(O$7&amp;"",'Inputs (2)'!$D$2:$AL$2,0)),"")/1000,"")</f>
        <v>18.474</v>
      </c>
      <c r="P53" s="269">
        <f>IFERROR(IFERROR(INDEX('Inputs (2)'!$D$73:$AL$73,MATCH(P$7&amp;"",'Inputs (2)'!$D$2:$AL$2,0)),"")/1000,"")</f>
        <v>20.023</v>
      </c>
      <c r="Q53" s="269">
        <f>IFERROR(IFERROR(INDEX('Inputs (2)'!$D$73:$AL$73,MATCH(Q$7&amp;"",'Inputs (2)'!$D$2:$AL$2,0)),"")/1000,"")</f>
        <v>18.697</v>
      </c>
      <c r="R53" s="270">
        <f>IF(COUNT(N53:Q53)=4,SUM(N53:Q53),"")</f>
        <v>72.419</v>
      </c>
      <c r="S53" s="269">
        <f>IFERROR(IFERROR(INDEX('Inputs (2)'!$D$73:$AL$73,MATCH(S$7&amp;"",'Inputs (2)'!$D$2:$AL$2,0)),"")/1000,"")</f>
        <v>19.61</v>
      </c>
      <c r="T53" s="269">
        <f>IFERROR(IFERROR(INDEX('Inputs (2)'!$D$73:$AL$73,MATCH(T$7&amp;"",'Inputs (2)'!$D$2:$AL$2,0)),"")/1000,"")</f>
        <v>18.806</v>
      </c>
      <c r="U53" s="269">
        <f>IFERROR(IFERROR(INDEX('Inputs (2)'!$D$73:$AL$73,MATCH(U$7&amp;"",'Inputs (2)'!$D$2:$AL$2,0)),"")/1000,"")</f>
        <v>20.503</v>
      </c>
      <c r="V53" s="269">
        <f>IFERROR(IFERROR(INDEX('Inputs (2)'!$D$73:$AL$73,MATCH(V$7&amp;"",'Inputs (2)'!$D$2:$AL$2,0)),"")/1000,"")</f>
        <v>17.253</v>
      </c>
      <c r="W53" s="270">
        <f>IF(COUNT(S53:V53)=4,SUM(S53:V53),"")</f>
        <v>76.172</v>
      </c>
      <c r="X53" s="269">
        <f>IFERROR(IFERROR(INDEX('Inputs (2)'!$D$73:$AL$73,MATCH(X$7&amp;"",'Inputs (2)'!$D$2:$AL$2,0)),"")/1000,"")</f>
        <v>23.249</v>
      </c>
      <c r="Y53" s="269">
        <f>IFERROR(IFERROR(INDEX('Inputs (2)'!$D$73:$AL$73,MATCH(Y$7&amp;"",'Inputs (2)'!$D$2:$AL$2,0)),"")/1000,"")</f>
        <v>27.954</v>
      </c>
      <c r="Z53" s="269">
        <f>IFERROR(IFERROR(INDEX('Inputs (2)'!$D$73:$AL$73,MATCH(Z$7&amp;"",'Inputs (2)'!$D$2:$AL$2,0)),"")/1000,"")</f>
        <v>30.572</v>
      </c>
      <c r="AA53" s="269">
        <f>IFERROR(IFERROR(INDEX('Inputs (2)'!$D$73:$AL$73,MATCH(AA$7&amp;"",'Inputs (2)'!$D$2:$AL$2,0)),"")/1000,"")</f>
        <v>21.916</v>
      </c>
      <c r="AB53" s="270">
        <f>IF(COUNT(X53:AA53)=4,SUM(X53:AA53),"")</f>
        <v>103.691</v>
      </c>
      <c r="AC53" s="269">
        <f>IFERROR(IFERROR(INDEX('Inputs (2)'!$D$73:$AL$73,MATCH(AC$7&amp;"",'Inputs (2)'!$D$2:$AL$2,0)),"")/1000,"")</f>
        <v>24.784</v>
      </c>
      <c r="AD53" s="269">
        <f>IFERROR(IFERROR(INDEX('Inputs (2)'!$D$73:$AL$73,MATCH(AD$7&amp;"",'Inputs (2)'!$D$2:$AL$2,0)),"")/1000,"")</f>
        <v>25.917</v>
      </c>
      <c r="AE53" s="269">
        <f>IFERROR(IFERROR(INDEX('Inputs (2)'!$D$73:$AL$73,MATCH(AE$7&amp;"",'Inputs (2)'!$D$2:$AL$2,0)),"")/1000,"")</f>
        <v>24.472</v>
      </c>
      <c r="AF53" s="269">
        <f>IFERROR(IFERROR(INDEX('Inputs (2)'!$D$73:$AL$73,MATCH(AF$7&amp;"",'Inputs (2)'!$D$2:$AL$2,0)),"")/1000,"")</f>
        <v>22.172</v>
      </c>
      <c r="AG53" s="270">
        <f>IF(COUNT(AC53:AF53)=4,SUM(AC53:AF53),"")</f>
        <v>97.345</v>
      </c>
      <c r="AH53" s="270">
        <f>IFERROR(IFERROR(INDEX('Inputs (2)'!$D$73:$AL$73,MATCH(AH$7&amp;"",'Inputs (2)'!$D$2:$AL$2,0)),"")/1000,"")</f>
        <v>20.62</v>
      </c>
      <c r="AI53" s="270">
        <f>IFERROR(IFERROR(INDEX('Inputs (2)'!$D$73:$AL$73,MATCH(AI$7&amp;"",'Inputs (2)'!$D$2:$AL$2,0)),"")/1000,"")</f>
        <v>19.414</v>
      </c>
    </row>
    <row r="54">
      <c r="C54" s="268" t="inlineStr">
        <is>
          <t>Movida - preco medio do carro vendido (R$ mil)</t>
        </is>
      </c>
      <c r="D54" s="269" t="str">
        <f>IFERROR(IFERROR(INDEX('Inputs (2)'!$D$74:$AL$74,MATCH(D$7&amp;"",'Inputs (2)'!$D$2:$AL$2,0)),"")/1000,"")</f>
        <v/>
      </c>
      <c r="E54" s="269" t="str">
        <f>IFERROR(IFERROR(INDEX('Inputs (2)'!$D$74:$AL$74,MATCH(E$7&amp;"",'Inputs (2)'!$D$2:$AL$2,0)),"")/1000,"")</f>
        <v/>
      </c>
      <c r="F54" s="269" t="str">
        <f>IFERROR(IFERROR(INDEX('Inputs (2)'!$D$74:$AL$74,MATCH(F$7&amp;"",'Inputs (2)'!$D$2:$AL$2,0)),"")/1000,"")</f>
        <v/>
      </c>
      <c r="G54" s="269" t="str">
        <f>IFERROR(IFERROR(INDEX('Inputs (2)'!$D$74:$AL$74,MATCH(G$7&amp;"",'Inputs (2)'!$D$2:$AL$2,0)),"")/1000,"")</f>
        <v/>
      </c>
      <c r="H54" s="270" t="n"/>
      <c r="I54" s="269">
        <f>IFERROR(IFERROR(INDEX('Inputs (2)'!$D$74:$AL$74,MATCH(I$7&amp;"",'Inputs (2)'!$D$2:$AL$2,0)),"")/1000,"")</f>
        <v>51.893918</v>
      </c>
      <c r="J54" s="269">
        <f>IFERROR(IFERROR(INDEX('Inputs (2)'!$D$74:$AL$74,MATCH(J$7&amp;"",'Inputs (2)'!$D$2:$AL$2,0)),"")/1000,"")</f>
        <v>54.575562</v>
      </c>
      <c r="K54" s="269">
        <f>IFERROR(IFERROR(INDEX('Inputs (2)'!$D$74:$AL$74,MATCH(K$7&amp;"",'Inputs (2)'!$D$2:$AL$2,0)),"")/1000,"")</f>
        <v>58.732576</v>
      </c>
      <c r="L54" s="269">
        <f>IFERROR(IFERROR(INDEX('Inputs (2)'!$D$74:$AL$74,MATCH(L$7&amp;"",'Inputs (2)'!$D$2:$AL$2,0)),"")/1000,"")</f>
        <v>65.422791</v>
      </c>
      <c r="M54" s="270" t="n"/>
      <c r="N54" s="269">
        <f>IFERROR(IFERROR(INDEX('Inputs (2)'!$D$74:$AL$74,MATCH(N$7&amp;"",'Inputs (2)'!$D$2:$AL$2,0)),"")/1000,"")</f>
        <v>64.467473</v>
      </c>
      <c r="O54" s="269">
        <f>IFERROR(IFERROR(INDEX('Inputs (2)'!$D$74:$AL$74,MATCH(O$7&amp;"",'Inputs (2)'!$D$2:$AL$2,0)),"")/1000,"")</f>
        <v>66.619727</v>
      </c>
      <c r="P54" s="269">
        <f>IFERROR(IFERROR(INDEX('Inputs (2)'!$D$74:$AL$74,MATCH(P$7&amp;"",'Inputs (2)'!$D$2:$AL$2,0)),"")/1000,"")</f>
        <v>70.866812</v>
      </c>
      <c r="Q54" s="269">
        <f>IFERROR(IFERROR(INDEX('Inputs (2)'!$D$74:$AL$74,MATCH(Q$7&amp;"",'Inputs (2)'!$D$2:$AL$2,0)),"")/1000,"")</f>
        <v>75.437883</v>
      </c>
      <c r="R54" s="270" t="n"/>
      <c r="S54" s="269">
        <f>IFERROR(IFERROR(INDEX('Inputs (2)'!$D$74:$AL$74,MATCH(S$7&amp;"",'Inputs (2)'!$D$2:$AL$2,0)),"")/1000,"")</f>
        <v>75.131641</v>
      </c>
      <c r="T54" s="269">
        <f>IFERROR(IFERROR(INDEX('Inputs (2)'!$D$74:$AL$74,MATCH(T$7&amp;"",'Inputs (2)'!$D$2:$AL$2,0)),"")/1000,"")</f>
        <v>67.009986</v>
      </c>
      <c r="U54" s="269">
        <f>IFERROR(IFERROR(INDEX('Inputs (2)'!$D$74:$AL$74,MATCH(U$7&amp;"",'Inputs (2)'!$D$2:$AL$2,0)),"")/1000,"")</f>
        <v>67.718251</v>
      </c>
      <c r="V54" s="269">
        <f>IFERROR(IFERROR(INDEX('Inputs (2)'!$D$74:$AL$74,MATCH(V$7&amp;"",'Inputs (2)'!$D$2:$AL$2,0)),"")/1000,"")</f>
        <v>68.176185</v>
      </c>
      <c r="W54" s="270" t="n"/>
      <c r="X54" s="269">
        <f>IFERROR(IFERROR(INDEX('Inputs (2)'!$D$74:$AL$74,MATCH(X$7&amp;"",'Inputs (2)'!$D$2:$AL$2,0)),"")/1000,"")</f>
        <v>66.942505</v>
      </c>
      <c r="Y54" s="269">
        <f>IFERROR(IFERROR(INDEX('Inputs (2)'!$D$74:$AL$74,MATCH(Y$7&amp;"",'Inputs (2)'!$D$2:$AL$2,0)),"")/1000,"")</f>
        <v>66.598725</v>
      </c>
      <c r="Z54" s="269">
        <f>IFERROR(IFERROR(INDEX('Inputs (2)'!$D$74:$AL$74,MATCH(Z$7&amp;"",'Inputs (2)'!$D$2:$AL$2,0)),"")/1000,"")</f>
        <v>67.728675</v>
      </c>
      <c r="AA54" s="269">
        <f>IFERROR(IFERROR(INDEX('Inputs (2)'!$D$74:$AL$74,MATCH(AA$7&amp;"",'Inputs (2)'!$D$2:$AL$2,0)),"")/1000,"")</f>
        <v>68.181225</v>
      </c>
      <c r="AB54" s="270" t="n"/>
      <c r="AC54" s="269">
        <f>IFERROR(IFERROR(INDEX('Inputs (2)'!$D$74:$AL$74,MATCH(AC$7&amp;"",'Inputs (2)'!$D$2:$AL$2,0)),"")/1000,"")</f>
        <v>69.546779</v>
      </c>
      <c r="AD54" s="269">
        <f>IFERROR(IFERROR(INDEX('Inputs (2)'!$D$74:$AL$74,MATCH(AD$7&amp;"",'Inputs (2)'!$D$2:$AL$2,0)),"")/1000,"")</f>
        <v>70.398095</v>
      </c>
      <c r="AE54" s="269">
        <f>IFERROR(IFERROR(INDEX('Inputs (2)'!$D$74:$AL$74,MATCH(AE$7&amp;"",'Inputs (2)'!$D$2:$AL$2,0)),"")/1000,"")</f>
        <v>73.431672</v>
      </c>
      <c r="AF54" s="269">
        <f>IFERROR(IFERROR(INDEX('Inputs (2)'!$D$74:$AL$74,MATCH(AF$7&amp;"",'Inputs (2)'!$D$2:$AL$2,0)),"")/1000,"")</f>
        <v>72.269744454723</v>
      </c>
      <c r="AG54" s="270" t="n"/>
      <c r="AH54" s="270">
        <f>IFERROR(IFERROR(INDEX('Inputs (2)'!$D$74:$AL$74,MATCH(AH$7&amp;"",'Inputs (2)'!$D$2:$AL$2,0)),"")/1000,"")</f>
        <v>77.823728680949</v>
      </c>
      <c r="AI54" s="270">
        <f>IFERROR(IFERROR(INDEX('Inputs (2)'!$D$74:$AL$74,MATCH(AI$7&amp;"",'Inputs (2)'!$D$2:$AL$2,0)),"")/1000,"")</f>
        <v>77.252184054344</v>
      </c>
    </row>
    <row r="55">
      <c r="C55" s="268" t="inlineStr">
        <is>
          <t>Vamos - frota de locacao final (mil ativos)</t>
        </is>
      </c>
      <c r="D55" s="269" t="str">
        <f>IFERROR(IFERROR(INDEX('Inputs (2)'!$D$75:$AL$75,MATCH(D$7&amp;"",'Inputs (2)'!$D$2:$AL$2,0)),"")/1000,"")</f>
        <v/>
      </c>
      <c r="E55" s="269" t="str">
        <f>IFERROR(IFERROR(INDEX('Inputs (2)'!$D$75:$AL$75,MATCH(E$7&amp;"",'Inputs (2)'!$D$2:$AL$2,0)),"")/1000,"")</f>
        <v/>
      </c>
      <c r="F55" s="269" t="str">
        <f>IFERROR(IFERROR(INDEX('Inputs (2)'!$D$75:$AL$75,MATCH(F$7&amp;"",'Inputs (2)'!$D$2:$AL$2,0)),"")/1000,"")</f>
        <v/>
      </c>
      <c r="G55" s="269" t="str">
        <f>IFERROR(IFERROR(INDEX('Inputs (2)'!$D$75:$AL$75,MATCH(G$7&amp;"",'Inputs (2)'!$D$2:$AL$2,0)),"")/1000,"")</f>
        <v/>
      </c>
      <c r="H55" s="270" t="str">
        <f>IF(COUNT(G55)=0,"",G55)</f>
        <v/>
      </c>
      <c r="I55" s="269">
        <f>IFERROR(IFERROR(INDEX('Inputs (2)'!$D$75:$AL$75,MATCH(I$7&amp;"",'Inputs (2)'!$D$2:$AL$2,0)),"")/1000,"")</f>
        <v>16.025</v>
      </c>
      <c r="J55" s="269">
        <f>IFERROR(IFERROR(INDEX('Inputs (2)'!$D$75:$AL$75,MATCH(J$7&amp;"",'Inputs (2)'!$D$2:$AL$2,0)),"")/1000,"")</f>
        <v>18.395</v>
      </c>
      <c r="K55" s="269">
        <f>IFERROR(IFERROR(INDEX('Inputs (2)'!$D$75:$AL$75,MATCH(K$7&amp;"",'Inputs (2)'!$D$2:$AL$2,0)),"")/1000,"")</f>
        <v>20.384</v>
      </c>
      <c r="L55" s="269">
        <f>IFERROR(IFERROR(INDEX('Inputs (2)'!$D$75:$AL$75,MATCH(L$7&amp;"",'Inputs (2)'!$D$2:$AL$2,0)),"")/1000,"")</f>
        <v>23.627</v>
      </c>
      <c r="M55" s="270">
        <f>IF(COUNT(L55)=0,"",L55)</f>
        <v>23.627</v>
      </c>
      <c r="N55" s="269">
        <f>IFERROR(IFERROR(INDEX('Inputs (2)'!$D$75:$AL$75,MATCH(N$7&amp;"",'Inputs (2)'!$D$2:$AL$2,0)),"")/1000,"")</f>
        <v>26.859</v>
      </c>
      <c r="O55" s="269">
        <f>IFERROR(IFERROR(INDEX('Inputs (2)'!$D$75:$AL$75,MATCH(O$7&amp;"",'Inputs (2)'!$D$2:$AL$2,0)),"")/1000,"")</f>
        <v>33.94</v>
      </c>
      <c r="P55" s="269">
        <f>IFERROR(IFERROR(INDEX('Inputs (2)'!$D$75:$AL$75,MATCH(P$7&amp;"",'Inputs (2)'!$D$2:$AL$2,0)),"")/1000,"")</f>
        <v>38.561</v>
      </c>
      <c r="Q55" s="269">
        <f>IFERROR(IFERROR(INDEX('Inputs (2)'!$D$75:$AL$75,MATCH(Q$7&amp;"",'Inputs (2)'!$D$2:$AL$2,0)),"")/1000,"")</f>
        <v>43.829</v>
      </c>
      <c r="R55" s="270">
        <f>IF(COUNT(Q55)=0,"",Q55)</f>
        <v>43.829</v>
      </c>
      <c r="S55" s="269">
        <f>IFERROR(IFERROR(INDEX('Inputs (2)'!$D$75:$AL$75,MATCH(S$7&amp;"",'Inputs (2)'!$D$2:$AL$2,0)),"")/1000,"")</f>
        <v>45.055</v>
      </c>
      <c r="T55" s="269">
        <f>IFERROR(IFERROR(INDEX('Inputs (2)'!$D$75:$AL$75,MATCH(T$7&amp;"",'Inputs (2)'!$D$2:$AL$2,0)),"")/1000,"")</f>
        <v>45.279</v>
      </c>
      <c r="U55" s="269">
        <f>IFERROR(IFERROR(INDEX('Inputs (2)'!$D$75:$AL$75,MATCH(U$7&amp;"",'Inputs (2)'!$D$2:$AL$2,0)),"")/1000,"")</f>
        <v>45.161</v>
      </c>
      <c r="V55" s="269">
        <f>IFERROR(IFERROR(INDEX('Inputs (2)'!$D$75:$AL$75,MATCH(V$7&amp;"",'Inputs (2)'!$D$2:$AL$2,0)),"")/1000,"")</f>
        <v>45.727</v>
      </c>
      <c r="W55" s="270">
        <f>IF(COUNT(V55)=0,"",V55)</f>
        <v>45.727</v>
      </c>
      <c r="X55" s="269">
        <f>IFERROR(IFERROR(INDEX('Inputs (2)'!$D$75:$AL$75,MATCH(X$7&amp;"",'Inputs (2)'!$D$2:$AL$2,0)),"")/1000,"")</f>
        <v>49.515</v>
      </c>
      <c r="Y55" s="269">
        <f>IFERROR(IFERROR(INDEX('Inputs (2)'!$D$75:$AL$75,MATCH(Y$7&amp;"",'Inputs (2)'!$D$2:$AL$2,0)),"")/1000,"")</f>
        <v>50.384</v>
      </c>
      <c r="Z55" s="269">
        <f>IFERROR(IFERROR(INDEX('Inputs (2)'!$D$75:$AL$75,MATCH(Z$7&amp;"",'Inputs (2)'!$D$2:$AL$2,0)),"")/1000,"")</f>
        <v>51.09</v>
      </c>
      <c r="AA55" s="269">
        <f>IFERROR(IFERROR(INDEX('Inputs (2)'!$D$75:$AL$75,MATCH(AA$7&amp;"",'Inputs (2)'!$D$2:$AL$2,0)),"")/1000,"")</f>
        <v>51.604</v>
      </c>
      <c r="AB55" s="270">
        <f>IF(COUNT(AA55)=0,"",AA55)</f>
        <v>51.604</v>
      </c>
      <c r="AC55" s="269">
        <f>IFERROR(IFERROR(INDEX('Inputs (2)'!$D$75:$AL$75,MATCH(AC$7&amp;"",'Inputs (2)'!$D$2:$AL$2,0)),"")/1000,"")</f>
        <v>52.593</v>
      </c>
      <c r="AD55" s="269">
        <f>IFERROR(IFERROR(INDEX('Inputs (2)'!$D$75:$AL$75,MATCH(AD$7&amp;"",'Inputs (2)'!$D$2:$AL$2,0)),"")/1000,"")</f>
        <v>52.544</v>
      </c>
      <c r="AE55" s="269">
        <f>IFERROR(IFERROR(INDEX('Inputs (2)'!$D$75:$AL$75,MATCH(AE$7&amp;"",'Inputs (2)'!$D$2:$AL$2,0)),"")/1000,"")</f>
        <v>52.047</v>
      </c>
      <c r="AF55" s="269">
        <f>IFERROR(IFERROR(INDEX('Inputs (2)'!$D$75:$AL$75,MATCH(AF$7&amp;"",'Inputs (2)'!$D$2:$AL$2,0)),"")/1000,"")</f>
        <v>51.953</v>
      </c>
      <c r="AG55" s="270">
        <f>IF(COUNT(AF55)=0,"",AF55)</f>
        <v>51.953</v>
      </c>
      <c r="AH55" s="270">
        <f>IFERROR(IFERROR(INDEX('Inputs (2)'!$D$75:$AL$75,MATCH(AH$7&amp;"",'Inputs (2)'!$D$2:$AL$2,0)),"")/1000,"")</f>
        <v>50.98</v>
      </c>
      <c r="AI55" s="270">
        <f>IFERROR(IFERROR(INDEX('Inputs (2)'!$D$75:$AL$75,MATCH(AI$7&amp;"",'Inputs (2)'!$D$2:$AL$2,0)),"")/1000,"")</f>
        <v>51.256</v>
      </c>
    </row>
    <row r="56"/>
    <row r="57"/>
    <row r="58" hidden="1" outlineLevel="1" customFormat="1" s="43">
      <c r="A58" s="36" t="n"/>
      <c r="B58" s="37" t="n"/>
      <c r="C58" s="45" t="n"/>
      <c r="D58" s="39" t="n"/>
      <c r="E58" s="39" t="n"/>
      <c r="F58" s="39" t="n"/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39" t="n"/>
      <c r="Y58" s="39" t="n"/>
      <c r="Z58" s="39" t="n"/>
      <c r="AA58" s="39" t="n"/>
      <c r="AB58" s="39" t="n"/>
      <c r="AC58" s="39" t="n"/>
      <c r="AD58" s="39" t="n"/>
      <c r="AE58" s="39" t="n"/>
      <c r="AF58" s="39" t="n"/>
      <c r="AG58" s="39" t="n"/>
      <c r="AH58" s="39" t="n"/>
      <c r="AI58" s="39" t="n"/>
      <c r="AJ58" s="39" t="n"/>
      <c r="AK58" s="39" t="n"/>
      <c r="AL58" s="39" t="n"/>
      <c r="AM58" s="39" t="n"/>
      <c r="AN58" s="39" t="n"/>
      <c r="AO58" s="39" t="n"/>
      <c r="AP58" s="39" t="n"/>
      <c r="AQ58" s="39" t="n"/>
      <c r="AR58" s="39" t="n"/>
      <c r="AS58" s="39" t="n"/>
      <c r="AT58" s="39" t="n"/>
      <c r="AU58" s="39" t="n"/>
      <c r="AV58" s="39" t="n"/>
      <c r="AW58" s="39" t="n"/>
      <c r="AX58" s="39" t="n"/>
      <c r="AY58" s="39" t="n"/>
      <c r="AZ58" s="39" t="n"/>
      <c r="BA58" s="39" t="n"/>
      <c r="BB58" s="39" t="n"/>
      <c r="BC58" s="39" t="n"/>
      <c r="BD58" s="39" t="n"/>
      <c r="BE58" s="39" t="n"/>
      <c r="BF58" s="39" t="n"/>
      <c r="BG58" s="39" t="n"/>
      <c r="BH58" s="39" t="n"/>
      <c r="BI58" s="39" t="n"/>
      <c r="BJ58" s="39" t="n"/>
      <c r="BK58" s="39" t="n"/>
      <c r="BL58" s="39" t="n"/>
      <c r="BM58" s="39" t="n"/>
      <c r="BN58" s="39" t="n"/>
      <c r="BO58" s="39" t="n"/>
      <c r="BP58" s="39" t="n"/>
      <c r="BQ58" s="39" t="n"/>
      <c r="BR58" s="39" t="n"/>
      <c r="BS58" s="39" t="n"/>
      <c r="BT58" s="39" t="n"/>
      <c r="BU58" s="39" t="n"/>
      <c r="BV58" s="39" t="n"/>
      <c r="BW58" s="39" t="n"/>
      <c r="BX58" s="39" t="n"/>
      <c r="BY58" s="39" t="n"/>
      <c r="BZ58" s="39" t="n"/>
      <c r="CA58" s="39" t="n"/>
      <c r="CB58" s="39" t="n"/>
      <c r="CC58" s="39" t="n"/>
      <c r="CD58" s="39" t="n"/>
      <c r="CE58" s="39" t="n"/>
      <c r="CF58" s="39" t="n"/>
      <c r="CG58" s="39" t="n"/>
      <c r="CH58" s="39" t="n"/>
      <c r="CI58" s="39" t="n"/>
      <c r="CJ58" s="39" t="n"/>
      <c r="CK58" s="39" t="n"/>
      <c r="CL58" s="39" t="n"/>
      <c r="CM58" s="39" t="n"/>
      <c r="CN58" s="39" t="n"/>
      <c r="CO58" s="39" t="n"/>
      <c r="CP58" s="39" t="n"/>
      <c r="CQ58" s="39" t="n"/>
      <c r="CR58" s="39" t="n"/>
      <c r="CS58" s="39" t="n"/>
      <c r="CT58" s="39" t="n"/>
      <c r="CU58" s="39" t="n"/>
      <c r="CV58" s="39" t="n"/>
      <c r="CW58" s="39" t="n"/>
      <c r="CX58" s="39" t="n"/>
      <c r="CY58" s="39" t="n"/>
    </row>
    <row r="59" hidden="1" outlineLevel="1" customFormat="1" s="43">
      <c r="A59" s="36" t="n"/>
      <c r="B59" s="37" t="n"/>
      <c r="C59" s="45" t="n"/>
      <c r="D59" s="39" t="n"/>
      <c r="E59" s="39" t="n"/>
      <c r="F59" s="39" t="n"/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39" t="n"/>
      <c r="Y59" s="39" t="n"/>
      <c r="Z59" s="39" t="n"/>
      <c r="AA59" s="39" t="n"/>
      <c r="AB59" s="39" t="n"/>
      <c r="AC59" s="39" t="n"/>
      <c r="AD59" s="39" t="n"/>
      <c r="AE59" s="39" t="n"/>
      <c r="AF59" s="39" t="n"/>
      <c r="AG59" s="39" t="n"/>
      <c r="AH59" s="39" t="n"/>
      <c r="AI59" s="39" t="n"/>
      <c r="AJ59" s="39" t="n"/>
      <c r="AK59" s="39" t="n"/>
      <c r="AL59" s="39" t="n"/>
      <c r="AM59" s="39" t="n"/>
      <c r="AN59" s="39" t="n"/>
      <c r="AO59" s="39" t="n"/>
      <c r="AP59" s="39" t="n"/>
      <c r="AQ59" s="39" t="n"/>
      <c r="AR59" s="39" t="n"/>
      <c r="AS59" s="39" t="n"/>
      <c r="AT59" s="39" t="n"/>
      <c r="AU59" s="39" t="n"/>
      <c r="AV59" s="39" t="n"/>
      <c r="AW59" s="39" t="n"/>
      <c r="AX59" s="39" t="n"/>
      <c r="AY59" s="39" t="n"/>
      <c r="AZ59" s="39" t="n"/>
      <c r="BA59" s="39" t="n"/>
      <c r="BB59" s="39" t="n"/>
      <c r="BC59" s="39" t="n"/>
      <c r="BD59" s="39" t="n"/>
      <c r="BE59" s="39" t="n"/>
      <c r="BF59" s="39" t="n"/>
      <c r="BG59" s="39" t="n"/>
      <c r="BH59" s="39" t="n"/>
      <c r="BI59" s="39" t="n"/>
      <c r="BJ59" s="39" t="n"/>
      <c r="BK59" s="39" t="n"/>
      <c r="BL59" s="39" t="n"/>
      <c r="BM59" s="39" t="n"/>
      <c r="BN59" s="39" t="n"/>
      <c r="BO59" s="39" t="n"/>
      <c r="BP59" s="39" t="n"/>
      <c r="BQ59" s="39" t="n"/>
      <c r="BR59" s="39" t="n"/>
      <c r="BS59" s="39" t="n"/>
      <c r="BT59" s="39" t="n"/>
      <c r="BU59" s="39" t="n"/>
      <c r="BV59" s="39" t="n"/>
      <c r="BW59" s="39" t="n"/>
      <c r="BX59" s="39" t="n"/>
      <c r="BY59" s="39" t="n"/>
      <c r="BZ59" s="39" t="n"/>
      <c r="CA59" s="39" t="n"/>
      <c r="CB59" s="39" t="n"/>
      <c r="CC59" s="39" t="n"/>
      <c r="CD59" s="39" t="n"/>
      <c r="CE59" s="39" t="n"/>
      <c r="CF59" s="39" t="n"/>
      <c r="CG59" s="39" t="n"/>
      <c r="CH59" s="39" t="n"/>
      <c r="CI59" s="39" t="n"/>
      <c r="CJ59" s="39" t="n"/>
      <c r="CK59" s="39" t="n"/>
      <c r="CL59" s="39" t="n"/>
      <c r="CM59" s="39" t="n"/>
      <c r="CN59" s="39" t="n"/>
      <c r="CO59" s="39" t="n"/>
      <c r="CP59" s="39" t="n"/>
      <c r="CQ59" s="39" t="n"/>
      <c r="CR59" s="39" t="n"/>
      <c r="CS59" s="39" t="n"/>
      <c r="CT59" s="39" t="n"/>
      <c r="CU59" s="39" t="n"/>
      <c r="CV59" s="39" t="n"/>
      <c r="CW59" s="39" t="n"/>
      <c r="CX59" s="39" t="n"/>
      <c r="CY59" s="39" t="n"/>
    </row>
    <row r="60" collapsed="1">
      <c r="C60" s="13" t="inlineStr">
        <is>
          <t>COGS (cash)</t>
        </is>
      </c>
      <c r="D60" s="46" t="n"/>
      <c r="E60" s="46" t="n"/>
      <c r="F60" s="46" t="n"/>
      <c r="G60" s="46" t="n"/>
      <c r="H60" s="12" t="n"/>
      <c r="I60" s="46">
        <f>'Inputs (2)'!D5</f>
        <v>-1575.374513715</v>
      </c>
      <c r="J60" s="46">
        <f>'Inputs (2)'!E5</f>
        <v>-1930.871265708</v>
      </c>
      <c r="K60" s="46">
        <f>'Inputs (2)'!F5</f>
        <v>-2418.870148725</v>
      </c>
      <c r="L60" s="46">
        <f>'Inputs (2)'!G5</f>
        <v>-2398.08306921</v>
      </c>
      <c r="M60" s="12">
        <f>'Inputs (2)'!H5</f>
        <v>-8323.198997358</v>
      </c>
      <c r="N60" s="46">
        <f>'Inputs (2)'!I5</f>
        <v>-2575.87501274</v>
      </c>
      <c r="O60" s="46">
        <f>'Inputs (2)'!J5</f>
        <v>-3171.528358406</v>
      </c>
      <c r="P60" s="46">
        <f>'Inputs (2)'!K5</f>
        <v>-4240.265365485</v>
      </c>
      <c r="Q60" s="46">
        <f>'Inputs (2)'!L5</f>
        <v>-4616.763618255</v>
      </c>
      <c r="R60" s="12">
        <f>'Inputs (2)'!M5</f>
        <v>-14604.432354886</v>
      </c>
      <c r="S60" s="46">
        <f>'Inputs (2)'!N5</f>
        <v>-4659.767864147</v>
      </c>
      <c r="T60" s="46">
        <f>'Inputs (2)'!O5</f>
        <v>-4733.962981585</v>
      </c>
      <c r="U60" s="46">
        <f>'Inputs (2)'!P5</f>
        <v>-5378.471948471</v>
      </c>
      <c r="V60" s="46">
        <f>'Inputs (2)'!Q5</f>
        <v>-5823.604575207</v>
      </c>
      <c r="W60" s="12">
        <f>'Inputs (2)'!R5</f>
        <v>-20595.80736941</v>
      </c>
      <c r="X60" s="46">
        <f>'Inputs (2)'!S5</f>
        <v>-5801.02220757</v>
      </c>
      <c r="Y60" s="46">
        <f>'Inputs (2)'!T5</f>
        <v>-6751.49355524</v>
      </c>
      <c r="Z60" s="46">
        <f>'Inputs (2)'!U5</f>
        <v>-7094.01065115</v>
      </c>
      <c r="AA60" s="46">
        <f>'Inputs (2)'!V5</f>
        <v>-6972.99469569</v>
      </c>
      <c r="AB60" s="12">
        <f>'Inputs (2)'!W5</f>
        <v>-26619.52110965</v>
      </c>
      <c r="AC60" s="46">
        <f>'Inputs (2)'!X5</f>
        <v>-6497.62922759</v>
      </c>
      <c r="AD60" s="46">
        <f>'Inputs (2)'!Y5</f>
        <v>-6445.09281348</v>
      </c>
      <c r="AE60" s="46">
        <f>'Inputs (2)'!Z5</f>
        <v>-7040.52444631</v>
      </c>
      <c r="AF60" s="46">
        <f>'Inputs (2)'!AA5</f>
        <v>-6969.47234352</v>
      </c>
      <c r="AG60" s="12">
        <f>'Inputs (2)'!AB5</f>
        <v>-26952.7188309</v>
      </c>
      <c r="AH60" s="12">
        <f>'Inputs (2)'!AC5</f>
        <v>-6737.00588267</v>
      </c>
      <c r="AI60" s="12">
        <f>'Inputs (2)'!AD5</f>
        <v>-6813.7923031</v>
      </c>
      <c r="AJ60" s="12">
        <f>-(1-AJ61)*AJ15</f>
        <v>-7345.48524066368</v>
      </c>
      <c r="AK60" s="12">
        <f>-(1-AK61)*AK15</f>
        <v>-7357.76542877481</v>
      </c>
      <c r="AL60" s="12">
        <f>SUM(AH60:AK60)</f>
        <v>-28254.0488552085</v>
      </c>
      <c r="AM60" s="12">
        <f>-(1-AM61)*AM15</f>
        <v>-7228.6058026371</v>
      </c>
      <c r="AN60" s="12">
        <f>-(1-AN61)*AN15</f>
        <v>-7443.23711098526</v>
      </c>
      <c r="AO60" s="12">
        <f>-(1-AO61)*AO15</f>
        <v>-7795.59021883272</v>
      </c>
      <c r="AP60" s="12">
        <f>-(1-AP61)*AP15</f>
        <v>-7808.62289280701</v>
      </c>
      <c r="AQ60" s="12">
        <f>SUM(AM60:AP60)</f>
        <v>-30276.0560252621</v>
      </c>
      <c r="AR60" s="12">
        <f>-(1-AR61)*AR15</f>
        <v>-7635.4057992224</v>
      </c>
      <c r="AS60" s="12">
        <f>-(1-AS61)*AS15</f>
        <v>-7862.11578745532</v>
      </c>
      <c r="AT60" s="12">
        <f>-(1-AT61)*AT15</f>
        <v>-8234.2980638842</v>
      </c>
      <c r="AU60" s="12">
        <f>-(1-AU61)*AU15</f>
        <v>-8248.06416998538</v>
      </c>
      <c r="AV60" s="12">
        <f>SUM(AR60:AU60)</f>
        <v>-31979.8838205473</v>
      </c>
      <c r="AW60" s="12">
        <f>-(1-AW61)*AW15</f>
        <v>-8026.92201092256</v>
      </c>
      <c r="AX60" s="12">
        <f>-(1-AX61)*AX15</f>
        <v>-8265.25687386176</v>
      </c>
      <c r="AY60" s="12">
        <f>-(1-AY61)*AY15</f>
        <v>-8656.52332194583</v>
      </c>
      <c r="AZ60" s="12">
        <f>-(1-AZ61)*AZ15</f>
        <v>-8670.99530457176</v>
      </c>
      <c r="BA60" s="12">
        <f>SUM(AW60:AZ60)</f>
        <v>-33619.6975113019</v>
      </c>
      <c r="BB60" s="12">
        <f>-(1-BB61)*BB15</f>
        <v>-8398.37915904918</v>
      </c>
      <c r="BC60" s="12">
        <f>-(1-BC61)*BC15</f>
        <v>-8647.74330424203</v>
      </c>
      <c r="BD60" s="12">
        <f>-(1-BD61)*BD15</f>
        <v>-9057.11615958472</v>
      </c>
      <c r="BE60" s="12">
        <f>-(1-BE61)*BE15</f>
        <v>-9072.2578536376</v>
      </c>
      <c r="BF60" s="12">
        <f>SUM(BB60:BE60)</f>
        <v>-35175.4964765135</v>
      </c>
      <c r="BG60" s="12" t="n"/>
      <c r="BH60" s="12" t="n"/>
      <c r="BI60" s="12" t="n"/>
      <c r="BJ60" s="12" t="n"/>
      <c r="BK60" s="12" t="n"/>
      <c r="BL60" s="12" t="n"/>
      <c r="BM60" s="12" t="n"/>
      <c r="BN60" s="12" t="n"/>
      <c r="BO60" s="12" t="n"/>
      <c r="BP60" s="12" t="n"/>
      <c r="BQ60" s="12" t="n"/>
      <c r="BR60" s="12" t="n"/>
      <c r="BS60" s="12" t="n"/>
      <c r="BT60" s="12" t="n"/>
      <c r="BU60" s="12" t="n"/>
      <c r="BV60" s="12" t="n"/>
      <c r="BW60" s="12" t="n"/>
      <c r="BX60" s="12" t="n"/>
      <c r="BY60" s="12" t="n"/>
      <c r="BZ60" s="12" t="n"/>
      <c r="CA60" s="12" t="n"/>
      <c r="CB60" s="12" t="n"/>
      <c r="CC60" s="12" t="n"/>
      <c r="CD60" s="12" t="n"/>
      <c r="CE60" s="12" t="n"/>
      <c r="CF60" s="12" t="n"/>
      <c r="CG60" s="12" t="n"/>
      <c r="CH60" s="12" t="n"/>
      <c r="CI60" s="12" t="n"/>
      <c r="CJ60" s="12" t="n"/>
      <c r="CK60" s="12" t="n"/>
      <c r="CL60" s="12" t="n"/>
      <c r="CM60" s="12" t="n"/>
      <c r="CN60" s="12" t="n"/>
      <c r="CO60" s="12" t="n"/>
      <c r="CP60" s="12" t="n"/>
      <c r="CQ60" s="12" t="n"/>
      <c r="CR60" s="12" t="n"/>
      <c r="CS60" s="12" t="n"/>
      <c r="CT60" s="12" t="n"/>
      <c r="CU60" s="12" t="n"/>
      <c r="CV60" s="12" t="n"/>
      <c r="CW60" s="12" t="n"/>
      <c r="CX60" s="12" t="n"/>
      <c r="CY60" s="12" t="n"/>
    </row>
    <row r="61" hidden="1" outlineLevel="1" customFormat="1" s="3">
      <c r="C61" s="47" t="inlineStr">
        <is>
          <t>% Gross Margin</t>
        </is>
      </c>
      <c r="D61" s="48" t="n"/>
      <c r="E61" s="48" t="n"/>
      <c r="F61" s="48" t="n"/>
      <c r="G61" s="48" t="n"/>
      <c r="H61" s="48" t="n"/>
      <c r="I61" s="48">
        <f>IFERROR((I15+I60)/I$15,"")</f>
        <v>0.398736264639587</v>
      </c>
      <c r="J61" s="48">
        <f>IFERROR((J15+J60)/J$15,"")</f>
        <v>0.386843256149419</v>
      </c>
      <c r="K61" s="48">
        <f>IFERROR((K15+K60)/K$15,"")</f>
        <v>0.388908781408844</v>
      </c>
      <c r="L61" s="48">
        <f>IFERROR((L15+L60)/L$15,"")</f>
        <v>0.420580315536004</v>
      </c>
      <c r="M61" s="48">
        <f>IFERROR((M15+M60)/M$15,"")</f>
        <v>0.399749924809496</v>
      </c>
      <c r="N61" s="48">
        <f>IFERROR((N15+N60)/N$15,"")</f>
        <v>0.431398898216563</v>
      </c>
      <c r="O61" s="48">
        <f>IFERROR((O15+O60)/O$15,"")</f>
        <v>0.411278706721517</v>
      </c>
      <c r="P61" s="48">
        <f>IFERROR((P15+P60)/P$15,"")</f>
        <v>0.378565503376887</v>
      </c>
      <c r="Q61" s="48">
        <f>IFERROR((Q15+Q60)/Q$15,"")</f>
        <v>0.371114770388692</v>
      </c>
      <c r="R61" s="48">
        <f>IFERROR((R15+R60)/R$15,"")</f>
        <v>0.393551015257183</v>
      </c>
      <c r="S61" s="48">
        <f>IFERROR((S15+S60)/S$15,"")</f>
        <v>0.373690803963686</v>
      </c>
      <c r="T61" s="48">
        <f>IFERROR((T15+T60)/T$15,"")</f>
        <v>0.374115455887471</v>
      </c>
      <c r="U61" s="48">
        <f>IFERROR((U15+U60)/U$15,"")</f>
        <v>0.353402083517901</v>
      </c>
      <c r="V61" s="48">
        <f>IFERROR((V15+V60)/V$15,"")</f>
        <v>0.316624636321168</v>
      </c>
      <c r="W61" s="48">
        <f>IFERROR((W15+W60)/W$15,"")</f>
        <v>0.353220145923454</v>
      </c>
      <c r="X61" s="48">
        <f>IFERROR((X15+X60)/X$15,"")</f>
        <v>0.360176417596447</v>
      </c>
      <c r="Y61" s="48">
        <f>IFERROR((Y15+Y60)/Y$15,"")</f>
        <v>0.339848635782006</v>
      </c>
      <c r="Z61" s="48">
        <f>IFERROR((Z15+Z60)/Z$15,"")</f>
        <v>0.342568293465744</v>
      </c>
      <c r="AA61" s="48">
        <f>IFERROR((AA15+AA60)/AA$15,"")</f>
        <v>0.345492782061517</v>
      </c>
      <c r="AB61" s="48">
        <f>IFERROR((AB15+AB60)/AB$15,"")</f>
        <v>0.34656917463986</v>
      </c>
      <c r="AC61" s="48">
        <f>IFERROR((AC15+AC60)/AC$15,"")</f>
        <v>0.365752955191327</v>
      </c>
      <c r="AD61" s="48">
        <f>IFERROR((AD15+AD60)/AD$15,"")</f>
        <v>0.376730862116777</v>
      </c>
      <c r="AE61" s="48">
        <f>IFERROR((AE15+AE60)/AE$15,"")</f>
        <v>0.365771852256386</v>
      </c>
      <c r="AF61" s="41">
        <f>IFERROR((AF15+AF60)/AF$15,"")</f>
        <v>0.373220255238158</v>
      </c>
      <c r="AG61" s="48">
        <f>IFERROR((AG15+AG60)/AG$15,"")</f>
        <v>0.370349583058035</v>
      </c>
      <c r="AH61" s="49">
        <f>IFERROR((AH15+AH60)/AH$15,"")</f>
        <v>0.383300811736751</v>
      </c>
      <c r="AI61" s="49">
        <f>IFERROR((AI15+AI60)/AI$15,"")</f>
        <v>0.394257522463658</v>
      </c>
      <c r="AJ61" s="49">
        <f>Control!$B$19</f>
        <v>0.376505709833843</v>
      </c>
      <c r="AK61" s="49">
        <f>Control!$B$19</f>
        <v>0.376505709833843</v>
      </c>
      <c r="AL61" s="48">
        <f>IFERROR((AL15+AL60)/AL$15,"")</f>
        <v>0.382492290894703</v>
      </c>
      <c r="AM61" s="49">
        <f>Control!$C$19</f>
        <v>0.376505709833843</v>
      </c>
      <c r="AN61" s="49">
        <f>Control!$C$19</f>
        <v>0.376505709833843</v>
      </c>
      <c r="AO61" s="49">
        <f>Control!$C$19</f>
        <v>0.376505709833843</v>
      </c>
      <c r="AP61" s="49">
        <f>Control!$C$19</f>
        <v>0.376505709833843</v>
      </c>
      <c r="AQ61" s="48">
        <f>IFERROR((AQ15+AQ60)/AQ$15,"")</f>
        <v>0.376505709833843</v>
      </c>
      <c r="AR61" s="49">
        <f>Control!$D$19</f>
        <v>0.376505709833843</v>
      </c>
      <c r="AS61" s="49">
        <f>Control!$D$19</f>
        <v>0.376505709833843</v>
      </c>
      <c r="AT61" s="49">
        <f>Control!$D$19</f>
        <v>0.376505709833843</v>
      </c>
      <c r="AU61" s="49">
        <f>Control!$D$19</f>
        <v>0.376505709833843</v>
      </c>
      <c r="AV61" s="48">
        <f>IFERROR((AV15+AV60)/AV$15,"")</f>
        <v>0.376505709833843</v>
      </c>
      <c r="AW61" s="49">
        <f>Control!$E$19</f>
        <v>0.376505709833843</v>
      </c>
      <c r="AX61" s="49">
        <f>Control!$E$19</f>
        <v>0.376505709833843</v>
      </c>
      <c r="AY61" s="49">
        <f>Control!$E$19</f>
        <v>0.376505709833843</v>
      </c>
      <c r="AZ61" s="49">
        <f>Control!$E$19</f>
        <v>0.376505709833843</v>
      </c>
      <c r="BA61" s="48">
        <f>IFERROR((BA15+BA60)/BA$15,"")</f>
        <v>0.376505709833843</v>
      </c>
      <c r="BB61" s="49">
        <f>Control!$F$19</f>
        <v>0.376505709833843</v>
      </c>
      <c r="BC61" s="49">
        <f>Control!$F$19</f>
        <v>0.376505709833843</v>
      </c>
      <c r="BD61" s="49">
        <f>Control!$F$19</f>
        <v>0.376505709833843</v>
      </c>
      <c r="BE61" s="49">
        <f>Control!$F$19</f>
        <v>0.376505709833843</v>
      </c>
      <c r="BF61" s="48">
        <f>IFERROR((BF15+BF60)/BF$15,"")</f>
        <v>0.376505709833843</v>
      </c>
      <c r="BG61" s="49" t="n"/>
      <c r="BH61" s="49" t="n"/>
      <c r="BI61" s="49" t="n"/>
      <c r="BJ61" s="49" t="n"/>
      <c r="BK61" s="48" t="n"/>
      <c r="BL61" s="49" t="n"/>
      <c r="BM61" s="49" t="n"/>
      <c r="BN61" s="49" t="n"/>
      <c r="BO61" s="49" t="n"/>
      <c r="BP61" s="48" t="n"/>
      <c r="BQ61" s="49" t="n"/>
      <c r="BR61" s="49" t="n"/>
      <c r="BS61" s="49" t="n"/>
      <c r="BT61" s="49" t="n"/>
      <c r="BU61" s="48" t="n"/>
      <c r="BV61" s="49" t="n"/>
      <c r="BW61" s="49" t="n"/>
      <c r="BX61" s="49" t="n"/>
      <c r="BY61" s="49" t="n"/>
      <c r="BZ61" s="48" t="n"/>
      <c r="CA61" s="49" t="n"/>
      <c r="CB61" s="49" t="n"/>
      <c r="CC61" s="49" t="n"/>
      <c r="CD61" s="49" t="n"/>
      <c r="CE61" s="48" t="n"/>
      <c r="CF61" s="49" t="n"/>
      <c r="CG61" s="49" t="n"/>
      <c r="CH61" s="49" t="n"/>
      <c r="CI61" s="49" t="n"/>
      <c r="CJ61" s="48" t="n"/>
      <c r="CK61" s="49" t="n"/>
      <c r="CL61" s="49" t="n"/>
      <c r="CM61" s="49" t="n"/>
      <c r="CN61" s="49" t="n"/>
      <c r="CO61" s="48" t="n"/>
      <c r="CP61" s="49" t="n"/>
      <c r="CQ61" s="49" t="n"/>
      <c r="CR61" s="49" t="n"/>
      <c r="CS61" s="49" t="n"/>
      <c r="CT61" s="48" t="n"/>
      <c r="CU61" s="49" t="n"/>
      <c r="CV61" s="49" t="n"/>
      <c r="CW61" s="49" t="n"/>
      <c r="CX61" s="49" t="n"/>
      <c r="CY61" s="48" t="n"/>
    </row>
    <row r="62" hidden="1" outlineLevel="1"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  <c r="X62" s="50" t="n"/>
      <c r="Y62" s="50" t="n"/>
      <c r="Z62" s="50" t="n"/>
      <c r="AA62" s="50" t="n"/>
      <c r="AB62" s="50" t="n"/>
      <c r="AC62" s="50" t="n"/>
      <c r="AD62" s="50" t="n"/>
      <c r="AE62" s="50" t="n"/>
      <c r="AF62" s="50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  <c r="AQ62" s="50" t="n"/>
      <c r="AR62" s="50" t="n"/>
      <c r="AS62" s="50" t="n"/>
      <c r="AT62" s="50" t="n"/>
      <c r="AU62" s="50" t="n"/>
      <c r="AV62" s="50" t="n"/>
      <c r="AW62" s="50" t="n"/>
      <c r="AX62" s="50" t="n"/>
      <c r="AY62" s="50" t="n"/>
      <c r="AZ62" s="50" t="n"/>
      <c r="BA62" s="50" t="n"/>
      <c r="BB62" s="50" t="n"/>
      <c r="BC62" s="50" t="n"/>
      <c r="BD62" s="50" t="n"/>
      <c r="BE62" s="50" t="n"/>
      <c r="BF62" s="50" t="n"/>
      <c r="BG62" s="50" t="n"/>
      <c r="BH62" s="50" t="n"/>
      <c r="BI62" s="50" t="n"/>
      <c r="BJ62" s="50" t="n"/>
      <c r="BK62" s="50" t="n"/>
      <c r="BL62" s="50" t="n"/>
      <c r="BM62" s="50" t="n"/>
      <c r="BN62" s="50" t="n"/>
      <c r="BO62" s="50" t="n"/>
      <c r="BP62" s="50" t="n"/>
      <c r="BQ62" s="50" t="n"/>
      <c r="BR62" s="50" t="n"/>
      <c r="BS62" s="50" t="n"/>
      <c r="BT62" s="50" t="n"/>
      <c r="BU62" s="50" t="n"/>
      <c r="BV62" s="50" t="n"/>
      <c r="BW62" s="50" t="n"/>
      <c r="BX62" s="50" t="n"/>
      <c r="BY62" s="50" t="n"/>
      <c r="BZ62" s="50" t="n"/>
      <c r="CA62" s="50" t="n"/>
      <c r="CB62" s="50" t="n"/>
      <c r="CC62" s="50" t="n"/>
      <c r="CD62" s="50" t="n"/>
      <c r="CE62" s="50" t="n"/>
      <c r="CF62" s="50" t="n"/>
      <c r="CG62" s="50" t="n"/>
      <c r="CH62" s="50" t="n"/>
      <c r="CI62" s="50" t="n"/>
      <c r="CJ62" s="50" t="n"/>
      <c r="CK62" s="50" t="n"/>
      <c r="CL62" s="50" t="n"/>
      <c r="CM62" s="50" t="n"/>
      <c r="CN62" s="50" t="n"/>
      <c r="CO62" s="50" t="n"/>
      <c r="CP62" s="50" t="n"/>
      <c r="CQ62" s="50" t="n"/>
      <c r="CR62" s="50" t="n"/>
      <c r="CS62" s="50" t="n"/>
      <c r="CT62" s="50" t="n"/>
      <c r="CU62" s="50" t="n"/>
      <c r="CV62" s="50" t="n"/>
      <c r="CW62" s="50" t="n"/>
      <c r="CX62" s="50" t="n"/>
      <c r="CY62" s="50" t="n"/>
    </row>
    <row r="63" hidden="1" outlineLevel="1"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  <c r="V63" s="50" t="n"/>
      <c r="W63" s="50" t="n"/>
      <c r="X63" s="50" t="n"/>
      <c r="Y63" s="50" t="n"/>
      <c r="Z63" s="50" t="n"/>
      <c r="AA63" s="50" t="n"/>
      <c r="AB63" s="50" t="n"/>
      <c r="AC63" s="50" t="n"/>
      <c r="AD63" s="50" t="n"/>
      <c r="AE63" s="50" t="n"/>
      <c r="AF63" s="50" t="n"/>
      <c r="AG63" s="50" t="n"/>
      <c r="AH63" s="50" t="n"/>
      <c r="AI63" s="50" t="n"/>
      <c r="AJ63" s="50" t="n"/>
      <c r="AK63" s="50" t="n"/>
      <c r="AL63" s="50" t="n"/>
      <c r="AM63" s="50" t="n"/>
      <c r="AN63" s="50" t="n"/>
      <c r="AO63" s="50" t="n"/>
      <c r="AP63" s="50" t="n"/>
      <c r="AQ63" s="50" t="n"/>
      <c r="AR63" s="50" t="n"/>
      <c r="AS63" s="50" t="n"/>
      <c r="AT63" s="50" t="n"/>
      <c r="AU63" s="50" t="n"/>
      <c r="AV63" s="50" t="n"/>
      <c r="AW63" s="50" t="n"/>
      <c r="AX63" s="50" t="n"/>
      <c r="AY63" s="50" t="n"/>
      <c r="AZ63" s="50" t="n"/>
      <c r="BA63" s="50" t="n"/>
      <c r="BB63" s="50" t="n"/>
      <c r="BC63" s="50" t="n"/>
      <c r="BD63" s="50" t="n"/>
      <c r="BE63" s="50" t="n"/>
      <c r="BF63" s="50" t="n"/>
      <c r="BG63" s="50" t="n"/>
      <c r="BH63" s="50" t="n"/>
      <c r="BI63" s="50" t="n"/>
      <c r="BJ63" s="50" t="n"/>
      <c r="BK63" s="50" t="n"/>
      <c r="BL63" s="50" t="n"/>
      <c r="BM63" s="50" t="n"/>
      <c r="BN63" s="50" t="n"/>
      <c r="BO63" s="50" t="n"/>
      <c r="BP63" s="50" t="n"/>
      <c r="BQ63" s="50" t="n"/>
      <c r="BR63" s="50" t="n"/>
      <c r="BS63" s="50" t="n"/>
      <c r="BT63" s="50" t="n"/>
      <c r="BU63" s="50" t="n"/>
      <c r="BV63" s="50" t="n"/>
      <c r="BW63" s="50" t="n"/>
      <c r="BX63" s="50" t="n"/>
      <c r="BY63" s="50" t="n"/>
      <c r="BZ63" s="50" t="n"/>
      <c r="CA63" s="50" t="n"/>
      <c r="CB63" s="50" t="n"/>
      <c r="CC63" s="50" t="n"/>
      <c r="CD63" s="50" t="n"/>
      <c r="CE63" s="50" t="n"/>
      <c r="CF63" s="50" t="n"/>
      <c r="CG63" s="50" t="n"/>
      <c r="CH63" s="50" t="n"/>
      <c r="CI63" s="50" t="n"/>
      <c r="CJ63" s="50" t="n"/>
      <c r="CK63" s="50" t="n"/>
      <c r="CL63" s="50" t="n"/>
      <c r="CM63" s="50" t="n"/>
      <c r="CN63" s="50" t="n"/>
      <c r="CO63" s="50" t="n"/>
      <c r="CP63" s="50" t="n"/>
      <c r="CQ63" s="50" t="n"/>
      <c r="CR63" s="50" t="n"/>
      <c r="CS63" s="50" t="n"/>
      <c r="CT63" s="50" t="n"/>
      <c r="CU63" s="50" t="n"/>
      <c r="CV63" s="50" t="n"/>
      <c r="CW63" s="50" t="n"/>
      <c r="CX63" s="50" t="n"/>
      <c r="CY63" s="50" t="n"/>
    </row>
    <row r="64" collapsed="1">
      <c r="C64" s="13" t="inlineStr">
        <is>
          <t>SG&amp;A and Other (cash)</t>
        </is>
      </c>
      <c r="D64" s="46" t="n"/>
      <c r="E64" s="46" t="n"/>
      <c r="F64" s="46" t="n"/>
      <c r="G64" s="46" t="n"/>
      <c r="H64" s="12" t="n"/>
      <c r="I64" s="46">
        <f>'Inputs (2)'!D6</f>
        <v>-311.027123998</v>
      </c>
      <c r="J64" s="46">
        <f>'Inputs (2)'!E6</f>
        <v>-253.18520715</v>
      </c>
      <c r="K64" s="46">
        <f>'Inputs (2)'!F6</f>
        <v>-373.888740704</v>
      </c>
      <c r="L64" s="46">
        <f>'Inputs (2)'!G6</f>
        <v>-415.252928148</v>
      </c>
      <c r="M64" s="12">
        <f>'Inputs (2)'!H6</f>
        <v>-1353.354</v>
      </c>
      <c r="N64" s="46">
        <f>'Inputs (2)'!I6</f>
        <v>-441.278</v>
      </c>
      <c r="O64" s="46">
        <f>'Inputs (2)'!J6</f>
        <v>-512.662</v>
      </c>
      <c r="P64" s="46">
        <f>'Inputs (2)'!K6</f>
        <v>-645.013799541</v>
      </c>
      <c r="Q64" s="46">
        <f>'Inputs (2)'!L6</f>
        <v>-875.400687026</v>
      </c>
      <c r="R64" s="12">
        <f>'Inputs (2)'!M6</f>
        <v>-2474.354486567</v>
      </c>
      <c r="S64" s="46">
        <f>'Inputs (2)'!N6</f>
        <v>-816.411443458</v>
      </c>
      <c r="T64" s="46">
        <f>'Inputs (2)'!O6</f>
        <v>-562.180071513</v>
      </c>
      <c r="U64" s="46">
        <f>'Inputs (2)'!P6</f>
        <v>-854.692587926</v>
      </c>
      <c r="V64" s="46">
        <f>'Inputs (2)'!Q6</f>
        <v>-1045.898463261</v>
      </c>
      <c r="W64" s="12">
        <f>'Inputs (2)'!R6</f>
        <v>-3279.182566158</v>
      </c>
      <c r="X64" s="46">
        <f>'Inputs (2)'!S6</f>
        <v>-904.42900876</v>
      </c>
      <c r="Y64" s="46">
        <f>'Inputs (2)'!T6</f>
        <v>-878.68710389</v>
      </c>
      <c r="Z64" s="46">
        <f>'Inputs (2)'!U6</f>
        <v>-997.19909168</v>
      </c>
      <c r="AA64" s="46">
        <f>'Inputs (2)'!V6</f>
        <v>-1065.87079567</v>
      </c>
      <c r="AB64" s="12">
        <f>'Inputs (2)'!W6</f>
        <v>-3846.186</v>
      </c>
      <c r="AC64" s="46">
        <f>'Inputs (2)'!X6</f>
        <v>-944.98508415</v>
      </c>
      <c r="AD64" s="46">
        <f>'Inputs (2)'!Y6</f>
        <v>-973.05747003</v>
      </c>
      <c r="AE64" s="46">
        <f>'Inputs (2)'!Z6</f>
        <v>-1153.53826563</v>
      </c>
      <c r="AF64" s="46">
        <f>'Inputs (2)'!AA6</f>
        <v>-83.96148467</v>
      </c>
      <c r="AG64" s="12">
        <f>'Inputs (2)'!AB6</f>
        <v>-3155.54230448</v>
      </c>
      <c r="AH64" s="12">
        <f>'Inputs (2)'!AC6</f>
        <v>-1175.05327747</v>
      </c>
      <c r="AI64" s="12">
        <f>'Inputs (2)'!AD6</f>
        <v>-1082.98686087</v>
      </c>
      <c r="AJ64" s="12">
        <f>-AJ15*AJ65</f>
        <v>-984.994461792082</v>
      </c>
      <c r="AK64" s="12">
        <f>-AK15*AK65</f>
        <v>-986.641176322562</v>
      </c>
      <c r="AL64" s="12">
        <f>SUM(AH64:AK64)</f>
        <v>-4229.67577645465</v>
      </c>
      <c r="AM64" s="12">
        <f>-AM15*AM65</f>
        <v>-969.32148779763</v>
      </c>
      <c r="AN64" s="12">
        <f>-AN15*AN65</f>
        <v>-998.102520380718</v>
      </c>
      <c r="AO64" s="12">
        <f>-AO15*AO65</f>
        <v>-1045.35138801218</v>
      </c>
      <c r="AP64" s="12">
        <f>-AP15*AP65</f>
        <v>-1047.09900730028</v>
      </c>
      <c r="AQ64" s="12">
        <f>SUM(AM64:AP64)</f>
        <v>-4059.87440349081</v>
      </c>
      <c r="AR64" s="12">
        <f>-AR15*AR65</f>
        <v>-1023.87142297078</v>
      </c>
      <c r="AS64" s="12">
        <f>-AS15*AS65</f>
        <v>-1054.27214879434</v>
      </c>
      <c r="AT64" s="12">
        <f>-AT15*AT65</f>
        <v>-1104.18001315572</v>
      </c>
      <c r="AU64" s="12">
        <f>-AU15*AU65</f>
        <v>-1106.02598218648</v>
      </c>
      <c r="AV64" s="12">
        <f>SUM(AR64:AU64)</f>
        <v>-4288.34956710732</v>
      </c>
      <c r="AW64" s="12">
        <f>-AW15*AW65</f>
        <v>-1076.37187564226</v>
      </c>
      <c r="AX64" s="12">
        <f>-AX15*AX65</f>
        <v>-1108.33144160088</v>
      </c>
      <c r="AY64" s="12">
        <f>-AY15*AY65</f>
        <v>-1160.79840216523</v>
      </c>
      <c r="AZ64" s="12">
        <f>-AZ15*AZ65</f>
        <v>-1162.73902586409</v>
      </c>
      <c r="BA64" s="12">
        <f>SUM(AW64:AZ64)</f>
        <v>-4508.24074527245</v>
      </c>
      <c r="BB64" s="12">
        <f>-BB15*BB65</f>
        <v>-1126.18250376418</v>
      </c>
      <c r="BC64" s="12">
        <f>-BC15*BC65</f>
        <v>-1159.62104375672</v>
      </c>
      <c r="BD64" s="12">
        <f>-BD15*BD65</f>
        <v>-1214.51598699182</v>
      </c>
      <c r="BE64" s="12">
        <f>-BE15*BE65</f>
        <v>-1216.54641579204</v>
      </c>
      <c r="BF64" s="12">
        <f>SUM(BB64:BE64)</f>
        <v>-4716.86595030477</v>
      </c>
      <c r="BG64" s="12" t="n"/>
      <c r="BH64" s="12" t="n"/>
      <c r="BI64" s="12" t="n"/>
      <c r="BJ64" s="12" t="n"/>
      <c r="BK64" s="12" t="n"/>
      <c r="BL64" s="12" t="n"/>
      <c r="BM64" s="12" t="n"/>
      <c r="BN64" s="12" t="n"/>
      <c r="BO64" s="12" t="n"/>
      <c r="BP64" s="12" t="n"/>
      <c r="BQ64" s="12" t="n"/>
      <c r="BR64" s="12" t="n"/>
      <c r="BS64" s="12" t="n"/>
      <c r="BT64" s="12" t="n"/>
      <c r="BU64" s="12" t="n"/>
      <c r="BV64" s="12" t="n"/>
      <c r="BW64" s="12" t="n"/>
      <c r="BX64" s="12" t="n"/>
      <c r="BY64" s="12" t="n"/>
      <c r="BZ64" s="12" t="n"/>
      <c r="CA64" s="12" t="n"/>
      <c r="CB64" s="12" t="n"/>
      <c r="CC64" s="12" t="n"/>
      <c r="CD64" s="12" t="n"/>
      <c r="CE64" s="12" t="n"/>
      <c r="CF64" s="12" t="n"/>
      <c r="CG64" s="12" t="n"/>
      <c r="CH64" s="12" t="n"/>
      <c r="CI64" s="12" t="n"/>
      <c r="CJ64" s="12" t="n"/>
      <c r="CK64" s="12" t="n"/>
      <c r="CL64" s="12" t="n"/>
      <c r="CM64" s="12" t="n"/>
      <c r="CN64" s="12" t="n"/>
      <c r="CO64" s="12" t="n"/>
      <c r="CP64" s="12" t="n"/>
      <c r="CQ64" s="12" t="n"/>
      <c r="CR64" s="12" t="n"/>
      <c r="CS64" s="12" t="n"/>
      <c r="CT64" s="12" t="n"/>
      <c r="CU64" s="12" t="n"/>
      <c r="CV64" s="12" t="n"/>
      <c r="CW64" s="12" t="n"/>
      <c r="CX64" s="12" t="n"/>
      <c r="CY64" s="12" t="n"/>
    </row>
    <row r="65" hidden="1" outlineLevel="1">
      <c r="C65" s="38" t="inlineStr">
        <is>
          <t>% SG&amp;A and Other Margin</t>
        </is>
      </c>
      <c r="D65" s="51" t="n"/>
      <c r="E65" s="51" t="n"/>
      <c r="F65" s="51" t="n"/>
      <c r="G65" s="51" t="n"/>
      <c r="H65" s="51" t="n"/>
      <c r="I65" s="51">
        <f>IFERROR(-(I64/I$15),"")</f>
        <v>0.118707855652967</v>
      </c>
      <c r="J65" s="51">
        <f>IFERROR(-(J64/J$15),"")</f>
        <v>0.0804000867195596</v>
      </c>
      <c r="K65" s="51">
        <f>IFERROR(-(K64/K$15),"")</f>
        <v>0.094457375603545</v>
      </c>
      <c r="L65" s="51">
        <f>IFERROR(-(L64/L$15),"")</f>
        <v>0.100332521291486</v>
      </c>
      <c r="M65" s="51">
        <f>IFERROR(-(M64/M$15),"")</f>
        <v>0.0976007951410547</v>
      </c>
      <c r="N65" s="51">
        <f>IFERROR(-(N64/N$15),"")</f>
        <v>0.0974081256861502</v>
      </c>
      <c r="O65" s="51">
        <f>IFERROR(-(O64/O$15),"")</f>
        <v>0.0951639088626738</v>
      </c>
      <c r="P65" s="51">
        <f>IFERROR(-(P64/P$15),"")</f>
        <v>0.0945303633813673</v>
      </c>
      <c r="Q65" s="51">
        <f>IFERROR(-(Q64/Q$15),"")</f>
        <v>0.119245126582921</v>
      </c>
      <c r="R65" s="51">
        <f>IFERROR(-(R64/R$15),"")</f>
        <v>0.102747558399308</v>
      </c>
      <c r="S65" s="51">
        <f>IFERROR(-(S64/S$15),"")</f>
        <v>0.109732074578489</v>
      </c>
      <c r="T65" s="51">
        <f>IFERROR(-(T64/T$15),"")</f>
        <v>0.0743266939637655</v>
      </c>
      <c r="U65" s="51">
        <f>IFERROR(-(U64/U$15),"")</f>
        <v>0.102750828093981</v>
      </c>
      <c r="V65" s="51">
        <f>IFERROR(-(V64/V$15),"")</f>
        <v>0.122731760625542</v>
      </c>
      <c r="W65" s="51">
        <f>IFERROR(-(W64/W$15),"")</f>
        <v>0.10297771694933</v>
      </c>
      <c r="X65" s="51">
        <f>IFERROR(-(X64/X$15),"")</f>
        <v>0.0997539722670567</v>
      </c>
      <c r="Y65" s="51">
        <f>IFERROR(-(Y64/Y$15),"")</f>
        <v>0.0859167657656339</v>
      </c>
      <c r="Z65" s="51">
        <f>IFERROR(-(Z64/Z$15),"")</f>
        <v>0.0924146202813095</v>
      </c>
      <c r="AA65" s="51">
        <f>IFERROR(-(AA64/AA$15),"")</f>
        <v>0.100045985921522</v>
      </c>
      <c r="AB65" s="51">
        <f>IFERROR(-(AB64/AB$15),"")</f>
        <v>0.0944125359023658</v>
      </c>
      <c r="AC65" s="51">
        <f>IFERROR(-(AC64/AC$15),"")</f>
        <v>0.0922419510281469</v>
      </c>
      <c r="AD65" s="51">
        <f>IFERROR(-(AD64/AD$15),"")</f>
        <v>0.094098984763722</v>
      </c>
      <c r="AE65" s="51">
        <f>IFERROR(-(AE64/AE$15),"")</f>
        <v>0.103913627903861</v>
      </c>
      <c r="AF65" s="41">
        <f>IFERROR(-(AF64/AF$15),"")</f>
        <v>0.00755083818938134</v>
      </c>
      <c r="AG65" s="51">
        <f>IFERROR(-(AG64/AG$15),"")</f>
        <v>0.0737175548099426</v>
      </c>
      <c r="AH65" s="52">
        <f>IFERROR(-(AH64/AH$15),"")</f>
        <v>0.107563272914143</v>
      </c>
      <c r="AI65" s="52">
        <f>IFERROR(-(AI64/AI$15),"")</f>
        <v>0.096276950494109</v>
      </c>
      <c r="AJ65" s="52">
        <f>Control!$B$20</f>
        <v>0.0836076042155606</v>
      </c>
      <c r="AK65" s="52">
        <f>Control!$B$20</f>
        <v>0.0836076042155606</v>
      </c>
      <c r="AL65" s="51">
        <f>IFERROR(-(AL64/AL$15),"")</f>
        <v>0.0924418801836678</v>
      </c>
      <c r="AM65" s="52">
        <f>Control!$C$20</f>
        <v>0.0836076042155606</v>
      </c>
      <c r="AN65" s="52">
        <f>Control!$C$20</f>
        <v>0.0836076042155606</v>
      </c>
      <c r="AO65" s="52">
        <f>Control!$C$20</f>
        <v>0.0836076042155606</v>
      </c>
      <c r="AP65" s="52">
        <f>Control!$C$20</f>
        <v>0.0836076042155606</v>
      </c>
      <c r="AQ65" s="51">
        <f>IFERROR(-(AQ64/AQ$15),"")</f>
        <v>0.0836076042155605</v>
      </c>
      <c r="AR65" s="52">
        <f>Control!$D$20</f>
        <v>0.0836076042155606</v>
      </c>
      <c r="AS65" s="52">
        <f>Control!$D$20</f>
        <v>0.0836076042155606</v>
      </c>
      <c r="AT65" s="52">
        <f>Control!$D$20</f>
        <v>0.0836076042155606</v>
      </c>
      <c r="AU65" s="52">
        <f>Control!$D$20</f>
        <v>0.0836076042155606</v>
      </c>
      <c r="AV65" s="51">
        <f>IFERROR(-(AV64/AV$15),"")</f>
        <v>0.0836076042155606</v>
      </c>
      <c r="AW65" s="52">
        <f>Control!$E$20</f>
        <v>0.0836076042155606</v>
      </c>
      <c r="AX65" s="52">
        <f>Control!$E$20</f>
        <v>0.0836076042155606</v>
      </c>
      <c r="AY65" s="52">
        <f>Control!$E$20</f>
        <v>0.0836076042155606</v>
      </c>
      <c r="AZ65" s="52">
        <f>Control!$E$20</f>
        <v>0.0836076042155606</v>
      </c>
      <c r="BA65" s="51">
        <f>IFERROR(-(BA64/BA$15),"")</f>
        <v>0.0836076042155606</v>
      </c>
      <c r="BB65" s="52">
        <f>Control!$F$20</f>
        <v>0.0836076042155606</v>
      </c>
      <c r="BC65" s="52">
        <f>Control!$F$20</f>
        <v>0.0836076042155606</v>
      </c>
      <c r="BD65" s="52">
        <f>Control!$F$20</f>
        <v>0.0836076042155606</v>
      </c>
      <c r="BE65" s="52">
        <f>Control!$F$20</f>
        <v>0.0836076042155606</v>
      </c>
      <c r="BF65" s="51">
        <f>IFERROR(-(BF64/BF$15),"")</f>
        <v>0.0836076042155606</v>
      </c>
      <c r="BG65" s="52" t="n"/>
      <c r="BH65" s="52" t="n"/>
      <c r="BI65" s="52" t="n"/>
      <c r="BJ65" s="52" t="n"/>
      <c r="BK65" s="51" t="n"/>
      <c r="BL65" s="52" t="n"/>
      <c r="BM65" s="52" t="n"/>
      <c r="BN65" s="52" t="n"/>
      <c r="BO65" s="52" t="n"/>
      <c r="BP65" s="51" t="n"/>
      <c r="BQ65" s="52" t="n"/>
      <c r="BR65" s="52" t="n"/>
      <c r="BS65" s="52" t="n"/>
      <c r="BT65" s="52" t="n"/>
      <c r="BU65" s="51" t="n"/>
      <c r="BV65" s="52" t="n"/>
      <c r="BW65" s="52" t="n"/>
      <c r="BX65" s="52" t="n"/>
      <c r="BY65" s="52" t="n"/>
      <c r="BZ65" s="51" t="n"/>
      <c r="CA65" s="52" t="n"/>
      <c r="CB65" s="52" t="n"/>
      <c r="CC65" s="52" t="n"/>
      <c r="CD65" s="52" t="n"/>
      <c r="CE65" s="51" t="n"/>
      <c r="CF65" s="52" t="n"/>
      <c r="CG65" s="52" t="n"/>
      <c r="CH65" s="52" t="n"/>
      <c r="CI65" s="52" t="n"/>
      <c r="CJ65" s="51" t="n"/>
      <c r="CK65" s="52" t="n"/>
      <c r="CL65" s="52" t="n"/>
      <c r="CM65" s="52" t="n"/>
      <c r="CN65" s="52" t="n"/>
      <c r="CO65" s="51" t="n"/>
      <c r="CP65" s="52" t="n"/>
      <c r="CQ65" s="52" t="n"/>
      <c r="CR65" s="52" t="n"/>
      <c r="CS65" s="52" t="n"/>
      <c r="CT65" s="51" t="n"/>
      <c r="CU65" s="52" t="n"/>
      <c r="CV65" s="52" t="n"/>
      <c r="CW65" s="52" t="n"/>
      <c r="CX65" s="52" t="n"/>
      <c r="CY65" s="51" t="n"/>
    </row>
    <row r="66" hidden="1" outlineLevel="1">
      <c r="C66" s="50" t="n"/>
      <c r="D66" s="50" t="n"/>
      <c r="E66" s="50" t="n"/>
      <c r="F66" s="50" t="n"/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  <c r="V66" s="50" t="n"/>
      <c r="W66" s="50" t="n"/>
      <c r="X66" s="50" t="n"/>
      <c r="Y66" s="50" t="n"/>
      <c r="Z66" s="50" t="n"/>
      <c r="AA66" s="50" t="n"/>
      <c r="AB66" s="50" t="n"/>
      <c r="AC66" s="50" t="n"/>
      <c r="AD66" s="50" t="n"/>
      <c r="AE66" s="50" t="n"/>
      <c r="AF66" s="50" t="n"/>
      <c r="AG66" s="50" t="n"/>
      <c r="AH66" s="50" t="n"/>
      <c r="AI66" s="50" t="n"/>
      <c r="AJ66" s="50" t="n"/>
      <c r="AK66" s="50" t="n"/>
      <c r="AL66" s="50" t="n"/>
      <c r="AM66" s="50" t="n"/>
      <c r="AN66" s="50" t="n"/>
      <c r="AO66" s="50" t="n"/>
      <c r="AP66" s="50" t="n"/>
      <c r="AQ66" s="50" t="n"/>
      <c r="AR66" s="50" t="n"/>
      <c r="AS66" s="50" t="n"/>
      <c r="AT66" s="50" t="n"/>
      <c r="AU66" s="50" t="n"/>
      <c r="AV66" s="50" t="n"/>
      <c r="AW66" s="50" t="n"/>
      <c r="AX66" s="50" t="n"/>
      <c r="AY66" s="50" t="n"/>
      <c r="AZ66" s="50" t="n"/>
      <c r="BA66" s="50" t="n"/>
      <c r="BB66" s="50" t="n"/>
      <c r="BC66" s="50" t="n"/>
      <c r="BD66" s="50" t="n"/>
      <c r="BE66" s="50" t="n"/>
      <c r="BF66" s="50" t="n"/>
      <c r="BG66" s="50" t="n"/>
      <c r="BH66" s="50" t="n"/>
      <c r="BI66" s="50" t="n"/>
      <c r="BJ66" s="50" t="n"/>
      <c r="BK66" s="50" t="n"/>
      <c r="BL66" s="50" t="n"/>
      <c r="BM66" s="50" t="n"/>
      <c r="BN66" s="50" t="n"/>
      <c r="BO66" s="50" t="n"/>
      <c r="BP66" s="50" t="n"/>
      <c r="BQ66" s="50" t="n"/>
      <c r="BR66" s="50" t="n"/>
      <c r="BS66" s="50" t="n"/>
      <c r="BT66" s="50" t="n"/>
      <c r="BU66" s="50" t="n"/>
      <c r="BV66" s="50" t="n"/>
      <c r="BW66" s="50" t="n"/>
      <c r="BX66" s="50" t="n"/>
      <c r="BY66" s="50" t="n"/>
      <c r="BZ66" s="50" t="n"/>
      <c r="CA66" s="50" t="n"/>
      <c r="CB66" s="50" t="n"/>
      <c r="CC66" s="50" t="n"/>
      <c r="CD66" s="50" t="n"/>
      <c r="CE66" s="50" t="n"/>
      <c r="CF66" s="50" t="n"/>
      <c r="CG66" s="50" t="n"/>
      <c r="CH66" s="50" t="n"/>
      <c r="CI66" s="50" t="n"/>
      <c r="CJ66" s="50" t="n"/>
      <c r="CK66" s="50" t="n"/>
      <c r="CL66" s="50" t="n"/>
      <c r="CM66" s="50" t="n"/>
      <c r="CN66" s="50" t="n"/>
      <c r="CO66" s="50" t="n"/>
      <c r="CP66" s="50" t="n"/>
      <c r="CQ66" s="50" t="n"/>
      <c r="CR66" s="50" t="n"/>
      <c r="CS66" s="50" t="n"/>
      <c r="CT66" s="50" t="n"/>
      <c r="CU66" s="50" t="n"/>
      <c r="CV66" s="50" t="n"/>
      <c r="CW66" s="50" t="n"/>
      <c r="CX66" s="50" t="n"/>
      <c r="CY66" s="50" t="n"/>
    </row>
    <row r="67" hidden="1" outlineLevel="1">
      <c r="C67" s="50" t="inlineStr">
        <is>
          <t>Com Vendas</t>
        </is>
      </c>
      <c r="D67" s="11" t="n"/>
      <c r="E67" s="11" t="n"/>
      <c r="F67" s="11" t="n"/>
      <c r="G67" s="11" t="n"/>
      <c r="H67" s="50" t="n"/>
      <c r="I67" s="11" t="n"/>
      <c r="J67" s="11" t="n"/>
      <c r="K67" s="11" t="n"/>
      <c r="L67" s="11" t="n"/>
      <c r="M67" s="50" t="n"/>
      <c r="N67" s="11" t="n"/>
      <c r="O67" s="11" t="n"/>
      <c r="P67" s="11" t="n"/>
      <c r="Q67" s="11" t="n"/>
      <c r="R67" s="50" t="n"/>
      <c r="S67" s="11" t="n"/>
      <c r="T67" s="11" t="n"/>
      <c r="U67" s="11" t="n"/>
      <c r="V67" s="11" t="n"/>
      <c r="W67" s="50" t="n"/>
      <c r="X67" s="11" t="n"/>
      <c r="Y67" s="11" t="n"/>
      <c r="Z67" s="11" t="n"/>
      <c r="AA67" s="11" t="n"/>
      <c r="AB67" s="50" t="n"/>
      <c r="AC67" s="11" t="n"/>
      <c r="AD67" s="11" t="n"/>
      <c r="AE67" s="11" t="n"/>
      <c r="AF67" s="11" t="n"/>
      <c r="AG67" s="50" t="n"/>
      <c r="AH67" s="50" t="n"/>
      <c r="AI67" s="50" t="n"/>
      <c r="AJ67" s="50" t="n"/>
      <c r="AK67" s="50" t="n"/>
      <c r="AL67" s="50" t="n"/>
      <c r="AM67" s="50" t="n"/>
      <c r="AN67" s="50" t="n"/>
      <c r="AO67" s="50" t="n"/>
      <c r="AP67" s="50" t="n"/>
      <c r="AQ67" s="50" t="n"/>
      <c r="AR67" s="50" t="n"/>
      <c r="AS67" s="50" t="n"/>
      <c r="AT67" s="50" t="n"/>
      <c r="AU67" s="50" t="n"/>
      <c r="AV67" s="50" t="n"/>
      <c r="AW67" s="50" t="n"/>
      <c r="AX67" s="50" t="n"/>
      <c r="AY67" s="50" t="n"/>
      <c r="AZ67" s="50" t="n"/>
      <c r="BA67" s="50" t="n"/>
      <c r="BB67" s="50" t="n"/>
      <c r="BC67" s="50" t="n"/>
      <c r="BD67" s="50" t="n"/>
      <c r="BE67" s="50" t="n"/>
      <c r="BF67" s="50" t="n"/>
      <c r="BG67" s="50" t="n"/>
      <c r="BH67" s="50" t="n"/>
      <c r="BI67" s="50" t="n"/>
      <c r="BJ67" s="50" t="n"/>
      <c r="BK67" s="50" t="n"/>
      <c r="BL67" s="50" t="n"/>
      <c r="BM67" s="50" t="n"/>
      <c r="BN67" s="50" t="n"/>
      <c r="BO67" s="50" t="n"/>
      <c r="BP67" s="50" t="n"/>
      <c r="BQ67" s="50" t="n"/>
      <c r="BR67" s="50" t="n"/>
      <c r="BS67" s="50" t="n"/>
      <c r="BT67" s="50" t="n"/>
      <c r="BU67" s="50" t="n"/>
      <c r="BV67" s="50" t="n"/>
      <c r="BW67" s="50" t="n"/>
      <c r="BX67" s="50" t="n"/>
      <c r="BY67" s="50" t="n"/>
      <c r="BZ67" s="50" t="n"/>
      <c r="CA67" s="50" t="n"/>
      <c r="CB67" s="50" t="n"/>
      <c r="CC67" s="50" t="n"/>
      <c r="CD67" s="50" t="n"/>
      <c r="CE67" s="50" t="n"/>
      <c r="CF67" s="50" t="n"/>
      <c r="CG67" s="50" t="n"/>
      <c r="CH67" s="50" t="n"/>
      <c r="CI67" s="50" t="n"/>
      <c r="CJ67" s="50" t="n"/>
      <c r="CK67" s="50" t="n"/>
      <c r="CL67" s="50" t="n"/>
      <c r="CM67" s="50" t="n"/>
      <c r="CN67" s="50" t="n"/>
      <c r="CO67" s="50" t="n"/>
      <c r="CP67" s="50" t="n"/>
      <c r="CQ67" s="50" t="n"/>
      <c r="CR67" s="50" t="n"/>
      <c r="CS67" s="50" t="n"/>
      <c r="CT67" s="50" t="n"/>
      <c r="CU67" s="50" t="n"/>
      <c r="CV67" s="50" t="n"/>
      <c r="CW67" s="50" t="n"/>
      <c r="CX67" s="50" t="n"/>
      <c r="CY67" s="50" t="n"/>
    </row>
    <row r="68" hidden="1" outlineLevel="1">
      <c r="C68" s="50" t="inlineStr">
        <is>
          <t>Gerais &amp; Administrativas</t>
        </is>
      </c>
      <c r="D68" s="11" t="n"/>
      <c r="E68" s="11" t="n"/>
      <c r="F68" s="11" t="n"/>
      <c r="G68" s="11" t="n"/>
      <c r="H68" s="50" t="n"/>
      <c r="I68" s="11" t="n"/>
      <c r="J68" s="11" t="n"/>
      <c r="K68" s="11" t="n"/>
      <c r="L68" s="11" t="n"/>
      <c r="M68" s="50" t="n"/>
      <c r="N68" s="11" t="n"/>
      <c r="O68" s="11" t="n"/>
      <c r="P68" s="11" t="n"/>
      <c r="Q68" s="11" t="n"/>
      <c r="R68" s="50" t="n"/>
      <c r="S68" s="11" t="n"/>
      <c r="T68" s="11" t="n"/>
      <c r="U68" s="11" t="n"/>
      <c r="V68" s="11" t="n"/>
      <c r="W68" s="50" t="n"/>
      <c r="X68" s="11" t="n"/>
      <c r="Y68" s="11" t="n"/>
      <c r="Z68" s="11" t="n"/>
      <c r="AA68" s="11" t="n"/>
      <c r="AB68" s="50" t="n"/>
      <c r="AC68" s="11" t="n"/>
      <c r="AD68" s="11" t="n"/>
      <c r="AE68" s="11" t="n"/>
      <c r="AF68" s="11" t="n"/>
      <c r="AG68" s="50" t="n"/>
      <c r="AH68" s="50" t="n"/>
      <c r="AI68" s="50" t="n"/>
      <c r="AJ68" s="50" t="n"/>
      <c r="AK68" s="50" t="n"/>
      <c r="AL68" s="50" t="n"/>
      <c r="AM68" s="50" t="n"/>
      <c r="AN68" s="50" t="n"/>
      <c r="AO68" s="50" t="n"/>
      <c r="AP68" s="50" t="n"/>
      <c r="AQ68" s="50" t="n"/>
      <c r="AR68" s="50" t="n"/>
      <c r="AS68" s="50" t="n"/>
      <c r="AT68" s="50" t="n"/>
      <c r="AU68" s="50" t="n"/>
      <c r="AV68" s="50" t="n"/>
      <c r="AW68" s="50" t="n"/>
      <c r="AX68" s="50" t="n"/>
      <c r="AY68" s="50" t="n"/>
      <c r="AZ68" s="50" t="n"/>
      <c r="BA68" s="50" t="n"/>
      <c r="BB68" s="50" t="n"/>
      <c r="BC68" s="50" t="n"/>
      <c r="BD68" s="50" t="n"/>
      <c r="BE68" s="50" t="n"/>
      <c r="BF68" s="50" t="n"/>
      <c r="BG68" s="50" t="n"/>
      <c r="BH68" s="50" t="n"/>
      <c r="BI68" s="50" t="n"/>
      <c r="BJ68" s="50" t="n"/>
      <c r="BK68" s="50" t="n"/>
      <c r="BL68" s="50" t="n"/>
      <c r="BM68" s="50" t="n"/>
      <c r="BN68" s="50" t="n"/>
      <c r="BO68" s="50" t="n"/>
      <c r="BP68" s="50" t="n"/>
      <c r="BQ68" s="50" t="n"/>
      <c r="BR68" s="50" t="n"/>
      <c r="BS68" s="50" t="n"/>
      <c r="BT68" s="50" t="n"/>
      <c r="BU68" s="50" t="n"/>
      <c r="BV68" s="50" t="n"/>
      <c r="BW68" s="50" t="n"/>
      <c r="BX68" s="50" t="n"/>
      <c r="BY68" s="50" t="n"/>
      <c r="BZ68" s="50" t="n"/>
      <c r="CA68" s="50" t="n"/>
      <c r="CB68" s="50" t="n"/>
      <c r="CC68" s="50" t="n"/>
      <c r="CD68" s="50" t="n"/>
      <c r="CE68" s="50" t="n"/>
      <c r="CF68" s="50" t="n"/>
      <c r="CG68" s="50" t="n"/>
      <c r="CH68" s="50" t="n"/>
      <c r="CI68" s="50" t="n"/>
      <c r="CJ68" s="50" t="n"/>
      <c r="CK68" s="50" t="n"/>
      <c r="CL68" s="50" t="n"/>
      <c r="CM68" s="50" t="n"/>
      <c r="CN68" s="50" t="n"/>
      <c r="CO68" s="50" t="n"/>
      <c r="CP68" s="50" t="n"/>
      <c r="CQ68" s="50" t="n"/>
      <c r="CR68" s="50" t="n"/>
      <c r="CS68" s="50" t="n"/>
      <c r="CT68" s="50" t="n"/>
      <c r="CU68" s="50" t="n"/>
      <c r="CV68" s="50" t="n"/>
      <c r="CW68" s="50" t="n"/>
      <c r="CX68" s="50" t="n"/>
      <c r="CY68" s="50" t="n"/>
    </row>
    <row r="69" hidden="1" outlineLevel="1">
      <c r="C69" s="50" t="inlineStr">
        <is>
          <t>Outras Receitas (Despesas) Operacionais, Líquidas</t>
        </is>
      </c>
      <c r="D69" s="11" t="n"/>
      <c r="E69" s="11" t="n"/>
      <c r="F69" s="11" t="n"/>
      <c r="G69" s="11" t="n"/>
      <c r="H69" s="50" t="n"/>
      <c r="I69" s="11" t="n"/>
      <c r="J69" s="11" t="n"/>
      <c r="K69" s="11" t="n"/>
      <c r="L69" s="11" t="n"/>
      <c r="M69" s="50" t="n"/>
      <c r="N69" s="11" t="n"/>
      <c r="O69" s="11" t="n"/>
      <c r="P69" s="11" t="n"/>
      <c r="Q69" s="11" t="n"/>
      <c r="R69" s="50" t="n"/>
      <c r="S69" s="11" t="n"/>
      <c r="T69" s="11" t="n"/>
      <c r="U69" s="11" t="n"/>
      <c r="V69" s="11" t="n"/>
      <c r="W69" s="50" t="n"/>
      <c r="X69" s="11" t="n"/>
      <c r="Y69" s="11" t="n"/>
      <c r="Z69" s="11" t="n"/>
      <c r="AA69" s="11" t="n"/>
      <c r="AB69" s="50" t="n"/>
      <c r="AC69" s="11" t="n"/>
      <c r="AD69" s="11" t="n"/>
      <c r="AE69" s="11" t="n"/>
      <c r="AF69" s="11" t="n"/>
      <c r="AG69" s="50" t="n"/>
      <c r="AH69" s="50" t="n"/>
      <c r="AI69" s="50" t="n"/>
      <c r="AJ69" s="50" t="n"/>
      <c r="AK69" s="50" t="n"/>
      <c r="AL69" s="50" t="n"/>
      <c r="AM69" s="50" t="n"/>
      <c r="AN69" s="50" t="n"/>
      <c r="AO69" s="50" t="n"/>
      <c r="AP69" s="50" t="n"/>
      <c r="AQ69" s="50" t="n"/>
      <c r="AR69" s="50" t="n"/>
      <c r="AS69" s="50" t="n"/>
      <c r="AT69" s="50" t="n"/>
      <c r="AU69" s="50" t="n"/>
      <c r="AV69" s="50" t="n"/>
      <c r="AW69" s="50" t="n"/>
      <c r="AX69" s="50" t="n"/>
      <c r="AY69" s="50" t="n"/>
      <c r="AZ69" s="50" t="n"/>
      <c r="BA69" s="50" t="n"/>
      <c r="BB69" s="50" t="n"/>
      <c r="BC69" s="50" t="n"/>
      <c r="BD69" s="50" t="n"/>
      <c r="BE69" s="50" t="n"/>
      <c r="BF69" s="50" t="n"/>
      <c r="BG69" s="50" t="n"/>
      <c r="BH69" s="50" t="n"/>
      <c r="BI69" s="50" t="n"/>
      <c r="BJ69" s="50" t="n"/>
      <c r="BK69" s="50" t="n"/>
      <c r="BL69" s="50" t="n"/>
      <c r="BM69" s="50" t="n"/>
      <c r="BN69" s="50" t="n"/>
      <c r="BO69" s="50" t="n"/>
      <c r="BP69" s="50" t="n"/>
      <c r="BQ69" s="50" t="n"/>
      <c r="BR69" s="50" t="n"/>
      <c r="BS69" s="50" t="n"/>
      <c r="BT69" s="50" t="n"/>
      <c r="BU69" s="50" t="n"/>
      <c r="BV69" s="50" t="n"/>
      <c r="BW69" s="50" t="n"/>
      <c r="BX69" s="50" t="n"/>
      <c r="BY69" s="50" t="n"/>
      <c r="BZ69" s="50" t="n"/>
      <c r="CA69" s="50" t="n"/>
      <c r="CB69" s="50" t="n"/>
      <c r="CC69" s="50" t="n"/>
      <c r="CD69" s="50" t="n"/>
      <c r="CE69" s="50" t="n"/>
      <c r="CF69" s="50" t="n"/>
      <c r="CG69" s="50" t="n"/>
      <c r="CH69" s="50" t="n"/>
      <c r="CI69" s="50" t="n"/>
      <c r="CJ69" s="50" t="n"/>
      <c r="CK69" s="50" t="n"/>
      <c r="CL69" s="50" t="n"/>
      <c r="CM69" s="50" t="n"/>
      <c r="CN69" s="50" t="n"/>
      <c r="CO69" s="50" t="n"/>
      <c r="CP69" s="50" t="n"/>
      <c r="CQ69" s="50" t="n"/>
      <c r="CR69" s="50" t="n"/>
      <c r="CS69" s="50" t="n"/>
      <c r="CT69" s="50" t="n"/>
      <c r="CU69" s="50" t="n"/>
      <c r="CV69" s="50" t="n"/>
      <c r="CW69" s="50" t="n"/>
      <c r="CX69" s="50" t="n"/>
      <c r="CY69" s="50" t="n"/>
    </row>
    <row r="70" hidden="1" outlineLevel="1"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0" t="n"/>
      <c r="S70" s="50" t="n"/>
      <c r="T70" s="50" t="n"/>
      <c r="U70" s="50" t="n"/>
      <c r="V70" s="50" t="n"/>
      <c r="W70" s="50" t="n"/>
      <c r="X70" s="50" t="n"/>
      <c r="Y70" s="50" t="n"/>
      <c r="Z70" s="50" t="n"/>
      <c r="AA70" s="50" t="n"/>
      <c r="AB70" s="50" t="n"/>
      <c r="AC70" s="50" t="n"/>
      <c r="AD70" s="50" t="n"/>
      <c r="AE70" s="50" t="n"/>
      <c r="AF70" s="50" t="n"/>
      <c r="AG70" s="50" t="n"/>
      <c r="AH70" s="50" t="n"/>
      <c r="AI70" s="50" t="n"/>
      <c r="AJ70" s="50" t="n"/>
      <c r="AK70" s="50" t="n"/>
      <c r="AL70" s="50" t="n"/>
      <c r="AM70" s="50" t="n"/>
      <c r="AN70" s="50" t="n"/>
      <c r="AO70" s="50" t="n"/>
      <c r="AP70" s="50" t="n"/>
      <c r="AQ70" s="50" t="n"/>
      <c r="AR70" s="50" t="n"/>
      <c r="AS70" s="50" t="n"/>
      <c r="AT70" s="50" t="n"/>
      <c r="AU70" s="50" t="n"/>
      <c r="AV70" s="50" t="n"/>
      <c r="AW70" s="50" t="n"/>
      <c r="AX70" s="50" t="n"/>
      <c r="AY70" s="50" t="n"/>
      <c r="AZ70" s="50" t="n"/>
      <c r="BA70" s="50" t="n"/>
      <c r="BB70" s="50" t="n"/>
      <c r="BC70" s="50" t="n"/>
      <c r="BD70" s="50" t="n"/>
      <c r="BE70" s="50" t="n"/>
      <c r="BF70" s="50" t="n"/>
      <c r="BG70" s="50" t="n"/>
      <c r="BH70" s="50" t="n"/>
      <c r="BI70" s="50" t="n"/>
      <c r="BJ70" s="50" t="n"/>
      <c r="BK70" s="50" t="n"/>
      <c r="BL70" s="50" t="n"/>
      <c r="BM70" s="50" t="n"/>
      <c r="BN70" s="50" t="n"/>
      <c r="BO70" s="50" t="n"/>
      <c r="BP70" s="50" t="n"/>
      <c r="BQ70" s="50" t="n"/>
      <c r="BR70" s="50" t="n"/>
      <c r="BS70" s="50" t="n"/>
      <c r="BT70" s="50" t="n"/>
      <c r="BU70" s="50" t="n"/>
      <c r="BV70" s="50" t="n"/>
      <c r="BW70" s="50" t="n"/>
      <c r="BX70" s="50" t="n"/>
      <c r="BY70" s="50" t="n"/>
      <c r="BZ70" s="50" t="n"/>
      <c r="CA70" s="50" t="n"/>
      <c r="CB70" s="50" t="n"/>
      <c r="CC70" s="50" t="n"/>
      <c r="CD70" s="50" t="n"/>
      <c r="CE70" s="50" t="n"/>
      <c r="CF70" s="50" t="n"/>
      <c r="CG70" s="50" t="n"/>
      <c r="CH70" s="50" t="n"/>
      <c r="CI70" s="50" t="n"/>
      <c r="CJ70" s="50" t="n"/>
      <c r="CK70" s="50" t="n"/>
      <c r="CL70" s="50" t="n"/>
      <c r="CM70" s="50" t="n"/>
      <c r="CN70" s="50" t="n"/>
      <c r="CO70" s="50" t="n"/>
      <c r="CP70" s="50" t="n"/>
      <c r="CQ70" s="50" t="n"/>
      <c r="CR70" s="50" t="n"/>
      <c r="CS70" s="50" t="n"/>
      <c r="CT70" s="50" t="n"/>
      <c r="CU70" s="50" t="n"/>
      <c r="CV70" s="50" t="n"/>
      <c r="CW70" s="50" t="n"/>
      <c r="CX70" s="50" t="n"/>
      <c r="CY70" s="50" t="n"/>
    </row>
    <row r="71" hidden="1" outlineLevel="1">
      <c r="C71" s="50" t="inlineStr">
        <is>
          <t>Com Vendas (%)</t>
        </is>
      </c>
      <c r="D71" s="50" t="n"/>
      <c r="E71" s="50" t="n"/>
      <c r="F71" s="50" t="n"/>
      <c r="G71" s="50" t="n"/>
      <c r="H71" s="50" t="n"/>
      <c r="I71" s="50" t="n"/>
      <c r="J71" s="50" t="n"/>
      <c r="K71" s="50" t="n"/>
      <c r="L71" s="50" t="n"/>
      <c r="M71" s="50" t="n"/>
      <c r="N71" s="50" t="n"/>
      <c r="O71" s="50" t="n"/>
      <c r="P71" s="50" t="n"/>
      <c r="Q71" s="50" t="n"/>
      <c r="R71" s="50" t="n"/>
      <c r="S71" s="50" t="n"/>
      <c r="T71" s="50" t="n"/>
      <c r="U71" s="50" t="n"/>
      <c r="V71" s="50" t="n"/>
      <c r="W71" s="50" t="n"/>
      <c r="X71" s="50" t="n"/>
      <c r="Y71" s="50" t="n"/>
      <c r="Z71" s="50" t="n"/>
      <c r="AA71" s="50" t="n"/>
      <c r="AB71" s="50" t="n"/>
      <c r="AC71" s="50" t="n"/>
      <c r="AD71" s="50" t="n"/>
      <c r="AE71" s="50" t="n"/>
      <c r="AF71" s="50" t="n"/>
      <c r="AG71" s="50" t="n"/>
      <c r="AH71" s="50" t="n"/>
      <c r="AI71" s="50" t="n"/>
      <c r="AJ71" s="50" t="n"/>
      <c r="AK71" s="50" t="n"/>
      <c r="AL71" s="50" t="n"/>
      <c r="AM71" s="50" t="n"/>
      <c r="AN71" s="50" t="n"/>
      <c r="AO71" s="50" t="n"/>
      <c r="AP71" s="50" t="n"/>
      <c r="AQ71" s="50" t="n"/>
      <c r="AR71" s="50" t="n"/>
      <c r="AS71" s="50" t="n"/>
      <c r="AT71" s="50" t="n"/>
      <c r="AU71" s="50" t="n"/>
      <c r="AV71" s="50" t="n"/>
      <c r="AW71" s="50" t="n"/>
      <c r="AX71" s="50" t="n"/>
      <c r="AY71" s="50" t="n"/>
      <c r="AZ71" s="50" t="n"/>
      <c r="BA71" s="50" t="n"/>
      <c r="BB71" s="50" t="n"/>
      <c r="BC71" s="50" t="n"/>
      <c r="BD71" s="50" t="n"/>
      <c r="BE71" s="50" t="n"/>
      <c r="BF71" s="50" t="n"/>
      <c r="BG71" s="50" t="n"/>
      <c r="BH71" s="50" t="n"/>
      <c r="BI71" s="50" t="n"/>
      <c r="BJ71" s="50" t="n"/>
      <c r="BK71" s="50" t="n"/>
      <c r="BL71" s="50" t="n"/>
      <c r="BM71" s="50" t="n"/>
      <c r="BN71" s="50" t="n"/>
      <c r="BO71" s="50" t="n"/>
      <c r="BP71" s="50" t="n"/>
      <c r="BQ71" s="50" t="n"/>
      <c r="BR71" s="50" t="n"/>
      <c r="BS71" s="50" t="n"/>
      <c r="BT71" s="50" t="n"/>
      <c r="BU71" s="50" t="n"/>
      <c r="BV71" s="50" t="n"/>
      <c r="BW71" s="50" t="n"/>
      <c r="BX71" s="50" t="n"/>
      <c r="BY71" s="50" t="n"/>
      <c r="BZ71" s="50" t="n"/>
      <c r="CA71" s="50" t="n"/>
      <c r="CB71" s="50" t="n"/>
      <c r="CC71" s="50" t="n"/>
      <c r="CD71" s="50" t="n"/>
      <c r="CE71" s="50" t="n"/>
      <c r="CF71" s="50" t="n"/>
      <c r="CG71" s="50" t="n"/>
      <c r="CH71" s="50" t="n"/>
      <c r="CI71" s="50" t="n"/>
      <c r="CJ71" s="50" t="n"/>
      <c r="CK71" s="50" t="n"/>
      <c r="CL71" s="50" t="n"/>
      <c r="CM71" s="50" t="n"/>
      <c r="CN71" s="50" t="n"/>
      <c r="CO71" s="50" t="n"/>
      <c r="CP71" s="50" t="n"/>
      <c r="CQ71" s="50" t="n"/>
      <c r="CR71" s="50" t="n"/>
      <c r="CS71" s="50" t="n"/>
      <c r="CT71" s="50" t="n"/>
      <c r="CU71" s="50" t="n"/>
      <c r="CV71" s="50" t="n"/>
      <c r="CW71" s="50" t="n"/>
      <c r="CX71" s="50" t="n"/>
      <c r="CY71" s="50" t="n"/>
    </row>
    <row r="72" hidden="1" outlineLevel="1">
      <c r="C72" s="50" t="inlineStr">
        <is>
          <t>Gerais &amp; Administrativas (%)</t>
        </is>
      </c>
      <c r="D72" s="50" t="n"/>
      <c r="E72" s="50" t="n"/>
      <c r="F72" s="50" t="n"/>
      <c r="G72" s="50" t="n"/>
      <c r="H72" s="50" t="n"/>
      <c r="I72" s="50" t="n"/>
      <c r="J72" s="50" t="n"/>
      <c r="K72" s="50" t="n"/>
      <c r="L72" s="50" t="n"/>
      <c r="M72" s="50" t="n"/>
      <c r="N72" s="50" t="n"/>
      <c r="O72" s="50" t="n"/>
      <c r="P72" s="50" t="n"/>
      <c r="Q72" s="50" t="n"/>
      <c r="R72" s="50" t="n"/>
      <c r="S72" s="50" t="n"/>
      <c r="T72" s="50" t="n"/>
      <c r="U72" s="50" t="n"/>
      <c r="V72" s="50" t="n"/>
      <c r="W72" s="50" t="n"/>
      <c r="X72" s="50" t="n"/>
      <c r="Y72" s="50" t="n"/>
      <c r="Z72" s="50" t="n"/>
      <c r="AA72" s="50" t="n"/>
      <c r="AB72" s="50" t="n"/>
      <c r="AC72" s="50" t="n"/>
      <c r="AD72" s="50" t="n"/>
      <c r="AE72" s="50" t="n"/>
      <c r="AF72" s="50" t="n"/>
      <c r="AG72" s="50" t="n"/>
      <c r="AH72" s="50" t="n"/>
      <c r="AI72" s="50" t="n"/>
      <c r="AJ72" s="50" t="n"/>
      <c r="AK72" s="50" t="n"/>
      <c r="AL72" s="50" t="n"/>
      <c r="AM72" s="50" t="n"/>
      <c r="AN72" s="50" t="n"/>
      <c r="AO72" s="50" t="n"/>
      <c r="AP72" s="50" t="n"/>
      <c r="AQ72" s="50" t="n"/>
      <c r="AR72" s="50" t="n"/>
      <c r="AS72" s="50" t="n"/>
      <c r="AT72" s="50" t="n"/>
      <c r="AU72" s="50" t="n"/>
      <c r="AV72" s="50" t="n"/>
      <c r="AW72" s="50" t="n"/>
      <c r="AX72" s="50" t="n"/>
      <c r="AY72" s="50" t="n"/>
      <c r="AZ72" s="50" t="n"/>
      <c r="BA72" s="50" t="n"/>
      <c r="BB72" s="50" t="n"/>
      <c r="BC72" s="50" t="n"/>
      <c r="BD72" s="50" t="n"/>
      <c r="BE72" s="50" t="n"/>
      <c r="BF72" s="50" t="n"/>
      <c r="BG72" s="50" t="n"/>
      <c r="BH72" s="50" t="n"/>
      <c r="BI72" s="50" t="n"/>
      <c r="BJ72" s="50" t="n"/>
      <c r="BK72" s="50" t="n"/>
      <c r="BL72" s="50" t="n"/>
      <c r="BM72" s="50" t="n"/>
      <c r="BN72" s="50" t="n"/>
      <c r="BO72" s="50" t="n"/>
      <c r="BP72" s="50" t="n"/>
      <c r="BQ72" s="50" t="n"/>
      <c r="BR72" s="50" t="n"/>
      <c r="BS72" s="50" t="n"/>
      <c r="BT72" s="50" t="n"/>
      <c r="BU72" s="50" t="n"/>
      <c r="BV72" s="50" t="n"/>
      <c r="BW72" s="50" t="n"/>
      <c r="BX72" s="50" t="n"/>
      <c r="BY72" s="50" t="n"/>
      <c r="BZ72" s="50" t="n"/>
      <c r="CA72" s="50" t="n"/>
      <c r="CB72" s="50" t="n"/>
      <c r="CC72" s="50" t="n"/>
      <c r="CD72" s="50" t="n"/>
      <c r="CE72" s="50" t="n"/>
      <c r="CF72" s="50" t="n"/>
      <c r="CG72" s="50" t="n"/>
      <c r="CH72" s="50" t="n"/>
      <c r="CI72" s="50" t="n"/>
      <c r="CJ72" s="50" t="n"/>
      <c r="CK72" s="50" t="n"/>
      <c r="CL72" s="50" t="n"/>
      <c r="CM72" s="50" t="n"/>
      <c r="CN72" s="50" t="n"/>
      <c r="CO72" s="50" t="n"/>
      <c r="CP72" s="50" t="n"/>
      <c r="CQ72" s="50" t="n"/>
      <c r="CR72" s="50" t="n"/>
      <c r="CS72" s="50" t="n"/>
      <c r="CT72" s="50" t="n"/>
      <c r="CU72" s="50" t="n"/>
      <c r="CV72" s="50" t="n"/>
      <c r="CW72" s="50" t="n"/>
      <c r="CX72" s="50" t="n"/>
      <c r="CY72" s="50" t="n"/>
    </row>
    <row r="73" hidden="1" outlineLevel="1">
      <c r="C73" s="50" t="inlineStr">
        <is>
          <t>Outras Receitas (Despesas) Operacionais, Líquidas (%)</t>
        </is>
      </c>
      <c r="D73" s="50" t="n"/>
      <c r="E73" s="50" t="n"/>
      <c r="F73" s="50" t="n"/>
      <c r="G73" s="50" t="n"/>
      <c r="H73" s="50" t="n"/>
      <c r="I73" s="50" t="n"/>
      <c r="J73" s="50" t="n"/>
      <c r="K73" s="50" t="n"/>
      <c r="L73" s="50" t="n"/>
      <c r="M73" s="50" t="n"/>
      <c r="N73" s="50" t="n"/>
      <c r="O73" s="50" t="n"/>
      <c r="P73" s="50" t="n"/>
      <c r="Q73" s="50" t="n"/>
      <c r="R73" s="50" t="n"/>
      <c r="S73" s="50" t="n"/>
      <c r="T73" s="50" t="n"/>
      <c r="U73" s="50" t="n"/>
      <c r="V73" s="50" t="n"/>
      <c r="W73" s="50" t="n"/>
      <c r="X73" s="50" t="n"/>
      <c r="Y73" s="50" t="n"/>
      <c r="Z73" s="50" t="n"/>
      <c r="AA73" s="50" t="n"/>
      <c r="AB73" s="50" t="n"/>
      <c r="AC73" s="50" t="n"/>
      <c r="AD73" s="50" t="n"/>
      <c r="AE73" s="50" t="n"/>
      <c r="AF73" s="50" t="n"/>
      <c r="AG73" s="50" t="n"/>
      <c r="AH73" s="50" t="n"/>
      <c r="AI73" s="50" t="n"/>
      <c r="AJ73" s="50" t="n"/>
      <c r="AK73" s="50" t="n"/>
      <c r="AL73" s="50" t="n"/>
      <c r="AM73" s="50" t="n"/>
      <c r="AN73" s="50" t="n"/>
      <c r="AO73" s="50" t="n"/>
      <c r="AP73" s="50" t="n"/>
      <c r="AQ73" s="50" t="n"/>
      <c r="AR73" s="50" t="n"/>
      <c r="AS73" s="50" t="n"/>
      <c r="AT73" s="50" t="n"/>
      <c r="AU73" s="50" t="n"/>
      <c r="AV73" s="50" t="n"/>
      <c r="AW73" s="50" t="n"/>
      <c r="AX73" s="50" t="n"/>
      <c r="AY73" s="50" t="n"/>
      <c r="AZ73" s="50" t="n"/>
      <c r="BA73" s="50" t="n"/>
      <c r="BB73" s="50" t="n"/>
      <c r="BC73" s="50" t="n"/>
      <c r="BD73" s="50" t="n"/>
      <c r="BE73" s="50" t="n"/>
      <c r="BF73" s="50" t="n"/>
      <c r="BG73" s="50" t="n"/>
      <c r="BH73" s="50" t="n"/>
      <c r="BI73" s="50" t="n"/>
      <c r="BJ73" s="50" t="n"/>
      <c r="BK73" s="50" t="n"/>
      <c r="BL73" s="50" t="n"/>
      <c r="BM73" s="50" t="n"/>
      <c r="BN73" s="50" t="n"/>
      <c r="BO73" s="50" t="n"/>
      <c r="BP73" s="50" t="n"/>
      <c r="BQ73" s="50" t="n"/>
      <c r="BR73" s="50" t="n"/>
      <c r="BS73" s="50" t="n"/>
      <c r="BT73" s="50" t="n"/>
      <c r="BU73" s="50" t="n"/>
      <c r="BV73" s="50" t="n"/>
      <c r="BW73" s="50" t="n"/>
      <c r="BX73" s="50" t="n"/>
      <c r="BY73" s="50" t="n"/>
      <c r="BZ73" s="50" t="n"/>
      <c r="CA73" s="50" t="n"/>
      <c r="CB73" s="50" t="n"/>
      <c r="CC73" s="50" t="n"/>
      <c r="CD73" s="50" t="n"/>
      <c r="CE73" s="50" t="n"/>
      <c r="CF73" s="50" t="n"/>
      <c r="CG73" s="50" t="n"/>
      <c r="CH73" s="50" t="n"/>
      <c r="CI73" s="50" t="n"/>
      <c r="CJ73" s="50" t="n"/>
      <c r="CK73" s="50" t="n"/>
      <c r="CL73" s="50" t="n"/>
      <c r="CM73" s="50" t="n"/>
      <c r="CN73" s="50" t="n"/>
      <c r="CO73" s="50" t="n"/>
      <c r="CP73" s="50" t="n"/>
      <c r="CQ73" s="50" t="n"/>
      <c r="CR73" s="50" t="n"/>
      <c r="CS73" s="50" t="n"/>
      <c r="CT73" s="50" t="n"/>
      <c r="CU73" s="50" t="n"/>
      <c r="CV73" s="50" t="n"/>
      <c r="CW73" s="50" t="n"/>
      <c r="CX73" s="50" t="n"/>
      <c r="CY73" s="50" t="n"/>
    </row>
    <row r="74" hidden="1" outlineLevel="1">
      <c r="C74" s="50" t="n"/>
      <c r="D74" s="50" t="n"/>
      <c r="E74" s="50" t="n"/>
      <c r="F74" s="50" t="n"/>
      <c r="G74" s="50" t="n"/>
      <c r="H74" s="50" t="n"/>
      <c r="I74" s="50" t="n"/>
      <c r="J74" s="50" t="n"/>
      <c r="K74" s="50" t="n"/>
      <c r="L74" s="50" t="n"/>
      <c r="M74" s="50" t="n"/>
      <c r="N74" s="50" t="n"/>
      <c r="O74" s="50" t="n"/>
      <c r="P74" s="50" t="n"/>
      <c r="Q74" s="50" t="n"/>
      <c r="R74" s="50" t="n"/>
      <c r="S74" s="50" t="n"/>
      <c r="T74" s="50" t="n"/>
      <c r="U74" s="50" t="n"/>
      <c r="V74" s="50" t="n"/>
      <c r="W74" s="50" t="n"/>
      <c r="X74" s="50" t="n"/>
      <c r="Y74" s="50" t="n"/>
      <c r="Z74" s="50" t="n"/>
      <c r="AA74" s="50" t="n"/>
      <c r="AB74" s="50" t="n"/>
      <c r="AC74" s="50" t="n"/>
      <c r="AD74" s="50" t="n"/>
      <c r="AE74" s="50" t="n"/>
      <c r="AF74" s="50" t="n"/>
      <c r="AG74" s="50" t="n"/>
      <c r="AH74" s="50" t="n"/>
      <c r="AI74" s="50" t="n"/>
      <c r="AJ74" s="50" t="n"/>
      <c r="AK74" s="50" t="n"/>
      <c r="AL74" s="50" t="n"/>
      <c r="AM74" s="50" t="n"/>
      <c r="AN74" s="50" t="n"/>
      <c r="AO74" s="50" t="n"/>
      <c r="AP74" s="50" t="n"/>
      <c r="AQ74" s="50" t="n"/>
      <c r="AR74" s="50" t="n"/>
      <c r="AS74" s="50" t="n"/>
      <c r="AT74" s="50" t="n"/>
      <c r="AU74" s="50" t="n"/>
      <c r="AV74" s="50" t="n"/>
      <c r="AW74" s="50" t="n"/>
      <c r="AX74" s="50" t="n"/>
      <c r="AY74" s="50" t="n"/>
      <c r="AZ74" s="50" t="n"/>
      <c r="BA74" s="50" t="n"/>
      <c r="BB74" s="50" t="n"/>
      <c r="BC74" s="50" t="n"/>
      <c r="BD74" s="50" t="n"/>
      <c r="BE74" s="50" t="n"/>
      <c r="BF74" s="50" t="n"/>
      <c r="BG74" s="50" t="n"/>
      <c r="BH74" s="50" t="n"/>
      <c r="BI74" s="50" t="n"/>
      <c r="BJ74" s="50" t="n"/>
      <c r="BK74" s="50" t="n"/>
      <c r="BL74" s="50" t="n"/>
      <c r="BM74" s="50" t="n"/>
      <c r="BN74" s="50" t="n"/>
      <c r="BO74" s="50" t="n"/>
      <c r="BP74" s="50" t="n"/>
      <c r="BQ74" s="50" t="n"/>
      <c r="BR74" s="50" t="n"/>
      <c r="BS74" s="50" t="n"/>
      <c r="BT74" s="50" t="n"/>
      <c r="BU74" s="50" t="n"/>
      <c r="BV74" s="50" t="n"/>
      <c r="BW74" s="50" t="n"/>
      <c r="BX74" s="50" t="n"/>
      <c r="BY74" s="50" t="n"/>
      <c r="BZ74" s="50" t="n"/>
      <c r="CA74" s="50" t="n"/>
      <c r="CB74" s="50" t="n"/>
      <c r="CC74" s="50" t="n"/>
      <c r="CD74" s="50" t="n"/>
      <c r="CE74" s="50" t="n"/>
      <c r="CF74" s="50" t="n"/>
      <c r="CG74" s="50" t="n"/>
      <c r="CH74" s="50" t="n"/>
      <c r="CI74" s="50" t="n"/>
      <c r="CJ74" s="50" t="n"/>
      <c r="CK74" s="50" t="n"/>
      <c r="CL74" s="50" t="n"/>
      <c r="CM74" s="50" t="n"/>
      <c r="CN74" s="50" t="n"/>
      <c r="CO74" s="50" t="n"/>
      <c r="CP74" s="50" t="n"/>
      <c r="CQ74" s="50" t="n"/>
      <c r="CR74" s="50" t="n"/>
      <c r="CS74" s="50" t="n"/>
      <c r="CT74" s="50" t="n"/>
      <c r="CU74" s="50" t="n"/>
      <c r="CV74" s="50" t="n"/>
      <c r="CW74" s="50" t="n"/>
      <c r="CX74" s="50" t="n"/>
      <c r="CY74" s="50" t="n"/>
    </row>
    <row r="75" collapsed="1" customFormat="1" s="32">
      <c r="A75" s="30" t="n"/>
      <c r="B75" s="3" t="n"/>
      <c r="C75" s="33" t="inlineStr">
        <is>
          <t>EBITDA</t>
        </is>
      </c>
      <c r="D75" s="35" t="n"/>
      <c r="E75" s="35" t="n"/>
      <c r="F75" s="35" t="n"/>
      <c r="G75" s="35" t="n"/>
      <c r="H75" s="35" t="n"/>
      <c r="I75" s="35">
        <f>SUM(I15,I60,I64)</f>
        <v>733.704018203</v>
      </c>
      <c r="J75" s="35">
        <f>SUM(J15,J60,J64)</f>
        <v>965.009871226</v>
      </c>
      <c r="K75" s="35">
        <f>SUM(K15,K60,K64)</f>
        <v>1165.521110571</v>
      </c>
      <c r="L75" s="35">
        <f>SUM(L15,L60,L64)</f>
        <v>1325.431002642</v>
      </c>
      <c r="M75" s="35">
        <f>SUM(I75:L75)</f>
        <v>4189.666002642</v>
      </c>
      <c r="N75" s="35">
        <f>SUM(N15,N60,N64)</f>
        <v>1513.044</v>
      </c>
      <c r="O75" s="35">
        <f>SUM(O15,O60,O64)</f>
        <v>1702.956997424</v>
      </c>
      <c r="P75" s="35">
        <f>SUM(P15,P60,P64)</f>
        <v>1938.071306386</v>
      </c>
      <c r="Q75" s="35">
        <f>SUM(Q15,Q60,Q64)</f>
        <v>1849.02197303</v>
      </c>
      <c r="R75" s="35">
        <f>SUM(N75:Q75)</f>
        <v>7003.09427684</v>
      </c>
      <c r="S75" s="35">
        <f>SUM(S15,S60,S64)</f>
        <v>1963.864513621</v>
      </c>
      <c r="T75" s="35">
        <f>SUM(T15,T60,T64)</f>
        <v>2267.493125676</v>
      </c>
      <c r="U75" s="35">
        <f>SUM(U15,U60,U64)</f>
        <v>2084.944463603</v>
      </c>
      <c r="V75" s="35">
        <f>SUM(V15,V60,V64)</f>
        <v>1652.320961532</v>
      </c>
      <c r="W75" s="35">
        <f>SUM(S75:V75)</f>
        <v>7968.623064432</v>
      </c>
      <c r="X75" s="35">
        <f>SUM(X15,X60,X64)</f>
        <v>2361.14521292</v>
      </c>
      <c r="Y75" s="35">
        <f>SUM(Y15,Y60,Y64)</f>
        <v>2597.00952965</v>
      </c>
      <c r="Z75" s="35">
        <f>SUM(Z15,Z60,Z64)</f>
        <v>2699.28085968</v>
      </c>
      <c r="AA75" s="35">
        <f>SUM(AA15,AA60,AA64)</f>
        <v>2614.94321323</v>
      </c>
      <c r="AB75" s="35">
        <f>SUM(X75:AA75)</f>
        <v>10272.37881548</v>
      </c>
      <c r="AC75" s="35">
        <f>SUM(AC15,AC60,AC64)</f>
        <v>2802.02029992</v>
      </c>
      <c r="AD75" s="35">
        <f>SUM(AD15,AD60,AD64)</f>
        <v>2922.63577782</v>
      </c>
      <c r="AE75" s="35">
        <f>SUM(AE15,AE60,AE64)</f>
        <v>2906.87071613</v>
      </c>
      <c r="AF75" s="35">
        <f>SUM(AF15,AF60,AF64)</f>
        <v>4066.05814928</v>
      </c>
      <c r="AG75" s="35">
        <f>SUM(AC75:AF75)</f>
        <v>12697.58494315</v>
      </c>
      <c r="AH75" s="35">
        <f>SUM(AH15,AH60,AH64)</f>
        <v>3012.23912156</v>
      </c>
      <c r="AI75" s="35">
        <f>SUM(AI15,AI60,AI64)</f>
        <v>3351.88269447</v>
      </c>
      <c r="AJ75" s="35">
        <f>SUM(AJ15,AJ60,AJ64)</f>
        <v>3450.67909325054</v>
      </c>
      <c r="AK75" s="35">
        <f>SUM(AK15,AK60,AK64)</f>
        <v>3456.44794132359</v>
      </c>
      <c r="AL75" s="35">
        <f>SUM(AH75:AK75)</f>
        <v>13271.2488506041</v>
      </c>
      <c r="AM75" s="35">
        <f>SUM(AM15,AM60,AM64)</f>
        <v>3395.77279094167</v>
      </c>
      <c r="AN75" s="35">
        <f>SUM(AN15,AN60,AN64)</f>
        <v>3496.59986283803</v>
      </c>
      <c r="AO75" s="35">
        <f>SUM(AO15,AO60,AO64)</f>
        <v>3662.1243262132</v>
      </c>
      <c r="AP75" s="35">
        <f>SUM(AP15,AP60,AP64)</f>
        <v>3668.24666859614</v>
      </c>
      <c r="AQ75" s="35">
        <f>SUM(AM75:AP75)</f>
        <v>14222.743648589</v>
      </c>
      <c r="AR75" s="35">
        <f>SUM(AR15,AR60,AR64)</f>
        <v>3586.87469876124</v>
      </c>
      <c r="AS75" s="35">
        <f>SUM(AS15,AS60,AS64)</f>
        <v>3693.37595647198</v>
      </c>
      <c r="AT75" s="35">
        <f>SUM(AT15,AT60,AT64)</f>
        <v>3868.21554270407</v>
      </c>
      <c r="AU75" s="35">
        <f>SUM(AU15,AU60,AU64)</f>
        <v>3874.68242854788</v>
      </c>
      <c r="AV75" s="35">
        <f>SUM(AR75:AU75)</f>
        <v>15023.1486264852</v>
      </c>
      <c r="AW75" s="35">
        <f>SUM(AW15,AW60,AW64)</f>
        <v>3770.79676273918</v>
      </c>
      <c r="AX75" s="35">
        <f>SUM(AX15,AX60,AX64)</f>
        <v>3882.75902279305</v>
      </c>
      <c r="AY75" s="35">
        <f>SUM(AY15,AY60,AY64)</f>
        <v>4066.56375564037</v>
      </c>
      <c r="AZ75" s="35">
        <f>SUM(AZ15,AZ60,AZ64)</f>
        <v>4073.3622401855</v>
      </c>
      <c r="BA75" s="35">
        <f>SUM(AW75:AZ75)</f>
        <v>15793.4817813581</v>
      </c>
      <c r="BB75" s="35">
        <f>SUM(BB15,BB60,BB64)</f>
        <v>3945.29570638734</v>
      </c>
      <c r="BC75" s="35">
        <f>SUM(BC15,BC60,BC64)</f>
        <v>4062.43917808881</v>
      </c>
      <c r="BD75" s="35">
        <f>SUM(BD15,BD60,BD64)</f>
        <v>4254.74973443644</v>
      </c>
      <c r="BE75" s="35">
        <f>SUM(BE15,BE60,BE64)</f>
        <v>4261.86282845172</v>
      </c>
      <c r="BF75" s="35">
        <f>SUM(BB75:BE75)</f>
        <v>16524.3474473643</v>
      </c>
      <c r="BG75" s="35" t="n"/>
      <c r="BH75" s="35" t="n"/>
      <c r="BI75" s="35" t="n"/>
      <c r="BJ75" s="35" t="n"/>
      <c r="BK75" s="35" t="n"/>
      <c r="BL75" s="35" t="n"/>
      <c r="BM75" s="35" t="n"/>
      <c r="BN75" s="35" t="n"/>
      <c r="BO75" s="35" t="n"/>
      <c r="BP75" s="35" t="n"/>
      <c r="BQ75" s="35" t="n"/>
      <c r="BR75" s="35" t="n"/>
      <c r="BS75" s="35" t="n"/>
      <c r="BT75" s="35" t="n"/>
      <c r="BU75" s="35" t="n"/>
      <c r="BV75" s="35" t="n"/>
      <c r="BW75" s="35" t="n"/>
      <c r="BX75" s="35" t="n"/>
      <c r="BY75" s="35" t="n"/>
      <c r="BZ75" s="35" t="n"/>
      <c r="CA75" s="35" t="n"/>
      <c r="CB75" s="35" t="n"/>
      <c r="CC75" s="35" t="n"/>
      <c r="CD75" s="35" t="n"/>
      <c r="CE75" s="35" t="n"/>
      <c r="CF75" s="35" t="n"/>
      <c r="CG75" s="35" t="n"/>
      <c r="CH75" s="35" t="n"/>
      <c r="CI75" s="35" t="n"/>
      <c r="CJ75" s="35" t="n"/>
      <c r="CK75" s="35" t="n"/>
      <c r="CL75" s="35" t="n"/>
      <c r="CM75" s="35" t="n"/>
      <c r="CN75" s="35" t="n"/>
      <c r="CO75" s="35" t="n"/>
      <c r="CP75" s="35" t="n"/>
      <c r="CQ75" s="35" t="n"/>
      <c r="CR75" s="35" t="n"/>
      <c r="CS75" s="35" t="n"/>
      <c r="CT75" s="35" t="n"/>
      <c r="CU75" s="35" t="n"/>
      <c r="CV75" s="35" t="n"/>
      <c r="CW75" s="35" t="n"/>
      <c r="CX75" s="35" t="n"/>
      <c r="CY75" s="35" t="n"/>
    </row>
    <row r="76" ht="13.5" customHeight="1">
      <c r="C76" s="13" t="inlineStr">
        <is>
          <t>D&amp;A</t>
        </is>
      </c>
      <c r="D76" s="46" t="n"/>
      <c r="E76" s="46" t="n"/>
      <c r="F76" s="46" t="n"/>
      <c r="G76" s="46" t="n"/>
      <c r="H76" s="12" t="n"/>
      <c r="I76" s="46">
        <f>'Inputs (2)'!D7</f>
        <v>-217.049</v>
      </c>
      <c r="J76" s="46">
        <f>'Inputs (2)'!E7</f>
        <v>-241.434278302</v>
      </c>
      <c r="K76" s="46">
        <f>'Inputs (2)'!F7</f>
        <v>-275.839366387</v>
      </c>
      <c r="L76" s="46">
        <f>'Inputs (2)'!G7</f>
        <v>-324.792357953</v>
      </c>
      <c r="M76" s="12">
        <f>'Inputs (2)'!H7</f>
        <v>-1059.115002642</v>
      </c>
      <c r="N76" s="46">
        <f>'Inputs (2)'!I7</f>
        <v>-377.493</v>
      </c>
      <c r="O76" s="46">
        <f>'Inputs (2)'!J7</f>
        <v>-416.207797424</v>
      </c>
      <c r="P76" s="46">
        <f>'Inputs (2)'!K7</f>
        <v>-510.065305927</v>
      </c>
      <c r="Q76" s="46">
        <f>'Inputs (2)'!L7</f>
        <v>-582.510896649</v>
      </c>
      <c r="R76" s="12">
        <f>'Inputs (2)'!M7</f>
        <v>-1886.277</v>
      </c>
      <c r="S76" s="46">
        <f>'Inputs (2)'!N7</f>
        <v>-646.759784851</v>
      </c>
      <c r="T76" s="46">
        <f>'Inputs (2)'!O7</f>
        <v>-679.385996477</v>
      </c>
      <c r="U76" s="46">
        <f>'Inputs (2)'!P7</f>
        <v>-717.0810067</v>
      </c>
      <c r="V76" s="46">
        <f>'Inputs (2)'!Q7</f>
        <v>-1060.725844473</v>
      </c>
      <c r="W76" s="12">
        <f>'Inputs (2)'!R7</f>
        <v>-3103.952632501</v>
      </c>
      <c r="X76" s="46">
        <f>'Inputs (2)'!S7</f>
        <v>-821.97976934</v>
      </c>
      <c r="Y76" s="46">
        <f>'Inputs (2)'!T7</f>
        <v>-897.64322214</v>
      </c>
      <c r="Z76" s="46">
        <f>'Inputs (2)'!U7</f>
        <v>-997.19452895</v>
      </c>
      <c r="AA76" s="46">
        <f>'Inputs (2)'!V7</f>
        <v>-974.30236992</v>
      </c>
      <c r="AB76" s="12">
        <f>'Inputs (2)'!W7</f>
        <v>-3691.11989035</v>
      </c>
      <c r="AC76" s="46">
        <f>'Inputs (2)'!X7</f>
        <v>-1052.41326183</v>
      </c>
      <c r="AD76" s="46">
        <f>'Inputs (2)'!Y7</f>
        <v>-1118.94089968</v>
      </c>
      <c r="AE76" s="46">
        <f>'Inputs (2)'!Z7</f>
        <v>-1172.06197375</v>
      </c>
      <c r="AF76" s="46">
        <f>'Inputs (2)'!AA7</f>
        <v>-1197.96966855</v>
      </c>
      <c r="AG76" s="12">
        <f>'Inputs (2)'!AB7</f>
        <v>-4541.38580381</v>
      </c>
      <c r="AH76" s="12">
        <f>'Inputs (2)'!AC7</f>
        <v>-1239.92653653</v>
      </c>
      <c r="AI76" s="12">
        <f>'Inputs (2)'!AD7</f>
        <v>-1253.5541439</v>
      </c>
      <c r="AJ76" s="12">
        <f>-AJ77*AJ15</f>
        <v>-1274.71175447125</v>
      </c>
      <c r="AK76" s="12">
        <f>-AK77*AK15</f>
        <v>-1276.84281860378</v>
      </c>
      <c r="AL76" s="12">
        <f>SUM(AH76:AK76)</f>
        <v>-5045.03525350503</v>
      </c>
      <c r="AM76" s="12">
        <f>-AM77*AM15</f>
        <v>-1254.42887476663</v>
      </c>
      <c r="AN76" s="12">
        <f>-AN77*AN15</f>
        <v>-1291.67529793203</v>
      </c>
      <c r="AO76" s="12">
        <f>-AO77*AO15</f>
        <v>-1352.82151681097</v>
      </c>
      <c r="AP76" s="12">
        <f>-AP77*AP15</f>
        <v>-1355.08316490676</v>
      </c>
      <c r="AQ76" s="12">
        <f>SUM(AM76:AP76)</f>
        <v>-5254.00885441638</v>
      </c>
      <c r="AR76" s="12">
        <f>-AR77*AR15</f>
        <v>-1325.02363064409</v>
      </c>
      <c r="AS76" s="12">
        <f>-AS77*AS15</f>
        <v>-1364.36614885606</v>
      </c>
      <c r="AT76" s="12">
        <f>-AT77*AT15</f>
        <v>-1428.95345752607</v>
      </c>
      <c r="AU76" s="12">
        <f>-AU77*AU15</f>
        <v>-1431.34238306135</v>
      </c>
      <c r="AV76" s="12">
        <f>SUM(AR76:AU76)</f>
        <v>-5549.68562008757</v>
      </c>
      <c r="AW76" s="12">
        <f>-AW77*AW15</f>
        <v>-1392.96608791804</v>
      </c>
      <c r="AX76" s="12">
        <f>-AX77*AX15</f>
        <v>-1434.32594929344</v>
      </c>
      <c r="AY76" s="12">
        <f>-AY77*AY15</f>
        <v>-1502.22506339716</v>
      </c>
      <c r="AZ76" s="12">
        <f>-AZ77*AZ15</f>
        <v>-1504.73648446185</v>
      </c>
      <c r="BA76" s="12">
        <f>SUM(AW76:AZ76)</f>
        <v>-5834.2535850705</v>
      </c>
      <c r="BB76" s="12">
        <f>-BB77*BB15</f>
        <v>-1457.42756016744</v>
      </c>
      <c r="BC76" s="12">
        <f>-BC77*BC15</f>
        <v>-1500.7014075181</v>
      </c>
      <c r="BD76" s="12">
        <f>-BD77*BD15</f>
        <v>-1571.74264898408</v>
      </c>
      <c r="BE76" s="12">
        <f>-BE77*BE15</f>
        <v>-1574.37028960405</v>
      </c>
      <c r="BF76" s="12">
        <f>SUM(BB76:BE76)</f>
        <v>-6104.24190627366</v>
      </c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  <c r="CX76" s="12" t="n"/>
      <c r="CY76" s="12" t="n"/>
    </row>
    <row r="77" hidden="1" outlineLevel="1" customFormat="1" s="56">
      <c r="A77" s="53" t="n"/>
      <c r="B77" s="53" t="n"/>
      <c r="C77" s="54" t="inlineStr">
        <is>
          <t>% of Revenue</t>
        </is>
      </c>
      <c r="D77" s="53" t="n"/>
      <c r="E77" s="53" t="n"/>
      <c r="F77" s="53" t="n"/>
      <c r="G77" s="53" t="n"/>
      <c r="H77" s="53" t="n"/>
      <c r="I77" s="53">
        <f>IFERROR(-I76/I15,"")</f>
        <v>0.0828397891168701</v>
      </c>
      <c r="J77" s="53">
        <f>IFERROR(-J76/J15,"")</f>
        <v>0.076668527087583</v>
      </c>
      <c r="K77" s="53">
        <f>IFERROR(-K76/K15,"")</f>
        <v>0.0696866736024233</v>
      </c>
      <c r="L77" s="53">
        <f>IFERROR(-L76/L15,"")</f>
        <v>0.0784756324656595</v>
      </c>
      <c r="M77" s="53" t="n"/>
      <c r="N77" s="53">
        <f>IFERROR(-N76/N15,"")</f>
        <v>0.0833281640816943</v>
      </c>
      <c r="O77" s="53">
        <f>IFERROR(-O76/O15,"")</f>
        <v>0.0772594046408583</v>
      </c>
      <c r="P77" s="53">
        <f>IFERROR(-P76/P15,"")</f>
        <v>0.0747529103281498</v>
      </c>
      <c r="Q77" s="53">
        <f>IFERROR(-Q76/Q15,"")</f>
        <v>0.0793483334389683</v>
      </c>
      <c r="R77" s="53" t="n"/>
      <c r="S77" s="53">
        <f>IFERROR(-S76/S15,"")</f>
        <v>0.086929566598228</v>
      </c>
      <c r="T77" s="53">
        <f>IFERROR(-T76/T15,"")</f>
        <v>0.0898226699987998</v>
      </c>
      <c r="U77" s="53">
        <f>IFERROR(-U76/U15,"")</f>
        <v>0.086207214488293</v>
      </c>
      <c r="V77" s="53">
        <f>IFERROR(-V76/V15,"")</f>
        <v>0.124471691092541</v>
      </c>
      <c r="W77" s="53" t="n"/>
      <c r="X77" s="53">
        <f>IFERROR(-X76/X15,"")</f>
        <v>0.0906602357074357</v>
      </c>
      <c r="Y77" s="53">
        <f>IFERROR(-Y76/Y15,"")</f>
        <v>0.0877702678419711</v>
      </c>
      <c r="Z77" s="53">
        <f>IFERROR(-Z76/Z15,"")</f>
        <v>0.0924141974339925</v>
      </c>
      <c r="AA77" s="53">
        <f>IFERROR(-AA76/AA15,"")</f>
        <v>0.091451085422647</v>
      </c>
      <c r="AB77" s="53" t="n"/>
      <c r="AC77" s="53">
        <f>IFERROR(-AC76/AC15,"")</f>
        <v>0.102728237923897</v>
      </c>
      <c r="AD77" s="53">
        <f>IFERROR(-AD76/AD15,"")</f>
        <v>0.108206561188259</v>
      </c>
      <c r="AE77" s="53">
        <f>IFERROR(-AE76/AE15,"")</f>
        <v>0.105582290115019</v>
      </c>
      <c r="AF77" s="55">
        <f>IFERROR(-AF76/AF15,"")</f>
        <v>0.107736007272391</v>
      </c>
      <c r="AG77" s="53" t="n"/>
      <c r="AH77" s="55">
        <f>IFERROR(-AH76/AH15,"")</f>
        <v>0.113501710092179</v>
      </c>
      <c r="AI77" s="55">
        <f>IFERROR(-AI76/AI15,"")</f>
        <v>0.111440290380802</v>
      </c>
      <c r="AJ77" s="55">
        <f>Control!$B$21</f>
        <v>0.108199182828758</v>
      </c>
      <c r="AK77" s="55">
        <f>Control!$B$21</f>
        <v>0.108199182828758</v>
      </c>
      <c r="AL77" s="53" t="n"/>
      <c r="AM77" s="55">
        <f>Control!$C$21</f>
        <v>0.108199182828758</v>
      </c>
      <c r="AN77" s="55">
        <f>Control!$C$21</f>
        <v>0.108199182828758</v>
      </c>
      <c r="AO77" s="55">
        <f>Control!$C$21</f>
        <v>0.108199182828758</v>
      </c>
      <c r="AP77" s="55">
        <f>Control!$C$21</f>
        <v>0.108199182828758</v>
      </c>
      <c r="AQ77" s="53" t="n"/>
      <c r="AR77" s="55">
        <f>Control!$D$21</f>
        <v>0.108199182828758</v>
      </c>
      <c r="AS77" s="55">
        <f>Control!$D$21</f>
        <v>0.108199182828758</v>
      </c>
      <c r="AT77" s="55">
        <f>Control!$D$21</f>
        <v>0.108199182828758</v>
      </c>
      <c r="AU77" s="55">
        <f>Control!$D$21</f>
        <v>0.108199182828758</v>
      </c>
      <c r="AV77" s="53" t="n"/>
      <c r="AW77" s="55">
        <f>Control!$E$21</f>
        <v>0.108199182828758</v>
      </c>
      <c r="AX77" s="55">
        <f>Control!$E$21</f>
        <v>0.108199182828758</v>
      </c>
      <c r="AY77" s="55">
        <f>Control!$E$21</f>
        <v>0.108199182828758</v>
      </c>
      <c r="AZ77" s="55">
        <f>Control!$E$21</f>
        <v>0.108199182828758</v>
      </c>
      <c r="BA77" s="53" t="n"/>
      <c r="BB77" s="55">
        <f>Control!$F$21</f>
        <v>0.108199182828758</v>
      </c>
      <c r="BC77" s="55">
        <f>Control!$F$21</f>
        <v>0.108199182828758</v>
      </c>
      <c r="BD77" s="55">
        <f>Control!$F$21</f>
        <v>0.108199182828758</v>
      </c>
      <c r="BE77" s="55">
        <f>Control!$F$21</f>
        <v>0.108199182828758</v>
      </c>
      <c r="BF77" s="53" t="n"/>
      <c r="BG77" s="55" t="n"/>
      <c r="BH77" s="55" t="n"/>
      <c r="BI77" s="55" t="n"/>
      <c r="BJ77" s="55" t="n"/>
      <c r="BK77" s="53" t="n"/>
      <c r="BL77" s="55" t="n"/>
      <c r="BM77" s="55" t="n"/>
      <c r="BN77" s="55" t="n"/>
      <c r="BO77" s="55" t="n"/>
      <c r="BP77" s="53" t="n"/>
      <c r="BQ77" s="55" t="n"/>
      <c r="BR77" s="55" t="n"/>
      <c r="BS77" s="55" t="n"/>
      <c r="BT77" s="55" t="n"/>
      <c r="BU77" s="53" t="n"/>
      <c r="BV77" s="55" t="n"/>
      <c r="BW77" s="55" t="n"/>
      <c r="BX77" s="55" t="n"/>
      <c r="BY77" s="55" t="n"/>
      <c r="BZ77" s="53" t="n"/>
      <c r="CA77" s="55" t="n"/>
      <c r="CB77" s="55" t="n"/>
      <c r="CC77" s="55" t="n"/>
      <c r="CD77" s="55" t="n"/>
      <c r="CE77" s="53" t="n"/>
      <c r="CF77" s="55" t="n"/>
      <c r="CG77" s="55" t="n"/>
      <c r="CH77" s="55" t="n"/>
      <c r="CI77" s="55" t="n"/>
      <c r="CJ77" s="53" t="n"/>
      <c r="CK77" s="55" t="n"/>
      <c r="CL77" s="55" t="n"/>
      <c r="CM77" s="55" t="n"/>
      <c r="CN77" s="55" t="n"/>
      <c r="CO77" s="53" t="n"/>
      <c r="CP77" s="55" t="n"/>
      <c r="CQ77" s="55" t="n"/>
      <c r="CR77" s="55" t="n"/>
      <c r="CS77" s="55" t="n"/>
      <c r="CT77" s="53" t="n"/>
      <c r="CU77" s="55" t="n"/>
      <c r="CV77" s="55" t="n"/>
      <c r="CW77" s="55" t="n"/>
      <c r="CX77" s="55" t="n"/>
      <c r="CY77" s="53" t="n"/>
    </row>
    <row r="78" hidden="1" outlineLevel="1">
      <c r="C78" s="50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  <c r="BJ78" s="12" t="n"/>
      <c r="BK78" s="12" t="n"/>
      <c r="BL78" s="12" t="n"/>
      <c r="BM78" s="12" t="n"/>
      <c r="BN78" s="12" t="n"/>
      <c r="BO78" s="12" t="n"/>
      <c r="BP78" s="12" t="n"/>
      <c r="BQ78" s="12" t="n"/>
      <c r="BR78" s="12" t="n"/>
      <c r="BS78" s="12" t="n"/>
      <c r="BT78" s="12" t="n"/>
      <c r="BU78" s="12" t="n"/>
      <c r="BV78" s="12" t="n"/>
      <c r="BW78" s="12" t="n"/>
      <c r="BX78" s="12" t="n"/>
      <c r="BY78" s="12" t="n"/>
      <c r="BZ78" s="12" t="n"/>
      <c r="CA78" s="12" t="n"/>
      <c r="CB78" s="12" t="n"/>
      <c r="CC78" s="12" t="n"/>
      <c r="CD78" s="12" t="n"/>
      <c r="CE78" s="12" t="n"/>
      <c r="CF78" s="12" t="n"/>
      <c r="CG78" s="12" t="n"/>
      <c r="CH78" s="12" t="n"/>
      <c r="CI78" s="12" t="n"/>
      <c r="CJ78" s="12" t="n"/>
      <c r="CK78" s="12" t="n"/>
      <c r="CL78" s="12" t="n"/>
      <c r="CM78" s="12" t="n"/>
      <c r="CN78" s="12" t="n"/>
      <c r="CO78" s="12" t="n"/>
      <c r="CP78" s="12" t="n"/>
      <c r="CQ78" s="12" t="n"/>
      <c r="CR78" s="12" t="n"/>
      <c r="CS78" s="12" t="n"/>
      <c r="CT78" s="12" t="n"/>
      <c r="CU78" s="12" t="n"/>
      <c r="CV78" s="12" t="n"/>
      <c r="CW78" s="12" t="n"/>
      <c r="CX78" s="12" t="n"/>
      <c r="CY78" s="12" t="n"/>
    </row>
    <row r="79" collapsed="1" customFormat="1" s="32">
      <c r="A79" s="30" t="n"/>
      <c r="B79" s="3" t="n"/>
      <c r="C79" s="33" t="inlineStr">
        <is>
          <t>Operating Profit - EBIT</t>
        </is>
      </c>
      <c r="D79" s="35" t="n"/>
      <c r="E79" s="35" t="n"/>
      <c r="F79" s="35" t="n"/>
      <c r="G79" s="35" t="n"/>
      <c r="H79" s="35" t="n"/>
      <c r="I79" s="35">
        <f>SUM(I75,I76)</f>
        <v>516.655018203</v>
      </c>
      <c r="J79" s="35">
        <f>SUM(J75,J76)</f>
        <v>723.575592924</v>
      </c>
      <c r="K79" s="35">
        <f>SUM(K75,K76)</f>
        <v>889.681744184</v>
      </c>
      <c r="L79" s="35">
        <f>SUM(L75,L76)</f>
        <v>1000.638644689</v>
      </c>
      <c r="M79" s="35">
        <f>SUM(I79:L79)</f>
        <v>3130.551</v>
      </c>
      <c r="N79" s="35">
        <f>SUM(N75,N76)</f>
        <v>1135.551</v>
      </c>
      <c r="O79" s="35">
        <f>SUM(O75,O76)</f>
        <v>1286.7492</v>
      </c>
      <c r="P79" s="35">
        <f>SUM(P75,P76)</f>
        <v>1428.006000459</v>
      </c>
      <c r="Q79" s="35">
        <f>SUM(Q75,Q76)</f>
        <v>1266.511076381</v>
      </c>
      <c r="R79" s="35">
        <f>SUM(N79:Q79)</f>
        <v>5116.81727684</v>
      </c>
      <c r="S79" s="35">
        <f>SUM(S75,S76)</f>
        <v>1317.10472877</v>
      </c>
      <c r="T79" s="35">
        <f>SUM(T75,T76)</f>
        <v>1588.107129199</v>
      </c>
      <c r="U79" s="35">
        <f>SUM(U75,U76)</f>
        <v>1367.863456903</v>
      </c>
      <c r="V79" s="35">
        <f>SUM(V75,V76)</f>
        <v>591.595117059001</v>
      </c>
      <c r="W79" s="35">
        <f>SUM(S79:V79)</f>
        <v>4864.670431931</v>
      </c>
      <c r="X79" s="35">
        <f>SUM(X75,X76)</f>
        <v>1539.16544358</v>
      </c>
      <c r="Y79" s="35">
        <f>SUM(Y75,Y76)</f>
        <v>1699.36630751</v>
      </c>
      <c r="Z79" s="35">
        <f>SUM(Z75,Z76)</f>
        <v>1702.08633073</v>
      </c>
      <c r="AA79" s="35">
        <f>SUM(AA75,AA76)</f>
        <v>1640.64084331</v>
      </c>
      <c r="AB79" s="35">
        <f>SUM(X79:AA79)</f>
        <v>6581.25892513</v>
      </c>
      <c r="AC79" s="35">
        <f>SUM(AC75,AC76)</f>
        <v>1749.60703809</v>
      </c>
      <c r="AD79" s="35">
        <f>SUM(AD75,AD76)</f>
        <v>1803.69487814</v>
      </c>
      <c r="AE79" s="35">
        <f>SUM(AE75,AE76)</f>
        <v>1734.80874238</v>
      </c>
      <c r="AF79" s="35">
        <f>SUM(AF75,AF76)</f>
        <v>2868.08848073</v>
      </c>
      <c r="AG79" s="35">
        <f>SUM(AC79:AF79)</f>
        <v>8156.19913934</v>
      </c>
      <c r="AH79" s="35">
        <f>SUM(AH75,AH76)</f>
        <v>1772.31258503</v>
      </c>
      <c r="AI79" s="35">
        <f>SUM(AI75,AI76)</f>
        <v>2098.32855057</v>
      </c>
      <c r="AJ79" s="35">
        <f>SUM(AJ75,AJ76)</f>
        <v>2175.96733877928</v>
      </c>
      <c r="AK79" s="35">
        <f>SUM(AK75,AK76)</f>
        <v>2179.60512271981</v>
      </c>
      <c r="AL79" s="35">
        <f>SUM(AL75,AL76)</f>
        <v>8226.2135970991</v>
      </c>
      <c r="AM79" s="35">
        <f>SUM(AM75,AM76)</f>
        <v>2141.34391617504</v>
      </c>
      <c r="AN79" s="35">
        <f>SUM(AN75,AN76)</f>
        <v>2204.924564906</v>
      </c>
      <c r="AO79" s="35">
        <f>SUM(AO75,AO76)</f>
        <v>2309.30280940223</v>
      </c>
      <c r="AP79" s="35">
        <f>SUM(AP75,AP76)</f>
        <v>2313.16350368939</v>
      </c>
      <c r="AQ79" s="35">
        <f>SUM(AQ75,AQ76)</f>
        <v>8968.73479417266</v>
      </c>
      <c r="AR79" s="35">
        <f>SUM(AR75,AR76)</f>
        <v>2261.85106811715</v>
      </c>
      <c r="AS79" s="35">
        <f>SUM(AS75,AS76)</f>
        <v>2329.00980761593</v>
      </c>
      <c r="AT79" s="35">
        <f>SUM(AT75,AT76)</f>
        <v>2439.262085178</v>
      </c>
      <c r="AU79" s="35">
        <f>SUM(AU75,AU76)</f>
        <v>2443.34004548653</v>
      </c>
      <c r="AV79" s="35">
        <f>SUM(AV75,AV76)</f>
        <v>9473.4630063976</v>
      </c>
      <c r="AW79" s="35">
        <f>SUM(AW75,AW76)</f>
        <v>2377.83067482114</v>
      </c>
      <c r="AX79" s="35">
        <f>SUM(AX75,AX76)</f>
        <v>2448.43307349961</v>
      </c>
      <c r="AY79" s="35">
        <f>SUM(AY75,AY76)</f>
        <v>2564.33869224321</v>
      </c>
      <c r="AZ79" s="35">
        <f>SUM(AZ75,AZ76)</f>
        <v>2568.62575572365</v>
      </c>
      <c r="BA79" s="35">
        <f>SUM(BA75,BA76)</f>
        <v>9959.2281962876</v>
      </c>
      <c r="BB79" s="35">
        <f>SUM(BB75,BB76)</f>
        <v>2487.86814621991</v>
      </c>
      <c r="BC79" s="35">
        <f>SUM(BC75,BC76)</f>
        <v>2561.73777057072</v>
      </c>
      <c r="BD79" s="35">
        <f>SUM(BD75,BD76)</f>
        <v>2683.00708545236</v>
      </c>
      <c r="BE79" s="35">
        <f>SUM(BE75,BE76)</f>
        <v>2687.49253884766</v>
      </c>
      <c r="BF79" s="35">
        <f>SUM(BF75,BF76)</f>
        <v>10420.1055410907</v>
      </c>
      <c r="BG79" s="35" t="n"/>
      <c r="BH79" s="35" t="n"/>
      <c r="BI79" s="35" t="n"/>
      <c r="BJ79" s="35" t="n"/>
      <c r="BK79" s="35" t="n"/>
      <c r="BL79" s="35" t="n"/>
      <c r="BM79" s="35" t="n"/>
      <c r="BN79" s="35" t="n"/>
      <c r="BO79" s="35" t="n"/>
      <c r="BP79" s="35" t="n"/>
      <c r="BQ79" s="35" t="n"/>
      <c r="BR79" s="35" t="n"/>
      <c r="BS79" s="35" t="n"/>
      <c r="BT79" s="35" t="n"/>
      <c r="BU79" s="35" t="n"/>
      <c r="BV79" s="35" t="n"/>
      <c r="BW79" s="35" t="n"/>
      <c r="BX79" s="35" t="n"/>
      <c r="BY79" s="35" t="n"/>
      <c r="BZ79" s="35" t="n"/>
      <c r="CA79" s="35" t="n"/>
      <c r="CB79" s="35" t="n"/>
      <c r="CC79" s="35" t="n"/>
      <c r="CD79" s="35" t="n"/>
      <c r="CE79" s="35" t="n"/>
      <c r="CF79" s="35" t="n"/>
      <c r="CG79" s="35" t="n"/>
      <c r="CH79" s="35" t="n"/>
      <c r="CI79" s="35" t="n"/>
      <c r="CJ79" s="35" t="n"/>
      <c r="CK79" s="35" t="n"/>
      <c r="CL79" s="35" t="n"/>
      <c r="CM79" s="35" t="n"/>
      <c r="CN79" s="35" t="n"/>
      <c r="CO79" s="35" t="n"/>
      <c r="CP79" s="35" t="n"/>
      <c r="CQ79" s="35" t="n"/>
      <c r="CR79" s="35" t="n"/>
      <c r="CS79" s="35" t="n"/>
      <c r="CT79" s="35" t="n"/>
      <c r="CU79" s="35" t="n"/>
      <c r="CV79" s="35" t="n"/>
      <c r="CW79" s="35" t="n"/>
      <c r="CX79" s="35" t="n"/>
      <c r="CY79" s="35" t="n"/>
    </row>
    <row r="80">
      <c r="C80" s="14" t="inlineStr">
        <is>
          <t>Interest Expense</t>
        </is>
      </c>
      <c r="D80" s="46" t="n"/>
      <c r="E80" s="46" t="n"/>
      <c r="F80" s="46" t="n"/>
      <c r="G80" s="46" t="n"/>
      <c r="H80" s="12" t="n"/>
      <c r="I80" s="46">
        <f>'Inputs (2)'!D8</f>
        <v>-454.957867286</v>
      </c>
      <c r="J80" s="46">
        <f>'Inputs (2)'!E8</f>
        <v>-191.11210572</v>
      </c>
      <c r="K80" s="46">
        <f>'Inputs (2)'!F8</f>
        <v>-526.933886687</v>
      </c>
      <c r="L80" s="46">
        <f>'Inputs (2)'!G8</f>
        <v>-780.951140307</v>
      </c>
      <c r="M80" s="12">
        <f>'Inputs (2)'!H8</f>
        <v>-1953.955</v>
      </c>
      <c r="N80" s="46">
        <f>'Inputs (2)'!I8</f>
        <v>-1017.218</v>
      </c>
      <c r="O80" s="46">
        <f>'Inputs (2)'!J8</f>
        <v>-1246.042</v>
      </c>
      <c r="P80" s="46">
        <f>'Inputs (2)'!K8</f>
        <v>-1499.372</v>
      </c>
      <c r="Q80" s="46">
        <f>'Inputs (2)'!L8</f>
        <v>-1595.840510535</v>
      </c>
      <c r="R80" s="12">
        <f>'Inputs (2)'!M8</f>
        <v>-5358.472510535</v>
      </c>
      <c r="S80" s="46">
        <f>'Inputs (2)'!N8</f>
        <v>-1648.827</v>
      </c>
      <c r="T80" s="46">
        <f>'Inputs (2)'!O8</f>
        <v>-1664.541</v>
      </c>
      <c r="U80" s="46">
        <f>'Inputs (2)'!P8</f>
        <v>-1877.077</v>
      </c>
      <c r="V80" s="46">
        <f>'Inputs (2)'!Q8</f>
        <v>-1840.783</v>
      </c>
      <c r="W80" s="12">
        <f>'Inputs (2)'!R8</f>
        <v>-7031.228</v>
      </c>
      <c r="X80" s="46">
        <f>'Inputs (2)'!S8</f>
        <v>-1808.78418443</v>
      </c>
      <c r="Y80" s="46">
        <f>'Inputs (2)'!T8</f>
        <v>-1862.35669101</v>
      </c>
      <c r="Z80" s="46">
        <f>'Inputs (2)'!U8</f>
        <v>-1990.90045149</v>
      </c>
      <c r="AA80" s="46">
        <f>'Inputs (2)'!V8</f>
        <v>-2181.35818543</v>
      </c>
      <c r="AB80" s="12">
        <f>'Inputs (2)'!W8</f>
        <v>-7843.39951236</v>
      </c>
      <c r="AC80" s="46">
        <f>'Inputs (2)'!X8</f>
        <v>-2235.645</v>
      </c>
      <c r="AD80" s="46">
        <f>'Inputs (2)'!Y8</f>
        <v>-2445.21</v>
      </c>
      <c r="AE80" s="46">
        <f>'Inputs (2)'!Z8</f>
        <v>-2633.139</v>
      </c>
      <c r="AF80" s="46">
        <f>'Inputs (2)'!AA8</f>
        <v>-2646.005</v>
      </c>
      <c r="AG80" s="12">
        <f>'Inputs (2)'!AB8</f>
        <v>-9959.999</v>
      </c>
      <c r="AH80" s="12">
        <f>'Inputs (2)'!AC8</f>
        <v>-2595.69</v>
      </c>
      <c r="AI80" s="12">
        <f>'Inputs (2)'!AD8</f>
        <v>-2958.432</v>
      </c>
      <c r="AJ80" s="12" t="str">
        <f>IF(Control!$E$9="","",-AI98*Control!$E$9/4)</f>
        <v/>
      </c>
      <c r="AK80" s="12" t="str">
        <f>IF(Control!$E$9="","",-AJ98*Control!$E$9/4)</f>
        <v/>
      </c>
      <c r="AL80" s="12">
        <f>SUM(AH80:AK80)</f>
        <v>-5554.122</v>
      </c>
      <c r="AM80" s="12" t="str">
        <f>IF(Control!$E$9="","",-AL98*Control!$E$9/4)</f>
        <v/>
      </c>
      <c r="AN80" s="12" t="str">
        <f>IF(Control!$E$9="","",-AM98*Control!$E$9/4)</f>
        <v/>
      </c>
      <c r="AO80" s="12" t="str">
        <f>IF(Control!$E$9="","",-AN98*Control!$E$9/4)</f>
        <v/>
      </c>
      <c r="AP80" s="12" t="str">
        <f>IF(Control!$E$9="","",-AO98*Control!$E$9/4)</f>
        <v/>
      </c>
      <c r="AQ80" s="12">
        <f>SUM(AM80:AP80)</f>
        <v>0</v>
      </c>
      <c r="AR80" s="12" t="str">
        <f>IF(Control!$E$9="","",-AQ98*Control!$E$9/4)</f>
        <v/>
      </c>
      <c r="AS80" s="12" t="str">
        <f>IF(Control!$E$9="","",-AR98*Control!$E$9/4)</f>
        <v/>
      </c>
      <c r="AT80" s="12" t="str">
        <f>IF(Control!$E$9="","",-AS98*Control!$E$9/4)</f>
        <v/>
      </c>
      <c r="AU80" s="12" t="str">
        <f>IF(Control!$E$9="","",-AT98*Control!$E$9/4)</f>
        <v/>
      </c>
      <c r="AV80" s="12">
        <f>SUM(AR80:AU80)</f>
        <v>0</v>
      </c>
      <c r="AW80" s="12" t="str">
        <f>IF(Control!$E$9="","",-AV98*Control!$E$9/4)</f>
        <v/>
      </c>
      <c r="AX80" s="12" t="str">
        <f>IF(Control!$E$9="","",-AW98*Control!$E$9/4)</f>
        <v/>
      </c>
      <c r="AY80" s="12" t="str">
        <f>IF(Control!$E$9="","",-AX98*Control!$E$9/4)</f>
        <v/>
      </c>
      <c r="AZ80" s="12" t="str">
        <f>IF(Control!$E$9="","",-AY98*Control!$E$9/4)</f>
        <v/>
      </c>
      <c r="BA80" s="12">
        <f>SUM(AW80:AZ80)</f>
        <v>0</v>
      </c>
      <c r="BB80" s="12" t="str">
        <f>IF(Control!$E$9="","",-BA98*Control!$E$9/4)</f>
        <v/>
      </c>
      <c r="BC80" s="12" t="str">
        <f>IF(Control!$E$9="","",-BB98*Control!$E$9/4)</f>
        <v/>
      </c>
      <c r="BD80" s="12" t="str">
        <f>IF(Control!$E$9="","",-BC98*Control!$E$9/4)</f>
        <v/>
      </c>
      <c r="BE80" s="12" t="str">
        <f>IF(Control!$E$9="","",-BD98*Control!$E$9/4)</f>
        <v/>
      </c>
      <c r="BF80" s="12">
        <f>SUM(BB80:BE80)</f>
        <v>0</v>
      </c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0" t="inlineStr">
        <is>
          <t>% of Debt</t>
        </is>
      </c>
      <c r="D81" s="53" t="n"/>
      <c r="E81" s="53" t="n"/>
      <c r="F81" s="53" t="n"/>
      <c r="G81" s="53" t="n"/>
      <c r="H81" s="12" t="n"/>
      <c r="I81" s="53">
        <f>IFERROR(-I80/SUM(I218+I223),"")</f>
        <v>0.0197985345905152</v>
      </c>
      <c r="J81" s="53">
        <f>IFERROR(-J80/SUM(J218+J223),"")</f>
        <v>0.00850026740260966</v>
      </c>
      <c r="K81" s="53">
        <f>IFERROR(-K80/SUM(K218+K223),"")</f>
        <v>0.0185294826705973</v>
      </c>
      <c r="L81" s="53">
        <f>IFERROR(-L80/SUM(L218+L223),"")</f>
        <v>0.0232982541000034</v>
      </c>
      <c r="M81" s="12" t="n"/>
      <c r="N81" s="53">
        <f>IFERROR(-N80/SUM(N218+N223),"")</f>
        <v>0.0319237413937743</v>
      </c>
      <c r="O81" s="53">
        <f>IFERROR(-O80/SUM(O218+O223),"")</f>
        <v>0.0345298464019547</v>
      </c>
      <c r="P81" s="53">
        <f>IFERROR(-P80/SUM(P218+P223),"")</f>
        <v>0.0377705573888666</v>
      </c>
      <c r="Q81" s="53">
        <f>IFERROR(-Q80/SUM(Q218+Q223),"")</f>
        <v>0.0417684725013754</v>
      </c>
      <c r="R81" s="12" t="n"/>
      <c r="S81" s="53">
        <f>IFERROR(-S80/SUM(S218+S223),"")</f>
        <v>0.0434710898981798</v>
      </c>
      <c r="T81" s="53">
        <f>IFERROR(-T80/SUM(T218+T223),"")</f>
        <v>0.0426863854492896</v>
      </c>
      <c r="U81" s="53">
        <f>IFERROR(-U80/SUM(U218+U223),"")</f>
        <v>0.0475646639952715</v>
      </c>
      <c r="V81" s="53">
        <f>IFERROR(-V80/SUM(V218+V223),"")</f>
        <v>0.0422645941516903</v>
      </c>
      <c r="W81" s="12" t="n"/>
      <c r="X81" s="53">
        <f>IFERROR(-X80/SUM(X218+X223),"")</f>
        <v>0.0386284654061492</v>
      </c>
      <c r="Y81" s="53">
        <f>IFERROR(-Y80/SUM(Y218+Y223),"")</f>
        <v>0.0378090783951214</v>
      </c>
      <c r="Z81" s="53">
        <f>IFERROR(-Z80/SUM(Z218+Z223),"")</f>
        <v>0.0377902701742682</v>
      </c>
      <c r="AA81" s="53">
        <f>IFERROR(-AA80/SUM(AA218+AA223),"")</f>
        <v>0.0398424610756071</v>
      </c>
      <c r="AB81" s="12" t="n"/>
      <c r="AC81" s="53">
        <f>IFERROR(-AC80/SUM(AC218+AC223),"")</f>
        <v>0.0402473198761642</v>
      </c>
      <c r="AD81" s="53">
        <f>IFERROR(-AD80/SUM(AD218+AD223),"")</f>
        <v>0.0447006148998768</v>
      </c>
      <c r="AE81" s="53">
        <f>IFERROR(-AE80/SUM(AE218+AE223),"")</f>
        <v>0.0492133235995884</v>
      </c>
      <c r="AF81" s="55">
        <f>IFERROR(-AF80/SUM(AF218+AF223),"")</f>
        <v>0.0474845231827144</v>
      </c>
      <c r="AG81" s="12" t="n"/>
      <c r="AH81" s="11">
        <f>IFERROR(-AH80/SUM(AH218+AH223),"")</f>
        <v>0.0455121467888223</v>
      </c>
      <c r="AI81" s="11">
        <f>IFERROR(-AI80/SUM(AI218+AI223),"")</f>
        <v>0.052689956738252</v>
      </c>
      <c r="AJ81" s="11" t="str">
        <f>IFERROR(Control!$E$9,0)</f>
        <v/>
      </c>
      <c r="AK81" s="11" t="str">
        <f>IFERROR(Control!$E$9,0)</f>
        <v/>
      </c>
      <c r="AL81" s="12" t="n"/>
      <c r="AM81" s="11" t="str">
        <f>IFERROR(Control!$E$9,0)</f>
        <v/>
      </c>
      <c r="AN81" s="11" t="str">
        <f>IFERROR(Control!$E$9,0)</f>
        <v/>
      </c>
      <c r="AO81" s="11" t="str">
        <f>IFERROR(Control!$E$9,0)</f>
        <v/>
      </c>
      <c r="AP81" s="11" t="str">
        <f>IFERROR(Control!$E$9,0)</f>
        <v/>
      </c>
      <c r="AQ81" s="12" t="n"/>
      <c r="AR81" s="11" t="str">
        <f>IFERROR(Control!$E$9,0)</f>
        <v/>
      </c>
      <c r="AS81" s="11" t="str">
        <f>IFERROR(Control!$E$9,0)</f>
        <v/>
      </c>
      <c r="AT81" s="11" t="str">
        <f>IFERROR(Control!$E$9,0)</f>
        <v/>
      </c>
      <c r="AU81" s="11" t="str">
        <f>IFERROR(Control!$E$9,0)</f>
        <v/>
      </c>
      <c r="AV81" s="12" t="n"/>
      <c r="AW81" s="11" t="str">
        <f>IFERROR(Control!$E$9,0)</f>
        <v/>
      </c>
      <c r="AX81" s="11" t="str">
        <f>IFERROR(Control!$E$9,0)</f>
        <v/>
      </c>
      <c r="AY81" s="11" t="str">
        <f>IFERROR(Control!$E$9,0)</f>
        <v/>
      </c>
      <c r="AZ81" s="11" t="str">
        <f>IFERROR(Control!$E$9,0)</f>
        <v/>
      </c>
      <c r="BA81" s="12" t="n"/>
      <c r="BB81" s="11" t="str">
        <f>IFERROR(Control!$E$9,0)</f>
        <v/>
      </c>
      <c r="BC81" s="11" t="str">
        <f>IFERROR(Control!$E$9,0)</f>
        <v/>
      </c>
      <c r="BD81" s="11" t="str">
        <f>IFERROR(Control!$E$9,0)</f>
        <v/>
      </c>
      <c r="BE81" s="11" t="str">
        <f>IFERROR(Control!$E$9,0)</f>
        <v/>
      </c>
      <c r="BF81" s="12" t="n"/>
      <c r="BG81" s="11" t="n"/>
      <c r="BH81" s="11" t="n"/>
      <c r="BI81" s="11" t="n"/>
      <c r="BJ81" s="11" t="n"/>
      <c r="BK81" s="12" t="n"/>
      <c r="BL81" s="11" t="n"/>
      <c r="BM81" s="11" t="n"/>
      <c r="BN81" s="11" t="n"/>
      <c r="BO81" s="11" t="n"/>
      <c r="BP81" s="12" t="n"/>
      <c r="BQ81" s="11" t="n"/>
      <c r="BR81" s="11" t="n"/>
      <c r="BS81" s="11" t="n"/>
      <c r="BT81" s="11" t="n"/>
      <c r="BU81" s="12" t="n"/>
      <c r="BV81" s="11" t="n"/>
      <c r="BW81" s="11" t="n"/>
      <c r="BX81" s="11" t="n"/>
      <c r="BY81" s="11" t="n"/>
      <c r="BZ81" s="12" t="n"/>
      <c r="CA81" s="11" t="n"/>
      <c r="CB81" s="11" t="n"/>
      <c r="CC81" s="11" t="n"/>
      <c r="CD81" s="11" t="n"/>
      <c r="CE81" s="12" t="n"/>
      <c r="CF81" s="11" t="n"/>
      <c r="CG81" s="11" t="n"/>
      <c r="CH81" s="11" t="n"/>
      <c r="CI81" s="11" t="n"/>
      <c r="CJ81" s="12" t="n"/>
      <c r="CK81" s="11" t="n"/>
      <c r="CL81" s="11" t="n"/>
      <c r="CM81" s="11" t="n"/>
      <c r="CN81" s="11" t="n"/>
      <c r="CO81" s="12" t="n"/>
      <c r="CP81" s="11" t="n"/>
      <c r="CQ81" s="11" t="n"/>
      <c r="CR81" s="11" t="n"/>
      <c r="CS81" s="11" t="n"/>
      <c r="CT81" s="12" t="n"/>
      <c r="CU81" s="11" t="n"/>
      <c r="CV81" s="11" t="n"/>
      <c r="CW81" s="11" t="n"/>
      <c r="CX81" s="11" t="n"/>
      <c r="CY81" s="12" t="n"/>
    </row>
    <row r="82" hidden="1" outlineLevel="1">
      <c r="C82" s="50" t="inlineStr">
        <is>
          <t>%CDI</t>
        </is>
      </c>
      <c r="D82" s="11" t="n"/>
      <c r="E82" s="11" t="n"/>
      <c r="F82" s="11" t="n"/>
      <c r="G82" s="11" t="n"/>
      <c r="H82" s="12" t="n"/>
      <c r="I82" s="11" t="n"/>
      <c r="J82" s="11" t="n"/>
      <c r="K82" s="11" t="n"/>
      <c r="L82" s="11" t="n"/>
      <c r="M82" s="12" t="n"/>
      <c r="N82" s="11" t="n"/>
      <c r="O82" s="11" t="n"/>
      <c r="P82" s="11" t="n"/>
      <c r="Q82" s="11" t="n"/>
      <c r="R82" s="12" t="n"/>
      <c r="S82" s="11" t="n"/>
      <c r="T82" s="11" t="n"/>
      <c r="U82" s="11" t="n"/>
      <c r="V82" s="11" t="n"/>
      <c r="W82" s="12" t="n"/>
      <c r="X82" s="11" t="n"/>
      <c r="Y82" s="11" t="n"/>
      <c r="Z82" s="11" t="n"/>
      <c r="AA82" s="11" t="n"/>
      <c r="AB82" s="12" t="n"/>
      <c r="AC82" s="11" t="n"/>
      <c r="AD82" s="11" t="n"/>
      <c r="AE82" s="11" t="n"/>
      <c r="AF82" s="11" t="n"/>
      <c r="AG82" s="12" t="n"/>
      <c r="AH82" s="11" t="n"/>
      <c r="AI82" s="11" t="n"/>
      <c r="AJ82" s="11" t="n"/>
      <c r="AK82" s="11" t="n"/>
      <c r="AL82" s="12" t="n"/>
      <c r="AM82" s="11" t="n"/>
      <c r="AN82" s="11" t="n"/>
      <c r="AO82" s="11" t="n"/>
      <c r="AP82" s="11" t="n"/>
      <c r="AQ82" s="12" t="n"/>
      <c r="AR82" s="11" t="n"/>
      <c r="AS82" s="11" t="n"/>
      <c r="AT82" s="11" t="n"/>
      <c r="AU82" s="11" t="n"/>
      <c r="AV82" s="12" t="n"/>
      <c r="AW82" s="11" t="n"/>
      <c r="AX82" s="11" t="n"/>
      <c r="AY82" s="11" t="n"/>
      <c r="AZ82" s="11" t="n"/>
      <c r="BA82" s="12" t="n"/>
      <c r="BB82" s="11" t="n"/>
      <c r="BC82" s="11" t="n"/>
      <c r="BD82" s="11" t="n"/>
      <c r="BE82" s="11" t="n"/>
      <c r="BF82" s="12" t="n"/>
      <c r="BG82" s="11" t="n"/>
      <c r="BH82" s="11" t="n"/>
      <c r="BI82" s="11" t="n"/>
      <c r="BJ82" s="11" t="n"/>
      <c r="BK82" s="12" t="n"/>
      <c r="BL82" s="11" t="n"/>
      <c r="BM82" s="11" t="n"/>
      <c r="BN82" s="11" t="n"/>
      <c r="BO82" s="11" t="n"/>
      <c r="BP82" s="12" t="n"/>
      <c r="BQ82" s="11" t="n"/>
      <c r="BR82" s="11" t="n"/>
      <c r="BS82" s="11" t="n"/>
      <c r="BT82" s="11" t="n"/>
      <c r="BU82" s="12" t="n"/>
      <c r="BV82" s="11" t="n"/>
      <c r="BW82" s="11" t="n"/>
      <c r="BX82" s="11" t="n"/>
      <c r="BY82" s="11" t="n"/>
      <c r="BZ82" s="12" t="n"/>
      <c r="CA82" s="11" t="n"/>
      <c r="CB82" s="11" t="n"/>
      <c r="CC82" s="11" t="n"/>
      <c r="CD82" s="11" t="n"/>
      <c r="CE82" s="12" t="n"/>
      <c r="CF82" s="11" t="n"/>
      <c r="CG82" s="11" t="n"/>
      <c r="CH82" s="11" t="n"/>
      <c r="CI82" s="11" t="n"/>
      <c r="CJ82" s="12" t="n"/>
      <c r="CK82" s="11" t="n"/>
      <c r="CL82" s="11" t="n"/>
      <c r="CM82" s="11" t="n"/>
      <c r="CN82" s="11" t="n"/>
      <c r="CO82" s="12" t="n"/>
      <c r="CP82" s="11" t="n"/>
      <c r="CQ82" s="11" t="n"/>
      <c r="CR82" s="11" t="n"/>
      <c r="CS82" s="11" t="n"/>
      <c r="CT82" s="12" t="n"/>
      <c r="CU82" s="11" t="n"/>
      <c r="CV82" s="11" t="n"/>
      <c r="CW82" s="11" t="n"/>
      <c r="CX82" s="11" t="n"/>
      <c r="CY82" s="12" t="n"/>
    </row>
    <row r="83" hidden="1" outlineLevel="1">
      <c r="C83" s="57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inlineStr">
        <is>
          <t>RECEITA FINANCEIRA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inlineStr">
        <is>
          <t>DESPESA FINANCEIRA</t>
        </is>
      </c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inlineStr">
        <is>
          <t>OUTROS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inlineStr">
        <is>
          <t>Cash and equivalents (inc. investment securities)</t>
        </is>
      </c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inlineStr">
        <is>
          <t>Interest on cash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inlineStr">
        <is>
          <t>Average interest rate</t>
        </is>
      </c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inlineStr">
        <is>
          <t>% CDI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inlineStr">
        <is>
          <t>Current portion of long-term debt</t>
        </is>
      </c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inlineStr">
        <is>
          <t>Short term debt (Revolving credit facility)</t>
        </is>
      </c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inlineStr">
        <is>
          <t>Long term debt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inlineStr">
        <is>
          <t>Convertible debt</t>
        </is>
      </c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inlineStr">
        <is>
          <t>Total debt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inlineStr">
        <is>
          <t>Interest expense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Average interest rate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inlineStr">
        <is>
          <t>Stake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inlineStr">
        <is>
          <t>PRE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CDI+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hidden="1" outlineLevel="1">
      <c r="C106" s="57" t="inlineStr">
        <is>
          <t>Spread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inlineStr">
        <is>
          <t>PRE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7" t="inlineStr">
        <is>
          <t>CDI+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7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7" t="inlineStr">
        <is>
          <t>RECEITAS FINANCEIRAS - Rendimentos de aplicações financeiras</t>
        </is>
      </c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7" t="inlineStr">
        <is>
          <t>RECEITAS FINANCEIRAS - Variação cambial ativa</t>
        </is>
      </c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7" t="inlineStr">
        <is>
          <t>RECEITAS FINANCEIRAS - Atualização de contas a pagar por aquisição de empresas</t>
        </is>
      </c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hidden="1" outlineLevel="1">
      <c r="C113" s="57" t="inlineStr">
        <is>
          <t>RECEITAS FINANCEIRAS - Resultado positivo com instrumentos derivativos</t>
        </is>
      </c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hidden="1" outlineLevel="1">
      <c r="C114" s="57" t="inlineStr">
        <is>
          <t>RECEITAS FINANCEIRAS - Descontos obtidos de fornecedores por antecipação</t>
        </is>
      </c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hidden="1" outlineLevel="1">
      <c r="C115" s="57" t="inlineStr">
        <is>
          <t>RECEITAS FINANCEIRAS - Atualização monetária sobre Exclusão ICMS da base de PIS/COFINS (nota explicativa nº 7)</t>
        </is>
      </c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  <c r="BJ115" s="12" t="n"/>
      <c r="BK115" s="12" t="n"/>
      <c r="BL115" s="12" t="n"/>
      <c r="BM115" s="12" t="n"/>
      <c r="BN115" s="12" t="n"/>
      <c r="BO115" s="12" t="n"/>
      <c r="BP115" s="12" t="n"/>
      <c r="BQ115" s="12" t="n"/>
      <c r="BR115" s="12" t="n"/>
      <c r="BS115" s="12" t="n"/>
      <c r="BT115" s="12" t="n"/>
      <c r="BU115" s="12" t="n"/>
      <c r="BV115" s="12" t="n"/>
      <c r="BW115" s="12" t="n"/>
      <c r="BX115" s="12" t="n"/>
      <c r="BY115" s="12" t="n"/>
      <c r="BZ115" s="12" t="n"/>
      <c r="CA115" s="12" t="n"/>
      <c r="CB115" s="12" t="n"/>
      <c r="CC115" s="12" t="n"/>
      <c r="CD115" s="12" t="n"/>
      <c r="CE115" s="12" t="n"/>
      <c r="CF115" s="12" t="n"/>
      <c r="CG115" s="12" t="n"/>
      <c r="CH115" s="12" t="n"/>
      <c r="CI115" s="12" t="n"/>
      <c r="CJ115" s="12" t="n"/>
      <c r="CK115" s="12" t="n"/>
      <c r="CL115" s="12" t="n"/>
      <c r="CM115" s="12" t="n"/>
      <c r="CN115" s="12" t="n"/>
      <c r="CO115" s="12" t="n"/>
      <c r="CP115" s="12" t="n"/>
      <c r="CQ115" s="12" t="n"/>
      <c r="CR115" s="12" t="n"/>
      <c r="CS115" s="12" t="n"/>
      <c r="CT115" s="12" t="n"/>
      <c r="CU115" s="12" t="n"/>
      <c r="CV115" s="12" t="n"/>
      <c r="CW115" s="12" t="n"/>
      <c r="CX115" s="12" t="n"/>
      <c r="CY115" s="12" t="n"/>
    </row>
    <row r="116" hidden="1" outlineLevel="1">
      <c r="C116" s="57" t="inlineStr">
        <is>
          <t>RECEITAS FINANCEIRAS - Outras</t>
        </is>
      </c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hidden="1" outlineLevel="1">
      <c r="C117" s="57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hidden="1" outlineLevel="1">
      <c r="C118" s="57" t="inlineStr">
        <is>
          <t>DESPESAS FINANCEIRAS - Encargos sobre empréstimos, financiamentos e debêntures</t>
        </is>
      </c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 hidden="1" outlineLevel="1">
      <c r="C119" s="57" t="inlineStr">
        <is>
          <t>DESPESAS FINANCEIRAS - Variação cambial passiva</t>
        </is>
      </c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hidden="1" outlineLevel="1">
      <c r="C120" s="57" t="inlineStr">
        <is>
          <t>DESPESAS FINANCEIRAS - Resultado negativo com instrumentos derivativos</t>
        </is>
      </c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 hidden="1" outlineLevel="1">
      <c r="C121" s="57" t="inlineStr">
        <is>
          <t>DESPESAS FINANCEIRAS - Juros sobre arrendamento - IFRS16</t>
        </is>
      </c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 hidden="1" outlineLevel="1">
      <c r="C122" s="57" t="inlineStr">
        <is>
          <t>DESPESAS FINANCEIRAS - Despesas bancárias</t>
        </is>
      </c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  <c r="AL122" s="12" t="n"/>
      <c r="AM122" s="12" t="n"/>
      <c r="AN122" s="12" t="n"/>
      <c r="AO122" s="12" t="n"/>
      <c r="AP122" s="12" t="n"/>
      <c r="AQ122" s="12" t="n"/>
      <c r="AR122" s="12" t="n"/>
      <c r="AS122" s="12" t="n"/>
      <c r="AT122" s="12" t="n"/>
      <c r="AU122" s="12" t="n"/>
      <c r="AV122" s="12" t="n"/>
      <c r="AW122" s="12" t="n"/>
      <c r="AX122" s="12" t="n"/>
      <c r="AY122" s="12" t="n"/>
      <c r="AZ122" s="12" t="n"/>
      <c r="BA122" s="12" t="n"/>
      <c r="BB122" s="12" t="n"/>
      <c r="BC122" s="12" t="n"/>
      <c r="BD122" s="12" t="n"/>
      <c r="BE122" s="12" t="n"/>
      <c r="BF122" s="12" t="n"/>
      <c r="BG122" s="12" t="n"/>
      <c r="BH122" s="12" t="n"/>
      <c r="BI122" s="12" t="n"/>
      <c r="BJ122" s="12" t="n"/>
      <c r="BK122" s="12" t="n"/>
      <c r="BL122" s="12" t="n"/>
      <c r="BM122" s="12" t="n"/>
      <c r="BN122" s="12" t="n"/>
      <c r="BO122" s="12" t="n"/>
      <c r="BP122" s="12" t="n"/>
      <c r="BQ122" s="12" t="n"/>
      <c r="BR122" s="12" t="n"/>
      <c r="BS122" s="12" t="n"/>
      <c r="BT122" s="12" t="n"/>
      <c r="BU122" s="12" t="n"/>
      <c r="BV122" s="12" t="n"/>
      <c r="BW122" s="12" t="n"/>
      <c r="BX122" s="12" t="n"/>
      <c r="BY122" s="12" t="n"/>
      <c r="BZ122" s="12" t="n"/>
      <c r="CA122" s="12" t="n"/>
      <c r="CB122" s="12" t="n"/>
      <c r="CC122" s="12" t="n"/>
      <c r="CD122" s="12" t="n"/>
      <c r="CE122" s="12" t="n"/>
      <c r="CF122" s="12" t="n"/>
      <c r="CG122" s="12" t="n"/>
      <c r="CH122" s="12" t="n"/>
      <c r="CI122" s="12" t="n"/>
      <c r="CJ122" s="12" t="n"/>
      <c r="CK122" s="12" t="n"/>
      <c r="CL122" s="12" t="n"/>
      <c r="CM122" s="12" t="n"/>
      <c r="CN122" s="12" t="n"/>
      <c r="CO122" s="12" t="n"/>
      <c r="CP122" s="12" t="n"/>
      <c r="CQ122" s="12" t="n"/>
      <c r="CR122" s="12" t="n"/>
      <c r="CS122" s="12" t="n"/>
      <c r="CT122" s="12" t="n"/>
      <c r="CU122" s="12" t="n"/>
      <c r="CV122" s="12" t="n"/>
      <c r="CW122" s="12" t="n"/>
      <c r="CX122" s="12" t="n"/>
      <c r="CY122" s="12" t="n"/>
    </row>
    <row r="123" hidden="1" outlineLevel="1">
      <c r="C123" s="57" t="inlineStr">
        <is>
          <t>DESPESAS FINANCEIRAS - Despesas com obtenção de empréstimos e financiamentos</t>
        </is>
      </c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  <c r="AT123" s="12" t="n"/>
      <c r="AU123" s="12" t="n"/>
      <c r="AV123" s="12" t="n"/>
      <c r="AW123" s="12" t="n"/>
      <c r="AX123" s="12" t="n"/>
      <c r="AY123" s="12" t="n"/>
      <c r="AZ123" s="12" t="n"/>
      <c r="BA123" s="12" t="n"/>
      <c r="BB123" s="12" t="n"/>
      <c r="BC123" s="12" t="n"/>
      <c r="BD123" s="12" t="n"/>
      <c r="BE123" s="12" t="n"/>
      <c r="BF123" s="12" t="n"/>
      <c r="BG123" s="12" t="n"/>
      <c r="BH123" s="12" t="n"/>
      <c r="BI123" s="12" t="n"/>
      <c r="BJ123" s="12" t="n"/>
      <c r="BK123" s="12" t="n"/>
      <c r="BL123" s="12" t="n"/>
      <c r="BM123" s="12" t="n"/>
      <c r="BN123" s="12" t="n"/>
      <c r="BO123" s="12" t="n"/>
      <c r="BP123" s="12" t="n"/>
      <c r="BQ123" s="12" t="n"/>
      <c r="BR123" s="12" t="n"/>
      <c r="BS123" s="12" t="n"/>
      <c r="BT123" s="12" t="n"/>
      <c r="BU123" s="12" t="n"/>
      <c r="BV123" s="12" t="n"/>
      <c r="BW123" s="12" t="n"/>
      <c r="BX123" s="12" t="n"/>
      <c r="BY123" s="12" t="n"/>
      <c r="BZ123" s="12" t="n"/>
      <c r="CA123" s="12" t="n"/>
      <c r="CB123" s="12" t="n"/>
      <c r="CC123" s="12" t="n"/>
      <c r="CD123" s="12" t="n"/>
      <c r="CE123" s="12" t="n"/>
      <c r="CF123" s="12" t="n"/>
      <c r="CG123" s="12" t="n"/>
      <c r="CH123" s="12" t="n"/>
      <c r="CI123" s="12" t="n"/>
      <c r="CJ123" s="12" t="n"/>
      <c r="CK123" s="12" t="n"/>
      <c r="CL123" s="12" t="n"/>
      <c r="CM123" s="12" t="n"/>
      <c r="CN123" s="12" t="n"/>
      <c r="CO123" s="12" t="n"/>
      <c r="CP123" s="12" t="n"/>
      <c r="CQ123" s="12" t="n"/>
      <c r="CR123" s="12" t="n"/>
      <c r="CS123" s="12" t="n"/>
      <c r="CT123" s="12" t="n"/>
      <c r="CU123" s="12" t="n"/>
      <c r="CV123" s="12" t="n"/>
      <c r="CW123" s="12" t="n"/>
      <c r="CX123" s="12" t="n"/>
      <c r="CY123" s="12" t="n"/>
    </row>
    <row r="124" hidden="1" outlineLevel="1">
      <c r="C124" s="57" t="inlineStr">
        <is>
          <t>DESPESAS FINANCEIRAS - Atualização de contas a pagar por aquisição de empresas</t>
        </is>
      </c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  <c r="BE124" s="12" t="n"/>
      <c r="BF124" s="12" t="n"/>
      <c r="BG124" s="12" t="n"/>
      <c r="BH124" s="12" t="n"/>
      <c r="BI124" s="12" t="n"/>
      <c r="BJ124" s="12" t="n"/>
      <c r="BK124" s="12" t="n"/>
      <c r="BL124" s="12" t="n"/>
      <c r="BM124" s="12" t="n"/>
      <c r="BN124" s="12" t="n"/>
      <c r="BO124" s="12" t="n"/>
      <c r="BP124" s="12" t="n"/>
      <c r="BQ124" s="12" t="n"/>
      <c r="BR124" s="12" t="n"/>
      <c r="BS124" s="12" t="n"/>
      <c r="BT124" s="12" t="n"/>
      <c r="BU124" s="12" t="n"/>
      <c r="BV124" s="12" t="n"/>
      <c r="BW124" s="12" t="n"/>
      <c r="BX124" s="12" t="n"/>
      <c r="BY124" s="12" t="n"/>
      <c r="BZ124" s="12" t="n"/>
      <c r="CA124" s="12" t="n"/>
      <c r="CB124" s="12" t="n"/>
      <c r="CC124" s="12" t="n"/>
      <c r="CD124" s="12" t="n"/>
      <c r="CE124" s="12" t="n"/>
      <c r="CF124" s="12" t="n"/>
      <c r="CG124" s="12" t="n"/>
      <c r="CH124" s="12" t="n"/>
      <c r="CI124" s="12" t="n"/>
      <c r="CJ124" s="12" t="n"/>
      <c r="CK124" s="12" t="n"/>
      <c r="CL124" s="12" t="n"/>
      <c r="CM124" s="12" t="n"/>
      <c r="CN124" s="12" t="n"/>
      <c r="CO124" s="12" t="n"/>
      <c r="CP124" s="12" t="n"/>
      <c r="CQ124" s="12" t="n"/>
      <c r="CR124" s="12" t="n"/>
      <c r="CS124" s="12" t="n"/>
      <c r="CT124" s="12" t="n"/>
      <c r="CU124" s="12" t="n"/>
      <c r="CV124" s="12" t="n"/>
      <c r="CW124" s="12" t="n"/>
      <c r="CX124" s="12" t="n"/>
      <c r="CY124" s="12" t="n"/>
    </row>
    <row r="125" hidden="1" outlineLevel="1">
      <c r="C125" s="57" t="inlineStr">
        <is>
          <t>DESPESAS FINANCEIRAS - Outras</t>
        </is>
      </c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  <c r="AL125" s="12" t="n"/>
      <c r="AM125" s="12" t="n"/>
      <c r="AN125" s="12" t="n"/>
      <c r="AO125" s="12" t="n"/>
      <c r="AP125" s="12" t="n"/>
      <c r="AQ125" s="12" t="n"/>
      <c r="AR125" s="12" t="n"/>
      <c r="AS125" s="12" t="n"/>
      <c r="AT125" s="12" t="n"/>
      <c r="AU125" s="12" t="n"/>
      <c r="AV125" s="12" t="n"/>
      <c r="AW125" s="12" t="n"/>
      <c r="AX125" s="12" t="n"/>
      <c r="AY125" s="12" t="n"/>
      <c r="AZ125" s="12" t="n"/>
      <c r="BA125" s="12" t="n"/>
      <c r="BB125" s="12" t="n"/>
      <c r="BC125" s="12" t="n"/>
      <c r="BD125" s="12" t="n"/>
      <c r="BE125" s="12" t="n"/>
      <c r="BF125" s="12" t="n"/>
      <c r="BG125" s="12" t="n"/>
      <c r="BH125" s="12" t="n"/>
      <c r="BI125" s="12" t="n"/>
      <c r="BJ125" s="12" t="n"/>
      <c r="BK125" s="12" t="n"/>
      <c r="BL125" s="12" t="n"/>
      <c r="BM125" s="12" t="n"/>
      <c r="BN125" s="12" t="n"/>
      <c r="BO125" s="12" t="n"/>
      <c r="BP125" s="12" t="n"/>
      <c r="BQ125" s="12" t="n"/>
      <c r="BR125" s="12" t="n"/>
      <c r="BS125" s="12" t="n"/>
      <c r="BT125" s="12" t="n"/>
      <c r="BU125" s="12" t="n"/>
      <c r="BV125" s="12" t="n"/>
      <c r="BW125" s="12" t="n"/>
      <c r="BX125" s="12" t="n"/>
      <c r="BY125" s="12" t="n"/>
      <c r="BZ125" s="12" t="n"/>
      <c r="CA125" s="12" t="n"/>
      <c r="CB125" s="12" t="n"/>
      <c r="CC125" s="12" t="n"/>
      <c r="CD125" s="12" t="n"/>
      <c r="CE125" s="12" t="n"/>
      <c r="CF125" s="12" t="n"/>
      <c r="CG125" s="12" t="n"/>
      <c r="CH125" s="12" t="n"/>
      <c r="CI125" s="12" t="n"/>
      <c r="CJ125" s="12" t="n"/>
      <c r="CK125" s="12" t="n"/>
      <c r="CL125" s="12" t="n"/>
      <c r="CM125" s="12" t="n"/>
      <c r="CN125" s="12" t="n"/>
      <c r="CO125" s="12" t="n"/>
      <c r="CP125" s="12" t="n"/>
      <c r="CQ125" s="12" t="n"/>
      <c r="CR125" s="12" t="n"/>
      <c r="CS125" s="12" t="n"/>
      <c r="CT125" s="12" t="n"/>
      <c r="CU125" s="12" t="n"/>
      <c r="CV125" s="12" t="n"/>
      <c r="CW125" s="12" t="n"/>
      <c r="CX125" s="12" t="n"/>
      <c r="CY125" s="12" t="n"/>
    </row>
    <row r="126" hidden="1" outlineLevel="1">
      <c r="C126" s="57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  <c r="AT126" s="12" t="n"/>
      <c r="AU126" s="12" t="n"/>
      <c r="AV126" s="12" t="n"/>
      <c r="AW126" s="12" t="n"/>
      <c r="AX126" s="12" t="n"/>
      <c r="AY126" s="12" t="n"/>
      <c r="AZ126" s="12" t="n"/>
      <c r="BA126" s="12" t="n"/>
      <c r="BB126" s="12" t="n"/>
      <c r="BC126" s="12" t="n"/>
      <c r="BD126" s="12" t="n"/>
      <c r="BE126" s="12" t="n"/>
      <c r="BF126" s="12" t="n"/>
      <c r="BG126" s="12" t="n"/>
      <c r="BH126" s="12" t="n"/>
      <c r="BI126" s="12" t="n"/>
      <c r="BJ126" s="12" t="n"/>
      <c r="BK126" s="12" t="n"/>
      <c r="BL126" s="12" t="n"/>
      <c r="BM126" s="12" t="n"/>
      <c r="BN126" s="12" t="n"/>
      <c r="BO126" s="12" t="n"/>
      <c r="BP126" s="12" t="n"/>
      <c r="BQ126" s="12" t="n"/>
      <c r="BR126" s="12" t="n"/>
      <c r="BS126" s="12" t="n"/>
      <c r="BT126" s="12" t="n"/>
      <c r="BU126" s="12" t="n"/>
      <c r="BV126" s="12" t="n"/>
      <c r="BW126" s="12" t="n"/>
      <c r="BX126" s="12" t="n"/>
      <c r="BY126" s="12" t="n"/>
      <c r="BZ126" s="12" t="n"/>
      <c r="CA126" s="12" t="n"/>
      <c r="CB126" s="12" t="n"/>
      <c r="CC126" s="12" t="n"/>
      <c r="CD126" s="12" t="n"/>
      <c r="CE126" s="12" t="n"/>
      <c r="CF126" s="12" t="n"/>
      <c r="CG126" s="12" t="n"/>
      <c r="CH126" s="12" t="n"/>
      <c r="CI126" s="12" t="n"/>
      <c r="CJ126" s="12" t="n"/>
      <c r="CK126" s="12" t="n"/>
      <c r="CL126" s="12" t="n"/>
      <c r="CM126" s="12" t="n"/>
      <c r="CN126" s="12" t="n"/>
      <c r="CO126" s="12" t="n"/>
      <c r="CP126" s="12" t="n"/>
      <c r="CQ126" s="12" t="n"/>
      <c r="CR126" s="12" t="n"/>
      <c r="CS126" s="12" t="n"/>
      <c r="CT126" s="12" t="n"/>
      <c r="CU126" s="12" t="n"/>
      <c r="CV126" s="12" t="n"/>
      <c r="CW126" s="12" t="n"/>
      <c r="CX126" s="12" t="n"/>
      <c r="CY126" s="12" t="n"/>
    </row>
    <row r="127" hidden="1" outlineLevel="1">
      <c r="C127" s="57" t="inlineStr">
        <is>
          <t>CHECK [EX IFRS-16]</t>
        </is>
      </c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  <c r="AJ127" s="12" t="n"/>
      <c r="AK127" s="12" t="n"/>
      <c r="AL127" s="12" t="n"/>
      <c r="AM127" s="12" t="n"/>
      <c r="AN127" s="12" t="n"/>
      <c r="AO127" s="12" t="n"/>
      <c r="AP127" s="12" t="n"/>
      <c r="AQ127" s="12" t="n"/>
      <c r="AR127" s="12" t="n"/>
      <c r="AS127" s="12" t="n"/>
      <c r="AT127" s="12" t="n"/>
      <c r="AU127" s="12" t="n"/>
      <c r="AV127" s="12" t="n"/>
      <c r="AW127" s="12" t="n"/>
      <c r="AX127" s="12" t="n"/>
      <c r="AY127" s="12" t="n"/>
      <c r="AZ127" s="12" t="n"/>
      <c r="BA127" s="12" t="n"/>
      <c r="BB127" s="12" t="n"/>
      <c r="BC127" s="12" t="n"/>
      <c r="BD127" s="12" t="n"/>
      <c r="BE127" s="12" t="n"/>
      <c r="BF127" s="12" t="n"/>
      <c r="BG127" s="12" t="n"/>
      <c r="BH127" s="12" t="n"/>
      <c r="BI127" s="12" t="n"/>
      <c r="BJ127" s="12" t="n"/>
      <c r="BK127" s="12" t="n"/>
      <c r="BL127" s="12" t="n"/>
      <c r="BM127" s="12" t="n"/>
      <c r="BN127" s="12" t="n"/>
      <c r="BO127" s="12" t="n"/>
      <c r="BP127" s="12" t="n"/>
      <c r="BQ127" s="12" t="n"/>
      <c r="BR127" s="12" t="n"/>
      <c r="BS127" s="12" t="n"/>
      <c r="BT127" s="12" t="n"/>
      <c r="BU127" s="12" t="n"/>
      <c r="BV127" s="12" t="n"/>
      <c r="BW127" s="12" t="n"/>
      <c r="BX127" s="12" t="n"/>
      <c r="BY127" s="12" t="n"/>
      <c r="BZ127" s="12" t="n"/>
      <c r="CA127" s="12" t="n"/>
      <c r="CB127" s="12" t="n"/>
      <c r="CC127" s="12" t="n"/>
      <c r="CD127" s="12" t="n"/>
      <c r="CE127" s="12" t="n"/>
      <c r="CF127" s="12" t="n"/>
      <c r="CG127" s="12" t="n"/>
      <c r="CH127" s="12" t="n"/>
      <c r="CI127" s="12" t="n"/>
      <c r="CJ127" s="12" t="n"/>
      <c r="CK127" s="12" t="n"/>
      <c r="CL127" s="12" t="n"/>
      <c r="CM127" s="12" t="n"/>
      <c r="CN127" s="12" t="n"/>
      <c r="CO127" s="12" t="n"/>
      <c r="CP127" s="12" t="n"/>
      <c r="CQ127" s="12" t="n"/>
      <c r="CR127" s="12" t="n"/>
      <c r="CS127" s="12" t="n"/>
      <c r="CT127" s="12" t="n"/>
      <c r="CU127" s="12" t="n"/>
      <c r="CV127" s="12" t="n"/>
      <c r="CW127" s="12" t="n"/>
      <c r="CX127" s="12" t="n"/>
      <c r="CY127" s="12" t="n"/>
    </row>
    <row r="128" hidden="1" outlineLevel="1">
      <c r="C128" s="57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  <c r="AQ128" s="12" t="n"/>
      <c r="AR128" s="12" t="n"/>
      <c r="AS128" s="12" t="n"/>
      <c r="AT128" s="12" t="n"/>
      <c r="AU128" s="12" t="n"/>
      <c r="AV128" s="12" t="n"/>
      <c r="AW128" s="12" t="n"/>
      <c r="AX128" s="12" t="n"/>
      <c r="AY128" s="12" t="n"/>
      <c r="AZ128" s="12" t="n"/>
      <c r="BA128" s="12" t="n"/>
      <c r="BB128" s="12" t="n"/>
      <c r="BC128" s="12" t="n"/>
      <c r="BD128" s="12" t="n"/>
      <c r="BE128" s="12" t="n"/>
      <c r="BF128" s="12" t="n"/>
      <c r="BG128" s="12" t="n"/>
      <c r="BH128" s="12" t="n"/>
      <c r="BI128" s="12" t="n"/>
      <c r="BJ128" s="12" t="n"/>
      <c r="BK128" s="12" t="n"/>
      <c r="BL128" s="12" t="n"/>
      <c r="BM128" s="12" t="n"/>
      <c r="BN128" s="12" t="n"/>
      <c r="BO128" s="12" t="n"/>
      <c r="BP128" s="12" t="n"/>
      <c r="BQ128" s="12" t="n"/>
      <c r="BR128" s="12" t="n"/>
      <c r="BS128" s="12" t="n"/>
      <c r="BT128" s="12" t="n"/>
      <c r="BU128" s="12" t="n"/>
      <c r="BV128" s="12" t="n"/>
      <c r="BW128" s="12" t="n"/>
      <c r="BX128" s="12" t="n"/>
      <c r="BY128" s="12" t="n"/>
      <c r="BZ128" s="12" t="n"/>
      <c r="CA128" s="12" t="n"/>
      <c r="CB128" s="12" t="n"/>
      <c r="CC128" s="12" t="n"/>
      <c r="CD128" s="12" t="n"/>
      <c r="CE128" s="12" t="n"/>
      <c r="CF128" s="12" t="n"/>
      <c r="CG128" s="12" t="n"/>
      <c r="CH128" s="12" t="n"/>
      <c r="CI128" s="12" t="n"/>
      <c r="CJ128" s="12" t="n"/>
      <c r="CK128" s="12" t="n"/>
      <c r="CL128" s="12" t="n"/>
      <c r="CM128" s="12" t="n"/>
      <c r="CN128" s="12" t="n"/>
      <c r="CO128" s="12" t="n"/>
      <c r="CP128" s="12" t="n"/>
      <c r="CQ128" s="12" t="n"/>
      <c r="CR128" s="12" t="n"/>
      <c r="CS128" s="12" t="n"/>
      <c r="CT128" s="12" t="n"/>
      <c r="CU128" s="12" t="n"/>
      <c r="CV128" s="12" t="n"/>
      <c r="CW128" s="12" t="n"/>
      <c r="CX128" s="12" t="n"/>
      <c r="CY128" s="12" t="n"/>
    </row>
    <row r="129" collapsed="1">
      <c r="C129" s="14" t="inlineStr">
        <is>
          <t>Nonoperating Income / (Loss)</t>
        </is>
      </c>
      <c r="D129" s="46" t="n"/>
      <c r="E129" s="46" t="n"/>
      <c r="F129" s="46" t="n"/>
      <c r="G129" s="46" t="n"/>
      <c r="H129" s="12" t="n"/>
      <c r="I129" s="46">
        <f>'Inputs (2)'!D9</f>
        <v>225.148916479</v>
      </c>
      <c r="J129" s="46">
        <f>'Inputs (2)'!E9</f>
        <v>10.13128014</v>
      </c>
      <c r="K129" s="46">
        <f>'Inputs (2)'!F9</f>
        <v>210.230477917</v>
      </c>
      <c r="L129" s="46">
        <f>'Inputs (2)'!G9</f>
        <v>290.851325464</v>
      </c>
      <c r="M129" s="12">
        <f>'Inputs (2)'!H9</f>
        <v>736.362</v>
      </c>
      <c r="N129" s="46">
        <f>'Inputs (2)'!I9</f>
        <v>345.152</v>
      </c>
      <c r="O129" s="46">
        <f>'Inputs (2)'!J9</f>
        <v>283.463</v>
      </c>
      <c r="P129" s="46">
        <f>'Inputs (2)'!K9</f>
        <v>246.492</v>
      </c>
      <c r="Q129" s="46">
        <f>'Inputs (2)'!L9</f>
        <v>353.934680599</v>
      </c>
      <c r="R129" s="12">
        <f>'Inputs (2)'!M9</f>
        <v>1229.041680599</v>
      </c>
      <c r="S129" s="46">
        <f>'Inputs (2)'!N9</f>
        <v>338.376</v>
      </c>
      <c r="T129" s="46">
        <f>'Inputs (2)'!O9</f>
        <v>183.206</v>
      </c>
      <c r="U129" s="46">
        <f>'Inputs (2)'!P9</f>
        <v>316.416</v>
      </c>
      <c r="V129" s="46">
        <f>'Inputs (2)'!Q9</f>
        <v>299.504</v>
      </c>
      <c r="W129" s="12">
        <f>'Inputs (2)'!R9</f>
        <v>1137.502</v>
      </c>
      <c r="X129" s="46">
        <f>'Inputs (2)'!S9</f>
        <v>358.69728481</v>
      </c>
      <c r="Y129" s="46">
        <f>'Inputs (2)'!T9</f>
        <v>383.86595754</v>
      </c>
      <c r="Z129" s="46">
        <f>'Inputs (2)'!U9</f>
        <v>433.20390214</v>
      </c>
      <c r="AA129" s="46">
        <f>'Inputs (2)'!V9</f>
        <v>495.82664245</v>
      </c>
      <c r="AB129" s="12">
        <f>'Inputs (2)'!W9</f>
        <v>1671.59378694</v>
      </c>
      <c r="AC129" s="46">
        <f>'Inputs (2)'!X9</f>
        <v>464.52346782</v>
      </c>
      <c r="AD129" s="46">
        <f>'Inputs (2)'!Y9</f>
        <v>522.37025267</v>
      </c>
      <c r="AE129" s="46">
        <f>'Inputs (2)'!Z9</f>
        <v>576.10046127</v>
      </c>
      <c r="AF129" s="46">
        <f>'Inputs (2)'!AA9</f>
        <v>500.0067633</v>
      </c>
      <c r="AG129" s="12">
        <f>'Inputs (2)'!AB9</f>
        <v>2063.00094506</v>
      </c>
      <c r="AH129" s="12">
        <f>'Inputs (2)'!AC9</f>
        <v>590.30406363</v>
      </c>
      <c r="AI129" s="12">
        <f>'Inputs (2)'!AD9</f>
        <v>668.46021238</v>
      </c>
      <c r="AJ129" s="12">
        <f>AJ15*Control!$B$23</f>
        <v>602.261657743966</v>
      </c>
      <c r="AK129" s="12">
        <f>AK15*Control!$B$23</f>
        <v>603.268519265962</v>
      </c>
      <c r="AL129" s="12">
        <f>SUM(AH129:AK129)</f>
        <v>2464.29445301993</v>
      </c>
      <c r="AM129" s="12">
        <f>AM15*Control!$C$23</f>
        <v>592.678627924181</v>
      </c>
      <c r="AN129" s="12">
        <f>AN15*Control!$C$23</f>
        <v>610.276404426941</v>
      </c>
      <c r="AO129" s="12">
        <f>AO15*Control!$C$23</f>
        <v>639.166091069926</v>
      </c>
      <c r="AP129" s="12">
        <f>AP15*Control!$C$23</f>
        <v>640.234649453128</v>
      </c>
      <c r="AQ129" s="12">
        <f>SUM(AM129:AP129)</f>
        <v>2482.35577287418</v>
      </c>
      <c r="AR129" s="12">
        <f>AR15*Control!$D$23</f>
        <v>626.032454429394</v>
      </c>
      <c r="AS129" s="12">
        <f>AS15*Control!$D$23</f>
        <v>644.620570648648</v>
      </c>
      <c r="AT129" s="12">
        <f>AT15*Control!$D$23</f>
        <v>675.136065192713</v>
      </c>
      <c r="AU129" s="12">
        <f>AU15*Control!$D$23</f>
        <v>676.264758207475</v>
      </c>
      <c r="AV129" s="12">
        <f>SUM(AR129:AU129)</f>
        <v>2622.05384847823</v>
      </c>
      <c r="AW129" s="12">
        <f>AW15*Control!$E$23</f>
        <v>658.133152336572</v>
      </c>
      <c r="AX129" s="12">
        <f>AX15*Control!$E$23</f>
        <v>677.67440045689</v>
      </c>
      <c r="AY129" s="12">
        <f>AY15*Control!$E$23</f>
        <v>709.754620064195</v>
      </c>
      <c r="AZ129" s="12">
        <f>AZ15*Control!$E$23</f>
        <v>710.94118840673</v>
      </c>
      <c r="BA129" s="12">
        <f>SUM(AW129:AZ129)</f>
        <v>2756.50336126439</v>
      </c>
      <c r="BB129" s="12">
        <f>BB15*Control!$F$23</f>
        <v>688.589193085674</v>
      </c>
      <c r="BC129" s="12">
        <f>BC15*Control!$F$23</f>
        <v>709.034740050272</v>
      </c>
      <c r="BD129" s="12">
        <f>BD15*Control!$F$23</f>
        <v>742.599517109411</v>
      </c>
      <c r="BE129" s="12">
        <f>BE15*Control!$F$23</f>
        <v>743.840995577144</v>
      </c>
      <c r="BF129" s="12">
        <f>SUM(BB129:BE129)</f>
        <v>2884.0644458225</v>
      </c>
      <c r="BG129" s="12" t="n"/>
      <c r="BH129" s="12" t="n"/>
      <c r="BI129" s="12" t="n"/>
      <c r="BJ129" s="12" t="n"/>
      <c r="BK129" s="12" t="n"/>
      <c r="BL129" s="12" t="n"/>
      <c r="BM129" s="12" t="n"/>
      <c r="BN129" s="12" t="n"/>
      <c r="BO129" s="12" t="n"/>
      <c r="BP129" s="12" t="n"/>
      <c r="BQ129" s="12" t="n"/>
      <c r="BR129" s="12" t="n"/>
      <c r="BS129" s="12" t="n"/>
      <c r="BT129" s="12" t="n"/>
      <c r="BU129" s="12" t="n"/>
      <c r="BV129" s="12" t="n"/>
      <c r="BW129" s="12" t="n"/>
      <c r="BX129" s="12" t="n"/>
      <c r="BY129" s="12" t="n"/>
      <c r="BZ129" s="12" t="n"/>
      <c r="CA129" s="12" t="n"/>
      <c r="CB129" s="12" t="n"/>
      <c r="CC129" s="12" t="n"/>
      <c r="CD129" s="12" t="n"/>
      <c r="CE129" s="12" t="n"/>
      <c r="CF129" s="12" t="n"/>
      <c r="CG129" s="12" t="n"/>
      <c r="CH129" s="12" t="n"/>
      <c r="CI129" s="12" t="n"/>
      <c r="CJ129" s="12" t="n"/>
      <c r="CK129" s="12" t="n"/>
      <c r="CL129" s="12" t="n"/>
      <c r="CM129" s="12" t="n"/>
      <c r="CN129" s="12" t="n"/>
      <c r="CO129" s="12" t="n"/>
      <c r="CP129" s="12" t="n"/>
      <c r="CQ129" s="12" t="n"/>
      <c r="CR129" s="12" t="n"/>
      <c r="CS129" s="12" t="n"/>
      <c r="CT129" s="12" t="n"/>
      <c r="CU129" s="12" t="n"/>
      <c r="CV129" s="12" t="n"/>
      <c r="CW129" s="12" t="n"/>
      <c r="CX129" s="12" t="n"/>
      <c r="CY129" s="12" t="n"/>
    </row>
    <row r="130" hidden="1" outlineLevel="1">
      <c r="C130" s="57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  <c r="AL130" s="12" t="n"/>
      <c r="AM130" s="12" t="n"/>
      <c r="AN130" s="12" t="n"/>
      <c r="AO130" s="12" t="n"/>
      <c r="AP130" s="12" t="n"/>
      <c r="AQ130" s="12" t="n"/>
      <c r="AR130" s="12" t="n"/>
      <c r="AS130" s="12" t="n"/>
      <c r="AT130" s="12" t="n"/>
      <c r="AU130" s="12" t="n"/>
      <c r="AV130" s="12" t="n"/>
      <c r="AW130" s="12" t="n"/>
      <c r="AX130" s="12" t="n"/>
      <c r="AY130" s="12" t="n"/>
      <c r="AZ130" s="12" t="n"/>
      <c r="BA130" s="12" t="n"/>
      <c r="BB130" s="12" t="n"/>
      <c r="BC130" s="12" t="n"/>
      <c r="BD130" s="12" t="n"/>
      <c r="BE130" s="12" t="n"/>
      <c r="BF130" s="12" t="n"/>
      <c r="BG130" s="12" t="n"/>
      <c r="BH130" s="12" t="n"/>
      <c r="BI130" s="12" t="n"/>
      <c r="BJ130" s="12" t="n"/>
      <c r="BK130" s="12" t="n"/>
      <c r="BL130" s="12" t="n"/>
      <c r="BM130" s="12" t="n"/>
      <c r="BN130" s="12" t="n"/>
      <c r="BO130" s="12" t="n"/>
      <c r="BP130" s="12" t="n"/>
      <c r="BQ130" s="12" t="n"/>
      <c r="BR130" s="12" t="n"/>
      <c r="BS130" s="12" t="n"/>
      <c r="BT130" s="12" t="n"/>
      <c r="BU130" s="12" t="n"/>
      <c r="BV130" s="12" t="n"/>
      <c r="BW130" s="12" t="n"/>
      <c r="BX130" s="12" t="n"/>
      <c r="BY130" s="12" t="n"/>
      <c r="BZ130" s="12" t="n"/>
      <c r="CA130" s="12" t="n"/>
      <c r="CB130" s="12" t="n"/>
      <c r="CC130" s="12" t="n"/>
      <c r="CD130" s="12" t="n"/>
      <c r="CE130" s="12" t="n"/>
      <c r="CF130" s="12" t="n"/>
      <c r="CG130" s="12" t="n"/>
      <c r="CH130" s="12" t="n"/>
      <c r="CI130" s="12" t="n"/>
      <c r="CJ130" s="12" t="n"/>
      <c r="CK130" s="12" t="n"/>
      <c r="CL130" s="12" t="n"/>
      <c r="CM130" s="12" t="n"/>
      <c r="CN130" s="12" t="n"/>
      <c r="CO130" s="12" t="n"/>
      <c r="CP130" s="12" t="n"/>
      <c r="CQ130" s="12" t="n"/>
      <c r="CR130" s="12" t="n"/>
      <c r="CS130" s="12" t="n"/>
      <c r="CT130" s="12" t="n"/>
      <c r="CU130" s="12" t="n"/>
      <c r="CV130" s="12" t="n"/>
      <c r="CW130" s="12" t="n"/>
      <c r="CX130" s="12" t="n"/>
      <c r="CY130" s="12" t="n"/>
    </row>
    <row r="131" hidden="1" outlineLevel="1">
      <c r="C131" s="50" t="inlineStr">
        <is>
          <t>Resultado Não Recorrente</t>
        </is>
      </c>
      <c r="D131" s="11" t="n"/>
      <c r="E131" s="11" t="n"/>
      <c r="F131" s="11" t="n"/>
      <c r="G131" s="11" t="n"/>
      <c r="H131" s="12" t="n"/>
      <c r="I131" s="11" t="n"/>
      <c r="J131" s="11" t="n"/>
      <c r="K131" s="11" t="n"/>
      <c r="L131" s="11" t="n"/>
      <c r="M131" s="12" t="n"/>
      <c r="N131" s="11" t="n"/>
      <c r="O131" s="11" t="n"/>
      <c r="P131" s="11" t="n"/>
      <c r="Q131" s="11" t="n"/>
      <c r="R131" s="12" t="n"/>
      <c r="S131" s="11" t="n"/>
      <c r="T131" s="11" t="n"/>
      <c r="U131" s="11" t="n"/>
      <c r="V131" s="11" t="n"/>
      <c r="W131" s="12" t="n"/>
      <c r="X131" s="11" t="n"/>
      <c r="Y131" s="11" t="n"/>
      <c r="Z131" s="11" t="n"/>
      <c r="AA131" s="11" t="n"/>
      <c r="AB131" s="12" t="n"/>
      <c r="AC131" s="11" t="n"/>
      <c r="AD131" s="11" t="n"/>
      <c r="AE131" s="11" t="n"/>
      <c r="AF131" s="11" t="n"/>
      <c r="AG131" s="12" t="n"/>
      <c r="AH131" s="12" t="n"/>
      <c r="AI131" s="12" t="n"/>
      <c r="AJ131" s="12" t="n"/>
      <c r="AK131" s="12" t="n"/>
      <c r="AL131" s="12" t="n"/>
      <c r="AM131" s="12" t="n"/>
      <c r="AN131" s="12" t="n"/>
      <c r="AO131" s="12" t="n"/>
      <c r="AP131" s="12" t="n"/>
      <c r="AQ131" s="12" t="n"/>
      <c r="AR131" s="12" t="n"/>
      <c r="AS131" s="12" t="n"/>
      <c r="AT131" s="12" t="n"/>
      <c r="AU131" s="12" t="n"/>
      <c r="AV131" s="12" t="n"/>
      <c r="AW131" s="12" t="n"/>
      <c r="AX131" s="12" t="n"/>
      <c r="AY131" s="12" t="n"/>
      <c r="AZ131" s="12" t="n"/>
      <c r="BA131" s="12" t="n"/>
      <c r="BB131" s="12" t="n"/>
      <c r="BC131" s="12" t="n"/>
      <c r="BD131" s="12" t="n"/>
      <c r="BE131" s="12" t="n"/>
      <c r="BF131" s="12" t="n"/>
      <c r="BG131" s="12" t="n"/>
      <c r="BH131" s="12" t="n"/>
      <c r="BI131" s="12" t="n"/>
      <c r="BJ131" s="12" t="n"/>
      <c r="BK131" s="12" t="n"/>
      <c r="BL131" s="12" t="n"/>
      <c r="BM131" s="12" t="n"/>
      <c r="BN131" s="12" t="n"/>
      <c r="BO131" s="12" t="n"/>
      <c r="BP131" s="12" t="n"/>
      <c r="BQ131" s="12" t="n"/>
      <c r="BR131" s="12" t="n"/>
      <c r="BS131" s="12" t="n"/>
      <c r="BT131" s="12" t="n"/>
      <c r="BU131" s="12" t="n"/>
      <c r="BV131" s="12" t="n"/>
      <c r="BW131" s="12" t="n"/>
      <c r="BX131" s="12" t="n"/>
      <c r="BY131" s="12" t="n"/>
      <c r="BZ131" s="12" t="n"/>
      <c r="CA131" s="12" t="n"/>
      <c r="CB131" s="12" t="n"/>
      <c r="CC131" s="12" t="n"/>
      <c r="CD131" s="12" t="n"/>
      <c r="CE131" s="12" t="n"/>
      <c r="CF131" s="12" t="n"/>
      <c r="CG131" s="12" t="n"/>
      <c r="CH131" s="12" t="n"/>
      <c r="CI131" s="12" t="n"/>
      <c r="CJ131" s="12" t="n"/>
      <c r="CK131" s="12" t="n"/>
      <c r="CL131" s="12" t="n"/>
      <c r="CM131" s="12" t="n"/>
      <c r="CN131" s="12" t="n"/>
      <c r="CO131" s="12" t="n"/>
      <c r="CP131" s="12" t="n"/>
      <c r="CQ131" s="12" t="n"/>
      <c r="CR131" s="12" t="n"/>
      <c r="CS131" s="12" t="n"/>
      <c r="CT131" s="12" t="n"/>
      <c r="CU131" s="12" t="n"/>
      <c r="CV131" s="12" t="n"/>
      <c r="CW131" s="12" t="n"/>
      <c r="CX131" s="12" t="n"/>
      <c r="CY131" s="12" t="n"/>
    </row>
    <row r="132" hidden="1" outlineLevel="1">
      <c r="C132" s="50" t="inlineStr">
        <is>
          <t>Plano de Opção de Compra de Ações</t>
        </is>
      </c>
      <c r="D132" s="11" t="n"/>
      <c r="E132" s="11" t="n"/>
      <c r="F132" s="11" t="n"/>
      <c r="G132" s="11" t="n"/>
      <c r="H132" s="12" t="n"/>
      <c r="I132" s="11" t="n"/>
      <c r="J132" s="11" t="n"/>
      <c r="K132" s="11" t="n"/>
      <c r="L132" s="11" t="n"/>
      <c r="M132" s="12" t="n"/>
      <c r="N132" s="11" t="n"/>
      <c r="O132" s="11" t="n"/>
      <c r="P132" s="11" t="n"/>
      <c r="Q132" s="11" t="n"/>
      <c r="R132" s="12" t="n"/>
      <c r="S132" s="11" t="n"/>
      <c r="T132" s="11" t="n"/>
      <c r="U132" s="11" t="n"/>
      <c r="V132" s="11" t="n"/>
      <c r="W132" s="12" t="n"/>
      <c r="X132" s="11" t="n"/>
      <c r="Y132" s="11" t="n"/>
      <c r="Z132" s="11" t="n"/>
      <c r="AA132" s="11" t="n"/>
      <c r="AB132" s="12" t="n"/>
      <c r="AC132" s="11" t="n"/>
      <c r="AD132" s="11" t="n"/>
      <c r="AE132" s="11" t="n"/>
      <c r="AF132" s="11" t="n"/>
      <c r="AG132" s="12" t="n"/>
      <c r="AH132" s="12" t="n"/>
      <c r="AI132" s="12" t="n"/>
      <c r="AJ132" s="12" t="n"/>
      <c r="AK132" s="12" t="n"/>
      <c r="AL132" s="12" t="n"/>
      <c r="AM132" s="12" t="n"/>
      <c r="AN132" s="12" t="n"/>
      <c r="AO132" s="12" t="n"/>
      <c r="AP132" s="12" t="n"/>
      <c r="AQ132" s="12" t="n"/>
      <c r="AR132" s="12" t="n"/>
      <c r="AS132" s="12" t="n"/>
      <c r="AT132" s="12" t="n"/>
      <c r="AU132" s="12" t="n"/>
      <c r="AV132" s="12" t="n"/>
      <c r="AW132" s="12" t="n"/>
      <c r="AX132" s="12" t="n"/>
      <c r="AY132" s="12" t="n"/>
      <c r="AZ132" s="12" t="n"/>
      <c r="BA132" s="12" t="n"/>
      <c r="BB132" s="12" t="n"/>
      <c r="BC132" s="12" t="n"/>
      <c r="BD132" s="12" t="n"/>
      <c r="BE132" s="12" t="n"/>
      <c r="BF132" s="12" t="n"/>
      <c r="BG132" s="12" t="n"/>
      <c r="BH132" s="12" t="n"/>
      <c r="BI132" s="12" t="n"/>
      <c r="BJ132" s="12" t="n"/>
      <c r="BK132" s="12" t="n"/>
      <c r="BL132" s="12" t="n"/>
      <c r="BM132" s="12" t="n"/>
      <c r="BN132" s="12" t="n"/>
      <c r="BO132" s="12" t="n"/>
      <c r="BP132" s="12" t="n"/>
      <c r="BQ132" s="12" t="n"/>
      <c r="BR132" s="12" t="n"/>
      <c r="BS132" s="12" t="n"/>
      <c r="BT132" s="12" t="n"/>
      <c r="BU132" s="12" t="n"/>
      <c r="BV132" s="12" t="n"/>
      <c r="BW132" s="12" t="n"/>
      <c r="BX132" s="12" t="n"/>
      <c r="BY132" s="12" t="n"/>
      <c r="BZ132" s="12" t="n"/>
      <c r="CA132" s="12" t="n"/>
      <c r="CB132" s="12" t="n"/>
      <c r="CC132" s="12" t="n"/>
      <c r="CD132" s="12" t="n"/>
      <c r="CE132" s="12" t="n"/>
      <c r="CF132" s="12" t="n"/>
      <c r="CG132" s="12" t="n"/>
      <c r="CH132" s="12" t="n"/>
      <c r="CI132" s="12" t="n"/>
      <c r="CJ132" s="12" t="n"/>
      <c r="CK132" s="12" t="n"/>
      <c r="CL132" s="12" t="n"/>
      <c r="CM132" s="12" t="n"/>
      <c r="CN132" s="12" t="n"/>
      <c r="CO132" s="12" t="n"/>
      <c r="CP132" s="12" t="n"/>
      <c r="CQ132" s="12" t="n"/>
      <c r="CR132" s="12" t="n"/>
      <c r="CS132" s="12" t="n"/>
      <c r="CT132" s="12" t="n"/>
      <c r="CU132" s="12" t="n"/>
      <c r="CV132" s="12" t="n"/>
      <c r="CW132" s="12" t="n"/>
      <c r="CX132" s="12" t="n"/>
      <c r="CY132" s="12" t="n"/>
    </row>
    <row r="133" hidden="1" outlineLevel="1">
      <c r="C133" s="50" t="inlineStr">
        <is>
          <t>Baixa Imobilizado</t>
        </is>
      </c>
      <c r="D133" s="11" t="n"/>
      <c r="E133" s="11" t="n"/>
      <c r="F133" s="11" t="n"/>
      <c r="G133" s="11" t="n"/>
      <c r="H133" s="12" t="n"/>
      <c r="I133" s="11" t="n"/>
      <c r="J133" s="11" t="n"/>
      <c r="K133" s="11" t="n"/>
      <c r="L133" s="11" t="n"/>
      <c r="M133" s="12" t="n"/>
      <c r="N133" s="11" t="n"/>
      <c r="O133" s="11" t="n"/>
      <c r="P133" s="11" t="n"/>
      <c r="Q133" s="11" t="n"/>
      <c r="R133" s="12" t="n"/>
      <c r="S133" s="11" t="n"/>
      <c r="T133" s="11" t="n"/>
      <c r="U133" s="11" t="n"/>
      <c r="V133" s="11" t="n"/>
      <c r="W133" s="12" t="n"/>
      <c r="X133" s="11" t="n"/>
      <c r="Y133" s="11" t="n"/>
      <c r="Z133" s="11" t="n"/>
      <c r="AA133" s="11" t="n"/>
      <c r="AB133" s="12" t="n"/>
      <c r="AC133" s="11" t="n"/>
      <c r="AD133" s="11" t="n"/>
      <c r="AE133" s="11" t="n"/>
      <c r="AF133" s="11" t="n"/>
      <c r="AG133" s="12" t="n"/>
      <c r="AH133" s="12" t="n"/>
      <c r="AI133" s="12" t="n"/>
      <c r="AJ133" s="12" t="n"/>
      <c r="AK133" s="12" t="n"/>
      <c r="AL133" s="12" t="n"/>
      <c r="AM133" s="12" t="n"/>
      <c r="AN133" s="12" t="n"/>
      <c r="AO133" s="12" t="n"/>
      <c r="AP133" s="12" t="n"/>
      <c r="AQ133" s="12" t="n"/>
      <c r="AR133" s="12" t="n"/>
      <c r="AS133" s="12" t="n"/>
      <c r="AT133" s="12" t="n"/>
      <c r="AU133" s="12" t="n"/>
      <c r="AV133" s="12" t="n"/>
      <c r="AW133" s="12" t="n"/>
      <c r="AX133" s="12" t="n"/>
      <c r="AY133" s="12" t="n"/>
      <c r="AZ133" s="12" t="n"/>
      <c r="BA133" s="12" t="n"/>
      <c r="BB133" s="12" t="n"/>
      <c r="BC133" s="12" t="n"/>
      <c r="BD133" s="12" t="n"/>
      <c r="BE133" s="12" t="n"/>
      <c r="BF133" s="12" t="n"/>
      <c r="BG133" s="12" t="n"/>
      <c r="BH133" s="12" t="n"/>
      <c r="BI133" s="12" t="n"/>
      <c r="BJ133" s="12" t="n"/>
      <c r="BK133" s="12" t="n"/>
      <c r="BL133" s="12" t="n"/>
      <c r="BM133" s="12" t="n"/>
      <c r="BN133" s="12" t="n"/>
      <c r="BO133" s="12" t="n"/>
      <c r="BP133" s="12" t="n"/>
      <c r="BQ133" s="12" t="n"/>
      <c r="BR133" s="12" t="n"/>
      <c r="BS133" s="12" t="n"/>
      <c r="BT133" s="12" t="n"/>
      <c r="BU133" s="12" t="n"/>
      <c r="BV133" s="12" t="n"/>
      <c r="BW133" s="12" t="n"/>
      <c r="BX133" s="12" t="n"/>
      <c r="BY133" s="12" t="n"/>
      <c r="BZ133" s="12" t="n"/>
      <c r="CA133" s="12" t="n"/>
      <c r="CB133" s="12" t="n"/>
      <c r="CC133" s="12" t="n"/>
      <c r="CD133" s="12" t="n"/>
      <c r="CE133" s="12" t="n"/>
      <c r="CF133" s="12" t="n"/>
      <c r="CG133" s="12" t="n"/>
      <c r="CH133" s="12" t="n"/>
      <c r="CI133" s="12" t="n"/>
      <c r="CJ133" s="12" t="n"/>
      <c r="CK133" s="12" t="n"/>
      <c r="CL133" s="12" t="n"/>
      <c r="CM133" s="12" t="n"/>
      <c r="CN133" s="12" t="n"/>
      <c r="CO133" s="12" t="n"/>
      <c r="CP133" s="12" t="n"/>
      <c r="CQ133" s="12" t="n"/>
      <c r="CR133" s="12" t="n"/>
      <c r="CS133" s="12" t="n"/>
      <c r="CT133" s="12" t="n"/>
      <c r="CU133" s="12" t="n"/>
      <c r="CV133" s="12" t="n"/>
      <c r="CW133" s="12" t="n"/>
      <c r="CX133" s="12" t="n"/>
      <c r="CY133" s="12" t="n"/>
    </row>
    <row r="134" hidden="1" outlineLevel="1">
      <c r="C134" s="57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  <c r="AJ134" s="12" t="n"/>
      <c r="AK134" s="12" t="n"/>
      <c r="AL134" s="12" t="n"/>
      <c r="AM134" s="12" t="n"/>
      <c r="AN134" s="12" t="n"/>
      <c r="AO134" s="12" t="n"/>
      <c r="AP134" s="12" t="n"/>
      <c r="AQ134" s="12" t="n"/>
      <c r="AR134" s="12" t="n"/>
      <c r="AS134" s="12" t="n"/>
      <c r="AT134" s="12" t="n"/>
      <c r="AU134" s="12" t="n"/>
      <c r="AV134" s="12" t="n"/>
      <c r="AW134" s="12" t="n"/>
      <c r="AX134" s="12" t="n"/>
      <c r="AY134" s="12" t="n"/>
      <c r="AZ134" s="12" t="n"/>
      <c r="BA134" s="12" t="n"/>
      <c r="BB134" s="12" t="n"/>
      <c r="BC134" s="12" t="n"/>
      <c r="BD134" s="12" t="n"/>
      <c r="BE134" s="12" t="n"/>
      <c r="BF134" s="12" t="n"/>
      <c r="BG134" s="12" t="n"/>
      <c r="BH134" s="12" t="n"/>
      <c r="BI134" s="12" t="n"/>
      <c r="BJ134" s="12" t="n"/>
      <c r="BK134" s="12" t="n"/>
      <c r="BL134" s="12" t="n"/>
      <c r="BM134" s="12" t="n"/>
      <c r="BN134" s="12" t="n"/>
      <c r="BO134" s="12" t="n"/>
      <c r="BP134" s="12" t="n"/>
      <c r="BQ134" s="12" t="n"/>
      <c r="BR134" s="12" t="n"/>
      <c r="BS134" s="12" t="n"/>
      <c r="BT134" s="12" t="n"/>
      <c r="BU134" s="12" t="n"/>
      <c r="BV134" s="12" t="n"/>
      <c r="BW134" s="12" t="n"/>
      <c r="BX134" s="12" t="n"/>
      <c r="BY134" s="12" t="n"/>
      <c r="BZ134" s="12" t="n"/>
      <c r="CA134" s="12" t="n"/>
      <c r="CB134" s="12" t="n"/>
      <c r="CC134" s="12" t="n"/>
      <c r="CD134" s="12" t="n"/>
      <c r="CE134" s="12" t="n"/>
      <c r="CF134" s="12" t="n"/>
      <c r="CG134" s="12" t="n"/>
      <c r="CH134" s="12" t="n"/>
      <c r="CI134" s="12" t="n"/>
      <c r="CJ134" s="12" t="n"/>
      <c r="CK134" s="12" t="n"/>
      <c r="CL134" s="12" t="n"/>
      <c r="CM134" s="12" t="n"/>
      <c r="CN134" s="12" t="n"/>
      <c r="CO134" s="12" t="n"/>
      <c r="CP134" s="12" t="n"/>
      <c r="CQ134" s="12" t="n"/>
      <c r="CR134" s="12" t="n"/>
      <c r="CS134" s="12" t="n"/>
      <c r="CT134" s="12" t="n"/>
      <c r="CU134" s="12" t="n"/>
      <c r="CV134" s="12" t="n"/>
      <c r="CW134" s="12" t="n"/>
      <c r="CX134" s="12" t="n"/>
      <c r="CY134" s="12" t="n"/>
    </row>
    <row r="135" hidden="1" outlineLevel="1">
      <c r="C135" s="57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  <c r="AJ135" s="12" t="n"/>
      <c r="AK135" s="12" t="n"/>
      <c r="AL135" s="12" t="n"/>
      <c r="AM135" s="12" t="n"/>
      <c r="AN135" s="12" t="n"/>
      <c r="AO135" s="12" t="n"/>
      <c r="AP135" s="12" t="n"/>
      <c r="AQ135" s="12" t="n"/>
      <c r="AR135" s="12" t="n"/>
      <c r="AS135" s="12" t="n"/>
      <c r="AT135" s="12" t="n"/>
      <c r="AU135" s="12" t="n"/>
      <c r="AV135" s="12" t="n"/>
      <c r="AW135" s="12" t="n"/>
      <c r="AX135" s="12" t="n"/>
      <c r="AY135" s="12" t="n"/>
      <c r="AZ135" s="12" t="n"/>
      <c r="BA135" s="12" t="n"/>
      <c r="BB135" s="12" t="n"/>
      <c r="BC135" s="12" t="n"/>
      <c r="BD135" s="12" t="n"/>
      <c r="BE135" s="12" t="n"/>
      <c r="BF135" s="12" t="n"/>
      <c r="BG135" s="12" t="n"/>
      <c r="BH135" s="12" t="n"/>
      <c r="BI135" s="12" t="n"/>
      <c r="BJ135" s="12" t="n"/>
      <c r="BK135" s="12" t="n"/>
      <c r="BL135" s="12" t="n"/>
      <c r="BM135" s="12" t="n"/>
      <c r="BN135" s="12" t="n"/>
      <c r="BO135" s="12" t="n"/>
      <c r="BP135" s="12" t="n"/>
      <c r="BQ135" s="12" t="n"/>
      <c r="BR135" s="12" t="n"/>
      <c r="BS135" s="12" t="n"/>
      <c r="BT135" s="12" t="n"/>
      <c r="BU135" s="12" t="n"/>
      <c r="BV135" s="12" t="n"/>
      <c r="BW135" s="12" t="n"/>
      <c r="BX135" s="12" t="n"/>
      <c r="BY135" s="12" t="n"/>
      <c r="BZ135" s="12" t="n"/>
      <c r="CA135" s="12" t="n"/>
      <c r="CB135" s="12" t="n"/>
      <c r="CC135" s="12" t="n"/>
      <c r="CD135" s="12" t="n"/>
      <c r="CE135" s="12" t="n"/>
      <c r="CF135" s="12" t="n"/>
      <c r="CG135" s="12" t="n"/>
      <c r="CH135" s="12" t="n"/>
      <c r="CI135" s="12" t="n"/>
      <c r="CJ135" s="12" t="n"/>
      <c r="CK135" s="12" t="n"/>
      <c r="CL135" s="12" t="n"/>
      <c r="CM135" s="12" t="n"/>
      <c r="CN135" s="12" t="n"/>
      <c r="CO135" s="12" t="n"/>
      <c r="CP135" s="12" t="n"/>
      <c r="CQ135" s="12" t="n"/>
      <c r="CR135" s="12" t="n"/>
      <c r="CS135" s="12" t="n"/>
      <c r="CT135" s="12" t="n"/>
      <c r="CU135" s="12" t="n"/>
      <c r="CV135" s="12" t="n"/>
      <c r="CW135" s="12" t="n"/>
      <c r="CX135" s="12" t="n"/>
      <c r="CY135" s="12" t="n"/>
    </row>
    <row r="136" collapsed="1" customFormat="1" s="32">
      <c r="A136" s="30" t="n"/>
      <c r="B136" s="3" t="n"/>
      <c r="C136" s="33" t="inlineStr">
        <is>
          <t>Pretax Income - EBT</t>
        </is>
      </c>
      <c r="D136" s="35" t="n"/>
      <c r="E136" s="35" t="n"/>
      <c r="F136" s="35" t="n"/>
      <c r="G136" s="35" t="n"/>
      <c r="H136" s="35" t="n"/>
      <c r="I136" s="35">
        <f>SUM(I79,I80,I129)</f>
        <v>286.846067396</v>
      </c>
      <c r="J136" s="35">
        <f>SUM(J79,J80,J129)</f>
        <v>542.594767344</v>
      </c>
      <c r="K136" s="35">
        <f>SUM(K79,K80,K129)</f>
        <v>572.978335414</v>
      </c>
      <c r="L136" s="35">
        <f>SUM(L79,L80,L129)</f>
        <v>510.538829846</v>
      </c>
      <c r="M136" s="35">
        <f>SUM(I136:L136)</f>
        <v>1912.958</v>
      </c>
      <c r="N136" s="35">
        <f>SUM(N79,N80,N129)</f>
        <v>463.485</v>
      </c>
      <c r="O136" s="35">
        <f>SUM(O79,O80,O129)</f>
        <v>324.1702</v>
      </c>
      <c r="P136" s="35">
        <f>SUM(P79,P80,P129)</f>
        <v>175.126000459001</v>
      </c>
      <c r="Q136" s="35">
        <f>SUM(Q79,Q80,Q129)</f>
        <v>24.6052464449998</v>
      </c>
      <c r="R136" s="35">
        <f>SUM(N136:Q136)</f>
        <v>987.386446904</v>
      </c>
      <c r="S136" s="35">
        <f>SUM(S79,S80,S129)</f>
        <v>6.65372876999913</v>
      </c>
      <c r="T136" s="35">
        <f>SUM(T79,T80,T129)</f>
        <v>106.772129199001</v>
      </c>
      <c r="U136" s="35">
        <f>SUM(U79,U80,U129)</f>
        <v>-192.797543096999</v>
      </c>
      <c r="V136" s="35">
        <f>SUM(V79,V80,V129)</f>
        <v>-949.683882940999</v>
      </c>
      <c r="W136" s="35">
        <f>SUM(S136:V136)</f>
        <v>-1029.055568069</v>
      </c>
      <c r="X136" s="35">
        <f>SUM(X79,X80,X129)</f>
        <v>89.0785439599991</v>
      </c>
      <c r="Y136" s="35">
        <f>SUM(Y79,Y80,Y129)</f>
        <v>220.875574040001</v>
      </c>
      <c r="Z136" s="35">
        <f>SUM(Z79,Z80,Z129)</f>
        <v>144.389781379999</v>
      </c>
      <c r="AA136" s="35">
        <f>SUM(AA79,AA80,AA129)</f>
        <v>-44.890699669999</v>
      </c>
      <c r="AB136" s="35">
        <f>SUM(X136:AA136)</f>
        <v>409.453199710001</v>
      </c>
      <c r="AC136" s="35">
        <f>SUM(AC79,AC80,AC129)</f>
        <v>-21.5144940900011</v>
      </c>
      <c r="AD136" s="35">
        <f>SUM(AD79,AD80,AD129)</f>
        <v>-119.14486919</v>
      </c>
      <c r="AE136" s="35">
        <f>SUM(AE79,AE80,AE129)</f>
        <v>-322.229796350001</v>
      </c>
      <c r="AF136" s="35">
        <f>SUM(AF79,AF80,AF129)</f>
        <v>722.09024403</v>
      </c>
      <c r="AG136" s="35">
        <f>SUM(AC136:AF136)</f>
        <v>259.201084399998</v>
      </c>
      <c r="AH136" s="35">
        <f>SUM(AH79,AH80,AH129)</f>
        <v>-233.073351340001</v>
      </c>
      <c r="AI136" s="35">
        <f>SUM(AI79,AI80,AI129)</f>
        <v>-191.643237049999</v>
      </c>
      <c r="AJ136" s="35">
        <f>SUM(AJ79,AJ80,AJ129:AJ134)</f>
        <v>2778.22899652325</v>
      </c>
      <c r="AK136" s="35">
        <f>SUM(AK79,AK80,AK129:AK134)</f>
        <v>2782.87364198578</v>
      </c>
      <c r="AL136" s="35">
        <f>SUM(AH136:AK136)</f>
        <v>5136.38605011902</v>
      </c>
      <c r="AM136" s="35">
        <f>SUM(AM79,AM80,AM129:AM134)</f>
        <v>2734.02254409922</v>
      </c>
      <c r="AN136" s="35">
        <f>SUM(AN79,AN80,AN129:AN134)</f>
        <v>2815.20096933294</v>
      </c>
      <c r="AO136" s="35">
        <f>SUM(AO79,AO80,AO129:AO134)</f>
        <v>2948.46890047216</v>
      </c>
      <c r="AP136" s="35">
        <f>SUM(AP79,AP80,AP129:AP134)</f>
        <v>2953.39815314251</v>
      </c>
      <c r="AQ136" s="35">
        <f>SUM(AM136:AP136)</f>
        <v>11451.0905670468</v>
      </c>
      <c r="AR136" s="35">
        <f>SUM(AR79,AR80,AR129:AR134)</f>
        <v>2887.88352254654</v>
      </c>
      <c r="AS136" s="35">
        <f>SUM(AS79,AS80,AS129:AS134)</f>
        <v>2973.63037826457</v>
      </c>
      <c r="AT136" s="35">
        <f>SUM(AT79,AT80,AT129:AT134)</f>
        <v>3114.39815037071</v>
      </c>
      <c r="AU136" s="35">
        <f>SUM(AU79,AU80,AU129:AU134)</f>
        <v>3119.60480369401</v>
      </c>
      <c r="AV136" s="35">
        <f>SUM(AR136:AU136)</f>
        <v>12095.5168548758</v>
      </c>
      <c r="AW136" s="35">
        <f>SUM(AW79,AW80,AW129:AW134)</f>
        <v>3035.96382715771</v>
      </c>
      <c r="AX136" s="35">
        <f>SUM(AX79,AX80,AX129:AX134)</f>
        <v>3126.1074739565</v>
      </c>
      <c r="AY136" s="35">
        <f>SUM(AY79,AY80,AY129:AY134)</f>
        <v>3274.0933123074</v>
      </c>
      <c r="AZ136" s="35">
        <f>SUM(AZ79,AZ80,AZ129:AZ134)</f>
        <v>3279.56694413038</v>
      </c>
      <c r="BA136" s="35">
        <f>SUM(AW136:AZ136)</f>
        <v>12715.731557552</v>
      </c>
      <c r="BB136" s="35">
        <f>SUM(BB79,BB80,BB129:BB134)</f>
        <v>3176.45733930558</v>
      </c>
      <c r="BC136" s="35">
        <f>SUM(BC79,BC80,BC129:BC134)</f>
        <v>3270.77251062099</v>
      </c>
      <c r="BD136" s="35">
        <f>SUM(BD79,BD80,BD129:BD134)</f>
        <v>3425.60660256177</v>
      </c>
      <c r="BE136" s="35">
        <f>SUM(BE79,BE80,BE129:BE134)</f>
        <v>3431.33353442481</v>
      </c>
      <c r="BF136" s="35">
        <f>SUM(BB136:BE136)</f>
        <v>13304.1699869132</v>
      </c>
      <c r="BG136" s="35" t="n"/>
      <c r="BH136" s="35" t="n"/>
      <c r="BI136" s="35" t="n"/>
      <c r="BJ136" s="35" t="n"/>
      <c r="BK136" s="35" t="n"/>
      <c r="BL136" s="35" t="n"/>
      <c r="BM136" s="35" t="n"/>
      <c r="BN136" s="35" t="n"/>
      <c r="BO136" s="35" t="n"/>
      <c r="BP136" s="35" t="n"/>
      <c r="BQ136" s="35" t="n"/>
      <c r="BR136" s="35" t="n"/>
      <c r="BS136" s="35" t="n"/>
      <c r="BT136" s="35" t="n"/>
      <c r="BU136" s="35" t="n"/>
      <c r="BV136" s="35" t="n"/>
      <c r="BW136" s="35" t="n"/>
      <c r="BX136" s="35" t="n"/>
      <c r="BY136" s="35" t="n"/>
      <c r="BZ136" s="35" t="n"/>
      <c r="CA136" s="35" t="n"/>
      <c r="CB136" s="35" t="n"/>
      <c r="CC136" s="35" t="n"/>
      <c r="CD136" s="35" t="n"/>
      <c r="CE136" s="35" t="n"/>
      <c r="CF136" s="35" t="n"/>
      <c r="CG136" s="35" t="n"/>
      <c r="CH136" s="35" t="n"/>
      <c r="CI136" s="35" t="n"/>
      <c r="CJ136" s="35" t="n"/>
      <c r="CK136" s="35" t="n"/>
      <c r="CL136" s="35" t="n"/>
      <c r="CM136" s="35" t="n"/>
      <c r="CN136" s="35" t="n"/>
      <c r="CO136" s="35" t="n"/>
      <c r="CP136" s="35" t="n"/>
      <c r="CQ136" s="35" t="n"/>
      <c r="CR136" s="35" t="n"/>
      <c r="CS136" s="35" t="n"/>
      <c r="CT136" s="35" t="n"/>
      <c r="CU136" s="35" t="n"/>
      <c r="CV136" s="35" t="n"/>
      <c r="CW136" s="35" t="n"/>
      <c r="CX136" s="35" t="n"/>
      <c r="CY136" s="35" t="n"/>
    </row>
    <row r="137">
      <c r="C137" s="14" t="inlineStr">
        <is>
          <t>Taxes</t>
        </is>
      </c>
      <c r="D137" s="46" t="n"/>
      <c r="E137" s="46" t="n"/>
      <c r="F137" s="46" t="n"/>
      <c r="G137" s="46" t="n"/>
      <c r="H137" s="12" t="n"/>
      <c r="I137" s="46">
        <f>'Inputs (2)'!D10</f>
        <v>-115.677993871</v>
      </c>
      <c r="J137" s="46">
        <f>'Inputs (2)'!E10</f>
        <v>-150.76208871</v>
      </c>
      <c r="K137" s="46">
        <f>'Inputs (2)'!F10</f>
        <v>-173.62383393</v>
      </c>
      <c r="L137" s="46">
        <f>'Inputs (2)'!G10</f>
        <v>-143.944083489</v>
      </c>
      <c r="M137" s="12">
        <f>'Inputs (2)'!H10</f>
        <v>-584.008</v>
      </c>
      <c r="N137" s="46">
        <f>'Inputs (2)'!I10</f>
        <v>-134.962</v>
      </c>
      <c r="O137" s="46">
        <f>'Inputs (2)'!J10</f>
        <v>-111.208</v>
      </c>
      <c r="P137" s="46">
        <f>'Inputs (2)'!K10</f>
        <v>-64.128</v>
      </c>
      <c r="Q137" s="46">
        <f>'Inputs (2)'!L10</f>
        <v>263.619712305</v>
      </c>
      <c r="R137" s="12">
        <f>'Inputs (2)'!M10</f>
        <v>-46.678287695</v>
      </c>
      <c r="S137" s="46">
        <f>'Inputs (2)'!N10</f>
        <v>70.27789576</v>
      </c>
      <c r="T137" s="46">
        <f>'Inputs (2)'!O10</f>
        <v>-6.886477127</v>
      </c>
      <c r="U137" s="46">
        <f>'Inputs (2)'!P10</f>
        <v>82.158320558</v>
      </c>
      <c r="V137" s="46">
        <f>'Inputs (2)'!Q10</f>
        <v>231.655263591</v>
      </c>
      <c r="W137" s="12">
        <f>'Inputs (2)'!R10</f>
        <v>377.205002782</v>
      </c>
      <c r="X137" s="46">
        <f>'Inputs (2)'!S10</f>
        <v>-16.36550454</v>
      </c>
      <c r="Y137" s="46">
        <f>'Inputs (2)'!T10</f>
        <v>-79.02701432</v>
      </c>
      <c r="Z137" s="46">
        <f>'Inputs (2)'!U10</f>
        <v>-41.45635505</v>
      </c>
      <c r="AA137" s="46">
        <f>'Inputs (2)'!V10</f>
        <v>-178.77275664</v>
      </c>
      <c r="AB137" s="12">
        <f>'Inputs (2)'!W10</f>
        <v>-315.62163055</v>
      </c>
      <c r="AC137" s="46">
        <f>'Inputs (2)'!X10</f>
        <v>33.11294772</v>
      </c>
      <c r="AD137" s="46">
        <f>'Inputs (2)'!Y10</f>
        <v>76.22104517</v>
      </c>
      <c r="AE137" s="46">
        <f>'Inputs (2)'!Z10</f>
        <v>83.7182697</v>
      </c>
      <c r="AF137" s="46">
        <f>'Inputs (2)'!AA10</f>
        <v>-239.26191702</v>
      </c>
      <c r="AG137" s="12">
        <f>'Inputs (2)'!AB10</f>
        <v>-46.20965443</v>
      </c>
      <c r="AH137" s="12">
        <f>'Inputs (2)'!AC10</f>
        <v>58.79669943</v>
      </c>
      <c r="AI137" s="12">
        <f>'Inputs (2)'!AD10</f>
        <v>40.52143457</v>
      </c>
      <c r="AJ137" s="12">
        <f>-AJ136*AJ138</f>
        <v>-1497.32566692247</v>
      </c>
      <c r="AK137" s="12">
        <f>-AK136*AK138</f>
        <v>-1499.8288971722</v>
      </c>
      <c r="AL137" s="12">
        <f>SUM(AH137:AK137)</f>
        <v>-2897.83643009467</v>
      </c>
      <c r="AM137" s="12">
        <f>-AM136*AM138</f>
        <v>-1473.50061292551</v>
      </c>
      <c r="AN137" s="12">
        <f>-AN136*AN138</f>
        <v>-1517.25170034663</v>
      </c>
      <c r="AO137" s="12">
        <f>-AO136*AO138</f>
        <v>-1589.07641102459</v>
      </c>
      <c r="AP137" s="12">
        <f>-AP136*AP138</f>
        <v>-1591.73303024184</v>
      </c>
      <c r="AQ137" s="12">
        <f>SUM(AM137:AP137)</f>
        <v>-6171.56175453857</v>
      </c>
      <c r="AR137" s="12">
        <f>-AR136*AR138</f>
        <v>-1556.42394014413</v>
      </c>
      <c r="AS137" s="12">
        <f>-AS136*AS138</f>
        <v>-1602.63718177583</v>
      </c>
      <c r="AT137" s="12">
        <f>-AT136*AT138</f>
        <v>-1678.5039294463</v>
      </c>
      <c r="AU137" s="12">
        <f>-AU136*AU138</f>
        <v>-1681.3100536605</v>
      </c>
      <c r="AV137" s="12">
        <f>SUM(AR137:AU137)</f>
        <v>-6518.87510502676</v>
      </c>
      <c r="AW137" s="12">
        <f>-AW136*AW138</f>
        <v>-1636.23177496893</v>
      </c>
      <c r="AX137" s="12">
        <f>-AX136*AX138</f>
        <v>-1684.81466580721</v>
      </c>
      <c r="AY137" s="12">
        <f>-AY136*AY138</f>
        <v>-1764.57158806997</v>
      </c>
      <c r="AZ137" s="12">
        <f>-AZ136*AZ138</f>
        <v>-1767.52160026482</v>
      </c>
      <c r="BA137" s="12">
        <f>SUM(AW137:AZ137)</f>
        <v>-6853.13962911093</v>
      </c>
      <c r="BB137" s="12">
        <f>-BB136*BB138</f>
        <v>-1711.95071031888</v>
      </c>
      <c r="BC137" s="12">
        <f>-BC136*BC138</f>
        <v>-1762.78184301798</v>
      </c>
      <c r="BD137" s="12">
        <f>-BD136*BD138</f>
        <v>-1846.22962945592</v>
      </c>
      <c r="BE137" s="12">
        <f>-BE136*BE138</f>
        <v>-1849.31615762979</v>
      </c>
      <c r="BF137" s="12">
        <f>SUM(BB137:BE137)</f>
        <v>-7170.27834042257</v>
      </c>
      <c r="BG137" s="12" t="n"/>
      <c r="BH137" s="12" t="n"/>
      <c r="BI137" s="12" t="n"/>
      <c r="BJ137" s="12" t="n"/>
      <c r="BK137" s="12" t="n"/>
      <c r="BL137" s="12" t="n"/>
      <c r="BM137" s="12" t="n"/>
      <c r="BN137" s="12" t="n"/>
      <c r="BO137" s="12" t="n"/>
      <c r="BP137" s="12" t="n"/>
      <c r="BQ137" s="12" t="n"/>
      <c r="BR137" s="12" t="n"/>
      <c r="BS137" s="12" t="n"/>
      <c r="BT137" s="12" t="n"/>
      <c r="BU137" s="12" t="n"/>
      <c r="BV137" s="12" t="n"/>
      <c r="BW137" s="12" t="n"/>
      <c r="BX137" s="12" t="n"/>
      <c r="BY137" s="12" t="n"/>
      <c r="BZ137" s="12" t="n"/>
      <c r="CA137" s="12" t="n"/>
      <c r="CB137" s="12" t="n"/>
      <c r="CC137" s="12" t="n"/>
      <c r="CD137" s="12" t="n"/>
      <c r="CE137" s="12" t="n"/>
      <c r="CF137" s="12" t="n"/>
      <c r="CG137" s="12" t="n"/>
      <c r="CH137" s="12" t="n"/>
      <c r="CI137" s="12" t="n"/>
      <c r="CJ137" s="12" t="n"/>
      <c r="CK137" s="12" t="n"/>
      <c r="CL137" s="12" t="n"/>
      <c r="CM137" s="12" t="n"/>
      <c r="CN137" s="12" t="n"/>
      <c r="CO137" s="12" t="n"/>
      <c r="CP137" s="12" t="n"/>
      <c r="CQ137" s="12" t="n"/>
      <c r="CR137" s="12" t="n"/>
      <c r="CS137" s="12" t="n"/>
      <c r="CT137" s="12" t="n"/>
      <c r="CU137" s="12" t="n"/>
      <c r="CV137" s="12" t="n"/>
      <c r="CW137" s="12" t="n"/>
      <c r="CX137" s="12" t="n"/>
      <c r="CY137" s="12" t="n"/>
    </row>
    <row r="138" hidden="1" outlineLevel="1">
      <c r="C138" s="57" t="inlineStr">
        <is>
          <t>% ETR</t>
        </is>
      </c>
      <c r="D138" s="53" t="n"/>
      <c r="E138" s="53" t="n"/>
      <c r="F138" s="53" t="n"/>
      <c r="G138" s="53" t="n"/>
      <c r="H138" s="53" t="n"/>
      <c r="I138" s="53">
        <f>IFERROR(-I137/I136,"")</f>
        <v>0.40327550912979</v>
      </c>
      <c r="J138" s="53">
        <f>IFERROR(-J137/J136,"")</f>
        <v>0.27785393037972</v>
      </c>
      <c r="K138" s="53">
        <f>IFERROR(-K137/K136,"")</f>
        <v>0.303019893072484</v>
      </c>
      <c r="L138" s="53">
        <f>IFERROR(-L137/L136,"")</f>
        <v>0.281945417417946</v>
      </c>
      <c r="M138" s="53">
        <f>IFERROR(-M137/M136,"")</f>
        <v>0.305290550027758</v>
      </c>
      <c r="N138" s="53">
        <f>IFERROR(-N137/N136,"")</f>
        <v>0.291189574635641</v>
      </c>
      <c r="O138" s="53">
        <f>IFERROR(-O137/O136,"")</f>
        <v>0.343054358482057</v>
      </c>
      <c r="P138" s="53">
        <f>IFERROR(-P137/P136,"")</f>
        <v>0.366182062240457</v>
      </c>
      <c r="Q138" s="53">
        <f>IFERROR(-Q137/Q136,"")</f>
        <v>-10.7139634993809</v>
      </c>
      <c r="R138" s="53">
        <f>IFERROR(-R137/R136,"")</f>
        <v>0.0472745882236506</v>
      </c>
      <c r="S138" s="53">
        <f>IFERROR(-S137/S136,"")</f>
        <v>-10.5621822273361</v>
      </c>
      <c r="T138" s="53">
        <f>IFERROR(-T137/T136,"")</f>
        <v>0.064496954202019</v>
      </c>
      <c r="U138" s="53">
        <f>IFERROR(-U137/U136,"")</f>
        <v>0.426137798429647</v>
      </c>
      <c r="V138" s="53">
        <f>IFERROR(-V137/V136,"")</f>
        <v>0.243928814368846</v>
      </c>
      <c r="W138" s="53">
        <f>IFERROR(-W137/W136,"")</f>
        <v>0.366554552044082</v>
      </c>
      <c r="X138" s="53">
        <f>IFERROR(-X137/X136,"")</f>
        <v>0.183719937624362</v>
      </c>
      <c r="Y138" s="53">
        <f>IFERROR(-Y137/Y136,"")</f>
        <v>0.357789740506517</v>
      </c>
      <c r="Z138" s="53">
        <f>IFERROR(-Z137/Z136,"")</f>
        <v>0.287114189479218</v>
      </c>
      <c r="AA138" s="53">
        <f>IFERROR(-AA137/AA136,"")</f>
        <v>-3.98240076350327</v>
      </c>
      <c r="AB138" s="53">
        <f>IFERROR(-AB137/AB136,"")</f>
        <v>0.770836888742211</v>
      </c>
      <c r="AC138" s="53">
        <f>IFERROR(-AC137/AC136,"")</f>
        <v>1.53909952897239</v>
      </c>
      <c r="AD138" s="53">
        <f>IFERROR(-AD137/AD136,"")</f>
        <v>0.639734179811392</v>
      </c>
      <c r="AE138" s="53">
        <f>IFERROR(-AE137/AE136,"")</f>
        <v>0.259809212705663</v>
      </c>
      <c r="AF138" s="41">
        <f>IFERROR(-AF137/AF136,"")</f>
        <v>0.331346281158259</v>
      </c>
      <c r="AG138" s="53">
        <f>IFERROR(-AG137/AG136,"")</f>
        <v>0.178277241921911</v>
      </c>
      <c r="AH138" s="41">
        <f>IFERROR(-AH137/AH136,"")</f>
        <v>0.252266932671461</v>
      </c>
      <c r="AI138" s="41">
        <f>IFERROR(-AI137/AI136,"")</f>
        <v>0.211442027351208</v>
      </c>
      <c r="AJ138" s="41">
        <f>Control!$B$22</f>
        <v>0.538949693778396</v>
      </c>
      <c r="AK138" s="41">
        <f>Control!$B$22</f>
        <v>0.538949693778396</v>
      </c>
      <c r="AL138" s="53">
        <f>IFERROR(-AL137/AL136,"")</f>
        <v>0.56417808198578</v>
      </c>
      <c r="AM138" s="41">
        <f>Control!$C$22</f>
        <v>0.538949693778396</v>
      </c>
      <c r="AN138" s="41">
        <f>Control!$C$22</f>
        <v>0.538949693778396</v>
      </c>
      <c r="AO138" s="41">
        <f>Control!$C$22</f>
        <v>0.538949693778396</v>
      </c>
      <c r="AP138" s="41">
        <f>Control!$C$22</f>
        <v>0.538949693778396</v>
      </c>
      <c r="AQ138" s="53">
        <f>IFERROR(-AQ137/AQ136,"")</f>
        <v>0.538949693778396</v>
      </c>
      <c r="AR138" s="41">
        <f>Control!$D$22</f>
        <v>0.538949693778396</v>
      </c>
      <c r="AS138" s="41">
        <f>Control!$D$22</f>
        <v>0.538949693778396</v>
      </c>
      <c r="AT138" s="41">
        <f>Control!$D$22</f>
        <v>0.538949693778396</v>
      </c>
      <c r="AU138" s="41">
        <f>Control!$D$22</f>
        <v>0.538949693778396</v>
      </c>
      <c r="AV138" s="53">
        <f>IFERROR(-AV137/AV136,"")</f>
        <v>0.538949693778396</v>
      </c>
      <c r="AW138" s="41">
        <f>Control!$E$22</f>
        <v>0.538949693778396</v>
      </c>
      <c r="AX138" s="41">
        <f>Control!$E$22</f>
        <v>0.538949693778396</v>
      </c>
      <c r="AY138" s="41">
        <f>Control!$E$22</f>
        <v>0.538949693778396</v>
      </c>
      <c r="AZ138" s="41">
        <f>Control!$E$22</f>
        <v>0.538949693778396</v>
      </c>
      <c r="BA138" s="53">
        <f>IFERROR(-BA137/BA136,"")</f>
        <v>0.538949693778396</v>
      </c>
      <c r="BB138" s="41">
        <f>Control!$F$22</f>
        <v>0.538949693778396</v>
      </c>
      <c r="BC138" s="41">
        <f>Control!$F$22</f>
        <v>0.538949693778396</v>
      </c>
      <c r="BD138" s="41">
        <f>Control!$F$22</f>
        <v>0.538949693778396</v>
      </c>
      <c r="BE138" s="41">
        <f>Control!$F$22</f>
        <v>0.538949693778396</v>
      </c>
      <c r="BF138" s="53">
        <f>IFERROR(-BF137/BF136,"")</f>
        <v>0.538949693778396</v>
      </c>
      <c r="BG138" s="41" t="n"/>
      <c r="BH138" s="41" t="n"/>
      <c r="BI138" s="41" t="n"/>
      <c r="BJ138" s="41" t="n"/>
      <c r="BK138" s="53" t="n"/>
      <c r="BL138" s="41" t="n"/>
      <c r="BM138" s="41" t="n"/>
      <c r="BN138" s="41" t="n"/>
      <c r="BO138" s="41" t="n"/>
      <c r="BP138" s="53" t="n"/>
      <c r="BQ138" s="41" t="n"/>
      <c r="BR138" s="41" t="n"/>
      <c r="BS138" s="41" t="n"/>
      <c r="BT138" s="41" t="n"/>
      <c r="BU138" s="53" t="n"/>
      <c r="BV138" s="41" t="n"/>
      <c r="BW138" s="41" t="n"/>
      <c r="BX138" s="41" t="n"/>
      <c r="BY138" s="41" t="n"/>
      <c r="BZ138" s="53" t="n"/>
      <c r="CA138" s="41" t="n"/>
      <c r="CB138" s="41" t="n"/>
      <c r="CC138" s="41" t="n"/>
      <c r="CD138" s="41" t="n"/>
      <c r="CE138" s="53" t="n"/>
      <c r="CF138" s="41" t="n"/>
      <c r="CG138" s="41" t="n"/>
      <c r="CH138" s="41" t="n"/>
      <c r="CI138" s="41" t="n"/>
      <c r="CJ138" s="53" t="n"/>
      <c r="CK138" s="41" t="n"/>
      <c r="CL138" s="41" t="n"/>
      <c r="CM138" s="41" t="n"/>
      <c r="CN138" s="41" t="n"/>
      <c r="CO138" s="53" t="n"/>
      <c r="CP138" s="41" t="n"/>
      <c r="CQ138" s="41" t="n"/>
      <c r="CR138" s="41" t="n"/>
      <c r="CS138" s="41" t="n"/>
      <c r="CT138" s="53" t="n"/>
      <c r="CU138" s="41" t="n"/>
      <c r="CV138" s="41" t="n"/>
      <c r="CW138" s="41" t="n"/>
      <c r="CX138" s="41" t="n"/>
      <c r="CY138" s="53" t="n"/>
    </row>
    <row r="139" hidden="1" outlineLevel="1">
      <c r="C139" s="57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  <c r="AJ139" s="12" t="n"/>
      <c r="AK139" s="12" t="n"/>
      <c r="AL139" s="12" t="n"/>
      <c r="AM139" s="12" t="n"/>
      <c r="AN139" s="12" t="n"/>
      <c r="AO139" s="12" t="n"/>
      <c r="AP139" s="12" t="n"/>
      <c r="AQ139" s="12" t="n"/>
      <c r="AR139" s="12" t="n"/>
      <c r="AS139" s="12" t="n"/>
      <c r="AT139" s="12" t="n"/>
      <c r="AU139" s="12" t="n"/>
      <c r="AV139" s="12" t="n"/>
      <c r="AW139" s="12" t="n"/>
      <c r="AX139" s="12" t="n"/>
      <c r="AY139" s="12" t="n"/>
      <c r="AZ139" s="12" t="n"/>
      <c r="BA139" s="12" t="n"/>
      <c r="BB139" s="12" t="n"/>
      <c r="BC139" s="12" t="n"/>
      <c r="BD139" s="12" t="n"/>
      <c r="BE139" s="12" t="n"/>
      <c r="BF139" s="12" t="n"/>
      <c r="BG139" s="12" t="n"/>
      <c r="BH139" s="12" t="n"/>
      <c r="BI139" s="12" t="n"/>
      <c r="BJ139" s="12" t="n"/>
      <c r="BK139" s="12" t="n"/>
      <c r="BL139" s="12" t="n"/>
      <c r="BM139" s="12" t="n"/>
      <c r="BN139" s="12" t="n"/>
      <c r="BO139" s="12" t="n"/>
      <c r="BP139" s="12" t="n"/>
      <c r="BQ139" s="12" t="n"/>
      <c r="BR139" s="12" t="n"/>
      <c r="BS139" s="12" t="n"/>
      <c r="BT139" s="12" t="n"/>
      <c r="BU139" s="12" t="n"/>
      <c r="BV139" s="12" t="n"/>
      <c r="BW139" s="12" t="n"/>
      <c r="BX139" s="12" t="n"/>
      <c r="BY139" s="12" t="n"/>
      <c r="BZ139" s="12" t="n"/>
      <c r="CA139" s="12" t="n"/>
      <c r="CB139" s="12" t="n"/>
      <c r="CC139" s="12" t="n"/>
      <c r="CD139" s="12" t="n"/>
      <c r="CE139" s="12" t="n"/>
      <c r="CF139" s="12" t="n"/>
      <c r="CG139" s="12" t="n"/>
      <c r="CH139" s="12" t="n"/>
      <c r="CI139" s="12" t="n"/>
      <c r="CJ139" s="12" t="n"/>
      <c r="CK139" s="12" t="n"/>
      <c r="CL139" s="12" t="n"/>
      <c r="CM139" s="12" t="n"/>
      <c r="CN139" s="12" t="n"/>
      <c r="CO139" s="12" t="n"/>
      <c r="CP139" s="12" t="n"/>
      <c r="CQ139" s="12" t="n"/>
      <c r="CR139" s="12" t="n"/>
      <c r="CS139" s="12" t="n"/>
      <c r="CT139" s="12" t="n"/>
      <c r="CU139" s="12" t="n"/>
      <c r="CV139" s="12" t="n"/>
      <c r="CW139" s="12" t="n"/>
      <c r="CX139" s="12" t="n"/>
      <c r="CY139" s="12" t="n"/>
    </row>
    <row r="140" hidden="1" outlineLevel="1">
      <c r="C140" s="57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  <c r="AJ140" s="12" t="n"/>
      <c r="AK140" s="12" t="n"/>
      <c r="AL140" s="12" t="n"/>
      <c r="AM140" s="12" t="n"/>
      <c r="AN140" s="12" t="n"/>
      <c r="AO140" s="12" t="n"/>
      <c r="AP140" s="12" t="n"/>
      <c r="AQ140" s="12" t="n"/>
      <c r="AR140" s="12" t="n"/>
      <c r="AS140" s="12" t="n"/>
      <c r="AT140" s="12" t="n"/>
      <c r="AU140" s="12" t="n"/>
      <c r="AV140" s="12" t="n"/>
      <c r="AW140" s="12" t="n"/>
      <c r="AX140" s="12" t="n"/>
      <c r="AY140" s="12" t="n"/>
      <c r="AZ140" s="12" t="n"/>
      <c r="BA140" s="12" t="n"/>
      <c r="BB140" s="12" t="n"/>
      <c r="BC140" s="12" t="n"/>
      <c r="BD140" s="12" t="n"/>
      <c r="BE140" s="12" t="n"/>
      <c r="BF140" s="12" t="n"/>
      <c r="BG140" s="12" t="n"/>
      <c r="BH140" s="12" t="n"/>
      <c r="BI140" s="12" t="n"/>
      <c r="BJ140" s="12" t="n"/>
      <c r="BK140" s="12" t="n"/>
      <c r="BL140" s="12" t="n"/>
      <c r="BM140" s="12" t="n"/>
      <c r="BN140" s="12" t="n"/>
      <c r="BO140" s="12" t="n"/>
      <c r="BP140" s="12" t="n"/>
      <c r="BQ140" s="12" t="n"/>
      <c r="BR140" s="12" t="n"/>
      <c r="BS140" s="12" t="n"/>
      <c r="BT140" s="12" t="n"/>
      <c r="BU140" s="12" t="n"/>
      <c r="BV140" s="12" t="n"/>
      <c r="BW140" s="12" t="n"/>
      <c r="BX140" s="12" t="n"/>
      <c r="BY140" s="12" t="n"/>
      <c r="BZ140" s="12" t="n"/>
      <c r="CA140" s="12" t="n"/>
      <c r="CB140" s="12" t="n"/>
      <c r="CC140" s="12" t="n"/>
      <c r="CD140" s="12" t="n"/>
      <c r="CE140" s="12" t="n"/>
      <c r="CF140" s="12" t="n"/>
      <c r="CG140" s="12" t="n"/>
      <c r="CH140" s="12" t="n"/>
      <c r="CI140" s="12" t="n"/>
      <c r="CJ140" s="12" t="n"/>
      <c r="CK140" s="12" t="n"/>
      <c r="CL140" s="12" t="n"/>
      <c r="CM140" s="12" t="n"/>
      <c r="CN140" s="12" t="n"/>
      <c r="CO140" s="12" t="n"/>
      <c r="CP140" s="12" t="n"/>
      <c r="CQ140" s="12" t="n"/>
      <c r="CR140" s="12" t="n"/>
      <c r="CS140" s="12" t="n"/>
      <c r="CT140" s="12" t="n"/>
      <c r="CU140" s="12" t="n"/>
      <c r="CV140" s="12" t="n"/>
      <c r="CW140" s="12" t="n"/>
      <c r="CX140" s="12" t="n"/>
      <c r="CY140" s="12" t="n"/>
    </row>
    <row r="141" collapsed="1">
      <c r="C141" s="14" t="inlineStr">
        <is>
          <t>Equity in Income of Affiliates, after tax (enter as +)</t>
        </is>
      </c>
      <c r="D141" s="46" t="n"/>
      <c r="E141" s="46" t="n"/>
      <c r="F141" s="46" t="n"/>
      <c r="G141" s="46" t="n"/>
      <c r="H141" s="12" t="n"/>
      <c r="I141" s="46">
        <f>'Inputs (2)'!D11</f>
        <v>0</v>
      </c>
      <c r="J141" s="46">
        <f>'Inputs (2)'!E11</f>
        <v>0</v>
      </c>
      <c r="K141" s="46">
        <f>'Inputs (2)'!F11</f>
        <v>0</v>
      </c>
      <c r="L141" s="46">
        <f>'Inputs (2)'!G11</f>
        <v>0</v>
      </c>
      <c r="M141" s="12">
        <f>'Inputs (2)'!H11</f>
        <v>0</v>
      </c>
      <c r="N141" s="46">
        <f>'Inputs (2)'!I11</f>
        <v>0</v>
      </c>
      <c r="O141" s="46">
        <f>'Inputs (2)'!J11</f>
        <v>0</v>
      </c>
      <c r="P141" s="46">
        <f>'Inputs (2)'!K11</f>
        <v>0</v>
      </c>
      <c r="Q141" s="46">
        <f>'Inputs (2)'!L11</f>
        <v>0</v>
      </c>
      <c r="R141" s="12">
        <f>'Inputs (2)'!M11</f>
        <v>0</v>
      </c>
      <c r="S141" s="46">
        <f>'Inputs (2)'!N11</f>
        <v>0</v>
      </c>
      <c r="T141" s="46">
        <f>'Inputs (2)'!O11</f>
        <v>0</v>
      </c>
      <c r="U141" s="46">
        <f>'Inputs (2)'!P11</f>
        <v>0</v>
      </c>
      <c r="V141" s="46">
        <f>'Inputs (2)'!Q11</f>
        <v>0</v>
      </c>
      <c r="W141" s="12">
        <f>'Inputs (2)'!R11</f>
        <v>0</v>
      </c>
      <c r="X141" s="46">
        <f>'Inputs (2)'!S11</f>
        <v>0</v>
      </c>
      <c r="Y141" s="46">
        <f>'Inputs (2)'!T11</f>
        <v>0</v>
      </c>
      <c r="Z141" s="46">
        <f>'Inputs (2)'!U11</f>
        <v>0</v>
      </c>
      <c r="AA141" s="46">
        <f>'Inputs (2)'!V11</f>
        <v>0</v>
      </c>
      <c r="AB141" s="12">
        <f>'Inputs (2)'!W11</f>
        <v>0</v>
      </c>
      <c r="AC141" s="46">
        <f>'Inputs (2)'!X11</f>
        <v>0</v>
      </c>
      <c r="AD141" s="46">
        <f>'Inputs (2)'!Y11</f>
        <v>0</v>
      </c>
      <c r="AE141" s="46">
        <f>'Inputs (2)'!Z11</f>
        <v>0</v>
      </c>
      <c r="AF141" s="46">
        <f>'Inputs (2)'!AA11</f>
        <v>0</v>
      </c>
      <c r="AG141" s="12">
        <f>'Inputs (2)'!AB11</f>
        <v>0</v>
      </c>
      <c r="AH141" s="12">
        <f>'Inputs (2)'!AC11</f>
        <v>0</v>
      </c>
      <c r="AI141" s="12">
        <f>'Inputs (2)'!AD11</f>
        <v>0</v>
      </c>
      <c r="AJ141" s="12">
        <f>0</f>
        <v>0</v>
      </c>
      <c r="AK141" s="12">
        <f>0</f>
        <v>0</v>
      </c>
      <c r="AL141" s="12">
        <f>SUM(AH141:AK141)</f>
        <v>0</v>
      </c>
      <c r="AM141" s="12">
        <f>0</f>
        <v>0</v>
      </c>
      <c r="AN141" s="12">
        <f>0</f>
        <v>0</v>
      </c>
      <c r="AO141" s="12">
        <f>0</f>
        <v>0</v>
      </c>
      <c r="AP141" s="12">
        <f>0</f>
        <v>0</v>
      </c>
      <c r="AQ141" s="12">
        <f>SUM(AM141:AP141)</f>
        <v>0</v>
      </c>
      <c r="AR141" s="12">
        <f>0</f>
        <v>0</v>
      </c>
      <c r="AS141" s="12">
        <f>0</f>
        <v>0</v>
      </c>
      <c r="AT141" s="12">
        <f>0</f>
        <v>0</v>
      </c>
      <c r="AU141" s="12">
        <f>0</f>
        <v>0</v>
      </c>
      <c r="AV141" s="12">
        <f>SUM(AR141:AU141)</f>
        <v>0</v>
      </c>
      <c r="AW141" s="12">
        <f>0</f>
        <v>0</v>
      </c>
      <c r="AX141" s="12">
        <f>0</f>
        <v>0</v>
      </c>
      <c r="AY141" s="12">
        <f>0</f>
        <v>0</v>
      </c>
      <c r="AZ141" s="12">
        <f>0</f>
        <v>0</v>
      </c>
      <c r="BA141" s="12">
        <f>SUM(AW141:AZ141)</f>
        <v>0</v>
      </c>
      <c r="BB141" s="12">
        <f>0</f>
        <v>0</v>
      </c>
      <c r="BC141" s="12">
        <f>0</f>
        <v>0</v>
      </c>
      <c r="BD141" s="12">
        <f>0</f>
        <v>0</v>
      </c>
      <c r="BE141" s="12">
        <f>0</f>
        <v>0</v>
      </c>
      <c r="BF141" s="12">
        <f>SUM(BB141:BE141)</f>
        <v>0</v>
      </c>
      <c r="BG141" s="12" t="n"/>
      <c r="BH141" s="12" t="n"/>
      <c r="BI141" s="12" t="n"/>
      <c r="BJ141" s="12" t="n"/>
      <c r="BK141" s="12" t="n"/>
      <c r="BL141" s="12" t="n"/>
      <c r="BM141" s="12" t="n"/>
      <c r="BN141" s="12" t="n"/>
      <c r="BO141" s="12" t="n"/>
      <c r="BP141" s="12" t="n"/>
      <c r="BQ141" s="12" t="n"/>
      <c r="BR141" s="12" t="n"/>
      <c r="BS141" s="12" t="n"/>
      <c r="BT141" s="12" t="n"/>
      <c r="BU141" s="12" t="n"/>
      <c r="BV141" s="12" t="n"/>
      <c r="BW141" s="12" t="n"/>
      <c r="BX141" s="12" t="n"/>
      <c r="BY141" s="12" t="n"/>
      <c r="BZ141" s="12" t="n"/>
      <c r="CA141" s="12" t="n"/>
      <c r="CB141" s="12" t="n"/>
      <c r="CC141" s="12" t="n"/>
      <c r="CD141" s="12" t="n"/>
      <c r="CE141" s="12" t="n"/>
      <c r="CF141" s="12" t="n"/>
      <c r="CG141" s="12" t="n"/>
      <c r="CH141" s="12" t="n"/>
      <c r="CI141" s="12" t="n"/>
      <c r="CJ141" s="12" t="n"/>
      <c r="CK141" s="12" t="n"/>
      <c r="CL141" s="12" t="n"/>
      <c r="CM141" s="12" t="n"/>
      <c r="CN141" s="12" t="n"/>
      <c r="CO141" s="12" t="n"/>
      <c r="CP141" s="12" t="n"/>
      <c r="CQ141" s="12" t="n"/>
      <c r="CR141" s="12" t="n"/>
      <c r="CS141" s="12" t="n"/>
      <c r="CT141" s="12" t="n"/>
      <c r="CU141" s="12" t="n"/>
      <c r="CV141" s="12" t="n"/>
      <c r="CW141" s="12" t="n"/>
      <c r="CX141" s="12" t="n"/>
      <c r="CY141" s="12" t="n"/>
    </row>
    <row r="142">
      <c r="C142" s="14" t="inlineStr">
        <is>
          <t>Minority Interest Expense, after tax (enter as - )</t>
        </is>
      </c>
      <c r="D142" s="46" t="n"/>
      <c r="E142" s="46" t="n"/>
      <c r="F142" s="46" t="n"/>
      <c r="G142" s="46" t="n"/>
      <c r="H142" s="12" t="n"/>
      <c r="I142" s="46">
        <f>'Inputs (2)'!D12</f>
        <v>-76.925073525</v>
      </c>
      <c r="J142" s="46">
        <f>'Inputs (2)'!E12</f>
        <v>-124.585678634</v>
      </c>
      <c r="K142" s="46">
        <f>'Inputs (2)'!F12</f>
        <v>-153.591501484</v>
      </c>
      <c r="L142" s="46">
        <f>'Inputs (2)'!G12</f>
        <v>-151.592746357</v>
      </c>
      <c r="M142" s="12">
        <f>'Inputs (2)'!H12</f>
        <v>-506.695</v>
      </c>
      <c r="N142" s="46">
        <f>'Inputs (2)'!I12</f>
        <v>-136.847</v>
      </c>
      <c r="O142" s="46">
        <f>'Inputs (2)'!J12</f>
        <v>-110.9852</v>
      </c>
      <c r="P142" s="46">
        <f>'Inputs (2)'!K12</f>
        <v>-92.497000459</v>
      </c>
      <c r="Q142" s="46">
        <f>'Inputs (2)'!L12</f>
        <v>-118.29595875</v>
      </c>
      <c r="R142" s="12">
        <f>'Inputs (2)'!M12</f>
        <v>-458.625159209</v>
      </c>
      <c r="S142" s="46">
        <f>'Inputs (2)'!N12</f>
        <v>-70.742624531</v>
      </c>
      <c r="T142" s="46">
        <f>'Inputs (2)'!O12</f>
        <v>-87.556652072</v>
      </c>
      <c r="U142" s="46">
        <f>'Inputs (2)'!P12</f>
        <v>-25.875777461</v>
      </c>
      <c r="V142" s="46">
        <f>'Inputs (2)'!Q12</f>
        <v>340.80461935</v>
      </c>
      <c r="W142" s="12">
        <f>'Inputs (2)'!R12</f>
        <v>156.629565286</v>
      </c>
      <c r="X142" s="46">
        <f>'Inputs (2)'!S12</f>
        <v>-85.7682702</v>
      </c>
      <c r="Y142" s="46">
        <f>'Inputs (2)'!T12</f>
        <v>-92.54872519</v>
      </c>
      <c r="Z142" s="46">
        <f>'Inputs (2)'!U12</f>
        <v>-92.09117639</v>
      </c>
      <c r="AA142" s="46">
        <f>'Inputs (2)'!V12</f>
        <v>-21.57901496</v>
      </c>
      <c r="AB142" s="12">
        <f>'Inputs (2)'!W12</f>
        <v>-291.98718674</v>
      </c>
      <c r="AC142" s="46">
        <f>'Inputs (2)'!X12</f>
        <v>-62.55145363</v>
      </c>
      <c r="AD142" s="46">
        <f>'Inputs (2)'!Y12</f>
        <v>-53.36717598</v>
      </c>
      <c r="AE142" s="46">
        <f>'Inputs (2)'!Z12</f>
        <v>-7.68147334999999</v>
      </c>
      <c r="AF142" s="46">
        <f>'Inputs (2)'!AA12</f>
        <v>-49.92032701</v>
      </c>
      <c r="AG142" s="12">
        <f>'Inputs (2)'!AB12</f>
        <v>-173.52042997</v>
      </c>
      <c r="AH142" s="12">
        <f>'Inputs (2)'!AC12</f>
        <v>-5.32068066000001</v>
      </c>
      <c r="AI142" s="12">
        <f>'Inputs (2)'!AD12</f>
        <v>-38.34786495</v>
      </c>
      <c r="AJ142" s="12">
        <f>0</f>
        <v>0</v>
      </c>
      <c r="AK142" s="12">
        <f>0</f>
        <v>0</v>
      </c>
      <c r="AL142" s="12">
        <f>SUM(AH142:AK142)</f>
        <v>-43.66854561</v>
      </c>
      <c r="AM142" s="12">
        <f>0</f>
        <v>0</v>
      </c>
      <c r="AN142" s="12">
        <f>0</f>
        <v>0</v>
      </c>
      <c r="AO142" s="12">
        <f>0</f>
        <v>0</v>
      </c>
      <c r="AP142" s="12">
        <f>0</f>
        <v>0</v>
      </c>
      <c r="AQ142" s="12">
        <f>SUM(AM142:AP142)</f>
        <v>0</v>
      </c>
      <c r="AR142" s="12">
        <f>0</f>
        <v>0</v>
      </c>
      <c r="AS142" s="12">
        <f>0</f>
        <v>0</v>
      </c>
      <c r="AT142" s="12">
        <f>0</f>
        <v>0</v>
      </c>
      <c r="AU142" s="12">
        <f>0</f>
        <v>0</v>
      </c>
      <c r="AV142" s="12">
        <f>SUM(AR142:AU142)</f>
        <v>0</v>
      </c>
      <c r="AW142" s="12">
        <f>0</f>
        <v>0</v>
      </c>
      <c r="AX142" s="12">
        <f>0</f>
        <v>0</v>
      </c>
      <c r="AY142" s="12">
        <f>0</f>
        <v>0</v>
      </c>
      <c r="AZ142" s="12">
        <f>0</f>
        <v>0</v>
      </c>
      <c r="BA142" s="12">
        <f>SUM(AW142:AZ142)</f>
        <v>0</v>
      </c>
      <c r="BB142" s="12">
        <f>0</f>
        <v>0</v>
      </c>
      <c r="BC142" s="12">
        <f>0</f>
        <v>0</v>
      </c>
      <c r="BD142" s="12">
        <f>0</f>
        <v>0</v>
      </c>
      <c r="BE142" s="12">
        <f>0</f>
        <v>0</v>
      </c>
      <c r="BF142" s="12">
        <f>SUM(BB142:BE142)</f>
        <v>0</v>
      </c>
      <c r="BG142" s="12" t="n"/>
      <c r="BH142" s="12" t="n"/>
      <c r="BI142" s="12" t="n"/>
      <c r="BJ142" s="12" t="n"/>
      <c r="BK142" s="12" t="n"/>
      <c r="BL142" s="12" t="n"/>
      <c r="BM142" s="12" t="n"/>
      <c r="BN142" s="12" t="n"/>
      <c r="BO142" s="12" t="n"/>
      <c r="BP142" s="12" t="n"/>
      <c r="BQ142" s="12" t="n"/>
      <c r="BR142" s="12" t="n"/>
      <c r="BS142" s="12" t="n"/>
      <c r="BT142" s="12" t="n"/>
      <c r="BU142" s="12" t="n"/>
      <c r="BV142" s="12" t="n"/>
      <c r="BW142" s="12" t="n"/>
      <c r="BX142" s="12" t="n"/>
      <c r="BY142" s="12" t="n"/>
      <c r="BZ142" s="12" t="n"/>
      <c r="CA142" s="12" t="n"/>
      <c r="CB142" s="12" t="n"/>
      <c r="CC142" s="12" t="n"/>
      <c r="CD142" s="12" t="n"/>
      <c r="CE142" s="12" t="n"/>
      <c r="CF142" s="12" t="n"/>
      <c r="CG142" s="12" t="n"/>
      <c r="CH142" s="12" t="n"/>
      <c r="CI142" s="12" t="n"/>
      <c r="CJ142" s="12" t="n"/>
      <c r="CK142" s="12" t="n"/>
      <c r="CL142" s="12" t="n"/>
      <c r="CM142" s="12" t="n"/>
      <c r="CN142" s="12" t="n"/>
      <c r="CO142" s="12" t="n"/>
      <c r="CP142" s="12" t="n"/>
      <c r="CQ142" s="12" t="n"/>
      <c r="CR142" s="12" t="n"/>
      <c r="CS142" s="12" t="n"/>
      <c r="CT142" s="12" t="n"/>
      <c r="CU142" s="12" t="n"/>
      <c r="CV142" s="12" t="n"/>
      <c r="CW142" s="12" t="n"/>
      <c r="CX142" s="12" t="n"/>
      <c r="CY142" s="12" t="n"/>
    </row>
    <row r="143" customFormat="1" s="32">
      <c r="A143" s="30" t="n"/>
      <c r="B143" s="3" t="n"/>
      <c r="C143" s="33" t="inlineStr">
        <is>
          <t>Net Income</t>
        </is>
      </c>
      <c r="D143" s="35" t="n"/>
      <c r="E143" s="35" t="n"/>
      <c r="F143" s="35" t="n"/>
      <c r="G143" s="35" t="n"/>
      <c r="H143" s="35" t="n"/>
      <c r="I143" s="35">
        <f>SUM(I136,I137,I141,I142)</f>
        <v>94.2429999999998</v>
      </c>
      <c r="J143" s="35">
        <f>SUM(J136,J137,J141,J142)</f>
        <v>267.247</v>
      </c>
      <c r="K143" s="35">
        <f>SUM(K136,K137,K141,K142)</f>
        <v>245.763</v>
      </c>
      <c r="L143" s="35">
        <f>SUM(L136,L137,L141,L142)</f>
        <v>215.002</v>
      </c>
      <c r="M143" s="35">
        <f>SUM(I143:L143)</f>
        <v>822.255</v>
      </c>
      <c r="N143" s="35">
        <f>SUM(N136,N137,N141,N142)</f>
        <v>191.676</v>
      </c>
      <c r="O143" s="35">
        <f>SUM(O136,O137,O141,O142)</f>
        <v>101.977</v>
      </c>
      <c r="P143" s="35">
        <f>SUM(P136,P137,P141,P142)</f>
        <v>18.5010000000006</v>
      </c>
      <c r="Q143" s="35">
        <f>SUM(Q136,Q137,Q141,Q142)</f>
        <v>169.929</v>
      </c>
      <c r="R143" s="35">
        <f>SUM(N143:Q143)</f>
        <v>482.083</v>
      </c>
      <c r="S143" s="35">
        <f>SUM(S136,S137,S141,S142)</f>
        <v>6.18899999899914</v>
      </c>
      <c r="T143" s="35">
        <f>SUM(T136,T137,T141,T142)</f>
        <v>12.3290000000007</v>
      </c>
      <c r="U143" s="35">
        <f>SUM(U136,U137,U141,U142)</f>
        <v>-136.514999999999</v>
      </c>
      <c r="V143" s="35">
        <f>SUM(V136,V137,V141,V142)</f>
        <v>-377.223999999999</v>
      </c>
      <c r="W143" s="35">
        <f>SUM(S143:V143)</f>
        <v>-495.221000000998</v>
      </c>
      <c r="X143" s="35">
        <f>SUM(X136,X137,X141,X142)</f>
        <v>-13.0552307800009</v>
      </c>
      <c r="Y143" s="35">
        <f>SUM(Y136,Y137,Y141,Y142)</f>
        <v>49.2998345300013</v>
      </c>
      <c r="Z143" s="35">
        <f>SUM(Z136,Z137,Z141,Z142)</f>
        <v>10.8422499399992</v>
      </c>
      <c r="AA143" s="35">
        <f>SUM(AA136,AA137,AA141,AA142)</f>
        <v>-245.242471269999</v>
      </c>
      <c r="AB143" s="35">
        <f>SUM(X143:AA143)</f>
        <v>-198.155617579999</v>
      </c>
      <c r="AC143" s="35">
        <f>SUM(AC136,AC137,AC141,AC142)</f>
        <v>-50.9530000000011</v>
      </c>
      <c r="AD143" s="35">
        <f>SUM(AD136,AD137,AD141,AD142)</f>
        <v>-96.2909999999997</v>
      </c>
      <c r="AE143" s="35">
        <f>SUM(AE136,AE137,AE141,AE142)</f>
        <v>-246.193000000001</v>
      </c>
      <c r="AF143" s="35">
        <f>SUM(AF136,AF137,AF141,AF142)</f>
        <v>432.908</v>
      </c>
      <c r="AG143" s="35">
        <f>SUM(AC143:AF143)</f>
        <v>39.4709999999977</v>
      </c>
      <c r="AH143" s="35">
        <f>SUM(AH136,AH137,AH141,AH142)</f>
        <v>-179.597332570001</v>
      </c>
      <c r="AI143" s="35">
        <f>SUM(AI136,AI137,AI141,AI142)</f>
        <v>-189.469667429999</v>
      </c>
      <c r="AJ143" s="35">
        <f>SUM(AJ136,AJ137,AJ141,AJ142)</f>
        <v>1280.90332960078</v>
      </c>
      <c r="AK143" s="35">
        <f>SUM(AK136,AK137,AK141,AK142)</f>
        <v>1283.04474481357</v>
      </c>
      <c r="AL143" s="35">
        <f>SUM(AH143:AK143)</f>
        <v>2194.88107441436</v>
      </c>
      <c r="AM143" s="35">
        <f>SUM(AM136,AM137,AM141,AM142)</f>
        <v>1260.52193117372</v>
      </c>
      <c r="AN143" s="35">
        <f>SUM(AN136,AN137,AN141,AN142)</f>
        <v>1297.94926898631</v>
      </c>
      <c r="AO143" s="35">
        <f>SUM(AO136,AO137,AO141,AO142)</f>
        <v>1359.39248944756</v>
      </c>
      <c r="AP143" s="35">
        <f>SUM(AP136,AP137,AP141,AP142)</f>
        <v>1361.66512290068</v>
      </c>
      <c r="AQ143" s="35">
        <f>SUM(AM143:AP143)</f>
        <v>5279.52881250827</v>
      </c>
      <c r="AR143" s="35">
        <f>SUM(AR136,AR137,AR141,AR142)</f>
        <v>1331.45958240241</v>
      </c>
      <c r="AS143" s="35">
        <f>SUM(AS136,AS137,AS141,AS142)</f>
        <v>1370.99319648875</v>
      </c>
      <c r="AT143" s="35">
        <f>SUM(AT136,AT137,AT141,AT142)</f>
        <v>1435.89422092442</v>
      </c>
      <c r="AU143" s="35">
        <f>SUM(AU136,AU137,AU141,AU142)</f>
        <v>1438.29475003351</v>
      </c>
      <c r="AV143" s="35">
        <f>SUM(AR143:AU143)</f>
        <v>5576.64174984908</v>
      </c>
      <c r="AW143" s="35">
        <f>SUM(AW136,AW137,AW141,AW142)</f>
        <v>1399.73205218878</v>
      </c>
      <c r="AX143" s="35">
        <f>SUM(AX136,AX137,AX141,AX142)</f>
        <v>1441.29280814929</v>
      </c>
      <c r="AY143" s="35">
        <f>SUM(AY136,AY137,AY141,AY142)</f>
        <v>1509.52172423743</v>
      </c>
      <c r="AZ143" s="35">
        <f>SUM(AZ136,AZ137,AZ141,AZ142)</f>
        <v>1512.04534386556</v>
      </c>
      <c r="BA143" s="35">
        <f>SUM(AW143:AZ143)</f>
        <v>5862.59192844106</v>
      </c>
      <c r="BB143" s="35">
        <f>SUM(BB136,BB137,BB141,BB142)</f>
        <v>1464.5066289867</v>
      </c>
      <c r="BC143" s="35">
        <f>SUM(BC136,BC137,BC141,BC142)</f>
        <v>1507.99066760301</v>
      </c>
      <c r="BD143" s="35">
        <f>SUM(BD136,BD137,BD141,BD142)</f>
        <v>1579.37697310586</v>
      </c>
      <c r="BE143" s="35">
        <f>SUM(BE136,BE137,BE141,BE142)</f>
        <v>1582.01737679502</v>
      </c>
      <c r="BF143" s="35">
        <f>SUM(BB143:BE143)</f>
        <v>6133.89164649059</v>
      </c>
      <c r="BG143" s="35" t="n"/>
      <c r="BH143" s="35" t="n"/>
      <c r="BI143" s="35" t="n"/>
      <c r="BJ143" s="35" t="n"/>
      <c r="BK143" s="35" t="n"/>
      <c r="BL143" s="35" t="n"/>
      <c r="BM143" s="35" t="n"/>
      <c r="BN143" s="35" t="n"/>
      <c r="BO143" s="35" t="n"/>
      <c r="BP143" s="35" t="n"/>
      <c r="BQ143" s="35" t="n"/>
      <c r="BR143" s="35" t="n"/>
      <c r="BS143" s="35" t="n"/>
      <c r="BT143" s="35" t="n"/>
      <c r="BU143" s="35" t="n"/>
      <c r="BV143" s="35" t="n"/>
      <c r="BW143" s="35" t="n"/>
      <c r="BX143" s="35" t="n"/>
      <c r="BY143" s="35" t="n"/>
      <c r="BZ143" s="35" t="n"/>
      <c r="CA143" s="35" t="n"/>
      <c r="CB143" s="35" t="n"/>
      <c r="CC143" s="35" t="n"/>
      <c r="CD143" s="35" t="n"/>
      <c r="CE143" s="35" t="n"/>
      <c r="CF143" s="35" t="n"/>
      <c r="CG143" s="35" t="n"/>
      <c r="CH143" s="35" t="n"/>
      <c r="CI143" s="35" t="n"/>
      <c r="CJ143" s="35" t="n"/>
      <c r="CK143" s="35" t="n"/>
      <c r="CL143" s="35" t="n"/>
      <c r="CM143" s="35" t="n"/>
      <c r="CN143" s="35" t="n"/>
      <c r="CO143" s="35" t="n"/>
      <c r="CP143" s="35" t="n"/>
      <c r="CQ143" s="35" t="n"/>
      <c r="CR143" s="35" t="n"/>
      <c r="CS143" s="35" t="n"/>
      <c r="CT143" s="35" t="n"/>
      <c r="CU143" s="35" t="n"/>
      <c r="CV143" s="35" t="n"/>
      <c r="CW143" s="35" t="n"/>
      <c r="CX143" s="35" t="n"/>
      <c r="CY143" s="35" t="n"/>
    </row>
    <row r="144">
      <c r="C144" s="13" t="inlineStr">
        <is>
          <t>Common Dividends</t>
        </is>
      </c>
      <c r="D144" s="46" t="n"/>
      <c r="E144" s="46" t="n"/>
      <c r="F144" s="46" t="n"/>
      <c r="G144" s="46" t="n"/>
      <c r="H144" s="12" t="n"/>
      <c r="I144" s="46">
        <f>'Inputs (2)'!D13</f>
        <v>-23.249</v>
      </c>
      <c r="J144" s="46">
        <f>'Inputs (2)'!E13</f>
        <v>-60.257</v>
      </c>
      <c r="K144" s="46">
        <f>'Inputs (2)'!F13</f>
        <v>-30.1</v>
      </c>
      <c r="L144" s="46">
        <f>'Inputs (2)'!G13</f>
        <v>-112.967</v>
      </c>
      <c r="M144" s="12">
        <f>'Inputs (2)'!H13</f>
        <v>-226.573</v>
      </c>
      <c r="N144" s="46">
        <f>'Inputs (2)'!I13</f>
        <v>-125.184</v>
      </c>
      <c r="O144" s="46">
        <f>'Inputs (2)'!J13</f>
        <v>-421.481</v>
      </c>
      <c r="P144" s="46">
        <f>'Inputs (2)'!K13</f>
        <v>-49.193</v>
      </c>
      <c r="Q144" s="46">
        <f>'Inputs (2)'!L13</f>
        <v>180.674</v>
      </c>
      <c r="R144" s="12">
        <f>'Inputs (2)'!M13</f>
        <v>-415.184</v>
      </c>
      <c r="S144" s="46">
        <f>'Inputs (2)'!N13</f>
        <v>-125.974</v>
      </c>
      <c r="T144" s="46">
        <f>'Inputs (2)'!O13</f>
        <v>-109.124</v>
      </c>
      <c r="U144" s="46">
        <f>'Inputs (2)'!P13</f>
        <v>-22.684</v>
      </c>
      <c r="V144" s="46">
        <f>'Inputs (2)'!Q13</f>
        <v>-223.781</v>
      </c>
      <c r="W144" s="12">
        <f>'Inputs (2)'!R13</f>
        <v>-481.563</v>
      </c>
      <c r="X144" s="46">
        <f>'Inputs (2)'!S13</f>
        <v>0</v>
      </c>
      <c r="Y144" s="46">
        <f>'Inputs (2)'!T13</f>
        <v>0</v>
      </c>
      <c r="Z144" s="46">
        <f>'Inputs (2)'!U13</f>
        <v>-112.087</v>
      </c>
      <c r="AA144" s="46">
        <f>'Inputs (2)'!V13</f>
        <v>-45.091</v>
      </c>
      <c r="AB144" s="12">
        <f>'Inputs (2)'!W13</f>
        <v>-157.178</v>
      </c>
      <c r="AC144" s="46">
        <f>'Inputs (2)'!X13</f>
        <v>-40.884</v>
      </c>
      <c r="AD144" s="46">
        <f>'Inputs (2)'!Y13</f>
        <v>-189.751</v>
      </c>
      <c r="AE144" s="46">
        <f>'Inputs (2)'!Z13</f>
        <v>-5.802</v>
      </c>
      <c r="AF144" s="46">
        <f>'Inputs (2)'!AA13</f>
        <v>7.386</v>
      </c>
      <c r="AG144" s="12">
        <f>'Inputs (2)'!AB13</f>
        <v>-229.051</v>
      </c>
      <c r="AH144" s="12">
        <f>'Inputs (2)'!AC13</f>
        <v>0</v>
      </c>
      <c r="AI144" s="12">
        <f>'Inputs (2)'!AD13</f>
        <v>-168.72</v>
      </c>
      <c r="AJ144" s="12">
        <f>-MAX(0,AJ143)*Control!$E$15</f>
        <v>0</v>
      </c>
      <c r="AK144" s="12">
        <f>-MAX(0,AK143)*Control!$E$15</f>
        <v>0</v>
      </c>
      <c r="AL144" s="12">
        <f>SUM(AH144:AK144)</f>
        <v>-168.72</v>
      </c>
      <c r="AM144" s="12">
        <f>-MAX(0,AM143)*Control!$E$15</f>
        <v>0</v>
      </c>
      <c r="AN144" s="12">
        <f>-MAX(0,AN143)*Control!$E$15</f>
        <v>0</v>
      </c>
      <c r="AO144" s="12">
        <f>-MAX(0,AO143)*Control!$E$15</f>
        <v>0</v>
      </c>
      <c r="AP144" s="12">
        <f>-MAX(0,AP143)*Control!$E$15</f>
        <v>0</v>
      </c>
      <c r="AQ144" s="12">
        <f>SUM(AM144:AP144)</f>
        <v>0</v>
      </c>
      <c r="AR144" s="12">
        <f>-MAX(0,AR143)*Control!$E$15</f>
        <v>0</v>
      </c>
      <c r="AS144" s="12">
        <f>-MAX(0,AS143)*Control!$E$15</f>
        <v>0</v>
      </c>
      <c r="AT144" s="12">
        <f>-MAX(0,AT143)*Control!$E$15</f>
        <v>0</v>
      </c>
      <c r="AU144" s="12">
        <f>-MAX(0,AU143)*Control!$E$15</f>
        <v>0</v>
      </c>
      <c r="AV144" s="12">
        <f>SUM(AR144:AU144)</f>
        <v>0</v>
      </c>
      <c r="AW144" s="12">
        <f>-MAX(0,AW143)*Control!$E$15</f>
        <v>0</v>
      </c>
      <c r="AX144" s="12">
        <f>-MAX(0,AX143)*Control!$E$15</f>
        <v>0</v>
      </c>
      <c r="AY144" s="12">
        <f>-MAX(0,AY143)*Control!$E$15</f>
        <v>0</v>
      </c>
      <c r="AZ144" s="12">
        <f>-MAX(0,AZ143)*Control!$E$15</f>
        <v>0</v>
      </c>
      <c r="BA144" s="12">
        <f>SUM(AW144:AZ144)</f>
        <v>0</v>
      </c>
      <c r="BB144" s="12">
        <f>-MAX(0,BB143)*Control!$E$15</f>
        <v>0</v>
      </c>
      <c r="BC144" s="12">
        <f>-MAX(0,BC143)*Control!$E$15</f>
        <v>0</v>
      </c>
      <c r="BD144" s="12">
        <f>-MAX(0,BD143)*Control!$E$15</f>
        <v>0</v>
      </c>
      <c r="BE144" s="12">
        <f>-MAX(0,BE143)*Control!$E$15</f>
        <v>0</v>
      </c>
      <c r="BF144" s="12">
        <f>SUM(BB144:BE144)</f>
        <v>0</v>
      </c>
      <c r="BG144" s="12" t="n"/>
      <c r="BH144" s="12" t="n"/>
      <c r="BI144" s="12" t="n"/>
      <c r="BJ144" s="12" t="n"/>
      <c r="BK144" s="12" t="n"/>
      <c r="BL144" s="12" t="n"/>
      <c r="BM144" s="12" t="n"/>
      <c r="BN144" s="12" t="n"/>
      <c r="BO144" s="12" t="n"/>
      <c r="BP144" s="12" t="n"/>
      <c r="BQ144" s="12" t="n"/>
      <c r="BR144" s="12" t="n"/>
      <c r="BS144" s="12" t="n"/>
      <c r="BT144" s="12" t="n"/>
      <c r="BU144" s="12" t="n"/>
      <c r="BV144" s="12" t="n"/>
      <c r="BW144" s="12" t="n"/>
      <c r="BX144" s="12" t="n"/>
      <c r="BY144" s="12" t="n"/>
      <c r="BZ144" s="12" t="n"/>
      <c r="CA144" s="12" t="n"/>
      <c r="CB144" s="12" t="n"/>
      <c r="CC144" s="12" t="n"/>
      <c r="CD144" s="12" t="n"/>
      <c r="CE144" s="12" t="n"/>
      <c r="CF144" s="12" t="n"/>
      <c r="CG144" s="12" t="n"/>
      <c r="CH144" s="12" t="n"/>
      <c r="CI144" s="12" t="n"/>
      <c r="CJ144" s="12" t="n"/>
      <c r="CK144" s="12" t="n"/>
      <c r="CL144" s="12" t="n"/>
      <c r="CM144" s="12" t="n"/>
      <c r="CN144" s="12" t="n"/>
      <c r="CO144" s="12" t="n"/>
      <c r="CP144" s="12" t="n"/>
      <c r="CQ144" s="12" t="n"/>
      <c r="CR144" s="12" t="n"/>
      <c r="CS144" s="12" t="n"/>
      <c r="CT144" s="12" t="n"/>
      <c r="CU144" s="12" t="n"/>
      <c r="CV144" s="12" t="n"/>
      <c r="CW144" s="12" t="n"/>
      <c r="CX144" s="12" t="n"/>
      <c r="CY144" s="12" t="n"/>
    </row>
    <row r="145" hidden="1" outlineLevel="1">
      <c r="C145" s="50" t="inlineStr">
        <is>
          <t>% DVD Payout</t>
        </is>
      </c>
      <c r="D145" s="58" t="n"/>
      <c r="E145" s="58" t="n"/>
      <c r="F145" s="58" t="n"/>
      <c r="G145" s="58" t="n"/>
      <c r="H145" s="58" t="n"/>
      <c r="I145" s="58">
        <f>IF(I143=0,"",-I144/I143)</f>
        <v>0.246692062009911</v>
      </c>
      <c r="J145" s="58">
        <f>IF(J143=0,"",-J144/J143)</f>
        <v>0.225473064243939</v>
      </c>
      <c r="K145" s="58">
        <f>IF(K143=0,"",-K144/K143)</f>
        <v>0.122475718476744</v>
      </c>
      <c r="L145" s="58">
        <f>IF(L143=0,"",-L144/L143)</f>
        <v>0.525423019320751</v>
      </c>
      <c r="M145" s="58">
        <f>IF(M143=0,"",-M144/M143)</f>
        <v>0.275550771962469</v>
      </c>
      <c r="N145" s="58">
        <f>IF(N143=0,"",-N144/N143)</f>
        <v>0.653102109810306</v>
      </c>
      <c r="O145" s="58">
        <f>IF(O143=0,"",-O144/O143)</f>
        <v>4.13309863988939</v>
      </c>
      <c r="P145" s="58">
        <f>IF(P143=0,"",-P144/P143)</f>
        <v>2.6589373547375</v>
      </c>
      <c r="Q145" s="58">
        <f>IF(Q143=0,"",-Q144/Q143)</f>
        <v>-1.06323229113336</v>
      </c>
      <c r="R145" s="58">
        <f>IF(R143=0,"",-R144/R143)</f>
        <v>0.861229290391903</v>
      </c>
      <c r="S145" s="58">
        <f>IF(S143=0,"",-S144/S143)</f>
        <v>20.3544999225032</v>
      </c>
      <c r="T145" s="58">
        <f>IF(T143=0,"",-T144/T143)</f>
        <v>8.85100170330068</v>
      </c>
      <c r="U145" s="58">
        <f>IF(U143=0,"",-U144/U143)</f>
        <v>-0.166164890305096</v>
      </c>
      <c r="V145" s="58">
        <f>IF(V143=0,"",-V144/V143)</f>
        <v>-0.593231077556043</v>
      </c>
      <c r="W145" s="58">
        <f>IF(W143=0,"",-W144/W143)</f>
        <v>-0.972420394125107</v>
      </c>
      <c r="X145" s="58">
        <f>IF(X143=0,"",-X144/X143)</f>
        <v>0</v>
      </c>
      <c r="Y145" s="58">
        <f>IF(Y143=0,"",-Y144/Y143)</f>
        <v>0</v>
      </c>
      <c r="Z145" s="58">
        <f>IF(Z143=0,"",-Z144/Z143)</f>
        <v>10.3379834093742</v>
      </c>
      <c r="AA145" s="58">
        <f>IF(AA143=0,"",-AA144/AA143)</f>
        <v>-0.183862932739563</v>
      </c>
      <c r="AB145" s="58">
        <f>IF(AB143=0,"",-AB144/AB143)</f>
        <v>-0.793204865547372</v>
      </c>
      <c r="AC145" s="58">
        <f>IF(AC143=0,"",-AC144/AC143)</f>
        <v>-0.802386513061039</v>
      </c>
      <c r="AD145" s="58">
        <f>IF(AD143=0,"",-AD144/AD143)</f>
        <v>-1.97059953682069</v>
      </c>
      <c r="AE145" s="58">
        <f>IF(AE143=0,"",-AE144/AE143)</f>
        <v>-0.0235668763937235</v>
      </c>
      <c r="AF145" s="41">
        <f>IF(AF143=0,"",-AF144/AF143)</f>
        <v>-0.0170613617673963</v>
      </c>
      <c r="AG145" s="12">
        <f>IF(AG143=0,"",-AG144/AG143)</f>
        <v>5.80301993868951</v>
      </c>
      <c r="AH145" s="41">
        <f>IF(AH143=0,"",-AH144/AH143)</f>
        <v>0</v>
      </c>
      <c r="AI145" s="41">
        <f>IF(AI143=0,"",-AI144/AI143)</f>
        <v>-0.89048554467081</v>
      </c>
      <c r="AJ145" s="41">
        <f>IF(AJ143=0,"",-AJ144/AJ143)</f>
        <v>0</v>
      </c>
      <c r="AK145" s="41">
        <f>IF(AK143=0,"",-AK144/AK143)</f>
        <v>0</v>
      </c>
      <c r="AL145" s="12">
        <f>IF(AL143=0,"",-AL144/AL143)</f>
        <v>0.0768697684657098</v>
      </c>
      <c r="AM145" s="41">
        <f>IF(AM143=0,"",-AM144/AM143)</f>
        <v>0</v>
      </c>
      <c r="AN145" s="41">
        <f>IF(AN143=0,"",-AN144/AN143)</f>
        <v>0</v>
      </c>
      <c r="AO145" s="41">
        <f>IF(AO143=0,"",-AO144/AO143)</f>
        <v>0</v>
      </c>
      <c r="AP145" s="41">
        <f>IF(AP143=0,"",-AP144/AP143)</f>
        <v>0</v>
      </c>
      <c r="AQ145" s="12">
        <f>IF(AQ143=0,"",-AQ144/AQ143)</f>
        <v>0</v>
      </c>
      <c r="AR145" s="41">
        <f>IF(AR143=0,"",-AR144/AR143)</f>
        <v>0</v>
      </c>
      <c r="AS145" s="41">
        <f>IF(AS143=0,"",-AS144/AS143)</f>
        <v>0</v>
      </c>
      <c r="AT145" s="41">
        <f>IF(AT143=0,"",-AT144/AT143)</f>
        <v>0</v>
      </c>
      <c r="AU145" s="41">
        <f>IF(AU143=0,"",-AU144/AU143)</f>
        <v>0</v>
      </c>
      <c r="AV145" s="12">
        <f>IF(AV143=0,"",-AV144/AV143)</f>
        <v>0</v>
      </c>
      <c r="AW145" s="41">
        <f>IF(AW143=0,"",-AW144/AW143)</f>
        <v>0</v>
      </c>
      <c r="AX145" s="41">
        <f>IF(AX143=0,"",-AX144/AX143)</f>
        <v>0</v>
      </c>
      <c r="AY145" s="41">
        <f>IF(AY143=0,"",-AY144/AY143)</f>
        <v>0</v>
      </c>
      <c r="AZ145" s="41">
        <f>IF(AZ143=0,"",-AZ144/AZ143)</f>
        <v>0</v>
      </c>
      <c r="BA145" s="12">
        <f>IF(BA143=0,"",-BA144/BA143)</f>
        <v>0</v>
      </c>
      <c r="BB145" s="41">
        <f>IF(BB143=0,"",-BB144/BB143)</f>
        <v>0</v>
      </c>
      <c r="BC145" s="41">
        <f>IF(BC143=0,"",-BC144/BC143)</f>
        <v>0</v>
      </c>
      <c r="BD145" s="41">
        <f>IF(BD143=0,"",-BD144/BD143)</f>
        <v>0</v>
      </c>
      <c r="BE145" s="41">
        <f>IF(BE143=0,"",-BE144/BE143)</f>
        <v>0</v>
      </c>
      <c r="BF145" s="12">
        <f>IF(BF143=0,"",-BF144/BF143)</f>
        <v>0</v>
      </c>
      <c r="BG145" s="41" t="n"/>
      <c r="BH145" s="41" t="n"/>
      <c r="BI145" s="41" t="n"/>
      <c r="BJ145" s="41" t="n"/>
      <c r="BK145" s="12" t="n"/>
      <c r="BL145" s="41" t="n"/>
      <c r="BM145" s="41" t="n"/>
      <c r="BN145" s="41" t="n"/>
      <c r="BO145" s="41" t="n"/>
      <c r="BP145" s="12" t="n"/>
      <c r="BQ145" s="41" t="n"/>
      <c r="BR145" s="41" t="n"/>
      <c r="BS145" s="41" t="n"/>
      <c r="BT145" s="41" t="n"/>
      <c r="BU145" s="12" t="n"/>
      <c r="BV145" s="41" t="n"/>
      <c r="BW145" s="41" t="n"/>
      <c r="BX145" s="41" t="n"/>
      <c r="BY145" s="41" t="n"/>
      <c r="BZ145" s="12" t="n"/>
      <c r="CA145" s="41" t="n"/>
      <c r="CB145" s="41" t="n"/>
      <c r="CC145" s="41" t="n"/>
      <c r="CD145" s="41" t="n"/>
      <c r="CE145" s="12" t="n"/>
      <c r="CF145" s="41" t="n"/>
      <c r="CG145" s="41" t="n"/>
      <c r="CH145" s="41" t="n"/>
      <c r="CI145" s="41" t="n"/>
      <c r="CJ145" s="12" t="n"/>
      <c r="CK145" s="41" t="n"/>
      <c r="CL145" s="41" t="n"/>
      <c r="CM145" s="41" t="n"/>
      <c r="CN145" s="41" t="n"/>
      <c r="CO145" s="12" t="n"/>
      <c r="CP145" s="41" t="n"/>
      <c r="CQ145" s="41" t="n"/>
      <c r="CR145" s="41" t="n"/>
      <c r="CS145" s="41" t="n"/>
      <c r="CT145" s="12" t="n"/>
      <c r="CU145" s="41" t="n"/>
      <c r="CV145" s="41" t="n"/>
      <c r="CW145" s="41" t="n"/>
      <c r="CX145" s="41" t="n"/>
      <c r="CY145" s="12" t="n"/>
    </row>
    <row r="146" hidden="1" outlineLevel="1">
      <c r="C146" s="18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  <c r="CU146" s="3" t="n"/>
      <c r="CV146" s="3" t="n"/>
      <c r="CW146" s="3" t="n"/>
      <c r="CX146" s="3" t="n"/>
      <c r="CY146" s="3" t="n"/>
    </row>
    <row r="147" hidden="1" outlineLevel="1">
      <c r="C147" s="18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collapsed="1" ht="11.25" customHeight="1">
      <c r="C148" s="31" t="inlineStr">
        <is>
          <t>Balance Sheet</t>
        </is>
      </c>
      <c r="D148" s="31" t="n"/>
      <c r="E148" s="31" t="n"/>
      <c r="F148" s="31" t="n"/>
      <c r="G148" s="31" t="n"/>
      <c r="H148" s="31" t="n"/>
      <c r="I148" s="31" t="str">
        <f>I13</f>
        <v>1Q21</v>
      </c>
      <c r="J148" s="31" t="str">
        <f>J13</f>
        <v>2Q21</v>
      </c>
      <c r="K148" s="31" t="str">
        <f>K13</f>
        <v>3Q21</v>
      </c>
      <c r="L148" s="31" t="str">
        <f>L13</f>
        <v>4Q21</v>
      </c>
      <c r="M148" s="31">
        <f>M13</f>
        <v>2021</v>
      </c>
      <c r="N148" s="31" t="str">
        <f>N13</f>
        <v>1Q22</v>
      </c>
      <c r="O148" s="31" t="str">
        <f>O13</f>
        <v>2Q22</v>
      </c>
      <c r="P148" s="31" t="str">
        <f>P13</f>
        <v>3Q22</v>
      </c>
      <c r="Q148" s="31" t="str">
        <f>Q13</f>
        <v>4Q22</v>
      </c>
      <c r="R148" s="31">
        <f>R13</f>
        <v>2022</v>
      </c>
      <c r="S148" s="31" t="str">
        <f>S13</f>
        <v>1Q23</v>
      </c>
      <c r="T148" s="31" t="str">
        <f>T13</f>
        <v>2Q23</v>
      </c>
      <c r="U148" s="31" t="str">
        <f>U13</f>
        <v>3Q23</v>
      </c>
      <c r="V148" s="31" t="str">
        <f>V13</f>
        <v>4Q23</v>
      </c>
      <c r="W148" s="31">
        <f>W13</f>
        <v>2023</v>
      </c>
      <c r="X148" s="31" t="str">
        <f>X13</f>
        <v>1Q24</v>
      </c>
      <c r="Y148" s="31" t="str">
        <f>Y13</f>
        <v>2Q24</v>
      </c>
      <c r="Z148" s="31" t="str">
        <f>Z13</f>
        <v>3Q24</v>
      </c>
      <c r="AA148" s="31" t="str">
        <f>AA13</f>
        <v>4Q24</v>
      </c>
      <c r="AB148" s="31">
        <f>AB13</f>
        <v>2024</v>
      </c>
      <c r="AC148" s="31" t="str">
        <f>AC13</f>
        <v>1Q25</v>
      </c>
      <c r="AD148" s="31" t="str">
        <f>AD13</f>
        <v>2Q25</v>
      </c>
      <c r="AE148" s="31" t="str">
        <f>AE13</f>
        <v>3Q25</v>
      </c>
      <c r="AF148" s="31" t="str">
        <f>AF13</f>
        <v>4Q25</v>
      </c>
      <c r="AG148" s="31">
        <f>AG13</f>
        <v>2025</v>
      </c>
      <c r="AH148" s="31" t="str">
        <f>AH13</f>
        <v>1Q26</v>
      </c>
      <c r="AI148" s="31" t="str">
        <f>AI13</f>
        <v>2Q26</v>
      </c>
      <c r="AJ148" s="31" t="str">
        <f>AJ13</f>
        <v>3Q26</v>
      </c>
      <c r="AK148" s="31" t="str">
        <f>AK13</f>
        <v>4Q26</v>
      </c>
      <c r="AL148" s="31">
        <f>AL13</f>
        <v>2026</v>
      </c>
      <c r="AM148" s="31" t="str">
        <f>AM13</f>
        <v>1Q27</v>
      </c>
      <c r="AN148" s="31" t="str">
        <f>AN13</f>
        <v>2Q27</v>
      </c>
      <c r="AO148" s="31" t="str">
        <f>AO13</f>
        <v>3Q27</v>
      </c>
      <c r="AP148" s="31" t="str">
        <f>AP13</f>
        <v>4Q27</v>
      </c>
      <c r="AQ148" s="31">
        <f>AQ13</f>
        <v>2027</v>
      </c>
      <c r="AR148" s="31" t="str">
        <f>AR13</f>
        <v>1Q28</v>
      </c>
      <c r="AS148" s="31" t="str">
        <f>AS13</f>
        <v>2Q28</v>
      </c>
      <c r="AT148" s="31" t="str">
        <f>AT13</f>
        <v>3Q28</v>
      </c>
      <c r="AU148" s="31" t="str">
        <f>AU13</f>
        <v>4Q28</v>
      </c>
      <c r="AV148" s="31">
        <f>AV13</f>
        <v>2028</v>
      </c>
      <c r="AW148" s="31" t="str">
        <f>AW13</f>
        <v>1Q29</v>
      </c>
      <c r="AX148" s="31" t="str">
        <f>AX13</f>
        <v>2Q29</v>
      </c>
      <c r="AY148" s="31" t="str">
        <f>AY13</f>
        <v>3Q29</v>
      </c>
      <c r="AZ148" s="31" t="str">
        <f>AZ13</f>
        <v>4Q29</v>
      </c>
      <c r="BA148" s="31">
        <f>BA13</f>
        <v>2029</v>
      </c>
      <c r="BB148" s="31" t="str">
        <f>BB13</f>
        <v>1Q30</v>
      </c>
      <c r="BC148" s="31" t="str">
        <f>BC13</f>
        <v>2Q30</v>
      </c>
      <c r="BD148" s="31" t="str">
        <f>BD13</f>
        <v>3Q30</v>
      </c>
      <c r="BE148" s="31" t="str">
        <f>BE13</f>
        <v>4Q30</v>
      </c>
      <c r="BF148" s="31">
        <f>BF13</f>
        <v>2030</v>
      </c>
      <c r="BG148" s="31" t="n"/>
      <c r="BH148" s="31" t="n"/>
      <c r="BI148" s="31" t="n"/>
      <c r="BJ148" s="31" t="n"/>
      <c r="BK148" s="31" t="n"/>
      <c r="BL148" s="31" t="n"/>
      <c r="BM148" s="31" t="n"/>
      <c r="BN148" s="31" t="n"/>
      <c r="BO148" s="31" t="n"/>
      <c r="BP148" s="31" t="n"/>
      <c r="BQ148" s="31" t="n"/>
      <c r="BR148" s="31" t="n"/>
      <c r="BS148" s="31" t="n"/>
      <c r="BT148" s="31" t="n"/>
      <c r="BU148" s="31" t="n"/>
      <c r="BV148" s="31" t="n"/>
      <c r="BW148" s="31" t="n"/>
      <c r="BX148" s="31" t="n"/>
      <c r="BY148" s="31" t="n"/>
      <c r="BZ148" s="31" t="n"/>
      <c r="CA148" s="31" t="n"/>
      <c r="CB148" s="31" t="n"/>
      <c r="CC148" s="31" t="n"/>
      <c r="CD148" s="31" t="n"/>
      <c r="CE148" s="31" t="n"/>
      <c r="CF148" s="31" t="n"/>
      <c r="CG148" s="31" t="n"/>
      <c r="CH148" s="31" t="n"/>
      <c r="CI148" s="31" t="n"/>
      <c r="CJ148" s="31" t="n"/>
      <c r="CK148" s="31" t="n"/>
      <c r="CL148" s="31" t="n"/>
      <c r="CM148" s="31" t="n"/>
      <c r="CN148" s="31" t="n"/>
      <c r="CO148" s="31" t="n"/>
      <c r="CP148" s="31" t="n"/>
      <c r="CQ148" s="31" t="n"/>
      <c r="CR148" s="31" t="n"/>
      <c r="CS148" s="31" t="n"/>
      <c r="CT148" s="31" t="n"/>
      <c r="CU148" s="31" t="n"/>
      <c r="CV148" s="31" t="n"/>
      <c r="CW148" s="31" t="n"/>
      <c r="CX148" s="31" t="n"/>
      <c r="CY148" s="31" t="n"/>
    </row>
    <row r="149">
      <c r="C149" s="18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  <c r="AL149" s="3" t="n"/>
      <c r="AM149" s="3" t="n"/>
      <c r="AN149" s="3" t="n"/>
      <c r="AO149" s="3" t="n"/>
      <c r="AP149" s="3" t="n"/>
      <c r="AQ149" s="3" t="n"/>
      <c r="AR149" s="3" t="n"/>
      <c r="AS149" s="3" t="n"/>
      <c r="AT149" s="3" t="n"/>
      <c r="AU149" s="3" t="n"/>
      <c r="AV149" s="3" t="n"/>
      <c r="AW149" s="3" t="n"/>
      <c r="AX149" s="3" t="n"/>
      <c r="AY149" s="3" t="n"/>
      <c r="AZ149" s="3" t="n"/>
      <c r="BA149" s="3" t="n"/>
      <c r="BB149" s="3" t="n"/>
      <c r="BC149" s="3" t="n"/>
      <c r="BD149" s="3" t="n"/>
      <c r="BE149" s="3" t="n"/>
      <c r="BF149" s="3" t="n"/>
      <c r="BG149" s="3" t="n"/>
      <c r="BH149" s="3" t="n"/>
      <c r="BI149" s="3" t="n"/>
      <c r="BJ149" s="3" t="n"/>
      <c r="BK149" s="3" t="n"/>
      <c r="BL149" s="3" t="n"/>
      <c r="BM149" s="3" t="n"/>
      <c r="BN149" s="3" t="n"/>
      <c r="BO149" s="3" t="n"/>
      <c r="BP149" s="3" t="n"/>
      <c r="BQ149" s="3" t="n"/>
      <c r="BR149" s="3" t="n"/>
      <c r="BS149" s="3" t="n"/>
      <c r="BT149" s="3" t="n"/>
      <c r="BU149" s="3" t="n"/>
      <c r="BV149" s="3" t="n"/>
      <c r="BW149" s="3" t="n"/>
      <c r="BX149" s="3" t="n"/>
      <c r="BY149" s="3" t="n"/>
      <c r="BZ149" s="3" t="n"/>
      <c r="CA149" s="3" t="n"/>
      <c r="CB149" s="3" t="n"/>
      <c r="CC149" s="3" t="n"/>
      <c r="CD149" s="3" t="n"/>
      <c r="CE149" s="3" t="n"/>
      <c r="CF149" s="3" t="n"/>
      <c r="CG149" s="3" t="n"/>
      <c r="CH149" s="3" t="n"/>
      <c r="CI149" s="3" t="n"/>
      <c r="CJ149" s="3" t="n"/>
      <c r="CK149" s="3" t="n"/>
      <c r="CL149" s="3" t="n"/>
      <c r="CM149" s="3" t="n"/>
      <c r="CN149" s="3" t="n"/>
      <c r="CO149" s="3" t="n"/>
      <c r="CP149" s="3" t="n"/>
      <c r="CQ149" s="3" t="n"/>
      <c r="CR149" s="3" t="n"/>
      <c r="CS149" s="3" t="n"/>
      <c r="CT149" s="3" t="n"/>
      <c r="CU149" s="3" t="n"/>
      <c r="CV149" s="3" t="n"/>
      <c r="CW149" s="3" t="n"/>
      <c r="CX149" s="3" t="n"/>
      <c r="CY149" s="3" t="n"/>
    </row>
    <row r="150">
      <c r="C150" s="13" t="inlineStr">
        <is>
          <t>Cash and equivalents (inc. investment securities)</t>
        </is>
      </c>
      <c r="D150" s="46" t="n"/>
      <c r="E150" s="46" t="n"/>
      <c r="F150" s="46" t="n"/>
      <c r="G150" s="46" t="n"/>
      <c r="H150" s="12" t="n"/>
      <c r="I150" s="46">
        <f>'Inputs (2)'!D15</f>
        <v>13416.190705726</v>
      </c>
      <c r="J150" s="46">
        <f>'Inputs (2)'!E15</f>
        <v>12174.055</v>
      </c>
      <c r="K150" s="46">
        <f>'Inputs (2)'!F15</f>
        <v>16646.889</v>
      </c>
      <c r="L150" s="46">
        <f>'Inputs (2)'!G15</f>
        <v>18661.489</v>
      </c>
      <c r="M150" s="12">
        <f>'Inputs (2)'!H15</f>
        <v>18661.489</v>
      </c>
      <c r="N150" s="46">
        <f>'Inputs (2)'!I15</f>
        <v>14705.318</v>
      </c>
      <c r="O150" s="46">
        <f>'Inputs (2)'!J15</f>
        <v>15021.48</v>
      </c>
      <c r="P150" s="46">
        <f>'Inputs (2)'!K15</f>
        <v>15483.583</v>
      </c>
      <c r="Q150" s="46">
        <f>'Inputs (2)'!L15</f>
        <v>12902.269</v>
      </c>
      <c r="R150" s="12">
        <f>'Inputs (2)'!M15</f>
        <v>12902.269</v>
      </c>
      <c r="S150" s="46">
        <f>'Inputs (2)'!N15</f>
        <v>9931.663287644</v>
      </c>
      <c r="T150" s="46">
        <f>'Inputs (2)'!O15</f>
        <v>7894.418187532</v>
      </c>
      <c r="U150" s="46">
        <f>'Inputs (2)'!P15</f>
        <v>8078.175403434</v>
      </c>
      <c r="V150" s="46">
        <f>'Inputs (2)'!Q15</f>
        <v>11124.536727015</v>
      </c>
      <c r="W150" s="12">
        <f>'Inputs (2)'!R15</f>
        <v>11124.536727015</v>
      </c>
      <c r="X150" s="46">
        <f>'Inputs (2)'!S15</f>
        <v>12943.280937562</v>
      </c>
      <c r="Y150" s="46">
        <f>'Inputs (2)'!T15</f>
        <v>12200.096524108</v>
      </c>
      <c r="Z150" s="46">
        <f>'Inputs (2)'!U15</f>
        <v>14175.180072812</v>
      </c>
      <c r="AA150" s="46">
        <f>'Inputs (2)'!V15</f>
        <v>13361.13484371</v>
      </c>
      <c r="AB150" s="12">
        <f>'Inputs (2)'!W15</f>
        <v>13361.13484371</v>
      </c>
      <c r="AC150" s="46">
        <f>'Inputs (2)'!X15</f>
        <v>13536.03658932</v>
      </c>
      <c r="AD150" s="46">
        <f>'Inputs (2)'!Y15</f>
        <v>12538.6419752</v>
      </c>
      <c r="AE150" s="46">
        <f>'Inputs (2)'!Z15</f>
        <v>12685.19969168</v>
      </c>
      <c r="AF150" s="46">
        <f>'Inputs (2)'!AA15</f>
        <v>17019.45165328</v>
      </c>
      <c r="AG150" s="12">
        <f>'Inputs (2)'!AB15</f>
        <v>17019.45165328</v>
      </c>
      <c r="AH150" s="12">
        <f>'Inputs (2)'!AC15</f>
        <v>18005.17520755</v>
      </c>
      <c r="AI150" s="12">
        <f>'Inputs (2)'!AD15</f>
        <v>18143.44610157</v>
      </c>
      <c r="AJ150" s="12">
        <f>AJ279-SUM(AJ151,AJ155,AJ159,AJ160,AJ161,AJ167,AJ172,AJ182,AJ185,AJ186,AJ195)</f>
        <v>18582.0541308039</v>
      </c>
      <c r="AK150" s="12">
        <f>AK279-SUM(AK151,AK155,AK159,AK160,AK161,AK167,AK172,AK182,AK185,AK186,AK195)</f>
        <v>19525.70409841</v>
      </c>
      <c r="AL150" s="12">
        <f>AK150</f>
        <v>19525.70409841</v>
      </c>
      <c r="AM150" s="12">
        <f>AM279-SUM(AM151,AM155,AM159,AM160,AM161,AM167,AM172,AM182,AM185,AM186,AM195)</f>
        <v>20453.5892830537</v>
      </c>
      <c r="AN150" s="12">
        <f>AN279-SUM(AN151,AN155,AN159,AN160,AN161,AN167,AN172,AN182,AN185,AN186,AN195)</f>
        <v>21366.7910657939</v>
      </c>
      <c r="AO150" s="12">
        <f>AO279-SUM(AO151,AO155,AO159,AO160,AO161,AO167,AO172,AO182,AO185,AO186,AO195)</f>
        <v>22267.6709778122</v>
      </c>
      <c r="AP150" s="12">
        <f>AP279-SUM(AP151,AP155,AP159,AP160,AP161,AP167,AP172,AP182,AP185,AP186,AP195)</f>
        <v>23294.0942256236</v>
      </c>
      <c r="AQ150" s="12">
        <f>AP150</f>
        <v>23294.0942256236</v>
      </c>
      <c r="AR150" s="12">
        <f>AR279-SUM(AR151,AR155,AR159,AR160,AR161,AR167,AR172,AR182,AR185,AR186,AR195)</f>
        <v>24342.9455081108</v>
      </c>
      <c r="AS150" s="12">
        <f>AS279-SUM(AS151,AS155,AS159,AS160,AS161,AS167,AS172,AS182,AS185,AS186,AS195)</f>
        <v>25283.1539198771</v>
      </c>
      <c r="AT150" s="12">
        <f>AT279-SUM(AT151,AT155,AT159,AT160,AT161,AT167,AT172,AT182,AT185,AT186,AT195)</f>
        <v>26248.8066569536</v>
      </c>
      <c r="AU150" s="12">
        <f>AU279-SUM(AU151,AU155,AU159,AU160,AU161,AU167,AU172,AU182,AU185,AU186,AU195)</f>
        <v>27347.1000923136</v>
      </c>
      <c r="AV150" s="12">
        <f>AU150</f>
        <v>27347.1000923136</v>
      </c>
      <c r="AW150" s="12">
        <f>AW279-SUM(AW151,AW155,AW159,AW160,AW161,AW167,AW172,AW182,AW185,AW186,AW195)</f>
        <v>28439.1962805534</v>
      </c>
      <c r="AX150" s="12">
        <f>AX279-SUM(AX151,AX155,AX159,AX160,AX161,AX167,AX172,AX182,AX185,AX186,AX195)</f>
        <v>29480.1671852923</v>
      </c>
      <c r="AY150" s="12">
        <f>AY279-SUM(AY151,AY155,AY159,AY160,AY161,AY167,AY172,AY182,AY185,AY186,AY195)</f>
        <v>30507.3302511325</v>
      </c>
      <c r="AZ150" s="12">
        <f>AZ279-SUM(AZ151,AZ155,AZ159,AZ160,AZ161,AZ167,AZ172,AZ182,AZ185,AZ186,AZ195)</f>
        <v>31673.6776482255</v>
      </c>
      <c r="BA150" s="12">
        <f>AZ150</f>
        <v>31673.6776482255</v>
      </c>
      <c r="BB150" s="12">
        <f>BB279-SUM(BB151,BB155,BB159,BB160,BB161,BB167,BB172,BB182,BB185,BB186,BB195)</f>
        <v>32844.2305681707</v>
      </c>
      <c r="BC150" s="12">
        <f>BC279-SUM(BC151,BC155,BC159,BC160,BC161,BC167,BC172,BC182,BC185,BC186,BC195)</f>
        <v>33942.3894258905</v>
      </c>
      <c r="BD150" s="12">
        <f>BD279-SUM(BD151,BD155,BD159,BD160,BD161,BD167,BD172,BD182,BD185,BD186,BD195)</f>
        <v>35025.5903627816</v>
      </c>
      <c r="BE150" s="12">
        <f>BE279-SUM(BE151,BE155,BE159,BE160,BE161,BE167,BE172,BE182,BE185,BE186,BE195)</f>
        <v>36253.8342250467</v>
      </c>
      <c r="BF150" s="12">
        <f>BE150</f>
        <v>36253.8342250467</v>
      </c>
      <c r="BG150" s="12" t="n"/>
      <c r="BH150" s="12" t="n"/>
      <c r="BI150" s="12" t="n"/>
      <c r="BJ150" s="12" t="n"/>
      <c r="BK150" s="12" t="n"/>
      <c r="BL150" s="12" t="n"/>
      <c r="BM150" s="12" t="n"/>
      <c r="BN150" s="12" t="n"/>
      <c r="BO150" s="12" t="n"/>
      <c r="BP150" s="12" t="n"/>
      <c r="BQ150" s="12" t="n"/>
      <c r="BR150" s="12" t="n"/>
      <c r="BS150" s="12" t="n"/>
      <c r="BT150" s="12" t="n"/>
      <c r="BU150" s="12" t="n"/>
      <c r="BV150" s="12" t="n"/>
      <c r="BW150" s="12" t="n"/>
      <c r="BX150" s="12" t="n"/>
      <c r="BY150" s="12" t="n"/>
      <c r="BZ150" s="12" t="n"/>
      <c r="CA150" s="12" t="n"/>
      <c r="CB150" s="12" t="n"/>
      <c r="CC150" s="12" t="n"/>
      <c r="CD150" s="12" t="n"/>
      <c r="CE150" s="12" t="n"/>
      <c r="CF150" s="12" t="n"/>
      <c r="CG150" s="12" t="n"/>
      <c r="CH150" s="12" t="n"/>
      <c r="CI150" s="12" t="n"/>
      <c r="CJ150" s="12" t="n"/>
      <c r="CK150" s="12" t="n"/>
      <c r="CL150" s="12" t="n"/>
      <c r="CM150" s="12" t="n"/>
      <c r="CN150" s="12" t="n"/>
      <c r="CO150" s="12" t="n"/>
      <c r="CP150" s="12" t="n"/>
      <c r="CQ150" s="12" t="n"/>
      <c r="CR150" s="12" t="n"/>
      <c r="CS150" s="12" t="n"/>
      <c r="CT150" s="12" t="n"/>
      <c r="CU150" s="12" t="n"/>
      <c r="CV150" s="12" t="n"/>
      <c r="CW150" s="12" t="n"/>
      <c r="CX150" s="12" t="n"/>
      <c r="CY150" s="12" t="n"/>
    </row>
    <row r="151">
      <c r="C151" s="14" t="inlineStr">
        <is>
          <t>Accounts receivable</t>
        </is>
      </c>
      <c r="D151" s="46" t="n"/>
      <c r="E151" s="46" t="n"/>
      <c r="F151" s="46" t="n"/>
      <c r="G151" s="46" t="n"/>
      <c r="H151" s="12" t="n"/>
      <c r="I151" s="46">
        <f>'Inputs (2)'!D16</f>
        <v>2151.392651979</v>
      </c>
      <c r="J151" s="46">
        <f>'Inputs (2)'!E16</f>
        <v>2430.89</v>
      </c>
      <c r="K151" s="46">
        <f>'Inputs (2)'!F16</f>
        <v>2779.127</v>
      </c>
      <c r="L151" s="46">
        <f>'Inputs (2)'!G16</f>
        <v>3260.329</v>
      </c>
      <c r="M151" s="12">
        <f>'Inputs (2)'!H16</f>
        <v>3260.329</v>
      </c>
      <c r="N151" s="46">
        <f>'Inputs (2)'!I16</f>
        <v>3702.988</v>
      </c>
      <c r="O151" s="46">
        <f>'Inputs (2)'!J16</f>
        <v>3976.906</v>
      </c>
      <c r="P151" s="46">
        <f>'Inputs (2)'!K16</f>
        <v>4223.848</v>
      </c>
      <c r="Q151" s="46">
        <f>'Inputs (2)'!L16</f>
        <v>4433.345</v>
      </c>
      <c r="R151" s="12">
        <f>'Inputs (2)'!M16</f>
        <v>4433.345</v>
      </c>
      <c r="S151" s="46">
        <f>'Inputs (2)'!N16</f>
        <v>4794.602078925</v>
      </c>
      <c r="T151" s="46">
        <f>'Inputs (2)'!O16</f>
        <v>5221.968302858</v>
      </c>
      <c r="U151" s="46">
        <f>'Inputs (2)'!P16</f>
        <v>5708.640767071</v>
      </c>
      <c r="V151" s="46">
        <f>'Inputs (2)'!Q16</f>
        <v>5106.680167461</v>
      </c>
      <c r="W151" s="12">
        <f>'Inputs (2)'!R16</f>
        <v>5106.680167461</v>
      </c>
      <c r="X151" s="46">
        <f>'Inputs (2)'!S16</f>
        <v>5418.71273677</v>
      </c>
      <c r="Y151" s="46">
        <f>'Inputs (2)'!T16</f>
        <v>5801.981164879</v>
      </c>
      <c r="Z151" s="46">
        <f>'Inputs (2)'!U16</f>
        <v>6344.78478164</v>
      </c>
      <c r="AA151" s="46">
        <f>'Inputs (2)'!V16</f>
        <v>6051.44102391</v>
      </c>
      <c r="AB151" s="12">
        <f>'Inputs (2)'!W16</f>
        <v>6051.44102391</v>
      </c>
      <c r="AC151" s="46">
        <f>'Inputs (2)'!X16</f>
        <v>6817.36007656</v>
      </c>
      <c r="AD151" s="46">
        <f>'Inputs (2)'!Y16</f>
        <v>7493.70215503</v>
      </c>
      <c r="AE151" s="46">
        <f>'Inputs (2)'!Z16</f>
        <v>7771.08104948</v>
      </c>
      <c r="AF151" s="46">
        <f>'Inputs (2)'!AA16</f>
        <v>7614.79769078</v>
      </c>
      <c r="AG151" s="12">
        <f>'Inputs (2)'!AB16</f>
        <v>7614.79769078</v>
      </c>
      <c r="AH151" s="12">
        <f>'Inputs (2)'!AC16</f>
        <v>7759.61530065</v>
      </c>
      <c r="AI151" s="12">
        <f>'Inputs (2)'!AD16</f>
        <v>8715.74125397</v>
      </c>
      <c r="AJ151" s="12">
        <f>(AJ152/(AJ$5-AI$5))*AJ$15</f>
        <v>8274.12482939894</v>
      </c>
      <c r="AK151" s="12">
        <f>(AK152/(AK$5-AJ$5))*AK$15</f>
        <v>8287.95751791862</v>
      </c>
      <c r="AL151" s="12">
        <f>AK151</f>
        <v>8287.95751791862</v>
      </c>
      <c r="AM151" s="12">
        <f>(AM152/(AM$5-AL$5))*AM$15</f>
        <v>8323.41287961624</v>
      </c>
      <c r="AN151" s="12">
        <f>(AN152/(AN$5-AM$5))*AN$15</f>
        <v>8476.36925020256</v>
      </c>
      <c r="AO151" s="12">
        <f>(AO152/(AO$5-AN$5))*AO$15</f>
        <v>8781.13350938209</v>
      </c>
      <c r="AP151" s="12">
        <f>(AP152/(AP$5-AO$5))*AP$15</f>
        <v>8795.81381541922</v>
      </c>
      <c r="AQ151" s="12">
        <f>AP151</f>
        <v>8795.81381541922</v>
      </c>
      <c r="AR151" s="12">
        <f>(AR152/(AR$5-AQ$5))*AR$15</f>
        <v>8695.21123192862</v>
      </c>
      <c r="AS151" s="12">
        <f>(AS152/(AS$5-AR$5))*AS$15</f>
        <v>8953.3888963396</v>
      </c>
      <c r="AT151" s="12">
        <f>(AT152/(AT$5-AS$5))*AT$15</f>
        <v>9275.30419445783</v>
      </c>
      <c r="AU151" s="12">
        <f>(AU152/(AU$5-AT$5))*AU$15</f>
        <v>9290.81065544224</v>
      </c>
      <c r="AV151" s="12">
        <f>AU151</f>
        <v>9290.81065544224</v>
      </c>
      <c r="AW151" s="12">
        <f>(AW152/(AW$5-AV$5))*AW$15</f>
        <v>9242.63791297268</v>
      </c>
      <c r="AX151" s="12">
        <f>(AX152/(AX$5-AW$5))*AX$15</f>
        <v>9412.4865520176</v>
      </c>
      <c r="AY151" s="12">
        <f>(AY152/(AY$5-AX$5))*AY$15</f>
        <v>9750.90851151333</v>
      </c>
      <c r="AZ151" s="12">
        <f>(AZ152/(AZ$5-AY$5))*AZ$15</f>
        <v>9767.21008817609</v>
      </c>
      <c r="BA151" s="12">
        <f>AZ151</f>
        <v>9767.21008817609</v>
      </c>
      <c r="BB151" s="12">
        <f>(BB152/(BB$5-BA$5))*BB$15</f>
        <v>9670.35403076328</v>
      </c>
      <c r="BC151" s="12">
        <f>(BC152/(BC$5-BB$5))*BC$15</f>
        <v>9848.06265536518</v>
      </c>
      <c r="BD151" s="12">
        <f>(BD152/(BD$5-BC$5))*BD$15</f>
        <v>10202.1455688065</v>
      </c>
      <c r="BE151" s="12">
        <f>(BE152/(BE$5-BD$5))*BE$15</f>
        <v>10219.2015239432</v>
      </c>
      <c r="BF151" s="12">
        <f>BE151</f>
        <v>10219.2015239432</v>
      </c>
      <c r="BG151" s="12" t="n"/>
      <c r="BH151" s="12" t="n"/>
      <c r="BI151" s="12" t="n"/>
      <c r="BJ151" s="12" t="n"/>
      <c r="BK151" s="12" t="n"/>
      <c r="BL151" s="12" t="n"/>
      <c r="BM151" s="12" t="n"/>
      <c r="BN151" s="12" t="n"/>
      <c r="BO151" s="12" t="n"/>
      <c r="BP151" s="12" t="n"/>
      <c r="BQ151" s="12" t="n"/>
      <c r="BR151" s="12" t="n"/>
      <c r="BS151" s="12" t="n"/>
      <c r="BT151" s="12" t="n"/>
      <c r="BU151" s="12" t="n"/>
      <c r="BV151" s="12" t="n"/>
      <c r="BW151" s="12" t="n"/>
      <c r="BX151" s="12" t="n"/>
      <c r="BY151" s="12" t="n"/>
      <c r="BZ151" s="12" t="n"/>
      <c r="CA151" s="12" t="n"/>
      <c r="CB151" s="12" t="n"/>
      <c r="CC151" s="12" t="n"/>
      <c r="CD151" s="12" t="n"/>
      <c r="CE151" s="12" t="n"/>
      <c r="CF151" s="12" t="n"/>
      <c r="CG151" s="12" t="n"/>
      <c r="CH151" s="12" t="n"/>
      <c r="CI151" s="12" t="n"/>
      <c r="CJ151" s="12" t="n"/>
      <c r="CK151" s="12" t="n"/>
      <c r="CL151" s="12" t="n"/>
      <c r="CM151" s="12" t="n"/>
      <c r="CN151" s="12" t="n"/>
      <c r="CO151" s="12" t="n"/>
      <c r="CP151" s="12" t="n"/>
      <c r="CQ151" s="12" t="n"/>
      <c r="CR151" s="12" t="n"/>
      <c r="CS151" s="12" t="n"/>
      <c r="CT151" s="12" t="n"/>
      <c r="CU151" s="12" t="n"/>
      <c r="CV151" s="12" t="n"/>
      <c r="CW151" s="12" t="n"/>
      <c r="CX151" s="12" t="n"/>
      <c r="CY151" s="12" t="n"/>
    </row>
    <row r="152" hidden="1" outlineLevel="1">
      <c r="C152" s="57" t="inlineStr">
        <is>
          <t>DSO</t>
        </is>
      </c>
      <c r="D152" s="12" t="n"/>
      <c r="E152" s="12" t="n"/>
      <c r="F152" s="12" t="n"/>
      <c r="G152" s="12" t="n"/>
      <c r="H152" s="12" t="n"/>
      <c r="I152" s="12">
        <f>IFERROR((I151/I$15)*(I$5-H$5),"")</f>
        <v>73.8998208873443</v>
      </c>
      <c r="J152" s="12">
        <f>IFERROR((J151/J$15)*(J$5-I$5),"")</f>
        <v>70.246532092148</v>
      </c>
      <c r="K152" s="12">
        <f>IFERROR((K151/K$15)*(K$5-J$5),"")</f>
        <v>64.5936325878917</v>
      </c>
      <c r="L152" s="12">
        <f>IFERROR((L151/L$15)*(L$5-K$5),"")</f>
        <v>72.4733400068185</v>
      </c>
      <c r="M152" s="12" t="n"/>
      <c r="N152" s="12">
        <f>IFERROR((N151/N$15)*(N$5-M$5),"")</f>
        <v>73.5660985742492</v>
      </c>
      <c r="O152" s="12">
        <f>IFERROR((O151/O$15)*(O$5-N$5),"")</f>
        <v>67.1781226864625</v>
      </c>
      <c r="P152" s="12">
        <f>IFERROR((P151/P$15)*(P$5-O$5),"")</f>
        <v>56.95061650843</v>
      </c>
      <c r="Q152" s="12">
        <f>IFERROR((Q151/Q$15)*(Q$5-P$5),"")</f>
        <v>55.5588326650988</v>
      </c>
      <c r="R152" s="12" t="n"/>
      <c r="S152" s="12">
        <f>IFERROR((S151/S$15)*(S$5-R$5),"")</f>
        <v>57.9988770862029</v>
      </c>
      <c r="T152" s="12">
        <f>IFERROR((T151/T$15)*(T$5-S$5),"")</f>
        <v>62.8268076793064</v>
      </c>
      <c r="U152" s="12">
        <f>IFERROR((U151/U$15)*(U$5-T$5),"")</f>
        <v>63.1387435017421</v>
      </c>
      <c r="V152" s="12">
        <f>IFERROR((V151/V$15)*(V$5-U$5),"")</f>
        <v>55.1307531587618</v>
      </c>
      <c r="W152" s="12" t="n"/>
      <c r="X152" s="12">
        <f>IFERROR((X151/X$15)*(X$5-W$5),"")</f>
        <v>54.386766069708</v>
      </c>
      <c r="Y152" s="12">
        <f>IFERROR((Y151/Y$15)*(Y$5-X$5),"")</f>
        <v>51.6251557131717</v>
      </c>
      <c r="Z152" s="12">
        <f>IFERROR((Z151/Z$15)*(Z$5-Y$5),"")</f>
        <v>54.095797995978</v>
      </c>
      <c r="AA152" s="12">
        <f>IFERROR((AA151/AA$15)*(AA$5-Z$5),"")</f>
        <v>52.2566707960377</v>
      </c>
      <c r="AB152" s="12" t="n"/>
      <c r="AC152" s="12">
        <f>IFERROR((AC151/AC$15)*(AC$5-AB$5),"")</f>
        <v>59.8910971594897</v>
      </c>
      <c r="AD152" s="12">
        <f>IFERROR((AD151/AD$15)*(AD$5-AC$5),"")</f>
        <v>65.9453635403828</v>
      </c>
      <c r="AE152" s="12">
        <f>IFERROR((AE151/AE$15)*(AE$5-AD$5),"")</f>
        <v>64.4035441870458</v>
      </c>
      <c r="AF152" s="11">
        <f>IFERROR((AF151/AF$15)*(AF$5-AE$5),"")</f>
        <v>63.0030031022296</v>
      </c>
      <c r="AG152" s="12" t="n"/>
      <c r="AH152" s="11">
        <f>IFERROR((AH151/AH$15)*(AH$5-AG$5),"")</f>
        <v>63.9277104167301</v>
      </c>
      <c r="AI152" s="11">
        <f>IFERROR((AI151/AI$15)*(AI$5-AH$5),"")</f>
        <v>70.5090493511612</v>
      </c>
      <c r="AJ152" s="11">
        <f>Control!$B$25</f>
        <v>64.6132946261732</v>
      </c>
      <c r="AK152" s="11">
        <f>Control!$B$25</f>
        <v>64.6132946261732</v>
      </c>
      <c r="AL152" s="12" t="n"/>
      <c r="AM152" s="11">
        <f>Control!$C$25</f>
        <v>64.6132946261732</v>
      </c>
      <c r="AN152" s="11">
        <f>Control!$C$25</f>
        <v>64.6132946261732</v>
      </c>
      <c r="AO152" s="11">
        <f>Control!$C$25</f>
        <v>64.6132946261732</v>
      </c>
      <c r="AP152" s="11">
        <f>Control!$C$25</f>
        <v>64.6132946261732</v>
      </c>
      <c r="AQ152" s="12" t="n"/>
      <c r="AR152" s="11">
        <f>Control!$D$25</f>
        <v>64.6132946261732</v>
      </c>
      <c r="AS152" s="11">
        <f>Control!$D$25</f>
        <v>64.6132946261732</v>
      </c>
      <c r="AT152" s="11">
        <f>Control!$D$25</f>
        <v>64.6132946261732</v>
      </c>
      <c r="AU152" s="11">
        <f>Control!$D$25</f>
        <v>64.6132946261732</v>
      </c>
      <c r="AV152" s="12" t="n"/>
      <c r="AW152" s="11">
        <f>Control!$E$25</f>
        <v>64.6132946261732</v>
      </c>
      <c r="AX152" s="11">
        <f>Control!$E$25</f>
        <v>64.6132946261732</v>
      </c>
      <c r="AY152" s="11">
        <f>Control!$E$25</f>
        <v>64.6132946261732</v>
      </c>
      <c r="AZ152" s="11">
        <f>Control!$E$25</f>
        <v>64.6132946261732</v>
      </c>
      <c r="BA152" s="12" t="n"/>
      <c r="BB152" s="11">
        <f>Control!$F$25</f>
        <v>64.6132946261732</v>
      </c>
      <c r="BC152" s="11">
        <f>Control!$F$25</f>
        <v>64.6132946261732</v>
      </c>
      <c r="BD152" s="11">
        <f>Control!$F$25</f>
        <v>64.6132946261732</v>
      </c>
      <c r="BE152" s="11">
        <f>Control!$F$25</f>
        <v>64.6132946261732</v>
      </c>
      <c r="BF152" s="12" t="n"/>
      <c r="BG152" s="11" t="n"/>
      <c r="BH152" s="11" t="n"/>
      <c r="BI152" s="11" t="n"/>
      <c r="BJ152" s="11" t="n"/>
      <c r="BK152" s="12" t="n"/>
      <c r="BL152" s="11" t="n"/>
      <c r="BM152" s="11" t="n"/>
      <c r="BN152" s="11" t="n"/>
      <c r="BO152" s="11" t="n"/>
      <c r="BP152" s="12" t="n"/>
      <c r="BQ152" s="11" t="n"/>
      <c r="BR152" s="11" t="n"/>
      <c r="BS152" s="11" t="n"/>
      <c r="BT152" s="11" t="n"/>
      <c r="BU152" s="12" t="n"/>
      <c r="BV152" s="11" t="n"/>
      <c r="BW152" s="11" t="n"/>
      <c r="BX152" s="11" t="n"/>
      <c r="BY152" s="11" t="n"/>
      <c r="BZ152" s="12" t="n"/>
      <c r="CA152" s="11" t="n"/>
      <c r="CB152" s="11" t="n"/>
      <c r="CC152" s="11" t="n"/>
      <c r="CD152" s="11" t="n"/>
      <c r="CE152" s="12" t="n"/>
      <c r="CF152" s="11" t="n"/>
      <c r="CG152" s="11" t="n"/>
      <c r="CH152" s="11" t="n"/>
      <c r="CI152" s="11" t="n"/>
      <c r="CJ152" s="12" t="n"/>
      <c r="CK152" s="11" t="n"/>
      <c r="CL152" s="11" t="n"/>
      <c r="CM152" s="11" t="n"/>
      <c r="CN152" s="11" t="n"/>
      <c r="CO152" s="12" t="n"/>
      <c r="CP152" s="11" t="n"/>
      <c r="CQ152" s="11" t="n"/>
      <c r="CR152" s="11" t="n"/>
      <c r="CS152" s="11" t="n"/>
      <c r="CT152" s="12" t="n"/>
      <c r="CU152" s="11" t="n"/>
      <c r="CV152" s="11" t="n"/>
      <c r="CW152" s="11" t="n"/>
      <c r="CX152" s="11" t="n"/>
      <c r="CY152" s="12" t="n"/>
    </row>
    <row r="153" hidden="1" outlineLevel="1">
      <c r="C153" s="57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  <c r="AL153" s="12" t="n"/>
      <c r="AM153" s="12" t="n"/>
      <c r="AN153" s="12" t="n"/>
      <c r="AO153" s="12" t="n"/>
      <c r="AP153" s="12" t="n"/>
      <c r="AQ153" s="12" t="n"/>
      <c r="AR153" s="12" t="n"/>
      <c r="AS153" s="12" t="n"/>
      <c r="AT153" s="12" t="n"/>
      <c r="AU153" s="12" t="n"/>
      <c r="AV153" s="12" t="n"/>
      <c r="AW153" s="12" t="n"/>
      <c r="AX153" s="12" t="n"/>
      <c r="AY153" s="12" t="n"/>
      <c r="AZ153" s="12" t="n"/>
      <c r="BA153" s="12" t="n"/>
      <c r="BB153" s="12" t="n"/>
      <c r="BC153" s="12" t="n"/>
      <c r="BD153" s="12" t="n"/>
      <c r="BE153" s="12" t="n"/>
      <c r="BF153" s="12" t="n"/>
      <c r="BG153" s="12" t="n"/>
      <c r="BH153" s="12" t="n"/>
      <c r="BI153" s="12" t="n"/>
      <c r="BJ153" s="12" t="n"/>
      <c r="BK153" s="12" t="n"/>
      <c r="BL153" s="12" t="n"/>
      <c r="BM153" s="12" t="n"/>
      <c r="BN153" s="12" t="n"/>
      <c r="BO153" s="12" t="n"/>
      <c r="BP153" s="12" t="n"/>
      <c r="BQ153" s="12" t="n"/>
      <c r="BR153" s="12" t="n"/>
      <c r="BS153" s="12" t="n"/>
      <c r="BT153" s="12" t="n"/>
      <c r="BU153" s="12" t="n"/>
      <c r="BV153" s="12" t="n"/>
      <c r="BW153" s="12" t="n"/>
      <c r="BX153" s="12" t="n"/>
      <c r="BY153" s="12" t="n"/>
      <c r="BZ153" s="12" t="n"/>
      <c r="CA153" s="12" t="n"/>
      <c r="CB153" s="12" t="n"/>
      <c r="CC153" s="12" t="n"/>
      <c r="CD153" s="12" t="n"/>
      <c r="CE153" s="12" t="n"/>
      <c r="CF153" s="12" t="n"/>
      <c r="CG153" s="12" t="n"/>
      <c r="CH153" s="12" t="n"/>
      <c r="CI153" s="12" t="n"/>
      <c r="CJ153" s="12" t="n"/>
      <c r="CK153" s="12" t="n"/>
      <c r="CL153" s="12" t="n"/>
      <c r="CM153" s="12" t="n"/>
      <c r="CN153" s="12" t="n"/>
      <c r="CO153" s="12" t="n"/>
      <c r="CP153" s="12" t="n"/>
      <c r="CQ153" s="12" t="n"/>
      <c r="CR153" s="12" t="n"/>
      <c r="CS153" s="12" t="n"/>
      <c r="CT153" s="12" t="n"/>
      <c r="CU153" s="12" t="n"/>
      <c r="CV153" s="12" t="n"/>
      <c r="CW153" s="12" t="n"/>
      <c r="CX153" s="12" t="n"/>
      <c r="CY153" s="12" t="n"/>
    </row>
    <row r="154" hidden="1" outlineLevel="1">
      <c r="C154" s="57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  <c r="AL154" s="12" t="n"/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  <c r="BE154" s="12" t="n"/>
      <c r="BF154" s="12" t="n"/>
      <c r="BG154" s="12" t="n"/>
      <c r="BH154" s="12" t="n"/>
      <c r="BI154" s="12" t="n"/>
      <c r="BJ154" s="12" t="n"/>
      <c r="BK154" s="12" t="n"/>
      <c r="BL154" s="12" t="n"/>
      <c r="BM154" s="12" t="n"/>
      <c r="BN154" s="12" t="n"/>
      <c r="BO154" s="12" t="n"/>
      <c r="BP154" s="12" t="n"/>
      <c r="BQ154" s="12" t="n"/>
      <c r="BR154" s="12" t="n"/>
      <c r="BS154" s="12" t="n"/>
      <c r="BT154" s="12" t="n"/>
      <c r="BU154" s="12" t="n"/>
      <c r="BV154" s="12" t="n"/>
      <c r="BW154" s="12" t="n"/>
      <c r="BX154" s="12" t="n"/>
      <c r="BY154" s="12" t="n"/>
      <c r="BZ154" s="12" t="n"/>
      <c r="CA154" s="12" t="n"/>
      <c r="CB154" s="12" t="n"/>
      <c r="CC154" s="12" t="n"/>
      <c r="CD154" s="12" t="n"/>
      <c r="CE154" s="12" t="n"/>
      <c r="CF154" s="12" t="n"/>
      <c r="CG154" s="12" t="n"/>
      <c r="CH154" s="12" t="n"/>
      <c r="CI154" s="12" t="n"/>
      <c r="CJ154" s="12" t="n"/>
      <c r="CK154" s="12" t="n"/>
      <c r="CL154" s="12" t="n"/>
      <c r="CM154" s="12" t="n"/>
      <c r="CN154" s="12" t="n"/>
      <c r="CO154" s="12" t="n"/>
      <c r="CP154" s="12" t="n"/>
      <c r="CQ154" s="12" t="n"/>
      <c r="CR154" s="12" t="n"/>
      <c r="CS154" s="12" t="n"/>
      <c r="CT154" s="12" t="n"/>
      <c r="CU154" s="12" t="n"/>
      <c r="CV154" s="12" t="n"/>
      <c r="CW154" s="12" t="n"/>
      <c r="CX154" s="12" t="n"/>
      <c r="CY154" s="12" t="n"/>
    </row>
    <row r="155" collapsed="1">
      <c r="C155" s="14" t="inlineStr">
        <is>
          <t>Inventories</t>
        </is>
      </c>
      <c r="D155" s="46" t="n"/>
      <c r="E155" s="46" t="n"/>
      <c r="F155" s="46" t="n"/>
      <c r="G155" s="46" t="n"/>
      <c r="H155" s="12" t="n"/>
      <c r="I155" s="46">
        <f>'Inputs (2)'!D17</f>
        <v>255.36256732</v>
      </c>
      <c r="J155" s="46">
        <f>'Inputs (2)'!E17</f>
        <v>378.575</v>
      </c>
      <c r="K155" s="46">
        <f>'Inputs (2)'!F17</f>
        <v>378.18</v>
      </c>
      <c r="L155" s="46">
        <f>'Inputs (2)'!G17</f>
        <v>525.95</v>
      </c>
      <c r="M155" s="12">
        <f>'Inputs (2)'!H17</f>
        <v>525.95</v>
      </c>
      <c r="N155" s="46">
        <f>'Inputs (2)'!I17</f>
        <v>596.625</v>
      </c>
      <c r="O155" s="46">
        <f>'Inputs (2)'!J17</f>
        <v>775.164</v>
      </c>
      <c r="P155" s="46">
        <f>'Inputs (2)'!K17</f>
        <v>1166.831</v>
      </c>
      <c r="Q155" s="46">
        <f>'Inputs (2)'!L17</f>
        <v>1694.32</v>
      </c>
      <c r="R155" s="12">
        <f>'Inputs (2)'!M17</f>
        <v>1694.32</v>
      </c>
      <c r="S155" s="46">
        <f>'Inputs (2)'!N17</f>
        <v>1774.066246812</v>
      </c>
      <c r="T155" s="46">
        <f>'Inputs (2)'!O17</f>
        <v>2010.428732998</v>
      </c>
      <c r="U155" s="46">
        <f>'Inputs (2)'!P17</f>
        <v>2549.582530292</v>
      </c>
      <c r="V155" s="46">
        <f>'Inputs (2)'!Q17</f>
        <v>2890.5093802</v>
      </c>
      <c r="W155" s="12">
        <f>'Inputs (2)'!R17</f>
        <v>2890.5093802</v>
      </c>
      <c r="X155" s="46">
        <f>'Inputs (2)'!S17</f>
        <v>2876.054845874</v>
      </c>
      <c r="Y155" s="46">
        <f>'Inputs (2)'!T17</f>
        <v>2973.787268087</v>
      </c>
      <c r="Z155" s="46">
        <f>'Inputs (2)'!U17</f>
        <v>3204.842103803</v>
      </c>
      <c r="AA155" s="46">
        <f>'Inputs (2)'!V17</f>
        <v>3180.42084757</v>
      </c>
      <c r="AB155" s="12">
        <f>'Inputs (2)'!W17</f>
        <v>3180.42084757</v>
      </c>
      <c r="AC155" s="46">
        <f>'Inputs (2)'!X17</f>
        <v>3017.70346832</v>
      </c>
      <c r="AD155" s="46">
        <f>'Inputs (2)'!Y17</f>
        <v>3009.38209893</v>
      </c>
      <c r="AE155" s="46">
        <f>'Inputs (2)'!Z17</f>
        <v>2814.70355854</v>
      </c>
      <c r="AF155" s="46">
        <f>'Inputs (2)'!AA17</f>
        <v>2827.60633441</v>
      </c>
      <c r="AG155" s="12">
        <f>'Inputs (2)'!AB17</f>
        <v>2827.60633441</v>
      </c>
      <c r="AH155" s="12">
        <f>'Inputs (2)'!AC17</f>
        <v>2524.4446876</v>
      </c>
      <c r="AI155" s="12">
        <f>'Inputs (2)'!AD17</f>
        <v>2670.24045105</v>
      </c>
      <c r="AJ155" s="12">
        <f>(AJ156/(AJ$5-AI$5))*-AJ$60</f>
        <v>3031.09031504839</v>
      </c>
      <c r="AK155" s="12">
        <f>(AK156/(AK$5-AJ$5))*-AK$60</f>
        <v>3036.15769426584</v>
      </c>
      <c r="AL155" s="12">
        <f>AK155</f>
        <v>3036.15769426584</v>
      </c>
      <c r="AM155" s="12">
        <f>(AM156/(AM$5-AL$5))*-AM$60</f>
        <v>3049.14618618179</v>
      </c>
      <c r="AN155" s="12">
        <f>(AN156/(AN$5-AM$5))*-AN$60</f>
        <v>3105.17925107608</v>
      </c>
      <c r="AO155" s="12">
        <f>(AO156/(AO$5-AN$5))*-AO$60</f>
        <v>3216.82465326891</v>
      </c>
      <c r="AP155" s="12">
        <f>(AP156/(AP$5-AO$5))*-AP$60</f>
        <v>3222.20254330182</v>
      </c>
      <c r="AQ155" s="12">
        <f>AP155</f>
        <v>3222.20254330182</v>
      </c>
      <c r="AR155" s="12">
        <f>(AR156/(AR$5-AQ$5))*-AR$60</f>
        <v>3185.34843210885</v>
      </c>
      <c r="AS155" s="12">
        <f>(AS156/(AS$5-AR$5))*-AS$60</f>
        <v>3279.92759719196</v>
      </c>
      <c r="AT155" s="12">
        <f>(AT156/(AT$5-AS$5))*-AT$60</f>
        <v>3397.85600200948</v>
      </c>
      <c r="AU155" s="12">
        <f>(AU156/(AU$5-AT$5))*-AU$60</f>
        <v>3403.53654039627</v>
      </c>
      <c r="AV155" s="12">
        <f>AU155</f>
        <v>3403.53654039627</v>
      </c>
      <c r="AW155" s="12">
        <f>(AW156/(AW$5-AV$5))*-AW$60</f>
        <v>3385.88924401636</v>
      </c>
      <c r="AX155" s="12">
        <f>(AX156/(AX$5-AW$5))*-AX$60</f>
        <v>3448.11051520192</v>
      </c>
      <c r="AY155" s="12">
        <f>(AY156/(AY$5-AX$5))*-AY$60</f>
        <v>3572.08586546283</v>
      </c>
      <c r="AZ155" s="12">
        <f>(AZ156/(AZ$5-AY$5))*-AZ$60</f>
        <v>3578.05768147495</v>
      </c>
      <c r="BA155" s="12">
        <f>AZ155</f>
        <v>3578.05768147495</v>
      </c>
      <c r="BB155" s="12">
        <f>(BB156/(BB$5-BA$5))*-BB$60</f>
        <v>3542.57604883936</v>
      </c>
      <c r="BC155" s="12">
        <f>(BC156/(BC$5-BB$5))*-BC$60</f>
        <v>3607.67669719041</v>
      </c>
      <c r="BD155" s="12">
        <f>(BD156/(BD$5-BC$5))*-BD$60</f>
        <v>3737.38918180783</v>
      </c>
      <c r="BE155" s="12">
        <f>(BE156/(BE$5-BD$5))*-BE$60</f>
        <v>3743.63735203667</v>
      </c>
      <c r="BF155" s="12">
        <f>BE155</f>
        <v>3743.63735203667</v>
      </c>
      <c r="BG155" s="12" t="n"/>
      <c r="BH155" s="12" t="n"/>
      <c r="BI155" s="12" t="n"/>
      <c r="BJ155" s="12" t="n"/>
      <c r="BK155" s="12" t="n"/>
      <c r="BL155" s="12" t="n"/>
      <c r="BM155" s="12" t="n"/>
      <c r="BN155" s="12" t="n"/>
      <c r="BO155" s="12" t="n"/>
      <c r="BP155" s="12" t="n"/>
      <c r="BQ155" s="12" t="n"/>
      <c r="BR155" s="12" t="n"/>
      <c r="BS155" s="12" t="n"/>
      <c r="BT155" s="12" t="n"/>
      <c r="BU155" s="12" t="n"/>
      <c r="BV155" s="12" t="n"/>
      <c r="BW155" s="12" t="n"/>
      <c r="BX155" s="12" t="n"/>
      <c r="BY155" s="12" t="n"/>
      <c r="BZ155" s="12" t="n"/>
      <c r="CA155" s="12" t="n"/>
      <c r="CB155" s="12" t="n"/>
      <c r="CC155" s="12" t="n"/>
      <c r="CD155" s="12" t="n"/>
      <c r="CE155" s="12" t="n"/>
      <c r="CF155" s="12" t="n"/>
      <c r="CG155" s="12" t="n"/>
      <c r="CH155" s="12" t="n"/>
      <c r="CI155" s="12" t="n"/>
      <c r="CJ155" s="12" t="n"/>
      <c r="CK155" s="12" t="n"/>
      <c r="CL155" s="12" t="n"/>
      <c r="CM155" s="12" t="n"/>
      <c r="CN155" s="12" t="n"/>
      <c r="CO155" s="12" t="n"/>
      <c r="CP155" s="12" t="n"/>
      <c r="CQ155" s="12" t="n"/>
      <c r="CR155" s="12" t="n"/>
      <c r="CS155" s="12" t="n"/>
      <c r="CT155" s="12" t="n"/>
      <c r="CU155" s="12" t="n"/>
      <c r="CV155" s="12" t="n"/>
      <c r="CW155" s="12" t="n"/>
      <c r="CX155" s="12" t="n"/>
      <c r="CY155" s="12" t="n"/>
    </row>
    <row r="156" hidden="1" outlineLevel="1">
      <c r="C156" s="57" t="inlineStr">
        <is>
          <t>DIO</t>
        </is>
      </c>
      <c r="D156" s="12" t="n"/>
      <c r="E156" s="12" t="n"/>
      <c r="F156" s="12" t="n"/>
      <c r="G156" s="12" t="n"/>
      <c r="H156" s="12" t="n"/>
      <c r="I156" s="12">
        <f>IFERROR(((I155/I$60)*(I$5-H$5))*-1,"")</f>
        <v>14.5886777135953</v>
      </c>
      <c r="J156" s="12">
        <f>IFERROR(((J155/J$60)*(J$5-I$5))*-1,"")</f>
        <v>17.8418549241645</v>
      </c>
      <c r="K156" s="12">
        <f>IFERROR(((K155/K$60)*(K$5-J$5))*-1,"")</f>
        <v>14.383806430593</v>
      </c>
      <c r="L156" s="12">
        <f>IFERROR(((L155/L$60)*(L$5-K$5))*-1,"")</f>
        <v>20.1775328891923</v>
      </c>
      <c r="M156" s="12" t="n"/>
      <c r="N156" s="12">
        <f>IFERROR(((N155/N$60)*(N$5-M$5))*-1,"")</f>
        <v>20.8458289841022</v>
      </c>
      <c r="O156" s="12">
        <f>IFERROR(((O155/O$60)*(O$5-N$5))*-1,"")</f>
        <v>22.2416185600349</v>
      </c>
      <c r="P156" s="12">
        <f>IFERROR(((P155/P$60)*(P$5-O$5))*-1,"")</f>
        <v>25.3164466718987</v>
      </c>
      <c r="Q156" s="12">
        <f>IFERROR(((Q155/Q$60)*(Q$5-P$5))*-1,"")</f>
        <v>33.7633573838717</v>
      </c>
      <c r="R156" s="12" t="n"/>
      <c r="S156" s="12">
        <f>IFERROR(((S155/S$60)*(S$5-R$5))*-1,"")</f>
        <v>34.2647889053821</v>
      </c>
      <c r="T156" s="12">
        <f>IFERROR(((T155/T$60)*(T$5-S$5))*-1,"")</f>
        <v>38.646059425155</v>
      </c>
      <c r="U156" s="12">
        <f>IFERROR(((U155/U$60)*(U$5-T$5))*-1,"")</f>
        <v>43.6111957139696</v>
      </c>
      <c r="V156" s="12">
        <f>IFERROR(((V155/V$60)*(V$5-U$5))*-1,"")</f>
        <v>45.6636194206142</v>
      </c>
      <c r="W156" s="12" t="n"/>
      <c r="X156" s="12">
        <f>IFERROR(((X155/X$60)*(X$5-W$5))*-1,"")</f>
        <v>45.1163573607774</v>
      </c>
      <c r="Y156" s="12">
        <f>IFERROR(((Y155/Y$60)*(Y$5-X$5))*-1,"")</f>
        <v>40.0821891010895</v>
      </c>
      <c r="Z156" s="12">
        <f>IFERROR(((Z155/Z$60)*(Z$5-Y$5))*-1,"")</f>
        <v>41.5625924528432</v>
      </c>
      <c r="AA156" s="12">
        <f>IFERROR(((AA155/AA$60)*(AA$5-Z$5))*-1,"")</f>
        <v>41.9617009256145</v>
      </c>
      <c r="AB156" s="12" t="n"/>
      <c r="AC156" s="12">
        <f>IFERROR(((AC155/AC$60)*(AC$5-AB$5))*-1,"")</f>
        <v>41.7988319486699</v>
      </c>
      <c r="AD156" s="12">
        <f>IFERROR(((AD155/AD$60)*(AD$5-AC$5))*-1,"")</f>
        <v>42.4902757691652</v>
      </c>
      <c r="AE156" s="12">
        <f>IFERROR(((AE155/AE$60)*(AE$5-AD$5))*-1,"")</f>
        <v>36.7803179096125</v>
      </c>
      <c r="AF156" s="11">
        <f>IFERROR(((AF155/AF$60)*(AF$5-AE$5))*-1,"")</f>
        <v>37.3256065801868</v>
      </c>
      <c r="AG156" s="12" t="n"/>
      <c r="AH156" s="11">
        <f>IFERROR(((AH155/AH$60)*(AH$5-AG$5))*-1,"")</f>
        <v>33.7241833896034</v>
      </c>
      <c r="AI156" s="11">
        <f>IFERROR(((AI155/AI$60)*(AI$5-AH$5))*-1,"")</f>
        <v>35.6617681074603</v>
      </c>
      <c r="AJ156" s="11">
        <f>Control!$B$26</f>
        <v>37.9634972841163</v>
      </c>
      <c r="AK156" s="11">
        <f>Control!$B$26</f>
        <v>37.9634972841163</v>
      </c>
      <c r="AL156" s="12" t="n"/>
      <c r="AM156" s="11">
        <f>Control!$C$26</f>
        <v>37.9634972841163</v>
      </c>
      <c r="AN156" s="11">
        <f>Control!$C$26</f>
        <v>37.9634972841163</v>
      </c>
      <c r="AO156" s="11">
        <f>Control!$C$26</f>
        <v>37.9634972841163</v>
      </c>
      <c r="AP156" s="11">
        <f>Control!$C$26</f>
        <v>37.9634972841163</v>
      </c>
      <c r="AQ156" s="12" t="n"/>
      <c r="AR156" s="11">
        <f>Control!$D$26</f>
        <v>37.9634972841163</v>
      </c>
      <c r="AS156" s="11">
        <f>Control!$D$26</f>
        <v>37.9634972841163</v>
      </c>
      <c r="AT156" s="11">
        <f>Control!$D$26</f>
        <v>37.9634972841163</v>
      </c>
      <c r="AU156" s="11">
        <f>Control!$D$26</f>
        <v>37.9634972841163</v>
      </c>
      <c r="AV156" s="12" t="n"/>
      <c r="AW156" s="11">
        <f>Control!$E$26</f>
        <v>37.9634972841163</v>
      </c>
      <c r="AX156" s="11">
        <f>Control!$E$26</f>
        <v>37.9634972841163</v>
      </c>
      <c r="AY156" s="11">
        <f>Control!$E$26</f>
        <v>37.9634972841163</v>
      </c>
      <c r="AZ156" s="11">
        <f>Control!$E$26</f>
        <v>37.9634972841163</v>
      </c>
      <c r="BA156" s="12" t="n"/>
      <c r="BB156" s="11">
        <f>Control!$F$26</f>
        <v>37.9634972841163</v>
      </c>
      <c r="BC156" s="11">
        <f>Control!$F$26</f>
        <v>37.9634972841163</v>
      </c>
      <c r="BD156" s="11">
        <f>Control!$F$26</f>
        <v>37.9634972841163</v>
      </c>
      <c r="BE156" s="11">
        <f>Control!$F$26</f>
        <v>37.9634972841163</v>
      </c>
      <c r="BF156" s="12" t="n"/>
      <c r="BG156" s="11" t="n"/>
      <c r="BH156" s="11" t="n"/>
      <c r="BI156" s="11" t="n"/>
      <c r="BJ156" s="11" t="n"/>
      <c r="BK156" s="12" t="n"/>
      <c r="BL156" s="11" t="n"/>
      <c r="BM156" s="11" t="n"/>
      <c r="BN156" s="11" t="n"/>
      <c r="BO156" s="11" t="n"/>
      <c r="BP156" s="12" t="n"/>
      <c r="BQ156" s="11" t="n"/>
      <c r="BR156" s="11" t="n"/>
      <c r="BS156" s="11" t="n"/>
      <c r="BT156" s="11" t="n"/>
      <c r="BU156" s="12" t="n"/>
      <c r="BV156" s="11" t="n"/>
      <c r="BW156" s="11" t="n"/>
      <c r="BX156" s="11" t="n"/>
      <c r="BY156" s="11" t="n"/>
      <c r="BZ156" s="12" t="n"/>
      <c r="CA156" s="11" t="n"/>
      <c r="CB156" s="11" t="n"/>
      <c r="CC156" s="11" t="n"/>
      <c r="CD156" s="11" t="n"/>
      <c r="CE156" s="12" t="n"/>
      <c r="CF156" s="11" t="n"/>
      <c r="CG156" s="11" t="n"/>
      <c r="CH156" s="11" t="n"/>
      <c r="CI156" s="11" t="n"/>
      <c r="CJ156" s="12" t="n"/>
      <c r="CK156" s="11" t="n"/>
      <c r="CL156" s="11" t="n"/>
      <c r="CM156" s="11" t="n"/>
      <c r="CN156" s="11" t="n"/>
      <c r="CO156" s="12" t="n"/>
      <c r="CP156" s="11" t="n"/>
      <c r="CQ156" s="11" t="n"/>
      <c r="CR156" s="11" t="n"/>
      <c r="CS156" s="11" t="n"/>
      <c r="CT156" s="12" t="n"/>
      <c r="CU156" s="11" t="n"/>
      <c r="CV156" s="11" t="n"/>
      <c r="CW156" s="11" t="n"/>
      <c r="CX156" s="11" t="n"/>
      <c r="CY156" s="12" t="n"/>
    </row>
    <row r="157" hidden="1" outlineLevel="1">
      <c r="C157" s="57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  <c r="AL157" s="12" t="n"/>
      <c r="AM157" s="12" t="n"/>
      <c r="AN157" s="12" t="n"/>
      <c r="AO157" s="12" t="n"/>
      <c r="AP157" s="12" t="n"/>
      <c r="AQ157" s="12" t="n"/>
      <c r="AR157" s="12" t="n"/>
      <c r="AS157" s="12" t="n"/>
      <c r="AT157" s="12" t="n"/>
      <c r="AU157" s="12" t="n"/>
      <c r="AV157" s="12" t="n"/>
      <c r="AW157" s="12" t="n"/>
      <c r="AX157" s="12" t="n"/>
      <c r="AY157" s="12" t="n"/>
      <c r="AZ157" s="12" t="n"/>
      <c r="BA157" s="12" t="n"/>
      <c r="BB157" s="12" t="n"/>
      <c r="BC157" s="12" t="n"/>
      <c r="BD157" s="12" t="n"/>
      <c r="BE157" s="12" t="n"/>
      <c r="BF157" s="12" t="n"/>
      <c r="BG157" s="12" t="n"/>
      <c r="BH157" s="12" t="n"/>
      <c r="BI157" s="12" t="n"/>
      <c r="BJ157" s="12" t="n"/>
      <c r="BK157" s="12" t="n"/>
      <c r="BL157" s="12" t="n"/>
      <c r="BM157" s="12" t="n"/>
      <c r="BN157" s="12" t="n"/>
      <c r="BO157" s="12" t="n"/>
      <c r="BP157" s="12" t="n"/>
      <c r="BQ157" s="12" t="n"/>
      <c r="BR157" s="12" t="n"/>
      <c r="BS157" s="12" t="n"/>
      <c r="BT157" s="12" t="n"/>
      <c r="BU157" s="12" t="n"/>
      <c r="BV157" s="12" t="n"/>
      <c r="BW157" s="12" t="n"/>
      <c r="BX157" s="12" t="n"/>
      <c r="BY157" s="12" t="n"/>
      <c r="BZ157" s="12" t="n"/>
      <c r="CA157" s="12" t="n"/>
      <c r="CB157" s="12" t="n"/>
      <c r="CC157" s="12" t="n"/>
      <c r="CD157" s="12" t="n"/>
      <c r="CE157" s="12" t="n"/>
      <c r="CF157" s="12" t="n"/>
      <c r="CG157" s="12" t="n"/>
      <c r="CH157" s="12" t="n"/>
      <c r="CI157" s="12" t="n"/>
      <c r="CJ157" s="12" t="n"/>
      <c r="CK157" s="12" t="n"/>
      <c r="CL157" s="12" t="n"/>
      <c r="CM157" s="12" t="n"/>
      <c r="CN157" s="12" t="n"/>
      <c r="CO157" s="12" t="n"/>
      <c r="CP157" s="12" t="n"/>
      <c r="CQ157" s="12" t="n"/>
      <c r="CR157" s="12" t="n"/>
      <c r="CS157" s="12" t="n"/>
      <c r="CT157" s="12" t="n"/>
      <c r="CU157" s="12" t="n"/>
      <c r="CV157" s="12" t="n"/>
      <c r="CW157" s="12" t="n"/>
      <c r="CX157" s="12" t="n"/>
      <c r="CY157" s="12" t="n"/>
    </row>
    <row r="158" hidden="1" outlineLevel="1">
      <c r="C158" s="57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 t="n"/>
      <c r="AK158" s="12" t="n"/>
      <c r="AL158" s="12" t="n"/>
      <c r="AM158" s="12" t="n"/>
      <c r="AN158" s="12" t="n"/>
      <c r="AO158" s="12" t="n"/>
      <c r="AP158" s="12" t="n"/>
      <c r="AQ158" s="12" t="n"/>
      <c r="AR158" s="12" t="n"/>
      <c r="AS158" s="12" t="n"/>
      <c r="AT158" s="12" t="n"/>
      <c r="AU158" s="12" t="n"/>
      <c r="AV158" s="12" t="n"/>
      <c r="AW158" s="12" t="n"/>
      <c r="AX158" s="12" t="n"/>
      <c r="AY158" s="12" t="n"/>
      <c r="AZ158" s="12" t="n"/>
      <c r="BA158" s="12" t="n"/>
      <c r="BB158" s="12" t="n"/>
      <c r="BC158" s="12" t="n"/>
      <c r="BD158" s="12" t="n"/>
      <c r="BE158" s="12" t="n"/>
      <c r="BF158" s="12" t="n"/>
      <c r="BG158" s="12" t="n"/>
      <c r="BH158" s="12" t="n"/>
      <c r="BI158" s="12" t="n"/>
      <c r="BJ158" s="12" t="n"/>
      <c r="BK158" s="12" t="n"/>
      <c r="BL158" s="12" t="n"/>
      <c r="BM158" s="12" t="n"/>
      <c r="BN158" s="12" t="n"/>
      <c r="BO158" s="12" t="n"/>
      <c r="BP158" s="12" t="n"/>
      <c r="BQ158" s="12" t="n"/>
      <c r="BR158" s="12" t="n"/>
      <c r="BS158" s="12" t="n"/>
      <c r="BT158" s="12" t="n"/>
      <c r="BU158" s="12" t="n"/>
      <c r="BV158" s="12" t="n"/>
      <c r="BW158" s="12" t="n"/>
      <c r="BX158" s="12" t="n"/>
      <c r="BY158" s="12" t="n"/>
      <c r="BZ158" s="12" t="n"/>
      <c r="CA158" s="12" t="n"/>
      <c r="CB158" s="12" t="n"/>
      <c r="CC158" s="12" t="n"/>
      <c r="CD158" s="12" t="n"/>
      <c r="CE158" s="12" t="n"/>
      <c r="CF158" s="12" t="n"/>
      <c r="CG158" s="12" t="n"/>
      <c r="CH158" s="12" t="n"/>
      <c r="CI158" s="12" t="n"/>
      <c r="CJ158" s="12" t="n"/>
      <c r="CK158" s="12" t="n"/>
      <c r="CL158" s="12" t="n"/>
      <c r="CM158" s="12" t="n"/>
      <c r="CN158" s="12" t="n"/>
      <c r="CO158" s="12" t="n"/>
      <c r="CP158" s="12" t="n"/>
      <c r="CQ158" s="12" t="n"/>
      <c r="CR158" s="12" t="n"/>
      <c r="CS158" s="12" t="n"/>
      <c r="CT158" s="12" t="n"/>
      <c r="CU158" s="12" t="n"/>
      <c r="CV158" s="12" t="n"/>
      <c r="CW158" s="12" t="n"/>
      <c r="CX158" s="12" t="n"/>
      <c r="CY158" s="12" t="n"/>
    </row>
    <row r="159" collapsed="1">
      <c r="C159" s="14" t="inlineStr">
        <is>
          <t>Deferred income taxes</t>
        </is>
      </c>
      <c r="D159" s="46" t="n"/>
      <c r="E159" s="46" t="n"/>
      <c r="F159" s="46" t="n"/>
      <c r="G159" s="46" t="n"/>
      <c r="H159" s="12" t="n"/>
      <c r="I159" s="46">
        <f>'Inputs (2)'!D18</f>
        <v>241.268</v>
      </c>
      <c r="J159" s="46">
        <f>'Inputs (2)'!E18</f>
        <v>256.819</v>
      </c>
      <c r="K159" s="46">
        <f>'Inputs (2)'!F18</f>
        <v>412.573</v>
      </c>
      <c r="L159" s="46">
        <f>'Inputs (2)'!G18</f>
        <v>407.12</v>
      </c>
      <c r="M159" s="12">
        <f>'Inputs (2)'!H18</f>
        <v>407.12</v>
      </c>
      <c r="N159" s="46">
        <f>'Inputs (2)'!I18</f>
        <v>539.7</v>
      </c>
      <c r="O159" s="46">
        <f>'Inputs (2)'!J18</f>
        <v>736.221</v>
      </c>
      <c r="P159" s="46">
        <f>'Inputs (2)'!K18</f>
        <v>973.754</v>
      </c>
      <c r="Q159" s="46">
        <f>'Inputs (2)'!L18</f>
        <v>1177.823</v>
      </c>
      <c r="R159" s="12">
        <f>'Inputs (2)'!M18</f>
        <v>1177.823</v>
      </c>
      <c r="S159" s="46">
        <f>'Inputs (2)'!N18</f>
        <v>1491.85617508</v>
      </c>
      <c r="T159" s="46">
        <f>'Inputs (2)'!O18</f>
        <v>1461.70291024</v>
      </c>
      <c r="U159" s="46">
        <f>'Inputs (2)'!P18</f>
        <v>1511.048730212</v>
      </c>
      <c r="V159" s="46">
        <f>'Inputs (2)'!Q18</f>
        <v>1591.41292869</v>
      </c>
      <c r="W159" s="12">
        <f>'Inputs (2)'!R18</f>
        <v>1591.41292869</v>
      </c>
      <c r="X159" s="46">
        <f>'Inputs (2)'!S18</f>
        <v>1766.87914727</v>
      </c>
      <c r="Y159" s="46">
        <f>'Inputs (2)'!T18</f>
        <v>1821.17066609</v>
      </c>
      <c r="Z159" s="46">
        <f>'Inputs (2)'!U18</f>
        <v>2015.6869975</v>
      </c>
      <c r="AA159" s="46">
        <f>'Inputs (2)'!V18</f>
        <v>1630.83874262</v>
      </c>
      <c r="AB159" s="12">
        <f>'Inputs (2)'!W18</f>
        <v>1630.83874262</v>
      </c>
      <c r="AC159" s="46">
        <f>'Inputs (2)'!X18</f>
        <v>1592.80656682</v>
      </c>
      <c r="AD159" s="46">
        <f>'Inputs (2)'!Y18</f>
        <v>1880.25687392</v>
      </c>
      <c r="AE159" s="46">
        <f>'Inputs (2)'!Z18</f>
        <v>1983.94357365</v>
      </c>
      <c r="AF159" s="46">
        <f>'Inputs (2)'!AA18</f>
        <v>1466.6363021</v>
      </c>
      <c r="AG159" s="12">
        <f>'Inputs (2)'!AB18</f>
        <v>1466.6363021</v>
      </c>
      <c r="AH159" s="12">
        <f>'Inputs (2)'!AC18</f>
        <v>1625.76654579</v>
      </c>
      <c r="AI159" s="12">
        <f>'Inputs (2)'!AD18</f>
        <v>1782.3087295</v>
      </c>
      <c r="AJ159" s="12">
        <f>AI159</f>
        <v>1782.3087295</v>
      </c>
      <c r="AK159" s="12">
        <f>AJ159</f>
        <v>1782.3087295</v>
      </c>
      <c r="AL159" s="12">
        <f>AK159</f>
        <v>1782.3087295</v>
      </c>
      <c r="AM159" s="12">
        <f>AL159</f>
        <v>1782.3087295</v>
      </c>
      <c r="AN159" s="12">
        <f>AM159</f>
        <v>1782.3087295</v>
      </c>
      <c r="AO159" s="12">
        <f>AN159</f>
        <v>1782.3087295</v>
      </c>
      <c r="AP159" s="12">
        <f>AO159</f>
        <v>1782.3087295</v>
      </c>
      <c r="AQ159" s="12">
        <f>AP159</f>
        <v>1782.3087295</v>
      </c>
      <c r="AR159" s="12">
        <f>AQ159</f>
        <v>1782.3087295</v>
      </c>
      <c r="AS159" s="12">
        <f>AR159</f>
        <v>1782.3087295</v>
      </c>
      <c r="AT159" s="12">
        <f>AS159</f>
        <v>1782.3087295</v>
      </c>
      <c r="AU159" s="12">
        <f>AT159</f>
        <v>1782.3087295</v>
      </c>
      <c r="AV159" s="12">
        <f>AU159</f>
        <v>1782.3087295</v>
      </c>
      <c r="AW159" s="12">
        <f>AV159</f>
        <v>1782.3087295</v>
      </c>
      <c r="AX159" s="12">
        <f>AW159</f>
        <v>1782.3087295</v>
      </c>
      <c r="AY159" s="12">
        <f>AX159</f>
        <v>1782.3087295</v>
      </c>
      <c r="AZ159" s="12">
        <f>AY159</f>
        <v>1782.3087295</v>
      </c>
      <c r="BA159" s="12">
        <f>AZ159</f>
        <v>1782.3087295</v>
      </c>
      <c r="BB159" s="12">
        <f>BA159</f>
        <v>1782.3087295</v>
      </c>
      <c r="BC159" s="12">
        <f>BB159</f>
        <v>1782.3087295</v>
      </c>
      <c r="BD159" s="12">
        <f>BC159</f>
        <v>1782.3087295</v>
      </c>
      <c r="BE159" s="12">
        <f>BD159</f>
        <v>1782.3087295</v>
      </c>
      <c r="BF159" s="12">
        <f>BE159</f>
        <v>1782.3087295</v>
      </c>
      <c r="BG159" s="12" t="n"/>
      <c r="BH159" s="12" t="n"/>
      <c r="BI159" s="12" t="n"/>
      <c r="BJ159" s="12" t="n"/>
      <c r="BK159" s="12" t="n"/>
      <c r="BL159" s="12" t="n"/>
      <c r="BM159" s="12" t="n"/>
      <c r="BN159" s="12" t="n"/>
      <c r="BO159" s="12" t="n"/>
      <c r="BP159" s="12" t="n"/>
      <c r="BQ159" s="12" t="n"/>
      <c r="BR159" s="12" t="n"/>
      <c r="BS159" s="12" t="n"/>
      <c r="BT159" s="12" t="n"/>
      <c r="BU159" s="12" t="n"/>
      <c r="BV159" s="12" t="n"/>
      <c r="BW159" s="12" t="n"/>
      <c r="BX159" s="12" t="n"/>
      <c r="BY159" s="12" t="n"/>
      <c r="BZ159" s="12" t="n"/>
      <c r="CA159" s="12" t="n"/>
      <c r="CB159" s="12" t="n"/>
      <c r="CC159" s="12" t="n"/>
      <c r="CD159" s="12" t="n"/>
      <c r="CE159" s="12" t="n"/>
      <c r="CF159" s="12" t="n"/>
      <c r="CG159" s="12" t="n"/>
      <c r="CH159" s="12" t="n"/>
      <c r="CI159" s="12" t="n"/>
      <c r="CJ159" s="12" t="n"/>
      <c r="CK159" s="12" t="n"/>
      <c r="CL159" s="12" t="n"/>
      <c r="CM159" s="12" t="n"/>
      <c r="CN159" s="12" t="n"/>
      <c r="CO159" s="12" t="n"/>
      <c r="CP159" s="12" t="n"/>
      <c r="CQ159" s="12" t="n"/>
      <c r="CR159" s="12" t="n"/>
      <c r="CS159" s="12" t="n"/>
      <c r="CT159" s="12" t="n"/>
      <c r="CU159" s="12" t="n"/>
      <c r="CV159" s="12" t="n"/>
      <c r="CW159" s="12" t="n"/>
      <c r="CX159" s="12" t="n"/>
      <c r="CY159" s="12" t="n"/>
    </row>
    <row r="160">
      <c r="C160" s="14" t="inlineStr">
        <is>
          <t>Prepaid expenses</t>
        </is>
      </c>
      <c r="D160" s="46" t="n"/>
      <c r="E160" s="46" t="n"/>
      <c r="F160" s="46" t="n"/>
      <c r="G160" s="46" t="n"/>
      <c r="H160" s="12" t="n"/>
      <c r="I160" s="46">
        <f>'Inputs (2)'!D19</f>
        <v>154.826873849</v>
      </c>
      <c r="J160" s="46">
        <f>'Inputs (2)'!E19</f>
        <v>145.481</v>
      </c>
      <c r="K160" s="46">
        <f>'Inputs (2)'!F19</f>
        <v>115.248</v>
      </c>
      <c r="L160" s="46">
        <f>'Inputs (2)'!G19</f>
        <v>67.977</v>
      </c>
      <c r="M160" s="12">
        <f>'Inputs (2)'!H19</f>
        <v>67.977</v>
      </c>
      <c r="N160" s="46">
        <f>'Inputs (2)'!I19</f>
        <v>219.519</v>
      </c>
      <c r="O160" s="46">
        <f>'Inputs (2)'!J19</f>
        <v>189.826</v>
      </c>
      <c r="P160" s="46">
        <f>'Inputs (2)'!K19</f>
        <v>176.358</v>
      </c>
      <c r="Q160" s="46">
        <f>'Inputs (2)'!L19</f>
        <v>98.457</v>
      </c>
      <c r="R160" s="12">
        <f>'Inputs (2)'!M19</f>
        <v>98.457</v>
      </c>
      <c r="S160" s="46">
        <f>'Inputs (2)'!N19</f>
        <v>205.016639258</v>
      </c>
      <c r="T160" s="46">
        <f>'Inputs (2)'!O19</f>
        <v>348.50864311</v>
      </c>
      <c r="U160" s="46">
        <f>'Inputs (2)'!P19</f>
        <v>264.295392198</v>
      </c>
      <c r="V160" s="46">
        <f>'Inputs (2)'!Q19</f>
        <v>127.727105078</v>
      </c>
      <c r="W160" s="12">
        <f>'Inputs (2)'!R19</f>
        <v>127.727105078</v>
      </c>
      <c r="X160" s="46">
        <f>'Inputs (2)'!S19</f>
        <v>393.758507142</v>
      </c>
      <c r="Y160" s="46">
        <f>'Inputs (2)'!T19</f>
        <v>415.559772474</v>
      </c>
      <c r="Z160" s="46">
        <f>'Inputs (2)'!U19</f>
        <v>320.164965196</v>
      </c>
      <c r="AA160" s="46">
        <f>'Inputs (2)'!V19</f>
        <v>165.44256093</v>
      </c>
      <c r="AB160" s="12">
        <f>'Inputs (2)'!W19</f>
        <v>165.44256093</v>
      </c>
      <c r="AC160" s="46">
        <f>'Inputs (2)'!X19</f>
        <v>537.14427348</v>
      </c>
      <c r="AD160" s="46">
        <f>'Inputs (2)'!Y19</f>
        <v>508.51691581</v>
      </c>
      <c r="AE160" s="46">
        <f>'Inputs (2)'!Z19</f>
        <v>346.88826298</v>
      </c>
      <c r="AF160" s="46">
        <f>'Inputs (2)'!AA19</f>
        <v>211.97374409</v>
      </c>
      <c r="AG160" s="12">
        <f>'Inputs (2)'!AB19</f>
        <v>211.97374409</v>
      </c>
      <c r="AH160" s="12">
        <f>'Inputs (2)'!AC19</f>
        <v>581.06857717</v>
      </c>
      <c r="AI160" s="12">
        <f>'Inputs (2)'!AD19</f>
        <v>475.81639252</v>
      </c>
      <c r="AJ160" s="12">
        <f>AI160</f>
        <v>475.81639252</v>
      </c>
      <c r="AK160" s="12">
        <f>AJ160</f>
        <v>475.81639252</v>
      </c>
      <c r="AL160" s="12">
        <f>AK160</f>
        <v>475.81639252</v>
      </c>
      <c r="AM160" s="12">
        <f>AL160</f>
        <v>475.81639252</v>
      </c>
      <c r="AN160" s="12">
        <f>AM160</f>
        <v>475.81639252</v>
      </c>
      <c r="AO160" s="12">
        <f>AN160</f>
        <v>475.81639252</v>
      </c>
      <c r="AP160" s="12">
        <f>AO160</f>
        <v>475.81639252</v>
      </c>
      <c r="AQ160" s="12">
        <f>AP160</f>
        <v>475.81639252</v>
      </c>
      <c r="AR160" s="12">
        <f>AQ160</f>
        <v>475.81639252</v>
      </c>
      <c r="AS160" s="12">
        <f>AR160</f>
        <v>475.81639252</v>
      </c>
      <c r="AT160" s="12">
        <f>AS160</f>
        <v>475.81639252</v>
      </c>
      <c r="AU160" s="12">
        <f>AT160</f>
        <v>475.81639252</v>
      </c>
      <c r="AV160" s="12">
        <f>AU160</f>
        <v>475.81639252</v>
      </c>
      <c r="AW160" s="12">
        <f>AV160</f>
        <v>475.81639252</v>
      </c>
      <c r="AX160" s="12">
        <f>AW160</f>
        <v>475.81639252</v>
      </c>
      <c r="AY160" s="12">
        <f>AX160</f>
        <v>475.81639252</v>
      </c>
      <c r="AZ160" s="12">
        <f>AY160</f>
        <v>475.81639252</v>
      </c>
      <c r="BA160" s="12">
        <f>AZ160</f>
        <v>475.81639252</v>
      </c>
      <c r="BB160" s="12">
        <f>BA160</f>
        <v>475.81639252</v>
      </c>
      <c r="BC160" s="12">
        <f>BB160</f>
        <v>475.81639252</v>
      </c>
      <c r="BD160" s="12">
        <f>BC160</f>
        <v>475.81639252</v>
      </c>
      <c r="BE160" s="12">
        <f>BD160</f>
        <v>475.81639252</v>
      </c>
      <c r="BF160" s="12">
        <f>BE160</f>
        <v>475.81639252</v>
      </c>
      <c r="BG160" s="12" t="n"/>
      <c r="BH160" s="12" t="n"/>
      <c r="BI160" s="12" t="n"/>
      <c r="BJ160" s="12" t="n"/>
      <c r="BK160" s="12" t="n"/>
      <c r="BL160" s="12" t="n"/>
      <c r="BM160" s="12" t="n"/>
      <c r="BN160" s="12" t="n"/>
      <c r="BO160" s="12" t="n"/>
      <c r="BP160" s="12" t="n"/>
      <c r="BQ160" s="12" t="n"/>
      <c r="BR160" s="12" t="n"/>
      <c r="BS160" s="12" t="n"/>
      <c r="BT160" s="12" t="n"/>
      <c r="BU160" s="12" t="n"/>
      <c r="BV160" s="12" t="n"/>
      <c r="BW160" s="12" t="n"/>
      <c r="BX160" s="12" t="n"/>
      <c r="BY160" s="12" t="n"/>
      <c r="BZ160" s="12" t="n"/>
      <c r="CA160" s="12" t="n"/>
      <c r="CB160" s="12" t="n"/>
      <c r="CC160" s="12" t="n"/>
      <c r="CD160" s="12" t="n"/>
      <c r="CE160" s="12" t="n"/>
      <c r="CF160" s="12" t="n"/>
      <c r="CG160" s="12" t="n"/>
      <c r="CH160" s="12" t="n"/>
      <c r="CI160" s="12" t="n"/>
      <c r="CJ160" s="12" t="n"/>
      <c r="CK160" s="12" t="n"/>
      <c r="CL160" s="12" t="n"/>
      <c r="CM160" s="12" t="n"/>
      <c r="CN160" s="12" t="n"/>
      <c r="CO160" s="12" t="n"/>
      <c r="CP160" s="12" t="n"/>
      <c r="CQ160" s="12" t="n"/>
      <c r="CR160" s="12" t="n"/>
      <c r="CS160" s="12" t="n"/>
      <c r="CT160" s="12" t="n"/>
      <c r="CU160" s="12" t="n"/>
      <c r="CV160" s="12" t="n"/>
      <c r="CW160" s="12" t="n"/>
      <c r="CX160" s="12" t="n"/>
      <c r="CY160" s="12" t="n"/>
    </row>
    <row r="161">
      <c r="C161" s="14" t="inlineStr">
        <is>
          <t>Other current assets</t>
        </is>
      </c>
      <c r="D161" s="46" t="n"/>
      <c r="E161" s="46" t="n"/>
      <c r="F161" s="46" t="n"/>
      <c r="G161" s="46" t="n"/>
      <c r="H161" s="12" t="n"/>
      <c r="I161" s="46">
        <f>'Inputs (2)'!D20</f>
        <v>918.624710758</v>
      </c>
      <c r="J161" s="46">
        <f>'Inputs (2)'!E20</f>
        <v>1009.096</v>
      </c>
      <c r="K161" s="46">
        <f>'Inputs (2)'!F20</f>
        <v>1025.098</v>
      </c>
      <c r="L161" s="46">
        <f>'Inputs (2)'!G20</f>
        <v>1054.769</v>
      </c>
      <c r="M161" s="12">
        <f>'Inputs (2)'!H20</f>
        <v>1054.769</v>
      </c>
      <c r="N161" s="46">
        <f>'Inputs (2)'!I20</f>
        <v>1540.565</v>
      </c>
      <c r="O161" s="46">
        <f>'Inputs (2)'!J20</f>
        <v>1868.604</v>
      </c>
      <c r="P161" s="46">
        <f>'Inputs (2)'!K20</f>
        <v>2469.132</v>
      </c>
      <c r="Q161" s="46">
        <f>'Inputs (2)'!L20</f>
        <v>2664.571</v>
      </c>
      <c r="R161" s="12">
        <f>'Inputs (2)'!M20</f>
        <v>2664.571</v>
      </c>
      <c r="S161" s="46">
        <f>'Inputs (2)'!N20</f>
        <v>2494.207977139</v>
      </c>
      <c r="T161" s="46">
        <f>'Inputs (2)'!O20</f>
        <v>2668.471536103</v>
      </c>
      <c r="U161" s="46">
        <f>'Inputs (2)'!P20</f>
        <v>3042.074604962</v>
      </c>
      <c r="V161" s="46">
        <f>'Inputs (2)'!Q20</f>
        <v>3089.349961328</v>
      </c>
      <c r="W161" s="12">
        <f>'Inputs (2)'!R20</f>
        <v>3089.349961328</v>
      </c>
      <c r="X161" s="46">
        <f>'Inputs (2)'!S20</f>
        <v>3511.117218997</v>
      </c>
      <c r="Y161" s="46">
        <f>'Inputs (2)'!T20</f>
        <v>4113.546143894</v>
      </c>
      <c r="Z161" s="46">
        <f>'Inputs (2)'!U20</f>
        <v>4096.882394834</v>
      </c>
      <c r="AA161" s="46">
        <f>'Inputs (2)'!V20</f>
        <v>4697.06448059</v>
      </c>
      <c r="AB161" s="12">
        <f>'Inputs (2)'!W20</f>
        <v>4697.06448059</v>
      </c>
      <c r="AC161" s="46">
        <f>'Inputs (2)'!X20</f>
        <v>4619.39602222</v>
      </c>
      <c r="AD161" s="46">
        <f>'Inputs (2)'!Y20</f>
        <v>5228.24173979</v>
      </c>
      <c r="AE161" s="46">
        <f>'Inputs (2)'!Z20</f>
        <v>4760.64160671</v>
      </c>
      <c r="AF161" s="46">
        <f>'Inputs (2)'!AA20</f>
        <v>3959.69308964</v>
      </c>
      <c r="AG161" s="12">
        <f>'Inputs (2)'!AB20</f>
        <v>3959.69308964</v>
      </c>
      <c r="AH161" s="12">
        <f>'Inputs (2)'!AC20</f>
        <v>4297.0872434</v>
      </c>
      <c r="AI161" s="12">
        <f>'Inputs (2)'!AD20</f>
        <v>5734.88510625</v>
      </c>
      <c r="AJ161" s="12">
        <f>AI161</f>
        <v>5734.88510625</v>
      </c>
      <c r="AK161" s="12">
        <f>AJ161</f>
        <v>5734.88510625</v>
      </c>
      <c r="AL161" s="12">
        <f>AK161</f>
        <v>5734.88510625</v>
      </c>
      <c r="AM161" s="12">
        <f>AL161</f>
        <v>5734.88510625</v>
      </c>
      <c r="AN161" s="12">
        <f>AM161</f>
        <v>5734.88510625</v>
      </c>
      <c r="AO161" s="12">
        <f>AN161</f>
        <v>5734.88510625</v>
      </c>
      <c r="AP161" s="12">
        <f>AO161</f>
        <v>5734.88510625</v>
      </c>
      <c r="AQ161" s="12">
        <f>AP161</f>
        <v>5734.88510625</v>
      </c>
      <c r="AR161" s="12">
        <f>AQ161</f>
        <v>5734.88510625</v>
      </c>
      <c r="AS161" s="12">
        <f>AR161</f>
        <v>5734.88510625</v>
      </c>
      <c r="AT161" s="12">
        <f>AS161</f>
        <v>5734.88510625</v>
      </c>
      <c r="AU161" s="12">
        <f>AT161</f>
        <v>5734.88510625</v>
      </c>
      <c r="AV161" s="12">
        <f>AU161</f>
        <v>5734.88510625</v>
      </c>
      <c r="AW161" s="12">
        <f>AV161</f>
        <v>5734.88510625</v>
      </c>
      <c r="AX161" s="12">
        <f>AW161</f>
        <v>5734.88510625</v>
      </c>
      <c r="AY161" s="12">
        <f>AX161</f>
        <v>5734.88510625</v>
      </c>
      <c r="AZ161" s="12">
        <f>AY161</f>
        <v>5734.88510625</v>
      </c>
      <c r="BA161" s="12">
        <f>AZ161</f>
        <v>5734.88510625</v>
      </c>
      <c r="BB161" s="12">
        <f>BA161</f>
        <v>5734.88510625</v>
      </c>
      <c r="BC161" s="12">
        <f>BB161</f>
        <v>5734.88510625</v>
      </c>
      <c r="BD161" s="12">
        <f>BC161</f>
        <v>5734.88510625</v>
      </c>
      <c r="BE161" s="12">
        <f>BD161</f>
        <v>5734.88510625</v>
      </c>
      <c r="BF161" s="12">
        <f>BE161</f>
        <v>5734.88510625</v>
      </c>
      <c r="BG161" s="12" t="n"/>
      <c r="BH161" s="12" t="n"/>
      <c r="BI161" s="12" t="n"/>
      <c r="BJ161" s="12" t="n"/>
      <c r="BK161" s="12" t="n"/>
      <c r="BL161" s="12" t="n"/>
      <c r="BM161" s="12" t="n"/>
      <c r="BN161" s="12" t="n"/>
      <c r="BO161" s="12" t="n"/>
      <c r="BP161" s="12" t="n"/>
      <c r="BQ161" s="12" t="n"/>
      <c r="BR161" s="12" t="n"/>
      <c r="BS161" s="12" t="n"/>
      <c r="BT161" s="12" t="n"/>
      <c r="BU161" s="12" t="n"/>
      <c r="BV161" s="12" t="n"/>
      <c r="BW161" s="12" t="n"/>
      <c r="BX161" s="12" t="n"/>
      <c r="BY161" s="12" t="n"/>
      <c r="BZ161" s="12" t="n"/>
      <c r="CA161" s="12" t="n"/>
      <c r="CB161" s="12" t="n"/>
      <c r="CC161" s="12" t="n"/>
      <c r="CD161" s="12" t="n"/>
      <c r="CE161" s="12" t="n"/>
      <c r="CF161" s="12" t="n"/>
      <c r="CG161" s="12" t="n"/>
      <c r="CH161" s="12" t="n"/>
      <c r="CI161" s="12" t="n"/>
      <c r="CJ161" s="12" t="n"/>
      <c r="CK161" s="12" t="n"/>
      <c r="CL161" s="12" t="n"/>
      <c r="CM161" s="12" t="n"/>
      <c r="CN161" s="12" t="n"/>
      <c r="CO161" s="12" t="n"/>
      <c r="CP161" s="12" t="n"/>
      <c r="CQ161" s="12" t="n"/>
      <c r="CR161" s="12" t="n"/>
      <c r="CS161" s="12" t="n"/>
      <c r="CT161" s="12" t="n"/>
      <c r="CU161" s="12" t="n"/>
      <c r="CV161" s="12" t="n"/>
      <c r="CW161" s="12" t="n"/>
      <c r="CX161" s="12" t="n"/>
      <c r="CY161" s="12" t="n"/>
    </row>
    <row r="162" hidden="1" outlineLevel="1">
      <c r="C162" s="59" t="inlineStr">
        <is>
          <t>%(Var.)</t>
        </is>
      </c>
      <c r="D162" s="12" t="n"/>
      <c r="E162" s="40" t="n"/>
      <c r="F162" s="40" t="n"/>
      <c r="G162" s="40" t="n"/>
      <c r="H162" s="12" t="n"/>
      <c r="I162" s="40" t="str">
        <f>""</f>
        <v/>
      </c>
      <c r="J162" s="40">
        <f>IFERROR(IF(I161=0,"",J161/I161-1),"")</f>
        <v>0.098485581960176</v>
      </c>
      <c r="K162" s="40">
        <f>IFERROR(IF(J161=0,"",K161/J161-1),"")</f>
        <v>0.0158577578347352</v>
      </c>
      <c r="L162" s="40">
        <f>IFERROR(IF(K161=0,"",L161/K161-1),"")</f>
        <v>0.0289445496918344</v>
      </c>
      <c r="M162" s="12">
        <f>IFERROR(IF(L161=0,"",M161/L161-1),"")</f>
        <v>0</v>
      </c>
      <c r="N162" s="40">
        <f>IFERROR(IF(M161=0,"",N161/M161-1),"")</f>
        <v>0.460570987581167</v>
      </c>
      <c r="O162" s="40">
        <f>IFERROR(IF(N161=0,"",O161/N161-1),"")</f>
        <v>0.212934215693593</v>
      </c>
      <c r="P162" s="40">
        <f>IFERROR(IF(O161=0,"",P161/O161-1),"")</f>
        <v>0.321377884238715</v>
      </c>
      <c r="Q162" s="40">
        <f>IFERROR(IF(P161=0,"",Q161/P161-1),"")</f>
        <v>0.0791529168954919</v>
      </c>
      <c r="R162" s="12">
        <f>IFERROR(IF(Q161=0,"",R161/Q161-1),"")</f>
        <v>0</v>
      </c>
      <c r="S162" s="40">
        <f>IFERROR(IF(R161=0,"",S161/R161-1),"")</f>
        <v>-0.0639363795751736</v>
      </c>
      <c r="T162" s="40">
        <f>IFERROR(IF(S161=0,"",T161/S161-1),"")</f>
        <v>0.0698672927683803</v>
      </c>
      <c r="U162" s="40">
        <f>IFERROR(IF(T161=0,"",U161/T161-1),"")</f>
        <v>0.140006390851223</v>
      </c>
      <c r="V162" s="40">
        <f>IFERROR(IF(U161=0,"",V161/U161-1),"")</f>
        <v>0.0155404986744534</v>
      </c>
      <c r="W162" s="12">
        <f>IFERROR(IF(V161=0,"",W161/V161-1),"")</f>
        <v>0</v>
      </c>
      <c r="X162" s="40">
        <f>IFERROR(IF(W161=0,"",X161/W161-1),"")</f>
        <v>0.136522978279773</v>
      </c>
      <c r="Y162" s="40">
        <f>IFERROR(IF(X161=0,"",Y161/X161-1),"")</f>
        <v>0.171577559882519</v>
      </c>
      <c r="Z162" s="40">
        <f>IFERROR(IF(Y161=0,"",Z161/Y161-1),"")</f>
        <v>-0.00405094496988556</v>
      </c>
      <c r="AA162" s="40">
        <f>IFERROR(IF(Z161=0,"",AA161/Z161-1),"")</f>
        <v>0.146497269853976</v>
      </c>
      <c r="AB162" s="12">
        <f>IFERROR(IF(AA161=0,"",AB161/AA161-1),"")</f>
        <v>0</v>
      </c>
      <c r="AC162" s="40">
        <f>IFERROR(IF(AB161=0,"",AC161/AB161-1),"")</f>
        <v>-0.0165355316476824</v>
      </c>
      <c r="AD162" s="40">
        <f>IFERROR(IF(AC161=0,"",AD161/AC161-1),"")</f>
        <v>0.131802017978402</v>
      </c>
      <c r="AE162" s="40">
        <f>IFERROR(IF(AD161=0,"",AE161/AD161-1),"")</f>
        <v>-0.0894373589348954</v>
      </c>
      <c r="AF162" s="55">
        <f>IFERROR(IF(AE161=0,"",AF161/AE161-1),"")</f>
        <v>-0.1682438173756</v>
      </c>
      <c r="AG162" s="12">
        <f>IFERROR(IF(AF161=0,"",AG161/AF161-1),"")</f>
        <v>0</v>
      </c>
      <c r="AH162" s="12">
        <f>IFERROR(IF(AG161=0,"",AH161/AG161-1),"")</f>
        <v>0.0852071476556469</v>
      </c>
      <c r="AI162" s="12">
        <f>IFERROR(IF(AH161=0,"",AI161/AH161-1),"")</f>
        <v>0.334598247931398</v>
      </c>
      <c r="AJ162" s="12">
        <f>IFERROR(IF(AI161=0,"",AJ161/AI161-1),"")</f>
        <v>0</v>
      </c>
      <c r="AK162" s="12">
        <f>IFERROR(IF(AJ161=0,"",AK161/AJ161-1),"")</f>
        <v>0</v>
      </c>
      <c r="AL162" s="12">
        <f>IFERROR(IF(AK161=0,"",AL161/AK161-1),"")</f>
        <v>0</v>
      </c>
      <c r="AM162" s="12">
        <f>IFERROR(IF(AL161=0,"",AM161/AL161-1),"")</f>
        <v>0</v>
      </c>
      <c r="AN162" s="12">
        <f>IFERROR(IF(AM161=0,"",AN161/AM161-1),"")</f>
        <v>0</v>
      </c>
      <c r="AO162" s="12">
        <f>IFERROR(IF(AN161=0,"",AO161/AN161-1),"")</f>
        <v>0</v>
      </c>
      <c r="AP162" s="12">
        <f>IFERROR(IF(AO161=0,"",AP161/AO161-1),"")</f>
        <v>0</v>
      </c>
      <c r="AQ162" s="12">
        <f>IFERROR(IF(AP161=0,"",AQ161/AP161-1),"")</f>
        <v>0</v>
      </c>
      <c r="AR162" s="12">
        <f>IFERROR(IF(AQ161=0,"",AR161/AQ161-1),"")</f>
        <v>0</v>
      </c>
      <c r="AS162" s="12">
        <f>IFERROR(IF(AR161=0,"",AS161/AR161-1),"")</f>
        <v>0</v>
      </c>
      <c r="AT162" s="12">
        <f>IFERROR(IF(AS161=0,"",AT161/AS161-1),"")</f>
        <v>0</v>
      </c>
      <c r="AU162" s="12">
        <f>IFERROR(IF(AT161=0,"",AU161/AT161-1),"")</f>
        <v>0</v>
      </c>
      <c r="AV162" s="12">
        <f>IFERROR(IF(AU161=0,"",AV161/AU161-1),"")</f>
        <v>0</v>
      </c>
      <c r="AW162" s="12">
        <f>IFERROR(IF(AV161=0,"",AW161/AV161-1),"")</f>
        <v>0</v>
      </c>
      <c r="AX162" s="12">
        <f>IFERROR(IF(AW161=0,"",AX161/AW161-1),"")</f>
        <v>0</v>
      </c>
      <c r="AY162" s="12">
        <f>IFERROR(IF(AX161=0,"",AY161/AX161-1),"")</f>
        <v>0</v>
      </c>
      <c r="AZ162" s="12">
        <f>IFERROR(IF(AY161=0,"",AZ161/AY161-1),"")</f>
        <v>0</v>
      </c>
      <c r="BA162" s="12">
        <f>IFERROR(IF(AZ161=0,"",BA161/AZ161-1),"")</f>
        <v>0</v>
      </c>
      <c r="BB162" s="12">
        <f>IFERROR(IF(BA161=0,"",BB161/BA161-1),"")</f>
        <v>0</v>
      </c>
      <c r="BC162" s="12">
        <f>IFERROR(IF(BB161=0,"",BC161/BB161-1),"")</f>
        <v>0</v>
      </c>
      <c r="BD162" s="12">
        <f>IFERROR(IF(BC161=0,"",BD161/BC161-1),"")</f>
        <v>0</v>
      </c>
      <c r="BE162" s="12">
        <f>IFERROR(IF(BD161=0,"",BE161/BD161-1),"")</f>
        <v>0</v>
      </c>
      <c r="BF162" s="12">
        <f>IFERROR(IF(BE161=0,"",BF161/BE161-1),"")</f>
        <v>0</v>
      </c>
      <c r="BG162" s="12" t="n"/>
      <c r="BH162" s="12" t="n"/>
      <c r="BI162" s="12" t="n"/>
      <c r="BJ162" s="12" t="n"/>
      <c r="BK162" s="12" t="n"/>
      <c r="BL162" s="12" t="n"/>
      <c r="BM162" s="12" t="n"/>
      <c r="BN162" s="12" t="n"/>
      <c r="BO162" s="12" t="n"/>
      <c r="BP162" s="12" t="n"/>
      <c r="BQ162" s="12" t="n"/>
      <c r="BR162" s="12" t="n"/>
      <c r="BS162" s="12" t="n"/>
      <c r="BT162" s="12" t="n"/>
      <c r="BU162" s="12" t="n"/>
      <c r="BV162" s="12" t="n"/>
      <c r="BW162" s="12" t="n"/>
      <c r="BX162" s="12" t="n"/>
      <c r="BY162" s="12" t="n"/>
      <c r="BZ162" s="12" t="n"/>
      <c r="CA162" s="12" t="n"/>
      <c r="CB162" s="12" t="n"/>
      <c r="CC162" s="12" t="n"/>
      <c r="CD162" s="12" t="n"/>
      <c r="CE162" s="12" t="n"/>
      <c r="CF162" s="12" t="n"/>
      <c r="CG162" s="12" t="n"/>
      <c r="CH162" s="12" t="n"/>
      <c r="CI162" s="12" t="n"/>
      <c r="CJ162" s="12" t="n"/>
      <c r="CK162" s="12" t="n"/>
      <c r="CL162" s="12" t="n"/>
      <c r="CM162" s="12" t="n"/>
      <c r="CN162" s="12" t="n"/>
      <c r="CO162" s="12" t="n"/>
      <c r="CP162" s="12" t="n"/>
      <c r="CQ162" s="12" t="n"/>
      <c r="CR162" s="12" t="n"/>
      <c r="CS162" s="12" t="n"/>
      <c r="CT162" s="12" t="n"/>
      <c r="CU162" s="12" t="n"/>
      <c r="CV162" s="12" t="n"/>
      <c r="CW162" s="12" t="n"/>
      <c r="CX162" s="12" t="n"/>
      <c r="CY162" s="12" t="n"/>
    </row>
    <row r="163" hidden="1" outlineLevel="1">
      <c r="C163" s="57" t="n"/>
      <c r="D163" s="12" t="n"/>
      <c r="E163" s="40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  <c r="AJ163" s="12" t="n"/>
      <c r="AK163" s="12" t="n"/>
      <c r="AL163" s="12" t="n"/>
      <c r="AM163" s="12" t="n"/>
      <c r="AN163" s="12" t="n"/>
      <c r="AO163" s="12" t="n"/>
      <c r="AP163" s="12" t="n"/>
      <c r="AQ163" s="12" t="n"/>
      <c r="AR163" s="12" t="n"/>
      <c r="AS163" s="12" t="n"/>
      <c r="AT163" s="12" t="n"/>
      <c r="AU163" s="12" t="n"/>
      <c r="AV163" s="12" t="n"/>
      <c r="AW163" s="12" t="n"/>
      <c r="AX163" s="12" t="n"/>
      <c r="AY163" s="12" t="n"/>
      <c r="AZ163" s="12" t="n"/>
      <c r="BA163" s="12" t="n"/>
      <c r="BB163" s="12" t="n"/>
      <c r="BC163" s="12" t="n"/>
      <c r="BD163" s="12" t="n"/>
      <c r="BE163" s="12" t="n"/>
      <c r="BF163" s="12" t="n"/>
      <c r="BG163" s="12" t="n"/>
      <c r="BH163" s="12" t="n"/>
      <c r="BI163" s="12" t="n"/>
      <c r="BJ163" s="12" t="n"/>
      <c r="BK163" s="12" t="n"/>
      <c r="BL163" s="12" t="n"/>
      <c r="BM163" s="12" t="n"/>
      <c r="BN163" s="12" t="n"/>
      <c r="BO163" s="12" t="n"/>
      <c r="BP163" s="12" t="n"/>
      <c r="BQ163" s="12" t="n"/>
      <c r="BR163" s="12" t="n"/>
      <c r="BS163" s="12" t="n"/>
      <c r="BT163" s="12" t="n"/>
      <c r="BU163" s="12" t="n"/>
      <c r="BV163" s="12" t="n"/>
      <c r="BW163" s="12" t="n"/>
      <c r="BX163" s="12" t="n"/>
      <c r="BY163" s="12" t="n"/>
      <c r="BZ163" s="12" t="n"/>
      <c r="CA163" s="12" t="n"/>
      <c r="CB163" s="12" t="n"/>
      <c r="CC163" s="12" t="n"/>
      <c r="CD163" s="12" t="n"/>
      <c r="CE163" s="12" t="n"/>
      <c r="CF163" s="12" t="n"/>
      <c r="CG163" s="12" t="n"/>
      <c r="CH163" s="12" t="n"/>
      <c r="CI163" s="12" t="n"/>
      <c r="CJ163" s="12" t="n"/>
      <c r="CK163" s="12" t="n"/>
      <c r="CL163" s="12" t="n"/>
      <c r="CM163" s="12" t="n"/>
      <c r="CN163" s="12" t="n"/>
      <c r="CO163" s="12" t="n"/>
      <c r="CP163" s="12" t="n"/>
      <c r="CQ163" s="12" t="n"/>
      <c r="CR163" s="12" t="n"/>
      <c r="CS163" s="12" t="n"/>
      <c r="CT163" s="12" t="n"/>
      <c r="CU163" s="12" t="n"/>
      <c r="CV163" s="12" t="n"/>
      <c r="CW163" s="12" t="n"/>
      <c r="CX163" s="12" t="n"/>
      <c r="CY163" s="12" t="n"/>
    </row>
    <row r="164" hidden="1" outlineLevel="1">
      <c r="C164" s="60" t="inlineStr">
        <is>
          <t xml:space="preserve">Impostos e Contribuições a Recuperar </t>
        </is>
      </c>
      <c r="D164" s="11" t="n"/>
      <c r="E164" s="11" t="n"/>
      <c r="F164" s="11" t="n"/>
      <c r="G164" s="11" t="n"/>
      <c r="H164" s="12" t="n"/>
      <c r="I164" s="11" t="n"/>
      <c r="J164" s="11" t="n"/>
      <c r="K164" s="11" t="n"/>
      <c r="L164" s="11" t="n"/>
      <c r="M164" s="12" t="n"/>
      <c r="N164" s="11" t="n"/>
      <c r="O164" s="11" t="n"/>
      <c r="P164" s="11" t="n"/>
      <c r="Q164" s="11" t="n"/>
      <c r="R164" s="12" t="n"/>
      <c r="S164" s="11" t="n"/>
      <c r="T164" s="11" t="n"/>
      <c r="U164" s="11" t="n"/>
      <c r="V164" s="11" t="n"/>
      <c r="W164" s="12" t="n"/>
      <c r="X164" s="11" t="n"/>
      <c r="Y164" s="11" t="n"/>
      <c r="Z164" s="11" t="n"/>
      <c r="AA164" s="11" t="n"/>
      <c r="AB164" s="12" t="n"/>
      <c r="AC164" s="11" t="n"/>
      <c r="AD164" s="11" t="n"/>
      <c r="AE164" s="11" t="n"/>
      <c r="AF164" s="11" t="n"/>
      <c r="AG164" s="12">
        <f>AF164</f>
        <v>0</v>
      </c>
      <c r="AH164" s="61">
        <f>IFERROR(AG164*AH15/AG15,"")</f>
        <v>0</v>
      </c>
      <c r="AI164" s="61">
        <f>IFERROR(AH164*AI15/AH15,"")</f>
        <v>0</v>
      </c>
      <c r="AJ164" s="61">
        <f>IFERROR(AI164*AJ15/AI15,"")</f>
        <v>0</v>
      </c>
      <c r="AK164" s="61">
        <f>IFERROR(AJ164*AK15/AJ15,"")</f>
        <v>0</v>
      </c>
      <c r="AL164" s="12">
        <f>IFERROR(AK164,"")</f>
        <v>0</v>
      </c>
      <c r="AM164" s="12" t="n"/>
      <c r="AN164" s="12" t="n"/>
      <c r="AO164" s="12" t="n"/>
      <c r="AP164" s="12" t="n"/>
      <c r="AQ164" s="12" t="n"/>
      <c r="AR164" s="12" t="n"/>
      <c r="AS164" s="12" t="n"/>
      <c r="AT164" s="12" t="n"/>
      <c r="AU164" s="12" t="n"/>
      <c r="AV164" s="12" t="n"/>
      <c r="AW164" s="12" t="n"/>
      <c r="AX164" s="12" t="n"/>
      <c r="AY164" s="12" t="n"/>
      <c r="AZ164" s="12" t="n"/>
      <c r="BA164" s="12" t="n"/>
      <c r="BB164" s="12" t="n"/>
      <c r="BC164" s="12" t="n"/>
      <c r="BD164" s="12" t="n"/>
      <c r="BE164" s="12" t="n"/>
      <c r="BF164" s="12" t="n"/>
      <c r="BG164" s="12" t="n"/>
      <c r="BH164" s="12" t="n"/>
      <c r="BI164" s="12" t="n"/>
      <c r="BJ164" s="12" t="n"/>
      <c r="BK164" s="12" t="n"/>
      <c r="BL164" s="12" t="n"/>
      <c r="BM164" s="12" t="n"/>
      <c r="BN164" s="12" t="n"/>
      <c r="BO164" s="12" t="n"/>
      <c r="BP164" s="12" t="n"/>
      <c r="BQ164" s="12" t="n"/>
      <c r="BR164" s="12" t="n"/>
      <c r="BS164" s="12" t="n"/>
      <c r="BT164" s="12" t="n"/>
      <c r="BU164" s="12" t="n"/>
      <c r="BV164" s="12" t="n"/>
      <c r="BW164" s="12" t="n"/>
      <c r="BX164" s="12" t="n"/>
      <c r="BY164" s="12" t="n"/>
      <c r="BZ164" s="12" t="n"/>
      <c r="CA164" s="12" t="n"/>
      <c r="CB164" s="12" t="n"/>
      <c r="CC164" s="12" t="n"/>
      <c r="CD164" s="12" t="n"/>
      <c r="CE164" s="12" t="n"/>
      <c r="CF164" s="12" t="n"/>
      <c r="CG164" s="12" t="n"/>
      <c r="CH164" s="12" t="n"/>
      <c r="CI164" s="12" t="n"/>
      <c r="CJ164" s="12" t="n"/>
      <c r="CK164" s="12" t="n"/>
      <c r="CL164" s="12" t="n"/>
      <c r="CM164" s="12" t="n"/>
      <c r="CN164" s="12" t="n"/>
      <c r="CO164" s="12" t="n"/>
      <c r="CP164" s="12" t="n"/>
      <c r="CQ164" s="12" t="n"/>
      <c r="CR164" s="12" t="n"/>
      <c r="CS164" s="12" t="n"/>
      <c r="CT164" s="12" t="n"/>
      <c r="CU164" s="12" t="n"/>
      <c r="CV164" s="12" t="n"/>
      <c r="CW164" s="12" t="n"/>
      <c r="CX164" s="12" t="n"/>
      <c r="CY164" s="12" t="n"/>
    </row>
    <row r="165" hidden="1" outlineLevel="1">
      <c r="C165" s="60" t="inlineStr">
        <is>
          <t>Outros Créditos</t>
        </is>
      </c>
      <c r="D165" s="11" t="n"/>
      <c r="E165" s="11" t="n"/>
      <c r="F165" s="11" t="n"/>
      <c r="G165" s="11" t="n"/>
      <c r="H165" s="12" t="n"/>
      <c r="I165" s="11" t="n"/>
      <c r="J165" s="11" t="n"/>
      <c r="K165" s="11" t="n"/>
      <c r="L165" s="11" t="n"/>
      <c r="M165" s="12" t="n"/>
      <c r="N165" s="11" t="n"/>
      <c r="O165" s="11" t="n"/>
      <c r="P165" s="11" t="n"/>
      <c r="Q165" s="11" t="n"/>
      <c r="R165" s="12" t="n"/>
      <c r="S165" s="11" t="n"/>
      <c r="T165" s="11" t="n"/>
      <c r="U165" s="11" t="n"/>
      <c r="V165" s="11" t="n"/>
      <c r="W165" s="12" t="n"/>
      <c r="X165" s="11" t="n"/>
      <c r="Y165" s="11" t="n"/>
      <c r="Z165" s="11" t="n"/>
      <c r="AA165" s="11" t="n"/>
      <c r="AB165" s="12" t="n"/>
      <c r="AC165" s="11" t="n"/>
      <c r="AD165" s="11" t="n"/>
      <c r="AE165" s="11" t="n"/>
      <c r="AF165" s="11" t="n"/>
      <c r="AG165" s="12">
        <f>AF165</f>
        <v>0</v>
      </c>
      <c r="AH165" s="12">
        <f>AG165</f>
        <v>0</v>
      </c>
      <c r="AI165" s="12">
        <f>AH165</f>
        <v>0</v>
      </c>
      <c r="AJ165" s="12">
        <f>AI165</f>
        <v>0</v>
      </c>
      <c r="AK165" s="12">
        <f>AJ165</f>
        <v>0</v>
      </c>
      <c r="AL165" s="12">
        <f>AK165</f>
        <v>0</v>
      </c>
      <c r="AM165" s="12" t="n"/>
      <c r="AN165" s="12" t="n"/>
      <c r="AO165" s="12" t="n"/>
      <c r="AP165" s="12" t="n"/>
      <c r="AQ165" s="12" t="n"/>
      <c r="AR165" s="12" t="n"/>
      <c r="AS165" s="12" t="n"/>
      <c r="AT165" s="12" t="n"/>
      <c r="AU165" s="12" t="n"/>
      <c r="AV165" s="12" t="n"/>
      <c r="AW165" s="12" t="n"/>
      <c r="AX165" s="12" t="n"/>
      <c r="AY165" s="12" t="n"/>
      <c r="AZ165" s="12" t="n"/>
      <c r="BA165" s="12" t="n"/>
      <c r="BB165" s="12" t="n"/>
      <c r="BC165" s="12" t="n"/>
      <c r="BD165" s="12" t="n"/>
      <c r="BE165" s="12" t="n"/>
      <c r="BF165" s="12" t="n"/>
      <c r="BG165" s="12" t="n"/>
      <c r="BH165" s="12" t="n"/>
      <c r="BI165" s="12" t="n"/>
      <c r="BJ165" s="12" t="n"/>
      <c r="BK165" s="12" t="n"/>
      <c r="BL165" s="12" t="n"/>
      <c r="BM165" s="12" t="n"/>
      <c r="BN165" s="12" t="n"/>
      <c r="BO165" s="12" t="n"/>
      <c r="BP165" s="12" t="n"/>
      <c r="BQ165" s="12" t="n"/>
      <c r="BR165" s="12" t="n"/>
      <c r="BS165" s="12" t="n"/>
      <c r="BT165" s="12" t="n"/>
      <c r="BU165" s="12" t="n"/>
      <c r="BV165" s="12" t="n"/>
      <c r="BW165" s="12" t="n"/>
      <c r="BX165" s="12" t="n"/>
      <c r="BY165" s="12" t="n"/>
      <c r="BZ165" s="12" t="n"/>
      <c r="CA165" s="12" t="n"/>
      <c r="CB165" s="12" t="n"/>
      <c r="CC165" s="12" t="n"/>
      <c r="CD165" s="12" t="n"/>
      <c r="CE165" s="12" t="n"/>
      <c r="CF165" s="12" t="n"/>
      <c r="CG165" s="12" t="n"/>
      <c r="CH165" s="12" t="n"/>
      <c r="CI165" s="12" t="n"/>
      <c r="CJ165" s="12" t="n"/>
      <c r="CK165" s="12" t="n"/>
      <c r="CL165" s="12" t="n"/>
      <c r="CM165" s="12" t="n"/>
      <c r="CN165" s="12" t="n"/>
      <c r="CO165" s="12" t="n"/>
      <c r="CP165" s="12" t="n"/>
      <c r="CQ165" s="12" t="n"/>
      <c r="CR165" s="12" t="n"/>
      <c r="CS165" s="12" t="n"/>
      <c r="CT165" s="12" t="n"/>
      <c r="CU165" s="12" t="n"/>
      <c r="CV165" s="12" t="n"/>
      <c r="CW165" s="12" t="n"/>
      <c r="CX165" s="12" t="n"/>
      <c r="CY165" s="12" t="n"/>
    </row>
    <row r="166" hidden="1" outlineLevel="1">
      <c r="C166" s="57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  <c r="AL166" s="12" t="n"/>
      <c r="AM166" s="12" t="n"/>
      <c r="AN166" s="12" t="n"/>
      <c r="AO166" s="12" t="n"/>
      <c r="AP166" s="12" t="n"/>
      <c r="AQ166" s="12" t="n"/>
      <c r="AR166" s="12" t="n"/>
      <c r="AS166" s="12" t="n"/>
      <c r="AT166" s="12" t="n"/>
      <c r="AU166" s="12" t="n"/>
      <c r="AV166" s="12" t="n"/>
      <c r="AW166" s="12" t="n"/>
      <c r="AX166" s="12" t="n"/>
      <c r="AY166" s="12" t="n"/>
      <c r="AZ166" s="12" t="n"/>
      <c r="BA166" s="12" t="n"/>
      <c r="BB166" s="12" t="n"/>
      <c r="BC166" s="12" t="n"/>
      <c r="BD166" s="12" t="n"/>
      <c r="BE166" s="12" t="n"/>
      <c r="BF166" s="12" t="n"/>
      <c r="BG166" s="12" t="n"/>
      <c r="BH166" s="12" t="n"/>
      <c r="BI166" s="12" t="n"/>
      <c r="BJ166" s="12" t="n"/>
      <c r="BK166" s="12" t="n"/>
      <c r="BL166" s="12" t="n"/>
      <c r="BM166" s="12" t="n"/>
      <c r="BN166" s="12" t="n"/>
      <c r="BO166" s="12" t="n"/>
      <c r="BP166" s="12" t="n"/>
      <c r="BQ166" s="12" t="n"/>
      <c r="BR166" s="12" t="n"/>
      <c r="BS166" s="12" t="n"/>
      <c r="BT166" s="12" t="n"/>
      <c r="BU166" s="12" t="n"/>
      <c r="BV166" s="12" t="n"/>
      <c r="BW166" s="12" t="n"/>
      <c r="BX166" s="12" t="n"/>
      <c r="BY166" s="12" t="n"/>
      <c r="BZ166" s="12" t="n"/>
      <c r="CA166" s="12" t="n"/>
      <c r="CB166" s="12" t="n"/>
      <c r="CC166" s="12" t="n"/>
      <c r="CD166" s="12" t="n"/>
      <c r="CE166" s="12" t="n"/>
      <c r="CF166" s="12" t="n"/>
      <c r="CG166" s="12" t="n"/>
      <c r="CH166" s="12" t="n"/>
      <c r="CI166" s="12" t="n"/>
      <c r="CJ166" s="12" t="n"/>
      <c r="CK166" s="12" t="n"/>
      <c r="CL166" s="12" t="n"/>
      <c r="CM166" s="12" t="n"/>
      <c r="CN166" s="12" t="n"/>
      <c r="CO166" s="12" t="n"/>
      <c r="CP166" s="12" t="n"/>
      <c r="CQ166" s="12" t="n"/>
      <c r="CR166" s="12" t="n"/>
      <c r="CS166" s="12" t="n"/>
      <c r="CT166" s="12" t="n"/>
      <c r="CU166" s="12" t="n"/>
      <c r="CV166" s="12" t="n"/>
      <c r="CW166" s="12" t="n"/>
      <c r="CX166" s="12" t="n"/>
      <c r="CY166" s="12" t="n"/>
    </row>
    <row r="167" collapsed="1">
      <c r="C167" s="14" t="inlineStr">
        <is>
          <t>Equity in affiliates</t>
        </is>
      </c>
      <c r="D167" s="46" t="n"/>
      <c r="E167" s="46" t="n"/>
      <c r="F167" s="46" t="n"/>
      <c r="G167" s="46" t="n"/>
      <c r="H167" s="12" t="n"/>
      <c r="I167" s="46">
        <f>'Inputs (2)'!D21</f>
        <v>19.015</v>
      </c>
      <c r="J167" s="46">
        <f>'Inputs (2)'!E21</f>
        <v>22.141</v>
      </c>
      <c r="K167" s="46">
        <f>'Inputs (2)'!F21</f>
        <v>24.978</v>
      </c>
      <c r="L167" s="46">
        <f>'Inputs (2)'!G21</f>
        <v>30.248</v>
      </c>
      <c r="M167" s="12">
        <f>'Inputs (2)'!H21</f>
        <v>30.248</v>
      </c>
      <c r="N167" s="46">
        <f>'Inputs (2)'!I21</f>
        <v>29.559</v>
      </c>
      <c r="O167" s="46">
        <f>'Inputs (2)'!J21</f>
        <v>28.004</v>
      </c>
      <c r="P167" s="46">
        <f>'Inputs (2)'!K21</f>
        <v>32.577</v>
      </c>
      <c r="Q167" s="46">
        <f>'Inputs (2)'!L21</f>
        <v>34.024</v>
      </c>
      <c r="R167" s="12">
        <f>'Inputs (2)'!M21</f>
        <v>34.024</v>
      </c>
      <c r="S167" s="46">
        <f>'Inputs (2)'!N21</f>
        <v>33.994894681</v>
      </c>
      <c r="T167" s="46">
        <f>'Inputs (2)'!O21</f>
        <v>35.106088705</v>
      </c>
      <c r="U167" s="46">
        <f>'Inputs (2)'!P21</f>
        <v>35.365489275</v>
      </c>
      <c r="V167" s="46">
        <f>'Inputs (2)'!Q21</f>
        <v>38.222815605</v>
      </c>
      <c r="W167" s="12">
        <f>'Inputs (2)'!R21</f>
        <v>38.222815605</v>
      </c>
      <c r="X167" s="46">
        <f>'Inputs (2)'!S21</f>
        <v>36.64508406</v>
      </c>
      <c r="Y167" s="46">
        <f>'Inputs (2)'!T21</f>
        <v>35.592206354</v>
      </c>
      <c r="Z167" s="46">
        <f>'Inputs (2)'!U21</f>
        <v>38.821177602</v>
      </c>
      <c r="AA167" s="46">
        <f>'Inputs (2)'!V21</f>
        <v>42.47528321</v>
      </c>
      <c r="AB167" s="12">
        <f>'Inputs (2)'!W21</f>
        <v>42.47528321</v>
      </c>
      <c r="AC167" s="46">
        <f>'Inputs (2)'!X21</f>
        <v>41.88172165</v>
      </c>
      <c r="AD167" s="46">
        <f>'Inputs (2)'!Y21</f>
        <v>42.0867079</v>
      </c>
      <c r="AE167" s="46">
        <f>'Inputs (2)'!Z21</f>
        <v>38.03558317</v>
      </c>
      <c r="AF167" s="46">
        <f>'Inputs (2)'!AA21</f>
        <v>43.4183894</v>
      </c>
      <c r="AG167" s="12">
        <f>'Inputs (2)'!AB21</f>
        <v>43.4183894</v>
      </c>
      <c r="AH167" s="12">
        <f>'Inputs (2)'!AC21</f>
        <v>46.94638454</v>
      </c>
      <c r="AI167" s="12">
        <f>'Inputs (2)'!AD21</f>
        <v>47.170816</v>
      </c>
      <c r="AJ167" s="12">
        <f>AI167+AJ141</f>
        <v>47.170816</v>
      </c>
      <c r="AK167" s="12">
        <f>AJ167+AK141</f>
        <v>47.170816</v>
      </c>
      <c r="AL167" s="12">
        <f>AK167</f>
        <v>47.170816</v>
      </c>
      <c r="AM167" s="12">
        <f>AL167+AM141</f>
        <v>47.170816</v>
      </c>
      <c r="AN167" s="12">
        <f>AM167+AN141</f>
        <v>47.170816</v>
      </c>
      <c r="AO167" s="12">
        <f>AN167+AO141</f>
        <v>47.170816</v>
      </c>
      <c r="AP167" s="12">
        <f>AO167+AP141</f>
        <v>47.170816</v>
      </c>
      <c r="AQ167" s="12">
        <f>AP167</f>
        <v>47.170816</v>
      </c>
      <c r="AR167" s="12">
        <f>AQ167+AR141</f>
        <v>47.170816</v>
      </c>
      <c r="AS167" s="12">
        <f>AR167+AS141</f>
        <v>47.170816</v>
      </c>
      <c r="AT167" s="12">
        <f>AS167+AT141</f>
        <v>47.170816</v>
      </c>
      <c r="AU167" s="12">
        <f>AT167+AU141</f>
        <v>47.170816</v>
      </c>
      <c r="AV167" s="12">
        <f>AU167</f>
        <v>47.170816</v>
      </c>
      <c r="AW167" s="12">
        <f>AV167+AW141</f>
        <v>47.170816</v>
      </c>
      <c r="AX167" s="12">
        <f>AW167+AX141</f>
        <v>47.170816</v>
      </c>
      <c r="AY167" s="12">
        <f>AX167+AY141</f>
        <v>47.170816</v>
      </c>
      <c r="AZ167" s="12">
        <f>AY167+AZ141</f>
        <v>47.170816</v>
      </c>
      <c r="BA167" s="12">
        <f>AZ167</f>
        <v>47.170816</v>
      </c>
      <c r="BB167" s="12">
        <f>BA167+BB141</f>
        <v>47.170816</v>
      </c>
      <c r="BC167" s="12">
        <f>BB167+BC141</f>
        <v>47.170816</v>
      </c>
      <c r="BD167" s="12">
        <f>BC167+BD141</f>
        <v>47.170816</v>
      </c>
      <c r="BE167" s="12">
        <f>BD167+BE141</f>
        <v>47.170816</v>
      </c>
      <c r="BF167" s="12">
        <f>BE167</f>
        <v>47.170816</v>
      </c>
      <c r="BG167" s="12" t="n"/>
      <c r="BH167" s="12" t="n"/>
      <c r="BI167" s="12" t="n"/>
      <c r="BJ167" s="12" t="n"/>
      <c r="BK167" s="12" t="n"/>
      <c r="BL167" s="12" t="n"/>
      <c r="BM167" s="12" t="n"/>
      <c r="BN167" s="12" t="n"/>
      <c r="BO167" s="12" t="n"/>
      <c r="BP167" s="12" t="n"/>
      <c r="BQ167" s="12" t="n"/>
      <c r="BR167" s="12" t="n"/>
      <c r="BS167" s="12" t="n"/>
      <c r="BT167" s="12" t="n"/>
      <c r="BU167" s="12" t="n"/>
      <c r="BV167" s="12" t="n"/>
      <c r="BW167" s="12" t="n"/>
      <c r="BX167" s="12" t="n"/>
      <c r="BY167" s="12" t="n"/>
      <c r="BZ167" s="12" t="n"/>
      <c r="CA167" s="12" t="n"/>
      <c r="CB167" s="12" t="n"/>
      <c r="CC167" s="12" t="n"/>
      <c r="CD167" s="12" t="n"/>
      <c r="CE167" s="12" t="n"/>
      <c r="CF167" s="12" t="n"/>
      <c r="CG167" s="12" t="n"/>
      <c r="CH167" s="12" t="n"/>
      <c r="CI167" s="12" t="n"/>
      <c r="CJ167" s="12" t="n"/>
      <c r="CK167" s="12" t="n"/>
      <c r="CL167" s="12" t="n"/>
      <c r="CM167" s="12" t="n"/>
      <c r="CN167" s="12" t="n"/>
      <c r="CO167" s="12" t="n"/>
      <c r="CP167" s="12" t="n"/>
      <c r="CQ167" s="12" t="n"/>
      <c r="CR167" s="12" t="n"/>
      <c r="CS167" s="12" t="n"/>
      <c r="CT167" s="12" t="n"/>
      <c r="CU167" s="12" t="n"/>
      <c r="CV167" s="12" t="n"/>
      <c r="CW167" s="12" t="n"/>
      <c r="CX167" s="12" t="n"/>
      <c r="CY167" s="12" t="n"/>
    </row>
    <row r="168" hidden="1" outlineLevel="1">
      <c r="C168" s="57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2" t="n"/>
      <c r="AK168" s="12" t="n"/>
      <c r="AL168" s="12" t="n"/>
      <c r="AM168" s="12" t="n"/>
      <c r="AN168" s="12" t="n"/>
      <c r="AO168" s="12" t="n"/>
      <c r="AP168" s="12" t="n"/>
      <c r="AQ168" s="12" t="n"/>
      <c r="AR168" s="12" t="n"/>
      <c r="AS168" s="12" t="n"/>
      <c r="AT168" s="12" t="n"/>
      <c r="AU168" s="12" t="n"/>
      <c r="AV168" s="12" t="n"/>
      <c r="AW168" s="12" t="n"/>
      <c r="AX168" s="12" t="n"/>
      <c r="AY168" s="12" t="n"/>
      <c r="AZ168" s="12" t="n"/>
      <c r="BA168" s="12" t="n"/>
      <c r="BB168" s="12" t="n"/>
      <c r="BC168" s="12" t="n"/>
      <c r="BD168" s="12" t="n"/>
      <c r="BE168" s="12" t="n"/>
      <c r="BF168" s="12" t="n"/>
      <c r="BG168" s="12" t="n"/>
      <c r="BH168" s="12" t="n"/>
      <c r="BI168" s="12" t="n"/>
      <c r="BJ168" s="12" t="n"/>
      <c r="BK168" s="12" t="n"/>
      <c r="BL168" s="12" t="n"/>
      <c r="BM168" s="12" t="n"/>
      <c r="BN168" s="12" t="n"/>
      <c r="BO168" s="12" t="n"/>
      <c r="BP168" s="12" t="n"/>
      <c r="BQ168" s="12" t="n"/>
      <c r="BR168" s="12" t="n"/>
      <c r="BS168" s="12" t="n"/>
      <c r="BT168" s="12" t="n"/>
      <c r="BU168" s="12" t="n"/>
      <c r="BV168" s="12" t="n"/>
      <c r="BW168" s="12" t="n"/>
      <c r="BX168" s="12" t="n"/>
      <c r="BY168" s="12" t="n"/>
      <c r="BZ168" s="12" t="n"/>
      <c r="CA168" s="12" t="n"/>
      <c r="CB168" s="12" t="n"/>
      <c r="CC168" s="12" t="n"/>
      <c r="CD168" s="12" t="n"/>
      <c r="CE168" s="12" t="n"/>
      <c r="CF168" s="12" t="n"/>
      <c r="CG168" s="12" t="n"/>
      <c r="CH168" s="12" t="n"/>
      <c r="CI168" s="12" t="n"/>
      <c r="CJ168" s="12" t="n"/>
      <c r="CK168" s="12" t="n"/>
      <c r="CL168" s="12" t="n"/>
      <c r="CM168" s="12" t="n"/>
      <c r="CN168" s="12" t="n"/>
      <c r="CO168" s="12" t="n"/>
      <c r="CP168" s="12" t="n"/>
      <c r="CQ168" s="12" t="n"/>
      <c r="CR168" s="12" t="n"/>
      <c r="CS168" s="12" t="n"/>
      <c r="CT168" s="12" t="n"/>
      <c r="CU168" s="12" t="n"/>
      <c r="CV168" s="12" t="n"/>
      <c r="CW168" s="12" t="n"/>
      <c r="CX168" s="12" t="n"/>
      <c r="CY168" s="12" t="n"/>
    </row>
    <row r="169" hidden="1" outlineLevel="1">
      <c r="C169" s="57" t="inlineStr">
        <is>
          <t>Equity in Income - % YoY</t>
        </is>
      </c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>
        <f>IF(I141=0,0,N141/I141-1)</f>
        <v>0</v>
      </c>
      <c r="O169" s="12">
        <f>IF(J141=0,0,O141/J141-1)</f>
        <v>0</v>
      </c>
      <c r="P169" s="12">
        <f>IF(K141=0,0,P141/K141-1)</f>
        <v>0</v>
      </c>
      <c r="Q169" s="12">
        <f>IF(L141=0,0,Q141/L141-1)</f>
        <v>0</v>
      </c>
      <c r="R169" s="12" t="n"/>
      <c r="S169" s="12">
        <f>IF(N141=0,0,S141/N141-1)</f>
        <v>0</v>
      </c>
      <c r="T169" s="12">
        <f>IF(O141=0,0,T141/O141-1)</f>
        <v>0</v>
      </c>
      <c r="U169" s="12">
        <f>IF(P141=0,0,U141/P141-1)</f>
        <v>0</v>
      </c>
      <c r="V169" s="12">
        <f>IF(Q141=0,0,V141/Q141-1)</f>
        <v>0</v>
      </c>
      <c r="W169" s="12" t="n"/>
      <c r="X169" s="12">
        <f>IF(S141=0,0,X141/S141-1)</f>
        <v>0</v>
      </c>
      <c r="Y169" s="12">
        <f>IF(T141=0,0,Y141/T141-1)</f>
        <v>0</v>
      </c>
      <c r="Z169" s="12">
        <f>IF(U141=0,0,Z141/U141-1)</f>
        <v>0</v>
      </c>
      <c r="AA169" s="12">
        <f>IF(V141=0,0,AA141/V141-1)</f>
        <v>0</v>
      </c>
      <c r="AB169" s="12" t="n"/>
      <c r="AC169" s="12">
        <f>IF(X141=0,0,AC141/X141-1)</f>
        <v>0</v>
      </c>
      <c r="AD169" s="12">
        <f>IF(Y141=0,0,AD141/Y141-1)</f>
        <v>0</v>
      </c>
      <c r="AE169" s="12">
        <f>IF(Z141=0,0,AE141/Z141-1)</f>
        <v>0</v>
      </c>
      <c r="AF169" s="12">
        <f>IF(AA141=0,0,AF141/AA141-1)</f>
        <v>0</v>
      </c>
      <c r="AG169" s="12" t="n"/>
      <c r="AH169" s="11">
        <f>IF(AC141=0,0,AH141/AC141-1)</f>
        <v>0</v>
      </c>
      <c r="AI169" s="11">
        <f>IF(AD141=0,0,AI141/AD141-1)</f>
        <v>0</v>
      </c>
      <c r="AJ169" s="11" t="n"/>
      <c r="AK169" s="11" t="n"/>
      <c r="AL169" s="12" t="n"/>
      <c r="AM169" s="11" t="n"/>
      <c r="AN169" s="11" t="n"/>
      <c r="AO169" s="11" t="n"/>
      <c r="AP169" s="11" t="n"/>
      <c r="AQ169" s="12" t="n"/>
      <c r="AR169" s="11" t="n"/>
      <c r="AS169" s="11" t="n"/>
      <c r="AT169" s="11" t="n"/>
      <c r="AU169" s="11" t="n"/>
      <c r="AV169" s="12" t="n"/>
      <c r="AW169" s="11" t="n"/>
      <c r="AX169" s="11" t="n"/>
      <c r="AY169" s="11" t="n"/>
      <c r="AZ169" s="11" t="n"/>
      <c r="BA169" s="12" t="n"/>
      <c r="BB169" s="11" t="n"/>
      <c r="BC169" s="11" t="n"/>
      <c r="BD169" s="11" t="n"/>
      <c r="BE169" s="11" t="n"/>
      <c r="BF169" s="12" t="n"/>
      <c r="BG169" s="11" t="n"/>
      <c r="BH169" s="11" t="n"/>
      <c r="BI169" s="11" t="n"/>
      <c r="BJ169" s="11" t="n"/>
      <c r="BK169" s="12" t="n"/>
      <c r="BL169" s="11" t="n"/>
      <c r="BM169" s="11" t="n"/>
      <c r="BN169" s="11" t="n"/>
      <c r="BO169" s="11" t="n"/>
      <c r="BP169" s="12" t="n"/>
      <c r="BQ169" s="11" t="n"/>
      <c r="BR169" s="11" t="n"/>
      <c r="BS169" s="11" t="n"/>
      <c r="BT169" s="11" t="n"/>
      <c r="BU169" s="12" t="n"/>
      <c r="BV169" s="11" t="n"/>
      <c r="BW169" s="11" t="n"/>
      <c r="BX169" s="11" t="n"/>
      <c r="BY169" s="11" t="n"/>
      <c r="BZ169" s="12" t="n"/>
      <c r="CA169" s="11" t="n"/>
      <c r="CB169" s="11" t="n"/>
      <c r="CC169" s="11" t="n"/>
      <c r="CD169" s="11" t="n"/>
      <c r="CE169" s="12" t="n"/>
      <c r="CF169" s="11" t="n"/>
      <c r="CG169" s="11" t="n"/>
      <c r="CH169" s="11" t="n"/>
      <c r="CI169" s="11" t="n"/>
      <c r="CJ169" s="12" t="n"/>
      <c r="CK169" s="11" t="n"/>
      <c r="CL169" s="11" t="n"/>
      <c r="CM169" s="11" t="n"/>
      <c r="CN169" s="11" t="n"/>
      <c r="CO169" s="12" t="n"/>
      <c r="CP169" s="11" t="n"/>
      <c r="CQ169" s="11" t="n"/>
      <c r="CR169" s="11" t="n"/>
      <c r="CS169" s="11" t="n"/>
      <c r="CT169" s="12" t="n"/>
      <c r="CU169" s="11" t="n"/>
      <c r="CV169" s="11" t="n"/>
      <c r="CW169" s="11" t="n"/>
      <c r="CX169" s="11" t="n"/>
      <c r="CY169" s="12" t="n"/>
    </row>
    <row r="170" hidden="1" outlineLevel="1">
      <c r="C170" s="57" t="inlineStr">
        <is>
          <t>Dividends (enter as -)</t>
        </is>
      </c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1" t="n"/>
      <c r="AI170" s="11" t="n"/>
      <c r="AJ170" s="11" t="n"/>
      <c r="AK170" s="11" t="n"/>
      <c r="AL170" s="12" t="n"/>
      <c r="AM170" s="11" t="n"/>
      <c r="AN170" s="11" t="n"/>
      <c r="AO170" s="11" t="n"/>
      <c r="AP170" s="11" t="n"/>
      <c r="AQ170" s="12" t="n"/>
      <c r="AR170" s="11" t="n"/>
      <c r="AS170" s="11" t="n"/>
      <c r="AT170" s="11" t="n"/>
      <c r="AU170" s="11" t="n"/>
      <c r="AV170" s="12" t="n"/>
      <c r="AW170" s="11" t="n"/>
      <c r="AX170" s="11" t="n"/>
      <c r="AY170" s="11" t="n"/>
      <c r="AZ170" s="11" t="n"/>
      <c r="BA170" s="12" t="n"/>
      <c r="BB170" s="11" t="n"/>
      <c r="BC170" s="11" t="n"/>
      <c r="BD170" s="11" t="n"/>
      <c r="BE170" s="11" t="n"/>
      <c r="BF170" s="12" t="n"/>
      <c r="BG170" s="11" t="n"/>
      <c r="BH170" s="11" t="n"/>
      <c r="BI170" s="11" t="n"/>
      <c r="BJ170" s="11" t="n"/>
      <c r="BK170" s="12" t="n"/>
      <c r="BL170" s="11" t="n"/>
      <c r="BM170" s="11" t="n"/>
      <c r="BN170" s="11" t="n"/>
      <c r="BO170" s="11" t="n"/>
      <c r="BP170" s="12" t="n"/>
      <c r="BQ170" s="11" t="n"/>
      <c r="BR170" s="11" t="n"/>
      <c r="BS170" s="11" t="n"/>
      <c r="BT170" s="11" t="n"/>
      <c r="BU170" s="12" t="n"/>
      <c r="BV170" s="11" t="n"/>
      <c r="BW170" s="11" t="n"/>
      <c r="BX170" s="11" t="n"/>
      <c r="BY170" s="11" t="n"/>
      <c r="BZ170" s="12" t="n"/>
      <c r="CA170" s="11" t="n"/>
      <c r="CB170" s="11" t="n"/>
      <c r="CC170" s="11" t="n"/>
      <c r="CD170" s="11" t="n"/>
      <c r="CE170" s="12" t="n"/>
      <c r="CF170" s="11" t="n"/>
      <c r="CG170" s="11" t="n"/>
      <c r="CH170" s="11" t="n"/>
      <c r="CI170" s="11" t="n"/>
      <c r="CJ170" s="12" t="n"/>
      <c r="CK170" s="11" t="n"/>
      <c r="CL170" s="11" t="n"/>
      <c r="CM170" s="11" t="n"/>
      <c r="CN170" s="11" t="n"/>
      <c r="CO170" s="12" t="n"/>
      <c r="CP170" s="11" t="n"/>
      <c r="CQ170" s="11" t="n"/>
      <c r="CR170" s="11" t="n"/>
      <c r="CS170" s="11" t="n"/>
      <c r="CT170" s="12" t="n"/>
      <c r="CU170" s="11" t="n"/>
      <c r="CV170" s="11" t="n"/>
      <c r="CW170" s="11" t="n"/>
      <c r="CX170" s="11" t="n"/>
      <c r="CY170" s="12" t="n"/>
    </row>
    <row r="171" hidden="1" outlineLevel="1">
      <c r="C171" s="57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 t="n"/>
      <c r="AK171" s="12" t="n"/>
      <c r="AL171" s="12" t="n"/>
      <c r="AM171" s="12" t="n"/>
      <c r="AN171" s="12" t="n"/>
      <c r="AO171" s="12" t="n"/>
      <c r="AP171" s="12" t="n"/>
      <c r="AQ171" s="12" t="n"/>
      <c r="AR171" s="12" t="n"/>
      <c r="AS171" s="12" t="n"/>
      <c r="AT171" s="12" t="n"/>
      <c r="AU171" s="12" t="n"/>
      <c r="AV171" s="12" t="n"/>
      <c r="AW171" s="12" t="n"/>
      <c r="AX171" s="12" t="n"/>
      <c r="AY171" s="12" t="n"/>
      <c r="AZ171" s="12" t="n"/>
      <c r="BA171" s="12" t="n"/>
      <c r="BB171" s="12" t="n"/>
      <c r="BC171" s="12" t="n"/>
      <c r="BD171" s="12" t="n"/>
      <c r="BE171" s="12" t="n"/>
      <c r="BF171" s="12" t="n"/>
      <c r="BG171" s="12" t="n"/>
      <c r="BH171" s="12" t="n"/>
      <c r="BI171" s="12" t="n"/>
      <c r="BJ171" s="12" t="n"/>
      <c r="BK171" s="12" t="n"/>
      <c r="BL171" s="12" t="n"/>
      <c r="BM171" s="12" t="n"/>
      <c r="BN171" s="12" t="n"/>
      <c r="BO171" s="12" t="n"/>
      <c r="BP171" s="12" t="n"/>
      <c r="BQ171" s="12" t="n"/>
      <c r="BR171" s="12" t="n"/>
      <c r="BS171" s="12" t="n"/>
      <c r="BT171" s="12" t="n"/>
      <c r="BU171" s="12" t="n"/>
      <c r="BV171" s="12" t="n"/>
      <c r="BW171" s="12" t="n"/>
      <c r="BX171" s="12" t="n"/>
      <c r="BY171" s="12" t="n"/>
      <c r="BZ171" s="12" t="n"/>
      <c r="CA171" s="12" t="n"/>
      <c r="CB171" s="12" t="n"/>
      <c r="CC171" s="12" t="n"/>
      <c r="CD171" s="12" t="n"/>
      <c r="CE171" s="12" t="n"/>
      <c r="CF171" s="12" t="n"/>
      <c r="CG171" s="12" t="n"/>
      <c r="CH171" s="12" t="n"/>
      <c r="CI171" s="12" t="n"/>
      <c r="CJ171" s="12" t="n"/>
      <c r="CK171" s="12" t="n"/>
      <c r="CL171" s="12" t="n"/>
      <c r="CM171" s="12" t="n"/>
      <c r="CN171" s="12" t="n"/>
      <c r="CO171" s="12" t="n"/>
      <c r="CP171" s="12" t="n"/>
      <c r="CQ171" s="12" t="n"/>
      <c r="CR171" s="12" t="n"/>
      <c r="CS171" s="12" t="n"/>
      <c r="CT171" s="12" t="n"/>
      <c r="CU171" s="12" t="n"/>
      <c r="CV171" s="12" t="n"/>
      <c r="CW171" s="12" t="n"/>
      <c r="CX171" s="12" t="n"/>
      <c r="CY171" s="12" t="n"/>
    </row>
    <row r="172" collapsed="1">
      <c r="C172" s="14" t="inlineStr">
        <is>
          <t>PP&amp;E</t>
        </is>
      </c>
      <c r="D172" s="46" t="n"/>
      <c r="E172" s="46" t="n"/>
      <c r="F172" s="46" t="n"/>
      <c r="G172" s="46" t="n"/>
      <c r="H172" s="12" t="n"/>
      <c r="I172" s="46">
        <f>'Inputs (2)'!D22</f>
        <v>12745.105</v>
      </c>
      <c r="J172" s="46">
        <f>'Inputs (2)'!E22</f>
        <v>15023.583</v>
      </c>
      <c r="K172" s="46">
        <f>'Inputs (2)'!F22</f>
        <v>17425.606</v>
      </c>
      <c r="L172" s="46">
        <f>'Inputs (2)'!G22</f>
        <v>21567.72</v>
      </c>
      <c r="M172" s="12">
        <f>'Inputs (2)'!H22</f>
        <v>21567.72</v>
      </c>
      <c r="N172" s="46">
        <f>'Inputs (2)'!I22</f>
        <v>23807.944</v>
      </c>
      <c r="O172" s="46">
        <f>'Inputs (2)'!J22</f>
        <v>27512.254</v>
      </c>
      <c r="P172" s="46">
        <f>'Inputs (2)'!K22</f>
        <v>30582.589</v>
      </c>
      <c r="Q172" s="46">
        <f>'Inputs (2)'!L22</f>
        <v>34130.983</v>
      </c>
      <c r="R172" s="12">
        <f>'Inputs (2)'!M22</f>
        <v>34130.983</v>
      </c>
      <c r="S172" s="46">
        <f>'Inputs (2)'!N22</f>
        <v>34225.482216155</v>
      </c>
      <c r="T172" s="46">
        <f>'Inputs (2)'!O22</f>
        <v>34978.682717719</v>
      </c>
      <c r="U172" s="46">
        <f>'Inputs (2)'!P22</f>
        <v>36138.915837121</v>
      </c>
      <c r="V172" s="46">
        <f>'Inputs (2)'!Q22</f>
        <v>39826.16194536</v>
      </c>
      <c r="W172" s="12">
        <f>'Inputs (2)'!R22</f>
        <v>39826.16194536</v>
      </c>
      <c r="X172" s="46">
        <f>'Inputs (2)'!S22</f>
        <v>41091.22830083</v>
      </c>
      <c r="Y172" s="46">
        <f>'Inputs (2)'!T22</f>
        <v>42196.61393108</v>
      </c>
      <c r="Z172" s="46">
        <f>'Inputs (2)'!U22</f>
        <v>42975.007818529</v>
      </c>
      <c r="AA172" s="46">
        <f>'Inputs (2)'!V22</f>
        <v>45618.21326671</v>
      </c>
      <c r="AB172" s="12">
        <f>'Inputs (2)'!W22</f>
        <v>45618.21326671</v>
      </c>
      <c r="AC172" s="46">
        <f>'Inputs (2)'!X22</f>
        <v>44794.68291003</v>
      </c>
      <c r="AD172" s="46">
        <f>'Inputs (2)'!Y22</f>
        <v>45294.24820465</v>
      </c>
      <c r="AE172" s="46">
        <f>'Inputs (2)'!Z22</f>
        <v>45456.94628539</v>
      </c>
      <c r="AF172" s="46">
        <f>'Inputs (2)'!AA22</f>
        <v>47862.56933573</v>
      </c>
      <c r="AG172" s="12">
        <f>'Inputs (2)'!AB22</f>
        <v>47862.56933573</v>
      </c>
      <c r="AH172" s="12">
        <f>'Inputs (2)'!AC22</f>
        <v>46426.00572838</v>
      </c>
      <c r="AI172" s="12">
        <f>'Inputs (2)'!AD22</f>
        <v>48115.27756408</v>
      </c>
      <c r="AJ172" s="12">
        <f>AJ177</f>
        <v>48568.7783869516</v>
      </c>
      <c r="AK172" s="12">
        <f>AK177</f>
        <v>49023.0373728622</v>
      </c>
      <c r="AL172" s="12">
        <f>AK172</f>
        <v>49023.0373728622</v>
      </c>
      <c r="AM172" s="12">
        <f>AM177</f>
        <v>49469.3222093714</v>
      </c>
      <c r="AN172" s="12">
        <f>AN177</f>
        <v>49928.8581071462</v>
      </c>
      <c r="AO172" s="12">
        <f>AO177</f>
        <v>50410.1478331727</v>
      </c>
      <c r="AP172" s="12">
        <f>AP177</f>
        <v>50892.2421797487</v>
      </c>
      <c r="AQ172" s="12">
        <f>AP172</f>
        <v>50892.2421797487</v>
      </c>
      <c r="AR172" s="12">
        <f>AR177</f>
        <v>51363.6423254787</v>
      </c>
      <c r="AS172" s="12">
        <f>AS177</f>
        <v>51849.0392546542</v>
      </c>
      <c r="AT172" s="12">
        <f>AT177</f>
        <v>52357.4142394774</v>
      </c>
      <c r="AU172" s="12">
        <f>AU177</f>
        <v>52866.6391260076</v>
      </c>
      <c r="AV172" s="12">
        <f>AU172</f>
        <v>52866.6391260076</v>
      </c>
      <c r="AW172" s="12">
        <f>AW177</f>
        <v>53362.2109797127</v>
      </c>
      <c r="AX172" s="12">
        <f>AX177</f>
        <v>53872.4973216948</v>
      </c>
      <c r="AY172" s="12">
        <f>AY177</f>
        <v>54406.9399515672</v>
      </c>
      <c r="AZ172" s="12">
        <f>AZ177</f>
        <v>54942.2760630565</v>
      </c>
      <c r="BA172" s="12">
        <f>AZ172</f>
        <v>54942.2760630565</v>
      </c>
      <c r="BB172" s="12">
        <f>BB177</f>
        <v>55460.7812039193</v>
      </c>
      <c r="BC172" s="12">
        <f>BC177</f>
        <v>55994.6817667774</v>
      </c>
      <c r="BD172" s="12">
        <f>BD177</f>
        <v>56553.8564838508</v>
      </c>
      <c r="BE172" s="12">
        <f>BE177</f>
        <v>57113.9660296643</v>
      </c>
      <c r="BF172" s="12">
        <f>BE172</f>
        <v>57113.9660296643</v>
      </c>
      <c r="BG172" s="12" t="n"/>
      <c r="BH172" s="12" t="n"/>
      <c r="BI172" s="12" t="n"/>
      <c r="BJ172" s="12" t="n"/>
      <c r="BK172" s="12" t="n"/>
      <c r="BL172" s="12" t="n"/>
      <c r="BM172" s="12" t="n"/>
      <c r="BN172" s="12" t="n"/>
      <c r="BO172" s="12" t="n"/>
      <c r="BP172" s="12" t="n"/>
      <c r="BQ172" s="12" t="n"/>
      <c r="BR172" s="12" t="n"/>
      <c r="BS172" s="12" t="n"/>
      <c r="BT172" s="12" t="n"/>
      <c r="BU172" s="12" t="n"/>
      <c r="BV172" s="12" t="n"/>
      <c r="BW172" s="12" t="n"/>
      <c r="BX172" s="12" t="n"/>
      <c r="BY172" s="12" t="n"/>
      <c r="BZ172" s="12" t="n"/>
      <c r="CA172" s="12" t="n"/>
      <c r="CB172" s="12" t="n"/>
      <c r="CC172" s="12" t="n"/>
      <c r="CD172" s="12" t="n"/>
      <c r="CE172" s="12" t="n"/>
      <c r="CF172" s="12" t="n"/>
      <c r="CG172" s="12" t="n"/>
      <c r="CH172" s="12" t="n"/>
      <c r="CI172" s="12" t="n"/>
      <c r="CJ172" s="12" t="n"/>
      <c r="CK172" s="12" t="n"/>
      <c r="CL172" s="12" t="n"/>
      <c r="CM172" s="12" t="n"/>
      <c r="CN172" s="12" t="n"/>
      <c r="CO172" s="12" t="n"/>
      <c r="CP172" s="12" t="n"/>
      <c r="CQ172" s="12" t="n"/>
      <c r="CR172" s="12" t="n"/>
      <c r="CS172" s="12" t="n"/>
      <c r="CT172" s="12" t="n"/>
      <c r="CU172" s="12" t="n"/>
      <c r="CV172" s="12" t="n"/>
      <c r="CW172" s="12" t="n"/>
      <c r="CX172" s="12" t="n"/>
      <c r="CY172" s="12" t="n"/>
    </row>
    <row r="173" hidden="1" outlineLevel="1">
      <c r="C173" s="57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  <c r="AL173" s="12" t="n"/>
      <c r="AM173" s="12" t="n"/>
      <c r="AN173" s="12" t="n"/>
      <c r="AO173" s="12" t="n"/>
      <c r="AP173" s="12" t="n"/>
      <c r="AQ173" s="12" t="n"/>
      <c r="AR173" s="12" t="n"/>
      <c r="AS173" s="12" t="n"/>
      <c r="AT173" s="12" t="n"/>
      <c r="AU173" s="12" t="n"/>
      <c r="AV173" s="12" t="n"/>
      <c r="AW173" s="12" t="n"/>
      <c r="AX173" s="12" t="n"/>
      <c r="AY173" s="12" t="n"/>
      <c r="AZ173" s="12" t="n"/>
      <c r="BA173" s="12" t="n"/>
      <c r="BB173" s="12" t="n"/>
      <c r="BC173" s="12" t="n"/>
      <c r="BD173" s="12" t="n"/>
      <c r="BE173" s="12" t="n"/>
      <c r="BF173" s="12" t="n"/>
      <c r="BG173" s="12" t="n"/>
      <c r="BH173" s="12" t="n"/>
      <c r="BI173" s="12" t="n"/>
      <c r="BJ173" s="12" t="n"/>
      <c r="BK173" s="12" t="n"/>
      <c r="BL173" s="12" t="n"/>
      <c r="BM173" s="12" t="n"/>
      <c r="BN173" s="12" t="n"/>
      <c r="BO173" s="12" t="n"/>
      <c r="BP173" s="12" t="n"/>
      <c r="BQ173" s="12" t="n"/>
      <c r="BR173" s="12" t="n"/>
      <c r="BS173" s="12" t="n"/>
      <c r="BT173" s="12" t="n"/>
      <c r="BU173" s="12" t="n"/>
      <c r="BV173" s="12" t="n"/>
      <c r="BW173" s="12" t="n"/>
      <c r="BX173" s="12" t="n"/>
      <c r="BY173" s="12" t="n"/>
      <c r="BZ173" s="12" t="n"/>
      <c r="CA173" s="12" t="n"/>
      <c r="CB173" s="12" t="n"/>
      <c r="CC173" s="12" t="n"/>
      <c r="CD173" s="12" t="n"/>
      <c r="CE173" s="12" t="n"/>
      <c r="CF173" s="12" t="n"/>
      <c r="CG173" s="12" t="n"/>
      <c r="CH173" s="12" t="n"/>
      <c r="CI173" s="12" t="n"/>
      <c r="CJ173" s="12" t="n"/>
      <c r="CK173" s="12" t="n"/>
      <c r="CL173" s="12" t="n"/>
      <c r="CM173" s="12" t="n"/>
      <c r="CN173" s="12" t="n"/>
      <c r="CO173" s="12" t="n"/>
      <c r="CP173" s="12" t="n"/>
      <c r="CQ173" s="12" t="n"/>
      <c r="CR173" s="12" t="n"/>
      <c r="CS173" s="12" t="n"/>
      <c r="CT173" s="12" t="n"/>
      <c r="CU173" s="12" t="n"/>
      <c r="CV173" s="12" t="n"/>
      <c r="CW173" s="12" t="n"/>
      <c r="CX173" s="12" t="n"/>
      <c r="CY173" s="12" t="n"/>
    </row>
    <row r="174" hidden="1" outlineLevel="1">
      <c r="C174" s="57" t="inlineStr">
        <is>
          <t>Capital expenditures</t>
        </is>
      </c>
      <c r="D174" s="12" t="n"/>
      <c r="E174" s="12" t="n"/>
      <c r="F174" s="12" t="n"/>
      <c r="G174" s="12" t="n"/>
      <c r="H174" s="12" t="n"/>
      <c r="I174" s="12" t="n"/>
      <c r="J174" s="12">
        <f>J172-I172-J76</f>
        <v>2519.912278302</v>
      </c>
      <c r="K174" s="12">
        <f>K172-J172-K76</f>
        <v>2677.862366387</v>
      </c>
      <c r="L174" s="12">
        <f>L172-K172-L76</f>
        <v>4466.906357953</v>
      </c>
      <c r="M174" s="12" t="n"/>
      <c r="N174" s="12">
        <f>N172-M172-N76</f>
        <v>2617.717</v>
      </c>
      <c r="O174" s="12">
        <f>O172-N172-O76</f>
        <v>4120.517797424</v>
      </c>
      <c r="P174" s="12">
        <f>P172-O172-P76</f>
        <v>3580.400305927</v>
      </c>
      <c r="Q174" s="12">
        <f>Q172-P172-Q76</f>
        <v>4130.904896649</v>
      </c>
      <c r="R174" s="12" t="n"/>
      <c r="S174" s="12">
        <f>S172-R172-S76</f>
        <v>741.259001005996</v>
      </c>
      <c r="T174" s="12">
        <f>T172-S172-T76</f>
        <v>1432.58649804101</v>
      </c>
      <c r="U174" s="12">
        <f>U172-T172-U76</f>
        <v>1877.31412610199</v>
      </c>
      <c r="V174" s="12">
        <f>V172-U172-V76</f>
        <v>4747.971952712</v>
      </c>
      <c r="W174" s="12" t="n"/>
      <c r="X174" s="12">
        <f>X172-W172-X76</f>
        <v>2087.04612481</v>
      </c>
      <c r="Y174" s="12">
        <f>Y172-X172-Y76</f>
        <v>2003.02885239</v>
      </c>
      <c r="Z174" s="12">
        <f>Z172-Y172-Z76</f>
        <v>1775.58841639901</v>
      </c>
      <c r="AA174" s="12">
        <f>AA172-Z172-AA76</f>
        <v>3617.507818101</v>
      </c>
      <c r="AB174" s="12" t="n"/>
      <c r="AC174" s="12">
        <f>AC172-AB172-AC76</f>
        <v>228.882905150001</v>
      </c>
      <c r="AD174" s="12">
        <f>AD172-AC172-AD76</f>
        <v>1618.5061943</v>
      </c>
      <c r="AE174" s="12">
        <f>AE172-AD172-AE76</f>
        <v>1334.76005449</v>
      </c>
      <c r="AF174" s="11">
        <f>AF172-AE172-AF76</f>
        <v>3603.59271889001</v>
      </c>
      <c r="AG174" s="12">
        <f>SUM(AC174:AF174)</f>
        <v>6785.74187283</v>
      </c>
      <c r="AH174" s="11">
        <f>AH172-AG172-AH76</f>
        <v>-196.637070819999</v>
      </c>
      <c r="AI174" s="11">
        <f>AI172-AH172-AI76</f>
        <v>2942.8259796</v>
      </c>
      <c r="AJ174" s="11">
        <f>AJ15*Control!$B$24</f>
        <v>1728.21257734283</v>
      </c>
      <c r="AK174" s="11">
        <f>AK15*Control!$B$24</f>
        <v>1731.10180451442</v>
      </c>
      <c r="AL174" s="12" t="n"/>
      <c r="AM174" s="11">
        <f>AM15*Control!$C$24</f>
        <v>1700.71371127581</v>
      </c>
      <c r="AN174" s="11">
        <f>AN15*Control!$C$24</f>
        <v>1751.21119570685</v>
      </c>
      <c r="AO174" s="11">
        <f>AO15*Control!$C$24</f>
        <v>1834.11124283741</v>
      </c>
      <c r="AP174" s="11">
        <f>AP15*Control!$C$24</f>
        <v>1837.17751148282</v>
      </c>
      <c r="AQ174" s="12" t="n"/>
      <c r="AR174" s="11">
        <f>AR15*Control!$D$24</f>
        <v>1796.42377637401</v>
      </c>
      <c r="AS174" s="11">
        <f>AS15*Control!$D$24</f>
        <v>1849.76307803163</v>
      </c>
      <c r="AT174" s="11">
        <f>AT15*Control!$D$24</f>
        <v>1937.32844234926</v>
      </c>
      <c r="AU174" s="11">
        <f>AU15*Control!$D$24</f>
        <v>1940.56726959152</v>
      </c>
      <c r="AV174" s="12" t="n"/>
      <c r="AW174" s="11">
        <f>AW15*Control!$E$24</f>
        <v>1888.53794162318</v>
      </c>
      <c r="AX174" s="11">
        <f>AX15*Control!$E$24</f>
        <v>1944.61229127548</v>
      </c>
      <c r="AY174" s="11">
        <f>AY15*Control!$E$24</f>
        <v>2036.6676932696</v>
      </c>
      <c r="AZ174" s="11">
        <f>AZ15*Control!$E$24</f>
        <v>2040.07259595115</v>
      </c>
      <c r="BA174" s="12" t="n"/>
      <c r="BB174" s="11">
        <f>BB15*Control!$F$24</f>
        <v>1975.93270103029</v>
      </c>
      <c r="BC174" s="11">
        <f>BC15*Control!$F$24</f>
        <v>2034.60197037616</v>
      </c>
      <c r="BD174" s="11">
        <f>BD15*Control!$F$24</f>
        <v>2130.91736605751</v>
      </c>
      <c r="BE174" s="11">
        <f>BE15*Control!$F$24</f>
        <v>2134.47983541754</v>
      </c>
      <c r="BF174" s="12" t="n"/>
      <c r="BG174" s="11" t="n"/>
      <c r="BH174" s="11" t="n"/>
      <c r="BI174" s="11" t="n"/>
      <c r="BJ174" s="11" t="n"/>
      <c r="BK174" s="12" t="n"/>
      <c r="BL174" s="11" t="n"/>
      <c r="BM174" s="11" t="n"/>
      <c r="BN174" s="11" t="n"/>
      <c r="BO174" s="11" t="n"/>
      <c r="BP174" s="12" t="n"/>
      <c r="BQ174" s="11" t="n"/>
      <c r="BR174" s="11" t="n"/>
      <c r="BS174" s="11" t="n"/>
      <c r="BT174" s="11" t="n"/>
      <c r="BU174" s="12" t="n"/>
      <c r="BV174" s="11" t="n"/>
      <c r="BW174" s="11" t="n"/>
      <c r="BX174" s="11" t="n"/>
      <c r="BY174" s="11" t="n"/>
      <c r="BZ174" s="12" t="n"/>
      <c r="CA174" s="11" t="n"/>
      <c r="CB174" s="11" t="n"/>
      <c r="CC174" s="11" t="n"/>
      <c r="CD174" s="11" t="n"/>
      <c r="CE174" s="12" t="n"/>
      <c r="CF174" s="11" t="n"/>
      <c r="CG174" s="11" t="n"/>
      <c r="CH174" s="11" t="n"/>
      <c r="CI174" s="11" t="n"/>
      <c r="CJ174" s="12" t="n"/>
      <c r="CK174" s="11" t="n"/>
      <c r="CL174" s="11" t="n"/>
      <c r="CM174" s="11" t="n"/>
      <c r="CN174" s="11" t="n"/>
      <c r="CO174" s="12" t="n"/>
      <c r="CP174" s="11" t="n"/>
      <c r="CQ174" s="11" t="n"/>
      <c r="CR174" s="11" t="n"/>
      <c r="CS174" s="11" t="n"/>
      <c r="CT174" s="12" t="n"/>
      <c r="CU174" s="11" t="n"/>
      <c r="CV174" s="11" t="n"/>
      <c r="CW174" s="11" t="n"/>
      <c r="CX174" s="11" t="n"/>
      <c r="CY174" s="12" t="n"/>
    </row>
    <row r="175" hidden="1" outlineLevel="1">
      <c r="C175" s="57" t="inlineStr">
        <is>
          <t>Recurring asset sales (enter as -)</t>
        </is>
      </c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>
        <f>SUM(I175:L175)</f>
        <v>0</v>
      </c>
      <c r="N175" s="12" t="n"/>
      <c r="O175" s="12" t="n"/>
      <c r="P175" s="12" t="n"/>
      <c r="Q175" s="12" t="n"/>
      <c r="R175" s="12">
        <f>SUM(N175:Q175)</f>
        <v>0</v>
      </c>
      <c r="S175" s="12" t="n"/>
      <c r="T175" s="12" t="n"/>
      <c r="U175" s="12" t="n"/>
      <c r="V175" s="12" t="n"/>
      <c r="W175" s="12">
        <f>SUM(S175:V175)</f>
        <v>0</v>
      </c>
      <c r="X175" s="12" t="n"/>
      <c r="Y175" s="12" t="n"/>
      <c r="Z175" s="12" t="n"/>
      <c r="AA175" s="12" t="n"/>
      <c r="AB175" s="12">
        <f>SUM(X175:AA175)</f>
        <v>0</v>
      </c>
      <c r="AC175" s="12" t="n"/>
      <c r="AD175" s="12" t="n"/>
      <c r="AE175" s="12" t="n"/>
      <c r="AF175" s="11" t="n"/>
      <c r="AG175" s="12">
        <f>SUM(AC175:AF175)</f>
        <v>0</v>
      </c>
      <c r="AH175" s="11" t="n"/>
      <c r="AI175" s="11" t="n"/>
      <c r="AJ175" s="11">
        <f>0</f>
        <v>0</v>
      </c>
      <c r="AK175" s="11">
        <f>0</f>
        <v>0</v>
      </c>
      <c r="AL175" s="12" t="n"/>
      <c r="AM175" s="11">
        <f>0</f>
        <v>0</v>
      </c>
      <c r="AN175" s="11">
        <f>0</f>
        <v>0</v>
      </c>
      <c r="AO175" s="11">
        <f>0</f>
        <v>0</v>
      </c>
      <c r="AP175" s="11">
        <f>0</f>
        <v>0</v>
      </c>
      <c r="AQ175" s="12" t="n"/>
      <c r="AR175" s="11">
        <f>0</f>
        <v>0</v>
      </c>
      <c r="AS175" s="11">
        <f>0</f>
        <v>0</v>
      </c>
      <c r="AT175" s="11">
        <f>0</f>
        <v>0</v>
      </c>
      <c r="AU175" s="11">
        <f>0</f>
        <v>0</v>
      </c>
      <c r="AV175" s="12" t="n"/>
      <c r="AW175" s="11">
        <f>0</f>
        <v>0</v>
      </c>
      <c r="AX175" s="11">
        <f>0</f>
        <v>0</v>
      </c>
      <c r="AY175" s="11">
        <f>0</f>
        <v>0</v>
      </c>
      <c r="AZ175" s="11">
        <f>0</f>
        <v>0</v>
      </c>
      <c r="BA175" s="12" t="n"/>
      <c r="BB175" s="11">
        <f>0</f>
        <v>0</v>
      </c>
      <c r="BC175" s="11">
        <f>0</f>
        <v>0</v>
      </c>
      <c r="BD175" s="11">
        <f>0</f>
        <v>0</v>
      </c>
      <c r="BE175" s="11">
        <f>0</f>
        <v>0</v>
      </c>
      <c r="BF175" s="12" t="n"/>
      <c r="BG175" s="11" t="n"/>
      <c r="BH175" s="11" t="n"/>
      <c r="BI175" s="11" t="n"/>
      <c r="BJ175" s="11" t="n"/>
      <c r="BK175" s="12" t="n"/>
      <c r="BL175" s="11" t="n"/>
      <c r="BM175" s="11" t="n"/>
      <c r="BN175" s="11" t="n"/>
      <c r="BO175" s="11" t="n"/>
      <c r="BP175" s="12" t="n"/>
      <c r="BQ175" s="11" t="n"/>
      <c r="BR175" s="11" t="n"/>
      <c r="BS175" s="11" t="n"/>
      <c r="BT175" s="11" t="n"/>
      <c r="BU175" s="12" t="n"/>
      <c r="BV175" s="11" t="n"/>
      <c r="BW175" s="11" t="n"/>
      <c r="BX175" s="11" t="n"/>
      <c r="BY175" s="11" t="n"/>
      <c r="BZ175" s="12" t="n"/>
      <c r="CA175" s="11" t="n"/>
      <c r="CB175" s="11" t="n"/>
      <c r="CC175" s="11" t="n"/>
      <c r="CD175" s="11" t="n"/>
      <c r="CE175" s="12" t="n"/>
      <c r="CF175" s="11" t="n"/>
      <c r="CG175" s="11" t="n"/>
      <c r="CH175" s="11" t="n"/>
      <c r="CI175" s="11" t="n"/>
      <c r="CJ175" s="12" t="n"/>
      <c r="CK175" s="11" t="n"/>
      <c r="CL175" s="11" t="n"/>
      <c r="CM175" s="11" t="n"/>
      <c r="CN175" s="11" t="n"/>
      <c r="CO175" s="12" t="n"/>
      <c r="CP175" s="11" t="n"/>
      <c r="CQ175" s="11" t="n"/>
      <c r="CR175" s="11" t="n"/>
      <c r="CS175" s="11" t="n"/>
      <c r="CT175" s="12" t="n"/>
      <c r="CU175" s="11" t="n"/>
      <c r="CV175" s="11" t="n"/>
      <c r="CW175" s="11" t="n"/>
      <c r="CX175" s="11" t="n"/>
      <c r="CY175" s="12" t="n"/>
    </row>
    <row r="176" hidden="1" outlineLevel="1">
      <c r="C176" s="57" t="inlineStr">
        <is>
          <t>Depreciation</t>
        </is>
      </c>
      <c r="D176" s="12" t="n"/>
      <c r="E176" s="12" t="n"/>
      <c r="F176" s="12" t="n"/>
      <c r="G176" s="12" t="n"/>
      <c r="H176" s="12" t="n"/>
      <c r="I176" s="12">
        <f>I76</f>
        <v>-217.049</v>
      </c>
      <c r="J176" s="12">
        <f>J76</f>
        <v>-241.434278302</v>
      </c>
      <c r="K176" s="12">
        <f>K76</f>
        <v>-275.839366387</v>
      </c>
      <c r="L176" s="12">
        <f>L76</f>
        <v>-324.792357953</v>
      </c>
      <c r="M176" s="12" t="n"/>
      <c r="N176" s="12">
        <f>N76</f>
        <v>-377.493</v>
      </c>
      <c r="O176" s="12">
        <f>O76</f>
        <v>-416.207797424</v>
      </c>
      <c r="P176" s="12">
        <f>P76</f>
        <v>-510.065305927</v>
      </c>
      <c r="Q176" s="12">
        <f>Q76</f>
        <v>-582.510896649</v>
      </c>
      <c r="R176" s="12" t="n"/>
      <c r="S176" s="12">
        <f>S76</f>
        <v>-646.759784851</v>
      </c>
      <c r="T176" s="12">
        <f>T76</f>
        <v>-679.385996477</v>
      </c>
      <c r="U176" s="12">
        <f>U76</f>
        <v>-717.0810067</v>
      </c>
      <c r="V176" s="12">
        <f>V76</f>
        <v>-1060.725844473</v>
      </c>
      <c r="W176" s="12" t="n"/>
      <c r="X176" s="12">
        <f>X76</f>
        <v>-821.97976934</v>
      </c>
      <c r="Y176" s="12">
        <f>Y76</f>
        <v>-897.64322214</v>
      </c>
      <c r="Z176" s="12">
        <f>Z76</f>
        <v>-997.19452895</v>
      </c>
      <c r="AA176" s="12">
        <f>AA76</f>
        <v>-974.30236992</v>
      </c>
      <c r="AB176" s="12" t="n"/>
      <c r="AC176" s="12">
        <f>AC76</f>
        <v>-1052.41326183</v>
      </c>
      <c r="AD176" s="12">
        <f>AD76</f>
        <v>-1118.94089968</v>
      </c>
      <c r="AE176" s="12">
        <f>AE76</f>
        <v>-1172.06197375</v>
      </c>
      <c r="AF176" s="12">
        <f>AF76</f>
        <v>-1197.96966855</v>
      </c>
      <c r="AG176" s="12" t="n"/>
      <c r="AH176" s="12">
        <f>AH76</f>
        <v>-1239.92653653</v>
      </c>
      <c r="AI176" s="12">
        <f>AI76</f>
        <v>-1253.5541439</v>
      </c>
      <c r="AJ176" s="12">
        <f>AJ76</f>
        <v>-1274.71175447125</v>
      </c>
      <c r="AK176" s="12">
        <f>AK76</f>
        <v>-1276.84281860378</v>
      </c>
      <c r="AL176" s="12" t="n"/>
      <c r="AM176" s="12">
        <f>AM76</f>
        <v>-1254.42887476663</v>
      </c>
      <c r="AN176" s="12">
        <f>AN76</f>
        <v>-1291.67529793203</v>
      </c>
      <c r="AO176" s="12">
        <f>AO76</f>
        <v>-1352.82151681097</v>
      </c>
      <c r="AP176" s="12">
        <f>AP76</f>
        <v>-1355.08316490676</v>
      </c>
      <c r="AQ176" s="12" t="n"/>
      <c r="AR176" s="12">
        <f>AR76</f>
        <v>-1325.02363064409</v>
      </c>
      <c r="AS176" s="12">
        <f>AS76</f>
        <v>-1364.36614885606</v>
      </c>
      <c r="AT176" s="12">
        <f>AT76</f>
        <v>-1428.95345752607</v>
      </c>
      <c r="AU176" s="12">
        <f>AU76</f>
        <v>-1431.34238306135</v>
      </c>
      <c r="AV176" s="12" t="n"/>
      <c r="AW176" s="12">
        <f>AW76</f>
        <v>-1392.96608791804</v>
      </c>
      <c r="AX176" s="12">
        <f>AX76</f>
        <v>-1434.32594929344</v>
      </c>
      <c r="AY176" s="12">
        <f>AY76</f>
        <v>-1502.22506339716</v>
      </c>
      <c r="AZ176" s="12">
        <f>AZ76</f>
        <v>-1504.73648446185</v>
      </c>
      <c r="BA176" s="12" t="n"/>
      <c r="BB176" s="12">
        <f>BB76</f>
        <v>-1457.42756016744</v>
      </c>
      <c r="BC176" s="12">
        <f>BC76</f>
        <v>-1500.7014075181</v>
      </c>
      <c r="BD176" s="12">
        <f>BD76</f>
        <v>-1571.74264898408</v>
      </c>
      <c r="BE176" s="12">
        <f>BE76</f>
        <v>-1574.37028960405</v>
      </c>
      <c r="BF176" s="12" t="n"/>
      <c r="BG176" s="12" t="n"/>
      <c r="BH176" s="12" t="n"/>
      <c r="BI176" s="12" t="n"/>
      <c r="BJ176" s="12" t="n"/>
      <c r="BK176" s="12" t="n"/>
      <c r="BL176" s="12" t="n"/>
      <c r="BM176" s="12" t="n"/>
      <c r="BN176" s="12" t="n"/>
      <c r="BO176" s="12" t="n"/>
      <c r="BP176" s="12" t="n"/>
      <c r="BQ176" s="12" t="n"/>
      <c r="BR176" s="12" t="n"/>
      <c r="BS176" s="12" t="n"/>
      <c r="BT176" s="12" t="n"/>
      <c r="BU176" s="12" t="n"/>
      <c r="BV176" s="12" t="n"/>
      <c r="BW176" s="12" t="n"/>
      <c r="BX176" s="12" t="n"/>
      <c r="BY176" s="12" t="n"/>
      <c r="BZ176" s="12" t="n"/>
      <c r="CA176" s="12" t="n"/>
      <c r="CB176" s="12" t="n"/>
      <c r="CC176" s="12" t="n"/>
      <c r="CD176" s="12" t="n"/>
      <c r="CE176" s="12" t="n"/>
      <c r="CF176" s="12" t="n"/>
      <c r="CG176" s="12" t="n"/>
      <c r="CH176" s="12" t="n"/>
      <c r="CI176" s="12" t="n"/>
      <c r="CJ176" s="12" t="n"/>
      <c r="CK176" s="12" t="n"/>
      <c r="CL176" s="12" t="n"/>
      <c r="CM176" s="12" t="n"/>
      <c r="CN176" s="12" t="n"/>
      <c r="CO176" s="12" t="n"/>
      <c r="CP176" s="12" t="n"/>
      <c r="CQ176" s="12" t="n"/>
      <c r="CR176" s="12" t="n"/>
      <c r="CS176" s="12" t="n"/>
      <c r="CT176" s="12" t="n"/>
      <c r="CU176" s="12" t="n"/>
      <c r="CV176" s="12" t="n"/>
      <c r="CW176" s="12" t="n"/>
      <c r="CX176" s="12" t="n"/>
      <c r="CY176" s="12" t="n"/>
    </row>
    <row r="177" hidden="1" outlineLevel="1">
      <c r="C177" s="57" t="inlineStr">
        <is>
          <t>PP&amp;E</t>
        </is>
      </c>
      <c r="D177" s="12" t="n"/>
      <c r="E177" s="12" t="n"/>
      <c r="F177" s="12" t="n"/>
      <c r="G177" s="12" t="n"/>
      <c r="H177" s="12" t="n"/>
      <c r="I177" s="12">
        <f>I172</f>
        <v>12745.105</v>
      </c>
      <c r="J177" s="12">
        <f>J172</f>
        <v>15023.583</v>
      </c>
      <c r="K177" s="12">
        <f>K172</f>
        <v>17425.606</v>
      </c>
      <c r="L177" s="12">
        <f>L172</f>
        <v>21567.72</v>
      </c>
      <c r="M177" s="12" t="n"/>
      <c r="N177" s="12">
        <f>N172</f>
        <v>23807.944</v>
      </c>
      <c r="O177" s="12">
        <f>O172</f>
        <v>27512.254</v>
      </c>
      <c r="P177" s="12">
        <f>P172</f>
        <v>30582.589</v>
      </c>
      <c r="Q177" s="12">
        <f>Q172</f>
        <v>34130.983</v>
      </c>
      <c r="R177" s="12" t="n"/>
      <c r="S177" s="12">
        <f>S172</f>
        <v>34225.482216155</v>
      </c>
      <c r="T177" s="12">
        <f>T172</f>
        <v>34978.682717719</v>
      </c>
      <c r="U177" s="12">
        <f>U172</f>
        <v>36138.915837121</v>
      </c>
      <c r="V177" s="12">
        <f>V172</f>
        <v>39826.16194536</v>
      </c>
      <c r="W177" s="12" t="n"/>
      <c r="X177" s="12">
        <f>X172</f>
        <v>41091.22830083</v>
      </c>
      <c r="Y177" s="12">
        <f>Y172</f>
        <v>42196.61393108</v>
      </c>
      <c r="Z177" s="12">
        <f>Z172</f>
        <v>42975.007818529</v>
      </c>
      <c r="AA177" s="12">
        <f>Y177+SUM(AA174:AA176)</f>
        <v>44839.819379261</v>
      </c>
      <c r="AB177" s="12" t="n"/>
      <c r="AC177" s="12">
        <f>AC172</f>
        <v>44794.68291003</v>
      </c>
      <c r="AD177" s="12">
        <f>AD172</f>
        <v>45294.24820465</v>
      </c>
      <c r="AE177" s="12">
        <f>AE172</f>
        <v>45456.94628539</v>
      </c>
      <c r="AF177" s="12">
        <f>AF172</f>
        <v>47862.56933573</v>
      </c>
      <c r="AG177" s="12" t="n"/>
      <c r="AH177" s="12">
        <f>AH172</f>
        <v>46426.00572838</v>
      </c>
      <c r="AI177" s="12">
        <f>AI172</f>
        <v>48115.27756408</v>
      </c>
      <c r="AJ177" s="12">
        <f>AI177+SUM(AJ174:AJ176)</f>
        <v>48568.7783869516</v>
      </c>
      <c r="AK177" s="12">
        <f>AJ177+SUM(AK174:AK176)</f>
        <v>49023.0373728622</v>
      </c>
      <c r="AL177" s="12" t="n"/>
      <c r="AM177" s="12">
        <f>AK177+SUM(AM174:AM176)</f>
        <v>49469.3222093714</v>
      </c>
      <c r="AN177" s="12">
        <f>AM177+SUM(AN174:AN176)</f>
        <v>49928.8581071462</v>
      </c>
      <c r="AO177" s="12">
        <f>AN177+SUM(AO174:AO176)</f>
        <v>50410.1478331727</v>
      </c>
      <c r="AP177" s="12">
        <f>AO177+SUM(AP174:AP176)</f>
        <v>50892.2421797487</v>
      </c>
      <c r="AQ177" s="12" t="n"/>
      <c r="AR177" s="12">
        <f>AP177+SUM(AR174:AR176)</f>
        <v>51363.6423254787</v>
      </c>
      <c r="AS177" s="12">
        <f>AR177+SUM(AS174:AS176)</f>
        <v>51849.0392546542</v>
      </c>
      <c r="AT177" s="12">
        <f>AS177+SUM(AT174:AT176)</f>
        <v>52357.4142394774</v>
      </c>
      <c r="AU177" s="12">
        <f>AT177+SUM(AU174:AU176)</f>
        <v>52866.6391260076</v>
      </c>
      <c r="AV177" s="12" t="n"/>
      <c r="AW177" s="12">
        <f>AU177+SUM(AW174:AW176)</f>
        <v>53362.2109797127</v>
      </c>
      <c r="AX177" s="12">
        <f>AW177+SUM(AX174:AX176)</f>
        <v>53872.4973216948</v>
      </c>
      <c r="AY177" s="12">
        <f>AX177+SUM(AY174:AY176)</f>
        <v>54406.9399515672</v>
      </c>
      <c r="AZ177" s="12">
        <f>AY177+SUM(AZ174:AZ176)</f>
        <v>54942.2760630565</v>
      </c>
      <c r="BA177" s="12" t="n"/>
      <c r="BB177" s="12">
        <f>AZ177+SUM(BB174:BB176)</f>
        <v>55460.7812039193</v>
      </c>
      <c r="BC177" s="12">
        <f>BB177+SUM(BC174:BC176)</f>
        <v>55994.6817667774</v>
      </c>
      <c r="BD177" s="12">
        <f>BC177+SUM(BD174:BD176)</f>
        <v>56553.8564838508</v>
      </c>
      <c r="BE177" s="12">
        <f>BD177+SUM(BE174:BE176)</f>
        <v>57113.9660296643</v>
      </c>
      <c r="BF177" s="12" t="n"/>
      <c r="BG177" s="12" t="n"/>
      <c r="BH177" s="12" t="n"/>
      <c r="BI177" s="12" t="n"/>
      <c r="BJ177" s="12" t="n"/>
      <c r="BK177" s="12" t="n"/>
      <c r="BL177" s="12" t="n"/>
      <c r="BM177" s="12" t="n"/>
      <c r="BN177" s="12" t="n"/>
      <c r="BO177" s="12" t="n"/>
      <c r="BP177" s="12" t="n"/>
      <c r="BQ177" s="12" t="n"/>
      <c r="BR177" s="12" t="n"/>
      <c r="BS177" s="12" t="n"/>
      <c r="BT177" s="12" t="n"/>
      <c r="BU177" s="12" t="n"/>
      <c r="BV177" s="12" t="n"/>
      <c r="BW177" s="12" t="n"/>
      <c r="BX177" s="12" t="n"/>
      <c r="BY177" s="12" t="n"/>
      <c r="BZ177" s="12" t="n"/>
      <c r="CA177" s="12" t="n"/>
      <c r="CB177" s="12" t="n"/>
      <c r="CC177" s="12" t="n"/>
      <c r="CD177" s="12" t="n"/>
      <c r="CE177" s="12" t="n"/>
      <c r="CF177" s="12" t="n"/>
      <c r="CG177" s="12" t="n"/>
      <c r="CH177" s="12" t="n"/>
      <c r="CI177" s="12" t="n"/>
      <c r="CJ177" s="12" t="n"/>
      <c r="CK177" s="12" t="n"/>
      <c r="CL177" s="12" t="n"/>
      <c r="CM177" s="12" t="n"/>
      <c r="CN177" s="12" t="n"/>
      <c r="CO177" s="12" t="n"/>
      <c r="CP177" s="12" t="n"/>
      <c r="CQ177" s="12" t="n"/>
      <c r="CR177" s="12" t="n"/>
      <c r="CS177" s="12" t="n"/>
      <c r="CT177" s="12" t="n"/>
      <c r="CU177" s="12" t="n"/>
      <c r="CV177" s="12" t="n"/>
      <c r="CW177" s="12" t="n"/>
      <c r="CX177" s="12" t="n"/>
      <c r="CY177" s="12" t="n"/>
    </row>
    <row r="178" hidden="1" outlineLevel="1">
      <c r="C178" s="57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>
        <f>IF(AJ15=0,"",AJ174/AJ15)</f>
        <v>0.146692919373321</v>
      </c>
      <c r="AK178" s="12">
        <f>IF(AK15=0,"",AK174/AK15)</f>
        <v>0.146692919373321</v>
      </c>
      <c r="AL178" s="12" t="n"/>
      <c r="AM178" s="12">
        <f>IF(AM15=0,"",AM174/AM15)</f>
        <v>0.146692919373321</v>
      </c>
      <c r="AN178" s="12">
        <f>IF(AN15=0,"",AN174/AN15)</f>
        <v>0.146692919373321</v>
      </c>
      <c r="AO178" s="12">
        <f>IF(AO15=0,"",AO174/AO15)</f>
        <v>0.146692919373321</v>
      </c>
      <c r="AP178" s="12">
        <f>IF(AP15=0,"",AP174/AP15)</f>
        <v>0.146692919373321</v>
      </c>
      <c r="AQ178" s="12" t="n"/>
      <c r="AR178" s="12">
        <f>IF(AR15=0,"",AR174/AR15)</f>
        <v>0.146692919373321</v>
      </c>
      <c r="AS178" s="12">
        <f>IF(AS15=0,"",AS174/AS15)</f>
        <v>0.146692919373321</v>
      </c>
      <c r="AT178" s="12">
        <f>IF(AT15=0,"",AT174/AT15)</f>
        <v>0.146692919373321</v>
      </c>
      <c r="AU178" s="12">
        <f>IF(AU15=0,"",AU174/AU15)</f>
        <v>0.146692919373321</v>
      </c>
      <c r="AV178" s="12" t="n"/>
      <c r="AW178" s="12">
        <f>IF(AW15=0,"",AW174/AW15)</f>
        <v>0.146692919373321</v>
      </c>
      <c r="AX178" s="12">
        <f>IF(AX15=0,"",AX174/AX15)</f>
        <v>0.146692919373321</v>
      </c>
      <c r="AY178" s="12">
        <f>IF(AY15=0,"",AY174/AY15)</f>
        <v>0.146692919373321</v>
      </c>
      <c r="AZ178" s="12">
        <f>IF(AZ15=0,"",AZ174/AZ15)</f>
        <v>0.146692919373321</v>
      </c>
      <c r="BA178" s="12" t="n"/>
      <c r="BB178" s="12">
        <f>IF(BB15=0,"",BB174/BB15)</f>
        <v>0.146692919373321</v>
      </c>
      <c r="BC178" s="12">
        <f>IF(BC15=0,"",BC174/BC15)</f>
        <v>0.146692919373321</v>
      </c>
      <c r="BD178" s="12">
        <f>IF(BD15=0,"",BD174/BD15)</f>
        <v>0.146692919373321</v>
      </c>
      <c r="BE178" s="12">
        <f>IF(BE15=0,"",BE174/BE15)</f>
        <v>0.146692919373321</v>
      </c>
      <c r="BF178" s="12" t="n"/>
      <c r="BG178" s="12" t="n"/>
      <c r="BH178" s="12" t="n"/>
      <c r="BI178" s="12" t="n"/>
      <c r="BJ178" s="12" t="n"/>
      <c r="BK178" s="12" t="n"/>
      <c r="BL178" s="12" t="n"/>
      <c r="BM178" s="12" t="n"/>
      <c r="BN178" s="12" t="n"/>
      <c r="BO178" s="12" t="n"/>
      <c r="BP178" s="12" t="n"/>
      <c r="BQ178" s="12" t="n"/>
      <c r="BR178" s="12" t="n"/>
      <c r="BS178" s="12" t="n"/>
      <c r="BT178" s="12" t="n"/>
      <c r="BU178" s="12" t="n"/>
      <c r="BV178" s="12" t="n"/>
      <c r="BW178" s="12" t="n"/>
      <c r="BX178" s="12" t="n"/>
      <c r="BY178" s="12" t="n"/>
      <c r="BZ178" s="12" t="n"/>
      <c r="CA178" s="12" t="n"/>
      <c r="CB178" s="12" t="n"/>
      <c r="CC178" s="12" t="n"/>
      <c r="CD178" s="12" t="n"/>
      <c r="CE178" s="12" t="n"/>
      <c r="CF178" s="12" t="n"/>
      <c r="CG178" s="12" t="n"/>
      <c r="CH178" s="12" t="n"/>
      <c r="CI178" s="12" t="n"/>
      <c r="CJ178" s="12" t="n"/>
      <c r="CK178" s="12" t="n"/>
      <c r="CL178" s="12" t="n"/>
      <c r="CM178" s="12" t="n"/>
      <c r="CN178" s="12" t="n"/>
      <c r="CO178" s="12" t="n"/>
      <c r="CP178" s="12" t="n"/>
      <c r="CQ178" s="12" t="n"/>
      <c r="CR178" s="12" t="n"/>
      <c r="CS178" s="12" t="n"/>
      <c r="CT178" s="12" t="n"/>
      <c r="CU178" s="12" t="n"/>
      <c r="CV178" s="12" t="n"/>
      <c r="CW178" s="12" t="n"/>
      <c r="CX178" s="12" t="n"/>
      <c r="CY178" s="12" t="n"/>
    </row>
    <row r="179" hidden="1" outlineLevel="1">
      <c r="C179" s="57" t="inlineStr">
        <is>
          <t>Capital expenditures (% Net Revenues)</t>
        </is>
      </c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58">
        <f>IFERROR(AF174/AF15,"")</f>
        <v>0.324078899125203</v>
      </c>
      <c r="AG179" s="58">
        <f>IFERROR(AG174/AG15,"")</f>
        <v>0.158523718007609</v>
      </c>
      <c r="AH179" s="58">
        <f>IFERROR(AH174/AH15,"")</f>
        <v>-0.0179999726984202</v>
      </c>
      <c r="AI179" s="58">
        <f>IFERROR(AI174/AI15,"")</f>
        <v>0.261615649633202</v>
      </c>
      <c r="AJ179" s="58">
        <f>IFERROR(AJ174/AJ15,"")</f>
        <v>0.146692919373321</v>
      </c>
      <c r="AK179" s="58">
        <f>IFERROR(AK174/AK15,"")</f>
        <v>0.146692919373321</v>
      </c>
      <c r="AL179" s="58">
        <f>IFERROR(AL174/AL15,"")</f>
        <v>0</v>
      </c>
      <c r="AM179" s="58">
        <f>IFERROR(AM174/AM15,"")</f>
        <v>0.146692919373321</v>
      </c>
      <c r="AN179" s="58">
        <f>IFERROR(AN174/AN15,"")</f>
        <v>0.146692919373321</v>
      </c>
      <c r="AO179" s="58">
        <f>IFERROR(AO174/AO15,"")</f>
        <v>0.146692919373321</v>
      </c>
      <c r="AP179" s="58">
        <f>IFERROR(AP174/AP15,"")</f>
        <v>0.146692919373321</v>
      </c>
      <c r="AQ179" s="58">
        <f>IFERROR(AQ174/AQ15,"")</f>
        <v>0</v>
      </c>
      <c r="AR179" s="58">
        <f>IFERROR(AR174/AR15,"")</f>
        <v>0.146692919373321</v>
      </c>
      <c r="AS179" s="58">
        <f>IFERROR(AS174/AS15,"")</f>
        <v>0.146692919373321</v>
      </c>
      <c r="AT179" s="58">
        <f>IFERROR(AT174/AT15,"")</f>
        <v>0.146692919373321</v>
      </c>
      <c r="AU179" s="58">
        <f>IFERROR(AU174/AU15,"")</f>
        <v>0.146692919373321</v>
      </c>
      <c r="AV179" s="58">
        <f>IFERROR(AV174/AV15,"")</f>
        <v>0</v>
      </c>
      <c r="AW179" s="58">
        <f>IFERROR(AW174/AW15,"")</f>
        <v>0.146692919373321</v>
      </c>
      <c r="AX179" s="58">
        <f>IFERROR(AX174/AX15,"")</f>
        <v>0.146692919373321</v>
      </c>
      <c r="AY179" s="58">
        <f>IFERROR(AY174/AY15,"")</f>
        <v>0.146692919373321</v>
      </c>
      <c r="AZ179" s="58">
        <f>IFERROR(AZ174/AZ15,"")</f>
        <v>0.146692919373321</v>
      </c>
      <c r="BA179" s="58">
        <f>IFERROR(BA174/BA15,"")</f>
        <v>0</v>
      </c>
      <c r="BB179" s="58">
        <f>IFERROR(BB174/BB15,"")</f>
        <v>0.146692919373321</v>
      </c>
      <c r="BC179" s="58">
        <f>IFERROR(BC174/BC15,"")</f>
        <v>0.146692919373321</v>
      </c>
      <c r="BD179" s="58">
        <f>IFERROR(BD174/BD15,"")</f>
        <v>0.146692919373321</v>
      </c>
      <c r="BE179" s="58">
        <f>IFERROR(BE174/BE15,"")</f>
        <v>0.146692919373321</v>
      </c>
      <c r="BF179" s="58">
        <f>IFERROR(BF174/BF15,"")</f>
        <v>0</v>
      </c>
      <c r="BG179" s="58" t="n"/>
      <c r="BH179" s="58" t="n"/>
      <c r="BI179" s="58" t="n"/>
      <c r="BJ179" s="58" t="n"/>
      <c r="BK179" s="58" t="n"/>
      <c r="BL179" s="58" t="n"/>
      <c r="BM179" s="58" t="n"/>
      <c r="BN179" s="58" t="n"/>
      <c r="BO179" s="58" t="n"/>
      <c r="BP179" s="58" t="n"/>
      <c r="BQ179" s="58" t="n"/>
      <c r="BR179" s="58" t="n"/>
      <c r="BS179" s="58" t="n"/>
      <c r="BT179" s="58" t="n"/>
      <c r="BU179" s="58" t="n"/>
      <c r="BV179" s="58" t="n"/>
      <c r="BW179" s="58" t="n"/>
      <c r="BX179" s="58" t="n"/>
      <c r="BY179" s="58" t="n"/>
      <c r="BZ179" s="58" t="n"/>
      <c r="CA179" s="58" t="n"/>
      <c r="CB179" s="58" t="n"/>
      <c r="CC179" s="58" t="n"/>
      <c r="CD179" s="58" t="n"/>
      <c r="CE179" s="58" t="n"/>
      <c r="CF179" s="58" t="n"/>
      <c r="CG179" s="58" t="n"/>
      <c r="CH179" s="58" t="n"/>
      <c r="CI179" s="58" t="n"/>
      <c r="CJ179" s="58" t="n"/>
      <c r="CK179" s="58" t="n"/>
      <c r="CL179" s="58" t="n"/>
      <c r="CM179" s="58" t="n"/>
      <c r="CN179" s="58" t="n"/>
      <c r="CO179" s="58" t="n"/>
      <c r="CP179" s="58" t="n"/>
      <c r="CQ179" s="58" t="n"/>
      <c r="CR179" s="58" t="n"/>
      <c r="CS179" s="58" t="n"/>
      <c r="CT179" s="58" t="n"/>
      <c r="CU179" s="58" t="n"/>
      <c r="CV179" s="58" t="n"/>
      <c r="CW179" s="58" t="n"/>
      <c r="CX179" s="58" t="n"/>
      <c r="CY179" s="58" t="n"/>
    </row>
    <row r="180" hidden="1" outlineLevel="1">
      <c r="C180" s="57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hidden="1" outlineLevel="1">
      <c r="C181" s="57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  <c r="AL181" s="12" t="n"/>
      <c r="AM181" s="12" t="n"/>
      <c r="AN181" s="12" t="n"/>
      <c r="AO181" s="12" t="n"/>
      <c r="AP181" s="12" t="n"/>
      <c r="AQ181" s="12" t="n"/>
      <c r="AR181" s="12" t="n"/>
      <c r="AS181" s="12" t="n"/>
      <c r="AT181" s="12" t="n"/>
      <c r="AU181" s="12" t="n"/>
      <c r="AV181" s="12" t="n"/>
      <c r="AW181" s="12" t="n"/>
      <c r="AX181" s="12" t="n"/>
      <c r="AY181" s="12" t="n"/>
      <c r="AZ181" s="12" t="n"/>
      <c r="BA181" s="12" t="n"/>
      <c r="BB181" s="12" t="n"/>
      <c r="BC181" s="12" t="n"/>
      <c r="BD181" s="12" t="n"/>
      <c r="BE181" s="12" t="n"/>
      <c r="BF181" s="12" t="n"/>
      <c r="BG181" s="12" t="n"/>
      <c r="BH181" s="12" t="n"/>
      <c r="BI181" s="12" t="n"/>
      <c r="BJ181" s="12" t="n"/>
      <c r="BK181" s="12" t="n"/>
      <c r="BL181" s="12" t="n"/>
      <c r="BM181" s="12" t="n"/>
      <c r="BN181" s="12" t="n"/>
      <c r="BO181" s="12" t="n"/>
      <c r="BP181" s="12" t="n"/>
      <c r="BQ181" s="12" t="n"/>
      <c r="BR181" s="12" t="n"/>
      <c r="BS181" s="12" t="n"/>
      <c r="BT181" s="12" t="n"/>
      <c r="BU181" s="12" t="n"/>
      <c r="BV181" s="12" t="n"/>
      <c r="BW181" s="12" t="n"/>
      <c r="BX181" s="12" t="n"/>
      <c r="BY181" s="12" t="n"/>
      <c r="BZ181" s="12" t="n"/>
      <c r="CA181" s="12" t="n"/>
      <c r="CB181" s="12" t="n"/>
      <c r="CC181" s="12" t="n"/>
      <c r="CD181" s="12" t="n"/>
      <c r="CE181" s="12" t="n"/>
      <c r="CF181" s="12" t="n"/>
      <c r="CG181" s="12" t="n"/>
      <c r="CH181" s="12" t="n"/>
      <c r="CI181" s="12" t="n"/>
      <c r="CJ181" s="12" t="n"/>
      <c r="CK181" s="12" t="n"/>
      <c r="CL181" s="12" t="n"/>
      <c r="CM181" s="12" t="n"/>
      <c r="CN181" s="12" t="n"/>
      <c r="CO181" s="12" t="n"/>
      <c r="CP181" s="12" t="n"/>
      <c r="CQ181" s="12" t="n"/>
      <c r="CR181" s="12" t="n"/>
      <c r="CS181" s="12" t="n"/>
      <c r="CT181" s="12" t="n"/>
      <c r="CU181" s="12" t="n"/>
      <c r="CV181" s="12" t="n"/>
      <c r="CW181" s="12" t="n"/>
      <c r="CX181" s="12" t="n"/>
      <c r="CY181" s="12" t="n"/>
    </row>
    <row r="182" collapsed="1">
      <c r="C182" s="14" t="inlineStr">
        <is>
          <t>Right-of-use-assets</t>
        </is>
      </c>
      <c r="D182" s="46" t="n"/>
      <c r="E182" s="46" t="n"/>
      <c r="F182" s="46" t="n"/>
      <c r="G182" s="46" t="n"/>
      <c r="H182" s="12" t="n"/>
      <c r="I182" s="46">
        <f>'Inputs (2)'!D23</f>
        <v>0</v>
      </c>
      <c r="J182" s="46">
        <f>'Inputs (2)'!E23</f>
        <v>0</v>
      </c>
      <c r="K182" s="46">
        <f>'Inputs (2)'!F23</f>
        <v>0</v>
      </c>
      <c r="L182" s="46">
        <f>'Inputs (2)'!G23</f>
        <v>0</v>
      </c>
      <c r="M182" s="12">
        <f>'Inputs (2)'!H23</f>
        <v>0</v>
      </c>
      <c r="N182" s="46">
        <f>'Inputs (2)'!I23</f>
        <v>0</v>
      </c>
      <c r="O182" s="46">
        <f>'Inputs (2)'!J23</f>
        <v>0</v>
      </c>
      <c r="P182" s="46">
        <f>'Inputs (2)'!K23</f>
        <v>0</v>
      </c>
      <c r="Q182" s="46">
        <f>'Inputs (2)'!L23</f>
        <v>0</v>
      </c>
      <c r="R182" s="12">
        <f>'Inputs (2)'!M23</f>
        <v>0</v>
      </c>
      <c r="S182" s="46">
        <f>'Inputs (2)'!N23</f>
        <v>0</v>
      </c>
      <c r="T182" s="46">
        <f>'Inputs (2)'!O23</f>
        <v>0</v>
      </c>
      <c r="U182" s="46">
        <f>'Inputs (2)'!P23</f>
        <v>0</v>
      </c>
      <c r="V182" s="46">
        <f>'Inputs (2)'!Q23</f>
        <v>0</v>
      </c>
      <c r="W182" s="12">
        <f>'Inputs (2)'!R23</f>
        <v>0</v>
      </c>
      <c r="X182" s="46">
        <f>'Inputs (2)'!S23</f>
        <v>0</v>
      </c>
      <c r="Y182" s="46">
        <f>'Inputs (2)'!T23</f>
        <v>0</v>
      </c>
      <c r="Z182" s="46">
        <f>'Inputs (2)'!U23</f>
        <v>0</v>
      </c>
      <c r="AA182" s="46">
        <f>'Inputs (2)'!V23</f>
        <v>0</v>
      </c>
      <c r="AB182" s="12">
        <f>'Inputs (2)'!W23</f>
        <v>0</v>
      </c>
      <c r="AC182" s="46">
        <f>'Inputs (2)'!X23</f>
        <v>0</v>
      </c>
      <c r="AD182" s="46">
        <f>'Inputs (2)'!Y23</f>
        <v>0</v>
      </c>
      <c r="AE182" s="46">
        <f>'Inputs (2)'!Z23</f>
        <v>0</v>
      </c>
      <c r="AF182" s="46">
        <f>'Inputs (2)'!AA23</f>
        <v>0</v>
      </c>
      <c r="AG182" s="12">
        <f>'Inputs (2)'!AB23</f>
        <v>0</v>
      </c>
      <c r="AH182" s="12">
        <f>'Inputs (2)'!AC23</f>
        <v>0</v>
      </c>
      <c r="AI182" s="12">
        <f>'Inputs (2)'!AD23</f>
        <v>0</v>
      </c>
      <c r="AJ182" s="12">
        <f>AI182</f>
        <v>0</v>
      </c>
      <c r="AK182" s="12">
        <f>AJ182</f>
        <v>0</v>
      </c>
      <c r="AL182" s="12">
        <f>AK182</f>
        <v>0</v>
      </c>
      <c r="AM182" s="12">
        <f>AL182</f>
        <v>0</v>
      </c>
      <c r="AN182" s="12">
        <f>AM182</f>
        <v>0</v>
      </c>
      <c r="AO182" s="12">
        <f>AN182</f>
        <v>0</v>
      </c>
      <c r="AP182" s="12">
        <f>AO182</f>
        <v>0</v>
      </c>
      <c r="AQ182" s="12">
        <f>AP182</f>
        <v>0</v>
      </c>
      <c r="AR182" s="12">
        <f>AQ182</f>
        <v>0</v>
      </c>
      <c r="AS182" s="12">
        <f>AR182</f>
        <v>0</v>
      </c>
      <c r="AT182" s="12">
        <f>AS182</f>
        <v>0</v>
      </c>
      <c r="AU182" s="12">
        <f>AT182</f>
        <v>0</v>
      </c>
      <c r="AV182" s="12">
        <f>AU182</f>
        <v>0</v>
      </c>
      <c r="AW182" s="12">
        <f>AV182</f>
        <v>0</v>
      </c>
      <c r="AX182" s="12">
        <f>AW182</f>
        <v>0</v>
      </c>
      <c r="AY182" s="12">
        <f>AX182</f>
        <v>0</v>
      </c>
      <c r="AZ182" s="12">
        <f>AY182</f>
        <v>0</v>
      </c>
      <c r="BA182" s="12">
        <f>AZ182</f>
        <v>0</v>
      </c>
      <c r="BB182" s="12">
        <f>BA182</f>
        <v>0</v>
      </c>
      <c r="BC182" s="12">
        <f>BB182</f>
        <v>0</v>
      </c>
      <c r="BD182" s="12">
        <f>BC182</f>
        <v>0</v>
      </c>
      <c r="BE182" s="12">
        <f>BD182</f>
        <v>0</v>
      </c>
      <c r="BF182" s="12">
        <f>BE182</f>
        <v>0</v>
      </c>
      <c r="BG182" s="12" t="n"/>
      <c r="BH182" s="12" t="n"/>
      <c r="BI182" s="12" t="n"/>
      <c r="BJ182" s="12" t="n"/>
      <c r="BK182" s="12" t="n"/>
      <c r="BL182" s="12" t="n"/>
      <c r="BM182" s="12" t="n"/>
      <c r="BN182" s="12" t="n"/>
      <c r="BO182" s="12" t="n"/>
      <c r="BP182" s="12" t="n"/>
      <c r="BQ182" s="12" t="n"/>
      <c r="BR182" s="12" t="n"/>
      <c r="BS182" s="12" t="n"/>
      <c r="BT182" s="12" t="n"/>
      <c r="BU182" s="12" t="n"/>
      <c r="BV182" s="12" t="n"/>
      <c r="BW182" s="12" t="n"/>
      <c r="BX182" s="12" t="n"/>
      <c r="BY182" s="12" t="n"/>
      <c r="BZ182" s="12" t="n"/>
      <c r="CA182" s="12" t="n"/>
      <c r="CB182" s="12" t="n"/>
      <c r="CC182" s="12" t="n"/>
      <c r="CD182" s="12" t="n"/>
      <c r="CE182" s="12" t="n"/>
      <c r="CF182" s="12" t="n"/>
      <c r="CG182" s="12" t="n"/>
      <c r="CH182" s="12" t="n"/>
      <c r="CI182" s="12" t="n"/>
      <c r="CJ182" s="12" t="n"/>
      <c r="CK182" s="12" t="n"/>
      <c r="CL182" s="12" t="n"/>
      <c r="CM182" s="12" t="n"/>
      <c r="CN182" s="12" t="n"/>
      <c r="CO182" s="12" t="n"/>
      <c r="CP182" s="12" t="n"/>
      <c r="CQ182" s="12" t="n"/>
      <c r="CR182" s="12" t="n"/>
      <c r="CS182" s="12" t="n"/>
      <c r="CT182" s="12" t="n"/>
      <c r="CU182" s="12" t="n"/>
      <c r="CV182" s="12" t="n"/>
      <c r="CW182" s="12" t="n"/>
      <c r="CX182" s="12" t="n"/>
      <c r="CY182" s="12" t="n"/>
    </row>
    <row r="183" hidden="1" outlineLevel="1">
      <c r="C183" s="59" t="inlineStr">
        <is>
          <t>%(Var.)</t>
        </is>
      </c>
      <c r="D183" s="12" t="n"/>
      <c r="E183" s="40" t="n"/>
      <c r="F183" s="40" t="n"/>
      <c r="G183" s="40" t="n"/>
      <c r="H183" s="12" t="n"/>
      <c r="I183" s="40" t="str">
        <f>""</f>
        <v/>
      </c>
      <c r="J183" s="40" t="str">
        <f>IFERROR(IF(I182=0,"",J182/I182-1),"")</f>
        <v/>
      </c>
      <c r="K183" s="40" t="str">
        <f>IFERROR(IF(J182=0,"",K182/J182-1),"")</f>
        <v/>
      </c>
      <c r="L183" s="40" t="str">
        <f>IFERROR(IF(K182=0,"",L182/K182-1),"")</f>
        <v/>
      </c>
      <c r="M183" s="12" t="str">
        <f>IFERROR(IF(L182=0,"",M182/L182-1),"")</f>
        <v/>
      </c>
      <c r="N183" s="40" t="str">
        <f>IFERROR(IF(M182=0,"",N182/M182-1),"")</f>
        <v/>
      </c>
      <c r="O183" s="40" t="str">
        <f>IFERROR(IF(N182=0,"",O182/N182-1),"")</f>
        <v/>
      </c>
      <c r="P183" s="40" t="str">
        <f>IFERROR(IF(O182=0,"",P182/O182-1),"")</f>
        <v/>
      </c>
      <c r="Q183" s="40" t="str">
        <f>IFERROR(IF(P182=0,"",Q182/P182-1),"")</f>
        <v/>
      </c>
      <c r="R183" s="12" t="str">
        <f>IFERROR(IF(Q182=0,"",R182/Q182-1),"")</f>
        <v/>
      </c>
      <c r="S183" s="40" t="str">
        <f>IFERROR(IF(R182=0,"",S182/R182-1),"")</f>
        <v/>
      </c>
      <c r="T183" s="40" t="str">
        <f>IFERROR(IF(S182=0,"",T182/S182-1),"")</f>
        <v/>
      </c>
      <c r="U183" s="40" t="str">
        <f>IFERROR(IF(T182=0,"",U182/T182-1),"")</f>
        <v/>
      </c>
      <c r="V183" s="40" t="str">
        <f>IFERROR(IF(U182=0,"",V182/U182-1),"")</f>
        <v/>
      </c>
      <c r="W183" s="12" t="str">
        <f>IFERROR(IF(V182=0,"",W182/V182-1),"")</f>
        <v/>
      </c>
      <c r="X183" s="40" t="str">
        <f>IFERROR(IF(W182=0,"",X182/W182-1),"")</f>
        <v/>
      </c>
      <c r="Y183" s="40" t="str">
        <f>IFERROR(IF(X182=0,"",Y182/X182-1),"")</f>
        <v/>
      </c>
      <c r="Z183" s="40" t="str">
        <f>IFERROR(IF(Y182=0,"",Z182/Y182-1),"")</f>
        <v/>
      </c>
      <c r="AA183" s="40" t="str">
        <f>IFERROR(IF(Z182=0,"",AA182/Z182-1),"")</f>
        <v/>
      </c>
      <c r="AB183" s="12" t="str">
        <f>IFERROR(IF(AA182=0,"",AB182/AA182-1),"")</f>
        <v/>
      </c>
      <c r="AC183" s="40" t="str">
        <f>IFERROR(IF(AB182=0,"",AC182/AB182-1),"")</f>
        <v/>
      </c>
      <c r="AD183" s="40" t="str">
        <f>IFERROR(IF(AC182=0,"",AD182/AC182-1),"")</f>
        <v/>
      </c>
      <c r="AE183" s="40" t="str">
        <f>IFERROR(IF(AD182=0,"",AE182/AD182-1),"")</f>
        <v/>
      </c>
      <c r="AF183" s="55" t="str">
        <f>IFERROR(IF(AE182=0,"",AF182/AE182-1),"")</f>
        <v/>
      </c>
      <c r="AG183" s="12" t="str">
        <f>IFERROR(IF(AF182=0,"",AG182/AF182-1),"")</f>
        <v/>
      </c>
      <c r="AH183" s="55" t="str">
        <f>IFERROR(IF(AG182=0,"",AH182/AG182-1),"")</f>
        <v/>
      </c>
      <c r="AI183" s="55" t="str">
        <f>IFERROR(IF(AH182=0,"",AI182/AH182-1),"")</f>
        <v/>
      </c>
      <c r="AJ183" s="55" t="str">
        <f>IFERROR(IF(AI182=0,"",AJ182/AI182-1),"")</f>
        <v/>
      </c>
      <c r="AK183" s="55" t="str">
        <f>IFERROR(IF(AJ182=0,"",AK182/AJ182-1),"")</f>
        <v/>
      </c>
      <c r="AL183" s="12" t="str">
        <f>IFERROR(IF(AK182=0,"",AL182/AK182-1),"")</f>
        <v/>
      </c>
      <c r="AM183" s="55" t="str">
        <f>IFERROR(IF(AL182=0,"",AM182/AL182-1),"")</f>
        <v/>
      </c>
      <c r="AN183" s="55" t="str">
        <f>IFERROR(IF(AM182=0,"",AN182/AM182-1),"")</f>
        <v/>
      </c>
      <c r="AO183" s="55" t="str">
        <f>IFERROR(IF(AN182=0,"",AO182/AN182-1),"")</f>
        <v/>
      </c>
      <c r="AP183" s="55" t="str">
        <f>IFERROR(IF(AO182=0,"",AP182/AO182-1),"")</f>
        <v/>
      </c>
      <c r="AQ183" s="12" t="str">
        <f>IFERROR(IF(AP182=0,"",AQ182/AP182-1),"")</f>
        <v/>
      </c>
      <c r="AR183" s="55" t="str">
        <f>IFERROR(IF(AQ182=0,"",AR182/AQ182-1),"")</f>
        <v/>
      </c>
      <c r="AS183" s="55" t="str">
        <f>IFERROR(IF(AR182=0,"",AS182/AR182-1),"")</f>
        <v/>
      </c>
      <c r="AT183" s="55" t="str">
        <f>IFERROR(IF(AS182=0,"",AT182/AS182-1),"")</f>
        <v/>
      </c>
      <c r="AU183" s="55" t="str">
        <f>IFERROR(IF(AT182=0,"",AU182/AT182-1),"")</f>
        <v/>
      </c>
      <c r="AV183" s="12" t="str">
        <f>IFERROR(IF(AU182=0,"",AV182/AU182-1),"")</f>
        <v/>
      </c>
      <c r="AW183" s="55" t="str">
        <f>IFERROR(IF(AV182=0,"",AW182/AV182-1),"")</f>
        <v/>
      </c>
      <c r="AX183" s="55" t="str">
        <f>IFERROR(IF(AW182=0,"",AX182/AW182-1),"")</f>
        <v/>
      </c>
      <c r="AY183" s="55" t="str">
        <f>IFERROR(IF(AX182=0,"",AY182/AX182-1),"")</f>
        <v/>
      </c>
      <c r="AZ183" s="55" t="str">
        <f>IFERROR(IF(AY182=0,"",AZ182/AY182-1),"")</f>
        <v/>
      </c>
      <c r="BA183" s="12" t="str">
        <f>IFERROR(IF(AZ182=0,"",BA182/AZ182-1),"")</f>
        <v/>
      </c>
      <c r="BB183" s="55" t="str">
        <f>IFERROR(IF(BA182=0,"",BB182/BA182-1),"")</f>
        <v/>
      </c>
      <c r="BC183" s="55" t="str">
        <f>IFERROR(IF(BB182=0,"",BC182/BB182-1),"")</f>
        <v/>
      </c>
      <c r="BD183" s="55" t="str">
        <f>IFERROR(IF(BC182=0,"",BD182/BC182-1),"")</f>
        <v/>
      </c>
      <c r="BE183" s="55" t="str">
        <f>IFERROR(IF(BD182=0,"",BE182/BD182-1),"")</f>
        <v/>
      </c>
      <c r="BF183" s="12" t="str">
        <f>IFERROR(IF(BE182=0,"",BF182/BE182-1),"")</f>
        <v/>
      </c>
      <c r="BG183" s="55" t="n"/>
      <c r="BH183" s="55" t="n"/>
      <c r="BI183" s="55" t="n"/>
      <c r="BJ183" s="55" t="n"/>
      <c r="BK183" s="12" t="n"/>
      <c r="BL183" s="55" t="n"/>
      <c r="BM183" s="55" t="n"/>
      <c r="BN183" s="55" t="n"/>
      <c r="BO183" s="55" t="n"/>
      <c r="BP183" s="12" t="n"/>
      <c r="BQ183" s="55" t="n"/>
      <c r="BR183" s="55" t="n"/>
      <c r="BS183" s="55" t="n"/>
      <c r="BT183" s="55" t="n"/>
      <c r="BU183" s="12" t="n"/>
      <c r="BV183" s="55" t="n"/>
      <c r="BW183" s="55" t="n"/>
      <c r="BX183" s="55" t="n"/>
      <c r="BY183" s="55" t="n"/>
      <c r="BZ183" s="12" t="n"/>
      <c r="CA183" s="55" t="n"/>
      <c r="CB183" s="55" t="n"/>
      <c r="CC183" s="55" t="n"/>
      <c r="CD183" s="55" t="n"/>
      <c r="CE183" s="12" t="n"/>
      <c r="CF183" s="55" t="n"/>
      <c r="CG183" s="55" t="n"/>
      <c r="CH183" s="55" t="n"/>
      <c r="CI183" s="55" t="n"/>
      <c r="CJ183" s="12" t="n"/>
      <c r="CK183" s="55" t="n"/>
      <c r="CL183" s="55" t="n"/>
      <c r="CM183" s="55" t="n"/>
      <c r="CN183" s="55" t="n"/>
      <c r="CO183" s="12" t="n"/>
      <c r="CP183" s="55" t="n"/>
      <c r="CQ183" s="55" t="n"/>
      <c r="CR183" s="55" t="n"/>
      <c r="CS183" s="55" t="n"/>
      <c r="CT183" s="12" t="n"/>
      <c r="CU183" s="55" t="n"/>
      <c r="CV183" s="55" t="n"/>
      <c r="CW183" s="55" t="n"/>
      <c r="CX183" s="55" t="n"/>
      <c r="CY183" s="12" t="n"/>
    </row>
    <row r="184" hidden="1" outlineLevel="1">
      <c r="C184" s="57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  <c r="BE184" s="12" t="n"/>
      <c r="BF184" s="12" t="n"/>
      <c r="BG184" s="12" t="n"/>
      <c r="BH184" s="12" t="n"/>
      <c r="BI184" s="12" t="n"/>
      <c r="BJ184" s="12" t="n"/>
      <c r="BK184" s="12" t="n"/>
      <c r="BL184" s="12" t="n"/>
      <c r="BM184" s="12" t="n"/>
      <c r="BN184" s="12" t="n"/>
      <c r="BO184" s="12" t="n"/>
      <c r="BP184" s="12" t="n"/>
      <c r="BQ184" s="12" t="n"/>
      <c r="BR184" s="12" t="n"/>
      <c r="BS184" s="12" t="n"/>
      <c r="BT184" s="12" t="n"/>
      <c r="BU184" s="12" t="n"/>
      <c r="BV184" s="12" t="n"/>
      <c r="BW184" s="12" t="n"/>
      <c r="BX184" s="12" t="n"/>
      <c r="BY184" s="12" t="n"/>
      <c r="BZ184" s="12" t="n"/>
      <c r="CA184" s="12" t="n"/>
      <c r="CB184" s="12" t="n"/>
      <c r="CC184" s="12" t="n"/>
      <c r="CD184" s="12" t="n"/>
      <c r="CE184" s="12" t="n"/>
      <c r="CF184" s="12" t="n"/>
      <c r="CG184" s="12" t="n"/>
      <c r="CH184" s="12" t="n"/>
      <c r="CI184" s="12" t="n"/>
      <c r="CJ184" s="12" t="n"/>
      <c r="CK184" s="12" t="n"/>
      <c r="CL184" s="12" t="n"/>
      <c r="CM184" s="12" t="n"/>
      <c r="CN184" s="12" t="n"/>
      <c r="CO184" s="12" t="n"/>
      <c r="CP184" s="12" t="n"/>
      <c r="CQ184" s="12" t="n"/>
      <c r="CR184" s="12" t="n"/>
      <c r="CS184" s="12" t="n"/>
      <c r="CT184" s="12" t="n"/>
      <c r="CU184" s="12" t="n"/>
      <c r="CV184" s="12" t="n"/>
      <c r="CW184" s="12" t="n"/>
      <c r="CX184" s="12" t="n"/>
      <c r="CY184" s="12" t="n"/>
    </row>
    <row r="185" collapsed="1">
      <c r="C185" s="14" t="inlineStr">
        <is>
          <t>Goodwill</t>
        </is>
      </c>
      <c r="D185" s="46" t="n"/>
      <c r="E185" s="46" t="n"/>
      <c r="F185" s="46" t="n"/>
      <c r="G185" s="46" t="n"/>
      <c r="H185" s="12" t="n"/>
      <c r="I185" s="46">
        <f>'Inputs (2)'!D24</f>
        <v>0</v>
      </c>
      <c r="J185" s="46">
        <f>'Inputs (2)'!E24</f>
        <v>0</v>
      </c>
      <c r="K185" s="46">
        <f>'Inputs (2)'!F24</f>
        <v>0</v>
      </c>
      <c r="L185" s="46">
        <f>'Inputs (2)'!G24</f>
        <v>0</v>
      </c>
      <c r="M185" s="12">
        <f>'Inputs (2)'!H24</f>
        <v>0</v>
      </c>
      <c r="N185" s="46">
        <f>'Inputs (2)'!I24</f>
        <v>0</v>
      </c>
      <c r="O185" s="46">
        <f>'Inputs (2)'!J24</f>
        <v>0</v>
      </c>
      <c r="P185" s="46">
        <f>'Inputs (2)'!K24</f>
        <v>0</v>
      </c>
      <c r="Q185" s="46">
        <f>'Inputs (2)'!L24</f>
        <v>0</v>
      </c>
      <c r="R185" s="12">
        <f>'Inputs (2)'!M24</f>
        <v>0</v>
      </c>
      <c r="S185" s="46">
        <f>'Inputs (2)'!N24</f>
        <v>0</v>
      </c>
      <c r="T185" s="46">
        <f>'Inputs (2)'!O24</f>
        <v>0</v>
      </c>
      <c r="U185" s="46">
        <f>'Inputs (2)'!P24</f>
        <v>0</v>
      </c>
      <c r="V185" s="46">
        <f>'Inputs (2)'!Q24</f>
        <v>0</v>
      </c>
      <c r="W185" s="12">
        <f>'Inputs (2)'!R24</f>
        <v>0</v>
      </c>
      <c r="X185" s="46">
        <f>'Inputs (2)'!S24</f>
        <v>0</v>
      </c>
      <c r="Y185" s="46">
        <f>'Inputs (2)'!T24</f>
        <v>0</v>
      </c>
      <c r="Z185" s="46">
        <f>'Inputs (2)'!U24</f>
        <v>0</v>
      </c>
      <c r="AA185" s="46">
        <f>'Inputs (2)'!V24</f>
        <v>0</v>
      </c>
      <c r="AB185" s="12">
        <f>'Inputs (2)'!W24</f>
        <v>0</v>
      </c>
      <c r="AC185" s="46">
        <f>'Inputs (2)'!X24</f>
        <v>0</v>
      </c>
      <c r="AD185" s="46">
        <f>'Inputs (2)'!Y24</f>
        <v>0</v>
      </c>
      <c r="AE185" s="46">
        <f>'Inputs (2)'!Z24</f>
        <v>0</v>
      </c>
      <c r="AF185" s="46">
        <f>'Inputs (2)'!AA24</f>
        <v>0</v>
      </c>
      <c r="AG185" s="12">
        <f>'Inputs (2)'!AB24</f>
        <v>0</v>
      </c>
      <c r="AH185" s="12">
        <f>'Inputs (2)'!AC24</f>
        <v>0</v>
      </c>
      <c r="AI185" s="12">
        <f>'Inputs (2)'!AD24</f>
        <v>0</v>
      </c>
      <c r="AJ185" s="12">
        <f>AI185</f>
        <v>0</v>
      </c>
      <c r="AK185" s="12">
        <f>AJ185</f>
        <v>0</v>
      </c>
      <c r="AL185" s="12">
        <f>AK185</f>
        <v>0</v>
      </c>
      <c r="AM185" s="12">
        <f>AL185</f>
        <v>0</v>
      </c>
      <c r="AN185" s="12">
        <f>AM185</f>
        <v>0</v>
      </c>
      <c r="AO185" s="12">
        <f>AN185</f>
        <v>0</v>
      </c>
      <c r="AP185" s="12">
        <f>AO185</f>
        <v>0</v>
      </c>
      <c r="AQ185" s="12">
        <f>AP185</f>
        <v>0</v>
      </c>
      <c r="AR185" s="12">
        <f>AQ185</f>
        <v>0</v>
      </c>
      <c r="AS185" s="12">
        <f>AR185</f>
        <v>0</v>
      </c>
      <c r="AT185" s="12">
        <f>AS185</f>
        <v>0</v>
      </c>
      <c r="AU185" s="12">
        <f>AT185</f>
        <v>0</v>
      </c>
      <c r="AV185" s="12">
        <f>AU185</f>
        <v>0</v>
      </c>
      <c r="AW185" s="12">
        <f>AV185</f>
        <v>0</v>
      </c>
      <c r="AX185" s="12">
        <f>AW185</f>
        <v>0</v>
      </c>
      <c r="AY185" s="12">
        <f>AX185</f>
        <v>0</v>
      </c>
      <c r="AZ185" s="12">
        <f>AY185</f>
        <v>0</v>
      </c>
      <c r="BA185" s="12">
        <f>AZ185</f>
        <v>0</v>
      </c>
      <c r="BB185" s="12">
        <f>BA185</f>
        <v>0</v>
      </c>
      <c r="BC185" s="12">
        <f>BB185</f>
        <v>0</v>
      </c>
      <c r="BD185" s="12">
        <f>BC185</f>
        <v>0</v>
      </c>
      <c r="BE185" s="12">
        <f>BD185</f>
        <v>0</v>
      </c>
      <c r="BF185" s="12">
        <f>BE185</f>
        <v>0</v>
      </c>
      <c r="BG185" s="12" t="n"/>
      <c r="BH185" s="12" t="n"/>
      <c r="BI185" s="12" t="n"/>
      <c r="BJ185" s="12" t="n"/>
      <c r="BK185" s="12" t="n"/>
      <c r="BL185" s="12" t="n"/>
      <c r="BM185" s="12" t="n"/>
      <c r="BN185" s="12" t="n"/>
      <c r="BO185" s="12" t="n"/>
      <c r="BP185" s="12" t="n"/>
      <c r="BQ185" s="12" t="n"/>
      <c r="BR185" s="12" t="n"/>
      <c r="BS185" s="12" t="n"/>
      <c r="BT185" s="12" t="n"/>
      <c r="BU185" s="12" t="n"/>
      <c r="BV185" s="12" t="n"/>
      <c r="BW185" s="12" t="n"/>
      <c r="BX185" s="12" t="n"/>
      <c r="BY185" s="12" t="n"/>
      <c r="BZ185" s="12" t="n"/>
      <c r="CA185" s="12" t="n"/>
      <c r="CB185" s="12" t="n"/>
      <c r="CC185" s="12" t="n"/>
      <c r="CD185" s="12" t="n"/>
      <c r="CE185" s="12" t="n"/>
      <c r="CF185" s="12" t="n"/>
      <c r="CG185" s="12" t="n"/>
      <c r="CH185" s="12" t="n"/>
      <c r="CI185" s="12" t="n"/>
      <c r="CJ185" s="12" t="n"/>
      <c r="CK185" s="12" t="n"/>
      <c r="CL185" s="12" t="n"/>
      <c r="CM185" s="12" t="n"/>
      <c r="CN185" s="12" t="n"/>
      <c r="CO185" s="12" t="n"/>
      <c r="CP185" s="12" t="n"/>
      <c r="CQ185" s="12" t="n"/>
      <c r="CR185" s="12" t="n"/>
      <c r="CS185" s="12" t="n"/>
      <c r="CT185" s="12" t="n"/>
      <c r="CU185" s="12" t="n"/>
      <c r="CV185" s="12" t="n"/>
      <c r="CW185" s="12" t="n"/>
      <c r="CX185" s="12" t="n"/>
      <c r="CY185" s="12" t="n"/>
    </row>
    <row r="186">
      <c r="C186" s="14" t="inlineStr">
        <is>
          <t>Intangibles</t>
        </is>
      </c>
      <c r="D186" s="46" t="n"/>
      <c r="E186" s="46" t="n"/>
      <c r="F186" s="46" t="n"/>
      <c r="G186" s="46" t="n"/>
      <c r="H186" s="12" t="n"/>
      <c r="I186" s="46">
        <f>'Inputs (2)'!D25</f>
        <v>1075.183</v>
      </c>
      <c r="J186" s="46">
        <f>'Inputs (2)'!E25</f>
        <v>1223.829</v>
      </c>
      <c r="K186" s="46">
        <f>'Inputs (2)'!F25</f>
        <v>1267.48</v>
      </c>
      <c r="L186" s="46">
        <f>'Inputs (2)'!G25</f>
        <v>1346.837</v>
      </c>
      <c r="M186" s="12">
        <f>'Inputs (2)'!H25</f>
        <v>1346.837</v>
      </c>
      <c r="N186" s="46">
        <f>'Inputs (2)'!I25</f>
        <v>1368.722</v>
      </c>
      <c r="O186" s="46">
        <f>'Inputs (2)'!J25</f>
        <v>1751.855</v>
      </c>
      <c r="P186" s="46">
        <f>'Inputs (2)'!K25</f>
        <v>2385.375</v>
      </c>
      <c r="Q186" s="46">
        <f>'Inputs (2)'!L25</f>
        <v>3026.787</v>
      </c>
      <c r="R186" s="12">
        <f>'Inputs (2)'!M25</f>
        <v>3026.787</v>
      </c>
      <c r="S186" s="46">
        <f>'Inputs (2)'!N25</f>
        <v>3044.651275902</v>
      </c>
      <c r="T186" s="46">
        <f>'Inputs (2)'!O25</f>
        <v>3317.400544578</v>
      </c>
      <c r="U186" s="46">
        <f>'Inputs (2)'!P25</f>
        <v>3452.4742408</v>
      </c>
      <c r="V186" s="46">
        <f>'Inputs (2)'!Q25</f>
        <v>3516.655042059</v>
      </c>
      <c r="W186" s="12">
        <f>'Inputs (2)'!R25</f>
        <v>3516.655042059</v>
      </c>
      <c r="X186" s="46">
        <f>'Inputs (2)'!S25</f>
        <v>3603.060874718</v>
      </c>
      <c r="Y186" s="46">
        <f>'Inputs (2)'!T25</f>
        <v>3831.161809654</v>
      </c>
      <c r="Z186" s="46">
        <f>'Inputs (2)'!U25</f>
        <v>3966.677671259</v>
      </c>
      <c r="AA186" s="46">
        <f>'Inputs (2)'!V25</f>
        <v>4206.93408546</v>
      </c>
      <c r="AB186" s="12">
        <f>'Inputs (2)'!W25</f>
        <v>4206.93408546</v>
      </c>
      <c r="AC186" s="46">
        <f>'Inputs (2)'!X25</f>
        <v>2990.35023541</v>
      </c>
      <c r="AD186" s="46">
        <f>'Inputs (2)'!Y25</f>
        <v>3019.63795716</v>
      </c>
      <c r="AE186" s="46">
        <f>'Inputs (2)'!Z25</f>
        <v>2986.68814482</v>
      </c>
      <c r="AF186" s="46">
        <f>'Inputs (2)'!AA25</f>
        <v>3061.05097683</v>
      </c>
      <c r="AG186" s="12">
        <f>'Inputs (2)'!AB25</f>
        <v>3061.05097683</v>
      </c>
      <c r="AH186" s="12">
        <f>'Inputs (2)'!AC25</f>
        <v>3074.30621869</v>
      </c>
      <c r="AI186" s="12">
        <f>'Inputs (2)'!AD25</f>
        <v>3134.04144719</v>
      </c>
      <c r="AJ186" s="12">
        <f>AI186</f>
        <v>3134.04144719</v>
      </c>
      <c r="AK186" s="12">
        <f>AJ186</f>
        <v>3134.04144719</v>
      </c>
      <c r="AL186" s="12">
        <f>AK186</f>
        <v>3134.04144719</v>
      </c>
      <c r="AM186" s="16">
        <f>AL186</f>
        <v>3134.04144719</v>
      </c>
      <c r="AN186" s="12">
        <f>AM186</f>
        <v>3134.04144719</v>
      </c>
      <c r="AO186" s="12">
        <f>AN186</f>
        <v>3134.04144719</v>
      </c>
      <c r="AP186" s="12">
        <f>AO186</f>
        <v>3134.04144719</v>
      </c>
      <c r="AQ186" s="12">
        <f>AP186</f>
        <v>3134.04144719</v>
      </c>
      <c r="AR186" s="16">
        <f>AQ186</f>
        <v>3134.04144719</v>
      </c>
      <c r="AS186" s="12">
        <f>AR186</f>
        <v>3134.04144719</v>
      </c>
      <c r="AT186" s="12">
        <f>AS186</f>
        <v>3134.04144719</v>
      </c>
      <c r="AU186" s="12">
        <f>AT186</f>
        <v>3134.04144719</v>
      </c>
      <c r="AV186" s="12">
        <f>AU186</f>
        <v>3134.04144719</v>
      </c>
      <c r="AW186" s="16">
        <f>AV186</f>
        <v>3134.04144719</v>
      </c>
      <c r="AX186" s="12">
        <f>AW186</f>
        <v>3134.04144719</v>
      </c>
      <c r="AY186" s="12">
        <f>AX186</f>
        <v>3134.04144719</v>
      </c>
      <c r="AZ186" s="12">
        <f>AY186</f>
        <v>3134.04144719</v>
      </c>
      <c r="BA186" s="12">
        <f>AZ186</f>
        <v>3134.04144719</v>
      </c>
      <c r="BB186" s="16">
        <f>BA186</f>
        <v>3134.04144719</v>
      </c>
      <c r="BC186" s="12">
        <f>BB186</f>
        <v>3134.04144719</v>
      </c>
      <c r="BD186" s="12">
        <f>BC186</f>
        <v>3134.04144719</v>
      </c>
      <c r="BE186" s="12">
        <f>BD186</f>
        <v>3134.04144719</v>
      </c>
      <c r="BF186" s="12">
        <f>BE186</f>
        <v>3134.04144719</v>
      </c>
      <c r="BH186" s="12" t="n"/>
      <c r="BI186" s="12" t="n"/>
      <c r="BJ186" s="12" t="n"/>
      <c r="BK186" s="12" t="n"/>
      <c r="BM186" s="12" t="n"/>
      <c r="BN186" s="12" t="n"/>
      <c r="BO186" s="12" t="n"/>
      <c r="BP186" s="12" t="n"/>
      <c r="BR186" s="12" t="n"/>
      <c r="BS186" s="12" t="n"/>
      <c r="BT186" s="12" t="n"/>
      <c r="BU186" s="12" t="n"/>
      <c r="BW186" s="12" t="n"/>
      <c r="BX186" s="12" t="n"/>
      <c r="BY186" s="12" t="n"/>
      <c r="BZ186" s="12" t="n"/>
      <c r="CB186" s="12" t="n"/>
      <c r="CC186" s="12" t="n"/>
      <c r="CD186" s="12" t="n"/>
      <c r="CE186" s="12" t="n"/>
      <c r="CG186" s="12" t="n"/>
      <c r="CH186" s="12" t="n"/>
      <c r="CI186" s="12" t="n"/>
      <c r="CJ186" s="12" t="n"/>
      <c r="CL186" s="12" t="n"/>
      <c r="CM186" s="12" t="n"/>
      <c r="CN186" s="12" t="n"/>
      <c r="CO186" s="12" t="n"/>
      <c r="CQ186" s="12" t="n"/>
      <c r="CR186" s="12" t="n"/>
      <c r="CS186" s="12" t="n"/>
      <c r="CT186" s="12" t="n"/>
      <c r="CV186" s="12" t="n"/>
      <c r="CW186" s="12" t="n"/>
      <c r="CX186" s="12" t="n"/>
      <c r="CY186" s="12" t="n"/>
    </row>
    <row r="187" hidden="1" outlineLevel="1">
      <c r="C187" s="57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  <c r="BJ187" s="12" t="n"/>
      <c r="BK187" s="12" t="n"/>
      <c r="BL187" s="12" t="n"/>
      <c r="BM187" s="12" t="n"/>
      <c r="BN187" s="12" t="n"/>
      <c r="BO187" s="12" t="n"/>
      <c r="BP187" s="12" t="n"/>
      <c r="BQ187" s="12" t="n"/>
      <c r="BR187" s="12" t="n"/>
      <c r="BS187" s="12" t="n"/>
      <c r="BT187" s="12" t="n"/>
      <c r="BU187" s="12" t="n"/>
      <c r="BV187" s="12" t="n"/>
      <c r="BW187" s="12" t="n"/>
      <c r="BX187" s="12" t="n"/>
      <c r="BY187" s="12" t="n"/>
      <c r="BZ187" s="12" t="n"/>
      <c r="CA187" s="12" t="n"/>
      <c r="CB187" s="12" t="n"/>
      <c r="CC187" s="12" t="n"/>
      <c r="CD187" s="12" t="n"/>
      <c r="CE187" s="12" t="n"/>
      <c r="CF187" s="12" t="n"/>
      <c r="CG187" s="12" t="n"/>
      <c r="CH187" s="12" t="n"/>
      <c r="CI187" s="12" t="n"/>
      <c r="CJ187" s="12" t="n"/>
      <c r="CK187" s="12" t="n"/>
      <c r="CL187" s="12" t="n"/>
      <c r="CM187" s="12" t="n"/>
      <c r="CN187" s="12" t="n"/>
      <c r="CO187" s="12" t="n"/>
      <c r="CP187" s="12" t="n"/>
      <c r="CQ187" s="12" t="n"/>
      <c r="CR187" s="12" t="n"/>
      <c r="CS187" s="12" t="n"/>
      <c r="CT187" s="12" t="n"/>
      <c r="CU187" s="12" t="n"/>
      <c r="CV187" s="12" t="n"/>
      <c r="CW187" s="12" t="n"/>
      <c r="CX187" s="12" t="n"/>
      <c r="CY187" s="12" t="n"/>
    </row>
    <row r="188" hidden="1" outlineLevel="1">
      <c r="C188" s="57" t="inlineStr">
        <is>
          <t>Purchase of intangible assets</t>
        </is>
      </c>
      <c r="D188" s="12" t="n"/>
      <c r="E188" s="12" t="n"/>
      <c r="F188" s="12" t="n"/>
      <c r="G188" s="12" t="n"/>
      <c r="H188" s="12" t="n"/>
      <c r="I188" s="12" t="str">
        <f>IF(COUNT(H186)=0,"",I186-H186-I90)</f>
        <v/>
      </c>
      <c r="J188" s="12">
        <f>J186-I186-J90</f>
        <v>148.646</v>
      </c>
      <c r="K188" s="12">
        <f>K186-J186-K90</f>
        <v>43.6510000000001</v>
      </c>
      <c r="L188" s="12">
        <f>L186-K186-L90</f>
        <v>79.357</v>
      </c>
      <c r="M188" s="12" t="n"/>
      <c r="N188" s="12">
        <f>N186-M186-N90</f>
        <v>21.885</v>
      </c>
      <c r="O188" s="12">
        <f>O186-N186-O90</f>
        <v>383.133</v>
      </c>
      <c r="P188" s="12">
        <f>P186-O186-P90</f>
        <v>633.52</v>
      </c>
      <c r="Q188" s="12">
        <f>Q186-P186-Q90</f>
        <v>641.412</v>
      </c>
      <c r="R188" s="12" t="n"/>
      <c r="S188" s="12">
        <f>S186-R186-S90</f>
        <v>17.8642759019999</v>
      </c>
      <c r="T188" s="12">
        <f>T186-S186-T90</f>
        <v>272.749268676</v>
      </c>
      <c r="U188" s="12">
        <f>U186-T186-U90</f>
        <v>135.073696222</v>
      </c>
      <c r="V188" s="12">
        <f>V186-U186-V90</f>
        <v>64.1808012590004</v>
      </c>
      <c r="W188" s="12" t="n"/>
      <c r="X188" s="12">
        <f>X186-W186-X90</f>
        <v>86.4058326590002</v>
      </c>
      <c r="Y188" s="12">
        <f>Y186-X186-Y90</f>
        <v>228.100934936</v>
      </c>
      <c r="Z188" s="12">
        <f>Z186-Y186-Z90</f>
        <v>135.515861605</v>
      </c>
      <c r="AA188" s="12">
        <f>AA186-Z186-AA90</f>
        <v>240.256414201</v>
      </c>
      <c r="AB188" s="12" t="n"/>
      <c r="AC188" s="12">
        <f>AC186-AB186-AC90</f>
        <v>-1216.58385005</v>
      </c>
      <c r="AD188" s="12">
        <f>AD186-AC186-AD90</f>
        <v>29.2877217499999</v>
      </c>
      <c r="AE188" s="12">
        <f>AE186-AD186-AE90</f>
        <v>-32.9498123399999</v>
      </c>
      <c r="AF188" s="12">
        <f>AF186-AE186-AF90</f>
        <v>74.3628320099997</v>
      </c>
      <c r="AG188" s="12" t="n"/>
      <c r="AH188" s="11">
        <f>AH186-AG186-AH90</f>
        <v>13.2552418600003</v>
      </c>
      <c r="AI188" s="11">
        <f>AI186-AH186-AI90</f>
        <v>59.7352285000002</v>
      </c>
      <c r="AJ188" s="11" t="n"/>
      <c r="AK188" s="11" t="n"/>
      <c r="AL188" s="12" t="n"/>
      <c r="AM188" s="11" t="n"/>
      <c r="AN188" s="11" t="n"/>
      <c r="AO188" s="11" t="n"/>
      <c r="AP188" s="11" t="n"/>
      <c r="AQ188" s="12" t="n"/>
      <c r="AR188" s="11" t="n"/>
      <c r="AS188" s="11" t="n"/>
      <c r="AT188" s="11" t="n"/>
      <c r="AU188" s="11" t="n"/>
      <c r="AV188" s="12" t="n"/>
      <c r="AW188" s="11" t="n"/>
      <c r="AX188" s="11" t="n"/>
      <c r="AY188" s="11" t="n"/>
      <c r="AZ188" s="11" t="n"/>
      <c r="BA188" s="12" t="n"/>
      <c r="BB188" s="11" t="n"/>
      <c r="BC188" s="11" t="n"/>
      <c r="BD188" s="11" t="n"/>
      <c r="BE188" s="11" t="n"/>
      <c r="BF188" s="12" t="n"/>
      <c r="BG188" s="11" t="n"/>
      <c r="BH188" s="11" t="n"/>
      <c r="BI188" s="11" t="n"/>
      <c r="BJ188" s="11" t="n"/>
      <c r="BK188" s="12" t="n"/>
      <c r="BL188" s="11" t="n"/>
      <c r="BM188" s="11" t="n"/>
      <c r="BN188" s="11" t="n"/>
      <c r="BO188" s="11" t="n"/>
      <c r="BP188" s="12" t="n"/>
      <c r="BQ188" s="11" t="n"/>
      <c r="BR188" s="11" t="n"/>
      <c r="BS188" s="11" t="n"/>
      <c r="BT188" s="11" t="n"/>
      <c r="BU188" s="12" t="n"/>
      <c r="BV188" s="11" t="n"/>
      <c r="BW188" s="11" t="n"/>
      <c r="BX188" s="11" t="n"/>
      <c r="BY188" s="11" t="n"/>
      <c r="BZ188" s="12" t="n"/>
      <c r="CA188" s="11" t="n"/>
      <c r="CB188" s="11" t="n"/>
      <c r="CC188" s="11" t="n"/>
      <c r="CD188" s="11" t="n"/>
      <c r="CE188" s="12" t="n"/>
      <c r="CF188" s="11" t="n"/>
      <c r="CG188" s="11" t="n"/>
      <c r="CH188" s="11" t="n"/>
      <c r="CI188" s="11" t="n"/>
      <c r="CJ188" s="12" t="n"/>
      <c r="CK188" s="11" t="n"/>
      <c r="CL188" s="11" t="n"/>
      <c r="CM188" s="11" t="n"/>
      <c r="CN188" s="11" t="n"/>
      <c r="CO188" s="12" t="n"/>
      <c r="CP188" s="11" t="n"/>
      <c r="CQ188" s="11" t="n"/>
      <c r="CR188" s="11" t="n"/>
      <c r="CS188" s="11" t="n"/>
      <c r="CT188" s="12" t="n"/>
      <c r="CU188" s="11" t="n"/>
      <c r="CV188" s="11" t="n"/>
      <c r="CW188" s="11" t="n"/>
      <c r="CX188" s="11" t="n"/>
      <c r="CY188" s="12" t="n"/>
    </row>
    <row r="189" hidden="1" outlineLevel="1">
      <c r="C189" s="57" t="inlineStr">
        <is>
          <t>Amortization (enter as -)</t>
        </is>
      </c>
      <c r="D189" s="12" t="n"/>
      <c r="E189" s="12" t="n"/>
      <c r="F189" s="12" t="n"/>
      <c r="G189" s="12" t="n"/>
      <c r="H189" s="12" t="n"/>
      <c r="I189" s="12">
        <f>I89</f>
        <v>0</v>
      </c>
      <c r="J189" s="12">
        <f>J89</f>
        <v>0</v>
      </c>
      <c r="K189" s="12">
        <f>K89</f>
        <v>0</v>
      </c>
      <c r="L189" s="12">
        <f>L89</f>
        <v>0</v>
      </c>
      <c r="M189" s="12" t="n"/>
      <c r="N189" s="12">
        <f>N89</f>
        <v>0</v>
      </c>
      <c r="O189" s="12">
        <f>O89</f>
        <v>0</v>
      </c>
      <c r="P189" s="12">
        <f>P89</f>
        <v>0</v>
      </c>
      <c r="Q189" s="12">
        <f>Q89</f>
        <v>0</v>
      </c>
      <c r="R189" s="12" t="n"/>
      <c r="S189" s="12">
        <f>S89</f>
        <v>0</v>
      </c>
      <c r="T189" s="12">
        <f>T89</f>
        <v>0</v>
      </c>
      <c r="U189" s="12">
        <f>U89</f>
        <v>0</v>
      </c>
      <c r="V189" s="12">
        <f>V89</f>
        <v>0</v>
      </c>
      <c r="W189" s="12" t="n"/>
      <c r="X189" s="12">
        <f>X89</f>
        <v>0</v>
      </c>
      <c r="Y189" s="12">
        <f>Y89</f>
        <v>0</v>
      </c>
      <c r="Z189" s="12">
        <f>Z89</f>
        <v>0</v>
      </c>
      <c r="AA189" s="12">
        <f>AA89</f>
        <v>0</v>
      </c>
      <c r="AB189" s="12" t="n"/>
      <c r="AC189" s="12">
        <f>AC89</f>
        <v>0</v>
      </c>
      <c r="AD189" s="12">
        <f>AD89</f>
        <v>0</v>
      </c>
      <c r="AE189" s="12">
        <f>AE89</f>
        <v>0</v>
      </c>
      <c r="AF189" s="12">
        <f>AF89</f>
        <v>0</v>
      </c>
      <c r="AG189" s="12" t="n"/>
      <c r="AH189" s="12">
        <f>AH89</f>
        <v>0</v>
      </c>
      <c r="AI189" s="11">
        <f>AI89</f>
        <v>0</v>
      </c>
      <c r="AJ189" s="11" t="n"/>
      <c r="AK189" s="11" t="n"/>
      <c r="AL189" s="12" t="n"/>
      <c r="AM189" s="11" t="n"/>
      <c r="AN189" s="11" t="n"/>
      <c r="AO189" s="11" t="n"/>
      <c r="AP189" s="11" t="n"/>
      <c r="AQ189" s="12" t="n"/>
      <c r="AR189" s="11" t="n"/>
      <c r="AS189" s="11" t="n"/>
      <c r="AT189" s="11" t="n"/>
      <c r="AU189" s="11" t="n"/>
      <c r="AV189" s="12" t="n"/>
      <c r="AW189" s="11" t="n"/>
      <c r="AX189" s="11" t="n"/>
      <c r="AY189" s="11" t="n"/>
      <c r="AZ189" s="11" t="n"/>
      <c r="BA189" s="12" t="n"/>
      <c r="BB189" s="11" t="n"/>
      <c r="BC189" s="11" t="n"/>
      <c r="BD189" s="11" t="n"/>
      <c r="BE189" s="11" t="n"/>
      <c r="BF189" s="12" t="n"/>
      <c r="BG189" s="11" t="n"/>
      <c r="BH189" s="11" t="n"/>
      <c r="BI189" s="11" t="n"/>
      <c r="BJ189" s="11" t="n"/>
      <c r="BK189" s="12" t="n"/>
      <c r="BL189" s="11" t="n"/>
      <c r="BM189" s="11" t="n"/>
      <c r="BN189" s="11" t="n"/>
      <c r="BO189" s="11" t="n"/>
      <c r="BP189" s="12" t="n"/>
      <c r="BQ189" s="11" t="n"/>
      <c r="BR189" s="11" t="n"/>
      <c r="BS189" s="11" t="n"/>
      <c r="BT189" s="11" t="n"/>
      <c r="BU189" s="12" t="n"/>
      <c r="BV189" s="11" t="n"/>
      <c r="BW189" s="11" t="n"/>
      <c r="BX189" s="11" t="n"/>
      <c r="BY189" s="11" t="n"/>
      <c r="BZ189" s="12" t="n"/>
      <c r="CA189" s="11" t="n"/>
      <c r="CB189" s="11" t="n"/>
      <c r="CC189" s="11" t="n"/>
      <c r="CD189" s="11" t="n"/>
      <c r="CE189" s="12" t="n"/>
      <c r="CF189" s="11" t="n"/>
      <c r="CG189" s="11" t="n"/>
      <c r="CH189" s="11" t="n"/>
      <c r="CI189" s="11" t="n"/>
      <c r="CJ189" s="12" t="n"/>
      <c r="CK189" s="11" t="n"/>
      <c r="CL189" s="11" t="n"/>
      <c r="CM189" s="11" t="n"/>
      <c r="CN189" s="11" t="n"/>
      <c r="CO189" s="12" t="n"/>
      <c r="CP189" s="11" t="n"/>
      <c r="CQ189" s="11" t="n"/>
      <c r="CR189" s="11" t="n"/>
      <c r="CS189" s="11" t="n"/>
      <c r="CT189" s="12" t="n"/>
      <c r="CU189" s="11" t="n"/>
      <c r="CV189" s="11" t="n"/>
      <c r="CW189" s="11" t="n"/>
      <c r="CX189" s="11" t="n"/>
      <c r="CY189" s="12" t="n"/>
    </row>
    <row r="190" hidden="1" outlineLevel="1">
      <c r="C190" s="57" t="inlineStr">
        <is>
          <t>Intangibles</t>
        </is>
      </c>
      <c r="D190" s="12" t="n"/>
      <c r="E190" s="12" t="n"/>
      <c r="F190" s="12" t="n"/>
      <c r="G190" s="12" t="n"/>
      <c r="H190" s="12" t="n"/>
      <c r="I190" s="12">
        <f>I186</f>
        <v>1075.183</v>
      </c>
      <c r="J190" s="12">
        <f>J186</f>
        <v>1223.829</v>
      </c>
      <c r="K190" s="12">
        <f>K186</f>
        <v>1267.48</v>
      </c>
      <c r="L190" s="12">
        <f>L186</f>
        <v>1346.837</v>
      </c>
      <c r="M190" s="12">
        <f>M186</f>
        <v>1346.837</v>
      </c>
      <c r="N190" s="12">
        <f>N186</f>
        <v>1368.722</v>
      </c>
      <c r="O190" s="12">
        <f>O186</f>
        <v>1751.855</v>
      </c>
      <c r="P190" s="12">
        <f>P186</f>
        <v>2385.375</v>
      </c>
      <c r="Q190" s="12">
        <f>Q186</f>
        <v>3026.787</v>
      </c>
      <c r="R190" s="12">
        <f>R186</f>
        <v>3026.787</v>
      </c>
      <c r="S190" s="12">
        <f>S186</f>
        <v>3044.651275902</v>
      </c>
      <c r="T190" s="12">
        <f>T186</f>
        <v>3317.400544578</v>
      </c>
      <c r="U190" s="12">
        <f>U186</f>
        <v>3452.4742408</v>
      </c>
      <c r="V190" s="12">
        <f>V186</f>
        <v>3516.655042059</v>
      </c>
      <c r="W190" s="12">
        <f>W186</f>
        <v>3516.655042059</v>
      </c>
      <c r="X190" s="12">
        <f>X186</f>
        <v>3603.060874718</v>
      </c>
      <c r="Y190" s="12">
        <f>Y186</f>
        <v>3831.161809654</v>
      </c>
      <c r="Z190" s="12">
        <f>Z186</f>
        <v>3966.677671259</v>
      </c>
      <c r="AA190" s="12">
        <f>AA186</f>
        <v>4206.93408546</v>
      </c>
      <c r="AB190" s="12">
        <f>AB186</f>
        <v>4206.93408546</v>
      </c>
      <c r="AC190" s="12">
        <f>AC186</f>
        <v>2990.35023541</v>
      </c>
      <c r="AD190" s="12">
        <f>AD186</f>
        <v>3019.63795716</v>
      </c>
      <c r="AE190" s="12">
        <f>AE186</f>
        <v>2986.68814482</v>
      </c>
      <c r="AF190" s="12">
        <f>AF186</f>
        <v>3061.05097683</v>
      </c>
      <c r="AG190" s="12">
        <f>AG186</f>
        <v>3061.05097683</v>
      </c>
      <c r="AH190" s="12">
        <f>AH186</f>
        <v>3074.30621869</v>
      </c>
      <c r="AI190" s="12">
        <f>AI186</f>
        <v>3134.04144719</v>
      </c>
      <c r="AJ190" s="12">
        <f>AJ186</f>
        <v>3134.04144719</v>
      </c>
      <c r="AK190" s="12">
        <f>AK186</f>
        <v>3134.04144719</v>
      </c>
      <c r="AL190" s="12" t="n"/>
      <c r="AM190" s="12">
        <f>AM186</f>
        <v>3134.04144719</v>
      </c>
      <c r="AN190" s="12">
        <f>AN186</f>
        <v>3134.04144719</v>
      </c>
      <c r="AO190" s="12">
        <f>AO186</f>
        <v>3134.04144719</v>
      </c>
      <c r="AP190" s="12">
        <f>AP186</f>
        <v>3134.04144719</v>
      </c>
      <c r="AQ190" s="12" t="n"/>
      <c r="AR190" s="12">
        <f>AR186</f>
        <v>3134.04144719</v>
      </c>
      <c r="AS190" s="12">
        <f>AS186</f>
        <v>3134.04144719</v>
      </c>
      <c r="AT190" s="12">
        <f>AT186</f>
        <v>3134.04144719</v>
      </c>
      <c r="AU190" s="12">
        <f>AU186</f>
        <v>3134.04144719</v>
      </c>
      <c r="AV190" s="12" t="n"/>
      <c r="AW190" s="12">
        <f>AW186</f>
        <v>3134.04144719</v>
      </c>
      <c r="AX190" s="12">
        <f>AX186</f>
        <v>3134.04144719</v>
      </c>
      <c r="AY190" s="12">
        <f>AY186</f>
        <v>3134.04144719</v>
      </c>
      <c r="AZ190" s="12">
        <f>AZ186</f>
        <v>3134.04144719</v>
      </c>
      <c r="BA190" s="12" t="n"/>
      <c r="BB190" s="12">
        <f>BB186</f>
        <v>3134.04144719</v>
      </c>
      <c r="BC190" s="12">
        <f>BC186</f>
        <v>3134.04144719</v>
      </c>
      <c r="BD190" s="12">
        <f>BD186</f>
        <v>3134.04144719</v>
      </c>
      <c r="BE190" s="12">
        <f>BE186</f>
        <v>3134.04144719</v>
      </c>
      <c r="BF190" s="12" t="n"/>
      <c r="BG190" s="12" t="n"/>
      <c r="BH190" s="12" t="n"/>
      <c r="BI190" s="12" t="n"/>
      <c r="BJ190" s="12" t="n"/>
      <c r="BK190" s="12" t="n"/>
      <c r="BL190" s="12" t="n"/>
      <c r="BM190" s="12" t="n"/>
      <c r="BN190" s="12" t="n"/>
      <c r="BO190" s="12" t="n"/>
      <c r="BP190" s="12" t="n"/>
      <c r="BQ190" s="12" t="n"/>
      <c r="BR190" s="12" t="n"/>
      <c r="BS190" s="12" t="n"/>
      <c r="BT190" s="12" t="n"/>
      <c r="BU190" s="12" t="n"/>
      <c r="BV190" s="12" t="n"/>
      <c r="BW190" s="12" t="n"/>
      <c r="BX190" s="12" t="n"/>
      <c r="BY190" s="12" t="n"/>
      <c r="BZ190" s="12" t="n"/>
      <c r="CA190" s="12" t="n"/>
      <c r="CB190" s="12" t="n"/>
      <c r="CC190" s="12" t="n"/>
      <c r="CD190" s="12" t="n"/>
      <c r="CE190" s="12" t="n"/>
      <c r="CF190" s="12" t="n"/>
      <c r="CG190" s="12" t="n"/>
      <c r="CH190" s="12" t="n"/>
      <c r="CI190" s="12" t="n"/>
      <c r="CJ190" s="12" t="n"/>
      <c r="CK190" s="12" t="n"/>
      <c r="CL190" s="12" t="n"/>
      <c r="CM190" s="12" t="n"/>
      <c r="CN190" s="12" t="n"/>
      <c r="CO190" s="12" t="n"/>
      <c r="CP190" s="12" t="n"/>
      <c r="CQ190" s="12" t="n"/>
      <c r="CR190" s="12" t="n"/>
      <c r="CS190" s="12" t="n"/>
      <c r="CT190" s="12" t="n"/>
      <c r="CU190" s="12" t="n"/>
      <c r="CV190" s="12" t="n"/>
      <c r="CW190" s="12" t="n"/>
      <c r="CX190" s="12" t="n"/>
      <c r="CY190" s="12" t="n"/>
    </row>
    <row r="191" hidden="1" outlineLevel="1">
      <c r="C191" s="57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  <c r="AJ191" s="12" t="n"/>
      <c r="AK191" s="12" t="n"/>
      <c r="AL191" s="12" t="n"/>
      <c r="AM191" s="12" t="n"/>
      <c r="AN191" s="12" t="n"/>
      <c r="AO191" s="12" t="n"/>
      <c r="AP191" s="12" t="n"/>
      <c r="AQ191" s="12" t="n"/>
      <c r="AR191" s="12" t="n"/>
      <c r="AS191" s="12" t="n"/>
      <c r="AT191" s="12" t="n"/>
      <c r="AU191" s="12" t="n"/>
      <c r="AV191" s="12" t="n"/>
      <c r="AW191" s="12" t="n"/>
      <c r="AX191" s="12" t="n"/>
      <c r="AY191" s="12" t="n"/>
      <c r="AZ191" s="12" t="n"/>
      <c r="BA191" s="12" t="n"/>
      <c r="BB191" s="12" t="n"/>
      <c r="BC191" s="12" t="n"/>
      <c r="BD191" s="12" t="n"/>
      <c r="BE191" s="12" t="n"/>
      <c r="BF191" s="12" t="n"/>
      <c r="BG191" s="12" t="n"/>
      <c r="BH191" s="12" t="n"/>
      <c r="BI191" s="12" t="n"/>
      <c r="BJ191" s="12" t="n"/>
      <c r="BK191" s="12" t="n"/>
      <c r="BL191" s="12" t="n"/>
      <c r="BM191" s="12" t="n"/>
      <c r="BN191" s="12" t="n"/>
      <c r="BO191" s="12" t="n"/>
      <c r="BP191" s="12" t="n"/>
      <c r="BQ191" s="12" t="n"/>
      <c r="BR191" s="12" t="n"/>
      <c r="BS191" s="12" t="n"/>
      <c r="BT191" s="12" t="n"/>
      <c r="BU191" s="12" t="n"/>
      <c r="BV191" s="12" t="n"/>
      <c r="BW191" s="12" t="n"/>
      <c r="BX191" s="12" t="n"/>
      <c r="BY191" s="12" t="n"/>
      <c r="BZ191" s="12" t="n"/>
      <c r="CA191" s="12" t="n"/>
      <c r="CB191" s="12" t="n"/>
      <c r="CC191" s="12" t="n"/>
      <c r="CD191" s="12" t="n"/>
      <c r="CE191" s="12" t="n"/>
      <c r="CF191" s="12" t="n"/>
      <c r="CG191" s="12" t="n"/>
      <c r="CH191" s="12" t="n"/>
      <c r="CI191" s="12" t="n"/>
      <c r="CJ191" s="12" t="n"/>
      <c r="CK191" s="12" t="n"/>
      <c r="CL191" s="12" t="n"/>
      <c r="CM191" s="12" t="n"/>
      <c r="CN191" s="12" t="n"/>
      <c r="CO191" s="12" t="n"/>
      <c r="CP191" s="12" t="n"/>
      <c r="CQ191" s="12" t="n"/>
      <c r="CR191" s="12" t="n"/>
      <c r="CS191" s="12" t="n"/>
      <c r="CT191" s="12" t="n"/>
      <c r="CU191" s="12" t="n"/>
      <c r="CV191" s="12" t="n"/>
      <c r="CW191" s="12" t="n"/>
      <c r="CX191" s="12" t="n"/>
      <c r="CY191" s="12" t="n"/>
    </row>
    <row r="192" hidden="1" outlineLevel="1">
      <c r="C192" s="57" t="inlineStr">
        <is>
          <t>Definir % do D&amp;A No PPE and Intagibles</t>
        </is>
      </c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  <c r="AQ192" s="12" t="n"/>
      <c r="AR192" s="12" t="n"/>
      <c r="AS192" s="12" t="n"/>
      <c r="AT192" s="12" t="n"/>
      <c r="AU192" s="12" t="n"/>
      <c r="AV192" s="12" t="n"/>
      <c r="AW192" s="12" t="n"/>
      <c r="AX192" s="12" t="n"/>
      <c r="AY192" s="12" t="n"/>
      <c r="AZ192" s="12" t="n"/>
      <c r="BA192" s="12" t="n"/>
      <c r="BB192" s="12" t="n"/>
      <c r="BC192" s="12" t="n"/>
      <c r="BD192" s="12" t="n"/>
      <c r="BE192" s="12" t="n"/>
      <c r="BF192" s="12" t="n"/>
      <c r="BG192" s="12" t="n"/>
      <c r="BH192" s="12" t="n"/>
      <c r="BI192" s="12" t="n"/>
      <c r="BJ192" s="12" t="n"/>
      <c r="BK192" s="12" t="n"/>
      <c r="BL192" s="12" t="n"/>
      <c r="BM192" s="12" t="n"/>
      <c r="BN192" s="12" t="n"/>
      <c r="BO192" s="12" t="n"/>
      <c r="BP192" s="12" t="n"/>
      <c r="BQ192" s="12" t="n"/>
      <c r="BR192" s="12" t="n"/>
      <c r="BS192" s="12" t="n"/>
      <c r="BT192" s="12" t="n"/>
      <c r="BU192" s="12" t="n"/>
      <c r="BV192" s="12" t="n"/>
      <c r="BW192" s="12" t="n"/>
      <c r="BX192" s="12" t="n"/>
      <c r="BY192" s="12" t="n"/>
      <c r="BZ192" s="12" t="n"/>
      <c r="CA192" s="12" t="n"/>
      <c r="CB192" s="12" t="n"/>
      <c r="CC192" s="12" t="n"/>
      <c r="CD192" s="12" t="n"/>
      <c r="CE192" s="12" t="n"/>
      <c r="CF192" s="12" t="n"/>
      <c r="CG192" s="12" t="n"/>
      <c r="CH192" s="12" t="n"/>
      <c r="CI192" s="12" t="n"/>
      <c r="CJ192" s="12" t="n"/>
      <c r="CK192" s="12" t="n"/>
      <c r="CL192" s="12" t="n"/>
      <c r="CM192" s="12" t="n"/>
      <c r="CN192" s="12" t="n"/>
      <c r="CO192" s="12" t="n"/>
      <c r="CP192" s="12" t="n"/>
      <c r="CQ192" s="12" t="n"/>
      <c r="CR192" s="12" t="n"/>
      <c r="CS192" s="12" t="n"/>
      <c r="CT192" s="12" t="n"/>
      <c r="CU192" s="12" t="n"/>
      <c r="CV192" s="12" t="n"/>
      <c r="CW192" s="12" t="n"/>
      <c r="CX192" s="12" t="n"/>
      <c r="CY192" s="12" t="n"/>
    </row>
    <row r="193" hidden="1" outlineLevel="1">
      <c r="C193" s="57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  <c r="AJ193" s="12" t="n"/>
      <c r="AK193" s="12" t="n"/>
      <c r="AL193" s="12" t="n"/>
      <c r="AM193" s="12" t="n"/>
      <c r="AN193" s="12" t="n"/>
      <c r="AO193" s="12" t="n"/>
      <c r="AP193" s="12" t="n"/>
      <c r="AQ193" s="12" t="n"/>
      <c r="AR193" s="12" t="n"/>
      <c r="AS193" s="12" t="n"/>
      <c r="AT193" s="12" t="n"/>
      <c r="AU193" s="12" t="n"/>
      <c r="AV193" s="12" t="n"/>
      <c r="AW193" s="12" t="n"/>
      <c r="AX193" s="12" t="n"/>
      <c r="AY193" s="12" t="n"/>
      <c r="AZ193" s="12" t="n"/>
      <c r="BA193" s="12" t="n"/>
      <c r="BB193" s="12" t="n"/>
      <c r="BC193" s="12" t="n"/>
      <c r="BD193" s="12" t="n"/>
      <c r="BE193" s="12" t="n"/>
      <c r="BF193" s="12" t="n"/>
      <c r="BG193" s="12" t="n"/>
      <c r="BH193" s="12" t="n"/>
      <c r="BI193" s="12" t="n"/>
      <c r="BJ193" s="12" t="n"/>
      <c r="BK193" s="12" t="n"/>
      <c r="BL193" s="12" t="n"/>
      <c r="BM193" s="12" t="n"/>
      <c r="BN193" s="12" t="n"/>
      <c r="BO193" s="12" t="n"/>
      <c r="BP193" s="12" t="n"/>
      <c r="BQ193" s="12" t="n"/>
      <c r="BR193" s="12" t="n"/>
      <c r="BS193" s="12" t="n"/>
      <c r="BT193" s="12" t="n"/>
      <c r="BU193" s="12" t="n"/>
      <c r="BV193" s="12" t="n"/>
      <c r="BW193" s="12" t="n"/>
      <c r="BX193" s="12" t="n"/>
      <c r="BY193" s="12" t="n"/>
      <c r="BZ193" s="12" t="n"/>
      <c r="CA193" s="12" t="n"/>
      <c r="CB193" s="12" t="n"/>
      <c r="CC193" s="12" t="n"/>
      <c r="CD193" s="12" t="n"/>
      <c r="CE193" s="12" t="n"/>
      <c r="CF193" s="12" t="n"/>
      <c r="CG193" s="12" t="n"/>
      <c r="CH193" s="12" t="n"/>
      <c r="CI193" s="12" t="n"/>
      <c r="CJ193" s="12" t="n"/>
      <c r="CK193" s="12" t="n"/>
      <c r="CL193" s="12" t="n"/>
      <c r="CM193" s="12" t="n"/>
      <c r="CN193" s="12" t="n"/>
      <c r="CO193" s="12" t="n"/>
      <c r="CP193" s="12" t="n"/>
      <c r="CQ193" s="12" t="n"/>
      <c r="CR193" s="12" t="n"/>
      <c r="CS193" s="12" t="n"/>
      <c r="CT193" s="12" t="n"/>
      <c r="CU193" s="12" t="n"/>
      <c r="CV193" s="12" t="n"/>
      <c r="CW193" s="12" t="n"/>
      <c r="CX193" s="12" t="n"/>
      <c r="CY193" s="12" t="n"/>
    </row>
    <row r="194" hidden="1" outlineLevel="1">
      <c r="C194" s="57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  <c r="BE194" s="12" t="n"/>
      <c r="BF194" s="12" t="n"/>
      <c r="BG194" s="12" t="n"/>
      <c r="BH194" s="12" t="n"/>
      <c r="BI194" s="12" t="n"/>
      <c r="BJ194" s="12" t="n"/>
      <c r="BK194" s="12" t="n"/>
      <c r="BL194" s="12" t="n"/>
      <c r="BM194" s="12" t="n"/>
      <c r="BN194" s="12" t="n"/>
      <c r="BO194" s="12" t="n"/>
      <c r="BP194" s="12" t="n"/>
      <c r="BQ194" s="12" t="n"/>
      <c r="BR194" s="12" t="n"/>
      <c r="BS194" s="12" t="n"/>
      <c r="BT194" s="12" t="n"/>
      <c r="BU194" s="12" t="n"/>
      <c r="BV194" s="12" t="n"/>
      <c r="BW194" s="12" t="n"/>
      <c r="BX194" s="12" t="n"/>
      <c r="BY194" s="12" t="n"/>
      <c r="BZ194" s="12" t="n"/>
      <c r="CA194" s="12" t="n"/>
      <c r="CB194" s="12" t="n"/>
      <c r="CC194" s="12" t="n"/>
      <c r="CD194" s="12" t="n"/>
      <c r="CE194" s="12" t="n"/>
      <c r="CF194" s="12" t="n"/>
      <c r="CG194" s="12" t="n"/>
      <c r="CH194" s="12" t="n"/>
      <c r="CI194" s="12" t="n"/>
      <c r="CJ194" s="12" t="n"/>
      <c r="CK194" s="12" t="n"/>
      <c r="CL194" s="12" t="n"/>
      <c r="CM194" s="12" t="n"/>
      <c r="CN194" s="12" t="n"/>
      <c r="CO194" s="12" t="n"/>
      <c r="CP194" s="12" t="n"/>
      <c r="CQ194" s="12" t="n"/>
      <c r="CR194" s="12" t="n"/>
      <c r="CS194" s="12" t="n"/>
      <c r="CT194" s="12" t="n"/>
      <c r="CU194" s="12" t="n"/>
      <c r="CV194" s="12" t="n"/>
      <c r="CW194" s="12" t="n"/>
      <c r="CX194" s="12" t="n"/>
      <c r="CY194" s="12" t="n"/>
    </row>
    <row r="195" collapsed="1">
      <c r="C195" s="14" t="inlineStr">
        <is>
          <t>Other non-current assets</t>
        </is>
      </c>
      <c r="D195" s="46" t="n"/>
      <c r="E195" s="46" t="n"/>
      <c r="F195" s="46" t="n"/>
      <c r="G195" s="46" t="n"/>
      <c r="H195" s="12" t="n"/>
      <c r="I195" s="46">
        <f>'Inputs (2)'!D26</f>
        <v>982.74521946</v>
      </c>
      <c r="J195" s="46">
        <f>'Inputs (2)'!E26</f>
        <v>1108.659</v>
      </c>
      <c r="K195" s="46">
        <f>'Inputs (2)'!F26</f>
        <v>1006.876</v>
      </c>
      <c r="L195" s="46">
        <f>'Inputs (2)'!G26</f>
        <v>1045.755</v>
      </c>
      <c r="M195" s="12">
        <f>'Inputs (2)'!H26</f>
        <v>1045.755</v>
      </c>
      <c r="N195" s="46">
        <f>'Inputs (2)'!I26</f>
        <v>1032.759</v>
      </c>
      <c r="O195" s="46">
        <f>'Inputs (2)'!J26</f>
        <v>1096.385</v>
      </c>
      <c r="P195" s="46">
        <f>'Inputs (2)'!K26</f>
        <v>1512.191</v>
      </c>
      <c r="Q195" s="46">
        <f>'Inputs (2)'!L26</f>
        <v>1496.935</v>
      </c>
      <c r="R195" s="12">
        <f>'Inputs (2)'!M26</f>
        <v>1496.935</v>
      </c>
      <c r="S195" s="46">
        <f>'Inputs (2)'!N26</f>
        <v>1371.790479405</v>
      </c>
      <c r="T195" s="46">
        <f>'Inputs (2)'!O26</f>
        <v>2122.838592229</v>
      </c>
      <c r="U195" s="46">
        <f>'Inputs (2)'!P26</f>
        <v>1917.041639205</v>
      </c>
      <c r="V195" s="46">
        <f>'Inputs (2)'!Q26</f>
        <v>2829.582769788</v>
      </c>
      <c r="W195" s="12">
        <f>'Inputs (2)'!R26</f>
        <v>2829.582769788</v>
      </c>
      <c r="X195" s="46">
        <f>'Inputs (2)'!S26</f>
        <v>2549.387549112</v>
      </c>
      <c r="Y195" s="46">
        <f>'Inputs (2)'!T26</f>
        <v>2903.715072266</v>
      </c>
      <c r="Z195" s="46">
        <f>'Inputs (2)'!U26</f>
        <v>2969.475435911</v>
      </c>
      <c r="AA195" s="46">
        <f>'Inputs (2)'!V26</f>
        <v>4198.8996584</v>
      </c>
      <c r="AB195" s="12">
        <f>'Inputs (2)'!W26</f>
        <v>4198.8996584</v>
      </c>
      <c r="AC195" s="46">
        <f>'Inputs (2)'!X26</f>
        <v>3081.89937836</v>
      </c>
      <c r="AD195" s="46">
        <f>'Inputs (2)'!Y26</f>
        <v>2399.52190193</v>
      </c>
      <c r="AE195" s="46">
        <f>'Inputs (2)'!Z26</f>
        <v>2419.20708444</v>
      </c>
      <c r="AF195" s="46">
        <f>'Inputs (2)'!AA26</f>
        <v>2635.01576854</v>
      </c>
      <c r="AG195" s="12">
        <f>'Inputs (2)'!AB26</f>
        <v>2635.01576854</v>
      </c>
      <c r="AH195" s="12">
        <f>'Inputs (2)'!AC26</f>
        <v>2838.20787767</v>
      </c>
      <c r="AI195" s="12">
        <f>'Inputs (2)'!AD26</f>
        <v>2775.84852478</v>
      </c>
      <c r="AJ195" s="12">
        <f>AI195</f>
        <v>2775.84852478</v>
      </c>
      <c r="AK195" s="12">
        <f>AJ195</f>
        <v>2775.84852478</v>
      </c>
      <c r="AL195" s="12">
        <f>AK195</f>
        <v>2775.84852478</v>
      </c>
      <c r="AM195" s="12">
        <f>AL195</f>
        <v>2775.84852478</v>
      </c>
      <c r="AN195" s="12">
        <f>AM195</f>
        <v>2775.84852478</v>
      </c>
      <c r="AO195" s="12">
        <f>AN195</f>
        <v>2775.84852478</v>
      </c>
      <c r="AP195" s="12">
        <f>AO195</f>
        <v>2775.84852478</v>
      </c>
      <c r="AQ195" s="12">
        <f>AP195</f>
        <v>2775.84852478</v>
      </c>
      <c r="AR195" s="12">
        <f>AQ195</f>
        <v>2775.84852478</v>
      </c>
      <c r="AS195" s="12">
        <f>AR195</f>
        <v>2775.84852478</v>
      </c>
      <c r="AT195" s="12">
        <f>AS195</f>
        <v>2775.84852478</v>
      </c>
      <c r="AU195" s="12">
        <f>AT195</f>
        <v>2775.84852478</v>
      </c>
      <c r="AV195" s="12">
        <f>AU195</f>
        <v>2775.84852478</v>
      </c>
      <c r="AW195" s="12">
        <f>AV195</f>
        <v>2775.84852478</v>
      </c>
      <c r="AX195" s="12">
        <f>AW195</f>
        <v>2775.84852478</v>
      </c>
      <c r="AY195" s="12">
        <f>AX195</f>
        <v>2775.84852478</v>
      </c>
      <c r="AZ195" s="12">
        <f>AY195</f>
        <v>2775.84852478</v>
      </c>
      <c r="BA195" s="12">
        <f>AZ195</f>
        <v>2775.84852478</v>
      </c>
      <c r="BB195" s="12">
        <f>BA195</f>
        <v>2775.84852478</v>
      </c>
      <c r="BC195" s="12">
        <f>BB195</f>
        <v>2775.84852478</v>
      </c>
      <c r="BD195" s="12">
        <f>BC195</f>
        <v>2775.84852478</v>
      </c>
      <c r="BE195" s="12">
        <f>BD195</f>
        <v>2775.84852478</v>
      </c>
      <c r="BF195" s="12">
        <f>BE195</f>
        <v>2775.84852478</v>
      </c>
      <c r="BG195" s="12" t="n"/>
      <c r="BH195" s="12" t="n"/>
      <c r="BI195" s="12" t="n"/>
      <c r="BJ195" s="12" t="n"/>
      <c r="BK195" s="12" t="n"/>
      <c r="BL195" s="12" t="n"/>
      <c r="BM195" s="12" t="n"/>
      <c r="BN195" s="12" t="n"/>
      <c r="BO195" s="12" t="n"/>
      <c r="BP195" s="12" t="n"/>
      <c r="BQ195" s="12" t="n"/>
      <c r="BR195" s="12" t="n"/>
      <c r="BS195" s="12" t="n"/>
      <c r="BT195" s="12" t="n"/>
      <c r="BU195" s="12" t="n"/>
      <c r="BV195" s="12" t="n"/>
      <c r="BW195" s="12" t="n"/>
      <c r="BX195" s="12" t="n"/>
      <c r="BY195" s="12" t="n"/>
      <c r="BZ195" s="12" t="n"/>
      <c r="CA195" s="12" t="n"/>
      <c r="CB195" s="12" t="n"/>
      <c r="CC195" s="12" t="n"/>
      <c r="CD195" s="12" t="n"/>
      <c r="CE195" s="12" t="n"/>
      <c r="CF195" s="12" t="n"/>
      <c r="CG195" s="12" t="n"/>
      <c r="CH195" s="12" t="n"/>
      <c r="CI195" s="12" t="n"/>
      <c r="CJ195" s="12" t="n"/>
      <c r="CK195" s="12" t="n"/>
      <c r="CL195" s="12" t="n"/>
      <c r="CM195" s="12" t="n"/>
      <c r="CN195" s="12" t="n"/>
      <c r="CO195" s="12" t="n"/>
      <c r="CP195" s="12" t="n"/>
      <c r="CQ195" s="12" t="n"/>
      <c r="CR195" s="12" t="n"/>
      <c r="CS195" s="12" t="n"/>
      <c r="CT195" s="12" t="n"/>
      <c r="CU195" s="12" t="n"/>
      <c r="CV195" s="12" t="n"/>
      <c r="CW195" s="12" t="n"/>
      <c r="CX195" s="12" t="n"/>
      <c r="CY195" s="12" t="n"/>
    </row>
    <row r="196" hidden="1" outlineLevel="1">
      <c r="C196" s="59" t="inlineStr">
        <is>
          <t>%(Var.)</t>
        </is>
      </c>
      <c r="D196" s="12" t="n"/>
      <c r="E196" s="40" t="n"/>
      <c r="F196" s="40" t="n"/>
      <c r="G196" s="40" t="n"/>
      <c r="H196" s="12" t="n"/>
      <c r="I196" s="40" t="str">
        <f>""</f>
        <v/>
      </c>
      <c r="J196" s="40">
        <f>IF(I195=0,"",J195/I195-1)</f>
        <v>0.128124541383358</v>
      </c>
      <c r="K196" s="40">
        <f>IF(J195=0,"",K195/J195-1)</f>
        <v>-0.0918073095514492</v>
      </c>
      <c r="L196" s="40">
        <f>IF(K195=0,"",L195/K195-1)</f>
        <v>0.0386134936178835</v>
      </c>
      <c r="M196" s="12">
        <f>IF(L195=0,"",M195/L195-1)</f>
        <v>0</v>
      </c>
      <c r="N196" s="40">
        <f>IF(M195=0,"",N195/M195-1)</f>
        <v>-0.0124273849993546</v>
      </c>
      <c r="O196" s="40">
        <f>IF(N195=0,"",O195/N195-1)</f>
        <v>0.0616077903944676</v>
      </c>
      <c r="P196" s="40">
        <f>IF(O195=0,"",P195/O195-1)</f>
        <v>0.379251813915732</v>
      </c>
      <c r="Q196" s="40">
        <f>IF(P195=0,"",Q195/P195-1)</f>
        <v>-0.0100886726610594</v>
      </c>
      <c r="R196" s="12">
        <f>IF(Q195=0,"",R195/Q195-1)</f>
        <v>0</v>
      </c>
      <c r="S196" s="40">
        <f>IF(R195=0,"",S195/R195-1)</f>
        <v>-0.0836005040933641</v>
      </c>
      <c r="T196" s="40">
        <f>IF(S195=0,"",T195/S195-1)</f>
        <v>0.547494769864389</v>
      </c>
      <c r="U196" s="40">
        <f>IF(T195=0,"",U195/T195-1)</f>
        <v>-0.0969442301347609</v>
      </c>
      <c r="V196" s="40">
        <f>IF(U195=0,"",V195/U195-1)</f>
        <v>0.476015289350435</v>
      </c>
      <c r="W196" s="12">
        <f>IF(V195=0,"",W195/V195-1)</f>
        <v>0</v>
      </c>
      <c r="X196" s="40">
        <f>IF(W195=0,"",X195/W195-1)</f>
        <v>-0.0990235110517699</v>
      </c>
      <c r="Y196" s="40">
        <f>IF(X195=0,"",Y195/X195-1)</f>
        <v>0.138985350923762</v>
      </c>
      <c r="Z196" s="40">
        <f>IF(Y195=0,"",Z195/Y195-1)</f>
        <v>0.0226469753431013</v>
      </c>
      <c r="AA196" s="40">
        <f>IF(Z195=0,"",AA195/Z195-1)</f>
        <v>0.414020674365952</v>
      </c>
      <c r="AB196" s="12">
        <f>IF(AA195=0,"",AB195/AA195-1)</f>
        <v>0</v>
      </c>
      <c r="AC196" s="40">
        <f>IF(AB195=0,"",AC195/AB195-1)</f>
        <v>-0.26602214173073</v>
      </c>
      <c r="AD196" s="40">
        <f>IF(AC195=0,"",AD195/AC195-1)</f>
        <v>-0.221414586479173</v>
      </c>
      <c r="AE196" s="40">
        <f>IF(AD195=0,"",AE195/AD195-1)</f>
        <v>0.00820379363662682</v>
      </c>
      <c r="AF196" s="55">
        <f>IF(AE195=0,"",AF195/AE195-1)</f>
        <v>0.0892063707518265</v>
      </c>
      <c r="AG196" s="12">
        <f>IF(AF195=0,"",AG195/AF195-1)</f>
        <v>0</v>
      </c>
      <c r="AH196" s="55">
        <f>IF(AG195=0,"",AH195/AG195-1)</f>
        <v>0.0771122934275965</v>
      </c>
      <c r="AI196" s="55">
        <f>IF(AH195=0,"",AI195/AH195-1)</f>
        <v>-0.0219713832029785</v>
      </c>
      <c r="AJ196" s="55">
        <f>IF(AI195=0,"",AJ195/AI195-1)</f>
        <v>0</v>
      </c>
      <c r="AK196" s="55">
        <f>IF(AJ195=0,"",AK195/AJ195-1)</f>
        <v>0</v>
      </c>
      <c r="AL196" s="12">
        <f>IF(AK195=0,"",AL195/AK195-1)</f>
        <v>0</v>
      </c>
      <c r="AM196" s="55">
        <f>IF(AL195=0,"",AM195/AL195-1)</f>
        <v>0</v>
      </c>
      <c r="AN196" s="55">
        <f>IF(AM195=0,"",AN195/AM195-1)</f>
        <v>0</v>
      </c>
      <c r="AO196" s="55">
        <f>IF(AN195=0,"",AO195/AN195-1)</f>
        <v>0</v>
      </c>
      <c r="AP196" s="55">
        <f>IF(AO195=0,"",AP195/AO195-1)</f>
        <v>0</v>
      </c>
      <c r="AQ196" s="12">
        <f>IF(AP195=0,"",AQ195/AP195-1)</f>
        <v>0</v>
      </c>
      <c r="AR196" s="55">
        <f>IF(AQ195=0,"",AR195/AQ195-1)</f>
        <v>0</v>
      </c>
      <c r="AS196" s="55">
        <f>IF(AR195=0,"",AS195/AR195-1)</f>
        <v>0</v>
      </c>
      <c r="AT196" s="55">
        <f>IF(AS195=0,"",AT195/AS195-1)</f>
        <v>0</v>
      </c>
      <c r="AU196" s="55">
        <f>IF(AT195=0,"",AU195/AT195-1)</f>
        <v>0</v>
      </c>
      <c r="AV196" s="12">
        <f>IF(AU195=0,"",AV195/AU195-1)</f>
        <v>0</v>
      </c>
      <c r="AW196" s="55">
        <f>IF(AV195=0,"",AW195/AV195-1)</f>
        <v>0</v>
      </c>
      <c r="AX196" s="55">
        <f>IF(AW195=0,"",AX195/AW195-1)</f>
        <v>0</v>
      </c>
      <c r="AY196" s="55">
        <f>IF(AX195=0,"",AY195/AX195-1)</f>
        <v>0</v>
      </c>
      <c r="AZ196" s="55">
        <f>IF(AY195=0,"",AZ195/AY195-1)</f>
        <v>0</v>
      </c>
      <c r="BA196" s="12">
        <f>IF(AZ195=0,"",BA195/AZ195-1)</f>
        <v>0</v>
      </c>
      <c r="BB196" s="55">
        <f>IF(BA195=0,"",BB195/BA195-1)</f>
        <v>0</v>
      </c>
      <c r="BC196" s="55">
        <f>IF(BB195=0,"",BC195/BB195-1)</f>
        <v>0</v>
      </c>
      <c r="BD196" s="55">
        <f>IF(BC195=0,"",BD195/BC195-1)</f>
        <v>0</v>
      </c>
      <c r="BE196" s="55">
        <f>IF(BD195=0,"",BE195/BD195-1)</f>
        <v>0</v>
      </c>
      <c r="BF196" s="12">
        <f>IF(BE195=0,"",BF195/BE195-1)</f>
        <v>0</v>
      </c>
      <c r="BG196" s="55" t="n"/>
      <c r="BH196" s="55" t="n"/>
      <c r="BI196" s="55" t="n"/>
      <c r="BJ196" s="55" t="n"/>
      <c r="BK196" s="12" t="n"/>
      <c r="BL196" s="55" t="n"/>
      <c r="BM196" s="55" t="n"/>
      <c r="BN196" s="55" t="n"/>
      <c r="BO196" s="55" t="n"/>
      <c r="BP196" s="12" t="n"/>
      <c r="BQ196" s="55" t="n"/>
      <c r="BR196" s="55" t="n"/>
      <c r="BS196" s="55" t="n"/>
      <c r="BT196" s="55" t="n"/>
      <c r="BU196" s="12" t="n"/>
      <c r="BV196" s="55" t="n"/>
      <c r="BW196" s="55" t="n"/>
      <c r="BX196" s="55" t="n"/>
      <c r="BY196" s="55" t="n"/>
      <c r="BZ196" s="12" t="n"/>
      <c r="CA196" s="55" t="n"/>
      <c r="CB196" s="55" t="n"/>
      <c r="CC196" s="55" t="n"/>
      <c r="CD196" s="55" t="n"/>
      <c r="CE196" s="12" t="n"/>
      <c r="CF196" s="55" t="n"/>
      <c r="CG196" s="55" t="n"/>
      <c r="CH196" s="55" t="n"/>
      <c r="CI196" s="55" t="n"/>
      <c r="CJ196" s="12" t="n"/>
      <c r="CK196" s="55" t="n"/>
      <c r="CL196" s="55" t="n"/>
      <c r="CM196" s="55" t="n"/>
      <c r="CN196" s="55" t="n"/>
      <c r="CO196" s="12" t="n"/>
      <c r="CP196" s="55" t="n"/>
      <c r="CQ196" s="55" t="n"/>
      <c r="CR196" s="55" t="n"/>
      <c r="CS196" s="55" t="n"/>
      <c r="CT196" s="12" t="n"/>
      <c r="CU196" s="55" t="n"/>
      <c r="CV196" s="55" t="n"/>
      <c r="CW196" s="55" t="n"/>
      <c r="CX196" s="55" t="n"/>
      <c r="CY196" s="12" t="n"/>
    </row>
    <row r="197" hidden="1" outlineLevel="1">
      <c r="C197" s="57" t="n"/>
      <c r="D197" s="12" t="n"/>
      <c r="E197" s="40" t="n"/>
      <c r="F197" s="40" t="n"/>
      <c r="G197" s="40" t="n"/>
      <c r="H197" s="12" t="n"/>
      <c r="I197" s="40" t="n"/>
      <c r="J197" s="40" t="n"/>
      <c r="K197" s="40" t="n"/>
      <c r="L197" s="40" t="n"/>
      <c r="M197" s="12" t="n"/>
      <c r="N197" s="40" t="n"/>
      <c r="O197" s="40" t="n"/>
      <c r="P197" s="40" t="n"/>
      <c r="Q197" s="40" t="n"/>
      <c r="R197" s="12" t="n"/>
      <c r="S197" s="40" t="n"/>
      <c r="T197" s="40" t="n"/>
      <c r="U197" s="40" t="n"/>
      <c r="V197" s="40" t="n"/>
      <c r="W197" s="12" t="n"/>
      <c r="X197" s="40" t="n"/>
      <c r="Y197" s="40" t="n"/>
      <c r="Z197" s="40" t="n"/>
      <c r="AA197" s="40" t="n"/>
      <c r="AB197" s="12" t="n"/>
      <c r="AC197" s="40" t="n"/>
      <c r="AD197" s="40" t="n"/>
      <c r="AE197" s="40" t="n"/>
      <c r="AF197" s="55" t="n"/>
      <c r="AG197" s="12" t="n"/>
      <c r="AH197" s="55" t="n"/>
      <c r="AI197" s="55" t="n"/>
      <c r="AJ197" s="55" t="n"/>
      <c r="AK197" s="55" t="n"/>
      <c r="AL197" s="12" t="n"/>
      <c r="AM197" s="55" t="n"/>
      <c r="AN197" s="55" t="n"/>
      <c r="AO197" s="55" t="n"/>
      <c r="AP197" s="55" t="n"/>
      <c r="AQ197" s="12" t="n"/>
      <c r="AR197" s="55" t="n"/>
      <c r="AS197" s="55" t="n"/>
      <c r="AT197" s="55" t="n"/>
      <c r="AU197" s="55" t="n"/>
      <c r="AV197" s="12" t="n"/>
      <c r="AW197" s="55" t="n"/>
      <c r="AX197" s="55" t="n"/>
      <c r="AY197" s="55" t="n"/>
      <c r="AZ197" s="55" t="n"/>
      <c r="BA197" s="12" t="n"/>
      <c r="BB197" s="55" t="n"/>
      <c r="BC197" s="55" t="n"/>
      <c r="BD197" s="55" t="n"/>
      <c r="BE197" s="55" t="n"/>
      <c r="BF197" s="12" t="n"/>
      <c r="BG197" s="55" t="n"/>
      <c r="BH197" s="55" t="n"/>
      <c r="BI197" s="55" t="n"/>
      <c r="BJ197" s="55" t="n"/>
      <c r="BK197" s="12" t="n"/>
      <c r="BL197" s="55" t="n"/>
      <c r="BM197" s="55" t="n"/>
      <c r="BN197" s="55" t="n"/>
      <c r="BO197" s="55" t="n"/>
      <c r="BP197" s="12" t="n"/>
      <c r="BQ197" s="55" t="n"/>
      <c r="BR197" s="55" t="n"/>
      <c r="BS197" s="55" t="n"/>
      <c r="BT197" s="55" t="n"/>
      <c r="BU197" s="12" t="n"/>
      <c r="BV197" s="55" t="n"/>
      <c r="BW197" s="55" t="n"/>
      <c r="BX197" s="55" t="n"/>
      <c r="BY197" s="55" t="n"/>
      <c r="BZ197" s="12" t="n"/>
      <c r="CA197" s="55" t="n"/>
      <c r="CB197" s="55" t="n"/>
      <c r="CC197" s="55" t="n"/>
      <c r="CD197" s="55" t="n"/>
      <c r="CE197" s="12" t="n"/>
      <c r="CF197" s="55" t="n"/>
      <c r="CG197" s="55" t="n"/>
      <c r="CH197" s="55" t="n"/>
      <c r="CI197" s="55" t="n"/>
      <c r="CJ197" s="12" t="n"/>
      <c r="CK197" s="55" t="n"/>
      <c r="CL197" s="55" t="n"/>
      <c r="CM197" s="55" t="n"/>
      <c r="CN197" s="55" t="n"/>
      <c r="CO197" s="12" t="n"/>
      <c r="CP197" s="55" t="n"/>
      <c r="CQ197" s="55" t="n"/>
      <c r="CR197" s="55" t="n"/>
      <c r="CS197" s="55" t="n"/>
      <c r="CT197" s="12" t="n"/>
      <c r="CU197" s="55" t="n"/>
      <c r="CV197" s="55" t="n"/>
      <c r="CW197" s="55" t="n"/>
      <c r="CX197" s="55" t="n"/>
      <c r="CY197" s="12" t="n"/>
    </row>
    <row r="198" hidden="1" outlineLevel="1">
      <c r="C198" s="60" t="inlineStr">
        <is>
          <t>Outros Créditos - LP</t>
        </is>
      </c>
      <c r="D198" s="11" t="n"/>
      <c r="E198" s="11" t="n"/>
      <c r="F198" s="11" t="n"/>
      <c r="G198" s="11" t="n"/>
      <c r="H198" s="12" t="n"/>
      <c r="I198" s="11" t="n"/>
      <c r="J198" s="11" t="n"/>
      <c r="K198" s="11" t="n"/>
      <c r="L198" s="11" t="n"/>
      <c r="M198" s="12" t="n"/>
      <c r="N198" s="11" t="n"/>
      <c r="O198" s="11" t="n"/>
      <c r="P198" s="11" t="n"/>
      <c r="Q198" s="11" t="n"/>
      <c r="R198" s="12" t="n"/>
      <c r="S198" s="11" t="n"/>
      <c r="T198" s="11" t="n"/>
      <c r="U198" s="11" t="n"/>
      <c r="V198" s="11" t="n"/>
      <c r="W198" s="12" t="n"/>
      <c r="X198" s="11" t="n"/>
      <c r="Y198" s="11" t="n"/>
      <c r="Z198" s="11" t="n"/>
      <c r="AA198" s="11" t="n"/>
      <c r="AB198" s="12" t="n"/>
      <c r="AC198" s="11" t="n"/>
      <c r="AD198" s="11" t="n"/>
      <c r="AE198" s="11" t="n"/>
      <c r="AF198" s="11" t="n"/>
      <c r="AG198" s="12" t="n"/>
      <c r="AH198" s="12" t="n"/>
      <c r="AI198" s="12" t="n"/>
      <c r="AJ198" s="12" t="n"/>
      <c r="AK198" s="12" t="n"/>
      <c r="AL198" s="12" t="n"/>
      <c r="AM198" s="12" t="n"/>
      <c r="AN198" s="12" t="n"/>
      <c r="AO198" s="12" t="n"/>
      <c r="AP198" s="12" t="n"/>
      <c r="AQ198" s="12" t="n"/>
      <c r="AR198" s="12" t="n"/>
      <c r="AS198" s="12" t="n"/>
      <c r="AT198" s="12" t="n"/>
      <c r="AU198" s="12" t="n"/>
      <c r="AV198" s="12" t="n"/>
      <c r="AW198" s="12" t="n"/>
      <c r="AX198" s="12" t="n"/>
      <c r="AY198" s="12" t="n"/>
      <c r="AZ198" s="12" t="n"/>
      <c r="BA198" s="12" t="n"/>
      <c r="BB198" s="12" t="n"/>
      <c r="BC198" s="12" t="n"/>
      <c r="BD198" s="12" t="n"/>
      <c r="BE198" s="12" t="n"/>
      <c r="BF198" s="12" t="n"/>
      <c r="BG198" s="12" t="n"/>
      <c r="BH198" s="12" t="n"/>
      <c r="BI198" s="12" t="n"/>
      <c r="BJ198" s="12" t="n"/>
      <c r="BK198" s="12" t="n"/>
      <c r="BL198" s="12" t="n"/>
      <c r="BM198" s="12" t="n"/>
      <c r="BN198" s="12" t="n"/>
      <c r="BO198" s="12" t="n"/>
      <c r="BP198" s="12" t="n"/>
      <c r="BQ198" s="12" t="n"/>
      <c r="BR198" s="12" t="n"/>
      <c r="BS198" s="12" t="n"/>
      <c r="BT198" s="12" t="n"/>
      <c r="BU198" s="12" t="n"/>
      <c r="BV198" s="12" t="n"/>
      <c r="BW198" s="12" t="n"/>
      <c r="BX198" s="12" t="n"/>
      <c r="BY198" s="12" t="n"/>
      <c r="BZ198" s="12" t="n"/>
      <c r="CA198" s="12" t="n"/>
      <c r="CB198" s="12" t="n"/>
      <c r="CC198" s="12" t="n"/>
      <c r="CD198" s="12" t="n"/>
      <c r="CE198" s="12" t="n"/>
      <c r="CF198" s="12" t="n"/>
      <c r="CG198" s="12" t="n"/>
      <c r="CH198" s="12" t="n"/>
      <c r="CI198" s="12" t="n"/>
      <c r="CJ198" s="12" t="n"/>
      <c r="CK198" s="12" t="n"/>
      <c r="CL198" s="12" t="n"/>
      <c r="CM198" s="12" t="n"/>
      <c r="CN198" s="12" t="n"/>
      <c r="CO198" s="12" t="n"/>
      <c r="CP198" s="12" t="n"/>
      <c r="CQ198" s="12" t="n"/>
      <c r="CR198" s="12" t="n"/>
      <c r="CS198" s="12" t="n"/>
      <c r="CT198" s="12" t="n"/>
      <c r="CU198" s="12" t="n"/>
      <c r="CV198" s="12" t="n"/>
      <c r="CW198" s="12" t="n"/>
      <c r="CX198" s="12" t="n"/>
      <c r="CY198" s="12" t="n"/>
    </row>
    <row r="199" hidden="1" outlineLevel="1">
      <c r="C199" s="60" t="inlineStr">
        <is>
          <t xml:space="preserve">Impostos e Contribuições a Recuperar </t>
        </is>
      </c>
      <c r="D199" s="11" t="n"/>
      <c r="E199" s="11" t="n"/>
      <c r="F199" s="11" t="n"/>
      <c r="G199" s="11" t="n"/>
      <c r="H199" s="12" t="n"/>
      <c r="I199" s="11" t="n"/>
      <c r="J199" s="11" t="n"/>
      <c r="K199" s="11" t="n"/>
      <c r="L199" s="11" t="n"/>
      <c r="M199" s="12" t="n"/>
      <c r="N199" s="11" t="n"/>
      <c r="O199" s="11" t="n"/>
      <c r="P199" s="11" t="n"/>
      <c r="Q199" s="11" t="n"/>
      <c r="R199" s="12" t="n"/>
      <c r="S199" s="11" t="n"/>
      <c r="T199" s="11" t="n"/>
      <c r="U199" s="11" t="n"/>
      <c r="V199" s="11" t="n"/>
      <c r="W199" s="12" t="n"/>
      <c r="X199" s="11" t="n"/>
      <c r="Y199" s="11" t="n"/>
      <c r="Z199" s="11" t="n"/>
      <c r="AA199" s="11" t="n"/>
      <c r="AB199" s="12" t="n"/>
      <c r="AC199" s="11" t="n"/>
      <c r="AD199" s="11" t="n"/>
      <c r="AE199" s="11" t="n"/>
      <c r="AF199" s="11" t="n"/>
      <c r="AG199" s="12" t="n"/>
      <c r="AH199" s="12" t="n"/>
      <c r="AI199" s="12" t="n"/>
      <c r="AJ199" s="12" t="n"/>
      <c r="AK199" s="12" t="n"/>
      <c r="AL199" s="12" t="n"/>
      <c r="AM199" s="12" t="n"/>
      <c r="AN199" s="12" t="n"/>
      <c r="AO199" s="12" t="n"/>
      <c r="AP199" s="12" t="n"/>
      <c r="AQ199" s="12" t="n"/>
      <c r="AR199" s="12" t="n"/>
      <c r="AS199" s="12" t="n"/>
      <c r="AT199" s="12" t="n"/>
      <c r="AU199" s="12" t="n"/>
      <c r="AV199" s="12" t="n"/>
      <c r="AW199" s="12" t="n"/>
      <c r="AX199" s="12" t="n"/>
      <c r="AY199" s="12" t="n"/>
      <c r="AZ199" s="12" t="n"/>
      <c r="BA199" s="12" t="n"/>
      <c r="BB199" s="12" t="n"/>
      <c r="BC199" s="12" t="n"/>
      <c r="BD199" s="12" t="n"/>
      <c r="BE199" s="12" t="n"/>
      <c r="BF199" s="12" t="n"/>
      <c r="BG199" s="12" t="n"/>
      <c r="BH199" s="12" t="n"/>
      <c r="BI199" s="12" t="n"/>
      <c r="BJ199" s="12" t="n"/>
      <c r="BK199" s="12" t="n"/>
      <c r="BL199" s="12" t="n"/>
      <c r="BM199" s="12" t="n"/>
      <c r="BN199" s="12" t="n"/>
      <c r="BO199" s="12" t="n"/>
      <c r="BP199" s="12" t="n"/>
      <c r="BQ199" s="12" t="n"/>
      <c r="BR199" s="12" t="n"/>
      <c r="BS199" s="12" t="n"/>
      <c r="BT199" s="12" t="n"/>
      <c r="BU199" s="12" t="n"/>
      <c r="BV199" s="12" t="n"/>
      <c r="BW199" s="12" t="n"/>
      <c r="BX199" s="12" t="n"/>
      <c r="BY199" s="12" t="n"/>
      <c r="BZ199" s="12" t="n"/>
      <c r="CA199" s="12" t="n"/>
      <c r="CB199" s="12" t="n"/>
      <c r="CC199" s="12" t="n"/>
      <c r="CD199" s="12" t="n"/>
      <c r="CE199" s="12" t="n"/>
      <c r="CF199" s="12" t="n"/>
      <c r="CG199" s="12" t="n"/>
      <c r="CH199" s="12" t="n"/>
      <c r="CI199" s="12" t="n"/>
      <c r="CJ199" s="12" t="n"/>
      <c r="CK199" s="12" t="n"/>
      <c r="CL199" s="12" t="n"/>
      <c r="CM199" s="12" t="n"/>
      <c r="CN199" s="12" t="n"/>
      <c r="CO199" s="12" t="n"/>
      <c r="CP199" s="12" t="n"/>
      <c r="CQ199" s="12" t="n"/>
      <c r="CR199" s="12" t="n"/>
      <c r="CS199" s="12" t="n"/>
      <c r="CT199" s="12" t="n"/>
      <c r="CU199" s="12" t="n"/>
      <c r="CV199" s="12" t="n"/>
      <c r="CW199" s="12" t="n"/>
      <c r="CX199" s="12" t="n"/>
      <c r="CY199" s="12" t="n"/>
    </row>
    <row r="200" hidden="1" outlineLevel="1">
      <c r="C200" s="60" t="inlineStr">
        <is>
          <t xml:space="preserve">Imposto de Renda e Contribuição Social Diferidos </t>
        </is>
      </c>
      <c r="D200" s="11" t="n"/>
      <c r="E200" s="11" t="n"/>
      <c r="F200" s="11" t="n"/>
      <c r="G200" s="11" t="n"/>
      <c r="H200" s="12" t="n"/>
      <c r="I200" s="11" t="n"/>
      <c r="J200" s="11" t="n"/>
      <c r="K200" s="11" t="n"/>
      <c r="L200" s="11" t="n"/>
      <c r="M200" s="12" t="n"/>
      <c r="N200" s="11" t="n"/>
      <c r="O200" s="11" t="n"/>
      <c r="P200" s="11" t="n"/>
      <c r="Q200" s="11" t="n"/>
      <c r="R200" s="12" t="n"/>
      <c r="S200" s="11" t="n"/>
      <c r="T200" s="11" t="n"/>
      <c r="U200" s="11" t="n"/>
      <c r="V200" s="11" t="n"/>
      <c r="W200" s="12" t="n"/>
      <c r="X200" s="11" t="n"/>
      <c r="Y200" s="11" t="n"/>
      <c r="Z200" s="11" t="n"/>
      <c r="AA200" s="11" t="n"/>
      <c r="AB200" s="12" t="n"/>
      <c r="AC200" s="11" t="n"/>
      <c r="AD200" s="11" t="n"/>
      <c r="AE200" s="11" t="n"/>
      <c r="AF200" s="11" t="n"/>
      <c r="AG200" s="12" t="n"/>
      <c r="AH200" s="12" t="n"/>
      <c r="AI200" s="12" t="n"/>
      <c r="AJ200" s="12" t="n"/>
      <c r="AK200" s="12" t="n"/>
      <c r="AL200" s="12" t="n"/>
      <c r="AM200" s="12" t="n"/>
      <c r="AN200" s="12" t="n"/>
      <c r="AO200" s="12" t="n"/>
      <c r="AP200" s="12" t="n"/>
      <c r="AQ200" s="12" t="n"/>
      <c r="AR200" s="12" t="n"/>
      <c r="AS200" s="12" t="n"/>
      <c r="AT200" s="12" t="n"/>
      <c r="AU200" s="12" t="n"/>
      <c r="AV200" s="12" t="n"/>
      <c r="AW200" s="12" t="n"/>
      <c r="AX200" s="12" t="n"/>
      <c r="AY200" s="12" t="n"/>
      <c r="AZ200" s="12" t="n"/>
      <c r="BA200" s="12" t="n"/>
      <c r="BB200" s="12" t="n"/>
      <c r="BC200" s="12" t="n"/>
      <c r="BD200" s="12" t="n"/>
      <c r="BE200" s="12" t="n"/>
      <c r="BF200" s="12" t="n"/>
      <c r="BG200" s="12" t="n"/>
      <c r="BH200" s="12" t="n"/>
      <c r="BI200" s="12" t="n"/>
      <c r="BJ200" s="12" t="n"/>
      <c r="BK200" s="12" t="n"/>
      <c r="BL200" s="12" t="n"/>
      <c r="BM200" s="12" t="n"/>
      <c r="BN200" s="12" t="n"/>
      <c r="BO200" s="12" t="n"/>
      <c r="BP200" s="12" t="n"/>
      <c r="BQ200" s="12" t="n"/>
      <c r="BR200" s="12" t="n"/>
      <c r="BS200" s="12" t="n"/>
      <c r="BT200" s="12" t="n"/>
      <c r="BU200" s="12" t="n"/>
      <c r="BV200" s="12" t="n"/>
      <c r="BW200" s="12" t="n"/>
      <c r="BX200" s="12" t="n"/>
      <c r="BY200" s="12" t="n"/>
      <c r="BZ200" s="12" t="n"/>
      <c r="CA200" s="12" t="n"/>
      <c r="CB200" s="12" t="n"/>
      <c r="CC200" s="12" t="n"/>
      <c r="CD200" s="12" t="n"/>
      <c r="CE200" s="12" t="n"/>
      <c r="CF200" s="12" t="n"/>
      <c r="CG200" s="12" t="n"/>
      <c r="CH200" s="12" t="n"/>
      <c r="CI200" s="12" t="n"/>
      <c r="CJ200" s="12" t="n"/>
      <c r="CK200" s="12" t="n"/>
      <c r="CL200" s="12" t="n"/>
      <c r="CM200" s="12" t="n"/>
      <c r="CN200" s="12" t="n"/>
      <c r="CO200" s="12" t="n"/>
      <c r="CP200" s="12" t="n"/>
      <c r="CQ200" s="12" t="n"/>
      <c r="CR200" s="12" t="n"/>
      <c r="CS200" s="12" t="n"/>
      <c r="CT200" s="12" t="n"/>
      <c r="CU200" s="12" t="n"/>
      <c r="CV200" s="12" t="n"/>
      <c r="CW200" s="12" t="n"/>
      <c r="CX200" s="12" t="n"/>
      <c r="CY200" s="12" t="n"/>
    </row>
    <row r="201" hidden="1" outlineLevel="1">
      <c r="C201" s="60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  <c r="AJ201" s="12" t="n"/>
      <c r="AK201" s="12" t="n"/>
      <c r="AL201" s="12" t="n"/>
      <c r="AM201" s="12" t="n"/>
      <c r="AN201" s="12" t="n"/>
      <c r="AO201" s="12" t="n"/>
      <c r="AP201" s="12" t="n"/>
      <c r="AQ201" s="12" t="n"/>
      <c r="AR201" s="12" t="n"/>
      <c r="AS201" s="12" t="n"/>
      <c r="AT201" s="12" t="n"/>
      <c r="AU201" s="12" t="n"/>
      <c r="AV201" s="12" t="n"/>
      <c r="AW201" s="12" t="n"/>
      <c r="AX201" s="12" t="n"/>
      <c r="AY201" s="12" t="n"/>
      <c r="AZ201" s="12" t="n"/>
      <c r="BA201" s="12" t="n"/>
      <c r="BB201" s="12" t="n"/>
      <c r="BC201" s="12" t="n"/>
      <c r="BD201" s="12" t="n"/>
      <c r="BE201" s="12" t="n"/>
      <c r="BF201" s="12" t="n"/>
      <c r="BG201" s="12" t="n"/>
      <c r="BH201" s="12" t="n"/>
      <c r="BI201" s="12" t="n"/>
      <c r="BJ201" s="12" t="n"/>
      <c r="BK201" s="12" t="n"/>
      <c r="BL201" s="12" t="n"/>
      <c r="BM201" s="12" t="n"/>
      <c r="BN201" s="12" t="n"/>
      <c r="BO201" s="12" t="n"/>
      <c r="BP201" s="12" t="n"/>
      <c r="BQ201" s="12" t="n"/>
      <c r="BR201" s="12" t="n"/>
      <c r="BS201" s="12" t="n"/>
      <c r="BT201" s="12" t="n"/>
      <c r="BU201" s="12" t="n"/>
      <c r="BV201" s="12" t="n"/>
      <c r="BW201" s="12" t="n"/>
      <c r="BX201" s="12" t="n"/>
      <c r="BY201" s="12" t="n"/>
      <c r="BZ201" s="12" t="n"/>
      <c r="CA201" s="12" t="n"/>
      <c r="CB201" s="12" t="n"/>
      <c r="CC201" s="12" t="n"/>
      <c r="CD201" s="12" t="n"/>
      <c r="CE201" s="12" t="n"/>
      <c r="CF201" s="12" t="n"/>
      <c r="CG201" s="12" t="n"/>
      <c r="CH201" s="12" t="n"/>
      <c r="CI201" s="12" t="n"/>
      <c r="CJ201" s="12" t="n"/>
      <c r="CK201" s="12" t="n"/>
      <c r="CL201" s="12" t="n"/>
      <c r="CM201" s="12" t="n"/>
      <c r="CN201" s="12" t="n"/>
      <c r="CO201" s="12" t="n"/>
      <c r="CP201" s="12" t="n"/>
      <c r="CQ201" s="12" t="n"/>
      <c r="CR201" s="12" t="n"/>
      <c r="CS201" s="12" t="n"/>
      <c r="CT201" s="12" t="n"/>
      <c r="CU201" s="12" t="n"/>
      <c r="CV201" s="12" t="n"/>
      <c r="CW201" s="12" t="n"/>
      <c r="CX201" s="12" t="n"/>
      <c r="CY201" s="12" t="n"/>
    </row>
    <row r="202" hidden="1" outlineLevel="1">
      <c r="C202" s="57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  <c r="AL202" s="12" t="n"/>
      <c r="AM202" s="12" t="n"/>
      <c r="AN202" s="12" t="n"/>
      <c r="AO202" s="12" t="n"/>
      <c r="AP202" s="12" t="n"/>
      <c r="AQ202" s="12" t="n"/>
      <c r="AR202" s="12" t="n"/>
      <c r="AS202" s="12" t="n"/>
      <c r="AT202" s="12" t="n"/>
      <c r="AU202" s="12" t="n"/>
      <c r="AV202" s="12" t="n"/>
      <c r="AW202" s="12" t="n"/>
      <c r="AX202" s="12" t="n"/>
      <c r="AY202" s="12" t="n"/>
      <c r="AZ202" s="12" t="n"/>
      <c r="BA202" s="12" t="n"/>
      <c r="BB202" s="12" t="n"/>
      <c r="BC202" s="12" t="n"/>
      <c r="BD202" s="12" t="n"/>
      <c r="BE202" s="12" t="n"/>
      <c r="BF202" s="12" t="n"/>
      <c r="BG202" s="12" t="n"/>
      <c r="BH202" s="12" t="n"/>
      <c r="BI202" s="12" t="n"/>
      <c r="BJ202" s="12" t="n"/>
      <c r="BK202" s="12" t="n"/>
      <c r="BL202" s="12" t="n"/>
      <c r="BM202" s="12" t="n"/>
      <c r="BN202" s="12" t="n"/>
      <c r="BO202" s="12" t="n"/>
      <c r="BP202" s="12" t="n"/>
      <c r="BQ202" s="12" t="n"/>
      <c r="BR202" s="12" t="n"/>
      <c r="BS202" s="12" t="n"/>
      <c r="BT202" s="12" t="n"/>
      <c r="BU202" s="12" t="n"/>
      <c r="BV202" s="12" t="n"/>
      <c r="BW202" s="12" t="n"/>
      <c r="BX202" s="12" t="n"/>
      <c r="BY202" s="12" t="n"/>
      <c r="BZ202" s="12" t="n"/>
      <c r="CA202" s="12" t="n"/>
      <c r="CB202" s="12" t="n"/>
      <c r="CC202" s="12" t="n"/>
      <c r="CD202" s="12" t="n"/>
      <c r="CE202" s="12" t="n"/>
      <c r="CF202" s="12" t="n"/>
      <c r="CG202" s="12" t="n"/>
      <c r="CH202" s="12" t="n"/>
      <c r="CI202" s="12" t="n"/>
      <c r="CJ202" s="12" t="n"/>
      <c r="CK202" s="12" t="n"/>
      <c r="CL202" s="12" t="n"/>
      <c r="CM202" s="12" t="n"/>
      <c r="CN202" s="12" t="n"/>
      <c r="CO202" s="12" t="n"/>
      <c r="CP202" s="12" t="n"/>
      <c r="CQ202" s="12" t="n"/>
      <c r="CR202" s="12" t="n"/>
      <c r="CS202" s="12" t="n"/>
      <c r="CT202" s="12" t="n"/>
      <c r="CU202" s="12" t="n"/>
      <c r="CV202" s="12" t="n"/>
      <c r="CW202" s="12" t="n"/>
      <c r="CX202" s="12" t="n"/>
      <c r="CY202" s="12" t="n"/>
    </row>
    <row r="203" collapsed="1" customFormat="1" s="32">
      <c r="A203" s="30" t="n"/>
      <c r="B203" s="3" t="n"/>
      <c r="C203" s="33" t="inlineStr">
        <is>
          <t>Total Assets</t>
        </is>
      </c>
      <c r="D203" s="35" t="n"/>
      <c r="E203" s="35" t="n"/>
      <c r="F203" s="35" t="n"/>
      <c r="G203" s="35" t="n"/>
      <c r="H203" s="35" t="n"/>
      <c r="I203" s="35">
        <f>SUM(I150,I151,I155,I159,I160,I161,I167,I172,I182,I185,I186,I195)</f>
        <v>31959.713729092</v>
      </c>
      <c r="J203" s="35">
        <f>SUM(J150,J151,J155,J159,J160,J161,J167,J172,J182,J185,J186,J195)</f>
        <v>33773.128</v>
      </c>
      <c r="K203" s="35">
        <f>SUM(K150,K151,K155,K159,K160,K161,K167,K172,K182,K185,K186,K195)</f>
        <v>41082.055</v>
      </c>
      <c r="L203" s="35">
        <f>SUM(L150,L151,L155,L159,L160,L161,L167,L172,L182,L185,L186,L195)</f>
        <v>47968.194</v>
      </c>
      <c r="M203" s="35">
        <f>SUM(M150,M151,M155,M159,M160,M161,M167,M172,M182,M185,M186,M195)</f>
        <v>47968.194</v>
      </c>
      <c r="N203" s="35">
        <f>SUM(N150,N151,N155,N159,N160,N161,N167,N172,N182,N185,N186,N195)</f>
        <v>47543.699</v>
      </c>
      <c r="O203" s="35">
        <f>SUM(O150,O151,O155,O159,O160,O161,O167,O172,O182,O185,O186,O195)</f>
        <v>52956.699</v>
      </c>
      <c r="P203" s="35">
        <f>SUM(P150,P151,P155,P159,P160,P161,P167,P172,P182,P185,P186,P195)</f>
        <v>59006.238</v>
      </c>
      <c r="Q203" s="35">
        <f>SUM(Q150,Q151,Q155,Q159,Q160,Q161,Q167,Q172,Q182,Q185,Q186,Q195)</f>
        <v>61659.514</v>
      </c>
      <c r="R203" s="35">
        <f>SUM(R150,R151,R155,R159,R160,R161,R167,R172,R182,R185,R186,R195)</f>
        <v>61659.514</v>
      </c>
      <c r="S203" s="35">
        <f>SUM(S150,S151,S155,S159,S160,S161,S167,S172,S182,S185,S186,S195)</f>
        <v>59367.331271001</v>
      </c>
      <c r="T203" s="35">
        <f>SUM(T150,T151,T155,T159,T160,T161,T167,T172,T182,T185,T186,T195)</f>
        <v>60059.526256072</v>
      </c>
      <c r="U203" s="35">
        <f>SUM(U150,U151,U155,U159,U160,U161,U167,U172,U182,U185,U186,U195)</f>
        <v>62697.61463457</v>
      </c>
      <c r="V203" s="35">
        <f>SUM(V150,V151,V155,V159,V160,V161,V167,V172,V182,V185,V186,V195)</f>
        <v>70140.838842584</v>
      </c>
      <c r="W203" s="35">
        <f>SUM(W150,W151,W155,W159,W160,W161,W167,W172,W182,W185,W186,W195)</f>
        <v>70140.838842584</v>
      </c>
      <c r="X203" s="35">
        <f>SUM(X150,X151,X155,X159,X160,X161,X167,X172,X182,X185,X186,X195)</f>
        <v>74190.125202335</v>
      </c>
      <c r="Y203" s="35">
        <f>SUM(Y150,Y151,Y155,Y159,Y160,Y161,Y167,Y172,Y182,Y185,Y186,Y195)</f>
        <v>76293.224558886</v>
      </c>
      <c r="Z203" s="35">
        <f>SUM(Z150,Z151,Z155,Z159,Z160,Z161,Z167,Z172,Z182,Z185,Z186,Z195)</f>
        <v>80107.523419086</v>
      </c>
      <c r="AA203" s="35">
        <f>SUM(AA150,AA151,AA155,AA159,AA160,AA161,AA167,AA172,AA182,AA185,AA186,AA195)</f>
        <v>83152.86479311</v>
      </c>
      <c r="AB203" s="35">
        <f>SUM(AB150,AB151,AB155,AB159,AB160,AB161,AB167,AB172,AB182,AB185,AB186,AB195)</f>
        <v>83152.86479311</v>
      </c>
      <c r="AC203" s="35">
        <f>SUM(AC150,AC151,AC155,AC159,AC160,AC161,AC167,AC172,AC182,AC185,AC186,AC195)</f>
        <v>81029.26124217</v>
      </c>
      <c r="AD203" s="35">
        <f>SUM(AD150,AD151,AD155,AD159,AD160,AD161,AD167,AD172,AD182,AD185,AD186,AD195)</f>
        <v>81414.23653032</v>
      </c>
      <c r="AE203" s="35">
        <f>SUM(AE150,AE151,AE155,AE159,AE160,AE161,AE167,AE172,AE182,AE185,AE186,AE195)</f>
        <v>81263.33484086</v>
      </c>
      <c r="AF203" s="35">
        <f>SUM(AF150,AF151,AF155,AF159,AF160,AF161,AF167,AF172,AF182,AF185,AF186,AF195)</f>
        <v>86702.2132848</v>
      </c>
      <c r="AG203" s="35">
        <f>SUM(AG150,AG151,AG155,AG159,AG160,AG161,AG167,AG172,AG182,AG185,AG186,AG195)</f>
        <v>86702.2132848</v>
      </c>
      <c r="AH203" s="35">
        <f>SUM(AH150,AH151,AH155,AH159,AH160,AH161,AH167,AH172,AH182,AH185,AH186,AH195)</f>
        <v>87178.62377144</v>
      </c>
      <c r="AI203" s="35">
        <f>SUM(AI150,AI151,AI155,AI159,AI160,AI161,AI167,AI172,AI182,AI185,AI186,AI195)</f>
        <v>91594.77638691</v>
      </c>
      <c r="AJ203" s="35">
        <f>SUM(AJ150,AJ151,AJ155,AJ159,AJ160,AJ161,AJ167,AJ172,AJ182,AJ185,AJ186,AJ195)</f>
        <v>92406.1186784428</v>
      </c>
      <c r="AK203" s="35">
        <f>SUM(AK150,AK151,AK155,AK159,AK160,AK161,AK167,AK172,AK182,AK185,AK186,AK195)</f>
        <v>93822.9276996967</v>
      </c>
      <c r="AL203" s="35">
        <f>SUM(AL150,AL151,AL155,AL159,AL160,AL161,AL167,AL172,AL182,AL185,AL186,AL195)</f>
        <v>93822.9276996967</v>
      </c>
      <c r="AM203" s="35">
        <f>SUM(AM150,AM151,AM155,AM159,AM160,AM161,AM167,AM172,AM182,AM185,AM186,AM195)</f>
        <v>95245.5415744632</v>
      </c>
      <c r="AN203" s="35">
        <f>SUM(AN150,AN151,AN155,AN159,AN160,AN161,AN167,AN172,AN182,AN185,AN186,AN195)</f>
        <v>96827.2686904588</v>
      </c>
      <c r="AO203" s="35">
        <f>SUM(AO150,AO151,AO155,AO159,AO160,AO161,AO167,AO172,AO182,AO185,AO186,AO195)</f>
        <v>98625.8479898759</v>
      </c>
      <c r="AP203" s="35">
        <f>SUM(AP150,AP151,AP155,AP159,AP160,AP161,AP167,AP172,AP182,AP185,AP186,AP195)</f>
        <v>100154.423780333</v>
      </c>
      <c r="AQ203" s="35">
        <f>SUM(AQ150,AQ151,AQ155,AQ159,AQ160,AQ161,AQ167,AQ172,AQ182,AQ185,AQ186,AQ195)</f>
        <v>100154.423780333</v>
      </c>
      <c r="AR203" s="35">
        <f>SUM(AR150,AR151,AR155,AR159,AR160,AR161,AR167,AR172,AR182,AR185,AR186,AR195)</f>
        <v>101537.218513867</v>
      </c>
      <c r="AS203" s="35">
        <f>SUM(AS150,AS151,AS155,AS159,AS160,AS161,AS167,AS172,AS182,AS185,AS186,AS195)</f>
        <v>103315.580684303</v>
      </c>
      <c r="AT203" s="35">
        <f>SUM(AT150,AT151,AT155,AT159,AT160,AT161,AT167,AT172,AT182,AT185,AT186,AT195)</f>
        <v>105229.452109138</v>
      </c>
      <c r="AU203" s="35">
        <f>SUM(AU150,AU151,AU155,AU159,AU160,AU161,AU167,AU172,AU182,AU185,AU186,AU195)</f>
        <v>106858.1574304</v>
      </c>
      <c r="AV203" s="35">
        <f>SUM(AV150,AV151,AV155,AV159,AV160,AV161,AV167,AV172,AV182,AV185,AV186,AV195)</f>
        <v>106858.1574304</v>
      </c>
      <c r="AW203" s="35">
        <f>SUM(AW150,AW151,AW155,AW159,AW160,AW161,AW167,AW172,AW182,AW185,AW186,AW195)</f>
        <v>108380.005433495</v>
      </c>
      <c r="AX203" s="35">
        <f>SUM(AX150,AX151,AX155,AX159,AX160,AX161,AX167,AX172,AX182,AX185,AX186,AX195)</f>
        <v>110163.332590447</v>
      </c>
      <c r="AY203" s="35">
        <f>SUM(AY150,AY151,AY155,AY159,AY160,AY161,AY167,AY172,AY182,AY185,AY186,AY195)</f>
        <v>112187.335595916</v>
      </c>
      <c r="AZ203" s="35">
        <f>SUM(AZ150,AZ151,AZ155,AZ159,AZ160,AZ161,AZ167,AZ172,AZ182,AZ185,AZ186,AZ195)</f>
        <v>113911.292497173</v>
      </c>
      <c r="BA203" s="35">
        <f>SUM(BA150,BA151,BA155,BA159,BA160,BA161,BA167,BA172,BA182,BA185,BA186,BA195)</f>
        <v>113911.292497173</v>
      </c>
      <c r="BB203" s="35">
        <f>SUM(BB150,BB151,BB155,BB159,BB160,BB161,BB167,BB172,BB182,BB185,BB186,BB195)</f>
        <v>115468.012867933</v>
      </c>
      <c r="BC203" s="35">
        <f>SUM(BC150,BC151,BC155,BC159,BC160,BC161,BC167,BC172,BC182,BC185,BC186,BC195)</f>
        <v>117342.881561463</v>
      </c>
      <c r="BD203" s="35">
        <f>SUM(BD150,BD151,BD155,BD159,BD160,BD161,BD167,BD172,BD182,BD185,BD186,BD195)</f>
        <v>119469.052613487</v>
      </c>
      <c r="BE203" s="35">
        <f>SUM(BE150,BE151,BE155,BE159,BE160,BE161,BE167,BE172,BE182,BE185,BE186,BE195)</f>
        <v>121280.710146931</v>
      </c>
      <c r="BF203" s="35">
        <f>SUM(BF150,BF151,BF155,BF159,BF160,BF161,BF167,BF172,BF182,BF185,BF186,BF195)</f>
        <v>121280.710146931</v>
      </c>
      <c r="BG203" s="35" t="n"/>
      <c r="BH203" s="35" t="n"/>
      <c r="BI203" s="35" t="n"/>
      <c r="BJ203" s="35" t="n"/>
      <c r="BK203" s="35" t="n"/>
      <c r="BL203" s="35" t="n"/>
      <c r="BM203" s="35" t="n"/>
      <c r="BN203" s="35" t="n"/>
      <c r="BO203" s="35" t="n"/>
      <c r="BP203" s="35" t="n"/>
      <c r="BQ203" s="35" t="n"/>
      <c r="BR203" s="35" t="n"/>
      <c r="BS203" s="35" t="n"/>
      <c r="BT203" s="35" t="n"/>
      <c r="BU203" s="35" t="n"/>
      <c r="BV203" s="35" t="n"/>
      <c r="BW203" s="35" t="n"/>
      <c r="BX203" s="35" t="n"/>
      <c r="BY203" s="35" t="n"/>
      <c r="BZ203" s="35" t="n"/>
      <c r="CA203" s="35" t="n"/>
      <c r="CB203" s="35" t="n"/>
      <c r="CC203" s="35" t="n"/>
      <c r="CD203" s="35" t="n"/>
      <c r="CE203" s="35" t="n"/>
      <c r="CF203" s="35" t="n"/>
      <c r="CG203" s="35" t="n"/>
      <c r="CH203" s="35" t="n"/>
      <c r="CI203" s="35" t="n"/>
      <c r="CJ203" s="35" t="n"/>
      <c r="CK203" s="35" t="n"/>
      <c r="CL203" s="35" t="n"/>
      <c r="CM203" s="35" t="n"/>
      <c r="CN203" s="35" t="n"/>
      <c r="CO203" s="35" t="n"/>
      <c r="CP203" s="35" t="n"/>
      <c r="CQ203" s="35" t="n"/>
      <c r="CR203" s="35" t="n"/>
      <c r="CS203" s="35" t="n"/>
      <c r="CT203" s="35" t="n"/>
      <c r="CU203" s="35" t="n"/>
      <c r="CV203" s="35" t="n"/>
      <c r="CW203" s="35" t="n"/>
      <c r="CX203" s="35" t="n"/>
      <c r="CY203" s="35" t="n"/>
    </row>
    <row r="204">
      <c r="C204" s="14" t="inlineStr">
        <is>
          <t>Accounts payable</t>
        </is>
      </c>
      <c r="D204" s="46" t="n"/>
      <c r="E204" s="46" t="n"/>
      <c r="F204" s="46" t="n"/>
      <c r="G204" s="46" t="n"/>
      <c r="H204" s="12" t="n"/>
      <c r="I204" s="46">
        <f>'Inputs (2)'!D28</f>
        <v>1785.56086061</v>
      </c>
      <c r="J204" s="46">
        <f>'Inputs (2)'!E28</f>
        <v>2597.160507563</v>
      </c>
      <c r="K204" s="46">
        <f>'Inputs (2)'!F28</f>
        <v>2266.949</v>
      </c>
      <c r="L204" s="46">
        <f>'Inputs (2)'!G28</f>
        <v>3549.8</v>
      </c>
      <c r="M204" s="12">
        <f>'Inputs (2)'!H28</f>
        <v>3549.8</v>
      </c>
      <c r="N204" s="46">
        <f>'Inputs (2)'!I28</f>
        <v>3293.722</v>
      </c>
      <c r="O204" s="46">
        <f>'Inputs (2)'!J28</f>
        <v>4445.405</v>
      </c>
      <c r="P204" s="46">
        <f>'Inputs (2)'!K28</f>
        <v>4020.06</v>
      </c>
      <c r="Q204" s="46">
        <f>'Inputs (2)'!L28</f>
        <v>6103.173</v>
      </c>
      <c r="R204" s="12">
        <f>'Inputs (2)'!M28</f>
        <v>6103.173</v>
      </c>
      <c r="S204" s="46">
        <f>'Inputs (2)'!N28</f>
        <v>3544.580241255</v>
      </c>
      <c r="T204" s="46">
        <f>'Inputs (2)'!O28</f>
        <v>2251.560845298</v>
      </c>
      <c r="U204" s="46">
        <f>'Inputs (2)'!P28</f>
        <v>3630.185744411</v>
      </c>
      <c r="V204" s="46">
        <f>'Inputs (2)'!Q28</f>
        <v>6768.443213748</v>
      </c>
      <c r="W204" s="12">
        <f>'Inputs (2)'!R28</f>
        <v>6768.443213748</v>
      </c>
      <c r="X204" s="46">
        <f>'Inputs (2)'!S28</f>
        <v>6651.97350231</v>
      </c>
      <c r="Y204" s="46">
        <f>'Inputs (2)'!T28</f>
        <v>6306.70810483</v>
      </c>
      <c r="Z204" s="46">
        <f>'Inputs (2)'!U28</f>
        <v>6478.81181769</v>
      </c>
      <c r="AA204" s="46">
        <f>'Inputs (2)'!V28</f>
        <v>7938.16129524</v>
      </c>
      <c r="AB204" s="12">
        <f>'Inputs (2)'!W28</f>
        <v>7938.16129524</v>
      </c>
      <c r="AC204" s="46">
        <f>'Inputs (2)'!X28</f>
        <v>6301.64529617</v>
      </c>
      <c r="AD204" s="46">
        <f>'Inputs (2)'!Y28</f>
        <v>6978.67527976</v>
      </c>
      <c r="AE204" s="46">
        <f>'Inputs (2)'!Z28</f>
        <v>6854.04016388</v>
      </c>
      <c r="AF204" s="46">
        <f>'Inputs (2)'!AA28</f>
        <v>8345.81868308</v>
      </c>
      <c r="AG204" s="12">
        <f>'Inputs (2)'!AB28</f>
        <v>8345.81868308</v>
      </c>
      <c r="AH204" s="12">
        <f>'Inputs (2)'!AC28</f>
        <v>7642.5584804</v>
      </c>
      <c r="AI204" s="12">
        <f>'Inputs (2)'!AD28</f>
        <v>8600.61621319</v>
      </c>
      <c r="AJ204" s="12">
        <f>(AJ205/(AJ$5-AI$5))*-AJ$60</f>
        <v>8017.64421913784</v>
      </c>
      <c r="AK204" s="12">
        <f>(AK205/(AK$5-AJ$5))*-AK$60</f>
        <v>8031.04812316777</v>
      </c>
      <c r="AL204" s="12">
        <f>AK204</f>
        <v>8031.04812316777</v>
      </c>
      <c r="AM204" s="12">
        <f>(AM205/(AM$5-AL$5))*-AM$60</f>
        <v>8065.40444261104</v>
      </c>
      <c r="AN204" s="12">
        <f>(AN205/(AN$5-AM$5))*-AN$60</f>
        <v>8213.61948476926</v>
      </c>
      <c r="AO204" s="12">
        <f>(AO205/(AO$5-AN$5))*-AO$60</f>
        <v>8508.93668763868</v>
      </c>
      <c r="AP204" s="12">
        <f>(AP205/(AP$5-AO$5))*-AP$60</f>
        <v>8523.16193481112</v>
      </c>
      <c r="AQ204" s="12">
        <f>AP204</f>
        <v>8523.16193481112</v>
      </c>
      <c r="AR204" s="12">
        <f>(AR205/(AR$5-AQ$5))*-AR$60</f>
        <v>8425.67782155629</v>
      </c>
      <c r="AS204" s="12">
        <f>(AS205/(AS$5-AR$5))*-AS$60</f>
        <v>8675.85251691747</v>
      </c>
      <c r="AT204" s="12">
        <f>(AT205/(AT$5-AS$5))*-AT$60</f>
        <v>8987.78911229479</v>
      </c>
      <c r="AU204" s="12">
        <f>(AU205/(AU$5-AT$5))*-AU$60</f>
        <v>9002.81490533445</v>
      </c>
      <c r="AV204" s="12">
        <f>AU204</f>
        <v>9002.81490533445</v>
      </c>
      <c r="AW204" s="12">
        <f>(AW205/(AW$5-AV$5))*-AW$60</f>
        <v>8956.13541739529</v>
      </c>
      <c r="AX204" s="12">
        <f>(AX205/(AX$5-AW$5))*-AX$60</f>
        <v>9120.7191029264</v>
      </c>
      <c r="AY204" s="12">
        <f>(AY205/(AY$5-AX$5))*-AY$60</f>
        <v>9448.65068761067</v>
      </c>
      <c r="AZ204" s="12">
        <f>(AZ205/(AZ$5-AY$5))*-AZ$60</f>
        <v>9464.44694940123</v>
      </c>
      <c r="BA204" s="12">
        <f>AZ204</f>
        <v>9464.44694940123</v>
      </c>
      <c r="BB204" s="12">
        <f>(BB205/(BB$5-BA$5))*-BB$60</f>
        <v>9370.59322773086</v>
      </c>
      <c r="BC204" s="12">
        <f>(BC205/(BC$5-BB$5))*-BC$60</f>
        <v>9542.79325566226</v>
      </c>
      <c r="BD204" s="12">
        <f>(BD205/(BD$5-BC$5))*-BD$60</f>
        <v>9885.90033738782</v>
      </c>
      <c r="BE204" s="12">
        <f>(BE205/(BE$5-BD$5))*-BE$60</f>
        <v>9902.42759349324</v>
      </c>
      <c r="BF204" s="12">
        <f>BE204</f>
        <v>9902.42759349324</v>
      </c>
      <c r="BG204" s="12" t="n"/>
      <c r="BH204" s="12" t="n"/>
      <c r="BI204" s="12" t="n"/>
      <c r="BJ204" s="12" t="n"/>
      <c r="BK204" s="12" t="n"/>
      <c r="BL204" s="12" t="n"/>
      <c r="BM204" s="12" t="n"/>
      <c r="BN204" s="12" t="n"/>
      <c r="BO204" s="12" t="n"/>
      <c r="BP204" s="12" t="n"/>
      <c r="BQ204" s="12" t="n"/>
      <c r="BR204" s="12" t="n"/>
      <c r="BS204" s="12" t="n"/>
      <c r="BT204" s="12" t="n"/>
      <c r="BU204" s="12" t="n"/>
      <c r="BV204" s="12" t="n"/>
      <c r="BW204" s="12" t="n"/>
      <c r="BX204" s="12" t="n"/>
      <c r="BY204" s="12" t="n"/>
      <c r="BZ204" s="12" t="n"/>
      <c r="CA204" s="12" t="n"/>
      <c r="CB204" s="12" t="n"/>
      <c r="CC204" s="12" t="n"/>
      <c r="CD204" s="12" t="n"/>
      <c r="CE204" s="12" t="n"/>
      <c r="CF204" s="12" t="n"/>
      <c r="CG204" s="12" t="n"/>
      <c r="CH204" s="12" t="n"/>
      <c r="CI204" s="12" t="n"/>
      <c r="CJ204" s="12" t="n"/>
      <c r="CK204" s="12" t="n"/>
      <c r="CL204" s="12" t="n"/>
      <c r="CM204" s="12" t="n"/>
      <c r="CN204" s="12" t="n"/>
      <c r="CO204" s="12" t="n"/>
      <c r="CP204" s="12" t="n"/>
      <c r="CQ204" s="12" t="n"/>
      <c r="CR204" s="12" t="n"/>
      <c r="CS204" s="12" t="n"/>
      <c r="CT204" s="12" t="n"/>
      <c r="CU204" s="12" t="n"/>
      <c r="CV204" s="12" t="n"/>
      <c r="CW204" s="12" t="n"/>
      <c r="CX204" s="12" t="n"/>
      <c r="CY204" s="12" t="n"/>
    </row>
    <row r="205" hidden="1" outlineLevel="1">
      <c r="C205" s="57" t="inlineStr">
        <is>
          <t>DPO</t>
        </is>
      </c>
      <c r="D205" s="12" t="n"/>
      <c r="E205" s="12" t="n"/>
      <c r="F205" s="12" t="n"/>
      <c r="G205" s="12" t="n"/>
      <c r="H205" s="12" t="n"/>
      <c r="I205" s="12">
        <f>IFERROR(-(I204/I$60)*(I$5-H$5),"")</f>
        <v>102.007793103077</v>
      </c>
      <c r="J205" s="12">
        <f>IFERROR(-(J204/J$60)*(J$5-I$5),"")</f>
        <v>122.401534677959</v>
      </c>
      <c r="K205" s="12">
        <f>IFERROR(-(K204/K$60)*(K$5-J$5),"")</f>
        <v>86.2217875192403</v>
      </c>
      <c r="L205" s="12">
        <f>IFERROR(-(L204/L$60)*(L$5-K$5),"")</f>
        <v>136.184440060947</v>
      </c>
      <c r="M205" s="12" t="n"/>
      <c r="N205" s="12">
        <f>IFERROR(-(N204/N$60)*(N$5-M$5),"")</f>
        <v>115.081274725623</v>
      </c>
      <c r="O205" s="12">
        <f>IFERROR(-(O204/O$60)*(O$5-N$5),"")</f>
        <v>127.55107610115</v>
      </c>
      <c r="P205" s="12">
        <f>IFERROR(-(P204/P$60)*(P$5-O$5),"")</f>
        <v>87.2222580715057</v>
      </c>
      <c r="Q205" s="12">
        <f>IFERROR(-(Q204/Q$60)*(Q$5-P$5),"")</f>
        <v>121.620243622572</v>
      </c>
      <c r="R205" s="12" t="n"/>
      <c r="S205" s="12">
        <f>IFERROR(-(S204/S$60)*(S$5-R$5),"")</f>
        <v>68.460968660581</v>
      </c>
      <c r="T205" s="12">
        <f>IFERROR(-(T204/T$60)*(T$5-S$5),"")</f>
        <v>43.2812925912482</v>
      </c>
      <c r="U205" s="12">
        <f>IFERROR(-(U204/U$60)*(U$5-T$5),"")</f>
        <v>62.0951622850344</v>
      </c>
      <c r="V205" s="12">
        <f>IFERROR(-(V204/V$60)*(V$5-U$5),"")</f>
        <v>106.926349071817</v>
      </c>
      <c r="W205" s="12" t="n"/>
      <c r="X205" s="12">
        <f>IFERROR(-(X204/X$60)*(X$5-W$5),"")</f>
        <v>104.348779758211</v>
      </c>
      <c r="Y205" s="12">
        <f>IFERROR(-(Y204/Y$60)*(Y$5-X$5),"")</f>
        <v>85.0049596943041</v>
      </c>
      <c r="Z205" s="12">
        <f>IFERROR(-(Z204/Z$60)*(Z$5-Y$5),"")</f>
        <v>84.0216792077772</v>
      </c>
      <c r="AA205" s="12">
        <f>IFERROR(-(AA204/AA$60)*(AA$5-Z$5),"")</f>
        <v>104.734173914328</v>
      </c>
      <c r="AB205" s="12" t="n"/>
      <c r="AC205" s="12">
        <f>IFERROR(-(AC204/AC$60)*(AC$5-AB$5),"")</f>
        <v>87.2853862216539</v>
      </c>
      <c r="AD205" s="12">
        <f>IFERROR(-(AD204/AD$60)*(AD$5-AC$5),"")</f>
        <v>98.5337944443445</v>
      </c>
      <c r="AE205" s="12">
        <f>IFERROR(-(AE204/AE$60)*(AE$5-AD$5),"")</f>
        <v>89.5631710230689</v>
      </c>
      <c r="AF205" s="11">
        <f>IFERROR(-(AF204/AF$60)*(AF$5-AE$5),"")</f>
        <v>110.168357229691</v>
      </c>
      <c r="AG205" s="12" t="n"/>
      <c r="AH205" s="11">
        <f>IFERROR(-(AH204/AH$60)*(AH$5-AG$5),"")</f>
        <v>102.097322640811</v>
      </c>
      <c r="AI205" s="11">
        <f>IFERROR(-(AI204/AI$60)*(AI$5-AH$5),"")</f>
        <v>114.863506339078</v>
      </c>
      <c r="AJ205" s="11">
        <f>Control!$B$27</f>
        <v>100.418589649775</v>
      </c>
      <c r="AK205" s="11">
        <f>Control!$B$27</f>
        <v>100.418589649775</v>
      </c>
      <c r="AL205" s="12" t="n"/>
      <c r="AM205" s="11">
        <f>Control!$C$27</f>
        <v>100.418589649775</v>
      </c>
      <c r="AN205" s="11">
        <f>Control!$C$27</f>
        <v>100.418589649775</v>
      </c>
      <c r="AO205" s="11">
        <f>Control!$C$27</f>
        <v>100.418589649775</v>
      </c>
      <c r="AP205" s="11">
        <f>Control!$C$27</f>
        <v>100.418589649775</v>
      </c>
      <c r="AQ205" s="12" t="n"/>
      <c r="AR205" s="11">
        <f>Control!$D$27</f>
        <v>100.418589649775</v>
      </c>
      <c r="AS205" s="11">
        <f>Control!$D$27</f>
        <v>100.418589649775</v>
      </c>
      <c r="AT205" s="11">
        <f>Control!$D$27</f>
        <v>100.418589649775</v>
      </c>
      <c r="AU205" s="11">
        <f>Control!$D$27</f>
        <v>100.418589649775</v>
      </c>
      <c r="AV205" s="12" t="n"/>
      <c r="AW205" s="11">
        <f>Control!$E$27</f>
        <v>100.418589649775</v>
      </c>
      <c r="AX205" s="11">
        <f>Control!$E$27</f>
        <v>100.418589649775</v>
      </c>
      <c r="AY205" s="11">
        <f>Control!$E$27</f>
        <v>100.418589649775</v>
      </c>
      <c r="AZ205" s="11">
        <f>Control!$E$27</f>
        <v>100.418589649775</v>
      </c>
      <c r="BA205" s="12" t="n"/>
      <c r="BB205" s="11">
        <f>Control!$F$27</f>
        <v>100.418589649775</v>
      </c>
      <c r="BC205" s="11">
        <f>Control!$F$27</f>
        <v>100.418589649775</v>
      </c>
      <c r="BD205" s="11">
        <f>Control!$F$27</f>
        <v>100.418589649775</v>
      </c>
      <c r="BE205" s="11">
        <f>Control!$F$27</f>
        <v>100.418589649775</v>
      </c>
      <c r="BF205" s="12" t="n"/>
      <c r="BG205" s="11" t="n"/>
      <c r="BH205" s="11" t="n"/>
      <c r="BI205" s="11" t="n"/>
      <c r="BJ205" s="11" t="n"/>
      <c r="BK205" s="12" t="n"/>
      <c r="BL205" s="11" t="n"/>
      <c r="BM205" s="11" t="n"/>
      <c r="BN205" s="11" t="n"/>
      <c r="BO205" s="11" t="n"/>
      <c r="BP205" s="12" t="n"/>
      <c r="BQ205" s="11" t="n"/>
      <c r="BR205" s="11" t="n"/>
      <c r="BS205" s="11" t="n"/>
      <c r="BT205" s="11" t="n"/>
      <c r="BU205" s="12" t="n"/>
      <c r="BV205" s="11" t="n"/>
      <c r="BW205" s="11" t="n"/>
      <c r="BX205" s="11" t="n"/>
      <c r="BY205" s="11" t="n"/>
      <c r="BZ205" s="12" t="n"/>
      <c r="CA205" s="11" t="n"/>
      <c r="CB205" s="11" t="n"/>
      <c r="CC205" s="11" t="n"/>
      <c r="CD205" s="11" t="n"/>
      <c r="CE205" s="12" t="n"/>
      <c r="CF205" s="11" t="n"/>
      <c r="CG205" s="11" t="n"/>
      <c r="CH205" s="11" t="n"/>
      <c r="CI205" s="11" t="n"/>
      <c r="CJ205" s="12" t="n"/>
      <c r="CK205" s="11" t="n"/>
      <c r="CL205" s="11" t="n"/>
      <c r="CM205" s="11" t="n"/>
      <c r="CN205" s="11" t="n"/>
      <c r="CO205" s="12" t="n"/>
      <c r="CP205" s="11" t="n"/>
      <c r="CQ205" s="11" t="n"/>
      <c r="CR205" s="11" t="n"/>
      <c r="CS205" s="11" t="n"/>
      <c r="CT205" s="12" t="n"/>
      <c r="CU205" s="11" t="n"/>
      <c r="CV205" s="11" t="n"/>
      <c r="CW205" s="11" t="n"/>
      <c r="CX205" s="11" t="n"/>
      <c r="CY205" s="12" t="n"/>
    </row>
    <row r="206" hidden="1" outlineLevel="1">
      <c r="C206" s="57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  <c r="AJ206" s="12" t="n"/>
      <c r="AK206" s="12" t="n"/>
      <c r="AL206" s="12" t="n"/>
      <c r="AM206" s="12" t="n"/>
      <c r="AN206" s="12" t="n"/>
      <c r="AO206" s="12" t="n"/>
      <c r="AP206" s="12" t="n"/>
      <c r="AQ206" s="12" t="n"/>
      <c r="AR206" s="12" t="n"/>
      <c r="AS206" s="12" t="n"/>
      <c r="AT206" s="12" t="n"/>
      <c r="AU206" s="12" t="n"/>
      <c r="AV206" s="12" t="n"/>
      <c r="AW206" s="12" t="n"/>
      <c r="AX206" s="12" t="n"/>
      <c r="AY206" s="12" t="n"/>
      <c r="AZ206" s="12" t="n"/>
      <c r="BA206" s="12" t="n"/>
      <c r="BB206" s="12" t="n"/>
      <c r="BC206" s="12" t="n"/>
      <c r="BD206" s="12" t="n"/>
      <c r="BE206" s="12" t="n"/>
      <c r="BF206" s="12" t="n"/>
      <c r="BG206" s="12" t="n"/>
      <c r="BH206" s="12" t="n"/>
      <c r="BI206" s="12" t="n"/>
      <c r="BJ206" s="12" t="n"/>
      <c r="BK206" s="12" t="n"/>
      <c r="BL206" s="12" t="n"/>
      <c r="BM206" s="12" t="n"/>
      <c r="BN206" s="12" t="n"/>
      <c r="BO206" s="12" t="n"/>
      <c r="BP206" s="12" t="n"/>
      <c r="BQ206" s="12" t="n"/>
      <c r="BR206" s="12" t="n"/>
      <c r="BS206" s="12" t="n"/>
      <c r="BT206" s="12" t="n"/>
      <c r="BU206" s="12" t="n"/>
      <c r="BV206" s="12" t="n"/>
      <c r="BW206" s="12" t="n"/>
      <c r="BX206" s="12" t="n"/>
      <c r="BY206" s="12" t="n"/>
      <c r="BZ206" s="12" t="n"/>
      <c r="CA206" s="12" t="n"/>
      <c r="CB206" s="12" t="n"/>
      <c r="CC206" s="12" t="n"/>
      <c r="CD206" s="12" t="n"/>
      <c r="CE206" s="12" t="n"/>
      <c r="CF206" s="12" t="n"/>
      <c r="CG206" s="12" t="n"/>
      <c r="CH206" s="12" t="n"/>
      <c r="CI206" s="12" t="n"/>
      <c r="CJ206" s="12" t="n"/>
      <c r="CK206" s="12" t="n"/>
      <c r="CL206" s="12" t="n"/>
      <c r="CM206" s="12" t="n"/>
      <c r="CN206" s="12" t="n"/>
      <c r="CO206" s="12" t="n"/>
      <c r="CP206" s="12" t="n"/>
      <c r="CQ206" s="12" t="n"/>
      <c r="CR206" s="12" t="n"/>
      <c r="CS206" s="12" t="n"/>
      <c r="CT206" s="12" t="n"/>
      <c r="CU206" s="12" t="n"/>
      <c r="CV206" s="12" t="n"/>
      <c r="CW206" s="12" t="n"/>
      <c r="CX206" s="12" t="n"/>
      <c r="CY206" s="12" t="n"/>
    </row>
    <row r="207" hidden="1" outlineLevel="1">
      <c r="C207" s="57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  <c r="AJ207" s="12" t="n"/>
      <c r="AK207" s="12" t="n"/>
      <c r="AL207" s="12" t="n"/>
      <c r="AM207" s="12" t="n"/>
      <c r="AN207" s="12" t="n"/>
      <c r="AO207" s="12" t="n"/>
      <c r="AP207" s="12" t="n"/>
      <c r="AQ207" s="12" t="n"/>
      <c r="AR207" s="12" t="n"/>
      <c r="AS207" s="12" t="n"/>
      <c r="AT207" s="12" t="n"/>
      <c r="AU207" s="12" t="n"/>
      <c r="AV207" s="12" t="n"/>
      <c r="AW207" s="12" t="n"/>
      <c r="AX207" s="12" t="n"/>
      <c r="AY207" s="12" t="n"/>
      <c r="AZ207" s="12" t="n"/>
      <c r="BA207" s="12" t="n"/>
      <c r="BB207" s="12" t="n"/>
      <c r="BC207" s="12" t="n"/>
      <c r="BD207" s="12" t="n"/>
      <c r="BE207" s="12" t="n"/>
      <c r="BF207" s="12" t="n"/>
      <c r="BG207" s="12" t="n"/>
      <c r="BH207" s="12" t="n"/>
      <c r="BI207" s="12" t="n"/>
      <c r="BJ207" s="12" t="n"/>
      <c r="BK207" s="12" t="n"/>
      <c r="BL207" s="12" t="n"/>
      <c r="BM207" s="12" t="n"/>
      <c r="BN207" s="12" t="n"/>
      <c r="BO207" s="12" t="n"/>
      <c r="BP207" s="12" t="n"/>
      <c r="BQ207" s="12" t="n"/>
      <c r="BR207" s="12" t="n"/>
      <c r="BS207" s="12" t="n"/>
      <c r="BT207" s="12" t="n"/>
      <c r="BU207" s="12" t="n"/>
      <c r="BV207" s="12" t="n"/>
      <c r="BW207" s="12" t="n"/>
      <c r="BX207" s="12" t="n"/>
      <c r="BY207" s="12" t="n"/>
      <c r="BZ207" s="12" t="n"/>
      <c r="CA207" s="12" t="n"/>
      <c r="CB207" s="12" t="n"/>
      <c r="CC207" s="12" t="n"/>
      <c r="CD207" s="12" t="n"/>
      <c r="CE207" s="12" t="n"/>
      <c r="CF207" s="12" t="n"/>
      <c r="CG207" s="12" t="n"/>
      <c r="CH207" s="12" t="n"/>
      <c r="CI207" s="12" t="n"/>
      <c r="CJ207" s="12" t="n"/>
      <c r="CK207" s="12" t="n"/>
      <c r="CL207" s="12" t="n"/>
      <c r="CM207" s="12" t="n"/>
      <c r="CN207" s="12" t="n"/>
      <c r="CO207" s="12" t="n"/>
      <c r="CP207" s="12" t="n"/>
      <c r="CQ207" s="12" t="n"/>
      <c r="CR207" s="12" t="n"/>
      <c r="CS207" s="12" t="n"/>
      <c r="CT207" s="12" t="n"/>
      <c r="CU207" s="12" t="n"/>
      <c r="CV207" s="12" t="n"/>
      <c r="CW207" s="12" t="n"/>
      <c r="CX207" s="12" t="n"/>
      <c r="CY207" s="12" t="n"/>
    </row>
    <row r="208" collapsed="1">
      <c r="C208" s="14" t="inlineStr">
        <is>
          <t>Accrued expenses</t>
        </is>
      </c>
      <c r="D208" s="46" t="n"/>
      <c r="E208" s="46" t="n"/>
      <c r="F208" s="46" t="n"/>
      <c r="G208" s="46" t="n"/>
      <c r="H208" s="12" t="n"/>
      <c r="I208" s="46">
        <f>'Inputs (2)'!D29</f>
        <v>314.313235398</v>
      </c>
      <c r="J208" s="46">
        <f>'Inputs (2)'!E29</f>
        <v>395.0717992</v>
      </c>
      <c r="K208" s="46">
        <f>'Inputs (2)'!F29</f>
        <v>462.694</v>
      </c>
      <c r="L208" s="46">
        <f>'Inputs (2)'!G29</f>
        <v>408.154</v>
      </c>
      <c r="M208" s="12">
        <f>'Inputs (2)'!H29</f>
        <v>408.154</v>
      </c>
      <c r="N208" s="46">
        <f>'Inputs (2)'!I29</f>
        <v>464.144</v>
      </c>
      <c r="O208" s="46">
        <f>'Inputs (2)'!J29</f>
        <v>510.412</v>
      </c>
      <c r="P208" s="46">
        <f>'Inputs (2)'!K29</f>
        <v>658.286</v>
      </c>
      <c r="Q208" s="46">
        <f>'Inputs (2)'!L29</f>
        <v>625.156</v>
      </c>
      <c r="R208" s="12">
        <f>'Inputs (2)'!M29</f>
        <v>625.156</v>
      </c>
      <c r="S208" s="46">
        <f>'Inputs (2)'!N29</f>
        <v>702.02856454</v>
      </c>
      <c r="T208" s="46">
        <f>'Inputs (2)'!O29</f>
        <v>805.710163915</v>
      </c>
      <c r="U208" s="46">
        <f>'Inputs (2)'!P29</f>
        <v>919.264424689</v>
      </c>
      <c r="V208" s="46">
        <f>'Inputs (2)'!Q29</f>
        <v>727.767074322</v>
      </c>
      <c r="W208" s="12">
        <f>'Inputs (2)'!R29</f>
        <v>727.767074322</v>
      </c>
      <c r="X208" s="46">
        <f>'Inputs (2)'!S29</f>
        <v>756.147315319</v>
      </c>
      <c r="Y208" s="46">
        <f>'Inputs (2)'!T29</f>
        <v>781.022510349</v>
      </c>
      <c r="Z208" s="46">
        <f>'Inputs (2)'!U29</f>
        <v>860.483808124</v>
      </c>
      <c r="AA208" s="46">
        <f>'Inputs (2)'!V29</f>
        <v>747.29725973</v>
      </c>
      <c r="AB208" s="12">
        <f>'Inputs (2)'!W29</f>
        <v>747.29725973</v>
      </c>
      <c r="AC208" s="46">
        <f>'Inputs (2)'!X29</f>
        <v>778.19114601</v>
      </c>
      <c r="AD208" s="46">
        <f>'Inputs (2)'!Y29</f>
        <v>861.57004729</v>
      </c>
      <c r="AE208" s="46">
        <f>'Inputs (2)'!Z29</f>
        <v>959.03046664</v>
      </c>
      <c r="AF208" s="46">
        <f>'Inputs (2)'!AA29</f>
        <v>845.76907274</v>
      </c>
      <c r="AG208" s="12">
        <f>'Inputs (2)'!AB29</f>
        <v>845.76907274</v>
      </c>
      <c r="AH208" s="12">
        <f>'Inputs (2)'!AC29</f>
        <v>1127.90286505</v>
      </c>
      <c r="AI208" s="12">
        <f>'Inputs (2)'!AD29</f>
        <v>1191.83897208</v>
      </c>
      <c r="AJ208" s="12">
        <f>AI208*(1+AJ16)</f>
        <v>1264.87058768238</v>
      </c>
      <c r="AK208" s="12">
        <f>AJ208*(1+AK16)</f>
        <v>1342.37731863376</v>
      </c>
      <c r="AL208" s="12">
        <f>AK208</f>
        <v>1342.37731863376</v>
      </c>
      <c r="AM208" s="12">
        <f>AL208*(1+AM16)</f>
        <v>1424.63338394493</v>
      </c>
      <c r="AN208" s="12">
        <f>AM208*(1+AN16)</f>
        <v>1511.92980578369</v>
      </c>
      <c r="AO208" s="12">
        <f>AN208*(1+AO16)</f>
        <v>1604.57543911205</v>
      </c>
      <c r="AP208" s="12">
        <f>AO208*(1+AP16)</f>
        <v>1702.89806441582</v>
      </c>
      <c r="AQ208" s="12">
        <f>AP208</f>
        <v>1702.89806441582</v>
      </c>
      <c r="AR208" s="12">
        <f>AQ208*(1+AR16)</f>
        <v>1798.73105707074</v>
      </c>
      <c r="AS208" s="12">
        <f>AR208*(1+AS16)</f>
        <v>1899.95718668031</v>
      </c>
      <c r="AT208" s="12">
        <f>AS208*(1+AT16)</f>
        <v>2006.87995964046</v>
      </c>
      <c r="AU208" s="12">
        <f>AT208*(1+AU16)</f>
        <v>2119.81996259802</v>
      </c>
      <c r="AV208" s="12">
        <f>AU208</f>
        <v>2119.81996259802</v>
      </c>
      <c r="AW208" s="12">
        <f>AV208*(1+AW16)</f>
        <v>2228.51672385297</v>
      </c>
      <c r="AX208" s="12">
        <f>AW208*(1+AX16)</f>
        <v>2342.78706499479</v>
      </c>
      <c r="AY208" s="12">
        <f>AX208*(1+AY16)</f>
        <v>2462.91677920072</v>
      </c>
      <c r="AZ208" s="12">
        <f>AY208*(1+AZ16)</f>
        <v>2589.20631409665</v>
      </c>
      <c r="BA208" s="12">
        <f>AZ208</f>
        <v>2589.20631409665</v>
      </c>
      <c r="BB208" s="12">
        <f>BA208*(1+BB16)</f>
        <v>2709.02549161414</v>
      </c>
      <c r="BC208" s="12">
        <f>BB208*(1+BC16)</f>
        <v>2834.38947072693</v>
      </c>
      <c r="BD208" s="12">
        <f>BC208*(1+BD16)</f>
        <v>2965.55484495676</v>
      </c>
      <c r="BE208" s="12">
        <f>BD208*(1+BE16)</f>
        <v>3102.79008205284</v>
      </c>
      <c r="BF208" s="12">
        <f>BE208</f>
        <v>3102.79008205284</v>
      </c>
      <c r="BG208" s="12" t="n"/>
      <c r="BH208" s="12" t="n"/>
      <c r="BI208" s="12" t="n"/>
      <c r="BJ208" s="12" t="n"/>
      <c r="BK208" s="12" t="n"/>
      <c r="BL208" s="12" t="n"/>
      <c r="BM208" s="12" t="n"/>
      <c r="BN208" s="12" t="n"/>
      <c r="BO208" s="12" t="n"/>
      <c r="BP208" s="12" t="n"/>
      <c r="BQ208" s="12" t="n"/>
      <c r="BR208" s="12" t="n"/>
      <c r="BS208" s="12" t="n"/>
      <c r="BT208" s="12" t="n"/>
      <c r="BU208" s="12" t="n"/>
      <c r="BV208" s="12" t="n"/>
      <c r="BW208" s="12" t="n"/>
      <c r="BX208" s="12" t="n"/>
      <c r="BY208" s="12" t="n"/>
      <c r="BZ208" s="12" t="n"/>
      <c r="CA208" s="12" t="n"/>
      <c r="CB208" s="12" t="n"/>
      <c r="CC208" s="12" t="n"/>
      <c r="CD208" s="12" t="n"/>
      <c r="CE208" s="12" t="n"/>
      <c r="CF208" s="12" t="n"/>
      <c r="CG208" s="12" t="n"/>
      <c r="CH208" s="12" t="n"/>
      <c r="CI208" s="12" t="n"/>
      <c r="CJ208" s="12" t="n"/>
      <c r="CK208" s="12" t="n"/>
      <c r="CL208" s="12" t="n"/>
      <c r="CM208" s="12" t="n"/>
      <c r="CN208" s="12" t="n"/>
      <c r="CO208" s="12" t="n"/>
      <c r="CP208" s="12" t="n"/>
      <c r="CQ208" s="12" t="n"/>
      <c r="CR208" s="12" t="n"/>
      <c r="CS208" s="12" t="n"/>
      <c r="CT208" s="12" t="n"/>
      <c r="CU208" s="12" t="n"/>
      <c r="CV208" s="12" t="n"/>
      <c r="CW208" s="12" t="n"/>
      <c r="CX208" s="12" t="n"/>
      <c r="CY208" s="12" t="n"/>
    </row>
    <row r="209" hidden="1" outlineLevel="1">
      <c r="C209" s="59" t="inlineStr">
        <is>
          <t>%(Var.)</t>
        </is>
      </c>
      <c r="D209" s="12" t="n"/>
      <c r="E209" s="40" t="n"/>
      <c r="F209" s="40" t="n"/>
      <c r="G209" s="40" t="n"/>
      <c r="H209" s="12" t="n"/>
      <c r="I209" s="40" t="str">
        <f>""</f>
        <v/>
      </c>
      <c r="J209" s="40">
        <f>IFERROR(IF(I208=0,"",J208/I208-1),"")</f>
        <v>0.256936567433246</v>
      </c>
      <c r="K209" s="40">
        <f>IFERROR(IF(J208=0,"",K208/J208-1),"")</f>
        <v>0.171164332500906</v>
      </c>
      <c r="L209" s="40">
        <f>IFERROR(IF(K208=0,"",L208/K208-1),"")</f>
        <v>-0.117874880590628</v>
      </c>
      <c r="M209" s="12">
        <f>IF(L208=0,"",M208/L208-1)</f>
        <v>0</v>
      </c>
      <c r="N209" s="40">
        <f>IFERROR(IF(M208=0,"",N208/M208-1),"")</f>
        <v>0.137178613954537</v>
      </c>
      <c r="O209" s="40">
        <f>IFERROR(IF(N208=0,"",O208/N208-1),"")</f>
        <v>0.0996845806473852</v>
      </c>
      <c r="P209" s="40">
        <f>IFERROR(IF(O208=0,"",P208/O208-1),"")</f>
        <v>0.289714975353244</v>
      </c>
      <c r="Q209" s="40">
        <f>IFERROR(IF(P208=0,"",Q208/P208-1),"")</f>
        <v>-0.0503276691286159</v>
      </c>
      <c r="R209" s="12">
        <f>IF(Q208=0,"",R208/Q208-1)</f>
        <v>0</v>
      </c>
      <c r="S209" s="40">
        <f>IFERROR(IF(R208=0,"",S208/R208-1),"")</f>
        <v>0.12296541109739</v>
      </c>
      <c r="T209" s="40">
        <f>IFERROR(IF(S208=0,"",T208/S208-1),"")</f>
        <v>0.147688576522434</v>
      </c>
      <c r="U209" s="40">
        <f>IFERROR(IF(T208=0,"",U208/T208-1),"")</f>
        <v>0.140936860250381</v>
      </c>
      <c r="V209" s="40">
        <f>IFERROR(IF(U208=0,"",V208/U208-1),"")</f>
        <v>-0.208315850395044</v>
      </c>
      <c r="W209" s="12">
        <f>IF(V208=0,"",W208/V208-1)</f>
        <v>0</v>
      </c>
      <c r="X209" s="40">
        <f>IFERROR(IF(W208=0,"",X208/W208-1),"")</f>
        <v>0.0389963245086893</v>
      </c>
      <c r="Y209" s="40">
        <f>IFERROR(IF(X208=0,"",Y208/X208-1),"")</f>
        <v>0.0328972867139066</v>
      </c>
      <c r="Z209" s="40">
        <f>IFERROR(IF(Y208=0,"",Z208/Y208-1),"")</f>
        <v>0.101740086517472</v>
      </c>
      <c r="AA209" s="40">
        <f>IFERROR(IF(Z208=0,"",AA208/Z208-1),"")</f>
        <v>-0.131538266409412</v>
      </c>
      <c r="AB209" s="12">
        <f>IF(AA208=0,"",AB208/AA208-1)</f>
        <v>0</v>
      </c>
      <c r="AC209" s="40">
        <f>IFERROR(IF(AB208=0,"",AC208/AB208-1),"")</f>
        <v>0.0413408263950572</v>
      </c>
      <c r="AD209" s="40">
        <f>IFERROR(IF(AC208=0,"",AD208/AC208-1),"")</f>
        <v>0.107144500046687</v>
      </c>
      <c r="AE209" s="40">
        <f>IFERROR(IF(AD208=0,"",AE208/AD208-1),"")</f>
        <v>0.11311955383843</v>
      </c>
      <c r="AF209" s="55">
        <f>IFERROR(IF(AE208=0,"",AF208/AE208-1),"")</f>
        <v>-0.118099891337984</v>
      </c>
      <c r="AG209" s="12">
        <f>IF(AF208=0,"",AG208/AF208-1)</f>
        <v>0</v>
      </c>
      <c r="AH209" s="55">
        <f>IFERROR(IF(AG208=0,"",AH208/AG208-1),"")</f>
        <v>0.333582536183292</v>
      </c>
      <c r="AI209" s="55">
        <f>IFERROR(IF(AH208=0,"",AI208/AH208-1),"")</f>
        <v>0.0566858273093984</v>
      </c>
      <c r="AJ209" s="55">
        <f>IFERROR(IF(AI208=0,"",AJ208/AI208-1),"")</f>
        <v>0.061276411757976</v>
      </c>
      <c r="AK209" s="55">
        <f>IF(AJ208=0,"",AK208/AJ208-1)</f>
        <v>0.061276411757976</v>
      </c>
      <c r="AL209" s="12">
        <f>IF(AK208=0,"",AL208/AK208-1)</f>
        <v>0</v>
      </c>
      <c r="AM209" s="55">
        <f>IF(AL208=0,"",AM208/AL208-1)</f>
        <v>0.061276411757976</v>
      </c>
      <c r="AN209" s="55">
        <f>IF(AM208=0,"",AN208/AM208-1)</f>
        <v>0.061276411757976</v>
      </c>
      <c r="AO209" s="55">
        <f>IF(AN208=0,"",AO208/AN208-1)</f>
        <v>0.061276411757976</v>
      </c>
      <c r="AP209" s="55">
        <f>IF(AO208=0,"",AP208/AO208-1)</f>
        <v>0.061276411757976</v>
      </c>
      <c r="AQ209" s="12">
        <f>IF(AP208=0,"",AQ208/AP208-1)</f>
        <v>0</v>
      </c>
      <c r="AR209" s="55">
        <f>IF(AQ208=0,"",AR208/AQ208-1)</f>
        <v>0.0562764117579759</v>
      </c>
      <c r="AS209" s="55">
        <f>IF(AR208=0,"",AS208/AR208-1)</f>
        <v>0.0562764117579759</v>
      </c>
      <c r="AT209" s="55">
        <f>IF(AS208=0,"",AT208/AS208-1)</f>
        <v>0.0562764117579759</v>
      </c>
      <c r="AU209" s="55">
        <f>IF(AT208=0,"",AU208/AT208-1)</f>
        <v>0.0562764117579759</v>
      </c>
      <c r="AV209" s="12">
        <f>IF(AU208=0,"",AV208/AU208-1)</f>
        <v>0</v>
      </c>
      <c r="AW209" s="55">
        <f>IF(AV208=0,"",AW208/AV208-1)</f>
        <v>0.051276411757976</v>
      </c>
      <c r="AX209" s="55">
        <f>IF(AW208=0,"",AX208/AW208-1)</f>
        <v>0.051276411757976</v>
      </c>
      <c r="AY209" s="55">
        <f>IF(AX208=0,"",AY208/AX208-1)</f>
        <v>0.051276411757976</v>
      </c>
      <c r="AZ209" s="55">
        <f>IF(AY208=0,"",AZ208/AY208-1)</f>
        <v>0.051276411757976</v>
      </c>
      <c r="BA209" s="12">
        <f>IF(AZ208=0,"",BA208/AZ208-1)</f>
        <v>0</v>
      </c>
      <c r="BB209" s="55">
        <f>IF(BA208=0,"",BB208/BA208-1)</f>
        <v>0.0462764117579759</v>
      </c>
      <c r="BC209" s="55">
        <f>IF(BB208=0,"",BC208/BB208-1)</f>
        <v>0.0462764117579759</v>
      </c>
      <c r="BD209" s="55">
        <f>IF(BC208=0,"",BD208/BC208-1)</f>
        <v>0.0462764117579759</v>
      </c>
      <c r="BE209" s="55">
        <f>IF(BD208=0,"",BE208/BD208-1)</f>
        <v>0.0462764117579759</v>
      </c>
      <c r="BF209" s="12">
        <f>IF(BE208=0,"",BF208/BE208-1)</f>
        <v>0</v>
      </c>
      <c r="BG209" s="55" t="n"/>
      <c r="BH209" s="55" t="n"/>
      <c r="BI209" s="55" t="n"/>
      <c r="BJ209" s="55" t="n"/>
      <c r="BK209" s="12" t="n"/>
      <c r="BL209" s="55" t="n"/>
      <c r="BM209" s="55" t="n"/>
      <c r="BN209" s="55" t="n"/>
      <c r="BO209" s="55" t="n"/>
      <c r="BP209" s="12" t="n"/>
      <c r="BQ209" s="55" t="n"/>
      <c r="BR209" s="55" t="n"/>
      <c r="BS209" s="55" t="n"/>
      <c r="BT209" s="55" t="n"/>
      <c r="BU209" s="12" t="n"/>
      <c r="BV209" s="55" t="n"/>
      <c r="BW209" s="55" t="n"/>
      <c r="BX209" s="55" t="n"/>
      <c r="BY209" s="55" t="n"/>
      <c r="BZ209" s="12" t="n"/>
      <c r="CA209" s="55" t="n"/>
      <c r="CB209" s="55" t="n"/>
      <c r="CC209" s="55" t="n"/>
      <c r="CD209" s="55" t="n"/>
      <c r="CE209" s="12" t="n"/>
      <c r="CF209" s="55" t="n"/>
      <c r="CG209" s="55" t="n"/>
      <c r="CH209" s="55" t="n"/>
      <c r="CI209" s="55" t="n"/>
      <c r="CJ209" s="12" t="n"/>
      <c r="CK209" s="55" t="n"/>
      <c r="CL209" s="55" t="n"/>
      <c r="CM209" s="55" t="n"/>
      <c r="CN209" s="55" t="n"/>
      <c r="CO209" s="12" t="n"/>
      <c r="CP209" s="55" t="n"/>
      <c r="CQ209" s="55" t="n"/>
      <c r="CR209" s="55" t="n"/>
      <c r="CS209" s="55" t="n"/>
      <c r="CT209" s="12" t="n"/>
      <c r="CU209" s="55" t="n"/>
      <c r="CV209" s="55" t="n"/>
      <c r="CW209" s="55" t="n"/>
      <c r="CX209" s="55" t="n"/>
      <c r="CY209" s="12" t="n"/>
    </row>
    <row r="210" collapsed="1">
      <c r="C210" s="14" t="inlineStr">
        <is>
          <t>Taxes payable</t>
        </is>
      </c>
      <c r="D210" s="46" t="n"/>
      <c r="E210" s="46" t="n"/>
      <c r="F210" s="46" t="n"/>
      <c r="G210" s="46" t="n"/>
      <c r="H210" s="12" t="n"/>
      <c r="I210" s="46">
        <f>'Inputs (2)'!D30</f>
        <v>189.867586462</v>
      </c>
      <c r="J210" s="46">
        <f>'Inputs (2)'!E30</f>
        <v>189.592398677</v>
      </c>
      <c r="K210" s="46">
        <f>'Inputs (2)'!F30</f>
        <v>205.688</v>
      </c>
      <c r="L210" s="46">
        <f>'Inputs (2)'!G30</f>
        <v>266.078</v>
      </c>
      <c r="M210" s="12">
        <f>'Inputs (2)'!H30</f>
        <v>266.078</v>
      </c>
      <c r="N210" s="46">
        <f>'Inputs (2)'!I30</f>
        <v>223.781</v>
      </c>
      <c r="O210" s="46">
        <f>'Inputs (2)'!J30</f>
        <v>305.736</v>
      </c>
      <c r="P210" s="46">
        <f>'Inputs (2)'!K30</f>
        <v>355.365</v>
      </c>
      <c r="Q210" s="46">
        <f>'Inputs (2)'!L30</f>
        <v>485.147</v>
      </c>
      <c r="R210" s="12">
        <f>'Inputs (2)'!M30</f>
        <v>485.147</v>
      </c>
      <c r="S210" s="46">
        <f>'Inputs (2)'!N30</f>
        <v>347.781362933</v>
      </c>
      <c r="T210" s="46">
        <f>'Inputs (2)'!O30</f>
        <v>383.019494649</v>
      </c>
      <c r="U210" s="46">
        <f>'Inputs (2)'!P30</f>
        <v>422.791813106</v>
      </c>
      <c r="V210" s="46">
        <f>'Inputs (2)'!Q30</f>
        <v>500.799175823</v>
      </c>
      <c r="W210" s="12">
        <f>'Inputs (2)'!R30</f>
        <v>500.799175823</v>
      </c>
      <c r="X210" s="46">
        <f>'Inputs (2)'!S30</f>
        <v>470.736237322</v>
      </c>
      <c r="Y210" s="46">
        <f>'Inputs (2)'!T30</f>
        <v>463.140924635</v>
      </c>
      <c r="Z210" s="46">
        <f>'Inputs (2)'!U30</f>
        <v>500.881818653</v>
      </c>
      <c r="AA210" s="46">
        <f>'Inputs (2)'!V30</f>
        <v>586.6794142</v>
      </c>
      <c r="AB210" s="12">
        <f>'Inputs (2)'!W30</f>
        <v>586.6794142</v>
      </c>
      <c r="AC210" s="46">
        <f>'Inputs (2)'!X30</f>
        <v>505.71515779</v>
      </c>
      <c r="AD210" s="46">
        <f>'Inputs (2)'!Y30</f>
        <v>528.45623878</v>
      </c>
      <c r="AE210" s="46">
        <f>'Inputs (2)'!Z30</f>
        <v>537.31639851</v>
      </c>
      <c r="AF210" s="46">
        <f>'Inputs (2)'!AA30</f>
        <v>706.74798243</v>
      </c>
      <c r="AG210" s="12">
        <f>'Inputs (2)'!AB30</f>
        <v>706.74798243</v>
      </c>
      <c r="AH210" s="12">
        <f>'Inputs (2)'!AC30</f>
        <v>589.8947193</v>
      </c>
      <c r="AI210" s="12">
        <f>'Inputs (2)'!AD30</f>
        <v>658.9703805</v>
      </c>
      <c r="AJ210" s="12">
        <f>AI210*(1+AJ16)</f>
        <v>699.349720871828</v>
      </c>
      <c r="AK210" s="12">
        <f>AJ210*(1+AK16)</f>
        <v>742.203362330796</v>
      </c>
      <c r="AL210" s="12">
        <f>AK210</f>
        <v>742.203362330796</v>
      </c>
      <c r="AM210" s="12">
        <f>AL210*(1+AM16)</f>
        <v>787.682921169132</v>
      </c>
      <c r="AN210" s="12">
        <f>AM210*(1+AN16)</f>
        <v>835.949304181417</v>
      </c>
      <c r="AO210" s="12">
        <f>AN210*(1+AO16)</f>
        <v>887.173277953231</v>
      </c>
      <c r="AP210" s="12">
        <f>AO210*(1+AP16)</f>
        <v>941.536073033767</v>
      </c>
      <c r="AQ210" s="12">
        <f>AP210</f>
        <v>941.536073033767</v>
      </c>
      <c r="AR210" s="12">
        <f>AQ210*(1+AR16)</f>
        <v>994.522344764803</v>
      </c>
      <c r="AS210" s="12">
        <f>AR210*(1+AS16)</f>
        <v>1050.49049374129</v>
      </c>
      <c r="AT210" s="12">
        <f>AS210*(1+AT16)</f>
        <v>1109.60832931492</v>
      </c>
      <c r="AU210" s="12">
        <f>AT210*(1+AU16)</f>
        <v>1172.05310454553</v>
      </c>
      <c r="AV210" s="12">
        <f>AU210</f>
        <v>1172.05310454553</v>
      </c>
      <c r="AW210" s="12">
        <f>AV210*(1+AW16)</f>
        <v>1232.15178213642</v>
      </c>
      <c r="AX210" s="12">
        <f>AW210*(1+AX16)</f>
        <v>1295.33210426557</v>
      </c>
      <c r="AY210" s="12">
        <f>AX210*(1+AY16)</f>
        <v>1361.75208660721</v>
      </c>
      <c r="AZ210" s="12">
        <f>AY210*(1+AZ16)</f>
        <v>1431.57784731237</v>
      </c>
      <c r="BA210" s="12">
        <f>AZ210</f>
        <v>1431.57784731237</v>
      </c>
      <c r="BB210" s="12">
        <f>BA210*(1+BB16)</f>
        <v>1497.82613323819</v>
      </c>
      <c r="BC210" s="12">
        <f>BB210*(1+BC16)</f>
        <v>1567.14015212178</v>
      </c>
      <c r="BD210" s="12">
        <f>BC210*(1+BD16)</f>
        <v>1639.66177508382</v>
      </c>
      <c r="BE210" s="12">
        <f>BD210*(1+BE16)</f>
        <v>1715.53943853142</v>
      </c>
      <c r="BF210" s="12">
        <f>BE210</f>
        <v>1715.53943853142</v>
      </c>
      <c r="BG210" s="12" t="n"/>
      <c r="BH210" s="12" t="n"/>
      <c r="BI210" s="12" t="n"/>
      <c r="BJ210" s="12" t="n"/>
      <c r="BK210" s="12" t="n"/>
      <c r="BL210" s="12" t="n"/>
      <c r="BM210" s="12" t="n"/>
      <c r="BN210" s="12" t="n"/>
      <c r="BO210" s="12" t="n"/>
      <c r="BP210" s="12" t="n"/>
      <c r="BQ210" s="12" t="n"/>
      <c r="BR210" s="12" t="n"/>
      <c r="BS210" s="12" t="n"/>
      <c r="BT210" s="12" t="n"/>
      <c r="BU210" s="12" t="n"/>
      <c r="BV210" s="12" t="n"/>
      <c r="BW210" s="12" t="n"/>
      <c r="BX210" s="12" t="n"/>
      <c r="BY210" s="12" t="n"/>
      <c r="BZ210" s="12" t="n"/>
      <c r="CA210" s="12" t="n"/>
      <c r="CB210" s="12" t="n"/>
      <c r="CC210" s="12" t="n"/>
      <c r="CD210" s="12" t="n"/>
      <c r="CE210" s="12" t="n"/>
      <c r="CF210" s="12" t="n"/>
      <c r="CG210" s="12" t="n"/>
      <c r="CH210" s="12" t="n"/>
      <c r="CI210" s="12" t="n"/>
      <c r="CJ210" s="12" t="n"/>
      <c r="CK210" s="12" t="n"/>
      <c r="CL210" s="12" t="n"/>
      <c r="CM210" s="12" t="n"/>
      <c r="CN210" s="12" t="n"/>
      <c r="CO210" s="12" t="n"/>
      <c r="CP210" s="12" t="n"/>
      <c r="CQ210" s="12" t="n"/>
      <c r="CR210" s="12" t="n"/>
      <c r="CS210" s="12" t="n"/>
      <c r="CT210" s="12" t="n"/>
      <c r="CU210" s="12" t="n"/>
      <c r="CV210" s="12" t="n"/>
      <c r="CW210" s="12" t="n"/>
      <c r="CX210" s="12" t="n"/>
      <c r="CY210" s="12" t="n"/>
    </row>
    <row r="211">
      <c r="C211" s="14" t="inlineStr">
        <is>
          <t>Other current liabilities (non-debt)</t>
        </is>
      </c>
      <c r="D211" s="46" t="n"/>
      <c r="E211" s="46" t="n"/>
      <c r="F211" s="46" t="n"/>
      <c r="G211" s="46" t="n"/>
      <c r="H211" s="12" t="n"/>
      <c r="I211" s="46">
        <f>'Inputs (2)'!D31</f>
        <v>744.287503269</v>
      </c>
      <c r="J211" s="46">
        <f>'Inputs (2)'!E31</f>
        <v>732.463626678</v>
      </c>
      <c r="K211" s="46">
        <f>'Inputs (2)'!F31</f>
        <v>732.544</v>
      </c>
      <c r="L211" s="46">
        <f>'Inputs (2)'!G31</f>
        <v>1169.471</v>
      </c>
      <c r="M211" s="12">
        <f>'Inputs (2)'!H31</f>
        <v>1169.471</v>
      </c>
      <c r="N211" s="46">
        <f>'Inputs (2)'!I31</f>
        <v>1697.846</v>
      </c>
      <c r="O211" s="46">
        <f>'Inputs (2)'!J31</f>
        <v>1521.488</v>
      </c>
      <c r="P211" s="46">
        <f>'Inputs (2)'!K31</f>
        <v>1797.247</v>
      </c>
      <c r="Q211" s="46">
        <f>'Inputs (2)'!L31</f>
        <v>2521.471</v>
      </c>
      <c r="R211" s="12">
        <f>'Inputs (2)'!M31</f>
        <v>2521.471</v>
      </c>
      <c r="S211" s="46">
        <f>'Inputs (2)'!N31</f>
        <v>2688.437488169</v>
      </c>
      <c r="T211" s="46">
        <f>'Inputs (2)'!O31</f>
        <v>2822.720290445</v>
      </c>
      <c r="U211" s="46">
        <f>'Inputs (2)'!P31</f>
        <v>2513.32424223</v>
      </c>
      <c r="V211" s="46">
        <f>'Inputs (2)'!Q31</f>
        <v>3033.783821339</v>
      </c>
      <c r="W211" s="12">
        <f>'Inputs (2)'!R31</f>
        <v>3033.783821339</v>
      </c>
      <c r="X211" s="46">
        <f>'Inputs (2)'!S31</f>
        <v>3993.215612239</v>
      </c>
      <c r="Y211" s="46">
        <f>'Inputs (2)'!T31</f>
        <v>3945.038311224</v>
      </c>
      <c r="Z211" s="46">
        <f>'Inputs (2)'!U31</f>
        <v>3679.334676949</v>
      </c>
      <c r="AA211" s="46">
        <f>'Inputs (2)'!V31</f>
        <v>4191.26255185</v>
      </c>
      <c r="AB211" s="12">
        <f>'Inputs (2)'!W31</f>
        <v>4191.26255185</v>
      </c>
      <c r="AC211" s="46">
        <f>'Inputs (2)'!X31</f>
        <v>3876.26957221</v>
      </c>
      <c r="AD211" s="46">
        <f>'Inputs (2)'!Y31</f>
        <v>3694.10962837</v>
      </c>
      <c r="AE211" s="46">
        <f>'Inputs (2)'!Z31</f>
        <v>4079.88060596</v>
      </c>
      <c r="AF211" s="46">
        <f>'Inputs (2)'!AA31</f>
        <v>4568.98124521</v>
      </c>
      <c r="AG211" s="12">
        <f>'Inputs (2)'!AB31</f>
        <v>4568.98124521</v>
      </c>
      <c r="AH211" s="12">
        <f>'Inputs (2)'!AC31</f>
        <v>5436.73580862</v>
      </c>
      <c r="AI211" s="12">
        <f>'Inputs (2)'!AD31</f>
        <v>6293.82962774</v>
      </c>
      <c r="AJ211" s="12">
        <f>AI211</f>
        <v>6293.82962774</v>
      </c>
      <c r="AK211" s="12">
        <f>AJ211</f>
        <v>6293.82962774</v>
      </c>
      <c r="AL211" s="12">
        <f>AK211</f>
        <v>6293.82962774</v>
      </c>
      <c r="AM211" s="12">
        <f>AL211</f>
        <v>6293.82962774</v>
      </c>
      <c r="AN211" s="12">
        <f>AM211</f>
        <v>6293.82962774</v>
      </c>
      <c r="AO211" s="12">
        <f>AN211</f>
        <v>6293.82962774</v>
      </c>
      <c r="AP211" s="12">
        <f>AO211</f>
        <v>6293.82962774</v>
      </c>
      <c r="AQ211" s="12">
        <f>AP211</f>
        <v>6293.82962774</v>
      </c>
      <c r="AR211" s="12">
        <f>AQ211</f>
        <v>6293.82962774</v>
      </c>
      <c r="AS211" s="12">
        <f>AR211</f>
        <v>6293.82962774</v>
      </c>
      <c r="AT211" s="12">
        <f>AS211</f>
        <v>6293.82962774</v>
      </c>
      <c r="AU211" s="12">
        <f>AT211</f>
        <v>6293.82962774</v>
      </c>
      <c r="AV211" s="12">
        <f>AU211</f>
        <v>6293.82962774</v>
      </c>
      <c r="AW211" s="12">
        <f>AV211</f>
        <v>6293.82962774</v>
      </c>
      <c r="AX211" s="12">
        <f>AW211</f>
        <v>6293.82962774</v>
      </c>
      <c r="AY211" s="12">
        <f>AX211</f>
        <v>6293.82962774</v>
      </c>
      <c r="AZ211" s="12">
        <f>AY211</f>
        <v>6293.82962774</v>
      </c>
      <c r="BA211" s="12">
        <f>AZ211</f>
        <v>6293.82962774</v>
      </c>
      <c r="BB211" s="12">
        <f>BA211</f>
        <v>6293.82962774</v>
      </c>
      <c r="BC211" s="12">
        <f>BB211</f>
        <v>6293.82962774</v>
      </c>
      <c r="BD211" s="12">
        <f>BC211</f>
        <v>6293.82962774</v>
      </c>
      <c r="BE211" s="12">
        <f>BD211</f>
        <v>6293.82962774</v>
      </c>
      <c r="BF211" s="12">
        <f>BE211</f>
        <v>6293.82962774</v>
      </c>
      <c r="BG211" s="12" t="n"/>
      <c r="BH211" s="12" t="n"/>
      <c r="BI211" s="12" t="n"/>
      <c r="BJ211" s="12" t="n"/>
      <c r="BK211" s="12" t="n"/>
      <c r="BL211" s="12" t="n"/>
      <c r="BM211" s="12" t="n"/>
      <c r="BN211" s="12" t="n"/>
      <c r="BO211" s="12" t="n"/>
      <c r="BP211" s="12" t="n"/>
      <c r="BQ211" s="12" t="n"/>
      <c r="BR211" s="12" t="n"/>
      <c r="BS211" s="12" t="n"/>
      <c r="BT211" s="12" t="n"/>
      <c r="BU211" s="12" t="n"/>
      <c r="BV211" s="12" t="n"/>
      <c r="BW211" s="12" t="n"/>
      <c r="BX211" s="12" t="n"/>
      <c r="BY211" s="12" t="n"/>
      <c r="BZ211" s="12" t="n"/>
      <c r="CA211" s="12" t="n"/>
      <c r="CB211" s="12" t="n"/>
      <c r="CC211" s="12" t="n"/>
      <c r="CD211" s="12" t="n"/>
      <c r="CE211" s="12" t="n"/>
      <c r="CF211" s="12" t="n"/>
      <c r="CG211" s="12" t="n"/>
      <c r="CH211" s="12" t="n"/>
      <c r="CI211" s="12" t="n"/>
      <c r="CJ211" s="12" t="n"/>
      <c r="CK211" s="12" t="n"/>
      <c r="CL211" s="12" t="n"/>
      <c r="CM211" s="12" t="n"/>
      <c r="CN211" s="12" t="n"/>
      <c r="CO211" s="12" t="n"/>
      <c r="CP211" s="12" t="n"/>
      <c r="CQ211" s="12" t="n"/>
      <c r="CR211" s="12" t="n"/>
      <c r="CS211" s="12" t="n"/>
      <c r="CT211" s="12" t="n"/>
      <c r="CU211" s="12" t="n"/>
      <c r="CV211" s="12" t="n"/>
      <c r="CW211" s="12" t="n"/>
      <c r="CX211" s="12" t="n"/>
      <c r="CY211" s="12" t="n"/>
    </row>
    <row r="212" hidden="1" outlineLevel="1">
      <c r="C212" s="59" t="inlineStr">
        <is>
          <t>%(Var.)</t>
        </is>
      </c>
      <c r="D212" s="12" t="n"/>
      <c r="E212" s="40" t="n"/>
      <c r="F212" s="40" t="n"/>
      <c r="G212" s="40" t="n"/>
      <c r="H212" s="12" t="n"/>
      <c r="I212" s="40" t="str">
        <f>""</f>
        <v/>
      </c>
      <c r="J212" s="40">
        <f>IFERROR(IF(I211=0,"",J211/I211-1),"")</f>
        <v>-0.0158861683678259</v>
      </c>
      <c r="K212" s="40">
        <f>IFERROR(IF(J211=0,"",K211/J211-1),"")</f>
        <v>0.000109730120476437</v>
      </c>
      <c r="L212" s="40">
        <f>IFERROR(IF(K211=0,"",L211/K211-1),"")</f>
        <v>0.596451544207584</v>
      </c>
      <c r="M212" s="12">
        <f>IF(L211=0,"",M211/L211-1)</f>
        <v>0</v>
      </c>
      <c r="N212" s="40">
        <f>IFERROR(IF(M211=0,"",N211/M211-1),"")</f>
        <v>0.451806842580962</v>
      </c>
      <c r="O212" s="40">
        <f>IFERROR(IF(N211=0,"",O211/N211-1),"")</f>
        <v>-0.103871611441791</v>
      </c>
      <c r="P212" s="40">
        <f>IFERROR(IF(O211=0,"",P211/O211-1),"")</f>
        <v>0.18124296741085</v>
      </c>
      <c r="Q212" s="40">
        <f>IFERROR(IF(P211=0,"",Q211/P211-1),"")</f>
        <v>0.402962976151859</v>
      </c>
      <c r="R212" s="12">
        <f>IF(Q211=0,"",R211/Q211-1)</f>
        <v>0</v>
      </c>
      <c r="S212" s="40">
        <f>IFERROR(IF(R211=0,"",S211/R211-1),"")</f>
        <v>0.0662178895450314</v>
      </c>
      <c r="T212" s="40">
        <f>IFERROR(IF(S211=0,"",T211/S211-1),"")</f>
        <v>0.0499482702748113</v>
      </c>
      <c r="U212" s="40">
        <f>IFERROR(IF(T211=0,"",U211/T211-1),"")</f>
        <v>-0.10960917709853</v>
      </c>
      <c r="V212" s="40">
        <f>IFERROR(IF(U211=0,"",V211/U211-1),"")</f>
        <v>0.207080157173517</v>
      </c>
      <c r="W212" s="12">
        <f>IF(V211=0,"",W211/V211-1)</f>
        <v>0</v>
      </c>
      <c r="X212" s="40">
        <f>IFERROR(IF(W211=0,"",X211/W211-1),"")</f>
        <v>0.316249227829471</v>
      </c>
      <c r="Y212" s="40">
        <f>IFERROR(IF(X211=0,"",Y211/X211-1),"")</f>
        <v>-0.0120647883042775</v>
      </c>
      <c r="Z212" s="40">
        <f>IFERROR(IF(Y211=0,"",Z211/Y211-1),"")</f>
        <v>-0.0673513444772004</v>
      </c>
      <c r="AA212" s="40">
        <f>IFERROR(IF(Z211=0,"",AA211/Z211-1),"")</f>
        <v>0.139135990565964</v>
      </c>
      <c r="AB212" s="12">
        <f>IF(AA211=0,"",AB211/AA211-1)</f>
        <v>0</v>
      </c>
      <c r="AC212" s="40">
        <f>IFERROR(IF(AB211=0,"",AC211/AB211-1),"")</f>
        <v>-0.0751546761252081</v>
      </c>
      <c r="AD212" s="40">
        <f>IFERROR(IF(AC211=0,"",AD211/AC211-1),"")</f>
        <v>-0.0469936211727772</v>
      </c>
      <c r="AE212" s="40">
        <f>IFERROR(IF(AD211=0,"",AE211/AD211-1),"")</f>
        <v>0.104428676027197</v>
      </c>
      <c r="AF212" s="55">
        <f>IFERROR(IF(AE211=0,"",AF211/AE211-1),"")</f>
        <v>0.119881115769787</v>
      </c>
      <c r="AG212" s="12">
        <f>IF(AF211=0,"",AG211/AF211-1)</f>
        <v>0</v>
      </c>
      <c r="AH212" s="55">
        <f>IFERROR(IF(AG211=0,"",AH211/AG211-1),"")</f>
        <v>0.189922986512525</v>
      </c>
      <c r="AI212" s="55">
        <f>IFERROR(IF(AH211=0,"",AI211/AH211-1),"")</f>
        <v>0.157648605577094</v>
      </c>
      <c r="AJ212" s="55">
        <f>IFERROR(IF(AI211=0,"",AJ211/AI211-1),"")</f>
        <v>0</v>
      </c>
      <c r="AK212" s="55">
        <f>IFERROR(IF(AJ211=0,"",AK211/AJ211-1),"")</f>
        <v>0</v>
      </c>
      <c r="AL212" s="12">
        <f>IFERROR(IF(AK211=0,"",AL211/AK211-1),"")</f>
        <v>0</v>
      </c>
      <c r="AM212" s="55">
        <f>IFERROR(IF(AL211=0,"",AM211/AL211-1),"")</f>
        <v>0</v>
      </c>
      <c r="AN212" s="55">
        <f>IFERROR(IF(AM211=0,"",AN211/AM211-1),"")</f>
        <v>0</v>
      </c>
      <c r="AO212" s="55">
        <f>IFERROR(IF(AN211=0,"",AO211/AN211-1),"")</f>
        <v>0</v>
      </c>
      <c r="AP212" s="55">
        <f>IFERROR(IF(AO211=0,"",AP211/AO211-1),"")</f>
        <v>0</v>
      </c>
      <c r="AQ212" s="12">
        <f>IFERROR(IF(AP211=0,"",AQ211/AP211-1),"")</f>
        <v>0</v>
      </c>
      <c r="AR212" s="55">
        <f>IFERROR(IF(AQ211=0,"",AR211/AQ211-1),"")</f>
        <v>0</v>
      </c>
      <c r="AS212" s="55">
        <f>IFERROR(IF(AR211=0,"",AS211/AR211-1),"")</f>
        <v>0</v>
      </c>
      <c r="AT212" s="55">
        <f>IFERROR(IF(AS211=0,"",AT211/AS211-1),"")</f>
        <v>0</v>
      </c>
      <c r="AU212" s="55">
        <f>IFERROR(IF(AT211=0,"",AU211/AT211-1),"")</f>
        <v>0</v>
      </c>
      <c r="AV212" s="12">
        <f>IFERROR(IF(AU211=0,"",AV211/AU211-1),"")</f>
        <v>0</v>
      </c>
      <c r="AW212" s="55">
        <f>IFERROR(IF(AV211=0,"",AW211/AV211-1),"")</f>
        <v>0</v>
      </c>
      <c r="AX212" s="55">
        <f>IFERROR(IF(AW211=0,"",AX211/AW211-1),"")</f>
        <v>0</v>
      </c>
      <c r="AY212" s="55">
        <f>IFERROR(IF(AX211=0,"",AY211/AX211-1),"")</f>
        <v>0</v>
      </c>
      <c r="AZ212" s="55">
        <f>IFERROR(IF(AY211=0,"",AZ211/AY211-1),"")</f>
        <v>0</v>
      </c>
      <c r="BA212" s="12">
        <f>IFERROR(IF(AZ211=0,"",BA211/AZ211-1),"")</f>
        <v>0</v>
      </c>
      <c r="BB212" s="55">
        <f>IFERROR(IF(BA211=0,"",BB211/BA211-1),"")</f>
        <v>0</v>
      </c>
      <c r="BC212" s="55">
        <f>IFERROR(IF(BB211=0,"",BC211/BB211-1),"")</f>
        <v>0</v>
      </c>
      <c r="BD212" s="55">
        <f>IFERROR(IF(BC211=0,"",BD211/BC211-1),"")</f>
        <v>0</v>
      </c>
      <c r="BE212" s="55">
        <f>IFERROR(IF(BD211=0,"",BE211/BD211-1),"")</f>
        <v>0</v>
      </c>
      <c r="BF212" s="12">
        <f>IFERROR(IF(BE211=0,"",BF211/BE211-1),"")</f>
        <v>0</v>
      </c>
      <c r="BG212" s="55" t="n"/>
      <c r="BH212" s="55" t="n"/>
      <c r="BI212" s="55" t="n"/>
      <c r="BJ212" s="55" t="n"/>
      <c r="BK212" s="12" t="n"/>
      <c r="BL212" s="55" t="n"/>
      <c r="BM212" s="55" t="n"/>
      <c r="BN212" s="55" t="n"/>
      <c r="BO212" s="55" t="n"/>
      <c r="BP212" s="12" t="n"/>
      <c r="BQ212" s="55" t="n"/>
      <c r="BR212" s="55" t="n"/>
      <c r="BS212" s="55" t="n"/>
      <c r="BT212" s="55" t="n"/>
      <c r="BU212" s="12" t="n"/>
      <c r="BV212" s="55" t="n"/>
      <c r="BW212" s="55" t="n"/>
      <c r="BX212" s="55" t="n"/>
      <c r="BY212" s="55" t="n"/>
      <c r="BZ212" s="12" t="n"/>
      <c r="CA212" s="55" t="n"/>
      <c r="CB212" s="55" t="n"/>
      <c r="CC212" s="55" t="n"/>
      <c r="CD212" s="55" t="n"/>
      <c r="CE212" s="12" t="n"/>
      <c r="CF212" s="55" t="n"/>
      <c r="CG212" s="55" t="n"/>
      <c r="CH212" s="55" t="n"/>
      <c r="CI212" s="55" t="n"/>
      <c r="CJ212" s="12" t="n"/>
      <c r="CK212" s="55" t="n"/>
      <c r="CL212" s="55" t="n"/>
      <c r="CM212" s="55" t="n"/>
      <c r="CN212" s="55" t="n"/>
      <c r="CO212" s="12" t="n"/>
      <c r="CP212" s="55" t="n"/>
      <c r="CQ212" s="55" t="n"/>
      <c r="CR212" s="55" t="n"/>
      <c r="CS212" s="55" t="n"/>
      <c r="CT212" s="12" t="n"/>
      <c r="CU212" s="55" t="n"/>
      <c r="CV212" s="55" t="n"/>
      <c r="CW212" s="55" t="n"/>
      <c r="CX212" s="55" t="n"/>
      <c r="CY212" s="12" t="n"/>
    </row>
    <row r="213" hidden="1" outlineLevel="1">
      <c r="C213" s="57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  <c r="AJ213" s="12" t="n"/>
      <c r="AK213" s="12" t="n"/>
      <c r="AL213" s="12" t="n"/>
      <c r="AM213" s="12" t="n"/>
      <c r="AN213" s="12" t="n"/>
      <c r="AO213" s="12" t="n"/>
      <c r="AP213" s="12" t="n"/>
      <c r="AQ213" s="12" t="n"/>
      <c r="AR213" s="12" t="n"/>
      <c r="AS213" s="12" t="n"/>
      <c r="AT213" s="12" t="n"/>
      <c r="AU213" s="12" t="n"/>
      <c r="AV213" s="12" t="n"/>
      <c r="AW213" s="12" t="n"/>
      <c r="AX213" s="12" t="n"/>
      <c r="AY213" s="12" t="n"/>
      <c r="AZ213" s="12" t="n"/>
      <c r="BA213" s="12" t="n"/>
      <c r="BB213" s="12" t="n"/>
      <c r="BC213" s="12" t="n"/>
      <c r="BD213" s="12" t="n"/>
      <c r="BE213" s="12" t="n"/>
      <c r="BF213" s="12" t="n"/>
      <c r="BG213" s="12" t="n"/>
      <c r="BH213" s="12" t="n"/>
      <c r="BI213" s="12" t="n"/>
      <c r="BJ213" s="12" t="n"/>
      <c r="BK213" s="12" t="n"/>
      <c r="BL213" s="12" t="n"/>
      <c r="BM213" s="12" t="n"/>
      <c r="BN213" s="12" t="n"/>
      <c r="BO213" s="12" t="n"/>
      <c r="BP213" s="12" t="n"/>
      <c r="BQ213" s="12" t="n"/>
      <c r="BR213" s="12" t="n"/>
      <c r="BS213" s="12" t="n"/>
      <c r="BT213" s="12" t="n"/>
      <c r="BU213" s="12" t="n"/>
      <c r="BV213" s="12" t="n"/>
      <c r="BW213" s="12" t="n"/>
      <c r="BX213" s="12" t="n"/>
      <c r="BY213" s="12" t="n"/>
      <c r="BZ213" s="12" t="n"/>
      <c r="CA213" s="12" t="n"/>
      <c r="CB213" s="12" t="n"/>
      <c r="CC213" s="12" t="n"/>
      <c r="CD213" s="12" t="n"/>
      <c r="CE213" s="12" t="n"/>
      <c r="CF213" s="12" t="n"/>
      <c r="CG213" s="12" t="n"/>
      <c r="CH213" s="12" t="n"/>
      <c r="CI213" s="12" t="n"/>
      <c r="CJ213" s="12" t="n"/>
      <c r="CK213" s="12" t="n"/>
      <c r="CL213" s="12" t="n"/>
      <c r="CM213" s="12" t="n"/>
      <c r="CN213" s="12" t="n"/>
      <c r="CO213" s="12" t="n"/>
      <c r="CP213" s="12" t="n"/>
      <c r="CQ213" s="12" t="n"/>
      <c r="CR213" s="12" t="n"/>
      <c r="CS213" s="12" t="n"/>
      <c r="CT213" s="12" t="n"/>
      <c r="CU213" s="12" t="n"/>
      <c r="CV213" s="12" t="n"/>
      <c r="CW213" s="12" t="n"/>
      <c r="CX213" s="12" t="n"/>
      <c r="CY213" s="12" t="n"/>
    </row>
    <row r="214" hidden="1" outlineLevel="1">
      <c r="C214" s="57" t="inlineStr">
        <is>
          <t xml:space="preserve">Dividendos a Pagar </t>
        </is>
      </c>
      <c r="D214" s="11" t="n"/>
      <c r="E214" s="11" t="n"/>
      <c r="F214" s="11" t="n"/>
      <c r="G214" s="11" t="n"/>
      <c r="H214" s="12" t="n"/>
      <c r="I214" s="11" t="n"/>
      <c r="J214" s="11" t="n"/>
      <c r="K214" s="11" t="n"/>
      <c r="L214" s="11" t="n"/>
      <c r="M214" s="12" t="n"/>
      <c r="N214" s="11" t="n"/>
      <c r="O214" s="11" t="n"/>
      <c r="P214" s="11" t="n"/>
      <c r="Q214" s="11" t="n"/>
      <c r="R214" s="12" t="n"/>
      <c r="S214" s="11" t="n"/>
      <c r="T214" s="11" t="n"/>
      <c r="U214" s="11" t="n"/>
      <c r="V214" s="11" t="n"/>
      <c r="W214" s="12" t="n"/>
      <c r="X214" s="11" t="n"/>
      <c r="Y214" s="11" t="n"/>
      <c r="Z214" s="11" t="n"/>
      <c r="AA214" s="11" t="n"/>
      <c r="AB214" s="12" t="n"/>
      <c r="AC214" s="11" t="n"/>
      <c r="AD214" s="11" t="n"/>
      <c r="AE214" s="11" t="n"/>
      <c r="AF214" s="11" t="n"/>
      <c r="AG214" s="12" t="n"/>
      <c r="AH214" s="11" t="n"/>
      <c r="AI214" s="11" t="n"/>
      <c r="AJ214" s="11" t="n"/>
      <c r="AK214" s="11" t="n"/>
      <c r="AL214" s="12" t="n"/>
      <c r="AM214" s="11" t="n"/>
      <c r="AN214" s="11" t="n"/>
      <c r="AO214" s="11" t="n"/>
      <c r="AP214" s="11" t="n"/>
      <c r="AQ214" s="12" t="n"/>
      <c r="AR214" s="11" t="n"/>
      <c r="AS214" s="11" t="n"/>
      <c r="AT214" s="11" t="n"/>
      <c r="AU214" s="11" t="n"/>
      <c r="AV214" s="12" t="n"/>
      <c r="AW214" s="11" t="n"/>
      <c r="AX214" s="11" t="n"/>
      <c r="AY214" s="11" t="n"/>
      <c r="AZ214" s="11" t="n"/>
      <c r="BA214" s="12" t="n"/>
      <c r="BB214" s="11" t="n"/>
      <c r="BC214" s="11" t="n"/>
      <c r="BD214" s="11" t="n"/>
      <c r="BE214" s="11" t="n"/>
      <c r="BF214" s="12" t="n"/>
      <c r="BG214" s="11" t="n"/>
      <c r="BH214" s="11" t="n"/>
      <c r="BI214" s="11" t="n"/>
      <c r="BJ214" s="11" t="n"/>
      <c r="BK214" s="12" t="n"/>
      <c r="BL214" s="11" t="n"/>
      <c r="BM214" s="11" t="n"/>
      <c r="BN214" s="11" t="n"/>
      <c r="BO214" s="11" t="n"/>
      <c r="BP214" s="12" t="n"/>
      <c r="BQ214" s="11" t="n"/>
      <c r="BR214" s="11" t="n"/>
      <c r="BS214" s="11" t="n"/>
      <c r="BT214" s="11" t="n"/>
      <c r="BU214" s="12" t="n"/>
      <c r="BV214" s="11" t="n"/>
      <c r="BW214" s="11" t="n"/>
      <c r="BX214" s="11" t="n"/>
      <c r="BY214" s="11" t="n"/>
      <c r="BZ214" s="12" t="n"/>
      <c r="CA214" s="11" t="n"/>
      <c r="CB214" s="11" t="n"/>
      <c r="CC214" s="11" t="n"/>
      <c r="CD214" s="11" t="n"/>
      <c r="CE214" s="12" t="n"/>
      <c r="CF214" s="11" t="n"/>
      <c r="CG214" s="11" t="n"/>
      <c r="CH214" s="11" t="n"/>
      <c r="CI214" s="11" t="n"/>
      <c r="CJ214" s="12" t="n"/>
      <c r="CK214" s="11" t="n"/>
      <c r="CL214" s="11" t="n"/>
      <c r="CM214" s="11" t="n"/>
      <c r="CN214" s="11" t="n"/>
      <c r="CO214" s="12" t="n"/>
      <c r="CP214" s="11" t="n"/>
      <c r="CQ214" s="11" t="n"/>
      <c r="CR214" s="11" t="n"/>
      <c r="CS214" s="11" t="n"/>
      <c r="CT214" s="12" t="n"/>
      <c r="CU214" s="11" t="n"/>
      <c r="CV214" s="11" t="n"/>
      <c r="CW214" s="11" t="n"/>
      <c r="CX214" s="11" t="n"/>
      <c r="CY214" s="12" t="n"/>
    </row>
    <row r="215" hidden="1" outlineLevel="1">
      <c r="C215" s="57" t="inlineStr">
        <is>
          <t>Contas a pagar pela aquisição de controladas</t>
        </is>
      </c>
      <c r="D215" s="11" t="n"/>
      <c r="E215" s="11" t="n"/>
      <c r="F215" s="11" t="n"/>
      <c r="G215" s="11" t="n"/>
      <c r="H215" s="12" t="n"/>
      <c r="I215" s="11" t="n"/>
      <c r="J215" s="11" t="n"/>
      <c r="K215" s="11" t="n"/>
      <c r="L215" s="11" t="n"/>
      <c r="M215" s="12" t="n"/>
      <c r="N215" s="11" t="n"/>
      <c r="O215" s="11" t="n"/>
      <c r="P215" s="11" t="n"/>
      <c r="Q215" s="11" t="n"/>
      <c r="R215" s="12" t="n"/>
      <c r="S215" s="11" t="n"/>
      <c r="T215" s="11" t="n"/>
      <c r="U215" s="11" t="n"/>
      <c r="V215" s="11" t="n"/>
      <c r="W215" s="12" t="n"/>
      <c r="X215" s="11" t="n"/>
      <c r="Y215" s="11" t="n"/>
      <c r="Z215" s="11" t="n"/>
      <c r="AA215" s="11" t="n"/>
      <c r="AB215" s="12" t="n"/>
      <c r="AC215" s="11" t="n"/>
      <c r="AD215" s="11" t="n"/>
      <c r="AE215" s="11" t="n"/>
      <c r="AF215" s="11" t="n"/>
      <c r="AG215" s="12" t="n"/>
      <c r="AH215" s="11" t="n"/>
      <c r="AI215" s="11" t="n"/>
      <c r="AJ215" s="11" t="n"/>
      <c r="AK215" s="11" t="n"/>
      <c r="AL215" s="12" t="n"/>
      <c r="AM215" s="11" t="n"/>
      <c r="AN215" s="11" t="n"/>
      <c r="AO215" s="11" t="n"/>
      <c r="AP215" s="11" t="n"/>
      <c r="AQ215" s="12" t="n"/>
      <c r="AR215" s="11" t="n"/>
      <c r="AS215" s="11" t="n"/>
      <c r="AT215" s="11" t="n"/>
      <c r="AU215" s="11" t="n"/>
      <c r="AV215" s="12" t="n"/>
      <c r="AW215" s="11" t="n"/>
      <c r="AX215" s="11" t="n"/>
      <c r="AY215" s="11" t="n"/>
      <c r="AZ215" s="11" t="n"/>
      <c r="BA215" s="12" t="n"/>
      <c r="BB215" s="11" t="n"/>
      <c r="BC215" s="11" t="n"/>
      <c r="BD215" s="11" t="n"/>
      <c r="BE215" s="11" t="n"/>
      <c r="BF215" s="12" t="n"/>
      <c r="BG215" s="11" t="n"/>
      <c r="BH215" s="11" t="n"/>
      <c r="BI215" s="11" t="n"/>
      <c r="BJ215" s="11" t="n"/>
      <c r="BK215" s="12" t="n"/>
      <c r="BL215" s="11" t="n"/>
      <c r="BM215" s="11" t="n"/>
      <c r="BN215" s="11" t="n"/>
      <c r="BO215" s="11" t="n"/>
      <c r="BP215" s="12" t="n"/>
      <c r="BQ215" s="11" t="n"/>
      <c r="BR215" s="11" t="n"/>
      <c r="BS215" s="11" t="n"/>
      <c r="BT215" s="11" t="n"/>
      <c r="BU215" s="12" t="n"/>
      <c r="BV215" s="11" t="n"/>
      <c r="BW215" s="11" t="n"/>
      <c r="BX215" s="11" t="n"/>
      <c r="BY215" s="11" t="n"/>
      <c r="BZ215" s="12" t="n"/>
      <c r="CA215" s="11" t="n"/>
      <c r="CB215" s="11" t="n"/>
      <c r="CC215" s="11" t="n"/>
      <c r="CD215" s="11" t="n"/>
      <c r="CE215" s="12" t="n"/>
      <c r="CF215" s="11" t="n"/>
      <c r="CG215" s="11" t="n"/>
      <c r="CH215" s="11" t="n"/>
      <c r="CI215" s="11" t="n"/>
      <c r="CJ215" s="12" t="n"/>
      <c r="CK215" s="11" t="n"/>
      <c r="CL215" s="11" t="n"/>
      <c r="CM215" s="11" t="n"/>
      <c r="CN215" s="11" t="n"/>
      <c r="CO215" s="12" t="n"/>
      <c r="CP215" s="11" t="n"/>
      <c r="CQ215" s="11" t="n"/>
      <c r="CR215" s="11" t="n"/>
      <c r="CS215" s="11" t="n"/>
      <c r="CT215" s="12" t="n"/>
      <c r="CU215" s="11" t="n"/>
      <c r="CV215" s="11" t="n"/>
      <c r="CW215" s="11" t="n"/>
      <c r="CX215" s="11" t="n"/>
      <c r="CY215" s="12" t="n"/>
    </row>
    <row r="216" hidden="1" outlineLevel="1">
      <c r="C216" s="57" t="inlineStr">
        <is>
          <t>Outros</t>
        </is>
      </c>
      <c r="D216" s="11" t="n"/>
      <c r="E216" s="11" t="n"/>
      <c r="F216" s="11" t="n"/>
      <c r="G216" s="11" t="n"/>
      <c r="H216" s="12" t="n"/>
      <c r="I216" s="11" t="n"/>
      <c r="J216" s="11" t="n"/>
      <c r="K216" s="11" t="n"/>
      <c r="L216" s="11" t="n"/>
      <c r="M216" s="12" t="n"/>
      <c r="N216" s="11" t="n"/>
      <c r="O216" s="11" t="n"/>
      <c r="P216" s="11" t="n"/>
      <c r="Q216" s="11" t="n"/>
      <c r="R216" s="12" t="n"/>
      <c r="S216" s="11" t="n"/>
      <c r="T216" s="11" t="n"/>
      <c r="U216" s="11" t="n"/>
      <c r="V216" s="11" t="n"/>
      <c r="W216" s="12" t="n"/>
      <c r="X216" s="11" t="n"/>
      <c r="Y216" s="11" t="n"/>
      <c r="Z216" s="11" t="n"/>
      <c r="AA216" s="11" t="n"/>
      <c r="AB216" s="12" t="n"/>
      <c r="AC216" s="11" t="n"/>
      <c r="AD216" s="11" t="n"/>
      <c r="AE216" s="11" t="n"/>
      <c r="AF216" s="11" t="n"/>
      <c r="AG216" s="12" t="n"/>
      <c r="AH216" s="11" t="n"/>
      <c r="AI216" s="11" t="n"/>
      <c r="AJ216" s="11" t="n"/>
      <c r="AK216" s="11" t="n"/>
      <c r="AL216" s="12" t="n"/>
      <c r="AM216" s="11" t="n"/>
      <c r="AN216" s="11" t="n"/>
      <c r="AO216" s="11" t="n"/>
      <c r="AP216" s="11" t="n"/>
      <c r="AQ216" s="12" t="n"/>
      <c r="AR216" s="11" t="n"/>
      <c r="AS216" s="11" t="n"/>
      <c r="AT216" s="11" t="n"/>
      <c r="AU216" s="11" t="n"/>
      <c r="AV216" s="12" t="n"/>
      <c r="AW216" s="11" t="n"/>
      <c r="AX216" s="11" t="n"/>
      <c r="AY216" s="11" t="n"/>
      <c r="AZ216" s="11" t="n"/>
      <c r="BA216" s="12" t="n"/>
      <c r="BB216" s="11" t="n"/>
      <c r="BC216" s="11" t="n"/>
      <c r="BD216" s="11" t="n"/>
      <c r="BE216" s="11" t="n"/>
      <c r="BF216" s="12" t="n"/>
      <c r="BG216" s="11" t="n"/>
      <c r="BH216" s="11" t="n"/>
      <c r="BI216" s="11" t="n"/>
      <c r="BJ216" s="11" t="n"/>
      <c r="BK216" s="12" t="n"/>
      <c r="BL216" s="11" t="n"/>
      <c r="BM216" s="11" t="n"/>
      <c r="BN216" s="11" t="n"/>
      <c r="BO216" s="11" t="n"/>
      <c r="BP216" s="12" t="n"/>
      <c r="BQ216" s="11" t="n"/>
      <c r="BR216" s="11" t="n"/>
      <c r="BS216" s="11" t="n"/>
      <c r="BT216" s="11" t="n"/>
      <c r="BU216" s="12" t="n"/>
      <c r="BV216" s="11" t="n"/>
      <c r="BW216" s="11" t="n"/>
      <c r="BX216" s="11" t="n"/>
      <c r="BY216" s="11" t="n"/>
      <c r="BZ216" s="12" t="n"/>
      <c r="CA216" s="11" t="n"/>
      <c r="CB216" s="11" t="n"/>
      <c r="CC216" s="11" t="n"/>
      <c r="CD216" s="11" t="n"/>
      <c r="CE216" s="12" t="n"/>
      <c r="CF216" s="11" t="n"/>
      <c r="CG216" s="11" t="n"/>
      <c r="CH216" s="11" t="n"/>
      <c r="CI216" s="11" t="n"/>
      <c r="CJ216" s="12" t="n"/>
      <c r="CK216" s="11" t="n"/>
      <c r="CL216" s="11" t="n"/>
      <c r="CM216" s="11" t="n"/>
      <c r="CN216" s="11" t="n"/>
      <c r="CO216" s="12" t="n"/>
      <c r="CP216" s="11" t="n"/>
      <c r="CQ216" s="11" t="n"/>
      <c r="CR216" s="11" t="n"/>
      <c r="CS216" s="11" t="n"/>
      <c r="CT216" s="12" t="n"/>
      <c r="CU216" s="11" t="n"/>
      <c r="CV216" s="11" t="n"/>
      <c r="CW216" s="11" t="n"/>
      <c r="CX216" s="11" t="n"/>
      <c r="CY216" s="12" t="n"/>
    </row>
    <row r="217" hidden="1" outlineLevel="1">
      <c r="C217" s="57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  <c r="AJ217" s="12" t="n"/>
      <c r="AK217" s="12" t="n"/>
      <c r="AL217" s="12" t="n"/>
      <c r="AM217" s="12" t="n"/>
      <c r="AN217" s="12" t="n"/>
      <c r="AO217" s="12" t="n"/>
      <c r="AP217" s="12" t="n"/>
      <c r="AQ217" s="12" t="n"/>
      <c r="AR217" s="12" t="n"/>
      <c r="AS217" s="12" t="n"/>
      <c r="AT217" s="12" t="n"/>
      <c r="AU217" s="12" t="n"/>
      <c r="AV217" s="12" t="n"/>
      <c r="AW217" s="12" t="n"/>
      <c r="AX217" s="12" t="n"/>
      <c r="AY217" s="12" t="n"/>
      <c r="AZ217" s="12" t="n"/>
      <c r="BA217" s="12" t="n"/>
      <c r="BB217" s="12" t="n"/>
      <c r="BC217" s="12" t="n"/>
      <c r="BD217" s="12" t="n"/>
      <c r="BE217" s="12" t="n"/>
      <c r="BF217" s="12" t="n"/>
      <c r="BG217" s="12" t="n"/>
      <c r="BH217" s="12" t="n"/>
      <c r="BI217" s="12" t="n"/>
      <c r="BJ217" s="12" t="n"/>
      <c r="BK217" s="12" t="n"/>
      <c r="BL217" s="12" t="n"/>
      <c r="BM217" s="12" t="n"/>
      <c r="BN217" s="12" t="n"/>
      <c r="BO217" s="12" t="n"/>
      <c r="BP217" s="12" t="n"/>
      <c r="BQ217" s="12" t="n"/>
      <c r="BR217" s="12" t="n"/>
      <c r="BS217" s="12" t="n"/>
      <c r="BT217" s="12" t="n"/>
      <c r="BU217" s="12" t="n"/>
      <c r="BV217" s="12" t="n"/>
      <c r="BW217" s="12" t="n"/>
      <c r="BX217" s="12" t="n"/>
      <c r="BY217" s="12" t="n"/>
      <c r="BZ217" s="12" t="n"/>
      <c r="CA217" s="12" t="n"/>
      <c r="CB217" s="12" t="n"/>
      <c r="CC217" s="12" t="n"/>
      <c r="CD217" s="12" t="n"/>
      <c r="CE217" s="12" t="n"/>
      <c r="CF217" s="12" t="n"/>
      <c r="CG217" s="12" t="n"/>
      <c r="CH217" s="12" t="n"/>
      <c r="CI217" s="12" t="n"/>
      <c r="CJ217" s="12" t="n"/>
      <c r="CK217" s="12" t="n"/>
      <c r="CL217" s="12" t="n"/>
      <c r="CM217" s="12" t="n"/>
      <c r="CN217" s="12" t="n"/>
      <c r="CO217" s="12" t="n"/>
      <c r="CP217" s="12" t="n"/>
      <c r="CQ217" s="12" t="n"/>
      <c r="CR217" s="12" t="n"/>
      <c r="CS217" s="12" t="n"/>
      <c r="CT217" s="12" t="n"/>
      <c r="CU217" s="12" t="n"/>
      <c r="CV217" s="12" t="n"/>
      <c r="CW217" s="12" t="n"/>
      <c r="CX217" s="12" t="n"/>
      <c r="CY217" s="12" t="n"/>
    </row>
    <row r="218" collapsed="1">
      <c r="C218" s="14" t="inlineStr">
        <is>
          <t>Current portion of long-term debt</t>
        </is>
      </c>
      <c r="D218" s="46" t="n"/>
      <c r="E218" s="46" t="n"/>
      <c r="F218" s="46" t="n"/>
      <c r="G218" s="46" t="n"/>
      <c r="H218" s="12" t="n"/>
      <c r="I218" s="46">
        <f>'Inputs (2)'!D32</f>
        <v>1249.60036427</v>
      </c>
      <c r="J218" s="46">
        <f>'Inputs (2)'!E32</f>
        <v>1219.70268923</v>
      </c>
      <c r="K218" s="46">
        <f>'Inputs (2)'!F32</f>
        <v>1132.111</v>
      </c>
      <c r="L218" s="46">
        <f>'Inputs (2)'!G32</f>
        <v>1546.062</v>
      </c>
      <c r="M218" s="12">
        <f>'Inputs (2)'!H32</f>
        <v>1546.062</v>
      </c>
      <c r="N218" s="46">
        <f>'Inputs (2)'!I32</f>
        <v>1565.549</v>
      </c>
      <c r="O218" s="46">
        <f>'Inputs (2)'!J32</f>
        <v>2031.731</v>
      </c>
      <c r="P218" s="46">
        <f>'Inputs (2)'!K32</f>
        <v>2681.554</v>
      </c>
      <c r="Q218" s="46">
        <f>'Inputs (2)'!L32</f>
        <v>3933.488</v>
      </c>
      <c r="R218" s="12">
        <f>'Inputs (2)'!M32</f>
        <v>3933.488</v>
      </c>
      <c r="S218" s="46">
        <f>'Inputs (2)'!N32</f>
        <v>2885.690651587</v>
      </c>
      <c r="T218" s="46">
        <f>'Inputs (2)'!O32</f>
        <v>3046.700323615</v>
      </c>
      <c r="U218" s="46">
        <f>'Inputs (2)'!P32</f>
        <v>3322.926530379</v>
      </c>
      <c r="V218" s="46">
        <f>'Inputs (2)'!Q32</f>
        <v>3933.098008447</v>
      </c>
      <c r="W218" s="12">
        <f>'Inputs (2)'!R32</f>
        <v>3933.098008447</v>
      </c>
      <c r="X218" s="46">
        <f>'Inputs (2)'!S32</f>
        <v>4486.447433825</v>
      </c>
      <c r="Y218" s="46">
        <f>'Inputs (2)'!T32</f>
        <v>6152.465864675</v>
      </c>
      <c r="Z218" s="46">
        <f>'Inputs (2)'!U32</f>
        <v>6517.845913895</v>
      </c>
      <c r="AA218" s="46">
        <f>'Inputs (2)'!V32</f>
        <v>7114.14838549</v>
      </c>
      <c r="AB218" s="12">
        <f>'Inputs (2)'!W32</f>
        <v>7114.14838549</v>
      </c>
      <c r="AC218" s="46">
        <f>'Inputs (2)'!X32</f>
        <v>7447.99954332</v>
      </c>
      <c r="AD218" s="46">
        <f>'Inputs (2)'!Y32</f>
        <v>7066.00455085</v>
      </c>
      <c r="AE218" s="46">
        <f>'Inputs (2)'!Z32</f>
        <v>7912.9124352</v>
      </c>
      <c r="AF218" s="46">
        <f>'Inputs (2)'!AA32</f>
        <v>9109.41335713</v>
      </c>
      <c r="AG218" s="12">
        <f>'Inputs (2)'!AB32</f>
        <v>9109.41335713</v>
      </c>
      <c r="AH218" s="12">
        <f>'Inputs (2)'!AC32</f>
        <v>8001.67079087</v>
      </c>
      <c r="AI218" s="12">
        <f>'Inputs (2)'!AD32</f>
        <v>7556.41057503</v>
      </c>
      <c r="AJ218" s="12">
        <f>AI218</f>
        <v>7556.41057503</v>
      </c>
      <c r="AK218" s="12">
        <f>AJ218</f>
        <v>7556.41057503</v>
      </c>
      <c r="AL218" s="12">
        <f>AK218</f>
        <v>7556.41057503</v>
      </c>
      <c r="AM218" s="12">
        <f>AL218</f>
        <v>7556.41057503</v>
      </c>
      <c r="AN218" s="12">
        <f>AM218</f>
        <v>7556.41057503</v>
      </c>
      <c r="AO218" s="12">
        <f>AN218</f>
        <v>7556.41057503</v>
      </c>
      <c r="AP218" s="12">
        <f>AO218</f>
        <v>7556.41057503</v>
      </c>
      <c r="AQ218" s="12">
        <f>AP218</f>
        <v>7556.41057503</v>
      </c>
      <c r="AR218" s="12">
        <f>AQ218</f>
        <v>7556.41057503</v>
      </c>
      <c r="AS218" s="12">
        <f>AR218</f>
        <v>7556.41057503</v>
      </c>
      <c r="AT218" s="12">
        <f>AS218</f>
        <v>7556.41057503</v>
      </c>
      <c r="AU218" s="12">
        <f>AT218</f>
        <v>7556.41057503</v>
      </c>
      <c r="AV218" s="12">
        <f>AU218</f>
        <v>7556.41057503</v>
      </c>
      <c r="AW218" s="12">
        <f>AV218</f>
        <v>7556.41057503</v>
      </c>
      <c r="AX218" s="12">
        <f>AW218</f>
        <v>7556.41057503</v>
      </c>
      <c r="AY218" s="12">
        <f>AX218</f>
        <v>7556.41057503</v>
      </c>
      <c r="AZ218" s="12">
        <f>AY218</f>
        <v>7556.41057503</v>
      </c>
      <c r="BA218" s="12">
        <f>AZ218</f>
        <v>7556.41057503</v>
      </c>
      <c r="BB218" s="12">
        <f>BA218</f>
        <v>7556.41057503</v>
      </c>
      <c r="BC218" s="12">
        <f>BB218</f>
        <v>7556.41057503</v>
      </c>
      <c r="BD218" s="12">
        <f>BC218</f>
        <v>7556.41057503</v>
      </c>
      <c r="BE218" s="12">
        <f>BD218</f>
        <v>7556.41057503</v>
      </c>
      <c r="BF218" s="12">
        <f>BE218</f>
        <v>7556.41057503</v>
      </c>
      <c r="BG218" s="12" t="n"/>
      <c r="BH218" s="12" t="n"/>
      <c r="BI218" s="12" t="n"/>
      <c r="BJ218" s="12" t="n"/>
      <c r="BK218" s="12" t="n"/>
      <c r="BL218" s="12" t="n"/>
      <c r="BM218" s="12" t="n"/>
      <c r="BN218" s="12" t="n"/>
      <c r="BO218" s="12" t="n"/>
      <c r="BP218" s="12" t="n"/>
      <c r="BQ218" s="12" t="n"/>
      <c r="BR218" s="12" t="n"/>
      <c r="BS218" s="12" t="n"/>
      <c r="BT218" s="12" t="n"/>
      <c r="BU218" s="12" t="n"/>
      <c r="BV218" s="12" t="n"/>
      <c r="BW218" s="12" t="n"/>
      <c r="BX218" s="12" t="n"/>
      <c r="BY218" s="12" t="n"/>
      <c r="BZ218" s="12" t="n"/>
      <c r="CA218" s="12" t="n"/>
      <c r="CB218" s="12" t="n"/>
      <c r="CC218" s="12" t="n"/>
      <c r="CD218" s="12" t="n"/>
      <c r="CE218" s="12" t="n"/>
      <c r="CF218" s="12" t="n"/>
      <c r="CG218" s="12" t="n"/>
      <c r="CH218" s="12" t="n"/>
      <c r="CI218" s="12" t="n"/>
      <c r="CJ218" s="12" t="n"/>
      <c r="CK218" s="12" t="n"/>
      <c r="CL218" s="12" t="n"/>
      <c r="CM218" s="12" t="n"/>
      <c r="CN218" s="12" t="n"/>
      <c r="CO218" s="12" t="n"/>
      <c r="CP218" s="12" t="n"/>
      <c r="CQ218" s="12" t="n"/>
      <c r="CR218" s="12" t="n"/>
      <c r="CS218" s="12" t="n"/>
      <c r="CT218" s="12" t="n"/>
      <c r="CU218" s="12" t="n"/>
      <c r="CV218" s="12" t="n"/>
      <c r="CW218" s="12" t="n"/>
      <c r="CX218" s="12" t="n"/>
      <c r="CY218" s="12" t="n"/>
    </row>
    <row r="219">
      <c r="C219" s="14" t="inlineStr">
        <is>
          <t>Short term debt (Revolving credit facility)</t>
        </is>
      </c>
      <c r="D219" s="46" t="n"/>
      <c r="E219" s="46" t="n"/>
      <c r="F219" s="46" t="n"/>
      <c r="G219" s="46" t="n"/>
      <c r="H219" s="12" t="n"/>
      <c r="I219" s="46">
        <f>'Inputs (2)'!D33</f>
        <v>0</v>
      </c>
      <c r="J219" s="46">
        <f>'Inputs (2)'!E33</f>
        <v>0</v>
      </c>
      <c r="K219" s="46">
        <f>'Inputs (2)'!F33</f>
        <v>0</v>
      </c>
      <c r="L219" s="46">
        <f>'Inputs (2)'!G33</f>
        <v>0</v>
      </c>
      <c r="M219" s="12">
        <f>'Inputs (2)'!H33</f>
        <v>0</v>
      </c>
      <c r="N219" s="46">
        <f>'Inputs (2)'!I33</f>
        <v>0</v>
      </c>
      <c r="O219" s="46">
        <f>'Inputs (2)'!J33</f>
        <v>0</v>
      </c>
      <c r="P219" s="46">
        <f>'Inputs (2)'!K33</f>
        <v>0</v>
      </c>
      <c r="Q219" s="46">
        <f>'Inputs (2)'!L33</f>
        <v>0</v>
      </c>
      <c r="R219" s="12">
        <f>'Inputs (2)'!M33</f>
        <v>0</v>
      </c>
      <c r="S219" s="46">
        <f>'Inputs (2)'!N33</f>
        <v>0</v>
      </c>
      <c r="T219" s="46">
        <f>'Inputs (2)'!O33</f>
        <v>0</v>
      </c>
      <c r="U219" s="46">
        <f>'Inputs (2)'!P33</f>
        <v>0</v>
      </c>
      <c r="V219" s="46">
        <f>'Inputs (2)'!Q33</f>
        <v>0</v>
      </c>
      <c r="W219" s="12">
        <f>'Inputs (2)'!R33</f>
        <v>0</v>
      </c>
      <c r="X219" s="46">
        <f>'Inputs (2)'!S33</f>
        <v>0</v>
      </c>
      <c r="Y219" s="46">
        <f>'Inputs (2)'!T33</f>
        <v>0</v>
      </c>
      <c r="Z219" s="46">
        <f>'Inputs (2)'!U33</f>
        <v>0</v>
      </c>
      <c r="AA219" s="46">
        <f>'Inputs (2)'!V33</f>
        <v>0</v>
      </c>
      <c r="AB219" s="12">
        <f>'Inputs (2)'!W33</f>
        <v>0</v>
      </c>
      <c r="AC219" s="46">
        <f>'Inputs (2)'!X33</f>
        <v>0</v>
      </c>
      <c r="AD219" s="46">
        <f>'Inputs (2)'!Y33</f>
        <v>0</v>
      </c>
      <c r="AE219" s="46">
        <f>'Inputs (2)'!Z33</f>
        <v>0</v>
      </c>
      <c r="AF219" s="46">
        <f>'Inputs (2)'!AA33</f>
        <v>0</v>
      </c>
      <c r="AG219" s="12">
        <f>'Inputs (2)'!AB33</f>
        <v>0</v>
      </c>
      <c r="AH219" s="12">
        <f>'Inputs (2)'!AC33</f>
        <v>0</v>
      </c>
      <c r="AI219" s="12">
        <f>'Inputs (2)'!AD33</f>
        <v>0</v>
      </c>
      <c r="AJ219" s="12">
        <f>AI219</f>
        <v>0</v>
      </c>
      <c r="AK219" s="12">
        <f>AJ219</f>
        <v>0</v>
      </c>
      <c r="AL219" s="12">
        <f>AK219</f>
        <v>0</v>
      </c>
      <c r="AM219" s="12">
        <f>AL219</f>
        <v>0</v>
      </c>
      <c r="AN219" s="12">
        <f>AM219</f>
        <v>0</v>
      </c>
      <c r="AO219" s="12">
        <f>AN219</f>
        <v>0</v>
      </c>
      <c r="AP219" s="12">
        <f>AO219</f>
        <v>0</v>
      </c>
      <c r="AQ219" s="12">
        <f>AP219</f>
        <v>0</v>
      </c>
      <c r="AR219" s="12">
        <f>AQ219</f>
        <v>0</v>
      </c>
      <c r="AS219" s="12">
        <f>AR219</f>
        <v>0</v>
      </c>
      <c r="AT219" s="12">
        <f>AS219</f>
        <v>0</v>
      </c>
      <c r="AU219" s="12">
        <f>AT219</f>
        <v>0</v>
      </c>
      <c r="AV219" s="12">
        <f>AU219</f>
        <v>0</v>
      </c>
      <c r="AW219" s="12">
        <f>AV219</f>
        <v>0</v>
      </c>
      <c r="AX219" s="12">
        <f>AW219</f>
        <v>0</v>
      </c>
      <c r="AY219" s="12">
        <f>AX219</f>
        <v>0</v>
      </c>
      <c r="AZ219" s="12">
        <f>AY219</f>
        <v>0</v>
      </c>
      <c r="BA219" s="12">
        <f>AZ219</f>
        <v>0</v>
      </c>
      <c r="BB219" s="12">
        <f>BA219</f>
        <v>0</v>
      </c>
      <c r="BC219" s="12">
        <f>BB219</f>
        <v>0</v>
      </c>
      <c r="BD219" s="12">
        <f>BC219</f>
        <v>0</v>
      </c>
      <c r="BE219" s="12">
        <f>BD219</f>
        <v>0</v>
      </c>
      <c r="BF219" s="12">
        <f>BE219</f>
        <v>0</v>
      </c>
      <c r="BG219" s="12" t="n"/>
      <c r="BH219" s="12" t="n"/>
      <c r="BI219" s="12" t="n"/>
      <c r="BJ219" s="12" t="n"/>
      <c r="BK219" s="12" t="n"/>
      <c r="BL219" s="12" t="n"/>
      <c r="BM219" s="12" t="n"/>
      <c r="BN219" s="12" t="n"/>
      <c r="BO219" s="12" t="n"/>
      <c r="BP219" s="12" t="n"/>
      <c r="BQ219" s="12" t="n"/>
      <c r="BR219" s="12" t="n"/>
      <c r="BS219" s="12" t="n"/>
      <c r="BT219" s="12" t="n"/>
      <c r="BU219" s="12" t="n"/>
      <c r="BV219" s="12" t="n"/>
      <c r="BW219" s="12" t="n"/>
      <c r="BX219" s="12" t="n"/>
      <c r="BY219" s="12" t="n"/>
      <c r="BZ219" s="12" t="n"/>
      <c r="CA219" s="12" t="n"/>
      <c r="CB219" s="12" t="n"/>
      <c r="CC219" s="12" t="n"/>
      <c r="CD219" s="12" t="n"/>
      <c r="CE219" s="12" t="n"/>
      <c r="CF219" s="12" t="n"/>
      <c r="CG219" s="12" t="n"/>
      <c r="CH219" s="12" t="n"/>
      <c r="CI219" s="12" t="n"/>
      <c r="CJ219" s="12" t="n"/>
      <c r="CK219" s="12" t="n"/>
      <c r="CL219" s="12" t="n"/>
      <c r="CM219" s="12" t="n"/>
      <c r="CN219" s="12" t="n"/>
      <c r="CO219" s="12" t="n"/>
      <c r="CP219" s="12" t="n"/>
      <c r="CQ219" s="12" t="n"/>
      <c r="CR219" s="12" t="n"/>
      <c r="CS219" s="12" t="n"/>
      <c r="CT219" s="12" t="n"/>
      <c r="CU219" s="12" t="n"/>
      <c r="CV219" s="12" t="n"/>
      <c r="CW219" s="12" t="n"/>
      <c r="CX219" s="12" t="n"/>
      <c r="CY219" s="12" t="n"/>
    </row>
    <row r="220">
      <c r="C220" s="14" t="inlineStr">
        <is>
          <t>Short term operating leases</t>
        </is>
      </c>
      <c r="D220" s="46" t="n"/>
      <c r="E220" s="46" t="n"/>
      <c r="F220" s="46" t="n"/>
      <c r="G220" s="46" t="n"/>
      <c r="H220" s="12" t="n"/>
      <c r="I220" s="46">
        <f>'Inputs (2)'!D34</f>
        <v>115.26827369</v>
      </c>
      <c r="J220" s="46">
        <f>'Inputs (2)'!E34</f>
        <v>135.25761191</v>
      </c>
      <c r="K220" s="46">
        <f>'Inputs (2)'!F34</f>
        <v>324.387</v>
      </c>
      <c r="L220" s="46">
        <f>'Inputs (2)'!G34</f>
        <v>197.769</v>
      </c>
      <c r="M220" s="12">
        <f>'Inputs (2)'!H34</f>
        <v>197.769</v>
      </c>
      <c r="N220" s="46">
        <f>'Inputs (2)'!I34</f>
        <v>197.789</v>
      </c>
      <c r="O220" s="46">
        <f>'Inputs (2)'!J34</f>
        <v>212.55</v>
      </c>
      <c r="P220" s="46">
        <f>'Inputs (2)'!K34</f>
        <v>248.393</v>
      </c>
      <c r="Q220" s="46">
        <f>'Inputs (2)'!L34</f>
        <v>291.43</v>
      </c>
      <c r="R220" s="12">
        <f>'Inputs (2)'!M34</f>
        <v>291.43</v>
      </c>
      <c r="S220" s="46">
        <f>'Inputs (2)'!N34</f>
        <v>302.015930157</v>
      </c>
      <c r="T220" s="46">
        <f>'Inputs (2)'!O34</f>
        <v>319.175826534</v>
      </c>
      <c r="U220" s="46">
        <f>'Inputs (2)'!P34</f>
        <v>342.244387795</v>
      </c>
      <c r="V220" s="46">
        <f>'Inputs (2)'!Q34</f>
        <v>364.875069911</v>
      </c>
      <c r="W220" s="12">
        <f>'Inputs (2)'!R34</f>
        <v>364.875069911</v>
      </c>
      <c r="X220" s="46">
        <f>'Inputs (2)'!S34</f>
        <v>354.372035038</v>
      </c>
      <c r="Y220" s="46">
        <f>'Inputs (2)'!T34</f>
        <v>387.947807953</v>
      </c>
      <c r="Z220" s="46">
        <f>'Inputs (2)'!U34</f>
        <v>434.542762599</v>
      </c>
      <c r="AA220" s="46">
        <f>'Inputs (2)'!V34</f>
        <v>444.88450984</v>
      </c>
      <c r="AB220" s="12">
        <f>'Inputs (2)'!W34</f>
        <v>444.88450984</v>
      </c>
      <c r="AC220" s="46">
        <f>'Inputs (2)'!X34</f>
        <v>409.76793177</v>
      </c>
      <c r="AD220" s="46">
        <f>'Inputs (2)'!Y34</f>
        <v>160.22182137</v>
      </c>
      <c r="AE220" s="46">
        <f>'Inputs (2)'!Z34</f>
        <v>64.34033223</v>
      </c>
      <c r="AF220" s="46">
        <f>'Inputs (2)'!AA34</f>
        <v>319.41626964</v>
      </c>
      <c r="AG220" s="12">
        <f>'Inputs (2)'!AB34</f>
        <v>319.41626964</v>
      </c>
      <c r="AH220" s="12">
        <f>'Inputs (2)'!AC34</f>
        <v>327.66916642</v>
      </c>
      <c r="AI220" s="12">
        <f>'Inputs (2)'!AD34</f>
        <v>199.06820025</v>
      </c>
      <c r="AJ220" s="12">
        <f>AI220</f>
        <v>199.06820025</v>
      </c>
      <c r="AK220" s="12">
        <f>AJ220</f>
        <v>199.06820025</v>
      </c>
      <c r="AL220" s="12">
        <f>AK220</f>
        <v>199.06820025</v>
      </c>
      <c r="AM220" s="12">
        <f>AL220</f>
        <v>199.06820025</v>
      </c>
      <c r="AN220" s="12">
        <f>AM220</f>
        <v>199.06820025</v>
      </c>
      <c r="AO220" s="12">
        <f>AN220</f>
        <v>199.06820025</v>
      </c>
      <c r="AP220" s="12">
        <f>AO220</f>
        <v>199.06820025</v>
      </c>
      <c r="AQ220" s="12">
        <f>AP220</f>
        <v>199.06820025</v>
      </c>
      <c r="AR220" s="12">
        <f>AQ220</f>
        <v>199.06820025</v>
      </c>
      <c r="AS220" s="12">
        <f>AR220</f>
        <v>199.06820025</v>
      </c>
      <c r="AT220" s="12">
        <f>AS220</f>
        <v>199.06820025</v>
      </c>
      <c r="AU220" s="12">
        <f>AT220</f>
        <v>199.06820025</v>
      </c>
      <c r="AV220" s="12">
        <f>AU220</f>
        <v>199.06820025</v>
      </c>
      <c r="AW220" s="12">
        <f>AV220</f>
        <v>199.06820025</v>
      </c>
      <c r="AX220" s="12">
        <f>AW220</f>
        <v>199.06820025</v>
      </c>
      <c r="AY220" s="12">
        <f>AX220</f>
        <v>199.06820025</v>
      </c>
      <c r="AZ220" s="12">
        <f>AY220</f>
        <v>199.06820025</v>
      </c>
      <c r="BA220" s="12">
        <f>AZ220</f>
        <v>199.06820025</v>
      </c>
      <c r="BB220" s="12">
        <f>BA220</f>
        <v>199.06820025</v>
      </c>
      <c r="BC220" s="12">
        <f>BB220</f>
        <v>199.06820025</v>
      </c>
      <c r="BD220" s="12">
        <f>BC220</f>
        <v>199.06820025</v>
      </c>
      <c r="BE220" s="12">
        <f>BD220</f>
        <v>199.06820025</v>
      </c>
      <c r="BF220" s="12">
        <f>BE220</f>
        <v>199.06820025</v>
      </c>
      <c r="BG220" s="12" t="n"/>
      <c r="BH220" s="12" t="n"/>
      <c r="BI220" s="12" t="n"/>
      <c r="BJ220" s="12" t="n"/>
      <c r="BK220" s="12" t="n"/>
      <c r="BL220" s="12" t="n"/>
      <c r="BM220" s="12" t="n"/>
      <c r="BN220" s="12" t="n"/>
      <c r="BO220" s="12" t="n"/>
      <c r="BP220" s="12" t="n"/>
      <c r="BQ220" s="12" t="n"/>
      <c r="BR220" s="12" t="n"/>
      <c r="BS220" s="12" t="n"/>
      <c r="BT220" s="12" t="n"/>
      <c r="BU220" s="12" t="n"/>
      <c r="BV220" s="12" t="n"/>
      <c r="BW220" s="12" t="n"/>
      <c r="BX220" s="12" t="n"/>
      <c r="BY220" s="12" t="n"/>
      <c r="BZ220" s="12" t="n"/>
      <c r="CA220" s="12" t="n"/>
      <c r="CB220" s="12" t="n"/>
      <c r="CC220" s="12" t="n"/>
      <c r="CD220" s="12" t="n"/>
      <c r="CE220" s="12" t="n"/>
      <c r="CF220" s="12" t="n"/>
      <c r="CG220" s="12" t="n"/>
      <c r="CH220" s="12" t="n"/>
      <c r="CI220" s="12" t="n"/>
      <c r="CJ220" s="12" t="n"/>
      <c r="CK220" s="12" t="n"/>
      <c r="CL220" s="12" t="n"/>
      <c r="CM220" s="12" t="n"/>
      <c r="CN220" s="12" t="n"/>
      <c r="CO220" s="12" t="n"/>
      <c r="CP220" s="12" t="n"/>
      <c r="CQ220" s="12" t="n"/>
      <c r="CR220" s="12" t="n"/>
      <c r="CS220" s="12" t="n"/>
      <c r="CT220" s="12" t="n"/>
      <c r="CU220" s="12" t="n"/>
      <c r="CV220" s="12" t="n"/>
      <c r="CW220" s="12" t="n"/>
      <c r="CX220" s="12" t="n"/>
      <c r="CY220" s="12" t="n"/>
    </row>
    <row r="221" hidden="1" outlineLevel="1">
      <c r="C221" s="59" t="inlineStr">
        <is>
          <t>%(Var.)</t>
        </is>
      </c>
      <c r="D221" s="12" t="n"/>
      <c r="E221" s="40" t="n"/>
      <c r="F221" s="40" t="n"/>
      <c r="G221" s="40" t="n"/>
      <c r="H221" s="12" t="n"/>
      <c r="I221" s="40" t="str">
        <f>""</f>
        <v/>
      </c>
      <c r="J221" s="40">
        <f>IFERROR(IF(I220=0,"",J220/I220-1),"")</f>
        <v>0.173415785455058</v>
      </c>
      <c r="K221" s="40">
        <f>IFERROR(IF(J220=0,"",K220/J220-1),"")</f>
        <v>1.39829016215255</v>
      </c>
      <c r="L221" s="40">
        <f>IFERROR(IF(K220=0,"",L220/K220-1),"")</f>
        <v>-0.390330068714221</v>
      </c>
      <c r="M221" s="12">
        <f>IF(L220=0,"",M220/L220-1)</f>
        <v>0</v>
      </c>
      <c r="N221" s="40">
        <f>IFERROR(IF(M220=0,"",N220/M220-1),"")</f>
        <v>0.000101128083774382</v>
      </c>
      <c r="O221" s="40">
        <f>IFERROR(IF(N220=0,"",O220/N220-1),"")</f>
        <v>0.0746300350373379</v>
      </c>
      <c r="P221" s="40">
        <f>IFERROR(IF(O220=0,"",P220/O220-1),"")</f>
        <v>0.168633262761703</v>
      </c>
      <c r="Q221" s="40">
        <f>IFERROR(IF(P220=0,"",Q220/P220-1),"")</f>
        <v>0.173261726377152</v>
      </c>
      <c r="R221" s="12">
        <f>IF(Q220=0,"",R220/Q220-1)</f>
        <v>0</v>
      </c>
      <c r="S221" s="40">
        <f>IFERROR(IF(R220=0,"",S220/R220-1),"")</f>
        <v>0.0363240920872938</v>
      </c>
      <c r="T221" s="40">
        <f>IFERROR(IF(S220=0,"",T220/S220-1),"")</f>
        <v>0.0568178518533098</v>
      </c>
      <c r="U221" s="40">
        <f>IFERROR(IF(T220=0,"",U220/T220-1),"")</f>
        <v>0.072275402280638</v>
      </c>
      <c r="V221" s="40">
        <f>IFERROR(IF(U220=0,"",V220/U220-1),"")</f>
        <v>0.0661243337306543</v>
      </c>
      <c r="W221" s="12">
        <f>IF(V220=0,"",W220/V220-1)</f>
        <v>0</v>
      </c>
      <c r="X221" s="40">
        <f>IFERROR(IF(W220=0,"",X220/W220-1),"")</f>
        <v>-0.0287852904709602</v>
      </c>
      <c r="Y221" s="40">
        <f>IFERROR(IF(X220=0,"",Y220/X220-1),"")</f>
        <v>0.094747241867998</v>
      </c>
      <c r="Z221" s="40">
        <f>IFERROR(IF(Y220=0,"",Z220/Y220-1),"")</f>
        <v>0.12010624545569</v>
      </c>
      <c r="AA221" s="40">
        <f>IFERROR(IF(Z220=0,"",AA220/Z220-1),"")</f>
        <v>0.0237991473592749</v>
      </c>
      <c r="AB221" s="12">
        <f>IF(AA220=0,"",AB220/AA220-1)</f>
        <v>0</v>
      </c>
      <c r="AC221" s="40">
        <f>IFERROR(IF(AB220=0,"",AC220/AB220-1),"")</f>
        <v>-0.0789341442403321</v>
      </c>
      <c r="AD221" s="40">
        <f>IFERROR(IF(AC220=0,"",AD220/AC220-1),"")</f>
        <v>-0.608993752444417</v>
      </c>
      <c r="AE221" s="40">
        <f>IFERROR(IF(AD220=0,"",AE220/AD220-1),"")</f>
        <v>-0.598429654089258</v>
      </c>
      <c r="AF221" s="11">
        <f>IFERROR(IF(AE220=0,"",AF220/AE220-1),"")</f>
        <v>3.96447964393733</v>
      </c>
      <c r="AG221" s="12">
        <f>IF(AF220=0,"",AG220/AF220-1)</f>
        <v>0</v>
      </c>
      <c r="AH221" s="11">
        <f>IFERROR(IF(AG220=0,"",AH220/AG220-1),"")</f>
        <v>0.0258374339832517</v>
      </c>
      <c r="AI221" s="11">
        <f>IFERROR(IF(AH220=0,"",AI220/AH220-1),"")</f>
        <v>-0.39247197890192</v>
      </c>
      <c r="AJ221" s="11">
        <f>IFERROR(IF(AI220=0,"",AJ220/AI220-1),"")</f>
        <v>0</v>
      </c>
      <c r="AK221" s="11">
        <f>IFERROR(IF(AJ220=0,"",AK220/AJ220-1),"")</f>
        <v>0</v>
      </c>
      <c r="AL221" s="12">
        <f>IFERROR(IF(AK220=0,"",AL220/AK220-1),"")</f>
        <v>0</v>
      </c>
      <c r="AM221" s="11">
        <f>IFERROR(IF(AL220=0,"",AM220/AL220-1),"")</f>
        <v>0</v>
      </c>
      <c r="AN221" s="11">
        <f>IFERROR(IF(AM220=0,"",AN220/AM220-1),"")</f>
        <v>0</v>
      </c>
      <c r="AO221" s="11">
        <f>IFERROR(IF(AN220=0,"",AO220/AN220-1),"")</f>
        <v>0</v>
      </c>
      <c r="AP221" s="11">
        <f>IFERROR(IF(AO220=0,"",AP220/AO220-1),"")</f>
        <v>0</v>
      </c>
      <c r="AQ221" s="12">
        <f>IFERROR(IF(AP220=0,"",AQ220/AP220-1),"")</f>
        <v>0</v>
      </c>
      <c r="AR221" s="11">
        <f>IFERROR(IF(AQ220=0,"",AR220/AQ220-1),"")</f>
        <v>0</v>
      </c>
      <c r="AS221" s="11">
        <f>IFERROR(IF(AR220=0,"",AS220/AR220-1),"")</f>
        <v>0</v>
      </c>
      <c r="AT221" s="11">
        <f>IFERROR(IF(AS220=0,"",AT220/AS220-1),"")</f>
        <v>0</v>
      </c>
      <c r="AU221" s="11">
        <f>IFERROR(IF(AT220=0,"",AU220/AT220-1),"")</f>
        <v>0</v>
      </c>
      <c r="AV221" s="12">
        <f>IFERROR(IF(AU220=0,"",AV220/AU220-1),"")</f>
        <v>0</v>
      </c>
      <c r="AW221" s="11">
        <f>IFERROR(IF(AV220=0,"",AW220/AV220-1),"")</f>
        <v>0</v>
      </c>
      <c r="AX221" s="11">
        <f>IFERROR(IF(AW220=0,"",AX220/AW220-1),"")</f>
        <v>0</v>
      </c>
      <c r="AY221" s="11">
        <f>IFERROR(IF(AX220=0,"",AY220/AX220-1),"")</f>
        <v>0</v>
      </c>
      <c r="AZ221" s="11">
        <f>IFERROR(IF(AY220=0,"",AZ220/AY220-1),"")</f>
        <v>0</v>
      </c>
      <c r="BA221" s="12">
        <f>IFERROR(IF(AZ220=0,"",BA220/AZ220-1),"")</f>
        <v>0</v>
      </c>
      <c r="BB221" s="11">
        <f>IFERROR(IF(BA220=0,"",BB220/BA220-1),"")</f>
        <v>0</v>
      </c>
      <c r="BC221" s="11">
        <f>IFERROR(IF(BB220=0,"",BC220/BB220-1),"")</f>
        <v>0</v>
      </c>
      <c r="BD221" s="11">
        <f>IFERROR(IF(BC220=0,"",BD220/BC220-1),"")</f>
        <v>0</v>
      </c>
      <c r="BE221" s="11">
        <f>IFERROR(IF(BD220=0,"",BE220/BD220-1),"")</f>
        <v>0</v>
      </c>
      <c r="BF221" s="12">
        <f>IFERROR(IF(BE220=0,"",BF220/BE220-1),"")</f>
        <v>0</v>
      </c>
      <c r="BG221" s="11" t="n"/>
      <c r="BH221" s="11" t="n"/>
      <c r="BI221" s="11" t="n"/>
      <c r="BJ221" s="11" t="n"/>
      <c r="BK221" s="12" t="n"/>
      <c r="BL221" s="11" t="n"/>
      <c r="BM221" s="11" t="n"/>
      <c r="BN221" s="11" t="n"/>
      <c r="BO221" s="11" t="n"/>
      <c r="BP221" s="12" t="n"/>
      <c r="BQ221" s="11" t="n"/>
      <c r="BR221" s="11" t="n"/>
      <c r="BS221" s="11" t="n"/>
      <c r="BT221" s="11" t="n"/>
      <c r="BU221" s="12" t="n"/>
      <c r="BV221" s="11" t="n"/>
      <c r="BW221" s="11" t="n"/>
      <c r="BX221" s="11" t="n"/>
      <c r="BY221" s="11" t="n"/>
      <c r="BZ221" s="12" t="n"/>
      <c r="CA221" s="11" t="n"/>
      <c r="CB221" s="11" t="n"/>
      <c r="CC221" s="11" t="n"/>
      <c r="CD221" s="11" t="n"/>
      <c r="CE221" s="12" t="n"/>
      <c r="CF221" s="11" t="n"/>
      <c r="CG221" s="11" t="n"/>
      <c r="CH221" s="11" t="n"/>
      <c r="CI221" s="11" t="n"/>
      <c r="CJ221" s="12" t="n"/>
      <c r="CK221" s="11" t="n"/>
      <c r="CL221" s="11" t="n"/>
      <c r="CM221" s="11" t="n"/>
      <c r="CN221" s="11" t="n"/>
      <c r="CO221" s="12" t="n"/>
      <c r="CP221" s="11" t="n"/>
      <c r="CQ221" s="11" t="n"/>
      <c r="CR221" s="11" t="n"/>
      <c r="CS221" s="11" t="n"/>
      <c r="CT221" s="12" t="n"/>
      <c r="CU221" s="11" t="n"/>
      <c r="CV221" s="11" t="n"/>
      <c r="CW221" s="11" t="n"/>
      <c r="CX221" s="11" t="n"/>
      <c r="CY221" s="12" t="n"/>
    </row>
    <row r="222" hidden="1" outlineLevel="1">
      <c r="C222" s="57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  <c r="AJ222" s="12" t="n"/>
      <c r="AK222" s="12" t="n"/>
      <c r="AL222" s="12" t="n"/>
      <c r="AM222" s="12" t="n"/>
      <c r="AN222" s="12" t="n"/>
      <c r="AO222" s="12" t="n"/>
      <c r="AP222" s="12" t="n"/>
      <c r="AQ222" s="12" t="n"/>
      <c r="AR222" s="12" t="n"/>
      <c r="AS222" s="12" t="n"/>
      <c r="AT222" s="12" t="n"/>
      <c r="AU222" s="12" t="n"/>
      <c r="AV222" s="12" t="n"/>
      <c r="AW222" s="12" t="n"/>
      <c r="AX222" s="12" t="n"/>
      <c r="AY222" s="12" t="n"/>
      <c r="AZ222" s="12" t="n"/>
      <c r="BA222" s="12" t="n"/>
      <c r="BB222" s="12" t="n"/>
      <c r="BC222" s="12" t="n"/>
      <c r="BD222" s="12" t="n"/>
      <c r="BE222" s="12" t="n"/>
      <c r="BF222" s="12" t="n"/>
      <c r="BG222" s="12" t="n"/>
      <c r="BH222" s="12" t="n"/>
      <c r="BI222" s="12" t="n"/>
      <c r="BJ222" s="12" t="n"/>
      <c r="BK222" s="12" t="n"/>
      <c r="BL222" s="12" t="n"/>
      <c r="BM222" s="12" t="n"/>
      <c r="BN222" s="12" t="n"/>
      <c r="BO222" s="12" t="n"/>
      <c r="BP222" s="12" t="n"/>
      <c r="BQ222" s="12" t="n"/>
      <c r="BR222" s="12" t="n"/>
      <c r="BS222" s="12" t="n"/>
      <c r="BT222" s="12" t="n"/>
      <c r="BU222" s="12" t="n"/>
      <c r="BV222" s="12" t="n"/>
      <c r="BW222" s="12" t="n"/>
      <c r="BX222" s="12" t="n"/>
      <c r="BY222" s="12" t="n"/>
      <c r="BZ222" s="12" t="n"/>
      <c r="CA222" s="12" t="n"/>
      <c r="CB222" s="12" t="n"/>
      <c r="CC222" s="12" t="n"/>
      <c r="CD222" s="12" t="n"/>
      <c r="CE222" s="12" t="n"/>
      <c r="CF222" s="12" t="n"/>
      <c r="CG222" s="12" t="n"/>
      <c r="CH222" s="12" t="n"/>
      <c r="CI222" s="12" t="n"/>
      <c r="CJ222" s="12" t="n"/>
      <c r="CK222" s="12" t="n"/>
      <c r="CL222" s="12" t="n"/>
      <c r="CM222" s="12" t="n"/>
      <c r="CN222" s="12" t="n"/>
      <c r="CO222" s="12" t="n"/>
      <c r="CP222" s="12" t="n"/>
      <c r="CQ222" s="12" t="n"/>
      <c r="CR222" s="12" t="n"/>
      <c r="CS222" s="12" t="n"/>
      <c r="CT222" s="12" t="n"/>
      <c r="CU222" s="12" t="n"/>
      <c r="CV222" s="12" t="n"/>
      <c r="CW222" s="12" t="n"/>
      <c r="CX222" s="12" t="n"/>
      <c r="CY222" s="12" t="n"/>
    </row>
    <row r="223" collapsed="1">
      <c r="C223" s="14" t="inlineStr">
        <is>
          <t>Long term debt</t>
        </is>
      </c>
      <c r="D223" s="46" t="n"/>
      <c r="E223" s="46" t="n"/>
      <c r="F223" s="46" t="n"/>
      <c r="G223" s="46" t="n"/>
      <c r="H223" s="12" t="n"/>
      <c r="I223" s="46">
        <f>'Inputs (2)'!D35</f>
        <v>21729.77041724</v>
      </c>
      <c r="J223" s="46">
        <f>'Inputs (2)'!E35</f>
        <v>21263.36715647</v>
      </c>
      <c r="K223" s="46">
        <f>'Inputs (2)'!F35</f>
        <v>27305.482</v>
      </c>
      <c r="L223" s="46">
        <f>'Inputs (2)'!G35</f>
        <v>31973.666</v>
      </c>
      <c r="M223" s="12">
        <f>'Inputs (2)'!H35</f>
        <v>31973.666</v>
      </c>
      <c r="N223" s="46">
        <f>'Inputs (2)'!I35</f>
        <v>30298.448</v>
      </c>
      <c r="O223" s="46">
        <f>'Inputs (2)'!J35</f>
        <v>34054.21</v>
      </c>
      <c r="P223" s="46">
        <f>'Inputs (2)'!K35</f>
        <v>37015.292</v>
      </c>
      <c r="Q223" s="46">
        <f>'Inputs (2)'!L35</f>
        <v>34273.332</v>
      </c>
      <c r="R223" s="12">
        <f>'Inputs (2)'!M35</f>
        <v>34273.332</v>
      </c>
      <c r="S223" s="46">
        <f>'Inputs (2)'!N35</f>
        <v>35043.586112855</v>
      </c>
      <c r="T223" s="46">
        <f>'Inputs (2)'!O35</f>
        <v>35947.957633017</v>
      </c>
      <c r="U223" s="46">
        <f>'Inputs (2)'!P35</f>
        <v>36140.760213768</v>
      </c>
      <c r="V223" s="46">
        <f>'Inputs (2)'!Q35</f>
        <v>39620.685884362</v>
      </c>
      <c r="W223" s="12">
        <f>'Inputs (2)'!R35</f>
        <v>39620.685884362</v>
      </c>
      <c r="X223" s="46">
        <f>'Inputs (2)'!S35</f>
        <v>42338.715445725</v>
      </c>
      <c r="Y223" s="46">
        <f>'Inputs (2)'!T35</f>
        <v>43104.399683529</v>
      </c>
      <c r="Z223" s="46">
        <f>'Inputs (2)'!U35</f>
        <v>46165.038921515</v>
      </c>
      <c r="AA223" s="46">
        <f>'Inputs (2)'!V35</f>
        <v>47635.4360162</v>
      </c>
      <c r="AB223" s="12">
        <f>'Inputs (2)'!W35</f>
        <v>47635.4360162</v>
      </c>
      <c r="AC223" s="46">
        <f>'Inputs (2)'!X35</f>
        <v>48099.6743609</v>
      </c>
      <c r="AD223" s="46">
        <f>'Inputs (2)'!Y35</f>
        <v>47635.92752496</v>
      </c>
      <c r="AE223" s="46">
        <f>'Inputs (2)'!Z35</f>
        <v>45591.68362549</v>
      </c>
      <c r="AF223" s="46">
        <f>'Inputs (2)'!AA35</f>
        <v>46614.11133361</v>
      </c>
      <c r="AG223" s="12">
        <f>'Inputs (2)'!AB35</f>
        <v>46614.11133361</v>
      </c>
      <c r="AH223" s="12">
        <f>'Inputs (2)'!AC35</f>
        <v>49031.23543621</v>
      </c>
      <c r="AI223" s="12">
        <f>'Inputs (2)'!AD35</f>
        <v>48591.51937482</v>
      </c>
      <c r="AJ223" s="12">
        <f>AJ229</f>
        <v>48591.51937482</v>
      </c>
      <c r="AK223" s="12">
        <f>AK229</f>
        <v>48591.51937482</v>
      </c>
      <c r="AL223" s="12">
        <f>AK223</f>
        <v>48591.51937482</v>
      </c>
      <c r="AM223" s="12">
        <f>AM229</f>
        <v>48591.51937482</v>
      </c>
      <c r="AN223" s="12">
        <f>AN229</f>
        <v>48591.51937482</v>
      </c>
      <c r="AO223" s="12">
        <f>AO229</f>
        <v>48591.51937482</v>
      </c>
      <c r="AP223" s="12">
        <f>AP229</f>
        <v>48591.51937482</v>
      </c>
      <c r="AQ223" s="12">
        <f>AP223</f>
        <v>48591.51937482</v>
      </c>
      <c r="AR223" s="12">
        <f>AR229</f>
        <v>48591.51937482</v>
      </c>
      <c r="AS223" s="12">
        <f>AS229</f>
        <v>48591.51937482</v>
      </c>
      <c r="AT223" s="12">
        <f>AT229</f>
        <v>48591.51937482</v>
      </c>
      <c r="AU223" s="12">
        <f>AU229</f>
        <v>48591.51937482</v>
      </c>
      <c r="AV223" s="12">
        <f>AU223</f>
        <v>48591.51937482</v>
      </c>
      <c r="AW223" s="12">
        <f>AW229</f>
        <v>48591.51937482</v>
      </c>
      <c r="AX223" s="12">
        <f>AX229</f>
        <v>48591.51937482</v>
      </c>
      <c r="AY223" s="12">
        <f>AY229</f>
        <v>48591.51937482</v>
      </c>
      <c r="AZ223" s="12">
        <f>AZ229</f>
        <v>48591.51937482</v>
      </c>
      <c r="BA223" s="12">
        <f>AZ223</f>
        <v>48591.51937482</v>
      </c>
      <c r="BB223" s="12">
        <f>BB229</f>
        <v>48591.51937482</v>
      </c>
      <c r="BC223" s="12">
        <f>BC229</f>
        <v>48591.51937482</v>
      </c>
      <c r="BD223" s="12">
        <f>BD229</f>
        <v>48591.51937482</v>
      </c>
      <c r="BE223" s="12">
        <f>BE229</f>
        <v>48591.51937482</v>
      </c>
      <c r="BF223" s="12">
        <f>BE223</f>
        <v>48591.51937482</v>
      </c>
      <c r="BG223" s="12" t="n"/>
      <c r="BH223" s="12" t="n"/>
      <c r="BI223" s="12" t="n"/>
      <c r="BJ223" s="12" t="n"/>
      <c r="BK223" s="12" t="n"/>
      <c r="BL223" s="12" t="n"/>
      <c r="BM223" s="12" t="n"/>
      <c r="BN223" s="12" t="n"/>
      <c r="BO223" s="12" t="n"/>
      <c r="BP223" s="12" t="n"/>
      <c r="BQ223" s="12" t="n"/>
      <c r="BR223" s="12" t="n"/>
      <c r="BS223" s="12" t="n"/>
      <c r="BT223" s="12" t="n"/>
      <c r="BU223" s="12" t="n"/>
      <c r="BV223" s="12" t="n"/>
      <c r="BW223" s="12" t="n"/>
      <c r="BX223" s="12" t="n"/>
      <c r="BY223" s="12" t="n"/>
      <c r="BZ223" s="12" t="n"/>
      <c r="CA223" s="12" t="n"/>
      <c r="CB223" s="12" t="n"/>
      <c r="CC223" s="12" t="n"/>
      <c r="CD223" s="12" t="n"/>
      <c r="CE223" s="12" t="n"/>
      <c r="CF223" s="12" t="n"/>
      <c r="CG223" s="12" t="n"/>
      <c r="CH223" s="12" t="n"/>
      <c r="CI223" s="12" t="n"/>
      <c r="CJ223" s="12" t="n"/>
      <c r="CK223" s="12" t="n"/>
      <c r="CL223" s="12" t="n"/>
      <c r="CM223" s="12" t="n"/>
      <c r="CN223" s="12" t="n"/>
      <c r="CO223" s="12" t="n"/>
      <c r="CP223" s="12" t="n"/>
      <c r="CQ223" s="12" t="n"/>
      <c r="CR223" s="12" t="n"/>
      <c r="CS223" s="12" t="n"/>
      <c r="CT223" s="12" t="n"/>
      <c r="CU223" s="12" t="n"/>
      <c r="CV223" s="12" t="n"/>
      <c r="CW223" s="12" t="n"/>
      <c r="CX223" s="12" t="n"/>
      <c r="CY223" s="12" t="n"/>
    </row>
    <row r="224" hidden="1" outlineLevel="1">
      <c r="C224" s="57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  <c r="AJ224" s="12" t="n"/>
      <c r="AK224" s="12" t="n"/>
      <c r="AL224" s="12" t="n"/>
      <c r="AM224" s="12" t="n"/>
      <c r="AN224" s="12" t="n"/>
      <c r="AO224" s="12" t="n"/>
      <c r="AP224" s="12" t="n"/>
      <c r="AQ224" s="12" t="n"/>
      <c r="AR224" s="12" t="n"/>
      <c r="AS224" s="12" t="n"/>
      <c r="AT224" s="12" t="n"/>
      <c r="AU224" s="12" t="n"/>
      <c r="AV224" s="12" t="n"/>
      <c r="AW224" s="12" t="n"/>
      <c r="AX224" s="12" t="n"/>
      <c r="AY224" s="12" t="n"/>
      <c r="AZ224" s="12" t="n"/>
      <c r="BA224" s="12" t="n"/>
      <c r="BB224" s="12" t="n"/>
      <c r="BC224" s="12" t="n"/>
      <c r="BD224" s="12" t="n"/>
      <c r="BE224" s="12" t="n"/>
      <c r="BF224" s="12" t="n"/>
      <c r="BG224" s="12" t="n"/>
      <c r="BH224" s="12" t="n"/>
      <c r="BI224" s="12" t="n"/>
      <c r="BJ224" s="12" t="n"/>
      <c r="BK224" s="12" t="n"/>
      <c r="BL224" s="12" t="n"/>
      <c r="BM224" s="12" t="n"/>
      <c r="BN224" s="12" t="n"/>
      <c r="BO224" s="12" t="n"/>
      <c r="BP224" s="12" t="n"/>
      <c r="BQ224" s="12" t="n"/>
      <c r="BR224" s="12" t="n"/>
      <c r="BS224" s="12" t="n"/>
      <c r="BT224" s="12" t="n"/>
      <c r="BU224" s="12" t="n"/>
      <c r="BV224" s="12" t="n"/>
      <c r="BW224" s="12" t="n"/>
      <c r="BX224" s="12" t="n"/>
      <c r="BY224" s="12" t="n"/>
      <c r="BZ224" s="12" t="n"/>
      <c r="CA224" s="12" t="n"/>
      <c r="CB224" s="12" t="n"/>
      <c r="CC224" s="12" t="n"/>
      <c r="CD224" s="12" t="n"/>
      <c r="CE224" s="12" t="n"/>
      <c r="CF224" s="12" t="n"/>
      <c r="CG224" s="12" t="n"/>
      <c r="CH224" s="12" t="n"/>
      <c r="CI224" s="12" t="n"/>
      <c r="CJ224" s="12" t="n"/>
      <c r="CK224" s="12" t="n"/>
      <c r="CL224" s="12" t="n"/>
      <c r="CM224" s="12" t="n"/>
      <c r="CN224" s="12" t="n"/>
      <c r="CO224" s="12" t="n"/>
      <c r="CP224" s="12" t="n"/>
      <c r="CQ224" s="12" t="n"/>
      <c r="CR224" s="12" t="n"/>
      <c r="CS224" s="12" t="n"/>
      <c r="CT224" s="12" t="n"/>
      <c r="CU224" s="12" t="n"/>
      <c r="CV224" s="12" t="n"/>
      <c r="CW224" s="12" t="n"/>
      <c r="CX224" s="12" t="n"/>
      <c r="CY224" s="12" t="n"/>
    </row>
    <row r="225" hidden="1" outlineLevel="1">
      <c r="C225" s="57" t="inlineStr">
        <is>
          <t>Current portion of LTD</t>
        </is>
      </c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>
        <f>AF218</f>
        <v>9109.41335713</v>
      </c>
      <c r="AI225" s="62" t="n"/>
      <c r="AJ225" s="62" t="n"/>
      <c r="AK225" s="62" t="n"/>
      <c r="AL225" s="12" t="n"/>
      <c r="AM225" s="12">
        <f>AK218</f>
        <v>7556.41057503</v>
      </c>
      <c r="AN225" s="62" t="n"/>
      <c r="AO225" s="62" t="n"/>
      <c r="AP225" s="62" t="n"/>
      <c r="AQ225" s="12" t="n"/>
      <c r="AR225" s="12">
        <f>AP218</f>
        <v>7556.41057503</v>
      </c>
      <c r="AS225" s="62" t="n"/>
      <c r="AT225" s="62" t="n"/>
      <c r="AU225" s="62" t="n"/>
      <c r="AV225" s="12" t="n"/>
      <c r="AW225" s="12">
        <f>AU218</f>
        <v>7556.41057503</v>
      </c>
      <c r="AX225" s="62" t="n"/>
      <c r="AY225" s="62" t="n"/>
      <c r="AZ225" s="62" t="n"/>
      <c r="BA225" s="12" t="n"/>
      <c r="BB225" s="12">
        <f>AZ218</f>
        <v>7556.41057503</v>
      </c>
      <c r="BC225" s="62" t="n"/>
      <c r="BD225" s="62" t="n"/>
      <c r="BE225" s="62" t="n"/>
      <c r="BF225" s="12" t="n"/>
      <c r="BG225" s="12" t="n"/>
      <c r="BH225" s="62" t="n"/>
      <c r="BI225" s="62" t="n"/>
      <c r="BJ225" s="62" t="n"/>
      <c r="BK225" s="12" t="n"/>
      <c r="BL225" s="12" t="n"/>
      <c r="BM225" s="62" t="n"/>
      <c r="BN225" s="62" t="n"/>
      <c r="BO225" s="62" t="n"/>
      <c r="BP225" s="12" t="n"/>
      <c r="BQ225" s="12" t="n"/>
      <c r="BR225" s="62" t="n"/>
      <c r="BS225" s="62" t="n"/>
      <c r="BT225" s="62" t="n"/>
      <c r="BU225" s="12" t="n"/>
      <c r="BV225" s="12" t="n"/>
      <c r="BW225" s="62" t="n"/>
      <c r="BX225" s="62" t="n"/>
      <c r="BY225" s="62" t="n"/>
      <c r="BZ225" s="12" t="n"/>
      <c r="CA225" s="12" t="n"/>
      <c r="CB225" s="62" t="n"/>
      <c r="CC225" s="62" t="n"/>
      <c r="CD225" s="62" t="n"/>
      <c r="CE225" s="12" t="n"/>
      <c r="CF225" s="12" t="n"/>
      <c r="CG225" s="62" t="n"/>
      <c r="CH225" s="62" t="n"/>
      <c r="CI225" s="62" t="n"/>
      <c r="CJ225" s="12" t="n"/>
      <c r="CK225" s="12" t="n"/>
      <c r="CL225" s="62" t="n"/>
      <c r="CM225" s="62" t="n"/>
      <c r="CN225" s="62" t="n"/>
      <c r="CO225" s="12" t="n"/>
      <c r="CP225" s="12" t="n"/>
      <c r="CQ225" s="62" t="n"/>
      <c r="CR225" s="62" t="n"/>
      <c r="CS225" s="62" t="n"/>
      <c r="CT225" s="12" t="n"/>
      <c r="CU225" s="12" t="n"/>
      <c r="CV225" s="62" t="n"/>
      <c r="CW225" s="62" t="n"/>
      <c r="CX225" s="62" t="n"/>
      <c r="CY225" s="12" t="n"/>
    </row>
    <row r="226" hidden="1" outlineLevel="1">
      <c r="C226" s="57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  <c r="AJ226" s="12" t="n"/>
      <c r="AK226" s="12" t="n"/>
      <c r="AL226" s="12" t="n"/>
      <c r="AM226" s="12" t="n"/>
      <c r="AN226" s="12" t="n"/>
      <c r="AO226" s="12" t="n"/>
      <c r="AP226" s="12" t="n"/>
      <c r="AQ226" s="12" t="n"/>
      <c r="AR226" s="12" t="n"/>
      <c r="AS226" s="12" t="n"/>
      <c r="AT226" s="12" t="n"/>
      <c r="AU226" s="12" t="n"/>
      <c r="AV226" s="12" t="n"/>
      <c r="AW226" s="12" t="n"/>
      <c r="AX226" s="12" t="n"/>
      <c r="AY226" s="12" t="n"/>
      <c r="AZ226" s="12" t="n"/>
      <c r="BA226" s="12" t="n"/>
      <c r="BB226" s="12" t="n"/>
      <c r="BC226" s="12" t="n"/>
      <c r="BD226" s="12" t="n"/>
      <c r="BE226" s="12" t="n"/>
      <c r="BF226" s="12" t="n"/>
      <c r="BG226" s="12" t="n"/>
      <c r="BH226" s="12" t="n"/>
      <c r="BI226" s="12" t="n"/>
      <c r="BJ226" s="12" t="n"/>
      <c r="BK226" s="12" t="n"/>
      <c r="BL226" s="12" t="n"/>
      <c r="BM226" s="12" t="n"/>
      <c r="BN226" s="12" t="n"/>
      <c r="BO226" s="12" t="n"/>
      <c r="BP226" s="12" t="n"/>
      <c r="BQ226" s="12" t="n"/>
      <c r="BR226" s="12" t="n"/>
      <c r="BS226" s="12" t="n"/>
      <c r="BT226" s="12" t="n"/>
      <c r="BU226" s="12" t="n"/>
      <c r="BV226" s="12" t="n"/>
      <c r="BW226" s="12" t="n"/>
      <c r="BX226" s="12" t="n"/>
      <c r="BY226" s="12" t="n"/>
      <c r="BZ226" s="12" t="n"/>
      <c r="CA226" s="12" t="n"/>
      <c r="CB226" s="12" t="n"/>
      <c r="CC226" s="12" t="n"/>
      <c r="CD226" s="12" t="n"/>
      <c r="CE226" s="12" t="n"/>
      <c r="CF226" s="12" t="n"/>
      <c r="CG226" s="12" t="n"/>
      <c r="CH226" s="12" t="n"/>
      <c r="CI226" s="12" t="n"/>
      <c r="CJ226" s="12" t="n"/>
      <c r="CK226" s="12" t="n"/>
      <c r="CL226" s="12" t="n"/>
      <c r="CM226" s="12" t="n"/>
      <c r="CN226" s="12" t="n"/>
      <c r="CO226" s="12" t="n"/>
      <c r="CP226" s="12" t="n"/>
      <c r="CQ226" s="12" t="n"/>
      <c r="CR226" s="12" t="n"/>
      <c r="CS226" s="12" t="n"/>
      <c r="CT226" s="12" t="n"/>
      <c r="CU226" s="12" t="n"/>
      <c r="CV226" s="12" t="n"/>
      <c r="CW226" s="12" t="n"/>
      <c r="CX226" s="12" t="n"/>
      <c r="CY226" s="12" t="n"/>
    </row>
    <row r="227" hidden="1" outlineLevel="1">
      <c r="C227" s="57" t="inlineStr">
        <is>
          <t>Reclassification of LTD to CP of LTD</t>
        </is>
      </c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>
        <f>-AI225</f>
        <v>0</v>
      </c>
      <c r="AJ227" s="12">
        <f>-AJ225</f>
        <v>0</v>
      </c>
      <c r="AK227" s="12">
        <f>-AK225</f>
        <v>0</v>
      </c>
      <c r="AL227" s="12" t="n"/>
      <c r="AM227" s="12" t="n"/>
      <c r="AN227" s="12">
        <f>-AN225</f>
        <v>0</v>
      </c>
      <c r="AO227" s="12">
        <f>-AO225</f>
        <v>0</v>
      </c>
      <c r="AP227" s="12">
        <f>-AP225</f>
        <v>0</v>
      </c>
      <c r="AQ227" s="12" t="n"/>
      <c r="AR227" s="12" t="n"/>
      <c r="AS227" s="12">
        <f>-AS225</f>
        <v>0</v>
      </c>
      <c r="AT227" s="12">
        <f>-AT225</f>
        <v>0</v>
      </c>
      <c r="AU227" s="12">
        <f>-AU225</f>
        <v>0</v>
      </c>
      <c r="AV227" s="12" t="n"/>
      <c r="AW227" s="12" t="n"/>
      <c r="AX227" s="12">
        <f>-AX225</f>
        <v>0</v>
      </c>
      <c r="AY227" s="12">
        <f>-AY225</f>
        <v>0</v>
      </c>
      <c r="AZ227" s="12">
        <f>-AZ225</f>
        <v>0</v>
      </c>
      <c r="BA227" s="12" t="n"/>
      <c r="BB227" s="12" t="n"/>
      <c r="BC227" s="12">
        <f>-BC225</f>
        <v>0</v>
      </c>
      <c r="BD227" s="12">
        <f>-BD225</f>
        <v>0</v>
      </c>
      <c r="BE227" s="12">
        <f>-BE225</f>
        <v>0</v>
      </c>
      <c r="BF227" s="12" t="n"/>
      <c r="BG227" s="12" t="n"/>
      <c r="BH227" s="12" t="n"/>
      <c r="BI227" s="12" t="n"/>
      <c r="BJ227" s="12" t="n"/>
      <c r="BK227" s="12" t="n"/>
      <c r="BL227" s="12" t="n"/>
      <c r="BM227" s="12" t="n"/>
      <c r="BN227" s="12" t="n"/>
      <c r="BO227" s="12" t="n"/>
      <c r="BP227" s="12" t="n"/>
      <c r="BQ227" s="12" t="n"/>
      <c r="BR227" s="12" t="n"/>
      <c r="BS227" s="12" t="n"/>
      <c r="BT227" s="12" t="n"/>
      <c r="BU227" s="12" t="n"/>
      <c r="BV227" s="12" t="n"/>
      <c r="BW227" s="12" t="n"/>
      <c r="BX227" s="12" t="n"/>
      <c r="BY227" s="12" t="n"/>
      <c r="BZ227" s="12" t="n"/>
      <c r="CA227" s="12" t="n"/>
      <c r="CB227" s="12" t="n"/>
      <c r="CC227" s="12" t="n"/>
      <c r="CD227" s="12" t="n"/>
      <c r="CE227" s="12" t="n"/>
      <c r="CF227" s="12" t="n"/>
      <c r="CG227" s="12" t="n"/>
      <c r="CH227" s="12" t="n"/>
      <c r="CI227" s="12" t="n"/>
      <c r="CJ227" s="12" t="n"/>
      <c r="CK227" s="12" t="n"/>
      <c r="CL227" s="12" t="n"/>
      <c r="CM227" s="12" t="n"/>
      <c r="CN227" s="12" t="n"/>
      <c r="CO227" s="12" t="n"/>
      <c r="CP227" s="12" t="n"/>
      <c r="CQ227" s="12" t="n"/>
      <c r="CR227" s="12" t="n"/>
      <c r="CS227" s="12" t="n"/>
      <c r="CT227" s="12" t="n"/>
      <c r="CU227" s="12" t="n"/>
      <c r="CV227" s="12" t="n"/>
      <c r="CW227" s="12" t="n"/>
      <c r="CX227" s="12" t="n"/>
      <c r="CY227" s="12" t="n"/>
    </row>
    <row r="228" hidden="1" outlineLevel="1">
      <c r="C228" s="57" t="inlineStr">
        <is>
          <t>Discretionary (paydown)/borrowing of long term debt</t>
        </is>
      </c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62" t="n"/>
      <c r="AI228" s="62" t="n"/>
      <c r="AJ228" s="62" t="n"/>
      <c r="AK228" s="62" t="n"/>
      <c r="AL228" s="12" t="n"/>
      <c r="AM228" s="62" t="n"/>
      <c r="AN228" s="62" t="n"/>
      <c r="AO228" s="62" t="n"/>
      <c r="AP228" s="62" t="n"/>
      <c r="AQ228" s="12" t="n"/>
      <c r="AR228" s="62" t="n"/>
      <c r="AS228" s="62" t="n"/>
      <c r="AT228" s="62" t="n"/>
      <c r="AU228" s="62" t="n"/>
      <c r="AV228" s="12" t="n"/>
      <c r="AW228" s="62" t="n"/>
      <c r="AX228" s="62" t="n"/>
      <c r="AY228" s="62" t="n"/>
      <c r="AZ228" s="62" t="n"/>
      <c r="BA228" s="12" t="n"/>
      <c r="BB228" s="62" t="n"/>
      <c r="BC228" s="62" t="n"/>
      <c r="BD228" s="62" t="n"/>
      <c r="BE228" s="62" t="n"/>
      <c r="BF228" s="12" t="n"/>
      <c r="BG228" s="62" t="n"/>
      <c r="BH228" s="62" t="n"/>
      <c r="BI228" s="62" t="n"/>
      <c r="BJ228" s="62" t="n"/>
      <c r="BK228" s="12" t="n"/>
      <c r="BL228" s="62" t="n"/>
      <c r="BM228" s="62" t="n"/>
      <c r="BN228" s="62" t="n"/>
      <c r="BO228" s="62" t="n"/>
      <c r="BP228" s="12" t="n"/>
      <c r="BQ228" s="62" t="n"/>
      <c r="BR228" s="62" t="n"/>
      <c r="BS228" s="62" t="n"/>
      <c r="BT228" s="62" t="n"/>
      <c r="BU228" s="12" t="n"/>
      <c r="BV228" s="62" t="n"/>
      <c r="BW228" s="62" t="n"/>
      <c r="BX228" s="62" t="n"/>
      <c r="BY228" s="62" t="n"/>
      <c r="BZ228" s="12" t="n"/>
      <c r="CA228" s="62" t="n"/>
      <c r="CB228" s="62" t="n"/>
      <c r="CC228" s="62" t="n"/>
      <c r="CD228" s="62" t="n"/>
      <c r="CE228" s="12" t="n"/>
      <c r="CF228" s="62" t="n"/>
      <c r="CG228" s="62" t="n"/>
      <c r="CH228" s="62" t="n"/>
      <c r="CI228" s="62" t="n"/>
      <c r="CJ228" s="12" t="n"/>
      <c r="CK228" s="62" t="n"/>
      <c r="CL228" s="62" t="n"/>
      <c r="CM228" s="62" t="n"/>
      <c r="CN228" s="62" t="n"/>
      <c r="CO228" s="12" t="n"/>
      <c r="CP228" s="62" t="n"/>
      <c r="CQ228" s="62" t="n"/>
      <c r="CR228" s="62" t="n"/>
      <c r="CS228" s="62" t="n"/>
      <c r="CT228" s="12" t="n"/>
      <c r="CU228" s="62" t="n"/>
      <c r="CV228" s="62" t="n"/>
      <c r="CW228" s="62" t="n"/>
      <c r="CX228" s="62" t="n"/>
      <c r="CY228" s="12" t="n"/>
    </row>
    <row r="229" hidden="1" outlineLevel="1">
      <c r="C229" s="57" t="inlineStr">
        <is>
          <t>Long term debt</t>
        </is>
      </c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>
        <f>AH223</f>
        <v>49031.23543621</v>
      </c>
      <c r="AI229" s="12">
        <f>AI223</f>
        <v>48591.51937482</v>
      </c>
      <c r="AJ229" s="12">
        <f>AI229+SUM(AJ227:AJ228)</f>
        <v>48591.51937482</v>
      </c>
      <c r="AK229" s="12">
        <f>AJ229+SUM(AK227:AK228)</f>
        <v>48591.51937482</v>
      </c>
      <c r="AL229" s="12" t="n"/>
      <c r="AM229" s="12">
        <f>AK229+SUM(AM227:AM228)</f>
        <v>48591.51937482</v>
      </c>
      <c r="AN229" s="12">
        <f>AM229+SUM(AN227:AN228)</f>
        <v>48591.51937482</v>
      </c>
      <c r="AO229" s="12">
        <f>AN229+SUM(AO227:AO228)</f>
        <v>48591.51937482</v>
      </c>
      <c r="AP229" s="12">
        <f>AO229+SUM(AP227:AP228)</f>
        <v>48591.51937482</v>
      </c>
      <c r="AQ229" s="12" t="n"/>
      <c r="AR229" s="12">
        <f>AP229+SUM(AR227:AR228)</f>
        <v>48591.51937482</v>
      </c>
      <c r="AS229" s="12">
        <f>AR229+SUM(AS227:AS228)</f>
        <v>48591.51937482</v>
      </c>
      <c r="AT229" s="12">
        <f>AS229+SUM(AT227:AT228)</f>
        <v>48591.51937482</v>
      </c>
      <c r="AU229" s="12">
        <f>AT229+SUM(AU227:AU228)</f>
        <v>48591.51937482</v>
      </c>
      <c r="AV229" s="12" t="n"/>
      <c r="AW229" s="12">
        <f>AU229+SUM(AW227:AW228)</f>
        <v>48591.51937482</v>
      </c>
      <c r="AX229" s="12">
        <f>AW229+SUM(AX227:AX228)</f>
        <v>48591.51937482</v>
      </c>
      <c r="AY229" s="12">
        <f>AX229+SUM(AY227:AY228)</f>
        <v>48591.51937482</v>
      </c>
      <c r="AZ229" s="12">
        <f>AY229+SUM(AZ227:AZ228)</f>
        <v>48591.51937482</v>
      </c>
      <c r="BA229" s="12" t="n"/>
      <c r="BB229" s="12">
        <f>AZ229+SUM(BB227:BB228)</f>
        <v>48591.51937482</v>
      </c>
      <c r="BC229" s="12">
        <f>BB229+SUM(BC227:BC228)</f>
        <v>48591.51937482</v>
      </c>
      <c r="BD229" s="12">
        <f>BC229+SUM(BD227:BD228)</f>
        <v>48591.51937482</v>
      </c>
      <c r="BE229" s="12">
        <f>BD229+SUM(BE227:BE228)</f>
        <v>48591.51937482</v>
      </c>
      <c r="BF229" s="12" t="n"/>
      <c r="BG229" s="12" t="n"/>
      <c r="BH229" s="12" t="n"/>
      <c r="BI229" s="12" t="n"/>
      <c r="BJ229" s="12" t="n"/>
      <c r="BK229" s="12" t="n"/>
      <c r="BL229" s="12" t="n"/>
      <c r="BM229" s="12" t="n"/>
      <c r="BN229" s="12" t="n"/>
      <c r="BO229" s="12" t="n"/>
      <c r="BP229" s="12" t="n"/>
      <c r="BQ229" s="12" t="n"/>
      <c r="BR229" s="12" t="n"/>
      <c r="BS229" s="12" t="n"/>
      <c r="BT229" s="12" t="n"/>
      <c r="BU229" s="12" t="n"/>
      <c r="BV229" s="12" t="n"/>
      <c r="BW229" s="12" t="n"/>
      <c r="BX229" s="12" t="n"/>
      <c r="BY229" s="12" t="n"/>
      <c r="BZ229" s="12" t="n"/>
      <c r="CA229" s="12" t="n"/>
      <c r="CB229" s="12" t="n"/>
      <c r="CC229" s="12" t="n"/>
      <c r="CD229" s="12" t="n"/>
      <c r="CE229" s="12" t="n"/>
      <c r="CF229" s="12" t="n"/>
      <c r="CG229" s="12" t="n"/>
      <c r="CH229" s="12" t="n"/>
      <c r="CI229" s="12" t="n"/>
      <c r="CJ229" s="12" t="n"/>
      <c r="CK229" s="12" t="n"/>
      <c r="CL229" s="12" t="n"/>
      <c r="CM229" s="12" t="n"/>
      <c r="CN229" s="12" t="n"/>
      <c r="CO229" s="12" t="n"/>
      <c r="CP229" s="12" t="n"/>
      <c r="CQ229" s="12" t="n"/>
      <c r="CR229" s="12" t="n"/>
      <c r="CS229" s="12" t="n"/>
      <c r="CT229" s="12" t="n"/>
      <c r="CU229" s="12" t="n"/>
      <c r="CV229" s="12" t="n"/>
      <c r="CW229" s="12" t="n"/>
      <c r="CX229" s="12" t="n"/>
      <c r="CY229" s="12" t="n"/>
    </row>
    <row r="230" hidden="1" outlineLevel="1">
      <c r="C230" s="57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  <c r="AJ230" s="12" t="n"/>
      <c r="AK230" s="12" t="n"/>
      <c r="AL230" s="12" t="n"/>
      <c r="AM230" s="12" t="n"/>
      <c r="AN230" s="12" t="n"/>
      <c r="AO230" s="12" t="n"/>
      <c r="AP230" s="12" t="n"/>
      <c r="AQ230" s="12" t="n"/>
      <c r="AR230" s="12" t="n"/>
      <c r="AS230" s="12" t="n"/>
      <c r="AT230" s="12" t="n"/>
      <c r="AU230" s="12" t="n"/>
      <c r="AV230" s="12" t="n"/>
      <c r="AW230" s="12" t="n"/>
      <c r="AX230" s="12" t="n"/>
      <c r="AY230" s="12" t="n"/>
      <c r="AZ230" s="12" t="n"/>
      <c r="BA230" s="12" t="n"/>
      <c r="BB230" s="12" t="n"/>
      <c r="BC230" s="12" t="n"/>
      <c r="BD230" s="12" t="n"/>
      <c r="BE230" s="12" t="n"/>
      <c r="BF230" s="12" t="n"/>
      <c r="BG230" s="12" t="n"/>
      <c r="BH230" s="12" t="n"/>
      <c r="BI230" s="12" t="n"/>
      <c r="BJ230" s="12" t="n"/>
      <c r="BK230" s="12" t="n"/>
      <c r="BL230" s="12" t="n"/>
      <c r="BM230" s="12" t="n"/>
      <c r="BN230" s="12" t="n"/>
      <c r="BO230" s="12" t="n"/>
      <c r="BP230" s="12" t="n"/>
      <c r="BQ230" s="12" t="n"/>
      <c r="BR230" s="12" t="n"/>
      <c r="BS230" s="12" t="n"/>
      <c r="BT230" s="12" t="n"/>
      <c r="BU230" s="12" t="n"/>
      <c r="BV230" s="12" t="n"/>
      <c r="BW230" s="12" t="n"/>
      <c r="BX230" s="12" t="n"/>
      <c r="BY230" s="12" t="n"/>
      <c r="BZ230" s="12" t="n"/>
      <c r="CA230" s="12" t="n"/>
      <c r="CB230" s="12" t="n"/>
      <c r="CC230" s="12" t="n"/>
      <c r="CD230" s="12" t="n"/>
      <c r="CE230" s="12" t="n"/>
      <c r="CF230" s="12" t="n"/>
      <c r="CG230" s="12" t="n"/>
      <c r="CH230" s="12" t="n"/>
      <c r="CI230" s="12" t="n"/>
      <c r="CJ230" s="12" t="n"/>
      <c r="CK230" s="12" t="n"/>
      <c r="CL230" s="12" t="n"/>
      <c r="CM230" s="12" t="n"/>
      <c r="CN230" s="12" t="n"/>
      <c r="CO230" s="12" t="n"/>
      <c r="CP230" s="12" t="n"/>
      <c r="CQ230" s="12" t="n"/>
      <c r="CR230" s="12" t="n"/>
      <c r="CS230" s="12" t="n"/>
      <c r="CT230" s="12" t="n"/>
      <c r="CU230" s="12" t="n"/>
      <c r="CV230" s="12" t="n"/>
      <c r="CW230" s="12" t="n"/>
      <c r="CX230" s="12" t="n"/>
      <c r="CY230" s="12" t="n"/>
    </row>
    <row r="231" hidden="1" outlineLevel="1">
      <c r="C231" s="57" t="inlineStr">
        <is>
          <t>Discretionary (paydown)/borrowing of convertible debt</t>
        </is>
      </c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62" t="n"/>
      <c r="AI231" s="62" t="n"/>
      <c r="AJ231" s="62" t="n"/>
      <c r="AK231" s="62" t="n"/>
      <c r="AL231" s="12" t="n"/>
      <c r="AM231" s="62" t="n"/>
      <c r="AN231" s="62" t="n"/>
      <c r="AO231" s="62" t="n"/>
      <c r="AP231" s="62" t="n"/>
      <c r="AQ231" s="12" t="n"/>
      <c r="AR231" s="62" t="n"/>
      <c r="AS231" s="62" t="n"/>
      <c r="AT231" s="62" t="n"/>
      <c r="AU231" s="62" t="n"/>
      <c r="AV231" s="12" t="n"/>
      <c r="AW231" s="62" t="n"/>
      <c r="AX231" s="62" t="n"/>
      <c r="AY231" s="62" t="n"/>
      <c r="AZ231" s="62" t="n"/>
      <c r="BA231" s="12" t="n"/>
      <c r="BB231" s="62" t="n"/>
      <c r="BC231" s="62" t="n"/>
      <c r="BD231" s="62" t="n"/>
      <c r="BE231" s="62" t="n"/>
      <c r="BF231" s="12" t="n"/>
      <c r="BG231" s="62" t="n"/>
      <c r="BH231" s="62" t="n"/>
      <c r="BI231" s="62" t="n"/>
      <c r="BJ231" s="62" t="n"/>
      <c r="BK231" s="12" t="n"/>
      <c r="BL231" s="62" t="n"/>
      <c r="BM231" s="62" t="n"/>
      <c r="BN231" s="62" t="n"/>
      <c r="BO231" s="62" t="n"/>
      <c r="BP231" s="12" t="n"/>
      <c r="BQ231" s="62" t="n"/>
      <c r="BR231" s="62" t="n"/>
      <c r="BS231" s="62" t="n"/>
      <c r="BT231" s="62" t="n"/>
      <c r="BU231" s="12" t="n"/>
      <c r="BV231" s="62" t="n"/>
      <c r="BW231" s="62" t="n"/>
      <c r="BX231" s="62" t="n"/>
      <c r="BY231" s="62" t="n"/>
      <c r="BZ231" s="12" t="n"/>
      <c r="CA231" s="62" t="n"/>
      <c r="CB231" s="62" t="n"/>
      <c r="CC231" s="62" t="n"/>
      <c r="CD231" s="62" t="n"/>
      <c r="CE231" s="12" t="n"/>
      <c r="CF231" s="62" t="n"/>
      <c r="CG231" s="62" t="n"/>
      <c r="CH231" s="62" t="n"/>
      <c r="CI231" s="62" t="n"/>
      <c r="CJ231" s="12" t="n"/>
      <c r="CK231" s="62" t="n"/>
      <c r="CL231" s="62" t="n"/>
      <c r="CM231" s="62" t="n"/>
      <c r="CN231" s="62" t="n"/>
      <c r="CO231" s="12" t="n"/>
      <c r="CP231" s="62" t="n"/>
      <c r="CQ231" s="62" t="n"/>
      <c r="CR231" s="62" t="n"/>
      <c r="CS231" s="62" t="n"/>
      <c r="CT231" s="12" t="n"/>
      <c r="CU231" s="62" t="n"/>
      <c r="CV231" s="62" t="n"/>
      <c r="CW231" s="62" t="n"/>
      <c r="CX231" s="62" t="n"/>
      <c r="CY231" s="12" t="n"/>
    </row>
    <row r="232" hidden="1" outlineLevel="1">
      <c r="C232" s="57" t="inlineStr">
        <is>
          <t>Convertible debt</t>
        </is>
      </c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>
        <f>AH244</f>
        <v>0</v>
      </c>
      <c r="AI232" s="12">
        <f>AH232+SUM(AI231)</f>
        <v>0</v>
      </c>
      <c r="AJ232" s="12">
        <f>AI232+SUM(AJ231)</f>
        <v>0</v>
      </c>
      <c r="AK232" s="12">
        <f>AJ232+SUM(AK231)</f>
        <v>0</v>
      </c>
      <c r="AL232" s="12" t="n"/>
      <c r="AM232" s="12">
        <f>AM244</f>
        <v>0</v>
      </c>
      <c r="AN232" s="12">
        <f>AM232+SUM(AN231)</f>
        <v>0</v>
      </c>
      <c r="AO232" s="12">
        <f>AN232+SUM(AO231)</f>
        <v>0</v>
      </c>
      <c r="AP232" s="12">
        <f>AO232+SUM(AP231)</f>
        <v>0</v>
      </c>
      <c r="AQ232" s="12" t="n"/>
      <c r="AR232" s="12">
        <f>AR244</f>
        <v>0</v>
      </c>
      <c r="AS232" s="12">
        <f>AR232+SUM(AS231)</f>
        <v>0</v>
      </c>
      <c r="AT232" s="12">
        <f>AS232+SUM(AT231)</f>
        <v>0</v>
      </c>
      <c r="AU232" s="12">
        <f>AT232+SUM(AU231)</f>
        <v>0</v>
      </c>
      <c r="AV232" s="12" t="n"/>
      <c r="AW232" s="12">
        <f>AW244</f>
        <v>0</v>
      </c>
      <c r="AX232" s="12">
        <f>AW232+SUM(AX231)</f>
        <v>0</v>
      </c>
      <c r="AY232" s="12">
        <f>AX232+SUM(AY231)</f>
        <v>0</v>
      </c>
      <c r="AZ232" s="12">
        <f>AY232+SUM(AZ231)</f>
        <v>0</v>
      </c>
      <c r="BA232" s="12" t="n"/>
      <c r="BB232" s="12">
        <f>BB244</f>
        <v>0</v>
      </c>
      <c r="BC232" s="12">
        <f>BB232+SUM(BC231)</f>
        <v>0</v>
      </c>
      <c r="BD232" s="12">
        <f>BC232+SUM(BD231)</f>
        <v>0</v>
      </c>
      <c r="BE232" s="12">
        <f>BD232+SUM(BE231)</f>
        <v>0</v>
      </c>
      <c r="BF232" s="12" t="n"/>
      <c r="BG232" s="12" t="n"/>
      <c r="BH232" s="12" t="n"/>
      <c r="BI232" s="12" t="n"/>
      <c r="BJ232" s="12" t="n"/>
      <c r="BK232" s="12" t="n"/>
      <c r="BL232" s="12" t="n"/>
      <c r="BM232" s="12" t="n"/>
      <c r="BN232" s="12" t="n"/>
      <c r="BO232" s="12" t="n"/>
      <c r="BP232" s="12" t="n"/>
      <c r="BQ232" s="12" t="n"/>
      <c r="BR232" s="12" t="n"/>
      <c r="BS232" s="12" t="n"/>
      <c r="BT232" s="12" t="n"/>
      <c r="BU232" s="12" t="n"/>
      <c r="BV232" s="12" t="n"/>
      <c r="BW232" s="12" t="n"/>
      <c r="BX232" s="12" t="n"/>
      <c r="BY232" s="12" t="n"/>
      <c r="BZ232" s="12" t="n"/>
      <c r="CA232" s="12" t="n"/>
      <c r="CB232" s="12" t="n"/>
      <c r="CC232" s="12" t="n"/>
      <c r="CD232" s="12" t="n"/>
      <c r="CE232" s="12" t="n"/>
      <c r="CF232" s="12" t="n"/>
      <c r="CG232" s="12" t="n"/>
      <c r="CH232" s="12" t="n"/>
      <c r="CI232" s="12" t="n"/>
      <c r="CJ232" s="12" t="n"/>
      <c r="CK232" s="12" t="n"/>
      <c r="CL232" s="12" t="n"/>
      <c r="CM232" s="12" t="n"/>
      <c r="CN232" s="12" t="n"/>
      <c r="CO232" s="12" t="n"/>
      <c r="CP232" s="12" t="n"/>
      <c r="CQ232" s="12" t="n"/>
      <c r="CR232" s="12" t="n"/>
      <c r="CS232" s="12" t="n"/>
      <c r="CT232" s="12" t="n"/>
      <c r="CU232" s="12" t="n"/>
      <c r="CV232" s="12" t="n"/>
      <c r="CW232" s="12" t="n"/>
      <c r="CX232" s="12" t="n"/>
      <c r="CY232" s="12" t="n"/>
    </row>
    <row r="233" hidden="1" outlineLevel="1">
      <c r="C233" s="57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I233" s="12" t="n"/>
      <c r="AJ233" s="12" t="n"/>
      <c r="AK233" s="12" t="n"/>
      <c r="AL233" s="12" t="n"/>
      <c r="AN233" s="12" t="n"/>
      <c r="AO233" s="12" t="n"/>
      <c r="AP233" s="12" t="n"/>
      <c r="AQ233" s="12" t="n"/>
      <c r="AS233" s="12" t="n"/>
      <c r="AT233" s="12" t="n"/>
      <c r="AU233" s="12" t="n"/>
      <c r="AV233" s="12" t="n"/>
      <c r="AX233" s="12" t="n"/>
      <c r="AY233" s="12" t="n"/>
      <c r="AZ233" s="12" t="n"/>
      <c r="BA233" s="12" t="n"/>
      <c r="BC233" s="12" t="n"/>
      <c r="BD233" s="12" t="n"/>
      <c r="BE233" s="12" t="n"/>
      <c r="BF233" s="12" t="n"/>
      <c r="BH233" s="12" t="n"/>
      <c r="BI233" s="12" t="n"/>
      <c r="BJ233" s="12" t="n"/>
      <c r="BK233" s="12" t="n"/>
      <c r="BM233" s="12" t="n"/>
      <c r="BN233" s="12" t="n"/>
      <c r="BO233" s="12" t="n"/>
      <c r="BP233" s="12" t="n"/>
      <c r="BR233" s="12" t="n"/>
      <c r="BS233" s="12" t="n"/>
      <c r="BT233" s="12" t="n"/>
      <c r="BU233" s="12" t="n"/>
      <c r="BW233" s="12" t="n"/>
      <c r="BX233" s="12" t="n"/>
      <c r="BY233" s="12" t="n"/>
      <c r="BZ233" s="12" t="n"/>
      <c r="CB233" s="12" t="n"/>
      <c r="CC233" s="12" t="n"/>
      <c r="CD233" s="12" t="n"/>
      <c r="CE233" s="12" t="n"/>
      <c r="CG233" s="12" t="n"/>
      <c r="CH233" s="12" t="n"/>
      <c r="CI233" s="12" t="n"/>
      <c r="CJ233" s="12" t="n"/>
      <c r="CL233" s="12" t="n"/>
      <c r="CM233" s="12" t="n"/>
      <c r="CN233" s="12" t="n"/>
      <c r="CO233" s="12" t="n"/>
      <c r="CQ233" s="12" t="n"/>
      <c r="CR233" s="12" t="n"/>
      <c r="CS233" s="12" t="n"/>
      <c r="CT233" s="12" t="n"/>
      <c r="CV233" s="12" t="n"/>
      <c r="CW233" s="12" t="n"/>
      <c r="CX233" s="12" t="n"/>
      <c r="CY233" s="12" t="n"/>
    </row>
    <row r="234" hidden="1" outlineLevel="1">
      <c r="C234" s="57" t="inlineStr">
        <is>
          <t>Calculation of short term debt</t>
        </is>
      </c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  <c r="AJ234" s="12" t="n"/>
      <c r="AK234" s="12" t="n"/>
      <c r="AL234" s="12" t="n"/>
      <c r="AM234" s="12" t="n"/>
      <c r="AN234" s="12" t="n"/>
      <c r="AO234" s="12" t="n"/>
      <c r="AP234" s="12" t="n"/>
      <c r="AQ234" s="12" t="n"/>
      <c r="AR234" s="12" t="n"/>
      <c r="AS234" s="12" t="n"/>
      <c r="AT234" s="12" t="n"/>
      <c r="AU234" s="12" t="n"/>
      <c r="AV234" s="12" t="n"/>
      <c r="AW234" s="12" t="n"/>
      <c r="AX234" s="12" t="n"/>
      <c r="AY234" s="12" t="n"/>
      <c r="AZ234" s="12" t="n"/>
      <c r="BA234" s="12" t="n"/>
      <c r="BB234" s="12" t="n"/>
      <c r="BC234" s="12" t="n"/>
      <c r="BD234" s="12" t="n"/>
      <c r="BE234" s="12" t="n"/>
      <c r="BF234" s="12" t="n"/>
      <c r="BG234" s="12" t="n"/>
      <c r="BH234" s="12" t="n"/>
      <c r="BI234" s="12" t="n"/>
      <c r="BJ234" s="12" t="n"/>
      <c r="BK234" s="12" t="n"/>
      <c r="BL234" s="12" t="n"/>
      <c r="BM234" s="12" t="n"/>
      <c r="BN234" s="12" t="n"/>
      <c r="BO234" s="12" t="n"/>
      <c r="BP234" s="12" t="n"/>
      <c r="BQ234" s="12" t="n"/>
      <c r="BR234" s="12" t="n"/>
      <c r="BS234" s="12" t="n"/>
      <c r="BT234" s="12" t="n"/>
      <c r="BU234" s="12" t="n"/>
      <c r="BV234" s="12" t="n"/>
      <c r="BW234" s="12" t="n"/>
      <c r="BX234" s="12" t="n"/>
      <c r="BY234" s="12" t="n"/>
      <c r="BZ234" s="12" t="n"/>
      <c r="CA234" s="12" t="n"/>
      <c r="CB234" s="12" t="n"/>
      <c r="CC234" s="12" t="n"/>
      <c r="CD234" s="12" t="n"/>
      <c r="CE234" s="12" t="n"/>
      <c r="CF234" s="12" t="n"/>
      <c r="CG234" s="12" t="n"/>
      <c r="CH234" s="12" t="n"/>
      <c r="CI234" s="12" t="n"/>
      <c r="CJ234" s="12" t="n"/>
      <c r="CK234" s="12" t="n"/>
      <c r="CL234" s="12" t="n"/>
      <c r="CM234" s="12" t="n"/>
      <c r="CN234" s="12" t="n"/>
      <c r="CO234" s="12" t="n"/>
      <c r="CP234" s="12" t="n"/>
      <c r="CQ234" s="12" t="n"/>
      <c r="CR234" s="12" t="n"/>
      <c r="CS234" s="12" t="n"/>
      <c r="CT234" s="12" t="n"/>
      <c r="CU234" s="12" t="n"/>
      <c r="CV234" s="12" t="n"/>
      <c r="CW234" s="12" t="n"/>
      <c r="CX234" s="12" t="n"/>
      <c r="CY234" s="12" t="n"/>
    </row>
    <row r="235" hidden="1" outlineLevel="1">
      <c r="C235" s="57" t="inlineStr">
        <is>
          <t>Cash @ beginning of the period (end of last period)</t>
        </is>
      </c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63">
        <f>AG150</f>
        <v>17019.45165328</v>
      </c>
      <c r="AI235" s="12" t="n"/>
      <c r="AJ235" s="12" t="n"/>
      <c r="AK235" s="12" t="n"/>
      <c r="AL235" s="12" t="n"/>
      <c r="AM235" s="63">
        <f>AL150</f>
        <v>19525.70409841</v>
      </c>
      <c r="AN235" s="12" t="n"/>
      <c r="AO235" s="12" t="n"/>
      <c r="AP235" s="12" t="n"/>
      <c r="AQ235" s="12" t="n"/>
      <c r="AR235" s="63">
        <f>AQ150</f>
        <v>23294.0942256236</v>
      </c>
      <c r="AS235" s="12" t="n"/>
      <c r="AT235" s="12" t="n"/>
      <c r="AU235" s="12" t="n"/>
      <c r="AV235" s="12" t="n"/>
      <c r="AW235" s="63">
        <f>AV150</f>
        <v>27347.1000923136</v>
      </c>
      <c r="AX235" s="12" t="n"/>
      <c r="AY235" s="12" t="n"/>
      <c r="AZ235" s="12" t="n"/>
      <c r="BA235" s="12" t="n"/>
      <c r="BB235" s="63">
        <f>BA150</f>
        <v>31673.6776482255</v>
      </c>
      <c r="BC235" s="12" t="n"/>
      <c r="BD235" s="12" t="n"/>
      <c r="BE235" s="12" t="n"/>
      <c r="BF235" s="12" t="n"/>
      <c r="BG235" s="63" t="n"/>
      <c r="BH235" s="12" t="n"/>
      <c r="BI235" s="12" t="n"/>
      <c r="BJ235" s="12" t="n"/>
      <c r="BK235" s="12" t="n"/>
      <c r="BL235" s="63" t="n"/>
      <c r="BM235" s="12" t="n"/>
      <c r="BN235" s="12" t="n"/>
      <c r="BO235" s="12" t="n"/>
      <c r="BP235" s="12" t="n"/>
      <c r="BQ235" s="63" t="n"/>
      <c r="BR235" s="12" t="n"/>
      <c r="BS235" s="12" t="n"/>
      <c r="BT235" s="12" t="n"/>
      <c r="BU235" s="12" t="n"/>
      <c r="BV235" s="63" t="n"/>
      <c r="BW235" s="12" t="n"/>
      <c r="BX235" s="12" t="n"/>
      <c r="BY235" s="12" t="n"/>
      <c r="BZ235" s="12" t="n"/>
      <c r="CA235" s="63" t="n"/>
      <c r="CB235" s="12" t="n"/>
      <c r="CC235" s="12" t="n"/>
      <c r="CD235" s="12" t="n"/>
      <c r="CE235" s="12" t="n"/>
      <c r="CF235" s="63" t="n"/>
      <c r="CG235" s="12" t="n"/>
      <c r="CH235" s="12" t="n"/>
      <c r="CI235" s="12" t="n"/>
      <c r="CJ235" s="12" t="n"/>
      <c r="CK235" s="63" t="n"/>
      <c r="CL235" s="12" t="n"/>
      <c r="CM235" s="12" t="n"/>
      <c r="CN235" s="12" t="n"/>
      <c r="CO235" s="12" t="n"/>
      <c r="CP235" s="63" t="n"/>
      <c r="CQ235" s="12" t="n"/>
      <c r="CR235" s="12" t="n"/>
      <c r="CS235" s="12" t="n"/>
      <c r="CT235" s="12" t="n"/>
      <c r="CU235" s="63" t="n"/>
      <c r="CV235" s="12" t="n"/>
      <c r="CW235" s="12" t="n"/>
      <c r="CX235" s="12" t="n"/>
      <c r="CY235" s="12" t="n"/>
    </row>
    <row r="236" hidden="1" outlineLevel="1">
      <c r="C236" s="57" t="inlineStr">
        <is>
          <t>Plus: Free cash flows prior to debt during period</t>
        </is>
      </c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inlineStr">
        <is>
          <t>% of sales</t>
        </is>
      </c>
      <c r="AH236" s="64">
        <f>(AH298+AH305)+SUM(AH308:AH314)</f>
        <v>-1261.81932743</v>
      </c>
      <c r="AI236" s="64">
        <f>(AI298+AI305)+SUM(AI308:AI314)</f>
        <v>3457.25658949</v>
      </c>
      <c r="AJ236" s="64">
        <f>(AJ298+AJ305)+SUM(AJ308:AJ314)</f>
        <v>0</v>
      </c>
      <c r="AK236" s="64">
        <f>(AK298+AK305)+SUM(AK308:AK314)</f>
        <v>0</v>
      </c>
      <c r="AL236" s="12" t="n"/>
      <c r="AM236" s="64">
        <f>(AM298+AM305)+SUM(AM308:AM314)</f>
        <v>0</v>
      </c>
      <c r="AN236" s="64">
        <f>(AN298+AN305)+SUM(AN308:AN314)</f>
        <v>0</v>
      </c>
      <c r="AO236" s="64">
        <f>(AO298+AO305)+SUM(AO308:AO314)</f>
        <v>0</v>
      </c>
      <c r="AP236" s="64">
        <f>(AP298+AP305)+SUM(AP308:AP314)</f>
        <v>0</v>
      </c>
      <c r="AQ236" s="12" t="n"/>
      <c r="AR236" s="64">
        <f>(AR298+AR305)+SUM(AR308:AR314)</f>
        <v>0</v>
      </c>
      <c r="AS236" s="64">
        <f>(AS298+AS305)+SUM(AS308:AS314)</f>
        <v>0</v>
      </c>
      <c r="AT236" s="64">
        <f>(AT298+AT305)+SUM(AT308:AT314)</f>
        <v>0</v>
      </c>
      <c r="AU236" s="64">
        <f>(AU298+AU305)+SUM(AU308:AU314)</f>
        <v>0</v>
      </c>
      <c r="AV236" s="12" t="n"/>
      <c r="AW236" s="64">
        <f>(AW298+AW305)+SUM(AW308:AW314)</f>
        <v>0</v>
      </c>
      <c r="AX236" s="64">
        <f>(AX298+AX305)+SUM(AX308:AX314)</f>
        <v>0</v>
      </c>
      <c r="AY236" s="64">
        <f>(AY298+AY305)+SUM(AY308:AY314)</f>
        <v>0</v>
      </c>
      <c r="AZ236" s="64">
        <f>(AZ298+AZ305)+SUM(AZ308:AZ314)</f>
        <v>0</v>
      </c>
      <c r="BA236" s="12" t="n"/>
      <c r="BB236" s="64">
        <f>(BB298+BB305)+SUM(BB308:BB314)</f>
        <v>0</v>
      </c>
      <c r="BC236" s="64">
        <f>(BC298+BC305)+SUM(BC308:BC314)</f>
        <v>0</v>
      </c>
      <c r="BD236" s="64">
        <f>(BD298+BD305)+SUM(BD308:BD314)</f>
        <v>0</v>
      </c>
      <c r="BE236" s="64">
        <f>(BE298+BE305)+SUM(BE308:BE314)</f>
        <v>0</v>
      </c>
      <c r="BF236" s="12" t="n"/>
      <c r="BG236" s="64" t="n"/>
      <c r="BH236" s="64" t="n"/>
      <c r="BI236" s="64" t="n"/>
      <c r="BJ236" s="64" t="n"/>
      <c r="BK236" s="12" t="n"/>
      <c r="BL236" s="64" t="n"/>
      <c r="BM236" s="64" t="n"/>
      <c r="BN236" s="64" t="n"/>
      <c r="BO236" s="64" t="n"/>
      <c r="BP236" s="12" t="n"/>
      <c r="BQ236" s="64" t="n"/>
      <c r="BR236" s="64" t="n"/>
      <c r="BS236" s="64" t="n"/>
      <c r="BT236" s="64" t="n"/>
      <c r="BU236" s="12" t="n"/>
      <c r="BV236" s="64" t="n"/>
      <c r="BW236" s="64" t="n"/>
      <c r="BX236" s="64" t="n"/>
      <c r="BY236" s="64" t="n"/>
      <c r="BZ236" s="12" t="n"/>
      <c r="CA236" s="64" t="n"/>
      <c r="CB236" s="64" t="n"/>
      <c r="CC236" s="64" t="n"/>
      <c r="CD236" s="64" t="n"/>
      <c r="CE236" s="12" t="n"/>
      <c r="CF236" s="64" t="n"/>
      <c r="CG236" s="64" t="n"/>
      <c r="CH236" s="64" t="n"/>
      <c r="CI236" s="64" t="n"/>
      <c r="CJ236" s="12" t="n"/>
      <c r="CK236" s="64" t="n"/>
      <c r="CL236" s="64" t="n"/>
      <c r="CM236" s="64" t="n"/>
      <c r="CN236" s="64" t="n"/>
      <c r="CO236" s="12" t="n"/>
      <c r="CP236" s="64" t="n"/>
      <c r="CQ236" s="64" t="n"/>
      <c r="CR236" s="64" t="n"/>
      <c r="CS236" s="64" t="n"/>
      <c r="CT236" s="12" t="n"/>
      <c r="CU236" s="64" t="n"/>
      <c r="CV236" s="64" t="n"/>
      <c r="CW236" s="64" t="n"/>
      <c r="CX236" s="64" t="n"/>
      <c r="CY236" s="12" t="n"/>
    </row>
    <row r="237" hidden="1" outlineLevel="1">
      <c r="C237" s="57" t="inlineStr">
        <is>
          <t>Less: Minimum cash balance</t>
        </is>
      </c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52" t="n"/>
      <c r="AH237" s="12">
        <f>($AG$237*AH15)</f>
        <v>0</v>
      </c>
      <c r="AI237" s="12">
        <f>($AG$237*AI15)</f>
        <v>0</v>
      </c>
      <c r="AJ237" s="12">
        <f>($AG$237*AJ15)</f>
        <v>0</v>
      </c>
      <c r="AK237" s="12">
        <f>($AG$237*AK15)</f>
        <v>0</v>
      </c>
      <c r="AL237" s="12" t="n"/>
      <c r="AM237" s="12">
        <f>($AG$237*AM15)</f>
        <v>0</v>
      </c>
      <c r="AN237" s="12">
        <f>($AG$237*AN15)</f>
        <v>0</v>
      </c>
      <c r="AO237" s="12">
        <f>($AG$237*AO15)</f>
        <v>0</v>
      </c>
      <c r="AP237" s="12">
        <f>($AG$237*AP15)</f>
        <v>0</v>
      </c>
      <c r="AQ237" s="12" t="n"/>
      <c r="AR237" s="12">
        <f>($AG$237*AR15)</f>
        <v>0</v>
      </c>
      <c r="AS237" s="12">
        <f>($AG$237*AS15)</f>
        <v>0</v>
      </c>
      <c r="AT237" s="12">
        <f>($AG$237*AT15)</f>
        <v>0</v>
      </c>
      <c r="AU237" s="12">
        <f>($AG$237*AU15)</f>
        <v>0</v>
      </c>
      <c r="AV237" s="12" t="n"/>
      <c r="AW237" s="12">
        <f>($AG$237*AW15)</f>
        <v>0</v>
      </c>
      <c r="AX237" s="12">
        <f>($AG$237*AX15)</f>
        <v>0</v>
      </c>
      <c r="AY237" s="12">
        <f>($AG$237*AY15)</f>
        <v>0</v>
      </c>
      <c r="AZ237" s="12">
        <f>($AG$237*AZ15)</f>
        <v>0</v>
      </c>
      <c r="BA237" s="12" t="n"/>
      <c r="BB237" s="12">
        <f>($AG$237*BB15)</f>
        <v>0</v>
      </c>
      <c r="BC237" s="12">
        <f>($AG$237*BC15)</f>
        <v>0</v>
      </c>
      <c r="BD237" s="12">
        <f>($AG$237*BD15)</f>
        <v>0</v>
      </c>
      <c r="BE237" s="12">
        <f>($AG$237*BE15)</f>
        <v>0</v>
      </c>
      <c r="BF237" s="12" t="n"/>
      <c r="BG237" s="12" t="n"/>
      <c r="BH237" s="12" t="n"/>
      <c r="BI237" s="12" t="n"/>
      <c r="BJ237" s="12" t="n"/>
      <c r="BK237" s="12" t="n"/>
      <c r="BL237" s="12" t="n"/>
      <c r="BM237" s="12" t="n"/>
      <c r="BN237" s="12" t="n"/>
      <c r="BO237" s="12" t="n"/>
      <c r="BP237" s="12" t="n"/>
      <c r="BQ237" s="12" t="n"/>
      <c r="BR237" s="12" t="n"/>
      <c r="BS237" s="12" t="n"/>
      <c r="BT237" s="12" t="n"/>
      <c r="BU237" s="12" t="n"/>
      <c r="BV237" s="12" t="n"/>
      <c r="BW237" s="12" t="n"/>
      <c r="BX237" s="12" t="n"/>
      <c r="BY237" s="12" t="n"/>
      <c r="BZ237" s="12" t="n"/>
      <c r="CA237" s="12" t="n"/>
      <c r="CB237" s="12" t="n"/>
      <c r="CC237" s="12" t="n"/>
      <c r="CD237" s="12" t="n"/>
      <c r="CE237" s="12" t="n"/>
      <c r="CF237" s="12" t="n"/>
      <c r="CG237" s="12" t="n"/>
      <c r="CH237" s="12" t="n"/>
      <c r="CI237" s="12" t="n"/>
      <c r="CJ237" s="12" t="n"/>
      <c r="CK237" s="12" t="n"/>
      <c r="CL237" s="12" t="n"/>
      <c r="CM237" s="12" t="n"/>
      <c r="CN237" s="12" t="n"/>
      <c r="CO237" s="12" t="n"/>
      <c r="CP237" s="12" t="n"/>
      <c r="CQ237" s="12" t="n"/>
      <c r="CR237" s="12" t="n"/>
      <c r="CS237" s="12" t="n"/>
      <c r="CT237" s="12" t="n"/>
      <c r="CU237" s="12" t="n"/>
      <c r="CV237" s="12" t="n"/>
      <c r="CW237" s="12" t="n"/>
      <c r="CX237" s="12" t="n"/>
      <c r="CY237" s="12" t="n"/>
    </row>
    <row r="238" hidden="1" outlineLevel="1">
      <c r="C238" s="57" t="inlineStr">
        <is>
          <t>Total cash available / (debt required) for short term debt paydown</t>
        </is>
      </c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3">
        <f>AH235+AH236-AH237-AF225+AH227+AH231</f>
        <v>15757.63232585</v>
      </c>
      <c r="AI238" s="3">
        <f>AI235+AI236-AI237-AG225+AI227+AI231</f>
        <v>3457.25658949</v>
      </c>
      <c r="AJ238" s="3">
        <f>AJ235+AJ236-AJ237-AH225+AJ227+AJ231</f>
        <v>-9109.41335713</v>
      </c>
      <c r="AK238" s="3">
        <f>AK235+AK236-AK237-AI225+AK227+AK231</f>
        <v>0</v>
      </c>
      <c r="AL238" s="12" t="n"/>
      <c r="AM238" s="3">
        <f>AM235+AM236-AM237-AK225+AM227+AM231</f>
        <v>19525.70409841</v>
      </c>
      <c r="AN238" s="3">
        <f>AN235+AN236-AN237-AL225+AN227+AN231</f>
        <v>0</v>
      </c>
      <c r="AO238" s="3">
        <f>AO235+AO236-AO237-AM225+AO227+AO231</f>
        <v>-7556.41057503</v>
      </c>
      <c r="AP238" s="3">
        <f>AP235+AP236-AP237-AN225+AP227+AP231</f>
        <v>0</v>
      </c>
      <c r="AQ238" s="12" t="n"/>
      <c r="AR238" s="3">
        <f>AR235+AR236-AR237-AP225+AR227+AR231</f>
        <v>23294.0942256236</v>
      </c>
      <c r="AS238" s="3">
        <f>AS235+AS236-AS237-AQ225+AS227+AS231</f>
        <v>0</v>
      </c>
      <c r="AT238" s="3">
        <f>AT235+AT236-AT237-AR225+AT227+AT231</f>
        <v>-7556.41057503</v>
      </c>
      <c r="AU238" s="3">
        <f>AU235+AU236-AU237-AS225+AU227+AU231</f>
        <v>0</v>
      </c>
      <c r="AV238" s="12" t="n"/>
      <c r="AW238" s="3">
        <f>AW235+AW236-AW237-AU225+AW227+AW231</f>
        <v>27347.1000923136</v>
      </c>
      <c r="AX238" s="3">
        <f>AX235+AX236-AX237-AV225+AX227+AX231</f>
        <v>0</v>
      </c>
      <c r="AY238" s="3">
        <f>AY235+AY236-AY237-AW225+AY227+AY231</f>
        <v>-7556.41057503</v>
      </c>
      <c r="AZ238" s="3">
        <f>AZ235+AZ236-AZ237-AX225+AZ227+AZ231</f>
        <v>0</v>
      </c>
      <c r="BA238" s="12" t="n"/>
      <c r="BB238" s="3">
        <f>BB235+BB236-BB237-AZ225+BB227+BB231</f>
        <v>31673.6776482255</v>
      </c>
      <c r="BC238" s="3">
        <f>BC235+BC236-BC237-BA225+BC227+BC231</f>
        <v>0</v>
      </c>
      <c r="BD238" s="3">
        <f>BD235+BD236-BD237-BB225+BD227+BD231</f>
        <v>-7556.41057503</v>
      </c>
      <c r="BE238" s="3">
        <f>BE235+BE236-BE237-BC225+BE227+BE231</f>
        <v>0</v>
      </c>
      <c r="BF238" s="12" t="n"/>
      <c r="BG238" s="3" t="n"/>
      <c r="BH238" s="3" t="n"/>
      <c r="BI238" s="3" t="n"/>
      <c r="BJ238" s="3" t="n"/>
      <c r="BK238" s="12" t="n"/>
      <c r="BL238" s="3" t="n"/>
      <c r="BM238" s="3" t="n"/>
      <c r="BN238" s="3" t="n"/>
      <c r="BO238" s="3" t="n"/>
      <c r="BP238" s="12" t="n"/>
      <c r="BQ238" s="3" t="n"/>
      <c r="BR238" s="3" t="n"/>
      <c r="BS238" s="3" t="n"/>
      <c r="BT238" s="3" t="n"/>
      <c r="BU238" s="12" t="n"/>
      <c r="BV238" s="3" t="n"/>
      <c r="BW238" s="3" t="n"/>
      <c r="BX238" s="3" t="n"/>
      <c r="BY238" s="3" t="n"/>
      <c r="BZ238" s="12" t="n"/>
      <c r="CA238" s="3" t="n"/>
      <c r="CB238" s="3" t="n"/>
      <c r="CC238" s="3" t="n"/>
      <c r="CD238" s="3" t="n"/>
      <c r="CE238" s="12" t="n"/>
      <c r="CF238" s="3" t="n"/>
      <c r="CG238" s="3" t="n"/>
      <c r="CH238" s="3" t="n"/>
      <c r="CI238" s="3" t="n"/>
      <c r="CJ238" s="12" t="n"/>
      <c r="CK238" s="3" t="n"/>
      <c r="CL238" s="3" t="n"/>
      <c r="CM238" s="3" t="n"/>
      <c r="CN238" s="3" t="n"/>
      <c r="CO238" s="12" t="n"/>
      <c r="CP238" s="3" t="n"/>
      <c r="CQ238" s="3" t="n"/>
      <c r="CR238" s="3" t="n"/>
      <c r="CS238" s="3" t="n"/>
      <c r="CT238" s="12" t="n"/>
      <c r="CU238" s="3" t="n"/>
      <c r="CV238" s="3" t="n"/>
      <c r="CW238" s="3" t="n"/>
      <c r="CX238" s="3" t="n"/>
      <c r="CY238" s="12" t="n"/>
    </row>
    <row r="239" hidden="1" outlineLevel="1">
      <c r="C239" s="57" t="inlineStr">
        <is>
          <t>Short term debt</t>
        </is>
      </c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>
        <f>AH219</f>
        <v>0</v>
      </c>
      <c r="AI239" s="12">
        <f>MAX(0,AH239-AI238)</f>
        <v>0</v>
      </c>
      <c r="AJ239" s="12">
        <f>MAX(0,AI239-AJ238)</f>
        <v>9109.41335713</v>
      </c>
      <c r="AK239" s="12">
        <f>MAX(0,AJ239-AK238)</f>
        <v>9109.41335713</v>
      </c>
      <c r="AL239" s="12" t="n"/>
      <c r="AM239" s="12">
        <f>AM219</f>
        <v>0</v>
      </c>
      <c r="AN239" s="12">
        <f>MAX(0,AM239-AN238)</f>
        <v>0</v>
      </c>
      <c r="AO239" s="12">
        <f>MAX(0,AN239-AO238)</f>
        <v>7556.41057503</v>
      </c>
      <c r="AP239" s="12">
        <f>MAX(0,AO239-AP238)</f>
        <v>7556.41057503</v>
      </c>
      <c r="AQ239" s="12" t="n"/>
      <c r="AR239" s="12">
        <f>AR219</f>
        <v>0</v>
      </c>
      <c r="AS239" s="12">
        <f>MAX(0,AR239-AS238)</f>
        <v>0</v>
      </c>
      <c r="AT239" s="12">
        <f>MAX(0,AS239-AT238)</f>
        <v>7556.41057503</v>
      </c>
      <c r="AU239" s="12">
        <f>MAX(0,AT239-AU238)</f>
        <v>7556.41057503</v>
      </c>
      <c r="AV239" s="12" t="n"/>
      <c r="AW239" s="12">
        <f>AW219</f>
        <v>0</v>
      </c>
      <c r="AX239" s="12">
        <f>MAX(0,AW239-AX238)</f>
        <v>0</v>
      </c>
      <c r="AY239" s="12">
        <f>MAX(0,AX239-AY238)</f>
        <v>7556.41057503</v>
      </c>
      <c r="AZ239" s="12">
        <f>MAX(0,AY239-AZ238)</f>
        <v>7556.41057503</v>
      </c>
      <c r="BA239" s="12" t="n"/>
      <c r="BB239" s="12">
        <f>BB219</f>
        <v>0</v>
      </c>
      <c r="BC239" s="12">
        <f>MAX(0,BB239-BC238)</f>
        <v>0</v>
      </c>
      <c r="BD239" s="12">
        <f>MAX(0,BC239-BD238)</f>
        <v>7556.41057503</v>
      </c>
      <c r="BE239" s="12">
        <f>MAX(0,BD239-BE238)</f>
        <v>7556.41057503</v>
      </c>
      <c r="BF239" s="12" t="n"/>
      <c r="BG239" s="12" t="n"/>
      <c r="BH239" s="12" t="n"/>
      <c r="BI239" s="12" t="n"/>
      <c r="BJ239" s="12" t="n"/>
      <c r="BK239" s="12" t="n"/>
      <c r="BL239" s="12" t="n"/>
      <c r="BM239" s="12" t="n"/>
      <c r="BN239" s="12" t="n"/>
      <c r="BO239" s="12" t="n"/>
      <c r="BP239" s="12" t="n"/>
      <c r="BQ239" s="12" t="n"/>
      <c r="BR239" s="12" t="n"/>
      <c r="BS239" s="12" t="n"/>
      <c r="BT239" s="12" t="n"/>
      <c r="BU239" s="12" t="n"/>
      <c r="BV239" s="12" t="n"/>
      <c r="BW239" s="12" t="n"/>
      <c r="BX239" s="12" t="n"/>
      <c r="BY239" s="12" t="n"/>
      <c r="BZ239" s="12" t="n"/>
      <c r="CA239" s="12" t="n"/>
      <c r="CB239" s="12" t="n"/>
      <c r="CC239" s="12" t="n"/>
      <c r="CD239" s="12" t="n"/>
      <c r="CE239" s="12" t="n"/>
      <c r="CF239" s="12" t="n"/>
      <c r="CG239" s="12" t="n"/>
      <c r="CH239" s="12" t="n"/>
      <c r="CI239" s="12" t="n"/>
      <c r="CJ239" s="12" t="n"/>
      <c r="CK239" s="12" t="n"/>
      <c r="CL239" s="12" t="n"/>
      <c r="CM239" s="12" t="n"/>
      <c r="CN239" s="12" t="n"/>
      <c r="CO239" s="12" t="n"/>
      <c r="CP239" s="12" t="n"/>
      <c r="CQ239" s="12" t="n"/>
      <c r="CR239" s="12" t="n"/>
      <c r="CS239" s="12" t="n"/>
      <c r="CT239" s="12" t="n"/>
      <c r="CU239" s="12" t="n"/>
      <c r="CV239" s="12" t="n"/>
      <c r="CW239" s="12" t="n"/>
      <c r="CX239" s="12" t="n"/>
      <c r="CY239" s="12" t="n"/>
    </row>
    <row r="240" hidden="1" outlineLevel="1">
      <c r="C240" s="57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  <c r="AJ240" s="12" t="n"/>
      <c r="AK240" s="12" t="n"/>
      <c r="AL240" s="12" t="n"/>
      <c r="AM240" s="12" t="n"/>
      <c r="AN240" s="12" t="n"/>
      <c r="AO240" s="12" t="n"/>
      <c r="AP240" s="12" t="n"/>
      <c r="AQ240" s="12" t="n"/>
      <c r="AR240" s="12" t="n"/>
      <c r="AS240" s="12" t="n"/>
      <c r="AT240" s="12" t="n"/>
      <c r="AU240" s="12" t="n"/>
      <c r="AV240" s="12" t="n"/>
      <c r="AW240" s="12" t="n"/>
      <c r="AX240" s="12" t="n"/>
      <c r="AY240" s="12" t="n"/>
      <c r="AZ240" s="12" t="n"/>
      <c r="BA240" s="12" t="n"/>
      <c r="BB240" s="12" t="n"/>
      <c r="BC240" s="12" t="n"/>
      <c r="BD240" s="12" t="n"/>
      <c r="BE240" s="12" t="n"/>
      <c r="BF240" s="12" t="n"/>
      <c r="BG240" s="12" t="n"/>
      <c r="BH240" s="12" t="n"/>
      <c r="BI240" s="12" t="n"/>
      <c r="BJ240" s="12" t="n"/>
      <c r="BK240" s="12" t="n"/>
      <c r="BL240" s="12" t="n"/>
      <c r="BM240" s="12" t="n"/>
      <c r="BN240" s="12" t="n"/>
      <c r="BO240" s="12" t="n"/>
      <c r="BP240" s="12" t="n"/>
      <c r="BQ240" s="12" t="n"/>
      <c r="BR240" s="12" t="n"/>
      <c r="BS240" s="12" t="n"/>
      <c r="BT240" s="12" t="n"/>
      <c r="BU240" s="12" t="n"/>
      <c r="BV240" s="12" t="n"/>
      <c r="BW240" s="12" t="n"/>
      <c r="BX240" s="12" t="n"/>
      <c r="BY240" s="12" t="n"/>
      <c r="BZ240" s="12" t="n"/>
      <c r="CA240" s="12" t="n"/>
      <c r="CB240" s="12" t="n"/>
      <c r="CC240" s="12" t="n"/>
      <c r="CD240" s="12" t="n"/>
      <c r="CE240" s="12" t="n"/>
      <c r="CF240" s="12" t="n"/>
      <c r="CG240" s="12" t="n"/>
      <c r="CH240" s="12" t="n"/>
      <c r="CI240" s="12" t="n"/>
      <c r="CJ240" s="12" t="n"/>
      <c r="CK240" s="12" t="n"/>
      <c r="CL240" s="12" t="n"/>
      <c r="CM240" s="12" t="n"/>
      <c r="CN240" s="12" t="n"/>
      <c r="CO240" s="12" t="n"/>
      <c r="CP240" s="12" t="n"/>
      <c r="CQ240" s="12" t="n"/>
      <c r="CR240" s="12" t="n"/>
      <c r="CS240" s="12" t="n"/>
      <c r="CT240" s="12" t="n"/>
      <c r="CU240" s="12" t="n"/>
      <c r="CV240" s="12" t="n"/>
      <c r="CW240" s="12" t="n"/>
      <c r="CX240" s="12" t="n"/>
      <c r="CY240" s="12" t="n"/>
    </row>
    <row r="241" collapsed="1">
      <c r="C241" s="14" t="inlineStr">
        <is>
          <t>Long term operating leases</t>
        </is>
      </c>
      <c r="D241" s="46" t="n"/>
      <c r="E241" s="46" t="n"/>
      <c r="F241" s="46" t="n"/>
      <c r="G241" s="46" t="n"/>
      <c r="H241" s="12" t="n"/>
      <c r="I241" s="46">
        <f>'Inputs (2)'!D36</f>
        <v>506.1222104</v>
      </c>
      <c r="J241" s="46">
        <f>'Inputs (2)'!E36</f>
        <v>571.30321603</v>
      </c>
      <c r="K241" s="46">
        <f>'Inputs (2)'!F36</f>
        <v>419.081</v>
      </c>
      <c r="L241" s="46">
        <f>'Inputs (2)'!G36</f>
        <v>660.011</v>
      </c>
      <c r="M241" s="12">
        <f>'Inputs (2)'!H36</f>
        <v>660.011</v>
      </c>
      <c r="N241" s="46">
        <f>'Inputs (2)'!I36</f>
        <v>707.509</v>
      </c>
      <c r="O241" s="46">
        <f>'Inputs (2)'!J36</f>
        <v>758.746</v>
      </c>
      <c r="P241" s="46">
        <f>'Inputs (2)'!K36</f>
        <v>967.671</v>
      </c>
      <c r="Q241" s="46">
        <f>'Inputs (2)'!L36</f>
        <v>1399.556</v>
      </c>
      <c r="R241" s="12">
        <f>'Inputs (2)'!M36</f>
        <v>1399.556</v>
      </c>
      <c r="S241" s="46">
        <f>'Inputs (2)'!N36</f>
        <v>1448.60556487</v>
      </c>
      <c r="T241" s="46">
        <f>'Inputs (2)'!O36</f>
        <v>1400.04072114</v>
      </c>
      <c r="U241" s="46">
        <f>'Inputs (2)'!P36</f>
        <v>1429.05878962</v>
      </c>
      <c r="V241" s="46">
        <f>'Inputs (2)'!Q36</f>
        <v>1499.744892956</v>
      </c>
      <c r="W241" s="12">
        <f>'Inputs (2)'!R36</f>
        <v>1499.744892956</v>
      </c>
      <c r="X241" s="46">
        <f>'Inputs (2)'!S36</f>
        <v>1549.570144089</v>
      </c>
      <c r="Y241" s="46">
        <f>'Inputs (2)'!T36</f>
        <v>1641.605202739</v>
      </c>
      <c r="Z241" s="46">
        <f>'Inputs (2)'!U36</f>
        <v>1654.308334949</v>
      </c>
      <c r="AA241" s="46">
        <f>'Inputs (2)'!V36</f>
        <v>1664.98913914</v>
      </c>
      <c r="AB241" s="12">
        <f>'Inputs (2)'!W36</f>
        <v>1664.98913914</v>
      </c>
      <c r="AC241" s="46">
        <f>'Inputs (2)'!X36</f>
        <v>1329.38760701</v>
      </c>
      <c r="AD241" s="46">
        <f>'Inputs (2)'!Y36</f>
        <v>1663.23345869</v>
      </c>
      <c r="AE241" s="46">
        <f>'Inputs (2)'!Z36</f>
        <v>1720.59277814</v>
      </c>
      <c r="AF241" s="46">
        <f>'Inputs (2)'!AA36</f>
        <v>1437.18948274</v>
      </c>
      <c r="AG241" s="12">
        <f>'Inputs (2)'!AB36</f>
        <v>1437.18948274</v>
      </c>
      <c r="AH241" s="12">
        <f>'Inputs (2)'!AC36</f>
        <v>1415.91845937</v>
      </c>
      <c r="AI241" s="12">
        <f>'Inputs (2)'!AD36</f>
        <v>1671.7366149</v>
      </c>
      <c r="AJ241" s="12">
        <f>AI241</f>
        <v>1671.7366149</v>
      </c>
      <c r="AK241" s="12">
        <f>AJ241</f>
        <v>1671.7366149</v>
      </c>
      <c r="AL241" s="12">
        <f>AK241</f>
        <v>1671.7366149</v>
      </c>
      <c r="AM241" s="12">
        <f>AL241</f>
        <v>1671.7366149</v>
      </c>
      <c r="AN241" s="12">
        <f>AM241</f>
        <v>1671.7366149</v>
      </c>
      <c r="AO241" s="12">
        <f>AN241</f>
        <v>1671.7366149</v>
      </c>
      <c r="AP241" s="12">
        <f>AO241</f>
        <v>1671.7366149</v>
      </c>
      <c r="AQ241" s="12">
        <f>AP241</f>
        <v>1671.7366149</v>
      </c>
      <c r="AR241" s="12">
        <f>AQ241</f>
        <v>1671.7366149</v>
      </c>
      <c r="AS241" s="12">
        <f>AR241</f>
        <v>1671.7366149</v>
      </c>
      <c r="AT241" s="12">
        <f>AS241</f>
        <v>1671.7366149</v>
      </c>
      <c r="AU241" s="12">
        <f>AT241</f>
        <v>1671.7366149</v>
      </c>
      <c r="AV241" s="12">
        <f>AU241</f>
        <v>1671.7366149</v>
      </c>
      <c r="AW241" s="12">
        <f>AV241</f>
        <v>1671.7366149</v>
      </c>
      <c r="AX241" s="12">
        <f>AW241</f>
        <v>1671.7366149</v>
      </c>
      <c r="AY241" s="12">
        <f>AX241</f>
        <v>1671.7366149</v>
      </c>
      <c r="AZ241" s="12">
        <f>AY241</f>
        <v>1671.7366149</v>
      </c>
      <c r="BA241" s="12">
        <f>AZ241</f>
        <v>1671.7366149</v>
      </c>
      <c r="BB241" s="12">
        <f>BA241</f>
        <v>1671.7366149</v>
      </c>
      <c r="BC241" s="12">
        <f>BB241</f>
        <v>1671.7366149</v>
      </c>
      <c r="BD241" s="12">
        <f>BC241</f>
        <v>1671.7366149</v>
      </c>
      <c r="BE241" s="12">
        <f>BD241</f>
        <v>1671.7366149</v>
      </c>
      <c r="BF241" s="12">
        <f>BE241</f>
        <v>1671.7366149</v>
      </c>
      <c r="BG241" s="12" t="n"/>
      <c r="BH241" s="12" t="n"/>
      <c r="BI241" s="12" t="n"/>
      <c r="BJ241" s="12" t="n"/>
      <c r="BK241" s="12" t="n"/>
      <c r="BL241" s="12" t="n"/>
      <c r="BM241" s="12" t="n"/>
      <c r="BN241" s="12" t="n"/>
      <c r="BO241" s="12" t="n"/>
      <c r="BP241" s="12" t="n"/>
      <c r="BQ241" s="12" t="n"/>
      <c r="BR241" s="12" t="n"/>
      <c r="BS241" s="12" t="n"/>
      <c r="BT241" s="12" t="n"/>
      <c r="BU241" s="12" t="n"/>
      <c r="BV241" s="12" t="n"/>
      <c r="BW241" s="12" t="n"/>
      <c r="BX241" s="12" t="n"/>
      <c r="BY241" s="12" t="n"/>
      <c r="BZ241" s="12" t="n"/>
      <c r="CA241" s="12" t="n"/>
      <c r="CB241" s="12" t="n"/>
      <c r="CC241" s="12" t="n"/>
      <c r="CD241" s="12" t="n"/>
      <c r="CE241" s="12" t="n"/>
      <c r="CF241" s="12" t="n"/>
      <c r="CG241" s="12" t="n"/>
      <c r="CH241" s="12" t="n"/>
      <c r="CI241" s="12" t="n"/>
      <c r="CJ241" s="12" t="n"/>
      <c r="CK241" s="12" t="n"/>
      <c r="CL241" s="12" t="n"/>
      <c r="CM241" s="12" t="n"/>
      <c r="CN241" s="12" t="n"/>
      <c r="CO241" s="12" t="n"/>
      <c r="CP241" s="12" t="n"/>
      <c r="CQ241" s="12" t="n"/>
      <c r="CR241" s="12" t="n"/>
      <c r="CS241" s="12" t="n"/>
      <c r="CT241" s="12" t="n"/>
      <c r="CU241" s="12" t="n"/>
      <c r="CV241" s="12" t="n"/>
      <c r="CW241" s="12" t="n"/>
      <c r="CX241" s="12" t="n"/>
      <c r="CY241" s="12" t="n"/>
    </row>
    <row r="242" hidden="1" outlineLevel="1">
      <c r="C242" s="59" t="inlineStr">
        <is>
          <t>%(Var.)</t>
        </is>
      </c>
      <c r="D242" s="12" t="n"/>
      <c r="E242" s="40" t="n"/>
      <c r="F242" s="40" t="n"/>
      <c r="G242" s="40" t="n"/>
      <c r="H242" s="12" t="n"/>
      <c r="I242" s="40" t="str">
        <f>""</f>
        <v/>
      </c>
      <c r="J242" s="40">
        <f>IFERROR(IF(I241=0,"",J241/I241-1),"")</f>
        <v>0.128785112154011</v>
      </c>
      <c r="K242" s="40">
        <f>IFERROR(IF(J241=0,"",K241/J241-1),"")</f>
        <v>-0.266447329121996</v>
      </c>
      <c r="L242" s="40">
        <f>IFERROR(IF(K241=0,"",L241/K241-1),"")</f>
        <v>0.574900794834411</v>
      </c>
      <c r="M242" s="12">
        <f>IF(L241=0,"",M241/L241-1)</f>
        <v>0</v>
      </c>
      <c r="N242" s="40">
        <f>IFERROR(IF(M241=0,"",N241/M241-1),"")</f>
        <v>0.0719654672422128</v>
      </c>
      <c r="O242" s="40">
        <f>IFERROR(IF(N241=0,"",O241/N241-1),"")</f>
        <v>0.0724188667564651</v>
      </c>
      <c r="P242" s="40">
        <f>IFERROR(IF(O241=0,"",P241/O241-1),"")</f>
        <v>0.275355652616291</v>
      </c>
      <c r="Q242" s="40">
        <f>IFERROR(IF(P241=0,"",Q241/P241-1),"")</f>
        <v>0.446313881474179</v>
      </c>
      <c r="R242" s="12">
        <f>IF(Q241=0,"",R241/Q241-1)</f>
        <v>0</v>
      </c>
      <c r="S242" s="40">
        <f>IFERROR(IF(R241=0,"",S241/R241-1),"")</f>
        <v>0.0350465182314961</v>
      </c>
      <c r="T242" s="40">
        <f>IFERROR(IF(S241=0,"",T241/S241-1),"")</f>
        <v>-0.0335252362049003</v>
      </c>
      <c r="U242" s="40">
        <f>IFERROR(IF(T241=0,"",U241/T241-1),"")</f>
        <v>0.0207265889069082</v>
      </c>
      <c r="V242" s="40">
        <f>IFERROR(IF(U241=0,"",V241/U241-1),"")</f>
        <v>0.0494633977618206</v>
      </c>
      <c r="W242" s="12">
        <f>IF(V241=0,"",W241/V241-1)</f>
        <v>0</v>
      </c>
      <c r="X242" s="40">
        <f>IFERROR(IF(W241=0,"",X241/W241-1),"")</f>
        <v>0.0332224842818396</v>
      </c>
      <c r="Y242" s="40">
        <f>IFERROR(IF(X241=0,"",Y241/X241-1),"")</f>
        <v>0.0593939286976313</v>
      </c>
      <c r="Z242" s="40">
        <f>IFERROR(IF(Y241=0,"",Z241/Y241-1),"")</f>
        <v>0.00773823827361464</v>
      </c>
      <c r="AA242" s="40">
        <f>IFERROR(IF(Z241=0,"",AA241/Z241-1),"")</f>
        <v>0.0064563563909803</v>
      </c>
      <c r="AB242" s="12">
        <f>IF(AA241=0,"",AB241/AA241-1)</f>
        <v>0</v>
      </c>
      <c r="AC242" s="40">
        <f>IFERROR(IF(AB241=0,"",AC241/AB241-1),"")</f>
        <v>-0.201563796568274</v>
      </c>
      <c r="AD242" s="40">
        <f>IFERROR(IF(AC241=0,"",AD241/AC241-1),"")</f>
        <v>0.251127549196033</v>
      </c>
      <c r="AE242" s="40">
        <f>IFERROR(IF(AD241=0,"",AE241/AD241-1),"")</f>
        <v>0.0344866315370891</v>
      </c>
      <c r="AF242" s="41">
        <f>IFERROR(IF(AE241=0,"",AF241/AE241-1),"")</f>
        <v>-0.164712591497894</v>
      </c>
      <c r="AG242" s="12">
        <f>IF(AF241=0,"",AG241/AF241-1)</f>
        <v>0</v>
      </c>
      <c r="AH242" s="11">
        <f>IFERROR(IF(AG241=0,"",AH241/AG241-1),"")</f>
        <v>-0.014800430719439</v>
      </c>
      <c r="AI242" s="11">
        <f>IFERROR(IF(AH241=0,"",AI241/AH241-1),"")</f>
        <v>0.180672943301992</v>
      </c>
      <c r="AJ242" s="11">
        <f>IFERROR(IF(AI241=0,"",AJ241/AI241-1),"")</f>
        <v>0</v>
      </c>
      <c r="AK242" s="11">
        <f>IFERROR(IF(AJ241=0,"",AK241/AJ241-1),"")</f>
        <v>0</v>
      </c>
      <c r="AL242" s="12">
        <f>IFERROR(IF(AK241=0,"",AL241/AK241-1),"")</f>
        <v>0</v>
      </c>
      <c r="AM242" s="11">
        <f>IFERROR(IF(AL241=0,"",AM241/AL241-1),"")</f>
        <v>0</v>
      </c>
      <c r="AN242" s="11">
        <f>IFERROR(IF(AM241=0,"",AN241/AM241-1),"")</f>
        <v>0</v>
      </c>
      <c r="AO242" s="11">
        <f>IFERROR(IF(AN241=0,"",AO241/AN241-1),"")</f>
        <v>0</v>
      </c>
      <c r="AP242" s="11">
        <f>IFERROR(IF(AO241=0,"",AP241/AO241-1),"")</f>
        <v>0</v>
      </c>
      <c r="AQ242" s="12">
        <f>IFERROR(IF(AP241=0,"",AQ241/AP241-1),"")</f>
        <v>0</v>
      </c>
      <c r="AR242" s="11">
        <f>IFERROR(IF(AQ241=0,"",AR241/AQ241-1),"")</f>
        <v>0</v>
      </c>
      <c r="AS242" s="11">
        <f>IFERROR(IF(AR241=0,"",AS241/AR241-1),"")</f>
        <v>0</v>
      </c>
      <c r="AT242" s="11">
        <f>IFERROR(IF(AS241=0,"",AT241/AS241-1),"")</f>
        <v>0</v>
      </c>
      <c r="AU242" s="11">
        <f>IFERROR(IF(AT241=0,"",AU241/AT241-1),"")</f>
        <v>0</v>
      </c>
      <c r="AV242" s="12">
        <f>IFERROR(IF(AU241=0,"",AV241/AU241-1),"")</f>
        <v>0</v>
      </c>
      <c r="AW242" s="11">
        <f>IFERROR(IF(AV241=0,"",AW241/AV241-1),"")</f>
        <v>0</v>
      </c>
      <c r="AX242" s="11">
        <f>IFERROR(IF(AW241=0,"",AX241/AW241-1),"")</f>
        <v>0</v>
      </c>
      <c r="AY242" s="11">
        <f>IFERROR(IF(AX241=0,"",AY241/AX241-1),"")</f>
        <v>0</v>
      </c>
      <c r="AZ242" s="11">
        <f>IFERROR(IF(AY241=0,"",AZ241/AY241-1),"")</f>
        <v>0</v>
      </c>
      <c r="BA242" s="12">
        <f>IFERROR(IF(AZ241=0,"",BA241/AZ241-1),"")</f>
        <v>0</v>
      </c>
      <c r="BB242" s="11">
        <f>IFERROR(IF(BA241=0,"",BB241/BA241-1),"")</f>
        <v>0</v>
      </c>
      <c r="BC242" s="11">
        <f>IFERROR(IF(BB241=0,"",BC241/BB241-1),"")</f>
        <v>0</v>
      </c>
      <c r="BD242" s="11">
        <f>IFERROR(IF(BC241=0,"",BD241/BC241-1),"")</f>
        <v>0</v>
      </c>
      <c r="BE242" s="11">
        <f>IFERROR(IF(BD241=0,"",BE241/BD241-1),"")</f>
        <v>0</v>
      </c>
      <c r="BF242" s="12">
        <f>IFERROR(IF(BE241=0,"",BF241/BE241-1),"")</f>
        <v>0</v>
      </c>
      <c r="BG242" s="11" t="n"/>
      <c r="BH242" s="11" t="n"/>
      <c r="BI242" s="11" t="n"/>
      <c r="BJ242" s="11" t="n"/>
      <c r="BK242" s="12" t="n"/>
      <c r="BL242" s="11" t="n"/>
      <c r="BM242" s="11" t="n"/>
      <c r="BN242" s="11" t="n"/>
      <c r="BO242" s="11" t="n"/>
      <c r="BP242" s="12" t="n"/>
      <c r="BQ242" s="11" t="n"/>
      <c r="BR242" s="11" t="n"/>
      <c r="BS242" s="11" t="n"/>
      <c r="BT242" s="11" t="n"/>
      <c r="BU242" s="12" t="n"/>
      <c r="BV242" s="11" t="n"/>
      <c r="BW242" s="11" t="n"/>
      <c r="BX242" s="11" t="n"/>
      <c r="BY242" s="11" t="n"/>
      <c r="BZ242" s="12" t="n"/>
      <c r="CA242" s="11" t="n"/>
      <c r="CB242" s="11" t="n"/>
      <c r="CC242" s="11" t="n"/>
      <c r="CD242" s="11" t="n"/>
      <c r="CE242" s="12" t="n"/>
      <c r="CF242" s="11" t="n"/>
      <c r="CG242" s="11" t="n"/>
      <c r="CH242" s="11" t="n"/>
      <c r="CI242" s="11" t="n"/>
      <c r="CJ242" s="12" t="n"/>
      <c r="CK242" s="11" t="n"/>
      <c r="CL242" s="11" t="n"/>
      <c r="CM242" s="11" t="n"/>
      <c r="CN242" s="11" t="n"/>
      <c r="CO242" s="12" t="n"/>
      <c r="CP242" s="11" t="n"/>
      <c r="CQ242" s="11" t="n"/>
      <c r="CR242" s="11" t="n"/>
      <c r="CS242" s="11" t="n"/>
      <c r="CT242" s="12" t="n"/>
      <c r="CU242" s="11" t="n"/>
      <c r="CV242" s="11" t="n"/>
      <c r="CW242" s="11" t="n"/>
      <c r="CX242" s="11" t="n"/>
      <c r="CY242" s="12" t="n"/>
    </row>
    <row r="243" hidden="1" outlineLevel="1">
      <c r="C243" s="57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  <c r="AJ243" s="12" t="n"/>
      <c r="AK243" s="12" t="n"/>
      <c r="AL243" s="12" t="n"/>
      <c r="AM243" s="12" t="n"/>
      <c r="AN243" s="12" t="n"/>
      <c r="AO243" s="12" t="n"/>
      <c r="AP243" s="12" t="n"/>
      <c r="AQ243" s="12" t="n"/>
      <c r="AR243" s="12" t="n"/>
      <c r="AS243" s="12" t="n"/>
      <c r="AT243" s="12" t="n"/>
      <c r="AU243" s="12" t="n"/>
      <c r="AV243" s="12" t="n"/>
      <c r="AW243" s="12" t="n"/>
      <c r="AX243" s="12" t="n"/>
      <c r="AY243" s="12" t="n"/>
      <c r="AZ243" s="12" t="n"/>
      <c r="BA243" s="12" t="n"/>
      <c r="BB243" s="12" t="n"/>
      <c r="BC243" s="12" t="n"/>
      <c r="BD243" s="12" t="n"/>
      <c r="BE243" s="12" t="n"/>
      <c r="BF243" s="12" t="n"/>
      <c r="BG243" s="12" t="n"/>
      <c r="BH243" s="12" t="n"/>
      <c r="BI243" s="12" t="n"/>
      <c r="BJ243" s="12" t="n"/>
      <c r="BK243" s="12" t="n"/>
      <c r="BL243" s="12" t="n"/>
      <c r="BM243" s="12" t="n"/>
      <c r="BN243" s="12" t="n"/>
      <c r="BO243" s="12" t="n"/>
      <c r="BP243" s="12" t="n"/>
      <c r="BQ243" s="12" t="n"/>
      <c r="BR243" s="12" t="n"/>
      <c r="BS243" s="12" t="n"/>
      <c r="BT243" s="12" t="n"/>
      <c r="BU243" s="12" t="n"/>
      <c r="BV243" s="12" t="n"/>
      <c r="BW243" s="12" t="n"/>
      <c r="BX243" s="12" t="n"/>
      <c r="BY243" s="12" t="n"/>
      <c r="BZ243" s="12" t="n"/>
      <c r="CA243" s="12" t="n"/>
      <c r="CB243" s="12" t="n"/>
      <c r="CC243" s="12" t="n"/>
      <c r="CD243" s="12" t="n"/>
      <c r="CE243" s="12" t="n"/>
      <c r="CF243" s="12" t="n"/>
      <c r="CG243" s="12" t="n"/>
      <c r="CH243" s="12" t="n"/>
      <c r="CI243" s="12" t="n"/>
      <c r="CJ243" s="12" t="n"/>
      <c r="CK243" s="12" t="n"/>
      <c r="CL243" s="12" t="n"/>
      <c r="CM243" s="12" t="n"/>
      <c r="CN243" s="12" t="n"/>
      <c r="CO243" s="12" t="n"/>
      <c r="CP243" s="12" t="n"/>
      <c r="CQ243" s="12" t="n"/>
      <c r="CR243" s="12" t="n"/>
      <c r="CS243" s="12" t="n"/>
      <c r="CT243" s="12" t="n"/>
      <c r="CU243" s="12" t="n"/>
      <c r="CV243" s="12" t="n"/>
      <c r="CW243" s="12" t="n"/>
      <c r="CX243" s="12" t="n"/>
      <c r="CY243" s="12" t="n"/>
    </row>
    <row r="244" collapsed="1">
      <c r="C244" s="14" t="inlineStr">
        <is>
          <t>Convertible debt</t>
        </is>
      </c>
      <c r="D244" s="46" t="n"/>
      <c r="E244" s="46" t="n"/>
      <c r="F244" s="46" t="n"/>
      <c r="G244" s="46" t="n"/>
      <c r="H244" s="12" t="n"/>
      <c r="I244" s="46">
        <f>'Inputs (2)'!D37</f>
        <v>0</v>
      </c>
      <c r="J244" s="46">
        <f>'Inputs (2)'!E37</f>
        <v>0</v>
      </c>
      <c r="K244" s="46">
        <f>'Inputs (2)'!F37</f>
        <v>0</v>
      </c>
      <c r="L244" s="46">
        <f>'Inputs (2)'!G37</f>
        <v>0</v>
      </c>
      <c r="M244" s="12">
        <f>'Inputs (2)'!H37</f>
        <v>0</v>
      </c>
      <c r="N244" s="46">
        <f>'Inputs (2)'!I37</f>
        <v>0</v>
      </c>
      <c r="O244" s="46">
        <f>'Inputs (2)'!J37</f>
        <v>0</v>
      </c>
      <c r="P244" s="46">
        <f>'Inputs (2)'!K37</f>
        <v>0</v>
      </c>
      <c r="Q244" s="46">
        <f>'Inputs (2)'!L37</f>
        <v>0</v>
      </c>
      <c r="R244" s="12">
        <f>'Inputs (2)'!M37</f>
        <v>0</v>
      </c>
      <c r="S244" s="46">
        <f>'Inputs (2)'!N37</f>
        <v>0</v>
      </c>
      <c r="T244" s="46">
        <f>'Inputs (2)'!O37</f>
        <v>0</v>
      </c>
      <c r="U244" s="46">
        <f>'Inputs (2)'!P37</f>
        <v>0</v>
      </c>
      <c r="V244" s="46">
        <f>'Inputs (2)'!Q37</f>
        <v>0</v>
      </c>
      <c r="W244" s="12">
        <f>'Inputs (2)'!R37</f>
        <v>0</v>
      </c>
      <c r="X244" s="46">
        <f>'Inputs (2)'!S37</f>
        <v>0</v>
      </c>
      <c r="Y244" s="46">
        <f>'Inputs (2)'!T37</f>
        <v>0</v>
      </c>
      <c r="Z244" s="46">
        <f>'Inputs (2)'!U37</f>
        <v>0</v>
      </c>
      <c r="AA244" s="46">
        <f>'Inputs (2)'!V37</f>
        <v>0</v>
      </c>
      <c r="AB244" s="12">
        <f>'Inputs (2)'!W37</f>
        <v>0</v>
      </c>
      <c r="AC244" s="46">
        <f>'Inputs (2)'!X37</f>
        <v>0</v>
      </c>
      <c r="AD244" s="46">
        <f>'Inputs (2)'!Y37</f>
        <v>0</v>
      </c>
      <c r="AE244" s="46">
        <f>'Inputs (2)'!Z37</f>
        <v>0</v>
      </c>
      <c r="AF244" s="46">
        <f>'Inputs (2)'!AA37</f>
        <v>0</v>
      </c>
      <c r="AG244" s="12">
        <f>'Inputs (2)'!AB37</f>
        <v>0</v>
      </c>
      <c r="AH244" s="12">
        <f>'Inputs (2)'!AC37</f>
        <v>0</v>
      </c>
      <c r="AI244" s="12">
        <f>'Inputs (2)'!AD37</f>
        <v>0</v>
      </c>
      <c r="AJ244" s="12">
        <f>AI244</f>
        <v>0</v>
      </c>
      <c r="AK244" s="12">
        <f>AJ244</f>
        <v>0</v>
      </c>
      <c r="AL244" s="12">
        <f>AK244</f>
        <v>0</v>
      </c>
      <c r="AM244" s="12">
        <f>AL244</f>
        <v>0</v>
      </c>
      <c r="AN244" s="12">
        <f>AM244</f>
        <v>0</v>
      </c>
      <c r="AO244" s="12">
        <f>AN244</f>
        <v>0</v>
      </c>
      <c r="AP244" s="12">
        <f>AO244</f>
        <v>0</v>
      </c>
      <c r="AQ244" s="12">
        <f>AP244</f>
        <v>0</v>
      </c>
      <c r="AR244" s="12">
        <f>AQ244</f>
        <v>0</v>
      </c>
      <c r="AS244" s="12">
        <f>AR244</f>
        <v>0</v>
      </c>
      <c r="AT244" s="12">
        <f>AS244</f>
        <v>0</v>
      </c>
      <c r="AU244" s="12">
        <f>AT244</f>
        <v>0</v>
      </c>
      <c r="AV244" s="12">
        <f>AU244</f>
        <v>0</v>
      </c>
      <c r="AW244" s="12">
        <f>AV244</f>
        <v>0</v>
      </c>
      <c r="AX244" s="12">
        <f>AW244</f>
        <v>0</v>
      </c>
      <c r="AY244" s="12">
        <f>AX244</f>
        <v>0</v>
      </c>
      <c r="AZ244" s="12">
        <f>AY244</f>
        <v>0</v>
      </c>
      <c r="BA244" s="12">
        <f>AZ244</f>
        <v>0</v>
      </c>
      <c r="BB244" s="12">
        <f>BA244</f>
        <v>0</v>
      </c>
      <c r="BC244" s="12">
        <f>BB244</f>
        <v>0</v>
      </c>
      <c r="BD244" s="12">
        <f>BC244</f>
        <v>0</v>
      </c>
      <c r="BE244" s="12">
        <f>BD244</f>
        <v>0</v>
      </c>
      <c r="BF244" s="12">
        <f>BE244</f>
        <v>0</v>
      </c>
      <c r="BG244" s="12" t="n"/>
      <c r="BH244" s="12" t="n"/>
      <c r="BI244" s="12" t="n"/>
      <c r="BJ244" s="12" t="n"/>
      <c r="BK244" s="12" t="n"/>
      <c r="BL244" s="12" t="n"/>
      <c r="BM244" s="12" t="n"/>
      <c r="BN244" s="12" t="n"/>
      <c r="BO244" s="12" t="n"/>
      <c r="BP244" s="12" t="n"/>
      <c r="BQ244" s="12" t="n"/>
      <c r="BR244" s="12" t="n"/>
      <c r="BS244" s="12" t="n"/>
      <c r="BT244" s="12" t="n"/>
      <c r="BU244" s="12" t="n"/>
      <c r="BV244" s="12" t="n"/>
      <c r="BW244" s="12" t="n"/>
      <c r="BX244" s="12" t="n"/>
      <c r="BY244" s="12" t="n"/>
      <c r="BZ244" s="12" t="n"/>
      <c r="CA244" s="12" t="n"/>
      <c r="CB244" s="12" t="n"/>
      <c r="CC244" s="12" t="n"/>
      <c r="CD244" s="12" t="n"/>
      <c r="CE244" s="12" t="n"/>
      <c r="CF244" s="12" t="n"/>
      <c r="CG244" s="12" t="n"/>
      <c r="CH244" s="12" t="n"/>
      <c r="CI244" s="12" t="n"/>
      <c r="CJ244" s="12" t="n"/>
      <c r="CK244" s="12" t="n"/>
      <c r="CL244" s="12" t="n"/>
      <c r="CM244" s="12" t="n"/>
      <c r="CN244" s="12" t="n"/>
      <c r="CO244" s="12" t="n"/>
      <c r="CP244" s="12" t="n"/>
      <c r="CQ244" s="12" t="n"/>
      <c r="CR244" s="12" t="n"/>
      <c r="CS244" s="12" t="n"/>
      <c r="CT244" s="12" t="n"/>
      <c r="CU244" s="12" t="n"/>
      <c r="CV244" s="12" t="n"/>
      <c r="CW244" s="12" t="n"/>
      <c r="CX244" s="12" t="n"/>
      <c r="CY244" s="12" t="n"/>
    </row>
    <row r="245">
      <c r="C245" s="14" t="inlineStr">
        <is>
          <t>Deferred income taxes</t>
        </is>
      </c>
      <c r="D245" s="46" t="n"/>
      <c r="E245" s="46" t="n"/>
      <c r="F245" s="46" t="n"/>
      <c r="G245" s="46" t="n"/>
      <c r="H245" s="12" t="n"/>
      <c r="I245" s="46">
        <f>'Inputs (2)'!D38</f>
        <v>625.738</v>
      </c>
      <c r="J245" s="46">
        <f>'Inputs (2)'!E38</f>
        <v>761.224803474</v>
      </c>
      <c r="K245" s="46">
        <f>'Inputs (2)'!F38</f>
        <v>952.252</v>
      </c>
      <c r="L245" s="46">
        <f>'Inputs (2)'!G38</f>
        <v>1038.582</v>
      </c>
      <c r="M245" s="12">
        <f>'Inputs (2)'!H38</f>
        <v>1038.582</v>
      </c>
      <c r="N245" s="46">
        <f>'Inputs (2)'!I38</f>
        <v>1027.149</v>
      </c>
      <c r="O245" s="46">
        <f>'Inputs (2)'!J38</f>
        <v>1146.917</v>
      </c>
      <c r="P245" s="46">
        <f>'Inputs (2)'!K38</f>
        <v>1221.456</v>
      </c>
      <c r="Q245" s="46">
        <f>'Inputs (2)'!L38</f>
        <v>1205.986</v>
      </c>
      <c r="R245" s="12">
        <f>'Inputs (2)'!M38</f>
        <v>1205.986</v>
      </c>
      <c r="S245" s="46">
        <f>'Inputs (2)'!N38</f>
        <v>1389.603526757</v>
      </c>
      <c r="T245" s="46">
        <f>'Inputs (2)'!O38</f>
        <v>1518.261844707</v>
      </c>
      <c r="U245" s="46">
        <f>'Inputs (2)'!P38</f>
        <v>1513.033617955</v>
      </c>
      <c r="V245" s="46">
        <f>'Inputs (2)'!Q38</f>
        <v>1494.779262608</v>
      </c>
      <c r="W245" s="12">
        <f>'Inputs (2)'!R38</f>
        <v>1494.779262608</v>
      </c>
      <c r="X245" s="46">
        <f>'Inputs (2)'!S38</f>
        <v>1615.290270759</v>
      </c>
      <c r="Y245" s="46">
        <f>'Inputs (2)'!T38</f>
        <v>1679.8137356</v>
      </c>
      <c r="Z245" s="46">
        <f>'Inputs (2)'!U38</f>
        <v>1920.669425864</v>
      </c>
      <c r="AA245" s="46">
        <f>'Inputs (2)'!V38</f>
        <v>1593.23390944</v>
      </c>
      <c r="AB245" s="12">
        <f>'Inputs (2)'!W38</f>
        <v>1593.23390944</v>
      </c>
      <c r="AC245" s="46">
        <f>'Inputs (2)'!X38</f>
        <v>1591.58878821</v>
      </c>
      <c r="AD245" s="46">
        <f>'Inputs (2)'!Y38</f>
        <v>1660.63737016</v>
      </c>
      <c r="AE245" s="46">
        <f>'Inputs (2)'!Z38</f>
        <v>1697.59706335</v>
      </c>
      <c r="AF245" s="46">
        <f>'Inputs (2)'!AA38</f>
        <v>1895.53506878</v>
      </c>
      <c r="AG245" s="12">
        <f>'Inputs (2)'!AB38</f>
        <v>1895.53506878</v>
      </c>
      <c r="AH245" s="12">
        <f>'Inputs (2)'!AC38</f>
        <v>1984.03141804</v>
      </c>
      <c r="AI245" s="12">
        <f>'Inputs (2)'!AD38</f>
        <v>2004.35223231</v>
      </c>
      <c r="AJ245" s="12">
        <f>AI245</f>
        <v>2004.35223231</v>
      </c>
      <c r="AK245" s="12">
        <f>AJ245</f>
        <v>2004.35223231</v>
      </c>
      <c r="AL245" s="12">
        <f>AK245</f>
        <v>2004.35223231</v>
      </c>
      <c r="AM245" s="12">
        <f>AL245</f>
        <v>2004.35223231</v>
      </c>
      <c r="AN245" s="12">
        <f>AM245</f>
        <v>2004.35223231</v>
      </c>
      <c r="AO245" s="12">
        <f>AN245</f>
        <v>2004.35223231</v>
      </c>
      <c r="AP245" s="12">
        <f>AO245</f>
        <v>2004.35223231</v>
      </c>
      <c r="AQ245" s="12">
        <f>AP245</f>
        <v>2004.35223231</v>
      </c>
      <c r="AR245" s="12">
        <f>AQ245</f>
        <v>2004.35223231</v>
      </c>
      <c r="AS245" s="12">
        <f>AR245</f>
        <v>2004.35223231</v>
      </c>
      <c r="AT245" s="12">
        <f>AS245</f>
        <v>2004.35223231</v>
      </c>
      <c r="AU245" s="12">
        <f>AT245</f>
        <v>2004.35223231</v>
      </c>
      <c r="AV245" s="12">
        <f>AU245</f>
        <v>2004.35223231</v>
      </c>
      <c r="AW245" s="12">
        <f>AV245</f>
        <v>2004.35223231</v>
      </c>
      <c r="AX245" s="12">
        <f>AW245</f>
        <v>2004.35223231</v>
      </c>
      <c r="AY245" s="12">
        <f>AX245</f>
        <v>2004.35223231</v>
      </c>
      <c r="AZ245" s="12">
        <f>AY245</f>
        <v>2004.35223231</v>
      </c>
      <c r="BA245" s="12">
        <f>AZ245</f>
        <v>2004.35223231</v>
      </c>
      <c r="BB245" s="12">
        <f>BA245</f>
        <v>2004.35223231</v>
      </c>
      <c r="BC245" s="12">
        <f>BB245</f>
        <v>2004.35223231</v>
      </c>
      <c r="BD245" s="12">
        <f>BC245</f>
        <v>2004.35223231</v>
      </c>
      <c r="BE245" s="12">
        <f>BD245</f>
        <v>2004.35223231</v>
      </c>
      <c r="BF245" s="12">
        <f>BE245</f>
        <v>2004.35223231</v>
      </c>
      <c r="BG245" s="12" t="n"/>
      <c r="BH245" s="12" t="n"/>
      <c r="BI245" s="12" t="n"/>
      <c r="BJ245" s="12" t="n"/>
      <c r="BK245" s="12" t="n"/>
      <c r="BL245" s="12" t="n"/>
      <c r="BM245" s="12" t="n"/>
      <c r="BN245" s="12" t="n"/>
      <c r="BO245" s="12" t="n"/>
      <c r="BP245" s="12" t="n"/>
      <c r="BQ245" s="12" t="n"/>
      <c r="BR245" s="12" t="n"/>
      <c r="BS245" s="12" t="n"/>
      <c r="BT245" s="12" t="n"/>
      <c r="BU245" s="12" t="n"/>
      <c r="BV245" s="12" t="n"/>
      <c r="BW245" s="12" t="n"/>
      <c r="BX245" s="12" t="n"/>
      <c r="BY245" s="12" t="n"/>
      <c r="BZ245" s="12" t="n"/>
      <c r="CA245" s="12" t="n"/>
      <c r="CB245" s="12" t="n"/>
      <c r="CC245" s="12" t="n"/>
      <c r="CD245" s="12" t="n"/>
      <c r="CE245" s="12" t="n"/>
      <c r="CF245" s="12" t="n"/>
      <c r="CG245" s="12" t="n"/>
      <c r="CH245" s="12" t="n"/>
      <c r="CI245" s="12" t="n"/>
      <c r="CJ245" s="12" t="n"/>
      <c r="CK245" s="12" t="n"/>
      <c r="CL245" s="12" t="n"/>
      <c r="CM245" s="12" t="n"/>
      <c r="CN245" s="12" t="n"/>
      <c r="CO245" s="12" t="n"/>
      <c r="CP245" s="12" t="n"/>
      <c r="CQ245" s="12" t="n"/>
      <c r="CR245" s="12" t="n"/>
      <c r="CS245" s="12" t="n"/>
      <c r="CT245" s="12" t="n"/>
      <c r="CU245" s="12" t="n"/>
      <c r="CV245" s="12" t="n"/>
      <c r="CW245" s="12" t="n"/>
      <c r="CX245" s="12" t="n"/>
      <c r="CY245" s="12" t="n"/>
    </row>
    <row r="246">
      <c r="C246" s="14" t="inlineStr">
        <is>
          <t>Other non-current liabilities</t>
        </is>
      </c>
      <c r="D246" s="46" t="n"/>
      <c r="E246" s="46" t="n"/>
      <c r="F246" s="46" t="n"/>
      <c r="G246" s="46" t="n"/>
      <c r="H246" s="12" t="n"/>
      <c r="I246" s="46">
        <f>'Inputs (2)'!D39</f>
        <v>746.9006543</v>
      </c>
      <c r="J246" s="46">
        <f>'Inputs (2)'!E39</f>
        <v>1464.96559789</v>
      </c>
      <c r="K246" s="46">
        <f>'Inputs (2)'!F39</f>
        <v>1577.624</v>
      </c>
      <c r="L246" s="46">
        <f>'Inputs (2)'!G39</f>
        <v>1334.341</v>
      </c>
      <c r="M246" s="12">
        <f>'Inputs (2)'!H39</f>
        <v>1334.341</v>
      </c>
      <c r="N246" s="46">
        <f>'Inputs (2)'!I39</f>
        <v>2820.215</v>
      </c>
      <c r="O246" s="46">
        <f>'Inputs (2)'!J39</f>
        <v>3042.713</v>
      </c>
      <c r="P246" s="46">
        <f>'Inputs (2)'!K39</f>
        <v>4484.726</v>
      </c>
      <c r="Q246" s="46">
        <f>'Inputs (2)'!L39</f>
        <v>5239.022</v>
      </c>
      <c r="R246" s="12">
        <f>'Inputs (2)'!M39</f>
        <v>5239.022</v>
      </c>
      <c r="S246" s="46">
        <f>'Inputs (2)'!N39</f>
        <v>5320.840505532</v>
      </c>
      <c r="T246" s="46">
        <f>'Inputs (2)'!O39</f>
        <v>5454.198736771</v>
      </c>
      <c r="U246" s="46">
        <f>'Inputs (2)'!P39</f>
        <v>5512.703122277</v>
      </c>
      <c r="V246" s="46">
        <f>'Inputs (2)'!Q39</f>
        <v>5445.133912476</v>
      </c>
      <c r="W246" s="12">
        <f>'Inputs (2)'!R39</f>
        <v>5445.133912476</v>
      </c>
      <c r="X246" s="46">
        <f>'Inputs (2)'!S39</f>
        <v>5397.672746672</v>
      </c>
      <c r="Y246" s="46">
        <f>'Inputs (2)'!T39</f>
        <v>5191.796766259</v>
      </c>
      <c r="Z246" s="46">
        <f>'Inputs (2)'!U39</f>
        <v>4981.948645405</v>
      </c>
      <c r="AA246" s="46">
        <f>'Inputs (2)'!V39</f>
        <v>5672.1462521</v>
      </c>
      <c r="AB246" s="12">
        <f>'Inputs (2)'!W39</f>
        <v>5672.1462521</v>
      </c>
      <c r="AC246" s="46">
        <f>'Inputs (2)'!X39</f>
        <v>5219.72461246</v>
      </c>
      <c r="AD246" s="46">
        <f>'Inputs (2)'!Y39</f>
        <v>5170.98587767</v>
      </c>
      <c r="AE246" s="46">
        <f>'Inputs (2)'!Z39</f>
        <v>6015.90205059</v>
      </c>
      <c r="AF246" s="46">
        <f>'Inputs (2)'!AA39</f>
        <v>5585.13379754</v>
      </c>
      <c r="AG246" s="12">
        <f>'Inputs (2)'!AB39</f>
        <v>5585.13379754</v>
      </c>
      <c r="AH246" s="12">
        <f>'Inputs (2)'!AC39</f>
        <v>4604.21896993</v>
      </c>
      <c r="AI246" s="12">
        <f>'Inputs (2)'!AD39</f>
        <v>5000.46659573</v>
      </c>
      <c r="AJ246" s="12">
        <f>AI246</f>
        <v>5000.46659573</v>
      </c>
      <c r="AK246" s="12">
        <f>AJ246</f>
        <v>5000.46659573</v>
      </c>
      <c r="AL246" s="12">
        <f>AK246</f>
        <v>5000.46659573</v>
      </c>
      <c r="AM246" s="12">
        <f>AL246</f>
        <v>5000.46659573</v>
      </c>
      <c r="AN246" s="12">
        <f>AM246</f>
        <v>5000.46659573</v>
      </c>
      <c r="AO246" s="12">
        <f>AN246</f>
        <v>5000.46659573</v>
      </c>
      <c r="AP246" s="12">
        <f>AO246</f>
        <v>5000.46659573</v>
      </c>
      <c r="AQ246" s="12">
        <f>AP246</f>
        <v>5000.46659573</v>
      </c>
      <c r="AR246" s="12">
        <f>AQ246</f>
        <v>5000.46659573</v>
      </c>
      <c r="AS246" s="12">
        <f>AR246</f>
        <v>5000.46659573</v>
      </c>
      <c r="AT246" s="12">
        <f>AS246</f>
        <v>5000.46659573</v>
      </c>
      <c r="AU246" s="12">
        <f>AT246</f>
        <v>5000.46659573</v>
      </c>
      <c r="AV246" s="12">
        <f>AU246</f>
        <v>5000.46659573</v>
      </c>
      <c r="AW246" s="12">
        <f>AV246</f>
        <v>5000.46659573</v>
      </c>
      <c r="AX246" s="12">
        <f>AW246</f>
        <v>5000.46659573</v>
      </c>
      <c r="AY246" s="12">
        <f>AX246</f>
        <v>5000.46659573</v>
      </c>
      <c r="AZ246" s="12">
        <f>AY246</f>
        <v>5000.46659573</v>
      </c>
      <c r="BA246" s="12">
        <f>AZ246</f>
        <v>5000.46659573</v>
      </c>
      <c r="BB246" s="12">
        <f>BA246</f>
        <v>5000.46659573</v>
      </c>
      <c r="BC246" s="12">
        <f>BB246</f>
        <v>5000.46659573</v>
      </c>
      <c r="BD246" s="12">
        <f>BC246</f>
        <v>5000.46659573</v>
      </c>
      <c r="BE246" s="12">
        <f>BD246</f>
        <v>5000.46659573</v>
      </c>
      <c r="BF246" s="12">
        <f>BE246</f>
        <v>5000.46659573</v>
      </c>
      <c r="BG246" s="12" t="n"/>
      <c r="BH246" s="12" t="n"/>
      <c r="BI246" s="12" t="n"/>
      <c r="BJ246" s="12" t="n"/>
      <c r="BK246" s="12" t="n"/>
      <c r="BL246" s="12" t="n"/>
      <c r="BM246" s="12" t="n"/>
      <c r="BN246" s="12" t="n"/>
      <c r="BO246" s="12" t="n"/>
      <c r="BP246" s="12" t="n"/>
      <c r="BQ246" s="12" t="n"/>
      <c r="BR246" s="12" t="n"/>
      <c r="BS246" s="12" t="n"/>
      <c r="BT246" s="12" t="n"/>
      <c r="BU246" s="12" t="n"/>
      <c r="BV246" s="12" t="n"/>
      <c r="BW246" s="12" t="n"/>
      <c r="BX246" s="12" t="n"/>
      <c r="BY246" s="12" t="n"/>
      <c r="BZ246" s="12" t="n"/>
      <c r="CA246" s="12" t="n"/>
      <c r="CB246" s="12" t="n"/>
      <c r="CC246" s="12" t="n"/>
      <c r="CD246" s="12" t="n"/>
      <c r="CE246" s="12" t="n"/>
      <c r="CF246" s="12" t="n"/>
      <c r="CG246" s="12" t="n"/>
      <c r="CH246" s="12" t="n"/>
      <c r="CI246" s="12" t="n"/>
      <c r="CJ246" s="12" t="n"/>
      <c r="CK246" s="12" t="n"/>
      <c r="CL246" s="12" t="n"/>
      <c r="CM246" s="12" t="n"/>
      <c r="CN246" s="12" t="n"/>
      <c r="CO246" s="12" t="n"/>
      <c r="CP246" s="12" t="n"/>
      <c r="CQ246" s="12" t="n"/>
      <c r="CR246" s="12" t="n"/>
      <c r="CS246" s="12" t="n"/>
      <c r="CT246" s="12" t="n"/>
      <c r="CU246" s="12" t="n"/>
      <c r="CV246" s="12" t="n"/>
      <c r="CW246" s="12" t="n"/>
      <c r="CX246" s="12" t="n"/>
      <c r="CY246" s="12" t="n"/>
    </row>
    <row r="247" hidden="1" outlineLevel="1" ht="12" customHeight="1">
      <c r="C247" s="59" t="inlineStr">
        <is>
          <t>%(Var.)</t>
        </is>
      </c>
      <c r="D247" s="12" t="n"/>
      <c r="E247" s="40" t="n"/>
      <c r="F247" s="40" t="n"/>
      <c r="G247" s="40" t="n"/>
      <c r="H247" s="12" t="n"/>
      <c r="I247" s="40" t="str">
        <f>""</f>
        <v/>
      </c>
      <c r="J247" s="40">
        <f>IF(I246=0,"",J246/I246-1)</f>
        <v>0.961392843152581</v>
      </c>
      <c r="K247" s="40">
        <f>IF(J246=0,"",K246/J246-1)</f>
        <v>0.0769017390389664</v>
      </c>
      <c r="L247" s="40">
        <f>IF(K246=0,"",L246/K246-1)</f>
        <v>-0.154208480601208</v>
      </c>
      <c r="M247" s="12">
        <f>IF(L246=0,"",M246/L246-1)</f>
        <v>0</v>
      </c>
      <c r="N247" s="40">
        <f>IF(M246=0,"",N246/M246-1)</f>
        <v>1.11356392406439</v>
      </c>
      <c r="O247" s="40">
        <f>IF(N246=0,"",O246/N246-1)</f>
        <v>0.0788939850330561</v>
      </c>
      <c r="P247" s="40">
        <f>IF(O246=0,"",P246/O246-1)</f>
        <v>0.473923436091409</v>
      </c>
      <c r="Q247" s="40">
        <f>IF(P246=0,"",Q246/P246-1)</f>
        <v>0.168192215087388</v>
      </c>
      <c r="R247" s="12">
        <f>IF(Q246=0,"",R246/Q246-1)</f>
        <v>0</v>
      </c>
      <c r="S247" s="40">
        <f>IF(R246=0,"",S246/R246-1)</f>
        <v>0.0156171334138318</v>
      </c>
      <c r="T247" s="40">
        <f>IF(S246=0,"",T246/S246-1)</f>
        <v>0.0250633769421107</v>
      </c>
      <c r="U247" s="40">
        <f>IF(T246=0,"",U246/T246-1)</f>
        <v>0.0107264858377045</v>
      </c>
      <c r="V247" s="40">
        <f>IF(U246=0,"",V246/U246-1)</f>
        <v>-0.0122570013843027</v>
      </c>
      <c r="W247" s="12">
        <f>IF(V246=0,"",W246/V246-1)</f>
        <v>0</v>
      </c>
      <c r="X247" s="40">
        <f>IF(W246=0,"",X246/W246-1)</f>
        <v>-0.00871625318438118</v>
      </c>
      <c r="Y247" s="40">
        <f>IF(X246=0,"",Y246/X246-1)</f>
        <v>-0.0381416195600104</v>
      </c>
      <c r="Z247" s="40">
        <f>IF(Y246=0,"",Z246/Y246-1)</f>
        <v>-0.0404191709155072</v>
      </c>
      <c r="AA247" s="40">
        <f>IF(Z246=0,"",AA246/Z246-1)</f>
        <v>0.138539687142618</v>
      </c>
      <c r="AB247" s="12">
        <f>IF(AA246=0,"",AB246/AA246-1)</f>
        <v>0</v>
      </c>
      <c r="AC247" s="40">
        <f>IF(AB246=0,"",AC246/AB246-1)</f>
        <v>-0.0797619841823541</v>
      </c>
      <c r="AD247" s="40">
        <f>IF(AC246=0,"",AD246/AC246-1)</f>
        <v>-0.0093374149804103</v>
      </c>
      <c r="AE247" s="40">
        <f>IF(AD246=0,"",AE246/AD246-1)</f>
        <v>0.163395567674749</v>
      </c>
      <c r="AF247" s="41">
        <f>IF(AE246=0,"",AF246/AE246-1)</f>
        <v>-0.0716049313016579</v>
      </c>
      <c r="AG247" s="12">
        <f>IF(AF246=0,"",AG246/AF246-1)</f>
        <v>0</v>
      </c>
      <c r="AH247" s="41">
        <f>IF(AG246=0,"",AH246/AG246-1)</f>
        <v>-0.175629602292079</v>
      </c>
      <c r="AI247" s="41">
        <f>IF(AH246=0,"",AI246/AH246-1)</f>
        <v>0.0860618550915759</v>
      </c>
      <c r="AJ247" s="41">
        <f>IF(AI246=0,"",AJ246/AI246-1)</f>
        <v>0</v>
      </c>
      <c r="AK247" s="41">
        <f>IF(AJ246=0,"",AK246/AJ246-1)</f>
        <v>0</v>
      </c>
      <c r="AL247" s="12">
        <f>IF(AK246=0,"",AL246/AK246-1)</f>
        <v>0</v>
      </c>
      <c r="AM247" s="41">
        <f>IF(AL246=0,"",AM246/AL246-1)</f>
        <v>0</v>
      </c>
      <c r="AN247" s="41">
        <f>IF(AM246=0,"",AN246/AM246-1)</f>
        <v>0</v>
      </c>
      <c r="AO247" s="41">
        <f>IF(AN246=0,"",AO246/AN246-1)</f>
        <v>0</v>
      </c>
      <c r="AP247" s="41">
        <f>IF(AO246=0,"",AP246/AO246-1)</f>
        <v>0</v>
      </c>
      <c r="AQ247" s="12">
        <f>IF(AP246=0,"",AQ246/AP246-1)</f>
        <v>0</v>
      </c>
      <c r="AR247" s="41">
        <f>IF(AQ246=0,"",AR246/AQ246-1)</f>
        <v>0</v>
      </c>
      <c r="AS247" s="41">
        <f>IF(AR246=0,"",AS246/AR246-1)</f>
        <v>0</v>
      </c>
      <c r="AT247" s="41">
        <f>IF(AS246=0,"",AT246/AS246-1)</f>
        <v>0</v>
      </c>
      <c r="AU247" s="41">
        <f>IF(AT246=0,"",AU246/AT246-1)</f>
        <v>0</v>
      </c>
      <c r="AV247" s="12">
        <f>IF(AU246=0,"",AV246/AU246-1)</f>
        <v>0</v>
      </c>
      <c r="AW247" s="41">
        <f>IF(AV246=0,"",AW246/AV246-1)</f>
        <v>0</v>
      </c>
      <c r="AX247" s="41">
        <f>IF(AW246=0,"",AX246/AW246-1)</f>
        <v>0</v>
      </c>
      <c r="AY247" s="41">
        <f>IF(AX246=0,"",AY246/AX246-1)</f>
        <v>0</v>
      </c>
      <c r="AZ247" s="41">
        <f>IF(AY246=0,"",AZ246/AY246-1)</f>
        <v>0</v>
      </c>
      <c r="BA247" s="12">
        <f>IF(AZ246=0,"",BA246/AZ246-1)</f>
        <v>0</v>
      </c>
      <c r="BB247" s="41">
        <f>IF(BA246=0,"",BB246/BA246-1)</f>
        <v>0</v>
      </c>
      <c r="BC247" s="41">
        <f>IF(BB246=0,"",BC246/BB246-1)</f>
        <v>0</v>
      </c>
      <c r="BD247" s="41">
        <f>IF(BC246=0,"",BD246/BC246-1)</f>
        <v>0</v>
      </c>
      <c r="BE247" s="41">
        <f>IF(BD246=0,"",BE246/BD246-1)</f>
        <v>0</v>
      </c>
      <c r="BF247" s="12">
        <f>IF(BE246=0,"",BF246/BE246-1)</f>
        <v>0</v>
      </c>
      <c r="BG247" s="41" t="n"/>
      <c r="BH247" s="41" t="n"/>
      <c r="BI247" s="41" t="n"/>
      <c r="BJ247" s="41" t="n"/>
      <c r="BK247" s="12" t="n"/>
      <c r="BL247" s="41" t="n"/>
      <c r="BM247" s="41" t="n"/>
      <c r="BN247" s="41" t="n"/>
      <c r="BO247" s="41" t="n"/>
      <c r="BP247" s="12" t="n"/>
      <c r="BQ247" s="41" t="n"/>
      <c r="BR247" s="41" t="n"/>
      <c r="BS247" s="41" t="n"/>
      <c r="BT247" s="41" t="n"/>
      <c r="BU247" s="12" t="n"/>
      <c r="BV247" s="41" t="n"/>
      <c r="BW247" s="41" t="n"/>
      <c r="BX247" s="41" t="n"/>
      <c r="BY247" s="41" t="n"/>
      <c r="BZ247" s="12" t="n"/>
      <c r="CA247" s="41" t="n"/>
      <c r="CB247" s="41" t="n"/>
      <c r="CC247" s="41" t="n"/>
      <c r="CD247" s="41" t="n"/>
      <c r="CE247" s="12" t="n"/>
      <c r="CF247" s="41" t="n"/>
      <c r="CG247" s="41" t="n"/>
      <c r="CH247" s="41" t="n"/>
      <c r="CI247" s="41" t="n"/>
      <c r="CJ247" s="12" t="n"/>
      <c r="CK247" s="41" t="n"/>
      <c r="CL247" s="41" t="n"/>
      <c r="CM247" s="41" t="n"/>
      <c r="CN247" s="41" t="n"/>
      <c r="CO247" s="12" t="n"/>
      <c r="CP247" s="41" t="n"/>
      <c r="CQ247" s="41" t="n"/>
      <c r="CR247" s="41" t="n"/>
      <c r="CS247" s="41" t="n"/>
      <c r="CT247" s="12" t="n"/>
      <c r="CU247" s="41" t="n"/>
      <c r="CV247" s="41" t="n"/>
      <c r="CW247" s="41" t="n"/>
      <c r="CX247" s="41" t="n"/>
      <c r="CY247" s="12" t="n"/>
    </row>
    <row r="248" hidden="1" outlineLevel="1" ht="12" customHeight="1">
      <c r="C248" s="59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  <c r="AJ248" s="12" t="n"/>
      <c r="AK248" s="12" t="n"/>
      <c r="AL248" s="12" t="n"/>
      <c r="AM248" s="12" t="n"/>
      <c r="AN248" s="12" t="n"/>
      <c r="AO248" s="12" t="n"/>
      <c r="AP248" s="12" t="n"/>
      <c r="AQ248" s="12" t="n"/>
      <c r="AR248" s="12" t="n"/>
      <c r="AS248" s="12" t="n"/>
      <c r="AT248" s="12" t="n"/>
      <c r="AU248" s="12" t="n"/>
      <c r="AV248" s="12" t="n"/>
      <c r="AW248" s="12" t="n"/>
      <c r="AX248" s="12" t="n"/>
      <c r="AY248" s="12" t="n"/>
      <c r="AZ248" s="12" t="n"/>
      <c r="BA248" s="12" t="n"/>
      <c r="BB248" s="12" t="n"/>
      <c r="BC248" s="12" t="n"/>
      <c r="BD248" s="12" t="n"/>
      <c r="BE248" s="12" t="n"/>
      <c r="BF248" s="12" t="n"/>
      <c r="BG248" s="12" t="n"/>
      <c r="BH248" s="12" t="n"/>
      <c r="BI248" s="12" t="n"/>
      <c r="BJ248" s="12" t="n"/>
      <c r="BK248" s="12" t="n"/>
      <c r="BL248" s="12" t="n"/>
      <c r="BM248" s="12" t="n"/>
      <c r="BN248" s="12" t="n"/>
      <c r="BO248" s="12" t="n"/>
      <c r="BP248" s="12" t="n"/>
      <c r="BQ248" s="12" t="n"/>
      <c r="BR248" s="12" t="n"/>
      <c r="BS248" s="12" t="n"/>
      <c r="BT248" s="12" t="n"/>
      <c r="BU248" s="12" t="n"/>
      <c r="BV248" s="12" t="n"/>
      <c r="BW248" s="12" t="n"/>
      <c r="BX248" s="12" t="n"/>
      <c r="BY248" s="12" t="n"/>
      <c r="BZ248" s="12" t="n"/>
      <c r="CA248" s="12" t="n"/>
      <c r="CB248" s="12" t="n"/>
      <c r="CC248" s="12" t="n"/>
      <c r="CD248" s="12" t="n"/>
      <c r="CE248" s="12" t="n"/>
      <c r="CF248" s="12" t="n"/>
      <c r="CG248" s="12" t="n"/>
      <c r="CH248" s="12" t="n"/>
      <c r="CI248" s="12" t="n"/>
      <c r="CJ248" s="12" t="n"/>
      <c r="CK248" s="12" t="n"/>
      <c r="CL248" s="12" t="n"/>
      <c r="CM248" s="12" t="n"/>
      <c r="CN248" s="12" t="n"/>
      <c r="CO248" s="12" t="n"/>
      <c r="CP248" s="12" t="n"/>
      <c r="CQ248" s="12" t="n"/>
      <c r="CR248" s="12" t="n"/>
      <c r="CS248" s="12" t="n"/>
      <c r="CT248" s="12" t="n"/>
      <c r="CU248" s="12" t="n"/>
      <c r="CV248" s="12" t="n"/>
      <c r="CW248" s="12" t="n"/>
      <c r="CX248" s="12" t="n"/>
      <c r="CY248" s="12" t="n"/>
    </row>
    <row r="249" hidden="1" outlineLevel="1">
      <c r="C249" s="57" t="inlineStr">
        <is>
          <t>Contas a pagar pela aquisição de controladas</t>
        </is>
      </c>
      <c r="D249" s="11" t="n"/>
      <c r="E249" s="11" t="n"/>
      <c r="F249" s="11" t="n"/>
      <c r="G249" s="11" t="n"/>
      <c r="H249" s="12" t="n"/>
      <c r="I249" s="11" t="n"/>
      <c r="J249" s="11" t="n"/>
      <c r="K249" s="11" t="n"/>
      <c r="L249" s="11" t="n"/>
      <c r="M249" s="12" t="n"/>
      <c r="N249" s="11" t="n"/>
      <c r="O249" s="11" t="n"/>
      <c r="P249" s="11" t="n"/>
      <c r="Q249" s="11" t="n"/>
      <c r="R249" s="12" t="n"/>
      <c r="S249" s="11" t="n"/>
      <c r="T249" s="11" t="n"/>
      <c r="U249" s="11" t="n"/>
      <c r="V249" s="11" t="n"/>
      <c r="W249" s="12" t="n"/>
      <c r="X249" s="11" t="n"/>
      <c r="Y249" s="11" t="n"/>
      <c r="Z249" s="11" t="n"/>
      <c r="AA249" s="11" t="n"/>
      <c r="AB249" s="12" t="n"/>
      <c r="AC249" s="11" t="n"/>
      <c r="AD249" s="11" t="n"/>
      <c r="AE249" s="11" t="n"/>
      <c r="AF249" s="11" t="n"/>
      <c r="AG249" s="12" t="n"/>
      <c r="AH249" s="12" t="n"/>
      <c r="AI249" s="12" t="n"/>
      <c r="AJ249" s="12" t="n"/>
      <c r="AK249" s="12" t="n"/>
      <c r="AL249" s="12" t="n"/>
      <c r="AM249" s="12" t="n"/>
      <c r="AN249" s="12" t="n"/>
      <c r="AO249" s="12" t="n"/>
      <c r="AP249" s="12" t="n"/>
      <c r="AQ249" s="12" t="n"/>
      <c r="AR249" s="12" t="n"/>
      <c r="AS249" s="12" t="n"/>
      <c r="AT249" s="12" t="n"/>
      <c r="AU249" s="12" t="n"/>
      <c r="AV249" s="12" t="n"/>
      <c r="AW249" s="12" t="n"/>
      <c r="AX249" s="12" t="n"/>
      <c r="AY249" s="12" t="n"/>
      <c r="AZ249" s="12" t="n"/>
      <c r="BA249" s="12" t="n"/>
      <c r="BB249" s="12" t="n"/>
      <c r="BC249" s="12" t="n"/>
      <c r="BD249" s="12" t="n"/>
      <c r="BE249" s="12" t="n"/>
      <c r="BF249" s="12" t="n"/>
      <c r="BG249" s="12" t="n"/>
      <c r="BH249" s="12" t="n"/>
      <c r="BI249" s="12" t="n"/>
      <c r="BJ249" s="12" t="n"/>
      <c r="BK249" s="12" t="n"/>
      <c r="BL249" s="12" t="n"/>
      <c r="BM249" s="12" t="n"/>
      <c r="BN249" s="12" t="n"/>
      <c r="BO249" s="12" t="n"/>
      <c r="BP249" s="12" t="n"/>
      <c r="BQ249" s="12" t="n"/>
      <c r="BR249" s="12" t="n"/>
      <c r="BS249" s="12" t="n"/>
      <c r="BT249" s="12" t="n"/>
      <c r="BU249" s="12" t="n"/>
      <c r="BV249" s="12" t="n"/>
      <c r="BW249" s="12" t="n"/>
      <c r="BX249" s="12" t="n"/>
      <c r="BY249" s="12" t="n"/>
      <c r="BZ249" s="12" t="n"/>
      <c r="CA249" s="12" t="n"/>
      <c r="CB249" s="12" t="n"/>
      <c r="CC249" s="12" t="n"/>
      <c r="CD249" s="12" t="n"/>
      <c r="CE249" s="12" t="n"/>
      <c r="CF249" s="12" t="n"/>
      <c r="CG249" s="12" t="n"/>
      <c r="CH249" s="12" t="n"/>
      <c r="CI249" s="12" t="n"/>
      <c r="CJ249" s="12" t="n"/>
      <c r="CK249" s="12" t="n"/>
      <c r="CL249" s="12" t="n"/>
      <c r="CM249" s="12" t="n"/>
      <c r="CN249" s="12" t="n"/>
      <c r="CO249" s="12" t="n"/>
      <c r="CP249" s="12" t="n"/>
      <c r="CQ249" s="12" t="n"/>
      <c r="CR249" s="12" t="n"/>
      <c r="CS249" s="12" t="n"/>
      <c r="CT249" s="12" t="n"/>
      <c r="CU249" s="12" t="n"/>
      <c r="CV249" s="12" t="n"/>
      <c r="CW249" s="12" t="n"/>
      <c r="CX249" s="12" t="n"/>
      <c r="CY249" s="12" t="n"/>
    </row>
    <row r="250" hidden="1" outlineLevel="1">
      <c r="C250" s="57" t="inlineStr">
        <is>
          <t xml:space="preserve">Outras Obrigações </t>
        </is>
      </c>
      <c r="D250" s="11" t="n"/>
      <c r="E250" s="11" t="n"/>
      <c r="F250" s="11" t="n"/>
      <c r="G250" s="11" t="n"/>
      <c r="H250" s="12" t="n"/>
      <c r="I250" s="11" t="n"/>
      <c r="J250" s="11" t="n"/>
      <c r="K250" s="11" t="n"/>
      <c r="L250" s="11" t="n"/>
      <c r="M250" s="12" t="n"/>
      <c r="N250" s="11" t="n"/>
      <c r="O250" s="11" t="n"/>
      <c r="P250" s="11" t="n"/>
      <c r="Q250" s="11" t="n"/>
      <c r="R250" s="12" t="n"/>
      <c r="S250" s="11" t="n"/>
      <c r="T250" s="11" t="n"/>
      <c r="U250" s="11" t="n"/>
      <c r="V250" s="11" t="n"/>
      <c r="W250" s="12" t="n"/>
      <c r="X250" s="11" t="n"/>
      <c r="Y250" s="11" t="n"/>
      <c r="Z250" s="11" t="n"/>
      <c r="AA250" s="11" t="n"/>
      <c r="AB250" s="12" t="n"/>
      <c r="AC250" s="11" t="n"/>
      <c r="AD250" s="11" t="n"/>
      <c r="AE250" s="11" t="n"/>
      <c r="AF250" s="11" t="n"/>
      <c r="AG250" s="12" t="n"/>
      <c r="AH250" s="12" t="n"/>
      <c r="AI250" s="12" t="n"/>
      <c r="AJ250" s="12" t="n"/>
      <c r="AK250" s="12" t="n"/>
      <c r="AL250" s="12" t="n"/>
      <c r="AM250" s="12" t="n"/>
      <c r="AN250" s="12" t="n"/>
      <c r="AO250" s="12" t="n"/>
      <c r="AP250" s="12" t="n"/>
      <c r="AQ250" s="12" t="n"/>
      <c r="AR250" s="12" t="n"/>
      <c r="AS250" s="12" t="n"/>
      <c r="AT250" s="12" t="n"/>
      <c r="AU250" s="12" t="n"/>
      <c r="AV250" s="12" t="n"/>
      <c r="AW250" s="12" t="n"/>
      <c r="AX250" s="12" t="n"/>
      <c r="AY250" s="12" t="n"/>
      <c r="AZ250" s="12" t="n"/>
      <c r="BA250" s="12" t="n"/>
      <c r="BB250" s="12" t="n"/>
      <c r="BC250" s="12" t="n"/>
      <c r="BD250" s="12" t="n"/>
      <c r="BE250" s="12" t="n"/>
      <c r="BF250" s="12" t="n"/>
      <c r="BG250" s="12" t="n"/>
      <c r="BH250" s="12" t="n"/>
      <c r="BI250" s="12" t="n"/>
      <c r="BJ250" s="12" t="n"/>
      <c r="BK250" s="12" t="n"/>
      <c r="BL250" s="12" t="n"/>
      <c r="BM250" s="12" t="n"/>
      <c r="BN250" s="12" t="n"/>
      <c r="BO250" s="12" t="n"/>
      <c r="BP250" s="12" t="n"/>
      <c r="BQ250" s="12" t="n"/>
      <c r="BR250" s="12" t="n"/>
      <c r="BS250" s="12" t="n"/>
      <c r="BT250" s="12" t="n"/>
      <c r="BU250" s="12" t="n"/>
      <c r="BV250" s="12" t="n"/>
      <c r="BW250" s="12" t="n"/>
      <c r="BX250" s="12" t="n"/>
      <c r="BY250" s="12" t="n"/>
      <c r="BZ250" s="12" t="n"/>
      <c r="CA250" s="12" t="n"/>
      <c r="CB250" s="12" t="n"/>
      <c r="CC250" s="12" t="n"/>
      <c r="CD250" s="12" t="n"/>
      <c r="CE250" s="12" t="n"/>
      <c r="CF250" s="12" t="n"/>
      <c r="CG250" s="12" t="n"/>
      <c r="CH250" s="12" t="n"/>
      <c r="CI250" s="12" t="n"/>
      <c r="CJ250" s="12" t="n"/>
      <c r="CK250" s="12" t="n"/>
      <c r="CL250" s="12" t="n"/>
      <c r="CM250" s="12" t="n"/>
      <c r="CN250" s="12" t="n"/>
      <c r="CO250" s="12" t="n"/>
      <c r="CP250" s="12" t="n"/>
      <c r="CQ250" s="12" t="n"/>
      <c r="CR250" s="12" t="n"/>
      <c r="CS250" s="12" t="n"/>
      <c r="CT250" s="12" t="n"/>
      <c r="CU250" s="12" t="n"/>
      <c r="CV250" s="12" t="n"/>
      <c r="CW250" s="12" t="n"/>
      <c r="CX250" s="12" t="n"/>
      <c r="CY250" s="12" t="n"/>
    </row>
    <row r="251" hidden="1" outlineLevel="1">
      <c r="C251" s="57" t="inlineStr">
        <is>
          <t xml:space="preserve">Provisão de Risco Cíveis, Trabalhistas e Tributários </t>
        </is>
      </c>
      <c r="D251" s="11" t="n"/>
      <c r="E251" s="11" t="n"/>
      <c r="F251" s="11" t="n"/>
      <c r="G251" s="11" t="n"/>
      <c r="H251" s="12" t="n"/>
      <c r="I251" s="11" t="n"/>
      <c r="J251" s="11" t="n"/>
      <c r="K251" s="11" t="n"/>
      <c r="L251" s="11" t="n"/>
      <c r="M251" s="12" t="n"/>
      <c r="N251" s="11" t="n"/>
      <c r="O251" s="11" t="n"/>
      <c r="P251" s="11" t="n"/>
      <c r="Q251" s="11" t="n"/>
      <c r="R251" s="12" t="n"/>
      <c r="S251" s="11" t="n"/>
      <c r="T251" s="11" t="n"/>
      <c r="U251" s="11" t="n"/>
      <c r="V251" s="11" t="n"/>
      <c r="W251" s="12" t="n"/>
      <c r="X251" s="11" t="n"/>
      <c r="Y251" s="11" t="n"/>
      <c r="Z251" s="11" t="n"/>
      <c r="AA251" s="11" t="n"/>
      <c r="AB251" s="12" t="n"/>
      <c r="AC251" s="11" t="n"/>
      <c r="AD251" s="11" t="n"/>
      <c r="AE251" s="11" t="n"/>
      <c r="AF251" s="11" t="n"/>
      <c r="AG251" s="12" t="n"/>
      <c r="AH251" s="12" t="n"/>
      <c r="AI251" s="12" t="n"/>
      <c r="AJ251" s="12" t="n"/>
      <c r="AK251" s="12" t="n"/>
      <c r="AL251" s="12" t="n"/>
      <c r="AM251" s="12" t="n"/>
      <c r="AN251" s="12" t="n"/>
      <c r="AO251" s="12" t="n"/>
      <c r="AP251" s="12" t="n"/>
      <c r="AQ251" s="12" t="n"/>
      <c r="AR251" s="12" t="n"/>
      <c r="AS251" s="12" t="n"/>
      <c r="AT251" s="12" t="n"/>
      <c r="AU251" s="12" t="n"/>
      <c r="AV251" s="12" t="n"/>
      <c r="AW251" s="12" t="n"/>
      <c r="AX251" s="12" t="n"/>
      <c r="AY251" s="12" t="n"/>
      <c r="AZ251" s="12" t="n"/>
      <c r="BA251" s="12" t="n"/>
      <c r="BB251" s="12" t="n"/>
      <c r="BC251" s="12" t="n"/>
      <c r="BD251" s="12" t="n"/>
      <c r="BE251" s="12" t="n"/>
      <c r="BF251" s="12" t="n"/>
      <c r="BG251" s="12" t="n"/>
      <c r="BH251" s="12" t="n"/>
      <c r="BI251" s="12" t="n"/>
      <c r="BJ251" s="12" t="n"/>
      <c r="BK251" s="12" t="n"/>
      <c r="BL251" s="12" t="n"/>
      <c r="BM251" s="12" t="n"/>
      <c r="BN251" s="12" t="n"/>
      <c r="BO251" s="12" t="n"/>
      <c r="BP251" s="12" t="n"/>
      <c r="BQ251" s="12" t="n"/>
      <c r="BR251" s="12" t="n"/>
      <c r="BS251" s="12" t="n"/>
      <c r="BT251" s="12" t="n"/>
      <c r="BU251" s="12" t="n"/>
      <c r="BV251" s="12" t="n"/>
      <c r="BW251" s="12" t="n"/>
      <c r="BX251" s="12" t="n"/>
      <c r="BY251" s="12" t="n"/>
      <c r="BZ251" s="12" t="n"/>
      <c r="CA251" s="12" t="n"/>
      <c r="CB251" s="12" t="n"/>
      <c r="CC251" s="12" t="n"/>
      <c r="CD251" s="12" t="n"/>
      <c r="CE251" s="12" t="n"/>
      <c r="CF251" s="12" t="n"/>
      <c r="CG251" s="12" t="n"/>
      <c r="CH251" s="12" t="n"/>
      <c r="CI251" s="12" t="n"/>
      <c r="CJ251" s="12" t="n"/>
      <c r="CK251" s="12" t="n"/>
      <c r="CL251" s="12" t="n"/>
      <c r="CM251" s="12" t="n"/>
      <c r="CN251" s="12" t="n"/>
      <c r="CO251" s="12" t="n"/>
      <c r="CP251" s="12" t="n"/>
      <c r="CQ251" s="12" t="n"/>
      <c r="CR251" s="12" t="n"/>
      <c r="CS251" s="12" t="n"/>
      <c r="CT251" s="12" t="n"/>
      <c r="CU251" s="12" t="n"/>
      <c r="CV251" s="12" t="n"/>
      <c r="CW251" s="12" t="n"/>
      <c r="CX251" s="12" t="n"/>
      <c r="CY251" s="12" t="n"/>
    </row>
    <row r="252" hidden="1" outlineLevel="1">
      <c r="C252" s="57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  <c r="AJ252" s="12" t="n"/>
      <c r="AK252" s="12" t="n"/>
      <c r="AL252" s="12" t="n"/>
      <c r="AM252" s="12" t="n"/>
      <c r="AN252" s="12" t="n"/>
      <c r="AO252" s="12" t="n"/>
      <c r="AP252" s="12" t="n"/>
      <c r="AQ252" s="12" t="n"/>
      <c r="AR252" s="12" t="n"/>
      <c r="AS252" s="12" t="n"/>
      <c r="AT252" s="12" t="n"/>
      <c r="AU252" s="12" t="n"/>
      <c r="AV252" s="12" t="n"/>
      <c r="AW252" s="12" t="n"/>
      <c r="AX252" s="12" t="n"/>
      <c r="AY252" s="12" t="n"/>
      <c r="AZ252" s="12" t="n"/>
      <c r="BA252" s="12" t="n"/>
      <c r="BB252" s="12" t="n"/>
      <c r="BC252" s="12" t="n"/>
      <c r="BD252" s="12" t="n"/>
      <c r="BE252" s="12" t="n"/>
      <c r="BF252" s="12" t="n"/>
      <c r="BG252" s="12" t="n"/>
      <c r="BH252" s="12" t="n"/>
      <c r="BI252" s="12" t="n"/>
      <c r="BJ252" s="12" t="n"/>
      <c r="BK252" s="12" t="n"/>
      <c r="BL252" s="12" t="n"/>
      <c r="BM252" s="12" t="n"/>
      <c r="BN252" s="12" t="n"/>
      <c r="BO252" s="12" t="n"/>
      <c r="BP252" s="12" t="n"/>
      <c r="BQ252" s="12" t="n"/>
      <c r="BR252" s="12" t="n"/>
      <c r="BS252" s="12" t="n"/>
      <c r="BT252" s="12" t="n"/>
      <c r="BU252" s="12" t="n"/>
      <c r="BV252" s="12" t="n"/>
      <c r="BW252" s="12" t="n"/>
      <c r="BX252" s="12" t="n"/>
      <c r="BY252" s="12" t="n"/>
      <c r="BZ252" s="12" t="n"/>
      <c r="CA252" s="12" t="n"/>
      <c r="CB252" s="12" t="n"/>
      <c r="CC252" s="12" t="n"/>
      <c r="CD252" s="12" t="n"/>
      <c r="CE252" s="12" t="n"/>
      <c r="CF252" s="12" t="n"/>
      <c r="CG252" s="12" t="n"/>
      <c r="CH252" s="12" t="n"/>
      <c r="CI252" s="12" t="n"/>
      <c r="CJ252" s="12" t="n"/>
      <c r="CK252" s="12" t="n"/>
      <c r="CL252" s="12" t="n"/>
      <c r="CM252" s="12" t="n"/>
      <c r="CN252" s="12" t="n"/>
      <c r="CO252" s="12" t="n"/>
      <c r="CP252" s="12" t="n"/>
      <c r="CQ252" s="12" t="n"/>
      <c r="CR252" s="12" t="n"/>
      <c r="CS252" s="12" t="n"/>
      <c r="CT252" s="12" t="n"/>
      <c r="CU252" s="12" t="n"/>
      <c r="CV252" s="12" t="n"/>
      <c r="CW252" s="12" t="n"/>
      <c r="CX252" s="12" t="n"/>
      <c r="CY252" s="12" t="n"/>
    </row>
    <row r="253" collapsed="1" customFormat="1" s="32">
      <c r="A253" s="30" t="n"/>
      <c r="B253" s="30" t="n"/>
      <c r="C253" s="65" t="inlineStr">
        <is>
          <t>Total Liabilities</t>
        </is>
      </c>
      <c r="D253" s="35" t="n"/>
      <c r="E253" s="35" t="n"/>
      <c r="F253" s="35" t="n"/>
      <c r="G253" s="35" t="n"/>
      <c r="H253" s="35" t="n"/>
      <c r="I253" s="35">
        <f>SUM(I204+I208+I210+I211+I218+I219+I220+I223+I241+I244+I245+I246)</f>
        <v>28007.429105639</v>
      </c>
      <c r="J253" s="35">
        <f>SUM(J204+J208+J210+J211+J218+J219+J220+J223+J241+J244+J245+J246)</f>
        <v>29330.109407122</v>
      </c>
      <c r="K253" s="35">
        <f>SUM(K204+K208+K210+K211+K218+K219+K220+K223+K241+K244+K245+K246)</f>
        <v>35378.812</v>
      </c>
      <c r="L253" s="35">
        <f>SUM(L204+L208+L210+L211+L218+L219+L220+L223+L241+L244+L245+L246)</f>
        <v>42143.934</v>
      </c>
      <c r="M253" s="35">
        <f>SUM(M204,M208,M210,M211,M218,M219,M223,M220,M241,M244,M245,M246)</f>
        <v>42143.934</v>
      </c>
      <c r="N253" s="35">
        <f>SUM(N204+N208+N210+N211+N218+N219+N220+N223+N241+N244+N245+N246)</f>
        <v>42296.152</v>
      </c>
      <c r="O253" s="35">
        <f>SUM(O204+O208+O210+O211+O218+O219+O220+O223+O241+O244+O245+O246)</f>
        <v>48029.908</v>
      </c>
      <c r="P253" s="35">
        <f>SUM(P204+P208+P210+P211+P218+P219+P220+P223+P241+P244+P245+P246)</f>
        <v>53450.05</v>
      </c>
      <c r="Q253" s="35">
        <f>SUM(Q204+Q208+Q210+Q211+Q218+Q219+Q220+Q223+Q241+Q244+Q245+Q246)</f>
        <v>56077.761</v>
      </c>
      <c r="R253" s="35">
        <f>SUM(R204,R208,R210,R211,R218,R219,R223,R220,R241,R244,R245,R246)</f>
        <v>56077.761</v>
      </c>
      <c r="S253" s="35">
        <f>SUM(S204+S208+S210+S211+S218+S219+S220+S223+S241+S244+S245+S246)</f>
        <v>53673.169948655</v>
      </c>
      <c r="T253" s="35">
        <f>SUM(T204+T208+T210+T211+T218+T219+T220+T223+T241+T244+T245+T246)</f>
        <v>53949.345880091</v>
      </c>
      <c r="U253" s="35">
        <f>SUM(U204+U208+U210+U211+U218+U219+U220+U223+U241+U244+U245+U246)</f>
        <v>55746.29288623</v>
      </c>
      <c r="V253" s="35">
        <f>SUM(V204+V208+V210+V211+V218+V219+V220+V223+V241+V244+V245+V246)</f>
        <v>63389.110315992</v>
      </c>
      <c r="W253" s="35">
        <f>SUM(W204,W208,W210,W211,W218,W219,W223,W220,W241,W244,W245,W246)</f>
        <v>63389.110315992</v>
      </c>
      <c r="X253" s="35">
        <f>SUM(X204+X208+X210+X211+X218+X219+X220+X223+X241+X244+X245+X246)</f>
        <v>67614.140743298</v>
      </c>
      <c r="Y253" s="35">
        <f>SUM(Y204+Y208+Y210+Y211+Y218+Y219+Y220+Y223+Y241+Y244+Y245+Y246)</f>
        <v>69653.938911793</v>
      </c>
      <c r="Z253" s="35">
        <f>SUM(Z204+Z208+Z210+Z211+Z218+Z219+Z220+Z223+Z241+Z244+Z245+Z246)</f>
        <v>73193.866125643</v>
      </c>
      <c r="AA253" s="35">
        <f>SUM(AA204+AA208+AA210+AA211+AA218+AA219+AA220+AA223+AA241+AA244+AA245+AA246)</f>
        <v>77588.23873323</v>
      </c>
      <c r="AB253" s="35">
        <f>SUM(AB204,AB208,AB210,AB211,AB218,AB219,AB223,AB220,AB241,AB244,AB245,AB246)</f>
        <v>77588.23873323</v>
      </c>
      <c r="AC253" s="35">
        <f>SUM(AC204+AC208+AC210+AC211+AC218+AC219+AC220+AC223+AC241+AC244+AC245+AC246)</f>
        <v>75559.96401585</v>
      </c>
      <c r="AD253" s="35">
        <f>SUM(AD204+AD208+AD210+AD211+AD218+AD219+AD220+AD223+AD241+AD244+AD245+AD246)</f>
        <v>75419.8217979</v>
      </c>
      <c r="AE253" s="35">
        <f>SUM(AE204+AE208+AE210+AE211+AE218+AE219+AE220+AE223+AE241+AE244+AE245+AE246)</f>
        <v>75433.29591999</v>
      </c>
      <c r="AF253" s="35">
        <f>SUM(AF204+AF208+AF210+AF211+AF218+AF219+AF220+AF223+AF241+AF244+AF245+AF246)</f>
        <v>79428.1162929</v>
      </c>
      <c r="AG253" s="35">
        <f>SUM(AG204,AG208,AG210,AG211,AG218,AG219,AG223,AG220,AG241,AG244,AG245,AG246)</f>
        <v>79428.1162929</v>
      </c>
      <c r="AH253" s="35">
        <f>SUM(AH204+AH208+AH210+AH211+AH218+AH219+AH220+AH223+AH241+AH244+AH245+AH246)</f>
        <v>80161.83611421</v>
      </c>
      <c r="AI253" s="35">
        <f>SUM(AI204+AI208+AI210+AI211+AI218+AI219+AI220+AI223+AI241+AI244+AI245+AI246)</f>
        <v>81768.80878655</v>
      </c>
      <c r="AJ253" s="35">
        <f>SUM(AJ204+AJ208+AJ210+AJ211+AJ218+AJ219+AJ220+AJ223+AJ241+AJ244+AJ245+AJ246)</f>
        <v>81299.2477484721</v>
      </c>
      <c r="AK253" s="35">
        <f>SUM(AK204+AK208+AK210+AK211+AK218+AK219+AK220+AK223+AK241+AK244+AK245+AK246)</f>
        <v>81433.0120249123</v>
      </c>
      <c r="AL253" s="35">
        <f>SUM(AL204,AL208,AL210,AL211,AL218,AL219,AL223,AL220,AL241,AL244,AL245,AL246)</f>
        <v>81433.0120249123</v>
      </c>
      <c r="AM253" s="35">
        <f>SUM(AM204+AM208+AM210+AM211+AM218+AM219+AM220+AM223+AM241+AM244+AM245+AM246)</f>
        <v>81595.1039685051</v>
      </c>
      <c r="AN253" s="35">
        <f>SUM(AN204+AN208+AN210+AN211+AN218+AN219+AN220+AN223+AN241+AN244+AN245+AN246)</f>
        <v>81878.8818155144</v>
      </c>
      <c r="AO253" s="35">
        <f>SUM(AO204+AO208+AO210+AO211+AO218+AO219+AO220+AO223+AO241+AO244+AO245+AO246)</f>
        <v>82318.068625484</v>
      </c>
      <c r="AP253" s="35">
        <f>SUM(AP204+AP208+AP210+AP211+AP218+AP219+AP220+AP223+AP241+AP244+AP245+AP246)</f>
        <v>82484.9792930407</v>
      </c>
      <c r="AQ253" s="35">
        <f>SUM(AQ204,AQ208,AQ210,AQ211,AQ218,AQ219,AQ223,AQ220,AQ241,AQ244,AQ245,AQ246)</f>
        <v>82484.9792930407</v>
      </c>
      <c r="AR253" s="35">
        <f>SUM(AR204+AR208+AR210+AR211+AR218+AR219+AR220+AR223+AR241+AR244+AR245+AR246)</f>
        <v>82536.3144441719</v>
      </c>
      <c r="AS253" s="35">
        <f>SUM(AS204+AS208+AS210+AS211+AS218+AS219+AS220+AS223+AS241+AS244+AS245+AS246)</f>
        <v>82943.6834181191</v>
      </c>
      <c r="AT253" s="35">
        <f>SUM(AT204+AT208+AT210+AT211+AT218+AT219+AT220+AT223+AT241+AT244+AT245+AT246)</f>
        <v>83421.6606220302</v>
      </c>
      <c r="AU253" s="35">
        <f>SUM(AU204+AU208+AU210+AU211+AU218+AU219+AU220+AU223+AU241+AU244+AU245+AU246)</f>
        <v>83612.071193258</v>
      </c>
      <c r="AV253" s="35">
        <f>SUM(AV204,AV208,AV210,AV211,AV218,AV219,AV223,AV220,AV241,AV244,AV245,AV246)</f>
        <v>83612.071193258</v>
      </c>
      <c r="AW253" s="35">
        <f>SUM(AW204+AW208+AW210+AW211+AW218+AW219+AW220+AW223+AW241+AW244+AW245+AW246)</f>
        <v>83734.1871441647</v>
      </c>
      <c r="AX253" s="35">
        <f>SUM(AX204+AX208+AX210+AX211+AX218+AX219+AX220+AX223+AX241+AX244+AX245+AX246)</f>
        <v>84076.2214929668</v>
      </c>
      <c r="AY253" s="35">
        <f>SUM(AY204+AY208+AY210+AY211+AY218+AY219+AY220+AY223+AY241+AY244+AY245+AY246)</f>
        <v>84590.7027741986</v>
      </c>
      <c r="AZ253" s="35">
        <f>SUM(AZ204+AZ208+AZ210+AZ211+AZ218+AZ219+AZ220+AZ223+AZ241+AZ244+AZ245+AZ246)</f>
        <v>84802.6143315903</v>
      </c>
      <c r="BA253" s="35">
        <f>SUM(BA204,BA208,BA210,BA211,BA218,BA219,BA223,BA220,BA241,BA244,BA245,BA246)</f>
        <v>84802.6143315902</v>
      </c>
      <c r="BB253" s="35">
        <f>SUM(BB204+BB208+BB210+BB211+BB218+BB219+BB220+BB223+BB241+BB244+BB245+BB246)</f>
        <v>84894.8280733632</v>
      </c>
      <c r="BC253" s="35">
        <f>SUM(BC204+BC208+BC210+BC211+BC218+BC219+BC220+BC223+BC241+BC244+BC245+BC246)</f>
        <v>85261.706099291</v>
      </c>
      <c r="BD253" s="35">
        <f>SUM(BD204+BD208+BD210+BD211+BD218+BD219+BD220+BD223+BD241+BD244+BD245+BD246)</f>
        <v>85808.5001782084</v>
      </c>
      <c r="BE253" s="35">
        <f>SUM(BE204+BE208+BE210+BE211+BE218+BE219+BE220+BE223+BE241+BE244+BE245+BE246)</f>
        <v>86038.1403348575</v>
      </c>
      <c r="BF253" s="35">
        <f>SUM(BF204,BF208,BF210,BF211,BF218,BF219,BF223,BF220,BF241,BF244,BF245,BF246)</f>
        <v>86038.1403348575</v>
      </c>
      <c r="BG253" s="35" t="n"/>
      <c r="BH253" s="35" t="n"/>
      <c r="BI253" s="35" t="n"/>
      <c r="BJ253" s="35" t="n"/>
      <c r="BK253" s="35" t="n"/>
      <c r="BL253" s="35" t="n"/>
      <c r="BM253" s="35" t="n"/>
      <c r="BN253" s="35" t="n"/>
      <c r="BO253" s="35" t="n"/>
      <c r="BP253" s="35" t="n"/>
      <c r="BQ253" s="35" t="n"/>
      <c r="BR253" s="35" t="n"/>
      <c r="BS253" s="35" t="n"/>
      <c r="BT253" s="35" t="n"/>
      <c r="BU253" s="35" t="n"/>
      <c r="BV253" s="35" t="n"/>
      <c r="BW253" s="35" t="n"/>
      <c r="BX253" s="35" t="n"/>
      <c r="BY253" s="35" t="n"/>
      <c r="BZ253" s="35" t="n"/>
      <c r="CA253" s="35" t="n"/>
      <c r="CB253" s="35" t="n"/>
      <c r="CC253" s="35" t="n"/>
      <c r="CD253" s="35" t="n"/>
      <c r="CE253" s="35" t="n"/>
      <c r="CF253" s="35" t="n"/>
      <c r="CG253" s="35" t="n"/>
      <c r="CH253" s="35" t="n"/>
      <c r="CI253" s="35" t="n"/>
      <c r="CJ253" s="35" t="n"/>
      <c r="CK253" s="35" t="n"/>
      <c r="CL253" s="35" t="n"/>
      <c r="CM253" s="35" t="n"/>
      <c r="CN253" s="35" t="n"/>
      <c r="CO253" s="35" t="n"/>
      <c r="CP253" s="35" t="n"/>
      <c r="CQ253" s="35" t="n"/>
      <c r="CR253" s="35" t="n"/>
      <c r="CS253" s="35" t="n"/>
      <c r="CT253" s="35" t="n"/>
      <c r="CU253" s="35" t="n"/>
      <c r="CV253" s="35" t="n"/>
      <c r="CW253" s="35" t="n"/>
      <c r="CX253" s="35" t="n"/>
      <c r="CY253" s="35" t="n"/>
    </row>
    <row r="254">
      <c r="C254" s="14" t="inlineStr">
        <is>
          <t>Minority interest</t>
        </is>
      </c>
      <c r="D254" s="46" t="n"/>
      <c r="E254" s="46" t="n"/>
      <c r="F254" s="46" t="n"/>
      <c r="G254" s="46" t="n"/>
      <c r="H254" s="12" t="n"/>
      <c r="I254" s="46">
        <f>'Inputs (2)'!D41</f>
        <v>1671.055</v>
      </c>
      <c r="J254" s="46">
        <f>'Inputs (2)'!E41</f>
        <v>1815.693</v>
      </c>
      <c r="K254" s="46">
        <f>'Inputs (2)'!F41</f>
        <v>2296.413</v>
      </c>
      <c r="L254" s="46">
        <f>'Inputs (2)'!G41</f>
        <v>2308.182</v>
      </c>
      <c r="M254" s="12">
        <f>'Inputs (2)'!H41</f>
        <v>2308.182</v>
      </c>
      <c r="N254" s="46">
        <f>'Inputs (2)'!I41</f>
        <v>2292.362</v>
      </c>
      <c r="O254" s="46">
        <f>'Inputs (2)'!J41</f>
        <v>2294.679</v>
      </c>
      <c r="P254" s="46">
        <f>'Inputs (2)'!K41</f>
        <v>2785.986</v>
      </c>
      <c r="Q254" s="46">
        <f>'Inputs (2)'!L41</f>
        <v>2699.977</v>
      </c>
      <c r="R254" s="12">
        <f>'Inputs (2)'!M41</f>
        <v>2699.977</v>
      </c>
      <c r="S254" s="46">
        <f>'Inputs (2)'!N41</f>
        <v>2783.524</v>
      </c>
      <c r="T254" s="46">
        <f>'Inputs (2)'!O41</f>
        <v>2960.640248788</v>
      </c>
      <c r="U254" s="46">
        <f>'Inputs (2)'!P41</f>
        <v>3452.882286124</v>
      </c>
      <c r="V254" s="46">
        <f>'Inputs (2)'!Q41</f>
        <v>3425.485977938</v>
      </c>
      <c r="W254" s="12">
        <f>'Inputs (2)'!R41</f>
        <v>3425.485977938</v>
      </c>
      <c r="X254" s="46">
        <f>'Inputs (2)'!S41</f>
        <v>3505.858461793</v>
      </c>
      <c r="Y254" s="46">
        <f>'Inputs (2)'!T41</f>
        <v>3600.120510361</v>
      </c>
      <c r="Z254" s="46">
        <f>'Inputs (2)'!U41</f>
        <v>3743.753330734</v>
      </c>
      <c r="AA254" s="46">
        <f>'Inputs (2)'!V41</f>
        <v>2973.47641786</v>
      </c>
      <c r="AB254" s="12">
        <f>'Inputs (2)'!W41</f>
        <v>2973.47641786</v>
      </c>
      <c r="AC254" s="46">
        <f>'Inputs (2)'!X41</f>
        <v>2973.15152807</v>
      </c>
      <c r="AD254" s="46">
        <f>'Inputs (2)'!Y41</f>
        <v>2968.92014546</v>
      </c>
      <c r="AE254" s="46">
        <f>'Inputs (2)'!Z41</f>
        <v>3021.07172258</v>
      </c>
      <c r="AF254" s="46">
        <f>'Inputs (2)'!AA41</f>
        <v>2898.1812004</v>
      </c>
      <c r="AG254" s="12">
        <f>'Inputs (2)'!AB41</f>
        <v>2898.1812004</v>
      </c>
      <c r="AH254" s="12">
        <f>'Inputs (2)'!AC41</f>
        <v>2877.63107836</v>
      </c>
      <c r="AI254" s="12">
        <f>'Inputs (2)'!AD41</f>
        <v>3938.39084761</v>
      </c>
      <c r="AJ254" s="12">
        <f>AI254</f>
        <v>3938.39084761</v>
      </c>
      <c r="AK254" s="12">
        <f>AJ254</f>
        <v>3938.39084761</v>
      </c>
      <c r="AL254" s="12">
        <f>AK254</f>
        <v>3938.39084761</v>
      </c>
      <c r="AM254" s="12">
        <f>AL254</f>
        <v>3938.39084761</v>
      </c>
      <c r="AN254" s="12">
        <f>AM254</f>
        <v>3938.39084761</v>
      </c>
      <c r="AO254" s="12">
        <f>AN254</f>
        <v>3938.39084761</v>
      </c>
      <c r="AP254" s="12">
        <f>AO254</f>
        <v>3938.39084761</v>
      </c>
      <c r="AQ254" s="12">
        <f>AP254</f>
        <v>3938.39084761</v>
      </c>
      <c r="AR254" s="12">
        <f>AQ254</f>
        <v>3938.39084761</v>
      </c>
      <c r="AS254" s="12">
        <f>AR254</f>
        <v>3938.39084761</v>
      </c>
      <c r="AT254" s="12">
        <f>AS254</f>
        <v>3938.39084761</v>
      </c>
      <c r="AU254" s="12">
        <f>AT254</f>
        <v>3938.39084761</v>
      </c>
      <c r="AV254" s="12">
        <f>AU254</f>
        <v>3938.39084761</v>
      </c>
      <c r="AW254" s="12">
        <f>AV254</f>
        <v>3938.39084761</v>
      </c>
      <c r="AX254" s="12">
        <f>AW254</f>
        <v>3938.39084761</v>
      </c>
      <c r="AY254" s="12">
        <f>AX254</f>
        <v>3938.39084761</v>
      </c>
      <c r="AZ254" s="12">
        <f>AY254</f>
        <v>3938.39084761</v>
      </c>
      <c r="BA254" s="12">
        <f>AZ254</f>
        <v>3938.39084761</v>
      </c>
      <c r="BB254" s="12">
        <f>BA254</f>
        <v>3938.39084761</v>
      </c>
      <c r="BC254" s="12">
        <f>BB254</f>
        <v>3938.39084761</v>
      </c>
      <c r="BD254" s="12">
        <f>BC254</f>
        <v>3938.39084761</v>
      </c>
      <c r="BE254" s="12">
        <f>BD254</f>
        <v>3938.39084761</v>
      </c>
      <c r="BF254" s="12">
        <f>BE254</f>
        <v>3938.39084761</v>
      </c>
      <c r="BG254" s="12" t="n"/>
      <c r="BH254" s="12" t="n"/>
      <c r="BI254" s="12" t="n"/>
      <c r="BJ254" s="12" t="n"/>
      <c r="BK254" s="12" t="n"/>
      <c r="BL254" s="12" t="n"/>
      <c r="BM254" s="12" t="n"/>
      <c r="BN254" s="12" t="n"/>
      <c r="BO254" s="12" t="n"/>
      <c r="BP254" s="12" t="n"/>
      <c r="BQ254" s="12" t="n"/>
      <c r="BR254" s="12" t="n"/>
      <c r="BS254" s="12" t="n"/>
      <c r="BT254" s="12" t="n"/>
      <c r="BU254" s="12" t="n"/>
      <c r="BV254" s="12" t="n"/>
      <c r="BW254" s="12" t="n"/>
      <c r="BX254" s="12" t="n"/>
      <c r="BY254" s="12" t="n"/>
      <c r="BZ254" s="12" t="n"/>
      <c r="CA254" s="12" t="n"/>
      <c r="CB254" s="12" t="n"/>
      <c r="CC254" s="12" t="n"/>
      <c r="CD254" s="12" t="n"/>
      <c r="CE254" s="12" t="n"/>
      <c r="CF254" s="12" t="n"/>
      <c r="CG254" s="12" t="n"/>
      <c r="CH254" s="12" t="n"/>
      <c r="CI254" s="12" t="n"/>
      <c r="CJ254" s="12" t="n"/>
      <c r="CK254" s="12" t="n"/>
      <c r="CL254" s="12" t="n"/>
      <c r="CM254" s="12" t="n"/>
      <c r="CN254" s="12" t="n"/>
      <c r="CO254" s="12" t="n"/>
      <c r="CP254" s="12" t="n"/>
      <c r="CQ254" s="12" t="n"/>
      <c r="CR254" s="12" t="n"/>
      <c r="CS254" s="12" t="n"/>
      <c r="CT254" s="12" t="n"/>
      <c r="CU254" s="12" t="n"/>
      <c r="CV254" s="12" t="n"/>
      <c r="CW254" s="12" t="n"/>
      <c r="CX254" s="12" t="n"/>
      <c r="CY254" s="12" t="n"/>
    </row>
    <row r="255" hidden="1" outlineLevel="1" customFormat="1" s="66">
      <c r="A255" s="37" t="n"/>
      <c r="B255" s="37" t="n"/>
      <c r="C255" s="59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42" t="n"/>
      <c r="AG255" s="42" t="n"/>
      <c r="AH255" s="42" t="n"/>
      <c r="AI255" s="42" t="n"/>
      <c r="AJ255" s="42" t="n"/>
      <c r="AK255" s="42" t="n"/>
      <c r="AL255" s="42" t="n"/>
      <c r="AM255" s="42" t="n"/>
      <c r="AN255" s="42" t="n"/>
      <c r="AO255" s="42" t="n"/>
      <c r="AP255" s="42" t="n"/>
      <c r="AQ255" s="42" t="n"/>
      <c r="AR255" s="42" t="n"/>
      <c r="AS255" s="42" t="n"/>
      <c r="AT255" s="42" t="n"/>
      <c r="AU255" s="42" t="n"/>
      <c r="AV255" s="42" t="n"/>
      <c r="AW255" s="42" t="n"/>
      <c r="AX255" s="42" t="n"/>
      <c r="AY255" s="42" t="n"/>
      <c r="AZ255" s="42" t="n"/>
      <c r="BA255" s="42" t="n"/>
      <c r="BB255" s="42" t="n"/>
      <c r="BC255" s="42" t="n"/>
      <c r="BD255" s="42" t="n"/>
      <c r="BE255" s="42" t="n"/>
      <c r="BF255" s="42" t="n"/>
      <c r="BG255" s="42" t="n"/>
      <c r="BH255" s="42" t="n"/>
      <c r="BI255" s="42" t="n"/>
      <c r="BJ255" s="42" t="n"/>
      <c r="BK255" s="42" t="n"/>
      <c r="BL255" s="42" t="n"/>
      <c r="BM255" s="42" t="n"/>
      <c r="BN255" s="42" t="n"/>
      <c r="BO255" s="42" t="n"/>
      <c r="BP255" s="42" t="n"/>
      <c r="BQ255" s="42" t="n"/>
      <c r="BR255" s="42" t="n"/>
      <c r="BS255" s="42" t="n"/>
      <c r="BT255" s="42" t="n"/>
      <c r="BU255" s="42" t="n"/>
      <c r="BV255" s="42" t="n"/>
      <c r="BW255" s="42" t="n"/>
      <c r="BX255" s="42" t="n"/>
      <c r="BY255" s="42" t="n"/>
      <c r="BZ255" s="42" t="n"/>
      <c r="CA255" s="42" t="n"/>
      <c r="CB255" s="42" t="n"/>
      <c r="CC255" s="42" t="n"/>
      <c r="CD255" s="42" t="n"/>
      <c r="CE255" s="42" t="n"/>
      <c r="CF255" s="42" t="n"/>
      <c r="CG255" s="42" t="n"/>
      <c r="CH255" s="42" t="n"/>
      <c r="CI255" s="42" t="n"/>
      <c r="CJ255" s="42" t="n"/>
      <c r="CK255" s="42" t="n"/>
      <c r="CL255" s="42" t="n"/>
      <c r="CM255" s="42" t="n"/>
      <c r="CN255" s="42" t="n"/>
      <c r="CO255" s="42" t="n"/>
      <c r="CP255" s="42" t="n"/>
      <c r="CQ255" s="42" t="n"/>
      <c r="CR255" s="42" t="n"/>
      <c r="CS255" s="42" t="n"/>
      <c r="CT255" s="42" t="n"/>
      <c r="CU255" s="42" t="n"/>
      <c r="CV255" s="42" t="n"/>
      <c r="CW255" s="42" t="n"/>
      <c r="CX255" s="42" t="n"/>
      <c r="CY255" s="42" t="n"/>
    </row>
    <row r="256" hidden="1" outlineLevel="1" customFormat="1" s="66">
      <c r="A256" s="37" t="n"/>
      <c r="B256" s="37" t="n"/>
      <c r="C256" s="57" t="inlineStr">
        <is>
          <t>Minority Interest Expense - % YoY</t>
        </is>
      </c>
      <c r="D256" s="42" t="n"/>
      <c r="E256" s="58" t="n"/>
      <c r="F256" s="42" t="n"/>
      <c r="G256" s="42" t="n"/>
      <c r="H256" s="58" t="n"/>
      <c r="I256" s="42" t="n"/>
      <c r="J256" s="58">
        <f>IF(I141=0,0,J141/I141-1)</f>
        <v>0</v>
      </c>
      <c r="K256" s="42" t="n"/>
      <c r="L256" s="42" t="n"/>
      <c r="M256" s="58" t="n"/>
      <c r="N256" s="58">
        <f>IF(I141=0,0,N141/I141-1)</f>
        <v>0</v>
      </c>
      <c r="O256" s="58">
        <f>IF(J141=0,0,O141/J141-1)</f>
        <v>0</v>
      </c>
      <c r="P256" s="58">
        <f>IF(K141=0,0,P141/K141-1)</f>
        <v>0</v>
      </c>
      <c r="Q256" s="58">
        <f>IF(L141=0,0,Q141/L141-1)</f>
        <v>0</v>
      </c>
      <c r="R256" s="58" t="n"/>
      <c r="S256" s="58">
        <f>IF(N141=0,0,S141/N141-1)</f>
        <v>0</v>
      </c>
      <c r="T256" s="58">
        <f>IF(O141=0,0,T141/O141-1)</f>
        <v>0</v>
      </c>
      <c r="U256" s="58">
        <f>IF(P141=0,0,U141/P141-1)</f>
        <v>0</v>
      </c>
      <c r="V256" s="58">
        <f>IF(Q141=0,0,V141/Q141-1)</f>
        <v>0</v>
      </c>
      <c r="W256" s="58">
        <f>IF(R142=0,0,W142/R142-1)</f>
        <v>-1.34151978394762</v>
      </c>
      <c r="X256" s="58">
        <f>IF(S141=0,0,X141/S141-1)</f>
        <v>0</v>
      </c>
      <c r="Y256" s="58">
        <f>IF(T141=0,0,Y141/T141-1)</f>
        <v>0</v>
      </c>
      <c r="Z256" s="58">
        <f>IF(U141=0,0,Z141/U141-1)</f>
        <v>0</v>
      </c>
      <c r="AA256" s="58">
        <f>IF(V141=0,0,AA141/V141-1)</f>
        <v>0</v>
      </c>
      <c r="AB256" s="58">
        <f>IF(W142=0,0,AB142/W142-1)</f>
        <v>-2.86418947282936</v>
      </c>
      <c r="AC256" s="58">
        <f>IF(X141=0,0,AC141/X141-1)</f>
        <v>0</v>
      </c>
      <c r="AD256" s="58">
        <f>IF(Y141=0,0,AD141/Y141-1)</f>
        <v>0</v>
      </c>
      <c r="AE256" s="58">
        <f>IF(Z141=0,0,AE141/Z141-1)</f>
        <v>0</v>
      </c>
      <c r="AF256" s="58">
        <f>IF(AA141=0,0,AF141/AA141-1)</f>
        <v>0</v>
      </c>
      <c r="AG256" s="58">
        <f>IF(AB142=0,0,AG142/AB142-1)</f>
        <v>-0.405725874798365</v>
      </c>
      <c r="AH256" s="62">
        <f>IF(AC141=0,0,AH141/AC141-1)</f>
        <v>0</v>
      </c>
      <c r="AI256" s="62">
        <f>IF(AD141=0,0,AI141/AD141-1)</f>
        <v>0</v>
      </c>
      <c r="AJ256" s="62" t="n"/>
      <c r="AK256" s="62" t="n"/>
      <c r="AL256" s="58">
        <f>IF(AG142=0,0,AL142/AG142-1)</f>
        <v>-0.748337728199787</v>
      </c>
      <c r="AM256" s="62" t="n"/>
      <c r="AN256" s="62" t="n"/>
      <c r="AO256" s="62" t="n"/>
      <c r="AP256" s="62" t="n"/>
      <c r="AQ256" s="58">
        <f>IF(AL142=0,0,AQ142/AL142-1)</f>
        <v>-1</v>
      </c>
      <c r="AR256" s="62" t="n"/>
      <c r="AS256" s="62" t="n"/>
      <c r="AT256" s="62" t="n"/>
      <c r="AU256" s="62" t="n"/>
      <c r="AV256" s="58">
        <f>IF(AQ142=0,0,AV142/AQ142-1)</f>
        <v>0</v>
      </c>
      <c r="AW256" s="62" t="n"/>
      <c r="AX256" s="62" t="n"/>
      <c r="AY256" s="62" t="n"/>
      <c r="AZ256" s="62" t="n"/>
      <c r="BA256" s="58">
        <f>IF(AV142=0,0,BA142/AV142-1)</f>
        <v>0</v>
      </c>
      <c r="BB256" s="62" t="n"/>
      <c r="BC256" s="62" t="n"/>
      <c r="BD256" s="62" t="n"/>
      <c r="BE256" s="62" t="n"/>
      <c r="BF256" s="58">
        <f>IF(BA142=0,0,BF142/BA142-1)</f>
        <v>0</v>
      </c>
      <c r="BG256" s="62" t="n"/>
      <c r="BH256" s="62" t="n"/>
      <c r="BI256" s="62" t="n"/>
      <c r="BJ256" s="62" t="n"/>
      <c r="BK256" s="58" t="n"/>
      <c r="BL256" s="62" t="n"/>
      <c r="BM256" s="62" t="n"/>
      <c r="BN256" s="62" t="n"/>
      <c r="BO256" s="62" t="n"/>
      <c r="BP256" s="58" t="n"/>
      <c r="BQ256" s="62" t="n"/>
      <c r="BR256" s="62" t="n"/>
      <c r="BS256" s="62" t="n"/>
      <c r="BT256" s="62" t="n"/>
      <c r="BU256" s="58" t="n"/>
      <c r="BV256" s="62" t="n"/>
      <c r="BW256" s="62" t="n"/>
      <c r="BX256" s="62" t="n"/>
      <c r="BY256" s="62" t="n"/>
      <c r="BZ256" s="58" t="n"/>
      <c r="CA256" s="62" t="n"/>
      <c r="CB256" s="62" t="n"/>
      <c r="CC256" s="62" t="n"/>
      <c r="CD256" s="62" t="n"/>
      <c r="CE256" s="58" t="n"/>
      <c r="CF256" s="62" t="n"/>
      <c r="CG256" s="62" t="n"/>
      <c r="CH256" s="62" t="n"/>
      <c r="CI256" s="62" t="n"/>
      <c r="CJ256" s="58" t="n"/>
      <c r="CK256" s="62" t="n"/>
      <c r="CL256" s="62" t="n"/>
      <c r="CM256" s="62" t="n"/>
      <c r="CN256" s="62" t="n"/>
      <c r="CO256" s="58" t="n"/>
      <c r="CP256" s="62" t="n"/>
      <c r="CQ256" s="62" t="n"/>
      <c r="CR256" s="62" t="n"/>
      <c r="CS256" s="62" t="n"/>
      <c r="CT256" s="58" t="n"/>
      <c r="CU256" s="62" t="n"/>
      <c r="CV256" s="62" t="n"/>
      <c r="CW256" s="62" t="n"/>
      <c r="CX256" s="62" t="n"/>
      <c r="CY256" s="58" t="n"/>
    </row>
    <row r="257" hidden="1" outlineLevel="1" customFormat="1" s="66">
      <c r="A257" s="37" t="n"/>
      <c r="B257" s="37" t="n"/>
      <c r="C257" s="57" t="inlineStr">
        <is>
          <t>Dividends (enter as -)</t>
        </is>
      </c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  <c r="AG257" s="42" t="n"/>
      <c r="AH257" s="62" t="n"/>
      <c r="AI257" s="62" t="n"/>
      <c r="AJ257" s="62" t="n"/>
      <c r="AK257" s="62" t="n"/>
      <c r="AL257" s="42" t="n"/>
      <c r="AM257" s="62" t="n"/>
      <c r="AN257" s="62" t="n"/>
      <c r="AO257" s="62" t="n"/>
      <c r="AP257" s="62" t="n"/>
      <c r="AQ257" s="42" t="n"/>
      <c r="AR257" s="62" t="n"/>
      <c r="AS257" s="62" t="n"/>
      <c r="AT257" s="62" t="n"/>
      <c r="AU257" s="62" t="n"/>
      <c r="AV257" s="42" t="n"/>
      <c r="AW257" s="62" t="n"/>
      <c r="AX257" s="62" t="n"/>
      <c r="AY257" s="62" t="n"/>
      <c r="AZ257" s="62" t="n"/>
      <c r="BA257" s="42" t="n"/>
      <c r="BB257" s="62" t="n"/>
      <c r="BC257" s="62" t="n"/>
      <c r="BD257" s="62" t="n"/>
      <c r="BE257" s="62" t="n"/>
      <c r="BF257" s="42" t="n"/>
      <c r="BG257" s="62" t="n"/>
      <c r="BH257" s="62" t="n"/>
      <c r="BI257" s="62" t="n"/>
      <c r="BJ257" s="62" t="n"/>
      <c r="BK257" s="42" t="n"/>
      <c r="BL257" s="62" t="n"/>
      <c r="BM257" s="62" t="n"/>
      <c r="BN257" s="62" t="n"/>
      <c r="BO257" s="62" t="n"/>
      <c r="BP257" s="42" t="n"/>
      <c r="BQ257" s="62" t="n"/>
      <c r="BR257" s="62" t="n"/>
      <c r="BS257" s="62" t="n"/>
      <c r="BT257" s="62" t="n"/>
      <c r="BU257" s="42" t="n"/>
      <c r="BV257" s="62" t="n"/>
      <c r="BW257" s="62" t="n"/>
      <c r="BX257" s="62" t="n"/>
      <c r="BY257" s="62" t="n"/>
      <c r="BZ257" s="42" t="n"/>
      <c r="CA257" s="62" t="n"/>
      <c r="CB257" s="62" t="n"/>
      <c r="CC257" s="62" t="n"/>
      <c r="CD257" s="62" t="n"/>
      <c r="CE257" s="42" t="n"/>
      <c r="CF257" s="62" t="n"/>
      <c r="CG257" s="62" t="n"/>
      <c r="CH257" s="62" t="n"/>
      <c r="CI257" s="62" t="n"/>
      <c r="CJ257" s="42" t="n"/>
      <c r="CK257" s="62" t="n"/>
      <c r="CL257" s="62" t="n"/>
      <c r="CM257" s="62" t="n"/>
      <c r="CN257" s="62" t="n"/>
      <c r="CO257" s="42" t="n"/>
      <c r="CP257" s="62" t="n"/>
      <c r="CQ257" s="62" t="n"/>
      <c r="CR257" s="62" t="n"/>
      <c r="CS257" s="62" t="n"/>
      <c r="CT257" s="42" t="n"/>
      <c r="CU257" s="62" t="n"/>
      <c r="CV257" s="62" t="n"/>
      <c r="CW257" s="62" t="n"/>
      <c r="CX257" s="62" t="n"/>
      <c r="CY257" s="42" t="n"/>
    </row>
    <row r="258" hidden="1" outlineLevel="1" customFormat="1" s="66">
      <c r="A258" s="37" t="n"/>
      <c r="B258" s="37" t="n"/>
      <c r="C258" s="59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  <c r="AG258" s="42" t="n"/>
      <c r="AH258" s="42" t="n"/>
      <c r="AI258" s="42" t="n"/>
      <c r="AJ258" s="42" t="n"/>
      <c r="AK258" s="42" t="n"/>
      <c r="AL258" s="42" t="n"/>
      <c r="AM258" s="42" t="n"/>
      <c r="AN258" s="42" t="n"/>
      <c r="AO258" s="42" t="n"/>
      <c r="AP258" s="42" t="n"/>
      <c r="AQ258" s="42" t="n"/>
      <c r="AR258" s="42" t="n"/>
      <c r="AS258" s="42" t="n"/>
      <c r="AT258" s="42" t="n"/>
      <c r="AU258" s="42" t="n"/>
      <c r="AV258" s="42" t="n"/>
      <c r="AW258" s="42" t="n"/>
      <c r="AX258" s="42" t="n"/>
      <c r="AY258" s="42" t="n"/>
      <c r="AZ258" s="42" t="n"/>
      <c r="BA258" s="42" t="n"/>
      <c r="BB258" s="42" t="n"/>
      <c r="BC258" s="42" t="n"/>
      <c r="BD258" s="42" t="n"/>
      <c r="BE258" s="42" t="n"/>
      <c r="BF258" s="42" t="n"/>
      <c r="BG258" s="42" t="n"/>
      <c r="BH258" s="42" t="n"/>
      <c r="BI258" s="42" t="n"/>
      <c r="BJ258" s="42" t="n"/>
      <c r="BK258" s="42" t="n"/>
      <c r="BL258" s="42" t="n"/>
      <c r="BM258" s="42" t="n"/>
      <c r="BN258" s="42" t="n"/>
      <c r="BO258" s="42" t="n"/>
      <c r="BP258" s="42" t="n"/>
      <c r="BQ258" s="42" t="n"/>
      <c r="BR258" s="42" t="n"/>
      <c r="BS258" s="42" t="n"/>
      <c r="BT258" s="42" t="n"/>
      <c r="BU258" s="42" t="n"/>
      <c r="BV258" s="42" t="n"/>
      <c r="BW258" s="42" t="n"/>
      <c r="BX258" s="42" t="n"/>
      <c r="BY258" s="42" t="n"/>
      <c r="BZ258" s="42" t="n"/>
      <c r="CA258" s="42" t="n"/>
      <c r="CB258" s="42" t="n"/>
      <c r="CC258" s="42" t="n"/>
      <c r="CD258" s="42" t="n"/>
      <c r="CE258" s="42" t="n"/>
      <c r="CF258" s="42" t="n"/>
      <c r="CG258" s="42" t="n"/>
      <c r="CH258" s="42" t="n"/>
      <c r="CI258" s="42" t="n"/>
      <c r="CJ258" s="42" t="n"/>
      <c r="CK258" s="42" t="n"/>
      <c r="CL258" s="42" t="n"/>
      <c r="CM258" s="42" t="n"/>
      <c r="CN258" s="42" t="n"/>
      <c r="CO258" s="42" t="n"/>
      <c r="CP258" s="42" t="n"/>
      <c r="CQ258" s="42" t="n"/>
      <c r="CR258" s="42" t="n"/>
      <c r="CS258" s="42" t="n"/>
      <c r="CT258" s="42" t="n"/>
      <c r="CU258" s="42" t="n"/>
      <c r="CV258" s="42" t="n"/>
      <c r="CW258" s="42" t="n"/>
      <c r="CX258" s="42" t="n"/>
      <c r="CY258" s="42" t="n"/>
    </row>
    <row r="259" collapsed="1">
      <c r="C259" s="14" t="inlineStr">
        <is>
          <t>Convertible Preferred Stock</t>
        </is>
      </c>
      <c r="D259" s="46" t="n"/>
      <c r="E259" s="46" t="n"/>
      <c r="F259" s="46" t="n"/>
      <c r="G259" s="46" t="n"/>
      <c r="H259" s="12" t="n"/>
      <c r="I259" s="46">
        <f>'Inputs (2)'!D42</f>
        <v>0</v>
      </c>
      <c r="J259" s="46">
        <f>'Inputs (2)'!E42</f>
        <v>0</v>
      </c>
      <c r="K259" s="46">
        <f>'Inputs (2)'!F42</f>
        <v>0</v>
      </c>
      <c r="L259" s="46">
        <f>'Inputs (2)'!G42</f>
        <v>0</v>
      </c>
      <c r="M259" s="12">
        <f>'Inputs (2)'!H42</f>
        <v>0</v>
      </c>
      <c r="N259" s="46">
        <f>'Inputs (2)'!I42</f>
        <v>0</v>
      </c>
      <c r="O259" s="46">
        <f>'Inputs (2)'!J42</f>
        <v>0</v>
      </c>
      <c r="P259" s="46">
        <f>'Inputs (2)'!K42</f>
        <v>0</v>
      </c>
      <c r="Q259" s="46">
        <f>'Inputs (2)'!L42</f>
        <v>0</v>
      </c>
      <c r="R259" s="12">
        <f>'Inputs (2)'!M42</f>
        <v>0</v>
      </c>
      <c r="S259" s="46">
        <f>'Inputs (2)'!N42</f>
        <v>0</v>
      </c>
      <c r="T259" s="46">
        <f>'Inputs (2)'!O42</f>
        <v>0</v>
      </c>
      <c r="U259" s="46">
        <f>'Inputs (2)'!P42</f>
        <v>0</v>
      </c>
      <c r="V259" s="46">
        <f>'Inputs (2)'!Q42</f>
        <v>0</v>
      </c>
      <c r="W259" s="12">
        <f>'Inputs (2)'!R42</f>
        <v>0</v>
      </c>
      <c r="X259" s="46">
        <f>'Inputs (2)'!S42</f>
        <v>0</v>
      </c>
      <c r="Y259" s="46">
        <f>'Inputs (2)'!T42</f>
        <v>0</v>
      </c>
      <c r="Z259" s="46">
        <f>'Inputs (2)'!U42</f>
        <v>0</v>
      </c>
      <c r="AA259" s="46">
        <f>'Inputs (2)'!V42</f>
        <v>0</v>
      </c>
      <c r="AB259" s="12">
        <f>'Inputs (2)'!W42</f>
        <v>0</v>
      </c>
      <c r="AC259" s="46">
        <f>'Inputs (2)'!X42</f>
        <v>0</v>
      </c>
      <c r="AD259" s="46">
        <f>'Inputs (2)'!Y42</f>
        <v>0</v>
      </c>
      <c r="AE259" s="46">
        <f>'Inputs (2)'!Z42</f>
        <v>0</v>
      </c>
      <c r="AF259" s="46">
        <f>'Inputs (2)'!AA42</f>
        <v>0</v>
      </c>
      <c r="AG259" s="12">
        <f>'Inputs (2)'!AB42</f>
        <v>0</v>
      </c>
      <c r="AH259" s="12">
        <f>'Inputs (2)'!AC42</f>
        <v>0</v>
      </c>
      <c r="AI259" s="12">
        <f>'Inputs (2)'!AD42</f>
        <v>0</v>
      </c>
      <c r="AJ259" s="12">
        <f>AI259</f>
        <v>0</v>
      </c>
      <c r="AK259" s="12">
        <f>AJ259</f>
        <v>0</v>
      </c>
      <c r="AL259" s="12">
        <f>AK259</f>
        <v>0</v>
      </c>
      <c r="AM259" s="12">
        <f>AL259</f>
        <v>0</v>
      </c>
      <c r="AN259" s="12">
        <f>AM259</f>
        <v>0</v>
      </c>
      <c r="AO259" s="12">
        <f>AN259</f>
        <v>0</v>
      </c>
      <c r="AP259" s="12">
        <f>AO259</f>
        <v>0</v>
      </c>
      <c r="AQ259" s="12">
        <f>AP259</f>
        <v>0</v>
      </c>
      <c r="AR259" s="12">
        <f>AQ259</f>
        <v>0</v>
      </c>
      <c r="AS259" s="12">
        <f>AR259</f>
        <v>0</v>
      </c>
      <c r="AT259" s="12">
        <f>AS259</f>
        <v>0</v>
      </c>
      <c r="AU259" s="12">
        <f>AT259</f>
        <v>0</v>
      </c>
      <c r="AV259" s="12">
        <f>AU259</f>
        <v>0</v>
      </c>
      <c r="AW259" s="12">
        <f>AV259</f>
        <v>0</v>
      </c>
      <c r="AX259" s="12">
        <f>AW259</f>
        <v>0</v>
      </c>
      <c r="AY259" s="12">
        <f>AX259</f>
        <v>0</v>
      </c>
      <c r="AZ259" s="12">
        <f>AY259</f>
        <v>0</v>
      </c>
      <c r="BA259" s="12">
        <f>AZ259</f>
        <v>0</v>
      </c>
      <c r="BB259" s="12">
        <f>BA259</f>
        <v>0</v>
      </c>
      <c r="BC259" s="12">
        <f>BB259</f>
        <v>0</v>
      </c>
      <c r="BD259" s="12">
        <f>BC259</f>
        <v>0</v>
      </c>
      <c r="BE259" s="12">
        <f>BD259</f>
        <v>0</v>
      </c>
      <c r="BF259" s="12">
        <f>BE259</f>
        <v>0</v>
      </c>
      <c r="BG259" s="12" t="n"/>
      <c r="BH259" s="12" t="n"/>
      <c r="BI259" s="12" t="n"/>
      <c r="BJ259" s="12" t="n"/>
      <c r="BK259" s="12" t="n"/>
      <c r="BL259" s="12" t="n"/>
      <c r="BM259" s="12" t="n"/>
      <c r="BN259" s="12" t="n"/>
      <c r="BO259" s="12" t="n"/>
      <c r="BP259" s="12" t="n"/>
      <c r="BQ259" s="12" t="n"/>
      <c r="BR259" s="12" t="n"/>
      <c r="BS259" s="12" t="n"/>
      <c r="BT259" s="12" t="n"/>
      <c r="BU259" s="12" t="n"/>
      <c r="BV259" s="12" t="n"/>
      <c r="BW259" s="12" t="n"/>
      <c r="BX259" s="12" t="n"/>
      <c r="BY259" s="12" t="n"/>
      <c r="BZ259" s="12" t="n"/>
      <c r="CA259" s="12" t="n"/>
      <c r="CB259" s="12" t="n"/>
      <c r="CC259" s="12" t="n"/>
      <c r="CD259" s="12" t="n"/>
      <c r="CE259" s="12" t="n"/>
      <c r="CF259" s="12" t="n"/>
      <c r="CG259" s="12" t="n"/>
      <c r="CH259" s="12" t="n"/>
      <c r="CI259" s="12" t="n"/>
      <c r="CJ259" s="12" t="n"/>
      <c r="CK259" s="12" t="n"/>
      <c r="CL259" s="12" t="n"/>
      <c r="CM259" s="12" t="n"/>
      <c r="CN259" s="12" t="n"/>
      <c r="CO259" s="12" t="n"/>
      <c r="CP259" s="12" t="n"/>
      <c r="CQ259" s="12" t="n"/>
      <c r="CR259" s="12" t="n"/>
      <c r="CS259" s="12" t="n"/>
      <c r="CT259" s="12" t="n"/>
      <c r="CU259" s="12" t="n"/>
      <c r="CV259" s="12" t="n"/>
      <c r="CW259" s="12" t="n"/>
      <c r="CX259" s="12" t="n"/>
      <c r="CY259" s="12" t="n"/>
    </row>
    <row r="260">
      <c r="C260" s="13" t="inlineStr">
        <is>
          <t>Common Stock and APIC</t>
        </is>
      </c>
      <c r="D260" s="46" t="n"/>
      <c r="E260" s="46" t="n"/>
      <c r="F260" s="46" t="n"/>
      <c r="G260" s="46" t="n"/>
      <c r="H260" s="12" t="n"/>
      <c r="I260" s="46">
        <f>'Inputs (2)'!D43</f>
        <v>2085.851</v>
      </c>
      <c r="J260" s="46">
        <f>'Inputs (2)'!E43</f>
        <v>2129.322</v>
      </c>
      <c r="K260" s="46">
        <f>'Inputs (2)'!F43</f>
        <v>2700.107</v>
      </c>
      <c r="L260" s="46">
        <f>'Inputs (2)'!G43</f>
        <v>2797.673</v>
      </c>
      <c r="M260" s="12">
        <f>'Inputs (2)'!H43</f>
        <v>2797.673</v>
      </c>
      <c r="N260" s="46">
        <f>'Inputs (2)'!I43</f>
        <v>2750.212</v>
      </c>
      <c r="O260" s="46">
        <f>'Inputs (2)'!J43</f>
        <v>2742.18</v>
      </c>
      <c r="P260" s="46">
        <f>'Inputs (2)'!K43</f>
        <v>3135.068</v>
      </c>
      <c r="Q260" s="46">
        <f>'Inputs (2)'!L43</f>
        <v>3077.551</v>
      </c>
      <c r="R260" s="12">
        <f>'Inputs (2)'!M43</f>
        <v>3077.551</v>
      </c>
      <c r="S260" s="46">
        <f>'Inputs (2)'!N43</f>
        <v>3481.279081264</v>
      </c>
      <c r="T260" s="46">
        <f>'Inputs (2)'!O43</f>
        <v>3481.279081264</v>
      </c>
      <c r="U260" s="46">
        <f>'Inputs (2)'!P43</f>
        <v>3427.221941174</v>
      </c>
      <c r="V260" s="46">
        <f>'Inputs (2)'!Q43</f>
        <v>3426.629393914</v>
      </c>
      <c r="W260" s="12">
        <f>'Inputs (2)'!R43</f>
        <v>3426.629393914</v>
      </c>
      <c r="X260" s="46">
        <f>'Inputs (2)'!S43</f>
        <v>3279.870633084</v>
      </c>
      <c r="Y260" s="46">
        <f>'Inputs (2)'!T43</f>
        <v>3278.486599124</v>
      </c>
      <c r="Z260" s="46">
        <f>'Inputs (2)'!U43</f>
        <v>3277.306809334</v>
      </c>
      <c r="AA260" s="46">
        <f>'Inputs (2)'!V43</f>
        <v>3096.41769985</v>
      </c>
      <c r="AB260" s="12">
        <f>'Inputs (2)'!W43</f>
        <v>3096.41769985</v>
      </c>
      <c r="AC260" s="46">
        <f>'Inputs (2)'!X43</f>
        <v>2986.67783237</v>
      </c>
      <c r="AD260" s="46">
        <f>'Inputs (2)'!Y43</f>
        <v>3014.16328918</v>
      </c>
      <c r="AE260" s="46">
        <f>'Inputs (2)'!Z43</f>
        <v>2983.71672658</v>
      </c>
      <c r="AF260" s="46">
        <f>'Inputs (2)'!AA43</f>
        <v>3163.878979</v>
      </c>
      <c r="AG260" s="12">
        <f>'Inputs (2)'!AB43</f>
        <v>3163.878979</v>
      </c>
      <c r="AH260" s="12">
        <f>'Inputs (2)'!AC43</f>
        <v>2984.41003072</v>
      </c>
      <c r="AI260" s="12">
        <f>'Inputs (2)'!AD43</f>
        <v>5036.05917879</v>
      </c>
      <c r="AJ260" s="12">
        <f>AI260+AJ264</f>
        <v>5036.05917879</v>
      </c>
      <c r="AK260" s="12">
        <f>AJ260+AK264</f>
        <v>5036.05917879</v>
      </c>
      <c r="AL260" s="12">
        <f>AK260</f>
        <v>5036.05917879</v>
      </c>
      <c r="AM260" s="12">
        <f>AL260+AM264</f>
        <v>5036.05917879</v>
      </c>
      <c r="AN260" s="12">
        <f>AM260+AN264</f>
        <v>5036.05917879</v>
      </c>
      <c r="AO260" s="12">
        <f>AN260+AO264</f>
        <v>5036.05917879</v>
      </c>
      <c r="AP260" s="12">
        <f>AO260+AP264</f>
        <v>5036.05917879</v>
      </c>
      <c r="AQ260" s="12">
        <f>AP260</f>
        <v>5036.05917879</v>
      </c>
      <c r="AR260" s="12">
        <f>AQ260+AR264</f>
        <v>5036.05917879</v>
      </c>
      <c r="AS260" s="12">
        <f>AR260+AS264</f>
        <v>5036.05917879</v>
      </c>
      <c r="AT260" s="12">
        <f>AS260+AT264</f>
        <v>5036.05917879</v>
      </c>
      <c r="AU260" s="12">
        <f>AT260+AU264</f>
        <v>5036.05917879</v>
      </c>
      <c r="AV260" s="12">
        <f>AU260</f>
        <v>5036.05917879</v>
      </c>
      <c r="AW260" s="12">
        <f>AV260+AW264</f>
        <v>5036.05917879</v>
      </c>
      <c r="AX260" s="12">
        <f>AW260+AX264</f>
        <v>5036.05917879</v>
      </c>
      <c r="AY260" s="12">
        <f>AX260+AY264</f>
        <v>5036.05917879</v>
      </c>
      <c r="AZ260" s="12">
        <f>AY260+AZ264</f>
        <v>5036.05917879</v>
      </c>
      <c r="BA260" s="12">
        <f>AZ260</f>
        <v>5036.05917879</v>
      </c>
      <c r="BB260" s="12">
        <f>BA260+BB264</f>
        <v>5036.05917879</v>
      </c>
      <c r="BC260" s="12">
        <f>BB260+BC264</f>
        <v>5036.05917879</v>
      </c>
      <c r="BD260" s="12">
        <f>BC260+BD264</f>
        <v>5036.05917879</v>
      </c>
      <c r="BE260" s="12">
        <f>BD260+BE264</f>
        <v>5036.05917879</v>
      </c>
      <c r="BF260" s="12">
        <f>BE260</f>
        <v>5036.05917879</v>
      </c>
      <c r="BG260" s="12" t="n"/>
      <c r="BH260" s="12" t="n"/>
      <c r="BI260" s="12" t="n"/>
      <c r="BJ260" s="12" t="n"/>
      <c r="BK260" s="12" t="n"/>
      <c r="BL260" s="12" t="n"/>
      <c r="BM260" s="12" t="n"/>
      <c r="BN260" s="12" t="n"/>
      <c r="BO260" s="12" t="n"/>
      <c r="BP260" s="12" t="n"/>
      <c r="BQ260" s="12" t="n"/>
      <c r="BR260" s="12" t="n"/>
      <c r="BS260" s="12" t="n"/>
      <c r="BT260" s="12" t="n"/>
      <c r="BU260" s="12" t="n"/>
      <c r="BV260" s="12" t="n"/>
      <c r="BW260" s="12" t="n"/>
      <c r="BX260" s="12" t="n"/>
      <c r="BY260" s="12" t="n"/>
      <c r="BZ260" s="12" t="n"/>
      <c r="CA260" s="12" t="n"/>
      <c r="CB260" s="12" t="n"/>
      <c r="CC260" s="12" t="n"/>
      <c r="CD260" s="12" t="n"/>
      <c r="CE260" s="12" t="n"/>
      <c r="CF260" s="12" t="n"/>
      <c r="CG260" s="12" t="n"/>
      <c r="CH260" s="12" t="n"/>
      <c r="CI260" s="12" t="n"/>
      <c r="CJ260" s="12" t="n"/>
      <c r="CK260" s="12" t="n"/>
      <c r="CL260" s="12" t="n"/>
      <c r="CM260" s="12" t="n"/>
      <c r="CN260" s="12" t="n"/>
      <c r="CO260" s="12" t="n"/>
      <c r="CP260" s="12" t="n"/>
      <c r="CQ260" s="12" t="n"/>
      <c r="CR260" s="12" t="n"/>
      <c r="CS260" s="12" t="n"/>
      <c r="CT260" s="12" t="n"/>
      <c r="CU260" s="12" t="n"/>
      <c r="CV260" s="12" t="n"/>
      <c r="CW260" s="12" t="n"/>
      <c r="CX260" s="12" t="n"/>
      <c r="CY260" s="12" t="n"/>
    </row>
    <row r="261" hidden="1" outlineLevel="1" customFormat="1" s="66">
      <c r="A261" s="37" t="n"/>
      <c r="B261" s="37" t="n"/>
      <c r="C261" s="67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  <c r="AA261" s="42" t="n"/>
      <c r="AB261" s="42" t="n"/>
      <c r="AC261" s="42" t="n"/>
      <c r="AD261" s="42" t="n"/>
      <c r="AE261" s="42" t="n"/>
      <c r="AF261" s="42" t="n"/>
      <c r="AG261" s="42" t="n"/>
      <c r="AH261" s="42" t="n"/>
      <c r="AI261" s="42" t="n"/>
      <c r="AJ261" s="42" t="n"/>
      <c r="AK261" s="42" t="n"/>
      <c r="AL261" s="42" t="n"/>
      <c r="AM261" s="42" t="n"/>
      <c r="AN261" s="42" t="n"/>
      <c r="AO261" s="42" t="n"/>
      <c r="AP261" s="42" t="n"/>
      <c r="AQ261" s="42" t="n"/>
      <c r="AR261" s="42" t="n"/>
      <c r="AS261" s="42" t="n"/>
      <c r="AT261" s="42" t="n"/>
      <c r="AU261" s="42" t="n"/>
      <c r="AV261" s="42" t="n"/>
      <c r="AW261" s="42" t="n"/>
      <c r="AX261" s="42" t="n"/>
      <c r="AY261" s="42" t="n"/>
      <c r="AZ261" s="42" t="n"/>
      <c r="BA261" s="42" t="n"/>
      <c r="BB261" s="42" t="n"/>
      <c r="BC261" s="42" t="n"/>
      <c r="BD261" s="42" t="n"/>
      <c r="BE261" s="42" t="n"/>
      <c r="BF261" s="42" t="n"/>
      <c r="BG261" s="42" t="n"/>
      <c r="BH261" s="42" t="n"/>
      <c r="BI261" s="42" t="n"/>
      <c r="BJ261" s="42" t="n"/>
      <c r="BK261" s="42" t="n"/>
      <c r="BL261" s="42" t="n"/>
      <c r="BM261" s="42" t="n"/>
      <c r="BN261" s="42" t="n"/>
      <c r="BO261" s="42" t="n"/>
      <c r="BP261" s="42" t="n"/>
      <c r="BQ261" s="42" t="n"/>
      <c r="BR261" s="42" t="n"/>
      <c r="BS261" s="42" t="n"/>
      <c r="BT261" s="42" t="n"/>
      <c r="BU261" s="42" t="n"/>
      <c r="BV261" s="42" t="n"/>
      <c r="BW261" s="42" t="n"/>
      <c r="BX261" s="42" t="n"/>
      <c r="BY261" s="42" t="n"/>
      <c r="BZ261" s="42" t="n"/>
      <c r="CA261" s="42" t="n"/>
      <c r="CB261" s="42" t="n"/>
      <c r="CC261" s="42" t="n"/>
      <c r="CD261" s="42" t="n"/>
      <c r="CE261" s="42" t="n"/>
      <c r="CF261" s="42" t="n"/>
      <c r="CG261" s="42" t="n"/>
      <c r="CH261" s="42" t="n"/>
      <c r="CI261" s="42" t="n"/>
      <c r="CJ261" s="42" t="n"/>
      <c r="CK261" s="42" t="n"/>
      <c r="CL261" s="42" t="n"/>
      <c r="CM261" s="42" t="n"/>
      <c r="CN261" s="42" t="n"/>
      <c r="CO261" s="42" t="n"/>
      <c r="CP261" s="42" t="n"/>
      <c r="CQ261" s="42" t="n"/>
      <c r="CR261" s="42" t="n"/>
      <c r="CS261" s="42" t="n"/>
      <c r="CT261" s="42" t="n"/>
      <c r="CU261" s="42" t="n"/>
      <c r="CV261" s="42" t="n"/>
      <c r="CW261" s="42" t="n"/>
      <c r="CX261" s="42" t="n"/>
      <c r="CY261" s="42" t="n"/>
    </row>
    <row r="262" hidden="1" outlineLevel="1" customFormat="1" s="66">
      <c r="A262" s="37" t="n"/>
      <c r="B262" s="37" t="n"/>
      <c r="C262" s="67" t="inlineStr">
        <is>
          <t>Diluted Shares outstanding</t>
        </is>
      </c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  <c r="AA262" s="42" t="n"/>
      <c r="AB262" s="42" t="n"/>
      <c r="AC262" s="42" t="n"/>
      <c r="AD262" s="42" t="n"/>
      <c r="AE262" s="42" t="n"/>
      <c r="AF262" s="42" t="n"/>
      <c r="AG262" s="42" t="n"/>
      <c r="AH262" s="42" t="n"/>
      <c r="AI262" s="42" t="n"/>
      <c r="AJ262" s="42" t="n"/>
      <c r="AK262" s="42" t="n"/>
      <c r="AL262" s="42" t="n"/>
      <c r="AM262" s="42" t="n"/>
      <c r="AN262" s="42" t="n"/>
      <c r="AO262" s="42" t="n"/>
      <c r="AP262" s="42" t="n"/>
      <c r="AQ262" s="42" t="n"/>
      <c r="AR262" s="42" t="n"/>
      <c r="AS262" s="42" t="n"/>
      <c r="AT262" s="42" t="n"/>
      <c r="AU262" s="42" t="n"/>
      <c r="AV262" s="42" t="n"/>
      <c r="AW262" s="42" t="n"/>
      <c r="AX262" s="42" t="n"/>
      <c r="AY262" s="42" t="n"/>
      <c r="AZ262" s="42" t="n"/>
      <c r="BA262" s="42" t="n"/>
      <c r="BB262" s="42" t="n"/>
      <c r="BC262" s="42" t="n"/>
      <c r="BD262" s="42" t="n"/>
      <c r="BE262" s="42" t="n"/>
      <c r="BF262" s="42" t="n"/>
      <c r="BG262" s="42" t="n"/>
      <c r="BH262" s="42" t="n"/>
      <c r="BI262" s="42" t="n"/>
      <c r="BJ262" s="42" t="n"/>
      <c r="BK262" s="42" t="n"/>
      <c r="BL262" s="42" t="n"/>
      <c r="BM262" s="42" t="n"/>
      <c r="BN262" s="42" t="n"/>
      <c r="BO262" s="42" t="n"/>
      <c r="BP262" s="42" t="n"/>
      <c r="BQ262" s="42" t="n"/>
      <c r="BR262" s="42" t="n"/>
      <c r="BS262" s="42" t="n"/>
      <c r="BT262" s="42" t="n"/>
      <c r="BU262" s="42" t="n"/>
      <c r="BV262" s="42" t="n"/>
      <c r="BW262" s="42" t="n"/>
      <c r="BX262" s="42" t="n"/>
      <c r="BY262" s="42" t="n"/>
      <c r="BZ262" s="42" t="n"/>
      <c r="CA262" s="42" t="n"/>
      <c r="CB262" s="42" t="n"/>
      <c r="CC262" s="42" t="n"/>
      <c r="CD262" s="42" t="n"/>
      <c r="CE262" s="42" t="n"/>
      <c r="CF262" s="42" t="n"/>
      <c r="CG262" s="42" t="n"/>
      <c r="CH262" s="42" t="n"/>
      <c r="CI262" s="42" t="n"/>
      <c r="CJ262" s="42" t="n"/>
      <c r="CK262" s="42" t="n"/>
      <c r="CL262" s="42" t="n"/>
      <c r="CM262" s="42" t="n"/>
      <c r="CN262" s="42" t="n"/>
      <c r="CO262" s="42" t="n"/>
      <c r="CP262" s="42" t="n"/>
      <c r="CQ262" s="42" t="n"/>
      <c r="CR262" s="42" t="n"/>
      <c r="CS262" s="42" t="n"/>
      <c r="CT262" s="42" t="n"/>
      <c r="CU262" s="42" t="n"/>
      <c r="CV262" s="42" t="n"/>
      <c r="CW262" s="42" t="n"/>
      <c r="CX262" s="42" t="n"/>
      <c r="CY262" s="42" t="n"/>
    </row>
    <row r="263" hidden="1" outlineLevel="1" customFormat="1" s="66">
      <c r="A263" s="37" t="n"/>
      <c r="B263" s="37" t="n"/>
      <c r="C263" s="67" t="inlineStr">
        <is>
          <t>Treasury share $ repurchases</t>
        </is>
      </c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  <c r="AA263" s="42" t="n"/>
      <c r="AB263" s="42" t="n"/>
      <c r="AC263" s="42" t="n"/>
      <c r="AD263" s="42" t="n"/>
      <c r="AE263" s="42" t="n"/>
      <c r="AF263" s="42" t="n"/>
      <c r="AG263" s="42" t="n"/>
      <c r="AH263" s="11" t="n"/>
      <c r="AI263" s="11" t="n"/>
      <c r="AJ263" s="11" t="n"/>
      <c r="AK263" s="11" t="n"/>
      <c r="AL263" s="42" t="n"/>
      <c r="AM263" s="11" t="n"/>
      <c r="AN263" s="11" t="n"/>
      <c r="AO263" s="11" t="n"/>
      <c r="AP263" s="11" t="n"/>
      <c r="AQ263" s="42" t="n"/>
      <c r="AR263" s="11" t="n"/>
      <c r="AS263" s="11" t="n"/>
      <c r="AT263" s="11" t="n"/>
      <c r="AU263" s="11" t="n"/>
      <c r="AV263" s="42" t="n"/>
      <c r="AW263" s="11" t="n"/>
      <c r="AX263" s="11" t="n"/>
      <c r="AY263" s="11" t="n"/>
      <c r="AZ263" s="11" t="n"/>
      <c r="BA263" s="42" t="n"/>
      <c r="BB263" s="11" t="n"/>
      <c r="BC263" s="11" t="n"/>
      <c r="BD263" s="11" t="n"/>
      <c r="BE263" s="11" t="n"/>
      <c r="BF263" s="42" t="n"/>
      <c r="BG263" s="11" t="n"/>
      <c r="BH263" s="11" t="n"/>
      <c r="BI263" s="11" t="n"/>
      <c r="BJ263" s="11" t="n"/>
      <c r="BK263" s="42" t="n"/>
      <c r="BL263" s="11" t="n"/>
      <c r="BM263" s="11" t="n"/>
      <c r="BN263" s="11" t="n"/>
      <c r="BO263" s="11" t="n"/>
      <c r="BP263" s="42" t="n"/>
      <c r="BQ263" s="11" t="n"/>
      <c r="BR263" s="11" t="n"/>
      <c r="BS263" s="11" t="n"/>
      <c r="BT263" s="11" t="n"/>
      <c r="BU263" s="42" t="n"/>
      <c r="BV263" s="11" t="n"/>
      <c r="BW263" s="11" t="n"/>
      <c r="BX263" s="11" t="n"/>
      <c r="BY263" s="11" t="n"/>
      <c r="BZ263" s="42" t="n"/>
      <c r="CA263" s="11" t="n"/>
      <c r="CB263" s="11" t="n"/>
      <c r="CC263" s="11" t="n"/>
      <c r="CD263" s="11" t="n"/>
      <c r="CE263" s="42" t="n"/>
      <c r="CF263" s="11" t="n"/>
      <c r="CG263" s="11" t="n"/>
      <c r="CH263" s="11" t="n"/>
      <c r="CI263" s="11" t="n"/>
      <c r="CJ263" s="42" t="n"/>
      <c r="CK263" s="11" t="n"/>
      <c r="CL263" s="11" t="n"/>
      <c r="CM263" s="11" t="n"/>
      <c r="CN263" s="11" t="n"/>
      <c r="CO263" s="42" t="n"/>
      <c r="CP263" s="11" t="n"/>
      <c r="CQ263" s="11" t="n"/>
      <c r="CR263" s="11" t="n"/>
      <c r="CS263" s="11" t="n"/>
      <c r="CT263" s="42" t="n"/>
      <c r="CU263" s="11" t="n"/>
      <c r="CV263" s="11" t="n"/>
      <c r="CW263" s="11" t="n"/>
      <c r="CX263" s="11" t="n"/>
      <c r="CY263" s="42" t="n"/>
    </row>
    <row r="264" hidden="1" outlineLevel="1" customFormat="1" s="66">
      <c r="A264" s="37" t="n"/>
      <c r="B264" s="37" t="n"/>
      <c r="C264" s="67" t="inlineStr">
        <is>
          <t>Value of shares issued</t>
        </is>
      </c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  <c r="AA264" s="42" t="n"/>
      <c r="AB264" s="42" t="n"/>
      <c r="AC264" s="42" t="n"/>
      <c r="AD264" s="42" t="n"/>
      <c r="AE264" s="42" t="n"/>
      <c r="AF264" s="42" t="n"/>
      <c r="AG264" s="42" t="n"/>
      <c r="AH264" s="11" t="n"/>
      <c r="AI264" s="11" t="n"/>
      <c r="AJ264" s="11" t="n"/>
      <c r="AK264" s="11" t="n"/>
      <c r="AL264" s="42" t="n"/>
      <c r="AM264" s="11" t="n"/>
      <c r="AN264" s="11" t="n"/>
      <c r="AO264" s="11" t="n"/>
      <c r="AP264" s="11" t="n"/>
      <c r="AQ264" s="42" t="n"/>
      <c r="AR264" s="11" t="n"/>
      <c r="AS264" s="11" t="n"/>
      <c r="AT264" s="11" t="n"/>
      <c r="AU264" s="11" t="n"/>
      <c r="AV264" s="42" t="n"/>
      <c r="AW264" s="11" t="n"/>
      <c r="AX264" s="11" t="n"/>
      <c r="AY264" s="11" t="n"/>
      <c r="AZ264" s="11" t="n"/>
      <c r="BA264" s="42" t="n"/>
      <c r="BB264" s="11" t="n"/>
      <c r="BC264" s="11" t="n"/>
      <c r="BD264" s="11" t="n"/>
      <c r="BE264" s="11" t="n"/>
      <c r="BF264" s="42" t="n"/>
      <c r="BG264" s="11" t="n"/>
      <c r="BH264" s="11" t="n"/>
      <c r="BI264" s="11" t="n"/>
      <c r="BJ264" s="11" t="n"/>
      <c r="BK264" s="42" t="n"/>
      <c r="BL264" s="11" t="n"/>
      <c r="BM264" s="11" t="n"/>
      <c r="BN264" s="11" t="n"/>
      <c r="BO264" s="11" t="n"/>
      <c r="BP264" s="42" t="n"/>
      <c r="BQ264" s="11" t="n"/>
      <c r="BR264" s="11" t="n"/>
      <c r="BS264" s="11" t="n"/>
      <c r="BT264" s="11" t="n"/>
      <c r="BU264" s="42" t="n"/>
      <c r="BV264" s="11" t="n"/>
      <c r="BW264" s="11" t="n"/>
      <c r="BX264" s="11" t="n"/>
      <c r="BY264" s="11" t="n"/>
      <c r="BZ264" s="42" t="n"/>
      <c r="CA264" s="11" t="n"/>
      <c r="CB264" s="11" t="n"/>
      <c r="CC264" s="11" t="n"/>
      <c r="CD264" s="11" t="n"/>
      <c r="CE264" s="42" t="n"/>
      <c r="CF264" s="11" t="n"/>
      <c r="CG264" s="11" t="n"/>
      <c r="CH264" s="11" t="n"/>
      <c r="CI264" s="11" t="n"/>
      <c r="CJ264" s="42" t="n"/>
      <c r="CK264" s="11" t="n"/>
      <c r="CL264" s="11" t="n"/>
      <c r="CM264" s="11" t="n"/>
      <c r="CN264" s="11" t="n"/>
      <c r="CO264" s="42" t="n"/>
      <c r="CP264" s="11" t="n"/>
      <c r="CQ264" s="11" t="n"/>
      <c r="CR264" s="11" t="n"/>
      <c r="CS264" s="11" t="n"/>
      <c r="CT264" s="42" t="n"/>
      <c r="CU264" s="11" t="n"/>
      <c r="CV264" s="11" t="n"/>
      <c r="CW264" s="11" t="n"/>
      <c r="CX264" s="11" t="n"/>
      <c r="CY264" s="42" t="n"/>
    </row>
    <row r="265" hidden="1" outlineLevel="1" customFormat="1" s="66">
      <c r="A265" s="37" t="n"/>
      <c r="B265" s="37" t="n"/>
      <c r="C265" s="67" t="inlineStr">
        <is>
          <t>Expected average share price</t>
        </is>
      </c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  <c r="AA265" s="42" t="n"/>
      <c r="AB265" s="42" t="n"/>
      <c r="AC265" s="42" t="n"/>
      <c r="AD265" s="42" t="n"/>
      <c r="AE265" s="42" t="n"/>
      <c r="AF265" s="42" t="n"/>
      <c r="AG265" s="42" t="n"/>
      <c r="AH265" s="68">
        <f>AF265*(1+AH266)</f>
        <v>0</v>
      </c>
      <c r="AI265" s="68">
        <f>AH265*(1+AI266)</f>
        <v>0</v>
      </c>
      <c r="AJ265" s="68">
        <f>AH265*(1+AJ266)</f>
        <v>0</v>
      </c>
      <c r="AK265" s="68">
        <f>AJ265*(1+AK266)</f>
        <v>0</v>
      </c>
      <c r="AL265" s="42" t="n"/>
      <c r="AM265" s="68">
        <f>AK265*(1+AM266)</f>
        <v>0</v>
      </c>
      <c r="AN265" s="68">
        <f>AM265*(1+AN266)</f>
        <v>0</v>
      </c>
      <c r="AO265" s="68">
        <f>AM265*(1+AO266)</f>
        <v>0</v>
      </c>
      <c r="AP265" s="68">
        <f>AO265*(1+AP266)</f>
        <v>0</v>
      </c>
      <c r="AQ265" s="42" t="n"/>
      <c r="AR265" s="68">
        <f>AP265*(1+AR266)</f>
        <v>0</v>
      </c>
      <c r="AS265" s="68">
        <f>AR265*(1+AS266)</f>
        <v>0</v>
      </c>
      <c r="AT265" s="68">
        <f>AR265*(1+AT266)</f>
        <v>0</v>
      </c>
      <c r="AU265" s="68">
        <f>AT265*(1+AU266)</f>
        <v>0</v>
      </c>
      <c r="AV265" s="42" t="n"/>
      <c r="AW265" s="68">
        <f>AU265*(1+AW266)</f>
        <v>0</v>
      </c>
      <c r="AX265" s="68">
        <f>AW265*(1+AX266)</f>
        <v>0</v>
      </c>
      <c r="AY265" s="68">
        <f>AW265*(1+AY266)</f>
        <v>0</v>
      </c>
      <c r="AZ265" s="68">
        <f>AY265*(1+AZ266)</f>
        <v>0</v>
      </c>
      <c r="BA265" s="42" t="n"/>
      <c r="BB265" s="68">
        <f>AZ265*(1+BB266)</f>
        <v>0</v>
      </c>
      <c r="BC265" s="68">
        <f>BB265*(1+BC266)</f>
        <v>0</v>
      </c>
      <c r="BD265" s="68">
        <f>BB265*(1+BD266)</f>
        <v>0</v>
      </c>
      <c r="BE265" s="68">
        <f>BD265*(1+BE266)</f>
        <v>0</v>
      </c>
      <c r="BF265" s="42" t="n"/>
      <c r="BG265" s="68" t="n"/>
      <c r="BH265" s="68" t="n"/>
      <c r="BI265" s="68" t="n"/>
      <c r="BJ265" s="68" t="n"/>
      <c r="BK265" s="42" t="n"/>
      <c r="BL265" s="68" t="n"/>
      <c r="BM265" s="68" t="n"/>
      <c r="BN265" s="68" t="n"/>
      <c r="BO265" s="68" t="n"/>
      <c r="BP265" s="42" t="n"/>
      <c r="BQ265" s="68" t="n"/>
      <c r="BR265" s="68" t="n"/>
      <c r="BS265" s="68" t="n"/>
      <c r="BT265" s="68" t="n"/>
      <c r="BU265" s="42" t="n"/>
      <c r="BV265" s="68" t="n"/>
      <c r="BW265" s="68" t="n"/>
      <c r="BX265" s="68" t="n"/>
      <c r="BY265" s="68" t="n"/>
      <c r="BZ265" s="42" t="n"/>
      <c r="CA265" s="68" t="n"/>
      <c r="CB265" s="68" t="n"/>
      <c r="CC265" s="68" t="n"/>
      <c r="CD265" s="68" t="n"/>
      <c r="CE265" s="42" t="n"/>
      <c r="CF265" s="68" t="n"/>
      <c r="CG265" s="68" t="n"/>
      <c r="CH265" s="68" t="n"/>
      <c r="CI265" s="68" t="n"/>
      <c r="CJ265" s="42" t="n"/>
      <c r="CK265" s="68" t="n"/>
      <c r="CL265" s="68" t="n"/>
      <c r="CM265" s="68" t="n"/>
      <c r="CN265" s="68" t="n"/>
      <c r="CO265" s="42" t="n"/>
      <c r="CP265" s="68" t="n"/>
      <c r="CQ265" s="68" t="n"/>
      <c r="CR265" s="68" t="n"/>
      <c r="CS265" s="68" t="n"/>
      <c r="CT265" s="42" t="n"/>
      <c r="CU265" s="68" t="n"/>
      <c r="CV265" s="68" t="n"/>
      <c r="CW265" s="68" t="n"/>
      <c r="CX265" s="68" t="n"/>
      <c r="CY265" s="42" t="n"/>
    </row>
    <row r="266" hidden="1" outlineLevel="1" customFormat="1" s="66">
      <c r="A266" s="37" t="n"/>
      <c r="B266" s="37" t="n"/>
      <c r="C266" s="67" t="inlineStr">
        <is>
          <t>Consensus EPS growth</t>
        </is>
      </c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  <c r="AA266" s="42" t="n"/>
      <c r="AB266" s="42" t="n"/>
      <c r="AC266" s="42" t="n"/>
      <c r="AD266" s="42" t="n"/>
      <c r="AE266" s="42" t="n"/>
      <c r="AF266" s="42" t="n"/>
      <c r="AG266" s="42" t="n"/>
      <c r="AH266" s="58">
        <f>$AL$271</f>
        <v>0</v>
      </c>
      <c r="AI266" s="58">
        <f>$AL$271</f>
        <v>0</v>
      </c>
      <c r="AJ266" s="58">
        <f>$AL$271</f>
        <v>0</v>
      </c>
      <c r="AK266" s="58">
        <f>$AL$271</f>
        <v>0</v>
      </c>
      <c r="AL266" s="42" t="n"/>
      <c r="AM266" s="58">
        <f>$AL$271</f>
        <v>0</v>
      </c>
      <c r="AN266" s="58">
        <f>$AL$271</f>
        <v>0</v>
      </c>
      <c r="AO266" s="58">
        <f>$AL$271</f>
        <v>0</v>
      </c>
      <c r="AP266" s="58">
        <f>$AL$271</f>
        <v>0</v>
      </c>
      <c r="AQ266" s="42" t="n"/>
      <c r="AR266" s="58">
        <f>$AL$271</f>
        <v>0</v>
      </c>
      <c r="AS266" s="58">
        <f>$AL$271</f>
        <v>0</v>
      </c>
      <c r="AT266" s="58">
        <f>$AL$271</f>
        <v>0</v>
      </c>
      <c r="AU266" s="58">
        <f>$AL$271</f>
        <v>0</v>
      </c>
      <c r="AV266" s="42" t="n"/>
      <c r="AW266" s="58">
        <f>$AL$271</f>
        <v>0</v>
      </c>
      <c r="AX266" s="58">
        <f>$AL$271</f>
        <v>0</v>
      </c>
      <c r="AY266" s="58">
        <f>$AL$271</f>
        <v>0</v>
      </c>
      <c r="AZ266" s="58">
        <f>$AL$271</f>
        <v>0</v>
      </c>
      <c r="BA266" s="42" t="n"/>
      <c r="BB266" s="58">
        <f>$AL$271</f>
        <v>0</v>
      </c>
      <c r="BC266" s="58">
        <f>$AL$271</f>
        <v>0</v>
      </c>
      <c r="BD266" s="58">
        <f>$AL$271</f>
        <v>0</v>
      </c>
      <c r="BE266" s="58">
        <f>$AL$271</f>
        <v>0</v>
      </c>
      <c r="BF266" s="42" t="n"/>
      <c r="BG266" s="58" t="n"/>
      <c r="BH266" s="58" t="n"/>
      <c r="BI266" s="58" t="n"/>
      <c r="BJ266" s="58" t="n"/>
      <c r="BK266" s="42" t="n"/>
      <c r="BL266" s="58" t="n"/>
      <c r="BM266" s="58" t="n"/>
      <c r="BN266" s="58" t="n"/>
      <c r="BO266" s="58" t="n"/>
      <c r="BP266" s="42" t="n"/>
      <c r="BQ266" s="58" t="n"/>
      <c r="BR266" s="58" t="n"/>
      <c r="BS266" s="58" t="n"/>
      <c r="BT266" s="58" t="n"/>
      <c r="BU266" s="42" t="n"/>
      <c r="BV266" s="58" t="n"/>
      <c r="BW266" s="58" t="n"/>
      <c r="BX266" s="58" t="n"/>
      <c r="BY266" s="58" t="n"/>
      <c r="BZ266" s="42" t="n"/>
      <c r="CA266" s="58" t="n"/>
      <c r="CB266" s="58" t="n"/>
      <c r="CC266" s="58" t="n"/>
      <c r="CD266" s="58" t="n"/>
      <c r="CE266" s="42" t="n"/>
      <c r="CF266" s="58" t="n"/>
      <c r="CG266" s="58" t="n"/>
      <c r="CH266" s="58" t="n"/>
      <c r="CI266" s="58" t="n"/>
      <c r="CJ266" s="42" t="n"/>
      <c r="CK266" s="58" t="n"/>
      <c r="CL266" s="58" t="n"/>
      <c r="CM266" s="58" t="n"/>
      <c r="CN266" s="58" t="n"/>
      <c r="CO266" s="42" t="n"/>
      <c r="CP266" s="58" t="n"/>
      <c r="CQ266" s="58" t="n"/>
      <c r="CR266" s="58" t="n"/>
      <c r="CS266" s="58" t="n"/>
      <c r="CT266" s="42" t="n"/>
      <c r="CU266" s="58" t="n"/>
      <c r="CV266" s="58" t="n"/>
      <c r="CW266" s="58" t="n"/>
      <c r="CX266" s="58" t="n"/>
      <c r="CY266" s="42" t="n"/>
    </row>
    <row r="267" hidden="1" outlineLevel="1" customFormat="1" s="66">
      <c r="A267" s="37" t="n"/>
      <c r="B267" s="37" t="n"/>
      <c r="C267" s="67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  <c r="AA267" s="42" t="n"/>
      <c r="AB267" s="42" t="n"/>
      <c r="AC267" s="42" t="n"/>
      <c r="AD267" s="42" t="n"/>
      <c r="AE267" s="42" t="n"/>
      <c r="AF267" s="42" t="n"/>
      <c r="AG267" s="42" t="n"/>
      <c r="AH267" s="12" t="n"/>
      <c r="AI267" s="12" t="n"/>
      <c r="AJ267" s="12" t="n"/>
      <c r="AK267" s="12" t="n"/>
      <c r="AL267" s="42" t="n"/>
      <c r="AM267" s="12" t="n"/>
      <c r="AN267" s="12" t="n"/>
      <c r="AO267" s="12" t="n"/>
      <c r="AP267" s="12" t="n"/>
      <c r="AQ267" s="42" t="n"/>
      <c r="AR267" s="12" t="n"/>
      <c r="AS267" s="12" t="n"/>
      <c r="AT267" s="12" t="n"/>
      <c r="AU267" s="12" t="n"/>
      <c r="AV267" s="42" t="n"/>
      <c r="AW267" s="12" t="n"/>
      <c r="AX267" s="12" t="n"/>
      <c r="AY267" s="12" t="n"/>
      <c r="AZ267" s="12" t="n"/>
      <c r="BA267" s="42" t="n"/>
      <c r="BB267" s="12" t="n"/>
      <c r="BC267" s="12" t="n"/>
      <c r="BD267" s="12" t="n"/>
      <c r="BE267" s="12" t="n"/>
      <c r="BF267" s="42" t="n"/>
      <c r="BG267" s="12" t="n"/>
      <c r="BH267" s="12" t="n"/>
      <c r="BI267" s="12" t="n"/>
      <c r="BJ267" s="12" t="n"/>
      <c r="BK267" s="42" t="n"/>
      <c r="BL267" s="12" t="n"/>
      <c r="BM267" s="12" t="n"/>
      <c r="BN267" s="12" t="n"/>
      <c r="BO267" s="12" t="n"/>
      <c r="BP267" s="42" t="n"/>
      <c r="BQ267" s="12" t="n"/>
      <c r="BR267" s="12" t="n"/>
      <c r="BS267" s="12" t="n"/>
      <c r="BT267" s="12" t="n"/>
      <c r="BU267" s="42" t="n"/>
      <c r="BV267" s="12" t="n"/>
      <c r="BW267" s="12" t="n"/>
      <c r="BX267" s="12" t="n"/>
      <c r="BY267" s="12" t="n"/>
      <c r="BZ267" s="42" t="n"/>
      <c r="CA267" s="12" t="n"/>
      <c r="CB267" s="12" t="n"/>
      <c r="CC267" s="12" t="n"/>
      <c r="CD267" s="12" t="n"/>
      <c r="CE267" s="42" t="n"/>
      <c r="CF267" s="12" t="n"/>
      <c r="CG267" s="12" t="n"/>
      <c r="CH267" s="12" t="n"/>
      <c r="CI267" s="12" t="n"/>
      <c r="CJ267" s="42" t="n"/>
      <c r="CK267" s="12" t="n"/>
      <c r="CL267" s="12" t="n"/>
      <c r="CM267" s="12" t="n"/>
      <c r="CN267" s="12" t="n"/>
      <c r="CO267" s="42" t="n"/>
      <c r="CP267" s="12" t="n"/>
      <c r="CQ267" s="12" t="n"/>
      <c r="CR267" s="12" t="n"/>
      <c r="CS267" s="12" t="n"/>
      <c r="CT267" s="42" t="n"/>
      <c r="CU267" s="12" t="n"/>
      <c r="CV267" s="12" t="n"/>
      <c r="CW267" s="12" t="n"/>
      <c r="CX267" s="12" t="n"/>
      <c r="CY267" s="42" t="n"/>
    </row>
    <row r="268" hidden="1" outlineLevel="1" customFormat="1" s="66">
      <c r="A268" s="37" t="n"/>
      <c r="B268" s="37" t="n"/>
      <c r="C268" s="67" t="inlineStr">
        <is>
          <t>Shares repurchased</t>
        </is>
      </c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  <c r="AA268" s="42" t="n"/>
      <c r="AB268" s="42" t="n"/>
      <c r="AC268" s="42" t="n"/>
      <c r="AD268" s="42" t="n"/>
      <c r="AE268" s="42" t="n"/>
      <c r="AF268" s="42" t="n"/>
      <c r="AG268" s="42" t="n"/>
      <c r="AH268" s="69" t="str">
        <f>IFERROR(-AH263/AH265,"")</f>
        <v/>
      </c>
      <c r="AI268" s="69" t="str">
        <f>IFERROR(-AI263/AI265,"")</f>
        <v/>
      </c>
      <c r="AJ268" s="69" t="str">
        <f>IFERROR(-AJ263/AJ265,"")</f>
        <v/>
      </c>
      <c r="AK268" s="69" t="str">
        <f>IFERROR(-AK263/AK265,"")</f>
        <v/>
      </c>
      <c r="AL268" s="42" t="n"/>
      <c r="AM268" s="69" t="str">
        <f>IFERROR(-AM263/AM265,"")</f>
        <v/>
      </c>
      <c r="AN268" s="69" t="str">
        <f>IFERROR(-AN263/AN265,"")</f>
        <v/>
      </c>
      <c r="AO268" s="69" t="str">
        <f>IFERROR(-AO263/AO265,"")</f>
        <v/>
      </c>
      <c r="AP268" s="69" t="str">
        <f>IFERROR(-AP263/AP265,"")</f>
        <v/>
      </c>
      <c r="AQ268" s="42" t="n"/>
      <c r="AR268" s="69" t="str">
        <f>IFERROR(-AR263/AR265,"")</f>
        <v/>
      </c>
      <c r="AS268" s="69" t="str">
        <f>IFERROR(-AS263/AS265,"")</f>
        <v/>
      </c>
      <c r="AT268" s="69" t="str">
        <f>IFERROR(-AT263/AT265,"")</f>
        <v/>
      </c>
      <c r="AU268" s="69" t="str">
        <f>IFERROR(-AU263/AU265,"")</f>
        <v/>
      </c>
      <c r="AV268" s="42" t="n"/>
      <c r="AW268" s="69" t="str">
        <f>IFERROR(-AW263/AW265,"")</f>
        <v/>
      </c>
      <c r="AX268" s="69" t="str">
        <f>IFERROR(-AX263/AX265,"")</f>
        <v/>
      </c>
      <c r="AY268" s="69" t="str">
        <f>IFERROR(-AY263/AY265,"")</f>
        <v/>
      </c>
      <c r="AZ268" s="69" t="str">
        <f>IFERROR(-AZ263/AZ265,"")</f>
        <v/>
      </c>
      <c r="BA268" s="42" t="n"/>
      <c r="BB268" s="69" t="str">
        <f>IFERROR(-BB263/BB265,"")</f>
        <v/>
      </c>
      <c r="BC268" s="69" t="str">
        <f>IFERROR(-BC263/BC265,"")</f>
        <v/>
      </c>
      <c r="BD268" s="69" t="str">
        <f>IFERROR(-BD263/BD265,"")</f>
        <v/>
      </c>
      <c r="BE268" s="69" t="str">
        <f>IFERROR(-BE263/BE265,"")</f>
        <v/>
      </c>
      <c r="BF268" s="42" t="n"/>
      <c r="BG268" s="69" t="n"/>
      <c r="BH268" s="69" t="n"/>
      <c r="BI268" s="69" t="n"/>
      <c r="BJ268" s="69" t="n"/>
      <c r="BK268" s="42" t="n"/>
      <c r="BL268" s="69" t="n"/>
      <c r="BM268" s="69" t="n"/>
      <c r="BN268" s="69" t="n"/>
      <c r="BO268" s="69" t="n"/>
      <c r="BP268" s="42" t="n"/>
      <c r="BQ268" s="69" t="n"/>
      <c r="BR268" s="69" t="n"/>
      <c r="BS268" s="69" t="n"/>
      <c r="BT268" s="69" t="n"/>
      <c r="BU268" s="42" t="n"/>
      <c r="BV268" s="69" t="n"/>
      <c r="BW268" s="69" t="n"/>
      <c r="BX268" s="69" t="n"/>
      <c r="BY268" s="69" t="n"/>
      <c r="BZ268" s="42" t="n"/>
      <c r="CA268" s="69" t="n"/>
      <c r="CB268" s="69" t="n"/>
      <c r="CC268" s="69" t="n"/>
      <c r="CD268" s="69" t="n"/>
      <c r="CE268" s="42" t="n"/>
      <c r="CF268" s="69" t="n"/>
      <c r="CG268" s="69" t="n"/>
      <c r="CH268" s="69" t="n"/>
      <c r="CI268" s="69" t="n"/>
      <c r="CJ268" s="42" t="n"/>
      <c r="CK268" s="69" t="n"/>
      <c r="CL268" s="69" t="n"/>
      <c r="CM268" s="69" t="n"/>
      <c r="CN268" s="69" t="n"/>
      <c r="CO268" s="42" t="n"/>
      <c r="CP268" s="69" t="n"/>
      <c r="CQ268" s="69" t="n"/>
      <c r="CR268" s="69" t="n"/>
      <c r="CS268" s="69" t="n"/>
      <c r="CT268" s="42" t="n"/>
      <c r="CU268" s="69" t="n"/>
      <c r="CV268" s="69" t="n"/>
      <c r="CW268" s="69" t="n"/>
      <c r="CX268" s="69" t="n"/>
      <c r="CY268" s="42" t="n"/>
    </row>
    <row r="269" hidden="1" outlineLevel="1" customFormat="1" s="66">
      <c r="A269" s="37" t="n"/>
      <c r="B269" s="37" t="n"/>
      <c r="C269" s="67" t="inlineStr">
        <is>
          <t>Shares issued</t>
        </is>
      </c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  <c r="AA269" s="42" t="n"/>
      <c r="AB269" s="42" t="n"/>
      <c r="AC269" s="42" t="n"/>
      <c r="AD269" s="42" t="n"/>
      <c r="AE269" s="42" t="n"/>
      <c r="AF269" s="9" t="n"/>
      <c r="AG269" s="42" t="n"/>
      <c r="AH269" s="69" t="str">
        <f>IFERROR(AH264/AH265,"")</f>
        <v/>
      </c>
      <c r="AI269" s="69" t="str">
        <f>IFERROR(AI264/AI265,"")</f>
        <v/>
      </c>
      <c r="AJ269" s="69" t="str">
        <f>IFERROR(AJ264/AJ265,"")</f>
        <v/>
      </c>
      <c r="AK269" s="69" t="str">
        <f>IFERROR(AK264/AK265,"")</f>
        <v/>
      </c>
      <c r="AL269" s="42" t="n"/>
      <c r="AM269" s="69" t="str">
        <f>IFERROR(AM264/AM265,"")</f>
        <v/>
      </c>
      <c r="AN269" s="69" t="str">
        <f>IFERROR(AN264/AN265,"")</f>
        <v/>
      </c>
      <c r="AO269" s="69" t="str">
        <f>IFERROR(AO264/AO265,"")</f>
        <v/>
      </c>
      <c r="AP269" s="69" t="str">
        <f>IFERROR(AP264/AP265,"")</f>
        <v/>
      </c>
      <c r="AQ269" s="42" t="n"/>
      <c r="AR269" s="69" t="str">
        <f>IFERROR(AR264/AR265,"")</f>
        <v/>
      </c>
      <c r="AS269" s="69" t="str">
        <f>IFERROR(AS264/AS265,"")</f>
        <v/>
      </c>
      <c r="AT269" s="69" t="str">
        <f>IFERROR(AT264/AT265,"")</f>
        <v/>
      </c>
      <c r="AU269" s="69" t="str">
        <f>IFERROR(AU264/AU265,"")</f>
        <v/>
      </c>
      <c r="AV269" s="42" t="n"/>
      <c r="AW269" s="69" t="str">
        <f>IFERROR(AW264/AW265,"")</f>
        <v/>
      </c>
      <c r="AX269" s="69" t="str">
        <f>IFERROR(AX264/AX265,"")</f>
        <v/>
      </c>
      <c r="AY269" s="69" t="str">
        <f>IFERROR(AY264/AY265,"")</f>
        <v/>
      </c>
      <c r="AZ269" s="69" t="str">
        <f>IFERROR(AZ264/AZ265,"")</f>
        <v/>
      </c>
      <c r="BA269" s="42" t="n"/>
      <c r="BB269" s="69" t="str">
        <f>IFERROR(BB264/BB265,"")</f>
        <v/>
      </c>
      <c r="BC269" s="69" t="str">
        <f>IFERROR(BC264/BC265,"")</f>
        <v/>
      </c>
      <c r="BD269" s="69" t="str">
        <f>IFERROR(BD264/BD265,"")</f>
        <v/>
      </c>
      <c r="BE269" s="69" t="str">
        <f>IFERROR(BE264/BE265,"")</f>
        <v/>
      </c>
      <c r="BF269" s="42" t="n"/>
      <c r="BG269" s="69" t="n"/>
      <c r="BH269" s="69" t="n"/>
      <c r="BI269" s="69" t="n"/>
      <c r="BJ269" s="69" t="n"/>
      <c r="BK269" s="42" t="n"/>
      <c r="BL269" s="69" t="n"/>
      <c r="BM269" s="69" t="n"/>
      <c r="BN269" s="69" t="n"/>
      <c r="BO269" s="69" t="n"/>
      <c r="BP269" s="42" t="n"/>
      <c r="BQ269" s="69" t="n"/>
      <c r="BR269" s="69" t="n"/>
      <c r="BS269" s="69" t="n"/>
      <c r="BT269" s="69" t="n"/>
      <c r="BU269" s="42" t="n"/>
      <c r="BV269" s="69" t="n"/>
      <c r="BW269" s="69" t="n"/>
      <c r="BX269" s="69" t="n"/>
      <c r="BY269" s="69" t="n"/>
      <c r="BZ269" s="42" t="n"/>
      <c r="CA269" s="69" t="n"/>
      <c r="CB269" s="69" t="n"/>
      <c r="CC269" s="69" t="n"/>
      <c r="CD269" s="69" t="n"/>
      <c r="CE269" s="42" t="n"/>
      <c r="CF269" s="69" t="n"/>
      <c r="CG269" s="69" t="n"/>
      <c r="CH269" s="69" t="n"/>
      <c r="CI269" s="69" t="n"/>
      <c r="CJ269" s="42" t="n"/>
      <c r="CK269" s="69" t="n"/>
      <c r="CL269" s="69" t="n"/>
      <c r="CM269" s="69" t="n"/>
      <c r="CN269" s="69" t="n"/>
      <c r="CO269" s="42" t="n"/>
      <c r="CP269" s="69" t="n"/>
      <c r="CQ269" s="69" t="n"/>
      <c r="CR269" s="69" t="n"/>
      <c r="CS269" s="69" t="n"/>
      <c r="CT269" s="42" t="n"/>
      <c r="CU269" s="69" t="n"/>
      <c r="CV269" s="69" t="n"/>
      <c r="CW269" s="69" t="n"/>
      <c r="CX269" s="69" t="n"/>
      <c r="CY269" s="42" t="n"/>
    </row>
    <row r="270" hidden="1" outlineLevel="1" customFormat="1" s="66">
      <c r="A270" s="37" t="n"/>
      <c r="B270" s="37" t="n"/>
      <c r="C270" s="67" t="inlineStr">
        <is>
          <t>End of period basic shares outstanding</t>
        </is>
      </c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  <c r="AA270" s="42" t="n"/>
      <c r="AB270" s="42" t="n"/>
      <c r="AC270" s="42" t="n"/>
      <c r="AD270" s="42" t="n"/>
      <c r="AE270" s="42" t="n"/>
      <c r="AF270" s="42" t="n"/>
      <c r="AG270" s="42" t="n"/>
      <c r="AH270" s="3" t="str">
        <f>IFERROR(AG270+AH269-AH268,"")</f>
        <v/>
      </c>
      <c r="AI270" s="3" t="str">
        <f>IFERROR(AH270+AI269-AI268,"")</f>
        <v/>
      </c>
      <c r="AJ270" s="69" t="str">
        <f>IFERROR(AH270+AJ269-AJ268,"")</f>
        <v/>
      </c>
      <c r="AK270" s="69" t="str">
        <f>IFERROR(AJ270+AK269-AK268,"")</f>
        <v/>
      </c>
      <c r="AL270" s="42" t="n"/>
      <c r="AM270" s="3" t="str">
        <f>IFERROR(AK270+AM269-AM268,"")</f>
        <v/>
      </c>
      <c r="AN270" s="3" t="str">
        <f>IFERROR(AM270+AN269-AN268,"")</f>
        <v/>
      </c>
      <c r="AO270" s="69" t="str">
        <f>IFERROR(AM270+AO269-AO268,"")</f>
        <v/>
      </c>
      <c r="AP270" s="69" t="str">
        <f>IFERROR(AO270+AP269-AP268,"")</f>
        <v/>
      </c>
      <c r="AQ270" s="42" t="n"/>
      <c r="AR270" s="3" t="str">
        <f>IFERROR(AP270+AR269-AR268,"")</f>
        <v/>
      </c>
      <c r="AS270" s="3" t="str">
        <f>IFERROR(AR270+AS269-AS268,"")</f>
        <v/>
      </c>
      <c r="AT270" s="69" t="str">
        <f>IFERROR(AR270+AT269-AT268,"")</f>
        <v/>
      </c>
      <c r="AU270" s="69" t="str">
        <f>IFERROR(AT270+AU269-AU268,"")</f>
        <v/>
      </c>
      <c r="AV270" s="42" t="n"/>
      <c r="AW270" s="3" t="str">
        <f>IFERROR(AU270+AW269-AW268,"")</f>
        <v/>
      </c>
      <c r="AX270" s="3" t="str">
        <f>IFERROR(AW270+AX269-AX268,"")</f>
        <v/>
      </c>
      <c r="AY270" s="69" t="str">
        <f>IFERROR(AW270+AY269-AY268,"")</f>
        <v/>
      </c>
      <c r="AZ270" s="69" t="str">
        <f>IFERROR(AY270+AZ269-AZ268,"")</f>
        <v/>
      </c>
      <c r="BA270" s="42" t="n"/>
      <c r="BB270" s="3" t="str">
        <f>IFERROR(AZ270+BB269-BB268,"")</f>
        <v/>
      </c>
      <c r="BC270" s="3" t="str">
        <f>IFERROR(BB270+BC269-BC268,"")</f>
        <v/>
      </c>
      <c r="BD270" s="69" t="str">
        <f>IFERROR(BB270+BD269-BD268,"")</f>
        <v/>
      </c>
      <c r="BE270" s="69" t="str">
        <f>IFERROR(BD270+BE269-BE268,"")</f>
        <v/>
      </c>
      <c r="BF270" s="42" t="n"/>
      <c r="BG270" s="3" t="n"/>
      <c r="BH270" s="3" t="n"/>
      <c r="BI270" s="69" t="n"/>
      <c r="BJ270" s="69" t="n"/>
      <c r="BK270" s="42" t="n"/>
      <c r="BL270" s="3" t="n"/>
      <c r="BM270" s="3" t="n"/>
      <c r="BN270" s="69" t="n"/>
      <c r="BO270" s="69" t="n"/>
      <c r="BP270" s="42" t="n"/>
      <c r="BQ270" s="3" t="n"/>
      <c r="BR270" s="3" t="n"/>
      <c r="BS270" s="69" t="n"/>
      <c r="BT270" s="69" t="n"/>
      <c r="BU270" s="42" t="n"/>
      <c r="BV270" s="3" t="n"/>
      <c r="BW270" s="3" t="n"/>
      <c r="BX270" s="69" t="n"/>
      <c r="BY270" s="69" t="n"/>
      <c r="BZ270" s="42" t="n"/>
      <c r="CA270" s="3" t="n"/>
      <c r="CB270" s="3" t="n"/>
      <c r="CC270" s="69" t="n"/>
      <c r="CD270" s="69" t="n"/>
      <c r="CE270" s="42" t="n"/>
      <c r="CF270" s="3" t="n"/>
      <c r="CG270" s="3" t="n"/>
      <c r="CH270" s="69" t="n"/>
      <c r="CI270" s="69" t="n"/>
      <c r="CJ270" s="42" t="n"/>
      <c r="CK270" s="3" t="n"/>
      <c r="CL270" s="3" t="n"/>
      <c r="CM270" s="69" t="n"/>
      <c r="CN270" s="69" t="n"/>
      <c r="CO270" s="42" t="n"/>
      <c r="CP270" s="3" t="n"/>
      <c r="CQ270" s="3" t="n"/>
      <c r="CR270" s="69" t="n"/>
      <c r="CS270" s="69" t="n"/>
      <c r="CT270" s="42" t="n"/>
      <c r="CU270" s="3" t="n"/>
      <c r="CV270" s="3" t="n"/>
      <c r="CW270" s="69" t="n"/>
      <c r="CX270" s="69" t="n"/>
      <c r="CY270" s="42" t="n"/>
    </row>
    <row r="271" hidden="1" outlineLevel="1" customFormat="1" s="66">
      <c r="A271" s="37" t="n"/>
      <c r="B271" s="37" t="n"/>
      <c r="C271" s="67" t="inlineStr">
        <is>
          <t>Weighted average basic shares outstanding</t>
        </is>
      </c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  <c r="AA271" s="42" t="n"/>
      <c r="AB271" s="42" t="n"/>
      <c r="AC271" s="42" t="n"/>
      <c r="AD271" s="42" t="n"/>
      <c r="AE271" s="42" t="n"/>
      <c r="AF271" s="42" t="n"/>
      <c r="AG271" s="42" t="n"/>
      <c r="AH271" s="69" t="str">
        <f>IFERROR(AVERAGE(AG270,AH270),"")</f>
        <v/>
      </c>
      <c r="AI271" s="69" t="str">
        <f>IFERROR(AVERAGE(AH270,AI270),"")</f>
        <v/>
      </c>
      <c r="AJ271" s="69" t="str">
        <f>IFERROR(AVERAGE(AH270,AJ270),"")</f>
        <v/>
      </c>
      <c r="AK271" s="69" t="str">
        <f>IFERROR(AVERAGE(AJ270,AK270),"")</f>
        <v/>
      </c>
      <c r="AL271" s="42" t="n"/>
      <c r="AM271" s="69" t="str">
        <f>IFERROR(AVERAGE(AL270,AM270),"")</f>
        <v/>
      </c>
      <c r="AN271" s="69" t="str">
        <f>IFERROR(AVERAGE(AM270,AN270),"")</f>
        <v/>
      </c>
      <c r="AO271" s="69" t="str">
        <f>IFERROR(AVERAGE(AM270,AO270),"")</f>
        <v/>
      </c>
      <c r="AP271" s="69" t="str">
        <f>IFERROR(AVERAGE(AO270,AP270),"")</f>
        <v/>
      </c>
      <c r="AQ271" s="42" t="n"/>
      <c r="AR271" s="69" t="str">
        <f>IFERROR(AVERAGE(AQ270,AR270),"")</f>
        <v/>
      </c>
      <c r="AS271" s="69" t="str">
        <f>IFERROR(AVERAGE(AR270,AS270),"")</f>
        <v/>
      </c>
      <c r="AT271" s="69" t="str">
        <f>IFERROR(AVERAGE(AR270,AT270),"")</f>
        <v/>
      </c>
      <c r="AU271" s="69" t="str">
        <f>IFERROR(AVERAGE(AT270,AU270),"")</f>
        <v/>
      </c>
      <c r="AV271" s="42" t="n"/>
      <c r="AW271" s="69" t="str">
        <f>IFERROR(AVERAGE(AV270,AW270),"")</f>
        <v/>
      </c>
      <c r="AX271" s="69" t="str">
        <f>IFERROR(AVERAGE(AW270,AX270),"")</f>
        <v/>
      </c>
      <c r="AY271" s="69" t="str">
        <f>IFERROR(AVERAGE(AW270,AY270),"")</f>
        <v/>
      </c>
      <c r="AZ271" s="69" t="str">
        <f>IFERROR(AVERAGE(AY270,AZ270),"")</f>
        <v/>
      </c>
      <c r="BA271" s="42" t="n"/>
      <c r="BB271" s="69" t="str">
        <f>IFERROR(AVERAGE(BA270,BB270),"")</f>
        <v/>
      </c>
      <c r="BC271" s="69" t="str">
        <f>IFERROR(AVERAGE(BB270,BC270),"")</f>
        <v/>
      </c>
      <c r="BD271" s="69" t="str">
        <f>IFERROR(AVERAGE(BB270,BD270),"")</f>
        <v/>
      </c>
      <c r="BE271" s="69" t="str">
        <f>IFERROR(AVERAGE(BD270,BE270),"")</f>
        <v/>
      </c>
      <c r="BF271" s="42" t="n"/>
      <c r="BG271" s="69" t="n"/>
      <c r="BH271" s="69" t="n"/>
      <c r="BI271" s="69" t="n"/>
      <c r="BJ271" s="69" t="n"/>
      <c r="BK271" s="42" t="n"/>
      <c r="BL271" s="69" t="n"/>
      <c r="BM271" s="69" t="n"/>
      <c r="BN271" s="69" t="n"/>
      <c r="BO271" s="69" t="n"/>
      <c r="BP271" s="42" t="n"/>
      <c r="BQ271" s="69" t="n"/>
      <c r="BR271" s="69" t="n"/>
      <c r="BS271" s="69" t="n"/>
      <c r="BT271" s="69" t="n"/>
      <c r="BU271" s="42" t="n"/>
      <c r="BV271" s="69" t="n"/>
      <c r="BW271" s="69" t="n"/>
      <c r="BX271" s="69" t="n"/>
      <c r="BY271" s="69" t="n"/>
      <c r="BZ271" s="42" t="n"/>
      <c r="CA271" s="69" t="n"/>
      <c r="CB271" s="69" t="n"/>
      <c r="CC271" s="69" t="n"/>
      <c r="CD271" s="69" t="n"/>
      <c r="CE271" s="42" t="n"/>
      <c r="CF271" s="69" t="n"/>
      <c r="CG271" s="69" t="n"/>
      <c r="CH271" s="69" t="n"/>
      <c r="CI271" s="69" t="n"/>
      <c r="CJ271" s="42" t="n"/>
      <c r="CK271" s="69" t="n"/>
      <c r="CL271" s="69" t="n"/>
      <c r="CM271" s="69" t="n"/>
      <c r="CN271" s="69" t="n"/>
      <c r="CO271" s="42" t="n"/>
      <c r="CP271" s="69" t="n"/>
      <c r="CQ271" s="69" t="n"/>
      <c r="CR271" s="69" t="n"/>
      <c r="CS271" s="69" t="n"/>
      <c r="CT271" s="42" t="n"/>
      <c r="CU271" s="69" t="n"/>
      <c r="CV271" s="69" t="n"/>
      <c r="CW271" s="69" t="n"/>
      <c r="CX271" s="69" t="n"/>
      <c r="CY271" s="42" t="n"/>
    </row>
    <row r="272" hidden="1" outlineLevel="1" customFormat="1" s="66">
      <c r="A272" s="37" t="n"/>
      <c r="B272" s="37" t="n"/>
      <c r="C272" s="67" t="n"/>
      <c r="D272" s="42" t="n"/>
      <c r="E272" s="42" t="n"/>
      <c r="F272" s="42" t="n"/>
      <c r="G272" s="42" t="n"/>
      <c r="H272" s="12" t="n"/>
      <c r="I272" s="42" t="n"/>
      <c r="J272" s="42" t="n"/>
      <c r="K272" s="42" t="n"/>
      <c r="L272" s="42" t="n"/>
      <c r="M272" s="12" t="n"/>
      <c r="N272" s="42" t="n"/>
      <c r="O272" s="42" t="n"/>
      <c r="P272" s="42" t="n"/>
      <c r="Q272" s="42" t="n"/>
      <c r="R272" s="12" t="n"/>
      <c r="S272" s="42" t="n"/>
      <c r="T272" s="42" t="n"/>
      <c r="U272" s="42" t="n"/>
      <c r="V272" s="42" t="n"/>
      <c r="W272" s="12" t="n"/>
      <c r="X272" s="42" t="n"/>
      <c r="Y272" s="42" t="n"/>
      <c r="Z272" s="42" t="n"/>
      <c r="AA272" s="42" t="n"/>
      <c r="AB272" s="12" t="n"/>
      <c r="AC272" s="42" t="n"/>
      <c r="AD272" s="42" t="n"/>
      <c r="AE272" s="42" t="n"/>
      <c r="AF272" s="42" t="n"/>
      <c r="AG272" s="12" t="n"/>
      <c r="AH272" s="42" t="n"/>
      <c r="AI272" s="42" t="n"/>
      <c r="AJ272" s="42" t="n"/>
      <c r="AK272" s="42" t="n"/>
      <c r="AL272" s="12" t="n"/>
      <c r="AM272" s="42" t="n"/>
      <c r="AN272" s="42" t="n"/>
      <c r="AO272" s="42" t="n"/>
      <c r="AP272" s="42" t="n"/>
      <c r="AQ272" s="12" t="n"/>
      <c r="AR272" s="42" t="n"/>
      <c r="AS272" s="42" t="n"/>
      <c r="AT272" s="42" t="n"/>
      <c r="AU272" s="42" t="n"/>
      <c r="AV272" s="12" t="n"/>
      <c r="AW272" s="42" t="n"/>
      <c r="AX272" s="42" t="n"/>
      <c r="AY272" s="42" t="n"/>
      <c r="AZ272" s="42" t="n"/>
      <c r="BA272" s="12" t="n"/>
      <c r="BB272" s="42" t="n"/>
      <c r="BC272" s="42" t="n"/>
      <c r="BD272" s="42" t="n"/>
      <c r="BE272" s="42" t="n"/>
      <c r="BF272" s="12" t="n"/>
      <c r="BG272" s="42" t="n"/>
      <c r="BH272" s="42" t="n"/>
      <c r="BI272" s="42" t="n"/>
      <c r="BJ272" s="42" t="n"/>
      <c r="BK272" s="12" t="n"/>
      <c r="BL272" s="42" t="n"/>
      <c r="BM272" s="42" t="n"/>
      <c r="BN272" s="42" t="n"/>
      <c r="BO272" s="42" t="n"/>
      <c r="BP272" s="12" t="n"/>
      <c r="BQ272" s="42" t="n"/>
      <c r="BR272" s="42" t="n"/>
      <c r="BS272" s="42" t="n"/>
      <c r="BT272" s="42" t="n"/>
      <c r="BU272" s="12" t="n"/>
      <c r="BV272" s="42" t="n"/>
      <c r="BW272" s="42" t="n"/>
      <c r="BX272" s="42" t="n"/>
      <c r="BY272" s="42" t="n"/>
      <c r="BZ272" s="12" t="n"/>
      <c r="CA272" s="42" t="n"/>
      <c r="CB272" s="42" t="n"/>
      <c r="CC272" s="42" t="n"/>
      <c r="CD272" s="42" t="n"/>
      <c r="CE272" s="12" t="n"/>
      <c r="CF272" s="42" t="n"/>
      <c r="CG272" s="42" t="n"/>
      <c r="CH272" s="42" t="n"/>
      <c r="CI272" s="42" t="n"/>
      <c r="CJ272" s="12" t="n"/>
      <c r="CK272" s="42" t="n"/>
      <c r="CL272" s="42" t="n"/>
      <c r="CM272" s="42" t="n"/>
      <c r="CN272" s="42" t="n"/>
      <c r="CO272" s="12" t="n"/>
      <c r="CP272" s="42" t="n"/>
      <c r="CQ272" s="42" t="n"/>
      <c r="CR272" s="42" t="n"/>
      <c r="CS272" s="42" t="n"/>
      <c r="CT272" s="12" t="n"/>
      <c r="CU272" s="42" t="n"/>
      <c r="CV272" s="42" t="n"/>
      <c r="CW272" s="42" t="n"/>
      <c r="CX272" s="42" t="n"/>
      <c r="CY272" s="12" t="n"/>
    </row>
    <row r="273" collapsed="1">
      <c r="C273" s="14" t="inlineStr">
        <is>
          <t>Treasury stock (contra account)</t>
        </is>
      </c>
      <c r="D273" s="46" t="n"/>
      <c r="E273" s="46" t="n"/>
      <c r="F273" s="46" t="n"/>
      <c r="G273" s="46" t="n"/>
      <c r="H273" s="12" t="n"/>
      <c r="I273" s="46">
        <f>'Inputs (2)'!D44</f>
        <v>-272.346</v>
      </c>
      <c r="J273" s="46">
        <f>'Inputs (2)'!E44</f>
        <v>-282.509</v>
      </c>
      <c r="K273" s="46">
        <f>'Inputs (2)'!F44</f>
        <v>-151.633</v>
      </c>
      <c r="L273" s="46">
        <f>'Inputs (2)'!G44</f>
        <v>-151.633</v>
      </c>
      <c r="M273" s="12">
        <f>'Inputs (2)'!H44</f>
        <v>-151.633</v>
      </c>
      <c r="N273" s="46">
        <f>'Inputs (2)'!I44</f>
        <v>-151.633</v>
      </c>
      <c r="O273" s="46">
        <f>'Inputs (2)'!J44</f>
        <v>-155.635</v>
      </c>
      <c r="P273" s="46">
        <f>'Inputs (2)'!K44</f>
        <v>-165.751</v>
      </c>
      <c r="Q273" s="46">
        <f>'Inputs (2)'!L44</f>
        <v>-148.114</v>
      </c>
      <c r="R273" s="12">
        <f>'Inputs (2)'!M44</f>
        <v>-148.114</v>
      </c>
      <c r="S273" s="46">
        <f>'Inputs (2)'!N44</f>
        <v>-148.11432551</v>
      </c>
      <c r="T273" s="46">
        <f>'Inputs (2)'!O44</f>
        <v>-150.87927403</v>
      </c>
      <c r="U273" s="46">
        <f>'Inputs (2)'!P44</f>
        <v>-151.04712491</v>
      </c>
      <c r="V273" s="46">
        <f>'Inputs (2)'!Q44</f>
        <v>-151.04712491</v>
      </c>
      <c r="W273" s="12">
        <f>'Inputs (2)'!R44</f>
        <v>-151.04712491</v>
      </c>
      <c r="X273" s="46">
        <f>'Inputs (2)'!S44</f>
        <v>-151.04712491</v>
      </c>
      <c r="Y273" s="46">
        <f>'Inputs (2)'!T44</f>
        <v>-151.18433764</v>
      </c>
      <c r="Z273" s="46">
        <f>'Inputs (2)'!U44</f>
        <v>-151.51945841</v>
      </c>
      <c r="AA273" s="46">
        <f>'Inputs (2)'!V44</f>
        <v>-155.78335443</v>
      </c>
      <c r="AB273" s="12">
        <f>'Inputs (2)'!W44</f>
        <v>-155.78335443</v>
      </c>
      <c r="AC273" s="46">
        <f>'Inputs (2)'!X44</f>
        <v>-181.91666977</v>
      </c>
      <c r="AD273" s="46">
        <f>'Inputs (2)'!Y44</f>
        <v>-181.96830777</v>
      </c>
      <c r="AE273" s="46">
        <f>'Inputs (2)'!Z44</f>
        <v>-181.96830777</v>
      </c>
      <c r="AF273" s="46">
        <f>'Inputs (2)'!AA44</f>
        <v>-181.9683078</v>
      </c>
      <c r="AG273" s="12">
        <f>'Inputs (2)'!AB44</f>
        <v>-181.9683078</v>
      </c>
      <c r="AH273" s="12">
        <f>'Inputs (2)'!AC44</f>
        <v>0</v>
      </c>
      <c r="AI273" s="12">
        <f>'Inputs (2)'!AD44</f>
        <v>0</v>
      </c>
      <c r="AJ273" s="12">
        <f>AI273</f>
        <v>0</v>
      </c>
      <c r="AK273" s="12">
        <f>AJ273</f>
        <v>0</v>
      </c>
      <c r="AL273" s="12">
        <f>AK273</f>
        <v>0</v>
      </c>
      <c r="AM273" s="12">
        <f>AL273</f>
        <v>0</v>
      </c>
      <c r="AN273" s="12">
        <f>AM273</f>
        <v>0</v>
      </c>
      <c r="AO273" s="12">
        <f>AN273</f>
        <v>0</v>
      </c>
      <c r="AP273" s="12">
        <f>AO273</f>
        <v>0</v>
      </c>
      <c r="AQ273" s="12">
        <f>AP273</f>
        <v>0</v>
      </c>
      <c r="AR273" s="12">
        <f>AQ273</f>
        <v>0</v>
      </c>
      <c r="AS273" s="12">
        <f>AR273</f>
        <v>0</v>
      </c>
      <c r="AT273" s="12">
        <f>AS273</f>
        <v>0</v>
      </c>
      <c r="AU273" s="12">
        <f>AT273</f>
        <v>0</v>
      </c>
      <c r="AV273" s="12">
        <f>AU273</f>
        <v>0</v>
      </c>
      <c r="AW273" s="12">
        <f>AV273</f>
        <v>0</v>
      </c>
      <c r="AX273" s="12">
        <f>AW273</f>
        <v>0</v>
      </c>
      <c r="AY273" s="12">
        <f>AX273</f>
        <v>0</v>
      </c>
      <c r="AZ273" s="12">
        <f>AY273</f>
        <v>0</v>
      </c>
      <c r="BA273" s="12">
        <f>AZ273</f>
        <v>0</v>
      </c>
      <c r="BB273" s="12">
        <f>BA273</f>
        <v>0</v>
      </c>
      <c r="BC273" s="12">
        <f>BB273</f>
        <v>0</v>
      </c>
      <c r="BD273" s="12">
        <f>BC273</f>
        <v>0</v>
      </c>
      <c r="BE273" s="12">
        <f>BD273</f>
        <v>0</v>
      </c>
      <c r="BF273" s="12">
        <f>BE273</f>
        <v>0</v>
      </c>
      <c r="BG273" s="12" t="n"/>
      <c r="BH273" s="12" t="n"/>
      <c r="BI273" s="12" t="n"/>
      <c r="BJ273" s="12" t="n"/>
      <c r="BK273" s="12" t="n"/>
      <c r="BL273" s="12" t="n"/>
      <c r="BM273" s="12" t="n"/>
      <c r="BN273" s="12" t="n"/>
      <c r="BO273" s="12" t="n"/>
      <c r="BP273" s="12" t="n"/>
      <c r="BQ273" s="12" t="n"/>
      <c r="BR273" s="12" t="n"/>
      <c r="BS273" s="12" t="n"/>
      <c r="BT273" s="12" t="n"/>
      <c r="BU273" s="12" t="n"/>
      <c r="BV273" s="12" t="n"/>
      <c r="BW273" s="12" t="n"/>
      <c r="BX273" s="12" t="n"/>
      <c r="BY273" s="12" t="n"/>
      <c r="BZ273" s="12" t="n"/>
      <c r="CA273" s="12" t="n"/>
      <c r="CB273" s="12" t="n"/>
      <c r="CC273" s="12" t="n"/>
      <c r="CD273" s="12" t="n"/>
      <c r="CE273" s="12" t="n"/>
      <c r="CF273" s="12" t="n"/>
      <c r="CG273" s="12" t="n"/>
      <c r="CH273" s="12" t="n"/>
      <c r="CI273" s="12" t="n"/>
      <c r="CJ273" s="12" t="n"/>
      <c r="CK273" s="12" t="n"/>
      <c r="CL273" s="12" t="n"/>
      <c r="CM273" s="12" t="n"/>
      <c r="CN273" s="12" t="n"/>
      <c r="CO273" s="12" t="n"/>
      <c r="CP273" s="12" t="n"/>
      <c r="CQ273" s="12" t="n"/>
      <c r="CR273" s="12" t="n"/>
      <c r="CS273" s="12" t="n"/>
      <c r="CT273" s="12" t="n"/>
      <c r="CU273" s="12" t="n"/>
      <c r="CV273" s="12" t="n"/>
      <c r="CW273" s="12" t="n"/>
      <c r="CX273" s="12" t="n"/>
      <c r="CY273" s="12" t="n"/>
    </row>
    <row r="274">
      <c r="C274" s="14" t="inlineStr">
        <is>
          <t>Comprehensive (accumulated) loss</t>
        </is>
      </c>
      <c r="D274" s="46" t="n"/>
      <c r="E274" s="46" t="n"/>
      <c r="F274" s="46" t="n"/>
      <c r="G274" s="46" t="n"/>
      <c r="H274" s="12" t="n"/>
      <c r="I274" s="46">
        <f>'Inputs (2)'!D45</f>
        <v>215.1</v>
      </c>
      <c r="J274" s="46">
        <f>'Inputs (2)'!E45</f>
        <v>270.366</v>
      </c>
      <c r="K274" s="46">
        <f>'Inputs (2)'!F45</f>
        <v>214.938</v>
      </c>
      <c r="L274" s="46">
        <f>'Inputs (2)'!G45</f>
        <v>261.301</v>
      </c>
      <c r="M274" s="12">
        <f>'Inputs (2)'!H45</f>
        <v>261.301</v>
      </c>
      <c r="N274" s="46">
        <f>'Inputs (2)'!I45</f>
        <v>31.943</v>
      </c>
      <c r="O274" s="46">
        <f>'Inputs (2)'!J45</f>
        <v>-104.169</v>
      </c>
      <c r="P274" s="46">
        <f>'Inputs (2)'!K45</f>
        <v>-268.847</v>
      </c>
      <c r="Q274" s="46">
        <f>'Inputs (2)'!L45</f>
        <v>-251.844</v>
      </c>
      <c r="R274" s="12">
        <f>'Inputs (2)'!M45</f>
        <v>-251.844</v>
      </c>
      <c r="S274" s="46">
        <f>'Inputs (2)'!N45</f>
        <v>-954.935384997</v>
      </c>
      <c r="T274" s="46">
        <f>'Inputs (2)'!O45</f>
        <v>-725.563953237</v>
      </c>
      <c r="U274" s="46">
        <f>'Inputs (2)'!P45</f>
        <v>-84.917637707</v>
      </c>
      <c r="V274" s="46">
        <f>'Inputs (2)'!Q45</f>
        <v>-405.504835827</v>
      </c>
      <c r="W274" s="12">
        <f>'Inputs (2)'!R45</f>
        <v>-405.504835827</v>
      </c>
      <c r="X274" s="46">
        <f>'Inputs (2)'!S45</f>
        <v>-445.750407677</v>
      </c>
      <c r="Y274" s="46">
        <f>'Inputs (2)'!T45</f>
        <v>-488.909182807</v>
      </c>
      <c r="Z274" s="46">
        <f>'Inputs (2)'!U45</f>
        <v>-415.623650617</v>
      </c>
      <c r="AA274" s="46">
        <f>'Inputs (2)'!V45</f>
        <v>-582.0273455</v>
      </c>
      <c r="AB274" s="12">
        <f>'Inputs (2)'!W45</f>
        <v>-582.0273455</v>
      </c>
      <c r="AC274" s="46">
        <f>'Inputs (2)'!X45</f>
        <v>-481.32401074</v>
      </c>
      <c r="AD274" s="46">
        <f>'Inputs (2)'!Y45</f>
        <v>-392.7979527</v>
      </c>
      <c r="AE274" s="46">
        <f>'Inputs (2)'!Z45</f>
        <v>-421.69167665</v>
      </c>
      <c r="AF274" s="46">
        <f>'Inputs (2)'!AA45</f>
        <v>302.5429319</v>
      </c>
      <c r="AG274" s="12">
        <f>'Inputs (2)'!AB45</f>
        <v>302.5429319</v>
      </c>
      <c r="AH274" s="12">
        <f>'Inputs (2)'!AC45</f>
        <v>302.54293186</v>
      </c>
      <c r="AI274" s="12">
        <f>'Inputs (2)'!AD45</f>
        <v>333.43460416</v>
      </c>
      <c r="AJ274" s="12">
        <f>AI274</f>
        <v>333.43460416</v>
      </c>
      <c r="AK274" s="12">
        <f>AJ274</f>
        <v>333.43460416</v>
      </c>
      <c r="AL274" s="12">
        <f>AK274</f>
        <v>333.43460416</v>
      </c>
      <c r="AM274" s="12">
        <f>AL274</f>
        <v>333.43460416</v>
      </c>
      <c r="AN274" s="12">
        <f>AM274</f>
        <v>333.43460416</v>
      </c>
      <c r="AO274" s="12">
        <f>AN274</f>
        <v>333.43460416</v>
      </c>
      <c r="AP274" s="12">
        <f>AO274</f>
        <v>333.43460416</v>
      </c>
      <c r="AQ274" s="12">
        <f>AP274</f>
        <v>333.43460416</v>
      </c>
      <c r="AR274" s="12">
        <f>AQ274</f>
        <v>333.43460416</v>
      </c>
      <c r="AS274" s="12">
        <f>AR274</f>
        <v>333.43460416</v>
      </c>
      <c r="AT274" s="12">
        <f>AS274</f>
        <v>333.43460416</v>
      </c>
      <c r="AU274" s="12">
        <f>AT274</f>
        <v>333.43460416</v>
      </c>
      <c r="AV274" s="12">
        <f>AU274</f>
        <v>333.43460416</v>
      </c>
      <c r="AW274" s="12">
        <f>AV274</f>
        <v>333.43460416</v>
      </c>
      <c r="AX274" s="12">
        <f>AW274</f>
        <v>333.43460416</v>
      </c>
      <c r="AY274" s="12">
        <f>AX274</f>
        <v>333.43460416</v>
      </c>
      <c r="AZ274" s="12">
        <f>AY274</f>
        <v>333.43460416</v>
      </c>
      <c r="BA274" s="12">
        <f>AZ274</f>
        <v>333.43460416</v>
      </c>
      <c r="BB274" s="12">
        <f>BA274</f>
        <v>333.43460416</v>
      </c>
      <c r="BC274" s="12">
        <f>BB274</f>
        <v>333.43460416</v>
      </c>
      <c r="BD274" s="12">
        <f>BC274</f>
        <v>333.43460416</v>
      </c>
      <c r="BE274" s="12">
        <f>BD274</f>
        <v>333.43460416</v>
      </c>
      <c r="BF274" s="12">
        <f>BE274</f>
        <v>333.43460416</v>
      </c>
      <c r="BG274" s="12" t="n"/>
      <c r="BH274" s="12" t="n"/>
      <c r="BI274" s="12" t="n"/>
      <c r="BJ274" s="12" t="n"/>
      <c r="BK274" s="12" t="n"/>
      <c r="BL274" s="12" t="n"/>
      <c r="BM274" s="12" t="n"/>
      <c r="BN274" s="12" t="n"/>
      <c r="BO274" s="12" t="n"/>
      <c r="BP274" s="12" t="n"/>
      <c r="BQ274" s="12" t="n"/>
      <c r="BR274" s="12" t="n"/>
      <c r="BS274" s="12" t="n"/>
      <c r="BT274" s="12" t="n"/>
      <c r="BU274" s="12" t="n"/>
      <c r="BV274" s="12" t="n"/>
      <c r="BW274" s="12" t="n"/>
      <c r="BX274" s="12" t="n"/>
      <c r="BY274" s="12" t="n"/>
      <c r="BZ274" s="12" t="n"/>
      <c r="CA274" s="12" t="n"/>
      <c r="CB274" s="12" t="n"/>
      <c r="CC274" s="12" t="n"/>
      <c r="CD274" s="12" t="n"/>
      <c r="CE274" s="12" t="n"/>
      <c r="CF274" s="12" t="n"/>
      <c r="CG274" s="12" t="n"/>
      <c r="CH274" s="12" t="n"/>
      <c r="CI274" s="12" t="n"/>
      <c r="CJ274" s="12" t="n"/>
      <c r="CK274" s="12" t="n"/>
      <c r="CL274" s="12" t="n"/>
      <c r="CM274" s="12" t="n"/>
      <c r="CN274" s="12" t="n"/>
      <c r="CO274" s="12" t="n"/>
      <c r="CP274" s="12" t="n"/>
      <c r="CQ274" s="12" t="n"/>
      <c r="CR274" s="12" t="n"/>
      <c r="CS274" s="12" t="n"/>
      <c r="CT274" s="12" t="n"/>
      <c r="CU274" s="12" t="n"/>
      <c r="CV274" s="12" t="n"/>
      <c r="CW274" s="12" t="n"/>
      <c r="CX274" s="12" t="n"/>
      <c r="CY274" s="12" t="n"/>
    </row>
    <row r="275">
      <c r="C275" s="14" t="inlineStr">
        <is>
          <t>Other equity account</t>
        </is>
      </c>
      <c r="D275" s="46" t="n"/>
      <c r="E275" s="46" t="n"/>
      <c r="F275" s="46" t="n"/>
      <c r="G275" s="46" t="n"/>
      <c r="H275" s="12" t="n"/>
      <c r="I275" s="46">
        <f>'Inputs (2)'!D46</f>
        <v>-158.278</v>
      </c>
      <c r="J275" s="46">
        <f>'Inputs (2)'!E46</f>
        <v>-113.68</v>
      </c>
      <c r="K275" s="46">
        <f>'Inputs (2)'!F46</f>
        <v>-226.171</v>
      </c>
      <c r="L275" s="46">
        <f>'Inputs (2)'!G46</f>
        <v>-269.203</v>
      </c>
      <c r="M275" s="12">
        <f>'Inputs (2)'!H46</f>
        <v>-269.203</v>
      </c>
      <c r="N275" s="46">
        <f>'Inputs (2)'!I46</f>
        <v>-440.692</v>
      </c>
      <c r="O275" s="46">
        <f>'Inputs (2)'!J46</f>
        <v>-717.596</v>
      </c>
      <c r="P275" s="46">
        <f>'Inputs (2)'!K46</f>
        <v>-816.101</v>
      </c>
      <c r="Q275" s="46">
        <f>'Inputs (2)'!L46</f>
        <v>-721.574</v>
      </c>
      <c r="R275" s="12">
        <f>'Inputs (2)'!M46</f>
        <v>-721.574</v>
      </c>
      <c r="S275" s="46">
        <f>'Inputs (2)'!N46</f>
        <v>-399.57498121</v>
      </c>
      <c r="T275" s="46">
        <f>'Inputs (2)'!O46</f>
        <v>-399.57498121</v>
      </c>
      <c r="U275" s="46">
        <f>'Inputs (2)'!P46</f>
        <v>-500.57898121</v>
      </c>
      <c r="V275" s="46">
        <f>'Inputs (2)'!Q46</f>
        <v>25.62811802</v>
      </c>
      <c r="W275" s="12">
        <f>'Inputs (2)'!R46</f>
        <v>25.62811802</v>
      </c>
      <c r="X275" s="46">
        <f>'Inputs (2)'!S46</f>
        <v>-30.43085043</v>
      </c>
      <c r="Y275" s="46">
        <f>'Inputs (2)'!T46</f>
        <v>-66.01177379</v>
      </c>
      <c r="Z275" s="46">
        <f>'Inputs (2)'!U46</f>
        <v>-17.8895838</v>
      </c>
      <c r="AA275" s="46">
        <f>'Inputs (2)'!V46</f>
        <v>0.20780122</v>
      </c>
      <c r="AB275" s="12">
        <f>'Inputs (2)'!W46</f>
        <v>0.20780122</v>
      </c>
      <c r="AC275" s="46">
        <f>'Inputs (2)'!X46</f>
        <v>-4.51910642</v>
      </c>
      <c r="AD275" s="46">
        <f>'Inputs (2)'!Y46</f>
        <v>563.4985897</v>
      </c>
      <c r="AE275" s="46">
        <f>'Inputs (2)'!Z46</f>
        <v>651.52011473</v>
      </c>
      <c r="AF275" s="46">
        <f>'Inputs (2)'!AA46</f>
        <v>874.5439404</v>
      </c>
      <c r="AG275" s="12">
        <f>'Inputs (2)'!AB46</f>
        <v>874.5439404</v>
      </c>
      <c r="AH275" s="12">
        <f>'Inputs (2)'!AC46</f>
        <v>793.66737536</v>
      </c>
      <c r="AI275" s="12">
        <f>'Inputs (2)'!AD46</f>
        <v>775.32691685</v>
      </c>
      <c r="AJ275" s="12">
        <f>AI275</f>
        <v>775.32691685</v>
      </c>
      <c r="AK275" s="12">
        <f>AJ275</f>
        <v>775.32691685</v>
      </c>
      <c r="AL275" s="12">
        <f>AK275</f>
        <v>775.32691685</v>
      </c>
      <c r="AM275" s="12">
        <f>AL275</f>
        <v>775.32691685</v>
      </c>
      <c r="AN275" s="12">
        <f>AM275</f>
        <v>775.32691685</v>
      </c>
      <c r="AO275" s="12">
        <f>AN275</f>
        <v>775.32691685</v>
      </c>
      <c r="AP275" s="12">
        <f>AO275</f>
        <v>775.32691685</v>
      </c>
      <c r="AQ275" s="12">
        <f>AP275</f>
        <v>775.32691685</v>
      </c>
      <c r="AR275" s="12">
        <f>AQ275</f>
        <v>775.32691685</v>
      </c>
      <c r="AS275" s="12">
        <f>AR275</f>
        <v>775.32691685</v>
      </c>
      <c r="AT275" s="12">
        <f>AS275</f>
        <v>775.32691685</v>
      </c>
      <c r="AU275" s="12">
        <f>AT275</f>
        <v>775.32691685</v>
      </c>
      <c r="AV275" s="12">
        <f>AU275</f>
        <v>775.32691685</v>
      </c>
      <c r="AW275" s="12">
        <f>AV275</f>
        <v>775.32691685</v>
      </c>
      <c r="AX275" s="12">
        <f>AW275</f>
        <v>775.32691685</v>
      </c>
      <c r="AY275" s="12">
        <f>AX275</f>
        <v>775.32691685</v>
      </c>
      <c r="AZ275" s="12">
        <f>AY275</f>
        <v>775.32691685</v>
      </c>
      <c r="BA275" s="12">
        <f>AZ275</f>
        <v>775.32691685</v>
      </c>
      <c r="BB275" s="12">
        <f>BA275</f>
        <v>775.32691685</v>
      </c>
      <c r="BC275" s="12">
        <f>BB275</f>
        <v>775.32691685</v>
      </c>
      <c r="BD275" s="12">
        <f>BC275</f>
        <v>775.32691685</v>
      </c>
      <c r="BE275" s="12">
        <f>BD275</f>
        <v>775.32691685</v>
      </c>
      <c r="BF275" s="12">
        <f>BE275</f>
        <v>775.32691685</v>
      </c>
      <c r="BG275" s="12" t="n"/>
      <c r="BH275" s="12" t="n"/>
      <c r="BI275" s="12" t="n"/>
      <c r="BJ275" s="12" t="n"/>
      <c r="BK275" s="12" t="n"/>
      <c r="BL275" s="12" t="n"/>
      <c r="BM275" s="12" t="n"/>
      <c r="BN275" s="12" t="n"/>
      <c r="BO275" s="12" t="n"/>
      <c r="BP275" s="12" t="n"/>
      <c r="BQ275" s="12" t="n"/>
      <c r="BR275" s="12" t="n"/>
      <c r="BS275" s="12" t="n"/>
      <c r="BT275" s="12" t="n"/>
      <c r="BU275" s="12" t="n"/>
      <c r="BV275" s="12" t="n"/>
      <c r="BW275" s="12" t="n"/>
      <c r="BX275" s="12" t="n"/>
      <c r="BY275" s="12" t="n"/>
      <c r="BZ275" s="12" t="n"/>
      <c r="CA275" s="12" t="n"/>
      <c r="CB275" s="12" t="n"/>
      <c r="CC275" s="12" t="n"/>
      <c r="CD275" s="12" t="n"/>
      <c r="CE275" s="12" t="n"/>
      <c r="CF275" s="12" t="n"/>
      <c r="CG275" s="12" t="n"/>
      <c r="CH275" s="12" t="n"/>
      <c r="CI275" s="12" t="n"/>
      <c r="CJ275" s="12" t="n"/>
      <c r="CK275" s="12" t="n"/>
      <c r="CL275" s="12" t="n"/>
      <c r="CM275" s="12" t="n"/>
      <c r="CN275" s="12" t="n"/>
      <c r="CO275" s="12" t="n"/>
      <c r="CP275" s="12" t="n"/>
      <c r="CQ275" s="12" t="n"/>
      <c r="CR275" s="12" t="n"/>
      <c r="CS275" s="12" t="n"/>
      <c r="CT275" s="12" t="n"/>
      <c r="CU275" s="12" t="n"/>
      <c r="CV275" s="12" t="n"/>
      <c r="CW275" s="12" t="n"/>
      <c r="CX275" s="12" t="n"/>
      <c r="CY275" s="12" t="n"/>
    </row>
    <row r="276">
      <c r="C276" s="15" t="inlineStr">
        <is>
          <t>Retained earnings</t>
        </is>
      </c>
      <c r="D276" s="46" t="n"/>
      <c r="E276" s="46" t="n"/>
      <c r="F276" s="46" t="n"/>
      <c r="G276" s="46" t="n"/>
      <c r="H276" s="12" t="n"/>
      <c r="I276" s="46">
        <f>'Inputs (2)'!D47</f>
        <v>410.904</v>
      </c>
      <c r="J276" s="46">
        <f>'Inputs (2)'!E47</f>
        <v>623.826</v>
      </c>
      <c r="K276" s="46">
        <f>'Inputs (2)'!F47</f>
        <v>869.589</v>
      </c>
      <c r="L276" s="46">
        <f>'Inputs (2)'!G47</f>
        <v>877.94</v>
      </c>
      <c r="M276" s="12">
        <f>'Inputs (2)'!H47</f>
        <v>877.94</v>
      </c>
      <c r="N276" s="46">
        <f>'Inputs (2)'!I47</f>
        <v>765.355</v>
      </c>
      <c r="O276" s="46">
        <f>'Inputs (2)'!J47</f>
        <v>867.332</v>
      </c>
      <c r="P276" s="46">
        <f>'Inputs (2)'!K47</f>
        <v>885.833</v>
      </c>
      <c r="Q276" s="46">
        <f>'Inputs (2)'!L47</f>
        <v>925.757</v>
      </c>
      <c r="R276" s="12">
        <f>'Inputs (2)'!M47</f>
        <v>925.757</v>
      </c>
      <c r="S276" s="46">
        <f>'Inputs (2)'!N47</f>
        <v>931.95033978</v>
      </c>
      <c r="T276" s="46">
        <f>'Inputs (2)'!O47</f>
        <v>944.27708215</v>
      </c>
      <c r="U276" s="46">
        <f>'Inputs (2)'!P47</f>
        <v>807.760875481</v>
      </c>
      <c r="V276" s="46">
        <f>'Inputs (2)'!Q47</f>
        <v>430.53850448</v>
      </c>
      <c r="W276" s="12">
        <f>'Inputs (2)'!R47</f>
        <v>430.53850448</v>
      </c>
      <c r="X276" s="46">
        <f>'Inputs (2)'!S47</f>
        <v>417.4832737</v>
      </c>
      <c r="Y276" s="46">
        <f>'Inputs (2)'!T47</f>
        <v>466.78310823</v>
      </c>
      <c r="Z276" s="46">
        <f>'Inputs (2)'!U47</f>
        <v>477.62535819</v>
      </c>
      <c r="AA276" s="46">
        <f>'Inputs (2)'!V47</f>
        <v>232.35130397</v>
      </c>
      <c r="AB276" s="12">
        <f>'Inputs (2)'!W47</f>
        <v>232.35130397</v>
      </c>
      <c r="AC276" s="46">
        <f>'Inputs (2)'!X47</f>
        <v>177.2480134</v>
      </c>
      <c r="AD276" s="46">
        <f>'Inputs (2)'!Y47</f>
        <v>22.6152274</v>
      </c>
      <c r="AE276" s="46">
        <f>'Inputs (2)'!Z47</f>
        <v>-222.64306702</v>
      </c>
      <c r="AF276" s="46">
        <f>'Inputs (2)'!AA47</f>
        <v>216.91863636</v>
      </c>
      <c r="AG276" s="12">
        <f>'Inputs (2)'!AB47</f>
        <v>216.91863636</v>
      </c>
      <c r="AH276" s="12">
        <f>'Inputs (2)'!AC47</f>
        <v>58.5362407</v>
      </c>
      <c r="AI276" s="12">
        <f>'Inputs (2)'!AD47</f>
        <v>-257.24394704</v>
      </c>
      <c r="AJ276" s="12">
        <f>AI276+AJ143+AJ144</f>
        <v>1023.65938256078</v>
      </c>
      <c r="AK276" s="12">
        <f>AJ276+AK143+AK144</f>
        <v>2306.70412737436</v>
      </c>
      <c r="AL276" s="12">
        <f>AK276</f>
        <v>2306.70412737436</v>
      </c>
      <c r="AM276" s="12">
        <f>AL276+AM143+AM144</f>
        <v>3567.22605854807</v>
      </c>
      <c r="AN276" s="12">
        <f>AM276+AN143+AN144</f>
        <v>4865.17532753438</v>
      </c>
      <c r="AO276" s="12">
        <f>AN276+AO143+AO144</f>
        <v>6224.56781698195</v>
      </c>
      <c r="AP276" s="12">
        <f>AO276+AP143+AP144</f>
        <v>7586.23293988262</v>
      </c>
      <c r="AQ276" s="12">
        <f>AP276</f>
        <v>7586.23293988262</v>
      </c>
      <c r="AR276" s="12">
        <f>AQ276+AR143+AR144</f>
        <v>8917.69252228503</v>
      </c>
      <c r="AS276" s="12">
        <f>AR276+AS143+AS144</f>
        <v>10288.6857187738</v>
      </c>
      <c r="AT276" s="12">
        <f>AS276+AT143+AT144</f>
        <v>11724.5799396982</v>
      </c>
      <c r="AU276" s="12">
        <f>AT276+AU143+AU144</f>
        <v>13162.8746897317</v>
      </c>
      <c r="AV276" s="12">
        <f>AU276</f>
        <v>13162.8746897317</v>
      </c>
      <c r="AW276" s="12">
        <f>AV276+AW143+AW144</f>
        <v>14562.6067419205</v>
      </c>
      <c r="AX276" s="12">
        <f>AW276+AX143+AX144</f>
        <v>16003.8995500698</v>
      </c>
      <c r="AY276" s="12">
        <f>AX276+AY143+AY144</f>
        <v>17513.4212743072</v>
      </c>
      <c r="AZ276" s="12">
        <f>AY276+AZ143+AZ144</f>
        <v>19025.4666181728</v>
      </c>
      <c r="BA276" s="12">
        <f>AZ276</f>
        <v>19025.4666181728</v>
      </c>
      <c r="BB276" s="12">
        <f>BA276+BB143+BB144</f>
        <v>20489.9732471595</v>
      </c>
      <c r="BC276" s="12">
        <f>BB276+BC143+BC144</f>
        <v>21997.9639147625</v>
      </c>
      <c r="BD276" s="12">
        <f>BC276+BD143+BD144</f>
        <v>23577.3408878683</v>
      </c>
      <c r="BE276" s="12">
        <f>BD276+BE143+BE144</f>
        <v>25159.3582646634</v>
      </c>
      <c r="BF276" s="12">
        <f>BE276</f>
        <v>25159.3582646634</v>
      </c>
      <c r="BG276" s="12" t="n"/>
      <c r="BH276" s="12" t="n"/>
      <c r="BI276" s="12" t="n"/>
      <c r="BJ276" s="12" t="n"/>
      <c r="BK276" s="12" t="n"/>
      <c r="BL276" s="12" t="n"/>
      <c r="BM276" s="12" t="n"/>
      <c r="BN276" s="12" t="n"/>
      <c r="BO276" s="12" t="n"/>
      <c r="BP276" s="12" t="n"/>
      <c r="BQ276" s="12" t="n"/>
      <c r="BR276" s="12" t="n"/>
      <c r="BS276" s="12" t="n"/>
      <c r="BT276" s="12" t="n"/>
      <c r="BU276" s="12" t="n"/>
      <c r="BV276" s="12" t="n"/>
      <c r="BW276" s="12" t="n"/>
      <c r="BX276" s="12" t="n"/>
      <c r="BY276" s="12" t="n"/>
      <c r="BZ276" s="12" t="n"/>
      <c r="CA276" s="12" t="n"/>
      <c r="CB276" s="12" t="n"/>
      <c r="CC276" s="12" t="n"/>
      <c r="CD276" s="12" t="n"/>
      <c r="CE276" s="12" t="n"/>
      <c r="CF276" s="12" t="n"/>
      <c r="CG276" s="12" t="n"/>
      <c r="CH276" s="12" t="n"/>
      <c r="CI276" s="12" t="n"/>
      <c r="CJ276" s="12" t="n"/>
      <c r="CK276" s="12" t="n"/>
      <c r="CL276" s="12" t="n"/>
      <c r="CM276" s="12" t="n"/>
      <c r="CN276" s="12" t="n"/>
      <c r="CO276" s="12" t="n"/>
      <c r="CP276" s="12" t="n"/>
      <c r="CQ276" s="12" t="n"/>
      <c r="CR276" s="12" t="n"/>
      <c r="CS276" s="12" t="n"/>
      <c r="CT276" s="12" t="n"/>
      <c r="CU276" s="12" t="n"/>
      <c r="CV276" s="12" t="n"/>
      <c r="CW276" s="12" t="n"/>
      <c r="CX276" s="12" t="n"/>
      <c r="CY276" s="12" t="n"/>
    </row>
    <row r="277" customFormat="1" s="32">
      <c r="A277" s="30" t="inlineStr">
        <is>
          <t xml:space="preserve"> </t>
        </is>
      </c>
      <c r="B277" s="30" t="n"/>
      <c r="C277" s="65" t="inlineStr">
        <is>
          <t>Total Shareholders' Equity</t>
        </is>
      </c>
      <c r="D277" s="35" t="n"/>
      <c r="E277" s="35" t="n"/>
      <c r="F277" s="35" t="n"/>
      <c r="G277" s="35" t="n"/>
      <c r="H277" s="35" t="n"/>
      <c r="I277" s="35">
        <f>SUM(I254+I259+I260+I273+I274+I275+I276)</f>
        <v>3952.286</v>
      </c>
      <c r="J277" s="35">
        <f>SUM(J254+J259+J260+J273+J274+J275+J276)</f>
        <v>4443.018</v>
      </c>
      <c r="K277" s="35">
        <f>SUM(K254+K259+K260+K273+K274+K275+K276)</f>
        <v>5703.243</v>
      </c>
      <c r="L277" s="35">
        <f>SUM(L254+L259+L260+L273+L274+L275+L276)</f>
        <v>5824.26</v>
      </c>
      <c r="M277" s="35">
        <f>SUM(M254,M259,M260,M273,M274,M275,M276)</f>
        <v>5824.26</v>
      </c>
      <c r="N277" s="35">
        <f>SUM(N254+N259+N260+N273+N274+N275+N276)</f>
        <v>5247.547</v>
      </c>
      <c r="O277" s="35">
        <f>SUM(O254+O259+O260+O273+O274+O275+O276)</f>
        <v>4926.791</v>
      </c>
      <c r="P277" s="35">
        <f>SUM(P254+P259+P260+P273+P274+P275+P276)</f>
        <v>5556.188</v>
      </c>
      <c r="Q277" s="35">
        <f>SUM(Q254+Q259+Q260+Q273+Q274+Q275+Q276)</f>
        <v>5581.753</v>
      </c>
      <c r="R277" s="35">
        <f>SUM(R254,R259,R260,R273,R274,R275,R276)</f>
        <v>5581.753</v>
      </c>
      <c r="S277" s="35">
        <f>SUM(S254+S259+S260+S273+S274+S275+S276)</f>
        <v>5694.128729327</v>
      </c>
      <c r="T277" s="35">
        <f>SUM(T254+T259+T260+T273+T274+T275+T276)</f>
        <v>6110.178203725</v>
      </c>
      <c r="U277" s="35">
        <f>SUM(U254+U259+U260+U273+U274+U275+U276)</f>
        <v>6951.321358952</v>
      </c>
      <c r="V277" s="35">
        <f>SUM(V254+V259+V260+V273+V274+V275+V276)</f>
        <v>6751.730033615</v>
      </c>
      <c r="W277" s="35">
        <f>SUM(W254,W259,W260,W273,W274,W275,W276)</f>
        <v>6751.730033615</v>
      </c>
      <c r="X277" s="35">
        <f>SUM(X254+X259+X260+X273+X274+X275+X276)</f>
        <v>6575.98398556</v>
      </c>
      <c r="Y277" s="35">
        <f>SUM(Y254+Y259+Y260+Y273+Y274+Y275+Y276)</f>
        <v>6639.284923478</v>
      </c>
      <c r="Z277" s="35">
        <f>SUM(Z254+Z259+Z260+Z273+Z274+Z275+Z276)</f>
        <v>6913.652805431</v>
      </c>
      <c r="AA277" s="35">
        <f>SUM(AA254+AA259+AA260+AA273+AA274+AA275+AA276)</f>
        <v>5564.64252297</v>
      </c>
      <c r="AB277" s="35">
        <f>SUM(AB254,AB259,AB260,AB273,AB274,AB275,AB276)</f>
        <v>5564.64252297</v>
      </c>
      <c r="AC277" s="35">
        <f>SUM(AC254+AC259+AC260+AC273+AC274+AC275+AC276)</f>
        <v>5469.31758691</v>
      </c>
      <c r="AD277" s="35">
        <f>SUM(AD254+AD259+AD260+AD273+AD274+AD275+AD276)</f>
        <v>5994.43099127</v>
      </c>
      <c r="AE277" s="35">
        <f>SUM(AE254+AE259+AE260+AE273+AE274+AE275+AE276)</f>
        <v>5830.00551245</v>
      </c>
      <c r="AF277" s="35">
        <f>SUM(AF254+AF259+AF260+AF273+AF274+AF275+AF276)</f>
        <v>7274.09738026</v>
      </c>
      <c r="AG277" s="35">
        <f>SUM(AG254,AG259,AG260,AG273,AG274,AG275,AG276)</f>
        <v>7274.09738026</v>
      </c>
      <c r="AH277" s="35">
        <f>SUM(AH254+AH259+AH260+AH273+AH274+AH275+AH276)</f>
        <v>7016.787657</v>
      </c>
      <c r="AI277" s="35">
        <f>SUM(AI254+AI259+AI260+AI273+AI274+AI275+AI276)</f>
        <v>9825.96760037</v>
      </c>
      <c r="AJ277" s="35">
        <f>SUM(AJ254+AJ259+AJ260+AJ273+AJ274+AJ275+AJ276)</f>
        <v>11106.8709299708</v>
      </c>
      <c r="AK277" s="35">
        <f>SUM(AK254+AK259+AK260+AK273+AK274+AK275+AK276)</f>
        <v>12389.9156747844</v>
      </c>
      <c r="AL277" s="35">
        <f>SUM(AL254,AL259,AL260,AL273,AL274,AL275,AL276)</f>
        <v>12389.9156747844</v>
      </c>
      <c r="AM277" s="35">
        <f>SUM(AM254+AM259+AM260+AM273+AM274+AM275+AM276)</f>
        <v>13650.4376059581</v>
      </c>
      <c r="AN277" s="35">
        <f>SUM(AN254+AN259+AN260+AN273+AN274+AN275+AN276)</f>
        <v>14948.3868749444</v>
      </c>
      <c r="AO277" s="35">
        <f>SUM(AO254+AO259+AO260+AO273+AO274+AO275+AO276)</f>
        <v>16307.7793643919</v>
      </c>
      <c r="AP277" s="35">
        <f>SUM(AP254+AP259+AP260+AP273+AP274+AP275+AP276)</f>
        <v>17669.4444872926</v>
      </c>
      <c r="AQ277" s="35">
        <f>SUM(AQ254,AQ259,AQ260,AQ273,AQ274,AQ275,AQ276)</f>
        <v>17669.4444872926</v>
      </c>
      <c r="AR277" s="35">
        <f>SUM(AR254+AR259+AR260+AR273+AR274+AR275+AR276)</f>
        <v>19000.904069695</v>
      </c>
      <c r="AS277" s="35">
        <f>SUM(AS254+AS259+AS260+AS273+AS274+AS275+AS276)</f>
        <v>20371.8972661838</v>
      </c>
      <c r="AT277" s="35">
        <f>SUM(AT254+AT259+AT260+AT273+AT274+AT275+AT276)</f>
        <v>21807.7914871082</v>
      </c>
      <c r="AU277" s="35">
        <f>SUM(AU254+AU259+AU260+AU273+AU274+AU275+AU276)</f>
        <v>23246.0862371417</v>
      </c>
      <c r="AV277" s="35">
        <f>SUM(AV254,AV259,AV260,AV273,AV274,AV275,AV276)</f>
        <v>23246.0862371417</v>
      </c>
      <c r="AW277" s="35">
        <f>SUM(AW254+AW259+AW260+AW273+AW274+AW275+AW276)</f>
        <v>24645.8182893305</v>
      </c>
      <c r="AX277" s="35">
        <f>SUM(AX254+AX259+AX260+AX273+AX274+AX275+AX276)</f>
        <v>26087.1110974798</v>
      </c>
      <c r="AY277" s="35">
        <f>SUM(AY254+AY259+AY260+AY273+AY274+AY275+AY276)</f>
        <v>27596.6328217172</v>
      </c>
      <c r="AZ277" s="35">
        <f>SUM(AZ254+AZ259+AZ260+AZ273+AZ274+AZ275+AZ276)</f>
        <v>29108.6781655828</v>
      </c>
      <c r="BA277" s="35">
        <f>SUM(BA254,BA259,BA260,BA273,BA274,BA275,BA276)</f>
        <v>29108.6781655828</v>
      </c>
      <c r="BB277" s="35">
        <f>SUM(BB254+BB259+BB260+BB273+BB274+BB275+BB276)</f>
        <v>30573.1847945695</v>
      </c>
      <c r="BC277" s="35">
        <f>SUM(BC254+BC259+BC260+BC273+BC274+BC275+BC276)</f>
        <v>32081.1754621725</v>
      </c>
      <c r="BD277" s="35">
        <f>SUM(BD254+BD259+BD260+BD273+BD274+BD275+BD276)</f>
        <v>33660.5524352783</v>
      </c>
      <c r="BE277" s="35">
        <f>SUM(BE254+BE259+BE260+BE273+BE274+BE275+BE276)</f>
        <v>35242.5698120734</v>
      </c>
      <c r="BF277" s="35">
        <f>SUM(BF254,BF259,BF260,BF273,BF274,BF275,BF276)</f>
        <v>35242.5698120734</v>
      </c>
      <c r="BG277" s="35" t="n"/>
      <c r="BH277" s="35" t="n"/>
      <c r="BI277" s="35" t="n"/>
      <c r="BJ277" s="35" t="n"/>
      <c r="BK277" s="35" t="n"/>
      <c r="BL277" s="35" t="n"/>
      <c r="BM277" s="35" t="n"/>
      <c r="BN277" s="35" t="n"/>
      <c r="BO277" s="35" t="n"/>
      <c r="BP277" s="35" t="n"/>
      <c r="BQ277" s="35" t="n"/>
      <c r="BR277" s="35" t="n"/>
      <c r="BS277" s="35" t="n"/>
      <c r="BT277" s="35" t="n"/>
      <c r="BU277" s="35" t="n"/>
      <c r="BV277" s="35" t="n"/>
      <c r="BW277" s="35" t="n"/>
      <c r="BX277" s="35" t="n"/>
      <c r="BY277" s="35" t="n"/>
      <c r="BZ277" s="35" t="n"/>
      <c r="CA277" s="35" t="n"/>
      <c r="CB277" s="35" t="n"/>
      <c r="CC277" s="35" t="n"/>
      <c r="CD277" s="35" t="n"/>
      <c r="CE277" s="35" t="n"/>
      <c r="CF277" s="35" t="n"/>
      <c r="CG277" s="35" t="n"/>
      <c r="CH277" s="35" t="n"/>
      <c r="CI277" s="35" t="n"/>
      <c r="CJ277" s="35" t="n"/>
      <c r="CK277" s="35" t="n"/>
      <c r="CL277" s="35" t="n"/>
      <c r="CM277" s="35" t="n"/>
      <c r="CN277" s="35" t="n"/>
      <c r="CO277" s="35" t="n"/>
      <c r="CP277" s="35" t="n"/>
      <c r="CQ277" s="35" t="n"/>
      <c r="CR277" s="35" t="n"/>
      <c r="CS277" s="35" t="n"/>
      <c r="CT277" s="35" t="n"/>
      <c r="CU277" s="35" t="n"/>
      <c r="CV277" s="35" t="n"/>
      <c r="CW277" s="35" t="n"/>
      <c r="CX277" s="35" t="n"/>
      <c r="CY277" s="35" t="n"/>
    </row>
    <row r="278">
      <c r="C278" s="10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  <c r="AJ278" s="12" t="n"/>
      <c r="AK278" s="12" t="n"/>
      <c r="AL278" s="12" t="n"/>
      <c r="AM278" s="12" t="n"/>
      <c r="AN278" s="12" t="n"/>
      <c r="AO278" s="12" t="n"/>
      <c r="AP278" s="12" t="n"/>
      <c r="AQ278" s="12" t="n"/>
      <c r="AR278" s="12" t="n"/>
      <c r="AS278" s="12" t="n"/>
      <c r="AT278" s="12" t="n"/>
      <c r="AU278" s="12" t="n"/>
      <c r="AV278" s="12" t="n"/>
      <c r="AW278" s="12" t="n"/>
      <c r="AX278" s="12" t="n"/>
      <c r="AY278" s="12" t="n"/>
      <c r="AZ278" s="12" t="n"/>
      <c r="BA278" s="12" t="n"/>
      <c r="BB278" s="12" t="n"/>
      <c r="BC278" s="12" t="n"/>
      <c r="BD278" s="12" t="n"/>
      <c r="BE278" s="12" t="n"/>
      <c r="BF278" s="12" t="n"/>
      <c r="BG278" s="12" t="n"/>
      <c r="BH278" s="12" t="n"/>
      <c r="BI278" s="12" t="n"/>
      <c r="BJ278" s="12" t="n"/>
      <c r="BK278" s="12" t="n"/>
      <c r="BL278" s="12" t="n"/>
      <c r="BM278" s="12" t="n"/>
      <c r="BN278" s="12" t="n"/>
      <c r="BO278" s="12" t="n"/>
      <c r="BP278" s="12" t="n"/>
      <c r="BQ278" s="12" t="n"/>
      <c r="BR278" s="12" t="n"/>
      <c r="BS278" s="12" t="n"/>
      <c r="BT278" s="12" t="n"/>
      <c r="BU278" s="12" t="n"/>
      <c r="BV278" s="12" t="n"/>
      <c r="BW278" s="12" t="n"/>
      <c r="BX278" s="12" t="n"/>
      <c r="BY278" s="12" t="n"/>
      <c r="BZ278" s="12" t="n"/>
      <c r="CA278" s="12" t="n"/>
      <c r="CB278" s="12" t="n"/>
      <c r="CC278" s="12" t="n"/>
      <c r="CD278" s="12" t="n"/>
      <c r="CE278" s="12" t="n"/>
      <c r="CF278" s="12" t="n"/>
      <c r="CG278" s="12" t="n"/>
      <c r="CH278" s="12" t="n"/>
      <c r="CI278" s="12" t="n"/>
      <c r="CJ278" s="12" t="n"/>
      <c r="CK278" s="12" t="n"/>
      <c r="CL278" s="12" t="n"/>
      <c r="CM278" s="12" t="n"/>
      <c r="CN278" s="12" t="n"/>
      <c r="CO278" s="12" t="n"/>
      <c r="CP278" s="12" t="n"/>
      <c r="CQ278" s="12" t="n"/>
      <c r="CR278" s="12" t="n"/>
      <c r="CS278" s="12" t="n"/>
      <c r="CT278" s="12" t="n"/>
      <c r="CU278" s="12" t="n"/>
      <c r="CV278" s="12" t="n"/>
      <c r="CW278" s="12" t="n"/>
      <c r="CX278" s="12" t="n"/>
      <c r="CY278" s="12" t="n"/>
    </row>
    <row r="279" customFormat="1" s="32">
      <c r="A279" s="30" t="n"/>
      <c r="B279" s="3" t="n"/>
      <c r="C279" s="33" t="inlineStr">
        <is>
          <t>Total Liabilities + Shareholders' Equity</t>
        </is>
      </c>
      <c r="D279" s="35" t="n"/>
      <c r="E279" s="35" t="n"/>
      <c r="F279" s="35" t="n"/>
      <c r="G279" s="35" t="n"/>
      <c r="H279" s="35" t="n"/>
      <c r="I279" s="35">
        <f>I277+I253</f>
        <v>31959.715105639</v>
      </c>
      <c r="J279" s="35">
        <f>J277+J253</f>
        <v>33773.127407122</v>
      </c>
      <c r="K279" s="35">
        <f>K277+K253</f>
        <v>41082.055</v>
      </c>
      <c r="L279" s="35">
        <f>L277+L253</f>
        <v>47968.194</v>
      </c>
      <c r="M279" s="35">
        <f>M277+M253</f>
        <v>47968.194</v>
      </c>
      <c r="N279" s="35">
        <f>N277+N253</f>
        <v>47543.699</v>
      </c>
      <c r="O279" s="35">
        <f>O277+O253</f>
        <v>52956.699</v>
      </c>
      <c r="P279" s="35">
        <f>P277+P253</f>
        <v>59006.238</v>
      </c>
      <c r="Q279" s="35">
        <f>Q277+Q253</f>
        <v>61659.514</v>
      </c>
      <c r="R279" s="35">
        <f>R277+R253</f>
        <v>61659.514</v>
      </c>
      <c r="S279" s="35">
        <f>S277+S253</f>
        <v>59367.298677982</v>
      </c>
      <c r="T279" s="35">
        <f>T277+T253</f>
        <v>60059.524083816</v>
      </c>
      <c r="U279" s="35">
        <f>U277+U253</f>
        <v>62697.614245182</v>
      </c>
      <c r="V279" s="35">
        <f>V277+V253</f>
        <v>70140.840349607</v>
      </c>
      <c r="W279" s="35">
        <f>W277+W253</f>
        <v>70140.840349607</v>
      </c>
      <c r="X279" s="35">
        <f>X277+X253</f>
        <v>74190.124728858</v>
      </c>
      <c r="Y279" s="35">
        <f>Y277+Y253</f>
        <v>76293.223835271</v>
      </c>
      <c r="Z279" s="35">
        <f>Z277+Z253</f>
        <v>80107.518931074</v>
      </c>
      <c r="AA279" s="35">
        <f>AA277+AA253</f>
        <v>83152.8812562</v>
      </c>
      <c r="AB279" s="35">
        <f>AB277+AB253</f>
        <v>83152.8812562</v>
      </c>
      <c r="AC279" s="35">
        <f>AC277+AC253</f>
        <v>81029.28160276</v>
      </c>
      <c r="AD279" s="35">
        <f>AD277+AD253</f>
        <v>81414.25278917</v>
      </c>
      <c r="AE279" s="35">
        <f>AE277+AE253</f>
        <v>81263.30143244</v>
      </c>
      <c r="AF279" s="35">
        <f>AF277+AF253</f>
        <v>86702.21367316</v>
      </c>
      <c r="AG279" s="35">
        <f>AG277+AG253</f>
        <v>86702.21367316</v>
      </c>
      <c r="AH279" s="35">
        <f>AH277+AH253</f>
        <v>87178.62377121</v>
      </c>
      <c r="AI279" s="35">
        <f>AI277+AI253</f>
        <v>91594.77638692</v>
      </c>
      <c r="AJ279" s="35">
        <f>AJ277+AJ253</f>
        <v>92406.1186784428</v>
      </c>
      <c r="AK279" s="35">
        <f>AK277+AK253</f>
        <v>93822.9276996967</v>
      </c>
      <c r="AL279" s="35">
        <f>AL277+AL253</f>
        <v>93822.9276996967</v>
      </c>
      <c r="AM279" s="35">
        <f>AM277+AM253</f>
        <v>95245.5415744632</v>
      </c>
      <c r="AN279" s="35">
        <f>AN277+AN253</f>
        <v>96827.2686904588</v>
      </c>
      <c r="AO279" s="35">
        <f>AO277+AO253</f>
        <v>98625.8479898759</v>
      </c>
      <c r="AP279" s="35">
        <f>AP277+AP253</f>
        <v>100154.423780333</v>
      </c>
      <c r="AQ279" s="35">
        <f>AQ277+AQ253</f>
        <v>100154.423780333</v>
      </c>
      <c r="AR279" s="35">
        <f>AR277+AR253</f>
        <v>101537.218513867</v>
      </c>
      <c r="AS279" s="35">
        <f>AS277+AS253</f>
        <v>103315.580684303</v>
      </c>
      <c r="AT279" s="35">
        <f>AT277+AT253</f>
        <v>105229.452109138</v>
      </c>
      <c r="AU279" s="35">
        <f>AU277+AU253</f>
        <v>106858.1574304</v>
      </c>
      <c r="AV279" s="35">
        <f>AV277+AV253</f>
        <v>106858.1574304</v>
      </c>
      <c r="AW279" s="35">
        <f>AW277+AW253</f>
        <v>108380.005433495</v>
      </c>
      <c r="AX279" s="35">
        <f>AX277+AX253</f>
        <v>110163.332590447</v>
      </c>
      <c r="AY279" s="35">
        <f>AY277+AY253</f>
        <v>112187.335595916</v>
      </c>
      <c r="AZ279" s="35">
        <f>AZ277+AZ253</f>
        <v>113911.292497173</v>
      </c>
      <c r="BA279" s="35">
        <f>BA277+BA253</f>
        <v>113911.292497173</v>
      </c>
      <c r="BB279" s="35">
        <f>BB277+BB253</f>
        <v>115468.012867933</v>
      </c>
      <c r="BC279" s="35">
        <f>BC277+BC253</f>
        <v>117342.881561463</v>
      </c>
      <c r="BD279" s="35">
        <f>BD277+BD253</f>
        <v>119469.052613487</v>
      </c>
      <c r="BE279" s="35">
        <f>BE277+BE253</f>
        <v>121280.710146931</v>
      </c>
      <c r="BF279" s="35">
        <f>BF277+BF253</f>
        <v>121280.710146931</v>
      </c>
      <c r="BG279" s="35" t="n"/>
      <c r="BH279" s="35" t="n"/>
      <c r="BI279" s="35" t="n"/>
      <c r="BJ279" s="35" t="n"/>
      <c r="BK279" s="35" t="n"/>
      <c r="BL279" s="35" t="n"/>
      <c r="BM279" s="35" t="n"/>
      <c r="BN279" s="35" t="n"/>
      <c r="BO279" s="35" t="n"/>
      <c r="BP279" s="35" t="n"/>
      <c r="BQ279" s="35" t="n"/>
      <c r="BR279" s="35" t="n"/>
      <c r="BS279" s="35" t="n"/>
      <c r="BT279" s="35" t="n"/>
      <c r="BU279" s="35" t="n"/>
      <c r="BV279" s="35" t="n"/>
      <c r="BW279" s="35" t="n"/>
      <c r="BX279" s="35" t="n"/>
      <c r="BY279" s="35" t="n"/>
      <c r="BZ279" s="35" t="n"/>
      <c r="CA279" s="35" t="n"/>
      <c r="CB279" s="35" t="n"/>
      <c r="CC279" s="35" t="n"/>
      <c r="CD279" s="35" t="n"/>
      <c r="CE279" s="35" t="n"/>
      <c r="CF279" s="35" t="n"/>
      <c r="CG279" s="35" t="n"/>
      <c r="CH279" s="35" t="n"/>
      <c r="CI279" s="35" t="n"/>
      <c r="CJ279" s="35" t="n"/>
      <c r="CK279" s="35" t="n"/>
      <c r="CL279" s="35" t="n"/>
      <c r="CM279" s="35" t="n"/>
      <c r="CN279" s="35" t="n"/>
      <c r="CO279" s="35" t="n"/>
      <c r="CP279" s="35" t="n"/>
      <c r="CQ279" s="35" t="n"/>
      <c r="CR279" s="35" t="n"/>
      <c r="CS279" s="35" t="n"/>
      <c r="CT279" s="35" t="n"/>
      <c r="CU279" s="35" t="n"/>
      <c r="CV279" s="35" t="n"/>
      <c r="CW279" s="35" t="n"/>
      <c r="CX279" s="35" t="n"/>
      <c r="CY279" s="35" t="n"/>
    </row>
    <row r="280">
      <c r="C280" s="18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  <c r="AB280" s="3" t="n"/>
      <c r="AC280" s="3" t="n"/>
      <c r="AD280" s="3" t="n"/>
      <c r="AE280" s="3" t="n"/>
      <c r="AF280" s="3" t="n"/>
      <c r="AG280" s="3" t="n"/>
      <c r="AH280" s="3" t="n"/>
      <c r="AI280" s="3" t="n"/>
      <c r="AJ280" s="3" t="n"/>
      <c r="AK280" s="3" t="n"/>
      <c r="AL280" s="3" t="n"/>
      <c r="AM280" s="3" t="n"/>
      <c r="AN280" s="3" t="n"/>
      <c r="AO280" s="3" t="n"/>
      <c r="AP280" s="3" t="n"/>
      <c r="AQ280" s="3" t="n"/>
      <c r="AR280" s="3" t="n"/>
      <c r="AS280" s="3" t="n"/>
      <c r="AT280" s="3" t="n"/>
      <c r="AU280" s="3" t="n"/>
      <c r="AV280" s="3" t="n"/>
      <c r="AW280" s="3" t="n"/>
      <c r="AX280" s="3" t="n"/>
      <c r="AY280" s="3" t="n"/>
      <c r="AZ280" s="3" t="n"/>
      <c r="BA280" s="3" t="n"/>
      <c r="BB280" s="3" t="n"/>
      <c r="BC280" s="3" t="n"/>
      <c r="BD280" s="3" t="n"/>
      <c r="BE280" s="3" t="n"/>
      <c r="BF280" s="3" t="n"/>
      <c r="BG280" s="3" t="n"/>
      <c r="BH280" s="3" t="n"/>
      <c r="BI280" s="3" t="n"/>
      <c r="BJ280" s="3" t="n"/>
      <c r="BK280" s="3" t="n"/>
      <c r="BL280" s="3" t="n"/>
      <c r="BM280" s="3" t="n"/>
      <c r="BN280" s="3" t="n"/>
      <c r="BO280" s="3" t="n"/>
      <c r="BP280" s="3" t="n"/>
      <c r="BQ280" s="3" t="n"/>
      <c r="BR280" s="3" t="n"/>
      <c r="BS280" s="3" t="n"/>
      <c r="BT280" s="3" t="n"/>
      <c r="BU280" s="3" t="n"/>
      <c r="BV280" s="3" t="n"/>
      <c r="BW280" s="3" t="n"/>
      <c r="BX280" s="3" t="n"/>
      <c r="BY280" s="3" t="n"/>
      <c r="BZ280" s="3" t="n"/>
      <c r="CA280" s="3" t="n"/>
      <c r="CB280" s="3" t="n"/>
      <c r="CC280" s="3" t="n"/>
      <c r="CD280" s="3" t="n"/>
      <c r="CE280" s="3" t="n"/>
      <c r="CF280" s="3" t="n"/>
      <c r="CG280" s="3" t="n"/>
      <c r="CH280" s="3" t="n"/>
      <c r="CI280" s="3" t="n"/>
      <c r="CJ280" s="3" t="n"/>
      <c r="CK280" s="3" t="n"/>
      <c r="CL280" s="3" t="n"/>
      <c r="CM280" s="3" t="n"/>
      <c r="CN280" s="3" t="n"/>
      <c r="CO280" s="3" t="n"/>
      <c r="CP280" s="3" t="n"/>
      <c r="CQ280" s="3" t="n"/>
      <c r="CR280" s="3" t="n"/>
      <c r="CS280" s="3" t="n"/>
      <c r="CT280" s="3" t="n"/>
      <c r="CU280" s="3" t="n"/>
      <c r="CV280" s="3" t="n"/>
      <c r="CW280" s="3" t="n"/>
      <c r="CX280" s="3" t="n"/>
      <c r="CY280" s="3" t="n"/>
    </row>
    <row r="281" customFormat="1" s="32">
      <c r="A281" s="30" t="n"/>
      <c r="B281" s="30" t="n"/>
      <c r="C281" s="31" t="inlineStr">
        <is>
          <t>Cash Flow Statement</t>
        </is>
      </c>
      <c r="D281" s="70" t="n"/>
      <c r="E281" s="70" t="n"/>
      <c r="F281" s="70" t="n"/>
      <c r="G281" s="70" t="n"/>
      <c r="H281" s="70" t="n"/>
      <c r="I281" s="70" t="str">
        <f>I148</f>
        <v>1Q21</v>
      </c>
      <c r="J281" s="70" t="str">
        <f>J148</f>
        <v>2Q21</v>
      </c>
      <c r="K281" s="70" t="str">
        <f>K148</f>
        <v>3Q21</v>
      </c>
      <c r="L281" s="70" t="str">
        <f>L148</f>
        <v>4Q21</v>
      </c>
      <c r="M281" s="70">
        <f>M148</f>
        <v>2021</v>
      </c>
      <c r="N281" s="70" t="str">
        <f>N148</f>
        <v>1Q22</v>
      </c>
      <c r="O281" s="70" t="str">
        <f>O148</f>
        <v>2Q22</v>
      </c>
      <c r="P281" s="70" t="str">
        <f>P148</f>
        <v>3Q22</v>
      </c>
      <c r="Q281" s="70" t="str">
        <f>Q148</f>
        <v>4Q22</v>
      </c>
      <c r="R281" s="70">
        <f>R148</f>
        <v>2022</v>
      </c>
      <c r="S281" s="70" t="str">
        <f>S148</f>
        <v>1Q23</v>
      </c>
      <c r="T281" s="70" t="str">
        <f>T148</f>
        <v>2Q23</v>
      </c>
      <c r="U281" s="70" t="str">
        <f>U148</f>
        <v>3Q23</v>
      </c>
      <c r="V281" s="70" t="str">
        <f>V148</f>
        <v>4Q23</v>
      </c>
      <c r="W281" s="70">
        <f>W148</f>
        <v>2023</v>
      </c>
      <c r="X281" s="70" t="str">
        <f>X148</f>
        <v>1Q24</v>
      </c>
      <c r="Y281" s="70" t="str">
        <f>Y148</f>
        <v>2Q24</v>
      </c>
      <c r="Z281" s="70" t="str">
        <f>Z148</f>
        <v>3Q24</v>
      </c>
      <c r="AA281" s="70" t="str">
        <f>AA148</f>
        <v>4Q24</v>
      </c>
      <c r="AB281" s="70">
        <f>AB148</f>
        <v>2024</v>
      </c>
      <c r="AC281" s="70" t="str">
        <f>AC148</f>
        <v>1Q25</v>
      </c>
      <c r="AD281" s="70" t="str">
        <f>AD148</f>
        <v>2Q25</v>
      </c>
      <c r="AE281" s="70" t="str">
        <f>AE148</f>
        <v>3Q25</v>
      </c>
      <c r="AF281" s="70" t="str">
        <f>AF148</f>
        <v>4Q25</v>
      </c>
      <c r="AG281" s="70">
        <f>AG148</f>
        <v>2025</v>
      </c>
      <c r="AH281" s="70" t="str">
        <f>AH148</f>
        <v>1Q26</v>
      </c>
      <c r="AI281" s="70" t="str">
        <f>AI148</f>
        <v>2Q26</v>
      </c>
      <c r="AJ281" s="70" t="str">
        <f>AJ148</f>
        <v>3Q26</v>
      </c>
      <c r="AK281" s="70" t="str">
        <f>AK148</f>
        <v>4Q26</v>
      </c>
      <c r="AL281" s="70">
        <f>AL148</f>
        <v>2026</v>
      </c>
      <c r="AM281" s="70" t="str">
        <f>AM148</f>
        <v>1Q27</v>
      </c>
      <c r="AN281" s="70" t="str">
        <f>AN148</f>
        <v>2Q27</v>
      </c>
      <c r="AO281" s="70" t="str">
        <f>AO148</f>
        <v>3Q27</v>
      </c>
      <c r="AP281" s="70" t="str">
        <f>AP148</f>
        <v>4Q27</v>
      </c>
      <c r="AQ281" s="70">
        <f>AQ148</f>
        <v>2027</v>
      </c>
      <c r="AR281" s="70" t="str">
        <f>AR148</f>
        <v>1Q28</v>
      </c>
      <c r="AS281" s="70" t="str">
        <f>AS148</f>
        <v>2Q28</v>
      </c>
      <c r="AT281" s="70" t="str">
        <f>AT148</f>
        <v>3Q28</v>
      </c>
      <c r="AU281" s="70" t="str">
        <f>AU148</f>
        <v>4Q28</v>
      </c>
      <c r="AV281" s="70">
        <f>AV148</f>
        <v>2028</v>
      </c>
      <c r="AW281" s="70" t="str">
        <f>AW148</f>
        <v>1Q29</v>
      </c>
      <c r="AX281" s="70" t="str">
        <f>AX148</f>
        <v>2Q29</v>
      </c>
      <c r="AY281" s="70" t="str">
        <f>AY148</f>
        <v>3Q29</v>
      </c>
      <c r="AZ281" s="70" t="str">
        <f>AZ148</f>
        <v>4Q29</v>
      </c>
      <c r="BA281" s="70">
        <f>BA148</f>
        <v>2029</v>
      </c>
      <c r="BB281" s="70" t="str">
        <f>BB148</f>
        <v>1Q30</v>
      </c>
      <c r="BC281" s="70" t="str">
        <f>BC148</f>
        <v>2Q30</v>
      </c>
      <c r="BD281" s="70" t="str">
        <f>BD148</f>
        <v>3Q30</v>
      </c>
      <c r="BE281" s="70" t="str">
        <f>BE148</f>
        <v>4Q30</v>
      </c>
      <c r="BF281" s="70">
        <f>BF148</f>
        <v>2030</v>
      </c>
      <c r="BG281" s="70" t="n"/>
      <c r="BH281" s="70" t="n"/>
      <c r="BI281" s="70" t="n"/>
      <c r="BJ281" s="70" t="n"/>
      <c r="BK281" s="70" t="n"/>
      <c r="BL281" s="70" t="n"/>
      <c r="BM281" s="70" t="n"/>
      <c r="BN281" s="70" t="n"/>
      <c r="BO281" s="70" t="n"/>
      <c r="BP281" s="70" t="n"/>
      <c r="BQ281" s="70" t="n"/>
      <c r="BR281" s="70" t="n"/>
      <c r="BS281" s="70" t="n"/>
      <c r="BT281" s="70" t="n"/>
      <c r="BU281" s="70" t="n"/>
      <c r="BV281" s="70" t="n"/>
      <c r="BW281" s="70" t="n"/>
      <c r="BX281" s="70" t="n"/>
      <c r="BY281" s="70" t="n"/>
      <c r="BZ281" s="70" t="n"/>
      <c r="CA281" s="70" t="n"/>
      <c r="CB281" s="70" t="n"/>
      <c r="CC281" s="70" t="n"/>
      <c r="CD281" s="70" t="n"/>
      <c r="CE281" s="70" t="n"/>
      <c r="CF281" s="70" t="n"/>
      <c r="CG281" s="70" t="n"/>
      <c r="CH281" s="70" t="n"/>
      <c r="CI281" s="70" t="n"/>
      <c r="CJ281" s="70" t="n"/>
      <c r="CK281" s="70" t="n"/>
      <c r="CL281" s="70" t="n"/>
      <c r="CM281" s="70" t="n"/>
      <c r="CN281" s="70" t="n"/>
      <c r="CO281" s="70" t="n"/>
      <c r="CP281" s="70" t="n"/>
      <c r="CQ281" s="70" t="n"/>
      <c r="CR281" s="70" t="n"/>
      <c r="CS281" s="70" t="n"/>
      <c r="CT281" s="70" t="n"/>
      <c r="CU281" s="70" t="n"/>
      <c r="CV281" s="70" t="n"/>
      <c r="CW281" s="70" t="n"/>
      <c r="CX281" s="70" t="n"/>
      <c r="CY281" s="70" t="n"/>
    </row>
    <row r="282">
      <c r="C282" s="18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  <c r="AC282" s="3" t="n"/>
      <c r="AD282" s="3" t="n"/>
      <c r="AE282" s="3" t="n"/>
      <c r="AF282" s="3" t="n"/>
      <c r="AG282" s="3" t="n"/>
      <c r="AH282" s="3" t="n"/>
      <c r="AI282" s="3" t="n"/>
      <c r="AJ282" s="3" t="n"/>
      <c r="AK282" s="3" t="n"/>
      <c r="AL282" s="3" t="n"/>
      <c r="AM282" s="3" t="n"/>
      <c r="AN282" s="3" t="n"/>
      <c r="AO282" s="3" t="n"/>
      <c r="AP282" s="3" t="n"/>
      <c r="AQ282" s="3" t="n"/>
      <c r="AR282" s="3" t="n"/>
      <c r="AS282" s="3" t="n"/>
      <c r="AT282" s="3" t="n"/>
      <c r="AU282" s="3" t="n"/>
      <c r="AV282" s="3" t="n"/>
      <c r="AW282" s="3" t="n"/>
      <c r="AX282" s="3" t="n"/>
      <c r="AY282" s="3" t="n"/>
      <c r="AZ282" s="3" t="n"/>
      <c r="BA282" s="3" t="n"/>
      <c r="BB282" s="3" t="n"/>
      <c r="BC282" s="3" t="n"/>
      <c r="BD282" s="3" t="n"/>
      <c r="BE282" s="3" t="n"/>
      <c r="BF282" s="3" t="n"/>
      <c r="BG282" s="3" t="n"/>
      <c r="BH282" s="3" t="n"/>
      <c r="BI282" s="3" t="n"/>
      <c r="BJ282" s="3" t="n"/>
      <c r="BK282" s="3" t="n"/>
      <c r="BL282" s="3" t="n"/>
      <c r="BM282" s="3" t="n"/>
      <c r="BN282" s="3" t="n"/>
      <c r="BO282" s="3" t="n"/>
      <c r="BP282" s="3" t="n"/>
      <c r="BQ282" s="3" t="n"/>
      <c r="BR282" s="3" t="n"/>
      <c r="BS282" s="3" t="n"/>
      <c r="BT282" s="3" t="n"/>
      <c r="BU282" s="3" t="n"/>
      <c r="BV282" s="3" t="n"/>
      <c r="BW282" s="3" t="n"/>
      <c r="BX282" s="3" t="n"/>
      <c r="BY282" s="3" t="n"/>
      <c r="BZ282" s="3" t="n"/>
      <c r="CA282" s="3" t="n"/>
      <c r="CB282" s="3" t="n"/>
      <c r="CC282" s="3" t="n"/>
      <c r="CD282" s="3" t="n"/>
      <c r="CE282" s="3" t="n"/>
      <c r="CF282" s="3" t="n"/>
      <c r="CG282" s="3" t="n"/>
      <c r="CH282" s="3" t="n"/>
      <c r="CI282" s="3" t="n"/>
      <c r="CJ282" s="3" t="n"/>
      <c r="CK282" s="3" t="n"/>
      <c r="CL282" s="3" t="n"/>
      <c r="CM282" s="3" t="n"/>
      <c r="CN282" s="3" t="n"/>
      <c r="CO282" s="3" t="n"/>
      <c r="CP282" s="3" t="n"/>
      <c r="CQ282" s="3" t="n"/>
      <c r="CR282" s="3" t="n"/>
      <c r="CS282" s="3" t="n"/>
      <c r="CT282" s="3" t="n"/>
      <c r="CU282" s="3" t="n"/>
      <c r="CV282" s="3" t="n"/>
      <c r="CW282" s="3" t="n"/>
      <c r="CX282" s="3" t="n"/>
      <c r="CY282" s="3" t="n"/>
    </row>
    <row r="283">
      <c r="C283" s="10" t="inlineStr">
        <is>
          <t>Net Income</t>
        </is>
      </c>
      <c r="D283" s="12" t="n"/>
      <c r="E283" s="12" t="n"/>
      <c r="F283" s="12" t="n"/>
      <c r="G283" s="12" t="n"/>
      <c r="H283" s="12" t="n"/>
      <c r="I283" s="12" t="n"/>
      <c r="J283" s="12">
        <f>J143</f>
        <v>267.247</v>
      </c>
      <c r="K283" s="12">
        <f>K143</f>
        <v>245.763</v>
      </c>
      <c r="L283" s="12">
        <f>L143</f>
        <v>215.002</v>
      </c>
      <c r="M283" s="12" t="n"/>
      <c r="N283" s="12">
        <f>N143</f>
        <v>191.676</v>
      </c>
      <c r="O283" s="12">
        <f>O143</f>
        <v>101.977</v>
      </c>
      <c r="P283" s="12">
        <f>P143</f>
        <v>18.5010000000006</v>
      </c>
      <c r="Q283" s="12">
        <f>Q143</f>
        <v>169.929</v>
      </c>
      <c r="R283" s="12">
        <f>SUM(N283:Q283)</f>
        <v>482.083</v>
      </c>
      <c r="S283" s="12">
        <f>S143</f>
        <v>6.18899999899914</v>
      </c>
      <c r="T283" s="12">
        <f>T143</f>
        <v>12.3290000000007</v>
      </c>
      <c r="U283" s="12">
        <f>U143</f>
        <v>-136.514999999999</v>
      </c>
      <c r="V283" s="12">
        <f>V143</f>
        <v>-377.223999999999</v>
      </c>
      <c r="W283" s="12">
        <f>SUM(S283:V283)</f>
        <v>-495.221000000998</v>
      </c>
      <c r="X283" s="12">
        <f>X143</f>
        <v>-13.0552307800009</v>
      </c>
      <c r="Y283" s="12">
        <f>Y143</f>
        <v>49.2998345300013</v>
      </c>
      <c r="Z283" s="12">
        <f>Z143</f>
        <v>10.8422499399992</v>
      </c>
      <c r="AA283" s="12">
        <f>AA143</f>
        <v>-245.242471269999</v>
      </c>
      <c r="AB283" s="12">
        <f>SUM(X283:AA283)</f>
        <v>-198.155617579999</v>
      </c>
      <c r="AC283" s="12">
        <f>AC143</f>
        <v>-50.9530000000011</v>
      </c>
      <c r="AD283" s="12">
        <f>AD143</f>
        <v>-96.2909999999997</v>
      </c>
      <c r="AE283" s="12">
        <f>AE143</f>
        <v>-246.193000000001</v>
      </c>
      <c r="AF283" s="12">
        <f>AF143</f>
        <v>432.908</v>
      </c>
      <c r="AG283" s="12">
        <f>SUM(AC283:AF283)</f>
        <v>39.4709999999977</v>
      </c>
      <c r="AH283" s="12">
        <f>AH143</f>
        <v>-179.597332570001</v>
      </c>
      <c r="AI283" s="12">
        <f>AI143</f>
        <v>-189.469667429999</v>
      </c>
      <c r="AJ283" s="12">
        <f>AJ143</f>
        <v>1280.90332960078</v>
      </c>
      <c r="AK283" s="12">
        <f>AK143</f>
        <v>1283.04474481357</v>
      </c>
      <c r="AL283" s="12">
        <f>SUM(AH283:AK283)</f>
        <v>2194.88107441436</v>
      </c>
      <c r="AM283" s="12">
        <f>AM143</f>
        <v>1260.52193117372</v>
      </c>
      <c r="AN283" s="12">
        <f>AN143</f>
        <v>1297.94926898631</v>
      </c>
      <c r="AO283" s="12">
        <f>AO143</f>
        <v>1359.39248944756</v>
      </c>
      <c r="AP283" s="12">
        <f>AP143</f>
        <v>1361.66512290068</v>
      </c>
      <c r="AQ283" s="12">
        <f>SUM(AM283:AP283)</f>
        <v>5279.52881250827</v>
      </c>
      <c r="AR283" s="12">
        <f>AR143</f>
        <v>1331.45958240241</v>
      </c>
      <c r="AS283" s="12">
        <f>AS143</f>
        <v>1370.99319648875</v>
      </c>
      <c r="AT283" s="12">
        <f>AT143</f>
        <v>1435.89422092442</v>
      </c>
      <c r="AU283" s="12">
        <f>AU143</f>
        <v>1438.29475003351</v>
      </c>
      <c r="AV283" s="12">
        <f>SUM(AR283:AU283)</f>
        <v>5576.64174984908</v>
      </c>
      <c r="AW283" s="12">
        <f>AW143</f>
        <v>1399.73205218878</v>
      </c>
      <c r="AX283" s="12">
        <f>AX143</f>
        <v>1441.29280814929</v>
      </c>
      <c r="AY283" s="12">
        <f>AY143</f>
        <v>1509.52172423743</v>
      </c>
      <c r="AZ283" s="12">
        <f>AZ143</f>
        <v>1512.04534386556</v>
      </c>
      <c r="BA283" s="12">
        <f>SUM(AW283:AZ283)</f>
        <v>5862.59192844106</v>
      </c>
      <c r="BB283" s="12">
        <f>BB143</f>
        <v>1464.5066289867</v>
      </c>
      <c r="BC283" s="12">
        <f>BC143</f>
        <v>1507.99066760301</v>
      </c>
      <c r="BD283" s="12">
        <f>BD143</f>
        <v>1579.37697310586</v>
      </c>
      <c r="BE283" s="12">
        <f>BE143</f>
        <v>1582.01737679502</v>
      </c>
      <c r="BF283" s="12">
        <f>SUM(BB283:BE283)</f>
        <v>6133.89164649059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</row>
    <row r="284">
      <c r="C284" s="10" t="inlineStr">
        <is>
          <t>Depreciation &amp; amortization</t>
        </is>
      </c>
      <c r="D284" s="12" t="n"/>
      <c r="E284" s="12" t="n"/>
      <c r="F284" s="12" t="n"/>
      <c r="G284" s="12" t="n"/>
      <c r="H284" s="12" t="n"/>
      <c r="I284" s="12" t="n"/>
      <c r="J284" s="12">
        <f>-J76</f>
        <v>241.434278302</v>
      </c>
      <c r="K284" s="12">
        <f>-K76</f>
        <v>275.839366387</v>
      </c>
      <c r="L284" s="12">
        <f>-L76</f>
        <v>324.792357953</v>
      </c>
      <c r="M284" s="12" t="n"/>
      <c r="N284" s="12">
        <f>-N76</f>
        <v>377.493</v>
      </c>
      <c r="O284" s="12">
        <f>-O76</f>
        <v>416.207797424</v>
      </c>
      <c r="P284" s="12">
        <f>-P76</f>
        <v>510.065305927</v>
      </c>
      <c r="Q284" s="12">
        <f>-Q76</f>
        <v>582.510896649</v>
      </c>
      <c r="R284" s="12">
        <f>SUM(N284:Q284)</f>
        <v>1886.277</v>
      </c>
      <c r="S284" s="12">
        <f>-S76</f>
        <v>646.759784851</v>
      </c>
      <c r="T284" s="12">
        <f>-T76</f>
        <v>679.385996477</v>
      </c>
      <c r="U284" s="12">
        <f>-U76</f>
        <v>717.0810067</v>
      </c>
      <c r="V284" s="12">
        <f>-V76</f>
        <v>1060.725844473</v>
      </c>
      <c r="W284" s="12">
        <f>SUM(S284:V284)</f>
        <v>3103.952632501</v>
      </c>
      <c r="X284" s="12">
        <f>-X76</f>
        <v>821.97976934</v>
      </c>
      <c r="Y284" s="12">
        <f>-Y76</f>
        <v>897.64322214</v>
      </c>
      <c r="Z284" s="12">
        <f>-Z76</f>
        <v>997.19452895</v>
      </c>
      <c r="AA284" s="12">
        <f>-AA76</f>
        <v>974.30236992</v>
      </c>
      <c r="AB284" s="12">
        <f>SUM(X284:AA284)</f>
        <v>3691.11989035</v>
      </c>
      <c r="AC284" s="12">
        <f>-AC76</f>
        <v>1052.41326183</v>
      </c>
      <c r="AD284" s="12">
        <f>-AD76</f>
        <v>1118.94089968</v>
      </c>
      <c r="AE284" s="12">
        <f>-AE76</f>
        <v>1172.06197375</v>
      </c>
      <c r="AF284" s="12">
        <f>-AF76</f>
        <v>1197.96966855</v>
      </c>
      <c r="AG284" s="12">
        <f>SUM(AC284:AF284)</f>
        <v>4541.38580381</v>
      </c>
      <c r="AH284" s="12">
        <f>-AH76</f>
        <v>1239.92653653</v>
      </c>
      <c r="AI284" s="12">
        <f>-AI76</f>
        <v>1253.5541439</v>
      </c>
      <c r="AJ284" s="12">
        <f>-AJ76</f>
        <v>1274.71175447125</v>
      </c>
      <c r="AK284" s="12">
        <f>-AK76</f>
        <v>1276.84281860378</v>
      </c>
      <c r="AL284" s="12">
        <f>SUM(AH284:AK284)</f>
        <v>5045.03525350503</v>
      </c>
      <c r="AM284" s="12">
        <f>-AM76</f>
        <v>1254.42887476663</v>
      </c>
      <c r="AN284" s="12">
        <f>-AN76</f>
        <v>1291.67529793203</v>
      </c>
      <c r="AO284" s="12">
        <f>-AO76</f>
        <v>1352.82151681097</v>
      </c>
      <c r="AP284" s="12">
        <f>-AP76</f>
        <v>1355.08316490676</v>
      </c>
      <c r="AQ284" s="12">
        <f>SUM(AM284:AP284)</f>
        <v>5254.00885441638</v>
      </c>
      <c r="AR284" s="12">
        <f>-AR76</f>
        <v>1325.02363064409</v>
      </c>
      <c r="AS284" s="12">
        <f>-AS76</f>
        <v>1364.36614885606</v>
      </c>
      <c r="AT284" s="12">
        <f>-AT76</f>
        <v>1428.95345752607</v>
      </c>
      <c r="AU284" s="12">
        <f>-AU76</f>
        <v>1431.34238306135</v>
      </c>
      <c r="AV284" s="12">
        <f>SUM(AR284:AU284)</f>
        <v>5549.68562008757</v>
      </c>
      <c r="AW284" s="12">
        <f>-AW76</f>
        <v>1392.96608791804</v>
      </c>
      <c r="AX284" s="12">
        <f>-AX76</f>
        <v>1434.32594929344</v>
      </c>
      <c r="AY284" s="12">
        <f>-AY76</f>
        <v>1502.22506339716</v>
      </c>
      <c r="AZ284" s="12">
        <f>-AZ76</f>
        <v>1504.73648446185</v>
      </c>
      <c r="BA284" s="12">
        <f>SUM(AW284:AZ284)</f>
        <v>5834.2535850705</v>
      </c>
      <c r="BB284" s="12">
        <f>-BB76</f>
        <v>1457.42756016744</v>
      </c>
      <c r="BC284" s="12">
        <f>-BC76</f>
        <v>1500.7014075181</v>
      </c>
      <c r="BD284" s="12">
        <f>-BD76</f>
        <v>1571.74264898408</v>
      </c>
      <c r="BE284" s="12">
        <f>-BE76</f>
        <v>1574.37028960405</v>
      </c>
      <c r="BF284" s="12">
        <f>SUM(BB284:BE284)</f>
        <v>6104.24190627366</v>
      </c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</row>
    <row r="285">
      <c r="C285" s="10" t="inlineStr">
        <is>
          <t xml:space="preserve">Changes in working capital </t>
        </is>
      </c>
      <c r="D285" s="12" t="n"/>
      <c r="E285" s="12" t="n"/>
      <c r="F285" s="12" t="n"/>
      <c r="G285" s="12" t="n"/>
      <c r="H285" s="12" t="n"/>
      <c r="I285" s="12" t="n"/>
      <c r="J285" s="12">
        <f>SUM(J286:J295)</f>
        <v>516.359753759</v>
      </c>
      <c r="K285" s="12">
        <f>SUM(K286:K295)</f>
        <v>-544.751135592</v>
      </c>
      <c r="L285" s="12">
        <f>SUM(L286:L295)</f>
        <v>1206.039</v>
      </c>
      <c r="M285" s="12" t="n"/>
      <c r="N285" s="12">
        <f>SUM(N286:N295)</f>
        <v>-1008.695</v>
      </c>
      <c r="O285" s="12">
        <f>SUM(O286:O295)</f>
        <v>275.992</v>
      </c>
      <c r="P285" s="12">
        <f>SUM(P286:P295)</f>
        <v>-1340.746</v>
      </c>
      <c r="Q285" s="12">
        <f>SUM(Q286:Q295)</f>
        <v>1829.926</v>
      </c>
      <c r="R285" s="12">
        <f>SUM(N285:Q285)</f>
        <v>-243.523</v>
      </c>
      <c r="S285" s="12">
        <f>SUM(S286:S295)</f>
        <v>-2959.73493356</v>
      </c>
      <c r="T285" s="12">
        <f>SUM(T286:T295)</f>
        <v>-1842.489552735</v>
      </c>
      <c r="U285" s="12">
        <f>SUM(U286:U295)</f>
        <v>-147.234696049001</v>
      </c>
      <c r="V285" s="12">
        <f>SUM(V286:V295)</f>
        <v>3796.935187427</v>
      </c>
      <c r="W285" s="12">
        <f>SUM(S285:V285)</f>
        <v>-1152.523994917</v>
      </c>
      <c r="X285" s="12">
        <f>SUM(X286:X295)</f>
        <v>-199.052523186999</v>
      </c>
      <c r="Y285" s="12">
        <f>SUM(Y286:Y295)</f>
        <v>-1471.161910682</v>
      </c>
      <c r="Z285" s="12">
        <f>SUM(Z286:Z295)</f>
        <v>-591.858266907</v>
      </c>
      <c r="AA285" s="12">
        <f>SUM(AA286:AA295)</f>
        <v>1873.606470533</v>
      </c>
      <c r="AB285" s="12">
        <f>SUM(X285:AA285)</f>
        <v>-388.466230242999</v>
      </c>
      <c r="AC285" s="12">
        <f>SUM(AC286:AC295)</f>
        <v>-2862.42722185</v>
      </c>
      <c r="AD285" s="12">
        <f>SUM(AD286:AD295)</f>
        <v>-865.650772109999</v>
      </c>
      <c r="AE285" s="12">
        <f>SUM(AE286:AE295)</f>
        <v>847.257866099998</v>
      </c>
      <c r="AF285" s="12">
        <f>SUM(AF286:AF295)</f>
        <v>3831.53824424</v>
      </c>
      <c r="AG285" s="12">
        <f>SUM(AC285:AF285)</f>
        <v>950.718116380001</v>
      </c>
      <c r="AH285" s="12">
        <f>SUM(AH286:AH295)</f>
        <v>-289.00395442</v>
      </c>
      <c r="AI285" s="12">
        <f>SUM(AI286:AI295)</f>
        <v>-622.525444270001</v>
      </c>
      <c r="AJ285" s="12">
        <f>SUM(AJ286:AJ295)</f>
        <v>-388.794477505291</v>
      </c>
      <c r="AK285" s="12">
        <f>SUM(AK286:AK295)</f>
        <v>114.864208703149</v>
      </c>
      <c r="AL285" s="12">
        <f>SUM(AH285:AK285)</f>
        <v>-1185.45966749214</v>
      </c>
      <c r="AM285" s="12">
        <f>SUM(AM286:AM295)</f>
        <v>113.648089979214</v>
      </c>
      <c r="AN285" s="12">
        <f>SUM(AN286:AN295)</f>
        <v>74.7884115286636</v>
      </c>
      <c r="AO285" s="12">
        <f>SUM(AO286:AO295)</f>
        <v>22.7771485972351</v>
      </c>
      <c r="AP285" s="12">
        <f>SUM(AP286:AP295)</f>
        <v>146.852471486693</v>
      </c>
      <c r="AQ285" s="12">
        <f>SUM(AM285:AP285)</f>
        <v>358.066121591806</v>
      </c>
      <c r="AR285" s="12">
        <f>SUM(AR286:AR295)</f>
        <v>188.791845814701</v>
      </c>
      <c r="AS285" s="12">
        <f>SUM(AS286:AS295)</f>
        <v>54.6121444531549</v>
      </c>
      <c r="AT285" s="12">
        <f>SUM(AT286:AT295)</f>
        <v>38.1335009753357</v>
      </c>
      <c r="AU285" s="12">
        <f>SUM(AU286:AU295)</f>
        <v>169.223571856629</v>
      </c>
      <c r="AV285" s="12">
        <f>SUM(AR285:AU285)</f>
        <v>450.761063099821</v>
      </c>
      <c r="AW285" s="12">
        <f>SUM(AW286:AW295)</f>
        <v>187.935989756152</v>
      </c>
      <c r="AX285" s="12">
        <f>SUM(AX286:AX295)</f>
        <v>109.964438571599</v>
      </c>
      <c r="AY285" s="12">
        <f>SUM(AY286:AY295)</f>
        <v>52.0839714752076</v>
      </c>
      <c r="AZ285" s="12">
        <f>SUM(AZ286:AZ295)</f>
        <v>189.638164716764</v>
      </c>
      <c r="BA285" s="12">
        <f>SUM(AW285:AZ285)</f>
        <v>539.622564519723</v>
      </c>
      <c r="BB285" s="12">
        <f>SUM(BB286:BB295)</f>
        <v>224.55143182134</v>
      </c>
      <c r="BC285" s="12">
        <f>SUM(BC286:BC295)</f>
        <v>124.068752974827</v>
      </c>
      <c r="BD285" s="12">
        <f>SUM(BD286:BD295)</f>
        <v>62.9986808587164</v>
      </c>
      <c r="BE285" s="12">
        <f>SUM(BE286:BE295)</f>
        <v>206.336031283547</v>
      </c>
      <c r="BF285" s="12">
        <f>SUM(BB285:BE285)</f>
        <v>617.954896938431</v>
      </c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</row>
    <row r="286" hidden="1" outlineLevel="1">
      <c r="C286" s="10" t="inlineStr">
        <is>
          <t>Accounts receivable</t>
        </is>
      </c>
      <c r="D286" s="12" t="n"/>
      <c r="E286" s="12" t="n"/>
      <c r="F286" s="12" t="n"/>
      <c r="G286" s="12" t="n"/>
      <c r="H286" s="12" t="n"/>
      <c r="I286" s="12" t="n"/>
      <c r="J286" s="12">
        <f>(J151-I151)*-1</f>
        <v>-279.497348021</v>
      </c>
      <c r="K286" s="12">
        <f>(K151-J151)*-1</f>
        <v>-348.237</v>
      </c>
      <c r="L286" s="12">
        <f>(L151-K151)*-1</f>
        <v>-481.202</v>
      </c>
      <c r="M286" s="12" t="n"/>
      <c r="N286" s="12">
        <f>(N151-M151)*-1</f>
        <v>-442.659</v>
      </c>
      <c r="O286" s="12">
        <f>(O151-N151)*-1</f>
        <v>-273.918</v>
      </c>
      <c r="P286" s="12">
        <f>(P151-O151)*-1</f>
        <v>-246.942</v>
      </c>
      <c r="Q286" s="12">
        <f>(Q151-P151)*-1</f>
        <v>-209.497</v>
      </c>
      <c r="R286" s="12">
        <f>SUM(N286:Q286)</f>
        <v>-1173.016</v>
      </c>
      <c r="S286" s="12">
        <f>(S151-R151)*-1</f>
        <v>-361.257078924999</v>
      </c>
      <c r="T286" s="12">
        <f>(T151-S151)*-1</f>
        <v>-427.366223933</v>
      </c>
      <c r="U286" s="12">
        <f>(U151-T151)*-1</f>
        <v>-486.672464213001</v>
      </c>
      <c r="V286" s="12">
        <f>(V151-U151)*-1</f>
        <v>601.96059961</v>
      </c>
      <c r="W286" s="12">
        <f>SUM(S286:V286)</f>
        <v>-673.335167461</v>
      </c>
      <c r="X286" s="12">
        <f>(X151-W151)*-1</f>
        <v>-312.032569309</v>
      </c>
      <c r="Y286" s="12">
        <f>(Y151-X151)*-1</f>
        <v>-383.268428109</v>
      </c>
      <c r="Z286" s="12">
        <f>(Z151-Y151)*-1</f>
        <v>-542.803616761</v>
      </c>
      <c r="AA286" s="12">
        <f>(AA151-Z151)*-1</f>
        <v>293.34375773</v>
      </c>
      <c r="AB286" s="12">
        <f>SUM(X286:AA286)</f>
        <v>-944.760856448999</v>
      </c>
      <c r="AC286" s="12">
        <f>(AC151-AB151)*-1</f>
        <v>-765.919052650001</v>
      </c>
      <c r="AD286" s="12">
        <f>(AD151-AC151)*-1</f>
        <v>-676.342078469999</v>
      </c>
      <c r="AE286" s="12">
        <f>(AE151-AD151)*-1</f>
        <v>-277.37889445</v>
      </c>
      <c r="AF286" s="12">
        <f>(AF151-AE151)*-1</f>
        <v>156.2833587</v>
      </c>
      <c r="AG286" s="12">
        <f>SUM(AC286:AF286)</f>
        <v>-1563.35666687</v>
      </c>
      <c r="AH286" s="12">
        <f>(AH151-AG151)*-1</f>
        <v>-144.81760987</v>
      </c>
      <c r="AI286" s="12">
        <f>(AI151-AH151)*-1</f>
        <v>-956.125953320002</v>
      </c>
      <c r="AJ286" s="12">
        <f>(AJ151-AI151)*-1</f>
        <v>441.616424571059</v>
      </c>
      <c r="AK286" s="12">
        <f>(AK151-AJ151)*-1</f>
        <v>-13.8326885196784</v>
      </c>
      <c r="AL286" s="12">
        <f>SUM(AH286:AK286)</f>
        <v>-673.159827138621</v>
      </c>
      <c r="AM286" s="12">
        <f>(AM151-AL151)*-1</f>
        <v>-35.4553616976173</v>
      </c>
      <c r="AN286" s="12">
        <f>(AN151-AM151)*-1</f>
        <v>-152.956370586318</v>
      </c>
      <c r="AO286" s="12">
        <f>(AO151-AN151)*-1</f>
        <v>-304.764259179528</v>
      </c>
      <c r="AP286" s="12">
        <f>(AP151-AO151)*-1</f>
        <v>-14.6803060371294</v>
      </c>
      <c r="AQ286" s="12">
        <f>SUM(AM286:AP286)</f>
        <v>-507.856297500593</v>
      </c>
      <c r="AR286" s="12">
        <f>(AR151-AQ151)*-1</f>
        <v>100.602583490592</v>
      </c>
      <c r="AS286" s="12">
        <f>(AS151-AR151)*-1</f>
        <v>-258.177664410978</v>
      </c>
      <c r="AT286" s="12">
        <f>(AT151-AS151)*-1</f>
        <v>-321.915298118232</v>
      </c>
      <c r="AU286" s="12">
        <f>(AU151-AT151)*-1</f>
        <v>-15.5064609844067</v>
      </c>
      <c r="AV286" s="12">
        <f>SUM(AR286:AU286)</f>
        <v>-494.996840023025</v>
      </c>
      <c r="AW286" s="12">
        <f>(AW151-AV151)*-1</f>
        <v>48.1727424695619</v>
      </c>
      <c r="AX286" s="12">
        <f>(AX151-AW151)*-1</f>
        <v>-169.848639044923</v>
      </c>
      <c r="AY286" s="12">
        <f>(AY151-AX151)*-1</f>
        <v>-338.421959495732</v>
      </c>
      <c r="AZ286" s="12">
        <f>(AZ151-AY151)*-1</f>
        <v>-16.3015766627541</v>
      </c>
      <c r="BA286" s="12">
        <f>SUM(AW286:AZ286)</f>
        <v>-476.399432733848</v>
      </c>
      <c r="BB286" s="12">
        <f>(BB151-BA151)*-1</f>
        <v>96.856057412806</v>
      </c>
      <c r="BC286" s="12">
        <f>(BC151-BB151)*-1</f>
        <v>-177.708624601897</v>
      </c>
      <c r="BD286" s="12">
        <f>(BD151-BC151)*-1</f>
        <v>-354.0829134413</v>
      </c>
      <c r="BE286" s="12">
        <f>(BE151-BD151)*-1</f>
        <v>-17.0559551367005</v>
      </c>
      <c r="BF286" s="12">
        <f>SUM(BB286:BE286)</f>
        <v>-451.991435767091</v>
      </c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 hidden="1" outlineLevel="1">
      <c r="C287" s="10" t="inlineStr">
        <is>
          <t>Inventories</t>
        </is>
      </c>
      <c r="D287" s="12" t="n"/>
      <c r="E287" s="12" t="n"/>
      <c r="F287" s="12" t="n"/>
      <c r="G287" s="12" t="n"/>
      <c r="H287" s="12" t="n"/>
      <c r="I287" s="12" t="n"/>
      <c r="J287" s="12">
        <f>(J155-I155)*-1</f>
        <v>-123.21243268</v>
      </c>
      <c r="K287" s="12">
        <f>(K155-J155)*-1</f>
        <v>0.394999999999982</v>
      </c>
      <c r="L287" s="12">
        <f>(L155-K155)*-1</f>
        <v>-147.77</v>
      </c>
      <c r="M287" s="12" t="n"/>
      <c r="N287" s="12">
        <f>(N155-M155)*-1</f>
        <v>-70.675</v>
      </c>
      <c r="O287" s="12">
        <f>(O155-N155)*-1</f>
        <v>-178.539</v>
      </c>
      <c r="P287" s="12">
        <f>(P155-O155)*-1</f>
        <v>-391.667</v>
      </c>
      <c r="Q287" s="12">
        <f>(Q155-P155)*-1</f>
        <v>-527.489</v>
      </c>
      <c r="R287" s="12">
        <f>SUM(N287:Q287)</f>
        <v>-1168.37</v>
      </c>
      <c r="S287" s="12">
        <f>(S155-R155)*-1</f>
        <v>-79.746246812</v>
      </c>
      <c r="T287" s="12">
        <f>(T155-S155)*-1</f>
        <v>-236.362486186</v>
      </c>
      <c r="U287" s="12">
        <f>(U155-T155)*-1</f>
        <v>-539.153797294</v>
      </c>
      <c r="V287" s="12">
        <f>(V155-U155)*-1</f>
        <v>-340.926849908</v>
      </c>
      <c r="W287" s="12">
        <f>SUM(S287:V287)</f>
        <v>-1196.1893802</v>
      </c>
      <c r="X287" s="12">
        <f>(X155-W155)*-1</f>
        <v>14.4545343260002</v>
      </c>
      <c r="Y287" s="12">
        <f>(Y155-X155)*-1</f>
        <v>-97.7324222130001</v>
      </c>
      <c r="Z287" s="12">
        <f>(Z155-Y155)*-1</f>
        <v>-231.054835716</v>
      </c>
      <c r="AA287" s="12">
        <f>(AA155-Z155)*-1</f>
        <v>24.4212562329999</v>
      </c>
      <c r="AB287" s="12">
        <f>SUM(X287:AA287)</f>
        <v>-289.91146737</v>
      </c>
      <c r="AC287" s="12">
        <f>(AC155-AB155)*-1</f>
        <v>162.71737925</v>
      </c>
      <c r="AD287" s="12">
        <f>(AD155-AC155)*-1</f>
        <v>8.3213693900002</v>
      </c>
      <c r="AE287" s="12">
        <f>(AE155-AD155)*-1</f>
        <v>194.67854039</v>
      </c>
      <c r="AF287" s="12">
        <f>(AF155-AE155)*-1</f>
        <v>-12.9027758700004</v>
      </c>
      <c r="AG287" s="12">
        <f>SUM(AC287:AF287)</f>
        <v>352.81451316</v>
      </c>
      <c r="AH287" s="12">
        <f>(AH155-AG155)*-1</f>
        <v>303.161646810001</v>
      </c>
      <c r="AI287" s="12">
        <f>(AI155-AH155)*-1</f>
        <v>-145.79576345</v>
      </c>
      <c r="AJ287" s="12">
        <f>(AJ155-AI155)*-1</f>
        <v>-360.849863998394</v>
      </c>
      <c r="AK287" s="12">
        <f>(AK155-AJ155)*-1</f>
        <v>-5.06737921744934</v>
      </c>
      <c r="AL287" s="12">
        <f>SUM(AH287:AK287)</f>
        <v>-208.551359855842</v>
      </c>
      <c r="AM287" s="12">
        <f>(AM155-AL155)*-1</f>
        <v>-12.9884919159472</v>
      </c>
      <c r="AN287" s="12">
        <f>(AN155-AM155)*-1</f>
        <v>-56.0330648942868</v>
      </c>
      <c r="AO287" s="12">
        <f>(AO155-AN155)*-1</f>
        <v>-111.645402192835</v>
      </c>
      <c r="AP287" s="12">
        <f>(AP155-AO155)*-1</f>
        <v>-5.37789003291164</v>
      </c>
      <c r="AQ287" s="12">
        <f>SUM(AM287:AP287)</f>
        <v>-186.044849035981</v>
      </c>
      <c r="AR287" s="12">
        <f>(AR155-AQ155)*-1</f>
        <v>36.8541111929708</v>
      </c>
      <c r="AS287" s="12">
        <f>(AS155-AR155)*-1</f>
        <v>-94.5791650831043</v>
      </c>
      <c r="AT287" s="12">
        <f>(AT155-AS155)*-1</f>
        <v>-117.928404817525</v>
      </c>
      <c r="AU287" s="12">
        <f>(AU155-AT155)*-1</f>
        <v>-5.68053838679225</v>
      </c>
      <c r="AV287" s="12">
        <f>SUM(AR287:AU287)</f>
        <v>-181.33399709445</v>
      </c>
      <c r="AW287" s="12">
        <f>(AW155-AV155)*-1</f>
        <v>17.6472963799138</v>
      </c>
      <c r="AX287" s="12">
        <f>(AX155-AW155)*-1</f>
        <v>-62.2212711855605</v>
      </c>
      <c r="AY287" s="12">
        <f>(AY155-AX155)*-1</f>
        <v>-123.975350260909</v>
      </c>
      <c r="AZ287" s="12">
        <f>(AZ155-AY155)*-1</f>
        <v>-5.9718160121206</v>
      </c>
      <c r="BA287" s="12">
        <f>SUM(AW287:AZ287)</f>
        <v>-174.521141078676</v>
      </c>
      <c r="BB287" s="12">
        <f>(BB155-BA155)*-1</f>
        <v>35.4816326355872</v>
      </c>
      <c r="BC287" s="12">
        <f>(BC155-BB155)*-1</f>
        <v>-65.1006483510487</v>
      </c>
      <c r="BD287" s="12">
        <f>(BD155-BC155)*-1</f>
        <v>-129.712484617422</v>
      </c>
      <c r="BE287" s="12">
        <f>(BE155-BD155)*-1</f>
        <v>-6.24817022884008</v>
      </c>
      <c r="BF287" s="12">
        <f>SUM(BB287:BE287)</f>
        <v>-165.579670561723</v>
      </c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 hidden="1" outlineLevel="1">
      <c r="C288" s="10" t="inlineStr">
        <is>
          <t>Deferred income taxes</t>
        </is>
      </c>
      <c r="D288" s="12" t="n"/>
      <c r="E288" s="12" t="n"/>
      <c r="F288" s="12" t="n"/>
      <c r="G288" s="12" t="n"/>
      <c r="H288" s="12" t="n"/>
      <c r="I288" s="12" t="n"/>
      <c r="J288" s="12">
        <f>(J159-I159)*-1</f>
        <v>-15.551</v>
      </c>
      <c r="K288" s="12">
        <f>(K159-J159)*-1</f>
        <v>-155.754</v>
      </c>
      <c r="L288" s="12">
        <f>(L159-K159)*-1</f>
        <v>5.45299999999997</v>
      </c>
      <c r="M288" s="12" t="n"/>
      <c r="N288" s="12">
        <f>(N159-M159)*-1</f>
        <v>-132.58</v>
      </c>
      <c r="O288" s="12">
        <f>(O159-N159)*-1</f>
        <v>-196.521</v>
      </c>
      <c r="P288" s="12">
        <f>(P159-O159)*-1</f>
        <v>-237.533</v>
      </c>
      <c r="Q288" s="12">
        <f>(Q159-P159)*-1</f>
        <v>-204.069</v>
      </c>
      <c r="R288" s="12">
        <f>SUM(N288:Q288)</f>
        <v>-770.703</v>
      </c>
      <c r="S288" s="12">
        <f>(S159-R159)*-1</f>
        <v>-314.03317508</v>
      </c>
      <c r="T288" s="12">
        <f>(T159-S159)*-1</f>
        <v>30.1532648399998</v>
      </c>
      <c r="U288" s="12">
        <f>(U159-T159)*-1</f>
        <v>-49.3458199719998</v>
      </c>
      <c r="V288" s="12">
        <f>(V159-U159)*-1</f>
        <v>-80.3641984779999</v>
      </c>
      <c r="W288" s="12">
        <f>SUM(S288:V288)</f>
        <v>-413.58992869</v>
      </c>
      <c r="X288" s="12">
        <f>(X159-W159)*-1</f>
        <v>-175.46621858</v>
      </c>
      <c r="Y288" s="12">
        <f>(Y159-X159)*-1</f>
        <v>-54.29151882</v>
      </c>
      <c r="Z288" s="12">
        <f>(Z159-Y159)*-1</f>
        <v>-194.51633141</v>
      </c>
      <c r="AA288" s="12">
        <f>(AA159-Z159)*-1</f>
        <v>384.84825488</v>
      </c>
      <c r="AB288" s="12">
        <f>SUM(X288:AA288)</f>
        <v>-39.42581393</v>
      </c>
      <c r="AC288" s="12">
        <f>(AC159-AB159)*-1</f>
        <v>38.0321757999998</v>
      </c>
      <c r="AD288" s="12">
        <f>(AD159-AC159)*-1</f>
        <v>-287.4503071</v>
      </c>
      <c r="AE288" s="12">
        <f>(AE159-AD159)*-1</f>
        <v>-103.68669973</v>
      </c>
      <c r="AF288" s="12">
        <f>(AF159-AE159)*-1</f>
        <v>517.30727155</v>
      </c>
      <c r="AG288" s="12">
        <f>SUM(AC288:AF288)</f>
        <v>164.20244052</v>
      </c>
      <c r="AH288" s="12">
        <f>(AH159-AG159)*-1</f>
        <v>-159.13024369</v>
      </c>
      <c r="AI288" s="12">
        <f>(AI159-AH159)*-1</f>
        <v>-156.54218371</v>
      </c>
      <c r="AJ288" s="12">
        <f>(AJ159-AI159)*-1</f>
        <v>0</v>
      </c>
      <c r="AK288" s="12">
        <f>(AK159-AJ159)*-1</f>
        <v>0</v>
      </c>
      <c r="AL288" s="12">
        <f>SUM(AH288:AK288)</f>
        <v>-315.6724274</v>
      </c>
      <c r="AM288" s="12">
        <f>(AM159-AL159)*-1</f>
        <v>0</v>
      </c>
      <c r="AN288" s="12">
        <f>(AN159-AM159)*-1</f>
        <v>0</v>
      </c>
      <c r="AO288" s="12">
        <f>(AO159-AN159)*-1</f>
        <v>0</v>
      </c>
      <c r="AP288" s="12">
        <f>(AP159-AO159)*-1</f>
        <v>0</v>
      </c>
      <c r="AQ288" s="12">
        <f>SUM(AM288:AP288)</f>
        <v>0</v>
      </c>
      <c r="AR288" s="12">
        <f>(AR159-AQ159)*-1</f>
        <v>0</v>
      </c>
      <c r="AS288" s="12">
        <f>(AS159-AR159)*-1</f>
        <v>0</v>
      </c>
      <c r="AT288" s="12">
        <f>(AT159-AS159)*-1</f>
        <v>0</v>
      </c>
      <c r="AU288" s="12">
        <f>(AU159-AT159)*-1</f>
        <v>0</v>
      </c>
      <c r="AV288" s="12">
        <f>SUM(AR288:AU288)</f>
        <v>0</v>
      </c>
      <c r="AW288" s="12">
        <f>(AW159-AV159)*-1</f>
        <v>0</v>
      </c>
      <c r="AX288" s="12">
        <f>(AX159-AW159)*-1</f>
        <v>0</v>
      </c>
      <c r="AY288" s="12">
        <f>(AY159-AX159)*-1</f>
        <v>0</v>
      </c>
      <c r="AZ288" s="12">
        <f>(AZ159-AY159)*-1</f>
        <v>0</v>
      </c>
      <c r="BA288" s="12">
        <f>SUM(AW288:AZ288)</f>
        <v>0</v>
      </c>
      <c r="BB288" s="12">
        <f>(BB159-BA159)*-1</f>
        <v>0</v>
      </c>
      <c r="BC288" s="12">
        <f>(BC159-BB159)*-1</f>
        <v>0</v>
      </c>
      <c r="BD288" s="12">
        <f>(BD159-BC159)*-1</f>
        <v>0</v>
      </c>
      <c r="BE288" s="12">
        <f>(BE159-BD159)*-1</f>
        <v>0</v>
      </c>
      <c r="BF288" s="12">
        <f>SUM(BB288:BE288)</f>
        <v>0</v>
      </c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</row>
    <row r="289" hidden="1" outlineLevel="1">
      <c r="C289" s="10" t="inlineStr">
        <is>
          <t>Prepaid expenses</t>
        </is>
      </c>
      <c r="D289" s="12" t="n"/>
      <c r="E289" s="12" t="n"/>
      <c r="F289" s="12" t="n"/>
      <c r="G289" s="12" t="n"/>
      <c r="H289" s="12" t="n"/>
      <c r="I289" s="12" t="n"/>
      <c r="J289" s="12">
        <f>(J160-I160)*-1</f>
        <v>9.34587384900001</v>
      </c>
      <c r="K289" s="12">
        <f>(K160-J160)*-1</f>
        <v>30.233</v>
      </c>
      <c r="L289" s="12">
        <f>(L160-K160)*-1</f>
        <v>47.271</v>
      </c>
      <c r="M289" s="12" t="n"/>
      <c r="N289" s="12">
        <f>(N160-M160)*-1</f>
        <v>-151.542</v>
      </c>
      <c r="O289" s="12">
        <f>(O160-N160)*-1</f>
        <v>29.693</v>
      </c>
      <c r="P289" s="12">
        <f>(P160-O160)*-1</f>
        <v>13.468</v>
      </c>
      <c r="Q289" s="12">
        <f>(Q160-P160)*-1</f>
        <v>77.901</v>
      </c>
      <c r="R289" s="12">
        <f>SUM(N289:Q289)</f>
        <v>-30.48</v>
      </c>
      <c r="S289" s="12">
        <f>(S160-R160)*-1</f>
        <v>-106.559639258</v>
      </c>
      <c r="T289" s="12">
        <f>(T160-S160)*-1</f>
        <v>-143.492003852</v>
      </c>
      <c r="U289" s="12">
        <f>(U160-T160)*-1</f>
        <v>84.213250912</v>
      </c>
      <c r="V289" s="12">
        <f>(V160-U160)*-1</f>
        <v>136.56828712</v>
      </c>
      <c r="W289" s="12">
        <f>SUM(S289:V289)</f>
        <v>-29.270105078</v>
      </c>
      <c r="X289" s="12">
        <f>(X160-W160)*-1</f>
        <v>-266.031402064</v>
      </c>
      <c r="Y289" s="12">
        <f>(Y160-X160)*-1</f>
        <v>-21.801265332</v>
      </c>
      <c r="Z289" s="12">
        <f>(Z160-Y160)*-1</f>
        <v>95.394807278</v>
      </c>
      <c r="AA289" s="12">
        <f>(AA160-Z160)*-1</f>
        <v>154.722404266</v>
      </c>
      <c r="AB289" s="12">
        <f>SUM(X289:AA289)</f>
        <v>-37.7154558520001</v>
      </c>
      <c r="AC289" s="12">
        <f>(AC160-AB160)*-1</f>
        <v>-371.70171255</v>
      </c>
      <c r="AD289" s="12">
        <f>(AD160-AC160)*-1</f>
        <v>28.6273576699999</v>
      </c>
      <c r="AE289" s="12">
        <f>(AE160-AD160)*-1</f>
        <v>161.62865283</v>
      </c>
      <c r="AF289" s="12">
        <f>(AF160-AE160)*-1</f>
        <v>134.91451889</v>
      </c>
      <c r="AG289" s="12">
        <f>SUM(AC289:AF289)</f>
        <v>-46.53118316</v>
      </c>
      <c r="AH289" s="12">
        <f>(AH160-AG160)*-1</f>
        <v>-369.09483308</v>
      </c>
      <c r="AI289" s="12">
        <f>(AI160-AH160)*-1</f>
        <v>105.25218465</v>
      </c>
      <c r="AJ289" s="12">
        <f>(AJ160-AI160)*-1</f>
        <v>0</v>
      </c>
      <c r="AK289" s="12">
        <f>(AK160-AJ160)*-1</f>
        <v>0</v>
      </c>
      <c r="AL289" s="12">
        <f>SUM(AH289:AK289)</f>
        <v>-263.84264843</v>
      </c>
      <c r="AM289" s="12">
        <f>(AM160-AL160)*-1</f>
        <v>0</v>
      </c>
      <c r="AN289" s="12">
        <f>(AN160-AM160)*-1</f>
        <v>0</v>
      </c>
      <c r="AO289" s="12">
        <f>(AO160-AN160)*-1</f>
        <v>0</v>
      </c>
      <c r="AP289" s="12">
        <f>(AP160-AO160)*-1</f>
        <v>0</v>
      </c>
      <c r="AQ289" s="12">
        <f>SUM(AM289:AP289)</f>
        <v>0</v>
      </c>
      <c r="AR289" s="12">
        <f>(AR160-AQ160)*-1</f>
        <v>0</v>
      </c>
      <c r="AS289" s="12">
        <f>(AS160-AR160)*-1</f>
        <v>0</v>
      </c>
      <c r="AT289" s="12">
        <f>(AT160-AS160)*-1</f>
        <v>0</v>
      </c>
      <c r="AU289" s="12">
        <f>(AU160-AT160)*-1</f>
        <v>0</v>
      </c>
      <c r="AV289" s="12">
        <f>SUM(AR289:AU289)</f>
        <v>0</v>
      </c>
      <c r="AW289" s="12">
        <f>(AW160-AV160)*-1</f>
        <v>0</v>
      </c>
      <c r="AX289" s="12">
        <f>(AX160-AW160)*-1</f>
        <v>0</v>
      </c>
      <c r="AY289" s="12">
        <f>(AY160-AX160)*-1</f>
        <v>0</v>
      </c>
      <c r="AZ289" s="12">
        <f>(AZ160-AY160)*-1</f>
        <v>0</v>
      </c>
      <c r="BA289" s="12">
        <f>SUM(AW289:AZ289)</f>
        <v>0</v>
      </c>
      <c r="BB289" s="12">
        <f>(BB160-BA160)*-1</f>
        <v>0</v>
      </c>
      <c r="BC289" s="12">
        <f>(BC160-BB160)*-1</f>
        <v>0</v>
      </c>
      <c r="BD289" s="12">
        <f>(BD160-BC160)*-1</f>
        <v>0</v>
      </c>
      <c r="BE289" s="12">
        <f>(BE160-BD160)*-1</f>
        <v>0</v>
      </c>
      <c r="BF289" s="12">
        <f>SUM(BB289:BE289)</f>
        <v>0</v>
      </c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</row>
    <row r="290" hidden="1" outlineLevel="1">
      <c r="C290" s="10" t="inlineStr">
        <is>
          <t>Other current assets</t>
        </is>
      </c>
      <c r="D290" s="12" t="n"/>
      <c r="E290" s="12" t="n"/>
      <c r="F290" s="12" t="n"/>
      <c r="G290" s="12" t="n"/>
      <c r="H290" s="12" t="n"/>
      <c r="I290" s="12" t="n"/>
      <c r="J290" s="12">
        <f>(J161-I161)*-1</f>
        <v>-90.471289242</v>
      </c>
      <c r="K290" s="12">
        <f>(K161-J161)*-1</f>
        <v>-16.002</v>
      </c>
      <c r="L290" s="12">
        <f>(L161-K161)*-1</f>
        <v>-29.6710000000001</v>
      </c>
      <c r="M290" s="12" t="n"/>
      <c r="N290" s="12">
        <f>(N161-M161)*-1</f>
        <v>-485.796</v>
      </c>
      <c r="O290" s="12">
        <f>(O161-N161)*-1</f>
        <v>-328.039</v>
      </c>
      <c r="P290" s="12">
        <f>(P161-O161)*-1</f>
        <v>-600.528</v>
      </c>
      <c r="Q290" s="12">
        <f>(Q161-P161)*-1</f>
        <v>-195.439</v>
      </c>
      <c r="R290" s="12">
        <f>SUM(N290:Q290)</f>
        <v>-1609.802</v>
      </c>
      <c r="S290" s="12">
        <f>(S161-R161)*-1</f>
        <v>170.363022861</v>
      </c>
      <c r="T290" s="12">
        <f>(T161-S161)*-1</f>
        <v>-174.263558964</v>
      </c>
      <c r="U290" s="12">
        <f>(U161-T161)*-1</f>
        <v>-373.603068859</v>
      </c>
      <c r="V290" s="12">
        <f>(V161-U161)*-1</f>
        <v>-47.2753563660003</v>
      </c>
      <c r="W290" s="12">
        <f>SUM(S290:V290)</f>
        <v>-424.778961328001</v>
      </c>
      <c r="X290" s="12">
        <f>(X161-W161)*-1</f>
        <v>-421.767257668999</v>
      </c>
      <c r="Y290" s="12">
        <f>(Y161-X161)*-1</f>
        <v>-602.428924897</v>
      </c>
      <c r="Z290" s="12">
        <f>(Z161-Y161)*-1</f>
        <v>16.6637490599996</v>
      </c>
      <c r="AA290" s="12">
        <f>(AA161-Z161)*-1</f>
        <v>-600.182085756</v>
      </c>
      <c r="AB290" s="12">
        <f>SUM(X290:AA290)</f>
        <v>-1607.714519262</v>
      </c>
      <c r="AC290" s="12">
        <f>(AC161-AB161)*-1</f>
        <v>77.6684583700007</v>
      </c>
      <c r="AD290" s="12">
        <f>(AD161-AC161)*-1</f>
        <v>-608.845717570001</v>
      </c>
      <c r="AE290" s="12">
        <f>(AE161-AD161)*-1</f>
        <v>467.60013308</v>
      </c>
      <c r="AF290" s="12">
        <f>(AF161-AE161)*-1</f>
        <v>800.94851707</v>
      </c>
      <c r="AG290" s="12">
        <f>SUM(AC290:AF290)</f>
        <v>737.37139095</v>
      </c>
      <c r="AH290" s="12">
        <f>(AH161-AG161)*-1</f>
        <v>-337.39415376</v>
      </c>
      <c r="AI290" s="12">
        <f>(AI161-AH161)*-1</f>
        <v>-1437.79786285</v>
      </c>
      <c r="AJ290" s="12">
        <f>(AJ161-AI161)*-1</f>
        <v>0</v>
      </c>
      <c r="AK290" s="12">
        <f>(AK161-AJ161)*-1</f>
        <v>0</v>
      </c>
      <c r="AL290" s="12">
        <f>SUM(AH290:AK290)</f>
        <v>-1775.19201661</v>
      </c>
      <c r="AM290" s="12">
        <f>(AM161-AL161)*-1</f>
        <v>0</v>
      </c>
      <c r="AN290" s="12">
        <f>(AN161-AM161)*-1</f>
        <v>0</v>
      </c>
      <c r="AO290" s="12">
        <f>(AO161-AN161)*-1</f>
        <v>0</v>
      </c>
      <c r="AP290" s="12">
        <f>(AP161-AO161)*-1</f>
        <v>0</v>
      </c>
      <c r="AQ290" s="12">
        <f>SUM(AM290:AP290)</f>
        <v>0</v>
      </c>
      <c r="AR290" s="12">
        <f>(AR161-AQ161)*-1</f>
        <v>0</v>
      </c>
      <c r="AS290" s="12">
        <f>(AS161-AR161)*-1</f>
        <v>0</v>
      </c>
      <c r="AT290" s="12">
        <f>(AT161-AS161)*-1</f>
        <v>0</v>
      </c>
      <c r="AU290" s="12">
        <f>(AU161-AT161)*-1</f>
        <v>0</v>
      </c>
      <c r="AV290" s="12">
        <f>SUM(AR290:AU290)</f>
        <v>0</v>
      </c>
      <c r="AW290" s="12">
        <f>(AW161-AV161)*-1</f>
        <v>0</v>
      </c>
      <c r="AX290" s="12">
        <f>(AX161-AW161)*-1</f>
        <v>0</v>
      </c>
      <c r="AY290" s="12">
        <f>(AY161-AX161)*-1</f>
        <v>0</v>
      </c>
      <c r="AZ290" s="12">
        <f>(AZ161-AY161)*-1</f>
        <v>0</v>
      </c>
      <c r="BA290" s="12">
        <f>SUM(AW290:AZ290)</f>
        <v>0</v>
      </c>
      <c r="BB290" s="12">
        <f>(BB161-BA161)*-1</f>
        <v>0</v>
      </c>
      <c r="BC290" s="12">
        <f>(BC161-BB161)*-1</f>
        <v>0</v>
      </c>
      <c r="BD290" s="12">
        <f>(BD161-BC161)*-1</f>
        <v>0</v>
      </c>
      <c r="BE290" s="12">
        <f>(BE161-BD161)*-1</f>
        <v>0</v>
      </c>
      <c r="BF290" s="12">
        <f>SUM(BB290:BE290)</f>
        <v>0</v>
      </c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</row>
    <row r="291" hidden="1" outlineLevel="1">
      <c r="C291" s="10" t="inlineStr">
        <is>
          <t>Accounts payable</t>
        </is>
      </c>
      <c r="D291" s="12" t="n"/>
      <c r="E291" s="12" t="n"/>
      <c r="F291" s="12" t="n"/>
      <c r="G291" s="12" t="n"/>
      <c r="H291" s="12" t="n"/>
      <c r="I291" s="12" t="n"/>
      <c r="J291" s="12">
        <f>J204-I204</f>
        <v>811.599646953</v>
      </c>
      <c r="K291" s="12">
        <f>K204-J204</f>
        <v>-330.211507563</v>
      </c>
      <c r="L291" s="12">
        <f>L204-K204</f>
        <v>1282.851</v>
      </c>
      <c r="M291" s="12" t="n"/>
      <c r="N291" s="12">
        <f>N204-M204</f>
        <v>-256.078</v>
      </c>
      <c r="O291" s="12">
        <f>O204-N204</f>
        <v>1151.683</v>
      </c>
      <c r="P291" s="12">
        <f>P204-O204</f>
        <v>-425.345</v>
      </c>
      <c r="Q291" s="12">
        <f>Q204-P204</f>
        <v>2083.113</v>
      </c>
      <c r="R291" s="12">
        <f>SUM(N291:Q291)</f>
        <v>2553.373</v>
      </c>
      <c r="S291" s="12">
        <f>S204-R204</f>
        <v>-2558.592758745</v>
      </c>
      <c r="T291" s="12">
        <f>T204-S204</f>
        <v>-1293.019395957</v>
      </c>
      <c r="U291" s="12">
        <f>U204-T204</f>
        <v>1378.624899113</v>
      </c>
      <c r="V291" s="12">
        <f>V204-U204</f>
        <v>3138.257469337</v>
      </c>
      <c r="W291" s="12">
        <f>SUM(S291:V291)</f>
        <v>665.270213748</v>
      </c>
      <c r="X291" s="12">
        <f>X204-W204</f>
        <v>-116.469711438</v>
      </c>
      <c r="Y291" s="12">
        <f>Y204-X204</f>
        <v>-345.265397480001</v>
      </c>
      <c r="Z291" s="12">
        <f>Z204-Y204</f>
        <v>172.10371286</v>
      </c>
      <c r="AA291" s="12">
        <f>AA204-Z204</f>
        <v>1459.34947755</v>
      </c>
      <c r="AB291" s="12">
        <f>SUM(X291:AA291)</f>
        <v>1169.718081492</v>
      </c>
      <c r="AC291" s="12">
        <f>AC204-AB204</f>
        <v>-1636.51599907</v>
      </c>
      <c r="AD291" s="12">
        <f>AD204-AC204</f>
        <v>677.029983590001</v>
      </c>
      <c r="AE291" s="12">
        <f>AE204-AD204</f>
        <v>-124.635115880001</v>
      </c>
      <c r="AF291" s="12">
        <f>AF204-AE204</f>
        <v>1491.7785192</v>
      </c>
      <c r="AG291" s="12">
        <f>SUM(AC291:AF291)</f>
        <v>407.65738784</v>
      </c>
      <c r="AH291" s="12">
        <f>AH204-AG204</f>
        <v>-703.260202680001</v>
      </c>
      <c r="AI291" s="12">
        <f>AI204-AH204</f>
        <v>958.05773279</v>
      </c>
      <c r="AJ291" s="12">
        <f>AJ204-AI204</f>
        <v>-582.971994052162</v>
      </c>
      <c r="AK291" s="12">
        <f>AK204-AJ204</f>
        <v>13.4039040299303</v>
      </c>
      <c r="AL291" s="12">
        <f>SUM(AH291:AK291)</f>
        <v>-314.770559912232</v>
      </c>
      <c r="AM291" s="12">
        <f>AM204-AL204</f>
        <v>34.3563194432727</v>
      </c>
      <c r="AN291" s="12">
        <f>AN204-AM204</f>
        <v>148.215042158216</v>
      </c>
      <c r="AO291" s="12">
        <f>AO204-AN204</f>
        <v>295.317202869426</v>
      </c>
      <c r="AP291" s="12">
        <f>AP204-AO204</f>
        <v>14.2252471724332</v>
      </c>
      <c r="AQ291" s="12">
        <f>SUM(AM291:AP291)</f>
        <v>492.113811643348</v>
      </c>
      <c r="AR291" s="12">
        <f>AR204-AQ204</f>
        <v>-97.4841132548227</v>
      </c>
      <c r="AS291" s="12">
        <f>AS204-AR204</f>
        <v>250.174695361173</v>
      </c>
      <c r="AT291" s="12">
        <f>AT204-AS204</f>
        <v>311.936595377321</v>
      </c>
      <c r="AU291" s="12">
        <f>AU204-AT204</f>
        <v>15.0257930396656</v>
      </c>
      <c r="AV291" s="12">
        <f>SUM(AR291:AU291)</f>
        <v>479.652970523337</v>
      </c>
      <c r="AW291" s="12">
        <f>AW204-AV204</f>
        <v>-46.6794879391673</v>
      </c>
      <c r="AX291" s="12">
        <f>AX204-AW204</f>
        <v>164.583685531112</v>
      </c>
      <c r="AY291" s="12">
        <f>AY204-AX204</f>
        <v>327.931584684269</v>
      </c>
      <c r="AZ291" s="12">
        <f>AZ204-AY204</f>
        <v>15.7962617905596</v>
      </c>
      <c r="BA291" s="12">
        <f>SUM(AW291:AZ291)</f>
        <v>461.632044066773</v>
      </c>
      <c r="BB291" s="12">
        <f>BB204-BA204</f>
        <v>-93.8537216703644</v>
      </c>
      <c r="BC291" s="12">
        <f>BC204-BB204</f>
        <v>172.200027931396</v>
      </c>
      <c r="BD291" s="12">
        <f>BD204-BC204</f>
        <v>343.107081725562</v>
      </c>
      <c r="BE291" s="12">
        <f>BE204-BD204</f>
        <v>16.5272561054153</v>
      </c>
      <c r="BF291" s="12">
        <f>SUM(BB291:BE291)</f>
        <v>437.980644092009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 hidden="1" outlineLevel="1">
      <c r="C292" s="10" t="inlineStr">
        <is>
          <t>Accrued expenses</t>
        </is>
      </c>
      <c r="D292" s="12" t="n"/>
      <c r="E292" s="12" t="n"/>
      <c r="F292" s="12" t="n"/>
      <c r="G292" s="12" t="n"/>
      <c r="H292" s="12" t="n"/>
      <c r="I292" s="12" t="n"/>
      <c r="J292" s="12">
        <f>J208-I208</f>
        <v>80.758563802</v>
      </c>
      <c r="K292" s="12">
        <f>K208-J208</f>
        <v>67.6222008</v>
      </c>
      <c r="L292" s="12">
        <f>L208-K208</f>
        <v>-54.54</v>
      </c>
      <c r="M292" s="12" t="n"/>
      <c r="N292" s="12">
        <f>N208-M208</f>
        <v>55.99</v>
      </c>
      <c r="O292" s="12">
        <f>O208-N208</f>
        <v>46.268</v>
      </c>
      <c r="P292" s="12">
        <f>P208-O208</f>
        <v>147.874</v>
      </c>
      <c r="Q292" s="12">
        <f>Q208-P208</f>
        <v>-33.13</v>
      </c>
      <c r="R292" s="12">
        <f>SUM(N292:Q292)</f>
        <v>217.002</v>
      </c>
      <c r="S292" s="12">
        <f>S208-R208</f>
        <v>76.8725645400001</v>
      </c>
      <c r="T292" s="12">
        <f>T208-S208</f>
        <v>103.681599375</v>
      </c>
      <c r="U292" s="12">
        <f>U208-T208</f>
        <v>113.554260774</v>
      </c>
      <c r="V292" s="12">
        <f>V208-U208</f>
        <v>-191.497350367</v>
      </c>
      <c r="W292" s="12">
        <f>SUM(S292:V292)</f>
        <v>102.611074322</v>
      </c>
      <c r="X292" s="12">
        <f>X208-W208</f>
        <v>28.3802409970001</v>
      </c>
      <c r="Y292" s="12">
        <f>Y208-X208</f>
        <v>24.8751950299999</v>
      </c>
      <c r="Z292" s="12">
        <f>Z208-Y208</f>
        <v>79.4612977750001</v>
      </c>
      <c r="AA292" s="12">
        <f>AA208-Z208</f>
        <v>-113.186548394</v>
      </c>
      <c r="AB292" s="12">
        <f>SUM(X292:AA292)</f>
        <v>19.5301854080001</v>
      </c>
      <c r="AC292" s="12">
        <f>AC208-AB208</f>
        <v>30.8938862799999</v>
      </c>
      <c r="AD292" s="12">
        <f>AD208-AC208</f>
        <v>83.37890128</v>
      </c>
      <c r="AE292" s="12">
        <f>AE208-AD208</f>
        <v>97.4604193499999</v>
      </c>
      <c r="AF292" s="12">
        <f>AF208-AE208</f>
        <v>-113.2613939</v>
      </c>
      <c r="AG292" s="12">
        <f>SUM(AC292:AF292)</f>
        <v>98.4718130099999</v>
      </c>
      <c r="AH292" s="12">
        <f>AH208-AG208</f>
        <v>282.13379231</v>
      </c>
      <c r="AI292" s="12">
        <f>AI208-AH208</f>
        <v>63.9361070300001</v>
      </c>
      <c r="AJ292" s="12">
        <f>AJ208-AI208</f>
        <v>73.0316156023771</v>
      </c>
      <c r="AK292" s="12">
        <f>AK208-AJ208</f>
        <v>77.5067309513786</v>
      </c>
      <c r="AL292" s="12">
        <f>SUM(AH292:AK292)</f>
        <v>496.608245893756</v>
      </c>
      <c r="AM292" s="12">
        <f>AM208-AL208</f>
        <v>82.2560653111698</v>
      </c>
      <c r="AN292" s="12">
        <f>AN208-AM208</f>
        <v>87.2964218387681</v>
      </c>
      <c r="AO292" s="12">
        <f>AO208-AN208</f>
        <v>92.6456333283584</v>
      </c>
      <c r="AP292" s="12">
        <f>AP208-AO208</f>
        <v>98.3226253037653</v>
      </c>
      <c r="AQ292" s="12">
        <f>SUM(AM292:AP292)</f>
        <v>360.520745782062</v>
      </c>
      <c r="AR292" s="12">
        <f>AR208-AQ208</f>
        <v>95.8329926549247</v>
      </c>
      <c r="AS292" s="12">
        <f>AS208-AR208</f>
        <v>101.226129609572</v>
      </c>
      <c r="AT292" s="12">
        <f>AT208-AS208</f>
        <v>106.922772960147</v>
      </c>
      <c r="AU292" s="12">
        <f>AU208-AT208</f>
        <v>112.940002957557</v>
      </c>
      <c r="AV292" s="12">
        <f>SUM(AR292:AU292)</f>
        <v>416.921898182201</v>
      </c>
      <c r="AW292" s="12">
        <f>AW208-AV208</f>
        <v>108.696761254953</v>
      </c>
      <c r="AX292" s="12">
        <f>AX208-AW208</f>
        <v>114.270341141821</v>
      </c>
      <c r="AY292" s="12">
        <f>AY208-AX208</f>
        <v>120.129714205933</v>
      </c>
      <c r="AZ292" s="12">
        <f>AZ208-AY208</f>
        <v>126.289534895925</v>
      </c>
      <c r="BA292" s="12">
        <f>SUM(AW292:AZ292)</f>
        <v>469.386351498632</v>
      </c>
      <c r="BB292" s="12">
        <f>BB208-BA208</f>
        <v>119.819177517488</v>
      </c>
      <c r="BC292" s="12">
        <f>BC208-BB208</f>
        <v>125.363979112789</v>
      </c>
      <c r="BD292" s="12">
        <f>BD208-BC208</f>
        <v>131.165374229831</v>
      </c>
      <c r="BE292" s="12">
        <f>BE208-BD208</f>
        <v>137.235237096079</v>
      </c>
      <c r="BF292" s="12">
        <f>SUM(BB292:BE292)</f>
        <v>513.583767956187</v>
      </c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</row>
    <row r="293" hidden="1" outlineLevel="1">
      <c r="C293" s="10" t="inlineStr">
        <is>
          <t>Taxes payable</t>
        </is>
      </c>
      <c r="D293" s="12" t="n"/>
      <c r="E293" s="12" t="n"/>
      <c r="F293" s="12" t="n"/>
      <c r="G293" s="12" t="n"/>
      <c r="H293" s="12" t="n"/>
      <c r="I293" s="12" t="n"/>
      <c r="J293" s="12">
        <f>J210-I210</f>
        <v>-0.275187785000014</v>
      </c>
      <c r="K293" s="12">
        <f>K210-J210</f>
        <v>16.095601323</v>
      </c>
      <c r="L293" s="12">
        <f>L210-K210</f>
        <v>60.39</v>
      </c>
      <c r="M293" s="12" t="n"/>
      <c r="N293" s="12">
        <f>N210-M210</f>
        <v>-42.297</v>
      </c>
      <c r="O293" s="12">
        <f>O210-N210</f>
        <v>81.955</v>
      </c>
      <c r="P293" s="12">
        <f>P210-O210</f>
        <v>49.629</v>
      </c>
      <c r="Q293" s="12">
        <f>Q210-P210</f>
        <v>129.782</v>
      </c>
      <c r="R293" s="12">
        <f>SUM(N293:Q293)</f>
        <v>219.069</v>
      </c>
      <c r="S293" s="12">
        <f>S210-R210</f>
        <v>-137.365637067</v>
      </c>
      <c r="T293" s="12">
        <f>T210-S210</f>
        <v>35.238131716</v>
      </c>
      <c r="U293" s="12">
        <f>U210-T210</f>
        <v>39.772318457</v>
      </c>
      <c r="V293" s="12">
        <f>V210-U210</f>
        <v>78.007362717</v>
      </c>
      <c r="W293" s="12">
        <f>SUM(S293:V293)</f>
        <v>15.6521758230001</v>
      </c>
      <c r="X293" s="12">
        <f>X210-W210</f>
        <v>-30.062938501</v>
      </c>
      <c r="Y293" s="12">
        <f>Y210-X210</f>
        <v>-7.5953126870001</v>
      </c>
      <c r="Z293" s="12">
        <f>Z210-Y210</f>
        <v>37.7408940180001</v>
      </c>
      <c r="AA293" s="12">
        <f>AA210-Z210</f>
        <v>85.797595547</v>
      </c>
      <c r="AB293" s="12">
        <f>SUM(X293:AA293)</f>
        <v>85.880238377</v>
      </c>
      <c r="AC293" s="12">
        <f>AC210-AB210</f>
        <v>-80.96425641</v>
      </c>
      <c r="AD293" s="12">
        <f>AD210-AC210</f>
        <v>22.74108099</v>
      </c>
      <c r="AE293" s="12">
        <f>AE210-AD210</f>
        <v>8.86015972999996</v>
      </c>
      <c r="AF293" s="12">
        <f>AF210-AE210</f>
        <v>169.43158392</v>
      </c>
      <c r="AG293" s="12">
        <f>SUM(AC293:AF293)</f>
        <v>120.06856823</v>
      </c>
      <c r="AH293" s="12">
        <f>AH210-AG210</f>
        <v>-116.85326313</v>
      </c>
      <c r="AI293" s="12">
        <f>AI210-AH210</f>
        <v>69.0756612</v>
      </c>
      <c r="AJ293" s="12">
        <f>AJ210-AI210</f>
        <v>40.3793403718281</v>
      </c>
      <c r="AK293" s="12">
        <f>AK210-AJ210</f>
        <v>42.8536414589678</v>
      </c>
      <c r="AL293" s="12">
        <f>SUM(AH293:AK293)</f>
        <v>35.455379900796</v>
      </c>
      <c r="AM293" s="12">
        <f>AM210-AL210</f>
        <v>45.4795588383362</v>
      </c>
      <c r="AN293" s="12">
        <f>AN210-AM210</f>
        <v>48.2663830122851</v>
      </c>
      <c r="AO293" s="12">
        <f>AO210-AN210</f>
        <v>51.2239737718141</v>
      </c>
      <c r="AP293" s="12">
        <f>AP210-AO210</f>
        <v>54.3627950805355</v>
      </c>
      <c r="AQ293" s="12">
        <f>SUM(AM293:AP293)</f>
        <v>199.332710702971</v>
      </c>
      <c r="AR293" s="12">
        <f>AR210-AQ210</f>
        <v>52.9862717310359</v>
      </c>
      <c r="AS293" s="12">
        <f>AS210-AR210</f>
        <v>55.9681489764918</v>
      </c>
      <c r="AT293" s="12">
        <f>AT210-AS210</f>
        <v>59.1178355736245</v>
      </c>
      <c r="AU293" s="12">
        <f>AU210-AT210</f>
        <v>62.4447752306062</v>
      </c>
      <c r="AV293" s="12">
        <f>SUM(AR293:AU293)</f>
        <v>230.517031511758</v>
      </c>
      <c r="AW293" s="12">
        <f>AW210-AV210</f>
        <v>60.0986775908905</v>
      </c>
      <c r="AX293" s="12">
        <f>AX210-AW210</f>
        <v>63.1803221291509</v>
      </c>
      <c r="AY293" s="12">
        <f>AY210-AX210</f>
        <v>66.4199823416468</v>
      </c>
      <c r="AZ293" s="12">
        <f>AZ210-AY210</f>
        <v>69.8257607051546</v>
      </c>
      <c r="BA293" s="12">
        <f>SUM(AW293:AZ293)</f>
        <v>259.524742766843</v>
      </c>
      <c r="BB293" s="12">
        <f>BB210-BA210</f>
        <v>66.2482859258239</v>
      </c>
      <c r="BC293" s="12">
        <f>BC210-BB210</f>
        <v>69.3140188835876</v>
      </c>
      <c r="BD293" s="12">
        <f>BD210-BC210</f>
        <v>72.5216229620446</v>
      </c>
      <c r="BE293" s="12">
        <f>BE210-BD210</f>
        <v>75.8776634475928</v>
      </c>
      <c r="BF293" s="12">
        <f>SUM(BB293:BE293)</f>
        <v>283.961591219049</v>
      </c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</row>
    <row r="294" hidden="1" outlineLevel="1">
      <c r="C294" s="10" t="inlineStr">
        <is>
          <t>Other current liabilities (non-debt)</t>
        </is>
      </c>
      <c r="D294" s="12" t="n"/>
      <c r="E294" s="12" t="n"/>
      <c r="F294" s="12" t="n"/>
      <c r="G294" s="12" t="n"/>
      <c r="H294" s="12" t="n"/>
      <c r="I294" s="12" t="n"/>
      <c r="J294" s="12">
        <f>J211-I211</f>
        <v>-11.823876591</v>
      </c>
      <c r="K294" s="12">
        <f>K211-J211</f>
        <v>0.080373322000014</v>
      </c>
      <c r="L294" s="12">
        <f>L211-K211</f>
        <v>436.927</v>
      </c>
      <c r="M294" s="12" t="n"/>
      <c r="N294" s="12">
        <f>N211-M211</f>
        <v>528.375</v>
      </c>
      <c r="O294" s="12">
        <f>O211-N211</f>
        <v>-176.358</v>
      </c>
      <c r="P294" s="12">
        <f>P211-O211</f>
        <v>275.759</v>
      </c>
      <c r="Q294" s="12">
        <f>Q211-P211</f>
        <v>724.224</v>
      </c>
      <c r="R294" s="12">
        <f>SUM(N294:Q294)</f>
        <v>1352</v>
      </c>
      <c r="S294" s="12">
        <f>S211-R211</f>
        <v>166.966488169</v>
      </c>
      <c r="T294" s="12">
        <f>T211-S211</f>
        <v>134.282802276</v>
      </c>
      <c r="U294" s="12">
        <f>U211-T211</f>
        <v>-309.396048215</v>
      </c>
      <c r="V294" s="12">
        <f>V211-U211</f>
        <v>520.459579109</v>
      </c>
      <c r="W294" s="12">
        <f>SUM(S294:V294)</f>
        <v>512.312821339</v>
      </c>
      <c r="X294" s="12">
        <f>X211-W211</f>
        <v>959.4317909</v>
      </c>
      <c r="Y294" s="12">
        <f>Y211-X211</f>
        <v>-48.1773010149996</v>
      </c>
      <c r="Z294" s="12">
        <f>Z211-Y211</f>
        <v>-265.703634275</v>
      </c>
      <c r="AA294" s="12">
        <f>AA211-Z211</f>
        <v>511.927874901</v>
      </c>
      <c r="AB294" s="12">
        <f>SUM(X294:AA294)</f>
        <v>1157.478730511</v>
      </c>
      <c r="AC294" s="12">
        <f>AC211-AB211</f>
        <v>-314.99297964</v>
      </c>
      <c r="AD294" s="12">
        <f>AD211-AC211</f>
        <v>-182.15994384</v>
      </c>
      <c r="AE294" s="12">
        <f>AE211-AD211</f>
        <v>385.77097759</v>
      </c>
      <c r="AF294" s="12">
        <f>AF211-AE211</f>
        <v>489.100639250001</v>
      </c>
      <c r="AG294" s="12">
        <f>SUM(AC294:AF294)</f>
        <v>377.718693360001</v>
      </c>
      <c r="AH294" s="12">
        <f>AH211-AG211</f>
        <v>867.75456341</v>
      </c>
      <c r="AI294" s="12">
        <f>AI211-AH211</f>
        <v>857.09381912</v>
      </c>
      <c r="AJ294" s="12">
        <f>AJ211-AI211</f>
        <v>0</v>
      </c>
      <c r="AK294" s="12">
        <f>AK211-AJ211</f>
        <v>0</v>
      </c>
      <c r="AL294" s="12">
        <f>SUM(AH294:AK294)</f>
        <v>1724.84838253</v>
      </c>
      <c r="AM294" s="12">
        <f>AM211-AL211</f>
        <v>0</v>
      </c>
      <c r="AN294" s="12">
        <f>AN211-AM211</f>
        <v>0</v>
      </c>
      <c r="AO294" s="12">
        <f>AO211-AN211</f>
        <v>0</v>
      </c>
      <c r="AP294" s="12">
        <f>AP211-AO211</f>
        <v>0</v>
      </c>
      <c r="AQ294" s="12">
        <f>SUM(AM294:AP294)</f>
        <v>0</v>
      </c>
      <c r="AR294" s="12">
        <f>AR211-AQ211</f>
        <v>0</v>
      </c>
      <c r="AS294" s="12">
        <f>AS211-AR211</f>
        <v>0</v>
      </c>
      <c r="AT294" s="12">
        <f>AT211-AS211</f>
        <v>0</v>
      </c>
      <c r="AU294" s="12">
        <f>AU211-AT211</f>
        <v>0</v>
      </c>
      <c r="AV294" s="12">
        <f>SUM(AR294:AU294)</f>
        <v>0</v>
      </c>
      <c r="AW294" s="12">
        <f>AW211-AV211</f>
        <v>0</v>
      </c>
      <c r="AX294" s="12">
        <f>AX211-AW211</f>
        <v>0</v>
      </c>
      <c r="AY294" s="12">
        <f>AY211-AX211</f>
        <v>0</v>
      </c>
      <c r="AZ294" s="12">
        <f>AZ211-AY211</f>
        <v>0</v>
      </c>
      <c r="BA294" s="12">
        <f>SUM(AW294:AZ294)</f>
        <v>0</v>
      </c>
      <c r="BB294" s="12">
        <f>BB211-BA211</f>
        <v>0</v>
      </c>
      <c r="BC294" s="12">
        <f>BC211-BB211</f>
        <v>0</v>
      </c>
      <c r="BD294" s="12">
        <f>BD211-BC211</f>
        <v>0</v>
      </c>
      <c r="BE294" s="12">
        <f>BE211-BD211</f>
        <v>0</v>
      </c>
      <c r="BF294" s="12">
        <f>SUM(BB294:BE294)</f>
        <v>0</v>
      </c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</row>
    <row r="295" hidden="1" outlineLevel="1">
      <c r="C295" s="10" t="inlineStr">
        <is>
          <t>Deferred income taxes</t>
        </is>
      </c>
      <c r="D295" s="12" t="n"/>
      <c r="E295" s="12" t="n"/>
      <c r="F295" s="12" t="n"/>
      <c r="G295" s="12" t="n"/>
      <c r="H295" s="12" t="n"/>
      <c r="I295" s="12" t="n"/>
      <c r="J295" s="12">
        <f>J245-I245</f>
        <v>135.486803474</v>
      </c>
      <c r="K295" s="12">
        <f>K245-J245</f>
        <v>191.027196526</v>
      </c>
      <c r="L295" s="12">
        <f>L245-K245</f>
        <v>86.3300000000002</v>
      </c>
      <c r="M295" s="12" t="n"/>
      <c r="N295" s="12">
        <f>N245-M245</f>
        <v>-11.4330000000002</v>
      </c>
      <c r="O295" s="12">
        <f>O245-N245</f>
        <v>119.768</v>
      </c>
      <c r="P295" s="12">
        <f>P245-O245</f>
        <v>74.539</v>
      </c>
      <c r="Q295" s="12">
        <f>Q245-P245</f>
        <v>-15.4699999999998</v>
      </c>
      <c r="R295" s="12">
        <f>SUM(N295:Q295)</f>
        <v>167.404</v>
      </c>
      <c r="S295" s="12">
        <f>S245-R245</f>
        <v>183.617526757</v>
      </c>
      <c r="T295" s="12">
        <f>T245-S245</f>
        <v>128.65831795</v>
      </c>
      <c r="U295" s="12">
        <f>U245-T245</f>
        <v>-5.22822675200018</v>
      </c>
      <c r="V295" s="12">
        <f>V245-U245</f>
        <v>-18.2543553469998</v>
      </c>
      <c r="W295" s="12">
        <f>SUM(S295:V295)</f>
        <v>288.793262608</v>
      </c>
      <c r="X295" s="12">
        <f>X245-W245</f>
        <v>120.511008151</v>
      </c>
      <c r="Y295" s="12">
        <f>Y245-X245</f>
        <v>64.5234648410001</v>
      </c>
      <c r="Z295" s="12">
        <f>Z245-Y245</f>
        <v>240.855690264</v>
      </c>
      <c r="AA295" s="12">
        <f>AA245-Z245</f>
        <v>-327.435516424</v>
      </c>
      <c r="AB295" s="12">
        <f>SUM(X295:AA295)</f>
        <v>98.454646832</v>
      </c>
      <c r="AC295" s="12">
        <f>AC245-AB245</f>
        <v>-1.64512123000031</v>
      </c>
      <c r="AD295" s="12">
        <f>AD245-AC245</f>
        <v>69.0485819500002</v>
      </c>
      <c r="AE295" s="12">
        <f>AE245-AD245</f>
        <v>36.9596931899998</v>
      </c>
      <c r="AF295" s="12">
        <f>AF245-AE245</f>
        <v>197.93800543</v>
      </c>
      <c r="AG295" s="12">
        <f>SUM(AC295:AF295)</f>
        <v>302.30115934</v>
      </c>
      <c r="AH295" s="12">
        <f>AH245-AG245</f>
        <v>88.4963492599998</v>
      </c>
      <c r="AI295" s="12">
        <f>AI245-AH245</f>
        <v>20.3208142700003</v>
      </c>
      <c r="AJ295" s="12">
        <f>AJ245-AI245</f>
        <v>0</v>
      </c>
      <c r="AK295" s="12">
        <f>AK245-AJ245</f>
        <v>0</v>
      </c>
      <c r="AL295" s="12">
        <f>SUM(AH295:AK295)</f>
        <v>108.81716353</v>
      </c>
      <c r="AM295" s="12">
        <f>AM245-AL245</f>
        <v>0</v>
      </c>
      <c r="AN295" s="12">
        <f>AN245-AM245</f>
        <v>0</v>
      </c>
      <c r="AO295" s="12">
        <f>AO245-AN245</f>
        <v>0</v>
      </c>
      <c r="AP295" s="12">
        <f>AP245-AO245</f>
        <v>0</v>
      </c>
      <c r="AQ295" s="12">
        <f>SUM(AM295:AP295)</f>
        <v>0</v>
      </c>
      <c r="AR295" s="12">
        <f>AR245-AQ245</f>
        <v>0</v>
      </c>
      <c r="AS295" s="12">
        <f>AS245-AR245</f>
        <v>0</v>
      </c>
      <c r="AT295" s="12">
        <f>AT245-AS245</f>
        <v>0</v>
      </c>
      <c r="AU295" s="12">
        <f>AU245-AT245</f>
        <v>0</v>
      </c>
      <c r="AV295" s="12">
        <f>SUM(AR295:AU295)</f>
        <v>0</v>
      </c>
      <c r="AW295" s="12">
        <f>AW245-AV245</f>
        <v>0</v>
      </c>
      <c r="AX295" s="12">
        <f>AX245-AW245</f>
        <v>0</v>
      </c>
      <c r="AY295" s="12">
        <f>AY245-AX245</f>
        <v>0</v>
      </c>
      <c r="AZ295" s="12">
        <f>AZ245-AY245</f>
        <v>0</v>
      </c>
      <c r="BA295" s="12">
        <f>SUM(AW295:AZ295)</f>
        <v>0</v>
      </c>
      <c r="BB295" s="12">
        <f>BB245-BA245</f>
        <v>0</v>
      </c>
      <c r="BC295" s="12">
        <f>BC245-BB245</f>
        <v>0</v>
      </c>
      <c r="BD295" s="12">
        <f>BD245-BC245</f>
        <v>0</v>
      </c>
      <c r="BE295" s="12">
        <f>BE245-BD245</f>
        <v>0</v>
      </c>
      <c r="BF295" s="12">
        <f>SUM(BB295:BE295)</f>
        <v>0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 collapsed="1">
      <c r="C296" s="10" t="inlineStr">
        <is>
          <t>Equity income in affiliates</t>
        </is>
      </c>
      <c r="D296" s="12" t="n"/>
      <c r="E296" s="12" t="n"/>
      <c r="F296" s="12" t="n"/>
      <c r="G296" s="12" t="n"/>
      <c r="H296" s="12" t="n"/>
      <c r="I296" s="12" t="n"/>
      <c r="J296" s="12">
        <f>(J167-I167)*-1</f>
        <v>-3.126</v>
      </c>
      <c r="K296" s="12">
        <f>(K167-J167)*-1</f>
        <v>-2.837</v>
      </c>
      <c r="L296" s="12">
        <f>(L167-K167)*-1</f>
        <v>-5.27</v>
      </c>
      <c r="M296" s="12" t="n"/>
      <c r="N296" s="12">
        <f>(N167-M167)*-1</f>
        <v>0.689</v>
      </c>
      <c r="O296" s="12">
        <f>(O167-N167)*-1</f>
        <v>1.555</v>
      </c>
      <c r="P296" s="12">
        <f>(P167-O167)*-1</f>
        <v>-4.573</v>
      </c>
      <c r="Q296" s="12">
        <f>(Q167-P167)*-1</f>
        <v>-1.447</v>
      </c>
      <c r="R296" s="12">
        <f>SUM(N296:Q296)</f>
        <v>-3.776</v>
      </c>
      <c r="S296" s="12">
        <f>(S167-R167)*-1</f>
        <v>0.0291053190000028</v>
      </c>
      <c r="T296" s="12">
        <f>(T167-S167)*-1</f>
        <v>-1.11119402400001</v>
      </c>
      <c r="U296" s="12">
        <f>(U167-T167)*-1</f>
        <v>-0.259400569999997</v>
      </c>
      <c r="V296" s="12">
        <f>(V167-U167)*-1</f>
        <v>-2.85732633</v>
      </c>
      <c r="W296" s="12">
        <f>SUM(S296:V296)</f>
        <v>-4.198815605</v>
      </c>
      <c r="X296" s="12">
        <f>(X167-W167)*-1</f>
        <v>1.577731545</v>
      </c>
      <c r="Y296" s="12">
        <f>(Y167-X167)*-1</f>
        <v>1.052877706</v>
      </c>
      <c r="Z296" s="12">
        <f>(Z167-Y167)*-1</f>
        <v>-3.22897124800001</v>
      </c>
      <c r="AA296" s="12">
        <f>(AA167-Z167)*-1</f>
        <v>-3.65410560799999</v>
      </c>
      <c r="AB296" s="12">
        <f>SUM(X296:AA296)</f>
        <v>-4.252467605</v>
      </c>
      <c r="AC296" s="12">
        <f>(AC167-AB167)*-1</f>
        <v>0.593561559999998</v>
      </c>
      <c r="AD296" s="12">
        <f>(AD167-AC167)*-1</f>
        <v>-0.204986249999997</v>
      </c>
      <c r="AE296" s="12">
        <f>(AE167-AD167)*-1</f>
        <v>4.05112473000001</v>
      </c>
      <c r="AF296" s="12">
        <f>(AF167-AE167)*-1</f>
        <v>-5.38280623000001</v>
      </c>
      <c r="AG296" s="12">
        <f>SUM(AC296:AF296)</f>
        <v>-0.943106190000002</v>
      </c>
      <c r="AH296" s="12">
        <f>(AH167-AG167)*-1</f>
        <v>-3.52799513999999</v>
      </c>
      <c r="AI296" s="12">
        <f>(AI167-AH167)*-1</f>
        <v>-0.224431460000005</v>
      </c>
      <c r="AJ296" s="12">
        <f>(AJ167-AI167)*-1</f>
        <v>0</v>
      </c>
      <c r="AK296" s="12">
        <f>(AK167-AJ167)*-1</f>
        <v>0</v>
      </c>
      <c r="AL296" s="12">
        <f>SUM(AH296:AK296)</f>
        <v>-3.7524266</v>
      </c>
      <c r="AM296" s="12">
        <f>(AM167-AL167)*-1</f>
        <v>0</v>
      </c>
      <c r="AN296" s="12">
        <f>(AN167-AM167)*-1</f>
        <v>0</v>
      </c>
      <c r="AO296" s="12">
        <f>(AO167-AN167)*-1</f>
        <v>0</v>
      </c>
      <c r="AP296" s="12">
        <f>(AP167-AO167)*-1</f>
        <v>0</v>
      </c>
      <c r="AQ296" s="12">
        <f>SUM(AM296:AP296)</f>
        <v>0</v>
      </c>
      <c r="AR296" s="12">
        <f>(AR167-AQ167)*-1</f>
        <v>0</v>
      </c>
      <c r="AS296" s="12">
        <f>(AS167-AR167)*-1</f>
        <v>0</v>
      </c>
      <c r="AT296" s="12">
        <f>(AT167-AS167)*-1</f>
        <v>0</v>
      </c>
      <c r="AU296" s="12">
        <f>(AU167-AT167)*-1</f>
        <v>0</v>
      </c>
      <c r="AV296" s="12">
        <f>SUM(AR296:AU296)</f>
        <v>0</v>
      </c>
      <c r="AW296" s="12">
        <f>(AW167-AV167)*-1</f>
        <v>0</v>
      </c>
      <c r="AX296" s="12">
        <f>(AX167-AW167)*-1</f>
        <v>0</v>
      </c>
      <c r="AY296" s="12">
        <f>(AY167-AX167)*-1</f>
        <v>0</v>
      </c>
      <c r="AZ296" s="12">
        <f>(AZ167-AY167)*-1</f>
        <v>0</v>
      </c>
      <c r="BA296" s="12">
        <f>SUM(AW296:AZ296)</f>
        <v>0</v>
      </c>
      <c r="BB296" s="12">
        <f>(BB167-BA167)*-1</f>
        <v>0</v>
      </c>
      <c r="BC296" s="12">
        <f>(BC167-BB167)*-1</f>
        <v>0</v>
      </c>
      <c r="BD296" s="12">
        <f>(BD167-BC167)*-1</f>
        <v>0</v>
      </c>
      <c r="BE296" s="12">
        <f>(BE167-BD167)*-1</f>
        <v>0</v>
      </c>
      <c r="BF296" s="12">
        <f>SUM(BB296:BE296)</f>
        <v>0</v>
      </c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</row>
    <row r="297">
      <c r="C297" s="10" t="inlineStr">
        <is>
          <t>Dividends received from affiliates</t>
        </is>
      </c>
      <c r="D297" s="12" t="n"/>
      <c r="E297" s="12" t="n"/>
      <c r="F297" s="12" t="n"/>
      <c r="G297" s="12" t="n"/>
      <c r="H297" s="12" t="n"/>
      <c r="I297" s="12" t="n"/>
      <c r="J297" s="12">
        <f>-J170</f>
        <v>0</v>
      </c>
      <c r="K297" s="12">
        <f>-K170</f>
        <v>0</v>
      </c>
      <c r="L297" s="12">
        <f>-L170</f>
        <v>0</v>
      </c>
      <c r="M297" s="12" t="n"/>
      <c r="N297" s="12">
        <f>-N170</f>
        <v>0</v>
      </c>
      <c r="O297" s="12">
        <f>-O170</f>
        <v>0</v>
      </c>
      <c r="P297" s="12">
        <f>-P170</f>
        <v>0</v>
      </c>
      <c r="Q297" s="12">
        <f>-Q170</f>
        <v>0</v>
      </c>
      <c r="R297" s="12">
        <f>SUM(N297:Q297)</f>
        <v>0</v>
      </c>
      <c r="S297" s="12">
        <f>-S170</f>
        <v>0</v>
      </c>
      <c r="T297" s="12">
        <f>-T170</f>
        <v>0</v>
      </c>
      <c r="U297" s="12">
        <f>-U170</f>
        <v>0</v>
      </c>
      <c r="V297" s="12">
        <f>-V170</f>
        <v>0</v>
      </c>
      <c r="W297" s="12">
        <f>SUM(S297:V297)</f>
        <v>0</v>
      </c>
      <c r="X297" s="12">
        <f>-X170</f>
        <v>0</v>
      </c>
      <c r="Y297" s="12">
        <f>-Y170</f>
        <v>0</v>
      </c>
      <c r="Z297" s="12">
        <f>-Z170</f>
        <v>0</v>
      </c>
      <c r="AA297" s="12">
        <f>-AA170</f>
        <v>0</v>
      </c>
      <c r="AB297" s="12">
        <f>SUM(X297:AA297)</f>
        <v>0</v>
      </c>
      <c r="AC297" s="12">
        <f>-AC170</f>
        <v>0</v>
      </c>
      <c r="AD297" s="12">
        <f>-AD170</f>
        <v>0</v>
      </c>
      <c r="AE297" s="12">
        <f>-AE170</f>
        <v>0</v>
      </c>
      <c r="AF297" s="12">
        <f>-AF170</f>
        <v>0</v>
      </c>
      <c r="AG297" s="12">
        <f>SUM(AC297:AF297)</f>
        <v>0</v>
      </c>
      <c r="AH297" s="12">
        <f>-AH170</f>
        <v>0</v>
      </c>
      <c r="AI297" s="12">
        <f>-AI170</f>
        <v>0</v>
      </c>
      <c r="AJ297" s="12">
        <f>-AJ170</f>
        <v>0</v>
      </c>
      <c r="AK297" s="12">
        <f>-AK170</f>
        <v>0</v>
      </c>
      <c r="AL297" s="12">
        <f>SUM(AH297:AK297)</f>
        <v>0</v>
      </c>
      <c r="AM297" s="12">
        <f>-AM170</f>
        <v>0</v>
      </c>
      <c r="AN297" s="12">
        <f>-AN170</f>
        <v>0</v>
      </c>
      <c r="AO297" s="12">
        <f>-AO170</f>
        <v>0</v>
      </c>
      <c r="AP297" s="12">
        <f>-AP170</f>
        <v>0</v>
      </c>
      <c r="AQ297" s="12">
        <f>SUM(AM297:AP297)</f>
        <v>0</v>
      </c>
      <c r="AR297" s="12">
        <f>-AR170</f>
        <v>0</v>
      </c>
      <c r="AS297" s="12">
        <f>-AS170</f>
        <v>0</v>
      </c>
      <c r="AT297" s="12">
        <f>-AT170</f>
        <v>0</v>
      </c>
      <c r="AU297" s="12">
        <f>-AU170</f>
        <v>0</v>
      </c>
      <c r="AV297" s="12">
        <f>SUM(AR297:AU297)</f>
        <v>0</v>
      </c>
      <c r="AW297" s="12">
        <f>-AW170</f>
        <v>0</v>
      </c>
      <c r="AX297" s="12">
        <f>-AX170</f>
        <v>0</v>
      </c>
      <c r="AY297" s="12">
        <f>-AY170</f>
        <v>0</v>
      </c>
      <c r="AZ297" s="12">
        <f>-AZ170</f>
        <v>0</v>
      </c>
      <c r="BA297" s="12">
        <f>SUM(AW297:AZ297)</f>
        <v>0</v>
      </c>
      <c r="BB297" s="12">
        <f>-BB170</f>
        <v>0</v>
      </c>
      <c r="BC297" s="12">
        <f>-BC170</f>
        <v>0</v>
      </c>
      <c r="BD297" s="12">
        <f>-BD170</f>
        <v>0</v>
      </c>
      <c r="BE297" s="12">
        <f>-BE170</f>
        <v>0</v>
      </c>
      <c r="BF297" s="12">
        <f>SUM(BB297:BE297)</f>
        <v>0</v>
      </c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</row>
    <row r="298">
      <c r="C298" s="71" t="inlineStr">
        <is>
          <t>Minority interest expense</t>
        </is>
      </c>
      <c r="D298" s="12" t="n"/>
      <c r="E298" s="12" t="n"/>
      <c r="F298" s="12" t="n"/>
      <c r="G298" s="12" t="n"/>
      <c r="H298" s="12" t="n"/>
      <c r="I298" s="12" t="n"/>
      <c r="J298" s="12">
        <f>-J142</f>
        <v>124.585678634</v>
      </c>
      <c r="K298" s="12">
        <f>-K142</f>
        <v>153.591501484</v>
      </c>
      <c r="L298" s="12">
        <f>-L142</f>
        <v>151.592746357</v>
      </c>
      <c r="M298" s="12" t="n"/>
      <c r="N298" s="12">
        <f>-N142</f>
        <v>136.847</v>
      </c>
      <c r="O298" s="12">
        <f>-O142</f>
        <v>110.9852</v>
      </c>
      <c r="P298" s="12">
        <f>-P142</f>
        <v>92.497000459</v>
      </c>
      <c r="Q298" s="12">
        <f>-Q142</f>
        <v>118.29595875</v>
      </c>
      <c r="R298" s="12">
        <f>SUM(N298:Q298)</f>
        <v>458.625159209</v>
      </c>
      <c r="S298" s="12">
        <f>-S142</f>
        <v>70.742624531</v>
      </c>
      <c r="T298" s="12">
        <f>-T142</f>
        <v>87.556652072</v>
      </c>
      <c r="U298" s="12">
        <f>-U142</f>
        <v>25.875777461</v>
      </c>
      <c r="V298" s="12">
        <f>-V142</f>
        <v>-340.80461935</v>
      </c>
      <c r="W298" s="12">
        <f>SUM(S298:V298)</f>
        <v>-156.629565286</v>
      </c>
      <c r="X298" s="12">
        <f>-X142</f>
        <v>85.7682702</v>
      </c>
      <c r="Y298" s="12">
        <f>-Y142</f>
        <v>92.54872519</v>
      </c>
      <c r="Z298" s="12">
        <f>-Z142</f>
        <v>92.09117639</v>
      </c>
      <c r="AA298" s="12">
        <f>-AA142</f>
        <v>21.57901496</v>
      </c>
      <c r="AB298" s="12">
        <f>SUM(X298:AA298)</f>
        <v>291.98718674</v>
      </c>
      <c r="AC298" s="12">
        <f>-AC142</f>
        <v>62.55145363</v>
      </c>
      <c r="AD298" s="12">
        <f>-AD142</f>
        <v>53.36717598</v>
      </c>
      <c r="AE298" s="12">
        <f>-AE142</f>
        <v>7.68147334999999</v>
      </c>
      <c r="AF298" s="12">
        <f>-AF142</f>
        <v>49.92032701</v>
      </c>
      <c r="AG298" s="12">
        <f>SUM(AC298:AF298)</f>
        <v>173.52042997</v>
      </c>
      <c r="AH298" s="12">
        <f>-AH142</f>
        <v>5.32068066000001</v>
      </c>
      <c r="AI298" s="12">
        <f>-AI142</f>
        <v>38.34786495</v>
      </c>
      <c r="AJ298" s="12">
        <f>-AJ142</f>
        <v>0</v>
      </c>
      <c r="AK298" s="12">
        <f>-AK142</f>
        <v>0</v>
      </c>
      <c r="AL298" s="12">
        <f>SUM(AH298:AK298)</f>
        <v>43.66854561</v>
      </c>
      <c r="AM298" s="12">
        <f>-AM142</f>
        <v>0</v>
      </c>
      <c r="AN298" s="12">
        <f>-AN142</f>
        <v>0</v>
      </c>
      <c r="AO298" s="12">
        <f>-AO142</f>
        <v>0</v>
      </c>
      <c r="AP298" s="12">
        <f>-AP142</f>
        <v>0</v>
      </c>
      <c r="AQ298" s="12">
        <f>SUM(AM298:AP298)</f>
        <v>0</v>
      </c>
      <c r="AR298" s="12">
        <f>-AR142</f>
        <v>0</v>
      </c>
      <c r="AS298" s="12">
        <f>-AS142</f>
        <v>0</v>
      </c>
      <c r="AT298" s="12">
        <f>-AT142</f>
        <v>0</v>
      </c>
      <c r="AU298" s="12">
        <f>-AU142</f>
        <v>0</v>
      </c>
      <c r="AV298" s="12">
        <f>SUM(AR298:AU298)</f>
        <v>0</v>
      </c>
      <c r="AW298" s="12">
        <f>-AW142</f>
        <v>0</v>
      </c>
      <c r="AX298" s="12">
        <f>-AX142</f>
        <v>0</v>
      </c>
      <c r="AY298" s="12">
        <f>-AY142</f>
        <v>0</v>
      </c>
      <c r="AZ298" s="12">
        <f>-AZ142</f>
        <v>0</v>
      </c>
      <c r="BA298" s="12">
        <f>SUM(AW298:AZ298)</f>
        <v>0</v>
      </c>
      <c r="BB298" s="12">
        <f>-BB142</f>
        <v>0</v>
      </c>
      <c r="BC298" s="12">
        <f>-BC142</f>
        <v>0</v>
      </c>
      <c r="BD298" s="12">
        <f>-BD142</f>
        <v>0</v>
      </c>
      <c r="BE298" s="12">
        <f>-BE142</f>
        <v>0</v>
      </c>
      <c r="BF298" s="12">
        <f>SUM(BB298:BE298)</f>
        <v>0</v>
      </c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</row>
    <row r="299">
      <c r="C299" s="14" t="inlineStr">
        <is>
          <t>Cash from operations</t>
        </is>
      </c>
      <c r="D299" s="12" t="n"/>
      <c r="E299" s="12" t="n"/>
      <c r="F299" s="12" t="n"/>
      <c r="G299" s="12" t="n"/>
      <c r="H299" s="12" t="n"/>
      <c r="I299" s="12" t="n"/>
      <c r="J299" s="12">
        <f>SUM(J283,J284,J285,J296,J297,J298)</f>
        <v>1146.500710695</v>
      </c>
      <c r="K299" s="12">
        <f>SUM(K283,K284,K285,K296,K297,K298)</f>
        <v>127.605732279</v>
      </c>
      <c r="L299" s="12">
        <f>SUM(L283,L284,L285,L296,L297,L298)</f>
        <v>1892.15610431</v>
      </c>
      <c r="M299" s="12" t="n"/>
      <c r="N299" s="12">
        <f>SUM(N283,N284,N285,N296,N297,N298)</f>
        <v>-301.99</v>
      </c>
      <c r="O299" s="12">
        <f>SUM(O283,O284,O285,O296,O297,O298)</f>
        <v>906.716997423999</v>
      </c>
      <c r="P299" s="12">
        <f>SUM(P283,P284,P285,P296,P297,P298)</f>
        <v>-724.255693613999</v>
      </c>
      <c r="Q299" s="12">
        <f>SUM(Q283,Q284,Q285,Q296,Q297,Q298)</f>
        <v>2699.214855399</v>
      </c>
      <c r="R299" s="12">
        <f>SUM(R283,R284,R285,R296,R297,R298)</f>
        <v>2579.686159209</v>
      </c>
      <c r="S299" s="12">
        <f>SUM(S283,S284,S285,S296,S297,S298)</f>
        <v>-2236.01441886</v>
      </c>
      <c r="T299" s="12">
        <f>SUM(T283,T284,T285,T296,T297,T298)</f>
        <v>-1064.32909821</v>
      </c>
      <c r="U299" s="12">
        <f>SUM(U283,U284,U285,U296,U297,U298)</f>
        <v>458.947687542</v>
      </c>
      <c r="V299" s="12">
        <f>SUM(V283,V284,V285,V296,V297,V298)</f>
        <v>4136.77508622</v>
      </c>
      <c r="W299" s="12">
        <f>SUM(W283,W284,W285,W296,W297,W298)</f>
        <v>1295.379256692</v>
      </c>
      <c r="X299" s="12">
        <f>SUM(X283,X284,X285,X296,X297,X298)</f>
        <v>697.218017118</v>
      </c>
      <c r="Y299" s="12">
        <f>SUM(Y283,Y284,Y285,Y296,Y297,Y298)</f>
        <v>-430.617251115999</v>
      </c>
      <c r="Z299" s="12">
        <f>SUM(Z283,Z284,Z285,Z296,Z297,Z298)</f>
        <v>505.040717124999</v>
      </c>
      <c r="AA299" s="12">
        <f>SUM(AA283,AA284,AA285,AA296,AA297,AA298)</f>
        <v>2620.591278535</v>
      </c>
      <c r="AB299" s="12">
        <f>SUM(AB283,AB284,AB285,AB296,AB297,AB298)</f>
        <v>3392.232761662</v>
      </c>
      <c r="AC299" s="12">
        <f>SUM(AC283,AC284,AC285,AC296,AC297,AC298)</f>
        <v>-1797.82194483</v>
      </c>
      <c r="AD299" s="12">
        <f>SUM(AD283,AD284,AD285,AD296,AD297,AD298)</f>
        <v>210.161317300002</v>
      </c>
      <c r="AE299" s="12">
        <f>SUM(AE283,AE284,AE285,AE296,AE297,AE298)</f>
        <v>1784.85943793</v>
      </c>
      <c r="AF299" s="12">
        <f>SUM(AF283,AF284,AF285,AF296,AF297,AF298)</f>
        <v>5506.95343357</v>
      </c>
      <c r="AG299" s="12">
        <f>SUM(AG283,AG284,AG285,AG296,AG297,AG298)</f>
        <v>5704.15224397</v>
      </c>
      <c r="AH299" s="12">
        <f>SUM(AH283,AH284,AH285,AH296,AH297,AH298)</f>
        <v>773.117935059998</v>
      </c>
      <c r="AI299" s="12">
        <f>SUM(AI283,AI284,AI285,AI296,AI297,AI298)</f>
        <v>479.68246569</v>
      </c>
      <c r="AJ299" s="12">
        <f>SUM(AJ283,AJ284,AJ285,AJ296,AJ297,AJ298)</f>
        <v>2166.82060656675</v>
      </c>
      <c r="AK299" s="12">
        <f>SUM(AK283,AK284,AK285,AK296,AK297,AK298)</f>
        <v>2674.7517721205</v>
      </c>
      <c r="AL299" s="12">
        <f>SUM(AL283,AL284,AL285,AL296,AL297,AL298)</f>
        <v>6094.37277943725</v>
      </c>
      <c r="AM299" s="12">
        <f>SUM(AM283,AM284,AM285,AM296,AM297,AM298)</f>
        <v>2628.59889591956</v>
      </c>
      <c r="AN299" s="12">
        <f>SUM(AN283,AN284,AN285,AN296,AN297,AN298)</f>
        <v>2664.412978447</v>
      </c>
      <c r="AO299" s="12">
        <f>SUM(AO283,AO284,AO285,AO296,AO297,AO298)</f>
        <v>2734.99115485576</v>
      </c>
      <c r="AP299" s="12">
        <f>SUM(AP283,AP284,AP285,AP296,AP297,AP298)</f>
        <v>2863.60075929413</v>
      </c>
      <c r="AQ299" s="12">
        <f>SUM(AQ283,AQ284,AQ285,AQ296,AQ297,AQ298)</f>
        <v>10891.6037885165</v>
      </c>
      <c r="AR299" s="12">
        <f>SUM(AR283,AR284,AR285,AR296,AR297,AR298)</f>
        <v>2845.2750588612</v>
      </c>
      <c r="AS299" s="12">
        <f>SUM(AS283,AS284,AS285,AS296,AS297,AS298)</f>
        <v>2789.97148979796</v>
      </c>
      <c r="AT299" s="12">
        <f>SUM(AT283,AT284,AT285,AT296,AT297,AT298)</f>
        <v>2902.98117942582</v>
      </c>
      <c r="AU299" s="12">
        <f>SUM(AU283,AU284,AU285,AU296,AU297,AU298)</f>
        <v>3038.86070495149</v>
      </c>
      <c r="AV299" s="12">
        <f>SUM(AV283,AV284,AV285,AV296,AV297,AV298)</f>
        <v>11577.0884330365</v>
      </c>
      <c r="AW299" s="12">
        <f>SUM(AW283,AW284,AW285,AW296,AW297,AW298)</f>
        <v>2980.63412986297</v>
      </c>
      <c r="AX299" s="12">
        <f>SUM(AX283,AX284,AX285,AX296,AX297,AX298)</f>
        <v>2985.58319601433</v>
      </c>
      <c r="AY299" s="12">
        <f>SUM(AY283,AY284,AY285,AY296,AY297,AY298)</f>
        <v>3063.8307591098</v>
      </c>
      <c r="AZ299" s="12">
        <f>SUM(AZ283,AZ284,AZ285,AZ296,AZ297,AZ298)</f>
        <v>3206.41999304418</v>
      </c>
      <c r="BA299" s="12">
        <f>SUM(BA283,BA284,BA285,BA296,BA297,BA298)</f>
        <v>12236.4680780313</v>
      </c>
      <c r="BB299" s="12">
        <f>SUM(BB283,BB284,BB285,BB296,BB297,BB298)</f>
        <v>3146.48562097548</v>
      </c>
      <c r="BC299" s="12">
        <f>SUM(BC283,BC284,BC285,BC296,BC297,BC298)</f>
        <v>3132.76082809594</v>
      </c>
      <c r="BD299" s="12">
        <f>SUM(BD283,BD284,BD285,BD296,BD297,BD298)</f>
        <v>3214.11830294865</v>
      </c>
      <c r="BE299" s="12">
        <f>SUM(BE283,BE284,BE285,BE296,BE297,BE298)</f>
        <v>3362.72369768262</v>
      </c>
      <c r="BF299" s="12">
        <f>SUM(BF283,BF284,BF285,BF296,BF297,BF298)</f>
        <v>12856.0884497027</v>
      </c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</row>
    <row r="300">
      <c r="C300" s="14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  <c r="AJ300" s="12" t="n"/>
      <c r="AK300" s="12" t="n"/>
      <c r="AL300" s="12" t="n"/>
      <c r="AM300" s="12" t="n"/>
      <c r="AN300" s="12" t="n"/>
      <c r="AO300" s="12" t="n"/>
      <c r="AP300" s="12" t="n"/>
      <c r="AQ300" s="12" t="n"/>
      <c r="AR300" s="12" t="n"/>
      <c r="AS300" s="12" t="n"/>
      <c r="AT300" s="12" t="n"/>
      <c r="AU300" s="12" t="n"/>
      <c r="AV300" s="12" t="n"/>
      <c r="AW300" s="12" t="n"/>
      <c r="AX300" s="12" t="n"/>
      <c r="AY300" s="12" t="n"/>
      <c r="AZ300" s="12" t="n"/>
      <c r="BA300" s="12" t="n"/>
      <c r="BB300" s="12" t="n"/>
      <c r="BC300" s="12" t="n"/>
      <c r="BD300" s="12" t="n"/>
      <c r="BE300" s="12" t="n"/>
      <c r="BF300" s="12" t="n"/>
      <c r="BG300" s="12" t="n"/>
      <c r="BH300" s="12" t="n"/>
      <c r="BI300" s="12" t="n"/>
      <c r="BJ300" s="12" t="n"/>
      <c r="BK300" s="12" t="n"/>
      <c r="BL300" s="12" t="n"/>
      <c r="BM300" s="12" t="n"/>
      <c r="BN300" s="12" t="n"/>
      <c r="BO300" s="12" t="n"/>
      <c r="BP300" s="12" t="n"/>
      <c r="BQ300" s="12" t="n"/>
      <c r="BR300" s="12" t="n"/>
      <c r="BS300" s="12" t="n"/>
      <c r="BT300" s="12" t="n"/>
      <c r="BU300" s="12" t="n"/>
      <c r="BV300" s="12" t="n"/>
      <c r="BW300" s="12" t="n"/>
      <c r="BX300" s="12" t="n"/>
      <c r="BY300" s="12" t="n"/>
      <c r="BZ300" s="12" t="n"/>
      <c r="CA300" s="12" t="n"/>
      <c r="CB300" s="12" t="n"/>
      <c r="CC300" s="12" t="n"/>
      <c r="CD300" s="12" t="n"/>
      <c r="CE300" s="12" t="n"/>
      <c r="CF300" s="12" t="n"/>
      <c r="CG300" s="12" t="n"/>
      <c r="CH300" s="12" t="n"/>
      <c r="CI300" s="12" t="n"/>
      <c r="CJ300" s="12" t="n"/>
      <c r="CK300" s="12" t="n"/>
      <c r="CL300" s="12" t="n"/>
      <c r="CM300" s="12" t="n"/>
      <c r="CN300" s="12" t="n"/>
      <c r="CO300" s="12" t="n"/>
      <c r="CP300" s="12" t="n"/>
      <c r="CQ300" s="12" t="n"/>
      <c r="CR300" s="12" t="n"/>
      <c r="CS300" s="12" t="n"/>
      <c r="CT300" s="12" t="n"/>
      <c r="CU300" s="12" t="n"/>
      <c r="CV300" s="12" t="n"/>
      <c r="CW300" s="12" t="n"/>
      <c r="CX300" s="12" t="n"/>
      <c r="CY300" s="12" t="n"/>
    </row>
    <row r="301">
      <c r="C301" s="10" t="inlineStr">
        <is>
          <t>Purchase of fixed assets (capital expenditures)</t>
        </is>
      </c>
      <c r="D301" s="12" t="n"/>
      <c r="E301" s="12" t="n"/>
      <c r="F301" s="12" t="n"/>
      <c r="G301" s="12" t="n"/>
      <c r="H301" s="12" t="n"/>
      <c r="I301" s="12" t="n"/>
      <c r="J301" s="12">
        <f>-J174</f>
        <v>-2519.912278302</v>
      </c>
      <c r="K301" s="12">
        <f>-K174</f>
        <v>-2677.862366387</v>
      </c>
      <c r="L301" s="12">
        <f>-L174</f>
        <v>-4466.906357953</v>
      </c>
      <c r="M301" s="12" t="n"/>
      <c r="N301" s="12">
        <f>-N174</f>
        <v>-2617.717</v>
      </c>
      <c r="O301" s="12">
        <f>-O174</f>
        <v>-4120.517797424</v>
      </c>
      <c r="P301" s="12">
        <f>-P174</f>
        <v>-3580.400305927</v>
      </c>
      <c r="Q301" s="12">
        <f>-Q174</f>
        <v>-4130.904896649</v>
      </c>
      <c r="R301" s="12">
        <f>SUM(N301:Q301)</f>
        <v>-14449.54</v>
      </c>
      <c r="S301" s="12">
        <f>-S174</f>
        <v>-741.259001005996</v>
      </c>
      <c r="T301" s="12">
        <f>-T174</f>
        <v>-1432.58649804101</v>
      </c>
      <c r="U301" s="12">
        <f>-U174</f>
        <v>-1877.31412610199</v>
      </c>
      <c r="V301" s="12">
        <f>-V174</f>
        <v>-4747.971952712</v>
      </c>
      <c r="W301" s="12">
        <f>SUM(S301:V301)</f>
        <v>-8799.131577861</v>
      </c>
      <c r="X301" s="12">
        <f>-X174</f>
        <v>-2087.04612481</v>
      </c>
      <c r="Y301" s="12">
        <f>-Y174</f>
        <v>-2003.02885239</v>
      </c>
      <c r="Z301" s="12">
        <f>-Z174</f>
        <v>-1775.58841639901</v>
      </c>
      <c r="AA301" s="12">
        <f>-AA174</f>
        <v>-3617.507818101</v>
      </c>
      <c r="AB301" s="12">
        <f>SUM(X301:AA301)</f>
        <v>-9483.1712117</v>
      </c>
      <c r="AC301" s="12">
        <f>-AC174</f>
        <v>-228.882905150001</v>
      </c>
      <c r="AD301" s="12">
        <f>-AD174</f>
        <v>-1618.5061943</v>
      </c>
      <c r="AE301" s="12">
        <f>-AE174</f>
        <v>-1334.76005449</v>
      </c>
      <c r="AF301" s="12">
        <f>-AF174</f>
        <v>-3603.59271889001</v>
      </c>
      <c r="AG301" s="12">
        <f>SUM(AC301:AF301)</f>
        <v>-6785.74187283</v>
      </c>
      <c r="AH301" s="12">
        <f>-AH174</f>
        <v>196.637070819999</v>
      </c>
      <c r="AI301" s="12">
        <f>-AI174</f>
        <v>-2942.8259796</v>
      </c>
      <c r="AJ301" s="12">
        <f>-AJ174</f>
        <v>-1728.21257734283</v>
      </c>
      <c r="AK301" s="12">
        <f>-AK174</f>
        <v>-1731.10180451442</v>
      </c>
      <c r="AL301" s="12">
        <f>SUM(AH301:AK301)</f>
        <v>-6205.50329063725</v>
      </c>
      <c r="AM301" s="12">
        <f>-AM174</f>
        <v>-1700.71371127581</v>
      </c>
      <c r="AN301" s="12">
        <f>-AN174</f>
        <v>-1751.21119570685</v>
      </c>
      <c r="AO301" s="12">
        <f>-AO174</f>
        <v>-1834.11124283741</v>
      </c>
      <c r="AP301" s="12">
        <f>-AP174</f>
        <v>-1837.17751148282</v>
      </c>
      <c r="AQ301" s="12">
        <f>SUM(AM301:AP301)</f>
        <v>-7123.21366130289</v>
      </c>
      <c r="AR301" s="12">
        <f>-AR174</f>
        <v>-1796.42377637401</v>
      </c>
      <c r="AS301" s="12">
        <f>-AS174</f>
        <v>-1849.76307803163</v>
      </c>
      <c r="AT301" s="12">
        <f>-AT174</f>
        <v>-1937.32844234926</v>
      </c>
      <c r="AU301" s="12">
        <f>-AU174</f>
        <v>-1940.56726959152</v>
      </c>
      <c r="AV301" s="12">
        <f>SUM(AR301:AU301)</f>
        <v>-7524.08256634641</v>
      </c>
      <c r="AW301" s="12">
        <f>-AW174</f>
        <v>-1888.53794162318</v>
      </c>
      <c r="AX301" s="12">
        <f>-AX174</f>
        <v>-1944.61229127548</v>
      </c>
      <c r="AY301" s="12">
        <f>-AY174</f>
        <v>-2036.6676932696</v>
      </c>
      <c r="AZ301" s="12">
        <f>-AZ174</f>
        <v>-2040.07259595115</v>
      </c>
      <c r="BA301" s="12">
        <f>SUM(AW301:AZ301)</f>
        <v>-7909.8905221194</v>
      </c>
      <c r="BB301" s="12">
        <f>-BB174</f>
        <v>-1975.93270103029</v>
      </c>
      <c r="BC301" s="12">
        <f>-BC174</f>
        <v>-2034.60197037616</v>
      </c>
      <c r="BD301" s="12">
        <f>-BD174</f>
        <v>-2130.91736605751</v>
      </c>
      <c r="BE301" s="12">
        <f>-BE174</f>
        <v>-2134.47983541754</v>
      </c>
      <c r="BF301" s="12">
        <f>SUM(BB301:BE301)</f>
        <v>-8275.93187288151</v>
      </c>
      <c r="BG301" s="12" t="n"/>
      <c r="BH301" s="12" t="n"/>
      <c r="BI301" s="12" t="n"/>
      <c r="BJ301" s="12" t="n"/>
      <c r="BK301" s="12" t="n"/>
      <c r="BL301" s="12" t="n"/>
      <c r="BM301" s="12" t="n"/>
      <c r="BN301" s="12" t="n"/>
      <c r="BO301" s="12" t="n"/>
      <c r="BP301" s="12" t="n"/>
      <c r="BQ301" s="12" t="n"/>
      <c r="BR301" s="12" t="n"/>
      <c r="BS301" s="12" t="n"/>
      <c r="BT301" s="12" t="n"/>
      <c r="BU301" s="12" t="n"/>
      <c r="BV301" s="12" t="n"/>
      <c r="BW301" s="12" t="n"/>
      <c r="BX301" s="12" t="n"/>
      <c r="BY301" s="12" t="n"/>
      <c r="BZ301" s="12" t="n"/>
      <c r="CA301" s="12" t="n"/>
      <c r="CB301" s="12" t="n"/>
      <c r="CC301" s="12" t="n"/>
      <c r="CD301" s="12" t="n"/>
      <c r="CE301" s="12" t="n"/>
      <c r="CF301" s="12" t="n"/>
      <c r="CG301" s="12" t="n"/>
      <c r="CH301" s="12" t="n"/>
      <c r="CI301" s="12" t="n"/>
      <c r="CJ301" s="12" t="n"/>
      <c r="CK301" s="12" t="n"/>
      <c r="CL301" s="12" t="n"/>
      <c r="CM301" s="12" t="n"/>
      <c r="CN301" s="12" t="n"/>
      <c r="CO301" s="12" t="n"/>
      <c r="CP301" s="12" t="n"/>
      <c r="CQ301" s="12" t="n"/>
      <c r="CR301" s="12" t="n"/>
      <c r="CS301" s="12" t="n"/>
      <c r="CT301" s="12" t="n"/>
      <c r="CU301" s="12" t="n"/>
      <c r="CV301" s="12" t="n"/>
      <c r="CW301" s="12" t="n"/>
      <c r="CX301" s="12" t="n"/>
      <c r="CY301" s="12" t="n"/>
    </row>
    <row r="302">
      <c r="C302" s="10" t="inlineStr">
        <is>
          <t>Proceeds from sale of fixed assets</t>
        </is>
      </c>
      <c r="D302" s="12" t="n"/>
      <c r="E302" s="12" t="n"/>
      <c r="F302" s="12" t="n"/>
      <c r="G302" s="12" t="n"/>
      <c r="H302" s="12" t="n"/>
      <c r="I302" s="12" t="n"/>
      <c r="J302" s="12">
        <f>-J175</f>
        <v>0</v>
      </c>
      <c r="K302" s="12">
        <f>-K175</f>
        <v>0</v>
      </c>
      <c r="L302" s="12">
        <f>-L175</f>
        <v>0</v>
      </c>
      <c r="M302" s="12" t="n"/>
      <c r="N302" s="12">
        <f>-N175</f>
        <v>0</v>
      </c>
      <c r="O302" s="12">
        <f>-O175</f>
        <v>0</v>
      </c>
      <c r="P302" s="12">
        <f>-P175</f>
        <v>0</v>
      </c>
      <c r="Q302" s="12">
        <f>-Q175</f>
        <v>0</v>
      </c>
      <c r="R302" s="12">
        <f>SUM(N302:Q302)</f>
        <v>0</v>
      </c>
      <c r="S302" s="12">
        <f>-S175</f>
        <v>0</v>
      </c>
      <c r="T302" s="12">
        <f>-T175</f>
        <v>0</v>
      </c>
      <c r="U302" s="12">
        <f>-U175</f>
        <v>0</v>
      </c>
      <c r="V302" s="12">
        <f>-V175</f>
        <v>0</v>
      </c>
      <c r="W302" s="12">
        <f>SUM(S302:V302)</f>
        <v>0</v>
      </c>
      <c r="X302" s="12">
        <f>-X175</f>
        <v>0</v>
      </c>
      <c r="Y302" s="12">
        <f>-Y175</f>
        <v>0</v>
      </c>
      <c r="Z302" s="12">
        <f>-Z175</f>
        <v>0</v>
      </c>
      <c r="AA302" s="12">
        <f>-AA175</f>
        <v>0</v>
      </c>
      <c r="AB302" s="12">
        <f>SUM(X302:AA302)</f>
        <v>0</v>
      </c>
      <c r="AC302" s="12">
        <f>-AC175</f>
        <v>0</v>
      </c>
      <c r="AD302" s="12">
        <f>-AD175</f>
        <v>0</v>
      </c>
      <c r="AE302" s="12">
        <f>-AE175</f>
        <v>0</v>
      </c>
      <c r="AF302" s="12">
        <f>-AF175</f>
        <v>0</v>
      </c>
      <c r="AG302" s="12">
        <f>SUM(AC302:AF302)</f>
        <v>0</v>
      </c>
      <c r="AH302" s="12">
        <f>-AH175</f>
        <v>0</v>
      </c>
      <c r="AI302" s="12">
        <f>-AI175</f>
        <v>0</v>
      </c>
      <c r="AJ302" s="12">
        <f>-AJ175</f>
        <v>0</v>
      </c>
      <c r="AK302" s="12">
        <f>-AK175</f>
        <v>0</v>
      </c>
      <c r="AL302" s="12">
        <f>SUM(AH302:AK302)</f>
        <v>0</v>
      </c>
      <c r="AM302" s="12">
        <f>-AM175</f>
        <v>0</v>
      </c>
      <c r="AN302" s="12">
        <f>-AN175</f>
        <v>0</v>
      </c>
      <c r="AO302" s="12">
        <f>-AO175</f>
        <v>0</v>
      </c>
      <c r="AP302" s="12">
        <f>-AP175</f>
        <v>0</v>
      </c>
      <c r="AQ302" s="12">
        <f>SUM(AM302:AP302)</f>
        <v>0</v>
      </c>
      <c r="AR302" s="12">
        <f>-AR175</f>
        <v>0</v>
      </c>
      <c r="AS302" s="12">
        <f>-AS175</f>
        <v>0</v>
      </c>
      <c r="AT302" s="12">
        <f>-AT175</f>
        <v>0</v>
      </c>
      <c r="AU302" s="12">
        <f>-AU175</f>
        <v>0</v>
      </c>
      <c r="AV302" s="12">
        <f>SUM(AR302:AU302)</f>
        <v>0</v>
      </c>
      <c r="AW302" s="12">
        <f>-AW175</f>
        <v>0</v>
      </c>
      <c r="AX302" s="12">
        <f>-AX175</f>
        <v>0</v>
      </c>
      <c r="AY302" s="12">
        <f>-AY175</f>
        <v>0</v>
      </c>
      <c r="AZ302" s="12">
        <f>-AZ175</f>
        <v>0</v>
      </c>
      <c r="BA302" s="12">
        <f>SUM(AW302:AZ302)</f>
        <v>0</v>
      </c>
      <c r="BB302" s="12">
        <f>-BB175</f>
        <v>0</v>
      </c>
      <c r="BC302" s="12">
        <f>-BC175</f>
        <v>0</v>
      </c>
      <c r="BD302" s="12">
        <f>-BD175</f>
        <v>0</v>
      </c>
      <c r="BE302" s="12">
        <f>-BE175</f>
        <v>0</v>
      </c>
      <c r="BF302" s="12">
        <f>SUM(BB302:BE302)</f>
        <v>0</v>
      </c>
      <c r="BG302" s="12" t="n"/>
      <c r="BH302" s="12" t="n"/>
      <c r="BI302" s="12" t="n"/>
      <c r="BJ302" s="12" t="n"/>
      <c r="BK302" s="12" t="n"/>
      <c r="BL302" s="12" t="n"/>
      <c r="BM302" s="12" t="n"/>
      <c r="BN302" s="12" t="n"/>
      <c r="BO302" s="12" t="n"/>
      <c r="BP302" s="12" t="n"/>
      <c r="BQ302" s="12" t="n"/>
      <c r="BR302" s="12" t="n"/>
      <c r="BS302" s="12" t="n"/>
      <c r="BT302" s="12" t="n"/>
      <c r="BU302" s="12" t="n"/>
      <c r="BV302" s="12" t="n"/>
      <c r="BW302" s="12" t="n"/>
      <c r="BX302" s="12" t="n"/>
      <c r="BY302" s="12" t="n"/>
      <c r="BZ302" s="12" t="n"/>
      <c r="CA302" s="12" t="n"/>
      <c r="CB302" s="12" t="n"/>
      <c r="CC302" s="12" t="n"/>
      <c r="CD302" s="12" t="n"/>
      <c r="CE302" s="12" t="n"/>
      <c r="CF302" s="12" t="n"/>
      <c r="CG302" s="12" t="n"/>
      <c r="CH302" s="12" t="n"/>
      <c r="CI302" s="12" t="n"/>
      <c r="CJ302" s="12" t="n"/>
      <c r="CK302" s="12" t="n"/>
      <c r="CL302" s="12" t="n"/>
      <c r="CM302" s="12" t="n"/>
      <c r="CN302" s="12" t="n"/>
      <c r="CO302" s="12" t="n"/>
      <c r="CP302" s="12" t="n"/>
      <c r="CQ302" s="12" t="n"/>
      <c r="CR302" s="12" t="n"/>
      <c r="CS302" s="12" t="n"/>
      <c r="CT302" s="12" t="n"/>
      <c r="CU302" s="12" t="n"/>
      <c r="CV302" s="12" t="n"/>
      <c r="CW302" s="12" t="n"/>
      <c r="CX302" s="12" t="n"/>
      <c r="CY302" s="12" t="n"/>
    </row>
    <row r="303">
      <c r="C303" s="10" t="inlineStr">
        <is>
          <t>Var.Right-of-use-assets</t>
        </is>
      </c>
      <c r="D303" s="12" t="n"/>
      <c r="E303" s="12" t="n"/>
      <c r="F303" s="12" t="n"/>
      <c r="G303" s="12" t="n"/>
      <c r="H303" s="12" t="n"/>
      <c r="I303" s="12" t="n"/>
      <c r="J303" s="12">
        <f>(J182-I182)*-1</f>
        <v>0</v>
      </c>
      <c r="K303" s="12">
        <f>(K182-J182)*-1</f>
        <v>0</v>
      </c>
      <c r="L303" s="12">
        <f>(L182-K182)*-1</f>
        <v>0</v>
      </c>
      <c r="M303" s="12" t="n"/>
      <c r="N303" s="12">
        <f>(N182-M182)*-1</f>
        <v>0</v>
      </c>
      <c r="O303" s="12">
        <f>(O182-N182)*-1</f>
        <v>0</v>
      </c>
      <c r="P303" s="12">
        <f>(P182-O182)*-1</f>
        <v>0</v>
      </c>
      <c r="Q303" s="12">
        <f>(Q182-P182)*-1</f>
        <v>0</v>
      </c>
      <c r="R303" s="12">
        <f>SUM(N303:Q303)</f>
        <v>0</v>
      </c>
      <c r="S303" s="12">
        <f>(S182-R182)*-1</f>
        <v>0</v>
      </c>
      <c r="T303" s="12">
        <f>(T182-S182)*-1</f>
        <v>0</v>
      </c>
      <c r="U303" s="12">
        <f>(U182-T182)*-1</f>
        <v>0</v>
      </c>
      <c r="V303" s="12">
        <f>(V182-U182)*-1</f>
        <v>0</v>
      </c>
      <c r="W303" s="12">
        <f>SUM(S303:V303)</f>
        <v>0</v>
      </c>
      <c r="X303" s="12">
        <f>(X182-W182)*-1</f>
        <v>0</v>
      </c>
      <c r="Y303" s="12">
        <f>(Y182-X182)*-1</f>
        <v>0</v>
      </c>
      <c r="Z303" s="12">
        <f>(Z182-Y182)*-1</f>
        <v>0</v>
      </c>
      <c r="AA303" s="12">
        <f>(AA182-Z182)*-1</f>
        <v>0</v>
      </c>
      <c r="AB303" s="12">
        <f>SUM(X303:AA303)</f>
        <v>0</v>
      </c>
      <c r="AC303" s="12">
        <f>(AC182-AB182)*-1</f>
        <v>0</v>
      </c>
      <c r="AD303" s="12">
        <f>(AD182-AC182)*-1</f>
        <v>0</v>
      </c>
      <c r="AE303" s="12">
        <f>(AE182-AD182)*-1</f>
        <v>0</v>
      </c>
      <c r="AF303" s="12">
        <f>(AF182-AE182)*-1</f>
        <v>0</v>
      </c>
      <c r="AG303" s="12">
        <f>SUM(AC303:AF303)</f>
        <v>0</v>
      </c>
      <c r="AH303" s="12">
        <f>(AH182-AG182)*-1</f>
        <v>0</v>
      </c>
      <c r="AI303" s="12">
        <f>(AI182-AH182)*-1</f>
        <v>0</v>
      </c>
      <c r="AJ303" s="12">
        <f>(AJ182-AI182)*-1</f>
        <v>0</v>
      </c>
      <c r="AK303" s="12">
        <f>(AK182-AJ182)*-1</f>
        <v>0</v>
      </c>
      <c r="AL303" s="12">
        <f>SUM(AH303:AK303)</f>
        <v>0</v>
      </c>
      <c r="AM303" s="12">
        <f>(AM182-AL182)*-1</f>
        <v>0</v>
      </c>
      <c r="AN303" s="12">
        <f>(AN182-AM182)*-1</f>
        <v>0</v>
      </c>
      <c r="AO303" s="12">
        <f>(AO182-AN182)*-1</f>
        <v>0</v>
      </c>
      <c r="AP303" s="12">
        <f>(AP182-AO182)*-1</f>
        <v>0</v>
      </c>
      <c r="AQ303" s="12">
        <f>SUM(AM303:AP303)</f>
        <v>0</v>
      </c>
      <c r="AR303" s="12">
        <f>(AR182-AQ182)*-1</f>
        <v>0</v>
      </c>
      <c r="AS303" s="12">
        <f>(AS182-AR182)*-1</f>
        <v>0</v>
      </c>
      <c r="AT303" s="12">
        <f>(AT182-AS182)*-1</f>
        <v>0</v>
      </c>
      <c r="AU303" s="12">
        <f>(AU182-AT182)*-1</f>
        <v>0</v>
      </c>
      <c r="AV303" s="12">
        <f>SUM(AR303:AU303)</f>
        <v>0</v>
      </c>
      <c r="AW303" s="12">
        <f>(AW182-AV182)*-1</f>
        <v>0</v>
      </c>
      <c r="AX303" s="12">
        <f>(AX182-AW182)*-1</f>
        <v>0</v>
      </c>
      <c r="AY303" s="12">
        <f>(AY182-AX182)*-1</f>
        <v>0</v>
      </c>
      <c r="AZ303" s="12">
        <f>(AZ182-AY182)*-1</f>
        <v>0</v>
      </c>
      <c r="BA303" s="12">
        <f>SUM(AW303:AZ303)</f>
        <v>0</v>
      </c>
      <c r="BB303" s="12">
        <f>(BB182-BA182)*-1</f>
        <v>0</v>
      </c>
      <c r="BC303" s="12">
        <f>(BC182-BB182)*-1</f>
        <v>0</v>
      </c>
      <c r="BD303" s="12">
        <f>(BD182-BC182)*-1</f>
        <v>0</v>
      </c>
      <c r="BE303" s="12">
        <f>(BE182-BD182)*-1</f>
        <v>0</v>
      </c>
      <c r="BF303" s="12">
        <f>SUM(BB303:BE303)</f>
        <v>0</v>
      </c>
      <c r="BG303" s="12" t="n"/>
      <c r="BH303" s="12" t="n"/>
      <c r="BI303" s="12" t="n"/>
      <c r="BJ303" s="12" t="n"/>
      <c r="BK303" s="12" t="n"/>
      <c r="BL303" s="12" t="n"/>
      <c r="BM303" s="12" t="n"/>
      <c r="BN303" s="12" t="n"/>
      <c r="BO303" s="12" t="n"/>
      <c r="BP303" s="12" t="n"/>
      <c r="BQ303" s="12" t="n"/>
      <c r="BR303" s="12" t="n"/>
      <c r="BS303" s="12" t="n"/>
      <c r="BT303" s="12" t="n"/>
      <c r="BU303" s="12" t="n"/>
      <c r="BV303" s="12" t="n"/>
      <c r="BW303" s="12" t="n"/>
      <c r="BX303" s="12" t="n"/>
      <c r="BY303" s="12" t="n"/>
      <c r="BZ303" s="12" t="n"/>
      <c r="CA303" s="12" t="n"/>
      <c r="CB303" s="12" t="n"/>
      <c r="CC303" s="12" t="n"/>
      <c r="CD303" s="12" t="n"/>
      <c r="CE303" s="12" t="n"/>
      <c r="CF303" s="12" t="n"/>
      <c r="CG303" s="12" t="n"/>
      <c r="CH303" s="12" t="n"/>
      <c r="CI303" s="12" t="n"/>
      <c r="CJ303" s="12" t="n"/>
      <c r="CK303" s="12" t="n"/>
      <c r="CL303" s="12" t="n"/>
      <c r="CM303" s="12" t="n"/>
      <c r="CN303" s="12" t="n"/>
      <c r="CO303" s="12" t="n"/>
      <c r="CP303" s="12" t="n"/>
      <c r="CQ303" s="12" t="n"/>
      <c r="CR303" s="12" t="n"/>
      <c r="CS303" s="12" t="n"/>
      <c r="CT303" s="12" t="n"/>
      <c r="CU303" s="12" t="n"/>
      <c r="CV303" s="12" t="n"/>
      <c r="CW303" s="12" t="n"/>
      <c r="CX303" s="12" t="n"/>
      <c r="CY303" s="12" t="n"/>
      <c r="CZ303" s="12" t="n"/>
      <c r="DA303" s="12" t="n"/>
      <c r="DB303" s="12" t="n"/>
      <c r="DC303" s="12" t="n"/>
    </row>
    <row r="304">
      <c r="C304" s="10" t="inlineStr">
        <is>
          <t>Purchases of intangible assets</t>
        </is>
      </c>
      <c r="D304" s="12" t="n"/>
      <c r="E304" s="12" t="n"/>
      <c r="F304" s="12" t="n"/>
      <c r="G304" s="12" t="n"/>
      <c r="H304" s="12" t="n"/>
      <c r="I304" s="12" t="n"/>
      <c r="J304" s="12">
        <f>((J186-I186)*-1)+((J185-I185)*-1)</f>
        <v>-148.646</v>
      </c>
      <c r="K304" s="12">
        <f>((K186-J186)*-1)+((K185-J185)*-1)</f>
        <v>-43.6510000000001</v>
      </c>
      <c r="L304" s="12">
        <f>((L186-K186)*-1)+((L185-K185)*-1)</f>
        <v>-79.357</v>
      </c>
      <c r="M304" s="12" t="n"/>
      <c r="N304" s="12">
        <f>((N186-M186)*-1)+((N185-M185)*-1)</f>
        <v>-21.885</v>
      </c>
      <c r="O304" s="12">
        <f>((O186-N186)*-1)+((O185-N185)*-1)</f>
        <v>-383.133</v>
      </c>
      <c r="P304" s="12">
        <f>((P186-O186)*-1)+((P185-O185)*-1)</f>
        <v>-633.52</v>
      </c>
      <c r="Q304" s="12">
        <f>((Q186-P186)*-1)+((Q185-P185)*-1)</f>
        <v>-641.412</v>
      </c>
      <c r="R304" s="12">
        <f>SUM(N304:Q304)</f>
        <v>-1679.95</v>
      </c>
      <c r="S304" s="12">
        <f>((S186-R186)*-1)+((S185-R185)*-1)</f>
        <v>-17.8642759019999</v>
      </c>
      <c r="T304" s="12">
        <f>((T186-S186)*-1)+((T185-S185)*-1)</f>
        <v>-272.749268676</v>
      </c>
      <c r="U304" s="12">
        <f>((U186-T186)*-1)+((U185-T185)*-1)</f>
        <v>-135.073696222</v>
      </c>
      <c r="V304" s="12">
        <f>((V186-U186)*-1)+((V185-U185)*-1)</f>
        <v>-64.1808012590004</v>
      </c>
      <c r="W304" s="12">
        <f>SUM(S304:V304)</f>
        <v>-489.868042059</v>
      </c>
      <c r="X304" s="12">
        <f>((X186-W186)*-1)+((X185-W185)*-1)</f>
        <v>-86.4058326590002</v>
      </c>
      <c r="Y304" s="12">
        <f>((Y186-X186)*-1)+((Y185-X185)*-1)</f>
        <v>-228.100934936</v>
      </c>
      <c r="Z304" s="12">
        <f>((Z186-Y186)*-1)+((Z185-Y185)*-1)</f>
        <v>-135.515861605</v>
      </c>
      <c r="AA304" s="12">
        <f>((AA186-Z186)*-1)+((AA185-Z185)*-1)</f>
        <v>-240.256414201</v>
      </c>
      <c r="AB304" s="12">
        <f>SUM(X304:AA304)</f>
        <v>-690.279043400999</v>
      </c>
      <c r="AC304" s="12">
        <f>((AC186-AB186)*-1)+((AC185-AB185)*-1)</f>
        <v>1216.58385005</v>
      </c>
      <c r="AD304" s="12">
        <f>((AD186-AC186)*-1)+((AD185-AC185)*-1)</f>
        <v>-29.2877217499999</v>
      </c>
      <c r="AE304" s="12">
        <f>((AE186-AD186)*-1)+((AE185-AD185)*-1)</f>
        <v>32.9498123399999</v>
      </c>
      <c r="AF304" s="12">
        <f>((AF186-AE186)*-1)+((AF185-AE185)*-1)</f>
        <v>-74.3628320099997</v>
      </c>
      <c r="AG304" s="12">
        <f>SUM(AC304:AF304)</f>
        <v>1145.88310863</v>
      </c>
      <c r="AH304" s="12">
        <f>((AH186-AG186)*-1)+((AH185-AG185)*-1)</f>
        <v>-13.2552418600003</v>
      </c>
      <c r="AI304" s="12">
        <f>((AI186-AH186)*-1)+((AI185-AH185)*-1)</f>
        <v>-59.7352285000002</v>
      </c>
      <c r="AJ304" s="12">
        <f>((AJ186-AI186)*-1)+((AJ185-AI185)*-1)</f>
        <v>0</v>
      </c>
      <c r="AK304" s="12">
        <f>((AK186-AJ186)*-1)+((AK185-AJ185)*-1)</f>
        <v>0</v>
      </c>
      <c r="AL304" s="12">
        <f>SUM(AH304:AK304)</f>
        <v>-72.9904703600005</v>
      </c>
      <c r="AM304" s="12">
        <f>((AM186-AL186)*-1)+((AM185-AL185)*-1)</f>
        <v>0</v>
      </c>
      <c r="AN304" s="12">
        <f>((AN186-AM186)*-1)+((AN185-AM185)*-1)</f>
        <v>0</v>
      </c>
      <c r="AO304" s="12">
        <f>((AO186-AN186)*-1)+((AO185-AN185)*-1)</f>
        <v>0</v>
      </c>
      <c r="AP304" s="12">
        <f>((AP186-AO186)*-1)+((AP185-AO185)*-1)</f>
        <v>0</v>
      </c>
      <c r="AQ304" s="12">
        <f>SUM(AM304:AP304)</f>
        <v>0</v>
      </c>
      <c r="AR304" s="12">
        <f>((AR186-AQ186)*-1)+((AR185-AQ185)*-1)</f>
        <v>0</v>
      </c>
      <c r="AS304" s="12">
        <f>((AS186-AR186)*-1)+((AS185-AR185)*-1)</f>
        <v>0</v>
      </c>
      <c r="AT304" s="12">
        <f>((AT186-AS186)*-1)+((AT185-AS185)*-1)</f>
        <v>0</v>
      </c>
      <c r="AU304" s="12">
        <f>((AU186-AT186)*-1)+((AU185-AT185)*-1)</f>
        <v>0</v>
      </c>
      <c r="AV304" s="12">
        <f>SUM(AR304:AU304)</f>
        <v>0</v>
      </c>
      <c r="AW304" s="12">
        <f>((AW186-AV186)*-1)+((AW185-AV185)*-1)</f>
        <v>0</v>
      </c>
      <c r="AX304" s="12">
        <f>((AX186-AW186)*-1)+((AX185-AW185)*-1)</f>
        <v>0</v>
      </c>
      <c r="AY304" s="12">
        <f>((AY186-AX186)*-1)+((AY185-AX185)*-1)</f>
        <v>0</v>
      </c>
      <c r="AZ304" s="12">
        <f>((AZ186-AY186)*-1)+((AZ185-AY185)*-1)</f>
        <v>0</v>
      </c>
      <c r="BA304" s="12">
        <f>SUM(AW304:AZ304)</f>
        <v>0</v>
      </c>
      <c r="BB304" s="12">
        <f>((BB186-BA186)*-1)+((BB185-BA185)*-1)</f>
        <v>0</v>
      </c>
      <c r="BC304" s="12">
        <f>((BC186-BB186)*-1)+((BC185-BB185)*-1)</f>
        <v>0</v>
      </c>
      <c r="BD304" s="12">
        <f>((BD186-BC186)*-1)+((BD185-BC185)*-1)</f>
        <v>0</v>
      </c>
      <c r="BE304" s="12">
        <f>((BE186-BD186)*-1)+((BE185-BD185)*-1)</f>
        <v>0</v>
      </c>
      <c r="BF304" s="12">
        <f>SUM(BB304:BE304)</f>
        <v>0</v>
      </c>
      <c r="BG304" s="12" t="n"/>
      <c r="BH304" s="12" t="n"/>
      <c r="BI304" s="12" t="n"/>
      <c r="BJ304" s="12" t="n"/>
      <c r="BK304" s="12" t="n"/>
      <c r="BL304" s="12" t="n"/>
      <c r="BM304" s="12" t="n"/>
      <c r="BN304" s="12" t="n"/>
      <c r="BO304" s="12" t="n"/>
      <c r="BP304" s="12" t="n"/>
      <c r="BQ304" s="12" t="n"/>
      <c r="BR304" s="12" t="n"/>
      <c r="BS304" s="12" t="n"/>
      <c r="BT304" s="12" t="n"/>
      <c r="BU304" s="12" t="n"/>
      <c r="BV304" s="12" t="n"/>
      <c r="BW304" s="12" t="n"/>
      <c r="BX304" s="12" t="n"/>
      <c r="BY304" s="12" t="n"/>
      <c r="BZ304" s="12" t="n"/>
      <c r="CA304" s="12" t="n"/>
      <c r="CB304" s="12" t="n"/>
      <c r="CC304" s="12" t="n"/>
      <c r="CD304" s="12" t="n"/>
      <c r="CE304" s="12" t="n"/>
      <c r="CF304" s="12" t="n"/>
      <c r="CG304" s="12" t="n"/>
      <c r="CH304" s="12" t="n"/>
      <c r="CI304" s="12" t="n"/>
      <c r="CJ304" s="12" t="n"/>
      <c r="CK304" s="12" t="n"/>
      <c r="CL304" s="12" t="n"/>
      <c r="CM304" s="12" t="n"/>
      <c r="CN304" s="12" t="n"/>
      <c r="CO304" s="12" t="n"/>
      <c r="CP304" s="12" t="n"/>
      <c r="CQ304" s="12" t="n"/>
      <c r="CR304" s="12" t="n"/>
      <c r="CS304" s="12" t="n"/>
      <c r="CT304" s="12" t="n"/>
      <c r="CU304" s="12" t="n"/>
      <c r="CV304" s="12" t="n"/>
      <c r="CW304" s="12" t="n"/>
      <c r="CX304" s="12" t="n"/>
      <c r="CY304" s="12" t="n"/>
      <c r="CZ304" s="12" t="n"/>
      <c r="DA304" s="12" t="n"/>
      <c r="DB304" s="12" t="n"/>
      <c r="DC304" s="12" t="n"/>
    </row>
    <row r="305">
      <c r="C305" s="71" t="inlineStr">
        <is>
          <t>Purchases/Proceeds from other long-term assets</t>
        </is>
      </c>
      <c r="D305" s="12" t="n"/>
      <c r="E305" s="12" t="n"/>
      <c r="F305" s="12" t="n"/>
      <c r="G305" s="12" t="n"/>
      <c r="H305" s="12" t="n"/>
      <c r="I305" s="12" t="n"/>
      <c r="J305" s="12">
        <f>((J195-I195)*-1)+(J246-I246)</f>
        <v>592.15116305</v>
      </c>
      <c r="K305" s="12">
        <f>((K195-J195)*-1)+(K246-J246)</f>
        <v>214.44140211</v>
      </c>
      <c r="L305" s="12">
        <f>((L195-K195)*-1)+(L246-K246)</f>
        <v>-282.162</v>
      </c>
      <c r="M305" s="12" t="n"/>
      <c r="N305" s="12">
        <f>((N195-M195)*-1)+(N246-M246)</f>
        <v>1498.87</v>
      </c>
      <c r="O305" s="12">
        <f>((O195-N195)*-1)+(O246-N246)</f>
        <v>158.872</v>
      </c>
      <c r="P305" s="12">
        <f>((P195-O195)*-1)+(P246-O246)</f>
        <v>1026.207</v>
      </c>
      <c r="Q305" s="12">
        <f>((Q195-P195)*-1)+(Q246-P246)</f>
        <v>769.552</v>
      </c>
      <c r="R305" s="12">
        <f>SUM(N305:Q305)</f>
        <v>3453.501</v>
      </c>
      <c r="S305" s="12">
        <f>((S195-R195)*-1)+(S246-R246)</f>
        <v>206.963026127</v>
      </c>
      <c r="T305" s="12">
        <f>((T195-S195)*-1)+(T246-S246)</f>
        <v>-617.689881585</v>
      </c>
      <c r="U305" s="12">
        <f>((U195-T195)*-1)+(U246-T246)</f>
        <v>264.30133853</v>
      </c>
      <c r="V305" s="12">
        <f>((V195-U195)*-1)+(V246-U246)</f>
        <v>-980.110340384</v>
      </c>
      <c r="W305" s="12">
        <f>SUM(S305:V305)</f>
        <v>-1126.535857312</v>
      </c>
      <c r="X305" s="12">
        <f>((X195-W195)*-1)+(X246-W246)</f>
        <v>232.734054871999</v>
      </c>
      <c r="Y305" s="12">
        <f>((Y195-X195)*-1)+(Y246-X246)</f>
        <v>-560.203503566999</v>
      </c>
      <c r="Z305" s="12">
        <f>((Z195-Y195)*-1)+(Z246-Y246)</f>
        <v>-275.608484499</v>
      </c>
      <c r="AA305" s="12">
        <f>((AA195-Z195)*-1)+(AA246-Z246)</f>
        <v>-539.226615794</v>
      </c>
      <c r="AB305" s="12">
        <f>SUM(X305:AA305)</f>
        <v>-1142.304548988</v>
      </c>
      <c r="AC305" s="12">
        <f>((AC195-AB195)*-1)+(AC246-AB246)</f>
        <v>664.5786404</v>
      </c>
      <c r="AD305" s="12">
        <f>((AD195-AC195)*-1)+(AD246-AC246)</f>
        <v>633.638741639999</v>
      </c>
      <c r="AE305" s="12">
        <f>((AE195-AD195)*-1)+(AE246-AD246)</f>
        <v>825.23099041</v>
      </c>
      <c r="AF305" s="12">
        <f>((AF195-AE195)*-1)+(AF246-AE246)</f>
        <v>-646.57693715</v>
      </c>
      <c r="AG305" s="12">
        <f>SUM(AC305:AF305)</f>
        <v>1476.8714353</v>
      </c>
      <c r="AH305" s="12">
        <f>((AH195-AG195)*-1)+(AH246-AG246)</f>
        <v>-1184.10693674</v>
      </c>
      <c r="AI305" s="12">
        <f>((AI195-AH195)*-1)+(AI246-AH246)</f>
        <v>458.606978690001</v>
      </c>
      <c r="AJ305" s="12">
        <f>((AJ195-AI195)*-1)+(AJ246-AI246)</f>
        <v>0</v>
      </c>
      <c r="AK305" s="12">
        <f>((AK195-AJ195)*-1)+(AK246-AJ246)</f>
        <v>0</v>
      </c>
      <c r="AL305" s="12">
        <f>SUM(AH305:AK305)</f>
        <v>-725.49995805</v>
      </c>
      <c r="AM305" s="12">
        <f>((AM195-AL195)*-1)+(AM246-AL246)</f>
        <v>0</v>
      </c>
      <c r="AN305" s="12">
        <f>((AN195-AM195)*-1)+(AN246-AM246)</f>
        <v>0</v>
      </c>
      <c r="AO305" s="12">
        <f>((AO195-AN195)*-1)+(AO246-AN246)</f>
        <v>0</v>
      </c>
      <c r="AP305" s="12">
        <f>((AP195-AO195)*-1)+(AP246-AO246)</f>
        <v>0</v>
      </c>
      <c r="AQ305" s="12">
        <f>SUM(AM305:AP305)</f>
        <v>0</v>
      </c>
      <c r="AR305" s="12">
        <f>((AR195-AQ195)*-1)+(AR246-AQ246)</f>
        <v>0</v>
      </c>
      <c r="AS305" s="12">
        <f>((AS195-AR195)*-1)+(AS246-AR246)</f>
        <v>0</v>
      </c>
      <c r="AT305" s="12">
        <f>((AT195-AS195)*-1)+(AT246-AS246)</f>
        <v>0</v>
      </c>
      <c r="AU305" s="12">
        <f>((AU195-AT195)*-1)+(AU246-AT246)</f>
        <v>0</v>
      </c>
      <c r="AV305" s="12">
        <f>SUM(AR305:AU305)</f>
        <v>0</v>
      </c>
      <c r="AW305" s="12">
        <f>((AW195-AV195)*-1)+(AW246-AV246)</f>
        <v>0</v>
      </c>
      <c r="AX305" s="12">
        <f>((AX195-AW195)*-1)+(AX246-AW246)</f>
        <v>0</v>
      </c>
      <c r="AY305" s="12">
        <f>((AY195-AX195)*-1)+(AY246-AX246)</f>
        <v>0</v>
      </c>
      <c r="AZ305" s="12">
        <f>((AZ195-AY195)*-1)+(AZ246-AY246)</f>
        <v>0</v>
      </c>
      <c r="BA305" s="12">
        <f>SUM(AW305:AZ305)</f>
        <v>0</v>
      </c>
      <c r="BB305" s="12">
        <f>((BB195-BA195)*-1)+(BB246-BA246)</f>
        <v>0</v>
      </c>
      <c r="BC305" s="12">
        <f>((BC195-BB195)*-1)+(BC246-BB246)</f>
        <v>0</v>
      </c>
      <c r="BD305" s="12">
        <f>((BD195-BC195)*-1)+(BD246-BC246)</f>
        <v>0</v>
      </c>
      <c r="BE305" s="12">
        <f>((BE195-BD195)*-1)+(BE246-BD246)</f>
        <v>0</v>
      </c>
      <c r="BF305" s="12">
        <f>SUM(BB305:BE305)</f>
        <v>0</v>
      </c>
      <c r="BG305" s="12" t="n"/>
      <c r="BH305" s="12" t="n"/>
      <c r="BI305" s="12" t="n"/>
      <c r="BJ305" s="12" t="n"/>
      <c r="BK305" s="12" t="n"/>
      <c r="BL305" s="12" t="n"/>
      <c r="BM305" s="12" t="n"/>
      <c r="BN305" s="12" t="n"/>
      <c r="BO305" s="12" t="n"/>
      <c r="BP305" s="12" t="n"/>
      <c r="BQ305" s="12" t="n"/>
      <c r="BR305" s="12" t="n"/>
      <c r="BS305" s="12" t="n"/>
      <c r="BT305" s="12" t="n"/>
      <c r="BU305" s="12" t="n"/>
      <c r="BV305" s="12" t="n"/>
      <c r="BW305" s="12" t="n"/>
      <c r="BX305" s="12" t="n"/>
      <c r="BY305" s="12" t="n"/>
      <c r="BZ305" s="12" t="n"/>
      <c r="CA305" s="12" t="n"/>
      <c r="CB305" s="12" t="n"/>
      <c r="CC305" s="12" t="n"/>
      <c r="CD305" s="12" t="n"/>
      <c r="CE305" s="12" t="n"/>
      <c r="CF305" s="12" t="n"/>
      <c r="CG305" s="12" t="n"/>
      <c r="CH305" s="12" t="n"/>
      <c r="CI305" s="12" t="n"/>
      <c r="CJ305" s="12" t="n"/>
      <c r="CK305" s="12" t="n"/>
      <c r="CL305" s="12" t="n"/>
      <c r="CM305" s="12" t="n"/>
      <c r="CN305" s="12" t="n"/>
      <c r="CO305" s="12" t="n"/>
      <c r="CP305" s="12" t="n"/>
      <c r="CQ305" s="12" t="n"/>
      <c r="CR305" s="12" t="n"/>
      <c r="CS305" s="12" t="n"/>
      <c r="CT305" s="12" t="n"/>
      <c r="CU305" s="12" t="n"/>
      <c r="CV305" s="12" t="n"/>
      <c r="CW305" s="12" t="n"/>
      <c r="CX305" s="12" t="n"/>
      <c r="CY305" s="12" t="n"/>
    </row>
    <row r="306">
      <c r="C306" s="14" t="inlineStr">
        <is>
          <t>Cash from investing</t>
        </is>
      </c>
      <c r="D306" s="12" t="n"/>
      <c r="E306" s="12" t="n"/>
      <c r="F306" s="12" t="n"/>
      <c r="G306" s="12" t="n"/>
      <c r="H306" s="12" t="n"/>
      <c r="I306" s="12" t="n"/>
      <c r="J306" s="12">
        <f>SUM(J301,J302,J304,J305,J303)</f>
        <v>-2076.407115252</v>
      </c>
      <c r="K306" s="12">
        <f>SUM(K301,K302,K304,K305,K303)</f>
        <v>-2507.071964277</v>
      </c>
      <c r="L306" s="12">
        <f>SUM(L301,L302,L304,L305,L303)</f>
        <v>-4828.425357953</v>
      </c>
      <c r="M306" s="12" t="n"/>
      <c r="N306" s="12">
        <f>SUM(N301,N302,N304,N305,N303)</f>
        <v>-1140.732</v>
      </c>
      <c r="O306" s="12">
        <f>SUM(O301,O302,O304,O305,O303)</f>
        <v>-4344.778797424</v>
      </c>
      <c r="P306" s="12">
        <f>SUM(P301,P302,P304,P305,P303)</f>
        <v>-3187.713305927</v>
      </c>
      <c r="Q306" s="12">
        <f>SUM(Q301,Q302,Q304,Q305,Q303)</f>
        <v>-4002.764896649</v>
      </c>
      <c r="R306" s="12">
        <f>SUM(R301,R302,R304,R305)</f>
        <v>-12675.989</v>
      </c>
      <c r="S306" s="12">
        <f>SUM(S301,S302,S304,S305,S303)</f>
        <v>-552.160250780996</v>
      </c>
      <c r="T306" s="12">
        <f>SUM(T301,T302,T304,T305,T303)</f>
        <v>-2323.02564830201</v>
      </c>
      <c r="U306" s="12">
        <f>SUM(U301,U302,U304,U305,U303)</f>
        <v>-1748.08648379399</v>
      </c>
      <c r="V306" s="12">
        <f>SUM(V301,V302,V304,V305,V303)</f>
        <v>-5792.263094355</v>
      </c>
      <c r="W306" s="12">
        <f>SUM(W301,W302,W304,W305)</f>
        <v>-10415.535477232</v>
      </c>
      <c r="X306" s="12">
        <f>SUM(X301,X302,X304,X305,X303)</f>
        <v>-1940.717902597</v>
      </c>
      <c r="Y306" s="12">
        <f>SUM(Y301,Y302,Y304,Y305,Y303)</f>
        <v>-2791.333290893</v>
      </c>
      <c r="Z306" s="12">
        <f>SUM(Z301,Z302,Z304,Z305,Z303)</f>
        <v>-2186.712762503</v>
      </c>
      <c r="AA306" s="12">
        <f>SUM(AA301,AA302,AA304,AA305,AA303)</f>
        <v>-4396.990848096</v>
      </c>
      <c r="AB306" s="12">
        <f>SUM(AB301,AB302,AB304,AB305)</f>
        <v>-11315.754804089</v>
      </c>
      <c r="AC306" s="12">
        <f>SUM(AC301,AC302,AC304,AC305,AC303)</f>
        <v>1652.2795853</v>
      </c>
      <c r="AD306" s="12">
        <f>SUM(AD301,AD302,AD304,AD305,AD303)</f>
        <v>-1014.15517441</v>
      </c>
      <c r="AE306" s="12">
        <f>SUM(AE301,AE302,AE304,AE305,AE303)</f>
        <v>-476.579251739996</v>
      </c>
      <c r="AF306" s="12">
        <f>SUM(AF301,AF302,AF304,AF305,AF303)</f>
        <v>-4324.53248805001</v>
      </c>
      <c r="AG306" s="12">
        <f>SUM(AG301,AG302,AG304,AG305)</f>
        <v>-4162.9873289</v>
      </c>
      <c r="AH306" s="12">
        <f>SUM(AH301,AH302,AH304,AH305,AH303)</f>
        <v>-1000.72510778</v>
      </c>
      <c r="AI306" s="12">
        <f>SUM(AI301,AI302,AI304,AI305,AI303)</f>
        <v>-2543.95422941</v>
      </c>
      <c r="AJ306" s="12">
        <f>SUM(AJ301,AJ302,AJ304,AJ305,AJ303)</f>
        <v>-1728.21257734283</v>
      </c>
      <c r="AK306" s="12">
        <f>SUM(AK301,AK302,AK304,AK305,AK303)</f>
        <v>-1731.10180451442</v>
      </c>
      <c r="AL306" s="12">
        <f>SUM(AL301,AL302,AL304,AL305)</f>
        <v>-7003.99371904725</v>
      </c>
      <c r="AM306" s="12">
        <f>SUM(AM301,AM302,AM304,AM305,AM303)</f>
        <v>-1700.71371127581</v>
      </c>
      <c r="AN306" s="12">
        <f>SUM(AN301,AN302,AN304,AN305,AN303)</f>
        <v>-1751.21119570685</v>
      </c>
      <c r="AO306" s="12">
        <f>SUM(AO301,AO302,AO304,AO305,AO303)</f>
        <v>-1834.11124283741</v>
      </c>
      <c r="AP306" s="12">
        <f>SUM(AP301,AP302,AP304,AP305,AP303)</f>
        <v>-1837.17751148282</v>
      </c>
      <c r="AQ306" s="12">
        <f>SUM(AQ301,AQ302,AQ304,AQ305)</f>
        <v>-7123.21366130289</v>
      </c>
      <c r="AR306" s="12">
        <f>SUM(AR301,AR302,AR304,AR305,AR303)</f>
        <v>-1796.42377637401</v>
      </c>
      <c r="AS306" s="12">
        <f>SUM(AS301,AS302,AS304,AS305,AS303)</f>
        <v>-1849.76307803163</v>
      </c>
      <c r="AT306" s="12">
        <f>SUM(AT301,AT302,AT304,AT305,AT303)</f>
        <v>-1937.32844234926</v>
      </c>
      <c r="AU306" s="12">
        <f>SUM(AU301,AU302,AU304,AU305,AU303)</f>
        <v>-1940.56726959152</v>
      </c>
      <c r="AV306" s="12">
        <f>SUM(AV301,AV302,AV304,AV305)</f>
        <v>-7524.08256634641</v>
      </c>
      <c r="AW306" s="12">
        <f>SUM(AW301,AW302,AW304,AW305,AW303)</f>
        <v>-1888.53794162318</v>
      </c>
      <c r="AX306" s="12">
        <f>SUM(AX301,AX302,AX304,AX305,AX303)</f>
        <v>-1944.61229127548</v>
      </c>
      <c r="AY306" s="12">
        <f>SUM(AY301,AY302,AY304,AY305,AY303)</f>
        <v>-2036.6676932696</v>
      </c>
      <c r="AZ306" s="12">
        <f>SUM(AZ301,AZ302,AZ304,AZ305,AZ303)</f>
        <v>-2040.07259595115</v>
      </c>
      <c r="BA306" s="12">
        <f>SUM(BA301,BA302,BA304,BA305)</f>
        <v>-7909.8905221194</v>
      </c>
      <c r="BB306" s="12">
        <f>SUM(BB301,BB302,BB304,BB305,BB303)</f>
        <v>-1975.93270103029</v>
      </c>
      <c r="BC306" s="12">
        <f>SUM(BC301,BC302,BC304,BC305,BC303)</f>
        <v>-2034.60197037616</v>
      </c>
      <c r="BD306" s="12">
        <f>SUM(BD301,BD302,BD304,BD305,BD303)</f>
        <v>-2130.91736605751</v>
      </c>
      <c r="BE306" s="12">
        <f>SUM(BE301,BE302,BE304,BE305,BE303)</f>
        <v>-2134.47983541754</v>
      </c>
      <c r="BF306" s="12">
        <f>SUM(BF301,BF302,BF304,BF305)</f>
        <v>-8275.93187288151</v>
      </c>
      <c r="BG306" s="12" t="n"/>
      <c r="BH306" s="12" t="n"/>
      <c r="BI306" s="12" t="n"/>
      <c r="BJ306" s="12" t="n"/>
      <c r="BK306" s="12" t="n"/>
      <c r="BL306" s="12" t="n"/>
      <c r="BM306" s="12" t="n"/>
      <c r="BN306" s="12" t="n"/>
      <c r="BO306" s="12" t="n"/>
      <c r="BP306" s="12" t="n"/>
      <c r="BQ306" s="12" t="n"/>
      <c r="BR306" s="12" t="n"/>
      <c r="BS306" s="12" t="n"/>
      <c r="BT306" s="12" t="n"/>
      <c r="BU306" s="12" t="n"/>
      <c r="BV306" s="12" t="n"/>
      <c r="BW306" s="12" t="n"/>
      <c r="BX306" s="12" t="n"/>
      <c r="BY306" s="12" t="n"/>
      <c r="BZ306" s="12" t="n"/>
      <c r="CA306" s="12" t="n"/>
      <c r="CB306" s="12" t="n"/>
      <c r="CC306" s="12" t="n"/>
      <c r="CD306" s="12" t="n"/>
      <c r="CE306" s="12" t="n"/>
      <c r="CF306" s="12" t="n"/>
      <c r="CG306" s="12" t="n"/>
      <c r="CH306" s="12" t="n"/>
      <c r="CI306" s="12" t="n"/>
      <c r="CJ306" s="12" t="n"/>
      <c r="CK306" s="12" t="n"/>
      <c r="CL306" s="12" t="n"/>
      <c r="CM306" s="12" t="n"/>
      <c r="CN306" s="12" t="n"/>
      <c r="CO306" s="12" t="n"/>
      <c r="CP306" s="12" t="n"/>
      <c r="CQ306" s="12" t="n"/>
      <c r="CR306" s="12" t="n"/>
      <c r="CS306" s="12" t="n"/>
      <c r="CT306" s="12" t="n"/>
      <c r="CU306" s="12" t="n"/>
      <c r="CV306" s="12" t="n"/>
      <c r="CW306" s="12" t="n"/>
      <c r="CX306" s="12" t="n"/>
      <c r="CY306" s="12" t="n"/>
    </row>
    <row r="307">
      <c r="C307" s="14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  <c r="AJ307" s="12" t="n"/>
      <c r="AK307" s="12" t="n"/>
      <c r="AL307" s="12" t="n"/>
      <c r="AM307" s="12" t="n"/>
      <c r="AN307" s="12" t="n"/>
      <c r="AO307" s="12" t="n"/>
      <c r="AP307" s="12" t="n"/>
      <c r="AQ307" s="12" t="n"/>
      <c r="AR307" s="12" t="n"/>
      <c r="AS307" s="12" t="n"/>
      <c r="AT307" s="12" t="n"/>
      <c r="AU307" s="12" t="n"/>
      <c r="AV307" s="12" t="n"/>
      <c r="AW307" s="12" t="n"/>
      <c r="AX307" s="12" t="n"/>
      <c r="AY307" s="12" t="n"/>
      <c r="AZ307" s="12" t="n"/>
      <c r="BA307" s="12" t="n"/>
      <c r="BB307" s="12" t="n"/>
      <c r="BC307" s="12" t="n"/>
      <c r="BD307" s="12" t="n"/>
      <c r="BE307" s="12" t="n"/>
      <c r="BF307" s="12" t="n"/>
      <c r="BG307" s="12" t="n"/>
      <c r="BH307" s="12" t="n"/>
      <c r="BI307" s="12" t="n"/>
      <c r="BJ307" s="12" t="n"/>
      <c r="BK307" s="12" t="n"/>
      <c r="BL307" s="12" t="n"/>
      <c r="BM307" s="12" t="n"/>
      <c r="BN307" s="12" t="n"/>
      <c r="BO307" s="12" t="n"/>
      <c r="BP307" s="12" t="n"/>
      <c r="BQ307" s="12" t="n"/>
      <c r="BR307" s="12" t="n"/>
      <c r="BS307" s="12" t="n"/>
      <c r="BT307" s="12" t="n"/>
      <c r="BU307" s="12" t="n"/>
      <c r="BV307" s="12" t="n"/>
      <c r="BW307" s="12" t="n"/>
      <c r="BX307" s="12" t="n"/>
      <c r="BY307" s="12" t="n"/>
      <c r="BZ307" s="12" t="n"/>
      <c r="CA307" s="12" t="n"/>
      <c r="CB307" s="12" t="n"/>
      <c r="CC307" s="12" t="n"/>
      <c r="CD307" s="12" t="n"/>
      <c r="CE307" s="12" t="n"/>
      <c r="CF307" s="12" t="n"/>
      <c r="CG307" s="12" t="n"/>
      <c r="CH307" s="12" t="n"/>
      <c r="CI307" s="12" t="n"/>
      <c r="CJ307" s="12" t="n"/>
      <c r="CK307" s="12" t="n"/>
      <c r="CL307" s="12" t="n"/>
      <c r="CM307" s="12" t="n"/>
      <c r="CN307" s="12" t="n"/>
      <c r="CO307" s="12" t="n"/>
      <c r="CP307" s="12" t="n"/>
      <c r="CQ307" s="12" t="n"/>
      <c r="CR307" s="12" t="n"/>
      <c r="CS307" s="12" t="n"/>
      <c r="CT307" s="12" t="n"/>
      <c r="CU307" s="12" t="n"/>
      <c r="CV307" s="12" t="n"/>
      <c r="CW307" s="12" t="n"/>
      <c r="CX307" s="12" t="n"/>
      <c r="CY307" s="12" t="n"/>
    </row>
    <row r="308">
      <c r="C308" s="14" t="inlineStr">
        <is>
          <t>Convertible preferred stock</t>
        </is>
      </c>
      <c r="D308" s="12" t="n"/>
      <c r="E308" s="12" t="n"/>
      <c r="F308" s="12" t="n"/>
      <c r="G308" s="12" t="n"/>
      <c r="H308" s="12" t="n"/>
      <c r="I308" s="12" t="n"/>
      <c r="J308" s="12">
        <f>J259-I259</f>
        <v>0</v>
      </c>
      <c r="K308" s="12">
        <f>K259-J259</f>
        <v>0</v>
      </c>
      <c r="L308" s="12">
        <f>L259-K259</f>
        <v>0</v>
      </c>
      <c r="M308" s="12" t="n"/>
      <c r="N308" s="12">
        <f>N259-M259</f>
        <v>0</v>
      </c>
      <c r="O308" s="12">
        <f>O259-N259</f>
        <v>0</v>
      </c>
      <c r="P308" s="12">
        <f>P259-O259</f>
        <v>0</v>
      </c>
      <c r="Q308" s="12">
        <f>Q259-P259</f>
        <v>0</v>
      </c>
      <c r="R308" s="12">
        <f>SUM(N308:Q308)</f>
        <v>0</v>
      </c>
      <c r="S308" s="12">
        <f>S259-R259</f>
        <v>0</v>
      </c>
      <c r="T308" s="12">
        <f>T259-S259</f>
        <v>0</v>
      </c>
      <c r="U308" s="12">
        <f>U259-T259</f>
        <v>0</v>
      </c>
      <c r="V308" s="12">
        <f>V259-U259</f>
        <v>0</v>
      </c>
      <c r="W308" s="12">
        <f>SUM(S308:V308)</f>
        <v>0</v>
      </c>
      <c r="X308" s="12">
        <f>X259-W259</f>
        <v>0</v>
      </c>
      <c r="Y308" s="12">
        <f>Y259-X259</f>
        <v>0</v>
      </c>
      <c r="Z308" s="12">
        <f>Z259-Y259</f>
        <v>0</v>
      </c>
      <c r="AA308" s="12">
        <f>AA259-Z259</f>
        <v>0</v>
      </c>
      <c r="AB308" s="12">
        <f>SUM(X308:AA308)</f>
        <v>0</v>
      </c>
      <c r="AC308" s="12">
        <f>AC259-AB259</f>
        <v>0</v>
      </c>
      <c r="AD308" s="12">
        <f>AD259-AC259</f>
        <v>0</v>
      </c>
      <c r="AE308" s="12">
        <f>AE259-AD259</f>
        <v>0</v>
      </c>
      <c r="AF308" s="12">
        <f>AF259-AE259</f>
        <v>0</v>
      </c>
      <c r="AG308" s="12">
        <f>SUM(AC308:AF308)</f>
        <v>0</v>
      </c>
      <c r="AH308" s="12">
        <f>AH259-AG259</f>
        <v>0</v>
      </c>
      <c r="AI308" s="12">
        <f>AI259-AH259</f>
        <v>0</v>
      </c>
      <c r="AJ308" s="12">
        <f>AJ259-AI259</f>
        <v>0</v>
      </c>
      <c r="AK308" s="12">
        <f>AK259-AJ259</f>
        <v>0</v>
      </c>
      <c r="AL308" s="12">
        <f>SUM(AH308:AK308)</f>
        <v>0</v>
      </c>
      <c r="AM308" s="12">
        <f>AM259-AL259</f>
        <v>0</v>
      </c>
      <c r="AN308" s="12">
        <f>AN259-AM259</f>
        <v>0</v>
      </c>
      <c r="AO308" s="12">
        <f>AO259-AN259</f>
        <v>0</v>
      </c>
      <c r="AP308" s="12">
        <f>AP259-AO259</f>
        <v>0</v>
      </c>
      <c r="AQ308" s="12">
        <f>SUM(AM308:AP308)</f>
        <v>0</v>
      </c>
      <c r="AR308" s="12">
        <f>AR259-AQ259</f>
        <v>0</v>
      </c>
      <c r="AS308" s="12">
        <f>AS259-AR259</f>
        <v>0</v>
      </c>
      <c r="AT308" s="12">
        <f>AT259-AS259</f>
        <v>0</v>
      </c>
      <c r="AU308" s="12">
        <f>AU259-AT259</f>
        <v>0</v>
      </c>
      <c r="AV308" s="12">
        <f>SUM(AR308:AU308)</f>
        <v>0</v>
      </c>
      <c r="AW308" s="12">
        <f>AW259-AV259</f>
        <v>0</v>
      </c>
      <c r="AX308" s="12">
        <f>AX259-AW259</f>
        <v>0</v>
      </c>
      <c r="AY308" s="12">
        <f>AY259-AX259</f>
        <v>0</v>
      </c>
      <c r="AZ308" s="12">
        <f>AZ259-AY259</f>
        <v>0</v>
      </c>
      <c r="BA308" s="12">
        <f>SUM(AW308:AZ308)</f>
        <v>0</v>
      </c>
      <c r="BB308" s="12">
        <f>BB259-BA259</f>
        <v>0</v>
      </c>
      <c r="BC308" s="12">
        <f>BC259-BB259</f>
        <v>0</v>
      </c>
      <c r="BD308" s="12">
        <f>BD259-BC259</f>
        <v>0</v>
      </c>
      <c r="BE308" s="12">
        <f>BE259-BD259</f>
        <v>0</v>
      </c>
      <c r="BF308" s="12">
        <f>SUM(BB308:BE308)</f>
        <v>0</v>
      </c>
      <c r="BG308" s="12" t="n"/>
      <c r="BH308" s="12" t="n"/>
      <c r="BI308" s="12" t="n"/>
      <c r="BJ308" s="12" t="n"/>
      <c r="BK308" s="12" t="n"/>
      <c r="BL308" s="12" t="n"/>
      <c r="BM308" s="12" t="n"/>
      <c r="BN308" s="12" t="n"/>
      <c r="BO308" s="12" t="n"/>
      <c r="BP308" s="12" t="n"/>
      <c r="BQ308" s="12" t="n"/>
      <c r="BR308" s="12" t="n"/>
      <c r="BS308" s="12" t="n"/>
      <c r="BT308" s="12" t="n"/>
      <c r="BU308" s="12" t="n"/>
      <c r="BV308" s="12" t="n"/>
      <c r="BW308" s="12" t="n"/>
      <c r="BX308" s="12" t="n"/>
      <c r="BY308" s="12" t="n"/>
      <c r="BZ308" s="12" t="n"/>
      <c r="CA308" s="12" t="n"/>
      <c r="CB308" s="12" t="n"/>
      <c r="CC308" s="12" t="n"/>
      <c r="CD308" s="12" t="n"/>
      <c r="CE308" s="12" t="n"/>
      <c r="CF308" s="12" t="n"/>
      <c r="CG308" s="12" t="n"/>
      <c r="CH308" s="12" t="n"/>
      <c r="CI308" s="12" t="n"/>
      <c r="CJ308" s="12" t="n"/>
      <c r="CK308" s="12" t="n"/>
      <c r="CL308" s="12" t="n"/>
      <c r="CM308" s="12" t="n"/>
      <c r="CN308" s="12" t="n"/>
      <c r="CO308" s="12" t="n"/>
      <c r="CP308" s="12" t="n"/>
      <c r="CQ308" s="12" t="n"/>
      <c r="CR308" s="12" t="n"/>
      <c r="CS308" s="12" t="n"/>
      <c r="CT308" s="12" t="n"/>
      <c r="CU308" s="12" t="n"/>
      <c r="CV308" s="12" t="n"/>
      <c r="CW308" s="12" t="n"/>
      <c r="CX308" s="12" t="n"/>
      <c r="CY308" s="12" t="n"/>
    </row>
    <row r="309">
      <c r="C309" s="14" t="inlineStr">
        <is>
          <t>Common stock and APIC</t>
        </is>
      </c>
      <c r="D309" s="12" t="n"/>
      <c r="E309" s="12" t="n"/>
      <c r="F309" s="12" t="n"/>
      <c r="G309" s="12" t="n"/>
      <c r="H309" s="12" t="n"/>
      <c r="I309" s="12" t="n"/>
      <c r="J309" s="12">
        <f>J260-I260</f>
        <v>43.471</v>
      </c>
      <c r="K309" s="12">
        <f>K260-J260</f>
        <v>570.785</v>
      </c>
      <c r="L309" s="12">
        <f>L260-K260</f>
        <v>97.5659999999998</v>
      </c>
      <c r="M309" s="12" t="n"/>
      <c r="N309" s="12">
        <f>N260-M260</f>
        <v>-47.4609999999998</v>
      </c>
      <c r="O309" s="12">
        <f>O260-N260</f>
        <v>-8.03200000000015</v>
      </c>
      <c r="P309" s="12">
        <f>P260-O260</f>
        <v>392.888</v>
      </c>
      <c r="Q309" s="12">
        <f>Q260-P260</f>
        <v>-57.5170000000003</v>
      </c>
      <c r="R309" s="12">
        <f>SUM(N309:Q309)</f>
        <v>279.878</v>
      </c>
      <c r="S309" s="12">
        <f>S260-R260</f>
        <v>403.728081264</v>
      </c>
      <c r="T309" s="12">
        <f>T260-S260</f>
        <v>0</v>
      </c>
      <c r="U309" s="12">
        <f>U260-T260</f>
        <v>-54.0571400900003</v>
      </c>
      <c r="V309" s="12">
        <f>V260-U260</f>
        <v>-0.592547259999719</v>
      </c>
      <c r="W309" s="12">
        <f>SUM(S309:V309)</f>
        <v>349.078393914</v>
      </c>
      <c r="X309" s="12">
        <f>X260-W260</f>
        <v>-146.75876083</v>
      </c>
      <c r="Y309" s="12">
        <f>Y260-X260</f>
        <v>-1.38403396000058</v>
      </c>
      <c r="Z309" s="12">
        <f>Z260-Y260</f>
        <v>-1.17978978999963</v>
      </c>
      <c r="AA309" s="12">
        <f>AA260-Z260</f>
        <v>-180.889109484</v>
      </c>
      <c r="AB309" s="12">
        <f>SUM(X309:AA309)</f>
        <v>-330.211694064</v>
      </c>
      <c r="AC309" s="12">
        <f>AC260-AB260</f>
        <v>-109.73986748</v>
      </c>
      <c r="AD309" s="12">
        <f>AD260-AC260</f>
        <v>27.48545681</v>
      </c>
      <c r="AE309" s="12">
        <f>AE260-AD260</f>
        <v>-30.4465626000001</v>
      </c>
      <c r="AF309" s="12">
        <f>AF260-AE260</f>
        <v>180.16225242</v>
      </c>
      <c r="AG309" s="12">
        <f>SUM(AC309:AF309)</f>
        <v>67.4612791499994</v>
      </c>
      <c r="AH309" s="12">
        <f>AH260-AG260</f>
        <v>-179.46894828</v>
      </c>
      <c r="AI309" s="12">
        <f>AI260-AH260</f>
        <v>2051.64914807</v>
      </c>
      <c r="AJ309" s="12">
        <f>AJ260-AI260</f>
        <v>0</v>
      </c>
      <c r="AK309" s="12">
        <f>AK260-AJ260</f>
        <v>0</v>
      </c>
      <c r="AL309" s="12">
        <f>SUM(AH309:AK309)</f>
        <v>1872.18019979</v>
      </c>
      <c r="AM309" s="12">
        <f>AM260-AL260</f>
        <v>0</v>
      </c>
      <c r="AN309" s="12">
        <f>AN260-AM260</f>
        <v>0</v>
      </c>
      <c r="AO309" s="12">
        <f>AO260-AN260</f>
        <v>0</v>
      </c>
      <c r="AP309" s="12">
        <f>AP260-AO260</f>
        <v>0</v>
      </c>
      <c r="AQ309" s="12">
        <f>SUM(AM309:AP309)</f>
        <v>0</v>
      </c>
      <c r="AR309" s="12">
        <f>AR260-AQ260</f>
        <v>0</v>
      </c>
      <c r="AS309" s="12">
        <f>AS260-AR260</f>
        <v>0</v>
      </c>
      <c r="AT309" s="12">
        <f>AT260-AS260</f>
        <v>0</v>
      </c>
      <c r="AU309" s="12">
        <f>AU260-AT260</f>
        <v>0</v>
      </c>
      <c r="AV309" s="12">
        <f>SUM(AR309:AU309)</f>
        <v>0</v>
      </c>
      <c r="AW309" s="12">
        <f>AW260-AV260</f>
        <v>0</v>
      </c>
      <c r="AX309" s="12">
        <f>AX260-AW260</f>
        <v>0</v>
      </c>
      <c r="AY309" s="12">
        <f>AY260-AX260</f>
        <v>0</v>
      </c>
      <c r="AZ309" s="12">
        <f>AZ260-AY260</f>
        <v>0</v>
      </c>
      <c r="BA309" s="12">
        <f>SUM(AW309:AZ309)</f>
        <v>0</v>
      </c>
      <c r="BB309" s="12">
        <f>BB260-BA260</f>
        <v>0</v>
      </c>
      <c r="BC309" s="12">
        <f>BC260-BB260</f>
        <v>0</v>
      </c>
      <c r="BD309" s="12">
        <f>BD260-BC260</f>
        <v>0</v>
      </c>
      <c r="BE309" s="12">
        <f>BE260-BD260</f>
        <v>0</v>
      </c>
      <c r="BF309" s="12">
        <f>SUM(BB309:BE309)</f>
        <v>0</v>
      </c>
      <c r="BG309" s="12" t="n"/>
      <c r="BH309" s="12" t="n"/>
      <c r="BI309" s="12" t="n"/>
      <c r="BJ309" s="12" t="n"/>
      <c r="BK309" s="12" t="n"/>
      <c r="BL309" s="12" t="n"/>
      <c r="BM309" s="12" t="n"/>
      <c r="BN309" s="12" t="n"/>
      <c r="BO309" s="12" t="n"/>
      <c r="BP309" s="12" t="n"/>
      <c r="BQ309" s="12" t="n"/>
      <c r="BR309" s="12" t="n"/>
      <c r="BS309" s="12" t="n"/>
      <c r="BT309" s="12" t="n"/>
      <c r="BU309" s="12" t="n"/>
      <c r="BV309" s="12" t="n"/>
      <c r="BW309" s="12" t="n"/>
      <c r="BX309" s="12" t="n"/>
      <c r="BY309" s="12" t="n"/>
      <c r="BZ309" s="12" t="n"/>
      <c r="CA309" s="12" t="n"/>
      <c r="CB309" s="12" t="n"/>
      <c r="CC309" s="12" t="n"/>
      <c r="CD309" s="12" t="n"/>
      <c r="CE309" s="12" t="n"/>
      <c r="CF309" s="12" t="n"/>
      <c r="CG309" s="12" t="n"/>
      <c r="CH309" s="12" t="n"/>
      <c r="CI309" s="12" t="n"/>
      <c r="CJ309" s="12" t="n"/>
      <c r="CK309" s="12" t="n"/>
      <c r="CL309" s="12" t="n"/>
      <c r="CM309" s="12" t="n"/>
      <c r="CN309" s="12" t="n"/>
      <c r="CO309" s="12" t="n"/>
      <c r="CP309" s="12" t="n"/>
      <c r="CQ309" s="12" t="n"/>
      <c r="CR309" s="12" t="n"/>
      <c r="CS309" s="12" t="n"/>
      <c r="CT309" s="12" t="n"/>
      <c r="CU309" s="12" t="n"/>
      <c r="CV309" s="12" t="n"/>
      <c r="CW309" s="12" t="n"/>
      <c r="CX309" s="12" t="n"/>
      <c r="CY309" s="12" t="n"/>
    </row>
    <row r="310">
      <c r="C310" s="14" t="inlineStr">
        <is>
          <t>Treasury stock repurchases</t>
        </is>
      </c>
      <c r="D310" s="12" t="n"/>
      <c r="E310" s="12" t="n"/>
      <c r="F310" s="12" t="n"/>
      <c r="G310" s="12" t="n"/>
      <c r="H310" s="12" t="n"/>
      <c r="I310" s="12" t="n"/>
      <c r="J310" s="12">
        <f>J273-I273</f>
        <v>-10.163</v>
      </c>
      <c r="K310" s="12">
        <f>K273-J273</f>
        <v>130.876</v>
      </c>
      <c r="L310" s="12">
        <f>L273-K273</f>
        <v>0</v>
      </c>
      <c r="M310" s="12" t="n"/>
      <c r="N310" s="12">
        <f>N273-M273</f>
        <v>0</v>
      </c>
      <c r="O310" s="12">
        <f>O273-N273</f>
        <v>-4.00199999999998</v>
      </c>
      <c r="P310" s="12">
        <f>P273-O273</f>
        <v>-10.116</v>
      </c>
      <c r="Q310" s="12">
        <f>Q273-P273</f>
        <v>17.637</v>
      </c>
      <c r="R310" s="12">
        <f>SUM(N310:Q310)</f>
        <v>3.51900000000001</v>
      </c>
      <c r="S310" s="12">
        <f>S273-R273</f>
        <v>-0.000325509999981932</v>
      </c>
      <c r="T310" s="12">
        <f>T273-S273</f>
        <v>-2.76494852000002</v>
      </c>
      <c r="U310" s="12">
        <f>U273-T273</f>
        <v>-0.167850880000003</v>
      </c>
      <c r="V310" s="12">
        <f>V273-U273</f>
        <v>0</v>
      </c>
      <c r="W310" s="12">
        <f>SUM(S310:V310)</f>
        <v>-2.93312491</v>
      </c>
      <c r="X310" s="12">
        <f>X273-W273</f>
        <v>0</v>
      </c>
      <c r="Y310" s="12">
        <f>Y273-X273</f>
        <v>-0.137212730000016</v>
      </c>
      <c r="Z310" s="12">
        <f>Z273-Y273</f>
        <v>-0.335120769999975</v>
      </c>
      <c r="AA310" s="12">
        <f>AA273-Z273</f>
        <v>-4.26389602</v>
      </c>
      <c r="AB310" s="12">
        <f>SUM(X310:AA310)</f>
        <v>-4.73622952</v>
      </c>
      <c r="AC310" s="12">
        <f>AC273-AB273</f>
        <v>-26.13331534</v>
      </c>
      <c r="AD310" s="12">
        <f>AD273-AC273</f>
        <v>-0.0516380000000254</v>
      </c>
      <c r="AE310" s="12">
        <f>AE273-AD273</f>
        <v>0</v>
      </c>
      <c r="AF310" s="12">
        <f>AF273-AE273</f>
        <v>-2.99999953767838e-08</v>
      </c>
      <c r="AG310" s="12">
        <f>SUM(AC310:AF310)</f>
        <v>-26.18495337</v>
      </c>
      <c r="AH310" s="12">
        <f>AH273-AG273</f>
        <v>181.9683078</v>
      </c>
      <c r="AI310" s="12">
        <f>AI273-AH273</f>
        <v>0</v>
      </c>
      <c r="AJ310" s="12">
        <f>AJ273-AI273</f>
        <v>0</v>
      </c>
      <c r="AK310" s="12">
        <f>AK273-AJ273</f>
        <v>0</v>
      </c>
      <c r="AL310" s="12">
        <f>SUM(AH310:AK310)</f>
        <v>181.9683078</v>
      </c>
      <c r="AM310" s="12">
        <f>AM273-AL273</f>
        <v>0</v>
      </c>
      <c r="AN310" s="12">
        <f>AN273-AM273</f>
        <v>0</v>
      </c>
      <c r="AO310" s="12">
        <f>AO273-AN273</f>
        <v>0</v>
      </c>
      <c r="AP310" s="12">
        <f>AP273-AO273</f>
        <v>0</v>
      </c>
      <c r="AQ310" s="12">
        <f>SUM(AM310:AP310)</f>
        <v>0</v>
      </c>
      <c r="AR310" s="12">
        <f>AR273-AQ273</f>
        <v>0</v>
      </c>
      <c r="AS310" s="12">
        <f>AS273-AR273</f>
        <v>0</v>
      </c>
      <c r="AT310" s="12">
        <f>AT273-AS273</f>
        <v>0</v>
      </c>
      <c r="AU310" s="12">
        <f>AU273-AT273</f>
        <v>0</v>
      </c>
      <c r="AV310" s="12">
        <f>SUM(AR310:AU310)</f>
        <v>0</v>
      </c>
      <c r="AW310" s="12">
        <f>AW273-AV273</f>
        <v>0</v>
      </c>
      <c r="AX310" s="12">
        <f>AX273-AW273</f>
        <v>0</v>
      </c>
      <c r="AY310" s="12">
        <f>AY273-AX273</f>
        <v>0</v>
      </c>
      <c r="AZ310" s="12">
        <f>AZ273-AY273</f>
        <v>0</v>
      </c>
      <c r="BA310" s="12">
        <f>SUM(AW310:AZ310)</f>
        <v>0</v>
      </c>
      <c r="BB310" s="12">
        <f>BB273-BA273</f>
        <v>0</v>
      </c>
      <c r="BC310" s="12">
        <f>BC273-BB273</f>
        <v>0</v>
      </c>
      <c r="BD310" s="12">
        <f>BD273-BC273</f>
        <v>0</v>
      </c>
      <c r="BE310" s="12">
        <f>BE273-BD273</f>
        <v>0</v>
      </c>
      <c r="BF310" s="12">
        <f>SUM(BB310:BE310)</f>
        <v>0</v>
      </c>
      <c r="BG310" s="12" t="n"/>
      <c r="BH310" s="12" t="n"/>
      <c r="BI310" s="12" t="n"/>
      <c r="BJ310" s="12" t="n"/>
      <c r="BK310" s="12" t="n"/>
      <c r="BL310" s="12" t="n"/>
      <c r="BM310" s="12" t="n"/>
      <c r="BN310" s="12" t="n"/>
      <c r="BO310" s="12" t="n"/>
      <c r="BP310" s="12" t="n"/>
      <c r="BQ310" s="12" t="n"/>
      <c r="BR310" s="12" t="n"/>
      <c r="BS310" s="12" t="n"/>
      <c r="BT310" s="12" t="n"/>
      <c r="BU310" s="12" t="n"/>
      <c r="BV310" s="12" t="n"/>
      <c r="BW310" s="12" t="n"/>
      <c r="BX310" s="12" t="n"/>
      <c r="BY310" s="12" t="n"/>
      <c r="BZ310" s="12" t="n"/>
      <c r="CA310" s="12" t="n"/>
      <c r="CB310" s="12" t="n"/>
      <c r="CC310" s="12" t="n"/>
      <c r="CD310" s="12" t="n"/>
      <c r="CE310" s="12" t="n"/>
      <c r="CF310" s="12" t="n"/>
      <c r="CG310" s="12" t="n"/>
      <c r="CH310" s="12" t="n"/>
      <c r="CI310" s="12" t="n"/>
      <c r="CJ310" s="12" t="n"/>
      <c r="CK310" s="12" t="n"/>
      <c r="CL310" s="12" t="n"/>
      <c r="CM310" s="12" t="n"/>
      <c r="CN310" s="12" t="n"/>
      <c r="CO310" s="12" t="n"/>
      <c r="CP310" s="12" t="n"/>
      <c r="CQ310" s="12" t="n"/>
      <c r="CR310" s="12" t="n"/>
      <c r="CS310" s="12" t="n"/>
      <c r="CT310" s="12" t="n"/>
      <c r="CU310" s="12" t="n"/>
      <c r="CV310" s="12" t="n"/>
      <c r="CW310" s="12" t="n"/>
      <c r="CX310" s="12" t="n"/>
      <c r="CY310" s="12" t="n"/>
    </row>
    <row r="311">
      <c r="C311" s="14" t="inlineStr">
        <is>
          <t>Comprehensive accumulated loss</t>
        </is>
      </c>
      <c r="D311" s="12" t="n"/>
      <c r="E311" s="12" t="n"/>
      <c r="F311" s="12" t="n"/>
      <c r="G311" s="12" t="n"/>
      <c r="H311" s="12" t="n"/>
      <c r="I311" s="12" t="n"/>
      <c r="J311" s="12">
        <f>J274-I274</f>
        <v>55.266</v>
      </c>
      <c r="K311" s="12">
        <f>K274-J274</f>
        <v>-55.428</v>
      </c>
      <c r="L311" s="12">
        <f>L274-K274</f>
        <v>46.363</v>
      </c>
      <c r="M311" s="12" t="n"/>
      <c r="N311" s="12">
        <f>N274-M274</f>
        <v>-229.358</v>
      </c>
      <c r="O311" s="12">
        <f>O274-N274</f>
        <v>-136.112</v>
      </c>
      <c r="P311" s="12">
        <f>P274-O274</f>
        <v>-164.678</v>
      </c>
      <c r="Q311" s="12">
        <f>Q274-P274</f>
        <v>17.003</v>
      </c>
      <c r="R311" s="12">
        <f>SUM(N311:Q311)</f>
        <v>-513.145</v>
      </c>
      <c r="S311" s="12">
        <f>S274-R274</f>
        <v>-703.091384997</v>
      </c>
      <c r="T311" s="12">
        <f>T274-S274</f>
        <v>229.37143176</v>
      </c>
      <c r="U311" s="12">
        <f>U274-T274</f>
        <v>640.64631553</v>
      </c>
      <c r="V311" s="12">
        <f>V274-U274</f>
        <v>-320.58719812</v>
      </c>
      <c r="W311" s="12">
        <f>SUM(S311:V311)</f>
        <v>-153.660835827</v>
      </c>
      <c r="X311" s="12">
        <f>X274-W274</f>
        <v>-40.24557185</v>
      </c>
      <c r="Y311" s="12">
        <f>Y274-X274</f>
        <v>-43.1587751299999</v>
      </c>
      <c r="Z311" s="12">
        <f>Z274-Y274</f>
        <v>73.2855321899999</v>
      </c>
      <c r="AA311" s="12">
        <f>AA274-Z274</f>
        <v>-166.403694883</v>
      </c>
      <c r="AB311" s="12">
        <f>SUM(X311:AA311)</f>
        <v>-176.522509673</v>
      </c>
      <c r="AC311" s="12">
        <f>AC274-AB274</f>
        <v>100.70333476</v>
      </c>
      <c r="AD311" s="12">
        <f>AD274-AC274</f>
        <v>88.5260580400001</v>
      </c>
      <c r="AE311" s="12">
        <f>AE274-AD274</f>
        <v>-28.89372395</v>
      </c>
      <c r="AF311" s="12">
        <f>AF274-AE274</f>
        <v>724.23460855</v>
      </c>
      <c r="AG311" s="12">
        <f>SUM(AC311:AF311)</f>
        <v>884.5702774</v>
      </c>
      <c r="AH311" s="12">
        <f>AH274-AG274</f>
        <v>-3.99999748879054e-08</v>
      </c>
      <c r="AI311" s="12">
        <f>AI274-AH274</f>
        <v>30.8916723</v>
      </c>
      <c r="AJ311" s="12">
        <f>AJ274-AI274</f>
        <v>0</v>
      </c>
      <c r="AK311" s="12">
        <f>AK274-AJ274</f>
        <v>0</v>
      </c>
      <c r="AL311" s="12">
        <f>SUM(AH311:AK311)</f>
        <v>30.89167226</v>
      </c>
      <c r="AM311" s="12">
        <f>AM274-AL274</f>
        <v>0</v>
      </c>
      <c r="AN311" s="12">
        <f>AN274-AM274</f>
        <v>0</v>
      </c>
      <c r="AO311" s="12">
        <f>AO274-AN274</f>
        <v>0</v>
      </c>
      <c r="AP311" s="12">
        <f>AP274-AO274</f>
        <v>0</v>
      </c>
      <c r="AQ311" s="12">
        <f>SUM(AM311:AP311)</f>
        <v>0</v>
      </c>
      <c r="AR311" s="12">
        <f>AR274-AQ274</f>
        <v>0</v>
      </c>
      <c r="AS311" s="12">
        <f>AS274-AR274</f>
        <v>0</v>
      </c>
      <c r="AT311" s="12">
        <f>AT274-AS274</f>
        <v>0</v>
      </c>
      <c r="AU311" s="12">
        <f>AU274-AT274</f>
        <v>0</v>
      </c>
      <c r="AV311" s="12">
        <f>SUM(AR311:AU311)</f>
        <v>0</v>
      </c>
      <c r="AW311" s="12">
        <f>AW274-AV274</f>
        <v>0</v>
      </c>
      <c r="AX311" s="12">
        <f>AX274-AW274</f>
        <v>0</v>
      </c>
      <c r="AY311" s="12">
        <f>AY274-AX274</f>
        <v>0</v>
      </c>
      <c r="AZ311" s="12">
        <f>AZ274-AY274</f>
        <v>0</v>
      </c>
      <c r="BA311" s="12">
        <f>SUM(AW311:AZ311)</f>
        <v>0</v>
      </c>
      <c r="BB311" s="12">
        <f>BB274-BA274</f>
        <v>0</v>
      </c>
      <c r="BC311" s="12">
        <f>BC274-BB274</f>
        <v>0</v>
      </c>
      <c r="BD311" s="12">
        <f>BD274-BC274</f>
        <v>0</v>
      </c>
      <c r="BE311" s="12">
        <f>BE274-BD274</f>
        <v>0</v>
      </c>
      <c r="BF311" s="12">
        <f>SUM(BB311:BE311)</f>
        <v>0</v>
      </c>
      <c r="BG311" s="12" t="n"/>
      <c r="BH311" s="12" t="n"/>
      <c r="BI311" s="12" t="n"/>
      <c r="BJ311" s="12" t="n"/>
      <c r="BK311" s="12" t="n"/>
      <c r="BL311" s="12" t="n"/>
      <c r="BM311" s="12" t="n"/>
      <c r="BN311" s="12" t="n"/>
      <c r="BO311" s="12" t="n"/>
      <c r="BP311" s="12" t="n"/>
      <c r="BQ311" s="12" t="n"/>
      <c r="BR311" s="12" t="n"/>
      <c r="BS311" s="12" t="n"/>
      <c r="BT311" s="12" t="n"/>
      <c r="BU311" s="12" t="n"/>
      <c r="BV311" s="12" t="n"/>
      <c r="BW311" s="12" t="n"/>
      <c r="BX311" s="12" t="n"/>
      <c r="BY311" s="12" t="n"/>
      <c r="BZ311" s="12" t="n"/>
      <c r="CA311" s="12" t="n"/>
      <c r="CB311" s="12" t="n"/>
      <c r="CC311" s="12" t="n"/>
      <c r="CD311" s="12" t="n"/>
      <c r="CE311" s="12" t="n"/>
      <c r="CF311" s="12" t="n"/>
      <c r="CG311" s="12" t="n"/>
      <c r="CH311" s="12" t="n"/>
      <c r="CI311" s="12" t="n"/>
      <c r="CJ311" s="12" t="n"/>
      <c r="CK311" s="12" t="n"/>
      <c r="CL311" s="12" t="n"/>
      <c r="CM311" s="12" t="n"/>
      <c r="CN311" s="12" t="n"/>
      <c r="CO311" s="12" t="n"/>
      <c r="CP311" s="12" t="n"/>
      <c r="CQ311" s="12" t="n"/>
      <c r="CR311" s="12" t="n"/>
      <c r="CS311" s="12" t="n"/>
      <c r="CT311" s="12" t="n"/>
      <c r="CU311" s="12" t="n"/>
      <c r="CV311" s="12" t="n"/>
      <c r="CW311" s="12" t="n"/>
      <c r="CX311" s="12" t="n"/>
      <c r="CY311" s="12" t="n"/>
    </row>
    <row r="312">
      <c r="C312" s="14" t="inlineStr">
        <is>
          <t>Other equity account</t>
        </is>
      </c>
      <c r="D312" s="12" t="n"/>
      <c r="E312" s="12" t="n"/>
      <c r="F312" s="12" t="n"/>
      <c r="G312" s="12" t="n"/>
      <c r="H312" s="12" t="n"/>
      <c r="I312" s="12" t="n"/>
      <c r="J312" s="12">
        <f>J275-I275</f>
        <v>44.598</v>
      </c>
      <c r="K312" s="12">
        <f>K275-J275</f>
        <v>-112.491</v>
      </c>
      <c r="L312" s="12">
        <f>L275-K275</f>
        <v>-43.032</v>
      </c>
      <c r="M312" s="12" t="n"/>
      <c r="N312" s="12">
        <f>N275-M275</f>
        <v>-171.489</v>
      </c>
      <c r="O312" s="12">
        <f>O275-N275</f>
        <v>-276.904</v>
      </c>
      <c r="P312" s="12">
        <f>P275-O275</f>
        <v>-98.505</v>
      </c>
      <c r="Q312" s="12">
        <f>Q275-P275</f>
        <v>94.527</v>
      </c>
      <c r="R312" s="12">
        <f>SUM(N312:Q312)</f>
        <v>-452.371</v>
      </c>
      <c r="S312" s="12">
        <f>S275-R275</f>
        <v>321.99901879</v>
      </c>
      <c r="T312" s="12">
        <f>T275-S275</f>
        <v>0</v>
      </c>
      <c r="U312" s="12">
        <f>U275-T275</f>
        <v>-101.004</v>
      </c>
      <c r="V312" s="12">
        <f>V275-U275</f>
        <v>526.20709923</v>
      </c>
      <c r="W312" s="12">
        <f>SUM(S312:V312)</f>
        <v>747.20211802</v>
      </c>
      <c r="X312" s="12">
        <f>X275-W275</f>
        <v>-56.05896845</v>
      </c>
      <c r="Y312" s="12">
        <f>Y275-X275</f>
        <v>-35.58092336</v>
      </c>
      <c r="Z312" s="12">
        <f>Z275-Y275</f>
        <v>48.12218999</v>
      </c>
      <c r="AA312" s="12">
        <f>AA275-Z275</f>
        <v>18.09738502</v>
      </c>
      <c r="AB312" s="12">
        <f>SUM(X312:AA312)</f>
        <v>-25.4203168</v>
      </c>
      <c r="AC312" s="12">
        <f>AC275-AB275</f>
        <v>-4.72690764</v>
      </c>
      <c r="AD312" s="12">
        <f>AD275-AC275</f>
        <v>568.01769612</v>
      </c>
      <c r="AE312" s="12">
        <f>AE275-AD275</f>
        <v>88.02152503</v>
      </c>
      <c r="AF312" s="12">
        <f>AF275-AE275</f>
        <v>223.02382567</v>
      </c>
      <c r="AG312" s="12">
        <f>SUM(AC312:AF312)</f>
        <v>874.33613918</v>
      </c>
      <c r="AH312" s="12">
        <f>AH275-AG275</f>
        <v>-80.8765650400001</v>
      </c>
      <c r="AI312" s="12">
        <f>AI275-AH275</f>
        <v>-18.3404585099999</v>
      </c>
      <c r="AJ312" s="12">
        <f>AJ275-AI275</f>
        <v>0</v>
      </c>
      <c r="AK312" s="12">
        <f>AK275-AJ275</f>
        <v>0</v>
      </c>
      <c r="AL312" s="12">
        <f>SUM(AH312:AK312)</f>
        <v>-99.2170235499999</v>
      </c>
      <c r="AM312" s="12">
        <f>AM275-AL275</f>
        <v>0</v>
      </c>
      <c r="AN312" s="12">
        <f>AN275-AM275</f>
        <v>0</v>
      </c>
      <c r="AO312" s="12">
        <f>AO275-AN275</f>
        <v>0</v>
      </c>
      <c r="AP312" s="12">
        <f>AP275-AO275</f>
        <v>0</v>
      </c>
      <c r="AQ312" s="12">
        <f>SUM(AM312:AP312)</f>
        <v>0</v>
      </c>
      <c r="AR312" s="12">
        <f>AR275-AQ275</f>
        <v>0</v>
      </c>
      <c r="AS312" s="12">
        <f>AS275-AR275</f>
        <v>0</v>
      </c>
      <c r="AT312" s="12">
        <f>AT275-AS275</f>
        <v>0</v>
      </c>
      <c r="AU312" s="12">
        <f>AU275-AT275</f>
        <v>0</v>
      </c>
      <c r="AV312" s="12">
        <f>SUM(AR312:AU312)</f>
        <v>0</v>
      </c>
      <c r="AW312" s="12">
        <f>AW275-AV275</f>
        <v>0</v>
      </c>
      <c r="AX312" s="12">
        <f>AX275-AW275</f>
        <v>0</v>
      </c>
      <c r="AY312" s="12">
        <f>AY275-AX275</f>
        <v>0</v>
      </c>
      <c r="AZ312" s="12">
        <f>AZ275-AY275</f>
        <v>0</v>
      </c>
      <c r="BA312" s="12">
        <f>SUM(AW312:AZ312)</f>
        <v>0</v>
      </c>
      <c r="BB312" s="12">
        <f>BB275-BA275</f>
        <v>0</v>
      </c>
      <c r="BC312" s="12">
        <f>BC275-BB275</f>
        <v>0</v>
      </c>
      <c r="BD312" s="12">
        <f>BD275-BC275</f>
        <v>0</v>
      </c>
      <c r="BE312" s="12">
        <f>BE275-BD275</f>
        <v>0</v>
      </c>
      <c r="BF312" s="12">
        <f>SUM(BB312:BE312)</f>
        <v>0</v>
      </c>
      <c r="BG312" s="12" t="n"/>
      <c r="BH312" s="12" t="n"/>
      <c r="BI312" s="12" t="n"/>
      <c r="BJ312" s="12" t="n"/>
      <c r="BK312" s="12" t="n"/>
      <c r="BL312" s="12" t="n"/>
      <c r="BM312" s="12" t="n"/>
      <c r="BN312" s="12" t="n"/>
      <c r="BO312" s="12" t="n"/>
      <c r="BP312" s="12" t="n"/>
      <c r="BQ312" s="12" t="n"/>
      <c r="BR312" s="12" t="n"/>
      <c r="BS312" s="12" t="n"/>
      <c r="BT312" s="12" t="n"/>
      <c r="BU312" s="12" t="n"/>
      <c r="BV312" s="12" t="n"/>
      <c r="BW312" s="12" t="n"/>
      <c r="BX312" s="12" t="n"/>
      <c r="BY312" s="12" t="n"/>
      <c r="BZ312" s="12" t="n"/>
      <c r="CA312" s="12" t="n"/>
      <c r="CB312" s="12" t="n"/>
      <c r="CC312" s="12" t="n"/>
      <c r="CD312" s="12" t="n"/>
      <c r="CE312" s="12" t="n"/>
      <c r="CF312" s="12" t="n"/>
      <c r="CG312" s="12" t="n"/>
      <c r="CH312" s="12" t="n"/>
      <c r="CI312" s="12" t="n"/>
      <c r="CJ312" s="12" t="n"/>
      <c r="CK312" s="12" t="n"/>
      <c r="CL312" s="12" t="n"/>
      <c r="CM312" s="12" t="n"/>
      <c r="CN312" s="12" t="n"/>
      <c r="CO312" s="12" t="n"/>
      <c r="CP312" s="12" t="n"/>
      <c r="CQ312" s="12" t="n"/>
      <c r="CR312" s="12" t="n"/>
      <c r="CS312" s="12" t="n"/>
      <c r="CT312" s="12" t="n"/>
      <c r="CU312" s="12" t="n"/>
      <c r="CV312" s="12" t="n"/>
      <c r="CW312" s="12" t="n"/>
      <c r="CX312" s="12" t="n"/>
      <c r="CY312" s="12" t="n"/>
    </row>
    <row r="313">
      <c r="C313" s="10" t="inlineStr">
        <is>
          <t>Common and preferred dividends</t>
        </is>
      </c>
      <c r="D313" s="12" t="n"/>
      <c r="E313" s="12" t="n"/>
      <c r="F313" s="12" t="n"/>
      <c r="G313" s="12" t="n"/>
      <c r="H313" s="12" t="n"/>
      <c r="I313" s="12" t="n"/>
      <c r="J313" s="12">
        <f>(J276-I276)-J283</f>
        <v>-54.3250000000003</v>
      </c>
      <c r="K313" s="12">
        <f>(K276-J276)-K283</f>
        <v>0</v>
      </c>
      <c r="L313" s="12">
        <f>(L276-K276)-L283</f>
        <v>-206.651</v>
      </c>
      <c r="M313" s="12" t="n"/>
      <c r="N313" s="12">
        <f>(N276-M276)-N283</f>
        <v>-304.261</v>
      </c>
      <c r="O313" s="12">
        <f>(O276-N276)-O283</f>
        <v>0</v>
      </c>
      <c r="P313" s="12">
        <f>(P276-O276)-P283</f>
        <v>-6.25277607468888e-13</v>
      </c>
      <c r="Q313" s="12">
        <f>(Q276-P276)-Q283</f>
        <v>-130.005</v>
      </c>
      <c r="R313" s="12">
        <f>SUM(N313:Q313)</f>
        <v>-434.266</v>
      </c>
      <c r="S313" s="12">
        <f>(S276-R276)-S283</f>
        <v>0.00433978100095089</v>
      </c>
      <c r="T313" s="12">
        <f>(T276-S276)-T283</f>
        <v>-0.00225763000063495</v>
      </c>
      <c r="U313" s="12">
        <f>(U276-T276)-U283</f>
        <v>-0.00120666900116362</v>
      </c>
      <c r="V313" s="12">
        <f>(V276-U276)-V283</f>
        <v>0.00162899899873992</v>
      </c>
      <c r="W313" s="12">
        <f>SUM(S313:V313)</f>
        <v>0.00250448099789224</v>
      </c>
      <c r="X313" s="12">
        <f>(X276-W276)-X283</f>
        <v>9.34363697524532e-13</v>
      </c>
      <c r="Y313" s="12">
        <f>(Y276-X276)-Y283</f>
        <v>-1.30739863379858e-12</v>
      </c>
      <c r="Z313" s="12">
        <f>(Z276-Y276)-Z283</f>
        <v>2.00007548301073e-08</v>
      </c>
      <c r="AA313" s="12">
        <f>(AA276-Z276)-AA283</f>
        <v>-0.0315829500009386</v>
      </c>
      <c r="AB313" s="12">
        <f>SUM(X313:AA313)</f>
        <v>-0.0315829300005568</v>
      </c>
      <c r="AC313" s="12">
        <f>(AC276-AB276)-AC283</f>
        <v>-4.15029056999889</v>
      </c>
      <c r="AD313" s="12">
        <f>(AD276-AC276)-AD283</f>
        <v>-58.3417860000003</v>
      </c>
      <c r="AE313" s="12">
        <f>(AE276-AD276)-AE283</f>
        <v>0.934705580001236</v>
      </c>
      <c r="AF313" s="12">
        <f>(AF276-AE276)-AF283</f>
        <v>6.65370338000031</v>
      </c>
      <c r="AG313" s="12">
        <f>SUM(AC313:AF313)</f>
        <v>-54.9036676099977</v>
      </c>
      <c r="AH313" s="12">
        <f>(AH276-AG276)-AH283</f>
        <v>21.2149369100014</v>
      </c>
      <c r="AI313" s="12">
        <f>(AI276-AH276)-AI283</f>
        <v>-126.310520310001</v>
      </c>
      <c r="AJ313" s="12">
        <f>(AJ276-AI276)-AJ283</f>
        <v>0</v>
      </c>
      <c r="AK313" s="12">
        <f>(AK276-AJ276)-AK283</f>
        <v>0</v>
      </c>
      <c r="AL313" s="12">
        <f>SUM(AH313:AK313)</f>
        <v>-105.095583399999</v>
      </c>
      <c r="AM313" s="12">
        <f>(AM276-AL276)-AM283</f>
        <v>0</v>
      </c>
      <c r="AN313" s="12">
        <f>(AN276-AM276)-AN283</f>
        <v>0</v>
      </c>
      <c r="AO313" s="12">
        <f>(AO276-AN276)-AO283</f>
        <v>0</v>
      </c>
      <c r="AP313" s="12">
        <f>(AP276-AO276)-AP283</f>
        <v>0</v>
      </c>
      <c r="AQ313" s="12">
        <f>SUM(AM313:AP313)</f>
        <v>0</v>
      </c>
      <c r="AR313" s="12">
        <f>(AR276-AQ276)-AR283</f>
        <v>0</v>
      </c>
      <c r="AS313" s="12">
        <f>(AS276-AR276)-AS283</f>
        <v>0</v>
      </c>
      <c r="AT313" s="12">
        <f>(AT276-AS276)-AT283</f>
        <v>0</v>
      </c>
      <c r="AU313" s="12">
        <f>(AU276-AT276)-AU283</f>
        <v>0</v>
      </c>
      <c r="AV313" s="12">
        <f>SUM(AR313:AU313)</f>
        <v>0</v>
      </c>
      <c r="AW313" s="12">
        <f>(AW276-AV276)-AW283</f>
        <v>0</v>
      </c>
      <c r="AX313" s="12">
        <f>(AX276-AW276)-AX283</f>
        <v>0</v>
      </c>
      <c r="AY313" s="12">
        <f>(AY276-AX276)-AY283</f>
        <v>0</v>
      </c>
      <c r="AZ313" s="12">
        <f>(AZ276-AY276)-AZ283</f>
        <v>0</v>
      </c>
      <c r="BA313" s="12">
        <f>SUM(AW313:AZ313)</f>
        <v>0</v>
      </c>
      <c r="BB313" s="12">
        <f>(BB276-BA276)-BB283</f>
        <v>0</v>
      </c>
      <c r="BC313" s="12">
        <f>(BC276-BB276)-BC283</f>
        <v>0</v>
      </c>
      <c r="BD313" s="12">
        <f>(BD276-BC276)-BD283</f>
        <v>0</v>
      </c>
      <c r="BE313" s="12">
        <f>(BE276-BD276)-BE283</f>
        <v>0</v>
      </c>
      <c r="BF313" s="12">
        <f>SUM(BB313:BE313)</f>
        <v>0</v>
      </c>
      <c r="BG313" s="12" t="n"/>
      <c r="BH313" s="12" t="n"/>
      <c r="BI313" s="12" t="n"/>
      <c r="BJ313" s="12" t="n"/>
      <c r="BK313" s="12" t="n"/>
      <c r="BL313" s="12" t="n"/>
      <c r="BM313" s="12" t="n"/>
      <c r="BN313" s="12" t="n"/>
      <c r="BO313" s="12" t="n"/>
      <c r="BP313" s="12" t="n"/>
      <c r="BQ313" s="12" t="n"/>
      <c r="BR313" s="12" t="n"/>
      <c r="BS313" s="12" t="n"/>
      <c r="BT313" s="12" t="n"/>
      <c r="BU313" s="12" t="n"/>
      <c r="BV313" s="12" t="n"/>
      <c r="BW313" s="12" t="n"/>
      <c r="BX313" s="12" t="n"/>
      <c r="BY313" s="12" t="n"/>
      <c r="BZ313" s="12" t="n"/>
      <c r="CA313" s="12" t="n"/>
      <c r="CB313" s="12" t="n"/>
      <c r="CC313" s="12" t="n"/>
      <c r="CD313" s="12" t="n"/>
      <c r="CE313" s="12" t="n"/>
      <c r="CF313" s="12" t="n"/>
      <c r="CG313" s="12" t="n"/>
      <c r="CH313" s="12" t="n"/>
      <c r="CI313" s="12" t="n"/>
      <c r="CJ313" s="12" t="n"/>
      <c r="CK313" s="12" t="n"/>
      <c r="CL313" s="12" t="n"/>
      <c r="CM313" s="12" t="n"/>
      <c r="CN313" s="12" t="n"/>
      <c r="CO313" s="12" t="n"/>
      <c r="CP313" s="12" t="n"/>
      <c r="CQ313" s="12" t="n"/>
      <c r="CR313" s="12" t="n"/>
      <c r="CS313" s="12" t="n"/>
      <c r="CT313" s="12" t="n"/>
      <c r="CU313" s="12" t="n"/>
      <c r="CV313" s="12" t="n"/>
      <c r="CW313" s="12" t="n"/>
      <c r="CX313" s="12" t="n"/>
      <c r="CY313" s="12" t="n"/>
    </row>
    <row r="314">
      <c r="C314" s="14" t="inlineStr">
        <is>
          <t>Dividends to minority interests</t>
        </is>
      </c>
      <c r="D314" s="12" t="n"/>
      <c r="E314" s="12" t="n"/>
      <c r="F314" s="12" t="n"/>
      <c r="G314" s="12" t="n"/>
      <c r="H314" s="12" t="n"/>
      <c r="I314" s="12" t="n"/>
      <c r="J314" s="12">
        <f>(J254-I254)+J142</f>
        <v>20.0523213659999</v>
      </c>
      <c r="K314" s="12">
        <f>(K254-J254)+K142</f>
        <v>327.128498516</v>
      </c>
      <c r="L314" s="12">
        <f>(L254-K254)+L142</f>
        <v>-139.823746357</v>
      </c>
      <c r="M314" s="12" t="n"/>
      <c r="N314" s="12">
        <f>(N254-M254)+N142</f>
        <v>-152.667</v>
      </c>
      <c r="O314" s="12">
        <f>(O254-N254)+O142</f>
        <v>-108.6682</v>
      </c>
      <c r="P314" s="12">
        <f>(P254-O254)+P142</f>
        <v>398.809999541</v>
      </c>
      <c r="Q314" s="12">
        <f>(Q254-P254)+Q142</f>
        <v>-204.30495875</v>
      </c>
      <c r="R314" s="12">
        <f>SUM(N314:Q314)</f>
        <v>-66.8301592089999</v>
      </c>
      <c r="S314" s="12">
        <f>(S254-R254)+S142</f>
        <v>12.804375469</v>
      </c>
      <c r="T314" s="12">
        <f>(T254-S254)+T142</f>
        <v>89.5595967160001</v>
      </c>
      <c r="U314" s="12">
        <f>(U254-T254)+U142</f>
        <v>466.366259875</v>
      </c>
      <c r="V314" s="12">
        <f>(V254-U254)+V142</f>
        <v>313.408311164</v>
      </c>
      <c r="W314" s="12">
        <f>SUM(S314:V314)</f>
        <v>882.138543224</v>
      </c>
      <c r="X314" s="12">
        <f>(X254-W254)+X142</f>
        <v>-5.39578634499985</v>
      </c>
      <c r="Y314" s="12">
        <f>(Y254-X254)+Y142</f>
        <v>1.71332337799996</v>
      </c>
      <c r="Z314" s="12">
        <f>(Z254-Y254)+Z142</f>
        <v>51.541643983</v>
      </c>
      <c r="AA314" s="12">
        <f>(AA254-Z254)+AA142</f>
        <v>-791.855927834</v>
      </c>
      <c r="AB314" s="12">
        <f>SUM(X314:AA314)</f>
        <v>-743.996746818</v>
      </c>
      <c r="AC314" s="12">
        <f>(AC254-AB254)+AC142</f>
        <v>-62.8763434199998</v>
      </c>
      <c r="AD314" s="12">
        <f>(AD254-AC254)+AD142</f>
        <v>-57.5985585900003</v>
      </c>
      <c r="AE314" s="12">
        <f>(AE254-AD254)+AE142</f>
        <v>44.4701037700002</v>
      </c>
      <c r="AF314" s="12">
        <f>(AF254-AE254)+AF142</f>
        <v>-172.81084919</v>
      </c>
      <c r="AG314" s="12">
        <f>SUM(AC314:AF314)</f>
        <v>-248.81564743</v>
      </c>
      <c r="AH314" s="12">
        <f>(AH254-AG254)+AH142</f>
        <v>-25.8708026999997</v>
      </c>
      <c r="AI314" s="12">
        <f>(AI254-AH254)+AI142</f>
        <v>1022.4119043</v>
      </c>
      <c r="AJ314" s="12">
        <f>(AJ254-AI254)+AJ142</f>
        <v>0</v>
      </c>
      <c r="AK314" s="12">
        <f>(AK254-AJ254)+AK142</f>
        <v>0</v>
      </c>
      <c r="AL314" s="12">
        <f>SUM(AH314:AK314)</f>
        <v>996.5411016</v>
      </c>
      <c r="AM314" s="12">
        <f>(AM254-AL254)+AM142</f>
        <v>0</v>
      </c>
      <c r="AN314" s="12">
        <f>(AN254-AM254)+AN142</f>
        <v>0</v>
      </c>
      <c r="AO314" s="12">
        <f>(AO254-AN254)+AO142</f>
        <v>0</v>
      </c>
      <c r="AP314" s="12">
        <f>(AP254-AO254)+AP142</f>
        <v>0</v>
      </c>
      <c r="AQ314" s="12">
        <f>SUM(AM314:AP314)</f>
        <v>0</v>
      </c>
      <c r="AR314" s="12">
        <f>(AR254-AQ254)+AR142</f>
        <v>0</v>
      </c>
      <c r="AS314" s="12">
        <f>(AS254-AR254)+AS142</f>
        <v>0</v>
      </c>
      <c r="AT314" s="12">
        <f>(AT254-AS254)+AT142</f>
        <v>0</v>
      </c>
      <c r="AU314" s="12">
        <f>(AU254-AT254)+AU142</f>
        <v>0</v>
      </c>
      <c r="AV314" s="12">
        <f>SUM(AR314:AU314)</f>
        <v>0</v>
      </c>
      <c r="AW314" s="12">
        <f>(AW254-AV254)+AW142</f>
        <v>0</v>
      </c>
      <c r="AX314" s="12">
        <f>(AX254-AW254)+AX142</f>
        <v>0</v>
      </c>
      <c r="AY314" s="12">
        <f>(AY254-AX254)+AY142</f>
        <v>0</v>
      </c>
      <c r="AZ314" s="12">
        <f>(AZ254-AY254)+AZ142</f>
        <v>0</v>
      </c>
      <c r="BA314" s="12">
        <f>SUM(AW314:AZ314)</f>
        <v>0</v>
      </c>
      <c r="BB314" s="12">
        <f>(BB254-BA254)+BB142</f>
        <v>0</v>
      </c>
      <c r="BC314" s="12">
        <f>(BC254-BB254)+BC142</f>
        <v>0</v>
      </c>
      <c r="BD314" s="12">
        <f>(BD254-BC254)+BD142</f>
        <v>0</v>
      </c>
      <c r="BE314" s="12">
        <f>(BE254-BD254)+BE142</f>
        <v>0</v>
      </c>
      <c r="BF314" s="12">
        <f>SUM(BB314:BE314)</f>
        <v>0</v>
      </c>
      <c r="BG314" s="12" t="n"/>
      <c r="BH314" s="12" t="n"/>
      <c r="BI314" s="12" t="n"/>
      <c r="BJ314" s="12" t="n"/>
      <c r="BK314" s="12" t="n"/>
      <c r="BL314" s="12" t="n"/>
      <c r="BM314" s="12" t="n"/>
      <c r="BN314" s="12" t="n"/>
      <c r="BO314" s="12" t="n"/>
      <c r="BP314" s="12" t="n"/>
      <c r="BQ314" s="12" t="n"/>
      <c r="BR314" s="12" t="n"/>
      <c r="BS314" s="12" t="n"/>
      <c r="BT314" s="12" t="n"/>
      <c r="BU314" s="12" t="n"/>
      <c r="BV314" s="12" t="n"/>
      <c r="BW314" s="12" t="n"/>
      <c r="BX314" s="12" t="n"/>
      <c r="BY314" s="12" t="n"/>
      <c r="BZ314" s="12" t="n"/>
      <c r="CA314" s="12" t="n"/>
      <c r="CB314" s="12" t="n"/>
      <c r="CC314" s="12" t="n"/>
      <c r="CD314" s="12" t="n"/>
      <c r="CE314" s="12" t="n"/>
      <c r="CF314" s="12" t="n"/>
      <c r="CG314" s="12" t="n"/>
      <c r="CH314" s="12" t="n"/>
      <c r="CI314" s="12" t="n"/>
      <c r="CJ314" s="12" t="n"/>
      <c r="CK314" s="12" t="n"/>
      <c r="CL314" s="12" t="n"/>
      <c r="CM314" s="12" t="n"/>
      <c r="CN314" s="12" t="n"/>
      <c r="CO314" s="12" t="n"/>
      <c r="CP314" s="12" t="n"/>
      <c r="CQ314" s="12" t="n"/>
      <c r="CR314" s="12" t="n"/>
      <c r="CS314" s="12" t="n"/>
      <c r="CT314" s="12" t="n"/>
      <c r="CU314" s="12" t="n"/>
      <c r="CV314" s="12" t="n"/>
      <c r="CW314" s="12" t="n"/>
      <c r="CX314" s="12" t="n"/>
      <c r="CY314" s="12" t="n"/>
    </row>
    <row r="315">
      <c r="C315" s="15" t="inlineStr">
        <is>
          <t>Increases / (decreases) in debt</t>
        </is>
      </c>
      <c r="D315" s="12" t="n"/>
      <c r="E315" s="12" t="n"/>
      <c r="F315" s="12" t="n"/>
      <c r="G315" s="12" t="n"/>
      <c r="H315" s="12" t="n"/>
      <c r="I315" s="12" t="n"/>
      <c r="J315" s="12">
        <f>SUM(J218:J220,J223,J244,J241)-SUM(I218:I220,I223,I244,I241)</f>
        <v>-411.130591960002</v>
      </c>
      <c r="K315" s="12">
        <f>SUM(K218:K220,K223,K244,K241)-SUM(J218:J220,J223,J244,J241)</f>
        <v>5991.43032636</v>
      </c>
      <c r="L315" s="12">
        <f>SUM(L218:L220,L223,L244,L241)-SUM(K218:K220,K223,K244,K241)</f>
        <v>5196.447</v>
      </c>
      <c r="M315" s="12" t="n"/>
      <c r="N315" s="12">
        <f>SUM(N218:N220,N223,N244,N241)-SUM(M218:M220,M223,M244,M241)</f>
        <v>-1608.213</v>
      </c>
      <c r="O315" s="12">
        <f>SUM(O218:O220,O223,O244,O241)-SUM(N218:N220,N223,N244,N241)</f>
        <v>4287.942</v>
      </c>
      <c r="P315" s="12">
        <f>SUM(P218:P220,P223,P244,P241)-SUM(O218:O220,O223,O244,O241)</f>
        <v>3855.673</v>
      </c>
      <c r="Q315" s="12">
        <f>SUM(Q218:Q220,Q223,Q244,Q241)-SUM(P218:P220,P223,P244,P241)</f>
        <v>-1015.104</v>
      </c>
      <c r="R315" s="12">
        <f>SUM(N315:Q315)</f>
        <v>5520.298</v>
      </c>
      <c r="S315" s="12">
        <f>SUM(S218:S220,S223,S244,S241)-SUM(R218:R220,R223,R244,R241)</f>
        <v>-217.907740531002</v>
      </c>
      <c r="T315" s="12">
        <f>SUM(T218:T220,T223,T244,T241)-SUM(S218:S220,S223,S244,S241)</f>
        <v>1033.97624483699</v>
      </c>
      <c r="U315" s="12">
        <f>SUM(U218:U220,U223,U244,U241)-SUM(T218:T220,T223,T244,T241)</f>
        <v>521.115417256006</v>
      </c>
      <c r="V315" s="12">
        <f>SUM(V218:V220,V223,V244,V241)-SUM(U218:U220,U223,U244,U241)</f>
        <v>4183.413934114</v>
      </c>
      <c r="W315" s="12">
        <f>SUM(S315:V315)</f>
        <v>5520.597855676</v>
      </c>
      <c r="X315" s="12">
        <f>SUM(X218:X220,X223,X244,X241)-SUM(W218:W220,W223,W244,W241)</f>
        <v>3310.70120300099</v>
      </c>
      <c r="Y315" s="12">
        <f>SUM(Y218:Y220,Y223,Y244,Y241)-SUM(X218:X220,X223,X244,X241)</f>
        <v>2557.313500219</v>
      </c>
      <c r="Z315" s="12">
        <f>SUM(Z218:Z220,Z223,Z244,Z241)-SUM(Y218:Y220,Y223,Y244,Y241)</f>
        <v>3485.31737406201</v>
      </c>
      <c r="AA315" s="12">
        <f>SUM(AA218:AA220,AA223,AA244,AA241)-SUM(Z218:Z220,Z223,Z244,Z241)</f>
        <v>2087.72211771199</v>
      </c>
      <c r="AB315" s="12">
        <f>SUM(X315:AA315)</f>
        <v>11441.054194994</v>
      </c>
      <c r="AC315" s="12">
        <f>SUM(AC218:AC220,AC223,AC244,AC241)-SUM(AB218:AB220,AB223,AB244,AB241)</f>
        <v>427.371392329995</v>
      </c>
      <c r="AD315" s="12">
        <f>SUM(AD218:AD220,AD223,AD244,AD241)-SUM(AC218:AC220,AC223,AC244,AC241)</f>
        <v>-761.442087129995</v>
      </c>
      <c r="AE315" s="12">
        <f>SUM(AE218:AE220,AE223,AE244,AE241)-SUM(AD218:AD220,AD223,AD244,AD241)</f>
        <v>-1235.85818480999</v>
      </c>
      <c r="AF315" s="12">
        <f>SUM(AF218:AF220,AF223,AF244,AF241)-SUM(AE218:AE220,AE223,AE244,AE241)</f>
        <v>2190.60127205999</v>
      </c>
      <c r="AG315" s="12">
        <f>SUM(AC315:AF315)</f>
        <v>620.672392449997</v>
      </c>
      <c r="AH315" s="12">
        <f>SUM(AH218:AH220,AH223,AH244,AH241)-SUM(AG218:AG220,AG223,AG244,AG241)</f>
        <v>1296.36340975001</v>
      </c>
      <c r="AI315" s="12">
        <f>SUM(AI218:AI220,AI223,AI244,AI241)-SUM(AH218:AH220,AH223,AH244,AH241)</f>
        <v>-757.759087870007</v>
      </c>
      <c r="AJ315" s="12">
        <f>SUM(AJ218:AJ220,AJ223,AJ244,AJ241)-SUM(AI218:AI220,AI223,AI244,AI241)</f>
        <v>0</v>
      </c>
      <c r="AK315" s="12">
        <f>SUM(AK218:AK220,AK223,AK244,AK241)-SUM(AJ218:AJ220,AJ223,AJ244,AJ241)</f>
        <v>0</v>
      </c>
      <c r="AL315" s="12">
        <f>SUM(AH315:AK315)</f>
        <v>538.604321880004</v>
      </c>
      <c r="AM315" s="12">
        <f>SUM(AM218:AM220,AM223,AM244,AM241)-SUM(AL218:AL220,AL223,AL244,AL241)</f>
        <v>0</v>
      </c>
      <c r="AN315" s="12">
        <f>SUM(AN218:AN220,AN223,AN244,AN241)-SUM(AM218:AM220,AM223,AM244,AM241)</f>
        <v>0</v>
      </c>
      <c r="AO315" s="12">
        <f>SUM(AO218:AO220,AO223,AO244,AO241)-SUM(AN218:AN220,AN223,AN244,AN241)</f>
        <v>0</v>
      </c>
      <c r="AP315" s="12">
        <f>SUM(AP218:AP220,AP223,AP244,AP241)-SUM(AO218:AO220,AO223,AO244,AO241)</f>
        <v>0</v>
      </c>
      <c r="AQ315" s="12">
        <f>SUM(AM315:AP315)</f>
        <v>0</v>
      </c>
      <c r="AR315" s="12">
        <f>SUM(AR218:AR220,AR223,AR244,AR241)-SUM(AQ218:AQ220,AQ223,AQ244,AQ241)</f>
        <v>0</v>
      </c>
      <c r="AS315" s="12">
        <f>SUM(AS218:AS220,AS223,AS244,AS241)-SUM(AR218:AR220,AR223,AR244,AR241)</f>
        <v>0</v>
      </c>
      <c r="AT315" s="12">
        <f>SUM(AT218:AT220,AT223,AT244,AT241)-SUM(AS218:AS220,AS223,AS244,AS241)</f>
        <v>0</v>
      </c>
      <c r="AU315" s="12">
        <f>SUM(AU218:AU220,AU223,AU244,AU241)-SUM(AT218:AT220,AT223,AT244,AT241)</f>
        <v>0</v>
      </c>
      <c r="AV315" s="12">
        <f>SUM(AR315:AU315)</f>
        <v>0</v>
      </c>
      <c r="AW315" s="12">
        <f>SUM(AW218:AW220,AW223,AW244,AW241)-SUM(AV218:AV220,AV223,AV244,AV241)</f>
        <v>0</v>
      </c>
      <c r="AX315" s="12">
        <f>SUM(AX218:AX220,AX223,AX244,AX241)-SUM(AW218:AW220,AW223,AW244,AW241)</f>
        <v>0</v>
      </c>
      <c r="AY315" s="12">
        <f>SUM(AY218:AY220,AY223,AY244,AY241)-SUM(AX218:AX220,AX223,AX244,AX241)</f>
        <v>0</v>
      </c>
      <c r="AZ315" s="12">
        <f>SUM(AZ218:AZ220,AZ223,AZ244,AZ241)-SUM(AY218:AY220,AY223,AY244,AY241)</f>
        <v>0</v>
      </c>
      <c r="BA315" s="12">
        <f>SUM(AW315:AZ315)</f>
        <v>0</v>
      </c>
      <c r="BB315" s="12">
        <f>SUM(BB218:BB220,BB223,BB244,BB241)-SUM(BA218:BA220,BA223,BA244,BA241)</f>
        <v>0</v>
      </c>
      <c r="BC315" s="12">
        <f>SUM(BC218:BC220,BC223,BC244,BC241)-SUM(BB218:BB220,BB223,BB244,BB241)</f>
        <v>0</v>
      </c>
      <c r="BD315" s="12">
        <f>SUM(BD218:BD220,BD223,BD244,BD241)-SUM(BC218:BC220,BC223,BC244,BC241)</f>
        <v>0</v>
      </c>
      <c r="BE315" s="12">
        <f>SUM(BE218:BE220,BE223,BE244,BE241)-SUM(BD218:BD220,BD223,BD244,BD241)</f>
        <v>0</v>
      </c>
      <c r="BF315" s="12">
        <f>SUM(BB315:BE315)</f>
        <v>0</v>
      </c>
      <c r="BG315" s="12" t="n"/>
      <c r="BH315" s="12" t="n"/>
      <c r="BI315" s="12" t="n"/>
      <c r="BJ315" s="12" t="n"/>
      <c r="BK315" s="12" t="n"/>
      <c r="BL315" s="12" t="n"/>
      <c r="BM315" s="12" t="n"/>
      <c r="BN315" s="12" t="n"/>
      <c r="BO315" s="12" t="n"/>
      <c r="BP315" s="12" t="n"/>
      <c r="BQ315" s="12" t="n"/>
      <c r="BR315" s="12" t="n"/>
      <c r="BS315" s="12" t="n"/>
      <c r="BT315" s="12" t="n"/>
      <c r="BU315" s="12" t="n"/>
      <c r="BV315" s="12" t="n"/>
      <c r="BW315" s="12" t="n"/>
      <c r="BX315" s="12" t="n"/>
      <c r="BY315" s="12" t="n"/>
      <c r="BZ315" s="12" t="n"/>
      <c r="CA315" s="12" t="n"/>
      <c r="CB315" s="12" t="n"/>
      <c r="CC315" s="12" t="n"/>
      <c r="CD315" s="12" t="n"/>
      <c r="CE315" s="12" t="n"/>
      <c r="CF315" s="12" t="n"/>
      <c r="CG315" s="12" t="n"/>
      <c r="CH315" s="12" t="n"/>
      <c r="CI315" s="12" t="n"/>
      <c r="CJ315" s="12" t="n"/>
      <c r="CK315" s="12" t="n"/>
      <c r="CL315" s="12" t="n"/>
      <c r="CM315" s="12" t="n"/>
      <c r="CN315" s="12" t="n"/>
      <c r="CO315" s="12" t="n"/>
      <c r="CP315" s="12" t="n"/>
      <c r="CQ315" s="12" t="n"/>
      <c r="CR315" s="12" t="n"/>
      <c r="CS315" s="12" t="n"/>
      <c r="CT315" s="12" t="n"/>
      <c r="CU315" s="12" t="n"/>
      <c r="CV315" s="12" t="n"/>
      <c r="CW315" s="12" t="n"/>
      <c r="CX315" s="12" t="n"/>
      <c r="CY315" s="12" t="n"/>
      <c r="CZ315" s="12" t="n"/>
      <c r="DA315" s="12" t="n"/>
      <c r="DB315" s="12" t="n"/>
      <c r="DC315" s="12" t="n"/>
    </row>
    <row r="316">
      <c r="C316" s="14" t="inlineStr">
        <is>
          <t>Cash from financing</t>
        </is>
      </c>
      <c r="D316" s="12" t="n"/>
      <c r="E316" s="12" t="n"/>
      <c r="F316" s="12" t="n"/>
      <c r="G316" s="12" t="n"/>
      <c r="H316" s="12" t="n"/>
      <c r="I316" s="12" t="n"/>
      <c r="J316" s="12">
        <f>SUM(J308,J309,J310,J311,J312,J313,J314,J315)</f>
        <v>-312.231270594002</v>
      </c>
      <c r="K316" s="12">
        <f>SUM(K308,K309,K310,K311,K312,K313,K314,K315)</f>
        <v>6852.300824876</v>
      </c>
      <c r="L316" s="12">
        <f>SUM(L308,L309,L310,L311,L312,L313,L314,L315)</f>
        <v>4950.869253643</v>
      </c>
      <c r="M316" s="12" t="n"/>
      <c r="N316" s="12">
        <f>SUM(N308,N309,N310,N311,N312,N313,N314,N315)</f>
        <v>-2513.449</v>
      </c>
      <c r="O316" s="12">
        <f>SUM(O308,O309,O310,O311,O312,O313,O314,O315)</f>
        <v>3754.2238</v>
      </c>
      <c r="P316" s="12">
        <f>SUM(P308,P309,P310,P311,P312,P313,P314,P315)</f>
        <v>4374.071999541</v>
      </c>
      <c r="Q316" s="12">
        <f>SUM(Q308,Q309,Q310,Q311,Q312,Q313,Q314,Q315)</f>
        <v>-1277.76395875</v>
      </c>
      <c r="R316" s="12">
        <f>SUM(R308,R309,R310,R311,R312,R313,R314,R315)</f>
        <v>4337.082840791</v>
      </c>
      <c r="S316" s="12">
        <f>SUM(S308,S309,S310,S311,S312,S313,S314,S315)</f>
        <v>-182.463635734001</v>
      </c>
      <c r="T316" s="12">
        <f>SUM(T308,T309,T310,T311,T312,T313,T314,T315)</f>
        <v>1350.14006716299</v>
      </c>
      <c r="U316" s="12">
        <f>SUM(U308,U309,U310,U311,U312,U313,U314,U315)</f>
        <v>1472.897795022</v>
      </c>
      <c r="V316" s="12">
        <f>SUM(V308,V309,V310,V311,V312,V313,V314,V315)</f>
        <v>4701.851228127</v>
      </c>
      <c r="W316" s="12">
        <f>SUM(W308,W309,W310,W311,W312,W313,W314,W315)</f>
        <v>7342.425454578</v>
      </c>
      <c r="X316" s="12">
        <f>SUM(X308,X309,X310,X311,X312,X313,X314,X315)</f>
        <v>3062.242115526</v>
      </c>
      <c r="Y316" s="12">
        <f>SUM(Y308,Y309,Y310,Y311,Y312,Y313,Y314,Y315)</f>
        <v>2478.76587841699</v>
      </c>
      <c r="Z316" s="12">
        <f>SUM(Z308,Z309,Z310,Z311,Z312,Z313,Z314,Z315)</f>
        <v>3656.75182968501</v>
      </c>
      <c r="AA316" s="12">
        <f>SUM(AA308,AA309,AA310,AA311,AA312,AA313,AA314,AA315)</f>
        <v>962.375291560993</v>
      </c>
      <c r="AB316" s="12">
        <f>SUM(AB308,AB309,AB310,AB311,AB312,AB313,AB314,AB315)</f>
        <v>10160.135115189</v>
      </c>
      <c r="AC316" s="12">
        <f>SUM(AC308,AC309,AC310,AC311,AC312,AC313,AC314,AC315)</f>
        <v>320.448002639996</v>
      </c>
      <c r="AD316" s="12">
        <f>SUM(AD308,AD309,AD310,AD311,AD312,AD313,AD314,AD315)</f>
        <v>-193.404858749996</v>
      </c>
      <c r="AE316" s="12">
        <f>SUM(AE308,AE309,AE310,AE311,AE312,AE313,AE314,AE315)</f>
        <v>-1161.77213697999</v>
      </c>
      <c r="AF316" s="12">
        <f>SUM(AF308,AF309,AF310,AF311,AF312,AF313,AF314,AF315)</f>
        <v>3151.86481285999</v>
      </c>
      <c r="AG316" s="12">
        <f>SUM(AG308,AG309,AG310,AG311,AG312,AG313,AG314,AG315)</f>
        <v>2117.13581977</v>
      </c>
      <c r="AH316" s="12">
        <f>SUM(AH308,AH309,AH310,AH311,AH312,AH313,AH314,AH315)</f>
        <v>1213.33033840001</v>
      </c>
      <c r="AI316" s="12">
        <f>SUM(AI308,AI309,AI310,AI311,AI312,AI313,AI314,AI315)</f>
        <v>2202.54265797999</v>
      </c>
      <c r="AJ316" s="12">
        <f>SUM(AJ308,AJ309,AJ310,AJ311,AJ312,AJ313,AJ314,AJ315)</f>
        <v>0</v>
      </c>
      <c r="AK316" s="12">
        <f>SUM(AK308,AK309,AK310,AK311,AK312,AK313,AK314,AK315)</f>
        <v>0</v>
      </c>
      <c r="AL316" s="12">
        <f>SUM(AL308,AL309,AL310,AL311,AL312,AL313,AL314,AL315)</f>
        <v>3415.87299638001</v>
      </c>
      <c r="AM316" s="12">
        <f>SUM(AM308,AM309,AM310,AM311,AM312,AM313,AM314,AM315)</f>
        <v>0</v>
      </c>
      <c r="AN316" s="12">
        <f>SUM(AN308,AN309,AN310,AN311,AN312,AN313,AN314,AN315)</f>
        <v>0</v>
      </c>
      <c r="AO316" s="12">
        <f>SUM(AO308,AO309,AO310,AO311,AO312,AO313,AO314,AO315)</f>
        <v>0</v>
      </c>
      <c r="AP316" s="12">
        <f>SUM(AP308,AP309,AP310,AP311,AP312,AP313,AP314,AP315)</f>
        <v>0</v>
      </c>
      <c r="AQ316" s="12">
        <f>SUM(AQ308,AQ309,AQ310,AQ311,AQ312,AQ313,AQ314,AQ315)</f>
        <v>0</v>
      </c>
      <c r="AR316" s="12">
        <f>SUM(AR308,AR309,AR310,AR311,AR312,AR313,AR314,AR315)</f>
        <v>0</v>
      </c>
      <c r="AS316" s="12">
        <f>SUM(AS308,AS309,AS310,AS311,AS312,AS313,AS314,AS315)</f>
        <v>0</v>
      </c>
      <c r="AT316" s="12">
        <f>SUM(AT308,AT309,AT310,AT311,AT312,AT313,AT314,AT315)</f>
        <v>0</v>
      </c>
      <c r="AU316" s="12">
        <f>SUM(AU308,AU309,AU310,AU311,AU312,AU313,AU314,AU315)</f>
        <v>0</v>
      </c>
      <c r="AV316" s="12">
        <f>SUM(AV308,AV309,AV310,AV311,AV312,AV313,AV314,AV315)</f>
        <v>0</v>
      </c>
      <c r="AW316" s="12">
        <f>SUM(AW308,AW309,AW310,AW311,AW312,AW313,AW314,AW315)</f>
        <v>0</v>
      </c>
      <c r="AX316" s="12">
        <f>SUM(AX308,AX309,AX310,AX311,AX312,AX313,AX314,AX315)</f>
        <v>0</v>
      </c>
      <c r="AY316" s="12">
        <f>SUM(AY308,AY309,AY310,AY311,AY312,AY313,AY314,AY315)</f>
        <v>0</v>
      </c>
      <c r="AZ316" s="12">
        <f>SUM(AZ308,AZ309,AZ310,AZ311,AZ312,AZ313,AZ314,AZ315)</f>
        <v>0</v>
      </c>
      <c r="BA316" s="12">
        <f>SUM(BA308,BA309,BA310,BA311,BA312,BA313,BA314,BA315)</f>
        <v>0</v>
      </c>
      <c r="BB316" s="12">
        <f>SUM(BB308,BB309,BB310,BB311,BB312,BB313,BB314,BB315)</f>
        <v>0</v>
      </c>
      <c r="BC316" s="12">
        <f>SUM(BC308,BC309,BC310,BC311,BC312,BC313,BC314,BC315)</f>
        <v>0</v>
      </c>
      <c r="BD316" s="12">
        <f>SUM(BD308,BD309,BD310,BD311,BD312,BD313,BD314,BD315)</f>
        <v>0</v>
      </c>
      <c r="BE316" s="12">
        <f>SUM(BE308,BE309,BE310,BE311,BE312,BE313,BE314,BE315)</f>
        <v>0</v>
      </c>
      <c r="BF316" s="12">
        <f>SUM(BF308,BF309,BF310,BF311,BF312,BF313,BF314,BF315)</f>
        <v>0</v>
      </c>
      <c r="BG316" s="12" t="n"/>
      <c r="BH316" s="12" t="n"/>
      <c r="BI316" s="12" t="n"/>
      <c r="BJ316" s="12" t="n"/>
      <c r="BK316" s="12" t="n"/>
      <c r="BL316" s="12" t="n"/>
      <c r="BM316" s="12" t="n"/>
      <c r="BN316" s="12" t="n"/>
      <c r="BO316" s="12" t="n"/>
      <c r="BP316" s="12" t="n"/>
      <c r="BQ316" s="12" t="n"/>
      <c r="BR316" s="12" t="n"/>
      <c r="BS316" s="12" t="n"/>
      <c r="BT316" s="12" t="n"/>
      <c r="BU316" s="12" t="n"/>
      <c r="BV316" s="12" t="n"/>
      <c r="BW316" s="12" t="n"/>
      <c r="BX316" s="12" t="n"/>
      <c r="BY316" s="12" t="n"/>
      <c r="BZ316" s="12" t="n"/>
      <c r="CA316" s="12" t="n"/>
      <c r="CB316" s="12" t="n"/>
      <c r="CC316" s="12" t="n"/>
      <c r="CD316" s="12" t="n"/>
      <c r="CE316" s="12" t="n"/>
      <c r="CF316" s="12" t="n"/>
      <c r="CG316" s="12" t="n"/>
      <c r="CH316" s="12" t="n"/>
      <c r="CI316" s="12" t="n"/>
      <c r="CJ316" s="12" t="n"/>
      <c r="CK316" s="12" t="n"/>
      <c r="CL316" s="12" t="n"/>
      <c r="CM316" s="12" t="n"/>
      <c r="CN316" s="12" t="n"/>
      <c r="CO316" s="12" t="n"/>
      <c r="CP316" s="12" t="n"/>
      <c r="CQ316" s="12" t="n"/>
      <c r="CR316" s="12" t="n"/>
      <c r="CS316" s="12" t="n"/>
      <c r="CT316" s="12" t="n"/>
      <c r="CU316" s="12" t="n"/>
      <c r="CV316" s="12" t="n"/>
      <c r="CW316" s="12" t="n"/>
      <c r="CX316" s="12" t="n"/>
      <c r="CY316" s="12" t="n"/>
    </row>
    <row r="317">
      <c r="C317" s="14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  <c r="AJ317" s="12" t="n"/>
      <c r="AK317" s="12" t="n"/>
      <c r="AL317" s="12" t="n"/>
      <c r="AM317" s="12" t="n"/>
      <c r="AN317" s="12" t="n"/>
      <c r="AO317" s="12" t="n"/>
      <c r="AP317" s="12" t="n"/>
      <c r="AQ317" s="12" t="n"/>
      <c r="AR317" s="12" t="n"/>
      <c r="AS317" s="12" t="n"/>
      <c r="AT317" s="12" t="n"/>
      <c r="AU317" s="12" t="n"/>
      <c r="AV317" s="12" t="n"/>
      <c r="AW317" s="12" t="n"/>
      <c r="AX317" s="12" t="n"/>
      <c r="AY317" s="12" t="n"/>
      <c r="AZ317" s="12" t="n"/>
      <c r="BA317" s="12" t="n"/>
      <c r="BB317" s="12" t="n"/>
      <c r="BC317" s="12" t="n"/>
      <c r="BD317" s="12" t="n"/>
      <c r="BE317" s="12" t="n"/>
      <c r="BF317" s="12" t="n"/>
      <c r="BG317" s="12" t="n"/>
      <c r="BH317" s="12" t="n"/>
      <c r="BI317" s="12" t="n"/>
      <c r="BJ317" s="12" t="n"/>
      <c r="BK317" s="12" t="n"/>
      <c r="BL317" s="12" t="n"/>
      <c r="BM317" s="12" t="n"/>
      <c r="BN317" s="12" t="n"/>
      <c r="BO317" s="12" t="n"/>
      <c r="BP317" s="12" t="n"/>
      <c r="BQ317" s="12" t="n"/>
      <c r="BR317" s="12" t="n"/>
      <c r="BS317" s="12" t="n"/>
      <c r="BT317" s="12" t="n"/>
      <c r="BU317" s="12" t="n"/>
      <c r="BV317" s="12" t="n"/>
      <c r="BW317" s="12" t="n"/>
      <c r="BX317" s="12" t="n"/>
      <c r="BY317" s="12" t="n"/>
      <c r="BZ317" s="12" t="n"/>
      <c r="CA317" s="12" t="n"/>
      <c r="CB317" s="12" t="n"/>
      <c r="CC317" s="12" t="n"/>
      <c r="CD317" s="12" t="n"/>
      <c r="CE317" s="12" t="n"/>
      <c r="CF317" s="12" t="n"/>
      <c r="CG317" s="12" t="n"/>
      <c r="CH317" s="12" t="n"/>
      <c r="CI317" s="12" t="n"/>
      <c r="CJ317" s="12" t="n"/>
      <c r="CK317" s="12" t="n"/>
      <c r="CL317" s="12" t="n"/>
      <c r="CM317" s="12" t="n"/>
      <c r="CN317" s="12" t="n"/>
      <c r="CO317" s="12" t="n"/>
      <c r="CP317" s="12" t="n"/>
      <c r="CQ317" s="12" t="n"/>
      <c r="CR317" s="12" t="n"/>
      <c r="CS317" s="12" t="n"/>
      <c r="CT317" s="12" t="n"/>
      <c r="CU317" s="12" t="n"/>
      <c r="CV317" s="12" t="n"/>
      <c r="CW317" s="12" t="n"/>
      <c r="CX317" s="12" t="n"/>
      <c r="CY317" s="12" t="n"/>
    </row>
    <row r="318">
      <c r="C318" s="14" t="inlineStr">
        <is>
          <t>Others / cash reconciliation plug</t>
        </is>
      </c>
      <c r="D318" s="12" t="n"/>
      <c r="E318" s="12" t="n"/>
      <c r="F318" s="12" t="n"/>
      <c r="G318" s="12" t="n"/>
      <c r="H318" s="12" t="n"/>
      <c r="I318" s="12" t="n"/>
      <c r="J318" s="12">
        <f>J150-I150-SUM(J299,J306,J316)</f>
        <v>0.00196942500247133</v>
      </c>
      <c r="K318" s="12">
        <f>K150-J150-SUM(K299,K306,K316)</f>
        <v>-0.000592878003772057</v>
      </c>
      <c r="L318" s="12">
        <f>L150-K150-SUM(L299,L306,L316)</f>
        <v>0</v>
      </c>
      <c r="M318" s="12" t="n"/>
      <c r="N318" s="12">
        <f>N150-M150-SUM(N299,N306,N316)</f>
        <v>0</v>
      </c>
      <c r="O318" s="12">
        <f>O150-N150-SUM(O299,O306,O316)</f>
        <v>0</v>
      </c>
      <c r="P318" s="12">
        <f>P150-O150-SUM(P299,P306,P316)</f>
        <v>-2.04636307898909e-12</v>
      </c>
      <c r="Q318" s="12">
        <f>Q150-P150-SUM(Q299,Q306,Q316)</f>
        <v>0</v>
      </c>
      <c r="R318" s="12">
        <f>SUM(N318:Q318)</f>
        <v>-2.04636307898909e-12</v>
      </c>
      <c r="S318" s="12">
        <f>S150-R150-SUM(S299,S306,S316)</f>
        <v>0.0325930189956125</v>
      </c>
      <c r="T318" s="12">
        <f>T150-S150-SUM(T299,T306,T316)</f>
        <v>-0.0304207629844768</v>
      </c>
      <c r="U318" s="12">
        <f>U150-T150-SUM(U299,U306,U316)</f>
        <v>-0.0017828680107641</v>
      </c>
      <c r="V318" s="12">
        <f>V150-U150-SUM(V299,V306,V316)</f>
        <v>-0.00189641100405424</v>
      </c>
      <c r="W318" s="12">
        <f>SUM(S318:V318)</f>
        <v>-0.00150702300368266</v>
      </c>
      <c r="X318" s="12">
        <f>X150-W150-SUM(X299,X306,X316)</f>
        <v>0.00198050000699368</v>
      </c>
      <c r="Y318" s="12">
        <f>Y150-X150-SUM(Y299,Y306,Y316)</f>
        <v>0.000250138002229505</v>
      </c>
      <c r="Z318" s="12">
        <f>Z150-Y150-SUM(Z299,Z306,Z316)</f>
        <v>0.00376439699311959</v>
      </c>
      <c r="AA318" s="12">
        <f>AA150-Z150-SUM(AA299,AA306,AA316)</f>
        <v>-0.0209511019971842</v>
      </c>
      <c r="AB318" s="12">
        <f>SUM(X318:AA318)</f>
        <v>-0.0149560669948414</v>
      </c>
      <c r="AC318" s="12">
        <f>AC150-AB150-SUM(AC299,AC306,AC316)</f>
        <v>-0.00389749999590094</v>
      </c>
      <c r="AD318" s="12">
        <f>AD150-AC150-SUM(AD299,AD306,AD316)</f>
        <v>0.00410173999591734</v>
      </c>
      <c r="AE318" s="12">
        <f>AE150-AD150-SUM(AE299,AE306,AE316)</f>
        <v>0.0496672699923693</v>
      </c>
      <c r="AF318" s="12">
        <f>AF150-AE150-SUM(AF299,AF306,AF316)</f>
        <v>-0.0337967799850958</v>
      </c>
      <c r="AG318" s="12">
        <f>SUM(AC318:AF318)</f>
        <v>0.0160747300072899</v>
      </c>
      <c r="AH318" s="12">
        <f>AH150-AG150-SUM(AH299,AH306,AH316)</f>
        <v>0.000388589990279797</v>
      </c>
      <c r="AI318" s="12">
        <f>AI150-AH150-SUM(AI299,AI306,AI316)</f>
        <v>-2.39996893469652e-07</v>
      </c>
      <c r="AJ318" s="12">
        <f>AJ150-AI150-SUM(AJ299,AJ306,AJ316)</f>
        <v>1.00133092928445e-08</v>
      </c>
      <c r="AK318" s="12">
        <f>AK150-AJ150-SUM(AK299,AK306,AK316)</f>
        <v>-1.93267624126747e-11</v>
      </c>
      <c r="AL318" s="12">
        <f>SUM(AH318:AK318)</f>
        <v>0.000388359987368858</v>
      </c>
      <c r="AM318" s="12">
        <f>AM150-AL150-SUM(AM299,AM306,AM316)</f>
        <v>0</v>
      </c>
      <c r="AN318" s="12">
        <f>AN150-AM150-SUM(AN299,AN306,AN316)</f>
        <v>1.00044417195022e-11</v>
      </c>
      <c r="AO318" s="12">
        <f>AO150-AN150-SUM(AO299,AO306,AO316)</f>
        <v>-3.86535248253495e-12</v>
      </c>
      <c r="AP318" s="12">
        <f>AP150-AO150-SUM(AP299,AP306,AP316)</f>
        <v>1.72803993336856e-11</v>
      </c>
      <c r="AQ318" s="12">
        <f>SUM(AM318:AP318)</f>
        <v>2.34194885706529e-11</v>
      </c>
      <c r="AR318" s="12">
        <f>AR150-AQ150-SUM(AR299,AR306,AR316)</f>
        <v>-5.6843418860808e-12</v>
      </c>
      <c r="AS318" s="12">
        <f>AS150-AR150-SUM(AS299,AS306,AS316)</f>
        <v>3.63797880709171e-12</v>
      </c>
      <c r="AT318" s="12">
        <f>AT150-AS150-SUM(AT299,AT306,AT316)</f>
        <v>-7.50333128962666e-12</v>
      </c>
      <c r="AU318" s="12">
        <f>AU150-AT150-SUM(AU299,AU306,AU316)</f>
        <v>0</v>
      </c>
      <c r="AV318" s="12">
        <f>SUM(AR318:AU318)</f>
        <v>-9.54969436861575e-12</v>
      </c>
      <c r="AW318" s="12">
        <f>AW150-AV150-SUM(AW299,AW306,AW316)</f>
        <v>0</v>
      </c>
      <c r="AX318" s="12">
        <f>AX150-AW150-SUM(AX299,AX306,AX316)</f>
        <v>9.54969436861575e-12</v>
      </c>
      <c r="AY318" s="12">
        <f>AY150-AX150-SUM(AY299,AY306,AY316)</f>
        <v>-1.9554136088118e-11</v>
      </c>
      <c r="AZ318" s="12">
        <f>AZ150-AY150-SUM(AZ299,AZ306,AZ316)</f>
        <v>1.93267624126747e-11</v>
      </c>
      <c r="BA318" s="12">
        <f>SUM(AW318:AZ318)</f>
        <v>9.32232069317251e-12</v>
      </c>
      <c r="BB318" s="12">
        <f>BB150-BA150-SUM(BB299,BB306,BB316)</f>
        <v>-1.52340362546965e-11</v>
      </c>
      <c r="BC318" s="12">
        <f>BC150-BB150-SUM(BC299,BC306,BC316)</f>
        <v>1.20508047984913e-11</v>
      </c>
      <c r="BD318" s="12">
        <f>BD150-BC150-SUM(BD299,BD306,BD316)</f>
        <v>-1.77351466845721e-11</v>
      </c>
      <c r="BE318" s="12">
        <f>BE150-BD150-SUM(BE299,BE306,BE316)</f>
        <v>2.04636307898909e-11</v>
      </c>
      <c r="BF318" s="12">
        <f>SUM(BB318:BE318)</f>
        <v>-4.54747350886464e-13</v>
      </c>
      <c r="BG318" s="12" t="n"/>
      <c r="BH318" s="12" t="n"/>
      <c r="BI318" s="12" t="n"/>
      <c r="BJ318" s="12" t="n"/>
      <c r="BK318" s="12" t="n"/>
      <c r="BL318" s="12" t="n"/>
      <c r="BM318" s="12" t="n"/>
      <c r="BN318" s="12" t="n"/>
      <c r="BO318" s="12" t="n"/>
      <c r="BP318" s="12" t="n"/>
      <c r="BQ318" s="12" t="n"/>
      <c r="BR318" s="12" t="n"/>
      <c r="BS318" s="12" t="n"/>
      <c r="BT318" s="12" t="n"/>
      <c r="BU318" s="12" t="n"/>
      <c r="BV318" s="12" t="n"/>
      <c r="BW318" s="12" t="n"/>
      <c r="BX318" s="12" t="n"/>
      <c r="BY318" s="12" t="n"/>
      <c r="BZ318" s="12" t="n"/>
      <c r="CA318" s="12" t="n"/>
      <c r="CB318" s="12" t="n"/>
      <c r="CC318" s="12" t="n"/>
      <c r="CD318" s="12" t="n"/>
      <c r="CE318" s="12" t="n"/>
      <c r="CF318" s="12" t="n"/>
      <c r="CG318" s="12" t="n"/>
      <c r="CH318" s="12" t="n"/>
      <c r="CI318" s="12" t="n"/>
      <c r="CJ318" s="12" t="n"/>
      <c r="CK318" s="12" t="n"/>
      <c r="CL318" s="12" t="n"/>
      <c r="CM318" s="12" t="n"/>
      <c r="CN318" s="12" t="n"/>
      <c r="CO318" s="12" t="n"/>
      <c r="CP318" s="12" t="n"/>
      <c r="CQ318" s="12" t="n"/>
      <c r="CR318" s="12" t="n"/>
      <c r="CS318" s="12" t="n"/>
      <c r="CT318" s="12" t="n"/>
      <c r="CU318" s="12" t="n"/>
      <c r="CV318" s="12" t="n"/>
      <c r="CW318" s="12" t="n"/>
      <c r="CX318" s="12" t="n"/>
      <c r="CY318" s="12" t="n"/>
    </row>
    <row r="319">
      <c r="C319" s="14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  <c r="AJ319" s="12" t="n"/>
      <c r="AK319" s="12" t="n"/>
      <c r="AL319" s="12" t="n"/>
      <c r="AM319" s="12" t="n"/>
      <c r="AN319" s="12" t="n"/>
      <c r="AO319" s="12" t="n"/>
      <c r="AP319" s="12" t="n"/>
      <c r="AQ319" s="12" t="n"/>
      <c r="AR319" s="12" t="n"/>
      <c r="AS319" s="12" t="n"/>
      <c r="AT319" s="12" t="n"/>
      <c r="AU319" s="12" t="n"/>
      <c r="AV319" s="12" t="n"/>
      <c r="AW319" s="12" t="n"/>
      <c r="AX319" s="12" t="n"/>
      <c r="AY319" s="12" t="n"/>
      <c r="AZ319" s="12" t="n"/>
      <c r="BA319" s="12" t="n"/>
      <c r="BB319" s="12" t="n"/>
      <c r="BC319" s="12" t="n"/>
      <c r="BD319" s="12" t="n"/>
      <c r="BE319" s="12" t="n"/>
      <c r="BF319" s="12" t="n"/>
      <c r="BG319" s="12" t="n"/>
      <c r="BH319" s="12" t="n"/>
      <c r="BI319" s="12" t="n"/>
      <c r="BJ319" s="12" t="n"/>
      <c r="BK319" s="12" t="n"/>
      <c r="BL319" s="12" t="n"/>
      <c r="BM319" s="12" t="n"/>
      <c r="BN319" s="12" t="n"/>
      <c r="BO319" s="12" t="n"/>
      <c r="BP319" s="12" t="n"/>
      <c r="BQ319" s="12" t="n"/>
      <c r="BR319" s="12" t="n"/>
      <c r="BS319" s="12" t="n"/>
      <c r="BT319" s="12" t="n"/>
      <c r="BU319" s="12" t="n"/>
      <c r="BV319" s="12" t="n"/>
      <c r="BW319" s="12" t="n"/>
      <c r="BX319" s="12" t="n"/>
      <c r="BY319" s="12" t="n"/>
      <c r="BZ319" s="12" t="n"/>
      <c r="CA319" s="12" t="n"/>
      <c r="CB319" s="12" t="n"/>
      <c r="CC319" s="12" t="n"/>
      <c r="CD319" s="12" t="n"/>
      <c r="CE319" s="12" t="n"/>
      <c r="CF319" s="12" t="n"/>
      <c r="CG319" s="12" t="n"/>
      <c r="CH319" s="12" t="n"/>
      <c r="CI319" s="12" t="n"/>
      <c r="CJ319" s="12" t="n"/>
      <c r="CK319" s="12" t="n"/>
      <c r="CL319" s="12" t="n"/>
      <c r="CM319" s="12" t="n"/>
      <c r="CN319" s="12" t="n"/>
      <c r="CO319" s="12" t="n"/>
      <c r="CP319" s="12" t="n"/>
      <c r="CQ319" s="12" t="n"/>
      <c r="CR319" s="12" t="n"/>
      <c r="CS319" s="12" t="n"/>
      <c r="CT319" s="12" t="n"/>
      <c r="CU319" s="12" t="n"/>
      <c r="CV319" s="12" t="n"/>
      <c r="CW319" s="12" t="n"/>
      <c r="CX319" s="12" t="n"/>
      <c r="CY319" s="12" t="n"/>
    </row>
    <row r="320">
      <c r="C320" s="14" t="inlineStr">
        <is>
          <t>Total increase/decrease of cash</t>
        </is>
      </c>
      <c r="D320" s="12" t="n"/>
      <c r="E320" s="12" t="n"/>
      <c r="F320" s="12" t="n"/>
      <c r="G320" s="12" t="n"/>
      <c r="H320" s="12" t="n"/>
      <c r="I320" s="12" t="n"/>
      <c r="J320" s="12">
        <f>SUM(J299,J306,J316,J318)</f>
        <v>-1242.135705726</v>
      </c>
      <c r="K320" s="12">
        <f>SUM(K299,K306,K316,K318)</f>
        <v>4472.834</v>
      </c>
      <c r="L320" s="12">
        <f>SUM(L299,L306,L316,L318)</f>
        <v>2014.6</v>
      </c>
      <c r="M320" s="12" t="n"/>
      <c r="N320" s="12">
        <f>SUM(N299,N306,N316,N318)</f>
        <v>-3956.171</v>
      </c>
      <c r="O320" s="12">
        <f>SUM(O299,O306,O316,O318)</f>
        <v>316.162</v>
      </c>
      <c r="P320" s="12">
        <f>SUM(P299,P306,P316,P318)</f>
        <v>462.103000000001</v>
      </c>
      <c r="Q320" s="12">
        <f>SUM(Q299,Q306,Q316,Q318)</f>
        <v>-2581.314</v>
      </c>
      <c r="R320" s="12">
        <f>SUM(N320:Q320)</f>
        <v>-5759.22</v>
      </c>
      <c r="S320" s="12">
        <f>SUM(S299,S306,S316,S318)</f>
        <v>-2970.605712356</v>
      </c>
      <c r="T320" s="12">
        <f>SUM(T299,T306,T316,T318)</f>
        <v>-2037.245100112</v>
      </c>
      <c r="U320" s="12">
        <f>SUM(U299,U306,U316,U318)</f>
        <v>183.757215902</v>
      </c>
      <c r="V320" s="12">
        <f>SUM(V299,V306,V316,V318)</f>
        <v>3046.361323581</v>
      </c>
      <c r="W320" s="12">
        <f>SUM(S320:V320)</f>
        <v>-1777.732272985</v>
      </c>
      <c r="X320" s="12">
        <f>SUM(X299,X306,X316,X318)</f>
        <v>1818.744210547</v>
      </c>
      <c r="Y320" s="12">
        <f>SUM(Y299,Y306,Y316,Y318)</f>
        <v>-743.184413454001</v>
      </c>
      <c r="Z320" s="12">
        <f>SUM(Z299,Z306,Z316,Z318)</f>
        <v>1975.083548704</v>
      </c>
      <c r="AA320" s="12">
        <f>SUM(AA299,AA306,AA316,AA318)</f>
        <v>-814.045229101999</v>
      </c>
      <c r="AB320" s="12">
        <f>SUM(X320:AA320)</f>
        <v>2236.598116695</v>
      </c>
      <c r="AC320" s="12">
        <f>SUM(AC299,AC306,AC316,AC318)</f>
        <v>174.901745609997</v>
      </c>
      <c r="AD320" s="12">
        <f>SUM(AD299,AD306,AD316,AD318)</f>
        <v>-997.394614119998</v>
      </c>
      <c r="AE320" s="12">
        <f>SUM(AE299,AE306,AE316,AE318)</f>
        <v>146.557716480002</v>
      </c>
      <c r="AF320" s="12">
        <f>SUM(AF299,AF306,AF316,AF318)</f>
        <v>4334.2519616</v>
      </c>
      <c r="AG320" s="12">
        <f>SUM(AC320:AF320)</f>
        <v>3658.31680957</v>
      </c>
      <c r="AH320" s="12">
        <f>SUM(AH299,AH306,AH316,AH318)</f>
        <v>985.72355427</v>
      </c>
      <c r="AI320" s="12">
        <f>SUM(AI299,AI306,AI316,AI318)</f>
        <v>138.270894019999</v>
      </c>
      <c r="AJ320" s="12">
        <f>SUM(AJ299,AJ306,AJ316,AJ318)</f>
        <v>438.608029233925</v>
      </c>
      <c r="AK320" s="12">
        <f>SUM(AK299,AK306,AK316,AK318)</f>
        <v>943.649967606063</v>
      </c>
      <c r="AL320" s="12">
        <f>SUM(AH320:AK320)</f>
        <v>2506.25244512999</v>
      </c>
      <c r="AM320" s="12">
        <f>SUM(AM299,AM306,AM316,AM318)</f>
        <v>927.885184643747</v>
      </c>
      <c r="AN320" s="12">
        <f>SUM(AN299,AN306,AN316,AN318)</f>
        <v>913.201782740158</v>
      </c>
      <c r="AO320" s="12">
        <f>SUM(AO299,AO306,AO316,AO318)</f>
        <v>900.879912018354</v>
      </c>
      <c r="AP320" s="12">
        <f>SUM(AP299,AP306,AP316,AP318)</f>
        <v>1026.42324781133</v>
      </c>
      <c r="AQ320" s="12">
        <f>SUM(AM320:AP320)</f>
        <v>3768.39012721358</v>
      </c>
      <c r="AR320" s="12">
        <f>SUM(AR299,AR306,AR316,AR318)</f>
        <v>1048.85128248719</v>
      </c>
      <c r="AS320" s="12">
        <f>SUM(AS299,AS306,AS316,AS318)</f>
        <v>940.208411766333</v>
      </c>
      <c r="AT320" s="12">
        <f>SUM(AT299,AT306,AT316,AT318)</f>
        <v>965.652737076554</v>
      </c>
      <c r="AU320" s="12">
        <f>SUM(AU299,AU306,AU316,AU318)</f>
        <v>1098.29343535997</v>
      </c>
      <c r="AV320" s="12">
        <f>SUM(AR320:AU320)</f>
        <v>4053.00586669005</v>
      </c>
      <c r="AW320" s="12">
        <f>SUM(AW299,AW306,AW316,AW318)</f>
        <v>1092.0961882398</v>
      </c>
      <c r="AX320" s="12">
        <f>SUM(AX299,AX306,AX316,AX318)</f>
        <v>1040.97090473886</v>
      </c>
      <c r="AY320" s="12">
        <f>SUM(AY299,AY306,AY316,AY318)</f>
        <v>1027.16306584018</v>
      </c>
      <c r="AZ320" s="12">
        <f>SUM(AZ299,AZ306,AZ316,AZ318)</f>
        <v>1166.34739709305</v>
      </c>
      <c r="BA320" s="12">
        <f>SUM(AW320:AZ320)</f>
        <v>4326.57755591189</v>
      </c>
      <c r="BB320" s="12">
        <f>SUM(BB299,BB306,BB316,BB318)</f>
        <v>1170.55291994517</v>
      </c>
      <c r="BC320" s="12">
        <f>SUM(BC299,BC306,BC316,BC318)</f>
        <v>1098.15885771978</v>
      </c>
      <c r="BD320" s="12">
        <f>SUM(BD299,BD306,BD316,BD318)</f>
        <v>1083.20093689112</v>
      </c>
      <c r="BE320" s="12">
        <f>SUM(BE299,BE306,BE316,BE318)</f>
        <v>1228.2438622651</v>
      </c>
      <c r="BF320" s="12">
        <f>SUM(BB320:BE320)</f>
        <v>4580.15657682117</v>
      </c>
      <c r="BG320" s="12" t="n"/>
      <c r="BH320" s="12" t="n"/>
      <c r="BI320" s="12" t="n"/>
      <c r="BJ320" s="12" t="n"/>
      <c r="BK320" s="12" t="n"/>
      <c r="BL320" s="12" t="n"/>
      <c r="BM320" s="12" t="n"/>
      <c r="BN320" s="12" t="n"/>
      <c r="BO320" s="12" t="n"/>
      <c r="BP320" s="12" t="n"/>
      <c r="BQ320" s="12" t="n"/>
      <c r="BR320" s="12" t="n"/>
      <c r="BS320" s="12" t="n"/>
      <c r="BT320" s="12" t="n"/>
      <c r="BU320" s="12" t="n"/>
      <c r="BV320" s="12" t="n"/>
      <c r="BW320" s="12" t="n"/>
      <c r="BX320" s="12" t="n"/>
      <c r="BY320" s="12" t="n"/>
      <c r="BZ320" s="12" t="n"/>
      <c r="CA320" s="12" t="n"/>
      <c r="CB320" s="12" t="n"/>
      <c r="CC320" s="12" t="n"/>
      <c r="CD320" s="12" t="n"/>
      <c r="CE320" s="12" t="n"/>
      <c r="CF320" s="12" t="n"/>
      <c r="CG320" s="12" t="n"/>
      <c r="CH320" s="12" t="n"/>
      <c r="CI320" s="12" t="n"/>
      <c r="CJ320" s="12" t="n"/>
      <c r="CK320" s="12" t="n"/>
      <c r="CL320" s="12" t="n"/>
      <c r="CM320" s="12" t="n"/>
      <c r="CN320" s="12" t="n"/>
      <c r="CO320" s="12" t="n"/>
      <c r="CP320" s="12" t="n"/>
      <c r="CQ320" s="12" t="n"/>
      <c r="CR320" s="12" t="n"/>
      <c r="CS320" s="12" t="n"/>
      <c r="CT320" s="12" t="n"/>
      <c r="CU320" s="12" t="n"/>
      <c r="CV320" s="12" t="n"/>
      <c r="CW320" s="12" t="n"/>
      <c r="CX320" s="12" t="n"/>
      <c r="CY320" s="12" t="n"/>
    </row>
    <row r="321">
      <c r="C321" s="4" t="inlineStr">
        <is>
          <t>Check</t>
        </is>
      </c>
      <c r="E321" s="72" t="n"/>
      <c r="F321" s="72" t="n"/>
      <c r="G321" s="72" t="n"/>
      <c r="I321" s="72" t="str">
        <f>""</f>
        <v/>
      </c>
      <c r="J321" s="72">
        <f>J150-I150-J320</f>
        <v>0</v>
      </c>
      <c r="K321" s="72">
        <f>K150-J150-K320</f>
        <v>0</v>
      </c>
      <c r="L321" s="72">
        <f>L150-K150-L320</f>
        <v>0</v>
      </c>
      <c r="M321" s="4" t="str">
        <f>""</f>
        <v/>
      </c>
      <c r="N321" s="72">
        <f>N150-M150-N320</f>
        <v>0</v>
      </c>
      <c r="O321" s="72">
        <f>O150-N150-O320</f>
        <v>0</v>
      </c>
      <c r="P321" s="72">
        <f>P150-O150-P320</f>
        <v>0</v>
      </c>
      <c r="Q321" s="72">
        <f>Q150-P150-Q320</f>
        <v>0</v>
      </c>
      <c r="R321" s="4">
        <f>R150-M150-R320</f>
        <v>0</v>
      </c>
      <c r="S321" s="72">
        <f>S150-R150-S320</f>
        <v>0</v>
      </c>
      <c r="T321" s="72">
        <f>T150-S150-T320</f>
        <v>0</v>
      </c>
      <c r="U321" s="72">
        <f>U150-T150-U320</f>
        <v>0</v>
      </c>
      <c r="V321" s="72">
        <f>V150-U150-V320</f>
        <v>0</v>
      </c>
      <c r="W321" s="4">
        <f>W150-R150-W320</f>
        <v>0</v>
      </c>
      <c r="X321" s="72">
        <f>X150-W150-X320</f>
        <v>0</v>
      </c>
      <c r="Y321" s="72">
        <f>Y150-X150-Y320</f>
        <v>0</v>
      </c>
      <c r="Z321" s="72">
        <f>Z150-Y150-Z320</f>
        <v>0</v>
      </c>
      <c r="AA321" s="72">
        <f>AA150-Z150-AA320</f>
        <v>0</v>
      </c>
      <c r="AB321" s="4">
        <f>AB150-W150-AB320</f>
        <v>0</v>
      </c>
      <c r="AC321" s="72">
        <f>AC150-AB150-AC320</f>
        <v>0</v>
      </c>
      <c r="AD321" s="72">
        <f>AD150-AC150-AD320</f>
        <v>0</v>
      </c>
      <c r="AE321" s="72">
        <f>AE150-AD150-AE320</f>
        <v>0</v>
      </c>
      <c r="AF321" s="72">
        <f>AF150-AE150-AF320</f>
        <v>0</v>
      </c>
      <c r="AG321" s="4">
        <f>AG150-AB150-AG320</f>
        <v>0</v>
      </c>
      <c r="AH321" s="72">
        <f>AH150-AG150-AH320</f>
        <v>0</v>
      </c>
      <c r="AI321" s="72">
        <f>AI150-AH150-AI320</f>
        <v>0</v>
      </c>
      <c r="AJ321" s="72">
        <f>AJ150-AI150-AJ320</f>
        <v>0</v>
      </c>
      <c r="AK321" s="72">
        <f>AK150-AJ150-AK320</f>
        <v>0</v>
      </c>
      <c r="AL321" s="4">
        <f>AL150-AG150-AL320</f>
        <v>0</v>
      </c>
      <c r="AM321" s="72">
        <f>AM150-AL150-AM320</f>
        <v>0</v>
      </c>
      <c r="AN321" s="72">
        <f>AN150-AM150-AN320</f>
        <v>0</v>
      </c>
      <c r="AO321" s="72">
        <f>AO150-AN150-AO320</f>
        <v>0</v>
      </c>
      <c r="AP321" s="72">
        <f>AP150-AO150-AP320</f>
        <v>0</v>
      </c>
      <c r="AQ321" s="4">
        <f>AQ150-AL150-AQ320</f>
        <v>0</v>
      </c>
      <c r="AR321" s="72">
        <f>AR150-AQ150-AR320</f>
        <v>0</v>
      </c>
      <c r="AS321" s="72">
        <f>AS150-AR150-AS320</f>
        <v>0</v>
      </c>
      <c r="AT321" s="72">
        <f>AT150-AS150-AT320</f>
        <v>0</v>
      </c>
      <c r="AU321" s="72">
        <f>AU150-AT150-AU320</f>
        <v>0</v>
      </c>
      <c r="AV321" s="4">
        <f>AV150-AQ150-AV320</f>
        <v>0</v>
      </c>
      <c r="AW321" s="72">
        <f>AW150-AV150-AW320</f>
        <v>0</v>
      </c>
      <c r="AX321" s="72">
        <f>AX150-AW150-AX320</f>
        <v>0</v>
      </c>
      <c r="AY321" s="72">
        <f>AY150-AX150-AY320</f>
        <v>0</v>
      </c>
      <c r="AZ321" s="72">
        <f>AZ150-AY150-AZ320</f>
        <v>0</v>
      </c>
      <c r="BA321" s="4">
        <f>BA150-AV150-BA320</f>
        <v>0</v>
      </c>
      <c r="BB321" s="72">
        <f>BB150-BA150-BB320</f>
        <v>0</v>
      </c>
      <c r="BC321" s="72">
        <f>BC150-BB150-BC320</f>
        <v>0</v>
      </c>
      <c r="BD321" s="72">
        <f>BD150-BC150-BD320</f>
        <v>0</v>
      </c>
      <c r="BE321" s="72">
        <f>BE150-BD150-BE320</f>
        <v>0</v>
      </c>
      <c r="BF321" s="4">
        <f>BF150-BA150-BF320</f>
        <v>0</v>
      </c>
      <c r="BG321" s="72" t="n"/>
      <c r="BH321" s="72" t="n"/>
      <c r="BI321" s="72" t="n"/>
      <c r="BJ321" s="72" t="n"/>
      <c r="BL321" s="72" t="n"/>
      <c r="BM321" s="72" t="n"/>
      <c r="BN321" s="72" t="n"/>
      <c r="BO321" s="72" t="n"/>
      <c r="BQ321" s="72" t="n"/>
      <c r="BR321" s="72" t="n"/>
      <c r="BS321" s="72" t="n"/>
      <c r="BT321" s="72" t="n"/>
      <c r="BV321" s="72" t="n"/>
      <c r="BW321" s="72" t="n"/>
      <c r="BX321" s="72" t="n"/>
      <c r="BY321" s="72" t="n"/>
      <c r="CA321" s="72" t="n"/>
      <c r="CB321" s="72" t="n"/>
      <c r="CC321" s="72" t="n"/>
      <c r="CD321" s="72" t="n"/>
      <c r="CF321" s="72" t="n"/>
      <c r="CG321" s="72" t="n"/>
      <c r="CH321" s="72" t="n"/>
      <c r="CI321" s="72" t="n"/>
      <c r="CK321" s="72" t="n"/>
      <c r="CL321" s="72" t="n"/>
      <c r="CM321" s="72" t="n"/>
      <c r="CN321" s="72" t="n"/>
      <c r="CP321" s="72" t="n"/>
      <c r="CQ321" s="72" t="n"/>
      <c r="CR321" s="72" t="n"/>
      <c r="CS321" s="72" t="n"/>
      <c r="CU321" s="72" t="n"/>
      <c r="CV321" s="72" t="n"/>
      <c r="CW321" s="72" t="n"/>
      <c r="CX321" s="72" t="n"/>
    </row>
    <row r="322"/>
    <row r="323">
      <c r="C323" s="73" t="inlineStr">
        <is>
          <t>Ratio Analysis</t>
        </is>
      </c>
      <c r="D323" s="73" t="n"/>
      <c r="E323" s="73" t="n"/>
      <c r="F323" s="73" t="n"/>
      <c r="G323" s="73" t="n"/>
      <c r="H323" s="73" t="n"/>
      <c r="I323" s="73" t="n"/>
      <c r="J323" s="73" t="n"/>
      <c r="K323" s="73" t="n"/>
      <c r="L323" s="73" t="n"/>
      <c r="M323" s="73" t="n"/>
      <c r="N323" s="73" t="n"/>
      <c r="O323" s="73" t="n"/>
      <c r="P323" s="73" t="n"/>
      <c r="Q323" s="73" t="n"/>
      <c r="R323" s="73" t="n"/>
      <c r="S323" s="73" t="n"/>
      <c r="T323" s="73" t="n"/>
      <c r="U323" s="73" t="n"/>
      <c r="V323" s="73" t="n"/>
      <c r="W323" s="73" t="n"/>
      <c r="X323" s="73" t="n"/>
      <c r="Y323" s="73" t="n"/>
      <c r="Z323" s="73" t="n"/>
      <c r="AA323" s="73" t="n"/>
      <c r="AB323" s="73" t="n"/>
      <c r="AC323" s="73" t="n"/>
      <c r="AD323" s="73" t="n"/>
      <c r="AE323" s="73" t="n"/>
      <c r="AF323" s="73" t="n"/>
      <c r="AG323" s="73" t="n"/>
      <c r="AH323" s="73" t="n"/>
      <c r="AI323" s="73" t="n"/>
      <c r="AJ323" s="73" t="n"/>
      <c r="AK323" s="73" t="n"/>
      <c r="AL323" s="73" t="n"/>
      <c r="AM323" s="73" t="n"/>
      <c r="AN323" s="73" t="n"/>
      <c r="AO323" s="73" t="n"/>
      <c r="AP323" s="73" t="n"/>
      <c r="AQ323" s="73" t="n"/>
      <c r="AR323" s="73" t="n"/>
      <c r="AS323" s="73" t="n"/>
      <c r="AT323" s="73" t="n"/>
      <c r="AU323" s="73" t="n"/>
      <c r="AV323" s="73" t="n"/>
      <c r="AW323" s="73" t="n"/>
      <c r="AX323" s="73" t="n"/>
      <c r="AY323" s="73" t="n"/>
      <c r="AZ323" s="73" t="n"/>
      <c r="BA323" s="73" t="n"/>
      <c r="BB323" s="73" t="n"/>
      <c r="BC323" s="73" t="n"/>
      <c r="BD323" s="73" t="n"/>
      <c r="BE323" s="73" t="n"/>
      <c r="BF323" s="73" t="n"/>
      <c r="BG323" s="73" t="n"/>
      <c r="BH323" s="73" t="n"/>
      <c r="BI323" s="73" t="n"/>
      <c r="BJ323" s="73" t="n"/>
      <c r="BK323" s="73" t="n"/>
      <c r="BL323" s="73" t="n"/>
      <c r="BM323" s="73" t="n"/>
      <c r="BN323" s="73" t="n"/>
      <c r="BO323" s="73" t="n"/>
      <c r="BP323" s="73" t="n"/>
      <c r="BQ323" s="73" t="n"/>
      <c r="BR323" s="73" t="n"/>
      <c r="BS323" s="73" t="n"/>
      <c r="BT323" s="73" t="n"/>
      <c r="BU323" s="73" t="n"/>
      <c r="BV323" s="73" t="n"/>
      <c r="BW323" s="73" t="n"/>
      <c r="BX323" s="73" t="n"/>
      <c r="BY323" s="73" t="n"/>
      <c r="BZ323" s="73" t="n"/>
      <c r="CA323" s="73" t="n"/>
      <c r="CB323" s="73" t="n"/>
      <c r="CC323" s="73" t="n"/>
      <c r="CD323" s="73" t="n"/>
      <c r="CE323" s="73" t="n"/>
      <c r="CF323" s="73" t="n"/>
      <c r="CG323" s="73" t="n"/>
      <c r="CH323" s="73" t="n"/>
      <c r="CI323" s="73" t="n"/>
      <c r="CJ323" s="73" t="n"/>
      <c r="CK323" s="73" t="n"/>
      <c r="CL323" s="73" t="n"/>
      <c r="CM323" s="73" t="n"/>
      <c r="CN323" s="73" t="n"/>
      <c r="CO323" s="73" t="n"/>
      <c r="CP323" s="73" t="n"/>
      <c r="CQ323" s="73" t="n"/>
      <c r="CR323" s="73" t="n"/>
      <c r="CS323" s="73" t="n"/>
      <c r="CT323" s="73" t="n"/>
      <c r="CU323" s="73" t="n"/>
      <c r="CV323" s="73" t="n"/>
      <c r="CW323" s="73" t="n"/>
      <c r="CX323" s="73" t="n"/>
      <c r="CY323" s="73" t="n"/>
    </row>
    <row r="324"/>
    <row r="325" customFormat="1" s="74">
      <c r="C325" s="74" t="inlineStr">
        <is>
          <t>YEAR</t>
        </is>
      </c>
      <c r="D325">
        <f>IFERROR(D281,"")</f>
        <v>0</v>
      </c>
      <c r="E325" s="75">
        <f>IFERROR(E281,"")</f>
        <v>0</v>
      </c>
      <c r="F325" s="75">
        <f>IFERROR(F281,"")</f>
        <v>0</v>
      </c>
      <c r="G325" s="75">
        <f>IFERROR(G281,"")</f>
        <v>0</v>
      </c>
      <c r="H325" s="75">
        <f>IFERROR(H281,"")</f>
        <v>0</v>
      </c>
      <c r="I325" s="75" t="str">
        <f>IFERROR(I281,"")</f>
        <v>1Q21</v>
      </c>
      <c r="J325" s="75" t="str">
        <f>IFERROR(J281,"")</f>
        <v>2Q21</v>
      </c>
      <c r="K325" s="75" t="str">
        <f>IFERROR(K281,"")</f>
        <v>3Q21</v>
      </c>
      <c r="L325" s="75" t="str">
        <f>IFERROR(L281,"")</f>
        <v>4Q21</v>
      </c>
      <c r="M325" s="75">
        <f>IFERROR(M281,"")</f>
        <v>2021</v>
      </c>
      <c r="N325" s="75" t="str">
        <f>IFERROR(N281,"")</f>
        <v>1Q22</v>
      </c>
      <c r="O325" s="75" t="str">
        <f>IFERROR(O281,"")</f>
        <v>2Q22</v>
      </c>
      <c r="P325" s="75" t="str">
        <f>IFERROR(P281,"")</f>
        <v>3Q22</v>
      </c>
      <c r="Q325" s="75" t="str">
        <f>IFERROR(Q281,"")</f>
        <v>4Q22</v>
      </c>
      <c r="R325" s="75">
        <f>IFERROR(R281,"")</f>
        <v>2022</v>
      </c>
      <c r="S325" s="75" t="str">
        <f>IFERROR(S281,"")</f>
        <v>1Q23</v>
      </c>
      <c r="T325" s="75" t="str">
        <f>IFERROR(T281,"")</f>
        <v>2Q23</v>
      </c>
      <c r="U325" s="75" t="str">
        <f>IFERROR(U281,"")</f>
        <v>3Q23</v>
      </c>
      <c r="V325" s="75" t="str">
        <f>IFERROR(V281,"")</f>
        <v>4Q23</v>
      </c>
      <c r="W325" s="75">
        <f>IFERROR(W281,"")</f>
        <v>2023</v>
      </c>
      <c r="X325" s="75" t="str">
        <f>IFERROR(X281,"")</f>
        <v>1Q24</v>
      </c>
      <c r="Y325" s="75" t="str">
        <f>IFERROR(Y281,"")</f>
        <v>2Q24</v>
      </c>
      <c r="Z325" s="75" t="str">
        <f>IFERROR(Z281,"")</f>
        <v>3Q24</v>
      </c>
      <c r="AA325" s="75" t="str">
        <f>IFERROR(AA281,"")</f>
        <v>4Q24</v>
      </c>
      <c r="AB325" s="75">
        <f>IFERROR(AB281,"")</f>
        <v>2024</v>
      </c>
      <c r="AC325" s="75" t="str">
        <f>IFERROR(AC281,"")</f>
        <v>1Q25</v>
      </c>
      <c r="AD325" s="75" t="str">
        <f>IFERROR(AD281,"")</f>
        <v>2Q25</v>
      </c>
      <c r="AE325" s="75" t="str">
        <f>IFERROR(AE281,"")</f>
        <v>3Q25</v>
      </c>
      <c r="AF325" s="75" t="str">
        <f>IFERROR(AF281,"")</f>
        <v>4Q25</v>
      </c>
      <c r="AG325" s="75">
        <f>IFERROR(AG281,"")</f>
        <v>2025</v>
      </c>
      <c r="AH325" s="75" t="str">
        <f>IFERROR(AH281,"")</f>
        <v>1Q26</v>
      </c>
      <c r="AI325" s="75" t="str">
        <f>IFERROR(AI281,"")</f>
        <v>2Q26</v>
      </c>
      <c r="AJ325" s="75" t="str">
        <f>IFERROR(AJ281,"")</f>
        <v>3Q26</v>
      </c>
      <c r="AK325" s="75" t="str">
        <f>IFERROR(AK281,"")</f>
        <v>4Q26</v>
      </c>
      <c r="AL325" s="75">
        <f>IFERROR(AL281,"")</f>
        <v>2026</v>
      </c>
      <c r="AM325" s="75" t="str">
        <f>IFERROR(AM281,"")</f>
        <v>1Q27</v>
      </c>
      <c r="AN325" s="75" t="str">
        <f>IFERROR(AN281,"")</f>
        <v>2Q27</v>
      </c>
      <c r="AO325" s="75" t="str">
        <f>IFERROR(AO281,"")</f>
        <v>3Q27</v>
      </c>
      <c r="AP325" s="75" t="str">
        <f>IFERROR(AP281,"")</f>
        <v>4Q27</v>
      </c>
      <c r="AQ325" s="75">
        <f>IFERROR(AQ281,"")</f>
        <v>2027</v>
      </c>
      <c r="AR325" s="75" t="str">
        <f>IFERROR(AR281,"")</f>
        <v>1Q28</v>
      </c>
      <c r="AS325" s="75" t="str">
        <f>IFERROR(AS281,"")</f>
        <v>2Q28</v>
      </c>
      <c r="AT325" s="75" t="str">
        <f>IFERROR(AT281,"")</f>
        <v>3Q28</v>
      </c>
      <c r="AU325" s="75" t="str">
        <f>IFERROR(AU281,"")</f>
        <v>4Q28</v>
      </c>
      <c r="AV325" s="75">
        <f>IFERROR(AV281,"")</f>
        <v>2028</v>
      </c>
      <c r="AW325" s="75" t="str">
        <f>IFERROR(AW281,"")</f>
        <v>1Q29</v>
      </c>
      <c r="AX325" s="75" t="str">
        <f>IFERROR(AX281,"")</f>
        <v>2Q29</v>
      </c>
      <c r="AY325" s="75" t="str">
        <f>IFERROR(AY281,"")</f>
        <v>3Q29</v>
      </c>
      <c r="AZ325" s="75" t="str">
        <f>IFERROR(AZ281,"")</f>
        <v>4Q29</v>
      </c>
      <c r="BA325" s="75">
        <f>IFERROR(BA281,"")</f>
        <v>2029</v>
      </c>
      <c r="BB325" s="75" t="str">
        <f>IFERROR(BB281,"")</f>
        <v>1Q30</v>
      </c>
      <c r="BC325" s="75" t="str">
        <f>IFERROR(BC281,"")</f>
        <v>2Q30</v>
      </c>
      <c r="BD325" s="75" t="str">
        <f>IFERROR(BD281,"")</f>
        <v>3Q30</v>
      </c>
      <c r="BE325" s="75" t="str">
        <f>IFERROR(BE281,"")</f>
        <v>4Q30</v>
      </c>
      <c r="BF325" s="75">
        <f>IFERROR(BF281,"")</f>
        <v>2030</v>
      </c>
      <c r="BG325" s="75" t="n"/>
      <c r="BH325" s="75" t="n"/>
      <c r="BI325" s="75" t="n"/>
      <c r="BJ325" s="75" t="n"/>
      <c r="BK325" s="75" t="n"/>
      <c r="BL325" s="75" t="n"/>
      <c r="BM325" s="75" t="n"/>
      <c r="BN325" s="75" t="n"/>
      <c r="BO325" s="75" t="n"/>
      <c r="BP325" s="75" t="n"/>
      <c r="BQ325" s="75" t="n"/>
      <c r="BR325" s="75" t="n"/>
      <c r="BS325" s="75" t="n"/>
      <c r="BT325" s="75" t="n"/>
      <c r="BU325" s="75" t="n"/>
      <c r="BV325" s="75" t="n"/>
      <c r="BW325" s="75" t="n"/>
      <c r="BX325" s="75" t="n"/>
      <c r="BY325" s="75" t="n"/>
      <c r="BZ325" s="75" t="n"/>
      <c r="CA325" s="75" t="n"/>
      <c r="CB325" s="75" t="n"/>
      <c r="CC325" s="75" t="n"/>
      <c r="CD325" s="75" t="n"/>
      <c r="CE325" s="75" t="n"/>
      <c r="CF325" s="75" t="n"/>
      <c r="CG325" s="75" t="n"/>
      <c r="CH325" s="75" t="n"/>
      <c r="CI325" s="75" t="n"/>
      <c r="CJ325" s="75" t="n"/>
      <c r="CK325" s="75" t="n"/>
      <c r="CL325" s="75" t="n"/>
      <c r="CM325" s="75" t="n"/>
      <c r="CN325" s="75" t="n"/>
      <c r="CO325" s="75" t="n"/>
      <c r="CP325" s="75" t="n"/>
      <c r="CQ325" s="75" t="n"/>
      <c r="CR325" s="75" t="n"/>
      <c r="CS325" s="75" t="n"/>
      <c r="CT325" s="75" t="n"/>
      <c r="CU325" s="75" t="n"/>
      <c r="CV325" s="75" t="n"/>
      <c r="CW325" s="75" t="n"/>
      <c r="CX325" s="75" t="n"/>
      <c r="CY325" s="75" t="n"/>
    </row>
    <row r="326" customFormat="1" s="77">
      <c r="A326" s="76" t="n"/>
      <c r="B326" s="76" t="n"/>
      <c r="C326" s="74" t="inlineStr">
        <is>
          <t>GROWTH &amp; MARGINS</t>
        </is>
      </c>
    </row>
    <row r="327" customFormat="1" s="77">
      <c r="A327" s="76" t="n"/>
      <c r="B327" s="76" t="n"/>
      <c r="C327" s="77" t="inlineStr">
        <is>
          <t>NET REVENUE GROWTH (YoY)</t>
        </is>
      </c>
      <c r="E327" s="78" t="str">
        <f>IFERROR(E15/D15-1,"")</f>
        <v/>
      </c>
      <c r="F327" s="78" t="str">
        <f>IFERROR(F15/E15-1,"")</f>
        <v/>
      </c>
      <c r="G327" s="78" t="str">
        <f>IFERROR(G15/F15-1,"")</f>
        <v/>
      </c>
      <c r="H327" s="257" t="str">
        <f>""</f>
        <v/>
      </c>
      <c r="I327" s="257" t="str">
        <f>""</f>
        <v/>
      </c>
      <c r="J327" s="257" t="str">
        <f>""</f>
        <v/>
      </c>
      <c r="K327" s="257" t="str">
        <f>""</f>
        <v/>
      </c>
      <c r="L327" s="257" t="str">
        <f>""</f>
        <v/>
      </c>
      <c r="M327" s="257" t="str">
        <f>IFERROR(IF(AND(ISNUMBER(M15),ISNUMBER(H15),H15&lt;&gt;0),M15/H15-1,""),"")</f>
        <v/>
      </c>
      <c r="N327" s="257">
        <f>IFERROR(IF(AND(ISNUMBER(N15),ISNUMBER(I15),I15&lt;&gt;0),N15/I15-1,""),"")</f>
        <v>0.729013103922416</v>
      </c>
      <c r="O327" s="257">
        <f>IFERROR(IF(AND(ISNUMBER(O15),ISNUMBER(J15),J15&lt;&gt;0),O15/J15-1,""),"")</f>
        <v>0.710712562772955</v>
      </c>
      <c r="P327" s="257">
        <f>IFERROR(IF(AND(ISNUMBER(P15),ISNUMBER(K15),K15&lt;&gt;0),P15/K15-1,""),"")</f>
        <v>0.723817029470376</v>
      </c>
      <c r="Q327" s="257">
        <f>IFERROR(IF(AND(ISNUMBER(Q15),ISNUMBER(L15),L15&lt;&gt;0),Q15/L15-1,""),"")</f>
        <v>0.773761673056493</v>
      </c>
      <c r="R327" s="257">
        <f>IFERROR(IF(AND(ISNUMBER(R15),ISNUMBER(M15),M15&lt;&gt;0),R15/M15-1,""),"")</f>
        <v>0.736730187103853</v>
      </c>
      <c r="S327" s="257">
        <f>IFERROR(IF(AND(ISNUMBER(S15),ISNUMBER(N15),N15&lt;&gt;0),S15/N15-1,""),"")</f>
        <v>0.642322353818788</v>
      </c>
      <c r="T327" s="257">
        <f>IFERROR(IF(AND(ISNUMBER(T15),ISNUMBER(O15),O15&lt;&gt;0),T15/O15-1,""),"")</f>
        <v>0.404015089839448</v>
      </c>
      <c r="U327" s="257">
        <f>IFERROR(IF(AND(ISNUMBER(U15),ISNUMBER(P15),P15&lt;&gt;0),U15/P15-1,""),"")</f>
        <v>0.219065184303611</v>
      </c>
      <c r="V327" s="257">
        <f>IFERROR(IF(AND(ISNUMBER(V15),ISNUMBER(Q15),Q15&lt;&gt;0),V15/Q15-1,""),"")</f>
        <v>0.160823833768816</v>
      </c>
      <c r="W327" s="257">
        <f>IFERROR(IF(AND(ISNUMBER(W15),ISNUMBER(R15),R15&lt;&gt;0),W15/R15-1,""),"")</f>
        <v>0.322305879826434</v>
      </c>
      <c r="X327" s="257">
        <f>IFERROR(IF(AND(ISNUMBER(X15),ISNUMBER(S15),S15&lt;&gt;0),X15/S15-1,""),"")</f>
        <v>0.21862137469991</v>
      </c>
      <c r="Y327" s="257">
        <f>IFERROR(IF(AND(ISNUMBER(Y15),ISNUMBER(T15),T15&lt;&gt;0),Y15/T15-1,""),"")</f>
        <v>0.352152582045233</v>
      </c>
      <c r="Z327" s="257">
        <f>IFERROR(IF(AND(ISNUMBER(Z15),ISNUMBER(U15),U15&lt;&gt;0),Z15/U15-1,""),"")</f>
        <v>0.297228805550636</v>
      </c>
      <c r="AA327" s="257">
        <f>IFERROR(IF(AND(ISNUMBER(AA15),ISNUMBER(V15),V15&lt;&gt;0),AA15/V15-1,""),"")</f>
        <v>0.25017938701738</v>
      </c>
      <c r="AB327" s="257">
        <f>IFERROR(IF(AND(ISNUMBER(AB15),ISNUMBER(W15),W15&lt;&gt;0),AB15/W15-1,""),"")</f>
        <v>0.279317328882561</v>
      </c>
      <c r="AC327" s="257">
        <f>IFERROR(IF(AND(ISNUMBER(AC15),ISNUMBER(X15),X15&lt;&gt;0),AC15/X15-1,""),"")</f>
        <v>0.129931688434868</v>
      </c>
      <c r="AD327" s="257">
        <f>IFERROR(IF(AND(ISNUMBER(AD15),ISNUMBER(Y15),Y15&lt;&gt;0),AD15/Y15-1,""),"")</f>
        <v>0.011107241622887</v>
      </c>
      <c r="AE327" s="257">
        <f>IFERROR(IF(AND(ISNUMBER(AE15),ISNUMBER(Z15),Z15&lt;&gt;0),AE15/Z15-1,""),"")</f>
        <v>0.0287700380822153</v>
      </c>
      <c r="AF327" s="257">
        <f>IFERROR(IF(AND(ISNUMBER(AF15),ISNUMBER(AA15),AA15&lt;&gt;0),AF15/AA15-1,""),"")</f>
        <v>0.0437104969492617</v>
      </c>
      <c r="AG327" s="257">
        <f>IFERROR(IF(AND(ISNUMBER(AG15),ISNUMBER(AB15),AB15&lt;&gt;0),AG15/AB15-1,""),"")</f>
        <v>0.0507574203952588</v>
      </c>
      <c r="AH327" s="257">
        <f>IFERROR(IF(AND(ISNUMBER(AH15),ISNUMBER(AC15),AC15&lt;&gt;0),AH15/AC15-1,""),"")</f>
        <v>0.066343378344254</v>
      </c>
      <c r="AI327" s="257">
        <f>IFERROR(IF(AND(ISNUMBER(AI15),ISNUMBER(AD15),AD15&lt;&gt;0),AI15/AD15-1,""),"")</f>
        <v>0.0877956271143696</v>
      </c>
      <c r="AJ327" s="257">
        <f>IFERROR(IF(AND(ISNUMBER(AJ15),ISNUMBER(AE15),AE15&lt;&gt;0),AJ15/AE15-1,""),"")</f>
        <v>0.061276411757976</v>
      </c>
      <c r="AK327" s="257">
        <f>IFERROR(IF(AND(ISNUMBER(AK15),ISNUMBER(AF15),AF15&lt;&gt;0),AK15/AF15-1,""),"")</f>
        <v>0.061276411757976</v>
      </c>
      <c r="AL327" s="257">
        <f>IFERROR(IF(AND(ISNUMBER(AL15),ISNUMBER(AG15),AG15&lt;&gt;0),AL15/AG15-1,""),"")</f>
        <v>0.0688954354114832</v>
      </c>
      <c r="AM327" s="257">
        <f>IFERROR(IF(AND(ISNUMBER(AM15),ISNUMBER(AH15),AH15&lt;&gt;0),AM15/AH15-1,""),"")</f>
        <v>0.061276411757976</v>
      </c>
      <c r="AN327" s="257">
        <f>IFERROR(IF(AND(ISNUMBER(AN15),ISNUMBER(AI15),AI15&lt;&gt;0),AN15/AI15-1,""),"")</f>
        <v>0.061276411757976</v>
      </c>
      <c r="AO327" s="257">
        <f>IFERROR(IF(AND(ISNUMBER(AO15),ISNUMBER(AJ15),AJ15&lt;&gt;0),AO15/AJ15-1,""),"")</f>
        <v>0.061276411757976</v>
      </c>
      <c r="AP327" s="257">
        <f>IFERROR(IF(AND(ISNUMBER(AP15),ISNUMBER(AK15),AK15&lt;&gt;0),AP15/AK15-1,""),"")</f>
        <v>0.061276411757976</v>
      </c>
      <c r="AQ327" s="257">
        <f>IFERROR(IF(AND(ISNUMBER(AQ15),ISNUMBER(AL15),AL15&lt;&gt;0),AQ15/AL15-1,""),"")</f>
        <v>0.0612764117579763</v>
      </c>
      <c r="AR327" s="257">
        <f>IFERROR(IF(AND(ISNUMBER(AR15),ISNUMBER(AM15),AM15&lt;&gt;0),AR15/AM15-1,""),"")</f>
        <v>0.0562764117579759</v>
      </c>
      <c r="AS327" s="257">
        <f>IFERROR(IF(AND(ISNUMBER(AS15),ISNUMBER(AN15),AN15&lt;&gt;0),AS15/AN15-1,""),"")</f>
        <v>0.0562764117579759</v>
      </c>
      <c r="AT327" s="257">
        <f>IFERROR(IF(AND(ISNUMBER(AT15),ISNUMBER(AO15),AO15&lt;&gt;0),AT15/AO15-1,""),"")</f>
        <v>0.0562764117579759</v>
      </c>
      <c r="AU327" s="257">
        <f>IFERROR(IF(AND(ISNUMBER(AU15),ISNUMBER(AP15),AP15&lt;&gt;0),AU15/AP15-1,""),"")</f>
        <v>0.0562764117579759</v>
      </c>
      <c r="AV327" s="257">
        <f>IFERROR(IF(AND(ISNUMBER(AV15),ISNUMBER(AQ15),AQ15&lt;&gt;0),AV15/AQ15-1,""),"")</f>
        <v>0.0562764117579759</v>
      </c>
      <c r="AW327" s="257">
        <f>IFERROR(IF(AND(ISNUMBER(AW15),ISNUMBER(AR15),AR15&lt;&gt;0),AW15/AR15-1,""),"")</f>
        <v>0.051276411757976</v>
      </c>
      <c r="AX327" s="257">
        <f>IFERROR(IF(AND(ISNUMBER(AX15),ISNUMBER(AS15),AS15&lt;&gt;0),AX15/AS15-1,""),"")</f>
        <v>0.051276411757976</v>
      </c>
      <c r="AY327" s="257">
        <f>IFERROR(IF(AND(ISNUMBER(AY15),ISNUMBER(AT15),AT15&lt;&gt;0),AY15/AT15-1,""),"")</f>
        <v>0.051276411757976</v>
      </c>
      <c r="AZ327" s="257">
        <f>IFERROR(IF(AND(ISNUMBER(AZ15),ISNUMBER(AU15),AU15&lt;&gt;0),AZ15/AU15-1,""),"")</f>
        <v>0.051276411757976</v>
      </c>
      <c r="BA327" s="257">
        <f>IFERROR(IF(AND(ISNUMBER(BA15),ISNUMBER(AV15),AV15&lt;&gt;0),BA15/AV15-1,""),"")</f>
        <v>0.051276411757976</v>
      </c>
      <c r="BB327" s="257">
        <f>IFERROR(IF(AND(ISNUMBER(BB15),ISNUMBER(AW15),AW15&lt;&gt;0),BB15/AW15-1,""),"")</f>
        <v>0.0462764117579759</v>
      </c>
      <c r="BC327" s="257">
        <f>IFERROR(IF(AND(ISNUMBER(BC15),ISNUMBER(AX15),AX15&lt;&gt;0),BC15/AX15-1,""),"")</f>
        <v>0.0462764117579759</v>
      </c>
      <c r="BD327" s="257">
        <f>IFERROR(IF(AND(ISNUMBER(BD15),ISNUMBER(AY15),AY15&lt;&gt;0),BD15/AY15-1,""),"")</f>
        <v>0.0462764117579759</v>
      </c>
      <c r="BE327" s="257">
        <f>IFERROR(IF(AND(ISNUMBER(BE15),ISNUMBER(AZ15),AZ15&lt;&gt;0),BE15/AZ15-1,""),"")</f>
        <v>0.0462764117579759</v>
      </c>
      <c r="BF327" s="257">
        <f>IFERROR(IF(AND(ISNUMBER(BF15),ISNUMBER(BA15),BA15&lt;&gt;0),BF15/BA15-1,""),"")</f>
        <v>0.0462764117579759</v>
      </c>
      <c r="BG327" s="79" t="n"/>
      <c r="BH327" s="79" t="n"/>
      <c r="BI327" s="79" t="n"/>
      <c r="BJ327" s="79" t="n"/>
      <c r="BK327" s="78" t="n"/>
      <c r="BL327" s="79" t="n"/>
      <c r="BM327" s="79" t="n"/>
      <c r="BN327" s="79" t="n"/>
      <c r="BO327" s="79" t="n"/>
      <c r="BP327" s="78" t="n"/>
      <c r="BQ327" s="79" t="n"/>
      <c r="BR327" s="79" t="n"/>
      <c r="BS327" s="79" t="n"/>
      <c r="BT327" s="79" t="n"/>
      <c r="BU327" s="78" t="n"/>
      <c r="BV327" s="79" t="n"/>
      <c r="BW327" s="79" t="n"/>
      <c r="BX327" s="79" t="n"/>
      <c r="BY327" s="79" t="n"/>
      <c r="BZ327" s="78" t="n"/>
      <c r="CA327" s="79" t="n"/>
      <c r="CB327" s="79" t="n"/>
      <c r="CC327" s="79" t="n"/>
      <c r="CD327" s="79" t="n"/>
      <c r="CE327" s="78" t="n"/>
      <c r="CF327" s="79" t="n"/>
      <c r="CG327" s="79" t="n"/>
      <c r="CH327" s="79" t="n"/>
      <c r="CI327" s="79" t="n"/>
      <c r="CJ327" s="78" t="n"/>
      <c r="CK327" s="79" t="n"/>
      <c r="CL327" s="79" t="n"/>
      <c r="CM327" s="79" t="n"/>
      <c r="CN327" s="79" t="n"/>
      <c r="CO327" s="78" t="n"/>
      <c r="CP327" s="79" t="n"/>
      <c r="CQ327" s="79" t="n"/>
      <c r="CR327" s="79" t="n"/>
      <c r="CS327" s="79" t="n"/>
      <c r="CT327" s="78" t="n"/>
      <c r="CU327" s="79" t="n"/>
      <c r="CV327" s="79" t="n"/>
      <c r="CW327" s="79" t="n"/>
      <c r="CX327" s="79" t="n"/>
      <c r="CY327" s="78" t="n"/>
    </row>
    <row r="328" customFormat="1" s="77">
      <c r="A328" s="76" t="n"/>
      <c r="B328" s="76" t="n"/>
      <c r="C328" s="77" t="inlineStr">
        <is>
          <t>GROSS MARGIN</t>
        </is>
      </c>
      <c r="D328" s="79" t="str">
        <f>IFERROR(SUM(D15,D60)/D15,"")</f>
        <v/>
      </c>
      <c r="E328" s="79" t="str">
        <f>IFERROR(SUM(E15,E60)/E15,"")</f>
        <v/>
      </c>
      <c r="F328" s="79" t="str">
        <f>IFERROR(SUM(F15,F60)/F15,"")</f>
        <v/>
      </c>
      <c r="G328" s="79" t="str">
        <f>IFERROR(SUM(G15,G60)/G15,"")</f>
        <v/>
      </c>
      <c r="H328" s="258" t="str">
        <f>IFERROR(IF(N(H15)&lt;&gt;0,(H15+H60)/H15,""),"")</f>
        <v/>
      </c>
      <c r="I328" s="258">
        <f>IFERROR(IF(N(I15)&lt;&gt;0,(I15+I60)/I15,""),"")</f>
        <v>0.398736264639587</v>
      </c>
      <c r="J328" s="258">
        <f>IFERROR(IF(N(J15)&lt;&gt;0,(J15+J60)/J15,""),"")</f>
        <v>0.386843256149419</v>
      </c>
      <c r="K328" s="258">
        <f>IFERROR(IF(N(K15)&lt;&gt;0,(K15+K60)/K15,""),"")</f>
        <v>0.388908781408844</v>
      </c>
      <c r="L328" s="258">
        <f>IFERROR(IF(N(L15)&lt;&gt;0,(L15+L60)/L15,""),"")</f>
        <v>0.420580315536004</v>
      </c>
      <c r="M328" s="258">
        <f>IFERROR(IF(N(M15)&lt;&gt;0,(M15+M60)/M15,""),"")</f>
        <v>0.399749924809496</v>
      </c>
      <c r="N328" s="258">
        <f>IFERROR(IF(N(N15)&lt;&gt;0,(N15+N60)/N15,""),"")</f>
        <v>0.431398898216563</v>
      </c>
      <c r="O328" s="258">
        <f>IFERROR(IF(N(O15)&lt;&gt;0,(O15+O60)/O15,""),"")</f>
        <v>0.411278706721517</v>
      </c>
      <c r="P328" s="258">
        <f>IFERROR(IF(N(P15)&lt;&gt;0,(P15+P60)/P15,""),"")</f>
        <v>0.378565503376887</v>
      </c>
      <c r="Q328" s="258">
        <f>IFERROR(IF(N(Q15)&lt;&gt;0,(Q15+Q60)/Q15,""),"")</f>
        <v>0.371114770388692</v>
      </c>
      <c r="R328" s="258">
        <f>IFERROR(IF(N(R15)&lt;&gt;0,(R15+R60)/R15,""),"")</f>
        <v>0.393551015257183</v>
      </c>
      <c r="S328" s="258">
        <f>IFERROR(IF(N(S15)&lt;&gt;0,(S15+S60)/S15,""),"")</f>
        <v>0.373690803963686</v>
      </c>
      <c r="T328" s="258">
        <f>IFERROR(IF(N(T15)&lt;&gt;0,(T15+T60)/T15,""),"")</f>
        <v>0.374115455887471</v>
      </c>
      <c r="U328" s="258">
        <f>IFERROR(IF(N(U15)&lt;&gt;0,(U15+U60)/U15,""),"")</f>
        <v>0.353402083517901</v>
      </c>
      <c r="V328" s="258">
        <f>IFERROR(IF(N(V15)&lt;&gt;0,(V15+V60)/V15,""),"")</f>
        <v>0.316624636321168</v>
      </c>
      <c r="W328" s="258">
        <f>IFERROR(IF(N(W15)&lt;&gt;0,(W15+W60)/W15,""),"")</f>
        <v>0.353220145923454</v>
      </c>
      <c r="X328" s="258">
        <f>IFERROR(IF(N(X15)&lt;&gt;0,(X15+X60)/X15,""),"")</f>
        <v>0.360176417596447</v>
      </c>
      <c r="Y328" s="258">
        <f>IFERROR(IF(N(Y15)&lt;&gt;0,(Y15+Y60)/Y15,""),"")</f>
        <v>0.339848635782006</v>
      </c>
      <c r="Z328" s="258">
        <f>IFERROR(IF(N(Z15)&lt;&gt;0,(Z15+Z60)/Z15,""),"")</f>
        <v>0.342568293465744</v>
      </c>
      <c r="AA328" s="258">
        <f>IFERROR(IF(N(AA15)&lt;&gt;0,(AA15+AA60)/AA15,""),"")</f>
        <v>0.345492782061517</v>
      </c>
      <c r="AB328" s="258">
        <f>IFERROR(IF(N(AB15)&lt;&gt;0,(AB15+AB60)/AB15,""),"")</f>
        <v>0.34656917463986</v>
      </c>
      <c r="AC328" s="258">
        <f>IFERROR(IF(N(AC15)&lt;&gt;0,(AC15+AC60)/AC15,""),"")</f>
        <v>0.365752955191327</v>
      </c>
      <c r="AD328" s="258">
        <f>IFERROR(IF(N(AD15)&lt;&gt;0,(AD15+AD60)/AD15,""),"")</f>
        <v>0.376730862116777</v>
      </c>
      <c r="AE328" s="258">
        <f>IFERROR(IF(N(AE15)&lt;&gt;0,(AE15+AE60)/AE15,""),"")</f>
        <v>0.365771852256386</v>
      </c>
      <c r="AF328" s="258">
        <f>IFERROR(IF(N(AF15)&lt;&gt;0,(AF15+AF60)/AF15,""),"")</f>
        <v>0.373220255238158</v>
      </c>
      <c r="AG328" s="258">
        <f>IFERROR(IF(N(AG15)&lt;&gt;0,(AG15+AG60)/AG15,""),"")</f>
        <v>0.370349583058035</v>
      </c>
      <c r="AH328" s="258">
        <f>IFERROR(IF(N(AH15)&lt;&gt;0,(AH15+AH60)/AH15,""),"")</f>
        <v>0.383300811736751</v>
      </c>
      <c r="AI328" s="258">
        <f>IFERROR(IF(N(AI15)&lt;&gt;0,(AI15+AI60)/AI15,""),"")</f>
        <v>0.394257522463658</v>
      </c>
      <c r="AJ328" s="258">
        <f>IFERROR(IF(N(AJ15)&lt;&gt;0,(AJ15+AJ60)/AJ15,""),"")</f>
        <v>0.376505709833843</v>
      </c>
      <c r="AK328" s="258">
        <f>IFERROR(IF(N(AK15)&lt;&gt;0,(AK15+AK60)/AK15,""),"")</f>
        <v>0.376505709833843</v>
      </c>
      <c r="AL328" s="258">
        <f>IFERROR(IF(N(AL15)&lt;&gt;0,(AL15+AL60)/AL15,""),"")</f>
        <v>0.382492290894703</v>
      </c>
      <c r="AM328" s="258">
        <f>IFERROR(IF(N(AM15)&lt;&gt;0,(AM15+AM60)/AM15,""),"")</f>
        <v>0.376505709833843</v>
      </c>
      <c r="AN328" s="258">
        <f>IFERROR(IF(N(AN15)&lt;&gt;0,(AN15+AN60)/AN15,""),"")</f>
        <v>0.376505709833843</v>
      </c>
      <c r="AO328" s="258">
        <f>IFERROR(IF(N(AO15)&lt;&gt;0,(AO15+AO60)/AO15,""),"")</f>
        <v>0.376505709833843</v>
      </c>
      <c r="AP328" s="258">
        <f>IFERROR(IF(N(AP15)&lt;&gt;0,(AP15+AP60)/AP15,""),"")</f>
        <v>0.376505709833843</v>
      </c>
      <c r="AQ328" s="258">
        <f>IFERROR(IF(N(AQ15)&lt;&gt;0,(AQ15+AQ60)/AQ15,""),"")</f>
        <v>0.376505709833843</v>
      </c>
      <c r="AR328" s="258">
        <f>IFERROR(IF(N(AR15)&lt;&gt;0,(AR15+AR60)/AR15,""),"")</f>
        <v>0.376505709833843</v>
      </c>
      <c r="AS328" s="258">
        <f>IFERROR(IF(N(AS15)&lt;&gt;0,(AS15+AS60)/AS15,""),"")</f>
        <v>0.376505709833843</v>
      </c>
      <c r="AT328" s="258">
        <f>IFERROR(IF(N(AT15)&lt;&gt;0,(AT15+AT60)/AT15,""),"")</f>
        <v>0.376505709833843</v>
      </c>
      <c r="AU328" s="258">
        <f>IFERROR(IF(N(AU15)&lt;&gt;0,(AU15+AU60)/AU15,""),"")</f>
        <v>0.376505709833843</v>
      </c>
      <c r="AV328" s="258">
        <f>IFERROR(IF(N(AV15)&lt;&gt;0,(AV15+AV60)/AV15,""),"")</f>
        <v>0.376505709833843</v>
      </c>
      <c r="AW328" s="258">
        <f>IFERROR(IF(N(AW15)&lt;&gt;0,(AW15+AW60)/AW15,""),"")</f>
        <v>0.376505709833843</v>
      </c>
      <c r="AX328" s="258">
        <f>IFERROR(IF(N(AX15)&lt;&gt;0,(AX15+AX60)/AX15,""),"")</f>
        <v>0.376505709833843</v>
      </c>
      <c r="AY328" s="258">
        <f>IFERROR(IF(N(AY15)&lt;&gt;0,(AY15+AY60)/AY15,""),"")</f>
        <v>0.376505709833843</v>
      </c>
      <c r="AZ328" s="258">
        <f>IFERROR(IF(N(AZ15)&lt;&gt;0,(AZ15+AZ60)/AZ15,""),"")</f>
        <v>0.376505709833843</v>
      </c>
      <c r="BA328" s="258">
        <f>IFERROR(IF(N(BA15)&lt;&gt;0,(BA15+BA60)/BA15,""),"")</f>
        <v>0.376505709833843</v>
      </c>
      <c r="BB328" s="258">
        <f>IFERROR(IF(N(BB15)&lt;&gt;0,(BB15+BB60)/BB15,""),"")</f>
        <v>0.376505709833843</v>
      </c>
      <c r="BC328" s="258">
        <f>IFERROR(IF(N(BC15)&lt;&gt;0,(BC15+BC60)/BC15,""),"")</f>
        <v>0.376505709833843</v>
      </c>
      <c r="BD328" s="258">
        <f>IFERROR(IF(N(BD15)&lt;&gt;0,(BD15+BD60)/BD15,""),"")</f>
        <v>0.376505709833843</v>
      </c>
      <c r="BE328" s="258">
        <f>IFERROR(IF(N(BE15)&lt;&gt;0,(BE15+BE60)/BE15,""),"")</f>
        <v>0.376505709833843</v>
      </c>
      <c r="BF328" s="258">
        <f>IFERROR(IF(N(BF15)&lt;&gt;0,(BF15+BF60)/BF15,""),"")</f>
        <v>0.376505709833843</v>
      </c>
      <c r="BG328" s="80" t="n"/>
      <c r="BH328" s="80" t="n"/>
      <c r="BI328" s="80" t="n"/>
      <c r="BJ328" s="80" t="n"/>
      <c r="BL328" s="80" t="n"/>
      <c r="BM328" s="80" t="n"/>
      <c r="BN328" s="80" t="n"/>
      <c r="BO328" s="80" t="n"/>
      <c r="BQ328" s="80" t="n"/>
      <c r="BR328" s="80" t="n"/>
      <c r="BS328" s="80" t="n"/>
      <c r="BT328" s="80" t="n"/>
      <c r="BV328" s="80" t="n"/>
      <c r="BW328" s="80" t="n"/>
      <c r="BX328" s="80" t="n"/>
      <c r="BY328" s="80" t="n"/>
      <c r="CA328" s="80" t="n"/>
      <c r="CB328" s="80" t="n"/>
      <c r="CC328" s="80" t="n"/>
      <c r="CD328" s="80" t="n"/>
      <c r="CF328" s="80" t="n"/>
      <c r="CG328" s="80" t="n"/>
      <c r="CH328" s="80" t="n"/>
      <c r="CI328" s="80" t="n"/>
      <c r="CK328" s="80" t="n"/>
      <c r="CL328" s="80" t="n"/>
      <c r="CM328" s="80" t="n"/>
      <c r="CN328" s="80" t="n"/>
      <c r="CP328" s="80" t="n"/>
      <c r="CQ328" s="80" t="n"/>
      <c r="CR328" s="80" t="n"/>
      <c r="CS328" s="80" t="n"/>
      <c r="CU328" s="80" t="n"/>
      <c r="CV328" s="80" t="n"/>
      <c r="CW328" s="80" t="n"/>
      <c r="CX328" s="80" t="n"/>
    </row>
    <row r="329" customFormat="1" s="77">
      <c r="A329" s="76" t="n"/>
      <c r="B329" s="76" t="n"/>
      <c r="C329" s="77" t="inlineStr">
        <is>
          <t>EBIT MARGIN</t>
        </is>
      </c>
      <c r="D329" s="78" t="str">
        <f>IFERROR((D79/D15),"")</f>
        <v/>
      </c>
      <c r="E329" s="78" t="str">
        <f>IFERROR((E79/E15),"")</f>
        <v/>
      </c>
      <c r="F329" s="78" t="str">
        <f>IFERROR((F79/F15),"")</f>
        <v/>
      </c>
      <c r="G329" s="78" t="str">
        <f>IFERROR((G79/G15),"")</f>
        <v/>
      </c>
      <c r="H329" s="258" t="str">
        <f>IFERROR(IF(N(H15)&lt;&gt;0,H79/H15,""),"")</f>
        <v/>
      </c>
      <c r="I329" s="257">
        <f>IFERROR(IF(N(I15)&lt;&gt;0,I79/I15,""),"")</f>
        <v>0.197188619869749</v>
      </c>
      <c r="J329" s="257">
        <f>IFERROR(IF(N(J15)&lt;&gt;0,J79/J15,""),"")</f>
        <v>0.229774642342276</v>
      </c>
      <c r="K329" s="257">
        <f>IFERROR(IF(N(K15)&lt;&gt;0,K79/K15,""),"")</f>
        <v>0.224764732202876</v>
      </c>
      <c r="L329" s="257">
        <f>IFERROR(IF(N(L15)&lt;&gt;0,L79/L15,""),"")</f>
        <v>0.241772161778858</v>
      </c>
      <c r="M329" s="258">
        <f>IFERROR(IF(N(M15)&lt;&gt;0,M79/M15,""),"")</f>
        <v>0.225768178044786</v>
      </c>
      <c r="N329" s="257">
        <f>IFERROR(IF(N(N15)&lt;&gt;0,N79/N15,""),"")</f>
        <v>0.250662608448718</v>
      </c>
      <c r="O329" s="257">
        <f>IFERROR(IF(N(O15)&lt;&gt;0,O79/O15,""),"")</f>
        <v>0.238855393217984</v>
      </c>
      <c r="P329" s="257">
        <f>IFERROR(IF(N(P15)&lt;&gt;0,P79/P15,""),"")</f>
        <v>0.20928222966737</v>
      </c>
      <c r="Q329" s="257">
        <f>IFERROR(IF(N(Q15)&lt;&gt;0,Q79/Q15,""),"")</f>
        <v>0.172521310366802</v>
      </c>
      <c r="R329" s="258">
        <f>IFERROR(IF(N(R15)&lt;&gt;0,R79/R15,""),"")</f>
        <v>0.212475813318137</v>
      </c>
      <c r="S329" s="257">
        <f>IFERROR(IF(N(S15)&lt;&gt;0,S79/S15,""),"")</f>
        <v>0.177029162786969</v>
      </c>
      <c r="T329" s="257">
        <f>IFERROR(IF(N(T15)&lt;&gt;0,T79/T15,""),"")</f>
        <v>0.209966091924905</v>
      </c>
      <c r="U329" s="257">
        <f>IFERROR(IF(N(U15)&lt;&gt;0,U79/U15,""),"")</f>
        <v>0.164444040935626</v>
      </c>
      <c r="V329" s="257">
        <f>IFERROR(IF(N(V15)&lt;&gt;0,V79/V15,""),"")</f>
        <v>0.0694211846030851</v>
      </c>
      <c r="W329" s="258">
        <f>IFERROR(IF(N(W15)&lt;&gt;0,W79/W15,""),"")</f>
        <v>0.152767540289194</v>
      </c>
      <c r="X329" s="257">
        <f>IFERROR(IF(N(X15)&lt;&gt;0,X79/X15,""),"")</f>
        <v>0.169762209621954</v>
      </c>
      <c r="Y329" s="257">
        <f>IFERROR(IF(N(Y15)&lt;&gt;0,Y79/Y15,""),"")</f>
        <v>0.166161602174401</v>
      </c>
      <c r="Z329" s="257">
        <f>IFERROR(IF(N(Z15)&lt;&gt;0,Z79/Z15,""),"")</f>
        <v>0.157739475750442</v>
      </c>
      <c r="AA329" s="257">
        <f>IFERROR(IF(N(AA15)&lt;&gt;0,AA79/AA15,""),"")</f>
        <v>0.153995710717348</v>
      </c>
      <c r="AB329" s="258">
        <f>IFERROR(IF(N(AB15)&lt;&gt;0,AB79/AB15,""),"")</f>
        <v>0.161550519021077</v>
      </c>
      <c r="AC329" s="257">
        <f>IFERROR(IF(N(AC15)&lt;&gt;0,AC79/AC15,""),"")</f>
        <v>0.170782766239283</v>
      </c>
      <c r="AD329" s="257">
        <f>IFERROR(IF(N(AD15)&lt;&gt;0,AD79/AD15,""),"")</f>
        <v>0.174425316164796</v>
      </c>
      <c r="AE329" s="257">
        <f>IFERROR(IF(N(AE15)&lt;&gt;0,AE79/AE15,""),"")</f>
        <v>0.156275934237506</v>
      </c>
      <c r="AF329" s="257">
        <f>IFERROR(IF(N(AF15)&lt;&gt;0,AF79/AF15,""),"")</f>
        <v>0.257933409776385</v>
      </c>
      <c r="AG329" s="258">
        <f>IFERROR(IF(N(AG15)&lt;&gt;0,AG79/AG15,""),"")</f>
        <v>0.19053937456059</v>
      </c>
      <c r="AH329" s="257">
        <f>IFERROR(IF(N(AH15)&lt;&gt;0,AH79/AH15,""),"")</f>
        <v>0.162235828730429</v>
      </c>
      <c r="AI329" s="257">
        <f>IFERROR(IF(N(AI15)&lt;&gt;0,AI79/AI15,""),"")</f>
        <v>0.186540281588747</v>
      </c>
      <c r="AJ329" s="257">
        <f>IFERROR(IF(N(AJ15)&lt;&gt;0,AJ79/AJ15,""),"")</f>
        <v>0.184698922789524</v>
      </c>
      <c r="AK329" s="257">
        <f>IFERROR(IF(N(AK15)&lt;&gt;0,AK79/AK15,""),"")</f>
        <v>0.184698922789524</v>
      </c>
      <c r="AL329" s="258">
        <f>IFERROR(IF(N(AL15)&lt;&gt;0,AL79/AL15,""),"")</f>
        <v>0.179788402681235</v>
      </c>
      <c r="AM329" s="257">
        <f>IFERROR(IF(N(AM15)&lt;&gt;0,AM79/AM15,""),"")</f>
        <v>0.184698922789524</v>
      </c>
      <c r="AN329" s="257">
        <f>IFERROR(IF(N(AN15)&lt;&gt;0,AN79/AN15,""),"")</f>
        <v>0.184698922789524</v>
      </c>
      <c r="AO329" s="257">
        <f>IFERROR(IF(N(AO15)&lt;&gt;0,AO79/AO15,""),"")</f>
        <v>0.184698922789524</v>
      </c>
      <c r="AP329" s="257">
        <f>IFERROR(IF(N(AP15)&lt;&gt;0,AP79/AP15,""),"")</f>
        <v>0.184698922789524</v>
      </c>
      <c r="AQ329" s="258">
        <f>IFERROR(IF(N(AQ15)&lt;&gt;0,AQ79/AQ15,""),"")</f>
        <v>0.184698922789524</v>
      </c>
      <c r="AR329" s="257">
        <f>IFERROR(IF(N(AR15)&lt;&gt;0,AR79/AR15,""),"")</f>
        <v>0.184698922789524</v>
      </c>
      <c r="AS329" s="257">
        <f>IFERROR(IF(N(AS15)&lt;&gt;0,AS79/AS15,""),"")</f>
        <v>0.184698922789524</v>
      </c>
      <c r="AT329" s="257">
        <f>IFERROR(IF(N(AT15)&lt;&gt;0,AT79/AT15,""),"")</f>
        <v>0.184698922789524</v>
      </c>
      <c r="AU329" s="257">
        <f>IFERROR(IF(N(AU15)&lt;&gt;0,AU79/AU15,""),"")</f>
        <v>0.184698922789524</v>
      </c>
      <c r="AV329" s="258">
        <f>IFERROR(IF(N(AV15)&lt;&gt;0,AV79/AV15,""),"")</f>
        <v>0.184698922789524</v>
      </c>
      <c r="AW329" s="257">
        <f>IFERROR(IF(N(AW15)&lt;&gt;0,AW79/AW15,""),"")</f>
        <v>0.184698922789524</v>
      </c>
      <c r="AX329" s="257">
        <f>IFERROR(IF(N(AX15)&lt;&gt;0,AX79/AX15,""),"")</f>
        <v>0.184698922789524</v>
      </c>
      <c r="AY329" s="257">
        <f>IFERROR(IF(N(AY15)&lt;&gt;0,AY79/AY15,""),"")</f>
        <v>0.184698922789524</v>
      </c>
      <c r="AZ329" s="257">
        <f>IFERROR(IF(N(AZ15)&lt;&gt;0,AZ79/AZ15,""),"")</f>
        <v>0.184698922789524</v>
      </c>
      <c r="BA329" s="258">
        <f>IFERROR(IF(N(BA15)&lt;&gt;0,BA79/BA15,""),"")</f>
        <v>0.184698922789524</v>
      </c>
      <c r="BB329" s="257">
        <f>IFERROR(IF(N(BB15)&lt;&gt;0,BB79/BB15,""),"")</f>
        <v>0.184698922789524</v>
      </c>
      <c r="BC329" s="257">
        <f>IFERROR(IF(N(BC15)&lt;&gt;0,BC79/BC15,""),"")</f>
        <v>0.184698922789524</v>
      </c>
      <c r="BD329" s="257">
        <f>IFERROR(IF(N(BD15)&lt;&gt;0,BD79/BD15,""),"")</f>
        <v>0.184698922789524</v>
      </c>
      <c r="BE329" s="257">
        <f>IFERROR(IF(N(BE15)&lt;&gt;0,BE79/BE15,""),"")</f>
        <v>0.184698922789524</v>
      </c>
      <c r="BF329" s="258">
        <f>IFERROR(IF(N(BF15)&lt;&gt;0,BF79/BF15,""),"")</f>
        <v>0.184698922789524</v>
      </c>
      <c r="BG329" s="81" t="n"/>
      <c r="BH329" s="81" t="n"/>
      <c r="BI329" s="81" t="n"/>
      <c r="BJ329" s="81" t="n"/>
      <c r="BL329" s="81" t="n"/>
      <c r="BM329" s="81" t="n"/>
      <c r="BN329" s="81" t="n"/>
      <c r="BO329" s="81" t="n"/>
      <c r="BQ329" s="81" t="n"/>
      <c r="BR329" s="81" t="n"/>
      <c r="BS329" s="81" t="n"/>
      <c r="BT329" s="81" t="n"/>
      <c r="BV329" s="81" t="n"/>
      <c r="BW329" s="81" t="n"/>
      <c r="BX329" s="81" t="n"/>
      <c r="BY329" s="81" t="n"/>
      <c r="CA329" s="81" t="n"/>
      <c r="CB329" s="81" t="n"/>
      <c r="CC329" s="81" t="n"/>
      <c r="CD329" s="81" t="n"/>
      <c r="CF329" s="81" t="n"/>
      <c r="CG329" s="81" t="n"/>
      <c r="CH329" s="81" t="n"/>
      <c r="CI329" s="81" t="n"/>
      <c r="CK329" s="81" t="n"/>
      <c r="CL329" s="81" t="n"/>
      <c r="CM329" s="81" t="n"/>
      <c r="CN329" s="81" t="n"/>
      <c r="CP329" s="81" t="n"/>
      <c r="CQ329" s="81" t="n"/>
      <c r="CR329" s="81" t="n"/>
      <c r="CS329" s="81" t="n"/>
      <c r="CU329" s="81" t="n"/>
      <c r="CV329" s="81" t="n"/>
      <c r="CW329" s="81" t="n"/>
      <c r="CX329" s="81" t="n"/>
    </row>
    <row r="330" customFormat="1" s="77">
      <c r="A330" s="76" t="n"/>
      <c r="B330" s="76" t="n"/>
      <c r="C330" s="77" t="inlineStr">
        <is>
          <t>EBITDA MARGIN</t>
        </is>
      </c>
      <c r="D330" s="78" t="str">
        <f>IFERROR(D75/D15,"")</f>
        <v/>
      </c>
      <c r="E330" s="78" t="str">
        <f>IFERROR(E75/E15,"")</f>
        <v/>
      </c>
      <c r="F330" s="78" t="str">
        <f>IFERROR(F75/F15,"")</f>
        <v/>
      </c>
      <c r="G330" s="78" t="str">
        <f>IFERROR(G75/G15,"")</f>
        <v/>
      </c>
      <c r="H330" s="258" t="str">
        <f>IFERROR(IF(N(H15)&lt;&gt;0,H75/H15,""),"")</f>
        <v/>
      </c>
      <c r="I330" s="257">
        <f>IFERROR(IF(N(I15)&lt;&gt;0,I75/I15,""),"")</f>
        <v>0.280028408986619</v>
      </c>
      <c r="J330" s="257">
        <f>IFERROR(IF(N(J15)&lt;&gt;0,J75/J15,""),"")</f>
        <v>0.306443169429859</v>
      </c>
      <c r="K330" s="257">
        <f>IFERROR(IF(N(K15)&lt;&gt;0,K75/K15,""),"")</f>
        <v>0.294451405805299</v>
      </c>
      <c r="L330" s="257">
        <f>IFERROR(IF(N(L15)&lt;&gt;0,L75/L15,""),"")</f>
        <v>0.320247794244518</v>
      </c>
      <c r="M330" s="258">
        <f>IFERROR(IF(N(M15)&lt;&gt;0,M75/M15,""),"")</f>
        <v>0.302149129668441</v>
      </c>
      <c r="N330" s="257">
        <f>IFERROR(IF(N(N15)&lt;&gt;0,N75/N15,""),"")</f>
        <v>0.333990772530413</v>
      </c>
      <c r="O330" s="257">
        <f>IFERROR(IF(N(O15)&lt;&gt;0,O75/O15,""),"")</f>
        <v>0.316114797858843</v>
      </c>
      <c r="P330" s="257">
        <f>IFERROR(IF(N(P15)&lt;&gt;0,P75/P15,""),"")</f>
        <v>0.284035139995519</v>
      </c>
      <c r="Q330" s="257">
        <f>IFERROR(IF(N(Q15)&lt;&gt;0,Q75/Q15,""),"")</f>
        <v>0.25186964380577</v>
      </c>
      <c r="R330" s="258">
        <f>IFERROR(IF(N(R15)&lt;&gt;0,R75/R15,""),"")</f>
        <v>0.290803456857875</v>
      </c>
      <c r="S330" s="257">
        <f>IFERROR(IF(N(S15)&lt;&gt;0,S75/S15,""),"")</f>
        <v>0.263958729385197</v>
      </c>
      <c r="T330" s="257">
        <f>IFERROR(IF(N(T15)&lt;&gt;0,T75/T15,""),"")</f>
        <v>0.299788761923705</v>
      </c>
      <c r="U330" s="257">
        <f>IFERROR(IF(N(U15)&lt;&gt;0,U75/U15,""),"")</f>
        <v>0.250651255423919</v>
      </c>
      <c r="V330" s="257">
        <f>IFERROR(IF(N(V15)&lt;&gt;0,V75/V15,""),"")</f>
        <v>0.193892875695626</v>
      </c>
      <c r="W330" s="258">
        <f>IFERROR(IF(N(W15)&lt;&gt;0,W75/W15,""),"")</f>
        <v>0.250242428974124</v>
      </c>
      <c r="X330" s="257">
        <f>IFERROR(IF(N(X15)&lt;&gt;0,X75/X15,""),"")</f>
        <v>0.26042244532939</v>
      </c>
      <c r="Y330" s="257">
        <f>IFERROR(IF(N(Y15)&lt;&gt;0,Y75/Y15,""),"")</f>
        <v>0.253931870016372</v>
      </c>
      <c r="Z330" s="257">
        <f>IFERROR(IF(N(Z15)&lt;&gt;0,Z75/Z15,""),"")</f>
        <v>0.250153673184435</v>
      </c>
      <c r="AA330" s="257">
        <f>IFERROR(IF(N(AA15)&lt;&gt;0,AA75/AA15,""),"")</f>
        <v>0.245446796139994</v>
      </c>
      <c r="AB330" s="258">
        <f>IFERROR(IF(N(AB15)&lt;&gt;0,AB75/AB15,""),"")</f>
        <v>0.252156638737494</v>
      </c>
      <c r="AC330" s="257">
        <f>IFERROR(IF(N(AC15)&lt;&gt;0,AC75/AC15,""),"")</f>
        <v>0.27351100416318</v>
      </c>
      <c r="AD330" s="257">
        <f>IFERROR(IF(N(AD15)&lt;&gt;0,AD75/AD15,""),"")</f>
        <v>0.282631877353055</v>
      </c>
      <c r="AE330" s="257">
        <f>IFERROR(IF(N(AE15)&lt;&gt;0,AE75/AE15,""),"")</f>
        <v>0.261858224352525</v>
      </c>
      <c r="AF330" s="257">
        <f>IFERROR(IF(N(AF15)&lt;&gt;0,AF75/AF15,""),"")</f>
        <v>0.365669417048776</v>
      </c>
      <c r="AG330" s="258">
        <f>IFERROR(IF(N(AG15)&lt;&gt;0,AG75/AG15,""),"")</f>
        <v>0.296632028248092</v>
      </c>
      <c r="AH330" s="257">
        <f>IFERROR(IF(N(AH15)&lt;&gt;0,AH75/AH15,""),"")</f>
        <v>0.275737538822608</v>
      </c>
      <c r="AI330" s="257">
        <f>IFERROR(IF(N(AI15)&lt;&gt;0,AI75/AI15,""),"")</f>
        <v>0.297980571969549</v>
      </c>
      <c r="AJ330" s="257">
        <f>IFERROR(IF(N(AJ15)&lt;&gt;0,AJ75/AJ15,""),"")</f>
        <v>0.292898105618282</v>
      </c>
      <c r="AK330" s="257">
        <f>IFERROR(IF(N(AK15)&lt;&gt;0,AK75/AK15,""),"")</f>
        <v>0.292898105618282</v>
      </c>
      <c r="AL330" s="258">
        <f>IFERROR(IF(N(AL15)&lt;&gt;0,AL75/AL15,""),"")</f>
        <v>0.290050410711035</v>
      </c>
      <c r="AM330" s="257">
        <f>IFERROR(IF(N(AM15)&lt;&gt;0,AM75/AM15,""),"")</f>
        <v>0.292898105618282</v>
      </c>
      <c r="AN330" s="257">
        <f>IFERROR(IF(N(AN15)&lt;&gt;0,AN75/AN15,""),"")</f>
        <v>0.292898105618282</v>
      </c>
      <c r="AO330" s="257">
        <f>IFERROR(IF(N(AO15)&lt;&gt;0,AO75/AO15,""),"")</f>
        <v>0.292898105618282</v>
      </c>
      <c r="AP330" s="257">
        <f>IFERROR(IF(N(AP15)&lt;&gt;0,AP75/AP15,""),"")</f>
        <v>0.292898105618282</v>
      </c>
      <c r="AQ330" s="258">
        <f>IFERROR(IF(N(AQ15)&lt;&gt;0,AQ75/AQ15,""),"")</f>
        <v>0.292898105618282</v>
      </c>
      <c r="AR330" s="257">
        <f>IFERROR(IF(N(AR15)&lt;&gt;0,AR75/AR15,""),"")</f>
        <v>0.292898105618282</v>
      </c>
      <c r="AS330" s="257">
        <f>IFERROR(IF(N(AS15)&lt;&gt;0,AS75/AS15,""),"")</f>
        <v>0.292898105618282</v>
      </c>
      <c r="AT330" s="257">
        <f>IFERROR(IF(N(AT15)&lt;&gt;0,AT75/AT15,""),"")</f>
        <v>0.292898105618282</v>
      </c>
      <c r="AU330" s="257">
        <f>IFERROR(IF(N(AU15)&lt;&gt;0,AU75/AU15,""),"")</f>
        <v>0.292898105618282</v>
      </c>
      <c r="AV330" s="258">
        <f>IFERROR(IF(N(AV15)&lt;&gt;0,AV75/AV15,""),"")</f>
        <v>0.292898105618282</v>
      </c>
      <c r="AW330" s="257">
        <f>IFERROR(IF(N(AW15)&lt;&gt;0,AW75/AW15,""),"")</f>
        <v>0.292898105618282</v>
      </c>
      <c r="AX330" s="257">
        <f>IFERROR(IF(N(AX15)&lt;&gt;0,AX75/AX15,""),"")</f>
        <v>0.292898105618282</v>
      </c>
      <c r="AY330" s="257">
        <f>IFERROR(IF(N(AY15)&lt;&gt;0,AY75/AY15,""),"")</f>
        <v>0.292898105618282</v>
      </c>
      <c r="AZ330" s="257">
        <f>IFERROR(IF(N(AZ15)&lt;&gt;0,AZ75/AZ15,""),"")</f>
        <v>0.292898105618282</v>
      </c>
      <c r="BA330" s="258">
        <f>IFERROR(IF(N(BA15)&lt;&gt;0,BA75/BA15,""),"")</f>
        <v>0.292898105618282</v>
      </c>
      <c r="BB330" s="257">
        <f>IFERROR(IF(N(BB15)&lt;&gt;0,BB75/BB15,""),"")</f>
        <v>0.292898105618282</v>
      </c>
      <c r="BC330" s="257">
        <f>IFERROR(IF(N(BC15)&lt;&gt;0,BC75/BC15,""),"")</f>
        <v>0.292898105618282</v>
      </c>
      <c r="BD330" s="257">
        <f>IFERROR(IF(N(BD15)&lt;&gt;0,BD75/BD15,""),"")</f>
        <v>0.292898105618282</v>
      </c>
      <c r="BE330" s="257">
        <f>IFERROR(IF(N(BE15)&lt;&gt;0,BE75/BE15,""),"")</f>
        <v>0.292898105618282</v>
      </c>
      <c r="BF330" s="258">
        <f>IFERROR(IF(N(BF15)&lt;&gt;0,BF75/BF15,""),"")</f>
        <v>0.292898105618282</v>
      </c>
      <c r="BG330" s="81" t="n"/>
      <c r="BH330" s="81" t="n"/>
      <c r="BI330" s="81" t="n"/>
      <c r="BJ330" s="81" t="n"/>
      <c r="BL330" s="81" t="n"/>
      <c r="BM330" s="81" t="n"/>
      <c r="BN330" s="81" t="n"/>
      <c r="BO330" s="81" t="n"/>
      <c r="BQ330" s="81" t="n"/>
      <c r="BR330" s="81" t="n"/>
      <c r="BS330" s="81" t="n"/>
      <c r="BT330" s="81" t="n"/>
      <c r="BV330" s="81" t="n"/>
      <c r="BW330" s="81" t="n"/>
      <c r="BX330" s="81" t="n"/>
      <c r="BY330" s="81" t="n"/>
      <c r="CA330" s="81" t="n"/>
      <c r="CB330" s="81" t="n"/>
      <c r="CC330" s="81" t="n"/>
      <c r="CD330" s="81" t="n"/>
      <c r="CF330" s="81" t="n"/>
      <c r="CG330" s="81" t="n"/>
      <c r="CH330" s="81" t="n"/>
      <c r="CI330" s="81" t="n"/>
      <c r="CK330" s="81" t="n"/>
      <c r="CL330" s="81" t="n"/>
      <c r="CM330" s="81" t="n"/>
      <c r="CN330" s="81" t="n"/>
      <c r="CP330" s="81" t="n"/>
      <c r="CQ330" s="81" t="n"/>
      <c r="CR330" s="81" t="n"/>
      <c r="CS330" s="81" t="n"/>
      <c r="CU330" s="81" t="n"/>
      <c r="CV330" s="81" t="n"/>
      <c r="CW330" s="81" t="n"/>
      <c r="CX330" s="81" t="n"/>
    </row>
    <row r="331" customFormat="1" s="77">
      <c r="A331" s="76" t="n"/>
      <c r="B331" s="76" t="n"/>
      <c r="C331" s="77" t="inlineStr">
        <is>
          <t>ETR</t>
        </is>
      </c>
      <c r="D331" s="78" t="str">
        <f>IFERROR(-D137/D136,"")</f>
        <v/>
      </c>
      <c r="E331" s="78" t="str">
        <f>IFERROR(-E137/E136,"")</f>
        <v/>
      </c>
      <c r="F331" s="78" t="str">
        <f>IFERROR(-F137/F136,"")</f>
        <v/>
      </c>
      <c r="G331" s="78" t="str">
        <f>IFERROR(-G137/G136,"")</f>
        <v/>
      </c>
      <c r="H331" s="258" t="str">
        <f>IFERROR(IF(N(H136)&lt;&gt;0,-H137/H136,""),"")</f>
        <v/>
      </c>
      <c r="I331" s="257">
        <f>IFERROR(IF(N(I136)&lt;&gt;0,-I137/I136,""),"")</f>
        <v>0.40327550912979</v>
      </c>
      <c r="J331" s="257">
        <f>IFERROR(IF(N(J136)&lt;&gt;0,-J137/J136,""),"")</f>
        <v>0.27785393037972</v>
      </c>
      <c r="K331" s="257">
        <f>IFERROR(IF(N(K136)&lt;&gt;0,-K137/K136,""),"")</f>
        <v>0.303019893072484</v>
      </c>
      <c r="L331" s="257">
        <f>IFERROR(IF(N(L136)&lt;&gt;0,-L137/L136,""),"")</f>
        <v>0.281945417417946</v>
      </c>
      <c r="M331" s="258">
        <f>IFERROR(IF(N(M136)&lt;&gt;0,-M137/M136,""),"")</f>
        <v>0.305290550027758</v>
      </c>
      <c r="N331" s="257">
        <f>IFERROR(IF(N(N136)&lt;&gt;0,-N137/N136,""),"")</f>
        <v>0.291189574635641</v>
      </c>
      <c r="O331" s="257">
        <f>IFERROR(IF(N(O136)&lt;&gt;0,-O137/O136,""),"")</f>
        <v>0.343054358482057</v>
      </c>
      <c r="P331" s="257">
        <f>IFERROR(IF(N(P136)&lt;&gt;0,-P137/P136,""),"")</f>
        <v>0.366182062240457</v>
      </c>
      <c r="Q331" s="257">
        <f>IFERROR(IF(N(Q136)&lt;&gt;0,-Q137/Q136,""),"")</f>
        <v>-10.7139634993809</v>
      </c>
      <c r="R331" s="258">
        <f>IFERROR(IF(N(R136)&lt;&gt;0,-R137/R136,""),"")</f>
        <v>0.0472745882236506</v>
      </c>
      <c r="S331" s="257">
        <f>IFERROR(IF(N(S136)&lt;&gt;0,-S137/S136,""),"")</f>
        <v>-10.5621822273361</v>
      </c>
      <c r="T331" s="257">
        <f>IFERROR(IF(N(T136)&lt;&gt;0,-T137/T136,""),"")</f>
        <v>0.064496954202019</v>
      </c>
      <c r="U331" s="257">
        <f>IFERROR(IF(N(U136)&lt;&gt;0,-U137/U136,""),"")</f>
        <v>0.426137798429647</v>
      </c>
      <c r="V331" s="257">
        <f>IFERROR(IF(N(V136)&lt;&gt;0,-V137/V136,""),"")</f>
        <v>0.243928814368846</v>
      </c>
      <c r="W331" s="258">
        <f>IFERROR(IF(N(W136)&lt;&gt;0,-W137/W136,""),"")</f>
        <v>0.366554552044082</v>
      </c>
      <c r="X331" s="257">
        <f>IFERROR(IF(N(X136)&lt;&gt;0,-X137/X136,""),"")</f>
        <v>0.183719937624362</v>
      </c>
      <c r="Y331" s="257">
        <f>IFERROR(IF(N(Y136)&lt;&gt;0,-Y137/Y136,""),"")</f>
        <v>0.357789740506517</v>
      </c>
      <c r="Z331" s="257">
        <f>IFERROR(IF(N(Z136)&lt;&gt;0,-Z137/Z136,""),"")</f>
        <v>0.287114189479218</v>
      </c>
      <c r="AA331" s="257">
        <f>IFERROR(IF(N(AA136)&lt;&gt;0,-AA137/AA136,""),"")</f>
        <v>-3.98240076350327</v>
      </c>
      <c r="AB331" s="258">
        <f>IFERROR(IF(N(AB136)&lt;&gt;0,-AB137/AB136,""),"")</f>
        <v>0.770836888742211</v>
      </c>
      <c r="AC331" s="257">
        <f>IFERROR(IF(N(AC136)&lt;&gt;0,-AC137/AC136,""),"")</f>
        <v>1.53909952897239</v>
      </c>
      <c r="AD331" s="257">
        <f>IFERROR(IF(N(AD136)&lt;&gt;0,-AD137/AD136,""),"")</f>
        <v>0.639734179811392</v>
      </c>
      <c r="AE331" s="257">
        <f>IFERROR(IF(N(AE136)&lt;&gt;0,-AE137/AE136,""),"")</f>
        <v>0.259809212705663</v>
      </c>
      <c r="AF331" s="257">
        <f>IFERROR(IF(N(AF136)&lt;&gt;0,-AF137/AF136,""),"")</f>
        <v>0.331346281158259</v>
      </c>
      <c r="AG331" s="258">
        <f>IFERROR(IF(N(AG136)&lt;&gt;0,-AG137/AG136,""),"")</f>
        <v>0.178277241921911</v>
      </c>
      <c r="AH331" s="257">
        <f>IFERROR(IF(N(AH136)&lt;&gt;0,-AH137/AH136,""),"")</f>
        <v>0.252266932671461</v>
      </c>
      <c r="AI331" s="257">
        <f>IFERROR(IF(N(AI136)&lt;&gt;0,-AI137/AI136,""),"")</f>
        <v>0.211442027351208</v>
      </c>
      <c r="AJ331" s="257">
        <f>IFERROR(IF(N(AJ136)&lt;&gt;0,-AJ137/AJ136,""),"")</f>
        <v>0.538949693778396</v>
      </c>
      <c r="AK331" s="257">
        <f>IFERROR(IF(N(AK136)&lt;&gt;0,-AK137/AK136,""),"")</f>
        <v>0.538949693778396</v>
      </c>
      <c r="AL331" s="258">
        <f>IFERROR(IF(N(AL136)&lt;&gt;0,-AL137/AL136,""),"")</f>
        <v>0.56417808198578</v>
      </c>
      <c r="AM331" s="257">
        <f>IFERROR(IF(N(AM136)&lt;&gt;0,-AM137/AM136,""),"")</f>
        <v>0.538949693778396</v>
      </c>
      <c r="AN331" s="257">
        <f>IFERROR(IF(N(AN136)&lt;&gt;0,-AN137/AN136,""),"")</f>
        <v>0.538949693778396</v>
      </c>
      <c r="AO331" s="257">
        <f>IFERROR(IF(N(AO136)&lt;&gt;0,-AO137/AO136,""),"")</f>
        <v>0.538949693778396</v>
      </c>
      <c r="AP331" s="257">
        <f>IFERROR(IF(N(AP136)&lt;&gt;0,-AP137/AP136,""),"")</f>
        <v>0.538949693778396</v>
      </c>
      <c r="AQ331" s="258">
        <f>IFERROR(IF(N(AQ136)&lt;&gt;0,-AQ137/AQ136,""),"")</f>
        <v>0.538949693778396</v>
      </c>
      <c r="AR331" s="257">
        <f>IFERROR(IF(N(AR136)&lt;&gt;0,-AR137/AR136,""),"")</f>
        <v>0.538949693778396</v>
      </c>
      <c r="AS331" s="257">
        <f>IFERROR(IF(N(AS136)&lt;&gt;0,-AS137/AS136,""),"")</f>
        <v>0.538949693778396</v>
      </c>
      <c r="AT331" s="257">
        <f>IFERROR(IF(N(AT136)&lt;&gt;0,-AT137/AT136,""),"")</f>
        <v>0.538949693778396</v>
      </c>
      <c r="AU331" s="257">
        <f>IFERROR(IF(N(AU136)&lt;&gt;0,-AU137/AU136,""),"")</f>
        <v>0.538949693778396</v>
      </c>
      <c r="AV331" s="258">
        <f>IFERROR(IF(N(AV136)&lt;&gt;0,-AV137/AV136,""),"")</f>
        <v>0.538949693778396</v>
      </c>
      <c r="AW331" s="257">
        <f>IFERROR(IF(N(AW136)&lt;&gt;0,-AW137/AW136,""),"")</f>
        <v>0.538949693778396</v>
      </c>
      <c r="AX331" s="257">
        <f>IFERROR(IF(N(AX136)&lt;&gt;0,-AX137/AX136,""),"")</f>
        <v>0.538949693778396</v>
      </c>
      <c r="AY331" s="257">
        <f>IFERROR(IF(N(AY136)&lt;&gt;0,-AY137/AY136,""),"")</f>
        <v>0.538949693778396</v>
      </c>
      <c r="AZ331" s="257">
        <f>IFERROR(IF(N(AZ136)&lt;&gt;0,-AZ137/AZ136,""),"")</f>
        <v>0.538949693778396</v>
      </c>
      <c r="BA331" s="258">
        <f>IFERROR(IF(N(BA136)&lt;&gt;0,-BA137/BA136,""),"")</f>
        <v>0.538949693778396</v>
      </c>
      <c r="BB331" s="257">
        <f>IFERROR(IF(N(BB136)&lt;&gt;0,-BB137/BB136,""),"")</f>
        <v>0.538949693778396</v>
      </c>
      <c r="BC331" s="257">
        <f>IFERROR(IF(N(BC136)&lt;&gt;0,-BC137/BC136,""),"")</f>
        <v>0.538949693778396</v>
      </c>
      <c r="BD331" s="257">
        <f>IFERROR(IF(N(BD136)&lt;&gt;0,-BD137/BD136,""),"")</f>
        <v>0.538949693778396</v>
      </c>
      <c r="BE331" s="257">
        <f>IFERROR(IF(N(BE136)&lt;&gt;0,-BE137/BE136,""),"")</f>
        <v>0.538949693778396</v>
      </c>
      <c r="BF331" s="258">
        <f>IFERROR(IF(N(BF136)&lt;&gt;0,-BF137/BF136,""),"")</f>
        <v>0.538949693778396</v>
      </c>
      <c r="BG331" s="81" t="n"/>
      <c r="BH331" s="81" t="n"/>
      <c r="BI331" s="81" t="n"/>
      <c r="BJ331" s="81" t="n"/>
      <c r="BL331" s="81" t="n"/>
      <c r="BM331" s="81" t="n"/>
      <c r="BN331" s="81" t="n"/>
      <c r="BO331" s="81" t="n"/>
      <c r="BQ331" s="81" t="n"/>
      <c r="BR331" s="81" t="n"/>
      <c r="BS331" s="81" t="n"/>
      <c r="BT331" s="81" t="n"/>
      <c r="BV331" s="81" t="n"/>
      <c r="BW331" s="81" t="n"/>
      <c r="BX331" s="81" t="n"/>
      <c r="BY331" s="81" t="n"/>
      <c r="CA331" s="81" t="n"/>
      <c r="CB331" s="81" t="n"/>
      <c r="CC331" s="81" t="n"/>
      <c r="CD331" s="81" t="n"/>
      <c r="CF331" s="81" t="n"/>
      <c r="CG331" s="81" t="n"/>
      <c r="CH331" s="81" t="n"/>
      <c r="CI331" s="81" t="n"/>
      <c r="CK331" s="81" t="n"/>
      <c r="CL331" s="81" t="n"/>
      <c r="CM331" s="81" t="n"/>
      <c r="CN331" s="81" t="n"/>
      <c r="CP331" s="81" t="n"/>
      <c r="CQ331" s="81" t="n"/>
      <c r="CR331" s="81" t="n"/>
      <c r="CS331" s="81" t="n"/>
      <c r="CU331" s="81" t="n"/>
      <c r="CV331" s="81" t="n"/>
      <c r="CW331" s="81" t="n"/>
      <c r="CX331" s="81" t="n"/>
    </row>
    <row r="332" customFormat="1" s="77">
      <c r="A332" s="76" t="n"/>
      <c r="B332" s="76" t="n"/>
    </row>
    <row r="333" customFormat="1" s="77">
      <c r="A333" s="76" t="n"/>
      <c r="B333" s="76" t="n"/>
      <c r="C333" s="74" t="inlineStr">
        <is>
          <t>CAPITAL STRUCTURE</t>
        </is>
      </c>
    </row>
    <row r="334" customFormat="1" s="77">
      <c r="A334" s="76" t="n"/>
      <c r="B334" s="76" t="n"/>
      <c r="C334" s="77" t="inlineStr">
        <is>
          <t>TOTAL DEBT / EQUITY (BOOK VALUE)</t>
        </is>
      </c>
      <c r="H334" s="262" t="str">
        <f>IFERROR(IF(N(H277)&lt;&gt;0,(N(H218)+N(H219)+N(H220)+N(H223)+N(H241)+N(H244))/H277,""),"")</f>
        <v/>
      </c>
      <c r="I334" s="262">
        <f>IFERROR(IF(N(I277)&lt;&gt;0,(N(I218)+N(I219)+N(I220)+N(I223)+N(I241)+N(I244))/I277,""),"")</f>
        <v>5.97142040469743</v>
      </c>
      <c r="J334" s="262">
        <f>IFERROR(IF(N(J277)&lt;&gt;0,(N(J218)+N(J219)+N(J220)+N(J223)+N(J241)+N(J244))/J277,""),"")</f>
        <v>5.21934204939976</v>
      </c>
      <c r="K334" s="262">
        <f>IFERROR(IF(N(K277)&lt;&gt;0,(N(K218)+N(K219)+N(K220)+N(K223)+N(K241)+N(K244))/K277,""),"")</f>
        <v>5.1165733250363</v>
      </c>
      <c r="L334" s="262">
        <f>IFERROR(IF(N(L277)&lt;&gt;0,(N(L218)+N(L219)+N(L220)+N(L223)+N(L241)+N(L244))/L277,""),"")</f>
        <v>5.90246795301034</v>
      </c>
      <c r="M334" s="262">
        <f>IFERROR(IF(N(M277)&lt;&gt;0,(N(M218)+N(M219)+N(M220)+N(M223)+N(M241)+N(M244))/M277,""),"")</f>
        <v>5.90246795301034</v>
      </c>
      <c r="N334" s="262">
        <f>IFERROR(IF(N(N277)&lt;&gt;0,(N(N218)+N(N219)+N(N220)+N(N223)+N(N241)+N(N244))/N277,""),"")</f>
        <v>6.24468823242555</v>
      </c>
      <c r="O334" s="262">
        <f>IFERROR(IF(N(O277)&lt;&gt;0,(N(O218)+N(O219)+N(O220)+N(O223)+N(O241)+N(O244))/O277,""),"")</f>
        <v>7.52157682353483</v>
      </c>
      <c r="P334" s="262">
        <f>IFERROR(IF(N(P277)&lt;&gt;0,(N(P218)+N(P219)+N(P220)+N(P223)+N(P241)+N(P244))/P277,""),"")</f>
        <v>7.36348554080604</v>
      </c>
      <c r="Q334" s="262">
        <f>IFERROR(IF(N(Q277)&lt;&gt;0,(N(Q218)+N(Q219)+N(Q220)+N(Q223)+N(Q241)+N(Q244))/Q277,""),"")</f>
        <v>7.14789887692988</v>
      </c>
      <c r="R334" s="262">
        <f>IFERROR(IF(N(R277)&lt;&gt;0,(N(R218)+N(R219)+N(R220)+N(R223)+N(R241)+N(R244))/R277,""),"")</f>
        <v>7.14789887692988</v>
      </c>
      <c r="S334" s="262">
        <f>IFERROR(IF(N(S277)&lt;&gt;0,(N(S218)+N(S219)+N(S220)+N(S223)+N(S241)+N(S244))/S277,""),"")</f>
        <v>6.96856361098792</v>
      </c>
      <c r="T334" s="262">
        <f>IFERROR(IF(N(T277)&lt;&gt;0,(N(T218)+N(T219)+N(T220)+N(T223)+N(T241)+N(T244))/T277,""),"")</f>
        <v>6.66328757473641</v>
      </c>
      <c r="U334" s="262">
        <f>IFERROR(IF(N(U277)&lt;&gt;0,(N(U218)+N(U219)+N(U220)+N(U223)+N(U241)+N(U244))/U277,""),"")</f>
        <v>5.9319642687011</v>
      </c>
      <c r="V334" s="262">
        <f>IFERROR(IF(N(V277)&lt;&gt;0,(N(V218)+N(V219)+N(V220)+N(V223)+N(V241)+N(V244))/V277,""),"")</f>
        <v>6.72692830275356</v>
      </c>
      <c r="W334" s="262">
        <f>IFERROR(IF(N(W277)&lt;&gt;0,(N(W218)+N(W219)+N(W220)+N(W223)+N(W241)+N(W244))/W277,""),"")</f>
        <v>6.72692830275356</v>
      </c>
      <c r="X334" s="262">
        <f>IFERROR(IF(N(X277)&lt;&gt;0,(N(X218)+N(X219)+N(X220)+N(X223)+N(X241)+N(X244))/X277,""),"")</f>
        <v>7.41016175916482</v>
      </c>
      <c r="Y334" s="262">
        <f>IFERROR(IF(N(Y277)&lt;&gt;0,(N(Y218)+N(Y219)+N(Y220)+N(Y223)+N(Y241)+N(Y244))/Y277,""),"")</f>
        <v>7.72469010593833</v>
      </c>
      <c r="Z334" s="262">
        <f>IFERROR(IF(N(Z277)&lt;&gt;0,(N(Z218)+N(Z219)+N(Z220)+N(Z223)+N(Z241)+N(Z244))/Z277,""),"")</f>
        <v>7.92225723136288</v>
      </c>
      <c r="AA334" s="262">
        <f>IFERROR(IF(N(AA277)&lt;&gt;0,(N(AA218)+N(AA219)+N(AA220)+N(AA223)+N(AA241)+N(AA244))/AA277,""),"")</f>
        <v>10.2179893525887</v>
      </c>
      <c r="AB334" s="262">
        <f>IFERROR(IF(N(AB277)&lt;&gt;0,(N(AB218)+N(AB219)+N(AB220)+N(AB223)+N(AB241)+N(AB244))/AB277,""),"")</f>
        <v>10.2179893525887</v>
      </c>
      <c r="AC334" s="262">
        <f>IFERROR(IF(N(AC277)&lt;&gt;0,(N(AC218)+N(AC219)+N(AC220)+N(AC223)+N(AC241)+N(AC244))/AC277,""),"")</f>
        <v>10.4742188641792</v>
      </c>
      <c r="AD334" s="262">
        <f>IFERROR(IF(N(AD277)&lt;&gt;0,(N(AD218)+N(AD219)+N(AD220)+N(AD223)+N(AD241)+N(AD244))/AD277,""),"")</f>
        <v>9.42965019335294</v>
      </c>
      <c r="AE334" s="262">
        <f>IFERROR(IF(N(AE277)&lt;&gt;0,(N(AE218)+N(AE219)+N(AE220)+N(AE223)+N(AE241)+N(AE244))/AE277,""),"")</f>
        <v>9.4836152475309</v>
      </c>
      <c r="AF334" s="262">
        <f>IFERROR(IF(N(AF277)&lt;&gt;0,(N(AF218)+N(AF219)+N(AF220)+N(AF223)+N(AF241)+N(AF244))/AF277,""),"")</f>
        <v>7.90202927432702</v>
      </c>
      <c r="AG334" s="262">
        <f>IFERROR(IF(N(AG277)&lt;&gt;0,(N(AG218)+N(AG219)+N(AG220)+N(AG223)+N(AG241)+N(AG244))/AG277,""),"")</f>
        <v>7.90202927432702</v>
      </c>
      <c r="AH334" s="262">
        <f>IFERROR(IF(N(AH277)&lt;&gt;0,(N(AH218)+N(AH219)+N(AH220)+N(AH223)+N(AH241)+N(AH244))/AH277,""),"")</f>
        <v>8.37655302198494</v>
      </c>
      <c r="AI334" s="262">
        <f>IFERROR(IF(N(AI277)&lt;&gt;0,(N(AI218)+N(AI219)+N(AI220)+N(AI223)+N(AI241)+N(AI244))/AI277,""),"")</f>
        <v>5.90463322541541</v>
      </c>
      <c r="AJ334" s="262">
        <f>IFERROR(IF(N(AJ277)&lt;&gt;0,(N(AJ218)+N(AJ219)+N(AJ220)+N(AJ223)+N(AJ241)+N(AJ244))/AJ277,""),"")</f>
        <v>5.22367957013368</v>
      </c>
      <c r="AK334" s="262">
        <f>IFERROR(IF(N(AK277)&lt;&gt;0,(N(AK218)+N(AK219)+N(AK220)+N(AK223)+N(AK241)+N(AK244))/AK277,""),"")</f>
        <v>4.68273846956669</v>
      </c>
      <c r="AL334" s="262">
        <f>IFERROR(IF(N(AL277)&lt;&gt;0,(N(AL218)+N(AL219)+N(AL220)+N(AL223)+N(AL241)+N(AL244))/AL277,""),"")</f>
        <v>4.68273846956669</v>
      </c>
      <c r="AM334" s="262">
        <f>IFERROR(IF(N(AM277)&lt;&gt;0,(N(AM218)+N(AM219)+N(AM220)+N(AM223)+N(AM241)+N(AM244))/AM277,""),"")</f>
        <v>4.25032049812647</v>
      </c>
      <c r="AN334" s="262">
        <f>IFERROR(IF(N(AN277)&lt;&gt;0,(N(AN218)+N(AN219)+N(AN220)+N(AN223)+N(AN241)+N(AN244))/AN277,""),"")</f>
        <v>3.88127061805228</v>
      </c>
      <c r="AO334" s="262">
        <f>IFERROR(IF(N(AO277)&lt;&gt;0,(N(AO218)+N(AO219)+N(AO220)+N(AO223)+N(AO241)+N(AO244))/AO277,""),"")</f>
        <v>3.55773361097121</v>
      </c>
      <c r="AP334" s="262">
        <f>IFERROR(IF(N(AP277)&lt;&gt;0,(N(AP218)+N(AP219)+N(AP220)+N(AP223)+N(AP241)+N(AP244))/AP277,""),"")</f>
        <v>3.28356303486086</v>
      </c>
      <c r="AQ334" s="262">
        <f>IFERROR(IF(N(AQ277)&lt;&gt;0,(N(AQ218)+N(AQ219)+N(AQ220)+N(AQ223)+N(AQ241)+N(AQ244))/AQ277,""),"")</f>
        <v>3.28356303486086</v>
      </c>
      <c r="AR334" s="262">
        <f>IFERROR(IF(N(AR277)&lt;&gt;0,(N(AR218)+N(AR219)+N(AR220)+N(AR223)+N(AR241)+N(AR244))/AR277,""),"")</f>
        <v>3.05347232701077</v>
      </c>
      <c r="AS334" s="262">
        <f>IFERROR(IF(N(AS277)&lt;&gt;0,(N(AS218)+N(AS219)+N(AS220)+N(AS223)+N(AS241)+N(AS244))/AS277,""),"")</f>
        <v>2.8479789588036</v>
      </c>
      <c r="AT334" s="262">
        <f>IFERROR(IF(N(AT277)&lt;&gt;0,(N(AT218)+N(AT219)+N(AT220)+N(AT223)+N(AT241)+N(AT244))/AT277,""),"")</f>
        <v>2.66045898317114</v>
      </c>
      <c r="AU334" s="262">
        <f>IFERROR(IF(N(AU277)&lt;&gt;0,(N(AU218)+N(AU219)+N(AU220)+N(AU223)+N(AU241)+N(AU244))/AU277,""),"")</f>
        <v>2.49584958831908</v>
      </c>
      <c r="AV334" s="262">
        <f>IFERROR(IF(N(AV277)&lt;&gt;0,(N(AV218)+N(AV219)+N(AV220)+N(AV223)+N(AV241)+N(AV244))/AV277,""),"")</f>
        <v>2.49584958831908</v>
      </c>
      <c r="AW334" s="262">
        <f>IFERROR(IF(N(AW277)&lt;&gt;0,(N(AW218)+N(AW219)+N(AW220)+N(AW223)+N(AW241)+N(AW244))/AW277,""),"")</f>
        <v>2.35410056521098</v>
      </c>
      <c r="AX334" s="262">
        <f>IFERROR(IF(N(AX277)&lt;&gt;0,(N(AX218)+N(AX219)+N(AX220)+N(AX223)+N(AX241)+N(AX244))/AX277,""),"")</f>
        <v>2.22403832100079</v>
      </c>
      <c r="AY334" s="262">
        <f>IFERROR(IF(N(AY277)&lt;&gt;0,(N(AY218)+N(AY219)+N(AY220)+N(AY223)+N(AY241)+N(AY244))/AY277,""),"")</f>
        <v>2.10238456045776</v>
      </c>
      <c r="AZ334" s="262">
        <f>IFERROR(IF(N(AZ277)&lt;&gt;0,(N(AZ218)+N(AZ219)+N(AZ220)+N(AZ223)+N(AZ241)+N(AZ244))/AZ277,""),"")</f>
        <v>1.99317655150688</v>
      </c>
      <c r="BA334" s="262">
        <f>IFERROR(IF(N(BA277)&lt;&gt;0,(N(BA218)+N(BA219)+N(BA220)+N(BA223)+N(BA241)+N(BA244))/BA277,""),"")</f>
        <v>1.99317655150688</v>
      </c>
      <c r="BB334" s="262">
        <f>IFERROR(IF(N(BB277)&lt;&gt;0,(N(BB218)+N(BB219)+N(BB220)+N(BB223)+N(BB241)+N(BB244))/BB277,""),"")</f>
        <v>1.89770006477394</v>
      </c>
      <c r="BC334" s="262">
        <f>IFERROR(IF(N(BC277)&lt;&gt;0,(N(BC218)+N(BC219)+N(BC220)+N(BC223)+N(BC241)+N(BC244))/BC277,""),"")</f>
        <v>1.80849778504566</v>
      </c>
      <c r="BD334" s="262">
        <f>IFERROR(IF(N(BD277)&lt;&gt;0,(N(BD218)+N(BD219)+N(BD220)+N(BD223)+N(BD241)+N(BD244))/BD277,""),"")</f>
        <v>1.72364178741739</v>
      </c>
      <c r="BE334" s="262">
        <f>IFERROR(IF(N(BE277)&lt;&gt;0,(N(BE218)+N(BE219)+N(BE220)+N(BE223)+N(BE241)+N(BE244))/BE277,""),"")</f>
        <v>1.64626856311494</v>
      </c>
      <c r="BF334" s="262">
        <f>IFERROR(IF(N(BF277)&lt;&gt;0,(N(BF218)+N(BF219)+N(BF220)+N(BF223)+N(BF241)+N(BF244))/BF277,""),"")</f>
        <v>1.64626856311494</v>
      </c>
    </row>
    <row r="335" customFormat="1" s="77">
      <c r="A335" s="76" t="n"/>
      <c r="B335" s="76" t="n"/>
      <c r="C335" s="77" t="inlineStr">
        <is>
          <t>NET DEBT / (NET DEBT + EQUITY) (BOOK VALUE)</t>
        </is>
      </c>
      <c r="H335" s="258" t="str">
        <f>IFERROR(IF(((N(H218)+N(H219)+N(H220)+N(H223)+N(H241)+N(H244))-N(H150)+N(H277))&lt;&gt;0,((N(H218)+N(H219)+N(H220)+N(H223)+N(H241)+N(H244))-N(H150))/((N(H218)+N(H219)+N(H220)+N(H223)+N(H241)+N(H244))-N(H150)+H277),""),"")</f>
        <v/>
      </c>
      <c r="I335" s="258">
        <f>IFERROR(IF(((N(I218)+N(I219)+N(I220)+N(I223)+N(I241)+N(I244))-N(I150)+N(I277))&lt;&gt;0,((N(I218)+N(I219)+N(I220)+N(I223)+N(I241)+N(I244))-N(I150))/((N(I218)+N(I219)+N(I220)+N(I223)+N(I241)+N(I244))-N(I150)+I277),""),"")</f>
        <v>0.720426816013812</v>
      </c>
      <c r="J335" s="258">
        <f>IFERROR(IF(((N(J218)+N(J219)+N(J220)+N(J223)+N(J241)+N(J244))-N(J150)+N(J277))&lt;&gt;0,((N(J218)+N(J219)+N(J220)+N(J223)+N(J241)+N(J244))-N(J150))/((N(J218)+N(J219)+N(J220)+N(J223)+N(J241)+N(J244))-N(J150)+J277),""),"")</f>
        <v>0.712585886284324</v>
      </c>
      <c r="K335" s="258">
        <f>IFERROR(IF(((N(K218)+N(K219)+N(K220)+N(K223)+N(K241)+N(K244))-N(K150)+N(K277))&lt;&gt;0,((N(K218)+N(K219)+N(K220)+N(K223)+N(K241)+N(K244))-N(K150))/((N(K218)+N(K219)+N(K220)+N(K223)+N(K241)+N(K244))-N(K150)+K277),""),"")</f>
        <v>0.68727788450282</v>
      </c>
      <c r="L335" s="258">
        <f>IFERROR(IF(((N(L218)+N(L219)+N(L220)+N(L223)+N(L241)+N(L244))-N(L150)+N(L277))&lt;&gt;0,((N(L218)+N(L219)+N(L220)+N(L223)+N(L241)+N(L244))-N(L150))/((N(L218)+N(L219)+N(L220)+N(L223)+N(L241)+N(L244))-N(L150)+L277),""),"")</f>
        <v>0.729610744596205</v>
      </c>
      <c r="M335" s="258">
        <f>IFERROR(IF(((N(M218)+N(M219)+N(M220)+N(M223)+N(M241)+N(M244))-N(M150)+N(M277))&lt;&gt;0,((N(M218)+N(M219)+N(M220)+N(M223)+N(M241)+N(M244))-N(M150))/((N(M218)+N(M219)+N(M220)+N(M223)+N(M241)+N(M244))-N(M150)+M277),""),"")</f>
        <v>0.729610744596205</v>
      </c>
      <c r="N335" s="258">
        <f>IFERROR(IF(((N(N218)+N(N219)+N(N220)+N(N223)+N(N241)+N(N244))-N(N150)+N(N277))&lt;&gt;0,((N(N218)+N(N219)+N(N220)+N(N223)+N(N241)+N(N244))-N(N150))/((N(N218)+N(N219)+N(N220)+N(N223)+N(N241)+N(N244))-N(N150)+N277),""),"")</f>
        <v>0.774894725887505</v>
      </c>
      <c r="O335" s="258">
        <f>IFERROR(IF(((N(O218)+N(O219)+N(O220)+N(O223)+N(O241)+N(O244))-N(O150)+N(O277))&lt;&gt;0,((N(O218)+N(O219)+N(O220)+N(O223)+N(O241)+N(O244))-N(O150))/((N(O218)+N(O219)+N(O220)+N(O223)+N(O241)+N(O244))-N(O150)+O277),""),"")</f>
        <v>0.817272796324739</v>
      </c>
      <c r="P335" s="258">
        <f>IFERROR(IF(((N(P218)+N(P219)+N(P220)+N(P223)+N(P241)+N(P244))-N(P150)+N(P277))&lt;&gt;0,((N(P218)+N(P219)+N(P220)+N(P223)+N(P241)+N(P244))-N(P150))/((N(P218)+N(P219)+N(P220)+N(P223)+N(P241)+N(P244))-N(P150)+P277),""),"")</f>
        <v>0.820684342345125</v>
      </c>
      <c r="Q335" s="258">
        <f>IFERROR(IF(((N(Q218)+N(Q219)+N(Q220)+N(Q223)+N(Q241)+N(Q244))-N(Q150)+N(Q277))&lt;&gt;0,((N(Q218)+N(Q219)+N(Q220)+N(Q223)+N(Q241)+N(Q244))-N(Q150))/((N(Q218)+N(Q219)+N(Q220)+N(Q223)+N(Q241)+N(Q244))-N(Q150)+Q277),""),"")</f>
        <v>0.828661223815732</v>
      </c>
      <c r="R335" s="258">
        <f>IFERROR(IF(((N(R218)+N(R219)+N(R220)+N(R223)+N(R241)+N(R244))-N(R150)+N(R277))&lt;&gt;0,((N(R218)+N(R219)+N(R220)+N(R223)+N(R241)+N(R244))-N(R150))/((N(R218)+N(R219)+N(R220)+N(R223)+N(R241)+N(R244))-N(R150)+R277),""),"")</f>
        <v>0.828661223815732</v>
      </c>
      <c r="S335" s="258">
        <f>IFERROR(IF(((N(S218)+N(S219)+N(S220)+N(S223)+N(S241)+N(S244))-N(S150)+N(S277))&lt;&gt;0,((N(S218)+N(S219)+N(S220)+N(S223)+N(S241)+N(S244))-N(S150))/((N(S218)+N(S219)+N(S220)+N(S223)+N(S241)+N(S244))-N(S150)+S277),""),"")</f>
        <v>0.839341168739772</v>
      </c>
      <c r="T335" s="258">
        <f>IFERROR(IF(((N(T218)+N(T219)+N(T220)+N(T223)+N(T241)+N(T244))-N(T150)+N(T277))&lt;&gt;0,((N(T218)+N(T219)+N(T220)+N(T223)+N(T241)+N(T244))-N(T150))/((N(T218)+N(T219)+N(T220)+N(T223)+N(T241)+N(T244))-N(T150)+T277),""),"")</f>
        <v>0.843045580083533</v>
      </c>
      <c r="U335" s="258">
        <f>IFERROR(IF(((N(U218)+N(U219)+N(U220)+N(U223)+N(U241)+N(U244))-N(U150)+N(U277))&lt;&gt;0,((N(U218)+N(U219)+N(U220)+N(U223)+N(U241)+N(U244))-N(U150))/((N(U218)+N(U219)+N(U220)+N(U223)+N(U241)+N(U244))-N(U150)+U277),""),"")</f>
        <v>0.826685503902355</v>
      </c>
      <c r="V335" s="258">
        <f>IFERROR(IF(((N(V218)+N(V219)+N(V220)+N(V223)+N(V241)+N(V244))-N(V150)+N(V277))&lt;&gt;0,((N(V218)+N(V219)+N(V220)+N(V223)+N(V241)+N(V244))-N(V150))/((N(V218)+N(V219)+N(V220)+N(V223)+N(V241)+N(V244))-N(V150)+V277),""),"")</f>
        <v>0.835506595094191</v>
      </c>
      <c r="W335" s="258">
        <f>IFERROR(IF(((N(W218)+N(W219)+N(W220)+N(W223)+N(W241)+N(W244))-N(W150)+N(W277))&lt;&gt;0,((N(W218)+N(W219)+N(W220)+N(W223)+N(W241)+N(W244))-N(W150))/((N(W218)+N(W219)+N(W220)+N(W223)+N(W241)+N(W244))-N(W150)+W277),""),"")</f>
        <v>0.835506595094191</v>
      </c>
      <c r="X335" s="258">
        <f>IFERROR(IF(((N(X218)+N(X219)+N(X220)+N(X223)+N(X241)+N(X244))-N(X150)+N(X277))&lt;&gt;0,((N(X218)+N(X219)+N(X220)+N(X223)+N(X241)+N(X244))-N(X150))/((N(X218)+N(X219)+N(X220)+N(X223)+N(X241)+N(X244))-N(X150)+X277),""),"")</f>
        <v>0.844766210899204</v>
      </c>
      <c r="Y335" s="258">
        <f>IFERROR(IF(((N(Y218)+N(Y219)+N(Y220)+N(Y223)+N(Y241)+N(Y244))-N(Y150)+N(Y277))&lt;&gt;0,((N(Y218)+N(Y219)+N(Y220)+N(Y223)+N(Y241)+N(Y244))-N(Y150))/((N(Y218)+N(Y219)+N(Y220)+N(Y223)+N(Y241)+N(Y244))-N(Y150)+Y277),""),"")</f>
        <v>0.854801601003619</v>
      </c>
      <c r="Z335" s="258">
        <f>IFERROR(IF(((N(Z218)+N(Z219)+N(Z220)+N(Z223)+N(Z241)+N(Z244))-N(Z150)+N(Z277))&lt;&gt;0,((N(Z218)+N(Z219)+N(Z220)+N(Z223)+N(Z241)+N(Z244))-N(Z150))/((N(Z218)+N(Z219)+N(Z220)+N(Z223)+N(Z241)+N(Z244))-N(Z150)+Z277),""),"")</f>
        <v>0.854480689527255</v>
      </c>
      <c r="AA335" s="258">
        <f>IFERROR(IF(((N(AA218)+N(AA219)+N(AA220)+N(AA223)+N(AA241)+N(AA244))-N(AA150)+N(AA277))&lt;&gt;0,((N(AA218)+N(AA219)+N(AA220)+N(AA223)+N(AA241)+N(AA244))-N(AA150))/((N(AA218)+N(AA219)+N(AA220)+N(AA223)+N(AA241)+N(AA244))-N(AA150)+AA277),""),"")</f>
        <v>0.886581611197315</v>
      </c>
      <c r="AB335" s="258">
        <f>IFERROR(IF(((N(AB218)+N(AB219)+N(AB220)+N(AB223)+N(AB241)+N(AB244))-N(AB150)+N(AB277))&lt;&gt;0,((N(AB218)+N(AB219)+N(AB220)+N(AB223)+N(AB241)+N(AB244))-N(AB150))/((N(AB218)+N(AB219)+N(AB220)+N(AB223)+N(AB241)+N(AB244))-N(AB150)+AB277),""),"")</f>
        <v>0.886581611197315</v>
      </c>
      <c r="AC335" s="258">
        <f>IFERROR(IF(((N(AC218)+N(AC219)+N(AC220)+N(AC223)+N(AC241)+N(AC244))-N(AC150)+N(AC277))&lt;&gt;0,((N(AC218)+N(AC219)+N(AC220)+N(AC223)+N(AC241)+N(AC244))-N(AC150))/((N(AC218)+N(AC219)+N(AC220)+N(AC223)+N(AC241)+N(AC244))-N(AC150)+AC277),""),"")</f>
        <v>0.888880428386856</v>
      </c>
      <c r="AD335" s="258">
        <f>IFERROR(IF(((N(AD218)+N(AD219)+N(AD220)+N(AD223)+N(AD241)+N(AD244))-N(AD150)+N(AD277))&lt;&gt;0,((N(AD218)+N(AD219)+N(AD220)+N(AD223)+N(AD241)+N(AD244))-N(AD150))/((N(AD218)+N(AD219)+N(AD220)+N(AD223)+N(AD241)+N(AD244))-N(AD150)+AD277),""),"")</f>
        <v>0.880066228400432</v>
      </c>
      <c r="AE335" s="258">
        <f>IFERROR(IF(((N(AE218)+N(AE219)+N(AE220)+N(AE223)+N(AE241)+N(AE244))-N(AE150)+N(AE277))&lt;&gt;0,((N(AE218)+N(AE219)+N(AE220)+N(AE223)+N(AE241)+N(AE244))-N(AE150))/((N(AE218)+N(AE219)+N(AE220)+N(AE223)+N(AE241)+N(AE244))-N(AE150)+AE277),""),"")</f>
        <v>0.879630730690668</v>
      </c>
      <c r="AF335" s="258">
        <f>IFERROR(IF(((N(AF218)+N(AF219)+N(AF220)+N(AF223)+N(AF241)+N(AF244))-N(AF150)+N(AF277))&lt;&gt;0,((N(AF218)+N(AF219)+N(AF220)+N(AF223)+N(AF241)+N(AF244))-N(AF150))/((N(AF218)+N(AF219)+N(AF220)+N(AF223)+N(AF241)+N(AF244))-N(AF150)+AF277),""),"")</f>
        <v>0.847614297921097</v>
      </c>
      <c r="AG335" s="258">
        <f>IFERROR(IF(((N(AG218)+N(AG219)+N(AG220)+N(AG223)+N(AG241)+N(AG244))-N(AG150)+N(AG277))&lt;&gt;0,((N(AG218)+N(AG219)+N(AG220)+N(AG223)+N(AG241)+N(AG244))-N(AG150))/((N(AG218)+N(AG219)+N(AG220)+N(AG223)+N(AG241)+N(AG244))-N(AG150)+AG277),""),"")</f>
        <v>0.847614297921097</v>
      </c>
      <c r="AH335" s="258">
        <f>IFERROR(IF(((N(AH218)+N(AH219)+N(AH220)+N(AH223)+N(AH241)+N(AH244))-N(AH150)+N(AH277))&lt;&gt;0,((N(AH218)+N(AH219)+N(AH220)+N(AH223)+N(AH241)+N(AH244))-N(AH150))/((N(AH218)+N(AH219)+N(AH220)+N(AH223)+N(AH241)+N(AH244))-N(AH150)+AH277),""),"")</f>
        <v>0.853168744276871</v>
      </c>
      <c r="AI335" s="258">
        <f>IFERROR(IF(((N(AI218)+N(AI219)+N(AI220)+N(AI223)+N(AI241)+N(AI244))-N(AI150)+N(AI277))&lt;&gt;0,((N(AI218)+N(AI219)+N(AI220)+N(AI223)+N(AI241)+N(AI244))-N(AI150))/((N(AI218)+N(AI219)+N(AI220)+N(AI223)+N(AI241)+N(AI244))-N(AI150)+AI277),""),"")</f>
        <v>0.802299411744915</v>
      </c>
      <c r="AJ335" s="258">
        <f>IFERROR(IF(((N(AJ218)+N(AJ219)+N(AJ220)+N(AJ223)+N(AJ241)+N(AJ244))-N(AJ150)+N(AJ277))&lt;&gt;0,((N(AJ218)+N(AJ219)+N(AJ220)+N(AJ223)+N(AJ241)+N(AJ244))-N(AJ150))/((N(AJ218)+N(AJ219)+N(AJ220)+N(AJ223)+N(AJ241)+N(AJ244))-N(AJ150)+AJ277),""),"")</f>
        <v>0.780251474495808</v>
      </c>
      <c r="AK335" s="258">
        <f>IFERROR(IF(((N(AK218)+N(AK219)+N(AK220)+N(AK223)+N(AK241)+N(AK244))-N(AK150)+N(AK277))&lt;&gt;0,((N(AK218)+N(AK219)+N(AK220)+N(AK223)+N(AK241)+N(AK244))-N(AK150))/((N(AK218)+N(AK219)+N(AK220)+N(AK223)+N(AK241)+N(AK244))-N(AK150)+AK277),""),"")</f>
        <v>0.756501606812227</v>
      </c>
      <c r="AL335" s="258">
        <f>IFERROR(IF(((N(AL218)+N(AL219)+N(AL220)+N(AL223)+N(AL241)+N(AL244))-N(AL150)+N(AL277))&lt;&gt;0,((N(AL218)+N(AL219)+N(AL220)+N(AL223)+N(AL241)+N(AL244))-N(AL150))/((N(AL218)+N(AL219)+N(AL220)+N(AL223)+N(AL241)+N(AL244))-N(AL150)+AL277),""),"")</f>
        <v>0.756501606812226</v>
      </c>
      <c r="AM335" s="258">
        <f>IFERROR(IF(((N(AM218)+N(AM219)+N(AM220)+N(AM223)+N(AM241)+N(AM244))-N(AM150)+N(AM277))&lt;&gt;0,((N(AM218)+N(AM219)+N(AM220)+N(AM223)+N(AM241)+N(AM244))-N(AM150))/((N(AM218)+N(AM219)+N(AM220)+N(AM223)+N(AM241)+N(AM244))-N(AM150)+AM277),""),"")</f>
        <v>0.733471010521758</v>
      </c>
      <c r="AN335" s="258">
        <f>IFERROR(IF(((N(AN218)+N(AN219)+N(AN220)+N(AN223)+N(AN241)+N(AN244))-N(AN150)+N(AN277))&lt;&gt;0,((N(AN218)+N(AN219)+N(AN220)+N(AN223)+N(AN241)+N(AN244))-N(AN150))/((N(AN218)+N(AN219)+N(AN220)+N(AN223)+N(AN241)+N(AN244))-N(AN150)+AN277),""),"")</f>
        <v>0.710304435870555</v>
      </c>
      <c r="AO335" s="258">
        <f>IFERROR(IF(((N(AO218)+N(AO219)+N(AO220)+N(AO223)+N(AO241)+N(AO244))-N(AO150)+N(AO277))&lt;&gt;0,((N(AO218)+N(AO219)+N(AO220)+N(AO223)+N(AO241)+N(AO244))-N(AO150))/((N(AO218)+N(AO219)+N(AO220)+N(AO223)+N(AO241)+N(AO244))-N(AO150)+AO277),""),"")</f>
        <v>0.686743339322609</v>
      </c>
      <c r="AP335" s="258">
        <f>IFERROR(IF(((N(AP218)+N(AP219)+N(AP220)+N(AP223)+N(AP241)+N(AP244))-N(AP150)+N(AP277))&lt;&gt;0,((N(AP218)+N(AP219)+N(AP220)+N(AP223)+N(AP241)+N(AP244))-N(AP150))/((N(AP218)+N(AP219)+N(AP220)+N(AP223)+N(AP241)+N(AP244))-N(AP150)+AP277),""),"")</f>
        <v>0.662758792747336</v>
      </c>
      <c r="AQ335" s="258">
        <f>IFERROR(IF(((N(AQ218)+N(AQ219)+N(AQ220)+N(AQ223)+N(AQ241)+N(AQ244))-N(AQ150)+N(AQ277))&lt;&gt;0,((N(AQ218)+N(AQ219)+N(AQ220)+N(AQ223)+N(AQ241)+N(AQ244))-N(AQ150))/((N(AQ218)+N(AQ219)+N(AQ220)+N(AQ223)+N(AQ241)+N(AQ244))-N(AQ150)+AQ277),""),"")</f>
        <v>0.662758792747336</v>
      </c>
      <c r="AR335" s="258">
        <f>IFERROR(IF(((N(AR218)+N(AR219)+N(AR220)+N(AR223)+N(AR241)+N(AR244))-N(AR150)+N(AR277))&lt;&gt;0,((N(AR218)+N(AR219)+N(AR220)+N(AR223)+N(AR241)+N(AR244))-N(AR150))/((N(AR218)+N(AR219)+N(AR220)+N(AR223)+N(AR241)+N(AR244))-N(AR150)+AR277),""),"")</f>
        <v>0.639292011898061</v>
      </c>
      <c r="AS335" s="258">
        <f>IFERROR(IF(((N(AS218)+N(AS219)+N(AS220)+N(AS223)+N(AS241)+N(AS244))-N(AS150)+N(AS277))&lt;&gt;0,((N(AS218)+N(AS219)+N(AS220)+N(AS223)+N(AS241)+N(AS244))-N(AS150))/((N(AS218)+N(AS219)+N(AS220)+N(AS223)+N(AS241)+N(AS244))-N(AS150)+AS277),""),"")</f>
        <v>0.616402473047453</v>
      </c>
      <c r="AT335" s="258">
        <f>IFERROR(IF(((N(AT218)+N(AT219)+N(AT220)+N(AT223)+N(AT241)+N(AT244))-N(AT150)+N(AT277))&lt;&gt;0,((N(AT218)+N(AT219)+N(AT220)+N(AT223)+N(AT241)+N(AT244))-N(AT150))/((N(AT218)+N(AT219)+N(AT220)+N(AT223)+N(AT241)+N(AT244))-N(AT150)+AT277),""),"")</f>
        <v>0.592969024215797</v>
      </c>
      <c r="AU335" s="258">
        <f>IFERROR(IF(((N(AU218)+N(AU219)+N(AU220)+N(AU223)+N(AU241)+N(AU244))-N(AU150)+N(AU277))&lt;&gt;0,((N(AU218)+N(AU219)+N(AU220)+N(AU223)+N(AU241)+N(AU244))-N(AU150))/((N(AU218)+N(AU219)+N(AU220)+N(AU223)+N(AU241)+N(AU244))-N(AU150)+AU277),""),"")</f>
        <v>0.568859999182487</v>
      </c>
      <c r="AV335" s="258">
        <f>IFERROR(IF(((N(AV218)+N(AV219)+N(AV220)+N(AV223)+N(AV241)+N(AV244))-N(AV150)+N(AV277))&lt;&gt;0,((N(AV218)+N(AV219)+N(AV220)+N(AV223)+N(AV241)+N(AV244))-N(AV150))/((N(AV218)+N(AV219)+N(AV220)+N(AV223)+N(AV241)+N(AV244))-N(AV150)+AV277),""),"")</f>
        <v>0.568859999182487</v>
      </c>
      <c r="AW335" s="258">
        <f>IFERROR(IF(((N(AW218)+N(AW219)+N(AW220)+N(AW223)+N(AW241)+N(AW244))-N(AW150)+N(AW277))&lt;&gt;0,((N(AW218)+N(AW219)+N(AW220)+N(AW223)+N(AW241)+N(AW244))-N(AW150))/((N(AW218)+N(AW219)+N(AW220)+N(AW223)+N(AW241)+N(AW244))-N(AW150)+AW277),""),"")</f>
        <v>0.545492740745802</v>
      </c>
      <c r="AX335" s="258">
        <f>IFERROR(IF(((N(AX218)+N(AX219)+N(AX220)+N(AX223)+N(AX241)+N(AX244))-N(AX150)+N(AX277))&lt;&gt;0,((N(AX218)+N(AX219)+N(AX220)+N(AX223)+N(AX241)+N(AX244))-N(AX150))/((N(AX218)+N(AX219)+N(AX220)+N(AX223)+N(AX241)+N(AX244))-N(AX150)+AX277),""),"")</f>
        <v>0.522438682150889</v>
      </c>
      <c r="AY335" s="258">
        <f>IFERROR(IF(((N(AY218)+N(AY219)+N(AY220)+N(AY223)+N(AY241)+N(AY244))-N(AY150)+N(AY277))&lt;&gt;0,((N(AY218)+N(AY219)+N(AY220)+N(AY223)+N(AY241)+N(AY244))-N(AY150))/((N(AY218)+N(AY219)+N(AY220)+N(AY223)+N(AY241)+N(AY244))-N(AY150)+AY277),""),"")</f>
        <v>0.499226716174533</v>
      </c>
      <c r="AZ335" s="258">
        <f>IFERROR(IF(((N(AZ218)+N(AZ219)+N(AZ220)+N(AZ223)+N(AZ241)+N(AZ244))-N(AZ150)+N(AZ277))&lt;&gt;0,((N(AZ218)+N(AZ219)+N(AZ220)+N(AZ223)+N(AZ241)+N(AZ244))-N(AZ150))/((N(AZ218)+N(AZ219)+N(AZ220)+N(AZ223)+N(AZ241)+N(AZ244))-N(AZ150)+AZ277),""),"")</f>
        <v>0.475081741250282</v>
      </c>
      <c r="BA335" s="258">
        <f>IFERROR(IF(((N(BA218)+N(BA219)+N(BA220)+N(BA223)+N(BA241)+N(BA244))-N(BA150)+N(BA277))&lt;&gt;0,((N(BA218)+N(BA219)+N(BA220)+N(BA223)+N(BA241)+N(BA244))-N(BA150))/((N(BA218)+N(BA219)+N(BA220)+N(BA223)+N(BA241)+N(BA244))-N(BA150)+BA277),""),"")</f>
        <v>0.475081741250282</v>
      </c>
      <c r="BB335" s="258">
        <f>IFERROR(IF(((N(BB218)+N(BB219)+N(BB220)+N(BB223)+N(BB241)+N(BB244))-N(BB150)+N(BB277))&lt;&gt;0,((N(BB218)+N(BB219)+N(BB220)+N(BB223)+N(BB241)+N(BB244))-N(BB150))/((N(BB218)+N(BB219)+N(BB220)+N(BB223)+N(BB241)+N(BB244))-N(BB150)+BB277),""),"")</f>
        <v>0.451579332745317</v>
      </c>
      <c r="BC335" s="258">
        <f>IFERROR(IF(((N(BC218)+N(BC219)+N(BC220)+N(BC223)+N(BC241)+N(BC244))-N(BC150)+N(BC277))&lt;&gt;0,((N(BC218)+N(BC219)+N(BC220)+N(BC223)+N(BC241)+N(BC244))-N(BC150))/((N(BC218)+N(BC219)+N(BC220)+N(BC223)+N(BC241)+N(BC244))-N(BC150)+BC277),""),"")</f>
        <v>0.428728779254798</v>
      </c>
      <c r="BD335" s="258">
        <f>IFERROR(IF(((N(BD218)+N(BD219)+N(BD220)+N(BD223)+N(BD241)+N(BD244))-N(BD150)+N(BD277))&lt;&gt;0,((N(BD218)+N(BD219)+N(BD220)+N(BD223)+N(BD241)+N(BD244))-N(BD150))/((N(BD218)+N(BD219)+N(BD220)+N(BD223)+N(BD241)+N(BD244))-N(BD150)+BD277),""),"")</f>
        <v>0.405854263459118</v>
      </c>
      <c r="BE335" s="258">
        <f>IFERROR(IF(((N(BE218)+N(BE219)+N(BE220)+N(BE223)+N(BE241)+N(BE244))-N(BE150)+N(BE277))&lt;&gt;0,((N(BE218)+N(BE219)+N(BE220)+N(BE223)+N(BE241)+N(BE244))-N(BE150))/((N(BE218)+N(BE219)+N(BE220)+N(BE223)+N(BE241)+N(BE244))-N(BE150)+BE277),""),"")</f>
        <v>0.381790323365568</v>
      </c>
      <c r="BF335" s="258">
        <f>IFERROR(IF(((N(BF218)+N(BF219)+N(BF220)+N(BF223)+N(BF241)+N(BF244))-N(BF150)+N(BF277))&lt;&gt;0,((N(BF218)+N(BF219)+N(BF220)+N(BF223)+N(BF241)+N(BF244))-N(BF150))/((N(BF218)+N(BF219)+N(BF220)+N(BF223)+N(BF241)+N(BF244))-N(BF150)+BF277),""),"")</f>
        <v>0.381790323365568</v>
      </c>
    </row>
    <row r="336" customFormat="1" s="77">
      <c r="A336" s="76" t="n"/>
      <c r="B336" s="76" t="n"/>
    </row>
    <row r="337" customFormat="1" s="77">
      <c r="A337" s="76" t="n"/>
      <c r="B337" s="76" t="n"/>
      <c r="C337" s="74" t="inlineStr">
        <is>
          <t>FINANCIAL RISK RATIOS</t>
        </is>
      </c>
    </row>
    <row r="338" customFormat="1" s="77">
      <c r="A338" s="76" t="n"/>
      <c r="B338" s="76" t="n"/>
      <c r="C338" s="77" t="inlineStr">
        <is>
          <t>EBITDA / TOTAL INTEREST (LTM)</t>
        </is>
      </c>
      <c r="D338" s="82" t="str">
        <f>IFERROR(D75/-D80,"")</f>
        <v/>
      </c>
      <c r="E338" s="82" t="str">
        <f>IFERROR(E75/-E80,"")</f>
        <v/>
      </c>
      <c r="F338" s="82" t="str">
        <f>IFERROR(F75/-F80,"")</f>
        <v/>
      </c>
      <c r="G338" s="82" t="str">
        <f>IFERROR(G75/-G80,"")</f>
        <v/>
      </c>
      <c r="H338" s="262" t="str">
        <f>IFERROR(IF(AND(COUNT(H75)=1,(H80)&lt;&gt;0),(H75)/-(H80),""),"")</f>
        <v/>
      </c>
      <c r="I338" s="262" t="str">
        <f>""</f>
        <v/>
      </c>
      <c r="J338" s="262" t="str">
        <f>""</f>
        <v/>
      </c>
      <c r="K338" s="262" t="str">
        <f>""</f>
        <v/>
      </c>
      <c r="L338" s="262">
        <f>IFERROR(IF(AND(COUNT(I75,J75,K75,L75)=4,(I80+J80+K80+L80)&lt;&gt;0),(I75+J75+K75+L75)/-(I80+J80+K80+L80),""),"")</f>
        <v>2.14419779505772</v>
      </c>
      <c r="M338" s="262">
        <f>IFERROR(IF(AND(COUNT(I75,J75,K75,L75)=4,(I80+J80+K80+L80)&lt;&gt;0),(I75+J75+K75+L75)/-(I80+J80+K80+L80),""),"")</f>
        <v>2.14419779505772</v>
      </c>
      <c r="N338" s="262">
        <f>IFERROR(IF(AND(COUNT(J75,K75,L75,N75)=4,(J80+K80+L80+N80)&lt;&gt;0),(J75+K75+L75+N75)/-(J80+K80+L80+N80),""),"")</f>
        <v>1.97479377650806</v>
      </c>
      <c r="O338" s="262">
        <f>IFERROR(IF(AND(COUNT(K75,L75,N75,O75)=4,(K80+L80+N80+O80)&lt;&gt;0),(K75+L75+N75+O75)/-(K80+L80+N80+O80),""),"")</f>
        <v>1.59807374595504</v>
      </c>
      <c r="P338" s="262">
        <f>IFERROR(IF(AND(COUNT(L75,N75,O75,P75)=4,(L80+N80+O80+P80)&lt;&gt;0),(L75+N75+O75+P75)/-(L80+N80+O80+P80),""),"")</f>
        <v>1.42607785669664</v>
      </c>
      <c r="Q338" s="262">
        <f>IFERROR(IF(AND(COUNT(N75,O75,P75,Q75)=4,(N80+O80+P80+Q80)&lt;&gt;0),(N75+O75+P75+Q75)/-(N80+O80+P80+Q80),""),"")</f>
        <v>1.30691988492459</v>
      </c>
      <c r="R338" s="262">
        <f>IFERROR(IF(AND(COUNT(N75,O75,P75,Q75)=4,(N80+O80+P80+Q80)&lt;&gt;0),(N75+O75+P75+Q75)/-(N80+O80+P80+Q80),""),"")</f>
        <v>1.30691988492459</v>
      </c>
      <c r="S338" s="262">
        <f>IFERROR(IF(AND(COUNT(O75,P75,Q75,S75)=4,(O80+P80+Q80+S80)&lt;&gt;0),(O75+P75+Q75+S75)/-(O80+P80+Q80+S80),""),"")</f>
        <v>1.24437618709386</v>
      </c>
      <c r="T338" s="262">
        <f>IFERROR(IF(AND(COUNT(P75,Q75,S75,T75)=4,(P80+Q80+S80+T80)&lt;&gt;0),(P75+Q75+S75+T75)/-(P80+Q80+S80+T80),""),"")</f>
        <v>1.25120545892051</v>
      </c>
      <c r="U338" s="262">
        <f>IFERROR(IF(AND(COUNT(Q75,S75,T75,U75)=4,(Q80+S80+T80+U80)&lt;&gt;0),(Q75+S75+T75+U75)/-(Q80+S80+T80+U80),""),"")</f>
        <v>1.20320962966474</v>
      </c>
      <c r="V338" s="262">
        <f>IFERROR(IF(AND(COUNT(S75,T75,U75,V75)=4,(S80+T80+U80+V80)&lt;&gt;0),(S75+T75+U75+V75)/-(S80+T80+U80+V80),""),"")</f>
        <v>1.13331882630346</v>
      </c>
      <c r="W338" s="262">
        <f>IFERROR(IF(AND(COUNT(S75,T75,U75,V75)=4,(S80+T80+U80+V80)&lt;&gt;0),(S75+T75+U75+V75)/-(S80+T80+U80+V80),""),"")</f>
        <v>1.13331882630346</v>
      </c>
      <c r="X338" s="262">
        <f>IFERROR(IF(AND(COUNT(T75,U75,V75,X75)=4,(T80+U80+V80+X80)&lt;&gt;0),(T75+U75+V75+X75)/-(T80+U80+V80+X80),""),"")</f>
        <v>1.16335535091551</v>
      </c>
      <c r="Y338" s="262">
        <f>IFERROR(IF(AND(COUNT(U75,V75,X75,Y75)=4,(U80+V80+X80+Y80)&lt;&gt;0),(U75+V75+X75+Y75)/-(U80+V80+X80+Y80),""),"")</f>
        <v>1.17680594633672</v>
      </c>
      <c r="Z338" s="262">
        <f>IFERROR(IF(AND(COUNT(V75,X75,Y75,Z75)=4,(V80+X80+Y80+Z80)&lt;&gt;0),(V75+X75+Y75+Z75)/-(V80+X80+Y80+Z80),""),"")</f>
        <v>1.24083360586844</v>
      </c>
      <c r="AA338" s="262">
        <f>IFERROR(IF(AND(COUNT(X75,Y75,Z75,AA75)=4,(X80+Y80+Z80+AA80)&lt;&gt;0),(X75+Y75+Z75+AA75)/-(X80+Y80+Z80+AA80),""),"")</f>
        <v>1.30968450597121</v>
      </c>
      <c r="AB338" s="262">
        <f>IFERROR(IF(AND(COUNT(X75,Y75,Z75,AA75)=4,(X80+Y80+Z80+AA80)&lt;&gt;0),(X75+Y75+Z75+AA75)/-(X80+Y80+Z80+AA80),""),"")</f>
        <v>1.30968450597121</v>
      </c>
      <c r="AC338" s="262">
        <f>IFERROR(IF(AND(COUNT(Y75,Z75,AA75,AC75)=4,(Y80+Z80+AA80+AC80)&lt;&gt;0),(Y75+Z75+AA75+AC75)/-(Y80+Z80+AA80+AC80),""),"")</f>
        <v>1.2953950030206</v>
      </c>
      <c r="AD338" s="262">
        <f>IFERROR(IF(AND(COUNT(Z75,AA75,AC75,AD75)=4,(Z80+AA80+AC80+AD80)&lt;&gt;0),(Z75+AA75+AC75+AD75)/-(Z80+AA80+AC80+AD80),""),"")</f>
        <v>1.24689240456767</v>
      </c>
      <c r="AE338" s="262">
        <f>IFERROR(IF(AND(COUNT(AA75,AC75,AD75,AE75)=4,(AA80+AC80+AD80+AE80)&lt;&gt;0),(AA75+AC75+AD75+AE75)/-(AA80+AC80+AD80+AE80),""),"")</f>
        <v>1.1844184172923</v>
      </c>
      <c r="AF338" s="262">
        <f>IFERROR(IF(AND(COUNT(AB75,AD75,AE75,AF75)=4,(AB80+AD80+AE80+AF80)&lt;&gt;0),(AB75+AD75+AE75+AF75)/-(AB80+AD80+AE80+AF80),""),"")</f>
        <v>1.29549478302683</v>
      </c>
      <c r="AG338" s="262">
        <f>IFERROR(IF(AND(COUNT(AC75,AD75,AE75,AF75)=4,(AC80+AD80+AE80+AF80)&lt;&gt;0),(AC75+AD75+AE75+AF75)/-(AC80+AD80+AE80+AF80),""),"")</f>
        <v>1.27485805401687</v>
      </c>
      <c r="AH338" s="262">
        <f>IFERROR(IF(AND(COUNT(AD75,AF75,AG75,AH75)=4,(AD80+AF80+AG80+AH80)&lt;&gt;0),(AD75+AF75+AG75+AH75)/-(AD80+AF80+AG80+AH80),""),"")</f>
        <v>1.28626063766256</v>
      </c>
      <c r="AI338" s="262">
        <f>IFERROR(IF(AND(COUNT(AE75,AG75,AH75,AI75)=4,(AE80+AG80+AH80+AI80)&lt;&gt;0),(AE75+AG75+AH75+AI75)/-(AE80+AG80+AH80+AI80),""),"")</f>
        <v>1.2105726966666</v>
      </c>
      <c r="AJ338" s="262" t="str">
        <f>IFERROR(IF(AND(COUNT(AF75,AH75,AI75,AJ75)=4,(AF80+AH80+AI80+AJ80)&lt;&gt;0),(AF75+AH75+AI75+AJ75)/-(AF80+AH80+AI80+AJ80),""),"")</f>
        <v/>
      </c>
      <c r="AK338" s="262" t="str">
        <f>IFERROR(IF(AND(COUNT(AH75,AI75,AJ75,AK75)=4,(AH80+AI80+AJ80+AK80)&lt;&gt;0),(AH75+AI75+AJ75+AK75)/-(AH80+AI80+AJ80+AK80),""),"")</f>
        <v/>
      </c>
      <c r="AL338" s="262" t="str">
        <f>IFERROR(IF(AND(COUNT(AH75,AI75,AJ75,AK75)=4,(AH80+AI80+AJ80+AK80)&lt;&gt;0),(AH75+AI75+AJ75+AK75)/-(AH80+AI80+AJ80+AK80),""),"")</f>
        <v/>
      </c>
      <c r="AM338" s="262" t="str">
        <f>IFERROR(IF(AND(COUNT(AI75,AJ75,AK75,AM75)=4,(AI80+AJ80+AK80+AM80)&lt;&gt;0),(AI75+AJ75+AK75+AM75)/-(AI80+AJ80+AK80+AM80),""),"")</f>
        <v/>
      </c>
      <c r="AN338" s="262" t="str">
        <f>IFERROR(IF(AND(COUNT(AJ75,AK75,AM75,AN75)=4,(AJ80+AK80+AM80+AN80)&lt;&gt;0),(AJ75+AK75+AM75+AN75)/-(AJ80+AK80+AM80+AN80),""),"")</f>
        <v/>
      </c>
      <c r="AO338" s="262" t="str">
        <f>IFERROR(IF(AND(COUNT(AK75,AM75,AN75,AO75)=4,(AK80+AM80+AN80+AO80)&lt;&gt;0),(AK75+AM75+AN75+AO75)/-(AK80+AM80+AN80+AO80),""),"")</f>
        <v/>
      </c>
      <c r="AP338" s="262" t="str">
        <f>IFERROR(IF(AND(COUNT(AM75,AN75,AO75,AP75)=4,(AM80+AN80+AO80+AP80)&lt;&gt;0),(AM75+AN75+AO75+AP75)/-(AM80+AN80+AO80+AP80),""),"")</f>
        <v/>
      </c>
      <c r="AQ338" s="262" t="str">
        <f>IFERROR(IF(AND(COUNT(AM75,AN75,AO75,AP75)=4,(AM80+AN80+AO80+AP80)&lt;&gt;0),(AM75+AN75+AO75+AP75)/-(AM80+AN80+AO80+AP80),""),"")</f>
        <v/>
      </c>
      <c r="AR338" s="262" t="str">
        <f>IFERROR(IF(AND(COUNT(AN75,AO75,AP75,AR75)=4,(AN80+AO80+AP80+AR80)&lt;&gt;0),(AN75+AO75+AP75+AR75)/-(AN80+AO80+AP80+AR80),""),"")</f>
        <v/>
      </c>
      <c r="AS338" s="262" t="str">
        <f>IFERROR(IF(AND(COUNT(AO75,AP75,AR75,AS75)=4,(AO80+AP80+AR80+AS80)&lt;&gt;0),(AO75+AP75+AR75+AS75)/-(AO80+AP80+AR80+AS80),""),"")</f>
        <v/>
      </c>
      <c r="AT338" s="262" t="str">
        <f>IFERROR(IF(AND(COUNT(AP75,AR75,AS75,AT75)=4,(AP80+AR80+AS80+AT80)&lt;&gt;0),(AP75+AR75+AS75+AT75)/-(AP80+AR80+AS80+AT80),""),"")</f>
        <v/>
      </c>
      <c r="AU338" s="262" t="str">
        <f>IFERROR(IF(AND(COUNT(AR75,AS75,AT75,AU75)=4,(AR80+AS80+AT80+AU80)&lt;&gt;0),(AR75+AS75+AT75+AU75)/-(AR80+AS80+AT80+AU80),""),"")</f>
        <v/>
      </c>
      <c r="AV338" s="262" t="str">
        <f>IFERROR(IF(AND(COUNT(AR75,AS75,AT75,AU75)=4,(AR80+AS80+AT80+AU80)&lt;&gt;0),(AR75+AS75+AT75+AU75)/-(AR80+AS80+AT80+AU80),""),"")</f>
        <v/>
      </c>
      <c r="AW338" s="262" t="str">
        <f>IFERROR(IF(AND(COUNT(AS75,AT75,AU75,AW75)=4,(AS80+AT80+AU80+AW80)&lt;&gt;0),(AS75+AT75+AU75+AW75)/-(AS80+AT80+AU80+AW80),""),"")</f>
        <v/>
      </c>
      <c r="AX338" s="262" t="str">
        <f>IFERROR(IF(AND(COUNT(AT75,AU75,AW75,AX75)=4,(AT80+AU80+AW80+AX80)&lt;&gt;0),(AT75+AU75+AW75+AX75)/-(AT80+AU80+AW80+AX80),""),"")</f>
        <v/>
      </c>
      <c r="AY338" s="262" t="str">
        <f>IFERROR(IF(AND(COUNT(AU75,AW75,AX75,AY75)=4,(AU80+AW80+AX80+AY80)&lt;&gt;0),(AU75+AW75+AX75+AY75)/-(AU80+AW80+AX80+AY80),""),"")</f>
        <v/>
      </c>
      <c r="AZ338" s="262" t="str">
        <f>IFERROR(IF(AND(COUNT(AW75,AX75,AY75,AZ75)=4,(AW80+AX80+AY80+AZ80)&lt;&gt;0),(AW75+AX75+AY75+AZ75)/-(AW80+AX80+AY80+AZ80),""),"")</f>
        <v/>
      </c>
      <c r="BA338" s="262" t="str">
        <f>IFERROR(IF(AND(COUNT(AW75,AX75,AY75,AZ75)=4,(AW80+AX80+AY80+AZ80)&lt;&gt;0),(AW75+AX75+AY75+AZ75)/-(AW80+AX80+AY80+AZ80),""),"")</f>
        <v/>
      </c>
      <c r="BB338" s="262" t="str">
        <f>IFERROR(IF(AND(COUNT(AX75,AY75,AZ75,BB75)=4,(AX80+AY80+AZ80+BB80)&lt;&gt;0),(AX75+AY75+AZ75+BB75)/-(AX80+AY80+AZ80+BB80),""),"")</f>
        <v/>
      </c>
      <c r="BC338" s="262" t="str">
        <f>IFERROR(IF(AND(COUNT(AY75,AZ75,BB75,BC75)=4,(AY80+AZ80+BB80+BC80)&lt;&gt;0),(AY75+AZ75+BB75+BC75)/-(AY80+AZ80+BB80+BC80),""),"")</f>
        <v/>
      </c>
      <c r="BD338" s="262" t="str">
        <f>IFERROR(IF(AND(COUNT(AZ75,BB75,BC75,BD75)=4,(AZ80+BB80+BC80+BD80)&lt;&gt;0),(AZ75+BB75+BC75+BD75)/-(AZ80+BB80+BC80+BD80),""),"")</f>
        <v/>
      </c>
      <c r="BE338" s="262" t="str">
        <f>IFERROR(IF(AND(COUNT(BB75,BC75,BD75,BE75)=4,(BB80+BC80+BD80+BE80)&lt;&gt;0),(BB75+BC75+BD75+BE75)/-(BB80+BC80+BD80+BE80),""),"")</f>
        <v/>
      </c>
      <c r="BF338" s="262" t="str">
        <f>IFERROR(IF(AND(COUNT(BB75,BC75,BD75,BE75)=4,(BB80+BC80+BD80+BE80)&lt;&gt;0),(BB75+BC75+BD75+BE75)/-(BB80+BC80+BD80+BE80),""),"")</f>
        <v/>
      </c>
      <c r="BG338" s="82" t="n"/>
      <c r="BH338" s="82" t="n"/>
      <c r="BI338" s="82" t="n"/>
      <c r="BJ338" s="82" t="n"/>
      <c r="BL338" s="82" t="n"/>
      <c r="BM338" s="82" t="n"/>
      <c r="BN338" s="82" t="n"/>
      <c r="BO338" s="82" t="n"/>
      <c r="BQ338" s="82" t="n"/>
      <c r="BR338" s="82" t="n"/>
      <c r="BS338" s="82" t="n"/>
      <c r="BT338" s="82" t="n"/>
      <c r="BV338" s="82" t="n"/>
      <c r="BW338" s="82" t="n"/>
      <c r="BX338" s="82" t="n"/>
      <c r="BY338" s="82" t="n"/>
      <c r="CA338" s="82" t="n"/>
      <c r="CB338" s="82" t="n"/>
      <c r="CC338" s="82" t="n"/>
      <c r="CD338" s="82" t="n"/>
      <c r="CF338" s="82" t="n"/>
      <c r="CG338" s="82" t="n"/>
      <c r="CH338" s="82" t="n"/>
      <c r="CI338" s="82" t="n"/>
      <c r="CK338" s="82" t="n"/>
      <c r="CL338" s="82" t="n"/>
      <c r="CM338" s="82" t="n"/>
      <c r="CN338" s="82" t="n"/>
      <c r="CP338" s="82" t="n"/>
      <c r="CQ338" s="82" t="n"/>
      <c r="CR338" s="82" t="n"/>
      <c r="CS338" s="82" t="n"/>
      <c r="CU338" s="82" t="n"/>
      <c r="CV338" s="82" t="n"/>
      <c r="CW338" s="82" t="n"/>
      <c r="CX338" s="82" t="n"/>
    </row>
    <row r="339" customFormat="1" s="77">
      <c r="A339" s="76" t="n"/>
      <c r="B339" s="76" t="n"/>
      <c r="C339" s="77" t="inlineStr">
        <is>
          <t>(EBITDA - CAPEX) / TOTAL INTEREST (LTM)</t>
        </is>
      </c>
      <c r="D339" s="82" t="str">
        <f>IFERROR((D75-D174)/-D80,"")</f>
        <v/>
      </c>
      <c r="E339" s="82" t="str">
        <f>IFERROR((E75-E174)/-E80,"")</f>
        <v/>
      </c>
      <c r="F339" s="82" t="str">
        <f>IFERROR((F75-F174)/-F80,"")</f>
        <v/>
      </c>
      <c r="G339" s="82" t="str">
        <f>IFERROR((G75-G174)/-G80,"")</f>
        <v/>
      </c>
      <c r="H339" s="262" t="str">
        <f>IFERROR(IF(AND(COUNT(H75)=1,(H80)&lt;&gt;0),((H75)-(H174))/-(H80),""),"")</f>
        <v/>
      </c>
      <c r="I339" s="262" t="str">
        <f>""</f>
        <v/>
      </c>
      <c r="J339" s="262" t="str">
        <f>""</f>
        <v/>
      </c>
      <c r="K339" s="262" t="str">
        <f>""</f>
        <v/>
      </c>
      <c r="L339" s="262">
        <f>IFERROR(IF(AND(COUNT(I75,J75,K75,L75)=4,(I80+J80+K80+L80)&lt;&gt;0),((I75+J75+K75+L75)-(I174+J174+K174+L174))/-(I80+J80+K80+L80),""),"")</f>
        <v>-2.80201693488335</v>
      </c>
      <c r="M339" s="262">
        <f>IFERROR(IF(AND(COUNT(I75,J75,K75,L75)=4,(I80+J80+K80+L80)&lt;&gt;0),((I75+J75+K75+L75)-(I174+J174+K174+L174))/-(I80+J80+K80+L80),""),"")</f>
        <v>-2.80201693488335</v>
      </c>
      <c r="N339" s="262">
        <f>IFERROR(IF(AND(COUNT(J75,K75,L75,N75)=4,(J80+K80+L80+N80)&lt;&gt;0),((J75+K75+L75+N75)-(J174+K174+L174+N174))/-(J80+K80+L80+N80),""),"")</f>
        <v>-2.90650506116095</v>
      </c>
      <c r="O339" s="262">
        <f>IFERROR(IF(AND(COUNT(K75,L75,N75,O75)=4,(K80+L80+N80+O80)&lt;&gt;0),((K75+L75+N75+O75)-(K174+L174+N174+O174))/-(K80+L80+N80+O80),""),"")</f>
        <v>-2.28947588219602</v>
      </c>
      <c r="P339" s="262">
        <f>IFERROR(IF(AND(COUNT(L75,N75,O75,P75)=4,(L80+N80+O80+P80)&lt;&gt;0),((L75+N75+O75+P75)-(L174+N174+O174+P174))/-(L80+N80+O80+P80),""),"")</f>
        <v>-1.82808103172308</v>
      </c>
      <c r="Q339" s="262">
        <f>IFERROR(IF(AND(COUNT(N75,O75,P75,Q75)=4,(N80+O80+P80+Q80)&lt;&gt;0),((N75+O75+P75+Q75)-(N174+O174+P174+Q174))/-(N80+O80+P80+Q80),""),"")</f>
        <v>-1.3896582857372</v>
      </c>
      <c r="R339" s="262">
        <f>IFERROR(IF(AND(COUNT(N75,O75,P75,Q75)=4,(N80+O80+P80+Q80)&lt;&gt;0),((N75+O75+P75+Q75)-(N174+O174+P174+Q174))/-(N80+O80+P80+Q80),""),"")</f>
        <v>-1.3896582857372</v>
      </c>
      <c r="S339" s="262">
        <f>IFERROR(IF(AND(COUNT(O75,P75,Q75,S75)=4,(O80+P80+Q80+S80)&lt;&gt;0),((O75+P75+Q75+S75)-(O174+P174+Q174+S174))/-(O80+P80+Q80+S80),""),"")</f>
        <v>-0.854607270625902</v>
      </c>
      <c r="T339" s="262">
        <f>IFERROR(IF(AND(COUNT(P75,Q75,S75,T75)=4,(P80+Q80+S80+T80)&lt;&gt;0),((P75+Q75+S75+T75)-(P174+Q174+S174+T174))/-(P80+Q80+S80+T80),""),"")</f>
        <v>-0.291281318825808</v>
      </c>
      <c r="U339" s="262">
        <f>IFERROR(IF(AND(COUNT(Q75,S75,T75,U75)=4,(Q80+S80+T80+U80)&lt;&gt;0),((Q75+S75+T75+U75)-(Q174+S174+T174+U174))/-(Q80+S80+T80+U80),""),"")</f>
        <v>-0.00246680541837086</v>
      </c>
      <c r="V339" s="262">
        <f>IFERROR(IF(AND(COUNT(S75,T75,U75,V75)=4,(S80+T80+U80+V80)&lt;&gt;0),((S75+T75+U75+V75)-(S174+T174+U174+V174))/-(S80+T80+U80+V80),""),"")</f>
        <v>-0.118117135929741</v>
      </c>
      <c r="W339" s="262">
        <f>IFERROR(IF(AND(COUNT(S75,T75,U75,V75)=4,(S80+T80+U80+V80)&lt;&gt;0),((S75+T75+U75+V75)-(S174+T174+U174+V174))/-(S80+T80+U80+V80),""),"")</f>
        <v>-0.118117135929741</v>
      </c>
      <c r="X339" s="262">
        <f>IFERROR(IF(AND(COUNT(T75,U75,V75,X75)=4,(T80+U80+V80+X80)&lt;&gt;0),((T75+U75+V75+X75)-(T174+U174+V174+X174))/-(T80+U80+V80+X80),""),"")</f>
        <v>-0.247388280555733</v>
      </c>
      <c r="Y339" s="262">
        <f>IFERROR(IF(AND(COUNT(U75,V75,X75,Y75)=4,(U80+V80+X80+Y80)&lt;&gt;0),((U75+V75+X75+Y75)-(U174+V174+X174+Y174))/-(U80+V80+X80+Y80),""),"")</f>
        <v>-0.273371315332089</v>
      </c>
      <c r="Z339" s="262">
        <f>IFERROR(IF(AND(COUNT(V75,X75,Y75,Z75)=4,(V80+X80+Y80+Z80)&lt;&gt;0),((V75+X75+Y75+Z75)-(V174+X174+Y174+Z174))/-(V80+X80+Y80+Z80),""),"")</f>
        <v>-0.173785060893532</v>
      </c>
      <c r="AA339" s="262">
        <f>IFERROR(IF(AND(COUNT(X75,Y75,Z75,AA75)=4,(X80+Y80+Z80+AA80)&lt;&gt;0),((X75+Y75+Z75+AA75)-(X174+Y174+Z174+AA174))/-(X80+Y80+Z80+AA80),""),"")</f>
        <v>0.10062060494768</v>
      </c>
      <c r="AB339" s="262">
        <f>IFERROR(IF(AND(COUNT(X75,Y75,Z75,AA75)=4,(X80+Y80+Z80+AA80)&lt;&gt;0),((X75+Y75+Z75+AA75)-(X174+Y174+Z174+AA174))/-(X80+Y80+Z80+AA80),""),"")</f>
        <v>0.10062060494768</v>
      </c>
      <c r="AC339" s="262">
        <f>IFERROR(IF(AND(COUNT(Y75,Z75,AA75,AC75)=4,(Y80+Z80+AA80+AC80)&lt;&gt;0),((Y75+Z75+AA75+AC75)-(Y174+Z174+AA174+AC174))/-(Y80+Z80+AA80+AC80),""),"")</f>
        <v>0.373415804096335</v>
      </c>
      <c r="AD339" s="262">
        <f>IFERROR(IF(AND(COUNT(Z75,AA75,AC75,AD75)=4,(Z80+AA80+AC80+AD80)&lt;&gt;0),((Z75+AA75+AC75+AD75)-(Z174+AA174+AC174+AD174))/-(Z80+AA80+AC80+AD80),""),"")</f>
        <v>0.429046205942688</v>
      </c>
      <c r="AE339" s="262">
        <f>IFERROR(IF(AND(COUNT(AA75,AC75,AD75,AE75)=4,(AA80+AC80+AD80+AE80)&lt;&gt;0),((AA75+AC75+AD75+AE75)-(AA174+AC174+AD174+AE174))/-(AA80+AC80+AD80+AE80),""),"")</f>
        <v>0.468314702627076</v>
      </c>
      <c r="AF339" s="262">
        <f>IFERROR(IF(AND(COUNT(AB75,AD75,AE75,AF75)=4,(AB80+AD80+AE80+AF80)&lt;&gt;0),((AB75+AD75+AE75+AF75)-(AB174+AD174+AE174+AF174))/-(AB80+AD80+AE80+AF80),""),"")</f>
        <v>0.874312692593925</v>
      </c>
      <c r="AG339" s="262">
        <f>IFERROR(IF(AND(COUNT(AC75,AD75,AE75,AF75)=4,(AC80+AD80+AE80+AF80)&lt;&gt;0),((AC75+AD75+AE75+AF75)-(AC174+AD174+AE174+AF174))/-(AC80+AD80+AE80+AF80),""),"")</f>
        <v>0.593558600791024</v>
      </c>
      <c r="AH339" s="262">
        <f>IFERROR(IF(AND(COUNT(AD75,AF75,AG75,AH75)=4,(AD80+AF80+AG80+AH80)&lt;&gt;0),((AD75+AF75+AG75+AH75)-(AD174+AF174+AG174+AH174))/-(AD80+AF80+AG80+AH80),""),"")</f>
        <v>0.616953221744165</v>
      </c>
      <c r="AI339" s="262">
        <f>IFERROR(IF(AND(COUNT(AE75,AG75,AH75,AI75)=4,(AE80+AG80+AH80+AI80)&lt;&gt;0),((AE75+AG75+AH75+AI75)-(AE174+AG174+AH174+AI174))/-(AE80+AG80+AH80+AI80),""),"")</f>
        <v>0.611766549837827</v>
      </c>
      <c r="AJ339" s="262" t="str">
        <f>IFERROR(IF(AND(COUNT(AF75,AH75,AI75,AJ75)=4,(AF80+AH80+AI80+AJ80)&lt;&gt;0),((AF75+AH75+AI75+AJ75)-(AF174+AH174+AI174+AJ174))/-(AF80+AH80+AI80+AJ80),""),"")</f>
        <v/>
      </c>
      <c r="AK339" s="262" t="str">
        <f>IFERROR(IF(AND(COUNT(AH75,AI75,AJ75,AK75)=4,(AH80+AI80+AJ80+AK80)&lt;&gt;0),((AH75+AI75+AJ75+AK75)-(AH174+AI174+AJ174+AK174))/-(AH80+AI80+AJ80+AK80),""),"")</f>
        <v/>
      </c>
      <c r="AL339" s="262" t="str">
        <f>IFERROR(IF(AND(COUNT(AH75,AI75,AJ75,AK75)=4,(AH80+AI80+AJ80+AK80)&lt;&gt;0),((AH75+AI75+AJ75+AK75)-(AH174+AI174+AJ174+AK174))/-(AH80+AI80+AJ80+AK80),""),"")</f>
        <v/>
      </c>
      <c r="AM339" s="262" t="str">
        <f>IFERROR(IF(AND(COUNT(AI75,AJ75,AK75,AM75)=4,(AI80+AJ80+AK80+AM80)&lt;&gt;0),((AI75+AJ75+AK75+AM75)-(AI174+AJ174+AK174+AM174))/-(AI80+AJ80+AK80+AM80),""),"")</f>
        <v/>
      </c>
      <c r="AN339" s="262" t="str">
        <f>IFERROR(IF(AND(COUNT(AJ75,AK75,AM75,AN75)=4,(AJ80+AK80+AM80+AN80)&lt;&gt;0),((AJ75+AK75+AM75+AN75)-(AJ174+AK174+AM174+AN174))/-(AJ80+AK80+AM80+AN80),""),"")</f>
        <v/>
      </c>
      <c r="AO339" s="262" t="str">
        <f>IFERROR(IF(AND(COUNT(AK75,AM75,AN75,AO75)=4,(AK80+AM80+AN80+AO80)&lt;&gt;0),((AK75+AM75+AN75+AO75)-(AK174+AM174+AN174+AO174))/-(AK80+AM80+AN80+AO80),""),"")</f>
        <v/>
      </c>
      <c r="AP339" s="262" t="str">
        <f>IFERROR(IF(AND(COUNT(AM75,AN75,AO75,AP75)=4,(AM80+AN80+AO80+AP80)&lt;&gt;0),((AM75+AN75+AO75+AP75)-(AM174+AN174+AO174+AP174))/-(AM80+AN80+AO80+AP80),""),"")</f>
        <v/>
      </c>
      <c r="AQ339" s="262" t="str">
        <f>IFERROR(IF(AND(COUNT(AM75,AN75,AO75,AP75)=4,(AM80+AN80+AO80+AP80)&lt;&gt;0),((AM75+AN75+AO75+AP75)-(AM174+AN174+AO174+AP174))/-(AM80+AN80+AO80+AP80),""),"")</f>
        <v/>
      </c>
      <c r="AR339" s="262" t="str">
        <f>IFERROR(IF(AND(COUNT(AN75,AO75,AP75,AR75)=4,(AN80+AO80+AP80+AR80)&lt;&gt;0),((AN75+AO75+AP75+AR75)-(AN174+AO174+AP174+AR174))/-(AN80+AO80+AP80+AR80),""),"")</f>
        <v/>
      </c>
      <c r="AS339" s="262" t="str">
        <f>IFERROR(IF(AND(COUNT(AO75,AP75,AR75,AS75)=4,(AO80+AP80+AR80+AS80)&lt;&gt;0),((AO75+AP75+AR75+AS75)-(AO174+AP174+AR174+AS174))/-(AO80+AP80+AR80+AS80),""),"")</f>
        <v/>
      </c>
      <c r="AT339" s="262" t="str">
        <f>IFERROR(IF(AND(COUNT(AP75,AR75,AS75,AT75)=4,(AP80+AR80+AS80+AT80)&lt;&gt;0),((AP75+AR75+AS75+AT75)-(AP174+AR174+AS174+AT174))/-(AP80+AR80+AS80+AT80),""),"")</f>
        <v/>
      </c>
      <c r="AU339" s="262" t="str">
        <f>IFERROR(IF(AND(COUNT(AR75,AS75,AT75,AU75)=4,(AR80+AS80+AT80+AU80)&lt;&gt;0),((AR75+AS75+AT75+AU75)-(AR174+AS174+AT174+AU174))/-(AR80+AS80+AT80+AU80),""),"")</f>
        <v/>
      </c>
      <c r="AV339" s="262" t="str">
        <f>IFERROR(IF(AND(COUNT(AR75,AS75,AT75,AU75)=4,(AR80+AS80+AT80+AU80)&lt;&gt;0),((AR75+AS75+AT75+AU75)-(AR174+AS174+AT174+AU174))/-(AR80+AS80+AT80+AU80),""),"")</f>
        <v/>
      </c>
      <c r="AW339" s="262" t="str">
        <f>IFERROR(IF(AND(COUNT(AS75,AT75,AU75,AW75)=4,(AS80+AT80+AU80+AW80)&lt;&gt;0),((AS75+AT75+AU75+AW75)-(AS174+AT174+AU174+AW174))/-(AS80+AT80+AU80+AW80),""),"")</f>
        <v/>
      </c>
      <c r="AX339" s="262" t="str">
        <f>IFERROR(IF(AND(COUNT(AT75,AU75,AW75,AX75)=4,(AT80+AU80+AW80+AX80)&lt;&gt;0),((AT75+AU75+AW75+AX75)-(AT174+AU174+AW174+AX174))/-(AT80+AU80+AW80+AX80),""),"")</f>
        <v/>
      </c>
      <c r="AY339" s="262" t="str">
        <f>IFERROR(IF(AND(COUNT(AU75,AW75,AX75,AY75)=4,(AU80+AW80+AX80+AY80)&lt;&gt;0),((AU75+AW75+AX75+AY75)-(AU174+AW174+AX174+AY174))/-(AU80+AW80+AX80+AY80),""),"")</f>
        <v/>
      </c>
      <c r="AZ339" s="262" t="str">
        <f>IFERROR(IF(AND(COUNT(AW75,AX75,AY75,AZ75)=4,(AW80+AX80+AY80+AZ80)&lt;&gt;0),((AW75+AX75+AY75+AZ75)-(AW174+AX174+AY174+AZ174))/-(AW80+AX80+AY80+AZ80),""),"")</f>
        <v/>
      </c>
      <c r="BA339" s="262" t="str">
        <f>IFERROR(IF(AND(COUNT(AW75,AX75,AY75,AZ75)=4,(AW80+AX80+AY80+AZ80)&lt;&gt;0),((AW75+AX75+AY75+AZ75)-(AW174+AX174+AY174+AZ174))/-(AW80+AX80+AY80+AZ80),""),"")</f>
        <v/>
      </c>
      <c r="BB339" s="262" t="str">
        <f>IFERROR(IF(AND(COUNT(AX75,AY75,AZ75,BB75)=4,(AX80+AY80+AZ80+BB80)&lt;&gt;0),((AX75+AY75+AZ75+BB75)-(AX174+AY174+AZ174+BB174))/-(AX80+AY80+AZ80+BB80),""),"")</f>
        <v/>
      </c>
      <c r="BC339" s="262" t="str">
        <f>IFERROR(IF(AND(COUNT(AY75,AZ75,BB75,BC75)=4,(AY80+AZ80+BB80+BC80)&lt;&gt;0),((AY75+AZ75+BB75+BC75)-(AY174+AZ174+BB174+BC174))/-(AY80+AZ80+BB80+BC80),""),"")</f>
        <v/>
      </c>
      <c r="BD339" s="262" t="str">
        <f>IFERROR(IF(AND(COUNT(AZ75,BB75,BC75,BD75)=4,(AZ80+BB80+BC80+BD80)&lt;&gt;0),((AZ75+BB75+BC75+BD75)-(AZ174+BB174+BC174+BD174))/-(AZ80+BB80+BC80+BD80),""),"")</f>
        <v/>
      </c>
      <c r="BE339" s="262" t="str">
        <f>IFERROR(IF(AND(COUNT(BB75,BC75,BD75,BE75)=4,(BB80+BC80+BD80+BE80)&lt;&gt;0),((BB75+BC75+BD75+BE75)-(BB174+BC174+BD174+BE174))/-(BB80+BC80+BD80+BE80),""),"")</f>
        <v/>
      </c>
      <c r="BF339" s="262" t="str">
        <f>IFERROR(IF(AND(COUNT(BB75,BC75,BD75,BE75)=4,(BB80+BC80+BD80+BE80)&lt;&gt;0),((BB75+BC75+BD75+BE75)-(BB174+BC174+BD174+BE174))/-(BB80+BC80+BD80+BE80),""),"")</f>
        <v/>
      </c>
      <c r="BG339" s="82" t="n"/>
      <c r="BH339" s="82" t="n"/>
      <c r="BI339" s="82" t="n"/>
      <c r="BJ339" s="82" t="n"/>
      <c r="BL339" s="82" t="n"/>
      <c r="BM339" s="82" t="n"/>
      <c r="BN339" s="82" t="n"/>
      <c r="BO339" s="82" t="n"/>
      <c r="BQ339" s="82" t="n"/>
      <c r="BR339" s="82" t="n"/>
      <c r="BS339" s="82" t="n"/>
      <c r="BT339" s="82" t="n"/>
      <c r="BV339" s="82" t="n"/>
      <c r="BW339" s="82" t="n"/>
      <c r="BX339" s="82" t="n"/>
      <c r="BY339" s="82" t="n"/>
      <c r="CA339" s="82" t="n"/>
      <c r="CB339" s="82" t="n"/>
      <c r="CC339" s="82" t="n"/>
      <c r="CD339" s="82" t="n"/>
      <c r="CF339" s="82" t="n"/>
      <c r="CG339" s="82" t="n"/>
      <c r="CH339" s="82" t="n"/>
      <c r="CI339" s="82" t="n"/>
      <c r="CK339" s="82" t="n"/>
      <c r="CL339" s="82" t="n"/>
      <c r="CM339" s="82" t="n"/>
      <c r="CN339" s="82" t="n"/>
      <c r="CP339" s="82" t="n"/>
      <c r="CQ339" s="82" t="n"/>
      <c r="CR339" s="82" t="n"/>
      <c r="CS339" s="82" t="n"/>
      <c r="CU339" s="82" t="n"/>
      <c r="CV339" s="82" t="n"/>
      <c r="CW339" s="82" t="n"/>
      <c r="CX339" s="82" t="n"/>
    </row>
    <row r="340" customFormat="1" s="77">
      <c r="A340" s="76" t="n"/>
      <c r="B340" s="76" t="n"/>
      <c r="C340" s="77" t="inlineStr">
        <is>
          <t>TOTAL DEBT / EBITDA (LTM)</t>
        </is>
      </c>
      <c r="D340" s="82" t="str">
        <f>IFERROR(SUM(D218,D219,D220,D223,D241,D244)/D75,"")</f>
        <v/>
      </c>
      <c r="E340" s="82" t="str">
        <f>IFERROR(SUM(E218,E219,E220,E223,E241,E244)/E75,"")</f>
        <v/>
      </c>
      <c r="F340" s="82" t="str">
        <f>IFERROR(SUM(F218,F219,F220,F223,F241,F244)/F75,"")</f>
        <v/>
      </c>
      <c r="G340" s="82" t="str">
        <f>IFERROR(SUM(G218,G219,G220,G223,G241,G244)/G75,"")</f>
        <v/>
      </c>
      <c r="H340" s="262" t="str">
        <f>IFERROR(IF(AND(COUNT(H75)=1,(H75)&lt;&gt;0),(N(H218)+N(H219)+N(H220)+N(H223)+N(H241)+N(H244))/(H75),""),"")</f>
        <v/>
      </c>
      <c r="I340" s="262" t="str">
        <f>""</f>
        <v/>
      </c>
      <c r="J340" s="262" t="str">
        <f>""</f>
        <v/>
      </c>
      <c r="K340" s="262" t="str">
        <f>""</f>
        <v/>
      </c>
      <c r="L340" s="262">
        <f>IFERROR(IF(AND(COUNT(I75,J75,K75,L75)=4,(I75+J75+K75+L75)&lt;&gt;0),(N(L218)+N(L219)+N(L220)+N(L223)+N(L241)+N(L244))/(I75+J75+K75+L75),""),"")</f>
        <v>8.20530991690545</v>
      </c>
      <c r="M340" s="262">
        <f>IFERROR(IF(AND(COUNT(I75,J75,K75,L75)=4,(I75+J75+K75+L75)&lt;&gt;0),(N(M218)+N(M219)+N(M220)+N(M223)+N(M241)+N(M244))/(I75+J75+K75+L75),""),"")</f>
        <v>8.20530991690545</v>
      </c>
      <c r="N340" s="262">
        <f>IFERROR(IF(AND(COUNT(J75,K75,L75,N75)=4,(J75+K75+L75+N75)&lt;&gt;0),(N(N218)+N(N219)+N(N220)+N(N223)+N(N241)+N(N244))/(J75+K75+L75+N75),""),"")</f>
        <v>6.59473848544774</v>
      </c>
      <c r="O340" s="262">
        <f>IFERROR(IF(AND(COUNT(K75,L75,N75,O75)=4,(K75+L75+N75+O75)&lt;&gt;0),(N(O218)+N(O219)+N(O220)+N(O223)+N(O241)+N(O244))/(K75+L75+N75+O75),""),"")</f>
        <v>6.49334877676325</v>
      </c>
      <c r="P340" s="262">
        <f>IFERROR(IF(AND(COUNT(L75,N75,O75,P75)=4,(L75+N75+O75+P75)&lt;&gt;0),(N(P218)+N(P219)+N(P220)+N(P223)+N(P241)+N(P244))/(L75+N75+O75+P75),""),"")</f>
        <v>6.31420466430826</v>
      </c>
      <c r="Q340" s="262">
        <f>IFERROR(IF(AND(COUNT(N75,O75,P75,Q75)=4,(N75+O75+P75+Q75)&lt;&gt;0),(N(Q218)+N(Q219)+N(Q220)+N(Q223)+N(Q241)+N(Q244))/(N75+O75+P75+Q75),""),"")</f>
        <v>5.69716819777029</v>
      </c>
      <c r="R340" s="262">
        <f>IFERROR(IF(AND(COUNT(N75,O75,P75,Q75)=4,(N75+O75+P75+Q75)&lt;&gt;0),(N(R218)+N(R219)+N(R220)+N(R223)+N(R241)+N(R244))/(N75+O75+P75+Q75),""),"")</f>
        <v>5.69716819777029</v>
      </c>
      <c r="S340" s="262">
        <f>IFERROR(IF(AND(COUNT(O75,P75,Q75,S75)=4,(O75+P75+Q75+S75)&lt;&gt;0),(N(S218)+N(S219)+N(S220)+N(S223)+N(S241)+N(S244))/(O75+P75+Q75+S75),""),"")</f>
        <v>5.32336354451604</v>
      </c>
      <c r="T340" s="262">
        <f>IFERROR(IF(AND(COUNT(P75,Q75,S75,T75)=4,(P75+Q75+S75+T75)&lt;&gt;0),(N(T218)+N(T219)+N(T220)+N(T223)+N(T241)+N(T244))/(P75+Q75+S75+T75),""),"")</f>
        <v>5.07752369092767</v>
      </c>
      <c r="U340" s="262">
        <f>IFERROR(IF(AND(COUNT(Q75,S75,T75,U75)=4,(Q75+S75+T75+U75)&lt;&gt;0),(N(U218)+N(U219)+N(U220)+N(U223)+N(U241)+N(U244))/(Q75+S75+T75+U75),""),"")</f>
        <v>5.05001265572738</v>
      </c>
      <c r="V340" s="262">
        <f>IFERROR(IF(AND(COUNT(S75,T75,U75,V75)=4,(S75+T75+U75+V75)&lt;&gt;0),(N(V218)+N(V219)+N(V220)+N(V223)+N(V241)+N(V244))/(S75+T75+U75+V75),""),"")</f>
        <v>5.69965519619084</v>
      </c>
      <c r="W340" s="262">
        <f>IFERROR(IF(AND(COUNT(S75,T75,U75,V75)=4,(S75+T75+U75+V75)&lt;&gt;0),(N(W218)+N(W219)+N(W220)+N(W223)+N(W241)+N(W244))/(S75+T75+U75+V75),""),"")</f>
        <v>5.69965519619084</v>
      </c>
      <c r="X340" s="262">
        <f>IFERROR(IF(AND(COUNT(T75,U75,V75,X75)=4,(T75+U75+V75+X75)&lt;&gt;0),(N(X218)+N(X219)+N(X220)+N(X223)+N(X241)+N(X244))/(T75+U75+V75+X75),""),"")</f>
        <v>5.8247269434217</v>
      </c>
      <c r="Y340" s="262">
        <f>IFERROR(IF(AND(COUNT(U75,V75,X75,Y75)=4,(U75+V75+X75+Y75)&lt;&gt;0),(N(Y218)+N(Y219)+N(Y220)+N(Y223)+N(Y241)+N(Y244))/(U75+V75+X75+Y75),""),"")</f>
        <v>5.89809549967177</v>
      </c>
      <c r="Z340" s="262">
        <f>IFERROR(IF(AND(COUNT(V75,X75,Y75,Z75)=4,(V75+X75+Y75+Z75)&lt;&gt;0),(N(Z218)+N(Z219)+N(Z220)+N(Z223)+N(Z241)+N(Z244))/(V75+X75+Y75+Z75),""),"")</f>
        <v>5.8832618831343</v>
      </c>
      <c r="AA340" s="262">
        <f>IFERROR(IF(AND(COUNT(X75,Y75,Z75,AA75)=4,(X75+Y75+Z75+AA75)&lt;&gt;0),(N(AA218)+N(AA219)+N(AA220)+N(AA223)+N(AA241)+N(AA244))/(X75+Y75+Z75+AA75),""),"")</f>
        <v>5.5351792483534</v>
      </c>
      <c r="AB340" s="262">
        <f>IFERROR(IF(AND(COUNT(X75,Y75,Z75,AA75)=4,(X75+Y75+Z75+AA75)&lt;&gt;0),(N(AB218)+N(AB219)+N(AB220)+N(AB223)+N(AB241)+N(AB244))/(X75+Y75+Z75+AA75),""),"")</f>
        <v>5.5351792483534</v>
      </c>
      <c r="AC340" s="262">
        <f>IFERROR(IF(AND(COUNT(Y75,Z75,AA75,AC75)=4,(Y75+Z75+AA75+AC75)&lt;&gt;0),(N(AC218)+N(AC219)+N(AC220)+N(AC223)+N(AC241)+N(AC244))/(Y75+Z75+AA75+AC75),""),"")</f>
        <v>5.3472857046484</v>
      </c>
      <c r="AD340" s="262">
        <f>IFERROR(IF(AND(COUNT(Z75,AA75,AC75,AD75)=4,(Z75+AA75+AC75+AD75)&lt;&gt;0),(N(AD218)+N(AD219)+N(AD220)+N(AD223)+N(AD241)+N(AD244))/(Z75+AA75+AC75+AD75),""),"")</f>
        <v>5.12057261103081</v>
      </c>
      <c r="AE340" s="262">
        <f>IFERROR(IF(AND(COUNT(AA75,AC75,AD75,AE75)=4,(AA75+AC75+AD75+AE75)&lt;&gt;0),(N(AE218)+N(AE219)+N(AE220)+N(AE223)+N(AE241)+N(AE244))/(AA75+AC75+AD75+AE75),""),"")</f>
        <v>4.91616739618345</v>
      </c>
      <c r="AF340" s="262">
        <f>IFERROR(IF(AND(COUNT(AB75,AD75,AE75,AF75)=4,(AB75+AD75+AE75+AF75)&lt;&gt;0),(N(AF218)+N(AF219)+N(AF220)+N(AF223)+N(AF241)+N(AF244))/(AB75+AD75+AE75+AF75),""),"")</f>
        <v>2.85007395824961</v>
      </c>
      <c r="AG340" s="262">
        <f>IFERROR(IF(AND(COUNT(AC75,AD75,AE75,AF75)=4,(AC75+AD75+AE75+AF75)&lt;&gt;0),(N(AG218)+N(AG219)+N(AG220)+N(AG223)+N(AG241)+N(AG244))/(AC75+AD75+AE75+AF75),""),"")</f>
        <v>4.526855358753</v>
      </c>
      <c r="AH340" s="262">
        <f>IFERROR(IF(AND(COUNT(AD75,AF75,AG75,AH75)=4,(AD75+AF75+AG75+AH75)&lt;&gt;0),(N(AH218)+N(AH219)+N(AH220)+N(AH223)+N(AH241)+N(AH244))/(AD75+AF75+AG75+AH75),""),"")</f>
        <v>2.58944191308338</v>
      </c>
      <c r="AI340" s="262">
        <f>IFERROR(IF(AND(COUNT(AE75,AG75,AH75,AI75)=4,(AE75+AG75+AH75+AI75)&lt;&gt;0),(N(AI218)+N(AI219)+N(AI220)+N(AI223)+N(AI241)+N(AI244))/(AE75+AG75+AH75+AI75),""),"")</f>
        <v>2.64098732975342</v>
      </c>
      <c r="AJ340" s="262">
        <f>IFERROR(IF(AND(COUNT(AF75,AH75,AI75,AJ75)=4,(AF75+AH75+AI75+AJ75)&lt;&gt;0),(N(AJ218)+N(AJ219)+N(AJ220)+N(AJ223)+N(AJ241)+N(AJ244))/(AF75+AH75+AI75+AJ75),""),"")</f>
        <v>4.17976542519672</v>
      </c>
      <c r="AK340" s="262">
        <f>IFERROR(IF(AND(COUNT(AH75,AI75,AJ75,AK75)=4,(AH75+AI75+AJ75+AK75)&lt;&gt;0),(N(AK218)+N(AK219)+N(AK220)+N(AK223)+N(AK241)+N(AK244))/(AH75+AI75+AJ75+AK75),""),"")</f>
        <v>4.37176149871976</v>
      </c>
      <c r="AL340" s="262">
        <f>IFERROR(IF(AND(COUNT(AH75,AI75,AJ75,AK75)=4,(AH75+AI75+AJ75+AK75)&lt;&gt;0),(N(AL218)+N(AL219)+N(AL220)+N(AL223)+N(AL241)+N(AL244))/(AH75+AI75+AJ75+AK75),""),"")</f>
        <v>4.37176149871976</v>
      </c>
      <c r="AM340" s="262">
        <f>IFERROR(IF(AND(COUNT(AI75,AJ75,AK75,AM75)=4,(AI75+AJ75+AK75+AM75)&lt;&gt;0),(N(AM218)+N(AM219)+N(AM220)+N(AM223)+N(AM241)+N(AM244))/(AI75+AJ75+AK75+AM75),""),"")</f>
        <v>4.24896805790066</v>
      </c>
      <c r="AN340" s="262">
        <f>IFERROR(IF(AND(COUNT(AJ75,AK75,AM75,AN75)=4,(AJ75+AK75+AM75+AN75)&lt;&gt;0),(N(AN218)+N(AN219)+N(AN220)+N(AN223)+N(AN241)+N(AN244))/(AJ75+AK75+AM75+AN75),""),"")</f>
        <v>4.20440857098358</v>
      </c>
      <c r="AO340" s="262">
        <f>IFERROR(IF(AND(COUNT(AK75,AM75,AN75,AO75)=4,(AK75+AM75+AN75+AO75)&lt;&gt;0),(N(AO218)+N(AO219)+N(AO220)+N(AO223)+N(AO241)+N(AO244))/(AK75+AM75+AN75+AO75),""),"")</f>
        <v>4.14095802180546</v>
      </c>
      <c r="AP340" s="262">
        <f>IFERROR(IF(AND(COUNT(AM75,AN75,AO75,AP75)=4,(AM75+AN75+AO75+AP75)&lt;&gt;0),(N(AP218)+N(AP219)+N(AP220)+N(AP223)+N(AP241)+N(AP244))/(AM75+AN75+AO75+AP75),""),"")</f>
        <v>4.07929272990558</v>
      </c>
      <c r="AQ340" s="262">
        <f>IFERROR(IF(AND(COUNT(AM75,AN75,AO75,AP75)=4,(AM75+AN75+AO75+AP75)&lt;&gt;0),(N(AQ218)+N(AQ219)+N(AQ220)+N(AQ223)+N(AQ241)+N(AQ244))/(AM75+AN75+AO75+AP75),""),"")</f>
        <v>4.07929272990558</v>
      </c>
      <c r="AR340" s="262">
        <f>IFERROR(IF(AND(COUNT(AN75,AO75,AP75,AR75)=4,(AN75+AO75+AP75+AR75)&lt;&gt;0),(N(AR218)+N(AR219)+N(AR220)+N(AR223)+N(AR241)+N(AR244))/(AN75+AO75+AP75+AR75),""),"")</f>
        <v>4.02520857726299</v>
      </c>
      <c r="AS340" s="262">
        <f>IFERROR(IF(AND(COUNT(AO75,AP75,AR75,AS75)=4,(AO75+AP75+AR75+AS75)&lt;&gt;0),(N(AS218)+N(AS219)+N(AS220)+N(AS223)+N(AS241)+N(AS244))/(AO75+AP75+AR75+AS75),""),"")</f>
        <v>3.97099700168001</v>
      </c>
      <c r="AT340" s="262">
        <f>IFERROR(IF(AND(COUNT(AP75,AR75,AS75,AT75)=4,(AP75+AR75+AS75+AT75)&lt;&gt;0),(N(AT218)+N(AT219)+N(AT220)+N(AT223)+N(AT241)+N(AT244))/(AP75+AR75+AS75+AT75),""),"")</f>
        <v>3.91576291500169</v>
      </c>
      <c r="AU340" s="262">
        <f>IFERROR(IF(AND(COUNT(AR75,AS75,AT75,AU75)=4,(AR75+AS75+AT75+AU75)&lt;&gt;0),(N(AU218)+N(AU219)+N(AU220)+N(AU223)+N(AU241)+N(AU244))/(AR75+AS75+AT75+AU75),""),"")</f>
        <v>3.86195571963626</v>
      </c>
      <c r="AV340" s="262">
        <f>IFERROR(IF(AND(COUNT(AR75,AS75,AT75,AU75)=4,(AR75+AS75+AT75+AU75)&lt;&gt;0),(N(AV218)+N(AV219)+N(AV220)+N(AV223)+N(AV241)+N(AV244))/(AR75+AS75+AT75+AU75),""),"")</f>
        <v>3.86195571963626</v>
      </c>
      <c r="AW340" s="262">
        <f>IFERROR(IF(AND(COUNT(AS75,AT75,AU75,AW75)=4,(AS75+AT75+AU75+AW75)&lt;&gt;0),(N(AW218)+N(AW219)+N(AW220)+N(AW223)+N(AW241)+N(AW244))/(AS75+AT75+AU75+AW75),""),"")</f>
        <v>3.81524725872324</v>
      </c>
      <c r="AX340" s="262">
        <f>IFERROR(IF(AND(COUNT(AT75,AU75,AW75,AX75)=4,(AT75+AU75+AW75+AX75)&lt;&gt;0),(N(AX218)+N(AX219)+N(AX220)+N(AX223)+N(AX241)+N(AX244))/(AT75+AU75+AW75+AX75),""),"")</f>
        <v>3.76831806086743</v>
      </c>
      <c r="AY340" s="262">
        <f>IFERROR(IF(AND(COUNT(AU75,AW75,AX75,AY75)=4,(AU75+AW75+AX75+AY75)&lt;&gt;0),(N(AY218)+N(AY219)+N(AY220)+N(AY223)+N(AY241)+N(AY244))/(AU75+AW75+AX75+AY75),""),"")</f>
        <v>3.72038932444616</v>
      </c>
      <c r="AZ340" s="262">
        <f>IFERROR(IF(AND(COUNT(AW75,AX75,AY75,AZ75)=4,(AW75+AX75+AY75+AZ75)&lt;&gt;0),(N(AZ218)+N(AZ219)+N(AZ220)+N(AZ223)+N(AZ241)+N(AZ244))/(AW75+AX75+AY75+AZ75),""),"")</f>
        <v>3.67358734243659</v>
      </c>
      <c r="BA340" s="262">
        <f>IFERROR(IF(AND(COUNT(AW75,AX75,AY75,AZ75)=4,(AW75+AX75+AY75+AZ75)&lt;&gt;0),(N(BA218)+N(BA219)+N(BA220)+N(BA223)+N(BA241)+N(BA244))/(AW75+AX75+AY75+AZ75),""),"")</f>
        <v>3.67358734243659</v>
      </c>
      <c r="BB340" s="262">
        <f>IFERROR(IF(AND(COUNT(AX75,AY75,AZ75,BB75)=4,(AX75+AY75+AZ75+BB75)&lt;&gt;0),(N(BB218)+N(BB219)+N(BB220)+N(BB223)+N(BB241)+N(BB244))/(AX75+AY75+AZ75+BB75),""),"")</f>
        <v>3.63344218434214</v>
      </c>
      <c r="BC340" s="262">
        <f>IFERROR(IF(AND(COUNT(AY75,AZ75,BB75,BC75)=4,(AY75+AZ75+BB75+BC75)&lt;&gt;0),(N(BC218)+N(BC219)+N(BC220)+N(BC223)+N(BC241)+N(BC244))/(AY75+AZ75+BB75+BC75),""),"")</f>
        <v>3.59301171823438</v>
      </c>
      <c r="BD340" s="262">
        <f>IFERROR(IF(AND(COUNT(AZ75,BB75,BC75,BD75)=4,(AZ75+BB75+BC75+BD75)&lt;&gt;0),(N(BD218)+N(BD219)+N(BD220)+N(BD223)+N(BD241)+N(BD244))/(AZ75+BB75+BC75+BD75),""),"")</f>
        <v>3.55162087802549</v>
      </c>
      <c r="BE340" s="262">
        <f>IFERROR(IF(AND(COUNT(BB75,BC75,BD75,BE75)=4,(BB75+BC75+BD75+BE75)&lt;&gt;0),(N(BE218)+N(BE219)+N(BE220)+N(BE223)+N(BE241)+N(BE244))/(BB75+BC75+BD75+BE75),""),"")</f>
        <v>3.51110595742491</v>
      </c>
      <c r="BF340" s="262">
        <f>IFERROR(IF(AND(COUNT(BB75,BC75,BD75,BE75)=4,(BB75+BC75+BD75+BE75)&lt;&gt;0),(N(BF218)+N(BF219)+N(BF220)+N(BF223)+N(BF241)+N(BF244))/(BB75+BC75+BD75+BE75),""),"")</f>
        <v>3.51110595742491</v>
      </c>
      <c r="BG340" s="82" t="n"/>
      <c r="BH340" s="82" t="n"/>
      <c r="BI340" s="82" t="n"/>
      <c r="BJ340" s="82" t="n"/>
      <c r="BL340" s="82" t="n"/>
      <c r="BM340" s="82" t="n"/>
      <c r="BN340" s="82" t="n"/>
      <c r="BO340" s="82" t="n"/>
      <c r="BQ340" s="82" t="n"/>
      <c r="BR340" s="82" t="n"/>
      <c r="BS340" s="82" t="n"/>
      <c r="BT340" s="82" t="n"/>
      <c r="BV340" s="82" t="n"/>
      <c r="BW340" s="82" t="n"/>
      <c r="BX340" s="82" t="n"/>
      <c r="BY340" s="82" t="n"/>
      <c r="CA340" s="82" t="n"/>
      <c r="CB340" s="82" t="n"/>
      <c r="CC340" s="82" t="n"/>
      <c r="CD340" s="82" t="n"/>
      <c r="CF340" s="82" t="n"/>
      <c r="CG340" s="82" t="n"/>
      <c r="CH340" s="82" t="n"/>
      <c r="CI340" s="82" t="n"/>
      <c r="CK340" s="82" t="n"/>
      <c r="CL340" s="82" t="n"/>
      <c r="CM340" s="82" t="n"/>
      <c r="CN340" s="82" t="n"/>
      <c r="CP340" s="82" t="n"/>
      <c r="CQ340" s="82" t="n"/>
      <c r="CR340" s="82" t="n"/>
      <c r="CS340" s="82" t="n"/>
      <c r="CU340" s="82" t="n"/>
      <c r="CV340" s="82" t="n"/>
      <c r="CW340" s="82" t="n"/>
      <c r="CX340" s="82" t="n"/>
    </row>
    <row r="341" customFormat="1" s="77">
      <c r="A341" s="76" t="n"/>
      <c r="B341" s="76" t="n"/>
      <c r="C341" s="77" t="inlineStr">
        <is>
          <t>TOTAL DEBT / TOTAL CAPITALIZATION</t>
        </is>
      </c>
      <c r="D341" s="80" t="str">
        <f>IFERROR(SUM(D218+D219+D220+D223+D241+D244)/(SUM(D218+D219+D220+D223+D241+D244)+D277),"")</f>
        <v/>
      </c>
      <c r="E341" s="80" t="str">
        <f>IFERROR(SUM(E218+E219+E220+E223+E241+E244)/(SUM(E218+E219+E220+E223+E241+E244)+E277),"")</f>
        <v/>
      </c>
      <c r="F341" s="80" t="str">
        <f>IFERROR(SUM(F218+F219+F220+F223+F241+F244)/(SUM(F218+F219+F220+F223+F241+F244)+F277),"")</f>
        <v/>
      </c>
      <c r="G341" s="80" t="str">
        <f>IFERROR(SUM(G218+G219+G220+G223+G241+G244)/(SUM(G218+G219+G220+G223+G241+G244)+G277),"")</f>
        <v/>
      </c>
      <c r="H341" s="258" t="str">
        <f>IFERROR(IF(((N(H218)+N(H219)+N(H220)+N(H223)+N(H241)+N(H244))+N(H277))&lt;&gt;0,(N(H218)+N(H219)+N(H220)+N(H223)+N(H241)+N(H244))/((N(H218)+N(H219)+N(H220)+N(H223)+N(H241)+N(H244))+H277),""),"")</f>
        <v/>
      </c>
      <c r="I341" s="258">
        <f>IFERROR(IF(((N(I218)+N(I219)+N(I220)+N(I223)+N(I241)+N(I244))+N(I277))&lt;&gt;0,(N(I218)+N(I219)+N(I220)+N(I223)+N(I241)+N(I244))/((N(I218)+N(I219)+N(I220)+N(I223)+N(I241)+N(I244))+I277),""),"")</f>
        <v>0.856557209012071</v>
      </c>
      <c r="J341" s="258">
        <f>IFERROR(IF(((N(J218)+N(J219)+N(J220)+N(J223)+N(J241)+N(J244))+N(J277))&lt;&gt;0,(N(J218)+N(J219)+N(J220)+N(J223)+N(J241)+N(J244))/((N(J218)+N(J219)+N(J220)+N(J223)+N(J241)+N(J244))+J277),""),"")</f>
        <v>0.839211287615784</v>
      </c>
      <c r="K341" s="258">
        <f>IFERROR(IF(((N(K218)+N(K219)+N(K220)+N(K223)+N(K241)+N(K244))+N(K277))&lt;&gt;0,(N(K218)+N(K219)+N(K220)+N(K223)+N(K241)+N(K244))/((N(K218)+N(K219)+N(K220)+N(K223)+N(K241)+N(K244))+K277),""),"")</f>
        <v>0.836509766684753</v>
      </c>
      <c r="L341" s="258">
        <f>IFERROR(IF(((N(L218)+N(L219)+N(L220)+N(L223)+N(L241)+N(L244))+N(L277))&lt;&gt;0,(N(L218)+N(L219)+N(L220)+N(L223)+N(L241)+N(L244))/((N(L218)+N(L219)+N(L220)+N(L223)+N(L241)+N(L244))+L277),""),"")</f>
        <v>0.85512428209625</v>
      </c>
      <c r="M341" s="258">
        <f>IFERROR(IF(((N(M218)+N(M219)+N(M220)+N(M223)+N(M241)+N(M244))+N(M277))&lt;&gt;0,(N(M218)+N(M219)+N(M220)+N(M223)+N(M241)+N(M244))/((N(M218)+N(M219)+N(M220)+N(M223)+N(M241)+N(M244))+M277),""),"")</f>
        <v>0.85512428209625</v>
      </c>
      <c r="N341" s="258">
        <f>IFERROR(IF(((N(N218)+N(N219)+N(N220)+N(N223)+N(N241)+N(N244))+N(N277))&lt;&gt;0,(N(N218)+N(N219)+N(N220)+N(N223)+N(N241)+N(N244))/((N(N218)+N(N219)+N(N220)+N(N223)+N(N241)+N(N244))+N277),""),"")</f>
        <v>0.861967835203145</v>
      </c>
      <c r="O341" s="258">
        <f>IFERROR(IF(((N(O218)+N(O219)+N(O220)+N(O223)+N(O241)+N(O244))+N(O277))&lt;&gt;0,(N(O218)+N(O219)+N(O220)+N(O223)+N(O241)+N(O244))/((N(O218)+N(O219)+N(O220)+N(O223)+N(O241)+N(O244))+O277),""),"")</f>
        <v>0.88265082616656</v>
      </c>
      <c r="P341" s="258">
        <f>IFERROR(IF(((N(P218)+N(P219)+N(P220)+N(P223)+N(P241)+N(P244))+N(P277))&lt;&gt;0,(N(P218)+N(P219)+N(P220)+N(P223)+N(P241)+N(P244))/((N(P218)+N(P219)+N(P220)+N(P223)+N(P241)+N(P244))+P277),""),"")</f>
        <v>0.88043262643058</v>
      </c>
      <c r="Q341" s="258">
        <f>IFERROR(IF(((N(Q218)+N(Q219)+N(Q220)+N(Q223)+N(Q241)+N(Q244))+N(Q277))&lt;&gt;0,(N(Q218)+N(Q219)+N(Q220)+N(Q223)+N(Q241)+N(Q244))/((N(Q218)+N(Q219)+N(Q220)+N(Q223)+N(Q241)+N(Q244))+Q277),""),"")</f>
        <v>0.877268972638895</v>
      </c>
      <c r="R341" s="258">
        <f>IFERROR(IF(((N(R218)+N(R219)+N(R220)+N(R223)+N(R241)+N(R244))+N(R277))&lt;&gt;0,(N(R218)+N(R219)+N(R220)+N(R223)+N(R241)+N(R244))/((N(R218)+N(R219)+N(R220)+N(R223)+N(R241)+N(R244))+R277),""),"")</f>
        <v>0.877268972638895</v>
      </c>
      <c r="S341" s="258">
        <f>IFERROR(IF(((N(S218)+N(S219)+N(S220)+N(S223)+N(S241)+N(S244))+N(S277))&lt;&gt;0,(N(S218)+N(S219)+N(S220)+N(S223)+N(S241)+N(S244))/((N(S218)+N(S219)+N(S220)+N(S223)+N(S241)+N(S244))+S277),""),"")</f>
        <v>0.87450686863802</v>
      </c>
      <c r="T341" s="258">
        <f>IFERROR(IF(((N(T218)+N(T219)+N(T220)+N(T223)+N(T241)+N(T244))+N(T277))&lt;&gt;0,(N(T218)+N(T219)+N(T220)+N(T223)+N(T241)+N(T244))/((N(T218)+N(T219)+N(T220)+N(T223)+N(T241)+N(T244))+T277),""),"")</f>
        <v>0.869507702764972</v>
      </c>
      <c r="U341" s="258">
        <f>IFERROR(IF(((N(U218)+N(U219)+N(U220)+N(U223)+N(U241)+N(U244))+N(U277))&lt;&gt;0,(N(U218)+N(U219)+N(U220)+N(U223)+N(U241)+N(U244))/((N(U218)+N(U219)+N(U220)+N(U223)+N(U241)+N(U244))+U277),""),"")</f>
        <v>0.855740745157162</v>
      </c>
      <c r="V341" s="258">
        <f>IFERROR(IF(((N(V218)+N(V219)+N(V220)+N(V223)+N(V241)+N(V244))+N(V277))&lt;&gt;0,(N(V218)+N(V219)+N(V220)+N(V223)+N(V241)+N(V244))/((N(V218)+N(V219)+N(V220)+N(V223)+N(V241)+N(V244))+V277),""),"")</f>
        <v>0.870582466820141</v>
      </c>
      <c r="W341" s="258">
        <f>IFERROR(IF(((N(W218)+N(W219)+N(W220)+N(W223)+N(W241)+N(W244))+N(W277))&lt;&gt;0,(N(W218)+N(W219)+N(W220)+N(W223)+N(W241)+N(W244))/((N(W218)+N(W219)+N(W220)+N(W223)+N(W241)+N(W244))+W277),""),"")</f>
        <v>0.870582466820141</v>
      </c>
      <c r="X341" s="258">
        <f>IFERROR(IF(((N(X218)+N(X219)+N(X220)+N(X223)+N(X241)+N(X244))+N(X277))&lt;&gt;0,(N(X218)+N(X219)+N(X220)+N(X223)+N(X241)+N(X244))/((N(X218)+N(X219)+N(X220)+N(X223)+N(X241)+N(X244))+X277),""),"")</f>
        <v>0.881096222803293</v>
      </c>
      <c r="Y341" s="258">
        <f>IFERROR(IF(((N(Y218)+N(Y219)+N(Y220)+N(Y223)+N(Y241)+N(Y244))+N(Y277))&lt;&gt;0,(N(Y218)+N(Y219)+N(Y220)+N(Y223)+N(Y241)+N(Y244))/((N(Y218)+N(Y219)+N(Y220)+N(Y223)+N(Y241)+N(Y244))+Y277),""),"")</f>
        <v>0.885382748515117</v>
      </c>
      <c r="Z341" s="258">
        <f>IFERROR(IF(((N(Z218)+N(Z219)+N(Z220)+N(Z223)+N(Z241)+N(Z244))+N(Z277))&lt;&gt;0,(N(Z218)+N(Z219)+N(Z220)+N(Z223)+N(Z241)+N(Z244))/((N(Z218)+N(Z219)+N(Z220)+N(Z223)+N(Z241)+N(Z244))+Z277),""),"")</f>
        <v>0.88792073865738</v>
      </c>
      <c r="AA341" s="258">
        <f>IFERROR(IF(((N(AA218)+N(AA219)+N(AA220)+N(AA223)+N(AA241)+N(AA244))+N(AA277))&lt;&gt;0,(N(AA218)+N(AA219)+N(AA220)+N(AA223)+N(AA241)+N(AA244))/((N(AA218)+N(AA219)+N(AA220)+N(AA223)+N(AA241)+N(AA244))+AA277),""),"")</f>
        <v>0.910857465757067</v>
      </c>
      <c r="AB341" s="258">
        <f>IFERROR(IF(((N(AB218)+N(AB219)+N(AB220)+N(AB223)+N(AB241)+N(AB244))+N(AB277))&lt;&gt;0,(N(AB218)+N(AB219)+N(AB220)+N(AB223)+N(AB241)+N(AB244))/((N(AB218)+N(AB219)+N(AB220)+N(AB223)+N(AB241)+N(AB244))+AB277),""),"")</f>
        <v>0.910857465757067</v>
      </c>
      <c r="AC341" s="258">
        <f>IFERROR(IF(((N(AC218)+N(AC219)+N(AC220)+N(AC223)+N(AC241)+N(AC244))+N(AC277))&lt;&gt;0,(N(AC218)+N(AC219)+N(AC220)+N(AC223)+N(AC241)+N(AC244))/((N(AC218)+N(AC219)+N(AC220)+N(AC223)+N(AC241)+N(AC244))+AC277),""),"")</f>
        <v>0.912848097823735</v>
      </c>
      <c r="AD341" s="258">
        <f>IFERROR(IF(((N(AD218)+N(AD219)+N(AD220)+N(AD223)+N(AD241)+N(AD244))+N(AD277))&lt;&gt;0,(N(AD218)+N(AD219)+N(AD220)+N(AD223)+N(AD241)+N(AD244))/((N(AD218)+N(AD219)+N(AD220)+N(AD223)+N(AD241)+N(AD244))+AD277),""),"")</f>
        <v>0.904119507225916</v>
      </c>
      <c r="AE341" s="258">
        <f>IFERROR(IF(((N(AE218)+N(AE219)+N(AE220)+N(AE223)+N(AE241)+N(AE244))+N(AE277))&lt;&gt;0,(N(AE218)+N(AE219)+N(AE220)+N(AE223)+N(AE241)+N(AE244))/((N(AE218)+N(AE219)+N(AE220)+N(AE223)+N(AE241)+N(AE244))+AE277),""),"")</f>
        <v>0.904613057958654</v>
      </c>
      <c r="AF341" s="258">
        <f>IFERROR(IF(((N(AF218)+N(AF219)+N(AF220)+N(AF223)+N(AF241)+N(AF244))+N(AF277))&lt;&gt;0,(N(AF218)+N(AF219)+N(AF220)+N(AF223)+N(AF241)+N(AF244))/((N(AF218)+N(AF219)+N(AF220)+N(AF223)+N(AF241)+N(AF244))+AF277),""),"")</f>
        <v>0.887666062514089</v>
      </c>
      <c r="AG341" s="258">
        <f>IFERROR(IF(((N(AG218)+N(AG219)+N(AG220)+N(AG223)+N(AG241)+N(AG244))+N(AG277))&lt;&gt;0,(N(AG218)+N(AG219)+N(AG220)+N(AG223)+N(AG241)+N(AG244))/((N(AG218)+N(AG219)+N(AG220)+N(AG223)+N(AG241)+N(AG244))+AG277),""),"")</f>
        <v>0.887666062514089</v>
      </c>
      <c r="AH341" s="258">
        <f>IFERROR(IF(((N(AH218)+N(AH219)+N(AH220)+N(AH223)+N(AH241)+N(AH244))+N(AH277))&lt;&gt;0,(N(AH218)+N(AH219)+N(AH220)+N(AH223)+N(AH241)+N(AH244))/((N(AH218)+N(AH219)+N(AH220)+N(AH223)+N(AH241)+N(AH244))+AH277),""),"")</f>
        <v>0.893351000345721</v>
      </c>
      <c r="AI341" s="258">
        <f>IFERROR(IF(((N(AI218)+N(AI219)+N(AI220)+N(AI223)+N(AI241)+N(AI244))+N(AI277))&lt;&gt;0,(N(AI218)+N(AI219)+N(AI220)+N(AI223)+N(AI241)+N(AI244))/((N(AI218)+N(AI219)+N(AI220)+N(AI223)+N(AI241)+N(AI244))+AI277),""),"")</f>
        <v>0.855169714689684</v>
      </c>
      <c r="AJ341" s="258">
        <f>IFERROR(IF(((N(AJ218)+N(AJ219)+N(AJ220)+N(AJ223)+N(AJ241)+N(AJ244))+N(AJ277))&lt;&gt;0,(N(AJ218)+N(AJ219)+N(AJ220)+N(AJ223)+N(AJ241)+N(AJ244))/((N(AJ218)+N(AJ219)+N(AJ220)+N(AJ223)+N(AJ241)+N(AJ244))+AJ277),""),"")</f>
        <v>0.839323347429578</v>
      </c>
      <c r="AK341" s="258">
        <f>IFERROR(IF(((N(AK218)+N(AK219)+N(AK220)+N(AK223)+N(AK241)+N(AK244))+N(AK277))&lt;&gt;0,(N(AK218)+N(AK219)+N(AK220)+N(AK223)+N(AK241)+N(AK244))/((N(AK218)+N(AK219)+N(AK220)+N(AK223)+N(AK241)+N(AK244))+AK277),""),"")</f>
        <v>0.824028502216775</v>
      </c>
      <c r="AL341" s="258">
        <f>IFERROR(IF(((N(AL218)+N(AL219)+N(AL220)+N(AL223)+N(AL241)+N(AL244))+N(AL277))&lt;&gt;0,(N(AL218)+N(AL219)+N(AL220)+N(AL223)+N(AL241)+N(AL244))/((N(AL218)+N(AL219)+N(AL220)+N(AL223)+N(AL241)+N(AL244))+AL277),""),"")</f>
        <v>0.824028502216775</v>
      </c>
      <c r="AM341" s="258">
        <f>IFERROR(IF(((N(AM218)+N(AM219)+N(AM220)+N(AM223)+N(AM241)+N(AM244))+N(AM277))&lt;&gt;0,(N(AM218)+N(AM219)+N(AM220)+N(AM223)+N(AM241)+N(AM244))/((N(AM218)+N(AM219)+N(AM220)+N(AM223)+N(AM241)+N(AM244))+AM277),""),"")</f>
        <v>0.809535436863932</v>
      </c>
      <c r="AN341" s="258">
        <f>IFERROR(IF(((N(AN218)+N(AN219)+N(AN220)+N(AN223)+N(AN241)+N(AN244))+N(AN277))&lt;&gt;0,(N(AN218)+N(AN219)+N(AN220)+N(AN223)+N(AN241)+N(AN244))/((N(AN218)+N(AN219)+N(AN220)+N(AN223)+N(AN241)+N(AN244))+AN277),""),"")</f>
        <v>0.795135308355631</v>
      </c>
      <c r="AO341" s="258">
        <f>IFERROR(IF(((N(AO218)+N(AO219)+N(AO220)+N(AO223)+N(AO241)+N(AO244))+N(AO277))&lt;&gt;0,(N(AO218)+N(AO219)+N(AO220)+N(AO223)+N(AO241)+N(AO244))/((N(AO218)+N(AO219)+N(AO220)+N(AO223)+N(AO241)+N(AO244))+AO277),""),"")</f>
        <v>0.780592705639304</v>
      </c>
      <c r="AP341" s="258">
        <f>IFERROR(IF(((N(AP218)+N(AP219)+N(AP220)+N(AP223)+N(AP241)+N(AP244))+N(AP277))&lt;&gt;0,(N(AP218)+N(AP219)+N(AP220)+N(AP223)+N(AP241)+N(AP244))/((N(AP218)+N(AP219)+N(AP220)+N(AP223)+N(AP241)+N(AP244))+AP277),""),"")</f>
        <v>0.766549484188346</v>
      </c>
      <c r="AQ341" s="258">
        <f>IFERROR(IF(((N(AQ218)+N(AQ219)+N(AQ220)+N(AQ223)+N(AQ241)+N(AQ244))+N(AQ277))&lt;&gt;0,(N(AQ218)+N(AQ219)+N(AQ220)+N(AQ223)+N(AQ241)+N(AQ244))/((N(AQ218)+N(AQ219)+N(AQ220)+N(AQ223)+N(AQ241)+N(AQ244))+AQ277),""),"")</f>
        <v>0.766549484188346</v>
      </c>
      <c r="AR341" s="258">
        <f>IFERROR(IF(((N(AR218)+N(AR219)+N(AR220)+N(AR223)+N(AR241)+N(AR244))+N(AR277))&lt;&gt;0,(N(AR218)+N(AR219)+N(AR220)+N(AR223)+N(AR241)+N(AR244))/((N(AR218)+N(AR219)+N(AR220)+N(AR223)+N(AR241)+N(AR244))+AR277),""),"")</f>
        <v>0.753297933394934</v>
      </c>
      <c r="AS341" s="258">
        <f>IFERROR(IF(((N(AS218)+N(AS219)+N(AS220)+N(AS223)+N(AS241)+N(AS244))+N(AS277))&lt;&gt;0,(N(AS218)+N(AS219)+N(AS220)+N(AS223)+N(AS241)+N(AS244))/((N(AS218)+N(AS219)+N(AS220)+N(AS223)+N(AS241)+N(AS244))+AS277),""),"")</f>
        <v>0.7401233190966</v>
      </c>
      <c r="AT341" s="258">
        <f>IFERROR(IF(((N(AT218)+N(AT219)+N(AT220)+N(AT223)+N(AT241)+N(AT244))+N(AT277))&lt;&gt;0,(N(AT218)+N(AT219)+N(AT220)+N(AT223)+N(AT241)+N(AT244))/((N(AT218)+N(AT219)+N(AT220)+N(AT223)+N(AT241)+N(AT244))+AT277),""),"")</f>
        <v>0.726810215714075</v>
      </c>
      <c r="AU341" s="258">
        <f>IFERROR(IF(((N(AU218)+N(AU219)+N(AU220)+N(AU223)+N(AU241)+N(AU244))+N(AU277))&lt;&gt;0,(N(AU218)+N(AU219)+N(AU220)+N(AU223)+N(AU241)+N(AU244))/((N(AU218)+N(AU219)+N(AU220)+N(AU223)+N(AU241)+N(AU244))+AU277),""),"")</f>
        <v>0.713946502921245</v>
      </c>
      <c r="AV341" s="258">
        <f>IFERROR(IF(((N(AV218)+N(AV219)+N(AV220)+N(AV223)+N(AV241)+N(AV244))+N(AV277))&lt;&gt;0,(N(AV218)+N(AV219)+N(AV220)+N(AV223)+N(AV241)+N(AV244))/((N(AV218)+N(AV219)+N(AV220)+N(AV223)+N(AV241)+N(AV244))+AV277),""),"")</f>
        <v>0.713946502921245</v>
      </c>
      <c r="AW341" s="258">
        <f>IFERROR(IF(((N(AW218)+N(AW219)+N(AW220)+N(AW223)+N(AW241)+N(AW244))+N(AW277))&lt;&gt;0,(N(AW218)+N(AW219)+N(AW220)+N(AW223)+N(AW241)+N(AW244))/((N(AW218)+N(AW219)+N(AW220)+N(AW223)+N(AW241)+N(AW244))+AW277),""),"")</f>
        <v>0.701857478463202</v>
      </c>
      <c r="AX341" s="258">
        <f>IFERROR(IF(((N(AX218)+N(AX219)+N(AX220)+N(AX223)+N(AX241)+N(AX244))+N(AX277))&lt;&gt;0,(N(AX218)+N(AX219)+N(AX220)+N(AX223)+N(AX241)+N(AX244))/((N(AX218)+N(AX219)+N(AX220)+N(AX223)+N(AX241)+N(AX244))+AX277),""),"")</f>
        <v>0.689829989461917</v>
      </c>
      <c r="AY341" s="258">
        <f>IFERROR(IF(((N(AY218)+N(AY219)+N(AY220)+N(AY223)+N(AY241)+N(AY244))+N(AY277))&lt;&gt;0,(N(AY218)+N(AY219)+N(AY220)+N(AY223)+N(AY241)+N(AY244))/((N(AY218)+N(AY219)+N(AY220)+N(AY223)+N(AY241)+N(AY244))+AY277),""),"")</f>
        <v>0.677667297360309</v>
      </c>
      <c r="AZ341" s="258">
        <f>IFERROR(IF(((N(AZ218)+N(AZ219)+N(AZ220)+N(AZ223)+N(AZ241)+N(AZ244))+N(AZ277))&lt;&gt;0,(N(AZ218)+N(AZ219)+N(AZ220)+N(AZ223)+N(AZ241)+N(AZ244))/((N(AZ218)+N(AZ219)+N(AZ220)+N(AZ223)+N(AZ241)+N(AZ244))+AZ277),""),"")</f>
        <v>0.665906777367823</v>
      </c>
      <c r="BA341" s="258">
        <f>IFERROR(IF(((N(BA218)+N(BA219)+N(BA220)+N(BA223)+N(BA241)+N(BA244))+N(BA277))&lt;&gt;0,(N(BA218)+N(BA219)+N(BA220)+N(BA223)+N(BA241)+N(BA244))/((N(BA218)+N(BA219)+N(BA220)+N(BA223)+N(BA241)+N(BA244))+BA277),""),"")</f>
        <v>0.665906777367823</v>
      </c>
      <c r="BB341" s="258">
        <f>IFERROR(IF(((N(BB218)+N(BB219)+N(BB220)+N(BB223)+N(BB241)+N(BB244))+N(BB277))&lt;&gt;0,(N(BB218)+N(BB219)+N(BB220)+N(BB223)+N(BB241)+N(BB244))/((N(BB218)+N(BB219)+N(BB220)+N(BB223)+N(BB241)+N(BB244))+BB277),""),"")</f>
        <v>0.654898720486444</v>
      </c>
      <c r="BC341" s="258">
        <f>IFERROR(IF(((N(BC218)+N(BC219)+N(BC220)+N(BC223)+N(BC241)+N(BC244))+N(BC277))&lt;&gt;0,(N(BC218)+N(BC219)+N(BC220)+N(BC223)+N(BC241)+N(BC244))/((N(BC218)+N(BC219)+N(BC220)+N(BC223)+N(BC241)+N(BC244))+BC277),""),"")</f>
        <v>0.643937764407479</v>
      </c>
      <c r="BD341" s="258">
        <f>IFERROR(IF(((N(BD218)+N(BD219)+N(BD220)+N(BD223)+N(BD241)+N(BD244))+N(BD277))&lt;&gt;0,(N(BD218)+N(BD219)+N(BD220)+N(BD223)+N(BD241)+N(BD244))/((N(BD218)+N(BD219)+N(BD220)+N(BD223)+N(BD241)+N(BD244))+BD277),""),"")</f>
        <v>0.63284452286649</v>
      </c>
      <c r="BE341" s="258">
        <f>IFERROR(IF(((N(BE218)+N(BE219)+N(BE220)+N(BE223)+N(BE241)+N(BE244))+N(BE277))&lt;&gt;0,(N(BE218)+N(BE219)+N(BE220)+N(BE223)+N(BE241)+N(BE244))/((N(BE218)+N(BE219)+N(BE220)+N(BE223)+N(BE241)+N(BE244))+BE277),""),"")</f>
        <v>0.622109405697322</v>
      </c>
      <c r="BF341" s="258">
        <f>IFERROR(IF(((N(BF218)+N(BF219)+N(BF220)+N(BF223)+N(BF241)+N(BF244))+N(BF277))&lt;&gt;0,(N(BF218)+N(BF219)+N(BF220)+N(BF223)+N(BF241)+N(BF244))/((N(BF218)+N(BF219)+N(BF220)+N(BF223)+N(BF241)+N(BF244))+BF277),""),"")</f>
        <v>0.622109405697322</v>
      </c>
      <c r="BG341" s="80" t="n"/>
      <c r="BH341" s="80" t="n"/>
      <c r="BI341" s="80" t="n"/>
      <c r="BJ341" s="80" t="n"/>
      <c r="BL341" s="80" t="n"/>
      <c r="BM341" s="80" t="n"/>
      <c r="BN341" s="80" t="n"/>
      <c r="BO341" s="80" t="n"/>
      <c r="BQ341" s="80" t="n"/>
      <c r="BR341" s="80" t="n"/>
      <c r="BS341" s="80" t="n"/>
      <c r="BT341" s="80" t="n"/>
      <c r="BV341" s="80" t="n"/>
      <c r="BW341" s="80" t="n"/>
      <c r="BX341" s="80" t="n"/>
      <c r="BY341" s="80" t="n"/>
      <c r="CA341" s="80" t="n"/>
      <c r="CB341" s="80" t="n"/>
      <c r="CC341" s="80" t="n"/>
      <c r="CD341" s="80" t="n"/>
      <c r="CF341" s="80" t="n"/>
      <c r="CG341" s="80" t="n"/>
      <c r="CH341" s="80" t="n"/>
      <c r="CI341" s="80" t="n"/>
      <c r="CK341" s="80" t="n"/>
      <c r="CL341" s="80" t="n"/>
      <c r="CM341" s="80" t="n"/>
      <c r="CN341" s="80" t="n"/>
      <c r="CP341" s="80" t="n"/>
      <c r="CQ341" s="80" t="n"/>
      <c r="CR341" s="80" t="n"/>
      <c r="CS341" s="80" t="n"/>
      <c r="CU341" s="80" t="n"/>
      <c r="CV341" s="80" t="n"/>
      <c r="CW341" s="80" t="n"/>
      <c r="CX341" s="80" t="n"/>
    </row>
    <row r="342" customFormat="1" s="77">
      <c r="A342" s="76" t="n"/>
      <c r="B342" s="76" t="n"/>
      <c r="C342" s="77" t="inlineStr">
        <is>
          <t>NET DEBT / EBITDA (LTM)</t>
        </is>
      </c>
      <c r="D342" s="82" t="str">
        <f>IFERROR(SUM((D218+D219+D220+D223+D241)-D150)/(D75*4),"")</f>
        <v/>
      </c>
      <c r="E342" s="82" t="str">
        <f>IFERROR(SUM((E218+E219+E220+E223+E241)-E150)/(E75*4),"")</f>
        <v/>
      </c>
      <c r="F342" s="82" t="str">
        <f>IFERROR(SUM((F218+F219+F220+F223+F241)-F150)/(F75*4),"")</f>
        <v/>
      </c>
      <c r="G342" s="82" t="str">
        <f>IFERROR(SUM((G218+G219+G220+G223+G241)-G150)/(G75*4),"")</f>
        <v/>
      </c>
      <c r="H342" s="262" t="str">
        <f>IFERROR(IF(AND(COUNT(H75)=1,(H75)&lt;&gt;0),((N(H218)+N(H219)+N(H220)+N(H223)+N(H241)+N(H244))-N(H150))/(H75),""),"")</f>
        <v/>
      </c>
      <c r="I342" s="262" t="str">
        <f>""</f>
        <v/>
      </c>
      <c r="J342" s="262" t="str">
        <f>""</f>
        <v/>
      </c>
      <c r="K342" s="262" t="str">
        <f>""</f>
        <v/>
      </c>
      <c r="L342" s="262">
        <f>IFERROR(IF(AND(COUNT(I75,J75,K75,L75)=4,(I75+J75+K75+L75)&lt;&gt;0),((N(L218)+N(L219)+N(L220)+N(L223)+N(L241)+N(L244))-N(L150))/(I75+J75+K75+L75),""),"")</f>
        <v>3.75113887123448</v>
      </c>
      <c r="M342" s="262">
        <f>IFERROR(IF(AND(COUNT(I75,J75,K75,L75)=4,(I75+J75+K75+L75)&lt;&gt;0),((N(M218)+N(M219)+N(M220)+N(M223)+N(M241)+N(M244))-N(M150))/(I75+J75+K75+L75),""),"")</f>
        <v>3.75113887123448</v>
      </c>
      <c r="N342" s="262">
        <f>IFERROR(IF(AND(COUNT(J75,K75,L75,N75)=4,(J75+K75+L75+N75)&lt;&gt;0),((N(N218)+N(N219)+N(N220)+N(N223)+N(N241)+N(N244))-N(N150))/(J75+K75+L75+N75),""),"")</f>
        <v>3.63533009550992</v>
      </c>
      <c r="O342" s="262">
        <f>IFERROR(IF(AND(COUNT(K75,L75,N75,O75)=4,(K75+L75+N75+O75)&lt;&gt;0),((N(O218)+N(O219)+N(O220)+N(O223)+N(O241)+N(O244))-N(O150))/(K75+L75+N75+O75),""),"")</f>
        <v>3.86121220427206</v>
      </c>
      <c r="P342" s="262">
        <f>IFERROR(IF(AND(COUNT(L75,N75,O75,P75)=4,(L75+N75+O75+P75)&lt;&gt;0),((N(P218)+N(P219)+N(P220)+N(P223)+N(P241)+N(P244))-N(P150))/(L75+N75+O75+P75),""),"")</f>
        <v>3.92457967799455</v>
      </c>
      <c r="Q342" s="262">
        <f>IFERROR(IF(AND(COUNT(N75,O75,P75,Q75)=4,(N75+O75+P75+Q75)&lt;&gt;0),((N(Q218)+N(Q219)+N(Q220)+N(Q223)+N(Q241)+N(Q244))-N(Q150))/(N75+O75+P75+Q75),""),"")</f>
        <v>3.8548013110829</v>
      </c>
      <c r="R342" s="262">
        <f>IFERROR(IF(AND(COUNT(N75,O75,P75,Q75)=4,(N75+O75+P75+Q75)&lt;&gt;0),((N(R218)+N(R219)+N(R220)+N(R223)+N(R241)+N(R244))-N(R150))/(N75+O75+P75+Q75),""),"")</f>
        <v>3.8548013110829</v>
      </c>
      <c r="S342" s="262">
        <f>IFERROR(IF(AND(COUNT(O75,P75,Q75,S75)=4,(O75+P75+Q75+S75)&lt;&gt;0),((N(S218)+N(S219)+N(S220)+N(S223)+N(S241)+N(S244))-N(S150))/(O75+P75+Q75+S75),""),"")</f>
        <v>3.99095452632417</v>
      </c>
      <c r="T342" s="262">
        <f>IFERROR(IF(AND(COUNT(P75,Q75,S75,T75)=4,(P75+Q75+S75+T75)&lt;&gt;0),((N(T218)+N(T219)+N(T220)+N(T223)+N(T241)+N(T244))-N(T150))/(P75+Q75+S75+T75),""),"")</f>
        <v>4.09299210651547</v>
      </c>
      <c r="U342" s="262">
        <f>IFERROR(IF(AND(COUNT(Q75,S75,T75,U75)=4,(Q75+S75+T75+U75)&lt;&gt;0),((N(U218)+N(U219)+N(U220)+N(U223)+N(U241)+N(U244))-N(U150))/(Q75+S75+T75+U75),""),"")</f>
        <v>4.06068567637979</v>
      </c>
      <c r="V342" s="262">
        <f>IFERROR(IF(AND(COUNT(S75,T75,U75,V75)=4,(S75+T75+U75+V75)&lt;&gt;0),((N(V218)+N(V219)+N(V220)+N(V223)+N(V241)+N(V244))-N(V150))/(S75+T75+U75+V75),""),"")</f>
        <v>4.30361266323813</v>
      </c>
      <c r="W342" s="262">
        <f>IFERROR(IF(AND(COUNT(S75,T75,U75,V75)=4,(S75+T75+U75+V75)&lt;&gt;0),((N(W218)+N(W219)+N(W220)+N(W223)+N(W241)+N(W244))-N(W150))/(S75+T75+U75+V75),""),"")</f>
        <v>4.30361266323813</v>
      </c>
      <c r="X342" s="262">
        <f>IFERROR(IF(AND(COUNT(T75,U75,V75,X75)=4,(T75+U75+V75+X75)&lt;&gt;0),((N(X218)+N(X219)+N(X220)+N(X223)+N(X241)+N(X244))-N(X150))/(T75+U75+V75+X75),""),"")</f>
        <v>4.27758017923402</v>
      </c>
      <c r="Y342" s="262">
        <f>IFERROR(IF(AND(COUNT(U75,V75,X75,Y75)=4,(U75+V75+X75+Y75)&lt;&gt;0),((N(Y218)+N(Y219)+N(Y220)+N(Y223)+N(Y241)+N(Y244))-N(Y150))/(U75+V75+X75+Y75),""),"")</f>
        <v>4.49504696506277</v>
      </c>
      <c r="Z342" s="262">
        <f>IFERROR(IF(AND(COUNT(V75,X75,Y75,Z75)=4,(V75+X75+Y75+Z75)&lt;&gt;0),((N(Z218)+N(Z219)+N(Z220)+N(Z223)+N(Z241)+N(Z244))-N(Z150))/(V75+X75+Y75+Z75),""),"")</f>
        <v>4.36064633720713</v>
      </c>
      <c r="AA342" s="262">
        <f>IFERROR(IF(AND(COUNT(X75,Y75,Z75,AA75)=4,(X75+Y75+Z75+AA75)&lt;&gt;0),((N(AA218)+N(AA219)+N(AA220)+N(AA223)+N(AA241)+N(AA244))-N(AA150))/(X75+Y75+Z75+AA75),""),"")</f>
        <v>4.2344936833336</v>
      </c>
      <c r="AB342" s="262">
        <f>IFERROR(IF(AND(COUNT(X75,Y75,Z75,AA75)=4,(X75+Y75+Z75+AA75)&lt;&gt;0),((N(AB218)+N(AB219)+N(AB220)+N(AB223)+N(AB241)+N(AB244))-N(AB150))/(X75+Y75+Z75+AA75),""),"")</f>
        <v>4.2344936833336</v>
      </c>
      <c r="AC342" s="262">
        <f>IFERROR(IF(AND(COUNT(Y75,Z75,AA75,AC75)=4,(Y75+Z75+AA75+AC75)&lt;&gt;0),((N(AC218)+N(AC219)+N(AC220)+N(AC223)+N(AC241)+N(AC244))-N(AC150))/(Y75+Z75+AA75+AC75),""),"")</f>
        <v>4.08380061295403</v>
      </c>
      <c r="AD342" s="262">
        <f>IFERROR(IF(AND(COUNT(Z75,AA75,AC75,AD75)=4,(Z75+AA75+AC75+AD75)&lt;&gt;0),((N(AD218)+N(AD219)+N(AD220)+N(AD223)+N(AD241)+N(AD244))-N(AD150))/(Z75+AA75+AC75+AD75),""),"")</f>
        <v>3.98471083845221</v>
      </c>
      <c r="AE342" s="262">
        <f>IFERROR(IF(AND(COUNT(AA75,AC75,AD75,AE75)=4,(AA75+AC75+AD75+AE75)&lt;&gt;0),((N(AE218)+N(AE219)+N(AE220)+N(AE223)+N(AE241)+N(AE244))-N(AE150))/(AA75+AC75+AD75+AE75),""),"")</f>
        <v>3.78824017247043</v>
      </c>
      <c r="AF342" s="262">
        <f>IFERROR(IF(AND(COUNT(AB75,AD75,AE75,AF75)=4,(AB75+AD75+AE75+AF75)&lt;&gt;0),((N(AF218)+N(AF219)+N(AF220)+N(AF223)+N(AF241)+N(AF244))-N(AF150))/(AB75+AD75+AE75+AF75),""),"")</f>
        <v>2.00618763498001</v>
      </c>
      <c r="AG342" s="262">
        <f>IFERROR(IF(AND(COUNT(AC75,AD75,AE75,AF75)=4,(AC75+AD75+AE75+AF75)&lt;&gt;0),((N(AG218)+N(AG219)+N(AG220)+N(AG223)+N(AG241)+N(AG244))-N(AG150))/(AC75+AD75+AE75+AF75),""),"")</f>
        <v>3.18648616811715</v>
      </c>
      <c r="AH342" s="262">
        <f>IFERROR(IF(AND(COUNT(AD75,AF75,AG75,AH75)=4,(AD75+AF75+AG75+AH75)&lt;&gt;0),((N(AH218)+N(AH219)+N(AH220)+N(AH223)+N(AH241)+N(AH244))-N(AH150))/(AD75+AF75+AG75+AH75),""),"")</f>
        <v>1.79621060106351</v>
      </c>
      <c r="AI342" s="262">
        <f>IFERROR(IF(AND(COUNT(AE75,AG75,AH75,AI75)=4,(AE75+AG75+AH75+AI75)&lt;&gt;0),((N(AI218)+N(AI219)+N(AI220)+N(AI223)+N(AI241)+N(AI244))-N(AI150))/(AE75+AG75+AH75+AI75),""),"")</f>
        <v>1.81510563022321</v>
      </c>
      <c r="AJ342" s="262">
        <f>IFERROR(IF(AND(COUNT(AF75,AH75,AI75,AJ75)=4,(AF75+AH75+AI75+AJ75)&lt;&gt;0),((N(AJ218)+N(AJ219)+N(AJ220)+N(AJ223)+N(AJ241)+N(AJ244))-N(AJ150))/(AF75+AH75+AI75+AJ75),""),"")</f>
        <v>2.84108357183231</v>
      </c>
      <c r="AK342" s="262">
        <f>IFERROR(IF(AND(COUNT(AH75,AI75,AJ75,AK75)=4,(AH75+AI75+AJ75+AK75)&lt;&gt;0),((N(AK218)+N(AK219)+N(AK220)+N(AK223)+N(AK241)+N(AK244))-N(AK150))/(AH75+AI75+AJ75+AK75),""),"")</f>
        <v>2.90048292364269</v>
      </c>
      <c r="AL342" s="262">
        <f>IFERROR(IF(AND(COUNT(AH75,AI75,AJ75,AK75)=4,(AH75+AI75+AJ75+AK75)&lt;&gt;0),((N(AL218)+N(AL219)+N(AL220)+N(AL223)+N(AL241)+N(AL244))-N(AL150))/(AH75+AI75+AJ75+AK75),""),"")</f>
        <v>2.90048292364269</v>
      </c>
      <c r="AM342" s="262">
        <f>IFERROR(IF(AND(COUNT(AI75,AJ75,AK75,AM75)=4,(AI75+AJ75+AK75+AM75)&lt;&gt;0),((N(AM218)+N(AM219)+N(AM220)+N(AM223)+N(AM241)+N(AM244))-N(AM150))/(AI75+AJ75+AK75+AM75),""),"")</f>
        <v>2.75106142679051</v>
      </c>
      <c r="AN342" s="262">
        <f>IFERROR(IF(AND(COUNT(AJ75,AK75,AM75,AN75)=4,(AJ75+AK75+AM75+AN75)&lt;&gt;0),((N(AN218)+N(AN219)+N(AN220)+N(AN223)+N(AN241)+N(AN244))-N(AN150))/(AJ75+AK75+AM75+AN75),""),"")</f>
        <v>2.65603424232393</v>
      </c>
      <c r="AO342" s="262">
        <f>IFERROR(IF(AND(COUNT(AK75,AM75,AN75,AO75)=4,(AK75+AM75+AN75+AO75)&lt;&gt;0),((N(AO218)+N(AO219)+N(AO220)+N(AO223)+N(AO241)+N(AO244))-N(AO150))/(AK75+AM75+AN75+AO75),""),"")</f>
        <v>2.55165258217492</v>
      </c>
      <c r="AP342" s="262">
        <f>IFERROR(IF(AND(COUNT(AM75,AN75,AO75,AP75)=4,(AM75+AN75+AO75+AP75)&lt;&gt;0),((N(AP218)+N(AP219)+N(AP220)+N(AP223)+N(AP241)+N(AP244))-N(AP150))/(AM75+AN75+AO75+AP75),""),"")</f>
        <v>2.44148677620448</v>
      </c>
      <c r="AQ342" s="262">
        <f>IFERROR(IF(AND(COUNT(AM75,AN75,AO75,AP75)=4,(AM75+AN75+AO75+AP75)&lt;&gt;0),((N(AQ218)+N(AQ219)+N(AQ220)+N(AQ223)+N(AQ241)+N(AQ244))-N(AQ150))/(AM75+AN75+AO75+AP75),""),"")</f>
        <v>2.44148677620448</v>
      </c>
      <c r="AR342" s="262">
        <f>IFERROR(IF(AND(COUNT(AN75,AO75,AP75,AR75)=4,(AN75+AO75+AP75+AR75)&lt;&gt;0),((N(AR218)+N(AR219)+N(AR220)+N(AR223)+N(AR241)+N(AR244))-N(AR150))/(AN75+AO75+AP75+AR75),""),"")</f>
        <v>2.33635008264096</v>
      </c>
      <c r="AS342" s="262">
        <f>IFERROR(IF(AND(COUNT(AO75,AP75,AR75,AS75)=4,(AO75+AP75+AR75+AS75)&lt;&gt;0),((N(AS218)+N(AS219)+N(AS220)+N(AS223)+N(AS241)+N(AS244))-N(AS150))/(AO75+AP75+AR75+AS75),""),"")</f>
        <v>2.24053306075635</v>
      </c>
      <c r="AT342" s="262">
        <f>IFERROR(IF(AND(COUNT(AP75,AR75,AS75,AT75)=4,(AP75+AR75+AS75+AT75)&lt;&gt;0),((N(AT218)+N(AT219)+N(AT220)+N(AT223)+N(AT241)+N(AT244))-N(AT150))/(AP75+AR75+AS75+AT75),""),"")</f>
        <v>2.14419543620942</v>
      </c>
      <c r="AU342" s="262">
        <f>IFERROR(IF(AND(COUNT(AR75,AS75,AT75,AU75)=4,(AR75+AS75+AT75+AU75)&lt;&gt;0),((N(AU218)+N(AU219)+N(AU220)+N(AU223)+N(AU241)+N(AU244))-N(AU150))/(AR75+AS75+AT75+AU75),""),"")</f>
        <v>2.0416249239932</v>
      </c>
      <c r="AV342" s="262">
        <f>IFERROR(IF(AND(COUNT(AR75,AS75,AT75,AU75)=4,(AR75+AS75+AT75+AU75)&lt;&gt;0),((N(AV218)+N(AV219)+N(AV220)+N(AV223)+N(AV241)+N(AV244))-N(AV150))/(AR75+AS75+AT75+AU75),""),"")</f>
        <v>2.0416249239932</v>
      </c>
      <c r="AW342" s="262">
        <f>IFERROR(IF(AND(COUNT(AS75,AT75,AU75,AW75)=4,(AS75+AT75+AU75+AW75)&lt;&gt;0),((N(AW218)+N(AW219)+N(AW220)+N(AW223)+N(AW241)+N(AW244))-N(AW150))/(AS75+AT75+AU75+AW75),""),"")</f>
        <v>1.94511744480789</v>
      </c>
      <c r="AX342" s="262">
        <f>IFERROR(IF(AND(COUNT(AT75,AU75,AW75,AX75)=4,(AT75+AU75+AW75+AX75)&lt;&gt;0),((N(AX218)+N(AX219)+N(AX220)+N(AX223)+N(AX241)+N(AX244))-N(AX150))/(AT75+AU75+AW75+AX75),""),"")</f>
        <v>1.85358057319743</v>
      </c>
      <c r="AY342" s="262">
        <f>IFERROR(IF(AND(COUNT(AU75,AW75,AX75,AY75)=4,(AU75+AW75+AX75+AY75)&lt;&gt;0),((N(AY218)+N(AY219)+N(AY220)+N(AY223)+N(AY241)+N(AY244))-N(AY150))/(AU75+AW75+AX75+AY75),""),"")</f>
        <v>1.76413939511927</v>
      </c>
      <c r="AZ342" s="262">
        <f>IFERROR(IF(AND(COUNT(AW75,AX75,AY75,AZ75)=4,(AW75+AX75+AY75+AZ75)&lt;&gt;0),((N(AZ218)+N(AZ219)+N(AZ220)+N(AZ223)+N(AZ241)+N(AZ244))-N(AZ150))/(AW75+AX75+AY75+AZ75),""),"")</f>
        <v>1.66809684409621</v>
      </c>
      <c r="BA342" s="262">
        <f>IFERROR(IF(AND(COUNT(AW75,AX75,AY75,AZ75)=4,(AW75+AX75+AY75+AZ75)&lt;&gt;0),((N(BA218)+N(BA219)+N(BA220)+N(BA223)+N(BA241)+N(BA244))-N(BA150))/(AW75+AX75+AY75+AZ75),""),"")</f>
        <v>1.66809684409621</v>
      </c>
      <c r="BB342" s="262">
        <f>IFERROR(IF(AND(COUNT(AX75,AY75,AZ75,BB75)=4,(AX75+AY75+AZ75+BB75)&lt;&gt;0),((N(BB218)+N(BB219)+N(BB220)+N(BB223)+N(BB241)+N(BB244))-N(BB150))/(AX75+AY75+AZ75+BB75),""),"")</f>
        <v>1.57656153463446</v>
      </c>
      <c r="BC342" s="262">
        <f>IFERROR(IF(AND(COUNT(AY75,AZ75,BB75,BC75)=4,(AY75+AZ75+BB75+BC75)&lt;&gt;0),((N(BC218)+N(BC219)+N(BC220)+N(BC223)+N(BC241)+N(BC244))-N(BC150))/(AY75+AZ75+BB75+BC75),""),"")</f>
        <v>1.49101133084108</v>
      </c>
      <c r="BD342" s="262">
        <f>IFERROR(IF(AND(COUNT(AZ75,BB75,BC75,BD75)=4,(AZ75+BB75+BC75+BD75)&lt;&gt;0),((N(BD218)+N(BD219)+N(BD220)+N(BD223)+N(BD241)+N(BD244))-N(BD150))/(AZ75+BB75+BC75+BD75),""),"")</f>
        <v>1.40752693144969</v>
      </c>
      <c r="BE342" s="262">
        <f>IFERROR(IF(AND(COUNT(BB75,BC75,BD75,BE75)=4,(BB75+BC75+BD75+BE75)&lt;&gt;0),((N(BE218)+N(BE219)+N(BE220)+N(BE223)+N(BE241)+N(BE244))-N(BE150))/(BB75+BC75+BD75+BE75),""),"")</f>
        <v>1.31714130372058</v>
      </c>
      <c r="BF342" s="262">
        <f>IFERROR(IF(AND(COUNT(BB75,BC75,BD75,BE75)=4,(BB75+BC75+BD75+BE75)&lt;&gt;0),((N(BF218)+N(BF219)+N(BF220)+N(BF223)+N(BF241)+N(BF244))-N(BF150))/(BB75+BC75+BD75+BE75),""),"")</f>
        <v>1.31714130372058</v>
      </c>
      <c r="BG342" s="82" t="n"/>
      <c r="BH342" s="82" t="n"/>
      <c r="BI342" s="82" t="n"/>
      <c r="BJ342" s="82" t="n"/>
      <c r="BL342" s="82" t="n"/>
      <c r="BM342" s="82" t="n"/>
      <c r="BN342" s="82" t="n"/>
      <c r="BO342" s="82" t="n"/>
      <c r="BQ342" s="82" t="n"/>
      <c r="BR342" s="82" t="n"/>
      <c r="BS342" s="82" t="n"/>
      <c r="BT342" s="82" t="n"/>
      <c r="BV342" s="82" t="n"/>
      <c r="BW342" s="82" t="n"/>
      <c r="BX342" s="82" t="n"/>
      <c r="BY342" s="82" t="n"/>
      <c r="CA342" s="82" t="n"/>
      <c r="CB342" s="82" t="n"/>
      <c r="CC342" s="82" t="n"/>
      <c r="CD342" s="82" t="n"/>
      <c r="CF342" s="82" t="n"/>
      <c r="CG342" s="82" t="n"/>
      <c r="CH342" s="82" t="n"/>
      <c r="CI342" s="82" t="n"/>
      <c r="CK342" s="82" t="n"/>
      <c r="CL342" s="82" t="n"/>
      <c r="CM342" s="82" t="n"/>
      <c r="CN342" s="82" t="n"/>
      <c r="CP342" s="82" t="n"/>
      <c r="CQ342" s="82" t="n"/>
      <c r="CR342" s="82" t="n"/>
      <c r="CS342" s="82" t="n"/>
      <c r="CU342" s="82" t="n"/>
      <c r="CV342" s="82" t="n"/>
      <c r="CW342" s="82" t="n"/>
      <c r="CX342" s="82" t="n"/>
    </row>
    <row r="343" customFormat="1" s="77">
      <c r="A343" s="76" t="n"/>
      <c r="B343" s="76" t="n"/>
      <c r="C343" s="83" t="inlineStr">
        <is>
          <t>NET DEBT (EX IFRS 16.) / EBITDA (LTM)</t>
        </is>
      </c>
      <c r="D343" s="82" t="str">
        <f>IFERROR(SUM((D218+D219+D223)-D150)/(D75*4),"")</f>
        <v/>
      </c>
      <c r="E343" s="82" t="str">
        <f>IFERROR(SUM((E218+E219+E223)-E150)/(E75*4),"")</f>
        <v/>
      </c>
      <c r="F343" s="82" t="str">
        <f>IFERROR(SUM((F218+F219+F223)-F150)/(F75*4),"")</f>
        <v/>
      </c>
      <c r="G343" s="82" t="str">
        <f>IFERROR(SUM((G218+G219+G223)-G150)/(G75*4),"")</f>
        <v/>
      </c>
      <c r="H343" s="262" t="str">
        <f>IFERROR(IF(AND(COUNT(H75)=1,(H75)&lt;&gt;0),((N(H218)+N(H219)+N(H223)+N(H244))-N(H150))/(H75),""),"")</f>
        <v/>
      </c>
      <c r="I343" s="262" t="str">
        <f>""</f>
        <v/>
      </c>
      <c r="J343" s="262" t="str">
        <f>""</f>
        <v/>
      </c>
      <c r="K343" s="262" t="str">
        <f>""</f>
        <v/>
      </c>
      <c r="L343" s="262">
        <f>IFERROR(IF(AND(COUNT(I75,J75,K75,L75)=4,(I75+J75+K75+L75)&lt;&gt;0),((N(L218)+N(L219)+N(L223)+N(L244))-N(L150))/(I75+J75+K75+L75),""),"")</f>
        <v>3.54640178730963</v>
      </c>
      <c r="M343" s="262">
        <f>IFERROR(IF(AND(COUNT(I75,J75,K75,L75)=4,(I75+J75+K75+L75)&lt;&gt;0),((N(M218)+N(M219)+N(M223)+N(M244))-N(M150))/(I75+J75+K75+L75),""),"")</f>
        <v>3.54640178730963</v>
      </c>
      <c r="N343" s="262">
        <f>IFERROR(IF(AND(COUNT(J75,K75,L75,N75)=4,(J75+K75+L75+N75)&lt;&gt;0),((N(N218)+N(N219)+N(N223)+N(N244))-N(N150))/(J75+K75+L75+N75),""),"")</f>
        <v>3.45314114205826</v>
      </c>
      <c r="O343" s="262">
        <f>IFERROR(IF(AND(COUNT(K75,L75,N75,O75)=4,(K75+L75+N75+O75)&lt;&gt;0),((N(O218)+N(O219)+N(O223)+N(O244))-N(O150))/(K75+L75+N75+O75),""),"")</f>
        <v>3.69101700883763</v>
      </c>
      <c r="P343" s="262">
        <f>IFERROR(IF(AND(COUNT(L75,N75,O75,P75)=4,(L75+N75+O75+P75)&lt;&gt;0),((N(P218)+N(P219)+N(P223)+N(P244))-N(P150))/(L75+N75+O75+P75),""),"")</f>
        <v>3.73690109485545</v>
      </c>
      <c r="Q343" s="262">
        <f>IFERROR(IF(AND(COUNT(N75,O75,P75,Q75)=4,(N75+O75+P75+Q75)&lt;&gt;0),((N(Q218)+N(Q219)+N(Q223)+N(Q244))-N(Q150))/(N75+O75+P75+Q75),""),"")</f>
        <v>3.61333861857107</v>
      </c>
      <c r="R343" s="262">
        <f>IFERROR(IF(AND(COUNT(N75,O75,P75,Q75)=4,(N75+O75+P75+Q75)&lt;&gt;0),((N(R218)+N(R219)+N(R223)+N(R244))-N(R150))/(N75+O75+P75+Q75),""),"")</f>
        <v>3.61333861857107</v>
      </c>
      <c r="S343" s="262">
        <f>IFERROR(IF(AND(COUNT(O75,P75,Q75,S75)=4,(O75+P75+Q75+S75)&lt;&gt;0),((N(S218)+N(S219)+N(S223)+N(S244))-N(S150))/(O75+P75+Q75+S75),""),"")</f>
        <v>3.75609518807854</v>
      </c>
      <c r="T343" s="262">
        <f>IFERROR(IF(AND(COUNT(P75,Q75,S75,T75)=4,(P75+Q75+S75+T75)&lt;&gt;0),((N(T218)+N(T219)+N(T223)+N(T244))-N(T150))/(P75+Q75+S75+T75),""),"")</f>
        <v>3.87858454012857</v>
      </c>
      <c r="U343" s="262">
        <f>IFERROR(IF(AND(COUNT(Q75,S75,T75,U75)=4,(Q75+S75+T75+U75)&lt;&gt;0),((N(U218)+N(U219)+N(U223)+N(U244))-N(U150))/(Q75+S75+T75+U75),""),"")</f>
        <v>3.84375574672317</v>
      </c>
      <c r="V343" s="262">
        <f>IFERROR(IF(AND(COUNT(S75,T75,U75,V75)=4,(S75+T75+U75+V75)&lt;&gt;0),((N(V218)+N(V219)+N(V223)+N(V244))-N(V150))/(S75+T75+U75+V75),""),"")</f>
        <v>4.0696174111362</v>
      </c>
      <c r="W343" s="262">
        <f>IFERROR(IF(AND(COUNT(S75,T75,U75,V75)=4,(S75+T75+U75+V75)&lt;&gt;0),((N(W218)+N(W219)+N(W223)+N(W244))-N(W150))/(S75+T75+U75+V75),""),"")</f>
        <v>4.0696174111362</v>
      </c>
      <c r="X343" s="262">
        <f>IFERROR(IF(AND(COUNT(T75,U75,V75,X75)=4,(T75+U75+V75+X75)&lt;&gt;0),((N(X218)+N(X219)+N(X223)+N(X244))-N(X150))/(T75+U75+V75+X75),""),"")</f>
        <v>4.04999661708725</v>
      </c>
      <c r="Y343" s="262">
        <f>IFERROR(IF(AND(COUNT(U75,V75,X75,Y75)=4,(U75+V75+X75+Y75)&lt;&gt;0),((N(Y218)+N(Y219)+N(Y223)+N(Y244))-N(Y150))/(U75+V75+X75+Y75),""),"")</f>
        <v>4.26164214142586</v>
      </c>
      <c r="Z343" s="262">
        <f>IFERROR(IF(AND(COUNT(V75,X75,Y75,Z75)=4,(V75+X75+Y75+Z75)&lt;&gt;0),((N(Z218)+N(Z219)+N(Z223)+N(Z244))-N(Z150))/(V75+X75+Y75+Z75),""),"")</f>
        <v>4.13627407964732</v>
      </c>
      <c r="AA343" s="262">
        <f>IFERROR(IF(AND(COUNT(X75,Y75,Z75,AA75)=4,(X75+Y75+Z75+AA75)&lt;&gt;0),((N(AA218)+N(AA219)+N(AA223)+N(AA244))-N(AA150))/(X75+Y75+Z75+AA75),""),"")</f>
        <v>4.02910078584812</v>
      </c>
      <c r="AB343" s="262">
        <f>IFERROR(IF(AND(COUNT(X75,Y75,Z75,AA75)=4,(X75+Y75+Z75+AA75)&lt;&gt;0),((N(AB218)+N(AB219)+N(AB223)+N(AB244))-N(AB150))/(X75+Y75+Z75+AA75),""),"")</f>
        <v>4.02910078584812</v>
      </c>
      <c r="AC343" s="262">
        <f>IFERROR(IF(AND(COUNT(Y75,Z75,AA75,AC75)=4,(Y75+Z75+AA75+AC75)&lt;&gt;0),((N(AC218)+N(AC219)+N(AC223)+N(AC244))-N(AC150))/(Y75+Z75+AA75+AC75),""),"")</f>
        <v>3.92146379590376</v>
      </c>
      <c r="AD343" s="262">
        <f>IFERROR(IF(AND(COUNT(Z75,AA75,AC75,AD75)=4,(Z75+AA75+AC75+AD75)&lt;&gt;0),((N(AD218)+N(AD219)+N(AD223)+N(AD244))-N(AD150))/(Z75+AA75+AC75+AD75),""),"")</f>
        <v>3.81952603209731</v>
      </c>
      <c r="AE343" s="262">
        <f>IFERROR(IF(AND(COUNT(AA75,AC75,AD75,AE75)=4,(AA75+AC75+AD75+AE75)&lt;&gt;0),((N(AE218)+N(AE219)+N(AE223)+N(AE244))-N(AE150))/(AA75+AC75+AD75+AE75),""),"")</f>
        <v>3.62952965181433</v>
      </c>
      <c r="AF343" s="262">
        <f>IFERROR(IF(AND(COUNT(AB75,AD75,AE75,AF75)=4,(AB75+AD75+AE75+AF75)&lt;&gt;0),((N(AF218)+N(AF219)+N(AF223)+N(AF244))-N(AF150))/(AB75+AD75+AE75+AF75),""),"")</f>
        <v>1.91908873191256</v>
      </c>
      <c r="AG343" s="262">
        <f>IFERROR(IF(AND(COUNT(AC75,AD75,AE75,AF75)=4,(AC75+AD75+AE75+AF75)&lt;&gt;0),((N(AG218)+N(AG219)+N(AG223)+N(AG244))-N(AG150))/(AC75+AD75+AE75+AF75),""),"")</f>
        <v>3.04814444721158</v>
      </c>
      <c r="AH343" s="262">
        <f>IFERROR(IF(AND(COUNT(AD75,AF75,AG75,AH75)=4,(AD75+AF75+AG75+AH75)&lt;&gt;0),((N(AH218)+N(AH219)+N(AH223)+N(AH244))-N(AH150))/(AD75+AF75+AG75+AH75),""),"")</f>
        <v>1.71939555849469</v>
      </c>
      <c r="AI343" s="262">
        <f>IFERROR(IF(AND(COUNT(AE75,AG75,AH75,AI75)=4,(AE75+AG75+AH75+AI75)&lt;&gt;0),((N(AI218)+N(AI219)+N(AI223)+N(AI244))-N(AI150))/(AE75+AG75+AH75+AI75),""),"")</f>
        <v>1.72994741653129</v>
      </c>
      <c r="AJ343" s="262">
        <f>IFERROR(IF(AND(COUNT(AF75,AH75,AI75,AJ75)=4,(AF75+AH75+AI75+AJ75)&lt;&gt;0),((N(AJ218)+N(AJ219)+N(AJ223)+N(AJ244))-N(AJ150))/(AF75+AH75+AI75+AJ75),""),"")</f>
        <v>2.70630770477268</v>
      </c>
      <c r="AK343" s="262">
        <f>IFERROR(IF(AND(COUNT(AH75,AI75,AJ75,AK75)=4,(AH75+AI75+AJ75+AK75)&lt;&gt;0),((N(AK218)+N(AK219)+N(AK223)+N(AK244))-N(AK150))/(AH75+AI75+AJ75+AK75),""),"")</f>
        <v>2.75951617392608</v>
      </c>
      <c r="AL343" s="262">
        <f>IFERROR(IF(AND(COUNT(AH75,AI75,AJ75,AK75)=4,(AH75+AI75+AJ75+AK75)&lt;&gt;0),((N(AL218)+N(AL219)+N(AL223)+N(AL244))-N(AL150))/(AH75+AI75+AJ75+AK75),""),"")</f>
        <v>2.75951617392608</v>
      </c>
      <c r="AM343" s="262">
        <f>IFERROR(IF(AND(COUNT(AI75,AJ75,AK75,AM75)=4,(AI75+AJ75+AK75+AM75)&lt;&gt;0),((N(AM218)+N(AM219)+N(AM223)+N(AM244))-N(AM150))/(AI75+AJ75+AK75+AM75),""),"")</f>
        <v>2.61405413191695</v>
      </c>
      <c r="AN343" s="262">
        <f>IFERROR(IF(AND(COUNT(AJ75,AK75,AM75,AN75)=4,(AJ75+AK75+AM75+AN75)&lt;&gt;0),((N(AN218)+N(AN219)+N(AN223)+N(AN244))-N(AN150))/(AJ75+AK75+AM75+AN75),""),"")</f>
        <v>2.52046376097315</v>
      </c>
      <c r="AO343" s="262">
        <f>IFERROR(IF(AND(COUNT(AK75,AM75,AN75,AO75)=4,(AK75+AM75+AN75+AO75)&lt;&gt;0),((N(AO218)+N(AO219)+N(AO223)+N(AO244))-N(AO150))/(AK75+AM75+AN75+AO75),""),"")</f>
        <v>2.41812805362555</v>
      </c>
      <c r="AP343" s="262">
        <f>IFERROR(IF(AND(COUNT(AM75,AN75,AO75,AP75)=4,(AM75+AN75+AO75+AP75)&lt;&gt;0),((N(AP218)+N(AP219)+N(AP223)+N(AP244))-N(AP150))/(AM75+AN75+AO75+AP75),""),"")</f>
        <v>2.30995063512135</v>
      </c>
      <c r="AQ343" s="262">
        <f>IFERROR(IF(AND(COUNT(AM75,AN75,AO75,AP75)=4,(AM75+AN75+AO75+AP75)&lt;&gt;0),((N(AQ218)+N(AQ219)+N(AQ223)+N(AQ244))-N(AQ150))/(AM75+AN75+AO75+AP75),""),"")</f>
        <v>2.30995063512135</v>
      </c>
      <c r="AR343" s="262">
        <f>IFERROR(IF(AND(COUNT(AN75,AO75,AP75,AR75)=4,(AN75+AO75+AP75+AR75)&lt;&gt;0),((N(AR218)+N(AR219)+N(AR223)+N(AR244))-N(AR150))/(AN75+AO75+AP75+AR75),""),"")</f>
        <v>2.20655787640227</v>
      </c>
      <c r="AS343" s="262">
        <f>IFERROR(IF(AND(COUNT(AO75,AP75,AR75,AS75)=4,(AO75+AP75+AR75+AS75)&lt;&gt;0),((N(AS218)+N(AS219)+N(AS223)+N(AS244))-N(AS150))/(AO75+AP75+AR75+AS75),""),"")</f>
        <v>2.11248889809442</v>
      </c>
      <c r="AT343" s="262">
        <f>IFERROR(IF(AND(COUNT(AP75,AR75,AS75,AT75)=4,(AP75+AR75+AS75+AT75)&lt;&gt;0),((N(AT218)+N(AT219)+N(AT223)+N(AT244))-N(AT150))/(AP75+AR75+AS75+AT75),""),"")</f>
        <v>2.01793228783083</v>
      </c>
      <c r="AU343" s="262">
        <f>IFERROR(IF(AND(COUNT(AR75,AS75,AT75,AU75)=4,(AR75+AS75+AT75+AU75)&lt;&gt;0),((N(AU218)+N(AU219)+N(AU223)+N(AU244))-N(AU150))/(AR75+AS75+AT75+AU75),""),"")</f>
        <v>1.91709678001599</v>
      </c>
      <c r="AV343" s="262">
        <f>IFERROR(IF(AND(COUNT(AR75,AS75,AT75,AU75)=4,(AR75+AS75+AT75+AU75)&lt;&gt;0),((N(AV218)+N(AV219)+N(AV223)+N(AV244))-N(AV150))/(AR75+AS75+AT75+AU75),""),"")</f>
        <v>1.91709678001599</v>
      </c>
      <c r="AW343" s="262">
        <f>IFERROR(IF(AND(COUNT(AS75,AT75,AU75,AW75)=4,(AS75+AT75+AU75+AW75)&lt;&gt;0),((N(AW218)+N(AW219)+N(AW223)+N(AW244))-N(AW150))/(AS75+AT75+AU75+AW75),""),"")</f>
        <v>1.82209540767596</v>
      </c>
      <c r="AX343" s="262">
        <f>IFERROR(IF(AND(COUNT(AT75,AU75,AW75,AX75)=4,(AT75+AU75+AW75+AX75)&lt;&gt;0),((N(AX218)+N(AX219)+N(AX223)+N(AX244))-N(AX150))/(AT75+AU75+AW75+AX75),""),"")</f>
        <v>1.73207176053817</v>
      </c>
      <c r="AY343" s="262">
        <f>IFERROR(IF(AND(COUNT(AU75,AW75,AX75,AY75)=4,(AU75+AW75+AX75+AY75)&lt;&gt;0),((N(AY218)+N(AY219)+N(AY223)+N(AY244))-N(AY150))/(AU75+AW75+AX75+AY75),""),"")</f>
        <v>1.64417603689373</v>
      </c>
      <c r="AZ343" s="262">
        <f>IFERROR(IF(AND(COUNT(AW75,AX75,AY75,AZ75)=4,(AW75+AX75+AY75+AZ75)&lt;&gt;0),((N(AZ218)+N(AZ219)+N(AZ223)+N(AZ244))-N(AZ150))/(AW75+AX75+AY75+AZ75),""),"")</f>
        <v>1.54964260828874</v>
      </c>
      <c r="BA343" s="262">
        <f>IFERROR(IF(AND(COUNT(AW75,AX75,AY75,AZ75)=4,(AW75+AX75+AY75+AZ75)&lt;&gt;0),((N(BA218)+N(BA219)+N(BA223)+N(BA244))-N(BA150))/(AW75+AX75+AY75+AZ75),""),"")</f>
        <v>1.54964260828874</v>
      </c>
      <c r="BB343" s="262">
        <f>IFERROR(IF(AND(COUNT(AX75,AY75,AZ75,BB75)=4,(AX75+AY75+AZ75+BB75)&lt;&gt;0),((N(BB218)+N(BB219)+N(BB223)+N(BB244))-N(BB150))/(AX75+AY75+AZ75+BB75),""),"")</f>
        <v>1.45940177302351</v>
      </c>
      <c r="BC343" s="262">
        <f>IFERROR(IF(AND(COUNT(AY75,AZ75,BB75,BC75)=4,(AY75+AZ75+BB75+BC75)&lt;&gt;0),((N(BC218)+N(BC219)+N(BC223)+N(BC244))-N(BC150))/(AY75+AZ75+BB75+BC75),""),"")</f>
        <v>1.37515524313787</v>
      </c>
      <c r="BD343" s="262">
        <f>IFERROR(IF(AND(COUNT(AZ75,BB75,BC75,BD75)=4,(AZ75+BB75+BC75+BD75)&lt;&gt;0),((N(BD218)+N(BD219)+N(BD223)+N(BD244))-N(BD150))/(AZ75+BB75+BC75+BD75),""),"")</f>
        <v>1.29300548476338</v>
      </c>
      <c r="BE343" s="262">
        <f>IFERROR(IF(AND(COUNT(BB75,BC75,BD75,BE75)=4,(BB75+BC75+BD75+BE75)&lt;&gt;0),((N(BE218)+N(BE219)+N(BE223)+N(BE244))-N(BE150))/(BB75+BC75+BD75+BE75),""),"")</f>
        <v>1.20392625416361</v>
      </c>
      <c r="BF343" s="262">
        <f>IFERROR(IF(AND(COUNT(BB75,BC75,BD75,BE75)=4,(BB75+BC75+BD75+BE75)&lt;&gt;0),((N(BF218)+N(BF219)+N(BF223)+N(BF244))-N(BF150))/(BB75+BC75+BD75+BE75),""),"")</f>
        <v>1.20392625416361</v>
      </c>
      <c r="BG343" s="82" t="n"/>
      <c r="BH343" s="82" t="n"/>
      <c r="BI343" s="82" t="n"/>
      <c r="BJ343" s="82" t="n"/>
      <c r="BL343" s="82" t="n"/>
      <c r="BM343" s="82" t="n"/>
      <c r="BN343" s="82" t="n"/>
      <c r="BO343" s="82" t="n"/>
      <c r="BQ343" s="82" t="n"/>
      <c r="BR343" s="82" t="n"/>
      <c r="BS343" s="82" t="n"/>
      <c r="BT343" s="82" t="n"/>
      <c r="BV343" s="82" t="n"/>
      <c r="BW343" s="82" t="n"/>
      <c r="BX343" s="82" t="n"/>
      <c r="BY343" s="82" t="n"/>
      <c r="CA343" s="82" t="n"/>
      <c r="CB343" s="82" t="n"/>
      <c r="CC343" s="82" t="n"/>
      <c r="CD343" s="82" t="n"/>
      <c r="CF343" s="82" t="n"/>
      <c r="CG343" s="82" t="n"/>
      <c r="CH343" s="82" t="n"/>
      <c r="CI343" s="82" t="n"/>
      <c r="CK343" s="82" t="n"/>
      <c r="CL343" s="82" t="n"/>
      <c r="CM343" s="82" t="n"/>
      <c r="CN343" s="82" t="n"/>
      <c r="CP343" s="82" t="n"/>
      <c r="CQ343" s="82" t="n"/>
      <c r="CR343" s="82" t="n"/>
      <c r="CS343" s="82" t="n"/>
      <c r="CU343" s="82" t="n"/>
      <c r="CV343" s="82" t="n"/>
      <c r="CW343" s="82" t="n"/>
      <c r="CX343" s="82" t="n"/>
    </row>
    <row r="344" customFormat="1" s="77">
      <c r="A344" s="76" t="n"/>
      <c r="B344" s="76" t="n"/>
      <c r="C344" s="77" t="inlineStr">
        <is>
          <t>INTEREST COVERAGE (EBIT / INTEREST, LTM)</t>
        </is>
      </c>
      <c r="D344" s="82" t="str">
        <f>IFERROR(D79/-D80,"")</f>
        <v/>
      </c>
      <c r="E344" s="82" t="str">
        <f>IFERROR(E79/-E80,"")</f>
        <v/>
      </c>
      <c r="F344" s="82" t="str">
        <f>IFERROR(F79/-F80,"")</f>
        <v/>
      </c>
      <c r="G344" s="82" t="str">
        <f>IFERROR(G79/-G80,"")</f>
        <v/>
      </c>
      <c r="H344" s="262" t="str">
        <f>IFERROR(IF(AND(COUNT(H79)=1,(H80)&lt;&gt;0),(H79)/-(H80),""),"")</f>
        <v/>
      </c>
      <c r="I344" s="262" t="str">
        <f>""</f>
        <v/>
      </c>
      <c r="J344" s="262" t="str">
        <f>""</f>
        <v/>
      </c>
      <c r="K344" s="262" t="str">
        <f>""</f>
        <v/>
      </c>
      <c r="L344" s="262">
        <f>IFERROR(IF(AND(COUNT(I79,J79,K79,L79)=4,(I80+J80+K80+L80)&lt;&gt;0),(I79+J79+K79+L79)/-(I80+J80+K80+L80),""),"")</f>
        <v>1.60216125755199</v>
      </c>
      <c r="M344" s="262">
        <f>IFERROR(IF(AND(COUNT(I79,J79,K79,L79)=4,(I80+J80+K80+L80)&lt;&gt;0),(I79+J79+K79+L79)/-(I80+J80+K80+L80),""),"")</f>
        <v>1.60216125755199</v>
      </c>
      <c r="N344" s="262">
        <f>IFERROR(IF(AND(COUNT(J79,K79,L79,N79)=4,(J80+K80+L80+N80)&lt;&gt;0),(J79+K79+L79+N79)/-(J80+K80+L80+N80),""),"")</f>
        <v>1.49011383527959</v>
      </c>
      <c r="O344" s="262">
        <f>IFERROR(IF(AND(COUNT(K79,L79,N79,O79)=4,(K80+L80+N80+O80)&lt;&gt;0),(K79+L79+N79+O79)/-(K80+L80+N80+O80),""),"")</f>
        <v>1.20762964155033</v>
      </c>
      <c r="P344" s="262">
        <f>IFERROR(IF(AND(COUNT(L79,N79,O79,P79)=4,(L80+N80+O80+P80)&lt;&gt;0),(L79+N79+O79+P79)/-(L80+N80+O80+P80),""),"")</f>
        <v>1.06764742612814</v>
      </c>
      <c r="Q344" s="262">
        <f>IFERROR(IF(AND(COUNT(N79,O79,P79,Q79)=4,(N80+O80+P80+Q80)&lt;&gt;0),(N79+O79+P79+Q79)/-(N80+O80+P80+Q80),""),"")</f>
        <v>0.954902216402175</v>
      </c>
      <c r="R344" s="262">
        <f>IFERROR(IF(AND(COUNT(N79,O79,P79,Q79)=4,(N80+O80+P80+Q80)&lt;&gt;0),(N79+O79+P79+Q79)/-(N80+O80+P80+Q80),""),"")</f>
        <v>0.954902216402175</v>
      </c>
      <c r="S344" s="262">
        <f>IFERROR(IF(AND(COUNT(O79,P79,Q79,S79)=4,(O80+P80+Q80+S80)&lt;&gt;0),(O79+P79+Q79+S79)/-(O80+P80+Q80+S80),""),"")</f>
        <v>0.884524024638319</v>
      </c>
      <c r="T344" s="262">
        <f>IFERROR(IF(AND(COUNT(P79,Q79,S79,T79)=4,(P80+Q80+S80+T80)&lt;&gt;0),(P79+Q79+S79+T79)/-(P80+Q80+S80+T80),""),"")</f>
        <v>0.873786156794576</v>
      </c>
      <c r="U344" s="262">
        <f>IFERROR(IF(AND(COUNT(Q79,S79,T79,U79)=4,(Q80+S80+T80+U80)&lt;&gt;0),(Q79+S79+T79+U79)/-(Q80+S80+T80+U80),""),"")</f>
        <v>0.81629138394684</v>
      </c>
      <c r="V344" s="262">
        <f>IFERROR(IF(AND(COUNT(S79,T79,U79,V79)=4,(S80+T80+U80+V80)&lt;&gt;0),(S79+T79+U79+V79)/-(S80+T80+U80+V80),""),"")</f>
        <v>0.691866403981069</v>
      </c>
      <c r="W344" s="262">
        <f>IFERROR(IF(AND(COUNT(S79,T79,U79,V79)=4,(S80+T80+U80+V80)&lt;&gt;0),(S79+T79+U79+V79)/-(S80+T80+U80+V80),""),"")</f>
        <v>0.691866403981069</v>
      </c>
      <c r="X344" s="262">
        <f>IFERROR(IF(AND(COUNT(T79,U79,V79,X79)=4,(T80+U80+V80+X80)&lt;&gt;0),(T79+U79+V79+X79)/-(T80+U80+V80+X80),""),"")</f>
        <v>0.70735643934668</v>
      </c>
      <c r="Y344" s="262">
        <f>IFERROR(IF(AND(COUNT(U79,V79,X79,Y79)=4,(U80+V80+X80+Y80)&lt;&gt;0),(U79+V79+X79+Y79)/-(U80+V80+X80+Y80),""),"")</f>
        <v>0.703476750466953</v>
      </c>
      <c r="Z344" s="262">
        <f>IFERROR(IF(AND(COUNT(V79,X79,Y79,Z79)=4,(V80+X80+Y80+Z80)&lt;&gt;0),(V79+X79+Y79+Z79)/-(V80+X80+Y80+Z80),""),"")</f>
        <v>0.737350757237131</v>
      </c>
      <c r="AA344" s="262">
        <f>IFERROR(IF(AND(COUNT(X79,Y79,Z79,AA79)=4,(X80+Y80+Z80+AA80)&lt;&gt;0),(X79+Y79+Z79+AA79)/-(X80+Y80+Z80+AA80),""),"")</f>
        <v>0.839082455861</v>
      </c>
      <c r="AB344" s="262">
        <f>IFERROR(IF(AND(COUNT(X79,Y79,Z79,AA79)=4,(X80+Y80+Z80+AA80)&lt;&gt;0),(X79+Y79+Z79+AA79)/-(X80+Y80+Z80+AA80),""),"")</f>
        <v>0.839082455861</v>
      </c>
      <c r="AC344" s="262">
        <f>IFERROR(IF(AND(COUNT(Y79,Z79,AA79,AC79)=4,(Y80+Z80+AA80+AC80)&lt;&gt;0),(Y79+Z79+AA79+AC79)/-(Y80+Z80+AA80+AC80),""),"")</f>
        <v>0.821219677535825</v>
      </c>
      <c r="AD344" s="262">
        <f>IFERROR(IF(AND(COUNT(Z79,AA79,AC79,AD79)=4,(Z80+AA80+AC80+AD80)&lt;&gt;0),(Z79+AA79+AC79+AD79)/-(Z80+AA80+AC80+AD80),""),"")</f>
        <v>0.778938277885828</v>
      </c>
      <c r="AE344" s="262">
        <f>IFERROR(IF(AND(COUNT(AA79,AC79,AD79,AE79)=4,(AA80+AC80+AD80+AE80)&lt;&gt;0),(AA79+AC79+AD79+AE79)/-(AA80+AC80+AD80+AE80),""),"")</f>
        <v>0.729699264083297</v>
      </c>
      <c r="AF344" s="262">
        <f>IFERROR(IF(AND(COUNT(AB79,AD79,AE79,AF79)=4,(AB80+AD80+AE80+AF80)&lt;&gt;0),(AB79+AD79+AE79+AF79)/-(AB80+AD80+AE80+AF80),""),"")</f>
        <v>0.834279076686839</v>
      </c>
      <c r="AG344" s="262">
        <f>IFERROR(IF(AND(COUNT(AC79,AD79,AE79,AF79)=4,(AC80+AD80+AE80+AF80)&lt;&gt;0),(AC79+AD79+AE79+AF79)/-(AC80+AD80+AE80+AF80),""),"")</f>
        <v>0.818895578136102</v>
      </c>
      <c r="AH344" s="262">
        <f>IFERROR(IF(AND(COUNT(AD79,AF79,AG79,AH79)=4,(AD80+AF80+AG80+AH80)&lt;&gt;0),(AD79+AF79+AG79+AH79)/-(AD80+AF80+AG80+AH80),""),"")</f>
        <v>0.827357313398429</v>
      </c>
      <c r="AI344" s="262">
        <f>IFERROR(IF(AND(COUNT(AE79,AG79,AH79,AI79)=4,(AE80+AG80+AH80+AI80)&lt;&gt;0),(AE79+AG79+AH79+AI79)/-(AE80+AG80+AH80+AI80),""),"")</f>
        <v>0.75833205769466</v>
      </c>
      <c r="AJ344" s="262" t="str">
        <f>IFERROR(IF(AND(COUNT(AF79,AH79,AI79,AJ79)=4,(AF80+AH80+AI80+AJ80)&lt;&gt;0),(AF79+AH79+AI79+AJ79)/-(AF80+AH80+AI80+AJ80),""),"")</f>
        <v/>
      </c>
      <c r="AK344" s="262" t="str">
        <f>IFERROR(IF(AND(COUNT(AH79,AI79,AJ79,AK79)=4,(AH80+AI80+AJ80+AK80)&lt;&gt;0),(AH79+AI79+AJ79+AK79)/-(AH80+AI80+AJ80+AK80),""),"")</f>
        <v/>
      </c>
      <c r="AL344" s="262" t="str">
        <f>IFERROR(IF(AND(COUNT(AH79,AI79,AJ79,AK79)=4,(AH80+AI80+AJ80+AK80)&lt;&gt;0),(AH79+AI79+AJ79+AK79)/-(AH80+AI80+AJ80+AK80),""),"")</f>
        <v/>
      </c>
      <c r="AM344" s="262" t="str">
        <f>IFERROR(IF(AND(COUNT(AI79,AJ79,AK79,AM79)=4,(AI80+AJ80+AK80+AM80)&lt;&gt;0),(AI79+AJ79+AK79+AM79)/-(AI80+AJ80+AK80+AM80),""),"")</f>
        <v/>
      </c>
      <c r="AN344" s="262" t="str">
        <f>IFERROR(IF(AND(COUNT(AJ79,AK79,AM79,AN79)=4,(AJ80+AK80+AM80+AN80)&lt;&gt;0),(AJ79+AK79+AM79+AN79)/-(AJ80+AK80+AM80+AN80),""),"")</f>
        <v/>
      </c>
      <c r="AO344" s="262" t="str">
        <f>IFERROR(IF(AND(COUNT(AK79,AM79,AN79,AO79)=4,(AK80+AM80+AN80+AO80)&lt;&gt;0),(AK79+AM79+AN79+AO79)/-(AK80+AM80+AN80+AO80),""),"")</f>
        <v/>
      </c>
      <c r="AP344" s="262" t="str">
        <f>IFERROR(IF(AND(COUNT(AM79,AN79,AO79,AP79)=4,(AM80+AN80+AO80+AP80)&lt;&gt;0),(AM79+AN79+AO79+AP79)/-(AM80+AN80+AO80+AP80),""),"")</f>
        <v/>
      </c>
      <c r="AQ344" s="262" t="str">
        <f>IFERROR(IF(AND(COUNT(AM79,AN79,AO79,AP79)=4,(AM80+AN80+AO80+AP80)&lt;&gt;0),(AM79+AN79+AO79+AP79)/-(AM80+AN80+AO80+AP80),""),"")</f>
        <v/>
      </c>
      <c r="AR344" s="262" t="str">
        <f>IFERROR(IF(AND(COUNT(AN79,AO79,AP79,AR79)=4,(AN80+AO80+AP80+AR80)&lt;&gt;0),(AN79+AO79+AP79+AR79)/-(AN80+AO80+AP80+AR80),""),"")</f>
        <v/>
      </c>
      <c r="AS344" s="262" t="str">
        <f>IFERROR(IF(AND(COUNT(AO79,AP79,AR79,AS79)=4,(AO80+AP80+AR80+AS80)&lt;&gt;0),(AO79+AP79+AR79+AS79)/-(AO80+AP80+AR80+AS80),""),"")</f>
        <v/>
      </c>
      <c r="AT344" s="262" t="str">
        <f>IFERROR(IF(AND(COUNT(AP79,AR79,AS79,AT79)=4,(AP80+AR80+AS80+AT80)&lt;&gt;0),(AP79+AR79+AS79+AT79)/-(AP80+AR80+AS80+AT80),""),"")</f>
        <v/>
      </c>
      <c r="AU344" s="262" t="str">
        <f>IFERROR(IF(AND(COUNT(AR79,AS79,AT79,AU79)=4,(AR80+AS80+AT80+AU80)&lt;&gt;0),(AR79+AS79+AT79+AU79)/-(AR80+AS80+AT80+AU80),""),"")</f>
        <v/>
      </c>
      <c r="AV344" s="262" t="str">
        <f>IFERROR(IF(AND(COUNT(AR79,AS79,AT79,AU79)=4,(AR80+AS80+AT80+AU80)&lt;&gt;0),(AR79+AS79+AT79+AU79)/-(AR80+AS80+AT80+AU80),""),"")</f>
        <v/>
      </c>
      <c r="AW344" s="262" t="str">
        <f>IFERROR(IF(AND(COUNT(AS79,AT79,AU79,AW79)=4,(AS80+AT80+AU80+AW80)&lt;&gt;0),(AS79+AT79+AU79+AW79)/-(AS80+AT80+AU80+AW80),""),"")</f>
        <v/>
      </c>
      <c r="AX344" s="262" t="str">
        <f>IFERROR(IF(AND(COUNT(AT79,AU79,AW79,AX79)=4,(AT80+AU80+AW80+AX80)&lt;&gt;0),(AT79+AU79+AW79+AX79)/-(AT80+AU80+AW80+AX80),""),"")</f>
        <v/>
      </c>
      <c r="AY344" s="262" t="str">
        <f>IFERROR(IF(AND(COUNT(AU79,AW79,AX79,AY79)=4,(AU80+AW80+AX80+AY80)&lt;&gt;0),(AU79+AW79+AX79+AY79)/-(AU80+AW80+AX80+AY80),""),"")</f>
        <v/>
      </c>
      <c r="AZ344" s="262" t="str">
        <f>IFERROR(IF(AND(COUNT(AW79,AX79,AY79,AZ79)=4,(AW80+AX80+AY80+AZ80)&lt;&gt;0),(AW79+AX79+AY79+AZ79)/-(AW80+AX80+AY80+AZ80),""),"")</f>
        <v/>
      </c>
      <c r="BA344" s="262" t="str">
        <f>IFERROR(IF(AND(COUNT(AW79,AX79,AY79,AZ79)=4,(AW80+AX80+AY80+AZ80)&lt;&gt;0),(AW79+AX79+AY79+AZ79)/-(AW80+AX80+AY80+AZ80),""),"")</f>
        <v/>
      </c>
      <c r="BB344" s="262" t="str">
        <f>IFERROR(IF(AND(COUNT(AX79,AY79,AZ79,BB79)=4,(AX80+AY80+AZ80+BB80)&lt;&gt;0),(AX79+AY79+AZ79+BB79)/-(AX80+AY80+AZ80+BB80),""),"")</f>
        <v/>
      </c>
      <c r="BC344" s="262" t="str">
        <f>IFERROR(IF(AND(COUNT(AY79,AZ79,BB79,BC79)=4,(AY80+AZ80+BB80+BC80)&lt;&gt;0),(AY79+AZ79+BB79+BC79)/-(AY80+AZ80+BB80+BC80),""),"")</f>
        <v/>
      </c>
      <c r="BD344" s="262" t="str">
        <f>IFERROR(IF(AND(COUNT(AZ79,BB79,BC79,BD79)=4,(AZ80+BB80+BC80+BD80)&lt;&gt;0),(AZ79+BB79+BC79+BD79)/-(AZ80+BB80+BC80+BD80),""),"")</f>
        <v/>
      </c>
      <c r="BE344" s="262" t="str">
        <f>IFERROR(IF(AND(COUNT(BB79,BC79,BD79,BE79)=4,(BB80+BC80+BD80+BE80)&lt;&gt;0),(BB79+BC79+BD79+BE79)/-(BB80+BC80+BD80+BE80),""),"")</f>
        <v/>
      </c>
      <c r="BF344" s="262" t="str">
        <f>IFERROR(IF(AND(COUNT(BB79,BC79,BD79,BE79)=4,(BB80+BC80+BD80+BE80)&lt;&gt;0),(BB79+BC79+BD79+BE79)/-(BB80+BC80+BD80+BE80),""),"")</f>
        <v/>
      </c>
      <c r="BG344" s="82" t="n"/>
      <c r="BH344" s="82" t="n"/>
      <c r="BI344" s="82" t="n"/>
      <c r="BJ344" s="82" t="n"/>
      <c r="BL344" s="82" t="n"/>
      <c r="BM344" s="82" t="n"/>
      <c r="BN344" s="82" t="n"/>
      <c r="BO344" s="82" t="n"/>
      <c r="BQ344" s="82" t="n"/>
      <c r="BR344" s="82" t="n"/>
      <c r="BS344" s="82" t="n"/>
      <c r="BT344" s="82" t="n"/>
      <c r="BV344" s="82" t="n"/>
      <c r="BW344" s="82" t="n"/>
      <c r="BX344" s="82" t="n"/>
      <c r="BY344" s="82" t="n"/>
      <c r="CA344" s="82" t="n"/>
      <c r="CB344" s="82" t="n"/>
      <c r="CC344" s="82" t="n"/>
      <c r="CD344" s="82" t="n"/>
      <c r="CF344" s="82" t="n"/>
      <c r="CG344" s="82" t="n"/>
      <c r="CH344" s="82" t="n"/>
      <c r="CI344" s="82" t="n"/>
      <c r="CK344" s="82" t="n"/>
      <c r="CL344" s="82" t="n"/>
      <c r="CM344" s="82" t="n"/>
      <c r="CN344" s="82" t="n"/>
      <c r="CP344" s="82" t="n"/>
      <c r="CQ344" s="82" t="n"/>
      <c r="CR344" s="82" t="n"/>
      <c r="CS344" s="82" t="n"/>
      <c r="CU344" s="82" t="n"/>
      <c r="CV344" s="82" t="n"/>
      <c r="CW344" s="82" t="n"/>
      <c r="CX344" s="82" t="n"/>
    </row>
    <row r="345" customFormat="1" s="77">
      <c r="A345" s="76" t="n"/>
      <c r="B345" s="76" t="n"/>
    </row>
    <row r="346" customFormat="1" s="77">
      <c r="A346" s="76" t="n"/>
      <c r="B346" s="76" t="n"/>
      <c r="C346" s="74" t="inlineStr">
        <is>
          <t>INTERNAL LIQUIDITY</t>
        </is>
      </c>
    </row>
    <row r="347" customFormat="1" s="77">
      <c r="A347" s="76" t="n"/>
      <c r="B347" s="76" t="n"/>
      <c r="C347" s="77" t="inlineStr">
        <is>
          <t>CURRENT RATIO</t>
        </is>
      </c>
      <c r="D347" s="82" t="str">
        <f>IFERROR(SUM(D150,D151,D155,D159,D160,D161)/SUM(D204,D208,D210,D211),"")</f>
        <v/>
      </c>
      <c r="E347" s="82" t="str">
        <f>IFERROR(SUM(E150,E151,E155,E159,E160,E161)/SUM(E204,E208,E210,E211),"")</f>
        <v/>
      </c>
      <c r="F347" s="82" t="str">
        <f>IFERROR(SUM(F150,F151,F155,F159,F160,F161)/SUM(F204,F208,F210,F211),"")</f>
        <v/>
      </c>
      <c r="G347" s="82" t="str">
        <f>IFERROR(SUM(G150,G151,G155,G159,G160,G161)/SUM(G204,G208,G210,G211),"")</f>
        <v/>
      </c>
      <c r="H347" s="262" t="str">
        <f>IFERROR(IF((N(H204)+N(H208)+N(H210)+N(H211)+N(H218)+N(H219)+N(H220))&lt;&gt;0,(N(H150)+(N(H151)+N(H155)+N(H159)+N(H160)+N(H161)))/(N(H204)+N(H208)+N(H210)+N(H211)+N(H218)+N(H219)+N(H220)),""),"")</f>
        <v/>
      </c>
      <c r="I347" s="262">
        <f>IFERROR(IF((N(I204)+N(I208)+N(I210)+N(I211)+N(I218)+N(I219)+N(I220))&lt;&gt;0,(N(I150)+(N(I151)+N(I155)+N(I159)+N(I160)+N(I161)))/(N(I204)+N(I208)+N(I210)+N(I211)+N(I218)+N(I219)+N(I220)),""),"")</f>
        <v>3.89589988139826</v>
      </c>
      <c r="J347" s="262">
        <f>IFERROR(IF((N(J204)+N(J208)+N(J210)+N(J211)+N(J218)+N(J219)+N(J220))&lt;&gt;0,(N(J150)+(N(J151)+N(J155)+N(J159)+N(J160)+N(J161)))/(N(J204)+N(J208)+N(J210)+N(J211)+N(J218)+N(J219)+N(J220)),""),"")</f>
        <v>3.1114333638614</v>
      </c>
      <c r="K347" s="262">
        <f>IFERROR(IF((N(K204)+N(K208)+N(K210)+N(K211)+N(K218)+N(K219)+N(K220))&lt;&gt;0,(N(K150)+(N(K151)+N(K155)+N(K159)+N(K160)+N(K161)))/(N(K204)+N(K208)+N(K210)+N(K211)+N(K218)+N(K219)+N(K220)),""),"")</f>
        <v>4.16775184007878</v>
      </c>
      <c r="L347" s="262">
        <f>IFERROR(IF((N(L204)+N(L208)+N(L210)+N(L211)+N(L218)+N(L219)+N(L220))&lt;&gt;0,(N(L150)+(N(L151)+N(L155)+N(L159)+N(L160)+N(L161)))/(N(L204)+N(L208)+N(L210)+N(L211)+N(L218)+N(L219)+N(L220)),""),"")</f>
        <v>3.35946643382529</v>
      </c>
      <c r="M347" s="262">
        <f>IFERROR(IF((N(M204)+N(M208)+N(M210)+N(M211)+N(M218)+N(M219)+N(M220))&lt;&gt;0,(N(M150)+(N(M151)+N(M155)+N(M159)+N(M160)+N(M161)))/(N(M204)+N(M208)+N(M210)+N(M211)+N(M218)+N(M219)+N(M220)),""),"")</f>
        <v>3.35946643382529</v>
      </c>
      <c r="N347" s="262">
        <f>IFERROR(IF((N(N204)+N(N208)+N(N210)+N(N211)+N(N218)+N(N219)+N(N220))&lt;&gt;0,(N(N150)+(N(N151)+N(N155)+N(N159)+N(N160)+N(N161)))/(N(N204)+N(N208)+N(N210)+N(N211)+N(N218)+N(N219)+N(N220)),""),"")</f>
        <v>2.86244777021002</v>
      </c>
      <c r="O347" s="262">
        <f>IFERROR(IF((N(O204)+N(O208)+N(O210)+N(O211)+N(O218)+N(O219)+N(O220))&lt;&gt;0,(N(O150)+(N(O151)+N(O155)+N(O159)+N(O160)+N(O161)))/(N(O204)+N(O208)+N(O210)+N(O211)+N(O218)+N(O219)+N(O220)),""),"")</f>
        <v>2.49998847941837</v>
      </c>
      <c r="P347" s="262">
        <f>IFERROR(IF((N(P204)+N(P208)+N(P210)+N(P211)+N(P218)+N(P219)+N(P220))&lt;&gt;0,(N(P150)+(N(P151)+N(P155)+N(P159)+N(P160)+N(P161)))/(N(P204)+N(P208)+N(P210)+N(P211)+N(P218)+N(P219)+N(P220)),""),"")</f>
        <v>2.50934785247884</v>
      </c>
      <c r="Q347" s="262">
        <f>IFERROR(IF((N(Q204)+N(Q208)+N(Q210)+N(Q211)+N(Q218)+N(Q219)+N(Q220))&lt;&gt;0,(N(Q150)+(N(Q151)+N(Q155)+N(Q159)+N(Q160)+N(Q161)))/(N(Q204)+N(Q208)+N(Q210)+N(Q211)+N(Q218)+N(Q219)+N(Q220)),""),"")</f>
        <v>1.64548761753785</v>
      </c>
      <c r="R347" s="262">
        <f>IFERROR(IF((N(R204)+N(R208)+N(R210)+N(R211)+N(R218)+N(R219)+N(R220))&lt;&gt;0,(N(R150)+(N(R151)+N(R155)+N(R159)+N(R160)+N(R161)))/(N(R204)+N(R208)+N(R210)+N(R211)+N(R218)+N(R219)+N(R220)),""),"")</f>
        <v>1.64548761753785</v>
      </c>
      <c r="S347" s="262">
        <f>IFERROR(IF((N(S204)+N(S208)+N(S210)+N(S211)+N(S218)+N(S219)+N(S220))&lt;&gt;0,(N(S150)+(N(S151)+N(S155)+N(S159)+N(S160)+N(S161)))/(N(S204)+N(S208)+N(S210)+N(S211)+N(S218)+N(S219)+N(S220)),""),"")</f>
        <v>1.97615631955983</v>
      </c>
      <c r="T347" s="262">
        <f>IFERROR(IF((N(T204)+N(T208)+N(T210)+N(T211)+N(T218)+N(T219)+N(T220))&lt;&gt;0,(N(T150)+(N(T151)+N(T155)+N(T159)+N(T160)+N(T161)))/(N(T204)+N(T208)+N(T210)+N(T211)+N(T218)+N(T219)+N(T220)),""),"")</f>
        <v>2.03611262920988</v>
      </c>
      <c r="U347" s="262">
        <f>IFERROR(IF((N(U204)+N(U208)+N(U210)+N(U211)+N(U218)+N(U219)+N(U220))&lt;&gt;0,(N(U150)+(N(U151)+N(U155)+N(U159)+N(U160)+N(U161)))/(N(U204)+N(U208)+N(U210)+N(U211)+N(U218)+N(U219)+N(U220)),""),"")</f>
        <v>1.89707793822298</v>
      </c>
      <c r="V347" s="262">
        <f>IFERROR(IF((N(V204)+N(V208)+N(V210)+N(V211)+N(V218)+N(V219)+N(V220))&lt;&gt;0,(N(V150)+(N(V151)+N(V155)+N(V159)+N(V160)+N(V161)))/(N(V204)+N(V208)+N(V210)+N(V211)+N(V218)+N(V219)+N(V220)),""),"")</f>
        <v>1.56113125493339</v>
      </c>
      <c r="W347" s="262">
        <f>IFERROR(IF((N(W204)+N(W208)+N(W210)+N(W211)+N(W218)+N(W219)+N(W220))&lt;&gt;0,(N(W150)+(N(W151)+N(W155)+N(W159)+N(W160)+N(W161)))/(N(W204)+N(W208)+N(W210)+N(W211)+N(W218)+N(W219)+N(W220)),""),"")</f>
        <v>1.56113125493339</v>
      </c>
      <c r="X347" s="262">
        <f>IFERROR(IF((N(X204)+N(X208)+N(X210)+N(X211)+N(X218)+N(X219)+N(X220))&lt;&gt;0,(N(X150)+(N(X151)+N(X155)+N(X159)+N(X160)+N(X161)))/(N(X204)+N(X208)+N(X210)+N(X211)+N(X218)+N(X219)+N(X220)),""),"")</f>
        <v>1.61012248356257</v>
      </c>
      <c r="Y347" s="262">
        <f>IFERROR(IF((N(Y204)+N(Y208)+N(Y210)+N(Y211)+N(Y218)+N(Y219)+N(Y220))&lt;&gt;0,(N(Y150)+(N(Y151)+N(Y155)+N(Y159)+N(Y160)+N(Y161)))/(N(Y204)+N(Y208)+N(Y210)+N(Y211)+N(Y218)+N(Y219)+N(Y220)),""),"")</f>
        <v>1.51506162016203</v>
      </c>
      <c r="Z347" s="262">
        <f>IFERROR(IF((N(Z204)+N(Z208)+N(Z210)+N(Z211)+N(Z218)+N(Z219)+N(Z220))&lt;&gt;0,(N(Z150)+(N(Z151)+N(Z155)+N(Z159)+N(Z160)+N(Z161)))/(N(Z204)+N(Z208)+N(Z210)+N(Z211)+N(Z218)+N(Z219)+N(Z220)),""),"")</f>
        <v>1.63261711102288</v>
      </c>
      <c r="AA347" s="262">
        <f>IFERROR(IF((N(AA204)+N(AA208)+N(AA210)+N(AA211)+N(AA218)+N(AA219)+N(AA220))&lt;&gt;0,(N(AA150)+(N(AA151)+N(AA155)+N(AA159)+N(AA160)+N(AA161)))/(N(AA204)+N(AA208)+N(AA210)+N(AA211)+N(AA218)+N(AA219)+N(AA220)),""),"")</f>
        <v>1.3835859019398</v>
      </c>
      <c r="AB347" s="262">
        <f>IFERROR(IF((N(AB204)+N(AB208)+N(AB210)+N(AB211)+N(AB218)+N(AB219)+N(AB220))&lt;&gt;0,(N(AB150)+(N(AB151)+N(AB155)+N(AB159)+N(AB160)+N(AB161)))/(N(AB204)+N(AB208)+N(AB210)+N(AB211)+N(AB218)+N(AB219)+N(AB220)),""),"")</f>
        <v>1.3835859019398</v>
      </c>
      <c r="AC347" s="262">
        <f>IFERROR(IF((N(AC204)+N(AC208)+N(AC210)+N(AC211)+N(AC218)+N(AC219)+N(AC220))&lt;&gt;0,(N(AC150)+(N(AC151)+N(AC155)+N(AC159)+N(AC160)+N(AC161)))/(N(AC204)+N(AC208)+N(AC210)+N(AC211)+N(AC218)+N(AC219)+N(AC220)),""),"")</f>
        <v>1.5590625425131</v>
      </c>
      <c r="AD347" s="262">
        <f>IFERROR(IF((N(AD204)+N(AD208)+N(AD210)+N(AD211)+N(AD218)+N(AD219)+N(AD220))&lt;&gt;0,(N(AD150)+(N(AD151)+N(AD155)+N(AD159)+N(AD160)+N(AD161)))/(N(AD204)+N(AD208)+N(AD210)+N(AD211)+N(AD218)+N(AD219)+N(AD220)),""),"")</f>
        <v>1.58943864633523</v>
      </c>
      <c r="AE347" s="262">
        <f>IFERROR(IF((N(AE204)+N(AE208)+N(AE210)+N(AE211)+N(AE218)+N(AE219)+N(AE220))&lt;&gt;0,(N(AE150)+(N(AE151)+N(AE155)+N(AE159)+N(AE160)+N(AE161)))/(N(AE204)+N(AE208)+N(AE210)+N(AE211)+N(AE218)+N(AE219)+N(AE220)),""),"")</f>
        <v>1.48780729575748</v>
      </c>
      <c r="AF347" s="262">
        <f>IFERROR(IF((N(AF204)+N(AF208)+N(AF210)+N(AF211)+N(AF218)+N(AF219)+N(AF220))&lt;&gt;0,(N(AF150)+(N(AF151)+N(AF155)+N(AF159)+N(AF160)+N(AF161)))/(N(AF204)+N(AF208)+N(AF210)+N(AF211)+N(AF218)+N(AF219)+N(AF220)),""),"")</f>
        <v>1.38516721353433</v>
      </c>
      <c r="AG347" s="262">
        <f>IFERROR(IF((N(AG204)+N(AG208)+N(AG210)+N(AG211)+N(AG218)+N(AG219)+N(AG220))&lt;&gt;0,(N(AG150)+(N(AG151)+N(AG155)+N(AG159)+N(AG160)+N(AG161)))/(N(AG204)+N(AG208)+N(AG210)+N(AG211)+N(AG218)+N(AG219)+N(AG220)),""),"")</f>
        <v>1.38516721353433</v>
      </c>
      <c r="AH347" s="262">
        <f>IFERROR(IF((N(AH204)+N(AH208)+N(AH210)+N(AH211)+N(AH218)+N(AH219)+N(AH220))&lt;&gt;0,(N(AH150)+(N(AH151)+N(AH155)+N(AH159)+N(AH160)+N(AH161)))/(N(AH204)+N(AH208)+N(AH210)+N(AH211)+N(AH218)+N(AH219)+N(AH220)),""),"")</f>
        <v>1.50447582302916</v>
      </c>
      <c r="AI347" s="262">
        <f>IFERROR(IF((N(AI204)+N(AI208)+N(AI210)+N(AI211)+N(AI218)+N(AI219)+N(AI220))&lt;&gt;0,(N(AI150)+(N(AI151)+N(AI155)+N(AI159)+N(AI160)+N(AI161)))/(N(AI204)+N(AI208)+N(AI210)+N(AI211)+N(AI218)+N(AI219)+N(AI220)),""),"")</f>
        <v>1.53148220304982</v>
      </c>
      <c r="AJ347" s="262">
        <f>IFERROR(IF((N(AJ204)+N(AJ208)+N(AJ210)+N(AJ211)+N(AJ218)+N(AJ219)+N(AJ220))&lt;&gt;0,(N(AJ150)+(N(AJ151)+N(AJ155)+N(AJ159)+N(AJ160)+N(AJ161)))/(N(AJ204)+N(AJ208)+N(AJ210)+N(AJ211)+N(AJ218)+N(AJ219)+N(AJ220)),""),"")</f>
        <v>1.57629757035746</v>
      </c>
      <c r="AK347" s="262">
        <f>IFERROR(IF((N(AK204)+N(AK208)+N(AK210)+N(AK211)+N(AK218)+N(AK219)+N(AK220))&lt;&gt;0,(N(AK150)+(N(AK151)+N(AK155)+N(AK159)+N(AK160)+N(AK161)))/(N(AK204)+N(AK208)+N(AK210)+N(AK211)+N(AK218)+N(AK219)+N(AK220)),""),"")</f>
        <v>1.60740453020369</v>
      </c>
      <c r="AL347" s="262">
        <f>IFERROR(IF((N(AL204)+N(AL208)+N(AL210)+N(AL211)+N(AL218)+N(AL219)+N(AL220))&lt;&gt;0,(N(AL150)+(N(AL151)+N(AL155)+N(AL159)+N(AL160)+N(AL161)))/(N(AL204)+N(AL208)+N(AL210)+N(AL211)+N(AL218)+N(AL219)+N(AL220)),""),"")</f>
        <v>1.60740453020369</v>
      </c>
      <c r="AM347" s="262">
        <f>IFERROR(IF((N(AM204)+N(AM208)+N(AM210)+N(AM211)+N(AM218)+N(AM219)+N(AM220))&lt;&gt;0,(N(AM150)+(N(AM151)+N(AM155)+N(AM159)+N(AM160)+N(AM161)))/(N(AM204)+N(AM208)+N(AM210)+N(AM211)+N(AM218)+N(AM219)+N(AM220)),""),"")</f>
        <v>1.63682783994618</v>
      </c>
      <c r="AN347" s="262">
        <f>IFERROR(IF((N(AN204)+N(AN208)+N(AN210)+N(AN211)+N(AN218)+N(AN219)+N(AN220))&lt;&gt;0,(N(AN150)+(N(AN151)+N(AN155)+N(AN159)+N(AN160)+N(AN161)))/(N(AN204)+N(AN208)+N(AN210)+N(AN211)+N(AN218)+N(AN219)+N(AN220)),""),"")</f>
        <v>1.66355169901898</v>
      </c>
      <c r="AO347" s="262">
        <f>IFERROR(IF((N(AO204)+N(AO208)+N(AO210)+N(AO211)+N(AO218)+N(AO219)+N(AO220))&lt;&gt;0,(N(AO150)+(N(AO151)+N(AO155)+N(AO159)+N(AO160)+N(AO161)))/(N(AO204)+N(AO208)+N(AO210)+N(AO211)+N(AO218)+N(AO219)+N(AO220)),""),"")</f>
        <v>1.68697204850019</v>
      </c>
      <c r="AP347" s="262">
        <f>IFERROR(IF((N(AP204)+N(AP208)+N(AP210)+N(AP211)+N(AP218)+N(AP219)+N(AP220))&lt;&gt;0,(N(AP150)+(N(AP151)+N(AP155)+N(AP159)+N(AP160)+N(AP161)))/(N(AP204)+N(AP208)+N(AP210)+N(AP211)+N(AP218)+N(AP219)+N(AP220)),""),"")</f>
        <v>1.71730518530001</v>
      </c>
      <c r="AQ347" s="262">
        <f>IFERROR(IF((N(AQ204)+N(AQ208)+N(AQ210)+N(AQ211)+N(AQ218)+N(AQ219)+N(AQ220))&lt;&gt;0,(N(AQ150)+(N(AQ151)+N(AQ155)+N(AQ159)+N(AQ160)+N(AQ161)))/(N(AQ204)+N(AQ208)+N(AQ210)+N(AQ211)+N(AQ218)+N(AQ219)+N(AQ220)),""),"")</f>
        <v>1.71730518530001</v>
      </c>
      <c r="AR347" s="262">
        <f>IFERROR(IF((N(AR204)+N(AR208)+N(AR210)+N(AR211)+N(AR218)+N(AR219)+N(AR220))&lt;&gt;0,(N(AR150)+(N(AR151)+N(AR155)+N(AR159)+N(AR160)+N(AR161)))/(N(AR204)+N(AR208)+N(AR210)+N(AR211)+N(AR218)+N(AR219)+N(AR220)),""),"")</f>
        <v>1.74988507526265</v>
      </c>
      <c r="AS347" s="262">
        <f>IFERROR(IF((N(AS204)+N(AS208)+N(AS210)+N(AS211)+N(AS218)+N(AS219)+N(AS220))&lt;&gt;0,(N(AS150)+(N(AS151)+N(AS155)+N(AS159)+N(AS160)+N(AS161)))/(N(AS204)+N(AS208)+N(AS210)+N(AS211)+N(AS218)+N(AS219)+N(AS220)),""),"")</f>
        <v>1.77247913963925</v>
      </c>
      <c r="AT347" s="262">
        <f>IFERROR(IF((N(AT204)+N(AT208)+N(AT210)+N(AT211)+N(AT218)+N(AT219)+N(AT220))&lt;&gt;0,(N(AT150)+(N(AT151)+N(AT155)+N(AT159)+N(AT160)+N(AT161)))/(N(AT204)+N(AT208)+N(AT210)+N(AT211)+N(AT218)+N(AT219)+N(AT220)),""),"")</f>
        <v>1.79382580395653</v>
      </c>
      <c r="AU347" s="262">
        <f>IFERROR(IF((N(AU204)+N(AU208)+N(AU210)+N(AU211)+N(AU218)+N(AU219)+N(AU220))&lt;&gt;0,(N(AU150)+(N(AU151)+N(AU155)+N(AU159)+N(AU160)+N(AU161)))/(N(AU204)+N(AU208)+N(AU210)+N(AU211)+N(AU218)+N(AU219)+N(AU220)),""),"")</f>
        <v>1.82335500019648</v>
      </c>
      <c r="AV347" s="262">
        <f>IFERROR(IF((N(AV204)+N(AV208)+N(AV210)+N(AV211)+N(AV218)+N(AV219)+N(AV220))&lt;&gt;0,(N(AV150)+(N(AV151)+N(AV155)+N(AV159)+N(AV160)+N(AV161)))/(N(AV204)+N(AV208)+N(AV210)+N(AV211)+N(AV218)+N(AV219)+N(AV220)),""),"")</f>
        <v>1.82335500019648</v>
      </c>
      <c r="AW347" s="262">
        <f>IFERROR(IF((N(AW204)+N(AW208)+N(AW210)+N(AW211)+N(AW218)+N(AW219)+N(AW220))&lt;&gt;0,(N(AW150)+(N(AW151)+N(AW155)+N(AW159)+N(AW160)+N(AW161)))/(N(AW204)+N(AW208)+N(AW210)+N(AW211)+N(AW218)+N(AW219)+N(AW220)),""),"")</f>
        <v>1.85371893917588</v>
      </c>
      <c r="AX347" s="262">
        <f>IFERROR(IF((N(AX204)+N(AX208)+N(AX210)+N(AX211)+N(AX218)+N(AX219)+N(AX220))&lt;&gt;0,(N(AX150)+(N(AX151)+N(AX155)+N(AX159)+N(AX160)+N(AX161)))/(N(AX204)+N(AX208)+N(AX210)+N(AX211)+N(AX218)+N(AX219)+N(AX220)),""),"")</f>
        <v>1.87755517345526</v>
      </c>
      <c r="AY347" s="262">
        <f>IFERROR(IF((N(AY204)+N(AY208)+N(AY210)+N(AY211)+N(AY218)+N(AY219)+N(AY220))&lt;&gt;0,(N(AY150)+(N(AY151)+N(AY155)+N(AY159)+N(AY160)+N(AY161)))/(N(AY204)+N(AY208)+N(AY210)+N(AY211)+N(AY218)+N(AY219)+N(AY220)),""),"")</f>
        <v>1.89671853450562</v>
      </c>
      <c r="AZ347" s="262">
        <f>IFERROR(IF((N(AZ204)+N(AZ208)+N(AZ210)+N(AZ211)+N(AZ218)+N(AZ219)+N(AZ220))&lt;&gt;0,(N(AZ150)+(N(AZ151)+N(AZ155)+N(AZ159)+N(AZ160)+N(AZ161)))/(N(AZ204)+N(AZ208)+N(AZ210)+N(AZ211)+N(AZ218)+N(AZ219)+N(AZ220)),""),"")</f>
        <v>1.92528934865678</v>
      </c>
      <c r="BA347" s="262">
        <f>IFERROR(IF((N(BA204)+N(BA208)+N(BA210)+N(BA211)+N(BA218)+N(BA219)+N(BA220))&lt;&gt;0,(N(BA150)+(N(BA151)+N(BA155)+N(BA159)+N(BA160)+N(BA161)))/(N(BA204)+N(BA208)+N(BA210)+N(BA211)+N(BA218)+N(BA219)+N(BA220)),""),"")</f>
        <v>1.92528934865678</v>
      </c>
      <c r="BB347" s="262">
        <f>IFERROR(IF((N(BB204)+N(BB208)+N(BB210)+N(BB211)+N(BB218)+N(BB219)+N(BB220))&lt;&gt;0,(N(BB150)+(N(BB151)+N(BB155)+N(BB159)+N(BB160)+N(BB161)))/(N(BB204)+N(BB208)+N(BB210)+N(BB211)+N(BB218)+N(BB219)+N(BB220)),""),"")</f>
        <v>1.95644310339222</v>
      </c>
      <c r="BC347" s="262">
        <f>IFERROR(IF((N(BC204)+N(BC208)+N(BC210)+N(BC211)+N(BC218)+N(BC219)+N(BC220))&lt;&gt;0,(N(BC150)+(N(BC151)+N(BC155)+N(BC159)+N(BC160)+N(BC161)))/(N(BC204)+N(BC208)+N(BC210)+N(BC211)+N(BC218)+N(BC219)+N(BC220)),""),"")</f>
        <v>1.97870502935647</v>
      </c>
      <c r="BD347" s="262">
        <f>IFERROR(IF((N(BD204)+N(BD208)+N(BD210)+N(BD211)+N(BD218)+N(BD219)+N(BD220))&lt;&gt;0,(N(BD150)+(N(BD151)+N(BD155)+N(BD159)+N(BD160)+N(BD161)))/(N(BD204)+N(BD208)+N(BD210)+N(BD211)+N(BD218)+N(BD219)+N(BD220)),""),"")</f>
        <v>1.99570029606493</v>
      </c>
      <c r="BE347" s="262">
        <f>IFERROR(IF((N(BE204)+N(BE208)+N(BE210)+N(BE211)+N(BE218)+N(BE219)+N(BE220))&lt;&gt;0,(N(BE150)+(N(BE151)+N(BE155)+N(BE159)+N(BE160)+N(BE161)))/(N(BE204)+N(BE208)+N(BE210)+N(BE211)+N(BE218)+N(BE219)+N(BE220)),""),"")</f>
        <v>2.02327253285898</v>
      </c>
      <c r="BF347" s="262">
        <f>IFERROR(IF((N(BF204)+N(BF208)+N(BF210)+N(BF211)+N(BF218)+N(BF219)+N(BF220))&lt;&gt;0,(N(BF150)+(N(BF151)+N(BF155)+N(BF159)+N(BF160)+N(BF161)))/(N(BF204)+N(BF208)+N(BF210)+N(BF211)+N(BF218)+N(BF219)+N(BF220)),""),"")</f>
        <v>2.02327253285898</v>
      </c>
      <c r="BG347" s="82" t="n"/>
      <c r="BH347" s="82" t="n"/>
      <c r="BI347" s="82" t="n"/>
      <c r="BJ347" s="82" t="n"/>
      <c r="BL347" s="82" t="n"/>
      <c r="BM347" s="82" t="n"/>
      <c r="BN347" s="82" t="n"/>
      <c r="BO347" s="82" t="n"/>
      <c r="BQ347" s="82" t="n"/>
      <c r="BR347" s="82" t="n"/>
      <c r="BS347" s="82" t="n"/>
      <c r="BT347" s="82" t="n"/>
      <c r="BV347" s="82" t="n"/>
      <c r="BW347" s="82" t="n"/>
      <c r="BX347" s="82" t="n"/>
      <c r="BY347" s="82" t="n"/>
      <c r="CA347" s="82" t="n"/>
      <c r="CB347" s="82" t="n"/>
      <c r="CC347" s="82" t="n"/>
      <c r="CD347" s="82" t="n"/>
      <c r="CF347" s="82" t="n"/>
      <c r="CG347" s="82" t="n"/>
      <c r="CH347" s="82" t="n"/>
      <c r="CI347" s="82" t="n"/>
      <c r="CK347" s="82" t="n"/>
      <c r="CL347" s="82" t="n"/>
      <c r="CM347" s="82" t="n"/>
      <c r="CN347" s="82" t="n"/>
      <c r="CP347" s="82" t="n"/>
      <c r="CQ347" s="82" t="n"/>
      <c r="CR347" s="82" t="n"/>
      <c r="CS347" s="82" t="n"/>
      <c r="CU347" s="82" t="n"/>
      <c r="CV347" s="82" t="n"/>
      <c r="CW347" s="82" t="n"/>
      <c r="CX347" s="82" t="n"/>
    </row>
    <row r="348" customFormat="1" s="77">
      <c r="A348" s="76" t="n"/>
      <c r="B348" s="76" t="n"/>
      <c r="C348" s="77" t="inlineStr">
        <is>
          <t>CASH RATIO</t>
        </is>
      </c>
      <c r="D348" s="82" t="str">
        <f>IFERROR(SUM(D150)/SUM(D204,D208,D210,D211),"")</f>
        <v/>
      </c>
      <c r="E348" s="82" t="str">
        <f>IFERROR(SUM(E150)/SUM(E204,E208,E210,E211),"")</f>
        <v/>
      </c>
      <c r="F348" s="82" t="str">
        <f>IFERROR(SUM(F150)/SUM(F204,F208,F210,F211),"")</f>
        <v/>
      </c>
      <c r="G348" s="82" t="str">
        <f>IFERROR(SUM(G150)/SUM(G204,G208,G210,G211),"")</f>
        <v/>
      </c>
      <c r="H348" s="262" t="str">
        <f>IFERROR(IF((N(H204)+N(H208)+N(H210)+N(H211)+N(H218)+N(H219)+N(H220))&lt;&gt;0,N(H150)/(N(H204)+N(H208)+N(H210)+N(H211)+N(H218)+N(H219)+N(H220)),""),"")</f>
        <v/>
      </c>
      <c r="I348" s="262">
        <f>IFERROR(IF((N(I204)+N(I208)+N(I210)+N(I211)+N(I218)+N(I219)+N(I220))&lt;&gt;0,N(I150)/(N(I204)+N(I208)+N(I210)+N(I211)+N(I218)+N(I219)+N(I220)),""),"")</f>
        <v>3.04989823438191</v>
      </c>
      <c r="J348" s="262">
        <f>IFERROR(IF((N(J204)+N(J208)+N(J210)+N(J211)+N(J218)+N(J219)+N(J220))&lt;&gt;0,N(J150)/(N(J204)+N(J208)+N(J210)+N(J211)+N(J218)+N(J219)+N(J220)),""),"")</f>
        <v>2.31039676570979</v>
      </c>
      <c r="K348" s="262">
        <f>IFERROR(IF((N(K204)+N(K208)+N(K210)+N(K211)+N(K218)+N(K219)+N(K220))&lt;&gt;0,N(K150)/(N(K204)+N(K208)+N(K210)+N(K211)+N(K218)+N(K219)+N(K220)),""),"")</f>
        <v>3.24857089833234</v>
      </c>
      <c r="L348" s="262">
        <f>IFERROR(IF((N(L204)+N(L208)+N(L210)+N(L211)+N(L218)+N(L219)+N(L220))&lt;&gt;0,N(L150)/(N(L204)+N(L208)+N(L210)+N(L211)+N(L218)+N(L219)+N(L220)),""),"")</f>
        <v>2.61463019665326</v>
      </c>
      <c r="M348" s="262">
        <f>IFERROR(IF((N(M204)+N(M208)+N(M210)+N(M211)+N(M218)+N(M219)+N(M220))&lt;&gt;0,N(M150)/(N(M204)+N(M208)+N(M210)+N(M211)+N(M218)+N(M219)+N(M220)),""),"")</f>
        <v>2.61463019665326</v>
      </c>
      <c r="N348" s="262">
        <f>IFERROR(IF((N(N204)+N(N208)+N(N210)+N(N211)+N(N218)+N(N219)+N(N220))&lt;&gt;0,N(N150)/(N(N204)+N(N208)+N(N210)+N(N211)+N(N218)+N(N219)+N(N220)),""),"")</f>
        <v>1.97576943504427</v>
      </c>
      <c r="O348" s="262">
        <f>IFERROR(IF((N(O204)+N(O208)+N(O210)+N(O211)+N(O218)+N(O219)+N(O220))&lt;&gt;0,N(O150)/(N(O204)+N(O208)+N(O210)+N(O211)+N(O218)+N(O219)+N(O220)),""),"")</f>
        <v>1.66400179366594</v>
      </c>
      <c r="P348" s="262">
        <f>IFERROR(IF((N(P204)+N(P208)+N(P210)+N(P211)+N(P218)+N(P219)+N(P220))&lt;&gt;0,N(P150)/(N(P204)+N(P208)+N(P210)+N(P211)+N(P218)+N(P219)+N(P220)),""),"")</f>
        <v>1.58628559544428</v>
      </c>
      <c r="Q348" s="262">
        <f>IFERROR(IF((N(Q204)+N(Q208)+N(Q210)+N(Q211)+N(Q218)+N(Q219)+N(Q220))&lt;&gt;0,N(Q150)/(N(Q204)+N(Q208)+N(Q210)+N(Q211)+N(Q218)+N(Q219)+N(Q220)),""),"")</f>
        <v>0.924240241578268</v>
      </c>
      <c r="R348" s="262">
        <f>IFERROR(IF((N(R204)+N(R208)+N(R210)+N(R211)+N(R218)+N(R219)+N(R220))&lt;&gt;0,N(R150)/(N(R204)+N(R208)+N(R210)+N(R211)+N(R218)+N(R219)+N(R220)),""),"")</f>
        <v>0.924240241578268</v>
      </c>
      <c r="S348" s="262">
        <f>IFERROR(IF((N(S204)+N(S208)+N(S210)+N(S211)+N(S218)+N(S219)+N(S220))&lt;&gt;0,N(S150)/(N(S204)+N(S208)+N(S210)+N(S211)+N(S218)+N(S219)+N(S220)),""),"")</f>
        <v>0.948534531408309</v>
      </c>
      <c r="T348" s="262">
        <f>IFERROR(IF((N(T204)+N(T208)+N(T210)+N(T211)+N(T218)+N(T219)+N(T220))&lt;&gt;0,N(T150)/(N(T204)+N(T208)+N(T210)+N(T211)+N(T218)+N(T219)+N(T220)),""),"")</f>
        <v>0.819868197962107</v>
      </c>
      <c r="U348" s="262">
        <f>IFERROR(IF((N(U204)+N(U208)+N(U210)+N(U211)+N(U218)+N(U219)+N(U220))&lt;&gt;0,N(U150)/(N(U204)+N(U208)+N(U210)+N(U211)+N(U218)+N(U219)+N(U220)),""),"")</f>
        <v>0.724452141604621</v>
      </c>
      <c r="V348" s="262">
        <f>IFERROR(IF((N(V204)+N(V208)+N(V210)+N(V211)+N(V218)+N(V219)+N(V220))&lt;&gt;0,N(V150)/(N(V204)+N(V208)+N(V210)+N(V211)+N(V218)+N(V219)+N(V220)),""),"")</f>
        <v>0.725729420303437</v>
      </c>
      <c r="W348" s="262">
        <f>IFERROR(IF((N(W204)+N(W208)+N(W210)+N(W211)+N(W218)+N(W219)+N(W220))&lt;&gt;0,N(W150)/(N(W204)+N(W208)+N(W210)+N(W211)+N(W218)+N(W219)+N(W220)),""),"")</f>
        <v>0.725729420303437</v>
      </c>
      <c r="X348" s="262">
        <f>IFERROR(IF((N(X204)+N(X208)+N(X210)+N(X211)+N(X218)+N(X219)+N(X220))&lt;&gt;0,N(X150)/(N(X204)+N(X208)+N(X210)+N(X211)+N(X218)+N(X219)+N(X220)),""),"")</f>
        <v>0.774448900417468</v>
      </c>
      <c r="Y348" s="262">
        <f>IFERROR(IF((N(Y204)+N(Y208)+N(Y210)+N(Y211)+N(Y218)+N(Y219)+N(Y220))&lt;&gt;0,N(Y150)/(N(Y204)+N(Y208)+N(Y210)+N(Y211)+N(Y218)+N(Y219)+N(Y220)),""),"")</f>
        <v>0.676418146309024</v>
      </c>
      <c r="Z348" s="262">
        <f>IFERROR(IF((N(Z204)+N(Z208)+N(Z210)+N(Z211)+N(Z218)+N(Z219)+N(Z220))&lt;&gt;0,N(Z150)/(N(Z204)+N(Z208)+N(Z210)+N(Z211)+N(Z218)+N(Z219)+N(Z220)),""),"")</f>
        <v>0.767391522285343</v>
      </c>
      <c r="AA348" s="262">
        <f>IFERROR(IF((N(AA204)+N(AA208)+N(AA210)+N(AA211)+N(AA218)+N(AA219)+N(AA220))&lt;&gt;0,N(AA150)/(N(AA204)+N(AA208)+N(AA210)+N(AA211)+N(AA218)+N(AA219)+N(AA220)),""),"")</f>
        <v>0.635565568414097</v>
      </c>
      <c r="AB348" s="262">
        <f>IFERROR(IF((N(AB204)+N(AB208)+N(AB210)+N(AB211)+N(AB218)+N(AB219)+N(AB220))&lt;&gt;0,N(AB150)/(N(AB204)+N(AB208)+N(AB210)+N(AB211)+N(AB218)+N(AB219)+N(AB220)),""),"")</f>
        <v>0.635565568414097</v>
      </c>
      <c r="AC348" s="262">
        <f>IFERROR(IF((N(AC204)+N(AC208)+N(AC210)+N(AC211)+N(AC218)+N(AC219)+N(AC220))&lt;&gt;0,N(AC150)/(N(AC204)+N(AC208)+N(AC210)+N(AC211)+N(AC218)+N(AC219)+N(AC220)),""),"")</f>
        <v>0.700637929536494</v>
      </c>
      <c r="AD348" s="262">
        <f>IFERROR(IF((N(AD204)+N(AD208)+N(AD210)+N(AD211)+N(AD218)+N(AD219)+N(AD220))&lt;&gt;0,N(AD150)/(N(AD204)+N(AD208)+N(AD210)+N(AD211)+N(AD218)+N(AD219)+N(AD220)),""),"")</f>
        <v>0.650039792396295</v>
      </c>
      <c r="AE348" s="262">
        <f>IFERROR(IF((N(AE204)+N(AE208)+N(AE210)+N(AE211)+N(AE218)+N(AE219)+N(AE220))&lt;&gt;0,N(AE150)/(N(AE204)+N(AE208)+N(AE210)+N(AE211)+N(AE218)+N(AE219)+N(AE220)),""),"")</f>
        <v>0.621594365289756</v>
      </c>
      <c r="AF348" s="262">
        <f>IFERROR(IF((N(AF204)+N(AF208)+N(AF210)+N(AF211)+N(AF218)+N(AF219)+N(AF220))&lt;&gt;0,N(AF150)/(N(AF204)+N(AF208)+N(AF210)+N(AF211)+N(AF218)+N(AF219)+N(AF220)),""),"")</f>
        <v>0.712225779783002</v>
      </c>
      <c r="AG348" s="262">
        <f>IFERROR(IF((N(AG204)+N(AG208)+N(AG210)+N(AG211)+N(AG218)+N(AG219)+N(AG220))&lt;&gt;0,N(AG150)/(N(AG204)+N(AG208)+N(AG210)+N(AG211)+N(AG218)+N(AG219)+N(AG220)),""),"")</f>
        <v>0.712225779783002</v>
      </c>
      <c r="AH348" s="262">
        <f>IFERROR(IF((N(AH204)+N(AH208)+N(AH210)+N(AH211)+N(AH218)+N(AH219)+N(AH220))&lt;&gt;0,N(AH150)/(N(AH204)+N(AH208)+N(AH210)+N(AH211)+N(AH218)+N(AH219)+N(AH220)),""),"")</f>
        <v>0.778553965410243</v>
      </c>
      <c r="AI348" s="262">
        <f>IFERROR(IF((N(AI204)+N(AI208)+N(AI210)+N(AI211)+N(AI218)+N(AI219)+N(AI220))&lt;&gt;0,N(AI150)/(N(AI204)+N(AI208)+N(AI210)+N(AI211)+N(AI218)+N(AI219)+N(AI220)),""),"")</f>
        <v>0.740526635842087</v>
      </c>
      <c r="AJ348" s="262">
        <f>IFERROR(IF((N(AJ204)+N(AJ208)+N(AJ210)+N(AJ211)+N(AJ218)+N(AJ219)+N(AJ220))&lt;&gt;0,N(AJ150)/(N(AJ204)+N(AJ208)+N(AJ210)+N(AJ211)+N(AJ218)+N(AJ219)+N(AJ220)),""),"")</f>
        <v>0.77324790530952</v>
      </c>
      <c r="AK348" s="262">
        <f>IFERROR(IF((N(AK204)+N(AK208)+N(AK210)+N(AK211)+N(AK218)+N(AK219)+N(AK220))&lt;&gt;0,N(AK150)/(N(AK204)+N(AK208)+N(AK210)+N(AK211)+N(AK218)+N(AK219)+N(AK220)),""),"")</f>
        <v>0.808017994461446</v>
      </c>
      <c r="AL348" s="262">
        <f>IFERROR(IF((N(AL204)+N(AL208)+N(AL210)+N(AL211)+N(AL218)+N(AL219)+N(AL220))&lt;&gt;0,N(AL150)/(N(AL204)+N(AL208)+N(AL210)+N(AL211)+N(AL218)+N(AL219)+N(AL220)),""),"")</f>
        <v>0.808017994461446</v>
      </c>
      <c r="AM348" s="262">
        <f>IFERROR(IF((N(AM204)+N(AM208)+N(AM210)+N(AM211)+N(AM218)+N(AM219)+N(AM220))&lt;&gt;0,N(AM150)/(N(AM204)+N(AM208)+N(AM210)+N(AM211)+N(AM218)+N(AM219)+N(AM220)),""),"")</f>
        <v>0.840776288642186</v>
      </c>
      <c r="AN348" s="262">
        <f>IFERROR(IF((N(AN204)+N(AN208)+N(AN210)+N(AN211)+N(AN218)+N(AN219)+N(AN220))&lt;&gt;0,N(AN150)/(N(AN204)+N(AN208)+N(AN210)+N(AN211)+N(AN218)+N(AN219)+N(AN220)),""),"")</f>
        <v>0.868187340128405</v>
      </c>
      <c r="AO348" s="262">
        <f>IFERROR(IF((N(AO204)+N(AO208)+N(AO210)+N(AO211)+N(AO218)+N(AO219)+N(AO220))&lt;&gt;0,N(AO150)/(N(AO204)+N(AO208)+N(AO210)+N(AO211)+N(AO218)+N(AO219)+N(AO220)),""),"")</f>
        <v>0.888929200890508</v>
      </c>
      <c r="AP348" s="262">
        <f>IFERROR(IF((N(AP204)+N(AP208)+N(AP210)+N(AP211)+N(AP218)+N(AP219)+N(AP220))&lt;&gt;0,N(AP150)/(N(AP204)+N(AP208)+N(AP210)+N(AP211)+N(AP218)+N(AP219)+N(AP220)),""),"")</f>
        <v>0.923749155986136</v>
      </c>
      <c r="AQ348" s="262">
        <f>IFERROR(IF((N(AQ204)+N(AQ208)+N(AQ210)+N(AQ211)+N(AQ218)+N(AQ219)+N(AQ220))&lt;&gt;0,N(AQ150)/(N(AQ204)+N(AQ208)+N(AQ210)+N(AQ211)+N(AQ218)+N(AQ219)+N(AQ220)),""),"")</f>
        <v>0.923749155986136</v>
      </c>
      <c r="AR348" s="262">
        <f>IFERROR(IF((N(AR204)+N(AR208)+N(AR210)+N(AR211)+N(AR218)+N(AR219)+N(AR220))&lt;&gt;0,N(AR150)/(N(AR204)+N(AR208)+N(AR210)+N(AR211)+N(AR218)+N(AR219)+N(AR220)),""),"")</f>
        <v>0.963381140436316</v>
      </c>
      <c r="AS348" s="262">
        <f>IFERROR(IF((N(AS204)+N(AS208)+N(AS210)+N(AS211)+N(AS218)+N(AS219)+N(AS220))&lt;&gt;0,N(AS150)/(N(AS204)+N(AS208)+N(AS210)+N(AS211)+N(AS218)+N(AS219)+N(AS220)),""),"")</f>
        <v>0.984714883039754</v>
      </c>
      <c r="AT348" s="262">
        <f>IFERROR(IF((N(AT204)+N(AT208)+N(AT210)+N(AT211)+N(AT218)+N(AT219)+N(AT220))&lt;&gt;0,N(AT150)/(N(AT204)+N(AT208)+N(AT210)+N(AT211)+N(AT218)+N(AT219)+N(AT220)),""),"")</f>
        <v>1.00364083355132</v>
      </c>
      <c r="AU348" s="262">
        <f>IFERROR(IF((N(AU204)+N(AU208)+N(AU210)+N(AU211)+N(AU218)+N(AU219)+N(AU220))&lt;&gt;0,N(AU150)/(N(AU204)+N(AU208)+N(AU210)+N(AU211)+N(AU218)+N(AU219)+N(AU220)),""),"")</f>
        <v>1.03807712780239</v>
      </c>
      <c r="AV348" s="262">
        <f>IFERROR(IF((N(AV204)+N(AV208)+N(AV210)+N(AV211)+N(AV218)+N(AV219)+N(AV220))&lt;&gt;0,N(AV150)/(N(AV204)+N(AV208)+N(AV210)+N(AV211)+N(AV218)+N(AV219)+N(AV220)),""),"")</f>
        <v>1.03807712780239</v>
      </c>
      <c r="AW348" s="262">
        <f>IFERROR(IF((N(AW204)+N(AW208)+N(AW210)+N(AW211)+N(AW218)+N(AW219)+N(AW220))&lt;&gt;0,N(AW150)/(N(AW204)+N(AW208)+N(AW210)+N(AW211)+N(AW218)+N(AW219)+N(AW220)),""),"")</f>
        <v>1.07455133303354</v>
      </c>
      <c r="AX348" s="262">
        <f>IFERROR(IF((N(AX204)+N(AX208)+N(AX210)+N(AX211)+N(AX218)+N(AX219)+N(AX220))&lt;&gt;0,N(AX150)/(N(AX204)+N(AX208)+N(AX210)+N(AX211)+N(AX218)+N(AX219)+N(AX220)),""),"")</f>
        <v>1.09967195951508</v>
      </c>
      <c r="AY348" s="262">
        <f>IFERROR(IF((N(AY204)+N(AY208)+N(AY210)+N(AY211)+N(AY218)+N(AY219)+N(AY220))&lt;&gt;0,N(AY150)/(N(AY204)+N(AY208)+N(AY210)+N(AY211)+N(AY218)+N(AY219)+N(AY220)),""),"")</f>
        <v>1.1165591501583</v>
      </c>
      <c r="AZ348" s="262">
        <f>IFERROR(IF((N(AZ204)+N(AZ208)+N(AZ210)+N(AZ211)+N(AZ218)+N(AZ219)+N(AZ220))&lt;&gt;0,N(AZ150)/(N(AZ204)+N(AZ208)+N(AZ210)+N(AZ211)+N(AZ218)+N(AZ219)+N(AZ220)),""),"")</f>
        <v>1.15032530804869</v>
      </c>
      <c r="BA348" s="262">
        <f>IFERROR(IF((N(BA204)+N(BA208)+N(BA210)+N(BA211)+N(BA218)+N(BA219)+N(BA220))&lt;&gt;0,N(BA150)/(N(BA204)+N(BA208)+N(BA210)+N(BA211)+N(BA218)+N(BA219)+N(BA220)),""),"")</f>
        <v>1.15032530804869</v>
      </c>
      <c r="BB348" s="262">
        <f>IFERROR(IF((N(BB204)+N(BB208)+N(BB210)+N(BB211)+N(BB218)+N(BB219)+N(BB220))&lt;&gt;0,N(BB150)/(N(BB204)+N(BB208)+N(BB210)+N(BB211)+N(BB218)+N(BB219)+N(BB220)),""),"")</f>
        <v>1.18885597103269</v>
      </c>
      <c r="BC348" s="262">
        <f>IFERROR(IF((N(BC204)+N(BC208)+N(BC210)+N(BC211)+N(BC218)+N(BC219)+N(BC220))&lt;&gt;0,N(BC150)/(N(BC204)+N(BC208)+N(BC210)+N(BC211)+N(BC218)+N(BC219)+N(BC220)),""),"")</f>
        <v>1.21250398294287</v>
      </c>
      <c r="BD348" s="262">
        <f>IFERROR(IF((N(BD204)+N(BD208)+N(BD210)+N(BD211)+N(BD218)+N(BD219)+N(BD220))&lt;&gt;0,N(BD150)/(N(BD204)+N(BD208)+N(BD210)+N(BD211)+N(BD218)+N(BD219)+N(BD220)),""),"")</f>
        <v>1.22722734228483</v>
      </c>
      <c r="BE348" s="262">
        <f>IFERROR(IF((N(BE204)+N(BE208)+N(BE210)+N(BE211)+N(BE218)+N(BE219)+N(BE220))&lt;&gt;0,N(BE150)/(N(BE204)+N(BE208)+N(BE210)+N(BE211)+N(BE218)+N(BE219)+N(BE220)),""),"")</f>
        <v>1.2601234503099</v>
      </c>
      <c r="BF348" s="262">
        <f>IFERROR(IF((N(BF204)+N(BF208)+N(BF210)+N(BF211)+N(BF218)+N(BF219)+N(BF220))&lt;&gt;0,N(BF150)/(N(BF204)+N(BF208)+N(BF210)+N(BF211)+N(BF218)+N(BF219)+N(BF220)),""),"")</f>
        <v>1.2601234503099</v>
      </c>
      <c r="BG348" s="82" t="n"/>
      <c r="BH348" s="82" t="n"/>
      <c r="BI348" s="82" t="n"/>
      <c r="BJ348" s="82" t="n"/>
      <c r="BL348" s="82" t="n"/>
      <c r="BM348" s="82" t="n"/>
      <c r="BN348" s="82" t="n"/>
      <c r="BO348" s="82" t="n"/>
      <c r="BQ348" s="82" t="n"/>
      <c r="BR348" s="82" t="n"/>
      <c r="BS348" s="82" t="n"/>
      <c r="BT348" s="82" t="n"/>
      <c r="BV348" s="82" t="n"/>
      <c r="BW348" s="82" t="n"/>
      <c r="BX348" s="82" t="n"/>
      <c r="BY348" s="82" t="n"/>
      <c r="CA348" s="82" t="n"/>
      <c r="CB348" s="82" t="n"/>
      <c r="CC348" s="82" t="n"/>
      <c r="CD348" s="82" t="n"/>
      <c r="CF348" s="82" t="n"/>
      <c r="CG348" s="82" t="n"/>
      <c r="CH348" s="82" t="n"/>
      <c r="CI348" s="82" t="n"/>
      <c r="CK348" s="82" t="n"/>
      <c r="CL348" s="82" t="n"/>
      <c r="CM348" s="82" t="n"/>
      <c r="CN348" s="82" t="n"/>
      <c r="CP348" s="82" t="n"/>
      <c r="CQ348" s="82" t="n"/>
      <c r="CR348" s="82" t="n"/>
      <c r="CS348" s="82" t="n"/>
      <c r="CU348" s="82" t="n"/>
      <c r="CV348" s="82" t="n"/>
      <c r="CW348" s="82" t="n"/>
      <c r="CX348" s="82" t="n"/>
    </row>
    <row r="349" customFormat="1" s="77">
      <c r="A349" s="76" t="n"/>
      <c r="B349" s="76" t="n"/>
    </row>
    <row r="350" customFormat="1" s="77">
      <c r="A350" s="76" t="n"/>
      <c r="B350" s="76" t="n"/>
      <c r="C350" s="74" t="inlineStr">
        <is>
          <t>OPERATING EFFICIENCY</t>
        </is>
      </c>
    </row>
    <row r="351" customFormat="1" s="84">
      <c r="A351" s="81" t="n"/>
      <c r="B351" s="81" t="n"/>
      <c r="C351" s="84" t="inlineStr">
        <is>
          <t>RETURN ON CAPITAL (ROIC) - LTM</t>
        </is>
      </c>
      <c r="D351" t="str">
        <f>IFERROR(D353/D356,"")</f>
        <v/>
      </c>
      <c r="E351" t="str">
        <f>IFERROR(E353/E356,"")</f>
        <v/>
      </c>
      <c r="F351" t="str">
        <f>IFERROR(F353/F356,"")</f>
        <v/>
      </c>
      <c r="G351" t="str">
        <f>IFERROR(G353/G356,"")</f>
        <v/>
      </c>
      <c r="H351" s="257" t="str">
        <f>IFERROR(IF(AND(COUNT(H353)=1,N(H356)&lt;&gt;0),(H353)/H356,""),"")</f>
        <v/>
      </c>
      <c r="I351" s="257" t="str">
        <f>""</f>
        <v/>
      </c>
      <c r="J351" s="257" t="str">
        <f>""</f>
        <v/>
      </c>
      <c r="K351" s="257" t="str">
        <f>""</f>
        <v/>
      </c>
      <c r="L351" s="257">
        <f>IFERROR(IF(AND(COUNT(I353,J353,K353,L353)=4,N(L356)&lt;&gt;0),(I353+J353+K353+L353)/L356,""),"")</f>
        <v>0.0962113108560784</v>
      </c>
      <c r="M351" s="257">
        <f>IFERROR(IF(AND(COUNT(I353,J353,K353,L353)=4,N(M356)&lt;&gt;0),(I353+J353+K353+L353)/M356,""),"")</f>
        <v>0.0962113108560784</v>
      </c>
      <c r="N351" s="257">
        <f>IFERROR(IF(AND(COUNT(J353,K353,L353,N353)=4,N(N356)&lt;&gt;0),(J353+K353+L353+N353)/N356,""),"")</f>
        <v>0.109671677024371</v>
      </c>
      <c r="O351" s="257">
        <f>IFERROR(IF(AND(COUNT(K353,L353,N353,O353)=4,N(O356)&lt;&gt;0),(K353+L353+N353+O353)/O356,""),"")</f>
        <v>0.106433860671283</v>
      </c>
      <c r="P351" s="257">
        <f>IFERROR(IF(AND(COUNT(L353,N353,O353,P353)=4,N(P356)&lt;&gt;0),(L353+N353+O353+P353)/P356,""),"")</f>
        <v>0.101752457207009</v>
      </c>
      <c r="Q351" s="257">
        <f>IFERROR(IF(AND(COUNT(N353,O353,P353,Q353)=4,N(Q356)&lt;&gt;0),(N353+O353+P353+Q353)/Q356,""),"")</f>
        <v>0.113241667124943</v>
      </c>
      <c r="R351" s="257">
        <f>IFERROR(IF(AND(COUNT(N353,O353,P353,Q353)=4,N(R356)&lt;&gt;0),(N353+O353+P353+Q353)/R356,""),"")</f>
        <v>0.113241667124943</v>
      </c>
      <c r="S351" s="257">
        <f>IFERROR(IF(AND(COUNT(O353,P353,Q353,S353)=4,N(S356)&lt;&gt;0),(O353+P353+Q353+S353)/S356,""),"")</f>
        <v>0.117779100003477</v>
      </c>
      <c r="T351" s="257">
        <f>IFERROR(IF(AND(COUNT(P353,Q353,S353,T353)=4,N(T356)&lt;&gt;0),(P353+Q353+S353+T353)/T356,""),"")</f>
        <v>0.123089506526846</v>
      </c>
      <c r="U351" s="257">
        <f>IFERROR(IF(AND(COUNT(Q353,S353,T353,U353)=4,N(U356)&lt;&gt;0),(Q353+S353+T353+U353)/U356,""),"")</f>
        <v>0.116728774806686</v>
      </c>
      <c r="V351" s="257">
        <f>IFERROR(IF(AND(COUNT(S353,T353,U353,V353)=4,N(V356)&lt;&gt;0),(S353+T353+U353+V353)/V356,""),"")</f>
        <v>0.0949372382809143</v>
      </c>
      <c r="W351" s="257">
        <f>IFERROR(IF(AND(COUNT(S353,T353,U353,V353)=4,N(W356)&lt;&gt;0),(S353+T353+U353+V353)/W356,""),"")</f>
        <v>0.0949372382809143</v>
      </c>
      <c r="X351" s="257">
        <f>IFERROR(IF(AND(COUNT(T353,U353,V353,X353)=4,N(X356)&lt;&gt;0),(T353+U353+V353+X353)/X356,""),"")</f>
        <v>0.0904479115803695</v>
      </c>
      <c r="Y351" s="257">
        <f>IFERROR(IF(AND(COUNT(U353,V353,X353,Y353)=4,N(Y356)&lt;&gt;0),(U353+V353+X353+Y353)/Y356,""),"")</f>
        <v>0.0755753980461017</v>
      </c>
      <c r="Z351" s="257">
        <f>IFERROR(IF(AND(COUNT(V353,X353,Y353,Z353)=4,N(Z356)&lt;&gt;0),(V353+X353+Y353+Z353)/Z356,""),"")</f>
        <v>0.0811551824903054</v>
      </c>
      <c r="AA351" s="257">
        <f>IFERROR(IF(AND(COUNT(X353,Y353,Z353,AA353)=4,N(AA356)&lt;&gt;0),(X353+Y353+Z353+AA353)/AA356,""),"")</f>
        <v>0.102774026936948</v>
      </c>
      <c r="AB351" s="257">
        <f>IFERROR(IF(AND(COUNT(X353,Y353,Z353,AA353)=4,N(AB356)&lt;&gt;0),(X353+Y353+Z353+AA353)/AB356,""),"")</f>
        <v>0.102774026936948</v>
      </c>
      <c r="AC351" s="257">
        <f>IFERROR(IF(AND(COUNT(Y353,Z353,AA353,AC353)=4,N(AC356)&lt;&gt;0),(Y353+Z353+AA353+AC353)/AC356,""),"")</f>
        <v>0.0777112522766226</v>
      </c>
      <c r="AD351" s="257">
        <f>IFERROR(IF(AND(COUNT(Z353,AA353,AC353,AD353)=4,N(AD356)&lt;&gt;0),(Z353+AA353+AC353+AD353)/AD356,""),"")</f>
        <v>0.0679043273452947</v>
      </c>
      <c r="AE351" s="257">
        <f>IFERROR(IF(AND(COUNT(AA353,AC353,AD353,AE353)=4,N(AE356)&lt;&gt;0),(AA353+AC353+AD353+AE353)/AE356,""),"")</f>
        <v>0.0713567475203598</v>
      </c>
      <c r="AF351" s="257">
        <f>IFERROR(IF(AND(COUNT(AB353,AD353,AE353,AF353)=4,N(AF356)&lt;&gt;0),(AB353+AD353+AE353+AF353)/AF356,""),"")</f>
        <v>0.108089831754554</v>
      </c>
      <c r="AG351" s="257">
        <f>IFERROR(IF(AND(COUNT(AC353,AD353,AE353,AF353)=4,N(AG356)&lt;&gt;0),(AC353+AD353+AE353+AF353)/AG356,""),"")</f>
        <v>0.0776749036067893</v>
      </c>
      <c r="AH351" s="257">
        <f>IFERROR(IF(AND(COUNT(AD353,AF353,AG353,AH353)=4,N(AH356)&lt;&gt;0),(AD353+AF353+AG353+AH353)/AH356,""),"")</f>
        <v>0.213069442997825</v>
      </c>
      <c r="AI351" s="257">
        <f>IFERROR(IF(AND(COUNT(AE353,AG353,AH353,AI353)=4,N(AI356)&lt;&gt;0),(AE353+AG353+AH353+AI353)/AI356,""),"")</f>
        <v>0.212280797228259</v>
      </c>
      <c r="AJ351" s="257">
        <f>IFERROR(IF(AND(COUNT(AF353,AH353,AI353,AJ353)=4,N(AJ356)&lt;&gt;0),(AF353+AH353+AI353+AJ353)/AJ356,""),"")</f>
        <v>0.11239574258767</v>
      </c>
      <c r="AK351" s="257">
        <f>IFERROR(IF(AND(COUNT(AH353,AI353,AJ353,AK353)=4,N(AK356)&lt;&gt;0),(AH353+AI353+AJ353+AK353)/AK356,""),"")</f>
        <v>0.0943981148811126</v>
      </c>
      <c r="AL351" s="257">
        <f>IFERROR(IF(AND(COUNT(AH353,AI353,AJ353,AK353)=4,N(AL356)&lt;&gt;0),(AH353+AI353+AJ353+AK353)/AL356,""),"")</f>
        <v>0.0943981148811126</v>
      </c>
      <c r="AM351" s="257">
        <f>IFERROR(IF(AND(COUNT(AI353,AJ353,AK353,AM353)=4,N(AM356)&lt;&gt;0),(AI353+AJ353+AK353+AM353)/AM356,""),"")</f>
        <v>0.087451894528501</v>
      </c>
      <c r="AN351" s="257">
        <f>IFERROR(IF(AND(COUNT(AJ353,AK353,AM353,AN353)=4,N(AN356)&lt;&gt;0),(AJ353+AK353+AM353+AN353)/AN356,""),"")</f>
        <v>0.0749098731842299</v>
      </c>
      <c r="AO351" s="257">
        <f>IFERROR(IF(AND(COUNT(AK353,AM353,AN353,AO353)=4,N(AO356)&lt;&gt;0),(AK353+AM353+AN353+AO353)/AO356,""),"")</f>
        <v>0.0754120804597434</v>
      </c>
      <c r="AP351" s="257">
        <f>IFERROR(IF(AND(COUNT(AM353,AN353,AO353,AP353)=4,N(AP356)&lt;&gt;0),(AM353+AN353+AO353+AP353)/AP356,""),"")</f>
        <v>0.0760798817376557</v>
      </c>
      <c r="AQ351" s="257">
        <f>IFERROR(IF(AND(COUNT(AM353,AN353,AO353,AP353)=4,N(AQ356)&lt;&gt;0),(AM353+AN353+AO353+AP353)/AQ356,""),"")</f>
        <v>0.0760798817376557</v>
      </c>
      <c r="AR351" s="257">
        <f>IFERROR(IF(AND(COUNT(AN353,AO353,AP353,AR353)=4,N(AR356)&lt;&gt;0),(AN353+AO353+AP353+AR353)/AR356,""),"")</f>
        <v>0.0767032871510453</v>
      </c>
      <c r="AS351" s="257">
        <f>IFERROR(IF(AND(COUNT(AO353,AP353,AR353,AS353)=4,N(AS356)&lt;&gt;0),(AO353+AP353+AR353+AS353)/AS356,""),"")</f>
        <v>0.0771421699174775</v>
      </c>
      <c r="AT351" s="257">
        <f>IFERROR(IF(AND(COUNT(AP353,AR353,AS353,AT353)=4,N(AT356)&lt;&gt;0),(AP353+AR353+AS353+AT353)/AT356,""),"")</f>
        <v>0.0775678898703885</v>
      </c>
      <c r="AU351" s="257">
        <f>IFERROR(IF(AND(COUNT(AR353,AS353,AT353,AU353)=4,N(AU356)&lt;&gt;0),(AR353+AS353+AT353+AU353)/AU356,""),"")</f>
        <v>0.0781700340983941</v>
      </c>
      <c r="AV351" s="257">
        <f>IFERROR(IF(AND(COUNT(AR353,AS353,AT353,AU353)=4,N(AV356)&lt;&gt;0),(AR353+AS353+AT353+AU353)/AV356,""),"")</f>
        <v>0.0781700340983941</v>
      </c>
      <c r="AW351" s="257">
        <f>IFERROR(IF(AND(COUNT(AS353,AT353,AU353,AW353)=4,N(AW356)&lt;&gt;0),(AS353+AT353+AU353+AW353)/AW356,""),"")</f>
        <v>0.0786937649257911</v>
      </c>
      <c r="AX351" s="257">
        <f>IFERROR(IF(AND(COUNT(AT353,AU353,AW353,AX353)=4,N(AX356)&lt;&gt;0),(AT353+AU353+AW353+AX353)/AX356,""),"")</f>
        <v>0.0791100976368824</v>
      </c>
      <c r="AY351" s="257">
        <f>IFERROR(IF(AND(COUNT(AU353,AW353,AX353,AY353)=4,N(AY356)&lt;&gt;0),(AU353+AW353+AX353+AY353)/AY356,""),"")</f>
        <v>0.0794519375150679</v>
      </c>
      <c r="AZ351" s="257">
        <f>IFERROR(IF(AND(COUNT(AW353,AX353,AY353,AZ353)=4,N(AZ356)&lt;&gt;0),(AW353+AX353+AY353+AZ353)/AZ356,""),"")</f>
        <v>0.0799796532378976</v>
      </c>
      <c r="BA351" s="257">
        <f>IFERROR(IF(AND(COUNT(AW353,AX353,AY353,AZ353)=4,N(BA356)&lt;&gt;0),(AW353+AX353+AY353+AZ353)/BA356,""),"")</f>
        <v>0.0799796532378976</v>
      </c>
      <c r="BB351" s="257">
        <f>IFERROR(IF(AND(COUNT(AX353,AY353,AZ353,BB353)=4,N(BB356)&lt;&gt;0),(AX353+AY353+AZ353+BB353)/BB356,""),"")</f>
        <v>0.0804514070773011</v>
      </c>
      <c r="BC351" s="257">
        <f>IFERROR(IF(AND(COUNT(AY353,AZ353,BB353,BC353)=4,N(BC356)&lt;&gt;0),(AY353+AZ353+BB353+BC353)/BC356,""),"")</f>
        <v>0.080782951742861</v>
      </c>
      <c r="BD351" s="257">
        <f>IFERROR(IF(AND(COUNT(AZ353,BB353,BC353,BD353)=4,N(BD356)&lt;&gt;0),(AZ353+BB353+BC353+BD353)/BD356,""),"")</f>
        <v>0.0810325561622839</v>
      </c>
      <c r="BE351" s="257">
        <f>IFERROR(IF(AND(COUNT(BB353,BC353,BD353,BE353)=4,N(BE356)&lt;&gt;0),(BB353+BC353+BD353+BE353)/BE356,""),"")</f>
        <v>0.0814758114650831</v>
      </c>
      <c r="BF351" s="257">
        <f>IFERROR(IF(AND(COUNT(BB353,BC353,BD353,BE353)=4,N(BF356)&lt;&gt;0),(BB353+BC353+BD353+BE353)/BF356,""),"")</f>
        <v>0.0814758114650831</v>
      </c>
      <c r="BG351" s="81" t="n"/>
      <c r="BH351" s="81" t="n"/>
      <c r="BI351" s="81" t="n"/>
      <c r="BJ351" s="81" t="n"/>
      <c r="BL351" s="81" t="n"/>
      <c r="BM351" s="81" t="n"/>
      <c r="BN351" s="81" t="n"/>
      <c r="BO351" s="81" t="n"/>
      <c r="BQ351" s="81" t="n"/>
      <c r="BR351" s="81" t="n"/>
      <c r="BS351" s="81" t="n"/>
      <c r="BT351" s="81" t="n"/>
      <c r="BV351" s="81" t="n"/>
      <c r="BW351" s="81" t="n"/>
      <c r="BX351" s="81" t="n"/>
      <c r="BY351" s="81" t="n"/>
      <c r="CA351" s="81" t="n"/>
      <c r="CB351" s="81" t="n"/>
      <c r="CC351" s="81" t="n"/>
      <c r="CD351" s="81" t="n"/>
      <c r="CF351" s="81" t="n"/>
      <c r="CG351" s="81" t="n"/>
      <c r="CH351" s="81" t="n"/>
      <c r="CI351" s="81" t="n"/>
      <c r="CK351" s="81" t="n"/>
      <c r="CL351" s="81" t="n"/>
      <c r="CM351" s="81" t="n"/>
      <c r="CN351" s="81" t="n"/>
      <c r="CP351" s="81" t="n"/>
      <c r="CQ351" s="81" t="n"/>
      <c r="CR351" s="81" t="n"/>
      <c r="CS351" s="81" t="n"/>
      <c r="CU351" s="81" t="n"/>
      <c r="CV351" s="81" t="n"/>
      <c r="CW351" s="81" t="n"/>
      <c r="CX351" s="81" t="n"/>
    </row>
    <row r="352" customFormat="1" s="84">
      <c r="A352" s="81" t="n"/>
      <c r="B352" s="81" t="n"/>
      <c r="C352" s="84" t="inlineStr">
        <is>
          <t>RETURN ON CAPITAL (ROIC) - EX GOODWILL - LTM</t>
        </is>
      </c>
      <c r="D352" t="str">
        <f>IFERROR(D353/D357,"")</f>
        <v/>
      </c>
      <c r="E352" t="str">
        <f>IFERROR(E353/E357,"")</f>
        <v/>
      </c>
      <c r="F352" t="str">
        <f>IFERROR(F353/F357,"")</f>
        <v/>
      </c>
      <c r="G352" t="str">
        <f>IFERROR(G353/G357,"")</f>
        <v/>
      </c>
      <c r="H352" s="257" t="str">
        <f>IFERROR(IF(AND(COUNT(H353)=1,N(H357)&lt;&gt;0),(H353)/H357,""),"")</f>
        <v/>
      </c>
      <c r="I352" s="257" t="str">
        <f>""</f>
        <v/>
      </c>
      <c r="J352" s="257" t="str">
        <f>""</f>
        <v/>
      </c>
      <c r="K352" s="257" t="str">
        <f>""</f>
        <v/>
      </c>
      <c r="L352" s="257">
        <f>IFERROR(IF(AND(COUNT(I353,J353,K353,L353)=4,N(L357)&lt;&gt;0),(I353+J353+K353+L353)/L357,""),"")</f>
        <v>0.0962113108560784</v>
      </c>
      <c r="M352" s="257">
        <f>IFERROR(IF(AND(COUNT(I353,J353,K353,L353)=4,N(M357)&lt;&gt;0),(I353+J353+K353+L353)/M357,""),"")</f>
        <v>0.0962113108560784</v>
      </c>
      <c r="N352" s="257">
        <f>IFERROR(IF(AND(COUNT(J353,K353,L353,N353)=4,N(N357)&lt;&gt;0),(J353+K353+L353+N353)/N357,""),"")</f>
        <v>0.109671677024371</v>
      </c>
      <c r="O352" s="257">
        <f>IFERROR(IF(AND(COUNT(K353,L353,N353,O353)=4,N(O357)&lt;&gt;0),(K353+L353+N353+O353)/O357,""),"")</f>
        <v>0.106433860671283</v>
      </c>
      <c r="P352" s="257">
        <f>IFERROR(IF(AND(COUNT(L353,N353,O353,P353)=4,N(P357)&lt;&gt;0),(L353+N353+O353+P353)/P357,""),"")</f>
        <v>0.101752457207009</v>
      </c>
      <c r="Q352" s="257">
        <f>IFERROR(IF(AND(COUNT(N353,O353,P353,Q353)=4,N(Q357)&lt;&gt;0),(N353+O353+P353+Q353)/Q357,""),"")</f>
        <v>0.113241667124943</v>
      </c>
      <c r="R352" s="257">
        <f>IFERROR(IF(AND(COUNT(N353,O353,P353,Q353)=4,N(R357)&lt;&gt;0),(N353+O353+P353+Q353)/R357,""),"")</f>
        <v>0.113241667124943</v>
      </c>
      <c r="S352" s="257">
        <f>IFERROR(IF(AND(COUNT(O353,P353,Q353,S353)=4,N(S357)&lt;&gt;0),(O353+P353+Q353+S353)/S357,""),"")</f>
        <v>0.117779100003477</v>
      </c>
      <c r="T352" s="257">
        <f>IFERROR(IF(AND(COUNT(P353,Q353,S353,T353)=4,N(T357)&lt;&gt;0),(P353+Q353+S353+T353)/T357,""),"")</f>
        <v>0.123089506526846</v>
      </c>
      <c r="U352" s="257">
        <f>IFERROR(IF(AND(COUNT(Q353,S353,T353,U353)=4,N(U357)&lt;&gt;0),(Q353+S353+T353+U353)/U357,""),"")</f>
        <v>0.116728774806686</v>
      </c>
      <c r="V352" s="257">
        <f>IFERROR(IF(AND(COUNT(S353,T353,U353,V353)=4,N(V357)&lt;&gt;0),(S353+T353+U353+V353)/V357,""),"")</f>
        <v>0.0949372382809143</v>
      </c>
      <c r="W352" s="257">
        <f>IFERROR(IF(AND(COUNT(S353,T353,U353,V353)=4,N(W357)&lt;&gt;0),(S353+T353+U353+V353)/W357,""),"")</f>
        <v>0.0949372382809143</v>
      </c>
      <c r="X352" s="257">
        <f>IFERROR(IF(AND(COUNT(T353,U353,V353,X353)=4,N(X357)&lt;&gt;0),(T353+U353+V353+X353)/X357,""),"")</f>
        <v>0.0904479115803695</v>
      </c>
      <c r="Y352" s="257">
        <f>IFERROR(IF(AND(COUNT(U353,V353,X353,Y353)=4,N(Y357)&lt;&gt;0),(U353+V353+X353+Y353)/Y357,""),"")</f>
        <v>0.0755753980461017</v>
      </c>
      <c r="Z352" s="257">
        <f>IFERROR(IF(AND(COUNT(V353,X353,Y353,Z353)=4,N(Z357)&lt;&gt;0),(V353+X353+Y353+Z353)/Z357,""),"")</f>
        <v>0.0811551824903054</v>
      </c>
      <c r="AA352" s="257">
        <f>IFERROR(IF(AND(COUNT(X353,Y353,Z353,AA353)=4,N(AA357)&lt;&gt;0),(X353+Y353+Z353+AA353)/AA357,""),"")</f>
        <v>0.102774026936948</v>
      </c>
      <c r="AB352" s="257">
        <f>IFERROR(IF(AND(COUNT(X353,Y353,Z353,AA353)=4,N(AB357)&lt;&gt;0),(X353+Y353+Z353+AA353)/AB357,""),"")</f>
        <v>0.102774026936948</v>
      </c>
      <c r="AC352" s="257">
        <f>IFERROR(IF(AND(COUNT(Y353,Z353,AA353,AC353)=4,N(AC357)&lt;&gt;0),(Y353+Z353+AA353+AC353)/AC357,""),"")</f>
        <v>0.0777112522766226</v>
      </c>
      <c r="AD352" s="257">
        <f>IFERROR(IF(AND(COUNT(Z353,AA353,AC353,AD353)=4,N(AD357)&lt;&gt;0),(Z353+AA353+AC353+AD353)/AD357,""),"")</f>
        <v>0.0679043273452947</v>
      </c>
      <c r="AE352" s="257">
        <f>IFERROR(IF(AND(COUNT(AA353,AC353,AD353,AE353)=4,N(AE357)&lt;&gt;0),(AA353+AC353+AD353+AE353)/AE357,""),"")</f>
        <v>0.0713567475203598</v>
      </c>
      <c r="AF352" s="257">
        <f>IFERROR(IF(AND(COUNT(AB353,AD353,AE353,AF353)=4,N(AF357)&lt;&gt;0),(AB353+AD353+AE353+AF353)/AF357,""),"")</f>
        <v>0.108089831754554</v>
      </c>
      <c r="AG352" s="257">
        <f>IFERROR(IF(AND(COUNT(AC353,AD353,AE353,AF353)=4,N(AG357)&lt;&gt;0),(AC353+AD353+AE353+AF353)/AG357,""),"")</f>
        <v>0.0776749036067893</v>
      </c>
      <c r="AH352" s="257">
        <f>IFERROR(IF(AND(COUNT(AD353,AF353,AG353,AH353)=4,N(AH357)&lt;&gt;0),(AD353+AF353+AG353+AH353)/AH357,""),"")</f>
        <v>0.213069442997825</v>
      </c>
      <c r="AI352" s="257">
        <f>IFERROR(IF(AND(COUNT(AE353,AG353,AH353,AI353)=4,N(AI357)&lt;&gt;0),(AE353+AG353+AH353+AI353)/AI357,""),"")</f>
        <v>0.212280797228259</v>
      </c>
      <c r="AJ352" s="257">
        <f>IFERROR(IF(AND(COUNT(AF353,AH353,AI353,AJ353)=4,N(AJ357)&lt;&gt;0),(AF353+AH353+AI353+AJ353)/AJ357,""),"")</f>
        <v>0.11239574258767</v>
      </c>
      <c r="AK352" s="257">
        <f>IFERROR(IF(AND(COUNT(AH353,AI353,AJ353,AK353)=4,N(AK357)&lt;&gt;0),(AH353+AI353+AJ353+AK353)/AK357,""),"")</f>
        <v>0.0943981148811126</v>
      </c>
      <c r="AL352" s="257">
        <f>IFERROR(IF(AND(COUNT(AH353,AI353,AJ353,AK353)=4,N(AL357)&lt;&gt;0),(AH353+AI353+AJ353+AK353)/AL357,""),"")</f>
        <v>0.0943981148811126</v>
      </c>
      <c r="AM352" s="257">
        <f>IFERROR(IF(AND(COUNT(AI353,AJ353,AK353,AM353)=4,N(AM357)&lt;&gt;0),(AI353+AJ353+AK353+AM353)/AM357,""),"")</f>
        <v>0.087451894528501</v>
      </c>
      <c r="AN352" s="257">
        <f>IFERROR(IF(AND(COUNT(AJ353,AK353,AM353,AN353)=4,N(AN357)&lt;&gt;0),(AJ353+AK353+AM353+AN353)/AN357,""),"")</f>
        <v>0.0749098731842299</v>
      </c>
      <c r="AO352" s="257">
        <f>IFERROR(IF(AND(COUNT(AK353,AM353,AN353,AO353)=4,N(AO357)&lt;&gt;0),(AK353+AM353+AN353+AO353)/AO357,""),"")</f>
        <v>0.0754120804597434</v>
      </c>
      <c r="AP352" s="257">
        <f>IFERROR(IF(AND(COUNT(AM353,AN353,AO353,AP353)=4,N(AP357)&lt;&gt;0),(AM353+AN353+AO353+AP353)/AP357,""),"")</f>
        <v>0.0760798817376557</v>
      </c>
      <c r="AQ352" s="257">
        <f>IFERROR(IF(AND(COUNT(AM353,AN353,AO353,AP353)=4,N(AQ357)&lt;&gt;0),(AM353+AN353+AO353+AP353)/AQ357,""),"")</f>
        <v>0.0760798817376557</v>
      </c>
      <c r="AR352" s="257">
        <f>IFERROR(IF(AND(COUNT(AN353,AO353,AP353,AR353)=4,N(AR357)&lt;&gt;0),(AN353+AO353+AP353+AR353)/AR357,""),"")</f>
        <v>0.0767032871510453</v>
      </c>
      <c r="AS352" s="257">
        <f>IFERROR(IF(AND(COUNT(AO353,AP353,AR353,AS353)=4,N(AS357)&lt;&gt;0),(AO353+AP353+AR353+AS353)/AS357,""),"")</f>
        <v>0.0771421699174775</v>
      </c>
      <c r="AT352" s="257">
        <f>IFERROR(IF(AND(COUNT(AP353,AR353,AS353,AT353)=4,N(AT357)&lt;&gt;0),(AP353+AR353+AS353+AT353)/AT357,""),"")</f>
        <v>0.0775678898703885</v>
      </c>
      <c r="AU352" s="257">
        <f>IFERROR(IF(AND(COUNT(AR353,AS353,AT353,AU353)=4,N(AU357)&lt;&gt;0),(AR353+AS353+AT353+AU353)/AU357,""),"")</f>
        <v>0.0781700340983941</v>
      </c>
      <c r="AV352" s="257">
        <f>IFERROR(IF(AND(COUNT(AR353,AS353,AT353,AU353)=4,N(AV357)&lt;&gt;0),(AR353+AS353+AT353+AU353)/AV357,""),"")</f>
        <v>0.0781700340983941</v>
      </c>
      <c r="AW352" s="257">
        <f>IFERROR(IF(AND(COUNT(AS353,AT353,AU353,AW353)=4,N(AW357)&lt;&gt;0),(AS353+AT353+AU353+AW353)/AW357,""),"")</f>
        <v>0.0786937649257911</v>
      </c>
      <c r="AX352" s="257">
        <f>IFERROR(IF(AND(COUNT(AT353,AU353,AW353,AX353)=4,N(AX357)&lt;&gt;0),(AT353+AU353+AW353+AX353)/AX357,""),"")</f>
        <v>0.0791100976368824</v>
      </c>
      <c r="AY352" s="257">
        <f>IFERROR(IF(AND(COUNT(AU353,AW353,AX353,AY353)=4,N(AY357)&lt;&gt;0),(AU353+AW353+AX353+AY353)/AY357,""),"")</f>
        <v>0.0794519375150679</v>
      </c>
      <c r="AZ352" s="257">
        <f>IFERROR(IF(AND(COUNT(AW353,AX353,AY353,AZ353)=4,N(AZ357)&lt;&gt;0),(AW353+AX353+AY353+AZ353)/AZ357,""),"")</f>
        <v>0.0799796532378976</v>
      </c>
      <c r="BA352" s="257">
        <f>IFERROR(IF(AND(COUNT(AW353,AX353,AY353,AZ353)=4,N(BA357)&lt;&gt;0),(AW353+AX353+AY353+AZ353)/BA357,""),"")</f>
        <v>0.0799796532378976</v>
      </c>
      <c r="BB352" s="257">
        <f>IFERROR(IF(AND(COUNT(AX353,AY353,AZ353,BB353)=4,N(BB357)&lt;&gt;0),(AX353+AY353+AZ353+BB353)/BB357,""),"")</f>
        <v>0.0804514070773011</v>
      </c>
      <c r="BC352" s="257">
        <f>IFERROR(IF(AND(COUNT(AY353,AZ353,BB353,BC353)=4,N(BC357)&lt;&gt;0),(AY353+AZ353+BB353+BC353)/BC357,""),"")</f>
        <v>0.080782951742861</v>
      </c>
      <c r="BD352" s="257">
        <f>IFERROR(IF(AND(COUNT(AZ353,BB353,BC353,BD353)=4,N(BD357)&lt;&gt;0),(AZ353+BB353+BC353+BD353)/BD357,""),"")</f>
        <v>0.0810325561622839</v>
      </c>
      <c r="BE352" s="257">
        <f>IFERROR(IF(AND(COUNT(BB353,BC353,BD353,BE353)=4,N(BE357)&lt;&gt;0),(BB353+BC353+BD353+BE353)/BE357,""),"")</f>
        <v>0.0814758114650831</v>
      </c>
      <c r="BF352" s="257">
        <f>IFERROR(IF(AND(COUNT(BB353,BC353,BD353,BE353)=4,N(BF357)&lt;&gt;0),(BB353+BC353+BD353+BE353)/BF357,""),"")</f>
        <v>0.0814758114650831</v>
      </c>
      <c r="BG352" s="81" t="n"/>
      <c r="BH352" s="81" t="n"/>
      <c r="BI352" s="81" t="n"/>
      <c r="BJ352" s="81" t="n"/>
      <c r="BL352" s="81" t="n"/>
      <c r="BM352" s="81" t="n"/>
      <c r="BN352" s="81" t="n"/>
      <c r="BO352" s="81" t="n"/>
      <c r="BQ352" s="81" t="n"/>
      <c r="BR352" s="81" t="n"/>
      <c r="BS352" s="81" t="n"/>
      <c r="BT352" s="81" t="n"/>
      <c r="BV352" s="81" t="n"/>
      <c r="BW352" s="81" t="n"/>
      <c r="BX352" s="81" t="n"/>
      <c r="BY352" s="81" t="n"/>
      <c r="CA352" s="81" t="n"/>
      <c r="CB352" s="81" t="n"/>
      <c r="CC352" s="81" t="n"/>
      <c r="CD352" s="81" t="n"/>
      <c r="CF352" s="81" t="n"/>
      <c r="CG352" s="81" t="n"/>
      <c r="CH352" s="81" t="n"/>
      <c r="CI352" s="81" t="n"/>
      <c r="CK352" s="81" t="n"/>
      <c r="CL352" s="81" t="n"/>
      <c r="CM352" s="81" t="n"/>
      <c r="CN352" s="81" t="n"/>
      <c r="CP352" s="81" t="n"/>
      <c r="CQ352" s="81" t="n"/>
      <c r="CR352" s="81" t="n"/>
      <c r="CS352" s="81" t="n"/>
      <c r="CU352" s="81" t="n"/>
      <c r="CV352" s="81" t="n"/>
      <c r="CW352" s="81" t="n"/>
      <c r="CX352" s="81" t="n"/>
    </row>
    <row r="353" customFormat="1" s="77">
      <c r="A353" s="76" t="n"/>
      <c r="B353" s="76" t="n"/>
      <c r="C353" s="77" t="inlineStr">
        <is>
          <t>NOPLAT</t>
        </is>
      </c>
      <c r="D353">
        <f>IFERROR(D354*(1-D355),"")</f>
        <v>0</v>
      </c>
      <c r="E353">
        <f>IFERROR(E354*(1-E355),"")</f>
        <v>0</v>
      </c>
      <c r="F353">
        <f>IFERROR(F354*(1-F355),"")</f>
        <v>0</v>
      </c>
      <c r="G353">
        <f>IFERROR(G354*(1-G355),"")</f>
        <v>0</v>
      </c>
      <c r="H353" s="263">
        <f>IFERROR(H354*(1-N(H355)),0)</f>
        <v>0</v>
      </c>
      <c r="I353" s="263">
        <f>IFERROR(I354*(1-N(I355)),0)</f>
        <v>308.300702692724</v>
      </c>
      <c r="J353" s="263">
        <f>IFERROR(J354*(1-N(J355)),0)</f>
        <v>522.527270503231</v>
      </c>
      <c r="K353" s="263">
        <f>IFERROR(K354*(1-N(K355)),0)</f>
        <v>620.090477192824</v>
      </c>
      <c r="L353" s="263">
        <f>IFERROR(L354*(1-N(L355)),0)</f>
        <v>718.513164327632</v>
      </c>
      <c r="M353" s="263">
        <f>IFERROR(M354*(1-N(M355)),0)</f>
        <v>2174.82336332005</v>
      </c>
      <c r="N353" s="263">
        <f>IFERROR(N354*(1-N(N355)),0)</f>
        <v>804.890387332923</v>
      </c>
      <c r="O353" s="263">
        <f>IFERROR(O354*(1-N(O355)),0)</f>
        <v>845.3242786667</v>
      </c>
      <c r="P353" s="263">
        <f>IFERROR(P354*(1-N(P355)),0)</f>
        <v>905.095818319177</v>
      </c>
      <c r="Q353" s="263">
        <f>IFERROR(Q354*(1-N(Q355)),0)</f>
        <v>1266.511076381</v>
      </c>
      <c r="R353" s="263">
        <f>IFERROR(R354*(1-N(R355)),0)</f>
        <v>4874.92184706173</v>
      </c>
      <c r="S353" s="263">
        <f>IFERROR(S354*(1-N(S355)),0)</f>
        <v>1317.10472877</v>
      </c>
      <c r="T353" s="263">
        <f>IFERROR(T354*(1-N(T355)),0)</f>
        <v>1485.67905641915</v>
      </c>
      <c r="U353" s="263">
        <f>IFERROR(U354*(1-N(U355)),0)</f>
        <v>784.965134825991</v>
      </c>
      <c r="V353" s="263">
        <f>IFERROR(V354*(1-N(V355)),0)</f>
        <v>447.2880215684</v>
      </c>
      <c r="W353" s="263">
        <f>IFERROR(W354*(1-N(W355)),0)</f>
        <v>3081.50334091244</v>
      </c>
      <c r="X353" s="263">
        <f>IFERROR(X354*(1-N(X355)),0)</f>
        <v>1256.39006429191</v>
      </c>
      <c r="Y353" s="263">
        <f>IFERROR(Y354*(1-N(Y355)),0)</f>
        <v>1091.35047732048</v>
      </c>
      <c r="Z353" s="263">
        <f>IFERROR(Z354*(1-N(Z355)),0)</f>
        <v>1213.3931934588</v>
      </c>
      <c r="AA353" s="263">
        <f>IFERROR(AA354*(1-N(AA355)),0)</f>
        <v>1640.64084331</v>
      </c>
      <c r="AB353" s="263">
        <f>IFERROR(AB354*(1-N(AB355)),0)</f>
        <v>1508.18177127588</v>
      </c>
      <c r="AC353" s="263">
        <f>IFERROR(AC354*(1-N(AC355)),0)</f>
        <v>0</v>
      </c>
      <c r="AD353" s="263">
        <f>IFERROR(AD354*(1-N(AD355)),0)</f>
        <v>649.809614643099</v>
      </c>
      <c r="AE353" s="263">
        <f>IFERROR(AE354*(1-N(AE355)),0)</f>
        <v>1284.08944882735</v>
      </c>
      <c r="AF353" s="263">
        <f>IFERROR(AF354*(1-N(AF355)),0)</f>
        <v>1917.75802860727</v>
      </c>
      <c r="AG353" s="263">
        <f>IFERROR(AG354*(1-N(AG355)),0)</f>
        <v>6702.1344522126</v>
      </c>
      <c r="AH353" s="263">
        <f>IFERROR(AH354*(1-N(AH355)),0)</f>
        <v>1325.21672546945</v>
      </c>
      <c r="AI353" s="263">
        <f>IFERROR(AI354*(1-N(AI355)),0)</f>
        <v>1654.65370778856</v>
      </c>
      <c r="AJ353" s="263">
        <f>IFERROR(AJ354*(1-N(AJ355)),0)</f>
        <v>1003.2304078724</v>
      </c>
      <c r="AK353" s="263">
        <f>IFERROR(AK354*(1-N(AK355)),0)</f>
        <v>1004.90760927215</v>
      </c>
      <c r="AL353" s="263">
        <f>IFERROR(AL354*(1-N(AL355)),0)</f>
        <v>3585.16418788238</v>
      </c>
      <c r="AM353" s="263">
        <f>IFERROR(AM354*(1-N(AM355)),0)</f>
        <v>987.267268278273</v>
      </c>
      <c r="AN353" s="263">
        <f>IFERROR(AN354*(1-N(AN355)),0)</f>
        <v>1016.58114584545</v>
      </c>
      <c r="AO353" s="263">
        <f>IFERROR(AO354*(1-N(AO355)),0)</f>
        <v>1064.70476743331</v>
      </c>
      <c r="AP353" s="263">
        <f>IFERROR(AP354*(1-N(AP355)),0)</f>
        <v>1066.48474171663</v>
      </c>
      <c r="AQ353" s="263">
        <f>IFERROR(AQ354*(1-N(AQ355)),0)</f>
        <v>4135.03792327366</v>
      </c>
      <c r="AR353" s="263">
        <f>IFERROR(AR354*(1-N(AR355)),0)</f>
        <v>1042.82712758307</v>
      </c>
      <c r="AS353" s="263">
        <f>IFERROR(AS354*(1-N(AS355)),0)</f>
        <v>1073.79068499444</v>
      </c>
      <c r="AT353" s="263">
        <f>IFERROR(AT354*(1-N(AT355)),0)</f>
        <v>1124.62253132607</v>
      </c>
      <c r="AU353" s="263">
        <f>IFERROR(AU354*(1-N(AU355)),0)</f>
        <v>1126.50267617507</v>
      </c>
      <c r="AV353" s="263">
        <f>IFERROR(AV354*(1-N(AV355)),0)</f>
        <v>4367.74302007866</v>
      </c>
      <c r="AW353" s="263">
        <f>IFERROR(AW354*(1-N(AW355)),0)</f>
        <v>1096.29956076941</v>
      </c>
      <c r="AX353" s="263">
        <f>IFERROR(AX354*(1-N(AX355)),0)</f>
        <v>1128.8508183001</v>
      </c>
      <c r="AY353" s="263">
        <f>IFERROR(AY354*(1-N(AY355)),0)</f>
        <v>1182.28913931464</v>
      </c>
      <c r="AZ353" s="263">
        <f>IFERROR(AZ354*(1-N(AZ355)),0)</f>
        <v>1184.26569124509</v>
      </c>
      <c r="BA353" s="263">
        <f>IFERROR(BA354*(1-N(BA355)),0)</f>
        <v>4591.70520962924</v>
      </c>
      <c r="BB353" s="263">
        <f>IFERROR(BB354*(1-N(BB355)),0)</f>
        <v>1147.03237065366</v>
      </c>
      <c r="BC353" s="263">
        <f>IFERROR(BC354*(1-N(BC355)),0)</f>
        <v>1181.08998358108</v>
      </c>
      <c r="BD353" s="263">
        <f>IFERROR(BD354*(1-N(BD355)),0)</f>
        <v>1237.00123834255</v>
      </c>
      <c r="BE353" s="263">
        <f>IFERROR(BE354*(1-N(BE355)),0)</f>
        <v>1239.06925800399</v>
      </c>
      <c r="BF353" s="263">
        <f>IFERROR(BF354*(1-N(BF355)),0)</f>
        <v>4804.19285058128</v>
      </c>
      <c r="BG353" s="85" t="n"/>
      <c r="BH353" s="76" t="n"/>
      <c r="BI353" s="76" t="n"/>
      <c r="BJ353" s="76" t="n"/>
      <c r="BL353" s="85" t="n"/>
      <c r="BM353" s="76" t="n"/>
      <c r="BN353" s="76" t="n"/>
      <c r="BO353" s="76" t="n"/>
      <c r="BQ353" s="85" t="n"/>
      <c r="BR353" s="76" t="n"/>
      <c r="BS353" s="76" t="n"/>
      <c r="BT353" s="76" t="n"/>
      <c r="BV353" s="85" t="n"/>
      <c r="BW353" s="76" t="n"/>
      <c r="BX353" s="76" t="n"/>
      <c r="BY353" s="76" t="n"/>
      <c r="CA353" s="85" t="n"/>
      <c r="CB353" s="76" t="n"/>
      <c r="CC353" s="76" t="n"/>
      <c r="CD353" s="76" t="n"/>
      <c r="CF353" s="85" t="n"/>
      <c r="CG353" s="76" t="n"/>
      <c r="CH353" s="76" t="n"/>
      <c r="CI353" s="76" t="n"/>
      <c r="CK353" s="85" t="n"/>
      <c r="CL353" s="76" t="n"/>
      <c r="CM353" s="76" t="n"/>
      <c r="CN353" s="76" t="n"/>
      <c r="CP353" s="85" t="n"/>
      <c r="CQ353" s="76" t="n"/>
      <c r="CR353" s="76" t="n"/>
      <c r="CS353" s="76" t="n"/>
      <c r="CU353" s="85" t="n"/>
      <c r="CV353" s="76" t="n"/>
      <c r="CW353" s="76" t="n"/>
      <c r="CX353" s="76" t="n"/>
    </row>
    <row r="354" customFormat="1" s="77">
      <c r="A354" s="76" t="n"/>
      <c r="B354" s="76" t="n"/>
      <c r="C354" s="77" t="inlineStr">
        <is>
          <t>EBIT</t>
        </is>
      </c>
      <c r="D354" s="86">
        <f>IFERROR(D136,"")</f>
        <v>0</v>
      </c>
      <c r="E354" s="86">
        <f>IFERROR(E136,"")</f>
        <v>0</v>
      </c>
      <c r="F354" s="86">
        <f>IFERROR(F136,"")</f>
        <v>0</v>
      </c>
      <c r="G354" s="86">
        <f>IFERROR(G136,"")</f>
        <v>0</v>
      </c>
      <c r="H354" s="263">
        <f>IFERROR(H79,0)</f>
        <v>0</v>
      </c>
      <c r="I354" s="263">
        <f>IFERROR(I79,0)</f>
        <v>516.655018203</v>
      </c>
      <c r="J354" s="263">
        <f>IFERROR(J79,0)</f>
        <v>723.575592924</v>
      </c>
      <c r="K354" s="263">
        <f>IFERROR(K79,0)</f>
        <v>889.681744184</v>
      </c>
      <c r="L354" s="263">
        <f>IFERROR(L79,0)</f>
        <v>1000.638644689</v>
      </c>
      <c r="M354" s="263">
        <f>IFERROR(M79,0)</f>
        <v>3130.551</v>
      </c>
      <c r="N354" s="263">
        <f>IFERROR(N79,0)</f>
        <v>1135.551</v>
      </c>
      <c r="O354" s="263">
        <f>IFERROR(O79,0)</f>
        <v>1286.7492</v>
      </c>
      <c r="P354" s="263">
        <f>IFERROR(P79,0)</f>
        <v>1428.006000459</v>
      </c>
      <c r="Q354" s="263">
        <f>IFERROR(Q79,0)</f>
        <v>1266.511076381</v>
      </c>
      <c r="R354" s="263">
        <f>IFERROR(R79,0)</f>
        <v>5116.81727684</v>
      </c>
      <c r="S354" s="263">
        <f>IFERROR(S79,0)</f>
        <v>1317.10472877</v>
      </c>
      <c r="T354" s="263">
        <f>IFERROR(T79,0)</f>
        <v>1588.107129199</v>
      </c>
      <c r="U354" s="263">
        <f>IFERROR(U79,0)</f>
        <v>1367.863456903</v>
      </c>
      <c r="V354" s="263">
        <f>IFERROR(V79,0)</f>
        <v>591.595117059001</v>
      </c>
      <c r="W354" s="263">
        <f>IFERROR(W79,0)</f>
        <v>4864.670431931</v>
      </c>
      <c r="X354" s="263">
        <f>IFERROR(X79,0)</f>
        <v>1539.16544358</v>
      </c>
      <c r="Y354" s="263">
        <f>IFERROR(Y79,0)</f>
        <v>1699.36630751</v>
      </c>
      <c r="Z354" s="263">
        <f>IFERROR(Z79,0)</f>
        <v>1702.08633073</v>
      </c>
      <c r="AA354" s="263">
        <f>IFERROR(AA79,0)</f>
        <v>1640.64084331</v>
      </c>
      <c r="AB354" s="263">
        <f>IFERROR(AB79,0)</f>
        <v>6581.25892513</v>
      </c>
      <c r="AC354" s="263">
        <f>IFERROR(AC79,0)</f>
        <v>1749.60703809</v>
      </c>
      <c r="AD354" s="263">
        <f>IFERROR(AD79,0)</f>
        <v>1803.69487814</v>
      </c>
      <c r="AE354" s="263">
        <f>IFERROR(AE79,0)</f>
        <v>1734.80874238</v>
      </c>
      <c r="AF354" s="263">
        <f>IFERROR(AF79,0)</f>
        <v>2868.08848073</v>
      </c>
      <c r="AG354" s="263">
        <f>IFERROR(AG79,0)</f>
        <v>8156.19913934</v>
      </c>
      <c r="AH354" s="263">
        <f>IFERROR(AH79,0)</f>
        <v>1772.31258503</v>
      </c>
      <c r="AI354" s="263">
        <f>IFERROR(AI79,0)</f>
        <v>2098.32855057</v>
      </c>
      <c r="AJ354" s="263">
        <f>IFERROR(AJ79,0)</f>
        <v>2175.96733877928</v>
      </c>
      <c r="AK354" s="263">
        <f>IFERROR(AK79,0)</f>
        <v>2179.60512271981</v>
      </c>
      <c r="AL354" s="263">
        <f>IFERROR(AL79,0)</f>
        <v>8226.2135970991</v>
      </c>
      <c r="AM354" s="263">
        <f>IFERROR(AM79,0)</f>
        <v>2141.34391617504</v>
      </c>
      <c r="AN354" s="263">
        <f>IFERROR(AN79,0)</f>
        <v>2204.924564906</v>
      </c>
      <c r="AO354" s="263">
        <f>IFERROR(AO79,0)</f>
        <v>2309.30280940223</v>
      </c>
      <c r="AP354" s="263">
        <f>IFERROR(AP79,0)</f>
        <v>2313.16350368939</v>
      </c>
      <c r="AQ354" s="263">
        <f>IFERROR(AQ79,0)</f>
        <v>8968.73479417266</v>
      </c>
      <c r="AR354" s="263">
        <f>IFERROR(AR79,0)</f>
        <v>2261.85106811715</v>
      </c>
      <c r="AS354" s="263">
        <f>IFERROR(AS79,0)</f>
        <v>2329.00980761593</v>
      </c>
      <c r="AT354" s="263">
        <f>IFERROR(AT79,0)</f>
        <v>2439.262085178</v>
      </c>
      <c r="AU354" s="263">
        <f>IFERROR(AU79,0)</f>
        <v>2443.34004548653</v>
      </c>
      <c r="AV354" s="263">
        <f>IFERROR(AV79,0)</f>
        <v>9473.4630063976</v>
      </c>
      <c r="AW354" s="263">
        <f>IFERROR(AW79,0)</f>
        <v>2377.83067482114</v>
      </c>
      <c r="AX354" s="263">
        <f>IFERROR(AX79,0)</f>
        <v>2448.43307349961</v>
      </c>
      <c r="AY354" s="263">
        <f>IFERROR(AY79,0)</f>
        <v>2564.33869224321</v>
      </c>
      <c r="AZ354" s="263">
        <f>IFERROR(AZ79,0)</f>
        <v>2568.62575572365</v>
      </c>
      <c r="BA354" s="263">
        <f>IFERROR(BA79,0)</f>
        <v>9959.2281962876</v>
      </c>
      <c r="BB354" s="263">
        <f>IFERROR(BB79,0)</f>
        <v>2487.86814621991</v>
      </c>
      <c r="BC354" s="263">
        <f>IFERROR(BC79,0)</f>
        <v>2561.73777057072</v>
      </c>
      <c r="BD354" s="263">
        <f>IFERROR(BD79,0)</f>
        <v>2683.00708545236</v>
      </c>
      <c r="BE354" s="263">
        <f>IFERROR(BE79,0)</f>
        <v>2687.49253884766</v>
      </c>
      <c r="BF354" s="263">
        <f>IFERROR(BF79,0)</f>
        <v>10420.1055410907</v>
      </c>
      <c r="BG354" s="63" t="n"/>
      <c r="BH354" s="63" t="n"/>
      <c r="BI354" s="63" t="n"/>
      <c r="BJ354" s="63" t="n"/>
      <c r="BL354" s="63" t="n"/>
      <c r="BM354" s="63" t="n"/>
      <c r="BN354" s="63" t="n"/>
      <c r="BO354" s="63" t="n"/>
      <c r="BQ354" s="63" t="n"/>
      <c r="BR354" s="63" t="n"/>
      <c r="BS354" s="63" t="n"/>
      <c r="BT354" s="63" t="n"/>
      <c r="BV354" s="63" t="n"/>
      <c r="BW354" s="63" t="n"/>
      <c r="BX354" s="63" t="n"/>
      <c r="BY354" s="63" t="n"/>
      <c r="CA354" s="63" t="n"/>
      <c r="CB354" s="63" t="n"/>
      <c r="CC354" s="63" t="n"/>
      <c r="CD354" s="63" t="n"/>
      <c r="CF354" s="63" t="n"/>
      <c r="CG354" s="63" t="n"/>
      <c r="CH354" s="63" t="n"/>
      <c r="CI354" s="63" t="n"/>
      <c r="CK354" s="63" t="n"/>
      <c r="CL354" s="63" t="n"/>
      <c r="CM354" s="63" t="n"/>
      <c r="CN354" s="63" t="n"/>
      <c r="CP354" s="63" t="n"/>
      <c r="CQ354" s="63" t="n"/>
      <c r="CR354" s="63" t="n"/>
      <c r="CS354" s="63" t="n"/>
      <c r="CU354" s="63" t="n"/>
      <c r="CV354" s="63" t="n"/>
      <c r="CW354" s="63" t="n"/>
      <c r="CX354" s="63" t="n"/>
    </row>
    <row r="355" customFormat="1" s="77">
      <c r="A355" s="76" t="n"/>
      <c r="B355" s="76" t="n"/>
      <c r="C355" s="77" t="inlineStr">
        <is>
          <t>ETR (LIMITED TO 0%-100%)</t>
        </is>
      </c>
      <c r="D355" s="87">
        <f>IFERROR(D138,"")</f>
        <v>0</v>
      </c>
      <c r="E355" s="87">
        <f>IFERROR(E138,"")</f>
        <v>0</v>
      </c>
      <c r="F355" s="87">
        <f>IFERROR(F138,"")</f>
        <v>0</v>
      </c>
      <c r="G355" s="87">
        <f>IFERROR(G138,"")</f>
        <v>0</v>
      </c>
      <c r="H355" s="258" t="str">
        <f>IFERROR(IF(N(H136)&lt;&gt;0,MAX(0,MIN(1,-H137/H136)),""),"")</f>
        <v/>
      </c>
      <c r="I355" s="258">
        <f>IFERROR(IF(N(I136)&lt;&gt;0,MAX(0,MIN(1,-I137/I136)),""),"")</f>
        <v>0.40327550912979</v>
      </c>
      <c r="J355" s="258">
        <f>IFERROR(IF(N(J136)&lt;&gt;0,MAX(0,MIN(1,-J137/J136)),""),"")</f>
        <v>0.27785393037972</v>
      </c>
      <c r="K355" s="258">
        <f>IFERROR(IF(N(K136)&lt;&gt;0,MAX(0,MIN(1,-K137/K136)),""),"")</f>
        <v>0.303019893072484</v>
      </c>
      <c r="L355" s="258">
        <f>IFERROR(IF(N(L136)&lt;&gt;0,MAX(0,MIN(1,-L137/L136)),""),"")</f>
        <v>0.281945417417946</v>
      </c>
      <c r="M355" s="258">
        <f>IFERROR(IF(N(M136)&lt;&gt;0,MAX(0,MIN(1,-M137/M136)),""),"")</f>
        <v>0.305290550027758</v>
      </c>
      <c r="N355" s="258">
        <f>IFERROR(IF(N(N136)&lt;&gt;0,MAX(0,MIN(1,-N137/N136)),""),"")</f>
        <v>0.291189574635641</v>
      </c>
      <c r="O355" s="258">
        <f>IFERROR(IF(N(O136)&lt;&gt;0,MAX(0,MIN(1,-O137/O136)),""),"")</f>
        <v>0.343054358482057</v>
      </c>
      <c r="P355" s="258">
        <f>IFERROR(IF(N(P136)&lt;&gt;0,MAX(0,MIN(1,-P137/P136)),""),"")</f>
        <v>0.366182062240457</v>
      </c>
      <c r="Q355" s="258">
        <f>IFERROR(IF(N(Q136)&lt;&gt;0,MAX(0,MIN(1,-Q137/Q136)),""),"")</f>
        <v>0</v>
      </c>
      <c r="R355" s="258">
        <f>IFERROR(IF(N(R136)&lt;&gt;0,MAX(0,MIN(1,-R137/R136)),""),"")</f>
        <v>0.0472745882236506</v>
      </c>
      <c r="S355" s="258">
        <f>IFERROR(IF(N(S136)&lt;&gt;0,MAX(0,MIN(1,-S137/S136)),""),"")</f>
        <v>0</v>
      </c>
      <c r="T355" s="258">
        <f>IFERROR(IF(N(T136)&lt;&gt;0,MAX(0,MIN(1,-T137/T136)),""),"")</f>
        <v>0.064496954202019</v>
      </c>
      <c r="U355" s="258">
        <f>IFERROR(IF(N(U136)&lt;&gt;0,MAX(0,MIN(1,-U137/U136)),""),"")</f>
        <v>0.426137798429647</v>
      </c>
      <c r="V355" s="258">
        <f>IFERROR(IF(N(V136)&lt;&gt;0,MAX(0,MIN(1,-V137/V136)),""),"")</f>
        <v>0.243928814368846</v>
      </c>
      <c r="W355" s="258">
        <f>IFERROR(IF(N(W136)&lt;&gt;0,MAX(0,MIN(1,-W137/W136)),""),"")</f>
        <v>0.366554552044082</v>
      </c>
      <c r="X355" s="258">
        <f>IFERROR(IF(N(X136)&lt;&gt;0,MAX(0,MIN(1,-X137/X136)),""),"")</f>
        <v>0.183719937624362</v>
      </c>
      <c r="Y355" s="258">
        <f>IFERROR(IF(N(Y136)&lt;&gt;0,MAX(0,MIN(1,-Y137/Y136)),""),"")</f>
        <v>0.357789740506517</v>
      </c>
      <c r="Z355" s="258">
        <f>IFERROR(IF(N(Z136)&lt;&gt;0,MAX(0,MIN(1,-Z137/Z136)),""),"")</f>
        <v>0.287114189479218</v>
      </c>
      <c r="AA355" s="258">
        <f>IFERROR(IF(N(AA136)&lt;&gt;0,MAX(0,MIN(1,-AA137/AA136)),""),"")</f>
        <v>0</v>
      </c>
      <c r="AB355" s="258">
        <f>IFERROR(IF(N(AB136)&lt;&gt;0,MAX(0,MIN(1,-AB137/AB136)),""),"")</f>
        <v>0.770836888742211</v>
      </c>
      <c r="AC355" s="258">
        <f>IFERROR(IF(N(AC136)&lt;&gt;0,MAX(0,MIN(1,-AC137/AC136)),""),"")</f>
        <v>1</v>
      </c>
      <c r="AD355" s="258">
        <f>IFERROR(IF(N(AD136)&lt;&gt;0,MAX(0,MIN(1,-AD137/AD136)),""),"")</f>
        <v>0.639734179811392</v>
      </c>
      <c r="AE355" s="258">
        <f>IFERROR(IF(N(AE136)&lt;&gt;0,MAX(0,MIN(1,-AE137/AE136)),""),"")</f>
        <v>0.259809212705663</v>
      </c>
      <c r="AF355" s="258">
        <f>IFERROR(IF(N(AF136)&lt;&gt;0,MAX(0,MIN(1,-AF137/AF136)),""),"")</f>
        <v>0.331346281158259</v>
      </c>
      <c r="AG355" s="258">
        <f>IFERROR(IF(N(AG136)&lt;&gt;0,MAX(0,MIN(1,-AG137/AG136)),""),"")</f>
        <v>0.178277241921911</v>
      </c>
      <c r="AH355" s="258">
        <f>IFERROR(IF(N(AH136)&lt;&gt;0,MAX(0,MIN(1,-AH137/AH136)),""),"")</f>
        <v>0.252266932671461</v>
      </c>
      <c r="AI355" s="258">
        <f>IFERROR(IF(N(AI136)&lt;&gt;0,MAX(0,MIN(1,-AI137/AI136)),""),"")</f>
        <v>0.211442027351208</v>
      </c>
      <c r="AJ355" s="258">
        <f>IFERROR(IF(N(AJ136)&lt;&gt;0,MAX(0,MIN(1,-AJ137/AJ136)),""),"")</f>
        <v>0.538949693778396</v>
      </c>
      <c r="AK355" s="258">
        <f>IFERROR(IF(N(AK136)&lt;&gt;0,MAX(0,MIN(1,-AK137/AK136)),""),"")</f>
        <v>0.538949693778396</v>
      </c>
      <c r="AL355" s="258">
        <f>IFERROR(IF(N(AL136)&lt;&gt;0,MAX(0,MIN(1,-AL137/AL136)),""),"")</f>
        <v>0.56417808198578</v>
      </c>
      <c r="AM355" s="258">
        <f>IFERROR(IF(N(AM136)&lt;&gt;0,MAX(0,MIN(1,-AM137/AM136)),""),"")</f>
        <v>0.538949693778396</v>
      </c>
      <c r="AN355" s="258">
        <f>IFERROR(IF(N(AN136)&lt;&gt;0,MAX(0,MIN(1,-AN137/AN136)),""),"")</f>
        <v>0.538949693778396</v>
      </c>
      <c r="AO355" s="258">
        <f>IFERROR(IF(N(AO136)&lt;&gt;0,MAX(0,MIN(1,-AO137/AO136)),""),"")</f>
        <v>0.538949693778396</v>
      </c>
      <c r="AP355" s="258">
        <f>IFERROR(IF(N(AP136)&lt;&gt;0,MAX(0,MIN(1,-AP137/AP136)),""),"")</f>
        <v>0.538949693778396</v>
      </c>
      <c r="AQ355" s="258">
        <f>IFERROR(IF(N(AQ136)&lt;&gt;0,MAX(0,MIN(1,-AQ137/AQ136)),""),"")</f>
        <v>0.538949693778396</v>
      </c>
      <c r="AR355" s="258">
        <f>IFERROR(IF(N(AR136)&lt;&gt;0,MAX(0,MIN(1,-AR137/AR136)),""),"")</f>
        <v>0.538949693778396</v>
      </c>
      <c r="AS355" s="258">
        <f>IFERROR(IF(N(AS136)&lt;&gt;0,MAX(0,MIN(1,-AS137/AS136)),""),"")</f>
        <v>0.538949693778396</v>
      </c>
      <c r="AT355" s="258">
        <f>IFERROR(IF(N(AT136)&lt;&gt;0,MAX(0,MIN(1,-AT137/AT136)),""),"")</f>
        <v>0.538949693778396</v>
      </c>
      <c r="AU355" s="258">
        <f>IFERROR(IF(N(AU136)&lt;&gt;0,MAX(0,MIN(1,-AU137/AU136)),""),"")</f>
        <v>0.538949693778396</v>
      </c>
      <c r="AV355" s="258">
        <f>IFERROR(IF(N(AV136)&lt;&gt;0,MAX(0,MIN(1,-AV137/AV136)),""),"")</f>
        <v>0.538949693778396</v>
      </c>
      <c r="AW355" s="258">
        <f>IFERROR(IF(N(AW136)&lt;&gt;0,MAX(0,MIN(1,-AW137/AW136)),""),"")</f>
        <v>0.538949693778396</v>
      </c>
      <c r="AX355" s="258">
        <f>IFERROR(IF(N(AX136)&lt;&gt;0,MAX(0,MIN(1,-AX137/AX136)),""),"")</f>
        <v>0.538949693778396</v>
      </c>
      <c r="AY355" s="258">
        <f>IFERROR(IF(N(AY136)&lt;&gt;0,MAX(0,MIN(1,-AY137/AY136)),""),"")</f>
        <v>0.538949693778396</v>
      </c>
      <c r="AZ355" s="258">
        <f>IFERROR(IF(N(AZ136)&lt;&gt;0,MAX(0,MIN(1,-AZ137/AZ136)),""),"")</f>
        <v>0.538949693778396</v>
      </c>
      <c r="BA355" s="258">
        <f>IFERROR(IF(N(BA136)&lt;&gt;0,MAX(0,MIN(1,-BA137/BA136)),""),"")</f>
        <v>0.538949693778396</v>
      </c>
      <c r="BB355" s="258">
        <f>IFERROR(IF(N(BB136)&lt;&gt;0,MAX(0,MIN(1,-BB137/BB136)),""),"")</f>
        <v>0.538949693778396</v>
      </c>
      <c r="BC355" s="258">
        <f>IFERROR(IF(N(BC136)&lt;&gt;0,MAX(0,MIN(1,-BC137/BC136)),""),"")</f>
        <v>0.538949693778396</v>
      </c>
      <c r="BD355" s="258">
        <f>IFERROR(IF(N(BD136)&lt;&gt;0,MAX(0,MIN(1,-BD137/BD136)),""),"")</f>
        <v>0.538949693778396</v>
      </c>
      <c r="BE355" s="258">
        <f>IFERROR(IF(N(BE136)&lt;&gt;0,MAX(0,MIN(1,-BE137/BE136)),""),"")</f>
        <v>0.538949693778396</v>
      </c>
      <c r="BF355" s="258">
        <f>IFERROR(IF(N(BF136)&lt;&gt;0,MAX(0,MIN(1,-BF137/BF136)),""),"")</f>
        <v>0.538949693778396</v>
      </c>
      <c r="BG355" s="88" t="n"/>
      <c r="BH355" s="88" t="n"/>
      <c r="BI355" s="88" t="n"/>
      <c r="BJ355" s="88" t="n"/>
      <c r="BL355" s="88" t="n"/>
      <c r="BM355" s="88" t="n"/>
      <c r="BN355" s="88" t="n"/>
      <c r="BO355" s="88" t="n"/>
      <c r="BQ355" s="88" t="n"/>
      <c r="BR355" s="88" t="n"/>
      <c r="BS355" s="88" t="n"/>
      <c r="BT355" s="88" t="n"/>
      <c r="BV355" s="88" t="n"/>
      <c r="BW355" s="88" t="n"/>
      <c r="BX355" s="88" t="n"/>
      <c r="BY355" s="88" t="n"/>
      <c r="CA355" s="88" t="n"/>
      <c r="CB355" s="88" t="n"/>
      <c r="CC355" s="88" t="n"/>
      <c r="CD355" s="88" t="n"/>
      <c r="CF355" s="88" t="n"/>
      <c r="CG355" s="88" t="n"/>
      <c r="CH355" s="88" t="n"/>
      <c r="CI355" s="88" t="n"/>
      <c r="CK355" s="88" t="n"/>
      <c r="CL355" s="88" t="n"/>
      <c r="CM355" s="88" t="n"/>
      <c r="CN355" s="88" t="n"/>
      <c r="CP355" s="88" t="n"/>
      <c r="CQ355" s="88" t="n"/>
      <c r="CR355" s="88" t="n"/>
      <c r="CS355" s="88" t="n"/>
      <c r="CU355" s="88" t="n"/>
      <c r="CV355" s="88" t="n"/>
      <c r="CW355" s="88" t="n"/>
      <c r="CX355" s="88" t="n"/>
    </row>
    <row r="356" customFormat="1" s="77">
      <c r="A356" s="76" t="n"/>
      <c r="B356" s="76" t="n"/>
      <c r="C356" s="77" t="inlineStr">
        <is>
          <t>INVESTED CAPITAL</t>
        </is>
      </c>
      <c r="D356" s="86">
        <f>IFERROR(D359-D360+D361,"")</f>
        <v>0</v>
      </c>
      <c r="E356" s="86">
        <f>IFERROR(E359-E360+E361,"")</f>
        <v>0</v>
      </c>
      <c r="F356" s="86">
        <f>IFERROR(F359-F360+F361,"")</f>
        <v>0</v>
      </c>
      <c r="G356" s="86">
        <f>IFERROR(G359-G360+G361,"")</f>
        <v>0</v>
      </c>
      <c r="H356" s="263">
        <f>IFERROR(H358+H361,0)</f>
        <v>0</v>
      </c>
      <c r="I356" s="263">
        <f>IFERROR(I358+I361,0)</f>
        <v>14743.578183327</v>
      </c>
      <c r="J356" s="263">
        <f>IFERROR(J358+J361,0)</f>
        <v>16197.678069992</v>
      </c>
      <c r="K356" s="263">
        <f>IFERROR(K358+K361,0)</f>
        <v>19164.689</v>
      </c>
      <c r="L356" s="263">
        <f>IFERROR(L358+L361,0)</f>
        <v>22548.613</v>
      </c>
      <c r="M356" s="263">
        <f>IFERROR(M358+M361,0)</f>
        <v>22548.613</v>
      </c>
      <c r="N356" s="263">
        <f>IFERROR(N358+N361,0)</f>
        <v>24309.114</v>
      </c>
      <c r="O356" s="263">
        <f>IFERROR(O358+O361,0)</f>
        <v>28081.461</v>
      </c>
      <c r="P356" s="263">
        <f>IFERROR(P358+P361,0)</f>
        <v>32174.394</v>
      </c>
      <c r="Q356" s="263">
        <f>IFERROR(Q358+Q361,0)</f>
        <v>33749.252</v>
      </c>
      <c r="R356" s="263">
        <f>IFERROR(R358+R361,0)</f>
        <v>33749.252</v>
      </c>
      <c r="S356" s="263">
        <f>IFERROR(S358+S361,0)</f>
        <v>36798.004926247</v>
      </c>
      <c r="T356" s="263">
        <f>IFERROR(T358+T361,0)</f>
        <v>40412.792448757</v>
      </c>
      <c r="U356" s="263">
        <f>IFERROR(U358+U361,0)</f>
        <v>41585.804395148</v>
      </c>
      <c r="V356" s="263">
        <f>IFERROR(V358+V361,0)</f>
        <v>42502.152102256</v>
      </c>
      <c r="W356" s="263">
        <f>IFERROR(W358+W361,0)</f>
        <v>42502.152102256</v>
      </c>
      <c r="X356" s="263">
        <f>IFERROR(X358+X361,0)</f>
        <v>43940.453766851</v>
      </c>
      <c r="Y356" s="263">
        <f>IFERROR(Y358+Y361,0)</f>
        <v>47369.829211127</v>
      </c>
      <c r="Z356" s="263">
        <f>IFERROR(Z358+Z361,0)</f>
        <v>49392.061401851</v>
      </c>
      <c r="AA356" s="263">
        <f>IFERROR(AA358+AA361,0)</f>
        <v>50613.70789307</v>
      </c>
      <c r="AB356" s="263">
        <f>IFERROR(AB358+AB361,0)</f>
        <v>50613.70789307</v>
      </c>
      <c r="AC356" s="263">
        <f>IFERROR(AC358+AC361,0)</f>
        <v>50769.79714656</v>
      </c>
      <c r="AD356" s="263">
        <f>IFERROR(AD358+AD361,0)</f>
        <v>51599.71077535</v>
      </c>
      <c r="AE356" s="263">
        <f>IFERROR(AE358+AE361,0)</f>
        <v>50093.92988043</v>
      </c>
      <c r="AF356" s="263">
        <f>IFERROR(AF358+AF361,0)</f>
        <v>49586.89246112</v>
      </c>
      <c r="AG356" s="263">
        <f>IFERROR(AG358+AG361,0)</f>
        <v>49586.89246112</v>
      </c>
      <c r="AH356" s="263">
        <f>IFERROR(AH358+AH361,0)</f>
        <v>49725.19133605</v>
      </c>
      <c r="AI356" s="263">
        <f>IFERROR(AI358+AI361,0)</f>
        <v>51658.4376801</v>
      </c>
      <c r="AJ356" s="263">
        <f>IFERROR(AJ358+AJ361,0)</f>
        <v>52500.7329804769</v>
      </c>
      <c r="AK356" s="263">
        <f>IFERROR(AK358+AK361,0)</f>
        <v>52840.1277576844</v>
      </c>
      <c r="AL356" s="263">
        <f>IFERROR(AL358+AL361,0)</f>
        <v>52840.1277576844</v>
      </c>
      <c r="AM356" s="263">
        <f>IFERROR(AM358+AM361,0)</f>
        <v>53172.7645042143</v>
      </c>
      <c r="AN356" s="263">
        <f>IFERROR(AN358+AN361,0)</f>
        <v>53557.5119904605</v>
      </c>
      <c r="AO356" s="263">
        <f>IFERROR(AO358+AO361,0)</f>
        <v>54016.0245678897</v>
      </c>
      <c r="AP356" s="263">
        <f>IFERROR(AP358+AP361,0)</f>
        <v>54351.2664429791</v>
      </c>
      <c r="AQ356" s="263">
        <f>IFERROR(AQ358+AQ361,0)</f>
        <v>54351.2664429791</v>
      </c>
      <c r="AR356" s="263">
        <f>IFERROR(AR358+AR361,0)</f>
        <v>54633.8747428943</v>
      </c>
      <c r="AS356" s="263">
        <f>IFERROR(AS358+AS361,0)</f>
        <v>55064.6595276167</v>
      </c>
      <c r="AT356" s="263">
        <f>IFERROR(AT358+AT361,0)</f>
        <v>55534.9010114646</v>
      </c>
      <c r="AU356" s="263">
        <f>IFERROR(AU358+AU361,0)</f>
        <v>55874.9023261381</v>
      </c>
      <c r="AV356" s="263">
        <f>IFERROR(AV358+AV361,0)</f>
        <v>55874.9023261381</v>
      </c>
      <c r="AW356" s="263">
        <f>IFERROR(AW358+AW361,0)</f>
        <v>56182.5381900871</v>
      </c>
      <c r="AX356" s="263">
        <f>IFERROR(AX358+AX361,0)</f>
        <v>56582.8600934975</v>
      </c>
      <c r="AY356" s="263">
        <f>IFERROR(AY358+AY361,0)</f>
        <v>57065.2187518947</v>
      </c>
      <c r="AZ356" s="263">
        <f>IFERROR(AZ358+AZ361,0)</f>
        <v>57410.9166986673</v>
      </c>
      <c r="BA356" s="263">
        <f>IFERROR(BA358+BA361,0)</f>
        <v>57410.9166986673</v>
      </c>
      <c r="BB356" s="263">
        <f>IFERROR(BB358+BB361,0)</f>
        <v>57704.8704077088</v>
      </c>
      <c r="BC356" s="263">
        <f>IFERROR(BC358+BC361,0)</f>
        <v>58114.702217592</v>
      </c>
      <c r="BD356" s="263">
        <f>IFERROR(BD358+BD361,0)</f>
        <v>58610.8782538067</v>
      </c>
      <c r="BE356" s="263">
        <f>IFERROR(BE358+BE361,0)</f>
        <v>58964.6517683367</v>
      </c>
      <c r="BF356" s="263">
        <f>IFERROR(BF358+BF361,0)</f>
        <v>58964.6517683367</v>
      </c>
      <c r="BG356" s="63" t="n"/>
      <c r="BH356" s="63" t="n"/>
      <c r="BI356" s="63" t="n"/>
      <c r="BJ356" s="63" t="n"/>
      <c r="BL356" s="63" t="n"/>
      <c r="BM356" s="63" t="n"/>
      <c r="BN356" s="63" t="n"/>
      <c r="BO356" s="63" t="n"/>
      <c r="BQ356" s="63" t="n"/>
      <c r="BR356" s="63" t="n"/>
      <c r="BS356" s="63" t="n"/>
      <c r="BT356" s="63" t="n"/>
      <c r="BV356" s="63" t="n"/>
      <c r="BW356" s="63" t="n"/>
      <c r="BX356" s="63" t="n"/>
      <c r="BY356" s="63" t="n"/>
      <c r="CA356" s="63" t="n"/>
      <c r="CB356" s="63" t="n"/>
      <c r="CC356" s="63" t="n"/>
      <c r="CD356" s="63" t="n"/>
      <c r="CF356" s="63" t="n"/>
      <c r="CG356" s="63" t="n"/>
      <c r="CH356" s="63" t="n"/>
      <c r="CI356" s="63" t="n"/>
      <c r="CK356" s="63" t="n"/>
      <c r="CL356" s="63" t="n"/>
      <c r="CM356" s="63" t="n"/>
      <c r="CN356" s="63" t="n"/>
      <c r="CP356" s="63" t="n"/>
      <c r="CQ356" s="63" t="n"/>
      <c r="CR356" s="63" t="n"/>
      <c r="CS356" s="63" t="n"/>
      <c r="CU356" s="63" t="n"/>
      <c r="CV356" s="63" t="n"/>
      <c r="CW356" s="63" t="n"/>
      <c r="CX356" s="63" t="n"/>
    </row>
    <row r="357" customFormat="1" s="77">
      <c r="A357" s="76" t="n"/>
      <c r="B357" s="76" t="n"/>
      <c r="C357" s="77" t="inlineStr">
        <is>
          <t>INVESTED CAPITAL - EX GOODWILL</t>
        </is>
      </c>
      <c r="D357" s="89">
        <f>IFERROR(D356-D185,"")</f>
        <v>0</v>
      </c>
      <c r="E357" s="89">
        <f>IFERROR(E356-E185,"")</f>
        <v>0</v>
      </c>
      <c r="F357" s="89">
        <f>IFERROR(F356-F185,"")</f>
        <v>0</v>
      </c>
      <c r="G357" s="89">
        <f>IFERROR(G356-G185,"")</f>
        <v>0</v>
      </c>
      <c r="H357" s="263">
        <f>IFERROR(H356-N(H185),0)</f>
        <v>0</v>
      </c>
      <c r="I357" s="263">
        <f>IFERROR(I356-N(I185),0)</f>
        <v>14743.578183327</v>
      </c>
      <c r="J357" s="263">
        <f>IFERROR(J356-N(J185),0)</f>
        <v>16197.678069992</v>
      </c>
      <c r="K357" s="263">
        <f>IFERROR(K356-N(K185),0)</f>
        <v>19164.689</v>
      </c>
      <c r="L357" s="263">
        <f>IFERROR(L356-N(L185),0)</f>
        <v>22548.613</v>
      </c>
      <c r="M357" s="263">
        <f>IFERROR(M356-N(M185),0)</f>
        <v>22548.613</v>
      </c>
      <c r="N357" s="263">
        <f>IFERROR(N356-N(N185),0)</f>
        <v>24309.114</v>
      </c>
      <c r="O357" s="263">
        <f>IFERROR(O356-N(O185),0)</f>
        <v>28081.461</v>
      </c>
      <c r="P357" s="263">
        <f>IFERROR(P356-N(P185),0)</f>
        <v>32174.394</v>
      </c>
      <c r="Q357" s="263">
        <f>IFERROR(Q356-N(Q185),0)</f>
        <v>33749.252</v>
      </c>
      <c r="R357" s="263">
        <f>IFERROR(R356-N(R185),0)</f>
        <v>33749.252</v>
      </c>
      <c r="S357" s="263">
        <f>IFERROR(S356-N(S185),0)</f>
        <v>36798.004926247</v>
      </c>
      <c r="T357" s="263">
        <f>IFERROR(T356-N(T185),0)</f>
        <v>40412.792448757</v>
      </c>
      <c r="U357" s="263">
        <f>IFERROR(U356-N(U185),0)</f>
        <v>41585.804395148</v>
      </c>
      <c r="V357" s="263">
        <f>IFERROR(V356-N(V185),0)</f>
        <v>42502.152102256</v>
      </c>
      <c r="W357" s="263">
        <f>IFERROR(W356-N(W185),0)</f>
        <v>42502.152102256</v>
      </c>
      <c r="X357" s="263">
        <f>IFERROR(X356-N(X185),0)</f>
        <v>43940.453766851</v>
      </c>
      <c r="Y357" s="263">
        <f>IFERROR(Y356-N(Y185),0)</f>
        <v>47369.829211127</v>
      </c>
      <c r="Z357" s="263">
        <f>IFERROR(Z356-N(Z185),0)</f>
        <v>49392.061401851</v>
      </c>
      <c r="AA357" s="263">
        <f>IFERROR(AA356-N(AA185),0)</f>
        <v>50613.70789307</v>
      </c>
      <c r="AB357" s="263">
        <f>IFERROR(AB356-N(AB185),0)</f>
        <v>50613.70789307</v>
      </c>
      <c r="AC357" s="263">
        <f>IFERROR(AC356-N(AC185),0)</f>
        <v>50769.79714656</v>
      </c>
      <c r="AD357" s="263">
        <f>IFERROR(AD356-N(AD185),0)</f>
        <v>51599.71077535</v>
      </c>
      <c r="AE357" s="263">
        <f>IFERROR(AE356-N(AE185),0)</f>
        <v>50093.92988043</v>
      </c>
      <c r="AF357" s="263">
        <f>IFERROR(AF356-N(AF185),0)</f>
        <v>49586.89246112</v>
      </c>
      <c r="AG357" s="263">
        <f>IFERROR(AG356-N(AG185),0)</f>
        <v>49586.89246112</v>
      </c>
      <c r="AH357" s="263">
        <f>IFERROR(AH356-N(AH185),0)</f>
        <v>49725.19133605</v>
      </c>
      <c r="AI357" s="263">
        <f>IFERROR(AI356-N(AI185),0)</f>
        <v>51658.4376801</v>
      </c>
      <c r="AJ357" s="263">
        <f>IFERROR(AJ356-N(AJ185),0)</f>
        <v>52500.7329804769</v>
      </c>
      <c r="AK357" s="263">
        <f>IFERROR(AK356-N(AK185),0)</f>
        <v>52840.1277576844</v>
      </c>
      <c r="AL357" s="263">
        <f>IFERROR(AL356-N(AL185),0)</f>
        <v>52840.1277576844</v>
      </c>
      <c r="AM357" s="263">
        <f>IFERROR(AM356-N(AM185),0)</f>
        <v>53172.7645042143</v>
      </c>
      <c r="AN357" s="263">
        <f>IFERROR(AN356-N(AN185),0)</f>
        <v>53557.5119904605</v>
      </c>
      <c r="AO357" s="263">
        <f>IFERROR(AO356-N(AO185),0)</f>
        <v>54016.0245678897</v>
      </c>
      <c r="AP357" s="263">
        <f>IFERROR(AP356-N(AP185),0)</f>
        <v>54351.2664429791</v>
      </c>
      <c r="AQ357" s="263">
        <f>IFERROR(AQ356-N(AQ185),0)</f>
        <v>54351.2664429791</v>
      </c>
      <c r="AR357" s="263">
        <f>IFERROR(AR356-N(AR185),0)</f>
        <v>54633.8747428943</v>
      </c>
      <c r="AS357" s="263">
        <f>IFERROR(AS356-N(AS185),0)</f>
        <v>55064.6595276167</v>
      </c>
      <c r="AT357" s="263">
        <f>IFERROR(AT356-N(AT185),0)</f>
        <v>55534.9010114646</v>
      </c>
      <c r="AU357" s="263">
        <f>IFERROR(AU356-N(AU185),0)</f>
        <v>55874.9023261381</v>
      </c>
      <c r="AV357" s="263">
        <f>IFERROR(AV356-N(AV185),0)</f>
        <v>55874.9023261381</v>
      </c>
      <c r="AW357" s="263">
        <f>IFERROR(AW356-N(AW185),0)</f>
        <v>56182.5381900871</v>
      </c>
      <c r="AX357" s="263">
        <f>IFERROR(AX356-N(AX185),0)</f>
        <v>56582.8600934975</v>
      </c>
      <c r="AY357" s="263">
        <f>IFERROR(AY356-N(AY185),0)</f>
        <v>57065.2187518947</v>
      </c>
      <c r="AZ357" s="263">
        <f>IFERROR(AZ356-N(AZ185),0)</f>
        <v>57410.9166986673</v>
      </c>
      <c r="BA357" s="263">
        <f>IFERROR(BA356-N(BA185),0)</f>
        <v>57410.9166986673</v>
      </c>
      <c r="BB357" s="263">
        <f>IFERROR(BB356-N(BB185),0)</f>
        <v>57704.8704077088</v>
      </c>
      <c r="BC357" s="263">
        <f>IFERROR(BC356-N(BC185),0)</f>
        <v>58114.702217592</v>
      </c>
      <c r="BD357" s="263">
        <f>IFERROR(BD356-N(BD185),0)</f>
        <v>58610.8782538067</v>
      </c>
      <c r="BE357" s="263">
        <f>IFERROR(BE356-N(BE185),0)</f>
        <v>58964.6517683367</v>
      </c>
      <c r="BF357" s="263">
        <f>IFERROR(BF356-N(BF185),0)</f>
        <v>58964.6517683367</v>
      </c>
      <c r="BG357" s="90" t="n"/>
      <c r="BH357" s="90" t="n"/>
      <c r="BI357" s="90" t="n"/>
      <c r="BJ357" s="90" t="n"/>
      <c r="BL357" s="90" t="n"/>
      <c r="BM357" s="90" t="n"/>
      <c r="BN357" s="90" t="n"/>
      <c r="BO357" s="90" t="n"/>
      <c r="BQ357" s="90" t="n"/>
      <c r="BR357" s="90" t="n"/>
      <c r="BS357" s="90" t="n"/>
      <c r="BT357" s="90" t="n"/>
      <c r="BV357" s="90" t="n"/>
      <c r="BW357" s="90" t="n"/>
      <c r="BX357" s="90" t="n"/>
      <c r="BY357" s="90" t="n"/>
      <c r="CA357" s="90" t="n"/>
      <c r="CB357" s="90" t="n"/>
      <c r="CC357" s="90" t="n"/>
      <c r="CD357" s="90" t="n"/>
      <c r="CF357" s="90" t="n"/>
      <c r="CG357" s="90" t="n"/>
      <c r="CH357" s="90" t="n"/>
      <c r="CI357" s="90" t="n"/>
      <c r="CK357" s="90" t="n"/>
      <c r="CL357" s="90" t="n"/>
      <c r="CM357" s="90" t="n"/>
      <c r="CN357" s="90" t="n"/>
      <c r="CP357" s="90" t="n"/>
      <c r="CQ357" s="90" t="n"/>
      <c r="CR357" s="90" t="n"/>
      <c r="CS357" s="90" t="n"/>
      <c r="CU357" s="90" t="n"/>
      <c r="CV357" s="90" t="n"/>
      <c r="CW357" s="90" t="n"/>
      <c r="CX357" s="90" t="n"/>
    </row>
    <row r="358" customFormat="1" s="77">
      <c r="A358" s="76" t="n"/>
      <c r="B358" s="76" t="n"/>
      <c r="C358" s="77" t="inlineStr">
        <is>
          <t>OPERATING WORKING CAPITAL</t>
        </is>
      </c>
      <c r="D358" s="91">
        <f>IFERROR(D359-D360,"")</f>
        <v>0</v>
      </c>
      <c r="E358" s="91">
        <f>IFERROR(E359-E360,"")</f>
        <v>0</v>
      </c>
      <c r="F358" s="91">
        <f>IFERROR(F359-F360,"")</f>
        <v>0</v>
      </c>
      <c r="G358" s="91">
        <f>IFERROR(G359-G360,"")</f>
        <v>0</v>
      </c>
      <c r="H358" s="263">
        <f>IFERROR(H359-H360,0)</f>
        <v>0</v>
      </c>
      <c r="I358" s="263">
        <f>IFERROR(I359-I360,0)</f>
        <v>687.445618166999</v>
      </c>
      <c r="J358" s="263">
        <f>IFERROR(J359-J360,0)</f>
        <v>306.572667881999</v>
      </c>
      <c r="K358" s="263">
        <f>IFERROR(K359-K360,0)</f>
        <v>1042.351</v>
      </c>
      <c r="L358" s="263">
        <f>IFERROR(L359-L360,0)</f>
        <v>-77.3580000000002</v>
      </c>
      <c r="M358" s="263">
        <f>IFERROR(M359-M360,0)</f>
        <v>-77.3580000000002</v>
      </c>
      <c r="N358" s="263">
        <f>IFERROR(N359-N360,0)</f>
        <v>919.903999999999</v>
      </c>
      <c r="O358" s="263">
        <f>IFERROR(O359-O360,0)</f>
        <v>763.679999999999</v>
      </c>
      <c r="P358" s="263">
        <f>IFERROR(P359-P360,0)</f>
        <v>2178.965</v>
      </c>
      <c r="Q358" s="263">
        <f>IFERROR(Q359-Q360,0)</f>
        <v>333.569</v>
      </c>
      <c r="R358" s="263">
        <f>IFERROR(R359-R360,0)</f>
        <v>333.569</v>
      </c>
      <c r="S358" s="263">
        <f>IFERROR(S359-S360,0)</f>
        <v>3476.921460317</v>
      </c>
      <c r="T358" s="263">
        <f>IFERROR(T359-T360,0)</f>
        <v>5448.069331002</v>
      </c>
      <c r="U358" s="263">
        <f>IFERROR(U359-U360,0)</f>
        <v>5590.075800299</v>
      </c>
      <c r="V358" s="263">
        <f>IFERROR(V359-V360,0)</f>
        <v>1774.886257525</v>
      </c>
      <c r="W358" s="263">
        <f>IFERROR(W359-W360,0)</f>
        <v>1774.886257525</v>
      </c>
      <c r="X358" s="263">
        <f>IFERROR(X359-X360,0)</f>
        <v>2094.449788863</v>
      </c>
      <c r="Y358" s="263">
        <f>IFERROR(Y359-Y360,0)</f>
        <v>3630.135164386</v>
      </c>
      <c r="Z358" s="263">
        <f>IFERROR(Z359-Z360,0)</f>
        <v>4462.849121557</v>
      </c>
      <c r="AA358" s="263">
        <f>IFERROR(AA359-AA360,0)</f>
        <v>2261.8071346</v>
      </c>
      <c r="AB358" s="263">
        <f>IFERROR(AB359-AB360,0)</f>
        <v>2261.8071346</v>
      </c>
      <c r="AC358" s="263">
        <f>IFERROR(AC359-AC360,0)</f>
        <v>5122.58923522</v>
      </c>
      <c r="AD358" s="263">
        <f>IFERROR(AD359-AD360,0)</f>
        <v>6057.28858928</v>
      </c>
      <c r="AE358" s="263">
        <f>IFERROR(AE359-AE360,0)</f>
        <v>5246.99041637</v>
      </c>
      <c r="AF358" s="263">
        <f>IFERROR(AF359-AF360,0)</f>
        <v>1613.39017756</v>
      </c>
      <c r="AG358" s="263">
        <f>IFERROR(AG359-AG360,0)</f>
        <v>1613.39017756</v>
      </c>
      <c r="AH358" s="263">
        <f>IFERROR(AH359-AH360,0)</f>
        <v>1990.89048124</v>
      </c>
      <c r="AI358" s="263">
        <f>IFERROR(AI359-AI360,0)</f>
        <v>2633.73673978</v>
      </c>
      <c r="AJ358" s="263">
        <f>IFERROR(AJ359-AJ360,0)</f>
        <v>3022.53121728529</v>
      </c>
      <c r="AK358" s="263">
        <f>IFERROR(AK359-AK360,0)</f>
        <v>2907.66700858215</v>
      </c>
      <c r="AL358" s="263">
        <f>IFERROR(AL359-AL360,0)</f>
        <v>2907.66700858215</v>
      </c>
      <c r="AM358" s="263">
        <f>IFERROR(AM359-AM360,0)</f>
        <v>2794.01891860293</v>
      </c>
      <c r="AN358" s="263">
        <f>IFERROR(AN359-AN360,0)</f>
        <v>2719.23050707427</v>
      </c>
      <c r="AO358" s="263">
        <f>IFERROR(AO359-AO360,0)</f>
        <v>2696.45335847703</v>
      </c>
      <c r="AP358" s="263">
        <f>IFERROR(AP359-AP360,0)</f>
        <v>2549.60088699033</v>
      </c>
      <c r="AQ358" s="263">
        <f>IFERROR(AQ359-AQ360,0)</f>
        <v>2549.60088699033</v>
      </c>
      <c r="AR358" s="263">
        <f>IFERROR(AR359-AR360,0)</f>
        <v>2360.80904117564</v>
      </c>
      <c r="AS358" s="263">
        <f>IFERROR(AS359-AS360,0)</f>
        <v>2306.19689672249</v>
      </c>
      <c r="AT358" s="263">
        <f>IFERROR(AT359-AT360,0)</f>
        <v>2268.06339574714</v>
      </c>
      <c r="AU358" s="263">
        <f>IFERROR(AU359-AU360,0)</f>
        <v>2098.83982389052</v>
      </c>
      <c r="AV358" s="263">
        <f>IFERROR(AV359-AV360,0)</f>
        <v>2098.83982389052</v>
      </c>
      <c r="AW358" s="263">
        <f>IFERROR(AW359-AW360,0)</f>
        <v>1910.90383413437</v>
      </c>
      <c r="AX358" s="263">
        <f>IFERROR(AX359-AX360,0)</f>
        <v>1800.93939556276</v>
      </c>
      <c r="AY358" s="263">
        <f>IFERROR(AY359-AY360,0)</f>
        <v>1748.85542408756</v>
      </c>
      <c r="AZ358" s="263">
        <f>IFERROR(AZ359-AZ360,0)</f>
        <v>1559.21725937079</v>
      </c>
      <c r="BA358" s="263">
        <f>IFERROR(BA359-BA360,0)</f>
        <v>1559.21725937079</v>
      </c>
      <c r="BB358" s="263">
        <f>IFERROR(BB359-BB360,0)</f>
        <v>1334.66582754946</v>
      </c>
      <c r="BC358" s="263">
        <f>IFERROR(BC359-BC360,0)</f>
        <v>1210.59707457463</v>
      </c>
      <c r="BD358" s="263">
        <f>IFERROR(BD359-BD360,0)</f>
        <v>1147.59839371591</v>
      </c>
      <c r="BE358" s="263">
        <f>IFERROR(BE359-BE360,0)</f>
        <v>941.262362432361</v>
      </c>
      <c r="BF358" s="263">
        <f>IFERROR(BF359-BF360,0)</f>
        <v>941.262362432361</v>
      </c>
      <c r="BG358" s="63" t="n"/>
      <c r="BH358" s="63" t="n"/>
      <c r="BI358" s="63" t="n"/>
      <c r="BJ358" s="63" t="n"/>
      <c r="BL358" s="63" t="n"/>
      <c r="BM358" s="63" t="n"/>
      <c r="BN358" s="63" t="n"/>
      <c r="BO358" s="63" t="n"/>
      <c r="BQ358" s="63" t="n"/>
      <c r="BR358" s="63" t="n"/>
      <c r="BS358" s="63" t="n"/>
      <c r="BT358" s="63" t="n"/>
      <c r="BV358" s="63" t="n"/>
      <c r="BW358" s="63" t="n"/>
      <c r="BX358" s="63" t="n"/>
      <c r="BY358" s="63" t="n"/>
      <c r="CA358" s="63" t="n"/>
      <c r="CB358" s="63" t="n"/>
      <c r="CC358" s="63" t="n"/>
      <c r="CD358" s="63" t="n"/>
      <c r="CF358" s="63" t="n"/>
      <c r="CG358" s="63" t="n"/>
      <c r="CH358" s="63" t="n"/>
      <c r="CI358" s="63" t="n"/>
      <c r="CK358" s="63" t="n"/>
      <c r="CL358" s="63" t="n"/>
      <c r="CM358" s="63" t="n"/>
      <c r="CN358" s="63" t="n"/>
      <c r="CP358" s="63" t="n"/>
      <c r="CQ358" s="63" t="n"/>
      <c r="CR358" s="63" t="n"/>
      <c r="CS358" s="63" t="n"/>
      <c r="CU358" s="63" t="n"/>
      <c r="CV358" s="63" t="n"/>
      <c r="CW358" s="63" t="n"/>
      <c r="CX358" s="63" t="n"/>
    </row>
    <row r="359" customFormat="1" s="77">
      <c r="A359" s="76" t="n"/>
      <c r="B359" s="76" t="n"/>
      <c r="C359" s="77" t="inlineStr">
        <is>
          <t>CURRENT ASSETS (OPERATING, EX CASH)</t>
        </is>
      </c>
      <c r="D359" s="89">
        <f>IFERROR(D151+D155+D159+D160+D161,"")</f>
        <v>0</v>
      </c>
      <c r="E359" s="89">
        <f>IFERROR(E151+E155+E159+E160+E161,"")</f>
        <v>0</v>
      </c>
      <c r="F359" s="89">
        <f>IFERROR(F151+F155+F159+F160+F161,"")</f>
        <v>0</v>
      </c>
      <c r="G359" s="89">
        <f>IFERROR(G151+G155+G159+G160+G161,"")</f>
        <v>0</v>
      </c>
      <c r="H359" s="263">
        <f>IFERROR((N(H151)+N(H155)+N(H159)+N(H160)+N(H161)),0)</f>
        <v>0</v>
      </c>
      <c r="I359" s="263">
        <f>IFERROR((N(I151)+N(I155)+N(I159)+N(I160)+N(I161)),0)</f>
        <v>3721.474803906</v>
      </c>
      <c r="J359" s="263">
        <f>IFERROR((N(J151)+N(J155)+N(J159)+N(J160)+N(J161)),0)</f>
        <v>4220.861</v>
      </c>
      <c r="K359" s="263">
        <f>IFERROR((N(K151)+N(K155)+N(K159)+N(K160)+N(K161)),0)</f>
        <v>4710.226</v>
      </c>
      <c r="L359" s="263">
        <f>IFERROR((N(L151)+N(L155)+N(L159)+N(L160)+N(L161)),0)</f>
        <v>5316.145</v>
      </c>
      <c r="M359" s="263">
        <f>IFERROR((N(M151)+N(M155)+N(M159)+N(M160)+N(M161)),0)</f>
        <v>5316.145</v>
      </c>
      <c r="N359" s="263">
        <f>IFERROR((N(N151)+N(N155)+N(N159)+N(N160)+N(N161)),0)</f>
        <v>6599.397</v>
      </c>
      <c r="O359" s="263">
        <f>IFERROR((N(O151)+N(O155)+N(O159)+N(O160)+N(O161)),0)</f>
        <v>7546.721</v>
      </c>
      <c r="P359" s="263">
        <f>IFERROR((N(P151)+N(P155)+N(P159)+N(P160)+N(P161)),0)</f>
        <v>9009.923</v>
      </c>
      <c r="Q359" s="263">
        <f>IFERROR((N(Q151)+N(Q155)+N(Q159)+N(Q160)+N(Q161)),0)</f>
        <v>10068.516</v>
      </c>
      <c r="R359" s="263">
        <f>IFERROR((N(R151)+N(R155)+N(R159)+N(R160)+N(R161)),0)</f>
        <v>10068.516</v>
      </c>
      <c r="S359" s="263">
        <f>IFERROR((N(S151)+N(S155)+N(S159)+N(S160)+N(S161)),0)</f>
        <v>10759.749117214</v>
      </c>
      <c r="T359" s="263">
        <f>IFERROR((N(T151)+N(T155)+N(T159)+N(T160)+N(T161)),0)</f>
        <v>11711.080125309</v>
      </c>
      <c r="U359" s="263">
        <f>IFERROR((N(U151)+N(U155)+N(U159)+N(U160)+N(U161)),0)</f>
        <v>13075.642024735</v>
      </c>
      <c r="V359" s="263">
        <f>IFERROR((N(V151)+N(V155)+N(V159)+N(V160)+N(V161)),0)</f>
        <v>12805.679542757</v>
      </c>
      <c r="W359" s="263">
        <f>IFERROR((N(W151)+N(W155)+N(W159)+N(W160)+N(W161)),0)</f>
        <v>12805.679542757</v>
      </c>
      <c r="X359" s="263">
        <f>IFERROR((N(X151)+N(X155)+N(X159)+N(X160)+N(X161)),0)</f>
        <v>13966.522456053</v>
      </c>
      <c r="Y359" s="263">
        <f>IFERROR((N(Y151)+N(Y155)+N(Y159)+N(Y160)+N(Y161)),0)</f>
        <v>15126.045015424</v>
      </c>
      <c r="Z359" s="263">
        <f>IFERROR((N(Z151)+N(Z155)+N(Z159)+N(Z160)+N(Z161)),0)</f>
        <v>15982.361242973</v>
      </c>
      <c r="AA359" s="263">
        <f>IFERROR((N(AA151)+N(AA155)+N(AA159)+N(AA160)+N(AA161)),0)</f>
        <v>15725.20765562</v>
      </c>
      <c r="AB359" s="263">
        <f>IFERROR((N(AB151)+N(AB155)+N(AB159)+N(AB160)+N(AB161)),0)</f>
        <v>15725.20765562</v>
      </c>
      <c r="AC359" s="263">
        <f>IFERROR((N(AC151)+N(AC155)+N(AC159)+N(AC160)+N(AC161)),0)</f>
        <v>16584.4104074</v>
      </c>
      <c r="AD359" s="263">
        <f>IFERROR((N(AD151)+N(AD155)+N(AD159)+N(AD160)+N(AD161)),0)</f>
        <v>18120.09978348</v>
      </c>
      <c r="AE359" s="263">
        <f>IFERROR((N(AE151)+N(AE155)+N(AE159)+N(AE160)+N(AE161)),0)</f>
        <v>17677.25805136</v>
      </c>
      <c r="AF359" s="263">
        <f>IFERROR((N(AF151)+N(AF155)+N(AF159)+N(AF160)+N(AF161)),0)</f>
        <v>16080.70716102</v>
      </c>
      <c r="AG359" s="263">
        <f>IFERROR((N(AG151)+N(AG155)+N(AG159)+N(AG160)+N(AG161)),0)</f>
        <v>16080.70716102</v>
      </c>
      <c r="AH359" s="263">
        <f>IFERROR((N(AH151)+N(AH155)+N(AH159)+N(AH160)+N(AH161)),0)</f>
        <v>16787.98235461</v>
      </c>
      <c r="AI359" s="263">
        <f>IFERROR((N(AI151)+N(AI155)+N(AI159)+N(AI160)+N(AI161)),0)</f>
        <v>19378.99193329</v>
      </c>
      <c r="AJ359" s="263">
        <f>IFERROR((N(AJ151)+N(AJ155)+N(AJ159)+N(AJ160)+N(AJ161)),0)</f>
        <v>19298.2253727173</v>
      </c>
      <c r="AK359" s="263">
        <f>IFERROR((N(AK151)+N(AK155)+N(AK159)+N(AK160)+N(AK161)),0)</f>
        <v>19317.1254404545</v>
      </c>
      <c r="AL359" s="263">
        <f>IFERROR((N(AL151)+N(AL155)+N(AL159)+N(AL160)+N(AL161)),0)</f>
        <v>19317.1254404545</v>
      </c>
      <c r="AM359" s="263">
        <f>IFERROR((N(AM151)+N(AM155)+N(AM159)+N(AM160)+N(AM161)),0)</f>
        <v>19365.569294068</v>
      </c>
      <c r="AN359" s="263">
        <f>IFERROR((N(AN151)+N(AN155)+N(AN159)+N(AN160)+N(AN161)),0)</f>
        <v>19574.5587295486</v>
      </c>
      <c r="AO359" s="263">
        <f>IFERROR((N(AO151)+N(AO155)+N(AO159)+N(AO160)+N(AO161)),0)</f>
        <v>19990.968390921</v>
      </c>
      <c r="AP359" s="263">
        <f>IFERROR((N(AP151)+N(AP155)+N(AP159)+N(AP160)+N(AP161)),0)</f>
        <v>20011.026586991</v>
      </c>
      <c r="AQ359" s="263">
        <f>IFERROR((N(AQ151)+N(AQ155)+N(AQ159)+N(AQ160)+N(AQ161)),0)</f>
        <v>20011.026586991</v>
      </c>
      <c r="AR359" s="263">
        <f>IFERROR((N(AR151)+N(AR155)+N(AR159)+N(AR160)+N(AR161)),0)</f>
        <v>19873.5698923075</v>
      </c>
      <c r="AS359" s="263">
        <f>IFERROR((N(AS151)+N(AS155)+N(AS159)+N(AS160)+N(AS161)),0)</f>
        <v>20226.3267218016</v>
      </c>
      <c r="AT359" s="263">
        <f>IFERROR((N(AT151)+N(AT155)+N(AT159)+N(AT160)+N(AT161)),0)</f>
        <v>20666.1704247373</v>
      </c>
      <c r="AU359" s="263">
        <f>IFERROR((N(AU151)+N(AU155)+N(AU159)+N(AU160)+N(AU161)),0)</f>
        <v>20687.3574241085</v>
      </c>
      <c r="AV359" s="263">
        <f>IFERROR((N(AV151)+N(AV155)+N(AV159)+N(AV160)+N(AV161)),0)</f>
        <v>20687.3574241085</v>
      </c>
      <c r="AW359" s="263">
        <f>IFERROR((N(AW151)+N(AW155)+N(AW159)+N(AW160)+N(AW161)),0)</f>
        <v>20621.537385259</v>
      </c>
      <c r="AX359" s="263">
        <f>IFERROR((N(AX151)+N(AX155)+N(AX159)+N(AX160)+N(AX161)),0)</f>
        <v>20853.6072954895</v>
      </c>
      <c r="AY359" s="263">
        <f>IFERROR((N(AY151)+N(AY155)+N(AY159)+N(AY160)+N(AY161)),0)</f>
        <v>21316.0046052462</v>
      </c>
      <c r="AZ359" s="263">
        <f>IFERROR((N(AZ151)+N(AZ155)+N(AZ159)+N(AZ160)+N(AZ161)),0)</f>
        <v>21338.277997921</v>
      </c>
      <c r="BA359" s="263">
        <f>IFERROR((N(BA151)+N(BA155)+N(BA159)+N(BA160)+N(BA161)),0)</f>
        <v>21338.277997921</v>
      </c>
      <c r="BB359" s="263">
        <f>IFERROR((N(BB151)+N(BB155)+N(BB159)+N(BB160)+N(BB161)),0)</f>
        <v>21205.9403078726</v>
      </c>
      <c r="BC359" s="263">
        <f>IFERROR((N(BC151)+N(BC155)+N(BC159)+N(BC160)+N(BC161)),0)</f>
        <v>21448.7495808256</v>
      </c>
      <c r="BD359" s="263">
        <f>IFERROR((N(BD151)+N(BD155)+N(BD159)+N(BD160)+N(BD161)),0)</f>
        <v>21932.5449788843</v>
      </c>
      <c r="BE359" s="263">
        <f>IFERROR((N(BE151)+N(BE155)+N(BE159)+N(BE160)+N(BE161)),0)</f>
        <v>21955.8491042499</v>
      </c>
      <c r="BF359" s="263">
        <f>IFERROR((N(BF151)+N(BF155)+N(BF159)+N(BF160)+N(BF161)),0)</f>
        <v>21955.8491042499</v>
      </c>
      <c r="BG359" s="90" t="n"/>
      <c r="BH359" s="90" t="n"/>
      <c r="BI359" s="90" t="n"/>
      <c r="BJ359" s="90" t="n"/>
      <c r="BL359" s="90" t="n"/>
      <c r="BM359" s="90" t="n"/>
      <c r="BN359" s="90" t="n"/>
      <c r="BO359" s="90" t="n"/>
      <c r="BQ359" s="90" t="n"/>
      <c r="BR359" s="90" t="n"/>
      <c r="BS359" s="90" t="n"/>
      <c r="BT359" s="90" t="n"/>
      <c r="BV359" s="90" t="n"/>
      <c r="BW359" s="90" t="n"/>
      <c r="BX359" s="90" t="n"/>
      <c r="BY359" s="90" t="n"/>
      <c r="CA359" s="90" t="n"/>
      <c r="CB359" s="90" t="n"/>
      <c r="CC359" s="90" t="n"/>
      <c r="CD359" s="90" t="n"/>
      <c r="CF359" s="90" t="n"/>
      <c r="CG359" s="90" t="n"/>
      <c r="CH359" s="90" t="n"/>
      <c r="CI359" s="90" t="n"/>
      <c r="CK359" s="90" t="n"/>
      <c r="CL359" s="90" t="n"/>
      <c r="CM359" s="90" t="n"/>
      <c r="CN359" s="90" t="n"/>
      <c r="CP359" s="90" t="n"/>
      <c r="CQ359" s="90" t="n"/>
      <c r="CR359" s="90" t="n"/>
      <c r="CS359" s="90" t="n"/>
      <c r="CU359" s="90" t="n"/>
      <c r="CV359" s="90" t="n"/>
      <c r="CW359" s="90" t="n"/>
      <c r="CX359" s="90" t="n"/>
    </row>
    <row r="360" customFormat="1" s="77">
      <c r="A360" s="76" t="n"/>
      <c r="B360" s="76" t="n"/>
      <c r="C360" s="77" t="inlineStr">
        <is>
          <t>CURRENT LIABILITIES (OPERATING, EX DEBT)</t>
        </is>
      </c>
      <c r="D360" s="89">
        <f>IFERROR(D204+D208+D210+D211,"")</f>
        <v>0</v>
      </c>
      <c r="E360" s="89">
        <f>IFERROR(E204+E208+E210+E211,"")</f>
        <v>0</v>
      </c>
      <c r="F360" s="89">
        <f>IFERROR(F204+F208+F210+F211,"")</f>
        <v>0</v>
      </c>
      <c r="G360" s="89">
        <f>IFERROR(G204+G208+G210+G211,"")</f>
        <v>0</v>
      </c>
      <c r="H360" s="263">
        <f>IFERROR((N(H204)+N(H208)+N(H210)+N(H211)),0)</f>
        <v>0</v>
      </c>
      <c r="I360" s="263">
        <f>IFERROR((N(I204)+N(I208)+N(I210)+N(I211)),0)</f>
        <v>3034.029185739</v>
      </c>
      <c r="J360" s="263">
        <f>IFERROR((N(J204)+N(J208)+N(J210)+N(J211)),0)</f>
        <v>3914.288332118</v>
      </c>
      <c r="K360" s="263">
        <f>IFERROR((N(K204)+N(K208)+N(K210)+N(K211)),0)</f>
        <v>3667.875</v>
      </c>
      <c r="L360" s="263">
        <f>IFERROR((N(L204)+N(L208)+N(L210)+N(L211)),0)</f>
        <v>5393.503</v>
      </c>
      <c r="M360" s="263">
        <f>IFERROR((N(M204)+N(M208)+N(M210)+N(M211)),0)</f>
        <v>5393.503</v>
      </c>
      <c r="N360" s="263">
        <f>IFERROR((N(N204)+N(N208)+N(N210)+N(N211)),0)</f>
        <v>5679.493</v>
      </c>
      <c r="O360" s="263">
        <f>IFERROR((N(O204)+N(O208)+N(O210)+N(O211)),0)</f>
        <v>6783.041</v>
      </c>
      <c r="P360" s="263">
        <f>IFERROR((N(P204)+N(P208)+N(P210)+N(P211)),0)</f>
        <v>6830.958</v>
      </c>
      <c r="Q360" s="263">
        <f>IFERROR((N(Q204)+N(Q208)+N(Q210)+N(Q211)),0)</f>
        <v>9734.947</v>
      </c>
      <c r="R360" s="263">
        <f>IFERROR((N(R204)+N(R208)+N(R210)+N(R211)),0)</f>
        <v>9734.947</v>
      </c>
      <c r="S360" s="263">
        <f>IFERROR((N(S204)+N(S208)+N(S210)+N(S211)),0)</f>
        <v>7282.827656897</v>
      </c>
      <c r="T360" s="263">
        <f>IFERROR((N(T204)+N(T208)+N(T210)+N(T211)),0)</f>
        <v>6263.010794307</v>
      </c>
      <c r="U360" s="263">
        <f>IFERROR((N(U204)+N(U208)+N(U210)+N(U211)),0)</f>
        <v>7485.566224436</v>
      </c>
      <c r="V360" s="263">
        <f>IFERROR((N(V204)+N(V208)+N(V210)+N(V211)),0)</f>
        <v>11030.793285232</v>
      </c>
      <c r="W360" s="263">
        <f>IFERROR((N(W204)+N(W208)+N(W210)+N(W211)),0)</f>
        <v>11030.793285232</v>
      </c>
      <c r="X360" s="263">
        <f>IFERROR((N(X204)+N(X208)+N(X210)+N(X211)),0)</f>
        <v>11872.07266719</v>
      </c>
      <c r="Y360" s="263">
        <f>IFERROR((N(Y204)+N(Y208)+N(Y210)+N(Y211)),0)</f>
        <v>11495.909851038</v>
      </c>
      <c r="Z360" s="263">
        <f>IFERROR((N(Z204)+N(Z208)+N(Z210)+N(Z211)),0)</f>
        <v>11519.512121416</v>
      </c>
      <c r="AA360" s="263">
        <f>IFERROR((N(AA204)+N(AA208)+N(AA210)+N(AA211)),0)</f>
        <v>13463.40052102</v>
      </c>
      <c r="AB360" s="263">
        <f>IFERROR((N(AB204)+N(AB208)+N(AB210)+N(AB211)),0)</f>
        <v>13463.40052102</v>
      </c>
      <c r="AC360" s="263">
        <f>IFERROR((N(AC204)+N(AC208)+N(AC210)+N(AC211)),0)</f>
        <v>11461.82117218</v>
      </c>
      <c r="AD360" s="263">
        <f>IFERROR((N(AD204)+N(AD208)+N(AD210)+N(AD211)),0)</f>
        <v>12062.8111942</v>
      </c>
      <c r="AE360" s="263">
        <f>IFERROR((N(AE204)+N(AE208)+N(AE210)+N(AE211)),0)</f>
        <v>12430.26763499</v>
      </c>
      <c r="AF360" s="263">
        <f>IFERROR((N(AF204)+N(AF208)+N(AF210)+N(AF211)),0)</f>
        <v>14467.31698346</v>
      </c>
      <c r="AG360" s="263">
        <f>IFERROR((N(AG204)+N(AG208)+N(AG210)+N(AG211)),0)</f>
        <v>14467.31698346</v>
      </c>
      <c r="AH360" s="263">
        <f>IFERROR((N(AH204)+N(AH208)+N(AH210)+N(AH211)),0)</f>
        <v>14797.09187337</v>
      </c>
      <c r="AI360" s="263">
        <f>IFERROR((N(AI204)+N(AI208)+N(AI210)+N(AI211)),0)</f>
        <v>16745.25519351</v>
      </c>
      <c r="AJ360" s="263">
        <f>IFERROR((N(AJ204)+N(AJ208)+N(AJ210)+N(AJ211)),0)</f>
        <v>16275.694155432</v>
      </c>
      <c r="AK360" s="263">
        <f>IFERROR((N(AK204)+N(AK208)+N(AK210)+N(AK211)),0)</f>
        <v>16409.4584318723</v>
      </c>
      <c r="AL360" s="263">
        <f>IFERROR((N(AL204)+N(AL208)+N(AL210)+N(AL211)),0)</f>
        <v>16409.4584318723</v>
      </c>
      <c r="AM360" s="263">
        <f>IFERROR((N(AM204)+N(AM208)+N(AM210)+N(AM211)),0)</f>
        <v>16571.5503754651</v>
      </c>
      <c r="AN360" s="263">
        <f>IFERROR((N(AN204)+N(AN208)+N(AN210)+N(AN211)),0)</f>
        <v>16855.3282224744</v>
      </c>
      <c r="AO360" s="263">
        <f>IFERROR((N(AO204)+N(AO208)+N(AO210)+N(AO211)),0)</f>
        <v>17294.515032444</v>
      </c>
      <c r="AP360" s="263">
        <f>IFERROR((N(AP204)+N(AP208)+N(AP210)+N(AP211)),0)</f>
        <v>17461.4257000007</v>
      </c>
      <c r="AQ360" s="263">
        <f>IFERROR((N(AQ204)+N(AQ208)+N(AQ210)+N(AQ211)),0)</f>
        <v>17461.4257000007</v>
      </c>
      <c r="AR360" s="263">
        <f>IFERROR((N(AR204)+N(AR208)+N(AR210)+N(AR211)),0)</f>
        <v>17512.7608511318</v>
      </c>
      <c r="AS360" s="263">
        <f>IFERROR((N(AS204)+N(AS208)+N(AS210)+N(AS211)),0)</f>
        <v>17920.1298250791</v>
      </c>
      <c r="AT360" s="263">
        <f>IFERROR((N(AT204)+N(AT208)+N(AT210)+N(AT211)),0)</f>
        <v>18398.1070289902</v>
      </c>
      <c r="AU360" s="263">
        <f>IFERROR((N(AU204)+N(AU208)+N(AU210)+N(AU211)),0)</f>
        <v>18588.517600218</v>
      </c>
      <c r="AV360" s="263">
        <f>IFERROR((N(AV204)+N(AV208)+N(AV210)+N(AV211)),0)</f>
        <v>18588.517600218</v>
      </c>
      <c r="AW360" s="263">
        <f>IFERROR((N(AW204)+N(AW208)+N(AW210)+N(AW211)),0)</f>
        <v>18710.6335511247</v>
      </c>
      <c r="AX360" s="263">
        <f>IFERROR((N(AX204)+N(AX208)+N(AX210)+N(AX211)),0)</f>
        <v>19052.6678999268</v>
      </c>
      <c r="AY360" s="263">
        <f>IFERROR((N(AY204)+N(AY208)+N(AY210)+N(AY211)),0)</f>
        <v>19567.1491811586</v>
      </c>
      <c r="AZ360" s="263">
        <f>IFERROR((N(AZ204)+N(AZ208)+N(AZ210)+N(AZ211)),0)</f>
        <v>19779.0607385502</v>
      </c>
      <c r="BA360" s="263">
        <f>IFERROR((N(BA204)+N(BA208)+N(BA210)+N(BA211)),0)</f>
        <v>19779.0607385502</v>
      </c>
      <c r="BB360" s="263">
        <f>IFERROR((N(BB204)+N(BB208)+N(BB210)+N(BB211)),0)</f>
        <v>19871.2744803232</v>
      </c>
      <c r="BC360" s="263">
        <f>IFERROR((N(BC204)+N(BC208)+N(BC210)+N(BC211)),0)</f>
        <v>20238.152506251</v>
      </c>
      <c r="BD360" s="263">
        <f>IFERROR((N(BD204)+N(BD208)+N(BD210)+N(BD211)),0)</f>
        <v>20784.9465851684</v>
      </c>
      <c r="BE360" s="263">
        <f>IFERROR((N(BE204)+N(BE208)+N(BE210)+N(BE211)),0)</f>
        <v>21014.5867418175</v>
      </c>
      <c r="BF360" s="263">
        <f>IFERROR((N(BF204)+N(BF208)+N(BF210)+N(BF211)),0)</f>
        <v>21014.5867418175</v>
      </c>
      <c r="BG360" s="90" t="n"/>
      <c r="BH360" s="90" t="n"/>
      <c r="BI360" s="90" t="n"/>
      <c r="BJ360" s="90" t="n"/>
      <c r="BL360" s="90" t="n"/>
      <c r="BM360" s="90" t="n"/>
      <c r="BN360" s="90" t="n"/>
      <c r="BO360" s="90" t="n"/>
      <c r="BQ360" s="90" t="n"/>
      <c r="BR360" s="90" t="n"/>
      <c r="BS360" s="90" t="n"/>
      <c r="BT360" s="90" t="n"/>
      <c r="BV360" s="90" t="n"/>
      <c r="BW360" s="90" t="n"/>
      <c r="BX360" s="90" t="n"/>
      <c r="BY360" s="90" t="n"/>
      <c r="CA360" s="90" t="n"/>
      <c r="CB360" s="90" t="n"/>
      <c r="CC360" s="90" t="n"/>
      <c r="CD360" s="90" t="n"/>
      <c r="CF360" s="90" t="n"/>
      <c r="CG360" s="90" t="n"/>
      <c r="CH360" s="90" t="n"/>
      <c r="CI360" s="90" t="n"/>
      <c r="CK360" s="90" t="n"/>
      <c r="CL360" s="90" t="n"/>
      <c r="CM360" s="90" t="n"/>
      <c r="CN360" s="90" t="n"/>
      <c r="CP360" s="90" t="n"/>
      <c r="CQ360" s="90" t="n"/>
      <c r="CR360" s="90" t="n"/>
      <c r="CS360" s="90" t="n"/>
      <c r="CU360" s="90" t="n"/>
      <c r="CV360" s="90" t="n"/>
      <c r="CW360" s="90" t="n"/>
      <c r="CX360" s="90" t="n"/>
    </row>
    <row r="361" customFormat="1" s="77">
      <c r="A361" s="76" t="n"/>
      <c r="B361" s="76" t="n"/>
      <c r="C361" s="77" t="inlineStr">
        <is>
          <t>FIXED ASSETS</t>
        </is>
      </c>
      <c r="D361" s="89">
        <f>IFERROR(D172+D182+D185+D186+D195-D246,"")</f>
        <v>0</v>
      </c>
      <c r="E361" s="89">
        <f>IFERROR(E172+E182+E185+E186+E195-E246,"")</f>
        <v>0</v>
      </c>
      <c r="F361" s="89">
        <f>IFERROR(F172+F182+F185+F186+F195-F246,"")</f>
        <v>0</v>
      </c>
      <c r="G361" s="89">
        <f>IFERROR(G172+G182+G185+G186+G195-G246,"")</f>
        <v>0</v>
      </c>
      <c r="H361" s="263">
        <f>IFERROR((N(H172)+N(H182)+N(H185)+N(H186)+N(H195))-N(H246),0)</f>
        <v>0</v>
      </c>
      <c r="I361" s="263">
        <f>IFERROR((N(I172)+N(I182)+N(I185)+N(I186)+N(I195))-N(I246),0)</f>
        <v>14056.13256516</v>
      </c>
      <c r="J361" s="263">
        <f>IFERROR((N(J172)+N(J182)+N(J185)+N(J186)+N(J195))-N(J246),0)</f>
        <v>15891.10540211</v>
      </c>
      <c r="K361" s="263">
        <f>IFERROR((N(K172)+N(K182)+N(K185)+N(K186)+N(K195))-N(K246),0)</f>
        <v>18122.338</v>
      </c>
      <c r="L361" s="263">
        <f>IFERROR((N(L172)+N(L182)+N(L185)+N(L186)+N(L195))-N(L246),0)</f>
        <v>22625.971</v>
      </c>
      <c r="M361" s="263">
        <f>IFERROR((N(M172)+N(M182)+N(M185)+N(M186)+N(M195))-N(M246),0)</f>
        <v>22625.971</v>
      </c>
      <c r="N361" s="263">
        <f>IFERROR((N(N172)+N(N182)+N(N185)+N(N186)+N(N195))-N(N246),0)</f>
        <v>23389.21</v>
      </c>
      <c r="O361" s="263">
        <f>IFERROR((N(O172)+N(O182)+N(O185)+N(O186)+N(O195))-N(O246),0)</f>
        <v>27317.781</v>
      </c>
      <c r="P361" s="263">
        <f>IFERROR((N(P172)+N(P182)+N(P185)+N(P186)+N(P195))-N(P246),0)</f>
        <v>29995.429</v>
      </c>
      <c r="Q361" s="263">
        <f>IFERROR((N(Q172)+N(Q182)+N(Q185)+N(Q186)+N(Q195))-N(Q246),0)</f>
        <v>33415.683</v>
      </c>
      <c r="R361" s="263">
        <f>IFERROR((N(R172)+N(R182)+N(R185)+N(R186)+N(R195))-N(R246),0)</f>
        <v>33415.683</v>
      </c>
      <c r="S361" s="263">
        <f>IFERROR((N(S172)+N(S182)+N(S185)+N(S186)+N(S195))-N(S246),0)</f>
        <v>33321.08346593</v>
      </c>
      <c r="T361" s="263">
        <f>IFERROR((N(T172)+N(T182)+N(T185)+N(T186)+N(T195))-N(T246),0)</f>
        <v>34964.723117755</v>
      </c>
      <c r="U361" s="263">
        <f>IFERROR((N(U172)+N(U182)+N(U185)+N(U186)+N(U195))-N(U246),0)</f>
        <v>35995.728594849</v>
      </c>
      <c r="V361" s="263">
        <f>IFERROR((N(V172)+N(V182)+N(V185)+N(V186)+N(V195))-N(V246),0)</f>
        <v>40727.265844731</v>
      </c>
      <c r="W361" s="263">
        <f>IFERROR((N(W172)+N(W182)+N(W185)+N(W186)+N(W195))-N(W246),0)</f>
        <v>40727.265844731</v>
      </c>
      <c r="X361" s="263">
        <f>IFERROR((N(X172)+N(X182)+N(X185)+N(X186)+N(X195))-N(X246),0)</f>
        <v>41846.003977988</v>
      </c>
      <c r="Y361" s="263">
        <f>IFERROR((N(Y172)+N(Y182)+N(Y185)+N(Y186)+N(Y195))-N(Y246),0)</f>
        <v>43739.694046741</v>
      </c>
      <c r="Z361" s="263">
        <f>IFERROR((N(Z172)+N(Z182)+N(Z185)+N(Z186)+N(Z195))-N(Z246),0)</f>
        <v>44929.212280294</v>
      </c>
      <c r="AA361" s="263">
        <f>IFERROR((N(AA172)+N(AA182)+N(AA185)+N(AA186)+N(AA195))-N(AA246),0)</f>
        <v>48351.90075847</v>
      </c>
      <c r="AB361" s="263">
        <f>IFERROR((N(AB172)+N(AB182)+N(AB185)+N(AB186)+N(AB195))-N(AB246),0)</f>
        <v>48351.90075847</v>
      </c>
      <c r="AC361" s="263">
        <f>IFERROR((N(AC172)+N(AC182)+N(AC185)+N(AC186)+N(AC195))-N(AC246),0)</f>
        <v>45647.20791134</v>
      </c>
      <c r="AD361" s="263">
        <f>IFERROR((N(AD172)+N(AD182)+N(AD185)+N(AD186)+N(AD195))-N(AD246),0)</f>
        <v>45542.42218607</v>
      </c>
      <c r="AE361" s="263">
        <f>IFERROR((N(AE172)+N(AE182)+N(AE185)+N(AE186)+N(AE195))-N(AE246),0)</f>
        <v>44846.93946406</v>
      </c>
      <c r="AF361" s="263">
        <f>IFERROR((N(AF172)+N(AF182)+N(AF185)+N(AF186)+N(AF195))-N(AF246),0)</f>
        <v>47973.50228356</v>
      </c>
      <c r="AG361" s="263">
        <f>IFERROR((N(AG172)+N(AG182)+N(AG185)+N(AG186)+N(AG195))-N(AG246),0)</f>
        <v>47973.50228356</v>
      </c>
      <c r="AH361" s="263">
        <f>IFERROR((N(AH172)+N(AH182)+N(AH185)+N(AH186)+N(AH195))-N(AH246),0)</f>
        <v>47734.30085481</v>
      </c>
      <c r="AI361" s="263">
        <f>IFERROR((N(AI172)+N(AI182)+N(AI185)+N(AI186)+N(AI195))-N(AI246),0)</f>
        <v>49024.70094032</v>
      </c>
      <c r="AJ361" s="263">
        <f>IFERROR((N(AJ172)+N(AJ182)+N(AJ185)+N(AJ186)+N(AJ195))-N(AJ246),0)</f>
        <v>49478.2017631916</v>
      </c>
      <c r="AK361" s="263">
        <f>IFERROR((N(AK172)+N(AK182)+N(AK185)+N(AK186)+N(AK195))-N(AK246),0)</f>
        <v>49932.4607491022</v>
      </c>
      <c r="AL361" s="263">
        <f>IFERROR((N(AL172)+N(AL182)+N(AL185)+N(AL186)+N(AL195))-N(AL246),0)</f>
        <v>49932.4607491022</v>
      </c>
      <c r="AM361" s="263">
        <f>IFERROR((N(AM172)+N(AM182)+N(AM185)+N(AM186)+N(AM195))-N(AM246),0)</f>
        <v>50378.7455856114</v>
      </c>
      <c r="AN361" s="263">
        <f>IFERROR((N(AN172)+N(AN182)+N(AN185)+N(AN186)+N(AN195))-N(AN246),0)</f>
        <v>50838.2814833862</v>
      </c>
      <c r="AO361" s="263">
        <f>IFERROR((N(AO172)+N(AO182)+N(AO185)+N(AO186)+N(AO195))-N(AO246),0)</f>
        <v>51319.5712094127</v>
      </c>
      <c r="AP361" s="263">
        <f>IFERROR((N(AP172)+N(AP182)+N(AP185)+N(AP186)+N(AP195))-N(AP246),0)</f>
        <v>51801.6655559887</v>
      </c>
      <c r="AQ361" s="263">
        <f>IFERROR((N(AQ172)+N(AQ182)+N(AQ185)+N(AQ186)+N(AQ195))-N(AQ246),0)</f>
        <v>51801.6655559887</v>
      </c>
      <c r="AR361" s="263">
        <f>IFERROR((N(AR172)+N(AR182)+N(AR185)+N(AR186)+N(AR195))-N(AR246),0)</f>
        <v>52273.0657017186</v>
      </c>
      <c r="AS361" s="263">
        <f>IFERROR((N(AS172)+N(AS182)+N(AS185)+N(AS186)+N(AS195))-N(AS246),0)</f>
        <v>52758.4626308942</v>
      </c>
      <c r="AT361" s="263">
        <f>IFERROR((N(AT172)+N(AT182)+N(AT185)+N(AT186)+N(AT195))-N(AT246),0)</f>
        <v>53266.8376157174</v>
      </c>
      <c r="AU361" s="263">
        <f>IFERROR((N(AU172)+N(AU182)+N(AU185)+N(AU186)+N(AU195))-N(AU246),0)</f>
        <v>53776.0625022476</v>
      </c>
      <c r="AV361" s="263">
        <f>IFERROR((N(AV172)+N(AV182)+N(AV185)+N(AV186)+N(AV195))-N(AV246),0)</f>
        <v>53776.0625022476</v>
      </c>
      <c r="AW361" s="263">
        <f>IFERROR((N(AW172)+N(AW182)+N(AW185)+N(AW186)+N(AW195))-N(AW246),0)</f>
        <v>54271.6343559527</v>
      </c>
      <c r="AX361" s="263">
        <f>IFERROR((N(AX172)+N(AX182)+N(AX185)+N(AX186)+N(AX195))-N(AX246),0)</f>
        <v>54781.9206979347</v>
      </c>
      <c r="AY361" s="263">
        <f>IFERROR((N(AY172)+N(AY182)+N(AY185)+N(AY186)+N(AY195))-N(AY246),0)</f>
        <v>55316.3633278072</v>
      </c>
      <c r="AZ361" s="263">
        <f>IFERROR((N(AZ172)+N(AZ182)+N(AZ185)+N(AZ186)+N(AZ195))-N(AZ246),0)</f>
        <v>55851.6994392965</v>
      </c>
      <c r="BA361" s="263">
        <f>IFERROR((N(BA172)+N(BA182)+N(BA185)+N(BA186)+N(BA195))-N(BA246),0)</f>
        <v>55851.6994392965</v>
      </c>
      <c r="BB361" s="263">
        <f>IFERROR((N(BB172)+N(BB182)+N(BB185)+N(BB186)+N(BB195))-N(BB246),0)</f>
        <v>56370.2045801593</v>
      </c>
      <c r="BC361" s="263">
        <f>IFERROR((N(BC172)+N(BC182)+N(BC185)+N(BC186)+N(BC195))-N(BC246),0)</f>
        <v>56904.1051430174</v>
      </c>
      <c r="BD361" s="263">
        <f>IFERROR((N(BD172)+N(BD182)+N(BD185)+N(BD186)+N(BD195))-N(BD246),0)</f>
        <v>57463.2798600908</v>
      </c>
      <c r="BE361" s="263">
        <f>IFERROR((N(BE172)+N(BE182)+N(BE185)+N(BE186)+N(BE195))-N(BE246),0)</f>
        <v>58023.3894059043</v>
      </c>
      <c r="BF361" s="263">
        <f>IFERROR((N(BF172)+N(BF182)+N(BF185)+N(BF186)+N(BF195))-N(BF246),0)</f>
        <v>58023.3894059043</v>
      </c>
      <c r="BG361" s="90" t="n"/>
      <c r="BH361" s="90" t="n"/>
      <c r="BI361" s="90" t="n"/>
      <c r="BJ361" s="90" t="n"/>
      <c r="BL361" s="90" t="n"/>
      <c r="BM361" s="90" t="n"/>
      <c r="BN361" s="90" t="n"/>
      <c r="BO361" s="90" t="n"/>
      <c r="BQ361" s="90" t="n"/>
      <c r="BR361" s="90" t="n"/>
      <c r="BS361" s="90" t="n"/>
      <c r="BT361" s="90" t="n"/>
      <c r="BV361" s="90" t="n"/>
      <c r="BW361" s="90" t="n"/>
      <c r="BX361" s="90" t="n"/>
      <c r="BY361" s="90" t="n"/>
      <c r="CA361" s="90" t="n"/>
      <c r="CB361" s="90" t="n"/>
      <c r="CC361" s="90" t="n"/>
      <c r="CD361" s="90" t="n"/>
      <c r="CF361" s="90" t="n"/>
      <c r="CG361" s="90" t="n"/>
      <c r="CH361" s="90" t="n"/>
      <c r="CI361" s="90" t="n"/>
      <c r="CK361" s="90" t="n"/>
      <c r="CL361" s="90" t="n"/>
      <c r="CM361" s="90" t="n"/>
      <c r="CN361" s="90" t="n"/>
      <c r="CP361" s="90" t="n"/>
      <c r="CQ361" s="90" t="n"/>
      <c r="CR361" s="90" t="n"/>
      <c r="CS361" s="90" t="n"/>
      <c r="CU361" s="90" t="n"/>
      <c r="CV361" s="90" t="n"/>
      <c r="CW361" s="90" t="n"/>
      <c r="CX361" s="90" t="n"/>
    </row>
    <row r="362" customFormat="1" s="77">
      <c r="A362" s="76" t="n"/>
      <c r="B362" s="76" t="n"/>
    </row>
    <row r="363" customFormat="1" s="77">
      <c r="A363" s="76" t="n"/>
      <c r="B363" s="76" t="n"/>
    </row>
    <row r="364" customFormat="1" s="77">
      <c r="A364" s="76" t="n"/>
      <c r="B364" s="76" t="n"/>
    </row>
    <row r="365" customFormat="1" s="77">
      <c r="A365" s="76" t="n"/>
      <c r="B365" s="76" t="n"/>
    </row>
    <row r="366" customFormat="1" s="77">
      <c r="A366" s="76" t="n"/>
      <c r="B366" s="76" t="n"/>
    </row>
    <row r="367" customFormat="1" s="77">
      <c r="A367" s="76" t="n"/>
      <c r="B367" s="76" t="n"/>
    </row>
    <row r="368" customFormat="1" s="77">
      <c r="A368" s="76" t="n"/>
      <c r="B368" s="76" t="n"/>
    </row>
    <row r="369" customFormat="1" s="77">
      <c r="A369" s="76" t="n"/>
      <c r="B369" s="76" t="n"/>
      <c r="C369" s="74" t="inlineStr">
        <is>
          <t>DUPONT ANALYSIS</t>
        </is>
      </c>
    </row>
    <row r="370" customFormat="1" s="77">
      <c r="A370" s="76" t="n"/>
      <c r="B370" s="76" t="n"/>
      <c r="C370" s="77" t="inlineStr">
        <is>
          <t>NET PROFIT MARGIN (LTM)</t>
        </is>
      </c>
      <c r="D370" s="84" t="str">
        <f>IFERROR(D143/D15,"")</f>
        <v/>
      </c>
      <c r="E370" s="84" t="str">
        <f>IFERROR(E143/E15,"")</f>
        <v/>
      </c>
      <c r="F370" s="84" t="str">
        <f>IFERROR(F143/F15,"")</f>
        <v/>
      </c>
      <c r="G370" s="84" t="str">
        <f>IFERROR(G143/G15,"")</f>
        <v/>
      </c>
      <c r="H370" s="258" t="str">
        <f>IFERROR(IF(AND(COUNT(H143)=1,(H15)&lt;&gt;0),(H143)/(H15),""),"")</f>
        <v/>
      </c>
      <c r="I370" s="257" t="str">
        <f>""</f>
        <v/>
      </c>
      <c r="J370" s="257" t="str">
        <f>""</f>
        <v/>
      </c>
      <c r="K370" s="257" t="str">
        <f>""</f>
        <v/>
      </c>
      <c r="L370" s="257">
        <f>IFERROR(IF(AND(COUNT(I143,J143,K143,L143)=4,(I15+J15+K15+L15)&lt;&gt;0),(I143+J143+K143+L143)/(I15+J15+K15+L15),""),"")</f>
        <v>0.0592991499701541</v>
      </c>
      <c r="M370" s="258">
        <f>IFERROR(IF(AND(COUNT(I143,J143,K143,L143)=4,(I15+J15+K15+L15)&lt;&gt;0),(I143+J143+K143+L143)/(I15+J15+K15+L15),""),"")</f>
        <v>0.0592991499701541</v>
      </c>
      <c r="N370" s="257">
        <f>IFERROR(IF(AND(COUNT(J143,K143,L143,N143)=4,(J15+K15+L15+N15)&lt;&gt;0),(J143+K143+L143+N143)/(J15+K15+L15+N15),""),"")</f>
        <v>0.0582955063128681</v>
      </c>
      <c r="O370" s="257">
        <f>IFERROR(IF(AND(COUNT(K143,L143,N143,O143)=4,(K15+L15+N15+O15)&lt;&gt;0),(K143+L143+N143+O143)/(K15+L15+N15+O15),""),"")</f>
        <v>0.0418786282902816</v>
      </c>
      <c r="P370" s="257">
        <f>IFERROR(IF(AND(COUNT(L143,N143,O143,P143)=4,(L15+N15+O15+P15)&lt;&gt;0),(L143+N143+O143+P143)/(L15+N15+O15+P15),""),"")</f>
        <v>0.025247585595839</v>
      </c>
      <c r="Q370" s="257">
        <f>IFERROR(IF(AND(COUNT(N143,O143,P143,Q143)=4,(N15+O15+P15+Q15)&lt;&gt;0),(N143+O143+P143+Q143)/(N15+O15+P15+Q15),""),"")</f>
        <v>0.0200184943041597</v>
      </c>
      <c r="R370" s="258">
        <f>IFERROR(IF(AND(COUNT(N143,O143,P143,Q143)=4,(N15+O15+P15+Q15)&lt;&gt;0),(N143+O143+P143+Q143)/(N15+O15+P15+Q15),""),"")</f>
        <v>0.0200184943041597</v>
      </c>
      <c r="S370" s="257">
        <f>IFERROR(IF(AND(COUNT(O143,P143,Q143,S143)=4,(O15+P15+Q15+S15)&lt;&gt;0),(O143+P143+Q143+S143)/(O15+P15+Q15+S15),""),"")</f>
        <v>0.0109884035880764</v>
      </c>
      <c r="T370" s="257">
        <f>IFERROR(IF(AND(COUNT(P143,Q143,S143,T143)=4,(P15+Q15+S15+T15)&lt;&gt;0),(P143+Q143+S143+T143)/(P15+Q15+S15+T15),""),"")</f>
        <v>0.00709498293209733</v>
      </c>
      <c r="U370" s="257">
        <f>IFERROR(IF(AND(COUNT(Q143,S143,T143,U143)=4,(Q15+S15+T15+U15)&lt;&gt;0),(Q143+S143+T143+U143)/(Q15+S15+T15+U15),""),"")</f>
        <v>0.00169363864816256</v>
      </c>
      <c r="V370" s="257">
        <f>IFERROR(IF(AND(COUNT(S143,T143,U143,V143)=4,(S15+T15+U15+V15)&lt;&gt;0),(S143+T143+U143+V143)/(S15+T15+U15+V15),""),"")</f>
        <v>-0.0155516586638896</v>
      </c>
      <c r="W370" s="258">
        <f>IFERROR(IF(AND(COUNT(S143,T143,U143,V143)=4,(S15+T15+U15+V15)&lt;&gt;0),(S143+T143+U143+V143)/(S15+T15+U15+V15),""),"")</f>
        <v>-0.0155516586638896</v>
      </c>
      <c r="X370" s="257">
        <f>IFERROR(IF(AND(COUNT(T143,U143,V143,X143)=4,(T15+U15+V15+X15)&lt;&gt;0),(T143+U143+V143+X143)/(T15+U15+V15+X15),""),"")</f>
        <v>-0.0153708600311396</v>
      </c>
      <c r="Y370" s="257">
        <f>IFERROR(IF(AND(COUNT(U143,V143,X143,Y143)=4,(U15+V15+X15+Y15)&lt;&gt;0),(U143+V143+X143+Y143)/(U15+V15+X15+Y15),""),"")</f>
        <v>-0.0132146482924425</v>
      </c>
      <c r="Z370" s="257">
        <f>IFERROR(IF(AND(COUNT(V143,X143,Y143,Z143)=4,(V15+X15+Y15+Z15)&lt;&gt;0),(V143+X143+Y143+Z143)/(V15+X15+Y15+Z15),""),"")</f>
        <v>-0.00855142414987901</v>
      </c>
      <c r="AA370" s="257">
        <f>IFERROR(IF(AND(COUNT(X143,Y143,Z143,AA143)=4,(X15+Y15+Z15+AA15)&lt;&gt;0),(X143+Y143+Z143+AA143)/(X15+Y15+Z15+AA15),""),"")</f>
        <v>-0.00486413666916451</v>
      </c>
      <c r="AB370" s="258">
        <f>IFERROR(IF(AND(COUNT(X143,Y143,Z143,AA143)=4,(X15+Y15+Z15+AA15)&lt;&gt;0),(X143+Y143+Z143+AA143)/(X15+Y15+Z15+AA15),""),"")</f>
        <v>-0.00486413666916451</v>
      </c>
      <c r="AC370" s="257">
        <f>IFERROR(IF(AND(COUNT(Y143,Z143,AA143,AC143)=4,(Y15+Z15+AA15+AC15)&lt;&gt;0),(Y143+Z143+AA143+AC143)/(Y15+Z15+AA15+AC15),""),"")</f>
        <v>-0.00563156522283361</v>
      </c>
      <c r="AD370" s="257">
        <f>IFERROR(IF(AND(COUNT(Z143,AA143,AC143,AD143)=4,(Z15+AA15+AC15+AD15)&lt;&gt;0),(Z143+AA143+AC143+AD143)/(Z15+AA15+AC15+AD15),""),"")</f>
        <v>-0.00908034175604287</v>
      </c>
      <c r="AE370" s="257">
        <f>IFERROR(IF(AND(COUNT(AA143,AC143,AD143,AE143)=4,(AA15+AC15+AD15+AE15)&lt;&gt;0),(AA143+AC143+AD143+AE143)/(AA15+AC15+AD15+AE15),""),"")</f>
        <v>-0.0150844831230732</v>
      </c>
      <c r="AF370" s="257">
        <f>IFERROR(IF(AND(COUNT(AB143,AD143,AE143,AF143)=4,(AB15+AD15+AE15+AF15)&lt;&gt;0),(AB143+AD143+AE143+AF143)/(AB15+AD15+AE15+AF15),""),"")</f>
        <v>-0.00146974966218106</v>
      </c>
      <c r="AG370" s="258">
        <f>IFERROR(IF(AND(COUNT(AC143,AD143,AE143,AF143)=4,(AC15+AD15+AE15+AF15)&lt;&gt;0),(AC143+AD143+AE143+AF143)/(AC15+AD15+AE15+AF15),""),"")</f>
        <v>0.000922093676821283</v>
      </c>
      <c r="AH370" s="257">
        <f>IFERROR(IF(AND(COUNT(AD143,AF143,AG143,AH143)=4,(AD15+AF15+AG15+AH15)&lt;&gt;0),(AD143+AF143+AG143+AH143)/(AD15+AF15+AG15+AH15),""),"")</f>
        <v>0.00261324063837858</v>
      </c>
      <c r="AI370" s="257">
        <f>IFERROR(IF(AND(COUNT(AE143,AG143,AH143,AI143)=4,(AE15+AG15+AH15+AI15)&lt;&gt;0),(AE143+AG143+AH143+AI143)/(AE15+AG15+AH15+AI15),""),"")</f>
        <v>-0.00756823042078689</v>
      </c>
      <c r="AJ370" s="257">
        <f>IFERROR(IF(AND(COUNT(AF143,AH143,AI143,AJ143)=4,(AF15+AH15+AI15+AJ15)&lt;&gt;0),(AF143+AH143+AI143+AJ143)/(AF15+AH15+AI15+AJ15),""),"")</f>
        <v>0.0298344042634379</v>
      </c>
      <c r="AK370" s="257">
        <f>IFERROR(IF(AND(COUNT(AH143,AI143,AJ143,AK143)=4,(AH15+AI15+AJ15+AK15)&lt;&gt;0),(AH143+AI143+AJ143+AK143)/(AH15+AI15+AJ15+AK15),""),"")</f>
        <v>0.0479703277560636</v>
      </c>
      <c r="AL370" s="258">
        <f>IFERROR(IF(AND(COUNT(AH143,AI143,AJ143,AK143)=4,(AH15+AI15+AJ15+AK15)&lt;&gt;0),(AH143+AI143+AJ143+AK143)/(AH15+AI15+AJ15+AK15),""),"")</f>
        <v>0.0479703277560636</v>
      </c>
      <c r="AM370" s="257">
        <f>IFERROR(IF(AND(COUNT(AI143,AJ143,AK143,AM143)=4,(AI15+AJ15+AK15+AM15)&lt;&gt;0),(AI143+AJ143+AK143+AM143)/(AI15+AJ15+AK15+AM15),""),"")</f>
        <v>0.07829939156062</v>
      </c>
      <c r="AN370" s="257">
        <f>IFERROR(IF(AND(COUNT(AJ143,AK143,AM143,AN143)=4,(AJ15+AK15+AM15+AN15)&lt;&gt;0),(AJ143+AK143+AM143+AN143)/(AJ15+AK15+AM15+AN15),""),"")</f>
        <v>0.108724731735864</v>
      </c>
      <c r="AO370" s="257">
        <f>IFERROR(IF(AND(COUNT(AK143,AM143,AN143,AO143)=4,(AK15+AM15+AN15+AO15)&lt;&gt;0),(AK143+AM143+AN143+AO143)/(AK15+AM15+AN15+AO15),""),"")</f>
        <v>0.108724731735864</v>
      </c>
      <c r="AP370" s="257">
        <f>IFERROR(IF(AND(COUNT(AM143,AN143,AO143,AP143)=4,(AM15+AN15+AO15+AP15)&lt;&gt;0),(AM143+AN143+AO143+AP143)/(AM15+AN15+AO15+AP15),""),"")</f>
        <v>0.108724731735864</v>
      </c>
      <c r="AQ370" s="258">
        <f>IFERROR(IF(AND(COUNT(AM143,AN143,AO143,AP143)=4,(AM15+AN15+AO15+AP15)&lt;&gt;0),(AM143+AN143+AO143+AP143)/(AM15+AN15+AO15+AP15),""),"")</f>
        <v>0.108724731735864</v>
      </c>
      <c r="AR370" s="257">
        <f>IFERROR(IF(AND(COUNT(AN143,AO143,AP143,AR143)=4,(AN15+AO15+AP15+AR15)&lt;&gt;0),(AN143+AO143+AP143+AR143)/(AN15+AO15+AP15+AR15),""),"")</f>
        <v>0.108724731735864</v>
      </c>
      <c r="AS370" s="257">
        <f>IFERROR(IF(AND(COUNT(AO143,AP143,AR143,AS143)=4,(AO15+AP15+AR15+AS15)&lt;&gt;0),(AO143+AP143+AR143+AS143)/(AO15+AP15+AR15+AS15),""),"")</f>
        <v>0.108724731735864</v>
      </c>
      <c r="AT370" s="257">
        <f>IFERROR(IF(AND(COUNT(AP143,AR143,AS143,AT143)=4,(AP15+AR15+AS15+AT15)&lt;&gt;0),(AP143+AR143+AS143+AT143)/(AP15+AR15+AS15+AT15),""),"")</f>
        <v>0.108724731735864</v>
      </c>
      <c r="AU370" s="257">
        <f>IFERROR(IF(AND(COUNT(AR143,AS143,AT143,AU143)=4,(AR15+AS15+AT15+AU15)&lt;&gt;0),(AR143+AS143+AT143+AU143)/(AR15+AS15+AT15+AU15),""),"")</f>
        <v>0.108724731735864</v>
      </c>
      <c r="AV370" s="258">
        <f>IFERROR(IF(AND(COUNT(AR143,AS143,AT143,AU143)=4,(AR15+AS15+AT15+AU15)&lt;&gt;0),(AR143+AS143+AT143+AU143)/(AR15+AS15+AT15+AU15),""),"")</f>
        <v>0.108724731735864</v>
      </c>
      <c r="AW370" s="257">
        <f>IFERROR(IF(AND(COUNT(AS143,AT143,AU143,AW143)=4,(AS15+AT15+AU15+AW15)&lt;&gt;0),(AS143+AT143+AU143+AW143)/(AS15+AT15+AU15+AW15),""),"")</f>
        <v>0.108724731735864</v>
      </c>
      <c r="AX370" s="257">
        <f>IFERROR(IF(AND(COUNT(AT143,AU143,AW143,AX143)=4,(AT15+AU15+AW15+AX15)&lt;&gt;0),(AT143+AU143+AW143+AX143)/(AT15+AU15+AW15+AX15),""),"")</f>
        <v>0.108724731735864</v>
      </c>
      <c r="AY370" s="257">
        <f>IFERROR(IF(AND(COUNT(AU143,AW143,AX143,AY143)=4,(AU15+AW15+AX15+AY15)&lt;&gt;0),(AU143+AW143+AX143+AY143)/(AU15+AW15+AX15+AY15),""),"")</f>
        <v>0.108724731735864</v>
      </c>
      <c r="AZ370" s="257">
        <f>IFERROR(IF(AND(COUNT(AW143,AX143,AY143,AZ143)=4,(AW15+AX15+AY15+AZ15)&lt;&gt;0),(AW143+AX143+AY143+AZ143)/(AW15+AX15+AY15+AZ15),""),"")</f>
        <v>0.108724731735864</v>
      </c>
      <c r="BA370" s="258">
        <f>IFERROR(IF(AND(COUNT(AW143,AX143,AY143,AZ143)=4,(AW15+AX15+AY15+AZ15)&lt;&gt;0),(AW143+AX143+AY143+AZ143)/(AW15+AX15+AY15+AZ15),""),"")</f>
        <v>0.108724731735864</v>
      </c>
      <c r="BB370" s="257">
        <f>IFERROR(IF(AND(COUNT(AX143,AY143,AZ143,BB143)=4,(AX15+AY15+AZ15+BB15)&lt;&gt;0),(AX143+AY143+AZ143+BB143)/(AX15+AY15+AZ15+BB15),""),"")</f>
        <v>0.108724731735864</v>
      </c>
      <c r="BC370" s="257">
        <f>IFERROR(IF(AND(COUNT(AY143,AZ143,BB143,BC143)=4,(AY15+AZ15+BB15+BC15)&lt;&gt;0),(AY143+AZ143+BB143+BC143)/(AY15+AZ15+BB15+BC15),""),"")</f>
        <v>0.108724731735864</v>
      </c>
      <c r="BD370" s="257">
        <f>IFERROR(IF(AND(COUNT(AZ143,BB143,BC143,BD143)=4,(AZ15+BB15+BC15+BD15)&lt;&gt;0),(AZ143+BB143+BC143+BD143)/(AZ15+BB15+BC15+BD15),""),"")</f>
        <v>0.108724731735864</v>
      </c>
      <c r="BE370" s="257">
        <f>IFERROR(IF(AND(COUNT(BB143,BC143,BD143,BE143)=4,(BB15+BC15+BD15+BE15)&lt;&gt;0),(BB143+BC143+BD143+BE143)/(BB15+BC15+BD15+BE15),""),"")</f>
        <v>0.108724731735864</v>
      </c>
      <c r="BF370" s="258">
        <f>IFERROR(IF(AND(COUNT(BB143,BC143,BD143,BE143)=4,(BB15+BC15+BD15+BE15)&lt;&gt;0),(BB143+BC143+BD143+BE143)/(BB15+BC15+BD15+BE15),""),"")</f>
        <v>0.108724731735864</v>
      </c>
      <c r="BG370" s="81" t="n"/>
      <c r="BH370" s="81" t="n"/>
      <c r="BI370" s="81" t="n"/>
      <c r="BJ370" s="81" t="n"/>
      <c r="BL370" s="81" t="n"/>
      <c r="BM370" s="81" t="n"/>
      <c r="BN370" s="81" t="n"/>
      <c r="BO370" s="81" t="n"/>
      <c r="BQ370" s="81" t="n"/>
      <c r="BR370" s="81" t="n"/>
      <c r="BS370" s="81" t="n"/>
      <c r="BT370" s="81" t="n"/>
      <c r="BV370" s="81" t="n"/>
      <c r="BW370" s="81" t="n"/>
      <c r="BX370" s="81" t="n"/>
      <c r="BY370" s="81" t="n"/>
      <c r="CA370" s="81" t="n"/>
      <c r="CB370" s="81" t="n"/>
      <c r="CC370" s="81" t="n"/>
      <c r="CD370" s="81" t="n"/>
      <c r="CF370" s="81" t="n"/>
      <c r="CG370" s="81" t="n"/>
      <c r="CH370" s="81" t="n"/>
      <c r="CI370" s="81" t="n"/>
      <c r="CK370" s="81" t="n"/>
      <c r="CL370" s="81" t="n"/>
      <c r="CM370" s="81" t="n"/>
      <c r="CN370" s="81" t="n"/>
      <c r="CP370" s="81" t="n"/>
      <c r="CQ370" s="81" t="n"/>
      <c r="CR370" s="81" t="n"/>
      <c r="CS370" s="81" t="n"/>
      <c r="CU370" s="81" t="n"/>
      <c r="CV370" s="81" t="n"/>
      <c r="CW370" s="81" t="n"/>
      <c r="CX370" s="81" t="n"/>
    </row>
    <row r="371" customFormat="1" s="77">
      <c r="A371" s="76" t="n"/>
      <c r="B371" s="76" t="n"/>
      <c r="C371" s="77" t="inlineStr">
        <is>
          <t>ASSET TURNOVER (LTM REVENUE / ASSETS)</t>
        </is>
      </c>
      <c r="D371" s="84" t="str">
        <f>IFERROR(D15/D203,"")</f>
        <v/>
      </c>
      <c r="E371" s="84" t="str">
        <f>IFERROR(E15/E203,"")</f>
        <v/>
      </c>
      <c r="F371" s="84" t="str">
        <f>IFERROR(F15/F203,"")</f>
        <v/>
      </c>
      <c r="G371" s="84" t="str">
        <f>IFERROR(G15/G203,"")</f>
        <v/>
      </c>
      <c r="H371" s="262" t="str">
        <f>IFERROR(IF(AND(COUNT(H15)=1,N(H203)&lt;&gt;0),(H15)/H203,""),"")</f>
        <v/>
      </c>
      <c r="I371" s="264" t="str">
        <f>""</f>
        <v/>
      </c>
      <c r="J371" s="264" t="str">
        <f>""</f>
        <v/>
      </c>
      <c r="K371" s="264" t="str">
        <f>""</f>
        <v/>
      </c>
      <c r="L371" s="264">
        <f>IFERROR(IF(AND(COUNT(I15,J15,K15,L15)=4,N(L203)&lt;&gt;0),(I15+J15+K15+L15)/L203,""),"")</f>
        <v>0.2890711082431</v>
      </c>
      <c r="M371" s="262">
        <f>IFERROR(IF(AND(COUNT(I15,J15,K15,L15)=4,N(M203)&lt;&gt;0),(I15+J15+K15+L15)/M203,""),"")</f>
        <v>0.2890711082431</v>
      </c>
      <c r="N371" s="264">
        <f>IFERROR(IF(AND(COUNT(J15,K15,L15,N15)=4,N(N203)&lt;&gt;0),(J15+K15+L15+N15)/N203,""),"")</f>
        <v>0.331827575233976</v>
      </c>
      <c r="O371" s="264">
        <f>IFERROR(IF(AND(COUNT(K15,L15,N15,O15)=4,N(O203)&lt;&gt;0),(K15+L15+N15+O15)/O203,""),"")</f>
        <v>0.340172097369022</v>
      </c>
      <c r="P371" s="264">
        <f>IFERROR(IF(AND(COUNT(L15,N15,O15,P15)=4,N(P203)&lt;&gt;0),(L15+N15+O15+P15)/P203,""),"")</f>
        <v>0.353851771400542</v>
      </c>
      <c r="Q371" s="264">
        <f>IFERROR(IF(AND(COUNT(N15,O15,P15,Q15)=4,N(Q203)&lt;&gt;0),(N15+O15+P15+Q15)/Q203,""),"")</f>
        <v>0.390562292111044</v>
      </c>
      <c r="R371" s="262">
        <f>IFERROR(IF(AND(COUNT(N15,O15,P15,Q15)=4,N(R203)&lt;&gt;0),(N15+O15+P15+Q15)/R203,""),"")</f>
        <v>0.390562292111044</v>
      </c>
      <c r="S371" s="264">
        <f>IFERROR(IF(AND(COUNT(O15,P15,Q15,S15)=4,N(S203)&lt;&gt;0),(O15+P15+Q15+S15)/S203,""),"")</f>
        <v>0.454656245259985</v>
      </c>
      <c r="T371" s="264">
        <f>IFERROR(IF(AND(COUNT(P15,Q15,S15,T15)=4,N(T203)&lt;&gt;0),(P15+Q15+S15+T15)/T203,""),"")</f>
        <v>0.485655125306189</v>
      </c>
      <c r="U371" s="264">
        <f>IFERROR(IF(AND(COUNT(Q15,S15,T15,U15)=4,N(U203)&lt;&gt;0),(Q15+S15+T15+U15)/U203,""),"")</f>
        <v>0.489061273814461</v>
      </c>
      <c r="V371" s="264">
        <f>IFERROR(IF(AND(COUNT(S15,T15,U15,V15)=4,N(V203)&lt;&gt;0),(S15+T15+U15+V15)/V203,""),"")</f>
        <v>0.45399532605343</v>
      </c>
      <c r="W371" s="262">
        <f>IFERROR(IF(AND(COUNT(S15,T15,U15,V15)=4,N(W203)&lt;&gt;0),(S15+T15+U15+V15)/W203,""),"")</f>
        <v>0.45399532605343</v>
      </c>
      <c r="X371" s="264">
        <f>IFERROR(IF(AND(COUNT(T15,U15,V15,X15)=4,N(X203)&lt;&gt;0),(T15+U15+V15+X15)/X203,""),"")</f>
        <v>0.451140438390453</v>
      </c>
      <c r="Y371" s="264">
        <f>IFERROR(IF(AND(COUNT(U15,V15,X15,Y15)=4,N(Y203)&lt;&gt;0),(U15+V15+X15+Y15)/Y203,""),"")</f>
        <v>0.473616364060489</v>
      </c>
      <c r="Z371" s="264">
        <f>IFERROR(IF(AND(COUNT(V15,X15,Y15,Z15)=4,N(Z203)&lt;&gt;0),(V15+X15+Y15+Z15)/Z203,""),"")</f>
        <v>0.481928532711847</v>
      </c>
      <c r="AA371" s="264">
        <f>IFERROR(IF(AND(COUNT(X15,Y15,Z15,AA15)=4,N(AA203)&lt;&gt;0),(X15+Y15+Z15+AA15)/AA203,""),"")</f>
        <v>0.489918008555558</v>
      </c>
      <c r="AB371" s="262">
        <f>IFERROR(IF(AND(COUNT(X15,Y15,Z15,AA15)=4,N(AB203)&lt;&gt;0),(X15+Y15+Z15+AA15)/AB203,""),"")</f>
        <v>0.489918008555558</v>
      </c>
      <c r="AC371" s="264">
        <f>IFERROR(IF(AND(COUNT(Y15,Z15,AA15,AC15)=4,N(AC203)&lt;&gt;0),(Y15+Z15+AA15+AC15)/AC203,""),"")</f>
        <v>0.517296140492586</v>
      </c>
      <c r="AD371" s="264">
        <f>IFERROR(IF(AND(COUNT(Z15,AA15,AC15,AD15)=4,N(AD203)&lt;&gt;0),(Z15+AA15+AC15+AD15)/AD203,""),"")</f>
        <v>0.516245337072435</v>
      </c>
      <c r="AE371" s="264">
        <f>IFERROR(IF(AND(COUNT(AA15,AC15,AD15,AE15)=4,N(AE203)&lt;&gt;0),(AA15+AC15+AD15+AE15)/AE203,""),"")</f>
        <v>0.521024184997647</v>
      </c>
      <c r="AF371" s="264">
        <f>IFERROR(IF(AND(COUNT(AB15,AD15,AE15,AF15)=4,N(AF203)&lt;&gt;0),(AB15+AD15+AE15+AF15)/AF203,""),"")</f>
        <v>0.845414374270078</v>
      </c>
      <c r="AG371" s="262">
        <f>IFERROR(IF(AND(COUNT(AC15,AD15,AE15,AF15)=4,N(AG203)&lt;&gt;0),(AC15+AD15+AE15+AF15)/AG203,""),"")</f>
        <v>0.493711111363687</v>
      </c>
      <c r="AH371" s="264">
        <f>IFERROR(IF(AND(COUNT(AD15,AF15,AG15,AH15)=4,N(AH203)&lt;&gt;0),(AD15+AF15+AG15+AH15)/AH203,""),"")</f>
        <v>0.862486916473469</v>
      </c>
      <c r="AI371" s="264">
        <f>IFERROR(IF(AND(COUNT(AE15,AG15,AH15,AI15)=4,N(AI203)&lt;&gt;0),(AE15+AG15+AH15+AI15)/AI203,""),"")</f>
        <v>0.83061221008246</v>
      </c>
      <c r="AJ371" s="264">
        <f>IFERROR(IF(AND(COUNT(AF15,AH15,AI15,AJ15)=4,N(AJ203)&lt;&gt;0),(AF15+AH15+AI15+AJ15)/AJ203,""),"")</f>
        <v>0.48777734156506</v>
      </c>
      <c r="AK371" s="264">
        <f>IFERROR(IF(AND(COUNT(AH15,AI15,AJ15,AK15)=4,N(AK203)&lt;&gt;0),(AH15+AI15+AJ15+AK15)/AK203,""),"")</f>
        <v>0.487673691325401</v>
      </c>
      <c r="AL371" s="262">
        <f>IFERROR(IF(AND(COUNT(AH15,AI15,AJ15,AK15)=4,N(AL203)&lt;&gt;0),(AH15+AI15+AJ15+AK15)/AL203,""),"")</f>
        <v>0.487673691325401</v>
      </c>
      <c r="AM371" s="264">
        <f>IFERROR(IF(AND(COUNT(AI15,AJ15,AK15,AM15)=4,N(AM203)&lt;&gt;0),(AI15+AJ15+AK15+AM15)/AM203,""),"")</f>
        <v>0.487417830950638</v>
      </c>
      <c r="AN371" s="264">
        <f>IFERROR(IF(AND(COUNT(AJ15,AK15,AM15,AN15)=4,N(AN203)&lt;&gt;0),(AJ15+AK15+AM15+AN15)/AN203,""),"")</f>
        <v>0.486574221858126</v>
      </c>
      <c r="AO371" s="264">
        <f>IFERROR(IF(AND(COUNT(AK15,AM15,AN15,AO15)=4,N(AO203)&lt;&gt;0),(AK15+AM15+AN15+AO15)/AO203,""),"")</f>
        <v>0.485020519772564</v>
      </c>
      <c r="AP371" s="264">
        <f>IFERROR(IF(AND(COUNT(AM15,AN15,AO15,AP15)=4,N(AP203)&lt;&gt;0),(AM15+AN15+AO15+AP15)/AP203,""),"")</f>
        <v>0.484838035550429</v>
      </c>
      <c r="AQ371" s="262">
        <f>IFERROR(IF(AND(COUNT(AM15,AN15,AO15,AP15)=4,N(AQ203)&lt;&gt;0),(AM15+AN15+AO15+AP15)/AQ203,""),"")</f>
        <v>0.484838035550429</v>
      </c>
      <c r="AR371" s="264">
        <f>IFERROR(IF(AND(COUNT(AN15,AO15,AP15,AR15)=4,N(AR203)&lt;&gt;0),(AN15+AO15+AP15+AR15)/AR203,""),"")</f>
        <v>0.484660961144994</v>
      </c>
      <c r="AS371" s="264">
        <f>IFERROR(IF(AND(COUNT(AO15,AP15,AR15,AS15)=4,N(AS203)&lt;&gt;0),(AO15+AP15+AR15+AS15)/AS203,""),"")</f>
        <v>0.482821177454956</v>
      </c>
      <c r="AT371" s="264">
        <f>IFERROR(IF(AND(COUNT(AP15,AR15,AS15,AT15)=4,N(AT203)&lt;&gt;0),(AP15+AR15+AS15+AT15)/AT203,""),"")</f>
        <v>0.480726422006434</v>
      </c>
      <c r="AU371" s="264">
        <f>IFERROR(IF(AND(COUNT(AR15,AS15,AT15,AU15)=4,N(AU203)&lt;&gt;0),(AR15+AS15+AT15+AU15)/AU203,""),"")</f>
        <v>0.479995006909487</v>
      </c>
      <c r="AV371" s="262">
        <f>IFERROR(IF(AND(COUNT(AR15,AS15,AT15,AU15)=4,N(AV203)&lt;&gt;0),(AR15+AS15+AT15+AU15)/AV203,""),"")</f>
        <v>0.479995006909487</v>
      </c>
      <c r="AW371" s="264">
        <f>IFERROR(IF(AND(COUNT(AS15,AT15,AU15,AW15)=4,N(AW203)&lt;&gt;0),(AS15+AT15+AU15+AW15)/AW203,""),"")</f>
        <v>0.479048884845724</v>
      </c>
      <c r="AX371" s="264">
        <f>IFERROR(IF(AND(COUNT(AT15,AU15,AW15,AX15)=4,N(AX203)&lt;&gt;0),(AT15+AU15+AW15+AX15)/AX203,""),"")</f>
        <v>0.477163344208615</v>
      </c>
      <c r="AY371" s="264">
        <f>IFERROR(IF(AND(COUNT(AU15,AW15,AX15,AY15)=4,N(AY203)&lt;&gt;0),(AU15+AW15+AX15+AY15)/AY203,""),"")</f>
        <v>0.47459096666495</v>
      </c>
      <c r="AZ371" s="264">
        <f>IFERROR(IF(AND(COUNT(AW15,AX15,AY15,AZ15)=4,N(AZ203)&lt;&gt;0),(AW15+AX15+AY15+AZ15)/AZ203,""),"")</f>
        <v>0.473363253597273</v>
      </c>
      <c r="BA371" s="262">
        <f>IFERROR(IF(AND(COUNT(AW15,AX15,AY15,AZ15)=4,N(BA203)&lt;&gt;0),(AW15+AX15+AY15+AZ15)/BA203,""),"")</f>
        <v>0.473363253597273</v>
      </c>
      <c r="BB371" s="264">
        <f>IFERROR(IF(AND(COUNT(AX15,AY15,AZ15,BB15)=4,N(BB203)&lt;&gt;0),(AX15+AY15+AZ15+BB15)/BB203,""),"")</f>
        <v>0.47214103199458</v>
      </c>
      <c r="BC371" s="264">
        <f>IFERROR(IF(AND(COUNT(AY15,AZ15,BB15,BC15)=4,N(BC203)&lt;&gt;0),(AY15+AZ15+BB15+BC15)/BC203,""),"")</f>
        <v>0.469825201256746</v>
      </c>
      <c r="BD371" s="264">
        <f>IFERROR(IF(AND(COUNT(AZ15,BB15,BC15,BD15)=4,N(BD203)&lt;&gt;0),(AZ15+BB15+BC15+BD15)/BD203,""),"")</f>
        <v>0.466841731200155</v>
      </c>
      <c r="BE371" s="264">
        <f>IFERROR(IF(AND(COUNT(BB15,BC15,BD15,BE15)=4,N(BE203)&lt;&gt;0),(BB15+BC15+BD15+BE15)/BE203,""),"")</f>
        <v>0.465174633343044</v>
      </c>
      <c r="BF371" s="262">
        <f>IFERROR(IF(AND(COUNT(BB15,BC15,BD15,BE15)=4,N(BF203)&lt;&gt;0),(BB15+BC15+BD15+BE15)/BF203,""),"")</f>
        <v>0.465174633343044</v>
      </c>
      <c r="BG371" s="81" t="n"/>
      <c r="BH371" s="81" t="n"/>
      <c r="BI371" s="81" t="n"/>
      <c r="BJ371" s="81" t="n"/>
      <c r="BL371" s="81" t="n"/>
      <c r="BM371" s="81" t="n"/>
      <c r="BN371" s="81" t="n"/>
      <c r="BO371" s="81" t="n"/>
      <c r="BQ371" s="81" t="n"/>
      <c r="BR371" s="81" t="n"/>
      <c r="BS371" s="81" t="n"/>
      <c r="BT371" s="81" t="n"/>
      <c r="BV371" s="81" t="n"/>
      <c r="BW371" s="81" t="n"/>
      <c r="BX371" s="81" t="n"/>
      <c r="BY371" s="81" t="n"/>
      <c r="CA371" s="81" t="n"/>
      <c r="CB371" s="81" t="n"/>
      <c r="CC371" s="81" t="n"/>
      <c r="CD371" s="81" t="n"/>
      <c r="CF371" s="81" t="n"/>
      <c r="CG371" s="81" t="n"/>
      <c r="CH371" s="81" t="n"/>
      <c r="CI371" s="81" t="n"/>
      <c r="CK371" s="81" t="n"/>
      <c r="CL371" s="81" t="n"/>
      <c r="CM371" s="81" t="n"/>
      <c r="CN371" s="81" t="n"/>
      <c r="CP371" s="81" t="n"/>
      <c r="CQ371" s="81" t="n"/>
      <c r="CR371" s="81" t="n"/>
      <c r="CS371" s="81" t="n"/>
      <c r="CU371" s="81" t="n"/>
      <c r="CV371" s="81" t="n"/>
      <c r="CW371" s="81" t="n"/>
      <c r="CX371" s="81" t="n"/>
    </row>
    <row r="372" customFormat="1" s="77">
      <c r="A372" s="76" t="n"/>
      <c r="B372" s="76" t="n"/>
      <c r="C372" s="77" t="inlineStr">
        <is>
          <t>EQUITY MULTIPLIER (ASSETS / EQUITY)</t>
        </is>
      </c>
      <c r="D372" s="84" t="str">
        <f>IFERROR(D203/D277,"")</f>
        <v/>
      </c>
      <c r="E372" s="84" t="str">
        <f>IFERROR(E203/E277,"")</f>
        <v/>
      </c>
      <c r="F372" s="84" t="str">
        <f>IFERROR(F203/F277,"")</f>
        <v/>
      </c>
      <c r="G372" s="84" t="str">
        <f>IFERROR(G203/G277,"")</f>
        <v/>
      </c>
      <c r="H372" s="262" t="str">
        <f>IFERROR(IF(N(H277)&lt;&gt;0,H203/H277,""),"")</f>
        <v/>
      </c>
      <c r="I372" s="264">
        <f>IFERROR(IF(N(I277)&lt;&gt;0,I203/I277,""),"")</f>
        <v>8.08638689839045</v>
      </c>
      <c r="J372" s="264">
        <f>IFERROR(IF(N(J277)&lt;&gt;0,J203/J277,""),"")</f>
        <v>7.60139346723331</v>
      </c>
      <c r="K372" s="264">
        <f>IFERROR(IF(N(K277)&lt;&gt;0,K203/K277,""),"")</f>
        <v>7.20327978309884</v>
      </c>
      <c r="L372" s="264">
        <f>IFERROR(IF(N(L277)&lt;&gt;0,L203/L277,""),"")</f>
        <v>8.23592937128494</v>
      </c>
      <c r="M372" s="262">
        <f>IFERROR(IF(N(M277)&lt;&gt;0,M203/M277,""),"")</f>
        <v>8.23592937128494</v>
      </c>
      <c r="N372" s="264">
        <f>IFERROR(IF(N(N277)&lt;&gt;0,N203/N277,""),"")</f>
        <v>9.06017592600886</v>
      </c>
      <c r="O372" s="264">
        <f>IFERROR(IF(N(O277)&lt;&gt;0,O203/O277,""),"")</f>
        <v>10.748720414566</v>
      </c>
      <c r="P372" s="264">
        <f>IFERROR(IF(N(P277)&lt;&gt;0,P203/P277,""),"")</f>
        <v>10.6199138690052</v>
      </c>
      <c r="Q372" s="264">
        <f>IFERROR(IF(N(Q277)&lt;&gt;0,Q203/Q277,""),"")</f>
        <v>11.0466217333515</v>
      </c>
      <c r="R372" s="262">
        <f>IFERROR(IF(N(R277)&lt;&gt;0,R203/R277,""),"")</f>
        <v>11.0466217333515</v>
      </c>
      <c r="S372" s="264">
        <f>IFERROR(IF(N(S277)&lt;&gt;0,S203/S277,""),"")</f>
        <v>10.4260606131428</v>
      </c>
      <c r="T372" s="264">
        <f>IFERROR(IF(N(T277)&lt;&gt;0,T203/T277,""),"")</f>
        <v>9.82942301412051</v>
      </c>
      <c r="U372" s="264">
        <f>IFERROR(IF(N(U277)&lt;&gt;0,U203/U277,""),"")</f>
        <v>9.01952469134911</v>
      </c>
      <c r="V372" s="264">
        <f>IFERROR(IF(N(V277)&lt;&gt;0,V203/V277,""),"")</f>
        <v>10.3885727796242</v>
      </c>
      <c r="W372" s="262">
        <f>IFERROR(IF(N(W277)&lt;&gt;0,W203/W277,""),"")</f>
        <v>10.3885727796242</v>
      </c>
      <c r="X372" s="264">
        <f>IFERROR(IF(N(X277)&lt;&gt;0,X203/X277,""),"")</f>
        <v>11.2819808207025</v>
      </c>
      <c r="Y372" s="264">
        <f>IFERROR(IF(N(Y277)&lt;&gt;0,Y203/Y277,""),"")</f>
        <v>11.4911809687661</v>
      </c>
      <c r="Z372" s="264">
        <f>IFERROR(IF(N(Z277)&lt;&gt;0,Z203/Z277,""),"")</f>
        <v>11.5868594610591</v>
      </c>
      <c r="AA372" s="264">
        <f>IFERROR(IF(N(AA277)&lt;&gt;0,AA203/AA277,""),"")</f>
        <v>14.9430739620501</v>
      </c>
      <c r="AB372" s="262">
        <f>IFERROR(IF(N(AB277)&lt;&gt;0,AB203/AB277,""),"")</f>
        <v>14.9430739620501</v>
      </c>
      <c r="AC372" s="264">
        <f>IFERROR(IF(N(AC277)&lt;&gt;0,AC203/AC277,""),"")</f>
        <v>14.815241564341</v>
      </c>
      <c r="AD372" s="264">
        <f>IFERROR(IF(N(AD277)&lt;&gt;0,AD203/AD277,""),"")</f>
        <v>13.581645472087</v>
      </c>
      <c r="AE372" s="264">
        <f>IFERROR(IF(N(AE277)&lt;&gt;0,AE203/AE277,""),"")</f>
        <v>13.9388092630996</v>
      </c>
      <c r="AF372" s="264">
        <f>IFERROR(IF(N(AF277)&lt;&gt;0,AF203/AF277,""),"")</f>
        <v>11.9193088506193</v>
      </c>
      <c r="AG372" s="262">
        <f>IFERROR(IF(N(AG277)&lt;&gt;0,AG203/AG277,""),"")</f>
        <v>11.9193088506193</v>
      </c>
      <c r="AH372" s="264">
        <f>IFERROR(IF(N(AH277)&lt;&gt;0,AH203/AH277,""),"")</f>
        <v>12.4242927152669</v>
      </c>
      <c r="AI372" s="264">
        <f>IFERROR(IF(N(AI277)&lt;&gt;0,AI203/AI277,""),"")</f>
        <v>9.32170551666189</v>
      </c>
      <c r="AJ372" s="264">
        <f>IFERROR(IF(N(AJ277)&lt;&gt;0,AJ203/AJ277,""),"")</f>
        <v>8.31972562399137</v>
      </c>
      <c r="AK372" s="264">
        <f>IFERROR(IF(N(AK277)&lt;&gt;0,AK203/AK277,""),"")</f>
        <v>7.57252350721343</v>
      </c>
      <c r="AL372" s="262">
        <f>IFERROR(IF(N(AL277)&lt;&gt;0,AL203/AL277,""),"")</f>
        <v>7.57252350721343</v>
      </c>
      <c r="AM372" s="264">
        <f>IFERROR(IF(N(AM277)&lt;&gt;0,AM203/AM277,""),"")</f>
        <v>6.97747166236567</v>
      </c>
      <c r="AN372" s="264">
        <f>IFERROR(IF(N(AN277)&lt;&gt;0,AN203/AN277,""),"")</f>
        <v>6.47743930502327</v>
      </c>
      <c r="AO372" s="264">
        <f>IFERROR(IF(N(AO277)&lt;&gt;0,AO203/AO277,""),"")</f>
        <v>6.04777914798293</v>
      </c>
      <c r="AP372" s="264">
        <f>IFERROR(IF(N(AP277)&lt;&gt;0,AP203/AP277,""),"")</f>
        <v>5.66822708276775</v>
      </c>
      <c r="AQ372" s="262">
        <f>IFERROR(IF(N(AQ277)&lt;&gt;0,AQ203/AQ277,""),"")</f>
        <v>5.66822708276775</v>
      </c>
      <c r="AR372" s="264">
        <f>IFERROR(IF(N(AR277)&lt;&gt;0,AR203/AR277,""),"")</f>
        <v>5.34380985985877</v>
      </c>
      <c r="AS372" s="264">
        <f>IFERROR(IF(N(AS277)&lt;&gt;0,AS203/AS277,""),"")</f>
        <v>5.07147563795155</v>
      </c>
      <c r="AT372" s="264">
        <f>IFERROR(IF(N(AT277)&lt;&gt;0,AT203/AT277,""),"")</f>
        <v>4.82531448319035</v>
      </c>
      <c r="AU372" s="264">
        <f>IFERROR(IF(N(AU277)&lt;&gt;0,AU203/AU277,""),"")</f>
        <v>4.59682358313142</v>
      </c>
      <c r="AV372" s="262">
        <f>IFERROR(IF(N(AV277)&lt;&gt;0,AV203/AV277,""),"")</f>
        <v>4.59682358313142</v>
      </c>
      <c r="AW372" s="264">
        <f>IFERROR(IF(N(AW277)&lt;&gt;0,AW203/AW277,""),"")</f>
        <v>4.39750079145939</v>
      </c>
      <c r="AX372" s="264">
        <f>IFERROR(IF(N(AX277)&lt;&gt;0,AX203/AX277,""),"")</f>
        <v>4.22290272689831</v>
      </c>
      <c r="AY372" s="264">
        <f>IFERROR(IF(N(AY277)&lt;&gt;0,AY203/AY277,""),"")</f>
        <v>4.0652544939334</v>
      </c>
      <c r="AZ372" s="264">
        <f>IFERROR(IF(N(AZ277)&lt;&gt;0,AZ203/AZ277,""),"")</f>
        <v>3.91331038287607</v>
      </c>
      <c r="BA372" s="262">
        <f>IFERROR(IF(N(BA277)&lt;&gt;0,BA203/BA277,""),"")</f>
        <v>3.91331038287607</v>
      </c>
      <c r="BB372" s="264">
        <f>IFERROR(IF(N(BB277)&lt;&gt;0,BB203/BB277,""),"")</f>
        <v>3.77677411247135</v>
      </c>
      <c r="BC372" s="264">
        <f>IFERROR(IF(N(BC277)&lt;&gt;0,BC203/BC277,""),"")</f>
        <v>3.65768647410768</v>
      </c>
      <c r="BD372" s="264">
        <f>IFERROR(IF(N(BD277)&lt;&gt;0,BD203/BD277,""),"")</f>
        <v>3.54923029986507</v>
      </c>
      <c r="BE372" s="264">
        <f>IFERROR(IF(N(BE277)&lt;&gt;0,BE203/BE277,""),"")</f>
        <v>3.44131290066659</v>
      </c>
      <c r="BF372" s="262">
        <f>IFERROR(IF(N(BF277)&lt;&gt;0,BF203/BF277,""),"")</f>
        <v>3.44131290066659</v>
      </c>
      <c r="BG372" s="81" t="n"/>
      <c r="BH372" s="81" t="n"/>
      <c r="BI372" s="81" t="n"/>
      <c r="BJ372" s="81" t="n"/>
      <c r="BL372" s="81" t="n"/>
      <c r="BM372" s="81" t="n"/>
      <c r="BN372" s="81" t="n"/>
      <c r="BO372" s="81" t="n"/>
      <c r="BQ372" s="81" t="n"/>
      <c r="BR372" s="81" t="n"/>
      <c r="BS372" s="81" t="n"/>
      <c r="BT372" s="81" t="n"/>
      <c r="BV372" s="81" t="n"/>
      <c r="BW372" s="81" t="n"/>
      <c r="BX372" s="81" t="n"/>
      <c r="BY372" s="81" t="n"/>
      <c r="CA372" s="81" t="n"/>
      <c r="CB372" s="81" t="n"/>
      <c r="CC372" s="81" t="n"/>
      <c r="CD372" s="81" t="n"/>
      <c r="CF372" s="81" t="n"/>
      <c r="CG372" s="81" t="n"/>
      <c r="CH372" s="81" t="n"/>
      <c r="CI372" s="81" t="n"/>
      <c r="CK372" s="81" t="n"/>
      <c r="CL372" s="81" t="n"/>
      <c r="CM372" s="81" t="n"/>
      <c r="CN372" s="81" t="n"/>
      <c r="CP372" s="81" t="n"/>
      <c r="CQ372" s="81" t="n"/>
      <c r="CR372" s="81" t="n"/>
      <c r="CS372" s="81" t="n"/>
      <c r="CU372" s="81" t="n"/>
      <c r="CV372" s="81" t="n"/>
      <c r="CW372" s="81" t="n"/>
      <c r="CX372" s="81" t="n"/>
    </row>
    <row r="373" customFormat="1" s="77">
      <c r="A373" s="76" t="n"/>
      <c r="B373" s="76" t="n"/>
      <c r="C373" s="77" t="inlineStr">
        <is>
          <t>ROE - DUPONT</t>
        </is>
      </c>
      <c r="D373" s="84">
        <f>IFERROR(PRODUCT(D370:D372),"")</f>
        <v>0</v>
      </c>
      <c r="E373" s="84">
        <f>IFERROR(PRODUCT(E370:E372),"")</f>
        <v>0</v>
      </c>
      <c r="F373" s="84">
        <f>IFERROR(PRODUCT(F370:F372),"")</f>
        <v>0</v>
      </c>
      <c r="G373" s="84">
        <f>IFERROR(PRODUCT(G370:G372),"")</f>
        <v>0</v>
      </c>
      <c r="H373" s="258" t="str">
        <f>IFERROR(IF(COUNT(H370,H371,H372)=3,H370*H371*H372,""),"")</f>
        <v/>
      </c>
      <c r="I373" s="257" t="str">
        <f>IFERROR(IF(COUNT(I370,I371,I372)=3,I370*I371*I372,""),"")</f>
        <v/>
      </c>
      <c r="J373" s="257" t="str">
        <f>IFERROR(IF(COUNT(J370,J371,J372)=3,J370*J371*J372,""),"")</f>
        <v/>
      </c>
      <c r="K373" s="257" t="str">
        <f>IFERROR(IF(COUNT(K370,K371,K372)=3,K370*K371*K372,""),"")</f>
        <v/>
      </c>
      <c r="L373" s="257">
        <f>IFERROR(IF(COUNT(L370,L371,L372)=3,L370*L371*L372,""),"")</f>
        <v>0.141177591659713</v>
      </c>
      <c r="M373" s="258">
        <f>IFERROR(IF(COUNT(M370,M371,M372)=3,M370*M371*M372,""),"")</f>
        <v>0.141177591659713</v>
      </c>
      <c r="N373" s="257">
        <f>IFERROR(IF(COUNT(N370,N371,N372)=3,N370*N371*N372,""),"")</f>
        <v>0.17526055507459</v>
      </c>
      <c r="O373" s="257">
        <f>IFERROR(IF(COUNT(O370,O371,O372)=3,O370*O371*O372,""),"")</f>
        <v>0.153125634921392</v>
      </c>
      <c r="P373" s="257">
        <f>IFERROR(IF(COUNT(P370,P371,P372)=3,P370*P371*P372,""),"")</f>
        <v>0.0948772791705392</v>
      </c>
      <c r="Q373" s="257">
        <f>IFERROR(IF(COUNT(Q370,Q371,Q372)=3,Q370*Q371*Q372,""),"")</f>
        <v>0.086367669798359</v>
      </c>
      <c r="R373" s="258">
        <f>IFERROR(IF(COUNT(R370,R371,R372)=3,R370*R371*R372,""),"")</f>
        <v>0.086367669798359</v>
      </c>
      <c r="S373" s="257">
        <f>IFERROR(IF(COUNT(S370,S371,S372)=3,S370*S371*S372,""),"")</f>
        <v>0.052088039118507</v>
      </c>
      <c r="T373" s="257">
        <f>IFERROR(IF(COUNT(T370,T371,T372)=3,T370*T371*T372,""),"")</f>
        <v>0.0338693886002927</v>
      </c>
      <c r="U373" s="257">
        <f>IFERROR(IF(COUNT(U370,U371,U372)=3,U370*U371*U372,""),"")</f>
        <v>0.00747080983849525</v>
      </c>
      <c r="V373" s="257">
        <f>IFERROR(IF(COUNT(V370,V371,V372)=3,V370*V371*V372,""),"")</f>
        <v>-0.0733472750740076</v>
      </c>
      <c r="W373" s="258">
        <f>IFERROR(IF(COUNT(W370,W371,W372)=3,W370*W371*W372,""),"")</f>
        <v>-0.0733472750740076</v>
      </c>
      <c r="X373" s="257">
        <f>IFERROR(IF(COUNT(X370,X371,X372)=3,X370*X371*X372,""),"")</f>
        <v>-0.0782339543267892</v>
      </c>
      <c r="Y373" s="257">
        <f>IFERROR(IF(COUNT(Y370,Y371,Y372)=3,Y370*Y371*Y372,""),"")</f>
        <v>-0.0719195518423181</v>
      </c>
      <c r="Z373" s="257">
        <f>IFERROR(IF(COUNT(Z370,Z371,Z372)=3,Z370*Z371*Z372,""),"")</f>
        <v>-0.0477514789360931</v>
      </c>
      <c r="AA373" s="257">
        <f>IFERROR(IF(COUNT(AA370,AA371,AA372)=3,AA370*AA371*AA372,""),"")</f>
        <v>-0.0356097659035676</v>
      </c>
      <c r="AB373" s="258">
        <f>IFERROR(IF(COUNT(AB370,AB371,AB372)=3,AB370*AB371*AB372,""),"")</f>
        <v>-0.0356097659035676</v>
      </c>
      <c r="AC373" s="257">
        <f>IFERROR(IF(COUNT(AC370,AC371,AC372)=3,AC370*AC371*AC372,""),"")</f>
        <v>-0.0431595684560279</v>
      </c>
      <c r="AD373" s="257">
        <f>IFERROR(IF(COUNT(AD370,AD371,AD372)=3,AD370*AD371*AD372,""),"")</f>
        <v>-0.0636664634034171</v>
      </c>
      <c r="AE373" s="257">
        <f>IFERROR(IF(COUNT(AE370,AE371,AE372)=3,AE370*AE371*AE372,""),"")</f>
        <v>-0.109550406068416</v>
      </c>
      <c r="AF373" s="257">
        <f>IFERROR(IF(COUNT(AF370,AF371,AF372)=3,AF370*AF371*AF372,""),"")</f>
        <v>-0.0148103073066297</v>
      </c>
      <c r="AG373" s="258">
        <f>IFERROR(IF(COUNT(AG370,AG371,AG372)=3,AG370*AG371*AG372,""),"")</f>
        <v>0.00542624025176122</v>
      </c>
      <c r="AH373" s="257">
        <f>IFERROR(IF(COUNT(AH370,AH371,AH372)=3,AH370*AH371*AH372,""),"")</f>
        <v>0.0280029376739049</v>
      </c>
      <c r="AI373" s="257">
        <f>IFERROR(IF(COUNT(AI370,AI371,AI372)=3,AI370*AI371*AI372,""),"")</f>
        <v>-0.0585987073658092</v>
      </c>
      <c r="AJ373" s="257">
        <f>IFERROR(IF(COUNT(AJ370,AJ371,AJ372)=3,AJ370*AJ371*AJ372,""),"")</f>
        <v>0.121073193168395</v>
      </c>
      <c r="AK373" s="257">
        <f>IFERROR(IF(COUNT(AK370,AK371,AK372)=3,AK370*AK371*AK372,""),"")</f>
        <v>0.177150606350076</v>
      </c>
      <c r="AL373" s="258">
        <f>IFERROR(IF(COUNT(AL370,AL371,AL372)=3,AL370*AL371*AL372,""),"")</f>
        <v>0.177150606350076</v>
      </c>
      <c r="AM373" s="257">
        <f>IFERROR(IF(COUNT(AM370,AM371,AM372)=3,AM370*AM371*AM372,""),"")</f>
        <v>0.266291854011441</v>
      </c>
      <c r="AN373" s="257">
        <f>IFERROR(IF(COUNT(AN370,AN371,AN372)=3,AN370*AN371*AN372,""),"")</f>
        <v>0.342673715727834</v>
      </c>
      <c r="AO373" s="257">
        <f>IFERROR(IF(COUNT(AO370,AO371,AO372)=3,AO370*AO371*AO372,""),"")</f>
        <v>0.318921927885372</v>
      </c>
      <c r="AP373" s="257">
        <f>IFERROR(IF(COUNT(AP370,AP371,AP372)=3,AP370*AP371*AP372,""),"")</f>
        <v>0.298794272581979</v>
      </c>
      <c r="AQ373" s="258">
        <f>IFERROR(IF(COUNT(AQ370,AQ371,AQ372)=3,AQ370*AQ371*AQ372,""),"")</f>
        <v>0.298794272581979</v>
      </c>
      <c r="AR373" s="257">
        <f>IFERROR(IF(COUNT(AR370,AR371,AR372)=3,AR370*AR371*AR372,""),"")</f>
        <v>0.281590099297987</v>
      </c>
      <c r="AS373" s="257">
        <f>IFERROR(IF(COUNT(AS370,AS371,AS372)=3,AS370*AS371*AS372,""),"")</f>
        <v>0.266225100214015</v>
      </c>
      <c r="AT373" s="257">
        <f>IFERROR(IF(COUNT(AT370,AT371,AT372)=3,AT370*AT371*AT372,""),"")</f>
        <v>0.252203994428671</v>
      </c>
      <c r="AU373" s="257">
        <f>IFERROR(IF(COUNT(AU370,AU371,AU372)=3,AU370*AU371*AU372,""),"")</f>
        <v>0.239895941749495</v>
      </c>
      <c r="AV373" s="258">
        <f>IFERROR(IF(COUNT(AV370,AV371,AV372)=3,AV370*AV371*AV372,""),"")</f>
        <v>0.239895941749495</v>
      </c>
      <c r="AW373" s="257">
        <f>IFERROR(IF(COUNT(AW370,AW371,AW372)=3,AW370*AW371*AW372,""),"")</f>
        <v>0.229041460639155</v>
      </c>
      <c r="AX373" s="257">
        <f>IFERROR(IF(COUNT(AX370,AX371,AX372)=3,AX370*AX371*AX372,""),"")</f>
        <v>0.219081898717721</v>
      </c>
      <c r="AY373" s="257">
        <f>IFERROR(IF(COUNT(AY370,AY371,AY372)=3,AY370*AY371*AY372,""),"")</f>
        <v>0.209766219379252</v>
      </c>
      <c r="AZ373" s="257">
        <f>IFERROR(IF(COUNT(AZ370,AZ371,AZ372)=3,AZ370*AZ371*AZ372,""),"")</f>
        <v>0.20140357782968</v>
      </c>
      <c r="BA373" s="258">
        <f>IFERROR(IF(COUNT(BA370,BA371,BA372)=3,BA370*BA371*BA372,""),"")</f>
        <v>0.20140357782968</v>
      </c>
      <c r="BB373" s="257">
        <f>IFERROR(IF(COUNT(BB370,BB371,BB372)=3,BB370*BB371*BB372,""),"")</f>
        <v>0.193874682832906</v>
      </c>
      <c r="BC373" s="257">
        <f>IFERROR(IF(COUNT(BC370,BC371,BC372)=3,BC370*BC371*BC372,""),"")</f>
        <v>0.186840546779853</v>
      </c>
      <c r="BD373" s="257">
        <f>IFERROR(IF(COUNT(BD370,BD371,BD372)=3,BD370*BD371*BD372,""),"")</f>
        <v>0.180149141200837</v>
      </c>
      <c r="BE373" s="257">
        <f>IFERROR(IF(COUNT(BE370,BE371,BE372)=3,BE370*BE371*BE372,""),"")</f>
        <v>0.174047797286032</v>
      </c>
      <c r="BF373" s="258">
        <f>IFERROR(IF(COUNT(BF370,BF371,BF372)=3,BF370*BF371*BF372,""),"")</f>
        <v>0.174047797286032</v>
      </c>
      <c r="BG373" s="81" t="n"/>
      <c r="BH373" s="81" t="n"/>
      <c r="BI373" s="81" t="n"/>
      <c r="BJ373" s="81" t="n"/>
      <c r="BL373" s="81" t="n"/>
      <c r="BM373" s="81" t="n"/>
      <c r="BN373" s="81" t="n"/>
      <c r="BO373" s="81" t="n"/>
      <c r="BQ373" s="81" t="n"/>
      <c r="BR373" s="81" t="n"/>
      <c r="BS373" s="81" t="n"/>
      <c r="BT373" s="81" t="n"/>
      <c r="BV373" s="81" t="n"/>
      <c r="BW373" s="81" t="n"/>
      <c r="BX373" s="81" t="n"/>
      <c r="BY373" s="81" t="n"/>
      <c r="CA373" s="81" t="n"/>
      <c r="CB373" s="81" t="n"/>
      <c r="CC373" s="81" t="n"/>
      <c r="CD373" s="81" t="n"/>
      <c r="CF373" s="81" t="n"/>
      <c r="CG373" s="81" t="n"/>
      <c r="CH373" s="81" t="n"/>
      <c r="CI373" s="81" t="n"/>
      <c r="CK373" s="81" t="n"/>
      <c r="CL373" s="81" t="n"/>
      <c r="CM373" s="81" t="n"/>
      <c r="CN373" s="81" t="n"/>
      <c r="CP373" s="81" t="n"/>
      <c r="CQ373" s="81" t="n"/>
      <c r="CR373" s="81" t="n"/>
      <c r="CS373" s="81" t="n"/>
      <c r="CU373" s="81" t="n"/>
      <c r="CV373" s="81" t="n"/>
      <c r="CW373" s="81" t="n"/>
      <c r="CX373" s="81" t="n"/>
    </row>
    <row r="374" customFormat="1" s="77">
      <c r="A374" s="76" t="n"/>
      <c r="B374" s="76" t="n"/>
      <c r="C374" s="77" t="inlineStr">
        <is>
          <t>ROE (LTM)</t>
        </is>
      </c>
      <c r="D374" s="84" t="str">
        <f>IFERROR(D143/D277,"")</f>
        <v/>
      </c>
      <c r="E374" s="84" t="str">
        <f>IFERROR(E143/E277,"")</f>
        <v/>
      </c>
      <c r="F374" s="84" t="str">
        <f>IFERROR(F143/F277,"")</f>
        <v/>
      </c>
      <c r="G374" s="84" t="str">
        <f>IFERROR(G143/G277,"")</f>
        <v/>
      </c>
      <c r="H374" s="258" t="str">
        <f>IFERROR(IF(AND(COUNT(H143)=1,N(H277)&lt;&gt;0),(H143)/H277,""),"")</f>
        <v/>
      </c>
      <c r="I374" s="257" t="str">
        <f>""</f>
        <v/>
      </c>
      <c r="J374" s="257" t="str">
        <f>""</f>
        <v/>
      </c>
      <c r="K374" s="257" t="str">
        <f>""</f>
        <v/>
      </c>
      <c r="L374" s="257">
        <f>IFERROR(IF(AND(COUNT(I143,J143,K143,L143)=4,N(L277)&lt;&gt;0),(I143+J143+K143+L143)/L277,""),"")</f>
        <v>0.141177591659713</v>
      </c>
      <c r="M374" s="258">
        <f>IFERROR(IF(AND(COUNT(I143,J143,K143,L143)=4,N(M277)&lt;&gt;0),(I143+J143+K143+L143)/M277,""),"")</f>
        <v>0.141177591659713</v>
      </c>
      <c r="N374" s="257">
        <f>IFERROR(IF(AND(COUNT(J143,K143,L143,N143)=4,N(N277)&lt;&gt;0),(J143+K143+L143+N143)/N277,""),"")</f>
        <v>0.17526055507459</v>
      </c>
      <c r="O374" s="257">
        <f>IFERROR(IF(AND(COUNT(K143,L143,N143,O143)=4,N(O277)&lt;&gt;0),(K143+L143+N143+O143)/O277,""),"")</f>
        <v>0.153125634921392</v>
      </c>
      <c r="P374" s="257">
        <f>IFERROR(IF(AND(COUNT(L143,N143,O143,P143)=4,N(P277)&lt;&gt;0),(L143+N143+O143+P143)/P277,""),"")</f>
        <v>0.0948772791705392</v>
      </c>
      <c r="Q374" s="257">
        <f>IFERROR(IF(AND(COUNT(N143,O143,P143,Q143)=4,N(Q277)&lt;&gt;0),(N143+O143+P143+Q143)/Q277,""),"")</f>
        <v>0.086367669798359</v>
      </c>
      <c r="R374" s="258">
        <f>IFERROR(IF(AND(COUNT(N143,O143,P143,Q143)=4,N(R277)&lt;&gt;0),(N143+O143+P143+Q143)/R277,""),"")</f>
        <v>0.086367669798359</v>
      </c>
      <c r="S374" s="257">
        <f>IFERROR(IF(AND(COUNT(O143,P143,Q143,S143)=4,N(S277)&lt;&gt;0),(O143+P143+Q143+S143)/S277,""),"")</f>
        <v>0.052088039118507</v>
      </c>
      <c r="T374" s="257">
        <f>IFERROR(IF(AND(COUNT(P143,Q143,S143,T143)=4,N(T277)&lt;&gt;0),(P143+Q143+S143+T143)/T277,""),"")</f>
        <v>0.0338693886002927</v>
      </c>
      <c r="U374" s="257">
        <f>IFERROR(IF(AND(COUNT(Q143,S143,T143,U143)=4,N(U277)&lt;&gt;0),(Q143+S143+T143+U143)/U277,""),"")</f>
        <v>0.00747080983849525</v>
      </c>
      <c r="V374" s="257">
        <f>IFERROR(IF(AND(COUNT(S143,T143,U143,V143)=4,N(V277)&lt;&gt;0),(S143+T143+U143+V143)/V277,""),"")</f>
        <v>-0.0733472750740076</v>
      </c>
      <c r="W374" s="258">
        <f>IFERROR(IF(AND(COUNT(S143,T143,U143,V143)=4,N(W277)&lt;&gt;0),(S143+T143+U143+V143)/W277,""),"")</f>
        <v>-0.0733472750740076</v>
      </c>
      <c r="X374" s="257">
        <f>IFERROR(IF(AND(COUNT(T143,U143,V143,X143)=4,N(X277)&lt;&gt;0),(T143+U143+V143+X143)/X277,""),"")</f>
        <v>-0.0782339543267892</v>
      </c>
      <c r="Y374" s="257">
        <f>IFERROR(IF(AND(COUNT(U143,V143,X143,Y143)=4,N(Y277)&lt;&gt;0),(U143+V143+X143+Y143)/Y277,""),"")</f>
        <v>-0.0719195518423181</v>
      </c>
      <c r="Z374" s="257">
        <f>IFERROR(IF(AND(COUNT(V143,X143,Y143,Z143)=4,N(Z277)&lt;&gt;0),(V143+X143+Y143+Z143)/Z277,""),"")</f>
        <v>-0.0477514789360931</v>
      </c>
      <c r="AA374" s="257">
        <f>IFERROR(IF(AND(COUNT(X143,Y143,Z143,AA143)=4,N(AA277)&lt;&gt;0),(X143+Y143+Z143+AA143)/AA277,""),"")</f>
        <v>-0.0356097659035676</v>
      </c>
      <c r="AB374" s="258">
        <f>IFERROR(IF(AND(COUNT(X143,Y143,Z143,AA143)=4,N(AB277)&lt;&gt;0),(X143+Y143+Z143+AA143)/AB277,""),"")</f>
        <v>-0.0356097659035676</v>
      </c>
      <c r="AC374" s="257">
        <f>IFERROR(IF(AND(COUNT(Y143,Z143,AA143,AC143)=4,N(AC277)&lt;&gt;0),(Y143+Z143+AA143+AC143)/AC277,""),"")</f>
        <v>-0.0431595684560279</v>
      </c>
      <c r="AD374" s="257">
        <f>IFERROR(IF(AND(COUNT(Z143,AA143,AC143,AD143)=4,N(AD277)&lt;&gt;0),(Z143+AA143+AC143+AD143)/AD277,""),"")</f>
        <v>-0.0636664634034171</v>
      </c>
      <c r="AE374" s="257">
        <f>IFERROR(IF(AND(COUNT(AA143,AC143,AD143,AE143)=4,N(AE277)&lt;&gt;0),(AA143+AC143+AD143+AE143)/AE277,""),"")</f>
        <v>-0.109550406068416</v>
      </c>
      <c r="AF374" s="257">
        <f>IFERROR(IF(AND(COUNT(AB143,AD143,AE143,AF143)=4,N(AF277)&lt;&gt;0),(AB143+AD143+AE143+AF143)/AF277,""),"")</f>
        <v>-0.0148103073066297</v>
      </c>
      <c r="AG374" s="258">
        <f>IFERROR(IF(AND(COUNT(AC143,AD143,AE143,AF143)=4,N(AG277)&lt;&gt;0),(AC143+AD143+AE143+AF143)/AG277,""),"")</f>
        <v>0.00542624025176122</v>
      </c>
      <c r="AH374" s="257">
        <f>IFERROR(IF(AND(COUNT(AD143,AF143,AG143,AH143)=4,N(AH277)&lt;&gt;0),(AD143+AF143+AG143+AH143)/AH277,""),"")</f>
        <v>0.0280029376739049</v>
      </c>
      <c r="AI374" s="257">
        <f>IFERROR(IF(AND(COUNT(AE143,AG143,AH143,AI143)=4,N(AI277)&lt;&gt;0),(AE143+AG143+AH143+AI143)/AI277,""),"")</f>
        <v>-0.0585987073658092</v>
      </c>
      <c r="AJ374" s="257">
        <f>IFERROR(IF(AND(COUNT(AF143,AH143,AI143,AJ143)=4,N(AJ277)&lt;&gt;0),(AF143+AH143+AI143+AJ143)/AJ277,""),"")</f>
        <v>0.121073193168395</v>
      </c>
      <c r="AK374" s="257">
        <f>IFERROR(IF(AND(COUNT(AH143,AI143,AJ143,AK143)=4,N(AK277)&lt;&gt;0),(AH143+AI143+AJ143+AK143)/AK277,""),"")</f>
        <v>0.177150606350076</v>
      </c>
      <c r="AL374" s="258">
        <f>IFERROR(IF(AND(COUNT(AH143,AI143,AJ143,AK143)=4,N(AL277)&lt;&gt;0),(AH143+AI143+AJ143+AK143)/AL277,""),"")</f>
        <v>0.177150606350076</v>
      </c>
      <c r="AM374" s="257">
        <f>IFERROR(IF(AND(COUNT(AI143,AJ143,AK143,AM143)=4,N(AM277)&lt;&gt;0),(AI143+AJ143+AK143+AM143)/AM277,""),"")</f>
        <v>0.266291854011441</v>
      </c>
      <c r="AN374" s="257">
        <f>IFERROR(IF(AND(COUNT(AJ143,AK143,AM143,AN143)=4,N(AN277)&lt;&gt;0),(AJ143+AK143+AM143+AN143)/AN277,""),"")</f>
        <v>0.342673715727834</v>
      </c>
      <c r="AO374" s="257">
        <f>IFERROR(IF(AND(COUNT(AK143,AM143,AN143,AO143)=4,N(AO277)&lt;&gt;0),(AK143+AM143+AN143+AO143)/AO277,""),"")</f>
        <v>0.318921927885372</v>
      </c>
      <c r="AP374" s="257">
        <f>IFERROR(IF(AND(COUNT(AM143,AN143,AO143,AP143)=4,N(AP277)&lt;&gt;0),(AM143+AN143+AO143+AP143)/AP277,""),"")</f>
        <v>0.298794272581979</v>
      </c>
      <c r="AQ374" s="258">
        <f>IFERROR(IF(AND(COUNT(AM143,AN143,AO143,AP143)=4,N(AQ277)&lt;&gt;0),(AM143+AN143+AO143+AP143)/AQ277,""),"")</f>
        <v>0.298794272581979</v>
      </c>
      <c r="AR374" s="257">
        <f>IFERROR(IF(AND(COUNT(AN143,AO143,AP143,AR143)=4,N(AR277)&lt;&gt;0),(AN143+AO143+AP143+AR143)/AR277,""),"")</f>
        <v>0.281590099297987</v>
      </c>
      <c r="AS374" s="257">
        <f>IFERROR(IF(AND(COUNT(AO143,AP143,AR143,AS143)=4,N(AS277)&lt;&gt;0),(AO143+AP143+AR143+AS143)/AS277,""),"")</f>
        <v>0.266225100214015</v>
      </c>
      <c r="AT374" s="257">
        <f>IFERROR(IF(AND(COUNT(AP143,AR143,AS143,AT143)=4,N(AT277)&lt;&gt;0),(AP143+AR143+AS143+AT143)/AT277,""),"")</f>
        <v>0.252203994428671</v>
      </c>
      <c r="AU374" s="257">
        <f>IFERROR(IF(AND(COUNT(AR143,AS143,AT143,AU143)=4,N(AU277)&lt;&gt;0),(AR143+AS143+AT143+AU143)/AU277,""),"")</f>
        <v>0.239895941749495</v>
      </c>
      <c r="AV374" s="258">
        <f>IFERROR(IF(AND(COUNT(AR143,AS143,AT143,AU143)=4,N(AV277)&lt;&gt;0),(AR143+AS143+AT143+AU143)/AV277,""),"")</f>
        <v>0.239895941749495</v>
      </c>
      <c r="AW374" s="257">
        <f>IFERROR(IF(AND(COUNT(AS143,AT143,AU143,AW143)=4,N(AW277)&lt;&gt;0),(AS143+AT143+AU143+AW143)/AW277,""),"")</f>
        <v>0.229041460639155</v>
      </c>
      <c r="AX374" s="257">
        <f>IFERROR(IF(AND(COUNT(AT143,AU143,AW143,AX143)=4,N(AX277)&lt;&gt;0),(AT143+AU143+AW143+AX143)/AX277,""),"")</f>
        <v>0.219081898717721</v>
      </c>
      <c r="AY374" s="257">
        <f>IFERROR(IF(AND(COUNT(AU143,AW143,AX143,AY143)=4,N(AY277)&lt;&gt;0),(AU143+AW143+AX143+AY143)/AY277,""),"")</f>
        <v>0.209766219379252</v>
      </c>
      <c r="AZ374" s="257">
        <f>IFERROR(IF(AND(COUNT(AW143,AX143,AY143,AZ143)=4,N(AZ277)&lt;&gt;0),(AW143+AX143+AY143+AZ143)/AZ277,""),"")</f>
        <v>0.20140357782968</v>
      </c>
      <c r="BA374" s="258">
        <f>IFERROR(IF(AND(COUNT(AW143,AX143,AY143,AZ143)=4,N(BA277)&lt;&gt;0),(AW143+AX143+AY143+AZ143)/BA277,""),"")</f>
        <v>0.20140357782968</v>
      </c>
      <c r="BB374" s="257">
        <f>IFERROR(IF(AND(COUNT(AX143,AY143,AZ143,BB143)=4,N(BB277)&lt;&gt;0),(AX143+AY143+AZ143+BB143)/BB277,""),"")</f>
        <v>0.193874682832906</v>
      </c>
      <c r="BC374" s="257">
        <f>IFERROR(IF(AND(COUNT(AY143,AZ143,BB143,BC143)=4,N(BC277)&lt;&gt;0),(AY143+AZ143+BB143+BC143)/BC277,""),"")</f>
        <v>0.186840546779853</v>
      </c>
      <c r="BD374" s="257">
        <f>IFERROR(IF(AND(COUNT(AZ143,BB143,BC143,BD143)=4,N(BD277)&lt;&gt;0),(AZ143+BB143+BC143+BD143)/BD277,""),"")</f>
        <v>0.180149141200837</v>
      </c>
      <c r="BE374" s="257">
        <f>IFERROR(IF(AND(COUNT(BB143,BC143,BD143,BE143)=4,N(BE277)&lt;&gt;0),(BB143+BC143+BD143+BE143)/BE277,""),"")</f>
        <v>0.174047797286032</v>
      </c>
      <c r="BF374" s="258">
        <f>IFERROR(IF(AND(COUNT(BB143,BC143,BD143,BE143)=4,N(BF277)&lt;&gt;0),(BB143+BC143+BD143+BE143)/BF277,""),"")</f>
        <v>0.174047797286032</v>
      </c>
      <c r="BG374" s="81" t="n"/>
      <c r="BH374" s="81" t="n"/>
      <c r="BI374" s="81" t="n"/>
      <c r="BJ374" s="81" t="n"/>
      <c r="BL374" s="81" t="n"/>
      <c r="BM374" s="81" t="n"/>
      <c r="BN374" s="81" t="n"/>
      <c r="BO374" s="81" t="n"/>
      <c r="BQ374" s="81" t="n"/>
      <c r="BR374" s="81" t="n"/>
      <c r="BS374" s="81" t="n"/>
      <c r="BT374" s="81" t="n"/>
      <c r="BV374" s="81" t="n"/>
      <c r="BW374" s="81" t="n"/>
      <c r="BX374" s="81" t="n"/>
      <c r="BY374" s="81" t="n"/>
      <c r="CA374" s="81" t="n"/>
      <c r="CB374" s="81" t="n"/>
      <c r="CC374" s="81" t="n"/>
      <c r="CD374" s="81" t="n"/>
      <c r="CF374" s="81" t="n"/>
      <c r="CG374" s="81" t="n"/>
      <c r="CH374" s="81" t="n"/>
      <c r="CI374" s="81" t="n"/>
      <c r="CK374" s="81" t="n"/>
      <c r="CL374" s="81" t="n"/>
      <c r="CM374" s="81" t="n"/>
      <c r="CN374" s="81" t="n"/>
      <c r="CP374" s="81" t="n"/>
      <c r="CQ374" s="81" t="n"/>
      <c r="CR374" s="81" t="n"/>
      <c r="CS374" s="81" t="n"/>
      <c r="CU374" s="81" t="n"/>
      <c r="CV374" s="81" t="n"/>
      <c r="CW374" s="81" t="n"/>
      <c r="CX374" s="81" t="n"/>
    </row>
    <row r="375"/>
    <row r="376">
      <c r="C376" s="73" t="inlineStr">
        <is>
          <t>Scenario Analysis</t>
        </is>
      </c>
      <c r="D376" s="73" t="n"/>
      <c r="E376" s="73" t="n"/>
      <c r="F376" s="73" t="n"/>
      <c r="G376" s="73" t="n"/>
      <c r="H376" s="73" t="n"/>
      <c r="I376" s="73" t="n"/>
      <c r="J376" s="73" t="n"/>
      <c r="K376" s="73" t="n"/>
      <c r="L376" s="73" t="n"/>
      <c r="M376" s="73" t="n"/>
      <c r="N376" s="73" t="n"/>
      <c r="O376" s="73" t="n"/>
      <c r="P376" s="73" t="n"/>
      <c r="Q376" s="73" t="n"/>
      <c r="R376" s="73" t="n"/>
      <c r="S376" s="73" t="n"/>
      <c r="T376" s="73" t="n"/>
      <c r="U376" s="73" t="n"/>
      <c r="V376" s="73" t="n"/>
      <c r="W376" s="73" t="n"/>
      <c r="X376" s="73" t="n"/>
      <c r="Y376" s="73" t="n"/>
      <c r="Z376" s="73" t="n"/>
      <c r="AA376" s="73" t="n"/>
      <c r="AB376" s="73" t="n"/>
      <c r="AC376" s="73" t="n"/>
      <c r="AD376" s="73" t="n"/>
      <c r="AE376" s="73" t="n"/>
      <c r="AF376" s="73" t="n"/>
      <c r="AG376" s="73" t="n"/>
      <c r="AH376" s="73" t="n"/>
      <c r="AI376" s="73" t="n"/>
      <c r="AJ376" s="73" t="n"/>
      <c r="AK376" s="73" t="n"/>
      <c r="AL376" s="73" t="n"/>
      <c r="AM376" s="73" t="n"/>
      <c r="AN376" s="73" t="n"/>
      <c r="AO376" s="73" t="n"/>
      <c r="AP376" s="73" t="n"/>
      <c r="AQ376" s="73" t="n"/>
      <c r="AR376" s="73" t="n"/>
      <c r="AS376" s="73" t="n"/>
      <c r="AT376" s="73" t="n"/>
      <c r="AU376" s="73" t="n"/>
      <c r="AV376" s="73" t="n"/>
      <c r="AW376" s="73" t="n"/>
      <c r="AX376" s="73" t="n"/>
      <c r="AY376" s="73" t="n"/>
      <c r="AZ376" s="73" t="n"/>
      <c r="BA376" s="73" t="n"/>
      <c r="BB376" s="73" t="n"/>
      <c r="BC376" s="73" t="n"/>
      <c r="BD376" s="73" t="n"/>
      <c r="BE376" s="73" t="n"/>
      <c r="BF376" s="73" t="n"/>
      <c r="BG376" s="73" t="n"/>
      <c r="BH376" s="73" t="n"/>
      <c r="BI376" s="73" t="n"/>
      <c r="BJ376" s="73" t="n"/>
      <c r="BK376" s="73" t="n"/>
      <c r="BL376" s="73" t="n"/>
      <c r="BM376" s="73" t="n"/>
      <c r="BN376" s="73" t="n"/>
      <c r="BO376" s="73" t="n"/>
      <c r="BP376" s="73" t="n"/>
      <c r="BQ376" s="73" t="n"/>
      <c r="BR376" s="73" t="n"/>
      <c r="BS376" s="73" t="n"/>
      <c r="BT376" s="73" t="n"/>
      <c r="BU376" s="73" t="n"/>
      <c r="BV376" s="73" t="n"/>
      <c r="BW376" s="73" t="n"/>
      <c r="BX376" s="73" t="n"/>
      <c r="BY376" s="73" t="n"/>
      <c r="BZ376" s="73" t="n"/>
      <c r="CA376" s="73" t="n"/>
      <c r="CB376" s="73" t="n"/>
      <c r="CC376" s="73" t="n"/>
      <c r="CD376" s="73" t="n"/>
      <c r="CE376" s="73" t="n"/>
      <c r="CF376" s="73" t="n"/>
      <c r="CG376" s="73" t="n"/>
      <c r="CH376" s="73" t="n"/>
      <c r="CI376" s="73" t="n"/>
      <c r="CJ376" s="73" t="n"/>
      <c r="CK376" s="73" t="n"/>
      <c r="CL376" s="73" t="n"/>
      <c r="CM376" s="73" t="n"/>
      <c r="CN376" s="73" t="n"/>
      <c r="CO376" s="73" t="n"/>
      <c r="CP376" s="73" t="n"/>
      <c r="CQ376" s="73" t="n"/>
      <c r="CR376" s="73" t="n"/>
      <c r="CS376" s="73" t="n"/>
      <c r="CT376" s="73" t="n"/>
      <c r="CU376" s="73" t="n"/>
      <c r="CV376" s="73" t="n"/>
      <c r="CW376" s="73" t="n"/>
      <c r="CX376" s="73" t="n"/>
      <c r="CY376" s="73" t="n"/>
    </row>
    <row r="377"/>
    <row r="378"/>
    <row r="379">
      <c r="C379" s="4" t="inlineStr">
        <is>
          <t>Bull case</t>
        </is>
      </c>
    </row>
    <row r="380">
      <c r="C380" s="4" t="inlineStr">
        <is>
          <t>Base case</t>
        </is>
      </c>
    </row>
    <row r="381">
      <c r="C381" s="4" t="inlineStr">
        <is>
          <t>Bear case</t>
        </is>
      </c>
    </row>
    <row r="382"/>
    <row r="383"/>
    <row r="384">
      <c r="C384" s="4" t="inlineStr">
        <is>
          <t>Bull case</t>
        </is>
      </c>
    </row>
    <row r="385">
      <c r="C385" s="4" t="inlineStr">
        <is>
          <t>Base case</t>
        </is>
      </c>
    </row>
    <row r="386">
      <c r="C386" s="4" t="inlineStr">
        <is>
          <t>Bear case</t>
        </is>
      </c>
    </row>
    <row r="387"/>
    <row r="388"/>
    <row r="389">
      <c r="C389" s="4" t="inlineStr">
        <is>
          <t>% Gross Margin</t>
        </is>
      </c>
    </row>
    <row r="390">
      <c r="C390" s="4" t="inlineStr">
        <is>
          <t>Bull case</t>
        </is>
      </c>
    </row>
    <row r="391">
      <c r="C391" s="4" t="inlineStr">
        <is>
          <t>Base case</t>
        </is>
      </c>
    </row>
    <row r="392">
      <c r="C392" s="4" t="inlineStr">
        <is>
          <t>Bear case</t>
        </is>
      </c>
    </row>
    <row r="393"/>
    <row r="394"/>
    <row r="395">
      <c r="C395" s="4" t="inlineStr">
        <is>
          <t>Capital expenditures</t>
        </is>
      </c>
    </row>
    <row r="396">
      <c r="C396" s="4" t="inlineStr">
        <is>
          <t>Bull case</t>
        </is>
      </c>
    </row>
    <row r="397">
      <c r="C397" s="4" t="inlineStr">
        <is>
          <t>Base case</t>
        </is>
      </c>
    </row>
    <row r="398">
      <c r="C398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321:G321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321:L321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321:Q321">
    <cfRule type="cellIs" priority="22" operator="notEqual" dxfId="0">
      <formula>0</formula>
    </cfRule>
  </conditionalFormatting>
  <conditionalFormatting sqref="S321:V321">
    <cfRule type="cellIs" priority="21" operator="notEqual" dxfId="0">
      <formula>0</formula>
    </cfRule>
  </conditionalFormatting>
  <conditionalFormatting sqref="X321:AA321">
    <cfRule type="cellIs" priority="20" operator="notEqual" dxfId="0">
      <formula>0</formula>
    </cfRule>
  </conditionalFormatting>
  <conditionalFormatting sqref="AC321:AF321">
    <cfRule type="cellIs" priority="19" operator="notEqual" dxfId="0">
      <formula>0</formula>
    </cfRule>
  </conditionalFormatting>
  <conditionalFormatting sqref="AH321:AK321">
    <cfRule type="cellIs" priority="15" operator="notEqual" dxfId="0">
      <formula>0</formula>
    </cfRule>
  </conditionalFormatting>
  <conditionalFormatting sqref="AM321:AP321">
    <cfRule type="cellIs" priority="14" operator="notEqual" dxfId="0">
      <formula>0</formula>
    </cfRule>
  </conditionalFormatting>
  <conditionalFormatting sqref="AR321:AU321">
    <cfRule type="cellIs" priority="13" operator="notEqual" dxfId="0">
      <formula>0</formula>
    </cfRule>
  </conditionalFormatting>
  <conditionalFormatting sqref="AW321:AZ321">
    <cfRule type="cellIs" priority="12" operator="notEqual" dxfId="0">
      <formula>0</formula>
    </cfRule>
  </conditionalFormatting>
  <conditionalFormatting sqref="BB321:BE321">
    <cfRule type="cellIs" priority="11" operator="notEqual" dxfId="0">
      <formula>0</formula>
    </cfRule>
  </conditionalFormatting>
  <conditionalFormatting sqref="BG321:BJ321">
    <cfRule type="cellIs" priority="10" operator="notEqual" dxfId="0">
      <formula>0</formula>
    </cfRule>
  </conditionalFormatting>
  <conditionalFormatting sqref="BL321:BO321">
    <cfRule type="cellIs" priority="9" operator="notEqual" dxfId="0">
      <formula>0</formula>
    </cfRule>
  </conditionalFormatting>
  <conditionalFormatting sqref="BQ321:BT321">
    <cfRule type="cellIs" priority="8" operator="notEqual" dxfId="0">
      <formula>0</formula>
    </cfRule>
  </conditionalFormatting>
  <conditionalFormatting sqref="BV321:BY321">
    <cfRule type="cellIs" priority="7" operator="notEqual" dxfId="0">
      <formula>0</formula>
    </cfRule>
  </conditionalFormatting>
  <conditionalFormatting sqref="CA321:CD321">
    <cfRule type="cellIs" priority="6" operator="notEqual" dxfId="0">
      <formula>0</formula>
    </cfRule>
  </conditionalFormatting>
  <conditionalFormatting sqref="CF321:CI321">
    <cfRule type="cellIs" priority="5" operator="notEqual" dxfId="0">
      <formula>0</formula>
    </cfRule>
  </conditionalFormatting>
  <conditionalFormatting sqref="CK321:CN321">
    <cfRule type="cellIs" priority="4" operator="notEqual" dxfId="0">
      <formula>0</formula>
    </cfRule>
  </conditionalFormatting>
  <conditionalFormatting sqref="CP321:CS321">
    <cfRule type="cellIs" priority="3" operator="notEqual" dxfId="0">
      <formula>0</formula>
    </cfRule>
  </conditionalFormatting>
  <conditionalFormatting sqref="CU321:CX321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SIMH3) - fonte: Planilha de Fundamentos 2T26 do RI (ri.simpar.com.br &gt; Fundamentos e Planilhas): abas Consolidado (DRE e Balanco trimestrais)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31843.613</v>
      </c>
      <c r="E18" s="113">
        <f>IFERROR(Model!AB15,"")</f>
        <v>40738.08592513</v>
      </c>
      <c r="F18" s="113">
        <f>IFERROR(Model!AG15,"")</f>
        <v>42805.84607853</v>
      </c>
      <c r="G18" s="113">
        <f>IFERROR(Model!AL15,"")</f>
        <v>45754.9734822673</v>
      </c>
      <c r="H18" s="113">
        <f>IFERROR(Model!AQ15,"")</f>
        <v>48558.6740773419</v>
      </c>
      <c r="I18" s="113">
        <f>IFERROR(Model!AV15,"")</f>
        <v>51291.3820141398</v>
      </c>
      <c r="J18" s="113">
        <f>IFERROR(Model!BA15,"")</f>
        <v>53921.4200379325</v>
      </c>
      <c r="K18" s="113">
        <f>IFERROR(Model!BF15,"")</f>
        <v>56416.7098741826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0.279317328882561</v>
      </c>
      <c r="F19" s="117">
        <f>IFERROR(IF(E18=0,"",F18/E18-1),"")</f>
        <v>0.0507574203952588</v>
      </c>
      <c r="G19" s="117">
        <f>IFERROR(IF(F18=0,"",G18/F18-1),"")</f>
        <v>0.0688954354114832</v>
      </c>
      <c r="H19" s="117">
        <f>IFERROR(IF(G18=0,"",H18/G18-1),"")</f>
        <v>0.0612764117579763</v>
      </c>
      <c r="I19" s="117">
        <f>IFERROR(IF(H18=0,"",I18/H18-1),"")</f>
        <v>0.0562764117579759</v>
      </c>
      <c r="J19" s="117">
        <f>IFERROR(IF(I18=0,"",J18/I18-1),"")</f>
        <v>0.051276411757976</v>
      </c>
      <c r="K19" s="117">
        <f>IFERROR(IF(J18=0,"",K18/J18-1),"")</f>
        <v>0.0462764117579759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IFERROR(Model!W75,"")</f>
        <v>7968.623064432</v>
      </c>
      <c r="E20" s="113">
        <f>IFERROR(Model!AB75,"")</f>
        <v>10272.37881548</v>
      </c>
      <c r="F20" s="113">
        <f>IFERROR(Model!AG75,"")</f>
        <v>12697.58494315</v>
      </c>
      <c r="G20" s="113">
        <f>IFERROR(Model!AL75,"")</f>
        <v>13271.2488506041</v>
      </c>
      <c r="H20" s="113">
        <f>IFERROR(Model!AQ75,"")</f>
        <v>14222.743648589</v>
      </c>
      <c r="I20" s="113">
        <f>IFERROR(Model!AV75,"")</f>
        <v>15023.1486264852</v>
      </c>
      <c r="J20" s="113">
        <f>IFERROR(Model!BA75,"")</f>
        <v>15793.4817813581</v>
      </c>
      <c r="K20" s="113">
        <f>IFERROR(Model!BF75,"")</f>
        <v>16524.3474473643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0.250242428974124</v>
      </c>
      <c r="E21" s="122">
        <f>IFERROR(IF(E18=0,"",E20/E18),"")</f>
        <v>0.252156638737494</v>
      </c>
      <c r="F21" s="122">
        <f>IFERROR(IF(F18=0,"",F20/F18),"")</f>
        <v>0.296632028248092</v>
      </c>
      <c r="G21" s="122">
        <f>IFERROR(IF(G18=0,"",G20/G18),"")</f>
        <v>0.290050410711035</v>
      </c>
      <c r="H21" s="122">
        <f>IFERROR(IF(H18=0,"",H20/H18),"")</f>
        <v>0.292898105618282</v>
      </c>
      <c r="I21" s="122">
        <f>IFERROR(IF(I18=0,"",I20/I18),"")</f>
        <v>0.292898105618282</v>
      </c>
      <c r="J21" s="122">
        <f>IFERROR(IF(J18=0,"",J20/J18),"")</f>
        <v>0.292898105618282</v>
      </c>
      <c r="K21" s="122">
        <f>IFERROR(IF(K18=0,"",K20/K18),"")</f>
        <v>0.292898105618282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IFERROR(Model!W79,"")</f>
        <v>4864.670431931</v>
      </c>
      <c r="E22" s="113">
        <f>IFERROR(Model!AB79,"")</f>
        <v>6581.25892513</v>
      </c>
      <c r="F22" s="113">
        <f>IFERROR(Model!AG79,"")</f>
        <v>8156.19913934</v>
      </c>
      <c r="G22" s="113">
        <f>IFERROR(Model!AL79,"")</f>
        <v>8226.2135970991</v>
      </c>
      <c r="H22" s="113">
        <f>IFERROR(Model!AQ79,"")</f>
        <v>8968.73479417266</v>
      </c>
      <c r="I22" s="113">
        <f>IFERROR(Model!AV79,"")</f>
        <v>9473.4630063976</v>
      </c>
      <c r="J22" s="113">
        <f>IFERROR(Model!BA79,"")</f>
        <v>9959.2281962876</v>
      </c>
      <c r="K22" s="113">
        <f>IFERROR(Model!BF79,"")</f>
        <v>10420.1055410907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0.152767540289194</v>
      </c>
      <c r="E23" s="122">
        <f>IFERROR(IF(E18=0,"",E22/E18),"")</f>
        <v>0.161550519021077</v>
      </c>
      <c r="F23" s="122">
        <f>IFERROR(IF(F18=0,"",F22/F18),"")</f>
        <v>0.19053937456059</v>
      </c>
      <c r="G23" s="122">
        <f>IFERROR(IF(G18=0,"",G22/G18),"")</f>
        <v>0.179788402681235</v>
      </c>
      <c r="H23" s="122">
        <f>IFERROR(IF(H18=0,"",H22/H18),"")</f>
        <v>0.184698922789524</v>
      </c>
      <c r="I23" s="122">
        <f>IFERROR(IF(I18=0,"",I22/I18),"")</f>
        <v>0.184698922789524</v>
      </c>
      <c r="J23" s="122">
        <f>IFERROR(IF(J18=0,"",J22/J18),"")</f>
        <v>0.184698922789524</v>
      </c>
      <c r="K23" s="122">
        <f>IFERROR(IF(K18=0,"",K22/K18),"")</f>
        <v>0.184698922789524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IFERROR(Model!W138,"")</f>
        <v>0.366554552044082</v>
      </c>
      <c r="E24" s="125">
        <f>IFERROR(Model!AB138,"")</f>
        <v>0.770836888742211</v>
      </c>
      <c r="F24" s="125">
        <f>IFERROR(Model!AG138,"")</f>
        <v>0.178277241921911</v>
      </c>
      <c r="G24" s="125">
        <f>IFERROR(Model!AL138,"")</f>
        <v>0.56417808198578</v>
      </c>
      <c r="H24" s="125">
        <f>IFERROR(Model!AQ138,"")</f>
        <v>0.538949693778396</v>
      </c>
      <c r="I24" s="125">
        <f>IFERROR(Model!AV138,"")</f>
        <v>0.538949693778396</v>
      </c>
      <c r="J24" s="125">
        <f>IFERROR(Model!BA138,"")</f>
        <v>0.538949693778396</v>
      </c>
      <c r="K24" s="125">
        <f>IFERROR(Model!BF138,"")</f>
        <v>0.538949693778396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3081.50334091244</v>
      </c>
      <c r="E25" s="127">
        <f>IFERROR(E22*(1-E24),"")</f>
        <v>1508.18177127588</v>
      </c>
      <c r="F25" s="127">
        <f>IFERROR(F22*(1-F24),"")</f>
        <v>6702.1344522126</v>
      </c>
      <c r="G25" s="127">
        <f>IFERROR(G22*(1-G24),"")</f>
        <v>3585.16418788238</v>
      </c>
      <c r="H25" s="127">
        <f>IFERROR(H22*(1-H24),"")</f>
        <v>4135.03792327366</v>
      </c>
      <c r="I25" s="127">
        <f>IFERROR(I22*(1-I24),"")</f>
        <v>4367.74302007866</v>
      </c>
      <c r="J25" s="127">
        <f>IFERROR(J22*(1-J24),"")</f>
        <v>4591.70520962924</v>
      </c>
      <c r="K25" s="127">
        <f>IFERROR(K22*(1-K24),"")</f>
        <v>4804.19285058128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IFERROR(-Model!W76,"")</f>
        <v>3103.952632501</v>
      </c>
      <c r="E26" s="130">
        <f>IFERROR(-Model!AB76,"")</f>
        <v>3691.11989035</v>
      </c>
      <c r="F26" s="130">
        <f>IFERROR(-Model!AG76,"")</f>
        <v>4541.38580381</v>
      </c>
      <c r="G26" s="130">
        <f>IFERROR(-Model!AL76,"")</f>
        <v>5045.03525350503</v>
      </c>
      <c r="H26" s="130">
        <f>IFERROR(-Model!AQ76,"")</f>
        <v>5254.00885441638</v>
      </c>
      <c r="I26" s="130">
        <f>IFERROR(-Model!AV76,"")</f>
        <v>5549.68562008757</v>
      </c>
      <c r="J26" s="130">
        <f>IFERROR(-Model!BA76,"")</f>
        <v>5834.2535850705</v>
      </c>
      <c r="K26" s="130">
        <f>IFERROR(-Model!BF76,"")</f>
        <v>6104.24190627366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IFERROR(Model!W285,"")</f>
        <v>-1152.523994917</v>
      </c>
      <c r="E27" s="133">
        <f>IFERROR(Model!AB285,"")</f>
        <v>-388.466230242999</v>
      </c>
      <c r="F27" s="133">
        <f>IFERROR(Model!AG285,"")</f>
        <v>950.718116380001</v>
      </c>
      <c r="G27" s="133">
        <f>IFERROR(Model!AL285,"")</f>
        <v>-1185.45966749214</v>
      </c>
      <c r="H27" s="133">
        <f>IFERROR(Model!AQ285,"")</f>
        <v>358.066121591806</v>
      </c>
      <c r="I27" s="133">
        <f>IFERROR(Model!AV285,"")</f>
        <v>450.761063099821</v>
      </c>
      <c r="J27" s="133">
        <f>IFERROR(Model!BA285,"")</f>
        <v>539.622564519723</v>
      </c>
      <c r="K27" s="133">
        <f>IFERROR(Model!BF285,"")</f>
        <v>617.954896938431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IFERROR(Model!W286,"")</f>
        <v>-673.335167461</v>
      </c>
      <c r="E28" s="136">
        <f>IFERROR(Model!AB286,"")</f>
        <v>-944.760856448999</v>
      </c>
      <c r="F28" s="136">
        <f>IFERROR(Model!AG286,"")</f>
        <v>-1563.35666687</v>
      </c>
      <c r="G28" s="136">
        <f>IFERROR(Model!AL286,"")</f>
        <v>-673.159827138621</v>
      </c>
      <c r="H28" s="136">
        <f>IFERROR(Model!AQ286,"")</f>
        <v>-507.856297500593</v>
      </c>
      <c r="I28" s="136">
        <f>IFERROR(Model!AV286,"")</f>
        <v>-494.996840023025</v>
      </c>
      <c r="J28" s="136">
        <f>IFERROR(Model!BA286,"")</f>
        <v>-476.399432733848</v>
      </c>
      <c r="K28" s="136">
        <f>IFERROR(Model!BF286,"")</f>
        <v>-451.991435767091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IFERROR(Model!W287,"")</f>
        <v>-1196.1893802</v>
      </c>
      <c r="E29" s="136">
        <f>IFERROR(Model!AB287,"")</f>
        <v>-289.91146737</v>
      </c>
      <c r="F29" s="136">
        <f>IFERROR(Model!AG287,"")</f>
        <v>352.81451316</v>
      </c>
      <c r="G29" s="136">
        <f>IFERROR(Model!AL287,"")</f>
        <v>-208.551359855842</v>
      </c>
      <c r="H29" s="136">
        <f>IFERROR(Model!AQ287,"")</f>
        <v>-186.044849035981</v>
      </c>
      <c r="I29" s="136">
        <f>IFERROR(Model!AV287,"")</f>
        <v>-181.33399709445</v>
      </c>
      <c r="J29" s="136">
        <f>IFERROR(Model!BA287,"")</f>
        <v>-174.521141078676</v>
      </c>
      <c r="K29" s="136">
        <f>IFERROR(Model!BF287,"")</f>
        <v>-165.579670561723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IFERROR(Model!W288,"")</f>
        <v>-413.58992869</v>
      </c>
      <c r="E30" s="136">
        <f>IFERROR(Model!AB288,"")</f>
        <v>-39.42581393</v>
      </c>
      <c r="F30" s="136">
        <f>IFERROR(Model!AG288,"")</f>
        <v>164.20244052</v>
      </c>
      <c r="G30" s="136">
        <f>IFERROR(Model!AL288,"")</f>
        <v>-315.6724274</v>
      </c>
      <c r="H30" s="136">
        <f>IFERROR(Model!AQ288,"")</f>
        <v>0</v>
      </c>
      <c r="I30" s="136">
        <f>IFERROR(Model!AV288,"")</f>
        <v>0</v>
      </c>
      <c r="J30" s="136">
        <f>IFERROR(Model!BA288,"")</f>
        <v>0</v>
      </c>
      <c r="K30" s="136">
        <f>IFERROR(Model!BF288,"")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IFERROR(Model!W289,"")</f>
        <v>-29.270105078</v>
      </c>
      <c r="E31" s="136">
        <f>IFERROR(Model!AB289,"")</f>
        <v>-37.7154558520001</v>
      </c>
      <c r="F31" s="136">
        <f>IFERROR(Model!AG289,"")</f>
        <v>-46.53118316</v>
      </c>
      <c r="G31" s="136">
        <f>IFERROR(Model!AL289,"")</f>
        <v>-263.84264843</v>
      </c>
      <c r="H31" s="136">
        <f>IFERROR(Model!AQ289,"")</f>
        <v>0</v>
      </c>
      <c r="I31" s="136">
        <f>IFERROR(Model!AV289,"")</f>
        <v>0</v>
      </c>
      <c r="J31" s="136">
        <f>IFERROR(Model!BA289,"")</f>
        <v>0</v>
      </c>
      <c r="K31" s="136">
        <f>IFERROR(Model!BF289,"")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IFERROR(Model!W290,"")</f>
        <v>-424.778961328001</v>
      </c>
      <c r="E32" s="136">
        <f>IFERROR(Model!AB290,"")</f>
        <v>-1607.714519262</v>
      </c>
      <c r="F32" s="136">
        <f>IFERROR(Model!AG290,"")</f>
        <v>737.37139095</v>
      </c>
      <c r="G32" s="136">
        <f>IFERROR(Model!AL290,"")</f>
        <v>-1775.19201661</v>
      </c>
      <c r="H32" s="136">
        <f>IFERROR(Model!AQ290,"")</f>
        <v>0</v>
      </c>
      <c r="I32" s="136">
        <f>IFERROR(Model!AV290,"")</f>
        <v>0</v>
      </c>
      <c r="J32" s="136">
        <f>IFERROR(Model!BA290,"")</f>
        <v>0</v>
      </c>
      <c r="K32" s="136">
        <f>IFERROR(Model!BF290,"")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IFERROR(Model!W291,"")</f>
        <v>665.270213748</v>
      </c>
      <c r="E33" s="136">
        <f>IFERROR(Model!AB291,"")</f>
        <v>1169.718081492</v>
      </c>
      <c r="F33" s="136">
        <f>IFERROR(Model!AG291,"")</f>
        <v>407.65738784</v>
      </c>
      <c r="G33" s="136">
        <f>IFERROR(Model!AL291,"")</f>
        <v>-314.770559912232</v>
      </c>
      <c r="H33" s="136">
        <f>IFERROR(Model!AQ291,"")</f>
        <v>492.113811643348</v>
      </c>
      <c r="I33" s="136">
        <f>IFERROR(Model!AV291,"")</f>
        <v>479.652970523337</v>
      </c>
      <c r="J33" s="136">
        <f>IFERROR(Model!BA291,"")</f>
        <v>461.632044066773</v>
      </c>
      <c r="K33" s="136">
        <f>IFERROR(Model!BF291,"")</f>
        <v>437.980644092009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IFERROR(Model!W292,"")</f>
        <v>102.611074322</v>
      </c>
      <c r="E34" s="136">
        <f>IFERROR(Model!AB292,"")</f>
        <v>19.5301854080001</v>
      </c>
      <c r="F34" s="136">
        <f>IFERROR(Model!AG292,"")</f>
        <v>98.4718130099999</v>
      </c>
      <c r="G34" s="136">
        <f>IFERROR(Model!AL292,"")</f>
        <v>496.608245893756</v>
      </c>
      <c r="H34" s="136">
        <f>IFERROR(Model!AQ292,"")</f>
        <v>360.520745782062</v>
      </c>
      <c r="I34" s="136">
        <f>IFERROR(Model!AV292,"")</f>
        <v>416.921898182201</v>
      </c>
      <c r="J34" s="136">
        <f>IFERROR(Model!BA292,"")</f>
        <v>469.386351498632</v>
      </c>
      <c r="K34" s="136">
        <f>IFERROR(Model!BF292,"")</f>
        <v>513.583767956187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IFERROR(Model!W293,"")</f>
        <v>15.6521758230001</v>
      </c>
      <c r="E35" s="136">
        <f>IFERROR(Model!AB293,"")</f>
        <v>85.880238377</v>
      </c>
      <c r="F35" s="136">
        <f>IFERROR(Model!AG293,"")</f>
        <v>120.06856823</v>
      </c>
      <c r="G35" s="136">
        <f>IFERROR(Model!AL293,"")</f>
        <v>35.455379900796</v>
      </c>
      <c r="H35" s="136">
        <f>IFERROR(Model!AQ293,"")</f>
        <v>199.332710702971</v>
      </c>
      <c r="I35" s="136">
        <f>IFERROR(Model!AV293,"")</f>
        <v>230.517031511758</v>
      </c>
      <c r="J35" s="136">
        <f>IFERROR(Model!BA293,"")</f>
        <v>259.524742766843</v>
      </c>
      <c r="K35" s="136">
        <f>IFERROR(Model!BF293,"")</f>
        <v>283.961591219049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IFERROR(Model!W294,"")</f>
        <v>512.312821339</v>
      </c>
      <c r="E36" s="136">
        <f>IFERROR(Model!AB294,"")</f>
        <v>1157.478730511</v>
      </c>
      <c r="F36" s="136">
        <f>IFERROR(Model!AG294,"")</f>
        <v>377.718693360001</v>
      </c>
      <c r="G36" s="136">
        <f>IFERROR(Model!AL294,"")</f>
        <v>1724.84838253</v>
      </c>
      <c r="H36" s="136">
        <f>IFERROR(Model!AQ294,"")</f>
        <v>0</v>
      </c>
      <c r="I36" s="136">
        <f>IFERROR(Model!AV294,"")</f>
        <v>0</v>
      </c>
      <c r="J36" s="136">
        <f>IFERROR(Model!BA294,"")</f>
        <v>0</v>
      </c>
      <c r="K36" s="136">
        <f>IFERROR(Model!BF294,"")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IFERROR(Model!W295,"")</f>
        <v>288.793262608</v>
      </c>
      <c r="E37" s="136">
        <f>IFERROR(Model!AB295,"")</f>
        <v>98.454646832</v>
      </c>
      <c r="F37" s="136">
        <f>IFERROR(Model!AG295,"")</f>
        <v>302.30115934</v>
      </c>
      <c r="G37" s="136">
        <f>IFERROR(Model!AL295,"")</f>
        <v>108.81716353</v>
      </c>
      <c r="H37" s="136">
        <f>IFERROR(Model!AQ295,"")</f>
        <v>0</v>
      </c>
      <c r="I37" s="136">
        <f>IFERROR(Model!AV295,"")</f>
        <v>0</v>
      </c>
      <c r="J37" s="136">
        <f>IFERROR(Model!BA295,"")</f>
        <v>0</v>
      </c>
      <c r="K37" s="136">
        <f>IFERROR(Model!BF295,"")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IFERROR((Model!W195-Model!R195)*-1,"")</f>
        <v>-1332.647769788</v>
      </c>
      <c r="E38" s="136">
        <f>IFERROR((Model!AB195-Model!W195)*-1,"")</f>
        <v>-1369.316888612</v>
      </c>
      <c r="F38" s="136">
        <f>IFERROR((Model!AG195-Model!AB195)*-1,"")</f>
        <v>1563.88388986</v>
      </c>
      <c r="G38" s="136">
        <f>IFERROR((Model!AL195-Model!AG195)*-1,"")</f>
        <v>-140.83275624</v>
      </c>
      <c r="H38" s="136">
        <f>IFERROR((Model!AQ195-Model!AL195)*-1,"")</f>
        <v>0</v>
      </c>
      <c r="I38" s="136">
        <f>IFERROR((Model!AV195-Model!AQ195)*-1,"")</f>
        <v>0</v>
      </c>
      <c r="J38" s="136">
        <f>IFERROR((Model!BA195-Model!AV195)*-1,"")</f>
        <v>0</v>
      </c>
      <c r="K38" s="136">
        <f>IFERROR((Model!BF195-Model!BA195)*-1,"")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IFERROR(Model!W246-Model!R246,"")</f>
        <v>206.111912476001</v>
      </c>
      <c r="E39" s="136">
        <f>IFERROR(Model!AB246-Model!W246,"")</f>
        <v>227.012339624</v>
      </c>
      <c r="F39" s="136">
        <f>IFERROR(Model!AG246-Model!AB246,"")</f>
        <v>-87.0124545600002</v>
      </c>
      <c r="G39" s="136">
        <f>IFERROR(Model!AL246-Model!AG246,"")</f>
        <v>-584.66720181</v>
      </c>
      <c r="H39" s="136">
        <f>IFERROR(Model!AQ246-Model!AL246,"")</f>
        <v>0</v>
      </c>
      <c r="I39" s="136">
        <f>IFERROR(Model!AV246-Model!AQ246,"")</f>
        <v>0</v>
      </c>
      <c r="J39" s="136">
        <f>IFERROR(Model!BA246-Model!AV246,"")</f>
        <v>0</v>
      </c>
      <c r="K39" s="136">
        <f>IFERROR(Model!BF246-Model!BA246,"")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IFERROR(Model!W301,"")</f>
        <v>-8799.131577861</v>
      </c>
      <c r="E40" s="136">
        <f>IFERROR(Model!AB301,"")</f>
        <v>-9483.1712117</v>
      </c>
      <c r="F40" s="136">
        <f>IFERROR(Model!AG301,"")</f>
        <v>-6785.74187283</v>
      </c>
      <c r="G40" s="136">
        <f>IFERROR(Model!AL301,"")</f>
        <v>-6205.50329063725</v>
      </c>
      <c r="H40" s="136">
        <f>IFERROR(Model!AQ301,"")</f>
        <v>-7123.21366130289</v>
      </c>
      <c r="I40" s="136">
        <f>IFERROR(Model!AV301,"")</f>
        <v>-7524.08256634641</v>
      </c>
      <c r="J40" s="136">
        <f>IFERROR(Model!BA301,"")</f>
        <v>-7909.8905221194</v>
      </c>
      <c r="K40" s="136">
        <f>IFERROR(Model!BF301,"")</f>
        <v>-8275.93187288151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-6847.702940277</v>
      </c>
      <c r="E44" s="133">
        <f>IFERROR(SUM(E27,E40:E42,E26),"")</f>
        <v>-6180.517551593</v>
      </c>
      <c r="F44" s="133">
        <f>IFERROR(SUM(F27,F40:F42,F26),"")</f>
        <v>-1293.63795264</v>
      </c>
      <c r="G44" s="133">
        <f>IFERROR(SUM(G27,G40:G42,G26),"")</f>
        <v>-2345.92770462436</v>
      </c>
      <c r="H44" s="133">
        <f>IFERROR(SUM(H27,H40:H42,H26),"")</f>
        <v>-1511.1386852947</v>
      </c>
      <c r="I44" s="133">
        <f>IFERROR(SUM(I27,I40:I42,I26),"")</f>
        <v>-1523.63588315902</v>
      </c>
      <c r="J44" s="133">
        <f>IFERROR(SUM(J27,J40:J42,J26),"")</f>
        <v>-1536.01437252918</v>
      </c>
      <c r="K44" s="133">
        <f>IFERROR(SUM(K27,K40:K42,K26),"")</f>
        <v>-1553.73506966941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IFERROR(Model!W356,"")</f>
        <v>42502.152102256</v>
      </c>
      <c r="E46" s="136">
        <f>IFERROR(Model!AB356,"")</f>
        <v>50613.70789307</v>
      </c>
      <c r="F46" s="136">
        <f>IFERROR(Model!AG356,"")</f>
        <v>49586.89246112</v>
      </c>
      <c r="G46" s="136">
        <f>IFERROR(Model!AL356,"")</f>
        <v>52840.1277576844</v>
      </c>
      <c r="H46" s="136">
        <f>IFERROR(Model!AQ356,"")</f>
        <v>54351.2664429791</v>
      </c>
      <c r="I46" s="136">
        <f>IFERROR(Model!AV356,"")</f>
        <v>55874.9023261381</v>
      </c>
      <c r="J46" s="136">
        <f>IFERROR(Model!BA356,"")</f>
        <v>57410.9166986673</v>
      </c>
      <c r="K46" s="136">
        <f>IFERROR(Model!BF356,"")</f>
        <v>58964.6517683367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IFERROR(Model!W357,"")</f>
        <v>42502.152102256</v>
      </c>
      <c r="E47" s="136">
        <f>IFERROR(Model!AB357,"")</f>
        <v>50613.70789307</v>
      </c>
      <c r="F47" s="136">
        <f>IFERROR(Model!AG357,"")</f>
        <v>49586.89246112</v>
      </c>
      <c r="G47" s="136">
        <f>IFERROR(Model!AL357,"")</f>
        <v>52840.1277576844</v>
      </c>
      <c r="H47" s="136">
        <f>IFERROR(Model!AQ357,"")</f>
        <v>54351.2664429791</v>
      </c>
      <c r="I47" s="136">
        <f>IFERROR(Model!AV357,"")</f>
        <v>55874.9023261381</v>
      </c>
      <c r="J47" s="136">
        <f>IFERROR(Model!BA357,"")</f>
        <v>57410.9166986673</v>
      </c>
      <c r="K47" s="136">
        <f>IFERROR(Model!BF357,"")</f>
        <v>58964.6517683367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1.33471513117108</v>
      </c>
      <c r="E48" s="122">
        <f>IFERROR(IF(E18=0,"",E46/E18),"")</f>
        <v>1.24241742692796</v>
      </c>
      <c r="F48" s="122">
        <f>IFERROR(IF(F18=0,"",F46/F18),"")</f>
        <v>1.15841402527472</v>
      </c>
      <c r="G48" s="122">
        <f>IFERROR(IF(G18=0,"",G46/G18),"")</f>
        <v>1.1548499263837</v>
      </c>
      <c r="H48" s="122">
        <f>IFERROR(IF(H18=0,"",H46/H18),"")</f>
        <v>1.11929057940114</v>
      </c>
      <c r="I48" s="122">
        <f>IFERROR(IF(I18=0,"",I46/I18),"")</f>
        <v>1.08936238666244</v>
      </c>
      <c r="J48" s="122">
        <f>IFERROR(IF(J18=0,"",J46/J18),"")</f>
        <v>1.06471448003929</v>
      </c>
      <c r="K48" s="122">
        <f>IFERROR(IF(K18=0,"",K46/K18),"")</f>
        <v>1.04516289411127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0.0725022896134447</v>
      </c>
      <c r="E50" s="150">
        <f>IFERROR(IF(E46=0,"",E25/E46),"")</f>
        <v>0.0297978914025064</v>
      </c>
      <c r="F50" s="150">
        <f>IFERROR(IF(F46=0,"",F25/F46),"")</f>
        <v>0.135159396355954</v>
      </c>
      <c r="G50" s="150">
        <f>IFERROR(IF(G46=0,"",G25/G46),"")</f>
        <v>0.0678492717565583</v>
      </c>
      <c r="H50" s="150">
        <f>IFERROR(IF(H46=0,"",H25/H46),"")</f>
        <v>0.0760798817376557</v>
      </c>
      <c r="I50" s="150">
        <f>IFERROR(IF(I46=0,"",I25/I46),"")</f>
        <v>0.0781700340983941</v>
      </c>
      <c r="J50" s="150">
        <f>IFERROR(IF(J46=0,"",J25/J46),"")</f>
        <v>0.0799796532378976</v>
      </c>
      <c r="K50" s="150">
        <f>IFERROR(IF(K46=0,"",K25/K46),"")</f>
        <v>0.0814758114650831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0.749223543395812</v>
      </c>
      <c r="E51" s="154">
        <f>IFERROR(IF(E46=0,"",E18/E46),"")</f>
        <v>0.804882464078626</v>
      </c>
      <c r="F51" s="154">
        <f>IFERROR(IF(F46=0,"",F18/F46),"")</f>
        <v>0.863249216758101</v>
      </c>
      <c r="G51" s="154">
        <f>IFERROR(IF(G46=0,"",G18/G46),"")</f>
        <v>0.8659133772744</v>
      </c>
      <c r="H51" s="154">
        <f>IFERROR(IF(H46=0,"",H18/H46),"")</f>
        <v>0.893423047065256</v>
      </c>
      <c r="I51" s="154">
        <f>IFERROR(IF(I46=0,"",I18/I46),"")</f>
        <v>0.917968173165752</v>
      </c>
      <c r="J51" s="154">
        <f>IFERROR(IF(J46=0,"",J18/J46),"")</f>
        <v>0.939218934979733</v>
      </c>
      <c r="K51" s="154">
        <f>IFERROR(IF(K46=0,"",K18/K46),"")</f>
        <v>0.956788655274951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-3766.19959936456</v>
      </c>
      <c r="E53" s="155">
        <f>IFERROR(E25+E44,"")</f>
        <v>-4672.33578031712</v>
      </c>
      <c r="F53" s="155">
        <f>IFERROR(F25+F44,"")</f>
        <v>5408.4964995726</v>
      </c>
      <c r="G53" s="156">
        <f>IFERROR(G25+G44,"")</f>
        <v>1239.23648325802</v>
      </c>
      <c r="H53" s="155">
        <f>IFERROR(H25+H44,"")</f>
        <v>2623.89923797896</v>
      </c>
      <c r="I53" s="155">
        <f>IFERROR(I25+I44,"")</f>
        <v>2844.10713691963</v>
      </c>
      <c r="J53" s="155">
        <f>IFERROR(J25+J44,"")</f>
        <v>3055.69083710005</v>
      </c>
      <c r="K53" s="155">
        <f>IFERROR(K25+K44,"")</f>
        <v>3250.45778091187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0.0814758114650831</v>
      </c>
      <c r="E64" s="157" t="inlineStr">
        <is>
          <t>Current portion of long-term debt</t>
        </is>
      </c>
      <c r="H64" s="137">
        <f>IFERROR(INDEX(Model!$I$218:$BF$218,1,MATCH(Control!$B$7,Model!$I$5:$BF$5,0)),"")</f>
        <v>7556.41057503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IFERROR(INDEX(Model!$I$219:$BF$219,1,MATCH(Control!$B$7,Model!$I$5:$BF$5,0)),"")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IFERROR(INDEX(Model!$I$223:$BF$223,1,MATCH(Control!$B$7,Model!$I$5:$BF$5,0)),"")</f>
        <v>48591.51937482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IFERROR(INDEX(Model!$I$244:$BF$244,1,MATCH(Control!$B$7,Model!$I$5:$BF$5,0)),"")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IFERROR(INDEX(Model!$I$254:$BF$254,1,MATCH(Control!$B$7,Model!$I$5:$BF$5,0)),"")</f>
        <v>3938.39084761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IFERROR(INDEX(Model!$I$259:$BF$259,1,MATCH(Control!$B$7,Model!$I$5:$BF$5,0)),"")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IFERROR(INDEX(Model!$I$220:$BF$220,1,MATCH(Control!$B$7,Model!$I$5:$BF$5,0)),"")</f>
        <v>199.06820025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IFERROR(INDEX(Model!$I$241:$BF$241,1,MATCH(Control!$B$7,Model!$I$5:$BF$5,0)),"")</f>
        <v>1671.7366149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IFERROR(-INDEX(Model!$I$150:$BF$150,1,MATCH(Control!$B$7,Model!$I$5:$BF$5,0)),"")</f>
        <v>-18143.44610157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16524.3474473643</v>
      </c>
      <c r="E73" s="157" t="inlineStr">
        <is>
          <t>Less: Equity investments</t>
        </is>
      </c>
      <c r="H73" s="137">
        <f>IFERROR(-INDEX(Model!$I$167:$BF$167,1,MATCH(Control!$B$7,Model!$I$5:$BF$5,0)),"")</f>
        <v>-47.170816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43766.50869504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43766.50869504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43766.50869504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SIMH3) - fonte: Planilha de Fundamentos 2T26 do RI (ri.simpar.com.br &gt; Fundamentos e Planilhas): abas Consolidado (DRE e Balanco trimestrais)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SIMPAR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SIMH3) - fonte: Planilha de Fundamentos 2T26 do RI (ri.simpar.com.br &gt; Fundamentos e Planilhas): abas Consolidado (DRE e Balanco trimestrais)</t>
        </is>
      </c>
      <c r="D4" t="inlineStr">
        <is>
          <t>Last close (R$/share)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BRL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R$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8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IFERROR(-Model!AG80/AVERAGE(Model!AB98,Model!AG98),"")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0.061276411757976</v>
      </c>
      <c r="C18" s="247">
        <f>IF(B18="","",B18)</f>
        <v>0.061276411757976</v>
      </c>
      <c r="D18" s="247">
        <f>IF(C18="","",MAX(0,C18-0.5%))</f>
        <v>0.056276411757976</v>
      </c>
      <c r="E18" s="247">
        <f>IF(D18="","",MAX(0,D18-0.5%))</f>
        <v>0.051276411757976</v>
      </c>
      <c r="F18" s="247">
        <f>IF(E18="","",MAX(0,E18-0.5%))</f>
        <v>0.046276411757976</v>
      </c>
    </row>
    <row r="19" ht="15" customHeight="1">
      <c r="A19" t="inlineStr">
        <is>
          <t>Gross margin</t>
        </is>
      </c>
      <c r="B19" s="247">
        <f>IFERROR(AVERAGE(Model!AC61:AF61,Model!AH61:AI61),"")</f>
        <v>0.376505709833843</v>
      </c>
      <c r="C19" s="247">
        <f>IF(B19="","",B19)</f>
        <v>0.376505709833843</v>
      </c>
      <c r="D19" s="247">
        <f>IF(C19="","",C19)</f>
        <v>0.376505709833843</v>
      </c>
      <c r="E19" s="247">
        <f>IF(D19="","",D19)</f>
        <v>0.376505709833843</v>
      </c>
      <c r="F19" s="247">
        <f>IF(E19="","",E19)</f>
        <v>0.376505709833843</v>
      </c>
    </row>
    <row r="20" ht="15" customHeight="1">
      <c r="A20" t="inlineStr">
        <is>
          <t>SG&amp;A / Revenue</t>
        </is>
      </c>
      <c r="B20" s="247">
        <f>IFERROR(AVERAGE(Model!AC65:AF65,Model!AH65:AI65),"")</f>
        <v>0.0836076042155606</v>
      </c>
      <c r="C20" s="247">
        <f>IF(B20="","",B20)</f>
        <v>0.0836076042155606</v>
      </c>
      <c r="D20" s="247">
        <f>IF(C20="","",C20)</f>
        <v>0.0836076042155606</v>
      </c>
      <c r="E20" s="247">
        <f>IF(D20="","",D20)</f>
        <v>0.0836076042155606</v>
      </c>
      <c r="F20" s="247">
        <f>IF(E20="","",E20)</f>
        <v>0.0836076042155606</v>
      </c>
    </row>
    <row r="21" ht="15" customHeight="1">
      <c r="A21" t="inlineStr">
        <is>
          <t>D&amp;A / Revenue</t>
        </is>
      </c>
      <c r="B21" s="247">
        <f>IFERROR(AVERAGE(Model!AC77:AF77,Model!AH77:AI77),"")</f>
        <v>0.108199182828758</v>
      </c>
      <c r="C21" s="247">
        <f>IF(B21="","",B21)</f>
        <v>0.108199182828758</v>
      </c>
      <c r="D21" s="247">
        <f>IF(C21="","",C21)</f>
        <v>0.108199182828758</v>
      </c>
      <c r="E21" s="247">
        <f>IF(D21="","",D21)</f>
        <v>0.108199182828758</v>
      </c>
      <c r="F21" s="247">
        <f>IF(E21="","",E21)</f>
        <v>0.108199182828758</v>
      </c>
    </row>
    <row r="22" ht="15" customHeight="1">
      <c r="A22" t="inlineStr">
        <is>
          <t>Effective tax rate</t>
        </is>
      </c>
      <c r="B22" s="247">
        <f>IFERROR(AVERAGE(Model!AC138:AF138,Model!AH138:AI138),"")</f>
        <v>0.538949693778396</v>
      </c>
      <c r="C22" s="247">
        <f>IF(B22="","",B22)</f>
        <v>0.538949693778396</v>
      </c>
      <c r="D22" s="247">
        <f>IF(C22="","",C22)</f>
        <v>0.538949693778396</v>
      </c>
      <c r="E22" s="247">
        <f>IF(D22="","",D22)</f>
        <v>0.538949693778396</v>
      </c>
      <c r="F22" s="247">
        <f>IF(E22="","",E22)</f>
        <v>0.538949693778396</v>
      </c>
    </row>
    <row r="23" ht="15" customHeight="1">
      <c r="A23" t="inlineStr">
        <is>
          <t>Financial income / Revenue</t>
        </is>
      </c>
      <c r="B23" s="247">
        <f>IFERROR(AVERAGE(Model!AC129:AF129,Model!AH129:AI129)/AVERAGE(Model!AC15:AF15,Model!AH15:AI15),"")</f>
        <v>0.0511207486621319</v>
      </c>
      <c r="C23" s="247">
        <f>IF(B23="","",B23)</f>
        <v>0.0511207486621319</v>
      </c>
      <c r="D23" s="247">
        <f>IF(C23="","",C23)</f>
        <v>0.0511207486621319</v>
      </c>
      <c r="E23" s="247">
        <f>IF(D23="","",D23)</f>
        <v>0.0511207486621319</v>
      </c>
      <c r="F23" s="247">
        <f>IF(E23="","",E23)</f>
        <v>0.0511207486621319</v>
      </c>
    </row>
    <row r="24" ht="15" customHeight="1">
      <c r="A24" t="inlineStr">
        <is>
          <t>Capex / Revenue</t>
        </is>
      </c>
      <c r="B24" s="247">
        <f>IFERROR(-AVERAGE(Model!AC301:AF301,Model!AH301:AI301)/AVERAGE(Model!AC15:AF15,Model!AH15:AI15),"")</f>
        <v>0.146692919373321</v>
      </c>
      <c r="C24" s="247">
        <f>IF(B24="","",B24)</f>
        <v>0.146692919373321</v>
      </c>
      <c r="D24" s="247">
        <f>IF(C24="","",C24)</f>
        <v>0.146692919373321</v>
      </c>
      <c r="E24" s="247">
        <f>IF(D24="","",D24)</f>
        <v>0.146692919373321</v>
      </c>
      <c r="F24" s="247">
        <f>IF(E24="","",E24)</f>
        <v>0.146692919373321</v>
      </c>
    </row>
    <row r="25" ht="15" customHeight="1">
      <c r="A25" t="inlineStr">
        <is>
          <t>DSO</t>
        </is>
      </c>
      <c r="B25" s="249">
        <f>IFERROR(AVERAGE(Model!AC152:AF152,Model!AH152:AI152),0)</f>
        <v>64.6132946261732</v>
      </c>
      <c r="C25" s="249">
        <f>IF(B25="","",B25)</f>
        <v>64.6132946261732</v>
      </c>
      <c r="D25" s="249">
        <f>IF(C25="","",C25)</f>
        <v>64.6132946261732</v>
      </c>
      <c r="E25" s="249">
        <f>IF(D25="","",D25)</f>
        <v>64.6132946261732</v>
      </c>
      <c r="F25" s="249">
        <f>IF(E25="","",E25)</f>
        <v>64.6132946261732</v>
      </c>
    </row>
    <row r="26" ht="15" customHeight="1">
      <c r="A26" t="inlineStr">
        <is>
          <t>DIO</t>
        </is>
      </c>
      <c r="B26" s="249">
        <f>IFERROR(AVERAGE(Model!AC156:AF156,Model!AH156:AI156),0)</f>
        <v>37.9634972841163</v>
      </c>
      <c r="C26" s="249">
        <f>IF(B26="","",B26)</f>
        <v>37.9634972841163</v>
      </c>
      <c r="D26" s="249">
        <f>IF(C26="","",C26)</f>
        <v>37.9634972841163</v>
      </c>
      <c r="E26" s="249">
        <f>IF(D26="","",D26)</f>
        <v>37.9634972841163</v>
      </c>
      <c r="F26" s="249">
        <f>IF(E26="","",E26)</f>
        <v>37.9634972841163</v>
      </c>
    </row>
    <row r="27" ht="15" customHeight="1">
      <c r="A27" t="inlineStr">
        <is>
          <t>DPO</t>
        </is>
      </c>
      <c r="B27" s="249">
        <f>IFERROR(AVERAGE(Model!AC205:AF205,Model!AH205:AI205),0)</f>
        <v>100.418589649775</v>
      </c>
      <c r="C27" s="249">
        <f>IF(B27="","",B27)</f>
        <v>100.418589649775</v>
      </c>
      <c r="D27" s="249">
        <f>IF(C27="","",C27)</f>
        <v>100.418589649775</v>
      </c>
      <c r="E27" s="249">
        <f>IF(D27="","",D27)</f>
        <v>100.418589649775</v>
      </c>
      <c r="F27" s="249">
        <f>IF(E27="","",E27)</f>
        <v>100.418589649775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>SIMPAR (SIMH3) - fonte: Planilha de Fundamentos 2T26 do RI (ri.simpar.com.br &gt; Fundamentos e Planilhas): abas Consolidado (DRE e Balanco trimestrais), Fluxo de caixa (acumulado no ano) e abas das controladas. Moeda: BRL. Brutos JA EM R$ MILHOES (fato</t>
        </is>
      </c>
    </row>
    <row r="31">
      <c r="A31" t="inlineStr">
        <is>
          <t>Unit flow</t>
        </is>
      </c>
      <c r="B31" t="inlineStr">
        <is>
          <t>R$ mil na Inputs → R$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2026-10-16T15:40:49Z</dcterms:modified>
  <cp:lastModifiedBy>Lucas Nascimento</cp:lastModifiedBy>
  <cp:revision>0</cp:revision>
</cp:coreProperties>
</file>