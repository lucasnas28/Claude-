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>
    <definedName name="_Fill" hidden="1">#REF!</definedName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S2DocOpenMode" hidden="1">"AS2DocumentEdit"</definedName>
    <definedName name="AS2NamedRange" hidden="1">15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BalType" hidden="1">TRUE</definedName>
    <definedName name="beta_observed">Valuation!$D$93</definedName>
    <definedName name="beta_observed_unlevered">#REF!</definedName>
    <definedName name="beta_unlev_comps">#REF!</definedName>
    <definedName name="BG_Del" hidden="1">15</definedName>
    <definedName name="BG_Ins" hidden="1">4</definedName>
    <definedName name="BG_Mod" hidden="1">6</definedName>
    <definedName name="cirkbreak">#REF!</definedName>
    <definedName name="costdebtfirm">#REF!</definedName>
    <definedName name="costequity">#REF!</definedName>
    <definedName name="Debt">#REF!</definedName>
    <definedName name="debt_weight">#REF!</definedName>
    <definedName name="GrpAcct1" hidden="1">"5611"</definedName>
    <definedName name="GrpAcct2" hidden="1">"5612"</definedName>
    <definedName name="GrpLevel" hidden="1">2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last_close">Valuation!$G$7</definedName>
    <definedName name="Market_Equity">#REF!</definedName>
    <definedName name="midyear">#REF!</definedName>
    <definedName name="Net_Debt">#REF!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ange">#REF!</definedName>
    <definedName name="RowLevel" hidden="1">1</definedName>
    <definedName name="Stub_year_fraction">#REF!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_COLUMN_1" hidden="1">#REF!</definedName>
    <definedName name="XREF_COLUMN_10" hidden="1">#REF!</definedName>
    <definedName name="XREF_COLUMN_11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5" hidden="1">#REF!</definedName>
    <definedName name="XRefCopy15Row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3" hidden="1">#REF!</definedName>
    <definedName name="XRefCopy30Row" hidden="1">#REF!</definedName>
    <definedName name="XRefCopy31" hidden="1">#REF!</definedName>
    <definedName name="XRefCopy31Row" hidden="1">#REF!</definedName>
    <definedName name="XRefCopy33Row" hidden="1">#REF!</definedName>
    <definedName name="XRefCopy39" hidden="1">#REF!</definedName>
    <definedName name="XRefCopy4" hidden="1">#REF!</definedName>
    <definedName name="XRefCopy40Row" hidden="1">#REF!</definedName>
    <definedName name="XRefCopy43Row" hidden="1">#REF!</definedName>
    <definedName name="XRefCopy44Row" hidden="1">#REF!</definedName>
    <definedName name="XRefCopy49Row" hidden="1">#REF!</definedName>
    <definedName name="XRefCopy4Row" hidden="1">#REF!</definedName>
    <definedName name="XRefCopy5" hidden="1">#REF!</definedName>
    <definedName name="XRefCopy50Row" hidden="1">#REF!</definedName>
    <definedName name="XRefCopy51Row" hidden="1">#REF!</definedName>
    <definedName name="XRefCopy52Row" hidden="1">#REF!</definedName>
    <definedName name="XRefCopy53Row" hidden="1">#REF!</definedName>
    <definedName name="XRefCopy55Row" hidden="1">#REF!</definedName>
    <definedName name="XRefCopy56" hidden="1">#REF!</definedName>
    <definedName name="XRefCopy56Row" hidden="1">#REF!</definedName>
    <definedName name="XRefCopy5Row" hidden="1">#REF!</definedName>
    <definedName name="XRefCopy6" hidden="1">#REF!</definedName>
    <definedName name="XRefCopy61" hidden="1">#REF!</definedName>
    <definedName name="XRefCopy61Row" hidden="1">#REF!</definedName>
    <definedName name="XRefCopy63Row" hidden="1">#REF!</definedName>
    <definedName name="XRefCopy64Row" hidden="1">#REF!</definedName>
    <definedName name="XRefCopy65Row" hidden="1">#REF!</definedName>
    <definedName name="XRefCopy66" hidden="1">#REF!</definedName>
    <definedName name="XRefCopy66Row" hidden="1">#REF!</definedName>
    <definedName name="XRefCopy67Row" hidden="1">#REF!</definedName>
    <definedName name="XRefCopy68Row" hidden="1">#REF!</definedName>
    <definedName name="XRefCopy69Row" hidden="1">#REF!</definedName>
    <definedName name="XRefCopy6Row" hidden="1">#REF!</definedName>
    <definedName name="XRefCopy7" hidden="1">#REF!</definedName>
    <definedName name="XRefCopy70Row" hidden="1">#REF!</definedName>
    <definedName name="XRefCopy71Row" hidden="1">#REF!</definedName>
    <definedName name="XRefCopy72Row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Row" hidden="1">#REF!</definedName>
    <definedName name="XRefCopy8" hidden="1">#REF!</definedName>
    <definedName name="XRefCopy80Row" hidden="1">#REF!</definedName>
    <definedName name="XRefCopy81" hidden="1">#REF!</definedName>
    <definedName name="XRefCopy81Row" hidden="1">#REF!</definedName>
    <definedName name="XRefCopy82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</definedName>
    <definedName name="XRefPaste1" hidden="1">#REF!</definedName>
    <definedName name="XRefPaste10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Row" hidden="1">#REF!</definedName>
    <definedName name="XRefPaste105Row" hidden="1">#REF!</definedName>
    <definedName name="XRefPaste106" hidden="1">#REF!</definedName>
    <definedName name="XRefPaste106Row" hidden="1">#REF!</definedName>
    <definedName name="XRefPaste107Row" hidden="1">#REF!</definedName>
    <definedName name="XRefPaste108Row" hidden="1">#REF!</definedName>
    <definedName name="XRefPaste11" hidden="1">#REF!</definedName>
    <definedName name="XRefPaste111Row" hidden="1">#REF!</definedName>
    <definedName name="XRefPaste112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2" hidden="1">#REF!</definedName>
    <definedName name="XRefPaste120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4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6" hidden="1">#REF!</definedName>
    <definedName name="XRefPaste26Row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5" hidden="1">#REF!</definedName>
    <definedName name="XRefPaste35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Row" hidden="1">#REF!</definedName>
    <definedName name="XRefPaste5" hidden="1">#REF!</definedName>
    <definedName name="XRefPaste56Row" hidden="1">#REF!</definedName>
    <definedName name="XRefPaste57Row" hidden="1">#REF!</definedName>
    <definedName name="XRefPaste59Row" hidden="1">#REF!</definedName>
    <definedName name="XRefPaste5Row" hidden="1">#REF!</definedName>
    <definedName name="XRefPaste6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#REF!</definedName>
    <definedName name="XRefPaste7" hidden="1">#REF!</definedName>
    <definedName name="XRefPaste70Row" hidden="1">#REF!</definedName>
    <definedName name="XRefPaste71Row" hidden="1">#REF!</definedName>
    <definedName name="XRefPaste75Row" hidden="1">#REF!</definedName>
    <definedName name="XRefPaste7Row" hidden="1">#REF!</definedName>
    <definedName name="XRefPaste8" hidden="1">#REF!</definedName>
    <definedName name="XRefPaste9" hidden="1">#REF!</definedName>
    <definedName name="XRefPaste99Row" hidden="1">#REF!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  <definedName name="scenario" localSheetId="3">Valuation!$E$8</definedName>
  </definedNames>
  <calcPr calcId="191029" fullCalcOnLoad="1"/>
</workbook>
</file>

<file path=xl/styles.xml><?xml version="1.0" encoding="utf-8"?>
<styleSheet xmlns="http://schemas.openxmlformats.org/spreadsheetml/2006/main">
  <numFmts count="26">
    <numFmt numFmtId="164" formatCode="#,##0.0_);[Red]\(#,##0.0\)"/>
    <numFmt numFmtId="165" formatCode="[$-409]d\-mmm;@"/>
    <numFmt numFmtId="166" formatCode="[$-416]d\-mmm"/>
    <numFmt numFmtId="167" formatCode="[$-409]d\-mmm"/>
    <numFmt numFmtId="168" formatCode="#,##0_ ;[Red]\-#,##0\ "/>
    <numFmt numFmtId="169" formatCode="#,##0.0_ ;[Red]\-#,##0.0\ "/>
    <numFmt numFmtId="170" formatCode="0.0%"/>
    <numFmt numFmtId="171" formatCode="#,##0.0;[Red]#,##0.0"/>
    <numFmt numFmtId="172" formatCode="[$-409]d\-mmm\-yy;@"/>
    <numFmt numFmtId="173" formatCode="[$BRL]\ #,##0.00_);[Red]\([$BRL]\ #,##0.00\)"/>
    <numFmt numFmtId="174" formatCode="#,##0.0_);\(#,##0.0\)"/>
    <numFmt numFmtId="175" formatCode="#,##0.000_);\(#,##0.000\)"/>
    <numFmt numFmtId="176" formatCode="&quot;R$&quot;\ #,##0.00"/>
    <numFmt numFmtId="177" formatCode="#,##0.0\x"/>
    <numFmt numFmtId="178" formatCode="&quot;$&quot;#,##0.00_);\(&quot;$&quot;#,##0.00\)"/>
    <numFmt numFmtId="179" formatCode="#,##0.000_);[Red]\(#,##0.000\)"/>
    <numFmt numFmtId="180" formatCode="0.0\x"/>
    <numFmt numFmtId="181" formatCode="&quot;$&quot;#,##0.00_);[Red]\(&quot;$&quot;#,##0.00\)"/>
    <numFmt numFmtId="182" formatCode="&quot;$&quot;#,##0.0_);\(&quot;$&quot;#,##0.0\)"/>
    <numFmt numFmtId="183" formatCode="0.0%;\(0.0%\)"/>
    <numFmt numFmtId="184" formatCode="0.000"/>
    <numFmt numFmtId="185" formatCode="0.0"/>
    <numFmt numFmtId="186" formatCode="#,##0.0;(#,##0.0)"/>
    <numFmt numFmtId="187" formatCode="_(&quot;$&quot;* #,##0.00_);_(&quot;$&quot;* \(#,##0.00\);_(&quot;$&quot;* &quot;-&quot;??_);_(@_)"/>
    <numFmt numFmtId="188" formatCode="0_);\(0\)"/>
    <numFmt numFmtId="189" formatCode="#,##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Verdana"/>
      <family val="2"/>
      <color theme="1"/>
      <sz val="10"/>
    </font>
    <font>
      <name val="Arial"/>
      <family val="2"/>
      <sz val="10"/>
    </font>
    <font>
      <name val="Verdana"/>
      <family val="2"/>
      <b val="1"/>
      <color theme="1"/>
      <sz val="10"/>
    </font>
    <font>
      <name val="Verdana"/>
      <family val="2"/>
      <color rgb="FF0000FF"/>
      <sz val="10"/>
    </font>
    <font>
      <name val="Verdana"/>
      <family val="2"/>
      <b val="1"/>
      <color rgb="FFFFFFFF"/>
      <sz val="10"/>
    </font>
    <font>
      <name val="Calibri"/>
      <family val="2"/>
      <color indexed="8"/>
      <sz val="11"/>
    </font>
    <font>
      <name val="Verdana"/>
      <family val="2"/>
      <sz val="10"/>
    </font>
    <font>
      <name val="Verdana"/>
      <family val="2"/>
      <b val="1"/>
      <color theme="0"/>
      <sz val="10"/>
    </font>
    <font>
      <name val="Verdana"/>
      <family val="2"/>
      <color theme="0"/>
      <sz val="10"/>
    </font>
    <font>
      <name val="Verdana"/>
      <family val="2"/>
      <b val="1"/>
      <color indexed="9"/>
      <sz val="10"/>
    </font>
    <font>
      <name val="Arial"/>
      <family val="2"/>
      <b val="1"/>
      <sz val="8"/>
    </font>
    <font>
      <name val="Verdana"/>
      <family val="2"/>
      <color indexed="12"/>
      <sz val="10"/>
    </font>
    <font>
      <name val="Verdana"/>
      <family val="2"/>
      <b val="1"/>
      <sz val="10"/>
    </font>
    <font>
      <name val="Verdana"/>
      <family val="2"/>
      <b val="1"/>
      <color theme="0" tint="-0.0499893185216834"/>
      <sz val="10"/>
    </font>
    <font>
      <name val="Arial"/>
      <family val="2"/>
      <b val="1"/>
      <color indexed="63"/>
      <sz val="10"/>
    </font>
    <font>
      <name val="Verdana"/>
      <family val="2"/>
      <b val="1"/>
      <color indexed="63"/>
      <sz val="10"/>
    </font>
    <font>
      <name val="Verdana"/>
      <family val="2"/>
      <b val="1"/>
      <color indexed="12"/>
      <sz val="10"/>
    </font>
    <font>
      <name val="Verdana"/>
      <family val="2"/>
      <sz val="10"/>
      <u val="single"/>
    </font>
    <font>
      <name val="Verdana"/>
      <family val="2"/>
      <color indexed="17"/>
      <sz val="10"/>
    </font>
    <font>
      <name val="Arial"/>
      <family val="2"/>
      <sz val="8"/>
    </font>
    <font>
      <name val="Verdana"/>
      <family val="2"/>
      <i val="1"/>
      <color theme="1"/>
      <sz val="10"/>
    </font>
    <font>
      <color rgb="FF808080"/>
    </font>
    <font>
      <b val="1"/>
    </font>
    <font>
      <name val="Verdana"/>
      <color rgb="FF808080"/>
      <sz val="10"/>
    </font>
    <font>
      <name val="Verdana"/>
      <b val="1"/>
      <sz val="10"/>
    </font>
  </fonts>
  <fills count="1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22"/>
      </patternFill>
    </fill>
    <fill>
      <patternFill patternType="solid">
        <fgColor rgb="FFFFF2CC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/>
      <bottom style="thin">
        <color indexed="64"/>
      </bottom>
      <diagonal/>
    </border>
    <border>
      <left style="thin">
        <color indexed="13"/>
      </left>
      <right/>
      <top/>
      <bottom style="thin">
        <color indexed="64"/>
      </bottom>
      <diagonal/>
    </border>
    <border>
      <left style="medium">
        <color rgb="FF00B050"/>
      </left>
      <right style="thin">
        <color indexed="64"/>
      </right>
      <top style="medium">
        <color rgb="FF00B050"/>
      </top>
      <bottom style="medium">
        <color rgb="FF00B050"/>
      </bottom>
      <diagonal/>
    </border>
    <border>
      <left/>
      <right style="thin">
        <color indexed="64"/>
      </right>
      <top style="thin">
        <color indexed="13"/>
      </top>
      <bottom style="thin">
        <color indexed="13"/>
      </bottom>
      <diagonal/>
    </border>
    <border>
      <left/>
      <right style="thin">
        <color indexed="64"/>
      </right>
      <top style="thin">
        <color indexed="1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" fillId="0" borderId="0"/>
    <xf numFmtId="0" fontId="3" fillId="0" borderId="0"/>
    <xf numFmtId="0" fontId="1" fillId="0" borderId="0"/>
    <xf numFmtId="9" fontId="1" fillId="0" borderId="0"/>
    <xf numFmtId="43" fontId="7" fillId="0" borderId="0"/>
    <xf numFmtId="0" fontId="3" fillId="0" borderId="0"/>
    <xf numFmtId="14" fontId="12" fillId="0" borderId="3"/>
    <xf numFmtId="0" fontId="2" fillId="0" borderId="0"/>
    <xf numFmtId="9" fontId="2" fillId="0" borderId="0"/>
    <xf numFmtId="0" fontId="16" fillId="15" borderId="16"/>
    <xf numFmtId="187" fontId="3" fillId="0" borderId="0"/>
    <xf numFmtId="188" fontId="21" fillId="0" borderId="0"/>
  </cellStyleXfs>
  <cellXfs count="280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pivotButton="0" quotePrefix="0" xfId="1"/>
    <xf numFmtId="164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1"/>
    <xf numFmtId="164" fontId="5" fillId="2" borderId="0" applyAlignment="1" pivotButton="0" quotePrefix="0" xfId="0">
      <alignment horizontal="center"/>
    </xf>
    <xf numFmtId="165" fontId="5" fillId="2" borderId="0" applyAlignment="1" pivotButton="0" quotePrefix="0" xfId="0">
      <alignment horizontal="center"/>
    </xf>
    <xf numFmtId="166" fontId="4" fillId="3" borderId="0" applyAlignment="1" pivotButton="0" quotePrefix="0" xfId="2">
      <alignment horizontal="center"/>
    </xf>
    <xf numFmtId="167" fontId="5" fillId="4" borderId="0" applyAlignment="1" pivotButton="0" quotePrefix="0" xfId="2">
      <alignment horizontal="center"/>
    </xf>
    <xf numFmtId="166" fontId="2" fillId="3" borderId="0" applyAlignment="1" pivotButton="0" quotePrefix="0" xfId="2">
      <alignment horizontal="center"/>
    </xf>
    <xf numFmtId="168" fontId="2" fillId="0" borderId="0" applyAlignment="1" pivotButton="0" quotePrefix="0" xfId="2">
      <alignment horizontal="center"/>
    </xf>
    <xf numFmtId="0" fontId="6" fillId="6" borderId="0" applyAlignment="1" pivotButton="0" quotePrefix="0" xfId="1">
      <alignment horizontal="left"/>
    </xf>
    <xf numFmtId="0" fontId="4" fillId="0" borderId="0" applyAlignment="1" pivotButton="0" quotePrefix="0" xfId="0">
      <alignment horizontal="center"/>
    </xf>
    <xf numFmtId="0" fontId="4" fillId="3" borderId="0" pivotButton="0" quotePrefix="0" xfId="1"/>
    <xf numFmtId="164" fontId="4" fillId="7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8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4" fillId="9" borderId="0" pivotButton="0" quotePrefix="0" xfId="1"/>
    <xf numFmtId="164" fontId="4" fillId="8" borderId="0" applyAlignment="1" pivotButton="0" quotePrefix="0" xfId="0">
      <alignment horizontal="center"/>
    </xf>
    <xf numFmtId="164" fontId="2" fillId="8" borderId="0" applyAlignment="1" pivotButton="0" quotePrefix="0" xfId="0">
      <alignment horizontal="center"/>
    </xf>
    <xf numFmtId="0" fontId="4" fillId="8" borderId="0" pivotButton="0" quotePrefix="0" xfId="0"/>
    <xf numFmtId="169" fontId="2" fillId="3" borderId="0" applyAlignment="1" pivotButton="0" quotePrefix="0" xfId="1">
      <alignment horizontal="left"/>
    </xf>
    <xf numFmtId="164" fontId="2" fillId="7" borderId="0" applyAlignment="1" pivotButton="0" quotePrefix="0" xfId="0">
      <alignment horizontal="center"/>
    </xf>
    <xf numFmtId="0" fontId="2" fillId="3" borderId="0" applyAlignment="1" pivotButton="0" quotePrefix="0" xfId="1">
      <alignment horizontal="left"/>
    </xf>
    <xf numFmtId="0" fontId="4" fillId="3" borderId="0" applyAlignment="1" pivotButton="0" quotePrefix="0" xfId="1">
      <alignment horizontal="left"/>
    </xf>
    <xf numFmtId="0" fontId="2" fillId="3" borderId="1" applyAlignment="1" pivotButton="0" quotePrefix="0" xfId="1">
      <alignment horizontal="left"/>
    </xf>
    <xf numFmtId="0" fontId="2" fillId="3" borderId="0" pivotButton="0" quotePrefix="0" xfId="1"/>
    <xf numFmtId="0" fontId="2" fillId="3" borderId="1" pivotButton="0" quotePrefix="0" xfId="1"/>
    <xf numFmtId="0" fontId="4" fillId="5" borderId="0" applyAlignment="1" pivotButton="0" quotePrefix="0" xfId="2">
      <alignment horizontal="center"/>
    </xf>
    <xf numFmtId="169" fontId="2" fillId="0" borderId="0" applyAlignment="1" pivotButton="0" quotePrefix="0" xfId="1">
      <alignment horizontal="left"/>
    </xf>
    <xf numFmtId="170" fontId="2" fillId="9" borderId="0" pivotButton="0" quotePrefix="0" xfId="1"/>
    <xf numFmtId="0" fontId="2" fillId="0" borderId="0" applyAlignment="1" pivotButton="0" quotePrefix="0" xfId="1">
      <alignment horizontal="left"/>
    </xf>
    <xf numFmtId="168" fontId="5" fillId="4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/>
    </xf>
    <xf numFmtId="0" fontId="2" fillId="9" borderId="0" applyAlignment="1" pivotButton="0" quotePrefix="0" xfId="1">
      <alignment horizontal="left"/>
    </xf>
    <xf numFmtId="0" fontId="2" fillId="8" borderId="0" pivotButton="0" quotePrefix="0" xfId="0"/>
    <xf numFmtId="170" fontId="2" fillId="0" borderId="0" applyAlignment="1" pivotButton="0" quotePrefix="0" xfId="0">
      <alignment horizontal="center"/>
    </xf>
    <xf numFmtId="169" fontId="2" fillId="9" borderId="0" applyAlignment="1" pivotButton="0" quotePrefix="0" xfId="1">
      <alignment horizontal="left"/>
    </xf>
    <xf numFmtId="40" fontId="2" fillId="0" borderId="0" applyAlignment="1" pivotButton="0" quotePrefix="0" xfId="0">
      <alignment horizontal="center"/>
    </xf>
    <xf numFmtId="38" fontId="2" fillId="0" borderId="0" applyAlignment="1" pivotButton="0" quotePrefix="0" xfId="0">
      <alignment horizontal="center"/>
    </xf>
    <xf numFmtId="10" fontId="5" fillId="4" borderId="0" applyAlignment="1" pivotButton="0" quotePrefix="0" xfId="0">
      <alignment horizontal="center"/>
    </xf>
    <xf numFmtId="170" fontId="5" fillId="4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9" fontId="2" fillId="8" borderId="0" applyAlignment="1" pivotButton="0" quotePrefix="0" xfId="3">
      <alignment horizontal="center"/>
    </xf>
    <xf numFmtId="9" fontId="2" fillId="0" borderId="0" applyAlignment="1" pivotButton="0" quotePrefix="0" xfId="3">
      <alignment horizontal="center"/>
    </xf>
    <xf numFmtId="165" fontId="5" fillId="0" borderId="0" applyAlignment="1" pivotButton="0" quotePrefix="0" xfId="0">
      <alignment horizontal="center"/>
    </xf>
    <xf numFmtId="0" fontId="2" fillId="0" borderId="0" applyAlignment="1" pivotButton="0" quotePrefix="0" xfId="2">
      <alignment horizontal="center"/>
    </xf>
    <xf numFmtId="171" fontId="2" fillId="0" borderId="0" pivotButton="0" quotePrefix="0" xfId="0"/>
    <xf numFmtId="0" fontId="8" fillId="9" borderId="0" applyAlignment="1" pivotButton="0" quotePrefix="0" xfId="1">
      <alignment horizontal="left"/>
    </xf>
    <xf numFmtId="0" fontId="9" fillId="10" borderId="0" pivotButton="0" quotePrefix="0" xfId="0"/>
    <xf numFmtId="170" fontId="2" fillId="8" borderId="0" applyAlignment="1" pivotButton="0" quotePrefix="0" xfId="3">
      <alignment horizontal="center"/>
    </xf>
    <xf numFmtId="170" fontId="5" fillId="4" borderId="0" applyAlignment="1" pivotButton="0" quotePrefix="0" xfId="3">
      <alignment horizontal="center"/>
    </xf>
    <xf numFmtId="170" fontId="2" fillId="0" borderId="0" applyAlignment="1" pivotButton="0" quotePrefix="0" xfId="3">
      <alignment horizontal="center"/>
    </xf>
    <xf numFmtId="170" fontId="2" fillId="9" borderId="0" applyAlignment="1" pivotButton="0" quotePrefix="0" xfId="1">
      <alignment horizontal="left"/>
    </xf>
    <xf numFmtId="0" fontId="11" fillId="0" borderId="0" pivotButton="0" quotePrefix="0" xfId="5"/>
    <xf numFmtId="0" fontId="8" fillId="0" borderId="0" pivotButton="0" quotePrefix="0" xfId="5"/>
    <xf numFmtId="0" fontId="8" fillId="0" borderId="2" pivotButton="0" quotePrefix="0" xfId="5"/>
    <xf numFmtId="172" fontId="13" fillId="2" borderId="4" applyAlignment="1" pivotButton="0" quotePrefix="0" xfId="6">
      <alignment horizontal="center"/>
    </xf>
    <xf numFmtId="173" fontId="5" fillId="2" borderId="0" applyAlignment="1" pivotButton="0" quotePrefix="0" xfId="5">
      <alignment horizontal="center"/>
    </xf>
    <xf numFmtId="170" fontId="8" fillId="0" borderId="0" applyAlignment="1" pivotButton="0" quotePrefix="0" xfId="5">
      <alignment horizontal="right"/>
    </xf>
    <xf numFmtId="172" fontId="13" fillId="2" borderId="4" applyAlignment="1" pivotButton="0" quotePrefix="0" xfId="6">
      <alignment horizontal="right"/>
    </xf>
    <xf numFmtId="170" fontId="8" fillId="0" borderId="0" applyAlignment="1" pivotButton="0" quotePrefix="0" xfId="5">
      <alignment horizontal="center"/>
    </xf>
    <xf numFmtId="174" fontId="13" fillId="0" borderId="0" applyAlignment="1" pivotButton="0" quotePrefix="0" xfId="5">
      <alignment horizontal="center"/>
    </xf>
    <xf numFmtId="175" fontId="8" fillId="0" borderId="0" applyAlignment="1" pivotButton="0" quotePrefix="0" xfId="5">
      <alignment horizontal="center"/>
    </xf>
    <xf numFmtId="0" fontId="14" fillId="0" borderId="0" pivotButton="0" quotePrefix="0" xfId="5"/>
    <xf numFmtId="176" fontId="8" fillId="0" borderId="0" pivotButton="0" quotePrefix="0" xfId="5"/>
    <xf numFmtId="0" fontId="4" fillId="11" borderId="0" pivotButton="0" quotePrefix="0" xfId="5"/>
    <xf numFmtId="0" fontId="4" fillId="11" borderId="3" pivotButton="0" quotePrefix="0" xfId="5"/>
    <xf numFmtId="0" fontId="9" fillId="12" borderId="3" applyAlignment="1" pivotButton="0" quotePrefix="0" xfId="5">
      <alignment horizontal="centerContinuous"/>
    </xf>
    <xf numFmtId="0" fontId="10" fillId="12" borderId="3" applyAlignment="1" pivotButton="0" quotePrefix="0" xfId="5">
      <alignment horizontal="centerContinuous"/>
    </xf>
    <xf numFmtId="0" fontId="9" fillId="13" borderId="3" applyAlignment="1" pivotButton="0" quotePrefix="0" xfId="5">
      <alignment horizontal="centerContinuous"/>
    </xf>
    <xf numFmtId="0" fontId="10" fillId="13" borderId="3" applyAlignment="1" pivotButton="0" quotePrefix="0" xfId="5">
      <alignment horizontal="centerContinuous"/>
    </xf>
    <xf numFmtId="0" fontId="14" fillId="0" borderId="0" applyAlignment="1" pivotButton="0" quotePrefix="0" xfId="5">
      <alignment horizontal="center"/>
    </xf>
    <xf numFmtId="0" fontId="8" fillId="0" borderId="0" applyAlignment="1" pivotButton="0" quotePrefix="0" xfId="5">
      <alignment horizontal="center"/>
    </xf>
    <xf numFmtId="1" fontId="14" fillId="0" borderId="0" applyAlignment="1" pivotButton="0" quotePrefix="0" xfId="5">
      <alignment horizontal="center"/>
    </xf>
    <xf numFmtId="0" fontId="8" fillId="0" borderId="3" pivotButton="0" quotePrefix="0" xfId="5"/>
    <xf numFmtId="165" fontId="8" fillId="0" borderId="3" applyAlignment="1" pivotButton="0" quotePrefix="0" xfId="5">
      <alignment horizontal="center"/>
    </xf>
    <xf numFmtId="165" fontId="8" fillId="0" borderId="0" applyAlignment="1" pivotButton="0" quotePrefix="0" xfId="5">
      <alignment horizontal="center"/>
    </xf>
    <xf numFmtId="0" fontId="8" fillId="0" borderId="5" pivotButton="0" quotePrefix="0" xfId="5"/>
    <xf numFmtId="174" fontId="8" fillId="14" borderId="6" applyAlignment="1" pivotButton="0" quotePrefix="0" xfId="5">
      <alignment horizontal="center"/>
    </xf>
    <xf numFmtId="174" fontId="8" fillId="14" borderId="7" applyAlignment="1" pivotButton="0" quotePrefix="0" xfId="5">
      <alignment horizontal="center"/>
    </xf>
    <xf numFmtId="170" fontId="14" fillId="0" borderId="0" applyAlignment="1" pivotButton="0" quotePrefix="0" xfId="8">
      <alignment horizontal="center"/>
    </xf>
    <xf numFmtId="0" fontId="8" fillId="0" borderId="8" pivotButton="0" quotePrefix="0" xfId="5"/>
    <xf numFmtId="170" fontId="14" fillId="0" borderId="3" applyAlignment="1" pivotButton="0" quotePrefix="0" xfId="8">
      <alignment horizontal="center"/>
    </xf>
    <xf numFmtId="170" fontId="14" fillId="0" borderId="9" applyAlignment="1" pivotButton="0" quotePrefix="0" xfId="8">
      <alignment horizontal="center"/>
    </xf>
    <xf numFmtId="174" fontId="8" fillId="0" borderId="5" pivotButton="0" quotePrefix="0" xfId="5"/>
    <xf numFmtId="0" fontId="8" fillId="0" borderId="6" pivotButton="0" quotePrefix="0" xfId="5"/>
    <xf numFmtId="0" fontId="8" fillId="0" borderId="7" pivotButton="0" quotePrefix="0" xfId="5"/>
    <xf numFmtId="170" fontId="8" fillId="0" borderId="3" applyAlignment="1" pivotButton="0" quotePrefix="0" xfId="8">
      <alignment horizontal="center"/>
    </xf>
    <xf numFmtId="0" fontId="8" fillId="0" borderId="9" pivotButton="0" quotePrefix="0" xfId="5"/>
    <xf numFmtId="170" fontId="8" fillId="0" borderId="9" applyAlignment="1" pivotButton="0" quotePrefix="0" xfId="8">
      <alignment horizontal="center"/>
    </xf>
    <xf numFmtId="170" fontId="8" fillId="14" borderId="6" applyAlignment="1" pivotButton="0" quotePrefix="0" xfId="5">
      <alignment horizontal="center"/>
    </xf>
    <xf numFmtId="170" fontId="8" fillId="14" borderId="7" applyAlignment="1" pivotButton="0" quotePrefix="0" xfId="5">
      <alignment horizontal="center"/>
    </xf>
    <xf numFmtId="174" fontId="8" fillId="0" borderId="3" applyAlignment="1" pivotButton="0" quotePrefix="0" xfId="5">
      <alignment horizontal="center"/>
    </xf>
    <xf numFmtId="174" fontId="8" fillId="0" borderId="9" applyAlignment="1" pivotButton="0" quotePrefix="0" xfId="5">
      <alignment horizontal="center"/>
    </xf>
    <xf numFmtId="174" fontId="8" fillId="0" borderId="10" applyAlignment="1" pivotButton="0" quotePrefix="0" xfId="5">
      <alignment horizontal="left"/>
    </xf>
    <xf numFmtId="174" fontId="8" fillId="14" borderId="11" applyAlignment="1" pivotButton="0" quotePrefix="0" xfId="5">
      <alignment horizontal="center"/>
    </xf>
    <xf numFmtId="174" fontId="8" fillId="14" borderId="12" applyAlignment="1" pivotButton="0" quotePrefix="0" xfId="5">
      <alignment horizontal="center"/>
    </xf>
    <xf numFmtId="174" fontId="8" fillId="0" borderId="5" applyAlignment="1" pivotButton="0" quotePrefix="0" xfId="5">
      <alignment horizontal="left"/>
    </xf>
    <xf numFmtId="174" fontId="8" fillId="0" borderId="6" applyAlignment="1" pivotButton="0" quotePrefix="0" xfId="5">
      <alignment horizontal="center"/>
    </xf>
    <xf numFmtId="174" fontId="8" fillId="0" borderId="7" applyAlignment="1" pivotButton="0" quotePrefix="0" xfId="5">
      <alignment horizontal="center"/>
    </xf>
    <xf numFmtId="174" fontId="8" fillId="0" borderId="13" applyAlignment="1" pivotButton="0" quotePrefix="0" xfId="5">
      <alignment horizontal="left"/>
    </xf>
    <xf numFmtId="174" fontId="8" fillId="14" borderId="0" applyAlignment="1" pivotButton="0" quotePrefix="0" xfId="5">
      <alignment horizontal="center"/>
    </xf>
    <xf numFmtId="174" fontId="8" fillId="14" borderId="14" applyAlignment="1" pivotButton="0" quotePrefix="0" xfId="5">
      <alignment horizontal="center"/>
    </xf>
    <xf numFmtId="174" fontId="8" fillId="0" borderId="8" applyAlignment="1" pivotButton="0" quotePrefix="0" xfId="5">
      <alignment horizontal="left"/>
    </xf>
    <xf numFmtId="174" fontId="8" fillId="14" borderId="3" applyAlignment="1" pivotButton="0" quotePrefix="0" xfId="5">
      <alignment horizontal="center"/>
    </xf>
    <xf numFmtId="174" fontId="8" fillId="14" borderId="9" applyAlignment="1" pivotButton="0" quotePrefix="0" xfId="5">
      <alignment horizontal="center"/>
    </xf>
    <xf numFmtId="174" fontId="8" fillId="0" borderId="0" applyAlignment="1" pivotButton="0" quotePrefix="0" xfId="5">
      <alignment horizontal="center"/>
    </xf>
    <xf numFmtId="174" fontId="8" fillId="0" borderId="15" applyAlignment="1" pivotButton="0" quotePrefix="0" xfId="5">
      <alignment horizontal="center"/>
    </xf>
    <xf numFmtId="0" fontId="8" fillId="0" borderId="13" pivotButton="0" quotePrefix="0" xfId="5"/>
    <xf numFmtId="0" fontId="8" fillId="0" borderId="14" pivotButton="0" quotePrefix="0" xfId="5"/>
    <xf numFmtId="174" fontId="2" fillId="0" borderId="0" applyAlignment="1" pivotButton="0" quotePrefix="0" xfId="5">
      <alignment horizontal="center"/>
    </xf>
    <xf numFmtId="174" fontId="2" fillId="0" borderId="14" applyAlignment="1" pivotButton="0" quotePrefix="0" xfId="5">
      <alignment horizontal="center"/>
    </xf>
    <xf numFmtId="170" fontId="5" fillId="2" borderId="3" applyAlignment="1" pivotButton="0" quotePrefix="0" xfId="8">
      <alignment horizontal="center"/>
    </xf>
    <xf numFmtId="170" fontId="5" fillId="2" borderId="9" applyAlignment="1" pivotButton="0" quotePrefix="0" xfId="8">
      <alignment horizontal="center"/>
    </xf>
    <xf numFmtId="0" fontId="14" fillId="0" borderId="10" pivotButton="0" quotePrefix="0" xfId="5"/>
    <xf numFmtId="170" fontId="14" fillId="14" borderId="11" applyAlignment="1" pivotButton="0" quotePrefix="0" xfId="5">
      <alignment horizontal="center"/>
    </xf>
    <xf numFmtId="170" fontId="14" fillId="0" borderId="11" applyAlignment="1" pivotButton="0" quotePrefix="0" xfId="8">
      <alignment horizontal="center"/>
    </xf>
    <xf numFmtId="170" fontId="14" fillId="0" borderId="12" applyAlignment="1" pivotButton="0" quotePrefix="0" xfId="8">
      <alignment horizontal="center"/>
    </xf>
    <xf numFmtId="170" fontId="14" fillId="0" borderId="0" applyAlignment="1" pivotButton="0" quotePrefix="0" xfId="5">
      <alignment horizontal="center"/>
    </xf>
    <xf numFmtId="177" fontId="8" fillId="0" borderId="0" applyAlignment="1" pivotButton="0" quotePrefix="0" xfId="7">
      <alignment horizontal="center" vertical="center"/>
    </xf>
    <xf numFmtId="174" fontId="14" fillId="0" borderId="0" applyAlignment="1" pivotButton="0" quotePrefix="0" xfId="5">
      <alignment horizontal="center"/>
    </xf>
    <xf numFmtId="174" fontId="17" fillId="0" borderId="16" applyAlignment="1" pivotButton="0" quotePrefix="0" xfId="9">
      <alignment horizontal="center"/>
    </xf>
    <xf numFmtId="0" fontId="8" fillId="0" borderId="0" applyAlignment="1" pivotButton="0" quotePrefix="0" xfId="5">
      <alignment horizontal="left" indent="1"/>
    </xf>
    <xf numFmtId="40" fontId="8" fillId="0" borderId="0" applyAlignment="1" pivotButton="0" quotePrefix="0" xfId="5">
      <alignment horizontal="center"/>
    </xf>
    <xf numFmtId="40" fontId="17" fillId="0" borderId="16" applyAlignment="1" pivotButton="0" quotePrefix="0" xfId="9">
      <alignment horizontal="center"/>
    </xf>
    <xf numFmtId="10" fontId="8" fillId="0" borderId="0" pivotButton="0" quotePrefix="0" xfId="5"/>
    <xf numFmtId="174" fontId="14" fillId="0" borderId="0" pivotButton="0" quotePrefix="0" xfId="5"/>
    <xf numFmtId="175" fontId="8" fillId="0" borderId="0" pivotButton="0" quotePrefix="0" xfId="5"/>
    <xf numFmtId="0" fontId="4" fillId="11" borderId="5" pivotButton="0" quotePrefix="0" xfId="5"/>
    <xf numFmtId="170" fontId="2" fillId="11" borderId="7" applyAlignment="1" pivotButton="0" quotePrefix="0" xfId="5">
      <alignment horizontal="center"/>
    </xf>
    <xf numFmtId="0" fontId="4" fillId="11" borderId="6" pivotButton="0" quotePrefix="0" xfId="5"/>
    <xf numFmtId="0" fontId="2" fillId="11" borderId="6" pivotButton="0" quotePrefix="0" xfId="5"/>
    <xf numFmtId="0" fontId="4" fillId="11" borderId="17" pivotButton="0" quotePrefix="0" xfId="5"/>
    <xf numFmtId="170" fontId="2" fillId="11" borderId="18" applyAlignment="1" pivotButton="0" quotePrefix="0" xfId="5">
      <alignment horizontal="center"/>
    </xf>
    <xf numFmtId="0" fontId="2" fillId="11" borderId="18" pivotButton="0" quotePrefix="0" xfId="5"/>
    <xf numFmtId="0" fontId="2" fillId="11" borderId="19" pivotButton="0" quotePrefix="0" xfId="5"/>
    <xf numFmtId="0" fontId="14" fillId="0" borderId="13" applyAlignment="1" pivotButton="0" quotePrefix="0" xfId="5">
      <alignment horizontal="left" indent="1"/>
    </xf>
    <xf numFmtId="174" fontId="8" fillId="0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left" indent="1"/>
    </xf>
    <xf numFmtId="0" fontId="8" fillId="0" borderId="13" applyAlignment="1" pivotButton="0" quotePrefix="0" xfId="5">
      <alignment horizontal="left" indent="1"/>
    </xf>
    <xf numFmtId="174" fontId="2" fillId="14" borderId="14" applyAlignment="1" pivotButton="0" quotePrefix="0" xfId="5">
      <alignment horizontal="center"/>
    </xf>
    <xf numFmtId="170" fontId="18" fillId="2" borderId="14" applyAlignment="1" pivotButton="0" quotePrefix="0" xfId="5">
      <alignment horizontal="center"/>
    </xf>
    <xf numFmtId="0" fontId="19" fillId="0" borderId="0" applyAlignment="1" pivotButton="0" quotePrefix="0" xfId="5">
      <alignment horizontal="left" indent="1"/>
    </xf>
    <xf numFmtId="178" fontId="2" fillId="14" borderId="14" applyAlignment="1" pivotButton="0" quotePrefix="0" xfId="6">
      <alignment horizontal="center"/>
    </xf>
    <xf numFmtId="170" fontId="4" fillId="0" borderId="20" applyAlignment="1" pivotButton="0" quotePrefix="0" xfId="0">
      <alignment horizontal="center"/>
    </xf>
    <xf numFmtId="0" fontId="8" fillId="0" borderId="3" applyAlignment="1" pivotButton="0" quotePrefix="0" xfId="5">
      <alignment horizontal="left" indent="1"/>
    </xf>
    <xf numFmtId="0" fontId="8" fillId="0" borderId="9" applyAlignment="1" pivotButton="0" quotePrefix="0" xfId="5">
      <alignment horizontal="right" indent="1"/>
    </xf>
    <xf numFmtId="174" fontId="14" fillId="0" borderId="14" applyAlignment="1" pivotButton="0" quotePrefix="0" xfId="5">
      <alignment horizontal="center"/>
    </xf>
    <xf numFmtId="0" fontId="8" fillId="0" borderId="3" applyAlignment="1" pivotButton="0" quotePrefix="0" xfId="5">
      <alignment horizontal="right"/>
    </xf>
    <xf numFmtId="179" fontId="13" fillId="2" borderId="21" pivotButton="0" quotePrefix="0" xfId="5"/>
    <xf numFmtId="178" fontId="13" fillId="2" borderId="22" pivotButton="0" quotePrefix="0" xfId="10"/>
    <xf numFmtId="175" fontId="8" fillId="0" borderId="14" applyAlignment="1" pivotButton="0" quotePrefix="0" xfId="5">
      <alignment horizontal="right" indent="1"/>
    </xf>
    <xf numFmtId="179" fontId="13" fillId="2" borderId="23" pivotButton="0" quotePrefix="0" xfId="5"/>
    <xf numFmtId="178" fontId="13" fillId="2" borderId="24" pivotButton="0" quotePrefix="0" xfId="10"/>
    <xf numFmtId="174" fontId="8" fillId="0" borderId="14" applyAlignment="1" pivotButton="0" quotePrefix="0" xfId="5">
      <alignment horizontal="center"/>
    </xf>
    <xf numFmtId="179" fontId="13" fillId="2" borderId="25" pivotButton="0" quotePrefix="0" xfId="5"/>
    <xf numFmtId="178" fontId="13" fillId="2" borderId="26" pivotButton="0" quotePrefix="0" xfId="10"/>
    <xf numFmtId="175" fontId="8" fillId="0" borderId="9" applyAlignment="1" pivotButton="0" quotePrefix="0" xfId="5">
      <alignment horizontal="right" indent="1"/>
    </xf>
    <xf numFmtId="180" fontId="13" fillId="2" borderId="14" applyAlignment="1" pivotButton="0" quotePrefix="0" xfId="5">
      <alignment horizontal="center"/>
    </xf>
    <xf numFmtId="181" fontId="8" fillId="0" borderId="0" applyAlignment="1" pivotButton="0" quotePrefix="0" xfId="5">
      <alignment horizontal="right"/>
    </xf>
    <xf numFmtId="182" fontId="8" fillId="0" borderId="14" applyAlignment="1" pivotButton="0" quotePrefix="0" xfId="5">
      <alignment horizontal="right" indent="1"/>
    </xf>
    <xf numFmtId="0" fontId="8" fillId="0" borderId="0" applyAlignment="1" pivotButton="0" quotePrefix="0" xfId="5">
      <alignment horizontal="right"/>
    </xf>
    <xf numFmtId="174" fontId="20" fillId="0" borderId="0" pivotButton="0" quotePrefix="0" xfId="5"/>
    <xf numFmtId="174" fontId="8" fillId="0" borderId="14" pivotButton="0" quotePrefix="0" xfId="5"/>
    <xf numFmtId="178" fontId="14" fillId="0" borderId="27" applyAlignment="1" pivotButton="0" quotePrefix="0" xfId="5">
      <alignment horizontal="center"/>
    </xf>
    <xf numFmtId="179" fontId="13" fillId="2" borderId="28" applyAlignment="1" pivotButton="0" quotePrefix="0" xfId="5">
      <alignment horizontal="right" indent="1"/>
    </xf>
    <xf numFmtId="0" fontId="8" fillId="0" borderId="14" applyAlignment="1" pivotButton="0" quotePrefix="0" xfId="5">
      <alignment horizontal="right" indent="1"/>
    </xf>
    <xf numFmtId="178" fontId="14" fillId="0" borderId="14" applyAlignment="1" pivotButton="0" quotePrefix="0" xfId="5">
      <alignment horizontal="center"/>
    </xf>
    <xf numFmtId="179" fontId="13" fillId="2" borderId="29" applyAlignment="1" pivotButton="0" quotePrefix="0" xfId="5">
      <alignment horizontal="right" indent="1"/>
    </xf>
    <xf numFmtId="37" fontId="13" fillId="2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right"/>
    </xf>
    <xf numFmtId="174" fontId="14" fillId="0" borderId="14" applyAlignment="1" pivotButton="0" quotePrefix="0" xfId="11">
      <alignment horizontal="right" indent="1"/>
    </xf>
    <xf numFmtId="0" fontId="8" fillId="0" borderId="8" applyAlignment="1" pivotButton="0" quotePrefix="0" xfId="5">
      <alignment horizontal="left" indent="1"/>
    </xf>
    <xf numFmtId="170" fontId="8" fillId="0" borderId="9" applyAlignment="1" pivotButton="0" quotePrefix="0" xfId="5">
      <alignment horizontal="right" indent="1"/>
    </xf>
    <xf numFmtId="0" fontId="4" fillId="11" borderId="2" pivotButton="0" quotePrefix="0" xfId="5"/>
    <xf numFmtId="170" fontId="2" fillId="11" borderId="2" applyAlignment="1" pivotButton="0" quotePrefix="0" xfId="5">
      <alignment horizontal="center"/>
    </xf>
    <xf numFmtId="0" fontId="2" fillId="11" borderId="2" pivotButton="0" quotePrefix="0" xfId="5"/>
    <xf numFmtId="0" fontId="14" fillId="0" borderId="3" pivotButton="0" quotePrefix="0" xfId="5"/>
    <xf numFmtId="170" fontId="13" fillId="2" borderId="0" applyAlignment="1" pivotButton="0" quotePrefix="0" xfId="5">
      <alignment horizontal="center"/>
    </xf>
    <xf numFmtId="0" fontId="14" fillId="0" borderId="3" applyAlignment="1" pivotButton="0" quotePrefix="0" xfId="5">
      <alignment horizontal="centerContinuous"/>
    </xf>
    <xf numFmtId="0" fontId="14" fillId="0" borderId="10" applyAlignment="1" pivotButton="0" quotePrefix="0" xfId="5">
      <alignment horizontal="centerContinuous"/>
    </xf>
    <xf numFmtId="0" fontId="14" fillId="0" borderId="11" applyAlignment="1" pivotButton="0" quotePrefix="0" xfId="5">
      <alignment horizontal="centerContinuous"/>
    </xf>
    <xf numFmtId="0" fontId="8" fillId="0" borderId="11" applyAlignment="1" pivotButton="0" quotePrefix="0" xfId="5">
      <alignment horizontal="right"/>
    </xf>
    <xf numFmtId="174" fontId="8" fillId="0" borderId="0" pivotButton="0" quotePrefix="0" xfId="5"/>
    <xf numFmtId="9" fontId="8" fillId="0" borderId="0" pivotButton="0" quotePrefix="0" xfId="5"/>
    <xf numFmtId="183" fontId="8" fillId="0" borderId="0" applyAlignment="1" pivotButton="0" quotePrefix="0" xfId="5">
      <alignment horizontal="center"/>
    </xf>
    <xf numFmtId="174" fontId="8" fillId="0" borderId="0" applyAlignment="1" pivotButton="0" quotePrefix="0" xfId="5">
      <alignment horizontal="right"/>
    </xf>
    <xf numFmtId="184" fontId="8" fillId="0" borderId="0" pivotButton="0" quotePrefix="0" xfId="5"/>
    <xf numFmtId="174" fontId="19" fillId="0" borderId="0" applyAlignment="1" pivotButton="0" quotePrefix="0" xfId="5">
      <alignment horizontal="right"/>
    </xf>
    <xf numFmtId="0" fontId="19" fillId="0" borderId="0" applyAlignment="1" pivotButton="0" quotePrefix="0" xfId="5">
      <alignment horizontal="right"/>
    </xf>
    <xf numFmtId="39" fontId="13" fillId="2" borderId="0" applyAlignment="1" pivotButton="0" quotePrefix="0" xfId="5">
      <alignment horizontal="center"/>
    </xf>
    <xf numFmtId="0" fontId="14" fillId="0" borderId="0" pivotButton="0" quotePrefix="1" xfId="5"/>
    <xf numFmtId="0" fontId="14" fillId="0" borderId="3" applyAlignment="1" pivotButton="0" quotePrefix="0" xfId="5">
      <alignment horizontal="left" wrapText="1"/>
    </xf>
    <xf numFmtId="0" fontId="14" fillId="0" borderId="3" applyAlignment="1" pivotButton="0" quotePrefix="0" xfId="5">
      <alignment horizontal="center" wrapText="1"/>
    </xf>
    <xf numFmtId="39" fontId="8" fillId="0" borderId="0" applyAlignment="1" pivotButton="0" quotePrefix="0" xfId="5">
      <alignment horizontal="center"/>
    </xf>
    <xf numFmtId="178" fontId="8" fillId="0" borderId="0" applyAlignment="1" pivotButton="0" quotePrefix="0" xfId="5">
      <alignment horizontal="center"/>
    </xf>
    <xf numFmtId="10" fontId="8" fillId="0" borderId="0" applyAlignment="1" pivotButton="0" quotePrefix="0" xfId="5">
      <alignment horizontal="center"/>
    </xf>
    <xf numFmtId="2" fontId="8" fillId="0" borderId="0" applyAlignment="1" pivotButton="0" quotePrefix="0" xfId="5">
      <alignment horizontal="center"/>
    </xf>
    <xf numFmtId="39" fontId="13" fillId="2" borderId="0" applyAlignment="1" pivotButton="0" quotePrefix="0" xfId="5">
      <alignment horizontal="left"/>
    </xf>
    <xf numFmtId="178" fontId="13" fillId="2" borderId="0" applyAlignment="1" pivotButton="0" quotePrefix="0" xfId="5">
      <alignment horizontal="center"/>
    </xf>
    <xf numFmtId="174" fontId="13" fillId="2" borderId="0" applyAlignment="1" pivotButton="0" quotePrefix="0" xfId="5">
      <alignment horizontal="center"/>
    </xf>
    <xf numFmtId="10" fontId="13" fillId="2" borderId="0" applyAlignment="1" pivotButton="0" quotePrefix="0" xfId="5">
      <alignment horizontal="center"/>
    </xf>
    <xf numFmtId="39" fontId="13" fillId="2" borderId="3" applyAlignment="1" pivotButton="0" quotePrefix="0" xfId="5">
      <alignment horizontal="left"/>
    </xf>
    <xf numFmtId="39" fontId="13" fillId="2" borderId="3" applyAlignment="1" pivotButton="0" quotePrefix="0" xfId="5">
      <alignment horizontal="center"/>
    </xf>
    <xf numFmtId="178" fontId="13" fillId="2" borderId="3" applyAlignment="1" pivotButton="0" quotePrefix="0" xfId="5">
      <alignment horizontal="center"/>
    </xf>
    <xf numFmtId="174" fontId="13" fillId="2" borderId="3" applyAlignment="1" pivotButton="0" quotePrefix="0" xfId="5">
      <alignment horizontal="center"/>
    </xf>
    <xf numFmtId="10" fontId="8" fillId="0" borderId="3" applyAlignment="1" pivotButton="0" quotePrefix="0" xfId="5">
      <alignment horizontal="center"/>
    </xf>
    <xf numFmtId="10" fontId="13" fillId="2" borderId="3" applyAlignment="1" pivotButton="0" quotePrefix="0" xfId="5">
      <alignment horizontal="center"/>
    </xf>
    <xf numFmtId="39" fontId="8" fillId="0" borderId="3" applyAlignment="1" pivotButton="0" quotePrefix="0" xfId="5">
      <alignment horizontal="center"/>
    </xf>
    <xf numFmtId="39" fontId="14" fillId="0" borderId="0" applyAlignment="1" pivotButton="0" quotePrefix="0" xfId="5">
      <alignment horizontal="right"/>
    </xf>
    <xf numFmtId="39" fontId="14" fillId="0" borderId="30" applyAlignment="1" pivotButton="0" quotePrefix="0" xfId="5">
      <alignment horizontal="center"/>
    </xf>
    <xf numFmtId="164" fontId="8" fillId="8" borderId="0" applyAlignment="1" pivotButton="0" quotePrefix="0" xfId="0">
      <alignment horizontal="center"/>
    </xf>
    <xf numFmtId="0" fontId="4" fillId="0" borderId="0" applyAlignment="1" pivotButton="0" quotePrefix="0" xfId="2">
      <alignment horizontal="center"/>
    </xf>
    <xf numFmtId="9" fontId="5" fillId="2" borderId="0" applyAlignment="1" pivotButton="0" quotePrefix="0" xfId="3">
      <alignment horizontal="center"/>
    </xf>
    <xf numFmtId="180" fontId="2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horizontal="center" vertical="center"/>
    </xf>
    <xf numFmtId="170" fontId="2" fillId="0" borderId="0" applyAlignment="1" pivotButton="0" quotePrefix="0" xfId="0">
      <alignment horizontal="center" vertical="center"/>
    </xf>
    <xf numFmtId="170" fontId="2" fillId="0" borderId="0" applyAlignment="1" pivotButton="0" quotePrefix="0" xfId="3">
      <alignment horizontal="center" vertical="center"/>
    </xf>
    <xf numFmtId="185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/>
    </xf>
    <xf numFmtId="10" fontId="4" fillId="0" borderId="0" applyAlignment="1" pivotButton="0" quotePrefix="0" xfId="2">
      <alignment horizontal="center"/>
    </xf>
    <xf numFmtId="170" fontId="22" fillId="9" borderId="0" pivotButton="0" quotePrefix="0" xfId="1"/>
    <xf numFmtId="10" fontId="5" fillId="2" borderId="0" applyAlignment="1" pivotButton="0" quotePrefix="0" xfId="0">
      <alignment horizontal="center"/>
    </xf>
    <xf numFmtId="9" fontId="5" fillId="4" borderId="0" applyAlignment="1" pivotButton="0" quotePrefix="0" xfId="3">
      <alignment horizontal="center"/>
    </xf>
    <xf numFmtId="0" fontId="6" fillId="6" borderId="0" applyAlignment="1" pivotButton="0" quotePrefix="0" xfId="1">
      <alignment horizont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vertical="center"/>
    </xf>
    <xf numFmtId="180" fontId="2" fillId="0" borderId="0" applyAlignment="1" pivotButton="0" quotePrefix="0" xfId="0">
      <alignment vertical="center"/>
    </xf>
    <xf numFmtId="170" fontId="2" fillId="0" borderId="0" applyAlignment="1" pivotButton="0" quotePrefix="0" xfId="3">
      <alignment vertical="center"/>
    </xf>
    <xf numFmtId="164" fontId="2" fillId="0" borderId="0" applyAlignment="1" pivotButton="0" quotePrefix="0" xfId="0">
      <alignment vertical="center"/>
    </xf>
    <xf numFmtId="9" fontId="2" fillId="0" borderId="0" applyAlignment="1" pivotButton="0" quotePrefix="0" xfId="0">
      <alignment vertical="center"/>
    </xf>
    <xf numFmtId="17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1" xfId="0">
      <alignment horizontal="center"/>
    </xf>
    <xf numFmtId="168" fontId="2" fillId="5" borderId="0" applyAlignment="1" pivotButton="0" quotePrefix="0" xfId="2">
      <alignment horizontal="center"/>
    </xf>
    <xf numFmtId="164" fontId="2" fillId="0" borderId="0" pivotButton="0" quotePrefix="0" xfId="0"/>
    <xf numFmtId="9" fontId="2" fillId="0" borderId="0" applyAlignment="1" pivotButton="0" quotePrefix="0" xfId="3">
      <alignment horizontal="left"/>
    </xf>
    <xf numFmtId="9" fontId="2" fillId="0" borderId="0" pivotButton="0" quotePrefix="0" xfId="3"/>
    <xf numFmtId="0" fontId="15" fillId="12" borderId="0" applyAlignment="1" pivotButton="0" quotePrefix="0" xfId="5">
      <alignment horizontal="center" wrapText="1"/>
    </xf>
    <xf numFmtId="0" fontId="8" fillId="0" borderId="0" pivotButton="0" quotePrefix="0" xfId="5"/>
    <xf numFmtId="170" fontId="5" fillId="16" borderId="0" applyAlignment="1" pivotButton="0" quotePrefix="0" xfId="0">
      <alignment horizontal="center"/>
    </xf>
    <xf numFmtId="164" fontId="2" fillId="16" borderId="0" applyAlignment="1" pivotButton="0" quotePrefix="0" xfId="0">
      <alignment horizontal="center"/>
    </xf>
    <xf numFmtId="0" fontId="23" fillId="13" borderId="3" applyAlignment="1" pivotButton="0" quotePrefix="0" xfId="5">
      <alignment horizontal="centerContinuous"/>
    </xf>
    <xf numFmtId="1" fontId="23" fillId="0" borderId="0" applyAlignment="1" pivotButton="0" quotePrefix="0" xfId="5">
      <alignment horizontal="center"/>
    </xf>
    <xf numFmtId="0" fontId="24" fillId="0" borderId="0" pivotButton="0" quotePrefix="0" xfId="0"/>
    <xf numFmtId="186" fontId="0" fillId="0" borderId="0" pivotButton="0" quotePrefix="0" xfId="0"/>
    <xf numFmtId="0" fontId="25" fillId="0" borderId="0" applyAlignment="1" pivotButton="0" quotePrefix="0" xfId="2">
      <alignment horizontal="center"/>
    </xf>
    <xf numFmtId="168" fontId="25" fillId="5" borderId="0" applyAlignment="1" pivotButton="0" quotePrefix="0" xfId="2">
      <alignment horizontal="center"/>
    </xf>
    <xf numFmtId="186" fontId="0" fillId="0" borderId="0" pivotButton="0" quotePrefix="0" xfId="0"/>
    <xf numFmtId="0" fontId="0" fillId="16" borderId="0" pivotButton="0" quotePrefix="0" xfId="0"/>
    <xf numFmtId="18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4" fontId="0" fillId="0" borderId="0" pivotButton="0" quotePrefix="0" xfId="0"/>
    <xf numFmtId="189" fontId="5" fillId="2" borderId="0" applyAlignment="1" pivotButton="0" quotePrefix="0" xfId="0">
      <alignment horizontal="center"/>
    </xf>
    <xf numFmtId="189" fontId="2" fillId="0" borderId="0" applyAlignment="1" pivotButton="0" quotePrefix="0" xfId="0">
      <alignment horizontal="center"/>
    </xf>
    <xf numFmtId="3" fontId="5" fillId="2" borderId="0" applyAlignment="1" pivotButton="0" quotePrefix="0" xfId="0">
      <alignment horizontal="center"/>
    </xf>
    <xf numFmtId="3" fontId="2" fillId="0" borderId="0" applyAlignment="1" pivotButton="0" quotePrefix="0" xfId="0">
      <alignment horizontal="center"/>
    </xf>
    <xf numFmtId="170" fontId="5" fillId="2" borderId="0" applyAlignment="1" pivotButton="0" quotePrefix="0" xfId="0">
      <alignment horizontal="center"/>
    </xf>
    <xf numFmtId="4" fontId="5" fillId="2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189" fontId="4" fillId="7" borderId="0" applyAlignment="1" pivotButton="0" quotePrefix="0" xfId="0">
      <alignment horizontal="center"/>
    </xf>
    <xf numFmtId="189" fontId="4" fillId="0" borderId="0" applyAlignment="1" pivotButton="0" quotePrefix="0" xfId="0">
      <alignment horizontal="center"/>
    </xf>
    <xf numFmtId="0" fontId="26" fillId="3" borderId="0" pivotButton="0" quotePrefix="0" xfId="1"/>
    <xf numFmtId="170" fontId="4" fillId="7" borderId="0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  <xf numFmtId="4" fontId="4" fillId="7" borderId="0" applyAlignment="1" pivotButton="0" quotePrefix="0" xfId="0">
      <alignment horizontal="center"/>
    </xf>
    <xf numFmtId="4" fontId="4" fillId="0" borderId="0" applyAlignment="1" pivotButton="0" quotePrefix="0" xfId="0">
      <alignment horizontal="center"/>
    </xf>
    <xf numFmtId="3" fontId="4" fillId="7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</cellXfs>
  <cellStyles count="12">
    <cellStyle name="Normal" xfId="0" builtinId="0"/>
    <cellStyle name="Normal 2" xfId="1"/>
    <cellStyle name="Normal 2 2" xfId="2"/>
    <cellStyle name="Porcentagem" xfId="3" builtinId="5"/>
    <cellStyle name="Separador de milhares 2 17" xfId="4"/>
    <cellStyle name="Normal 2 3" xfId="5"/>
    <cellStyle name="m/d/yy" xfId="6"/>
    <cellStyle name="Normal 4" xfId="7"/>
    <cellStyle name="Porcentagem 3" xfId="8"/>
    <cellStyle name="Output_dcfmodel" xfId="9"/>
    <cellStyle name="Currency 2" xfId="10"/>
    <cellStyle name="Normal [3] 2" xfId="11"/>
  </cellStyles>
  <dxfs count="24"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4"/>
  <sheetViews>
    <sheetView workbookViewId="0">
      <pane xSplit="10" ySplit="4" topLeftCell="K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7" customWidth="1" min="4" max="4"/>
    <col width="6" customWidth="1" min="5" max="5"/>
    <col width="7" customWidth="1" min="6" max="6"/>
    <col width="8" customWidth="1" min="7" max="7"/>
    <col width="95" customWidth="1" min="8" max="8"/>
    <col width="20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</cols>
  <sheetData>
    <row r="1">
      <c r="A1" t="inlineStr">
        <is>
          <t>Fator p/ milhões:</t>
        </is>
      </c>
      <c r="B1" t="n">
        <v>1</v>
      </c>
      <c r="D1" t="inlineStr">
        <is>
          <t>SIMPAR (SIMH3) - fonte: Planilha de Fundamentos 2T26 do RI (ri.simpar.com.br &gt; Fundamentos e Planilhas): abas Consolidado (DRE e Balanco trimestrais), Fluxo de caixa (acumulado no ano) e abas das controladas. Moeda: BRL. Brutos JA EM R$ MILHOES (fator 1).</t>
        </is>
      </c>
    </row>
    <row r="2">
      <c r="J2" t="inlineStr">
        <is>
          <t>Trimestre na fonte</t>
        </is>
      </c>
      <c r="K2" t="inlineStr">
        <is>
          <t>1T20</t>
        </is>
      </c>
      <c r="L2" t="inlineStr">
        <is>
          <t>2T20</t>
        </is>
      </c>
      <c r="M2" t="inlineStr">
        <is>
          <t>3T20</t>
        </is>
      </c>
      <c r="N2" t="inlineStr">
        <is>
          <t>4T20</t>
        </is>
      </c>
      <c r="O2" t="inlineStr">
        <is>
          <t>1T21</t>
        </is>
      </c>
      <c r="P2" t="inlineStr">
        <is>
          <t>2T21</t>
        </is>
      </c>
      <c r="Q2" t="inlineStr">
        <is>
          <t>3T21</t>
        </is>
      </c>
      <c r="R2" t="inlineStr">
        <is>
          <t>4T21</t>
        </is>
      </c>
      <c r="S2" t="inlineStr">
        <is>
          <t>1T22</t>
        </is>
      </c>
      <c r="T2" t="inlineStr">
        <is>
          <t>2T22</t>
        </is>
      </c>
      <c r="U2" t="inlineStr">
        <is>
          <t>3T22</t>
        </is>
      </c>
      <c r="V2" t="inlineStr">
        <is>
          <t>4T22</t>
        </is>
      </c>
      <c r="W2" t="inlineStr">
        <is>
          <t>1T23</t>
        </is>
      </c>
      <c r="X2" t="inlineStr">
        <is>
          <t>2T23</t>
        </is>
      </c>
      <c r="Y2" t="inlineStr">
        <is>
          <t>3T23</t>
        </is>
      </c>
      <c r="Z2" t="inlineStr">
        <is>
          <t>4T23</t>
        </is>
      </c>
      <c r="AA2" t="inlineStr">
        <is>
          <t>1T24</t>
        </is>
      </c>
      <c r="AB2" t="inlineStr">
        <is>
          <t>2T24</t>
        </is>
      </c>
      <c r="AC2" t="inlineStr">
        <is>
          <t>3T24</t>
        </is>
      </c>
      <c r="AD2" t="inlineStr">
        <is>
          <t>4T24</t>
        </is>
      </c>
      <c r="AE2" t="inlineStr">
        <is>
          <t>1T25</t>
        </is>
      </c>
      <c r="AF2" t="inlineStr">
        <is>
          <t>2T25</t>
        </is>
      </c>
      <c r="AG2" t="inlineStr">
        <is>
          <t>3T25</t>
        </is>
      </c>
      <c r="AH2" t="inlineStr">
        <is>
          <t>4T25</t>
        </is>
      </c>
      <c r="AI2" t="inlineStr">
        <is>
          <t>1T26</t>
        </is>
      </c>
      <c r="AJ2" t="inlineStr">
        <is>
          <t>2T26</t>
        </is>
      </c>
    </row>
    <row r="4">
      <c r="A4" s="254" t="inlineStr">
        <is>
          <t>COD1</t>
        </is>
      </c>
      <c r="B4" s="254" t="inlineStr">
        <is>
          <t>SINAL1</t>
        </is>
      </c>
      <c r="C4" s="254" t="inlineStr">
        <is>
          <t>COD2</t>
        </is>
      </c>
      <c r="D4" s="254" t="inlineStr">
        <is>
          <t>SINAL2</t>
        </is>
      </c>
      <c r="E4" s="254" t="inlineStr">
        <is>
          <t>COD3</t>
        </is>
      </c>
      <c r="F4" s="254" t="inlineStr">
        <is>
          <t>SINAL3</t>
        </is>
      </c>
      <c r="G4" s="254" t="inlineStr">
        <is>
          <t>UNID</t>
        </is>
      </c>
      <c r="H4" s="254" t="inlineStr">
        <is>
          <t>Conta (PT) / origem</t>
        </is>
      </c>
      <c r="I4" s="254" t="inlineStr">
        <is>
          <t>Account (EN)</t>
        </is>
      </c>
      <c r="J4" s="254" t="inlineStr">
        <is>
          <t>ORIGEM</t>
        </is>
      </c>
      <c r="K4" s="254" t="inlineStr">
        <is>
          <t>1Q20</t>
        </is>
      </c>
      <c r="L4" s="254" t="inlineStr">
        <is>
          <t>2Q20</t>
        </is>
      </c>
      <c r="M4" s="254" t="inlineStr">
        <is>
          <t>3Q20</t>
        </is>
      </c>
      <c r="N4" s="254" t="inlineStr">
        <is>
          <t>4Q20</t>
        </is>
      </c>
      <c r="O4" s="254" t="inlineStr">
        <is>
          <t>1Q21</t>
        </is>
      </c>
      <c r="P4" s="254" t="inlineStr">
        <is>
          <t>2Q21</t>
        </is>
      </c>
      <c r="Q4" s="254" t="inlineStr">
        <is>
          <t>3Q21</t>
        </is>
      </c>
      <c r="R4" s="254" t="inlineStr">
        <is>
          <t>4Q21</t>
        </is>
      </c>
      <c r="S4" s="254" t="inlineStr">
        <is>
          <t>1Q22</t>
        </is>
      </c>
      <c r="T4" s="254" t="inlineStr">
        <is>
          <t>2Q22</t>
        </is>
      </c>
      <c r="U4" s="254" t="inlineStr">
        <is>
          <t>3Q22</t>
        </is>
      </c>
      <c r="V4" s="254" t="inlineStr">
        <is>
          <t>4Q22</t>
        </is>
      </c>
      <c r="W4" s="254" t="inlineStr">
        <is>
          <t>1Q23</t>
        </is>
      </c>
      <c r="X4" s="254" t="inlineStr">
        <is>
          <t>2Q23</t>
        </is>
      </c>
      <c r="Y4" s="254" t="inlineStr">
        <is>
          <t>3Q23</t>
        </is>
      </c>
      <c r="Z4" s="254" t="inlineStr">
        <is>
          <t>4Q23</t>
        </is>
      </c>
      <c r="AA4" s="254" t="inlineStr">
        <is>
          <t>1Q24</t>
        </is>
      </c>
      <c r="AB4" s="254" t="inlineStr">
        <is>
          <t>2Q24</t>
        </is>
      </c>
      <c r="AC4" s="254" t="inlineStr">
        <is>
          <t>3Q24</t>
        </is>
      </c>
      <c r="AD4" s="254" t="inlineStr">
        <is>
          <t>4Q24</t>
        </is>
      </c>
      <c r="AE4" s="254" t="inlineStr">
        <is>
          <t>1Q25</t>
        </is>
      </c>
      <c r="AF4" s="254" t="inlineStr">
        <is>
          <t>2Q25</t>
        </is>
      </c>
      <c r="AG4" s="254" t="inlineStr">
        <is>
          <t>3Q25</t>
        </is>
      </c>
      <c r="AH4" s="254" t="inlineStr">
        <is>
          <t>4Q25</t>
        </is>
      </c>
      <c r="AI4" s="254" t="inlineStr">
        <is>
          <t>1Q26</t>
        </is>
      </c>
      <c r="AJ4" s="254" t="inlineStr">
        <is>
          <t>2Q26</t>
        </is>
      </c>
    </row>
    <row r="5">
      <c r="H5" s="254" t="inlineStr">
        <is>
          <t>DRE - TRIMESTRE ISOLADO (aba Consolidado, linhas 4-54; R$ milhoes). 1T20 e 4T20 = colunas "2" da planilha: desconsideram o impairment da Movida do 1T20 (nota 2)</t>
        </is>
      </c>
    </row>
    <row r="6">
      <c r="A6" t="n">
        <v>1</v>
      </c>
      <c r="B6" t="n">
        <v>1</v>
      </c>
      <c r="G6" t="inlineStr">
        <is>
          <t>moeda</t>
        </is>
      </c>
      <c r="H6" t="inlineStr">
        <is>
          <t>(=) Receita Líquida (Consolidado l.10)</t>
        </is>
      </c>
      <c r="J6" t="inlineStr">
        <is>
          <t>fonte</t>
        </is>
      </c>
      <c r="K6" s="258" t="n">
        <v>2356.89228214755</v>
      </c>
      <c r="L6" s="258" t="n">
        <v>2197.22477004</v>
      </c>
      <c r="M6" s="258" t="n">
        <v>2603.044947812449</v>
      </c>
      <c r="N6" s="258" t="n">
        <v>2649.895</v>
      </c>
      <c r="O6" s="258" t="n">
        <v>2620.10565591625</v>
      </c>
      <c r="P6" s="258" t="n">
        <v>3149.06634408375</v>
      </c>
      <c r="Q6" s="258" t="n">
        <v>3958.28</v>
      </c>
      <c r="R6" s="258" t="n">
        <v>4138.766999999999</v>
      </c>
      <c r="S6" s="258" t="n">
        <v>4530.197012739875</v>
      </c>
      <c r="T6" s="258" t="n">
        <v>5387.147355829875</v>
      </c>
      <c r="U6" s="258" t="n">
        <v>6823.350471411625</v>
      </c>
      <c r="V6" s="258" t="n">
        <v>7341.18627831097</v>
      </c>
      <c r="W6" s="258" t="n">
        <v>7440.043821226219</v>
      </c>
      <c r="X6" s="258" t="n">
        <v>7563.636178773781</v>
      </c>
      <c r="Y6" s="258" t="n">
        <v>8318.108999999997</v>
      </c>
      <c r="Z6" s="258" t="n">
        <v>8521.823999999999</v>
      </c>
      <c r="AA6" s="258" t="n">
        <v>9066.596429249999</v>
      </c>
      <c r="AB6" s="258" t="n">
        <v>10227.19018878</v>
      </c>
      <c r="AC6" s="258" t="n">
        <v>10790.49060251</v>
      </c>
      <c r="AD6" s="258" t="n">
        <v>10653.80870459</v>
      </c>
      <c r="AE6" s="258" t="n">
        <v>10244.63461166</v>
      </c>
      <c r="AF6" s="258" t="n">
        <v>10340.78606133</v>
      </c>
      <c r="AG6" s="258" t="n">
        <v>11100.93342807</v>
      </c>
      <c r="AH6" s="258" t="n">
        <v>11119.49197747</v>
      </c>
      <c r="AI6" s="258" t="n">
        <v>10924.2982817</v>
      </c>
      <c r="AJ6" s="258" t="n">
        <v>11248.66185844</v>
      </c>
    </row>
    <row r="7">
      <c r="A7" t="n">
        <v>2</v>
      </c>
      <c r="B7" t="n">
        <v>1</v>
      </c>
      <c r="G7" t="inlineStr">
        <is>
          <t>moeda</t>
        </is>
      </c>
      <c r="H7" t="inlineStr">
        <is>
          <t>Custo de Serviços (Consolidado l.16) (inclui D&amp;A, devolvida abaixo)</t>
        </is>
      </c>
      <c r="J7" t="inlineStr">
        <is>
          <t>fonte</t>
        </is>
      </c>
      <c r="K7" s="258" t="n">
        <v>-1038.683555698</v>
      </c>
      <c r="L7" s="258" t="n">
        <v>-1028.10918793</v>
      </c>
      <c r="M7" s="258" t="n">
        <v>-1326.00760759</v>
      </c>
      <c r="N7" s="258" t="n">
        <v>-1630.833596260515</v>
      </c>
      <c r="O7" s="258" t="n">
        <v>-1481.366969684688</v>
      </c>
      <c r="P7" s="258" t="n">
        <v>-1652.82683987</v>
      </c>
      <c r="Q7" s="258" t="n">
        <v>-2035.891421871851</v>
      </c>
      <c r="R7" s="258" t="n">
        <v>-2134.44876857346</v>
      </c>
      <c r="S7" s="258" t="n">
        <v>-2223.278012739875</v>
      </c>
      <c r="T7" s="258" t="n">
        <v>-2629.607155829875</v>
      </c>
      <c r="U7" s="258" t="n">
        <v>-3516.196671411625</v>
      </c>
      <c r="V7" s="258" t="n">
        <v>-3955.4358579544</v>
      </c>
      <c r="W7" s="258" t="n">
        <v>-3874.945896208162</v>
      </c>
      <c r="X7" s="258" t="n">
        <v>-4188.99988465187</v>
      </c>
      <c r="Y7" s="258" t="n">
        <v>-4564.552450661378</v>
      </c>
      <c r="Z7" s="258" t="n">
        <v>-5529.047279541828</v>
      </c>
      <c r="AA7" s="258" t="n">
        <v>-4888.51243513</v>
      </c>
      <c r="AB7" s="258" t="n">
        <v>-5508.377399880001</v>
      </c>
      <c r="AC7" s="258" t="n">
        <v>-5804.79133708</v>
      </c>
      <c r="AD7" s="258" t="n">
        <v>-6204.22613234</v>
      </c>
      <c r="AE7" s="258" t="n">
        <v>-5624.73401052</v>
      </c>
      <c r="AF7" s="258" t="n">
        <v>-5675.81074653</v>
      </c>
      <c r="AG7" s="258" t="n">
        <v>-6069.72801255</v>
      </c>
      <c r="AH7" s="258" t="n">
        <v>-6291.595629429998</v>
      </c>
      <c r="AI7" s="258" t="n">
        <v>-6029.20178462</v>
      </c>
      <c r="AJ7" s="258" t="n">
        <v>-6368.122482570001</v>
      </c>
    </row>
    <row r="8">
      <c r="A8" t="n">
        <v>2</v>
      </c>
      <c r="B8" t="n">
        <v>1</v>
      </c>
      <c r="G8" t="inlineStr">
        <is>
          <t>moeda</t>
        </is>
      </c>
      <c r="H8" t="inlineStr">
        <is>
          <t>Custo de Construção (Consolidado l.17)</t>
        </is>
      </c>
      <c r="J8" t="inlineStr">
        <is>
          <t>fonte</t>
        </is>
      </c>
      <c r="K8" s="258" t="n">
        <v>0</v>
      </c>
      <c r="L8" s="258" t="n">
        <v>0</v>
      </c>
      <c r="M8" s="258" t="n">
        <v>0</v>
      </c>
      <c r="N8" s="258" t="n">
        <v>0</v>
      </c>
      <c r="O8" s="258" t="n">
        <v>0</v>
      </c>
      <c r="P8" s="258" t="n">
        <v>0</v>
      </c>
      <c r="Q8" s="258" t="n">
        <v>0</v>
      </c>
      <c r="R8" s="258" t="n">
        <v>0</v>
      </c>
      <c r="S8" s="258" t="n">
        <v>0</v>
      </c>
      <c r="T8" s="258" t="n">
        <v>0</v>
      </c>
      <c r="U8" s="258" t="n">
        <v>0</v>
      </c>
      <c r="V8" s="258" t="n">
        <v>0</v>
      </c>
      <c r="W8" s="258" t="n">
        <v>-14.31297656</v>
      </c>
      <c r="X8" s="258" t="n">
        <v>-10.78748175</v>
      </c>
      <c r="Y8" s="258" t="n">
        <v>-57.52126711</v>
      </c>
      <c r="Z8" s="258" t="n">
        <v>-92.88516146999999</v>
      </c>
      <c r="AA8" s="258" t="n">
        <v>-118.30826324</v>
      </c>
      <c r="AB8" s="258" t="n">
        <v>-223.03071139</v>
      </c>
      <c r="AC8" s="258" t="n">
        <v>-167.64880399</v>
      </c>
      <c r="AD8" s="258" t="n">
        <v>-209.16669777</v>
      </c>
      <c r="AE8" s="258" t="n">
        <v>-20.00911337</v>
      </c>
      <c r="AF8" s="258" t="n">
        <v>-15.23778054</v>
      </c>
      <c r="AG8" s="258" t="n">
        <v>-39.48876117</v>
      </c>
      <c r="AH8" s="258" t="n">
        <v>-61.19585187000001</v>
      </c>
      <c r="AI8" s="258" t="n">
        <v>-49.96972590999999</v>
      </c>
      <c r="AJ8" s="258" t="n">
        <v>-89.11833869</v>
      </c>
    </row>
    <row r="9">
      <c r="A9" t="n">
        <v>2</v>
      </c>
      <c r="B9" t="n">
        <v>1</v>
      </c>
      <c r="G9" t="inlineStr">
        <is>
          <t>moeda</t>
        </is>
      </c>
      <c r="H9" t="inlineStr">
        <is>
          <t>Custo de Venda de Ativos (Consolidado l.18) (custo dos seminovos/ativos vendidos - valor contabil)</t>
        </is>
      </c>
      <c r="J9" t="inlineStr">
        <is>
          <t>fonte</t>
        </is>
      </c>
      <c r="K9" s="258" t="n">
        <v>-606.92470623</v>
      </c>
      <c r="L9" s="258" t="n">
        <v>-775.5834339700001</v>
      </c>
      <c r="M9" s="258" t="n">
        <v>-736.8478544600001</v>
      </c>
      <c r="N9" s="258" t="n">
        <v>-498.7453672299995</v>
      </c>
      <c r="O9" s="258" t="n">
        <v>-311.05654403</v>
      </c>
      <c r="P9" s="258" t="n">
        <v>-519.47870414</v>
      </c>
      <c r="Q9" s="258" t="n">
        <v>-658.8180932399998</v>
      </c>
      <c r="R9" s="258" t="n">
        <v>-588.4266585900004</v>
      </c>
      <c r="S9" s="258" t="n">
        <v>-730.09</v>
      </c>
      <c r="T9" s="258" t="n">
        <v>-958.129</v>
      </c>
      <c r="U9" s="258" t="n">
        <v>-1234.134</v>
      </c>
      <c r="V9" s="258" t="n">
        <v>-1243.83865695</v>
      </c>
      <c r="W9" s="258" t="n">
        <v>-1417.26877623</v>
      </c>
      <c r="X9" s="258" t="n">
        <v>-1213.56161166</v>
      </c>
      <c r="Y9" s="258" t="n">
        <v>-1473.4792374</v>
      </c>
      <c r="Z9" s="258" t="n">
        <v>-1262.397978668001</v>
      </c>
      <c r="AA9" s="258" t="n">
        <v>-1616.18127854</v>
      </c>
      <c r="AB9" s="258" t="n">
        <v>-1917.72866611</v>
      </c>
      <c r="AC9" s="258" t="n">
        <v>-2118.76503903</v>
      </c>
      <c r="AD9" s="258" t="n">
        <v>-1533.904235499995</v>
      </c>
      <c r="AE9" s="258" t="n">
        <v>-1905.29936553</v>
      </c>
      <c r="AF9" s="258" t="n">
        <v>-1872.98518609</v>
      </c>
      <c r="AG9" s="258" t="n">
        <v>-2103.36964634</v>
      </c>
      <c r="AH9" s="258" t="n">
        <v>-1814.65053077</v>
      </c>
      <c r="AI9" s="258" t="n">
        <v>-1897.76090867</v>
      </c>
      <c r="AJ9" s="258" t="n">
        <v>-1610.10562574</v>
      </c>
    </row>
    <row r="10">
      <c r="A10" t="n">
        <v>3</v>
      </c>
      <c r="B10" t="n">
        <v>1</v>
      </c>
      <c r="G10" t="inlineStr">
        <is>
          <t>moeda</t>
        </is>
      </c>
      <c r="H10" t="inlineStr">
        <is>
          <t>Despesas Administrativas e Comerciais (Consolidado l.24)</t>
        </is>
      </c>
      <c r="J10" t="inlineStr">
        <is>
          <t>fonte</t>
        </is>
      </c>
      <c r="K10" s="258" t="n">
        <v>-220.47711435</v>
      </c>
      <c r="L10" s="258" t="n">
        <v>-196.51758729</v>
      </c>
      <c r="M10" s="258" t="n">
        <v>-237.7013572100002</v>
      </c>
      <c r="N10" s="258" t="n">
        <v>-306.9591690399998</v>
      </c>
      <c r="O10" s="258" t="n">
        <v>-279.2478833038904</v>
      </c>
      <c r="P10" s="258" t="n">
        <v>-315.3485642899998</v>
      </c>
      <c r="Q10" s="258" t="n">
        <v>-414.170263235959</v>
      </c>
      <c r="R10" s="258" t="n">
        <v>-429.9955729692559</v>
      </c>
      <c r="S10" s="258" t="n">
        <v>-459.752</v>
      </c>
      <c r="T10" s="258" t="n">
        <v>-536.422</v>
      </c>
      <c r="U10" s="258" t="n">
        <v>-641.0449329756827</v>
      </c>
      <c r="V10" s="258" t="n">
        <v>-772.005094121603</v>
      </c>
      <c r="W10" s="258" t="n">
        <v>-711.2198118655756</v>
      </c>
      <c r="X10" s="258" t="n">
        <v>-723.5054579073046</v>
      </c>
      <c r="Y10" s="258" t="n">
        <v>-717.0648877385547</v>
      </c>
      <c r="Z10" s="258" t="n">
        <v>-1069.58299225125</v>
      </c>
      <c r="AA10" s="258" t="n">
        <v>-796.7409101099998</v>
      </c>
      <c r="AB10" s="258" t="n">
        <v>-861.0898845400003</v>
      </c>
      <c r="AC10" s="258" t="n">
        <v>-885.7022777400001</v>
      </c>
      <c r="AD10" s="258" t="n">
        <v>-907.5764263300006</v>
      </c>
      <c r="AE10" s="258" t="n">
        <v>-854.1945402</v>
      </c>
      <c r="AF10" s="258" t="n">
        <v>-925.8981796300002</v>
      </c>
      <c r="AG10" s="258" t="n">
        <v>-973.7587137399996</v>
      </c>
      <c r="AH10" s="258" t="n">
        <v>-992.85469896</v>
      </c>
      <c r="AI10" s="258" t="n">
        <v>-1000.35940666</v>
      </c>
      <c r="AJ10" s="258" t="n">
        <v>-1044.99584741</v>
      </c>
    </row>
    <row r="11">
      <c r="A11" t="n">
        <v>3</v>
      </c>
      <c r="B11" t="n">
        <v>1</v>
      </c>
      <c r="G11" t="inlineStr">
        <is>
          <t>moeda</t>
        </is>
      </c>
      <c r="H11" t="inlineStr">
        <is>
          <t>Despesas Tributárias (Consolidado l.25)</t>
        </is>
      </c>
      <c r="J11" t="inlineStr">
        <is>
          <t>fonte</t>
        </is>
      </c>
      <c r="K11" s="258" t="n">
        <v>-3.71344871</v>
      </c>
      <c r="L11" s="258" t="n">
        <v>-1.43036518</v>
      </c>
      <c r="M11" s="258" t="n">
        <v>-3.79976661</v>
      </c>
      <c r="N11" s="258" t="n">
        <v>-4.758191610000001</v>
      </c>
      <c r="O11" s="258" t="n">
        <v>-3.8767559744139</v>
      </c>
      <c r="P11" s="258" t="n">
        <v>-3.862527010000001</v>
      </c>
      <c r="Q11" s="258" t="n">
        <v>-5.416748827967398</v>
      </c>
      <c r="R11" s="258" t="n">
        <v>-4.234684388513601</v>
      </c>
      <c r="S11" s="258" t="n">
        <v>0</v>
      </c>
      <c r="T11" s="258" t="n">
        <v>0</v>
      </c>
      <c r="U11" s="258" t="n">
        <v>0</v>
      </c>
      <c r="V11" s="258" t="n">
        <v>0</v>
      </c>
      <c r="W11" s="258" t="n">
        <v>0</v>
      </c>
      <c r="X11" s="258" t="n">
        <v>0</v>
      </c>
      <c r="Y11" s="258" t="n">
        <v>-73.8542939286401</v>
      </c>
      <c r="Z11" s="258" t="n">
        <v>13.099837968159</v>
      </c>
      <c r="AA11" s="258" t="n">
        <v>-17.38627696</v>
      </c>
      <c r="AB11" s="258" t="n">
        <v>-16.99983077999999</v>
      </c>
      <c r="AC11" s="258" t="n">
        <v>-21.90220364</v>
      </c>
      <c r="AD11" s="258" t="n">
        <v>-24.58518990000001</v>
      </c>
      <c r="AE11" s="258" t="n">
        <v>-16.93068564</v>
      </c>
      <c r="AF11" s="258" t="n">
        <v>-16.82163068</v>
      </c>
      <c r="AG11" s="258" t="n">
        <v>-25.05697097000001</v>
      </c>
      <c r="AH11" s="258" t="n">
        <v>-20.91912622</v>
      </c>
      <c r="AI11" s="258" t="n">
        <v>-22.08475991</v>
      </c>
      <c r="AJ11" s="258" t="n">
        <v>-25.30773821000001</v>
      </c>
    </row>
    <row r="12">
      <c r="A12" t="n">
        <v>3</v>
      </c>
      <c r="B12" t="n">
        <v>1</v>
      </c>
      <c r="G12" t="inlineStr">
        <is>
          <t>moeda</t>
        </is>
      </c>
      <c r="H12" t="inlineStr">
        <is>
          <t>Outras Receitas (Despesas) Operacionais (Consolidado l.26) (inclui equivalencia patrimonial)</t>
        </is>
      </c>
      <c r="J12" t="inlineStr">
        <is>
          <t>fonte</t>
        </is>
      </c>
      <c r="K12" s="258" t="n">
        <v>-201.08977977</v>
      </c>
      <c r="L12" s="258" t="n">
        <v>2.94011832</v>
      </c>
      <c r="M12" s="258" t="n">
        <v>-1.427803579999905</v>
      </c>
      <c r="N12" s="258" t="n">
        <v>217.2762767999999</v>
      </c>
      <c r="O12" s="258" t="n">
        <v>-27.90248472</v>
      </c>
      <c r="P12" s="258" t="n">
        <v>66.02588415</v>
      </c>
      <c r="Q12" s="258" t="n">
        <v>45.69827136000002</v>
      </c>
      <c r="R12" s="258" t="n">
        <v>18.97732920999999</v>
      </c>
      <c r="S12" s="258" t="n">
        <v>18.474</v>
      </c>
      <c r="T12" s="258" t="n">
        <v>23.76</v>
      </c>
      <c r="U12" s="258" t="n">
        <v>-3.968866565437999</v>
      </c>
      <c r="V12" s="258" t="n">
        <v>-103.395592903645</v>
      </c>
      <c r="W12" s="258" t="n">
        <v>-105.191631592</v>
      </c>
      <c r="X12" s="258" t="n">
        <v>161.3253863944</v>
      </c>
      <c r="Y12" s="258" t="n">
        <v>-63.77340625820996</v>
      </c>
      <c r="Z12" s="258" t="n">
        <v>10.58469102150899</v>
      </c>
      <c r="AA12" s="258" t="n">
        <v>-90.30182169</v>
      </c>
      <c r="AB12" s="258" t="n">
        <v>-0.5973885699999926</v>
      </c>
      <c r="AC12" s="258" t="n">
        <v>-89.5946103</v>
      </c>
      <c r="AD12" s="258" t="n">
        <v>-133.7091794399999</v>
      </c>
      <c r="AE12" s="258" t="n">
        <v>-73.85985831000001</v>
      </c>
      <c r="AF12" s="258" t="n">
        <v>-30.33765971999999</v>
      </c>
      <c r="AG12" s="258" t="n">
        <v>-154.72258092</v>
      </c>
      <c r="AH12" s="258" t="n">
        <v>929.81234051</v>
      </c>
      <c r="AI12" s="258" t="n">
        <v>-152.6091109</v>
      </c>
      <c r="AJ12" s="258" t="n">
        <v>-12.68327524999998</v>
      </c>
    </row>
    <row r="13">
      <c r="A13" t="n">
        <v>6</v>
      </c>
      <c r="B13" t="n">
        <v>1</v>
      </c>
      <c r="G13" t="inlineStr">
        <is>
          <t>moeda</t>
        </is>
      </c>
      <c r="H13" t="inlineStr">
        <is>
          <t>Receitas Financeiras (Consolidado l.33)</t>
        </is>
      </c>
      <c r="J13" t="inlineStr">
        <is>
          <t>fonte</t>
        </is>
      </c>
      <c r="K13" s="258" t="n">
        <v>202.5076414300001</v>
      </c>
      <c r="L13" s="258" t="n">
        <v>257.4106815899999</v>
      </c>
      <c r="M13" s="258" t="n">
        <v>105.50667698</v>
      </c>
      <c r="N13" s="258" t="n">
        <v>114.000689586185</v>
      </c>
      <c r="O13" s="258" t="n">
        <v>225.148916478836</v>
      </c>
      <c r="P13" s="258" t="n">
        <v>10.13128013999998</v>
      </c>
      <c r="Q13" s="258" t="n">
        <v>210.2304779170213</v>
      </c>
      <c r="R13" s="258" t="n">
        <v>290.8513254641426</v>
      </c>
      <c r="S13" s="258" t="n">
        <v>345.152</v>
      </c>
      <c r="T13" s="258" t="n">
        <v>283.463</v>
      </c>
      <c r="U13" s="258" t="n">
        <v>246.492</v>
      </c>
      <c r="V13" s="258" t="n">
        <v>353.934680599419</v>
      </c>
      <c r="W13" s="258" t="n">
        <v>338.376</v>
      </c>
      <c r="X13" s="258" t="n">
        <v>183.206</v>
      </c>
      <c r="Y13" s="258" t="n">
        <v>316.4160000000001</v>
      </c>
      <c r="Z13" s="258" t="n">
        <v>299.5039999999999</v>
      </c>
      <c r="AA13" s="258" t="n">
        <v>367.50281197</v>
      </c>
      <c r="AB13" s="258" t="n">
        <v>382.4820049199999</v>
      </c>
      <c r="AC13" s="258" t="n">
        <v>432.0273515800001</v>
      </c>
      <c r="AD13" s="258" t="n">
        <v>484.8198315300005</v>
      </c>
      <c r="AE13" s="258" t="n">
        <v>455.0228587</v>
      </c>
      <c r="AF13" s="258" t="n">
        <v>516.7441413</v>
      </c>
      <c r="AG13" s="258" t="n">
        <v>567.3989999999999</v>
      </c>
      <c r="AH13" s="258" t="n">
        <v>540.9903640000002</v>
      </c>
      <c r="AI13" s="258" t="n">
        <v>611.519</v>
      </c>
      <c r="AJ13" s="258" t="n">
        <v>693.0540000000001</v>
      </c>
    </row>
    <row r="14">
      <c r="A14" t="n">
        <v>5</v>
      </c>
      <c r="B14" t="n">
        <v>1</v>
      </c>
      <c r="G14" t="inlineStr">
        <is>
          <t>moeda</t>
        </is>
      </c>
      <c r="H14" t="inlineStr">
        <is>
          <t>Despesa Financeiras (Consolidado l.34)</t>
        </is>
      </c>
      <c r="J14" t="inlineStr">
        <is>
          <t>fonte</t>
        </is>
      </c>
      <c r="K14" s="258" t="n">
        <v>-372.6914366299999</v>
      </c>
      <c r="L14" s="258" t="n">
        <v>-154.3935628099999</v>
      </c>
      <c r="M14" s="258" t="n">
        <v>-261.2480005600001</v>
      </c>
      <c r="N14" s="258" t="n">
        <v>-265.869252565217</v>
      </c>
      <c r="O14" s="258" t="n">
        <v>-454.9578672863205</v>
      </c>
      <c r="P14" s="258" t="n">
        <v>-191.11210572</v>
      </c>
      <c r="Q14" s="258" t="n">
        <v>-526.9338866870265</v>
      </c>
      <c r="R14" s="258" t="n">
        <v>-780.9511403066527</v>
      </c>
      <c r="S14" s="258" t="n">
        <v>-1017.218</v>
      </c>
      <c r="T14" s="258" t="n">
        <v>-1246.042</v>
      </c>
      <c r="U14" s="258" t="n">
        <v>-1499.372</v>
      </c>
      <c r="V14" s="258" t="n">
        <v>-1595.840510535278</v>
      </c>
      <c r="W14" s="258" t="n">
        <v>-1648.827</v>
      </c>
      <c r="X14" s="258" t="n">
        <v>-1664.541</v>
      </c>
      <c r="Y14" s="258" t="n">
        <v>-1877.077</v>
      </c>
      <c r="Z14" s="258" t="n">
        <v>-1840.783000000001</v>
      </c>
      <c r="AA14" s="258" t="n">
        <v>-1808.78418443</v>
      </c>
      <c r="AB14" s="258" t="n">
        <v>-1862.35669101</v>
      </c>
      <c r="AC14" s="258" t="n">
        <v>-1990.900451490001</v>
      </c>
      <c r="AD14" s="258" t="n">
        <v>-2181.358185430001</v>
      </c>
      <c r="AE14" s="258" t="n">
        <v>-2235.645</v>
      </c>
      <c r="AF14" s="258" t="n">
        <v>-2445.21</v>
      </c>
      <c r="AG14" s="258" t="n">
        <v>-2633.139</v>
      </c>
      <c r="AH14" s="258" t="n">
        <v>-2646.005000000001</v>
      </c>
      <c r="AI14" s="258" t="n">
        <v>-2595.69</v>
      </c>
      <c r="AJ14" s="258" t="n">
        <v>-2958.432</v>
      </c>
    </row>
    <row r="15">
      <c r="A15" t="n">
        <v>7</v>
      </c>
      <c r="B15" t="n">
        <v>1</v>
      </c>
      <c r="G15" t="inlineStr">
        <is>
          <t>moeda</t>
        </is>
      </c>
      <c r="H15" t="inlineStr">
        <is>
          <t>Impostos e contribuições sobre o lucro (Consolidado l.37)</t>
        </is>
      </c>
      <c r="J15" t="inlineStr">
        <is>
          <t>fonte</t>
        </is>
      </c>
      <c r="K15" s="258" t="n">
        <v>-32.63645749999998</v>
      </c>
      <c r="L15" s="258" t="n">
        <v>-144.96426611</v>
      </c>
      <c r="M15" s="258" t="n">
        <v>-45.56421224999999</v>
      </c>
      <c r="N15" s="258" t="n">
        <v>-59.1107329932</v>
      </c>
      <c r="O15" s="258" t="n">
        <v>-115.6779938707</v>
      </c>
      <c r="P15" s="258" t="n">
        <v>-150.76208871</v>
      </c>
      <c r="Q15" s="258" t="n">
        <v>-173.62383393022</v>
      </c>
      <c r="R15" s="258" t="n">
        <v>-143.94408348908</v>
      </c>
      <c r="S15" s="258" t="n">
        <v>-134.962</v>
      </c>
      <c r="T15" s="258" t="n">
        <v>-111.208</v>
      </c>
      <c r="U15" s="258" t="n">
        <v>-64.128</v>
      </c>
      <c r="V15" s="258" t="n">
        <v>263.61971230464</v>
      </c>
      <c r="W15" s="258" t="n">
        <v>70.27789576014</v>
      </c>
      <c r="X15" s="258" t="n">
        <v>-6.886477126870005</v>
      </c>
      <c r="Y15" s="258" t="n">
        <v>82.15832055750401</v>
      </c>
      <c r="Z15" s="258" t="n">
        <v>231.65526359095</v>
      </c>
      <c r="AA15" s="258" t="n">
        <v>-16.36550454000001</v>
      </c>
      <c r="AB15" s="258" t="n">
        <v>-79.02701431999999</v>
      </c>
      <c r="AC15" s="258" t="n">
        <v>-41.45635505000001</v>
      </c>
      <c r="AD15" s="258" t="n">
        <v>-178.77275664</v>
      </c>
      <c r="AE15" s="258" t="n">
        <v>33.11294772</v>
      </c>
      <c r="AF15" s="258" t="n">
        <v>76.22104517</v>
      </c>
      <c r="AG15" s="258" t="n">
        <v>83.71826970000001</v>
      </c>
      <c r="AH15" s="258" t="n">
        <v>-239.26191702</v>
      </c>
      <c r="AI15" s="258" t="n">
        <v>58.79669943</v>
      </c>
      <c r="AJ15" s="258" t="n">
        <v>40.52143457</v>
      </c>
    </row>
    <row r="16">
      <c r="A16" t="n">
        <v>6</v>
      </c>
      <c r="B16" t="n">
        <v>1</v>
      </c>
      <c r="G16" t="inlineStr">
        <is>
          <t>moeda</t>
        </is>
      </c>
      <c r="H16" t="inlineStr">
        <is>
          <t>(-) Prejuízo após os tributos de operações descontinuadas (Consolidado l.41) (operacoes descontinuadas -&gt; cod 6, nao operacional)</t>
        </is>
      </c>
      <c r="J16" t="inlineStr">
        <is>
          <t>fonte</t>
        </is>
      </c>
      <c r="K16" s="258" t="n">
        <v>0</v>
      </c>
      <c r="L16" s="258" t="n">
        <v>-19.787</v>
      </c>
      <c r="M16" s="258" t="n">
        <v>-8.752000000000002</v>
      </c>
      <c r="N16" s="258" t="n">
        <v>0</v>
      </c>
      <c r="O16" s="258" t="n">
        <v>0</v>
      </c>
      <c r="P16" s="258" t="n">
        <v>0</v>
      </c>
      <c r="Q16" s="258" t="n">
        <v>0</v>
      </c>
      <c r="R16" s="258" t="n">
        <v>0</v>
      </c>
      <c r="S16" s="258" t="n">
        <v>0</v>
      </c>
      <c r="T16" s="258" t="n">
        <v>0</v>
      </c>
      <c r="U16" s="258" t="n">
        <v>0</v>
      </c>
      <c r="V16" s="258" t="n">
        <v>0</v>
      </c>
      <c r="W16" s="258" t="n">
        <v>0</v>
      </c>
      <c r="X16" s="258" t="n">
        <v>0</v>
      </c>
      <c r="Y16" s="258" t="n">
        <v>0</v>
      </c>
      <c r="Z16" s="258" t="n">
        <v>0</v>
      </c>
      <c r="AA16" s="258" t="n">
        <v>-8.805527160000002</v>
      </c>
      <c r="AB16" s="258" t="n">
        <v>1.383952620000021</v>
      </c>
      <c r="AC16" s="258" t="n">
        <v>1.176550560000004</v>
      </c>
      <c r="AD16" s="258" t="n">
        <v>11.00681092000001</v>
      </c>
      <c r="AE16" s="258" t="n">
        <v>9.50060912</v>
      </c>
      <c r="AF16" s="258" t="n">
        <v>5.62611137</v>
      </c>
      <c r="AG16" s="258" t="n">
        <v>8.701461270000003</v>
      </c>
      <c r="AH16" s="258" t="n">
        <v>-40.9836007</v>
      </c>
      <c r="AI16" s="258" t="n">
        <v>-21.21493637</v>
      </c>
      <c r="AJ16" s="258" t="n">
        <v>-24.59378762</v>
      </c>
    </row>
    <row r="17">
      <c r="G17" t="inlineStr">
        <is>
          <t>moeda</t>
        </is>
      </c>
      <c r="H17" t="inlineStr">
        <is>
          <t>(=) Lucro líquido do exercício (l.43) - memoria</t>
        </is>
      </c>
      <c r="J17" t="inlineStr">
        <is>
          <t>memoria</t>
        </is>
      </c>
      <c r="K17" s="258" t="n">
        <v>83.1834246895495</v>
      </c>
      <c r="L17" s="258" t="n">
        <v>136.7901666600006</v>
      </c>
      <c r="M17" s="258" t="n">
        <v>87.20302253244907</v>
      </c>
      <c r="N17" s="258" t="n">
        <v>214.8956566872531</v>
      </c>
      <c r="O17" s="258" t="n">
        <v>171.1680735250731</v>
      </c>
      <c r="P17" s="258" t="n">
        <v>391.8326786337502</v>
      </c>
      <c r="Q17" s="258" t="n">
        <v>399.3545014839975</v>
      </c>
      <c r="R17" s="258" t="n">
        <v>366.5947463571786</v>
      </c>
      <c r="S17" s="258" t="n">
        <v>328.5230000000001</v>
      </c>
      <c r="T17" s="258" t="n">
        <v>212.9621999999996</v>
      </c>
      <c r="U17" s="258" t="n">
        <v>110.9980004588794</v>
      </c>
      <c r="V17" s="258" t="n">
        <v>288.2249587501038</v>
      </c>
      <c r="W17" s="258" t="n">
        <v>76.93162453062071</v>
      </c>
      <c r="X17" s="258" t="n">
        <v>99.88565207213739</v>
      </c>
      <c r="Y17" s="258" t="n">
        <v>-110.6392225392818</v>
      </c>
      <c r="Z17" s="258" t="n">
        <v>-718.0286193504587</v>
      </c>
      <c r="AA17" s="258" t="n">
        <v>72.71303941999959</v>
      </c>
      <c r="AB17" s="258" t="n">
        <v>141.8485597200007</v>
      </c>
      <c r="AC17" s="258" t="n">
        <v>102.9334263299984</v>
      </c>
      <c r="AD17" s="258" t="n">
        <v>-223.6634563099908</v>
      </c>
      <c r="AE17" s="258" t="n">
        <v>11.59845363000022</v>
      </c>
      <c r="AF17" s="258" t="n">
        <v>-42.92382401999795</v>
      </c>
      <c r="AG17" s="258" t="n">
        <v>-238.5115266500018</v>
      </c>
      <c r="AH17" s="258" t="n">
        <v>482.828327010004</v>
      </c>
      <c r="AI17" s="258" t="n">
        <v>-174.2766519100012</v>
      </c>
      <c r="AJ17" s="258" t="n">
        <v>-151.1218024799969</v>
      </c>
    </row>
    <row r="18">
      <c r="G18" t="inlineStr">
        <is>
          <t>moeda</t>
        </is>
      </c>
      <c r="H18" t="inlineStr">
        <is>
          <t>(=) Lucro líquido do Controladores (l.46) - memoria</t>
        </is>
      </c>
      <c r="J18" t="inlineStr">
        <is>
          <t>memoria</t>
        </is>
      </c>
      <c r="K18" s="258" t="n">
        <v>54.4</v>
      </c>
      <c r="L18" s="258" t="n">
        <v>155.40026992</v>
      </c>
      <c r="M18" s="258" t="n">
        <v>73.166</v>
      </c>
      <c r="N18" s="258" t="n">
        <v>138.9646433899568</v>
      </c>
      <c r="O18" s="258" t="n">
        <v>94.24299999999999</v>
      </c>
      <c r="P18" s="258" t="n">
        <v>267.247</v>
      </c>
      <c r="Q18" s="258" t="n">
        <v>245.763</v>
      </c>
      <c r="R18" s="258" t="n">
        <v>215.0019999999999</v>
      </c>
      <c r="S18" s="258" t="n">
        <v>191.676</v>
      </c>
      <c r="T18" s="258" t="n">
        <v>101.977</v>
      </c>
      <c r="U18" s="258" t="n">
        <v>18.50099999999998</v>
      </c>
      <c r="V18" s="258" t="n">
        <v>169.929</v>
      </c>
      <c r="W18" s="258" t="n">
        <v>6.189</v>
      </c>
      <c r="X18" s="258" t="n">
        <v>12.329</v>
      </c>
      <c r="Y18" s="258" t="n">
        <v>-136.515</v>
      </c>
      <c r="Z18" s="258" t="n">
        <v>-377.224</v>
      </c>
      <c r="AA18" s="258" t="n">
        <v>-13.05523078000002</v>
      </c>
      <c r="AB18" s="258" t="n">
        <v>49.29983452999995</v>
      </c>
      <c r="AC18" s="258" t="n">
        <v>10.84224994000003</v>
      </c>
      <c r="AD18" s="258" t="n">
        <v>-245.24247127</v>
      </c>
      <c r="AE18" s="258" t="n">
        <v>-50.953</v>
      </c>
      <c r="AF18" s="258" t="n">
        <v>-96.291</v>
      </c>
      <c r="AG18" s="258" t="n">
        <v>-246.193</v>
      </c>
      <c r="AH18" s="258" t="n">
        <v>432.908</v>
      </c>
      <c r="AI18" s="258" t="n">
        <v>-179.59733257</v>
      </c>
      <c r="AJ18" s="258" t="n">
        <v>-189.46966743</v>
      </c>
    </row>
    <row r="19">
      <c r="G19" t="inlineStr">
        <is>
          <t>moeda</t>
        </is>
      </c>
      <c r="H19" t="inlineStr">
        <is>
          <t>EBIT (l.28) - memoria</t>
        </is>
      </c>
      <c r="J19" t="inlineStr">
        <is>
          <t>memoria</t>
        </is>
      </c>
      <c r="K19" s="258" t="n">
        <v>286.0036773895494</v>
      </c>
      <c r="L19" s="258" t="n">
        <v>198.5243139900006</v>
      </c>
      <c r="M19" s="258" t="n">
        <v>297.2605583624492</v>
      </c>
      <c r="N19" s="258" t="n">
        <v>425.8749526594851</v>
      </c>
      <c r="O19" s="258" t="n">
        <v>516.6550182032576</v>
      </c>
      <c r="P19" s="258" t="n">
        <v>723.5755929237502</v>
      </c>
      <c r="Q19" s="258" t="n">
        <v>889.6817441842228</v>
      </c>
      <c r="R19" s="258" t="n">
        <v>1000.638644688769</v>
      </c>
      <c r="S19" s="258" t="n">
        <v>1135.551</v>
      </c>
      <c r="T19" s="258" t="n">
        <v>1286.7492</v>
      </c>
      <c r="U19" s="258" t="n">
        <v>1428.006000458879</v>
      </c>
      <c r="V19" s="258" t="n">
        <v>1266.511076381323</v>
      </c>
      <c r="W19" s="258" t="n">
        <v>1317.104728770481</v>
      </c>
      <c r="X19" s="258" t="n">
        <v>1588.107129199007</v>
      </c>
      <c r="Y19" s="258" t="n">
        <v>1367.863456903214</v>
      </c>
      <c r="Z19" s="258" t="n">
        <v>591.595117058592</v>
      </c>
      <c r="AA19" s="258" t="n">
        <v>1539.16544358</v>
      </c>
      <c r="AB19" s="258" t="n">
        <v>1699.366307510001</v>
      </c>
      <c r="AC19" s="258" t="n">
        <v>1702.086330729999</v>
      </c>
      <c r="AD19" s="258" t="n">
        <v>1640.640843310009</v>
      </c>
      <c r="AE19" s="258" t="n">
        <v>1749.60703809</v>
      </c>
      <c r="AF19" s="258" t="n">
        <v>1803.694878140001</v>
      </c>
      <c r="AG19" s="258" t="n">
        <v>1734.808742379998</v>
      </c>
      <c r="AH19" s="258" t="n">
        <v>2868.088480730005</v>
      </c>
      <c r="AI19" s="258" t="n">
        <v>1772.312585029999</v>
      </c>
      <c r="AJ19" s="258" t="n">
        <v>2098.328550570003</v>
      </c>
    </row>
    <row r="20">
      <c r="G20" t="inlineStr">
        <is>
          <t>moeda</t>
        </is>
      </c>
      <c r="H20" t="inlineStr">
        <is>
          <t>EBITDA (l.49, como divulgado) - memoria</t>
        </is>
      </c>
      <c r="J20" t="inlineStr">
        <is>
          <t>memoria</t>
        </is>
      </c>
      <c r="K20" s="258" t="n">
        <v>561.6863907995498</v>
      </c>
      <c r="L20" s="258" t="n">
        <v>470.4341139800006</v>
      </c>
      <c r="M20" s="258" t="n">
        <v>587.5118963199996</v>
      </c>
      <c r="N20" s="258" t="n">
        <v>699.9825461604499</v>
      </c>
      <c r="O20" s="258" t="n">
        <v>733.7040182032575</v>
      </c>
      <c r="P20" s="258" t="n">
        <v>965.0098712260032</v>
      </c>
      <c r="Q20" s="258" t="n">
        <v>1165.521110570739</v>
      </c>
      <c r="R20" s="258" t="n">
        <v>1325.431002642342</v>
      </c>
      <c r="S20" s="258" t="n">
        <v>1513.044</v>
      </c>
      <c r="T20" s="258" t="n">
        <v>1702.956997423699</v>
      </c>
      <c r="U20" s="258" t="n">
        <v>1938.071306386404</v>
      </c>
      <c r="V20" s="258" t="n">
        <v>1849.021973030094</v>
      </c>
      <c r="W20" s="258" t="n">
        <v>1963.864513620808</v>
      </c>
      <c r="X20" s="258" t="n">
        <v>2267.493125675706</v>
      </c>
      <c r="Y20" s="258" t="n">
        <v>2084.944463602805</v>
      </c>
      <c r="Z20" s="258" t="n">
        <v>1652.320961531628</v>
      </c>
      <c r="AA20" s="258" t="n">
        <v>2361.14521292</v>
      </c>
      <c r="AB20" s="258" t="n">
        <v>2597.00952965</v>
      </c>
      <c r="AC20" s="258" t="n">
        <v>2699.280859679999</v>
      </c>
      <c r="AD20" s="258" t="n">
        <v>2614.943213230001</v>
      </c>
      <c r="AE20" s="258" t="n">
        <v>2802.02029992</v>
      </c>
      <c r="AF20" s="258" t="n">
        <v>2922.63577782</v>
      </c>
      <c r="AG20" s="258" t="n">
        <v>2906.870716130002</v>
      </c>
      <c r="AH20" s="258" t="n">
        <v>4066.058149279998</v>
      </c>
      <c r="AI20" s="258" t="n">
        <v>3012.23912156</v>
      </c>
      <c r="AJ20" s="258" t="n">
        <v>3351.882694469999</v>
      </c>
    </row>
    <row r="21">
      <c r="G21" t="inlineStr">
        <is>
          <t>moeda</t>
        </is>
      </c>
      <c r="H21" t="inlineStr">
        <is>
          <t>EBITDA-A (l.53; EBITDA + custo de venda de ativos) - memoria</t>
        </is>
      </c>
      <c r="J21" t="inlineStr">
        <is>
          <t>memoria</t>
        </is>
      </c>
      <c r="K21" s="258" t="n">
        <v>1168.61109702955</v>
      </c>
      <c r="L21" s="258" t="n">
        <v>1246.017547950001</v>
      </c>
      <c r="M21" s="258" t="n">
        <v>1324.35975078</v>
      </c>
      <c r="N21" s="258" t="n">
        <v>1198.727913390449</v>
      </c>
      <c r="O21" s="258" t="n">
        <v>1044.760562233258</v>
      </c>
      <c r="P21" s="258" t="n">
        <v>1484.488575366003</v>
      </c>
      <c r="Q21" s="258" t="n">
        <v>1824.339203810739</v>
      </c>
      <c r="R21" s="258" t="n">
        <v>1913.857661232343</v>
      </c>
      <c r="S21" s="258" t="n">
        <v>2243.134</v>
      </c>
      <c r="T21" s="258" t="n">
        <v>2661.0859974237</v>
      </c>
      <c r="U21" s="258" t="n">
        <v>3172.205306386404</v>
      </c>
      <c r="V21" s="258" t="n">
        <v>3092.860629980094</v>
      </c>
      <c r="W21" s="258" t="n">
        <v>3381.133289850808</v>
      </c>
      <c r="X21" s="258" t="n">
        <v>3481.054737335706</v>
      </c>
      <c r="Y21" s="258" t="n">
        <v>3558.423701002805</v>
      </c>
      <c r="Z21" s="258" t="n">
        <v>2914.718940199629</v>
      </c>
      <c r="AA21" s="258" t="n">
        <v>3977.32649146</v>
      </c>
      <c r="AB21" s="258" t="n">
        <v>4514.73819576</v>
      </c>
      <c r="AC21" s="258" t="n">
        <v>4818.045898709999</v>
      </c>
      <c r="AD21" s="258" t="n">
        <v>4148.847448729996</v>
      </c>
      <c r="AE21" s="258" t="n">
        <v>4707.31966545</v>
      </c>
      <c r="AF21" s="258" t="n">
        <v>4795.62096391</v>
      </c>
      <c r="AG21" s="258" t="n">
        <v>5010.240362470002</v>
      </c>
      <c r="AH21" s="258" t="n">
        <v>5880.708680049998</v>
      </c>
      <c r="AI21" s="258" t="n">
        <v>4910.00003023</v>
      </c>
      <c r="AJ21" s="258" t="n">
        <v>4961.988320209999</v>
      </c>
    </row>
    <row r="22">
      <c r="H22" s="254" t="inlineStr">
        <is>
          <t>DFC - ACUMULADO NO ANO (aba Fluxo de caixa; R$ milhoes). ATENCAO: colunas de periodos diferentes vem de documentos com reapresentacoes (ex.: 9M20 &lt; 6M20 em dividendos)</t>
        </is>
      </c>
    </row>
    <row r="23">
      <c r="G23" t="inlineStr">
        <is>
          <t>moeda</t>
        </is>
      </c>
      <c r="H23" t="inlineStr">
        <is>
          <t>Dividendos e JCP pagos (DFC l.59, acum.)</t>
        </is>
      </c>
      <c r="J23" t="inlineStr">
        <is>
          <t>memoria</t>
        </is>
      </c>
      <c r="K23" s="258" t="n">
        <v>-41.585</v>
      </c>
      <c r="L23" s="258" t="n">
        <v>-55.41</v>
      </c>
      <c r="M23" s="258" t="n">
        <v>-33.956</v>
      </c>
      <c r="N23" s="258" t="n">
        <v>-48.856</v>
      </c>
      <c r="O23" s="258" t="n">
        <v>-23.249</v>
      </c>
      <c r="P23" s="258" t="n">
        <v>-83.506</v>
      </c>
      <c r="Q23" s="258" t="n">
        <v>-113.606</v>
      </c>
      <c r="R23" s="258" t="n">
        <v>-226.573</v>
      </c>
      <c r="S23" s="258" t="n">
        <v>-125.184</v>
      </c>
      <c r="T23" s="258" t="n">
        <v>-546.665</v>
      </c>
      <c r="U23" s="258" t="n">
        <v>-595.8579999999999</v>
      </c>
      <c r="V23" s="258" t="n">
        <v>-415.184</v>
      </c>
      <c r="W23" s="258" t="n">
        <v>-125.974</v>
      </c>
      <c r="X23" s="258" t="n">
        <v>-235.098</v>
      </c>
      <c r="Y23" s="258" t="n">
        <v>-257.782</v>
      </c>
      <c r="Z23" s="258" t="n">
        <v>-481.563</v>
      </c>
      <c r="AA23" s="258" t="n">
        <v>0</v>
      </c>
      <c r="AB23" s="258" t="n">
        <v>0</v>
      </c>
      <c r="AC23" s="258" t="n">
        <v>-112.087</v>
      </c>
      <c r="AD23" s="258" t="n">
        <v>-157.178</v>
      </c>
      <c r="AE23" s="258" t="n">
        <v>-40.884</v>
      </c>
      <c r="AF23" s="258" t="n">
        <v>-230.635</v>
      </c>
      <c r="AG23" s="258" t="n">
        <v>-236.437</v>
      </c>
      <c r="AH23" s="258" t="n">
        <v>-229.051</v>
      </c>
      <c r="AI23" s="258" t="n">
        <v>0</v>
      </c>
      <c r="AJ23" s="258" t="n">
        <v>-168.72</v>
      </c>
    </row>
    <row r="24">
      <c r="G24" t="inlineStr">
        <is>
          <t>moeda</t>
        </is>
      </c>
      <c r="H24" t="inlineStr">
        <is>
          <t>Depreciacao, amortizacao e impairment (DFC l.8, acum.) - memoria</t>
        </is>
      </c>
      <c r="J24" t="inlineStr">
        <is>
          <t>memoria</t>
        </is>
      </c>
      <c r="K24" s="258" t="n">
        <v>471.075</v>
      </c>
      <c r="L24" s="258" t="n">
        <v>742.986</v>
      </c>
      <c r="M24" s="258" t="n">
        <v>1033.238</v>
      </c>
      <c r="N24" s="258" t="n">
        <v>1257.202</v>
      </c>
      <c r="O24" s="258" t="n">
        <v>217.049</v>
      </c>
      <c r="P24" s="258" t="n">
        <v>458.483</v>
      </c>
      <c r="Q24" s="258" t="n">
        <v>734.322</v>
      </c>
      <c r="R24" s="258" t="n">
        <v>1059.114</v>
      </c>
      <c r="S24" s="258" t="n">
        <v>377.493</v>
      </c>
      <c r="T24" s="258" t="n">
        <v>793.699</v>
      </c>
      <c r="U24" s="258" t="n">
        <v>1303.765</v>
      </c>
      <c r="V24" s="258" t="n">
        <v>1895.775</v>
      </c>
      <c r="W24" s="258" t="n">
        <v>646.761</v>
      </c>
      <c r="X24" s="258" t="n">
        <v>1326.146</v>
      </c>
      <c r="Y24" s="258" t="n">
        <v>2043.227</v>
      </c>
      <c r="Z24" s="258" t="n">
        <v>3481.049</v>
      </c>
      <c r="AA24" s="258" t="n">
        <v>813.581</v>
      </c>
      <c r="AB24" s="258" t="n">
        <v>1858.994</v>
      </c>
      <c r="AC24" s="258" t="n">
        <v>2914.121</v>
      </c>
      <c r="AD24" s="258" t="n">
        <v>4010.493</v>
      </c>
      <c r="AE24" s="258" t="n">
        <v>1070.425</v>
      </c>
      <c r="AF24" s="258" t="n">
        <v>2322.567</v>
      </c>
      <c r="AG24" s="258" t="n">
        <v>3646.428</v>
      </c>
      <c r="AH24" s="258" t="n">
        <v>4882.131</v>
      </c>
      <c r="AI24" s="258" t="n">
        <v>1340.958</v>
      </c>
      <c r="AJ24" s="258" t="n">
        <v>1291.856</v>
      </c>
    </row>
    <row r="25">
      <c r="G25" t="inlineStr">
        <is>
          <t>moeda</t>
        </is>
      </c>
      <c r="H25" t="inlineStr">
        <is>
          <t>Compra de imobilizado operacional para locacao (DFC l.32, acum.) - memoria</t>
        </is>
      </c>
      <c r="J25" t="inlineStr">
        <is>
          <t>memoria</t>
        </is>
      </c>
      <c r="K25" s="258" t="n">
        <v>-1245.249</v>
      </c>
      <c r="L25" s="258" t="n">
        <v>-2036.648</v>
      </c>
      <c r="M25" s="258" t="n">
        <v>-3175.716</v>
      </c>
      <c r="N25" s="258" t="n">
        <v>-4460.52</v>
      </c>
      <c r="O25" s="258" t="n">
        <v>-1766.086</v>
      </c>
      <c r="P25" s="258" t="n">
        <v>-3980.548</v>
      </c>
      <c r="Q25" s="258" t="n">
        <v>-7316.132</v>
      </c>
      <c r="R25" s="258" t="n">
        <v>-10084.996</v>
      </c>
      <c r="S25" s="258" t="n">
        <v>-3561.009</v>
      </c>
      <c r="T25" s="258" t="n">
        <v>-7501.827</v>
      </c>
      <c r="U25" s="258" t="n">
        <v>-12980.307</v>
      </c>
      <c r="V25" s="258" t="n">
        <v>-15080.412</v>
      </c>
      <c r="W25" s="258" t="n">
        <v>-3703.141</v>
      </c>
      <c r="X25" s="258" t="n">
        <v>-6491.819</v>
      </c>
      <c r="Y25" s="258" t="n">
        <v>-9095.136</v>
      </c>
      <c r="Z25" s="258" t="n">
        <v>-10477.54</v>
      </c>
      <c r="AA25" s="258" t="n">
        <v>-4241.138</v>
      </c>
      <c r="AB25" s="258" t="n">
        <v>-8468.888999999999</v>
      </c>
      <c r="AC25" s="258" t="n">
        <v>-11831.202</v>
      </c>
      <c r="AD25" s="258" t="n">
        <v>-14859.243</v>
      </c>
      <c r="AE25" s="258" t="n">
        <v>-2614.813</v>
      </c>
      <c r="AF25" s="258" t="n">
        <v>-6178.595</v>
      </c>
      <c r="AG25" s="258" t="n">
        <v>-8977.630999999999</v>
      </c>
      <c r="AH25" s="258" t="n">
        <v>-12997.609</v>
      </c>
      <c r="AI25" s="258" t="n">
        <v>-1809.101</v>
      </c>
      <c r="AJ25" s="258" t="n">
        <v>-4642.176</v>
      </c>
    </row>
    <row r="26">
      <c r="H26" s="254" t="inlineStr">
        <is>
          <t>DERIVADAS (formula nesta aba)</t>
        </is>
      </c>
    </row>
    <row r="27">
      <c r="A27" t="n">
        <v>4</v>
      </c>
      <c r="B27" t="n">
        <v>-1</v>
      </c>
      <c r="C27" t="n">
        <v>2</v>
      </c>
      <c r="D27" t="n">
        <v>1</v>
      </c>
      <c r="G27" t="inlineStr">
        <is>
          <t>moeda</t>
        </is>
      </c>
      <c r="H27" t="inlineStr">
        <is>
          <t>D&amp;A = EBITDA - EBIT divulgados (l.49 - l.28). COD1=4 lanca; COD2=2 devolve ao custo (depreciacao da frota esta no custo)</t>
        </is>
      </c>
      <c r="J27" t="inlineStr">
        <is>
          <t>derivada</t>
        </is>
      </c>
      <c r="K27" s="258">
        <f>K20-K19</f>
        <v>275.68271341</v>
      </c>
      <c r="L27" s="258">
        <f>L20-L19</f>
        <v>271.90979999</v>
      </c>
      <c r="M27" s="258">
        <f>M20-M19</f>
        <v>290.25133795755</v>
      </c>
      <c r="N27" s="258">
        <f>N20-N19</f>
        <v>274.107593500965</v>
      </c>
      <c r="O27" s="258">
        <f>O20-O19</f>
        <v>217.049</v>
      </c>
      <c r="P27" s="258">
        <f>P20-P19</f>
        <v>241.434278302253</v>
      </c>
      <c r="Q27" s="258">
        <f>Q20-Q19</f>
        <v>275.839366386516</v>
      </c>
      <c r="R27" s="258">
        <f>R20-R19</f>
        <v>324.792357953573</v>
      </c>
      <c r="S27" s="258">
        <f>S20-S19</f>
        <v>377.493</v>
      </c>
      <c r="T27" s="258">
        <f>T20-T19</f>
        <v>416.207797423699</v>
      </c>
      <c r="U27" s="258">
        <f>U20-U19</f>
        <v>510.065305927525</v>
      </c>
      <c r="V27" s="258">
        <f>V20-V19</f>
        <v>582.510896648771</v>
      </c>
      <c r="W27" s="258">
        <f>W20-W19</f>
        <v>646.759784850327</v>
      </c>
      <c r="X27" s="258">
        <f>X20-X19</f>
        <v>679.385996476699</v>
      </c>
      <c r="Y27" s="258">
        <f>Y20-Y19</f>
        <v>717.081006699591</v>
      </c>
      <c r="Z27" s="258">
        <f>Z20-Z19</f>
        <v>1060.72584447304</v>
      </c>
      <c r="AA27" s="258">
        <f>AA20-AA19</f>
        <v>821.97976934</v>
      </c>
      <c r="AB27" s="258">
        <f>AB20-AB19</f>
        <v>897.643222139999</v>
      </c>
      <c r="AC27" s="258">
        <f>AC20-AC19</f>
        <v>997.19452895</v>
      </c>
      <c r="AD27" s="258">
        <f>AD20-AD19</f>
        <v>974.302369919992</v>
      </c>
      <c r="AE27" s="258">
        <f>AE20-AE19</f>
        <v>1052.41326183</v>
      </c>
      <c r="AF27" s="258">
        <f>AF20-AF19</f>
        <v>1118.94089968</v>
      </c>
      <c r="AG27" s="258">
        <f>AG20-AG19</f>
        <v>1172.06197375</v>
      </c>
      <c r="AH27" s="258">
        <f>AH20-AH19</f>
        <v>1197.96966854999</v>
      </c>
      <c r="AI27" s="258">
        <f>AI20-AI19</f>
        <v>1239.92653653</v>
      </c>
      <c r="AJ27" s="258">
        <f>AJ20-AJ19</f>
        <v>1253.5541439</v>
      </c>
    </row>
    <row r="28">
      <c r="A28" t="n">
        <v>9</v>
      </c>
      <c r="B28" t="n">
        <v>1</v>
      </c>
      <c r="G28" t="inlineStr">
        <is>
          <t>moeda</t>
        </is>
      </c>
      <c r="H28" t="inlineStr">
        <is>
          <t>Participacao de nao controladores = lucro dos controladores - lucro total (l.46 - l.43; negativo quando os minoritarios tem lucro)</t>
        </is>
      </c>
      <c r="J28" t="inlineStr">
        <is>
          <t>derivada</t>
        </is>
      </c>
      <c r="K28" s="258">
        <f>K18-K17</f>
        <v>-28.7834246895495</v>
      </c>
      <c r="L28" s="258">
        <f>L18-L17</f>
        <v>18.6101032599994</v>
      </c>
      <c r="M28" s="258">
        <f>M18-M17</f>
        <v>-14.0370225324491</v>
      </c>
      <c r="N28" s="258">
        <f>N18-N17</f>
        <v>-75.9310132972963</v>
      </c>
      <c r="O28" s="258">
        <f>O18-O17</f>
        <v>-76.9250735250731</v>
      </c>
      <c r="P28" s="258">
        <f>P18-P17</f>
        <v>-124.58567863375</v>
      </c>
      <c r="Q28" s="258">
        <f>Q18-Q17</f>
        <v>-153.591501483998</v>
      </c>
      <c r="R28" s="258">
        <f>R18-R17</f>
        <v>-151.592746357179</v>
      </c>
      <c r="S28" s="258">
        <f>S18-S17</f>
        <v>-136.847</v>
      </c>
      <c r="T28" s="258">
        <f>T18-T17</f>
        <v>-110.9852</v>
      </c>
      <c r="U28" s="258">
        <f>U18-U17</f>
        <v>-92.4970004588794</v>
      </c>
      <c r="V28" s="258">
        <f>V18-V17</f>
        <v>-118.295958750104</v>
      </c>
      <c r="W28" s="258">
        <f>W18-W17</f>
        <v>-70.7426245306207</v>
      </c>
      <c r="X28" s="258">
        <f>X18-X17</f>
        <v>-87.5566520721374</v>
      </c>
      <c r="Y28" s="258">
        <f>Y18-Y17</f>
        <v>-25.8757774607182</v>
      </c>
      <c r="Z28" s="258">
        <f>Z18-Z17</f>
        <v>340.804619350459</v>
      </c>
      <c r="AA28" s="258">
        <f>AA18-AA17</f>
        <v>-85.7682701999996</v>
      </c>
      <c r="AB28" s="258">
        <f>AB18-AB17</f>
        <v>-92.5487251900008</v>
      </c>
      <c r="AC28" s="258">
        <f>AC18-AC17</f>
        <v>-92.0911763899984</v>
      </c>
      <c r="AD28" s="258">
        <f>AD18-AD17</f>
        <v>-21.5790149600092</v>
      </c>
      <c r="AE28" s="258">
        <f>AE18-AE17</f>
        <v>-62.5514536300002</v>
      </c>
      <c r="AF28" s="258">
        <f>AF18-AF17</f>
        <v>-53.367175980002</v>
      </c>
      <c r="AG28" s="258">
        <f>AG18-AG17</f>
        <v>-7.68147334999821</v>
      </c>
      <c r="AH28" s="258">
        <f>AH18-AH17</f>
        <v>-49.920327010004</v>
      </c>
      <c r="AI28" s="258">
        <f>AI18-AI17</f>
        <v>-5.3206806599988</v>
      </c>
      <c r="AJ28" s="258">
        <f>AJ18-AJ17</f>
        <v>-38.3478649500031</v>
      </c>
    </row>
    <row r="29">
      <c r="A29" t="n">
        <v>44</v>
      </c>
      <c r="B29" t="n">
        <v>1</v>
      </c>
      <c r="G29" t="inlineStr">
        <is>
          <t>moeda</t>
        </is>
      </c>
      <c r="H29" t="inlineStr">
        <is>
          <t>Lucro liquido dos controladores (l.46) - COD 44 alimenta o check IS do Model (linha 4)</t>
        </is>
      </c>
      <c r="J29" t="inlineStr">
        <is>
          <t>derivada</t>
        </is>
      </c>
      <c r="K29" s="258">
        <f>K18</f>
        <v>54.4</v>
      </c>
      <c r="L29" s="258">
        <f>L18</f>
        <v>155.40026992</v>
      </c>
      <c r="M29" s="258">
        <f>M18</f>
        <v>73.166</v>
      </c>
      <c r="N29" s="258">
        <f>N18</f>
        <v>138.964643389957</v>
      </c>
      <c r="O29" s="258">
        <f>O18</f>
        <v>94.243</v>
      </c>
      <c r="P29" s="258">
        <f>P18</f>
        <v>267.247</v>
      </c>
      <c r="Q29" s="258">
        <f>Q18</f>
        <v>245.763</v>
      </c>
      <c r="R29" s="258">
        <f>R18</f>
        <v>215.002</v>
      </c>
      <c r="S29" s="258">
        <f>S18</f>
        <v>191.676</v>
      </c>
      <c r="T29" s="258">
        <f>T18</f>
        <v>101.977</v>
      </c>
      <c r="U29" s="258">
        <f>U18</f>
        <v>18.501</v>
      </c>
      <c r="V29" s="258">
        <f>V18</f>
        <v>169.929</v>
      </c>
      <c r="W29" s="258">
        <f>W18</f>
        <v>6.189</v>
      </c>
      <c r="X29" s="258">
        <f>X18</f>
        <v>12.329</v>
      </c>
      <c r="Y29" s="258">
        <f>Y18</f>
        <v>-136.515</v>
      </c>
      <c r="Z29" s="258">
        <f>Z18</f>
        <v>-377.224</v>
      </c>
      <c r="AA29" s="258">
        <f>AA18</f>
        <v>-13.05523078</v>
      </c>
      <c r="AB29" s="258">
        <f>AB18</f>
        <v>49.29983453</v>
      </c>
      <c r="AC29" s="258">
        <f>AC18</f>
        <v>10.84224994</v>
      </c>
      <c r="AD29" s="258">
        <f>AD18</f>
        <v>-245.24247127</v>
      </c>
      <c r="AE29" s="258">
        <f>AE18</f>
        <v>-50.953</v>
      </c>
      <c r="AF29" s="258">
        <f>AF18</f>
        <v>-96.291</v>
      </c>
      <c r="AG29" s="258">
        <f>AG18</f>
        <v>-246.193</v>
      </c>
      <c r="AH29" s="258">
        <f>AH18</f>
        <v>432.908</v>
      </c>
      <c r="AI29" s="258">
        <f>AI18</f>
        <v>-179.59733257</v>
      </c>
      <c r="AJ29" s="258">
        <f>AJ18</f>
        <v>-189.46966743</v>
      </c>
    </row>
    <row r="30">
      <c r="A30" t="n">
        <v>10</v>
      </c>
      <c r="B30" t="n">
        <v>1</v>
      </c>
      <c r="G30" t="inlineStr">
        <is>
          <t>moeda</t>
        </is>
      </c>
      <c r="H30" t="inlineStr">
        <is>
          <t>Dividendos e JCP pagos (DFC trimestralizado; trimestres com reapresentacao podem sair positivos)</t>
        </is>
      </c>
      <c r="J30" t="inlineStr">
        <is>
          <t>derivada</t>
        </is>
      </c>
      <c r="K30" s="258">
        <f>N(K23)</f>
        <v>-41.585</v>
      </c>
      <c r="L30" s="258">
        <f>N(L23)-N(K23)</f>
        <v>-13.825</v>
      </c>
      <c r="M30" s="258">
        <f>N(M23)-N(L23)</f>
        <v>21.454</v>
      </c>
      <c r="N30" s="258">
        <f>N(N23)-N(M23)</f>
        <v>-14.9</v>
      </c>
      <c r="O30" s="258">
        <f>N(O23)</f>
        <v>-23.249</v>
      </c>
      <c r="P30" s="258">
        <f>N(P23)-N(O23)</f>
        <v>-60.257</v>
      </c>
      <c r="Q30" s="258">
        <f>N(Q23)-N(P23)</f>
        <v>-30.1</v>
      </c>
      <c r="R30" s="258">
        <f>N(R23)-N(Q23)</f>
        <v>-112.967</v>
      </c>
      <c r="S30" s="258">
        <f>N(S23)</f>
        <v>-125.184</v>
      </c>
      <c r="T30" s="258">
        <f>N(T23)-N(S23)</f>
        <v>-421.481</v>
      </c>
      <c r="U30" s="258">
        <f>N(U23)-N(T23)</f>
        <v>-49.193</v>
      </c>
      <c r="V30" s="258">
        <f>N(V23)-N(U23)</f>
        <v>180.674</v>
      </c>
      <c r="W30" s="258">
        <f>N(W23)</f>
        <v>-125.974</v>
      </c>
      <c r="X30" s="258">
        <f>N(X23)-N(W23)</f>
        <v>-109.124</v>
      </c>
      <c r="Y30" s="258">
        <f>N(Y23)-N(X23)</f>
        <v>-22.684</v>
      </c>
      <c r="Z30" s="258">
        <f>N(Z23)-N(Y23)</f>
        <v>-223.781</v>
      </c>
      <c r="AA30" s="258">
        <f>N(AA23)</f>
        <v>0</v>
      </c>
      <c r="AB30" s="258">
        <f>N(AB23)-N(AA23)</f>
        <v>0</v>
      </c>
      <c r="AC30" s="258">
        <f>N(AC23)-N(AB23)</f>
        <v>-112.087</v>
      </c>
      <c r="AD30" s="258">
        <f>N(AD23)-N(AC23)</f>
        <v>-45.091</v>
      </c>
      <c r="AE30" s="258">
        <f>N(AE23)</f>
        <v>-40.884</v>
      </c>
      <c r="AF30" s="258">
        <f>N(AF23)-N(AE23)</f>
        <v>-189.751</v>
      </c>
      <c r="AG30" s="258">
        <f>N(AG23)-N(AF23)</f>
        <v>-5.80200000000002</v>
      </c>
      <c r="AH30" s="258">
        <f>N(AH23)-N(AG23)</f>
        <v>7.38600000000002</v>
      </c>
      <c r="AI30" s="258">
        <f>N(AI23)</f>
        <v>0</v>
      </c>
      <c r="AJ30" s="258">
        <f>N(AJ23)-N(AI23)</f>
        <v>-168.72</v>
      </c>
    </row>
    <row r="31">
      <c r="G31" t="inlineStr">
        <is>
          <t>moeda</t>
        </is>
      </c>
      <c r="H31" t="inlineStr">
        <is>
          <t>Capex de frota (DFC trimestralizado) - memoria</t>
        </is>
      </c>
      <c r="J31" t="inlineStr">
        <is>
          <t>derivada</t>
        </is>
      </c>
      <c r="K31" s="258">
        <f>N(K25)</f>
        <v>-1245.249</v>
      </c>
      <c r="L31" s="258">
        <f>N(L25)-N(K25)</f>
        <v>-791.399</v>
      </c>
      <c r="M31" s="258">
        <f>N(M25)-N(L25)</f>
        <v>-1139.068</v>
      </c>
      <c r="N31" s="258">
        <f>N(N25)-N(M25)</f>
        <v>-1284.804</v>
      </c>
      <c r="O31" s="258">
        <f>N(O25)</f>
        <v>-1766.086</v>
      </c>
      <c r="P31" s="258">
        <f>N(P25)-N(O25)</f>
        <v>-2214.462</v>
      </c>
      <c r="Q31" s="258">
        <f>N(Q25)-N(P25)</f>
        <v>-3335.584</v>
      </c>
      <c r="R31" s="258">
        <f>N(R25)-N(Q25)</f>
        <v>-2768.864</v>
      </c>
      <c r="S31" s="258">
        <f>N(S25)</f>
        <v>-3561.009</v>
      </c>
      <c r="T31" s="258">
        <f>N(T25)-N(S25)</f>
        <v>-3940.818</v>
      </c>
      <c r="U31" s="258">
        <f>N(U25)-N(T25)</f>
        <v>-5478.48</v>
      </c>
      <c r="V31" s="258">
        <f>N(V25)-N(U25)</f>
        <v>-2100.105</v>
      </c>
      <c r="W31" s="258">
        <f>N(W25)</f>
        <v>-3703.141</v>
      </c>
      <c r="X31" s="258">
        <f>N(X25)-N(W25)</f>
        <v>-2788.678</v>
      </c>
      <c r="Y31" s="258">
        <f>N(Y25)-N(X25)</f>
        <v>-2603.317</v>
      </c>
      <c r="Z31" s="258">
        <f>N(Z25)-N(Y25)</f>
        <v>-1382.404</v>
      </c>
      <c r="AA31" s="258">
        <f>N(AA25)</f>
        <v>-4241.138</v>
      </c>
      <c r="AB31" s="258">
        <f>N(AB25)-N(AA25)</f>
        <v>-4227.751</v>
      </c>
      <c r="AC31" s="258">
        <f>N(AC25)-N(AB25)</f>
        <v>-3362.313</v>
      </c>
      <c r="AD31" s="258">
        <f>N(AD25)-N(AC25)</f>
        <v>-3028.041</v>
      </c>
      <c r="AE31" s="258">
        <f>N(AE25)</f>
        <v>-2614.813</v>
      </c>
      <c r="AF31" s="258">
        <f>N(AF25)-N(AE25)</f>
        <v>-3563.782</v>
      </c>
      <c r="AG31" s="258">
        <f>N(AG25)-N(AF25)</f>
        <v>-2799.036</v>
      </c>
      <c r="AH31" s="258">
        <f>N(AH25)-N(AG25)</f>
        <v>-4019.978</v>
      </c>
      <c r="AI31" s="258">
        <f>N(AI25)</f>
        <v>-1809.101</v>
      </c>
      <c r="AJ31" s="258">
        <f>N(AJ25)-N(AI25)</f>
        <v>-2833.075</v>
      </c>
    </row>
    <row r="32">
      <c r="H32" s="254" t="inlineStr">
        <is>
          <t>BALANCO (aba Consolidado, linhas 64-181; R$ milhoes, fim de trimestre)</t>
        </is>
      </c>
    </row>
    <row r="33">
      <c r="A33" t="n">
        <v>11</v>
      </c>
      <c r="B33" t="n">
        <v>1</v>
      </c>
      <c r="G33" t="inlineStr">
        <is>
          <t>moeda</t>
        </is>
      </c>
      <c r="H33" t="inlineStr">
        <is>
          <t>A: Caixa e equivalentes de caixa (l.67)</t>
        </is>
      </c>
      <c r="J33" t="inlineStr">
        <is>
          <t>fonte</t>
        </is>
      </c>
      <c r="K33" s="258" t="n">
        <v>580.58739045</v>
      </c>
      <c r="L33" s="258" t="n">
        <v>753.93435972</v>
      </c>
      <c r="M33" s="258" t="n">
        <v>641.479</v>
      </c>
      <c r="N33" s="258" t="n">
        <v>409.601375088722</v>
      </c>
      <c r="O33" s="258" t="n">
        <v>1726.238997295713</v>
      </c>
      <c r="P33" s="258" t="n">
        <v>3301.653</v>
      </c>
      <c r="Q33" s="258" t="n">
        <v>5168.084</v>
      </c>
      <c r="R33" s="258" t="n">
        <v>1029.384</v>
      </c>
      <c r="S33" s="258" t="n">
        <v>2552.381</v>
      </c>
      <c r="T33" s="258" t="n">
        <v>2530.055</v>
      </c>
      <c r="U33" s="258" t="n">
        <v>1884.29</v>
      </c>
      <c r="V33" s="258" t="n">
        <v>1718.025</v>
      </c>
      <c r="W33" s="258" t="n">
        <v>2623.671679392467</v>
      </c>
      <c r="X33" s="258" t="n">
        <v>1586.507176430058</v>
      </c>
      <c r="Y33" s="258" t="n">
        <v>1636.283275941705</v>
      </c>
      <c r="Z33" s="258" t="n">
        <v>1345.474992551638</v>
      </c>
      <c r="AA33" s="258" t="n">
        <v>1553.011990958852</v>
      </c>
      <c r="AB33" s="258" t="n">
        <v>2098.161657756172</v>
      </c>
      <c r="AC33" s="258" t="n">
        <v>1868.154365105227</v>
      </c>
      <c r="AD33" s="258" t="n">
        <v>1885.41536947</v>
      </c>
      <c r="AE33" s="258" t="n">
        <v>1730.6383785</v>
      </c>
      <c r="AF33" s="258" t="n">
        <v>2214.58663282</v>
      </c>
      <c r="AG33" s="258" t="n">
        <v>3105.45185032</v>
      </c>
      <c r="AH33" s="258" t="n">
        <v>2953.81101289</v>
      </c>
      <c r="AI33" s="258" t="n">
        <v>3477.94846539</v>
      </c>
      <c r="AJ33" s="258" t="n">
        <v>3441.56732972</v>
      </c>
    </row>
    <row r="34">
      <c r="A34" t="n">
        <v>11</v>
      </c>
      <c r="B34" t="n">
        <v>1</v>
      </c>
      <c r="G34" t="inlineStr">
        <is>
          <t>moeda</t>
        </is>
      </c>
      <c r="H34" t="inlineStr">
        <is>
          <t>A: Títulos e valores mobiliários (l.68)</t>
        </is>
      </c>
      <c r="J34" t="inlineStr">
        <is>
          <t>fonte</t>
        </is>
      </c>
      <c r="K34" s="258" t="n">
        <v>5935.25467395</v>
      </c>
      <c r="L34" s="258" t="n">
        <v>7483.99052121</v>
      </c>
      <c r="M34" s="258" t="n">
        <v>7128.441</v>
      </c>
      <c r="N34" s="258" t="n">
        <v>7918.779960350001</v>
      </c>
      <c r="O34" s="258" t="n">
        <v>9102.15195508</v>
      </c>
      <c r="P34" s="258" t="n">
        <v>8800.844999999999</v>
      </c>
      <c r="Q34" s="258" t="n">
        <v>11475.516</v>
      </c>
      <c r="R34" s="258" t="n">
        <v>17622.841</v>
      </c>
      <c r="S34" s="258" t="n">
        <v>12143.677</v>
      </c>
      <c r="T34" s="258" t="n">
        <v>12483.413</v>
      </c>
      <c r="U34" s="258" t="n">
        <v>13473.979</v>
      </c>
      <c r="V34" s="258" t="n">
        <v>11024.128</v>
      </c>
      <c r="W34" s="258" t="n">
        <v>7154.999112232001</v>
      </c>
      <c r="X34" s="258" t="n">
        <v>6184.316586702</v>
      </c>
      <c r="Y34" s="258" t="n">
        <v>6324.008337712</v>
      </c>
      <c r="Z34" s="258" t="n">
        <v>9600.8353491035</v>
      </c>
      <c r="AA34" s="258" t="n">
        <v>11216.0673866529</v>
      </c>
      <c r="AB34" s="258" t="n">
        <v>9927.847502032</v>
      </c>
      <c r="AC34" s="258" t="n">
        <v>12137.606338857</v>
      </c>
      <c r="AD34" s="258" t="n">
        <v>11288.47859747</v>
      </c>
      <c r="AE34" s="258" t="n">
        <v>11594.21745237</v>
      </c>
      <c r="AF34" s="258" t="n">
        <v>10123.04575635</v>
      </c>
      <c r="AG34" s="258" t="n">
        <v>9369.580414170001</v>
      </c>
      <c r="AH34" s="258" t="n">
        <v>11074.64756949</v>
      </c>
      <c r="AI34" s="258" t="n">
        <v>11703.55648949</v>
      </c>
      <c r="AJ34" s="258" t="n">
        <v>10442.73018776</v>
      </c>
    </row>
    <row r="35">
      <c r="A35" t="n">
        <v>16</v>
      </c>
      <c r="B35" t="n">
        <v>1</v>
      </c>
      <c r="G35" t="inlineStr">
        <is>
          <t>moeda</t>
        </is>
      </c>
      <c r="H35" t="inlineStr">
        <is>
          <t>A: Instrumentos financeiros derivativos (l.69)</t>
        </is>
      </c>
      <c r="J35" t="inlineStr">
        <is>
          <t>fonte</t>
        </is>
      </c>
      <c r="K35" s="258" t="n">
        <v>30.05890045</v>
      </c>
      <c r="L35" s="258" t="n">
        <v>30.92131125</v>
      </c>
      <c r="M35" s="258" t="n">
        <v>82.09999999999999</v>
      </c>
      <c r="N35" s="258" t="n">
        <v>80.38</v>
      </c>
      <c r="O35" s="258" t="n">
        <v>20.33802997</v>
      </c>
      <c r="P35" s="258" t="n">
        <v>0.116</v>
      </c>
      <c r="Q35" s="258" t="n">
        <v>0.147</v>
      </c>
      <c r="R35" s="258" t="n">
        <v>0.147</v>
      </c>
      <c r="S35" s="258" t="n">
        <v>0.147</v>
      </c>
      <c r="T35" s="258" t="n">
        <v>0.079</v>
      </c>
      <c r="U35" s="258" t="n">
        <v>7.605</v>
      </c>
      <c r="V35" s="258" t="n">
        <v>0.08599999999999999</v>
      </c>
      <c r="W35" s="258" t="n">
        <v>0.08202530000000001</v>
      </c>
      <c r="X35" s="258" t="n">
        <v>0.04496455000000001</v>
      </c>
      <c r="Y35" s="258" t="n">
        <v>2.72515041</v>
      </c>
      <c r="Z35" s="258" t="n">
        <v>29.18099713</v>
      </c>
      <c r="AA35" s="258" t="n">
        <v>31.84003521</v>
      </c>
      <c r="AB35" s="258" t="n">
        <v>248.27592153</v>
      </c>
      <c r="AC35" s="258" t="n">
        <v>272.111478598</v>
      </c>
      <c r="AD35" s="258" t="n">
        <v>1033.60624455</v>
      </c>
      <c r="AE35" s="258" t="n">
        <v>521.73347004</v>
      </c>
      <c r="AF35" s="258" t="n">
        <v>157.77192001</v>
      </c>
      <c r="AG35" s="258" t="n">
        <v>156.77727466</v>
      </c>
      <c r="AH35" s="258" t="n">
        <v>147.0672794</v>
      </c>
      <c r="AI35" s="258" t="n">
        <v>116.73912121</v>
      </c>
      <c r="AJ35" s="258" t="n">
        <v>84.27130829000001</v>
      </c>
    </row>
    <row r="36">
      <c r="A36" t="n">
        <v>12</v>
      </c>
      <c r="B36" t="n">
        <v>1</v>
      </c>
      <c r="G36" t="inlineStr">
        <is>
          <t>moeda</t>
        </is>
      </c>
      <c r="H36" t="inlineStr">
        <is>
          <t>A: Contas a receber (l.70)</t>
        </is>
      </c>
      <c r="J36" t="inlineStr">
        <is>
          <t>fonte</t>
        </is>
      </c>
      <c r="K36" s="258" t="n">
        <v>1591.86353107</v>
      </c>
      <c r="L36" s="258" t="n">
        <v>1627.08897217</v>
      </c>
      <c r="M36" s="258" t="n">
        <v>1741.4563492</v>
      </c>
      <c r="N36" s="258" t="n">
        <v>1934.445891989252</v>
      </c>
      <c r="O36" s="258" t="n">
        <v>2151.392651979327</v>
      </c>
      <c r="P36" s="258" t="n">
        <v>2430.89</v>
      </c>
      <c r="Q36" s="258" t="n">
        <v>2779.127</v>
      </c>
      <c r="R36" s="258" t="n">
        <v>3260.329</v>
      </c>
      <c r="S36" s="258" t="n">
        <v>3702.988</v>
      </c>
      <c r="T36" s="258" t="n">
        <v>3976.906</v>
      </c>
      <c r="U36" s="258" t="n">
        <v>4223.848</v>
      </c>
      <c r="V36" s="258" t="n">
        <v>4433.345</v>
      </c>
      <c r="W36" s="258" t="n">
        <v>4794.60207892478</v>
      </c>
      <c r="X36" s="258" t="n">
        <v>5221.968302857932</v>
      </c>
      <c r="Y36" s="258" t="n">
        <v>5708.640767071488</v>
      </c>
      <c r="Z36" s="258" t="n">
        <v>5106.680167460789</v>
      </c>
      <c r="AA36" s="258" t="n">
        <v>5418.712736770478</v>
      </c>
      <c r="AB36" s="258" t="n">
        <v>5801.98116487911</v>
      </c>
      <c r="AC36" s="258" t="n">
        <v>6344.784781639932</v>
      </c>
      <c r="AD36" s="258" t="n">
        <v>6051.44102391</v>
      </c>
      <c r="AE36" s="258" t="n">
        <v>6817.36007656</v>
      </c>
      <c r="AF36" s="258" t="n">
        <v>7493.702155030001</v>
      </c>
      <c r="AG36" s="258" t="n">
        <v>7771.081049480001</v>
      </c>
      <c r="AH36" s="258" t="n">
        <v>7614.797690779999</v>
      </c>
      <c r="AI36" s="258" t="n">
        <v>7759.61530065</v>
      </c>
      <c r="AJ36" s="258" t="n">
        <v>8715.74125397</v>
      </c>
    </row>
    <row r="37">
      <c r="A37" t="n">
        <v>13</v>
      </c>
      <c r="B37" t="n">
        <v>1</v>
      </c>
      <c r="G37" t="inlineStr">
        <is>
          <t>moeda</t>
        </is>
      </c>
      <c r="H37" t="inlineStr">
        <is>
          <t>A: Estoques (l.71)</t>
        </is>
      </c>
      <c r="J37" t="inlineStr">
        <is>
          <t>fonte</t>
        </is>
      </c>
      <c r="K37" s="258" t="n">
        <v>308.24343693</v>
      </c>
      <c r="L37" s="258" t="n">
        <v>292.12008807</v>
      </c>
      <c r="M37" s="258" t="n">
        <v>235.5613089</v>
      </c>
      <c r="N37" s="258" t="n">
        <v>213.01692523216</v>
      </c>
      <c r="O37" s="258" t="n">
        <v>255.3625673202476</v>
      </c>
      <c r="P37" s="258" t="n">
        <v>378.575</v>
      </c>
      <c r="Q37" s="258" t="n">
        <v>378.18</v>
      </c>
      <c r="R37" s="258" t="n">
        <v>525.95</v>
      </c>
      <c r="S37" s="258" t="n">
        <v>596.625</v>
      </c>
      <c r="T37" s="258" t="n">
        <v>775.164</v>
      </c>
      <c r="U37" s="258" t="n">
        <v>1166.831</v>
      </c>
      <c r="V37" s="258" t="n">
        <v>1694.32</v>
      </c>
      <c r="W37" s="258" t="n">
        <v>1774.066246812385</v>
      </c>
      <c r="X37" s="258" t="n">
        <v>2010.428732997715</v>
      </c>
      <c r="Y37" s="258" t="n">
        <v>2549.582530291738</v>
      </c>
      <c r="Z37" s="258" t="n">
        <v>2890.50938019952</v>
      </c>
      <c r="AA37" s="258" t="n">
        <v>2876.054845874248</v>
      </c>
      <c r="AB37" s="258" t="n">
        <v>2973.787268087324</v>
      </c>
      <c r="AC37" s="258" t="n">
        <v>3204.842103802702</v>
      </c>
      <c r="AD37" s="258" t="n">
        <v>3180.42084757</v>
      </c>
      <c r="AE37" s="258" t="n">
        <v>3017.70346832</v>
      </c>
      <c r="AF37" s="258" t="n">
        <v>3009.38209893</v>
      </c>
      <c r="AG37" s="258" t="n">
        <v>2814.70355854</v>
      </c>
      <c r="AH37" s="258" t="n">
        <v>2827.60633441</v>
      </c>
      <c r="AI37" s="258" t="n">
        <v>2524.4446876</v>
      </c>
      <c r="AJ37" s="258" t="n">
        <v>2670.24045105</v>
      </c>
    </row>
    <row r="38">
      <c r="A38" t="n">
        <v>16</v>
      </c>
      <c r="B38" t="n">
        <v>1</v>
      </c>
      <c r="G38" t="inlineStr">
        <is>
          <t>moeda</t>
        </is>
      </c>
      <c r="H38" t="inlineStr">
        <is>
          <t>A: Tributos a recuperar (l.72)</t>
        </is>
      </c>
      <c r="J38" t="inlineStr">
        <is>
          <t>fonte</t>
        </is>
      </c>
      <c r="K38" s="258" t="n">
        <v>122.99103046</v>
      </c>
      <c r="L38" s="258" t="n">
        <v>97.70675387</v>
      </c>
      <c r="M38" s="258" t="n">
        <v>115.61313528</v>
      </c>
      <c r="N38" s="258" t="n">
        <v>160.4899735054</v>
      </c>
      <c r="O38" s="258" t="n">
        <v>150.99780006657</v>
      </c>
      <c r="P38" s="258" t="n">
        <v>114.452</v>
      </c>
      <c r="Q38" s="258" t="n">
        <v>162.229</v>
      </c>
      <c r="R38" s="258" t="n">
        <v>325.496</v>
      </c>
      <c r="S38" s="258" t="n">
        <v>377.863</v>
      </c>
      <c r="T38" s="258" t="n">
        <v>446.778</v>
      </c>
      <c r="U38" s="258" t="n">
        <v>496.207</v>
      </c>
      <c r="V38" s="258" t="n">
        <v>361.125</v>
      </c>
      <c r="W38" s="258" t="n">
        <v>325.8876569596653</v>
      </c>
      <c r="X38" s="258" t="n">
        <v>388.858724430696</v>
      </c>
      <c r="Y38" s="258" t="n">
        <v>431.689149147911</v>
      </c>
      <c r="Z38" s="258" t="n">
        <v>499.76456794636</v>
      </c>
      <c r="AA38" s="258" t="n">
        <v>525.301884825358</v>
      </c>
      <c r="AB38" s="258" t="n">
        <v>538.2068115000001</v>
      </c>
      <c r="AC38" s="258" t="n">
        <v>499.487724537225</v>
      </c>
      <c r="AD38" s="258" t="n">
        <v>461.80212933</v>
      </c>
      <c r="AE38" s="258" t="n">
        <v>445.81044868</v>
      </c>
      <c r="AF38" s="258" t="n">
        <v>606.9262839400001</v>
      </c>
      <c r="AG38" s="258" t="n">
        <v>547.3079964900001</v>
      </c>
      <c r="AH38" s="258" t="n">
        <v>506.63814625</v>
      </c>
      <c r="AI38" s="258" t="n">
        <v>585.2383676100001</v>
      </c>
      <c r="AJ38" s="258" t="n">
        <v>446.31355298</v>
      </c>
    </row>
    <row r="39">
      <c r="A39" t="n">
        <v>16</v>
      </c>
      <c r="B39" t="n">
        <v>1</v>
      </c>
      <c r="G39" t="inlineStr">
        <is>
          <t>moeda</t>
        </is>
      </c>
      <c r="H39" t="inlineStr">
        <is>
          <t>A: Imposto de renda e contribuição social a recuperar (l.73)</t>
        </is>
      </c>
      <c r="J39" t="inlineStr">
        <is>
          <t>fonte</t>
        </is>
      </c>
      <c r="K39" s="258" t="n">
        <v>217.93655157</v>
      </c>
      <c r="L39" s="258" t="n">
        <v>372.231783643</v>
      </c>
      <c r="M39" s="258" t="n">
        <v>372.735788763</v>
      </c>
      <c r="N39" s="258" t="n">
        <v>298.451312865</v>
      </c>
      <c r="O39" s="258" t="n">
        <v>214.99822680131</v>
      </c>
      <c r="P39" s="258" t="n">
        <v>268.861</v>
      </c>
      <c r="Q39" s="258" t="n">
        <v>283.454</v>
      </c>
      <c r="R39" s="258" t="n">
        <v>227.643</v>
      </c>
      <c r="S39" s="258" t="n">
        <v>277.368</v>
      </c>
      <c r="T39" s="258" t="n">
        <v>389.085</v>
      </c>
      <c r="U39" s="258" t="n">
        <v>508.702</v>
      </c>
      <c r="V39" s="258" t="n">
        <v>577.912</v>
      </c>
      <c r="W39" s="258" t="n">
        <v>563.139586884557</v>
      </c>
      <c r="X39" s="258" t="n">
        <v>623.514583025</v>
      </c>
      <c r="Y39" s="258" t="n">
        <v>683.0548925872999</v>
      </c>
      <c r="Z39" s="258" t="n">
        <v>855.0758393667217</v>
      </c>
      <c r="AA39" s="258" t="n">
        <v>821.7436173716671</v>
      </c>
      <c r="AB39" s="258" t="n">
        <v>854.2695313649999</v>
      </c>
      <c r="AC39" s="258" t="n">
        <v>822.080076935</v>
      </c>
      <c r="AD39" s="258" t="n">
        <v>937.2342154099999</v>
      </c>
      <c r="AE39" s="258" t="n">
        <v>1086.46577885</v>
      </c>
      <c r="AF39" s="258" t="n">
        <v>1227.82040736</v>
      </c>
      <c r="AG39" s="258" t="n">
        <v>1224.87798008</v>
      </c>
      <c r="AH39" s="258" t="n">
        <v>1091.00480426</v>
      </c>
      <c r="AI39" s="258" t="n">
        <v>1100.73767684</v>
      </c>
      <c r="AJ39" s="258" t="n">
        <v>1189.62874758</v>
      </c>
    </row>
    <row r="40">
      <c r="A40" t="n">
        <v>15</v>
      </c>
      <c r="B40" t="n">
        <v>1</v>
      </c>
      <c r="G40" t="inlineStr">
        <is>
          <t>moeda</t>
        </is>
      </c>
      <c r="H40" t="inlineStr">
        <is>
          <t>A: Despesas antecipadas (l.74)</t>
        </is>
      </c>
      <c r="J40" t="inlineStr">
        <is>
          <t>fonte</t>
        </is>
      </c>
      <c r="K40" s="258" t="n">
        <v>140.32446222</v>
      </c>
      <c r="L40" s="258" t="n">
        <v>110.57020447</v>
      </c>
      <c r="M40" s="258" t="n">
        <v>90.57939162999999</v>
      </c>
      <c r="N40" s="258" t="n">
        <v>58.31422745</v>
      </c>
      <c r="O40" s="258" t="n">
        <v>154.8268738489</v>
      </c>
      <c r="P40" s="258" t="n">
        <v>145.481</v>
      </c>
      <c r="Q40" s="258" t="n">
        <v>115.248</v>
      </c>
      <c r="R40" s="258" t="n">
        <v>67.977</v>
      </c>
      <c r="S40" s="258" t="n">
        <v>219.519</v>
      </c>
      <c r="T40" s="258" t="n">
        <v>189.826</v>
      </c>
      <c r="U40" s="258" t="n">
        <v>176.358</v>
      </c>
      <c r="V40" s="258" t="n">
        <v>98.45699999999999</v>
      </c>
      <c r="W40" s="258" t="n">
        <v>205.0166392576</v>
      </c>
      <c r="X40" s="258" t="n">
        <v>348.50864310987</v>
      </c>
      <c r="Y40" s="258" t="n">
        <v>264.29539219758</v>
      </c>
      <c r="Z40" s="258" t="n">
        <v>127.72710507799</v>
      </c>
      <c r="AA40" s="258" t="n">
        <v>393.75850714171</v>
      </c>
      <c r="AB40" s="258" t="n">
        <v>415.55977247423</v>
      </c>
      <c r="AC40" s="258" t="n">
        <v>320.16496519566</v>
      </c>
      <c r="AD40" s="258" t="n">
        <v>165.44256093</v>
      </c>
      <c r="AE40" s="258" t="n">
        <v>537.1442734799999</v>
      </c>
      <c r="AF40" s="258" t="n">
        <v>508.51691581</v>
      </c>
      <c r="AG40" s="258" t="n">
        <v>346.88826298</v>
      </c>
      <c r="AH40" s="258" t="n">
        <v>211.97374409</v>
      </c>
      <c r="AI40" s="258" t="n">
        <v>581.0685771699999</v>
      </c>
      <c r="AJ40" s="258" t="n">
        <v>475.81639252</v>
      </c>
    </row>
    <row r="41">
      <c r="A41" t="n">
        <v>16</v>
      </c>
      <c r="B41" t="n">
        <v>1</v>
      </c>
      <c r="G41" t="inlineStr">
        <is>
          <t>moeda</t>
        </is>
      </c>
      <c r="H41" t="inlineStr">
        <is>
          <t>A: Dividendos a receber (l.75)</t>
        </is>
      </c>
      <c r="J41" t="inlineStr">
        <is>
          <t>fonte</t>
        </is>
      </c>
      <c r="K41" s="258" t="n">
        <v>0</v>
      </c>
      <c r="L41" s="258" t="n">
        <v>0</v>
      </c>
      <c r="M41" s="258" t="n">
        <v>0.02337902</v>
      </c>
      <c r="N41" s="258" t="n">
        <v>0</v>
      </c>
      <c r="O41" s="258" t="n">
        <v>0</v>
      </c>
      <c r="P41" s="258" t="n">
        <v>0</v>
      </c>
      <c r="Q41" s="258" t="n">
        <v>0</v>
      </c>
      <c r="R41" s="258" t="n">
        <v>0</v>
      </c>
      <c r="S41" s="258" t="n">
        <v>0</v>
      </c>
      <c r="T41" s="258" t="n">
        <v>0.28</v>
      </c>
      <c r="U41" s="258" t="n">
        <v>0.572</v>
      </c>
      <c r="V41" s="258" t="n">
        <v>0</v>
      </c>
      <c r="W41" s="258" t="n">
        <v>0.32206496</v>
      </c>
      <c r="X41" s="258" t="n">
        <v>1e-08</v>
      </c>
      <c r="Y41" s="258" t="n">
        <v>-5e-08</v>
      </c>
      <c r="Z41" s="258" t="n">
        <v>-5e-08</v>
      </c>
      <c r="AA41" s="258" t="n">
        <v>0.58519963</v>
      </c>
      <c r="AB41" s="258" t="n">
        <v>0.5851996399999999</v>
      </c>
      <c r="AC41" s="258" t="n">
        <v>0.5851996899999999</v>
      </c>
      <c r="AD41" s="258" t="n">
        <v>0.7481606299999999</v>
      </c>
      <c r="AE41" s="258" t="n">
        <v>0.16296194</v>
      </c>
      <c r="AF41" s="258" t="n">
        <v>0.43468422</v>
      </c>
      <c r="AG41" s="258" t="n">
        <v>0.43464383</v>
      </c>
      <c r="AH41" s="258" t="n">
        <v>0.4346845</v>
      </c>
      <c r="AI41" s="258" t="n">
        <v>3.34464383</v>
      </c>
      <c r="AJ41" s="258" t="n">
        <v>0.58093421</v>
      </c>
    </row>
    <row r="42">
      <c r="A42" t="n">
        <v>16</v>
      </c>
      <c r="B42" t="n">
        <v>1</v>
      </c>
      <c r="G42" t="inlineStr">
        <is>
          <t>moeda</t>
        </is>
      </c>
      <c r="H42" t="inlineStr">
        <is>
          <t>A: Ativo imobilizado disponibilizado para venda (l.76) (frota desmobilizada para venda)</t>
        </is>
      </c>
      <c r="J42" t="inlineStr">
        <is>
          <t>fonte</t>
        </is>
      </c>
      <c r="K42" s="258" t="n">
        <v>633.57520647</v>
      </c>
      <c r="L42" s="258" t="n">
        <v>684.0163714400001</v>
      </c>
      <c r="M42" s="258" t="n">
        <v>314.73309976</v>
      </c>
      <c r="N42" s="258" t="n">
        <v>320.87883051</v>
      </c>
      <c r="O42" s="258" t="n">
        <v>359.34465392</v>
      </c>
      <c r="P42" s="258" t="n">
        <v>508.655</v>
      </c>
      <c r="Q42" s="258" t="n">
        <v>459.638</v>
      </c>
      <c r="R42" s="258" t="n">
        <v>431.962</v>
      </c>
      <c r="S42" s="258" t="n">
        <v>757.035</v>
      </c>
      <c r="T42" s="258" t="n">
        <v>851.292</v>
      </c>
      <c r="U42" s="258" t="n">
        <v>1218.401</v>
      </c>
      <c r="V42" s="258" t="n">
        <v>1527.738</v>
      </c>
      <c r="W42" s="258" t="n">
        <v>1320.49897519</v>
      </c>
      <c r="X42" s="258" t="n">
        <v>1262.91724934</v>
      </c>
      <c r="Y42" s="258" t="n">
        <v>1515.0642818</v>
      </c>
      <c r="Z42" s="258" t="n">
        <v>1262.2403463</v>
      </c>
      <c r="AA42" s="258" t="n">
        <v>1642.61802711</v>
      </c>
      <c r="AB42" s="258" t="n">
        <v>1931.59782094</v>
      </c>
      <c r="AC42" s="258" t="n">
        <v>1992.7721687</v>
      </c>
      <c r="AD42" s="258" t="n">
        <v>1575.61417951</v>
      </c>
      <c r="AE42" s="258" t="n">
        <v>2188.21980678</v>
      </c>
      <c r="AF42" s="258" t="n">
        <v>2405.42177814</v>
      </c>
      <c r="AG42" s="258" t="n">
        <v>2024.05427022</v>
      </c>
      <c r="AH42" s="258" t="n">
        <v>1337.6632507</v>
      </c>
      <c r="AI42" s="258" t="n">
        <v>1542.34715717</v>
      </c>
      <c r="AJ42" s="258" t="n">
        <v>1575.51576342</v>
      </c>
    </row>
    <row r="43">
      <c r="A43" t="n">
        <v>16</v>
      </c>
      <c r="B43" t="n">
        <v>1</v>
      </c>
      <c r="G43" t="inlineStr">
        <is>
          <t>moeda</t>
        </is>
      </c>
      <c r="H43" t="inlineStr">
        <is>
          <t>A: Adiantamento de Terceiros (l.77)</t>
        </is>
      </c>
      <c r="J43" t="inlineStr">
        <is>
          <t>fonte</t>
        </is>
      </c>
      <c r="K43" s="258" t="n">
        <v>70.84005156000001</v>
      </c>
      <c r="L43" s="258" t="n">
        <v>40.54509890999999</v>
      </c>
      <c r="M43" s="258" t="n">
        <v>43.78499886</v>
      </c>
      <c r="N43" s="258" t="n">
        <v>43.6891358972</v>
      </c>
      <c r="O43" s="258" t="n">
        <v>45.776</v>
      </c>
      <c r="P43" s="258" t="n">
        <v>52.81</v>
      </c>
      <c r="Q43" s="258" t="n">
        <v>72.56399999999999</v>
      </c>
      <c r="R43" s="258" t="n">
        <v>69.14</v>
      </c>
      <c r="S43" s="258" t="n">
        <v>59.008</v>
      </c>
      <c r="T43" s="258" t="n">
        <v>75.926</v>
      </c>
      <c r="U43" s="258" t="n">
        <v>134.897</v>
      </c>
      <c r="V43" s="258" t="n">
        <v>111.317</v>
      </c>
      <c r="W43" s="258" t="n">
        <v>107.1844539105462</v>
      </c>
      <c r="X43" s="258" t="n">
        <v>225.418797926575</v>
      </c>
      <c r="Y43" s="258" t="n">
        <v>349.2702557870299</v>
      </c>
      <c r="Z43" s="258" t="n">
        <v>380.19028368941</v>
      </c>
      <c r="AA43" s="258" t="n">
        <v>387.1203985241088</v>
      </c>
      <c r="AB43" s="258" t="n">
        <v>377.00344376638</v>
      </c>
      <c r="AC43" s="258" t="n">
        <v>360.7450974478602</v>
      </c>
      <c r="AD43" s="258" t="n">
        <v>404.14144183</v>
      </c>
      <c r="AE43" s="258" t="n">
        <v>313.22812164</v>
      </c>
      <c r="AF43" s="258" t="n">
        <v>364.4096811699999</v>
      </c>
      <c r="AG43" s="258" t="n">
        <v>387.65597687</v>
      </c>
      <c r="AH43" s="258" t="n">
        <v>513.72332792</v>
      </c>
      <c r="AI43" s="258" t="n">
        <v>512.4321661499999</v>
      </c>
      <c r="AJ43" s="258" t="n">
        <v>479.71123978</v>
      </c>
    </row>
    <row r="44">
      <c r="A44" t="n">
        <v>16</v>
      </c>
      <c r="B44" t="n">
        <v>1</v>
      </c>
      <c r="G44" t="inlineStr">
        <is>
          <t>moeda</t>
        </is>
      </c>
      <c r="H44" t="inlineStr">
        <is>
          <t>A: Adiantamento a terceiros - Intergrupo (l.78)</t>
        </is>
      </c>
      <c r="J44" t="inlineStr">
        <is>
          <t>fonte</t>
        </is>
      </c>
      <c r="K44" s="258" t="n">
        <v>0</v>
      </c>
      <c r="L44" s="258" t="n">
        <v>0</v>
      </c>
      <c r="M44" s="258" t="n">
        <v>0</v>
      </c>
      <c r="N44" s="258" t="n">
        <v>0</v>
      </c>
      <c r="O44" s="258" t="n">
        <v>0</v>
      </c>
      <c r="P44" s="258" t="n">
        <v>0</v>
      </c>
      <c r="Q44" s="258" t="n">
        <v>0</v>
      </c>
      <c r="R44" s="258" t="n">
        <v>0</v>
      </c>
      <c r="S44" s="258" t="n">
        <v>69.14400000000001</v>
      </c>
      <c r="T44" s="258" t="n">
        <v>105.091</v>
      </c>
      <c r="U44" s="258" t="n">
        <v>0</v>
      </c>
      <c r="V44" s="258" t="n">
        <v>0</v>
      </c>
      <c r="W44" s="258" t="n">
        <v>0</v>
      </c>
      <c r="X44" s="258" t="n">
        <v>0</v>
      </c>
      <c r="Y44" s="258" t="n">
        <v>0</v>
      </c>
      <c r="Z44" s="258" t="n">
        <v>0.04961745</v>
      </c>
      <c r="AA44" s="258" t="n">
        <v>0</v>
      </c>
      <c r="AB44" s="258" t="n">
        <v>0</v>
      </c>
      <c r="AC44" s="258" t="n">
        <v>0</v>
      </c>
      <c r="AD44" s="258" t="n">
        <v>0</v>
      </c>
      <c r="AE44" s="258" t="n">
        <v>0.79189683</v>
      </c>
      <c r="AF44" s="258" t="n">
        <v>0.59835376</v>
      </c>
      <c r="AG44" s="258" t="n">
        <v>0.8150015899999999</v>
      </c>
      <c r="AH44" s="258" t="n">
        <v>0</v>
      </c>
      <c r="AI44" s="258" t="n">
        <v>-50.77894917</v>
      </c>
      <c r="AJ44" s="258" t="n">
        <v>-23.98446929</v>
      </c>
    </row>
    <row r="45">
      <c r="A45" t="n">
        <v>16</v>
      </c>
      <c r="B45" t="n">
        <v>1</v>
      </c>
      <c r="G45" t="inlineStr">
        <is>
          <t>moeda</t>
        </is>
      </c>
      <c r="H45" t="inlineStr">
        <is>
          <t>A: Outros créditos (l.79)</t>
        </is>
      </c>
      <c r="J45" t="inlineStr">
        <is>
          <t>fonte</t>
        </is>
      </c>
      <c r="K45" s="258" t="n">
        <v>49.15636515999999</v>
      </c>
      <c r="L45" s="258" t="n">
        <v>57.2650458699999</v>
      </c>
      <c r="M45" s="258" t="n">
        <v>52.25461772</v>
      </c>
      <c r="N45" s="258" t="n">
        <v>57.8258926071</v>
      </c>
      <c r="O45" s="258" t="n">
        <v>127.17</v>
      </c>
      <c r="P45" s="258" t="n">
        <v>64.202</v>
      </c>
      <c r="Q45" s="258" t="n">
        <v>47.066</v>
      </c>
      <c r="R45" s="258" t="n">
        <v>0.381</v>
      </c>
      <c r="S45" s="258" t="n">
        <v>0</v>
      </c>
      <c r="T45" s="258" t="n">
        <v>0</v>
      </c>
      <c r="U45" s="258" t="n">
        <v>102.675</v>
      </c>
      <c r="V45" s="258" t="n">
        <v>86.14</v>
      </c>
      <c r="W45" s="258" t="n">
        <v>176.840008423</v>
      </c>
      <c r="X45" s="258" t="n">
        <v>167.7172168198</v>
      </c>
      <c r="Y45" s="258" t="n">
        <v>60.2708752802</v>
      </c>
      <c r="Z45" s="258" t="n">
        <v>62.8483094962</v>
      </c>
      <c r="AA45" s="258" t="n">
        <v>101.9080563256</v>
      </c>
      <c r="AB45" s="258" t="n">
        <v>163.60741515276</v>
      </c>
      <c r="AC45" s="258" t="n">
        <v>149.1006489258</v>
      </c>
      <c r="AD45" s="258" t="n">
        <v>283.91810933</v>
      </c>
      <c r="AE45" s="258" t="n">
        <v>62.98353745999999</v>
      </c>
      <c r="AF45" s="258" t="n">
        <v>464.85863119</v>
      </c>
      <c r="AG45" s="258" t="n">
        <v>418.71846297</v>
      </c>
      <c r="AH45" s="258" t="n">
        <v>363.16159661</v>
      </c>
      <c r="AI45" s="258" t="n">
        <v>487.02705976</v>
      </c>
      <c r="AJ45" s="258" t="n">
        <v>246.40039953</v>
      </c>
    </row>
    <row r="46">
      <c r="A46" t="n">
        <v>16</v>
      </c>
      <c r="B46" t="n">
        <v>1</v>
      </c>
      <c r="G46" t="inlineStr">
        <is>
          <t>moeda</t>
        </is>
      </c>
      <c r="H46" t="inlineStr">
        <is>
          <t>A: Partes Relacionadas (l.80)</t>
        </is>
      </c>
      <c r="J46" t="inlineStr">
        <is>
          <t>fonte</t>
        </is>
      </c>
      <c r="K46" s="258" t="n">
        <v>-0.00122387</v>
      </c>
      <c r="L46" s="258" t="n">
        <v>0</v>
      </c>
      <c r="M46" s="258" t="n">
        <v>0</v>
      </c>
      <c r="N46" s="258" t="n">
        <v>0</v>
      </c>
      <c r="O46" s="258" t="n">
        <v>0</v>
      </c>
      <c r="P46" s="258" t="n">
        <v>0</v>
      </c>
      <c r="Q46" s="258" t="n">
        <v>0</v>
      </c>
      <c r="R46" s="258" t="n">
        <v>0</v>
      </c>
      <c r="S46" s="258" t="n">
        <v>0</v>
      </c>
      <c r="T46" s="258" t="n">
        <v>0.073</v>
      </c>
      <c r="U46" s="258" t="n">
        <v>0.073</v>
      </c>
      <c r="V46" s="258" t="n">
        <v>0.253</v>
      </c>
      <c r="W46" s="258" t="n">
        <v>0.25320551</v>
      </c>
      <c r="X46" s="258" t="n">
        <v>0</v>
      </c>
      <c r="Y46" s="258" t="n">
        <v>0</v>
      </c>
      <c r="Z46" s="258" t="n">
        <v>0</v>
      </c>
      <c r="AA46" s="258" t="n">
        <v>0</v>
      </c>
      <c r="AB46" s="258" t="n">
        <v>0</v>
      </c>
      <c r="AC46" s="258" t="n">
        <v>0</v>
      </c>
      <c r="AD46" s="258" t="n">
        <v>0</v>
      </c>
      <c r="AE46" s="258" t="n">
        <v>0</v>
      </c>
      <c r="AF46" s="258" t="n">
        <v>0</v>
      </c>
      <c r="AG46" s="258" t="n">
        <v>0</v>
      </c>
      <c r="AH46" s="258" t="n">
        <v>0</v>
      </c>
      <c r="AI46" s="258" t="n">
        <v>0</v>
      </c>
      <c r="AJ46" s="258" t="n">
        <v>0</v>
      </c>
    </row>
    <row r="47">
      <c r="A47" t="n">
        <v>16</v>
      </c>
      <c r="B47" t="n">
        <v>1</v>
      </c>
      <c r="G47" t="inlineStr">
        <is>
          <t>moeda</t>
        </is>
      </c>
      <c r="H47" t="inlineStr">
        <is>
          <t>A: Ativo mantido para venda (l.83)</t>
        </is>
      </c>
      <c r="J47" t="inlineStr">
        <is>
          <t>fonte</t>
        </is>
      </c>
      <c r="K47" s="258" t="n">
        <v>0</v>
      </c>
      <c r="L47" s="258" t="n">
        <v>0</v>
      </c>
      <c r="M47" s="258" t="n">
        <v>0</v>
      </c>
      <c r="N47" s="258" t="n">
        <v>0</v>
      </c>
      <c r="O47" s="258" t="n">
        <v>0</v>
      </c>
      <c r="P47" s="258" t="n">
        <v>0</v>
      </c>
      <c r="Q47" s="258" t="n">
        <v>0</v>
      </c>
      <c r="R47" s="258" t="n">
        <v>0</v>
      </c>
      <c r="S47" s="258" t="n">
        <v>0</v>
      </c>
      <c r="T47" s="258" t="n">
        <v>0</v>
      </c>
      <c r="U47" s="258" t="n">
        <v>0</v>
      </c>
      <c r="V47" s="258" t="n">
        <v>0</v>
      </c>
      <c r="W47" s="258" t="n">
        <v>0</v>
      </c>
      <c r="X47" s="258" t="n">
        <v>0</v>
      </c>
      <c r="Y47" s="258" t="n">
        <v>0</v>
      </c>
      <c r="Z47" s="258" t="n">
        <v>0</v>
      </c>
      <c r="AA47" s="258" t="n">
        <v>0</v>
      </c>
      <c r="AB47" s="258" t="n">
        <v>0</v>
      </c>
      <c r="AC47" s="258" t="n">
        <v>0</v>
      </c>
      <c r="AD47" s="258" t="n">
        <v>0</v>
      </c>
      <c r="AE47" s="258" t="n">
        <v>0</v>
      </c>
      <c r="AF47" s="258" t="n">
        <v>0</v>
      </c>
      <c r="AG47" s="258" t="n">
        <v>0</v>
      </c>
      <c r="AH47" s="258" t="n">
        <v>0</v>
      </c>
      <c r="AI47" s="258" t="n">
        <v>0</v>
      </c>
      <c r="AJ47" s="258" t="n">
        <v>1736.44762975</v>
      </c>
    </row>
    <row r="48">
      <c r="A48" t="n">
        <v>11</v>
      </c>
      <c r="B48" t="n">
        <v>1</v>
      </c>
      <c r="G48" t="inlineStr">
        <is>
          <t>moeda</t>
        </is>
      </c>
      <c r="H48" t="inlineStr">
        <is>
          <t>A: Títulos e valores mobiliários (l.87) (TVM de longo prazo: a Cia inclui na liquidez da divida liquida -&gt; cod 11)</t>
        </is>
      </c>
      <c r="J48" t="inlineStr">
        <is>
          <t>fonte</t>
        </is>
      </c>
      <c r="K48" s="258" t="n">
        <v>0.79895329</v>
      </c>
      <c r="L48" s="258" t="n">
        <v>40.8290683</v>
      </c>
      <c r="M48" s="258" t="n">
        <v>91.03400000000001</v>
      </c>
      <c r="N48" s="258" t="n">
        <v>149.48339577</v>
      </c>
      <c r="O48" s="258" t="n">
        <v>2587.79975335</v>
      </c>
      <c r="P48" s="258" t="n">
        <v>71.557</v>
      </c>
      <c r="Q48" s="258" t="n">
        <v>3.289</v>
      </c>
      <c r="R48" s="258" t="n">
        <v>9.263999999999999</v>
      </c>
      <c r="S48" s="258" t="n">
        <v>9.26</v>
      </c>
      <c r="T48" s="258" t="n">
        <v>8.012</v>
      </c>
      <c r="U48" s="258" t="n">
        <v>125.314</v>
      </c>
      <c r="V48" s="258" t="n">
        <v>160.116</v>
      </c>
      <c r="W48" s="258" t="n">
        <v>152.99249602</v>
      </c>
      <c r="X48" s="258" t="n">
        <v>123.5944244</v>
      </c>
      <c r="Y48" s="258" t="n">
        <v>117.88378978</v>
      </c>
      <c r="Z48" s="258" t="n">
        <v>178.22638536</v>
      </c>
      <c r="AA48" s="258" t="n">
        <v>174.20155995</v>
      </c>
      <c r="AB48" s="258" t="n">
        <v>174.08736432</v>
      </c>
      <c r="AC48" s="258" t="n">
        <v>169.41936885</v>
      </c>
      <c r="AD48" s="258" t="n">
        <v>187.24087677</v>
      </c>
      <c r="AE48" s="258" t="n">
        <v>211.18075845</v>
      </c>
      <c r="AF48" s="258" t="n">
        <v>201.00958603</v>
      </c>
      <c r="AG48" s="258" t="n">
        <v>210.16742719</v>
      </c>
      <c r="AH48" s="258" t="n">
        <v>2990.9930709</v>
      </c>
      <c r="AI48" s="258" t="n">
        <v>2823.67025267</v>
      </c>
      <c r="AJ48" s="258" t="n">
        <v>4259.14858409</v>
      </c>
    </row>
    <row r="49">
      <c r="A49" t="n">
        <v>22</v>
      </c>
      <c r="B49" t="n">
        <v>1</v>
      </c>
      <c r="G49" t="inlineStr">
        <is>
          <t>moeda</t>
        </is>
      </c>
      <c r="H49" t="inlineStr">
        <is>
          <t>A: Instrumentos financeiros derivativos (l.88)</t>
        </is>
      </c>
      <c r="J49" t="inlineStr">
        <is>
          <t>fonte</t>
        </is>
      </c>
      <c r="K49" s="258" t="n">
        <v>863.70339158</v>
      </c>
      <c r="L49" s="258" t="n">
        <v>429.25307201</v>
      </c>
      <c r="M49" s="258" t="n">
        <v>509.224</v>
      </c>
      <c r="N49" s="258" t="n">
        <v>334.64240559</v>
      </c>
      <c r="O49" s="258" t="n">
        <v>279.47222211</v>
      </c>
      <c r="P49" s="258" t="n">
        <v>164.022</v>
      </c>
      <c r="Q49" s="258" t="n">
        <v>45.705</v>
      </c>
      <c r="R49" s="258" t="n">
        <v>58.733</v>
      </c>
      <c r="S49" s="258" t="n">
        <v>77.601</v>
      </c>
      <c r="T49" s="258" t="n">
        <v>102.169</v>
      </c>
      <c r="U49" s="258" t="n">
        <v>165.102</v>
      </c>
      <c r="V49" s="258" t="n">
        <v>184.154</v>
      </c>
      <c r="W49" s="258" t="n">
        <v>144.52614739</v>
      </c>
      <c r="X49" s="258" t="n">
        <v>505.59013239</v>
      </c>
      <c r="Y49" s="258" t="n">
        <v>288.34815328</v>
      </c>
      <c r="Z49" s="258" t="n">
        <v>873.0617033200001</v>
      </c>
      <c r="AA49" s="258" t="n">
        <v>763.143095948</v>
      </c>
      <c r="AB49" s="258" t="n">
        <v>1161.39645643</v>
      </c>
      <c r="AC49" s="258" t="n">
        <v>1128.663429662</v>
      </c>
      <c r="AD49" s="258" t="n">
        <v>2244.45252108</v>
      </c>
      <c r="AE49" s="258" t="n">
        <v>1259.64932766</v>
      </c>
      <c r="AF49" s="258" t="n">
        <v>562.40891072</v>
      </c>
      <c r="AG49" s="258" t="n">
        <v>467.97166963</v>
      </c>
      <c r="AH49" s="258" t="n">
        <v>594.4399564</v>
      </c>
      <c r="AI49" s="258" t="n">
        <v>493.4436522</v>
      </c>
      <c r="AJ49" s="258" t="n">
        <v>386.41958421</v>
      </c>
    </row>
    <row r="50">
      <c r="A50" t="n">
        <v>22</v>
      </c>
      <c r="B50" t="n">
        <v>1</v>
      </c>
      <c r="G50" t="inlineStr">
        <is>
          <t>moeda</t>
        </is>
      </c>
      <c r="H50" t="inlineStr">
        <is>
          <t>A: Contas a receber (l.89)</t>
        </is>
      </c>
      <c r="J50" t="inlineStr">
        <is>
          <t>fonte</t>
        </is>
      </c>
      <c r="K50" s="258" t="n">
        <v>88.1128291</v>
      </c>
      <c r="L50" s="258" t="n">
        <v>80.31939629</v>
      </c>
      <c r="M50" s="258" t="n">
        <v>103.04439771</v>
      </c>
      <c r="N50" s="258" t="n">
        <v>104.68444263</v>
      </c>
      <c r="O50" s="258" t="n">
        <v>109.94360356</v>
      </c>
      <c r="P50" s="258" t="n">
        <v>120.744</v>
      </c>
      <c r="Q50" s="258" t="n">
        <v>125.865</v>
      </c>
      <c r="R50" s="258" t="n">
        <v>134.627</v>
      </c>
      <c r="S50" s="258" t="n">
        <v>129.826</v>
      </c>
      <c r="T50" s="258" t="n">
        <v>155.766</v>
      </c>
      <c r="U50" s="258" t="n">
        <v>171.709</v>
      </c>
      <c r="V50" s="258" t="n">
        <v>190.197</v>
      </c>
      <c r="W50" s="258" t="n">
        <v>206.18739367805</v>
      </c>
      <c r="X50" s="258" t="n">
        <v>208.41297339204</v>
      </c>
      <c r="Y50" s="258" t="n">
        <v>216.24534798149</v>
      </c>
      <c r="Z50" s="258" t="n">
        <v>494.19796748056</v>
      </c>
      <c r="AA50" s="258" t="n">
        <v>321.0513382870801</v>
      </c>
      <c r="AB50" s="258" t="n">
        <v>329.26587370917</v>
      </c>
      <c r="AC50" s="258" t="n">
        <v>344.7100666309499</v>
      </c>
      <c r="AD50" s="258" t="n">
        <v>306.63693469</v>
      </c>
      <c r="AE50" s="258" t="n">
        <v>316.7184405199999</v>
      </c>
      <c r="AF50" s="258" t="n">
        <v>298.98086436</v>
      </c>
      <c r="AG50" s="258" t="n">
        <v>322.18175633</v>
      </c>
      <c r="AH50" s="258" t="n">
        <v>271.00192957</v>
      </c>
      <c r="AI50" s="258" t="n">
        <v>500.8493712399999</v>
      </c>
      <c r="AJ50" s="258" t="n">
        <v>651.6931858300001</v>
      </c>
    </row>
    <row r="51">
      <c r="A51" t="n">
        <v>22</v>
      </c>
      <c r="B51" t="n">
        <v>1</v>
      </c>
      <c r="G51" t="inlineStr">
        <is>
          <t>moeda</t>
        </is>
      </c>
      <c r="H51" t="inlineStr">
        <is>
          <t>A: Tributos a recuperar (l.90)</t>
        </is>
      </c>
      <c r="J51" t="inlineStr">
        <is>
          <t>fonte</t>
        </is>
      </c>
      <c r="K51" s="258" t="n">
        <v>127.98078334</v>
      </c>
      <c r="L51" s="258" t="n">
        <v>165.3147254</v>
      </c>
      <c r="M51" s="258" t="n">
        <v>161.75019205</v>
      </c>
      <c r="N51" s="258" t="n">
        <v>151.90931062</v>
      </c>
      <c r="O51" s="258" t="n">
        <v>168.46796359</v>
      </c>
      <c r="P51" s="258" t="n">
        <v>340.423</v>
      </c>
      <c r="Q51" s="258" t="n">
        <v>312.407</v>
      </c>
      <c r="R51" s="258" t="n">
        <v>231.145</v>
      </c>
      <c r="S51" s="258" t="n">
        <v>284.359</v>
      </c>
      <c r="T51" s="258" t="n">
        <v>284.306</v>
      </c>
      <c r="U51" s="258" t="n">
        <v>231.854</v>
      </c>
      <c r="V51" s="258" t="n">
        <v>448.366</v>
      </c>
      <c r="W51" s="258" t="n">
        <v>371.769971913</v>
      </c>
      <c r="X51" s="258" t="n">
        <v>367.570769427</v>
      </c>
      <c r="Y51" s="258" t="n">
        <v>396.259425612</v>
      </c>
      <c r="Z51" s="258" t="n">
        <v>384.773033082</v>
      </c>
      <c r="AA51" s="258" t="n">
        <v>403.389132193</v>
      </c>
      <c r="AB51" s="258" t="n">
        <v>348.356940726713</v>
      </c>
      <c r="AC51" s="258" t="n">
        <v>455.527368026</v>
      </c>
      <c r="AD51" s="258" t="n">
        <v>507.90329802</v>
      </c>
      <c r="AE51" s="258" t="n">
        <v>507.33442281</v>
      </c>
      <c r="AF51" s="258" t="n">
        <v>532.0285286</v>
      </c>
      <c r="AG51" s="258" t="n">
        <v>595.64686879</v>
      </c>
      <c r="AH51" s="258" t="n">
        <v>680.42593186</v>
      </c>
      <c r="AI51" s="258" t="n">
        <v>630.6494853099999</v>
      </c>
      <c r="AJ51" s="258" t="n">
        <v>728.30486809</v>
      </c>
    </row>
    <row r="52">
      <c r="A52" t="n">
        <v>22</v>
      </c>
      <c r="B52" t="n">
        <v>1</v>
      </c>
      <c r="G52" t="inlineStr">
        <is>
          <t>moeda</t>
        </is>
      </c>
      <c r="H52" t="inlineStr">
        <is>
          <t>A: Imposto de renda e contribuição social a recuperar (l.91)</t>
        </is>
      </c>
      <c r="J52" t="inlineStr">
        <is>
          <t>fonte</t>
        </is>
      </c>
      <c r="K52" s="258" t="n">
        <v>34.92940103</v>
      </c>
      <c r="L52" s="258" t="n">
        <v>40.46550484</v>
      </c>
      <c r="M52" s="258" t="n">
        <v>34.92940103</v>
      </c>
      <c r="N52" s="258" t="n">
        <v>66.66434954</v>
      </c>
      <c r="O52" s="258" t="n">
        <v>175.26482161</v>
      </c>
      <c r="P52" s="258" t="n">
        <v>17.231</v>
      </c>
      <c r="Q52" s="258" t="n">
        <v>40.33</v>
      </c>
      <c r="R52" s="258" t="n">
        <v>127.733</v>
      </c>
      <c r="S52" s="258" t="n">
        <v>99.129</v>
      </c>
      <c r="T52" s="258" t="n">
        <v>87.521</v>
      </c>
      <c r="U52" s="258" t="n">
        <v>74.84999999999999</v>
      </c>
      <c r="V52" s="258" t="n">
        <v>155.806</v>
      </c>
      <c r="W52" s="258" t="n">
        <v>129.451518635</v>
      </c>
      <c r="X52" s="258" t="n">
        <v>126.160638845</v>
      </c>
      <c r="Y52" s="258" t="n">
        <v>110.419697055</v>
      </c>
      <c r="Z52" s="258" t="n">
        <v>114.025735565</v>
      </c>
      <c r="AA52" s="258" t="n">
        <v>111.897946565</v>
      </c>
      <c r="AB52" s="258" t="n">
        <v>105.173987365</v>
      </c>
      <c r="AC52" s="258" t="n">
        <v>107.393459995</v>
      </c>
      <c r="AD52" s="258" t="n">
        <v>198.0694341</v>
      </c>
      <c r="AE52" s="258" t="n">
        <v>102.7762443</v>
      </c>
      <c r="AF52" s="258" t="n">
        <v>104.55833224</v>
      </c>
      <c r="AG52" s="258" t="n">
        <v>107.65892521</v>
      </c>
      <c r="AH52" s="258" t="n">
        <v>289.5405375</v>
      </c>
      <c r="AI52" s="258" t="n">
        <v>293.61278524</v>
      </c>
      <c r="AJ52" s="258" t="n">
        <v>245.10401983</v>
      </c>
    </row>
    <row r="53">
      <c r="A53" t="n">
        <v>22</v>
      </c>
      <c r="B53" t="n">
        <v>1</v>
      </c>
      <c r="G53" t="inlineStr">
        <is>
          <t>moeda</t>
        </is>
      </c>
      <c r="H53" t="inlineStr">
        <is>
          <t>A: Depósitos judiciais (l.92)</t>
        </is>
      </c>
      <c r="J53" t="inlineStr">
        <is>
          <t>fonte</t>
        </is>
      </c>
      <c r="K53" s="258" t="n">
        <v>80.03401493</v>
      </c>
      <c r="L53" s="258" t="n">
        <v>78.78915526999999</v>
      </c>
      <c r="M53" s="258" t="n">
        <v>73.17424674</v>
      </c>
      <c r="N53" s="258" t="n">
        <v>75.53222523999999</v>
      </c>
      <c r="O53" s="258" t="n">
        <v>73.27760859</v>
      </c>
      <c r="P53" s="258" t="n">
        <v>76.181</v>
      </c>
      <c r="Q53" s="258" t="n">
        <v>92.751</v>
      </c>
      <c r="R53" s="258" t="n">
        <v>103.303</v>
      </c>
      <c r="S53" s="258" t="n">
        <v>94.491</v>
      </c>
      <c r="T53" s="258" t="n">
        <v>98.114</v>
      </c>
      <c r="U53" s="258" t="n">
        <v>110.195</v>
      </c>
      <c r="V53" s="258" t="n">
        <v>105.475</v>
      </c>
      <c r="W53" s="258" t="n">
        <v>108.48720559</v>
      </c>
      <c r="X53" s="258" t="n">
        <v>114.26107624</v>
      </c>
      <c r="Y53" s="258" t="n">
        <v>119.99713778</v>
      </c>
      <c r="Z53" s="258" t="n">
        <v>118.51785892</v>
      </c>
      <c r="AA53" s="258" t="n">
        <v>139.04445351</v>
      </c>
      <c r="AB53" s="258" t="n">
        <v>145.18578116</v>
      </c>
      <c r="AC53" s="258" t="n">
        <v>155.53605426</v>
      </c>
      <c r="AD53" s="258" t="n">
        <v>152.42838303</v>
      </c>
      <c r="AE53" s="258" t="n">
        <v>154.52785636</v>
      </c>
      <c r="AF53" s="258" t="n">
        <v>138.96069553</v>
      </c>
      <c r="AG53" s="258" t="n">
        <v>149.39180675</v>
      </c>
      <c r="AH53" s="258" t="n">
        <v>144.60171781</v>
      </c>
      <c r="AI53" s="258" t="n">
        <v>148.15991979</v>
      </c>
      <c r="AJ53" s="258" t="n">
        <v>146.67210614</v>
      </c>
    </row>
    <row r="54">
      <c r="A54" t="n">
        <v>14</v>
      </c>
      <c r="B54" t="n">
        <v>1</v>
      </c>
      <c r="G54" t="inlineStr">
        <is>
          <t>moeda</t>
        </is>
      </c>
      <c r="H54" t="inlineStr">
        <is>
          <t>A: Imposto de renda e contribuição social diferidos (l.93)</t>
        </is>
      </c>
      <c r="J54" t="inlineStr">
        <is>
          <t>fonte</t>
        </is>
      </c>
      <c r="K54" s="258" t="n">
        <v>153.50735418</v>
      </c>
      <c r="L54" s="258" t="n">
        <v>160.60896407</v>
      </c>
      <c r="M54" s="258" t="n">
        <v>159.04004347</v>
      </c>
      <c r="N54" s="258" t="n">
        <v>161.2148912386</v>
      </c>
      <c r="O54" s="258" t="n">
        <v>241.268</v>
      </c>
      <c r="P54" s="258" t="n">
        <v>256.819</v>
      </c>
      <c r="Q54" s="258" t="n">
        <v>412.573</v>
      </c>
      <c r="R54" s="258" t="n">
        <v>407.12</v>
      </c>
      <c r="S54" s="258" t="n">
        <v>539.7</v>
      </c>
      <c r="T54" s="258" t="n">
        <v>736.221</v>
      </c>
      <c r="U54" s="258" t="n">
        <v>973.754</v>
      </c>
      <c r="V54" s="258" t="n">
        <v>1177.823</v>
      </c>
      <c r="W54" s="258" t="n">
        <v>1491.85617508</v>
      </c>
      <c r="X54" s="258" t="n">
        <v>1461.7029102404</v>
      </c>
      <c r="Y54" s="258" t="n">
        <v>1511.048730211704</v>
      </c>
      <c r="Z54" s="258" t="n">
        <v>1591.41292869</v>
      </c>
      <c r="AA54" s="258" t="n">
        <v>1766.87914727</v>
      </c>
      <c r="AB54" s="258" t="n">
        <v>1821.17066609</v>
      </c>
      <c r="AC54" s="258" t="n">
        <v>2015.6869975</v>
      </c>
      <c r="AD54" s="258" t="n">
        <v>1630.83874262</v>
      </c>
      <c r="AE54" s="258" t="n">
        <v>1592.80656682</v>
      </c>
      <c r="AF54" s="258" t="n">
        <v>1880.25687392</v>
      </c>
      <c r="AG54" s="258" t="n">
        <v>1983.94357365</v>
      </c>
      <c r="AH54" s="258" t="n">
        <v>1466.6363021</v>
      </c>
      <c r="AI54" s="258" t="n">
        <v>1625.76654579</v>
      </c>
      <c r="AJ54" s="258" t="n">
        <v>1782.3087295</v>
      </c>
    </row>
    <row r="55">
      <c r="A55" t="n">
        <v>22</v>
      </c>
      <c r="B55" t="n">
        <v>1</v>
      </c>
      <c r="G55" t="inlineStr">
        <is>
          <t>moeda</t>
        </is>
      </c>
      <c r="H55" t="inlineStr">
        <is>
          <t>A: Partes relacionadas (l.94)</t>
        </is>
      </c>
      <c r="J55" t="inlineStr">
        <is>
          <t>fonte</t>
        </is>
      </c>
      <c r="K55" s="258" t="n">
        <v>0.01093823</v>
      </c>
      <c r="L55" s="258" t="n">
        <v>0.01730636</v>
      </c>
      <c r="M55" s="258" t="n">
        <v>0</v>
      </c>
      <c r="N55" s="258" t="n">
        <v>0</v>
      </c>
      <c r="O55" s="258" t="n">
        <v>0</v>
      </c>
      <c r="P55" s="258" t="n">
        <v>0</v>
      </c>
      <c r="Q55" s="258" t="n">
        <v>0</v>
      </c>
      <c r="R55" s="258" t="n">
        <v>0</v>
      </c>
      <c r="S55" s="258" t="n">
        <v>0</v>
      </c>
      <c r="T55" s="258" t="n">
        <v>0.263</v>
      </c>
      <c r="U55" s="258" t="n">
        <v>0.389</v>
      </c>
      <c r="V55" s="258" t="n">
        <v>0.791</v>
      </c>
      <c r="W55" s="258" t="n">
        <v>0.8430186</v>
      </c>
      <c r="X55" s="258" t="n">
        <v>0.9417961899999999</v>
      </c>
      <c r="Y55" s="258" t="n">
        <v>0.9417961899999999</v>
      </c>
      <c r="Z55" s="258" t="n">
        <v>0.9417961899999999</v>
      </c>
      <c r="AA55" s="258" t="n">
        <v>0.9418951799999999</v>
      </c>
      <c r="AB55" s="258" t="n">
        <v>0.9418951799999999</v>
      </c>
      <c r="AC55" s="258" t="n">
        <v>0.94189516</v>
      </c>
      <c r="AD55" s="258" t="n">
        <v>-6.000000000000001e-08</v>
      </c>
      <c r="AE55" s="258" t="n">
        <v>0.94179662</v>
      </c>
      <c r="AF55" s="258" t="n">
        <v>0.94189562</v>
      </c>
      <c r="AG55" s="258" t="n">
        <v>0.94189562</v>
      </c>
      <c r="AH55" s="258" t="n">
        <v>0.9418955999999999</v>
      </c>
      <c r="AI55" s="258" t="n">
        <v>0.94189562</v>
      </c>
      <c r="AJ55" s="258" t="n">
        <v>0.94189562</v>
      </c>
    </row>
    <row r="56">
      <c r="A56" t="n">
        <v>22</v>
      </c>
      <c r="B56" t="n">
        <v>1</v>
      </c>
      <c r="G56" t="inlineStr">
        <is>
          <t>moeda</t>
        </is>
      </c>
      <c r="H56" t="inlineStr">
        <is>
          <t>A: Fundo para capitalização de concessionárias (l.95)</t>
        </is>
      </c>
      <c r="J56" t="inlineStr">
        <is>
          <t>fonte</t>
        </is>
      </c>
      <c r="K56" s="258" t="n">
        <v>49.29223242</v>
      </c>
      <c r="L56" s="258" t="n">
        <v>47.65807884</v>
      </c>
      <c r="M56" s="258" t="n">
        <v>0</v>
      </c>
      <c r="N56" s="258" t="n">
        <v>0</v>
      </c>
      <c r="O56" s="258" t="n">
        <v>0</v>
      </c>
      <c r="P56" s="258" t="n">
        <v>0</v>
      </c>
      <c r="Q56" s="258" t="n">
        <v>0</v>
      </c>
      <c r="R56" s="258" t="n">
        <v>0</v>
      </c>
      <c r="S56" s="258" t="n">
        <v>0</v>
      </c>
      <c r="T56" s="258" t="n">
        <v>0</v>
      </c>
      <c r="U56" s="258" t="n">
        <v>0</v>
      </c>
      <c r="V56" s="258" t="n">
        <v>0</v>
      </c>
      <c r="W56" s="258" t="n">
        <v>70.26274674</v>
      </c>
      <c r="X56" s="258" t="n">
        <v>156.20507756</v>
      </c>
      <c r="Y56" s="258" t="n">
        <v>152.51946944</v>
      </c>
      <c r="Z56" s="258" t="n">
        <v>156.63042435</v>
      </c>
      <c r="AA56" s="258" t="n">
        <v>121.9333439</v>
      </c>
      <c r="AB56" s="258" t="n">
        <v>119.45689571</v>
      </c>
      <c r="AC56" s="258" t="n">
        <v>114.93177273</v>
      </c>
      <c r="AD56" s="258" t="n">
        <v>121.8481481</v>
      </c>
      <c r="AE56" s="258" t="n">
        <v>136.3533897</v>
      </c>
      <c r="AF56" s="258" t="n">
        <v>145.06417659</v>
      </c>
      <c r="AG56" s="258" t="n">
        <v>121.86634867</v>
      </c>
      <c r="AH56" s="258" t="n">
        <v>135.3747403</v>
      </c>
      <c r="AI56" s="258" t="n">
        <v>105.00682164</v>
      </c>
      <c r="AJ56" s="258" t="n">
        <v>117.82012834</v>
      </c>
    </row>
    <row r="57">
      <c r="A57" t="n">
        <v>22</v>
      </c>
      <c r="B57" t="n">
        <v>1</v>
      </c>
      <c r="G57" t="inlineStr">
        <is>
          <t>moeda</t>
        </is>
      </c>
      <c r="H57" t="inlineStr">
        <is>
          <t>A: Ativo de indenização por combinação de negócios (l.96)</t>
        </is>
      </c>
      <c r="J57" t="inlineStr">
        <is>
          <t>fonte</t>
        </is>
      </c>
      <c r="K57" s="258" t="n">
        <v>0</v>
      </c>
      <c r="L57" s="258" t="n">
        <v>0</v>
      </c>
      <c r="M57" s="258" t="n">
        <v>0</v>
      </c>
      <c r="N57" s="258" t="n">
        <v>103.783</v>
      </c>
      <c r="O57" s="258" t="n">
        <v>92.404</v>
      </c>
      <c r="P57" s="258" t="n">
        <v>298.777</v>
      </c>
      <c r="Q57" s="258" t="n">
        <v>305.95</v>
      </c>
      <c r="R57" s="258" t="n">
        <v>281.432</v>
      </c>
      <c r="S57" s="258" t="n">
        <v>267.19</v>
      </c>
      <c r="T57" s="258" t="n">
        <v>256.717</v>
      </c>
      <c r="U57" s="258" t="n">
        <v>0</v>
      </c>
      <c r="V57" s="258" t="n">
        <v>0</v>
      </c>
      <c r="W57" s="258" t="n">
        <v>0</v>
      </c>
      <c r="X57" s="258" t="n">
        <v>0</v>
      </c>
      <c r="Y57" s="258" t="n">
        <v>0</v>
      </c>
      <c r="Z57" s="258" t="n">
        <v>0</v>
      </c>
      <c r="AA57" s="258" t="n">
        <v>0</v>
      </c>
      <c r="AB57" s="258" t="n">
        <v>0</v>
      </c>
      <c r="AC57" s="258" t="n">
        <v>0</v>
      </c>
      <c r="AD57" s="258" t="n">
        <v>0</v>
      </c>
      <c r="AE57" s="258" t="n">
        <v>0</v>
      </c>
      <c r="AF57" s="258" t="n">
        <v>0</v>
      </c>
      <c r="AG57" s="258" t="n">
        <v>0</v>
      </c>
      <c r="AH57" s="258" t="n">
        <v>0</v>
      </c>
      <c r="AI57" s="258" t="n">
        <v>0</v>
      </c>
      <c r="AJ57" s="258" t="n">
        <v>0</v>
      </c>
    </row>
    <row r="58">
      <c r="A58" t="n">
        <v>22</v>
      </c>
      <c r="B58" t="n">
        <v>1</v>
      </c>
      <c r="G58" t="inlineStr">
        <is>
          <t>moeda</t>
        </is>
      </c>
      <c r="H58" t="inlineStr">
        <is>
          <t>A: Outros créditos (l.97)</t>
        </is>
      </c>
      <c r="J58" t="inlineStr">
        <is>
          <t>fonte</t>
        </is>
      </c>
      <c r="K58" s="258" t="n">
        <v>46.58128703</v>
      </c>
      <c r="L58" s="258" t="n">
        <v>44.89882772</v>
      </c>
      <c r="M58" s="258" t="n">
        <v>79.76000000000001</v>
      </c>
      <c r="N58" s="258" t="n">
        <v>82.982</v>
      </c>
      <c r="O58" s="258" t="n">
        <v>83.91500000000001</v>
      </c>
      <c r="P58" s="258" t="n">
        <v>91.28100000000001</v>
      </c>
      <c r="Q58" s="258" t="n">
        <v>83.86799999999999</v>
      </c>
      <c r="R58" s="258" t="n">
        <v>108.782</v>
      </c>
      <c r="S58" s="258" t="n">
        <v>80.163</v>
      </c>
      <c r="T58" s="258" t="n">
        <v>111.529</v>
      </c>
      <c r="U58" s="258" t="n">
        <v>459.521</v>
      </c>
      <c r="V58" s="258" t="n">
        <v>112.804</v>
      </c>
      <c r="W58" s="258" t="n">
        <v>54.451687118855</v>
      </c>
      <c r="X58" s="258" t="n">
        <v>57.7324415845</v>
      </c>
      <c r="Y58" s="258" t="n">
        <v>-1.678e-09</v>
      </c>
      <c r="Z58" s="258" t="n">
        <v>82.83432883</v>
      </c>
      <c r="AA58" s="258" t="n">
        <v>78.2567965391613</v>
      </c>
      <c r="AB58" s="258" t="n">
        <v>111.600470735</v>
      </c>
      <c r="AC58" s="258" t="n">
        <v>132.83508669697</v>
      </c>
      <c r="AD58" s="258" t="n">
        <v>144.80812097</v>
      </c>
      <c r="AE58" s="258" t="n">
        <v>107.90507853</v>
      </c>
      <c r="AF58" s="258" t="n">
        <v>149.35012311</v>
      </c>
      <c r="AG58" s="258" t="n">
        <v>213.92417945</v>
      </c>
      <c r="AH58" s="258" t="n">
        <v>136.8160981</v>
      </c>
      <c r="AI58" s="258" t="n">
        <v>316.06701177</v>
      </c>
      <c r="AJ58" s="258" t="n">
        <v>172.96300953</v>
      </c>
    </row>
    <row r="59">
      <c r="A59" t="n">
        <v>22</v>
      </c>
      <c r="B59" t="n">
        <v>1</v>
      </c>
      <c r="G59" t="inlineStr">
        <is>
          <t>moeda</t>
        </is>
      </c>
      <c r="H59" t="inlineStr">
        <is>
          <t>A: Outros créditos Intercompany (l.98)</t>
        </is>
      </c>
      <c r="J59" t="inlineStr">
        <is>
          <t>fonte</t>
        </is>
      </c>
      <c r="K59" s="258" t="n">
        <v>0</v>
      </c>
      <c r="L59" s="258" t="n">
        <v>0</v>
      </c>
      <c r="M59" s="258" t="n">
        <v>0</v>
      </c>
      <c r="N59" s="258" t="n">
        <v>0</v>
      </c>
      <c r="O59" s="258" t="n">
        <v>0</v>
      </c>
      <c r="P59" s="258" t="n">
        <v>0</v>
      </c>
      <c r="Q59" s="258" t="n">
        <v>0</v>
      </c>
      <c r="R59" s="258" t="n">
        <v>0</v>
      </c>
      <c r="S59" s="258" t="n">
        <v>0</v>
      </c>
      <c r="T59" s="258" t="n">
        <v>0</v>
      </c>
      <c r="U59" s="258" t="n">
        <v>0</v>
      </c>
      <c r="V59" s="258" t="n">
        <v>0</v>
      </c>
      <c r="W59" s="258" t="n">
        <v>-5.4e-07</v>
      </c>
      <c r="X59" s="258" t="n">
        <v>0</v>
      </c>
      <c r="Y59" s="258" t="n">
        <v>2.17731174</v>
      </c>
      <c r="Z59" s="258" t="n">
        <v>0</v>
      </c>
      <c r="AA59" s="258" t="n">
        <v>11.82738095</v>
      </c>
      <c r="AB59" s="258" t="n">
        <v>13.20238095</v>
      </c>
      <c r="AC59" s="258" t="n">
        <v>1.22222222</v>
      </c>
      <c r="AD59" s="258" t="n">
        <v>2.79722223</v>
      </c>
      <c r="AE59" s="258" t="n">
        <v>1.301807</v>
      </c>
      <c r="AF59" s="258" t="n">
        <v>2.46627</v>
      </c>
      <c r="AG59" s="258" t="n">
        <v>1.49541838</v>
      </c>
      <c r="AH59" s="258" t="n">
        <v>0</v>
      </c>
      <c r="AI59" s="258" t="n">
        <v>2.11e-06</v>
      </c>
      <c r="AJ59" s="258" t="n">
        <v>0</v>
      </c>
    </row>
    <row r="60">
      <c r="A60" t="n">
        <v>22</v>
      </c>
      <c r="B60" t="n">
        <v>1</v>
      </c>
      <c r="G60" t="inlineStr">
        <is>
          <t>moeda</t>
        </is>
      </c>
      <c r="H60" t="inlineStr">
        <is>
          <t>A: Despesas antecipadas (l.99)</t>
        </is>
      </c>
      <c r="J60" t="inlineStr">
        <is>
          <t>fonte</t>
        </is>
      </c>
      <c r="K60" s="258" t="n">
        <v>0</v>
      </c>
      <c r="L60" s="258" t="n">
        <v>0</v>
      </c>
      <c r="M60" s="258" t="n">
        <v>0</v>
      </c>
      <c r="N60" s="258" t="n">
        <v>0</v>
      </c>
      <c r="O60" s="258" t="n">
        <v>0</v>
      </c>
      <c r="P60" s="258" t="n">
        <v>0</v>
      </c>
      <c r="Q60" s="258" t="n">
        <v>0</v>
      </c>
      <c r="R60" s="258" t="n">
        <v>0</v>
      </c>
      <c r="S60" s="258" t="n">
        <v>0</v>
      </c>
      <c r="T60" s="258" t="n">
        <v>0</v>
      </c>
      <c r="U60" s="258" t="n">
        <v>0</v>
      </c>
      <c r="V60" s="258" t="n">
        <v>0</v>
      </c>
      <c r="W60" s="258" t="n">
        <v>0</v>
      </c>
      <c r="X60" s="258" t="n">
        <v>0</v>
      </c>
      <c r="Y60" s="258" t="n">
        <v>0</v>
      </c>
      <c r="Z60" s="258" t="n">
        <v>0</v>
      </c>
      <c r="AA60" s="258" t="n">
        <v>0</v>
      </c>
      <c r="AB60" s="258" t="n">
        <v>0</v>
      </c>
      <c r="AC60" s="258" t="n">
        <v>0</v>
      </c>
      <c r="AD60" s="258" t="n">
        <v>0</v>
      </c>
      <c r="AE60" s="258" t="n">
        <v>0</v>
      </c>
      <c r="AF60" s="258" t="n">
        <v>0</v>
      </c>
      <c r="AG60" s="258" t="n">
        <v>0</v>
      </c>
      <c r="AH60" s="258" t="n">
        <v>0</v>
      </c>
      <c r="AI60" s="258" t="n">
        <v>0</v>
      </c>
      <c r="AJ60" s="258" t="n">
        <v>0</v>
      </c>
    </row>
    <row r="61">
      <c r="A61" t="n">
        <v>22</v>
      </c>
      <c r="B61" t="n">
        <v>1</v>
      </c>
      <c r="G61" t="inlineStr">
        <is>
          <t>moeda</t>
        </is>
      </c>
      <c r="H61" t="inlineStr">
        <is>
          <t>A: Ativos de operações descontinuadas (l.100)</t>
        </is>
      </c>
      <c r="J61" t="inlineStr">
        <is>
          <t>fonte</t>
        </is>
      </c>
      <c r="K61" s="258" t="n">
        <v>0</v>
      </c>
      <c r="L61" s="258" t="n">
        <v>0</v>
      </c>
      <c r="M61" s="258" t="n">
        <v>0</v>
      </c>
      <c r="N61" s="258" t="n">
        <v>0</v>
      </c>
      <c r="O61" s="258" t="n">
        <v>0</v>
      </c>
      <c r="P61" s="258" t="n">
        <v>0</v>
      </c>
      <c r="Q61" s="258" t="n">
        <v>0</v>
      </c>
      <c r="R61" s="258" t="n">
        <v>0</v>
      </c>
      <c r="S61" s="258" t="n">
        <v>0</v>
      </c>
      <c r="T61" s="258" t="n">
        <v>0</v>
      </c>
      <c r="U61" s="258" t="n">
        <v>0</v>
      </c>
      <c r="V61" s="258" t="n">
        <v>0</v>
      </c>
      <c r="W61" s="258" t="n">
        <v>0</v>
      </c>
      <c r="X61" s="258" t="n">
        <v>0</v>
      </c>
      <c r="Y61" s="258" t="n">
        <v>0</v>
      </c>
      <c r="Z61" s="258" t="n">
        <v>0</v>
      </c>
      <c r="AA61" s="258" t="n">
        <v>0</v>
      </c>
      <c r="AB61" s="258" t="n">
        <v>0</v>
      </c>
      <c r="AC61" s="258" t="n">
        <v>0</v>
      </c>
      <c r="AD61" s="258" t="n">
        <v>0</v>
      </c>
      <c r="AE61" s="258" t="n">
        <v>0</v>
      </c>
      <c r="AF61" s="258" t="n">
        <v>0</v>
      </c>
      <c r="AG61" s="258" t="n">
        <v>0</v>
      </c>
      <c r="AH61" s="258" t="n">
        <v>0</v>
      </c>
      <c r="AI61" s="258" t="n">
        <v>0</v>
      </c>
      <c r="AJ61" s="258" t="n">
        <v>0</v>
      </c>
    </row>
    <row r="62">
      <c r="A62" t="n">
        <v>22</v>
      </c>
      <c r="B62" t="n">
        <v>1</v>
      </c>
      <c r="G62" t="inlineStr">
        <is>
          <t>moeda</t>
        </is>
      </c>
      <c r="H62" t="inlineStr">
        <is>
          <t>A: Ativo de Indenização (l.101)</t>
        </is>
      </c>
      <c r="J62" t="inlineStr">
        <is>
          <t>fonte</t>
        </is>
      </c>
      <c r="K62" s="258" t="n">
        <v>0</v>
      </c>
      <c r="L62" s="258" t="n">
        <v>0</v>
      </c>
      <c r="M62" s="258" t="n">
        <v>0</v>
      </c>
      <c r="N62" s="258" t="n">
        <v>0</v>
      </c>
      <c r="O62" s="258" t="n">
        <v>0</v>
      </c>
      <c r="P62" s="258" t="n">
        <v>0</v>
      </c>
      <c r="Q62" s="258" t="n">
        <v>0</v>
      </c>
      <c r="R62" s="258" t="n">
        <v>0</v>
      </c>
      <c r="S62" s="258" t="n">
        <v>0</v>
      </c>
      <c r="T62" s="258" t="n">
        <v>0</v>
      </c>
      <c r="U62" s="258" t="n">
        <v>298.571</v>
      </c>
      <c r="V62" s="258" t="n">
        <v>299.342</v>
      </c>
      <c r="W62" s="258" t="n">
        <v>285.81079028</v>
      </c>
      <c r="X62" s="258" t="n">
        <v>585.9636866000001</v>
      </c>
      <c r="Y62" s="258" t="n">
        <v>630.1333001291999</v>
      </c>
      <c r="Z62" s="258" t="n">
        <v>604.5999220499999</v>
      </c>
      <c r="AA62" s="258" t="n">
        <v>597.90216604</v>
      </c>
      <c r="AB62" s="258" t="n">
        <v>569.1343903</v>
      </c>
      <c r="AC62" s="258" t="n">
        <v>527.7140805299999</v>
      </c>
      <c r="AD62" s="258" t="n">
        <v>519.95559624</v>
      </c>
      <c r="AE62" s="258" t="n">
        <v>494.39101486</v>
      </c>
      <c r="AF62" s="258" t="n">
        <v>464.76210516</v>
      </c>
      <c r="AG62" s="258" t="n">
        <v>438.12821561</v>
      </c>
      <c r="AH62" s="258" t="n">
        <v>381.8729614</v>
      </c>
      <c r="AI62" s="258" t="n">
        <v>349.47693275</v>
      </c>
      <c r="AJ62" s="258" t="n">
        <v>325.92972719</v>
      </c>
    </row>
    <row r="63">
      <c r="A63" t="n">
        <v>17</v>
      </c>
      <c r="B63" t="n">
        <v>1</v>
      </c>
      <c r="G63" t="inlineStr">
        <is>
          <t>moeda</t>
        </is>
      </c>
      <c r="H63" t="inlineStr">
        <is>
          <t>A: Investimentos (l.104)</t>
        </is>
      </c>
      <c r="J63" t="inlineStr">
        <is>
          <t>fonte</t>
        </is>
      </c>
      <c r="K63" s="258" t="n">
        <v>6.5175217899044</v>
      </c>
      <c r="L63" s="258" t="n">
        <v>8.34518066</v>
      </c>
      <c r="M63" s="258" t="n">
        <v>13.6703990920664</v>
      </c>
      <c r="N63" s="258" t="n">
        <v>16.584</v>
      </c>
      <c r="O63" s="258" t="n">
        <v>19.015</v>
      </c>
      <c r="P63" s="258" t="n">
        <v>22.141</v>
      </c>
      <c r="Q63" s="258" t="n">
        <v>24.978</v>
      </c>
      <c r="R63" s="258" t="n">
        <v>30.248</v>
      </c>
      <c r="S63" s="258" t="n">
        <v>29.559</v>
      </c>
      <c r="T63" s="258" t="n">
        <v>28.004</v>
      </c>
      <c r="U63" s="258" t="n">
        <v>32.577</v>
      </c>
      <c r="V63" s="258" t="n">
        <v>34.024</v>
      </c>
      <c r="W63" s="258" t="n">
        <v>33.9948946811607</v>
      </c>
      <c r="X63" s="258" t="n">
        <v>35.1060887046443</v>
      </c>
      <c r="Y63" s="258" t="n">
        <v>35.3654892747361</v>
      </c>
      <c r="Z63" s="258" t="n">
        <v>38.222815605065</v>
      </c>
      <c r="AA63" s="258" t="n">
        <v>36.64508406030201</v>
      </c>
      <c r="AB63" s="258" t="n">
        <v>35.59220635365185</v>
      </c>
      <c r="AC63" s="258" t="n">
        <v>38.82117760192836</v>
      </c>
      <c r="AD63" s="258" t="n">
        <v>42.47528320999994</v>
      </c>
      <c r="AE63" s="258" t="n">
        <v>41.88172165000008</v>
      </c>
      <c r="AF63" s="258" t="n">
        <v>42.08670790000017</v>
      </c>
      <c r="AG63" s="258" t="n">
        <v>38.03558317000026</v>
      </c>
      <c r="AH63" s="258" t="n">
        <v>43.4183894</v>
      </c>
      <c r="AI63" s="258" t="n">
        <v>46.94638454</v>
      </c>
      <c r="AJ63" s="258" t="n">
        <v>47.170816</v>
      </c>
    </row>
    <row r="64">
      <c r="A64" t="n">
        <v>18</v>
      </c>
      <c r="B64" t="n">
        <v>1</v>
      </c>
      <c r="G64" t="inlineStr">
        <is>
          <t>moeda</t>
        </is>
      </c>
      <c r="H64" t="inlineStr">
        <is>
          <t>A: Imobilizado líquido (l.105)</t>
        </is>
      </c>
      <c r="J64" t="inlineStr">
        <is>
          <t>fonte</t>
        </is>
      </c>
      <c r="K64" s="258" t="n">
        <v>9877.705912379999</v>
      </c>
      <c r="L64" s="258" t="n">
        <v>9399.249507459999</v>
      </c>
      <c r="M64" s="258" t="n">
        <v>10164.08170551</v>
      </c>
      <c r="N64" s="258" t="n">
        <v>11747.476</v>
      </c>
      <c r="O64" s="258" t="n">
        <v>12745.105</v>
      </c>
      <c r="P64" s="258" t="n">
        <v>15023.583</v>
      </c>
      <c r="Q64" s="258" t="n">
        <v>17425.606</v>
      </c>
      <c r="R64" s="258" t="n">
        <v>21567.72</v>
      </c>
      <c r="S64" s="258" t="n">
        <v>23807.944</v>
      </c>
      <c r="T64" s="258" t="n">
        <v>27512.254</v>
      </c>
      <c r="U64" s="258" t="n">
        <v>30582.589</v>
      </c>
      <c r="V64" s="258" t="n">
        <v>34130.983</v>
      </c>
      <c r="W64" s="258" t="n">
        <v>34225.48221615479</v>
      </c>
      <c r="X64" s="258" t="n">
        <v>34978.68271771922</v>
      </c>
      <c r="Y64" s="258" t="n">
        <v>36138.91583712074</v>
      </c>
      <c r="Z64" s="258" t="n">
        <v>39826.1619453597</v>
      </c>
      <c r="AA64" s="258" t="n">
        <v>41091.22830082984</v>
      </c>
      <c r="AB64" s="258" t="n">
        <v>42196.61393107974</v>
      </c>
      <c r="AC64" s="258" t="n">
        <v>42975.00781852865</v>
      </c>
      <c r="AD64" s="258" t="n">
        <v>45618.21326671</v>
      </c>
      <c r="AE64" s="258" t="n">
        <v>44794.68291002999</v>
      </c>
      <c r="AF64" s="258" t="n">
        <v>45294.24820465</v>
      </c>
      <c r="AG64" s="258" t="n">
        <v>45456.94628539</v>
      </c>
      <c r="AH64" s="258" t="n">
        <v>47862.56933573</v>
      </c>
      <c r="AI64" s="258" t="n">
        <v>46426.00572838001</v>
      </c>
      <c r="AJ64" s="258" t="n">
        <v>48115.27756408</v>
      </c>
    </row>
    <row r="65">
      <c r="A65" t="n">
        <v>21</v>
      </c>
      <c r="B65" t="n">
        <v>1</v>
      </c>
      <c r="G65" t="inlineStr">
        <is>
          <t>moeda</t>
        </is>
      </c>
      <c r="H65" t="inlineStr">
        <is>
          <t>A: Intangível (l.111) (inclui agio das aquisicoes)</t>
        </is>
      </c>
      <c r="J65" t="inlineStr">
        <is>
          <t>fonte</t>
        </is>
      </c>
      <c r="K65" s="258" t="n">
        <v>546.8804588300001</v>
      </c>
      <c r="L65" s="258" t="n">
        <v>557.2625238400001</v>
      </c>
      <c r="M65" s="258" t="n">
        <v>565.7284701</v>
      </c>
      <c r="N65" s="258" t="n">
        <v>1071.42</v>
      </c>
      <c r="O65" s="258" t="n">
        <v>1075.183</v>
      </c>
      <c r="P65" s="258" t="n">
        <v>1223.829</v>
      </c>
      <c r="Q65" s="258" t="n">
        <v>1267.48</v>
      </c>
      <c r="R65" s="258" t="n">
        <v>1346.837</v>
      </c>
      <c r="S65" s="258" t="n">
        <v>1368.722</v>
      </c>
      <c r="T65" s="258" t="n">
        <v>1751.855</v>
      </c>
      <c r="U65" s="258" t="n">
        <v>2385.375</v>
      </c>
      <c r="V65" s="258" t="n">
        <v>3026.787</v>
      </c>
      <c r="W65" s="258" t="n">
        <v>3044.65127590202</v>
      </c>
      <c r="X65" s="258" t="n">
        <v>3317.40054457842</v>
      </c>
      <c r="Y65" s="258" t="n">
        <v>3452.47424080022</v>
      </c>
      <c r="Z65" s="258" t="n">
        <v>3516.65504205872</v>
      </c>
      <c r="AA65" s="258" t="n">
        <v>3603.06087471752</v>
      </c>
      <c r="AB65" s="258" t="n">
        <v>3831.16180965402</v>
      </c>
      <c r="AC65" s="258" t="n">
        <v>3966.67767125902</v>
      </c>
      <c r="AD65" s="258" t="n">
        <v>4206.93408546</v>
      </c>
      <c r="AE65" s="258" t="n">
        <v>2990.35023541</v>
      </c>
      <c r="AF65" s="258" t="n">
        <v>3019.63795716</v>
      </c>
      <c r="AG65" s="258" t="n">
        <v>2986.68814482</v>
      </c>
      <c r="AH65" s="258" t="n">
        <v>3061.05097683</v>
      </c>
      <c r="AI65" s="258" t="n">
        <v>3074.30621869</v>
      </c>
      <c r="AJ65" s="258" t="n">
        <v>3134.04144719</v>
      </c>
    </row>
    <row r="66">
      <c r="A66" t="n">
        <v>23</v>
      </c>
      <c r="B66" t="n">
        <v>1</v>
      </c>
      <c r="G66" t="inlineStr">
        <is>
          <t>moeda</t>
        </is>
      </c>
      <c r="H66" t="inlineStr">
        <is>
          <t>P: Fornecedores (l.120)</t>
        </is>
      </c>
      <c r="J66" t="inlineStr">
        <is>
          <t>fonte</t>
        </is>
      </c>
      <c r="K66" s="258" t="n">
        <v>1758.67572551</v>
      </c>
      <c r="L66" s="258" t="n">
        <v>951.8876344400001</v>
      </c>
      <c r="M66" s="258" t="n">
        <v>1566.35255222</v>
      </c>
      <c r="N66" s="258" t="n">
        <v>2135.297602018963</v>
      </c>
      <c r="O66" s="258" t="n">
        <v>1695.649</v>
      </c>
      <c r="P66" s="258" t="n">
        <v>2487.282948623</v>
      </c>
      <c r="Q66" s="258" t="n">
        <v>2124.889</v>
      </c>
      <c r="R66" s="258" t="n">
        <v>3374.264</v>
      </c>
      <c r="S66" s="258" t="n">
        <v>3099.206</v>
      </c>
      <c r="T66" s="258" t="n">
        <v>4239.277</v>
      </c>
      <c r="U66" s="258" t="n">
        <v>3821.553</v>
      </c>
      <c r="V66" s="258" t="n">
        <v>5724.42</v>
      </c>
      <c r="W66" s="258" t="n">
        <v>3139.944286385403</v>
      </c>
      <c r="X66" s="258" t="n">
        <v>1870.54885421809</v>
      </c>
      <c r="Y66" s="258" t="n">
        <v>3268.349991280668</v>
      </c>
      <c r="Z66" s="258" t="n">
        <v>6391.443230497654</v>
      </c>
      <c r="AA66" s="258" t="n">
        <v>6183.061382410428</v>
      </c>
      <c r="AB66" s="258" t="n">
        <v>5609.461536849809</v>
      </c>
      <c r="AC66" s="258" t="n">
        <v>5637.089016349591</v>
      </c>
      <c r="AD66" s="258" t="n">
        <v>7191.116623539999</v>
      </c>
      <c r="AE66" s="258" t="n">
        <v>5592.69814315</v>
      </c>
      <c r="AF66" s="258" t="n">
        <v>6101.77102806</v>
      </c>
      <c r="AG66" s="258" t="n">
        <v>5901.55574733</v>
      </c>
      <c r="AH66" s="258" t="n">
        <v>7318.196628780001</v>
      </c>
      <c r="AI66" s="258" t="n">
        <v>6262.09200245</v>
      </c>
      <c r="AJ66" s="258" t="n">
        <v>7159.39567258</v>
      </c>
    </row>
    <row r="67">
      <c r="A67" t="n">
        <v>23</v>
      </c>
      <c r="B67" t="n">
        <v>1</v>
      </c>
      <c r="G67" t="inlineStr">
        <is>
          <t>moeda</t>
        </is>
      </c>
      <c r="H67" t="inlineStr">
        <is>
          <t>P: Floor Plan (l.121) (floor plan das concessionarias -&gt; fornecedores)</t>
        </is>
      </c>
      <c r="J67" t="inlineStr">
        <is>
          <t>fonte</t>
        </is>
      </c>
      <c r="K67" s="258" t="n">
        <v>101.99819203</v>
      </c>
      <c r="L67" s="258" t="n">
        <v>117.44380354</v>
      </c>
      <c r="M67" s="258" t="n">
        <v>87.42557145000001</v>
      </c>
      <c r="N67" s="258" t="n">
        <v>71.84418513</v>
      </c>
      <c r="O67" s="258" t="n">
        <v>89.91186061000001</v>
      </c>
      <c r="P67" s="258" t="n">
        <v>109.87755894</v>
      </c>
      <c r="Q67" s="258" t="n">
        <v>142.06</v>
      </c>
      <c r="R67" s="258" t="n">
        <v>175.536</v>
      </c>
      <c r="S67" s="258" t="n">
        <v>194.516</v>
      </c>
      <c r="T67" s="258" t="n">
        <v>206.128</v>
      </c>
      <c r="U67" s="258" t="n">
        <v>198.507</v>
      </c>
      <c r="V67" s="258" t="n">
        <v>378.753</v>
      </c>
      <c r="W67" s="258" t="n">
        <v>404.63595487</v>
      </c>
      <c r="X67" s="258" t="n">
        <v>381.01199108</v>
      </c>
      <c r="Y67" s="258" t="n">
        <v>361.83575313</v>
      </c>
      <c r="Z67" s="258" t="n">
        <v>376.99998325</v>
      </c>
      <c r="AA67" s="258" t="n">
        <v>468.9121199</v>
      </c>
      <c r="AB67" s="258" t="n">
        <v>697.24656798</v>
      </c>
      <c r="AC67" s="258" t="n">
        <v>841.72280134</v>
      </c>
      <c r="AD67" s="258" t="n">
        <v>747.0446717000001</v>
      </c>
      <c r="AE67" s="258" t="n">
        <v>708.94715302</v>
      </c>
      <c r="AF67" s="258" t="n">
        <v>876.9042517</v>
      </c>
      <c r="AG67" s="258" t="n">
        <v>952.48441655</v>
      </c>
      <c r="AH67" s="258" t="n">
        <v>1027.6220543</v>
      </c>
      <c r="AI67" s="258" t="n">
        <v>1380.46647795</v>
      </c>
      <c r="AJ67" s="258" t="n">
        <v>1441.22054061</v>
      </c>
    </row>
    <row r="68">
      <c r="A68" t="n">
        <v>27</v>
      </c>
      <c r="B68" t="n">
        <v>1</v>
      </c>
      <c r="G68" t="inlineStr">
        <is>
          <t>moeda</t>
        </is>
      </c>
      <c r="H68" t="inlineStr">
        <is>
          <t>P: Risco sacado a pagar (l.122) (a Cia inclui na divida bruta -&gt; cod 27)</t>
        </is>
      </c>
      <c r="J68" t="inlineStr">
        <is>
          <t>fonte</t>
        </is>
      </c>
      <c r="K68" s="258" t="n">
        <v>106.83190245</v>
      </c>
      <c r="L68" s="258" t="n">
        <v>575.85979113</v>
      </c>
      <c r="M68" s="258" t="n">
        <v>269.51206518</v>
      </c>
      <c r="N68" s="258" t="n">
        <v>157.92309441</v>
      </c>
      <c r="O68" s="258" t="n">
        <v>0</v>
      </c>
      <c r="P68" s="258" t="n">
        <v>3.24331088</v>
      </c>
      <c r="Q68" s="258" t="n">
        <v>0</v>
      </c>
      <c r="R68" s="258" t="n">
        <v>0</v>
      </c>
      <c r="S68" s="258" t="n">
        <v>0</v>
      </c>
      <c r="T68" s="258" t="n">
        <v>0</v>
      </c>
      <c r="U68" s="258" t="n">
        <v>0</v>
      </c>
      <c r="V68" s="258" t="n">
        <v>72.92</v>
      </c>
      <c r="W68" s="258" t="n">
        <v>74.17911856999999</v>
      </c>
      <c r="X68" s="258" t="n">
        <v>61.27424552</v>
      </c>
      <c r="Y68" s="258" t="n">
        <v>120.32802225</v>
      </c>
      <c r="Z68" s="258" t="n">
        <v>115.58190794</v>
      </c>
      <c r="AA68" s="258" t="n">
        <v>55.19578571</v>
      </c>
      <c r="AB68" s="258" t="n">
        <v>24.94550126</v>
      </c>
      <c r="AC68" s="258" t="n">
        <v>60.9973648</v>
      </c>
      <c r="AD68" s="258" t="n">
        <v>32.86048987</v>
      </c>
      <c r="AE68" s="258" t="n">
        <v>2.25470001</v>
      </c>
      <c r="AF68" s="258" t="n">
        <v>28.10114596</v>
      </c>
      <c r="AG68" s="258" t="n">
        <v>49.68437359000001</v>
      </c>
      <c r="AH68" s="258" t="n">
        <v>17.89681101</v>
      </c>
      <c r="AI68" s="258" t="n">
        <v>0.84720001</v>
      </c>
      <c r="AJ68" s="258" t="n">
        <v>11.03577415</v>
      </c>
    </row>
    <row r="69">
      <c r="A69" t="n">
        <v>27</v>
      </c>
      <c r="B69" t="n">
        <v>1</v>
      </c>
      <c r="G69" t="inlineStr">
        <is>
          <t>moeda</t>
        </is>
      </c>
      <c r="H69" t="inlineStr">
        <is>
          <t>P: Empréstimos e financiamentos (l.123)</t>
        </is>
      </c>
      <c r="J69" t="inlineStr">
        <is>
          <t>fonte</t>
        </is>
      </c>
      <c r="K69" s="258" t="n">
        <v>814.76271645</v>
      </c>
      <c r="L69" s="258" t="n">
        <v>902.53694316</v>
      </c>
      <c r="M69" s="258" t="n">
        <v>791.059</v>
      </c>
      <c r="N69" s="258" t="n">
        <v>1284.76067978</v>
      </c>
      <c r="O69" s="258" t="n">
        <v>586.477</v>
      </c>
      <c r="P69" s="258" t="n">
        <v>603.92375669</v>
      </c>
      <c r="Q69" s="258" t="n">
        <v>473.286</v>
      </c>
      <c r="R69" s="258" t="n">
        <v>765.352</v>
      </c>
      <c r="S69" s="258" t="n">
        <v>609.5119999999999</v>
      </c>
      <c r="T69" s="258" t="n">
        <v>893.473</v>
      </c>
      <c r="U69" s="258" t="n">
        <v>975.222</v>
      </c>
      <c r="V69" s="258" t="n">
        <v>1427.853</v>
      </c>
      <c r="W69" s="258" t="n">
        <v>1412.95139846243</v>
      </c>
      <c r="X69" s="258" t="n">
        <v>1778.8020434481</v>
      </c>
      <c r="Y69" s="258" t="n">
        <v>1947.453782639</v>
      </c>
      <c r="Z69" s="258" t="n">
        <v>2372.3505168371</v>
      </c>
      <c r="AA69" s="258" t="n">
        <v>2946.5629113348</v>
      </c>
      <c r="AB69" s="258" t="n">
        <v>4793.177851965201</v>
      </c>
      <c r="AC69" s="258" t="n">
        <v>4684.3749084746</v>
      </c>
      <c r="AD69" s="258" t="n">
        <v>4952.082225640001</v>
      </c>
      <c r="AE69" s="258" t="n">
        <v>5136.64207233</v>
      </c>
      <c r="AF69" s="258" t="n">
        <v>4378.424341169999</v>
      </c>
      <c r="AG69" s="258" t="n">
        <v>4703.6149553</v>
      </c>
      <c r="AH69" s="258" t="n">
        <v>6292.17938742</v>
      </c>
      <c r="AI69" s="258" t="n">
        <v>4699.967742979999</v>
      </c>
      <c r="AJ69" s="258" t="n">
        <v>4395.233688</v>
      </c>
    </row>
    <row r="70">
      <c r="A70" t="n">
        <v>27</v>
      </c>
      <c r="B70" t="n">
        <v>1</v>
      </c>
      <c r="G70" t="inlineStr">
        <is>
          <t>moeda</t>
        </is>
      </c>
      <c r="H70" t="inlineStr">
        <is>
          <t>P: Debêntures (l.124)</t>
        </is>
      </c>
      <c r="J70" t="inlineStr">
        <is>
          <t>fonte</t>
        </is>
      </c>
      <c r="K70" s="258" t="n">
        <v>750.88226013</v>
      </c>
      <c r="L70" s="258" t="n">
        <v>777.5680606799999</v>
      </c>
      <c r="M70" s="258" t="n">
        <v>475.54883055</v>
      </c>
      <c r="N70" s="258" t="n">
        <v>592.59459569</v>
      </c>
      <c r="O70" s="258" t="n">
        <v>562.64977996</v>
      </c>
      <c r="P70" s="258" t="n">
        <v>535.7670000000001</v>
      </c>
      <c r="Q70" s="258" t="n">
        <v>544.97</v>
      </c>
      <c r="R70" s="258" t="n">
        <v>661.877</v>
      </c>
      <c r="S70" s="258" t="n">
        <v>847.0650000000001</v>
      </c>
      <c r="T70" s="258" t="n">
        <v>1038.196</v>
      </c>
      <c r="U70" s="258" t="n">
        <v>1633.921</v>
      </c>
      <c r="V70" s="258" t="n">
        <v>2361.078</v>
      </c>
      <c r="W70" s="258" t="n">
        <v>1296.9349351146</v>
      </c>
      <c r="X70" s="258" t="n">
        <v>1099.4536099374</v>
      </c>
      <c r="Y70" s="258" t="n">
        <v>1137.6715463896</v>
      </c>
      <c r="Z70" s="258" t="n">
        <v>1320.5565625996</v>
      </c>
      <c r="AA70" s="258" t="n">
        <v>1352.4261365096</v>
      </c>
      <c r="AB70" s="258" t="n">
        <v>1199.3115531596</v>
      </c>
      <c r="AC70" s="258" t="n">
        <v>1635.4122979796</v>
      </c>
      <c r="AD70" s="258" t="n">
        <v>1997.44078657</v>
      </c>
      <c r="AE70" s="258" t="n">
        <v>2194.01590898</v>
      </c>
      <c r="AF70" s="258" t="n">
        <v>2535.94507722</v>
      </c>
      <c r="AG70" s="258" t="n">
        <v>3038.37642015</v>
      </c>
      <c r="AH70" s="258" t="n">
        <v>2719.5179279</v>
      </c>
      <c r="AI70" s="258" t="n">
        <v>3226.07272234</v>
      </c>
      <c r="AJ70" s="258" t="n">
        <v>3080.98610651</v>
      </c>
    </row>
    <row r="71">
      <c r="A71" t="n">
        <v>27</v>
      </c>
      <c r="B71" t="n">
        <v>1</v>
      </c>
      <c r="G71" t="inlineStr">
        <is>
          <t>moeda</t>
        </is>
      </c>
      <c r="H71" t="inlineStr">
        <is>
          <t>P: Arrendamento por instituições financeiras (l.125) (arrendamento financeiro: divida bruta da Cia)</t>
        </is>
      </c>
      <c r="J71" t="inlineStr">
        <is>
          <t>fonte</t>
        </is>
      </c>
      <c r="K71" s="258" t="n">
        <v>170.56204989</v>
      </c>
      <c r="L71" s="258" t="n">
        <v>154.56281042</v>
      </c>
      <c r="M71" s="258" t="n">
        <v>139.31658475</v>
      </c>
      <c r="N71" s="258" t="n">
        <v>131.09196737</v>
      </c>
      <c r="O71" s="258" t="n">
        <v>100.47358431</v>
      </c>
      <c r="P71" s="258" t="n">
        <v>76.76862165999999</v>
      </c>
      <c r="Q71" s="258" t="n">
        <v>113.855</v>
      </c>
      <c r="R71" s="258" t="n">
        <v>118.833</v>
      </c>
      <c r="S71" s="258" t="n">
        <v>108.972</v>
      </c>
      <c r="T71" s="258" t="n">
        <v>100.062</v>
      </c>
      <c r="U71" s="258" t="n">
        <v>72.411</v>
      </c>
      <c r="V71" s="258" t="n">
        <v>71.637</v>
      </c>
      <c r="W71" s="258" t="n">
        <v>101.62519944</v>
      </c>
      <c r="X71" s="258" t="n">
        <v>107.17042471</v>
      </c>
      <c r="Y71" s="258" t="n">
        <v>117.4731791</v>
      </c>
      <c r="Z71" s="258" t="n">
        <v>124.60902107</v>
      </c>
      <c r="AA71" s="258" t="n">
        <v>132.26260027</v>
      </c>
      <c r="AB71" s="258" t="n">
        <v>135.03095829</v>
      </c>
      <c r="AC71" s="258" t="n">
        <v>137.06134264</v>
      </c>
      <c r="AD71" s="258" t="n">
        <v>131.76488341</v>
      </c>
      <c r="AE71" s="258" t="n">
        <v>115.086862</v>
      </c>
      <c r="AF71" s="258" t="n">
        <v>123.5339865</v>
      </c>
      <c r="AG71" s="258" t="n">
        <v>121.23668616</v>
      </c>
      <c r="AH71" s="258" t="n">
        <v>79.8192308</v>
      </c>
      <c r="AI71" s="258" t="n">
        <v>74.78312554</v>
      </c>
      <c r="AJ71" s="258" t="n">
        <v>69.15500637000001</v>
      </c>
    </row>
    <row r="72">
      <c r="A72" t="n">
        <v>29</v>
      </c>
      <c r="B72" t="n">
        <v>1</v>
      </c>
      <c r="G72" t="inlineStr">
        <is>
          <t>moeda</t>
        </is>
      </c>
      <c r="H72" t="inlineStr">
        <is>
          <t>P: Arrendamento por direito de uso (l.126)</t>
        </is>
      </c>
      <c r="J72" t="inlineStr">
        <is>
          <t>fonte</t>
        </is>
      </c>
      <c r="K72" s="258" t="n">
        <v>107.02432839</v>
      </c>
      <c r="L72" s="258" t="n">
        <v>103.51397595</v>
      </c>
      <c r="M72" s="258" t="n">
        <v>101.76069517</v>
      </c>
      <c r="N72" s="258" t="n">
        <v>101.60088852</v>
      </c>
      <c r="O72" s="258" t="n">
        <v>115.26827369</v>
      </c>
      <c r="P72" s="258" t="n">
        <v>135.25761191</v>
      </c>
      <c r="Q72" s="258" t="n">
        <v>324.387</v>
      </c>
      <c r="R72" s="258" t="n">
        <v>197.769</v>
      </c>
      <c r="S72" s="258" t="n">
        <v>197.789</v>
      </c>
      <c r="T72" s="258" t="n">
        <v>212.55</v>
      </c>
      <c r="U72" s="258" t="n">
        <v>248.393</v>
      </c>
      <c r="V72" s="258" t="n">
        <v>291.43</v>
      </c>
      <c r="W72" s="258" t="n">
        <v>302.015930157</v>
      </c>
      <c r="X72" s="258" t="n">
        <v>319.175826534</v>
      </c>
      <c r="Y72" s="258" t="n">
        <v>342.244387795</v>
      </c>
      <c r="Z72" s="258" t="n">
        <v>364.8750699109</v>
      </c>
      <c r="AA72" s="258" t="n">
        <v>354.3720350377</v>
      </c>
      <c r="AB72" s="258" t="n">
        <v>387.9478079534</v>
      </c>
      <c r="AC72" s="258" t="n">
        <v>434.5427625989</v>
      </c>
      <c r="AD72" s="258" t="n">
        <v>444.88450984</v>
      </c>
      <c r="AE72" s="258" t="n">
        <v>409.76793177</v>
      </c>
      <c r="AF72" s="258" t="n">
        <v>160.22182137</v>
      </c>
      <c r="AG72" s="258" t="n">
        <v>64.34033223</v>
      </c>
      <c r="AH72" s="258" t="n">
        <v>319.41626964</v>
      </c>
      <c r="AI72" s="258" t="n">
        <v>327.66916642</v>
      </c>
      <c r="AJ72" s="258" t="n">
        <v>199.06820025</v>
      </c>
    </row>
    <row r="73">
      <c r="A73" t="n">
        <v>26</v>
      </c>
      <c r="B73" t="n">
        <v>1</v>
      </c>
      <c r="G73" t="inlineStr">
        <is>
          <t>moeda</t>
        </is>
      </c>
      <c r="H73" t="inlineStr">
        <is>
          <t>P: Cessão de direitos creditórios (l.127)</t>
        </is>
      </c>
      <c r="J73" t="inlineStr">
        <is>
          <t>fonte</t>
        </is>
      </c>
      <c r="K73" s="258" t="n">
        <v>6.04272847</v>
      </c>
      <c r="L73" s="258" t="n">
        <v>6.04272847</v>
      </c>
      <c r="M73" s="258" t="n">
        <v>6.04272847</v>
      </c>
      <c r="N73" s="258" t="n">
        <v>6.04272847</v>
      </c>
      <c r="O73" s="258" t="n">
        <v>6.042628469999999</v>
      </c>
      <c r="P73" s="258" t="n">
        <v>6.042628469999999</v>
      </c>
      <c r="Q73" s="258" t="n">
        <v>6.26</v>
      </c>
      <c r="R73" s="258" t="n">
        <v>6.043</v>
      </c>
      <c r="S73" s="258" t="n">
        <v>2.013</v>
      </c>
      <c r="T73" s="258" t="n">
        <v>3.021</v>
      </c>
      <c r="U73" s="258" t="n">
        <v>316.65</v>
      </c>
      <c r="V73" s="258" t="n">
        <v>698.404</v>
      </c>
      <c r="W73" s="258" t="n">
        <v>981.3609426</v>
      </c>
      <c r="X73" s="258" t="n">
        <v>857.01668299</v>
      </c>
      <c r="Y73" s="258" t="n">
        <v>548.0149619199999</v>
      </c>
      <c r="Z73" s="258" t="n">
        <v>1129.94618095</v>
      </c>
      <c r="AA73" s="258" t="n">
        <v>1707.82191595</v>
      </c>
      <c r="AB73" s="258" t="n">
        <v>1734.88302861</v>
      </c>
      <c r="AC73" s="258" t="n">
        <v>1421.48669244</v>
      </c>
      <c r="AD73" s="258" t="n">
        <v>1367.84730554</v>
      </c>
      <c r="AE73" s="258" t="n">
        <v>1676.58652162</v>
      </c>
      <c r="AF73" s="258" t="n">
        <v>1848.21764283</v>
      </c>
      <c r="AG73" s="258" t="n">
        <v>2027.50981233</v>
      </c>
      <c r="AH73" s="258" t="n">
        <v>2047.1265441</v>
      </c>
      <c r="AI73" s="258" t="n">
        <v>1801.74130481</v>
      </c>
      <c r="AJ73" s="258" t="n">
        <v>1284.24440197</v>
      </c>
    </row>
    <row r="74">
      <c r="A74" t="n">
        <v>26</v>
      </c>
      <c r="B74" t="n">
        <v>1</v>
      </c>
      <c r="G74" t="inlineStr">
        <is>
          <t>moeda</t>
        </is>
      </c>
      <c r="H74" t="inlineStr">
        <is>
          <t>P: Instrumentos financeiros derivativos (l.128)</t>
        </is>
      </c>
      <c r="J74" t="inlineStr">
        <is>
          <t>fonte</t>
        </is>
      </c>
      <c r="K74" s="258" t="n">
        <v>0</v>
      </c>
      <c r="L74" s="258" t="n">
        <v>0</v>
      </c>
      <c r="M74" s="258" t="n">
        <v>0</v>
      </c>
      <c r="N74" s="258" t="n">
        <v>0</v>
      </c>
      <c r="O74" s="258" t="n">
        <v>0</v>
      </c>
      <c r="P74" s="258" t="n">
        <v>0</v>
      </c>
      <c r="Q74" s="258" t="n">
        <v>0</v>
      </c>
      <c r="R74" s="258" t="n">
        <v>271.251</v>
      </c>
      <c r="S74" s="258" t="n">
        <v>463.208</v>
      </c>
      <c r="T74" s="258" t="n">
        <v>490.337</v>
      </c>
      <c r="U74" s="258" t="n">
        <v>535.922</v>
      </c>
      <c r="V74" s="258" t="n">
        <v>561.29</v>
      </c>
      <c r="W74" s="258" t="n">
        <v>504.08653177</v>
      </c>
      <c r="X74" s="258" t="n">
        <v>845.06968263</v>
      </c>
      <c r="Y74" s="258" t="n">
        <v>611.27900921</v>
      </c>
      <c r="Z74" s="258" t="n">
        <v>723.68142421</v>
      </c>
      <c r="AA74" s="258" t="n">
        <v>750.5872942680001</v>
      </c>
      <c r="AB74" s="258" t="n">
        <v>797.1480325900001</v>
      </c>
      <c r="AC74" s="258" t="n">
        <v>919.18723677</v>
      </c>
      <c r="AD74" s="258" t="n">
        <v>1560.37874021</v>
      </c>
      <c r="AE74" s="258" t="n">
        <v>1213.43790004</v>
      </c>
      <c r="AF74" s="258" t="n">
        <v>1053.05687283</v>
      </c>
      <c r="AG74" s="258" t="n">
        <v>1062.57684267</v>
      </c>
      <c r="AH74" s="258" t="n">
        <v>1020.5159461</v>
      </c>
      <c r="AI74" s="258" t="n">
        <v>1206.84011058</v>
      </c>
      <c r="AJ74" s="258" t="n">
        <v>1193.50992438</v>
      </c>
    </row>
    <row r="75">
      <c r="A75" t="n">
        <v>24</v>
      </c>
      <c r="B75" t="n">
        <v>1</v>
      </c>
      <c r="G75" t="inlineStr">
        <is>
          <t>moeda</t>
        </is>
      </c>
      <c r="H75" t="inlineStr">
        <is>
          <t>P: Obrigações trabalhistas (l.129)</t>
        </is>
      </c>
      <c r="J75" t="inlineStr">
        <is>
          <t>fonte</t>
        </is>
      </c>
      <c r="K75" s="258" t="n">
        <v>238.41306349</v>
      </c>
      <c r="L75" s="258" t="n">
        <v>267.31642906</v>
      </c>
      <c r="M75" s="258" t="n">
        <v>287.59921562</v>
      </c>
      <c r="N75" s="258" t="n">
        <v>270.005696152076</v>
      </c>
      <c r="O75" s="258" t="n">
        <v>314.313235398357</v>
      </c>
      <c r="P75" s="258" t="n">
        <v>395.0717992</v>
      </c>
      <c r="Q75" s="258" t="n">
        <v>462.694</v>
      </c>
      <c r="R75" s="258" t="n">
        <v>408.154</v>
      </c>
      <c r="S75" s="258" t="n">
        <v>464.144</v>
      </c>
      <c r="T75" s="258" t="n">
        <v>510.412</v>
      </c>
      <c r="U75" s="258" t="n">
        <v>658.2859999999999</v>
      </c>
      <c r="V75" s="258" t="n">
        <v>625.1559999999999</v>
      </c>
      <c r="W75" s="258" t="n">
        <v>702.0285645398855</v>
      </c>
      <c r="X75" s="258" t="n">
        <v>805.7101639145952</v>
      </c>
      <c r="Y75" s="258" t="n">
        <v>919.2644246892472</v>
      </c>
      <c r="Z75" s="258" t="n">
        <v>727.767074321675</v>
      </c>
      <c r="AA75" s="258" t="n">
        <v>756.1473153185877</v>
      </c>
      <c r="AB75" s="258" t="n">
        <v>781.022510349471</v>
      </c>
      <c r="AC75" s="258" t="n">
        <v>860.4838081243821</v>
      </c>
      <c r="AD75" s="258" t="n">
        <v>747.2972597300001</v>
      </c>
      <c r="AE75" s="258" t="n">
        <v>778.19114601</v>
      </c>
      <c r="AF75" s="258" t="n">
        <v>861.57004729</v>
      </c>
      <c r="AG75" s="258" t="n">
        <v>959.03046664</v>
      </c>
      <c r="AH75" s="258" t="n">
        <v>845.7690727400001</v>
      </c>
      <c r="AI75" s="258" t="n">
        <v>1127.90286505</v>
      </c>
      <c r="AJ75" s="258" t="n">
        <v>1191.83897208</v>
      </c>
    </row>
    <row r="76">
      <c r="A76" t="n">
        <v>25</v>
      </c>
      <c r="B76" t="n">
        <v>1</v>
      </c>
      <c r="G76" t="inlineStr">
        <is>
          <t>moeda</t>
        </is>
      </c>
      <c r="H76" t="inlineStr">
        <is>
          <t>P: Imposto de renda e contribuição social a recolher (l.130)</t>
        </is>
      </c>
      <c r="J76" t="inlineStr">
        <is>
          <t>fonte</t>
        </is>
      </c>
      <c r="K76" s="258" t="n">
        <v>62.75864274</v>
      </c>
      <c r="L76" s="258" t="n">
        <v>9.497506982999999</v>
      </c>
      <c r="M76" s="258" t="n">
        <v>5.647701313</v>
      </c>
      <c r="N76" s="258" t="n">
        <v>18.679167168</v>
      </c>
      <c r="O76" s="258" t="n">
        <v>81.31699999999999</v>
      </c>
      <c r="P76" s="258" t="n">
        <v>49.69913023700001</v>
      </c>
      <c r="Q76" s="258" t="n">
        <v>58.894</v>
      </c>
      <c r="R76" s="258" t="n">
        <v>45.865</v>
      </c>
      <c r="S76" s="258" t="n">
        <v>28.608</v>
      </c>
      <c r="T76" s="258" t="n">
        <v>60.969</v>
      </c>
      <c r="U76" s="258" t="n">
        <v>105.766</v>
      </c>
      <c r="V76" s="258" t="n">
        <v>99.818</v>
      </c>
      <c r="W76" s="258" t="n">
        <v>58.30050451</v>
      </c>
      <c r="X76" s="258" t="n">
        <v>58.2413139237</v>
      </c>
      <c r="Y76" s="258" t="n">
        <v>61.085826068</v>
      </c>
      <c r="Z76" s="258" t="n">
        <v>45.215293825</v>
      </c>
      <c r="AA76" s="258" t="n">
        <v>52.949432678</v>
      </c>
      <c r="AB76" s="258" t="n">
        <v>73.2959064365</v>
      </c>
      <c r="AC76" s="258" t="n">
        <v>51.4124069318</v>
      </c>
      <c r="AD76" s="258" t="n">
        <v>52.32592571</v>
      </c>
      <c r="AE76" s="258" t="n">
        <v>57.32290109</v>
      </c>
      <c r="AF76" s="258" t="n">
        <v>37.05509979999999</v>
      </c>
      <c r="AG76" s="258" t="n">
        <v>42.57339722</v>
      </c>
      <c r="AH76" s="258" t="n">
        <v>52.12238426</v>
      </c>
      <c r="AI76" s="258" t="n">
        <v>79.15371034</v>
      </c>
      <c r="AJ76" s="258" t="n">
        <v>99.26733001000001</v>
      </c>
    </row>
    <row r="77">
      <c r="A77" t="n">
        <v>25</v>
      </c>
      <c r="B77" t="n">
        <v>1</v>
      </c>
      <c r="G77" t="inlineStr">
        <is>
          <t>moeda</t>
        </is>
      </c>
      <c r="H77" t="inlineStr">
        <is>
          <t>P: Tributos a recolher (l.131)</t>
        </is>
      </c>
      <c r="J77" t="inlineStr">
        <is>
          <t>fonte</t>
        </is>
      </c>
      <c r="K77" s="258" t="n">
        <v>63.88601253999999</v>
      </c>
      <c r="L77" s="258" t="n">
        <v>72.22728221999999</v>
      </c>
      <c r="M77" s="258" t="n">
        <v>80.76319651</v>
      </c>
      <c r="N77" s="258" t="n">
        <v>103.29117264</v>
      </c>
      <c r="O77" s="258" t="n">
        <v>108.5505864616</v>
      </c>
      <c r="P77" s="258" t="n">
        <v>139.89326844</v>
      </c>
      <c r="Q77" s="258" t="n">
        <v>146.794</v>
      </c>
      <c r="R77" s="258" t="n">
        <v>220.213</v>
      </c>
      <c r="S77" s="258" t="n">
        <v>195.173</v>
      </c>
      <c r="T77" s="258" t="n">
        <v>244.767</v>
      </c>
      <c r="U77" s="258" t="n">
        <v>249.599</v>
      </c>
      <c r="V77" s="258" t="n">
        <v>385.329</v>
      </c>
      <c r="W77" s="258" t="n">
        <v>289.4808584226261</v>
      </c>
      <c r="X77" s="258" t="n">
        <v>324.7781807245992</v>
      </c>
      <c r="Y77" s="258" t="n">
        <v>361.7059870377947</v>
      </c>
      <c r="Z77" s="258" t="n">
        <v>455.58388199756</v>
      </c>
      <c r="AA77" s="258" t="n">
        <v>417.7868046443391</v>
      </c>
      <c r="AB77" s="258" t="n">
        <v>389.845018197649</v>
      </c>
      <c r="AC77" s="258" t="n">
        <v>449.4694117207575</v>
      </c>
      <c r="AD77" s="258" t="n">
        <v>534.35348849</v>
      </c>
      <c r="AE77" s="258" t="n">
        <v>448.3922567</v>
      </c>
      <c r="AF77" s="258" t="n">
        <v>491.40113898</v>
      </c>
      <c r="AG77" s="258" t="n">
        <v>494.74300129</v>
      </c>
      <c r="AH77" s="258" t="n">
        <v>654.62559817</v>
      </c>
      <c r="AI77" s="258" t="n">
        <v>510.74100896</v>
      </c>
      <c r="AJ77" s="258" t="n">
        <v>559.70305049</v>
      </c>
    </row>
    <row r="78">
      <c r="A78" t="n">
        <v>26</v>
      </c>
      <c r="B78" t="n">
        <v>1</v>
      </c>
      <c r="G78" t="inlineStr">
        <is>
          <t>moeda</t>
        </is>
      </c>
      <c r="H78" t="inlineStr">
        <is>
          <t>P: Outras contas a pagar (l.132)</t>
        </is>
      </c>
      <c r="J78" t="inlineStr">
        <is>
          <t>fonte</t>
        </is>
      </c>
      <c r="K78" s="258" t="n">
        <v>191.9142575013</v>
      </c>
      <c r="L78" s="258" t="n">
        <v>168.8829821599999</v>
      </c>
      <c r="M78" s="258" t="n">
        <v>168.29248963</v>
      </c>
      <c r="N78" s="258" t="n">
        <v>376.1505796552</v>
      </c>
      <c r="O78" s="258" t="n">
        <v>448.281</v>
      </c>
      <c r="P78" s="258" t="n">
        <v>519.721</v>
      </c>
      <c r="Q78" s="258" t="n">
        <v>512.22</v>
      </c>
      <c r="R78" s="258" t="n">
        <v>420.724</v>
      </c>
      <c r="S78" s="258" t="n">
        <v>495.153</v>
      </c>
      <c r="T78" s="258" t="n">
        <v>573.636</v>
      </c>
      <c r="U78" s="258" t="n">
        <v>279.659</v>
      </c>
      <c r="V78" s="258" t="n">
        <v>289.15</v>
      </c>
      <c r="W78" s="258" t="n">
        <v>307.172241038022</v>
      </c>
      <c r="X78" s="258" t="n">
        <v>281.8951327256</v>
      </c>
      <c r="Y78" s="258" t="n">
        <v>345.2633515513272</v>
      </c>
      <c r="Z78" s="258" t="n">
        <v>130.0968960496</v>
      </c>
      <c r="AA78" s="258" t="n">
        <v>179.75707910574</v>
      </c>
      <c r="AB78" s="258" t="n">
        <v>221.2130629813</v>
      </c>
      <c r="AC78" s="258" t="n">
        <v>208.0964751721</v>
      </c>
      <c r="AD78" s="258" t="n">
        <v>64.5613757</v>
      </c>
      <c r="AE78" s="258" t="n">
        <v>-211.46265432</v>
      </c>
      <c r="AF78" s="258" t="n">
        <v>-437.69351712</v>
      </c>
      <c r="AG78" s="258" t="n">
        <v>5.474949910000003</v>
      </c>
      <c r="AH78" s="258" t="n">
        <v>13.20745485</v>
      </c>
      <c r="AI78" s="258" t="n">
        <v>-56.65905382</v>
      </c>
      <c r="AJ78" s="258" t="n">
        <v>-211.85115894</v>
      </c>
    </row>
    <row r="79">
      <c r="A79" t="n">
        <v>26</v>
      </c>
      <c r="B79" t="n">
        <v>1</v>
      </c>
      <c r="G79" t="inlineStr">
        <is>
          <t>moeda</t>
        </is>
      </c>
      <c r="H79" t="inlineStr">
        <is>
          <t>P: Aquisição de empresas a pagar (l.133)</t>
        </is>
      </c>
      <c r="J79" t="inlineStr">
        <is>
          <t>fonte</t>
        </is>
      </c>
      <c r="K79" s="258" t="n">
        <v>0</v>
      </c>
      <c r="L79" s="258" t="n">
        <v>0</v>
      </c>
      <c r="M79" s="258" t="n">
        <v>0</v>
      </c>
      <c r="N79" s="258" t="n">
        <v>0</v>
      </c>
      <c r="O79" s="258" t="n">
        <v>0</v>
      </c>
      <c r="P79" s="258" t="n">
        <v>0</v>
      </c>
      <c r="Q79" s="258" t="n">
        <v>0</v>
      </c>
      <c r="R79" s="258" t="n">
        <v>0</v>
      </c>
      <c r="S79" s="258" t="n">
        <v>0</v>
      </c>
      <c r="T79" s="258" t="n">
        <v>0</v>
      </c>
      <c r="U79" s="258" t="n">
        <v>144.825</v>
      </c>
      <c r="V79" s="258" t="n">
        <v>153.852</v>
      </c>
      <c r="W79" s="258" t="n">
        <v>99.35109435</v>
      </c>
      <c r="X79" s="258" t="n">
        <v>206.12362197</v>
      </c>
      <c r="Y79" s="258" t="n">
        <v>233.65407311</v>
      </c>
      <c r="Z79" s="258" t="n">
        <v>268.29121489</v>
      </c>
      <c r="AA79" s="258" t="n">
        <v>312.13135621</v>
      </c>
      <c r="AB79" s="258" t="n">
        <v>261.73575203</v>
      </c>
      <c r="AC79" s="258" t="n">
        <v>287.45126855</v>
      </c>
      <c r="AD79" s="258" t="n">
        <v>391.00361019</v>
      </c>
      <c r="AE79" s="258" t="n">
        <v>235.48251878</v>
      </c>
      <c r="AF79" s="258" t="n">
        <v>226.85979739</v>
      </c>
      <c r="AG79" s="258" t="n">
        <v>250.88306685</v>
      </c>
      <c r="AH79" s="258" t="n">
        <v>384.9185433</v>
      </c>
      <c r="AI79" s="258" t="n">
        <v>385.10598274</v>
      </c>
      <c r="AJ79" s="258" t="n">
        <v>221.36496039</v>
      </c>
    </row>
    <row r="80">
      <c r="A80" t="n">
        <v>26</v>
      </c>
      <c r="B80" t="n">
        <v>1</v>
      </c>
      <c r="G80" t="inlineStr">
        <is>
          <t>moeda</t>
        </is>
      </c>
      <c r="H80" t="inlineStr">
        <is>
          <t>P: Dividendos a pagar (l.134)</t>
        </is>
      </c>
      <c r="J80" t="inlineStr">
        <is>
          <t>fonte</t>
        </is>
      </c>
      <c r="K80" s="258" t="n">
        <v>29.002</v>
      </c>
      <c r="L80" s="258" t="n">
        <v>15.17663076</v>
      </c>
      <c r="M80" s="258" t="n">
        <v>22.25882235</v>
      </c>
      <c r="N80" s="258" t="n">
        <v>97.85599999999999</v>
      </c>
      <c r="O80" s="258" t="n">
        <v>88.71693956999999</v>
      </c>
      <c r="P80" s="258" t="n">
        <v>42.455315628</v>
      </c>
      <c r="Q80" s="258" t="n">
        <v>21.529</v>
      </c>
      <c r="R80" s="258" t="n">
        <v>263.28</v>
      </c>
      <c r="S80" s="258" t="n">
        <v>485.637</v>
      </c>
      <c r="T80" s="258" t="n">
        <v>36.068</v>
      </c>
      <c r="U80" s="258" t="n">
        <v>30.553</v>
      </c>
      <c r="V80" s="258" t="n">
        <v>259.201</v>
      </c>
      <c r="W80" s="258" t="n">
        <v>133.227447698</v>
      </c>
      <c r="X80" s="258" t="n">
        <v>18.842603499</v>
      </c>
      <c r="Y80" s="258" t="n">
        <v>4.122916149</v>
      </c>
      <c r="Z80" s="258" t="n">
        <v>123.656653359</v>
      </c>
      <c r="AA80" s="258" t="n">
        <v>133.709729969</v>
      </c>
      <c r="AB80" s="258" t="n">
        <v>4.12291613804</v>
      </c>
      <c r="AC80" s="258" t="n">
        <v>11.570225829</v>
      </c>
      <c r="AD80" s="258" t="n">
        <v>180.5602054</v>
      </c>
      <c r="AE80" s="258" t="n">
        <v>139.35080306</v>
      </c>
      <c r="AF80" s="258" t="n">
        <v>9.599534500000001</v>
      </c>
      <c r="AG80" s="258" t="n">
        <v>3.79790839</v>
      </c>
      <c r="AH80" s="258" t="n">
        <v>320.3884575</v>
      </c>
      <c r="AI80" s="258" t="n">
        <v>319.88866836</v>
      </c>
      <c r="AJ80" s="258" t="n">
        <v>244.29178452</v>
      </c>
    </row>
    <row r="81">
      <c r="A81" t="n">
        <v>26</v>
      </c>
      <c r="B81" t="n">
        <v>1</v>
      </c>
      <c r="G81" t="inlineStr">
        <is>
          <t>moeda</t>
        </is>
      </c>
      <c r="H81" t="inlineStr">
        <is>
          <t>P: Adiantamento de clientes (l.135)</t>
        </is>
      </c>
      <c r="J81" t="inlineStr">
        <is>
          <t>fonte</t>
        </is>
      </c>
      <c r="K81" s="258" t="n">
        <v>151.48461902</v>
      </c>
      <c r="L81" s="258" t="n">
        <v>164.1893834</v>
      </c>
      <c r="M81" s="258" t="n">
        <v>159.31666542</v>
      </c>
      <c r="N81" s="258" t="n">
        <v>177.16960188</v>
      </c>
      <c r="O81" s="258" t="n">
        <v>200.793935229</v>
      </c>
      <c r="P81" s="258" t="n">
        <v>163.79168258</v>
      </c>
      <c r="Q81" s="258" t="n">
        <v>192.082</v>
      </c>
      <c r="R81" s="258" t="n">
        <v>207.72</v>
      </c>
      <c r="S81" s="258" t="n">
        <v>251.614</v>
      </c>
      <c r="T81" s="258" t="n">
        <v>295.716</v>
      </c>
      <c r="U81" s="258" t="n">
        <v>362.767</v>
      </c>
      <c r="V81" s="258" t="n">
        <v>428.469</v>
      </c>
      <c r="W81" s="258" t="n">
        <v>527.673789453167</v>
      </c>
      <c r="X81" s="258" t="n">
        <v>613.77256663</v>
      </c>
      <c r="Y81" s="258" t="n">
        <v>770.3942283796196</v>
      </c>
      <c r="Z81" s="258" t="n">
        <v>657.60061104</v>
      </c>
      <c r="AA81" s="258" t="n">
        <v>776.4229502363688</v>
      </c>
      <c r="AB81" s="258" t="n">
        <v>759.3740772448999</v>
      </c>
      <c r="AC81" s="258" t="n">
        <v>671.9893513482371</v>
      </c>
      <c r="AD81" s="258" t="n">
        <v>541.2416793400001</v>
      </c>
      <c r="AE81" s="258" t="n">
        <v>742.29619225</v>
      </c>
      <c r="AF81" s="258" t="n">
        <v>732.73885951</v>
      </c>
      <c r="AG81" s="258" t="n">
        <v>608.6735082199999</v>
      </c>
      <c r="AH81" s="258" t="n">
        <v>615.8932540599999</v>
      </c>
      <c r="AI81" s="258" t="n">
        <v>542.5273214399999</v>
      </c>
      <c r="AJ81" s="258" t="n">
        <v>429.52734777</v>
      </c>
    </row>
    <row r="82">
      <c r="A82" t="n">
        <v>26</v>
      </c>
      <c r="B82" t="n">
        <v>1</v>
      </c>
      <c r="G82" t="inlineStr">
        <is>
          <t>moeda</t>
        </is>
      </c>
      <c r="H82" t="inlineStr">
        <is>
          <t>P: Adiantamento de clientes - Intergrupo (l.136)</t>
        </is>
      </c>
      <c r="J82" t="inlineStr">
        <is>
          <t>fonte</t>
        </is>
      </c>
      <c r="K82" s="258" t="n">
        <v>0</v>
      </c>
      <c r="L82" s="258" t="n">
        <v>0</v>
      </c>
      <c r="M82" s="258" t="n">
        <v>0</v>
      </c>
      <c r="N82" s="258" t="n">
        <v>0</v>
      </c>
      <c r="O82" s="258" t="n">
        <v>0</v>
      </c>
      <c r="P82" s="258" t="n">
        <v>0</v>
      </c>
      <c r="Q82" s="258" t="n">
        <v>0</v>
      </c>
      <c r="R82" s="258" t="n">
        <v>0</v>
      </c>
      <c r="S82" s="258" t="n">
        <v>0</v>
      </c>
      <c r="T82" s="258" t="n">
        <v>0</v>
      </c>
      <c r="U82" s="258" t="n">
        <v>0</v>
      </c>
      <c r="V82" s="258" t="n">
        <v>0</v>
      </c>
      <c r="W82" s="258" t="n">
        <v>2.785e-05</v>
      </c>
      <c r="X82" s="258" t="n">
        <v>0</v>
      </c>
      <c r="Y82" s="258" t="n">
        <v>0.19967962</v>
      </c>
      <c r="Z82" s="258" t="n">
        <v>0</v>
      </c>
      <c r="AA82" s="258" t="n">
        <v>0</v>
      </c>
      <c r="AB82" s="258" t="n">
        <v>0</v>
      </c>
      <c r="AC82" s="258" t="n">
        <v>0</v>
      </c>
      <c r="AD82" s="258" t="n">
        <v>-2e-08</v>
      </c>
      <c r="AE82" s="258" t="n">
        <v>0.1090554</v>
      </c>
      <c r="AF82" s="258" t="n">
        <v>137.95840739</v>
      </c>
      <c r="AG82" s="258" t="n">
        <v>1.310000007450581e-06</v>
      </c>
      <c r="AH82" s="258" t="n">
        <v>0</v>
      </c>
      <c r="AI82" s="258" t="n">
        <v>2.04929232</v>
      </c>
      <c r="AJ82" s="258" t="n">
        <v>103.83017643</v>
      </c>
    </row>
    <row r="83">
      <c r="A83" t="n">
        <v>26</v>
      </c>
      <c r="B83" t="n">
        <v>1</v>
      </c>
      <c r="G83" t="inlineStr">
        <is>
          <t>moeda</t>
        </is>
      </c>
      <c r="H83" t="inlineStr">
        <is>
          <t>P: Compra de ações de controladas a termo (l.137)</t>
        </is>
      </c>
      <c r="J83" t="inlineStr">
        <is>
          <t>fonte</t>
        </is>
      </c>
      <c r="K83" s="258" t="n">
        <v>0</v>
      </c>
      <c r="L83" s="258" t="n">
        <v>0</v>
      </c>
      <c r="M83" s="258" t="n">
        <v>0</v>
      </c>
      <c r="N83" s="258" t="n">
        <v>0</v>
      </c>
      <c r="O83" s="258" t="n">
        <v>0</v>
      </c>
      <c r="P83" s="258" t="n">
        <v>0</v>
      </c>
      <c r="Q83" s="258" t="n">
        <v>0</v>
      </c>
      <c r="R83" s="258" t="n">
        <v>0</v>
      </c>
      <c r="S83" s="258" t="n">
        <v>0</v>
      </c>
      <c r="T83" s="258" t="n">
        <v>122.257</v>
      </c>
      <c r="U83" s="258" t="n">
        <v>125.994</v>
      </c>
      <c r="V83" s="258" t="n">
        <v>130.606</v>
      </c>
      <c r="W83" s="258" t="n">
        <v>135.43340598</v>
      </c>
      <c r="X83" s="258" t="n">
        <v>0</v>
      </c>
      <c r="Y83" s="258" t="n">
        <v>0</v>
      </c>
      <c r="Z83" s="258" t="n">
        <v>0</v>
      </c>
      <c r="AA83" s="258" t="n">
        <v>132.65990451</v>
      </c>
      <c r="AB83" s="258" t="n">
        <v>166.56144163</v>
      </c>
      <c r="AC83" s="258" t="n">
        <v>159.55342684</v>
      </c>
      <c r="AD83" s="258" t="n">
        <v>85.56263604</v>
      </c>
      <c r="AE83" s="258" t="n">
        <v>80.32262776</v>
      </c>
      <c r="AF83" s="258" t="n">
        <v>123.22542342</v>
      </c>
      <c r="AG83" s="258" t="n">
        <v>120.85553972</v>
      </c>
      <c r="AH83" s="258" t="n">
        <v>166.9310454</v>
      </c>
      <c r="AI83" s="258" t="n">
        <v>1235.24218219</v>
      </c>
      <c r="AJ83" s="258" t="n">
        <v>1279.64765892</v>
      </c>
    </row>
    <row r="84">
      <c r="A84" t="n">
        <v>26</v>
      </c>
      <c r="B84" t="n">
        <v>1</v>
      </c>
      <c r="G84" t="inlineStr">
        <is>
          <t>moeda</t>
        </is>
      </c>
      <c r="H84" t="inlineStr">
        <is>
          <t>P: Partes relacionadas (l.138)</t>
        </is>
      </c>
      <c r="J84" t="inlineStr">
        <is>
          <t>fonte</t>
        </is>
      </c>
      <c r="K84" s="258" t="n">
        <v>1.08617589</v>
      </c>
      <c r="L84" s="258" t="n">
        <v>0</v>
      </c>
      <c r="M84" s="258" t="n">
        <v>3.79962343</v>
      </c>
      <c r="N84" s="258" t="n">
        <v>0.5496007499999999</v>
      </c>
      <c r="O84" s="258" t="n">
        <v>0.453</v>
      </c>
      <c r="P84" s="258" t="n">
        <v>0.453</v>
      </c>
      <c r="Q84" s="258" t="n">
        <v>0.453</v>
      </c>
      <c r="R84" s="258" t="n">
        <v>0.453</v>
      </c>
      <c r="S84" s="258" t="n">
        <v>0.221</v>
      </c>
      <c r="T84" s="258" t="n">
        <v>0.453</v>
      </c>
      <c r="U84" s="258" t="n">
        <v>0.877</v>
      </c>
      <c r="V84" s="258" t="n">
        <v>0.499</v>
      </c>
      <c r="W84" s="258" t="n">
        <v>0.13200743</v>
      </c>
      <c r="X84" s="258" t="n">
        <v>0</v>
      </c>
      <c r="Y84" s="258" t="n">
        <v>0.39602229</v>
      </c>
      <c r="Z84" s="258" t="n">
        <v>0.5108408400000001</v>
      </c>
      <c r="AA84" s="258" t="n">
        <v>0.12538199</v>
      </c>
      <c r="AB84" s="258" t="n">
        <v>0</v>
      </c>
      <c r="AC84" s="258" t="n">
        <v>0</v>
      </c>
      <c r="AD84" s="258" t="n">
        <v>0.10699945</v>
      </c>
      <c r="AE84" s="258" t="n">
        <v>0.14660762</v>
      </c>
      <c r="AF84" s="258" t="n">
        <v>0.14660762</v>
      </c>
      <c r="AG84" s="258" t="n">
        <v>0.10897656</v>
      </c>
      <c r="AH84" s="258" t="n">
        <v>-1e-07</v>
      </c>
      <c r="AI84" s="258" t="n">
        <v>0</v>
      </c>
      <c r="AJ84" s="258" t="n">
        <v>0</v>
      </c>
    </row>
    <row r="85">
      <c r="A85" t="n">
        <v>26</v>
      </c>
      <c r="B85" t="n">
        <v>1</v>
      </c>
      <c r="G85" t="inlineStr">
        <is>
          <t>moeda</t>
        </is>
      </c>
      <c r="H85" t="inlineStr">
        <is>
          <t>P: Provisões para perdas Investimentos em operações descontinuadas (l.139)</t>
        </is>
      </c>
      <c r="J85" t="inlineStr">
        <is>
          <t>fonte</t>
        </is>
      </c>
      <c r="K85" s="258" t="n">
        <v>0</v>
      </c>
      <c r="L85" s="258" t="n">
        <v>2.80562941</v>
      </c>
      <c r="M85" s="258" t="n">
        <v>0</v>
      </c>
      <c r="N85" s="258" t="n">
        <v>0</v>
      </c>
      <c r="O85" s="258" t="n">
        <v>0</v>
      </c>
      <c r="P85" s="258" t="n">
        <v>0</v>
      </c>
      <c r="Q85" s="258" t="n">
        <v>0</v>
      </c>
      <c r="R85" s="258" t="n">
        <v>0</v>
      </c>
      <c r="S85" s="258" t="n">
        <v>0</v>
      </c>
      <c r="T85" s="258" t="n">
        <v>0</v>
      </c>
      <c r="U85" s="258" t="n">
        <v>0</v>
      </c>
      <c r="V85" s="258" t="n">
        <v>0</v>
      </c>
      <c r="W85" s="258" t="n">
        <v>0</v>
      </c>
      <c r="X85" s="258" t="n">
        <v>0</v>
      </c>
      <c r="Y85" s="258" t="n">
        <v>0</v>
      </c>
      <c r="Z85" s="258" t="n">
        <v>0</v>
      </c>
      <c r="AA85" s="258" t="n">
        <v>0</v>
      </c>
      <c r="AB85" s="258" t="n">
        <v>0</v>
      </c>
      <c r="AC85" s="258" t="n">
        <v>0</v>
      </c>
      <c r="AD85" s="258" t="n">
        <v>0</v>
      </c>
      <c r="AE85" s="258" t="n">
        <v>0</v>
      </c>
      <c r="AF85" s="258" t="n">
        <v>0</v>
      </c>
      <c r="AG85" s="258" t="n">
        <v>0</v>
      </c>
      <c r="AH85" s="258" t="n">
        <v>0</v>
      </c>
      <c r="AI85" s="258" t="n">
        <v>0</v>
      </c>
      <c r="AJ85" s="258" t="n">
        <v>0</v>
      </c>
    </row>
    <row r="86">
      <c r="A86" t="n">
        <v>26</v>
      </c>
      <c r="B86" t="n">
        <v>1</v>
      </c>
      <c r="G86" t="inlineStr">
        <is>
          <t>moeda</t>
        </is>
      </c>
      <c r="H86" t="inlineStr">
        <is>
          <t>P: DF - Passivos mantidos para venda (l.142)</t>
        </is>
      </c>
      <c r="J86" t="inlineStr">
        <is>
          <t>fonte</t>
        </is>
      </c>
      <c r="K86" s="258" t="n">
        <v>0</v>
      </c>
      <c r="L86" s="258" t="n">
        <v>0</v>
      </c>
      <c r="M86" s="258" t="n">
        <v>0</v>
      </c>
      <c r="N86" s="258" t="n">
        <v>0</v>
      </c>
      <c r="O86" s="258" t="n">
        <v>0</v>
      </c>
      <c r="P86" s="258" t="n">
        <v>0</v>
      </c>
      <c r="Q86" s="258" t="n">
        <v>0</v>
      </c>
      <c r="R86" s="258" t="n">
        <v>0</v>
      </c>
      <c r="S86" s="258" t="n">
        <v>0</v>
      </c>
      <c r="T86" s="258" t="n">
        <v>0</v>
      </c>
      <c r="U86" s="258" t="n">
        <v>0</v>
      </c>
      <c r="V86" s="258" t="n">
        <v>0</v>
      </c>
      <c r="W86" s="258" t="n">
        <v>0</v>
      </c>
      <c r="X86" s="258" t="n">
        <v>0</v>
      </c>
      <c r="Y86" s="258" t="n">
        <v>0</v>
      </c>
      <c r="Z86" s="258" t="n">
        <v>0</v>
      </c>
      <c r="AA86" s="258" t="n">
        <v>0</v>
      </c>
      <c r="AB86" s="258" t="n">
        <v>0</v>
      </c>
      <c r="AC86" s="258" t="n">
        <v>0</v>
      </c>
      <c r="AD86" s="258" t="n">
        <v>0</v>
      </c>
      <c r="AE86" s="258" t="n">
        <v>0</v>
      </c>
      <c r="AF86" s="258" t="n">
        <v>0</v>
      </c>
      <c r="AG86" s="258" t="n">
        <v>0</v>
      </c>
      <c r="AH86" s="258" t="n">
        <v>0</v>
      </c>
      <c r="AI86" s="258" t="n">
        <v>0</v>
      </c>
      <c r="AJ86" s="258" t="n">
        <v>1749.2645323</v>
      </c>
    </row>
    <row r="87">
      <c r="A87" t="n">
        <v>30</v>
      </c>
      <c r="B87" t="n">
        <v>1</v>
      </c>
      <c r="G87" t="inlineStr">
        <is>
          <t>moeda</t>
        </is>
      </c>
      <c r="H87" t="inlineStr">
        <is>
          <t>P: Empréstimos e financiamentos (l.145)</t>
        </is>
      </c>
      <c r="J87" t="inlineStr">
        <is>
          <t>fonte</t>
        </is>
      </c>
      <c r="K87" s="258" t="n">
        <v>8731.669800939999</v>
      </c>
      <c r="L87" s="258" t="n">
        <v>9928.07857824</v>
      </c>
      <c r="M87" s="258" t="n">
        <v>9540.523999999999</v>
      </c>
      <c r="N87" s="258" t="n">
        <v>9046.64673434</v>
      </c>
      <c r="O87" s="258" t="n">
        <v>16156.053</v>
      </c>
      <c r="P87" s="258" t="n">
        <v>14863.59793899</v>
      </c>
      <c r="Q87" s="258" t="n">
        <v>16767.376</v>
      </c>
      <c r="R87" s="258" t="n">
        <v>17962.499</v>
      </c>
      <c r="S87" s="258" t="n">
        <v>16334.326</v>
      </c>
      <c r="T87" s="258" t="n">
        <v>18924.988</v>
      </c>
      <c r="U87" s="258" t="n">
        <v>18049.157</v>
      </c>
      <c r="V87" s="258" t="n">
        <v>15397.022</v>
      </c>
      <c r="W87" s="258" t="n">
        <v>16051.805768475</v>
      </c>
      <c r="X87" s="258" t="n">
        <v>16363.847921887</v>
      </c>
      <c r="Y87" s="258" t="n">
        <v>17095.7611333183</v>
      </c>
      <c r="Z87" s="258" t="n">
        <v>18686.7839095718</v>
      </c>
      <c r="AA87" s="258" t="n">
        <v>20493.9996163154</v>
      </c>
      <c r="AB87" s="258" t="n">
        <v>22718.1037750792</v>
      </c>
      <c r="AC87" s="258" t="n">
        <v>24358.30022393513</v>
      </c>
      <c r="AD87" s="258" t="n">
        <v>25168.4690453</v>
      </c>
      <c r="AE87" s="258" t="n">
        <v>25871.05863974</v>
      </c>
      <c r="AF87" s="258" t="n">
        <v>26525.10723267</v>
      </c>
      <c r="AG87" s="258" t="n">
        <v>25904.74817503</v>
      </c>
      <c r="AH87" s="258" t="n">
        <v>23882.40429271</v>
      </c>
      <c r="AI87" s="258" t="n">
        <v>24679.23936255</v>
      </c>
      <c r="AJ87" s="258" t="n">
        <v>25381.22687645</v>
      </c>
    </row>
    <row r="88">
      <c r="A88" t="n">
        <v>30</v>
      </c>
      <c r="B88" t="n">
        <v>1</v>
      </c>
      <c r="G88" t="inlineStr">
        <is>
          <t>moeda</t>
        </is>
      </c>
      <c r="H88" t="inlineStr">
        <is>
          <t>P: Debêntures (l.146)</t>
        </is>
      </c>
      <c r="J88" t="inlineStr">
        <is>
          <t>fonte</t>
        </is>
      </c>
      <c r="K88" s="258" t="n">
        <v>4583.034680979999</v>
      </c>
      <c r="L88" s="258" t="n">
        <v>4648.43730728</v>
      </c>
      <c r="M88" s="258" t="n">
        <v>4642.853</v>
      </c>
      <c r="N88" s="258" t="n">
        <v>5968.160989890001</v>
      </c>
      <c r="O88" s="258" t="n">
        <v>5418.50241724</v>
      </c>
      <c r="P88" s="258" t="n">
        <v>6260.906</v>
      </c>
      <c r="Q88" s="258" t="n">
        <v>10353.431</v>
      </c>
      <c r="R88" s="258" t="n">
        <v>13874.041</v>
      </c>
      <c r="S88" s="258" t="n">
        <v>13847.358</v>
      </c>
      <c r="T88" s="258" t="n">
        <v>15020.543</v>
      </c>
      <c r="U88" s="258" t="n">
        <v>18862.473</v>
      </c>
      <c r="V88" s="258" t="n">
        <v>18714.687</v>
      </c>
      <c r="W88" s="258" t="n">
        <v>18835.8503889904</v>
      </c>
      <c r="X88" s="258" t="n">
        <v>19417.4449228296</v>
      </c>
      <c r="Y88" s="258" t="n">
        <v>18890.79195113</v>
      </c>
      <c r="Z88" s="258" t="n">
        <v>20786.4206598804</v>
      </c>
      <c r="AA88" s="258" t="n">
        <v>21717.2274142804</v>
      </c>
      <c r="AB88" s="258" t="n">
        <v>20270.3915189904</v>
      </c>
      <c r="AC88" s="258" t="n">
        <v>21703.0453100504</v>
      </c>
      <c r="AD88" s="258" t="n">
        <v>22374.85260575</v>
      </c>
      <c r="AE88" s="258" t="n">
        <v>22147.45496263</v>
      </c>
      <c r="AF88" s="258" t="n">
        <v>21041.08143537</v>
      </c>
      <c r="AG88" s="258" t="n">
        <v>19673.48303844</v>
      </c>
      <c r="AH88" s="258" t="n">
        <v>22720.4548965</v>
      </c>
      <c r="AI88" s="258" t="n">
        <v>24307.38223521</v>
      </c>
      <c r="AJ88" s="258" t="n">
        <v>23169.14727958</v>
      </c>
    </row>
    <row r="89">
      <c r="A89" t="n">
        <v>30</v>
      </c>
      <c r="B89" t="n">
        <v>1</v>
      </c>
      <c r="G89" t="inlineStr">
        <is>
          <t>moeda</t>
        </is>
      </c>
      <c r="H89" t="inlineStr">
        <is>
          <t>P: Arrendamento por instituições financeiras (l.147) (arrendamento financeiro: divida bruta da Cia)</t>
        </is>
      </c>
      <c r="J89" t="inlineStr">
        <is>
          <t>fonte</t>
        </is>
      </c>
      <c r="K89" s="258" t="n">
        <v>265.39112825</v>
      </c>
      <c r="L89" s="258" t="n">
        <v>249.57858782</v>
      </c>
      <c r="M89" s="258" t="n">
        <v>217.474</v>
      </c>
      <c r="N89" s="258" t="n">
        <v>182.31400453</v>
      </c>
      <c r="O89" s="258" t="n">
        <v>155.215</v>
      </c>
      <c r="P89" s="258" t="n">
        <v>138.86321748</v>
      </c>
      <c r="Q89" s="258" t="n">
        <v>184.675</v>
      </c>
      <c r="R89" s="258" t="n">
        <v>137.126</v>
      </c>
      <c r="S89" s="258" t="n">
        <v>116.764</v>
      </c>
      <c r="T89" s="258" t="n">
        <v>108.679</v>
      </c>
      <c r="U89" s="258" t="n">
        <v>103.662</v>
      </c>
      <c r="V89" s="258" t="n">
        <v>161.623</v>
      </c>
      <c r="W89" s="258" t="n">
        <v>155.92995539</v>
      </c>
      <c r="X89" s="258" t="n">
        <v>166.6647883</v>
      </c>
      <c r="Y89" s="258" t="n">
        <v>154.20712932</v>
      </c>
      <c r="Z89" s="258" t="n">
        <v>147.48131491</v>
      </c>
      <c r="AA89" s="258" t="n">
        <v>127.48841513</v>
      </c>
      <c r="AB89" s="258" t="n">
        <v>115.90438946</v>
      </c>
      <c r="AC89" s="258" t="n">
        <v>103.69338753</v>
      </c>
      <c r="AD89" s="258" t="n">
        <v>92.11436515000001</v>
      </c>
      <c r="AE89" s="258" t="n">
        <v>81.16075853</v>
      </c>
      <c r="AF89" s="258" t="n">
        <v>69.73885692</v>
      </c>
      <c r="AG89" s="258" t="n">
        <v>13.45241202</v>
      </c>
      <c r="AH89" s="258" t="n">
        <v>11.2521444</v>
      </c>
      <c r="AI89" s="258" t="n">
        <v>44.61383845</v>
      </c>
      <c r="AJ89" s="258" t="n">
        <v>41.14521879</v>
      </c>
    </row>
    <row r="90">
      <c r="A90" t="n">
        <v>31</v>
      </c>
      <c r="B90" t="n">
        <v>1</v>
      </c>
      <c r="G90" t="inlineStr">
        <is>
          <t>moeda</t>
        </is>
      </c>
      <c r="H90" t="inlineStr">
        <is>
          <t>P: Arrendamento por direito de uso (l.148)</t>
        </is>
      </c>
      <c r="J90" t="inlineStr">
        <is>
          <t>fonte</t>
        </is>
      </c>
      <c r="K90" s="258" t="n">
        <v>415.85588858</v>
      </c>
      <c r="L90" s="258" t="n">
        <v>415.92150216</v>
      </c>
      <c r="M90" s="258" t="n">
        <v>421.728</v>
      </c>
      <c r="N90" s="258" t="n">
        <v>390.96589782</v>
      </c>
      <c r="O90" s="258" t="n">
        <v>506.1222104</v>
      </c>
      <c r="P90" s="258" t="n">
        <v>571.3032160299999</v>
      </c>
      <c r="Q90" s="258" t="n">
        <v>419.081</v>
      </c>
      <c r="R90" s="258" t="n">
        <v>660.011</v>
      </c>
      <c r="S90" s="258" t="n">
        <v>707.509</v>
      </c>
      <c r="T90" s="258" t="n">
        <v>758.746</v>
      </c>
      <c r="U90" s="258" t="n">
        <v>967.671</v>
      </c>
      <c r="V90" s="258" t="n">
        <v>1399.556</v>
      </c>
      <c r="W90" s="258" t="n">
        <v>1448.60556487</v>
      </c>
      <c r="X90" s="258" t="n">
        <v>1400.04072114</v>
      </c>
      <c r="Y90" s="258" t="n">
        <v>1429.05878962</v>
      </c>
      <c r="Z90" s="258" t="n">
        <v>1499.744892956</v>
      </c>
      <c r="AA90" s="258" t="n">
        <v>1549.5701440893</v>
      </c>
      <c r="AB90" s="258" t="n">
        <v>1641.605202739</v>
      </c>
      <c r="AC90" s="258" t="n">
        <v>1654.3083349495</v>
      </c>
      <c r="AD90" s="258" t="n">
        <v>1664.98913914</v>
      </c>
      <c r="AE90" s="258" t="n">
        <v>1329.38760701</v>
      </c>
      <c r="AF90" s="258" t="n">
        <v>1663.23345869</v>
      </c>
      <c r="AG90" s="258" t="n">
        <v>1720.59277814</v>
      </c>
      <c r="AH90" s="258" t="n">
        <v>1437.18948274</v>
      </c>
      <c r="AI90" s="258" t="n">
        <v>1415.91845937</v>
      </c>
      <c r="AJ90" s="258" t="n">
        <v>1671.7366149</v>
      </c>
    </row>
    <row r="91">
      <c r="A91" t="n">
        <v>34</v>
      </c>
      <c r="B91" t="n">
        <v>1</v>
      </c>
      <c r="G91" t="inlineStr">
        <is>
          <t>moeda</t>
        </is>
      </c>
      <c r="H91" t="inlineStr">
        <is>
          <t>P: Cessão de direitos creditórios (l.149)</t>
        </is>
      </c>
      <c r="J91" t="inlineStr">
        <is>
          <t>fonte</t>
        </is>
      </c>
      <c r="K91" s="258" t="n">
        <v>10.57477359</v>
      </c>
      <c r="L91" s="258" t="n">
        <v>9.064091640000001</v>
      </c>
      <c r="M91" s="258" t="n">
        <v>7.553</v>
      </c>
      <c r="N91" s="258" t="n">
        <v>6.04272774</v>
      </c>
      <c r="O91" s="258" t="n">
        <v>4.53204579</v>
      </c>
      <c r="P91" s="258" t="n">
        <v>3.02136384</v>
      </c>
      <c r="Q91" s="258" t="n">
        <v>1.122</v>
      </c>
      <c r="R91" s="258" t="n">
        <v>0</v>
      </c>
      <c r="S91" s="258" t="n">
        <v>2.519</v>
      </c>
      <c r="T91" s="258" t="n">
        <v>0</v>
      </c>
      <c r="U91" s="258" t="n">
        <v>970.345</v>
      </c>
      <c r="V91" s="258" t="n">
        <v>1318.613</v>
      </c>
      <c r="W91" s="258" t="n">
        <v>1623.37250971</v>
      </c>
      <c r="X91" s="258" t="n">
        <v>1713.15879782</v>
      </c>
      <c r="Y91" s="258" t="n">
        <v>1634.67907996</v>
      </c>
      <c r="Z91" s="258" t="n">
        <v>1191.70130993</v>
      </c>
      <c r="AA91" s="258" t="n">
        <v>1196.06733257</v>
      </c>
      <c r="AB91" s="258" t="n">
        <v>993.59650187</v>
      </c>
      <c r="AC91" s="258" t="n">
        <v>949.36083937</v>
      </c>
      <c r="AD91" s="258" t="n">
        <v>548.69903476</v>
      </c>
      <c r="AE91" s="258" t="n">
        <v>683.7466511499999</v>
      </c>
      <c r="AF91" s="258" t="n">
        <v>840.79576548</v>
      </c>
      <c r="AG91" s="258" t="n">
        <v>1351.03249266</v>
      </c>
      <c r="AH91" s="258" t="n">
        <v>1257.1039175</v>
      </c>
      <c r="AI91" s="258" t="n">
        <v>1226.50740845</v>
      </c>
      <c r="AJ91" s="258" t="n">
        <v>966.15329803</v>
      </c>
    </row>
    <row r="92">
      <c r="A92" t="n">
        <v>34</v>
      </c>
      <c r="B92" t="n">
        <v>1</v>
      </c>
      <c r="G92" t="inlineStr">
        <is>
          <t>moeda</t>
        </is>
      </c>
      <c r="H92" t="inlineStr">
        <is>
          <t>P: Instrumentos financeiros derivativos (l.150)</t>
        </is>
      </c>
      <c r="J92" t="inlineStr">
        <is>
          <t>fonte</t>
        </is>
      </c>
      <c r="K92" s="258" t="n">
        <v>3e-07</v>
      </c>
      <c r="L92" s="258" t="n">
        <v>0</v>
      </c>
      <c r="M92" s="258" t="n">
        <v>0</v>
      </c>
      <c r="N92" s="258" t="n">
        <v>0</v>
      </c>
      <c r="O92" s="258" t="n">
        <v>231.56147</v>
      </c>
      <c r="P92" s="258" t="n">
        <v>637.44565675</v>
      </c>
      <c r="Q92" s="258" t="n">
        <v>737.7430000000001</v>
      </c>
      <c r="R92" s="258" t="n">
        <v>409</v>
      </c>
      <c r="S92" s="258" t="n">
        <v>1863.833</v>
      </c>
      <c r="T92" s="258" t="n">
        <v>2108.837</v>
      </c>
      <c r="U92" s="258" t="n">
        <v>2212.443</v>
      </c>
      <c r="V92" s="258" t="n">
        <v>2670.5</v>
      </c>
      <c r="W92" s="258" t="n">
        <v>2471.93706016</v>
      </c>
      <c r="X92" s="258" t="n">
        <v>1935.62948318</v>
      </c>
      <c r="Y92" s="258" t="n">
        <v>1889.41252323</v>
      </c>
      <c r="Z92" s="258" t="n">
        <v>1163.48640617</v>
      </c>
      <c r="AA92" s="258" t="n">
        <v>998.22939961</v>
      </c>
      <c r="AB92" s="258" t="n">
        <v>1231.6916032</v>
      </c>
      <c r="AC92" s="258" t="n">
        <v>1093.16244543</v>
      </c>
      <c r="AD92" s="258" t="n">
        <v>2017.01866182</v>
      </c>
      <c r="AE92" s="258" t="n">
        <v>1409.74452693</v>
      </c>
      <c r="AF92" s="258" t="n">
        <v>1329.37464563</v>
      </c>
      <c r="AG92" s="258" t="n">
        <v>1670.97013979</v>
      </c>
      <c r="AH92" s="258" t="n">
        <v>1602.4220488</v>
      </c>
      <c r="AI92" s="258" t="n">
        <v>1847.62519113</v>
      </c>
      <c r="AJ92" s="258" t="n">
        <v>2528.03655699</v>
      </c>
    </row>
    <row r="93">
      <c r="A93" t="n">
        <v>34</v>
      </c>
      <c r="B93" t="n">
        <v>1</v>
      </c>
      <c r="G93" t="inlineStr">
        <is>
          <t>moeda</t>
        </is>
      </c>
      <c r="H93" t="inlineStr">
        <is>
          <t>P: Tributos a recolher (l.151)</t>
        </is>
      </c>
      <c r="J93" t="inlineStr">
        <is>
          <t>fonte</t>
        </is>
      </c>
      <c r="K93" s="258" t="n">
        <v>0</v>
      </c>
      <c r="L93" s="258" t="n">
        <v>0</v>
      </c>
      <c r="M93" s="258" t="n">
        <v>0</v>
      </c>
      <c r="N93" s="258" t="n">
        <v>15.99169282</v>
      </c>
      <c r="O93" s="258" t="n">
        <v>14.33913851</v>
      </c>
      <c r="P93" s="258" t="n">
        <v>28.27513135</v>
      </c>
      <c r="Q93" s="258" t="n">
        <v>29.568</v>
      </c>
      <c r="R93" s="258" t="n">
        <v>26.995</v>
      </c>
      <c r="S93" s="258" t="n">
        <v>24.82</v>
      </c>
      <c r="T93" s="258" t="n">
        <v>33.966</v>
      </c>
      <c r="U93" s="258" t="n">
        <v>35.596</v>
      </c>
      <c r="V93" s="258" t="n">
        <v>32.945</v>
      </c>
      <c r="W93" s="258" t="n">
        <v>32.70802381</v>
      </c>
      <c r="X93" s="258" t="n">
        <v>35.35512249</v>
      </c>
      <c r="Y93" s="258" t="n">
        <v>36.74230006000001</v>
      </c>
      <c r="Z93" s="258" t="n">
        <v>31.35550713</v>
      </c>
      <c r="AA93" s="258" t="n">
        <v>31.25726903</v>
      </c>
      <c r="AB93" s="258" t="n">
        <v>29.37462593</v>
      </c>
      <c r="AC93" s="258" t="n">
        <v>15.53894611</v>
      </c>
      <c r="AD93" s="258" t="n">
        <v>17.05270781</v>
      </c>
      <c r="AE93" s="258" t="n">
        <v>15.45620014</v>
      </c>
      <c r="AF93" s="258" t="n">
        <v>14.74017158</v>
      </c>
      <c r="AG93" s="258" t="n">
        <v>14.47345344</v>
      </c>
      <c r="AH93" s="258" t="n">
        <v>13.619381</v>
      </c>
      <c r="AI93" s="258" t="n">
        <v>12.71140095</v>
      </c>
      <c r="AJ93" s="258" t="n">
        <v>12.8648658</v>
      </c>
    </row>
    <row r="94">
      <c r="A94" t="n">
        <v>34</v>
      </c>
      <c r="B94" t="n">
        <v>1</v>
      </c>
      <c r="G94" t="inlineStr">
        <is>
          <t>moeda</t>
        </is>
      </c>
      <c r="H94" t="inlineStr">
        <is>
          <t>P: Provisão para demandas judiciais e administrativas (l.152)</t>
        </is>
      </c>
      <c r="J94" t="inlineStr">
        <is>
          <t>fonte</t>
        </is>
      </c>
      <c r="K94" s="258" t="n">
        <v>66.70249393</v>
      </c>
      <c r="L94" s="258" t="n">
        <v>65.2592147</v>
      </c>
      <c r="M94" s="258" t="n">
        <v>56.339</v>
      </c>
      <c r="N94" s="258" t="n">
        <v>181.865</v>
      </c>
      <c r="O94" s="258" t="n">
        <v>168.059</v>
      </c>
      <c r="P94" s="258" t="n">
        <v>378.59804185</v>
      </c>
      <c r="Q94" s="258" t="n">
        <v>383.274</v>
      </c>
      <c r="R94" s="258" t="n">
        <v>356.544</v>
      </c>
      <c r="S94" s="258" t="n">
        <v>336.739</v>
      </c>
      <c r="T94" s="258" t="n">
        <v>329.473</v>
      </c>
      <c r="U94" s="258" t="n">
        <v>408.341</v>
      </c>
      <c r="V94" s="258" t="n">
        <v>415.333</v>
      </c>
      <c r="W94" s="258" t="n">
        <v>402.40264845</v>
      </c>
      <c r="X94" s="258" t="n">
        <v>732.26932642</v>
      </c>
      <c r="Y94" s="258" t="n">
        <v>799.9666686952401</v>
      </c>
      <c r="Z94" s="258" t="n">
        <v>766.06641617972</v>
      </c>
      <c r="AA94" s="258" t="n">
        <v>767.86364449079</v>
      </c>
      <c r="AB94" s="258" t="n">
        <v>728.3604289162001</v>
      </c>
      <c r="AC94" s="258" t="n">
        <v>695.0571778763</v>
      </c>
      <c r="AD94" s="258" t="n">
        <v>667.61987654</v>
      </c>
      <c r="AE94" s="258" t="n">
        <v>647.3040130099999</v>
      </c>
      <c r="AF94" s="258" t="n">
        <v>625.3420046100001</v>
      </c>
      <c r="AG94" s="258" t="n">
        <v>604.5616533899999</v>
      </c>
      <c r="AH94" s="258" t="n">
        <v>535.38301297</v>
      </c>
      <c r="AI94" s="258" t="n">
        <v>505.55567324</v>
      </c>
      <c r="AJ94" s="258" t="n">
        <v>492.99241168</v>
      </c>
    </row>
    <row r="95">
      <c r="A95" t="n">
        <v>33</v>
      </c>
      <c r="B95" t="n">
        <v>1</v>
      </c>
      <c r="G95" t="inlineStr">
        <is>
          <t>moeda</t>
        </is>
      </c>
      <c r="H95" t="inlineStr">
        <is>
          <t>P: Imposto de renda e contribuição social diferidos (l.153)</t>
        </is>
      </c>
      <c r="J95" t="inlineStr">
        <is>
          <t>fonte</t>
        </is>
      </c>
      <c r="K95" s="258" t="n">
        <v>453.87643072</v>
      </c>
      <c r="L95" s="258" t="n">
        <v>439.28877317</v>
      </c>
      <c r="M95" s="258" t="n">
        <v>486.673</v>
      </c>
      <c r="N95" s="258" t="n">
        <v>621.467</v>
      </c>
      <c r="O95" s="258" t="n">
        <v>625.7380000000001</v>
      </c>
      <c r="P95" s="258" t="n">
        <v>761.2248034739999</v>
      </c>
      <c r="Q95" s="258" t="n">
        <v>952.252</v>
      </c>
      <c r="R95" s="258" t="n">
        <v>1038.582</v>
      </c>
      <c r="S95" s="258" t="n">
        <v>1027.149</v>
      </c>
      <c r="T95" s="258" t="n">
        <v>1146.917</v>
      </c>
      <c r="U95" s="258" t="n">
        <v>1221.456</v>
      </c>
      <c r="V95" s="258" t="n">
        <v>1205.986</v>
      </c>
      <c r="W95" s="258" t="n">
        <v>1389.6035267574</v>
      </c>
      <c r="X95" s="258" t="n">
        <v>1518.2618447068</v>
      </c>
      <c r="Y95" s="258" t="n">
        <v>1513.033617955</v>
      </c>
      <c r="Z95" s="258" t="n">
        <v>1494.779262608</v>
      </c>
      <c r="AA95" s="258" t="n">
        <v>1615.290270759</v>
      </c>
      <c r="AB95" s="258" t="n">
        <v>1679.8137356</v>
      </c>
      <c r="AC95" s="258" t="n">
        <v>1920.669425864</v>
      </c>
      <c r="AD95" s="258" t="n">
        <v>1593.23390944</v>
      </c>
      <c r="AE95" s="258" t="n">
        <v>1591.58878821</v>
      </c>
      <c r="AF95" s="258" t="n">
        <v>1660.63737016</v>
      </c>
      <c r="AG95" s="258" t="n">
        <v>1697.59706335</v>
      </c>
      <c r="AH95" s="258" t="n">
        <v>1895.53506878</v>
      </c>
      <c r="AI95" s="258" t="n">
        <v>1984.03141804</v>
      </c>
      <c r="AJ95" s="258" t="n">
        <v>2004.35223231</v>
      </c>
    </row>
    <row r="96">
      <c r="A96" t="n">
        <v>34</v>
      </c>
      <c r="B96" t="n">
        <v>1</v>
      </c>
      <c r="G96" t="inlineStr">
        <is>
          <t>moeda</t>
        </is>
      </c>
      <c r="H96" t="inlineStr">
        <is>
          <t>P: Mutuo (l.154)</t>
        </is>
      </c>
      <c r="J96" t="inlineStr">
        <is>
          <t>fonte</t>
        </is>
      </c>
      <c r="K96" s="258" t="n">
        <v>3e-08</v>
      </c>
      <c r="L96" s="258" t="n">
        <v>0.01730638</v>
      </c>
      <c r="M96" s="258" t="n">
        <v>0</v>
      </c>
      <c r="N96" s="258" t="n">
        <v>0.52840413</v>
      </c>
      <c r="O96" s="258" t="n">
        <v>0.528</v>
      </c>
      <c r="P96" s="258" t="n">
        <v>0.5284040999999999</v>
      </c>
      <c r="Q96" s="258" t="n">
        <v>0.528</v>
      </c>
      <c r="R96" s="258" t="n">
        <v>0.528</v>
      </c>
      <c r="S96" s="258" t="n">
        <v>0.528</v>
      </c>
      <c r="T96" s="258" t="n">
        <v>0.528</v>
      </c>
      <c r="U96" s="258" t="n">
        <v>27.465</v>
      </c>
      <c r="V96" s="258" t="n">
        <v>28.047</v>
      </c>
      <c r="W96" s="258" t="n">
        <v>29.71331997</v>
      </c>
      <c r="X96" s="258" t="n">
        <v>24.73152884</v>
      </c>
      <c r="Y96" s="258" t="n">
        <v>25.55399711</v>
      </c>
      <c r="Z96" s="258" t="n">
        <v>0.5284041899999999</v>
      </c>
      <c r="AA96" s="258" t="n">
        <v>0.52840411</v>
      </c>
      <c r="AB96" s="258" t="n">
        <v>0.52840411</v>
      </c>
      <c r="AC96" s="258" t="n">
        <v>0.52840413</v>
      </c>
      <c r="AD96" s="258" t="n">
        <v>0.52840411</v>
      </c>
      <c r="AE96" s="258" t="n">
        <v>-4.46144127</v>
      </c>
      <c r="AF96" s="258" t="n">
        <v>0.52840414</v>
      </c>
      <c r="AG96" s="258" t="n">
        <v>0.5283287</v>
      </c>
      <c r="AH96" s="258" t="n">
        <v>0.5284040999999999</v>
      </c>
      <c r="AI96" s="258" t="n">
        <v>0.52840464</v>
      </c>
      <c r="AJ96" s="258" t="n">
        <v>0.52840413</v>
      </c>
    </row>
    <row r="97">
      <c r="A97" t="n">
        <v>34</v>
      </c>
      <c r="B97" t="n">
        <v>1</v>
      </c>
      <c r="G97" t="inlineStr">
        <is>
          <t>moeda</t>
        </is>
      </c>
      <c r="H97" t="inlineStr">
        <is>
          <t>P: Outras contas a pagar (l.155)</t>
        </is>
      </c>
      <c r="J97" t="inlineStr">
        <is>
          <t>fonte</t>
        </is>
      </c>
      <c r="K97" s="258" t="n">
        <v>170.70039342</v>
      </c>
      <c r="L97" s="258" t="n">
        <v>176.42295022</v>
      </c>
      <c r="M97" s="258" t="n">
        <v>169.731</v>
      </c>
      <c r="N97" s="258" t="n">
        <v>399.558</v>
      </c>
      <c r="O97" s="258" t="n">
        <v>327.881</v>
      </c>
      <c r="P97" s="258" t="n">
        <v>417.097</v>
      </c>
      <c r="Q97" s="258" t="n">
        <v>425.389</v>
      </c>
      <c r="R97" s="258" t="n">
        <v>541.274</v>
      </c>
      <c r="S97" s="258" t="n">
        <v>425.426</v>
      </c>
      <c r="T97" s="258" t="n">
        <v>470.983</v>
      </c>
      <c r="U97" s="258" t="n">
        <v>181.954</v>
      </c>
      <c r="V97" s="258" t="n">
        <v>121.916</v>
      </c>
      <c r="W97" s="258" t="n">
        <v>130.33743403</v>
      </c>
      <c r="X97" s="258" t="n">
        <v>112.85587941</v>
      </c>
      <c r="Y97" s="258" t="n">
        <v>147.677637781</v>
      </c>
      <c r="Z97" s="258" t="n">
        <v>123.139351775</v>
      </c>
      <c r="AA97" s="258" t="n">
        <v>122.99376198</v>
      </c>
      <c r="AB97" s="258" t="n">
        <v>111.90618607192</v>
      </c>
      <c r="AC97" s="258" t="n">
        <v>173.658772858</v>
      </c>
      <c r="AD97" s="258" t="n">
        <v>197.08851451</v>
      </c>
      <c r="AE97" s="258" t="n">
        <v>212.81089264</v>
      </c>
      <c r="AF97" s="258" t="n">
        <v>176.12214786</v>
      </c>
      <c r="AG97" s="258" t="n">
        <v>174.8560353300001</v>
      </c>
      <c r="AH97" s="258" t="n">
        <v>172.70859557</v>
      </c>
      <c r="AI97" s="258" t="n">
        <v>158.87778402</v>
      </c>
      <c r="AJ97" s="258" t="n">
        <v>157.19587249</v>
      </c>
    </row>
    <row r="98">
      <c r="A98" t="n">
        <v>34</v>
      </c>
      <c r="B98" t="n">
        <v>1</v>
      </c>
      <c r="G98" t="inlineStr">
        <is>
          <t>moeda</t>
        </is>
      </c>
      <c r="H98" t="inlineStr">
        <is>
          <t>P: Aquisição de empresas a pagar (l.156)</t>
        </is>
      </c>
      <c r="J98" t="inlineStr">
        <is>
          <t>fonte</t>
        </is>
      </c>
      <c r="K98" s="258" t="n">
        <v>0</v>
      </c>
      <c r="L98" s="258" t="n">
        <v>0</v>
      </c>
      <c r="M98" s="258" t="n">
        <v>0</v>
      </c>
      <c r="N98" s="258" t="n">
        <v>0</v>
      </c>
      <c r="O98" s="258" t="n">
        <v>0</v>
      </c>
      <c r="P98" s="258" t="n">
        <v>0</v>
      </c>
      <c r="Q98" s="258" t="n">
        <v>0</v>
      </c>
      <c r="R98" s="258" t="n">
        <v>0</v>
      </c>
      <c r="S98" s="258" t="n">
        <v>0</v>
      </c>
      <c r="T98" s="258" t="n">
        <v>0</v>
      </c>
      <c r="U98" s="258" t="n">
        <v>565.223</v>
      </c>
      <c r="V98" s="258" t="n">
        <v>641.975</v>
      </c>
      <c r="W98" s="258" t="n">
        <v>620.5562269612</v>
      </c>
      <c r="X98" s="258" t="n">
        <v>888.2790558511999</v>
      </c>
      <c r="Y98" s="258" t="n">
        <v>978.6709154412</v>
      </c>
      <c r="Z98" s="258" t="n">
        <v>971.6656781411999</v>
      </c>
      <c r="AA98" s="258" t="n">
        <v>1084.0222633112</v>
      </c>
      <c r="AB98" s="258" t="n">
        <v>1033.0125683612</v>
      </c>
      <c r="AC98" s="258" t="n">
        <v>991.3156118312</v>
      </c>
      <c r="AD98" s="258" t="n">
        <v>1138.72739006</v>
      </c>
      <c r="AE98" s="258" t="n">
        <v>1169.71210737</v>
      </c>
      <c r="AF98" s="258" t="n">
        <v>1100.18696168</v>
      </c>
      <c r="AG98" s="258" t="n">
        <v>1115.58417059</v>
      </c>
      <c r="AH98" s="258" t="n">
        <v>918.3479159</v>
      </c>
      <c r="AI98" s="258" t="n">
        <v>846.99998553</v>
      </c>
      <c r="AJ98" s="258" t="n">
        <v>836.91450464</v>
      </c>
    </row>
    <row r="99">
      <c r="A99" t="n">
        <v>34</v>
      </c>
      <c r="B99" t="n">
        <v>1</v>
      </c>
      <c r="G99" t="inlineStr">
        <is>
          <t>moeda</t>
        </is>
      </c>
      <c r="H99" t="inlineStr">
        <is>
          <t>P: Aterro sanitário – custo de encerramento (l.157)</t>
        </is>
      </c>
      <c r="J99" t="inlineStr">
        <is>
          <t>fonte</t>
        </is>
      </c>
      <c r="K99" s="258" t="n">
        <v>0</v>
      </c>
      <c r="L99" s="258" t="n">
        <v>0</v>
      </c>
      <c r="M99" s="258" t="n">
        <v>0</v>
      </c>
      <c r="N99" s="258" t="n">
        <v>0</v>
      </c>
      <c r="O99" s="258" t="n">
        <v>0</v>
      </c>
      <c r="P99" s="258" t="n">
        <v>0</v>
      </c>
      <c r="Q99" s="258" t="n">
        <v>0</v>
      </c>
      <c r="R99" s="258" t="n">
        <v>0</v>
      </c>
      <c r="S99" s="258" t="n">
        <v>105.073</v>
      </c>
      <c r="T99" s="258" t="n">
        <v>98.926</v>
      </c>
      <c r="U99" s="258" t="n">
        <v>83.35899999999999</v>
      </c>
      <c r="V99" s="258" t="n">
        <v>9.693</v>
      </c>
      <c r="W99" s="258" t="n">
        <v>9.8132824415</v>
      </c>
      <c r="X99" s="258" t="n">
        <v>11.91954276</v>
      </c>
      <c r="Y99" s="258" t="n">
        <v>0</v>
      </c>
      <c r="Z99" s="258" t="n">
        <v>0</v>
      </c>
      <c r="AA99" s="258" t="n">
        <v>0</v>
      </c>
      <c r="AB99" s="258" t="n">
        <v>0</v>
      </c>
      <c r="AC99" s="258" t="n">
        <v>0</v>
      </c>
      <c r="AD99" s="258" t="n">
        <v>0</v>
      </c>
      <c r="AE99" s="258" t="n">
        <v>0</v>
      </c>
      <c r="AF99" s="258" t="n">
        <v>0</v>
      </c>
      <c r="AG99" s="258" t="n">
        <v>0</v>
      </c>
      <c r="AH99" s="258" t="n">
        <v>0</v>
      </c>
      <c r="AI99" s="258" t="n">
        <v>0</v>
      </c>
      <c r="AJ99" s="258" t="n">
        <v>0</v>
      </c>
    </row>
    <row r="100">
      <c r="A100" t="n">
        <v>34</v>
      </c>
      <c r="B100" t="n">
        <v>1</v>
      </c>
      <c r="G100" t="inlineStr">
        <is>
          <t>moeda</t>
        </is>
      </c>
      <c r="H100" t="inlineStr">
        <is>
          <t>P: Floor Plan (l.158) (floor plan)</t>
        </is>
      </c>
      <c r="J100" t="inlineStr">
        <is>
          <t>fonte</t>
        </is>
      </c>
      <c r="K100" s="258" t="n">
        <v>0</v>
      </c>
      <c r="L100" s="258" t="n">
        <v>0</v>
      </c>
      <c r="M100" s="258" t="n">
        <v>0</v>
      </c>
      <c r="N100" s="258" t="n">
        <v>0</v>
      </c>
      <c r="O100" s="258" t="n">
        <v>0</v>
      </c>
      <c r="P100" s="258" t="n">
        <v>0</v>
      </c>
      <c r="Q100" s="258" t="n">
        <v>0</v>
      </c>
      <c r="R100" s="258" t="n">
        <v>0</v>
      </c>
      <c r="S100" s="258" t="n">
        <v>0</v>
      </c>
      <c r="T100" s="258" t="n">
        <v>0</v>
      </c>
      <c r="U100" s="258" t="n">
        <v>0</v>
      </c>
      <c r="V100" s="258" t="n">
        <v>0</v>
      </c>
      <c r="W100" s="258" t="n">
        <v>0</v>
      </c>
      <c r="X100" s="258" t="n">
        <v>0</v>
      </c>
      <c r="Y100" s="258" t="n">
        <v>0</v>
      </c>
      <c r="Z100" s="258" t="n">
        <v>0</v>
      </c>
      <c r="AA100" s="258" t="n">
        <v>0</v>
      </c>
      <c r="AB100" s="258" t="n">
        <v>0</v>
      </c>
      <c r="AC100" s="258" t="n">
        <v>0</v>
      </c>
      <c r="AD100" s="258" t="n">
        <v>0</v>
      </c>
      <c r="AE100" s="258" t="n">
        <v>0</v>
      </c>
      <c r="AF100" s="258" t="n">
        <v>0</v>
      </c>
      <c r="AG100" s="258" t="n">
        <v>0</v>
      </c>
      <c r="AH100" s="258" t="n">
        <v>0</v>
      </c>
      <c r="AI100" s="258" t="n">
        <v>0</v>
      </c>
      <c r="AJ100" s="258" t="n">
        <v>0</v>
      </c>
    </row>
    <row r="101">
      <c r="A101" t="n">
        <v>34</v>
      </c>
      <c r="B101" t="n">
        <v>1</v>
      </c>
      <c r="G101" t="inlineStr">
        <is>
          <t>moeda</t>
        </is>
      </c>
      <c r="H101" t="inlineStr">
        <is>
          <t>P: Compra de ações de controladas a termo (l.159)</t>
        </is>
      </c>
      <c r="J101" t="inlineStr">
        <is>
          <t>fonte</t>
        </is>
      </c>
      <c r="K101" s="258" t="n">
        <v>0</v>
      </c>
      <c r="L101" s="258" t="n">
        <v>0</v>
      </c>
      <c r="M101" s="258" t="n">
        <v>0</v>
      </c>
      <c r="N101" s="258" t="n">
        <v>0</v>
      </c>
      <c r="O101" s="258" t="n">
        <v>0</v>
      </c>
      <c r="P101" s="258" t="n">
        <v>0</v>
      </c>
      <c r="Q101" s="258" t="n">
        <v>0</v>
      </c>
      <c r="R101" s="258" t="n">
        <v>0</v>
      </c>
      <c r="S101" s="258" t="n">
        <v>61.277</v>
      </c>
      <c r="T101" s="258" t="n">
        <v>0</v>
      </c>
      <c r="U101" s="258" t="n">
        <v>0</v>
      </c>
      <c r="V101" s="258" t="n">
        <v>0</v>
      </c>
      <c r="W101" s="258" t="n">
        <v>0</v>
      </c>
      <c r="X101" s="258" t="n">
        <v>0</v>
      </c>
      <c r="Y101" s="258" t="n">
        <v>0</v>
      </c>
      <c r="Z101" s="258" t="n">
        <v>0</v>
      </c>
      <c r="AA101" s="258" t="n">
        <v>0</v>
      </c>
      <c r="AB101" s="258" t="n">
        <v>0</v>
      </c>
      <c r="AC101" s="258" t="n">
        <v>0</v>
      </c>
      <c r="AD101" s="258" t="n">
        <v>0</v>
      </c>
      <c r="AE101" s="258" t="n">
        <v>0</v>
      </c>
      <c r="AF101" s="258" t="n">
        <v>0</v>
      </c>
      <c r="AG101" s="258" t="n">
        <v>0</v>
      </c>
      <c r="AH101" s="258" t="n">
        <v>0</v>
      </c>
      <c r="AI101" s="258" t="n">
        <v>0</v>
      </c>
      <c r="AJ101" s="258" t="n">
        <v>0</v>
      </c>
    </row>
    <row r="102">
      <c r="A102" t="n">
        <v>34</v>
      </c>
      <c r="B102" t="n">
        <v>1</v>
      </c>
      <c r="G102" t="inlineStr">
        <is>
          <t>moeda</t>
        </is>
      </c>
      <c r="H102" t="inlineStr">
        <is>
          <t>P: Obrigações tributárias (l.160)</t>
        </is>
      </c>
      <c r="J102" t="inlineStr">
        <is>
          <t>fonte</t>
        </is>
      </c>
      <c r="K102" s="258" t="n">
        <v>1.07183578</v>
      </c>
      <c r="L102" s="258" t="n">
        <v>1.04581366</v>
      </c>
      <c r="M102" s="258" t="n">
        <v>1.039</v>
      </c>
      <c r="N102" s="258" t="n">
        <v>0</v>
      </c>
      <c r="O102" s="258" t="n">
        <v>0</v>
      </c>
      <c r="P102" s="258" t="n">
        <v>0</v>
      </c>
      <c r="Q102" s="258" t="n">
        <v>0</v>
      </c>
      <c r="R102" s="258" t="n">
        <v>0</v>
      </c>
      <c r="S102" s="258" t="n">
        <v>0</v>
      </c>
      <c r="T102" s="258" t="n">
        <v>0</v>
      </c>
      <c r="U102" s="258" t="n">
        <v>0</v>
      </c>
      <c r="V102" s="258" t="n">
        <v>0</v>
      </c>
      <c r="W102" s="258" t="n">
        <v>0</v>
      </c>
      <c r="X102" s="258" t="n">
        <v>0</v>
      </c>
      <c r="Y102" s="258" t="n">
        <v>0</v>
      </c>
      <c r="Z102" s="258" t="n">
        <v>0</v>
      </c>
      <c r="AA102" s="258" t="n">
        <v>0</v>
      </c>
      <c r="AB102" s="258" t="n">
        <v>0</v>
      </c>
      <c r="AC102" s="258" t="n">
        <v>0</v>
      </c>
      <c r="AD102" s="258" t="n">
        <v>0</v>
      </c>
      <c r="AE102" s="258" t="n">
        <v>0</v>
      </c>
      <c r="AF102" s="258" t="n">
        <v>0</v>
      </c>
      <c r="AG102" s="258" t="n">
        <v>0</v>
      </c>
      <c r="AH102" s="258" t="n">
        <v>0</v>
      </c>
      <c r="AI102" s="258" t="n">
        <v>0</v>
      </c>
      <c r="AJ102" s="258" t="n">
        <v>0</v>
      </c>
    </row>
    <row r="103">
      <c r="A103" t="n">
        <v>34</v>
      </c>
      <c r="B103" t="n">
        <v>1</v>
      </c>
      <c r="G103" t="inlineStr">
        <is>
          <t>moeda</t>
        </is>
      </c>
      <c r="H103" t="inlineStr">
        <is>
          <t>P: Obrigações trabalhistas (l.161)</t>
        </is>
      </c>
      <c r="J103" t="inlineStr">
        <is>
          <t>fonte</t>
        </is>
      </c>
      <c r="K103" s="258" t="n">
        <v>0</v>
      </c>
      <c r="L103" s="258" t="n">
        <v>0</v>
      </c>
      <c r="M103" s="258" t="n">
        <v>0</v>
      </c>
      <c r="N103" s="258" t="n">
        <v>0</v>
      </c>
      <c r="O103" s="258" t="n">
        <v>0</v>
      </c>
      <c r="P103" s="258" t="n">
        <v>0</v>
      </c>
      <c r="Q103" s="258" t="n">
        <v>0</v>
      </c>
      <c r="R103" s="258" t="n">
        <v>0</v>
      </c>
      <c r="S103" s="258" t="n">
        <v>0</v>
      </c>
      <c r="T103" s="258" t="n">
        <v>0</v>
      </c>
      <c r="U103" s="258" t="n">
        <v>0</v>
      </c>
      <c r="V103" s="258" t="n">
        <v>0</v>
      </c>
      <c r="W103" s="258" t="n">
        <v>0</v>
      </c>
      <c r="X103" s="258" t="n">
        <v>0</v>
      </c>
      <c r="Y103" s="258" t="n">
        <v>0</v>
      </c>
      <c r="Z103" s="258" t="n">
        <v>138.70511316</v>
      </c>
      <c r="AA103" s="258" t="n">
        <v>138.22494577</v>
      </c>
      <c r="AB103" s="258" t="n">
        <v>4.840722</v>
      </c>
      <c r="AC103" s="258" t="n">
        <v>4.840722</v>
      </c>
      <c r="AD103" s="258" t="n">
        <v>4.28837697</v>
      </c>
      <c r="AE103" s="258" t="n">
        <v>4.28837697</v>
      </c>
      <c r="AF103" s="258" t="n">
        <v>4.28837697</v>
      </c>
      <c r="AG103" s="258" t="n">
        <v>4.28837697</v>
      </c>
      <c r="AH103" s="258" t="n">
        <v>5.413122</v>
      </c>
      <c r="AI103" s="258" t="n">
        <v>5.41312197</v>
      </c>
      <c r="AJ103" s="258" t="n">
        <v>5.41312197</v>
      </c>
    </row>
    <row r="104">
      <c r="A104" t="n">
        <v>34</v>
      </c>
      <c r="B104" t="n">
        <v>1</v>
      </c>
      <c r="G104" t="inlineStr">
        <is>
          <t>moeda</t>
        </is>
      </c>
      <c r="H104" t="inlineStr">
        <is>
          <t>P: Compra (Recompra) de ações Controladas (l.162)</t>
        </is>
      </c>
      <c r="J104" t="inlineStr">
        <is>
          <t>fonte</t>
        </is>
      </c>
      <c r="K104" s="258" t="n">
        <v>0</v>
      </c>
      <c r="L104" s="258" t="n">
        <v>0</v>
      </c>
      <c r="M104" s="258" t="n">
        <v>0</v>
      </c>
      <c r="N104" s="258" t="n">
        <v>0</v>
      </c>
      <c r="O104" s="258" t="n">
        <v>0</v>
      </c>
      <c r="P104" s="258" t="n">
        <v>0</v>
      </c>
      <c r="Q104" s="258" t="n">
        <v>0</v>
      </c>
      <c r="R104" s="258" t="n">
        <v>0</v>
      </c>
      <c r="S104" s="258" t="n">
        <v>0</v>
      </c>
      <c r="T104" s="258" t="n">
        <v>0</v>
      </c>
      <c r="U104" s="258" t="n">
        <v>0</v>
      </c>
      <c r="V104" s="258" t="n">
        <v>0</v>
      </c>
      <c r="W104" s="258" t="n">
        <v>0</v>
      </c>
      <c r="X104" s="258" t="n">
        <v>0</v>
      </c>
      <c r="Y104" s="258" t="n">
        <v>0</v>
      </c>
      <c r="Z104" s="258" t="n">
        <v>1058.4857258</v>
      </c>
      <c r="AA104" s="258" t="n">
        <v>1058.4857258</v>
      </c>
      <c r="AB104" s="258" t="n">
        <v>1058.4857258</v>
      </c>
      <c r="AC104" s="258" t="n">
        <v>1058.4857258</v>
      </c>
      <c r="AD104" s="258" t="n">
        <v>1081.12328552</v>
      </c>
      <c r="AE104" s="258" t="n">
        <v>1081.12328552</v>
      </c>
      <c r="AF104" s="258" t="n">
        <v>1079.60739972</v>
      </c>
      <c r="AG104" s="258" t="n">
        <v>1079.60739972</v>
      </c>
      <c r="AH104" s="258" t="n">
        <v>1079.6073997</v>
      </c>
      <c r="AI104" s="258" t="n">
        <v>0</v>
      </c>
      <c r="AJ104" s="258" t="n">
        <v>0</v>
      </c>
    </row>
    <row r="105">
      <c r="A105" t="n">
        <v>34</v>
      </c>
      <c r="B105" t="n">
        <v>1</v>
      </c>
      <c r="G105" t="inlineStr">
        <is>
          <t>moeda</t>
        </is>
      </c>
      <c r="H105" t="inlineStr">
        <is>
          <t>P: Adiantamentos a pagar (l.163)</t>
        </is>
      </c>
      <c r="J105" t="inlineStr">
        <is>
          <t>fonte</t>
        </is>
      </c>
      <c r="K105" s="258" t="n">
        <v>0</v>
      </c>
      <c r="L105" s="258" t="n">
        <v>0</v>
      </c>
      <c r="M105" s="258" t="n">
        <v>0</v>
      </c>
      <c r="N105" s="258" t="n">
        <v>0</v>
      </c>
      <c r="O105" s="258" t="n">
        <v>0</v>
      </c>
      <c r="P105" s="258" t="n">
        <v>0</v>
      </c>
      <c r="Q105" s="258" t="n">
        <v>0</v>
      </c>
      <c r="R105" s="258" t="n">
        <v>0</v>
      </c>
      <c r="S105" s="258" t="n">
        <v>0</v>
      </c>
      <c r="T105" s="258" t="n">
        <v>0</v>
      </c>
      <c r="U105" s="258" t="n">
        <v>0</v>
      </c>
      <c r="V105" s="258" t="n">
        <v>0</v>
      </c>
      <c r="W105" s="258" t="n">
        <v>0</v>
      </c>
      <c r="X105" s="258" t="n">
        <v>0</v>
      </c>
      <c r="Y105" s="258" t="n">
        <v>0</v>
      </c>
      <c r="Z105" s="258" t="n">
        <v>0</v>
      </c>
      <c r="AA105" s="258" t="n">
        <v>0</v>
      </c>
      <c r="AB105" s="258" t="n">
        <v>0</v>
      </c>
      <c r="AC105" s="258" t="n">
        <v>0</v>
      </c>
      <c r="AD105" s="258" t="n">
        <v>0</v>
      </c>
      <c r="AE105" s="258" t="n">
        <v>0</v>
      </c>
      <c r="AF105" s="258" t="n">
        <v>0</v>
      </c>
      <c r="AG105" s="258" t="n">
        <v>0</v>
      </c>
      <c r="AH105" s="258" t="n">
        <v>0</v>
      </c>
      <c r="AI105" s="258" t="n">
        <v>0</v>
      </c>
      <c r="AJ105" s="258" t="n">
        <v>0.36756</v>
      </c>
    </row>
    <row r="106">
      <c r="A106" t="n">
        <v>37</v>
      </c>
      <c r="B106" t="n">
        <v>1</v>
      </c>
      <c r="G106" t="inlineStr">
        <is>
          <t>moeda</t>
        </is>
      </c>
      <c r="H106" t="inlineStr">
        <is>
          <t>PL: Capital social (l.167)</t>
        </is>
      </c>
      <c r="J106" t="inlineStr">
        <is>
          <t>fonte</t>
        </is>
      </c>
      <c r="K106" s="258" t="n">
        <v>696.499</v>
      </c>
      <c r="L106" s="258" t="n">
        <v>706.4594436</v>
      </c>
      <c r="M106" s="258" t="n">
        <v>712.826</v>
      </c>
      <c r="N106" s="258" t="n">
        <v>713.975</v>
      </c>
      <c r="O106" s="258" t="n">
        <v>715.8819999999999</v>
      </c>
      <c r="P106" s="258" t="n">
        <v>721.061</v>
      </c>
      <c r="Q106" s="258" t="n">
        <v>722.206</v>
      </c>
      <c r="R106" s="258" t="n">
        <v>1164.33</v>
      </c>
      <c r="S106" s="258" t="n">
        <v>1164.33</v>
      </c>
      <c r="T106" s="258" t="n">
        <v>1167.069</v>
      </c>
      <c r="U106" s="258" t="n">
        <v>1167.069</v>
      </c>
      <c r="V106" s="258" t="n">
        <v>1174.362</v>
      </c>
      <c r="W106" s="258" t="n">
        <v>1174.36160643</v>
      </c>
      <c r="X106" s="258" t="n">
        <v>1174.36160643</v>
      </c>
      <c r="Y106" s="258" t="n">
        <v>1174.36160643</v>
      </c>
      <c r="Z106" s="258" t="n">
        <v>1174.36160643</v>
      </c>
      <c r="AA106" s="258" t="n">
        <v>1174.36160643</v>
      </c>
      <c r="AB106" s="258" t="n">
        <v>1174.36160643</v>
      </c>
      <c r="AC106" s="258" t="n">
        <v>1174.36160643</v>
      </c>
      <c r="AD106" s="258" t="n">
        <v>1174.36160643</v>
      </c>
      <c r="AE106" s="258" t="n">
        <v>1022.98829343</v>
      </c>
      <c r="AF106" s="258" t="n">
        <v>1022.98829343</v>
      </c>
      <c r="AG106" s="258" t="n">
        <v>1022.98829343</v>
      </c>
      <c r="AH106" s="258" t="n">
        <v>1022.9882934</v>
      </c>
      <c r="AI106" s="258" t="n">
        <v>1022.98829343</v>
      </c>
      <c r="AJ106" s="258" t="n">
        <v>1331.32314013</v>
      </c>
    </row>
    <row r="107">
      <c r="A107" t="n">
        <v>37</v>
      </c>
      <c r="B107" t="n">
        <v>1</v>
      </c>
      <c r="G107" t="inlineStr">
        <is>
          <t>moeda</t>
        </is>
      </c>
      <c r="H107" t="inlineStr">
        <is>
          <t>PL: Reserva de capital (l.168)</t>
        </is>
      </c>
      <c r="J107" t="inlineStr">
        <is>
          <t>fonte</t>
        </is>
      </c>
      <c r="K107" s="258" t="n">
        <v>58.914</v>
      </c>
      <c r="L107" s="258" t="n">
        <v>20.22340519</v>
      </c>
      <c r="M107" s="258" t="n">
        <v>575.0549999999999</v>
      </c>
      <c r="N107" s="258" t="n">
        <v>575.114</v>
      </c>
      <c r="O107" s="258" t="n">
        <v>1369.969</v>
      </c>
      <c r="P107" s="258" t="n">
        <v>1408.261</v>
      </c>
      <c r="Q107" s="258" t="n">
        <v>1977.901</v>
      </c>
      <c r="R107" s="258" t="n">
        <v>1633.343</v>
      </c>
      <c r="S107" s="258" t="n">
        <v>1585.882</v>
      </c>
      <c r="T107" s="258" t="n">
        <v>1575.111</v>
      </c>
      <c r="U107" s="258" t="n">
        <v>1967.999</v>
      </c>
      <c r="V107" s="258" t="n">
        <v>1903.189</v>
      </c>
      <c r="W107" s="258" t="n">
        <v>19.0055411</v>
      </c>
      <c r="X107" s="258" t="n">
        <v>19.0055411</v>
      </c>
      <c r="Y107" s="258" t="n">
        <v>19.0055411</v>
      </c>
      <c r="Z107" s="258" t="n">
        <v>2252.267787484</v>
      </c>
      <c r="AA107" s="258" t="n">
        <v>2105.509026654</v>
      </c>
      <c r="AB107" s="258" t="n">
        <v>2104.124992694</v>
      </c>
      <c r="AC107" s="258" t="n">
        <v>2102.945202904</v>
      </c>
      <c r="AD107" s="258" t="n">
        <v>1922.05609342</v>
      </c>
      <c r="AE107" s="258" t="n">
        <v>1963.68953894</v>
      </c>
      <c r="AF107" s="258" t="n">
        <v>1991.17499575</v>
      </c>
      <c r="AG107" s="258" t="n">
        <v>1960.72843315</v>
      </c>
      <c r="AH107" s="258" t="n">
        <v>2140.8906856</v>
      </c>
      <c r="AI107" s="258" t="n">
        <v>1961.42173729</v>
      </c>
      <c r="AJ107" s="258" t="n">
        <v>3704.73603866</v>
      </c>
    </row>
    <row r="108">
      <c r="A108" t="n">
        <v>37</v>
      </c>
      <c r="B108" t="n">
        <v>1</v>
      </c>
      <c r="G108" t="inlineStr">
        <is>
          <t>moeda</t>
        </is>
      </c>
      <c r="H108" t="inlineStr">
        <is>
          <t>PL: Reserva de Desagio (l.169)</t>
        </is>
      </c>
      <c r="J108" t="inlineStr">
        <is>
          <t>fonte</t>
        </is>
      </c>
      <c r="K108" s="258" t="n">
        <v>0</v>
      </c>
      <c r="L108" s="258" t="n">
        <v>0</v>
      </c>
      <c r="M108" s="258" t="n">
        <v>0</v>
      </c>
      <c r="N108" s="258" t="n">
        <v>0</v>
      </c>
      <c r="O108" s="258" t="n">
        <v>0</v>
      </c>
      <c r="P108" s="258" t="n">
        <v>0</v>
      </c>
      <c r="Q108" s="258" t="n">
        <v>0</v>
      </c>
      <c r="R108" s="258" t="n">
        <v>0</v>
      </c>
      <c r="S108" s="258" t="n">
        <v>0</v>
      </c>
      <c r="T108" s="258" t="n">
        <v>0</v>
      </c>
      <c r="U108" s="258" t="n">
        <v>0</v>
      </c>
      <c r="V108" s="258" t="n">
        <v>0</v>
      </c>
      <c r="W108" s="258" t="n">
        <v>2287.911933734</v>
      </c>
      <c r="X108" s="258" t="n">
        <v>2287.911933734</v>
      </c>
      <c r="Y108" s="258" t="n">
        <v>2233.854793644</v>
      </c>
      <c r="Z108" s="258" t="n">
        <v>0</v>
      </c>
      <c r="AA108" s="258" t="n">
        <v>0</v>
      </c>
      <c r="AB108" s="258" t="n">
        <v>0</v>
      </c>
      <c r="AC108" s="258" t="n">
        <v>0</v>
      </c>
      <c r="AD108" s="258" t="n">
        <v>0</v>
      </c>
      <c r="AE108" s="258" t="n">
        <v>0</v>
      </c>
      <c r="AF108" s="258" t="n">
        <v>0</v>
      </c>
      <c r="AG108" s="258" t="n">
        <v>0</v>
      </c>
      <c r="AH108" s="258" t="n">
        <v>0</v>
      </c>
      <c r="AI108" s="258" t="n">
        <v>0</v>
      </c>
      <c r="AJ108" s="258" t="n">
        <v>0</v>
      </c>
    </row>
    <row r="109">
      <c r="A109" t="n">
        <v>38</v>
      </c>
      <c r="B109" t="n">
        <v>1</v>
      </c>
      <c r="G109" t="inlineStr">
        <is>
          <t>moeda</t>
        </is>
      </c>
      <c r="H109" t="inlineStr">
        <is>
          <t>PL: Ações em tesouraria (l.170)</t>
        </is>
      </c>
      <c r="J109" t="inlineStr">
        <is>
          <t>fonte</t>
        </is>
      </c>
      <c r="K109" s="258" t="n">
        <v>-0.46</v>
      </c>
      <c r="L109" s="258" t="n">
        <v>-38.24740684</v>
      </c>
      <c r="M109" s="258" t="n">
        <v>-8.105</v>
      </c>
      <c r="N109" s="258" t="n">
        <v>-10.503</v>
      </c>
      <c r="O109" s="258" t="n">
        <v>-272.346</v>
      </c>
      <c r="P109" s="258" t="n">
        <v>-282.509</v>
      </c>
      <c r="Q109" s="258" t="n">
        <v>-151.633</v>
      </c>
      <c r="R109" s="258" t="n">
        <v>-151.633</v>
      </c>
      <c r="S109" s="258" t="n">
        <v>-151.633</v>
      </c>
      <c r="T109" s="258" t="n">
        <v>-155.635</v>
      </c>
      <c r="U109" s="258" t="n">
        <v>-165.751</v>
      </c>
      <c r="V109" s="258" t="n">
        <v>-148.114</v>
      </c>
      <c r="W109" s="258" t="n">
        <v>-148.11432551</v>
      </c>
      <c r="X109" s="258" t="n">
        <v>-150.87927403</v>
      </c>
      <c r="Y109" s="258" t="n">
        <v>-151.04712491</v>
      </c>
      <c r="Z109" s="258" t="n">
        <v>-151.04712491</v>
      </c>
      <c r="AA109" s="258" t="n">
        <v>-151.04712491</v>
      </c>
      <c r="AB109" s="258" t="n">
        <v>-151.18433764</v>
      </c>
      <c r="AC109" s="258" t="n">
        <v>-151.51945841</v>
      </c>
      <c r="AD109" s="258" t="n">
        <v>-155.78335443</v>
      </c>
      <c r="AE109" s="258" t="n">
        <v>-181.91666977</v>
      </c>
      <c r="AF109" s="258" t="n">
        <v>-181.96830777</v>
      </c>
      <c r="AG109" s="258" t="n">
        <v>-181.96830777</v>
      </c>
      <c r="AH109" s="258" t="n">
        <v>-181.9683078</v>
      </c>
      <c r="AI109" s="258" t="n">
        <v>0</v>
      </c>
      <c r="AJ109" s="258" t="n">
        <v>0</v>
      </c>
    </row>
    <row r="110">
      <c r="A110" t="n">
        <v>41</v>
      </c>
      <c r="B110" t="n">
        <v>1</v>
      </c>
      <c r="G110" t="inlineStr">
        <is>
          <t>moeda</t>
        </is>
      </c>
      <c r="H110" t="inlineStr">
        <is>
          <t>PL: Reservas de lucros (l.171)</t>
        </is>
      </c>
      <c r="J110" t="inlineStr">
        <is>
          <t>fonte</t>
        </is>
      </c>
      <c r="K110" s="258" t="n">
        <v>159.121</v>
      </c>
      <c r="L110" s="258" t="n">
        <v>310.42597853</v>
      </c>
      <c r="M110" s="258" t="n">
        <v>21.084</v>
      </c>
      <c r="N110" s="258" t="n">
        <v>262.336</v>
      </c>
      <c r="O110" s="258" t="n">
        <v>316.661</v>
      </c>
      <c r="P110" s="258" t="n">
        <v>262.336</v>
      </c>
      <c r="Q110" s="258" t="n">
        <v>262.336</v>
      </c>
      <c r="R110" s="258" t="n">
        <v>877.9400000000001</v>
      </c>
      <c r="S110" s="258" t="n">
        <v>765.355</v>
      </c>
      <c r="T110" s="258" t="n">
        <v>867.332</v>
      </c>
      <c r="U110" s="258" t="n">
        <v>885.833</v>
      </c>
      <c r="V110" s="258" t="n">
        <v>925.7569999999999</v>
      </c>
      <c r="W110" s="258" t="n">
        <v>931.9503397799999</v>
      </c>
      <c r="X110" s="258" t="n">
        <v>944.2770821504</v>
      </c>
      <c r="Y110" s="258" t="n">
        <v>807.7608754813041</v>
      </c>
      <c r="Z110" s="258" t="n">
        <v>430.53850448</v>
      </c>
      <c r="AA110" s="258" t="n">
        <v>417.4832737</v>
      </c>
      <c r="AB110" s="258" t="n">
        <v>466.78310823</v>
      </c>
      <c r="AC110" s="258" t="n">
        <v>477.62535819</v>
      </c>
      <c r="AD110" s="258" t="n">
        <v>232.35130397</v>
      </c>
      <c r="AE110" s="258" t="n">
        <v>177.2480134</v>
      </c>
      <c r="AF110" s="258" t="n">
        <v>22.6152274</v>
      </c>
      <c r="AG110" s="258" t="n">
        <v>-222.64306702</v>
      </c>
      <c r="AH110" s="258" t="n">
        <v>216.91863636</v>
      </c>
      <c r="AI110" s="258" t="n">
        <v>58.5362407</v>
      </c>
      <c r="AJ110" s="258" t="n">
        <v>-257.24394704</v>
      </c>
    </row>
    <row r="111">
      <c r="A111" t="n">
        <v>39</v>
      </c>
      <c r="B111" t="n">
        <v>1</v>
      </c>
      <c r="G111" t="inlineStr">
        <is>
          <t>moeda</t>
        </is>
      </c>
      <c r="H111" t="inlineStr">
        <is>
          <t>PL: Outros resultados abrangentes (l.172)</t>
        </is>
      </c>
      <c r="J111" t="inlineStr">
        <is>
          <t>fonte</t>
        </is>
      </c>
      <c r="K111" s="258" t="n">
        <v>170.104</v>
      </c>
      <c r="L111" s="258" t="n">
        <v>28.63651205</v>
      </c>
      <c r="M111" s="258" t="n">
        <v>472.516</v>
      </c>
      <c r="N111" s="258" t="n">
        <v>2.103</v>
      </c>
      <c r="O111" s="258" t="n">
        <v>-254.944</v>
      </c>
      <c r="P111" s="258" t="n">
        <v>-197.213</v>
      </c>
      <c r="Q111" s="258" t="n">
        <v>-272.784</v>
      </c>
      <c r="R111" s="258" t="n">
        <v>-255.956</v>
      </c>
      <c r="S111" s="258" t="n">
        <v>-484.674</v>
      </c>
      <c r="T111" s="258" t="n">
        <v>-621.426</v>
      </c>
      <c r="U111" s="258" t="n">
        <v>-786.104</v>
      </c>
      <c r="V111" s="258" t="n">
        <v>-769.101</v>
      </c>
      <c r="W111" s="258" t="n">
        <v>-1465.24979457</v>
      </c>
      <c r="X111" s="258" t="n">
        <v>-1250.0198477</v>
      </c>
      <c r="Y111" s="258" t="n">
        <v>-619.75797215</v>
      </c>
      <c r="Z111" s="258" t="n">
        <v>-537.8004671799999</v>
      </c>
      <c r="AA111" s="258" t="n">
        <v>-578.04603903</v>
      </c>
      <c r="AB111" s="258" t="n">
        <v>-621.20481416</v>
      </c>
      <c r="AC111" s="258" t="n">
        <v>-547.91928197</v>
      </c>
      <c r="AD111" s="258" t="n">
        <v>-714.3229778899999</v>
      </c>
      <c r="AE111" s="258" t="n">
        <v>-613.61964313</v>
      </c>
      <c r="AF111" s="258" t="n">
        <v>-525.0935850899999</v>
      </c>
      <c r="AG111" s="258" t="n">
        <v>-553.98730904</v>
      </c>
      <c r="AH111" s="258" t="n">
        <v>170.2472995</v>
      </c>
      <c r="AI111" s="258" t="n">
        <v>170.24729947</v>
      </c>
      <c r="AJ111" s="258" t="n">
        <v>200.68271918</v>
      </c>
    </row>
    <row r="112">
      <c r="A112" t="n">
        <v>37</v>
      </c>
      <c r="B112" t="n">
        <v>1</v>
      </c>
      <c r="G112" t="inlineStr">
        <is>
          <t>moeda</t>
        </is>
      </c>
      <c r="H112" t="inlineStr">
        <is>
          <t>PL: Adiantamento para Futuro Aumento de Capital (l.173)</t>
        </is>
      </c>
      <c r="J112" t="inlineStr">
        <is>
          <t>fonte</t>
        </is>
      </c>
      <c r="K112" s="258" t="n">
        <v>0</v>
      </c>
      <c r="L112" s="258" t="n">
        <v>0</v>
      </c>
      <c r="M112" s="258" t="n">
        <v>0</v>
      </c>
      <c r="N112" s="258" t="n">
        <v>0</v>
      </c>
      <c r="O112" s="258" t="n">
        <v>0</v>
      </c>
      <c r="P112" s="258" t="n">
        <v>0</v>
      </c>
      <c r="Q112" s="258" t="n">
        <v>0</v>
      </c>
      <c r="R112" s="258" t="n">
        <v>0</v>
      </c>
      <c r="S112" s="258" t="n">
        <v>0</v>
      </c>
      <c r="T112" s="258" t="n">
        <v>0</v>
      </c>
      <c r="U112" s="258" t="n">
        <v>0</v>
      </c>
      <c r="V112" s="258" t="n">
        <v>0</v>
      </c>
      <c r="W112" s="258" t="n">
        <v>0</v>
      </c>
      <c r="X112" s="258" t="n">
        <v>0</v>
      </c>
      <c r="Y112" s="258" t="n">
        <v>0</v>
      </c>
      <c r="Z112" s="258" t="n">
        <v>0</v>
      </c>
      <c r="AA112" s="258" t="n">
        <v>0</v>
      </c>
      <c r="AB112" s="258" t="n">
        <v>0</v>
      </c>
      <c r="AC112" s="258" t="n">
        <v>0</v>
      </c>
      <c r="AD112" s="258" t="n">
        <v>0</v>
      </c>
      <c r="AE112" s="258" t="n">
        <v>0</v>
      </c>
      <c r="AF112" s="258" t="n">
        <v>0</v>
      </c>
      <c r="AG112" s="258" t="n">
        <v>0</v>
      </c>
      <c r="AH112" s="258" t="n">
        <v>0</v>
      </c>
      <c r="AI112" s="258" t="n">
        <v>0</v>
      </c>
      <c r="AJ112" s="258" t="n">
        <v>0</v>
      </c>
    </row>
    <row r="113">
      <c r="A113" t="n">
        <v>39</v>
      </c>
      <c r="B113" t="n">
        <v>1</v>
      </c>
      <c r="G113" t="inlineStr">
        <is>
          <t>moeda</t>
        </is>
      </c>
      <c r="H113" t="inlineStr">
        <is>
          <t>PL: Ajustes de avaliação patrimonial (l.174)</t>
        </is>
      </c>
      <c r="J113" t="inlineStr">
        <is>
          <t>fonte</t>
        </is>
      </c>
      <c r="K113" s="258" t="n">
        <v>-3.802</v>
      </c>
      <c r="L113" s="258" t="n">
        <v>-1.83492688</v>
      </c>
      <c r="M113" s="258" t="n">
        <v>-4.455</v>
      </c>
      <c r="N113" s="258" t="n">
        <v>470.044</v>
      </c>
      <c r="O113" s="258" t="n">
        <v>470.044</v>
      </c>
      <c r="P113" s="258" t="n">
        <v>467.579</v>
      </c>
      <c r="Q113" s="258" t="n">
        <v>487.722</v>
      </c>
      <c r="R113" s="258" t="n">
        <v>517.2569999999999</v>
      </c>
      <c r="S113" s="258" t="n">
        <v>516.617</v>
      </c>
      <c r="T113" s="258" t="n">
        <v>517.2569999999999</v>
      </c>
      <c r="U113" s="258" t="n">
        <v>517.2569999999999</v>
      </c>
      <c r="V113" s="258" t="n">
        <v>517.2569999999999</v>
      </c>
      <c r="W113" s="258" t="n">
        <v>510.314409572553</v>
      </c>
      <c r="X113" s="258" t="n">
        <v>524.455894462553</v>
      </c>
      <c r="Y113" s="258" t="n">
        <v>534.8403344425529</v>
      </c>
      <c r="Z113" s="258" t="n">
        <v>132.295631352553</v>
      </c>
      <c r="AA113" s="258" t="n">
        <v>132.295631352553</v>
      </c>
      <c r="AB113" s="258" t="n">
        <v>132.295631352553</v>
      </c>
      <c r="AC113" s="258" t="n">
        <v>132.295631352553</v>
      </c>
      <c r="AD113" s="258" t="n">
        <v>132.29563239</v>
      </c>
      <c r="AE113" s="258" t="n">
        <v>132.29563239</v>
      </c>
      <c r="AF113" s="258" t="n">
        <v>132.29563239</v>
      </c>
      <c r="AG113" s="258" t="n">
        <v>132.29563239</v>
      </c>
      <c r="AH113" s="258" t="n">
        <v>132.2956324</v>
      </c>
      <c r="AI113" s="258" t="n">
        <v>132.29563239</v>
      </c>
      <c r="AJ113" s="258" t="n">
        <v>132.75188498</v>
      </c>
    </row>
    <row r="114">
      <c r="A114" t="n">
        <v>40</v>
      </c>
      <c r="B114" t="n">
        <v>1</v>
      </c>
      <c r="G114" t="inlineStr">
        <is>
          <t>moeda</t>
        </is>
      </c>
      <c r="H114" t="inlineStr">
        <is>
          <t>PL: Outras Movimentações Patrimoniais (l.175)</t>
        </is>
      </c>
      <c r="J114" t="inlineStr">
        <is>
          <t>fonte</t>
        </is>
      </c>
      <c r="K114" s="258" t="n">
        <v>0</v>
      </c>
      <c r="L114" s="258" t="n">
        <v>0</v>
      </c>
      <c r="M114" s="258" t="n">
        <v>0</v>
      </c>
      <c r="N114" s="258" t="n">
        <v>0</v>
      </c>
      <c r="O114" s="258" t="n">
        <v>0</v>
      </c>
      <c r="P114" s="258" t="n">
        <v>0</v>
      </c>
      <c r="Q114" s="258" t="n">
        <v>0</v>
      </c>
      <c r="R114" s="258" t="n">
        <v>0</v>
      </c>
      <c r="S114" s="258" t="n">
        <v>0</v>
      </c>
      <c r="T114" s="258" t="n">
        <v>0</v>
      </c>
      <c r="U114" s="258" t="n">
        <v>-816.101</v>
      </c>
      <c r="V114" s="258" t="n">
        <v>0</v>
      </c>
      <c r="W114" s="258" t="n">
        <v>-403.13470557</v>
      </c>
      <c r="X114" s="258" t="n">
        <v>-403.13470557</v>
      </c>
      <c r="Y114" s="258" t="n">
        <v>-403.13470557</v>
      </c>
      <c r="Z114" s="258" t="n">
        <v>0</v>
      </c>
      <c r="AA114" s="258" t="n">
        <v>0</v>
      </c>
      <c r="AB114" s="258" t="n">
        <v>0</v>
      </c>
      <c r="AC114" s="258" t="n">
        <v>0</v>
      </c>
      <c r="AD114" s="258" t="n">
        <v>0</v>
      </c>
      <c r="AE114" s="258" t="n">
        <v>0</v>
      </c>
      <c r="AF114" s="258" t="n">
        <v>0</v>
      </c>
      <c r="AG114" s="258" t="n">
        <v>0</v>
      </c>
      <c r="AH114" s="258" t="n">
        <v>0</v>
      </c>
      <c r="AI114" s="258" t="n">
        <v>0</v>
      </c>
      <c r="AJ114" s="258" t="n">
        <v>0</v>
      </c>
    </row>
    <row r="115">
      <c r="A115" t="n">
        <v>35</v>
      </c>
      <c r="B115" t="n">
        <v>1</v>
      </c>
      <c r="G115" t="inlineStr">
        <is>
          <t>moeda</t>
        </is>
      </c>
      <c r="H115" t="inlineStr">
        <is>
          <t>PL: Participação dos acionistas não controladores (l.176)</t>
        </is>
      </c>
      <c r="J115" t="inlineStr">
        <is>
          <t>fonte</t>
        </is>
      </c>
      <c r="K115" s="258" t="n">
        <v>978.441</v>
      </c>
      <c r="L115" s="258" t="n">
        <v>978.2916931</v>
      </c>
      <c r="M115" s="258" t="n">
        <v>1277.87</v>
      </c>
      <c r="N115" s="258" t="n">
        <v>1331.252</v>
      </c>
      <c r="O115" s="258" t="n">
        <v>1671.055</v>
      </c>
      <c r="P115" s="258" t="n">
        <v>1815.693</v>
      </c>
      <c r="Q115" s="258" t="n">
        <v>2296.413</v>
      </c>
      <c r="R115" s="258" t="n">
        <v>2308.182</v>
      </c>
      <c r="S115" s="258" t="n">
        <v>2292.362</v>
      </c>
      <c r="T115" s="258" t="n">
        <v>2294.679</v>
      </c>
      <c r="U115" s="258" t="n">
        <v>2785.986</v>
      </c>
      <c r="V115" s="258" t="n">
        <v>2699.977</v>
      </c>
      <c r="W115" s="258" t="n">
        <v>2783.524000000236</v>
      </c>
      <c r="X115" s="258" t="n">
        <v>2960.640248788014</v>
      </c>
      <c r="Y115" s="258" t="n">
        <v>3452.88228612438</v>
      </c>
      <c r="Z115" s="258" t="n">
        <v>3425.485977937885</v>
      </c>
      <c r="AA115" s="258" t="n">
        <v>3505.858461792802</v>
      </c>
      <c r="AB115" s="258" t="n">
        <v>3600.120510361279</v>
      </c>
      <c r="AC115" s="258" t="n">
        <v>3743.753330734428</v>
      </c>
      <c r="AD115" s="258" t="n">
        <v>2973.47641786</v>
      </c>
      <c r="AE115" s="258" t="n">
        <v>2973.15152807</v>
      </c>
      <c r="AF115" s="258" t="n">
        <v>2968.92014546</v>
      </c>
      <c r="AG115" s="258" t="n">
        <v>3021.07172258</v>
      </c>
      <c r="AH115" s="258" t="n">
        <v>2898.1812004</v>
      </c>
      <c r="AI115" s="258" t="n">
        <v>2877.63107836</v>
      </c>
      <c r="AJ115" s="258" t="n">
        <v>3938.39084761</v>
      </c>
    </row>
    <row r="116">
      <c r="A116" t="n">
        <v>41</v>
      </c>
      <c r="B116" t="n">
        <v>1</v>
      </c>
      <c r="G116" t="inlineStr">
        <is>
          <t>moeda</t>
        </is>
      </c>
      <c r="H116" t="inlineStr">
        <is>
          <t>PL: Lucros / Prejuízos acumulados (l.177)</t>
        </is>
      </c>
      <c r="J116" t="inlineStr">
        <is>
          <t>fonte</t>
        </is>
      </c>
      <c r="K116" s="258" t="n">
        <v>-42.896</v>
      </c>
      <c r="L116" s="258" t="n">
        <v>0</v>
      </c>
      <c r="M116" s="258" t="n">
        <v>137.712</v>
      </c>
      <c r="N116" s="258" t="n">
        <v>0</v>
      </c>
      <c r="O116" s="258" t="n">
        <v>94.24299999999999</v>
      </c>
      <c r="P116" s="258" t="n">
        <v>361.49</v>
      </c>
      <c r="Q116" s="258" t="n">
        <v>607.253</v>
      </c>
      <c r="R116" s="258" t="n">
        <v>0</v>
      </c>
      <c r="S116" s="258" t="n">
        <v>0</v>
      </c>
      <c r="T116" s="258" t="n">
        <v>0</v>
      </c>
      <c r="U116" s="258" t="n">
        <v>0</v>
      </c>
      <c r="V116" s="258" t="n">
        <v>0</v>
      </c>
      <c r="W116" s="258" t="n">
        <v>0</v>
      </c>
      <c r="X116" s="258" t="n">
        <v>0</v>
      </c>
      <c r="Y116" s="258" t="n">
        <v>0</v>
      </c>
      <c r="Z116" s="258" t="n">
        <v>0</v>
      </c>
      <c r="AA116" s="258" t="n">
        <v>0</v>
      </c>
      <c r="AB116" s="258" t="n">
        <v>0</v>
      </c>
      <c r="AC116" s="258" t="n">
        <v>0</v>
      </c>
      <c r="AD116" s="258" t="n">
        <v>0</v>
      </c>
      <c r="AE116" s="258" t="n">
        <v>0</v>
      </c>
      <c r="AF116" s="258" t="n">
        <v>0</v>
      </c>
      <c r="AG116" s="258" t="n">
        <v>0</v>
      </c>
      <c r="AH116" s="258" t="n">
        <v>0</v>
      </c>
      <c r="AI116" s="258" t="n">
        <v>0</v>
      </c>
      <c r="AJ116" s="258" t="n">
        <v>0</v>
      </c>
    </row>
    <row r="117">
      <c r="A117" t="n">
        <v>40</v>
      </c>
      <c r="B117" t="n">
        <v>1</v>
      </c>
      <c r="G117" t="inlineStr">
        <is>
          <t>moeda</t>
        </is>
      </c>
      <c r="H117" t="inlineStr">
        <is>
          <t>PL: Outros ajustes patrimoniais reflexos de controladas (l.178)</t>
        </is>
      </c>
      <c r="J117" t="inlineStr">
        <is>
          <t>fonte</t>
        </is>
      </c>
      <c r="K117" s="258" t="n">
        <v>286.76</v>
      </c>
      <c r="L117" s="258" t="n">
        <v>376.82140534</v>
      </c>
      <c r="M117" s="258" t="n">
        <v>-118.919</v>
      </c>
      <c r="N117" s="258" t="n">
        <v>-120.471</v>
      </c>
      <c r="O117" s="258" t="n">
        <v>-158.278</v>
      </c>
      <c r="P117" s="258" t="n">
        <v>-113.68</v>
      </c>
      <c r="Q117" s="258" t="n">
        <v>-226.171</v>
      </c>
      <c r="R117" s="258" t="n">
        <v>-269.203</v>
      </c>
      <c r="S117" s="258" t="n">
        <v>-440.692</v>
      </c>
      <c r="T117" s="258" t="n">
        <v>-717.596</v>
      </c>
      <c r="U117" s="258" t="n">
        <v>0</v>
      </c>
      <c r="V117" s="258" t="n">
        <v>-721.574</v>
      </c>
      <c r="W117" s="258" t="n">
        <v>3.55972436</v>
      </c>
      <c r="X117" s="258" t="n">
        <v>3.55972436</v>
      </c>
      <c r="Y117" s="258" t="n">
        <v>-97.44427564</v>
      </c>
      <c r="Z117" s="258" t="n">
        <v>25.62811802</v>
      </c>
      <c r="AA117" s="258" t="n">
        <v>-30.43085043</v>
      </c>
      <c r="AB117" s="258" t="n">
        <v>-66.01177378999999</v>
      </c>
      <c r="AC117" s="258" t="n">
        <v>-17.8895838</v>
      </c>
      <c r="AD117" s="258" t="n">
        <v>0.20780122</v>
      </c>
      <c r="AE117" s="258" t="n">
        <v>-4.51910642</v>
      </c>
      <c r="AF117" s="258" t="n">
        <v>563.4985897</v>
      </c>
      <c r="AG117" s="258" t="n">
        <v>651.52011473</v>
      </c>
      <c r="AH117" s="258" t="n">
        <v>874.5439404</v>
      </c>
      <c r="AI117" s="258" t="n">
        <v>793.6673753600001</v>
      </c>
      <c r="AJ117" s="258" t="n">
        <v>775.32691685</v>
      </c>
    </row>
    <row r="118">
      <c r="H118" s="254" t="inlineStr">
        <is>
          <t>BALANCO - totais divulgados (memoria)</t>
        </is>
      </c>
    </row>
    <row r="119">
      <c r="G119" t="inlineStr">
        <is>
          <t>moeda</t>
        </is>
      </c>
      <c r="H119" t="inlineStr">
        <is>
          <t>Total do ativo (l.116)</t>
        </is>
      </c>
      <c r="J119" t="inlineStr">
        <is>
          <t>memoria</t>
        </is>
      </c>
      <c r="K119" s="258" t="n">
        <v>21556.88545454991</v>
      </c>
      <c r="L119" s="258" t="n">
        <v>22603.401821683</v>
      </c>
      <c r="M119" s="258" t="n">
        <v>22774.19892483507</v>
      </c>
      <c r="N119" s="258" t="n">
        <v>25562.24954612344</v>
      </c>
      <c r="O119" s="258" t="n">
        <v>31959.71372909207</v>
      </c>
      <c r="P119" s="258" t="n">
        <v>33773.128</v>
      </c>
      <c r="Q119" s="258" t="n">
        <v>41082.05499999999</v>
      </c>
      <c r="R119" s="258" t="n">
        <v>47968.194</v>
      </c>
      <c r="S119" s="258" t="n">
        <v>47543.69900000001</v>
      </c>
      <c r="T119" s="258" t="n">
        <v>52956.699</v>
      </c>
      <c r="U119" s="258" t="n">
        <v>59006.238</v>
      </c>
      <c r="V119" s="258" t="n">
        <v>61659.514</v>
      </c>
      <c r="W119" s="258" t="n">
        <v>59367.33127099987</v>
      </c>
      <c r="X119" s="258" t="n">
        <v>60059.52625607088</v>
      </c>
      <c r="Y119" s="258" t="n">
        <v>62697.61463457037</v>
      </c>
      <c r="Z119" s="258" t="n">
        <v>70140.83884258318</v>
      </c>
      <c r="AA119" s="258" t="n">
        <v>74190.12520233482</v>
      </c>
      <c r="AB119" s="258" t="n">
        <v>76293.22455888627</v>
      </c>
      <c r="AC119" s="258" t="n">
        <v>80107.52341908493</v>
      </c>
      <c r="AD119" s="258" t="n">
        <v>83152.86479311</v>
      </c>
      <c r="AE119" s="258" t="n">
        <v>81029.26124217</v>
      </c>
      <c r="AF119" s="258" t="n">
        <v>81414.23653032001</v>
      </c>
      <c r="AG119" s="258" t="n">
        <v>81263.33484086</v>
      </c>
      <c r="AH119" s="258" t="n">
        <v>86702.2132848</v>
      </c>
      <c r="AI119" s="258" t="n">
        <v>87178.62377144</v>
      </c>
      <c r="AJ119" s="258" t="n">
        <v>91594.77638691</v>
      </c>
    </row>
    <row r="120">
      <c r="G120" t="inlineStr">
        <is>
          <t>moeda</t>
        </is>
      </c>
      <c r="H120" t="inlineStr">
        <is>
          <t>Total do passivo e PL (l.181)</t>
        </is>
      </c>
      <c r="J120" t="inlineStr">
        <is>
          <t>memoria</t>
        </is>
      </c>
      <c r="K120" s="258" t="n">
        <v>21556.8831010213</v>
      </c>
      <c r="L120" s="258" t="n">
        <v>22603.401821143</v>
      </c>
      <c r="M120" s="258" t="n">
        <v>22774.193742063</v>
      </c>
      <c r="N120" s="258" t="n">
        <v>25562.24801090424</v>
      </c>
      <c r="O120" s="258" t="n">
        <v>31959.71510563896</v>
      </c>
      <c r="P120" s="258" t="n">
        <v>33773.127407122</v>
      </c>
      <c r="Q120" s="258" t="n">
        <v>41082.055</v>
      </c>
      <c r="R120" s="258" t="n">
        <v>47968.194</v>
      </c>
      <c r="S120" s="258" t="n">
        <v>47543.69899999999</v>
      </c>
      <c r="T120" s="258" t="n">
        <v>52956.69899999999</v>
      </c>
      <c r="U120" s="258" t="n">
        <v>59006.23799999999</v>
      </c>
      <c r="V120" s="258" t="n">
        <v>61659.51399999998</v>
      </c>
      <c r="W120" s="258" t="n">
        <v>59367.29867798342</v>
      </c>
      <c r="X120" s="258" t="n">
        <v>60059.52408381464</v>
      </c>
      <c r="Y120" s="258" t="n">
        <v>62697.61424518224</v>
      </c>
      <c r="Z120" s="258" t="n">
        <v>70140.84034960464</v>
      </c>
      <c r="AA120" s="258" t="n">
        <v>74190.12472885801</v>
      </c>
      <c r="AB120" s="258" t="n">
        <v>76293.22383527164</v>
      </c>
      <c r="AC120" s="258" t="n">
        <v>80107.51893107446</v>
      </c>
      <c r="AD120" s="258" t="n">
        <v>83152.88125619998</v>
      </c>
      <c r="AE120" s="258" t="n">
        <v>81029.28160275999</v>
      </c>
      <c r="AF120" s="258" t="n">
        <v>81414.25278917002</v>
      </c>
      <c r="AG120" s="258" t="n">
        <v>81263.30143244001</v>
      </c>
      <c r="AH120" s="258" t="n">
        <v>86702.21367316</v>
      </c>
      <c r="AI120" s="258" t="n">
        <v>87178.62377120998</v>
      </c>
      <c r="AJ120" s="258" t="n">
        <v>91594.77638692001</v>
      </c>
    </row>
    <row r="121">
      <c r="G121" t="inlineStr">
        <is>
          <t>moeda</t>
        </is>
      </c>
      <c r="H121" t="inlineStr">
        <is>
          <t>Divida liquida (l.208, conceito da Cia) - memoria</t>
        </is>
      </c>
      <c r="J121" t="inlineStr">
        <is>
          <t>memoria</t>
        </is>
      </c>
      <c r="K121" s="258" t="n">
        <v>8012.731229669997</v>
      </c>
      <c r="L121" s="258" t="n">
        <v>8497.69374624</v>
      </c>
      <c r="M121" s="258" t="n">
        <v>7624.009480479999</v>
      </c>
      <c r="N121" s="258" t="n">
        <v>8470.604929211278</v>
      </c>
      <c r="O121" s="258" t="n">
        <v>9494.931293704287</v>
      </c>
      <c r="P121" s="258" t="n">
        <v>10782.32250245</v>
      </c>
      <c r="Q121" s="258" t="n">
        <v>12482.595</v>
      </c>
      <c r="R121" s="258" t="n">
        <v>15479.61</v>
      </c>
      <c r="S121" s="258" t="n">
        <v>18005.872</v>
      </c>
      <c r="T121" s="258" t="n">
        <v>21998.23709074762</v>
      </c>
      <c r="U121" s="258" t="n">
        <v>24496.26462612333</v>
      </c>
      <c r="V121" s="258" t="n">
        <v>26040.93360277</v>
      </c>
      <c r="W121" s="258" t="n">
        <v>28454.06483633796</v>
      </c>
      <c r="X121" s="258" t="n">
        <v>31465.99152052005</v>
      </c>
      <c r="Y121" s="258" t="n">
        <v>31605.1733755232</v>
      </c>
      <c r="Z121" s="258" t="n">
        <v>31745.27023017377</v>
      </c>
      <c r="AA121" s="258" t="n">
        <v>33536.47907294635</v>
      </c>
      <c r="AB121" s="258" t="n">
        <v>36221.21469560624</v>
      </c>
      <c r="AC121" s="258" t="n">
        <v>37861.41874958827</v>
      </c>
      <c r="AD121" s="258" t="n">
        <v>39880.03266763219</v>
      </c>
      <c r="AE121" s="258" t="n">
        <v>41337.64590198691</v>
      </c>
      <c r="AF121" s="258" t="n">
        <v>42537.96349246999</v>
      </c>
      <c r="AG121" s="258" t="n">
        <v>41627.90898578164</v>
      </c>
      <c r="AH121" s="258" t="n">
        <v>40561.90169446456</v>
      </c>
      <c r="AI121" s="258" t="n">
        <v>41796.45108667</v>
      </c>
      <c r="AJ121" s="258" t="n">
        <v>41288.43141568</v>
      </c>
    </row>
    <row r="122">
      <c r="H122" s="254" t="inlineStr">
        <is>
          <t>CHECKS (devem ser 0)</t>
        </is>
      </c>
    </row>
    <row r="123">
      <c r="G123" t="inlineStr">
        <is>
          <t>moeda</t>
        </is>
      </c>
      <c r="H123" t="inlineStr">
        <is>
          <t>CHECK: receita + custos + despesas op. + resultado financeiro + IR + descontinuadas - lucro liquido total</t>
        </is>
      </c>
      <c r="J123" t="inlineStr">
        <is>
          <t>derivada</t>
        </is>
      </c>
      <c r="K123" s="258">
        <f>ROUND(K6+K7+K8+K9+K10+K11+K12+K13+K14+K15+K16-K17,1)</f>
        <v>0</v>
      </c>
      <c r="L123" s="258">
        <f>ROUND(L6+L7+L8+L9+L10+L11+L12+L13+L14+L15+L16-L17,1)</f>
        <v>0</v>
      </c>
      <c r="M123" s="258">
        <f>ROUND(M6+M7+M8+M9+M10+M11+M12+M13+M14+M15+M16-M17,1)</f>
        <v>0</v>
      </c>
      <c r="N123" s="258">
        <f>ROUND(N6+N7+N8+N9+N10+N11+N12+N13+N14+N15+N16-N17,1)</f>
        <v>0</v>
      </c>
      <c r="O123" s="258">
        <f>ROUND(O6+O7+O8+O9+O10+O11+O12+O13+O14+O15+O16-O17,1)</f>
        <v>0</v>
      </c>
      <c r="P123" s="258">
        <f>ROUND(P6+P7+P8+P9+P10+P11+P12+P13+P14+P15+P16-P17,1)</f>
        <v>0</v>
      </c>
      <c r="Q123" s="258">
        <f>ROUND(Q6+Q7+Q8+Q9+Q10+Q11+Q12+Q13+Q14+Q15+Q16-Q17,1)</f>
        <v>0</v>
      </c>
      <c r="R123" s="258">
        <f>ROUND(R6+R7+R8+R9+R10+R11+R12+R13+R14+R15+R16-R17,1)</f>
        <v>0</v>
      </c>
      <c r="S123" s="258">
        <f>ROUND(S6+S7+S8+S9+S10+S11+S12+S13+S14+S15+S16-S17,1)</f>
        <v>0</v>
      </c>
      <c r="T123" s="258">
        <f>ROUND(T6+T7+T8+T9+T10+T11+T12+T13+T14+T15+T16-T17,1)</f>
        <v>0</v>
      </c>
      <c r="U123" s="258">
        <f>ROUND(U6+U7+U8+U9+U10+U11+U12+U13+U14+U15+U16-U17,1)</f>
        <v>0</v>
      </c>
      <c r="V123" s="258">
        <f>ROUND(V6+V7+V8+V9+V10+V11+V12+V13+V14+V15+V16-V17,1)</f>
        <v>0</v>
      </c>
      <c r="W123" s="258">
        <f>ROUND(W6+W7+W8+W9+W10+W11+W12+W13+W14+W15+W16-W17,1)</f>
        <v>0</v>
      </c>
      <c r="X123" s="258">
        <f>ROUND(X6+X7+X8+X9+X10+X11+X12+X13+X14+X15+X16-X17,1)</f>
        <v>0</v>
      </c>
      <c r="Y123" s="258">
        <f>ROUND(Y6+Y7+Y8+Y9+Y10+Y11+Y12+Y13+Y14+Y15+Y16-Y17,1)</f>
        <v>0</v>
      </c>
      <c r="Z123" s="258">
        <f>ROUND(Z6+Z7+Z8+Z9+Z10+Z11+Z12+Z13+Z14+Z15+Z16-Z17,1)</f>
        <v>0</v>
      </c>
      <c r="AA123" s="258">
        <f>ROUND(AA6+AA7+AA8+AA9+AA10+AA11+AA12+AA13+AA14+AA15+AA16-AA17,1)</f>
        <v>0</v>
      </c>
      <c r="AB123" s="258">
        <f>ROUND(AB6+AB7+AB8+AB9+AB10+AB11+AB12+AB13+AB14+AB15+AB16-AB17,1)</f>
        <v>0</v>
      </c>
      <c r="AC123" s="258">
        <f>ROUND(AC6+AC7+AC8+AC9+AC10+AC11+AC12+AC13+AC14+AC15+AC16-AC17,1)</f>
        <v>0</v>
      </c>
      <c r="AD123" s="258">
        <f>ROUND(AD6+AD7+AD8+AD9+AD10+AD11+AD12+AD13+AD14+AD15+AD16-AD17,1)</f>
        <v>0</v>
      </c>
      <c r="AE123" s="258">
        <f>ROUND(AE6+AE7+AE8+AE9+AE10+AE11+AE12+AE13+AE14+AE15+AE16-AE17,1)</f>
        <v>0</v>
      </c>
      <c r="AF123" s="258">
        <f>ROUND(AF6+AF7+AF8+AF9+AF10+AF11+AF12+AF13+AF14+AF15+AF16-AF17,1)</f>
        <v>0</v>
      </c>
      <c r="AG123" s="258">
        <f>ROUND(AG6+AG7+AG8+AG9+AG10+AG11+AG12+AG13+AG14+AG15+AG16-AG17,1)</f>
        <v>0</v>
      </c>
      <c r="AH123" s="258">
        <f>ROUND(AH6+AH7+AH8+AH9+AH10+AH11+AH12+AH13+AH14+AH15+AH16-AH17,1)</f>
        <v>0</v>
      </c>
      <c r="AI123" s="258">
        <f>ROUND(AI6+AI7+AI8+AI9+AI10+AI11+AI12+AI13+AI14+AI15+AI16-AI17,1)</f>
        <v>0</v>
      </c>
      <c r="AJ123" s="258">
        <f>ROUND(AJ6+AJ7+AJ8+AJ9+AJ10+AJ11+AJ12+AJ13+AJ14+AJ15+AJ16-AJ17,1)</f>
        <v>0</v>
      </c>
    </row>
    <row r="124">
      <c r="G124" t="inlineStr">
        <is>
          <t>moeda</t>
        </is>
      </c>
      <c r="H124" t="inlineStr">
        <is>
          <t>CHECK: contas de ativo - ativo total</t>
        </is>
      </c>
      <c r="J124" t="inlineStr">
        <is>
          <t>derivada</t>
        </is>
      </c>
      <c r="K124" s="258">
        <f>ROUND(K33+K34+K35+K36+K37+K38+K39+K40+K41+K42+K43+K44+K45+K46+K47+K48+K49+K50+K51+K52+K53+K54+K55+K56+K57+K58+K59+K60+K61+K62+K63+K64+K65-K119,1)</f>
        <v>0</v>
      </c>
      <c r="L124" s="258">
        <f>ROUND(L33+L34+L35+L36+L37+L38+L39+L40+L41+L42+L43+L44+L45+L46+L47+L48+L49+L50+L51+L52+L53+L54+L55+L56+L57+L58+L59+L60+L61+L62+L63+L64+L65-L119,1)</f>
        <v>0</v>
      </c>
      <c r="M124" s="258">
        <f>ROUND(M33+M34+M35+M36+M37+M38+M39+M40+M41+M42+M43+M44+M45+M46+M47+M48+M49+M50+M51+M52+M53+M54+M55+M56+M57+M58+M59+M60+M61+M62+M63+M64+M65-M119,1)</f>
        <v>0</v>
      </c>
      <c r="N124" s="258">
        <f>ROUND(N33+N34+N35+N36+N37+N38+N39+N40+N41+N42+N43+N44+N45+N46+N47+N48+N49+N50+N51+N52+N53+N54+N55+N56+N57+N58+N59+N60+N61+N62+N63+N64+N65-N119,1)</f>
        <v>0</v>
      </c>
      <c r="O124" s="258">
        <f>ROUND(O33+O34+O35+O36+O37+O38+O39+O40+O41+O42+O43+O44+O45+O46+O47+O48+O49+O50+O51+O52+O53+O54+O55+O56+O57+O58+O59+O60+O61+O62+O63+O64+O65-O119,1)</f>
        <v>0</v>
      </c>
      <c r="P124" s="258">
        <f>ROUND(P33+P34+P35+P36+P37+P38+P39+P40+P41+P42+P43+P44+P45+P46+P47+P48+P49+P50+P51+P52+P53+P54+P55+P56+P57+P58+P59+P60+P61+P62+P63+P64+P65-P119,1)</f>
        <v>0</v>
      </c>
      <c r="Q124" s="258">
        <f>ROUND(Q33+Q34+Q35+Q36+Q37+Q38+Q39+Q40+Q41+Q42+Q43+Q44+Q45+Q46+Q47+Q48+Q49+Q50+Q51+Q52+Q53+Q54+Q55+Q56+Q57+Q58+Q59+Q60+Q61+Q62+Q63+Q64+Q65-Q119,1)</f>
        <v>0</v>
      </c>
      <c r="R124" s="258">
        <f>ROUND(R33+R34+R35+R36+R37+R38+R39+R40+R41+R42+R43+R44+R45+R46+R47+R48+R49+R50+R51+R52+R53+R54+R55+R56+R57+R58+R59+R60+R61+R62+R63+R64+R65-R119,1)</f>
        <v>0</v>
      </c>
      <c r="S124" s="258">
        <f>ROUND(S33+S34+S35+S36+S37+S38+S39+S40+S41+S42+S43+S44+S45+S46+S47+S48+S49+S50+S51+S52+S53+S54+S55+S56+S57+S58+S59+S60+S61+S62+S63+S64+S65-S119,1)</f>
        <v>0</v>
      </c>
      <c r="T124" s="258">
        <f>ROUND(T33+T34+T35+T36+T37+T38+T39+T40+T41+T42+T43+T44+T45+T46+T47+T48+T49+T50+T51+T52+T53+T54+T55+T56+T57+T58+T59+T60+T61+T62+T63+T64+T65-T119,1)</f>
        <v>0</v>
      </c>
      <c r="U124" s="258">
        <f>ROUND(U33+U34+U35+U36+U37+U38+U39+U40+U41+U42+U43+U44+U45+U46+U47+U48+U49+U50+U51+U52+U53+U54+U55+U56+U57+U58+U59+U60+U61+U62+U63+U64+U65-U119,1)</f>
        <v>0</v>
      </c>
      <c r="V124" s="258">
        <f>ROUND(V33+V34+V35+V36+V37+V38+V39+V40+V41+V42+V43+V44+V45+V46+V47+V48+V49+V50+V51+V52+V53+V54+V55+V56+V57+V58+V59+V60+V61+V62+V63+V64+V65-V119,1)</f>
        <v>0</v>
      </c>
      <c r="W124" s="258">
        <f>ROUND(W33+W34+W35+W36+W37+W38+W39+W40+W41+W42+W43+W44+W45+W46+W47+W48+W49+W50+W51+W52+W53+W54+W55+W56+W57+W58+W59+W60+W61+W62+W63+W64+W65-W119,1)</f>
        <v>0</v>
      </c>
      <c r="X124" s="258">
        <f>ROUND(X33+X34+X35+X36+X37+X38+X39+X40+X41+X42+X43+X44+X45+X46+X47+X48+X49+X50+X51+X52+X53+X54+X55+X56+X57+X58+X59+X60+X61+X62+X63+X64+X65-X119,1)</f>
        <v>0</v>
      </c>
      <c r="Y124" s="258">
        <f>ROUND(Y33+Y34+Y35+Y36+Y37+Y38+Y39+Y40+Y41+Y42+Y43+Y44+Y45+Y46+Y47+Y48+Y49+Y50+Y51+Y52+Y53+Y54+Y55+Y56+Y57+Y58+Y59+Y60+Y61+Y62+Y63+Y64+Y65-Y119,1)</f>
        <v>0</v>
      </c>
      <c r="Z124" s="258">
        <f>ROUND(Z33+Z34+Z35+Z36+Z37+Z38+Z39+Z40+Z41+Z42+Z43+Z44+Z45+Z46+Z47+Z48+Z49+Z50+Z51+Z52+Z53+Z54+Z55+Z56+Z57+Z58+Z59+Z60+Z61+Z62+Z63+Z64+Z65-Z119,1)</f>
        <v>0</v>
      </c>
      <c r="AA124" s="258">
        <f>ROUND(AA33+AA34+AA35+AA36+AA37+AA38+AA39+AA40+AA41+AA42+AA43+AA44+AA45+AA46+AA47+AA48+AA49+AA50+AA51+AA52+AA53+AA54+AA55+AA56+AA57+AA58+AA59+AA60+AA61+AA62+AA63+AA64+AA65-AA119,1)</f>
        <v>0</v>
      </c>
      <c r="AB124" s="258">
        <f>ROUND(AB33+AB34+AB35+AB36+AB37+AB38+AB39+AB40+AB41+AB42+AB43+AB44+AB45+AB46+AB47+AB48+AB49+AB50+AB51+AB52+AB53+AB54+AB55+AB56+AB57+AB58+AB59+AB60+AB61+AB62+AB63+AB64+AB65-AB119,1)</f>
        <v>0</v>
      </c>
      <c r="AC124" s="258">
        <f>ROUND(AC33+AC34+AC35+AC36+AC37+AC38+AC39+AC40+AC41+AC42+AC43+AC44+AC45+AC46+AC47+AC48+AC49+AC50+AC51+AC52+AC53+AC54+AC55+AC56+AC57+AC58+AC59+AC60+AC61+AC62+AC63+AC64+AC65-AC119,1)</f>
        <v>0</v>
      </c>
      <c r="AD124" s="258">
        <f>ROUND(AD33+AD34+AD35+AD36+AD37+AD38+AD39+AD40+AD41+AD42+AD43+AD44+AD45+AD46+AD47+AD48+AD49+AD50+AD51+AD52+AD53+AD54+AD55+AD56+AD57+AD58+AD59+AD60+AD61+AD62+AD63+AD64+AD65-AD119,1)</f>
        <v>0</v>
      </c>
      <c r="AE124" s="258">
        <f>ROUND(AE33+AE34+AE35+AE36+AE37+AE38+AE39+AE40+AE41+AE42+AE43+AE44+AE45+AE46+AE47+AE48+AE49+AE50+AE51+AE52+AE53+AE54+AE55+AE56+AE57+AE58+AE59+AE60+AE61+AE62+AE63+AE64+AE65-AE119,1)</f>
        <v>0</v>
      </c>
      <c r="AF124" s="258">
        <f>ROUND(AF33+AF34+AF35+AF36+AF37+AF38+AF39+AF40+AF41+AF42+AF43+AF44+AF45+AF46+AF47+AF48+AF49+AF50+AF51+AF52+AF53+AF54+AF55+AF56+AF57+AF58+AF59+AF60+AF61+AF62+AF63+AF64+AF65-AF119,1)</f>
        <v>0</v>
      </c>
      <c r="AG124" s="258">
        <f>ROUND(AG33+AG34+AG35+AG36+AG37+AG38+AG39+AG40+AG41+AG42+AG43+AG44+AG45+AG46+AG47+AG48+AG49+AG50+AG51+AG52+AG53+AG54+AG55+AG56+AG57+AG58+AG59+AG60+AG61+AG62+AG63+AG64+AG65-AG119,1)</f>
        <v>0</v>
      </c>
      <c r="AH124" s="258">
        <f>ROUND(AH33+AH34+AH35+AH36+AH37+AH38+AH39+AH40+AH41+AH42+AH43+AH44+AH45+AH46+AH47+AH48+AH49+AH50+AH51+AH52+AH53+AH54+AH55+AH56+AH57+AH58+AH59+AH60+AH61+AH62+AH63+AH64+AH65-AH119,1)</f>
        <v>0</v>
      </c>
      <c r="AI124" s="258">
        <f>ROUND(AI33+AI34+AI35+AI36+AI37+AI38+AI39+AI40+AI41+AI42+AI43+AI44+AI45+AI46+AI47+AI48+AI49+AI50+AI51+AI52+AI53+AI54+AI55+AI56+AI57+AI58+AI59+AI60+AI61+AI62+AI63+AI64+AI65-AI119,1)</f>
        <v>0</v>
      </c>
      <c r="AJ124" s="258">
        <f>ROUND(AJ33+AJ34+AJ35+AJ36+AJ37+AJ38+AJ39+AJ40+AJ41+AJ42+AJ43+AJ44+AJ45+AJ46+AJ47+AJ48+AJ49+AJ50+AJ51+AJ52+AJ53+AJ54+AJ55+AJ56+AJ57+AJ58+AJ59+AJ60+AJ61+AJ62+AJ63+AJ64+AJ65-AJ119,1)</f>
        <v>0</v>
      </c>
    </row>
    <row r="125">
      <c r="G125" t="inlineStr">
        <is>
          <t>moeda</t>
        </is>
      </c>
      <c r="H125" t="inlineStr">
        <is>
          <t>CHECK: passivo + PL - passivo total</t>
        </is>
      </c>
      <c r="J125" t="inlineStr">
        <is>
          <t>derivada</t>
        </is>
      </c>
      <c r="K125" s="258">
        <f>ROUND(K66+K67+K68+K69+K70+K71+K72+K73+K74+K75+K76+K77+K78+K79+K80+K81+K82+K83+K84+K85+K86+K87+K88+K89+K90+K91+K92+K93+K94+K95+K96+K97+K98+K99+K100+K101+K102+K103+K104+K105+K106+K107+K108+K109+K110+K111+K112+K113+K114+K115+K116+K117-K120,1)</f>
        <v>0</v>
      </c>
      <c r="L125" s="258">
        <f>ROUND(L66+L67+L68+L69+L70+L71+L72+L73+L74+L75+L76+L77+L78+L79+L80+L81+L82+L83+L84+L85+L86+L87+L88+L89+L90+L91+L92+L93+L94+L95+L96+L97+L98+L99+L100+L101+L102+L103+L104+L105+L106+L107+L108+L109+L110+L111+L112+L113+L114+L115+L116+L117-L120,1)</f>
        <v>0</v>
      </c>
      <c r="M125" s="258">
        <f>ROUND(M66+M67+M68+M69+M70+M71+M72+M73+M74+M75+M76+M77+M78+M79+M80+M81+M82+M83+M84+M85+M86+M87+M88+M89+M90+M91+M92+M93+M94+M95+M96+M97+M98+M99+M100+M101+M102+M103+M104+M105+M106+M107+M108+M109+M110+M111+M112+M113+M114+M115+M116+M117-M120,1)</f>
        <v>0</v>
      </c>
      <c r="N125" s="258">
        <f>ROUND(N66+N67+N68+N69+N70+N71+N72+N73+N74+N75+N76+N77+N78+N79+N80+N81+N82+N83+N84+N85+N86+N87+N88+N89+N90+N91+N92+N93+N94+N95+N96+N97+N98+N99+N100+N101+N102+N103+N104+N105+N106+N107+N108+N109+N110+N111+N112+N113+N114+N115+N116+N117-N120,1)</f>
        <v>0</v>
      </c>
      <c r="O125" s="258">
        <f>ROUND(O66+O67+O68+O69+O70+O71+O72+O73+O74+O75+O76+O77+O78+O79+O80+O81+O82+O83+O84+O85+O86+O87+O88+O89+O90+O91+O92+O93+O94+O95+O96+O97+O98+O99+O100+O101+O102+O103+O104+O105+O106+O107+O108+O109+O110+O111+O112+O113+O114+O115+O116+O117-O120,1)</f>
        <v>0</v>
      </c>
      <c r="P125" s="258">
        <f>ROUND(P66+P67+P68+P69+P70+P71+P72+P73+P74+P75+P76+P77+P78+P79+P80+P81+P82+P83+P84+P85+P86+P87+P88+P89+P90+P91+P92+P93+P94+P95+P96+P97+P98+P99+P100+P101+P102+P103+P104+P105+P106+P107+P108+P109+P110+P111+P112+P113+P114+P115+P116+P117-P120,1)</f>
        <v>0</v>
      </c>
      <c r="Q125" s="258">
        <f>ROUND(Q66+Q67+Q68+Q69+Q70+Q71+Q72+Q73+Q74+Q75+Q76+Q77+Q78+Q79+Q80+Q81+Q82+Q83+Q84+Q85+Q86+Q87+Q88+Q89+Q90+Q91+Q92+Q93+Q94+Q95+Q96+Q97+Q98+Q99+Q100+Q101+Q102+Q103+Q104+Q105+Q106+Q107+Q108+Q109+Q110+Q111+Q112+Q113+Q114+Q115+Q116+Q117-Q120,1)</f>
        <v>0</v>
      </c>
      <c r="R125" s="258">
        <f>ROUND(R66+R67+R68+R69+R70+R71+R72+R73+R74+R75+R76+R77+R78+R79+R80+R81+R82+R83+R84+R85+R86+R87+R88+R89+R90+R91+R92+R93+R94+R95+R96+R97+R98+R99+R100+R101+R102+R103+R104+R105+R106+R107+R108+R109+R110+R111+R112+R113+R114+R115+R116+R117-R120,1)</f>
        <v>0</v>
      </c>
      <c r="S125" s="258">
        <f>ROUND(S66+S67+S68+S69+S70+S71+S72+S73+S74+S75+S76+S77+S78+S79+S80+S81+S82+S83+S84+S85+S86+S87+S88+S89+S90+S91+S92+S93+S94+S95+S96+S97+S98+S99+S100+S101+S102+S103+S104+S105+S106+S107+S108+S109+S110+S111+S112+S113+S114+S115+S116+S117-S120,1)</f>
        <v>0</v>
      </c>
      <c r="T125" s="258">
        <f>ROUND(T66+T67+T68+T69+T70+T71+T72+T73+T74+T75+T76+T77+T78+T79+T80+T81+T82+T83+T84+T85+T86+T87+T88+T89+T90+T91+T92+T93+T94+T95+T96+T97+T98+T99+T100+T101+T102+T103+T104+T105+T106+T107+T108+T109+T110+T111+T112+T113+T114+T115+T116+T117-T120,1)</f>
        <v>0</v>
      </c>
      <c r="U125" s="258">
        <f>ROUND(U66+U67+U68+U69+U70+U71+U72+U73+U74+U75+U76+U77+U78+U79+U80+U81+U82+U83+U84+U85+U86+U87+U88+U89+U90+U91+U92+U93+U94+U95+U96+U97+U98+U99+U100+U101+U102+U103+U104+U105+U106+U107+U108+U109+U110+U111+U112+U113+U114+U115+U116+U117-U120,1)</f>
        <v>0</v>
      </c>
      <c r="V125" s="258">
        <f>ROUND(V66+V67+V68+V69+V70+V71+V72+V73+V74+V75+V76+V77+V78+V79+V80+V81+V82+V83+V84+V85+V86+V87+V88+V89+V90+V91+V92+V93+V94+V95+V96+V97+V98+V99+V100+V101+V102+V103+V104+V105+V106+V107+V108+V109+V110+V111+V112+V113+V114+V115+V116+V117-V120,1)</f>
        <v>0</v>
      </c>
      <c r="W125" s="258">
        <f>ROUND(W66+W67+W68+W69+W70+W71+W72+W73+W74+W75+W76+W77+W78+W79+W80+W81+W82+W83+W84+W85+W86+W87+W88+W89+W90+W91+W92+W93+W94+W95+W96+W97+W98+W99+W100+W101+W102+W103+W104+W105+W106+W107+W108+W109+W110+W111+W112+W113+W114+W115+W116+W117-W120,1)</f>
        <v>0</v>
      </c>
      <c r="X125" s="258">
        <f>ROUND(X66+X67+X68+X69+X70+X71+X72+X73+X74+X75+X76+X77+X78+X79+X80+X81+X82+X83+X84+X85+X86+X87+X88+X89+X90+X91+X92+X93+X94+X95+X96+X97+X98+X99+X100+X101+X102+X103+X104+X105+X106+X107+X108+X109+X110+X111+X112+X113+X114+X115+X116+X117-X120,1)</f>
        <v>0</v>
      </c>
      <c r="Y125" s="258">
        <f>ROUND(Y66+Y67+Y68+Y69+Y70+Y71+Y72+Y73+Y74+Y75+Y76+Y77+Y78+Y79+Y80+Y81+Y82+Y83+Y84+Y85+Y86+Y87+Y88+Y89+Y90+Y91+Y92+Y93+Y94+Y95+Y96+Y97+Y98+Y99+Y100+Y101+Y102+Y103+Y104+Y105+Y106+Y107+Y108+Y109+Y110+Y111+Y112+Y113+Y114+Y115+Y116+Y117-Y120,1)</f>
        <v>0</v>
      </c>
      <c r="Z125" s="258">
        <f>ROUND(Z66+Z67+Z68+Z69+Z70+Z71+Z72+Z73+Z74+Z75+Z76+Z77+Z78+Z79+Z80+Z81+Z82+Z83+Z84+Z85+Z86+Z87+Z88+Z89+Z90+Z91+Z92+Z93+Z94+Z95+Z96+Z97+Z98+Z99+Z100+Z101+Z102+Z103+Z104+Z105+Z106+Z107+Z108+Z109+Z110+Z111+Z112+Z113+Z114+Z115+Z116+Z117-Z120,1)</f>
        <v>0</v>
      </c>
      <c r="AA125" s="258">
        <f>ROUND(AA66+AA67+AA68+AA69+AA70+AA71+AA72+AA73+AA74+AA75+AA76+AA77+AA78+AA79+AA80+AA81+AA82+AA83+AA84+AA85+AA86+AA87+AA88+AA89+AA90+AA91+AA92+AA93+AA94+AA95+AA96+AA97+AA98+AA99+AA100+AA101+AA102+AA103+AA104+AA105+AA106+AA107+AA108+AA109+AA110+AA111+AA112+AA113+AA114+AA115+AA116+AA117-AA120,1)</f>
        <v>0</v>
      </c>
      <c r="AB125" s="258">
        <f>ROUND(AB66+AB67+AB68+AB69+AB70+AB71+AB72+AB73+AB74+AB75+AB76+AB77+AB78+AB79+AB80+AB81+AB82+AB83+AB84+AB85+AB86+AB87+AB88+AB89+AB90+AB91+AB92+AB93+AB94+AB95+AB96+AB97+AB98+AB99+AB100+AB101+AB102+AB103+AB104+AB105+AB106+AB107+AB108+AB109+AB110+AB111+AB112+AB113+AB114+AB115+AB116+AB117-AB120,1)</f>
        <v>0</v>
      </c>
      <c r="AC125" s="258">
        <f>ROUND(AC66+AC67+AC68+AC69+AC70+AC71+AC72+AC73+AC74+AC75+AC76+AC77+AC78+AC79+AC80+AC81+AC82+AC83+AC84+AC85+AC86+AC87+AC88+AC89+AC90+AC91+AC92+AC93+AC94+AC95+AC96+AC97+AC98+AC99+AC100+AC101+AC102+AC103+AC104+AC105+AC106+AC107+AC108+AC109+AC110+AC111+AC112+AC113+AC114+AC115+AC116+AC117-AC120,1)</f>
        <v>0</v>
      </c>
      <c r="AD125" s="258">
        <f>ROUND(AD66+AD67+AD68+AD69+AD70+AD71+AD72+AD73+AD74+AD75+AD76+AD77+AD78+AD79+AD80+AD81+AD82+AD83+AD84+AD85+AD86+AD87+AD88+AD89+AD90+AD91+AD92+AD93+AD94+AD95+AD96+AD97+AD98+AD99+AD100+AD101+AD102+AD103+AD104+AD105+AD106+AD107+AD108+AD109+AD110+AD111+AD112+AD113+AD114+AD115+AD116+AD117-AD120,1)</f>
        <v>0</v>
      </c>
      <c r="AE125" s="258">
        <f>ROUND(AE66+AE67+AE68+AE69+AE70+AE71+AE72+AE73+AE74+AE75+AE76+AE77+AE78+AE79+AE80+AE81+AE82+AE83+AE84+AE85+AE86+AE87+AE88+AE89+AE90+AE91+AE92+AE93+AE94+AE95+AE96+AE97+AE98+AE99+AE100+AE101+AE102+AE103+AE104+AE105+AE106+AE107+AE108+AE109+AE110+AE111+AE112+AE113+AE114+AE115+AE116+AE117-AE120,1)</f>
        <v>0</v>
      </c>
      <c r="AF125" s="258">
        <f>ROUND(AF66+AF67+AF68+AF69+AF70+AF71+AF72+AF73+AF74+AF75+AF76+AF77+AF78+AF79+AF80+AF81+AF82+AF83+AF84+AF85+AF86+AF87+AF88+AF89+AF90+AF91+AF92+AF93+AF94+AF95+AF96+AF97+AF98+AF99+AF100+AF101+AF102+AF103+AF104+AF105+AF106+AF107+AF108+AF109+AF110+AF111+AF112+AF113+AF114+AF115+AF116+AF117-AF120,1)</f>
        <v>0</v>
      </c>
      <c r="AG125" s="258">
        <f>ROUND(AG66+AG67+AG68+AG69+AG70+AG71+AG72+AG73+AG74+AG75+AG76+AG77+AG78+AG79+AG80+AG81+AG82+AG83+AG84+AG85+AG86+AG87+AG88+AG89+AG90+AG91+AG92+AG93+AG94+AG95+AG96+AG97+AG98+AG99+AG100+AG101+AG102+AG103+AG104+AG105+AG106+AG107+AG108+AG109+AG110+AG111+AG112+AG113+AG114+AG115+AG116+AG117-AG120,1)</f>
        <v>0</v>
      </c>
      <c r="AH125" s="258">
        <f>ROUND(AH66+AH67+AH68+AH69+AH70+AH71+AH72+AH73+AH74+AH75+AH76+AH77+AH78+AH79+AH80+AH81+AH82+AH83+AH84+AH85+AH86+AH87+AH88+AH89+AH90+AH91+AH92+AH93+AH94+AH95+AH96+AH97+AH98+AH99+AH100+AH101+AH102+AH103+AH104+AH105+AH106+AH107+AH108+AH109+AH110+AH111+AH112+AH113+AH114+AH115+AH116+AH117-AH120,1)</f>
        <v>0</v>
      </c>
      <c r="AI125" s="258">
        <f>ROUND(AI66+AI67+AI68+AI69+AI70+AI71+AI72+AI73+AI74+AI75+AI76+AI77+AI78+AI79+AI80+AI81+AI82+AI83+AI84+AI85+AI86+AI87+AI88+AI89+AI90+AI91+AI92+AI93+AI94+AI95+AI96+AI97+AI98+AI99+AI100+AI101+AI102+AI103+AI104+AI105+AI106+AI107+AI108+AI109+AI110+AI111+AI112+AI113+AI114+AI115+AI116+AI117-AI120,1)</f>
        <v>0</v>
      </c>
      <c r="AJ125" s="258">
        <f>ROUND(AJ66+AJ67+AJ68+AJ69+AJ70+AJ71+AJ72+AJ73+AJ74+AJ75+AJ76+AJ77+AJ78+AJ79+AJ80+AJ81+AJ82+AJ83+AJ84+AJ85+AJ86+AJ87+AJ88+AJ89+AJ90+AJ91+AJ92+AJ93+AJ94+AJ95+AJ96+AJ97+AJ98+AJ99+AJ100+AJ101+AJ102+AJ103+AJ104+AJ105+AJ106+AJ107+AJ108+AJ109+AJ110+AJ111+AJ112+AJ113+AJ114+AJ115+AJ116+AJ117-AJ120,1)</f>
        <v>0</v>
      </c>
    </row>
    <row r="126">
      <c r="H126" t="inlineStr">
        <is>
          <t>[vazio] cod 8 Equity in affiliates: dentro de "Outras receitas (despesas) operacionais" na planilha</t>
        </is>
      </c>
    </row>
    <row r="127">
      <c r="H127" t="inlineStr">
        <is>
          <t>[vazio] cod 20 Goodwill: dentro do intangivel</t>
        </is>
      </c>
    </row>
    <row r="128">
      <c r="H128" t="inlineStr">
        <is>
          <t>[vazio] cod 28 Revolver: sem linha propria</t>
        </is>
      </c>
    </row>
    <row r="129">
      <c r="H129" t="inlineStr">
        <is>
          <t>[vazio] cod 32 Convertible debt: inexistente</t>
        </is>
      </c>
    </row>
    <row r="130">
      <c r="H130" t="inlineStr">
        <is>
          <t>[vazio] cod 36 Convertible Preferred Stock: inexistente</t>
        </is>
      </c>
    </row>
    <row r="132">
      <c r="H132" s="254" t="inlineStr">
        <is>
          <t>DRIVERS DE RECEITA (codigos 45+): receita por natureza e por controlada (R$ milhoes, UNID moeda, fator 1) e KPIs operacionais (UNID un) da Planilha de Fundamentos.</t>
        </is>
      </c>
    </row>
    <row r="133">
      <c r="A133" t="n">
        <v>45</v>
      </c>
      <c r="B133" t="n">
        <v>1</v>
      </c>
      <c r="G133" t="inlineStr">
        <is>
          <t>moeda</t>
        </is>
      </c>
      <c r="H133" t="inlineStr">
        <is>
          <t>Receita liquida de vendas e prestacao de servicos (Consolidado l.11)</t>
        </is>
      </c>
      <c r="J133" t="inlineStr">
        <is>
          <t>fonte</t>
        </is>
      </c>
      <c r="K133" s="260" t="n">
        <v>1710.27725795755</v>
      </c>
      <c r="L133" s="260" t="n">
        <v>1331.11364498</v>
      </c>
      <c r="M133" s="260" t="n">
        <v>1812.48283831</v>
      </c>
      <c r="N133" s="260" t="n">
        <v>2092.28125875245</v>
      </c>
      <c r="O133" s="260" t="n">
        <v>2228.98927988625</v>
      </c>
      <c r="P133" s="260" t="n">
        <v>2434.43972011375</v>
      </c>
      <c r="Q133" s="260" t="n">
        <v>3035.233</v>
      </c>
      <c r="R133" s="260" t="n">
        <v>3306.955999999999</v>
      </c>
      <c r="S133" s="260" t="n">
        <v>3513.118012739875</v>
      </c>
      <c r="T133" s="260" t="n">
        <v>4128.041355829875</v>
      </c>
      <c r="U133" s="260" t="n">
        <v>5325.289471411625</v>
      </c>
      <c r="V133" s="260" t="n">
        <v>5865.37157786097</v>
      </c>
      <c r="W133" s="260" t="n">
        <v>5777.433838496219</v>
      </c>
      <c r="X133" s="260" t="n">
        <v>6044.163703193782</v>
      </c>
      <c r="Y133" s="260" t="n">
        <v>6692.131458309997</v>
      </c>
      <c r="Z133" s="260" t="n">
        <v>7086.905113109999</v>
      </c>
      <c r="AA133" s="260" t="n">
        <v>7163.34565164</v>
      </c>
      <c r="AB133" s="260" t="n">
        <v>7938.094440390001</v>
      </c>
      <c r="AC133" s="260" t="n">
        <v>8358.224466999998</v>
      </c>
      <c r="AD133" s="260" t="n">
        <v>8796.819270120004</v>
      </c>
      <c r="AE133" s="260" t="n">
        <v>8189.74753867</v>
      </c>
      <c r="AF133" s="260" t="n">
        <v>8295.850266330002</v>
      </c>
      <c r="AG133" s="260" t="n">
        <v>8958.100303409999</v>
      </c>
      <c r="AH133" s="260" t="n">
        <v>9041.600200850004</v>
      </c>
      <c r="AI133" s="260" t="n">
        <v>8877.84995364</v>
      </c>
      <c r="AJ133" s="260" t="n">
        <v>9488.048600350005</v>
      </c>
    </row>
    <row r="134">
      <c r="A134" t="n">
        <v>46</v>
      </c>
      <c r="B134" t="n">
        <v>1</v>
      </c>
      <c r="G134" t="inlineStr">
        <is>
          <t>moeda</t>
        </is>
      </c>
      <c r="H134" t="inlineStr">
        <is>
          <t>Receita liquida de construcao (Consolidado l.12; concessoes - ICPC 01)</t>
        </is>
      </c>
      <c r="J134" t="inlineStr">
        <is>
          <t>fonte</t>
        </is>
      </c>
      <c r="K134" s="260" t="n">
        <v>0</v>
      </c>
      <c r="L134" s="260" t="n">
        <v>0</v>
      </c>
      <c r="M134" s="260" t="n">
        <v>0</v>
      </c>
      <c r="N134" s="260" t="n">
        <v>0</v>
      </c>
      <c r="O134" s="260" t="n">
        <v>0</v>
      </c>
      <c r="P134" s="260" t="n">
        <v>0</v>
      </c>
      <c r="Q134" s="260" t="n">
        <v>0</v>
      </c>
      <c r="R134" s="260" t="n">
        <v>0</v>
      </c>
      <c r="S134" s="260" t="n">
        <v>0</v>
      </c>
      <c r="T134" s="260" t="n">
        <v>0</v>
      </c>
      <c r="U134" s="260" t="n">
        <v>0</v>
      </c>
      <c r="V134" s="260" t="n">
        <v>0</v>
      </c>
      <c r="W134" s="260" t="n">
        <v>14.31297656</v>
      </c>
      <c r="X134" s="260" t="n">
        <v>10.78748175</v>
      </c>
      <c r="Y134" s="260" t="n">
        <v>57.52154169</v>
      </c>
      <c r="Z134" s="260" t="n">
        <v>92.88488688999999</v>
      </c>
      <c r="AA134" s="260" t="n">
        <v>118.30826324</v>
      </c>
      <c r="AB134" s="260" t="n">
        <v>223.03071139</v>
      </c>
      <c r="AC134" s="260" t="n">
        <v>167.64889649</v>
      </c>
      <c r="AD134" s="260" t="n">
        <v>209.1666977699999</v>
      </c>
      <c r="AE134" s="260" t="n">
        <v>20.00911337</v>
      </c>
      <c r="AF134" s="260" t="n">
        <v>15.23778054</v>
      </c>
      <c r="AG134" s="260" t="n">
        <v>39.48876117</v>
      </c>
      <c r="AH134" s="260" t="n">
        <v>61.19585187000001</v>
      </c>
      <c r="AI134" s="260" t="n">
        <v>49.96972590999999</v>
      </c>
      <c r="AJ134" s="260" t="n">
        <v>89.11833869</v>
      </c>
    </row>
    <row r="135">
      <c r="A135" t="n">
        <v>47</v>
      </c>
      <c r="B135" t="n">
        <v>1</v>
      </c>
      <c r="G135" t="inlineStr">
        <is>
          <t>moeda</t>
        </is>
      </c>
      <c r="H135" t="inlineStr">
        <is>
          <t>Receita liquida de renovacao de frota / venda de ativos (Consolidado l.13)</t>
        </is>
      </c>
      <c r="J135" t="inlineStr">
        <is>
          <t>fonte</t>
        </is>
      </c>
      <c r="K135" s="260" t="n">
        <v>646.61535452</v>
      </c>
      <c r="L135" s="260" t="n">
        <v>866.11079473</v>
      </c>
      <c r="M135" s="260" t="n">
        <v>790.5619016200001</v>
      </c>
      <c r="N135" s="260" t="n">
        <v>557.6139491300003</v>
      </c>
      <c r="O135" s="260" t="n">
        <v>391.11637603</v>
      </c>
      <c r="P135" s="260" t="n">
        <v>714.62662397</v>
      </c>
      <c r="Q135" s="260" t="n">
        <v>923.0470000000001</v>
      </c>
      <c r="R135" s="260" t="n">
        <v>831.811</v>
      </c>
      <c r="S135" s="260" t="n">
        <v>1017.079</v>
      </c>
      <c r="T135" s="260" t="n">
        <v>1259.106</v>
      </c>
      <c r="U135" s="260" t="n">
        <v>1498.061</v>
      </c>
      <c r="V135" s="260" t="n">
        <v>1475.814700449999</v>
      </c>
      <c r="W135" s="260" t="n">
        <v>1648.29700617</v>
      </c>
      <c r="X135" s="260" t="n">
        <v>1508.68499383</v>
      </c>
      <c r="Y135" s="260" t="n">
        <v>1568.456</v>
      </c>
      <c r="Z135" s="260" t="n">
        <v>1342.033999999999</v>
      </c>
      <c r="AA135" s="260" t="n">
        <v>1784.94251437</v>
      </c>
      <c r="AB135" s="260" t="n">
        <v>2066.065037</v>
      </c>
      <c r="AC135" s="260" t="n">
        <v>2264.61723902</v>
      </c>
      <c r="AD135" s="260" t="n">
        <v>1647.8227367</v>
      </c>
      <c r="AE135" s="260" t="n">
        <v>2034.87795962</v>
      </c>
      <c r="AF135" s="260" t="n">
        <v>2029.69801446</v>
      </c>
      <c r="AG135" s="260" t="n">
        <v>2103.34436349</v>
      </c>
      <c r="AH135" s="260" t="n">
        <v>2016.69592475</v>
      </c>
      <c r="AI135" s="260" t="n">
        <v>1996.47860215</v>
      </c>
      <c r="AJ135" s="260" t="n">
        <v>1671.4949194</v>
      </c>
    </row>
    <row r="136">
      <c r="A136" t="n">
        <v>48</v>
      </c>
      <c r="B136" t="n">
        <v>1</v>
      </c>
      <c r="G136" t="inlineStr">
        <is>
          <t>moeda</t>
        </is>
      </c>
      <c r="H136" t="inlineStr">
        <is>
          <t>Receita liquida - JSL (aba JSL l.23)</t>
        </is>
      </c>
      <c r="J136" t="inlineStr">
        <is>
          <t>fonte</t>
        </is>
      </c>
      <c r="K136" s="260" t="n">
        <v>693.7779223500002</v>
      </c>
      <c r="L136" s="260" t="n">
        <v>581.6444038300001</v>
      </c>
      <c r="M136" s="260" t="n">
        <v>733.2315581400001</v>
      </c>
      <c r="N136" s="260" t="n">
        <v>818.1511109888647</v>
      </c>
      <c r="O136" s="260" t="n">
        <v>868.1712798700004</v>
      </c>
      <c r="P136" s="260" t="n">
        <v>922.3667633436469</v>
      </c>
      <c r="Q136" s="260" t="n">
        <v>1177.7676295154</v>
      </c>
      <c r="R136" s="260" t="n">
        <v>1327.763050507906</v>
      </c>
      <c r="S136" s="260" t="n">
        <v>1296.4594049669</v>
      </c>
      <c r="T136" s="260" t="n">
        <v>1438.6826346731</v>
      </c>
      <c r="U136" s="260" t="n">
        <v>1624.818078720199</v>
      </c>
      <c r="V136" s="260" t="n">
        <v>1662.4451971423</v>
      </c>
      <c r="W136" s="260" t="n">
        <v>1563.577828957046</v>
      </c>
      <c r="X136" s="260" t="n">
        <v>1839.575226492439</v>
      </c>
      <c r="Y136" s="260" t="n">
        <v>2010.125053543325</v>
      </c>
      <c r="Z136" s="260" t="n">
        <v>2161.36609257363</v>
      </c>
      <c r="AA136" s="260" t="n">
        <v>2070.3405070966</v>
      </c>
      <c r="AB136" s="260" t="n">
        <v>2142.59474085545</v>
      </c>
      <c r="AC136" s="260" t="n">
        <v>2352.356008492</v>
      </c>
      <c r="AD136" s="260" t="n">
        <v>2490.966844765951</v>
      </c>
      <c r="AE136" s="260" t="n">
        <v>2319.93439908</v>
      </c>
      <c r="AF136" s="260" t="n">
        <v>2381.75857342</v>
      </c>
      <c r="AG136" s="260" t="n">
        <v>2484.89322322</v>
      </c>
      <c r="AH136" s="260" t="n">
        <v>2454.022042089997</v>
      </c>
      <c r="AI136" s="260" t="n">
        <v>2372.71151418</v>
      </c>
      <c r="AJ136" s="260" t="n">
        <v>2498.854035819999</v>
      </c>
    </row>
    <row r="137">
      <c r="A137" t="n">
        <v>49</v>
      </c>
      <c r="B137" t="n">
        <v>1</v>
      </c>
      <c r="G137" t="inlineStr">
        <is>
          <t>moeda</t>
        </is>
      </c>
      <c r="H137" t="inlineStr">
        <is>
          <t>Receita liquida de servicos - JSL (aba JSL l.24)</t>
        </is>
      </c>
      <c r="J137" t="inlineStr">
        <is>
          <t>fonte</t>
        </is>
      </c>
      <c r="K137" s="260" t="n">
        <v>656.2989842700001</v>
      </c>
      <c r="L137" s="260" t="n">
        <v>550.2116777500001</v>
      </c>
      <c r="M137" s="260" t="n">
        <v>660.6781075900001</v>
      </c>
      <c r="N137" s="260" t="n">
        <v>789.1490075288648</v>
      </c>
      <c r="O137" s="260" t="n">
        <v>853.2425260400003</v>
      </c>
      <c r="P137" s="260" t="n">
        <v>902.4629561536468</v>
      </c>
      <c r="Q137" s="260" t="n">
        <v>1150.1476872954</v>
      </c>
      <c r="R137" s="260" t="n">
        <v>1306.865315977906</v>
      </c>
      <c r="S137" s="260" t="n">
        <v>1267.6135942369</v>
      </c>
      <c r="T137" s="260" t="n">
        <v>1372.7186563131</v>
      </c>
      <c r="U137" s="260" t="n">
        <v>1570.792279380199</v>
      </c>
      <c r="V137" s="260" t="n">
        <v>1607.6705244823</v>
      </c>
      <c r="W137" s="260" t="n">
        <v>1505.456944937046</v>
      </c>
      <c r="X137" s="260" t="n">
        <v>1779.168148592439</v>
      </c>
      <c r="Y137" s="260" t="n">
        <v>1942.875783983325</v>
      </c>
      <c r="Z137" s="260" t="n">
        <v>2071.47326642363</v>
      </c>
      <c r="AA137" s="260" t="n">
        <v>1993.4498256766</v>
      </c>
      <c r="AB137" s="260" t="n">
        <v>2073.17241747545</v>
      </c>
      <c r="AC137" s="260" t="n">
        <v>2284.423721182</v>
      </c>
      <c r="AD137" s="260" t="n">
        <v>2411.338751075951</v>
      </c>
      <c r="AE137" s="260" t="n">
        <v>2229.45542087</v>
      </c>
      <c r="AF137" s="260" t="n">
        <v>2274.311852479999</v>
      </c>
      <c r="AG137" s="260" t="n">
        <v>2369.64704483</v>
      </c>
      <c r="AH137" s="260" t="n">
        <v>2354.727425749998</v>
      </c>
      <c r="AI137" s="260" t="n">
        <v>2272.76446455</v>
      </c>
      <c r="AJ137" s="260" t="n">
        <v>2409.503953479999</v>
      </c>
    </row>
    <row r="138">
      <c r="A138" t="n">
        <v>50</v>
      </c>
      <c r="B138" t="n">
        <v>1</v>
      </c>
      <c r="G138" t="inlineStr">
        <is>
          <t>moeda</t>
        </is>
      </c>
      <c r="H138" t="inlineStr">
        <is>
          <t>Receita liquida - Movida (aba Movida l.15)</t>
        </is>
      </c>
      <c r="J138" t="inlineStr">
        <is>
          <t>fonte</t>
        </is>
      </c>
      <c r="K138" s="260" t="n">
        <v>1011.166</v>
      </c>
      <c r="L138" s="260" t="n">
        <v>1047.824</v>
      </c>
      <c r="M138" s="260" t="n">
        <v>1035.56833343365</v>
      </c>
      <c r="N138" s="260" t="n">
        <v>990.7007550099997</v>
      </c>
      <c r="O138" s="260" t="n">
        <v>804.889</v>
      </c>
      <c r="P138" s="260" t="n">
        <v>1211.49877851</v>
      </c>
      <c r="Q138" s="260" t="n">
        <v>1575.241</v>
      </c>
      <c r="R138" s="260" t="n">
        <v>1740.993754074196</v>
      </c>
      <c r="S138" s="260" t="n">
        <v>1905.657076952311</v>
      </c>
      <c r="T138" s="260" t="n">
        <v>2230.992167660201</v>
      </c>
      <c r="U138" s="260" t="n">
        <v>2536.86406647895</v>
      </c>
      <c r="V138" s="260" t="n">
        <v>2626.632792703826</v>
      </c>
      <c r="W138" s="260" t="n">
        <v>2703.20625153</v>
      </c>
      <c r="X138" s="260" t="n">
        <v>2479.14429072</v>
      </c>
      <c r="Y138" s="260" t="n">
        <v>2666.21994829</v>
      </c>
      <c r="Z138" s="260" t="n">
        <v>2493.44420164</v>
      </c>
      <c r="AA138" s="260" t="n">
        <v>3021.64586942</v>
      </c>
      <c r="AB138" s="260" t="n">
        <v>3435.60355662</v>
      </c>
      <c r="AC138" s="260" t="n">
        <v>3775.86368257</v>
      </c>
      <c r="AD138" s="260" t="n">
        <v>3248.157019740001</v>
      </c>
      <c r="AE138" s="260" t="n">
        <v>3568.23052826</v>
      </c>
      <c r="AF138" s="260" t="n">
        <v>3679.005573450001</v>
      </c>
      <c r="AG138" s="260" t="n">
        <v>3765.84276528</v>
      </c>
      <c r="AH138" s="260" t="n">
        <v>3658.975153149999</v>
      </c>
      <c r="AI138" s="260" t="n">
        <v>3780.64496646</v>
      </c>
      <c r="AJ138" s="260" t="n">
        <v>3765.83020683</v>
      </c>
    </row>
    <row r="139">
      <c r="A139" t="n">
        <v>51</v>
      </c>
      <c r="B139" t="n">
        <v>1</v>
      </c>
      <c r="G139" t="inlineStr">
        <is>
          <t>moeda</t>
        </is>
      </c>
      <c r="H139" t="inlineStr">
        <is>
          <t>Receita liquida de servicos - Movida (aba Movida l.16)</t>
        </is>
      </c>
      <c r="J139" t="inlineStr">
        <is>
          <t>fonte</t>
        </is>
      </c>
      <c r="K139" s="260" t="n">
        <v>451.9669416700001</v>
      </c>
      <c r="L139" s="260" t="n">
        <v>298.7477549</v>
      </c>
      <c r="M139" s="260" t="n">
        <v>394.7036368636498</v>
      </c>
      <c r="N139" s="260" t="n">
        <v>499.9881310999997</v>
      </c>
      <c r="O139" s="260" t="n">
        <v>530.3486617900001</v>
      </c>
      <c r="P139" s="260" t="n">
        <v>538.0187369400003</v>
      </c>
      <c r="Q139" s="260" t="n">
        <v>730.6205319577416</v>
      </c>
      <c r="R139" s="260" t="n">
        <v>931.8785585541982</v>
      </c>
      <c r="S139" s="260" t="n">
        <v>931.8950520623108</v>
      </c>
      <c r="T139" s="260" t="n">
        <v>1002.357667630201</v>
      </c>
      <c r="U139" s="260" t="n">
        <v>1126.43647911895</v>
      </c>
      <c r="V139" s="260" t="n">
        <v>1222.225612663827</v>
      </c>
      <c r="W139" s="260" t="n">
        <v>1239.74170094</v>
      </c>
      <c r="X139" s="260" t="n">
        <v>1233.78083778</v>
      </c>
      <c r="Y139" s="260" t="n">
        <v>1297.31771027</v>
      </c>
      <c r="Z139" s="260" t="n">
        <v>1339.62050644</v>
      </c>
      <c r="AA139" s="260" t="n">
        <v>1495.19829253</v>
      </c>
      <c r="AB139" s="260" t="n">
        <v>1608.06050374</v>
      </c>
      <c r="AC139" s="260" t="n">
        <v>1744.724312499999</v>
      </c>
      <c r="AD139" s="260" t="n">
        <v>1791.056916270002</v>
      </c>
      <c r="AE139" s="260" t="n">
        <v>1878.9041189</v>
      </c>
      <c r="AF139" s="260" t="n">
        <v>1892.63200983</v>
      </c>
      <c r="AG139" s="260" t="n">
        <v>2010.81157436</v>
      </c>
      <c r="AH139" s="260" t="n">
        <v>2096.394089259999</v>
      </c>
      <c r="AI139" s="260" t="n">
        <v>2205.61650379</v>
      </c>
      <c r="AJ139" s="260" t="n">
        <v>2295.3346397</v>
      </c>
    </row>
    <row r="140">
      <c r="A140" t="n">
        <v>52</v>
      </c>
      <c r="B140" t="n">
        <v>1</v>
      </c>
      <c r="G140" t="inlineStr">
        <is>
          <t>moeda</t>
        </is>
      </c>
      <c r="H140" t="inlineStr">
        <is>
          <t>Receita liquida - Vamos locacao + industria. 1T23+: aba VAMOS - Income Statement l.21 (SIMPAR); 1T20-4T22: Planilha de Fundamentos ANTIGA da Vamos (com concessionarias, ate 3T24), aba VAMOS DRE_BP l.65 (locacoes) + l.130 (customizacao/industria)</t>
        </is>
      </c>
      <c r="J140" t="inlineStr">
        <is>
          <t>fonte</t>
        </is>
      </c>
      <c r="K140" s="260" t="n">
        <v>204.4439414237338</v>
      </c>
      <c r="L140" s="260" t="n">
        <v>197.5101814269442</v>
      </c>
      <c r="M140" s="260" t="n">
        <v>223.0114059772831</v>
      </c>
      <c r="N140" s="260" t="n">
        <v>253.4781526599352</v>
      </c>
      <c r="O140" s="260" t="n">
        <v>265.7458268079475</v>
      </c>
      <c r="P140" s="260" t="n">
        <v>273.9707298030829</v>
      </c>
      <c r="Q140" s="260" t="n">
        <v>303.688421311688</v>
      </c>
      <c r="R140" s="260" t="n">
        <v>328.2695934988539</v>
      </c>
      <c r="S140" s="260" t="n">
        <v>366.9890438080575</v>
      </c>
      <c r="T140" s="260" t="n">
        <v>461.8563601345791</v>
      </c>
      <c r="U140" s="260" t="n">
        <v>590.21933645805</v>
      </c>
      <c r="V140" s="260" t="n">
        <v>715.3343827493298</v>
      </c>
      <c r="W140" s="260" t="n">
        <v>945.3226498947199</v>
      </c>
      <c r="X140" s="260" t="n">
        <v>912.7249718652797</v>
      </c>
      <c r="Y140" s="260" t="n">
        <v>984.4592499600003</v>
      </c>
      <c r="Z140" s="260" t="n">
        <v>705.909904108364</v>
      </c>
      <c r="AA140" s="260" t="n">
        <v>1077.92902978</v>
      </c>
      <c r="AB140" s="260" t="n">
        <v>1207.09988748</v>
      </c>
      <c r="AC140" s="260" t="n">
        <v>1221.09474171</v>
      </c>
      <c r="AD140" s="260" t="n">
        <v>1193.18825907467</v>
      </c>
      <c r="AE140" s="260" t="n">
        <v>1332.0158350023</v>
      </c>
      <c r="AF140" s="260" t="n">
        <v>1411.665932279232</v>
      </c>
      <c r="AG140" s="260" t="n">
        <v>1529.007232168468</v>
      </c>
      <c r="AH140" s="260" t="n">
        <v>1483.023000000001</v>
      </c>
      <c r="AI140" s="260" t="n">
        <v>1620.28983956475</v>
      </c>
      <c r="AJ140" s="260" t="n">
        <v>1564.305164472199</v>
      </c>
    </row>
    <row r="141">
      <c r="A141" t="n">
        <v>53</v>
      </c>
      <c r="B141" t="n">
        <v>1</v>
      </c>
      <c r="G141" t="inlineStr">
        <is>
          <t>moeda</t>
        </is>
      </c>
      <c r="H141" t="inlineStr">
        <is>
          <t>Receita liquida de servicos de locacao - Vamos (1T23+: l.23 SIMPAR; 1T20-4T22: planilha antiga Vamos l.66)</t>
        </is>
      </c>
      <c r="J141" t="inlineStr">
        <is>
          <t>fonte</t>
        </is>
      </c>
      <c r="K141" s="260" t="n">
        <v>145.67905174</v>
      </c>
      <c r="L141" s="260" t="n">
        <v>160.08127719</v>
      </c>
      <c r="M141" s="260" t="n">
        <v>162.0361798</v>
      </c>
      <c r="N141" s="260" t="n">
        <v>182.84635302</v>
      </c>
      <c r="O141" s="260" t="n">
        <v>199.18427502</v>
      </c>
      <c r="P141" s="260" t="n">
        <v>225.10853423</v>
      </c>
      <c r="Q141" s="260" t="n">
        <v>250.8326978300006</v>
      </c>
      <c r="R141" s="260" t="n">
        <v>278.68327376</v>
      </c>
      <c r="S141" s="260" t="n">
        <v>306.1590249</v>
      </c>
      <c r="T141" s="260" t="n">
        <v>383.4640675799999</v>
      </c>
      <c r="U141" s="260" t="n">
        <v>435.8048387900002</v>
      </c>
      <c r="V141" s="260" t="n">
        <v>511.0470322300882</v>
      </c>
      <c r="W141" s="260" t="n">
        <v>595.69433335</v>
      </c>
      <c r="X141" s="260" t="n">
        <v>656.33666665</v>
      </c>
      <c r="Y141" s="260" t="n">
        <v>700.141</v>
      </c>
      <c r="Z141" s="260" t="n">
        <v>773.89295826</v>
      </c>
      <c r="AA141" s="260" t="n">
        <v>838.3779999999999</v>
      </c>
      <c r="AB141" s="260" t="n">
        <v>921.71</v>
      </c>
      <c r="AC141" s="260" t="n">
        <v>927.6380000000001</v>
      </c>
      <c r="AD141" s="260" t="n">
        <v>962.0557164399997</v>
      </c>
      <c r="AE141" s="260" t="n">
        <v>960.61334328</v>
      </c>
      <c r="AF141" s="260" t="n">
        <v>1002.13008166</v>
      </c>
      <c r="AG141" s="260" t="n">
        <v>1038.691478707201</v>
      </c>
      <c r="AH141" s="260" t="n">
        <v>1071.583096352799</v>
      </c>
      <c r="AI141" s="260" t="n">
        <v>1054.38149487</v>
      </c>
      <c r="AJ141" s="260" t="n">
        <v>1087.87680806</v>
      </c>
    </row>
    <row r="142">
      <c r="A142" t="n">
        <v>54</v>
      </c>
      <c r="B142" t="n">
        <v>1</v>
      </c>
      <c r="G142" t="inlineStr">
        <is>
          <t>moeda</t>
        </is>
      </c>
      <c r="H142" t="inlineStr">
        <is>
          <t>Receita liquida - Concessionarias da Vamos (1T20-4T22; planilha antiga Vamos l.97; a partir de 2023 dentro da Automob)</t>
        </is>
      </c>
      <c r="J142" t="inlineStr">
        <is>
          <t>fonte</t>
        </is>
      </c>
      <c r="K142" s="260" t="n">
        <v>104.18079203</v>
      </c>
      <c r="L142" s="260" t="n">
        <v>138.39690829</v>
      </c>
      <c r="M142" s="260" t="n">
        <v>252.03968559</v>
      </c>
      <c r="N142" s="260" t="n">
        <v>194.24778275</v>
      </c>
      <c r="O142" s="260" t="n">
        <v>278.36339997</v>
      </c>
      <c r="P142" s="260" t="n">
        <v>412.52110149</v>
      </c>
      <c r="Q142" s="260" t="n">
        <v>526.5801019900001</v>
      </c>
      <c r="R142" s="260" t="n">
        <v>478.9595391800001</v>
      </c>
      <c r="S142" s="260" t="n">
        <v>578.19047126</v>
      </c>
      <c r="T142" s="260" t="n">
        <v>736.84008429</v>
      </c>
      <c r="U142" s="260" t="n">
        <v>787.9210183500002</v>
      </c>
      <c r="V142" s="260" t="n">
        <v>676.10241582</v>
      </c>
      <c r="W142" s="260" t="n"/>
      <c r="X142" s="260" t="n"/>
      <c r="Y142" s="260" t="n"/>
      <c r="Z142" s="260" t="n"/>
      <c r="AA142" s="260" t="n"/>
      <c r="AB142" s="260" t="n"/>
      <c r="AC142" s="260" t="n"/>
      <c r="AD142" s="260" t="n"/>
      <c r="AE142" s="260" t="n"/>
      <c r="AF142" s="260" t="n"/>
      <c r="AG142" s="260" t="n"/>
      <c r="AH142" s="260" t="n"/>
      <c r="AI142" s="260" t="n"/>
      <c r="AJ142" s="260" t="n"/>
    </row>
    <row r="143">
      <c r="A143" t="n">
        <v>55</v>
      </c>
      <c r="B143" t="n">
        <v>1</v>
      </c>
      <c r="G143" t="inlineStr">
        <is>
          <t>moeda</t>
        </is>
      </c>
      <c r="H143" t="inlineStr">
        <is>
          <t>Receita liquida - Automob (aba Automob - Site l.29; desde 1T23)</t>
        </is>
      </c>
      <c r="J143" t="inlineStr">
        <is>
          <t>fonte</t>
        </is>
      </c>
      <c r="K143" s="260" t="n"/>
      <c r="L143" s="260" t="n"/>
      <c r="M143" s="260" t="n"/>
      <c r="N143" s="260" t="n"/>
      <c r="O143" s="260" t="n"/>
      <c r="P143" s="260" t="n"/>
      <c r="Q143" s="260" t="n"/>
      <c r="R143" s="260" t="n"/>
      <c r="S143" s="260" t="n"/>
      <c r="T143" s="260" t="n"/>
      <c r="U143" s="260" t="n"/>
      <c r="V143" s="260" t="n"/>
      <c r="W143" s="260" t="n">
        <v>2137.91</v>
      </c>
      <c r="X143" s="260" t="n">
        <v>2204.25</v>
      </c>
      <c r="Y143" s="260" t="n">
        <v>2483.79</v>
      </c>
      <c r="Z143" s="260" t="n">
        <v>2695.64</v>
      </c>
      <c r="AA143" s="260" t="n">
        <v>2681.521926</v>
      </c>
      <c r="AB143" s="260" t="n">
        <v>3050.08937</v>
      </c>
      <c r="AC143" s="260" t="n">
        <v>3110.245079</v>
      </c>
      <c r="AD143" s="260" t="n">
        <v>3144.697977</v>
      </c>
      <c r="AE143" s="260" t="n">
        <v>2907.88337487877</v>
      </c>
      <c r="AF143" s="260" t="n">
        <v>3087.33263911123</v>
      </c>
      <c r="AG143" s="260" t="n">
        <v>3465.492437770001</v>
      </c>
      <c r="AH143" s="260" t="n">
        <v>3354.69020929</v>
      </c>
      <c r="AI143" s="260" t="n">
        <v>3126.492638940001</v>
      </c>
      <c r="AJ143" s="260" t="n">
        <v>3455.11138736</v>
      </c>
    </row>
    <row r="144">
      <c r="A144" t="n">
        <v>56</v>
      </c>
      <c r="B144" t="n">
        <v>1</v>
      </c>
      <c r="G144" t="inlineStr">
        <is>
          <t>moeda</t>
        </is>
      </c>
      <c r="H144" t="inlineStr">
        <is>
          <t>Receita liquida - CS Brasil (aba CS Brasil l.22)</t>
        </is>
      </c>
      <c r="J144" t="inlineStr">
        <is>
          <t>fonte</t>
        </is>
      </c>
      <c r="K144" s="260" t="n">
        <v>211.80970632755</v>
      </c>
      <c r="L144" s="260" t="n">
        <v>183.71003257</v>
      </c>
      <c r="M144" s="260" t="n">
        <v>209.51459654</v>
      </c>
      <c r="N144" s="260" t="n">
        <v>240.77520813</v>
      </c>
      <c r="O144" s="260" t="n">
        <v>253.15964785</v>
      </c>
      <c r="P144" s="260" t="n">
        <v>280.22125865</v>
      </c>
      <c r="Q144" s="260" t="n">
        <v>175.2441424458065</v>
      </c>
      <c r="R144" s="260" t="n">
        <v>125.00164548</v>
      </c>
      <c r="S144" s="260" t="n">
        <v>120.5922828</v>
      </c>
      <c r="T144" s="260" t="n">
        <v>135.57765826</v>
      </c>
      <c r="U144" s="260" t="n">
        <v>185.37970771</v>
      </c>
      <c r="V144" s="260" t="n">
        <v>275.8489468</v>
      </c>
      <c r="W144" s="260" t="n">
        <v>175.43202768</v>
      </c>
      <c r="X144" s="260" t="n">
        <v>176.42614706</v>
      </c>
      <c r="Y144" s="260" t="n">
        <v>176.4822702600001</v>
      </c>
      <c r="Z144" s="260" t="n">
        <v>153.20968642</v>
      </c>
      <c r="AA144" s="260" t="n">
        <v>143.81806892</v>
      </c>
      <c r="AB144" s="260" t="n">
        <v>153.54271196</v>
      </c>
      <c r="AC144" s="260" t="n">
        <v>151.23504785</v>
      </c>
      <c r="AD144" s="260" t="n">
        <v>144.91785129</v>
      </c>
      <c r="AE144" s="260" t="n">
        <v>146.34648783</v>
      </c>
      <c r="AF144" s="260" t="n">
        <v>183.87345888</v>
      </c>
      <c r="AG144" s="260" t="n">
        <v>186.55060318</v>
      </c>
      <c r="AH144" s="260" t="n">
        <v>173.98258148</v>
      </c>
      <c r="AI144" s="260" t="n">
        <v>138.33867604</v>
      </c>
      <c r="AJ144" s="260" t="n">
        <v>230.74952679</v>
      </c>
    </row>
    <row r="145">
      <c r="A145" t="n">
        <v>57</v>
      </c>
      <c r="B145" t="n">
        <v>1</v>
      </c>
      <c r="G145" t="inlineStr">
        <is>
          <t>moeda</t>
        </is>
      </c>
      <c r="H145" t="inlineStr">
        <is>
          <t>Receita liquida - CS Infra (aba CS Infra l.10; desde 1T22; a partir de 2025 sem a Ciclus Rio, vendida)</t>
        </is>
      </c>
      <c r="J145" t="inlineStr">
        <is>
          <t>fonte</t>
        </is>
      </c>
      <c r="K145" s="260" t="n"/>
      <c r="L145" s="260" t="n"/>
      <c r="M145" s="260" t="n"/>
      <c r="N145" s="260" t="n"/>
      <c r="O145" s="260" t="n"/>
      <c r="P145" s="260" t="n"/>
      <c r="Q145" s="260" t="n"/>
      <c r="R145" s="260" t="n"/>
      <c r="S145" s="260" t="n">
        <v>98.58254148</v>
      </c>
      <c r="T145" s="260" t="n">
        <v>99.05192403000001</v>
      </c>
      <c r="U145" s="260" t="n">
        <v>101.15180881</v>
      </c>
      <c r="V145" s="260" t="n">
        <v>102.35919871</v>
      </c>
      <c r="W145" s="260" t="n">
        <v>146.70615843</v>
      </c>
      <c r="X145" s="260" t="n">
        <v>156.59406708</v>
      </c>
      <c r="Y145" s="260" t="n">
        <v>215.89663183</v>
      </c>
      <c r="Z145" s="260" t="n">
        <v>238.4184643499999</v>
      </c>
      <c r="AA145" s="260" t="n">
        <v>146.55115785</v>
      </c>
      <c r="AB145" s="260" t="n">
        <v>275.7770609</v>
      </c>
      <c r="AC145" s="260" t="n">
        <v>215.8166514200001</v>
      </c>
      <c r="AD145" s="260" t="n">
        <v>279.3833977599999</v>
      </c>
      <c r="AE145" s="260" t="n">
        <v>42.04555003</v>
      </c>
      <c r="AF145" s="260" t="n">
        <v>42.08997818</v>
      </c>
      <c r="AG145" s="260" t="n">
        <v>71.74317879</v>
      </c>
      <c r="AH145" s="260" t="n">
        <v>134.13562926</v>
      </c>
      <c r="AI145" s="260" t="n">
        <v>122.33628311</v>
      </c>
      <c r="AJ145" s="260" t="n">
        <v>175.8516919</v>
      </c>
    </row>
    <row r="146">
      <c r="A146" t="n">
        <v>58</v>
      </c>
      <c r="B146" t="n">
        <v>1</v>
      </c>
      <c r="G146" t="inlineStr">
        <is>
          <t>moeda</t>
        </is>
      </c>
      <c r="H146" t="inlineStr">
        <is>
          <t>Receita liquida - BBC (aba BBC l.10)</t>
        </is>
      </c>
      <c r="J146" t="inlineStr">
        <is>
          <t>fonte</t>
        </is>
      </c>
      <c r="K146" s="260" t="n">
        <v>11.54873635</v>
      </c>
      <c r="L146" s="260" t="n">
        <v>10.6023682</v>
      </c>
      <c r="M146" s="260" t="n">
        <v>11.70278832</v>
      </c>
      <c r="N146" s="260" t="n">
        <v>11.57211669</v>
      </c>
      <c r="O146" s="260" t="n">
        <v>10.28429948</v>
      </c>
      <c r="P146" s="260" t="n">
        <v>10.14109567</v>
      </c>
      <c r="Q146" s="260" t="n">
        <v>10.64428844999999</v>
      </c>
      <c r="R146" s="260" t="n">
        <v>12.19699554</v>
      </c>
      <c r="S146" s="260" t="n">
        <v>15.51883671</v>
      </c>
      <c r="T146" s="260" t="n">
        <v>17.60429878</v>
      </c>
      <c r="U146" s="260" t="n">
        <v>19.51764546000001</v>
      </c>
      <c r="V146" s="260" t="n">
        <v>24.91292715999999</v>
      </c>
      <c r="W146" s="260" t="n">
        <v>2.69021527</v>
      </c>
      <c r="X146" s="260" t="n">
        <v>3.76260749</v>
      </c>
      <c r="Y146" s="260" t="n">
        <v>3.73096101</v>
      </c>
      <c r="Z146" s="260" t="n">
        <v>3.85759612</v>
      </c>
      <c r="AA146" s="260" t="n">
        <v>1.9037001</v>
      </c>
      <c r="AB146" s="260" t="n">
        <v>2.02947268</v>
      </c>
      <c r="AC146" s="260" t="n">
        <v>2.42504255</v>
      </c>
      <c r="AD146" s="260" t="n">
        <v>2.90184133</v>
      </c>
      <c r="AE146" s="260" t="n">
        <v>1.81728511</v>
      </c>
      <c r="AF146" s="260" t="n">
        <v>1.99236753</v>
      </c>
      <c r="AG146" s="260" t="n">
        <v>1.851560060000001</v>
      </c>
      <c r="AH146" s="260" t="n">
        <v>1.53175477</v>
      </c>
      <c r="AI146" s="260" t="n">
        <v>1.47564871</v>
      </c>
      <c r="AJ146" s="260" t="n">
        <v>1.52514017</v>
      </c>
    </row>
    <row r="147">
      <c r="A147" t="n">
        <v>59</v>
      </c>
      <c r="B147" t="n">
        <v>1</v>
      </c>
      <c r="G147" t="inlineStr">
        <is>
          <t>un</t>
        </is>
      </c>
      <c r="H147" t="inlineStr">
        <is>
          <t>Movida RAC - frota final (carros; Movida - Operational data l.8)</t>
        </is>
      </c>
      <c r="J147" t="inlineStr">
        <is>
          <t>fonte</t>
        </is>
      </c>
      <c r="K147" s="261" t="n">
        <v>78220</v>
      </c>
      <c r="L147" s="261" t="n">
        <v>66025</v>
      </c>
      <c r="M147" s="261" t="n">
        <v>67978</v>
      </c>
      <c r="N147" s="261" t="n">
        <v>71219</v>
      </c>
      <c r="O147" s="261" t="n">
        <v>70213</v>
      </c>
      <c r="P147" s="261" t="n">
        <v>78453</v>
      </c>
      <c r="Q147" s="261" t="n">
        <v>79888</v>
      </c>
      <c r="R147" s="261" t="n">
        <v>90671</v>
      </c>
      <c r="S147" s="261" t="n">
        <v>96572</v>
      </c>
      <c r="T147" s="261" t="n">
        <v>100403</v>
      </c>
      <c r="U147" s="261" t="n">
        <v>104987</v>
      </c>
      <c r="V147" s="261" t="n">
        <v>111632</v>
      </c>
      <c r="W147" s="261" t="n">
        <v>98373</v>
      </c>
      <c r="X147" s="261" t="n">
        <v>91632</v>
      </c>
      <c r="Y147" s="261" t="n">
        <v>94273</v>
      </c>
      <c r="Z147" s="261" t="n">
        <v>113150</v>
      </c>
      <c r="AA147" s="261" t="n">
        <v>110091</v>
      </c>
      <c r="AB147" s="261" t="n">
        <v>108716</v>
      </c>
      <c r="AC147" s="261" t="n">
        <v>110182</v>
      </c>
      <c r="AD147" s="261" t="n">
        <v>121942</v>
      </c>
      <c r="AE147" s="261" t="n">
        <v>113257</v>
      </c>
      <c r="AF147" s="261" t="n">
        <v>120133</v>
      </c>
      <c r="AG147" s="261" t="n">
        <v>115498</v>
      </c>
      <c r="AH147" s="261" t="n">
        <v>130634</v>
      </c>
      <c r="AI147" s="261" t="n">
        <v>125307</v>
      </c>
      <c r="AJ147" s="261" t="n">
        <v>139785</v>
      </c>
    </row>
    <row r="148">
      <c r="A148" t="n">
        <v>60</v>
      </c>
      <c r="B148" t="n">
        <v>1</v>
      </c>
      <c r="G148" t="inlineStr">
        <is>
          <t>un</t>
        </is>
      </c>
      <c r="H148" t="inlineStr">
        <is>
          <t>Movida RAC - numero de diarias (mil; l.16)</t>
        </is>
      </c>
      <c r="J148" t="inlineStr">
        <is>
          <t>fonte</t>
        </is>
      </c>
      <c r="K148" s="261" t="n">
        <v>4419.568</v>
      </c>
      <c r="L148" s="261" t="n">
        <v>3462.499</v>
      </c>
      <c r="M148" s="261" t="n">
        <v>4330.12</v>
      </c>
      <c r="N148" s="261" t="n">
        <v>4822.77</v>
      </c>
      <c r="O148" s="261" t="n">
        <v>5067.042</v>
      </c>
      <c r="P148" s="261" t="n">
        <v>4618.39</v>
      </c>
      <c r="Q148" s="261" t="n">
        <v>5143.355</v>
      </c>
      <c r="R148" s="261" t="n">
        <v>5281.203</v>
      </c>
      <c r="S148" s="261" t="n">
        <v>5224.573</v>
      </c>
      <c r="T148" s="261" t="n">
        <v>5677.49</v>
      </c>
      <c r="U148" s="261" t="n">
        <v>5888.846</v>
      </c>
      <c r="V148" s="261" t="n">
        <v>6111.338</v>
      </c>
      <c r="W148" s="261" t="n">
        <v>6218.754</v>
      </c>
      <c r="X148" s="261" t="n">
        <v>5837.236</v>
      </c>
      <c r="Y148" s="261" t="n">
        <v>5819.624</v>
      </c>
      <c r="Z148" s="261" t="n">
        <v>5945.636</v>
      </c>
      <c r="AA148" s="261" t="n">
        <v>6414.484</v>
      </c>
      <c r="AB148" s="261" t="n">
        <v>6200.041</v>
      </c>
      <c r="AC148" s="261" t="n">
        <v>6004.671</v>
      </c>
      <c r="AD148" s="261" t="n">
        <v>5958.805</v>
      </c>
      <c r="AE148" s="261" t="n">
        <v>6026.629</v>
      </c>
      <c r="AF148" s="261" t="n">
        <v>6070.355</v>
      </c>
      <c r="AG148" s="261" t="n">
        <v>6084.784</v>
      </c>
      <c r="AH148" s="261" t="n">
        <v>6688.82</v>
      </c>
      <c r="AI148" s="261" t="n">
        <v>7085.315149551208</v>
      </c>
      <c r="AJ148" s="261" t="n">
        <v>7412.78699999912</v>
      </c>
    </row>
    <row r="149">
      <c r="A149" t="n">
        <v>61</v>
      </c>
      <c r="B149" t="n">
        <v>1</v>
      </c>
      <c r="G149" t="inlineStr">
        <is>
          <t>un</t>
        </is>
      </c>
      <c r="H149" t="inlineStr">
        <is>
          <t>Movida RAC - taxa de ocupacao (l.17)</t>
        </is>
      </c>
      <c r="J149" t="inlineStr">
        <is>
          <t>fonte</t>
        </is>
      </c>
      <c r="K149" s="262" t="n">
        <v>0.752</v>
      </c>
      <c r="L149" s="262" t="n">
        <v>0.729</v>
      </c>
      <c r="M149" s="262" t="n">
        <v>0.827</v>
      </c>
      <c r="N149" s="262" t="n">
        <v>0.844</v>
      </c>
      <c r="O149" s="262" t="n">
        <v>0.793</v>
      </c>
      <c r="P149" s="262" t="n">
        <v>0.796</v>
      </c>
      <c r="Q149" s="262" t="n">
        <v>0.829</v>
      </c>
      <c r="R149" s="262" t="n">
        <v>0.8080000000000001</v>
      </c>
      <c r="S149" s="262" t="n">
        <v>0.761</v>
      </c>
      <c r="T149" s="262" t="n">
        <v>0.793</v>
      </c>
      <c r="U149" s="262" t="n">
        <v>0.772</v>
      </c>
      <c r="V149" s="262" t="n">
        <v>0.766</v>
      </c>
      <c r="W149" s="262" t="n">
        <v>0.784</v>
      </c>
      <c r="X149" s="262" t="n">
        <v>0.783</v>
      </c>
      <c r="Y149" s="262" t="n">
        <v>0.8110000000000001</v>
      </c>
      <c r="Z149" s="262" t="n">
        <v>0.82</v>
      </c>
      <c r="AA149" s="262" t="n">
        <v>0.802</v>
      </c>
      <c r="AB149" s="262" t="n">
        <v>0.781</v>
      </c>
      <c r="AC149" s="262" t="n">
        <v>0.781</v>
      </c>
      <c r="AD149" s="262" t="n">
        <v>0.749</v>
      </c>
      <c r="AE149" s="262" t="n">
        <v>0.717</v>
      </c>
      <c r="AF149" s="262" t="n">
        <v>0.741</v>
      </c>
      <c r="AG149" s="262" t="n">
        <v>0.718</v>
      </c>
      <c r="AH149" s="262" t="n">
        <v>0.7584699131411171</v>
      </c>
      <c r="AI149" s="262" t="n">
        <v>0.7728341693448793</v>
      </c>
      <c r="AJ149" s="262" t="n">
        <v>0.7620804180242885</v>
      </c>
    </row>
    <row r="150">
      <c r="A150" t="n">
        <v>62</v>
      </c>
      <c r="B150" t="n">
        <v>1</v>
      </c>
      <c r="G150" t="inlineStr">
        <is>
          <t>un</t>
        </is>
      </c>
      <c r="H150" t="inlineStr">
        <is>
          <t>Movida RAC - diaria media (R$; l.18)</t>
        </is>
      </c>
      <c r="J150" t="inlineStr">
        <is>
          <t>fonte</t>
        </is>
      </c>
      <c r="K150" s="263" t="n">
        <v>83.42700000000001</v>
      </c>
      <c r="L150" s="263" t="n">
        <v>59.514</v>
      </c>
      <c r="M150" s="263" t="n">
        <v>70.337</v>
      </c>
      <c r="N150" s="263" t="n">
        <v>84.379</v>
      </c>
      <c r="O150" s="263" t="n">
        <v>81.742</v>
      </c>
      <c r="P150" s="263" t="n">
        <v>84.087</v>
      </c>
      <c r="Q150" s="263" t="n">
        <v>96.404</v>
      </c>
      <c r="R150" s="263" t="n">
        <v>118.614</v>
      </c>
      <c r="S150" s="263" t="n">
        <v>118.61</v>
      </c>
      <c r="T150" s="263" t="n">
        <v>115.745</v>
      </c>
      <c r="U150" s="263" t="n">
        <v>128.557</v>
      </c>
      <c r="V150" s="263" t="n">
        <v>127.297</v>
      </c>
      <c r="W150" s="263" t="n">
        <v>126.002</v>
      </c>
      <c r="X150" s="263" t="n">
        <v>123.362</v>
      </c>
      <c r="Y150" s="263" t="n">
        <v>124.524</v>
      </c>
      <c r="Z150" s="263" t="n">
        <v>126.1</v>
      </c>
      <c r="AA150" s="263" t="n">
        <v>130.299</v>
      </c>
      <c r="AB150" s="263" t="n">
        <v>134.541</v>
      </c>
      <c r="AC150" s="263" t="n">
        <v>142.036</v>
      </c>
      <c r="AD150" s="263" t="n">
        <v>150.723</v>
      </c>
      <c r="AE150" s="263" t="n">
        <v>158.045</v>
      </c>
      <c r="AF150" s="263" t="n">
        <v>154.171</v>
      </c>
      <c r="AG150" s="263" t="n">
        <v>159.266</v>
      </c>
      <c r="AH150" s="263" t="n">
        <v>160.5878557097244</v>
      </c>
      <c r="AI150" s="263" t="n">
        <v>168.4518268076741</v>
      </c>
      <c r="AJ150" s="263" t="n">
        <v>164.7255923389758</v>
      </c>
    </row>
    <row r="151">
      <c r="A151" t="n">
        <v>63</v>
      </c>
      <c r="B151" t="n">
        <v>1</v>
      </c>
      <c r="G151" t="inlineStr">
        <is>
          <t>un</t>
        </is>
      </c>
      <c r="H151" t="inlineStr">
        <is>
          <t>Movida GTF - frota final (carros; l.21)</t>
        </is>
      </c>
      <c r="J151" t="inlineStr">
        <is>
          <t>fonte</t>
        </is>
      </c>
      <c r="K151" s="261" t="n">
        <v>40889</v>
      </c>
      <c r="L151" s="261" t="n">
        <v>39673</v>
      </c>
      <c r="M151" s="261" t="n">
        <v>40731</v>
      </c>
      <c r="N151" s="261" t="n">
        <v>47244</v>
      </c>
      <c r="O151" s="261" t="n">
        <v>52395</v>
      </c>
      <c r="P151" s="261" t="n">
        <v>55776</v>
      </c>
      <c r="Q151" s="261" t="n">
        <v>88379</v>
      </c>
      <c r="R151" s="261" t="n">
        <v>96303</v>
      </c>
      <c r="S151" s="261" t="n">
        <v>95370</v>
      </c>
      <c r="T151" s="261" t="n">
        <v>106498</v>
      </c>
      <c r="U151" s="261" t="n">
        <v>107728</v>
      </c>
      <c r="V151" s="261" t="n">
        <v>112352</v>
      </c>
      <c r="W151" s="261" t="n">
        <v>114617</v>
      </c>
      <c r="X151" s="261" t="n">
        <v>113678</v>
      </c>
      <c r="Y151" s="261" t="n">
        <v>119574</v>
      </c>
      <c r="Z151" s="261" t="n">
        <v>130781</v>
      </c>
      <c r="AA151" s="261" t="n">
        <v>135628</v>
      </c>
      <c r="AB151" s="261" t="n">
        <v>137648</v>
      </c>
      <c r="AC151" s="261" t="n">
        <v>137405</v>
      </c>
      <c r="AD151" s="261" t="n">
        <v>146543</v>
      </c>
      <c r="AE151" s="261" t="n">
        <v>143794</v>
      </c>
      <c r="AF151" s="261" t="n">
        <v>142296</v>
      </c>
      <c r="AG151" s="261" t="n">
        <v>143449</v>
      </c>
      <c r="AH151" s="261" t="n">
        <v>144207</v>
      </c>
      <c r="AI151" s="261" t="n">
        <v>141949</v>
      </c>
      <c r="AJ151" s="261" t="n">
        <v>145882</v>
      </c>
    </row>
    <row r="152">
      <c r="A152" t="n">
        <v>64</v>
      </c>
      <c r="B152" t="n">
        <v>1</v>
      </c>
      <c r="G152" t="inlineStr">
        <is>
          <t>un</t>
        </is>
      </c>
      <c r="H152" t="inlineStr">
        <is>
          <t>Movida GTF - ticket medio mensal (R$; l.26)</t>
        </is>
      </c>
      <c r="J152" t="inlineStr">
        <is>
          <t>fonte</t>
        </is>
      </c>
      <c r="K152" s="261" t="n">
        <v>1353.649</v>
      </c>
      <c r="L152" s="261" t="n">
        <v>1390.284</v>
      </c>
      <c r="M152" s="261" t="n">
        <v>1241.48</v>
      </c>
      <c r="N152" s="261" t="n">
        <v>1196.553</v>
      </c>
      <c r="O152" s="261" t="n">
        <v>1372.319</v>
      </c>
      <c r="P152" s="261" t="n">
        <v>1446.677</v>
      </c>
      <c r="Q152" s="261" t="n">
        <v>1556.347</v>
      </c>
      <c r="R152" s="261" t="n">
        <v>1554.954</v>
      </c>
      <c r="S152" s="261" t="n">
        <v>1656.1</v>
      </c>
      <c r="T152" s="261" t="n">
        <v>1785.39</v>
      </c>
      <c r="U152" s="261" t="n">
        <v>1811.553</v>
      </c>
      <c r="V152" s="261" t="n">
        <v>1924.074</v>
      </c>
      <c r="W152" s="261" t="n">
        <v>2040.898</v>
      </c>
      <c r="X152" s="261" t="n">
        <v>2110.268</v>
      </c>
      <c r="Y152" s="261" t="n">
        <v>2191.255</v>
      </c>
      <c r="Z152" s="261" t="n">
        <v>2275.453</v>
      </c>
      <c r="AA152" s="261" t="n">
        <v>2380.167</v>
      </c>
      <c r="AB152" s="261" t="n">
        <v>2582.26</v>
      </c>
      <c r="AC152" s="261" t="n">
        <v>2695.784</v>
      </c>
      <c r="AD152" s="261" t="n">
        <v>2780.174</v>
      </c>
      <c r="AE152" s="261" t="n">
        <v>2855.385</v>
      </c>
      <c r="AF152" s="261" t="n">
        <v>2948.728</v>
      </c>
      <c r="AG152" s="261" t="n">
        <v>3025.387</v>
      </c>
      <c r="AH152" s="261" t="n">
        <v>3123.287436343066</v>
      </c>
      <c r="AI152" s="261" t="n">
        <v>3162.020318345195</v>
      </c>
      <c r="AJ152" s="261" t="n">
        <v>3288.956832502472</v>
      </c>
    </row>
    <row r="153">
      <c r="A153" t="n">
        <v>65</v>
      </c>
      <c r="B153" t="n">
        <v>1</v>
      </c>
      <c r="G153" t="inlineStr">
        <is>
          <t>un</t>
        </is>
      </c>
      <c r="H153" t="inlineStr">
        <is>
          <t>Movida - carros vendidos (seminovos; l.29)</t>
        </is>
      </c>
      <c r="J153" t="inlineStr">
        <is>
          <t>fonte</t>
        </is>
      </c>
      <c r="K153" s="261" t="n">
        <v>14127</v>
      </c>
      <c r="L153" s="261" t="n">
        <v>18465</v>
      </c>
      <c r="M153" s="261" t="n">
        <v>14321</v>
      </c>
      <c r="N153" s="261" t="n">
        <v>9869</v>
      </c>
      <c r="O153" s="261" t="n">
        <v>5356</v>
      </c>
      <c r="P153" s="261" t="n">
        <v>12462</v>
      </c>
      <c r="Q153" s="261" t="n">
        <v>14509</v>
      </c>
      <c r="R153" s="261" t="n">
        <v>12472</v>
      </c>
      <c r="S153" s="261" t="n">
        <v>15225</v>
      </c>
      <c r="T153" s="261" t="n">
        <v>18474</v>
      </c>
      <c r="U153" s="261" t="n">
        <v>20023</v>
      </c>
      <c r="V153" s="261" t="n">
        <v>18697</v>
      </c>
      <c r="W153" s="261" t="n">
        <v>19610</v>
      </c>
      <c r="X153" s="261" t="n">
        <v>18806</v>
      </c>
      <c r="Y153" s="261" t="n">
        <v>20503</v>
      </c>
      <c r="Z153" s="261" t="n">
        <v>17253</v>
      </c>
      <c r="AA153" s="261" t="n">
        <v>23249</v>
      </c>
      <c r="AB153" s="261" t="n">
        <v>27954</v>
      </c>
      <c r="AC153" s="261" t="n">
        <v>30572</v>
      </c>
      <c r="AD153" s="261" t="n">
        <v>21916</v>
      </c>
      <c r="AE153" s="261" t="n">
        <v>24784</v>
      </c>
      <c r="AF153" s="261" t="n">
        <v>25917</v>
      </c>
      <c r="AG153" s="261" t="n">
        <v>24472</v>
      </c>
      <c r="AH153" s="261" t="n">
        <v>22172</v>
      </c>
      <c r="AI153" s="261" t="n">
        <v>20620</v>
      </c>
      <c r="AJ153" s="261" t="n">
        <v>19414</v>
      </c>
    </row>
    <row r="154">
      <c r="A154" t="n">
        <v>66</v>
      </c>
      <c r="B154" t="n">
        <v>1</v>
      </c>
      <c r="G154" t="inlineStr">
        <is>
          <t>un</t>
        </is>
      </c>
      <c r="H154" t="inlineStr">
        <is>
          <t>Movida - preco medio do carro vendido (R$; l.32)</t>
        </is>
      </c>
      <c r="J154" t="inlineStr">
        <is>
          <t>fonte</t>
        </is>
      </c>
      <c r="K154" s="261" t="n">
        <v>40161.535</v>
      </c>
      <c r="L154" s="261" t="n">
        <v>40614.688</v>
      </c>
      <c r="M154" s="261" t="n">
        <v>45289.77</v>
      </c>
      <c r="N154" s="261" t="n">
        <v>50153.014</v>
      </c>
      <c r="O154" s="261" t="n">
        <v>51893.918</v>
      </c>
      <c r="P154" s="261" t="n">
        <v>54575.562</v>
      </c>
      <c r="Q154" s="261" t="n">
        <v>58732.576</v>
      </c>
      <c r="R154" s="261" t="n">
        <v>65422.791</v>
      </c>
      <c r="S154" s="261" t="n">
        <v>64467.473</v>
      </c>
      <c r="T154" s="261" t="n">
        <v>66619.727</v>
      </c>
      <c r="U154" s="261" t="n">
        <v>70866.81200000001</v>
      </c>
      <c r="V154" s="261" t="n">
        <v>75437.883</v>
      </c>
      <c r="W154" s="261" t="n">
        <v>75131.641</v>
      </c>
      <c r="X154" s="261" t="n">
        <v>67009.986</v>
      </c>
      <c r="Y154" s="261" t="n">
        <v>67718.251</v>
      </c>
      <c r="Z154" s="261" t="n">
        <v>68176.185</v>
      </c>
      <c r="AA154" s="261" t="n">
        <v>66942.505</v>
      </c>
      <c r="AB154" s="261" t="n">
        <v>66598.72500000001</v>
      </c>
      <c r="AC154" s="261" t="n">
        <v>67728.675</v>
      </c>
      <c r="AD154" s="261" t="n">
        <v>68181.22500000001</v>
      </c>
      <c r="AE154" s="261" t="n">
        <v>69546.77899999999</v>
      </c>
      <c r="AF154" s="261" t="n">
        <v>70398.095</v>
      </c>
      <c r="AG154" s="261" t="n">
        <v>73431.67200000001</v>
      </c>
      <c r="AH154" s="261" t="n">
        <v>72269.74445472271</v>
      </c>
      <c r="AI154" s="261" t="n">
        <v>77823.72868094948</v>
      </c>
      <c r="AJ154" s="261" t="n">
        <v>77252.18405434357</v>
      </c>
    </row>
    <row r="155">
      <c r="A155" t="n">
        <v>67</v>
      </c>
      <c r="B155" t="n">
        <v>1</v>
      </c>
      <c r="G155" t="inlineStr">
        <is>
          <t>un</t>
        </is>
      </c>
      <c r="H155" t="inlineStr">
        <is>
          <t>Vamos - frota de locacao final (ativos; 1T21+: VAMOS - Operational Data l.21 da SIMPAR; 2020: planilha antiga Vamos, VAMOS Operational Data l.20)</t>
        </is>
      </c>
      <c r="J155" t="inlineStr">
        <is>
          <t>fonte</t>
        </is>
      </c>
      <c r="K155" s="261" t="n">
        <v>13529</v>
      </c>
      <c r="L155" s="261" t="n">
        <v>13785</v>
      </c>
      <c r="M155" s="261" t="n">
        <v>14015</v>
      </c>
      <c r="N155" s="261" t="n">
        <v>15128</v>
      </c>
      <c r="O155" s="261" t="n">
        <v>16025</v>
      </c>
      <c r="P155" s="261" t="n">
        <v>18395</v>
      </c>
      <c r="Q155" s="261" t="n">
        <v>20384</v>
      </c>
      <c r="R155" s="261" t="n">
        <v>23627</v>
      </c>
      <c r="S155" s="261" t="n">
        <v>26859</v>
      </c>
      <c r="T155" s="261" t="n">
        <v>33940</v>
      </c>
      <c r="U155" s="261" t="n">
        <v>38561</v>
      </c>
      <c r="V155" s="261" t="n">
        <v>43829</v>
      </c>
      <c r="W155" s="261" t="n">
        <v>45055</v>
      </c>
      <c r="X155" s="261" t="n">
        <v>45279</v>
      </c>
      <c r="Y155" s="261" t="n">
        <v>45161</v>
      </c>
      <c r="Z155" s="261" t="n">
        <v>45727</v>
      </c>
      <c r="AA155" s="261" t="n">
        <v>49515</v>
      </c>
      <c r="AB155" s="261" t="n">
        <v>50384</v>
      </c>
      <c r="AC155" s="261" t="n">
        <v>51090</v>
      </c>
      <c r="AD155" s="261" t="n">
        <v>51604</v>
      </c>
      <c r="AE155" s="261" t="n">
        <v>52593</v>
      </c>
      <c r="AF155" s="261" t="n">
        <v>52544</v>
      </c>
      <c r="AG155" s="261" t="n">
        <v>52047</v>
      </c>
      <c r="AH155" s="261" t="n">
        <v>51953</v>
      </c>
      <c r="AI155" s="261" t="n">
        <v>50980</v>
      </c>
      <c r="AJ155" s="261" t="n">
        <v>51256</v>
      </c>
    </row>
    <row r="156">
      <c r="H156" t="inlineStr">
        <is>
          <t>Notas: (i) Vamos 1T20-4T22 vem da Planilha de Fundamentos ANTIGA da Vamos (ri.grupovamos.com.br, versao com concessionarias ate 3T24): locacao + industria, e as concessionarias da Vamos em linha propria. No 1T23 a serie SIMPAR (945,3) supera locacao + industria da planilha antiga (887,5) pelas reclassificacoes da cisao. A Automob (desde 1T23) e maior que as concessionarias da Vamos: inclui as demais concessionarias do grupo, que ate 4T22 ficam no residual. (ii) Receitas por controlada como divulgadas (JSL, Automob e CS Brasil ajustados, nota do release); a diferenca para o consolidado = holding, eliminacoes e ajustes.</t>
        </is>
      </c>
    </row>
    <row r="193">
      <c r="H193" s="254" t="inlineStr">
        <is>
          <t>CONVENCOES</t>
        </is>
      </c>
    </row>
    <row r="194">
      <c r="H194" t="inlineStr">
        <is>
          <t>Linhas de origem: 5 a 156. As formulas da Inputs (2) varrem as linhas 5 a 190; as linhas 157 a 190 estao livres para novas contas.</t>
        </is>
      </c>
    </row>
    <row r="195">
      <c r="H195" t="inlineStr">
        <is>
          <t>Periodos: colunas K a AJ (1Q20 a 2Q26 = 1T20 a 2T26).</t>
        </is>
      </c>
    </row>
    <row r="196">
      <c r="H196" t="inlineStr">
        <is>
          <t>Brutos ja em R$ milhoes (como na planilha da Cia): fator da celula B1 = 1.</t>
        </is>
      </c>
    </row>
    <row r="197">
      <c r="H197" t="inlineStr">
        <is>
          <t>ORIGEM: fonte = copiado da planilha; memoria = como divulgado, sem codigo; derivada = formula nesta aba.</t>
        </is>
      </c>
    </row>
    <row r="198">
      <c r="H198" t="inlineStr">
        <is>
          <t>Codigos 45 a 67: drivers de receita (memoria); alimentam o bloco logo abaixo da receita liquida no Model.</t>
        </is>
      </c>
    </row>
    <row r="199"/>
    <row r="200"/>
    <row r="201"/>
    <row r="202"/>
    <row r="203"/>
    <row r="204"/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5"/>
  <sheetViews>
    <sheetView showGridLines="0" zoomScale="85" zoomScaleNormal="85" workbookViewId="0">
      <pane xSplit="3" ySplit="2" topLeftCell="E3" activePane="bottomRight" state="frozen"/>
      <selection activeCell="D24" sqref="D24"/>
      <selection pane="topRight" activeCell="D24" sqref="D24"/>
      <selection pane="bottomLeft" activeCell="D24" sqref="D24"/>
      <selection pane="bottomRight" activeCell="G24" sqref="G24:G34"/>
    </sheetView>
  </sheetViews>
  <sheetFormatPr baseColWidth="8" defaultColWidth="9.140625" defaultRowHeight="12.75"/>
  <cols>
    <col width="2.28515625" bestFit="1" customWidth="1" style="1" min="1" max="1"/>
    <col width="4.42578125" bestFit="1" customWidth="1" style="1" min="2" max="2"/>
    <col width="53.140625" bestFit="1" customWidth="1" style="4" min="3" max="3"/>
    <col width="8.140625" bestFit="1" customWidth="1" style="1" min="4" max="4"/>
    <col width="9.28515625" bestFit="1" customWidth="1" style="1" min="5" max="7"/>
    <col width="10" bestFit="1" customWidth="1" style="1" min="8" max="8"/>
    <col width="8.140625" bestFit="1" customWidth="1" style="1" min="9" max="9"/>
    <col width="9.28515625" bestFit="1" customWidth="1" style="1" min="10" max="12"/>
    <col width="10" bestFit="1" customWidth="1" style="1" min="13" max="13"/>
    <col width="8.140625" bestFit="1" customWidth="1" style="1" min="14" max="14"/>
    <col width="9.28515625" bestFit="1" customWidth="1" style="1" min="15" max="16"/>
    <col width="10" bestFit="1" customWidth="1" style="1" min="17" max="18"/>
    <col width="8.140625" bestFit="1" customWidth="1" style="1" min="19" max="19"/>
    <col width="9.28515625" bestFit="1" customWidth="1" style="1" min="20" max="20"/>
    <col width="10" bestFit="1" customWidth="1" style="1" min="21" max="23"/>
    <col width="8.140625" bestFit="1" customWidth="1" style="1" min="24" max="24"/>
    <col width="10" bestFit="1" customWidth="1" style="1" min="25" max="27"/>
    <col width="10.42578125" bestFit="1" customWidth="1" style="1" min="28" max="28"/>
    <col width="9.28515625" bestFit="1" customWidth="1" style="1" min="29" max="29"/>
    <col width="11.7109375" bestFit="1" customWidth="1" style="1" min="30" max="31"/>
    <col width="12.7109375" bestFit="1" customWidth="1" style="1" min="32" max="32"/>
    <col width="10.28515625" customWidth="1" style="1" min="33" max="33"/>
    <col width="9.28515625" customWidth="1" style="4" min="34" max="54"/>
    <col width="9.28515625" customWidth="1" min="35" max="35"/>
    <col width="9.28515625" customWidth="1" min="36" max="36"/>
    <col width="9.28515625" customWidth="1" min="37" max="37"/>
    <col width="9.28515625" customWidth="1" min="38" max="38"/>
    <col width="9.7109375" bestFit="1" customWidth="1" style="4" min="55" max="55"/>
    <col width="9.140625" customWidth="1" style="4" min="56" max="56"/>
    <col width="9.140625" customWidth="1" style="4" min="57" max="16384"/>
  </cols>
  <sheetData>
    <row r="1" customFormat="1" s="1">
      <c r="A1" s="1">
        <f>COUNTIF($B$3:$B$1048576,$B$1)</f>
        <v>1</v>
      </c>
      <c r="B1" s="1">
        <f>MAX($B$3:$B$1048576)</f>
        <v>67</v>
      </c>
    </row>
    <row r="2">
      <c r="A2" s="4" t="n"/>
      <c r="B2" s="4" t="n"/>
      <c r="D2" s="50" t="inlineStr">
        <is>
          <t>1Q21</t>
        </is>
      </c>
      <c r="E2" s="50" t="inlineStr">
        <is>
          <t>2Q21</t>
        </is>
      </c>
      <c r="F2" s="50" t="inlineStr">
        <is>
          <t>3Q21</t>
        </is>
      </c>
      <c r="G2" s="50" t="inlineStr">
        <is>
          <t>4Q21</t>
        </is>
      </c>
      <c r="H2" s="244" t="n">
        <v>2021</v>
      </c>
      <c r="I2" s="50" t="inlineStr">
        <is>
          <t>1Q22</t>
        </is>
      </c>
      <c r="J2" s="50" t="inlineStr">
        <is>
          <t>2Q22</t>
        </is>
      </c>
      <c r="K2" s="50" t="inlineStr">
        <is>
          <t>3Q22</t>
        </is>
      </c>
      <c r="L2" s="50" t="inlineStr">
        <is>
          <t>4Q22</t>
        </is>
      </c>
      <c r="M2" s="244" t="n">
        <v>2022</v>
      </c>
      <c r="N2" s="50" t="inlineStr">
        <is>
          <t>1Q23</t>
        </is>
      </c>
      <c r="O2" s="50" t="inlineStr">
        <is>
          <t>2Q23</t>
        </is>
      </c>
      <c r="P2" s="50" t="inlineStr">
        <is>
          <t>3Q23</t>
        </is>
      </c>
      <c r="Q2" s="50" t="inlineStr">
        <is>
          <t>4Q23</t>
        </is>
      </c>
      <c r="R2" s="244" t="n">
        <v>2023</v>
      </c>
      <c r="S2" s="50" t="inlineStr">
        <is>
          <t>1Q24</t>
        </is>
      </c>
      <c r="T2" s="50" t="inlineStr">
        <is>
          <t>2Q24</t>
        </is>
      </c>
      <c r="U2" s="50" t="inlineStr">
        <is>
          <t>3Q24</t>
        </is>
      </c>
      <c r="V2" s="50" t="inlineStr">
        <is>
          <t>4Q24</t>
        </is>
      </c>
      <c r="W2" s="244" t="n">
        <v>2024</v>
      </c>
      <c r="X2" s="50" t="inlineStr">
        <is>
          <t>1Q25</t>
        </is>
      </c>
      <c r="Y2" s="50" t="inlineStr">
        <is>
          <t>2Q25</t>
        </is>
      </c>
      <c r="Z2" s="50" t="inlineStr">
        <is>
          <t>3Q25</t>
        </is>
      </c>
      <c r="AA2" s="50" t="inlineStr">
        <is>
          <t>4Q25</t>
        </is>
      </c>
      <c r="AB2" s="244" t="n">
        <v>2025</v>
      </c>
      <c r="AC2" s="50" t="inlineStr">
        <is>
          <t>1Q26</t>
        </is>
      </c>
      <c r="AD2" s="50" t="inlineStr">
        <is>
          <t>2Q26</t>
        </is>
      </c>
      <c r="AE2" s="256" t="inlineStr">
        <is>
          <t>3Q26</t>
        </is>
      </c>
      <c r="AF2" s="256" t="inlineStr">
        <is>
          <t>4Q26</t>
        </is>
      </c>
      <c r="AG2" s="257" t="n">
        <v>2026</v>
      </c>
      <c r="AH2" s="50" t="inlineStr">
        <is>
          <t>1Q20</t>
        </is>
      </c>
      <c r="AI2" s="50" t="inlineStr">
        <is>
          <t>2Q20</t>
        </is>
      </c>
      <c r="AJ2" s="50" t="inlineStr">
        <is>
          <t>3Q20</t>
        </is>
      </c>
      <c r="AK2" s="50" t="inlineStr">
        <is>
          <t>4Q20</t>
        </is>
      </c>
      <c r="AL2" s="244" t="n">
        <v>2020</v>
      </c>
      <c r="AN2" t="inlineStr">
        <is>
          <t>Sem dado na fonte: 3Q26, 4Q26 e 2026 (rotulo em cinza). 2020 fica nas colunas AH-AL.</t>
        </is>
      </c>
    </row>
    <row r="3"/>
    <row r="4">
      <c r="B4" s="46" t="n">
        <v>1</v>
      </c>
      <c r="C4" s="29" t="inlineStr">
        <is>
          <t>Net Revenues</t>
        </is>
      </c>
      <c r="D4" s="6">
        <f>IF(ISNA(MATCH(D$2,Inputs!$K$4:$AJ$4,0)),NA(),IF(SUMPRODUCT((Inputs!$A$5:$A$190=$B4)*ISNUMBER(INDEX(Inputs!$K$5:$AJ$190,0,MATCH(D$2,Inputs!$K$4:$AJ$4,0))))+SUMPRODUCT((Inputs!$C$5:$C$190=$B4)*ISNUMBER(INDEX(Inputs!$K$5:$AJ$190,0,MATCH(D$2,Inputs!$K$4:$AJ$4,0))))+SUMPRODUCT((Inputs!$E$5:$E$190=$B4)*ISNUMBER(INDEX(Inputs!$K$5:$AJ$190,0,MATCH(D$2,Inputs!$K$4:$AJ$4,0))))=0,NA(),SUMPRODUCT((Inputs!$A$5:$A$190=$B4)*Inputs!$B$5:$B$190*(((Inputs!$G$5:$G$190="moeda")+(Inputs!$G$5:$G$190="acoes"))*Inputs!$B$1+((Inputs!$G$5:$G$190&lt;&gt;"moeda")*(Inputs!$G$5:$G$190&lt;&gt;"acoes")))*INDEX(Inputs!$K$5:$AJ$190,0,MATCH(D$2,Inputs!$K$4:$AJ$4,0)))+SUMPRODUCT((Inputs!$C$5:$C$190=$B4)*Inputs!$D$5:$D$190*(((Inputs!$G$5:$G$190="moeda")+(Inputs!$G$5:$G$190="acoes"))*Inputs!$B$1+((Inputs!$G$5:$G$190&lt;&gt;"moeda")*(Inputs!$G$5:$G$190&lt;&gt;"acoes")))*INDEX(Inputs!$K$5:$AJ$190,0,MATCH(D$2,Inputs!$K$4:$AJ$4,0)))+SUMPRODUCT((Inputs!$E$5:$E$190=$B4)*Inputs!$F$5:$F$190*(((Inputs!$G$5:$G$190="moeda")+(Inputs!$G$5:$G$190="acoes"))*Inputs!$B$1+((Inputs!$G$5:$G$190&lt;&gt;"moeda")*(Inputs!$G$5:$G$190&lt;&gt;"acoes")))*INDEX(Inputs!$K$5:$AJ$190,0,MATCH(D$2,Inputs!$K$4:$AJ$4,0)))))</f>
        <v>2620.10565591625</v>
      </c>
      <c r="E4" s="6">
        <f>IF(ISNA(MATCH(E$2,Inputs!$K$4:$AJ$4,0)),NA(),IF(SUMPRODUCT((Inputs!$A$5:$A$190=$B4)*ISNUMBER(INDEX(Inputs!$K$5:$AJ$190,0,MATCH(E$2,Inputs!$K$4:$AJ$4,0))))+SUMPRODUCT((Inputs!$C$5:$C$190=$B4)*ISNUMBER(INDEX(Inputs!$K$5:$AJ$190,0,MATCH(E$2,Inputs!$K$4:$AJ$4,0))))+SUMPRODUCT((Inputs!$E$5:$E$190=$B4)*ISNUMBER(INDEX(Inputs!$K$5:$AJ$190,0,MATCH(E$2,Inputs!$K$4:$AJ$4,0))))=0,NA(),SUMPRODUCT((Inputs!$A$5:$A$190=$B4)*Inputs!$B$5:$B$190*(((Inputs!$G$5:$G$190="moeda")+(Inputs!$G$5:$G$190="acoes"))*Inputs!$B$1+((Inputs!$G$5:$G$190&lt;&gt;"moeda")*(Inputs!$G$5:$G$190&lt;&gt;"acoes")))*INDEX(Inputs!$K$5:$AJ$190,0,MATCH(E$2,Inputs!$K$4:$AJ$4,0)))+SUMPRODUCT((Inputs!$C$5:$C$190=$B4)*Inputs!$D$5:$D$190*(((Inputs!$G$5:$G$190="moeda")+(Inputs!$G$5:$G$190="acoes"))*Inputs!$B$1+((Inputs!$G$5:$G$190&lt;&gt;"moeda")*(Inputs!$G$5:$G$190&lt;&gt;"acoes")))*INDEX(Inputs!$K$5:$AJ$190,0,MATCH(E$2,Inputs!$K$4:$AJ$4,0)))+SUMPRODUCT((Inputs!$E$5:$E$190=$B4)*Inputs!$F$5:$F$190*(((Inputs!$G$5:$G$190="moeda")+(Inputs!$G$5:$G$190="acoes"))*Inputs!$B$1+((Inputs!$G$5:$G$190&lt;&gt;"moeda")*(Inputs!$G$5:$G$190&lt;&gt;"acoes")))*INDEX(Inputs!$K$5:$AJ$190,0,MATCH(E$2,Inputs!$K$4:$AJ$4,0)))))</f>
        <v>3149.06634408375</v>
      </c>
      <c r="F4" s="6">
        <f>IF(ISNA(MATCH(F$2,Inputs!$K$4:$AJ$4,0)),NA(),IF(SUMPRODUCT((Inputs!$A$5:$A$190=$B4)*ISNUMBER(INDEX(Inputs!$K$5:$AJ$190,0,MATCH(F$2,Inputs!$K$4:$AJ$4,0))))+SUMPRODUCT((Inputs!$C$5:$C$190=$B4)*ISNUMBER(INDEX(Inputs!$K$5:$AJ$190,0,MATCH(F$2,Inputs!$K$4:$AJ$4,0))))+SUMPRODUCT((Inputs!$E$5:$E$190=$B4)*ISNUMBER(INDEX(Inputs!$K$5:$AJ$190,0,MATCH(F$2,Inputs!$K$4:$AJ$4,0))))=0,NA(),SUMPRODUCT((Inputs!$A$5:$A$190=$B4)*Inputs!$B$5:$B$190*(((Inputs!$G$5:$G$190="moeda")+(Inputs!$G$5:$G$190="acoes"))*Inputs!$B$1+((Inputs!$G$5:$G$190&lt;&gt;"moeda")*(Inputs!$G$5:$G$190&lt;&gt;"acoes")))*INDEX(Inputs!$K$5:$AJ$190,0,MATCH(F$2,Inputs!$K$4:$AJ$4,0)))+SUMPRODUCT((Inputs!$C$5:$C$190=$B4)*Inputs!$D$5:$D$190*(((Inputs!$G$5:$G$190="moeda")+(Inputs!$G$5:$G$190="acoes"))*Inputs!$B$1+((Inputs!$G$5:$G$190&lt;&gt;"moeda")*(Inputs!$G$5:$G$190&lt;&gt;"acoes")))*INDEX(Inputs!$K$5:$AJ$190,0,MATCH(F$2,Inputs!$K$4:$AJ$4,0)))+SUMPRODUCT((Inputs!$E$5:$E$190=$B4)*Inputs!$F$5:$F$190*(((Inputs!$G$5:$G$190="moeda")+(Inputs!$G$5:$G$190="acoes"))*Inputs!$B$1+((Inputs!$G$5:$G$190&lt;&gt;"moeda")*(Inputs!$G$5:$G$190&lt;&gt;"acoes")))*INDEX(Inputs!$K$5:$AJ$190,0,MATCH(F$2,Inputs!$K$4:$AJ$4,0)))))</f>
        <v>3958.28</v>
      </c>
      <c r="G4" s="6">
        <f>IF(ISNA(MATCH(G$2,Inputs!$K$4:$AJ$4,0)),NA(),IF(SUMPRODUCT((Inputs!$A$5:$A$190=$B4)*ISNUMBER(INDEX(Inputs!$K$5:$AJ$190,0,MATCH(G$2,Inputs!$K$4:$AJ$4,0))))+SUMPRODUCT((Inputs!$C$5:$C$190=$B4)*ISNUMBER(INDEX(Inputs!$K$5:$AJ$190,0,MATCH(G$2,Inputs!$K$4:$AJ$4,0))))+SUMPRODUCT((Inputs!$E$5:$E$190=$B4)*ISNUMBER(INDEX(Inputs!$K$5:$AJ$190,0,MATCH(G$2,Inputs!$K$4:$AJ$4,0))))=0,NA(),SUMPRODUCT((Inputs!$A$5:$A$190=$B4)*Inputs!$B$5:$B$190*(((Inputs!$G$5:$G$190="moeda")+(Inputs!$G$5:$G$190="acoes"))*Inputs!$B$1+((Inputs!$G$5:$G$190&lt;&gt;"moeda")*(Inputs!$G$5:$G$190&lt;&gt;"acoes")))*INDEX(Inputs!$K$5:$AJ$190,0,MATCH(G$2,Inputs!$K$4:$AJ$4,0)))+SUMPRODUCT((Inputs!$C$5:$C$190=$B4)*Inputs!$D$5:$D$190*(((Inputs!$G$5:$G$190="moeda")+(Inputs!$G$5:$G$190="acoes"))*Inputs!$B$1+((Inputs!$G$5:$G$190&lt;&gt;"moeda")*(Inputs!$G$5:$G$190&lt;&gt;"acoes")))*INDEX(Inputs!$K$5:$AJ$190,0,MATCH(G$2,Inputs!$K$4:$AJ$4,0)))+SUMPRODUCT((Inputs!$E$5:$E$190=$B4)*Inputs!$F$5:$F$190*(((Inputs!$G$5:$G$190="moeda")+(Inputs!$G$5:$G$190="acoes"))*Inputs!$B$1+((Inputs!$G$5:$G$190&lt;&gt;"moeda")*(Inputs!$G$5:$G$190&lt;&gt;"acoes")))*INDEX(Inputs!$K$5:$AJ$190,0,MATCH(G$2,Inputs!$K$4:$AJ$4,0)))))</f>
        <v>4138.767</v>
      </c>
      <c r="H4" s="3">
        <f>SUM(D4:G4)</f>
        <v>13866.219</v>
      </c>
      <c r="I4" s="6">
        <f>IF(ISNA(MATCH(I$2,Inputs!$K$4:$AJ$4,0)),NA(),IF(SUMPRODUCT((Inputs!$A$5:$A$190=$B4)*ISNUMBER(INDEX(Inputs!$K$5:$AJ$190,0,MATCH(I$2,Inputs!$K$4:$AJ$4,0))))+SUMPRODUCT((Inputs!$C$5:$C$190=$B4)*ISNUMBER(INDEX(Inputs!$K$5:$AJ$190,0,MATCH(I$2,Inputs!$K$4:$AJ$4,0))))+SUMPRODUCT((Inputs!$E$5:$E$190=$B4)*ISNUMBER(INDEX(Inputs!$K$5:$AJ$190,0,MATCH(I$2,Inputs!$K$4:$AJ$4,0))))=0,NA(),SUMPRODUCT((Inputs!$A$5:$A$190=$B4)*Inputs!$B$5:$B$190*(((Inputs!$G$5:$G$190="moeda")+(Inputs!$G$5:$G$190="acoes"))*Inputs!$B$1+((Inputs!$G$5:$G$190&lt;&gt;"moeda")*(Inputs!$G$5:$G$190&lt;&gt;"acoes")))*INDEX(Inputs!$K$5:$AJ$190,0,MATCH(I$2,Inputs!$K$4:$AJ$4,0)))+SUMPRODUCT((Inputs!$C$5:$C$190=$B4)*Inputs!$D$5:$D$190*(((Inputs!$G$5:$G$190="moeda")+(Inputs!$G$5:$G$190="acoes"))*Inputs!$B$1+((Inputs!$G$5:$G$190&lt;&gt;"moeda")*(Inputs!$G$5:$G$190&lt;&gt;"acoes")))*INDEX(Inputs!$K$5:$AJ$190,0,MATCH(I$2,Inputs!$K$4:$AJ$4,0)))+SUMPRODUCT((Inputs!$E$5:$E$190=$B4)*Inputs!$F$5:$F$190*(((Inputs!$G$5:$G$190="moeda")+(Inputs!$G$5:$G$190="acoes"))*Inputs!$B$1+((Inputs!$G$5:$G$190&lt;&gt;"moeda")*(Inputs!$G$5:$G$190&lt;&gt;"acoes")))*INDEX(Inputs!$K$5:$AJ$190,0,MATCH(I$2,Inputs!$K$4:$AJ$4,0)))))</f>
        <v>4530.19701273988</v>
      </c>
      <c r="J4" s="6">
        <f>IF(ISNA(MATCH(J$2,Inputs!$K$4:$AJ$4,0)),NA(),IF(SUMPRODUCT((Inputs!$A$5:$A$190=$B4)*ISNUMBER(INDEX(Inputs!$K$5:$AJ$190,0,MATCH(J$2,Inputs!$K$4:$AJ$4,0))))+SUMPRODUCT((Inputs!$C$5:$C$190=$B4)*ISNUMBER(INDEX(Inputs!$K$5:$AJ$190,0,MATCH(J$2,Inputs!$K$4:$AJ$4,0))))+SUMPRODUCT((Inputs!$E$5:$E$190=$B4)*ISNUMBER(INDEX(Inputs!$K$5:$AJ$190,0,MATCH(J$2,Inputs!$K$4:$AJ$4,0))))=0,NA(),SUMPRODUCT((Inputs!$A$5:$A$190=$B4)*Inputs!$B$5:$B$190*(((Inputs!$G$5:$G$190="moeda")+(Inputs!$G$5:$G$190="acoes"))*Inputs!$B$1+((Inputs!$G$5:$G$190&lt;&gt;"moeda")*(Inputs!$G$5:$G$190&lt;&gt;"acoes")))*INDEX(Inputs!$K$5:$AJ$190,0,MATCH(J$2,Inputs!$K$4:$AJ$4,0)))+SUMPRODUCT((Inputs!$C$5:$C$190=$B4)*Inputs!$D$5:$D$190*(((Inputs!$G$5:$G$190="moeda")+(Inputs!$G$5:$G$190="acoes"))*Inputs!$B$1+((Inputs!$G$5:$G$190&lt;&gt;"moeda")*(Inputs!$G$5:$G$190&lt;&gt;"acoes")))*INDEX(Inputs!$K$5:$AJ$190,0,MATCH(J$2,Inputs!$K$4:$AJ$4,0)))+SUMPRODUCT((Inputs!$E$5:$E$190=$B4)*Inputs!$F$5:$F$190*(((Inputs!$G$5:$G$190="moeda")+(Inputs!$G$5:$G$190="acoes"))*Inputs!$B$1+((Inputs!$G$5:$G$190&lt;&gt;"moeda")*(Inputs!$G$5:$G$190&lt;&gt;"acoes")))*INDEX(Inputs!$K$5:$AJ$190,0,MATCH(J$2,Inputs!$K$4:$AJ$4,0)))))</f>
        <v>5387.14735582988</v>
      </c>
      <c r="K4" s="6">
        <f>IF(ISNA(MATCH(K$2,Inputs!$K$4:$AJ$4,0)),NA(),IF(SUMPRODUCT((Inputs!$A$5:$A$190=$B4)*ISNUMBER(INDEX(Inputs!$K$5:$AJ$190,0,MATCH(K$2,Inputs!$K$4:$AJ$4,0))))+SUMPRODUCT((Inputs!$C$5:$C$190=$B4)*ISNUMBER(INDEX(Inputs!$K$5:$AJ$190,0,MATCH(K$2,Inputs!$K$4:$AJ$4,0))))+SUMPRODUCT((Inputs!$E$5:$E$190=$B4)*ISNUMBER(INDEX(Inputs!$K$5:$AJ$190,0,MATCH(K$2,Inputs!$K$4:$AJ$4,0))))=0,NA(),SUMPRODUCT((Inputs!$A$5:$A$190=$B4)*Inputs!$B$5:$B$190*(((Inputs!$G$5:$G$190="moeda")+(Inputs!$G$5:$G$190="acoes"))*Inputs!$B$1+((Inputs!$G$5:$G$190&lt;&gt;"moeda")*(Inputs!$G$5:$G$190&lt;&gt;"acoes")))*INDEX(Inputs!$K$5:$AJ$190,0,MATCH(K$2,Inputs!$K$4:$AJ$4,0)))+SUMPRODUCT((Inputs!$C$5:$C$190=$B4)*Inputs!$D$5:$D$190*(((Inputs!$G$5:$G$190="moeda")+(Inputs!$G$5:$G$190="acoes"))*Inputs!$B$1+((Inputs!$G$5:$G$190&lt;&gt;"moeda")*(Inputs!$G$5:$G$190&lt;&gt;"acoes")))*INDEX(Inputs!$K$5:$AJ$190,0,MATCH(K$2,Inputs!$K$4:$AJ$4,0)))+SUMPRODUCT((Inputs!$E$5:$E$190=$B4)*Inputs!$F$5:$F$190*(((Inputs!$G$5:$G$190="moeda")+(Inputs!$G$5:$G$190="acoes"))*Inputs!$B$1+((Inputs!$G$5:$G$190&lt;&gt;"moeda")*(Inputs!$G$5:$G$190&lt;&gt;"acoes")))*INDEX(Inputs!$K$5:$AJ$190,0,MATCH(K$2,Inputs!$K$4:$AJ$4,0)))))</f>
        <v>6823.35047141163</v>
      </c>
      <c r="L4" s="6">
        <f>IF(ISNA(MATCH(L$2,Inputs!$K$4:$AJ$4,0)),NA(),IF(SUMPRODUCT((Inputs!$A$5:$A$190=$B4)*ISNUMBER(INDEX(Inputs!$K$5:$AJ$190,0,MATCH(L$2,Inputs!$K$4:$AJ$4,0))))+SUMPRODUCT((Inputs!$C$5:$C$190=$B4)*ISNUMBER(INDEX(Inputs!$K$5:$AJ$190,0,MATCH(L$2,Inputs!$K$4:$AJ$4,0))))+SUMPRODUCT((Inputs!$E$5:$E$190=$B4)*ISNUMBER(INDEX(Inputs!$K$5:$AJ$190,0,MATCH(L$2,Inputs!$K$4:$AJ$4,0))))=0,NA(),SUMPRODUCT((Inputs!$A$5:$A$190=$B4)*Inputs!$B$5:$B$190*(((Inputs!$G$5:$G$190="moeda")+(Inputs!$G$5:$G$190="acoes"))*Inputs!$B$1+((Inputs!$G$5:$G$190&lt;&gt;"moeda")*(Inputs!$G$5:$G$190&lt;&gt;"acoes")))*INDEX(Inputs!$K$5:$AJ$190,0,MATCH(L$2,Inputs!$K$4:$AJ$4,0)))+SUMPRODUCT((Inputs!$C$5:$C$190=$B4)*Inputs!$D$5:$D$190*(((Inputs!$G$5:$G$190="moeda")+(Inputs!$G$5:$G$190="acoes"))*Inputs!$B$1+((Inputs!$G$5:$G$190&lt;&gt;"moeda")*(Inputs!$G$5:$G$190&lt;&gt;"acoes")))*INDEX(Inputs!$K$5:$AJ$190,0,MATCH(L$2,Inputs!$K$4:$AJ$4,0)))+SUMPRODUCT((Inputs!$E$5:$E$190=$B4)*Inputs!$F$5:$F$190*(((Inputs!$G$5:$G$190="moeda")+(Inputs!$G$5:$G$190="acoes"))*Inputs!$B$1+((Inputs!$G$5:$G$190&lt;&gt;"moeda")*(Inputs!$G$5:$G$190&lt;&gt;"acoes")))*INDEX(Inputs!$K$5:$AJ$190,0,MATCH(L$2,Inputs!$K$4:$AJ$4,0)))))</f>
        <v>7341.18627831097</v>
      </c>
      <c r="M4" s="3">
        <f>SUM(I4:L4)</f>
        <v>24081.8811182923</v>
      </c>
      <c r="N4" s="6">
        <f>IF(ISNA(MATCH(N$2,Inputs!$K$4:$AJ$4,0)),NA(),IF(SUMPRODUCT((Inputs!$A$5:$A$190=$B4)*ISNUMBER(INDEX(Inputs!$K$5:$AJ$190,0,MATCH(N$2,Inputs!$K$4:$AJ$4,0))))+SUMPRODUCT((Inputs!$C$5:$C$190=$B4)*ISNUMBER(INDEX(Inputs!$K$5:$AJ$190,0,MATCH(N$2,Inputs!$K$4:$AJ$4,0))))+SUMPRODUCT((Inputs!$E$5:$E$190=$B4)*ISNUMBER(INDEX(Inputs!$K$5:$AJ$190,0,MATCH(N$2,Inputs!$K$4:$AJ$4,0))))=0,NA(),SUMPRODUCT((Inputs!$A$5:$A$190=$B4)*Inputs!$B$5:$B$190*(((Inputs!$G$5:$G$190="moeda")+(Inputs!$G$5:$G$190="acoes"))*Inputs!$B$1+((Inputs!$G$5:$G$190&lt;&gt;"moeda")*(Inputs!$G$5:$G$190&lt;&gt;"acoes")))*INDEX(Inputs!$K$5:$AJ$190,0,MATCH(N$2,Inputs!$K$4:$AJ$4,0)))+SUMPRODUCT((Inputs!$C$5:$C$190=$B4)*Inputs!$D$5:$D$190*(((Inputs!$G$5:$G$190="moeda")+(Inputs!$G$5:$G$190="acoes"))*Inputs!$B$1+((Inputs!$G$5:$G$190&lt;&gt;"moeda")*(Inputs!$G$5:$G$190&lt;&gt;"acoes")))*INDEX(Inputs!$K$5:$AJ$190,0,MATCH(N$2,Inputs!$K$4:$AJ$4,0)))+SUMPRODUCT((Inputs!$E$5:$E$190=$B4)*Inputs!$F$5:$F$190*(((Inputs!$G$5:$G$190="moeda")+(Inputs!$G$5:$G$190="acoes"))*Inputs!$B$1+((Inputs!$G$5:$G$190&lt;&gt;"moeda")*(Inputs!$G$5:$G$190&lt;&gt;"acoes")))*INDEX(Inputs!$K$5:$AJ$190,0,MATCH(N$2,Inputs!$K$4:$AJ$4,0)))))</f>
        <v>7440.04382122622</v>
      </c>
      <c r="O4" s="6">
        <f>IF(ISNA(MATCH(O$2,Inputs!$K$4:$AJ$4,0)),NA(),IF(SUMPRODUCT((Inputs!$A$5:$A$190=$B4)*ISNUMBER(INDEX(Inputs!$K$5:$AJ$190,0,MATCH(O$2,Inputs!$K$4:$AJ$4,0))))+SUMPRODUCT((Inputs!$C$5:$C$190=$B4)*ISNUMBER(INDEX(Inputs!$K$5:$AJ$190,0,MATCH(O$2,Inputs!$K$4:$AJ$4,0))))+SUMPRODUCT((Inputs!$E$5:$E$190=$B4)*ISNUMBER(INDEX(Inputs!$K$5:$AJ$190,0,MATCH(O$2,Inputs!$K$4:$AJ$4,0))))=0,NA(),SUMPRODUCT((Inputs!$A$5:$A$190=$B4)*Inputs!$B$5:$B$190*(((Inputs!$G$5:$G$190="moeda")+(Inputs!$G$5:$G$190="acoes"))*Inputs!$B$1+((Inputs!$G$5:$G$190&lt;&gt;"moeda")*(Inputs!$G$5:$G$190&lt;&gt;"acoes")))*INDEX(Inputs!$K$5:$AJ$190,0,MATCH(O$2,Inputs!$K$4:$AJ$4,0)))+SUMPRODUCT((Inputs!$C$5:$C$190=$B4)*Inputs!$D$5:$D$190*(((Inputs!$G$5:$G$190="moeda")+(Inputs!$G$5:$G$190="acoes"))*Inputs!$B$1+((Inputs!$G$5:$G$190&lt;&gt;"moeda")*(Inputs!$G$5:$G$190&lt;&gt;"acoes")))*INDEX(Inputs!$K$5:$AJ$190,0,MATCH(O$2,Inputs!$K$4:$AJ$4,0)))+SUMPRODUCT((Inputs!$E$5:$E$190=$B4)*Inputs!$F$5:$F$190*(((Inputs!$G$5:$G$190="moeda")+(Inputs!$G$5:$G$190="acoes"))*Inputs!$B$1+((Inputs!$G$5:$G$190&lt;&gt;"moeda")*(Inputs!$G$5:$G$190&lt;&gt;"acoes")))*INDEX(Inputs!$K$5:$AJ$190,0,MATCH(O$2,Inputs!$K$4:$AJ$4,0)))))</f>
        <v>7563.63617877378</v>
      </c>
      <c r="P4" s="6">
        <f>IF(ISNA(MATCH(P$2,Inputs!$K$4:$AJ$4,0)),NA(),IF(SUMPRODUCT((Inputs!$A$5:$A$190=$B4)*ISNUMBER(INDEX(Inputs!$K$5:$AJ$190,0,MATCH(P$2,Inputs!$K$4:$AJ$4,0))))+SUMPRODUCT((Inputs!$C$5:$C$190=$B4)*ISNUMBER(INDEX(Inputs!$K$5:$AJ$190,0,MATCH(P$2,Inputs!$K$4:$AJ$4,0))))+SUMPRODUCT((Inputs!$E$5:$E$190=$B4)*ISNUMBER(INDEX(Inputs!$K$5:$AJ$190,0,MATCH(P$2,Inputs!$K$4:$AJ$4,0))))=0,NA(),SUMPRODUCT((Inputs!$A$5:$A$190=$B4)*Inputs!$B$5:$B$190*(((Inputs!$G$5:$G$190="moeda")+(Inputs!$G$5:$G$190="acoes"))*Inputs!$B$1+((Inputs!$G$5:$G$190&lt;&gt;"moeda")*(Inputs!$G$5:$G$190&lt;&gt;"acoes")))*INDEX(Inputs!$K$5:$AJ$190,0,MATCH(P$2,Inputs!$K$4:$AJ$4,0)))+SUMPRODUCT((Inputs!$C$5:$C$190=$B4)*Inputs!$D$5:$D$190*(((Inputs!$G$5:$G$190="moeda")+(Inputs!$G$5:$G$190="acoes"))*Inputs!$B$1+((Inputs!$G$5:$G$190&lt;&gt;"moeda")*(Inputs!$G$5:$G$190&lt;&gt;"acoes")))*INDEX(Inputs!$K$5:$AJ$190,0,MATCH(P$2,Inputs!$K$4:$AJ$4,0)))+SUMPRODUCT((Inputs!$E$5:$E$190=$B4)*Inputs!$F$5:$F$190*(((Inputs!$G$5:$G$190="moeda")+(Inputs!$G$5:$G$190="acoes"))*Inputs!$B$1+((Inputs!$G$5:$G$190&lt;&gt;"moeda")*(Inputs!$G$5:$G$190&lt;&gt;"acoes")))*INDEX(Inputs!$K$5:$AJ$190,0,MATCH(P$2,Inputs!$K$4:$AJ$4,0)))))</f>
        <v>8318.109</v>
      </c>
      <c r="Q4" s="6">
        <f>IF(ISNA(MATCH(Q$2,Inputs!$K$4:$AJ$4,0)),NA(),IF(SUMPRODUCT((Inputs!$A$5:$A$190=$B4)*ISNUMBER(INDEX(Inputs!$K$5:$AJ$190,0,MATCH(Q$2,Inputs!$K$4:$AJ$4,0))))+SUMPRODUCT((Inputs!$C$5:$C$190=$B4)*ISNUMBER(INDEX(Inputs!$K$5:$AJ$190,0,MATCH(Q$2,Inputs!$K$4:$AJ$4,0))))+SUMPRODUCT((Inputs!$E$5:$E$190=$B4)*ISNUMBER(INDEX(Inputs!$K$5:$AJ$190,0,MATCH(Q$2,Inputs!$K$4:$AJ$4,0))))=0,NA(),SUMPRODUCT((Inputs!$A$5:$A$190=$B4)*Inputs!$B$5:$B$190*(((Inputs!$G$5:$G$190="moeda")+(Inputs!$G$5:$G$190="acoes"))*Inputs!$B$1+((Inputs!$G$5:$G$190&lt;&gt;"moeda")*(Inputs!$G$5:$G$190&lt;&gt;"acoes")))*INDEX(Inputs!$K$5:$AJ$190,0,MATCH(Q$2,Inputs!$K$4:$AJ$4,0)))+SUMPRODUCT((Inputs!$C$5:$C$190=$B4)*Inputs!$D$5:$D$190*(((Inputs!$G$5:$G$190="moeda")+(Inputs!$G$5:$G$190="acoes"))*Inputs!$B$1+((Inputs!$G$5:$G$190&lt;&gt;"moeda")*(Inputs!$G$5:$G$190&lt;&gt;"acoes")))*INDEX(Inputs!$K$5:$AJ$190,0,MATCH(Q$2,Inputs!$K$4:$AJ$4,0)))+SUMPRODUCT((Inputs!$E$5:$E$190=$B4)*Inputs!$F$5:$F$190*(((Inputs!$G$5:$G$190="moeda")+(Inputs!$G$5:$G$190="acoes"))*Inputs!$B$1+((Inputs!$G$5:$G$190&lt;&gt;"moeda")*(Inputs!$G$5:$G$190&lt;&gt;"acoes")))*INDEX(Inputs!$K$5:$AJ$190,0,MATCH(Q$2,Inputs!$K$4:$AJ$4,0)))))</f>
        <v>8521.824</v>
      </c>
      <c r="R4" s="3">
        <f>SUM(N4:Q4)</f>
        <v>31843.613</v>
      </c>
      <c r="S4" s="6">
        <f>IF(ISNA(MATCH(S$2,Inputs!$K$4:$AJ$4,0)),NA(),IF(SUMPRODUCT((Inputs!$A$5:$A$190=$B4)*ISNUMBER(INDEX(Inputs!$K$5:$AJ$190,0,MATCH(S$2,Inputs!$K$4:$AJ$4,0))))+SUMPRODUCT((Inputs!$C$5:$C$190=$B4)*ISNUMBER(INDEX(Inputs!$K$5:$AJ$190,0,MATCH(S$2,Inputs!$K$4:$AJ$4,0))))+SUMPRODUCT((Inputs!$E$5:$E$190=$B4)*ISNUMBER(INDEX(Inputs!$K$5:$AJ$190,0,MATCH(S$2,Inputs!$K$4:$AJ$4,0))))=0,NA(),SUMPRODUCT((Inputs!$A$5:$A$190=$B4)*Inputs!$B$5:$B$190*(((Inputs!$G$5:$G$190="moeda")+(Inputs!$G$5:$G$190="acoes"))*Inputs!$B$1+((Inputs!$G$5:$G$190&lt;&gt;"moeda")*(Inputs!$G$5:$G$190&lt;&gt;"acoes")))*INDEX(Inputs!$K$5:$AJ$190,0,MATCH(S$2,Inputs!$K$4:$AJ$4,0)))+SUMPRODUCT((Inputs!$C$5:$C$190=$B4)*Inputs!$D$5:$D$190*(((Inputs!$G$5:$G$190="moeda")+(Inputs!$G$5:$G$190="acoes"))*Inputs!$B$1+((Inputs!$G$5:$G$190&lt;&gt;"moeda")*(Inputs!$G$5:$G$190&lt;&gt;"acoes")))*INDEX(Inputs!$K$5:$AJ$190,0,MATCH(S$2,Inputs!$K$4:$AJ$4,0)))+SUMPRODUCT((Inputs!$E$5:$E$190=$B4)*Inputs!$F$5:$F$190*(((Inputs!$G$5:$G$190="moeda")+(Inputs!$G$5:$G$190="acoes"))*Inputs!$B$1+((Inputs!$G$5:$G$190&lt;&gt;"moeda")*(Inputs!$G$5:$G$190&lt;&gt;"acoes")))*INDEX(Inputs!$K$5:$AJ$190,0,MATCH(S$2,Inputs!$K$4:$AJ$4,0)))))</f>
        <v>9066.59642925</v>
      </c>
      <c r="T4" s="6">
        <f>IF(ISNA(MATCH(T$2,Inputs!$K$4:$AJ$4,0)),NA(),IF(SUMPRODUCT((Inputs!$A$5:$A$190=$B4)*ISNUMBER(INDEX(Inputs!$K$5:$AJ$190,0,MATCH(T$2,Inputs!$K$4:$AJ$4,0))))+SUMPRODUCT((Inputs!$C$5:$C$190=$B4)*ISNUMBER(INDEX(Inputs!$K$5:$AJ$190,0,MATCH(T$2,Inputs!$K$4:$AJ$4,0))))+SUMPRODUCT((Inputs!$E$5:$E$190=$B4)*ISNUMBER(INDEX(Inputs!$K$5:$AJ$190,0,MATCH(T$2,Inputs!$K$4:$AJ$4,0))))=0,NA(),SUMPRODUCT((Inputs!$A$5:$A$190=$B4)*Inputs!$B$5:$B$190*(((Inputs!$G$5:$G$190="moeda")+(Inputs!$G$5:$G$190="acoes"))*Inputs!$B$1+((Inputs!$G$5:$G$190&lt;&gt;"moeda")*(Inputs!$G$5:$G$190&lt;&gt;"acoes")))*INDEX(Inputs!$K$5:$AJ$190,0,MATCH(T$2,Inputs!$K$4:$AJ$4,0)))+SUMPRODUCT((Inputs!$C$5:$C$190=$B4)*Inputs!$D$5:$D$190*(((Inputs!$G$5:$G$190="moeda")+(Inputs!$G$5:$G$190="acoes"))*Inputs!$B$1+((Inputs!$G$5:$G$190&lt;&gt;"moeda")*(Inputs!$G$5:$G$190&lt;&gt;"acoes")))*INDEX(Inputs!$K$5:$AJ$190,0,MATCH(T$2,Inputs!$K$4:$AJ$4,0)))+SUMPRODUCT((Inputs!$E$5:$E$190=$B4)*Inputs!$F$5:$F$190*(((Inputs!$G$5:$G$190="moeda")+(Inputs!$G$5:$G$190="acoes"))*Inputs!$B$1+((Inputs!$G$5:$G$190&lt;&gt;"moeda")*(Inputs!$G$5:$G$190&lt;&gt;"acoes")))*INDEX(Inputs!$K$5:$AJ$190,0,MATCH(T$2,Inputs!$K$4:$AJ$4,0)))))</f>
        <v>10227.19018878</v>
      </c>
      <c r="U4" s="6">
        <f>IF(ISNA(MATCH(U$2,Inputs!$K$4:$AJ$4,0)),NA(),IF(SUMPRODUCT((Inputs!$A$5:$A$190=$B4)*ISNUMBER(INDEX(Inputs!$K$5:$AJ$190,0,MATCH(U$2,Inputs!$K$4:$AJ$4,0))))+SUMPRODUCT((Inputs!$C$5:$C$190=$B4)*ISNUMBER(INDEX(Inputs!$K$5:$AJ$190,0,MATCH(U$2,Inputs!$K$4:$AJ$4,0))))+SUMPRODUCT((Inputs!$E$5:$E$190=$B4)*ISNUMBER(INDEX(Inputs!$K$5:$AJ$190,0,MATCH(U$2,Inputs!$K$4:$AJ$4,0))))=0,NA(),SUMPRODUCT((Inputs!$A$5:$A$190=$B4)*Inputs!$B$5:$B$190*(((Inputs!$G$5:$G$190="moeda")+(Inputs!$G$5:$G$190="acoes"))*Inputs!$B$1+((Inputs!$G$5:$G$190&lt;&gt;"moeda")*(Inputs!$G$5:$G$190&lt;&gt;"acoes")))*INDEX(Inputs!$K$5:$AJ$190,0,MATCH(U$2,Inputs!$K$4:$AJ$4,0)))+SUMPRODUCT((Inputs!$C$5:$C$190=$B4)*Inputs!$D$5:$D$190*(((Inputs!$G$5:$G$190="moeda")+(Inputs!$G$5:$G$190="acoes"))*Inputs!$B$1+((Inputs!$G$5:$G$190&lt;&gt;"moeda")*(Inputs!$G$5:$G$190&lt;&gt;"acoes")))*INDEX(Inputs!$K$5:$AJ$190,0,MATCH(U$2,Inputs!$K$4:$AJ$4,0)))+SUMPRODUCT((Inputs!$E$5:$E$190=$B4)*Inputs!$F$5:$F$190*(((Inputs!$G$5:$G$190="moeda")+(Inputs!$G$5:$G$190="acoes"))*Inputs!$B$1+((Inputs!$G$5:$G$190&lt;&gt;"moeda")*(Inputs!$G$5:$G$190&lt;&gt;"acoes")))*INDEX(Inputs!$K$5:$AJ$190,0,MATCH(U$2,Inputs!$K$4:$AJ$4,0)))))</f>
        <v>10790.49060251</v>
      </c>
      <c r="V4" s="6">
        <f>IF(ISNA(MATCH(V$2,Inputs!$K$4:$AJ$4,0)),NA(),IF(SUMPRODUCT((Inputs!$A$5:$A$190=$B4)*ISNUMBER(INDEX(Inputs!$K$5:$AJ$190,0,MATCH(V$2,Inputs!$K$4:$AJ$4,0))))+SUMPRODUCT((Inputs!$C$5:$C$190=$B4)*ISNUMBER(INDEX(Inputs!$K$5:$AJ$190,0,MATCH(V$2,Inputs!$K$4:$AJ$4,0))))+SUMPRODUCT((Inputs!$E$5:$E$190=$B4)*ISNUMBER(INDEX(Inputs!$K$5:$AJ$190,0,MATCH(V$2,Inputs!$K$4:$AJ$4,0))))=0,NA(),SUMPRODUCT((Inputs!$A$5:$A$190=$B4)*Inputs!$B$5:$B$190*(((Inputs!$G$5:$G$190="moeda")+(Inputs!$G$5:$G$190="acoes"))*Inputs!$B$1+((Inputs!$G$5:$G$190&lt;&gt;"moeda")*(Inputs!$G$5:$G$190&lt;&gt;"acoes")))*INDEX(Inputs!$K$5:$AJ$190,0,MATCH(V$2,Inputs!$K$4:$AJ$4,0)))+SUMPRODUCT((Inputs!$C$5:$C$190=$B4)*Inputs!$D$5:$D$190*(((Inputs!$G$5:$G$190="moeda")+(Inputs!$G$5:$G$190="acoes"))*Inputs!$B$1+((Inputs!$G$5:$G$190&lt;&gt;"moeda")*(Inputs!$G$5:$G$190&lt;&gt;"acoes")))*INDEX(Inputs!$K$5:$AJ$190,0,MATCH(V$2,Inputs!$K$4:$AJ$4,0)))+SUMPRODUCT((Inputs!$E$5:$E$190=$B4)*Inputs!$F$5:$F$190*(((Inputs!$G$5:$G$190="moeda")+(Inputs!$G$5:$G$190="acoes"))*Inputs!$B$1+((Inputs!$G$5:$G$190&lt;&gt;"moeda")*(Inputs!$G$5:$G$190&lt;&gt;"acoes")))*INDEX(Inputs!$K$5:$AJ$190,0,MATCH(V$2,Inputs!$K$4:$AJ$4,0)))))</f>
        <v>10653.80870459</v>
      </c>
      <c r="W4" s="3">
        <f>SUM(S4:V4)</f>
        <v>40738.08592513</v>
      </c>
      <c r="X4" s="6">
        <f>IF(ISNA(MATCH(X$2,Inputs!$K$4:$AJ$4,0)),NA(),IF(SUMPRODUCT((Inputs!$A$5:$A$190=$B4)*ISNUMBER(INDEX(Inputs!$K$5:$AJ$190,0,MATCH(X$2,Inputs!$K$4:$AJ$4,0))))+SUMPRODUCT((Inputs!$C$5:$C$190=$B4)*ISNUMBER(INDEX(Inputs!$K$5:$AJ$190,0,MATCH(X$2,Inputs!$K$4:$AJ$4,0))))+SUMPRODUCT((Inputs!$E$5:$E$190=$B4)*ISNUMBER(INDEX(Inputs!$K$5:$AJ$190,0,MATCH(X$2,Inputs!$K$4:$AJ$4,0))))=0,NA(),SUMPRODUCT((Inputs!$A$5:$A$190=$B4)*Inputs!$B$5:$B$190*(((Inputs!$G$5:$G$190="moeda")+(Inputs!$G$5:$G$190="acoes"))*Inputs!$B$1+((Inputs!$G$5:$G$190&lt;&gt;"moeda")*(Inputs!$G$5:$G$190&lt;&gt;"acoes")))*INDEX(Inputs!$K$5:$AJ$190,0,MATCH(X$2,Inputs!$K$4:$AJ$4,0)))+SUMPRODUCT((Inputs!$C$5:$C$190=$B4)*Inputs!$D$5:$D$190*(((Inputs!$G$5:$G$190="moeda")+(Inputs!$G$5:$G$190="acoes"))*Inputs!$B$1+((Inputs!$G$5:$G$190&lt;&gt;"moeda")*(Inputs!$G$5:$G$190&lt;&gt;"acoes")))*INDEX(Inputs!$K$5:$AJ$190,0,MATCH(X$2,Inputs!$K$4:$AJ$4,0)))+SUMPRODUCT((Inputs!$E$5:$E$190=$B4)*Inputs!$F$5:$F$190*(((Inputs!$G$5:$G$190="moeda")+(Inputs!$G$5:$G$190="acoes"))*Inputs!$B$1+((Inputs!$G$5:$G$190&lt;&gt;"moeda")*(Inputs!$G$5:$G$190&lt;&gt;"acoes")))*INDEX(Inputs!$K$5:$AJ$190,0,MATCH(X$2,Inputs!$K$4:$AJ$4,0)))))</f>
        <v>10244.63461166</v>
      </c>
      <c r="Y4" s="6">
        <f>IF(ISNA(MATCH(Y$2,Inputs!$K$4:$AJ$4,0)),NA(),IF(SUMPRODUCT((Inputs!$A$5:$A$190=$B4)*ISNUMBER(INDEX(Inputs!$K$5:$AJ$190,0,MATCH(Y$2,Inputs!$K$4:$AJ$4,0))))+SUMPRODUCT((Inputs!$C$5:$C$190=$B4)*ISNUMBER(INDEX(Inputs!$K$5:$AJ$190,0,MATCH(Y$2,Inputs!$K$4:$AJ$4,0))))+SUMPRODUCT((Inputs!$E$5:$E$190=$B4)*ISNUMBER(INDEX(Inputs!$K$5:$AJ$190,0,MATCH(Y$2,Inputs!$K$4:$AJ$4,0))))=0,NA(),SUMPRODUCT((Inputs!$A$5:$A$190=$B4)*Inputs!$B$5:$B$190*(((Inputs!$G$5:$G$190="moeda")+(Inputs!$G$5:$G$190="acoes"))*Inputs!$B$1+((Inputs!$G$5:$G$190&lt;&gt;"moeda")*(Inputs!$G$5:$G$190&lt;&gt;"acoes")))*INDEX(Inputs!$K$5:$AJ$190,0,MATCH(Y$2,Inputs!$K$4:$AJ$4,0)))+SUMPRODUCT((Inputs!$C$5:$C$190=$B4)*Inputs!$D$5:$D$190*(((Inputs!$G$5:$G$190="moeda")+(Inputs!$G$5:$G$190="acoes"))*Inputs!$B$1+((Inputs!$G$5:$G$190&lt;&gt;"moeda")*(Inputs!$G$5:$G$190&lt;&gt;"acoes")))*INDEX(Inputs!$K$5:$AJ$190,0,MATCH(Y$2,Inputs!$K$4:$AJ$4,0)))+SUMPRODUCT((Inputs!$E$5:$E$190=$B4)*Inputs!$F$5:$F$190*(((Inputs!$G$5:$G$190="moeda")+(Inputs!$G$5:$G$190="acoes"))*Inputs!$B$1+((Inputs!$G$5:$G$190&lt;&gt;"moeda")*(Inputs!$G$5:$G$190&lt;&gt;"acoes")))*INDEX(Inputs!$K$5:$AJ$190,0,MATCH(Y$2,Inputs!$K$4:$AJ$4,0)))))</f>
        <v>10340.78606133</v>
      </c>
      <c r="Z4" s="6">
        <f>IF(ISNA(MATCH(Z$2,Inputs!$K$4:$AJ$4,0)),NA(),IF(SUMPRODUCT((Inputs!$A$5:$A$190=$B4)*ISNUMBER(INDEX(Inputs!$K$5:$AJ$190,0,MATCH(Z$2,Inputs!$K$4:$AJ$4,0))))+SUMPRODUCT((Inputs!$C$5:$C$190=$B4)*ISNUMBER(INDEX(Inputs!$K$5:$AJ$190,0,MATCH(Z$2,Inputs!$K$4:$AJ$4,0))))+SUMPRODUCT((Inputs!$E$5:$E$190=$B4)*ISNUMBER(INDEX(Inputs!$K$5:$AJ$190,0,MATCH(Z$2,Inputs!$K$4:$AJ$4,0))))=0,NA(),SUMPRODUCT((Inputs!$A$5:$A$190=$B4)*Inputs!$B$5:$B$190*(((Inputs!$G$5:$G$190="moeda")+(Inputs!$G$5:$G$190="acoes"))*Inputs!$B$1+((Inputs!$G$5:$G$190&lt;&gt;"moeda")*(Inputs!$G$5:$G$190&lt;&gt;"acoes")))*INDEX(Inputs!$K$5:$AJ$190,0,MATCH(Z$2,Inputs!$K$4:$AJ$4,0)))+SUMPRODUCT((Inputs!$C$5:$C$190=$B4)*Inputs!$D$5:$D$190*(((Inputs!$G$5:$G$190="moeda")+(Inputs!$G$5:$G$190="acoes"))*Inputs!$B$1+((Inputs!$G$5:$G$190&lt;&gt;"moeda")*(Inputs!$G$5:$G$190&lt;&gt;"acoes")))*INDEX(Inputs!$K$5:$AJ$190,0,MATCH(Z$2,Inputs!$K$4:$AJ$4,0)))+SUMPRODUCT((Inputs!$E$5:$E$190=$B4)*Inputs!$F$5:$F$190*(((Inputs!$G$5:$G$190="moeda")+(Inputs!$G$5:$G$190="acoes"))*Inputs!$B$1+((Inputs!$G$5:$G$190&lt;&gt;"moeda")*(Inputs!$G$5:$G$190&lt;&gt;"acoes")))*INDEX(Inputs!$K$5:$AJ$190,0,MATCH(Z$2,Inputs!$K$4:$AJ$4,0)))))</f>
        <v>11100.93342807</v>
      </c>
      <c r="AA4" s="6">
        <f>IF(ISNA(MATCH(AA$2,Inputs!$K$4:$AJ$4,0)),NA(),IF(SUMPRODUCT((Inputs!$A$5:$A$190=$B4)*ISNUMBER(INDEX(Inputs!$K$5:$AJ$190,0,MATCH(AA$2,Inputs!$K$4:$AJ$4,0))))+SUMPRODUCT((Inputs!$C$5:$C$190=$B4)*ISNUMBER(INDEX(Inputs!$K$5:$AJ$190,0,MATCH(AA$2,Inputs!$K$4:$AJ$4,0))))+SUMPRODUCT((Inputs!$E$5:$E$190=$B4)*ISNUMBER(INDEX(Inputs!$K$5:$AJ$190,0,MATCH(AA$2,Inputs!$K$4:$AJ$4,0))))=0,NA(),SUMPRODUCT((Inputs!$A$5:$A$190=$B4)*Inputs!$B$5:$B$190*(((Inputs!$G$5:$G$190="moeda")+(Inputs!$G$5:$G$190="acoes"))*Inputs!$B$1+((Inputs!$G$5:$G$190&lt;&gt;"moeda")*(Inputs!$G$5:$G$190&lt;&gt;"acoes")))*INDEX(Inputs!$K$5:$AJ$190,0,MATCH(AA$2,Inputs!$K$4:$AJ$4,0)))+SUMPRODUCT((Inputs!$C$5:$C$190=$B4)*Inputs!$D$5:$D$190*(((Inputs!$G$5:$G$190="moeda")+(Inputs!$G$5:$G$190="acoes"))*Inputs!$B$1+((Inputs!$G$5:$G$190&lt;&gt;"moeda")*(Inputs!$G$5:$G$190&lt;&gt;"acoes")))*INDEX(Inputs!$K$5:$AJ$190,0,MATCH(AA$2,Inputs!$K$4:$AJ$4,0)))+SUMPRODUCT((Inputs!$E$5:$E$190=$B4)*Inputs!$F$5:$F$190*(((Inputs!$G$5:$G$190="moeda")+(Inputs!$G$5:$G$190="acoes"))*Inputs!$B$1+((Inputs!$G$5:$G$190&lt;&gt;"moeda")*(Inputs!$G$5:$G$190&lt;&gt;"acoes")))*INDEX(Inputs!$K$5:$AJ$190,0,MATCH(AA$2,Inputs!$K$4:$AJ$4,0)))))</f>
        <v>11119.49197747</v>
      </c>
      <c r="AB4" s="3">
        <f>SUM(X4:AA4)</f>
        <v>42805.84607853</v>
      </c>
      <c r="AC4" s="6">
        <f>IF(ISNA(MATCH(AC$2,Inputs!$K$4:$AJ$4,0)),NA(),IF(SUMPRODUCT((Inputs!$A$5:$A$190=$B4)*ISNUMBER(INDEX(Inputs!$K$5:$AJ$190,0,MATCH(AC$2,Inputs!$K$4:$AJ$4,0))))+SUMPRODUCT((Inputs!$C$5:$C$190=$B4)*ISNUMBER(INDEX(Inputs!$K$5:$AJ$190,0,MATCH(AC$2,Inputs!$K$4:$AJ$4,0))))+SUMPRODUCT((Inputs!$E$5:$E$190=$B4)*ISNUMBER(INDEX(Inputs!$K$5:$AJ$190,0,MATCH(AC$2,Inputs!$K$4:$AJ$4,0))))=0,NA(),SUMPRODUCT((Inputs!$A$5:$A$190=$B4)*Inputs!$B$5:$B$190*(((Inputs!$G$5:$G$190="moeda")+(Inputs!$G$5:$G$190="acoes"))*Inputs!$B$1+((Inputs!$G$5:$G$190&lt;&gt;"moeda")*(Inputs!$G$5:$G$190&lt;&gt;"acoes")))*INDEX(Inputs!$K$5:$AJ$190,0,MATCH(AC$2,Inputs!$K$4:$AJ$4,0)))+SUMPRODUCT((Inputs!$C$5:$C$190=$B4)*Inputs!$D$5:$D$190*(((Inputs!$G$5:$G$190="moeda")+(Inputs!$G$5:$G$190="acoes"))*Inputs!$B$1+((Inputs!$G$5:$G$190&lt;&gt;"moeda")*(Inputs!$G$5:$G$190&lt;&gt;"acoes")))*INDEX(Inputs!$K$5:$AJ$190,0,MATCH(AC$2,Inputs!$K$4:$AJ$4,0)))+SUMPRODUCT((Inputs!$E$5:$E$190=$B4)*Inputs!$F$5:$F$190*(((Inputs!$G$5:$G$190="moeda")+(Inputs!$G$5:$G$190="acoes"))*Inputs!$B$1+((Inputs!$G$5:$G$190&lt;&gt;"moeda")*(Inputs!$G$5:$G$190&lt;&gt;"acoes")))*INDEX(Inputs!$K$5:$AJ$190,0,MATCH(AC$2,Inputs!$K$4:$AJ$4,0)))))</f>
        <v>10924.2982817</v>
      </c>
      <c r="AD4" s="6">
        <f>IF(ISNA(MATCH(AD$2,Inputs!$K$4:$AJ$4,0)),NA(),IF(SUMPRODUCT((Inputs!$A$5:$A$190=$B4)*ISNUMBER(INDEX(Inputs!$K$5:$AJ$190,0,MATCH(AD$2,Inputs!$K$4:$AJ$4,0))))+SUMPRODUCT((Inputs!$C$5:$C$190=$B4)*ISNUMBER(INDEX(Inputs!$K$5:$AJ$190,0,MATCH(AD$2,Inputs!$K$4:$AJ$4,0))))+SUMPRODUCT((Inputs!$E$5:$E$190=$B4)*ISNUMBER(INDEX(Inputs!$K$5:$AJ$190,0,MATCH(AD$2,Inputs!$K$4:$AJ$4,0))))=0,NA(),SUMPRODUCT((Inputs!$A$5:$A$190=$B4)*Inputs!$B$5:$B$190*(((Inputs!$G$5:$G$190="moeda")+(Inputs!$G$5:$G$190="acoes"))*Inputs!$B$1+((Inputs!$G$5:$G$190&lt;&gt;"moeda")*(Inputs!$G$5:$G$190&lt;&gt;"acoes")))*INDEX(Inputs!$K$5:$AJ$190,0,MATCH(AD$2,Inputs!$K$4:$AJ$4,0)))+SUMPRODUCT((Inputs!$C$5:$C$190=$B4)*Inputs!$D$5:$D$190*(((Inputs!$G$5:$G$190="moeda")+(Inputs!$G$5:$G$190="acoes"))*Inputs!$B$1+((Inputs!$G$5:$G$190&lt;&gt;"moeda")*(Inputs!$G$5:$G$190&lt;&gt;"acoes")))*INDEX(Inputs!$K$5:$AJ$190,0,MATCH(AD$2,Inputs!$K$4:$AJ$4,0)))+SUMPRODUCT((Inputs!$E$5:$E$190=$B4)*Inputs!$F$5:$F$190*(((Inputs!$G$5:$G$190="moeda")+(Inputs!$G$5:$G$190="acoes"))*Inputs!$B$1+((Inputs!$G$5:$G$190&lt;&gt;"moeda")*(Inputs!$G$5:$G$190&lt;&gt;"acoes")))*INDEX(Inputs!$K$5:$AJ$190,0,MATCH(AD$2,Inputs!$K$4:$AJ$4,0)))))</f>
        <v>11248.66185844</v>
      </c>
      <c r="AE4" s="6" t="e">
        <f>IF(ISNA(MATCH(AE$2,Inputs!$K$4:$AJ$4,0)),NA(),IF(SUMPRODUCT((Inputs!$A$5:$A$190=$B4)*ISNUMBER(INDEX(Inputs!$K$5:$AJ$190,0,MATCH(AE$2,Inputs!$K$4:$AJ$4,0))))+SUMPRODUCT((Inputs!$C$5:$C$190=$B4)*ISNUMBER(INDEX(Inputs!$K$5:$AJ$190,0,MATCH(AE$2,Inputs!$K$4:$AJ$4,0))))+SUMPRODUCT((Inputs!$E$5:$E$190=$B4)*ISNUMBER(INDEX(Inputs!$K$5:$AJ$190,0,MATCH(AE$2,Inputs!$K$4:$AJ$4,0))))=0,NA(),SUMPRODUCT((Inputs!$A$5:$A$190=$B4)*Inputs!$B$5:$B$190*(((Inputs!$G$5:$G$190="moeda")+(Inputs!$G$5:$G$190="acoes"))*Inputs!$B$1+((Inputs!$G$5:$G$190&lt;&gt;"moeda")*(Inputs!$G$5:$G$190&lt;&gt;"acoes")))*INDEX(Inputs!$K$5:$AJ$190,0,MATCH(AE$2,Inputs!$K$4:$AJ$4,0)))+SUMPRODUCT((Inputs!$C$5:$C$190=$B4)*Inputs!$D$5:$D$190*(((Inputs!$G$5:$G$190="moeda")+(Inputs!$G$5:$G$190="acoes"))*Inputs!$B$1+((Inputs!$G$5:$G$190&lt;&gt;"moeda")*(Inputs!$G$5:$G$190&lt;&gt;"acoes")))*INDEX(Inputs!$K$5:$AJ$190,0,MATCH(AE$2,Inputs!$K$4:$AJ$4,0)))+SUMPRODUCT((Inputs!$E$5:$E$190=$B4)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4" s="6" t="e">
        <f>IF(ISNA(MATCH(AF$2,Inputs!$K$4:$AJ$4,0)),NA(),IF(SUMPRODUCT((Inputs!$A$5:$A$190=$B4)*ISNUMBER(INDEX(Inputs!$K$5:$AJ$190,0,MATCH(AF$2,Inputs!$K$4:$AJ$4,0))))+SUMPRODUCT((Inputs!$C$5:$C$190=$B4)*ISNUMBER(INDEX(Inputs!$K$5:$AJ$190,0,MATCH(AF$2,Inputs!$K$4:$AJ$4,0))))+SUMPRODUCT((Inputs!$E$5:$E$190=$B4)*ISNUMBER(INDEX(Inputs!$K$5:$AJ$190,0,MATCH(AF$2,Inputs!$K$4:$AJ$4,0))))=0,NA(),SUMPRODUCT((Inputs!$A$5:$A$190=$B4)*Inputs!$B$5:$B$190*(((Inputs!$G$5:$G$190="moeda")+(Inputs!$G$5:$G$190="acoes"))*Inputs!$B$1+((Inputs!$G$5:$G$190&lt;&gt;"moeda")*(Inputs!$G$5:$G$190&lt;&gt;"acoes")))*INDEX(Inputs!$K$5:$AJ$190,0,MATCH(AF$2,Inputs!$K$4:$AJ$4,0)))+SUMPRODUCT((Inputs!$C$5:$C$190=$B4)*Inputs!$D$5:$D$190*(((Inputs!$G$5:$G$190="moeda")+(Inputs!$G$5:$G$190="acoes"))*Inputs!$B$1+((Inputs!$G$5:$G$190&lt;&gt;"moeda")*(Inputs!$G$5:$G$190&lt;&gt;"acoes")))*INDEX(Inputs!$K$5:$AJ$190,0,MATCH(AF$2,Inputs!$K$4:$AJ$4,0)))+SUMPRODUCT((Inputs!$E$5:$E$190=$B4)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4" s="3" t="e">
        <f>SUM(AC4:AF4)</f>
        <v>#N/A</v>
      </c>
      <c r="AH4" s="6">
        <f>IF(ISNA(MATCH(AH$2,Inputs!$K$4:$AJ$4,0)),NA(),IF(SUMPRODUCT((Inputs!$A$5:$A$190=$B4)*ISNUMBER(INDEX(Inputs!$K$5:$AJ$190,0,MATCH(AH$2,Inputs!$K$4:$AJ$4,0))))+SUMPRODUCT((Inputs!$C$5:$C$190=$B4)*ISNUMBER(INDEX(Inputs!$K$5:$AJ$190,0,MATCH(AH$2,Inputs!$K$4:$AJ$4,0))))+SUMPRODUCT((Inputs!$E$5:$E$190=$B4)*ISNUMBER(INDEX(Inputs!$K$5:$AJ$190,0,MATCH(AH$2,Inputs!$K$4:$AJ$4,0))))=0,NA(),SUMPRODUCT((Inputs!$A$5:$A$190=$B4)*Inputs!$B$5:$B$190*(((Inputs!$G$5:$G$190="moeda")+(Inputs!$G$5:$G$190="acoes"))*Inputs!$B$1+((Inputs!$G$5:$G$190&lt;&gt;"moeda")*(Inputs!$G$5:$G$190&lt;&gt;"acoes")))*INDEX(Inputs!$K$5:$AJ$190,0,MATCH(AH$2,Inputs!$K$4:$AJ$4,0)))+SUMPRODUCT((Inputs!$C$5:$C$190=$B4)*Inputs!$D$5:$D$190*(((Inputs!$G$5:$G$190="moeda")+(Inputs!$G$5:$G$190="acoes"))*Inputs!$B$1+((Inputs!$G$5:$G$190&lt;&gt;"moeda")*(Inputs!$G$5:$G$190&lt;&gt;"acoes")))*INDEX(Inputs!$K$5:$AJ$190,0,MATCH(AH$2,Inputs!$K$4:$AJ$4,0)))+SUMPRODUCT((Inputs!$E$5:$E$190=$B4)*Inputs!$F$5:$F$190*(((Inputs!$G$5:$G$190="moeda")+(Inputs!$G$5:$G$190="acoes"))*Inputs!$B$1+((Inputs!$G$5:$G$190&lt;&gt;"moeda")*(Inputs!$G$5:$G$190&lt;&gt;"acoes")))*INDEX(Inputs!$K$5:$AJ$190,0,MATCH(AH$2,Inputs!$K$4:$AJ$4,0)))))</f>
        <v>2356.89228214755</v>
      </c>
      <c r="AI4" s="6">
        <f>IF(ISNA(MATCH(AI$2,Inputs!$K$4:$AJ$4,0)),NA(),IF(SUMPRODUCT((Inputs!$A$5:$A$190=$B4)*ISNUMBER(INDEX(Inputs!$K$5:$AJ$190,0,MATCH(AI$2,Inputs!$K$4:$AJ$4,0))))+SUMPRODUCT((Inputs!$C$5:$C$190=$B4)*ISNUMBER(INDEX(Inputs!$K$5:$AJ$190,0,MATCH(AI$2,Inputs!$K$4:$AJ$4,0))))+SUMPRODUCT((Inputs!$E$5:$E$190=$B4)*ISNUMBER(INDEX(Inputs!$K$5:$AJ$190,0,MATCH(AI$2,Inputs!$K$4:$AJ$4,0))))=0,NA(),SUMPRODUCT((Inputs!$A$5:$A$190=$B4)*Inputs!$B$5:$B$190*(((Inputs!$G$5:$G$190="moeda")+(Inputs!$G$5:$G$190="acoes"))*Inputs!$B$1+((Inputs!$G$5:$G$190&lt;&gt;"moeda")*(Inputs!$G$5:$G$190&lt;&gt;"acoes")))*INDEX(Inputs!$K$5:$AJ$190,0,MATCH(AI$2,Inputs!$K$4:$AJ$4,0)))+SUMPRODUCT((Inputs!$C$5:$C$190=$B4)*Inputs!$D$5:$D$190*(((Inputs!$G$5:$G$190="moeda")+(Inputs!$G$5:$G$190="acoes"))*Inputs!$B$1+((Inputs!$G$5:$G$190&lt;&gt;"moeda")*(Inputs!$G$5:$G$190&lt;&gt;"acoes")))*INDEX(Inputs!$K$5:$AJ$190,0,MATCH(AI$2,Inputs!$K$4:$AJ$4,0)))+SUMPRODUCT((Inputs!$E$5:$E$190=$B4)*Inputs!$F$5:$F$190*(((Inputs!$G$5:$G$190="moeda")+(Inputs!$G$5:$G$190="acoes"))*Inputs!$B$1+((Inputs!$G$5:$G$190&lt;&gt;"moeda")*(Inputs!$G$5:$G$190&lt;&gt;"acoes")))*INDEX(Inputs!$K$5:$AJ$190,0,MATCH(AI$2,Inputs!$K$4:$AJ$4,0)))))</f>
        <v>2197.22477004</v>
      </c>
      <c r="AJ4" s="6">
        <f>IF(ISNA(MATCH(AJ$2,Inputs!$K$4:$AJ$4,0)),NA(),IF(SUMPRODUCT((Inputs!$A$5:$A$190=$B4)*ISNUMBER(INDEX(Inputs!$K$5:$AJ$190,0,MATCH(AJ$2,Inputs!$K$4:$AJ$4,0))))+SUMPRODUCT((Inputs!$C$5:$C$190=$B4)*ISNUMBER(INDEX(Inputs!$K$5:$AJ$190,0,MATCH(AJ$2,Inputs!$K$4:$AJ$4,0))))+SUMPRODUCT((Inputs!$E$5:$E$190=$B4)*ISNUMBER(INDEX(Inputs!$K$5:$AJ$190,0,MATCH(AJ$2,Inputs!$K$4:$AJ$4,0))))=0,NA(),SUMPRODUCT((Inputs!$A$5:$A$190=$B4)*Inputs!$B$5:$B$190*(((Inputs!$G$5:$G$190="moeda")+(Inputs!$G$5:$G$190="acoes"))*Inputs!$B$1+((Inputs!$G$5:$G$190&lt;&gt;"moeda")*(Inputs!$G$5:$G$190&lt;&gt;"acoes")))*INDEX(Inputs!$K$5:$AJ$190,0,MATCH(AJ$2,Inputs!$K$4:$AJ$4,0)))+SUMPRODUCT((Inputs!$C$5:$C$190=$B4)*Inputs!$D$5:$D$190*(((Inputs!$G$5:$G$190="moeda")+(Inputs!$G$5:$G$190="acoes"))*Inputs!$B$1+((Inputs!$G$5:$G$190&lt;&gt;"moeda")*(Inputs!$G$5:$G$190&lt;&gt;"acoes")))*INDEX(Inputs!$K$5:$AJ$190,0,MATCH(AJ$2,Inputs!$K$4:$AJ$4,0)))+SUMPRODUCT((Inputs!$E$5:$E$190=$B4)*Inputs!$F$5:$F$190*(((Inputs!$G$5:$G$190="moeda")+(Inputs!$G$5:$G$190="acoes"))*Inputs!$B$1+((Inputs!$G$5:$G$190&lt;&gt;"moeda")*(Inputs!$G$5:$G$190&lt;&gt;"acoes")))*INDEX(Inputs!$K$5:$AJ$190,0,MATCH(AJ$2,Inputs!$K$4:$AJ$4,0)))))</f>
        <v>2603.04494781245</v>
      </c>
      <c r="AK4" s="6">
        <f>IF(ISNA(MATCH(AK$2,Inputs!$K$4:$AJ$4,0)),NA(),IF(SUMPRODUCT((Inputs!$A$5:$A$190=$B4)*ISNUMBER(INDEX(Inputs!$K$5:$AJ$190,0,MATCH(AK$2,Inputs!$K$4:$AJ$4,0))))+SUMPRODUCT((Inputs!$C$5:$C$190=$B4)*ISNUMBER(INDEX(Inputs!$K$5:$AJ$190,0,MATCH(AK$2,Inputs!$K$4:$AJ$4,0))))+SUMPRODUCT((Inputs!$E$5:$E$190=$B4)*ISNUMBER(INDEX(Inputs!$K$5:$AJ$190,0,MATCH(AK$2,Inputs!$K$4:$AJ$4,0))))=0,NA(),SUMPRODUCT((Inputs!$A$5:$A$190=$B4)*Inputs!$B$5:$B$190*(((Inputs!$G$5:$G$190="moeda")+(Inputs!$G$5:$G$190="acoes"))*Inputs!$B$1+((Inputs!$G$5:$G$190&lt;&gt;"moeda")*(Inputs!$G$5:$G$190&lt;&gt;"acoes")))*INDEX(Inputs!$K$5:$AJ$190,0,MATCH(AK$2,Inputs!$K$4:$AJ$4,0)))+SUMPRODUCT((Inputs!$C$5:$C$190=$B4)*Inputs!$D$5:$D$190*(((Inputs!$G$5:$G$190="moeda")+(Inputs!$G$5:$G$190="acoes"))*Inputs!$B$1+((Inputs!$G$5:$G$190&lt;&gt;"moeda")*(Inputs!$G$5:$G$190&lt;&gt;"acoes")))*INDEX(Inputs!$K$5:$AJ$190,0,MATCH(AK$2,Inputs!$K$4:$AJ$4,0)))+SUMPRODUCT((Inputs!$E$5:$E$190=$B4)*Inputs!$F$5:$F$190*(((Inputs!$G$5:$G$190="moeda")+(Inputs!$G$5:$G$190="acoes"))*Inputs!$B$1+((Inputs!$G$5:$G$190&lt;&gt;"moeda")*(Inputs!$G$5:$G$190&lt;&gt;"acoes")))*INDEX(Inputs!$K$5:$AJ$190,0,MATCH(AK$2,Inputs!$K$4:$AJ$4,0)))))</f>
        <v>2649.895</v>
      </c>
      <c r="AL4" s="3">
        <f>SUM(AH4:AK4)</f>
        <v>9807.057</v>
      </c>
    </row>
    <row r="5">
      <c r="B5" s="46" t="n">
        <v>2</v>
      </c>
      <c r="C5" s="24" t="inlineStr">
        <is>
          <t>COGS (cash)</t>
        </is>
      </c>
      <c r="D5" s="6">
        <f>IF(ISNA(MATCH(D$2,Inputs!$K$4:$AJ$4,0)),NA(),IF(SUMPRODUCT((Inputs!$A$5:$A$190=$B5)*ISNUMBER(INDEX(Inputs!$K$5:$AJ$190,0,MATCH(D$2,Inputs!$K$4:$AJ$4,0))))+SUMPRODUCT((Inputs!$C$5:$C$190=$B5)*ISNUMBER(INDEX(Inputs!$K$5:$AJ$190,0,MATCH(D$2,Inputs!$K$4:$AJ$4,0))))+SUMPRODUCT((Inputs!$E$5:$E$190=$B5)*ISNUMBER(INDEX(Inputs!$K$5:$AJ$190,0,MATCH(D$2,Inputs!$K$4:$AJ$4,0))))=0,NA(),SUMPRODUCT((Inputs!$A$5:$A$190=$B5)*Inputs!$B$5:$B$190*(((Inputs!$G$5:$G$190="moeda")+(Inputs!$G$5:$G$190="acoes"))*Inputs!$B$1+((Inputs!$G$5:$G$190&lt;&gt;"moeda")*(Inputs!$G$5:$G$190&lt;&gt;"acoes")))*INDEX(Inputs!$K$5:$AJ$190,0,MATCH(D$2,Inputs!$K$4:$AJ$4,0)))+SUMPRODUCT((Inputs!$C$5:$C$190=$B5)*Inputs!$D$5:$D$190*(((Inputs!$G$5:$G$190="moeda")+(Inputs!$G$5:$G$190="acoes"))*Inputs!$B$1+((Inputs!$G$5:$G$190&lt;&gt;"moeda")*(Inputs!$G$5:$G$190&lt;&gt;"acoes")))*INDEX(Inputs!$K$5:$AJ$190,0,MATCH(D$2,Inputs!$K$4:$AJ$4,0)))+SUMPRODUCT((Inputs!$E$5:$E$190=$B5)*Inputs!$F$5:$F$190*(((Inputs!$G$5:$G$190="moeda")+(Inputs!$G$5:$G$190="acoes"))*Inputs!$B$1+((Inputs!$G$5:$G$190&lt;&gt;"moeda")*(Inputs!$G$5:$G$190&lt;&gt;"acoes")))*INDEX(Inputs!$K$5:$AJ$190,0,MATCH(D$2,Inputs!$K$4:$AJ$4,0)))))</f>
        <v>-1575.37451371469</v>
      </c>
      <c r="E5" s="6">
        <f>IF(ISNA(MATCH(E$2,Inputs!$K$4:$AJ$4,0)),NA(),IF(SUMPRODUCT((Inputs!$A$5:$A$190=$B5)*ISNUMBER(INDEX(Inputs!$K$5:$AJ$190,0,MATCH(E$2,Inputs!$K$4:$AJ$4,0))))+SUMPRODUCT((Inputs!$C$5:$C$190=$B5)*ISNUMBER(INDEX(Inputs!$K$5:$AJ$190,0,MATCH(E$2,Inputs!$K$4:$AJ$4,0))))+SUMPRODUCT((Inputs!$E$5:$E$190=$B5)*ISNUMBER(INDEX(Inputs!$K$5:$AJ$190,0,MATCH(E$2,Inputs!$K$4:$AJ$4,0))))=0,NA(),SUMPRODUCT((Inputs!$A$5:$A$190=$B5)*Inputs!$B$5:$B$190*(((Inputs!$G$5:$G$190="moeda")+(Inputs!$G$5:$G$190="acoes"))*Inputs!$B$1+((Inputs!$G$5:$G$190&lt;&gt;"moeda")*(Inputs!$G$5:$G$190&lt;&gt;"acoes")))*INDEX(Inputs!$K$5:$AJ$190,0,MATCH(E$2,Inputs!$K$4:$AJ$4,0)))+SUMPRODUCT((Inputs!$C$5:$C$190=$B5)*Inputs!$D$5:$D$190*(((Inputs!$G$5:$G$190="moeda")+(Inputs!$G$5:$G$190="acoes"))*Inputs!$B$1+((Inputs!$G$5:$G$190&lt;&gt;"moeda")*(Inputs!$G$5:$G$190&lt;&gt;"acoes")))*INDEX(Inputs!$K$5:$AJ$190,0,MATCH(E$2,Inputs!$K$4:$AJ$4,0)))+SUMPRODUCT((Inputs!$E$5:$E$190=$B5)*Inputs!$F$5:$F$190*(((Inputs!$G$5:$G$190="moeda")+(Inputs!$G$5:$G$190="acoes"))*Inputs!$B$1+((Inputs!$G$5:$G$190&lt;&gt;"moeda")*(Inputs!$G$5:$G$190&lt;&gt;"acoes")))*INDEX(Inputs!$K$5:$AJ$190,0,MATCH(E$2,Inputs!$K$4:$AJ$4,0)))))</f>
        <v>-1930.87126570775</v>
      </c>
      <c r="F5" s="6">
        <f>IF(ISNA(MATCH(F$2,Inputs!$K$4:$AJ$4,0)),NA(),IF(SUMPRODUCT((Inputs!$A$5:$A$190=$B5)*ISNUMBER(INDEX(Inputs!$K$5:$AJ$190,0,MATCH(F$2,Inputs!$K$4:$AJ$4,0))))+SUMPRODUCT((Inputs!$C$5:$C$190=$B5)*ISNUMBER(INDEX(Inputs!$K$5:$AJ$190,0,MATCH(F$2,Inputs!$K$4:$AJ$4,0))))+SUMPRODUCT((Inputs!$E$5:$E$190=$B5)*ISNUMBER(INDEX(Inputs!$K$5:$AJ$190,0,MATCH(F$2,Inputs!$K$4:$AJ$4,0))))=0,NA(),SUMPRODUCT((Inputs!$A$5:$A$190=$B5)*Inputs!$B$5:$B$190*(((Inputs!$G$5:$G$190="moeda")+(Inputs!$G$5:$G$190="acoes"))*Inputs!$B$1+((Inputs!$G$5:$G$190&lt;&gt;"moeda")*(Inputs!$G$5:$G$190&lt;&gt;"acoes")))*INDEX(Inputs!$K$5:$AJ$190,0,MATCH(F$2,Inputs!$K$4:$AJ$4,0)))+SUMPRODUCT((Inputs!$C$5:$C$190=$B5)*Inputs!$D$5:$D$190*(((Inputs!$G$5:$G$190="moeda")+(Inputs!$G$5:$G$190="acoes"))*Inputs!$B$1+((Inputs!$G$5:$G$190&lt;&gt;"moeda")*(Inputs!$G$5:$G$190&lt;&gt;"acoes")))*INDEX(Inputs!$K$5:$AJ$190,0,MATCH(F$2,Inputs!$K$4:$AJ$4,0)))+SUMPRODUCT((Inputs!$E$5:$E$190=$B5)*Inputs!$F$5:$F$190*(((Inputs!$G$5:$G$190="moeda")+(Inputs!$G$5:$G$190="acoes"))*Inputs!$B$1+((Inputs!$G$5:$G$190&lt;&gt;"moeda")*(Inputs!$G$5:$G$190&lt;&gt;"acoes")))*INDEX(Inputs!$K$5:$AJ$190,0,MATCH(F$2,Inputs!$K$4:$AJ$4,0)))))</f>
        <v>-2418.87014872533</v>
      </c>
      <c r="G5" s="6">
        <f>IF(ISNA(MATCH(G$2,Inputs!$K$4:$AJ$4,0)),NA(),IF(SUMPRODUCT((Inputs!$A$5:$A$190=$B5)*ISNUMBER(INDEX(Inputs!$K$5:$AJ$190,0,MATCH(G$2,Inputs!$K$4:$AJ$4,0))))+SUMPRODUCT((Inputs!$C$5:$C$190=$B5)*ISNUMBER(INDEX(Inputs!$K$5:$AJ$190,0,MATCH(G$2,Inputs!$K$4:$AJ$4,0))))+SUMPRODUCT((Inputs!$E$5:$E$190=$B5)*ISNUMBER(INDEX(Inputs!$K$5:$AJ$190,0,MATCH(G$2,Inputs!$K$4:$AJ$4,0))))=0,NA(),SUMPRODUCT((Inputs!$A$5:$A$190=$B5)*Inputs!$B$5:$B$190*(((Inputs!$G$5:$G$190="moeda")+(Inputs!$G$5:$G$190="acoes"))*Inputs!$B$1+((Inputs!$G$5:$G$190&lt;&gt;"moeda")*(Inputs!$G$5:$G$190&lt;&gt;"acoes")))*INDEX(Inputs!$K$5:$AJ$190,0,MATCH(G$2,Inputs!$K$4:$AJ$4,0)))+SUMPRODUCT((Inputs!$C$5:$C$190=$B5)*Inputs!$D$5:$D$190*(((Inputs!$G$5:$G$190="moeda")+(Inputs!$G$5:$G$190="acoes"))*Inputs!$B$1+((Inputs!$G$5:$G$190&lt;&gt;"moeda")*(Inputs!$G$5:$G$190&lt;&gt;"acoes")))*INDEX(Inputs!$K$5:$AJ$190,0,MATCH(G$2,Inputs!$K$4:$AJ$4,0)))+SUMPRODUCT((Inputs!$E$5:$E$190=$B5)*Inputs!$F$5:$F$190*(((Inputs!$G$5:$G$190="moeda")+(Inputs!$G$5:$G$190="acoes"))*Inputs!$B$1+((Inputs!$G$5:$G$190&lt;&gt;"moeda")*(Inputs!$G$5:$G$190&lt;&gt;"acoes")))*INDEX(Inputs!$K$5:$AJ$190,0,MATCH(G$2,Inputs!$K$4:$AJ$4,0)))))</f>
        <v>-2398.08306920989</v>
      </c>
      <c r="H5" s="3">
        <f>SUM(D5:G5)</f>
        <v>-8323.19899735766</v>
      </c>
      <c r="I5" s="6">
        <f>IF(ISNA(MATCH(I$2,Inputs!$K$4:$AJ$4,0)),NA(),IF(SUMPRODUCT((Inputs!$A$5:$A$190=$B5)*ISNUMBER(INDEX(Inputs!$K$5:$AJ$190,0,MATCH(I$2,Inputs!$K$4:$AJ$4,0))))+SUMPRODUCT((Inputs!$C$5:$C$190=$B5)*ISNUMBER(INDEX(Inputs!$K$5:$AJ$190,0,MATCH(I$2,Inputs!$K$4:$AJ$4,0))))+SUMPRODUCT((Inputs!$E$5:$E$190=$B5)*ISNUMBER(INDEX(Inputs!$K$5:$AJ$190,0,MATCH(I$2,Inputs!$K$4:$AJ$4,0))))=0,NA(),SUMPRODUCT((Inputs!$A$5:$A$190=$B5)*Inputs!$B$5:$B$190*(((Inputs!$G$5:$G$190="moeda")+(Inputs!$G$5:$G$190="acoes"))*Inputs!$B$1+((Inputs!$G$5:$G$190&lt;&gt;"moeda")*(Inputs!$G$5:$G$190&lt;&gt;"acoes")))*INDEX(Inputs!$K$5:$AJ$190,0,MATCH(I$2,Inputs!$K$4:$AJ$4,0)))+SUMPRODUCT((Inputs!$C$5:$C$190=$B5)*Inputs!$D$5:$D$190*(((Inputs!$G$5:$G$190="moeda")+(Inputs!$G$5:$G$190="acoes"))*Inputs!$B$1+((Inputs!$G$5:$G$190&lt;&gt;"moeda")*(Inputs!$G$5:$G$190&lt;&gt;"acoes")))*INDEX(Inputs!$K$5:$AJ$190,0,MATCH(I$2,Inputs!$K$4:$AJ$4,0)))+SUMPRODUCT((Inputs!$E$5:$E$190=$B5)*Inputs!$F$5:$F$190*(((Inputs!$G$5:$G$190="moeda")+(Inputs!$G$5:$G$190="acoes"))*Inputs!$B$1+((Inputs!$G$5:$G$190&lt;&gt;"moeda")*(Inputs!$G$5:$G$190&lt;&gt;"acoes")))*INDEX(Inputs!$K$5:$AJ$190,0,MATCH(I$2,Inputs!$K$4:$AJ$4,0)))))</f>
        <v>-2575.87501273988</v>
      </c>
      <c r="J5" s="6">
        <f>IF(ISNA(MATCH(J$2,Inputs!$K$4:$AJ$4,0)),NA(),IF(SUMPRODUCT((Inputs!$A$5:$A$190=$B5)*ISNUMBER(INDEX(Inputs!$K$5:$AJ$190,0,MATCH(J$2,Inputs!$K$4:$AJ$4,0))))+SUMPRODUCT((Inputs!$C$5:$C$190=$B5)*ISNUMBER(INDEX(Inputs!$K$5:$AJ$190,0,MATCH(J$2,Inputs!$K$4:$AJ$4,0))))+SUMPRODUCT((Inputs!$E$5:$E$190=$B5)*ISNUMBER(INDEX(Inputs!$K$5:$AJ$190,0,MATCH(J$2,Inputs!$K$4:$AJ$4,0))))=0,NA(),SUMPRODUCT((Inputs!$A$5:$A$190=$B5)*Inputs!$B$5:$B$190*(((Inputs!$G$5:$G$190="moeda")+(Inputs!$G$5:$G$190="acoes"))*Inputs!$B$1+((Inputs!$G$5:$G$190&lt;&gt;"moeda")*(Inputs!$G$5:$G$190&lt;&gt;"acoes")))*INDEX(Inputs!$K$5:$AJ$190,0,MATCH(J$2,Inputs!$K$4:$AJ$4,0)))+SUMPRODUCT((Inputs!$C$5:$C$190=$B5)*Inputs!$D$5:$D$190*(((Inputs!$G$5:$G$190="moeda")+(Inputs!$G$5:$G$190="acoes"))*Inputs!$B$1+((Inputs!$G$5:$G$190&lt;&gt;"moeda")*(Inputs!$G$5:$G$190&lt;&gt;"acoes")))*INDEX(Inputs!$K$5:$AJ$190,0,MATCH(J$2,Inputs!$K$4:$AJ$4,0)))+SUMPRODUCT((Inputs!$E$5:$E$190=$B5)*Inputs!$F$5:$F$190*(((Inputs!$G$5:$G$190="moeda")+(Inputs!$G$5:$G$190="acoes"))*Inputs!$B$1+((Inputs!$G$5:$G$190&lt;&gt;"moeda")*(Inputs!$G$5:$G$190&lt;&gt;"acoes")))*INDEX(Inputs!$K$5:$AJ$190,0,MATCH(J$2,Inputs!$K$4:$AJ$4,0)))))</f>
        <v>-3171.52835840618</v>
      </c>
      <c r="K5" s="6">
        <f>IF(ISNA(MATCH(K$2,Inputs!$K$4:$AJ$4,0)),NA(),IF(SUMPRODUCT((Inputs!$A$5:$A$190=$B5)*ISNUMBER(INDEX(Inputs!$K$5:$AJ$190,0,MATCH(K$2,Inputs!$K$4:$AJ$4,0))))+SUMPRODUCT((Inputs!$C$5:$C$190=$B5)*ISNUMBER(INDEX(Inputs!$K$5:$AJ$190,0,MATCH(K$2,Inputs!$K$4:$AJ$4,0))))+SUMPRODUCT((Inputs!$E$5:$E$190=$B5)*ISNUMBER(INDEX(Inputs!$K$5:$AJ$190,0,MATCH(K$2,Inputs!$K$4:$AJ$4,0))))=0,NA(),SUMPRODUCT((Inputs!$A$5:$A$190=$B5)*Inputs!$B$5:$B$190*(((Inputs!$G$5:$G$190="moeda")+(Inputs!$G$5:$G$190="acoes"))*Inputs!$B$1+((Inputs!$G$5:$G$190&lt;&gt;"moeda")*(Inputs!$G$5:$G$190&lt;&gt;"acoes")))*INDEX(Inputs!$K$5:$AJ$190,0,MATCH(K$2,Inputs!$K$4:$AJ$4,0)))+SUMPRODUCT((Inputs!$C$5:$C$190=$B5)*Inputs!$D$5:$D$190*(((Inputs!$G$5:$G$190="moeda")+(Inputs!$G$5:$G$190="acoes"))*Inputs!$B$1+((Inputs!$G$5:$G$190&lt;&gt;"moeda")*(Inputs!$G$5:$G$190&lt;&gt;"acoes")))*INDEX(Inputs!$K$5:$AJ$190,0,MATCH(K$2,Inputs!$K$4:$AJ$4,0)))+SUMPRODUCT((Inputs!$E$5:$E$190=$B5)*Inputs!$F$5:$F$190*(((Inputs!$G$5:$G$190="moeda")+(Inputs!$G$5:$G$190="acoes"))*Inputs!$B$1+((Inputs!$G$5:$G$190&lt;&gt;"moeda")*(Inputs!$G$5:$G$190&lt;&gt;"acoes")))*INDEX(Inputs!$K$5:$AJ$190,0,MATCH(K$2,Inputs!$K$4:$AJ$4,0)))))</f>
        <v>-4240.2653654841</v>
      </c>
      <c r="L5" s="6">
        <f>IF(ISNA(MATCH(L$2,Inputs!$K$4:$AJ$4,0)),NA(),IF(SUMPRODUCT((Inputs!$A$5:$A$190=$B5)*ISNUMBER(INDEX(Inputs!$K$5:$AJ$190,0,MATCH(L$2,Inputs!$K$4:$AJ$4,0))))+SUMPRODUCT((Inputs!$C$5:$C$190=$B5)*ISNUMBER(INDEX(Inputs!$K$5:$AJ$190,0,MATCH(L$2,Inputs!$K$4:$AJ$4,0))))+SUMPRODUCT((Inputs!$E$5:$E$190=$B5)*ISNUMBER(INDEX(Inputs!$K$5:$AJ$190,0,MATCH(L$2,Inputs!$K$4:$AJ$4,0))))=0,NA(),SUMPRODUCT((Inputs!$A$5:$A$190=$B5)*Inputs!$B$5:$B$190*(((Inputs!$G$5:$G$190="moeda")+(Inputs!$G$5:$G$190="acoes"))*Inputs!$B$1+((Inputs!$G$5:$G$190&lt;&gt;"moeda")*(Inputs!$G$5:$G$190&lt;&gt;"acoes")))*INDEX(Inputs!$K$5:$AJ$190,0,MATCH(L$2,Inputs!$K$4:$AJ$4,0)))+SUMPRODUCT((Inputs!$C$5:$C$190=$B5)*Inputs!$D$5:$D$190*(((Inputs!$G$5:$G$190="moeda")+(Inputs!$G$5:$G$190="acoes"))*Inputs!$B$1+((Inputs!$G$5:$G$190&lt;&gt;"moeda")*(Inputs!$G$5:$G$190&lt;&gt;"acoes")))*INDEX(Inputs!$K$5:$AJ$190,0,MATCH(L$2,Inputs!$K$4:$AJ$4,0)))+SUMPRODUCT((Inputs!$E$5:$E$190=$B5)*Inputs!$F$5:$F$190*(((Inputs!$G$5:$G$190="moeda")+(Inputs!$G$5:$G$190="acoes"))*Inputs!$B$1+((Inputs!$G$5:$G$190&lt;&gt;"moeda")*(Inputs!$G$5:$G$190&lt;&gt;"acoes")))*INDEX(Inputs!$K$5:$AJ$190,0,MATCH(L$2,Inputs!$K$4:$AJ$4,0)))))</f>
        <v>-4616.76361825563</v>
      </c>
      <c r="M5" s="3">
        <f>SUM(I5:L5)</f>
        <v>-14604.4323548858</v>
      </c>
      <c r="N5" s="6">
        <f>IF(ISNA(MATCH(N$2,Inputs!$K$4:$AJ$4,0)),NA(),IF(SUMPRODUCT((Inputs!$A$5:$A$190=$B5)*ISNUMBER(INDEX(Inputs!$K$5:$AJ$190,0,MATCH(N$2,Inputs!$K$4:$AJ$4,0))))+SUMPRODUCT((Inputs!$C$5:$C$190=$B5)*ISNUMBER(INDEX(Inputs!$K$5:$AJ$190,0,MATCH(N$2,Inputs!$K$4:$AJ$4,0))))+SUMPRODUCT((Inputs!$E$5:$E$190=$B5)*ISNUMBER(INDEX(Inputs!$K$5:$AJ$190,0,MATCH(N$2,Inputs!$K$4:$AJ$4,0))))=0,NA(),SUMPRODUCT((Inputs!$A$5:$A$190=$B5)*Inputs!$B$5:$B$190*(((Inputs!$G$5:$G$190="moeda")+(Inputs!$G$5:$G$190="acoes"))*Inputs!$B$1+((Inputs!$G$5:$G$190&lt;&gt;"moeda")*(Inputs!$G$5:$G$190&lt;&gt;"acoes")))*INDEX(Inputs!$K$5:$AJ$190,0,MATCH(N$2,Inputs!$K$4:$AJ$4,0)))+SUMPRODUCT((Inputs!$C$5:$C$190=$B5)*Inputs!$D$5:$D$190*(((Inputs!$G$5:$G$190="moeda")+(Inputs!$G$5:$G$190="acoes"))*Inputs!$B$1+((Inputs!$G$5:$G$190&lt;&gt;"moeda")*(Inputs!$G$5:$G$190&lt;&gt;"acoes")))*INDEX(Inputs!$K$5:$AJ$190,0,MATCH(N$2,Inputs!$K$4:$AJ$4,0)))+SUMPRODUCT((Inputs!$E$5:$E$190=$B5)*Inputs!$F$5:$F$190*(((Inputs!$G$5:$G$190="moeda")+(Inputs!$G$5:$G$190="acoes"))*Inputs!$B$1+((Inputs!$G$5:$G$190&lt;&gt;"moeda")*(Inputs!$G$5:$G$190&lt;&gt;"acoes")))*INDEX(Inputs!$K$5:$AJ$190,0,MATCH(N$2,Inputs!$K$4:$AJ$4,0)))))</f>
        <v>-4659.76786414784</v>
      </c>
      <c r="O5" s="6">
        <f>IF(ISNA(MATCH(O$2,Inputs!$K$4:$AJ$4,0)),NA(),IF(SUMPRODUCT((Inputs!$A$5:$A$190=$B5)*ISNUMBER(INDEX(Inputs!$K$5:$AJ$190,0,MATCH(O$2,Inputs!$K$4:$AJ$4,0))))+SUMPRODUCT((Inputs!$C$5:$C$190=$B5)*ISNUMBER(INDEX(Inputs!$K$5:$AJ$190,0,MATCH(O$2,Inputs!$K$4:$AJ$4,0))))+SUMPRODUCT((Inputs!$E$5:$E$190=$B5)*ISNUMBER(INDEX(Inputs!$K$5:$AJ$190,0,MATCH(O$2,Inputs!$K$4:$AJ$4,0))))=0,NA(),SUMPRODUCT((Inputs!$A$5:$A$190=$B5)*Inputs!$B$5:$B$190*(((Inputs!$G$5:$G$190="moeda")+(Inputs!$G$5:$G$190="acoes"))*Inputs!$B$1+((Inputs!$G$5:$G$190&lt;&gt;"moeda")*(Inputs!$G$5:$G$190&lt;&gt;"acoes")))*INDEX(Inputs!$K$5:$AJ$190,0,MATCH(O$2,Inputs!$K$4:$AJ$4,0)))+SUMPRODUCT((Inputs!$C$5:$C$190=$B5)*Inputs!$D$5:$D$190*(((Inputs!$G$5:$G$190="moeda")+(Inputs!$G$5:$G$190="acoes"))*Inputs!$B$1+((Inputs!$G$5:$G$190&lt;&gt;"moeda")*(Inputs!$G$5:$G$190&lt;&gt;"acoes")))*INDEX(Inputs!$K$5:$AJ$190,0,MATCH(O$2,Inputs!$K$4:$AJ$4,0)))+SUMPRODUCT((Inputs!$E$5:$E$190=$B5)*Inputs!$F$5:$F$190*(((Inputs!$G$5:$G$190="moeda")+(Inputs!$G$5:$G$190="acoes"))*Inputs!$B$1+((Inputs!$G$5:$G$190&lt;&gt;"moeda")*(Inputs!$G$5:$G$190&lt;&gt;"acoes")))*INDEX(Inputs!$K$5:$AJ$190,0,MATCH(O$2,Inputs!$K$4:$AJ$4,0)))))</f>
        <v>-4733.96298158517</v>
      </c>
      <c r="P5" s="6">
        <f>IF(ISNA(MATCH(P$2,Inputs!$K$4:$AJ$4,0)),NA(),IF(SUMPRODUCT((Inputs!$A$5:$A$190=$B5)*ISNUMBER(INDEX(Inputs!$K$5:$AJ$190,0,MATCH(P$2,Inputs!$K$4:$AJ$4,0))))+SUMPRODUCT((Inputs!$C$5:$C$190=$B5)*ISNUMBER(INDEX(Inputs!$K$5:$AJ$190,0,MATCH(P$2,Inputs!$K$4:$AJ$4,0))))+SUMPRODUCT((Inputs!$E$5:$E$190=$B5)*ISNUMBER(INDEX(Inputs!$K$5:$AJ$190,0,MATCH(P$2,Inputs!$K$4:$AJ$4,0))))=0,NA(),SUMPRODUCT((Inputs!$A$5:$A$190=$B5)*Inputs!$B$5:$B$190*(((Inputs!$G$5:$G$190="moeda")+(Inputs!$G$5:$G$190="acoes"))*Inputs!$B$1+((Inputs!$G$5:$G$190&lt;&gt;"moeda")*(Inputs!$G$5:$G$190&lt;&gt;"acoes")))*INDEX(Inputs!$K$5:$AJ$190,0,MATCH(P$2,Inputs!$K$4:$AJ$4,0)))+SUMPRODUCT((Inputs!$C$5:$C$190=$B5)*Inputs!$D$5:$D$190*(((Inputs!$G$5:$G$190="moeda")+(Inputs!$G$5:$G$190="acoes"))*Inputs!$B$1+((Inputs!$G$5:$G$190&lt;&gt;"moeda")*(Inputs!$G$5:$G$190&lt;&gt;"acoes")))*INDEX(Inputs!$K$5:$AJ$190,0,MATCH(P$2,Inputs!$K$4:$AJ$4,0)))+SUMPRODUCT((Inputs!$E$5:$E$190=$B5)*Inputs!$F$5:$F$190*(((Inputs!$G$5:$G$190="moeda")+(Inputs!$G$5:$G$190="acoes"))*Inputs!$B$1+((Inputs!$G$5:$G$190&lt;&gt;"moeda")*(Inputs!$G$5:$G$190&lt;&gt;"acoes")))*INDEX(Inputs!$K$5:$AJ$190,0,MATCH(P$2,Inputs!$K$4:$AJ$4,0)))))</f>
        <v>-5378.47194847179</v>
      </c>
      <c r="Q5" s="6">
        <f>IF(ISNA(MATCH(Q$2,Inputs!$K$4:$AJ$4,0)),NA(),IF(SUMPRODUCT((Inputs!$A$5:$A$190=$B5)*ISNUMBER(INDEX(Inputs!$K$5:$AJ$190,0,MATCH(Q$2,Inputs!$K$4:$AJ$4,0))))+SUMPRODUCT((Inputs!$C$5:$C$190=$B5)*ISNUMBER(INDEX(Inputs!$K$5:$AJ$190,0,MATCH(Q$2,Inputs!$K$4:$AJ$4,0))))+SUMPRODUCT((Inputs!$E$5:$E$190=$B5)*ISNUMBER(INDEX(Inputs!$K$5:$AJ$190,0,MATCH(Q$2,Inputs!$K$4:$AJ$4,0))))=0,NA(),SUMPRODUCT((Inputs!$A$5:$A$190=$B5)*Inputs!$B$5:$B$190*(((Inputs!$G$5:$G$190="moeda")+(Inputs!$G$5:$G$190="acoes"))*Inputs!$B$1+((Inputs!$G$5:$G$190&lt;&gt;"moeda")*(Inputs!$G$5:$G$190&lt;&gt;"acoes")))*INDEX(Inputs!$K$5:$AJ$190,0,MATCH(Q$2,Inputs!$K$4:$AJ$4,0)))+SUMPRODUCT((Inputs!$C$5:$C$190=$B5)*Inputs!$D$5:$D$190*(((Inputs!$G$5:$G$190="moeda")+(Inputs!$G$5:$G$190="acoes"))*Inputs!$B$1+((Inputs!$G$5:$G$190&lt;&gt;"moeda")*(Inputs!$G$5:$G$190&lt;&gt;"acoes")))*INDEX(Inputs!$K$5:$AJ$190,0,MATCH(Q$2,Inputs!$K$4:$AJ$4,0)))+SUMPRODUCT((Inputs!$E$5:$E$190=$B5)*Inputs!$F$5:$F$190*(((Inputs!$G$5:$G$190="moeda")+(Inputs!$G$5:$G$190="acoes"))*Inputs!$B$1+((Inputs!$G$5:$G$190&lt;&gt;"moeda")*(Inputs!$G$5:$G$190&lt;&gt;"acoes")))*INDEX(Inputs!$K$5:$AJ$190,0,MATCH(Q$2,Inputs!$K$4:$AJ$4,0)))))</f>
        <v>-5823.60457520679</v>
      </c>
      <c r="R5" s="3">
        <f>SUM(N5:Q5)</f>
        <v>-20595.8073694116</v>
      </c>
      <c r="S5" s="6">
        <f>IF(ISNA(MATCH(S$2,Inputs!$K$4:$AJ$4,0)),NA(),IF(SUMPRODUCT((Inputs!$A$5:$A$190=$B5)*ISNUMBER(INDEX(Inputs!$K$5:$AJ$190,0,MATCH(S$2,Inputs!$K$4:$AJ$4,0))))+SUMPRODUCT((Inputs!$C$5:$C$190=$B5)*ISNUMBER(INDEX(Inputs!$K$5:$AJ$190,0,MATCH(S$2,Inputs!$K$4:$AJ$4,0))))+SUMPRODUCT((Inputs!$E$5:$E$190=$B5)*ISNUMBER(INDEX(Inputs!$K$5:$AJ$190,0,MATCH(S$2,Inputs!$K$4:$AJ$4,0))))=0,NA(),SUMPRODUCT((Inputs!$A$5:$A$190=$B5)*Inputs!$B$5:$B$190*(((Inputs!$G$5:$G$190="moeda")+(Inputs!$G$5:$G$190="acoes"))*Inputs!$B$1+((Inputs!$G$5:$G$190&lt;&gt;"moeda")*(Inputs!$G$5:$G$190&lt;&gt;"acoes")))*INDEX(Inputs!$K$5:$AJ$190,0,MATCH(S$2,Inputs!$K$4:$AJ$4,0)))+SUMPRODUCT((Inputs!$C$5:$C$190=$B5)*Inputs!$D$5:$D$190*(((Inputs!$G$5:$G$190="moeda")+(Inputs!$G$5:$G$190="acoes"))*Inputs!$B$1+((Inputs!$G$5:$G$190&lt;&gt;"moeda")*(Inputs!$G$5:$G$190&lt;&gt;"acoes")))*INDEX(Inputs!$K$5:$AJ$190,0,MATCH(S$2,Inputs!$K$4:$AJ$4,0)))+SUMPRODUCT((Inputs!$E$5:$E$190=$B5)*Inputs!$F$5:$F$190*(((Inputs!$G$5:$G$190="moeda")+(Inputs!$G$5:$G$190="acoes"))*Inputs!$B$1+((Inputs!$G$5:$G$190&lt;&gt;"moeda")*(Inputs!$G$5:$G$190&lt;&gt;"acoes")))*INDEX(Inputs!$K$5:$AJ$190,0,MATCH(S$2,Inputs!$K$4:$AJ$4,0)))))</f>
        <v>-5801.02220757</v>
      </c>
      <c r="T5" s="6">
        <f>IF(ISNA(MATCH(T$2,Inputs!$K$4:$AJ$4,0)),NA(),IF(SUMPRODUCT((Inputs!$A$5:$A$190=$B5)*ISNUMBER(INDEX(Inputs!$K$5:$AJ$190,0,MATCH(T$2,Inputs!$K$4:$AJ$4,0))))+SUMPRODUCT((Inputs!$C$5:$C$190=$B5)*ISNUMBER(INDEX(Inputs!$K$5:$AJ$190,0,MATCH(T$2,Inputs!$K$4:$AJ$4,0))))+SUMPRODUCT((Inputs!$E$5:$E$190=$B5)*ISNUMBER(INDEX(Inputs!$K$5:$AJ$190,0,MATCH(T$2,Inputs!$K$4:$AJ$4,0))))=0,NA(),SUMPRODUCT((Inputs!$A$5:$A$190=$B5)*Inputs!$B$5:$B$190*(((Inputs!$G$5:$G$190="moeda")+(Inputs!$G$5:$G$190="acoes"))*Inputs!$B$1+((Inputs!$G$5:$G$190&lt;&gt;"moeda")*(Inputs!$G$5:$G$190&lt;&gt;"acoes")))*INDEX(Inputs!$K$5:$AJ$190,0,MATCH(T$2,Inputs!$K$4:$AJ$4,0)))+SUMPRODUCT((Inputs!$C$5:$C$190=$B5)*Inputs!$D$5:$D$190*(((Inputs!$G$5:$G$190="moeda")+(Inputs!$G$5:$G$190="acoes"))*Inputs!$B$1+((Inputs!$G$5:$G$190&lt;&gt;"moeda")*(Inputs!$G$5:$G$190&lt;&gt;"acoes")))*INDEX(Inputs!$K$5:$AJ$190,0,MATCH(T$2,Inputs!$K$4:$AJ$4,0)))+SUMPRODUCT((Inputs!$E$5:$E$190=$B5)*Inputs!$F$5:$F$190*(((Inputs!$G$5:$G$190="moeda")+(Inputs!$G$5:$G$190="acoes"))*Inputs!$B$1+((Inputs!$G$5:$G$190&lt;&gt;"moeda")*(Inputs!$G$5:$G$190&lt;&gt;"acoes")))*INDEX(Inputs!$K$5:$AJ$190,0,MATCH(T$2,Inputs!$K$4:$AJ$4,0)))))</f>
        <v>-6751.49355524</v>
      </c>
      <c r="U5" s="6">
        <f>IF(ISNA(MATCH(U$2,Inputs!$K$4:$AJ$4,0)),NA(),IF(SUMPRODUCT((Inputs!$A$5:$A$190=$B5)*ISNUMBER(INDEX(Inputs!$K$5:$AJ$190,0,MATCH(U$2,Inputs!$K$4:$AJ$4,0))))+SUMPRODUCT((Inputs!$C$5:$C$190=$B5)*ISNUMBER(INDEX(Inputs!$K$5:$AJ$190,0,MATCH(U$2,Inputs!$K$4:$AJ$4,0))))+SUMPRODUCT((Inputs!$E$5:$E$190=$B5)*ISNUMBER(INDEX(Inputs!$K$5:$AJ$190,0,MATCH(U$2,Inputs!$K$4:$AJ$4,0))))=0,NA(),SUMPRODUCT((Inputs!$A$5:$A$190=$B5)*Inputs!$B$5:$B$190*(((Inputs!$G$5:$G$190="moeda")+(Inputs!$G$5:$G$190="acoes"))*Inputs!$B$1+((Inputs!$G$5:$G$190&lt;&gt;"moeda")*(Inputs!$G$5:$G$190&lt;&gt;"acoes")))*INDEX(Inputs!$K$5:$AJ$190,0,MATCH(U$2,Inputs!$K$4:$AJ$4,0)))+SUMPRODUCT((Inputs!$C$5:$C$190=$B5)*Inputs!$D$5:$D$190*(((Inputs!$G$5:$G$190="moeda")+(Inputs!$G$5:$G$190="acoes"))*Inputs!$B$1+((Inputs!$G$5:$G$190&lt;&gt;"moeda")*(Inputs!$G$5:$G$190&lt;&gt;"acoes")))*INDEX(Inputs!$K$5:$AJ$190,0,MATCH(U$2,Inputs!$K$4:$AJ$4,0)))+SUMPRODUCT((Inputs!$E$5:$E$190=$B5)*Inputs!$F$5:$F$190*(((Inputs!$G$5:$G$190="moeda")+(Inputs!$G$5:$G$190="acoes"))*Inputs!$B$1+((Inputs!$G$5:$G$190&lt;&gt;"moeda")*(Inputs!$G$5:$G$190&lt;&gt;"acoes")))*INDEX(Inputs!$K$5:$AJ$190,0,MATCH(U$2,Inputs!$K$4:$AJ$4,0)))))</f>
        <v>-7094.01065115</v>
      </c>
      <c r="V5" s="6">
        <f>IF(ISNA(MATCH(V$2,Inputs!$K$4:$AJ$4,0)),NA(),IF(SUMPRODUCT((Inputs!$A$5:$A$190=$B5)*ISNUMBER(INDEX(Inputs!$K$5:$AJ$190,0,MATCH(V$2,Inputs!$K$4:$AJ$4,0))))+SUMPRODUCT((Inputs!$C$5:$C$190=$B5)*ISNUMBER(INDEX(Inputs!$K$5:$AJ$190,0,MATCH(V$2,Inputs!$K$4:$AJ$4,0))))+SUMPRODUCT((Inputs!$E$5:$E$190=$B5)*ISNUMBER(INDEX(Inputs!$K$5:$AJ$190,0,MATCH(V$2,Inputs!$K$4:$AJ$4,0))))=0,NA(),SUMPRODUCT((Inputs!$A$5:$A$190=$B5)*Inputs!$B$5:$B$190*(((Inputs!$G$5:$G$190="moeda")+(Inputs!$G$5:$G$190="acoes"))*Inputs!$B$1+((Inputs!$G$5:$G$190&lt;&gt;"moeda")*(Inputs!$G$5:$G$190&lt;&gt;"acoes")))*INDEX(Inputs!$K$5:$AJ$190,0,MATCH(V$2,Inputs!$K$4:$AJ$4,0)))+SUMPRODUCT((Inputs!$C$5:$C$190=$B5)*Inputs!$D$5:$D$190*(((Inputs!$G$5:$G$190="moeda")+(Inputs!$G$5:$G$190="acoes"))*Inputs!$B$1+((Inputs!$G$5:$G$190&lt;&gt;"moeda")*(Inputs!$G$5:$G$190&lt;&gt;"acoes")))*INDEX(Inputs!$K$5:$AJ$190,0,MATCH(V$2,Inputs!$K$4:$AJ$4,0)))+SUMPRODUCT((Inputs!$E$5:$E$190=$B5)*Inputs!$F$5:$F$190*(((Inputs!$G$5:$G$190="moeda")+(Inputs!$G$5:$G$190="acoes"))*Inputs!$B$1+((Inputs!$G$5:$G$190&lt;&gt;"moeda")*(Inputs!$G$5:$G$190&lt;&gt;"acoes")))*INDEX(Inputs!$K$5:$AJ$190,0,MATCH(V$2,Inputs!$K$4:$AJ$4,0)))))</f>
        <v>-6972.99469569</v>
      </c>
      <c r="W5" s="3">
        <f>SUM(S5:V5)</f>
        <v>-26619.52110965</v>
      </c>
      <c r="X5" s="6">
        <f>IF(ISNA(MATCH(X$2,Inputs!$K$4:$AJ$4,0)),NA(),IF(SUMPRODUCT((Inputs!$A$5:$A$190=$B5)*ISNUMBER(INDEX(Inputs!$K$5:$AJ$190,0,MATCH(X$2,Inputs!$K$4:$AJ$4,0))))+SUMPRODUCT((Inputs!$C$5:$C$190=$B5)*ISNUMBER(INDEX(Inputs!$K$5:$AJ$190,0,MATCH(X$2,Inputs!$K$4:$AJ$4,0))))+SUMPRODUCT((Inputs!$E$5:$E$190=$B5)*ISNUMBER(INDEX(Inputs!$K$5:$AJ$190,0,MATCH(X$2,Inputs!$K$4:$AJ$4,0))))=0,NA(),SUMPRODUCT((Inputs!$A$5:$A$190=$B5)*Inputs!$B$5:$B$190*(((Inputs!$G$5:$G$190="moeda")+(Inputs!$G$5:$G$190="acoes"))*Inputs!$B$1+((Inputs!$G$5:$G$190&lt;&gt;"moeda")*(Inputs!$G$5:$G$190&lt;&gt;"acoes")))*INDEX(Inputs!$K$5:$AJ$190,0,MATCH(X$2,Inputs!$K$4:$AJ$4,0)))+SUMPRODUCT((Inputs!$C$5:$C$190=$B5)*Inputs!$D$5:$D$190*(((Inputs!$G$5:$G$190="moeda")+(Inputs!$G$5:$G$190="acoes"))*Inputs!$B$1+((Inputs!$G$5:$G$190&lt;&gt;"moeda")*(Inputs!$G$5:$G$190&lt;&gt;"acoes")))*INDEX(Inputs!$K$5:$AJ$190,0,MATCH(X$2,Inputs!$K$4:$AJ$4,0)))+SUMPRODUCT((Inputs!$E$5:$E$190=$B5)*Inputs!$F$5:$F$190*(((Inputs!$G$5:$G$190="moeda")+(Inputs!$G$5:$G$190="acoes"))*Inputs!$B$1+((Inputs!$G$5:$G$190&lt;&gt;"moeda")*(Inputs!$G$5:$G$190&lt;&gt;"acoes")))*INDEX(Inputs!$K$5:$AJ$190,0,MATCH(X$2,Inputs!$K$4:$AJ$4,0)))))</f>
        <v>-6497.62922759</v>
      </c>
      <c r="Y5" s="6">
        <f>IF(ISNA(MATCH(Y$2,Inputs!$K$4:$AJ$4,0)),NA(),IF(SUMPRODUCT((Inputs!$A$5:$A$190=$B5)*ISNUMBER(INDEX(Inputs!$K$5:$AJ$190,0,MATCH(Y$2,Inputs!$K$4:$AJ$4,0))))+SUMPRODUCT((Inputs!$C$5:$C$190=$B5)*ISNUMBER(INDEX(Inputs!$K$5:$AJ$190,0,MATCH(Y$2,Inputs!$K$4:$AJ$4,0))))+SUMPRODUCT((Inputs!$E$5:$E$190=$B5)*ISNUMBER(INDEX(Inputs!$K$5:$AJ$190,0,MATCH(Y$2,Inputs!$K$4:$AJ$4,0))))=0,NA(),SUMPRODUCT((Inputs!$A$5:$A$190=$B5)*Inputs!$B$5:$B$190*(((Inputs!$G$5:$G$190="moeda")+(Inputs!$G$5:$G$190="acoes"))*Inputs!$B$1+((Inputs!$G$5:$G$190&lt;&gt;"moeda")*(Inputs!$G$5:$G$190&lt;&gt;"acoes")))*INDEX(Inputs!$K$5:$AJ$190,0,MATCH(Y$2,Inputs!$K$4:$AJ$4,0)))+SUMPRODUCT((Inputs!$C$5:$C$190=$B5)*Inputs!$D$5:$D$190*(((Inputs!$G$5:$G$190="moeda")+(Inputs!$G$5:$G$190="acoes"))*Inputs!$B$1+((Inputs!$G$5:$G$190&lt;&gt;"moeda")*(Inputs!$G$5:$G$190&lt;&gt;"acoes")))*INDEX(Inputs!$K$5:$AJ$190,0,MATCH(Y$2,Inputs!$K$4:$AJ$4,0)))+SUMPRODUCT((Inputs!$E$5:$E$190=$B5)*Inputs!$F$5:$F$190*(((Inputs!$G$5:$G$190="moeda")+(Inputs!$G$5:$G$190="acoes"))*Inputs!$B$1+((Inputs!$G$5:$G$190&lt;&gt;"moeda")*(Inputs!$G$5:$G$190&lt;&gt;"acoes")))*INDEX(Inputs!$K$5:$AJ$190,0,MATCH(Y$2,Inputs!$K$4:$AJ$4,0)))))</f>
        <v>-6445.09281348</v>
      </c>
      <c r="Z5" s="6">
        <f>IF(ISNA(MATCH(Z$2,Inputs!$K$4:$AJ$4,0)),NA(),IF(SUMPRODUCT((Inputs!$A$5:$A$190=$B5)*ISNUMBER(INDEX(Inputs!$K$5:$AJ$190,0,MATCH(Z$2,Inputs!$K$4:$AJ$4,0))))+SUMPRODUCT((Inputs!$C$5:$C$190=$B5)*ISNUMBER(INDEX(Inputs!$K$5:$AJ$190,0,MATCH(Z$2,Inputs!$K$4:$AJ$4,0))))+SUMPRODUCT((Inputs!$E$5:$E$190=$B5)*ISNUMBER(INDEX(Inputs!$K$5:$AJ$190,0,MATCH(Z$2,Inputs!$K$4:$AJ$4,0))))=0,NA(),SUMPRODUCT((Inputs!$A$5:$A$190=$B5)*Inputs!$B$5:$B$190*(((Inputs!$G$5:$G$190="moeda")+(Inputs!$G$5:$G$190="acoes"))*Inputs!$B$1+((Inputs!$G$5:$G$190&lt;&gt;"moeda")*(Inputs!$G$5:$G$190&lt;&gt;"acoes")))*INDEX(Inputs!$K$5:$AJ$190,0,MATCH(Z$2,Inputs!$K$4:$AJ$4,0)))+SUMPRODUCT((Inputs!$C$5:$C$190=$B5)*Inputs!$D$5:$D$190*(((Inputs!$G$5:$G$190="moeda")+(Inputs!$G$5:$G$190="acoes"))*Inputs!$B$1+((Inputs!$G$5:$G$190&lt;&gt;"moeda")*(Inputs!$G$5:$G$190&lt;&gt;"acoes")))*INDEX(Inputs!$K$5:$AJ$190,0,MATCH(Z$2,Inputs!$K$4:$AJ$4,0)))+SUMPRODUCT((Inputs!$E$5:$E$190=$B5)*Inputs!$F$5:$F$190*(((Inputs!$G$5:$G$190="moeda")+(Inputs!$G$5:$G$190="acoes"))*Inputs!$B$1+((Inputs!$G$5:$G$190&lt;&gt;"moeda")*(Inputs!$G$5:$G$190&lt;&gt;"acoes")))*INDEX(Inputs!$K$5:$AJ$190,0,MATCH(Z$2,Inputs!$K$4:$AJ$4,0)))))</f>
        <v>-7040.52444631</v>
      </c>
      <c r="AA5" s="6">
        <f>IF(ISNA(MATCH(AA$2,Inputs!$K$4:$AJ$4,0)),NA(),IF(SUMPRODUCT((Inputs!$A$5:$A$190=$B5)*ISNUMBER(INDEX(Inputs!$K$5:$AJ$190,0,MATCH(AA$2,Inputs!$K$4:$AJ$4,0))))+SUMPRODUCT((Inputs!$C$5:$C$190=$B5)*ISNUMBER(INDEX(Inputs!$K$5:$AJ$190,0,MATCH(AA$2,Inputs!$K$4:$AJ$4,0))))+SUMPRODUCT((Inputs!$E$5:$E$190=$B5)*ISNUMBER(INDEX(Inputs!$K$5:$AJ$190,0,MATCH(AA$2,Inputs!$K$4:$AJ$4,0))))=0,NA(),SUMPRODUCT((Inputs!$A$5:$A$190=$B5)*Inputs!$B$5:$B$190*(((Inputs!$G$5:$G$190="moeda")+(Inputs!$G$5:$G$190="acoes"))*Inputs!$B$1+((Inputs!$G$5:$G$190&lt;&gt;"moeda")*(Inputs!$G$5:$G$190&lt;&gt;"acoes")))*INDEX(Inputs!$K$5:$AJ$190,0,MATCH(AA$2,Inputs!$K$4:$AJ$4,0)))+SUMPRODUCT((Inputs!$C$5:$C$190=$B5)*Inputs!$D$5:$D$190*(((Inputs!$G$5:$G$190="moeda")+(Inputs!$G$5:$G$190="acoes"))*Inputs!$B$1+((Inputs!$G$5:$G$190&lt;&gt;"moeda")*(Inputs!$G$5:$G$190&lt;&gt;"acoes")))*INDEX(Inputs!$K$5:$AJ$190,0,MATCH(AA$2,Inputs!$K$4:$AJ$4,0)))+SUMPRODUCT((Inputs!$E$5:$E$190=$B5)*Inputs!$F$5:$F$190*(((Inputs!$G$5:$G$190="moeda")+(Inputs!$G$5:$G$190="acoes"))*Inputs!$B$1+((Inputs!$G$5:$G$190&lt;&gt;"moeda")*(Inputs!$G$5:$G$190&lt;&gt;"acoes")))*INDEX(Inputs!$K$5:$AJ$190,0,MATCH(AA$2,Inputs!$K$4:$AJ$4,0)))))</f>
        <v>-6969.47234352001</v>
      </c>
      <c r="AB5" s="3">
        <f>SUM(X5:AA5)</f>
        <v>-26952.7188309</v>
      </c>
      <c r="AC5" s="6">
        <f>IF(ISNA(MATCH(AC$2,Inputs!$K$4:$AJ$4,0)),NA(),IF(SUMPRODUCT((Inputs!$A$5:$A$190=$B5)*ISNUMBER(INDEX(Inputs!$K$5:$AJ$190,0,MATCH(AC$2,Inputs!$K$4:$AJ$4,0))))+SUMPRODUCT((Inputs!$C$5:$C$190=$B5)*ISNUMBER(INDEX(Inputs!$K$5:$AJ$190,0,MATCH(AC$2,Inputs!$K$4:$AJ$4,0))))+SUMPRODUCT((Inputs!$E$5:$E$190=$B5)*ISNUMBER(INDEX(Inputs!$K$5:$AJ$190,0,MATCH(AC$2,Inputs!$K$4:$AJ$4,0))))=0,NA(),SUMPRODUCT((Inputs!$A$5:$A$190=$B5)*Inputs!$B$5:$B$190*(((Inputs!$G$5:$G$190="moeda")+(Inputs!$G$5:$G$190="acoes"))*Inputs!$B$1+((Inputs!$G$5:$G$190&lt;&gt;"moeda")*(Inputs!$G$5:$G$190&lt;&gt;"acoes")))*INDEX(Inputs!$K$5:$AJ$190,0,MATCH(AC$2,Inputs!$K$4:$AJ$4,0)))+SUMPRODUCT((Inputs!$C$5:$C$190=$B5)*Inputs!$D$5:$D$190*(((Inputs!$G$5:$G$190="moeda")+(Inputs!$G$5:$G$190="acoes"))*Inputs!$B$1+((Inputs!$G$5:$G$190&lt;&gt;"moeda")*(Inputs!$G$5:$G$190&lt;&gt;"acoes")))*INDEX(Inputs!$K$5:$AJ$190,0,MATCH(AC$2,Inputs!$K$4:$AJ$4,0)))+SUMPRODUCT((Inputs!$E$5:$E$190=$B5)*Inputs!$F$5:$F$190*(((Inputs!$G$5:$G$190="moeda")+(Inputs!$G$5:$G$190="acoes"))*Inputs!$B$1+((Inputs!$G$5:$G$190&lt;&gt;"moeda")*(Inputs!$G$5:$G$190&lt;&gt;"acoes")))*INDEX(Inputs!$K$5:$AJ$190,0,MATCH(AC$2,Inputs!$K$4:$AJ$4,0)))))</f>
        <v>-6737.00588267</v>
      </c>
      <c r="AD5" s="6">
        <f>IF(ISNA(MATCH(AD$2,Inputs!$K$4:$AJ$4,0)),NA(),IF(SUMPRODUCT((Inputs!$A$5:$A$190=$B5)*ISNUMBER(INDEX(Inputs!$K$5:$AJ$190,0,MATCH(AD$2,Inputs!$K$4:$AJ$4,0))))+SUMPRODUCT((Inputs!$C$5:$C$190=$B5)*ISNUMBER(INDEX(Inputs!$K$5:$AJ$190,0,MATCH(AD$2,Inputs!$K$4:$AJ$4,0))))+SUMPRODUCT((Inputs!$E$5:$E$190=$B5)*ISNUMBER(INDEX(Inputs!$K$5:$AJ$190,0,MATCH(AD$2,Inputs!$K$4:$AJ$4,0))))=0,NA(),SUMPRODUCT((Inputs!$A$5:$A$190=$B5)*Inputs!$B$5:$B$190*(((Inputs!$G$5:$G$190="moeda")+(Inputs!$G$5:$G$190="acoes"))*Inputs!$B$1+((Inputs!$G$5:$G$190&lt;&gt;"moeda")*(Inputs!$G$5:$G$190&lt;&gt;"acoes")))*INDEX(Inputs!$K$5:$AJ$190,0,MATCH(AD$2,Inputs!$K$4:$AJ$4,0)))+SUMPRODUCT((Inputs!$C$5:$C$190=$B5)*Inputs!$D$5:$D$190*(((Inputs!$G$5:$G$190="moeda")+(Inputs!$G$5:$G$190="acoes"))*Inputs!$B$1+((Inputs!$G$5:$G$190&lt;&gt;"moeda")*(Inputs!$G$5:$G$190&lt;&gt;"acoes")))*INDEX(Inputs!$K$5:$AJ$190,0,MATCH(AD$2,Inputs!$K$4:$AJ$4,0)))+SUMPRODUCT((Inputs!$E$5:$E$190=$B5)*Inputs!$F$5:$F$190*(((Inputs!$G$5:$G$190="moeda")+(Inputs!$G$5:$G$190="acoes"))*Inputs!$B$1+((Inputs!$G$5:$G$190&lt;&gt;"moeda")*(Inputs!$G$5:$G$190&lt;&gt;"acoes")))*INDEX(Inputs!$K$5:$AJ$190,0,MATCH(AD$2,Inputs!$K$4:$AJ$4,0)))))</f>
        <v>-6813.79230310001</v>
      </c>
      <c r="AE5" s="6" t="e">
        <f>IF(ISNA(MATCH(AE$2,Inputs!$K$4:$AJ$4,0)),NA(),IF(SUMPRODUCT((Inputs!$A$5:$A$190=$B5)*ISNUMBER(INDEX(Inputs!$K$5:$AJ$190,0,MATCH(AE$2,Inputs!$K$4:$AJ$4,0))))+SUMPRODUCT((Inputs!$C$5:$C$190=$B5)*ISNUMBER(INDEX(Inputs!$K$5:$AJ$190,0,MATCH(AE$2,Inputs!$K$4:$AJ$4,0))))+SUMPRODUCT((Inputs!$E$5:$E$190=$B5)*ISNUMBER(INDEX(Inputs!$K$5:$AJ$190,0,MATCH(AE$2,Inputs!$K$4:$AJ$4,0))))=0,NA(),SUMPRODUCT((Inputs!$A$5:$A$190=$B5)*Inputs!$B$5:$B$190*(((Inputs!$G$5:$G$190="moeda")+(Inputs!$G$5:$G$190="acoes"))*Inputs!$B$1+((Inputs!$G$5:$G$190&lt;&gt;"moeda")*(Inputs!$G$5:$G$190&lt;&gt;"acoes")))*INDEX(Inputs!$K$5:$AJ$190,0,MATCH(AE$2,Inputs!$K$4:$AJ$4,0)))+SUMPRODUCT((Inputs!$C$5:$C$190=$B5)*Inputs!$D$5:$D$190*(((Inputs!$G$5:$G$190="moeda")+(Inputs!$G$5:$G$190="acoes"))*Inputs!$B$1+((Inputs!$G$5:$G$190&lt;&gt;"moeda")*(Inputs!$G$5:$G$190&lt;&gt;"acoes")))*INDEX(Inputs!$K$5:$AJ$190,0,MATCH(AE$2,Inputs!$K$4:$AJ$4,0)))+SUMPRODUCT((Inputs!$E$5:$E$190=$B5)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5" s="6" t="e">
        <f>IF(ISNA(MATCH(AF$2,Inputs!$K$4:$AJ$4,0)),NA(),IF(SUMPRODUCT((Inputs!$A$5:$A$190=$B5)*ISNUMBER(INDEX(Inputs!$K$5:$AJ$190,0,MATCH(AF$2,Inputs!$K$4:$AJ$4,0))))+SUMPRODUCT((Inputs!$C$5:$C$190=$B5)*ISNUMBER(INDEX(Inputs!$K$5:$AJ$190,0,MATCH(AF$2,Inputs!$K$4:$AJ$4,0))))+SUMPRODUCT((Inputs!$E$5:$E$190=$B5)*ISNUMBER(INDEX(Inputs!$K$5:$AJ$190,0,MATCH(AF$2,Inputs!$K$4:$AJ$4,0))))=0,NA(),SUMPRODUCT((Inputs!$A$5:$A$190=$B5)*Inputs!$B$5:$B$190*(((Inputs!$G$5:$G$190="moeda")+(Inputs!$G$5:$G$190="acoes"))*Inputs!$B$1+((Inputs!$G$5:$G$190&lt;&gt;"moeda")*(Inputs!$G$5:$G$190&lt;&gt;"acoes")))*INDEX(Inputs!$K$5:$AJ$190,0,MATCH(AF$2,Inputs!$K$4:$AJ$4,0)))+SUMPRODUCT((Inputs!$C$5:$C$190=$B5)*Inputs!$D$5:$D$190*(((Inputs!$G$5:$G$190="moeda")+(Inputs!$G$5:$G$190="acoes"))*Inputs!$B$1+((Inputs!$G$5:$G$190&lt;&gt;"moeda")*(Inputs!$G$5:$G$190&lt;&gt;"acoes")))*INDEX(Inputs!$K$5:$AJ$190,0,MATCH(AF$2,Inputs!$K$4:$AJ$4,0)))+SUMPRODUCT((Inputs!$E$5:$E$190=$B5)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5" s="3" t="e">
        <f>SUM(AC5:AF5)</f>
        <v>#N/A</v>
      </c>
      <c r="AH5" s="6">
        <f>IF(ISNA(MATCH(AH$2,Inputs!$K$4:$AJ$4,0)),NA(),IF(SUMPRODUCT((Inputs!$A$5:$A$190=$B5)*ISNUMBER(INDEX(Inputs!$K$5:$AJ$190,0,MATCH(AH$2,Inputs!$K$4:$AJ$4,0))))+SUMPRODUCT((Inputs!$C$5:$C$190=$B5)*ISNUMBER(INDEX(Inputs!$K$5:$AJ$190,0,MATCH(AH$2,Inputs!$K$4:$AJ$4,0))))+SUMPRODUCT((Inputs!$E$5:$E$190=$B5)*ISNUMBER(INDEX(Inputs!$K$5:$AJ$190,0,MATCH(AH$2,Inputs!$K$4:$AJ$4,0))))=0,NA(),SUMPRODUCT((Inputs!$A$5:$A$190=$B5)*Inputs!$B$5:$B$190*(((Inputs!$G$5:$G$190="moeda")+(Inputs!$G$5:$G$190="acoes"))*Inputs!$B$1+((Inputs!$G$5:$G$190&lt;&gt;"moeda")*(Inputs!$G$5:$G$190&lt;&gt;"acoes")))*INDEX(Inputs!$K$5:$AJ$190,0,MATCH(AH$2,Inputs!$K$4:$AJ$4,0)))+SUMPRODUCT((Inputs!$C$5:$C$190=$B5)*Inputs!$D$5:$D$190*(((Inputs!$G$5:$G$190="moeda")+(Inputs!$G$5:$G$190="acoes"))*Inputs!$B$1+((Inputs!$G$5:$G$190&lt;&gt;"moeda")*(Inputs!$G$5:$G$190&lt;&gt;"acoes")))*INDEX(Inputs!$K$5:$AJ$190,0,MATCH(AH$2,Inputs!$K$4:$AJ$4,0)))+SUMPRODUCT((Inputs!$E$5:$E$190=$B5)*Inputs!$F$5:$F$190*(((Inputs!$G$5:$G$190="moeda")+(Inputs!$G$5:$G$190="acoes"))*Inputs!$B$1+((Inputs!$G$5:$G$190&lt;&gt;"moeda")*(Inputs!$G$5:$G$190&lt;&gt;"acoes")))*INDEX(Inputs!$K$5:$AJ$190,0,MATCH(AH$2,Inputs!$K$4:$AJ$4,0)))))</f>
        <v>-1369.925548518</v>
      </c>
      <c r="AI5" s="6">
        <f>IF(ISNA(MATCH(AI$2,Inputs!$K$4:$AJ$4,0)),NA(),IF(SUMPRODUCT((Inputs!$A$5:$A$190=$B5)*ISNUMBER(INDEX(Inputs!$K$5:$AJ$190,0,MATCH(AI$2,Inputs!$K$4:$AJ$4,0))))+SUMPRODUCT((Inputs!$C$5:$C$190=$B5)*ISNUMBER(INDEX(Inputs!$K$5:$AJ$190,0,MATCH(AI$2,Inputs!$K$4:$AJ$4,0))))+SUMPRODUCT((Inputs!$E$5:$E$190=$B5)*ISNUMBER(INDEX(Inputs!$K$5:$AJ$190,0,MATCH(AI$2,Inputs!$K$4:$AJ$4,0))))=0,NA(),SUMPRODUCT((Inputs!$A$5:$A$190=$B5)*Inputs!$B$5:$B$190*(((Inputs!$G$5:$G$190="moeda")+(Inputs!$G$5:$G$190="acoes"))*Inputs!$B$1+((Inputs!$G$5:$G$190&lt;&gt;"moeda")*(Inputs!$G$5:$G$190&lt;&gt;"acoes")))*INDEX(Inputs!$K$5:$AJ$190,0,MATCH(AI$2,Inputs!$K$4:$AJ$4,0)))+SUMPRODUCT((Inputs!$C$5:$C$190=$B5)*Inputs!$D$5:$D$190*(((Inputs!$G$5:$G$190="moeda")+(Inputs!$G$5:$G$190="acoes"))*Inputs!$B$1+((Inputs!$G$5:$G$190&lt;&gt;"moeda")*(Inputs!$G$5:$G$190&lt;&gt;"acoes")))*INDEX(Inputs!$K$5:$AJ$190,0,MATCH(AI$2,Inputs!$K$4:$AJ$4,0)))+SUMPRODUCT((Inputs!$E$5:$E$190=$B5)*Inputs!$F$5:$F$190*(((Inputs!$G$5:$G$190="moeda")+(Inputs!$G$5:$G$190="acoes"))*Inputs!$B$1+((Inputs!$G$5:$G$190&lt;&gt;"moeda")*(Inputs!$G$5:$G$190&lt;&gt;"acoes")))*INDEX(Inputs!$K$5:$AJ$190,0,MATCH(AI$2,Inputs!$K$4:$AJ$4,0)))))</f>
        <v>-1531.78282191</v>
      </c>
      <c r="AJ5" s="6">
        <f>IF(ISNA(MATCH(AJ$2,Inputs!$K$4:$AJ$4,0)),NA(),IF(SUMPRODUCT((Inputs!$A$5:$A$190=$B5)*ISNUMBER(INDEX(Inputs!$K$5:$AJ$190,0,MATCH(AJ$2,Inputs!$K$4:$AJ$4,0))))+SUMPRODUCT((Inputs!$C$5:$C$190=$B5)*ISNUMBER(INDEX(Inputs!$K$5:$AJ$190,0,MATCH(AJ$2,Inputs!$K$4:$AJ$4,0))))+SUMPRODUCT((Inputs!$E$5:$E$190=$B5)*ISNUMBER(INDEX(Inputs!$K$5:$AJ$190,0,MATCH(AJ$2,Inputs!$K$4:$AJ$4,0))))=0,NA(),SUMPRODUCT((Inputs!$A$5:$A$190=$B5)*Inputs!$B$5:$B$190*(((Inputs!$G$5:$G$190="moeda")+(Inputs!$G$5:$G$190="acoes"))*Inputs!$B$1+((Inputs!$G$5:$G$190&lt;&gt;"moeda")*(Inputs!$G$5:$G$190&lt;&gt;"acoes")))*INDEX(Inputs!$K$5:$AJ$190,0,MATCH(AJ$2,Inputs!$K$4:$AJ$4,0)))+SUMPRODUCT((Inputs!$C$5:$C$190=$B5)*Inputs!$D$5:$D$190*(((Inputs!$G$5:$G$190="moeda")+(Inputs!$G$5:$G$190="acoes"))*Inputs!$B$1+((Inputs!$G$5:$G$190&lt;&gt;"moeda")*(Inputs!$G$5:$G$190&lt;&gt;"acoes")))*INDEX(Inputs!$K$5:$AJ$190,0,MATCH(AJ$2,Inputs!$K$4:$AJ$4,0)))+SUMPRODUCT((Inputs!$E$5:$E$190=$B5)*Inputs!$F$5:$F$190*(((Inputs!$G$5:$G$190="moeda")+(Inputs!$G$5:$G$190="acoes"))*Inputs!$B$1+((Inputs!$G$5:$G$190&lt;&gt;"moeda")*(Inputs!$G$5:$G$190&lt;&gt;"acoes")))*INDEX(Inputs!$K$5:$AJ$190,0,MATCH(AJ$2,Inputs!$K$4:$AJ$4,0)))))</f>
        <v>-1772.60412409245</v>
      </c>
      <c r="AK5" s="6">
        <f>IF(ISNA(MATCH(AK$2,Inputs!$K$4:$AJ$4,0)),NA(),IF(SUMPRODUCT((Inputs!$A$5:$A$190=$B5)*ISNUMBER(INDEX(Inputs!$K$5:$AJ$190,0,MATCH(AK$2,Inputs!$K$4:$AJ$4,0))))+SUMPRODUCT((Inputs!$C$5:$C$190=$B5)*ISNUMBER(INDEX(Inputs!$K$5:$AJ$190,0,MATCH(AK$2,Inputs!$K$4:$AJ$4,0))))+SUMPRODUCT((Inputs!$E$5:$E$190=$B5)*ISNUMBER(INDEX(Inputs!$K$5:$AJ$190,0,MATCH(AK$2,Inputs!$K$4:$AJ$4,0))))=0,NA(),SUMPRODUCT((Inputs!$A$5:$A$190=$B5)*Inputs!$B$5:$B$190*(((Inputs!$G$5:$G$190="moeda")+(Inputs!$G$5:$G$190="acoes"))*Inputs!$B$1+((Inputs!$G$5:$G$190&lt;&gt;"moeda")*(Inputs!$G$5:$G$190&lt;&gt;"acoes")))*INDEX(Inputs!$K$5:$AJ$190,0,MATCH(AK$2,Inputs!$K$4:$AJ$4,0)))+SUMPRODUCT((Inputs!$C$5:$C$190=$B5)*Inputs!$D$5:$D$190*(((Inputs!$G$5:$G$190="moeda")+(Inputs!$G$5:$G$190="acoes"))*Inputs!$B$1+((Inputs!$G$5:$G$190&lt;&gt;"moeda")*(Inputs!$G$5:$G$190&lt;&gt;"acoes")))*INDEX(Inputs!$K$5:$AJ$190,0,MATCH(AK$2,Inputs!$K$4:$AJ$4,0)))+SUMPRODUCT((Inputs!$E$5:$E$190=$B5)*Inputs!$F$5:$F$190*(((Inputs!$G$5:$G$190="moeda")+(Inputs!$G$5:$G$190="acoes"))*Inputs!$B$1+((Inputs!$G$5:$G$190&lt;&gt;"moeda")*(Inputs!$G$5:$G$190&lt;&gt;"acoes")))*INDEX(Inputs!$K$5:$AJ$190,0,MATCH(AK$2,Inputs!$K$4:$AJ$4,0)))))</f>
        <v>-1855.47136998955</v>
      </c>
      <c r="AL5" s="3">
        <f>SUM(AH5:AK5)</f>
        <v>-6529.78386451</v>
      </c>
    </row>
    <row r="6">
      <c r="B6" s="46" t="n">
        <v>3</v>
      </c>
      <c r="C6" s="24" t="inlineStr">
        <is>
          <t>SG&amp;A and Other (cash)</t>
        </is>
      </c>
      <c r="D6" s="6">
        <f>IF(ISNA(MATCH(D$2,Inputs!$K$4:$AJ$4,0)),NA(),IF(SUMPRODUCT((Inputs!$A$5:$A$190=$B6)*ISNUMBER(INDEX(Inputs!$K$5:$AJ$190,0,MATCH(D$2,Inputs!$K$4:$AJ$4,0))))+SUMPRODUCT((Inputs!$C$5:$C$190=$B6)*ISNUMBER(INDEX(Inputs!$K$5:$AJ$190,0,MATCH(D$2,Inputs!$K$4:$AJ$4,0))))+SUMPRODUCT((Inputs!$E$5:$E$190=$B6)*ISNUMBER(INDEX(Inputs!$K$5:$AJ$190,0,MATCH(D$2,Inputs!$K$4:$AJ$4,0))))=0,NA(),SUMPRODUCT((Inputs!$A$5:$A$190=$B6)*Inputs!$B$5:$B$190*(((Inputs!$G$5:$G$190="moeda")+(Inputs!$G$5:$G$190="acoes"))*Inputs!$B$1+((Inputs!$G$5:$G$190&lt;&gt;"moeda")*(Inputs!$G$5:$G$190&lt;&gt;"acoes")))*INDEX(Inputs!$K$5:$AJ$190,0,MATCH(D$2,Inputs!$K$4:$AJ$4,0)))+SUMPRODUCT((Inputs!$C$5:$C$190=$B6)*Inputs!$D$5:$D$190*(((Inputs!$G$5:$G$190="moeda")+(Inputs!$G$5:$G$190="acoes"))*Inputs!$B$1+((Inputs!$G$5:$G$190&lt;&gt;"moeda")*(Inputs!$G$5:$G$190&lt;&gt;"acoes")))*INDEX(Inputs!$K$5:$AJ$190,0,MATCH(D$2,Inputs!$K$4:$AJ$4,0)))+SUMPRODUCT((Inputs!$E$5:$E$190=$B6)*Inputs!$F$5:$F$190*(((Inputs!$G$5:$G$190="moeda")+(Inputs!$G$5:$G$190="acoes"))*Inputs!$B$1+((Inputs!$G$5:$G$190&lt;&gt;"moeda")*(Inputs!$G$5:$G$190&lt;&gt;"acoes")))*INDEX(Inputs!$K$5:$AJ$190,0,MATCH(D$2,Inputs!$K$4:$AJ$4,0)))))</f>
        <v>-311.027123998304</v>
      </c>
      <c r="E6" s="6">
        <f>IF(ISNA(MATCH(E$2,Inputs!$K$4:$AJ$4,0)),NA(),IF(SUMPRODUCT((Inputs!$A$5:$A$190=$B6)*ISNUMBER(INDEX(Inputs!$K$5:$AJ$190,0,MATCH(E$2,Inputs!$K$4:$AJ$4,0))))+SUMPRODUCT((Inputs!$C$5:$C$190=$B6)*ISNUMBER(INDEX(Inputs!$K$5:$AJ$190,0,MATCH(E$2,Inputs!$K$4:$AJ$4,0))))+SUMPRODUCT((Inputs!$E$5:$E$190=$B6)*ISNUMBER(INDEX(Inputs!$K$5:$AJ$190,0,MATCH(E$2,Inputs!$K$4:$AJ$4,0))))=0,NA(),SUMPRODUCT((Inputs!$A$5:$A$190=$B6)*Inputs!$B$5:$B$190*(((Inputs!$G$5:$G$190="moeda")+(Inputs!$G$5:$G$190="acoes"))*Inputs!$B$1+((Inputs!$G$5:$G$190&lt;&gt;"moeda")*(Inputs!$G$5:$G$190&lt;&gt;"acoes")))*INDEX(Inputs!$K$5:$AJ$190,0,MATCH(E$2,Inputs!$K$4:$AJ$4,0)))+SUMPRODUCT((Inputs!$C$5:$C$190=$B6)*Inputs!$D$5:$D$190*(((Inputs!$G$5:$G$190="moeda")+(Inputs!$G$5:$G$190="acoes"))*Inputs!$B$1+((Inputs!$G$5:$G$190&lt;&gt;"moeda")*(Inputs!$G$5:$G$190&lt;&gt;"acoes")))*INDEX(Inputs!$K$5:$AJ$190,0,MATCH(E$2,Inputs!$K$4:$AJ$4,0)))+SUMPRODUCT((Inputs!$E$5:$E$190=$B6)*Inputs!$F$5:$F$190*(((Inputs!$G$5:$G$190="moeda")+(Inputs!$G$5:$G$190="acoes"))*Inputs!$B$1+((Inputs!$G$5:$G$190&lt;&gt;"moeda")*(Inputs!$G$5:$G$190&lt;&gt;"acoes")))*INDEX(Inputs!$K$5:$AJ$190,0,MATCH(E$2,Inputs!$K$4:$AJ$4,0)))))</f>
        <v>-253.18520715</v>
      </c>
      <c r="F6" s="6">
        <f>IF(ISNA(MATCH(F$2,Inputs!$K$4:$AJ$4,0)),NA(),IF(SUMPRODUCT((Inputs!$A$5:$A$190=$B6)*ISNUMBER(INDEX(Inputs!$K$5:$AJ$190,0,MATCH(F$2,Inputs!$K$4:$AJ$4,0))))+SUMPRODUCT((Inputs!$C$5:$C$190=$B6)*ISNUMBER(INDEX(Inputs!$K$5:$AJ$190,0,MATCH(F$2,Inputs!$K$4:$AJ$4,0))))+SUMPRODUCT((Inputs!$E$5:$E$190=$B6)*ISNUMBER(INDEX(Inputs!$K$5:$AJ$190,0,MATCH(F$2,Inputs!$K$4:$AJ$4,0))))=0,NA(),SUMPRODUCT((Inputs!$A$5:$A$190=$B6)*Inputs!$B$5:$B$190*(((Inputs!$G$5:$G$190="moeda")+(Inputs!$G$5:$G$190="acoes"))*Inputs!$B$1+((Inputs!$G$5:$G$190&lt;&gt;"moeda")*(Inputs!$G$5:$G$190&lt;&gt;"acoes")))*INDEX(Inputs!$K$5:$AJ$190,0,MATCH(F$2,Inputs!$K$4:$AJ$4,0)))+SUMPRODUCT((Inputs!$C$5:$C$190=$B6)*Inputs!$D$5:$D$190*(((Inputs!$G$5:$G$190="moeda")+(Inputs!$G$5:$G$190="acoes"))*Inputs!$B$1+((Inputs!$G$5:$G$190&lt;&gt;"moeda")*(Inputs!$G$5:$G$190&lt;&gt;"acoes")))*INDEX(Inputs!$K$5:$AJ$190,0,MATCH(F$2,Inputs!$K$4:$AJ$4,0)))+SUMPRODUCT((Inputs!$E$5:$E$190=$B6)*Inputs!$F$5:$F$190*(((Inputs!$G$5:$G$190="moeda")+(Inputs!$G$5:$G$190="acoes"))*Inputs!$B$1+((Inputs!$G$5:$G$190&lt;&gt;"moeda")*(Inputs!$G$5:$G$190&lt;&gt;"acoes")))*INDEX(Inputs!$K$5:$AJ$190,0,MATCH(F$2,Inputs!$K$4:$AJ$4,0)))))</f>
        <v>-373.888740703926</v>
      </c>
      <c r="G6" s="6">
        <f>IF(ISNA(MATCH(G$2,Inputs!$K$4:$AJ$4,0)),NA(),IF(SUMPRODUCT((Inputs!$A$5:$A$190=$B6)*ISNUMBER(INDEX(Inputs!$K$5:$AJ$190,0,MATCH(G$2,Inputs!$K$4:$AJ$4,0))))+SUMPRODUCT((Inputs!$C$5:$C$190=$B6)*ISNUMBER(INDEX(Inputs!$K$5:$AJ$190,0,MATCH(G$2,Inputs!$K$4:$AJ$4,0))))+SUMPRODUCT((Inputs!$E$5:$E$190=$B6)*ISNUMBER(INDEX(Inputs!$K$5:$AJ$190,0,MATCH(G$2,Inputs!$K$4:$AJ$4,0))))=0,NA(),SUMPRODUCT((Inputs!$A$5:$A$190=$B6)*Inputs!$B$5:$B$190*(((Inputs!$G$5:$G$190="moeda")+(Inputs!$G$5:$G$190="acoes"))*Inputs!$B$1+((Inputs!$G$5:$G$190&lt;&gt;"moeda")*(Inputs!$G$5:$G$190&lt;&gt;"acoes")))*INDEX(Inputs!$K$5:$AJ$190,0,MATCH(G$2,Inputs!$K$4:$AJ$4,0)))+SUMPRODUCT((Inputs!$C$5:$C$190=$B6)*Inputs!$D$5:$D$190*(((Inputs!$G$5:$G$190="moeda")+(Inputs!$G$5:$G$190="acoes"))*Inputs!$B$1+((Inputs!$G$5:$G$190&lt;&gt;"moeda")*(Inputs!$G$5:$G$190&lt;&gt;"acoes")))*INDEX(Inputs!$K$5:$AJ$190,0,MATCH(G$2,Inputs!$K$4:$AJ$4,0)))+SUMPRODUCT((Inputs!$E$5:$E$190=$B6)*Inputs!$F$5:$F$190*(((Inputs!$G$5:$G$190="moeda")+(Inputs!$G$5:$G$190="acoes"))*Inputs!$B$1+((Inputs!$G$5:$G$190&lt;&gt;"moeda")*(Inputs!$G$5:$G$190&lt;&gt;"acoes")))*INDEX(Inputs!$K$5:$AJ$190,0,MATCH(G$2,Inputs!$K$4:$AJ$4,0)))))</f>
        <v>-415.252928147769</v>
      </c>
      <c r="H6" s="3">
        <f>SUM(D6:G6)</f>
        <v>-1353.354</v>
      </c>
      <c r="I6" s="6">
        <f>IF(ISNA(MATCH(I$2,Inputs!$K$4:$AJ$4,0)),NA(),IF(SUMPRODUCT((Inputs!$A$5:$A$190=$B6)*ISNUMBER(INDEX(Inputs!$K$5:$AJ$190,0,MATCH(I$2,Inputs!$K$4:$AJ$4,0))))+SUMPRODUCT((Inputs!$C$5:$C$190=$B6)*ISNUMBER(INDEX(Inputs!$K$5:$AJ$190,0,MATCH(I$2,Inputs!$K$4:$AJ$4,0))))+SUMPRODUCT((Inputs!$E$5:$E$190=$B6)*ISNUMBER(INDEX(Inputs!$K$5:$AJ$190,0,MATCH(I$2,Inputs!$K$4:$AJ$4,0))))=0,NA(),SUMPRODUCT((Inputs!$A$5:$A$190=$B6)*Inputs!$B$5:$B$190*(((Inputs!$G$5:$G$190="moeda")+(Inputs!$G$5:$G$190="acoes"))*Inputs!$B$1+((Inputs!$G$5:$G$190&lt;&gt;"moeda")*(Inputs!$G$5:$G$190&lt;&gt;"acoes")))*INDEX(Inputs!$K$5:$AJ$190,0,MATCH(I$2,Inputs!$K$4:$AJ$4,0)))+SUMPRODUCT((Inputs!$C$5:$C$190=$B6)*Inputs!$D$5:$D$190*(((Inputs!$G$5:$G$190="moeda")+(Inputs!$G$5:$G$190="acoes"))*Inputs!$B$1+((Inputs!$G$5:$G$190&lt;&gt;"moeda")*(Inputs!$G$5:$G$190&lt;&gt;"acoes")))*INDEX(Inputs!$K$5:$AJ$190,0,MATCH(I$2,Inputs!$K$4:$AJ$4,0)))+SUMPRODUCT((Inputs!$E$5:$E$190=$B6)*Inputs!$F$5:$F$190*(((Inputs!$G$5:$G$190="moeda")+(Inputs!$G$5:$G$190="acoes"))*Inputs!$B$1+((Inputs!$G$5:$G$190&lt;&gt;"moeda")*(Inputs!$G$5:$G$190&lt;&gt;"acoes")))*INDEX(Inputs!$K$5:$AJ$190,0,MATCH(I$2,Inputs!$K$4:$AJ$4,0)))))</f>
        <v>-441.278</v>
      </c>
      <c r="J6" s="6">
        <f>IF(ISNA(MATCH(J$2,Inputs!$K$4:$AJ$4,0)),NA(),IF(SUMPRODUCT((Inputs!$A$5:$A$190=$B6)*ISNUMBER(INDEX(Inputs!$K$5:$AJ$190,0,MATCH(J$2,Inputs!$K$4:$AJ$4,0))))+SUMPRODUCT((Inputs!$C$5:$C$190=$B6)*ISNUMBER(INDEX(Inputs!$K$5:$AJ$190,0,MATCH(J$2,Inputs!$K$4:$AJ$4,0))))+SUMPRODUCT((Inputs!$E$5:$E$190=$B6)*ISNUMBER(INDEX(Inputs!$K$5:$AJ$190,0,MATCH(J$2,Inputs!$K$4:$AJ$4,0))))=0,NA(),SUMPRODUCT((Inputs!$A$5:$A$190=$B6)*Inputs!$B$5:$B$190*(((Inputs!$G$5:$G$190="moeda")+(Inputs!$G$5:$G$190="acoes"))*Inputs!$B$1+((Inputs!$G$5:$G$190&lt;&gt;"moeda")*(Inputs!$G$5:$G$190&lt;&gt;"acoes")))*INDEX(Inputs!$K$5:$AJ$190,0,MATCH(J$2,Inputs!$K$4:$AJ$4,0)))+SUMPRODUCT((Inputs!$C$5:$C$190=$B6)*Inputs!$D$5:$D$190*(((Inputs!$G$5:$G$190="moeda")+(Inputs!$G$5:$G$190="acoes"))*Inputs!$B$1+((Inputs!$G$5:$G$190&lt;&gt;"moeda")*(Inputs!$G$5:$G$190&lt;&gt;"acoes")))*INDEX(Inputs!$K$5:$AJ$190,0,MATCH(J$2,Inputs!$K$4:$AJ$4,0)))+SUMPRODUCT((Inputs!$E$5:$E$190=$B6)*Inputs!$F$5:$F$190*(((Inputs!$G$5:$G$190="moeda")+(Inputs!$G$5:$G$190="acoes"))*Inputs!$B$1+((Inputs!$G$5:$G$190&lt;&gt;"moeda")*(Inputs!$G$5:$G$190&lt;&gt;"acoes")))*INDEX(Inputs!$K$5:$AJ$190,0,MATCH(J$2,Inputs!$K$4:$AJ$4,0)))))</f>
        <v>-512.662</v>
      </c>
      <c r="K6" s="6">
        <f>IF(ISNA(MATCH(K$2,Inputs!$K$4:$AJ$4,0)),NA(),IF(SUMPRODUCT((Inputs!$A$5:$A$190=$B6)*ISNUMBER(INDEX(Inputs!$K$5:$AJ$190,0,MATCH(K$2,Inputs!$K$4:$AJ$4,0))))+SUMPRODUCT((Inputs!$C$5:$C$190=$B6)*ISNUMBER(INDEX(Inputs!$K$5:$AJ$190,0,MATCH(K$2,Inputs!$K$4:$AJ$4,0))))+SUMPRODUCT((Inputs!$E$5:$E$190=$B6)*ISNUMBER(INDEX(Inputs!$K$5:$AJ$190,0,MATCH(K$2,Inputs!$K$4:$AJ$4,0))))=0,NA(),SUMPRODUCT((Inputs!$A$5:$A$190=$B6)*Inputs!$B$5:$B$190*(((Inputs!$G$5:$G$190="moeda")+(Inputs!$G$5:$G$190="acoes"))*Inputs!$B$1+((Inputs!$G$5:$G$190&lt;&gt;"moeda")*(Inputs!$G$5:$G$190&lt;&gt;"acoes")))*INDEX(Inputs!$K$5:$AJ$190,0,MATCH(K$2,Inputs!$K$4:$AJ$4,0)))+SUMPRODUCT((Inputs!$C$5:$C$190=$B6)*Inputs!$D$5:$D$190*(((Inputs!$G$5:$G$190="moeda")+(Inputs!$G$5:$G$190="acoes"))*Inputs!$B$1+((Inputs!$G$5:$G$190&lt;&gt;"moeda")*(Inputs!$G$5:$G$190&lt;&gt;"acoes")))*INDEX(Inputs!$K$5:$AJ$190,0,MATCH(K$2,Inputs!$K$4:$AJ$4,0)))+SUMPRODUCT((Inputs!$E$5:$E$190=$B6)*Inputs!$F$5:$F$190*(((Inputs!$G$5:$G$190="moeda")+(Inputs!$G$5:$G$190="acoes"))*Inputs!$B$1+((Inputs!$G$5:$G$190&lt;&gt;"moeda")*(Inputs!$G$5:$G$190&lt;&gt;"acoes")))*INDEX(Inputs!$K$5:$AJ$190,0,MATCH(K$2,Inputs!$K$4:$AJ$4,0)))))</f>
        <v>-645.013799541121</v>
      </c>
      <c r="L6" s="6">
        <f>IF(ISNA(MATCH(L$2,Inputs!$K$4:$AJ$4,0)),NA(),IF(SUMPRODUCT((Inputs!$A$5:$A$190=$B6)*ISNUMBER(INDEX(Inputs!$K$5:$AJ$190,0,MATCH(L$2,Inputs!$K$4:$AJ$4,0))))+SUMPRODUCT((Inputs!$C$5:$C$190=$B6)*ISNUMBER(INDEX(Inputs!$K$5:$AJ$190,0,MATCH(L$2,Inputs!$K$4:$AJ$4,0))))+SUMPRODUCT((Inputs!$E$5:$E$190=$B6)*ISNUMBER(INDEX(Inputs!$K$5:$AJ$190,0,MATCH(L$2,Inputs!$K$4:$AJ$4,0))))=0,NA(),SUMPRODUCT((Inputs!$A$5:$A$190=$B6)*Inputs!$B$5:$B$190*(((Inputs!$G$5:$G$190="moeda")+(Inputs!$G$5:$G$190="acoes"))*Inputs!$B$1+((Inputs!$G$5:$G$190&lt;&gt;"moeda")*(Inputs!$G$5:$G$190&lt;&gt;"acoes")))*INDEX(Inputs!$K$5:$AJ$190,0,MATCH(L$2,Inputs!$K$4:$AJ$4,0)))+SUMPRODUCT((Inputs!$C$5:$C$190=$B6)*Inputs!$D$5:$D$190*(((Inputs!$G$5:$G$190="moeda")+(Inputs!$G$5:$G$190="acoes"))*Inputs!$B$1+((Inputs!$G$5:$G$190&lt;&gt;"moeda")*(Inputs!$G$5:$G$190&lt;&gt;"acoes")))*INDEX(Inputs!$K$5:$AJ$190,0,MATCH(L$2,Inputs!$K$4:$AJ$4,0)))+SUMPRODUCT((Inputs!$E$5:$E$190=$B6)*Inputs!$F$5:$F$190*(((Inputs!$G$5:$G$190="moeda")+(Inputs!$G$5:$G$190="acoes"))*Inputs!$B$1+((Inputs!$G$5:$G$190&lt;&gt;"moeda")*(Inputs!$G$5:$G$190&lt;&gt;"acoes")))*INDEX(Inputs!$K$5:$AJ$190,0,MATCH(L$2,Inputs!$K$4:$AJ$4,0)))))</f>
        <v>-875.400687025248</v>
      </c>
      <c r="M6" s="3">
        <f>SUM(I6:L6)</f>
        <v>-2474.35448656637</v>
      </c>
      <c r="N6" s="6">
        <f>IF(ISNA(MATCH(N$2,Inputs!$K$4:$AJ$4,0)),NA(),IF(SUMPRODUCT((Inputs!$A$5:$A$190=$B6)*ISNUMBER(INDEX(Inputs!$K$5:$AJ$190,0,MATCH(N$2,Inputs!$K$4:$AJ$4,0))))+SUMPRODUCT((Inputs!$C$5:$C$190=$B6)*ISNUMBER(INDEX(Inputs!$K$5:$AJ$190,0,MATCH(N$2,Inputs!$K$4:$AJ$4,0))))+SUMPRODUCT((Inputs!$E$5:$E$190=$B6)*ISNUMBER(INDEX(Inputs!$K$5:$AJ$190,0,MATCH(N$2,Inputs!$K$4:$AJ$4,0))))=0,NA(),SUMPRODUCT((Inputs!$A$5:$A$190=$B6)*Inputs!$B$5:$B$190*(((Inputs!$G$5:$G$190="moeda")+(Inputs!$G$5:$G$190="acoes"))*Inputs!$B$1+((Inputs!$G$5:$G$190&lt;&gt;"moeda")*(Inputs!$G$5:$G$190&lt;&gt;"acoes")))*INDEX(Inputs!$K$5:$AJ$190,0,MATCH(N$2,Inputs!$K$4:$AJ$4,0)))+SUMPRODUCT((Inputs!$C$5:$C$190=$B6)*Inputs!$D$5:$D$190*(((Inputs!$G$5:$G$190="moeda")+(Inputs!$G$5:$G$190="acoes"))*Inputs!$B$1+((Inputs!$G$5:$G$190&lt;&gt;"moeda")*(Inputs!$G$5:$G$190&lt;&gt;"acoes")))*INDEX(Inputs!$K$5:$AJ$190,0,MATCH(N$2,Inputs!$K$4:$AJ$4,0)))+SUMPRODUCT((Inputs!$E$5:$E$190=$B6)*Inputs!$F$5:$F$190*(((Inputs!$G$5:$G$190="moeda")+(Inputs!$G$5:$G$190="acoes"))*Inputs!$B$1+((Inputs!$G$5:$G$190&lt;&gt;"moeda")*(Inputs!$G$5:$G$190&lt;&gt;"acoes")))*INDEX(Inputs!$K$5:$AJ$190,0,MATCH(N$2,Inputs!$K$4:$AJ$4,0)))))</f>
        <v>-816.411443457576</v>
      </c>
      <c r="O6" s="6">
        <f>IF(ISNA(MATCH(O$2,Inputs!$K$4:$AJ$4,0)),NA(),IF(SUMPRODUCT((Inputs!$A$5:$A$190=$B6)*ISNUMBER(INDEX(Inputs!$K$5:$AJ$190,0,MATCH(O$2,Inputs!$K$4:$AJ$4,0))))+SUMPRODUCT((Inputs!$C$5:$C$190=$B6)*ISNUMBER(INDEX(Inputs!$K$5:$AJ$190,0,MATCH(O$2,Inputs!$K$4:$AJ$4,0))))+SUMPRODUCT((Inputs!$E$5:$E$190=$B6)*ISNUMBER(INDEX(Inputs!$K$5:$AJ$190,0,MATCH(O$2,Inputs!$K$4:$AJ$4,0))))=0,NA(),SUMPRODUCT((Inputs!$A$5:$A$190=$B6)*Inputs!$B$5:$B$190*(((Inputs!$G$5:$G$190="moeda")+(Inputs!$G$5:$G$190="acoes"))*Inputs!$B$1+((Inputs!$G$5:$G$190&lt;&gt;"moeda")*(Inputs!$G$5:$G$190&lt;&gt;"acoes")))*INDEX(Inputs!$K$5:$AJ$190,0,MATCH(O$2,Inputs!$K$4:$AJ$4,0)))+SUMPRODUCT((Inputs!$C$5:$C$190=$B6)*Inputs!$D$5:$D$190*(((Inputs!$G$5:$G$190="moeda")+(Inputs!$G$5:$G$190="acoes"))*Inputs!$B$1+((Inputs!$G$5:$G$190&lt;&gt;"moeda")*(Inputs!$G$5:$G$190&lt;&gt;"acoes")))*INDEX(Inputs!$K$5:$AJ$190,0,MATCH(O$2,Inputs!$K$4:$AJ$4,0)))+SUMPRODUCT((Inputs!$E$5:$E$190=$B6)*Inputs!$F$5:$F$190*(((Inputs!$G$5:$G$190="moeda")+(Inputs!$G$5:$G$190="acoes"))*Inputs!$B$1+((Inputs!$G$5:$G$190&lt;&gt;"moeda")*(Inputs!$G$5:$G$190&lt;&gt;"acoes")))*INDEX(Inputs!$K$5:$AJ$190,0,MATCH(O$2,Inputs!$K$4:$AJ$4,0)))))</f>
        <v>-562.180071512905</v>
      </c>
      <c r="P6" s="6">
        <f>IF(ISNA(MATCH(P$2,Inputs!$K$4:$AJ$4,0)),NA(),IF(SUMPRODUCT((Inputs!$A$5:$A$190=$B6)*ISNUMBER(INDEX(Inputs!$K$5:$AJ$190,0,MATCH(P$2,Inputs!$K$4:$AJ$4,0))))+SUMPRODUCT((Inputs!$C$5:$C$190=$B6)*ISNUMBER(INDEX(Inputs!$K$5:$AJ$190,0,MATCH(P$2,Inputs!$K$4:$AJ$4,0))))+SUMPRODUCT((Inputs!$E$5:$E$190=$B6)*ISNUMBER(INDEX(Inputs!$K$5:$AJ$190,0,MATCH(P$2,Inputs!$K$4:$AJ$4,0))))=0,NA(),SUMPRODUCT((Inputs!$A$5:$A$190=$B6)*Inputs!$B$5:$B$190*(((Inputs!$G$5:$G$190="moeda")+(Inputs!$G$5:$G$190="acoes"))*Inputs!$B$1+((Inputs!$G$5:$G$190&lt;&gt;"moeda")*(Inputs!$G$5:$G$190&lt;&gt;"acoes")))*INDEX(Inputs!$K$5:$AJ$190,0,MATCH(P$2,Inputs!$K$4:$AJ$4,0)))+SUMPRODUCT((Inputs!$C$5:$C$190=$B6)*Inputs!$D$5:$D$190*(((Inputs!$G$5:$G$190="moeda")+(Inputs!$G$5:$G$190="acoes"))*Inputs!$B$1+((Inputs!$G$5:$G$190&lt;&gt;"moeda")*(Inputs!$G$5:$G$190&lt;&gt;"acoes")))*INDEX(Inputs!$K$5:$AJ$190,0,MATCH(P$2,Inputs!$K$4:$AJ$4,0)))+SUMPRODUCT((Inputs!$E$5:$E$190=$B6)*Inputs!$F$5:$F$190*(((Inputs!$G$5:$G$190="moeda")+(Inputs!$G$5:$G$190="acoes"))*Inputs!$B$1+((Inputs!$G$5:$G$190&lt;&gt;"moeda")*(Inputs!$G$5:$G$190&lt;&gt;"acoes")))*INDEX(Inputs!$K$5:$AJ$190,0,MATCH(P$2,Inputs!$K$4:$AJ$4,0)))))</f>
        <v>-854.692587925405</v>
      </c>
      <c r="Q6" s="6">
        <f>IF(ISNA(MATCH(Q$2,Inputs!$K$4:$AJ$4,0)),NA(),IF(SUMPRODUCT((Inputs!$A$5:$A$190=$B6)*ISNUMBER(INDEX(Inputs!$K$5:$AJ$190,0,MATCH(Q$2,Inputs!$K$4:$AJ$4,0))))+SUMPRODUCT((Inputs!$C$5:$C$190=$B6)*ISNUMBER(INDEX(Inputs!$K$5:$AJ$190,0,MATCH(Q$2,Inputs!$K$4:$AJ$4,0))))+SUMPRODUCT((Inputs!$E$5:$E$190=$B6)*ISNUMBER(INDEX(Inputs!$K$5:$AJ$190,0,MATCH(Q$2,Inputs!$K$4:$AJ$4,0))))=0,NA(),SUMPRODUCT((Inputs!$A$5:$A$190=$B6)*Inputs!$B$5:$B$190*(((Inputs!$G$5:$G$190="moeda")+(Inputs!$G$5:$G$190="acoes"))*Inputs!$B$1+((Inputs!$G$5:$G$190&lt;&gt;"moeda")*(Inputs!$G$5:$G$190&lt;&gt;"acoes")))*INDEX(Inputs!$K$5:$AJ$190,0,MATCH(Q$2,Inputs!$K$4:$AJ$4,0)))+SUMPRODUCT((Inputs!$C$5:$C$190=$B6)*Inputs!$D$5:$D$190*(((Inputs!$G$5:$G$190="moeda")+(Inputs!$G$5:$G$190="acoes"))*Inputs!$B$1+((Inputs!$G$5:$G$190&lt;&gt;"moeda")*(Inputs!$G$5:$G$190&lt;&gt;"acoes")))*INDEX(Inputs!$K$5:$AJ$190,0,MATCH(Q$2,Inputs!$K$4:$AJ$4,0)))+SUMPRODUCT((Inputs!$E$5:$E$190=$B6)*Inputs!$F$5:$F$190*(((Inputs!$G$5:$G$190="moeda")+(Inputs!$G$5:$G$190="acoes"))*Inputs!$B$1+((Inputs!$G$5:$G$190&lt;&gt;"moeda")*(Inputs!$G$5:$G$190&lt;&gt;"acoes")))*INDEX(Inputs!$K$5:$AJ$190,0,MATCH(Q$2,Inputs!$K$4:$AJ$4,0)))))</f>
        <v>-1045.89846326158</v>
      </c>
      <c r="R6" s="3">
        <f>SUM(N6:Q6)</f>
        <v>-3279.18256615747</v>
      </c>
      <c r="S6" s="6">
        <f>IF(ISNA(MATCH(S$2,Inputs!$K$4:$AJ$4,0)),NA(),IF(SUMPRODUCT((Inputs!$A$5:$A$190=$B6)*ISNUMBER(INDEX(Inputs!$K$5:$AJ$190,0,MATCH(S$2,Inputs!$K$4:$AJ$4,0))))+SUMPRODUCT((Inputs!$C$5:$C$190=$B6)*ISNUMBER(INDEX(Inputs!$K$5:$AJ$190,0,MATCH(S$2,Inputs!$K$4:$AJ$4,0))))+SUMPRODUCT((Inputs!$E$5:$E$190=$B6)*ISNUMBER(INDEX(Inputs!$K$5:$AJ$190,0,MATCH(S$2,Inputs!$K$4:$AJ$4,0))))=0,NA(),SUMPRODUCT((Inputs!$A$5:$A$190=$B6)*Inputs!$B$5:$B$190*(((Inputs!$G$5:$G$190="moeda")+(Inputs!$G$5:$G$190="acoes"))*Inputs!$B$1+((Inputs!$G$5:$G$190&lt;&gt;"moeda")*(Inputs!$G$5:$G$190&lt;&gt;"acoes")))*INDEX(Inputs!$K$5:$AJ$190,0,MATCH(S$2,Inputs!$K$4:$AJ$4,0)))+SUMPRODUCT((Inputs!$C$5:$C$190=$B6)*Inputs!$D$5:$D$190*(((Inputs!$G$5:$G$190="moeda")+(Inputs!$G$5:$G$190="acoes"))*Inputs!$B$1+((Inputs!$G$5:$G$190&lt;&gt;"moeda")*(Inputs!$G$5:$G$190&lt;&gt;"acoes")))*INDEX(Inputs!$K$5:$AJ$190,0,MATCH(S$2,Inputs!$K$4:$AJ$4,0)))+SUMPRODUCT((Inputs!$E$5:$E$190=$B6)*Inputs!$F$5:$F$190*(((Inputs!$G$5:$G$190="moeda")+(Inputs!$G$5:$G$190="acoes"))*Inputs!$B$1+((Inputs!$G$5:$G$190&lt;&gt;"moeda")*(Inputs!$G$5:$G$190&lt;&gt;"acoes")))*INDEX(Inputs!$K$5:$AJ$190,0,MATCH(S$2,Inputs!$K$4:$AJ$4,0)))))</f>
        <v>-904.42900876</v>
      </c>
      <c r="T6" s="6">
        <f>IF(ISNA(MATCH(T$2,Inputs!$K$4:$AJ$4,0)),NA(),IF(SUMPRODUCT((Inputs!$A$5:$A$190=$B6)*ISNUMBER(INDEX(Inputs!$K$5:$AJ$190,0,MATCH(T$2,Inputs!$K$4:$AJ$4,0))))+SUMPRODUCT((Inputs!$C$5:$C$190=$B6)*ISNUMBER(INDEX(Inputs!$K$5:$AJ$190,0,MATCH(T$2,Inputs!$K$4:$AJ$4,0))))+SUMPRODUCT((Inputs!$E$5:$E$190=$B6)*ISNUMBER(INDEX(Inputs!$K$5:$AJ$190,0,MATCH(T$2,Inputs!$K$4:$AJ$4,0))))=0,NA(),SUMPRODUCT((Inputs!$A$5:$A$190=$B6)*Inputs!$B$5:$B$190*(((Inputs!$G$5:$G$190="moeda")+(Inputs!$G$5:$G$190="acoes"))*Inputs!$B$1+((Inputs!$G$5:$G$190&lt;&gt;"moeda")*(Inputs!$G$5:$G$190&lt;&gt;"acoes")))*INDEX(Inputs!$K$5:$AJ$190,0,MATCH(T$2,Inputs!$K$4:$AJ$4,0)))+SUMPRODUCT((Inputs!$C$5:$C$190=$B6)*Inputs!$D$5:$D$190*(((Inputs!$G$5:$G$190="moeda")+(Inputs!$G$5:$G$190="acoes"))*Inputs!$B$1+((Inputs!$G$5:$G$190&lt;&gt;"moeda")*(Inputs!$G$5:$G$190&lt;&gt;"acoes")))*INDEX(Inputs!$K$5:$AJ$190,0,MATCH(T$2,Inputs!$K$4:$AJ$4,0)))+SUMPRODUCT((Inputs!$E$5:$E$190=$B6)*Inputs!$F$5:$F$190*(((Inputs!$G$5:$G$190="moeda")+(Inputs!$G$5:$G$190="acoes"))*Inputs!$B$1+((Inputs!$G$5:$G$190&lt;&gt;"moeda")*(Inputs!$G$5:$G$190&lt;&gt;"acoes")))*INDEX(Inputs!$K$5:$AJ$190,0,MATCH(T$2,Inputs!$K$4:$AJ$4,0)))))</f>
        <v>-878.68710389</v>
      </c>
      <c r="U6" s="6">
        <f>IF(ISNA(MATCH(U$2,Inputs!$K$4:$AJ$4,0)),NA(),IF(SUMPRODUCT((Inputs!$A$5:$A$190=$B6)*ISNUMBER(INDEX(Inputs!$K$5:$AJ$190,0,MATCH(U$2,Inputs!$K$4:$AJ$4,0))))+SUMPRODUCT((Inputs!$C$5:$C$190=$B6)*ISNUMBER(INDEX(Inputs!$K$5:$AJ$190,0,MATCH(U$2,Inputs!$K$4:$AJ$4,0))))+SUMPRODUCT((Inputs!$E$5:$E$190=$B6)*ISNUMBER(INDEX(Inputs!$K$5:$AJ$190,0,MATCH(U$2,Inputs!$K$4:$AJ$4,0))))=0,NA(),SUMPRODUCT((Inputs!$A$5:$A$190=$B6)*Inputs!$B$5:$B$190*(((Inputs!$G$5:$G$190="moeda")+(Inputs!$G$5:$G$190="acoes"))*Inputs!$B$1+((Inputs!$G$5:$G$190&lt;&gt;"moeda")*(Inputs!$G$5:$G$190&lt;&gt;"acoes")))*INDEX(Inputs!$K$5:$AJ$190,0,MATCH(U$2,Inputs!$K$4:$AJ$4,0)))+SUMPRODUCT((Inputs!$C$5:$C$190=$B6)*Inputs!$D$5:$D$190*(((Inputs!$G$5:$G$190="moeda")+(Inputs!$G$5:$G$190="acoes"))*Inputs!$B$1+((Inputs!$G$5:$G$190&lt;&gt;"moeda")*(Inputs!$G$5:$G$190&lt;&gt;"acoes")))*INDEX(Inputs!$K$5:$AJ$190,0,MATCH(U$2,Inputs!$K$4:$AJ$4,0)))+SUMPRODUCT((Inputs!$E$5:$E$190=$B6)*Inputs!$F$5:$F$190*(((Inputs!$G$5:$G$190="moeda")+(Inputs!$G$5:$G$190="acoes"))*Inputs!$B$1+((Inputs!$G$5:$G$190&lt;&gt;"moeda")*(Inputs!$G$5:$G$190&lt;&gt;"acoes")))*INDEX(Inputs!$K$5:$AJ$190,0,MATCH(U$2,Inputs!$K$4:$AJ$4,0)))))</f>
        <v>-997.19909168</v>
      </c>
      <c r="V6" s="6">
        <f>IF(ISNA(MATCH(V$2,Inputs!$K$4:$AJ$4,0)),NA(),IF(SUMPRODUCT((Inputs!$A$5:$A$190=$B6)*ISNUMBER(INDEX(Inputs!$K$5:$AJ$190,0,MATCH(V$2,Inputs!$K$4:$AJ$4,0))))+SUMPRODUCT((Inputs!$C$5:$C$190=$B6)*ISNUMBER(INDEX(Inputs!$K$5:$AJ$190,0,MATCH(V$2,Inputs!$K$4:$AJ$4,0))))+SUMPRODUCT((Inputs!$E$5:$E$190=$B6)*ISNUMBER(INDEX(Inputs!$K$5:$AJ$190,0,MATCH(V$2,Inputs!$K$4:$AJ$4,0))))=0,NA(),SUMPRODUCT((Inputs!$A$5:$A$190=$B6)*Inputs!$B$5:$B$190*(((Inputs!$G$5:$G$190="moeda")+(Inputs!$G$5:$G$190="acoes"))*Inputs!$B$1+((Inputs!$G$5:$G$190&lt;&gt;"moeda")*(Inputs!$G$5:$G$190&lt;&gt;"acoes")))*INDEX(Inputs!$K$5:$AJ$190,0,MATCH(V$2,Inputs!$K$4:$AJ$4,0)))+SUMPRODUCT((Inputs!$C$5:$C$190=$B6)*Inputs!$D$5:$D$190*(((Inputs!$G$5:$G$190="moeda")+(Inputs!$G$5:$G$190="acoes"))*Inputs!$B$1+((Inputs!$G$5:$G$190&lt;&gt;"moeda")*(Inputs!$G$5:$G$190&lt;&gt;"acoes")))*INDEX(Inputs!$K$5:$AJ$190,0,MATCH(V$2,Inputs!$K$4:$AJ$4,0)))+SUMPRODUCT((Inputs!$E$5:$E$190=$B6)*Inputs!$F$5:$F$190*(((Inputs!$G$5:$G$190="moeda")+(Inputs!$G$5:$G$190="acoes"))*Inputs!$B$1+((Inputs!$G$5:$G$190&lt;&gt;"moeda")*(Inputs!$G$5:$G$190&lt;&gt;"acoes")))*INDEX(Inputs!$K$5:$AJ$190,0,MATCH(V$2,Inputs!$K$4:$AJ$4,0)))))</f>
        <v>-1065.87079567</v>
      </c>
      <c r="W6" s="3">
        <f>SUM(S6:V6)</f>
        <v>-3846.186</v>
      </c>
      <c r="X6" s="6">
        <f>IF(ISNA(MATCH(X$2,Inputs!$K$4:$AJ$4,0)),NA(),IF(SUMPRODUCT((Inputs!$A$5:$A$190=$B6)*ISNUMBER(INDEX(Inputs!$K$5:$AJ$190,0,MATCH(X$2,Inputs!$K$4:$AJ$4,0))))+SUMPRODUCT((Inputs!$C$5:$C$190=$B6)*ISNUMBER(INDEX(Inputs!$K$5:$AJ$190,0,MATCH(X$2,Inputs!$K$4:$AJ$4,0))))+SUMPRODUCT((Inputs!$E$5:$E$190=$B6)*ISNUMBER(INDEX(Inputs!$K$5:$AJ$190,0,MATCH(X$2,Inputs!$K$4:$AJ$4,0))))=0,NA(),SUMPRODUCT((Inputs!$A$5:$A$190=$B6)*Inputs!$B$5:$B$190*(((Inputs!$G$5:$G$190="moeda")+(Inputs!$G$5:$G$190="acoes"))*Inputs!$B$1+((Inputs!$G$5:$G$190&lt;&gt;"moeda")*(Inputs!$G$5:$G$190&lt;&gt;"acoes")))*INDEX(Inputs!$K$5:$AJ$190,0,MATCH(X$2,Inputs!$K$4:$AJ$4,0)))+SUMPRODUCT((Inputs!$C$5:$C$190=$B6)*Inputs!$D$5:$D$190*(((Inputs!$G$5:$G$190="moeda")+(Inputs!$G$5:$G$190="acoes"))*Inputs!$B$1+((Inputs!$G$5:$G$190&lt;&gt;"moeda")*(Inputs!$G$5:$G$190&lt;&gt;"acoes")))*INDEX(Inputs!$K$5:$AJ$190,0,MATCH(X$2,Inputs!$K$4:$AJ$4,0)))+SUMPRODUCT((Inputs!$E$5:$E$190=$B6)*Inputs!$F$5:$F$190*(((Inputs!$G$5:$G$190="moeda")+(Inputs!$G$5:$G$190="acoes"))*Inputs!$B$1+((Inputs!$G$5:$G$190&lt;&gt;"moeda")*(Inputs!$G$5:$G$190&lt;&gt;"acoes")))*INDEX(Inputs!$K$5:$AJ$190,0,MATCH(X$2,Inputs!$K$4:$AJ$4,0)))))</f>
        <v>-944.98508415</v>
      </c>
      <c r="Y6" s="6">
        <f>IF(ISNA(MATCH(Y$2,Inputs!$K$4:$AJ$4,0)),NA(),IF(SUMPRODUCT((Inputs!$A$5:$A$190=$B6)*ISNUMBER(INDEX(Inputs!$K$5:$AJ$190,0,MATCH(Y$2,Inputs!$K$4:$AJ$4,0))))+SUMPRODUCT((Inputs!$C$5:$C$190=$B6)*ISNUMBER(INDEX(Inputs!$K$5:$AJ$190,0,MATCH(Y$2,Inputs!$K$4:$AJ$4,0))))+SUMPRODUCT((Inputs!$E$5:$E$190=$B6)*ISNUMBER(INDEX(Inputs!$K$5:$AJ$190,0,MATCH(Y$2,Inputs!$K$4:$AJ$4,0))))=0,NA(),SUMPRODUCT((Inputs!$A$5:$A$190=$B6)*Inputs!$B$5:$B$190*(((Inputs!$G$5:$G$190="moeda")+(Inputs!$G$5:$G$190="acoes"))*Inputs!$B$1+((Inputs!$G$5:$G$190&lt;&gt;"moeda")*(Inputs!$G$5:$G$190&lt;&gt;"acoes")))*INDEX(Inputs!$K$5:$AJ$190,0,MATCH(Y$2,Inputs!$K$4:$AJ$4,0)))+SUMPRODUCT((Inputs!$C$5:$C$190=$B6)*Inputs!$D$5:$D$190*(((Inputs!$G$5:$G$190="moeda")+(Inputs!$G$5:$G$190="acoes"))*Inputs!$B$1+((Inputs!$G$5:$G$190&lt;&gt;"moeda")*(Inputs!$G$5:$G$190&lt;&gt;"acoes")))*INDEX(Inputs!$K$5:$AJ$190,0,MATCH(Y$2,Inputs!$K$4:$AJ$4,0)))+SUMPRODUCT((Inputs!$E$5:$E$190=$B6)*Inputs!$F$5:$F$190*(((Inputs!$G$5:$G$190="moeda")+(Inputs!$G$5:$G$190="acoes"))*Inputs!$B$1+((Inputs!$G$5:$G$190&lt;&gt;"moeda")*(Inputs!$G$5:$G$190&lt;&gt;"acoes")))*INDEX(Inputs!$K$5:$AJ$190,0,MATCH(Y$2,Inputs!$K$4:$AJ$4,0)))))</f>
        <v>-973.05747003</v>
      </c>
      <c r="Z6" s="6">
        <f>IF(ISNA(MATCH(Z$2,Inputs!$K$4:$AJ$4,0)),NA(),IF(SUMPRODUCT((Inputs!$A$5:$A$190=$B6)*ISNUMBER(INDEX(Inputs!$K$5:$AJ$190,0,MATCH(Z$2,Inputs!$K$4:$AJ$4,0))))+SUMPRODUCT((Inputs!$C$5:$C$190=$B6)*ISNUMBER(INDEX(Inputs!$K$5:$AJ$190,0,MATCH(Z$2,Inputs!$K$4:$AJ$4,0))))+SUMPRODUCT((Inputs!$E$5:$E$190=$B6)*ISNUMBER(INDEX(Inputs!$K$5:$AJ$190,0,MATCH(Z$2,Inputs!$K$4:$AJ$4,0))))=0,NA(),SUMPRODUCT((Inputs!$A$5:$A$190=$B6)*Inputs!$B$5:$B$190*(((Inputs!$G$5:$G$190="moeda")+(Inputs!$G$5:$G$190="acoes"))*Inputs!$B$1+((Inputs!$G$5:$G$190&lt;&gt;"moeda")*(Inputs!$G$5:$G$190&lt;&gt;"acoes")))*INDEX(Inputs!$K$5:$AJ$190,0,MATCH(Z$2,Inputs!$K$4:$AJ$4,0)))+SUMPRODUCT((Inputs!$C$5:$C$190=$B6)*Inputs!$D$5:$D$190*(((Inputs!$G$5:$G$190="moeda")+(Inputs!$G$5:$G$190="acoes"))*Inputs!$B$1+((Inputs!$G$5:$G$190&lt;&gt;"moeda")*(Inputs!$G$5:$G$190&lt;&gt;"acoes")))*INDEX(Inputs!$K$5:$AJ$190,0,MATCH(Z$2,Inputs!$K$4:$AJ$4,0)))+SUMPRODUCT((Inputs!$E$5:$E$190=$B6)*Inputs!$F$5:$F$190*(((Inputs!$G$5:$G$190="moeda")+(Inputs!$G$5:$G$190="acoes"))*Inputs!$B$1+((Inputs!$G$5:$G$190&lt;&gt;"moeda")*(Inputs!$G$5:$G$190&lt;&gt;"acoes")))*INDEX(Inputs!$K$5:$AJ$190,0,MATCH(Z$2,Inputs!$K$4:$AJ$4,0)))))</f>
        <v>-1153.53826563</v>
      </c>
      <c r="AA6" s="6">
        <f>IF(ISNA(MATCH(AA$2,Inputs!$K$4:$AJ$4,0)),NA(),IF(SUMPRODUCT((Inputs!$A$5:$A$190=$B6)*ISNUMBER(INDEX(Inputs!$K$5:$AJ$190,0,MATCH(AA$2,Inputs!$K$4:$AJ$4,0))))+SUMPRODUCT((Inputs!$C$5:$C$190=$B6)*ISNUMBER(INDEX(Inputs!$K$5:$AJ$190,0,MATCH(AA$2,Inputs!$K$4:$AJ$4,0))))+SUMPRODUCT((Inputs!$E$5:$E$190=$B6)*ISNUMBER(INDEX(Inputs!$K$5:$AJ$190,0,MATCH(AA$2,Inputs!$K$4:$AJ$4,0))))=0,NA(),SUMPRODUCT((Inputs!$A$5:$A$190=$B6)*Inputs!$B$5:$B$190*(((Inputs!$G$5:$G$190="moeda")+(Inputs!$G$5:$G$190="acoes"))*Inputs!$B$1+((Inputs!$G$5:$G$190&lt;&gt;"moeda")*(Inputs!$G$5:$G$190&lt;&gt;"acoes")))*INDEX(Inputs!$K$5:$AJ$190,0,MATCH(AA$2,Inputs!$K$4:$AJ$4,0)))+SUMPRODUCT((Inputs!$C$5:$C$190=$B6)*Inputs!$D$5:$D$190*(((Inputs!$G$5:$G$190="moeda")+(Inputs!$G$5:$G$190="acoes"))*Inputs!$B$1+((Inputs!$G$5:$G$190&lt;&gt;"moeda")*(Inputs!$G$5:$G$190&lt;&gt;"acoes")))*INDEX(Inputs!$K$5:$AJ$190,0,MATCH(AA$2,Inputs!$K$4:$AJ$4,0)))+SUMPRODUCT((Inputs!$E$5:$E$190=$B6)*Inputs!$F$5:$F$190*(((Inputs!$G$5:$G$190="moeda")+(Inputs!$G$5:$G$190="acoes"))*Inputs!$B$1+((Inputs!$G$5:$G$190&lt;&gt;"moeda")*(Inputs!$G$5:$G$190&lt;&gt;"acoes")))*INDEX(Inputs!$K$5:$AJ$190,0,MATCH(AA$2,Inputs!$K$4:$AJ$4,0)))))</f>
        <v>-83.9614846699999</v>
      </c>
      <c r="AB6" s="3">
        <f>SUM(X6:AA6)</f>
        <v>-3155.54230448</v>
      </c>
      <c r="AC6" s="6">
        <f>IF(ISNA(MATCH(AC$2,Inputs!$K$4:$AJ$4,0)),NA(),IF(SUMPRODUCT((Inputs!$A$5:$A$190=$B6)*ISNUMBER(INDEX(Inputs!$K$5:$AJ$190,0,MATCH(AC$2,Inputs!$K$4:$AJ$4,0))))+SUMPRODUCT((Inputs!$C$5:$C$190=$B6)*ISNUMBER(INDEX(Inputs!$K$5:$AJ$190,0,MATCH(AC$2,Inputs!$K$4:$AJ$4,0))))+SUMPRODUCT((Inputs!$E$5:$E$190=$B6)*ISNUMBER(INDEX(Inputs!$K$5:$AJ$190,0,MATCH(AC$2,Inputs!$K$4:$AJ$4,0))))=0,NA(),SUMPRODUCT((Inputs!$A$5:$A$190=$B6)*Inputs!$B$5:$B$190*(((Inputs!$G$5:$G$190="moeda")+(Inputs!$G$5:$G$190="acoes"))*Inputs!$B$1+((Inputs!$G$5:$G$190&lt;&gt;"moeda")*(Inputs!$G$5:$G$190&lt;&gt;"acoes")))*INDEX(Inputs!$K$5:$AJ$190,0,MATCH(AC$2,Inputs!$K$4:$AJ$4,0)))+SUMPRODUCT((Inputs!$C$5:$C$190=$B6)*Inputs!$D$5:$D$190*(((Inputs!$G$5:$G$190="moeda")+(Inputs!$G$5:$G$190="acoes"))*Inputs!$B$1+((Inputs!$G$5:$G$190&lt;&gt;"moeda")*(Inputs!$G$5:$G$190&lt;&gt;"acoes")))*INDEX(Inputs!$K$5:$AJ$190,0,MATCH(AC$2,Inputs!$K$4:$AJ$4,0)))+SUMPRODUCT((Inputs!$E$5:$E$190=$B6)*Inputs!$F$5:$F$190*(((Inputs!$G$5:$G$190="moeda")+(Inputs!$G$5:$G$190="acoes"))*Inputs!$B$1+((Inputs!$G$5:$G$190&lt;&gt;"moeda")*(Inputs!$G$5:$G$190&lt;&gt;"acoes")))*INDEX(Inputs!$K$5:$AJ$190,0,MATCH(AC$2,Inputs!$K$4:$AJ$4,0)))))</f>
        <v>-1175.05327747</v>
      </c>
      <c r="AD6" s="6">
        <f>IF(ISNA(MATCH(AD$2,Inputs!$K$4:$AJ$4,0)),NA(),IF(SUMPRODUCT((Inputs!$A$5:$A$190=$B6)*ISNUMBER(INDEX(Inputs!$K$5:$AJ$190,0,MATCH(AD$2,Inputs!$K$4:$AJ$4,0))))+SUMPRODUCT((Inputs!$C$5:$C$190=$B6)*ISNUMBER(INDEX(Inputs!$K$5:$AJ$190,0,MATCH(AD$2,Inputs!$K$4:$AJ$4,0))))+SUMPRODUCT((Inputs!$E$5:$E$190=$B6)*ISNUMBER(INDEX(Inputs!$K$5:$AJ$190,0,MATCH(AD$2,Inputs!$K$4:$AJ$4,0))))=0,NA(),SUMPRODUCT((Inputs!$A$5:$A$190=$B6)*Inputs!$B$5:$B$190*(((Inputs!$G$5:$G$190="moeda")+(Inputs!$G$5:$G$190="acoes"))*Inputs!$B$1+((Inputs!$G$5:$G$190&lt;&gt;"moeda")*(Inputs!$G$5:$G$190&lt;&gt;"acoes")))*INDEX(Inputs!$K$5:$AJ$190,0,MATCH(AD$2,Inputs!$K$4:$AJ$4,0)))+SUMPRODUCT((Inputs!$C$5:$C$190=$B6)*Inputs!$D$5:$D$190*(((Inputs!$G$5:$G$190="moeda")+(Inputs!$G$5:$G$190="acoes"))*Inputs!$B$1+((Inputs!$G$5:$G$190&lt;&gt;"moeda")*(Inputs!$G$5:$G$190&lt;&gt;"acoes")))*INDEX(Inputs!$K$5:$AJ$190,0,MATCH(AD$2,Inputs!$K$4:$AJ$4,0)))+SUMPRODUCT((Inputs!$E$5:$E$190=$B6)*Inputs!$F$5:$F$190*(((Inputs!$G$5:$G$190="moeda")+(Inputs!$G$5:$G$190="acoes"))*Inputs!$B$1+((Inputs!$G$5:$G$190&lt;&gt;"moeda")*(Inputs!$G$5:$G$190&lt;&gt;"acoes")))*INDEX(Inputs!$K$5:$AJ$190,0,MATCH(AD$2,Inputs!$K$4:$AJ$4,0)))))</f>
        <v>-1082.98686087</v>
      </c>
      <c r="AE6" s="6" t="e">
        <f>IF(ISNA(MATCH(AE$2,Inputs!$K$4:$AJ$4,0)),NA(),IF(SUMPRODUCT((Inputs!$A$5:$A$190=$B6)*ISNUMBER(INDEX(Inputs!$K$5:$AJ$190,0,MATCH(AE$2,Inputs!$K$4:$AJ$4,0))))+SUMPRODUCT((Inputs!$C$5:$C$190=$B6)*ISNUMBER(INDEX(Inputs!$K$5:$AJ$190,0,MATCH(AE$2,Inputs!$K$4:$AJ$4,0))))+SUMPRODUCT((Inputs!$E$5:$E$190=$B6)*ISNUMBER(INDEX(Inputs!$K$5:$AJ$190,0,MATCH(AE$2,Inputs!$K$4:$AJ$4,0))))=0,NA(),SUMPRODUCT((Inputs!$A$5:$A$190=$B6)*Inputs!$B$5:$B$190*(((Inputs!$G$5:$G$190="moeda")+(Inputs!$G$5:$G$190="acoes"))*Inputs!$B$1+((Inputs!$G$5:$G$190&lt;&gt;"moeda")*(Inputs!$G$5:$G$190&lt;&gt;"acoes")))*INDEX(Inputs!$K$5:$AJ$190,0,MATCH(AE$2,Inputs!$K$4:$AJ$4,0)))+SUMPRODUCT((Inputs!$C$5:$C$190=$B6)*Inputs!$D$5:$D$190*(((Inputs!$G$5:$G$190="moeda")+(Inputs!$G$5:$G$190="acoes"))*Inputs!$B$1+((Inputs!$G$5:$G$190&lt;&gt;"moeda")*(Inputs!$G$5:$G$190&lt;&gt;"acoes")))*INDEX(Inputs!$K$5:$AJ$190,0,MATCH(AE$2,Inputs!$K$4:$AJ$4,0)))+SUMPRODUCT((Inputs!$E$5:$E$190=$B6)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6" s="6" t="e">
        <f>IF(ISNA(MATCH(AF$2,Inputs!$K$4:$AJ$4,0)),NA(),IF(SUMPRODUCT((Inputs!$A$5:$A$190=$B6)*ISNUMBER(INDEX(Inputs!$K$5:$AJ$190,0,MATCH(AF$2,Inputs!$K$4:$AJ$4,0))))+SUMPRODUCT((Inputs!$C$5:$C$190=$B6)*ISNUMBER(INDEX(Inputs!$K$5:$AJ$190,0,MATCH(AF$2,Inputs!$K$4:$AJ$4,0))))+SUMPRODUCT((Inputs!$E$5:$E$190=$B6)*ISNUMBER(INDEX(Inputs!$K$5:$AJ$190,0,MATCH(AF$2,Inputs!$K$4:$AJ$4,0))))=0,NA(),SUMPRODUCT((Inputs!$A$5:$A$190=$B6)*Inputs!$B$5:$B$190*(((Inputs!$G$5:$G$190="moeda")+(Inputs!$G$5:$G$190="acoes"))*Inputs!$B$1+((Inputs!$G$5:$G$190&lt;&gt;"moeda")*(Inputs!$G$5:$G$190&lt;&gt;"acoes")))*INDEX(Inputs!$K$5:$AJ$190,0,MATCH(AF$2,Inputs!$K$4:$AJ$4,0)))+SUMPRODUCT((Inputs!$C$5:$C$190=$B6)*Inputs!$D$5:$D$190*(((Inputs!$G$5:$G$190="moeda")+(Inputs!$G$5:$G$190="acoes"))*Inputs!$B$1+((Inputs!$G$5:$G$190&lt;&gt;"moeda")*(Inputs!$G$5:$G$190&lt;&gt;"acoes")))*INDEX(Inputs!$K$5:$AJ$190,0,MATCH(AF$2,Inputs!$K$4:$AJ$4,0)))+SUMPRODUCT((Inputs!$E$5:$E$190=$B6)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6" s="3" t="e">
        <f>SUM(AC6:AF6)</f>
        <v>#N/A</v>
      </c>
      <c r="AH6" s="6">
        <f>IF(ISNA(MATCH(AH$2,Inputs!$K$4:$AJ$4,0)),NA(),IF(SUMPRODUCT((Inputs!$A$5:$A$190=$B6)*ISNUMBER(INDEX(Inputs!$K$5:$AJ$190,0,MATCH(AH$2,Inputs!$K$4:$AJ$4,0))))+SUMPRODUCT((Inputs!$C$5:$C$190=$B6)*ISNUMBER(INDEX(Inputs!$K$5:$AJ$190,0,MATCH(AH$2,Inputs!$K$4:$AJ$4,0))))+SUMPRODUCT((Inputs!$E$5:$E$190=$B6)*ISNUMBER(INDEX(Inputs!$K$5:$AJ$190,0,MATCH(AH$2,Inputs!$K$4:$AJ$4,0))))=0,NA(),SUMPRODUCT((Inputs!$A$5:$A$190=$B6)*Inputs!$B$5:$B$190*(((Inputs!$G$5:$G$190="moeda")+(Inputs!$G$5:$G$190="acoes"))*Inputs!$B$1+((Inputs!$G$5:$G$190&lt;&gt;"moeda")*(Inputs!$G$5:$G$190&lt;&gt;"acoes")))*INDEX(Inputs!$K$5:$AJ$190,0,MATCH(AH$2,Inputs!$K$4:$AJ$4,0)))+SUMPRODUCT((Inputs!$C$5:$C$190=$B6)*Inputs!$D$5:$D$190*(((Inputs!$G$5:$G$190="moeda")+(Inputs!$G$5:$G$190="acoes"))*Inputs!$B$1+((Inputs!$G$5:$G$190&lt;&gt;"moeda")*(Inputs!$G$5:$G$190&lt;&gt;"acoes")))*INDEX(Inputs!$K$5:$AJ$190,0,MATCH(AH$2,Inputs!$K$4:$AJ$4,0)))+SUMPRODUCT((Inputs!$E$5:$E$190=$B6)*Inputs!$F$5:$F$190*(((Inputs!$G$5:$G$190="moeda")+(Inputs!$G$5:$G$190="acoes"))*Inputs!$B$1+((Inputs!$G$5:$G$190&lt;&gt;"moeda")*(Inputs!$G$5:$G$190&lt;&gt;"acoes")))*INDEX(Inputs!$K$5:$AJ$190,0,MATCH(AH$2,Inputs!$K$4:$AJ$4,0)))))</f>
        <v>-425.28034283</v>
      </c>
      <c r="AI6" s="6">
        <f>IF(ISNA(MATCH(AI$2,Inputs!$K$4:$AJ$4,0)),NA(),IF(SUMPRODUCT((Inputs!$A$5:$A$190=$B6)*ISNUMBER(INDEX(Inputs!$K$5:$AJ$190,0,MATCH(AI$2,Inputs!$K$4:$AJ$4,0))))+SUMPRODUCT((Inputs!$C$5:$C$190=$B6)*ISNUMBER(INDEX(Inputs!$K$5:$AJ$190,0,MATCH(AI$2,Inputs!$K$4:$AJ$4,0))))+SUMPRODUCT((Inputs!$E$5:$E$190=$B6)*ISNUMBER(INDEX(Inputs!$K$5:$AJ$190,0,MATCH(AI$2,Inputs!$K$4:$AJ$4,0))))=0,NA(),SUMPRODUCT((Inputs!$A$5:$A$190=$B6)*Inputs!$B$5:$B$190*(((Inputs!$G$5:$G$190="moeda")+(Inputs!$G$5:$G$190="acoes"))*Inputs!$B$1+((Inputs!$G$5:$G$190&lt;&gt;"moeda")*(Inputs!$G$5:$G$190&lt;&gt;"acoes")))*INDEX(Inputs!$K$5:$AJ$190,0,MATCH(AI$2,Inputs!$K$4:$AJ$4,0)))+SUMPRODUCT((Inputs!$C$5:$C$190=$B6)*Inputs!$D$5:$D$190*(((Inputs!$G$5:$G$190="moeda")+(Inputs!$G$5:$G$190="acoes"))*Inputs!$B$1+((Inputs!$G$5:$G$190&lt;&gt;"moeda")*(Inputs!$G$5:$G$190&lt;&gt;"acoes")))*INDEX(Inputs!$K$5:$AJ$190,0,MATCH(AI$2,Inputs!$K$4:$AJ$4,0)))+SUMPRODUCT((Inputs!$E$5:$E$190=$B6)*Inputs!$F$5:$F$190*(((Inputs!$G$5:$G$190="moeda")+(Inputs!$G$5:$G$190="acoes"))*Inputs!$B$1+((Inputs!$G$5:$G$190&lt;&gt;"moeda")*(Inputs!$G$5:$G$190&lt;&gt;"acoes")))*INDEX(Inputs!$K$5:$AJ$190,0,MATCH(AI$2,Inputs!$K$4:$AJ$4,0)))))</f>
        <v>-195.00783415</v>
      </c>
      <c r="AJ6" s="6">
        <f>IF(ISNA(MATCH(AJ$2,Inputs!$K$4:$AJ$4,0)),NA(),IF(SUMPRODUCT((Inputs!$A$5:$A$190=$B6)*ISNUMBER(INDEX(Inputs!$K$5:$AJ$190,0,MATCH(AJ$2,Inputs!$K$4:$AJ$4,0))))+SUMPRODUCT((Inputs!$C$5:$C$190=$B6)*ISNUMBER(INDEX(Inputs!$K$5:$AJ$190,0,MATCH(AJ$2,Inputs!$K$4:$AJ$4,0))))+SUMPRODUCT((Inputs!$E$5:$E$190=$B6)*ISNUMBER(INDEX(Inputs!$K$5:$AJ$190,0,MATCH(AJ$2,Inputs!$K$4:$AJ$4,0))))=0,NA(),SUMPRODUCT((Inputs!$A$5:$A$190=$B6)*Inputs!$B$5:$B$190*(((Inputs!$G$5:$G$190="moeda")+(Inputs!$G$5:$G$190="acoes"))*Inputs!$B$1+((Inputs!$G$5:$G$190&lt;&gt;"moeda")*(Inputs!$G$5:$G$190&lt;&gt;"acoes")))*INDEX(Inputs!$K$5:$AJ$190,0,MATCH(AJ$2,Inputs!$K$4:$AJ$4,0)))+SUMPRODUCT((Inputs!$C$5:$C$190=$B6)*Inputs!$D$5:$D$190*(((Inputs!$G$5:$G$190="moeda")+(Inputs!$G$5:$G$190="acoes"))*Inputs!$B$1+((Inputs!$G$5:$G$190&lt;&gt;"moeda")*(Inputs!$G$5:$G$190&lt;&gt;"acoes")))*INDEX(Inputs!$K$5:$AJ$190,0,MATCH(AJ$2,Inputs!$K$4:$AJ$4,0)))+SUMPRODUCT((Inputs!$E$5:$E$190=$B6)*Inputs!$F$5:$F$190*(((Inputs!$G$5:$G$190="moeda")+(Inputs!$G$5:$G$190="acoes"))*Inputs!$B$1+((Inputs!$G$5:$G$190&lt;&gt;"moeda")*(Inputs!$G$5:$G$190&lt;&gt;"acoes")))*INDEX(Inputs!$K$5:$AJ$190,0,MATCH(AJ$2,Inputs!$K$4:$AJ$4,0)))))</f>
        <v>-242.9289274</v>
      </c>
      <c r="AK6" s="6">
        <f>IF(ISNA(MATCH(AK$2,Inputs!$K$4:$AJ$4,0)),NA(),IF(SUMPRODUCT((Inputs!$A$5:$A$190=$B6)*ISNUMBER(INDEX(Inputs!$K$5:$AJ$190,0,MATCH(AK$2,Inputs!$K$4:$AJ$4,0))))+SUMPRODUCT((Inputs!$C$5:$C$190=$B6)*ISNUMBER(INDEX(Inputs!$K$5:$AJ$190,0,MATCH(AK$2,Inputs!$K$4:$AJ$4,0))))+SUMPRODUCT((Inputs!$E$5:$E$190=$B6)*ISNUMBER(INDEX(Inputs!$K$5:$AJ$190,0,MATCH(AK$2,Inputs!$K$4:$AJ$4,0))))=0,NA(),SUMPRODUCT((Inputs!$A$5:$A$190=$B6)*Inputs!$B$5:$B$190*(((Inputs!$G$5:$G$190="moeda")+(Inputs!$G$5:$G$190="acoes"))*Inputs!$B$1+((Inputs!$G$5:$G$190&lt;&gt;"moeda")*(Inputs!$G$5:$G$190&lt;&gt;"acoes")))*INDEX(Inputs!$K$5:$AJ$190,0,MATCH(AK$2,Inputs!$K$4:$AJ$4,0)))+SUMPRODUCT((Inputs!$C$5:$C$190=$B6)*Inputs!$D$5:$D$190*(((Inputs!$G$5:$G$190="moeda")+(Inputs!$G$5:$G$190="acoes"))*Inputs!$B$1+((Inputs!$G$5:$G$190&lt;&gt;"moeda")*(Inputs!$G$5:$G$190&lt;&gt;"acoes")))*INDEX(Inputs!$K$5:$AJ$190,0,MATCH(AK$2,Inputs!$K$4:$AJ$4,0)))+SUMPRODUCT((Inputs!$E$5:$E$190=$B6)*Inputs!$F$5:$F$190*(((Inputs!$G$5:$G$190="moeda")+(Inputs!$G$5:$G$190="acoes"))*Inputs!$B$1+((Inputs!$G$5:$G$190&lt;&gt;"moeda")*(Inputs!$G$5:$G$190&lt;&gt;"acoes")))*INDEX(Inputs!$K$5:$AJ$190,0,MATCH(AK$2,Inputs!$K$4:$AJ$4,0)))))</f>
        <v>-94.4410838499999</v>
      </c>
      <c r="AL6" s="3">
        <f>SUM(AH6:AK6)</f>
        <v>-957.65818823</v>
      </c>
    </row>
    <row r="7">
      <c r="B7" s="46" t="n">
        <v>4</v>
      </c>
      <c r="C7" s="24" t="inlineStr">
        <is>
          <t>D&amp;A</t>
        </is>
      </c>
      <c r="D7" s="6">
        <f>IF(ISNA(MATCH(D$2,Inputs!$K$4:$AJ$4,0)),NA(),IF(SUMPRODUCT((Inputs!$A$5:$A$190=$B7)*ISNUMBER(INDEX(Inputs!$K$5:$AJ$190,0,MATCH(D$2,Inputs!$K$4:$AJ$4,0))))+SUMPRODUCT((Inputs!$C$5:$C$190=$B7)*ISNUMBER(INDEX(Inputs!$K$5:$AJ$190,0,MATCH(D$2,Inputs!$K$4:$AJ$4,0))))+SUMPRODUCT((Inputs!$E$5:$E$190=$B7)*ISNUMBER(INDEX(Inputs!$K$5:$AJ$190,0,MATCH(D$2,Inputs!$K$4:$AJ$4,0))))=0,NA(),SUMPRODUCT((Inputs!$A$5:$A$190=$B7)*Inputs!$B$5:$B$190*(((Inputs!$G$5:$G$190="moeda")+(Inputs!$G$5:$G$190="acoes"))*Inputs!$B$1+((Inputs!$G$5:$G$190&lt;&gt;"moeda")*(Inputs!$G$5:$G$190&lt;&gt;"acoes")))*INDEX(Inputs!$K$5:$AJ$190,0,MATCH(D$2,Inputs!$K$4:$AJ$4,0)))+SUMPRODUCT((Inputs!$C$5:$C$190=$B7)*Inputs!$D$5:$D$190*(((Inputs!$G$5:$G$190="moeda")+(Inputs!$G$5:$G$190="acoes"))*Inputs!$B$1+((Inputs!$G$5:$G$190&lt;&gt;"moeda")*(Inputs!$G$5:$G$190&lt;&gt;"acoes")))*INDEX(Inputs!$K$5:$AJ$190,0,MATCH(D$2,Inputs!$K$4:$AJ$4,0)))+SUMPRODUCT((Inputs!$E$5:$E$190=$B7)*Inputs!$F$5:$F$190*(((Inputs!$G$5:$G$190="moeda")+(Inputs!$G$5:$G$190="acoes"))*Inputs!$B$1+((Inputs!$G$5:$G$190&lt;&gt;"moeda")*(Inputs!$G$5:$G$190&lt;&gt;"acoes")))*INDEX(Inputs!$K$5:$AJ$190,0,MATCH(D$2,Inputs!$K$4:$AJ$4,0)))))</f>
        <v>-217.049</v>
      </c>
      <c r="E7" s="6">
        <f>IF(ISNA(MATCH(E$2,Inputs!$K$4:$AJ$4,0)),NA(),IF(SUMPRODUCT((Inputs!$A$5:$A$190=$B7)*ISNUMBER(INDEX(Inputs!$K$5:$AJ$190,0,MATCH(E$2,Inputs!$K$4:$AJ$4,0))))+SUMPRODUCT((Inputs!$C$5:$C$190=$B7)*ISNUMBER(INDEX(Inputs!$K$5:$AJ$190,0,MATCH(E$2,Inputs!$K$4:$AJ$4,0))))+SUMPRODUCT((Inputs!$E$5:$E$190=$B7)*ISNUMBER(INDEX(Inputs!$K$5:$AJ$190,0,MATCH(E$2,Inputs!$K$4:$AJ$4,0))))=0,NA(),SUMPRODUCT((Inputs!$A$5:$A$190=$B7)*Inputs!$B$5:$B$190*(((Inputs!$G$5:$G$190="moeda")+(Inputs!$G$5:$G$190="acoes"))*Inputs!$B$1+((Inputs!$G$5:$G$190&lt;&gt;"moeda")*(Inputs!$G$5:$G$190&lt;&gt;"acoes")))*INDEX(Inputs!$K$5:$AJ$190,0,MATCH(E$2,Inputs!$K$4:$AJ$4,0)))+SUMPRODUCT((Inputs!$C$5:$C$190=$B7)*Inputs!$D$5:$D$190*(((Inputs!$G$5:$G$190="moeda")+(Inputs!$G$5:$G$190="acoes"))*Inputs!$B$1+((Inputs!$G$5:$G$190&lt;&gt;"moeda")*(Inputs!$G$5:$G$190&lt;&gt;"acoes")))*INDEX(Inputs!$K$5:$AJ$190,0,MATCH(E$2,Inputs!$K$4:$AJ$4,0)))+SUMPRODUCT((Inputs!$E$5:$E$190=$B7)*Inputs!$F$5:$F$190*(((Inputs!$G$5:$G$190="moeda")+(Inputs!$G$5:$G$190="acoes"))*Inputs!$B$1+((Inputs!$G$5:$G$190&lt;&gt;"moeda")*(Inputs!$G$5:$G$190&lt;&gt;"acoes")))*INDEX(Inputs!$K$5:$AJ$190,0,MATCH(E$2,Inputs!$K$4:$AJ$4,0)))))</f>
        <v>-241.434278302253</v>
      </c>
      <c r="F7" s="6">
        <f>IF(ISNA(MATCH(F$2,Inputs!$K$4:$AJ$4,0)),NA(),IF(SUMPRODUCT((Inputs!$A$5:$A$190=$B7)*ISNUMBER(INDEX(Inputs!$K$5:$AJ$190,0,MATCH(F$2,Inputs!$K$4:$AJ$4,0))))+SUMPRODUCT((Inputs!$C$5:$C$190=$B7)*ISNUMBER(INDEX(Inputs!$K$5:$AJ$190,0,MATCH(F$2,Inputs!$K$4:$AJ$4,0))))+SUMPRODUCT((Inputs!$E$5:$E$190=$B7)*ISNUMBER(INDEX(Inputs!$K$5:$AJ$190,0,MATCH(F$2,Inputs!$K$4:$AJ$4,0))))=0,NA(),SUMPRODUCT((Inputs!$A$5:$A$190=$B7)*Inputs!$B$5:$B$190*(((Inputs!$G$5:$G$190="moeda")+(Inputs!$G$5:$G$190="acoes"))*Inputs!$B$1+((Inputs!$G$5:$G$190&lt;&gt;"moeda")*(Inputs!$G$5:$G$190&lt;&gt;"acoes")))*INDEX(Inputs!$K$5:$AJ$190,0,MATCH(F$2,Inputs!$K$4:$AJ$4,0)))+SUMPRODUCT((Inputs!$C$5:$C$190=$B7)*Inputs!$D$5:$D$190*(((Inputs!$G$5:$G$190="moeda")+(Inputs!$G$5:$G$190="acoes"))*Inputs!$B$1+((Inputs!$G$5:$G$190&lt;&gt;"moeda")*(Inputs!$G$5:$G$190&lt;&gt;"acoes")))*INDEX(Inputs!$K$5:$AJ$190,0,MATCH(F$2,Inputs!$K$4:$AJ$4,0)))+SUMPRODUCT((Inputs!$E$5:$E$190=$B7)*Inputs!$F$5:$F$190*(((Inputs!$G$5:$G$190="moeda")+(Inputs!$G$5:$G$190="acoes"))*Inputs!$B$1+((Inputs!$G$5:$G$190&lt;&gt;"moeda")*(Inputs!$G$5:$G$190&lt;&gt;"acoes")))*INDEX(Inputs!$K$5:$AJ$190,0,MATCH(F$2,Inputs!$K$4:$AJ$4,0)))))</f>
        <v>-275.839366386516</v>
      </c>
      <c r="G7" s="6">
        <f>IF(ISNA(MATCH(G$2,Inputs!$K$4:$AJ$4,0)),NA(),IF(SUMPRODUCT((Inputs!$A$5:$A$190=$B7)*ISNUMBER(INDEX(Inputs!$K$5:$AJ$190,0,MATCH(G$2,Inputs!$K$4:$AJ$4,0))))+SUMPRODUCT((Inputs!$C$5:$C$190=$B7)*ISNUMBER(INDEX(Inputs!$K$5:$AJ$190,0,MATCH(G$2,Inputs!$K$4:$AJ$4,0))))+SUMPRODUCT((Inputs!$E$5:$E$190=$B7)*ISNUMBER(INDEX(Inputs!$K$5:$AJ$190,0,MATCH(G$2,Inputs!$K$4:$AJ$4,0))))=0,NA(),SUMPRODUCT((Inputs!$A$5:$A$190=$B7)*Inputs!$B$5:$B$190*(((Inputs!$G$5:$G$190="moeda")+(Inputs!$G$5:$G$190="acoes"))*Inputs!$B$1+((Inputs!$G$5:$G$190&lt;&gt;"moeda")*(Inputs!$G$5:$G$190&lt;&gt;"acoes")))*INDEX(Inputs!$K$5:$AJ$190,0,MATCH(G$2,Inputs!$K$4:$AJ$4,0)))+SUMPRODUCT((Inputs!$C$5:$C$190=$B7)*Inputs!$D$5:$D$190*(((Inputs!$G$5:$G$190="moeda")+(Inputs!$G$5:$G$190="acoes"))*Inputs!$B$1+((Inputs!$G$5:$G$190&lt;&gt;"moeda")*(Inputs!$G$5:$G$190&lt;&gt;"acoes")))*INDEX(Inputs!$K$5:$AJ$190,0,MATCH(G$2,Inputs!$K$4:$AJ$4,0)))+SUMPRODUCT((Inputs!$E$5:$E$190=$B7)*Inputs!$F$5:$F$190*(((Inputs!$G$5:$G$190="moeda")+(Inputs!$G$5:$G$190="acoes"))*Inputs!$B$1+((Inputs!$G$5:$G$190&lt;&gt;"moeda")*(Inputs!$G$5:$G$190&lt;&gt;"acoes")))*INDEX(Inputs!$K$5:$AJ$190,0,MATCH(G$2,Inputs!$K$4:$AJ$4,0)))))</f>
        <v>-324.792357953573</v>
      </c>
      <c r="H7" s="3">
        <f>SUM(D7:G7)</f>
        <v>-1059.11500264234</v>
      </c>
      <c r="I7" s="6">
        <f>IF(ISNA(MATCH(I$2,Inputs!$K$4:$AJ$4,0)),NA(),IF(SUMPRODUCT((Inputs!$A$5:$A$190=$B7)*ISNUMBER(INDEX(Inputs!$K$5:$AJ$190,0,MATCH(I$2,Inputs!$K$4:$AJ$4,0))))+SUMPRODUCT((Inputs!$C$5:$C$190=$B7)*ISNUMBER(INDEX(Inputs!$K$5:$AJ$190,0,MATCH(I$2,Inputs!$K$4:$AJ$4,0))))+SUMPRODUCT((Inputs!$E$5:$E$190=$B7)*ISNUMBER(INDEX(Inputs!$K$5:$AJ$190,0,MATCH(I$2,Inputs!$K$4:$AJ$4,0))))=0,NA(),SUMPRODUCT((Inputs!$A$5:$A$190=$B7)*Inputs!$B$5:$B$190*(((Inputs!$G$5:$G$190="moeda")+(Inputs!$G$5:$G$190="acoes"))*Inputs!$B$1+((Inputs!$G$5:$G$190&lt;&gt;"moeda")*(Inputs!$G$5:$G$190&lt;&gt;"acoes")))*INDEX(Inputs!$K$5:$AJ$190,0,MATCH(I$2,Inputs!$K$4:$AJ$4,0)))+SUMPRODUCT((Inputs!$C$5:$C$190=$B7)*Inputs!$D$5:$D$190*(((Inputs!$G$5:$G$190="moeda")+(Inputs!$G$5:$G$190="acoes"))*Inputs!$B$1+((Inputs!$G$5:$G$190&lt;&gt;"moeda")*(Inputs!$G$5:$G$190&lt;&gt;"acoes")))*INDEX(Inputs!$K$5:$AJ$190,0,MATCH(I$2,Inputs!$K$4:$AJ$4,0)))+SUMPRODUCT((Inputs!$E$5:$E$190=$B7)*Inputs!$F$5:$F$190*(((Inputs!$G$5:$G$190="moeda")+(Inputs!$G$5:$G$190="acoes"))*Inputs!$B$1+((Inputs!$G$5:$G$190&lt;&gt;"moeda")*(Inputs!$G$5:$G$190&lt;&gt;"acoes")))*INDEX(Inputs!$K$5:$AJ$190,0,MATCH(I$2,Inputs!$K$4:$AJ$4,0)))))</f>
        <v>-377.493</v>
      </c>
      <c r="J7" s="6">
        <f>IF(ISNA(MATCH(J$2,Inputs!$K$4:$AJ$4,0)),NA(),IF(SUMPRODUCT((Inputs!$A$5:$A$190=$B7)*ISNUMBER(INDEX(Inputs!$K$5:$AJ$190,0,MATCH(J$2,Inputs!$K$4:$AJ$4,0))))+SUMPRODUCT((Inputs!$C$5:$C$190=$B7)*ISNUMBER(INDEX(Inputs!$K$5:$AJ$190,0,MATCH(J$2,Inputs!$K$4:$AJ$4,0))))+SUMPRODUCT((Inputs!$E$5:$E$190=$B7)*ISNUMBER(INDEX(Inputs!$K$5:$AJ$190,0,MATCH(J$2,Inputs!$K$4:$AJ$4,0))))=0,NA(),SUMPRODUCT((Inputs!$A$5:$A$190=$B7)*Inputs!$B$5:$B$190*(((Inputs!$G$5:$G$190="moeda")+(Inputs!$G$5:$G$190="acoes"))*Inputs!$B$1+((Inputs!$G$5:$G$190&lt;&gt;"moeda")*(Inputs!$G$5:$G$190&lt;&gt;"acoes")))*INDEX(Inputs!$K$5:$AJ$190,0,MATCH(J$2,Inputs!$K$4:$AJ$4,0)))+SUMPRODUCT((Inputs!$C$5:$C$190=$B7)*Inputs!$D$5:$D$190*(((Inputs!$G$5:$G$190="moeda")+(Inputs!$G$5:$G$190="acoes"))*Inputs!$B$1+((Inputs!$G$5:$G$190&lt;&gt;"moeda")*(Inputs!$G$5:$G$190&lt;&gt;"acoes")))*INDEX(Inputs!$K$5:$AJ$190,0,MATCH(J$2,Inputs!$K$4:$AJ$4,0)))+SUMPRODUCT((Inputs!$E$5:$E$190=$B7)*Inputs!$F$5:$F$190*(((Inputs!$G$5:$G$190="moeda")+(Inputs!$G$5:$G$190="acoes"))*Inputs!$B$1+((Inputs!$G$5:$G$190&lt;&gt;"moeda")*(Inputs!$G$5:$G$190&lt;&gt;"acoes")))*INDEX(Inputs!$K$5:$AJ$190,0,MATCH(J$2,Inputs!$K$4:$AJ$4,0)))))</f>
        <v>-416.207797423699</v>
      </c>
      <c r="K7" s="6">
        <f>IF(ISNA(MATCH(K$2,Inputs!$K$4:$AJ$4,0)),NA(),IF(SUMPRODUCT((Inputs!$A$5:$A$190=$B7)*ISNUMBER(INDEX(Inputs!$K$5:$AJ$190,0,MATCH(K$2,Inputs!$K$4:$AJ$4,0))))+SUMPRODUCT((Inputs!$C$5:$C$190=$B7)*ISNUMBER(INDEX(Inputs!$K$5:$AJ$190,0,MATCH(K$2,Inputs!$K$4:$AJ$4,0))))+SUMPRODUCT((Inputs!$E$5:$E$190=$B7)*ISNUMBER(INDEX(Inputs!$K$5:$AJ$190,0,MATCH(K$2,Inputs!$K$4:$AJ$4,0))))=0,NA(),SUMPRODUCT((Inputs!$A$5:$A$190=$B7)*Inputs!$B$5:$B$190*(((Inputs!$G$5:$G$190="moeda")+(Inputs!$G$5:$G$190="acoes"))*Inputs!$B$1+((Inputs!$G$5:$G$190&lt;&gt;"moeda")*(Inputs!$G$5:$G$190&lt;&gt;"acoes")))*INDEX(Inputs!$K$5:$AJ$190,0,MATCH(K$2,Inputs!$K$4:$AJ$4,0)))+SUMPRODUCT((Inputs!$C$5:$C$190=$B7)*Inputs!$D$5:$D$190*(((Inputs!$G$5:$G$190="moeda")+(Inputs!$G$5:$G$190="acoes"))*Inputs!$B$1+((Inputs!$G$5:$G$190&lt;&gt;"moeda")*(Inputs!$G$5:$G$190&lt;&gt;"acoes")))*INDEX(Inputs!$K$5:$AJ$190,0,MATCH(K$2,Inputs!$K$4:$AJ$4,0)))+SUMPRODUCT((Inputs!$E$5:$E$190=$B7)*Inputs!$F$5:$F$190*(((Inputs!$G$5:$G$190="moeda")+(Inputs!$G$5:$G$190="acoes"))*Inputs!$B$1+((Inputs!$G$5:$G$190&lt;&gt;"moeda")*(Inputs!$G$5:$G$190&lt;&gt;"acoes")))*INDEX(Inputs!$K$5:$AJ$190,0,MATCH(K$2,Inputs!$K$4:$AJ$4,0)))))</f>
        <v>-510.065305927525</v>
      </c>
      <c r="L7" s="6">
        <f>IF(ISNA(MATCH(L$2,Inputs!$K$4:$AJ$4,0)),NA(),IF(SUMPRODUCT((Inputs!$A$5:$A$190=$B7)*ISNUMBER(INDEX(Inputs!$K$5:$AJ$190,0,MATCH(L$2,Inputs!$K$4:$AJ$4,0))))+SUMPRODUCT((Inputs!$C$5:$C$190=$B7)*ISNUMBER(INDEX(Inputs!$K$5:$AJ$190,0,MATCH(L$2,Inputs!$K$4:$AJ$4,0))))+SUMPRODUCT((Inputs!$E$5:$E$190=$B7)*ISNUMBER(INDEX(Inputs!$K$5:$AJ$190,0,MATCH(L$2,Inputs!$K$4:$AJ$4,0))))=0,NA(),SUMPRODUCT((Inputs!$A$5:$A$190=$B7)*Inputs!$B$5:$B$190*(((Inputs!$G$5:$G$190="moeda")+(Inputs!$G$5:$G$190="acoes"))*Inputs!$B$1+((Inputs!$G$5:$G$190&lt;&gt;"moeda")*(Inputs!$G$5:$G$190&lt;&gt;"acoes")))*INDEX(Inputs!$K$5:$AJ$190,0,MATCH(L$2,Inputs!$K$4:$AJ$4,0)))+SUMPRODUCT((Inputs!$C$5:$C$190=$B7)*Inputs!$D$5:$D$190*(((Inputs!$G$5:$G$190="moeda")+(Inputs!$G$5:$G$190="acoes"))*Inputs!$B$1+((Inputs!$G$5:$G$190&lt;&gt;"moeda")*(Inputs!$G$5:$G$190&lt;&gt;"acoes")))*INDEX(Inputs!$K$5:$AJ$190,0,MATCH(L$2,Inputs!$K$4:$AJ$4,0)))+SUMPRODUCT((Inputs!$E$5:$E$190=$B7)*Inputs!$F$5:$F$190*(((Inputs!$G$5:$G$190="moeda")+(Inputs!$G$5:$G$190="acoes"))*Inputs!$B$1+((Inputs!$G$5:$G$190&lt;&gt;"moeda")*(Inputs!$G$5:$G$190&lt;&gt;"acoes")))*INDEX(Inputs!$K$5:$AJ$190,0,MATCH(L$2,Inputs!$K$4:$AJ$4,0)))))</f>
        <v>-582.510896648771</v>
      </c>
      <c r="M7" s="3">
        <f>SUM(I7:L7)</f>
        <v>-1886.277</v>
      </c>
      <c r="N7" s="6">
        <f>IF(ISNA(MATCH(N$2,Inputs!$K$4:$AJ$4,0)),NA(),IF(SUMPRODUCT((Inputs!$A$5:$A$190=$B7)*ISNUMBER(INDEX(Inputs!$K$5:$AJ$190,0,MATCH(N$2,Inputs!$K$4:$AJ$4,0))))+SUMPRODUCT((Inputs!$C$5:$C$190=$B7)*ISNUMBER(INDEX(Inputs!$K$5:$AJ$190,0,MATCH(N$2,Inputs!$K$4:$AJ$4,0))))+SUMPRODUCT((Inputs!$E$5:$E$190=$B7)*ISNUMBER(INDEX(Inputs!$K$5:$AJ$190,0,MATCH(N$2,Inputs!$K$4:$AJ$4,0))))=0,NA(),SUMPRODUCT((Inputs!$A$5:$A$190=$B7)*Inputs!$B$5:$B$190*(((Inputs!$G$5:$G$190="moeda")+(Inputs!$G$5:$G$190="acoes"))*Inputs!$B$1+((Inputs!$G$5:$G$190&lt;&gt;"moeda")*(Inputs!$G$5:$G$190&lt;&gt;"acoes")))*INDEX(Inputs!$K$5:$AJ$190,0,MATCH(N$2,Inputs!$K$4:$AJ$4,0)))+SUMPRODUCT((Inputs!$C$5:$C$190=$B7)*Inputs!$D$5:$D$190*(((Inputs!$G$5:$G$190="moeda")+(Inputs!$G$5:$G$190="acoes"))*Inputs!$B$1+((Inputs!$G$5:$G$190&lt;&gt;"moeda")*(Inputs!$G$5:$G$190&lt;&gt;"acoes")))*INDEX(Inputs!$K$5:$AJ$190,0,MATCH(N$2,Inputs!$K$4:$AJ$4,0)))+SUMPRODUCT((Inputs!$E$5:$E$190=$B7)*Inputs!$F$5:$F$190*(((Inputs!$G$5:$G$190="moeda")+(Inputs!$G$5:$G$190="acoes"))*Inputs!$B$1+((Inputs!$G$5:$G$190&lt;&gt;"moeda")*(Inputs!$G$5:$G$190&lt;&gt;"acoes")))*INDEX(Inputs!$K$5:$AJ$190,0,MATCH(N$2,Inputs!$K$4:$AJ$4,0)))))</f>
        <v>-646.759784850327</v>
      </c>
      <c r="O7" s="6">
        <f>IF(ISNA(MATCH(O$2,Inputs!$K$4:$AJ$4,0)),NA(),IF(SUMPRODUCT((Inputs!$A$5:$A$190=$B7)*ISNUMBER(INDEX(Inputs!$K$5:$AJ$190,0,MATCH(O$2,Inputs!$K$4:$AJ$4,0))))+SUMPRODUCT((Inputs!$C$5:$C$190=$B7)*ISNUMBER(INDEX(Inputs!$K$5:$AJ$190,0,MATCH(O$2,Inputs!$K$4:$AJ$4,0))))+SUMPRODUCT((Inputs!$E$5:$E$190=$B7)*ISNUMBER(INDEX(Inputs!$K$5:$AJ$190,0,MATCH(O$2,Inputs!$K$4:$AJ$4,0))))=0,NA(),SUMPRODUCT((Inputs!$A$5:$A$190=$B7)*Inputs!$B$5:$B$190*(((Inputs!$G$5:$G$190="moeda")+(Inputs!$G$5:$G$190="acoes"))*Inputs!$B$1+((Inputs!$G$5:$G$190&lt;&gt;"moeda")*(Inputs!$G$5:$G$190&lt;&gt;"acoes")))*INDEX(Inputs!$K$5:$AJ$190,0,MATCH(O$2,Inputs!$K$4:$AJ$4,0)))+SUMPRODUCT((Inputs!$C$5:$C$190=$B7)*Inputs!$D$5:$D$190*(((Inputs!$G$5:$G$190="moeda")+(Inputs!$G$5:$G$190="acoes"))*Inputs!$B$1+((Inputs!$G$5:$G$190&lt;&gt;"moeda")*(Inputs!$G$5:$G$190&lt;&gt;"acoes")))*INDEX(Inputs!$K$5:$AJ$190,0,MATCH(O$2,Inputs!$K$4:$AJ$4,0)))+SUMPRODUCT((Inputs!$E$5:$E$190=$B7)*Inputs!$F$5:$F$190*(((Inputs!$G$5:$G$190="moeda")+(Inputs!$G$5:$G$190="acoes"))*Inputs!$B$1+((Inputs!$G$5:$G$190&lt;&gt;"moeda")*(Inputs!$G$5:$G$190&lt;&gt;"acoes")))*INDEX(Inputs!$K$5:$AJ$190,0,MATCH(O$2,Inputs!$K$4:$AJ$4,0)))))</f>
        <v>-679.385996476699</v>
      </c>
      <c r="P7" s="6">
        <f>IF(ISNA(MATCH(P$2,Inputs!$K$4:$AJ$4,0)),NA(),IF(SUMPRODUCT((Inputs!$A$5:$A$190=$B7)*ISNUMBER(INDEX(Inputs!$K$5:$AJ$190,0,MATCH(P$2,Inputs!$K$4:$AJ$4,0))))+SUMPRODUCT((Inputs!$C$5:$C$190=$B7)*ISNUMBER(INDEX(Inputs!$K$5:$AJ$190,0,MATCH(P$2,Inputs!$K$4:$AJ$4,0))))+SUMPRODUCT((Inputs!$E$5:$E$190=$B7)*ISNUMBER(INDEX(Inputs!$K$5:$AJ$190,0,MATCH(P$2,Inputs!$K$4:$AJ$4,0))))=0,NA(),SUMPRODUCT((Inputs!$A$5:$A$190=$B7)*Inputs!$B$5:$B$190*(((Inputs!$G$5:$G$190="moeda")+(Inputs!$G$5:$G$190="acoes"))*Inputs!$B$1+((Inputs!$G$5:$G$190&lt;&gt;"moeda")*(Inputs!$G$5:$G$190&lt;&gt;"acoes")))*INDEX(Inputs!$K$5:$AJ$190,0,MATCH(P$2,Inputs!$K$4:$AJ$4,0)))+SUMPRODUCT((Inputs!$C$5:$C$190=$B7)*Inputs!$D$5:$D$190*(((Inputs!$G$5:$G$190="moeda")+(Inputs!$G$5:$G$190="acoes"))*Inputs!$B$1+((Inputs!$G$5:$G$190&lt;&gt;"moeda")*(Inputs!$G$5:$G$190&lt;&gt;"acoes")))*INDEX(Inputs!$K$5:$AJ$190,0,MATCH(P$2,Inputs!$K$4:$AJ$4,0)))+SUMPRODUCT((Inputs!$E$5:$E$190=$B7)*Inputs!$F$5:$F$190*(((Inputs!$G$5:$G$190="moeda")+(Inputs!$G$5:$G$190="acoes"))*Inputs!$B$1+((Inputs!$G$5:$G$190&lt;&gt;"moeda")*(Inputs!$G$5:$G$190&lt;&gt;"acoes")))*INDEX(Inputs!$K$5:$AJ$190,0,MATCH(P$2,Inputs!$K$4:$AJ$4,0)))))</f>
        <v>-717.081006699591</v>
      </c>
      <c r="Q7" s="6">
        <f>IF(ISNA(MATCH(Q$2,Inputs!$K$4:$AJ$4,0)),NA(),IF(SUMPRODUCT((Inputs!$A$5:$A$190=$B7)*ISNUMBER(INDEX(Inputs!$K$5:$AJ$190,0,MATCH(Q$2,Inputs!$K$4:$AJ$4,0))))+SUMPRODUCT((Inputs!$C$5:$C$190=$B7)*ISNUMBER(INDEX(Inputs!$K$5:$AJ$190,0,MATCH(Q$2,Inputs!$K$4:$AJ$4,0))))+SUMPRODUCT((Inputs!$E$5:$E$190=$B7)*ISNUMBER(INDEX(Inputs!$K$5:$AJ$190,0,MATCH(Q$2,Inputs!$K$4:$AJ$4,0))))=0,NA(),SUMPRODUCT((Inputs!$A$5:$A$190=$B7)*Inputs!$B$5:$B$190*(((Inputs!$G$5:$G$190="moeda")+(Inputs!$G$5:$G$190="acoes"))*Inputs!$B$1+((Inputs!$G$5:$G$190&lt;&gt;"moeda")*(Inputs!$G$5:$G$190&lt;&gt;"acoes")))*INDEX(Inputs!$K$5:$AJ$190,0,MATCH(Q$2,Inputs!$K$4:$AJ$4,0)))+SUMPRODUCT((Inputs!$C$5:$C$190=$B7)*Inputs!$D$5:$D$190*(((Inputs!$G$5:$G$190="moeda")+(Inputs!$G$5:$G$190="acoes"))*Inputs!$B$1+((Inputs!$G$5:$G$190&lt;&gt;"moeda")*(Inputs!$G$5:$G$190&lt;&gt;"acoes")))*INDEX(Inputs!$K$5:$AJ$190,0,MATCH(Q$2,Inputs!$K$4:$AJ$4,0)))+SUMPRODUCT((Inputs!$E$5:$E$190=$B7)*Inputs!$F$5:$F$190*(((Inputs!$G$5:$G$190="moeda")+(Inputs!$G$5:$G$190="acoes"))*Inputs!$B$1+((Inputs!$G$5:$G$190&lt;&gt;"moeda")*(Inputs!$G$5:$G$190&lt;&gt;"acoes")))*INDEX(Inputs!$K$5:$AJ$190,0,MATCH(Q$2,Inputs!$K$4:$AJ$4,0)))))</f>
        <v>-1060.72584447304</v>
      </c>
      <c r="R7" s="3">
        <f>SUM(N7:Q7)</f>
        <v>-3103.95263249965</v>
      </c>
      <c r="S7" s="6">
        <f>IF(ISNA(MATCH(S$2,Inputs!$K$4:$AJ$4,0)),NA(),IF(SUMPRODUCT((Inputs!$A$5:$A$190=$B7)*ISNUMBER(INDEX(Inputs!$K$5:$AJ$190,0,MATCH(S$2,Inputs!$K$4:$AJ$4,0))))+SUMPRODUCT((Inputs!$C$5:$C$190=$B7)*ISNUMBER(INDEX(Inputs!$K$5:$AJ$190,0,MATCH(S$2,Inputs!$K$4:$AJ$4,0))))+SUMPRODUCT((Inputs!$E$5:$E$190=$B7)*ISNUMBER(INDEX(Inputs!$K$5:$AJ$190,0,MATCH(S$2,Inputs!$K$4:$AJ$4,0))))=0,NA(),SUMPRODUCT((Inputs!$A$5:$A$190=$B7)*Inputs!$B$5:$B$190*(((Inputs!$G$5:$G$190="moeda")+(Inputs!$G$5:$G$190="acoes"))*Inputs!$B$1+((Inputs!$G$5:$G$190&lt;&gt;"moeda")*(Inputs!$G$5:$G$190&lt;&gt;"acoes")))*INDEX(Inputs!$K$5:$AJ$190,0,MATCH(S$2,Inputs!$K$4:$AJ$4,0)))+SUMPRODUCT((Inputs!$C$5:$C$190=$B7)*Inputs!$D$5:$D$190*(((Inputs!$G$5:$G$190="moeda")+(Inputs!$G$5:$G$190="acoes"))*Inputs!$B$1+((Inputs!$G$5:$G$190&lt;&gt;"moeda")*(Inputs!$G$5:$G$190&lt;&gt;"acoes")))*INDEX(Inputs!$K$5:$AJ$190,0,MATCH(S$2,Inputs!$K$4:$AJ$4,0)))+SUMPRODUCT((Inputs!$E$5:$E$190=$B7)*Inputs!$F$5:$F$190*(((Inputs!$G$5:$G$190="moeda")+(Inputs!$G$5:$G$190="acoes"))*Inputs!$B$1+((Inputs!$G$5:$G$190&lt;&gt;"moeda")*(Inputs!$G$5:$G$190&lt;&gt;"acoes")))*INDEX(Inputs!$K$5:$AJ$190,0,MATCH(S$2,Inputs!$K$4:$AJ$4,0)))))</f>
        <v>-821.97976934</v>
      </c>
      <c r="T7" s="6">
        <f>IF(ISNA(MATCH(T$2,Inputs!$K$4:$AJ$4,0)),NA(),IF(SUMPRODUCT((Inputs!$A$5:$A$190=$B7)*ISNUMBER(INDEX(Inputs!$K$5:$AJ$190,0,MATCH(T$2,Inputs!$K$4:$AJ$4,0))))+SUMPRODUCT((Inputs!$C$5:$C$190=$B7)*ISNUMBER(INDEX(Inputs!$K$5:$AJ$190,0,MATCH(T$2,Inputs!$K$4:$AJ$4,0))))+SUMPRODUCT((Inputs!$E$5:$E$190=$B7)*ISNUMBER(INDEX(Inputs!$K$5:$AJ$190,0,MATCH(T$2,Inputs!$K$4:$AJ$4,0))))=0,NA(),SUMPRODUCT((Inputs!$A$5:$A$190=$B7)*Inputs!$B$5:$B$190*(((Inputs!$G$5:$G$190="moeda")+(Inputs!$G$5:$G$190="acoes"))*Inputs!$B$1+((Inputs!$G$5:$G$190&lt;&gt;"moeda")*(Inputs!$G$5:$G$190&lt;&gt;"acoes")))*INDEX(Inputs!$K$5:$AJ$190,0,MATCH(T$2,Inputs!$K$4:$AJ$4,0)))+SUMPRODUCT((Inputs!$C$5:$C$190=$B7)*Inputs!$D$5:$D$190*(((Inputs!$G$5:$G$190="moeda")+(Inputs!$G$5:$G$190="acoes"))*Inputs!$B$1+((Inputs!$G$5:$G$190&lt;&gt;"moeda")*(Inputs!$G$5:$G$190&lt;&gt;"acoes")))*INDEX(Inputs!$K$5:$AJ$190,0,MATCH(T$2,Inputs!$K$4:$AJ$4,0)))+SUMPRODUCT((Inputs!$E$5:$E$190=$B7)*Inputs!$F$5:$F$190*(((Inputs!$G$5:$G$190="moeda")+(Inputs!$G$5:$G$190="acoes"))*Inputs!$B$1+((Inputs!$G$5:$G$190&lt;&gt;"moeda")*(Inputs!$G$5:$G$190&lt;&gt;"acoes")))*INDEX(Inputs!$K$5:$AJ$190,0,MATCH(T$2,Inputs!$K$4:$AJ$4,0)))))</f>
        <v>-897.643222139999</v>
      </c>
      <c r="U7" s="6">
        <f>IF(ISNA(MATCH(U$2,Inputs!$K$4:$AJ$4,0)),NA(),IF(SUMPRODUCT((Inputs!$A$5:$A$190=$B7)*ISNUMBER(INDEX(Inputs!$K$5:$AJ$190,0,MATCH(U$2,Inputs!$K$4:$AJ$4,0))))+SUMPRODUCT((Inputs!$C$5:$C$190=$B7)*ISNUMBER(INDEX(Inputs!$K$5:$AJ$190,0,MATCH(U$2,Inputs!$K$4:$AJ$4,0))))+SUMPRODUCT((Inputs!$E$5:$E$190=$B7)*ISNUMBER(INDEX(Inputs!$K$5:$AJ$190,0,MATCH(U$2,Inputs!$K$4:$AJ$4,0))))=0,NA(),SUMPRODUCT((Inputs!$A$5:$A$190=$B7)*Inputs!$B$5:$B$190*(((Inputs!$G$5:$G$190="moeda")+(Inputs!$G$5:$G$190="acoes"))*Inputs!$B$1+((Inputs!$G$5:$G$190&lt;&gt;"moeda")*(Inputs!$G$5:$G$190&lt;&gt;"acoes")))*INDEX(Inputs!$K$5:$AJ$190,0,MATCH(U$2,Inputs!$K$4:$AJ$4,0)))+SUMPRODUCT((Inputs!$C$5:$C$190=$B7)*Inputs!$D$5:$D$190*(((Inputs!$G$5:$G$190="moeda")+(Inputs!$G$5:$G$190="acoes"))*Inputs!$B$1+((Inputs!$G$5:$G$190&lt;&gt;"moeda")*(Inputs!$G$5:$G$190&lt;&gt;"acoes")))*INDEX(Inputs!$K$5:$AJ$190,0,MATCH(U$2,Inputs!$K$4:$AJ$4,0)))+SUMPRODUCT((Inputs!$E$5:$E$190=$B7)*Inputs!$F$5:$F$190*(((Inputs!$G$5:$G$190="moeda")+(Inputs!$G$5:$G$190="acoes"))*Inputs!$B$1+((Inputs!$G$5:$G$190&lt;&gt;"moeda")*(Inputs!$G$5:$G$190&lt;&gt;"acoes")))*INDEX(Inputs!$K$5:$AJ$190,0,MATCH(U$2,Inputs!$K$4:$AJ$4,0)))))</f>
        <v>-997.19452895</v>
      </c>
      <c r="V7" s="6">
        <f>IF(ISNA(MATCH(V$2,Inputs!$K$4:$AJ$4,0)),NA(),IF(SUMPRODUCT((Inputs!$A$5:$A$190=$B7)*ISNUMBER(INDEX(Inputs!$K$5:$AJ$190,0,MATCH(V$2,Inputs!$K$4:$AJ$4,0))))+SUMPRODUCT((Inputs!$C$5:$C$190=$B7)*ISNUMBER(INDEX(Inputs!$K$5:$AJ$190,0,MATCH(V$2,Inputs!$K$4:$AJ$4,0))))+SUMPRODUCT((Inputs!$E$5:$E$190=$B7)*ISNUMBER(INDEX(Inputs!$K$5:$AJ$190,0,MATCH(V$2,Inputs!$K$4:$AJ$4,0))))=0,NA(),SUMPRODUCT((Inputs!$A$5:$A$190=$B7)*Inputs!$B$5:$B$190*(((Inputs!$G$5:$G$190="moeda")+(Inputs!$G$5:$G$190="acoes"))*Inputs!$B$1+((Inputs!$G$5:$G$190&lt;&gt;"moeda")*(Inputs!$G$5:$G$190&lt;&gt;"acoes")))*INDEX(Inputs!$K$5:$AJ$190,0,MATCH(V$2,Inputs!$K$4:$AJ$4,0)))+SUMPRODUCT((Inputs!$C$5:$C$190=$B7)*Inputs!$D$5:$D$190*(((Inputs!$G$5:$G$190="moeda")+(Inputs!$G$5:$G$190="acoes"))*Inputs!$B$1+((Inputs!$G$5:$G$190&lt;&gt;"moeda")*(Inputs!$G$5:$G$190&lt;&gt;"acoes")))*INDEX(Inputs!$K$5:$AJ$190,0,MATCH(V$2,Inputs!$K$4:$AJ$4,0)))+SUMPRODUCT((Inputs!$E$5:$E$190=$B7)*Inputs!$F$5:$F$190*(((Inputs!$G$5:$G$190="moeda")+(Inputs!$G$5:$G$190="acoes"))*Inputs!$B$1+((Inputs!$G$5:$G$190&lt;&gt;"moeda")*(Inputs!$G$5:$G$190&lt;&gt;"acoes")))*INDEX(Inputs!$K$5:$AJ$190,0,MATCH(V$2,Inputs!$K$4:$AJ$4,0)))))</f>
        <v>-974.302369919992</v>
      </c>
      <c r="W7" s="3">
        <f>SUM(S7:V7)</f>
        <v>-3691.11989034999</v>
      </c>
      <c r="X7" s="6">
        <f>IF(ISNA(MATCH(X$2,Inputs!$K$4:$AJ$4,0)),NA(),IF(SUMPRODUCT((Inputs!$A$5:$A$190=$B7)*ISNUMBER(INDEX(Inputs!$K$5:$AJ$190,0,MATCH(X$2,Inputs!$K$4:$AJ$4,0))))+SUMPRODUCT((Inputs!$C$5:$C$190=$B7)*ISNUMBER(INDEX(Inputs!$K$5:$AJ$190,0,MATCH(X$2,Inputs!$K$4:$AJ$4,0))))+SUMPRODUCT((Inputs!$E$5:$E$190=$B7)*ISNUMBER(INDEX(Inputs!$K$5:$AJ$190,0,MATCH(X$2,Inputs!$K$4:$AJ$4,0))))=0,NA(),SUMPRODUCT((Inputs!$A$5:$A$190=$B7)*Inputs!$B$5:$B$190*(((Inputs!$G$5:$G$190="moeda")+(Inputs!$G$5:$G$190="acoes"))*Inputs!$B$1+((Inputs!$G$5:$G$190&lt;&gt;"moeda")*(Inputs!$G$5:$G$190&lt;&gt;"acoes")))*INDEX(Inputs!$K$5:$AJ$190,0,MATCH(X$2,Inputs!$K$4:$AJ$4,0)))+SUMPRODUCT((Inputs!$C$5:$C$190=$B7)*Inputs!$D$5:$D$190*(((Inputs!$G$5:$G$190="moeda")+(Inputs!$G$5:$G$190="acoes"))*Inputs!$B$1+((Inputs!$G$5:$G$190&lt;&gt;"moeda")*(Inputs!$G$5:$G$190&lt;&gt;"acoes")))*INDEX(Inputs!$K$5:$AJ$190,0,MATCH(X$2,Inputs!$K$4:$AJ$4,0)))+SUMPRODUCT((Inputs!$E$5:$E$190=$B7)*Inputs!$F$5:$F$190*(((Inputs!$G$5:$G$190="moeda")+(Inputs!$G$5:$G$190="acoes"))*Inputs!$B$1+((Inputs!$G$5:$G$190&lt;&gt;"moeda")*(Inputs!$G$5:$G$190&lt;&gt;"acoes")))*INDEX(Inputs!$K$5:$AJ$190,0,MATCH(X$2,Inputs!$K$4:$AJ$4,0)))))</f>
        <v>-1052.41326183</v>
      </c>
      <c r="Y7" s="6">
        <f>IF(ISNA(MATCH(Y$2,Inputs!$K$4:$AJ$4,0)),NA(),IF(SUMPRODUCT((Inputs!$A$5:$A$190=$B7)*ISNUMBER(INDEX(Inputs!$K$5:$AJ$190,0,MATCH(Y$2,Inputs!$K$4:$AJ$4,0))))+SUMPRODUCT((Inputs!$C$5:$C$190=$B7)*ISNUMBER(INDEX(Inputs!$K$5:$AJ$190,0,MATCH(Y$2,Inputs!$K$4:$AJ$4,0))))+SUMPRODUCT((Inputs!$E$5:$E$190=$B7)*ISNUMBER(INDEX(Inputs!$K$5:$AJ$190,0,MATCH(Y$2,Inputs!$K$4:$AJ$4,0))))=0,NA(),SUMPRODUCT((Inputs!$A$5:$A$190=$B7)*Inputs!$B$5:$B$190*(((Inputs!$G$5:$G$190="moeda")+(Inputs!$G$5:$G$190="acoes"))*Inputs!$B$1+((Inputs!$G$5:$G$190&lt;&gt;"moeda")*(Inputs!$G$5:$G$190&lt;&gt;"acoes")))*INDEX(Inputs!$K$5:$AJ$190,0,MATCH(Y$2,Inputs!$K$4:$AJ$4,0)))+SUMPRODUCT((Inputs!$C$5:$C$190=$B7)*Inputs!$D$5:$D$190*(((Inputs!$G$5:$G$190="moeda")+(Inputs!$G$5:$G$190="acoes"))*Inputs!$B$1+((Inputs!$G$5:$G$190&lt;&gt;"moeda")*(Inputs!$G$5:$G$190&lt;&gt;"acoes")))*INDEX(Inputs!$K$5:$AJ$190,0,MATCH(Y$2,Inputs!$K$4:$AJ$4,0)))+SUMPRODUCT((Inputs!$E$5:$E$190=$B7)*Inputs!$F$5:$F$190*(((Inputs!$G$5:$G$190="moeda")+(Inputs!$G$5:$G$190="acoes"))*Inputs!$B$1+((Inputs!$G$5:$G$190&lt;&gt;"moeda")*(Inputs!$G$5:$G$190&lt;&gt;"acoes")))*INDEX(Inputs!$K$5:$AJ$190,0,MATCH(Y$2,Inputs!$K$4:$AJ$4,0)))))</f>
        <v>-1118.94089968</v>
      </c>
      <c r="Z7" s="6">
        <f>IF(ISNA(MATCH(Z$2,Inputs!$K$4:$AJ$4,0)),NA(),IF(SUMPRODUCT((Inputs!$A$5:$A$190=$B7)*ISNUMBER(INDEX(Inputs!$K$5:$AJ$190,0,MATCH(Z$2,Inputs!$K$4:$AJ$4,0))))+SUMPRODUCT((Inputs!$C$5:$C$190=$B7)*ISNUMBER(INDEX(Inputs!$K$5:$AJ$190,0,MATCH(Z$2,Inputs!$K$4:$AJ$4,0))))+SUMPRODUCT((Inputs!$E$5:$E$190=$B7)*ISNUMBER(INDEX(Inputs!$K$5:$AJ$190,0,MATCH(Z$2,Inputs!$K$4:$AJ$4,0))))=0,NA(),SUMPRODUCT((Inputs!$A$5:$A$190=$B7)*Inputs!$B$5:$B$190*(((Inputs!$G$5:$G$190="moeda")+(Inputs!$G$5:$G$190="acoes"))*Inputs!$B$1+((Inputs!$G$5:$G$190&lt;&gt;"moeda")*(Inputs!$G$5:$G$190&lt;&gt;"acoes")))*INDEX(Inputs!$K$5:$AJ$190,0,MATCH(Z$2,Inputs!$K$4:$AJ$4,0)))+SUMPRODUCT((Inputs!$C$5:$C$190=$B7)*Inputs!$D$5:$D$190*(((Inputs!$G$5:$G$190="moeda")+(Inputs!$G$5:$G$190="acoes"))*Inputs!$B$1+((Inputs!$G$5:$G$190&lt;&gt;"moeda")*(Inputs!$G$5:$G$190&lt;&gt;"acoes")))*INDEX(Inputs!$K$5:$AJ$190,0,MATCH(Z$2,Inputs!$K$4:$AJ$4,0)))+SUMPRODUCT((Inputs!$E$5:$E$190=$B7)*Inputs!$F$5:$F$190*(((Inputs!$G$5:$G$190="moeda")+(Inputs!$G$5:$G$190="acoes"))*Inputs!$B$1+((Inputs!$G$5:$G$190&lt;&gt;"moeda")*(Inputs!$G$5:$G$190&lt;&gt;"acoes")))*INDEX(Inputs!$K$5:$AJ$190,0,MATCH(Z$2,Inputs!$K$4:$AJ$4,0)))))</f>
        <v>-1172.06197375</v>
      </c>
      <c r="AA7" s="6">
        <f>IF(ISNA(MATCH(AA$2,Inputs!$K$4:$AJ$4,0)),NA(),IF(SUMPRODUCT((Inputs!$A$5:$A$190=$B7)*ISNUMBER(INDEX(Inputs!$K$5:$AJ$190,0,MATCH(AA$2,Inputs!$K$4:$AJ$4,0))))+SUMPRODUCT((Inputs!$C$5:$C$190=$B7)*ISNUMBER(INDEX(Inputs!$K$5:$AJ$190,0,MATCH(AA$2,Inputs!$K$4:$AJ$4,0))))+SUMPRODUCT((Inputs!$E$5:$E$190=$B7)*ISNUMBER(INDEX(Inputs!$K$5:$AJ$190,0,MATCH(AA$2,Inputs!$K$4:$AJ$4,0))))=0,NA(),SUMPRODUCT((Inputs!$A$5:$A$190=$B7)*Inputs!$B$5:$B$190*(((Inputs!$G$5:$G$190="moeda")+(Inputs!$G$5:$G$190="acoes"))*Inputs!$B$1+((Inputs!$G$5:$G$190&lt;&gt;"moeda")*(Inputs!$G$5:$G$190&lt;&gt;"acoes")))*INDEX(Inputs!$K$5:$AJ$190,0,MATCH(AA$2,Inputs!$K$4:$AJ$4,0)))+SUMPRODUCT((Inputs!$C$5:$C$190=$B7)*Inputs!$D$5:$D$190*(((Inputs!$G$5:$G$190="moeda")+(Inputs!$G$5:$G$190="acoes"))*Inputs!$B$1+((Inputs!$G$5:$G$190&lt;&gt;"moeda")*(Inputs!$G$5:$G$190&lt;&gt;"acoes")))*INDEX(Inputs!$K$5:$AJ$190,0,MATCH(AA$2,Inputs!$K$4:$AJ$4,0)))+SUMPRODUCT((Inputs!$E$5:$E$190=$B7)*Inputs!$F$5:$F$190*(((Inputs!$G$5:$G$190="moeda")+(Inputs!$G$5:$G$190="acoes"))*Inputs!$B$1+((Inputs!$G$5:$G$190&lt;&gt;"moeda")*(Inputs!$G$5:$G$190&lt;&gt;"acoes")))*INDEX(Inputs!$K$5:$AJ$190,0,MATCH(AA$2,Inputs!$K$4:$AJ$4,0)))))</f>
        <v>-1197.96966854999</v>
      </c>
      <c r="AB7" s="3">
        <f>SUM(X7:AA7)</f>
        <v>-4541.38580381</v>
      </c>
      <c r="AC7" s="6">
        <f>IF(ISNA(MATCH(AC$2,Inputs!$K$4:$AJ$4,0)),NA(),IF(SUMPRODUCT((Inputs!$A$5:$A$190=$B7)*ISNUMBER(INDEX(Inputs!$K$5:$AJ$190,0,MATCH(AC$2,Inputs!$K$4:$AJ$4,0))))+SUMPRODUCT((Inputs!$C$5:$C$190=$B7)*ISNUMBER(INDEX(Inputs!$K$5:$AJ$190,0,MATCH(AC$2,Inputs!$K$4:$AJ$4,0))))+SUMPRODUCT((Inputs!$E$5:$E$190=$B7)*ISNUMBER(INDEX(Inputs!$K$5:$AJ$190,0,MATCH(AC$2,Inputs!$K$4:$AJ$4,0))))=0,NA(),SUMPRODUCT((Inputs!$A$5:$A$190=$B7)*Inputs!$B$5:$B$190*(((Inputs!$G$5:$G$190="moeda")+(Inputs!$G$5:$G$190="acoes"))*Inputs!$B$1+((Inputs!$G$5:$G$190&lt;&gt;"moeda")*(Inputs!$G$5:$G$190&lt;&gt;"acoes")))*INDEX(Inputs!$K$5:$AJ$190,0,MATCH(AC$2,Inputs!$K$4:$AJ$4,0)))+SUMPRODUCT((Inputs!$C$5:$C$190=$B7)*Inputs!$D$5:$D$190*(((Inputs!$G$5:$G$190="moeda")+(Inputs!$G$5:$G$190="acoes"))*Inputs!$B$1+((Inputs!$G$5:$G$190&lt;&gt;"moeda")*(Inputs!$G$5:$G$190&lt;&gt;"acoes")))*INDEX(Inputs!$K$5:$AJ$190,0,MATCH(AC$2,Inputs!$K$4:$AJ$4,0)))+SUMPRODUCT((Inputs!$E$5:$E$190=$B7)*Inputs!$F$5:$F$190*(((Inputs!$G$5:$G$190="moeda")+(Inputs!$G$5:$G$190="acoes"))*Inputs!$B$1+((Inputs!$G$5:$G$190&lt;&gt;"moeda")*(Inputs!$G$5:$G$190&lt;&gt;"acoes")))*INDEX(Inputs!$K$5:$AJ$190,0,MATCH(AC$2,Inputs!$K$4:$AJ$4,0)))))</f>
        <v>-1239.92653653</v>
      </c>
      <c r="AD7" s="6">
        <f>IF(ISNA(MATCH(AD$2,Inputs!$K$4:$AJ$4,0)),NA(),IF(SUMPRODUCT((Inputs!$A$5:$A$190=$B7)*ISNUMBER(INDEX(Inputs!$K$5:$AJ$190,0,MATCH(AD$2,Inputs!$K$4:$AJ$4,0))))+SUMPRODUCT((Inputs!$C$5:$C$190=$B7)*ISNUMBER(INDEX(Inputs!$K$5:$AJ$190,0,MATCH(AD$2,Inputs!$K$4:$AJ$4,0))))+SUMPRODUCT((Inputs!$E$5:$E$190=$B7)*ISNUMBER(INDEX(Inputs!$K$5:$AJ$190,0,MATCH(AD$2,Inputs!$K$4:$AJ$4,0))))=0,NA(),SUMPRODUCT((Inputs!$A$5:$A$190=$B7)*Inputs!$B$5:$B$190*(((Inputs!$G$5:$G$190="moeda")+(Inputs!$G$5:$G$190="acoes"))*Inputs!$B$1+((Inputs!$G$5:$G$190&lt;&gt;"moeda")*(Inputs!$G$5:$G$190&lt;&gt;"acoes")))*INDEX(Inputs!$K$5:$AJ$190,0,MATCH(AD$2,Inputs!$K$4:$AJ$4,0)))+SUMPRODUCT((Inputs!$C$5:$C$190=$B7)*Inputs!$D$5:$D$190*(((Inputs!$G$5:$G$190="moeda")+(Inputs!$G$5:$G$190="acoes"))*Inputs!$B$1+((Inputs!$G$5:$G$190&lt;&gt;"moeda")*(Inputs!$G$5:$G$190&lt;&gt;"acoes")))*INDEX(Inputs!$K$5:$AJ$190,0,MATCH(AD$2,Inputs!$K$4:$AJ$4,0)))+SUMPRODUCT((Inputs!$E$5:$E$190=$B7)*Inputs!$F$5:$F$190*(((Inputs!$G$5:$G$190="moeda")+(Inputs!$G$5:$G$190="acoes"))*Inputs!$B$1+((Inputs!$G$5:$G$190&lt;&gt;"moeda")*(Inputs!$G$5:$G$190&lt;&gt;"acoes")))*INDEX(Inputs!$K$5:$AJ$190,0,MATCH(AD$2,Inputs!$K$4:$AJ$4,0)))))</f>
        <v>-1253.5541439</v>
      </c>
      <c r="AE7" s="6" t="e">
        <f>IF(ISNA(MATCH(AE$2,Inputs!$K$4:$AJ$4,0)),NA(),IF(SUMPRODUCT((Inputs!$A$5:$A$190=$B7)*ISNUMBER(INDEX(Inputs!$K$5:$AJ$190,0,MATCH(AE$2,Inputs!$K$4:$AJ$4,0))))+SUMPRODUCT((Inputs!$C$5:$C$190=$B7)*ISNUMBER(INDEX(Inputs!$K$5:$AJ$190,0,MATCH(AE$2,Inputs!$K$4:$AJ$4,0))))+SUMPRODUCT((Inputs!$E$5:$E$190=$B7)*ISNUMBER(INDEX(Inputs!$K$5:$AJ$190,0,MATCH(AE$2,Inputs!$K$4:$AJ$4,0))))=0,NA(),SUMPRODUCT((Inputs!$A$5:$A$190=$B7)*Inputs!$B$5:$B$190*(((Inputs!$G$5:$G$190="moeda")+(Inputs!$G$5:$G$190="acoes"))*Inputs!$B$1+((Inputs!$G$5:$G$190&lt;&gt;"moeda")*(Inputs!$G$5:$G$190&lt;&gt;"acoes")))*INDEX(Inputs!$K$5:$AJ$190,0,MATCH(AE$2,Inputs!$K$4:$AJ$4,0)))+SUMPRODUCT((Inputs!$C$5:$C$190=$B7)*Inputs!$D$5:$D$190*(((Inputs!$G$5:$G$190="moeda")+(Inputs!$G$5:$G$190="acoes"))*Inputs!$B$1+((Inputs!$G$5:$G$190&lt;&gt;"moeda")*(Inputs!$G$5:$G$190&lt;&gt;"acoes")))*INDEX(Inputs!$K$5:$AJ$190,0,MATCH(AE$2,Inputs!$K$4:$AJ$4,0)))+SUMPRODUCT((Inputs!$E$5:$E$190=$B7)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7" s="6" t="e">
        <f>IF(ISNA(MATCH(AF$2,Inputs!$K$4:$AJ$4,0)),NA(),IF(SUMPRODUCT((Inputs!$A$5:$A$190=$B7)*ISNUMBER(INDEX(Inputs!$K$5:$AJ$190,0,MATCH(AF$2,Inputs!$K$4:$AJ$4,0))))+SUMPRODUCT((Inputs!$C$5:$C$190=$B7)*ISNUMBER(INDEX(Inputs!$K$5:$AJ$190,0,MATCH(AF$2,Inputs!$K$4:$AJ$4,0))))+SUMPRODUCT((Inputs!$E$5:$E$190=$B7)*ISNUMBER(INDEX(Inputs!$K$5:$AJ$190,0,MATCH(AF$2,Inputs!$K$4:$AJ$4,0))))=0,NA(),SUMPRODUCT((Inputs!$A$5:$A$190=$B7)*Inputs!$B$5:$B$190*(((Inputs!$G$5:$G$190="moeda")+(Inputs!$G$5:$G$190="acoes"))*Inputs!$B$1+((Inputs!$G$5:$G$190&lt;&gt;"moeda")*(Inputs!$G$5:$G$190&lt;&gt;"acoes")))*INDEX(Inputs!$K$5:$AJ$190,0,MATCH(AF$2,Inputs!$K$4:$AJ$4,0)))+SUMPRODUCT((Inputs!$C$5:$C$190=$B7)*Inputs!$D$5:$D$190*(((Inputs!$G$5:$G$190="moeda")+(Inputs!$G$5:$G$190="acoes"))*Inputs!$B$1+((Inputs!$G$5:$G$190&lt;&gt;"moeda")*(Inputs!$G$5:$G$190&lt;&gt;"acoes")))*INDEX(Inputs!$K$5:$AJ$190,0,MATCH(AF$2,Inputs!$K$4:$AJ$4,0)))+SUMPRODUCT((Inputs!$E$5:$E$190=$B7)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7" s="3" t="e">
        <f>SUM(AC7:AF7)</f>
        <v>#N/A</v>
      </c>
      <c r="AH7" s="6">
        <f>IF(ISNA(MATCH(AH$2,Inputs!$K$4:$AJ$4,0)),NA(),IF(SUMPRODUCT((Inputs!$A$5:$A$190=$B7)*ISNUMBER(INDEX(Inputs!$K$5:$AJ$190,0,MATCH(AH$2,Inputs!$K$4:$AJ$4,0))))+SUMPRODUCT((Inputs!$C$5:$C$190=$B7)*ISNUMBER(INDEX(Inputs!$K$5:$AJ$190,0,MATCH(AH$2,Inputs!$K$4:$AJ$4,0))))+SUMPRODUCT((Inputs!$E$5:$E$190=$B7)*ISNUMBER(INDEX(Inputs!$K$5:$AJ$190,0,MATCH(AH$2,Inputs!$K$4:$AJ$4,0))))=0,NA(),SUMPRODUCT((Inputs!$A$5:$A$190=$B7)*Inputs!$B$5:$B$190*(((Inputs!$G$5:$G$190="moeda")+(Inputs!$G$5:$G$190="acoes"))*Inputs!$B$1+((Inputs!$G$5:$G$190&lt;&gt;"moeda")*(Inputs!$G$5:$G$190&lt;&gt;"acoes")))*INDEX(Inputs!$K$5:$AJ$190,0,MATCH(AH$2,Inputs!$K$4:$AJ$4,0)))+SUMPRODUCT((Inputs!$C$5:$C$190=$B7)*Inputs!$D$5:$D$190*(((Inputs!$G$5:$G$190="moeda")+(Inputs!$G$5:$G$190="acoes"))*Inputs!$B$1+((Inputs!$G$5:$G$190&lt;&gt;"moeda")*(Inputs!$G$5:$G$190&lt;&gt;"acoes")))*INDEX(Inputs!$K$5:$AJ$190,0,MATCH(AH$2,Inputs!$K$4:$AJ$4,0)))+SUMPRODUCT((Inputs!$E$5:$E$190=$B7)*Inputs!$F$5:$F$190*(((Inputs!$G$5:$G$190="moeda")+(Inputs!$G$5:$G$190="acoes"))*Inputs!$B$1+((Inputs!$G$5:$G$190&lt;&gt;"moeda")*(Inputs!$G$5:$G$190&lt;&gt;"acoes")))*INDEX(Inputs!$K$5:$AJ$190,0,MATCH(AH$2,Inputs!$K$4:$AJ$4,0)))))</f>
        <v>-275.68271341</v>
      </c>
      <c r="AI7" s="6">
        <f>IF(ISNA(MATCH(AI$2,Inputs!$K$4:$AJ$4,0)),NA(),IF(SUMPRODUCT((Inputs!$A$5:$A$190=$B7)*ISNUMBER(INDEX(Inputs!$K$5:$AJ$190,0,MATCH(AI$2,Inputs!$K$4:$AJ$4,0))))+SUMPRODUCT((Inputs!$C$5:$C$190=$B7)*ISNUMBER(INDEX(Inputs!$K$5:$AJ$190,0,MATCH(AI$2,Inputs!$K$4:$AJ$4,0))))+SUMPRODUCT((Inputs!$E$5:$E$190=$B7)*ISNUMBER(INDEX(Inputs!$K$5:$AJ$190,0,MATCH(AI$2,Inputs!$K$4:$AJ$4,0))))=0,NA(),SUMPRODUCT((Inputs!$A$5:$A$190=$B7)*Inputs!$B$5:$B$190*(((Inputs!$G$5:$G$190="moeda")+(Inputs!$G$5:$G$190="acoes"))*Inputs!$B$1+((Inputs!$G$5:$G$190&lt;&gt;"moeda")*(Inputs!$G$5:$G$190&lt;&gt;"acoes")))*INDEX(Inputs!$K$5:$AJ$190,0,MATCH(AI$2,Inputs!$K$4:$AJ$4,0)))+SUMPRODUCT((Inputs!$C$5:$C$190=$B7)*Inputs!$D$5:$D$190*(((Inputs!$G$5:$G$190="moeda")+(Inputs!$G$5:$G$190="acoes"))*Inputs!$B$1+((Inputs!$G$5:$G$190&lt;&gt;"moeda")*(Inputs!$G$5:$G$190&lt;&gt;"acoes")))*INDEX(Inputs!$K$5:$AJ$190,0,MATCH(AI$2,Inputs!$K$4:$AJ$4,0)))+SUMPRODUCT((Inputs!$E$5:$E$190=$B7)*Inputs!$F$5:$F$190*(((Inputs!$G$5:$G$190="moeda")+(Inputs!$G$5:$G$190="acoes"))*Inputs!$B$1+((Inputs!$G$5:$G$190&lt;&gt;"moeda")*(Inputs!$G$5:$G$190&lt;&gt;"acoes")))*INDEX(Inputs!$K$5:$AJ$190,0,MATCH(AI$2,Inputs!$K$4:$AJ$4,0)))))</f>
        <v>-271.90979999</v>
      </c>
      <c r="AJ7" s="6">
        <f>IF(ISNA(MATCH(AJ$2,Inputs!$K$4:$AJ$4,0)),NA(),IF(SUMPRODUCT((Inputs!$A$5:$A$190=$B7)*ISNUMBER(INDEX(Inputs!$K$5:$AJ$190,0,MATCH(AJ$2,Inputs!$K$4:$AJ$4,0))))+SUMPRODUCT((Inputs!$C$5:$C$190=$B7)*ISNUMBER(INDEX(Inputs!$K$5:$AJ$190,0,MATCH(AJ$2,Inputs!$K$4:$AJ$4,0))))+SUMPRODUCT((Inputs!$E$5:$E$190=$B7)*ISNUMBER(INDEX(Inputs!$K$5:$AJ$190,0,MATCH(AJ$2,Inputs!$K$4:$AJ$4,0))))=0,NA(),SUMPRODUCT((Inputs!$A$5:$A$190=$B7)*Inputs!$B$5:$B$190*(((Inputs!$G$5:$G$190="moeda")+(Inputs!$G$5:$G$190="acoes"))*Inputs!$B$1+((Inputs!$G$5:$G$190&lt;&gt;"moeda")*(Inputs!$G$5:$G$190&lt;&gt;"acoes")))*INDEX(Inputs!$K$5:$AJ$190,0,MATCH(AJ$2,Inputs!$K$4:$AJ$4,0)))+SUMPRODUCT((Inputs!$C$5:$C$190=$B7)*Inputs!$D$5:$D$190*(((Inputs!$G$5:$G$190="moeda")+(Inputs!$G$5:$G$190="acoes"))*Inputs!$B$1+((Inputs!$G$5:$G$190&lt;&gt;"moeda")*(Inputs!$G$5:$G$190&lt;&gt;"acoes")))*INDEX(Inputs!$K$5:$AJ$190,0,MATCH(AJ$2,Inputs!$K$4:$AJ$4,0)))+SUMPRODUCT((Inputs!$E$5:$E$190=$B7)*Inputs!$F$5:$F$190*(((Inputs!$G$5:$G$190="moeda")+(Inputs!$G$5:$G$190="acoes"))*Inputs!$B$1+((Inputs!$G$5:$G$190&lt;&gt;"moeda")*(Inputs!$G$5:$G$190&lt;&gt;"acoes")))*INDEX(Inputs!$K$5:$AJ$190,0,MATCH(AJ$2,Inputs!$K$4:$AJ$4,0)))))</f>
        <v>-290.25133795755</v>
      </c>
      <c r="AK7" s="6">
        <f>IF(ISNA(MATCH(AK$2,Inputs!$K$4:$AJ$4,0)),NA(),IF(SUMPRODUCT((Inputs!$A$5:$A$190=$B7)*ISNUMBER(INDEX(Inputs!$K$5:$AJ$190,0,MATCH(AK$2,Inputs!$K$4:$AJ$4,0))))+SUMPRODUCT((Inputs!$C$5:$C$190=$B7)*ISNUMBER(INDEX(Inputs!$K$5:$AJ$190,0,MATCH(AK$2,Inputs!$K$4:$AJ$4,0))))+SUMPRODUCT((Inputs!$E$5:$E$190=$B7)*ISNUMBER(INDEX(Inputs!$K$5:$AJ$190,0,MATCH(AK$2,Inputs!$K$4:$AJ$4,0))))=0,NA(),SUMPRODUCT((Inputs!$A$5:$A$190=$B7)*Inputs!$B$5:$B$190*(((Inputs!$G$5:$G$190="moeda")+(Inputs!$G$5:$G$190="acoes"))*Inputs!$B$1+((Inputs!$G$5:$G$190&lt;&gt;"moeda")*(Inputs!$G$5:$G$190&lt;&gt;"acoes")))*INDEX(Inputs!$K$5:$AJ$190,0,MATCH(AK$2,Inputs!$K$4:$AJ$4,0)))+SUMPRODUCT((Inputs!$C$5:$C$190=$B7)*Inputs!$D$5:$D$190*(((Inputs!$G$5:$G$190="moeda")+(Inputs!$G$5:$G$190="acoes"))*Inputs!$B$1+((Inputs!$G$5:$G$190&lt;&gt;"moeda")*(Inputs!$G$5:$G$190&lt;&gt;"acoes")))*INDEX(Inputs!$K$5:$AJ$190,0,MATCH(AK$2,Inputs!$K$4:$AJ$4,0)))+SUMPRODUCT((Inputs!$E$5:$E$190=$B7)*Inputs!$F$5:$F$190*(((Inputs!$G$5:$G$190="moeda")+(Inputs!$G$5:$G$190="acoes"))*Inputs!$B$1+((Inputs!$G$5:$G$190&lt;&gt;"moeda")*(Inputs!$G$5:$G$190&lt;&gt;"acoes")))*INDEX(Inputs!$K$5:$AJ$190,0,MATCH(AK$2,Inputs!$K$4:$AJ$4,0)))))</f>
        <v>-274.107593500965</v>
      </c>
      <c r="AL7" s="3">
        <f>SUM(AH7:AK7)</f>
        <v>-1111.95144485852</v>
      </c>
    </row>
    <row r="8">
      <c r="B8" s="46" t="n">
        <v>5</v>
      </c>
      <c r="C8" s="26" t="inlineStr">
        <is>
          <t>Interest Expense</t>
        </is>
      </c>
      <c r="D8" s="6">
        <f>IF(ISNA(MATCH(D$2,Inputs!$K$4:$AJ$4,0)),NA(),IF(SUMPRODUCT((Inputs!$A$5:$A$190=$B8)*ISNUMBER(INDEX(Inputs!$K$5:$AJ$190,0,MATCH(D$2,Inputs!$K$4:$AJ$4,0))))+SUMPRODUCT((Inputs!$C$5:$C$190=$B8)*ISNUMBER(INDEX(Inputs!$K$5:$AJ$190,0,MATCH(D$2,Inputs!$K$4:$AJ$4,0))))+SUMPRODUCT((Inputs!$E$5:$E$190=$B8)*ISNUMBER(INDEX(Inputs!$K$5:$AJ$190,0,MATCH(D$2,Inputs!$K$4:$AJ$4,0))))=0,NA(),SUMPRODUCT((Inputs!$A$5:$A$190=$B8)*Inputs!$B$5:$B$190*(((Inputs!$G$5:$G$190="moeda")+(Inputs!$G$5:$G$190="acoes"))*Inputs!$B$1+((Inputs!$G$5:$G$190&lt;&gt;"moeda")*(Inputs!$G$5:$G$190&lt;&gt;"acoes")))*INDEX(Inputs!$K$5:$AJ$190,0,MATCH(D$2,Inputs!$K$4:$AJ$4,0)))+SUMPRODUCT((Inputs!$C$5:$C$190=$B8)*Inputs!$D$5:$D$190*(((Inputs!$G$5:$G$190="moeda")+(Inputs!$G$5:$G$190="acoes"))*Inputs!$B$1+((Inputs!$G$5:$G$190&lt;&gt;"moeda")*(Inputs!$G$5:$G$190&lt;&gt;"acoes")))*INDEX(Inputs!$K$5:$AJ$190,0,MATCH(D$2,Inputs!$K$4:$AJ$4,0)))+SUMPRODUCT((Inputs!$E$5:$E$190=$B8)*Inputs!$F$5:$F$190*(((Inputs!$G$5:$G$190="moeda")+(Inputs!$G$5:$G$190="acoes"))*Inputs!$B$1+((Inputs!$G$5:$G$190&lt;&gt;"moeda")*(Inputs!$G$5:$G$190&lt;&gt;"acoes")))*INDEX(Inputs!$K$5:$AJ$190,0,MATCH(D$2,Inputs!$K$4:$AJ$4,0)))))</f>
        <v>-454.957867286321</v>
      </c>
      <c r="E8" s="6">
        <f>IF(ISNA(MATCH(E$2,Inputs!$K$4:$AJ$4,0)),NA(),IF(SUMPRODUCT((Inputs!$A$5:$A$190=$B8)*ISNUMBER(INDEX(Inputs!$K$5:$AJ$190,0,MATCH(E$2,Inputs!$K$4:$AJ$4,0))))+SUMPRODUCT((Inputs!$C$5:$C$190=$B8)*ISNUMBER(INDEX(Inputs!$K$5:$AJ$190,0,MATCH(E$2,Inputs!$K$4:$AJ$4,0))))+SUMPRODUCT((Inputs!$E$5:$E$190=$B8)*ISNUMBER(INDEX(Inputs!$K$5:$AJ$190,0,MATCH(E$2,Inputs!$K$4:$AJ$4,0))))=0,NA(),SUMPRODUCT((Inputs!$A$5:$A$190=$B8)*Inputs!$B$5:$B$190*(((Inputs!$G$5:$G$190="moeda")+(Inputs!$G$5:$G$190="acoes"))*Inputs!$B$1+((Inputs!$G$5:$G$190&lt;&gt;"moeda")*(Inputs!$G$5:$G$190&lt;&gt;"acoes")))*INDEX(Inputs!$K$5:$AJ$190,0,MATCH(E$2,Inputs!$K$4:$AJ$4,0)))+SUMPRODUCT((Inputs!$C$5:$C$190=$B8)*Inputs!$D$5:$D$190*(((Inputs!$G$5:$G$190="moeda")+(Inputs!$G$5:$G$190="acoes"))*Inputs!$B$1+((Inputs!$G$5:$G$190&lt;&gt;"moeda")*(Inputs!$G$5:$G$190&lt;&gt;"acoes")))*INDEX(Inputs!$K$5:$AJ$190,0,MATCH(E$2,Inputs!$K$4:$AJ$4,0)))+SUMPRODUCT((Inputs!$E$5:$E$190=$B8)*Inputs!$F$5:$F$190*(((Inputs!$G$5:$G$190="moeda")+(Inputs!$G$5:$G$190="acoes"))*Inputs!$B$1+((Inputs!$G$5:$G$190&lt;&gt;"moeda")*(Inputs!$G$5:$G$190&lt;&gt;"acoes")))*INDEX(Inputs!$K$5:$AJ$190,0,MATCH(E$2,Inputs!$K$4:$AJ$4,0)))))</f>
        <v>-191.11210572</v>
      </c>
      <c r="F8" s="6">
        <f>IF(ISNA(MATCH(F$2,Inputs!$K$4:$AJ$4,0)),NA(),IF(SUMPRODUCT((Inputs!$A$5:$A$190=$B8)*ISNUMBER(INDEX(Inputs!$K$5:$AJ$190,0,MATCH(F$2,Inputs!$K$4:$AJ$4,0))))+SUMPRODUCT((Inputs!$C$5:$C$190=$B8)*ISNUMBER(INDEX(Inputs!$K$5:$AJ$190,0,MATCH(F$2,Inputs!$K$4:$AJ$4,0))))+SUMPRODUCT((Inputs!$E$5:$E$190=$B8)*ISNUMBER(INDEX(Inputs!$K$5:$AJ$190,0,MATCH(F$2,Inputs!$K$4:$AJ$4,0))))=0,NA(),SUMPRODUCT((Inputs!$A$5:$A$190=$B8)*Inputs!$B$5:$B$190*(((Inputs!$G$5:$G$190="moeda")+(Inputs!$G$5:$G$190="acoes"))*Inputs!$B$1+((Inputs!$G$5:$G$190&lt;&gt;"moeda")*(Inputs!$G$5:$G$190&lt;&gt;"acoes")))*INDEX(Inputs!$K$5:$AJ$190,0,MATCH(F$2,Inputs!$K$4:$AJ$4,0)))+SUMPRODUCT((Inputs!$C$5:$C$190=$B8)*Inputs!$D$5:$D$190*(((Inputs!$G$5:$G$190="moeda")+(Inputs!$G$5:$G$190="acoes"))*Inputs!$B$1+((Inputs!$G$5:$G$190&lt;&gt;"moeda")*(Inputs!$G$5:$G$190&lt;&gt;"acoes")))*INDEX(Inputs!$K$5:$AJ$190,0,MATCH(F$2,Inputs!$K$4:$AJ$4,0)))+SUMPRODUCT((Inputs!$E$5:$E$190=$B8)*Inputs!$F$5:$F$190*(((Inputs!$G$5:$G$190="moeda")+(Inputs!$G$5:$G$190="acoes"))*Inputs!$B$1+((Inputs!$G$5:$G$190&lt;&gt;"moeda")*(Inputs!$G$5:$G$190&lt;&gt;"acoes")))*INDEX(Inputs!$K$5:$AJ$190,0,MATCH(F$2,Inputs!$K$4:$AJ$4,0)))))</f>
        <v>-526.933886687027</v>
      </c>
      <c r="G8" s="6">
        <f>IF(ISNA(MATCH(G$2,Inputs!$K$4:$AJ$4,0)),NA(),IF(SUMPRODUCT((Inputs!$A$5:$A$190=$B8)*ISNUMBER(INDEX(Inputs!$K$5:$AJ$190,0,MATCH(G$2,Inputs!$K$4:$AJ$4,0))))+SUMPRODUCT((Inputs!$C$5:$C$190=$B8)*ISNUMBER(INDEX(Inputs!$K$5:$AJ$190,0,MATCH(G$2,Inputs!$K$4:$AJ$4,0))))+SUMPRODUCT((Inputs!$E$5:$E$190=$B8)*ISNUMBER(INDEX(Inputs!$K$5:$AJ$190,0,MATCH(G$2,Inputs!$K$4:$AJ$4,0))))=0,NA(),SUMPRODUCT((Inputs!$A$5:$A$190=$B8)*Inputs!$B$5:$B$190*(((Inputs!$G$5:$G$190="moeda")+(Inputs!$G$5:$G$190="acoes"))*Inputs!$B$1+((Inputs!$G$5:$G$190&lt;&gt;"moeda")*(Inputs!$G$5:$G$190&lt;&gt;"acoes")))*INDEX(Inputs!$K$5:$AJ$190,0,MATCH(G$2,Inputs!$K$4:$AJ$4,0)))+SUMPRODUCT((Inputs!$C$5:$C$190=$B8)*Inputs!$D$5:$D$190*(((Inputs!$G$5:$G$190="moeda")+(Inputs!$G$5:$G$190="acoes"))*Inputs!$B$1+((Inputs!$G$5:$G$190&lt;&gt;"moeda")*(Inputs!$G$5:$G$190&lt;&gt;"acoes")))*INDEX(Inputs!$K$5:$AJ$190,0,MATCH(G$2,Inputs!$K$4:$AJ$4,0)))+SUMPRODUCT((Inputs!$E$5:$E$190=$B8)*Inputs!$F$5:$F$190*(((Inputs!$G$5:$G$190="moeda")+(Inputs!$G$5:$G$190="acoes"))*Inputs!$B$1+((Inputs!$G$5:$G$190&lt;&gt;"moeda")*(Inputs!$G$5:$G$190&lt;&gt;"acoes")))*INDEX(Inputs!$K$5:$AJ$190,0,MATCH(G$2,Inputs!$K$4:$AJ$4,0)))))</f>
        <v>-780.951140306653</v>
      </c>
      <c r="H8" s="3">
        <f>SUM(D8:G8)</f>
        <v>-1953.955</v>
      </c>
      <c r="I8" s="6">
        <f>IF(ISNA(MATCH(I$2,Inputs!$K$4:$AJ$4,0)),NA(),IF(SUMPRODUCT((Inputs!$A$5:$A$190=$B8)*ISNUMBER(INDEX(Inputs!$K$5:$AJ$190,0,MATCH(I$2,Inputs!$K$4:$AJ$4,0))))+SUMPRODUCT((Inputs!$C$5:$C$190=$B8)*ISNUMBER(INDEX(Inputs!$K$5:$AJ$190,0,MATCH(I$2,Inputs!$K$4:$AJ$4,0))))+SUMPRODUCT((Inputs!$E$5:$E$190=$B8)*ISNUMBER(INDEX(Inputs!$K$5:$AJ$190,0,MATCH(I$2,Inputs!$K$4:$AJ$4,0))))=0,NA(),SUMPRODUCT((Inputs!$A$5:$A$190=$B8)*Inputs!$B$5:$B$190*(((Inputs!$G$5:$G$190="moeda")+(Inputs!$G$5:$G$190="acoes"))*Inputs!$B$1+((Inputs!$G$5:$G$190&lt;&gt;"moeda")*(Inputs!$G$5:$G$190&lt;&gt;"acoes")))*INDEX(Inputs!$K$5:$AJ$190,0,MATCH(I$2,Inputs!$K$4:$AJ$4,0)))+SUMPRODUCT((Inputs!$C$5:$C$190=$B8)*Inputs!$D$5:$D$190*(((Inputs!$G$5:$G$190="moeda")+(Inputs!$G$5:$G$190="acoes"))*Inputs!$B$1+((Inputs!$G$5:$G$190&lt;&gt;"moeda")*(Inputs!$G$5:$G$190&lt;&gt;"acoes")))*INDEX(Inputs!$K$5:$AJ$190,0,MATCH(I$2,Inputs!$K$4:$AJ$4,0)))+SUMPRODUCT((Inputs!$E$5:$E$190=$B8)*Inputs!$F$5:$F$190*(((Inputs!$G$5:$G$190="moeda")+(Inputs!$G$5:$G$190="acoes"))*Inputs!$B$1+((Inputs!$G$5:$G$190&lt;&gt;"moeda")*(Inputs!$G$5:$G$190&lt;&gt;"acoes")))*INDEX(Inputs!$K$5:$AJ$190,0,MATCH(I$2,Inputs!$K$4:$AJ$4,0)))))</f>
        <v>-1017.218</v>
      </c>
      <c r="J8" s="6">
        <f>IF(ISNA(MATCH(J$2,Inputs!$K$4:$AJ$4,0)),NA(),IF(SUMPRODUCT((Inputs!$A$5:$A$190=$B8)*ISNUMBER(INDEX(Inputs!$K$5:$AJ$190,0,MATCH(J$2,Inputs!$K$4:$AJ$4,0))))+SUMPRODUCT((Inputs!$C$5:$C$190=$B8)*ISNUMBER(INDEX(Inputs!$K$5:$AJ$190,0,MATCH(J$2,Inputs!$K$4:$AJ$4,0))))+SUMPRODUCT((Inputs!$E$5:$E$190=$B8)*ISNUMBER(INDEX(Inputs!$K$5:$AJ$190,0,MATCH(J$2,Inputs!$K$4:$AJ$4,0))))=0,NA(),SUMPRODUCT((Inputs!$A$5:$A$190=$B8)*Inputs!$B$5:$B$190*(((Inputs!$G$5:$G$190="moeda")+(Inputs!$G$5:$G$190="acoes"))*Inputs!$B$1+((Inputs!$G$5:$G$190&lt;&gt;"moeda")*(Inputs!$G$5:$G$190&lt;&gt;"acoes")))*INDEX(Inputs!$K$5:$AJ$190,0,MATCH(J$2,Inputs!$K$4:$AJ$4,0)))+SUMPRODUCT((Inputs!$C$5:$C$190=$B8)*Inputs!$D$5:$D$190*(((Inputs!$G$5:$G$190="moeda")+(Inputs!$G$5:$G$190="acoes"))*Inputs!$B$1+((Inputs!$G$5:$G$190&lt;&gt;"moeda")*(Inputs!$G$5:$G$190&lt;&gt;"acoes")))*INDEX(Inputs!$K$5:$AJ$190,0,MATCH(J$2,Inputs!$K$4:$AJ$4,0)))+SUMPRODUCT((Inputs!$E$5:$E$190=$B8)*Inputs!$F$5:$F$190*(((Inputs!$G$5:$G$190="moeda")+(Inputs!$G$5:$G$190="acoes"))*Inputs!$B$1+((Inputs!$G$5:$G$190&lt;&gt;"moeda")*(Inputs!$G$5:$G$190&lt;&gt;"acoes")))*INDEX(Inputs!$K$5:$AJ$190,0,MATCH(J$2,Inputs!$K$4:$AJ$4,0)))))</f>
        <v>-1246.042</v>
      </c>
      <c r="K8" s="6">
        <f>IF(ISNA(MATCH(K$2,Inputs!$K$4:$AJ$4,0)),NA(),IF(SUMPRODUCT((Inputs!$A$5:$A$190=$B8)*ISNUMBER(INDEX(Inputs!$K$5:$AJ$190,0,MATCH(K$2,Inputs!$K$4:$AJ$4,0))))+SUMPRODUCT((Inputs!$C$5:$C$190=$B8)*ISNUMBER(INDEX(Inputs!$K$5:$AJ$190,0,MATCH(K$2,Inputs!$K$4:$AJ$4,0))))+SUMPRODUCT((Inputs!$E$5:$E$190=$B8)*ISNUMBER(INDEX(Inputs!$K$5:$AJ$190,0,MATCH(K$2,Inputs!$K$4:$AJ$4,0))))=0,NA(),SUMPRODUCT((Inputs!$A$5:$A$190=$B8)*Inputs!$B$5:$B$190*(((Inputs!$G$5:$G$190="moeda")+(Inputs!$G$5:$G$190="acoes"))*Inputs!$B$1+((Inputs!$G$5:$G$190&lt;&gt;"moeda")*(Inputs!$G$5:$G$190&lt;&gt;"acoes")))*INDEX(Inputs!$K$5:$AJ$190,0,MATCH(K$2,Inputs!$K$4:$AJ$4,0)))+SUMPRODUCT((Inputs!$C$5:$C$190=$B8)*Inputs!$D$5:$D$190*(((Inputs!$G$5:$G$190="moeda")+(Inputs!$G$5:$G$190="acoes"))*Inputs!$B$1+((Inputs!$G$5:$G$190&lt;&gt;"moeda")*(Inputs!$G$5:$G$190&lt;&gt;"acoes")))*INDEX(Inputs!$K$5:$AJ$190,0,MATCH(K$2,Inputs!$K$4:$AJ$4,0)))+SUMPRODUCT((Inputs!$E$5:$E$190=$B8)*Inputs!$F$5:$F$190*(((Inputs!$G$5:$G$190="moeda")+(Inputs!$G$5:$G$190="acoes"))*Inputs!$B$1+((Inputs!$G$5:$G$190&lt;&gt;"moeda")*(Inputs!$G$5:$G$190&lt;&gt;"acoes")))*INDEX(Inputs!$K$5:$AJ$190,0,MATCH(K$2,Inputs!$K$4:$AJ$4,0)))))</f>
        <v>-1499.372</v>
      </c>
      <c r="L8" s="6">
        <f>IF(ISNA(MATCH(L$2,Inputs!$K$4:$AJ$4,0)),NA(),IF(SUMPRODUCT((Inputs!$A$5:$A$190=$B8)*ISNUMBER(INDEX(Inputs!$K$5:$AJ$190,0,MATCH(L$2,Inputs!$K$4:$AJ$4,0))))+SUMPRODUCT((Inputs!$C$5:$C$190=$B8)*ISNUMBER(INDEX(Inputs!$K$5:$AJ$190,0,MATCH(L$2,Inputs!$K$4:$AJ$4,0))))+SUMPRODUCT((Inputs!$E$5:$E$190=$B8)*ISNUMBER(INDEX(Inputs!$K$5:$AJ$190,0,MATCH(L$2,Inputs!$K$4:$AJ$4,0))))=0,NA(),SUMPRODUCT((Inputs!$A$5:$A$190=$B8)*Inputs!$B$5:$B$190*(((Inputs!$G$5:$G$190="moeda")+(Inputs!$G$5:$G$190="acoes"))*Inputs!$B$1+((Inputs!$G$5:$G$190&lt;&gt;"moeda")*(Inputs!$G$5:$G$190&lt;&gt;"acoes")))*INDEX(Inputs!$K$5:$AJ$190,0,MATCH(L$2,Inputs!$K$4:$AJ$4,0)))+SUMPRODUCT((Inputs!$C$5:$C$190=$B8)*Inputs!$D$5:$D$190*(((Inputs!$G$5:$G$190="moeda")+(Inputs!$G$5:$G$190="acoes"))*Inputs!$B$1+((Inputs!$G$5:$G$190&lt;&gt;"moeda")*(Inputs!$G$5:$G$190&lt;&gt;"acoes")))*INDEX(Inputs!$K$5:$AJ$190,0,MATCH(L$2,Inputs!$K$4:$AJ$4,0)))+SUMPRODUCT((Inputs!$E$5:$E$190=$B8)*Inputs!$F$5:$F$190*(((Inputs!$G$5:$G$190="moeda")+(Inputs!$G$5:$G$190="acoes"))*Inputs!$B$1+((Inputs!$G$5:$G$190&lt;&gt;"moeda")*(Inputs!$G$5:$G$190&lt;&gt;"acoes")))*INDEX(Inputs!$K$5:$AJ$190,0,MATCH(L$2,Inputs!$K$4:$AJ$4,0)))))</f>
        <v>-1595.84051053528</v>
      </c>
      <c r="M8" s="3">
        <f>SUM(I8:L8)</f>
        <v>-5358.47251053528</v>
      </c>
      <c r="N8" s="6">
        <f>IF(ISNA(MATCH(N$2,Inputs!$K$4:$AJ$4,0)),NA(),IF(SUMPRODUCT((Inputs!$A$5:$A$190=$B8)*ISNUMBER(INDEX(Inputs!$K$5:$AJ$190,0,MATCH(N$2,Inputs!$K$4:$AJ$4,0))))+SUMPRODUCT((Inputs!$C$5:$C$190=$B8)*ISNUMBER(INDEX(Inputs!$K$5:$AJ$190,0,MATCH(N$2,Inputs!$K$4:$AJ$4,0))))+SUMPRODUCT((Inputs!$E$5:$E$190=$B8)*ISNUMBER(INDEX(Inputs!$K$5:$AJ$190,0,MATCH(N$2,Inputs!$K$4:$AJ$4,0))))=0,NA(),SUMPRODUCT((Inputs!$A$5:$A$190=$B8)*Inputs!$B$5:$B$190*(((Inputs!$G$5:$G$190="moeda")+(Inputs!$G$5:$G$190="acoes"))*Inputs!$B$1+((Inputs!$G$5:$G$190&lt;&gt;"moeda")*(Inputs!$G$5:$G$190&lt;&gt;"acoes")))*INDEX(Inputs!$K$5:$AJ$190,0,MATCH(N$2,Inputs!$K$4:$AJ$4,0)))+SUMPRODUCT((Inputs!$C$5:$C$190=$B8)*Inputs!$D$5:$D$190*(((Inputs!$G$5:$G$190="moeda")+(Inputs!$G$5:$G$190="acoes"))*Inputs!$B$1+((Inputs!$G$5:$G$190&lt;&gt;"moeda")*(Inputs!$G$5:$G$190&lt;&gt;"acoes")))*INDEX(Inputs!$K$5:$AJ$190,0,MATCH(N$2,Inputs!$K$4:$AJ$4,0)))+SUMPRODUCT((Inputs!$E$5:$E$190=$B8)*Inputs!$F$5:$F$190*(((Inputs!$G$5:$G$190="moeda")+(Inputs!$G$5:$G$190="acoes"))*Inputs!$B$1+((Inputs!$G$5:$G$190&lt;&gt;"moeda")*(Inputs!$G$5:$G$190&lt;&gt;"acoes")))*INDEX(Inputs!$K$5:$AJ$190,0,MATCH(N$2,Inputs!$K$4:$AJ$4,0)))))</f>
        <v>-1648.827</v>
      </c>
      <c r="O8" s="6">
        <f>IF(ISNA(MATCH(O$2,Inputs!$K$4:$AJ$4,0)),NA(),IF(SUMPRODUCT((Inputs!$A$5:$A$190=$B8)*ISNUMBER(INDEX(Inputs!$K$5:$AJ$190,0,MATCH(O$2,Inputs!$K$4:$AJ$4,0))))+SUMPRODUCT((Inputs!$C$5:$C$190=$B8)*ISNUMBER(INDEX(Inputs!$K$5:$AJ$190,0,MATCH(O$2,Inputs!$K$4:$AJ$4,0))))+SUMPRODUCT((Inputs!$E$5:$E$190=$B8)*ISNUMBER(INDEX(Inputs!$K$5:$AJ$190,0,MATCH(O$2,Inputs!$K$4:$AJ$4,0))))=0,NA(),SUMPRODUCT((Inputs!$A$5:$A$190=$B8)*Inputs!$B$5:$B$190*(((Inputs!$G$5:$G$190="moeda")+(Inputs!$G$5:$G$190="acoes"))*Inputs!$B$1+((Inputs!$G$5:$G$190&lt;&gt;"moeda")*(Inputs!$G$5:$G$190&lt;&gt;"acoes")))*INDEX(Inputs!$K$5:$AJ$190,0,MATCH(O$2,Inputs!$K$4:$AJ$4,0)))+SUMPRODUCT((Inputs!$C$5:$C$190=$B8)*Inputs!$D$5:$D$190*(((Inputs!$G$5:$G$190="moeda")+(Inputs!$G$5:$G$190="acoes"))*Inputs!$B$1+((Inputs!$G$5:$G$190&lt;&gt;"moeda")*(Inputs!$G$5:$G$190&lt;&gt;"acoes")))*INDEX(Inputs!$K$5:$AJ$190,0,MATCH(O$2,Inputs!$K$4:$AJ$4,0)))+SUMPRODUCT((Inputs!$E$5:$E$190=$B8)*Inputs!$F$5:$F$190*(((Inputs!$G$5:$G$190="moeda")+(Inputs!$G$5:$G$190="acoes"))*Inputs!$B$1+((Inputs!$G$5:$G$190&lt;&gt;"moeda")*(Inputs!$G$5:$G$190&lt;&gt;"acoes")))*INDEX(Inputs!$K$5:$AJ$190,0,MATCH(O$2,Inputs!$K$4:$AJ$4,0)))))</f>
        <v>-1664.541</v>
      </c>
      <c r="P8" s="6">
        <f>IF(ISNA(MATCH(P$2,Inputs!$K$4:$AJ$4,0)),NA(),IF(SUMPRODUCT((Inputs!$A$5:$A$190=$B8)*ISNUMBER(INDEX(Inputs!$K$5:$AJ$190,0,MATCH(P$2,Inputs!$K$4:$AJ$4,0))))+SUMPRODUCT((Inputs!$C$5:$C$190=$B8)*ISNUMBER(INDEX(Inputs!$K$5:$AJ$190,0,MATCH(P$2,Inputs!$K$4:$AJ$4,0))))+SUMPRODUCT((Inputs!$E$5:$E$190=$B8)*ISNUMBER(INDEX(Inputs!$K$5:$AJ$190,0,MATCH(P$2,Inputs!$K$4:$AJ$4,0))))=0,NA(),SUMPRODUCT((Inputs!$A$5:$A$190=$B8)*Inputs!$B$5:$B$190*(((Inputs!$G$5:$G$190="moeda")+(Inputs!$G$5:$G$190="acoes"))*Inputs!$B$1+((Inputs!$G$5:$G$190&lt;&gt;"moeda")*(Inputs!$G$5:$G$190&lt;&gt;"acoes")))*INDEX(Inputs!$K$5:$AJ$190,0,MATCH(P$2,Inputs!$K$4:$AJ$4,0)))+SUMPRODUCT((Inputs!$C$5:$C$190=$B8)*Inputs!$D$5:$D$190*(((Inputs!$G$5:$G$190="moeda")+(Inputs!$G$5:$G$190="acoes"))*Inputs!$B$1+((Inputs!$G$5:$G$190&lt;&gt;"moeda")*(Inputs!$G$5:$G$190&lt;&gt;"acoes")))*INDEX(Inputs!$K$5:$AJ$190,0,MATCH(P$2,Inputs!$K$4:$AJ$4,0)))+SUMPRODUCT((Inputs!$E$5:$E$190=$B8)*Inputs!$F$5:$F$190*(((Inputs!$G$5:$G$190="moeda")+(Inputs!$G$5:$G$190="acoes"))*Inputs!$B$1+((Inputs!$G$5:$G$190&lt;&gt;"moeda")*(Inputs!$G$5:$G$190&lt;&gt;"acoes")))*INDEX(Inputs!$K$5:$AJ$190,0,MATCH(P$2,Inputs!$K$4:$AJ$4,0)))))</f>
        <v>-1877.077</v>
      </c>
      <c r="Q8" s="6">
        <f>IF(ISNA(MATCH(Q$2,Inputs!$K$4:$AJ$4,0)),NA(),IF(SUMPRODUCT((Inputs!$A$5:$A$190=$B8)*ISNUMBER(INDEX(Inputs!$K$5:$AJ$190,0,MATCH(Q$2,Inputs!$K$4:$AJ$4,0))))+SUMPRODUCT((Inputs!$C$5:$C$190=$B8)*ISNUMBER(INDEX(Inputs!$K$5:$AJ$190,0,MATCH(Q$2,Inputs!$K$4:$AJ$4,0))))+SUMPRODUCT((Inputs!$E$5:$E$190=$B8)*ISNUMBER(INDEX(Inputs!$K$5:$AJ$190,0,MATCH(Q$2,Inputs!$K$4:$AJ$4,0))))=0,NA(),SUMPRODUCT((Inputs!$A$5:$A$190=$B8)*Inputs!$B$5:$B$190*(((Inputs!$G$5:$G$190="moeda")+(Inputs!$G$5:$G$190="acoes"))*Inputs!$B$1+((Inputs!$G$5:$G$190&lt;&gt;"moeda")*(Inputs!$G$5:$G$190&lt;&gt;"acoes")))*INDEX(Inputs!$K$5:$AJ$190,0,MATCH(Q$2,Inputs!$K$4:$AJ$4,0)))+SUMPRODUCT((Inputs!$C$5:$C$190=$B8)*Inputs!$D$5:$D$190*(((Inputs!$G$5:$G$190="moeda")+(Inputs!$G$5:$G$190="acoes"))*Inputs!$B$1+((Inputs!$G$5:$G$190&lt;&gt;"moeda")*(Inputs!$G$5:$G$190&lt;&gt;"acoes")))*INDEX(Inputs!$K$5:$AJ$190,0,MATCH(Q$2,Inputs!$K$4:$AJ$4,0)))+SUMPRODUCT((Inputs!$E$5:$E$190=$B8)*Inputs!$F$5:$F$190*(((Inputs!$G$5:$G$190="moeda")+(Inputs!$G$5:$G$190="acoes"))*Inputs!$B$1+((Inputs!$G$5:$G$190&lt;&gt;"moeda")*(Inputs!$G$5:$G$190&lt;&gt;"acoes")))*INDEX(Inputs!$K$5:$AJ$190,0,MATCH(Q$2,Inputs!$K$4:$AJ$4,0)))))</f>
        <v>-1840.783</v>
      </c>
      <c r="R8" s="3">
        <f>SUM(N8:Q8)</f>
        <v>-7031.228</v>
      </c>
      <c r="S8" s="6">
        <f>IF(ISNA(MATCH(S$2,Inputs!$K$4:$AJ$4,0)),NA(),IF(SUMPRODUCT((Inputs!$A$5:$A$190=$B8)*ISNUMBER(INDEX(Inputs!$K$5:$AJ$190,0,MATCH(S$2,Inputs!$K$4:$AJ$4,0))))+SUMPRODUCT((Inputs!$C$5:$C$190=$B8)*ISNUMBER(INDEX(Inputs!$K$5:$AJ$190,0,MATCH(S$2,Inputs!$K$4:$AJ$4,0))))+SUMPRODUCT((Inputs!$E$5:$E$190=$B8)*ISNUMBER(INDEX(Inputs!$K$5:$AJ$190,0,MATCH(S$2,Inputs!$K$4:$AJ$4,0))))=0,NA(),SUMPRODUCT((Inputs!$A$5:$A$190=$B8)*Inputs!$B$5:$B$190*(((Inputs!$G$5:$G$190="moeda")+(Inputs!$G$5:$G$190="acoes"))*Inputs!$B$1+((Inputs!$G$5:$G$190&lt;&gt;"moeda")*(Inputs!$G$5:$G$190&lt;&gt;"acoes")))*INDEX(Inputs!$K$5:$AJ$190,0,MATCH(S$2,Inputs!$K$4:$AJ$4,0)))+SUMPRODUCT((Inputs!$C$5:$C$190=$B8)*Inputs!$D$5:$D$190*(((Inputs!$G$5:$G$190="moeda")+(Inputs!$G$5:$G$190="acoes"))*Inputs!$B$1+((Inputs!$G$5:$G$190&lt;&gt;"moeda")*(Inputs!$G$5:$G$190&lt;&gt;"acoes")))*INDEX(Inputs!$K$5:$AJ$190,0,MATCH(S$2,Inputs!$K$4:$AJ$4,0)))+SUMPRODUCT((Inputs!$E$5:$E$190=$B8)*Inputs!$F$5:$F$190*(((Inputs!$G$5:$G$190="moeda")+(Inputs!$G$5:$G$190="acoes"))*Inputs!$B$1+((Inputs!$G$5:$G$190&lt;&gt;"moeda")*(Inputs!$G$5:$G$190&lt;&gt;"acoes")))*INDEX(Inputs!$K$5:$AJ$190,0,MATCH(S$2,Inputs!$K$4:$AJ$4,0)))))</f>
        <v>-1808.78418443</v>
      </c>
      <c r="T8" s="6">
        <f>IF(ISNA(MATCH(T$2,Inputs!$K$4:$AJ$4,0)),NA(),IF(SUMPRODUCT((Inputs!$A$5:$A$190=$B8)*ISNUMBER(INDEX(Inputs!$K$5:$AJ$190,0,MATCH(T$2,Inputs!$K$4:$AJ$4,0))))+SUMPRODUCT((Inputs!$C$5:$C$190=$B8)*ISNUMBER(INDEX(Inputs!$K$5:$AJ$190,0,MATCH(T$2,Inputs!$K$4:$AJ$4,0))))+SUMPRODUCT((Inputs!$E$5:$E$190=$B8)*ISNUMBER(INDEX(Inputs!$K$5:$AJ$190,0,MATCH(T$2,Inputs!$K$4:$AJ$4,0))))=0,NA(),SUMPRODUCT((Inputs!$A$5:$A$190=$B8)*Inputs!$B$5:$B$190*(((Inputs!$G$5:$G$190="moeda")+(Inputs!$G$5:$G$190="acoes"))*Inputs!$B$1+((Inputs!$G$5:$G$190&lt;&gt;"moeda")*(Inputs!$G$5:$G$190&lt;&gt;"acoes")))*INDEX(Inputs!$K$5:$AJ$190,0,MATCH(T$2,Inputs!$K$4:$AJ$4,0)))+SUMPRODUCT((Inputs!$C$5:$C$190=$B8)*Inputs!$D$5:$D$190*(((Inputs!$G$5:$G$190="moeda")+(Inputs!$G$5:$G$190="acoes"))*Inputs!$B$1+((Inputs!$G$5:$G$190&lt;&gt;"moeda")*(Inputs!$G$5:$G$190&lt;&gt;"acoes")))*INDEX(Inputs!$K$5:$AJ$190,0,MATCH(T$2,Inputs!$K$4:$AJ$4,0)))+SUMPRODUCT((Inputs!$E$5:$E$190=$B8)*Inputs!$F$5:$F$190*(((Inputs!$G$5:$G$190="moeda")+(Inputs!$G$5:$G$190="acoes"))*Inputs!$B$1+((Inputs!$G$5:$G$190&lt;&gt;"moeda")*(Inputs!$G$5:$G$190&lt;&gt;"acoes")))*INDEX(Inputs!$K$5:$AJ$190,0,MATCH(T$2,Inputs!$K$4:$AJ$4,0)))))</f>
        <v>-1862.35669101</v>
      </c>
      <c r="U8" s="6">
        <f>IF(ISNA(MATCH(U$2,Inputs!$K$4:$AJ$4,0)),NA(),IF(SUMPRODUCT((Inputs!$A$5:$A$190=$B8)*ISNUMBER(INDEX(Inputs!$K$5:$AJ$190,0,MATCH(U$2,Inputs!$K$4:$AJ$4,0))))+SUMPRODUCT((Inputs!$C$5:$C$190=$B8)*ISNUMBER(INDEX(Inputs!$K$5:$AJ$190,0,MATCH(U$2,Inputs!$K$4:$AJ$4,0))))+SUMPRODUCT((Inputs!$E$5:$E$190=$B8)*ISNUMBER(INDEX(Inputs!$K$5:$AJ$190,0,MATCH(U$2,Inputs!$K$4:$AJ$4,0))))=0,NA(),SUMPRODUCT((Inputs!$A$5:$A$190=$B8)*Inputs!$B$5:$B$190*(((Inputs!$G$5:$G$190="moeda")+(Inputs!$G$5:$G$190="acoes"))*Inputs!$B$1+((Inputs!$G$5:$G$190&lt;&gt;"moeda")*(Inputs!$G$5:$G$190&lt;&gt;"acoes")))*INDEX(Inputs!$K$5:$AJ$190,0,MATCH(U$2,Inputs!$K$4:$AJ$4,0)))+SUMPRODUCT((Inputs!$C$5:$C$190=$B8)*Inputs!$D$5:$D$190*(((Inputs!$G$5:$G$190="moeda")+(Inputs!$G$5:$G$190="acoes"))*Inputs!$B$1+((Inputs!$G$5:$G$190&lt;&gt;"moeda")*(Inputs!$G$5:$G$190&lt;&gt;"acoes")))*INDEX(Inputs!$K$5:$AJ$190,0,MATCH(U$2,Inputs!$K$4:$AJ$4,0)))+SUMPRODUCT((Inputs!$E$5:$E$190=$B8)*Inputs!$F$5:$F$190*(((Inputs!$G$5:$G$190="moeda")+(Inputs!$G$5:$G$190="acoes"))*Inputs!$B$1+((Inputs!$G$5:$G$190&lt;&gt;"moeda")*(Inputs!$G$5:$G$190&lt;&gt;"acoes")))*INDEX(Inputs!$K$5:$AJ$190,0,MATCH(U$2,Inputs!$K$4:$AJ$4,0)))))</f>
        <v>-1990.90045149</v>
      </c>
      <c r="V8" s="6">
        <f>IF(ISNA(MATCH(V$2,Inputs!$K$4:$AJ$4,0)),NA(),IF(SUMPRODUCT((Inputs!$A$5:$A$190=$B8)*ISNUMBER(INDEX(Inputs!$K$5:$AJ$190,0,MATCH(V$2,Inputs!$K$4:$AJ$4,0))))+SUMPRODUCT((Inputs!$C$5:$C$190=$B8)*ISNUMBER(INDEX(Inputs!$K$5:$AJ$190,0,MATCH(V$2,Inputs!$K$4:$AJ$4,0))))+SUMPRODUCT((Inputs!$E$5:$E$190=$B8)*ISNUMBER(INDEX(Inputs!$K$5:$AJ$190,0,MATCH(V$2,Inputs!$K$4:$AJ$4,0))))=0,NA(),SUMPRODUCT((Inputs!$A$5:$A$190=$B8)*Inputs!$B$5:$B$190*(((Inputs!$G$5:$G$190="moeda")+(Inputs!$G$5:$G$190="acoes"))*Inputs!$B$1+((Inputs!$G$5:$G$190&lt;&gt;"moeda")*(Inputs!$G$5:$G$190&lt;&gt;"acoes")))*INDEX(Inputs!$K$5:$AJ$190,0,MATCH(V$2,Inputs!$K$4:$AJ$4,0)))+SUMPRODUCT((Inputs!$C$5:$C$190=$B8)*Inputs!$D$5:$D$190*(((Inputs!$G$5:$G$190="moeda")+(Inputs!$G$5:$G$190="acoes"))*Inputs!$B$1+((Inputs!$G$5:$G$190&lt;&gt;"moeda")*(Inputs!$G$5:$G$190&lt;&gt;"acoes")))*INDEX(Inputs!$K$5:$AJ$190,0,MATCH(V$2,Inputs!$K$4:$AJ$4,0)))+SUMPRODUCT((Inputs!$E$5:$E$190=$B8)*Inputs!$F$5:$F$190*(((Inputs!$G$5:$G$190="moeda")+(Inputs!$G$5:$G$190="acoes"))*Inputs!$B$1+((Inputs!$G$5:$G$190&lt;&gt;"moeda")*(Inputs!$G$5:$G$190&lt;&gt;"acoes")))*INDEX(Inputs!$K$5:$AJ$190,0,MATCH(V$2,Inputs!$K$4:$AJ$4,0)))))</f>
        <v>-2181.35818543</v>
      </c>
      <c r="W8" s="3">
        <f>SUM(S8:V8)</f>
        <v>-7843.39951236</v>
      </c>
      <c r="X8" s="6">
        <f>IF(ISNA(MATCH(X$2,Inputs!$K$4:$AJ$4,0)),NA(),IF(SUMPRODUCT((Inputs!$A$5:$A$190=$B8)*ISNUMBER(INDEX(Inputs!$K$5:$AJ$190,0,MATCH(X$2,Inputs!$K$4:$AJ$4,0))))+SUMPRODUCT((Inputs!$C$5:$C$190=$B8)*ISNUMBER(INDEX(Inputs!$K$5:$AJ$190,0,MATCH(X$2,Inputs!$K$4:$AJ$4,0))))+SUMPRODUCT((Inputs!$E$5:$E$190=$B8)*ISNUMBER(INDEX(Inputs!$K$5:$AJ$190,0,MATCH(X$2,Inputs!$K$4:$AJ$4,0))))=0,NA(),SUMPRODUCT((Inputs!$A$5:$A$190=$B8)*Inputs!$B$5:$B$190*(((Inputs!$G$5:$G$190="moeda")+(Inputs!$G$5:$G$190="acoes"))*Inputs!$B$1+((Inputs!$G$5:$G$190&lt;&gt;"moeda")*(Inputs!$G$5:$G$190&lt;&gt;"acoes")))*INDEX(Inputs!$K$5:$AJ$190,0,MATCH(X$2,Inputs!$K$4:$AJ$4,0)))+SUMPRODUCT((Inputs!$C$5:$C$190=$B8)*Inputs!$D$5:$D$190*(((Inputs!$G$5:$G$190="moeda")+(Inputs!$G$5:$G$190="acoes"))*Inputs!$B$1+((Inputs!$G$5:$G$190&lt;&gt;"moeda")*(Inputs!$G$5:$G$190&lt;&gt;"acoes")))*INDEX(Inputs!$K$5:$AJ$190,0,MATCH(X$2,Inputs!$K$4:$AJ$4,0)))+SUMPRODUCT((Inputs!$E$5:$E$190=$B8)*Inputs!$F$5:$F$190*(((Inputs!$G$5:$G$190="moeda")+(Inputs!$G$5:$G$190="acoes"))*Inputs!$B$1+((Inputs!$G$5:$G$190&lt;&gt;"moeda")*(Inputs!$G$5:$G$190&lt;&gt;"acoes")))*INDEX(Inputs!$K$5:$AJ$190,0,MATCH(X$2,Inputs!$K$4:$AJ$4,0)))))</f>
        <v>-2235.645</v>
      </c>
      <c r="Y8" s="6">
        <f>IF(ISNA(MATCH(Y$2,Inputs!$K$4:$AJ$4,0)),NA(),IF(SUMPRODUCT((Inputs!$A$5:$A$190=$B8)*ISNUMBER(INDEX(Inputs!$K$5:$AJ$190,0,MATCH(Y$2,Inputs!$K$4:$AJ$4,0))))+SUMPRODUCT((Inputs!$C$5:$C$190=$B8)*ISNUMBER(INDEX(Inputs!$K$5:$AJ$190,0,MATCH(Y$2,Inputs!$K$4:$AJ$4,0))))+SUMPRODUCT((Inputs!$E$5:$E$190=$B8)*ISNUMBER(INDEX(Inputs!$K$5:$AJ$190,0,MATCH(Y$2,Inputs!$K$4:$AJ$4,0))))=0,NA(),SUMPRODUCT((Inputs!$A$5:$A$190=$B8)*Inputs!$B$5:$B$190*(((Inputs!$G$5:$G$190="moeda")+(Inputs!$G$5:$G$190="acoes"))*Inputs!$B$1+((Inputs!$G$5:$G$190&lt;&gt;"moeda")*(Inputs!$G$5:$G$190&lt;&gt;"acoes")))*INDEX(Inputs!$K$5:$AJ$190,0,MATCH(Y$2,Inputs!$K$4:$AJ$4,0)))+SUMPRODUCT((Inputs!$C$5:$C$190=$B8)*Inputs!$D$5:$D$190*(((Inputs!$G$5:$G$190="moeda")+(Inputs!$G$5:$G$190="acoes"))*Inputs!$B$1+((Inputs!$G$5:$G$190&lt;&gt;"moeda")*(Inputs!$G$5:$G$190&lt;&gt;"acoes")))*INDEX(Inputs!$K$5:$AJ$190,0,MATCH(Y$2,Inputs!$K$4:$AJ$4,0)))+SUMPRODUCT((Inputs!$E$5:$E$190=$B8)*Inputs!$F$5:$F$190*(((Inputs!$G$5:$G$190="moeda")+(Inputs!$G$5:$G$190="acoes"))*Inputs!$B$1+((Inputs!$G$5:$G$190&lt;&gt;"moeda")*(Inputs!$G$5:$G$190&lt;&gt;"acoes")))*INDEX(Inputs!$K$5:$AJ$190,0,MATCH(Y$2,Inputs!$K$4:$AJ$4,0)))))</f>
        <v>-2445.21</v>
      </c>
      <c r="Z8" s="6">
        <f>IF(ISNA(MATCH(Z$2,Inputs!$K$4:$AJ$4,0)),NA(),IF(SUMPRODUCT((Inputs!$A$5:$A$190=$B8)*ISNUMBER(INDEX(Inputs!$K$5:$AJ$190,0,MATCH(Z$2,Inputs!$K$4:$AJ$4,0))))+SUMPRODUCT((Inputs!$C$5:$C$190=$B8)*ISNUMBER(INDEX(Inputs!$K$5:$AJ$190,0,MATCH(Z$2,Inputs!$K$4:$AJ$4,0))))+SUMPRODUCT((Inputs!$E$5:$E$190=$B8)*ISNUMBER(INDEX(Inputs!$K$5:$AJ$190,0,MATCH(Z$2,Inputs!$K$4:$AJ$4,0))))=0,NA(),SUMPRODUCT((Inputs!$A$5:$A$190=$B8)*Inputs!$B$5:$B$190*(((Inputs!$G$5:$G$190="moeda")+(Inputs!$G$5:$G$190="acoes"))*Inputs!$B$1+((Inputs!$G$5:$G$190&lt;&gt;"moeda")*(Inputs!$G$5:$G$190&lt;&gt;"acoes")))*INDEX(Inputs!$K$5:$AJ$190,0,MATCH(Z$2,Inputs!$K$4:$AJ$4,0)))+SUMPRODUCT((Inputs!$C$5:$C$190=$B8)*Inputs!$D$5:$D$190*(((Inputs!$G$5:$G$190="moeda")+(Inputs!$G$5:$G$190="acoes"))*Inputs!$B$1+((Inputs!$G$5:$G$190&lt;&gt;"moeda")*(Inputs!$G$5:$G$190&lt;&gt;"acoes")))*INDEX(Inputs!$K$5:$AJ$190,0,MATCH(Z$2,Inputs!$K$4:$AJ$4,0)))+SUMPRODUCT((Inputs!$E$5:$E$190=$B8)*Inputs!$F$5:$F$190*(((Inputs!$G$5:$G$190="moeda")+(Inputs!$G$5:$G$190="acoes"))*Inputs!$B$1+((Inputs!$G$5:$G$190&lt;&gt;"moeda")*(Inputs!$G$5:$G$190&lt;&gt;"acoes")))*INDEX(Inputs!$K$5:$AJ$190,0,MATCH(Z$2,Inputs!$K$4:$AJ$4,0)))))</f>
        <v>-2633.139</v>
      </c>
      <c r="AA8" s="6">
        <f>IF(ISNA(MATCH(AA$2,Inputs!$K$4:$AJ$4,0)),NA(),IF(SUMPRODUCT((Inputs!$A$5:$A$190=$B8)*ISNUMBER(INDEX(Inputs!$K$5:$AJ$190,0,MATCH(AA$2,Inputs!$K$4:$AJ$4,0))))+SUMPRODUCT((Inputs!$C$5:$C$190=$B8)*ISNUMBER(INDEX(Inputs!$K$5:$AJ$190,0,MATCH(AA$2,Inputs!$K$4:$AJ$4,0))))+SUMPRODUCT((Inputs!$E$5:$E$190=$B8)*ISNUMBER(INDEX(Inputs!$K$5:$AJ$190,0,MATCH(AA$2,Inputs!$K$4:$AJ$4,0))))=0,NA(),SUMPRODUCT((Inputs!$A$5:$A$190=$B8)*Inputs!$B$5:$B$190*(((Inputs!$G$5:$G$190="moeda")+(Inputs!$G$5:$G$190="acoes"))*Inputs!$B$1+((Inputs!$G$5:$G$190&lt;&gt;"moeda")*(Inputs!$G$5:$G$190&lt;&gt;"acoes")))*INDEX(Inputs!$K$5:$AJ$190,0,MATCH(AA$2,Inputs!$K$4:$AJ$4,0)))+SUMPRODUCT((Inputs!$C$5:$C$190=$B8)*Inputs!$D$5:$D$190*(((Inputs!$G$5:$G$190="moeda")+(Inputs!$G$5:$G$190="acoes"))*Inputs!$B$1+((Inputs!$G$5:$G$190&lt;&gt;"moeda")*(Inputs!$G$5:$G$190&lt;&gt;"acoes")))*INDEX(Inputs!$K$5:$AJ$190,0,MATCH(AA$2,Inputs!$K$4:$AJ$4,0)))+SUMPRODUCT((Inputs!$E$5:$E$190=$B8)*Inputs!$F$5:$F$190*(((Inputs!$G$5:$G$190="moeda")+(Inputs!$G$5:$G$190="acoes"))*Inputs!$B$1+((Inputs!$G$5:$G$190&lt;&gt;"moeda")*(Inputs!$G$5:$G$190&lt;&gt;"acoes")))*INDEX(Inputs!$K$5:$AJ$190,0,MATCH(AA$2,Inputs!$K$4:$AJ$4,0)))))</f>
        <v>-2646.005</v>
      </c>
      <c r="AB8" s="3">
        <f>SUM(X8:AA8)</f>
        <v>-9959.999</v>
      </c>
      <c r="AC8" s="6">
        <f>IF(ISNA(MATCH(AC$2,Inputs!$K$4:$AJ$4,0)),NA(),IF(SUMPRODUCT((Inputs!$A$5:$A$190=$B8)*ISNUMBER(INDEX(Inputs!$K$5:$AJ$190,0,MATCH(AC$2,Inputs!$K$4:$AJ$4,0))))+SUMPRODUCT((Inputs!$C$5:$C$190=$B8)*ISNUMBER(INDEX(Inputs!$K$5:$AJ$190,0,MATCH(AC$2,Inputs!$K$4:$AJ$4,0))))+SUMPRODUCT((Inputs!$E$5:$E$190=$B8)*ISNUMBER(INDEX(Inputs!$K$5:$AJ$190,0,MATCH(AC$2,Inputs!$K$4:$AJ$4,0))))=0,NA(),SUMPRODUCT((Inputs!$A$5:$A$190=$B8)*Inputs!$B$5:$B$190*(((Inputs!$G$5:$G$190="moeda")+(Inputs!$G$5:$G$190="acoes"))*Inputs!$B$1+((Inputs!$G$5:$G$190&lt;&gt;"moeda")*(Inputs!$G$5:$G$190&lt;&gt;"acoes")))*INDEX(Inputs!$K$5:$AJ$190,0,MATCH(AC$2,Inputs!$K$4:$AJ$4,0)))+SUMPRODUCT((Inputs!$C$5:$C$190=$B8)*Inputs!$D$5:$D$190*(((Inputs!$G$5:$G$190="moeda")+(Inputs!$G$5:$G$190="acoes"))*Inputs!$B$1+((Inputs!$G$5:$G$190&lt;&gt;"moeda")*(Inputs!$G$5:$G$190&lt;&gt;"acoes")))*INDEX(Inputs!$K$5:$AJ$190,0,MATCH(AC$2,Inputs!$K$4:$AJ$4,0)))+SUMPRODUCT((Inputs!$E$5:$E$190=$B8)*Inputs!$F$5:$F$190*(((Inputs!$G$5:$G$190="moeda")+(Inputs!$G$5:$G$190="acoes"))*Inputs!$B$1+((Inputs!$G$5:$G$190&lt;&gt;"moeda")*(Inputs!$G$5:$G$190&lt;&gt;"acoes")))*INDEX(Inputs!$K$5:$AJ$190,0,MATCH(AC$2,Inputs!$K$4:$AJ$4,0)))))</f>
        <v>-2595.69</v>
      </c>
      <c r="AD8" s="6">
        <f>IF(ISNA(MATCH(AD$2,Inputs!$K$4:$AJ$4,0)),NA(),IF(SUMPRODUCT((Inputs!$A$5:$A$190=$B8)*ISNUMBER(INDEX(Inputs!$K$5:$AJ$190,0,MATCH(AD$2,Inputs!$K$4:$AJ$4,0))))+SUMPRODUCT((Inputs!$C$5:$C$190=$B8)*ISNUMBER(INDEX(Inputs!$K$5:$AJ$190,0,MATCH(AD$2,Inputs!$K$4:$AJ$4,0))))+SUMPRODUCT((Inputs!$E$5:$E$190=$B8)*ISNUMBER(INDEX(Inputs!$K$5:$AJ$190,0,MATCH(AD$2,Inputs!$K$4:$AJ$4,0))))=0,NA(),SUMPRODUCT((Inputs!$A$5:$A$190=$B8)*Inputs!$B$5:$B$190*(((Inputs!$G$5:$G$190="moeda")+(Inputs!$G$5:$G$190="acoes"))*Inputs!$B$1+((Inputs!$G$5:$G$190&lt;&gt;"moeda")*(Inputs!$G$5:$G$190&lt;&gt;"acoes")))*INDEX(Inputs!$K$5:$AJ$190,0,MATCH(AD$2,Inputs!$K$4:$AJ$4,0)))+SUMPRODUCT((Inputs!$C$5:$C$190=$B8)*Inputs!$D$5:$D$190*(((Inputs!$G$5:$G$190="moeda")+(Inputs!$G$5:$G$190="acoes"))*Inputs!$B$1+((Inputs!$G$5:$G$190&lt;&gt;"moeda")*(Inputs!$G$5:$G$190&lt;&gt;"acoes")))*INDEX(Inputs!$K$5:$AJ$190,0,MATCH(AD$2,Inputs!$K$4:$AJ$4,0)))+SUMPRODUCT((Inputs!$E$5:$E$190=$B8)*Inputs!$F$5:$F$190*(((Inputs!$G$5:$G$190="moeda")+(Inputs!$G$5:$G$190="acoes"))*Inputs!$B$1+((Inputs!$G$5:$G$190&lt;&gt;"moeda")*(Inputs!$G$5:$G$190&lt;&gt;"acoes")))*INDEX(Inputs!$K$5:$AJ$190,0,MATCH(AD$2,Inputs!$K$4:$AJ$4,0)))))</f>
        <v>-2958.432</v>
      </c>
      <c r="AE8" s="6" t="e">
        <f>IF(ISNA(MATCH(AE$2,Inputs!$K$4:$AJ$4,0)),NA(),IF(SUMPRODUCT((Inputs!$A$5:$A$190=$B8)*ISNUMBER(INDEX(Inputs!$K$5:$AJ$190,0,MATCH(AE$2,Inputs!$K$4:$AJ$4,0))))+SUMPRODUCT((Inputs!$C$5:$C$190=$B8)*ISNUMBER(INDEX(Inputs!$K$5:$AJ$190,0,MATCH(AE$2,Inputs!$K$4:$AJ$4,0))))+SUMPRODUCT((Inputs!$E$5:$E$190=$B8)*ISNUMBER(INDEX(Inputs!$K$5:$AJ$190,0,MATCH(AE$2,Inputs!$K$4:$AJ$4,0))))=0,NA(),SUMPRODUCT((Inputs!$A$5:$A$190=$B8)*Inputs!$B$5:$B$190*(((Inputs!$G$5:$G$190="moeda")+(Inputs!$G$5:$G$190="acoes"))*Inputs!$B$1+((Inputs!$G$5:$G$190&lt;&gt;"moeda")*(Inputs!$G$5:$G$190&lt;&gt;"acoes")))*INDEX(Inputs!$K$5:$AJ$190,0,MATCH(AE$2,Inputs!$K$4:$AJ$4,0)))+SUMPRODUCT((Inputs!$C$5:$C$190=$B8)*Inputs!$D$5:$D$190*(((Inputs!$G$5:$G$190="moeda")+(Inputs!$G$5:$G$190="acoes"))*Inputs!$B$1+((Inputs!$G$5:$G$190&lt;&gt;"moeda")*(Inputs!$G$5:$G$190&lt;&gt;"acoes")))*INDEX(Inputs!$K$5:$AJ$190,0,MATCH(AE$2,Inputs!$K$4:$AJ$4,0)))+SUMPRODUCT((Inputs!$E$5:$E$190=$B8)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8" s="6" t="e">
        <f>IF(ISNA(MATCH(AF$2,Inputs!$K$4:$AJ$4,0)),NA(),IF(SUMPRODUCT((Inputs!$A$5:$A$190=$B8)*ISNUMBER(INDEX(Inputs!$K$5:$AJ$190,0,MATCH(AF$2,Inputs!$K$4:$AJ$4,0))))+SUMPRODUCT((Inputs!$C$5:$C$190=$B8)*ISNUMBER(INDEX(Inputs!$K$5:$AJ$190,0,MATCH(AF$2,Inputs!$K$4:$AJ$4,0))))+SUMPRODUCT((Inputs!$E$5:$E$190=$B8)*ISNUMBER(INDEX(Inputs!$K$5:$AJ$190,0,MATCH(AF$2,Inputs!$K$4:$AJ$4,0))))=0,NA(),SUMPRODUCT((Inputs!$A$5:$A$190=$B8)*Inputs!$B$5:$B$190*(((Inputs!$G$5:$G$190="moeda")+(Inputs!$G$5:$G$190="acoes"))*Inputs!$B$1+((Inputs!$G$5:$G$190&lt;&gt;"moeda")*(Inputs!$G$5:$G$190&lt;&gt;"acoes")))*INDEX(Inputs!$K$5:$AJ$190,0,MATCH(AF$2,Inputs!$K$4:$AJ$4,0)))+SUMPRODUCT((Inputs!$C$5:$C$190=$B8)*Inputs!$D$5:$D$190*(((Inputs!$G$5:$G$190="moeda")+(Inputs!$G$5:$G$190="acoes"))*Inputs!$B$1+((Inputs!$G$5:$G$190&lt;&gt;"moeda")*(Inputs!$G$5:$G$190&lt;&gt;"acoes")))*INDEX(Inputs!$K$5:$AJ$190,0,MATCH(AF$2,Inputs!$K$4:$AJ$4,0)))+SUMPRODUCT((Inputs!$E$5:$E$190=$B8)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8" s="3" t="e">
        <f>SUM(AC8:AF8)</f>
        <v>#N/A</v>
      </c>
      <c r="AH8" s="6">
        <f>IF(ISNA(MATCH(AH$2,Inputs!$K$4:$AJ$4,0)),NA(),IF(SUMPRODUCT((Inputs!$A$5:$A$190=$B8)*ISNUMBER(INDEX(Inputs!$K$5:$AJ$190,0,MATCH(AH$2,Inputs!$K$4:$AJ$4,0))))+SUMPRODUCT((Inputs!$C$5:$C$190=$B8)*ISNUMBER(INDEX(Inputs!$K$5:$AJ$190,0,MATCH(AH$2,Inputs!$K$4:$AJ$4,0))))+SUMPRODUCT((Inputs!$E$5:$E$190=$B8)*ISNUMBER(INDEX(Inputs!$K$5:$AJ$190,0,MATCH(AH$2,Inputs!$K$4:$AJ$4,0))))=0,NA(),SUMPRODUCT((Inputs!$A$5:$A$190=$B8)*Inputs!$B$5:$B$190*(((Inputs!$G$5:$G$190="moeda")+(Inputs!$G$5:$G$190="acoes"))*Inputs!$B$1+((Inputs!$G$5:$G$190&lt;&gt;"moeda")*(Inputs!$G$5:$G$190&lt;&gt;"acoes")))*INDEX(Inputs!$K$5:$AJ$190,0,MATCH(AH$2,Inputs!$K$4:$AJ$4,0)))+SUMPRODUCT((Inputs!$C$5:$C$190=$B8)*Inputs!$D$5:$D$190*(((Inputs!$G$5:$G$190="moeda")+(Inputs!$G$5:$G$190="acoes"))*Inputs!$B$1+((Inputs!$G$5:$G$190&lt;&gt;"moeda")*(Inputs!$G$5:$G$190&lt;&gt;"acoes")))*INDEX(Inputs!$K$5:$AJ$190,0,MATCH(AH$2,Inputs!$K$4:$AJ$4,0)))+SUMPRODUCT((Inputs!$E$5:$E$190=$B8)*Inputs!$F$5:$F$190*(((Inputs!$G$5:$G$190="moeda")+(Inputs!$G$5:$G$190="acoes"))*Inputs!$B$1+((Inputs!$G$5:$G$190&lt;&gt;"moeda")*(Inputs!$G$5:$G$190&lt;&gt;"acoes")))*INDEX(Inputs!$K$5:$AJ$190,0,MATCH(AH$2,Inputs!$K$4:$AJ$4,0)))))</f>
        <v>-372.69143663</v>
      </c>
      <c r="AI8" s="6">
        <f>IF(ISNA(MATCH(AI$2,Inputs!$K$4:$AJ$4,0)),NA(),IF(SUMPRODUCT((Inputs!$A$5:$A$190=$B8)*ISNUMBER(INDEX(Inputs!$K$5:$AJ$190,0,MATCH(AI$2,Inputs!$K$4:$AJ$4,0))))+SUMPRODUCT((Inputs!$C$5:$C$190=$B8)*ISNUMBER(INDEX(Inputs!$K$5:$AJ$190,0,MATCH(AI$2,Inputs!$K$4:$AJ$4,0))))+SUMPRODUCT((Inputs!$E$5:$E$190=$B8)*ISNUMBER(INDEX(Inputs!$K$5:$AJ$190,0,MATCH(AI$2,Inputs!$K$4:$AJ$4,0))))=0,NA(),SUMPRODUCT((Inputs!$A$5:$A$190=$B8)*Inputs!$B$5:$B$190*(((Inputs!$G$5:$G$190="moeda")+(Inputs!$G$5:$G$190="acoes"))*Inputs!$B$1+((Inputs!$G$5:$G$190&lt;&gt;"moeda")*(Inputs!$G$5:$G$190&lt;&gt;"acoes")))*INDEX(Inputs!$K$5:$AJ$190,0,MATCH(AI$2,Inputs!$K$4:$AJ$4,0)))+SUMPRODUCT((Inputs!$C$5:$C$190=$B8)*Inputs!$D$5:$D$190*(((Inputs!$G$5:$G$190="moeda")+(Inputs!$G$5:$G$190="acoes"))*Inputs!$B$1+((Inputs!$G$5:$G$190&lt;&gt;"moeda")*(Inputs!$G$5:$G$190&lt;&gt;"acoes")))*INDEX(Inputs!$K$5:$AJ$190,0,MATCH(AI$2,Inputs!$K$4:$AJ$4,0)))+SUMPRODUCT((Inputs!$E$5:$E$190=$B8)*Inputs!$F$5:$F$190*(((Inputs!$G$5:$G$190="moeda")+(Inputs!$G$5:$G$190="acoes"))*Inputs!$B$1+((Inputs!$G$5:$G$190&lt;&gt;"moeda")*(Inputs!$G$5:$G$190&lt;&gt;"acoes")))*INDEX(Inputs!$K$5:$AJ$190,0,MATCH(AI$2,Inputs!$K$4:$AJ$4,0)))))</f>
        <v>-154.39356281</v>
      </c>
      <c r="AJ8" s="6">
        <f>IF(ISNA(MATCH(AJ$2,Inputs!$K$4:$AJ$4,0)),NA(),IF(SUMPRODUCT((Inputs!$A$5:$A$190=$B8)*ISNUMBER(INDEX(Inputs!$K$5:$AJ$190,0,MATCH(AJ$2,Inputs!$K$4:$AJ$4,0))))+SUMPRODUCT((Inputs!$C$5:$C$190=$B8)*ISNUMBER(INDEX(Inputs!$K$5:$AJ$190,0,MATCH(AJ$2,Inputs!$K$4:$AJ$4,0))))+SUMPRODUCT((Inputs!$E$5:$E$190=$B8)*ISNUMBER(INDEX(Inputs!$K$5:$AJ$190,0,MATCH(AJ$2,Inputs!$K$4:$AJ$4,0))))=0,NA(),SUMPRODUCT((Inputs!$A$5:$A$190=$B8)*Inputs!$B$5:$B$190*(((Inputs!$G$5:$G$190="moeda")+(Inputs!$G$5:$G$190="acoes"))*Inputs!$B$1+((Inputs!$G$5:$G$190&lt;&gt;"moeda")*(Inputs!$G$5:$G$190&lt;&gt;"acoes")))*INDEX(Inputs!$K$5:$AJ$190,0,MATCH(AJ$2,Inputs!$K$4:$AJ$4,0)))+SUMPRODUCT((Inputs!$C$5:$C$190=$B8)*Inputs!$D$5:$D$190*(((Inputs!$G$5:$G$190="moeda")+(Inputs!$G$5:$G$190="acoes"))*Inputs!$B$1+((Inputs!$G$5:$G$190&lt;&gt;"moeda")*(Inputs!$G$5:$G$190&lt;&gt;"acoes")))*INDEX(Inputs!$K$5:$AJ$190,0,MATCH(AJ$2,Inputs!$K$4:$AJ$4,0)))+SUMPRODUCT((Inputs!$E$5:$E$190=$B8)*Inputs!$F$5:$F$190*(((Inputs!$G$5:$G$190="moeda")+(Inputs!$G$5:$G$190="acoes"))*Inputs!$B$1+((Inputs!$G$5:$G$190&lt;&gt;"moeda")*(Inputs!$G$5:$G$190&lt;&gt;"acoes")))*INDEX(Inputs!$K$5:$AJ$190,0,MATCH(AJ$2,Inputs!$K$4:$AJ$4,0)))))</f>
        <v>-261.24800056</v>
      </c>
      <c r="AK8" s="6">
        <f>IF(ISNA(MATCH(AK$2,Inputs!$K$4:$AJ$4,0)),NA(),IF(SUMPRODUCT((Inputs!$A$5:$A$190=$B8)*ISNUMBER(INDEX(Inputs!$K$5:$AJ$190,0,MATCH(AK$2,Inputs!$K$4:$AJ$4,0))))+SUMPRODUCT((Inputs!$C$5:$C$190=$B8)*ISNUMBER(INDEX(Inputs!$K$5:$AJ$190,0,MATCH(AK$2,Inputs!$K$4:$AJ$4,0))))+SUMPRODUCT((Inputs!$E$5:$E$190=$B8)*ISNUMBER(INDEX(Inputs!$K$5:$AJ$190,0,MATCH(AK$2,Inputs!$K$4:$AJ$4,0))))=0,NA(),SUMPRODUCT((Inputs!$A$5:$A$190=$B8)*Inputs!$B$5:$B$190*(((Inputs!$G$5:$G$190="moeda")+(Inputs!$G$5:$G$190="acoes"))*Inputs!$B$1+((Inputs!$G$5:$G$190&lt;&gt;"moeda")*(Inputs!$G$5:$G$190&lt;&gt;"acoes")))*INDEX(Inputs!$K$5:$AJ$190,0,MATCH(AK$2,Inputs!$K$4:$AJ$4,0)))+SUMPRODUCT((Inputs!$C$5:$C$190=$B8)*Inputs!$D$5:$D$190*(((Inputs!$G$5:$G$190="moeda")+(Inputs!$G$5:$G$190="acoes"))*Inputs!$B$1+((Inputs!$G$5:$G$190&lt;&gt;"moeda")*(Inputs!$G$5:$G$190&lt;&gt;"acoes")))*INDEX(Inputs!$K$5:$AJ$190,0,MATCH(AK$2,Inputs!$K$4:$AJ$4,0)))+SUMPRODUCT((Inputs!$E$5:$E$190=$B8)*Inputs!$F$5:$F$190*(((Inputs!$G$5:$G$190="moeda")+(Inputs!$G$5:$G$190="acoes"))*Inputs!$B$1+((Inputs!$G$5:$G$190&lt;&gt;"moeda")*(Inputs!$G$5:$G$190&lt;&gt;"acoes")))*INDEX(Inputs!$K$5:$AJ$190,0,MATCH(AK$2,Inputs!$K$4:$AJ$4,0)))))</f>
        <v>-265.869252565217</v>
      </c>
      <c r="AL8" s="3">
        <f>SUM(AH8:AK8)</f>
        <v>-1054.20225256522</v>
      </c>
    </row>
    <row r="9">
      <c r="B9" s="46" t="n">
        <v>6</v>
      </c>
      <c r="C9" s="26" t="inlineStr">
        <is>
          <t>Nonoperating Income / (Loss)</t>
        </is>
      </c>
      <c r="D9" s="6">
        <f>IF(ISNA(MATCH(D$2,Inputs!$K$4:$AJ$4,0)),NA(),IF(SUMPRODUCT((Inputs!$A$5:$A$190=$B9)*ISNUMBER(INDEX(Inputs!$K$5:$AJ$190,0,MATCH(D$2,Inputs!$K$4:$AJ$4,0))))+SUMPRODUCT((Inputs!$C$5:$C$190=$B9)*ISNUMBER(INDEX(Inputs!$K$5:$AJ$190,0,MATCH(D$2,Inputs!$K$4:$AJ$4,0))))+SUMPRODUCT((Inputs!$E$5:$E$190=$B9)*ISNUMBER(INDEX(Inputs!$K$5:$AJ$190,0,MATCH(D$2,Inputs!$K$4:$AJ$4,0))))=0,NA(),SUMPRODUCT((Inputs!$A$5:$A$190=$B9)*Inputs!$B$5:$B$190*(((Inputs!$G$5:$G$190="moeda")+(Inputs!$G$5:$G$190="acoes"))*Inputs!$B$1+((Inputs!$G$5:$G$190&lt;&gt;"moeda")*(Inputs!$G$5:$G$190&lt;&gt;"acoes")))*INDEX(Inputs!$K$5:$AJ$190,0,MATCH(D$2,Inputs!$K$4:$AJ$4,0)))+SUMPRODUCT((Inputs!$C$5:$C$190=$B9)*Inputs!$D$5:$D$190*(((Inputs!$G$5:$G$190="moeda")+(Inputs!$G$5:$G$190="acoes"))*Inputs!$B$1+((Inputs!$G$5:$G$190&lt;&gt;"moeda")*(Inputs!$G$5:$G$190&lt;&gt;"acoes")))*INDEX(Inputs!$K$5:$AJ$190,0,MATCH(D$2,Inputs!$K$4:$AJ$4,0)))+SUMPRODUCT((Inputs!$E$5:$E$190=$B9)*Inputs!$F$5:$F$190*(((Inputs!$G$5:$G$190="moeda")+(Inputs!$G$5:$G$190="acoes"))*Inputs!$B$1+((Inputs!$G$5:$G$190&lt;&gt;"moeda")*(Inputs!$G$5:$G$190&lt;&gt;"acoes")))*INDEX(Inputs!$K$5:$AJ$190,0,MATCH(D$2,Inputs!$K$4:$AJ$4,0)))))</f>
        <v>225.148916478836</v>
      </c>
      <c r="E9" s="6">
        <f>IF(ISNA(MATCH(E$2,Inputs!$K$4:$AJ$4,0)),NA(),IF(SUMPRODUCT((Inputs!$A$5:$A$190=$B9)*ISNUMBER(INDEX(Inputs!$K$5:$AJ$190,0,MATCH(E$2,Inputs!$K$4:$AJ$4,0))))+SUMPRODUCT((Inputs!$C$5:$C$190=$B9)*ISNUMBER(INDEX(Inputs!$K$5:$AJ$190,0,MATCH(E$2,Inputs!$K$4:$AJ$4,0))))+SUMPRODUCT((Inputs!$E$5:$E$190=$B9)*ISNUMBER(INDEX(Inputs!$K$5:$AJ$190,0,MATCH(E$2,Inputs!$K$4:$AJ$4,0))))=0,NA(),SUMPRODUCT((Inputs!$A$5:$A$190=$B9)*Inputs!$B$5:$B$190*(((Inputs!$G$5:$G$190="moeda")+(Inputs!$G$5:$G$190="acoes"))*Inputs!$B$1+((Inputs!$G$5:$G$190&lt;&gt;"moeda")*(Inputs!$G$5:$G$190&lt;&gt;"acoes")))*INDEX(Inputs!$K$5:$AJ$190,0,MATCH(E$2,Inputs!$K$4:$AJ$4,0)))+SUMPRODUCT((Inputs!$C$5:$C$190=$B9)*Inputs!$D$5:$D$190*(((Inputs!$G$5:$G$190="moeda")+(Inputs!$G$5:$G$190="acoes"))*Inputs!$B$1+((Inputs!$G$5:$G$190&lt;&gt;"moeda")*(Inputs!$G$5:$G$190&lt;&gt;"acoes")))*INDEX(Inputs!$K$5:$AJ$190,0,MATCH(E$2,Inputs!$K$4:$AJ$4,0)))+SUMPRODUCT((Inputs!$E$5:$E$190=$B9)*Inputs!$F$5:$F$190*(((Inputs!$G$5:$G$190="moeda")+(Inputs!$G$5:$G$190="acoes"))*Inputs!$B$1+((Inputs!$G$5:$G$190&lt;&gt;"moeda")*(Inputs!$G$5:$G$190&lt;&gt;"acoes")))*INDEX(Inputs!$K$5:$AJ$190,0,MATCH(E$2,Inputs!$K$4:$AJ$4,0)))))</f>
        <v>10.13128014</v>
      </c>
      <c r="F9" s="6">
        <f>IF(ISNA(MATCH(F$2,Inputs!$K$4:$AJ$4,0)),NA(),IF(SUMPRODUCT((Inputs!$A$5:$A$190=$B9)*ISNUMBER(INDEX(Inputs!$K$5:$AJ$190,0,MATCH(F$2,Inputs!$K$4:$AJ$4,0))))+SUMPRODUCT((Inputs!$C$5:$C$190=$B9)*ISNUMBER(INDEX(Inputs!$K$5:$AJ$190,0,MATCH(F$2,Inputs!$K$4:$AJ$4,0))))+SUMPRODUCT((Inputs!$E$5:$E$190=$B9)*ISNUMBER(INDEX(Inputs!$K$5:$AJ$190,0,MATCH(F$2,Inputs!$K$4:$AJ$4,0))))=0,NA(),SUMPRODUCT((Inputs!$A$5:$A$190=$B9)*Inputs!$B$5:$B$190*(((Inputs!$G$5:$G$190="moeda")+(Inputs!$G$5:$G$190="acoes"))*Inputs!$B$1+((Inputs!$G$5:$G$190&lt;&gt;"moeda")*(Inputs!$G$5:$G$190&lt;&gt;"acoes")))*INDEX(Inputs!$K$5:$AJ$190,0,MATCH(F$2,Inputs!$K$4:$AJ$4,0)))+SUMPRODUCT((Inputs!$C$5:$C$190=$B9)*Inputs!$D$5:$D$190*(((Inputs!$G$5:$G$190="moeda")+(Inputs!$G$5:$G$190="acoes"))*Inputs!$B$1+((Inputs!$G$5:$G$190&lt;&gt;"moeda")*(Inputs!$G$5:$G$190&lt;&gt;"acoes")))*INDEX(Inputs!$K$5:$AJ$190,0,MATCH(F$2,Inputs!$K$4:$AJ$4,0)))+SUMPRODUCT((Inputs!$E$5:$E$190=$B9)*Inputs!$F$5:$F$190*(((Inputs!$G$5:$G$190="moeda")+(Inputs!$G$5:$G$190="acoes"))*Inputs!$B$1+((Inputs!$G$5:$G$190&lt;&gt;"moeda")*(Inputs!$G$5:$G$190&lt;&gt;"acoes")))*INDEX(Inputs!$K$5:$AJ$190,0,MATCH(F$2,Inputs!$K$4:$AJ$4,0)))))</f>
        <v>210.230477917021</v>
      </c>
      <c r="G9" s="6">
        <f>IF(ISNA(MATCH(G$2,Inputs!$K$4:$AJ$4,0)),NA(),IF(SUMPRODUCT((Inputs!$A$5:$A$190=$B9)*ISNUMBER(INDEX(Inputs!$K$5:$AJ$190,0,MATCH(G$2,Inputs!$K$4:$AJ$4,0))))+SUMPRODUCT((Inputs!$C$5:$C$190=$B9)*ISNUMBER(INDEX(Inputs!$K$5:$AJ$190,0,MATCH(G$2,Inputs!$K$4:$AJ$4,0))))+SUMPRODUCT((Inputs!$E$5:$E$190=$B9)*ISNUMBER(INDEX(Inputs!$K$5:$AJ$190,0,MATCH(G$2,Inputs!$K$4:$AJ$4,0))))=0,NA(),SUMPRODUCT((Inputs!$A$5:$A$190=$B9)*Inputs!$B$5:$B$190*(((Inputs!$G$5:$G$190="moeda")+(Inputs!$G$5:$G$190="acoes"))*Inputs!$B$1+((Inputs!$G$5:$G$190&lt;&gt;"moeda")*(Inputs!$G$5:$G$190&lt;&gt;"acoes")))*INDEX(Inputs!$K$5:$AJ$190,0,MATCH(G$2,Inputs!$K$4:$AJ$4,0)))+SUMPRODUCT((Inputs!$C$5:$C$190=$B9)*Inputs!$D$5:$D$190*(((Inputs!$G$5:$G$190="moeda")+(Inputs!$G$5:$G$190="acoes"))*Inputs!$B$1+((Inputs!$G$5:$G$190&lt;&gt;"moeda")*(Inputs!$G$5:$G$190&lt;&gt;"acoes")))*INDEX(Inputs!$K$5:$AJ$190,0,MATCH(G$2,Inputs!$K$4:$AJ$4,0)))+SUMPRODUCT((Inputs!$E$5:$E$190=$B9)*Inputs!$F$5:$F$190*(((Inputs!$G$5:$G$190="moeda")+(Inputs!$G$5:$G$190="acoes"))*Inputs!$B$1+((Inputs!$G$5:$G$190&lt;&gt;"moeda")*(Inputs!$G$5:$G$190&lt;&gt;"acoes")))*INDEX(Inputs!$K$5:$AJ$190,0,MATCH(G$2,Inputs!$K$4:$AJ$4,0)))))</f>
        <v>290.851325464143</v>
      </c>
      <c r="H9" s="3">
        <f>SUM(D9:G9)</f>
        <v>736.362</v>
      </c>
      <c r="I9" s="6">
        <f>IF(ISNA(MATCH(I$2,Inputs!$K$4:$AJ$4,0)),NA(),IF(SUMPRODUCT((Inputs!$A$5:$A$190=$B9)*ISNUMBER(INDEX(Inputs!$K$5:$AJ$190,0,MATCH(I$2,Inputs!$K$4:$AJ$4,0))))+SUMPRODUCT((Inputs!$C$5:$C$190=$B9)*ISNUMBER(INDEX(Inputs!$K$5:$AJ$190,0,MATCH(I$2,Inputs!$K$4:$AJ$4,0))))+SUMPRODUCT((Inputs!$E$5:$E$190=$B9)*ISNUMBER(INDEX(Inputs!$K$5:$AJ$190,0,MATCH(I$2,Inputs!$K$4:$AJ$4,0))))=0,NA(),SUMPRODUCT((Inputs!$A$5:$A$190=$B9)*Inputs!$B$5:$B$190*(((Inputs!$G$5:$G$190="moeda")+(Inputs!$G$5:$G$190="acoes"))*Inputs!$B$1+((Inputs!$G$5:$G$190&lt;&gt;"moeda")*(Inputs!$G$5:$G$190&lt;&gt;"acoes")))*INDEX(Inputs!$K$5:$AJ$190,0,MATCH(I$2,Inputs!$K$4:$AJ$4,0)))+SUMPRODUCT((Inputs!$C$5:$C$190=$B9)*Inputs!$D$5:$D$190*(((Inputs!$G$5:$G$190="moeda")+(Inputs!$G$5:$G$190="acoes"))*Inputs!$B$1+((Inputs!$G$5:$G$190&lt;&gt;"moeda")*(Inputs!$G$5:$G$190&lt;&gt;"acoes")))*INDEX(Inputs!$K$5:$AJ$190,0,MATCH(I$2,Inputs!$K$4:$AJ$4,0)))+SUMPRODUCT((Inputs!$E$5:$E$190=$B9)*Inputs!$F$5:$F$190*(((Inputs!$G$5:$G$190="moeda")+(Inputs!$G$5:$G$190="acoes"))*Inputs!$B$1+((Inputs!$G$5:$G$190&lt;&gt;"moeda")*(Inputs!$G$5:$G$190&lt;&gt;"acoes")))*INDEX(Inputs!$K$5:$AJ$190,0,MATCH(I$2,Inputs!$K$4:$AJ$4,0)))))</f>
        <v>345.152</v>
      </c>
      <c r="J9" s="6">
        <f>IF(ISNA(MATCH(J$2,Inputs!$K$4:$AJ$4,0)),NA(),IF(SUMPRODUCT((Inputs!$A$5:$A$190=$B9)*ISNUMBER(INDEX(Inputs!$K$5:$AJ$190,0,MATCH(J$2,Inputs!$K$4:$AJ$4,0))))+SUMPRODUCT((Inputs!$C$5:$C$190=$B9)*ISNUMBER(INDEX(Inputs!$K$5:$AJ$190,0,MATCH(J$2,Inputs!$K$4:$AJ$4,0))))+SUMPRODUCT((Inputs!$E$5:$E$190=$B9)*ISNUMBER(INDEX(Inputs!$K$5:$AJ$190,0,MATCH(J$2,Inputs!$K$4:$AJ$4,0))))=0,NA(),SUMPRODUCT((Inputs!$A$5:$A$190=$B9)*Inputs!$B$5:$B$190*(((Inputs!$G$5:$G$190="moeda")+(Inputs!$G$5:$G$190="acoes"))*Inputs!$B$1+((Inputs!$G$5:$G$190&lt;&gt;"moeda")*(Inputs!$G$5:$G$190&lt;&gt;"acoes")))*INDEX(Inputs!$K$5:$AJ$190,0,MATCH(J$2,Inputs!$K$4:$AJ$4,0)))+SUMPRODUCT((Inputs!$C$5:$C$190=$B9)*Inputs!$D$5:$D$190*(((Inputs!$G$5:$G$190="moeda")+(Inputs!$G$5:$G$190="acoes"))*Inputs!$B$1+((Inputs!$G$5:$G$190&lt;&gt;"moeda")*(Inputs!$G$5:$G$190&lt;&gt;"acoes")))*INDEX(Inputs!$K$5:$AJ$190,0,MATCH(J$2,Inputs!$K$4:$AJ$4,0)))+SUMPRODUCT((Inputs!$E$5:$E$190=$B9)*Inputs!$F$5:$F$190*(((Inputs!$G$5:$G$190="moeda")+(Inputs!$G$5:$G$190="acoes"))*Inputs!$B$1+((Inputs!$G$5:$G$190&lt;&gt;"moeda")*(Inputs!$G$5:$G$190&lt;&gt;"acoes")))*INDEX(Inputs!$K$5:$AJ$190,0,MATCH(J$2,Inputs!$K$4:$AJ$4,0)))))</f>
        <v>283.463</v>
      </c>
      <c r="K9" s="6">
        <f>IF(ISNA(MATCH(K$2,Inputs!$K$4:$AJ$4,0)),NA(),IF(SUMPRODUCT((Inputs!$A$5:$A$190=$B9)*ISNUMBER(INDEX(Inputs!$K$5:$AJ$190,0,MATCH(K$2,Inputs!$K$4:$AJ$4,0))))+SUMPRODUCT((Inputs!$C$5:$C$190=$B9)*ISNUMBER(INDEX(Inputs!$K$5:$AJ$190,0,MATCH(K$2,Inputs!$K$4:$AJ$4,0))))+SUMPRODUCT((Inputs!$E$5:$E$190=$B9)*ISNUMBER(INDEX(Inputs!$K$5:$AJ$190,0,MATCH(K$2,Inputs!$K$4:$AJ$4,0))))=0,NA(),SUMPRODUCT((Inputs!$A$5:$A$190=$B9)*Inputs!$B$5:$B$190*(((Inputs!$G$5:$G$190="moeda")+(Inputs!$G$5:$G$190="acoes"))*Inputs!$B$1+((Inputs!$G$5:$G$190&lt;&gt;"moeda")*(Inputs!$G$5:$G$190&lt;&gt;"acoes")))*INDEX(Inputs!$K$5:$AJ$190,0,MATCH(K$2,Inputs!$K$4:$AJ$4,0)))+SUMPRODUCT((Inputs!$C$5:$C$190=$B9)*Inputs!$D$5:$D$190*(((Inputs!$G$5:$G$190="moeda")+(Inputs!$G$5:$G$190="acoes"))*Inputs!$B$1+((Inputs!$G$5:$G$190&lt;&gt;"moeda")*(Inputs!$G$5:$G$190&lt;&gt;"acoes")))*INDEX(Inputs!$K$5:$AJ$190,0,MATCH(K$2,Inputs!$K$4:$AJ$4,0)))+SUMPRODUCT((Inputs!$E$5:$E$190=$B9)*Inputs!$F$5:$F$190*(((Inputs!$G$5:$G$190="moeda")+(Inputs!$G$5:$G$190="acoes"))*Inputs!$B$1+((Inputs!$G$5:$G$190&lt;&gt;"moeda")*(Inputs!$G$5:$G$190&lt;&gt;"acoes")))*INDEX(Inputs!$K$5:$AJ$190,0,MATCH(K$2,Inputs!$K$4:$AJ$4,0)))))</f>
        <v>246.492</v>
      </c>
      <c r="L9" s="6">
        <f>IF(ISNA(MATCH(L$2,Inputs!$K$4:$AJ$4,0)),NA(),IF(SUMPRODUCT((Inputs!$A$5:$A$190=$B9)*ISNUMBER(INDEX(Inputs!$K$5:$AJ$190,0,MATCH(L$2,Inputs!$K$4:$AJ$4,0))))+SUMPRODUCT((Inputs!$C$5:$C$190=$B9)*ISNUMBER(INDEX(Inputs!$K$5:$AJ$190,0,MATCH(L$2,Inputs!$K$4:$AJ$4,0))))+SUMPRODUCT((Inputs!$E$5:$E$190=$B9)*ISNUMBER(INDEX(Inputs!$K$5:$AJ$190,0,MATCH(L$2,Inputs!$K$4:$AJ$4,0))))=0,NA(),SUMPRODUCT((Inputs!$A$5:$A$190=$B9)*Inputs!$B$5:$B$190*(((Inputs!$G$5:$G$190="moeda")+(Inputs!$G$5:$G$190="acoes"))*Inputs!$B$1+((Inputs!$G$5:$G$190&lt;&gt;"moeda")*(Inputs!$G$5:$G$190&lt;&gt;"acoes")))*INDEX(Inputs!$K$5:$AJ$190,0,MATCH(L$2,Inputs!$K$4:$AJ$4,0)))+SUMPRODUCT((Inputs!$C$5:$C$190=$B9)*Inputs!$D$5:$D$190*(((Inputs!$G$5:$G$190="moeda")+(Inputs!$G$5:$G$190="acoes"))*Inputs!$B$1+((Inputs!$G$5:$G$190&lt;&gt;"moeda")*(Inputs!$G$5:$G$190&lt;&gt;"acoes")))*INDEX(Inputs!$K$5:$AJ$190,0,MATCH(L$2,Inputs!$K$4:$AJ$4,0)))+SUMPRODUCT((Inputs!$E$5:$E$190=$B9)*Inputs!$F$5:$F$190*(((Inputs!$G$5:$G$190="moeda")+(Inputs!$G$5:$G$190="acoes"))*Inputs!$B$1+((Inputs!$G$5:$G$190&lt;&gt;"moeda")*(Inputs!$G$5:$G$190&lt;&gt;"acoes")))*INDEX(Inputs!$K$5:$AJ$190,0,MATCH(L$2,Inputs!$K$4:$AJ$4,0)))))</f>
        <v>353.934680599419</v>
      </c>
      <c r="M9" s="3">
        <f>SUM(I9:L9)</f>
        <v>1229.04168059942</v>
      </c>
      <c r="N9" s="6">
        <f>IF(ISNA(MATCH(N$2,Inputs!$K$4:$AJ$4,0)),NA(),IF(SUMPRODUCT((Inputs!$A$5:$A$190=$B9)*ISNUMBER(INDEX(Inputs!$K$5:$AJ$190,0,MATCH(N$2,Inputs!$K$4:$AJ$4,0))))+SUMPRODUCT((Inputs!$C$5:$C$190=$B9)*ISNUMBER(INDEX(Inputs!$K$5:$AJ$190,0,MATCH(N$2,Inputs!$K$4:$AJ$4,0))))+SUMPRODUCT((Inputs!$E$5:$E$190=$B9)*ISNUMBER(INDEX(Inputs!$K$5:$AJ$190,0,MATCH(N$2,Inputs!$K$4:$AJ$4,0))))=0,NA(),SUMPRODUCT((Inputs!$A$5:$A$190=$B9)*Inputs!$B$5:$B$190*(((Inputs!$G$5:$G$190="moeda")+(Inputs!$G$5:$G$190="acoes"))*Inputs!$B$1+((Inputs!$G$5:$G$190&lt;&gt;"moeda")*(Inputs!$G$5:$G$190&lt;&gt;"acoes")))*INDEX(Inputs!$K$5:$AJ$190,0,MATCH(N$2,Inputs!$K$4:$AJ$4,0)))+SUMPRODUCT((Inputs!$C$5:$C$190=$B9)*Inputs!$D$5:$D$190*(((Inputs!$G$5:$G$190="moeda")+(Inputs!$G$5:$G$190="acoes"))*Inputs!$B$1+((Inputs!$G$5:$G$190&lt;&gt;"moeda")*(Inputs!$G$5:$G$190&lt;&gt;"acoes")))*INDEX(Inputs!$K$5:$AJ$190,0,MATCH(N$2,Inputs!$K$4:$AJ$4,0)))+SUMPRODUCT((Inputs!$E$5:$E$190=$B9)*Inputs!$F$5:$F$190*(((Inputs!$G$5:$G$190="moeda")+(Inputs!$G$5:$G$190="acoes"))*Inputs!$B$1+((Inputs!$G$5:$G$190&lt;&gt;"moeda")*(Inputs!$G$5:$G$190&lt;&gt;"acoes")))*INDEX(Inputs!$K$5:$AJ$190,0,MATCH(N$2,Inputs!$K$4:$AJ$4,0)))))</f>
        <v>338.376</v>
      </c>
      <c r="O9" s="6">
        <f>IF(ISNA(MATCH(O$2,Inputs!$K$4:$AJ$4,0)),NA(),IF(SUMPRODUCT((Inputs!$A$5:$A$190=$B9)*ISNUMBER(INDEX(Inputs!$K$5:$AJ$190,0,MATCH(O$2,Inputs!$K$4:$AJ$4,0))))+SUMPRODUCT((Inputs!$C$5:$C$190=$B9)*ISNUMBER(INDEX(Inputs!$K$5:$AJ$190,0,MATCH(O$2,Inputs!$K$4:$AJ$4,0))))+SUMPRODUCT((Inputs!$E$5:$E$190=$B9)*ISNUMBER(INDEX(Inputs!$K$5:$AJ$190,0,MATCH(O$2,Inputs!$K$4:$AJ$4,0))))=0,NA(),SUMPRODUCT((Inputs!$A$5:$A$190=$B9)*Inputs!$B$5:$B$190*(((Inputs!$G$5:$G$190="moeda")+(Inputs!$G$5:$G$190="acoes"))*Inputs!$B$1+((Inputs!$G$5:$G$190&lt;&gt;"moeda")*(Inputs!$G$5:$G$190&lt;&gt;"acoes")))*INDEX(Inputs!$K$5:$AJ$190,0,MATCH(O$2,Inputs!$K$4:$AJ$4,0)))+SUMPRODUCT((Inputs!$C$5:$C$190=$B9)*Inputs!$D$5:$D$190*(((Inputs!$G$5:$G$190="moeda")+(Inputs!$G$5:$G$190="acoes"))*Inputs!$B$1+((Inputs!$G$5:$G$190&lt;&gt;"moeda")*(Inputs!$G$5:$G$190&lt;&gt;"acoes")))*INDEX(Inputs!$K$5:$AJ$190,0,MATCH(O$2,Inputs!$K$4:$AJ$4,0)))+SUMPRODUCT((Inputs!$E$5:$E$190=$B9)*Inputs!$F$5:$F$190*(((Inputs!$G$5:$G$190="moeda")+(Inputs!$G$5:$G$190="acoes"))*Inputs!$B$1+((Inputs!$G$5:$G$190&lt;&gt;"moeda")*(Inputs!$G$5:$G$190&lt;&gt;"acoes")))*INDEX(Inputs!$K$5:$AJ$190,0,MATCH(O$2,Inputs!$K$4:$AJ$4,0)))))</f>
        <v>183.206</v>
      </c>
      <c r="P9" s="6">
        <f>IF(ISNA(MATCH(P$2,Inputs!$K$4:$AJ$4,0)),NA(),IF(SUMPRODUCT((Inputs!$A$5:$A$190=$B9)*ISNUMBER(INDEX(Inputs!$K$5:$AJ$190,0,MATCH(P$2,Inputs!$K$4:$AJ$4,0))))+SUMPRODUCT((Inputs!$C$5:$C$190=$B9)*ISNUMBER(INDEX(Inputs!$K$5:$AJ$190,0,MATCH(P$2,Inputs!$K$4:$AJ$4,0))))+SUMPRODUCT((Inputs!$E$5:$E$190=$B9)*ISNUMBER(INDEX(Inputs!$K$5:$AJ$190,0,MATCH(P$2,Inputs!$K$4:$AJ$4,0))))=0,NA(),SUMPRODUCT((Inputs!$A$5:$A$190=$B9)*Inputs!$B$5:$B$190*(((Inputs!$G$5:$G$190="moeda")+(Inputs!$G$5:$G$190="acoes"))*Inputs!$B$1+((Inputs!$G$5:$G$190&lt;&gt;"moeda")*(Inputs!$G$5:$G$190&lt;&gt;"acoes")))*INDEX(Inputs!$K$5:$AJ$190,0,MATCH(P$2,Inputs!$K$4:$AJ$4,0)))+SUMPRODUCT((Inputs!$C$5:$C$190=$B9)*Inputs!$D$5:$D$190*(((Inputs!$G$5:$G$190="moeda")+(Inputs!$G$5:$G$190="acoes"))*Inputs!$B$1+((Inputs!$G$5:$G$190&lt;&gt;"moeda")*(Inputs!$G$5:$G$190&lt;&gt;"acoes")))*INDEX(Inputs!$K$5:$AJ$190,0,MATCH(P$2,Inputs!$K$4:$AJ$4,0)))+SUMPRODUCT((Inputs!$E$5:$E$190=$B9)*Inputs!$F$5:$F$190*(((Inputs!$G$5:$G$190="moeda")+(Inputs!$G$5:$G$190="acoes"))*Inputs!$B$1+((Inputs!$G$5:$G$190&lt;&gt;"moeda")*(Inputs!$G$5:$G$190&lt;&gt;"acoes")))*INDEX(Inputs!$K$5:$AJ$190,0,MATCH(P$2,Inputs!$K$4:$AJ$4,0)))))</f>
        <v>316.416</v>
      </c>
      <c r="Q9" s="6">
        <f>IF(ISNA(MATCH(Q$2,Inputs!$K$4:$AJ$4,0)),NA(),IF(SUMPRODUCT((Inputs!$A$5:$A$190=$B9)*ISNUMBER(INDEX(Inputs!$K$5:$AJ$190,0,MATCH(Q$2,Inputs!$K$4:$AJ$4,0))))+SUMPRODUCT((Inputs!$C$5:$C$190=$B9)*ISNUMBER(INDEX(Inputs!$K$5:$AJ$190,0,MATCH(Q$2,Inputs!$K$4:$AJ$4,0))))+SUMPRODUCT((Inputs!$E$5:$E$190=$B9)*ISNUMBER(INDEX(Inputs!$K$5:$AJ$190,0,MATCH(Q$2,Inputs!$K$4:$AJ$4,0))))=0,NA(),SUMPRODUCT((Inputs!$A$5:$A$190=$B9)*Inputs!$B$5:$B$190*(((Inputs!$G$5:$G$190="moeda")+(Inputs!$G$5:$G$190="acoes"))*Inputs!$B$1+((Inputs!$G$5:$G$190&lt;&gt;"moeda")*(Inputs!$G$5:$G$190&lt;&gt;"acoes")))*INDEX(Inputs!$K$5:$AJ$190,0,MATCH(Q$2,Inputs!$K$4:$AJ$4,0)))+SUMPRODUCT((Inputs!$C$5:$C$190=$B9)*Inputs!$D$5:$D$190*(((Inputs!$G$5:$G$190="moeda")+(Inputs!$G$5:$G$190="acoes"))*Inputs!$B$1+((Inputs!$G$5:$G$190&lt;&gt;"moeda")*(Inputs!$G$5:$G$190&lt;&gt;"acoes")))*INDEX(Inputs!$K$5:$AJ$190,0,MATCH(Q$2,Inputs!$K$4:$AJ$4,0)))+SUMPRODUCT((Inputs!$E$5:$E$190=$B9)*Inputs!$F$5:$F$190*(((Inputs!$G$5:$G$190="moeda")+(Inputs!$G$5:$G$190="acoes"))*Inputs!$B$1+((Inputs!$G$5:$G$190&lt;&gt;"moeda")*(Inputs!$G$5:$G$190&lt;&gt;"acoes")))*INDEX(Inputs!$K$5:$AJ$190,0,MATCH(Q$2,Inputs!$K$4:$AJ$4,0)))))</f>
        <v>299.504</v>
      </c>
      <c r="R9" s="3">
        <f>SUM(N9:Q9)</f>
        <v>1137.502</v>
      </c>
      <c r="S9" s="6">
        <f>IF(ISNA(MATCH(S$2,Inputs!$K$4:$AJ$4,0)),NA(),IF(SUMPRODUCT((Inputs!$A$5:$A$190=$B9)*ISNUMBER(INDEX(Inputs!$K$5:$AJ$190,0,MATCH(S$2,Inputs!$K$4:$AJ$4,0))))+SUMPRODUCT((Inputs!$C$5:$C$190=$B9)*ISNUMBER(INDEX(Inputs!$K$5:$AJ$190,0,MATCH(S$2,Inputs!$K$4:$AJ$4,0))))+SUMPRODUCT((Inputs!$E$5:$E$190=$B9)*ISNUMBER(INDEX(Inputs!$K$5:$AJ$190,0,MATCH(S$2,Inputs!$K$4:$AJ$4,0))))=0,NA(),SUMPRODUCT((Inputs!$A$5:$A$190=$B9)*Inputs!$B$5:$B$190*(((Inputs!$G$5:$G$190="moeda")+(Inputs!$G$5:$G$190="acoes"))*Inputs!$B$1+((Inputs!$G$5:$G$190&lt;&gt;"moeda")*(Inputs!$G$5:$G$190&lt;&gt;"acoes")))*INDEX(Inputs!$K$5:$AJ$190,0,MATCH(S$2,Inputs!$K$4:$AJ$4,0)))+SUMPRODUCT((Inputs!$C$5:$C$190=$B9)*Inputs!$D$5:$D$190*(((Inputs!$G$5:$G$190="moeda")+(Inputs!$G$5:$G$190="acoes"))*Inputs!$B$1+((Inputs!$G$5:$G$190&lt;&gt;"moeda")*(Inputs!$G$5:$G$190&lt;&gt;"acoes")))*INDEX(Inputs!$K$5:$AJ$190,0,MATCH(S$2,Inputs!$K$4:$AJ$4,0)))+SUMPRODUCT((Inputs!$E$5:$E$190=$B9)*Inputs!$F$5:$F$190*(((Inputs!$G$5:$G$190="moeda")+(Inputs!$G$5:$G$190="acoes"))*Inputs!$B$1+((Inputs!$G$5:$G$190&lt;&gt;"moeda")*(Inputs!$G$5:$G$190&lt;&gt;"acoes")))*INDEX(Inputs!$K$5:$AJ$190,0,MATCH(S$2,Inputs!$K$4:$AJ$4,0)))))</f>
        <v>358.69728481</v>
      </c>
      <c r="T9" s="6">
        <f>IF(ISNA(MATCH(T$2,Inputs!$K$4:$AJ$4,0)),NA(),IF(SUMPRODUCT((Inputs!$A$5:$A$190=$B9)*ISNUMBER(INDEX(Inputs!$K$5:$AJ$190,0,MATCH(T$2,Inputs!$K$4:$AJ$4,0))))+SUMPRODUCT((Inputs!$C$5:$C$190=$B9)*ISNUMBER(INDEX(Inputs!$K$5:$AJ$190,0,MATCH(T$2,Inputs!$K$4:$AJ$4,0))))+SUMPRODUCT((Inputs!$E$5:$E$190=$B9)*ISNUMBER(INDEX(Inputs!$K$5:$AJ$190,0,MATCH(T$2,Inputs!$K$4:$AJ$4,0))))=0,NA(),SUMPRODUCT((Inputs!$A$5:$A$190=$B9)*Inputs!$B$5:$B$190*(((Inputs!$G$5:$G$190="moeda")+(Inputs!$G$5:$G$190="acoes"))*Inputs!$B$1+((Inputs!$G$5:$G$190&lt;&gt;"moeda")*(Inputs!$G$5:$G$190&lt;&gt;"acoes")))*INDEX(Inputs!$K$5:$AJ$190,0,MATCH(T$2,Inputs!$K$4:$AJ$4,0)))+SUMPRODUCT((Inputs!$C$5:$C$190=$B9)*Inputs!$D$5:$D$190*(((Inputs!$G$5:$G$190="moeda")+(Inputs!$G$5:$G$190="acoes"))*Inputs!$B$1+((Inputs!$G$5:$G$190&lt;&gt;"moeda")*(Inputs!$G$5:$G$190&lt;&gt;"acoes")))*INDEX(Inputs!$K$5:$AJ$190,0,MATCH(T$2,Inputs!$K$4:$AJ$4,0)))+SUMPRODUCT((Inputs!$E$5:$E$190=$B9)*Inputs!$F$5:$F$190*(((Inputs!$G$5:$G$190="moeda")+(Inputs!$G$5:$G$190="acoes"))*Inputs!$B$1+((Inputs!$G$5:$G$190&lt;&gt;"moeda")*(Inputs!$G$5:$G$190&lt;&gt;"acoes")))*INDEX(Inputs!$K$5:$AJ$190,0,MATCH(T$2,Inputs!$K$4:$AJ$4,0)))))</f>
        <v>383.86595754</v>
      </c>
      <c r="U9" s="6">
        <f>IF(ISNA(MATCH(U$2,Inputs!$K$4:$AJ$4,0)),NA(),IF(SUMPRODUCT((Inputs!$A$5:$A$190=$B9)*ISNUMBER(INDEX(Inputs!$K$5:$AJ$190,0,MATCH(U$2,Inputs!$K$4:$AJ$4,0))))+SUMPRODUCT((Inputs!$C$5:$C$190=$B9)*ISNUMBER(INDEX(Inputs!$K$5:$AJ$190,0,MATCH(U$2,Inputs!$K$4:$AJ$4,0))))+SUMPRODUCT((Inputs!$E$5:$E$190=$B9)*ISNUMBER(INDEX(Inputs!$K$5:$AJ$190,0,MATCH(U$2,Inputs!$K$4:$AJ$4,0))))=0,NA(),SUMPRODUCT((Inputs!$A$5:$A$190=$B9)*Inputs!$B$5:$B$190*(((Inputs!$G$5:$G$190="moeda")+(Inputs!$G$5:$G$190="acoes"))*Inputs!$B$1+((Inputs!$G$5:$G$190&lt;&gt;"moeda")*(Inputs!$G$5:$G$190&lt;&gt;"acoes")))*INDEX(Inputs!$K$5:$AJ$190,0,MATCH(U$2,Inputs!$K$4:$AJ$4,0)))+SUMPRODUCT((Inputs!$C$5:$C$190=$B9)*Inputs!$D$5:$D$190*(((Inputs!$G$5:$G$190="moeda")+(Inputs!$G$5:$G$190="acoes"))*Inputs!$B$1+((Inputs!$G$5:$G$190&lt;&gt;"moeda")*(Inputs!$G$5:$G$190&lt;&gt;"acoes")))*INDEX(Inputs!$K$5:$AJ$190,0,MATCH(U$2,Inputs!$K$4:$AJ$4,0)))+SUMPRODUCT((Inputs!$E$5:$E$190=$B9)*Inputs!$F$5:$F$190*(((Inputs!$G$5:$G$190="moeda")+(Inputs!$G$5:$G$190="acoes"))*Inputs!$B$1+((Inputs!$G$5:$G$190&lt;&gt;"moeda")*(Inputs!$G$5:$G$190&lt;&gt;"acoes")))*INDEX(Inputs!$K$5:$AJ$190,0,MATCH(U$2,Inputs!$K$4:$AJ$4,0)))))</f>
        <v>433.20390214</v>
      </c>
      <c r="V9" s="6">
        <f>IF(ISNA(MATCH(V$2,Inputs!$K$4:$AJ$4,0)),NA(),IF(SUMPRODUCT((Inputs!$A$5:$A$190=$B9)*ISNUMBER(INDEX(Inputs!$K$5:$AJ$190,0,MATCH(V$2,Inputs!$K$4:$AJ$4,0))))+SUMPRODUCT((Inputs!$C$5:$C$190=$B9)*ISNUMBER(INDEX(Inputs!$K$5:$AJ$190,0,MATCH(V$2,Inputs!$K$4:$AJ$4,0))))+SUMPRODUCT((Inputs!$E$5:$E$190=$B9)*ISNUMBER(INDEX(Inputs!$K$5:$AJ$190,0,MATCH(V$2,Inputs!$K$4:$AJ$4,0))))=0,NA(),SUMPRODUCT((Inputs!$A$5:$A$190=$B9)*Inputs!$B$5:$B$190*(((Inputs!$G$5:$G$190="moeda")+(Inputs!$G$5:$G$190="acoes"))*Inputs!$B$1+((Inputs!$G$5:$G$190&lt;&gt;"moeda")*(Inputs!$G$5:$G$190&lt;&gt;"acoes")))*INDEX(Inputs!$K$5:$AJ$190,0,MATCH(V$2,Inputs!$K$4:$AJ$4,0)))+SUMPRODUCT((Inputs!$C$5:$C$190=$B9)*Inputs!$D$5:$D$190*(((Inputs!$G$5:$G$190="moeda")+(Inputs!$G$5:$G$190="acoes"))*Inputs!$B$1+((Inputs!$G$5:$G$190&lt;&gt;"moeda")*(Inputs!$G$5:$G$190&lt;&gt;"acoes")))*INDEX(Inputs!$K$5:$AJ$190,0,MATCH(V$2,Inputs!$K$4:$AJ$4,0)))+SUMPRODUCT((Inputs!$E$5:$E$190=$B9)*Inputs!$F$5:$F$190*(((Inputs!$G$5:$G$190="moeda")+(Inputs!$G$5:$G$190="acoes"))*Inputs!$B$1+((Inputs!$G$5:$G$190&lt;&gt;"moeda")*(Inputs!$G$5:$G$190&lt;&gt;"acoes")))*INDEX(Inputs!$K$5:$AJ$190,0,MATCH(V$2,Inputs!$K$4:$AJ$4,0)))))</f>
        <v>495.826642450001</v>
      </c>
      <c r="W9" s="3">
        <f>SUM(S9:V9)</f>
        <v>1671.59378694</v>
      </c>
      <c r="X9" s="6">
        <f>IF(ISNA(MATCH(X$2,Inputs!$K$4:$AJ$4,0)),NA(),IF(SUMPRODUCT((Inputs!$A$5:$A$190=$B9)*ISNUMBER(INDEX(Inputs!$K$5:$AJ$190,0,MATCH(X$2,Inputs!$K$4:$AJ$4,0))))+SUMPRODUCT((Inputs!$C$5:$C$190=$B9)*ISNUMBER(INDEX(Inputs!$K$5:$AJ$190,0,MATCH(X$2,Inputs!$K$4:$AJ$4,0))))+SUMPRODUCT((Inputs!$E$5:$E$190=$B9)*ISNUMBER(INDEX(Inputs!$K$5:$AJ$190,0,MATCH(X$2,Inputs!$K$4:$AJ$4,0))))=0,NA(),SUMPRODUCT((Inputs!$A$5:$A$190=$B9)*Inputs!$B$5:$B$190*(((Inputs!$G$5:$G$190="moeda")+(Inputs!$G$5:$G$190="acoes"))*Inputs!$B$1+((Inputs!$G$5:$G$190&lt;&gt;"moeda")*(Inputs!$G$5:$G$190&lt;&gt;"acoes")))*INDEX(Inputs!$K$5:$AJ$190,0,MATCH(X$2,Inputs!$K$4:$AJ$4,0)))+SUMPRODUCT((Inputs!$C$5:$C$190=$B9)*Inputs!$D$5:$D$190*(((Inputs!$G$5:$G$190="moeda")+(Inputs!$G$5:$G$190="acoes"))*Inputs!$B$1+((Inputs!$G$5:$G$190&lt;&gt;"moeda")*(Inputs!$G$5:$G$190&lt;&gt;"acoes")))*INDEX(Inputs!$K$5:$AJ$190,0,MATCH(X$2,Inputs!$K$4:$AJ$4,0)))+SUMPRODUCT((Inputs!$E$5:$E$190=$B9)*Inputs!$F$5:$F$190*(((Inputs!$G$5:$G$190="moeda")+(Inputs!$G$5:$G$190="acoes"))*Inputs!$B$1+((Inputs!$G$5:$G$190&lt;&gt;"moeda")*(Inputs!$G$5:$G$190&lt;&gt;"acoes")))*INDEX(Inputs!$K$5:$AJ$190,0,MATCH(X$2,Inputs!$K$4:$AJ$4,0)))))</f>
        <v>464.52346782</v>
      </c>
      <c r="Y9" s="6">
        <f>IF(ISNA(MATCH(Y$2,Inputs!$K$4:$AJ$4,0)),NA(),IF(SUMPRODUCT((Inputs!$A$5:$A$190=$B9)*ISNUMBER(INDEX(Inputs!$K$5:$AJ$190,0,MATCH(Y$2,Inputs!$K$4:$AJ$4,0))))+SUMPRODUCT((Inputs!$C$5:$C$190=$B9)*ISNUMBER(INDEX(Inputs!$K$5:$AJ$190,0,MATCH(Y$2,Inputs!$K$4:$AJ$4,0))))+SUMPRODUCT((Inputs!$E$5:$E$190=$B9)*ISNUMBER(INDEX(Inputs!$K$5:$AJ$190,0,MATCH(Y$2,Inputs!$K$4:$AJ$4,0))))=0,NA(),SUMPRODUCT((Inputs!$A$5:$A$190=$B9)*Inputs!$B$5:$B$190*(((Inputs!$G$5:$G$190="moeda")+(Inputs!$G$5:$G$190="acoes"))*Inputs!$B$1+((Inputs!$G$5:$G$190&lt;&gt;"moeda")*(Inputs!$G$5:$G$190&lt;&gt;"acoes")))*INDEX(Inputs!$K$5:$AJ$190,0,MATCH(Y$2,Inputs!$K$4:$AJ$4,0)))+SUMPRODUCT((Inputs!$C$5:$C$190=$B9)*Inputs!$D$5:$D$190*(((Inputs!$G$5:$G$190="moeda")+(Inputs!$G$5:$G$190="acoes"))*Inputs!$B$1+((Inputs!$G$5:$G$190&lt;&gt;"moeda")*(Inputs!$G$5:$G$190&lt;&gt;"acoes")))*INDEX(Inputs!$K$5:$AJ$190,0,MATCH(Y$2,Inputs!$K$4:$AJ$4,0)))+SUMPRODUCT((Inputs!$E$5:$E$190=$B9)*Inputs!$F$5:$F$190*(((Inputs!$G$5:$G$190="moeda")+(Inputs!$G$5:$G$190="acoes"))*Inputs!$B$1+((Inputs!$G$5:$G$190&lt;&gt;"moeda")*(Inputs!$G$5:$G$190&lt;&gt;"acoes")))*INDEX(Inputs!$K$5:$AJ$190,0,MATCH(Y$2,Inputs!$K$4:$AJ$4,0)))))</f>
        <v>522.37025267</v>
      </c>
      <c r="Z9" s="6">
        <f>IF(ISNA(MATCH(Z$2,Inputs!$K$4:$AJ$4,0)),NA(),IF(SUMPRODUCT((Inputs!$A$5:$A$190=$B9)*ISNUMBER(INDEX(Inputs!$K$5:$AJ$190,0,MATCH(Z$2,Inputs!$K$4:$AJ$4,0))))+SUMPRODUCT((Inputs!$C$5:$C$190=$B9)*ISNUMBER(INDEX(Inputs!$K$5:$AJ$190,0,MATCH(Z$2,Inputs!$K$4:$AJ$4,0))))+SUMPRODUCT((Inputs!$E$5:$E$190=$B9)*ISNUMBER(INDEX(Inputs!$K$5:$AJ$190,0,MATCH(Z$2,Inputs!$K$4:$AJ$4,0))))=0,NA(),SUMPRODUCT((Inputs!$A$5:$A$190=$B9)*Inputs!$B$5:$B$190*(((Inputs!$G$5:$G$190="moeda")+(Inputs!$G$5:$G$190="acoes"))*Inputs!$B$1+((Inputs!$G$5:$G$190&lt;&gt;"moeda")*(Inputs!$G$5:$G$190&lt;&gt;"acoes")))*INDEX(Inputs!$K$5:$AJ$190,0,MATCH(Z$2,Inputs!$K$4:$AJ$4,0)))+SUMPRODUCT((Inputs!$C$5:$C$190=$B9)*Inputs!$D$5:$D$190*(((Inputs!$G$5:$G$190="moeda")+(Inputs!$G$5:$G$190="acoes"))*Inputs!$B$1+((Inputs!$G$5:$G$190&lt;&gt;"moeda")*(Inputs!$G$5:$G$190&lt;&gt;"acoes")))*INDEX(Inputs!$K$5:$AJ$190,0,MATCH(Z$2,Inputs!$K$4:$AJ$4,0)))+SUMPRODUCT((Inputs!$E$5:$E$190=$B9)*Inputs!$F$5:$F$190*(((Inputs!$G$5:$G$190="moeda")+(Inputs!$G$5:$G$190="acoes"))*Inputs!$B$1+((Inputs!$G$5:$G$190&lt;&gt;"moeda")*(Inputs!$G$5:$G$190&lt;&gt;"acoes")))*INDEX(Inputs!$K$5:$AJ$190,0,MATCH(Z$2,Inputs!$K$4:$AJ$4,0)))))</f>
        <v>576.10046127</v>
      </c>
      <c r="AA9" s="6">
        <f>IF(ISNA(MATCH(AA$2,Inputs!$K$4:$AJ$4,0)),NA(),IF(SUMPRODUCT((Inputs!$A$5:$A$190=$B9)*ISNUMBER(INDEX(Inputs!$K$5:$AJ$190,0,MATCH(AA$2,Inputs!$K$4:$AJ$4,0))))+SUMPRODUCT((Inputs!$C$5:$C$190=$B9)*ISNUMBER(INDEX(Inputs!$K$5:$AJ$190,0,MATCH(AA$2,Inputs!$K$4:$AJ$4,0))))+SUMPRODUCT((Inputs!$E$5:$E$190=$B9)*ISNUMBER(INDEX(Inputs!$K$5:$AJ$190,0,MATCH(AA$2,Inputs!$K$4:$AJ$4,0))))=0,NA(),SUMPRODUCT((Inputs!$A$5:$A$190=$B9)*Inputs!$B$5:$B$190*(((Inputs!$G$5:$G$190="moeda")+(Inputs!$G$5:$G$190="acoes"))*Inputs!$B$1+((Inputs!$G$5:$G$190&lt;&gt;"moeda")*(Inputs!$G$5:$G$190&lt;&gt;"acoes")))*INDEX(Inputs!$K$5:$AJ$190,0,MATCH(AA$2,Inputs!$K$4:$AJ$4,0)))+SUMPRODUCT((Inputs!$C$5:$C$190=$B9)*Inputs!$D$5:$D$190*(((Inputs!$G$5:$G$190="moeda")+(Inputs!$G$5:$G$190="acoes"))*Inputs!$B$1+((Inputs!$G$5:$G$190&lt;&gt;"moeda")*(Inputs!$G$5:$G$190&lt;&gt;"acoes")))*INDEX(Inputs!$K$5:$AJ$190,0,MATCH(AA$2,Inputs!$K$4:$AJ$4,0)))+SUMPRODUCT((Inputs!$E$5:$E$190=$B9)*Inputs!$F$5:$F$190*(((Inputs!$G$5:$G$190="moeda")+(Inputs!$G$5:$G$190="acoes"))*Inputs!$B$1+((Inputs!$G$5:$G$190&lt;&gt;"moeda")*(Inputs!$G$5:$G$190&lt;&gt;"acoes")))*INDEX(Inputs!$K$5:$AJ$190,0,MATCH(AA$2,Inputs!$K$4:$AJ$4,0)))))</f>
        <v>500.0067633</v>
      </c>
      <c r="AB9" s="3">
        <f>SUM(X9:AA9)</f>
        <v>2063.00094506</v>
      </c>
      <c r="AC9" s="6">
        <f>IF(ISNA(MATCH(AC$2,Inputs!$K$4:$AJ$4,0)),NA(),IF(SUMPRODUCT((Inputs!$A$5:$A$190=$B9)*ISNUMBER(INDEX(Inputs!$K$5:$AJ$190,0,MATCH(AC$2,Inputs!$K$4:$AJ$4,0))))+SUMPRODUCT((Inputs!$C$5:$C$190=$B9)*ISNUMBER(INDEX(Inputs!$K$5:$AJ$190,0,MATCH(AC$2,Inputs!$K$4:$AJ$4,0))))+SUMPRODUCT((Inputs!$E$5:$E$190=$B9)*ISNUMBER(INDEX(Inputs!$K$5:$AJ$190,0,MATCH(AC$2,Inputs!$K$4:$AJ$4,0))))=0,NA(),SUMPRODUCT((Inputs!$A$5:$A$190=$B9)*Inputs!$B$5:$B$190*(((Inputs!$G$5:$G$190="moeda")+(Inputs!$G$5:$G$190="acoes"))*Inputs!$B$1+((Inputs!$G$5:$G$190&lt;&gt;"moeda")*(Inputs!$G$5:$G$190&lt;&gt;"acoes")))*INDEX(Inputs!$K$5:$AJ$190,0,MATCH(AC$2,Inputs!$K$4:$AJ$4,0)))+SUMPRODUCT((Inputs!$C$5:$C$190=$B9)*Inputs!$D$5:$D$190*(((Inputs!$G$5:$G$190="moeda")+(Inputs!$G$5:$G$190="acoes"))*Inputs!$B$1+((Inputs!$G$5:$G$190&lt;&gt;"moeda")*(Inputs!$G$5:$G$190&lt;&gt;"acoes")))*INDEX(Inputs!$K$5:$AJ$190,0,MATCH(AC$2,Inputs!$K$4:$AJ$4,0)))+SUMPRODUCT((Inputs!$E$5:$E$190=$B9)*Inputs!$F$5:$F$190*(((Inputs!$G$5:$G$190="moeda")+(Inputs!$G$5:$G$190="acoes"))*Inputs!$B$1+((Inputs!$G$5:$G$190&lt;&gt;"moeda")*(Inputs!$G$5:$G$190&lt;&gt;"acoes")))*INDEX(Inputs!$K$5:$AJ$190,0,MATCH(AC$2,Inputs!$K$4:$AJ$4,0)))))</f>
        <v>590.30406363</v>
      </c>
      <c r="AD9" s="6">
        <f>IF(ISNA(MATCH(AD$2,Inputs!$K$4:$AJ$4,0)),NA(),IF(SUMPRODUCT((Inputs!$A$5:$A$190=$B9)*ISNUMBER(INDEX(Inputs!$K$5:$AJ$190,0,MATCH(AD$2,Inputs!$K$4:$AJ$4,0))))+SUMPRODUCT((Inputs!$C$5:$C$190=$B9)*ISNUMBER(INDEX(Inputs!$K$5:$AJ$190,0,MATCH(AD$2,Inputs!$K$4:$AJ$4,0))))+SUMPRODUCT((Inputs!$E$5:$E$190=$B9)*ISNUMBER(INDEX(Inputs!$K$5:$AJ$190,0,MATCH(AD$2,Inputs!$K$4:$AJ$4,0))))=0,NA(),SUMPRODUCT((Inputs!$A$5:$A$190=$B9)*Inputs!$B$5:$B$190*(((Inputs!$G$5:$G$190="moeda")+(Inputs!$G$5:$G$190="acoes"))*Inputs!$B$1+((Inputs!$G$5:$G$190&lt;&gt;"moeda")*(Inputs!$G$5:$G$190&lt;&gt;"acoes")))*INDEX(Inputs!$K$5:$AJ$190,0,MATCH(AD$2,Inputs!$K$4:$AJ$4,0)))+SUMPRODUCT((Inputs!$C$5:$C$190=$B9)*Inputs!$D$5:$D$190*(((Inputs!$G$5:$G$190="moeda")+(Inputs!$G$5:$G$190="acoes"))*Inputs!$B$1+((Inputs!$G$5:$G$190&lt;&gt;"moeda")*(Inputs!$G$5:$G$190&lt;&gt;"acoes")))*INDEX(Inputs!$K$5:$AJ$190,0,MATCH(AD$2,Inputs!$K$4:$AJ$4,0)))+SUMPRODUCT((Inputs!$E$5:$E$190=$B9)*Inputs!$F$5:$F$190*(((Inputs!$G$5:$G$190="moeda")+(Inputs!$G$5:$G$190="acoes"))*Inputs!$B$1+((Inputs!$G$5:$G$190&lt;&gt;"moeda")*(Inputs!$G$5:$G$190&lt;&gt;"acoes")))*INDEX(Inputs!$K$5:$AJ$190,0,MATCH(AD$2,Inputs!$K$4:$AJ$4,0)))))</f>
        <v>668.46021238</v>
      </c>
      <c r="AE9" s="6" t="e">
        <f>IF(ISNA(MATCH(AE$2,Inputs!$K$4:$AJ$4,0)),NA(),IF(SUMPRODUCT((Inputs!$A$5:$A$190=$B9)*ISNUMBER(INDEX(Inputs!$K$5:$AJ$190,0,MATCH(AE$2,Inputs!$K$4:$AJ$4,0))))+SUMPRODUCT((Inputs!$C$5:$C$190=$B9)*ISNUMBER(INDEX(Inputs!$K$5:$AJ$190,0,MATCH(AE$2,Inputs!$K$4:$AJ$4,0))))+SUMPRODUCT((Inputs!$E$5:$E$190=$B9)*ISNUMBER(INDEX(Inputs!$K$5:$AJ$190,0,MATCH(AE$2,Inputs!$K$4:$AJ$4,0))))=0,NA(),SUMPRODUCT((Inputs!$A$5:$A$190=$B9)*Inputs!$B$5:$B$190*(((Inputs!$G$5:$G$190="moeda")+(Inputs!$G$5:$G$190="acoes"))*Inputs!$B$1+((Inputs!$G$5:$G$190&lt;&gt;"moeda")*(Inputs!$G$5:$G$190&lt;&gt;"acoes")))*INDEX(Inputs!$K$5:$AJ$190,0,MATCH(AE$2,Inputs!$K$4:$AJ$4,0)))+SUMPRODUCT((Inputs!$C$5:$C$190=$B9)*Inputs!$D$5:$D$190*(((Inputs!$G$5:$G$190="moeda")+(Inputs!$G$5:$G$190="acoes"))*Inputs!$B$1+((Inputs!$G$5:$G$190&lt;&gt;"moeda")*(Inputs!$G$5:$G$190&lt;&gt;"acoes")))*INDEX(Inputs!$K$5:$AJ$190,0,MATCH(AE$2,Inputs!$K$4:$AJ$4,0)))+SUMPRODUCT((Inputs!$E$5:$E$190=$B9)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9" s="6" t="e">
        <f>IF(ISNA(MATCH(AF$2,Inputs!$K$4:$AJ$4,0)),NA(),IF(SUMPRODUCT((Inputs!$A$5:$A$190=$B9)*ISNUMBER(INDEX(Inputs!$K$5:$AJ$190,0,MATCH(AF$2,Inputs!$K$4:$AJ$4,0))))+SUMPRODUCT((Inputs!$C$5:$C$190=$B9)*ISNUMBER(INDEX(Inputs!$K$5:$AJ$190,0,MATCH(AF$2,Inputs!$K$4:$AJ$4,0))))+SUMPRODUCT((Inputs!$E$5:$E$190=$B9)*ISNUMBER(INDEX(Inputs!$K$5:$AJ$190,0,MATCH(AF$2,Inputs!$K$4:$AJ$4,0))))=0,NA(),SUMPRODUCT((Inputs!$A$5:$A$190=$B9)*Inputs!$B$5:$B$190*(((Inputs!$G$5:$G$190="moeda")+(Inputs!$G$5:$G$190="acoes"))*Inputs!$B$1+((Inputs!$G$5:$G$190&lt;&gt;"moeda")*(Inputs!$G$5:$G$190&lt;&gt;"acoes")))*INDEX(Inputs!$K$5:$AJ$190,0,MATCH(AF$2,Inputs!$K$4:$AJ$4,0)))+SUMPRODUCT((Inputs!$C$5:$C$190=$B9)*Inputs!$D$5:$D$190*(((Inputs!$G$5:$G$190="moeda")+(Inputs!$G$5:$G$190="acoes"))*Inputs!$B$1+((Inputs!$G$5:$G$190&lt;&gt;"moeda")*(Inputs!$G$5:$G$190&lt;&gt;"acoes")))*INDEX(Inputs!$K$5:$AJ$190,0,MATCH(AF$2,Inputs!$K$4:$AJ$4,0)))+SUMPRODUCT((Inputs!$E$5:$E$190=$B9)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9" s="3" t="e">
        <f>SUM(AC9:AF9)</f>
        <v>#N/A</v>
      </c>
      <c r="AH9" s="6">
        <f>IF(ISNA(MATCH(AH$2,Inputs!$K$4:$AJ$4,0)),NA(),IF(SUMPRODUCT((Inputs!$A$5:$A$190=$B9)*ISNUMBER(INDEX(Inputs!$K$5:$AJ$190,0,MATCH(AH$2,Inputs!$K$4:$AJ$4,0))))+SUMPRODUCT((Inputs!$C$5:$C$190=$B9)*ISNUMBER(INDEX(Inputs!$K$5:$AJ$190,0,MATCH(AH$2,Inputs!$K$4:$AJ$4,0))))+SUMPRODUCT((Inputs!$E$5:$E$190=$B9)*ISNUMBER(INDEX(Inputs!$K$5:$AJ$190,0,MATCH(AH$2,Inputs!$K$4:$AJ$4,0))))=0,NA(),SUMPRODUCT((Inputs!$A$5:$A$190=$B9)*Inputs!$B$5:$B$190*(((Inputs!$G$5:$G$190="moeda")+(Inputs!$G$5:$G$190="acoes"))*Inputs!$B$1+((Inputs!$G$5:$G$190&lt;&gt;"moeda")*(Inputs!$G$5:$G$190&lt;&gt;"acoes")))*INDEX(Inputs!$K$5:$AJ$190,0,MATCH(AH$2,Inputs!$K$4:$AJ$4,0)))+SUMPRODUCT((Inputs!$C$5:$C$190=$B9)*Inputs!$D$5:$D$190*(((Inputs!$G$5:$G$190="moeda")+(Inputs!$G$5:$G$190="acoes"))*Inputs!$B$1+((Inputs!$G$5:$G$190&lt;&gt;"moeda")*(Inputs!$G$5:$G$190&lt;&gt;"acoes")))*INDEX(Inputs!$K$5:$AJ$190,0,MATCH(AH$2,Inputs!$K$4:$AJ$4,0)))+SUMPRODUCT((Inputs!$E$5:$E$190=$B9)*Inputs!$F$5:$F$190*(((Inputs!$G$5:$G$190="moeda")+(Inputs!$G$5:$G$190="acoes"))*Inputs!$B$1+((Inputs!$G$5:$G$190&lt;&gt;"moeda")*(Inputs!$G$5:$G$190&lt;&gt;"acoes")))*INDEX(Inputs!$K$5:$AJ$190,0,MATCH(AH$2,Inputs!$K$4:$AJ$4,0)))))</f>
        <v>202.50764143</v>
      </c>
      <c r="AI9" s="6">
        <f>IF(ISNA(MATCH(AI$2,Inputs!$K$4:$AJ$4,0)),NA(),IF(SUMPRODUCT((Inputs!$A$5:$A$190=$B9)*ISNUMBER(INDEX(Inputs!$K$5:$AJ$190,0,MATCH(AI$2,Inputs!$K$4:$AJ$4,0))))+SUMPRODUCT((Inputs!$C$5:$C$190=$B9)*ISNUMBER(INDEX(Inputs!$K$5:$AJ$190,0,MATCH(AI$2,Inputs!$K$4:$AJ$4,0))))+SUMPRODUCT((Inputs!$E$5:$E$190=$B9)*ISNUMBER(INDEX(Inputs!$K$5:$AJ$190,0,MATCH(AI$2,Inputs!$K$4:$AJ$4,0))))=0,NA(),SUMPRODUCT((Inputs!$A$5:$A$190=$B9)*Inputs!$B$5:$B$190*(((Inputs!$G$5:$G$190="moeda")+(Inputs!$G$5:$G$190="acoes"))*Inputs!$B$1+((Inputs!$G$5:$G$190&lt;&gt;"moeda")*(Inputs!$G$5:$G$190&lt;&gt;"acoes")))*INDEX(Inputs!$K$5:$AJ$190,0,MATCH(AI$2,Inputs!$K$4:$AJ$4,0)))+SUMPRODUCT((Inputs!$C$5:$C$190=$B9)*Inputs!$D$5:$D$190*(((Inputs!$G$5:$G$190="moeda")+(Inputs!$G$5:$G$190="acoes"))*Inputs!$B$1+((Inputs!$G$5:$G$190&lt;&gt;"moeda")*(Inputs!$G$5:$G$190&lt;&gt;"acoes")))*INDEX(Inputs!$K$5:$AJ$190,0,MATCH(AI$2,Inputs!$K$4:$AJ$4,0)))+SUMPRODUCT((Inputs!$E$5:$E$190=$B9)*Inputs!$F$5:$F$190*(((Inputs!$G$5:$G$190="moeda")+(Inputs!$G$5:$G$190="acoes"))*Inputs!$B$1+((Inputs!$G$5:$G$190&lt;&gt;"moeda")*(Inputs!$G$5:$G$190&lt;&gt;"acoes")))*INDEX(Inputs!$K$5:$AJ$190,0,MATCH(AI$2,Inputs!$K$4:$AJ$4,0)))))</f>
        <v>237.62368159</v>
      </c>
      <c r="AJ9" s="6">
        <f>IF(ISNA(MATCH(AJ$2,Inputs!$K$4:$AJ$4,0)),NA(),IF(SUMPRODUCT((Inputs!$A$5:$A$190=$B9)*ISNUMBER(INDEX(Inputs!$K$5:$AJ$190,0,MATCH(AJ$2,Inputs!$K$4:$AJ$4,0))))+SUMPRODUCT((Inputs!$C$5:$C$190=$B9)*ISNUMBER(INDEX(Inputs!$K$5:$AJ$190,0,MATCH(AJ$2,Inputs!$K$4:$AJ$4,0))))+SUMPRODUCT((Inputs!$E$5:$E$190=$B9)*ISNUMBER(INDEX(Inputs!$K$5:$AJ$190,0,MATCH(AJ$2,Inputs!$K$4:$AJ$4,0))))=0,NA(),SUMPRODUCT((Inputs!$A$5:$A$190=$B9)*Inputs!$B$5:$B$190*(((Inputs!$G$5:$G$190="moeda")+(Inputs!$G$5:$G$190="acoes"))*Inputs!$B$1+((Inputs!$G$5:$G$190&lt;&gt;"moeda")*(Inputs!$G$5:$G$190&lt;&gt;"acoes")))*INDEX(Inputs!$K$5:$AJ$190,0,MATCH(AJ$2,Inputs!$K$4:$AJ$4,0)))+SUMPRODUCT((Inputs!$C$5:$C$190=$B9)*Inputs!$D$5:$D$190*(((Inputs!$G$5:$G$190="moeda")+(Inputs!$G$5:$G$190="acoes"))*Inputs!$B$1+((Inputs!$G$5:$G$190&lt;&gt;"moeda")*(Inputs!$G$5:$G$190&lt;&gt;"acoes")))*INDEX(Inputs!$K$5:$AJ$190,0,MATCH(AJ$2,Inputs!$K$4:$AJ$4,0)))+SUMPRODUCT((Inputs!$E$5:$E$190=$B9)*Inputs!$F$5:$F$190*(((Inputs!$G$5:$G$190="moeda")+(Inputs!$G$5:$G$190="acoes"))*Inputs!$B$1+((Inputs!$G$5:$G$190&lt;&gt;"moeda")*(Inputs!$G$5:$G$190&lt;&gt;"acoes")))*INDEX(Inputs!$K$5:$AJ$190,0,MATCH(AJ$2,Inputs!$K$4:$AJ$4,0)))))</f>
        <v>96.75467698</v>
      </c>
      <c r="AK9" s="6">
        <f>IF(ISNA(MATCH(AK$2,Inputs!$K$4:$AJ$4,0)),NA(),IF(SUMPRODUCT((Inputs!$A$5:$A$190=$B9)*ISNUMBER(INDEX(Inputs!$K$5:$AJ$190,0,MATCH(AK$2,Inputs!$K$4:$AJ$4,0))))+SUMPRODUCT((Inputs!$C$5:$C$190=$B9)*ISNUMBER(INDEX(Inputs!$K$5:$AJ$190,0,MATCH(AK$2,Inputs!$K$4:$AJ$4,0))))+SUMPRODUCT((Inputs!$E$5:$E$190=$B9)*ISNUMBER(INDEX(Inputs!$K$5:$AJ$190,0,MATCH(AK$2,Inputs!$K$4:$AJ$4,0))))=0,NA(),SUMPRODUCT((Inputs!$A$5:$A$190=$B9)*Inputs!$B$5:$B$190*(((Inputs!$G$5:$G$190="moeda")+(Inputs!$G$5:$G$190="acoes"))*Inputs!$B$1+((Inputs!$G$5:$G$190&lt;&gt;"moeda")*(Inputs!$G$5:$G$190&lt;&gt;"acoes")))*INDEX(Inputs!$K$5:$AJ$190,0,MATCH(AK$2,Inputs!$K$4:$AJ$4,0)))+SUMPRODUCT((Inputs!$C$5:$C$190=$B9)*Inputs!$D$5:$D$190*(((Inputs!$G$5:$G$190="moeda")+(Inputs!$G$5:$G$190="acoes"))*Inputs!$B$1+((Inputs!$G$5:$G$190&lt;&gt;"moeda")*(Inputs!$G$5:$G$190&lt;&gt;"acoes")))*INDEX(Inputs!$K$5:$AJ$190,0,MATCH(AK$2,Inputs!$K$4:$AJ$4,0)))+SUMPRODUCT((Inputs!$E$5:$E$190=$B9)*Inputs!$F$5:$F$190*(((Inputs!$G$5:$G$190="moeda")+(Inputs!$G$5:$G$190="acoes"))*Inputs!$B$1+((Inputs!$G$5:$G$190&lt;&gt;"moeda")*(Inputs!$G$5:$G$190&lt;&gt;"acoes")))*INDEX(Inputs!$K$5:$AJ$190,0,MATCH(AK$2,Inputs!$K$4:$AJ$4,0)))))</f>
        <v>114.000689586185</v>
      </c>
      <c r="AL9" s="3">
        <f>SUM(AH9:AK9)</f>
        <v>650.886689586185</v>
      </c>
    </row>
    <row r="10">
      <c r="B10" s="46" t="n">
        <v>7</v>
      </c>
      <c r="C10" s="26" t="inlineStr">
        <is>
          <t>Taxes</t>
        </is>
      </c>
      <c r="D10" s="6">
        <f>IF(ISNA(MATCH(D$2,Inputs!$K$4:$AJ$4,0)),NA(),IF(SUMPRODUCT((Inputs!$A$5:$A$190=$B10)*ISNUMBER(INDEX(Inputs!$K$5:$AJ$190,0,MATCH(D$2,Inputs!$K$4:$AJ$4,0))))+SUMPRODUCT((Inputs!$C$5:$C$190=$B10)*ISNUMBER(INDEX(Inputs!$K$5:$AJ$190,0,MATCH(D$2,Inputs!$K$4:$AJ$4,0))))+SUMPRODUCT((Inputs!$E$5:$E$190=$B10)*ISNUMBER(INDEX(Inputs!$K$5:$AJ$190,0,MATCH(D$2,Inputs!$K$4:$AJ$4,0))))=0,NA(),SUMPRODUCT((Inputs!$A$5:$A$190=$B10)*Inputs!$B$5:$B$190*(((Inputs!$G$5:$G$190="moeda")+(Inputs!$G$5:$G$190="acoes"))*Inputs!$B$1+((Inputs!$G$5:$G$190&lt;&gt;"moeda")*(Inputs!$G$5:$G$190&lt;&gt;"acoes")))*INDEX(Inputs!$K$5:$AJ$190,0,MATCH(D$2,Inputs!$K$4:$AJ$4,0)))+SUMPRODUCT((Inputs!$C$5:$C$190=$B10)*Inputs!$D$5:$D$190*(((Inputs!$G$5:$G$190="moeda")+(Inputs!$G$5:$G$190="acoes"))*Inputs!$B$1+((Inputs!$G$5:$G$190&lt;&gt;"moeda")*(Inputs!$G$5:$G$190&lt;&gt;"acoes")))*INDEX(Inputs!$K$5:$AJ$190,0,MATCH(D$2,Inputs!$K$4:$AJ$4,0)))+SUMPRODUCT((Inputs!$E$5:$E$190=$B10)*Inputs!$F$5:$F$190*(((Inputs!$G$5:$G$190="moeda")+(Inputs!$G$5:$G$190="acoes"))*Inputs!$B$1+((Inputs!$G$5:$G$190&lt;&gt;"moeda")*(Inputs!$G$5:$G$190&lt;&gt;"acoes")))*INDEX(Inputs!$K$5:$AJ$190,0,MATCH(D$2,Inputs!$K$4:$AJ$4,0)))))</f>
        <v>-115.6779938707</v>
      </c>
      <c r="E10" s="6">
        <f>IF(ISNA(MATCH(E$2,Inputs!$K$4:$AJ$4,0)),NA(),IF(SUMPRODUCT((Inputs!$A$5:$A$190=$B10)*ISNUMBER(INDEX(Inputs!$K$5:$AJ$190,0,MATCH(E$2,Inputs!$K$4:$AJ$4,0))))+SUMPRODUCT((Inputs!$C$5:$C$190=$B10)*ISNUMBER(INDEX(Inputs!$K$5:$AJ$190,0,MATCH(E$2,Inputs!$K$4:$AJ$4,0))))+SUMPRODUCT((Inputs!$E$5:$E$190=$B10)*ISNUMBER(INDEX(Inputs!$K$5:$AJ$190,0,MATCH(E$2,Inputs!$K$4:$AJ$4,0))))=0,NA(),SUMPRODUCT((Inputs!$A$5:$A$190=$B10)*Inputs!$B$5:$B$190*(((Inputs!$G$5:$G$190="moeda")+(Inputs!$G$5:$G$190="acoes"))*Inputs!$B$1+((Inputs!$G$5:$G$190&lt;&gt;"moeda")*(Inputs!$G$5:$G$190&lt;&gt;"acoes")))*INDEX(Inputs!$K$5:$AJ$190,0,MATCH(E$2,Inputs!$K$4:$AJ$4,0)))+SUMPRODUCT((Inputs!$C$5:$C$190=$B10)*Inputs!$D$5:$D$190*(((Inputs!$G$5:$G$190="moeda")+(Inputs!$G$5:$G$190="acoes"))*Inputs!$B$1+((Inputs!$G$5:$G$190&lt;&gt;"moeda")*(Inputs!$G$5:$G$190&lt;&gt;"acoes")))*INDEX(Inputs!$K$5:$AJ$190,0,MATCH(E$2,Inputs!$K$4:$AJ$4,0)))+SUMPRODUCT((Inputs!$E$5:$E$190=$B10)*Inputs!$F$5:$F$190*(((Inputs!$G$5:$G$190="moeda")+(Inputs!$G$5:$G$190="acoes"))*Inputs!$B$1+((Inputs!$G$5:$G$190&lt;&gt;"moeda")*(Inputs!$G$5:$G$190&lt;&gt;"acoes")))*INDEX(Inputs!$K$5:$AJ$190,0,MATCH(E$2,Inputs!$K$4:$AJ$4,0)))))</f>
        <v>-150.76208871</v>
      </c>
      <c r="F10" s="6">
        <f>IF(ISNA(MATCH(F$2,Inputs!$K$4:$AJ$4,0)),NA(),IF(SUMPRODUCT((Inputs!$A$5:$A$190=$B10)*ISNUMBER(INDEX(Inputs!$K$5:$AJ$190,0,MATCH(F$2,Inputs!$K$4:$AJ$4,0))))+SUMPRODUCT((Inputs!$C$5:$C$190=$B10)*ISNUMBER(INDEX(Inputs!$K$5:$AJ$190,0,MATCH(F$2,Inputs!$K$4:$AJ$4,0))))+SUMPRODUCT((Inputs!$E$5:$E$190=$B10)*ISNUMBER(INDEX(Inputs!$K$5:$AJ$190,0,MATCH(F$2,Inputs!$K$4:$AJ$4,0))))=0,NA(),SUMPRODUCT((Inputs!$A$5:$A$190=$B10)*Inputs!$B$5:$B$190*(((Inputs!$G$5:$G$190="moeda")+(Inputs!$G$5:$G$190="acoes"))*Inputs!$B$1+((Inputs!$G$5:$G$190&lt;&gt;"moeda")*(Inputs!$G$5:$G$190&lt;&gt;"acoes")))*INDEX(Inputs!$K$5:$AJ$190,0,MATCH(F$2,Inputs!$K$4:$AJ$4,0)))+SUMPRODUCT((Inputs!$C$5:$C$190=$B10)*Inputs!$D$5:$D$190*(((Inputs!$G$5:$G$190="moeda")+(Inputs!$G$5:$G$190="acoes"))*Inputs!$B$1+((Inputs!$G$5:$G$190&lt;&gt;"moeda")*(Inputs!$G$5:$G$190&lt;&gt;"acoes")))*INDEX(Inputs!$K$5:$AJ$190,0,MATCH(F$2,Inputs!$K$4:$AJ$4,0)))+SUMPRODUCT((Inputs!$E$5:$E$190=$B10)*Inputs!$F$5:$F$190*(((Inputs!$G$5:$G$190="moeda")+(Inputs!$G$5:$G$190="acoes"))*Inputs!$B$1+((Inputs!$G$5:$G$190&lt;&gt;"moeda")*(Inputs!$G$5:$G$190&lt;&gt;"acoes")))*INDEX(Inputs!$K$5:$AJ$190,0,MATCH(F$2,Inputs!$K$4:$AJ$4,0)))))</f>
        <v>-173.62383393022</v>
      </c>
      <c r="G10" s="6">
        <f>IF(ISNA(MATCH(G$2,Inputs!$K$4:$AJ$4,0)),NA(),IF(SUMPRODUCT((Inputs!$A$5:$A$190=$B10)*ISNUMBER(INDEX(Inputs!$K$5:$AJ$190,0,MATCH(G$2,Inputs!$K$4:$AJ$4,0))))+SUMPRODUCT((Inputs!$C$5:$C$190=$B10)*ISNUMBER(INDEX(Inputs!$K$5:$AJ$190,0,MATCH(G$2,Inputs!$K$4:$AJ$4,0))))+SUMPRODUCT((Inputs!$E$5:$E$190=$B10)*ISNUMBER(INDEX(Inputs!$K$5:$AJ$190,0,MATCH(G$2,Inputs!$K$4:$AJ$4,0))))=0,NA(),SUMPRODUCT((Inputs!$A$5:$A$190=$B10)*Inputs!$B$5:$B$190*(((Inputs!$G$5:$G$190="moeda")+(Inputs!$G$5:$G$190="acoes"))*Inputs!$B$1+((Inputs!$G$5:$G$190&lt;&gt;"moeda")*(Inputs!$G$5:$G$190&lt;&gt;"acoes")))*INDEX(Inputs!$K$5:$AJ$190,0,MATCH(G$2,Inputs!$K$4:$AJ$4,0)))+SUMPRODUCT((Inputs!$C$5:$C$190=$B10)*Inputs!$D$5:$D$190*(((Inputs!$G$5:$G$190="moeda")+(Inputs!$G$5:$G$190="acoes"))*Inputs!$B$1+((Inputs!$G$5:$G$190&lt;&gt;"moeda")*(Inputs!$G$5:$G$190&lt;&gt;"acoes")))*INDEX(Inputs!$K$5:$AJ$190,0,MATCH(G$2,Inputs!$K$4:$AJ$4,0)))+SUMPRODUCT((Inputs!$E$5:$E$190=$B10)*Inputs!$F$5:$F$190*(((Inputs!$G$5:$G$190="moeda")+(Inputs!$G$5:$G$190="acoes"))*Inputs!$B$1+((Inputs!$G$5:$G$190&lt;&gt;"moeda")*(Inputs!$G$5:$G$190&lt;&gt;"acoes")))*INDEX(Inputs!$K$5:$AJ$190,0,MATCH(G$2,Inputs!$K$4:$AJ$4,0)))))</f>
        <v>-143.94408348908</v>
      </c>
      <c r="H10" s="3">
        <f>SUM(D10:G10)</f>
        <v>-584.008</v>
      </c>
      <c r="I10" s="6">
        <f>IF(ISNA(MATCH(I$2,Inputs!$K$4:$AJ$4,0)),NA(),IF(SUMPRODUCT((Inputs!$A$5:$A$190=$B10)*ISNUMBER(INDEX(Inputs!$K$5:$AJ$190,0,MATCH(I$2,Inputs!$K$4:$AJ$4,0))))+SUMPRODUCT((Inputs!$C$5:$C$190=$B10)*ISNUMBER(INDEX(Inputs!$K$5:$AJ$190,0,MATCH(I$2,Inputs!$K$4:$AJ$4,0))))+SUMPRODUCT((Inputs!$E$5:$E$190=$B10)*ISNUMBER(INDEX(Inputs!$K$5:$AJ$190,0,MATCH(I$2,Inputs!$K$4:$AJ$4,0))))=0,NA(),SUMPRODUCT((Inputs!$A$5:$A$190=$B10)*Inputs!$B$5:$B$190*(((Inputs!$G$5:$G$190="moeda")+(Inputs!$G$5:$G$190="acoes"))*Inputs!$B$1+((Inputs!$G$5:$G$190&lt;&gt;"moeda")*(Inputs!$G$5:$G$190&lt;&gt;"acoes")))*INDEX(Inputs!$K$5:$AJ$190,0,MATCH(I$2,Inputs!$K$4:$AJ$4,0)))+SUMPRODUCT((Inputs!$C$5:$C$190=$B10)*Inputs!$D$5:$D$190*(((Inputs!$G$5:$G$190="moeda")+(Inputs!$G$5:$G$190="acoes"))*Inputs!$B$1+((Inputs!$G$5:$G$190&lt;&gt;"moeda")*(Inputs!$G$5:$G$190&lt;&gt;"acoes")))*INDEX(Inputs!$K$5:$AJ$190,0,MATCH(I$2,Inputs!$K$4:$AJ$4,0)))+SUMPRODUCT((Inputs!$E$5:$E$190=$B10)*Inputs!$F$5:$F$190*(((Inputs!$G$5:$G$190="moeda")+(Inputs!$G$5:$G$190="acoes"))*Inputs!$B$1+((Inputs!$G$5:$G$190&lt;&gt;"moeda")*(Inputs!$G$5:$G$190&lt;&gt;"acoes")))*INDEX(Inputs!$K$5:$AJ$190,0,MATCH(I$2,Inputs!$K$4:$AJ$4,0)))))</f>
        <v>-134.962</v>
      </c>
      <c r="J10" s="6">
        <f>IF(ISNA(MATCH(J$2,Inputs!$K$4:$AJ$4,0)),NA(),IF(SUMPRODUCT((Inputs!$A$5:$A$190=$B10)*ISNUMBER(INDEX(Inputs!$K$5:$AJ$190,0,MATCH(J$2,Inputs!$K$4:$AJ$4,0))))+SUMPRODUCT((Inputs!$C$5:$C$190=$B10)*ISNUMBER(INDEX(Inputs!$K$5:$AJ$190,0,MATCH(J$2,Inputs!$K$4:$AJ$4,0))))+SUMPRODUCT((Inputs!$E$5:$E$190=$B10)*ISNUMBER(INDEX(Inputs!$K$5:$AJ$190,0,MATCH(J$2,Inputs!$K$4:$AJ$4,0))))=0,NA(),SUMPRODUCT((Inputs!$A$5:$A$190=$B10)*Inputs!$B$5:$B$190*(((Inputs!$G$5:$G$190="moeda")+(Inputs!$G$5:$G$190="acoes"))*Inputs!$B$1+((Inputs!$G$5:$G$190&lt;&gt;"moeda")*(Inputs!$G$5:$G$190&lt;&gt;"acoes")))*INDEX(Inputs!$K$5:$AJ$190,0,MATCH(J$2,Inputs!$K$4:$AJ$4,0)))+SUMPRODUCT((Inputs!$C$5:$C$190=$B10)*Inputs!$D$5:$D$190*(((Inputs!$G$5:$G$190="moeda")+(Inputs!$G$5:$G$190="acoes"))*Inputs!$B$1+((Inputs!$G$5:$G$190&lt;&gt;"moeda")*(Inputs!$G$5:$G$190&lt;&gt;"acoes")))*INDEX(Inputs!$K$5:$AJ$190,0,MATCH(J$2,Inputs!$K$4:$AJ$4,0)))+SUMPRODUCT((Inputs!$E$5:$E$190=$B10)*Inputs!$F$5:$F$190*(((Inputs!$G$5:$G$190="moeda")+(Inputs!$G$5:$G$190="acoes"))*Inputs!$B$1+((Inputs!$G$5:$G$190&lt;&gt;"moeda")*(Inputs!$G$5:$G$190&lt;&gt;"acoes")))*INDEX(Inputs!$K$5:$AJ$190,0,MATCH(J$2,Inputs!$K$4:$AJ$4,0)))))</f>
        <v>-111.208</v>
      </c>
      <c r="K10" s="6">
        <f>IF(ISNA(MATCH(K$2,Inputs!$K$4:$AJ$4,0)),NA(),IF(SUMPRODUCT((Inputs!$A$5:$A$190=$B10)*ISNUMBER(INDEX(Inputs!$K$5:$AJ$190,0,MATCH(K$2,Inputs!$K$4:$AJ$4,0))))+SUMPRODUCT((Inputs!$C$5:$C$190=$B10)*ISNUMBER(INDEX(Inputs!$K$5:$AJ$190,0,MATCH(K$2,Inputs!$K$4:$AJ$4,0))))+SUMPRODUCT((Inputs!$E$5:$E$190=$B10)*ISNUMBER(INDEX(Inputs!$K$5:$AJ$190,0,MATCH(K$2,Inputs!$K$4:$AJ$4,0))))=0,NA(),SUMPRODUCT((Inputs!$A$5:$A$190=$B10)*Inputs!$B$5:$B$190*(((Inputs!$G$5:$G$190="moeda")+(Inputs!$G$5:$G$190="acoes"))*Inputs!$B$1+((Inputs!$G$5:$G$190&lt;&gt;"moeda")*(Inputs!$G$5:$G$190&lt;&gt;"acoes")))*INDEX(Inputs!$K$5:$AJ$190,0,MATCH(K$2,Inputs!$K$4:$AJ$4,0)))+SUMPRODUCT((Inputs!$C$5:$C$190=$B10)*Inputs!$D$5:$D$190*(((Inputs!$G$5:$G$190="moeda")+(Inputs!$G$5:$G$190="acoes"))*Inputs!$B$1+((Inputs!$G$5:$G$190&lt;&gt;"moeda")*(Inputs!$G$5:$G$190&lt;&gt;"acoes")))*INDEX(Inputs!$K$5:$AJ$190,0,MATCH(K$2,Inputs!$K$4:$AJ$4,0)))+SUMPRODUCT((Inputs!$E$5:$E$190=$B10)*Inputs!$F$5:$F$190*(((Inputs!$G$5:$G$190="moeda")+(Inputs!$G$5:$G$190="acoes"))*Inputs!$B$1+((Inputs!$G$5:$G$190&lt;&gt;"moeda")*(Inputs!$G$5:$G$190&lt;&gt;"acoes")))*INDEX(Inputs!$K$5:$AJ$190,0,MATCH(K$2,Inputs!$K$4:$AJ$4,0)))))</f>
        <v>-64.128</v>
      </c>
      <c r="L10" s="6">
        <f>IF(ISNA(MATCH(L$2,Inputs!$K$4:$AJ$4,0)),NA(),IF(SUMPRODUCT((Inputs!$A$5:$A$190=$B10)*ISNUMBER(INDEX(Inputs!$K$5:$AJ$190,0,MATCH(L$2,Inputs!$K$4:$AJ$4,0))))+SUMPRODUCT((Inputs!$C$5:$C$190=$B10)*ISNUMBER(INDEX(Inputs!$K$5:$AJ$190,0,MATCH(L$2,Inputs!$K$4:$AJ$4,0))))+SUMPRODUCT((Inputs!$E$5:$E$190=$B10)*ISNUMBER(INDEX(Inputs!$K$5:$AJ$190,0,MATCH(L$2,Inputs!$K$4:$AJ$4,0))))=0,NA(),SUMPRODUCT((Inputs!$A$5:$A$190=$B10)*Inputs!$B$5:$B$190*(((Inputs!$G$5:$G$190="moeda")+(Inputs!$G$5:$G$190="acoes"))*Inputs!$B$1+((Inputs!$G$5:$G$190&lt;&gt;"moeda")*(Inputs!$G$5:$G$190&lt;&gt;"acoes")))*INDEX(Inputs!$K$5:$AJ$190,0,MATCH(L$2,Inputs!$K$4:$AJ$4,0)))+SUMPRODUCT((Inputs!$C$5:$C$190=$B10)*Inputs!$D$5:$D$190*(((Inputs!$G$5:$G$190="moeda")+(Inputs!$G$5:$G$190="acoes"))*Inputs!$B$1+((Inputs!$G$5:$G$190&lt;&gt;"moeda")*(Inputs!$G$5:$G$190&lt;&gt;"acoes")))*INDEX(Inputs!$K$5:$AJ$190,0,MATCH(L$2,Inputs!$K$4:$AJ$4,0)))+SUMPRODUCT((Inputs!$E$5:$E$190=$B10)*Inputs!$F$5:$F$190*(((Inputs!$G$5:$G$190="moeda")+(Inputs!$G$5:$G$190="acoes"))*Inputs!$B$1+((Inputs!$G$5:$G$190&lt;&gt;"moeda")*(Inputs!$G$5:$G$190&lt;&gt;"acoes")))*INDEX(Inputs!$K$5:$AJ$190,0,MATCH(L$2,Inputs!$K$4:$AJ$4,0)))))</f>
        <v>263.61971230464</v>
      </c>
      <c r="M10" s="3">
        <f>SUM(I10:L10)</f>
        <v>-46.67828769536</v>
      </c>
      <c r="N10" s="6">
        <f>IF(ISNA(MATCH(N$2,Inputs!$K$4:$AJ$4,0)),NA(),IF(SUMPRODUCT((Inputs!$A$5:$A$190=$B10)*ISNUMBER(INDEX(Inputs!$K$5:$AJ$190,0,MATCH(N$2,Inputs!$K$4:$AJ$4,0))))+SUMPRODUCT((Inputs!$C$5:$C$190=$B10)*ISNUMBER(INDEX(Inputs!$K$5:$AJ$190,0,MATCH(N$2,Inputs!$K$4:$AJ$4,0))))+SUMPRODUCT((Inputs!$E$5:$E$190=$B10)*ISNUMBER(INDEX(Inputs!$K$5:$AJ$190,0,MATCH(N$2,Inputs!$K$4:$AJ$4,0))))=0,NA(),SUMPRODUCT((Inputs!$A$5:$A$190=$B10)*Inputs!$B$5:$B$190*(((Inputs!$G$5:$G$190="moeda")+(Inputs!$G$5:$G$190="acoes"))*Inputs!$B$1+((Inputs!$G$5:$G$190&lt;&gt;"moeda")*(Inputs!$G$5:$G$190&lt;&gt;"acoes")))*INDEX(Inputs!$K$5:$AJ$190,0,MATCH(N$2,Inputs!$K$4:$AJ$4,0)))+SUMPRODUCT((Inputs!$C$5:$C$190=$B10)*Inputs!$D$5:$D$190*(((Inputs!$G$5:$G$190="moeda")+(Inputs!$G$5:$G$190="acoes"))*Inputs!$B$1+((Inputs!$G$5:$G$190&lt;&gt;"moeda")*(Inputs!$G$5:$G$190&lt;&gt;"acoes")))*INDEX(Inputs!$K$5:$AJ$190,0,MATCH(N$2,Inputs!$K$4:$AJ$4,0)))+SUMPRODUCT((Inputs!$E$5:$E$190=$B10)*Inputs!$F$5:$F$190*(((Inputs!$G$5:$G$190="moeda")+(Inputs!$G$5:$G$190="acoes"))*Inputs!$B$1+((Inputs!$G$5:$G$190&lt;&gt;"moeda")*(Inputs!$G$5:$G$190&lt;&gt;"acoes")))*INDEX(Inputs!$K$5:$AJ$190,0,MATCH(N$2,Inputs!$K$4:$AJ$4,0)))))</f>
        <v>70.27789576014</v>
      </c>
      <c r="O10" s="6">
        <f>IF(ISNA(MATCH(O$2,Inputs!$K$4:$AJ$4,0)),NA(),IF(SUMPRODUCT((Inputs!$A$5:$A$190=$B10)*ISNUMBER(INDEX(Inputs!$K$5:$AJ$190,0,MATCH(O$2,Inputs!$K$4:$AJ$4,0))))+SUMPRODUCT((Inputs!$C$5:$C$190=$B10)*ISNUMBER(INDEX(Inputs!$K$5:$AJ$190,0,MATCH(O$2,Inputs!$K$4:$AJ$4,0))))+SUMPRODUCT((Inputs!$E$5:$E$190=$B10)*ISNUMBER(INDEX(Inputs!$K$5:$AJ$190,0,MATCH(O$2,Inputs!$K$4:$AJ$4,0))))=0,NA(),SUMPRODUCT((Inputs!$A$5:$A$190=$B10)*Inputs!$B$5:$B$190*(((Inputs!$G$5:$G$190="moeda")+(Inputs!$G$5:$G$190="acoes"))*Inputs!$B$1+((Inputs!$G$5:$G$190&lt;&gt;"moeda")*(Inputs!$G$5:$G$190&lt;&gt;"acoes")))*INDEX(Inputs!$K$5:$AJ$190,0,MATCH(O$2,Inputs!$K$4:$AJ$4,0)))+SUMPRODUCT((Inputs!$C$5:$C$190=$B10)*Inputs!$D$5:$D$190*(((Inputs!$G$5:$G$190="moeda")+(Inputs!$G$5:$G$190="acoes"))*Inputs!$B$1+((Inputs!$G$5:$G$190&lt;&gt;"moeda")*(Inputs!$G$5:$G$190&lt;&gt;"acoes")))*INDEX(Inputs!$K$5:$AJ$190,0,MATCH(O$2,Inputs!$K$4:$AJ$4,0)))+SUMPRODUCT((Inputs!$E$5:$E$190=$B10)*Inputs!$F$5:$F$190*(((Inputs!$G$5:$G$190="moeda")+(Inputs!$G$5:$G$190="acoes"))*Inputs!$B$1+((Inputs!$G$5:$G$190&lt;&gt;"moeda")*(Inputs!$G$5:$G$190&lt;&gt;"acoes")))*INDEX(Inputs!$K$5:$AJ$190,0,MATCH(O$2,Inputs!$K$4:$AJ$4,0)))))</f>
        <v>-6.88647712687001</v>
      </c>
      <c r="P10" s="6">
        <f>IF(ISNA(MATCH(P$2,Inputs!$K$4:$AJ$4,0)),NA(),IF(SUMPRODUCT((Inputs!$A$5:$A$190=$B10)*ISNUMBER(INDEX(Inputs!$K$5:$AJ$190,0,MATCH(P$2,Inputs!$K$4:$AJ$4,0))))+SUMPRODUCT((Inputs!$C$5:$C$190=$B10)*ISNUMBER(INDEX(Inputs!$K$5:$AJ$190,0,MATCH(P$2,Inputs!$K$4:$AJ$4,0))))+SUMPRODUCT((Inputs!$E$5:$E$190=$B10)*ISNUMBER(INDEX(Inputs!$K$5:$AJ$190,0,MATCH(P$2,Inputs!$K$4:$AJ$4,0))))=0,NA(),SUMPRODUCT((Inputs!$A$5:$A$190=$B10)*Inputs!$B$5:$B$190*(((Inputs!$G$5:$G$190="moeda")+(Inputs!$G$5:$G$190="acoes"))*Inputs!$B$1+((Inputs!$G$5:$G$190&lt;&gt;"moeda")*(Inputs!$G$5:$G$190&lt;&gt;"acoes")))*INDEX(Inputs!$K$5:$AJ$190,0,MATCH(P$2,Inputs!$K$4:$AJ$4,0)))+SUMPRODUCT((Inputs!$C$5:$C$190=$B10)*Inputs!$D$5:$D$190*(((Inputs!$G$5:$G$190="moeda")+(Inputs!$G$5:$G$190="acoes"))*Inputs!$B$1+((Inputs!$G$5:$G$190&lt;&gt;"moeda")*(Inputs!$G$5:$G$190&lt;&gt;"acoes")))*INDEX(Inputs!$K$5:$AJ$190,0,MATCH(P$2,Inputs!$K$4:$AJ$4,0)))+SUMPRODUCT((Inputs!$E$5:$E$190=$B10)*Inputs!$F$5:$F$190*(((Inputs!$G$5:$G$190="moeda")+(Inputs!$G$5:$G$190="acoes"))*Inputs!$B$1+((Inputs!$G$5:$G$190&lt;&gt;"moeda")*(Inputs!$G$5:$G$190&lt;&gt;"acoes")))*INDEX(Inputs!$K$5:$AJ$190,0,MATCH(P$2,Inputs!$K$4:$AJ$4,0)))))</f>
        <v>82.158320557504</v>
      </c>
      <c r="Q10" s="6">
        <f>IF(ISNA(MATCH(Q$2,Inputs!$K$4:$AJ$4,0)),NA(),IF(SUMPRODUCT((Inputs!$A$5:$A$190=$B10)*ISNUMBER(INDEX(Inputs!$K$5:$AJ$190,0,MATCH(Q$2,Inputs!$K$4:$AJ$4,0))))+SUMPRODUCT((Inputs!$C$5:$C$190=$B10)*ISNUMBER(INDEX(Inputs!$K$5:$AJ$190,0,MATCH(Q$2,Inputs!$K$4:$AJ$4,0))))+SUMPRODUCT((Inputs!$E$5:$E$190=$B10)*ISNUMBER(INDEX(Inputs!$K$5:$AJ$190,0,MATCH(Q$2,Inputs!$K$4:$AJ$4,0))))=0,NA(),SUMPRODUCT((Inputs!$A$5:$A$190=$B10)*Inputs!$B$5:$B$190*(((Inputs!$G$5:$G$190="moeda")+(Inputs!$G$5:$G$190="acoes"))*Inputs!$B$1+((Inputs!$G$5:$G$190&lt;&gt;"moeda")*(Inputs!$G$5:$G$190&lt;&gt;"acoes")))*INDEX(Inputs!$K$5:$AJ$190,0,MATCH(Q$2,Inputs!$K$4:$AJ$4,0)))+SUMPRODUCT((Inputs!$C$5:$C$190=$B10)*Inputs!$D$5:$D$190*(((Inputs!$G$5:$G$190="moeda")+(Inputs!$G$5:$G$190="acoes"))*Inputs!$B$1+((Inputs!$G$5:$G$190&lt;&gt;"moeda")*(Inputs!$G$5:$G$190&lt;&gt;"acoes")))*INDEX(Inputs!$K$5:$AJ$190,0,MATCH(Q$2,Inputs!$K$4:$AJ$4,0)))+SUMPRODUCT((Inputs!$E$5:$E$190=$B10)*Inputs!$F$5:$F$190*(((Inputs!$G$5:$G$190="moeda")+(Inputs!$G$5:$G$190="acoes"))*Inputs!$B$1+((Inputs!$G$5:$G$190&lt;&gt;"moeda")*(Inputs!$G$5:$G$190&lt;&gt;"acoes")))*INDEX(Inputs!$K$5:$AJ$190,0,MATCH(Q$2,Inputs!$K$4:$AJ$4,0)))))</f>
        <v>231.65526359095</v>
      </c>
      <c r="R10" s="3">
        <f>SUM(N10:Q10)</f>
        <v>377.205002781724</v>
      </c>
      <c r="S10" s="6">
        <f>IF(ISNA(MATCH(S$2,Inputs!$K$4:$AJ$4,0)),NA(),IF(SUMPRODUCT((Inputs!$A$5:$A$190=$B10)*ISNUMBER(INDEX(Inputs!$K$5:$AJ$190,0,MATCH(S$2,Inputs!$K$4:$AJ$4,0))))+SUMPRODUCT((Inputs!$C$5:$C$190=$B10)*ISNUMBER(INDEX(Inputs!$K$5:$AJ$190,0,MATCH(S$2,Inputs!$K$4:$AJ$4,0))))+SUMPRODUCT((Inputs!$E$5:$E$190=$B10)*ISNUMBER(INDEX(Inputs!$K$5:$AJ$190,0,MATCH(S$2,Inputs!$K$4:$AJ$4,0))))=0,NA(),SUMPRODUCT((Inputs!$A$5:$A$190=$B10)*Inputs!$B$5:$B$190*(((Inputs!$G$5:$G$190="moeda")+(Inputs!$G$5:$G$190="acoes"))*Inputs!$B$1+((Inputs!$G$5:$G$190&lt;&gt;"moeda")*(Inputs!$G$5:$G$190&lt;&gt;"acoes")))*INDEX(Inputs!$K$5:$AJ$190,0,MATCH(S$2,Inputs!$K$4:$AJ$4,0)))+SUMPRODUCT((Inputs!$C$5:$C$190=$B10)*Inputs!$D$5:$D$190*(((Inputs!$G$5:$G$190="moeda")+(Inputs!$G$5:$G$190="acoes"))*Inputs!$B$1+((Inputs!$G$5:$G$190&lt;&gt;"moeda")*(Inputs!$G$5:$G$190&lt;&gt;"acoes")))*INDEX(Inputs!$K$5:$AJ$190,0,MATCH(S$2,Inputs!$K$4:$AJ$4,0)))+SUMPRODUCT((Inputs!$E$5:$E$190=$B10)*Inputs!$F$5:$F$190*(((Inputs!$G$5:$G$190="moeda")+(Inputs!$G$5:$G$190="acoes"))*Inputs!$B$1+((Inputs!$G$5:$G$190&lt;&gt;"moeda")*(Inputs!$G$5:$G$190&lt;&gt;"acoes")))*INDEX(Inputs!$K$5:$AJ$190,0,MATCH(S$2,Inputs!$K$4:$AJ$4,0)))))</f>
        <v>-16.36550454</v>
      </c>
      <c r="T10" s="6">
        <f>IF(ISNA(MATCH(T$2,Inputs!$K$4:$AJ$4,0)),NA(),IF(SUMPRODUCT((Inputs!$A$5:$A$190=$B10)*ISNUMBER(INDEX(Inputs!$K$5:$AJ$190,0,MATCH(T$2,Inputs!$K$4:$AJ$4,0))))+SUMPRODUCT((Inputs!$C$5:$C$190=$B10)*ISNUMBER(INDEX(Inputs!$K$5:$AJ$190,0,MATCH(T$2,Inputs!$K$4:$AJ$4,0))))+SUMPRODUCT((Inputs!$E$5:$E$190=$B10)*ISNUMBER(INDEX(Inputs!$K$5:$AJ$190,0,MATCH(T$2,Inputs!$K$4:$AJ$4,0))))=0,NA(),SUMPRODUCT((Inputs!$A$5:$A$190=$B10)*Inputs!$B$5:$B$190*(((Inputs!$G$5:$G$190="moeda")+(Inputs!$G$5:$G$190="acoes"))*Inputs!$B$1+((Inputs!$G$5:$G$190&lt;&gt;"moeda")*(Inputs!$G$5:$G$190&lt;&gt;"acoes")))*INDEX(Inputs!$K$5:$AJ$190,0,MATCH(T$2,Inputs!$K$4:$AJ$4,0)))+SUMPRODUCT((Inputs!$C$5:$C$190=$B10)*Inputs!$D$5:$D$190*(((Inputs!$G$5:$G$190="moeda")+(Inputs!$G$5:$G$190="acoes"))*Inputs!$B$1+((Inputs!$G$5:$G$190&lt;&gt;"moeda")*(Inputs!$G$5:$G$190&lt;&gt;"acoes")))*INDEX(Inputs!$K$5:$AJ$190,0,MATCH(T$2,Inputs!$K$4:$AJ$4,0)))+SUMPRODUCT((Inputs!$E$5:$E$190=$B10)*Inputs!$F$5:$F$190*(((Inputs!$G$5:$G$190="moeda")+(Inputs!$G$5:$G$190="acoes"))*Inputs!$B$1+((Inputs!$G$5:$G$190&lt;&gt;"moeda")*(Inputs!$G$5:$G$190&lt;&gt;"acoes")))*INDEX(Inputs!$K$5:$AJ$190,0,MATCH(T$2,Inputs!$K$4:$AJ$4,0)))))</f>
        <v>-79.02701432</v>
      </c>
      <c r="U10" s="6">
        <f>IF(ISNA(MATCH(U$2,Inputs!$K$4:$AJ$4,0)),NA(),IF(SUMPRODUCT((Inputs!$A$5:$A$190=$B10)*ISNUMBER(INDEX(Inputs!$K$5:$AJ$190,0,MATCH(U$2,Inputs!$K$4:$AJ$4,0))))+SUMPRODUCT((Inputs!$C$5:$C$190=$B10)*ISNUMBER(INDEX(Inputs!$K$5:$AJ$190,0,MATCH(U$2,Inputs!$K$4:$AJ$4,0))))+SUMPRODUCT((Inputs!$E$5:$E$190=$B10)*ISNUMBER(INDEX(Inputs!$K$5:$AJ$190,0,MATCH(U$2,Inputs!$K$4:$AJ$4,0))))=0,NA(),SUMPRODUCT((Inputs!$A$5:$A$190=$B10)*Inputs!$B$5:$B$190*(((Inputs!$G$5:$G$190="moeda")+(Inputs!$G$5:$G$190="acoes"))*Inputs!$B$1+((Inputs!$G$5:$G$190&lt;&gt;"moeda")*(Inputs!$G$5:$G$190&lt;&gt;"acoes")))*INDEX(Inputs!$K$5:$AJ$190,0,MATCH(U$2,Inputs!$K$4:$AJ$4,0)))+SUMPRODUCT((Inputs!$C$5:$C$190=$B10)*Inputs!$D$5:$D$190*(((Inputs!$G$5:$G$190="moeda")+(Inputs!$G$5:$G$190="acoes"))*Inputs!$B$1+((Inputs!$G$5:$G$190&lt;&gt;"moeda")*(Inputs!$G$5:$G$190&lt;&gt;"acoes")))*INDEX(Inputs!$K$5:$AJ$190,0,MATCH(U$2,Inputs!$K$4:$AJ$4,0)))+SUMPRODUCT((Inputs!$E$5:$E$190=$B10)*Inputs!$F$5:$F$190*(((Inputs!$G$5:$G$190="moeda")+(Inputs!$G$5:$G$190="acoes"))*Inputs!$B$1+((Inputs!$G$5:$G$190&lt;&gt;"moeda")*(Inputs!$G$5:$G$190&lt;&gt;"acoes")))*INDEX(Inputs!$K$5:$AJ$190,0,MATCH(U$2,Inputs!$K$4:$AJ$4,0)))))</f>
        <v>-41.45635505</v>
      </c>
      <c r="V10" s="6">
        <f>IF(ISNA(MATCH(V$2,Inputs!$K$4:$AJ$4,0)),NA(),IF(SUMPRODUCT((Inputs!$A$5:$A$190=$B10)*ISNUMBER(INDEX(Inputs!$K$5:$AJ$190,0,MATCH(V$2,Inputs!$K$4:$AJ$4,0))))+SUMPRODUCT((Inputs!$C$5:$C$190=$B10)*ISNUMBER(INDEX(Inputs!$K$5:$AJ$190,0,MATCH(V$2,Inputs!$K$4:$AJ$4,0))))+SUMPRODUCT((Inputs!$E$5:$E$190=$B10)*ISNUMBER(INDEX(Inputs!$K$5:$AJ$190,0,MATCH(V$2,Inputs!$K$4:$AJ$4,0))))=0,NA(),SUMPRODUCT((Inputs!$A$5:$A$190=$B10)*Inputs!$B$5:$B$190*(((Inputs!$G$5:$G$190="moeda")+(Inputs!$G$5:$G$190="acoes"))*Inputs!$B$1+((Inputs!$G$5:$G$190&lt;&gt;"moeda")*(Inputs!$G$5:$G$190&lt;&gt;"acoes")))*INDEX(Inputs!$K$5:$AJ$190,0,MATCH(V$2,Inputs!$K$4:$AJ$4,0)))+SUMPRODUCT((Inputs!$C$5:$C$190=$B10)*Inputs!$D$5:$D$190*(((Inputs!$G$5:$G$190="moeda")+(Inputs!$G$5:$G$190="acoes"))*Inputs!$B$1+((Inputs!$G$5:$G$190&lt;&gt;"moeda")*(Inputs!$G$5:$G$190&lt;&gt;"acoes")))*INDEX(Inputs!$K$5:$AJ$190,0,MATCH(V$2,Inputs!$K$4:$AJ$4,0)))+SUMPRODUCT((Inputs!$E$5:$E$190=$B10)*Inputs!$F$5:$F$190*(((Inputs!$G$5:$G$190="moeda")+(Inputs!$G$5:$G$190="acoes"))*Inputs!$B$1+((Inputs!$G$5:$G$190&lt;&gt;"moeda")*(Inputs!$G$5:$G$190&lt;&gt;"acoes")))*INDEX(Inputs!$K$5:$AJ$190,0,MATCH(V$2,Inputs!$K$4:$AJ$4,0)))))</f>
        <v>-178.77275664</v>
      </c>
      <c r="W10" s="3">
        <f>SUM(S10:V10)</f>
        <v>-315.62163055</v>
      </c>
      <c r="X10" s="6">
        <f>IF(ISNA(MATCH(X$2,Inputs!$K$4:$AJ$4,0)),NA(),IF(SUMPRODUCT((Inputs!$A$5:$A$190=$B10)*ISNUMBER(INDEX(Inputs!$K$5:$AJ$190,0,MATCH(X$2,Inputs!$K$4:$AJ$4,0))))+SUMPRODUCT((Inputs!$C$5:$C$190=$B10)*ISNUMBER(INDEX(Inputs!$K$5:$AJ$190,0,MATCH(X$2,Inputs!$K$4:$AJ$4,0))))+SUMPRODUCT((Inputs!$E$5:$E$190=$B10)*ISNUMBER(INDEX(Inputs!$K$5:$AJ$190,0,MATCH(X$2,Inputs!$K$4:$AJ$4,0))))=0,NA(),SUMPRODUCT((Inputs!$A$5:$A$190=$B10)*Inputs!$B$5:$B$190*(((Inputs!$G$5:$G$190="moeda")+(Inputs!$G$5:$G$190="acoes"))*Inputs!$B$1+((Inputs!$G$5:$G$190&lt;&gt;"moeda")*(Inputs!$G$5:$G$190&lt;&gt;"acoes")))*INDEX(Inputs!$K$5:$AJ$190,0,MATCH(X$2,Inputs!$K$4:$AJ$4,0)))+SUMPRODUCT((Inputs!$C$5:$C$190=$B10)*Inputs!$D$5:$D$190*(((Inputs!$G$5:$G$190="moeda")+(Inputs!$G$5:$G$190="acoes"))*Inputs!$B$1+((Inputs!$G$5:$G$190&lt;&gt;"moeda")*(Inputs!$G$5:$G$190&lt;&gt;"acoes")))*INDEX(Inputs!$K$5:$AJ$190,0,MATCH(X$2,Inputs!$K$4:$AJ$4,0)))+SUMPRODUCT((Inputs!$E$5:$E$190=$B10)*Inputs!$F$5:$F$190*(((Inputs!$G$5:$G$190="moeda")+(Inputs!$G$5:$G$190="acoes"))*Inputs!$B$1+((Inputs!$G$5:$G$190&lt;&gt;"moeda")*(Inputs!$G$5:$G$190&lt;&gt;"acoes")))*INDEX(Inputs!$K$5:$AJ$190,0,MATCH(X$2,Inputs!$K$4:$AJ$4,0)))))</f>
        <v>33.11294772</v>
      </c>
      <c r="Y10" s="6">
        <f>IF(ISNA(MATCH(Y$2,Inputs!$K$4:$AJ$4,0)),NA(),IF(SUMPRODUCT((Inputs!$A$5:$A$190=$B10)*ISNUMBER(INDEX(Inputs!$K$5:$AJ$190,0,MATCH(Y$2,Inputs!$K$4:$AJ$4,0))))+SUMPRODUCT((Inputs!$C$5:$C$190=$B10)*ISNUMBER(INDEX(Inputs!$K$5:$AJ$190,0,MATCH(Y$2,Inputs!$K$4:$AJ$4,0))))+SUMPRODUCT((Inputs!$E$5:$E$190=$B10)*ISNUMBER(INDEX(Inputs!$K$5:$AJ$190,0,MATCH(Y$2,Inputs!$K$4:$AJ$4,0))))=0,NA(),SUMPRODUCT((Inputs!$A$5:$A$190=$B10)*Inputs!$B$5:$B$190*(((Inputs!$G$5:$G$190="moeda")+(Inputs!$G$5:$G$190="acoes"))*Inputs!$B$1+((Inputs!$G$5:$G$190&lt;&gt;"moeda")*(Inputs!$G$5:$G$190&lt;&gt;"acoes")))*INDEX(Inputs!$K$5:$AJ$190,0,MATCH(Y$2,Inputs!$K$4:$AJ$4,0)))+SUMPRODUCT((Inputs!$C$5:$C$190=$B10)*Inputs!$D$5:$D$190*(((Inputs!$G$5:$G$190="moeda")+(Inputs!$G$5:$G$190="acoes"))*Inputs!$B$1+((Inputs!$G$5:$G$190&lt;&gt;"moeda")*(Inputs!$G$5:$G$190&lt;&gt;"acoes")))*INDEX(Inputs!$K$5:$AJ$190,0,MATCH(Y$2,Inputs!$K$4:$AJ$4,0)))+SUMPRODUCT((Inputs!$E$5:$E$190=$B10)*Inputs!$F$5:$F$190*(((Inputs!$G$5:$G$190="moeda")+(Inputs!$G$5:$G$190="acoes"))*Inputs!$B$1+((Inputs!$G$5:$G$190&lt;&gt;"moeda")*(Inputs!$G$5:$G$190&lt;&gt;"acoes")))*INDEX(Inputs!$K$5:$AJ$190,0,MATCH(Y$2,Inputs!$K$4:$AJ$4,0)))))</f>
        <v>76.22104517</v>
      </c>
      <c r="Z10" s="6">
        <f>IF(ISNA(MATCH(Z$2,Inputs!$K$4:$AJ$4,0)),NA(),IF(SUMPRODUCT((Inputs!$A$5:$A$190=$B10)*ISNUMBER(INDEX(Inputs!$K$5:$AJ$190,0,MATCH(Z$2,Inputs!$K$4:$AJ$4,0))))+SUMPRODUCT((Inputs!$C$5:$C$190=$B10)*ISNUMBER(INDEX(Inputs!$K$5:$AJ$190,0,MATCH(Z$2,Inputs!$K$4:$AJ$4,0))))+SUMPRODUCT((Inputs!$E$5:$E$190=$B10)*ISNUMBER(INDEX(Inputs!$K$5:$AJ$190,0,MATCH(Z$2,Inputs!$K$4:$AJ$4,0))))=0,NA(),SUMPRODUCT((Inputs!$A$5:$A$190=$B10)*Inputs!$B$5:$B$190*(((Inputs!$G$5:$G$190="moeda")+(Inputs!$G$5:$G$190="acoes"))*Inputs!$B$1+((Inputs!$G$5:$G$190&lt;&gt;"moeda")*(Inputs!$G$5:$G$190&lt;&gt;"acoes")))*INDEX(Inputs!$K$5:$AJ$190,0,MATCH(Z$2,Inputs!$K$4:$AJ$4,0)))+SUMPRODUCT((Inputs!$C$5:$C$190=$B10)*Inputs!$D$5:$D$190*(((Inputs!$G$5:$G$190="moeda")+(Inputs!$G$5:$G$190="acoes"))*Inputs!$B$1+((Inputs!$G$5:$G$190&lt;&gt;"moeda")*(Inputs!$G$5:$G$190&lt;&gt;"acoes")))*INDEX(Inputs!$K$5:$AJ$190,0,MATCH(Z$2,Inputs!$K$4:$AJ$4,0)))+SUMPRODUCT((Inputs!$E$5:$E$190=$B10)*Inputs!$F$5:$F$190*(((Inputs!$G$5:$G$190="moeda")+(Inputs!$G$5:$G$190="acoes"))*Inputs!$B$1+((Inputs!$G$5:$G$190&lt;&gt;"moeda")*(Inputs!$G$5:$G$190&lt;&gt;"acoes")))*INDEX(Inputs!$K$5:$AJ$190,0,MATCH(Z$2,Inputs!$K$4:$AJ$4,0)))))</f>
        <v>83.7182697</v>
      </c>
      <c r="AA10" s="6">
        <f>IF(ISNA(MATCH(AA$2,Inputs!$K$4:$AJ$4,0)),NA(),IF(SUMPRODUCT((Inputs!$A$5:$A$190=$B10)*ISNUMBER(INDEX(Inputs!$K$5:$AJ$190,0,MATCH(AA$2,Inputs!$K$4:$AJ$4,0))))+SUMPRODUCT((Inputs!$C$5:$C$190=$B10)*ISNUMBER(INDEX(Inputs!$K$5:$AJ$190,0,MATCH(AA$2,Inputs!$K$4:$AJ$4,0))))+SUMPRODUCT((Inputs!$E$5:$E$190=$B10)*ISNUMBER(INDEX(Inputs!$K$5:$AJ$190,0,MATCH(AA$2,Inputs!$K$4:$AJ$4,0))))=0,NA(),SUMPRODUCT((Inputs!$A$5:$A$190=$B10)*Inputs!$B$5:$B$190*(((Inputs!$G$5:$G$190="moeda")+(Inputs!$G$5:$G$190="acoes"))*Inputs!$B$1+((Inputs!$G$5:$G$190&lt;&gt;"moeda")*(Inputs!$G$5:$G$190&lt;&gt;"acoes")))*INDEX(Inputs!$K$5:$AJ$190,0,MATCH(AA$2,Inputs!$K$4:$AJ$4,0)))+SUMPRODUCT((Inputs!$C$5:$C$190=$B10)*Inputs!$D$5:$D$190*(((Inputs!$G$5:$G$190="moeda")+(Inputs!$G$5:$G$190="acoes"))*Inputs!$B$1+((Inputs!$G$5:$G$190&lt;&gt;"moeda")*(Inputs!$G$5:$G$190&lt;&gt;"acoes")))*INDEX(Inputs!$K$5:$AJ$190,0,MATCH(AA$2,Inputs!$K$4:$AJ$4,0)))+SUMPRODUCT((Inputs!$E$5:$E$190=$B10)*Inputs!$F$5:$F$190*(((Inputs!$G$5:$G$190="moeda")+(Inputs!$G$5:$G$190="acoes"))*Inputs!$B$1+((Inputs!$G$5:$G$190&lt;&gt;"moeda")*(Inputs!$G$5:$G$190&lt;&gt;"acoes")))*INDEX(Inputs!$K$5:$AJ$190,0,MATCH(AA$2,Inputs!$K$4:$AJ$4,0)))))</f>
        <v>-239.26191702</v>
      </c>
      <c r="AB10" s="3">
        <f>SUM(X10:AA10)</f>
        <v>-46.20965443</v>
      </c>
      <c r="AC10" s="6">
        <f>IF(ISNA(MATCH(AC$2,Inputs!$K$4:$AJ$4,0)),NA(),IF(SUMPRODUCT((Inputs!$A$5:$A$190=$B10)*ISNUMBER(INDEX(Inputs!$K$5:$AJ$190,0,MATCH(AC$2,Inputs!$K$4:$AJ$4,0))))+SUMPRODUCT((Inputs!$C$5:$C$190=$B10)*ISNUMBER(INDEX(Inputs!$K$5:$AJ$190,0,MATCH(AC$2,Inputs!$K$4:$AJ$4,0))))+SUMPRODUCT((Inputs!$E$5:$E$190=$B10)*ISNUMBER(INDEX(Inputs!$K$5:$AJ$190,0,MATCH(AC$2,Inputs!$K$4:$AJ$4,0))))=0,NA(),SUMPRODUCT((Inputs!$A$5:$A$190=$B10)*Inputs!$B$5:$B$190*(((Inputs!$G$5:$G$190="moeda")+(Inputs!$G$5:$G$190="acoes"))*Inputs!$B$1+((Inputs!$G$5:$G$190&lt;&gt;"moeda")*(Inputs!$G$5:$G$190&lt;&gt;"acoes")))*INDEX(Inputs!$K$5:$AJ$190,0,MATCH(AC$2,Inputs!$K$4:$AJ$4,0)))+SUMPRODUCT((Inputs!$C$5:$C$190=$B10)*Inputs!$D$5:$D$190*(((Inputs!$G$5:$G$190="moeda")+(Inputs!$G$5:$G$190="acoes"))*Inputs!$B$1+((Inputs!$G$5:$G$190&lt;&gt;"moeda")*(Inputs!$G$5:$G$190&lt;&gt;"acoes")))*INDEX(Inputs!$K$5:$AJ$190,0,MATCH(AC$2,Inputs!$K$4:$AJ$4,0)))+SUMPRODUCT((Inputs!$E$5:$E$190=$B10)*Inputs!$F$5:$F$190*(((Inputs!$G$5:$G$190="moeda")+(Inputs!$G$5:$G$190="acoes"))*Inputs!$B$1+((Inputs!$G$5:$G$190&lt;&gt;"moeda")*(Inputs!$G$5:$G$190&lt;&gt;"acoes")))*INDEX(Inputs!$K$5:$AJ$190,0,MATCH(AC$2,Inputs!$K$4:$AJ$4,0)))))</f>
        <v>58.79669943</v>
      </c>
      <c r="AD10" s="6">
        <f>IF(ISNA(MATCH(AD$2,Inputs!$K$4:$AJ$4,0)),NA(),IF(SUMPRODUCT((Inputs!$A$5:$A$190=$B10)*ISNUMBER(INDEX(Inputs!$K$5:$AJ$190,0,MATCH(AD$2,Inputs!$K$4:$AJ$4,0))))+SUMPRODUCT((Inputs!$C$5:$C$190=$B10)*ISNUMBER(INDEX(Inputs!$K$5:$AJ$190,0,MATCH(AD$2,Inputs!$K$4:$AJ$4,0))))+SUMPRODUCT((Inputs!$E$5:$E$190=$B10)*ISNUMBER(INDEX(Inputs!$K$5:$AJ$190,0,MATCH(AD$2,Inputs!$K$4:$AJ$4,0))))=0,NA(),SUMPRODUCT((Inputs!$A$5:$A$190=$B10)*Inputs!$B$5:$B$190*(((Inputs!$G$5:$G$190="moeda")+(Inputs!$G$5:$G$190="acoes"))*Inputs!$B$1+((Inputs!$G$5:$G$190&lt;&gt;"moeda")*(Inputs!$G$5:$G$190&lt;&gt;"acoes")))*INDEX(Inputs!$K$5:$AJ$190,0,MATCH(AD$2,Inputs!$K$4:$AJ$4,0)))+SUMPRODUCT((Inputs!$C$5:$C$190=$B10)*Inputs!$D$5:$D$190*(((Inputs!$G$5:$G$190="moeda")+(Inputs!$G$5:$G$190="acoes"))*Inputs!$B$1+((Inputs!$G$5:$G$190&lt;&gt;"moeda")*(Inputs!$G$5:$G$190&lt;&gt;"acoes")))*INDEX(Inputs!$K$5:$AJ$190,0,MATCH(AD$2,Inputs!$K$4:$AJ$4,0)))+SUMPRODUCT((Inputs!$E$5:$E$190=$B10)*Inputs!$F$5:$F$190*(((Inputs!$G$5:$G$190="moeda")+(Inputs!$G$5:$G$190="acoes"))*Inputs!$B$1+((Inputs!$G$5:$G$190&lt;&gt;"moeda")*(Inputs!$G$5:$G$190&lt;&gt;"acoes")))*INDEX(Inputs!$K$5:$AJ$190,0,MATCH(AD$2,Inputs!$K$4:$AJ$4,0)))))</f>
        <v>40.52143457</v>
      </c>
      <c r="AE10" s="6" t="e">
        <f>IF(ISNA(MATCH(AE$2,Inputs!$K$4:$AJ$4,0)),NA(),IF(SUMPRODUCT((Inputs!$A$5:$A$190=$B10)*ISNUMBER(INDEX(Inputs!$K$5:$AJ$190,0,MATCH(AE$2,Inputs!$K$4:$AJ$4,0))))+SUMPRODUCT((Inputs!$C$5:$C$190=$B10)*ISNUMBER(INDEX(Inputs!$K$5:$AJ$190,0,MATCH(AE$2,Inputs!$K$4:$AJ$4,0))))+SUMPRODUCT((Inputs!$E$5:$E$190=$B10)*ISNUMBER(INDEX(Inputs!$K$5:$AJ$190,0,MATCH(AE$2,Inputs!$K$4:$AJ$4,0))))=0,NA(),SUMPRODUCT((Inputs!$A$5:$A$190=$B10)*Inputs!$B$5:$B$190*(((Inputs!$G$5:$G$190="moeda")+(Inputs!$G$5:$G$190="acoes"))*Inputs!$B$1+((Inputs!$G$5:$G$190&lt;&gt;"moeda")*(Inputs!$G$5:$G$190&lt;&gt;"acoes")))*INDEX(Inputs!$K$5:$AJ$190,0,MATCH(AE$2,Inputs!$K$4:$AJ$4,0)))+SUMPRODUCT((Inputs!$C$5:$C$190=$B10)*Inputs!$D$5:$D$190*(((Inputs!$G$5:$G$190="moeda")+(Inputs!$G$5:$G$190="acoes"))*Inputs!$B$1+((Inputs!$G$5:$G$190&lt;&gt;"moeda")*(Inputs!$G$5:$G$190&lt;&gt;"acoes")))*INDEX(Inputs!$K$5:$AJ$190,0,MATCH(AE$2,Inputs!$K$4:$AJ$4,0)))+SUMPRODUCT((Inputs!$E$5:$E$190=$B10)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10" s="6" t="e">
        <f>IF(ISNA(MATCH(AF$2,Inputs!$K$4:$AJ$4,0)),NA(),IF(SUMPRODUCT((Inputs!$A$5:$A$190=$B10)*ISNUMBER(INDEX(Inputs!$K$5:$AJ$190,0,MATCH(AF$2,Inputs!$K$4:$AJ$4,0))))+SUMPRODUCT((Inputs!$C$5:$C$190=$B10)*ISNUMBER(INDEX(Inputs!$K$5:$AJ$190,0,MATCH(AF$2,Inputs!$K$4:$AJ$4,0))))+SUMPRODUCT((Inputs!$E$5:$E$190=$B10)*ISNUMBER(INDEX(Inputs!$K$5:$AJ$190,0,MATCH(AF$2,Inputs!$K$4:$AJ$4,0))))=0,NA(),SUMPRODUCT((Inputs!$A$5:$A$190=$B10)*Inputs!$B$5:$B$190*(((Inputs!$G$5:$G$190="moeda")+(Inputs!$G$5:$G$190="acoes"))*Inputs!$B$1+((Inputs!$G$5:$G$190&lt;&gt;"moeda")*(Inputs!$G$5:$G$190&lt;&gt;"acoes")))*INDEX(Inputs!$K$5:$AJ$190,0,MATCH(AF$2,Inputs!$K$4:$AJ$4,0)))+SUMPRODUCT((Inputs!$C$5:$C$190=$B10)*Inputs!$D$5:$D$190*(((Inputs!$G$5:$G$190="moeda")+(Inputs!$G$5:$G$190="acoes"))*Inputs!$B$1+((Inputs!$G$5:$G$190&lt;&gt;"moeda")*(Inputs!$G$5:$G$190&lt;&gt;"acoes")))*INDEX(Inputs!$K$5:$AJ$190,0,MATCH(AF$2,Inputs!$K$4:$AJ$4,0)))+SUMPRODUCT((Inputs!$E$5:$E$190=$B10)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10" s="3" t="e">
        <f>SUM(AC10:AF10)</f>
        <v>#N/A</v>
      </c>
      <c r="AH10" s="6">
        <f>IF(ISNA(MATCH(AH$2,Inputs!$K$4:$AJ$4,0)),NA(),IF(SUMPRODUCT((Inputs!$A$5:$A$190=$B10)*ISNUMBER(INDEX(Inputs!$K$5:$AJ$190,0,MATCH(AH$2,Inputs!$K$4:$AJ$4,0))))+SUMPRODUCT((Inputs!$C$5:$C$190=$B10)*ISNUMBER(INDEX(Inputs!$K$5:$AJ$190,0,MATCH(AH$2,Inputs!$K$4:$AJ$4,0))))+SUMPRODUCT((Inputs!$E$5:$E$190=$B10)*ISNUMBER(INDEX(Inputs!$K$5:$AJ$190,0,MATCH(AH$2,Inputs!$K$4:$AJ$4,0))))=0,NA(),SUMPRODUCT((Inputs!$A$5:$A$190=$B10)*Inputs!$B$5:$B$190*(((Inputs!$G$5:$G$190="moeda")+(Inputs!$G$5:$G$190="acoes"))*Inputs!$B$1+((Inputs!$G$5:$G$190&lt;&gt;"moeda")*(Inputs!$G$5:$G$190&lt;&gt;"acoes")))*INDEX(Inputs!$K$5:$AJ$190,0,MATCH(AH$2,Inputs!$K$4:$AJ$4,0)))+SUMPRODUCT((Inputs!$C$5:$C$190=$B10)*Inputs!$D$5:$D$190*(((Inputs!$G$5:$G$190="moeda")+(Inputs!$G$5:$G$190="acoes"))*Inputs!$B$1+((Inputs!$G$5:$G$190&lt;&gt;"moeda")*(Inputs!$G$5:$G$190&lt;&gt;"acoes")))*INDEX(Inputs!$K$5:$AJ$190,0,MATCH(AH$2,Inputs!$K$4:$AJ$4,0)))+SUMPRODUCT((Inputs!$E$5:$E$190=$B10)*Inputs!$F$5:$F$190*(((Inputs!$G$5:$G$190="moeda")+(Inputs!$G$5:$G$190="acoes"))*Inputs!$B$1+((Inputs!$G$5:$G$190&lt;&gt;"moeda")*(Inputs!$G$5:$G$190&lt;&gt;"acoes")))*INDEX(Inputs!$K$5:$AJ$190,0,MATCH(AH$2,Inputs!$K$4:$AJ$4,0)))))</f>
        <v>-32.6364575</v>
      </c>
      <c r="AI10" s="6">
        <f>IF(ISNA(MATCH(AI$2,Inputs!$K$4:$AJ$4,0)),NA(),IF(SUMPRODUCT((Inputs!$A$5:$A$190=$B10)*ISNUMBER(INDEX(Inputs!$K$5:$AJ$190,0,MATCH(AI$2,Inputs!$K$4:$AJ$4,0))))+SUMPRODUCT((Inputs!$C$5:$C$190=$B10)*ISNUMBER(INDEX(Inputs!$K$5:$AJ$190,0,MATCH(AI$2,Inputs!$K$4:$AJ$4,0))))+SUMPRODUCT((Inputs!$E$5:$E$190=$B10)*ISNUMBER(INDEX(Inputs!$K$5:$AJ$190,0,MATCH(AI$2,Inputs!$K$4:$AJ$4,0))))=0,NA(),SUMPRODUCT((Inputs!$A$5:$A$190=$B10)*Inputs!$B$5:$B$190*(((Inputs!$G$5:$G$190="moeda")+(Inputs!$G$5:$G$190="acoes"))*Inputs!$B$1+((Inputs!$G$5:$G$190&lt;&gt;"moeda")*(Inputs!$G$5:$G$190&lt;&gt;"acoes")))*INDEX(Inputs!$K$5:$AJ$190,0,MATCH(AI$2,Inputs!$K$4:$AJ$4,0)))+SUMPRODUCT((Inputs!$C$5:$C$190=$B10)*Inputs!$D$5:$D$190*(((Inputs!$G$5:$G$190="moeda")+(Inputs!$G$5:$G$190="acoes"))*Inputs!$B$1+((Inputs!$G$5:$G$190&lt;&gt;"moeda")*(Inputs!$G$5:$G$190&lt;&gt;"acoes")))*INDEX(Inputs!$K$5:$AJ$190,0,MATCH(AI$2,Inputs!$K$4:$AJ$4,0)))+SUMPRODUCT((Inputs!$E$5:$E$190=$B10)*Inputs!$F$5:$F$190*(((Inputs!$G$5:$G$190="moeda")+(Inputs!$G$5:$G$190="acoes"))*Inputs!$B$1+((Inputs!$G$5:$G$190&lt;&gt;"moeda")*(Inputs!$G$5:$G$190&lt;&gt;"acoes")))*INDEX(Inputs!$K$5:$AJ$190,0,MATCH(AI$2,Inputs!$K$4:$AJ$4,0)))))</f>
        <v>-144.96426611</v>
      </c>
      <c r="AJ10" s="6">
        <f>IF(ISNA(MATCH(AJ$2,Inputs!$K$4:$AJ$4,0)),NA(),IF(SUMPRODUCT((Inputs!$A$5:$A$190=$B10)*ISNUMBER(INDEX(Inputs!$K$5:$AJ$190,0,MATCH(AJ$2,Inputs!$K$4:$AJ$4,0))))+SUMPRODUCT((Inputs!$C$5:$C$190=$B10)*ISNUMBER(INDEX(Inputs!$K$5:$AJ$190,0,MATCH(AJ$2,Inputs!$K$4:$AJ$4,0))))+SUMPRODUCT((Inputs!$E$5:$E$190=$B10)*ISNUMBER(INDEX(Inputs!$K$5:$AJ$190,0,MATCH(AJ$2,Inputs!$K$4:$AJ$4,0))))=0,NA(),SUMPRODUCT((Inputs!$A$5:$A$190=$B10)*Inputs!$B$5:$B$190*(((Inputs!$G$5:$G$190="moeda")+(Inputs!$G$5:$G$190="acoes"))*Inputs!$B$1+((Inputs!$G$5:$G$190&lt;&gt;"moeda")*(Inputs!$G$5:$G$190&lt;&gt;"acoes")))*INDEX(Inputs!$K$5:$AJ$190,0,MATCH(AJ$2,Inputs!$K$4:$AJ$4,0)))+SUMPRODUCT((Inputs!$C$5:$C$190=$B10)*Inputs!$D$5:$D$190*(((Inputs!$G$5:$G$190="moeda")+(Inputs!$G$5:$G$190="acoes"))*Inputs!$B$1+((Inputs!$G$5:$G$190&lt;&gt;"moeda")*(Inputs!$G$5:$G$190&lt;&gt;"acoes")))*INDEX(Inputs!$K$5:$AJ$190,0,MATCH(AJ$2,Inputs!$K$4:$AJ$4,0)))+SUMPRODUCT((Inputs!$E$5:$E$190=$B10)*Inputs!$F$5:$F$190*(((Inputs!$G$5:$G$190="moeda")+(Inputs!$G$5:$G$190="acoes"))*Inputs!$B$1+((Inputs!$G$5:$G$190&lt;&gt;"moeda")*(Inputs!$G$5:$G$190&lt;&gt;"acoes")))*INDEX(Inputs!$K$5:$AJ$190,0,MATCH(AJ$2,Inputs!$K$4:$AJ$4,0)))))</f>
        <v>-45.56421225</v>
      </c>
      <c r="AK10" s="6">
        <f>IF(ISNA(MATCH(AK$2,Inputs!$K$4:$AJ$4,0)),NA(),IF(SUMPRODUCT((Inputs!$A$5:$A$190=$B10)*ISNUMBER(INDEX(Inputs!$K$5:$AJ$190,0,MATCH(AK$2,Inputs!$K$4:$AJ$4,0))))+SUMPRODUCT((Inputs!$C$5:$C$190=$B10)*ISNUMBER(INDEX(Inputs!$K$5:$AJ$190,0,MATCH(AK$2,Inputs!$K$4:$AJ$4,0))))+SUMPRODUCT((Inputs!$E$5:$E$190=$B10)*ISNUMBER(INDEX(Inputs!$K$5:$AJ$190,0,MATCH(AK$2,Inputs!$K$4:$AJ$4,0))))=0,NA(),SUMPRODUCT((Inputs!$A$5:$A$190=$B10)*Inputs!$B$5:$B$190*(((Inputs!$G$5:$G$190="moeda")+(Inputs!$G$5:$G$190="acoes"))*Inputs!$B$1+((Inputs!$G$5:$G$190&lt;&gt;"moeda")*(Inputs!$G$5:$G$190&lt;&gt;"acoes")))*INDEX(Inputs!$K$5:$AJ$190,0,MATCH(AK$2,Inputs!$K$4:$AJ$4,0)))+SUMPRODUCT((Inputs!$C$5:$C$190=$B10)*Inputs!$D$5:$D$190*(((Inputs!$G$5:$G$190="moeda")+(Inputs!$G$5:$G$190="acoes"))*Inputs!$B$1+((Inputs!$G$5:$G$190&lt;&gt;"moeda")*(Inputs!$G$5:$G$190&lt;&gt;"acoes")))*INDEX(Inputs!$K$5:$AJ$190,0,MATCH(AK$2,Inputs!$K$4:$AJ$4,0)))+SUMPRODUCT((Inputs!$E$5:$E$190=$B10)*Inputs!$F$5:$F$190*(((Inputs!$G$5:$G$190="moeda")+(Inputs!$G$5:$G$190="acoes"))*Inputs!$B$1+((Inputs!$G$5:$G$190&lt;&gt;"moeda")*(Inputs!$G$5:$G$190&lt;&gt;"acoes")))*INDEX(Inputs!$K$5:$AJ$190,0,MATCH(AK$2,Inputs!$K$4:$AJ$4,0)))))</f>
        <v>-59.1107329932</v>
      </c>
      <c r="AL10" s="3">
        <f>SUM(AH10:AK10)</f>
        <v>-282.2756688532</v>
      </c>
    </row>
    <row r="11">
      <c r="B11" s="46" t="n">
        <v>8</v>
      </c>
      <c r="C11" s="26" t="inlineStr">
        <is>
          <t>Equity in Income of Affiliates, after tax (enter as +)</t>
        </is>
      </c>
      <c r="D11" s="6" t="e">
        <f>IF(ISNA(MATCH(D$2,Inputs!$K$4:$AJ$4,0)),NA(),IF(SUMPRODUCT((Inputs!$A$5:$A$190=$B11)*ISNUMBER(INDEX(Inputs!$K$5:$AJ$190,0,MATCH(D$2,Inputs!$K$4:$AJ$4,0))))+SUMPRODUCT((Inputs!$C$5:$C$190=$B11)*ISNUMBER(INDEX(Inputs!$K$5:$AJ$190,0,MATCH(D$2,Inputs!$K$4:$AJ$4,0))))+SUMPRODUCT((Inputs!$E$5:$E$190=$B11)*ISNUMBER(INDEX(Inputs!$K$5:$AJ$190,0,MATCH(D$2,Inputs!$K$4:$AJ$4,0))))=0,NA(),SUMPRODUCT((Inputs!$A$5:$A$190=$B11)*Inputs!$B$5:$B$190*(((Inputs!$G$5:$G$190="moeda")+(Inputs!$G$5:$G$190="acoes"))*Inputs!$B$1+((Inputs!$G$5:$G$190&lt;&gt;"moeda")*(Inputs!$G$5:$G$190&lt;&gt;"acoes")))*INDEX(Inputs!$K$5:$AJ$190,0,MATCH(D$2,Inputs!$K$4:$AJ$4,0)))+SUMPRODUCT((Inputs!$C$5:$C$190=$B11)*Inputs!$D$5:$D$190*(((Inputs!$G$5:$G$190="moeda")+(Inputs!$G$5:$G$190="acoes"))*Inputs!$B$1+((Inputs!$G$5:$G$190&lt;&gt;"moeda")*(Inputs!$G$5:$G$190&lt;&gt;"acoes")))*INDEX(Inputs!$K$5:$AJ$190,0,MATCH(D$2,Inputs!$K$4:$AJ$4,0)))+SUMPRODUCT((Inputs!$E$5:$E$190=$B11)*Inputs!$F$5:$F$190*(((Inputs!$G$5:$G$190="moeda")+(Inputs!$G$5:$G$190="acoes"))*Inputs!$B$1+((Inputs!$G$5:$G$190&lt;&gt;"moeda")*(Inputs!$G$5:$G$190&lt;&gt;"acoes")))*INDEX(Inputs!$K$5:$AJ$190,0,MATCH(D$2,Inputs!$K$4:$AJ$4,0)))))</f>
        <v>#N/A</v>
      </c>
      <c r="E11" s="6" t="e">
        <f>IF(ISNA(MATCH(E$2,Inputs!$K$4:$AJ$4,0)),NA(),IF(SUMPRODUCT((Inputs!$A$5:$A$190=$B11)*ISNUMBER(INDEX(Inputs!$K$5:$AJ$190,0,MATCH(E$2,Inputs!$K$4:$AJ$4,0))))+SUMPRODUCT((Inputs!$C$5:$C$190=$B11)*ISNUMBER(INDEX(Inputs!$K$5:$AJ$190,0,MATCH(E$2,Inputs!$K$4:$AJ$4,0))))+SUMPRODUCT((Inputs!$E$5:$E$190=$B11)*ISNUMBER(INDEX(Inputs!$K$5:$AJ$190,0,MATCH(E$2,Inputs!$K$4:$AJ$4,0))))=0,NA(),SUMPRODUCT((Inputs!$A$5:$A$190=$B11)*Inputs!$B$5:$B$190*(((Inputs!$G$5:$G$190="moeda")+(Inputs!$G$5:$G$190="acoes"))*Inputs!$B$1+((Inputs!$G$5:$G$190&lt;&gt;"moeda")*(Inputs!$G$5:$G$190&lt;&gt;"acoes")))*INDEX(Inputs!$K$5:$AJ$190,0,MATCH(E$2,Inputs!$K$4:$AJ$4,0)))+SUMPRODUCT((Inputs!$C$5:$C$190=$B11)*Inputs!$D$5:$D$190*(((Inputs!$G$5:$G$190="moeda")+(Inputs!$G$5:$G$190="acoes"))*Inputs!$B$1+((Inputs!$G$5:$G$190&lt;&gt;"moeda")*(Inputs!$G$5:$G$190&lt;&gt;"acoes")))*INDEX(Inputs!$K$5:$AJ$190,0,MATCH(E$2,Inputs!$K$4:$AJ$4,0)))+SUMPRODUCT((Inputs!$E$5:$E$190=$B11)*Inputs!$F$5:$F$190*(((Inputs!$G$5:$G$190="moeda")+(Inputs!$G$5:$G$190="acoes"))*Inputs!$B$1+((Inputs!$G$5:$G$190&lt;&gt;"moeda")*(Inputs!$G$5:$G$190&lt;&gt;"acoes")))*INDEX(Inputs!$K$5:$AJ$190,0,MATCH(E$2,Inputs!$K$4:$AJ$4,0)))))</f>
        <v>#N/A</v>
      </c>
      <c r="F11" s="6" t="e">
        <f>IF(ISNA(MATCH(F$2,Inputs!$K$4:$AJ$4,0)),NA(),IF(SUMPRODUCT((Inputs!$A$5:$A$190=$B11)*ISNUMBER(INDEX(Inputs!$K$5:$AJ$190,0,MATCH(F$2,Inputs!$K$4:$AJ$4,0))))+SUMPRODUCT((Inputs!$C$5:$C$190=$B11)*ISNUMBER(INDEX(Inputs!$K$5:$AJ$190,0,MATCH(F$2,Inputs!$K$4:$AJ$4,0))))+SUMPRODUCT((Inputs!$E$5:$E$190=$B11)*ISNUMBER(INDEX(Inputs!$K$5:$AJ$190,0,MATCH(F$2,Inputs!$K$4:$AJ$4,0))))=0,NA(),SUMPRODUCT((Inputs!$A$5:$A$190=$B11)*Inputs!$B$5:$B$190*(((Inputs!$G$5:$G$190="moeda")+(Inputs!$G$5:$G$190="acoes"))*Inputs!$B$1+((Inputs!$G$5:$G$190&lt;&gt;"moeda")*(Inputs!$G$5:$G$190&lt;&gt;"acoes")))*INDEX(Inputs!$K$5:$AJ$190,0,MATCH(F$2,Inputs!$K$4:$AJ$4,0)))+SUMPRODUCT((Inputs!$C$5:$C$190=$B11)*Inputs!$D$5:$D$190*(((Inputs!$G$5:$G$190="moeda")+(Inputs!$G$5:$G$190="acoes"))*Inputs!$B$1+((Inputs!$G$5:$G$190&lt;&gt;"moeda")*(Inputs!$G$5:$G$190&lt;&gt;"acoes")))*INDEX(Inputs!$K$5:$AJ$190,0,MATCH(F$2,Inputs!$K$4:$AJ$4,0)))+SUMPRODUCT((Inputs!$E$5:$E$190=$B11)*Inputs!$F$5:$F$190*(((Inputs!$G$5:$G$190="moeda")+(Inputs!$G$5:$G$190="acoes"))*Inputs!$B$1+((Inputs!$G$5:$G$190&lt;&gt;"moeda")*(Inputs!$G$5:$G$190&lt;&gt;"acoes")))*INDEX(Inputs!$K$5:$AJ$190,0,MATCH(F$2,Inputs!$K$4:$AJ$4,0)))))</f>
        <v>#N/A</v>
      </c>
      <c r="G11" s="6" t="e">
        <f>IF(ISNA(MATCH(G$2,Inputs!$K$4:$AJ$4,0)),NA(),IF(SUMPRODUCT((Inputs!$A$5:$A$190=$B11)*ISNUMBER(INDEX(Inputs!$K$5:$AJ$190,0,MATCH(G$2,Inputs!$K$4:$AJ$4,0))))+SUMPRODUCT((Inputs!$C$5:$C$190=$B11)*ISNUMBER(INDEX(Inputs!$K$5:$AJ$190,0,MATCH(G$2,Inputs!$K$4:$AJ$4,0))))+SUMPRODUCT((Inputs!$E$5:$E$190=$B11)*ISNUMBER(INDEX(Inputs!$K$5:$AJ$190,0,MATCH(G$2,Inputs!$K$4:$AJ$4,0))))=0,NA(),SUMPRODUCT((Inputs!$A$5:$A$190=$B11)*Inputs!$B$5:$B$190*(((Inputs!$G$5:$G$190="moeda")+(Inputs!$G$5:$G$190="acoes"))*Inputs!$B$1+((Inputs!$G$5:$G$190&lt;&gt;"moeda")*(Inputs!$G$5:$G$190&lt;&gt;"acoes")))*INDEX(Inputs!$K$5:$AJ$190,0,MATCH(G$2,Inputs!$K$4:$AJ$4,0)))+SUMPRODUCT((Inputs!$C$5:$C$190=$B11)*Inputs!$D$5:$D$190*(((Inputs!$G$5:$G$190="moeda")+(Inputs!$G$5:$G$190="acoes"))*Inputs!$B$1+((Inputs!$G$5:$G$190&lt;&gt;"moeda")*(Inputs!$G$5:$G$190&lt;&gt;"acoes")))*INDEX(Inputs!$K$5:$AJ$190,0,MATCH(G$2,Inputs!$K$4:$AJ$4,0)))+SUMPRODUCT((Inputs!$E$5:$E$190=$B11)*Inputs!$F$5:$F$190*(((Inputs!$G$5:$G$190="moeda")+(Inputs!$G$5:$G$190="acoes"))*Inputs!$B$1+((Inputs!$G$5:$G$190&lt;&gt;"moeda")*(Inputs!$G$5:$G$190&lt;&gt;"acoes")))*INDEX(Inputs!$K$5:$AJ$190,0,MATCH(G$2,Inputs!$K$4:$AJ$4,0)))))</f>
        <v>#N/A</v>
      </c>
      <c r="H11" s="3" t="e">
        <f>SUM(D11:G11)</f>
        <v>#N/A</v>
      </c>
      <c r="I11" s="6" t="e">
        <f>IF(ISNA(MATCH(I$2,Inputs!$K$4:$AJ$4,0)),NA(),IF(SUMPRODUCT((Inputs!$A$5:$A$190=$B11)*ISNUMBER(INDEX(Inputs!$K$5:$AJ$190,0,MATCH(I$2,Inputs!$K$4:$AJ$4,0))))+SUMPRODUCT((Inputs!$C$5:$C$190=$B11)*ISNUMBER(INDEX(Inputs!$K$5:$AJ$190,0,MATCH(I$2,Inputs!$K$4:$AJ$4,0))))+SUMPRODUCT((Inputs!$E$5:$E$190=$B11)*ISNUMBER(INDEX(Inputs!$K$5:$AJ$190,0,MATCH(I$2,Inputs!$K$4:$AJ$4,0))))=0,NA(),SUMPRODUCT((Inputs!$A$5:$A$190=$B11)*Inputs!$B$5:$B$190*(((Inputs!$G$5:$G$190="moeda")+(Inputs!$G$5:$G$190="acoes"))*Inputs!$B$1+((Inputs!$G$5:$G$190&lt;&gt;"moeda")*(Inputs!$G$5:$G$190&lt;&gt;"acoes")))*INDEX(Inputs!$K$5:$AJ$190,0,MATCH(I$2,Inputs!$K$4:$AJ$4,0)))+SUMPRODUCT((Inputs!$C$5:$C$190=$B11)*Inputs!$D$5:$D$190*(((Inputs!$G$5:$G$190="moeda")+(Inputs!$G$5:$G$190="acoes"))*Inputs!$B$1+((Inputs!$G$5:$G$190&lt;&gt;"moeda")*(Inputs!$G$5:$G$190&lt;&gt;"acoes")))*INDEX(Inputs!$K$5:$AJ$190,0,MATCH(I$2,Inputs!$K$4:$AJ$4,0)))+SUMPRODUCT((Inputs!$E$5:$E$190=$B11)*Inputs!$F$5:$F$190*(((Inputs!$G$5:$G$190="moeda")+(Inputs!$G$5:$G$190="acoes"))*Inputs!$B$1+((Inputs!$G$5:$G$190&lt;&gt;"moeda")*(Inputs!$G$5:$G$190&lt;&gt;"acoes")))*INDEX(Inputs!$K$5:$AJ$190,0,MATCH(I$2,Inputs!$K$4:$AJ$4,0)))))</f>
        <v>#N/A</v>
      </c>
      <c r="J11" s="6" t="e">
        <f>IF(ISNA(MATCH(J$2,Inputs!$K$4:$AJ$4,0)),NA(),IF(SUMPRODUCT((Inputs!$A$5:$A$190=$B11)*ISNUMBER(INDEX(Inputs!$K$5:$AJ$190,0,MATCH(J$2,Inputs!$K$4:$AJ$4,0))))+SUMPRODUCT((Inputs!$C$5:$C$190=$B11)*ISNUMBER(INDEX(Inputs!$K$5:$AJ$190,0,MATCH(J$2,Inputs!$K$4:$AJ$4,0))))+SUMPRODUCT((Inputs!$E$5:$E$190=$B11)*ISNUMBER(INDEX(Inputs!$K$5:$AJ$190,0,MATCH(J$2,Inputs!$K$4:$AJ$4,0))))=0,NA(),SUMPRODUCT((Inputs!$A$5:$A$190=$B11)*Inputs!$B$5:$B$190*(((Inputs!$G$5:$G$190="moeda")+(Inputs!$G$5:$G$190="acoes"))*Inputs!$B$1+((Inputs!$G$5:$G$190&lt;&gt;"moeda")*(Inputs!$G$5:$G$190&lt;&gt;"acoes")))*INDEX(Inputs!$K$5:$AJ$190,0,MATCH(J$2,Inputs!$K$4:$AJ$4,0)))+SUMPRODUCT((Inputs!$C$5:$C$190=$B11)*Inputs!$D$5:$D$190*(((Inputs!$G$5:$G$190="moeda")+(Inputs!$G$5:$G$190="acoes"))*Inputs!$B$1+((Inputs!$G$5:$G$190&lt;&gt;"moeda")*(Inputs!$G$5:$G$190&lt;&gt;"acoes")))*INDEX(Inputs!$K$5:$AJ$190,0,MATCH(J$2,Inputs!$K$4:$AJ$4,0)))+SUMPRODUCT((Inputs!$E$5:$E$190=$B11)*Inputs!$F$5:$F$190*(((Inputs!$G$5:$G$190="moeda")+(Inputs!$G$5:$G$190="acoes"))*Inputs!$B$1+((Inputs!$G$5:$G$190&lt;&gt;"moeda")*(Inputs!$G$5:$G$190&lt;&gt;"acoes")))*INDEX(Inputs!$K$5:$AJ$190,0,MATCH(J$2,Inputs!$K$4:$AJ$4,0)))))</f>
        <v>#N/A</v>
      </c>
      <c r="K11" s="6" t="e">
        <f>IF(ISNA(MATCH(K$2,Inputs!$K$4:$AJ$4,0)),NA(),IF(SUMPRODUCT((Inputs!$A$5:$A$190=$B11)*ISNUMBER(INDEX(Inputs!$K$5:$AJ$190,0,MATCH(K$2,Inputs!$K$4:$AJ$4,0))))+SUMPRODUCT((Inputs!$C$5:$C$190=$B11)*ISNUMBER(INDEX(Inputs!$K$5:$AJ$190,0,MATCH(K$2,Inputs!$K$4:$AJ$4,0))))+SUMPRODUCT((Inputs!$E$5:$E$190=$B11)*ISNUMBER(INDEX(Inputs!$K$5:$AJ$190,0,MATCH(K$2,Inputs!$K$4:$AJ$4,0))))=0,NA(),SUMPRODUCT((Inputs!$A$5:$A$190=$B11)*Inputs!$B$5:$B$190*(((Inputs!$G$5:$G$190="moeda")+(Inputs!$G$5:$G$190="acoes"))*Inputs!$B$1+((Inputs!$G$5:$G$190&lt;&gt;"moeda")*(Inputs!$G$5:$G$190&lt;&gt;"acoes")))*INDEX(Inputs!$K$5:$AJ$190,0,MATCH(K$2,Inputs!$K$4:$AJ$4,0)))+SUMPRODUCT((Inputs!$C$5:$C$190=$B11)*Inputs!$D$5:$D$190*(((Inputs!$G$5:$G$190="moeda")+(Inputs!$G$5:$G$190="acoes"))*Inputs!$B$1+((Inputs!$G$5:$G$190&lt;&gt;"moeda")*(Inputs!$G$5:$G$190&lt;&gt;"acoes")))*INDEX(Inputs!$K$5:$AJ$190,0,MATCH(K$2,Inputs!$K$4:$AJ$4,0)))+SUMPRODUCT((Inputs!$E$5:$E$190=$B11)*Inputs!$F$5:$F$190*(((Inputs!$G$5:$G$190="moeda")+(Inputs!$G$5:$G$190="acoes"))*Inputs!$B$1+((Inputs!$G$5:$G$190&lt;&gt;"moeda")*(Inputs!$G$5:$G$190&lt;&gt;"acoes")))*INDEX(Inputs!$K$5:$AJ$190,0,MATCH(K$2,Inputs!$K$4:$AJ$4,0)))))</f>
        <v>#N/A</v>
      </c>
      <c r="L11" s="6" t="e">
        <f>IF(ISNA(MATCH(L$2,Inputs!$K$4:$AJ$4,0)),NA(),IF(SUMPRODUCT((Inputs!$A$5:$A$190=$B11)*ISNUMBER(INDEX(Inputs!$K$5:$AJ$190,0,MATCH(L$2,Inputs!$K$4:$AJ$4,0))))+SUMPRODUCT((Inputs!$C$5:$C$190=$B11)*ISNUMBER(INDEX(Inputs!$K$5:$AJ$190,0,MATCH(L$2,Inputs!$K$4:$AJ$4,0))))+SUMPRODUCT((Inputs!$E$5:$E$190=$B11)*ISNUMBER(INDEX(Inputs!$K$5:$AJ$190,0,MATCH(L$2,Inputs!$K$4:$AJ$4,0))))=0,NA(),SUMPRODUCT((Inputs!$A$5:$A$190=$B11)*Inputs!$B$5:$B$190*(((Inputs!$G$5:$G$190="moeda")+(Inputs!$G$5:$G$190="acoes"))*Inputs!$B$1+((Inputs!$G$5:$G$190&lt;&gt;"moeda")*(Inputs!$G$5:$G$190&lt;&gt;"acoes")))*INDEX(Inputs!$K$5:$AJ$190,0,MATCH(L$2,Inputs!$K$4:$AJ$4,0)))+SUMPRODUCT((Inputs!$C$5:$C$190=$B11)*Inputs!$D$5:$D$190*(((Inputs!$G$5:$G$190="moeda")+(Inputs!$G$5:$G$190="acoes"))*Inputs!$B$1+((Inputs!$G$5:$G$190&lt;&gt;"moeda")*(Inputs!$G$5:$G$190&lt;&gt;"acoes")))*INDEX(Inputs!$K$5:$AJ$190,0,MATCH(L$2,Inputs!$K$4:$AJ$4,0)))+SUMPRODUCT((Inputs!$E$5:$E$190=$B11)*Inputs!$F$5:$F$190*(((Inputs!$G$5:$G$190="moeda")+(Inputs!$G$5:$G$190="acoes"))*Inputs!$B$1+((Inputs!$G$5:$G$190&lt;&gt;"moeda")*(Inputs!$G$5:$G$190&lt;&gt;"acoes")))*INDEX(Inputs!$K$5:$AJ$190,0,MATCH(L$2,Inputs!$K$4:$AJ$4,0)))))</f>
        <v>#N/A</v>
      </c>
      <c r="M11" s="3" t="e">
        <f>SUM(I11:L11)</f>
        <v>#N/A</v>
      </c>
      <c r="N11" s="6" t="e">
        <f>IF(ISNA(MATCH(N$2,Inputs!$K$4:$AJ$4,0)),NA(),IF(SUMPRODUCT((Inputs!$A$5:$A$190=$B11)*ISNUMBER(INDEX(Inputs!$K$5:$AJ$190,0,MATCH(N$2,Inputs!$K$4:$AJ$4,0))))+SUMPRODUCT((Inputs!$C$5:$C$190=$B11)*ISNUMBER(INDEX(Inputs!$K$5:$AJ$190,0,MATCH(N$2,Inputs!$K$4:$AJ$4,0))))+SUMPRODUCT((Inputs!$E$5:$E$190=$B11)*ISNUMBER(INDEX(Inputs!$K$5:$AJ$190,0,MATCH(N$2,Inputs!$K$4:$AJ$4,0))))=0,NA(),SUMPRODUCT((Inputs!$A$5:$A$190=$B11)*Inputs!$B$5:$B$190*(((Inputs!$G$5:$G$190="moeda")+(Inputs!$G$5:$G$190="acoes"))*Inputs!$B$1+((Inputs!$G$5:$G$190&lt;&gt;"moeda")*(Inputs!$G$5:$G$190&lt;&gt;"acoes")))*INDEX(Inputs!$K$5:$AJ$190,0,MATCH(N$2,Inputs!$K$4:$AJ$4,0)))+SUMPRODUCT((Inputs!$C$5:$C$190=$B11)*Inputs!$D$5:$D$190*(((Inputs!$G$5:$G$190="moeda")+(Inputs!$G$5:$G$190="acoes"))*Inputs!$B$1+((Inputs!$G$5:$G$190&lt;&gt;"moeda")*(Inputs!$G$5:$G$190&lt;&gt;"acoes")))*INDEX(Inputs!$K$5:$AJ$190,0,MATCH(N$2,Inputs!$K$4:$AJ$4,0)))+SUMPRODUCT((Inputs!$E$5:$E$190=$B11)*Inputs!$F$5:$F$190*(((Inputs!$G$5:$G$190="moeda")+(Inputs!$G$5:$G$190="acoes"))*Inputs!$B$1+((Inputs!$G$5:$G$190&lt;&gt;"moeda")*(Inputs!$G$5:$G$190&lt;&gt;"acoes")))*INDEX(Inputs!$K$5:$AJ$190,0,MATCH(N$2,Inputs!$K$4:$AJ$4,0)))))</f>
        <v>#N/A</v>
      </c>
      <c r="O11" s="6" t="e">
        <f>IF(ISNA(MATCH(O$2,Inputs!$K$4:$AJ$4,0)),NA(),IF(SUMPRODUCT((Inputs!$A$5:$A$190=$B11)*ISNUMBER(INDEX(Inputs!$K$5:$AJ$190,0,MATCH(O$2,Inputs!$K$4:$AJ$4,0))))+SUMPRODUCT((Inputs!$C$5:$C$190=$B11)*ISNUMBER(INDEX(Inputs!$K$5:$AJ$190,0,MATCH(O$2,Inputs!$K$4:$AJ$4,0))))+SUMPRODUCT((Inputs!$E$5:$E$190=$B11)*ISNUMBER(INDEX(Inputs!$K$5:$AJ$190,0,MATCH(O$2,Inputs!$K$4:$AJ$4,0))))=0,NA(),SUMPRODUCT((Inputs!$A$5:$A$190=$B11)*Inputs!$B$5:$B$190*(((Inputs!$G$5:$G$190="moeda")+(Inputs!$G$5:$G$190="acoes"))*Inputs!$B$1+((Inputs!$G$5:$G$190&lt;&gt;"moeda")*(Inputs!$G$5:$G$190&lt;&gt;"acoes")))*INDEX(Inputs!$K$5:$AJ$190,0,MATCH(O$2,Inputs!$K$4:$AJ$4,0)))+SUMPRODUCT((Inputs!$C$5:$C$190=$B11)*Inputs!$D$5:$D$190*(((Inputs!$G$5:$G$190="moeda")+(Inputs!$G$5:$G$190="acoes"))*Inputs!$B$1+((Inputs!$G$5:$G$190&lt;&gt;"moeda")*(Inputs!$G$5:$G$190&lt;&gt;"acoes")))*INDEX(Inputs!$K$5:$AJ$190,0,MATCH(O$2,Inputs!$K$4:$AJ$4,0)))+SUMPRODUCT((Inputs!$E$5:$E$190=$B11)*Inputs!$F$5:$F$190*(((Inputs!$G$5:$G$190="moeda")+(Inputs!$G$5:$G$190="acoes"))*Inputs!$B$1+((Inputs!$G$5:$G$190&lt;&gt;"moeda")*(Inputs!$G$5:$G$190&lt;&gt;"acoes")))*INDEX(Inputs!$K$5:$AJ$190,0,MATCH(O$2,Inputs!$K$4:$AJ$4,0)))))</f>
        <v>#N/A</v>
      </c>
      <c r="P11" s="6" t="e">
        <f>IF(ISNA(MATCH(P$2,Inputs!$K$4:$AJ$4,0)),NA(),IF(SUMPRODUCT((Inputs!$A$5:$A$190=$B11)*ISNUMBER(INDEX(Inputs!$K$5:$AJ$190,0,MATCH(P$2,Inputs!$K$4:$AJ$4,0))))+SUMPRODUCT((Inputs!$C$5:$C$190=$B11)*ISNUMBER(INDEX(Inputs!$K$5:$AJ$190,0,MATCH(P$2,Inputs!$K$4:$AJ$4,0))))+SUMPRODUCT((Inputs!$E$5:$E$190=$B11)*ISNUMBER(INDEX(Inputs!$K$5:$AJ$190,0,MATCH(P$2,Inputs!$K$4:$AJ$4,0))))=0,NA(),SUMPRODUCT((Inputs!$A$5:$A$190=$B11)*Inputs!$B$5:$B$190*(((Inputs!$G$5:$G$190="moeda")+(Inputs!$G$5:$G$190="acoes"))*Inputs!$B$1+((Inputs!$G$5:$G$190&lt;&gt;"moeda")*(Inputs!$G$5:$G$190&lt;&gt;"acoes")))*INDEX(Inputs!$K$5:$AJ$190,0,MATCH(P$2,Inputs!$K$4:$AJ$4,0)))+SUMPRODUCT((Inputs!$C$5:$C$190=$B11)*Inputs!$D$5:$D$190*(((Inputs!$G$5:$G$190="moeda")+(Inputs!$G$5:$G$190="acoes"))*Inputs!$B$1+((Inputs!$G$5:$G$190&lt;&gt;"moeda")*(Inputs!$G$5:$G$190&lt;&gt;"acoes")))*INDEX(Inputs!$K$5:$AJ$190,0,MATCH(P$2,Inputs!$K$4:$AJ$4,0)))+SUMPRODUCT((Inputs!$E$5:$E$190=$B11)*Inputs!$F$5:$F$190*(((Inputs!$G$5:$G$190="moeda")+(Inputs!$G$5:$G$190="acoes"))*Inputs!$B$1+((Inputs!$G$5:$G$190&lt;&gt;"moeda")*(Inputs!$G$5:$G$190&lt;&gt;"acoes")))*INDEX(Inputs!$K$5:$AJ$190,0,MATCH(P$2,Inputs!$K$4:$AJ$4,0)))))</f>
        <v>#N/A</v>
      </c>
      <c r="Q11" s="6" t="e">
        <f>IF(ISNA(MATCH(Q$2,Inputs!$K$4:$AJ$4,0)),NA(),IF(SUMPRODUCT((Inputs!$A$5:$A$190=$B11)*ISNUMBER(INDEX(Inputs!$K$5:$AJ$190,0,MATCH(Q$2,Inputs!$K$4:$AJ$4,0))))+SUMPRODUCT((Inputs!$C$5:$C$190=$B11)*ISNUMBER(INDEX(Inputs!$K$5:$AJ$190,0,MATCH(Q$2,Inputs!$K$4:$AJ$4,0))))+SUMPRODUCT((Inputs!$E$5:$E$190=$B11)*ISNUMBER(INDEX(Inputs!$K$5:$AJ$190,0,MATCH(Q$2,Inputs!$K$4:$AJ$4,0))))=0,NA(),SUMPRODUCT((Inputs!$A$5:$A$190=$B11)*Inputs!$B$5:$B$190*(((Inputs!$G$5:$G$190="moeda")+(Inputs!$G$5:$G$190="acoes"))*Inputs!$B$1+((Inputs!$G$5:$G$190&lt;&gt;"moeda")*(Inputs!$G$5:$G$190&lt;&gt;"acoes")))*INDEX(Inputs!$K$5:$AJ$190,0,MATCH(Q$2,Inputs!$K$4:$AJ$4,0)))+SUMPRODUCT((Inputs!$C$5:$C$190=$B11)*Inputs!$D$5:$D$190*(((Inputs!$G$5:$G$190="moeda")+(Inputs!$G$5:$G$190="acoes"))*Inputs!$B$1+((Inputs!$G$5:$G$190&lt;&gt;"moeda")*(Inputs!$G$5:$G$190&lt;&gt;"acoes")))*INDEX(Inputs!$K$5:$AJ$190,0,MATCH(Q$2,Inputs!$K$4:$AJ$4,0)))+SUMPRODUCT((Inputs!$E$5:$E$190=$B11)*Inputs!$F$5:$F$190*(((Inputs!$G$5:$G$190="moeda")+(Inputs!$G$5:$G$190="acoes"))*Inputs!$B$1+((Inputs!$G$5:$G$190&lt;&gt;"moeda")*(Inputs!$G$5:$G$190&lt;&gt;"acoes")))*INDEX(Inputs!$K$5:$AJ$190,0,MATCH(Q$2,Inputs!$K$4:$AJ$4,0)))))</f>
        <v>#N/A</v>
      </c>
      <c r="R11" s="3" t="e">
        <f>SUM(N11:Q11)</f>
        <v>#N/A</v>
      </c>
      <c r="S11" s="6" t="e">
        <f>IF(ISNA(MATCH(S$2,Inputs!$K$4:$AJ$4,0)),NA(),IF(SUMPRODUCT((Inputs!$A$5:$A$190=$B11)*ISNUMBER(INDEX(Inputs!$K$5:$AJ$190,0,MATCH(S$2,Inputs!$K$4:$AJ$4,0))))+SUMPRODUCT((Inputs!$C$5:$C$190=$B11)*ISNUMBER(INDEX(Inputs!$K$5:$AJ$190,0,MATCH(S$2,Inputs!$K$4:$AJ$4,0))))+SUMPRODUCT((Inputs!$E$5:$E$190=$B11)*ISNUMBER(INDEX(Inputs!$K$5:$AJ$190,0,MATCH(S$2,Inputs!$K$4:$AJ$4,0))))=0,NA(),SUMPRODUCT((Inputs!$A$5:$A$190=$B11)*Inputs!$B$5:$B$190*(((Inputs!$G$5:$G$190="moeda")+(Inputs!$G$5:$G$190="acoes"))*Inputs!$B$1+((Inputs!$G$5:$G$190&lt;&gt;"moeda")*(Inputs!$G$5:$G$190&lt;&gt;"acoes")))*INDEX(Inputs!$K$5:$AJ$190,0,MATCH(S$2,Inputs!$K$4:$AJ$4,0)))+SUMPRODUCT((Inputs!$C$5:$C$190=$B11)*Inputs!$D$5:$D$190*(((Inputs!$G$5:$G$190="moeda")+(Inputs!$G$5:$G$190="acoes"))*Inputs!$B$1+((Inputs!$G$5:$G$190&lt;&gt;"moeda")*(Inputs!$G$5:$G$190&lt;&gt;"acoes")))*INDEX(Inputs!$K$5:$AJ$190,0,MATCH(S$2,Inputs!$K$4:$AJ$4,0)))+SUMPRODUCT((Inputs!$E$5:$E$190=$B11)*Inputs!$F$5:$F$190*(((Inputs!$G$5:$G$190="moeda")+(Inputs!$G$5:$G$190="acoes"))*Inputs!$B$1+((Inputs!$G$5:$G$190&lt;&gt;"moeda")*(Inputs!$G$5:$G$190&lt;&gt;"acoes")))*INDEX(Inputs!$K$5:$AJ$190,0,MATCH(S$2,Inputs!$K$4:$AJ$4,0)))))</f>
        <v>#N/A</v>
      </c>
      <c r="T11" s="6" t="e">
        <f>IF(ISNA(MATCH(T$2,Inputs!$K$4:$AJ$4,0)),NA(),IF(SUMPRODUCT((Inputs!$A$5:$A$190=$B11)*ISNUMBER(INDEX(Inputs!$K$5:$AJ$190,0,MATCH(T$2,Inputs!$K$4:$AJ$4,0))))+SUMPRODUCT((Inputs!$C$5:$C$190=$B11)*ISNUMBER(INDEX(Inputs!$K$5:$AJ$190,0,MATCH(T$2,Inputs!$K$4:$AJ$4,0))))+SUMPRODUCT((Inputs!$E$5:$E$190=$B11)*ISNUMBER(INDEX(Inputs!$K$5:$AJ$190,0,MATCH(T$2,Inputs!$K$4:$AJ$4,0))))=0,NA(),SUMPRODUCT((Inputs!$A$5:$A$190=$B11)*Inputs!$B$5:$B$190*(((Inputs!$G$5:$G$190="moeda")+(Inputs!$G$5:$G$190="acoes"))*Inputs!$B$1+((Inputs!$G$5:$G$190&lt;&gt;"moeda")*(Inputs!$G$5:$G$190&lt;&gt;"acoes")))*INDEX(Inputs!$K$5:$AJ$190,0,MATCH(T$2,Inputs!$K$4:$AJ$4,0)))+SUMPRODUCT((Inputs!$C$5:$C$190=$B11)*Inputs!$D$5:$D$190*(((Inputs!$G$5:$G$190="moeda")+(Inputs!$G$5:$G$190="acoes"))*Inputs!$B$1+((Inputs!$G$5:$G$190&lt;&gt;"moeda")*(Inputs!$G$5:$G$190&lt;&gt;"acoes")))*INDEX(Inputs!$K$5:$AJ$190,0,MATCH(T$2,Inputs!$K$4:$AJ$4,0)))+SUMPRODUCT((Inputs!$E$5:$E$190=$B11)*Inputs!$F$5:$F$190*(((Inputs!$G$5:$G$190="moeda")+(Inputs!$G$5:$G$190="acoes"))*Inputs!$B$1+((Inputs!$G$5:$G$190&lt;&gt;"moeda")*(Inputs!$G$5:$G$190&lt;&gt;"acoes")))*INDEX(Inputs!$K$5:$AJ$190,0,MATCH(T$2,Inputs!$K$4:$AJ$4,0)))))</f>
        <v>#N/A</v>
      </c>
      <c r="U11" s="6" t="e">
        <f>IF(ISNA(MATCH(U$2,Inputs!$K$4:$AJ$4,0)),NA(),IF(SUMPRODUCT((Inputs!$A$5:$A$190=$B11)*ISNUMBER(INDEX(Inputs!$K$5:$AJ$190,0,MATCH(U$2,Inputs!$K$4:$AJ$4,0))))+SUMPRODUCT((Inputs!$C$5:$C$190=$B11)*ISNUMBER(INDEX(Inputs!$K$5:$AJ$190,0,MATCH(U$2,Inputs!$K$4:$AJ$4,0))))+SUMPRODUCT((Inputs!$E$5:$E$190=$B11)*ISNUMBER(INDEX(Inputs!$K$5:$AJ$190,0,MATCH(U$2,Inputs!$K$4:$AJ$4,0))))=0,NA(),SUMPRODUCT((Inputs!$A$5:$A$190=$B11)*Inputs!$B$5:$B$190*(((Inputs!$G$5:$G$190="moeda")+(Inputs!$G$5:$G$190="acoes"))*Inputs!$B$1+((Inputs!$G$5:$G$190&lt;&gt;"moeda")*(Inputs!$G$5:$G$190&lt;&gt;"acoes")))*INDEX(Inputs!$K$5:$AJ$190,0,MATCH(U$2,Inputs!$K$4:$AJ$4,0)))+SUMPRODUCT((Inputs!$C$5:$C$190=$B11)*Inputs!$D$5:$D$190*(((Inputs!$G$5:$G$190="moeda")+(Inputs!$G$5:$G$190="acoes"))*Inputs!$B$1+((Inputs!$G$5:$G$190&lt;&gt;"moeda")*(Inputs!$G$5:$G$190&lt;&gt;"acoes")))*INDEX(Inputs!$K$5:$AJ$190,0,MATCH(U$2,Inputs!$K$4:$AJ$4,0)))+SUMPRODUCT((Inputs!$E$5:$E$190=$B11)*Inputs!$F$5:$F$190*(((Inputs!$G$5:$G$190="moeda")+(Inputs!$G$5:$G$190="acoes"))*Inputs!$B$1+((Inputs!$G$5:$G$190&lt;&gt;"moeda")*(Inputs!$G$5:$G$190&lt;&gt;"acoes")))*INDEX(Inputs!$K$5:$AJ$190,0,MATCH(U$2,Inputs!$K$4:$AJ$4,0)))))</f>
        <v>#N/A</v>
      </c>
      <c r="V11" s="6" t="e">
        <f>IF(ISNA(MATCH(V$2,Inputs!$K$4:$AJ$4,0)),NA(),IF(SUMPRODUCT((Inputs!$A$5:$A$190=$B11)*ISNUMBER(INDEX(Inputs!$K$5:$AJ$190,0,MATCH(V$2,Inputs!$K$4:$AJ$4,0))))+SUMPRODUCT((Inputs!$C$5:$C$190=$B11)*ISNUMBER(INDEX(Inputs!$K$5:$AJ$190,0,MATCH(V$2,Inputs!$K$4:$AJ$4,0))))+SUMPRODUCT((Inputs!$E$5:$E$190=$B11)*ISNUMBER(INDEX(Inputs!$K$5:$AJ$190,0,MATCH(V$2,Inputs!$K$4:$AJ$4,0))))=0,NA(),SUMPRODUCT((Inputs!$A$5:$A$190=$B11)*Inputs!$B$5:$B$190*(((Inputs!$G$5:$G$190="moeda")+(Inputs!$G$5:$G$190="acoes"))*Inputs!$B$1+((Inputs!$G$5:$G$190&lt;&gt;"moeda")*(Inputs!$G$5:$G$190&lt;&gt;"acoes")))*INDEX(Inputs!$K$5:$AJ$190,0,MATCH(V$2,Inputs!$K$4:$AJ$4,0)))+SUMPRODUCT((Inputs!$C$5:$C$190=$B11)*Inputs!$D$5:$D$190*(((Inputs!$G$5:$G$190="moeda")+(Inputs!$G$5:$G$190="acoes"))*Inputs!$B$1+((Inputs!$G$5:$G$190&lt;&gt;"moeda")*(Inputs!$G$5:$G$190&lt;&gt;"acoes")))*INDEX(Inputs!$K$5:$AJ$190,0,MATCH(V$2,Inputs!$K$4:$AJ$4,0)))+SUMPRODUCT((Inputs!$E$5:$E$190=$B11)*Inputs!$F$5:$F$190*(((Inputs!$G$5:$G$190="moeda")+(Inputs!$G$5:$G$190="acoes"))*Inputs!$B$1+((Inputs!$G$5:$G$190&lt;&gt;"moeda")*(Inputs!$G$5:$G$190&lt;&gt;"acoes")))*INDEX(Inputs!$K$5:$AJ$190,0,MATCH(V$2,Inputs!$K$4:$AJ$4,0)))))</f>
        <v>#N/A</v>
      </c>
      <c r="W11" s="3" t="e">
        <f>SUM(S11:V11)</f>
        <v>#N/A</v>
      </c>
      <c r="X11" s="6" t="e">
        <f>IF(ISNA(MATCH(X$2,Inputs!$K$4:$AJ$4,0)),NA(),IF(SUMPRODUCT((Inputs!$A$5:$A$190=$B11)*ISNUMBER(INDEX(Inputs!$K$5:$AJ$190,0,MATCH(X$2,Inputs!$K$4:$AJ$4,0))))+SUMPRODUCT((Inputs!$C$5:$C$190=$B11)*ISNUMBER(INDEX(Inputs!$K$5:$AJ$190,0,MATCH(X$2,Inputs!$K$4:$AJ$4,0))))+SUMPRODUCT((Inputs!$E$5:$E$190=$B11)*ISNUMBER(INDEX(Inputs!$K$5:$AJ$190,0,MATCH(X$2,Inputs!$K$4:$AJ$4,0))))=0,NA(),SUMPRODUCT((Inputs!$A$5:$A$190=$B11)*Inputs!$B$5:$B$190*(((Inputs!$G$5:$G$190="moeda")+(Inputs!$G$5:$G$190="acoes"))*Inputs!$B$1+((Inputs!$G$5:$G$190&lt;&gt;"moeda")*(Inputs!$G$5:$G$190&lt;&gt;"acoes")))*INDEX(Inputs!$K$5:$AJ$190,0,MATCH(X$2,Inputs!$K$4:$AJ$4,0)))+SUMPRODUCT((Inputs!$C$5:$C$190=$B11)*Inputs!$D$5:$D$190*(((Inputs!$G$5:$G$190="moeda")+(Inputs!$G$5:$G$190="acoes"))*Inputs!$B$1+((Inputs!$G$5:$G$190&lt;&gt;"moeda")*(Inputs!$G$5:$G$190&lt;&gt;"acoes")))*INDEX(Inputs!$K$5:$AJ$190,0,MATCH(X$2,Inputs!$K$4:$AJ$4,0)))+SUMPRODUCT((Inputs!$E$5:$E$190=$B11)*Inputs!$F$5:$F$190*(((Inputs!$G$5:$G$190="moeda")+(Inputs!$G$5:$G$190="acoes"))*Inputs!$B$1+((Inputs!$G$5:$G$190&lt;&gt;"moeda")*(Inputs!$G$5:$G$190&lt;&gt;"acoes")))*INDEX(Inputs!$K$5:$AJ$190,0,MATCH(X$2,Inputs!$K$4:$AJ$4,0)))))</f>
        <v>#N/A</v>
      </c>
      <c r="Y11" s="6" t="e">
        <f>IF(ISNA(MATCH(Y$2,Inputs!$K$4:$AJ$4,0)),NA(),IF(SUMPRODUCT((Inputs!$A$5:$A$190=$B11)*ISNUMBER(INDEX(Inputs!$K$5:$AJ$190,0,MATCH(Y$2,Inputs!$K$4:$AJ$4,0))))+SUMPRODUCT((Inputs!$C$5:$C$190=$B11)*ISNUMBER(INDEX(Inputs!$K$5:$AJ$190,0,MATCH(Y$2,Inputs!$K$4:$AJ$4,0))))+SUMPRODUCT((Inputs!$E$5:$E$190=$B11)*ISNUMBER(INDEX(Inputs!$K$5:$AJ$190,0,MATCH(Y$2,Inputs!$K$4:$AJ$4,0))))=0,NA(),SUMPRODUCT((Inputs!$A$5:$A$190=$B11)*Inputs!$B$5:$B$190*(((Inputs!$G$5:$G$190="moeda")+(Inputs!$G$5:$G$190="acoes"))*Inputs!$B$1+((Inputs!$G$5:$G$190&lt;&gt;"moeda")*(Inputs!$G$5:$G$190&lt;&gt;"acoes")))*INDEX(Inputs!$K$5:$AJ$190,0,MATCH(Y$2,Inputs!$K$4:$AJ$4,0)))+SUMPRODUCT((Inputs!$C$5:$C$190=$B11)*Inputs!$D$5:$D$190*(((Inputs!$G$5:$G$190="moeda")+(Inputs!$G$5:$G$190="acoes"))*Inputs!$B$1+((Inputs!$G$5:$G$190&lt;&gt;"moeda")*(Inputs!$G$5:$G$190&lt;&gt;"acoes")))*INDEX(Inputs!$K$5:$AJ$190,0,MATCH(Y$2,Inputs!$K$4:$AJ$4,0)))+SUMPRODUCT((Inputs!$E$5:$E$190=$B11)*Inputs!$F$5:$F$190*(((Inputs!$G$5:$G$190="moeda")+(Inputs!$G$5:$G$190="acoes"))*Inputs!$B$1+((Inputs!$G$5:$G$190&lt;&gt;"moeda")*(Inputs!$G$5:$G$190&lt;&gt;"acoes")))*INDEX(Inputs!$K$5:$AJ$190,0,MATCH(Y$2,Inputs!$K$4:$AJ$4,0)))))</f>
        <v>#N/A</v>
      </c>
      <c r="Z11" s="6" t="e">
        <f>IF(ISNA(MATCH(Z$2,Inputs!$K$4:$AJ$4,0)),NA(),IF(SUMPRODUCT((Inputs!$A$5:$A$190=$B11)*ISNUMBER(INDEX(Inputs!$K$5:$AJ$190,0,MATCH(Z$2,Inputs!$K$4:$AJ$4,0))))+SUMPRODUCT((Inputs!$C$5:$C$190=$B11)*ISNUMBER(INDEX(Inputs!$K$5:$AJ$190,0,MATCH(Z$2,Inputs!$K$4:$AJ$4,0))))+SUMPRODUCT((Inputs!$E$5:$E$190=$B11)*ISNUMBER(INDEX(Inputs!$K$5:$AJ$190,0,MATCH(Z$2,Inputs!$K$4:$AJ$4,0))))=0,NA(),SUMPRODUCT((Inputs!$A$5:$A$190=$B11)*Inputs!$B$5:$B$190*(((Inputs!$G$5:$G$190="moeda")+(Inputs!$G$5:$G$190="acoes"))*Inputs!$B$1+((Inputs!$G$5:$G$190&lt;&gt;"moeda")*(Inputs!$G$5:$G$190&lt;&gt;"acoes")))*INDEX(Inputs!$K$5:$AJ$190,0,MATCH(Z$2,Inputs!$K$4:$AJ$4,0)))+SUMPRODUCT((Inputs!$C$5:$C$190=$B11)*Inputs!$D$5:$D$190*(((Inputs!$G$5:$G$190="moeda")+(Inputs!$G$5:$G$190="acoes"))*Inputs!$B$1+((Inputs!$G$5:$G$190&lt;&gt;"moeda")*(Inputs!$G$5:$G$190&lt;&gt;"acoes")))*INDEX(Inputs!$K$5:$AJ$190,0,MATCH(Z$2,Inputs!$K$4:$AJ$4,0)))+SUMPRODUCT((Inputs!$E$5:$E$190=$B11)*Inputs!$F$5:$F$190*(((Inputs!$G$5:$G$190="moeda")+(Inputs!$G$5:$G$190="acoes"))*Inputs!$B$1+((Inputs!$G$5:$G$190&lt;&gt;"moeda")*(Inputs!$G$5:$G$190&lt;&gt;"acoes")))*INDEX(Inputs!$K$5:$AJ$190,0,MATCH(Z$2,Inputs!$K$4:$AJ$4,0)))))</f>
        <v>#N/A</v>
      </c>
      <c r="AA11" s="6" t="e">
        <f>IF(ISNA(MATCH(AA$2,Inputs!$K$4:$AJ$4,0)),NA(),IF(SUMPRODUCT((Inputs!$A$5:$A$190=$B11)*ISNUMBER(INDEX(Inputs!$K$5:$AJ$190,0,MATCH(AA$2,Inputs!$K$4:$AJ$4,0))))+SUMPRODUCT((Inputs!$C$5:$C$190=$B11)*ISNUMBER(INDEX(Inputs!$K$5:$AJ$190,0,MATCH(AA$2,Inputs!$K$4:$AJ$4,0))))+SUMPRODUCT((Inputs!$E$5:$E$190=$B11)*ISNUMBER(INDEX(Inputs!$K$5:$AJ$190,0,MATCH(AA$2,Inputs!$K$4:$AJ$4,0))))=0,NA(),SUMPRODUCT((Inputs!$A$5:$A$190=$B11)*Inputs!$B$5:$B$190*(((Inputs!$G$5:$G$190="moeda")+(Inputs!$G$5:$G$190="acoes"))*Inputs!$B$1+((Inputs!$G$5:$G$190&lt;&gt;"moeda")*(Inputs!$G$5:$G$190&lt;&gt;"acoes")))*INDEX(Inputs!$K$5:$AJ$190,0,MATCH(AA$2,Inputs!$K$4:$AJ$4,0)))+SUMPRODUCT((Inputs!$C$5:$C$190=$B11)*Inputs!$D$5:$D$190*(((Inputs!$G$5:$G$190="moeda")+(Inputs!$G$5:$G$190="acoes"))*Inputs!$B$1+((Inputs!$G$5:$G$190&lt;&gt;"moeda")*(Inputs!$G$5:$G$190&lt;&gt;"acoes")))*INDEX(Inputs!$K$5:$AJ$190,0,MATCH(AA$2,Inputs!$K$4:$AJ$4,0)))+SUMPRODUCT((Inputs!$E$5:$E$190=$B11)*Inputs!$F$5:$F$190*(((Inputs!$G$5:$G$190="moeda")+(Inputs!$G$5:$G$190="acoes"))*Inputs!$B$1+((Inputs!$G$5:$G$190&lt;&gt;"moeda")*(Inputs!$G$5:$G$190&lt;&gt;"acoes")))*INDEX(Inputs!$K$5:$AJ$190,0,MATCH(AA$2,Inputs!$K$4:$AJ$4,0)))))</f>
        <v>#N/A</v>
      </c>
      <c r="AB11" s="3" t="e">
        <f>SUM(X11:AA11)</f>
        <v>#N/A</v>
      </c>
      <c r="AC11" s="6" t="e">
        <f>IF(ISNA(MATCH(AC$2,Inputs!$K$4:$AJ$4,0)),NA(),IF(SUMPRODUCT((Inputs!$A$5:$A$190=$B11)*ISNUMBER(INDEX(Inputs!$K$5:$AJ$190,0,MATCH(AC$2,Inputs!$K$4:$AJ$4,0))))+SUMPRODUCT((Inputs!$C$5:$C$190=$B11)*ISNUMBER(INDEX(Inputs!$K$5:$AJ$190,0,MATCH(AC$2,Inputs!$K$4:$AJ$4,0))))+SUMPRODUCT((Inputs!$E$5:$E$190=$B11)*ISNUMBER(INDEX(Inputs!$K$5:$AJ$190,0,MATCH(AC$2,Inputs!$K$4:$AJ$4,0))))=0,NA(),SUMPRODUCT((Inputs!$A$5:$A$190=$B11)*Inputs!$B$5:$B$190*(((Inputs!$G$5:$G$190="moeda")+(Inputs!$G$5:$G$190="acoes"))*Inputs!$B$1+((Inputs!$G$5:$G$190&lt;&gt;"moeda")*(Inputs!$G$5:$G$190&lt;&gt;"acoes")))*INDEX(Inputs!$K$5:$AJ$190,0,MATCH(AC$2,Inputs!$K$4:$AJ$4,0)))+SUMPRODUCT((Inputs!$C$5:$C$190=$B11)*Inputs!$D$5:$D$190*(((Inputs!$G$5:$G$190="moeda")+(Inputs!$G$5:$G$190="acoes"))*Inputs!$B$1+((Inputs!$G$5:$G$190&lt;&gt;"moeda")*(Inputs!$G$5:$G$190&lt;&gt;"acoes")))*INDEX(Inputs!$K$5:$AJ$190,0,MATCH(AC$2,Inputs!$K$4:$AJ$4,0)))+SUMPRODUCT((Inputs!$E$5:$E$190=$B11)*Inputs!$F$5:$F$190*(((Inputs!$G$5:$G$190="moeda")+(Inputs!$G$5:$G$190="acoes"))*Inputs!$B$1+((Inputs!$G$5:$G$190&lt;&gt;"moeda")*(Inputs!$G$5:$G$190&lt;&gt;"acoes")))*INDEX(Inputs!$K$5:$AJ$190,0,MATCH(AC$2,Inputs!$K$4:$AJ$4,0)))))</f>
        <v>#N/A</v>
      </c>
      <c r="AD11" s="6" t="e">
        <f>IF(ISNA(MATCH(AD$2,Inputs!$K$4:$AJ$4,0)),NA(),IF(SUMPRODUCT((Inputs!$A$5:$A$190=$B11)*ISNUMBER(INDEX(Inputs!$K$5:$AJ$190,0,MATCH(AD$2,Inputs!$K$4:$AJ$4,0))))+SUMPRODUCT((Inputs!$C$5:$C$190=$B11)*ISNUMBER(INDEX(Inputs!$K$5:$AJ$190,0,MATCH(AD$2,Inputs!$K$4:$AJ$4,0))))+SUMPRODUCT((Inputs!$E$5:$E$190=$B11)*ISNUMBER(INDEX(Inputs!$K$5:$AJ$190,0,MATCH(AD$2,Inputs!$K$4:$AJ$4,0))))=0,NA(),SUMPRODUCT((Inputs!$A$5:$A$190=$B11)*Inputs!$B$5:$B$190*(((Inputs!$G$5:$G$190="moeda")+(Inputs!$G$5:$G$190="acoes"))*Inputs!$B$1+((Inputs!$G$5:$G$190&lt;&gt;"moeda")*(Inputs!$G$5:$G$190&lt;&gt;"acoes")))*INDEX(Inputs!$K$5:$AJ$190,0,MATCH(AD$2,Inputs!$K$4:$AJ$4,0)))+SUMPRODUCT((Inputs!$C$5:$C$190=$B11)*Inputs!$D$5:$D$190*(((Inputs!$G$5:$G$190="moeda")+(Inputs!$G$5:$G$190="acoes"))*Inputs!$B$1+((Inputs!$G$5:$G$190&lt;&gt;"moeda")*(Inputs!$G$5:$G$190&lt;&gt;"acoes")))*INDEX(Inputs!$K$5:$AJ$190,0,MATCH(AD$2,Inputs!$K$4:$AJ$4,0)))+SUMPRODUCT((Inputs!$E$5:$E$190=$B11)*Inputs!$F$5:$F$190*(((Inputs!$G$5:$G$190="moeda")+(Inputs!$G$5:$G$190="acoes"))*Inputs!$B$1+((Inputs!$G$5:$G$190&lt;&gt;"moeda")*(Inputs!$G$5:$G$190&lt;&gt;"acoes")))*INDEX(Inputs!$K$5:$AJ$190,0,MATCH(AD$2,Inputs!$K$4:$AJ$4,0)))))</f>
        <v>#N/A</v>
      </c>
      <c r="AE11" s="6" t="e">
        <f>IF(ISNA(MATCH(AE$2,Inputs!$K$4:$AJ$4,0)),NA(),IF(SUMPRODUCT((Inputs!$A$5:$A$190=$B11)*ISNUMBER(INDEX(Inputs!$K$5:$AJ$190,0,MATCH(AE$2,Inputs!$K$4:$AJ$4,0))))+SUMPRODUCT((Inputs!$C$5:$C$190=$B11)*ISNUMBER(INDEX(Inputs!$K$5:$AJ$190,0,MATCH(AE$2,Inputs!$K$4:$AJ$4,0))))+SUMPRODUCT((Inputs!$E$5:$E$190=$B11)*ISNUMBER(INDEX(Inputs!$K$5:$AJ$190,0,MATCH(AE$2,Inputs!$K$4:$AJ$4,0))))=0,NA(),SUMPRODUCT((Inputs!$A$5:$A$190=$B11)*Inputs!$B$5:$B$190*(((Inputs!$G$5:$G$190="moeda")+(Inputs!$G$5:$G$190="acoes"))*Inputs!$B$1+((Inputs!$G$5:$G$190&lt;&gt;"moeda")*(Inputs!$G$5:$G$190&lt;&gt;"acoes")))*INDEX(Inputs!$K$5:$AJ$190,0,MATCH(AE$2,Inputs!$K$4:$AJ$4,0)))+SUMPRODUCT((Inputs!$C$5:$C$190=$B11)*Inputs!$D$5:$D$190*(((Inputs!$G$5:$G$190="moeda")+(Inputs!$G$5:$G$190="acoes"))*Inputs!$B$1+((Inputs!$G$5:$G$190&lt;&gt;"moeda")*(Inputs!$G$5:$G$190&lt;&gt;"acoes")))*INDEX(Inputs!$K$5:$AJ$190,0,MATCH(AE$2,Inputs!$K$4:$AJ$4,0)))+SUMPRODUCT((Inputs!$E$5:$E$190=$B11)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11" s="6" t="e">
        <f>IF(ISNA(MATCH(AF$2,Inputs!$K$4:$AJ$4,0)),NA(),IF(SUMPRODUCT((Inputs!$A$5:$A$190=$B11)*ISNUMBER(INDEX(Inputs!$K$5:$AJ$190,0,MATCH(AF$2,Inputs!$K$4:$AJ$4,0))))+SUMPRODUCT((Inputs!$C$5:$C$190=$B11)*ISNUMBER(INDEX(Inputs!$K$5:$AJ$190,0,MATCH(AF$2,Inputs!$K$4:$AJ$4,0))))+SUMPRODUCT((Inputs!$E$5:$E$190=$B11)*ISNUMBER(INDEX(Inputs!$K$5:$AJ$190,0,MATCH(AF$2,Inputs!$K$4:$AJ$4,0))))=0,NA(),SUMPRODUCT((Inputs!$A$5:$A$190=$B11)*Inputs!$B$5:$B$190*(((Inputs!$G$5:$G$190="moeda")+(Inputs!$G$5:$G$190="acoes"))*Inputs!$B$1+((Inputs!$G$5:$G$190&lt;&gt;"moeda")*(Inputs!$G$5:$G$190&lt;&gt;"acoes")))*INDEX(Inputs!$K$5:$AJ$190,0,MATCH(AF$2,Inputs!$K$4:$AJ$4,0)))+SUMPRODUCT((Inputs!$C$5:$C$190=$B11)*Inputs!$D$5:$D$190*(((Inputs!$G$5:$G$190="moeda")+(Inputs!$G$5:$G$190="acoes"))*Inputs!$B$1+((Inputs!$G$5:$G$190&lt;&gt;"moeda")*(Inputs!$G$5:$G$190&lt;&gt;"acoes")))*INDEX(Inputs!$K$5:$AJ$190,0,MATCH(AF$2,Inputs!$K$4:$AJ$4,0)))+SUMPRODUCT((Inputs!$E$5:$E$190=$B11)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11" s="3" t="e">
        <f>SUM(AC11:AF11)</f>
        <v>#N/A</v>
      </c>
      <c r="AH11" s="6" t="e">
        <f>IF(ISNA(MATCH(AH$2,Inputs!$K$4:$AJ$4,0)),NA(),IF(SUMPRODUCT((Inputs!$A$5:$A$190=$B11)*ISNUMBER(INDEX(Inputs!$K$5:$AJ$190,0,MATCH(AH$2,Inputs!$K$4:$AJ$4,0))))+SUMPRODUCT((Inputs!$C$5:$C$190=$B11)*ISNUMBER(INDEX(Inputs!$K$5:$AJ$190,0,MATCH(AH$2,Inputs!$K$4:$AJ$4,0))))+SUMPRODUCT((Inputs!$E$5:$E$190=$B11)*ISNUMBER(INDEX(Inputs!$K$5:$AJ$190,0,MATCH(AH$2,Inputs!$K$4:$AJ$4,0))))=0,NA(),SUMPRODUCT((Inputs!$A$5:$A$190=$B11)*Inputs!$B$5:$B$190*(((Inputs!$G$5:$G$190="moeda")+(Inputs!$G$5:$G$190="acoes"))*Inputs!$B$1+((Inputs!$G$5:$G$190&lt;&gt;"moeda")*(Inputs!$G$5:$G$190&lt;&gt;"acoes")))*INDEX(Inputs!$K$5:$AJ$190,0,MATCH(AH$2,Inputs!$K$4:$AJ$4,0)))+SUMPRODUCT((Inputs!$C$5:$C$190=$B11)*Inputs!$D$5:$D$190*(((Inputs!$G$5:$G$190="moeda")+(Inputs!$G$5:$G$190="acoes"))*Inputs!$B$1+((Inputs!$G$5:$G$190&lt;&gt;"moeda")*(Inputs!$G$5:$G$190&lt;&gt;"acoes")))*INDEX(Inputs!$K$5:$AJ$190,0,MATCH(AH$2,Inputs!$K$4:$AJ$4,0)))+SUMPRODUCT((Inputs!$E$5:$E$190=$B11)*Inputs!$F$5:$F$190*(((Inputs!$G$5:$G$190="moeda")+(Inputs!$G$5:$G$190="acoes"))*Inputs!$B$1+((Inputs!$G$5:$G$190&lt;&gt;"moeda")*(Inputs!$G$5:$G$190&lt;&gt;"acoes")))*INDEX(Inputs!$K$5:$AJ$190,0,MATCH(AH$2,Inputs!$K$4:$AJ$4,0)))))</f>
        <v>#N/A</v>
      </c>
      <c r="AI11" s="6" t="e">
        <f>IF(ISNA(MATCH(AI$2,Inputs!$K$4:$AJ$4,0)),NA(),IF(SUMPRODUCT((Inputs!$A$5:$A$190=$B11)*ISNUMBER(INDEX(Inputs!$K$5:$AJ$190,0,MATCH(AI$2,Inputs!$K$4:$AJ$4,0))))+SUMPRODUCT((Inputs!$C$5:$C$190=$B11)*ISNUMBER(INDEX(Inputs!$K$5:$AJ$190,0,MATCH(AI$2,Inputs!$K$4:$AJ$4,0))))+SUMPRODUCT((Inputs!$E$5:$E$190=$B11)*ISNUMBER(INDEX(Inputs!$K$5:$AJ$190,0,MATCH(AI$2,Inputs!$K$4:$AJ$4,0))))=0,NA(),SUMPRODUCT((Inputs!$A$5:$A$190=$B11)*Inputs!$B$5:$B$190*(((Inputs!$G$5:$G$190="moeda")+(Inputs!$G$5:$G$190="acoes"))*Inputs!$B$1+((Inputs!$G$5:$G$190&lt;&gt;"moeda")*(Inputs!$G$5:$G$190&lt;&gt;"acoes")))*INDEX(Inputs!$K$5:$AJ$190,0,MATCH(AI$2,Inputs!$K$4:$AJ$4,0)))+SUMPRODUCT((Inputs!$C$5:$C$190=$B11)*Inputs!$D$5:$D$190*(((Inputs!$G$5:$G$190="moeda")+(Inputs!$G$5:$G$190="acoes"))*Inputs!$B$1+((Inputs!$G$5:$G$190&lt;&gt;"moeda")*(Inputs!$G$5:$G$190&lt;&gt;"acoes")))*INDEX(Inputs!$K$5:$AJ$190,0,MATCH(AI$2,Inputs!$K$4:$AJ$4,0)))+SUMPRODUCT((Inputs!$E$5:$E$190=$B11)*Inputs!$F$5:$F$190*(((Inputs!$G$5:$G$190="moeda")+(Inputs!$G$5:$G$190="acoes"))*Inputs!$B$1+((Inputs!$G$5:$G$190&lt;&gt;"moeda")*(Inputs!$G$5:$G$190&lt;&gt;"acoes")))*INDEX(Inputs!$K$5:$AJ$190,0,MATCH(AI$2,Inputs!$K$4:$AJ$4,0)))))</f>
        <v>#N/A</v>
      </c>
      <c r="AJ11" s="6" t="e">
        <f>IF(ISNA(MATCH(AJ$2,Inputs!$K$4:$AJ$4,0)),NA(),IF(SUMPRODUCT((Inputs!$A$5:$A$190=$B11)*ISNUMBER(INDEX(Inputs!$K$5:$AJ$190,0,MATCH(AJ$2,Inputs!$K$4:$AJ$4,0))))+SUMPRODUCT((Inputs!$C$5:$C$190=$B11)*ISNUMBER(INDEX(Inputs!$K$5:$AJ$190,0,MATCH(AJ$2,Inputs!$K$4:$AJ$4,0))))+SUMPRODUCT((Inputs!$E$5:$E$190=$B11)*ISNUMBER(INDEX(Inputs!$K$5:$AJ$190,0,MATCH(AJ$2,Inputs!$K$4:$AJ$4,0))))=0,NA(),SUMPRODUCT((Inputs!$A$5:$A$190=$B11)*Inputs!$B$5:$B$190*(((Inputs!$G$5:$G$190="moeda")+(Inputs!$G$5:$G$190="acoes"))*Inputs!$B$1+((Inputs!$G$5:$G$190&lt;&gt;"moeda")*(Inputs!$G$5:$G$190&lt;&gt;"acoes")))*INDEX(Inputs!$K$5:$AJ$190,0,MATCH(AJ$2,Inputs!$K$4:$AJ$4,0)))+SUMPRODUCT((Inputs!$C$5:$C$190=$B11)*Inputs!$D$5:$D$190*(((Inputs!$G$5:$G$190="moeda")+(Inputs!$G$5:$G$190="acoes"))*Inputs!$B$1+((Inputs!$G$5:$G$190&lt;&gt;"moeda")*(Inputs!$G$5:$G$190&lt;&gt;"acoes")))*INDEX(Inputs!$K$5:$AJ$190,0,MATCH(AJ$2,Inputs!$K$4:$AJ$4,0)))+SUMPRODUCT((Inputs!$E$5:$E$190=$B11)*Inputs!$F$5:$F$190*(((Inputs!$G$5:$G$190="moeda")+(Inputs!$G$5:$G$190="acoes"))*Inputs!$B$1+((Inputs!$G$5:$G$190&lt;&gt;"moeda")*(Inputs!$G$5:$G$190&lt;&gt;"acoes")))*INDEX(Inputs!$K$5:$AJ$190,0,MATCH(AJ$2,Inputs!$K$4:$AJ$4,0)))))</f>
        <v>#N/A</v>
      </c>
      <c r="AK11" s="6" t="e">
        <f>IF(ISNA(MATCH(AK$2,Inputs!$K$4:$AJ$4,0)),NA(),IF(SUMPRODUCT((Inputs!$A$5:$A$190=$B11)*ISNUMBER(INDEX(Inputs!$K$5:$AJ$190,0,MATCH(AK$2,Inputs!$K$4:$AJ$4,0))))+SUMPRODUCT((Inputs!$C$5:$C$190=$B11)*ISNUMBER(INDEX(Inputs!$K$5:$AJ$190,0,MATCH(AK$2,Inputs!$K$4:$AJ$4,0))))+SUMPRODUCT((Inputs!$E$5:$E$190=$B11)*ISNUMBER(INDEX(Inputs!$K$5:$AJ$190,0,MATCH(AK$2,Inputs!$K$4:$AJ$4,0))))=0,NA(),SUMPRODUCT((Inputs!$A$5:$A$190=$B11)*Inputs!$B$5:$B$190*(((Inputs!$G$5:$G$190="moeda")+(Inputs!$G$5:$G$190="acoes"))*Inputs!$B$1+((Inputs!$G$5:$G$190&lt;&gt;"moeda")*(Inputs!$G$5:$G$190&lt;&gt;"acoes")))*INDEX(Inputs!$K$5:$AJ$190,0,MATCH(AK$2,Inputs!$K$4:$AJ$4,0)))+SUMPRODUCT((Inputs!$C$5:$C$190=$B11)*Inputs!$D$5:$D$190*(((Inputs!$G$5:$G$190="moeda")+(Inputs!$G$5:$G$190="acoes"))*Inputs!$B$1+((Inputs!$G$5:$G$190&lt;&gt;"moeda")*(Inputs!$G$5:$G$190&lt;&gt;"acoes")))*INDEX(Inputs!$K$5:$AJ$190,0,MATCH(AK$2,Inputs!$K$4:$AJ$4,0)))+SUMPRODUCT((Inputs!$E$5:$E$190=$B11)*Inputs!$F$5:$F$190*(((Inputs!$G$5:$G$190="moeda")+(Inputs!$G$5:$G$190="acoes"))*Inputs!$B$1+((Inputs!$G$5:$G$190&lt;&gt;"moeda")*(Inputs!$G$5:$G$190&lt;&gt;"acoes")))*INDEX(Inputs!$K$5:$AJ$190,0,MATCH(AK$2,Inputs!$K$4:$AJ$4,0)))))</f>
        <v>#N/A</v>
      </c>
      <c r="AL11" s="3" t="e">
        <f>SUM(AH11:AK11)</f>
        <v>#N/A</v>
      </c>
    </row>
    <row r="12">
      <c r="B12" s="46" t="n">
        <v>9</v>
      </c>
      <c r="C12" s="26" t="inlineStr">
        <is>
          <t>Minority Interest Expense, after tax (enter as - )</t>
        </is>
      </c>
      <c r="D12" s="6">
        <f>IF(ISNA(MATCH(D$2,Inputs!$K$4:$AJ$4,0)),NA(),IF(SUMPRODUCT((Inputs!$A$5:$A$190=$B12)*ISNUMBER(INDEX(Inputs!$K$5:$AJ$190,0,MATCH(D$2,Inputs!$K$4:$AJ$4,0))))+SUMPRODUCT((Inputs!$C$5:$C$190=$B12)*ISNUMBER(INDEX(Inputs!$K$5:$AJ$190,0,MATCH(D$2,Inputs!$K$4:$AJ$4,0))))+SUMPRODUCT((Inputs!$E$5:$E$190=$B12)*ISNUMBER(INDEX(Inputs!$K$5:$AJ$190,0,MATCH(D$2,Inputs!$K$4:$AJ$4,0))))=0,NA(),SUMPRODUCT((Inputs!$A$5:$A$190=$B12)*Inputs!$B$5:$B$190*(((Inputs!$G$5:$G$190="moeda")+(Inputs!$G$5:$G$190="acoes"))*Inputs!$B$1+((Inputs!$G$5:$G$190&lt;&gt;"moeda")*(Inputs!$G$5:$G$190&lt;&gt;"acoes")))*INDEX(Inputs!$K$5:$AJ$190,0,MATCH(D$2,Inputs!$K$4:$AJ$4,0)))+SUMPRODUCT((Inputs!$C$5:$C$190=$B12)*Inputs!$D$5:$D$190*(((Inputs!$G$5:$G$190="moeda")+(Inputs!$G$5:$G$190="acoes"))*Inputs!$B$1+((Inputs!$G$5:$G$190&lt;&gt;"moeda")*(Inputs!$G$5:$G$190&lt;&gt;"acoes")))*INDEX(Inputs!$K$5:$AJ$190,0,MATCH(D$2,Inputs!$K$4:$AJ$4,0)))+SUMPRODUCT((Inputs!$E$5:$E$190=$B12)*Inputs!$F$5:$F$190*(((Inputs!$G$5:$G$190="moeda")+(Inputs!$G$5:$G$190="acoes"))*Inputs!$B$1+((Inputs!$G$5:$G$190&lt;&gt;"moeda")*(Inputs!$G$5:$G$190&lt;&gt;"acoes")))*INDEX(Inputs!$K$5:$AJ$190,0,MATCH(D$2,Inputs!$K$4:$AJ$4,0)))))</f>
        <v>-76.9250735250731</v>
      </c>
      <c r="E12" s="6">
        <f>IF(ISNA(MATCH(E$2,Inputs!$K$4:$AJ$4,0)),NA(),IF(SUMPRODUCT((Inputs!$A$5:$A$190=$B12)*ISNUMBER(INDEX(Inputs!$K$5:$AJ$190,0,MATCH(E$2,Inputs!$K$4:$AJ$4,0))))+SUMPRODUCT((Inputs!$C$5:$C$190=$B12)*ISNUMBER(INDEX(Inputs!$K$5:$AJ$190,0,MATCH(E$2,Inputs!$K$4:$AJ$4,0))))+SUMPRODUCT((Inputs!$E$5:$E$190=$B12)*ISNUMBER(INDEX(Inputs!$K$5:$AJ$190,0,MATCH(E$2,Inputs!$K$4:$AJ$4,0))))=0,NA(),SUMPRODUCT((Inputs!$A$5:$A$190=$B12)*Inputs!$B$5:$B$190*(((Inputs!$G$5:$G$190="moeda")+(Inputs!$G$5:$G$190="acoes"))*Inputs!$B$1+((Inputs!$G$5:$G$190&lt;&gt;"moeda")*(Inputs!$G$5:$G$190&lt;&gt;"acoes")))*INDEX(Inputs!$K$5:$AJ$190,0,MATCH(E$2,Inputs!$K$4:$AJ$4,0)))+SUMPRODUCT((Inputs!$C$5:$C$190=$B12)*Inputs!$D$5:$D$190*(((Inputs!$G$5:$G$190="moeda")+(Inputs!$G$5:$G$190="acoes"))*Inputs!$B$1+((Inputs!$G$5:$G$190&lt;&gt;"moeda")*(Inputs!$G$5:$G$190&lt;&gt;"acoes")))*INDEX(Inputs!$K$5:$AJ$190,0,MATCH(E$2,Inputs!$K$4:$AJ$4,0)))+SUMPRODUCT((Inputs!$E$5:$E$190=$B12)*Inputs!$F$5:$F$190*(((Inputs!$G$5:$G$190="moeda")+(Inputs!$G$5:$G$190="acoes"))*Inputs!$B$1+((Inputs!$G$5:$G$190&lt;&gt;"moeda")*(Inputs!$G$5:$G$190&lt;&gt;"acoes")))*INDEX(Inputs!$K$5:$AJ$190,0,MATCH(E$2,Inputs!$K$4:$AJ$4,0)))))</f>
        <v>-124.58567863375</v>
      </c>
      <c r="F12" s="6">
        <f>IF(ISNA(MATCH(F$2,Inputs!$K$4:$AJ$4,0)),NA(),IF(SUMPRODUCT((Inputs!$A$5:$A$190=$B12)*ISNUMBER(INDEX(Inputs!$K$5:$AJ$190,0,MATCH(F$2,Inputs!$K$4:$AJ$4,0))))+SUMPRODUCT((Inputs!$C$5:$C$190=$B12)*ISNUMBER(INDEX(Inputs!$K$5:$AJ$190,0,MATCH(F$2,Inputs!$K$4:$AJ$4,0))))+SUMPRODUCT((Inputs!$E$5:$E$190=$B12)*ISNUMBER(INDEX(Inputs!$K$5:$AJ$190,0,MATCH(F$2,Inputs!$K$4:$AJ$4,0))))=0,NA(),SUMPRODUCT((Inputs!$A$5:$A$190=$B12)*Inputs!$B$5:$B$190*(((Inputs!$G$5:$G$190="moeda")+(Inputs!$G$5:$G$190="acoes"))*Inputs!$B$1+((Inputs!$G$5:$G$190&lt;&gt;"moeda")*(Inputs!$G$5:$G$190&lt;&gt;"acoes")))*INDEX(Inputs!$K$5:$AJ$190,0,MATCH(F$2,Inputs!$K$4:$AJ$4,0)))+SUMPRODUCT((Inputs!$C$5:$C$190=$B12)*Inputs!$D$5:$D$190*(((Inputs!$G$5:$G$190="moeda")+(Inputs!$G$5:$G$190="acoes"))*Inputs!$B$1+((Inputs!$G$5:$G$190&lt;&gt;"moeda")*(Inputs!$G$5:$G$190&lt;&gt;"acoes")))*INDEX(Inputs!$K$5:$AJ$190,0,MATCH(F$2,Inputs!$K$4:$AJ$4,0)))+SUMPRODUCT((Inputs!$E$5:$E$190=$B12)*Inputs!$F$5:$F$190*(((Inputs!$G$5:$G$190="moeda")+(Inputs!$G$5:$G$190="acoes"))*Inputs!$B$1+((Inputs!$G$5:$G$190&lt;&gt;"moeda")*(Inputs!$G$5:$G$190&lt;&gt;"acoes")))*INDEX(Inputs!$K$5:$AJ$190,0,MATCH(F$2,Inputs!$K$4:$AJ$4,0)))))</f>
        <v>-153.591501483998</v>
      </c>
      <c r="G12" s="6">
        <f>IF(ISNA(MATCH(G$2,Inputs!$K$4:$AJ$4,0)),NA(),IF(SUMPRODUCT((Inputs!$A$5:$A$190=$B12)*ISNUMBER(INDEX(Inputs!$K$5:$AJ$190,0,MATCH(G$2,Inputs!$K$4:$AJ$4,0))))+SUMPRODUCT((Inputs!$C$5:$C$190=$B12)*ISNUMBER(INDEX(Inputs!$K$5:$AJ$190,0,MATCH(G$2,Inputs!$K$4:$AJ$4,0))))+SUMPRODUCT((Inputs!$E$5:$E$190=$B12)*ISNUMBER(INDEX(Inputs!$K$5:$AJ$190,0,MATCH(G$2,Inputs!$K$4:$AJ$4,0))))=0,NA(),SUMPRODUCT((Inputs!$A$5:$A$190=$B12)*Inputs!$B$5:$B$190*(((Inputs!$G$5:$G$190="moeda")+(Inputs!$G$5:$G$190="acoes"))*Inputs!$B$1+((Inputs!$G$5:$G$190&lt;&gt;"moeda")*(Inputs!$G$5:$G$190&lt;&gt;"acoes")))*INDEX(Inputs!$K$5:$AJ$190,0,MATCH(G$2,Inputs!$K$4:$AJ$4,0)))+SUMPRODUCT((Inputs!$C$5:$C$190=$B12)*Inputs!$D$5:$D$190*(((Inputs!$G$5:$G$190="moeda")+(Inputs!$G$5:$G$190="acoes"))*Inputs!$B$1+((Inputs!$G$5:$G$190&lt;&gt;"moeda")*(Inputs!$G$5:$G$190&lt;&gt;"acoes")))*INDEX(Inputs!$K$5:$AJ$190,0,MATCH(G$2,Inputs!$K$4:$AJ$4,0)))+SUMPRODUCT((Inputs!$E$5:$E$190=$B12)*Inputs!$F$5:$F$190*(((Inputs!$G$5:$G$190="moeda")+(Inputs!$G$5:$G$190="acoes"))*Inputs!$B$1+((Inputs!$G$5:$G$190&lt;&gt;"moeda")*(Inputs!$G$5:$G$190&lt;&gt;"acoes")))*INDEX(Inputs!$K$5:$AJ$190,0,MATCH(G$2,Inputs!$K$4:$AJ$4,0)))))</f>
        <v>-151.592746357179</v>
      </c>
      <c r="H12" s="3">
        <f>SUM(D12:G12)</f>
        <v>-506.695</v>
      </c>
      <c r="I12" s="6">
        <f>IF(ISNA(MATCH(I$2,Inputs!$K$4:$AJ$4,0)),NA(),IF(SUMPRODUCT((Inputs!$A$5:$A$190=$B12)*ISNUMBER(INDEX(Inputs!$K$5:$AJ$190,0,MATCH(I$2,Inputs!$K$4:$AJ$4,0))))+SUMPRODUCT((Inputs!$C$5:$C$190=$B12)*ISNUMBER(INDEX(Inputs!$K$5:$AJ$190,0,MATCH(I$2,Inputs!$K$4:$AJ$4,0))))+SUMPRODUCT((Inputs!$E$5:$E$190=$B12)*ISNUMBER(INDEX(Inputs!$K$5:$AJ$190,0,MATCH(I$2,Inputs!$K$4:$AJ$4,0))))=0,NA(),SUMPRODUCT((Inputs!$A$5:$A$190=$B12)*Inputs!$B$5:$B$190*(((Inputs!$G$5:$G$190="moeda")+(Inputs!$G$5:$G$190="acoes"))*Inputs!$B$1+((Inputs!$G$5:$G$190&lt;&gt;"moeda")*(Inputs!$G$5:$G$190&lt;&gt;"acoes")))*INDEX(Inputs!$K$5:$AJ$190,0,MATCH(I$2,Inputs!$K$4:$AJ$4,0)))+SUMPRODUCT((Inputs!$C$5:$C$190=$B12)*Inputs!$D$5:$D$190*(((Inputs!$G$5:$G$190="moeda")+(Inputs!$G$5:$G$190="acoes"))*Inputs!$B$1+((Inputs!$G$5:$G$190&lt;&gt;"moeda")*(Inputs!$G$5:$G$190&lt;&gt;"acoes")))*INDEX(Inputs!$K$5:$AJ$190,0,MATCH(I$2,Inputs!$K$4:$AJ$4,0)))+SUMPRODUCT((Inputs!$E$5:$E$190=$B12)*Inputs!$F$5:$F$190*(((Inputs!$G$5:$G$190="moeda")+(Inputs!$G$5:$G$190="acoes"))*Inputs!$B$1+((Inputs!$G$5:$G$190&lt;&gt;"moeda")*(Inputs!$G$5:$G$190&lt;&gt;"acoes")))*INDEX(Inputs!$K$5:$AJ$190,0,MATCH(I$2,Inputs!$K$4:$AJ$4,0)))))</f>
        <v>-136.847</v>
      </c>
      <c r="J12" s="6">
        <f>IF(ISNA(MATCH(J$2,Inputs!$K$4:$AJ$4,0)),NA(),IF(SUMPRODUCT((Inputs!$A$5:$A$190=$B12)*ISNUMBER(INDEX(Inputs!$K$5:$AJ$190,0,MATCH(J$2,Inputs!$K$4:$AJ$4,0))))+SUMPRODUCT((Inputs!$C$5:$C$190=$B12)*ISNUMBER(INDEX(Inputs!$K$5:$AJ$190,0,MATCH(J$2,Inputs!$K$4:$AJ$4,0))))+SUMPRODUCT((Inputs!$E$5:$E$190=$B12)*ISNUMBER(INDEX(Inputs!$K$5:$AJ$190,0,MATCH(J$2,Inputs!$K$4:$AJ$4,0))))=0,NA(),SUMPRODUCT((Inputs!$A$5:$A$190=$B12)*Inputs!$B$5:$B$190*(((Inputs!$G$5:$G$190="moeda")+(Inputs!$G$5:$G$190="acoes"))*Inputs!$B$1+((Inputs!$G$5:$G$190&lt;&gt;"moeda")*(Inputs!$G$5:$G$190&lt;&gt;"acoes")))*INDEX(Inputs!$K$5:$AJ$190,0,MATCH(J$2,Inputs!$K$4:$AJ$4,0)))+SUMPRODUCT((Inputs!$C$5:$C$190=$B12)*Inputs!$D$5:$D$190*(((Inputs!$G$5:$G$190="moeda")+(Inputs!$G$5:$G$190="acoes"))*Inputs!$B$1+((Inputs!$G$5:$G$190&lt;&gt;"moeda")*(Inputs!$G$5:$G$190&lt;&gt;"acoes")))*INDEX(Inputs!$K$5:$AJ$190,0,MATCH(J$2,Inputs!$K$4:$AJ$4,0)))+SUMPRODUCT((Inputs!$E$5:$E$190=$B12)*Inputs!$F$5:$F$190*(((Inputs!$G$5:$G$190="moeda")+(Inputs!$G$5:$G$190="acoes"))*Inputs!$B$1+((Inputs!$G$5:$G$190&lt;&gt;"moeda")*(Inputs!$G$5:$G$190&lt;&gt;"acoes")))*INDEX(Inputs!$K$5:$AJ$190,0,MATCH(J$2,Inputs!$K$4:$AJ$4,0)))))</f>
        <v>-110.9852</v>
      </c>
      <c r="K12" s="6">
        <f>IF(ISNA(MATCH(K$2,Inputs!$K$4:$AJ$4,0)),NA(),IF(SUMPRODUCT((Inputs!$A$5:$A$190=$B12)*ISNUMBER(INDEX(Inputs!$K$5:$AJ$190,0,MATCH(K$2,Inputs!$K$4:$AJ$4,0))))+SUMPRODUCT((Inputs!$C$5:$C$190=$B12)*ISNUMBER(INDEX(Inputs!$K$5:$AJ$190,0,MATCH(K$2,Inputs!$K$4:$AJ$4,0))))+SUMPRODUCT((Inputs!$E$5:$E$190=$B12)*ISNUMBER(INDEX(Inputs!$K$5:$AJ$190,0,MATCH(K$2,Inputs!$K$4:$AJ$4,0))))=0,NA(),SUMPRODUCT((Inputs!$A$5:$A$190=$B12)*Inputs!$B$5:$B$190*(((Inputs!$G$5:$G$190="moeda")+(Inputs!$G$5:$G$190="acoes"))*Inputs!$B$1+((Inputs!$G$5:$G$190&lt;&gt;"moeda")*(Inputs!$G$5:$G$190&lt;&gt;"acoes")))*INDEX(Inputs!$K$5:$AJ$190,0,MATCH(K$2,Inputs!$K$4:$AJ$4,0)))+SUMPRODUCT((Inputs!$C$5:$C$190=$B12)*Inputs!$D$5:$D$190*(((Inputs!$G$5:$G$190="moeda")+(Inputs!$G$5:$G$190="acoes"))*Inputs!$B$1+((Inputs!$G$5:$G$190&lt;&gt;"moeda")*(Inputs!$G$5:$G$190&lt;&gt;"acoes")))*INDEX(Inputs!$K$5:$AJ$190,0,MATCH(K$2,Inputs!$K$4:$AJ$4,0)))+SUMPRODUCT((Inputs!$E$5:$E$190=$B12)*Inputs!$F$5:$F$190*(((Inputs!$G$5:$G$190="moeda")+(Inputs!$G$5:$G$190="acoes"))*Inputs!$B$1+((Inputs!$G$5:$G$190&lt;&gt;"moeda")*(Inputs!$G$5:$G$190&lt;&gt;"acoes")))*INDEX(Inputs!$K$5:$AJ$190,0,MATCH(K$2,Inputs!$K$4:$AJ$4,0)))))</f>
        <v>-92.4970004588794</v>
      </c>
      <c r="L12" s="6">
        <f>IF(ISNA(MATCH(L$2,Inputs!$K$4:$AJ$4,0)),NA(),IF(SUMPRODUCT((Inputs!$A$5:$A$190=$B12)*ISNUMBER(INDEX(Inputs!$K$5:$AJ$190,0,MATCH(L$2,Inputs!$K$4:$AJ$4,0))))+SUMPRODUCT((Inputs!$C$5:$C$190=$B12)*ISNUMBER(INDEX(Inputs!$K$5:$AJ$190,0,MATCH(L$2,Inputs!$K$4:$AJ$4,0))))+SUMPRODUCT((Inputs!$E$5:$E$190=$B12)*ISNUMBER(INDEX(Inputs!$K$5:$AJ$190,0,MATCH(L$2,Inputs!$K$4:$AJ$4,0))))=0,NA(),SUMPRODUCT((Inputs!$A$5:$A$190=$B12)*Inputs!$B$5:$B$190*(((Inputs!$G$5:$G$190="moeda")+(Inputs!$G$5:$G$190="acoes"))*Inputs!$B$1+((Inputs!$G$5:$G$190&lt;&gt;"moeda")*(Inputs!$G$5:$G$190&lt;&gt;"acoes")))*INDEX(Inputs!$K$5:$AJ$190,0,MATCH(L$2,Inputs!$K$4:$AJ$4,0)))+SUMPRODUCT((Inputs!$C$5:$C$190=$B12)*Inputs!$D$5:$D$190*(((Inputs!$G$5:$G$190="moeda")+(Inputs!$G$5:$G$190="acoes"))*Inputs!$B$1+((Inputs!$G$5:$G$190&lt;&gt;"moeda")*(Inputs!$G$5:$G$190&lt;&gt;"acoes")))*INDEX(Inputs!$K$5:$AJ$190,0,MATCH(L$2,Inputs!$K$4:$AJ$4,0)))+SUMPRODUCT((Inputs!$E$5:$E$190=$B12)*Inputs!$F$5:$F$190*(((Inputs!$G$5:$G$190="moeda")+(Inputs!$G$5:$G$190="acoes"))*Inputs!$B$1+((Inputs!$G$5:$G$190&lt;&gt;"moeda")*(Inputs!$G$5:$G$190&lt;&gt;"acoes")))*INDEX(Inputs!$K$5:$AJ$190,0,MATCH(L$2,Inputs!$K$4:$AJ$4,0)))))</f>
        <v>-118.295958750104</v>
      </c>
      <c r="M12" s="3">
        <f>SUM(I12:L12)</f>
        <v>-458.625159208983</v>
      </c>
      <c r="N12" s="6">
        <f>IF(ISNA(MATCH(N$2,Inputs!$K$4:$AJ$4,0)),NA(),IF(SUMPRODUCT((Inputs!$A$5:$A$190=$B12)*ISNUMBER(INDEX(Inputs!$K$5:$AJ$190,0,MATCH(N$2,Inputs!$K$4:$AJ$4,0))))+SUMPRODUCT((Inputs!$C$5:$C$190=$B12)*ISNUMBER(INDEX(Inputs!$K$5:$AJ$190,0,MATCH(N$2,Inputs!$K$4:$AJ$4,0))))+SUMPRODUCT((Inputs!$E$5:$E$190=$B12)*ISNUMBER(INDEX(Inputs!$K$5:$AJ$190,0,MATCH(N$2,Inputs!$K$4:$AJ$4,0))))=0,NA(),SUMPRODUCT((Inputs!$A$5:$A$190=$B12)*Inputs!$B$5:$B$190*(((Inputs!$G$5:$G$190="moeda")+(Inputs!$G$5:$G$190="acoes"))*Inputs!$B$1+((Inputs!$G$5:$G$190&lt;&gt;"moeda")*(Inputs!$G$5:$G$190&lt;&gt;"acoes")))*INDEX(Inputs!$K$5:$AJ$190,0,MATCH(N$2,Inputs!$K$4:$AJ$4,0)))+SUMPRODUCT((Inputs!$C$5:$C$190=$B12)*Inputs!$D$5:$D$190*(((Inputs!$G$5:$G$190="moeda")+(Inputs!$G$5:$G$190="acoes"))*Inputs!$B$1+((Inputs!$G$5:$G$190&lt;&gt;"moeda")*(Inputs!$G$5:$G$190&lt;&gt;"acoes")))*INDEX(Inputs!$K$5:$AJ$190,0,MATCH(N$2,Inputs!$K$4:$AJ$4,0)))+SUMPRODUCT((Inputs!$E$5:$E$190=$B12)*Inputs!$F$5:$F$190*(((Inputs!$G$5:$G$190="moeda")+(Inputs!$G$5:$G$190="acoes"))*Inputs!$B$1+((Inputs!$G$5:$G$190&lt;&gt;"moeda")*(Inputs!$G$5:$G$190&lt;&gt;"acoes")))*INDEX(Inputs!$K$5:$AJ$190,0,MATCH(N$2,Inputs!$K$4:$AJ$4,0)))))</f>
        <v>-70.7426245306207</v>
      </c>
      <c r="O12" s="6">
        <f>IF(ISNA(MATCH(O$2,Inputs!$K$4:$AJ$4,0)),NA(),IF(SUMPRODUCT((Inputs!$A$5:$A$190=$B12)*ISNUMBER(INDEX(Inputs!$K$5:$AJ$190,0,MATCH(O$2,Inputs!$K$4:$AJ$4,0))))+SUMPRODUCT((Inputs!$C$5:$C$190=$B12)*ISNUMBER(INDEX(Inputs!$K$5:$AJ$190,0,MATCH(O$2,Inputs!$K$4:$AJ$4,0))))+SUMPRODUCT((Inputs!$E$5:$E$190=$B12)*ISNUMBER(INDEX(Inputs!$K$5:$AJ$190,0,MATCH(O$2,Inputs!$K$4:$AJ$4,0))))=0,NA(),SUMPRODUCT((Inputs!$A$5:$A$190=$B12)*Inputs!$B$5:$B$190*(((Inputs!$G$5:$G$190="moeda")+(Inputs!$G$5:$G$190="acoes"))*Inputs!$B$1+((Inputs!$G$5:$G$190&lt;&gt;"moeda")*(Inputs!$G$5:$G$190&lt;&gt;"acoes")))*INDEX(Inputs!$K$5:$AJ$190,0,MATCH(O$2,Inputs!$K$4:$AJ$4,0)))+SUMPRODUCT((Inputs!$C$5:$C$190=$B12)*Inputs!$D$5:$D$190*(((Inputs!$G$5:$G$190="moeda")+(Inputs!$G$5:$G$190="acoes"))*Inputs!$B$1+((Inputs!$G$5:$G$190&lt;&gt;"moeda")*(Inputs!$G$5:$G$190&lt;&gt;"acoes")))*INDEX(Inputs!$K$5:$AJ$190,0,MATCH(O$2,Inputs!$K$4:$AJ$4,0)))+SUMPRODUCT((Inputs!$E$5:$E$190=$B12)*Inputs!$F$5:$F$190*(((Inputs!$G$5:$G$190="moeda")+(Inputs!$G$5:$G$190="acoes"))*Inputs!$B$1+((Inputs!$G$5:$G$190&lt;&gt;"moeda")*(Inputs!$G$5:$G$190&lt;&gt;"acoes")))*INDEX(Inputs!$K$5:$AJ$190,0,MATCH(O$2,Inputs!$K$4:$AJ$4,0)))))</f>
        <v>-87.5566520721374</v>
      </c>
      <c r="P12" s="6">
        <f>IF(ISNA(MATCH(P$2,Inputs!$K$4:$AJ$4,0)),NA(),IF(SUMPRODUCT((Inputs!$A$5:$A$190=$B12)*ISNUMBER(INDEX(Inputs!$K$5:$AJ$190,0,MATCH(P$2,Inputs!$K$4:$AJ$4,0))))+SUMPRODUCT((Inputs!$C$5:$C$190=$B12)*ISNUMBER(INDEX(Inputs!$K$5:$AJ$190,0,MATCH(P$2,Inputs!$K$4:$AJ$4,0))))+SUMPRODUCT((Inputs!$E$5:$E$190=$B12)*ISNUMBER(INDEX(Inputs!$K$5:$AJ$190,0,MATCH(P$2,Inputs!$K$4:$AJ$4,0))))=0,NA(),SUMPRODUCT((Inputs!$A$5:$A$190=$B12)*Inputs!$B$5:$B$190*(((Inputs!$G$5:$G$190="moeda")+(Inputs!$G$5:$G$190="acoes"))*Inputs!$B$1+((Inputs!$G$5:$G$190&lt;&gt;"moeda")*(Inputs!$G$5:$G$190&lt;&gt;"acoes")))*INDEX(Inputs!$K$5:$AJ$190,0,MATCH(P$2,Inputs!$K$4:$AJ$4,0)))+SUMPRODUCT((Inputs!$C$5:$C$190=$B12)*Inputs!$D$5:$D$190*(((Inputs!$G$5:$G$190="moeda")+(Inputs!$G$5:$G$190="acoes"))*Inputs!$B$1+((Inputs!$G$5:$G$190&lt;&gt;"moeda")*(Inputs!$G$5:$G$190&lt;&gt;"acoes")))*INDEX(Inputs!$K$5:$AJ$190,0,MATCH(P$2,Inputs!$K$4:$AJ$4,0)))+SUMPRODUCT((Inputs!$E$5:$E$190=$B12)*Inputs!$F$5:$F$190*(((Inputs!$G$5:$G$190="moeda")+(Inputs!$G$5:$G$190="acoes"))*Inputs!$B$1+((Inputs!$G$5:$G$190&lt;&gt;"moeda")*(Inputs!$G$5:$G$190&lt;&gt;"acoes")))*INDEX(Inputs!$K$5:$AJ$190,0,MATCH(P$2,Inputs!$K$4:$AJ$4,0)))))</f>
        <v>-25.8757774607182</v>
      </c>
      <c r="Q12" s="6">
        <f>IF(ISNA(MATCH(Q$2,Inputs!$K$4:$AJ$4,0)),NA(),IF(SUMPRODUCT((Inputs!$A$5:$A$190=$B12)*ISNUMBER(INDEX(Inputs!$K$5:$AJ$190,0,MATCH(Q$2,Inputs!$K$4:$AJ$4,0))))+SUMPRODUCT((Inputs!$C$5:$C$190=$B12)*ISNUMBER(INDEX(Inputs!$K$5:$AJ$190,0,MATCH(Q$2,Inputs!$K$4:$AJ$4,0))))+SUMPRODUCT((Inputs!$E$5:$E$190=$B12)*ISNUMBER(INDEX(Inputs!$K$5:$AJ$190,0,MATCH(Q$2,Inputs!$K$4:$AJ$4,0))))=0,NA(),SUMPRODUCT((Inputs!$A$5:$A$190=$B12)*Inputs!$B$5:$B$190*(((Inputs!$G$5:$G$190="moeda")+(Inputs!$G$5:$G$190="acoes"))*Inputs!$B$1+((Inputs!$G$5:$G$190&lt;&gt;"moeda")*(Inputs!$G$5:$G$190&lt;&gt;"acoes")))*INDEX(Inputs!$K$5:$AJ$190,0,MATCH(Q$2,Inputs!$K$4:$AJ$4,0)))+SUMPRODUCT((Inputs!$C$5:$C$190=$B12)*Inputs!$D$5:$D$190*(((Inputs!$G$5:$G$190="moeda")+(Inputs!$G$5:$G$190="acoes"))*Inputs!$B$1+((Inputs!$G$5:$G$190&lt;&gt;"moeda")*(Inputs!$G$5:$G$190&lt;&gt;"acoes")))*INDEX(Inputs!$K$5:$AJ$190,0,MATCH(Q$2,Inputs!$K$4:$AJ$4,0)))+SUMPRODUCT((Inputs!$E$5:$E$190=$B12)*Inputs!$F$5:$F$190*(((Inputs!$G$5:$G$190="moeda")+(Inputs!$G$5:$G$190="acoes"))*Inputs!$B$1+((Inputs!$G$5:$G$190&lt;&gt;"moeda")*(Inputs!$G$5:$G$190&lt;&gt;"acoes")))*INDEX(Inputs!$K$5:$AJ$190,0,MATCH(Q$2,Inputs!$K$4:$AJ$4,0)))))</f>
        <v>340.804619350459</v>
      </c>
      <c r="R12" s="3">
        <f>SUM(N12:Q12)</f>
        <v>156.629565286982</v>
      </c>
      <c r="S12" s="6">
        <f>IF(ISNA(MATCH(S$2,Inputs!$K$4:$AJ$4,0)),NA(),IF(SUMPRODUCT((Inputs!$A$5:$A$190=$B12)*ISNUMBER(INDEX(Inputs!$K$5:$AJ$190,0,MATCH(S$2,Inputs!$K$4:$AJ$4,0))))+SUMPRODUCT((Inputs!$C$5:$C$190=$B12)*ISNUMBER(INDEX(Inputs!$K$5:$AJ$190,0,MATCH(S$2,Inputs!$K$4:$AJ$4,0))))+SUMPRODUCT((Inputs!$E$5:$E$190=$B12)*ISNUMBER(INDEX(Inputs!$K$5:$AJ$190,0,MATCH(S$2,Inputs!$K$4:$AJ$4,0))))=0,NA(),SUMPRODUCT((Inputs!$A$5:$A$190=$B12)*Inputs!$B$5:$B$190*(((Inputs!$G$5:$G$190="moeda")+(Inputs!$G$5:$G$190="acoes"))*Inputs!$B$1+((Inputs!$G$5:$G$190&lt;&gt;"moeda")*(Inputs!$G$5:$G$190&lt;&gt;"acoes")))*INDEX(Inputs!$K$5:$AJ$190,0,MATCH(S$2,Inputs!$K$4:$AJ$4,0)))+SUMPRODUCT((Inputs!$C$5:$C$190=$B12)*Inputs!$D$5:$D$190*(((Inputs!$G$5:$G$190="moeda")+(Inputs!$G$5:$G$190="acoes"))*Inputs!$B$1+((Inputs!$G$5:$G$190&lt;&gt;"moeda")*(Inputs!$G$5:$G$190&lt;&gt;"acoes")))*INDEX(Inputs!$K$5:$AJ$190,0,MATCH(S$2,Inputs!$K$4:$AJ$4,0)))+SUMPRODUCT((Inputs!$E$5:$E$190=$B12)*Inputs!$F$5:$F$190*(((Inputs!$G$5:$G$190="moeda")+(Inputs!$G$5:$G$190="acoes"))*Inputs!$B$1+((Inputs!$G$5:$G$190&lt;&gt;"moeda")*(Inputs!$G$5:$G$190&lt;&gt;"acoes")))*INDEX(Inputs!$K$5:$AJ$190,0,MATCH(S$2,Inputs!$K$4:$AJ$4,0)))))</f>
        <v>-85.7682701999996</v>
      </c>
      <c r="T12" s="6">
        <f>IF(ISNA(MATCH(T$2,Inputs!$K$4:$AJ$4,0)),NA(),IF(SUMPRODUCT((Inputs!$A$5:$A$190=$B12)*ISNUMBER(INDEX(Inputs!$K$5:$AJ$190,0,MATCH(T$2,Inputs!$K$4:$AJ$4,0))))+SUMPRODUCT((Inputs!$C$5:$C$190=$B12)*ISNUMBER(INDEX(Inputs!$K$5:$AJ$190,0,MATCH(T$2,Inputs!$K$4:$AJ$4,0))))+SUMPRODUCT((Inputs!$E$5:$E$190=$B12)*ISNUMBER(INDEX(Inputs!$K$5:$AJ$190,0,MATCH(T$2,Inputs!$K$4:$AJ$4,0))))=0,NA(),SUMPRODUCT((Inputs!$A$5:$A$190=$B12)*Inputs!$B$5:$B$190*(((Inputs!$G$5:$G$190="moeda")+(Inputs!$G$5:$G$190="acoes"))*Inputs!$B$1+((Inputs!$G$5:$G$190&lt;&gt;"moeda")*(Inputs!$G$5:$G$190&lt;&gt;"acoes")))*INDEX(Inputs!$K$5:$AJ$190,0,MATCH(T$2,Inputs!$K$4:$AJ$4,0)))+SUMPRODUCT((Inputs!$C$5:$C$190=$B12)*Inputs!$D$5:$D$190*(((Inputs!$G$5:$G$190="moeda")+(Inputs!$G$5:$G$190="acoes"))*Inputs!$B$1+((Inputs!$G$5:$G$190&lt;&gt;"moeda")*(Inputs!$G$5:$G$190&lt;&gt;"acoes")))*INDEX(Inputs!$K$5:$AJ$190,0,MATCH(T$2,Inputs!$K$4:$AJ$4,0)))+SUMPRODUCT((Inputs!$E$5:$E$190=$B12)*Inputs!$F$5:$F$190*(((Inputs!$G$5:$G$190="moeda")+(Inputs!$G$5:$G$190="acoes"))*Inputs!$B$1+((Inputs!$G$5:$G$190&lt;&gt;"moeda")*(Inputs!$G$5:$G$190&lt;&gt;"acoes")))*INDEX(Inputs!$K$5:$AJ$190,0,MATCH(T$2,Inputs!$K$4:$AJ$4,0)))))</f>
        <v>-92.5487251900008</v>
      </c>
      <c r="U12" s="6">
        <f>IF(ISNA(MATCH(U$2,Inputs!$K$4:$AJ$4,0)),NA(),IF(SUMPRODUCT((Inputs!$A$5:$A$190=$B12)*ISNUMBER(INDEX(Inputs!$K$5:$AJ$190,0,MATCH(U$2,Inputs!$K$4:$AJ$4,0))))+SUMPRODUCT((Inputs!$C$5:$C$190=$B12)*ISNUMBER(INDEX(Inputs!$K$5:$AJ$190,0,MATCH(U$2,Inputs!$K$4:$AJ$4,0))))+SUMPRODUCT((Inputs!$E$5:$E$190=$B12)*ISNUMBER(INDEX(Inputs!$K$5:$AJ$190,0,MATCH(U$2,Inputs!$K$4:$AJ$4,0))))=0,NA(),SUMPRODUCT((Inputs!$A$5:$A$190=$B12)*Inputs!$B$5:$B$190*(((Inputs!$G$5:$G$190="moeda")+(Inputs!$G$5:$G$190="acoes"))*Inputs!$B$1+((Inputs!$G$5:$G$190&lt;&gt;"moeda")*(Inputs!$G$5:$G$190&lt;&gt;"acoes")))*INDEX(Inputs!$K$5:$AJ$190,0,MATCH(U$2,Inputs!$K$4:$AJ$4,0)))+SUMPRODUCT((Inputs!$C$5:$C$190=$B12)*Inputs!$D$5:$D$190*(((Inputs!$G$5:$G$190="moeda")+(Inputs!$G$5:$G$190="acoes"))*Inputs!$B$1+((Inputs!$G$5:$G$190&lt;&gt;"moeda")*(Inputs!$G$5:$G$190&lt;&gt;"acoes")))*INDEX(Inputs!$K$5:$AJ$190,0,MATCH(U$2,Inputs!$K$4:$AJ$4,0)))+SUMPRODUCT((Inputs!$E$5:$E$190=$B12)*Inputs!$F$5:$F$190*(((Inputs!$G$5:$G$190="moeda")+(Inputs!$G$5:$G$190="acoes"))*Inputs!$B$1+((Inputs!$G$5:$G$190&lt;&gt;"moeda")*(Inputs!$G$5:$G$190&lt;&gt;"acoes")))*INDEX(Inputs!$K$5:$AJ$190,0,MATCH(U$2,Inputs!$K$4:$AJ$4,0)))))</f>
        <v>-92.0911763899984</v>
      </c>
      <c r="V12" s="6">
        <f>IF(ISNA(MATCH(V$2,Inputs!$K$4:$AJ$4,0)),NA(),IF(SUMPRODUCT((Inputs!$A$5:$A$190=$B12)*ISNUMBER(INDEX(Inputs!$K$5:$AJ$190,0,MATCH(V$2,Inputs!$K$4:$AJ$4,0))))+SUMPRODUCT((Inputs!$C$5:$C$190=$B12)*ISNUMBER(INDEX(Inputs!$K$5:$AJ$190,0,MATCH(V$2,Inputs!$K$4:$AJ$4,0))))+SUMPRODUCT((Inputs!$E$5:$E$190=$B12)*ISNUMBER(INDEX(Inputs!$K$5:$AJ$190,0,MATCH(V$2,Inputs!$K$4:$AJ$4,0))))=0,NA(),SUMPRODUCT((Inputs!$A$5:$A$190=$B12)*Inputs!$B$5:$B$190*(((Inputs!$G$5:$G$190="moeda")+(Inputs!$G$5:$G$190="acoes"))*Inputs!$B$1+((Inputs!$G$5:$G$190&lt;&gt;"moeda")*(Inputs!$G$5:$G$190&lt;&gt;"acoes")))*INDEX(Inputs!$K$5:$AJ$190,0,MATCH(V$2,Inputs!$K$4:$AJ$4,0)))+SUMPRODUCT((Inputs!$C$5:$C$190=$B12)*Inputs!$D$5:$D$190*(((Inputs!$G$5:$G$190="moeda")+(Inputs!$G$5:$G$190="acoes"))*Inputs!$B$1+((Inputs!$G$5:$G$190&lt;&gt;"moeda")*(Inputs!$G$5:$G$190&lt;&gt;"acoes")))*INDEX(Inputs!$K$5:$AJ$190,0,MATCH(V$2,Inputs!$K$4:$AJ$4,0)))+SUMPRODUCT((Inputs!$E$5:$E$190=$B12)*Inputs!$F$5:$F$190*(((Inputs!$G$5:$G$190="moeda")+(Inputs!$G$5:$G$190="acoes"))*Inputs!$B$1+((Inputs!$G$5:$G$190&lt;&gt;"moeda")*(Inputs!$G$5:$G$190&lt;&gt;"acoes")))*INDEX(Inputs!$K$5:$AJ$190,0,MATCH(V$2,Inputs!$K$4:$AJ$4,0)))))</f>
        <v>-21.5790149600092</v>
      </c>
      <c r="W12" s="3">
        <f>SUM(S12:V12)</f>
        <v>-291.987186740008</v>
      </c>
      <c r="X12" s="6">
        <f>IF(ISNA(MATCH(X$2,Inputs!$K$4:$AJ$4,0)),NA(),IF(SUMPRODUCT((Inputs!$A$5:$A$190=$B12)*ISNUMBER(INDEX(Inputs!$K$5:$AJ$190,0,MATCH(X$2,Inputs!$K$4:$AJ$4,0))))+SUMPRODUCT((Inputs!$C$5:$C$190=$B12)*ISNUMBER(INDEX(Inputs!$K$5:$AJ$190,0,MATCH(X$2,Inputs!$K$4:$AJ$4,0))))+SUMPRODUCT((Inputs!$E$5:$E$190=$B12)*ISNUMBER(INDEX(Inputs!$K$5:$AJ$190,0,MATCH(X$2,Inputs!$K$4:$AJ$4,0))))=0,NA(),SUMPRODUCT((Inputs!$A$5:$A$190=$B12)*Inputs!$B$5:$B$190*(((Inputs!$G$5:$G$190="moeda")+(Inputs!$G$5:$G$190="acoes"))*Inputs!$B$1+((Inputs!$G$5:$G$190&lt;&gt;"moeda")*(Inputs!$G$5:$G$190&lt;&gt;"acoes")))*INDEX(Inputs!$K$5:$AJ$190,0,MATCH(X$2,Inputs!$K$4:$AJ$4,0)))+SUMPRODUCT((Inputs!$C$5:$C$190=$B12)*Inputs!$D$5:$D$190*(((Inputs!$G$5:$G$190="moeda")+(Inputs!$G$5:$G$190="acoes"))*Inputs!$B$1+((Inputs!$G$5:$G$190&lt;&gt;"moeda")*(Inputs!$G$5:$G$190&lt;&gt;"acoes")))*INDEX(Inputs!$K$5:$AJ$190,0,MATCH(X$2,Inputs!$K$4:$AJ$4,0)))+SUMPRODUCT((Inputs!$E$5:$E$190=$B12)*Inputs!$F$5:$F$190*(((Inputs!$G$5:$G$190="moeda")+(Inputs!$G$5:$G$190="acoes"))*Inputs!$B$1+((Inputs!$G$5:$G$190&lt;&gt;"moeda")*(Inputs!$G$5:$G$190&lt;&gt;"acoes")))*INDEX(Inputs!$K$5:$AJ$190,0,MATCH(X$2,Inputs!$K$4:$AJ$4,0)))))</f>
        <v>-62.5514536300002</v>
      </c>
      <c r="Y12" s="6">
        <f>IF(ISNA(MATCH(Y$2,Inputs!$K$4:$AJ$4,0)),NA(),IF(SUMPRODUCT((Inputs!$A$5:$A$190=$B12)*ISNUMBER(INDEX(Inputs!$K$5:$AJ$190,0,MATCH(Y$2,Inputs!$K$4:$AJ$4,0))))+SUMPRODUCT((Inputs!$C$5:$C$190=$B12)*ISNUMBER(INDEX(Inputs!$K$5:$AJ$190,0,MATCH(Y$2,Inputs!$K$4:$AJ$4,0))))+SUMPRODUCT((Inputs!$E$5:$E$190=$B12)*ISNUMBER(INDEX(Inputs!$K$5:$AJ$190,0,MATCH(Y$2,Inputs!$K$4:$AJ$4,0))))=0,NA(),SUMPRODUCT((Inputs!$A$5:$A$190=$B12)*Inputs!$B$5:$B$190*(((Inputs!$G$5:$G$190="moeda")+(Inputs!$G$5:$G$190="acoes"))*Inputs!$B$1+((Inputs!$G$5:$G$190&lt;&gt;"moeda")*(Inputs!$G$5:$G$190&lt;&gt;"acoes")))*INDEX(Inputs!$K$5:$AJ$190,0,MATCH(Y$2,Inputs!$K$4:$AJ$4,0)))+SUMPRODUCT((Inputs!$C$5:$C$190=$B12)*Inputs!$D$5:$D$190*(((Inputs!$G$5:$G$190="moeda")+(Inputs!$G$5:$G$190="acoes"))*Inputs!$B$1+((Inputs!$G$5:$G$190&lt;&gt;"moeda")*(Inputs!$G$5:$G$190&lt;&gt;"acoes")))*INDEX(Inputs!$K$5:$AJ$190,0,MATCH(Y$2,Inputs!$K$4:$AJ$4,0)))+SUMPRODUCT((Inputs!$E$5:$E$190=$B12)*Inputs!$F$5:$F$190*(((Inputs!$G$5:$G$190="moeda")+(Inputs!$G$5:$G$190="acoes"))*Inputs!$B$1+((Inputs!$G$5:$G$190&lt;&gt;"moeda")*(Inputs!$G$5:$G$190&lt;&gt;"acoes")))*INDEX(Inputs!$K$5:$AJ$190,0,MATCH(Y$2,Inputs!$K$4:$AJ$4,0)))))</f>
        <v>-53.367175980002</v>
      </c>
      <c r="Z12" s="6">
        <f>IF(ISNA(MATCH(Z$2,Inputs!$K$4:$AJ$4,0)),NA(),IF(SUMPRODUCT((Inputs!$A$5:$A$190=$B12)*ISNUMBER(INDEX(Inputs!$K$5:$AJ$190,0,MATCH(Z$2,Inputs!$K$4:$AJ$4,0))))+SUMPRODUCT((Inputs!$C$5:$C$190=$B12)*ISNUMBER(INDEX(Inputs!$K$5:$AJ$190,0,MATCH(Z$2,Inputs!$K$4:$AJ$4,0))))+SUMPRODUCT((Inputs!$E$5:$E$190=$B12)*ISNUMBER(INDEX(Inputs!$K$5:$AJ$190,0,MATCH(Z$2,Inputs!$K$4:$AJ$4,0))))=0,NA(),SUMPRODUCT((Inputs!$A$5:$A$190=$B12)*Inputs!$B$5:$B$190*(((Inputs!$G$5:$G$190="moeda")+(Inputs!$G$5:$G$190="acoes"))*Inputs!$B$1+((Inputs!$G$5:$G$190&lt;&gt;"moeda")*(Inputs!$G$5:$G$190&lt;&gt;"acoes")))*INDEX(Inputs!$K$5:$AJ$190,0,MATCH(Z$2,Inputs!$K$4:$AJ$4,0)))+SUMPRODUCT((Inputs!$C$5:$C$190=$B12)*Inputs!$D$5:$D$190*(((Inputs!$G$5:$G$190="moeda")+(Inputs!$G$5:$G$190="acoes"))*Inputs!$B$1+((Inputs!$G$5:$G$190&lt;&gt;"moeda")*(Inputs!$G$5:$G$190&lt;&gt;"acoes")))*INDEX(Inputs!$K$5:$AJ$190,0,MATCH(Z$2,Inputs!$K$4:$AJ$4,0)))+SUMPRODUCT((Inputs!$E$5:$E$190=$B12)*Inputs!$F$5:$F$190*(((Inputs!$G$5:$G$190="moeda")+(Inputs!$G$5:$G$190="acoes"))*Inputs!$B$1+((Inputs!$G$5:$G$190&lt;&gt;"moeda")*(Inputs!$G$5:$G$190&lt;&gt;"acoes")))*INDEX(Inputs!$K$5:$AJ$190,0,MATCH(Z$2,Inputs!$K$4:$AJ$4,0)))))</f>
        <v>-7.68147334999821</v>
      </c>
      <c r="AA12" s="6">
        <f>IF(ISNA(MATCH(AA$2,Inputs!$K$4:$AJ$4,0)),NA(),IF(SUMPRODUCT((Inputs!$A$5:$A$190=$B12)*ISNUMBER(INDEX(Inputs!$K$5:$AJ$190,0,MATCH(AA$2,Inputs!$K$4:$AJ$4,0))))+SUMPRODUCT((Inputs!$C$5:$C$190=$B12)*ISNUMBER(INDEX(Inputs!$K$5:$AJ$190,0,MATCH(AA$2,Inputs!$K$4:$AJ$4,0))))+SUMPRODUCT((Inputs!$E$5:$E$190=$B12)*ISNUMBER(INDEX(Inputs!$K$5:$AJ$190,0,MATCH(AA$2,Inputs!$K$4:$AJ$4,0))))=0,NA(),SUMPRODUCT((Inputs!$A$5:$A$190=$B12)*Inputs!$B$5:$B$190*(((Inputs!$G$5:$G$190="moeda")+(Inputs!$G$5:$G$190="acoes"))*Inputs!$B$1+((Inputs!$G$5:$G$190&lt;&gt;"moeda")*(Inputs!$G$5:$G$190&lt;&gt;"acoes")))*INDEX(Inputs!$K$5:$AJ$190,0,MATCH(AA$2,Inputs!$K$4:$AJ$4,0)))+SUMPRODUCT((Inputs!$C$5:$C$190=$B12)*Inputs!$D$5:$D$190*(((Inputs!$G$5:$G$190="moeda")+(Inputs!$G$5:$G$190="acoes"))*Inputs!$B$1+((Inputs!$G$5:$G$190&lt;&gt;"moeda")*(Inputs!$G$5:$G$190&lt;&gt;"acoes")))*INDEX(Inputs!$K$5:$AJ$190,0,MATCH(AA$2,Inputs!$K$4:$AJ$4,0)))+SUMPRODUCT((Inputs!$E$5:$E$190=$B12)*Inputs!$F$5:$F$190*(((Inputs!$G$5:$G$190="moeda")+(Inputs!$G$5:$G$190="acoes"))*Inputs!$B$1+((Inputs!$G$5:$G$190&lt;&gt;"moeda")*(Inputs!$G$5:$G$190&lt;&gt;"acoes")))*INDEX(Inputs!$K$5:$AJ$190,0,MATCH(AA$2,Inputs!$K$4:$AJ$4,0)))))</f>
        <v>-49.920327010004</v>
      </c>
      <c r="AB12" s="3">
        <f>SUM(X12:AA12)</f>
        <v>-173.520429970004</v>
      </c>
      <c r="AC12" s="6">
        <f>IF(ISNA(MATCH(AC$2,Inputs!$K$4:$AJ$4,0)),NA(),IF(SUMPRODUCT((Inputs!$A$5:$A$190=$B12)*ISNUMBER(INDEX(Inputs!$K$5:$AJ$190,0,MATCH(AC$2,Inputs!$K$4:$AJ$4,0))))+SUMPRODUCT((Inputs!$C$5:$C$190=$B12)*ISNUMBER(INDEX(Inputs!$K$5:$AJ$190,0,MATCH(AC$2,Inputs!$K$4:$AJ$4,0))))+SUMPRODUCT((Inputs!$E$5:$E$190=$B12)*ISNUMBER(INDEX(Inputs!$K$5:$AJ$190,0,MATCH(AC$2,Inputs!$K$4:$AJ$4,0))))=0,NA(),SUMPRODUCT((Inputs!$A$5:$A$190=$B12)*Inputs!$B$5:$B$190*(((Inputs!$G$5:$G$190="moeda")+(Inputs!$G$5:$G$190="acoes"))*Inputs!$B$1+((Inputs!$G$5:$G$190&lt;&gt;"moeda")*(Inputs!$G$5:$G$190&lt;&gt;"acoes")))*INDEX(Inputs!$K$5:$AJ$190,0,MATCH(AC$2,Inputs!$K$4:$AJ$4,0)))+SUMPRODUCT((Inputs!$C$5:$C$190=$B12)*Inputs!$D$5:$D$190*(((Inputs!$G$5:$G$190="moeda")+(Inputs!$G$5:$G$190="acoes"))*Inputs!$B$1+((Inputs!$G$5:$G$190&lt;&gt;"moeda")*(Inputs!$G$5:$G$190&lt;&gt;"acoes")))*INDEX(Inputs!$K$5:$AJ$190,0,MATCH(AC$2,Inputs!$K$4:$AJ$4,0)))+SUMPRODUCT((Inputs!$E$5:$E$190=$B12)*Inputs!$F$5:$F$190*(((Inputs!$G$5:$G$190="moeda")+(Inputs!$G$5:$G$190="acoes"))*Inputs!$B$1+((Inputs!$G$5:$G$190&lt;&gt;"moeda")*(Inputs!$G$5:$G$190&lt;&gt;"acoes")))*INDEX(Inputs!$K$5:$AJ$190,0,MATCH(AC$2,Inputs!$K$4:$AJ$4,0)))))</f>
        <v>-5.3206806599988</v>
      </c>
      <c r="AD12" s="6">
        <f>IF(ISNA(MATCH(AD$2,Inputs!$K$4:$AJ$4,0)),NA(),IF(SUMPRODUCT((Inputs!$A$5:$A$190=$B12)*ISNUMBER(INDEX(Inputs!$K$5:$AJ$190,0,MATCH(AD$2,Inputs!$K$4:$AJ$4,0))))+SUMPRODUCT((Inputs!$C$5:$C$190=$B12)*ISNUMBER(INDEX(Inputs!$K$5:$AJ$190,0,MATCH(AD$2,Inputs!$K$4:$AJ$4,0))))+SUMPRODUCT((Inputs!$E$5:$E$190=$B12)*ISNUMBER(INDEX(Inputs!$K$5:$AJ$190,0,MATCH(AD$2,Inputs!$K$4:$AJ$4,0))))=0,NA(),SUMPRODUCT((Inputs!$A$5:$A$190=$B12)*Inputs!$B$5:$B$190*(((Inputs!$G$5:$G$190="moeda")+(Inputs!$G$5:$G$190="acoes"))*Inputs!$B$1+((Inputs!$G$5:$G$190&lt;&gt;"moeda")*(Inputs!$G$5:$G$190&lt;&gt;"acoes")))*INDEX(Inputs!$K$5:$AJ$190,0,MATCH(AD$2,Inputs!$K$4:$AJ$4,0)))+SUMPRODUCT((Inputs!$C$5:$C$190=$B12)*Inputs!$D$5:$D$190*(((Inputs!$G$5:$G$190="moeda")+(Inputs!$G$5:$G$190="acoes"))*Inputs!$B$1+((Inputs!$G$5:$G$190&lt;&gt;"moeda")*(Inputs!$G$5:$G$190&lt;&gt;"acoes")))*INDEX(Inputs!$K$5:$AJ$190,0,MATCH(AD$2,Inputs!$K$4:$AJ$4,0)))+SUMPRODUCT((Inputs!$E$5:$E$190=$B12)*Inputs!$F$5:$F$190*(((Inputs!$G$5:$G$190="moeda")+(Inputs!$G$5:$G$190="acoes"))*Inputs!$B$1+((Inputs!$G$5:$G$190&lt;&gt;"moeda")*(Inputs!$G$5:$G$190&lt;&gt;"acoes")))*INDEX(Inputs!$K$5:$AJ$190,0,MATCH(AD$2,Inputs!$K$4:$AJ$4,0)))))</f>
        <v>-38.3478649500031</v>
      </c>
      <c r="AE12" s="6" t="e">
        <f>IF(ISNA(MATCH(AE$2,Inputs!$K$4:$AJ$4,0)),NA(),IF(SUMPRODUCT((Inputs!$A$5:$A$190=$B12)*ISNUMBER(INDEX(Inputs!$K$5:$AJ$190,0,MATCH(AE$2,Inputs!$K$4:$AJ$4,0))))+SUMPRODUCT((Inputs!$C$5:$C$190=$B12)*ISNUMBER(INDEX(Inputs!$K$5:$AJ$190,0,MATCH(AE$2,Inputs!$K$4:$AJ$4,0))))+SUMPRODUCT((Inputs!$E$5:$E$190=$B12)*ISNUMBER(INDEX(Inputs!$K$5:$AJ$190,0,MATCH(AE$2,Inputs!$K$4:$AJ$4,0))))=0,NA(),SUMPRODUCT((Inputs!$A$5:$A$190=$B12)*Inputs!$B$5:$B$190*(((Inputs!$G$5:$G$190="moeda")+(Inputs!$G$5:$G$190="acoes"))*Inputs!$B$1+((Inputs!$G$5:$G$190&lt;&gt;"moeda")*(Inputs!$G$5:$G$190&lt;&gt;"acoes")))*INDEX(Inputs!$K$5:$AJ$190,0,MATCH(AE$2,Inputs!$K$4:$AJ$4,0)))+SUMPRODUCT((Inputs!$C$5:$C$190=$B12)*Inputs!$D$5:$D$190*(((Inputs!$G$5:$G$190="moeda")+(Inputs!$G$5:$G$190="acoes"))*Inputs!$B$1+((Inputs!$G$5:$G$190&lt;&gt;"moeda")*(Inputs!$G$5:$G$190&lt;&gt;"acoes")))*INDEX(Inputs!$K$5:$AJ$190,0,MATCH(AE$2,Inputs!$K$4:$AJ$4,0)))+SUMPRODUCT((Inputs!$E$5:$E$190=$B12)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12" s="6" t="e">
        <f>IF(ISNA(MATCH(AF$2,Inputs!$K$4:$AJ$4,0)),NA(),IF(SUMPRODUCT((Inputs!$A$5:$A$190=$B12)*ISNUMBER(INDEX(Inputs!$K$5:$AJ$190,0,MATCH(AF$2,Inputs!$K$4:$AJ$4,0))))+SUMPRODUCT((Inputs!$C$5:$C$190=$B12)*ISNUMBER(INDEX(Inputs!$K$5:$AJ$190,0,MATCH(AF$2,Inputs!$K$4:$AJ$4,0))))+SUMPRODUCT((Inputs!$E$5:$E$190=$B12)*ISNUMBER(INDEX(Inputs!$K$5:$AJ$190,0,MATCH(AF$2,Inputs!$K$4:$AJ$4,0))))=0,NA(),SUMPRODUCT((Inputs!$A$5:$A$190=$B12)*Inputs!$B$5:$B$190*(((Inputs!$G$5:$G$190="moeda")+(Inputs!$G$5:$G$190="acoes"))*Inputs!$B$1+((Inputs!$G$5:$G$190&lt;&gt;"moeda")*(Inputs!$G$5:$G$190&lt;&gt;"acoes")))*INDEX(Inputs!$K$5:$AJ$190,0,MATCH(AF$2,Inputs!$K$4:$AJ$4,0)))+SUMPRODUCT((Inputs!$C$5:$C$190=$B12)*Inputs!$D$5:$D$190*(((Inputs!$G$5:$G$190="moeda")+(Inputs!$G$5:$G$190="acoes"))*Inputs!$B$1+((Inputs!$G$5:$G$190&lt;&gt;"moeda")*(Inputs!$G$5:$G$190&lt;&gt;"acoes")))*INDEX(Inputs!$K$5:$AJ$190,0,MATCH(AF$2,Inputs!$K$4:$AJ$4,0)))+SUMPRODUCT((Inputs!$E$5:$E$190=$B12)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12" s="3" t="e">
        <f>SUM(AC12:AF12)</f>
        <v>#N/A</v>
      </c>
      <c r="AH12" s="6">
        <f>IF(ISNA(MATCH(AH$2,Inputs!$K$4:$AJ$4,0)),NA(),IF(SUMPRODUCT((Inputs!$A$5:$A$190=$B12)*ISNUMBER(INDEX(Inputs!$K$5:$AJ$190,0,MATCH(AH$2,Inputs!$K$4:$AJ$4,0))))+SUMPRODUCT((Inputs!$C$5:$C$190=$B12)*ISNUMBER(INDEX(Inputs!$K$5:$AJ$190,0,MATCH(AH$2,Inputs!$K$4:$AJ$4,0))))+SUMPRODUCT((Inputs!$E$5:$E$190=$B12)*ISNUMBER(INDEX(Inputs!$K$5:$AJ$190,0,MATCH(AH$2,Inputs!$K$4:$AJ$4,0))))=0,NA(),SUMPRODUCT((Inputs!$A$5:$A$190=$B12)*Inputs!$B$5:$B$190*(((Inputs!$G$5:$G$190="moeda")+(Inputs!$G$5:$G$190="acoes"))*Inputs!$B$1+((Inputs!$G$5:$G$190&lt;&gt;"moeda")*(Inputs!$G$5:$G$190&lt;&gt;"acoes")))*INDEX(Inputs!$K$5:$AJ$190,0,MATCH(AH$2,Inputs!$K$4:$AJ$4,0)))+SUMPRODUCT((Inputs!$C$5:$C$190=$B12)*Inputs!$D$5:$D$190*(((Inputs!$G$5:$G$190="moeda")+(Inputs!$G$5:$G$190="acoes"))*Inputs!$B$1+((Inputs!$G$5:$G$190&lt;&gt;"moeda")*(Inputs!$G$5:$G$190&lt;&gt;"acoes")))*INDEX(Inputs!$K$5:$AJ$190,0,MATCH(AH$2,Inputs!$K$4:$AJ$4,0)))+SUMPRODUCT((Inputs!$E$5:$E$190=$B12)*Inputs!$F$5:$F$190*(((Inputs!$G$5:$G$190="moeda")+(Inputs!$G$5:$G$190="acoes"))*Inputs!$B$1+((Inputs!$G$5:$G$190&lt;&gt;"moeda")*(Inputs!$G$5:$G$190&lt;&gt;"acoes")))*INDEX(Inputs!$K$5:$AJ$190,0,MATCH(AH$2,Inputs!$K$4:$AJ$4,0)))))</f>
        <v>-28.7834246895495</v>
      </c>
      <c r="AI12" s="6">
        <f>IF(ISNA(MATCH(AI$2,Inputs!$K$4:$AJ$4,0)),NA(),IF(SUMPRODUCT((Inputs!$A$5:$A$190=$B12)*ISNUMBER(INDEX(Inputs!$K$5:$AJ$190,0,MATCH(AI$2,Inputs!$K$4:$AJ$4,0))))+SUMPRODUCT((Inputs!$C$5:$C$190=$B12)*ISNUMBER(INDEX(Inputs!$K$5:$AJ$190,0,MATCH(AI$2,Inputs!$K$4:$AJ$4,0))))+SUMPRODUCT((Inputs!$E$5:$E$190=$B12)*ISNUMBER(INDEX(Inputs!$K$5:$AJ$190,0,MATCH(AI$2,Inputs!$K$4:$AJ$4,0))))=0,NA(),SUMPRODUCT((Inputs!$A$5:$A$190=$B12)*Inputs!$B$5:$B$190*(((Inputs!$G$5:$G$190="moeda")+(Inputs!$G$5:$G$190="acoes"))*Inputs!$B$1+((Inputs!$G$5:$G$190&lt;&gt;"moeda")*(Inputs!$G$5:$G$190&lt;&gt;"acoes")))*INDEX(Inputs!$K$5:$AJ$190,0,MATCH(AI$2,Inputs!$K$4:$AJ$4,0)))+SUMPRODUCT((Inputs!$C$5:$C$190=$B12)*Inputs!$D$5:$D$190*(((Inputs!$G$5:$G$190="moeda")+(Inputs!$G$5:$G$190="acoes"))*Inputs!$B$1+((Inputs!$G$5:$G$190&lt;&gt;"moeda")*(Inputs!$G$5:$G$190&lt;&gt;"acoes")))*INDEX(Inputs!$K$5:$AJ$190,0,MATCH(AI$2,Inputs!$K$4:$AJ$4,0)))+SUMPRODUCT((Inputs!$E$5:$E$190=$B12)*Inputs!$F$5:$F$190*(((Inputs!$G$5:$G$190="moeda")+(Inputs!$G$5:$G$190="acoes"))*Inputs!$B$1+((Inputs!$G$5:$G$190&lt;&gt;"moeda")*(Inputs!$G$5:$G$190&lt;&gt;"acoes")))*INDEX(Inputs!$K$5:$AJ$190,0,MATCH(AI$2,Inputs!$K$4:$AJ$4,0)))))</f>
        <v>18.6101032599994</v>
      </c>
      <c r="AJ12" s="6">
        <f>IF(ISNA(MATCH(AJ$2,Inputs!$K$4:$AJ$4,0)),NA(),IF(SUMPRODUCT((Inputs!$A$5:$A$190=$B12)*ISNUMBER(INDEX(Inputs!$K$5:$AJ$190,0,MATCH(AJ$2,Inputs!$K$4:$AJ$4,0))))+SUMPRODUCT((Inputs!$C$5:$C$190=$B12)*ISNUMBER(INDEX(Inputs!$K$5:$AJ$190,0,MATCH(AJ$2,Inputs!$K$4:$AJ$4,0))))+SUMPRODUCT((Inputs!$E$5:$E$190=$B12)*ISNUMBER(INDEX(Inputs!$K$5:$AJ$190,0,MATCH(AJ$2,Inputs!$K$4:$AJ$4,0))))=0,NA(),SUMPRODUCT((Inputs!$A$5:$A$190=$B12)*Inputs!$B$5:$B$190*(((Inputs!$G$5:$G$190="moeda")+(Inputs!$G$5:$G$190="acoes"))*Inputs!$B$1+((Inputs!$G$5:$G$190&lt;&gt;"moeda")*(Inputs!$G$5:$G$190&lt;&gt;"acoes")))*INDEX(Inputs!$K$5:$AJ$190,0,MATCH(AJ$2,Inputs!$K$4:$AJ$4,0)))+SUMPRODUCT((Inputs!$C$5:$C$190=$B12)*Inputs!$D$5:$D$190*(((Inputs!$G$5:$G$190="moeda")+(Inputs!$G$5:$G$190="acoes"))*Inputs!$B$1+((Inputs!$G$5:$G$190&lt;&gt;"moeda")*(Inputs!$G$5:$G$190&lt;&gt;"acoes")))*INDEX(Inputs!$K$5:$AJ$190,0,MATCH(AJ$2,Inputs!$K$4:$AJ$4,0)))+SUMPRODUCT((Inputs!$E$5:$E$190=$B12)*Inputs!$F$5:$F$190*(((Inputs!$G$5:$G$190="moeda")+(Inputs!$G$5:$G$190="acoes"))*Inputs!$B$1+((Inputs!$G$5:$G$190&lt;&gt;"moeda")*(Inputs!$G$5:$G$190&lt;&gt;"acoes")))*INDEX(Inputs!$K$5:$AJ$190,0,MATCH(AJ$2,Inputs!$K$4:$AJ$4,0)))))</f>
        <v>-14.0370225324491</v>
      </c>
      <c r="AK12" s="6">
        <f>IF(ISNA(MATCH(AK$2,Inputs!$K$4:$AJ$4,0)),NA(),IF(SUMPRODUCT((Inputs!$A$5:$A$190=$B12)*ISNUMBER(INDEX(Inputs!$K$5:$AJ$190,0,MATCH(AK$2,Inputs!$K$4:$AJ$4,0))))+SUMPRODUCT((Inputs!$C$5:$C$190=$B12)*ISNUMBER(INDEX(Inputs!$K$5:$AJ$190,0,MATCH(AK$2,Inputs!$K$4:$AJ$4,0))))+SUMPRODUCT((Inputs!$E$5:$E$190=$B12)*ISNUMBER(INDEX(Inputs!$K$5:$AJ$190,0,MATCH(AK$2,Inputs!$K$4:$AJ$4,0))))=0,NA(),SUMPRODUCT((Inputs!$A$5:$A$190=$B12)*Inputs!$B$5:$B$190*(((Inputs!$G$5:$G$190="moeda")+(Inputs!$G$5:$G$190="acoes"))*Inputs!$B$1+((Inputs!$G$5:$G$190&lt;&gt;"moeda")*(Inputs!$G$5:$G$190&lt;&gt;"acoes")))*INDEX(Inputs!$K$5:$AJ$190,0,MATCH(AK$2,Inputs!$K$4:$AJ$4,0)))+SUMPRODUCT((Inputs!$C$5:$C$190=$B12)*Inputs!$D$5:$D$190*(((Inputs!$G$5:$G$190="moeda")+(Inputs!$G$5:$G$190="acoes"))*Inputs!$B$1+((Inputs!$G$5:$G$190&lt;&gt;"moeda")*(Inputs!$G$5:$G$190&lt;&gt;"acoes")))*INDEX(Inputs!$K$5:$AJ$190,0,MATCH(AK$2,Inputs!$K$4:$AJ$4,0)))+SUMPRODUCT((Inputs!$E$5:$E$190=$B12)*Inputs!$F$5:$F$190*(((Inputs!$G$5:$G$190="moeda")+(Inputs!$G$5:$G$190="acoes"))*Inputs!$B$1+((Inputs!$G$5:$G$190&lt;&gt;"moeda")*(Inputs!$G$5:$G$190&lt;&gt;"acoes")))*INDEX(Inputs!$K$5:$AJ$190,0,MATCH(AK$2,Inputs!$K$4:$AJ$4,0)))))</f>
        <v>-75.9310132972963</v>
      </c>
      <c r="AL12" s="3">
        <f>SUM(AH12:AK12)</f>
        <v>-100.141357259295</v>
      </c>
    </row>
    <row r="13">
      <c r="B13" s="46" t="n">
        <v>10</v>
      </c>
      <c r="C13" s="24" t="inlineStr">
        <is>
          <t>Common Dividends</t>
        </is>
      </c>
      <c r="D13" s="6">
        <f>IF(ISNA(MATCH(D$2,Inputs!$K$4:$AJ$4,0)),NA(),IF(SUMPRODUCT((Inputs!$A$5:$A$190=$B13)*ISNUMBER(INDEX(Inputs!$K$5:$AJ$190,0,MATCH(D$2,Inputs!$K$4:$AJ$4,0))))+SUMPRODUCT((Inputs!$C$5:$C$190=$B13)*ISNUMBER(INDEX(Inputs!$K$5:$AJ$190,0,MATCH(D$2,Inputs!$K$4:$AJ$4,0))))+SUMPRODUCT((Inputs!$E$5:$E$190=$B13)*ISNUMBER(INDEX(Inputs!$K$5:$AJ$190,0,MATCH(D$2,Inputs!$K$4:$AJ$4,0))))=0,NA(),SUMPRODUCT((Inputs!$A$5:$A$190=$B13)*Inputs!$B$5:$B$190*(((Inputs!$G$5:$G$190="moeda")+(Inputs!$G$5:$G$190="acoes"))*Inputs!$B$1+((Inputs!$G$5:$G$190&lt;&gt;"moeda")*(Inputs!$G$5:$G$190&lt;&gt;"acoes")))*INDEX(Inputs!$K$5:$AJ$190,0,MATCH(D$2,Inputs!$K$4:$AJ$4,0)))+SUMPRODUCT((Inputs!$C$5:$C$190=$B13)*Inputs!$D$5:$D$190*(((Inputs!$G$5:$G$190="moeda")+(Inputs!$G$5:$G$190="acoes"))*Inputs!$B$1+((Inputs!$G$5:$G$190&lt;&gt;"moeda")*(Inputs!$G$5:$G$190&lt;&gt;"acoes")))*INDEX(Inputs!$K$5:$AJ$190,0,MATCH(D$2,Inputs!$K$4:$AJ$4,0)))+SUMPRODUCT((Inputs!$E$5:$E$190=$B13)*Inputs!$F$5:$F$190*(((Inputs!$G$5:$G$190="moeda")+(Inputs!$G$5:$G$190="acoes"))*Inputs!$B$1+((Inputs!$G$5:$G$190&lt;&gt;"moeda")*(Inputs!$G$5:$G$190&lt;&gt;"acoes")))*INDEX(Inputs!$K$5:$AJ$190,0,MATCH(D$2,Inputs!$K$4:$AJ$4,0)))))</f>
        <v>-23.249</v>
      </c>
      <c r="E13" s="6">
        <f>IF(ISNA(MATCH(E$2,Inputs!$K$4:$AJ$4,0)),NA(),IF(SUMPRODUCT((Inputs!$A$5:$A$190=$B13)*ISNUMBER(INDEX(Inputs!$K$5:$AJ$190,0,MATCH(E$2,Inputs!$K$4:$AJ$4,0))))+SUMPRODUCT((Inputs!$C$5:$C$190=$B13)*ISNUMBER(INDEX(Inputs!$K$5:$AJ$190,0,MATCH(E$2,Inputs!$K$4:$AJ$4,0))))+SUMPRODUCT((Inputs!$E$5:$E$190=$B13)*ISNUMBER(INDEX(Inputs!$K$5:$AJ$190,0,MATCH(E$2,Inputs!$K$4:$AJ$4,0))))=0,NA(),SUMPRODUCT((Inputs!$A$5:$A$190=$B13)*Inputs!$B$5:$B$190*(((Inputs!$G$5:$G$190="moeda")+(Inputs!$G$5:$G$190="acoes"))*Inputs!$B$1+((Inputs!$G$5:$G$190&lt;&gt;"moeda")*(Inputs!$G$5:$G$190&lt;&gt;"acoes")))*INDEX(Inputs!$K$5:$AJ$190,0,MATCH(E$2,Inputs!$K$4:$AJ$4,0)))+SUMPRODUCT((Inputs!$C$5:$C$190=$B13)*Inputs!$D$5:$D$190*(((Inputs!$G$5:$G$190="moeda")+(Inputs!$G$5:$G$190="acoes"))*Inputs!$B$1+((Inputs!$G$5:$G$190&lt;&gt;"moeda")*(Inputs!$G$5:$G$190&lt;&gt;"acoes")))*INDEX(Inputs!$K$5:$AJ$190,0,MATCH(E$2,Inputs!$K$4:$AJ$4,0)))+SUMPRODUCT((Inputs!$E$5:$E$190=$B13)*Inputs!$F$5:$F$190*(((Inputs!$G$5:$G$190="moeda")+(Inputs!$G$5:$G$190="acoes"))*Inputs!$B$1+((Inputs!$G$5:$G$190&lt;&gt;"moeda")*(Inputs!$G$5:$G$190&lt;&gt;"acoes")))*INDEX(Inputs!$K$5:$AJ$190,0,MATCH(E$2,Inputs!$K$4:$AJ$4,0)))))</f>
        <v>-60.257</v>
      </c>
      <c r="F13" s="6">
        <f>IF(ISNA(MATCH(F$2,Inputs!$K$4:$AJ$4,0)),NA(),IF(SUMPRODUCT((Inputs!$A$5:$A$190=$B13)*ISNUMBER(INDEX(Inputs!$K$5:$AJ$190,0,MATCH(F$2,Inputs!$K$4:$AJ$4,0))))+SUMPRODUCT((Inputs!$C$5:$C$190=$B13)*ISNUMBER(INDEX(Inputs!$K$5:$AJ$190,0,MATCH(F$2,Inputs!$K$4:$AJ$4,0))))+SUMPRODUCT((Inputs!$E$5:$E$190=$B13)*ISNUMBER(INDEX(Inputs!$K$5:$AJ$190,0,MATCH(F$2,Inputs!$K$4:$AJ$4,0))))=0,NA(),SUMPRODUCT((Inputs!$A$5:$A$190=$B13)*Inputs!$B$5:$B$190*(((Inputs!$G$5:$G$190="moeda")+(Inputs!$G$5:$G$190="acoes"))*Inputs!$B$1+((Inputs!$G$5:$G$190&lt;&gt;"moeda")*(Inputs!$G$5:$G$190&lt;&gt;"acoes")))*INDEX(Inputs!$K$5:$AJ$190,0,MATCH(F$2,Inputs!$K$4:$AJ$4,0)))+SUMPRODUCT((Inputs!$C$5:$C$190=$B13)*Inputs!$D$5:$D$190*(((Inputs!$G$5:$G$190="moeda")+(Inputs!$G$5:$G$190="acoes"))*Inputs!$B$1+((Inputs!$G$5:$G$190&lt;&gt;"moeda")*(Inputs!$G$5:$G$190&lt;&gt;"acoes")))*INDEX(Inputs!$K$5:$AJ$190,0,MATCH(F$2,Inputs!$K$4:$AJ$4,0)))+SUMPRODUCT((Inputs!$E$5:$E$190=$B13)*Inputs!$F$5:$F$190*(((Inputs!$G$5:$G$190="moeda")+(Inputs!$G$5:$G$190="acoes"))*Inputs!$B$1+((Inputs!$G$5:$G$190&lt;&gt;"moeda")*(Inputs!$G$5:$G$190&lt;&gt;"acoes")))*INDEX(Inputs!$K$5:$AJ$190,0,MATCH(F$2,Inputs!$K$4:$AJ$4,0)))))</f>
        <v>-30.1</v>
      </c>
      <c r="G13" s="6">
        <f>IF(ISNA(MATCH(G$2,Inputs!$K$4:$AJ$4,0)),NA(),IF(SUMPRODUCT((Inputs!$A$5:$A$190=$B13)*ISNUMBER(INDEX(Inputs!$K$5:$AJ$190,0,MATCH(G$2,Inputs!$K$4:$AJ$4,0))))+SUMPRODUCT((Inputs!$C$5:$C$190=$B13)*ISNUMBER(INDEX(Inputs!$K$5:$AJ$190,0,MATCH(G$2,Inputs!$K$4:$AJ$4,0))))+SUMPRODUCT((Inputs!$E$5:$E$190=$B13)*ISNUMBER(INDEX(Inputs!$K$5:$AJ$190,0,MATCH(G$2,Inputs!$K$4:$AJ$4,0))))=0,NA(),SUMPRODUCT((Inputs!$A$5:$A$190=$B13)*Inputs!$B$5:$B$190*(((Inputs!$G$5:$G$190="moeda")+(Inputs!$G$5:$G$190="acoes"))*Inputs!$B$1+((Inputs!$G$5:$G$190&lt;&gt;"moeda")*(Inputs!$G$5:$G$190&lt;&gt;"acoes")))*INDEX(Inputs!$K$5:$AJ$190,0,MATCH(G$2,Inputs!$K$4:$AJ$4,0)))+SUMPRODUCT((Inputs!$C$5:$C$190=$B13)*Inputs!$D$5:$D$190*(((Inputs!$G$5:$G$190="moeda")+(Inputs!$G$5:$G$190="acoes"))*Inputs!$B$1+((Inputs!$G$5:$G$190&lt;&gt;"moeda")*(Inputs!$G$5:$G$190&lt;&gt;"acoes")))*INDEX(Inputs!$K$5:$AJ$190,0,MATCH(G$2,Inputs!$K$4:$AJ$4,0)))+SUMPRODUCT((Inputs!$E$5:$E$190=$B13)*Inputs!$F$5:$F$190*(((Inputs!$G$5:$G$190="moeda")+(Inputs!$G$5:$G$190="acoes"))*Inputs!$B$1+((Inputs!$G$5:$G$190&lt;&gt;"moeda")*(Inputs!$G$5:$G$190&lt;&gt;"acoes")))*INDEX(Inputs!$K$5:$AJ$190,0,MATCH(G$2,Inputs!$K$4:$AJ$4,0)))))</f>
        <v>-112.967</v>
      </c>
      <c r="H13" s="3">
        <f>SUM(D13:G13)</f>
        <v>-226.573</v>
      </c>
      <c r="I13" s="6">
        <f>IF(ISNA(MATCH(I$2,Inputs!$K$4:$AJ$4,0)),NA(),IF(SUMPRODUCT((Inputs!$A$5:$A$190=$B13)*ISNUMBER(INDEX(Inputs!$K$5:$AJ$190,0,MATCH(I$2,Inputs!$K$4:$AJ$4,0))))+SUMPRODUCT((Inputs!$C$5:$C$190=$B13)*ISNUMBER(INDEX(Inputs!$K$5:$AJ$190,0,MATCH(I$2,Inputs!$K$4:$AJ$4,0))))+SUMPRODUCT((Inputs!$E$5:$E$190=$B13)*ISNUMBER(INDEX(Inputs!$K$5:$AJ$190,0,MATCH(I$2,Inputs!$K$4:$AJ$4,0))))=0,NA(),SUMPRODUCT((Inputs!$A$5:$A$190=$B13)*Inputs!$B$5:$B$190*(((Inputs!$G$5:$G$190="moeda")+(Inputs!$G$5:$G$190="acoes"))*Inputs!$B$1+((Inputs!$G$5:$G$190&lt;&gt;"moeda")*(Inputs!$G$5:$G$190&lt;&gt;"acoes")))*INDEX(Inputs!$K$5:$AJ$190,0,MATCH(I$2,Inputs!$K$4:$AJ$4,0)))+SUMPRODUCT((Inputs!$C$5:$C$190=$B13)*Inputs!$D$5:$D$190*(((Inputs!$G$5:$G$190="moeda")+(Inputs!$G$5:$G$190="acoes"))*Inputs!$B$1+((Inputs!$G$5:$G$190&lt;&gt;"moeda")*(Inputs!$G$5:$G$190&lt;&gt;"acoes")))*INDEX(Inputs!$K$5:$AJ$190,0,MATCH(I$2,Inputs!$K$4:$AJ$4,0)))+SUMPRODUCT((Inputs!$E$5:$E$190=$B13)*Inputs!$F$5:$F$190*(((Inputs!$G$5:$G$190="moeda")+(Inputs!$G$5:$G$190="acoes"))*Inputs!$B$1+((Inputs!$G$5:$G$190&lt;&gt;"moeda")*(Inputs!$G$5:$G$190&lt;&gt;"acoes")))*INDEX(Inputs!$K$5:$AJ$190,0,MATCH(I$2,Inputs!$K$4:$AJ$4,0)))))</f>
        <v>-125.184</v>
      </c>
      <c r="J13" s="6">
        <f>IF(ISNA(MATCH(J$2,Inputs!$K$4:$AJ$4,0)),NA(),IF(SUMPRODUCT((Inputs!$A$5:$A$190=$B13)*ISNUMBER(INDEX(Inputs!$K$5:$AJ$190,0,MATCH(J$2,Inputs!$K$4:$AJ$4,0))))+SUMPRODUCT((Inputs!$C$5:$C$190=$B13)*ISNUMBER(INDEX(Inputs!$K$5:$AJ$190,0,MATCH(J$2,Inputs!$K$4:$AJ$4,0))))+SUMPRODUCT((Inputs!$E$5:$E$190=$B13)*ISNUMBER(INDEX(Inputs!$K$5:$AJ$190,0,MATCH(J$2,Inputs!$K$4:$AJ$4,0))))=0,NA(),SUMPRODUCT((Inputs!$A$5:$A$190=$B13)*Inputs!$B$5:$B$190*(((Inputs!$G$5:$G$190="moeda")+(Inputs!$G$5:$G$190="acoes"))*Inputs!$B$1+((Inputs!$G$5:$G$190&lt;&gt;"moeda")*(Inputs!$G$5:$G$190&lt;&gt;"acoes")))*INDEX(Inputs!$K$5:$AJ$190,0,MATCH(J$2,Inputs!$K$4:$AJ$4,0)))+SUMPRODUCT((Inputs!$C$5:$C$190=$B13)*Inputs!$D$5:$D$190*(((Inputs!$G$5:$G$190="moeda")+(Inputs!$G$5:$G$190="acoes"))*Inputs!$B$1+((Inputs!$G$5:$G$190&lt;&gt;"moeda")*(Inputs!$G$5:$G$190&lt;&gt;"acoes")))*INDEX(Inputs!$K$5:$AJ$190,0,MATCH(J$2,Inputs!$K$4:$AJ$4,0)))+SUMPRODUCT((Inputs!$E$5:$E$190=$B13)*Inputs!$F$5:$F$190*(((Inputs!$G$5:$G$190="moeda")+(Inputs!$G$5:$G$190="acoes"))*Inputs!$B$1+((Inputs!$G$5:$G$190&lt;&gt;"moeda")*(Inputs!$G$5:$G$190&lt;&gt;"acoes")))*INDEX(Inputs!$K$5:$AJ$190,0,MATCH(J$2,Inputs!$K$4:$AJ$4,0)))))</f>
        <v>-421.481</v>
      </c>
      <c r="K13" s="6">
        <f>IF(ISNA(MATCH(K$2,Inputs!$K$4:$AJ$4,0)),NA(),IF(SUMPRODUCT((Inputs!$A$5:$A$190=$B13)*ISNUMBER(INDEX(Inputs!$K$5:$AJ$190,0,MATCH(K$2,Inputs!$K$4:$AJ$4,0))))+SUMPRODUCT((Inputs!$C$5:$C$190=$B13)*ISNUMBER(INDEX(Inputs!$K$5:$AJ$190,0,MATCH(K$2,Inputs!$K$4:$AJ$4,0))))+SUMPRODUCT((Inputs!$E$5:$E$190=$B13)*ISNUMBER(INDEX(Inputs!$K$5:$AJ$190,0,MATCH(K$2,Inputs!$K$4:$AJ$4,0))))=0,NA(),SUMPRODUCT((Inputs!$A$5:$A$190=$B13)*Inputs!$B$5:$B$190*(((Inputs!$G$5:$G$190="moeda")+(Inputs!$G$5:$G$190="acoes"))*Inputs!$B$1+((Inputs!$G$5:$G$190&lt;&gt;"moeda")*(Inputs!$G$5:$G$190&lt;&gt;"acoes")))*INDEX(Inputs!$K$5:$AJ$190,0,MATCH(K$2,Inputs!$K$4:$AJ$4,0)))+SUMPRODUCT((Inputs!$C$5:$C$190=$B13)*Inputs!$D$5:$D$190*(((Inputs!$G$5:$G$190="moeda")+(Inputs!$G$5:$G$190="acoes"))*Inputs!$B$1+((Inputs!$G$5:$G$190&lt;&gt;"moeda")*(Inputs!$G$5:$G$190&lt;&gt;"acoes")))*INDEX(Inputs!$K$5:$AJ$190,0,MATCH(K$2,Inputs!$K$4:$AJ$4,0)))+SUMPRODUCT((Inputs!$E$5:$E$190=$B13)*Inputs!$F$5:$F$190*(((Inputs!$G$5:$G$190="moeda")+(Inputs!$G$5:$G$190="acoes"))*Inputs!$B$1+((Inputs!$G$5:$G$190&lt;&gt;"moeda")*(Inputs!$G$5:$G$190&lt;&gt;"acoes")))*INDEX(Inputs!$K$5:$AJ$190,0,MATCH(K$2,Inputs!$K$4:$AJ$4,0)))))</f>
        <v>-49.193</v>
      </c>
      <c r="L13" s="6">
        <f>IF(ISNA(MATCH(L$2,Inputs!$K$4:$AJ$4,0)),NA(),IF(SUMPRODUCT((Inputs!$A$5:$A$190=$B13)*ISNUMBER(INDEX(Inputs!$K$5:$AJ$190,0,MATCH(L$2,Inputs!$K$4:$AJ$4,0))))+SUMPRODUCT((Inputs!$C$5:$C$190=$B13)*ISNUMBER(INDEX(Inputs!$K$5:$AJ$190,0,MATCH(L$2,Inputs!$K$4:$AJ$4,0))))+SUMPRODUCT((Inputs!$E$5:$E$190=$B13)*ISNUMBER(INDEX(Inputs!$K$5:$AJ$190,0,MATCH(L$2,Inputs!$K$4:$AJ$4,0))))=0,NA(),SUMPRODUCT((Inputs!$A$5:$A$190=$B13)*Inputs!$B$5:$B$190*(((Inputs!$G$5:$G$190="moeda")+(Inputs!$G$5:$G$190="acoes"))*Inputs!$B$1+((Inputs!$G$5:$G$190&lt;&gt;"moeda")*(Inputs!$G$5:$G$190&lt;&gt;"acoes")))*INDEX(Inputs!$K$5:$AJ$190,0,MATCH(L$2,Inputs!$K$4:$AJ$4,0)))+SUMPRODUCT((Inputs!$C$5:$C$190=$B13)*Inputs!$D$5:$D$190*(((Inputs!$G$5:$G$190="moeda")+(Inputs!$G$5:$G$190="acoes"))*Inputs!$B$1+((Inputs!$G$5:$G$190&lt;&gt;"moeda")*(Inputs!$G$5:$G$190&lt;&gt;"acoes")))*INDEX(Inputs!$K$5:$AJ$190,0,MATCH(L$2,Inputs!$K$4:$AJ$4,0)))+SUMPRODUCT((Inputs!$E$5:$E$190=$B13)*Inputs!$F$5:$F$190*(((Inputs!$G$5:$G$190="moeda")+(Inputs!$G$5:$G$190="acoes"))*Inputs!$B$1+((Inputs!$G$5:$G$190&lt;&gt;"moeda")*(Inputs!$G$5:$G$190&lt;&gt;"acoes")))*INDEX(Inputs!$K$5:$AJ$190,0,MATCH(L$2,Inputs!$K$4:$AJ$4,0)))))</f>
        <v>180.674</v>
      </c>
      <c r="M13" s="3">
        <f>SUM(I13:L13)</f>
        <v>-415.184</v>
      </c>
      <c r="N13" s="6">
        <f>IF(ISNA(MATCH(N$2,Inputs!$K$4:$AJ$4,0)),NA(),IF(SUMPRODUCT((Inputs!$A$5:$A$190=$B13)*ISNUMBER(INDEX(Inputs!$K$5:$AJ$190,0,MATCH(N$2,Inputs!$K$4:$AJ$4,0))))+SUMPRODUCT((Inputs!$C$5:$C$190=$B13)*ISNUMBER(INDEX(Inputs!$K$5:$AJ$190,0,MATCH(N$2,Inputs!$K$4:$AJ$4,0))))+SUMPRODUCT((Inputs!$E$5:$E$190=$B13)*ISNUMBER(INDEX(Inputs!$K$5:$AJ$190,0,MATCH(N$2,Inputs!$K$4:$AJ$4,0))))=0,NA(),SUMPRODUCT((Inputs!$A$5:$A$190=$B13)*Inputs!$B$5:$B$190*(((Inputs!$G$5:$G$190="moeda")+(Inputs!$G$5:$G$190="acoes"))*Inputs!$B$1+((Inputs!$G$5:$G$190&lt;&gt;"moeda")*(Inputs!$G$5:$G$190&lt;&gt;"acoes")))*INDEX(Inputs!$K$5:$AJ$190,0,MATCH(N$2,Inputs!$K$4:$AJ$4,0)))+SUMPRODUCT((Inputs!$C$5:$C$190=$B13)*Inputs!$D$5:$D$190*(((Inputs!$G$5:$G$190="moeda")+(Inputs!$G$5:$G$190="acoes"))*Inputs!$B$1+((Inputs!$G$5:$G$190&lt;&gt;"moeda")*(Inputs!$G$5:$G$190&lt;&gt;"acoes")))*INDEX(Inputs!$K$5:$AJ$190,0,MATCH(N$2,Inputs!$K$4:$AJ$4,0)))+SUMPRODUCT((Inputs!$E$5:$E$190=$B13)*Inputs!$F$5:$F$190*(((Inputs!$G$5:$G$190="moeda")+(Inputs!$G$5:$G$190="acoes"))*Inputs!$B$1+((Inputs!$G$5:$G$190&lt;&gt;"moeda")*(Inputs!$G$5:$G$190&lt;&gt;"acoes")))*INDEX(Inputs!$K$5:$AJ$190,0,MATCH(N$2,Inputs!$K$4:$AJ$4,0)))))</f>
        <v>-125.974</v>
      </c>
      <c r="O13" s="6">
        <f>IF(ISNA(MATCH(O$2,Inputs!$K$4:$AJ$4,0)),NA(),IF(SUMPRODUCT((Inputs!$A$5:$A$190=$B13)*ISNUMBER(INDEX(Inputs!$K$5:$AJ$190,0,MATCH(O$2,Inputs!$K$4:$AJ$4,0))))+SUMPRODUCT((Inputs!$C$5:$C$190=$B13)*ISNUMBER(INDEX(Inputs!$K$5:$AJ$190,0,MATCH(O$2,Inputs!$K$4:$AJ$4,0))))+SUMPRODUCT((Inputs!$E$5:$E$190=$B13)*ISNUMBER(INDEX(Inputs!$K$5:$AJ$190,0,MATCH(O$2,Inputs!$K$4:$AJ$4,0))))=0,NA(),SUMPRODUCT((Inputs!$A$5:$A$190=$B13)*Inputs!$B$5:$B$190*(((Inputs!$G$5:$G$190="moeda")+(Inputs!$G$5:$G$190="acoes"))*Inputs!$B$1+((Inputs!$G$5:$G$190&lt;&gt;"moeda")*(Inputs!$G$5:$G$190&lt;&gt;"acoes")))*INDEX(Inputs!$K$5:$AJ$190,0,MATCH(O$2,Inputs!$K$4:$AJ$4,0)))+SUMPRODUCT((Inputs!$C$5:$C$190=$B13)*Inputs!$D$5:$D$190*(((Inputs!$G$5:$G$190="moeda")+(Inputs!$G$5:$G$190="acoes"))*Inputs!$B$1+((Inputs!$G$5:$G$190&lt;&gt;"moeda")*(Inputs!$G$5:$G$190&lt;&gt;"acoes")))*INDEX(Inputs!$K$5:$AJ$190,0,MATCH(O$2,Inputs!$K$4:$AJ$4,0)))+SUMPRODUCT((Inputs!$E$5:$E$190=$B13)*Inputs!$F$5:$F$190*(((Inputs!$G$5:$G$190="moeda")+(Inputs!$G$5:$G$190="acoes"))*Inputs!$B$1+((Inputs!$G$5:$G$190&lt;&gt;"moeda")*(Inputs!$G$5:$G$190&lt;&gt;"acoes")))*INDEX(Inputs!$K$5:$AJ$190,0,MATCH(O$2,Inputs!$K$4:$AJ$4,0)))))</f>
        <v>-109.124</v>
      </c>
      <c r="P13" s="6">
        <f>IF(ISNA(MATCH(P$2,Inputs!$K$4:$AJ$4,0)),NA(),IF(SUMPRODUCT((Inputs!$A$5:$A$190=$B13)*ISNUMBER(INDEX(Inputs!$K$5:$AJ$190,0,MATCH(P$2,Inputs!$K$4:$AJ$4,0))))+SUMPRODUCT((Inputs!$C$5:$C$190=$B13)*ISNUMBER(INDEX(Inputs!$K$5:$AJ$190,0,MATCH(P$2,Inputs!$K$4:$AJ$4,0))))+SUMPRODUCT((Inputs!$E$5:$E$190=$B13)*ISNUMBER(INDEX(Inputs!$K$5:$AJ$190,0,MATCH(P$2,Inputs!$K$4:$AJ$4,0))))=0,NA(),SUMPRODUCT((Inputs!$A$5:$A$190=$B13)*Inputs!$B$5:$B$190*(((Inputs!$G$5:$G$190="moeda")+(Inputs!$G$5:$G$190="acoes"))*Inputs!$B$1+((Inputs!$G$5:$G$190&lt;&gt;"moeda")*(Inputs!$G$5:$G$190&lt;&gt;"acoes")))*INDEX(Inputs!$K$5:$AJ$190,0,MATCH(P$2,Inputs!$K$4:$AJ$4,0)))+SUMPRODUCT((Inputs!$C$5:$C$190=$B13)*Inputs!$D$5:$D$190*(((Inputs!$G$5:$G$190="moeda")+(Inputs!$G$5:$G$190="acoes"))*Inputs!$B$1+((Inputs!$G$5:$G$190&lt;&gt;"moeda")*(Inputs!$G$5:$G$190&lt;&gt;"acoes")))*INDEX(Inputs!$K$5:$AJ$190,0,MATCH(P$2,Inputs!$K$4:$AJ$4,0)))+SUMPRODUCT((Inputs!$E$5:$E$190=$B13)*Inputs!$F$5:$F$190*(((Inputs!$G$5:$G$190="moeda")+(Inputs!$G$5:$G$190="acoes"))*Inputs!$B$1+((Inputs!$G$5:$G$190&lt;&gt;"moeda")*(Inputs!$G$5:$G$190&lt;&gt;"acoes")))*INDEX(Inputs!$K$5:$AJ$190,0,MATCH(P$2,Inputs!$K$4:$AJ$4,0)))))</f>
        <v>-22.684</v>
      </c>
      <c r="Q13" s="6">
        <f>IF(ISNA(MATCH(Q$2,Inputs!$K$4:$AJ$4,0)),NA(),IF(SUMPRODUCT((Inputs!$A$5:$A$190=$B13)*ISNUMBER(INDEX(Inputs!$K$5:$AJ$190,0,MATCH(Q$2,Inputs!$K$4:$AJ$4,0))))+SUMPRODUCT((Inputs!$C$5:$C$190=$B13)*ISNUMBER(INDEX(Inputs!$K$5:$AJ$190,0,MATCH(Q$2,Inputs!$K$4:$AJ$4,0))))+SUMPRODUCT((Inputs!$E$5:$E$190=$B13)*ISNUMBER(INDEX(Inputs!$K$5:$AJ$190,0,MATCH(Q$2,Inputs!$K$4:$AJ$4,0))))=0,NA(),SUMPRODUCT((Inputs!$A$5:$A$190=$B13)*Inputs!$B$5:$B$190*(((Inputs!$G$5:$G$190="moeda")+(Inputs!$G$5:$G$190="acoes"))*Inputs!$B$1+((Inputs!$G$5:$G$190&lt;&gt;"moeda")*(Inputs!$G$5:$G$190&lt;&gt;"acoes")))*INDEX(Inputs!$K$5:$AJ$190,0,MATCH(Q$2,Inputs!$K$4:$AJ$4,0)))+SUMPRODUCT((Inputs!$C$5:$C$190=$B13)*Inputs!$D$5:$D$190*(((Inputs!$G$5:$G$190="moeda")+(Inputs!$G$5:$G$190="acoes"))*Inputs!$B$1+((Inputs!$G$5:$G$190&lt;&gt;"moeda")*(Inputs!$G$5:$G$190&lt;&gt;"acoes")))*INDEX(Inputs!$K$5:$AJ$190,0,MATCH(Q$2,Inputs!$K$4:$AJ$4,0)))+SUMPRODUCT((Inputs!$E$5:$E$190=$B13)*Inputs!$F$5:$F$190*(((Inputs!$G$5:$G$190="moeda")+(Inputs!$G$5:$G$190="acoes"))*Inputs!$B$1+((Inputs!$G$5:$G$190&lt;&gt;"moeda")*(Inputs!$G$5:$G$190&lt;&gt;"acoes")))*INDEX(Inputs!$K$5:$AJ$190,0,MATCH(Q$2,Inputs!$K$4:$AJ$4,0)))))</f>
        <v>-223.781</v>
      </c>
      <c r="R13" s="3">
        <f>SUM(N13:Q13)</f>
        <v>-481.563</v>
      </c>
      <c r="S13" s="6">
        <f>IF(ISNA(MATCH(S$2,Inputs!$K$4:$AJ$4,0)),NA(),IF(SUMPRODUCT((Inputs!$A$5:$A$190=$B13)*ISNUMBER(INDEX(Inputs!$K$5:$AJ$190,0,MATCH(S$2,Inputs!$K$4:$AJ$4,0))))+SUMPRODUCT((Inputs!$C$5:$C$190=$B13)*ISNUMBER(INDEX(Inputs!$K$5:$AJ$190,0,MATCH(S$2,Inputs!$K$4:$AJ$4,0))))+SUMPRODUCT((Inputs!$E$5:$E$190=$B13)*ISNUMBER(INDEX(Inputs!$K$5:$AJ$190,0,MATCH(S$2,Inputs!$K$4:$AJ$4,0))))=0,NA(),SUMPRODUCT((Inputs!$A$5:$A$190=$B13)*Inputs!$B$5:$B$190*(((Inputs!$G$5:$G$190="moeda")+(Inputs!$G$5:$G$190="acoes"))*Inputs!$B$1+((Inputs!$G$5:$G$190&lt;&gt;"moeda")*(Inputs!$G$5:$G$190&lt;&gt;"acoes")))*INDEX(Inputs!$K$5:$AJ$190,0,MATCH(S$2,Inputs!$K$4:$AJ$4,0)))+SUMPRODUCT((Inputs!$C$5:$C$190=$B13)*Inputs!$D$5:$D$190*(((Inputs!$G$5:$G$190="moeda")+(Inputs!$G$5:$G$190="acoes"))*Inputs!$B$1+((Inputs!$G$5:$G$190&lt;&gt;"moeda")*(Inputs!$G$5:$G$190&lt;&gt;"acoes")))*INDEX(Inputs!$K$5:$AJ$190,0,MATCH(S$2,Inputs!$K$4:$AJ$4,0)))+SUMPRODUCT((Inputs!$E$5:$E$190=$B13)*Inputs!$F$5:$F$190*(((Inputs!$G$5:$G$190="moeda")+(Inputs!$G$5:$G$190="acoes"))*Inputs!$B$1+((Inputs!$G$5:$G$190&lt;&gt;"moeda")*(Inputs!$G$5:$G$190&lt;&gt;"acoes")))*INDEX(Inputs!$K$5:$AJ$190,0,MATCH(S$2,Inputs!$K$4:$AJ$4,0)))))</f>
        <v>0</v>
      </c>
      <c r="T13" s="6">
        <f>IF(ISNA(MATCH(T$2,Inputs!$K$4:$AJ$4,0)),NA(),IF(SUMPRODUCT((Inputs!$A$5:$A$190=$B13)*ISNUMBER(INDEX(Inputs!$K$5:$AJ$190,0,MATCH(T$2,Inputs!$K$4:$AJ$4,0))))+SUMPRODUCT((Inputs!$C$5:$C$190=$B13)*ISNUMBER(INDEX(Inputs!$K$5:$AJ$190,0,MATCH(T$2,Inputs!$K$4:$AJ$4,0))))+SUMPRODUCT((Inputs!$E$5:$E$190=$B13)*ISNUMBER(INDEX(Inputs!$K$5:$AJ$190,0,MATCH(T$2,Inputs!$K$4:$AJ$4,0))))=0,NA(),SUMPRODUCT((Inputs!$A$5:$A$190=$B13)*Inputs!$B$5:$B$190*(((Inputs!$G$5:$G$190="moeda")+(Inputs!$G$5:$G$190="acoes"))*Inputs!$B$1+((Inputs!$G$5:$G$190&lt;&gt;"moeda")*(Inputs!$G$5:$G$190&lt;&gt;"acoes")))*INDEX(Inputs!$K$5:$AJ$190,0,MATCH(T$2,Inputs!$K$4:$AJ$4,0)))+SUMPRODUCT((Inputs!$C$5:$C$190=$B13)*Inputs!$D$5:$D$190*(((Inputs!$G$5:$G$190="moeda")+(Inputs!$G$5:$G$190="acoes"))*Inputs!$B$1+((Inputs!$G$5:$G$190&lt;&gt;"moeda")*(Inputs!$G$5:$G$190&lt;&gt;"acoes")))*INDEX(Inputs!$K$5:$AJ$190,0,MATCH(T$2,Inputs!$K$4:$AJ$4,0)))+SUMPRODUCT((Inputs!$E$5:$E$190=$B13)*Inputs!$F$5:$F$190*(((Inputs!$G$5:$G$190="moeda")+(Inputs!$G$5:$G$190="acoes"))*Inputs!$B$1+((Inputs!$G$5:$G$190&lt;&gt;"moeda")*(Inputs!$G$5:$G$190&lt;&gt;"acoes")))*INDEX(Inputs!$K$5:$AJ$190,0,MATCH(T$2,Inputs!$K$4:$AJ$4,0)))))</f>
        <v>0</v>
      </c>
      <c r="U13" s="6">
        <f>IF(ISNA(MATCH(U$2,Inputs!$K$4:$AJ$4,0)),NA(),IF(SUMPRODUCT((Inputs!$A$5:$A$190=$B13)*ISNUMBER(INDEX(Inputs!$K$5:$AJ$190,0,MATCH(U$2,Inputs!$K$4:$AJ$4,0))))+SUMPRODUCT((Inputs!$C$5:$C$190=$B13)*ISNUMBER(INDEX(Inputs!$K$5:$AJ$190,0,MATCH(U$2,Inputs!$K$4:$AJ$4,0))))+SUMPRODUCT((Inputs!$E$5:$E$190=$B13)*ISNUMBER(INDEX(Inputs!$K$5:$AJ$190,0,MATCH(U$2,Inputs!$K$4:$AJ$4,0))))=0,NA(),SUMPRODUCT((Inputs!$A$5:$A$190=$B13)*Inputs!$B$5:$B$190*(((Inputs!$G$5:$G$190="moeda")+(Inputs!$G$5:$G$190="acoes"))*Inputs!$B$1+((Inputs!$G$5:$G$190&lt;&gt;"moeda")*(Inputs!$G$5:$G$190&lt;&gt;"acoes")))*INDEX(Inputs!$K$5:$AJ$190,0,MATCH(U$2,Inputs!$K$4:$AJ$4,0)))+SUMPRODUCT((Inputs!$C$5:$C$190=$B13)*Inputs!$D$5:$D$190*(((Inputs!$G$5:$G$190="moeda")+(Inputs!$G$5:$G$190="acoes"))*Inputs!$B$1+((Inputs!$G$5:$G$190&lt;&gt;"moeda")*(Inputs!$G$5:$G$190&lt;&gt;"acoes")))*INDEX(Inputs!$K$5:$AJ$190,0,MATCH(U$2,Inputs!$K$4:$AJ$4,0)))+SUMPRODUCT((Inputs!$E$5:$E$190=$B13)*Inputs!$F$5:$F$190*(((Inputs!$G$5:$G$190="moeda")+(Inputs!$G$5:$G$190="acoes"))*Inputs!$B$1+((Inputs!$G$5:$G$190&lt;&gt;"moeda")*(Inputs!$G$5:$G$190&lt;&gt;"acoes")))*INDEX(Inputs!$K$5:$AJ$190,0,MATCH(U$2,Inputs!$K$4:$AJ$4,0)))))</f>
        <v>-112.087</v>
      </c>
      <c r="V13" s="6">
        <f>IF(ISNA(MATCH(V$2,Inputs!$K$4:$AJ$4,0)),NA(),IF(SUMPRODUCT((Inputs!$A$5:$A$190=$B13)*ISNUMBER(INDEX(Inputs!$K$5:$AJ$190,0,MATCH(V$2,Inputs!$K$4:$AJ$4,0))))+SUMPRODUCT((Inputs!$C$5:$C$190=$B13)*ISNUMBER(INDEX(Inputs!$K$5:$AJ$190,0,MATCH(V$2,Inputs!$K$4:$AJ$4,0))))+SUMPRODUCT((Inputs!$E$5:$E$190=$B13)*ISNUMBER(INDEX(Inputs!$K$5:$AJ$190,0,MATCH(V$2,Inputs!$K$4:$AJ$4,0))))=0,NA(),SUMPRODUCT((Inputs!$A$5:$A$190=$B13)*Inputs!$B$5:$B$190*(((Inputs!$G$5:$G$190="moeda")+(Inputs!$G$5:$G$190="acoes"))*Inputs!$B$1+((Inputs!$G$5:$G$190&lt;&gt;"moeda")*(Inputs!$G$5:$G$190&lt;&gt;"acoes")))*INDEX(Inputs!$K$5:$AJ$190,0,MATCH(V$2,Inputs!$K$4:$AJ$4,0)))+SUMPRODUCT((Inputs!$C$5:$C$190=$B13)*Inputs!$D$5:$D$190*(((Inputs!$G$5:$G$190="moeda")+(Inputs!$G$5:$G$190="acoes"))*Inputs!$B$1+((Inputs!$G$5:$G$190&lt;&gt;"moeda")*(Inputs!$G$5:$G$190&lt;&gt;"acoes")))*INDEX(Inputs!$K$5:$AJ$190,0,MATCH(V$2,Inputs!$K$4:$AJ$4,0)))+SUMPRODUCT((Inputs!$E$5:$E$190=$B13)*Inputs!$F$5:$F$190*(((Inputs!$G$5:$G$190="moeda")+(Inputs!$G$5:$G$190="acoes"))*Inputs!$B$1+((Inputs!$G$5:$G$190&lt;&gt;"moeda")*(Inputs!$G$5:$G$190&lt;&gt;"acoes")))*INDEX(Inputs!$K$5:$AJ$190,0,MATCH(V$2,Inputs!$K$4:$AJ$4,0)))))</f>
        <v>-45.091</v>
      </c>
      <c r="W13" s="3">
        <f>SUM(S13:V13)</f>
        <v>-157.178</v>
      </c>
      <c r="X13" s="6">
        <f>IF(ISNA(MATCH(X$2,Inputs!$K$4:$AJ$4,0)),NA(),IF(SUMPRODUCT((Inputs!$A$5:$A$190=$B13)*ISNUMBER(INDEX(Inputs!$K$5:$AJ$190,0,MATCH(X$2,Inputs!$K$4:$AJ$4,0))))+SUMPRODUCT((Inputs!$C$5:$C$190=$B13)*ISNUMBER(INDEX(Inputs!$K$5:$AJ$190,0,MATCH(X$2,Inputs!$K$4:$AJ$4,0))))+SUMPRODUCT((Inputs!$E$5:$E$190=$B13)*ISNUMBER(INDEX(Inputs!$K$5:$AJ$190,0,MATCH(X$2,Inputs!$K$4:$AJ$4,0))))=0,NA(),SUMPRODUCT((Inputs!$A$5:$A$190=$B13)*Inputs!$B$5:$B$190*(((Inputs!$G$5:$G$190="moeda")+(Inputs!$G$5:$G$190="acoes"))*Inputs!$B$1+((Inputs!$G$5:$G$190&lt;&gt;"moeda")*(Inputs!$G$5:$G$190&lt;&gt;"acoes")))*INDEX(Inputs!$K$5:$AJ$190,0,MATCH(X$2,Inputs!$K$4:$AJ$4,0)))+SUMPRODUCT((Inputs!$C$5:$C$190=$B13)*Inputs!$D$5:$D$190*(((Inputs!$G$5:$G$190="moeda")+(Inputs!$G$5:$G$190="acoes"))*Inputs!$B$1+((Inputs!$G$5:$G$190&lt;&gt;"moeda")*(Inputs!$G$5:$G$190&lt;&gt;"acoes")))*INDEX(Inputs!$K$5:$AJ$190,0,MATCH(X$2,Inputs!$K$4:$AJ$4,0)))+SUMPRODUCT((Inputs!$E$5:$E$190=$B13)*Inputs!$F$5:$F$190*(((Inputs!$G$5:$G$190="moeda")+(Inputs!$G$5:$G$190="acoes"))*Inputs!$B$1+((Inputs!$G$5:$G$190&lt;&gt;"moeda")*(Inputs!$G$5:$G$190&lt;&gt;"acoes")))*INDEX(Inputs!$K$5:$AJ$190,0,MATCH(X$2,Inputs!$K$4:$AJ$4,0)))))</f>
        <v>-40.884</v>
      </c>
      <c r="Y13" s="6">
        <f>IF(ISNA(MATCH(Y$2,Inputs!$K$4:$AJ$4,0)),NA(),IF(SUMPRODUCT((Inputs!$A$5:$A$190=$B13)*ISNUMBER(INDEX(Inputs!$K$5:$AJ$190,0,MATCH(Y$2,Inputs!$K$4:$AJ$4,0))))+SUMPRODUCT((Inputs!$C$5:$C$190=$B13)*ISNUMBER(INDEX(Inputs!$K$5:$AJ$190,0,MATCH(Y$2,Inputs!$K$4:$AJ$4,0))))+SUMPRODUCT((Inputs!$E$5:$E$190=$B13)*ISNUMBER(INDEX(Inputs!$K$5:$AJ$190,0,MATCH(Y$2,Inputs!$K$4:$AJ$4,0))))=0,NA(),SUMPRODUCT((Inputs!$A$5:$A$190=$B13)*Inputs!$B$5:$B$190*(((Inputs!$G$5:$G$190="moeda")+(Inputs!$G$5:$G$190="acoes"))*Inputs!$B$1+((Inputs!$G$5:$G$190&lt;&gt;"moeda")*(Inputs!$G$5:$G$190&lt;&gt;"acoes")))*INDEX(Inputs!$K$5:$AJ$190,0,MATCH(Y$2,Inputs!$K$4:$AJ$4,0)))+SUMPRODUCT((Inputs!$C$5:$C$190=$B13)*Inputs!$D$5:$D$190*(((Inputs!$G$5:$G$190="moeda")+(Inputs!$G$5:$G$190="acoes"))*Inputs!$B$1+((Inputs!$G$5:$G$190&lt;&gt;"moeda")*(Inputs!$G$5:$G$190&lt;&gt;"acoes")))*INDEX(Inputs!$K$5:$AJ$190,0,MATCH(Y$2,Inputs!$K$4:$AJ$4,0)))+SUMPRODUCT((Inputs!$E$5:$E$190=$B13)*Inputs!$F$5:$F$190*(((Inputs!$G$5:$G$190="moeda")+(Inputs!$G$5:$G$190="acoes"))*Inputs!$B$1+((Inputs!$G$5:$G$190&lt;&gt;"moeda")*(Inputs!$G$5:$G$190&lt;&gt;"acoes")))*INDEX(Inputs!$K$5:$AJ$190,0,MATCH(Y$2,Inputs!$K$4:$AJ$4,0)))))</f>
        <v>-189.751</v>
      </c>
      <c r="Z13" s="6">
        <f>IF(ISNA(MATCH(Z$2,Inputs!$K$4:$AJ$4,0)),NA(),IF(SUMPRODUCT((Inputs!$A$5:$A$190=$B13)*ISNUMBER(INDEX(Inputs!$K$5:$AJ$190,0,MATCH(Z$2,Inputs!$K$4:$AJ$4,0))))+SUMPRODUCT((Inputs!$C$5:$C$190=$B13)*ISNUMBER(INDEX(Inputs!$K$5:$AJ$190,0,MATCH(Z$2,Inputs!$K$4:$AJ$4,0))))+SUMPRODUCT((Inputs!$E$5:$E$190=$B13)*ISNUMBER(INDEX(Inputs!$K$5:$AJ$190,0,MATCH(Z$2,Inputs!$K$4:$AJ$4,0))))=0,NA(),SUMPRODUCT((Inputs!$A$5:$A$190=$B13)*Inputs!$B$5:$B$190*(((Inputs!$G$5:$G$190="moeda")+(Inputs!$G$5:$G$190="acoes"))*Inputs!$B$1+((Inputs!$G$5:$G$190&lt;&gt;"moeda")*(Inputs!$G$5:$G$190&lt;&gt;"acoes")))*INDEX(Inputs!$K$5:$AJ$190,0,MATCH(Z$2,Inputs!$K$4:$AJ$4,0)))+SUMPRODUCT((Inputs!$C$5:$C$190=$B13)*Inputs!$D$5:$D$190*(((Inputs!$G$5:$G$190="moeda")+(Inputs!$G$5:$G$190="acoes"))*Inputs!$B$1+((Inputs!$G$5:$G$190&lt;&gt;"moeda")*(Inputs!$G$5:$G$190&lt;&gt;"acoes")))*INDEX(Inputs!$K$5:$AJ$190,0,MATCH(Z$2,Inputs!$K$4:$AJ$4,0)))+SUMPRODUCT((Inputs!$E$5:$E$190=$B13)*Inputs!$F$5:$F$190*(((Inputs!$G$5:$G$190="moeda")+(Inputs!$G$5:$G$190="acoes"))*Inputs!$B$1+((Inputs!$G$5:$G$190&lt;&gt;"moeda")*(Inputs!$G$5:$G$190&lt;&gt;"acoes")))*INDEX(Inputs!$K$5:$AJ$190,0,MATCH(Z$2,Inputs!$K$4:$AJ$4,0)))))</f>
        <v>-5.80200000000002</v>
      </c>
      <c r="AA13" s="6">
        <f>IF(ISNA(MATCH(AA$2,Inputs!$K$4:$AJ$4,0)),NA(),IF(SUMPRODUCT((Inputs!$A$5:$A$190=$B13)*ISNUMBER(INDEX(Inputs!$K$5:$AJ$190,0,MATCH(AA$2,Inputs!$K$4:$AJ$4,0))))+SUMPRODUCT((Inputs!$C$5:$C$190=$B13)*ISNUMBER(INDEX(Inputs!$K$5:$AJ$190,0,MATCH(AA$2,Inputs!$K$4:$AJ$4,0))))+SUMPRODUCT((Inputs!$E$5:$E$190=$B13)*ISNUMBER(INDEX(Inputs!$K$5:$AJ$190,0,MATCH(AA$2,Inputs!$K$4:$AJ$4,0))))=0,NA(),SUMPRODUCT((Inputs!$A$5:$A$190=$B13)*Inputs!$B$5:$B$190*(((Inputs!$G$5:$G$190="moeda")+(Inputs!$G$5:$G$190="acoes"))*Inputs!$B$1+((Inputs!$G$5:$G$190&lt;&gt;"moeda")*(Inputs!$G$5:$G$190&lt;&gt;"acoes")))*INDEX(Inputs!$K$5:$AJ$190,0,MATCH(AA$2,Inputs!$K$4:$AJ$4,0)))+SUMPRODUCT((Inputs!$C$5:$C$190=$B13)*Inputs!$D$5:$D$190*(((Inputs!$G$5:$G$190="moeda")+(Inputs!$G$5:$G$190="acoes"))*Inputs!$B$1+((Inputs!$G$5:$G$190&lt;&gt;"moeda")*(Inputs!$G$5:$G$190&lt;&gt;"acoes")))*INDEX(Inputs!$K$5:$AJ$190,0,MATCH(AA$2,Inputs!$K$4:$AJ$4,0)))+SUMPRODUCT((Inputs!$E$5:$E$190=$B13)*Inputs!$F$5:$F$190*(((Inputs!$G$5:$G$190="moeda")+(Inputs!$G$5:$G$190="acoes"))*Inputs!$B$1+((Inputs!$G$5:$G$190&lt;&gt;"moeda")*(Inputs!$G$5:$G$190&lt;&gt;"acoes")))*INDEX(Inputs!$K$5:$AJ$190,0,MATCH(AA$2,Inputs!$K$4:$AJ$4,0)))))</f>
        <v>7.38600000000002</v>
      </c>
      <c r="AB13" s="3">
        <f>SUM(X13:AA13)</f>
        <v>-229.051</v>
      </c>
      <c r="AC13" s="6">
        <f>IF(ISNA(MATCH(AC$2,Inputs!$K$4:$AJ$4,0)),NA(),IF(SUMPRODUCT((Inputs!$A$5:$A$190=$B13)*ISNUMBER(INDEX(Inputs!$K$5:$AJ$190,0,MATCH(AC$2,Inputs!$K$4:$AJ$4,0))))+SUMPRODUCT((Inputs!$C$5:$C$190=$B13)*ISNUMBER(INDEX(Inputs!$K$5:$AJ$190,0,MATCH(AC$2,Inputs!$K$4:$AJ$4,0))))+SUMPRODUCT((Inputs!$E$5:$E$190=$B13)*ISNUMBER(INDEX(Inputs!$K$5:$AJ$190,0,MATCH(AC$2,Inputs!$K$4:$AJ$4,0))))=0,NA(),SUMPRODUCT((Inputs!$A$5:$A$190=$B13)*Inputs!$B$5:$B$190*(((Inputs!$G$5:$G$190="moeda")+(Inputs!$G$5:$G$190="acoes"))*Inputs!$B$1+((Inputs!$G$5:$G$190&lt;&gt;"moeda")*(Inputs!$G$5:$G$190&lt;&gt;"acoes")))*INDEX(Inputs!$K$5:$AJ$190,0,MATCH(AC$2,Inputs!$K$4:$AJ$4,0)))+SUMPRODUCT((Inputs!$C$5:$C$190=$B13)*Inputs!$D$5:$D$190*(((Inputs!$G$5:$G$190="moeda")+(Inputs!$G$5:$G$190="acoes"))*Inputs!$B$1+((Inputs!$G$5:$G$190&lt;&gt;"moeda")*(Inputs!$G$5:$G$190&lt;&gt;"acoes")))*INDEX(Inputs!$K$5:$AJ$190,0,MATCH(AC$2,Inputs!$K$4:$AJ$4,0)))+SUMPRODUCT((Inputs!$E$5:$E$190=$B13)*Inputs!$F$5:$F$190*(((Inputs!$G$5:$G$190="moeda")+(Inputs!$G$5:$G$190="acoes"))*Inputs!$B$1+((Inputs!$G$5:$G$190&lt;&gt;"moeda")*(Inputs!$G$5:$G$190&lt;&gt;"acoes")))*INDEX(Inputs!$K$5:$AJ$190,0,MATCH(AC$2,Inputs!$K$4:$AJ$4,0)))))</f>
        <v>0</v>
      </c>
      <c r="AD13" s="6">
        <f>IF(ISNA(MATCH(AD$2,Inputs!$K$4:$AJ$4,0)),NA(),IF(SUMPRODUCT((Inputs!$A$5:$A$190=$B13)*ISNUMBER(INDEX(Inputs!$K$5:$AJ$190,0,MATCH(AD$2,Inputs!$K$4:$AJ$4,0))))+SUMPRODUCT((Inputs!$C$5:$C$190=$B13)*ISNUMBER(INDEX(Inputs!$K$5:$AJ$190,0,MATCH(AD$2,Inputs!$K$4:$AJ$4,0))))+SUMPRODUCT((Inputs!$E$5:$E$190=$B13)*ISNUMBER(INDEX(Inputs!$K$5:$AJ$190,0,MATCH(AD$2,Inputs!$K$4:$AJ$4,0))))=0,NA(),SUMPRODUCT((Inputs!$A$5:$A$190=$B13)*Inputs!$B$5:$B$190*(((Inputs!$G$5:$G$190="moeda")+(Inputs!$G$5:$G$190="acoes"))*Inputs!$B$1+((Inputs!$G$5:$G$190&lt;&gt;"moeda")*(Inputs!$G$5:$G$190&lt;&gt;"acoes")))*INDEX(Inputs!$K$5:$AJ$190,0,MATCH(AD$2,Inputs!$K$4:$AJ$4,0)))+SUMPRODUCT((Inputs!$C$5:$C$190=$B13)*Inputs!$D$5:$D$190*(((Inputs!$G$5:$G$190="moeda")+(Inputs!$G$5:$G$190="acoes"))*Inputs!$B$1+((Inputs!$G$5:$G$190&lt;&gt;"moeda")*(Inputs!$G$5:$G$190&lt;&gt;"acoes")))*INDEX(Inputs!$K$5:$AJ$190,0,MATCH(AD$2,Inputs!$K$4:$AJ$4,0)))+SUMPRODUCT((Inputs!$E$5:$E$190=$B13)*Inputs!$F$5:$F$190*(((Inputs!$G$5:$G$190="moeda")+(Inputs!$G$5:$G$190="acoes"))*Inputs!$B$1+((Inputs!$G$5:$G$190&lt;&gt;"moeda")*(Inputs!$G$5:$G$190&lt;&gt;"acoes")))*INDEX(Inputs!$K$5:$AJ$190,0,MATCH(AD$2,Inputs!$K$4:$AJ$4,0)))))</f>
        <v>-168.72</v>
      </c>
      <c r="AE13" s="6" t="e">
        <f>IF(ISNA(MATCH(AE$2,Inputs!$K$4:$AJ$4,0)),NA(),IF(SUMPRODUCT((Inputs!$A$5:$A$190=$B13)*ISNUMBER(INDEX(Inputs!$K$5:$AJ$190,0,MATCH(AE$2,Inputs!$K$4:$AJ$4,0))))+SUMPRODUCT((Inputs!$C$5:$C$190=$B13)*ISNUMBER(INDEX(Inputs!$K$5:$AJ$190,0,MATCH(AE$2,Inputs!$K$4:$AJ$4,0))))+SUMPRODUCT((Inputs!$E$5:$E$190=$B13)*ISNUMBER(INDEX(Inputs!$K$5:$AJ$190,0,MATCH(AE$2,Inputs!$K$4:$AJ$4,0))))=0,NA(),SUMPRODUCT((Inputs!$A$5:$A$190=$B13)*Inputs!$B$5:$B$190*(((Inputs!$G$5:$G$190="moeda")+(Inputs!$G$5:$G$190="acoes"))*Inputs!$B$1+((Inputs!$G$5:$G$190&lt;&gt;"moeda")*(Inputs!$G$5:$G$190&lt;&gt;"acoes")))*INDEX(Inputs!$K$5:$AJ$190,0,MATCH(AE$2,Inputs!$K$4:$AJ$4,0)))+SUMPRODUCT((Inputs!$C$5:$C$190=$B13)*Inputs!$D$5:$D$190*(((Inputs!$G$5:$G$190="moeda")+(Inputs!$G$5:$G$190="acoes"))*Inputs!$B$1+((Inputs!$G$5:$G$190&lt;&gt;"moeda")*(Inputs!$G$5:$G$190&lt;&gt;"acoes")))*INDEX(Inputs!$K$5:$AJ$190,0,MATCH(AE$2,Inputs!$K$4:$AJ$4,0)))+SUMPRODUCT((Inputs!$E$5:$E$190=$B13)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13" s="6" t="e">
        <f>IF(ISNA(MATCH(AF$2,Inputs!$K$4:$AJ$4,0)),NA(),IF(SUMPRODUCT((Inputs!$A$5:$A$190=$B13)*ISNUMBER(INDEX(Inputs!$K$5:$AJ$190,0,MATCH(AF$2,Inputs!$K$4:$AJ$4,0))))+SUMPRODUCT((Inputs!$C$5:$C$190=$B13)*ISNUMBER(INDEX(Inputs!$K$5:$AJ$190,0,MATCH(AF$2,Inputs!$K$4:$AJ$4,0))))+SUMPRODUCT((Inputs!$E$5:$E$190=$B13)*ISNUMBER(INDEX(Inputs!$K$5:$AJ$190,0,MATCH(AF$2,Inputs!$K$4:$AJ$4,0))))=0,NA(),SUMPRODUCT((Inputs!$A$5:$A$190=$B13)*Inputs!$B$5:$B$190*(((Inputs!$G$5:$G$190="moeda")+(Inputs!$G$5:$G$190="acoes"))*Inputs!$B$1+((Inputs!$G$5:$G$190&lt;&gt;"moeda")*(Inputs!$G$5:$G$190&lt;&gt;"acoes")))*INDEX(Inputs!$K$5:$AJ$190,0,MATCH(AF$2,Inputs!$K$4:$AJ$4,0)))+SUMPRODUCT((Inputs!$C$5:$C$190=$B13)*Inputs!$D$5:$D$190*(((Inputs!$G$5:$G$190="moeda")+(Inputs!$G$5:$G$190="acoes"))*Inputs!$B$1+((Inputs!$G$5:$G$190&lt;&gt;"moeda")*(Inputs!$G$5:$G$190&lt;&gt;"acoes")))*INDEX(Inputs!$K$5:$AJ$190,0,MATCH(AF$2,Inputs!$K$4:$AJ$4,0)))+SUMPRODUCT((Inputs!$E$5:$E$190=$B13)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13" s="3" t="e">
        <f>SUM(AC13:AF13)</f>
        <v>#N/A</v>
      </c>
      <c r="AH13" s="6">
        <f>IF(ISNA(MATCH(AH$2,Inputs!$K$4:$AJ$4,0)),NA(),IF(SUMPRODUCT((Inputs!$A$5:$A$190=$B13)*ISNUMBER(INDEX(Inputs!$K$5:$AJ$190,0,MATCH(AH$2,Inputs!$K$4:$AJ$4,0))))+SUMPRODUCT((Inputs!$C$5:$C$190=$B13)*ISNUMBER(INDEX(Inputs!$K$5:$AJ$190,0,MATCH(AH$2,Inputs!$K$4:$AJ$4,0))))+SUMPRODUCT((Inputs!$E$5:$E$190=$B13)*ISNUMBER(INDEX(Inputs!$K$5:$AJ$190,0,MATCH(AH$2,Inputs!$K$4:$AJ$4,0))))=0,NA(),SUMPRODUCT((Inputs!$A$5:$A$190=$B13)*Inputs!$B$5:$B$190*(((Inputs!$G$5:$G$190="moeda")+(Inputs!$G$5:$G$190="acoes"))*Inputs!$B$1+((Inputs!$G$5:$G$190&lt;&gt;"moeda")*(Inputs!$G$5:$G$190&lt;&gt;"acoes")))*INDEX(Inputs!$K$5:$AJ$190,0,MATCH(AH$2,Inputs!$K$4:$AJ$4,0)))+SUMPRODUCT((Inputs!$C$5:$C$190=$B13)*Inputs!$D$5:$D$190*(((Inputs!$G$5:$G$190="moeda")+(Inputs!$G$5:$G$190="acoes"))*Inputs!$B$1+((Inputs!$G$5:$G$190&lt;&gt;"moeda")*(Inputs!$G$5:$G$190&lt;&gt;"acoes")))*INDEX(Inputs!$K$5:$AJ$190,0,MATCH(AH$2,Inputs!$K$4:$AJ$4,0)))+SUMPRODUCT((Inputs!$E$5:$E$190=$B13)*Inputs!$F$5:$F$190*(((Inputs!$G$5:$G$190="moeda")+(Inputs!$G$5:$G$190="acoes"))*Inputs!$B$1+((Inputs!$G$5:$G$190&lt;&gt;"moeda")*(Inputs!$G$5:$G$190&lt;&gt;"acoes")))*INDEX(Inputs!$K$5:$AJ$190,0,MATCH(AH$2,Inputs!$K$4:$AJ$4,0)))))</f>
        <v>-41.585</v>
      </c>
      <c r="AI13" s="6">
        <f>IF(ISNA(MATCH(AI$2,Inputs!$K$4:$AJ$4,0)),NA(),IF(SUMPRODUCT((Inputs!$A$5:$A$190=$B13)*ISNUMBER(INDEX(Inputs!$K$5:$AJ$190,0,MATCH(AI$2,Inputs!$K$4:$AJ$4,0))))+SUMPRODUCT((Inputs!$C$5:$C$190=$B13)*ISNUMBER(INDEX(Inputs!$K$5:$AJ$190,0,MATCH(AI$2,Inputs!$K$4:$AJ$4,0))))+SUMPRODUCT((Inputs!$E$5:$E$190=$B13)*ISNUMBER(INDEX(Inputs!$K$5:$AJ$190,0,MATCH(AI$2,Inputs!$K$4:$AJ$4,0))))=0,NA(),SUMPRODUCT((Inputs!$A$5:$A$190=$B13)*Inputs!$B$5:$B$190*(((Inputs!$G$5:$G$190="moeda")+(Inputs!$G$5:$G$190="acoes"))*Inputs!$B$1+((Inputs!$G$5:$G$190&lt;&gt;"moeda")*(Inputs!$G$5:$G$190&lt;&gt;"acoes")))*INDEX(Inputs!$K$5:$AJ$190,0,MATCH(AI$2,Inputs!$K$4:$AJ$4,0)))+SUMPRODUCT((Inputs!$C$5:$C$190=$B13)*Inputs!$D$5:$D$190*(((Inputs!$G$5:$G$190="moeda")+(Inputs!$G$5:$G$190="acoes"))*Inputs!$B$1+((Inputs!$G$5:$G$190&lt;&gt;"moeda")*(Inputs!$G$5:$G$190&lt;&gt;"acoes")))*INDEX(Inputs!$K$5:$AJ$190,0,MATCH(AI$2,Inputs!$K$4:$AJ$4,0)))+SUMPRODUCT((Inputs!$E$5:$E$190=$B13)*Inputs!$F$5:$F$190*(((Inputs!$G$5:$G$190="moeda")+(Inputs!$G$5:$G$190="acoes"))*Inputs!$B$1+((Inputs!$G$5:$G$190&lt;&gt;"moeda")*(Inputs!$G$5:$G$190&lt;&gt;"acoes")))*INDEX(Inputs!$K$5:$AJ$190,0,MATCH(AI$2,Inputs!$K$4:$AJ$4,0)))))</f>
        <v>-13.825</v>
      </c>
      <c r="AJ13" s="6">
        <f>IF(ISNA(MATCH(AJ$2,Inputs!$K$4:$AJ$4,0)),NA(),IF(SUMPRODUCT((Inputs!$A$5:$A$190=$B13)*ISNUMBER(INDEX(Inputs!$K$5:$AJ$190,0,MATCH(AJ$2,Inputs!$K$4:$AJ$4,0))))+SUMPRODUCT((Inputs!$C$5:$C$190=$B13)*ISNUMBER(INDEX(Inputs!$K$5:$AJ$190,0,MATCH(AJ$2,Inputs!$K$4:$AJ$4,0))))+SUMPRODUCT((Inputs!$E$5:$E$190=$B13)*ISNUMBER(INDEX(Inputs!$K$5:$AJ$190,0,MATCH(AJ$2,Inputs!$K$4:$AJ$4,0))))=0,NA(),SUMPRODUCT((Inputs!$A$5:$A$190=$B13)*Inputs!$B$5:$B$190*(((Inputs!$G$5:$G$190="moeda")+(Inputs!$G$5:$G$190="acoes"))*Inputs!$B$1+((Inputs!$G$5:$G$190&lt;&gt;"moeda")*(Inputs!$G$5:$G$190&lt;&gt;"acoes")))*INDEX(Inputs!$K$5:$AJ$190,0,MATCH(AJ$2,Inputs!$K$4:$AJ$4,0)))+SUMPRODUCT((Inputs!$C$5:$C$190=$B13)*Inputs!$D$5:$D$190*(((Inputs!$G$5:$G$190="moeda")+(Inputs!$G$5:$G$190="acoes"))*Inputs!$B$1+((Inputs!$G$5:$G$190&lt;&gt;"moeda")*(Inputs!$G$5:$G$190&lt;&gt;"acoes")))*INDEX(Inputs!$K$5:$AJ$190,0,MATCH(AJ$2,Inputs!$K$4:$AJ$4,0)))+SUMPRODUCT((Inputs!$E$5:$E$190=$B13)*Inputs!$F$5:$F$190*(((Inputs!$G$5:$G$190="moeda")+(Inputs!$G$5:$G$190="acoes"))*Inputs!$B$1+((Inputs!$G$5:$G$190&lt;&gt;"moeda")*(Inputs!$G$5:$G$190&lt;&gt;"acoes")))*INDEX(Inputs!$K$5:$AJ$190,0,MATCH(AJ$2,Inputs!$K$4:$AJ$4,0)))))</f>
        <v>21.454</v>
      </c>
      <c r="AK13" s="6">
        <f>IF(ISNA(MATCH(AK$2,Inputs!$K$4:$AJ$4,0)),NA(),IF(SUMPRODUCT((Inputs!$A$5:$A$190=$B13)*ISNUMBER(INDEX(Inputs!$K$5:$AJ$190,0,MATCH(AK$2,Inputs!$K$4:$AJ$4,0))))+SUMPRODUCT((Inputs!$C$5:$C$190=$B13)*ISNUMBER(INDEX(Inputs!$K$5:$AJ$190,0,MATCH(AK$2,Inputs!$K$4:$AJ$4,0))))+SUMPRODUCT((Inputs!$E$5:$E$190=$B13)*ISNUMBER(INDEX(Inputs!$K$5:$AJ$190,0,MATCH(AK$2,Inputs!$K$4:$AJ$4,0))))=0,NA(),SUMPRODUCT((Inputs!$A$5:$A$190=$B13)*Inputs!$B$5:$B$190*(((Inputs!$G$5:$G$190="moeda")+(Inputs!$G$5:$G$190="acoes"))*Inputs!$B$1+((Inputs!$G$5:$G$190&lt;&gt;"moeda")*(Inputs!$G$5:$G$190&lt;&gt;"acoes")))*INDEX(Inputs!$K$5:$AJ$190,0,MATCH(AK$2,Inputs!$K$4:$AJ$4,0)))+SUMPRODUCT((Inputs!$C$5:$C$190=$B13)*Inputs!$D$5:$D$190*(((Inputs!$G$5:$G$190="moeda")+(Inputs!$G$5:$G$190="acoes"))*Inputs!$B$1+((Inputs!$G$5:$G$190&lt;&gt;"moeda")*(Inputs!$G$5:$G$190&lt;&gt;"acoes")))*INDEX(Inputs!$K$5:$AJ$190,0,MATCH(AK$2,Inputs!$K$4:$AJ$4,0)))+SUMPRODUCT((Inputs!$E$5:$E$190=$B13)*Inputs!$F$5:$F$190*(((Inputs!$G$5:$G$190="moeda")+(Inputs!$G$5:$G$190="acoes"))*Inputs!$B$1+((Inputs!$G$5:$G$190&lt;&gt;"moeda")*(Inputs!$G$5:$G$190&lt;&gt;"acoes")))*INDEX(Inputs!$K$5:$AJ$190,0,MATCH(AK$2,Inputs!$K$4:$AJ$4,0)))))</f>
        <v>-14.9</v>
      </c>
      <c r="AL13" s="3">
        <f>SUM(AH13:AK13)</f>
        <v>-48.856</v>
      </c>
    </row>
    <row r="14">
      <c r="D14" s="3" t="n"/>
    </row>
    <row r="15">
      <c r="B15" s="46" t="n">
        <v>11</v>
      </c>
      <c r="C15" s="24" t="inlineStr">
        <is>
          <t>Cash and equivalents (inc. investment securities)</t>
        </is>
      </c>
      <c r="D15" s="6">
        <f>IF(ISNA(MATCH(D$2,Inputs!$K$4:$AJ$4,0)),NA(),IF(SUMPRODUCT((Inputs!$A$5:$A$190=$B15)*ISNUMBER(INDEX(Inputs!$K$5:$AJ$190,0,MATCH(D$2,Inputs!$K$4:$AJ$4,0))))+SUMPRODUCT((Inputs!$C$5:$C$190=$B15)*ISNUMBER(INDEX(Inputs!$K$5:$AJ$190,0,MATCH(D$2,Inputs!$K$4:$AJ$4,0))))+SUMPRODUCT((Inputs!$E$5:$E$190=$B15)*ISNUMBER(INDEX(Inputs!$K$5:$AJ$190,0,MATCH(D$2,Inputs!$K$4:$AJ$4,0))))=0,NA(),SUMPRODUCT((Inputs!$A$5:$A$190=$B15)*Inputs!$B$5:$B$190*(((Inputs!$G$5:$G$190="moeda")+(Inputs!$G$5:$G$190="acoes"))*Inputs!$B$1+((Inputs!$G$5:$G$190&lt;&gt;"moeda")*(Inputs!$G$5:$G$190&lt;&gt;"acoes")))*INDEX(Inputs!$K$5:$AJ$190,0,MATCH(D$2,Inputs!$K$4:$AJ$4,0)))+SUMPRODUCT((Inputs!$C$5:$C$190=$B15)*Inputs!$D$5:$D$190*(((Inputs!$G$5:$G$190="moeda")+(Inputs!$G$5:$G$190="acoes"))*Inputs!$B$1+((Inputs!$G$5:$G$190&lt;&gt;"moeda")*(Inputs!$G$5:$G$190&lt;&gt;"acoes")))*INDEX(Inputs!$K$5:$AJ$190,0,MATCH(D$2,Inputs!$K$4:$AJ$4,0)))+SUMPRODUCT((Inputs!$E$5:$E$190=$B15)*Inputs!$F$5:$F$190*(((Inputs!$G$5:$G$190="moeda")+(Inputs!$G$5:$G$190="acoes"))*Inputs!$B$1+((Inputs!$G$5:$G$190&lt;&gt;"moeda")*(Inputs!$G$5:$G$190&lt;&gt;"acoes")))*INDEX(Inputs!$K$5:$AJ$190,0,MATCH(D$2,Inputs!$K$4:$AJ$4,0)))))</f>
        <v>13416.1907057257</v>
      </c>
      <c r="E15" s="6">
        <f>IF(ISNA(MATCH(E$2,Inputs!$K$4:$AJ$4,0)),NA(),IF(SUMPRODUCT((Inputs!$A$5:$A$190=$B15)*ISNUMBER(INDEX(Inputs!$K$5:$AJ$190,0,MATCH(E$2,Inputs!$K$4:$AJ$4,0))))+SUMPRODUCT((Inputs!$C$5:$C$190=$B15)*ISNUMBER(INDEX(Inputs!$K$5:$AJ$190,0,MATCH(E$2,Inputs!$K$4:$AJ$4,0))))+SUMPRODUCT((Inputs!$E$5:$E$190=$B15)*ISNUMBER(INDEX(Inputs!$K$5:$AJ$190,0,MATCH(E$2,Inputs!$K$4:$AJ$4,0))))=0,NA(),SUMPRODUCT((Inputs!$A$5:$A$190=$B15)*Inputs!$B$5:$B$190*(((Inputs!$G$5:$G$190="moeda")+(Inputs!$G$5:$G$190="acoes"))*Inputs!$B$1+((Inputs!$G$5:$G$190&lt;&gt;"moeda")*(Inputs!$G$5:$G$190&lt;&gt;"acoes")))*INDEX(Inputs!$K$5:$AJ$190,0,MATCH(E$2,Inputs!$K$4:$AJ$4,0)))+SUMPRODUCT((Inputs!$C$5:$C$190=$B15)*Inputs!$D$5:$D$190*(((Inputs!$G$5:$G$190="moeda")+(Inputs!$G$5:$G$190="acoes"))*Inputs!$B$1+((Inputs!$G$5:$G$190&lt;&gt;"moeda")*(Inputs!$G$5:$G$190&lt;&gt;"acoes")))*INDEX(Inputs!$K$5:$AJ$190,0,MATCH(E$2,Inputs!$K$4:$AJ$4,0)))+SUMPRODUCT((Inputs!$E$5:$E$190=$B15)*Inputs!$F$5:$F$190*(((Inputs!$G$5:$G$190="moeda")+(Inputs!$G$5:$G$190="acoes"))*Inputs!$B$1+((Inputs!$G$5:$G$190&lt;&gt;"moeda")*(Inputs!$G$5:$G$190&lt;&gt;"acoes")))*INDEX(Inputs!$K$5:$AJ$190,0,MATCH(E$2,Inputs!$K$4:$AJ$4,0)))))</f>
        <v>12174.055</v>
      </c>
      <c r="F15" s="6">
        <f>IF(ISNA(MATCH(F$2,Inputs!$K$4:$AJ$4,0)),NA(),IF(SUMPRODUCT((Inputs!$A$5:$A$190=$B15)*ISNUMBER(INDEX(Inputs!$K$5:$AJ$190,0,MATCH(F$2,Inputs!$K$4:$AJ$4,0))))+SUMPRODUCT((Inputs!$C$5:$C$190=$B15)*ISNUMBER(INDEX(Inputs!$K$5:$AJ$190,0,MATCH(F$2,Inputs!$K$4:$AJ$4,0))))+SUMPRODUCT((Inputs!$E$5:$E$190=$B15)*ISNUMBER(INDEX(Inputs!$K$5:$AJ$190,0,MATCH(F$2,Inputs!$K$4:$AJ$4,0))))=0,NA(),SUMPRODUCT((Inputs!$A$5:$A$190=$B15)*Inputs!$B$5:$B$190*(((Inputs!$G$5:$G$190="moeda")+(Inputs!$G$5:$G$190="acoes"))*Inputs!$B$1+((Inputs!$G$5:$G$190&lt;&gt;"moeda")*(Inputs!$G$5:$G$190&lt;&gt;"acoes")))*INDEX(Inputs!$K$5:$AJ$190,0,MATCH(F$2,Inputs!$K$4:$AJ$4,0)))+SUMPRODUCT((Inputs!$C$5:$C$190=$B15)*Inputs!$D$5:$D$190*(((Inputs!$G$5:$G$190="moeda")+(Inputs!$G$5:$G$190="acoes"))*Inputs!$B$1+((Inputs!$G$5:$G$190&lt;&gt;"moeda")*(Inputs!$G$5:$G$190&lt;&gt;"acoes")))*INDEX(Inputs!$K$5:$AJ$190,0,MATCH(F$2,Inputs!$K$4:$AJ$4,0)))+SUMPRODUCT((Inputs!$E$5:$E$190=$B15)*Inputs!$F$5:$F$190*(((Inputs!$G$5:$G$190="moeda")+(Inputs!$G$5:$G$190="acoes"))*Inputs!$B$1+((Inputs!$G$5:$G$190&lt;&gt;"moeda")*(Inputs!$G$5:$G$190&lt;&gt;"acoes")))*INDEX(Inputs!$K$5:$AJ$190,0,MATCH(F$2,Inputs!$K$4:$AJ$4,0)))))</f>
        <v>16646.889</v>
      </c>
      <c r="G15" s="6">
        <f>IF(ISNA(MATCH(G$2,Inputs!$K$4:$AJ$4,0)),NA(),IF(SUMPRODUCT((Inputs!$A$5:$A$190=$B15)*ISNUMBER(INDEX(Inputs!$K$5:$AJ$190,0,MATCH(G$2,Inputs!$K$4:$AJ$4,0))))+SUMPRODUCT((Inputs!$C$5:$C$190=$B15)*ISNUMBER(INDEX(Inputs!$K$5:$AJ$190,0,MATCH(G$2,Inputs!$K$4:$AJ$4,0))))+SUMPRODUCT((Inputs!$E$5:$E$190=$B15)*ISNUMBER(INDEX(Inputs!$K$5:$AJ$190,0,MATCH(G$2,Inputs!$K$4:$AJ$4,0))))=0,NA(),SUMPRODUCT((Inputs!$A$5:$A$190=$B15)*Inputs!$B$5:$B$190*(((Inputs!$G$5:$G$190="moeda")+(Inputs!$G$5:$G$190="acoes"))*Inputs!$B$1+((Inputs!$G$5:$G$190&lt;&gt;"moeda")*(Inputs!$G$5:$G$190&lt;&gt;"acoes")))*INDEX(Inputs!$K$5:$AJ$190,0,MATCH(G$2,Inputs!$K$4:$AJ$4,0)))+SUMPRODUCT((Inputs!$C$5:$C$190=$B15)*Inputs!$D$5:$D$190*(((Inputs!$G$5:$G$190="moeda")+(Inputs!$G$5:$G$190="acoes"))*Inputs!$B$1+((Inputs!$G$5:$G$190&lt;&gt;"moeda")*(Inputs!$G$5:$G$190&lt;&gt;"acoes")))*INDEX(Inputs!$K$5:$AJ$190,0,MATCH(G$2,Inputs!$K$4:$AJ$4,0)))+SUMPRODUCT((Inputs!$E$5:$E$190=$B15)*Inputs!$F$5:$F$190*(((Inputs!$G$5:$G$190="moeda")+(Inputs!$G$5:$G$190="acoes"))*Inputs!$B$1+((Inputs!$G$5:$G$190&lt;&gt;"moeda")*(Inputs!$G$5:$G$190&lt;&gt;"acoes")))*INDEX(Inputs!$K$5:$AJ$190,0,MATCH(G$2,Inputs!$K$4:$AJ$4,0)))))</f>
        <v>18661.489</v>
      </c>
      <c r="H15" s="3">
        <f>G15</f>
        <v>18661.489</v>
      </c>
      <c r="I15" s="6">
        <f>IF(ISNA(MATCH(I$2,Inputs!$K$4:$AJ$4,0)),NA(),IF(SUMPRODUCT((Inputs!$A$5:$A$190=$B15)*ISNUMBER(INDEX(Inputs!$K$5:$AJ$190,0,MATCH(I$2,Inputs!$K$4:$AJ$4,0))))+SUMPRODUCT((Inputs!$C$5:$C$190=$B15)*ISNUMBER(INDEX(Inputs!$K$5:$AJ$190,0,MATCH(I$2,Inputs!$K$4:$AJ$4,0))))+SUMPRODUCT((Inputs!$E$5:$E$190=$B15)*ISNUMBER(INDEX(Inputs!$K$5:$AJ$190,0,MATCH(I$2,Inputs!$K$4:$AJ$4,0))))=0,NA(),SUMPRODUCT((Inputs!$A$5:$A$190=$B15)*Inputs!$B$5:$B$190*(((Inputs!$G$5:$G$190="moeda")+(Inputs!$G$5:$G$190="acoes"))*Inputs!$B$1+((Inputs!$G$5:$G$190&lt;&gt;"moeda")*(Inputs!$G$5:$G$190&lt;&gt;"acoes")))*INDEX(Inputs!$K$5:$AJ$190,0,MATCH(I$2,Inputs!$K$4:$AJ$4,0)))+SUMPRODUCT((Inputs!$C$5:$C$190=$B15)*Inputs!$D$5:$D$190*(((Inputs!$G$5:$G$190="moeda")+(Inputs!$G$5:$G$190="acoes"))*Inputs!$B$1+((Inputs!$G$5:$G$190&lt;&gt;"moeda")*(Inputs!$G$5:$G$190&lt;&gt;"acoes")))*INDEX(Inputs!$K$5:$AJ$190,0,MATCH(I$2,Inputs!$K$4:$AJ$4,0)))+SUMPRODUCT((Inputs!$E$5:$E$190=$B15)*Inputs!$F$5:$F$190*(((Inputs!$G$5:$G$190="moeda")+(Inputs!$G$5:$G$190="acoes"))*Inputs!$B$1+((Inputs!$G$5:$G$190&lt;&gt;"moeda")*(Inputs!$G$5:$G$190&lt;&gt;"acoes")))*INDEX(Inputs!$K$5:$AJ$190,0,MATCH(I$2,Inputs!$K$4:$AJ$4,0)))))</f>
        <v>14705.318</v>
      </c>
      <c r="J15" s="6">
        <f>IF(ISNA(MATCH(J$2,Inputs!$K$4:$AJ$4,0)),NA(),IF(SUMPRODUCT((Inputs!$A$5:$A$190=$B15)*ISNUMBER(INDEX(Inputs!$K$5:$AJ$190,0,MATCH(J$2,Inputs!$K$4:$AJ$4,0))))+SUMPRODUCT((Inputs!$C$5:$C$190=$B15)*ISNUMBER(INDEX(Inputs!$K$5:$AJ$190,0,MATCH(J$2,Inputs!$K$4:$AJ$4,0))))+SUMPRODUCT((Inputs!$E$5:$E$190=$B15)*ISNUMBER(INDEX(Inputs!$K$5:$AJ$190,0,MATCH(J$2,Inputs!$K$4:$AJ$4,0))))=0,NA(),SUMPRODUCT((Inputs!$A$5:$A$190=$B15)*Inputs!$B$5:$B$190*(((Inputs!$G$5:$G$190="moeda")+(Inputs!$G$5:$G$190="acoes"))*Inputs!$B$1+((Inputs!$G$5:$G$190&lt;&gt;"moeda")*(Inputs!$G$5:$G$190&lt;&gt;"acoes")))*INDEX(Inputs!$K$5:$AJ$190,0,MATCH(J$2,Inputs!$K$4:$AJ$4,0)))+SUMPRODUCT((Inputs!$C$5:$C$190=$B15)*Inputs!$D$5:$D$190*(((Inputs!$G$5:$G$190="moeda")+(Inputs!$G$5:$G$190="acoes"))*Inputs!$B$1+((Inputs!$G$5:$G$190&lt;&gt;"moeda")*(Inputs!$G$5:$G$190&lt;&gt;"acoes")))*INDEX(Inputs!$K$5:$AJ$190,0,MATCH(J$2,Inputs!$K$4:$AJ$4,0)))+SUMPRODUCT((Inputs!$E$5:$E$190=$B15)*Inputs!$F$5:$F$190*(((Inputs!$G$5:$G$190="moeda")+(Inputs!$G$5:$G$190="acoes"))*Inputs!$B$1+((Inputs!$G$5:$G$190&lt;&gt;"moeda")*(Inputs!$G$5:$G$190&lt;&gt;"acoes")))*INDEX(Inputs!$K$5:$AJ$190,0,MATCH(J$2,Inputs!$K$4:$AJ$4,0)))))</f>
        <v>15021.48</v>
      </c>
      <c r="K15" s="6">
        <f>IF(ISNA(MATCH(K$2,Inputs!$K$4:$AJ$4,0)),NA(),IF(SUMPRODUCT((Inputs!$A$5:$A$190=$B15)*ISNUMBER(INDEX(Inputs!$K$5:$AJ$190,0,MATCH(K$2,Inputs!$K$4:$AJ$4,0))))+SUMPRODUCT((Inputs!$C$5:$C$190=$B15)*ISNUMBER(INDEX(Inputs!$K$5:$AJ$190,0,MATCH(K$2,Inputs!$K$4:$AJ$4,0))))+SUMPRODUCT((Inputs!$E$5:$E$190=$B15)*ISNUMBER(INDEX(Inputs!$K$5:$AJ$190,0,MATCH(K$2,Inputs!$K$4:$AJ$4,0))))=0,NA(),SUMPRODUCT((Inputs!$A$5:$A$190=$B15)*Inputs!$B$5:$B$190*(((Inputs!$G$5:$G$190="moeda")+(Inputs!$G$5:$G$190="acoes"))*Inputs!$B$1+((Inputs!$G$5:$G$190&lt;&gt;"moeda")*(Inputs!$G$5:$G$190&lt;&gt;"acoes")))*INDEX(Inputs!$K$5:$AJ$190,0,MATCH(K$2,Inputs!$K$4:$AJ$4,0)))+SUMPRODUCT((Inputs!$C$5:$C$190=$B15)*Inputs!$D$5:$D$190*(((Inputs!$G$5:$G$190="moeda")+(Inputs!$G$5:$G$190="acoes"))*Inputs!$B$1+((Inputs!$G$5:$G$190&lt;&gt;"moeda")*(Inputs!$G$5:$G$190&lt;&gt;"acoes")))*INDEX(Inputs!$K$5:$AJ$190,0,MATCH(K$2,Inputs!$K$4:$AJ$4,0)))+SUMPRODUCT((Inputs!$E$5:$E$190=$B15)*Inputs!$F$5:$F$190*(((Inputs!$G$5:$G$190="moeda")+(Inputs!$G$5:$G$190="acoes"))*Inputs!$B$1+((Inputs!$G$5:$G$190&lt;&gt;"moeda")*(Inputs!$G$5:$G$190&lt;&gt;"acoes")))*INDEX(Inputs!$K$5:$AJ$190,0,MATCH(K$2,Inputs!$K$4:$AJ$4,0)))))</f>
        <v>15483.583</v>
      </c>
      <c r="L15" s="6">
        <f>IF(ISNA(MATCH(L$2,Inputs!$K$4:$AJ$4,0)),NA(),IF(SUMPRODUCT((Inputs!$A$5:$A$190=$B15)*ISNUMBER(INDEX(Inputs!$K$5:$AJ$190,0,MATCH(L$2,Inputs!$K$4:$AJ$4,0))))+SUMPRODUCT((Inputs!$C$5:$C$190=$B15)*ISNUMBER(INDEX(Inputs!$K$5:$AJ$190,0,MATCH(L$2,Inputs!$K$4:$AJ$4,0))))+SUMPRODUCT((Inputs!$E$5:$E$190=$B15)*ISNUMBER(INDEX(Inputs!$K$5:$AJ$190,0,MATCH(L$2,Inputs!$K$4:$AJ$4,0))))=0,NA(),SUMPRODUCT((Inputs!$A$5:$A$190=$B15)*Inputs!$B$5:$B$190*(((Inputs!$G$5:$G$190="moeda")+(Inputs!$G$5:$G$190="acoes"))*Inputs!$B$1+((Inputs!$G$5:$G$190&lt;&gt;"moeda")*(Inputs!$G$5:$G$190&lt;&gt;"acoes")))*INDEX(Inputs!$K$5:$AJ$190,0,MATCH(L$2,Inputs!$K$4:$AJ$4,0)))+SUMPRODUCT((Inputs!$C$5:$C$190=$B15)*Inputs!$D$5:$D$190*(((Inputs!$G$5:$G$190="moeda")+(Inputs!$G$5:$G$190="acoes"))*Inputs!$B$1+((Inputs!$G$5:$G$190&lt;&gt;"moeda")*(Inputs!$G$5:$G$190&lt;&gt;"acoes")))*INDEX(Inputs!$K$5:$AJ$190,0,MATCH(L$2,Inputs!$K$4:$AJ$4,0)))+SUMPRODUCT((Inputs!$E$5:$E$190=$B15)*Inputs!$F$5:$F$190*(((Inputs!$G$5:$G$190="moeda")+(Inputs!$G$5:$G$190="acoes"))*Inputs!$B$1+((Inputs!$G$5:$G$190&lt;&gt;"moeda")*(Inputs!$G$5:$G$190&lt;&gt;"acoes")))*INDEX(Inputs!$K$5:$AJ$190,0,MATCH(L$2,Inputs!$K$4:$AJ$4,0)))))</f>
        <v>12902.269</v>
      </c>
      <c r="M15" s="3">
        <f>L15</f>
        <v>12902.269</v>
      </c>
      <c r="N15" s="6">
        <f>IF(ISNA(MATCH(N$2,Inputs!$K$4:$AJ$4,0)),NA(),IF(SUMPRODUCT((Inputs!$A$5:$A$190=$B15)*ISNUMBER(INDEX(Inputs!$K$5:$AJ$190,0,MATCH(N$2,Inputs!$K$4:$AJ$4,0))))+SUMPRODUCT((Inputs!$C$5:$C$190=$B15)*ISNUMBER(INDEX(Inputs!$K$5:$AJ$190,0,MATCH(N$2,Inputs!$K$4:$AJ$4,0))))+SUMPRODUCT((Inputs!$E$5:$E$190=$B15)*ISNUMBER(INDEX(Inputs!$K$5:$AJ$190,0,MATCH(N$2,Inputs!$K$4:$AJ$4,0))))=0,NA(),SUMPRODUCT((Inputs!$A$5:$A$190=$B15)*Inputs!$B$5:$B$190*(((Inputs!$G$5:$G$190="moeda")+(Inputs!$G$5:$G$190="acoes"))*Inputs!$B$1+((Inputs!$G$5:$G$190&lt;&gt;"moeda")*(Inputs!$G$5:$G$190&lt;&gt;"acoes")))*INDEX(Inputs!$K$5:$AJ$190,0,MATCH(N$2,Inputs!$K$4:$AJ$4,0)))+SUMPRODUCT((Inputs!$C$5:$C$190=$B15)*Inputs!$D$5:$D$190*(((Inputs!$G$5:$G$190="moeda")+(Inputs!$G$5:$G$190="acoes"))*Inputs!$B$1+((Inputs!$G$5:$G$190&lt;&gt;"moeda")*(Inputs!$G$5:$G$190&lt;&gt;"acoes")))*INDEX(Inputs!$K$5:$AJ$190,0,MATCH(N$2,Inputs!$K$4:$AJ$4,0)))+SUMPRODUCT((Inputs!$E$5:$E$190=$B15)*Inputs!$F$5:$F$190*(((Inputs!$G$5:$G$190="moeda")+(Inputs!$G$5:$G$190="acoes"))*Inputs!$B$1+((Inputs!$G$5:$G$190&lt;&gt;"moeda")*(Inputs!$G$5:$G$190&lt;&gt;"acoes")))*INDEX(Inputs!$K$5:$AJ$190,0,MATCH(N$2,Inputs!$K$4:$AJ$4,0)))))</f>
        <v>9931.66328764447</v>
      </c>
      <c r="O15" s="6">
        <f>IF(ISNA(MATCH(O$2,Inputs!$K$4:$AJ$4,0)),NA(),IF(SUMPRODUCT((Inputs!$A$5:$A$190=$B15)*ISNUMBER(INDEX(Inputs!$K$5:$AJ$190,0,MATCH(O$2,Inputs!$K$4:$AJ$4,0))))+SUMPRODUCT((Inputs!$C$5:$C$190=$B15)*ISNUMBER(INDEX(Inputs!$K$5:$AJ$190,0,MATCH(O$2,Inputs!$K$4:$AJ$4,0))))+SUMPRODUCT((Inputs!$E$5:$E$190=$B15)*ISNUMBER(INDEX(Inputs!$K$5:$AJ$190,0,MATCH(O$2,Inputs!$K$4:$AJ$4,0))))=0,NA(),SUMPRODUCT((Inputs!$A$5:$A$190=$B15)*Inputs!$B$5:$B$190*(((Inputs!$G$5:$G$190="moeda")+(Inputs!$G$5:$G$190="acoes"))*Inputs!$B$1+((Inputs!$G$5:$G$190&lt;&gt;"moeda")*(Inputs!$G$5:$G$190&lt;&gt;"acoes")))*INDEX(Inputs!$K$5:$AJ$190,0,MATCH(O$2,Inputs!$K$4:$AJ$4,0)))+SUMPRODUCT((Inputs!$C$5:$C$190=$B15)*Inputs!$D$5:$D$190*(((Inputs!$G$5:$G$190="moeda")+(Inputs!$G$5:$G$190="acoes"))*Inputs!$B$1+((Inputs!$G$5:$G$190&lt;&gt;"moeda")*(Inputs!$G$5:$G$190&lt;&gt;"acoes")))*INDEX(Inputs!$K$5:$AJ$190,0,MATCH(O$2,Inputs!$K$4:$AJ$4,0)))+SUMPRODUCT((Inputs!$E$5:$E$190=$B15)*Inputs!$F$5:$F$190*(((Inputs!$G$5:$G$190="moeda")+(Inputs!$G$5:$G$190="acoes"))*Inputs!$B$1+((Inputs!$G$5:$G$190&lt;&gt;"moeda")*(Inputs!$G$5:$G$190&lt;&gt;"acoes")))*INDEX(Inputs!$K$5:$AJ$190,0,MATCH(O$2,Inputs!$K$4:$AJ$4,0)))))</f>
        <v>7894.41818753206</v>
      </c>
      <c r="P15" s="6">
        <f>IF(ISNA(MATCH(P$2,Inputs!$K$4:$AJ$4,0)),NA(),IF(SUMPRODUCT((Inputs!$A$5:$A$190=$B15)*ISNUMBER(INDEX(Inputs!$K$5:$AJ$190,0,MATCH(P$2,Inputs!$K$4:$AJ$4,0))))+SUMPRODUCT((Inputs!$C$5:$C$190=$B15)*ISNUMBER(INDEX(Inputs!$K$5:$AJ$190,0,MATCH(P$2,Inputs!$K$4:$AJ$4,0))))+SUMPRODUCT((Inputs!$E$5:$E$190=$B15)*ISNUMBER(INDEX(Inputs!$K$5:$AJ$190,0,MATCH(P$2,Inputs!$K$4:$AJ$4,0))))=0,NA(),SUMPRODUCT((Inputs!$A$5:$A$190=$B15)*Inputs!$B$5:$B$190*(((Inputs!$G$5:$G$190="moeda")+(Inputs!$G$5:$G$190="acoes"))*Inputs!$B$1+((Inputs!$G$5:$G$190&lt;&gt;"moeda")*(Inputs!$G$5:$G$190&lt;&gt;"acoes")))*INDEX(Inputs!$K$5:$AJ$190,0,MATCH(P$2,Inputs!$K$4:$AJ$4,0)))+SUMPRODUCT((Inputs!$C$5:$C$190=$B15)*Inputs!$D$5:$D$190*(((Inputs!$G$5:$G$190="moeda")+(Inputs!$G$5:$G$190="acoes"))*Inputs!$B$1+((Inputs!$G$5:$G$190&lt;&gt;"moeda")*(Inputs!$G$5:$G$190&lt;&gt;"acoes")))*INDEX(Inputs!$K$5:$AJ$190,0,MATCH(P$2,Inputs!$K$4:$AJ$4,0)))+SUMPRODUCT((Inputs!$E$5:$E$190=$B15)*Inputs!$F$5:$F$190*(((Inputs!$G$5:$G$190="moeda")+(Inputs!$G$5:$G$190="acoes"))*Inputs!$B$1+((Inputs!$G$5:$G$190&lt;&gt;"moeda")*(Inputs!$G$5:$G$190&lt;&gt;"acoes")))*INDEX(Inputs!$K$5:$AJ$190,0,MATCH(P$2,Inputs!$K$4:$AJ$4,0)))))</f>
        <v>8078.17540343371</v>
      </c>
      <c r="Q15" s="6">
        <f>IF(ISNA(MATCH(Q$2,Inputs!$K$4:$AJ$4,0)),NA(),IF(SUMPRODUCT((Inputs!$A$5:$A$190=$B15)*ISNUMBER(INDEX(Inputs!$K$5:$AJ$190,0,MATCH(Q$2,Inputs!$K$4:$AJ$4,0))))+SUMPRODUCT((Inputs!$C$5:$C$190=$B15)*ISNUMBER(INDEX(Inputs!$K$5:$AJ$190,0,MATCH(Q$2,Inputs!$K$4:$AJ$4,0))))+SUMPRODUCT((Inputs!$E$5:$E$190=$B15)*ISNUMBER(INDEX(Inputs!$K$5:$AJ$190,0,MATCH(Q$2,Inputs!$K$4:$AJ$4,0))))=0,NA(),SUMPRODUCT((Inputs!$A$5:$A$190=$B15)*Inputs!$B$5:$B$190*(((Inputs!$G$5:$G$190="moeda")+(Inputs!$G$5:$G$190="acoes"))*Inputs!$B$1+((Inputs!$G$5:$G$190&lt;&gt;"moeda")*(Inputs!$G$5:$G$190&lt;&gt;"acoes")))*INDEX(Inputs!$K$5:$AJ$190,0,MATCH(Q$2,Inputs!$K$4:$AJ$4,0)))+SUMPRODUCT((Inputs!$C$5:$C$190=$B15)*Inputs!$D$5:$D$190*(((Inputs!$G$5:$G$190="moeda")+(Inputs!$G$5:$G$190="acoes"))*Inputs!$B$1+((Inputs!$G$5:$G$190&lt;&gt;"moeda")*(Inputs!$G$5:$G$190&lt;&gt;"acoes")))*INDEX(Inputs!$K$5:$AJ$190,0,MATCH(Q$2,Inputs!$K$4:$AJ$4,0)))+SUMPRODUCT((Inputs!$E$5:$E$190=$B15)*Inputs!$F$5:$F$190*(((Inputs!$G$5:$G$190="moeda")+(Inputs!$G$5:$G$190="acoes"))*Inputs!$B$1+((Inputs!$G$5:$G$190&lt;&gt;"moeda")*(Inputs!$G$5:$G$190&lt;&gt;"acoes")))*INDEX(Inputs!$K$5:$AJ$190,0,MATCH(Q$2,Inputs!$K$4:$AJ$4,0)))))</f>
        <v>11124.5367270151</v>
      </c>
      <c r="R15" s="3">
        <f>Q15</f>
        <v>11124.5367270151</v>
      </c>
      <c r="S15" s="6">
        <f>IF(ISNA(MATCH(S$2,Inputs!$K$4:$AJ$4,0)),NA(),IF(SUMPRODUCT((Inputs!$A$5:$A$190=$B15)*ISNUMBER(INDEX(Inputs!$K$5:$AJ$190,0,MATCH(S$2,Inputs!$K$4:$AJ$4,0))))+SUMPRODUCT((Inputs!$C$5:$C$190=$B15)*ISNUMBER(INDEX(Inputs!$K$5:$AJ$190,0,MATCH(S$2,Inputs!$K$4:$AJ$4,0))))+SUMPRODUCT((Inputs!$E$5:$E$190=$B15)*ISNUMBER(INDEX(Inputs!$K$5:$AJ$190,0,MATCH(S$2,Inputs!$K$4:$AJ$4,0))))=0,NA(),SUMPRODUCT((Inputs!$A$5:$A$190=$B15)*Inputs!$B$5:$B$190*(((Inputs!$G$5:$G$190="moeda")+(Inputs!$G$5:$G$190="acoes"))*Inputs!$B$1+((Inputs!$G$5:$G$190&lt;&gt;"moeda")*(Inputs!$G$5:$G$190&lt;&gt;"acoes")))*INDEX(Inputs!$K$5:$AJ$190,0,MATCH(S$2,Inputs!$K$4:$AJ$4,0)))+SUMPRODUCT((Inputs!$C$5:$C$190=$B15)*Inputs!$D$5:$D$190*(((Inputs!$G$5:$G$190="moeda")+(Inputs!$G$5:$G$190="acoes"))*Inputs!$B$1+((Inputs!$G$5:$G$190&lt;&gt;"moeda")*(Inputs!$G$5:$G$190&lt;&gt;"acoes")))*INDEX(Inputs!$K$5:$AJ$190,0,MATCH(S$2,Inputs!$K$4:$AJ$4,0)))+SUMPRODUCT((Inputs!$E$5:$E$190=$B15)*Inputs!$F$5:$F$190*(((Inputs!$G$5:$G$190="moeda")+(Inputs!$G$5:$G$190="acoes"))*Inputs!$B$1+((Inputs!$G$5:$G$190&lt;&gt;"moeda")*(Inputs!$G$5:$G$190&lt;&gt;"acoes")))*INDEX(Inputs!$K$5:$AJ$190,0,MATCH(S$2,Inputs!$K$4:$AJ$4,0)))))</f>
        <v>12943.2809375618</v>
      </c>
      <c r="T15" s="6">
        <f>IF(ISNA(MATCH(T$2,Inputs!$K$4:$AJ$4,0)),NA(),IF(SUMPRODUCT((Inputs!$A$5:$A$190=$B15)*ISNUMBER(INDEX(Inputs!$K$5:$AJ$190,0,MATCH(T$2,Inputs!$K$4:$AJ$4,0))))+SUMPRODUCT((Inputs!$C$5:$C$190=$B15)*ISNUMBER(INDEX(Inputs!$K$5:$AJ$190,0,MATCH(T$2,Inputs!$K$4:$AJ$4,0))))+SUMPRODUCT((Inputs!$E$5:$E$190=$B15)*ISNUMBER(INDEX(Inputs!$K$5:$AJ$190,0,MATCH(T$2,Inputs!$K$4:$AJ$4,0))))=0,NA(),SUMPRODUCT((Inputs!$A$5:$A$190=$B15)*Inputs!$B$5:$B$190*(((Inputs!$G$5:$G$190="moeda")+(Inputs!$G$5:$G$190="acoes"))*Inputs!$B$1+((Inputs!$G$5:$G$190&lt;&gt;"moeda")*(Inputs!$G$5:$G$190&lt;&gt;"acoes")))*INDEX(Inputs!$K$5:$AJ$190,0,MATCH(T$2,Inputs!$K$4:$AJ$4,0)))+SUMPRODUCT((Inputs!$C$5:$C$190=$B15)*Inputs!$D$5:$D$190*(((Inputs!$G$5:$G$190="moeda")+(Inputs!$G$5:$G$190="acoes"))*Inputs!$B$1+((Inputs!$G$5:$G$190&lt;&gt;"moeda")*(Inputs!$G$5:$G$190&lt;&gt;"acoes")))*INDEX(Inputs!$K$5:$AJ$190,0,MATCH(T$2,Inputs!$K$4:$AJ$4,0)))+SUMPRODUCT((Inputs!$E$5:$E$190=$B15)*Inputs!$F$5:$F$190*(((Inputs!$G$5:$G$190="moeda")+(Inputs!$G$5:$G$190="acoes"))*Inputs!$B$1+((Inputs!$G$5:$G$190&lt;&gt;"moeda")*(Inputs!$G$5:$G$190&lt;&gt;"acoes")))*INDEX(Inputs!$K$5:$AJ$190,0,MATCH(T$2,Inputs!$K$4:$AJ$4,0)))))</f>
        <v>12200.0965241082</v>
      </c>
      <c r="U15" s="6">
        <f>IF(ISNA(MATCH(U$2,Inputs!$K$4:$AJ$4,0)),NA(),IF(SUMPRODUCT((Inputs!$A$5:$A$190=$B15)*ISNUMBER(INDEX(Inputs!$K$5:$AJ$190,0,MATCH(U$2,Inputs!$K$4:$AJ$4,0))))+SUMPRODUCT((Inputs!$C$5:$C$190=$B15)*ISNUMBER(INDEX(Inputs!$K$5:$AJ$190,0,MATCH(U$2,Inputs!$K$4:$AJ$4,0))))+SUMPRODUCT((Inputs!$E$5:$E$190=$B15)*ISNUMBER(INDEX(Inputs!$K$5:$AJ$190,0,MATCH(U$2,Inputs!$K$4:$AJ$4,0))))=0,NA(),SUMPRODUCT((Inputs!$A$5:$A$190=$B15)*Inputs!$B$5:$B$190*(((Inputs!$G$5:$G$190="moeda")+(Inputs!$G$5:$G$190="acoes"))*Inputs!$B$1+((Inputs!$G$5:$G$190&lt;&gt;"moeda")*(Inputs!$G$5:$G$190&lt;&gt;"acoes")))*INDEX(Inputs!$K$5:$AJ$190,0,MATCH(U$2,Inputs!$K$4:$AJ$4,0)))+SUMPRODUCT((Inputs!$C$5:$C$190=$B15)*Inputs!$D$5:$D$190*(((Inputs!$G$5:$G$190="moeda")+(Inputs!$G$5:$G$190="acoes"))*Inputs!$B$1+((Inputs!$G$5:$G$190&lt;&gt;"moeda")*(Inputs!$G$5:$G$190&lt;&gt;"acoes")))*INDEX(Inputs!$K$5:$AJ$190,0,MATCH(U$2,Inputs!$K$4:$AJ$4,0)))+SUMPRODUCT((Inputs!$E$5:$E$190=$B15)*Inputs!$F$5:$F$190*(((Inputs!$G$5:$G$190="moeda")+(Inputs!$G$5:$G$190="acoes"))*Inputs!$B$1+((Inputs!$G$5:$G$190&lt;&gt;"moeda")*(Inputs!$G$5:$G$190&lt;&gt;"acoes")))*INDEX(Inputs!$K$5:$AJ$190,0,MATCH(U$2,Inputs!$K$4:$AJ$4,0)))))</f>
        <v>14175.1800728122</v>
      </c>
      <c r="V15" s="6">
        <f>IF(ISNA(MATCH(V$2,Inputs!$K$4:$AJ$4,0)),NA(),IF(SUMPRODUCT((Inputs!$A$5:$A$190=$B15)*ISNUMBER(INDEX(Inputs!$K$5:$AJ$190,0,MATCH(V$2,Inputs!$K$4:$AJ$4,0))))+SUMPRODUCT((Inputs!$C$5:$C$190=$B15)*ISNUMBER(INDEX(Inputs!$K$5:$AJ$190,0,MATCH(V$2,Inputs!$K$4:$AJ$4,0))))+SUMPRODUCT((Inputs!$E$5:$E$190=$B15)*ISNUMBER(INDEX(Inputs!$K$5:$AJ$190,0,MATCH(V$2,Inputs!$K$4:$AJ$4,0))))=0,NA(),SUMPRODUCT((Inputs!$A$5:$A$190=$B15)*Inputs!$B$5:$B$190*(((Inputs!$G$5:$G$190="moeda")+(Inputs!$G$5:$G$190="acoes"))*Inputs!$B$1+((Inputs!$G$5:$G$190&lt;&gt;"moeda")*(Inputs!$G$5:$G$190&lt;&gt;"acoes")))*INDEX(Inputs!$K$5:$AJ$190,0,MATCH(V$2,Inputs!$K$4:$AJ$4,0)))+SUMPRODUCT((Inputs!$C$5:$C$190=$B15)*Inputs!$D$5:$D$190*(((Inputs!$G$5:$G$190="moeda")+(Inputs!$G$5:$G$190="acoes"))*Inputs!$B$1+((Inputs!$G$5:$G$190&lt;&gt;"moeda")*(Inputs!$G$5:$G$190&lt;&gt;"acoes")))*INDEX(Inputs!$K$5:$AJ$190,0,MATCH(V$2,Inputs!$K$4:$AJ$4,0)))+SUMPRODUCT((Inputs!$E$5:$E$190=$B15)*Inputs!$F$5:$F$190*(((Inputs!$G$5:$G$190="moeda")+(Inputs!$G$5:$G$190="acoes"))*Inputs!$B$1+((Inputs!$G$5:$G$190&lt;&gt;"moeda")*(Inputs!$G$5:$G$190&lt;&gt;"acoes")))*INDEX(Inputs!$K$5:$AJ$190,0,MATCH(V$2,Inputs!$K$4:$AJ$4,0)))))</f>
        <v>13361.13484371</v>
      </c>
      <c r="W15" s="3">
        <f>V15</f>
        <v>13361.13484371</v>
      </c>
      <c r="X15" s="6">
        <f>IF(ISNA(MATCH(X$2,Inputs!$K$4:$AJ$4,0)),NA(),IF(SUMPRODUCT((Inputs!$A$5:$A$190=$B15)*ISNUMBER(INDEX(Inputs!$K$5:$AJ$190,0,MATCH(X$2,Inputs!$K$4:$AJ$4,0))))+SUMPRODUCT((Inputs!$C$5:$C$190=$B15)*ISNUMBER(INDEX(Inputs!$K$5:$AJ$190,0,MATCH(X$2,Inputs!$K$4:$AJ$4,0))))+SUMPRODUCT((Inputs!$E$5:$E$190=$B15)*ISNUMBER(INDEX(Inputs!$K$5:$AJ$190,0,MATCH(X$2,Inputs!$K$4:$AJ$4,0))))=0,NA(),SUMPRODUCT((Inputs!$A$5:$A$190=$B15)*Inputs!$B$5:$B$190*(((Inputs!$G$5:$G$190="moeda")+(Inputs!$G$5:$G$190="acoes"))*Inputs!$B$1+((Inputs!$G$5:$G$190&lt;&gt;"moeda")*(Inputs!$G$5:$G$190&lt;&gt;"acoes")))*INDEX(Inputs!$K$5:$AJ$190,0,MATCH(X$2,Inputs!$K$4:$AJ$4,0)))+SUMPRODUCT((Inputs!$C$5:$C$190=$B15)*Inputs!$D$5:$D$190*(((Inputs!$G$5:$G$190="moeda")+(Inputs!$G$5:$G$190="acoes"))*Inputs!$B$1+((Inputs!$G$5:$G$190&lt;&gt;"moeda")*(Inputs!$G$5:$G$190&lt;&gt;"acoes")))*INDEX(Inputs!$K$5:$AJ$190,0,MATCH(X$2,Inputs!$K$4:$AJ$4,0)))+SUMPRODUCT((Inputs!$E$5:$E$190=$B15)*Inputs!$F$5:$F$190*(((Inputs!$G$5:$G$190="moeda")+(Inputs!$G$5:$G$190="acoes"))*Inputs!$B$1+((Inputs!$G$5:$G$190&lt;&gt;"moeda")*(Inputs!$G$5:$G$190&lt;&gt;"acoes")))*INDEX(Inputs!$K$5:$AJ$190,0,MATCH(X$2,Inputs!$K$4:$AJ$4,0)))))</f>
        <v>13536.03658932</v>
      </c>
      <c r="Y15" s="6">
        <f>IF(ISNA(MATCH(Y$2,Inputs!$K$4:$AJ$4,0)),NA(),IF(SUMPRODUCT((Inputs!$A$5:$A$190=$B15)*ISNUMBER(INDEX(Inputs!$K$5:$AJ$190,0,MATCH(Y$2,Inputs!$K$4:$AJ$4,0))))+SUMPRODUCT((Inputs!$C$5:$C$190=$B15)*ISNUMBER(INDEX(Inputs!$K$5:$AJ$190,0,MATCH(Y$2,Inputs!$K$4:$AJ$4,0))))+SUMPRODUCT((Inputs!$E$5:$E$190=$B15)*ISNUMBER(INDEX(Inputs!$K$5:$AJ$190,0,MATCH(Y$2,Inputs!$K$4:$AJ$4,0))))=0,NA(),SUMPRODUCT((Inputs!$A$5:$A$190=$B15)*Inputs!$B$5:$B$190*(((Inputs!$G$5:$G$190="moeda")+(Inputs!$G$5:$G$190="acoes"))*Inputs!$B$1+((Inputs!$G$5:$G$190&lt;&gt;"moeda")*(Inputs!$G$5:$G$190&lt;&gt;"acoes")))*INDEX(Inputs!$K$5:$AJ$190,0,MATCH(Y$2,Inputs!$K$4:$AJ$4,0)))+SUMPRODUCT((Inputs!$C$5:$C$190=$B15)*Inputs!$D$5:$D$190*(((Inputs!$G$5:$G$190="moeda")+(Inputs!$G$5:$G$190="acoes"))*Inputs!$B$1+((Inputs!$G$5:$G$190&lt;&gt;"moeda")*(Inputs!$G$5:$G$190&lt;&gt;"acoes")))*INDEX(Inputs!$K$5:$AJ$190,0,MATCH(Y$2,Inputs!$K$4:$AJ$4,0)))+SUMPRODUCT((Inputs!$E$5:$E$190=$B15)*Inputs!$F$5:$F$190*(((Inputs!$G$5:$G$190="moeda")+(Inputs!$G$5:$G$190="acoes"))*Inputs!$B$1+((Inputs!$G$5:$G$190&lt;&gt;"moeda")*(Inputs!$G$5:$G$190&lt;&gt;"acoes")))*INDEX(Inputs!$K$5:$AJ$190,0,MATCH(Y$2,Inputs!$K$4:$AJ$4,0)))))</f>
        <v>12538.6419752</v>
      </c>
      <c r="Z15" s="6">
        <f>IF(ISNA(MATCH(Z$2,Inputs!$K$4:$AJ$4,0)),NA(),IF(SUMPRODUCT((Inputs!$A$5:$A$190=$B15)*ISNUMBER(INDEX(Inputs!$K$5:$AJ$190,0,MATCH(Z$2,Inputs!$K$4:$AJ$4,0))))+SUMPRODUCT((Inputs!$C$5:$C$190=$B15)*ISNUMBER(INDEX(Inputs!$K$5:$AJ$190,0,MATCH(Z$2,Inputs!$K$4:$AJ$4,0))))+SUMPRODUCT((Inputs!$E$5:$E$190=$B15)*ISNUMBER(INDEX(Inputs!$K$5:$AJ$190,0,MATCH(Z$2,Inputs!$K$4:$AJ$4,0))))=0,NA(),SUMPRODUCT((Inputs!$A$5:$A$190=$B15)*Inputs!$B$5:$B$190*(((Inputs!$G$5:$G$190="moeda")+(Inputs!$G$5:$G$190="acoes"))*Inputs!$B$1+((Inputs!$G$5:$G$190&lt;&gt;"moeda")*(Inputs!$G$5:$G$190&lt;&gt;"acoes")))*INDEX(Inputs!$K$5:$AJ$190,0,MATCH(Z$2,Inputs!$K$4:$AJ$4,0)))+SUMPRODUCT((Inputs!$C$5:$C$190=$B15)*Inputs!$D$5:$D$190*(((Inputs!$G$5:$G$190="moeda")+(Inputs!$G$5:$G$190="acoes"))*Inputs!$B$1+((Inputs!$G$5:$G$190&lt;&gt;"moeda")*(Inputs!$G$5:$G$190&lt;&gt;"acoes")))*INDEX(Inputs!$K$5:$AJ$190,0,MATCH(Z$2,Inputs!$K$4:$AJ$4,0)))+SUMPRODUCT((Inputs!$E$5:$E$190=$B15)*Inputs!$F$5:$F$190*(((Inputs!$G$5:$G$190="moeda")+(Inputs!$G$5:$G$190="acoes"))*Inputs!$B$1+((Inputs!$G$5:$G$190&lt;&gt;"moeda")*(Inputs!$G$5:$G$190&lt;&gt;"acoes")))*INDEX(Inputs!$K$5:$AJ$190,0,MATCH(Z$2,Inputs!$K$4:$AJ$4,0)))))</f>
        <v>12685.19969168</v>
      </c>
      <c r="AA15" s="6">
        <f>IF(ISNA(MATCH(AA$2,Inputs!$K$4:$AJ$4,0)),NA(),IF(SUMPRODUCT((Inputs!$A$5:$A$190=$B15)*ISNUMBER(INDEX(Inputs!$K$5:$AJ$190,0,MATCH(AA$2,Inputs!$K$4:$AJ$4,0))))+SUMPRODUCT((Inputs!$C$5:$C$190=$B15)*ISNUMBER(INDEX(Inputs!$K$5:$AJ$190,0,MATCH(AA$2,Inputs!$K$4:$AJ$4,0))))+SUMPRODUCT((Inputs!$E$5:$E$190=$B15)*ISNUMBER(INDEX(Inputs!$K$5:$AJ$190,0,MATCH(AA$2,Inputs!$K$4:$AJ$4,0))))=0,NA(),SUMPRODUCT((Inputs!$A$5:$A$190=$B15)*Inputs!$B$5:$B$190*(((Inputs!$G$5:$G$190="moeda")+(Inputs!$G$5:$G$190="acoes"))*Inputs!$B$1+((Inputs!$G$5:$G$190&lt;&gt;"moeda")*(Inputs!$G$5:$G$190&lt;&gt;"acoes")))*INDEX(Inputs!$K$5:$AJ$190,0,MATCH(AA$2,Inputs!$K$4:$AJ$4,0)))+SUMPRODUCT((Inputs!$C$5:$C$190=$B15)*Inputs!$D$5:$D$190*(((Inputs!$G$5:$G$190="moeda")+(Inputs!$G$5:$G$190="acoes"))*Inputs!$B$1+((Inputs!$G$5:$G$190&lt;&gt;"moeda")*(Inputs!$G$5:$G$190&lt;&gt;"acoes")))*INDEX(Inputs!$K$5:$AJ$190,0,MATCH(AA$2,Inputs!$K$4:$AJ$4,0)))+SUMPRODUCT((Inputs!$E$5:$E$190=$B15)*Inputs!$F$5:$F$190*(((Inputs!$G$5:$G$190="moeda")+(Inputs!$G$5:$G$190="acoes"))*Inputs!$B$1+((Inputs!$G$5:$G$190&lt;&gt;"moeda")*(Inputs!$G$5:$G$190&lt;&gt;"acoes")))*INDEX(Inputs!$K$5:$AJ$190,0,MATCH(AA$2,Inputs!$K$4:$AJ$4,0)))))</f>
        <v>17019.45165328</v>
      </c>
      <c r="AB15" s="3">
        <f>AA15</f>
        <v>17019.45165328</v>
      </c>
      <c r="AC15" s="6">
        <f>IF(ISNA(MATCH(AC$2,Inputs!$K$4:$AJ$4,0)),NA(),IF(SUMPRODUCT((Inputs!$A$5:$A$190=$B15)*ISNUMBER(INDEX(Inputs!$K$5:$AJ$190,0,MATCH(AC$2,Inputs!$K$4:$AJ$4,0))))+SUMPRODUCT((Inputs!$C$5:$C$190=$B15)*ISNUMBER(INDEX(Inputs!$K$5:$AJ$190,0,MATCH(AC$2,Inputs!$K$4:$AJ$4,0))))+SUMPRODUCT((Inputs!$E$5:$E$190=$B15)*ISNUMBER(INDEX(Inputs!$K$5:$AJ$190,0,MATCH(AC$2,Inputs!$K$4:$AJ$4,0))))=0,NA(),SUMPRODUCT((Inputs!$A$5:$A$190=$B15)*Inputs!$B$5:$B$190*(((Inputs!$G$5:$G$190="moeda")+(Inputs!$G$5:$G$190="acoes"))*Inputs!$B$1+((Inputs!$G$5:$G$190&lt;&gt;"moeda")*(Inputs!$G$5:$G$190&lt;&gt;"acoes")))*INDEX(Inputs!$K$5:$AJ$190,0,MATCH(AC$2,Inputs!$K$4:$AJ$4,0)))+SUMPRODUCT((Inputs!$C$5:$C$190=$B15)*Inputs!$D$5:$D$190*(((Inputs!$G$5:$G$190="moeda")+(Inputs!$G$5:$G$190="acoes"))*Inputs!$B$1+((Inputs!$G$5:$G$190&lt;&gt;"moeda")*(Inputs!$G$5:$G$190&lt;&gt;"acoes")))*INDEX(Inputs!$K$5:$AJ$190,0,MATCH(AC$2,Inputs!$K$4:$AJ$4,0)))+SUMPRODUCT((Inputs!$E$5:$E$190=$B15)*Inputs!$F$5:$F$190*(((Inputs!$G$5:$G$190="moeda")+(Inputs!$G$5:$G$190="acoes"))*Inputs!$B$1+((Inputs!$G$5:$G$190&lt;&gt;"moeda")*(Inputs!$G$5:$G$190&lt;&gt;"acoes")))*INDEX(Inputs!$K$5:$AJ$190,0,MATCH(AC$2,Inputs!$K$4:$AJ$4,0)))))</f>
        <v>18005.17520755</v>
      </c>
      <c r="AD15" s="6">
        <f>IF(ISNA(MATCH(AD$2,Inputs!$K$4:$AJ$4,0)),NA(),IF(SUMPRODUCT((Inputs!$A$5:$A$190=$B15)*ISNUMBER(INDEX(Inputs!$K$5:$AJ$190,0,MATCH(AD$2,Inputs!$K$4:$AJ$4,0))))+SUMPRODUCT((Inputs!$C$5:$C$190=$B15)*ISNUMBER(INDEX(Inputs!$K$5:$AJ$190,0,MATCH(AD$2,Inputs!$K$4:$AJ$4,0))))+SUMPRODUCT((Inputs!$E$5:$E$190=$B15)*ISNUMBER(INDEX(Inputs!$K$5:$AJ$190,0,MATCH(AD$2,Inputs!$K$4:$AJ$4,0))))=0,NA(),SUMPRODUCT((Inputs!$A$5:$A$190=$B15)*Inputs!$B$5:$B$190*(((Inputs!$G$5:$G$190="moeda")+(Inputs!$G$5:$G$190="acoes"))*Inputs!$B$1+((Inputs!$G$5:$G$190&lt;&gt;"moeda")*(Inputs!$G$5:$G$190&lt;&gt;"acoes")))*INDEX(Inputs!$K$5:$AJ$190,0,MATCH(AD$2,Inputs!$K$4:$AJ$4,0)))+SUMPRODUCT((Inputs!$C$5:$C$190=$B15)*Inputs!$D$5:$D$190*(((Inputs!$G$5:$G$190="moeda")+(Inputs!$G$5:$G$190="acoes"))*Inputs!$B$1+((Inputs!$G$5:$G$190&lt;&gt;"moeda")*(Inputs!$G$5:$G$190&lt;&gt;"acoes")))*INDEX(Inputs!$K$5:$AJ$190,0,MATCH(AD$2,Inputs!$K$4:$AJ$4,0)))+SUMPRODUCT((Inputs!$E$5:$E$190=$B15)*Inputs!$F$5:$F$190*(((Inputs!$G$5:$G$190="moeda")+(Inputs!$G$5:$G$190="acoes"))*Inputs!$B$1+((Inputs!$G$5:$G$190&lt;&gt;"moeda")*(Inputs!$G$5:$G$190&lt;&gt;"acoes")))*INDEX(Inputs!$K$5:$AJ$190,0,MATCH(AD$2,Inputs!$K$4:$AJ$4,0)))))</f>
        <v>18143.44610157</v>
      </c>
      <c r="AE15" s="6" t="e">
        <f>IF(ISNA(MATCH(AE$2,Inputs!$K$4:$AJ$4,0)),NA(),IF(SUMPRODUCT((Inputs!$A$5:$A$190=$B15)*ISNUMBER(INDEX(Inputs!$K$5:$AJ$190,0,MATCH(AE$2,Inputs!$K$4:$AJ$4,0))))+SUMPRODUCT((Inputs!$C$5:$C$190=$B15)*ISNUMBER(INDEX(Inputs!$K$5:$AJ$190,0,MATCH(AE$2,Inputs!$K$4:$AJ$4,0))))+SUMPRODUCT((Inputs!$E$5:$E$190=$B15)*ISNUMBER(INDEX(Inputs!$K$5:$AJ$190,0,MATCH(AE$2,Inputs!$K$4:$AJ$4,0))))=0,NA(),SUMPRODUCT((Inputs!$A$5:$A$190=$B15)*Inputs!$B$5:$B$190*(((Inputs!$G$5:$G$190="moeda")+(Inputs!$G$5:$G$190="acoes"))*Inputs!$B$1+((Inputs!$G$5:$G$190&lt;&gt;"moeda")*(Inputs!$G$5:$G$190&lt;&gt;"acoes")))*INDEX(Inputs!$K$5:$AJ$190,0,MATCH(AE$2,Inputs!$K$4:$AJ$4,0)))+SUMPRODUCT((Inputs!$C$5:$C$190=$B15)*Inputs!$D$5:$D$190*(((Inputs!$G$5:$G$190="moeda")+(Inputs!$G$5:$G$190="acoes"))*Inputs!$B$1+((Inputs!$G$5:$G$190&lt;&gt;"moeda")*(Inputs!$G$5:$G$190&lt;&gt;"acoes")))*INDEX(Inputs!$K$5:$AJ$190,0,MATCH(AE$2,Inputs!$K$4:$AJ$4,0)))+SUMPRODUCT((Inputs!$E$5:$E$190=$B15)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15" s="6" t="e">
        <f>IF(ISNA(MATCH(AF$2,Inputs!$K$4:$AJ$4,0)),NA(),IF(SUMPRODUCT((Inputs!$A$5:$A$190=$B15)*ISNUMBER(INDEX(Inputs!$K$5:$AJ$190,0,MATCH(AF$2,Inputs!$K$4:$AJ$4,0))))+SUMPRODUCT((Inputs!$C$5:$C$190=$B15)*ISNUMBER(INDEX(Inputs!$K$5:$AJ$190,0,MATCH(AF$2,Inputs!$K$4:$AJ$4,0))))+SUMPRODUCT((Inputs!$E$5:$E$190=$B15)*ISNUMBER(INDEX(Inputs!$K$5:$AJ$190,0,MATCH(AF$2,Inputs!$K$4:$AJ$4,0))))=0,NA(),SUMPRODUCT((Inputs!$A$5:$A$190=$B15)*Inputs!$B$5:$B$190*(((Inputs!$G$5:$G$190="moeda")+(Inputs!$G$5:$G$190="acoes"))*Inputs!$B$1+((Inputs!$G$5:$G$190&lt;&gt;"moeda")*(Inputs!$G$5:$G$190&lt;&gt;"acoes")))*INDEX(Inputs!$K$5:$AJ$190,0,MATCH(AF$2,Inputs!$K$4:$AJ$4,0)))+SUMPRODUCT((Inputs!$C$5:$C$190=$B15)*Inputs!$D$5:$D$190*(((Inputs!$G$5:$G$190="moeda")+(Inputs!$G$5:$G$190="acoes"))*Inputs!$B$1+((Inputs!$G$5:$G$190&lt;&gt;"moeda")*(Inputs!$G$5:$G$190&lt;&gt;"acoes")))*INDEX(Inputs!$K$5:$AJ$190,0,MATCH(AF$2,Inputs!$K$4:$AJ$4,0)))+SUMPRODUCT((Inputs!$E$5:$E$190=$B15)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15" s="3" t="e">
        <f>AF15</f>
        <v>#N/A</v>
      </c>
      <c r="AH15" s="6">
        <f>IF(ISNA(MATCH(AH$2,Inputs!$K$4:$AJ$4,0)),NA(),IF(SUMPRODUCT((Inputs!$A$5:$A$190=$B15)*ISNUMBER(INDEX(Inputs!$K$5:$AJ$190,0,MATCH(AH$2,Inputs!$K$4:$AJ$4,0))))+SUMPRODUCT((Inputs!$C$5:$C$190=$B15)*ISNUMBER(INDEX(Inputs!$K$5:$AJ$190,0,MATCH(AH$2,Inputs!$K$4:$AJ$4,0))))+SUMPRODUCT((Inputs!$E$5:$E$190=$B15)*ISNUMBER(INDEX(Inputs!$K$5:$AJ$190,0,MATCH(AH$2,Inputs!$K$4:$AJ$4,0))))=0,NA(),SUMPRODUCT((Inputs!$A$5:$A$190=$B15)*Inputs!$B$5:$B$190*(((Inputs!$G$5:$G$190="moeda")+(Inputs!$G$5:$G$190="acoes"))*Inputs!$B$1+((Inputs!$G$5:$G$190&lt;&gt;"moeda")*(Inputs!$G$5:$G$190&lt;&gt;"acoes")))*INDEX(Inputs!$K$5:$AJ$190,0,MATCH(AH$2,Inputs!$K$4:$AJ$4,0)))+SUMPRODUCT((Inputs!$C$5:$C$190=$B15)*Inputs!$D$5:$D$190*(((Inputs!$G$5:$G$190="moeda")+(Inputs!$G$5:$G$190="acoes"))*Inputs!$B$1+((Inputs!$G$5:$G$190&lt;&gt;"moeda")*(Inputs!$G$5:$G$190&lt;&gt;"acoes")))*INDEX(Inputs!$K$5:$AJ$190,0,MATCH(AH$2,Inputs!$K$4:$AJ$4,0)))+SUMPRODUCT((Inputs!$E$5:$E$190=$B15)*Inputs!$F$5:$F$190*(((Inputs!$G$5:$G$190="moeda")+(Inputs!$G$5:$G$190="acoes"))*Inputs!$B$1+((Inputs!$G$5:$G$190&lt;&gt;"moeda")*(Inputs!$G$5:$G$190&lt;&gt;"acoes")))*INDEX(Inputs!$K$5:$AJ$190,0,MATCH(AH$2,Inputs!$K$4:$AJ$4,0)))))</f>
        <v>6516.64101769</v>
      </c>
      <c r="AI15" s="6">
        <f>IF(ISNA(MATCH(AI$2,Inputs!$K$4:$AJ$4,0)),NA(),IF(SUMPRODUCT((Inputs!$A$5:$A$190=$B15)*ISNUMBER(INDEX(Inputs!$K$5:$AJ$190,0,MATCH(AI$2,Inputs!$K$4:$AJ$4,0))))+SUMPRODUCT((Inputs!$C$5:$C$190=$B15)*ISNUMBER(INDEX(Inputs!$K$5:$AJ$190,0,MATCH(AI$2,Inputs!$K$4:$AJ$4,0))))+SUMPRODUCT((Inputs!$E$5:$E$190=$B15)*ISNUMBER(INDEX(Inputs!$K$5:$AJ$190,0,MATCH(AI$2,Inputs!$K$4:$AJ$4,0))))=0,NA(),SUMPRODUCT((Inputs!$A$5:$A$190=$B15)*Inputs!$B$5:$B$190*(((Inputs!$G$5:$G$190="moeda")+(Inputs!$G$5:$G$190="acoes"))*Inputs!$B$1+((Inputs!$G$5:$G$190&lt;&gt;"moeda")*(Inputs!$G$5:$G$190&lt;&gt;"acoes")))*INDEX(Inputs!$K$5:$AJ$190,0,MATCH(AI$2,Inputs!$K$4:$AJ$4,0)))+SUMPRODUCT((Inputs!$C$5:$C$190=$B15)*Inputs!$D$5:$D$190*(((Inputs!$G$5:$G$190="moeda")+(Inputs!$G$5:$G$190="acoes"))*Inputs!$B$1+((Inputs!$G$5:$G$190&lt;&gt;"moeda")*(Inputs!$G$5:$G$190&lt;&gt;"acoes")))*INDEX(Inputs!$K$5:$AJ$190,0,MATCH(AI$2,Inputs!$K$4:$AJ$4,0)))+SUMPRODUCT((Inputs!$E$5:$E$190=$B15)*Inputs!$F$5:$F$190*(((Inputs!$G$5:$G$190="moeda")+(Inputs!$G$5:$G$190="acoes"))*Inputs!$B$1+((Inputs!$G$5:$G$190&lt;&gt;"moeda")*(Inputs!$G$5:$G$190&lt;&gt;"acoes")))*INDEX(Inputs!$K$5:$AJ$190,0,MATCH(AI$2,Inputs!$K$4:$AJ$4,0)))))</f>
        <v>8278.75394923</v>
      </c>
      <c r="AJ15" s="6">
        <f>IF(ISNA(MATCH(AJ$2,Inputs!$K$4:$AJ$4,0)),NA(),IF(SUMPRODUCT((Inputs!$A$5:$A$190=$B15)*ISNUMBER(INDEX(Inputs!$K$5:$AJ$190,0,MATCH(AJ$2,Inputs!$K$4:$AJ$4,0))))+SUMPRODUCT((Inputs!$C$5:$C$190=$B15)*ISNUMBER(INDEX(Inputs!$K$5:$AJ$190,0,MATCH(AJ$2,Inputs!$K$4:$AJ$4,0))))+SUMPRODUCT((Inputs!$E$5:$E$190=$B15)*ISNUMBER(INDEX(Inputs!$K$5:$AJ$190,0,MATCH(AJ$2,Inputs!$K$4:$AJ$4,0))))=0,NA(),SUMPRODUCT((Inputs!$A$5:$A$190=$B15)*Inputs!$B$5:$B$190*(((Inputs!$G$5:$G$190="moeda")+(Inputs!$G$5:$G$190="acoes"))*Inputs!$B$1+((Inputs!$G$5:$G$190&lt;&gt;"moeda")*(Inputs!$G$5:$G$190&lt;&gt;"acoes")))*INDEX(Inputs!$K$5:$AJ$190,0,MATCH(AJ$2,Inputs!$K$4:$AJ$4,0)))+SUMPRODUCT((Inputs!$C$5:$C$190=$B15)*Inputs!$D$5:$D$190*(((Inputs!$G$5:$G$190="moeda")+(Inputs!$G$5:$G$190="acoes"))*Inputs!$B$1+((Inputs!$G$5:$G$190&lt;&gt;"moeda")*(Inputs!$G$5:$G$190&lt;&gt;"acoes")))*INDEX(Inputs!$K$5:$AJ$190,0,MATCH(AJ$2,Inputs!$K$4:$AJ$4,0)))+SUMPRODUCT((Inputs!$E$5:$E$190=$B15)*Inputs!$F$5:$F$190*(((Inputs!$G$5:$G$190="moeda")+(Inputs!$G$5:$G$190="acoes"))*Inputs!$B$1+((Inputs!$G$5:$G$190&lt;&gt;"moeda")*(Inputs!$G$5:$G$190&lt;&gt;"acoes")))*INDEX(Inputs!$K$5:$AJ$190,0,MATCH(AJ$2,Inputs!$K$4:$AJ$4,0)))))</f>
        <v>7860.954</v>
      </c>
      <c r="AK15" s="6">
        <f>IF(ISNA(MATCH(AK$2,Inputs!$K$4:$AJ$4,0)),NA(),IF(SUMPRODUCT((Inputs!$A$5:$A$190=$B15)*ISNUMBER(INDEX(Inputs!$K$5:$AJ$190,0,MATCH(AK$2,Inputs!$K$4:$AJ$4,0))))+SUMPRODUCT((Inputs!$C$5:$C$190=$B15)*ISNUMBER(INDEX(Inputs!$K$5:$AJ$190,0,MATCH(AK$2,Inputs!$K$4:$AJ$4,0))))+SUMPRODUCT((Inputs!$E$5:$E$190=$B15)*ISNUMBER(INDEX(Inputs!$K$5:$AJ$190,0,MATCH(AK$2,Inputs!$K$4:$AJ$4,0))))=0,NA(),SUMPRODUCT((Inputs!$A$5:$A$190=$B15)*Inputs!$B$5:$B$190*(((Inputs!$G$5:$G$190="moeda")+(Inputs!$G$5:$G$190="acoes"))*Inputs!$B$1+((Inputs!$G$5:$G$190&lt;&gt;"moeda")*(Inputs!$G$5:$G$190&lt;&gt;"acoes")))*INDEX(Inputs!$K$5:$AJ$190,0,MATCH(AK$2,Inputs!$K$4:$AJ$4,0)))+SUMPRODUCT((Inputs!$C$5:$C$190=$B15)*Inputs!$D$5:$D$190*(((Inputs!$G$5:$G$190="moeda")+(Inputs!$G$5:$G$190="acoes"))*Inputs!$B$1+((Inputs!$G$5:$G$190&lt;&gt;"moeda")*(Inputs!$G$5:$G$190&lt;&gt;"acoes")))*INDEX(Inputs!$K$5:$AJ$190,0,MATCH(AK$2,Inputs!$K$4:$AJ$4,0)))+SUMPRODUCT((Inputs!$E$5:$E$190=$B15)*Inputs!$F$5:$F$190*(((Inputs!$G$5:$G$190="moeda")+(Inputs!$G$5:$G$190="acoes"))*Inputs!$B$1+((Inputs!$G$5:$G$190&lt;&gt;"moeda")*(Inputs!$G$5:$G$190&lt;&gt;"acoes")))*INDEX(Inputs!$K$5:$AJ$190,0,MATCH(AK$2,Inputs!$K$4:$AJ$4,0)))))</f>
        <v>8477.86473120872</v>
      </c>
      <c r="AL15" s="3">
        <f>AK15</f>
        <v>8477.86473120872</v>
      </c>
    </row>
    <row r="16">
      <c r="B16" s="46" t="n">
        <v>12</v>
      </c>
      <c r="C16" s="26" t="inlineStr">
        <is>
          <t>Accounts receivable</t>
        </is>
      </c>
      <c r="D16" s="6">
        <f>IF(ISNA(MATCH(D$2,Inputs!$K$4:$AJ$4,0)),NA(),IF(SUMPRODUCT((Inputs!$A$5:$A$190=$B16)*ISNUMBER(INDEX(Inputs!$K$5:$AJ$190,0,MATCH(D$2,Inputs!$K$4:$AJ$4,0))))+SUMPRODUCT((Inputs!$C$5:$C$190=$B16)*ISNUMBER(INDEX(Inputs!$K$5:$AJ$190,0,MATCH(D$2,Inputs!$K$4:$AJ$4,0))))+SUMPRODUCT((Inputs!$E$5:$E$190=$B16)*ISNUMBER(INDEX(Inputs!$K$5:$AJ$190,0,MATCH(D$2,Inputs!$K$4:$AJ$4,0))))=0,NA(),SUMPRODUCT((Inputs!$A$5:$A$190=$B16)*Inputs!$B$5:$B$190*(((Inputs!$G$5:$G$190="moeda")+(Inputs!$G$5:$G$190="acoes"))*Inputs!$B$1+((Inputs!$G$5:$G$190&lt;&gt;"moeda")*(Inputs!$G$5:$G$190&lt;&gt;"acoes")))*INDEX(Inputs!$K$5:$AJ$190,0,MATCH(D$2,Inputs!$K$4:$AJ$4,0)))+SUMPRODUCT((Inputs!$C$5:$C$190=$B16)*Inputs!$D$5:$D$190*(((Inputs!$G$5:$G$190="moeda")+(Inputs!$G$5:$G$190="acoes"))*Inputs!$B$1+((Inputs!$G$5:$G$190&lt;&gt;"moeda")*(Inputs!$G$5:$G$190&lt;&gt;"acoes")))*INDEX(Inputs!$K$5:$AJ$190,0,MATCH(D$2,Inputs!$K$4:$AJ$4,0)))+SUMPRODUCT((Inputs!$E$5:$E$190=$B16)*Inputs!$F$5:$F$190*(((Inputs!$G$5:$G$190="moeda")+(Inputs!$G$5:$G$190="acoes"))*Inputs!$B$1+((Inputs!$G$5:$G$190&lt;&gt;"moeda")*(Inputs!$G$5:$G$190&lt;&gt;"acoes")))*INDEX(Inputs!$K$5:$AJ$190,0,MATCH(D$2,Inputs!$K$4:$AJ$4,0)))))</f>
        <v>2151.39265197933</v>
      </c>
      <c r="E16" s="6">
        <f>IF(ISNA(MATCH(E$2,Inputs!$K$4:$AJ$4,0)),NA(),IF(SUMPRODUCT((Inputs!$A$5:$A$190=$B16)*ISNUMBER(INDEX(Inputs!$K$5:$AJ$190,0,MATCH(E$2,Inputs!$K$4:$AJ$4,0))))+SUMPRODUCT((Inputs!$C$5:$C$190=$B16)*ISNUMBER(INDEX(Inputs!$K$5:$AJ$190,0,MATCH(E$2,Inputs!$K$4:$AJ$4,0))))+SUMPRODUCT((Inputs!$E$5:$E$190=$B16)*ISNUMBER(INDEX(Inputs!$K$5:$AJ$190,0,MATCH(E$2,Inputs!$K$4:$AJ$4,0))))=0,NA(),SUMPRODUCT((Inputs!$A$5:$A$190=$B16)*Inputs!$B$5:$B$190*(((Inputs!$G$5:$G$190="moeda")+(Inputs!$G$5:$G$190="acoes"))*Inputs!$B$1+((Inputs!$G$5:$G$190&lt;&gt;"moeda")*(Inputs!$G$5:$G$190&lt;&gt;"acoes")))*INDEX(Inputs!$K$5:$AJ$190,0,MATCH(E$2,Inputs!$K$4:$AJ$4,0)))+SUMPRODUCT((Inputs!$C$5:$C$190=$B16)*Inputs!$D$5:$D$190*(((Inputs!$G$5:$G$190="moeda")+(Inputs!$G$5:$G$190="acoes"))*Inputs!$B$1+((Inputs!$G$5:$G$190&lt;&gt;"moeda")*(Inputs!$G$5:$G$190&lt;&gt;"acoes")))*INDEX(Inputs!$K$5:$AJ$190,0,MATCH(E$2,Inputs!$K$4:$AJ$4,0)))+SUMPRODUCT((Inputs!$E$5:$E$190=$B16)*Inputs!$F$5:$F$190*(((Inputs!$G$5:$G$190="moeda")+(Inputs!$G$5:$G$190="acoes"))*Inputs!$B$1+((Inputs!$G$5:$G$190&lt;&gt;"moeda")*(Inputs!$G$5:$G$190&lt;&gt;"acoes")))*INDEX(Inputs!$K$5:$AJ$190,0,MATCH(E$2,Inputs!$K$4:$AJ$4,0)))))</f>
        <v>2430.89</v>
      </c>
      <c r="F16" s="6">
        <f>IF(ISNA(MATCH(F$2,Inputs!$K$4:$AJ$4,0)),NA(),IF(SUMPRODUCT((Inputs!$A$5:$A$190=$B16)*ISNUMBER(INDEX(Inputs!$K$5:$AJ$190,0,MATCH(F$2,Inputs!$K$4:$AJ$4,0))))+SUMPRODUCT((Inputs!$C$5:$C$190=$B16)*ISNUMBER(INDEX(Inputs!$K$5:$AJ$190,0,MATCH(F$2,Inputs!$K$4:$AJ$4,0))))+SUMPRODUCT((Inputs!$E$5:$E$190=$B16)*ISNUMBER(INDEX(Inputs!$K$5:$AJ$190,0,MATCH(F$2,Inputs!$K$4:$AJ$4,0))))=0,NA(),SUMPRODUCT((Inputs!$A$5:$A$190=$B16)*Inputs!$B$5:$B$190*(((Inputs!$G$5:$G$190="moeda")+(Inputs!$G$5:$G$190="acoes"))*Inputs!$B$1+((Inputs!$G$5:$G$190&lt;&gt;"moeda")*(Inputs!$G$5:$G$190&lt;&gt;"acoes")))*INDEX(Inputs!$K$5:$AJ$190,0,MATCH(F$2,Inputs!$K$4:$AJ$4,0)))+SUMPRODUCT((Inputs!$C$5:$C$190=$B16)*Inputs!$D$5:$D$190*(((Inputs!$G$5:$G$190="moeda")+(Inputs!$G$5:$G$190="acoes"))*Inputs!$B$1+((Inputs!$G$5:$G$190&lt;&gt;"moeda")*(Inputs!$G$5:$G$190&lt;&gt;"acoes")))*INDEX(Inputs!$K$5:$AJ$190,0,MATCH(F$2,Inputs!$K$4:$AJ$4,0)))+SUMPRODUCT((Inputs!$E$5:$E$190=$B16)*Inputs!$F$5:$F$190*(((Inputs!$G$5:$G$190="moeda")+(Inputs!$G$5:$G$190="acoes"))*Inputs!$B$1+((Inputs!$G$5:$G$190&lt;&gt;"moeda")*(Inputs!$G$5:$G$190&lt;&gt;"acoes")))*INDEX(Inputs!$K$5:$AJ$190,0,MATCH(F$2,Inputs!$K$4:$AJ$4,0)))))</f>
        <v>2779.127</v>
      </c>
      <c r="G16" s="6">
        <f>IF(ISNA(MATCH(G$2,Inputs!$K$4:$AJ$4,0)),NA(),IF(SUMPRODUCT((Inputs!$A$5:$A$190=$B16)*ISNUMBER(INDEX(Inputs!$K$5:$AJ$190,0,MATCH(G$2,Inputs!$K$4:$AJ$4,0))))+SUMPRODUCT((Inputs!$C$5:$C$190=$B16)*ISNUMBER(INDEX(Inputs!$K$5:$AJ$190,0,MATCH(G$2,Inputs!$K$4:$AJ$4,0))))+SUMPRODUCT((Inputs!$E$5:$E$190=$B16)*ISNUMBER(INDEX(Inputs!$K$5:$AJ$190,0,MATCH(G$2,Inputs!$K$4:$AJ$4,0))))=0,NA(),SUMPRODUCT((Inputs!$A$5:$A$190=$B16)*Inputs!$B$5:$B$190*(((Inputs!$G$5:$G$190="moeda")+(Inputs!$G$5:$G$190="acoes"))*Inputs!$B$1+((Inputs!$G$5:$G$190&lt;&gt;"moeda")*(Inputs!$G$5:$G$190&lt;&gt;"acoes")))*INDEX(Inputs!$K$5:$AJ$190,0,MATCH(G$2,Inputs!$K$4:$AJ$4,0)))+SUMPRODUCT((Inputs!$C$5:$C$190=$B16)*Inputs!$D$5:$D$190*(((Inputs!$G$5:$G$190="moeda")+(Inputs!$G$5:$G$190="acoes"))*Inputs!$B$1+((Inputs!$G$5:$G$190&lt;&gt;"moeda")*(Inputs!$G$5:$G$190&lt;&gt;"acoes")))*INDEX(Inputs!$K$5:$AJ$190,0,MATCH(G$2,Inputs!$K$4:$AJ$4,0)))+SUMPRODUCT((Inputs!$E$5:$E$190=$B16)*Inputs!$F$5:$F$190*(((Inputs!$G$5:$G$190="moeda")+(Inputs!$G$5:$G$190="acoes"))*Inputs!$B$1+((Inputs!$G$5:$G$190&lt;&gt;"moeda")*(Inputs!$G$5:$G$190&lt;&gt;"acoes")))*INDEX(Inputs!$K$5:$AJ$190,0,MATCH(G$2,Inputs!$K$4:$AJ$4,0)))))</f>
        <v>3260.329</v>
      </c>
      <c r="H16" s="3">
        <f>G16</f>
        <v>3260.329</v>
      </c>
      <c r="I16" s="6">
        <f>IF(ISNA(MATCH(I$2,Inputs!$K$4:$AJ$4,0)),NA(),IF(SUMPRODUCT((Inputs!$A$5:$A$190=$B16)*ISNUMBER(INDEX(Inputs!$K$5:$AJ$190,0,MATCH(I$2,Inputs!$K$4:$AJ$4,0))))+SUMPRODUCT((Inputs!$C$5:$C$190=$B16)*ISNUMBER(INDEX(Inputs!$K$5:$AJ$190,0,MATCH(I$2,Inputs!$K$4:$AJ$4,0))))+SUMPRODUCT((Inputs!$E$5:$E$190=$B16)*ISNUMBER(INDEX(Inputs!$K$5:$AJ$190,0,MATCH(I$2,Inputs!$K$4:$AJ$4,0))))=0,NA(),SUMPRODUCT((Inputs!$A$5:$A$190=$B16)*Inputs!$B$5:$B$190*(((Inputs!$G$5:$G$190="moeda")+(Inputs!$G$5:$G$190="acoes"))*Inputs!$B$1+((Inputs!$G$5:$G$190&lt;&gt;"moeda")*(Inputs!$G$5:$G$190&lt;&gt;"acoes")))*INDEX(Inputs!$K$5:$AJ$190,0,MATCH(I$2,Inputs!$K$4:$AJ$4,0)))+SUMPRODUCT((Inputs!$C$5:$C$190=$B16)*Inputs!$D$5:$D$190*(((Inputs!$G$5:$G$190="moeda")+(Inputs!$G$5:$G$190="acoes"))*Inputs!$B$1+((Inputs!$G$5:$G$190&lt;&gt;"moeda")*(Inputs!$G$5:$G$190&lt;&gt;"acoes")))*INDEX(Inputs!$K$5:$AJ$190,0,MATCH(I$2,Inputs!$K$4:$AJ$4,0)))+SUMPRODUCT((Inputs!$E$5:$E$190=$B16)*Inputs!$F$5:$F$190*(((Inputs!$G$5:$G$190="moeda")+(Inputs!$G$5:$G$190="acoes"))*Inputs!$B$1+((Inputs!$G$5:$G$190&lt;&gt;"moeda")*(Inputs!$G$5:$G$190&lt;&gt;"acoes")))*INDEX(Inputs!$K$5:$AJ$190,0,MATCH(I$2,Inputs!$K$4:$AJ$4,0)))))</f>
        <v>3702.988</v>
      </c>
      <c r="J16" s="6">
        <f>IF(ISNA(MATCH(J$2,Inputs!$K$4:$AJ$4,0)),NA(),IF(SUMPRODUCT((Inputs!$A$5:$A$190=$B16)*ISNUMBER(INDEX(Inputs!$K$5:$AJ$190,0,MATCH(J$2,Inputs!$K$4:$AJ$4,0))))+SUMPRODUCT((Inputs!$C$5:$C$190=$B16)*ISNUMBER(INDEX(Inputs!$K$5:$AJ$190,0,MATCH(J$2,Inputs!$K$4:$AJ$4,0))))+SUMPRODUCT((Inputs!$E$5:$E$190=$B16)*ISNUMBER(INDEX(Inputs!$K$5:$AJ$190,0,MATCH(J$2,Inputs!$K$4:$AJ$4,0))))=0,NA(),SUMPRODUCT((Inputs!$A$5:$A$190=$B16)*Inputs!$B$5:$B$190*(((Inputs!$G$5:$G$190="moeda")+(Inputs!$G$5:$G$190="acoes"))*Inputs!$B$1+((Inputs!$G$5:$G$190&lt;&gt;"moeda")*(Inputs!$G$5:$G$190&lt;&gt;"acoes")))*INDEX(Inputs!$K$5:$AJ$190,0,MATCH(J$2,Inputs!$K$4:$AJ$4,0)))+SUMPRODUCT((Inputs!$C$5:$C$190=$B16)*Inputs!$D$5:$D$190*(((Inputs!$G$5:$G$190="moeda")+(Inputs!$G$5:$G$190="acoes"))*Inputs!$B$1+((Inputs!$G$5:$G$190&lt;&gt;"moeda")*(Inputs!$G$5:$G$190&lt;&gt;"acoes")))*INDEX(Inputs!$K$5:$AJ$190,0,MATCH(J$2,Inputs!$K$4:$AJ$4,0)))+SUMPRODUCT((Inputs!$E$5:$E$190=$B16)*Inputs!$F$5:$F$190*(((Inputs!$G$5:$G$190="moeda")+(Inputs!$G$5:$G$190="acoes"))*Inputs!$B$1+((Inputs!$G$5:$G$190&lt;&gt;"moeda")*(Inputs!$G$5:$G$190&lt;&gt;"acoes")))*INDEX(Inputs!$K$5:$AJ$190,0,MATCH(J$2,Inputs!$K$4:$AJ$4,0)))))</f>
        <v>3976.906</v>
      </c>
      <c r="K16" s="6">
        <f>IF(ISNA(MATCH(K$2,Inputs!$K$4:$AJ$4,0)),NA(),IF(SUMPRODUCT((Inputs!$A$5:$A$190=$B16)*ISNUMBER(INDEX(Inputs!$K$5:$AJ$190,0,MATCH(K$2,Inputs!$K$4:$AJ$4,0))))+SUMPRODUCT((Inputs!$C$5:$C$190=$B16)*ISNUMBER(INDEX(Inputs!$K$5:$AJ$190,0,MATCH(K$2,Inputs!$K$4:$AJ$4,0))))+SUMPRODUCT((Inputs!$E$5:$E$190=$B16)*ISNUMBER(INDEX(Inputs!$K$5:$AJ$190,0,MATCH(K$2,Inputs!$K$4:$AJ$4,0))))=0,NA(),SUMPRODUCT((Inputs!$A$5:$A$190=$B16)*Inputs!$B$5:$B$190*(((Inputs!$G$5:$G$190="moeda")+(Inputs!$G$5:$G$190="acoes"))*Inputs!$B$1+((Inputs!$G$5:$G$190&lt;&gt;"moeda")*(Inputs!$G$5:$G$190&lt;&gt;"acoes")))*INDEX(Inputs!$K$5:$AJ$190,0,MATCH(K$2,Inputs!$K$4:$AJ$4,0)))+SUMPRODUCT((Inputs!$C$5:$C$190=$B16)*Inputs!$D$5:$D$190*(((Inputs!$G$5:$G$190="moeda")+(Inputs!$G$5:$G$190="acoes"))*Inputs!$B$1+((Inputs!$G$5:$G$190&lt;&gt;"moeda")*(Inputs!$G$5:$G$190&lt;&gt;"acoes")))*INDEX(Inputs!$K$5:$AJ$190,0,MATCH(K$2,Inputs!$K$4:$AJ$4,0)))+SUMPRODUCT((Inputs!$E$5:$E$190=$B16)*Inputs!$F$5:$F$190*(((Inputs!$G$5:$G$190="moeda")+(Inputs!$G$5:$G$190="acoes"))*Inputs!$B$1+((Inputs!$G$5:$G$190&lt;&gt;"moeda")*(Inputs!$G$5:$G$190&lt;&gt;"acoes")))*INDEX(Inputs!$K$5:$AJ$190,0,MATCH(K$2,Inputs!$K$4:$AJ$4,0)))))</f>
        <v>4223.848</v>
      </c>
      <c r="L16" s="6">
        <f>IF(ISNA(MATCH(L$2,Inputs!$K$4:$AJ$4,0)),NA(),IF(SUMPRODUCT((Inputs!$A$5:$A$190=$B16)*ISNUMBER(INDEX(Inputs!$K$5:$AJ$190,0,MATCH(L$2,Inputs!$K$4:$AJ$4,0))))+SUMPRODUCT((Inputs!$C$5:$C$190=$B16)*ISNUMBER(INDEX(Inputs!$K$5:$AJ$190,0,MATCH(L$2,Inputs!$K$4:$AJ$4,0))))+SUMPRODUCT((Inputs!$E$5:$E$190=$B16)*ISNUMBER(INDEX(Inputs!$K$5:$AJ$190,0,MATCH(L$2,Inputs!$K$4:$AJ$4,0))))=0,NA(),SUMPRODUCT((Inputs!$A$5:$A$190=$B16)*Inputs!$B$5:$B$190*(((Inputs!$G$5:$G$190="moeda")+(Inputs!$G$5:$G$190="acoes"))*Inputs!$B$1+((Inputs!$G$5:$G$190&lt;&gt;"moeda")*(Inputs!$G$5:$G$190&lt;&gt;"acoes")))*INDEX(Inputs!$K$5:$AJ$190,0,MATCH(L$2,Inputs!$K$4:$AJ$4,0)))+SUMPRODUCT((Inputs!$C$5:$C$190=$B16)*Inputs!$D$5:$D$190*(((Inputs!$G$5:$G$190="moeda")+(Inputs!$G$5:$G$190="acoes"))*Inputs!$B$1+((Inputs!$G$5:$G$190&lt;&gt;"moeda")*(Inputs!$G$5:$G$190&lt;&gt;"acoes")))*INDEX(Inputs!$K$5:$AJ$190,0,MATCH(L$2,Inputs!$K$4:$AJ$4,0)))+SUMPRODUCT((Inputs!$E$5:$E$190=$B16)*Inputs!$F$5:$F$190*(((Inputs!$G$5:$G$190="moeda")+(Inputs!$G$5:$G$190="acoes"))*Inputs!$B$1+((Inputs!$G$5:$G$190&lt;&gt;"moeda")*(Inputs!$G$5:$G$190&lt;&gt;"acoes")))*INDEX(Inputs!$K$5:$AJ$190,0,MATCH(L$2,Inputs!$K$4:$AJ$4,0)))))</f>
        <v>4433.345</v>
      </c>
      <c r="M16" s="3">
        <f>L16</f>
        <v>4433.345</v>
      </c>
      <c r="N16" s="6">
        <f>IF(ISNA(MATCH(N$2,Inputs!$K$4:$AJ$4,0)),NA(),IF(SUMPRODUCT((Inputs!$A$5:$A$190=$B16)*ISNUMBER(INDEX(Inputs!$K$5:$AJ$190,0,MATCH(N$2,Inputs!$K$4:$AJ$4,0))))+SUMPRODUCT((Inputs!$C$5:$C$190=$B16)*ISNUMBER(INDEX(Inputs!$K$5:$AJ$190,0,MATCH(N$2,Inputs!$K$4:$AJ$4,0))))+SUMPRODUCT((Inputs!$E$5:$E$190=$B16)*ISNUMBER(INDEX(Inputs!$K$5:$AJ$190,0,MATCH(N$2,Inputs!$K$4:$AJ$4,0))))=0,NA(),SUMPRODUCT((Inputs!$A$5:$A$190=$B16)*Inputs!$B$5:$B$190*(((Inputs!$G$5:$G$190="moeda")+(Inputs!$G$5:$G$190="acoes"))*Inputs!$B$1+((Inputs!$G$5:$G$190&lt;&gt;"moeda")*(Inputs!$G$5:$G$190&lt;&gt;"acoes")))*INDEX(Inputs!$K$5:$AJ$190,0,MATCH(N$2,Inputs!$K$4:$AJ$4,0)))+SUMPRODUCT((Inputs!$C$5:$C$190=$B16)*Inputs!$D$5:$D$190*(((Inputs!$G$5:$G$190="moeda")+(Inputs!$G$5:$G$190="acoes"))*Inputs!$B$1+((Inputs!$G$5:$G$190&lt;&gt;"moeda")*(Inputs!$G$5:$G$190&lt;&gt;"acoes")))*INDEX(Inputs!$K$5:$AJ$190,0,MATCH(N$2,Inputs!$K$4:$AJ$4,0)))+SUMPRODUCT((Inputs!$E$5:$E$190=$B16)*Inputs!$F$5:$F$190*(((Inputs!$G$5:$G$190="moeda")+(Inputs!$G$5:$G$190="acoes"))*Inputs!$B$1+((Inputs!$G$5:$G$190&lt;&gt;"moeda")*(Inputs!$G$5:$G$190&lt;&gt;"acoes")))*INDEX(Inputs!$K$5:$AJ$190,0,MATCH(N$2,Inputs!$K$4:$AJ$4,0)))))</f>
        <v>4794.60207892478</v>
      </c>
      <c r="O16" s="6">
        <f>IF(ISNA(MATCH(O$2,Inputs!$K$4:$AJ$4,0)),NA(),IF(SUMPRODUCT((Inputs!$A$5:$A$190=$B16)*ISNUMBER(INDEX(Inputs!$K$5:$AJ$190,0,MATCH(O$2,Inputs!$K$4:$AJ$4,0))))+SUMPRODUCT((Inputs!$C$5:$C$190=$B16)*ISNUMBER(INDEX(Inputs!$K$5:$AJ$190,0,MATCH(O$2,Inputs!$K$4:$AJ$4,0))))+SUMPRODUCT((Inputs!$E$5:$E$190=$B16)*ISNUMBER(INDEX(Inputs!$K$5:$AJ$190,0,MATCH(O$2,Inputs!$K$4:$AJ$4,0))))=0,NA(),SUMPRODUCT((Inputs!$A$5:$A$190=$B16)*Inputs!$B$5:$B$190*(((Inputs!$G$5:$G$190="moeda")+(Inputs!$G$5:$G$190="acoes"))*Inputs!$B$1+((Inputs!$G$5:$G$190&lt;&gt;"moeda")*(Inputs!$G$5:$G$190&lt;&gt;"acoes")))*INDEX(Inputs!$K$5:$AJ$190,0,MATCH(O$2,Inputs!$K$4:$AJ$4,0)))+SUMPRODUCT((Inputs!$C$5:$C$190=$B16)*Inputs!$D$5:$D$190*(((Inputs!$G$5:$G$190="moeda")+(Inputs!$G$5:$G$190="acoes"))*Inputs!$B$1+((Inputs!$G$5:$G$190&lt;&gt;"moeda")*(Inputs!$G$5:$G$190&lt;&gt;"acoes")))*INDEX(Inputs!$K$5:$AJ$190,0,MATCH(O$2,Inputs!$K$4:$AJ$4,0)))+SUMPRODUCT((Inputs!$E$5:$E$190=$B16)*Inputs!$F$5:$F$190*(((Inputs!$G$5:$G$190="moeda")+(Inputs!$G$5:$G$190="acoes"))*Inputs!$B$1+((Inputs!$G$5:$G$190&lt;&gt;"moeda")*(Inputs!$G$5:$G$190&lt;&gt;"acoes")))*INDEX(Inputs!$K$5:$AJ$190,0,MATCH(O$2,Inputs!$K$4:$AJ$4,0)))))</f>
        <v>5221.96830285793</v>
      </c>
      <c r="P16" s="6">
        <f>IF(ISNA(MATCH(P$2,Inputs!$K$4:$AJ$4,0)),NA(),IF(SUMPRODUCT((Inputs!$A$5:$A$190=$B16)*ISNUMBER(INDEX(Inputs!$K$5:$AJ$190,0,MATCH(P$2,Inputs!$K$4:$AJ$4,0))))+SUMPRODUCT((Inputs!$C$5:$C$190=$B16)*ISNUMBER(INDEX(Inputs!$K$5:$AJ$190,0,MATCH(P$2,Inputs!$K$4:$AJ$4,0))))+SUMPRODUCT((Inputs!$E$5:$E$190=$B16)*ISNUMBER(INDEX(Inputs!$K$5:$AJ$190,0,MATCH(P$2,Inputs!$K$4:$AJ$4,0))))=0,NA(),SUMPRODUCT((Inputs!$A$5:$A$190=$B16)*Inputs!$B$5:$B$190*(((Inputs!$G$5:$G$190="moeda")+(Inputs!$G$5:$G$190="acoes"))*Inputs!$B$1+((Inputs!$G$5:$G$190&lt;&gt;"moeda")*(Inputs!$G$5:$G$190&lt;&gt;"acoes")))*INDEX(Inputs!$K$5:$AJ$190,0,MATCH(P$2,Inputs!$K$4:$AJ$4,0)))+SUMPRODUCT((Inputs!$C$5:$C$190=$B16)*Inputs!$D$5:$D$190*(((Inputs!$G$5:$G$190="moeda")+(Inputs!$G$5:$G$190="acoes"))*Inputs!$B$1+((Inputs!$G$5:$G$190&lt;&gt;"moeda")*(Inputs!$G$5:$G$190&lt;&gt;"acoes")))*INDEX(Inputs!$K$5:$AJ$190,0,MATCH(P$2,Inputs!$K$4:$AJ$4,0)))+SUMPRODUCT((Inputs!$E$5:$E$190=$B16)*Inputs!$F$5:$F$190*(((Inputs!$G$5:$G$190="moeda")+(Inputs!$G$5:$G$190="acoes"))*Inputs!$B$1+((Inputs!$G$5:$G$190&lt;&gt;"moeda")*(Inputs!$G$5:$G$190&lt;&gt;"acoes")))*INDEX(Inputs!$K$5:$AJ$190,0,MATCH(P$2,Inputs!$K$4:$AJ$4,0)))))</f>
        <v>5708.64076707149</v>
      </c>
      <c r="Q16" s="6">
        <f>IF(ISNA(MATCH(Q$2,Inputs!$K$4:$AJ$4,0)),NA(),IF(SUMPRODUCT((Inputs!$A$5:$A$190=$B16)*ISNUMBER(INDEX(Inputs!$K$5:$AJ$190,0,MATCH(Q$2,Inputs!$K$4:$AJ$4,0))))+SUMPRODUCT((Inputs!$C$5:$C$190=$B16)*ISNUMBER(INDEX(Inputs!$K$5:$AJ$190,0,MATCH(Q$2,Inputs!$K$4:$AJ$4,0))))+SUMPRODUCT((Inputs!$E$5:$E$190=$B16)*ISNUMBER(INDEX(Inputs!$K$5:$AJ$190,0,MATCH(Q$2,Inputs!$K$4:$AJ$4,0))))=0,NA(),SUMPRODUCT((Inputs!$A$5:$A$190=$B16)*Inputs!$B$5:$B$190*(((Inputs!$G$5:$G$190="moeda")+(Inputs!$G$5:$G$190="acoes"))*Inputs!$B$1+((Inputs!$G$5:$G$190&lt;&gt;"moeda")*(Inputs!$G$5:$G$190&lt;&gt;"acoes")))*INDEX(Inputs!$K$5:$AJ$190,0,MATCH(Q$2,Inputs!$K$4:$AJ$4,0)))+SUMPRODUCT((Inputs!$C$5:$C$190=$B16)*Inputs!$D$5:$D$190*(((Inputs!$G$5:$G$190="moeda")+(Inputs!$G$5:$G$190="acoes"))*Inputs!$B$1+((Inputs!$G$5:$G$190&lt;&gt;"moeda")*(Inputs!$G$5:$G$190&lt;&gt;"acoes")))*INDEX(Inputs!$K$5:$AJ$190,0,MATCH(Q$2,Inputs!$K$4:$AJ$4,0)))+SUMPRODUCT((Inputs!$E$5:$E$190=$B16)*Inputs!$F$5:$F$190*(((Inputs!$G$5:$G$190="moeda")+(Inputs!$G$5:$G$190="acoes"))*Inputs!$B$1+((Inputs!$G$5:$G$190&lt;&gt;"moeda")*(Inputs!$G$5:$G$190&lt;&gt;"acoes")))*INDEX(Inputs!$K$5:$AJ$190,0,MATCH(Q$2,Inputs!$K$4:$AJ$4,0)))))</f>
        <v>5106.68016746079</v>
      </c>
      <c r="R16" s="3">
        <f>Q16</f>
        <v>5106.68016746079</v>
      </c>
      <c r="S16" s="6">
        <f>IF(ISNA(MATCH(S$2,Inputs!$K$4:$AJ$4,0)),NA(),IF(SUMPRODUCT((Inputs!$A$5:$A$190=$B16)*ISNUMBER(INDEX(Inputs!$K$5:$AJ$190,0,MATCH(S$2,Inputs!$K$4:$AJ$4,0))))+SUMPRODUCT((Inputs!$C$5:$C$190=$B16)*ISNUMBER(INDEX(Inputs!$K$5:$AJ$190,0,MATCH(S$2,Inputs!$K$4:$AJ$4,0))))+SUMPRODUCT((Inputs!$E$5:$E$190=$B16)*ISNUMBER(INDEX(Inputs!$K$5:$AJ$190,0,MATCH(S$2,Inputs!$K$4:$AJ$4,0))))=0,NA(),SUMPRODUCT((Inputs!$A$5:$A$190=$B16)*Inputs!$B$5:$B$190*(((Inputs!$G$5:$G$190="moeda")+(Inputs!$G$5:$G$190="acoes"))*Inputs!$B$1+((Inputs!$G$5:$G$190&lt;&gt;"moeda")*(Inputs!$G$5:$G$190&lt;&gt;"acoes")))*INDEX(Inputs!$K$5:$AJ$190,0,MATCH(S$2,Inputs!$K$4:$AJ$4,0)))+SUMPRODUCT((Inputs!$C$5:$C$190=$B16)*Inputs!$D$5:$D$190*(((Inputs!$G$5:$G$190="moeda")+(Inputs!$G$5:$G$190="acoes"))*Inputs!$B$1+((Inputs!$G$5:$G$190&lt;&gt;"moeda")*(Inputs!$G$5:$G$190&lt;&gt;"acoes")))*INDEX(Inputs!$K$5:$AJ$190,0,MATCH(S$2,Inputs!$K$4:$AJ$4,0)))+SUMPRODUCT((Inputs!$E$5:$E$190=$B16)*Inputs!$F$5:$F$190*(((Inputs!$G$5:$G$190="moeda")+(Inputs!$G$5:$G$190="acoes"))*Inputs!$B$1+((Inputs!$G$5:$G$190&lt;&gt;"moeda")*(Inputs!$G$5:$G$190&lt;&gt;"acoes")))*INDEX(Inputs!$K$5:$AJ$190,0,MATCH(S$2,Inputs!$K$4:$AJ$4,0)))))</f>
        <v>5418.71273677048</v>
      </c>
      <c r="T16" s="6">
        <f>IF(ISNA(MATCH(T$2,Inputs!$K$4:$AJ$4,0)),NA(),IF(SUMPRODUCT((Inputs!$A$5:$A$190=$B16)*ISNUMBER(INDEX(Inputs!$K$5:$AJ$190,0,MATCH(T$2,Inputs!$K$4:$AJ$4,0))))+SUMPRODUCT((Inputs!$C$5:$C$190=$B16)*ISNUMBER(INDEX(Inputs!$K$5:$AJ$190,0,MATCH(T$2,Inputs!$K$4:$AJ$4,0))))+SUMPRODUCT((Inputs!$E$5:$E$190=$B16)*ISNUMBER(INDEX(Inputs!$K$5:$AJ$190,0,MATCH(T$2,Inputs!$K$4:$AJ$4,0))))=0,NA(),SUMPRODUCT((Inputs!$A$5:$A$190=$B16)*Inputs!$B$5:$B$190*(((Inputs!$G$5:$G$190="moeda")+(Inputs!$G$5:$G$190="acoes"))*Inputs!$B$1+((Inputs!$G$5:$G$190&lt;&gt;"moeda")*(Inputs!$G$5:$G$190&lt;&gt;"acoes")))*INDEX(Inputs!$K$5:$AJ$190,0,MATCH(T$2,Inputs!$K$4:$AJ$4,0)))+SUMPRODUCT((Inputs!$C$5:$C$190=$B16)*Inputs!$D$5:$D$190*(((Inputs!$G$5:$G$190="moeda")+(Inputs!$G$5:$G$190="acoes"))*Inputs!$B$1+((Inputs!$G$5:$G$190&lt;&gt;"moeda")*(Inputs!$G$5:$G$190&lt;&gt;"acoes")))*INDEX(Inputs!$K$5:$AJ$190,0,MATCH(T$2,Inputs!$K$4:$AJ$4,0)))+SUMPRODUCT((Inputs!$E$5:$E$190=$B16)*Inputs!$F$5:$F$190*(((Inputs!$G$5:$G$190="moeda")+(Inputs!$G$5:$G$190="acoes"))*Inputs!$B$1+((Inputs!$G$5:$G$190&lt;&gt;"moeda")*(Inputs!$G$5:$G$190&lt;&gt;"acoes")))*INDEX(Inputs!$K$5:$AJ$190,0,MATCH(T$2,Inputs!$K$4:$AJ$4,0)))))</f>
        <v>5801.98116487911</v>
      </c>
      <c r="U16" s="6">
        <f>IF(ISNA(MATCH(U$2,Inputs!$K$4:$AJ$4,0)),NA(),IF(SUMPRODUCT((Inputs!$A$5:$A$190=$B16)*ISNUMBER(INDEX(Inputs!$K$5:$AJ$190,0,MATCH(U$2,Inputs!$K$4:$AJ$4,0))))+SUMPRODUCT((Inputs!$C$5:$C$190=$B16)*ISNUMBER(INDEX(Inputs!$K$5:$AJ$190,0,MATCH(U$2,Inputs!$K$4:$AJ$4,0))))+SUMPRODUCT((Inputs!$E$5:$E$190=$B16)*ISNUMBER(INDEX(Inputs!$K$5:$AJ$190,0,MATCH(U$2,Inputs!$K$4:$AJ$4,0))))=0,NA(),SUMPRODUCT((Inputs!$A$5:$A$190=$B16)*Inputs!$B$5:$B$190*(((Inputs!$G$5:$G$190="moeda")+(Inputs!$G$5:$G$190="acoes"))*Inputs!$B$1+((Inputs!$G$5:$G$190&lt;&gt;"moeda")*(Inputs!$G$5:$G$190&lt;&gt;"acoes")))*INDEX(Inputs!$K$5:$AJ$190,0,MATCH(U$2,Inputs!$K$4:$AJ$4,0)))+SUMPRODUCT((Inputs!$C$5:$C$190=$B16)*Inputs!$D$5:$D$190*(((Inputs!$G$5:$G$190="moeda")+(Inputs!$G$5:$G$190="acoes"))*Inputs!$B$1+((Inputs!$G$5:$G$190&lt;&gt;"moeda")*(Inputs!$G$5:$G$190&lt;&gt;"acoes")))*INDEX(Inputs!$K$5:$AJ$190,0,MATCH(U$2,Inputs!$K$4:$AJ$4,0)))+SUMPRODUCT((Inputs!$E$5:$E$190=$B16)*Inputs!$F$5:$F$190*(((Inputs!$G$5:$G$190="moeda")+(Inputs!$G$5:$G$190="acoes"))*Inputs!$B$1+((Inputs!$G$5:$G$190&lt;&gt;"moeda")*(Inputs!$G$5:$G$190&lt;&gt;"acoes")))*INDEX(Inputs!$K$5:$AJ$190,0,MATCH(U$2,Inputs!$K$4:$AJ$4,0)))))</f>
        <v>6344.78478163993</v>
      </c>
      <c r="V16" s="6">
        <f>IF(ISNA(MATCH(V$2,Inputs!$K$4:$AJ$4,0)),NA(),IF(SUMPRODUCT((Inputs!$A$5:$A$190=$B16)*ISNUMBER(INDEX(Inputs!$K$5:$AJ$190,0,MATCH(V$2,Inputs!$K$4:$AJ$4,0))))+SUMPRODUCT((Inputs!$C$5:$C$190=$B16)*ISNUMBER(INDEX(Inputs!$K$5:$AJ$190,0,MATCH(V$2,Inputs!$K$4:$AJ$4,0))))+SUMPRODUCT((Inputs!$E$5:$E$190=$B16)*ISNUMBER(INDEX(Inputs!$K$5:$AJ$190,0,MATCH(V$2,Inputs!$K$4:$AJ$4,0))))=0,NA(),SUMPRODUCT((Inputs!$A$5:$A$190=$B16)*Inputs!$B$5:$B$190*(((Inputs!$G$5:$G$190="moeda")+(Inputs!$G$5:$G$190="acoes"))*Inputs!$B$1+((Inputs!$G$5:$G$190&lt;&gt;"moeda")*(Inputs!$G$5:$G$190&lt;&gt;"acoes")))*INDEX(Inputs!$K$5:$AJ$190,0,MATCH(V$2,Inputs!$K$4:$AJ$4,0)))+SUMPRODUCT((Inputs!$C$5:$C$190=$B16)*Inputs!$D$5:$D$190*(((Inputs!$G$5:$G$190="moeda")+(Inputs!$G$5:$G$190="acoes"))*Inputs!$B$1+((Inputs!$G$5:$G$190&lt;&gt;"moeda")*(Inputs!$G$5:$G$190&lt;&gt;"acoes")))*INDEX(Inputs!$K$5:$AJ$190,0,MATCH(V$2,Inputs!$K$4:$AJ$4,0)))+SUMPRODUCT((Inputs!$E$5:$E$190=$B16)*Inputs!$F$5:$F$190*(((Inputs!$G$5:$G$190="moeda")+(Inputs!$G$5:$G$190="acoes"))*Inputs!$B$1+((Inputs!$G$5:$G$190&lt;&gt;"moeda")*(Inputs!$G$5:$G$190&lt;&gt;"acoes")))*INDEX(Inputs!$K$5:$AJ$190,0,MATCH(V$2,Inputs!$K$4:$AJ$4,0)))))</f>
        <v>6051.44102391</v>
      </c>
      <c r="W16" s="3">
        <f>V16</f>
        <v>6051.44102391</v>
      </c>
      <c r="X16" s="6">
        <f>IF(ISNA(MATCH(X$2,Inputs!$K$4:$AJ$4,0)),NA(),IF(SUMPRODUCT((Inputs!$A$5:$A$190=$B16)*ISNUMBER(INDEX(Inputs!$K$5:$AJ$190,0,MATCH(X$2,Inputs!$K$4:$AJ$4,0))))+SUMPRODUCT((Inputs!$C$5:$C$190=$B16)*ISNUMBER(INDEX(Inputs!$K$5:$AJ$190,0,MATCH(X$2,Inputs!$K$4:$AJ$4,0))))+SUMPRODUCT((Inputs!$E$5:$E$190=$B16)*ISNUMBER(INDEX(Inputs!$K$5:$AJ$190,0,MATCH(X$2,Inputs!$K$4:$AJ$4,0))))=0,NA(),SUMPRODUCT((Inputs!$A$5:$A$190=$B16)*Inputs!$B$5:$B$190*(((Inputs!$G$5:$G$190="moeda")+(Inputs!$G$5:$G$190="acoes"))*Inputs!$B$1+((Inputs!$G$5:$G$190&lt;&gt;"moeda")*(Inputs!$G$5:$G$190&lt;&gt;"acoes")))*INDEX(Inputs!$K$5:$AJ$190,0,MATCH(X$2,Inputs!$K$4:$AJ$4,0)))+SUMPRODUCT((Inputs!$C$5:$C$190=$B16)*Inputs!$D$5:$D$190*(((Inputs!$G$5:$G$190="moeda")+(Inputs!$G$5:$G$190="acoes"))*Inputs!$B$1+((Inputs!$G$5:$G$190&lt;&gt;"moeda")*(Inputs!$G$5:$G$190&lt;&gt;"acoes")))*INDEX(Inputs!$K$5:$AJ$190,0,MATCH(X$2,Inputs!$K$4:$AJ$4,0)))+SUMPRODUCT((Inputs!$E$5:$E$190=$B16)*Inputs!$F$5:$F$190*(((Inputs!$G$5:$G$190="moeda")+(Inputs!$G$5:$G$190="acoes"))*Inputs!$B$1+((Inputs!$G$5:$G$190&lt;&gt;"moeda")*(Inputs!$G$5:$G$190&lt;&gt;"acoes")))*INDEX(Inputs!$K$5:$AJ$190,0,MATCH(X$2,Inputs!$K$4:$AJ$4,0)))))</f>
        <v>6817.36007656</v>
      </c>
      <c r="Y16" s="6">
        <f>IF(ISNA(MATCH(Y$2,Inputs!$K$4:$AJ$4,0)),NA(),IF(SUMPRODUCT((Inputs!$A$5:$A$190=$B16)*ISNUMBER(INDEX(Inputs!$K$5:$AJ$190,0,MATCH(Y$2,Inputs!$K$4:$AJ$4,0))))+SUMPRODUCT((Inputs!$C$5:$C$190=$B16)*ISNUMBER(INDEX(Inputs!$K$5:$AJ$190,0,MATCH(Y$2,Inputs!$K$4:$AJ$4,0))))+SUMPRODUCT((Inputs!$E$5:$E$190=$B16)*ISNUMBER(INDEX(Inputs!$K$5:$AJ$190,0,MATCH(Y$2,Inputs!$K$4:$AJ$4,0))))=0,NA(),SUMPRODUCT((Inputs!$A$5:$A$190=$B16)*Inputs!$B$5:$B$190*(((Inputs!$G$5:$G$190="moeda")+(Inputs!$G$5:$G$190="acoes"))*Inputs!$B$1+((Inputs!$G$5:$G$190&lt;&gt;"moeda")*(Inputs!$G$5:$G$190&lt;&gt;"acoes")))*INDEX(Inputs!$K$5:$AJ$190,0,MATCH(Y$2,Inputs!$K$4:$AJ$4,0)))+SUMPRODUCT((Inputs!$C$5:$C$190=$B16)*Inputs!$D$5:$D$190*(((Inputs!$G$5:$G$190="moeda")+(Inputs!$G$5:$G$190="acoes"))*Inputs!$B$1+((Inputs!$G$5:$G$190&lt;&gt;"moeda")*(Inputs!$G$5:$G$190&lt;&gt;"acoes")))*INDEX(Inputs!$K$5:$AJ$190,0,MATCH(Y$2,Inputs!$K$4:$AJ$4,0)))+SUMPRODUCT((Inputs!$E$5:$E$190=$B16)*Inputs!$F$5:$F$190*(((Inputs!$G$5:$G$190="moeda")+(Inputs!$G$5:$G$190="acoes"))*Inputs!$B$1+((Inputs!$G$5:$G$190&lt;&gt;"moeda")*(Inputs!$G$5:$G$190&lt;&gt;"acoes")))*INDEX(Inputs!$K$5:$AJ$190,0,MATCH(Y$2,Inputs!$K$4:$AJ$4,0)))))</f>
        <v>7493.70215503</v>
      </c>
      <c r="Z16" s="6">
        <f>IF(ISNA(MATCH(Z$2,Inputs!$K$4:$AJ$4,0)),NA(),IF(SUMPRODUCT((Inputs!$A$5:$A$190=$B16)*ISNUMBER(INDEX(Inputs!$K$5:$AJ$190,0,MATCH(Z$2,Inputs!$K$4:$AJ$4,0))))+SUMPRODUCT((Inputs!$C$5:$C$190=$B16)*ISNUMBER(INDEX(Inputs!$K$5:$AJ$190,0,MATCH(Z$2,Inputs!$K$4:$AJ$4,0))))+SUMPRODUCT((Inputs!$E$5:$E$190=$B16)*ISNUMBER(INDEX(Inputs!$K$5:$AJ$190,0,MATCH(Z$2,Inputs!$K$4:$AJ$4,0))))=0,NA(),SUMPRODUCT((Inputs!$A$5:$A$190=$B16)*Inputs!$B$5:$B$190*(((Inputs!$G$5:$G$190="moeda")+(Inputs!$G$5:$G$190="acoes"))*Inputs!$B$1+((Inputs!$G$5:$G$190&lt;&gt;"moeda")*(Inputs!$G$5:$G$190&lt;&gt;"acoes")))*INDEX(Inputs!$K$5:$AJ$190,0,MATCH(Z$2,Inputs!$K$4:$AJ$4,0)))+SUMPRODUCT((Inputs!$C$5:$C$190=$B16)*Inputs!$D$5:$D$190*(((Inputs!$G$5:$G$190="moeda")+(Inputs!$G$5:$G$190="acoes"))*Inputs!$B$1+((Inputs!$G$5:$G$190&lt;&gt;"moeda")*(Inputs!$G$5:$G$190&lt;&gt;"acoes")))*INDEX(Inputs!$K$5:$AJ$190,0,MATCH(Z$2,Inputs!$K$4:$AJ$4,0)))+SUMPRODUCT((Inputs!$E$5:$E$190=$B16)*Inputs!$F$5:$F$190*(((Inputs!$G$5:$G$190="moeda")+(Inputs!$G$5:$G$190="acoes"))*Inputs!$B$1+((Inputs!$G$5:$G$190&lt;&gt;"moeda")*(Inputs!$G$5:$G$190&lt;&gt;"acoes")))*INDEX(Inputs!$K$5:$AJ$190,0,MATCH(Z$2,Inputs!$K$4:$AJ$4,0)))))</f>
        <v>7771.08104948</v>
      </c>
      <c r="AA16" s="6">
        <f>IF(ISNA(MATCH(AA$2,Inputs!$K$4:$AJ$4,0)),NA(),IF(SUMPRODUCT((Inputs!$A$5:$A$190=$B16)*ISNUMBER(INDEX(Inputs!$K$5:$AJ$190,0,MATCH(AA$2,Inputs!$K$4:$AJ$4,0))))+SUMPRODUCT((Inputs!$C$5:$C$190=$B16)*ISNUMBER(INDEX(Inputs!$K$5:$AJ$190,0,MATCH(AA$2,Inputs!$K$4:$AJ$4,0))))+SUMPRODUCT((Inputs!$E$5:$E$190=$B16)*ISNUMBER(INDEX(Inputs!$K$5:$AJ$190,0,MATCH(AA$2,Inputs!$K$4:$AJ$4,0))))=0,NA(),SUMPRODUCT((Inputs!$A$5:$A$190=$B16)*Inputs!$B$5:$B$190*(((Inputs!$G$5:$G$190="moeda")+(Inputs!$G$5:$G$190="acoes"))*Inputs!$B$1+((Inputs!$G$5:$G$190&lt;&gt;"moeda")*(Inputs!$G$5:$G$190&lt;&gt;"acoes")))*INDEX(Inputs!$K$5:$AJ$190,0,MATCH(AA$2,Inputs!$K$4:$AJ$4,0)))+SUMPRODUCT((Inputs!$C$5:$C$190=$B16)*Inputs!$D$5:$D$190*(((Inputs!$G$5:$G$190="moeda")+(Inputs!$G$5:$G$190="acoes"))*Inputs!$B$1+((Inputs!$G$5:$G$190&lt;&gt;"moeda")*(Inputs!$G$5:$G$190&lt;&gt;"acoes")))*INDEX(Inputs!$K$5:$AJ$190,0,MATCH(AA$2,Inputs!$K$4:$AJ$4,0)))+SUMPRODUCT((Inputs!$E$5:$E$190=$B16)*Inputs!$F$5:$F$190*(((Inputs!$G$5:$G$190="moeda")+(Inputs!$G$5:$G$190="acoes"))*Inputs!$B$1+((Inputs!$G$5:$G$190&lt;&gt;"moeda")*(Inputs!$G$5:$G$190&lt;&gt;"acoes")))*INDEX(Inputs!$K$5:$AJ$190,0,MATCH(AA$2,Inputs!$K$4:$AJ$4,0)))))</f>
        <v>7614.79769078</v>
      </c>
      <c r="AB16" s="3">
        <f>AA16</f>
        <v>7614.79769078</v>
      </c>
      <c r="AC16" s="6">
        <f>IF(ISNA(MATCH(AC$2,Inputs!$K$4:$AJ$4,0)),NA(),IF(SUMPRODUCT((Inputs!$A$5:$A$190=$B16)*ISNUMBER(INDEX(Inputs!$K$5:$AJ$190,0,MATCH(AC$2,Inputs!$K$4:$AJ$4,0))))+SUMPRODUCT((Inputs!$C$5:$C$190=$B16)*ISNUMBER(INDEX(Inputs!$K$5:$AJ$190,0,MATCH(AC$2,Inputs!$K$4:$AJ$4,0))))+SUMPRODUCT((Inputs!$E$5:$E$190=$B16)*ISNUMBER(INDEX(Inputs!$K$5:$AJ$190,0,MATCH(AC$2,Inputs!$K$4:$AJ$4,0))))=0,NA(),SUMPRODUCT((Inputs!$A$5:$A$190=$B16)*Inputs!$B$5:$B$190*(((Inputs!$G$5:$G$190="moeda")+(Inputs!$G$5:$G$190="acoes"))*Inputs!$B$1+((Inputs!$G$5:$G$190&lt;&gt;"moeda")*(Inputs!$G$5:$G$190&lt;&gt;"acoes")))*INDEX(Inputs!$K$5:$AJ$190,0,MATCH(AC$2,Inputs!$K$4:$AJ$4,0)))+SUMPRODUCT((Inputs!$C$5:$C$190=$B16)*Inputs!$D$5:$D$190*(((Inputs!$G$5:$G$190="moeda")+(Inputs!$G$5:$G$190="acoes"))*Inputs!$B$1+((Inputs!$G$5:$G$190&lt;&gt;"moeda")*(Inputs!$G$5:$G$190&lt;&gt;"acoes")))*INDEX(Inputs!$K$5:$AJ$190,0,MATCH(AC$2,Inputs!$K$4:$AJ$4,0)))+SUMPRODUCT((Inputs!$E$5:$E$190=$B16)*Inputs!$F$5:$F$190*(((Inputs!$G$5:$G$190="moeda")+(Inputs!$G$5:$G$190="acoes"))*Inputs!$B$1+((Inputs!$G$5:$G$190&lt;&gt;"moeda")*(Inputs!$G$5:$G$190&lt;&gt;"acoes")))*INDEX(Inputs!$K$5:$AJ$190,0,MATCH(AC$2,Inputs!$K$4:$AJ$4,0)))))</f>
        <v>7759.61530065</v>
      </c>
      <c r="AD16" s="6">
        <f>IF(ISNA(MATCH(AD$2,Inputs!$K$4:$AJ$4,0)),NA(),IF(SUMPRODUCT((Inputs!$A$5:$A$190=$B16)*ISNUMBER(INDEX(Inputs!$K$5:$AJ$190,0,MATCH(AD$2,Inputs!$K$4:$AJ$4,0))))+SUMPRODUCT((Inputs!$C$5:$C$190=$B16)*ISNUMBER(INDEX(Inputs!$K$5:$AJ$190,0,MATCH(AD$2,Inputs!$K$4:$AJ$4,0))))+SUMPRODUCT((Inputs!$E$5:$E$190=$B16)*ISNUMBER(INDEX(Inputs!$K$5:$AJ$190,0,MATCH(AD$2,Inputs!$K$4:$AJ$4,0))))=0,NA(),SUMPRODUCT((Inputs!$A$5:$A$190=$B16)*Inputs!$B$5:$B$190*(((Inputs!$G$5:$G$190="moeda")+(Inputs!$G$5:$G$190="acoes"))*Inputs!$B$1+((Inputs!$G$5:$G$190&lt;&gt;"moeda")*(Inputs!$G$5:$G$190&lt;&gt;"acoes")))*INDEX(Inputs!$K$5:$AJ$190,0,MATCH(AD$2,Inputs!$K$4:$AJ$4,0)))+SUMPRODUCT((Inputs!$C$5:$C$190=$B16)*Inputs!$D$5:$D$190*(((Inputs!$G$5:$G$190="moeda")+(Inputs!$G$5:$G$190="acoes"))*Inputs!$B$1+((Inputs!$G$5:$G$190&lt;&gt;"moeda")*(Inputs!$G$5:$G$190&lt;&gt;"acoes")))*INDEX(Inputs!$K$5:$AJ$190,0,MATCH(AD$2,Inputs!$K$4:$AJ$4,0)))+SUMPRODUCT((Inputs!$E$5:$E$190=$B16)*Inputs!$F$5:$F$190*(((Inputs!$G$5:$G$190="moeda")+(Inputs!$G$5:$G$190="acoes"))*Inputs!$B$1+((Inputs!$G$5:$G$190&lt;&gt;"moeda")*(Inputs!$G$5:$G$190&lt;&gt;"acoes")))*INDEX(Inputs!$K$5:$AJ$190,0,MATCH(AD$2,Inputs!$K$4:$AJ$4,0)))))</f>
        <v>8715.74125397</v>
      </c>
      <c r="AE16" s="6" t="e">
        <f>IF(ISNA(MATCH(AE$2,Inputs!$K$4:$AJ$4,0)),NA(),IF(SUMPRODUCT((Inputs!$A$5:$A$190=$B16)*ISNUMBER(INDEX(Inputs!$K$5:$AJ$190,0,MATCH(AE$2,Inputs!$K$4:$AJ$4,0))))+SUMPRODUCT((Inputs!$C$5:$C$190=$B16)*ISNUMBER(INDEX(Inputs!$K$5:$AJ$190,0,MATCH(AE$2,Inputs!$K$4:$AJ$4,0))))+SUMPRODUCT((Inputs!$E$5:$E$190=$B16)*ISNUMBER(INDEX(Inputs!$K$5:$AJ$190,0,MATCH(AE$2,Inputs!$K$4:$AJ$4,0))))=0,NA(),SUMPRODUCT((Inputs!$A$5:$A$190=$B16)*Inputs!$B$5:$B$190*(((Inputs!$G$5:$G$190="moeda")+(Inputs!$G$5:$G$190="acoes"))*Inputs!$B$1+((Inputs!$G$5:$G$190&lt;&gt;"moeda")*(Inputs!$G$5:$G$190&lt;&gt;"acoes")))*INDEX(Inputs!$K$5:$AJ$190,0,MATCH(AE$2,Inputs!$K$4:$AJ$4,0)))+SUMPRODUCT((Inputs!$C$5:$C$190=$B16)*Inputs!$D$5:$D$190*(((Inputs!$G$5:$G$190="moeda")+(Inputs!$G$5:$G$190="acoes"))*Inputs!$B$1+((Inputs!$G$5:$G$190&lt;&gt;"moeda")*(Inputs!$G$5:$G$190&lt;&gt;"acoes")))*INDEX(Inputs!$K$5:$AJ$190,0,MATCH(AE$2,Inputs!$K$4:$AJ$4,0)))+SUMPRODUCT((Inputs!$E$5:$E$190=$B16)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16" s="6" t="e">
        <f>IF(ISNA(MATCH(AF$2,Inputs!$K$4:$AJ$4,0)),NA(),IF(SUMPRODUCT((Inputs!$A$5:$A$190=$B16)*ISNUMBER(INDEX(Inputs!$K$5:$AJ$190,0,MATCH(AF$2,Inputs!$K$4:$AJ$4,0))))+SUMPRODUCT((Inputs!$C$5:$C$190=$B16)*ISNUMBER(INDEX(Inputs!$K$5:$AJ$190,0,MATCH(AF$2,Inputs!$K$4:$AJ$4,0))))+SUMPRODUCT((Inputs!$E$5:$E$190=$B16)*ISNUMBER(INDEX(Inputs!$K$5:$AJ$190,0,MATCH(AF$2,Inputs!$K$4:$AJ$4,0))))=0,NA(),SUMPRODUCT((Inputs!$A$5:$A$190=$B16)*Inputs!$B$5:$B$190*(((Inputs!$G$5:$G$190="moeda")+(Inputs!$G$5:$G$190="acoes"))*Inputs!$B$1+((Inputs!$G$5:$G$190&lt;&gt;"moeda")*(Inputs!$G$5:$G$190&lt;&gt;"acoes")))*INDEX(Inputs!$K$5:$AJ$190,0,MATCH(AF$2,Inputs!$K$4:$AJ$4,0)))+SUMPRODUCT((Inputs!$C$5:$C$190=$B16)*Inputs!$D$5:$D$190*(((Inputs!$G$5:$G$190="moeda")+(Inputs!$G$5:$G$190="acoes"))*Inputs!$B$1+((Inputs!$G$5:$G$190&lt;&gt;"moeda")*(Inputs!$G$5:$G$190&lt;&gt;"acoes")))*INDEX(Inputs!$K$5:$AJ$190,0,MATCH(AF$2,Inputs!$K$4:$AJ$4,0)))+SUMPRODUCT((Inputs!$E$5:$E$190=$B16)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16" s="3" t="e">
        <f>AF16</f>
        <v>#N/A</v>
      </c>
      <c r="AH16" s="6">
        <f>IF(ISNA(MATCH(AH$2,Inputs!$K$4:$AJ$4,0)),NA(),IF(SUMPRODUCT((Inputs!$A$5:$A$190=$B16)*ISNUMBER(INDEX(Inputs!$K$5:$AJ$190,0,MATCH(AH$2,Inputs!$K$4:$AJ$4,0))))+SUMPRODUCT((Inputs!$C$5:$C$190=$B16)*ISNUMBER(INDEX(Inputs!$K$5:$AJ$190,0,MATCH(AH$2,Inputs!$K$4:$AJ$4,0))))+SUMPRODUCT((Inputs!$E$5:$E$190=$B16)*ISNUMBER(INDEX(Inputs!$K$5:$AJ$190,0,MATCH(AH$2,Inputs!$K$4:$AJ$4,0))))=0,NA(),SUMPRODUCT((Inputs!$A$5:$A$190=$B16)*Inputs!$B$5:$B$190*(((Inputs!$G$5:$G$190="moeda")+(Inputs!$G$5:$G$190="acoes"))*Inputs!$B$1+((Inputs!$G$5:$G$190&lt;&gt;"moeda")*(Inputs!$G$5:$G$190&lt;&gt;"acoes")))*INDEX(Inputs!$K$5:$AJ$190,0,MATCH(AH$2,Inputs!$K$4:$AJ$4,0)))+SUMPRODUCT((Inputs!$C$5:$C$190=$B16)*Inputs!$D$5:$D$190*(((Inputs!$G$5:$G$190="moeda")+(Inputs!$G$5:$G$190="acoes"))*Inputs!$B$1+((Inputs!$G$5:$G$190&lt;&gt;"moeda")*(Inputs!$G$5:$G$190&lt;&gt;"acoes")))*INDEX(Inputs!$K$5:$AJ$190,0,MATCH(AH$2,Inputs!$K$4:$AJ$4,0)))+SUMPRODUCT((Inputs!$E$5:$E$190=$B16)*Inputs!$F$5:$F$190*(((Inputs!$G$5:$G$190="moeda")+(Inputs!$G$5:$G$190="acoes"))*Inputs!$B$1+((Inputs!$G$5:$G$190&lt;&gt;"moeda")*(Inputs!$G$5:$G$190&lt;&gt;"acoes")))*INDEX(Inputs!$K$5:$AJ$190,0,MATCH(AH$2,Inputs!$K$4:$AJ$4,0)))))</f>
        <v>1591.86353107</v>
      </c>
      <c r="AI16" s="6">
        <f>IF(ISNA(MATCH(AI$2,Inputs!$K$4:$AJ$4,0)),NA(),IF(SUMPRODUCT((Inputs!$A$5:$A$190=$B16)*ISNUMBER(INDEX(Inputs!$K$5:$AJ$190,0,MATCH(AI$2,Inputs!$K$4:$AJ$4,0))))+SUMPRODUCT((Inputs!$C$5:$C$190=$B16)*ISNUMBER(INDEX(Inputs!$K$5:$AJ$190,0,MATCH(AI$2,Inputs!$K$4:$AJ$4,0))))+SUMPRODUCT((Inputs!$E$5:$E$190=$B16)*ISNUMBER(INDEX(Inputs!$K$5:$AJ$190,0,MATCH(AI$2,Inputs!$K$4:$AJ$4,0))))=0,NA(),SUMPRODUCT((Inputs!$A$5:$A$190=$B16)*Inputs!$B$5:$B$190*(((Inputs!$G$5:$G$190="moeda")+(Inputs!$G$5:$G$190="acoes"))*Inputs!$B$1+((Inputs!$G$5:$G$190&lt;&gt;"moeda")*(Inputs!$G$5:$G$190&lt;&gt;"acoes")))*INDEX(Inputs!$K$5:$AJ$190,0,MATCH(AI$2,Inputs!$K$4:$AJ$4,0)))+SUMPRODUCT((Inputs!$C$5:$C$190=$B16)*Inputs!$D$5:$D$190*(((Inputs!$G$5:$G$190="moeda")+(Inputs!$G$5:$G$190="acoes"))*Inputs!$B$1+((Inputs!$G$5:$G$190&lt;&gt;"moeda")*(Inputs!$G$5:$G$190&lt;&gt;"acoes")))*INDEX(Inputs!$K$5:$AJ$190,0,MATCH(AI$2,Inputs!$K$4:$AJ$4,0)))+SUMPRODUCT((Inputs!$E$5:$E$190=$B16)*Inputs!$F$5:$F$190*(((Inputs!$G$5:$G$190="moeda")+(Inputs!$G$5:$G$190="acoes"))*Inputs!$B$1+((Inputs!$G$5:$G$190&lt;&gt;"moeda")*(Inputs!$G$5:$G$190&lt;&gt;"acoes")))*INDEX(Inputs!$K$5:$AJ$190,0,MATCH(AI$2,Inputs!$K$4:$AJ$4,0)))))</f>
        <v>1627.08897217</v>
      </c>
      <c r="AJ16" s="6">
        <f>IF(ISNA(MATCH(AJ$2,Inputs!$K$4:$AJ$4,0)),NA(),IF(SUMPRODUCT((Inputs!$A$5:$A$190=$B16)*ISNUMBER(INDEX(Inputs!$K$5:$AJ$190,0,MATCH(AJ$2,Inputs!$K$4:$AJ$4,0))))+SUMPRODUCT((Inputs!$C$5:$C$190=$B16)*ISNUMBER(INDEX(Inputs!$K$5:$AJ$190,0,MATCH(AJ$2,Inputs!$K$4:$AJ$4,0))))+SUMPRODUCT((Inputs!$E$5:$E$190=$B16)*ISNUMBER(INDEX(Inputs!$K$5:$AJ$190,0,MATCH(AJ$2,Inputs!$K$4:$AJ$4,0))))=0,NA(),SUMPRODUCT((Inputs!$A$5:$A$190=$B16)*Inputs!$B$5:$B$190*(((Inputs!$G$5:$G$190="moeda")+(Inputs!$G$5:$G$190="acoes"))*Inputs!$B$1+((Inputs!$G$5:$G$190&lt;&gt;"moeda")*(Inputs!$G$5:$G$190&lt;&gt;"acoes")))*INDEX(Inputs!$K$5:$AJ$190,0,MATCH(AJ$2,Inputs!$K$4:$AJ$4,0)))+SUMPRODUCT((Inputs!$C$5:$C$190=$B16)*Inputs!$D$5:$D$190*(((Inputs!$G$5:$G$190="moeda")+(Inputs!$G$5:$G$190="acoes"))*Inputs!$B$1+((Inputs!$G$5:$G$190&lt;&gt;"moeda")*(Inputs!$G$5:$G$190&lt;&gt;"acoes")))*INDEX(Inputs!$K$5:$AJ$190,0,MATCH(AJ$2,Inputs!$K$4:$AJ$4,0)))+SUMPRODUCT((Inputs!$E$5:$E$190=$B16)*Inputs!$F$5:$F$190*(((Inputs!$G$5:$G$190="moeda")+(Inputs!$G$5:$G$190="acoes"))*Inputs!$B$1+((Inputs!$G$5:$G$190&lt;&gt;"moeda")*(Inputs!$G$5:$G$190&lt;&gt;"acoes")))*INDEX(Inputs!$K$5:$AJ$190,0,MATCH(AJ$2,Inputs!$K$4:$AJ$4,0)))))</f>
        <v>1741.4563492</v>
      </c>
      <c r="AK16" s="6">
        <f>IF(ISNA(MATCH(AK$2,Inputs!$K$4:$AJ$4,0)),NA(),IF(SUMPRODUCT((Inputs!$A$5:$A$190=$B16)*ISNUMBER(INDEX(Inputs!$K$5:$AJ$190,0,MATCH(AK$2,Inputs!$K$4:$AJ$4,0))))+SUMPRODUCT((Inputs!$C$5:$C$190=$B16)*ISNUMBER(INDEX(Inputs!$K$5:$AJ$190,0,MATCH(AK$2,Inputs!$K$4:$AJ$4,0))))+SUMPRODUCT((Inputs!$E$5:$E$190=$B16)*ISNUMBER(INDEX(Inputs!$K$5:$AJ$190,0,MATCH(AK$2,Inputs!$K$4:$AJ$4,0))))=0,NA(),SUMPRODUCT((Inputs!$A$5:$A$190=$B16)*Inputs!$B$5:$B$190*(((Inputs!$G$5:$G$190="moeda")+(Inputs!$G$5:$G$190="acoes"))*Inputs!$B$1+((Inputs!$G$5:$G$190&lt;&gt;"moeda")*(Inputs!$G$5:$G$190&lt;&gt;"acoes")))*INDEX(Inputs!$K$5:$AJ$190,0,MATCH(AK$2,Inputs!$K$4:$AJ$4,0)))+SUMPRODUCT((Inputs!$C$5:$C$190=$B16)*Inputs!$D$5:$D$190*(((Inputs!$G$5:$G$190="moeda")+(Inputs!$G$5:$G$190="acoes"))*Inputs!$B$1+((Inputs!$G$5:$G$190&lt;&gt;"moeda")*(Inputs!$G$5:$G$190&lt;&gt;"acoes")))*INDEX(Inputs!$K$5:$AJ$190,0,MATCH(AK$2,Inputs!$K$4:$AJ$4,0)))+SUMPRODUCT((Inputs!$E$5:$E$190=$B16)*Inputs!$F$5:$F$190*(((Inputs!$G$5:$G$190="moeda")+(Inputs!$G$5:$G$190="acoes"))*Inputs!$B$1+((Inputs!$G$5:$G$190&lt;&gt;"moeda")*(Inputs!$G$5:$G$190&lt;&gt;"acoes")))*INDEX(Inputs!$K$5:$AJ$190,0,MATCH(AK$2,Inputs!$K$4:$AJ$4,0)))))</f>
        <v>1934.44589198925</v>
      </c>
      <c r="AL16" s="3">
        <f>AK16</f>
        <v>1934.44589198925</v>
      </c>
    </row>
    <row r="17">
      <c r="B17" s="46" t="n">
        <v>13</v>
      </c>
      <c r="C17" s="26" t="inlineStr">
        <is>
          <t>Inventories</t>
        </is>
      </c>
      <c r="D17" s="6">
        <f>IF(ISNA(MATCH(D$2,Inputs!$K$4:$AJ$4,0)),NA(),IF(SUMPRODUCT((Inputs!$A$5:$A$190=$B17)*ISNUMBER(INDEX(Inputs!$K$5:$AJ$190,0,MATCH(D$2,Inputs!$K$4:$AJ$4,0))))+SUMPRODUCT((Inputs!$C$5:$C$190=$B17)*ISNUMBER(INDEX(Inputs!$K$5:$AJ$190,0,MATCH(D$2,Inputs!$K$4:$AJ$4,0))))+SUMPRODUCT((Inputs!$E$5:$E$190=$B17)*ISNUMBER(INDEX(Inputs!$K$5:$AJ$190,0,MATCH(D$2,Inputs!$K$4:$AJ$4,0))))=0,NA(),SUMPRODUCT((Inputs!$A$5:$A$190=$B17)*Inputs!$B$5:$B$190*(((Inputs!$G$5:$G$190="moeda")+(Inputs!$G$5:$G$190="acoes"))*Inputs!$B$1+((Inputs!$G$5:$G$190&lt;&gt;"moeda")*(Inputs!$G$5:$G$190&lt;&gt;"acoes")))*INDEX(Inputs!$K$5:$AJ$190,0,MATCH(D$2,Inputs!$K$4:$AJ$4,0)))+SUMPRODUCT((Inputs!$C$5:$C$190=$B17)*Inputs!$D$5:$D$190*(((Inputs!$G$5:$G$190="moeda")+(Inputs!$G$5:$G$190="acoes"))*Inputs!$B$1+((Inputs!$G$5:$G$190&lt;&gt;"moeda")*(Inputs!$G$5:$G$190&lt;&gt;"acoes")))*INDEX(Inputs!$K$5:$AJ$190,0,MATCH(D$2,Inputs!$K$4:$AJ$4,0)))+SUMPRODUCT((Inputs!$E$5:$E$190=$B17)*Inputs!$F$5:$F$190*(((Inputs!$G$5:$G$190="moeda")+(Inputs!$G$5:$G$190="acoes"))*Inputs!$B$1+((Inputs!$G$5:$G$190&lt;&gt;"moeda")*(Inputs!$G$5:$G$190&lt;&gt;"acoes")))*INDEX(Inputs!$K$5:$AJ$190,0,MATCH(D$2,Inputs!$K$4:$AJ$4,0)))))</f>
        <v>255.362567320248</v>
      </c>
      <c r="E17" s="6">
        <f>IF(ISNA(MATCH(E$2,Inputs!$K$4:$AJ$4,0)),NA(),IF(SUMPRODUCT((Inputs!$A$5:$A$190=$B17)*ISNUMBER(INDEX(Inputs!$K$5:$AJ$190,0,MATCH(E$2,Inputs!$K$4:$AJ$4,0))))+SUMPRODUCT((Inputs!$C$5:$C$190=$B17)*ISNUMBER(INDEX(Inputs!$K$5:$AJ$190,0,MATCH(E$2,Inputs!$K$4:$AJ$4,0))))+SUMPRODUCT((Inputs!$E$5:$E$190=$B17)*ISNUMBER(INDEX(Inputs!$K$5:$AJ$190,0,MATCH(E$2,Inputs!$K$4:$AJ$4,0))))=0,NA(),SUMPRODUCT((Inputs!$A$5:$A$190=$B17)*Inputs!$B$5:$B$190*(((Inputs!$G$5:$G$190="moeda")+(Inputs!$G$5:$G$190="acoes"))*Inputs!$B$1+((Inputs!$G$5:$G$190&lt;&gt;"moeda")*(Inputs!$G$5:$G$190&lt;&gt;"acoes")))*INDEX(Inputs!$K$5:$AJ$190,0,MATCH(E$2,Inputs!$K$4:$AJ$4,0)))+SUMPRODUCT((Inputs!$C$5:$C$190=$B17)*Inputs!$D$5:$D$190*(((Inputs!$G$5:$G$190="moeda")+(Inputs!$G$5:$G$190="acoes"))*Inputs!$B$1+((Inputs!$G$5:$G$190&lt;&gt;"moeda")*(Inputs!$G$5:$G$190&lt;&gt;"acoes")))*INDEX(Inputs!$K$5:$AJ$190,0,MATCH(E$2,Inputs!$K$4:$AJ$4,0)))+SUMPRODUCT((Inputs!$E$5:$E$190=$B17)*Inputs!$F$5:$F$190*(((Inputs!$G$5:$G$190="moeda")+(Inputs!$G$5:$G$190="acoes"))*Inputs!$B$1+((Inputs!$G$5:$G$190&lt;&gt;"moeda")*(Inputs!$G$5:$G$190&lt;&gt;"acoes")))*INDEX(Inputs!$K$5:$AJ$190,0,MATCH(E$2,Inputs!$K$4:$AJ$4,0)))))</f>
        <v>378.575</v>
      </c>
      <c r="F17" s="6">
        <f>IF(ISNA(MATCH(F$2,Inputs!$K$4:$AJ$4,0)),NA(),IF(SUMPRODUCT((Inputs!$A$5:$A$190=$B17)*ISNUMBER(INDEX(Inputs!$K$5:$AJ$190,0,MATCH(F$2,Inputs!$K$4:$AJ$4,0))))+SUMPRODUCT((Inputs!$C$5:$C$190=$B17)*ISNUMBER(INDEX(Inputs!$K$5:$AJ$190,0,MATCH(F$2,Inputs!$K$4:$AJ$4,0))))+SUMPRODUCT((Inputs!$E$5:$E$190=$B17)*ISNUMBER(INDEX(Inputs!$K$5:$AJ$190,0,MATCH(F$2,Inputs!$K$4:$AJ$4,0))))=0,NA(),SUMPRODUCT((Inputs!$A$5:$A$190=$B17)*Inputs!$B$5:$B$190*(((Inputs!$G$5:$G$190="moeda")+(Inputs!$G$5:$G$190="acoes"))*Inputs!$B$1+((Inputs!$G$5:$G$190&lt;&gt;"moeda")*(Inputs!$G$5:$G$190&lt;&gt;"acoes")))*INDEX(Inputs!$K$5:$AJ$190,0,MATCH(F$2,Inputs!$K$4:$AJ$4,0)))+SUMPRODUCT((Inputs!$C$5:$C$190=$B17)*Inputs!$D$5:$D$190*(((Inputs!$G$5:$G$190="moeda")+(Inputs!$G$5:$G$190="acoes"))*Inputs!$B$1+((Inputs!$G$5:$G$190&lt;&gt;"moeda")*(Inputs!$G$5:$G$190&lt;&gt;"acoes")))*INDEX(Inputs!$K$5:$AJ$190,0,MATCH(F$2,Inputs!$K$4:$AJ$4,0)))+SUMPRODUCT((Inputs!$E$5:$E$190=$B17)*Inputs!$F$5:$F$190*(((Inputs!$G$5:$G$190="moeda")+(Inputs!$G$5:$G$190="acoes"))*Inputs!$B$1+((Inputs!$G$5:$G$190&lt;&gt;"moeda")*(Inputs!$G$5:$G$190&lt;&gt;"acoes")))*INDEX(Inputs!$K$5:$AJ$190,0,MATCH(F$2,Inputs!$K$4:$AJ$4,0)))))</f>
        <v>378.18</v>
      </c>
      <c r="G17" s="6">
        <f>IF(ISNA(MATCH(G$2,Inputs!$K$4:$AJ$4,0)),NA(),IF(SUMPRODUCT((Inputs!$A$5:$A$190=$B17)*ISNUMBER(INDEX(Inputs!$K$5:$AJ$190,0,MATCH(G$2,Inputs!$K$4:$AJ$4,0))))+SUMPRODUCT((Inputs!$C$5:$C$190=$B17)*ISNUMBER(INDEX(Inputs!$K$5:$AJ$190,0,MATCH(G$2,Inputs!$K$4:$AJ$4,0))))+SUMPRODUCT((Inputs!$E$5:$E$190=$B17)*ISNUMBER(INDEX(Inputs!$K$5:$AJ$190,0,MATCH(G$2,Inputs!$K$4:$AJ$4,0))))=0,NA(),SUMPRODUCT((Inputs!$A$5:$A$190=$B17)*Inputs!$B$5:$B$190*(((Inputs!$G$5:$G$190="moeda")+(Inputs!$G$5:$G$190="acoes"))*Inputs!$B$1+((Inputs!$G$5:$G$190&lt;&gt;"moeda")*(Inputs!$G$5:$G$190&lt;&gt;"acoes")))*INDEX(Inputs!$K$5:$AJ$190,0,MATCH(G$2,Inputs!$K$4:$AJ$4,0)))+SUMPRODUCT((Inputs!$C$5:$C$190=$B17)*Inputs!$D$5:$D$190*(((Inputs!$G$5:$G$190="moeda")+(Inputs!$G$5:$G$190="acoes"))*Inputs!$B$1+((Inputs!$G$5:$G$190&lt;&gt;"moeda")*(Inputs!$G$5:$G$190&lt;&gt;"acoes")))*INDEX(Inputs!$K$5:$AJ$190,0,MATCH(G$2,Inputs!$K$4:$AJ$4,0)))+SUMPRODUCT((Inputs!$E$5:$E$190=$B17)*Inputs!$F$5:$F$190*(((Inputs!$G$5:$G$190="moeda")+(Inputs!$G$5:$G$190="acoes"))*Inputs!$B$1+((Inputs!$G$5:$G$190&lt;&gt;"moeda")*(Inputs!$G$5:$G$190&lt;&gt;"acoes")))*INDEX(Inputs!$K$5:$AJ$190,0,MATCH(G$2,Inputs!$K$4:$AJ$4,0)))))</f>
        <v>525.95</v>
      </c>
      <c r="H17" s="3">
        <f>G17</f>
        <v>525.95</v>
      </c>
      <c r="I17" s="6">
        <f>IF(ISNA(MATCH(I$2,Inputs!$K$4:$AJ$4,0)),NA(),IF(SUMPRODUCT((Inputs!$A$5:$A$190=$B17)*ISNUMBER(INDEX(Inputs!$K$5:$AJ$190,0,MATCH(I$2,Inputs!$K$4:$AJ$4,0))))+SUMPRODUCT((Inputs!$C$5:$C$190=$B17)*ISNUMBER(INDEX(Inputs!$K$5:$AJ$190,0,MATCH(I$2,Inputs!$K$4:$AJ$4,0))))+SUMPRODUCT((Inputs!$E$5:$E$190=$B17)*ISNUMBER(INDEX(Inputs!$K$5:$AJ$190,0,MATCH(I$2,Inputs!$K$4:$AJ$4,0))))=0,NA(),SUMPRODUCT((Inputs!$A$5:$A$190=$B17)*Inputs!$B$5:$B$190*(((Inputs!$G$5:$G$190="moeda")+(Inputs!$G$5:$G$190="acoes"))*Inputs!$B$1+((Inputs!$G$5:$G$190&lt;&gt;"moeda")*(Inputs!$G$5:$G$190&lt;&gt;"acoes")))*INDEX(Inputs!$K$5:$AJ$190,0,MATCH(I$2,Inputs!$K$4:$AJ$4,0)))+SUMPRODUCT((Inputs!$C$5:$C$190=$B17)*Inputs!$D$5:$D$190*(((Inputs!$G$5:$G$190="moeda")+(Inputs!$G$5:$G$190="acoes"))*Inputs!$B$1+((Inputs!$G$5:$G$190&lt;&gt;"moeda")*(Inputs!$G$5:$G$190&lt;&gt;"acoes")))*INDEX(Inputs!$K$5:$AJ$190,0,MATCH(I$2,Inputs!$K$4:$AJ$4,0)))+SUMPRODUCT((Inputs!$E$5:$E$190=$B17)*Inputs!$F$5:$F$190*(((Inputs!$G$5:$G$190="moeda")+(Inputs!$G$5:$G$190="acoes"))*Inputs!$B$1+((Inputs!$G$5:$G$190&lt;&gt;"moeda")*(Inputs!$G$5:$G$190&lt;&gt;"acoes")))*INDEX(Inputs!$K$5:$AJ$190,0,MATCH(I$2,Inputs!$K$4:$AJ$4,0)))))</f>
        <v>596.625</v>
      </c>
      <c r="J17" s="6">
        <f>IF(ISNA(MATCH(J$2,Inputs!$K$4:$AJ$4,0)),NA(),IF(SUMPRODUCT((Inputs!$A$5:$A$190=$B17)*ISNUMBER(INDEX(Inputs!$K$5:$AJ$190,0,MATCH(J$2,Inputs!$K$4:$AJ$4,0))))+SUMPRODUCT((Inputs!$C$5:$C$190=$B17)*ISNUMBER(INDEX(Inputs!$K$5:$AJ$190,0,MATCH(J$2,Inputs!$K$4:$AJ$4,0))))+SUMPRODUCT((Inputs!$E$5:$E$190=$B17)*ISNUMBER(INDEX(Inputs!$K$5:$AJ$190,0,MATCH(J$2,Inputs!$K$4:$AJ$4,0))))=0,NA(),SUMPRODUCT((Inputs!$A$5:$A$190=$B17)*Inputs!$B$5:$B$190*(((Inputs!$G$5:$G$190="moeda")+(Inputs!$G$5:$G$190="acoes"))*Inputs!$B$1+((Inputs!$G$5:$G$190&lt;&gt;"moeda")*(Inputs!$G$5:$G$190&lt;&gt;"acoes")))*INDEX(Inputs!$K$5:$AJ$190,0,MATCH(J$2,Inputs!$K$4:$AJ$4,0)))+SUMPRODUCT((Inputs!$C$5:$C$190=$B17)*Inputs!$D$5:$D$190*(((Inputs!$G$5:$G$190="moeda")+(Inputs!$G$5:$G$190="acoes"))*Inputs!$B$1+((Inputs!$G$5:$G$190&lt;&gt;"moeda")*(Inputs!$G$5:$G$190&lt;&gt;"acoes")))*INDEX(Inputs!$K$5:$AJ$190,0,MATCH(J$2,Inputs!$K$4:$AJ$4,0)))+SUMPRODUCT((Inputs!$E$5:$E$190=$B17)*Inputs!$F$5:$F$190*(((Inputs!$G$5:$G$190="moeda")+(Inputs!$G$5:$G$190="acoes"))*Inputs!$B$1+((Inputs!$G$5:$G$190&lt;&gt;"moeda")*(Inputs!$G$5:$G$190&lt;&gt;"acoes")))*INDEX(Inputs!$K$5:$AJ$190,0,MATCH(J$2,Inputs!$K$4:$AJ$4,0)))))</f>
        <v>775.164</v>
      </c>
      <c r="K17" s="6">
        <f>IF(ISNA(MATCH(K$2,Inputs!$K$4:$AJ$4,0)),NA(),IF(SUMPRODUCT((Inputs!$A$5:$A$190=$B17)*ISNUMBER(INDEX(Inputs!$K$5:$AJ$190,0,MATCH(K$2,Inputs!$K$4:$AJ$4,0))))+SUMPRODUCT((Inputs!$C$5:$C$190=$B17)*ISNUMBER(INDEX(Inputs!$K$5:$AJ$190,0,MATCH(K$2,Inputs!$K$4:$AJ$4,0))))+SUMPRODUCT((Inputs!$E$5:$E$190=$B17)*ISNUMBER(INDEX(Inputs!$K$5:$AJ$190,0,MATCH(K$2,Inputs!$K$4:$AJ$4,0))))=0,NA(),SUMPRODUCT((Inputs!$A$5:$A$190=$B17)*Inputs!$B$5:$B$190*(((Inputs!$G$5:$G$190="moeda")+(Inputs!$G$5:$G$190="acoes"))*Inputs!$B$1+((Inputs!$G$5:$G$190&lt;&gt;"moeda")*(Inputs!$G$5:$G$190&lt;&gt;"acoes")))*INDEX(Inputs!$K$5:$AJ$190,0,MATCH(K$2,Inputs!$K$4:$AJ$4,0)))+SUMPRODUCT((Inputs!$C$5:$C$190=$B17)*Inputs!$D$5:$D$190*(((Inputs!$G$5:$G$190="moeda")+(Inputs!$G$5:$G$190="acoes"))*Inputs!$B$1+((Inputs!$G$5:$G$190&lt;&gt;"moeda")*(Inputs!$G$5:$G$190&lt;&gt;"acoes")))*INDEX(Inputs!$K$5:$AJ$190,0,MATCH(K$2,Inputs!$K$4:$AJ$4,0)))+SUMPRODUCT((Inputs!$E$5:$E$190=$B17)*Inputs!$F$5:$F$190*(((Inputs!$G$5:$G$190="moeda")+(Inputs!$G$5:$G$190="acoes"))*Inputs!$B$1+((Inputs!$G$5:$G$190&lt;&gt;"moeda")*(Inputs!$G$5:$G$190&lt;&gt;"acoes")))*INDEX(Inputs!$K$5:$AJ$190,0,MATCH(K$2,Inputs!$K$4:$AJ$4,0)))))</f>
        <v>1166.831</v>
      </c>
      <c r="L17" s="6">
        <f>IF(ISNA(MATCH(L$2,Inputs!$K$4:$AJ$4,0)),NA(),IF(SUMPRODUCT((Inputs!$A$5:$A$190=$B17)*ISNUMBER(INDEX(Inputs!$K$5:$AJ$190,0,MATCH(L$2,Inputs!$K$4:$AJ$4,0))))+SUMPRODUCT((Inputs!$C$5:$C$190=$B17)*ISNUMBER(INDEX(Inputs!$K$5:$AJ$190,0,MATCH(L$2,Inputs!$K$4:$AJ$4,0))))+SUMPRODUCT((Inputs!$E$5:$E$190=$B17)*ISNUMBER(INDEX(Inputs!$K$5:$AJ$190,0,MATCH(L$2,Inputs!$K$4:$AJ$4,0))))=0,NA(),SUMPRODUCT((Inputs!$A$5:$A$190=$B17)*Inputs!$B$5:$B$190*(((Inputs!$G$5:$G$190="moeda")+(Inputs!$G$5:$G$190="acoes"))*Inputs!$B$1+((Inputs!$G$5:$G$190&lt;&gt;"moeda")*(Inputs!$G$5:$G$190&lt;&gt;"acoes")))*INDEX(Inputs!$K$5:$AJ$190,0,MATCH(L$2,Inputs!$K$4:$AJ$4,0)))+SUMPRODUCT((Inputs!$C$5:$C$190=$B17)*Inputs!$D$5:$D$190*(((Inputs!$G$5:$G$190="moeda")+(Inputs!$G$5:$G$190="acoes"))*Inputs!$B$1+((Inputs!$G$5:$G$190&lt;&gt;"moeda")*(Inputs!$G$5:$G$190&lt;&gt;"acoes")))*INDEX(Inputs!$K$5:$AJ$190,0,MATCH(L$2,Inputs!$K$4:$AJ$4,0)))+SUMPRODUCT((Inputs!$E$5:$E$190=$B17)*Inputs!$F$5:$F$190*(((Inputs!$G$5:$G$190="moeda")+(Inputs!$G$5:$G$190="acoes"))*Inputs!$B$1+((Inputs!$G$5:$G$190&lt;&gt;"moeda")*(Inputs!$G$5:$G$190&lt;&gt;"acoes")))*INDEX(Inputs!$K$5:$AJ$190,0,MATCH(L$2,Inputs!$K$4:$AJ$4,0)))))</f>
        <v>1694.32</v>
      </c>
      <c r="M17" s="3">
        <f>L17</f>
        <v>1694.32</v>
      </c>
      <c r="N17" s="6">
        <f>IF(ISNA(MATCH(N$2,Inputs!$K$4:$AJ$4,0)),NA(),IF(SUMPRODUCT((Inputs!$A$5:$A$190=$B17)*ISNUMBER(INDEX(Inputs!$K$5:$AJ$190,0,MATCH(N$2,Inputs!$K$4:$AJ$4,0))))+SUMPRODUCT((Inputs!$C$5:$C$190=$B17)*ISNUMBER(INDEX(Inputs!$K$5:$AJ$190,0,MATCH(N$2,Inputs!$K$4:$AJ$4,0))))+SUMPRODUCT((Inputs!$E$5:$E$190=$B17)*ISNUMBER(INDEX(Inputs!$K$5:$AJ$190,0,MATCH(N$2,Inputs!$K$4:$AJ$4,0))))=0,NA(),SUMPRODUCT((Inputs!$A$5:$A$190=$B17)*Inputs!$B$5:$B$190*(((Inputs!$G$5:$G$190="moeda")+(Inputs!$G$5:$G$190="acoes"))*Inputs!$B$1+((Inputs!$G$5:$G$190&lt;&gt;"moeda")*(Inputs!$G$5:$G$190&lt;&gt;"acoes")))*INDEX(Inputs!$K$5:$AJ$190,0,MATCH(N$2,Inputs!$K$4:$AJ$4,0)))+SUMPRODUCT((Inputs!$C$5:$C$190=$B17)*Inputs!$D$5:$D$190*(((Inputs!$G$5:$G$190="moeda")+(Inputs!$G$5:$G$190="acoes"))*Inputs!$B$1+((Inputs!$G$5:$G$190&lt;&gt;"moeda")*(Inputs!$G$5:$G$190&lt;&gt;"acoes")))*INDEX(Inputs!$K$5:$AJ$190,0,MATCH(N$2,Inputs!$K$4:$AJ$4,0)))+SUMPRODUCT((Inputs!$E$5:$E$190=$B17)*Inputs!$F$5:$F$190*(((Inputs!$G$5:$G$190="moeda")+(Inputs!$G$5:$G$190="acoes"))*Inputs!$B$1+((Inputs!$G$5:$G$190&lt;&gt;"moeda")*(Inputs!$G$5:$G$190&lt;&gt;"acoes")))*INDEX(Inputs!$K$5:$AJ$190,0,MATCH(N$2,Inputs!$K$4:$AJ$4,0)))))</f>
        <v>1774.06624681239</v>
      </c>
      <c r="O17" s="6">
        <f>IF(ISNA(MATCH(O$2,Inputs!$K$4:$AJ$4,0)),NA(),IF(SUMPRODUCT((Inputs!$A$5:$A$190=$B17)*ISNUMBER(INDEX(Inputs!$K$5:$AJ$190,0,MATCH(O$2,Inputs!$K$4:$AJ$4,0))))+SUMPRODUCT((Inputs!$C$5:$C$190=$B17)*ISNUMBER(INDEX(Inputs!$K$5:$AJ$190,0,MATCH(O$2,Inputs!$K$4:$AJ$4,0))))+SUMPRODUCT((Inputs!$E$5:$E$190=$B17)*ISNUMBER(INDEX(Inputs!$K$5:$AJ$190,0,MATCH(O$2,Inputs!$K$4:$AJ$4,0))))=0,NA(),SUMPRODUCT((Inputs!$A$5:$A$190=$B17)*Inputs!$B$5:$B$190*(((Inputs!$G$5:$G$190="moeda")+(Inputs!$G$5:$G$190="acoes"))*Inputs!$B$1+((Inputs!$G$5:$G$190&lt;&gt;"moeda")*(Inputs!$G$5:$G$190&lt;&gt;"acoes")))*INDEX(Inputs!$K$5:$AJ$190,0,MATCH(O$2,Inputs!$K$4:$AJ$4,0)))+SUMPRODUCT((Inputs!$C$5:$C$190=$B17)*Inputs!$D$5:$D$190*(((Inputs!$G$5:$G$190="moeda")+(Inputs!$G$5:$G$190="acoes"))*Inputs!$B$1+((Inputs!$G$5:$G$190&lt;&gt;"moeda")*(Inputs!$G$5:$G$190&lt;&gt;"acoes")))*INDEX(Inputs!$K$5:$AJ$190,0,MATCH(O$2,Inputs!$K$4:$AJ$4,0)))+SUMPRODUCT((Inputs!$E$5:$E$190=$B17)*Inputs!$F$5:$F$190*(((Inputs!$G$5:$G$190="moeda")+(Inputs!$G$5:$G$190="acoes"))*Inputs!$B$1+((Inputs!$G$5:$G$190&lt;&gt;"moeda")*(Inputs!$G$5:$G$190&lt;&gt;"acoes")))*INDEX(Inputs!$K$5:$AJ$190,0,MATCH(O$2,Inputs!$K$4:$AJ$4,0)))))</f>
        <v>2010.42873299772</v>
      </c>
      <c r="P17" s="6">
        <f>IF(ISNA(MATCH(P$2,Inputs!$K$4:$AJ$4,0)),NA(),IF(SUMPRODUCT((Inputs!$A$5:$A$190=$B17)*ISNUMBER(INDEX(Inputs!$K$5:$AJ$190,0,MATCH(P$2,Inputs!$K$4:$AJ$4,0))))+SUMPRODUCT((Inputs!$C$5:$C$190=$B17)*ISNUMBER(INDEX(Inputs!$K$5:$AJ$190,0,MATCH(P$2,Inputs!$K$4:$AJ$4,0))))+SUMPRODUCT((Inputs!$E$5:$E$190=$B17)*ISNUMBER(INDEX(Inputs!$K$5:$AJ$190,0,MATCH(P$2,Inputs!$K$4:$AJ$4,0))))=0,NA(),SUMPRODUCT((Inputs!$A$5:$A$190=$B17)*Inputs!$B$5:$B$190*(((Inputs!$G$5:$G$190="moeda")+(Inputs!$G$5:$G$190="acoes"))*Inputs!$B$1+((Inputs!$G$5:$G$190&lt;&gt;"moeda")*(Inputs!$G$5:$G$190&lt;&gt;"acoes")))*INDEX(Inputs!$K$5:$AJ$190,0,MATCH(P$2,Inputs!$K$4:$AJ$4,0)))+SUMPRODUCT((Inputs!$C$5:$C$190=$B17)*Inputs!$D$5:$D$190*(((Inputs!$G$5:$G$190="moeda")+(Inputs!$G$5:$G$190="acoes"))*Inputs!$B$1+((Inputs!$G$5:$G$190&lt;&gt;"moeda")*(Inputs!$G$5:$G$190&lt;&gt;"acoes")))*INDEX(Inputs!$K$5:$AJ$190,0,MATCH(P$2,Inputs!$K$4:$AJ$4,0)))+SUMPRODUCT((Inputs!$E$5:$E$190=$B17)*Inputs!$F$5:$F$190*(((Inputs!$G$5:$G$190="moeda")+(Inputs!$G$5:$G$190="acoes"))*Inputs!$B$1+((Inputs!$G$5:$G$190&lt;&gt;"moeda")*(Inputs!$G$5:$G$190&lt;&gt;"acoes")))*INDEX(Inputs!$K$5:$AJ$190,0,MATCH(P$2,Inputs!$K$4:$AJ$4,0)))))</f>
        <v>2549.58253029174</v>
      </c>
      <c r="Q17" s="6">
        <f>IF(ISNA(MATCH(Q$2,Inputs!$K$4:$AJ$4,0)),NA(),IF(SUMPRODUCT((Inputs!$A$5:$A$190=$B17)*ISNUMBER(INDEX(Inputs!$K$5:$AJ$190,0,MATCH(Q$2,Inputs!$K$4:$AJ$4,0))))+SUMPRODUCT((Inputs!$C$5:$C$190=$B17)*ISNUMBER(INDEX(Inputs!$K$5:$AJ$190,0,MATCH(Q$2,Inputs!$K$4:$AJ$4,0))))+SUMPRODUCT((Inputs!$E$5:$E$190=$B17)*ISNUMBER(INDEX(Inputs!$K$5:$AJ$190,0,MATCH(Q$2,Inputs!$K$4:$AJ$4,0))))=0,NA(),SUMPRODUCT((Inputs!$A$5:$A$190=$B17)*Inputs!$B$5:$B$190*(((Inputs!$G$5:$G$190="moeda")+(Inputs!$G$5:$G$190="acoes"))*Inputs!$B$1+((Inputs!$G$5:$G$190&lt;&gt;"moeda")*(Inputs!$G$5:$G$190&lt;&gt;"acoes")))*INDEX(Inputs!$K$5:$AJ$190,0,MATCH(Q$2,Inputs!$K$4:$AJ$4,0)))+SUMPRODUCT((Inputs!$C$5:$C$190=$B17)*Inputs!$D$5:$D$190*(((Inputs!$G$5:$G$190="moeda")+(Inputs!$G$5:$G$190="acoes"))*Inputs!$B$1+((Inputs!$G$5:$G$190&lt;&gt;"moeda")*(Inputs!$G$5:$G$190&lt;&gt;"acoes")))*INDEX(Inputs!$K$5:$AJ$190,0,MATCH(Q$2,Inputs!$K$4:$AJ$4,0)))+SUMPRODUCT((Inputs!$E$5:$E$190=$B17)*Inputs!$F$5:$F$190*(((Inputs!$G$5:$G$190="moeda")+(Inputs!$G$5:$G$190="acoes"))*Inputs!$B$1+((Inputs!$G$5:$G$190&lt;&gt;"moeda")*(Inputs!$G$5:$G$190&lt;&gt;"acoes")))*INDEX(Inputs!$K$5:$AJ$190,0,MATCH(Q$2,Inputs!$K$4:$AJ$4,0)))))</f>
        <v>2890.50938019952</v>
      </c>
      <c r="R17" s="3">
        <f>Q17</f>
        <v>2890.50938019952</v>
      </c>
      <c r="S17" s="6">
        <f>IF(ISNA(MATCH(S$2,Inputs!$K$4:$AJ$4,0)),NA(),IF(SUMPRODUCT((Inputs!$A$5:$A$190=$B17)*ISNUMBER(INDEX(Inputs!$K$5:$AJ$190,0,MATCH(S$2,Inputs!$K$4:$AJ$4,0))))+SUMPRODUCT((Inputs!$C$5:$C$190=$B17)*ISNUMBER(INDEX(Inputs!$K$5:$AJ$190,0,MATCH(S$2,Inputs!$K$4:$AJ$4,0))))+SUMPRODUCT((Inputs!$E$5:$E$190=$B17)*ISNUMBER(INDEX(Inputs!$K$5:$AJ$190,0,MATCH(S$2,Inputs!$K$4:$AJ$4,0))))=0,NA(),SUMPRODUCT((Inputs!$A$5:$A$190=$B17)*Inputs!$B$5:$B$190*(((Inputs!$G$5:$G$190="moeda")+(Inputs!$G$5:$G$190="acoes"))*Inputs!$B$1+((Inputs!$G$5:$G$190&lt;&gt;"moeda")*(Inputs!$G$5:$G$190&lt;&gt;"acoes")))*INDEX(Inputs!$K$5:$AJ$190,0,MATCH(S$2,Inputs!$K$4:$AJ$4,0)))+SUMPRODUCT((Inputs!$C$5:$C$190=$B17)*Inputs!$D$5:$D$190*(((Inputs!$G$5:$G$190="moeda")+(Inputs!$G$5:$G$190="acoes"))*Inputs!$B$1+((Inputs!$G$5:$G$190&lt;&gt;"moeda")*(Inputs!$G$5:$G$190&lt;&gt;"acoes")))*INDEX(Inputs!$K$5:$AJ$190,0,MATCH(S$2,Inputs!$K$4:$AJ$4,0)))+SUMPRODUCT((Inputs!$E$5:$E$190=$B17)*Inputs!$F$5:$F$190*(((Inputs!$G$5:$G$190="moeda")+(Inputs!$G$5:$G$190="acoes"))*Inputs!$B$1+((Inputs!$G$5:$G$190&lt;&gt;"moeda")*(Inputs!$G$5:$G$190&lt;&gt;"acoes")))*INDEX(Inputs!$K$5:$AJ$190,0,MATCH(S$2,Inputs!$K$4:$AJ$4,0)))))</f>
        <v>2876.05484587425</v>
      </c>
      <c r="T17" s="6">
        <f>IF(ISNA(MATCH(T$2,Inputs!$K$4:$AJ$4,0)),NA(),IF(SUMPRODUCT((Inputs!$A$5:$A$190=$B17)*ISNUMBER(INDEX(Inputs!$K$5:$AJ$190,0,MATCH(T$2,Inputs!$K$4:$AJ$4,0))))+SUMPRODUCT((Inputs!$C$5:$C$190=$B17)*ISNUMBER(INDEX(Inputs!$K$5:$AJ$190,0,MATCH(T$2,Inputs!$K$4:$AJ$4,0))))+SUMPRODUCT((Inputs!$E$5:$E$190=$B17)*ISNUMBER(INDEX(Inputs!$K$5:$AJ$190,0,MATCH(T$2,Inputs!$K$4:$AJ$4,0))))=0,NA(),SUMPRODUCT((Inputs!$A$5:$A$190=$B17)*Inputs!$B$5:$B$190*(((Inputs!$G$5:$G$190="moeda")+(Inputs!$G$5:$G$190="acoes"))*Inputs!$B$1+((Inputs!$G$5:$G$190&lt;&gt;"moeda")*(Inputs!$G$5:$G$190&lt;&gt;"acoes")))*INDEX(Inputs!$K$5:$AJ$190,0,MATCH(T$2,Inputs!$K$4:$AJ$4,0)))+SUMPRODUCT((Inputs!$C$5:$C$190=$B17)*Inputs!$D$5:$D$190*(((Inputs!$G$5:$G$190="moeda")+(Inputs!$G$5:$G$190="acoes"))*Inputs!$B$1+((Inputs!$G$5:$G$190&lt;&gt;"moeda")*(Inputs!$G$5:$G$190&lt;&gt;"acoes")))*INDEX(Inputs!$K$5:$AJ$190,0,MATCH(T$2,Inputs!$K$4:$AJ$4,0)))+SUMPRODUCT((Inputs!$E$5:$E$190=$B17)*Inputs!$F$5:$F$190*(((Inputs!$G$5:$G$190="moeda")+(Inputs!$G$5:$G$190="acoes"))*Inputs!$B$1+((Inputs!$G$5:$G$190&lt;&gt;"moeda")*(Inputs!$G$5:$G$190&lt;&gt;"acoes")))*INDEX(Inputs!$K$5:$AJ$190,0,MATCH(T$2,Inputs!$K$4:$AJ$4,0)))))</f>
        <v>2973.78726808732</v>
      </c>
      <c r="U17" s="6">
        <f>IF(ISNA(MATCH(U$2,Inputs!$K$4:$AJ$4,0)),NA(),IF(SUMPRODUCT((Inputs!$A$5:$A$190=$B17)*ISNUMBER(INDEX(Inputs!$K$5:$AJ$190,0,MATCH(U$2,Inputs!$K$4:$AJ$4,0))))+SUMPRODUCT((Inputs!$C$5:$C$190=$B17)*ISNUMBER(INDEX(Inputs!$K$5:$AJ$190,0,MATCH(U$2,Inputs!$K$4:$AJ$4,0))))+SUMPRODUCT((Inputs!$E$5:$E$190=$B17)*ISNUMBER(INDEX(Inputs!$K$5:$AJ$190,0,MATCH(U$2,Inputs!$K$4:$AJ$4,0))))=0,NA(),SUMPRODUCT((Inputs!$A$5:$A$190=$B17)*Inputs!$B$5:$B$190*(((Inputs!$G$5:$G$190="moeda")+(Inputs!$G$5:$G$190="acoes"))*Inputs!$B$1+((Inputs!$G$5:$G$190&lt;&gt;"moeda")*(Inputs!$G$5:$G$190&lt;&gt;"acoes")))*INDEX(Inputs!$K$5:$AJ$190,0,MATCH(U$2,Inputs!$K$4:$AJ$4,0)))+SUMPRODUCT((Inputs!$C$5:$C$190=$B17)*Inputs!$D$5:$D$190*(((Inputs!$G$5:$G$190="moeda")+(Inputs!$G$5:$G$190="acoes"))*Inputs!$B$1+((Inputs!$G$5:$G$190&lt;&gt;"moeda")*(Inputs!$G$5:$G$190&lt;&gt;"acoes")))*INDEX(Inputs!$K$5:$AJ$190,0,MATCH(U$2,Inputs!$K$4:$AJ$4,0)))+SUMPRODUCT((Inputs!$E$5:$E$190=$B17)*Inputs!$F$5:$F$190*(((Inputs!$G$5:$G$190="moeda")+(Inputs!$G$5:$G$190="acoes"))*Inputs!$B$1+((Inputs!$G$5:$G$190&lt;&gt;"moeda")*(Inputs!$G$5:$G$190&lt;&gt;"acoes")))*INDEX(Inputs!$K$5:$AJ$190,0,MATCH(U$2,Inputs!$K$4:$AJ$4,0)))))</f>
        <v>3204.8421038027</v>
      </c>
      <c r="V17" s="6">
        <f>IF(ISNA(MATCH(V$2,Inputs!$K$4:$AJ$4,0)),NA(),IF(SUMPRODUCT((Inputs!$A$5:$A$190=$B17)*ISNUMBER(INDEX(Inputs!$K$5:$AJ$190,0,MATCH(V$2,Inputs!$K$4:$AJ$4,0))))+SUMPRODUCT((Inputs!$C$5:$C$190=$B17)*ISNUMBER(INDEX(Inputs!$K$5:$AJ$190,0,MATCH(V$2,Inputs!$K$4:$AJ$4,0))))+SUMPRODUCT((Inputs!$E$5:$E$190=$B17)*ISNUMBER(INDEX(Inputs!$K$5:$AJ$190,0,MATCH(V$2,Inputs!$K$4:$AJ$4,0))))=0,NA(),SUMPRODUCT((Inputs!$A$5:$A$190=$B17)*Inputs!$B$5:$B$190*(((Inputs!$G$5:$G$190="moeda")+(Inputs!$G$5:$G$190="acoes"))*Inputs!$B$1+((Inputs!$G$5:$G$190&lt;&gt;"moeda")*(Inputs!$G$5:$G$190&lt;&gt;"acoes")))*INDEX(Inputs!$K$5:$AJ$190,0,MATCH(V$2,Inputs!$K$4:$AJ$4,0)))+SUMPRODUCT((Inputs!$C$5:$C$190=$B17)*Inputs!$D$5:$D$190*(((Inputs!$G$5:$G$190="moeda")+(Inputs!$G$5:$G$190="acoes"))*Inputs!$B$1+((Inputs!$G$5:$G$190&lt;&gt;"moeda")*(Inputs!$G$5:$G$190&lt;&gt;"acoes")))*INDEX(Inputs!$K$5:$AJ$190,0,MATCH(V$2,Inputs!$K$4:$AJ$4,0)))+SUMPRODUCT((Inputs!$E$5:$E$190=$B17)*Inputs!$F$5:$F$190*(((Inputs!$G$5:$G$190="moeda")+(Inputs!$G$5:$G$190="acoes"))*Inputs!$B$1+((Inputs!$G$5:$G$190&lt;&gt;"moeda")*(Inputs!$G$5:$G$190&lt;&gt;"acoes")))*INDEX(Inputs!$K$5:$AJ$190,0,MATCH(V$2,Inputs!$K$4:$AJ$4,0)))))</f>
        <v>3180.42084757</v>
      </c>
      <c r="W17" s="3">
        <f>V17</f>
        <v>3180.42084757</v>
      </c>
      <c r="X17" s="6">
        <f>IF(ISNA(MATCH(X$2,Inputs!$K$4:$AJ$4,0)),NA(),IF(SUMPRODUCT((Inputs!$A$5:$A$190=$B17)*ISNUMBER(INDEX(Inputs!$K$5:$AJ$190,0,MATCH(X$2,Inputs!$K$4:$AJ$4,0))))+SUMPRODUCT((Inputs!$C$5:$C$190=$B17)*ISNUMBER(INDEX(Inputs!$K$5:$AJ$190,0,MATCH(X$2,Inputs!$K$4:$AJ$4,0))))+SUMPRODUCT((Inputs!$E$5:$E$190=$B17)*ISNUMBER(INDEX(Inputs!$K$5:$AJ$190,0,MATCH(X$2,Inputs!$K$4:$AJ$4,0))))=0,NA(),SUMPRODUCT((Inputs!$A$5:$A$190=$B17)*Inputs!$B$5:$B$190*(((Inputs!$G$5:$G$190="moeda")+(Inputs!$G$5:$G$190="acoes"))*Inputs!$B$1+((Inputs!$G$5:$G$190&lt;&gt;"moeda")*(Inputs!$G$5:$G$190&lt;&gt;"acoes")))*INDEX(Inputs!$K$5:$AJ$190,0,MATCH(X$2,Inputs!$K$4:$AJ$4,0)))+SUMPRODUCT((Inputs!$C$5:$C$190=$B17)*Inputs!$D$5:$D$190*(((Inputs!$G$5:$G$190="moeda")+(Inputs!$G$5:$G$190="acoes"))*Inputs!$B$1+((Inputs!$G$5:$G$190&lt;&gt;"moeda")*(Inputs!$G$5:$G$190&lt;&gt;"acoes")))*INDEX(Inputs!$K$5:$AJ$190,0,MATCH(X$2,Inputs!$K$4:$AJ$4,0)))+SUMPRODUCT((Inputs!$E$5:$E$190=$B17)*Inputs!$F$5:$F$190*(((Inputs!$G$5:$G$190="moeda")+(Inputs!$G$5:$G$190="acoes"))*Inputs!$B$1+((Inputs!$G$5:$G$190&lt;&gt;"moeda")*(Inputs!$G$5:$G$190&lt;&gt;"acoes")))*INDEX(Inputs!$K$5:$AJ$190,0,MATCH(X$2,Inputs!$K$4:$AJ$4,0)))))</f>
        <v>3017.70346832</v>
      </c>
      <c r="Y17" s="6">
        <f>IF(ISNA(MATCH(Y$2,Inputs!$K$4:$AJ$4,0)),NA(),IF(SUMPRODUCT((Inputs!$A$5:$A$190=$B17)*ISNUMBER(INDEX(Inputs!$K$5:$AJ$190,0,MATCH(Y$2,Inputs!$K$4:$AJ$4,0))))+SUMPRODUCT((Inputs!$C$5:$C$190=$B17)*ISNUMBER(INDEX(Inputs!$K$5:$AJ$190,0,MATCH(Y$2,Inputs!$K$4:$AJ$4,0))))+SUMPRODUCT((Inputs!$E$5:$E$190=$B17)*ISNUMBER(INDEX(Inputs!$K$5:$AJ$190,0,MATCH(Y$2,Inputs!$K$4:$AJ$4,0))))=0,NA(),SUMPRODUCT((Inputs!$A$5:$A$190=$B17)*Inputs!$B$5:$B$190*(((Inputs!$G$5:$G$190="moeda")+(Inputs!$G$5:$G$190="acoes"))*Inputs!$B$1+((Inputs!$G$5:$G$190&lt;&gt;"moeda")*(Inputs!$G$5:$G$190&lt;&gt;"acoes")))*INDEX(Inputs!$K$5:$AJ$190,0,MATCH(Y$2,Inputs!$K$4:$AJ$4,0)))+SUMPRODUCT((Inputs!$C$5:$C$190=$B17)*Inputs!$D$5:$D$190*(((Inputs!$G$5:$G$190="moeda")+(Inputs!$G$5:$G$190="acoes"))*Inputs!$B$1+((Inputs!$G$5:$G$190&lt;&gt;"moeda")*(Inputs!$G$5:$G$190&lt;&gt;"acoes")))*INDEX(Inputs!$K$5:$AJ$190,0,MATCH(Y$2,Inputs!$K$4:$AJ$4,0)))+SUMPRODUCT((Inputs!$E$5:$E$190=$B17)*Inputs!$F$5:$F$190*(((Inputs!$G$5:$G$190="moeda")+(Inputs!$G$5:$G$190="acoes"))*Inputs!$B$1+((Inputs!$G$5:$G$190&lt;&gt;"moeda")*(Inputs!$G$5:$G$190&lt;&gt;"acoes")))*INDEX(Inputs!$K$5:$AJ$190,0,MATCH(Y$2,Inputs!$K$4:$AJ$4,0)))))</f>
        <v>3009.38209893</v>
      </c>
      <c r="Z17" s="6">
        <f>IF(ISNA(MATCH(Z$2,Inputs!$K$4:$AJ$4,0)),NA(),IF(SUMPRODUCT((Inputs!$A$5:$A$190=$B17)*ISNUMBER(INDEX(Inputs!$K$5:$AJ$190,0,MATCH(Z$2,Inputs!$K$4:$AJ$4,0))))+SUMPRODUCT((Inputs!$C$5:$C$190=$B17)*ISNUMBER(INDEX(Inputs!$K$5:$AJ$190,0,MATCH(Z$2,Inputs!$K$4:$AJ$4,0))))+SUMPRODUCT((Inputs!$E$5:$E$190=$B17)*ISNUMBER(INDEX(Inputs!$K$5:$AJ$190,0,MATCH(Z$2,Inputs!$K$4:$AJ$4,0))))=0,NA(),SUMPRODUCT((Inputs!$A$5:$A$190=$B17)*Inputs!$B$5:$B$190*(((Inputs!$G$5:$G$190="moeda")+(Inputs!$G$5:$G$190="acoes"))*Inputs!$B$1+((Inputs!$G$5:$G$190&lt;&gt;"moeda")*(Inputs!$G$5:$G$190&lt;&gt;"acoes")))*INDEX(Inputs!$K$5:$AJ$190,0,MATCH(Z$2,Inputs!$K$4:$AJ$4,0)))+SUMPRODUCT((Inputs!$C$5:$C$190=$B17)*Inputs!$D$5:$D$190*(((Inputs!$G$5:$G$190="moeda")+(Inputs!$G$5:$G$190="acoes"))*Inputs!$B$1+((Inputs!$G$5:$G$190&lt;&gt;"moeda")*(Inputs!$G$5:$G$190&lt;&gt;"acoes")))*INDEX(Inputs!$K$5:$AJ$190,0,MATCH(Z$2,Inputs!$K$4:$AJ$4,0)))+SUMPRODUCT((Inputs!$E$5:$E$190=$B17)*Inputs!$F$5:$F$190*(((Inputs!$G$5:$G$190="moeda")+(Inputs!$G$5:$G$190="acoes"))*Inputs!$B$1+((Inputs!$G$5:$G$190&lt;&gt;"moeda")*(Inputs!$G$5:$G$190&lt;&gt;"acoes")))*INDEX(Inputs!$K$5:$AJ$190,0,MATCH(Z$2,Inputs!$K$4:$AJ$4,0)))))</f>
        <v>2814.70355854</v>
      </c>
      <c r="AA17" s="6">
        <f>IF(ISNA(MATCH(AA$2,Inputs!$K$4:$AJ$4,0)),NA(),IF(SUMPRODUCT((Inputs!$A$5:$A$190=$B17)*ISNUMBER(INDEX(Inputs!$K$5:$AJ$190,0,MATCH(AA$2,Inputs!$K$4:$AJ$4,0))))+SUMPRODUCT((Inputs!$C$5:$C$190=$B17)*ISNUMBER(INDEX(Inputs!$K$5:$AJ$190,0,MATCH(AA$2,Inputs!$K$4:$AJ$4,0))))+SUMPRODUCT((Inputs!$E$5:$E$190=$B17)*ISNUMBER(INDEX(Inputs!$K$5:$AJ$190,0,MATCH(AA$2,Inputs!$K$4:$AJ$4,0))))=0,NA(),SUMPRODUCT((Inputs!$A$5:$A$190=$B17)*Inputs!$B$5:$B$190*(((Inputs!$G$5:$G$190="moeda")+(Inputs!$G$5:$G$190="acoes"))*Inputs!$B$1+((Inputs!$G$5:$G$190&lt;&gt;"moeda")*(Inputs!$G$5:$G$190&lt;&gt;"acoes")))*INDEX(Inputs!$K$5:$AJ$190,0,MATCH(AA$2,Inputs!$K$4:$AJ$4,0)))+SUMPRODUCT((Inputs!$C$5:$C$190=$B17)*Inputs!$D$5:$D$190*(((Inputs!$G$5:$G$190="moeda")+(Inputs!$G$5:$G$190="acoes"))*Inputs!$B$1+((Inputs!$G$5:$G$190&lt;&gt;"moeda")*(Inputs!$G$5:$G$190&lt;&gt;"acoes")))*INDEX(Inputs!$K$5:$AJ$190,0,MATCH(AA$2,Inputs!$K$4:$AJ$4,0)))+SUMPRODUCT((Inputs!$E$5:$E$190=$B17)*Inputs!$F$5:$F$190*(((Inputs!$G$5:$G$190="moeda")+(Inputs!$G$5:$G$190="acoes"))*Inputs!$B$1+((Inputs!$G$5:$G$190&lt;&gt;"moeda")*(Inputs!$G$5:$G$190&lt;&gt;"acoes")))*INDEX(Inputs!$K$5:$AJ$190,0,MATCH(AA$2,Inputs!$K$4:$AJ$4,0)))))</f>
        <v>2827.60633441</v>
      </c>
      <c r="AB17" s="3">
        <f>AA17</f>
        <v>2827.60633441</v>
      </c>
      <c r="AC17" s="6">
        <f>IF(ISNA(MATCH(AC$2,Inputs!$K$4:$AJ$4,0)),NA(),IF(SUMPRODUCT((Inputs!$A$5:$A$190=$B17)*ISNUMBER(INDEX(Inputs!$K$5:$AJ$190,0,MATCH(AC$2,Inputs!$K$4:$AJ$4,0))))+SUMPRODUCT((Inputs!$C$5:$C$190=$B17)*ISNUMBER(INDEX(Inputs!$K$5:$AJ$190,0,MATCH(AC$2,Inputs!$K$4:$AJ$4,0))))+SUMPRODUCT((Inputs!$E$5:$E$190=$B17)*ISNUMBER(INDEX(Inputs!$K$5:$AJ$190,0,MATCH(AC$2,Inputs!$K$4:$AJ$4,0))))=0,NA(),SUMPRODUCT((Inputs!$A$5:$A$190=$B17)*Inputs!$B$5:$B$190*(((Inputs!$G$5:$G$190="moeda")+(Inputs!$G$5:$G$190="acoes"))*Inputs!$B$1+((Inputs!$G$5:$G$190&lt;&gt;"moeda")*(Inputs!$G$5:$G$190&lt;&gt;"acoes")))*INDEX(Inputs!$K$5:$AJ$190,0,MATCH(AC$2,Inputs!$K$4:$AJ$4,0)))+SUMPRODUCT((Inputs!$C$5:$C$190=$B17)*Inputs!$D$5:$D$190*(((Inputs!$G$5:$G$190="moeda")+(Inputs!$G$5:$G$190="acoes"))*Inputs!$B$1+((Inputs!$G$5:$G$190&lt;&gt;"moeda")*(Inputs!$G$5:$G$190&lt;&gt;"acoes")))*INDEX(Inputs!$K$5:$AJ$190,0,MATCH(AC$2,Inputs!$K$4:$AJ$4,0)))+SUMPRODUCT((Inputs!$E$5:$E$190=$B17)*Inputs!$F$5:$F$190*(((Inputs!$G$5:$G$190="moeda")+(Inputs!$G$5:$G$190="acoes"))*Inputs!$B$1+((Inputs!$G$5:$G$190&lt;&gt;"moeda")*(Inputs!$G$5:$G$190&lt;&gt;"acoes")))*INDEX(Inputs!$K$5:$AJ$190,0,MATCH(AC$2,Inputs!$K$4:$AJ$4,0)))))</f>
        <v>2524.4446876</v>
      </c>
      <c r="AD17" s="6">
        <f>IF(ISNA(MATCH(AD$2,Inputs!$K$4:$AJ$4,0)),NA(),IF(SUMPRODUCT((Inputs!$A$5:$A$190=$B17)*ISNUMBER(INDEX(Inputs!$K$5:$AJ$190,0,MATCH(AD$2,Inputs!$K$4:$AJ$4,0))))+SUMPRODUCT((Inputs!$C$5:$C$190=$B17)*ISNUMBER(INDEX(Inputs!$K$5:$AJ$190,0,MATCH(AD$2,Inputs!$K$4:$AJ$4,0))))+SUMPRODUCT((Inputs!$E$5:$E$190=$B17)*ISNUMBER(INDEX(Inputs!$K$5:$AJ$190,0,MATCH(AD$2,Inputs!$K$4:$AJ$4,0))))=0,NA(),SUMPRODUCT((Inputs!$A$5:$A$190=$B17)*Inputs!$B$5:$B$190*(((Inputs!$G$5:$G$190="moeda")+(Inputs!$G$5:$G$190="acoes"))*Inputs!$B$1+((Inputs!$G$5:$G$190&lt;&gt;"moeda")*(Inputs!$G$5:$G$190&lt;&gt;"acoes")))*INDEX(Inputs!$K$5:$AJ$190,0,MATCH(AD$2,Inputs!$K$4:$AJ$4,0)))+SUMPRODUCT((Inputs!$C$5:$C$190=$B17)*Inputs!$D$5:$D$190*(((Inputs!$G$5:$G$190="moeda")+(Inputs!$G$5:$G$190="acoes"))*Inputs!$B$1+((Inputs!$G$5:$G$190&lt;&gt;"moeda")*(Inputs!$G$5:$G$190&lt;&gt;"acoes")))*INDEX(Inputs!$K$5:$AJ$190,0,MATCH(AD$2,Inputs!$K$4:$AJ$4,0)))+SUMPRODUCT((Inputs!$E$5:$E$190=$B17)*Inputs!$F$5:$F$190*(((Inputs!$G$5:$G$190="moeda")+(Inputs!$G$5:$G$190="acoes"))*Inputs!$B$1+((Inputs!$G$5:$G$190&lt;&gt;"moeda")*(Inputs!$G$5:$G$190&lt;&gt;"acoes")))*INDEX(Inputs!$K$5:$AJ$190,0,MATCH(AD$2,Inputs!$K$4:$AJ$4,0)))))</f>
        <v>2670.24045105</v>
      </c>
      <c r="AE17" s="6" t="e">
        <f>IF(ISNA(MATCH(AE$2,Inputs!$K$4:$AJ$4,0)),NA(),IF(SUMPRODUCT((Inputs!$A$5:$A$190=$B17)*ISNUMBER(INDEX(Inputs!$K$5:$AJ$190,0,MATCH(AE$2,Inputs!$K$4:$AJ$4,0))))+SUMPRODUCT((Inputs!$C$5:$C$190=$B17)*ISNUMBER(INDEX(Inputs!$K$5:$AJ$190,0,MATCH(AE$2,Inputs!$K$4:$AJ$4,0))))+SUMPRODUCT((Inputs!$E$5:$E$190=$B17)*ISNUMBER(INDEX(Inputs!$K$5:$AJ$190,0,MATCH(AE$2,Inputs!$K$4:$AJ$4,0))))=0,NA(),SUMPRODUCT((Inputs!$A$5:$A$190=$B17)*Inputs!$B$5:$B$190*(((Inputs!$G$5:$G$190="moeda")+(Inputs!$G$5:$G$190="acoes"))*Inputs!$B$1+((Inputs!$G$5:$G$190&lt;&gt;"moeda")*(Inputs!$G$5:$G$190&lt;&gt;"acoes")))*INDEX(Inputs!$K$5:$AJ$190,0,MATCH(AE$2,Inputs!$K$4:$AJ$4,0)))+SUMPRODUCT((Inputs!$C$5:$C$190=$B17)*Inputs!$D$5:$D$190*(((Inputs!$G$5:$G$190="moeda")+(Inputs!$G$5:$G$190="acoes"))*Inputs!$B$1+((Inputs!$G$5:$G$190&lt;&gt;"moeda")*(Inputs!$G$5:$G$190&lt;&gt;"acoes")))*INDEX(Inputs!$K$5:$AJ$190,0,MATCH(AE$2,Inputs!$K$4:$AJ$4,0)))+SUMPRODUCT((Inputs!$E$5:$E$190=$B17)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17" s="6" t="e">
        <f>IF(ISNA(MATCH(AF$2,Inputs!$K$4:$AJ$4,0)),NA(),IF(SUMPRODUCT((Inputs!$A$5:$A$190=$B17)*ISNUMBER(INDEX(Inputs!$K$5:$AJ$190,0,MATCH(AF$2,Inputs!$K$4:$AJ$4,0))))+SUMPRODUCT((Inputs!$C$5:$C$190=$B17)*ISNUMBER(INDEX(Inputs!$K$5:$AJ$190,0,MATCH(AF$2,Inputs!$K$4:$AJ$4,0))))+SUMPRODUCT((Inputs!$E$5:$E$190=$B17)*ISNUMBER(INDEX(Inputs!$K$5:$AJ$190,0,MATCH(AF$2,Inputs!$K$4:$AJ$4,0))))=0,NA(),SUMPRODUCT((Inputs!$A$5:$A$190=$B17)*Inputs!$B$5:$B$190*(((Inputs!$G$5:$G$190="moeda")+(Inputs!$G$5:$G$190="acoes"))*Inputs!$B$1+((Inputs!$G$5:$G$190&lt;&gt;"moeda")*(Inputs!$G$5:$G$190&lt;&gt;"acoes")))*INDEX(Inputs!$K$5:$AJ$190,0,MATCH(AF$2,Inputs!$K$4:$AJ$4,0)))+SUMPRODUCT((Inputs!$C$5:$C$190=$B17)*Inputs!$D$5:$D$190*(((Inputs!$G$5:$G$190="moeda")+(Inputs!$G$5:$G$190="acoes"))*Inputs!$B$1+((Inputs!$G$5:$G$190&lt;&gt;"moeda")*(Inputs!$G$5:$G$190&lt;&gt;"acoes")))*INDEX(Inputs!$K$5:$AJ$190,0,MATCH(AF$2,Inputs!$K$4:$AJ$4,0)))+SUMPRODUCT((Inputs!$E$5:$E$190=$B17)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17" s="3" t="e">
        <f>AF17</f>
        <v>#N/A</v>
      </c>
      <c r="AH17" s="6">
        <f>IF(ISNA(MATCH(AH$2,Inputs!$K$4:$AJ$4,0)),NA(),IF(SUMPRODUCT((Inputs!$A$5:$A$190=$B17)*ISNUMBER(INDEX(Inputs!$K$5:$AJ$190,0,MATCH(AH$2,Inputs!$K$4:$AJ$4,0))))+SUMPRODUCT((Inputs!$C$5:$C$190=$B17)*ISNUMBER(INDEX(Inputs!$K$5:$AJ$190,0,MATCH(AH$2,Inputs!$K$4:$AJ$4,0))))+SUMPRODUCT((Inputs!$E$5:$E$190=$B17)*ISNUMBER(INDEX(Inputs!$K$5:$AJ$190,0,MATCH(AH$2,Inputs!$K$4:$AJ$4,0))))=0,NA(),SUMPRODUCT((Inputs!$A$5:$A$190=$B17)*Inputs!$B$5:$B$190*(((Inputs!$G$5:$G$190="moeda")+(Inputs!$G$5:$G$190="acoes"))*Inputs!$B$1+((Inputs!$G$5:$G$190&lt;&gt;"moeda")*(Inputs!$G$5:$G$190&lt;&gt;"acoes")))*INDEX(Inputs!$K$5:$AJ$190,0,MATCH(AH$2,Inputs!$K$4:$AJ$4,0)))+SUMPRODUCT((Inputs!$C$5:$C$190=$B17)*Inputs!$D$5:$D$190*(((Inputs!$G$5:$G$190="moeda")+(Inputs!$G$5:$G$190="acoes"))*Inputs!$B$1+((Inputs!$G$5:$G$190&lt;&gt;"moeda")*(Inputs!$G$5:$G$190&lt;&gt;"acoes")))*INDEX(Inputs!$K$5:$AJ$190,0,MATCH(AH$2,Inputs!$K$4:$AJ$4,0)))+SUMPRODUCT((Inputs!$E$5:$E$190=$B17)*Inputs!$F$5:$F$190*(((Inputs!$G$5:$G$190="moeda")+(Inputs!$G$5:$G$190="acoes"))*Inputs!$B$1+((Inputs!$G$5:$G$190&lt;&gt;"moeda")*(Inputs!$G$5:$G$190&lt;&gt;"acoes")))*INDEX(Inputs!$K$5:$AJ$190,0,MATCH(AH$2,Inputs!$K$4:$AJ$4,0)))))</f>
        <v>308.24343693</v>
      </c>
      <c r="AI17" s="6">
        <f>IF(ISNA(MATCH(AI$2,Inputs!$K$4:$AJ$4,0)),NA(),IF(SUMPRODUCT((Inputs!$A$5:$A$190=$B17)*ISNUMBER(INDEX(Inputs!$K$5:$AJ$190,0,MATCH(AI$2,Inputs!$K$4:$AJ$4,0))))+SUMPRODUCT((Inputs!$C$5:$C$190=$B17)*ISNUMBER(INDEX(Inputs!$K$5:$AJ$190,0,MATCH(AI$2,Inputs!$K$4:$AJ$4,0))))+SUMPRODUCT((Inputs!$E$5:$E$190=$B17)*ISNUMBER(INDEX(Inputs!$K$5:$AJ$190,0,MATCH(AI$2,Inputs!$K$4:$AJ$4,0))))=0,NA(),SUMPRODUCT((Inputs!$A$5:$A$190=$B17)*Inputs!$B$5:$B$190*(((Inputs!$G$5:$G$190="moeda")+(Inputs!$G$5:$G$190="acoes"))*Inputs!$B$1+((Inputs!$G$5:$G$190&lt;&gt;"moeda")*(Inputs!$G$5:$G$190&lt;&gt;"acoes")))*INDEX(Inputs!$K$5:$AJ$190,0,MATCH(AI$2,Inputs!$K$4:$AJ$4,0)))+SUMPRODUCT((Inputs!$C$5:$C$190=$B17)*Inputs!$D$5:$D$190*(((Inputs!$G$5:$G$190="moeda")+(Inputs!$G$5:$G$190="acoes"))*Inputs!$B$1+((Inputs!$G$5:$G$190&lt;&gt;"moeda")*(Inputs!$G$5:$G$190&lt;&gt;"acoes")))*INDEX(Inputs!$K$5:$AJ$190,0,MATCH(AI$2,Inputs!$K$4:$AJ$4,0)))+SUMPRODUCT((Inputs!$E$5:$E$190=$B17)*Inputs!$F$5:$F$190*(((Inputs!$G$5:$G$190="moeda")+(Inputs!$G$5:$G$190="acoes"))*Inputs!$B$1+((Inputs!$G$5:$G$190&lt;&gt;"moeda")*(Inputs!$G$5:$G$190&lt;&gt;"acoes")))*INDEX(Inputs!$K$5:$AJ$190,0,MATCH(AI$2,Inputs!$K$4:$AJ$4,0)))))</f>
        <v>292.12008807</v>
      </c>
      <c r="AJ17" s="6">
        <f>IF(ISNA(MATCH(AJ$2,Inputs!$K$4:$AJ$4,0)),NA(),IF(SUMPRODUCT((Inputs!$A$5:$A$190=$B17)*ISNUMBER(INDEX(Inputs!$K$5:$AJ$190,0,MATCH(AJ$2,Inputs!$K$4:$AJ$4,0))))+SUMPRODUCT((Inputs!$C$5:$C$190=$B17)*ISNUMBER(INDEX(Inputs!$K$5:$AJ$190,0,MATCH(AJ$2,Inputs!$K$4:$AJ$4,0))))+SUMPRODUCT((Inputs!$E$5:$E$190=$B17)*ISNUMBER(INDEX(Inputs!$K$5:$AJ$190,0,MATCH(AJ$2,Inputs!$K$4:$AJ$4,0))))=0,NA(),SUMPRODUCT((Inputs!$A$5:$A$190=$B17)*Inputs!$B$5:$B$190*(((Inputs!$G$5:$G$190="moeda")+(Inputs!$G$5:$G$190="acoes"))*Inputs!$B$1+((Inputs!$G$5:$G$190&lt;&gt;"moeda")*(Inputs!$G$5:$G$190&lt;&gt;"acoes")))*INDEX(Inputs!$K$5:$AJ$190,0,MATCH(AJ$2,Inputs!$K$4:$AJ$4,0)))+SUMPRODUCT((Inputs!$C$5:$C$190=$B17)*Inputs!$D$5:$D$190*(((Inputs!$G$5:$G$190="moeda")+(Inputs!$G$5:$G$190="acoes"))*Inputs!$B$1+((Inputs!$G$5:$G$190&lt;&gt;"moeda")*(Inputs!$G$5:$G$190&lt;&gt;"acoes")))*INDEX(Inputs!$K$5:$AJ$190,0,MATCH(AJ$2,Inputs!$K$4:$AJ$4,0)))+SUMPRODUCT((Inputs!$E$5:$E$190=$B17)*Inputs!$F$5:$F$190*(((Inputs!$G$5:$G$190="moeda")+(Inputs!$G$5:$G$190="acoes"))*Inputs!$B$1+((Inputs!$G$5:$G$190&lt;&gt;"moeda")*(Inputs!$G$5:$G$190&lt;&gt;"acoes")))*INDEX(Inputs!$K$5:$AJ$190,0,MATCH(AJ$2,Inputs!$K$4:$AJ$4,0)))))</f>
        <v>235.5613089</v>
      </c>
      <c r="AK17" s="6">
        <f>IF(ISNA(MATCH(AK$2,Inputs!$K$4:$AJ$4,0)),NA(),IF(SUMPRODUCT((Inputs!$A$5:$A$190=$B17)*ISNUMBER(INDEX(Inputs!$K$5:$AJ$190,0,MATCH(AK$2,Inputs!$K$4:$AJ$4,0))))+SUMPRODUCT((Inputs!$C$5:$C$190=$B17)*ISNUMBER(INDEX(Inputs!$K$5:$AJ$190,0,MATCH(AK$2,Inputs!$K$4:$AJ$4,0))))+SUMPRODUCT((Inputs!$E$5:$E$190=$B17)*ISNUMBER(INDEX(Inputs!$K$5:$AJ$190,0,MATCH(AK$2,Inputs!$K$4:$AJ$4,0))))=0,NA(),SUMPRODUCT((Inputs!$A$5:$A$190=$B17)*Inputs!$B$5:$B$190*(((Inputs!$G$5:$G$190="moeda")+(Inputs!$G$5:$G$190="acoes"))*Inputs!$B$1+((Inputs!$G$5:$G$190&lt;&gt;"moeda")*(Inputs!$G$5:$G$190&lt;&gt;"acoes")))*INDEX(Inputs!$K$5:$AJ$190,0,MATCH(AK$2,Inputs!$K$4:$AJ$4,0)))+SUMPRODUCT((Inputs!$C$5:$C$190=$B17)*Inputs!$D$5:$D$190*(((Inputs!$G$5:$G$190="moeda")+(Inputs!$G$5:$G$190="acoes"))*Inputs!$B$1+((Inputs!$G$5:$G$190&lt;&gt;"moeda")*(Inputs!$G$5:$G$190&lt;&gt;"acoes")))*INDEX(Inputs!$K$5:$AJ$190,0,MATCH(AK$2,Inputs!$K$4:$AJ$4,0)))+SUMPRODUCT((Inputs!$E$5:$E$190=$B17)*Inputs!$F$5:$F$190*(((Inputs!$G$5:$G$190="moeda")+(Inputs!$G$5:$G$190="acoes"))*Inputs!$B$1+((Inputs!$G$5:$G$190&lt;&gt;"moeda")*(Inputs!$G$5:$G$190&lt;&gt;"acoes")))*INDEX(Inputs!$K$5:$AJ$190,0,MATCH(AK$2,Inputs!$K$4:$AJ$4,0)))))</f>
        <v>213.01692523216</v>
      </c>
      <c r="AL17" s="3">
        <f>AK17</f>
        <v>213.01692523216</v>
      </c>
    </row>
    <row r="18">
      <c r="B18" s="46" t="n">
        <v>14</v>
      </c>
      <c r="C18" s="26" t="inlineStr">
        <is>
          <t>Deferred income taxes</t>
        </is>
      </c>
      <c r="D18" s="6">
        <f>IF(ISNA(MATCH(D$2,Inputs!$K$4:$AJ$4,0)),NA(),IF(SUMPRODUCT((Inputs!$A$5:$A$190=$B18)*ISNUMBER(INDEX(Inputs!$K$5:$AJ$190,0,MATCH(D$2,Inputs!$K$4:$AJ$4,0))))+SUMPRODUCT((Inputs!$C$5:$C$190=$B18)*ISNUMBER(INDEX(Inputs!$K$5:$AJ$190,0,MATCH(D$2,Inputs!$K$4:$AJ$4,0))))+SUMPRODUCT((Inputs!$E$5:$E$190=$B18)*ISNUMBER(INDEX(Inputs!$K$5:$AJ$190,0,MATCH(D$2,Inputs!$K$4:$AJ$4,0))))=0,NA(),SUMPRODUCT((Inputs!$A$5:$A$190=$B18)*Inputs!$B$5:$B$190*(((Inputs!$G$5:$G$190="moeda")+(Inputs!$G$5:$G$190="acoes"))*Inputs!$B$1+((Inputs!$G$5:$G$190&lt;&gt;"moeda")*(Inputs!$G$5:$G$190&lt;&gt;"acoes")))*INDEX(Inputs!$K$5:$AJ$190,0,MATCH(D$2,Inputs!$K$4:$AJ$4,0)))+SUMPRODUCT((Inputs!$C$5:$C$190=$B18)*Inputs!$D$5:$D$190*(((Inputs!$G$5:$G$190="moeda")+(Inputs!$G$5:$G$190="acoes"))*Inputs!$B$1+((Inputs!$G$5:$G$190&lt;&gt;"moeda")*(Inputs!$G$5:$G$190&lt;&gt;"acoes")))*INDEX(Inputs!$K$5:$AJ$190,0,MATCH(D$2,Inputs!$K$4:$AJ$4,0)))+SUMPRODUCT((Inputs!$E$5:$E$190=$B18)*Inputs!$F$5:$F$190*(((Inputs!$G$5:$G$190="moeda")+(Inputs!$G$5:$G$190="acoes"))*Inputs!$B$1+((Inputs!$G$5:$G$190&lt;&gt;"moeda")*(Inputs!$G$5:$G$190&lt;&gt;"acoes")))*INDEX(Inputs!$K$5:$AJ$190,0,MATCH(D$2,Inputs!$K$4:$AJ$4,0)))))</f>
        <v>241.268</v>
      </c>
      <c r="E18" s="6">
        <f>IF(ISNA(MATCH(E$2,Inputs!$K$4:$AJ$4,0)),NA(),IF(SUMPRODUCT((Inputs!$A$5:$A$190=$B18)*ISNUMBER(INDEX(Inputs!$K$5:$AJ$190,0,MATCH(E$2,Inputs!$K$4:$AJ$4,0))))+SUMPRODUCT((Inputs!$C$5:$C$190=$B18)*ISNUMBER(INDEX(Inputs!$K$5:$AJ$190,0,MATCH(E$2,Inputs!$K$4:$AJ$4,0))))+SUMPRODUCT((Inputs!$E$5:$E$190=$B18)*ISNUMBER(INDEX(Inputs!$K$5:$AJ$190,0,MATCH(E$2,Inputs!$K$4:$AJ$4,0))))=0,NA(),SUMPRODUCT((Inputs!$A$5:$A$190=$B18)*Inputs!$B$5:$B$190*(((Inputs!$G$5:$G$190="moeda")+(Inputs!$G$5:$G$190="acoes"))*Inputs!$B$1+((Inputs!$G$5:$G$190&lt;&gt;"moeda")*(Inputs!$G$5:$G$190&lt;&gt;"acoes")))*INDEX(Inputs!$K$5:$AJ$190,0,MATCH(E$2,Inputs!$K$4:$AJ$4,0)))+SUMPRODUCT((Inputs!$C$5:$C$190=$B18)*Inputs!$D$5:$D$190*(((Inputs!$G$5:$G$190="moeda")+(Inputs!$G$5:$G$190="acoes"))*Inputs!$B$1+((Inputs!$G$5:$G$190&lt;&gt;"moeda")*(Inputs!$G$5:$G$190&lt;&gt;"acoes")))*INDEX(Inputs!$K$5:$AJ$190,0,MATCH(E$2,Inputs!$K$4:$AJ$4,0)))+SUMPRODUCT((Inputs!$E$5:$E$190=$B18)*Inputs!$F$5:$F$190*(((Inputs!$G$5:$G$190="moeda")+(Inputs!$G$5:$G$190="acoes"))*Inputs!$B$1+((Inputs!$G$5:$G$190&lt;&gt;"moeda")*(Inputs!$G$5:$G$190&lt;&gt;"acoes")))*INDEX(Inputs!$K$5:$AJ$190,0,MATCH(E$2,Inputs!$K$4:$AJ$4,0)))))</f>
        <v>256.819</v>
      </c>
      <c r="F18" s="6">
        <f>IF(ISNA(MATCH(F$2,Inputs!$K$4:$AJ$4,0)),NA(),IF(SUMPRODUCT((Inputs!$A$5:$A$190=$B18)*ISNUMBER(INDEX(Inputs!$K$5:$AJ$190,0,MATCH(F$2,Inputs!$K$4:$AJ$4,0))))+SUMPRODUCT((Inputs!$C$5:$C$190=$B18)*ISNUMBER(INDEX(Inputs!$K$5:$AJ$190,0,MATCH(F$2,Inputs!$K$4:$AJ$4,0))))+SUMPRODUCT((Inputs!$E$5:$E$190=$B18)*ISNUMBER(INDEX(Inputs!$K$5:$AJ$190,0,MATCH(F$2,Inputs!$K$4:$AJ$4,0))))=0,NA(),SUMPRODUCT((Inputs!$A$5:$A$190=$B18)*Inputs!$B$5:$B$190*(((Inputs!$G$5:$G$190="moeda")+(Inputs!$G$5:$G$190="acoes"))*Inputs!$B$1+((Inputs!$G$5:$G$190&lt;&gt;"moeda")*(Inputs!$G$5:$G$190&lt;&gt;"acoes")))*INDEX(Inputs!$K$5:$AJ$190,0,MATCH(F$2,Inputs!$K$4:$AJ$4,0)))+SUMPRODUCT((Inputs!$C$5:$C$190=$B18)*Inputs!$D$5:$D$190*(((Inputs!$G$5:$G$190="moeda")+(Inputs!$G$5:$G$190="acoes"))*Inputs!$B$1+((Inputs!$G$5:$G$190&lt;&gt;"moeda")*(Inputs!$G$5:$G$190&lt;&gt;"acoes")))*INDEX(Inputs!$K$5:$AJ$190,0,MATCH(F$2,Inputs!$K$4:$AJ$4,0)))+SUMPRODUCT((Inputs!$E$5:$E$190=$B18)*Inputs!$F$5:$F$190*(((Inputs!$G$5:$G$190="moeda")+(Inputs!$G$5:$G$190="acoes"))*Inputs!$B$1+((Inputs!$G$5:$G$190&lt;&gt;"moeda")*(Inputs!$G$5:$G$190&lt;&gt;"acoes")))*INDEX(Inputs!$K$5:$AJ$190,0,MATCH(F$2,Inputs!$K$4:$AJ$4,0)))))</f>
        <v>412.573</v>
      </c>
      <c r="G18" s="6">
        <f>IF(ISNA(MATCH(G$2,Inputs!$K$4:$AJ$4,0)),NA(),IF(SUMPRODUCT((Inputs!$A$5:$A$190=$B18)*ISNUMBER(INDEX(Inputs!$K$5:$AJ$190,0,MATCH(G$2,Inputs!$K$4:$AJ$4,0))))+SUMPRODUCT((Inputs!$C$5:$C$190=$B18)*ISNUMBER(INDEX(Inputs!$K$5:$AJ$190,0,MATCH(G$2,Inputs!$K$4:$AJ$4,0))))+SUMPRODUCT((Inputs!$E$5:$E$190=$B18)*ISNUMBER(INDEX(Inputs!$K$5:$AJ$190,0,MATCH(G$2,Inputs!$K$4:$AJ$4,0))))=0,NA(),SUMPRODUCT((Inputs!$A$5:$A$190=$B18)*Inputs!$B$5:$B$190*(((Inputs!$G$5:$G$190="moeda")+(Inputs!$G$5:$G$190="acoes"))*Inputs!$B$1+((Inputs!$G$5:$G$190&lt;&gt;"moeda")*(Inputs!$G$5:$G$190&lt;&gt;"acoes")))*INDEX(Inputs!$K$5:$AJ$190,0,MATCH(G$2,Inputs!$K$4:$AJ$4,0)))+SUMPRODUCT((Inputs!$C$5:$C$190=$B18)*Inputs!$D$5:$D$190*(((Inputs!$G$5:$G$190="moeda")+(Inputs!$G$5:$G$190="acoes"))*Inputs!$B$1+((Inputs!$G$5:$G$190&lt;&gt;"moeda")*(Inputs!$G$5:$G$190&lt;&gt;"acoes")))*INDEX(Inputs!$K$5:$AJ$190,0,MATCH(G$2,Inputs!$K$4:$AJ$4,0)))+SUMPRODUCT((Inputs!$E$5:$E$190=$B18)*Inputs!$F$5:$F$190*(((Inputs!$G$5:$G$190="moeda")+(Inputs!$G$5:$G$190="acoes"))*Inputs!$B$1+((Inputs!$G$5:$G$190&lt;&gt;"moeda")*(Inputs!$G$5:$G$190&lt;&gt;"acoes")))*INDEX(Inputs!$K$5:$AJ$190,0,MATCH(G$2,Inputs!$K$4:$AJ$4,0)))))</f>
        <v>407.12</v>
      </c>
      <c r="H18" s="3">
        <f>G18</f>
        <v>407.12</v>
      </c>
      <c r="I18" s="6">
        <f>IF(ISNA(MATCH(I$2,Inputs!$K$4:$AJ$4,0)),NA(),IF(SUMPRODUCT((Inputs!$A$5:$A$190=$B18)*ISNUMBER(INDEX(Inputs!$K$5:$AJ$190,0,MATCH(I$2,Inputs!$K$4:$AJ$4,0))))+SUMPRODUCT((Inputs!$C$5:$C$190=$B18)*ISNUMBER(INDEX(Inputs!$K$5:$AJ$190,0,MATCH(I$2,Inputs!$K$4:$AJ$4,0))))+SUMPRODUCT((Inputs!$E$5:$E$190=$B18)*ISNUMBER(INDEX(Inputs!$K$5:$AJ$190,0,MATCH(I$2,Inputs!$K$4:$AJ$4,0))))=0,NA(),SUMPRODUCT((Inputs!$A$5:$A$190=$B18)*Inputs!$B$5:$B$190*(((Inputs!$G$5:$G$190="moeda")+(Inputs!$G$5:$G$190="acoes"))*Inputs!$B$1+((Inputs!$G$5:$G$190&lt;&gt;"moeda")*(Inputs!$G$5:$G$190&lt;&gt;"acoes")))*INDEX(Inputs!$K$5:$AJ$190,0,MATCH(I$2,Inputs!$K$4:$AJ$4,0)))+SUMPRODUCT((Inputs!$C$5:$C$190=$B18)*Inputs!$D$5:$D$190*(((Inputs!$G$5:$G$190="moeda")+(Inputs!$G$5:$G$190="acoes"))*Inputs!$B$1+((Inputs!$G$5:$G$190&lt;&gt;"moeda")*(Inputs!$G$5:$G$190&lt;&gt;"acoes")))*INDEX(Inputs!$K$5:$AJ$190,0,MATCH(I$2,Inputs!$K$4:$AJ$4,0)))+SUMPRODUCT((Inputs!$E$5:$E$190=$B18)*Inputs!$F$5:$F$190*(((Inputs!$G$5:$G$190="moeda")+(Inputs!$G$5:$G$190="acoes"))*Inputs!$B$1+((Inputs!$G$5:$G$190&lt;&gt;"moeda")*(Inputs!$G$5:$G$190&lt;&gt;"acoes")))*INDEX(Inputs!$K$5:$AJ$190,0,MATCH(I$2,Inputs!$K$4:$AJ$4,0)))))</f>
        <v>539.7</v>
      </c>
      <c r="J18" s="6">
        <f>IF(ISNA(MATCH(J$2,Inputs!$K$4:$AJ$4,0)),NA(),IF(SUMPRODUCT((Inputs!$A$5:$A$190=$B18)*ISNUMBER(INDEX(Inputs!$K$5:$AJ$190,0,MATCH(J$2,Inputs!$K$4:$AJ$4,0))))+SUMPRODUCT((Inputs!$C$5:$C$190=$B18)*ISNUMBER(INDEX(Inputs!$K$5:$AJ$190,0,MATCH(J$2,Inputs!$K$4:$AJ$4,0))))+SUMPRODUCT((Inputs!$E$5:$E$190=$B18)*ISNUMBER(INDEX(Inputs!$K$5:$AJ$190,0,MATCH(J$2,Inputs!$K$4:$AJ$4,0))))=0,NA(),SUMPRODUCT((Inputs!$A$5:$A$190=$B18)*Inputs!$B$5:$B$190*(((Inputs!$G$5:$G$190="moeda")+(Inputs!$G$5:$G$190="acoes"))*Inputs!$B$1+((Inputs!$G$5:$G$190&lt;&gt;"moeda")*(Inputs!$G$5:$G$190&lt;&gt;"acoes")))*INDEX(Inputs!$K$5:$AJ$190,0,MATCH(J$2,Inputs!$K$4:$AJ$4,0)))+SUMPRODUCT((Inputs!$C$5:$C$190=$B18)*Inputs!$D$5:$D$190*(((Inputs!$G$5:$G$190="moeda")+(Inputs!$G$5:$G$190="acoes"))*Inputs!$B$1+((Inputs!$G$5:$G$190&lt;&gt;"moeda")*(Inputs!$G$5:$G$190&lt;&gt;"acoes")))*INDEX(Inputs!$K$5:$AJ$190,0,MATCH(J$2,Inputs!$K$4:$AJ$4,0)))+SUMPRODUCT((Inputs!$E$5:$E$190=$B18)*Inputs!$F$5:$F$190*(((Inputs!$G$5:$G$190="moeda")+(Inputs!$G$5:$G$190="acoes"))*Inputs!$B$1+((Inputs!$G$5:$G$190&lt;&gt;"moeda")*(Inputs!$G$5:$G$190&lt;&gt;"acoes")))*INDEX(Inputs!$K$5:$AJ$190,0,MATCH(J$2,Inputs!$K$4:$AJ$4,0)))))</f>
        <v>736.221</v>
      </c>
      <c r="K18" s="6">
        <f>IF(ISNA(MATCH(K$2,Inputs!$K$4:$AJ$4,0)),NA(),IF(SUMPRODUCT((Inputs!$A$5:$A$190=$B18)*ISNUMBER(INDEX(Inputs!$K$5:$AJ$190,0,MATCH(K$2,Inputs!$K$4:$AJ$4,0))))+SUMPRODUCT((Inputs!$C$5:$C$190=$B18)*ISNUMBER(INDEX(Inputs!$K$5:$AJ$190,0,MATCH(K$2,Inputs!$K$4:$AJ$4,0))))+SUMPRODUCT((Inputs!$E$5:$E$190=$B18)*ISNUMBER(INDEX(Inputs!$K$5:$AJ$190,0,MATCH(K$2,Inputs!$K$4:$AJ$4,0))))=0,NA(),SUMPRODUCT((Inputs!$A$5:$A$190=$B18)*Inputs!$B$5:$B$190*(((Inputs!$G$5:$G$190="moeda")+(Inputs!$G$5:$G$190="acoes"))*Inputs!$B$1+((Inputs!$G$5:$G$190&lt;&gt;"moeda")*(Inputs!$G$5:$G$190&lt;&gt;"acoes")))*INDEX(Inputs!$K$5:$AJ$190,0,MATCH(K$2,Inputs!$K$4:$AJ$4,0)))+SUMPRODUCT((Inputs!$C$5:$C$190=$B18)*Inputs!$D$5:$D$190*(((Inputs!$G$5:$G$190="moeda")+(Inputs!$G$5:$G$190="acoes"))*Inputs!$B$1+((Inputs!$G$5:$G$190&lt;&gt;"moeda")*(Inputs!$G$5:$G$190&lt;&gt;"acoes")))*INDEX(Inputs!$K$5:$AJ$190,0,MATCH(K$2,Inputs!$K$4:$AJ$4,0)))+SUMPRODUCT((Inputs!$E$5:$E$190=$B18)*Inputs!$F$5:$F$190*(((Inputs!$G$5:$G$190="moeda")+(Inputs!$G$5:$G$190="acoes"))*Inputs!$B$1+((Inputs!$G$5:$G$190&lt;&gt;"moeda")*(Inputs!$G$5:$G$190&lt;&gt;"acoes")))*INDEX(Inputs!$K$5:$AJ$190,0,MATCH(K$2,Inputs!$K$4:$AJ$4,0)))))</f>
        <v>973.754</v>
      </c>
      <c r="L18" s="6">
        <f>IF(ISNA(MATCH(L$2,Inputs!$K$4:$AJ$4,0)),NA(),IF(SUMPRODUCT((Inputs!$A$5:$A$190=$B18)*ISNUMBER(INDEX(Inputs!$K$5:$AJ$190,0,MATCH(L$2,Inputs!$K$4:$AJ$4,0))))+SUMPRODUCT((Inputs!$C$5:$C$190=$B18)*ISNUMBER(INDEX(Inputs!$K$5:$AJ$190,0,MATCH(L$2,Inputs!$K$4:$AJ$4,0))))+SUMPRODUCT((Inputs!$E$5:$E$190=$B18)*ISNUMBER(INDEX(Inputs!$K$5:$AJ$190,0,MATCH(L$2,Inputs!$K$4:$AJ$4,0))))=0,NA(),SUMPRODUCT((Inputs!$A$5:$A$190=$B18)*Inputs!$B$5:$B$190*(((Inputs!$G$5:$G$190="moeda")+(Inputs!$G$5:$G$190="acoes"))*Inputs!$B$1+((Inputs!$G$5:$G$190&lt;&gt;"moeda")*(Inputs!$G$5:$G$190&lt;&gt;"acoes")))*INDEX(Inputs!$K$5:$AJ$190,0,MATCH(L$2,Inputs!$K$4:$AJ$4,0)))+SUMPRODUCT((Inputs!$C$5:$C$190=$B18)*Inputs!$D$5:$D$190*(((Inputs!$G$5:$G$190="moeda")+(Inputs!$G$5:$G$190="acoes"))*Inputs!$B$1+((Inputs!$G$5:$G$190&lt;&gt;"moeda")*(Inputs!$G$5:$G$190&lt;&gt;"acoes")))*INDEX(Inputs!$K$5:$AJ$190,0,MATCH(L$2,Inputs!$K$4:$AJ$4,0)))+SUMPRODUCT((Inputs!$E$5:$E$190=$B18)*Inputs!$F$5:$F$190*(((Inputs!$G$5:$G$190="moeda")+(Inputs!$G$5:$G$190="acoes"))*Inputs!$B$1+((Inputs!$G$5:$G$190&lt;&gt;"moeda")*(Inputs!$G$5:$G$190&lt;&gt;"acoes")))*INDEX(Inputs!$K$5:$AJ$190,0,MATCH(L$2,Inputs!$K$4:$AJ$4,0)))))</f>
        <v>1177.823</v>
      </c>
      <c r="M18" s="3">
        <f>L18</f>
        <v>1177.823</v>
      </c>
      <c r="N18" s="6">
        <f>IF(ISNA(MATCH(N$2,Inputs!$K$4:$AJ$4,0)),NA(),IF(SUMPRODUCT((Inputs!$A$5:$A$190=$B18)*ISNUMBER(INDEX(Inputs!$K$5:$AJ$190,0,MATCH(N$2,Inputs!$K$4:$AJ$4,0))))+SUMPRODUCT((Inputs!$C$5:$C$190=$B18)*ISNUMBER(INDEX(Inputs!$K$5:$AJ$190,0,MATCH(N$2,Inputs!$K$4:$AJ$4,0))))+SUMPRODUCT((Inputs!$E$5:$E$190=$B18)*ISNUMBER(INDEX(Inputs!$K$5:$AJ$190,0,MATCH(N$2,Inputs!$K$4:$AJ$4,0))))=0,NA(),SUMPRODUCT((Inputs!$A$5:$A$190=$B18)*Inputs!$B$5:$B$190*(((Inputs!$G$5:$G$190="moeda")+(Inputs!$G$5:$G$190="acoes"))*Inputs!$B$1+((Inputs!$G$5:$G$190&lt;&gt;"moeda")*(Inputs!$G$5:$G$190&lt;&gt;"acoes")))*INDEX(Inputs!$K$5:$AJ$190,0,MATCH(N$2,Inputs!$K$4:$AJ$4,0)))+SUMPRODUCT((Inputs!$C$5:$C$190=$B18)*Inputs!$D$5:$D$190*(((Inputs!$G$5:$G$190="moeda")+(Inputs!$G$5:$G$190="acoes"))*Inputs!$B$1+((Inputs!$G$5:$G$190&lt;&gt;"moeda")*(Inputs!$G$5:$G$190&lt;&gt;"acoes")))*INDEX(Inputs!$K$5:$AJ$190,0,MATCH(N$2,Inputs!$K$4:$AJ$4,0)))+SUMPRODUCT((Inputs!$E$5:$E$190=$B18)*Inputs!$F$5:$F$190*(((Inputs!$G$5:$G$190="moeda")+(Inputs!$G$5:$G$190="acoes"))*Inputs!$B$1+((Inputs!$G$5:$G$190&lt;&gt;"moeda")*(Inputs!$G$5:$G$190&lt;&gt;"acoes")))*INDEX(Inputs!$K$5:$AJ$190,0,MATCH(N$2,Inputs!$K$4:$AJ$4,0)))))</f>
        <v>1491.85617508</v>
      </c>
      <c r="O18" s="6">
        <f>IF(ISNA(MATCH(O$2,Inputs!$K$4:$AJ$4,0)),NA(),IF(SUMPRODUCT((Inputs!$A$5:$A$190=$B18)*ISNUMBER(INDEX(Inputs!$K$5:$AJ$190,0,MATCH(O$2,Inputs!$K$4:$AJ$4,0))))+SUMPRODUCT((Inputs!$C$5:$C$190=$B18)*ISNUMBER(INDEX(Inputs!$K$5:$AJ$190,0,MATCH(O$2,Inputs!$K$4:$AJ$4,0))))+SUMPRODUCT((Inputs!$E$5:$E$190=$B18)*ISNUMBER(INDEX(Inputs!$K$5:$AJ$190,0,MATCH(O$2,Inputs!$K$4:$AJ$4,0))))=0,NA(),SUMPRODUCT((Inputs!$A$5:$A$190=$B18)*Inputs!$B$5:$B$190*(((Inputs!$G$5:$G$190="moeda")+(Inputs!$G$5:$G$190="acoes"))*Inputs!$B$1+((Inputs!$G$5:$G$190&lt;&gt;"moeda")*(Inputs!$G$5:$G$190&lt;&gt;"acoes")))*INDEX(Inputs!$K$5:$AJ$190,0,MATCH(O$2,Inputs!$K$4:$AJ$4,0)))+SUMPRODUCT((Inputs!$C$5:$C$190=$B18)*Inputs!$D$5:$D$190*(((Inputs!$G$5:$G$190="moeda")+(Inputs!$G$5:$G$190="acoes"))*Inputs!$B$1+((Inputs!$G$5:$G$190&lt;&gt;"moeda")*(Inputs!$G$5:$G$190&lt;&gt;"acoes")))*INDEX(Inputs!$K$5:$AJ$190,0,MATCH(O$2,Inputs!$K$4:$AJ$4,0)))+SUMPRODUCT((Inputs!$E$5:$E$190=$B18)*Inputs!$F$5:$F$190*(((Inputs!$G$5:$G$190="moeda")+(Inputs!$G$5:$G$190="acoes"))*Inputs!$B$1+((Inputs!$G$5:$G$190&lt;&gt;"moeda")*(Inputs!$G$5:$G$190&lt;&gt;"acoes")))*INDEX(Inputs!$K$5:$AJ$190,0,MATCH(O$2,Inputs!$K$4:$AJ$4,0)))))</f>
        <v>1461.7029102404</v>
      </c>
      <c r="P18" s="6">
        <f>IF(ISNA(MATCH(P$2,Inputs!$K$4:$AJ$4,0)),NA(),IF(SUMPRODUCT((Inputs!$A$5:$A$190=$B18)*ISNUMBER(INDEX(Inputs!$K$5:$AJ$190,0,MATCH(P$2,Inputs!$K$4:$AJ$4,0))))+SUMPRODUCT((Inputs!$C$5:$C$190=$B18)*ISNUMBER(INDEX(Inputs!$K$5:$AJ$190,0,MATCH(P$2,Inputs!$K$4:$AJ$4,0))))+SUMPRODUCT((Inputs!$E$5:$E$190=$B18)*ISNUMBER(INDEX(Inputs!$K$5:$AJ$190,0,MATCH(P$2,Inputs!$K$4:$AJ$4,0))))=0,NA(),SUMPRODUCT((Inputs!$A$5:$A$190=$B18)*Inputs!$B$5:$B$190*(((Inputs!$G$5:$G$190="moeda")+(Inputs!$G$5:$G$190="acoes"))*Inputs!$B$1+((Inputs!$G$5:$G$190&lt;&gt;"moeda")*(Inputs!$G$5:$G$190&lt;&gt;"acoes")))*INDEX(Inputs!$K$5:$AJ$190,0,MATCH(P$2,Inputs!$K$4:$AJ$4,0)))+SUMPRODUCT((Inputs!$C$5:$C$190=$B18)*Inputs!$D$5:$D$190*(((Inputs!$G$5:$G$190="moeda")+(Inputs!$G$5:$G$190="acoes"))*Inputs!$B$1+((Inputs!$G$5:$G$190&lt;&gt;"moeda")*(Inputs!$G$5:$G$190&lt;&gt;"acoes")))*INDEX(Inputs!$K$5:$AJ$190,0,MATCH(P$2,Inputs!$K$4:$AJ$4,0)))+SUMPRODUCT((Inputs!$E$5:$E$190=$B18)*Inputs!$F$5:$F$190*(((Inputs!$G$5:$G$190="moeda")+(Inputs!$G$5:$G$190="acoes"))*Inputs!$B$1+((Inputs!$G$5:$G$190&lt;&gt;"moeda")*(Inputs!$G$5:$G$190&lt;&gt;"acoes")))*INDEX(Inputs!$K$5:$AJ$190,0,MATCH(P$2,Inputs!$K$4:$AJ$4,0)))))</f>
        <v>1511.0487302117</v>
      </c>
      <c r="Q18" s="6">
        <f>IF(ISNA(MATCH(Q$2,Inputs!$K$4:$AJ$4,0)),NA(),IF(SUMPRODUCT((Inputs!$A$5:$A$190=$B18)*ISNUMBER(INDEX(Inputs!$K$5:$AJ$190,0,MATCH(Q$2,Inputs!$K$4:$AJ$4,0))))+SUMPRODUCT((Inputs!$C$5:$C$190=$B18)*ISNUMBER(INDEX(Inputs!$K$5:$AJ$190,0,MATCH(Q$2,Inputs!$K$4:$AJ$4,0))))+SUMPRODUCT((Inputs!$E$5:$E$190=$B18)*ISNUMBER(INDEX(Inputs!$K$5:$AJ$190,0,MATCH(Q$2,Inputs!$K$4:$AJ$4,0))))=0,NA(),SUMPRODUCT((Inputs!$A$5:$A$190=$B18)*Inputs!$B$5:$B$190*(((Inputs!$G$5:$G$190="moeda")+(Inputs!$G$5:$G$190="acoes"))*Inputs!$B$1+((Inputs!$G$5:$G$190&lt;&gt;"moeda")*(Inputs!$G$5:$G$190&lt;&gt;"acoes")))*INDEX(Inputs!$K$5:$AJ$190,0,MATCH(Q$2,Inputs!$K$4:$AJ$4,0)))+SUMPRODUCT((Inputs!$C$5:$C$190=$B18)*Inputs!$D$5:$D$190*(((Inputs!$G$5:$G$190="moeda")+(Inputs!$G$5:$G$190="acoes"))*Inputs!$B$1+((Inputs!$G$5:$G$190&lt;&gt;"moeda")*(Inputs!$G$5:$G$190&lt;&gt;"acoes")))*INDEX(Inputs!$K$5:$AJ$190,0,MATCH(Q$2,Inputs!$K$4:$AJ$4,0)))+SUMPRODUCT((Inputs!$E$5:$E$190=$B18)*Inputs!$F$5:$F$190*(((Inputs!$G$5:$G$190="moeda")+(Inputs!$G$5:$G$190="acoes"))*Inputs!$B$1+((Inputs!$G$5:$G$190&lt;&gt;"moeda")*(Inputs!$G$5:$G$190&lt;&gt;"acoes")))*INDEX(Inputs!$K$5:$AJ$190,0,MATCH(Q$2,Inputs!$K$4:$AJ$4,0)))))</f>
        <v>1591.41292869</v>
      </c>
      <c r="R18" s="3">
        <f>Q18</f>
        <v>1591.41292869</v>
      </c>
      <c r="S18" s="6">
        <f>IF(ISNA(MATCH(S$2,Inputs!$K$4:$AJ$4,0)),NA(),IF(SUMPRODUCT((Inputs!$A$5:$A$190=$B18)*ISNUMBER(INDEX(Inputs!$K$5:$AJ$190,0,MATCH(S$2,Inputs!$K$4:$AJ$4,0))))+SUMPRODUCT((Inputs!$C$5:$C$190=$B18)*ISNUMBER(INDEX(Inputs!$K$5:$AJ$190,0,MATCH(S$2,Inputs!$K$4:$AJ$4,0))))+SUMPRODUCT((Inputs!$E$5:$E$190=$B18)*ISNUMBER(INDEX(Inputs!$K$5:$AJ$190,0,MATCH(S$2,Inputs!$K$4:$AJ$4,0))))=0,NA(),SUMPRODUCT((Inputs!$A$5:$A$190=$B18)*Inputs!$B$5:$B$190*(((Inputs!$G$5:$G$190="moeda")+(Inputs!$G$5:$G$190="acoes"))*Inputs!$B$1+((Inputs!$G$5:$G$190&lt;&gt;"moeda")*(Inputs!$G$5:$G$190&lt;&gt;"acoes")))*INDEX(Inputs!$K$5:$AJ$190,0,MATCH(S$2,Inputs!$K$4:$AJ$4,0)))+SUMPRODUCT((Inputs!$C$5:$C$190=$B18)*Inputs!$D$5:$D$190*(((Inputs!$G$5:$G$190="moeda")+(Inputs!$G$5:$G$190="acoes"))*Inputs!$B$1+((Inputs!$G$5:$G$190&lt;&gt;"moeda")*(Inputs!$G$5:$G$190&lt;&gt;"acoes")))*INDEX(Inputs!$K$5:$AJ$190,0,MATCH(S$2,Inputs!$K$4:$AJ$4,0)))+SUMPRODUCT((Inputs!$E$5:$E$190=$B18)*Inputs!$F$5:$F$190*(((Inputs!$G$5:$G$190="moeda")+(Inputs!$G$5:$G$190="acoes"))*Inputs!$B$1+((Inputs!$G$5:$G$190&lt;&gt;"moeda")*(Inputs!$G$5:$G$190&lt;&gt;"acoes")))*INDEX(Inputs!$K$5:$AJ$190,0,MATCH(S$2,Inputs!$K$4:$AJ$4,0)))))</f>
        <v>1766.87914727</v>
      </c>
      <c r="T18" s="6">
        <f>IF(ISNA(MATCH(T$2,Inputs!$K$4:$AJ$4,0)),NA(),IF(SUMPRODUCT((Inputs!$A$5:$A$190=$B18)*ISNUMBER(INDEX(Inputs!$K$5:$AJ$190,0,MATCH(T$2,Inputs!$K$4:$AJ$4,0))))+SUMPRODUCT((Inputs!$C$5:$C$190=$B18)*ISNUMBER(INDEX(Inputs!$K$5:$AJ$190,0,MATCH(T$2,Inputs!$K$4:$AJ$4,0))))+SUMPRODUCT((Inputs!$E$5:$E$190=$B18)*ISNUMBER(INDEX(Inputs!$K$5:$AJ$190,0,MATCH(T$2,Inputs!$K$4:$AJ$4,0))))=0,NA(),SUMPRODUCT((Inputs!$A$5:$A$190=$B18)*Inputs!$B$5:$B$190*(((Inputs!$G$5:$G$190="moeda")+(Inputs!$G$5:$G$190="acoes"))*Inputs!$B$1+((Inputs!$G$5:$G$190&lt;&gt;"moeda")*(Inputs!$G$5:$G$190&lt;&gt;"acoes")))*INDEX(Inputs!$K$5:$AJ$190,0,MATCH(T$2,Inputs!$K$4:$AJ$4,0)))+SUMPRODUCT((Inputs!$C$5:$C$190=$B18)*Inputs!$D$5:$D$190*(((Inputs!$G$5:$G$190="moeda")+(Inputs!$G$5:$G$190="acoes"))*Inputs!$B$1+((Inputs!$G$5:$G$190&lt;&gt;"moeda")*(Inputs!$G$5:$G$190&lt;&gt;"acoes")))*INDEX(Inputs!$K$5:$AJ$190,0,MATCH(T$2,Inputs!$K$4:$AJ$4,0)))+SUMPRODUCT((Inputs!$E$5:$E$190=$B18)*Inputs!$F$5:$F$190*(((Inputs!$G$5:$G$190="moeda")+(Inputs!$G$5:$G$190="acoes"))*Inputs!$B$1+((Inputs!$G$5:$G$190&lt;&gt;"moeda")*(Inputs!$G$5:$G$190&lt;&gt;"acoes")))*INDEX(Inputs!$K$5:$AJ$190,0,MATCH(T$2,Inputs!$K$4:$AJ$4,0)))))</f>
        <v>1821.17066609</v>
      </c>
      <c r="U18" s="6">
        <f>IF(ISNA(MATCH(U$2,Inputs!$K$4:$AJ$4,0)),NA(),IF(SUMPRODUCT((Inputs!$A$5:$A$190=$B18)*ISNUMBER(INDEX(Inputs!$K$5:$AJ$190,0,MATCH(U$2,Inputs!$K$4:$AJ$4,0))))+SUMPRODUCT((Inputs!$C$5:$C$190=$B18)*ISNUMBER(INDEX(Inputs!$K$5:$AJ$190,0,MATCH(U$2,Inputs!$K$4:$AJ$4,0))))+SUMPRODUCT((Inputs!$E$5:$E$190=$B18)*ISNUMBER(INDEX(Inputs!$K$5:$AJ$190,0,MATCH(U$2,Inputs!$K$4:$AJ$4,0))))=0,NA(),SUMPRODUCT((Inputs!$A$5:$A$190=$B18)*Inputs!$B$5:$B$190*(((Inputs!$G$5:$G$190="moeda")+(Inputs!$G$5:$G$190="acoes"))*Inputs!$B$1+((Inputs!$G$5:$G$190&lt;&gt;"moeda")*(Inputs!$G$5:$G$190&lt;&gt;"acoes")))*INDEX(Inputs!$K$5:$AJ$190,0,MATCH(U$2,Inputs!$K$4:$AJ$4,0)))+SUMPRODUCT((Inputs!$C$5:$C$190=$B18)*Inputs!$D$5:$D$190*(((Inputs!$G$5:$G$190="moeda")+(Inputs!$G$5:$G$190="acoes"))*Inputs!$B$1+((Inputs!$G$5:$G$190&lt;&gt;"moeda")*(Inputs!$G$5:$G$190&lt;&gt;"acoes")))*INDEX(Inputs!$K$5:$AJ$190,0,MATCH(U$2,Inputs!$K$4:$AJ$4,0)))+SUMPRODUCT((Inputs!$E$5:$E$190=$B18)*Inputs!$F$5:$F$190*(((Inputs!$G$5:$G$190="moeda")+(Inputs!$G$5:$G$190="acoes"))*Inputs!$B$1+((Inputs!$G$5:$G$190&lt;&gt;"moeda")*(Inputs!$G$5:$G$190&lt;&gt;"acoes")))*INDEX(Inputs!$K$5:$AJ$190,0,MATCH(U$2,Inputs!$K$4:$AJ$4,0)))))</f>
        <v>2015.6869975</v>
      </c>
      <c r="V18" s="6">
        <f>IF(ISNA(MATCH(V$2,Inputs!$K$4:$AJ$4,0)),NA(),IF(SUMPRODUCT((Inputs!$A$5:$A$190=$B18)*ISNUMBER(INDEX(Inputs!$K$5:$AJ$190,0,MATCH(V$2,Inputs!$K$4:$AJ$4,0))))+SUMPRODUCT((Inputs!$C$5:$C$190=$B18)*ISNUMBER(INDEX(Inputs!$K$5:$AJ$190,0,MATCH(V$2,Inputs!$K$4:$AJ$4,0))))+SUMPRODUCT((Inputs!$E$5:$E$190=$B18)*ISNUMBER(INDEX(Inputs!$K$5:$AJ$190,0,MATCH(V$2,Inputs!$K$4:$AJ$4,0))))=0,NA(),SUMPRODUCT((Inputs!$A$5:$A$190=$B18)*Inputs!$B$5:$B$190*(((Inputs!$G$5:$G$190="moeda")+(Inputs!$G$5:$G$190="acoes"))*Inputs!$B$1+((Inputs!$G$5:$G$190&lt;&gt;"moeda")*(Inputs!$G$5:$G$190&lt;&gt;"acoes")))*INDEX(Inputs!$K$5:$AJ$190,0,MATCH(V$2,Inputs!$K$4:$AJ$4,0)))+SUMPRODUCT((Inputs!$C$5:$C$190=$B18)*Inputs!$D$5:$D$190*(((Inputs!$G$5:$G$190="moeda")+(Inputs!$G$5:$G$190="acoes"))*Inputs!$B$1+((Inputs!$G$5:$G$190&lt;&gt;"moeda")*(Inputs!$G$5:$G$190&lt;&gt;"acoes")))*INDEX(Inputs!$K$5:$AJ$190,0,MATCH(V$2,Inputs!$K$4:$AJ$4,0)))+SUMPRODUCT((Inputs!$E$5:$E$190=$B18)*Inputs!$F$5:$F$190*(((Inputs!$G$5:$G$190="moeda")+(Inputs!$G$5:$G$190="acoes"))*Inputs!$B$1+((Inputs!$G$5:$G$190&lt;&gt;"moeda")*(Inputs!$G$5:$G$190&lt;&gt;"acoes")))*INDEX(Inputs!$K$5:$AJ$190,0,MATCH(V$2,Inputs!$K$4:$AJ$4,0)))))</f>
        <v>1630.83874262</v>
      </c>
      <c r="W18" s="3">
        <f>V18</f>
        <v>1630.83874262</v>
      </c>
      <c r="X18" s="6">
        <f>IF(ISNA(MATCH(X$2,Inputs!$K$4:$AJ$4,0)),NA(),IF(SUMPRODUCT((Inputs!$A$5:$A$190=$B18)*ISNUMBER(INDEX(Inputs!$K$5:$AJ$190,0,MATCH(X$2,Inputs!$K$4:$AJ$4,0))))+SUMPRODUCT((Inputs!$C$5:$C$190=$B18)*ISNUMBER(INDEX(Inputs!$K$5:$AJ$190,0,MATCH(X$2,Inputs!$K$4:$AJ$4,0))))+SUMPRODUCT((Inputs!$E$5:$E$190=$B18)*ISNUMBER(INDEX(Inputs!$K$5:$AJ$190,0,MATCH(X$2,Inputs!$K$4:$AJ$4,0))))=0,NA(),SUMPRODUCT((Inputs!$A$5:$A$190=$B18)*Inputs!$B$5:$B$190*(((Inputs!$G$5:$G$190="moeda")+(Inputs!$G$5:$G$190="acoes"))*Inputs!$B$1+((Inputs!$G$5:$G$190&lt;&gt;"moeda")*(Inputs!$G$5:$G$190&lt;&gt;"acoes")))*INDEX(Inputs!$K$5:$AJ$190,0,MATCH(X$2,Inputs!$K$4:$AJ$4,0)))+SUMPRODUCT((Inputs!$C$5:$C$190=$B18)*Inputs!$D$5:$D$190*(((Inputs!$G$5:$G$190="moeda")+(Inputs!$G$5:$G$190="acoes"))*Inputs!$B$1+((Inputs!$G$5:$G$190&lt;&gt;"moeda")*(Inputs!$G$5:$G$190&lt;&gt;"acoes")))*INDEX(Inputs!$K$5:$AJ$190,0,MATCH(X$2,Inputs!$K$4:$AJ$4,0)))+SUMPRODUCT((Inputs!$E$5:$E$190=$B18)*Inputs!$F$5:$F$190*(((Inputs!$G$5:$G$190="moeda")+(Inputs!$G$5:$G$190="acoes"))*Inputs!$B$1+((Inputs!$G$5:$G$190&lt;&gt;"moeda")*(Inputs!$G$5:$G$190&lt;&gt;"acoes")))*INDEX(Inputs!$K$5:$AJ$190,0,MATCH(X$2,Inputs!$K$4:$AJ$4,0)))))</f>
        <v>1592.80656682</v>
      </c>
      <c r="Y18" s="6">
        <f>IF(ISNA(MATCH(Y$2,Inputs!$K$4:$AJ$4,0)),NA(),IF(SUMPRODUCT((Inputs!$A$5:$A$190=$B18)*ISNUMBER(INDEX(Inputs!$K$5:$AJ$190,0,MATCH(Y$2,Inputs!$K$4:$AJ$4,0))))+SUMPRODUCT((Inputs!$C$5:$C$190=$B18)*ISNUMBER(INDEX(Inputs!$K$5:$AJ$190,0,MATCH(Y$2,Inputs!$K$4:$AJ$4,0))))+SUMPRODUCT((Inputs!$E$5:$E$190=$B18)*ISNUMBER(INDEX(Inputs!$K$5:$AJ$190,0,MATCH(Y$2,Inputs!$K$4:$AJ$4,0))))=0,NA(),SUMPRODUCT((Inputs!$A$5:$A$190=$B18)*Inputs!$B$5:$B$190*(((Inputs!$G$5:$G$190="moeda")+(Inputs!$G$5:$G$190="acoes"))*Inputs!$B$1+((Inputs!$G$5:$G$190&lt;&gt;"moeda")*(Inputs!$G$5:$G$190&lt;&gt;"acoes")))*INDEX(Inputs!$K$5:$AJ$190,0,MATCH(Y$2,Inputs!$K$4:$AJ$4,0)))+SUMPRODUCT((Inputs!$C$5:$C$190=$B18)*Inputs!$D$5:$D$190*(((Inputs!$G$5:$G$190="moeda")+(Inputs!$G$5:$G$190="acoes"))*Inputs!$B$1+((Inputs!$G$5:$G$190&lt;&gt;"moeda")*(Inputs!$G$5:$G$190&lt;&gt;"acoes")))*INDEX(Inputs!$K$5:$AJ$190,0,MATCH(Y$2,Inputs!$K$4:$AJ$4,0)))+SUMPRODUCT((Inputs!$E$5:$E$190=$B18)*Inputs!$F$5:$F$190*(((Inputs!$G$5:$G$190="moeda")+(Inputs!$G$5:$G$190="acoes"))*Inputs!$B$1+((Inputs!$G$5:$G$190&lt;&gt;"moeda")*(Inputs!$G$5:$G$190&lt;&gt;"acoes")))*INDEX(Inputs!$K$5:$AJ$190,0,MATCH(Y$2,Inputs!$K$4:$AJ$4,0)))))</f>
        <v>1880.25687392</v>
      </c>
      <c r="Z18" s="6">
        <f>IF(ISNA(MATCH(Z$2,Inputs!$K$4:$AJ$4,0)),NA(),IF(SUMPRODUCT((Inputs!$A$5:$A$190=$B18)*ISNUMBER(INDEX(Inputs!$K$5:$AJ$190,0,MATCH(Z$2,Inputs!$K$4:$AJ$4,0))))+SUMPRODUCT((Inputs!$C$5:$C$190=$B18)*ISNUMBER(INDEX(Inputs!$K$5:$AJ$190,0,MATCH(Z$2,Inputs!$K$4:$AJ$4,0))))+SUMPRODUCT((Inputs!$E$5:$E$190=$B18)*ISNUMBER(INDEX(Inputs!$K$5:$AJ$190,0,MATCH(Z$2,Inputs!$K$4:$AJ$4,0))))=0,NA(),SUMPRODUCT((Inputs!$A$5:$A$190=$B18)*Inputs!$B$5:$B$190*(((Inputs!$G$5:$G$190="moeda")+(Inputs!$G$5:$G$190="acoes"))*Inputs!$B$1+((Inputs!$G$5:$G$190&lt;&gt;"moeda")*(Inputs!$G$5:$G$190&lt;&gt;"acoes")))*INDEX(Inputs!$K$5:$AJ$190,0,MATCH(Z$2,Inputs!$K$4:$AJ$4,0)))+SUMPRODUCT((Inputs!$C$5:$C$190=$B18)*Inputs!$D$5:$D$190*(((Inputs!$G$5:$G$190="moeda")+(Inputs!$G$5:$G$190="acoes"))*Inputs!$B$1+((Inputs!$G$5:$G$190&lt;&gt;"moeda")*(Inputs!$G$5:$G$190&lt;&gt;"acoes")))*INDEX(Inputs!$K$5:$AJ$190,0,MATCH(Z$2,Inputs!$K$4:$AJ$4,0)))+SUMPRODUCT((Inputs!$E$5:$E$190=$B18)*Inputs!$F$5:$F$190*(((Inputs!$G$5:$G$190="moeda")+(Inputs!$G$5:$G$190="acoes"))*Inputs!$B$1+((Inputs!$G$5:$G$190&lt;&gt;"moeda")*(Inputs!$G$5:$G$190&lt;&gt;"acoes")))*INDEX(Inputs!$K$5:$AJ$190,0,MATCH(Z$2,Inputs!$K$4:$AJ$4,0)))))</f>
        <v>1983.94357365</v>
      </c>
      <c r="AA18" s="6">
        <f>IF(ISNA(MATCH(AA$2,Inputs!$K$4:$AJ$4,0)),NA(),IF(SUMPRODUCT((Inputs!$A$5:$A$190=$B18)*ISNUMBER(INDEX(Inputs!$K$5:$AJ$190,0,MATCH(AA$2,Inputs!$K$4:$AJ$4,0))))+SUMPRODUCT((Inputs!$C$5:$C$190=$B18)*ISNUMBER(INDEX(Inputs!$K$5:$AJ$190,0,MATCH(AA$2,Inputs!$K$4:$AJ$4,0))))+SUMPRODUCT((Inputs!$E$5:$E$190=$B18)*ISNUMBER(INDEX(Inputs!$K$5:$AJ$190,0,MATCH(AA$2,Inputs!$K$4:$AJ$4,0))))=0,NA(),SUMPRODUCT((Inputs!$A$5:$A$190=$B18)*Inputs!$B$5:$B$190*(((Inputs!$G$5:$G$190="moeda")+(Inputs!$G$5:$G$190="acoes"))*Inputs!$B$1+((Inputs!$G$5:$G$190&lt;&gt;"moeda")*(Inputs!$G$5:$G$190&lt;&gt;"acoes")))*INDEX(Inputs!$K$5:$AJ$190,0,MATCH(AA$2,Inputs!$K$4:$AJ$4,0)))+SUMPRODUCT((Inputs!$C$5:$C$190=$B18)*Inputs!$D$5:$D$190*(((Inputs!$G$5:$G$190="moeda")+(Inputs!$G$5:$G$190="acoes"))*Inputs!$B$1+((Inputs!$G$5:$G$190&lt;&gt;"moeda")*(Inputs!$G$5:$G$190&lt;&gt;"acoes")))*INDEX(Inputs!$K$5:$AJ$190,0,MATCH(AA$2,Inputs!$K$4:$AJ$4,0)))+SUMPRODUCT((Inputs!$E$5:$E$190=$B18)*Inputs!$F$5:$F$190*(((Inputs!$G$5:$G$190="moeda")+(Inputs!$G$5:$G$190="acoes"))*Inputs!$B$1+((Inputs!$G$5:$G$190&lt;&gt;"moeda")*(Inputs!$G$5:$G$190&lt;&gt;"acoes")))*INDEX(Inputs!$K$5:$AJ$190,0,MATCH(AA$2,Inputs!$K$4:$AJ$4,0)))))</f>
        <v>1466.6363021</v>
      </c>
      <c r="AB18" s="3">
        <f>AA18</f>
        <v>1466.6363021</v>
      </c>
      <c r="AC18" s="6">
        <f>IF(ISNA(MATCH(AC$2,Inputs!$K$4:$AJ$4,0)),NA(),IF(SUMPRODUCT((Inputs!$A$5:$A$190=$B18)*ISNUMBER(INDEX(Inputs!$K$5:$AJ$190,0,MATCH(AC$2,Inputs!$K$4:$AJ$4,0))))+SUMPRODUCT((Inputs!$C$5:$C$190=$B18)*ISNUMBER(INDEX(Inputs!$K$5:$AJ$190,0,MATCH(AC$2,Inputs!$K$4:$AJ$4,0))))+SUMPRODUCT((Inputs!$E$5:$E$190=$B18)*ISNUMBER(INDEX(Inputs!$K$5:$AJ$190,0,MATCH(AC$2,Inputs!$K$4:$AJ$4,0))))=0,NA(),SUMPRODUCT((Inputs!$A$5:$A$190=$B18)*Inputs!$B$5:$B$190*(((Inputs!$G$5:$G$190="moeda")+(Inputs!$G$5:$G$190="acoes"))*Inputs!$B$1+((Inputs!$G$5:$G$190&lt;&gt;"moeda")*(Inputs!$G$5:$G$190&lt;&gt;"acoes")))*INDEX(Inputs!$K$5:$AJ$190,0,MATCH(AC$2,Inputs!$K$4:$AJ$4,0)))+SUMPRODUCT((Inputs!$C$5:$C$190=$B18)*Inputs!$D$5:$D$190*(((Inputs!$G$5:$G$190="moeda")+(Inputs!$G$5:$G$190="acoes"))*Inputs!$B$1+((Inputs!$G$5:$G$190&lt;&gt;"moeda")*(Inputs!$G$5:$G$190&lt;&gt;"acoes")))*INDEX(Inputs!$K$5:$AJ$190,0,MATCH(AC$2,Inputs!$K$4:$AJ$4,0)))+SUMPRODUCT((Inputs!$E$5:$E$190=$B18)*Inputs!$F$5:$F$190*(((Inputs!$G$5:$G$190="moeda")+(Inputs!$G$5:$G$190="acoes"))*Inputs!$B$1+((Inputs!$G$5:$G$190&lt;&gt;"moeda")*(Inputs!$G$5:$G$190&lt;&gt;"acoes")))*INDEX(Inputs!$K$5:$AJ$190,0,MATCH(AC$2,Inputs!$K$4:$AJ$4,0)))))</f>
        <v>1625.76654579</v>
      </c>
      <c r="AD18" s="6">
        <f>IF(ISNA(MATCH(AD$2,Inputs!$K$4:$AJ$4,0)),NA(),IF(SUMPRODUCT((Inputs!$A$5:$A$190=$B18)*ISNUMBER(INDEX(Inputs!$K$5:$AJ$190,0,MATCH(AD$2,Inputs!$K$4:$AJ$4,0))))+SUMPRODUCT((Inputs!$C$5:$C$190=$B18)*ISNUMBER(INDEX(Inputs!$K$5:$AJ$190,0,MATCH(AD$2,Inputs!$K$4:$AJ$4,0))))+SUMPRODUCT((Inputs!$E$5:$E$190=$B18)*ISNUMBER(INDEX(Inputs!$K$5:$AJ$190,0,MATCH(AD$2,Inputs!$K$4:$AJ$4,0))))=0,NA(),SUMPRODUCT((Inputs!$A$5:$A$190=$B18)*Inputs!$B$5:$B$190*(((Inputs!$G$5:$G$190="moeda")+(Inputs!$G$5:$G$190="acoes"))*Inputs!$B$1+((Inputs!$G$5:$G$190&lt;&gt;"moeda")*(Inputs!$G$5:$G$190&lt;&gt;"acoes")))*INDEX(Inputs!$K$5:$AJ$190,0,MATCH(AD$2,Inputs!$K$4:$AJ$4,0)))+SUMPRODUCT((Inputs!$C$5:$C$190=$B18)*Inputs!$D$5:$D$190*(((Inputs!$G$5:$G$190="moeda")+(Inputs!$G$5:$G$190="acoes"))*Inputs!$B$1+((Inputs!$G$5:$G$190&lt;&gt;"moeda")*(Inputs!$G$5:$G$190&lt;&gt;"acoes")))*INDEX(Inputs!$K$5:$AJ$190,0,MATCH(AD$2,Inputs!$K$4:$AJ$4,0)))+SUMPRODUCT((Inputs!$E$5:$E$190=$B18)*Inputs!$F$5:$F$190*(((Inputs!$G$5:$G$190="moeda")+(Inputs!$G$5:$G$190="acoes"))*Inputs!$B$1+((Inputs!$G$5:$G$190&lt;&gt;"moeda")*(Inputs!$G$5:$G$190&lt;&gt;"acoes")))*INDEX(Inputs!$K$5:$AJ$190,0,MATCH(AD$2,Inputs!$K$4:$AJ$4,0)))))</f>
        <v>1782.3087295</v>
      </c>
      <c r="AE18" s="6" t="e">
        <f>IF(ISNA(MATCH(AE$2,Inputs!$K$4:$AJ$4,0)),NA(),IF(SUMPRODUCT((Inputs!$A$5:$A$190=$B18)*ISNUMBER(INDEX(Inputs!$K$5:$AJ$190,0,MATCH(AE$2,Inputs!$K$4:$AJ$4,0))))+SUMPRODUCT((Inputs!$C$5:$C$190=$B18)*ISNUMBER(INDEX(Inputs!$K$5:$AJ$190,0,MATCH(AE$2,Inputs!$K$4:$AJ$4,0))))+SUMPRODUCT((Inputs!$E$5:$E$190=$B18)*ISNUMBER(INDEX(Inputs!$K$5:$AJ$190,0,MATCH(AE$2,Inputs!$K$4:$AJ$4,0))))=0,NA(),SUMPRODUCT((Inputs!$A$5:$A$190=$B18)*Inputs!$B$5:$B$190*(((Inputs!$G$5:$G$190="moeda")+(Inputs!$G$5:$G$190="acoes"))*Inputs!$B$1+((Inputs!$G$5:$G$190&lt;&gt;"moeda")*(Inputs!$G$5:$G$190&lt;&gt;"acoes")))*INDEX(Inputs!$K$5:$AJ$190,0,MATCH(AE$2,Inputs!$K$4:$AJ$4,0)))+SUMPRODUCT((Inputs!$C$5:$C$190=$B18)*Inputs!$D$5:$D$190*(((Inputs!$G$5:$G$190="moeda")+(Inputs!$G$5:$G$190="acoes"))*Inputs!$B$1+((Inputs!$G$5:$G$190&lt;&gt;"moeda")*(Inputs!$G$5:$G$190&lt;&gt;"acoes")))*INDEX(Inputs!$K$5:$AJ$190,0,MATCH(AE$2,Inputs!$K$4:$AJ$4,0)))+SUMPRODUCT((Inputs!$E$5:$E$190=$B18)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18" s="6" t="e">
        <f>IF(ISNA(MATCH(AF$2,Inputs!$K$4:$AJ$4,0)),NA(),IF(SUMPRODUCT((Inputs!$A$5:$A$190=$B18)*ISNUMBER(INDEX(Inputs!$K$5:$AJ$190,0,MATCH(AF$2,Inputs!$K$4:$AJ$4,0))))+SUMPRODUCT((Inputs!$C$5:$C$190=$B18)*ISNUMBER(INDEX(Inputs!$K$5:$AJ$190,0,MATCH(AF$2,Inputs!$K$4:$AJ$4,0))))+SUMPRODUCT((Inputs!$E$5:$E$190=$B18)*ISNUMBER(INDEX(Inputs!$K$5:$AJ$190,0,MATCH(AF$2,Inputs!$K$4:$AJ$4,0))))=0,NA(),SUMPRODUCT((Inputs!$A$5:$A$190=$B18)*Inputs!$B$5:$B$190*(((Inputs!$G$5:$G$190="moeda")+(Inputs!$G$5:$G$190="acoes"))*Inputs!$B$1+((Inputs!$G$5:$G$190&lt;&gt;"moeda")*(Inputs!$G$5:$G$190&lt;&gt;"acoes")))*INDEX(Inputs!$K$5:$AJ$190,0,MATCH(AF$2,Inputs!$K$4:$AJ$4,0)))+SUMPRODUCT((Inputs!$C$5:$C$190=$B18)*Inputs!$D$5:$D$190*(((Inputs!$G$5:$G$190="moeda")+(Inputs!$G$5:$G$190="acoes"))*Inputs!$B$1+((Inputs!$G$5:$G$190&lt;&gt;"moeda")*(Inputs!$G$5:$G$190&lt;&gt;"acoes")))*INDEX(Inputs!$K$5:$AJ$190,0,MATCH(AF$2,Inputs!$K$4:$AJ$4,0)))+SUMPRODUCT((Inputs!$E$5:$E$190=$B18)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18" s="3" t="e">
        <f>AF18</f>
        <v>#N/A</v>
      </c>
      <c r="AH18" s="6">
        <f>IF(ISNA(MATCH(AH$2,Inputs!$K$4:$AJ$4,0)),NA(),IF(SUMPRODUCT((Inputs!$A$5:$A$190=$B18)*ISNUMBER(INDEX(Inputs!$K$5:$AJ$190,0,MATCH(AH$2,Inputs!$K$4:$AJ$4,0))))+SUMPRODUCT((Inputs!$C$5:$C$190=$B18)*ISNUMBER(INDEX(Inputs!$K$5:$AJ$190,0,MATCH(AH$2,Inputs!$K$4:$AJ$4,0))))+SUMPRODUCT((Inputs!$E$5:$E$190=$B18)*ISNUMBER(INDEX(Inputs!$K$5:$AJ$190,0,MATCH(AH$2,Inputs!$K$4:$AJ$4,0))))=0,NA(),SUMPRODUCT((Inputs!$A$5:$A$190=$B18)*Inputs!$B$5:$B$190*(((Inputs!$G$5:$G$190="moeda")+(Inputs!$G$5:$G$190="acoes"))*Inputs!$B$1+((Inputs!$G$5:$G$190&lt;&gt;"moeda")*(Inputs!$G$5:$G$190&lt;&gt;"acoes")))*INDEX(Inputs!$K$5:$AJ$190,0,MATCH(AH$2,Inputs!$K$4:$AJ$4,0)))+SUMPRODUCT((Inputs!$C$5:$C$190=$B18)*Inputs!$D$5:$D$190*(((Inputs!$G$5:$G$190="moeda")+(Inputs!$G$5:$G$190="acoes"))*Inputs!$B$1+((Inputs!$G$5:$G$190&lt;&gt;"moeda")*(Inputs!$G$5:$G$190&lt;&gt;"acoes")))*INDEX(Inputs!$K$5:$AJ$190,0,MATCH(AH$2,Inputs!$K$4:$AJ$4,0)))+SUMPRODUCT((Inputs!$E$5:$E$190=$B18)*Inputs!$F$5:$F$190*(((Inputs!$G$5:$G$190="moeda")+(Inputs!$G$5:$G$190="acoes"))*Inputs!$B$1+((Inputs!$G$5:$G$190&lt;&gt;"moeda")*(Inputs!$G$5:$G$190&lt;&gt;"acoes")))*INDEX(Inputs!$K$5:$AJ$190,0,MATCH(AH$2,Inputs!$K$4:$AJ$4,0)))))</f>
        <v>153.50735418</v>
      </c>
      <c r="AI18" s="6">
        <f>IF(ISNA(MATCH(AI$2,Inputs!$K$4:$AJ$4,0)),NA(),IF(SUMPRODUCT((Inputs!$A$5:$A$190=$B18)*ISNUMBER(INDEX(Inputs!$K$5:$AJ$190,0,MATCH(AI$2,Inputs!$K$4:$AJ$4,0))))+SUMPRODUCT((Inputs!$C$5:$C$190=$B18)*ISNUMBER(INDEX(Inputs!$K$5:$AJ$190,0,MATCH(AI$2,Inputs!$K$4:$AJ$4,0))))+SUMPRODUCT((Inputs!$E$5:$E$190=$B18)*ISNUMBER(INDEX(Inputs!$K$5:$AJ$190,0,MATCH(AI$2,Inputs!$K$4:$AJ$4,0))))=0,NA(),SUMPRODUCT((Inputs!$A$5:$A$190=$B18)*Inputs!$B$5:$B$190*(((Inputs!$G$5:$G$190="moeda")+(Inputs!$G$5:$G$190="acoes"))*Inputs!$B$1+((Inputs!$G$5:$G$190&lt;&gt;"moeda")*(Inputs!$G$5:$G$190&lt;&gt;"acoes")))*INDEX(Inputs!$K$5:$AJ$190,0,MATCH(AI$2,Inputs!$K$4:$AJ$4,0)))+SUMPRODUCT((Inputs!$C$5:$C$190=$B18)*Inputs!$D$5:$D$190*(((Inputs!$G$5:$G$190="moeda")+(Inputs!$G$5:$G$190="acoes"))*Inputs!$B$1+((Inputs!$G$5:$G$190&lt;&gt;"moeda")*(Inputs!$G$5:$G$190&lt;&gt;"acoes")))*INDEX(Inputs!$K$5:$AJ$190,0,MATCH(AI$2,Inputs!$K$4:$AJ$4,0)))+SUMPRODUCT((Inputs!$E$5:$E$190=$B18)*Inputs!$F$5:$F$190*(((Inputs!$G$5:$G$190="moeda")+(Inputs!$G$5:$G$190="acoes"))*Inputs!$B$1+((Inputs!$G$5:$G$190&lt;&gt;"moeda")*(Inputs!$G$5:$G$190&lt;&gt;"acoes")))*INDEX(Inputs!$K$5:$AJ$190,0,MATCH(AI$2,Inputs!$K$4:$AJ$4,0)))))</f>
        <v>160.60896407</v>
      </c>
      <c r="AJ18" s="6">
        <f>IF(ISNA(MATCH(AJ$2,Inputs!$K$4:$AJ$4,0)),NA(),IF(SUMPRODUCT((Inputs!$A$5:$A$190=$B18)*ISNUMBER(INDEX(Inputs!$K$5:$AJ$190,0,MATCH(AJ$2,Inputs!$K$4:$AJ$4,0))))+SUMPRODUCT((Inputs!$C$5:$C$190=$B18)*ISNUMBER(INDEX(Inputs!$K$5:$AJ$190,0,MATCH(AJ$2,Inputs!$K$4:$AJ$4,0))))+SUMPRODUCT((Inputs!$E$5:$E$190=$B18)*ISNUMBER(INDEX(Inputs!$K$5:$AJ$190,0,MATCH(AJ$2,Inputs!$K$4:$AJ$4,0))))=0,NA(),SUMPRODUCT((Inputs!$A$5:$A$190=$B18)*Inputs!$B$5:$B$190*(((Inputs!$G$5:$G$190="moeda")+(Inputs!$G$5:$G$190="acoes"))*Inputs!$B$1+((Inputs!$G$5:$G$190&lt;&gt;"moeda")*(Inputs!$G$5:$G$190&lt;&gt;"acoes")))*INDEX(Inputs!$K$5:$AJ$190,0,MATCH(AJ$2,Inputs!$K$4:$AJ$4,0)))+SUMPRODUCT((Inputs!$C$5:$C$190=$B18)*Inputs!$D$5:$D$190*(((Inputs!$G$5:$G$190="moeda")+(Inputs!$G$5:$G$190="acoes"))*Inputs!$B$1+((Inputs!$G$5:$G$190&lt;&gt;"moeda")*(Inputs!$G$5:$G$190&lt;&gt;"acoes")))*INDEX(Inputs!$K$5:$AJ$190,0,MATCH(AJ$2,Inputs!$K$4:$AJ$4,0)))+SUMPRODUCT((Inputs!$E$5:$E$190=$B18)*Inputs!$F$5:$F$190*(((Inputs!$G$5:$G$190="moeda")+(Inputs!$G$5:$G$190="acoes"))*Inputs!$B$1+((Inputs!$G$5:$G$190&lt;&gt;"moeda")*(Inputs!$G$5:$G$190&lt;&gt;"acoes")))*INDEX(Inputs!$K$5:$AJ$190,0,MATCH(AJ$2,Inputs!$K$4:$AJ$4,0)))))</f>
        <v>159.04004347</v>
      </c>
      <c r="AK18" s="6">
        <f>IF(ISNA(MATCH(AK$2,Inputs!$K$4:$AJ$4,0)),NA(),IF(SUMPRODUCT((Inputs!$A$5:$A$190=$B18)*ISNUMBER(INDEX(Inputs!$K$5:$AJ$190,0,MATCH(AK$2,Inputs!$K$4:$AJ$4,0))))+SUMPRODUCT((Inputs!$C$5:$C$190=$B18)*ISNUMBER(INDEX(Inputs!$K$5:$AJ$190,0,MATCH(AK$2,Inputs!$K$4:$AJ$4,0))))+SUMPRODUCT((Inputs!$E$5:$E$190=$B18)*ISNUMBER(INDEX(Inputs!$K$5:$AJ$190,0,MATCH(AK$2,Inputs!$K$4:$AJ$4,0))))=0,NA(),SUMPRODUCT((Inputs!$A$5:$A$190=$B18)*Inputs!$B$5:$B$190*(((Inputs!$G$5:$G$190="moeda")+(Inputs!$G$5:$G$190="acoes"))*Inputs!$B$1+((Inputs!$G$5:$G$190&lt;&gt;"moeda")*(Inputs!$G$5:$G$190&lt;&gt;"acoes")))*INDEX(Inputs!$K$5:$AJ$190,0,MATCH(AK$2,Inputs!$K$4:$AJ$4,0)))+SUMPRODUCT((Inputs!$C$5:$C$190=$B18)*Inputs!$D$5:$D$190*(((Inputs!$G$5:$G$190="moeda")+(Inputs!$G$5:$G$190="acoes"))*Inputs!$B$1+((Inputs!$G$5:$G$190&lt;&gt;"moeda")*(Inputs!$G$5:$G$190&lt;&gt;"acoes")))*INDEX(Inputs!$K$5:$AJ$190,0,MATCH(AK$2,Inputs!$K$4:$AJ$4,0)))+SUMPRODUCT((Inputs!$E$5:$E$190=$B18)*Inputs!$F$5:$F$190*(((Inputs!$G$5:$G$190="moeda")+(Inputs!$G$5:$G$190="acoes"))*Inputs!$B$1+((Inputs!$G$5:$G$190&lt;&gt;"moeda")*(Inputs!$G$5:$G$190&lt;&gt;"acoes")))*INDEX(Inputs!$K$5:$AJ$190,0,MATCH(AK$2,Inputs!$K$4:$AJ$4,0)))))</f>
        <v>161.2148912386</v>
      </c>
      <c r="AL18" s="3">
        <f>AK18</f>
        <v>161.2148912386</v>
      </c>
    </row>
    <row r="19">
      <c r="B19" s="46" t="n">
        <v>15</v>
      </c>
      <c r="C19" s="26" t="inlineStr">
        <is>
          <t>Prepaid expenses</t>
        </is>
      </c>
      <c r="D19" s="6">
        <f>IF(ISNA(MATCH(D$2,Inputs!$K$4:$AJ$4,0)),NA(),IF(SUMPRODUCT((Inputs!$A$5:$A$190=$B19)*ISNUMBER(INDEX(Inputs!$K$5:$AJ$190,0,MATCH(D$2,Inputs!$K$4:$AJ$4,0))))+SUMPRODUCT((Inputs!$C$5:$C$190=$B19)*ISNUMBER(INDEX(Inputs!$K$5:$AJ$190,0,MATCH(D$2,Inputs!$K$4:$AJ$4,0))))+SUMPRODUCT((Inputs!$E$5:$E$190=$B19)*ISNUMBER(INDEX(Inputs!$K$5:$AJ$190,0,MATCH(D$2,Inputs!$K$4:$AJ$4,0))))=0,NA(),SUMPRODUCT((Inputs!$A$5:$A$190=$B19)*Inputs!$B$5:$B$190*(((Inputs!$G$5:$G$190="moeda")+(Inputs!$G$5:$G$190="acoes"))*Inputs!$B$1+((Inputs!$G$5:$G$190&lt;&gt;"moeda")*(Inputs!$G$5:$G$190&lt;&gt;"acoes")))*INDEX(Inputs!$K$5:$AJ$190,0,MATCH(D$2,Inputs!$K$4:$AJ$4,0)))+SUMPRODUCT((Inputs!$C$5:$C$190=$B19)*Inputs!$D$5:$D$190*(((Inputs!$G$5:$G$190="moeda")+(Inputs!$G$5:$G$190="acoes"))*Inputs!$B$1+((Inputs!$G$5:$G$190&lt;&gt;"moeda")*(Inputs!$G$5:$G$190&lt;&gt;"acoes")))*INDEX(Inputs!$K$5:$AJ$190,0,MATCH(D$2,Inputs!$K$4:$AJ$4,0)))+SUMPRODUCT((Inputs!$E$5:$E$190=$B19)*Inputs!$F$5:$F$190*(((Inputs!$G$5:$G$190="moeda")+(Inputs!$G$5:$G$190="acoes"))*Inputs!$B$1+((Inputs!$G$5:$G$190&lt;&gt;"moeda")*(Inputs!$G$5:$G$190&lt;&gt;"acoes")))*INDEX(Inputs!$K$5:$AJ$190,0,MATCH(D$2,Inputs!$K$4:$AJ$4,0)))))</f>
        <v>154.8268738489</v>
      </c>
      <c r="E19" s="6">
        <f>IF(ISNA(MATCH(E$2,Inputs!$K$4:$AJ$4,0)),NA(),IF(SUMPRODUCT((Inputs!$A$5:$A$190=$B19)*ISNUMBER(INDEX(Inputs!$K$5:$AJ$190,0,MATCH(E$2,Inputs!$K$4:$AJ$4,0))))+SUMPRODUCT((Inputs!$C$5:$C$190=$B19)*ISNUMBER(INDEX(Inputs!$K$5:$AJ$190,0,MATCH(E$2,Inputs!$K$4:$AJ$4,0))))+SUMPRODUCT((Inputs!$E$5:$E$190=$B19)*ISNUMBER(INDEX(Inputs!$K$5:$AJ$190,0,MATCH(E$2,Inputs!$K$4:$AJ$4,0))))=0,NA(),SUMPRODUCT((Inputs!$A$5:$A$190=$B19)*Inputs!$B$5:$B$190*(((Inputs!$G$5:$G$190="moeda")+(Inputs!$G$5:$G$190="acoes"))*Inputs!$B$1+((Inputs!$G$5:$G$190&lt;&gt;"moeda")*(Inputs!$G$5:$G$190&lt;&gt;"acoes")))*INDEX(Inputs!$K$5:$AJ$190,0,MATCH(E$2,Inputs!$K$4:$AJ$4,0)))+SUMPRODUCT((Inputs!$C$5:$C$190=$B19)*Inputs!$D$5:$D$190*(((Inputs!$G$5:$G$190="moeda")+(Inputs!$G$5:$G$190="acoes"))*Inputs!$B$1+((Inputs!$G$5:$G$190&lt;&gt;"moeda")*(Inputs!$G$5:$G$190&lt;&gt;"acoes")))*INDEX(Inputs!$K$5:$AJ$190,0,MATCH(E$2,Inputs!$K$4:$AJ$4,0)))+SUMPRODUCT((Inputs!$E$5:$E$190=$B19)*Inputs!$F$5:$F$190*(((Inputs!$G$5:$G$190="moeda")+(Inputs!$G$5:$G$190="acoes"))*Inputs!$B$1+((Inputs!$G$5:$G$190&lt;&gt;"moeda")*(Inputs!$G$5:$G$190&lt;&gt;"acoes")))*INDEX(Inputs!$K$5:$AJ$190,0,MATCH(E$2,Inputs!$K$4:$AJ$4,0)))))</f>
        <v>145.481</v>
      </c>
      <c r="F19" s="6">
        <f>IF(ISNA(MATCH(F$2,Inputs!$K$4:$AJ$4,0)),NA(),IF(SUMPRODUCT((Inputs!$A$5:$A$190=$B19)*ISNUMBER(INDEX(Inputs!$K$5:$AJ$190,0,MATCH(F$2,Inputs!$K$4:$AJ$4,0))))+SUMPRODUCT((Inputs!$C$5:$C$190=$B19)*ISNUMBER(INDEX(Inputs!$K$5:$AJ$190,0,MATCH(F$2,Inputs!$K$4:$AJ$4,0))))+SUMPRODUCT((Inputs!$E$5:$E$190=$B19)*ISNUMBER(INDEX(Inputs!$K$5:$AJ$190,0,MATCH(F$2,Inputs!$K$4:$AJ$4,0))))=0,NA(),SUMPRODUCT((Inputs!$A$5:$A$190=$B19)*Inputs!$B$5:$B$190*(((Inputs!$G$5:$G$190="moeda")+(Inputs!$G$5:$G$190="acoes"))*Inputs!$B$1+((Inputs!$G$5:$G$190&lt;&gt;"moeda")*(Inputs!$G$5:$G$190&lt;&gt;"acoes")))*INDEX(Inputs!$K$5:$AJ$190,0,MATCH(F$2,Inputs!$K$4:$AJ$4,0)))+SUMPRODUCT((Inputs!$C$5:$C$190=$B19)*Inputs!$D$5:$D$190*(((Inputs!$G$5:$G$190="moeda")+(Inputs!$G$5:$G$190="acoes"))*Inputs!$B$1+((Inputs!$G$5:$G$190&lt;&gt;"moeda")*(Inputs!$G$5:$G$190&lt;&gt;"acoes")))*INDEX(Inputs!$K$5:$AJ$190,0,MATCH(F$2,Inputs!$K$4:$AJ$4,0)))+SUMPRODUCT((Inputs!$E$5:$E$190=$B19)*Inputs!$F$5:$F$190*(((Inputs!$G$5:$G$190="moeda")+(Inputs!$G$5:$G$190="acoes"))*Inputs!$B$1+((Inputs!$G$5:$G$190&lt;&gt;"moeda")*(Inputs!$G$5:$G$190&lt;&gt;"acoes")))*INDEX(Inputs!$K$5:$AJ$190,0,MATCH(F$2,Inputs!$K$4:$AJ$4,0)))))</f>
        <v>115.248</v>
      </c>
      <c r="G19" s="6">
        <f>IF(ISNA(MATCH(G$2,Inputs!$K$4:$AJ$4,0)),NA(),IF(SUMPRODUCT((Inputs!$A$5:$A$190=$B19)*ISNUMBER(INDEX(Inputs!$K$5:$AJ$190,0,MATCH(G$2,Inputs!$K$4:$AJ$4,0))))+SUMPRODUCT((Inputs!$C$5:$C$190=$B19)*ISNUMBER(INDEX(Inputs!$K$5:$AJ$190,0,MATCH(G$2,Inputs!$K$4:$AJ$4,0))))+SUMPRODUCT((Inputs!$E$5:$E$190=$B19)*ISNUMBER(INDEX(Inputs!$K$5:$AJ$190,0,MATCH(G$2,Inputs!$K$4:$AJ$4,0))))=0,NA(),SUMPRODUCT((Inputs!$A$5:$A$190=$B19)*Inputs!$B$5:$B$190*(((Inputs!$G$5:$G$190="moeda")+(Inputs!$G$5:$G$190="acoes"))*Inputs!$B$1+((Inputs!$G$5:$G$190&lt;&gt;"moeda")*(Inputs!$G$5:$G$190&lt;&gt;"acoes")))*INDEX(Inputs!$K$5:$AJ$190,0,MATCH(G$2,Inputs!$K$4:$AJ$4,0)))+SUMPRODUCT((Inputs!$C$5:$C$190=$B19)*Inputs!$D$5:$D$190*(((Inputs!$G$5:$G$190="moeda")+(Inputs!$G$5:$G$190="acoes"))*Inputs!$B$1+((Inputs!$G$5:$G$190&lt;&gt;"moeda")*(Inputs!$G$5:$G$190&lt;&gt;"acoes")))*INDEX(Inputs!$K$5:$AJ$190,0,MATCH(G$2,Inputs!$K$4:$AJ$4,0)))+SUMPRODUCT((Inputs!$E$5:$E$190=$B19)*Inputs!$F$5:$F$190*(((Inputs!$G$5:$G$190="moeda")+(Inputs!$G$5:$G$190="acoes"))*Inputs!$B$1+((Inputs!$G$5:$G$190&lt;&gt;"moeda")*(Inputs!$G$5:$G$190&lt;&gt;"acoes")))*INDEX(Inputs!$K$5:$AJ$190,0,MATCH(G$2,Inputs!$K$4:$AJ$4,0)))))</f>
        <v>67.977</v>
      </c>
      <c r="H19" s="3">
        <f>G19</f>
        <v>67.977</v>
      </c>
      <c r="I19" s="6">
        <f>IF(ISNA(MATCH(I$2,Inputs!$K$4:$AJ$4,0)),NA(),IF(SUMPRODUCT((Inputs!$A$5:$A$190=$B19)*ISNUMBER(INDEX(Inputs!$K$5:$AJ$190,0,MATCH(I$2,Inputs!$K$4:$AJ$4,0))))+SUMPRODUCT((Inputs!$C$5:$C$190=$B19)*ISNUMBER(INDEX(Inputs!$K$5:$AJ$190,0,MATCH(I$2,Inputs!$K$4:$AJ$4,0))))+SUMPRODUCT((Inputs!$E$5:$E$190=$B19)*ISNUMBER(INDEX(Inputs!$K$5:$AJ$190,0,MATCH(I$2,Inputs!$K$4:$AJ$4,0))))=0,NA(),SUMPRODUCT((Inputs!$A$5:$A$190=$B19)*Inputs!$B$5:$B$190*(((Inputs!$G$5:$G$190="moeda")+(Inputs!$G$5:$G$190="acoes"))*Inputs!$B$1+((Inputs!$G$5:$G$190&lt;&gt;"moeda")*(Inputs!$G$5:$G$190&lt;&gt;"acoes")))*INDEX(Inputs!$K$5:$AJ$190,0,MATCH(I$2,Inputs!$K$4:$AJ$4,0)))+SUMPRODUCT((Inputs!$C$5:$C$190=$B19)*Inputs!$D$5:$D$190*(((Inputs!$G$5:$G$190="moeda")+(Inputs!$G$5:$G$190="acoes"))*Inputs!$B$1+((Inputs!$G$5:$G$190&lt;&gt;"moeda")*(Inputs!$G$5:$G$190&lt;&gt;"acoes")))*INDEX(Inputs!$K$5:$AJ$190,0,MATCH(I$2,Inputs!$K$4:$AJ$4,0)))+SUMPRODUCT((Inputs!$E$5:$E$190=$B19)*Inputs!$F$5:$F$190*(((Inputs!$G$5:$G$190="moeda")+(Inputs!$G$5:$G$190="acoes"))*Inputs!$B$1+((Inputs!$G$5:$G$190&lt;&gt;"moeda")*(Inputs!$G$5:$G$190&lt;&gt;"acoes")))*INDEX(Inputs!$K$5:$AJ$190,0,MATCH(I$2,Inputs!$K$4:$AJ$4,0)))))</f>
        <v>219.519</v>
      </c>
      <c r="J19" s="6">
        <f>IF(ISNA(MATCH(J$2,Inputs!$K$4:$AJ$4,0)),NA(),IF(SUMPRODUCT((Inputs!$A$5:$A$190=$B19)*ISNUMBER(INDEX(Inputs!$K$5:$AJ$190,0,MATCH(J$2,Inputs!$K$4:$AJ$4,0))))+SUMPRODUCT((Inputs!$C$5:$C$190=$B19)*ISNUMBER(INDEX(Inputs!$K$5:$AJ$190,0,MATCH(J$2,Inputs!$K$4:$AJ$4,0))))+SUMPRODUCT((Inputs!$E$5:$E$190=$B19)*ISNUMBER(INDEX(Inputs!$K$5:$AJ$190,0,MATCH(J$2,Inputs!$K$4:$AJ$4,0))))=0,NA(),SUMPRODUCT((Inputs!$A$5:$A$190=$B19)*Inputs!$B$5:$B$190*(((Inputs!$G$5:$G$190="moeda")+(Inputs!$G$5:$G$190="acoes"))*Inputs!$B$1+((Inputs!$G$5:$G$190&lt;&gt;"moeda")*(Inputs!$G$5:$G$190&lt;&gt;"acoes")))*INDEX(Inputs!$K$5:$AJ$190,0,MATCH(J$2,Inputs!$K$4:$AJ$4,0)))+SUMPRODUCT((Inputs!$C$5:$C$190=$B19)*Inputs!$D$5:$D$190*(((Inputs!$G$5:$G$190="moeda")+(Inputs!$G$5:$G$190="acoes"))*Inputs!$B$1+((Inputs!$G$5:$G$190&lt;&gt;"moeda")*(Inputs!$G$5:$G$190&lt;&gt;"acoes")))*INDEX(Inputs!$K$5:$AJ$190,0,MATCH(J$2,Inputs!$K$4:$AJ$4,0)))+SUMPRODUCT((Inputs!$E$5:$E$190=$B19)*Inputs!$F$5:$F$190*(((Inputs!$G$5:$G$190="moeda")+(Inputs!$G$5:$G$190="acoes"))*Inputs!$B$1+((Inputs!$G$5:$G$190&lt;&gt;"moeda")*(Inputs!$G$5:$G$190&lt;&gt;"acoes")))*INDEX(Inputs!$K$5:$AJ$190,0,MATCH(J$2,Inputs!$K$4:$AJ$4,0)))))</f>
        <v>189.826</v>
      </c>
      <c r="K19" s="6">
        <f>IF(ISNA(MATCH(K$2,Inputs!$K$4:$AJ$4,0)),NA(),IF(SUMPRODUCT((Inputs!$A$5:$A$190=$B19)*ISNUMBER(INDEX(Inputs!$K$5:$AJ$190,0,MATCH(K$2,Inputs!$K$4:$AJ$4,0))))+SUMPRODUCT((Inputs!$C$5:$C$190=$B19)*ISNUMBER(INDEX(Inputs!$K$5:$AJ$190,0,MATCH(K$2,Inputs!$K$4:$AJ$4,0))))+SUMPRODUCT((Inputs!$E$5:$E$190=$B19)*ISNUMBER(INDEX(Inputs!$K$5:$AJ$190,0,MATCH(K$2,Inputs!$K$4:$AJ$4,0))))=0,NA(),SUMPRODUCT((Inputs!$A$5:$A$190=$B19)*Inputs!$B$5:$B$190*(((Inputs!$G$5:$G$190="moeda")+(Inputs!$G$5:$G$190="acoes"))*Inputs!$B$1+((Inputs!$G$5:$G$190&lt;&gt;"moeda")*(Inputs!$G$5:$G$190&lt;&gt;"acoes")))*INDEX(Inputs!$K$5:$AJ$190,0,MATCH(K$2,Inputs!$K$4:$AJ$4,0)))+SUMPRODUCT((Inputs!$C$5:$C$190=$B19)*Inputs!$D$5:$D$190*(((Inputs!$G$5:$G$190="moeda")+(Inputs!$G$5:$G$190="acoes"))*Inputs!$B$1+((Inputs!$G$5:$G$190&lt;&gt;"moeda")*(Inputs!$G$5:$G$190&lt;&gt;"acoes")))*INDEX(Inputs!$K$5:$AJ$190,0,MATCH(K$2,Inputs!$K$4:$AJ$4,0)))+SUMPRODUCT((Inputs!$E$5:$E$190=$B19)*Inputs!$F$5:$F$190*(((Inputs!$G$5:$G$190="moeda")+(Inputs!$G$5:$G$190="acoes"))*Inputs!$B$1+((Inputs!$G$5:$G$190&lt;&gt;"moeda")*(Inputs!$G$5:$G$190&lt;&gt;"acoes")))*INDEX(Inputs!$K$5:$AJ$190,0,MATCH(K$2,Inputs!$K$4:$AJ$4,0)))))</f>
        <v>176.358</v>
      </c>
      <c r="L19" s="6">
        <f>IF(ISNA(MATCH(L$2,Inputs!$K$4:$AJ$4,0)),NA(),IF(SUMPRODUCT((Inputs!$A$5:$A$190=$B19)*ISNUMBER(INDEX(Inputs!$K$5:$AJ$190,0,MATCH(L$2,Inputs!$K$4:$AJ$4,0))))+SUMPRODUCT((Inputs!$C$5:$C$190=$B19)*ISNUMBER(INDEX(Inputs!$K$5:$AJ$190,0,MATCH(L$2,Inputs!$K$4:$AJ$4,0))))+SUMPRODUCT((Inputs!$E$5:$E$190=$B19)*ISNUMBER(INDEX(Inputs!$K$5:$AJ$190,0,MATCH(L$2,Inputs!$K$4:$AJ$4,0))))=0,NA(),SUMPRODUCT((Inputs!$A$5:$A$190=$B19)*Inputs!$B$5:$B$190*(((Inputs!$G$5:$G$190="moeda")+(Inputs!$G$5:$G$190="acoes"))*Inputs!$B$1+((Inputs!$G$5:$G$190&lt;&gt;"moeda")*(Inputs!$G$5:$G$190&lt;&gt;"acoes")))*INDEX(Inputs!$K$5:$AJ$190,0,MATCH(L$2,Inputs!$K$4:$AJ$4,0)))+SUMPRODUCT((Inputs!$C$5:$C$190=$B19)*Inputs!$D$5:$D$190*(((Inputs!$G$5:$G$190="moeda")+(Inputs!$G$5:$G$190="acoes"))*Inputs!$B$1+((Inputs!$G$5:$G$190&lt;&gt;"moeda")*(Inputs!$G$5:$G$190&lt;&gt;"acoes")))*INDEX(Inputs!$K$5:$AJ$190,0,MATCH(L$2,Inputs!$K$4:$AJ$4,0)))+SUMPRODUCT((Inputs!$E$5:$E$190=$B19)*Inputs!$F$5:$F$190*(((Inputs!$G$5:$G$190="moeda")+(Inputs!$G$5:$G$190="acoes"))*Inputs!$B$1+((Inputs!$G$5:$G$190&lt;&gt;"moeda")*(Inputs!$G$5:$G$190&lt;&gt;"acoes")))*INDEX(Inputs!$K$5:$AJ$190,0,MATCH(L$2,Inputs!$K$4:$AJ$4,0)))))</f>
        <v>98.457</v>
      </c>
      <c r="M19" s="3">
        <f>L19</f>
        <v>98.457</v>
      </c>
      <c r="N19" s="6">
        <f>IF(ISNA(MATCH(N$2,Inputs!$K$4:$AJ$4,0)),NA(),IF(SUMPRODUCT((Inputs!$A$5:$A$190=$B19)*ISNUMBER(INDEX(Inputs!$K$5:$AJ$190,0,MATCH(N$2,Inputs!$K$4:$AJ$4,0))))+SUMPRODUCT((Inputs!$C$5:$C$190=$B19)*ISNUMBER(INDEX(Inputs!$K$5:$AJ$190,0,MATCH(N$2,Inputs!$K$4:$AJ$4,0))))+SUMPRODUCT((Inputs!$E$5:$E$190=$B19)*ISNUMBER(INDEX(Inputs!$K$5:$AJ$190,0,MATCH(N$2,Inputs!$K$4:$AJ$4,0))))=0,NA(),SUMPRODUCT((Inputs!$A$5:$A$190=$B19)*Inputs!$B$5:$B$190*(((Inputs!$G$5:$G$190="moeda")+(Inputs!$G$5:$G$190="acoes"))*Inputs!$B$1+((Inputs!$G$5:$G$190&lt;&gt;"moeda")*(Inputs!$G$5:$G$190&lt;&gt;"acoes")))*INDEX(Inputs!$K$5:$AJ$190,0,MATCH(N$2,Inputs!$K$4:$AJ$4,0)))+SUMPRODUCT((Inputs!$C$5:$C$190=$B19)*Inputs!$D$5:$D$190*(((Inputs!$G$5:$G$190="moeda")+(Inputs!$G$5:$G$190="acoes"))*Inputs!$B$1+((Inputs!$G$5:$G$190&lt;&gt;"moeda")*(Inputs!$G$5:$G$190&lt;&gt;"acoes")))*INDEX(Inputs!$K$5:$AJ$190,0,MATCH(N$2,Inputs!$K$4:$AJ$4,0)))+SUMPRODUCT((Inputs!$E$5:$E$190=$B19)*Inputs!$F$5:$F$190*(((Inputs!$G$5:$G$190="moeda")+(Inputs!$G$5:$G$190="acoes"))*Inputs!$B$1+((Inputs!$G$5:$G$190&lt;&gt;"moeda")*(Inputs!$G$5:$G$190&lt;&gt;"acoes")))*INDEX(Inputs!$K$5:$AJ$190,0,MATCH(N$2,Inputs!$K$4:$AJ$4,0)))))</f>
        <v>205.0166392576</v>
      </c>
      <c r="O19" s="6">
        <f>IF(ISNA(MATCH(O$2,Inputs!$K$4:$AJ$4,0)),NA(),IF(SUMPRODUCT((Inputs!$A$5:$A$190=$B19)*ISNUMBER(INDEX(Inputs!$K$5:$AJ$190,0,MATCH(O$2,Inputs!$K$4:$AJ$4,0))))+SUMPRODUCT((Inputs!$C$5:$C$190=$B19)*ISNUMBER(INDEX(Inputs!$K$5:$AJ$190,0,MATCH(O$2,Inputs!$K$4:$AJ$4,0))))+SUMPRODUCT((Inputs!$E$5:$E$190=$B19)*ISNUMBER(INDEX(Inputs!$K$5:$AJ$190,0,MATCH(O$2,Inputs!$K$4:$AJ$4,0))))=0,NA(),SUMPRODUCT((Inputs!$A$5:$A$190=$B19)*Inputs!$B$5:$B$190*(((Inputs!$G$5:$G$190="moeda")+(Inputs!$G$5:$G$190="acoes"))*Inputs!$B$1+((Inputs!$G$5:$G$190&lt;&gt;"moeda")*(Inputs!$G$5:$G$190&lt;&gt;"acoes")))*INDEX(Inputs!$K$5:$AJ$190,0,MATCH(O$2,Inputs!$K$4:$AJ$4,0)))+SUMPRODUCT((Inputs!$C$5:$C$190=$B19)*Inputs!$D$5:$D$190*(((Inputs!$G$5:$G$190="moeda")+(Inputs!$G$5:$G$190="acoes"))*Inputs!$B$1+((Inputs!$G$5:$G$190&lt;&gt;"moeda")*(Inputs!$G$5:$G$190&lt;&gt;"acoes")))*INDEX(Inputs!$K$5:$AJ$190,0,MATCH(O$2,Inputs!$K$4:$AJ$4,0)))+SUMPRODUCT((Inputs!$E$5:$E$190=$B19)*Inputs!$F$5:$F$190*(((Inputs!$G$5:$G$190="moeda")+(Inputs!$G$5:$G$190="acoes"))*Inputs!$B$1+((Inputs!$G$5:$G$190&lt;&gt;"moeda")*(Inputs!$G$5:$G$190&lt;&gt;"acoes")))*INDEX(Inputs!$K$5:$AJ$190,0,MATCH(O$2,Inputs!$K$4:$AJ$4,0)))))</f>
        <v>348.50864310987</v>
      </c>
      <c r="P19" s="6">
        <f>IF(ISNA(MATCH(P$2,Inputs!$K$4:$AJ$4,0)),NA(),IF(SUMPRODUCT((Inputs!$A$5:$A$190=$B19)*ISNUMBER(INDEX(Inputs!$K$5:$AJ$190,0,MATCH(P$2,Inputs!$K$4:$AJ$4,0))))+SUMPRODUCT((Inputs!$C$5:$C$190=$B19)*ISNUMBER(INDEX(Inputs!$K$5:$AJ$190,0,MATCH(P$2,Inputs!$K$4:$AJ$4,0))))+SUMPRODUCT((Inputs!$E$5:$E$190=$B19)*ISNUMBER(INDEX(Inputs!$K$5:$AJ$190,0,MATCH(P$2,Inputs!$K$4:$AJ$4,0))))=0,NA(),SUMPRODUCT((Inputs!$A$5:$A$190=$B19)*Inputs!$B$5:$B$190*(((Inputs!$G$5:$G$190="moeda")+(Inputs!$G$5:$G$190="acoes"))*Inputs!$B$1+((Inputs!$G$5:$G$190&lt;&gt;"moeda")*(Inputs!$G$5:$G$190&lt;&gt;"acoes")))*INDEX(Inputs!$K$5:$AJ$190,0,MATCH(P$2,Inputs!$K$4:$AJ$4,0)))+SUMPRODUCT((Inputs!$C$5:$C$190=$B19)*Inputs!$D$5:$D$190*(((Inputs!$G$5:$G$190="moeda")+(Inputs!$G$5:$G$190="acoes"))*Inputs!$B$1+((Inputs!$G$5:$G$190&lt;&gt;"moeda")*(Inputs!$G$5:$G$190&lt;&gt;"acoes")))*INDEX(Inputs!$K$5:$AJ$190,0,MATCH(P$2,Inputs!$K$4:$AJ$4,0)))+SUMPRODUCT((Inputs!$E$5:$E$190=$B19)*Inputs!$F$5:$F$190*(((Inputs!$G$5:$G$190="moeda")+(Inputs!$G$5:$G$190="acoes"))*Inputs!$B$1+((Inputs!$G$5:$G$190&lt;&gt;"moeda")*(Inputs!$G$5:$G$190&lt;&gt;"acoes")))*INDEX(Inputs!$K$5:$AJ$190,0,MATCH(P$2,Inputs!$K$4:$AJ$4,0)))))</f>
        <v>264.29539219758</v>
      </c>
      <c r="Q19" s="6">
        <f>IF(ISNA(MATCH(Q$2,Inputs!$K$4:$AJ$4,0)),NA(),IF(SUMPRODUCT((Inputs!$A$5:$A$190=$B19)*ISNUMBER(INDEX(Inputs!$K$5:$AJ$190,0,MATCH(Q$2,Inputs!$K$4:$AJ$4,0))))+SUMPRODUCT((Inputs!$C$5:$C$190=$B19)*ISNUMBER(INDEX(Inputs!$K$5:$AJ$190,0,MATCH(Q$2,Inputs!$K$4:$AJ$4,0))))+SUMPRODUCT((Inputs!$E$5:$E$190=$B19)*ISNUMBER(INDEX(Inputs!$K$5:$AJ$190,0,MATCH(Q$2,Inputs!$K$4:$AJ$4,0))))=0,NA(),SUMPRODUCT((Inputs!$A$5:$A$190=$B19)*Inputs!$B$5:$B$190*(((Inputs!$G$5:$G$190="moeda")+(Inputs!$G$5:$G$190="acoes"))*Inputs!$B$1+((Inputs!$G$5:$G$190&lt;&gt;"moeda")*(Inputs!$G$5:$G$190&lt;&gt;"acoes")))*INDEX(Inputs!$K$5:$AJ$190,0,MATCH(Q$2,Inputs!$K$4:$AJ$4,0)))+SUMPRODUCT((Inputs!$C$5:$C$190=$B19)*Inputs!$D$5:$D$190*(((Inputs!$G$5:$G$190="moeda")+(Inputs!$G$5:$G$190="acoes"))*Inputs!$B$1+((Inputs!$G$5:$G$190&lt;&gt;"moeda")*(Inputs!$G$5:$G$190&lt;&gt;"acoes")))*INDEX(Inputs!$K$5:$AJ$190,0,MATCH(Q$2,Inputs!$K$4:$AJ$4,0)))+SUMPRODUCT((Inputs!$E$5:$E$190=$B19)*Inputs!$F$5:$F$190*(((Inputs!$G$5:$G$190="moeda")+(Inputs!$G$5:$G$190="acoes"))*Inputs!$B$1+((Inputs!$G$5:$G$190&lt;&gt;"moeda")*(Inputs!$G$5:$G$190&lt;&gt;"acoes")))*INDEX(Inputs!$K$5:$AJ$190,0,MATCH(Q$2,Inputs!$K$4:$AJ$4,0)))))</f>
        <v>127.72710507799</v>
      </c>
      <c r="R19" s="3">
        <f>Q19</f>
        <v>127.72710507799</v>
      </c>
      <c r="S19" s="6">
        <f>IF(ISNA(MATCH(S$2,Inputs!$K$4:$AJ$4,0)),NA(),IF(SUMPRODUCT((Inputs!$A$5:$A$190=$B19)*ISNUMBER(INDEX(Inputs!$K$5:$AJ$190,0,MATCH(S$2,Inputs!$K$4:$AJ$4,0))))+SUMPRODUCT((Inputs!$C$5:$C$190=$B19)*ISNUMBER(INDEX(Inputs!$K$5:$AJ$190,0,MATCH(S$2,Inputs!$K$4:$AJ$4,0))))+SUMPRODUCT((Inputs!$E$5:$E$190=$B19)*ISNUMBER(INDEX(Inputs!$K$5:$AJ$190,0,MATCH(S$2,Inputs!$K$4:$AJ$4,0))))=0,NA(),SUMPRODUCT((Inputs!$A$5:$A$190=$B19)*Inputs!$B$5:$B$190*(((Inputs!$G$5:$G$190="moeda")+(Inputs!$G$5:$G$190="acoes"))*Inputs!$B$1+((Inputs!$G$5:$G$190&lt;&gt;"moeda")*(Inputs!$G$5:$G$190&lt;&gt;"acoes")))*INDEX(Inputs!$K$5:$AJ$190,0,MATCH(S$2,Inputs!$K$4:$AJ$4,0)))+SUMPRODUCT((Inputs!$C$5:$C$190=$B19)*Inputs!$D$5:$D$190*(((Inputs!$G$5:$G$190="moeda")+(Inputs!$G$5:$G$190="acoes"))*Inputs!$B$1+((Inputs!$G$5:$G$190&lt;&gt;"moeda")*(Inputs!$G$5:$G$190&lt;&gt;"acoes")))*INDEX(Inputs!$K$5:$AJ$190,0,MATCH(S$2,Inputs!$K$4:$AJ$4,0)))+SUMPRODUCT((Inputs!$E$5:$E$190=$B19)*Inputs!$F$5:$F$190*(((Inputs!$G$5:$G$190="moeda")+(Inputs!$G$5:$G$190="acoes"))*Inputs!$B$1+((Inputs!$G$5:$G$190&lt;&gt;"moeda")*(Inputs!$G$5:$G$190&lt;&gt;"acoes")))*INDEX(Inputs!$K$5:$AJ$190,0,MATCH(S$2,Inputs!$K$4:$AJ$4,0)))))</f>
        <v>393.75850714171</v>
      </c>
      <c r="T19" s="6">
        <f>IF(ISNA(MATCH(T$2,Inputs!$K$4:$AJ$4,0)),NA(),IF(SUMPRODUCT((Inputs!$A$5:$A$190=$B19)*ISNUMBER(INDEX(Inputs!$K$5:$AJ$190,0,MATCH(T$2,Inputs!$K$4:$AJ$4,0))))+SUMPRODUCT((Inputs!$C$5:$C$190=$B19)*ISNUMBER(INDEX(Inputs!$K$5:$AJ$190,0,MATCH(T$2,Inputs!$K$4:$AJ$4,0))))+SUMPRODUCT((Inputs!$E$5:$E$190=$B19)*ISNUMBER(INDEX(Inputs!$K$5:$AJ$190,0,MATCH(T$2,Inputs!$K$4:$AJ$4,0))))=0,NA(),SUMPRODUCT((Inputs!$A$5:$A$190=$B19)*Inputs!$B$5:$B$190*(((Inputs!$G$5:$G$190="moeda")+(Inputs!$G$5:$G$190="acoes"))*Inputs!$B$1+((Inputs!$G$5:$G$190&lt;&gt;"moeda")*(Inputs!$G$5:$G$190&lt;&gt;"acoes")))*INDEX(Inputs!$K$5:$AJ$190,0,MATCH(T$2,Inputs!$K$4:$AJ$4,0)))+SUMPRODUCT((Inputs!$C$5:$C$190=$B19)*Inputs!$D$5:$D$190*(((Inputs!$G$5:$G$190="moeda")+(Inputs!$G$5:$G$190="acoes"))*Inputs!$B$1+((Inputs!$G$5:$G$190&lt;&gt;"moeda")*(Inputs!$G$5:$G$190&lt;&gt;"acoes")))*INDEX(Inputs!$K$5:$AJ$190,0,MATCH(T$2,Inputs!$K$4:$AJ$4,0)))+SUMPRODUCT((Inputs!$E$5:$E$190=$B19)*Inputs!$F$5:$F$190*(((Inputs!$G$5:$G$190="moeda")+(Inputs!$G$5:$G$190="acoes"))*Inputs!$B$1+((Inputs!$G$5:$G$190&lt;&gt;"moeda")*(Inputs!$G$5:$G$190&lt;&gt;"acoes")))*INDEX(Inputs!$K$5:$AJ$190,0,MATCH(T$2,Inputs!$K$4:$AJ$4,0)))))</f>
        <v>415.55977247423</v>
      </c>
      <c r="U19" s="6">
        <f>IF(ISNA(MATCH(U$2,Inputs!$K$4:$AJ$4,0)),NA(),IF(SUMPRODUCT((Inputs!$A$5:$A$190=$B19)*ISNUMBER(INDEX(Inputs!$K$5:$AJ$190,0,MATCH(U$2,Inputs!$K$4:$AJ$4,0))))+SUMPRODUCT((Inputs!$C$5:$C$190=$B19)*ISNUMBER(INDEX(Inputs!$K$5:$AJ$190,0,MATCH(U$2,Inputs!$K$4:$AJ$4,0))))+SUMPRODUCT((Inputs!$E$5:$E$190=$B19)*ISNUMBER(INDEX(Inputs!$K$5:$AJ$190,0,MATCH(U$2,Inputs!$K$4:$AJ$4,0))))=0,NA(),SUMPRODUCT((Inputs!$A$5:$A$190=$B19)*Inputs!$B$5:$B$190*(((Inputs!$G$5:$G$190="moeda")+(Inputs!$G$5:$G$190="acoes"))*Inputs!$B$1+((Inputs!$G$5:$G$190&lt;&gt;"moeda")*(Inputs!$G$5:$G$190&lt;&gt;"acoes")))*INDEX(Inputs!$K$5:$AJ$190,0,MATCH(U$2,Inputs!$K$4:$AJ$4,0)))+SUMPRODUCT((Inputs!$C$5:$C$190=$B19)*Inputs!$D$5:$D$190*(((Inputs!$G$5:$G$190="moeda")+(Inputs!$G$5:$G$190="acoes"))*Inputs!$B$1+((Inputs!$G$5:$G$190&lt;&gt;"moeda")*(Inputs!$G$5:$G$190&lt;&gt;"acoes")))*INDEX(Inputs!$K$5:$AJ$190,0,MATCH(U$2,Inputs!$K$4:$AJ$4,0)))+SUMPRODUCT((Inputs!$E$5:$E$190=$B19)*Inputs!$F$5:$F$190*(((Inputs!$G$5:$G$190="moeda")+(Inputs!$G$5:$G$190="acoes"))*Inputs!$B$1+((Inputs!$G$5:$G$190&lt;&gt;"moeda")*(Inputs!$G$5:$G$190&lt;&gt;"acoes")))*INDEX(Inputs!$K$5:$AJ$190,0,MATCH(U$2,Inputs!$K$4:$AJ$4,0)))))</f>
        <v>320.16496519566</v>
      </c>
      <c r="V19" s="6">
        <f>IF(ISNA(MATCH(V$2,Inputs!$K$4:$AJ$4,0)),NA(),IF(SUMPRODUCT((Inputs!$A$5:$A$190=$B19)*ISNUMBER(INDEX(Inputs!$K$5:$AJ$190,0,MATCH(V$2,Inputs!$K$4:$AJ$4,0))))+SUMPRODUCT((Inputs!$C$5:$C$190=$B19)*ISNUMBER(INDEX(Inputs!$K$5:$AJ$190,0,MATCH(V$2,Inputs!$K$4:$AJ$4,0))))+SUMPRODUCT((Inputs!$E$5:$E$190=$B19)*ISNUMBER(INDEX(Inputs!$K$5:$AJ$190,0,MATCH(V$2,Inputs!$K$4:$AJ$4,0))))=0,NA(),SUMPRODUCT((Inputs!$A$5:$A$190=$B19)*Inputs!$B$5:$B$190*(((Inputs!$G$5:$G$190="moeda")+(Inputs!$G$5:$G$190="acoes"))*Inputs!$B$1+((Inputs!$G$5:$G$190&lt;&gt;"moeda")*(Inputs!$G$5:$G$190&lt;&gt;"acoes")))*INDEX(Inputs!$K$5:$AJ$190,0,MATCH(V$2,Inputs!$K$4:$AJ$4,0)))+SUMPRODUCT((Inputs!$C$5:$C$190=$B19)*Inputs!$D$5:$D$190*(((Inputs!$G$5:$G$190="moeda")+(Inputs!$G$5:$G$190="acoes"))*Inputs!$B$1+((Inputs!$G$5:$G$190&lt;&gt;"moeda")*(Inputs!$G$5:$G$190&lt;&gt;"acoes")))*INDEX(Inputs!$K$5:$AJ$190,0,MATCH(V$2,Inputs!$K$4:$AJ$4,0)))+SUMPRODUCT((Inputs!$E$5:$E$190=$B19)*Inputs!$F$5:$F$190*(((Inputs!$G$5:$G$190="moeda")+(Inputs!$G$5:$G$190="acoes"))*Inputs!$B$1+((Inputs!$G$5:$G$190&lt;&gt;"moeda")*(Inputs!$G$5:$G$190&lt;&gt;"acoes")))*INDEX(Inputs!$K$5:$AJ$190,0,MATCH(V$2,Inputs!$K$4:$AJ$4,0)))))</f>
        <v>165.44256093</v>
      </c>
      <c r="W19" s="3">
        <f>V19</f>
        <v>165.44256093</v>
      </c>
      <c r="X19" s="6">
        <f>IF(ISNA(MATCH(X$2,Inputs!$K$4:$AJ$4,0)),NA(),IF(SUMPRODUCT((Inputs!$A$5:$A$190=$B19)*ISNUMBER(INDEX(Inputs!$K$5:$AJ$190,0,MATCH(X$2,Inputs!$K$4:$AJ$4,0))))+SUMPRODUCT((Inputs!$C$5:$C$190=$B19)*ISNUMBER(INDEX(Inputs!$K$5:$AJ$190,0,MATCH(X$2,Inputs!$K$4:$AJ$4,0))))+SUMPRODUCT((Inputs!$E$5:$E$190=$B19)*ISNUMBER(INDEX(Inputs!$K$5:$AJ$190,0,MATCH(X$2,Inputs!$K$4:$AJ$4,0))))=0,NA(),SUMPRODUCT((Inputs!$A$5:$A$190=$B19)*Inputs!$B$5:$B$190*(((Inputs!$G$5:$G$190="moeda")+(Inputs!$G$5:$G$190="acoes"))*Inputs!$B$1+((Inputs!$G$5:$G$190&lt;&gt;"moeda")*(Inputs!$G$5:$G$190&lt;&gt;"acoes")))*INDEX(Inputs!$K$5:$AJ$190,0,MATCH(X$2,Inputs!$K$4:$AJ$4,0)))+SUMPRODUCT((Inputs!$C$5:$C$190=$B19)*Inputs!$D$5:$D$190*(((Inputs!$G$5:$G$190="moeda")+(Inputs!$G$5:$G$190="acoes"))*Inputs!$B$1+((Inputs!$G$5:$G$190&lt;&gt;"moeda")*(Inputs!$G$5:$G$190&lt;&gt;"acoes")))*INDEX(Inputs!$K$5:$AJ$190,0,MATCH(X$2,Inputs!$K$4:$AJ$4,0)))+SUMPRODUCT((Inputs!$E$5:$E$190=$B19)*Inputs!$F$5:$F$190*(((Inputs!$G$5:$G$190="moeda")+(Inputs!$G$5:$G$190="acoes"))*Inputs!$B$1+((Inputs!$G$5:$G$190&lt;&gt;"moeda")*(Inputs!$G$5:$G$190&lt;&gt;"acoes")))*INDEX(Inputs!$K$5:$AJ$190,0,MATCH(X$2,Inputs!$K$4:$AJ$4,0)))))</f>
        <v>537.14427348</v>
      </c>
      <c r="Y19" s="6">
        <f>IF(ISNA(MATCH(Y$2,Inputs!$K$4:$AJ$4,0)),NA(),IF(SUMPRODUCT((Inputs!$A$5:$A$190=$B19)*ISNUMBER(INDEX(Inputs!$K$5:$AJ$190,0,MATCH(Y$2,Inputs!$K$4:$AJ$4,0))))+SUMPRODUCT((Inputs!$C$5:$C$190=$B19)*ISNUMBER(INDEX(Inputs!$K$5:$AJ$190,0,MATCH(Y$2,Inputs!$K$4:$AJ$4,0))))+SUMPRODUCT((Inputs!$E$5:$E$190=$B19)*ISNUMBER(INDEX(Inputs!$K$5:$AJ$190,0,MATCH(Y$2,Inputs!$K$4:$AJ$4,0))))=0,NA(),SUMPRODUCT((Inputs!$A$5:$A$190=$B19)*Inputs!$B$5:$B$190*(((Inputs!$G$5:$G$190="moeda")+(Inputs!$G$5:$G$190="acoes"))*Inputs!$B$1+((Inputs!$G$5:$G$190&lt;&gt;"moeda")*(Inputs!$G$5:$G$190&lt;&gt;"acoes")))*INDEX(Inputs!$K$5:$AJ$190,0,MATCH(Y$2,Inputs!$K$4:$AJ$4,0)))+SUMPRODUCT((Inputs!$C$5:$C$190=$B19)*Inputs!$D$5:$D$190*(((Inputs!$G$5:$G$190="moeda")+(Inputs!$G$5:$G$190="acoes"))*Inputs!$B$1+((Inputs!$G$5:$G$190&lt;&gt;"moeda")*(Inputs!$G$5:$G$190&lt;&gt;"acoes")))*INDEX(Inputs!$K$5:$AJ$190,0,MATCH(Y$2,Inputs!$K$4:$AJ$4,0)))+SUMPRODUCT((Inputs!$E$5:$E$190=$B19)*Inputs!$F$5:$F$190*(((Inputs!$G$5:$G$190="moeda")+(Inputs!$G$5:$G$190="acoes"))*Inputs!$B$1+((Inputs!$G$5:$G$190&lt;&gt;"moeda")*(Inputs!$G$5:$G$190&lt;&gt;"acoes")))*INDEX(Inputs!$K$5:$AJ$190,0,MATCH(Y$2,Inputs!$K$4:$AJ$4,0)))))</f>
        <v>508.51691581</v>
      </c>
      <c r="Z19" s="6">
        <f>IF(ISNA(MATCH(Z$2,Inputs!$K$4:$AJ$4,0)),NA(),IF(SUMPRODUCT((Inputs!$A$5:$A$190=$B19)*ISNUMBER(INDEX(Inputs!$K$5:$AJ$190,0,MATCH(Z$2,Inputs!$K$4:$AJ$4,0))))+SUMPRODUCT((Inputs!$C$5:$C$190=$B19)*ISNUMBER(INDEX(Inputs!$K$5:$AJ$190,0,MATCH(Z$2,Inputs!$K$4:$AJ$4,0))))+SUMPRODUCT((Inputs!$E$5:$E$190=$B19)*ISNUMBER(INDEX(Inputs!$K$5:$AJ$190,0,MATCH(Z$2,Inputs!$K$4:$AJ$4,0))))=0,NA(),SUMPRODUCT((Inputs!$A$5:$A$190=$B19)*Inputs!$B$5:$B$190*(((Inputs!$G$5:$G$190="moeda")+(Inputs!$G$5:$G$190="acoes"))*Inputs!$B$1+((Inputs!$G$5:$G$190&lt;&gt;"moeda")*(Inputs!$G$5:$G$190&lt;&gt;"acoes")))*INDEX(Inputs!$K$5:$AJ$190,0,MATCH(Z$2,Inputs!$K$4:$AJ$4,0)))+SUMPRODUCT((Inputs!$C$5:$C$190=$B19)*Inputs!$D$5:$D$190*(((Inputs!$G$5:$G$190="moeda")+(Inputs!$G$5:$G$190="acoes"))*Inputs!$B$1+((Inputs!$G$5:$G$190&lt;&gt;"moeda")*(Inputs!$G$5:$G$190&lt;&gt;"acoes")))*INDEX(Inputs!$K$5:$AJ$190,0,MATCH(Z$2,Inputs!$K$4:$AJ$4,0)))+SUMPRODUCT((Inputs!$E$5:$E$190=$B19)*Inputs!$F$5:$F$190*(((Inputs!$G$5:$G$190="moeda")+(Inputs!$G$5:$G$190="acoes"))*Inputs!$B$1+((Inputs!$G$5:$G$190&lt;&gt;"moeda")*(Inputs!$G$5:$G$190&lt;&gt;"acoes")))*INDEX(Inputs!$K$5:$AJ$190,0,MATCH(Z$2,Inputs!$K$4:$AJ$4,0)))))</f>
        <v>346.88826298</v>
      </c>
      <c r="AA19" s="6">
        <f>IF(ISNA(MATCH(AA$2,Inputs!$K$4:$AJ$4,0)),NA(),IF(SUMPRODUCT((Inputs!$A$5:$A$190=$B19)*ISNUMBER(INDEX(Inputs!$K$5:$AJ$190,0,MATCH(AA$2,Inputs!$K$4:$AJ$4,0))))+SUMPRODUCT((Inputs!$C$5:$C$190=$B19)*ISNUMBER(INDEX(Inputs!$K$5:$AJ$190,0,MATCH(AA$2,Inputs!$K$4:$AJ$4,0))))+SUMPRODUCT((Inputs!$E$5:$E$190=$B19)*ISNUMBER(INDEX(Inputs!$K$5:$AJ$190,0,MATCH(AA$2,Inputs!$K$4:$AJ$4,0))))=0,NA(),SUMPRODUCT((Inputs!$A$5:$A$190=$B19)*Inputs!$B$5:$B$190*(((Inputs!$G$5:$G$190="moeda")+(Inputs!$G$5:$G$190="acoes"))*Inputs!$B$1+((Inputs!$G$5:$G$190&lt;&gt;"moeda")*(Inputs!$G$5:$G$190&lt;&gt;"acoes")))*INDEX(Inputs!$K$5:$AJ$190,0,MATCH(AA$2,Inputs!$K$4:$AJ$4,0)))+SUMPRODUCT((Inputs!$C$5:$C$190=$B19)*Inputs!$D$5:$D$190*(((Inputs!$G$5:$G$190="moeda")+(Inputs!$G$5:$G$190="acoes"))*Inputs!$B$1+((Inputs!$G$5:$G$190&lt;&gt;"moeda")*(Inputs!$G$5:$G$190&lt;&gt;"acoes")))*INDEX(Inputs!$K$5:$AJ$190,0,MATCH(AA$2,Inputs!$K$4:$AJ$4,0)))+SUMPRODUCT((Inputs!$E$5:$E$190=$B19)*Inputs!$F$5:$F$190*(((Inputs!$G$5:$G$190="moeda")+(Inputs!$G$5:$G$190="acoes"))*Inputs!$B$1+((Inputs!$G$5:$G$190&lt;&gt;"moeda")*(Inputs!$G$5:$G$190&lt;&gt;"acoes")))*INDEX(Inputs!$K$5:$AJ$190,0,MATCH(AA$2,Inputs!$K$4:$AJ$4,0)))))</f>
        <v>211.97374409</v>
      </c>
      <c r="AB19" s="3">
        <f>AA19</f>
        <v>211.97374409</v>
      </c>
      <c r="AC19" s="6">
        <f>IF(ISNA(MATCH(AC$2,Inputs!$K$4:$AJ$4,0)),NA(),IF(SUMPRODUCT((Inputs!$A$5:$A$190=$B19)*ISNUMBER(INDEX(Inputs!$K$5:$AJ$190,0,MATCH(AC$2,Inputs!$K$4:$AJ$4,0))))+SUMPRODUCT((Inputs!$C$5:$C$190=$B19)*ISNUMBER(INDEX(Inputs!$K$5:$AJ$190,0,MATCH(AC$2,Inputs!$K$4:$AJ$4,0))))+SUMPRODUCT((Inputs!$E$5:$E$190=$B19)*ISNUMBER(INDEX(Inputs!$K$5:$AJ$190,0,MATCH(AC$2,Inputs!$K$4:$AJ$4,0))))=0,NA(),SUMPRODUCT((Inputs!$A$5:$A$190=$B19)*Inputs!$B$5:$B$190*(((Inputs!$G$5:$G$190="moeda")+(Inputs!$G$5:$G$190="acoes"))*Inputs!$B$1+((Inputs!$G$5:$G$190&lt;&gt;"moeda")*(Inputs!$G$5:$G$190&lt;&gt;"acoes")))*INDEX(Inputs!$K$5:$AJ$190,0,MATCH(AC$2,Inputs!$K$4:$AJ$4,0)))+SUMPRODUCT((Inputs!$C$5:$C$190=$B19)*Inputs!$D$5:$D$190*(((Inputs!$G$5:$G$190="moeda")+(Inputs!$G$5:$G$190="acoes"))*Inputs!$B$1+((Inputs!$G$5:$G$190&lt;&gt;"moeda")*(Inputs!$G$5:$G$190&lt;&gt;"acoes")))*INDEX(Inputs!$K$5:$AJ$190,0,MATCH(AC$2,Inputs!$K$4:$AJ$4,0)))+SUMPRODUCT((Inputs!$E$5:$E$190=$B19)*Inputs!$F$5:$F$190*(((Inputs!$G$5:$G$190="moeda")+(Inputs!$G$5:$G$190="acoes"))*Inputs!$B$1+((Inputs!$G$5:$G$190&lt;&gt;"moeda")*(Inputs!$G$5:$G$190&lt;&gt;"acoes")))*INDEX(Inputs!$K$5:$AJ$190,0,MATCH(AC$2,Inputs!$K$4:$AJ$4,0)))))</f>
        <v>581.06857717</v>
      </c>
      <c r="AD19" s="6">
        <f>IF(ISNA(MATCH(AD$2,Inputs!$K$4:$AJ$4,0)),NA(),IF(SUMPRODUCT((Inputs!$A$5:$A$190=$B19)*ISNUMBER(INDEX(Inputs!$K$5:$AJ$190,0,MATCH(AD$2,Inputs!$K$4:$AJ$4,0))))+SUMPRODUCT((Inputs!$C$5:$C$190=$B19)*ISNUMBER(INDEX(Inputs!$K$5:$AJ$190,0,MATCH(AD$2,Inputs!$K$4:$AJ$4,0))))+SUMPRODUCT((Inputs!$E$5:$E$190=$B19)*ISNUMBER(INDEX(Inputs!$K$5:$AJ$190,0,MATCH(AD$2,Inputs!$K$4:$AJ$4,0))))=0,NA(),SUMPRODUCT((Inputs!$A$5:$A$190=$B19)*Inputs!$B$5:$B$190*(((Inputs!$G$5:$G$190="moeda")+(Inputs!$G$5:$G$190="acoes"))*Inputs!$B$1+((Inputs!$G$5:$G$190&lt;&gt;"moeda")*(Inputs!$G$5:$G$190&lt;&gt;"acoes")))*INDEX(Inputs!$K$5:$AJ$190,0,MATCH(AD$2,Inputs!$K$4:$AJ$4,0)))+SUMPRODUCT((Inputs!$C$5:$C$190=$B19)*Inputs!$D$5:$D$190*(((Inputs!$G$5:$G$190="moeda")+(Inputs!$G$5:$G$190="acoes"))*Inputs!$B$1+((Inputs!$G$5:$G$190&lt;&gt;"moeda")*(Inputs!$G$5:$G$190&lt;&gt;"acoes")))*INDEX(Inputs!$K$5:$AJ$190,0,MATCH(AD$2,Inputs!$K$4:$AJ$4,0)))+SUMPRODUCT((Inputs!$E$5:$E$190=$B19)*Inputs!$F$5:$F$190*(((Inputs!$G$5:$G$190="moeda")+(Inputs!$G$5:$G$190="acoes"))*Inputs!$B$1+((Inputs!$G$5:$G$190&lt;&gt;"moeda")*(Inputs!$G$5:$G$190&lt;&gt;"acoes")))*INDEX(Inputs!$K$5:$AJ$190,0,MATCH(AD$2,Inputs!$K$4:$AJ$4,0)))))</f>
        <v>475.81639252</v>
      </c>
      <c r="AE19" s="6" t="e">
        <f>IF(ISNA(MATCH(AE$2,Inputs!$K$4:$AJ$4,0)),NA(),IF(SUMPRODUCT((Inputs!$A$5:$A$190=$B19)*ISNUMBER(INDEX(Inputs!$K$5:$AJ$190,0,MATCH(AE$2,Inputs!$K$4:$AJ$4,0))))+SUMPRODUCT((Inputs!$C$5:$C$190=$B19)*ISNUMBER(INDEX(Inputs!$K$5:$AJ$190,0,MATCH(AE$2,Inputs!$K$4:$AJ$4,0))))+SUMPRODUCT((Inputs!$E$5:$E$190=$B19)*ISNUMBER(INDEX(Inputs!$K$5:$AJ$190,0,MATCH(AE$2,Inputs!$K$4:$AJ$4,0))))=0,NA(),SUMPRODUCT((Inputs!$A$5:$A$190=$B19)*Inputs!$B$5:$B$190*(((Inputs!$G$5:$G$190="moeda")+(Inputs!$G$5:$G$190="acoes"))*Inputs!$B$1+((Inputs!$G$5:$G$190&lt;&gt;"moeda")*(Inputs!$G$5:$G$190&lt;&gt;"acoes")))*INDEX(Inputs!$K$5:$AJ$190,0,MATCH(AE$2,Inputs!$K$4:$AJ$4,0)))+SUMPRODUCT((Inputs!$C$5:$C$190=$B19)*Inputs!$D$5:$D$190*(((Inputs!$G$5:$G$190="moeda")+(Inputs!$G$5:$G$190="acoes"))*Inputs!$B$1+((Inputs!$G$5:$G$190&lt;&gt;"moeda")*(Inputs!$G$5:$G$190&lt;&gt;"acoes")))*INDEX(Inputs!$K$5:$AJ$190,0,MATCH(AE$2,Inputs!$K$4:$AJ$4,0)))+SUMPRODUCT((Inputs!$E$5:$E$190=$B19)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19" s="6" t="e">
        <f>IF(ISNA(MATCH(AF$2,Inputs!$K$4:$AJ$4,0)),NA(),IF(SUMPRODUCT((Inputs!$A$5:$A$190=$B19)*ISNUMBER(INDEX(Inputs!$K$5:$AJ$190,0,MATCH(AF$2,Inputs!$K$4:$AJ$4,0))))+SUMPRODUCT((Inputs!$C$5:$C$190=$B19)*ISNUMBER(INDEX(Inputs!$K$5:$AJ$190,0,MATCH(AF$2,Inputs!$K$4:$AJ$4,0))))+SUMPRODUCT((Inputs!$E$5:$E$190=$B19)*ISNUMBER(INDEX(Inputs!$K$5:$AJ$190,0,MATCH(AF$2,Inputs!$K$4:$AJ$4,0))))=0,NA(),SUMPRODUCT((Inputs!$A$5:$A$190=$B19)*Inputs!$B$5:$B$190*(((Inputs!$G$5:$G$190="moeda")+(Inputs!$G$5:$G$190="acoes"))*Inputs!$B$1+((Inputs!$G$5:$G$190&lt;&gt;"moeda")*(Inputs!$G$5:$G$190&lt;&gt;"acoes")))*INDEX(Inputs!$K$5:$AJ$190,0,MATCH(AF$2,Inputs!$K$4:$AJ$4,0)))+SUMPRODUCT((Inputs!$C$5:$C$190=$B19)*Inputs!$D$5:$D$190*(((Inputs!$G$5:$G$190="moeda")+(Inputs!$G$5:$G$190="acoes"))*Inputs!$B$1+((Inputs!$G$5:$G$190&lt;&gt;"moeda")*(Inputs!$G$5:$G$190&lt;&gt;"acoes")))*INDEX(Inputs!$K$5:$AJ$190,0,MATCH(AF$2,Inputs!$K$4:$AJ$4,0)))+SUMPRODUCT((Inputs!$E$5:$E$190=$B19)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19" s="3" t="e">
        <f>AF19</f>
        <v>#N/A</v>
      </c>
      <c r="AH19" s="6">
        <f>IF(ISNA(MATCH(AH$2,Inputs!$K$4:$AJ$4,0)),NA(),IF(SUMPRODUCT((Inputs!$A$5:$A$190=$B19)*ISNUMBER(INDEX(Inputs!$K$5:$AJ$190,0,MATCH(AH$2,Inputs!$K$4:$AJ$4,0))))+SUMPRODUCT((Inputs!$C$5:$C$190=$B19)*ISNUMBER(INDEX(Inputs!$K$5:$AJ$190,0,MATCH(AH$2,Inputs!$K$4:$AJ$4,0))))+SUMPRODUCT((Inputs!$E$5:$E$190=$B19)*ISNUMBER(INDEX(Inputs!$K$5:$AJ$190,0,MATCH(AH$2,Inputs!$K$4:$AJ$4,0))))=0,NA(),SUMPRODUCT((Inputs!$A$5:$A$190=$B19)*Inputs!$B$5:$B$190*(((Inputs!$G$5:$G$190="moeda")+(Inputs!$G$5:$G$190="acoes"))*Inputs!$B$1+((Inputs!$G$5:$G$190&lt;&gt;"moeda")*(Inputs!$G$5:$G$190&lt;&gt;"acoes")))*INDEX(Inputs!$K$5:$AJ$190,0,MATCH(AH$2,Inputs!$K$4:$AJ$4,0)))+SUMPRODUCT((Inputs!$C$5:$C$190=$B19)*Inputs!$D$5:$D$190*(((Inputs!$G$5:$G$190="moeda")+(Inputs!$G$5:$G$190="acoes"))*Inputs!$B$1+((Inputs!$G$5:$G$190&lt;&gt;"moeda")*(Inputs!$G$5:$G$190&lt;&gt;"acoes")))*INDEX(Inputs!$K$5:$AJ$190,0,MATCH(AH$2,Inputs!$K$4:$AJ$4,0)))+SUMPRODUCT((Inputs!$E$5:$E$190=$B19)*Inputs!$F$5:$F$190*(((Inputs!$G$5:$G$190="moeda")+(Inputs!$G$5:$G$190="acoes"))*Inputs!$B$1+((Inputs!$G$5:$G$190&lt;&gt;"moeda")*(Inputs!$G$5:$G$190&lt;&gt;"acoes")))*INDEX(Inputs!$K$5:$AJ$190,0,MATCH(AH$2,Inputs!$K$4:$AJ$4,0)))))</f>
        <v>140.32446222</v>
      </c>
      <c r="AI19" s="6">
        <f>IF(ISNA(MATCH(AI$2,Inputs!$K$4:$AJ$4,0)),NA(),IF(SUMPRODUCT((Inputs!$A$5:$A$190=$B19)*ISNUMBER(INDEX(Inputs!$K$5:$AJ$190,0,MATCH(AI$2,Inputs!$K$4:$AJ$4,0))))+SUMPRODUCT((Inputs!$C$5:$C$190=$B19)*ISNUMBER(INDEX(Inputs!$K$5:$AJ$190,0,MATCH(AI$2,Inputs!$K$4:$AJ$4,0))))+SUMPRODUCT((Inputs!$E$5:$E$190=$B19)*ISNUMBER(INDEX(Inputs!$K$5:$AJ$190,0,MATCH(AI$2,Inputs!$K$4:$AJ$4,0))))=0,NA(),SUMPRODUCT((Inputs!$A$5:$A$190=$B19)*Inputs!$B$5:$B$190*(((Inputs!$G$5:$G$190="moeda")+(Inputs!$G$5:$G$190="acoes"))*Inputs!$B$1+((Inputs!$G$5:$G$190&lt;&gt;"moeda")*(Inputs!$G$5:$G$190&lt;&gt;"acoes")))*INDEX(Inputs!$K$5:$AJ$190,0,MATCH(AI$2,Inputs!$K$4:$AJ$4,0)))+SUMPRODUCT((Inputs!$C$5:$C$190=$B19)*Inputs!$D$5:$D$190*(((Inputs!$G$5:$G$190="moeda")+(Inputs!$G$5:$G$190="acoes"))*Inputs!$B$1+((Inputs!$G$5:$G$190&lt;&gt;"moeda")*(Inputs!$G$5:$G$190&lt;&gt;"acoes")))*INDEX(Inputs!$K$5:$AJ$190,0,MATCH(AI$2,Inputs!$K$4:$AJ$4,0)))+SUMPRODUCT((Inputs!$E$5:$E$190=$B19)*Inputs!$F$5:$F$190*(((Inputs!$G$5:$G$190="moeda")+(Inputs!$G$5:$G$190="acoes"))*Inputs!$B$1+((Inputs!$G$5:$G$190&lt;&gt;"moeda")*(Inputs!$G$5:$G$190&lt;&gt;"acoes")))*INDEX(Inputs!$K$5:$AJ$190,0,MATCH(AI$2,Inputs!$K$4:$AJ$4,0)))))</f>
        <v>110.57020447</v>
      </c>
      <c r="AJ19" s="6">
        <f>IF(ISNA(MATCH(AJ$2,Inputs!$K$4:$AJ$4,0)),NA(),IF(SUMPRODUCT((Inputs!$A$5:$A$190=$B19)*ISNUMBER(INDEX(Inputs!$K$5:$AJ$190,0,MATCH(AJ$2,Inputs!$K$4:$AJ$4,0))))+SUMPRODUCT((Inputs!$C$5:$C$190=$B19)*ISNUMBER(INDEX(Inputs!$K$5:$AJ$190,0,MATCH(AJ$2,Inputs!$K$4:$AJ$4,0))))+SUMPRODUCT((Inputs!$E$5:$E$190=$B19)*ISNUMBER(INDEX(Inputs!$K$5:$AJ$190,0,MATCH(AJ$2,Inputs!$K$4:$AJ$4,0))))=0,NA(),SUMPRODUCT((Inputs!$A$5:$A$190=$B19)*Inputs!$B$5:$B$190*(((Inputs!$G$5:$G$190="moeda")+(Inputs!$G$5:$G$190="acoes"))*Inputs!$B$1+((Inputs!$G$5:$G$190&lt;&gt;"moeda")*(Inputs!$G$5:$G$190&lt;&gt;"acoes")))*INDEX(Inputs!$K$5:$AJ$190,0,MATCH(AJ$2,Inputs!$K$4:$AJ$4,0)))+SUMPRODUCT((Inputs!$C$5:$C$190=$B19)*Inputs!$D$5:$D$190*(((Inputs!$G$5:$G$190="moeda")+(Inputs!$G$5:$G$190="acoes"))*Inputs!$B$1+((Inputs!$G$5:$G$190&lt;&gt;"moeda")*(Inputs!$G$5:$G$190&lt;&gt;"acoes")))*INDEX(Inputs!$K$5:$AJ$190,0,MATCH(AJ$2,Inputs!$K$4:$AJ$4,0)))+SUMPRODUCT((Inputs!$E$5:$E$190=$B19)*Inputs!$F$5:$F$190*(((Inputs!$G$5:$G$190="moeda")+(Inputs!$G$5:$G$190="acoes"))*Inputs!$B$1+((Inputs!$G$5:$G$190&lt;&gt;"moeda")*(Inputs!$G$5:$G$190&lt;&gt;"acoes")))*INDEX(Inputs!$K$5:$AJ$190,0,MATCH(AJ$2,Inputs!$K$4:$AJ$4,0)))))</f>
        <v>90.57939163</v>
      </c>
      <c r="AK19" s="6">
        <f>IF(ISNA(MATCH(AK$2,Inputs!$K$4:$AJ$4,0)),NA(),IF(SUMPRODUCT((Inputs!$A$5:$A$190=$B19)*ISNUMBER(INDEX(Inputs!$K$5:$AJ$190,0,MATCH(AK$2,Inputs!$K$4:$AJ$4,0))))+SUMPRODUCT((Inputs!$C$5:$C$190=$B19)*ISNUMBER(INDEX(Inputs!$K$5:$AJ$190,0,MATCH(AK$2,Inputs!$K$4:$AJ$4,0))))+SUMPRODUCT((Inputs!$E$5:$E$190=$B19)*ISNUMBER(INDEX(Inputs!$K$5:$AJ$190,0,MATCH(AK$2,Inputs!$K$4:$AJ$4,0))))=0,NA(),SUMPRODUCT((Inputs!$A$5:$A$190=$B19)*Inputs!$B$5:$B$190*(((Inputs!$G$5:$G$190="moeda")+(Inputs!$G$5:$G$190="acoes"))*Inputs!$B$1+((Inputs!$G$5:$G$190&lt;&gt;"moeda")*(Inputs!$G$5:$G$190&lt;&gt;"acoes")))*INDEX(Inputs!$K$5:$AJ$190,0,MATCH(AK$2,Inputs!$K$4:$AJ$4,0)))+SUMPRODUCT((Inputs!$C$5:$C$190=$B19)*Inputs!$D$5:$D$190*(((Inputs!$G$5:$G$190="moeda")+(Inputs!$G$5:$G$190="acoes"))*Inputs!$B$1+((Inputs!$G$5:$G$190&lt;&gt;"moeda")*(Inputs!$G$5:$G$190&lt;&gt;"acoes")))*INDEX(Inputs!$K$5:$AJ$190,0,MATCH(AK$2,Inputs!$K$4:$AJ$4,0)))+SUMPRODUCT((Inputs!$E$5:$E$190=$B19)*Inputs!$F$5:$F$190*(((Inputs!$G$5:$G$190="moeda")+(Inputs!$G$5:$G$190="acoes"))*Inputs!$B$1+((Inputs!$G$5:$G$190&lt;&gt;"moeda")*(Inputs!$G$5:$G$190&lt;&gt;"acoes")))*INDEX(Inputs!$K$5:$AJ$190,0,MATCH(AK$2,Inputs!$K$4:$AJ$4,0)))))</f>
        <v>58.31422745</v>
      </c>
      <c r="AL19" s="3">
        <f>AK19</f>
        <v>58.31422745</v>
      </c>
    </row>
    <row r="20">
      <c r="B20" s="46" t="n">
        <v>16</v>
      </c>
      <c r="C20" s="26" t="inlineStr">
        <is>
          <t>Other current assets</t>
        </is>
      </c>
      <c r="D20" s="6">
        <f>IF(ISNA(MATCH(D$2,Inputs!$K$4:$AJ$4,0)),NA(),IF(SUMPRODUCT((Inputs!$A$5:$A$190=$B20)*ISNUMBER(INDEX(Inputs!$K$5:$AJ$190,0,MATCH(D$2,Inputs!$K$4:$AJ$4,0))))+SUMPRODUCT((Inputs!$C$5:$C$190=$B20)*ISNUMBER(INDEX(Inputs!$K$5:$AJ$190,0,MATCH(D$2,Inputs!$K$4:$AJ$4,0))))+SUMPRODUCT((Inputs!$E$5:$E$190=$B20)*ISNUMBER(INDEX(Inputs!$K$5:$AJ$190,0,MATCH(D$2,Inputs!$K$4:$AJ$4,0))))=0,NA(),SUMPRODUCT((Inputs!$A$5:$A$190=$B20)*Inputs!$B$5:$B$190*(((Inputs!$G$5:$G$190="moeda")+(Inputs!$G$5:$G$190="acoes"))*Inputs!$B$1+((Inputs!$G$5:$G$190&lt;&gt;"moeda")*(Inputs!$G$5:$G$190&lt;&gt;"acoes")))*INDEX(Inputs!$K$5:$AJ$190,0,MATCH(D$2,Inputs!$K$4:$AJ$4,0)))+SUMPRODUCT((Inputs!$C$5:$C$190=$B20)*Inputs!$D$5:$D$190*(((Inputs!$G$5:$G$190="moeda")+(Inputs!$G$5:$G$190="acoes"))*Inputs!$B$1+((Inputs!$G$5:$G$190&lt;&gt;"moeda")*(Inputs!$G$5:$G$190&lt;&gt;"acoes")))*INDEX(Inputs!$K$5:$AJ$190,0,MATCH(D$2,Inputs!$K$4:$AJ$4,0)))+SUMPRODUCT((Inputs!$E$5:$E$190=$B20)*Inputs!$F$5:$F$190*(((Inputs!$G$5:$G$190="moeda")+(Inputs!$G$5:$G$190="acoes"))*Inputs!$B$1+((Inputs!$G$5:$G$190&lt;&gt;"moeda")*(Inputs!$G$5:$G$190&lt;&gt;"acoes")))*INDEX(Inputs!$K$5:$AJ$190,0,MATCH(D$2,Inputs!$K$4:$AJ$4,0)))))</f>
        <v>918.62471075788</v>
      </c>
      <c r="E20" s="6">
        <f>IF(ISNA(MATCH(E$2,Inputs!$K$4:$AJ$4,0)),NA(),IF(SUMPRODUCT((Inputs!$A$5:$A$190=$B20)*ISNUMBER(INDEX(Inputs!$K$5:$AJ$190,0,MATCH(E$2,Inputs!$K$4:$AJ$4,0))))+SUMPRODUCT((Inputs!$C$5:$C$190=$B20)*ISNUMBER(INDEX(Inputs!$K$5:$AJ$190,0,MATCH(E$2,Inputs!$K$4:$AJ$4,0))))+SUMPRODUCT((Inputs!$E$5:$E$190=$B20)*ISNUMBER(INDEX(Inputs!$K$5:$AJ$190,0,MATCH(E$2,Inputs!$K$4:$AJ$4,0))))=0,NA(),SUMPRODUCT((Inputs!$A$5:$A$190=$B20)*Inputs!$B$5:$B$190*(((Inputs!$G$5:$G$190="moeda")+(Inputs!$G$5:$G$190="acoes"))*Inputs!$B$1+((Inputs!$G$5:$G$190&lt;&gt;"moeda")*(Inputs!$G$5:$G$190&lt;&gt;"acoes")))*INDEX(Inputs!$K$5:$AJ$190,0,MATCH(E$2,Inputs!$K$4:$AJ$4,0)))+SUMPRODUCT((Inputs!$C$5:$C$190=$B20)*Inputs!$D$5:$D$190*(((Inputs!$G$5:$G$190="moeda")+(Inputs!$G$5:$G$190="acoes"))*Inputs!$B$1+((Inputs!$G$5:$G$190&lt;&gt;"moeda")*(Inputs!$G$5:$G$190&lt;&gt;"acoes")))*INDEX(Inputs!$K$5:$AJ$190,0,MATCH(E$2,Inputs!$K$4:$AJ$4,0)))+SUMPRODUCT((Inputs!$E$5:$E$190=$B20)*Inputs!$F$5:$F$190*(((Inputs!$G$5:$G$190="moeda")+(Inputs!$G$5:$G$190="acoes"))*Inputs!$B$1+((Inputs!$G$5:$G$190&lt;&gt;"moeda")*(Inputs!$G$5:$G$190&lt;&gt;"acoes")))*INDEX(Inputs!$K$5:$AJ$190,0,MATCH(E$2,Inputs!$K$4:$AJ$4,0)))))</f>
        <v>1009.096</v>
      </c>
      <c r="F20" s="6">
        <f>IF(ISNA(MATCH(F$2,Inputs!$K$4:$AJ$4,0)),NA(),IF(SUMPRODUCT((Inputs!$A$5:$A$190=$B20)*ISNUMBER(INDEX(Inputs!$K$5:$AJ$190,0,MATCH(F$2,Inputs!$K$4:$AJ$4,0))))+SUMPRODUCT((Inputs!$C$5:$C$190=$B20)*ISNUMBER(INDEX(Inputs!$K$5:$AJ$190,0,MATCH(F$2,Inputs!$K$4:$AJ$4,0))))+SUMPRODUCT((Inputs!$E$5:$E$190=$B20)*ISNUMBER(INDEX(Inputs!$K$5:$AJ$190,0,MATCH(F$2,Inputs!$K$4:$AJ$4,0))))=0,NA(),SUMPRODUCT((Inputs!$A$5:$A$190=$B20)*Inputs!$B$5:$B$190*(((Inputs!$G$5:$G$190="moeda")+(Inputs!$G$5:$G$190="acoes"))*Inputs!$B$1+((Inputs!$G$5:$G$190&lt;&gt;"moeda")*(Inputs!$G$5:$G$190&lt;&gt;"acoes")))*INDEX(Inputs!$K$5:$AJ$190,0,MATCH(F$2,Inputs!$K$4:$AJ$4,0)))+SUMPRODUCT((Inputs!$C$5:$C$190=$B20)*Inputs!$D$5:$D$190*(((Inputs!$G$5:$G$190="moeda")+(Inputs!$G$5:$G$190="acoes"))*Inputs!$B$1+((Inputs!$G$5:$G$190&lt;&gt;"moeda")*(Inputs!$G$5:$G$190&lt;&gt;"acoes")))*INDEX(Inputs!$K$5:$AJ$190,0,MATCH(F$2,Inputs!$K$4:$AJ$4,0)))+SUMPRODUCT((Inputs!$E$5:$E$190=$B20)*Inputs!$F$5:$F$190*(((Inputs!$G$5:$G$190="moeda")+(Inputs!$G$5:$G$190="acoes"))*Inputs!$B$1+((Inputs!$G$5:$G$190&lt;&gt;"moeda")*(Inputs!$G$5:$G$190&lt;&gt;"acoes")))*INDEX(Inputs!$K$5:$AJ$190,0,MATCH(F$2,Inputs!$K$4:$AJ$4,0)))))</f>
        <v>1025.098</v>
      </c>
      <c r="G20" s="6">
        <f>IF(ISNA(MATCH(G$2,Inputs!$K$4:$AJ$4,0)),NA(),IF(SUMPRODUCT((Inputs!$A$5:$A$190=$B20)*ISNUMBER(INDEX(Inputs!$K$5:$AJ$190,0,MATCH(G$2,Inputs!$K$4:$AJ$4,0))))+SUMPRODUCT((Inputs!$C$5:$C$190=$B20)*ISNUMBER(INDEX(Inputs!$K$5:$AJ$190,0,MATCH(G$2,Inputs!$K$4:$AJ$4,0))))+SUMPRODUCT((Inputs!$E$5:$E$190=$B20)*ISNUMBER(INDEX(Inputs!$K$5:$AJ$190,0,MATCH(G$2,Inputs!$K$4:$AJ$4,0))))=0,NA(),SUMPRODUCT((Inputs!$A$5:$A$190=$B20)*Inputs!$B$5:$B$190*(((Inputs!$G$5:$G$190="moeda")+(Inputs!$G$5:$G$190="acoes"))*Inputs!$B$1+((Inputs!$G$5:$G$190&lt;&gt;"moeda")*(Inputs!$G$5:$G$190&lt;&gt;"acoes")))*INDEX(Inputs!$K$5:$AJ$190,0,MATCH(G$2,Inputs!$K$4:$AJ$4,0)))+SUMPRODUCT((Inputs!$C$5:$C$190=$B20)*Inputs!$D$5:$D$190*(((Inputs!$G$5:$G$190="moeda")+(Inputs!$G$5:$G$190="acoes"))*Inputs!$B$1+((Inputs!$G$5:$G$190&lt;&gt;"moeda")*(Inputs!$G$5:$G$190&lt;&gt;"acoes")))*INDEX(Inputs!$K$5:$AJ$190,0,MATCH(G$2,Inputs!$K$4:$AJ$4,0)))+SUMPRODUCT((Inputs!$E$5:$E$190=$B20)*Inputs!$F$5:$F$190*(((Inputs!$G$5:$G$190="moeda")+(Inputs!$G$5:$G$190="acoes"))*Inputs!$B$1+((Inputs!$G$5:$G$190&lt;&gt;"moeda")*(Inputs!$G$5:$G$190&lt;&gt;"acoes")))*INDEX(Inputs!$K$5:$AJ$190,0,MATCH(G$2,Inputs!$K$4:$AJ$4,0)))))</f>
        <v>1054.769</v>
      </c>
      <c r="H20" s="3">
        <f>G20</f>
        <v>1054.769</v>
      </c>
      <c r="I20" s="6">
        <f>IF(ISNA(MATCH(I$2,Inputs!$K$4:$AJ$4,0)),NA(),IF(SUMPRODUCT((Inputs!$A$5:$A$190=$B20)*ISNUMBER(INDEX(Inputs!$K$5:$AJ$190,0,MATCH(I$2,Inputs!$K$4:$AJ$4,0))))+SUMPRODUCT((Inputs!$C$5:$C$190=$B20)*ISNUMBER(INDEX(Inputs!$K$5:$AJ$190,0,MATCH(I$2,Inputs!$K$4:$AJ$4,0))))+SUMPRODUCT((Inputs!$E$5:$E$190=$B20)*ISNUMBER(INDEX(Inputs!$K$5:$AJ$190,0,MATCH(I$2,Inputs!$K$4:$AJ$4,0))))=0,NA(),SUMPRODUCT((Inputs!$A$5:$A$190=$B20)*Inputs!$B$5:$B$190*(((Inputs!$G$5:$G$190="moeda")+(Inputs!$G$5:$G$190="acoes"))*Inputs!$B$1+((Inputs!$G$5:$G$190&lt;&gt;"moeda")*(Inputs!$G$5:$G$190&lt;&gt;"acoes")))*INDEX(Inputs!$K$5:$AJ$190,0,MATCH(I$2,Inputs!$K$4:$AJ$4,0)))+SUMPRODUCT((Inputs!$C$5:$C$190=$B20)*Inputs!$D$5:$D$190*(((Inputs!$G$5:$G$190="moeda")+(Inputs!$G$5:$G$190="acoes"))*Inputs!$B$1+((Inputs!$G$5:$G$190&lt;&gt;"moeda")*(Inputs!$G$5:$G$190&lt;&gt;"acoes")))*INDEX(Inputs!$K$5:$AJ$190,0,MATCH(I$2,Inputs!$K$4:$AJ$4,0)))+SUMPRODUCT((Inputs!$E$5:$E$190=$B20)*Inputs!$F$5:$F$190*(((Inputs!$G$5:$G$190="moeda")+(Inputs!$G$5:$G$190="acoes"))*Inputs!$B$1+((Inputs!$G$5:$G$190&lt;&gt;"moeda")*(Inputs!$G$5:$G$190&lt;&gt;"acoes")))*INDEX(Inputs!$K$5:$AJ$190,0,MATCH(I$2,Inputs!$K$4:$AJ$4,0)))))</f>
        <v>1540.565</v>
      </c>
      <c r="J20" s="6">
        <f>IF(ISNA(MATCH(J$2,Inputs!$K$4:$AJ$4,0)),NA(),IF(SUMPRODUCT((Inputs!$A$5:$A$190=$B20)*ISNUMBER(INDEX(Inputs!$K$5:$AJ$190,0,MATCH(J$2,Inputs!$K$4:$AJ$4,0))))+SUMPRODUCT((Inputs!$C$5:$C$190=$B20)*ISNUMBER(INDEX(Inputs!$K$5:$AJ$190,0,MATCH(J$2,Inputs!$K$4:$AJ$4,0))))+SUMPRODUCT((Inputs!$E$5:$E$190=$B20)*ISNUMBER(INDEX(Inputs!$K$5:$AJ$190,0,MATCH(J$2,Inputs!$K$4:$AJ$4,0))))=0,NA(),SUMPRODUCT((Inputs!$A$5:$A$190=$B20)*Inputs!$B$5:$B$190*(((Inputs!$G$5:$G$190="moeda")+(Inputs!$G$5:$G$190="acoes"))*Inputs!$B$1+((Inputs!$G$5:$G$190&lt;&gt;"moeda")*(Inputs!$G$5:$G$190&lt;&gt;"acoes")))*INDEX(Inputs!$K$5:$AJ$190,0,MATCH(J$2,Inputs!$K$4:$AJ$4,0)))+SUMPRODUCT((Inputs!$C$5:$C$190=$B20)*Inputs!$D$5:$D$190*(((Inputs!$G$5:$G$190="moeda")+(Inputs!$G$5:$G$190="acoes"))*Inputs!$B$1+((Inputs!$G$5:$G$190&lt;&gt;"moeda")*(Inputs!$G$5:$G$190&lt;&gt;"acoes")))*INDEX(Inputs!$K$5:$AJ$190,0,MATCH(J$2,Inputs!$K$4:$AJ$4,0)))+SUMPRODUCT((Inputs!$E$5:$E$190=$B20)*Inputs!$F$5:$F$190*(((Inputs!$G$5:$G$190="moeda")+(Inputs!$G$5:$G$190="acoes"))*Inputs!$B$1+((Inputs!$G$5:$G$190&lt;&gt;"moeda")*(Inputs!$G$5:$G$190&lt;&gt;"acoes")))*INDEX(Inputs!$K$5:$AJ$190,0,MATCH(J$2,Inputs!$K$4:$AJ$4,0)))))</f>
        <v>1868.604</v>
      </c>
      <c r="K20" s="6">
        <f>IF(ISNA(MATCH(K$2,Inputs!$K$4:$AJ$4,0)),NA(),IF(SUMPRODUCT((Inputs!$A$5:$A$190=$B20)*ISNUMBER(INDEX(Inputs!$K$5:$AJ$190,0,MATCH(K$2,Inputs!$K$4:$AJ$4,0))))+SUMPRODUCT((Inputs!$C$5:$C$190=$B20)*ISNUMBER(INDEX(Inputs!$K$5:$AJ$190,0,MATCH(K$2,Inputs!$K$4:$AJ$4,0))))+SUMPRODUCT((Inputs!$E$5:$E$190=$B20)*ISNUMBER(INDEX(Inputs!$K$5:$AJ$190,0,MATCH(K$2,Inputs!$K$4:$AJ$4,0))))=0,NA(),SUMPRODUCT((Inputs!$A$5:$A$190=$B20)*Inputs!$B$5:$B$190*(((Inputs!$G$5:$G$190="moeda")+(Inputs!$G$5:$G$190="acoes"))*Inputs!$B$1+((Inputs!$G$5:$G$190&lt;&gt;"moeda")*(Inputs!$G$5:$G$190&lt;&gt;"acoes")))*INDEX(Inputs!$K$5:$AJ$190,0,MATCH(K$2,Inputs!$K$4:$AJ$4,0)))+SUMPRODUCT((Inputs!$C$5:$C$190=$B20)*Inputs!$D$5:$D$190*(((Inputs!$G$5:$G$190="moeda")+(Inputs!$G$5:$G$190="acoes"))*Inputs!$B$1+((Inputs!$G$5:$G$190&lt;&gt;"moeda")*(Inputs!$G$5:$G$190&lt;&gt;"acoes")))*INDEX(Inputs!$K$5:$AJ$190,0,MATCH(K$2,Inputs!$K$4:$AJ$4,0)))+SUMPRODUCT((Inputs!$E$5:$E$190=$B20)*Inputs!$F$5:$F$190*(((Inputs!$G$5:$G$190="moeda")+(Inputs!$G$5:$G$190="acoes"))*Inputs!$B$1+((Inputs!$G$5:$G$190&lt;&gt;"moeda")*(Inputs!$G$5:$G$190&lt;&gt;"acoes")))*INDEX(Inputs!$K$5:$AJ$190,0,MATCH(K$2,Inputs!$K$4:$AJ$4,0)))))</f>
        <v>2469.132</v>
      </c>
      <c r="L20" s="6">
        <f>IF(ISNA(MATCH(L$2,Inputs!$K$4:$AJ$4,0)),NA(),IF(SUMPRODUCT((Inputs!$A$5:$A$190=$B20)*ISNUMBER(INDEX(Inputs!$K$5:$AJ$190,0,MATCH(L$2,Inputs!$K$4:$AJ$4,0))))+SUMPRODUCT((Inputs!$C$5:$C$190=$B20)*ISNUMBER(INDEX(Inputs!$K$5:$AJ$190,0,MATCH(L$2,Inputs!$K$4:$AJ$4,0))))+SUMPRODUCT((Inputs!$E$5:$E$190=$B20)*ISNUMBER(INDEX(Inputs!$K$5:$AJ$190,0,MATCH(L$2,Inputs!$K$4:$AJ$4,0))))=0,NA(),SUMPRODUCT((Inputs!$A$5:$A$190=$B20)*Inputs!$B$5:$B$190*(((Inputs!$G$5:$G$190="moeda")+(Inputs!$G$5:$G$190="acoes"))*Inputs!$B$1+((Inputs!$G$5:$G$190&lt;&gt;"moeda")*(Inputs!$G$5:$G$190&lt;&gt;"acoes")))*INDEX(Inputs!$K$5:$AJ$190,0,MATCH(L$2,Inputs!$K$4:$AJ$4,0)))+SUMPRODUCT((Inputs!$C$5:$C$190=$B20)*Inputs!$D$5:$D$190*(((Inputs!$G$5:$G$190="moeda")+(Inputs!$G$5:$G$190="acoes"))*Inputs!$B$1+((Inputs!$G$5:$G$190&lt;&gt;"moeda")*(Inputs!$G$5:$G$190&lt;&gt;"acoes")))*INDEX(Inputs!$K$5:$AJ$190,0,MATCH(L$2,Inputs!$K$4:$AJ$4,0)))+SUMPRODUCT((Inputs!$E$5:$E$190=$B20)*Inputs!$F$5:$F$190*(((Inputs!$G$5:$G$190="moeda")+(Inputs!$G$5:$G$190="acoes"))*Inputs!$B$1+((Inputs!$G$5:$G$190&lt;&gt;"moeda")*(Inputs!$G$5:$G$190&lt;&gt;"acoes")))*INDEX(Inputs!$K$5:$AJ$190,0,MATCH(L$2,Inputs!$K$4:$AJ$4,0)))))</f>
        <v>2664.571</v>
      </c>
      <c r="M20" s="3">
        <f>L20</f>
        <v>2664.571</v>
      </c>
      <c r="N20" s="6">
        <f>IF(ISNA(MATCH(N$2,Inputs!$K$4:$AJ$4,0)),NA(),IF(SUMPRODUCT((Inputs!$A$5:$A$190=$B20)*ISNUMBER(INDEX(Inputs!$K$5:$AJ$190,0,MATCH(N$2,Inputs!$K$4:$AJ$4,0))))+SUMPRODUCT((Inputs!$C$5:$C$190=$B20)*ISNUMBER(INDEX(Inputs!$K$5:$AJ$190,0,MATCH(N$2,Inputs!$K$4:$AJ$4,0))))+SUMPRODUCT((Inputs!$E$5:$E$190=$B20)*ISNUMBER(INDEX(Inputs!$K$5:$AJ$190,0,MATCH(N$2,Inputs!$K$4:$AJ$4,0))))=0,NA(),SUMPRODUCT((Inputs!$A$5:$A$190=$B20)*Inputs!$B$5:$B$190*(((Inputs!$G$5:$G$190="moeda")+(Inputs!$G$5:$G$190="acoes"))*Inputs!$B$1+((Inputs!$G$5:$G$190&lt;&gt;"moeda")*(Inputs!$G$5:$G$190&lt;&gt;"acoes")))*INDEX(Inputs!$K$5:$AJ$190,0,MATCH(N$2,Inputs!$K$4:$AJ$4,0)))+SUMPRODUCT((Inputs!$C$5:$C$190=$B20)*Inputs!$D$5:$D$190*(((Inputs!$G$5:$G$190="moeda")+(Inputs!$G$5:$G$190="acoes"))*Inputs!$B$1+((Inputs!$G$5:$G$190&lt;&gt;"moeda")*(Inputs!$G$5:$G$190&lt;&gt;"acoes")))*INDEX(Inputs!$K$5:$AJ$190,0,MATCH(N$2,Inputs!$K$4:$AJ$4,0)))+SUMPRODUCT((Inputs!$E$5:$E$190=$B20)*Inputs!$F$5:$F$190*(((Inputs!$G$5:$G$190="moeda")+(Inputs!$G$5:$G$190="acoes"))*Inputs!$B$1+((Inputs!$G$5:$G$190&lt;&gt;"moeda")*(Inputs!$G$5:$G$190&lt;&gt;"acoes")))*INDEX(Inputs!$K$5:$AJ$190,0,MATCH(N$2,Inputs!$K$4:$AJ$4,0)))))</f>
        <v>2494.20797713777</v>
      </c>
      <c r="O20" s="6">
        <f>IF(ISNA(MATCH(O$2,Inputs!$K$4:$AJ$4,0)),NA(),IF(SUMPRODUCT((Inputs!$A$5:$A$190=$B20)*ISNUMBER(INDEX(Inputs!$K$5:$AJ$190,0,MATCH(O$2,Inputs!$K$4:$AJ$4,0))))+SUMPRODUCT((Inputs!$C$5:$C$190=$B20)*ISNUMBER(INDEX(Inputs!$K$5:$AJ$190,0,MATCH(O$2,Inputs!$K$4:$AJ$4,0))))+SUMPRODUCT((Inputs!$E$5:$E$190=$B20)*ISNUMBER(INDEX(Inputs!$K$5:$AJ$190,0,MATCH(O$2,Inputs!$K$4:$AJ$4,0))))=0,NA(),SUMPRODUCT((Inputs!$A$5:$A$190=$B20)*Inputs!$B$5:$B$190*(((Inputs!$G$5:$G$190="moeda")+(Inputs!$G$5:$G$190="acoes"))*Inputs!$B$1+((Inputs!$G$5:$G$190&lt;&gt;"moeda")*(Inputs!$G$5:$G$190&lt;&gt;"acoes")))*INDEX(Inputs!$K$5:$AJ$190,0,MATCH(O$2,Inputs!$K$4:$AJ$4,0)))+SUMPRODUCT((Inputs!$C$5:$C$190=$B20)*Inputs!$D$5:$D$190*(((Inputs!$G$5:$G$190="moeda")+(Inputs!$G$5:$G$190="acoes"))*Inputs!$B$1+((Inputs!$G$5:$G$190&lt;&gt;"moeda")*(Inputs!$G$5:$G$190&lt;&gt;"acoes")))*INDEX(Inputs!$K$5:$AJ$190,0,MATCH(O$2,Inputs!$K$4:$AJ$4,0)))+SUMPRODUCT((Inputs!$E$5:$E$190=$B20)*Inputs!$F$5:$F$190*(((Inputs!$G$5:$G$190="moeda")+(Inputs!$G$5:$G$190="acoes"))*Inputs!$B$1+((Inputs!$G$5:$G$190&lt;&gt;"moeda")*(Inputs!$G$5:$G$190&lt;&gt;"acoes")))*INDEX(Inputs!$K$5:$AJ$190,0,MATCH(O$2,Inputs!$K$4:$AJ$4,0)))))</f>
        <v>2668.47153610207</v>
      </c>
      <c r="P20" s="6">
        <f>IF(ISNA(MATCH(P$2,Inputs!$K$4:$AJ$4,0)),NA(),IF(SUMPRODUCT((Inputs!$A$5:$A$190=$B20)*ISNUMBER(INDEX(Inputs!$K$5:$AJ$190,0,MATCH(P$2,Inputs!$K$4:$AJ$4,0))))+SUMPRODUCT((Inputs!$C$5:$C$190=$B20)*ISNUMBER(INDEX(Inputs!$K$5:$AJ$190,0,MATCH(P$2,Inputs!$K$4:$AJ$4,0))))+SUMPRODUCT((Inputs!$E$5:$E$190=$B20)*ISNUMBER(INDEX(Inputs!$K$5:$AJ$190,0,MATCH(P$2,Inputs!$K$4:$AJ$4,0))))=0,NA(),SUMPRODUCT((Inputs!$A$5:$A$190=$B20)*Inputs!$B$5:$B$190*(((Inputs!$G$5:$G$190="moeda")+(Inputs!$G$5:$G$190="acoes"))*Inputs!$B$1+((Inputs!$G$5:$G$190&lt;&gt;"moeda")*(Inputs!$G$5:$G$190&lt;&gt;"acoes")))*INDEX(Inputs!$K$5:$AJ$190,0,MATCH(P$2,Inputs!$K$4:$AJ$4,0)))+SUMPRODUCT((Inputs!$C$5:$C$190=$B20)*Inputs!$D$5:$D$190*(((Inputs!$G$5:$G$190="moeda")+(Inputs!$G$5:$G$190="acoes"))*Inputs!$B$1+((Inputs!$G$5:$G$190&lt;&gt;"moeda")*(Inputs!$G$5:$G$190&lt;&gt;"acoes")))*INDEX(Inputs!$K$5:$AJ$190,0,MATCH(P$2,Inputs!$K$4:$AJ$4,0)))+SUMPRODUCT((Inputs!$E$5:$E$190=$B20)*Inputs!$F$5:$F$190*(((Inputs!$G$5:$G$190="moeda")+(Inputs!$G$5:$G$190="acoes"))*Inputs!$B$1+((Inputs!$G$5:$G$190&lt;&gt;"moeda")*(Inputs!$G$5:$G$190&lt;&gt;"acoes")))*INDEX(Inputs!$K$5:$AJ$190,0,MATCH(P$2,Inputs!$K$4:$AJ$4,0)))))</f>
        <v>3042.07460496244</v>
      </c>
      <c r="Q20" s="6">
        <f>IF(ISNA(MATCH(Q$2,Inputs!$K$4:$AJ$4,0)),NA(),IF(SUMPRODUCT((Inputs!$A$5:$A$190=$B20)*ISNUMBER(INDEX(Inputs!$K$5:$AJ$190,0,MATCH(Q$2,Inputs!$K$4:$AJ$4,0))))+SUMPRODUCT((Inputs!$C$5:$C$190=$B20)*ISNUMBER(INDEX(Inputs!$K$5:$AJ$190,0,MATCH(Q$2,Inputs!$K$4:$AJ$4,0))))+SUMPRODUCT((Inputs!$E$5:$E$190=$B20)*ISNUMBER(INDEX(Inputs!$K$5:$AJ$190,0,MATCH(Q$2,Inputs!$K$4:$AJ$4,0))))=0,NA(),SUMPRODUCT((Inputs!$A$5:$A$190=$B20)*Inputs!$B$5:$B$190*(((Inputs!$G$5:$G$190="moeda")+(Inputs!$G$5:$G$190="acoes"))*Inputs!$B$1+((Inputs!$G$5:$G$190&lt;&gt;"moeda")*(Inputs!$G$5:$G$190&lt;&gt;"acoes")))*INDEX(Inputs!$K$5:$AJ$190,0,MATCH(Q$2,Inputs!$K$4:$AJ$4,0)))+SUMPRODUCT((Inputs!$C$5:$C$190=$B20)*Inputs!$D$5:$D$190*(((Inputs!$G$5:$G$190="moeda")+(Inputs!$G$5:$G$190="acoes"))*Inputs!$B$1+((Inputs!$G$5:$G$190&lt;&gt;"moeda")*(Inputs!$G$5:$G$190&lt;&gt;"acoes")))*INDEX(Inputs!$K$5:$AJ$190,0,MATCH(Q$2,Inputs!$K$4:$AJ$4,0)))+SUMPRODUCT((Inputs!$E$5:$E$190=$B20)*Inputs!$F$5:$F$190*(((Inputs!$G$5:$G$190="moeda")+(Inputs!$G$5:$G$190="acoes"))*Inputs!$B$1+((Inputs!$G$5:$G$190&lt;&gt;"moeda")*(Inputs!$G$5:$G$190&lt;&gt;"acoes")))*INDEX(Inputs!$K$5:$AJ$190,0,MATCH(Q$2,Inputs!$K$4:$AJ$4,0)))))</f>
        <v>3089.34996132869</v>
      </c>
      <c r="R20" s="3">
        <f>Q20</f>
        <v>3089.34996132869</v>
      </c>
      <c r="S20" s="6">
        <f>IF(ISNA(MATCH(S$2,Inputs!$K$4:$AJ$4,0)),NA(),IF(SUMPRODUCT((Inputs!$A$5:$A$190=$B20)*ISNUMBER(INDEX(Inputs!$K$5:$AJ$190,0,MATCH(S$2,Inputs!$K$4:$AJ$4,0))))+SUMPRODUCT((Inputs!$C$5:$C$190=$B20)*ISNUMBER(INDEX(Inputs!$K$5:$AJ$190,0,MATCH(S$2,Inputs!$K$4:$AJ$4,0))))+SUMPRODUCT((Inputs!$E$5:$E$190=$B20)*ISNUMBER(INDEX(Inputs!$K$5:$AJ$190,0,MATCH(S$2,Inputs!$K$4:$AJ$4,0))))=0,NA(),SUMPRODUCT((Inputs!$A$5:$A$190=$B20)*Inputs!$B$5:$B$190*(((Inputs!$G$5:$G$190="moeda")+(Inputs!$G$5:$G$190="acoes"))*Inputs!$B$1+((Inputs!$G$5:$G$190&lt;&gt;"moeda")*(Inputs!$G$5:$G$190&lt;&gt;"acoes")))*INDEX(Inputs!$K$5:$AJ$190,0,MATCH(S$2,Inputs!$K$4:$AJ$4,0)))+SUMPRODUCT((Inputs!$C$5:$C$190=$B20)*Inputs!$D$5:$D$190*(((Inputs!$G$5:$G$190="moeda")+(Inputs!$G$5:$G$190="acoes"))*Inputs!$B$1+((Inputs!$G$5:$G$190&lt;&gt;"moeda")*(Inputs!$G$5:$G$190&lt;&gt;"acoes")))*INDEX(Inputs!$K$5:$AJ$190,0,MATCH(S$2,Inputs!$K$4:$AJ$4,0)))+SUMPRODUCT((Inputs!$E$5:$E$190=$B20)*Inputs!$F$5:$F$190*(((Inputs!$G$5:$G$190="moeda")+(Inputs!$G$5:$G$190="acoes"))*Inputs!$B$1+((Inputs!$G$5:$G$190&lt;&gt;"moeda")*(Inputs!$G$5:$G$190&lt;&gt;"acoes")))*INDEX(Inputs!$K$5:$AJ$190,0,MATCH(S$2,Inputs!$K$4:$AJ$4,0)))))</f>
        <v>3511.11721899673</v>
      </c>
      <c r="T20" s="6">
        <f>IF(ISNA(MATCH(T$2,Inputs!$K$4:$AJ$4,0)),NA(),IF(SUMPRODUCT((Inputs!$A$5:$A$190=$B20)*ISNUMBER(INDEX(Inputs!$K$5:$AJ$190,0,MATCH(T$2,Inputs!$K$4:$AJ$4,0))))+SUMPRODUCT((Inputs!$C$5:$C$190=$B20)*ISNUMBER(INDEX(Inputs!$K$5:$AJ$190,0,MATCH(T$2,Inputs!$K$4:$AJ$4,0))))+SUMPRODUCT((Inputs!$E$5:$E$190=$B20)*ISNUMBER(INDEX(Inputs!$K$5:$AJ$190,0,MATCH(T$2,Inputs!$K$4:$AJ$4,0))))=0,NA(),SUMPRODUCT((Inputs!$A$5:$A$190=$B20)*Inputs!$B$5:$B$190*(((Inputs!$G$5:$G$190="moeda")+(Inputs!$G$5:$G$190="acoes"))*Inputs!$B$1+((Inputs!$G$5:$G$190&lt;&gt;"moeda")*(Inputs!$G$5:$G$190&lt;&gt;"acoes")))*INDEX(Inputs!$K$5:$AJ$190,0,MATCH(T$2,Inputs!$K$4:$AJ$4,0)))+SUMPRODUCT((Inputs!$C$5:$C$190=$B20)*Inputs!$D$5:$D$190*(((Inputs!$G$5:$G$190="moeda")+(Inputs!$G$5:$G$190="acoes"))*Inputs!$B$1+((Inputs!$G$5:$G$190&lt;&gt;"moeda")*(Inputs!$G$5:$G$190&lt;&gt;"acoes")))*INDEX(Inputs!$K$5:$AJ$190,0,MATCH(T$2,Inputs!$K$4:$AJ$4,0)))+SUMPRODUCT((Inputs!$E$5:$E$190=$B20)*Inputs!$F$5:$F$190*(((Inputs!$G$5:$G$190="moeda")+(Inputs!$G$5:$G$190="acoes"))*Inputs!$B$1+((Inputs!$G$5:$G$190&lt;&gt;"moeda")*(Inputs!$G$5:$G$190&lt;&gt;"acoes")))*INDEX(Inputs!$K$5:$AJ$190,0,MATCH(T$2,Inputs!$K$4:$AJ$4,0)))))</f>
        <v>4113.54614389414</v>
      </c>
      <c r="U20" s="6">
        <f>IF(ISNA(MATCH(U$2,Inputs!$K$4:$AJ$4,0)),NA(),IF(SUMPRODUCT((Inputs!$A$5:$A$190=$B20)*ISNUMBER(INDEX(Inputs!$K$5:$AJ$190,0,MATCH(U$2,Inputs!$K$4:$AJ$4,0))))+SUMPRODUCT((Inputs!$C$5:$C$190=$B20)*ISNUMBER(INDEX(Inputs!$K$5:$AJ$190,0,MATCH(U$2,Inputs!$K$4:$AJ$4,0))))+SUMPRODUCT((Inputs!$E$5:$E$190=$B20)*ISNUMBER(INDEX(Inputs!$K$5:$AJ$190,0,MATCH(U$2,Inputs!$K$4:$AJ$4,0))))=0,NA(),SUMPRODUCT((Inputs!$A$5:$A$190=$B20)*Inputs!$B$5:$B$190*(((Inputs!$G$5:$G$190="moeda")+(Inputs!$G$5:$G$190="acoes"))*Inputs!$B$1+((Inputs!$G$5:$G$190&lt;&gt;"moeda")*(Inputs!$G$5:$G$190&lt;&gt;"acoes")))*INDEX(Inputs!$K$5:$AJ$190,0,MATCH(U$2,Inputs!$K$4:$AJ$4,0)))+SUMPRODUCT((Inputs!$C$5:$C$190=$B20)*Inputs!$D$5:$D$190*(((Inputs!$G$5:$G$190="moeda")+(Inputs!$G$5:$G$190="acoes"))*Inputs!$B$1+((Inputs!$G$5:$G$190&lt;&gt;"moeda")*(Inputs!$G$5:$G$190&lt;&gt;"acoes")))*INDEX(Inputs!$K$5:$AJ$190,0,MATCH(U$2,Inputs!$K$4:$AJ$4,0)))+SUMPRODUCT((Inputs!$E$5:$E$190=$B20)*Inputs!$F$5:$F$190*(((Inputs!$G$5:$G$190="moeda")+(Inputs!$G$5:$G$190="acoes"))*Inputs!$B$1+((Inputs!$G$5:$G$190&lt;&gt;"moeda")*(Inputs!$G$5:$G$190&lt;&gt;"acoes")))*INDEX(Inputs!$K$5:$AJ$190,0,MATCH(U$2,Inputs!$K$4:$AJ$4,0)))))</f>
        <v>4096.88239483389</v>
      </c>
      <c r="V20" s="6">
        <f>IF(ISNA(MATCH(V$2,Inputs!$K$4:$AJ$4,0)),NA(),IF(SUMPRODUCT((Inputs!$A$5:$A$190=$B20)*ISNUMBER(INDEX(Inputs!$K$5:$AJ$190,0,MATCH(V$2,Inputs!$K$4:$AJ$4,0))))+SUMPRODUCT((Inputs!$C$5:$C$190=$B20)*ISNUMBER(INDEX(Inputs!$K$5:$AJ$190,0,MATCH(V$2,Inputs!$K$4:$AJ$4,0))))+SUMPRODUCT((Inputs!$E$5:$E$190=$B20)*ISNUMBER(INDEX(Inputs!$K$5:$AJ$190,0,MATCH(V$2,Inputs!$K$4:$AJ$4,0))))=0,NA(),SUMPRODUCT((Inputs!$A$5:$A$190=$B20)*Inputs!$B$5:$B$190*(((Inputs!$G$5:$G$190="moeda")+(Inputs!$G$5:$G$190="acoes"))*Inputs!$B$1+((Inputs!$G$5:$G$190&lt;&gt;"moeda")*(Inputs!$G$5:$G$190&lt;&gt;"acoes")))*INDEX(Inputs!$K$5:$AJ$190,0,MATCH(V$2,Inputs!$K$4:$AJ$4,0)))+SUMPRODUCT((Inputs!$C$5:$C$190=$B20)*Inputs!$D$5:$D$190*(((Inputs!$G$5:$G$190="moeda")+(Inputs!$G$5:$G$190="acoes"))*Inputs!$B$1+((Inputs!$G$5:$G$190&lt;&gt;"moeda")*(Inputs!$G$5:$G$190&lt;&gt;"acoes")))*INDEX(Inputs!$K$5:$AJ$190,0,MATCH(V$2,Inputs!$K$4:$AJ$4,0)))+SUMPRODUCT((Inputs!$E$5:$E$190=$B20)*Inputs!$F$5:$F$190*(((Inputs!$G$5:$G$190="moeda")+(Inputs!$G$5:$G$190="acoes"))*Inputs!$B$1+((Inputs!$G$5:$G$190&lt;&gt;"moeda")*(Inputs!$G$5:$G$190&lt;&gt;"acoes")))*INDEX(Inputs!$K$5:$AJ$190,0,MATCH(V$2,Inputs!$K$4:$AJ$4,0)))))</f>
        <v>4697.06448059</v>
      </c>
      <c r="W20" s="3">
        <f>V20</f>
        <v>4697.06448059</v>
      </c>
      <c r="X20" s="6">
        <f>IF(ISNA(MATCH(X$2,Inputs!$K$4:$AJ$4,0)),NA(),IF(SUMPRODUCT((Inputs!$A$5:$A$190=$B20)*ISNUMBER(INDEX(Inputs!$K$5:$AJ$190,0,MATCH(X$2,Inputs!$K$4:$AJ$4,0))))+SUMPRODUCT((Inputs!$C$5:$C$190=$B20)*ISNUMBER(INDEX(Inputs!$K$5:$AJ$190,0,MATCH(X$2,Inputs!$K$4:$AJ$4,0))))+SUMPRODUCT((Inputs!$E$5:$E$190=$B20)*ISNUMBER(INDEX(Inputs!$K$5:$AJ$190,0,MATCH(X$2,Inputs!$K$4:$AJ$4,0))))=0,NA(),SUMPRODUCT((Inputs!$A$5:$A$190=$B20)*Inputs!$B$5:$B$190*(((Inputs!$G$5:$G$190="moeda")+(Inputs!$G$5:$G$190="acoes"))*Inputs!$B$1+((Inputs!$G$5:$G$190&lt;&gt;"moeda")*(Inputs!$G$5:$G$190&lt;&gt;"acoes")))*INDEX(Inputs!$K$5:$AJ$190,0,MATCH(X$2,Inputs!$K$4:$AJ$4,0)))+SUMPRODUCT((Inputs!$C$5:$C$190=$B20)*Inputs!$D$5:$D$190*(((Inputs!$G$5:$G$190="moeda")+(Inputs!$G$5:$G$190="acoes"))*Inputs!$B$1+((Inputs!$G$5:$G$190&lt;&gt;"moeda")*(Inputs!$G$5:$G$190&lt;&gt;"acoes")))*INDEX(Inputs!$K$5:$AJ$190,0,MATCH(X$2,Inputs!$K$4:$AJ$4,0)))+SUMPRODUCT((Inputs!$E$5:$E$190=$B20)*Inputs!$F$5:$F$190*(((Inputs!$G$5:$G$190="moeda")+(Inputs!$G$5:$G$190="acoes"))*Inputs!$B$1+((Inputs!$G$5:$G$190&lt;&gt;"moeda")*(Inputs!$G$5:$G$190&lt;&gt;"acoes")))*INDEX(Inputs!$K$5:$AJ$190,0,MATCH(X$2,Inputs!$K$4:$AJ$4,0)))))</f>
        <v>4619.39602222</v>
      </c>
      <c r="Y20" s="6">
        <f>IF(ISNA(MATCH(Y$2,Inputs!$K$4:$AJ$4,0)),NA(),IF(SUMPRODUCT((Inputs!$A$5:$A$190=$B20)*ISNUMBER(INDEX(Inputs!$K$5:$AJ$190,0,MATCH(Y$2,Inputs!$K$4:$AJ$4,0))))+SUMPRODUCT((Inputs!$C$5:$C$190=$B20)*ISNUMBER(INDEX(Inputs!$K$5:$AJ$190,0,MATCH(Y$2,Inputs!$K$4:$AJ$4,0))))+SUMPRODUCT((Inputs!$E$5:$E$190=$B20)*ISNUMBER(INDEX(Inputs!$K$5:$AJ$190,0,MATCH(Y$2,Inputs!$K$4:$AJ$4,0))))=0,NA(),SUMPRODUCT((Inputs!$A$5:$A$190=$B20)*Inputs!$B$5:$B$190*(((Inputs!$G$5:$G$190="moeda")+(Inputs!$G$5:$G$190="acoes"))*Inputs!$B$1+((Inputs!$G$5:$G$190&lt;&gt;"moeda")*(Inputs!$G$5:$G$190&lt;&gt;"acoes")))*INDEX(Inputs!$K$5:$AJ$190,0,MATCH(Y$2,Inputs!$K$4:$AJ$4,0)))+SUMPRODUCT((Inputs!$C$5:$C$190=$B20)*Inputs!$D$5:$D$190*(((Inputs!$G$5:$G$190="moeda")+(Inputs!$G$5:$G$190="acoes"))*Inputs!$B$1+((Inputs!$G$5:$G$190&lt;&gt;"moeda")*(Inputs!$G$5:$G$190&lt;&gt;"acoes")))*INDEX(Inputs!$K$5:$AJ$190,0,MATCH(Y$2,Inputs!$K$4:$AJ$4,0)))+SUMPRODUCT((Inputs!$E$5:$E$190=$B20)*Inputs!$F$5:$F$190*(((Inputs!$G$5:$G$190="moeda")+(Inputs!$G$5:$G$190="acoes"))*Inputs!$B$1+((Inputs!$G$5:$G$190&lt;&gt;"moeda")*(Inputs!$G$5:$G$190&lt;&gt;"acoes")))*INDEX(Inputs!$K$5:$AJ$190,0,MATCH(Y$2,Inputs!$K$4:$AJ$4,0)))))</f>
        <v>5228.24173979</v>
      </c>
      <c r="Z20" s="6">
        <f>IF(ISNA(MATCH(Z$2,Inputs!$K$4:$AJ$4,0)),NA(),IF(SUMPRODUCT((Inputs!$A$5:$A$190=$B20)*ISNUMBER(INDEX(Inputs!$K$5:$AJ$190,0,MATCH(Z$2,Inputs!$K$4:$AJ$4,0))))+SUMPRODUCT((Inputs!$C$5:$C$190=$B20)*ISNUMBER(INDEX(Inputs!$K$5:$AJ$190,0,MATCH(Z$2,Inputs!$K$4:$AJ$4,0))))+SUMPRODUCT((Inputs!$E$5:$E$190=$B20)*ISNUMBER(INDEX(Inputs!$K$5:$AJ$190,0,MATCH(Z$2,Inputs!$K$4:$AJ$4,0))))=0,NA(),SUMPRODUCT((Inputs!$A$5:$A$190=$B20)*Inputs!$B$5:$B$190*(((Inputs!$G$5:$G$190="moeda")+(Inputs!$G$5:$G$190="acoes"))*Inputs!$B$1+((Inputs!$G$5:$G$190&lt;&gt;"moeda")*(Inputs!$G$5:$G$190&lt;&gt;"acoes")))*INDEX(Inputs!$K$5:$AJ$190,0,MATCH(Z$2,Inputs!$K$4:$AJ$4,0)))+SUMPRODUCT((Inputs!$C$5:$C$190=$B20)*Inputs!$D$5:$D$190*(((Inputs!$G$5:$G$190="moeda")+(Inputs!$G$5:$G$190="acoes"))*Inputs!$B$1+((Inputs!$G$5:$G$190&lt;&gt;"moeda")*(Inputs!$G$5:$G$190&lt;&gt;"acoes")))*INDEX(Inputs!$K$5:$AJ$190,0,MATCH(Z$2,Inputs!$K$4:$AJ$4,0)))+SUMPRODUCT((Inputs!$E$5:$E$190=$B20)*Inputs!$F$5:$F$190*(((Inputs!$G$5:$G$190="moeda")+(Inputs!$G$5:$G$190="acoes"))*Inputs!$B$1+((Inputs!$G$5:$G$190&lt;&gt;"moeda")*(Inputs!$G$5:$G$190&lt;&gt;"acoes")))*INDEX(Inputs!$K$5:$AJ$190,0,MATCH(Z$2,Inputs!$K$4:$AJ$4,0)))))</f>
        <v>4760.64160671</v>
      </c>
      <c r="AA20" s="6">
        <f>IF(ISNA(MATCH(AA$2,Inputs!$K$4:$AJ$4,0)),NA(),IF(SUMPRODUCT((Inputs!$A$5:$A$190=$B20)*ISNUMBER(INDEX(Inputs!$K$5:$AJ$190,0,MATCH(AA$2,Inputs!$K$4:$AJ$4,0))))+SUMPRODUCT((Inputs!$C$5:$C$190=$B20)*ISNUMBER(INDEX(Inputs!$K$5:$AJ$190,0,MATCH(AA$2,Inputs!$K$4:$AJ$4,0))))+SUMPRODUCT((Inputs!$E$5:$E$190=$B20)*ISNUMBER(INDEX(Inputs!$K$5:$AJ$190,0,MATCH(AA$2,Inputs!$K$4:$AJ$4,0))))=0,NA(),SUMPRODUCT((Inputs!$A$5:$A$190=$B20)*Inputs!$B$5:$B$190*(((Inputs!$G$5:$G$190="moeda")+(Inputs!$G$5:$G$190="acoes"))*Inputs!$B$1+((Inputs!$G$5:$G$190&lt;&gt;"moeda")*(Inputs!$G$5:$G$190&lt;&gt;"acoes")))*INDEX(Inputs!$K$5:$AJ$190,0,MATCH(AA$2,Inputs!$K$4:$AJ$4,0)))+SUMPRODUCT((Inputs!$C$5:$C$190=$B20)*Inputs!$D$5:$D$190*(((Inputs!$G$5:$G$190="moeda")+(Inputs!$G$5:$G$190="acoes"))*Inputs!$B$1+((Inputs!$G$5:$G$190&lt;&gt;"moeda")*(Inputs!$G$5:$G$190&lt;&gt;"acoes")))*INDEX(Inputs!$K$5:$AJ$190,0,MATCH(AA$2,Inputs!$K$4:$AJ$4,0)))+SUMPRODUCT((Inputs!$E$5:$E$190=$B20)*Inputs!$F$5:$F$190*(((Inputs!$G$5:$G$190="moeda")+(Inputs!$G$5:$G$190="acoes"))*Inputs!$B$1+((Inputs!$G$5:$G$190&lt;&gt;"moeda")*(Inputs!$G$5:$G$190&lt;&gt;"acoes")))*INDEX(Inputs!$K$5:$AJ$190,0,MATCH(AA$2,Inputs!$K$4:$AJ$4,0)))))</f>
        <v>3959.69308964</v>
      </c>
      <c r="AB20" s="3">
        <f>AA20</f>
        <v>3959.69308964</v>
      </c>
      <c r="AC20" s="6">
        <f>IF(ISNA(MATCH(AC$2,Inputs!$K$4:$AJ$4,0)),NA(),IF(SUMPRODUCT((Inputs!$A$5:$A$190=$B20)*ISNUMBER(INDEX(Inputs!$K$5:$AJ$190,0,MATCH(AC$2,Inputs!$K$4:$AJ$4,0))))+SUMPRODUCT((Inputs!$C$5:$C$190=$B20)*ISNUMBER(INDEX(Inputs!$K$5:$AJ$190,0,MATCH(AC$2,Inputs!$K$4:$AJ$4,0))))+SUMPRODUCT((Inputs!$E$5:$E$190=$B20)*ISNUMBER(INDEX(Inputs!$K$5:$AJ$190,0,MATCH(AC$2,Inputs!$K$4:$AJ$4,0))))=0,NA(),SUMPRODUCT((Inputs!$A$5:$A$190=$B20)*Inputs!$B$5:$B$190*(((Inputs!$G$5:$G$190="moeda")+(Inputs!$G$5:$G$190="acoes"))*Inputs!$B$1+((Inputs!$G$5:$G$190&lt;&gt;"moeda")*(Inputs!$G$5:$G$190&lt;&gt;"acoes")))*INDEX(Inputs!$K$5:$AJ$190,0,MATCH(AC$2,Inputs!$K$4:$AJ$4,0)))+SUMPRODUCT((Inputs!$C$5:$C$190=$B20)*Inputs!$D$5:$D$190*(((Inputs!$G$5:$G$190="moeda")+(Inputs!$G$5:$G$190="acoes"))*Inputs!$B$1+((Inputs!$G$5:$G$190&lt;&gt;"moeda")*(Inputs!$G$5:$G$190&lt;&gt;"acoes")))*INDEX(Inputs!$K$5:$AJ$190,0,MATCH(AC$2,Inputs!$K$4:$AJ$4,0)))+SUMPRODUCT((Inputs!$E$5:$E$190=$B20)*Inputs!$F$5:$F$190*(((Inputs!$G$5:$G$190="moeda")+(Inputs!$G$5:$G$190="acoes"))*Inputs!$B$1+((Inputs!$G$5:$G$190&lt;&gt;"moeda")*(Inputs!$G$5:$G$190&lt;&gt;"acoes")))*INDEX(Inputs!$K$5:$AJ$190,0,MATCH(AC$2,Inputs!$K$4:$AJ$4,0)))))</f>
        <v>4297.0872434</v>
      </c>
      <c r="AD20" s="6">
        <f>IF(ISNA(MATCH(AD$2,Inputs!$K$4:$AJ$4,0)),NA(),IF(SUMPRODUCT((Inputs!$A$5:$A$190=$B20)*ISNUMBER(INDEX(Inputs!$K$5:$AJ$190,0,MATCH(AD$2,Inputs!$K$4:$AJ$4,0))))+SUMPRODUCT((Inputs!$C$5:$C$190=$B20)*ISNUMBER(INDEX(Inputs!$K$5:$AJ$190,0,MATCH(AD$2,Inputs!$K$4:$AJ$4,0))))+SUMPRODUCT((Inputs!$E$5:$E$190=$B20)*ISNUMBER(INDEX(Inputs!$K$5:$AJ$190,0,MATCH(AD$2,Inputs!$K$4:$AJ$4,0))))=0,NA(),SUMPRODUCT((Inputs!$A$5:$A$190=$B20)*Inputs!$B$5:$B$190*(((Inputs!$G$5:$G$190="moeda")+(Inputs!$G$5:$G$190="acoes"))*Inputs!$B$1+((Inputs!$G$5:$G$190&lt;&gt;"moeda")*(Inputs!$G$5:$G$190&lt;&gt;"acoes")))*INDEX(Inputs!$K$5:$AJ$190,0,MATCH(AD$2,Inputs!$K$4:$AJ$4,0)))+SUMPRODUCT((Inputs!$C$5:$C$190=$B20)*Inputs!$D$5:$D$190*(((Inputs!$G$5:$G$190="moeda")+(Inputs!$G$5:$G$190="acoes"))*Inputs!$B$1+((Inputs!$G$5:$G$190&lt;&gt;"moeda")*(Inputs!$G$5:$G$190&lt;&gt;"acoes")))*INDEX(Inputs!$K$5:$AJ$190,0,MATCH(AD$2,Inputs!$K$4:$AJ$4,0)))+SUMPRODUCT((Inputs!$E$5:$E$190=$B20)*Inputs!$F$5:$F$190*(((Inputs!$G$5:$G$190="moeda")+(Inputs!$G$5:$G$190="acoes"))*Inputs!$B$1+((Inputs!$G$5:$G$190&lt;&gt;"moeda")*(Inputs!$G$5:$G$190&lt;&gt;"acoes")))*INDEX(Inputs!$K$5:$AJ$190,0,MATCH(AD$2,Inputs!$K$4:$AJ$4,0)))))</f>
        <v>5734.88510625</v>
      </c>
      <c r="AE20" s="6" t="e">
        <f>IF(ISNA(MATCH(AE$2,Inputs!$K$4:$AJ$4,0)),NA(),IF(SUMPRODUCT((Inputs!$A$5:$A$190=$B20)*ISNUMBER(INDEX(Inputs!$K$5:$AJ$190,0,MATCH(AE$2,Inputs!$K$4:$AJ$4,0))))+SUMPRODUCT((Inputs!$C$5:$C$190=$B20)*ISNUMBER(INDEX(Inputs!$K$5:$AJ$190,0,MATCH(AE$2,Inputs!$K$4:$AJ$4,0))))+SUMPRODUCT((Inputs!$E$5:$E$190=$B20)*ISNUMBER(INDEX(Inputs!$K$5:$AJ$190,0,MATCH(AE$2,Inputs!$K$4:$AJ$4,0))))=0,NA(),SUMPRODUCT((Inputs!$A$5:$A$190=$B20)*Inputs!$B$5:$B$190*(((Inputs!$G$5:$G$190="moeda")+(Inputs!$G$5:$G$190="acoes"))*Inputs!$B$1+((Inputs!$G$5:$G$190&lt;&gt;"moeda")*(Inputs!$G$5:$G$190&lt;&gt;"acoes")))*INDEX(Inputs!$K$5:$AJ$190,0,MATCH(AE$2,Inputs!$K$4:$AJ$4,0)))+SUMPRODUCT((Inputs!$C$5:$C$190=$B20)*Inputs!$D$5:$D$190*(((Inputs!$G$5:$G$190="moeda")+(Inputs!$G$5:$G$190="acoes"))*Inputs!$B$1+((Inputs!$G$5:$G$190&lt;&gt;"moeda")*(Inputs!$G$5:$G$190&lt;&gt;"acoes")))*INDEX(Inputs!$K$5:$AJ$190,0,MATCH(AE$2,Inputs!$K$4:$AJ$4,0)))+SUMPRODUCT((Inputs!$E$5:$E$190=$B20)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20" s="6" t="e">
        <f>IF(ISNA(MATCH(AF$2,Inputs!$K$4:$AJ$4,0)),NA(),IF(SUMPRODUCT((Inputs!$A$5:$A$190=$B20)*ISNUMBER(INDEX(Inputs!$K$5:$AJ$190,0,MATCH(AF$2,Inputs!$K$4:$AJ$4,0))))+SUMPRODUCT((Inputs!$C$5:$C$190=$B20)*ISNUMBER(INDEX(Inputs!$K$5:$AJ$190,0,MATCH(AF$2,Inputs!$K$4:$AJ$4,0))))+SUMPRODUCT((Inputs!$E$5:$E$190=$B20)*ISNUMBER(INDEX(Inputs!$K$5:$AJ$190,0,MATCH(AF$2,Inputs!$K$4:$AJ$4,0))))=0,NA(),SUMPRODUCT((Inputs!$A$5:$A$190=$B20)*Inputs!$B$5:$B$190*(((Inputs!$G$5:$G$190="moeda")+(Inputs!$G$5:$G$190="acoes"))*Inputs!$B$1+((Inputs!$G$5:$G$190&lt;&gt;"moeda")*(Inputs!$G$5:$G$190&lt;&gt;"acoes")))*INDEX(Inputs!$K$5:$AJ$190,0,MATCH(AF$2,Inputs!$K$4:$AJ$4,0)))+SUMPRODUCT((Inputs!$C$5:$C$190=$B20)*Inputs!$D$5:$D$190*(((Inputs!$G$5:$G$190="moeda")+(Inputs!$G$5:$G$190="acoes"))*Inputs!$B$1+((Inputs!$G$5:$G$190&lt;&gt;"moeda")*(Inputs!$G$5:$G$190&lt;&gt;"acoes")))*INDEX(Inputs!$K$5:$AJ$190,0,MATCH(AF$2,Inputs!$K$4:$AJ$4,0)))+SUMPRODUCT((Inputs!$E$5:$E$190=$B20)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20" s="3" t="e">
        <f>AF20</f>
        <v>#N/A</v>
      </c>
      <c r="AH20" s="6">
        <f>IF(ISNA(MATCH(AH$2,Inputs!$K$4:$AJ$4,0)),NA(),IF(SUMPRODUCT((Inputs!$A$5:$A$190=$B20)*ISNUMBER(INDEX(Inputs!$K$5:$AJ$190,0,MATCH(AH$2,Inputs!$K$4:$AJ$4,0))))+SUMPRODUCT((Inputs!$C$5:$C$190=$B20)*ISNUMBER(INDEX(Inputs!$K$5:$AJ$190,0,MATCH(AH$2,Inputs!$K$4:$AJ$4,0))))+SUMPRODUCT((Inputs!$E$5:$E$190=$B20)*ISNUMBER(INDEX(Inputs!$K$5:$AJ$190,0,MATCH(AH$2,Inputs!$K$4:$AJ$4,0))))=0,NA(),SUMPRODUCT((Inputs!$A$5:$A$190=$B20)*Inputs!$B$5:$B$190*(((Inputs!$G$5:$G$190="moeda")+(Inputs!$G$5:$G$190="acoes"))*Inputs!$B$1+((Inputs!$G$5:$G$190&lt;&gt;"moeda")*(Inputs!$G$5:$G$190&lt;&gt;"acoes")))*INDEX(Inputs!$K$5:$AJ$190,0,MATCH(AH$2,Inputs!$K$4:$AJ$4,0)))+SUMPRODUCT((Inputs!$C$5:$C$190=$B20)*Inputs!$D$5:$D$190*(((Inputs!$G$5:$G$190="moeda")+(Inputs!$G$5:$G$190="acoes"))*Inputs!$B$1+((Inputs!$G$5:$G$190&lt;&gt;"moeda")*(Inputs!$G$5:$G$190&lt;&gt;"acoes")))*INDEX(Inputs!$K$5:$AJ$190,0,MATCH(AH$2,Inputs!$K$4:$AJ$4,0)))+SUMPRODUCT((Inputs!$E$5:$E$190=$B20)*Inputs!$F$5:$F$190*(((Inputs!$G$5:$G$190="moeda")+(Inputs!$G$5:$G$190="acoes"))*Inputs!$B$1+((Inputs!$G$5:$G$190&lt;&gt;"moeda")*(Inputs!$G$5:$G$190&lt;&gt;"acoes")))*INDEX(Inputs!$K$5:$AJ$190,0,MATCH(AH$2,Inputs!$K$4:$AJ$4,0)))))</f>
        <v>1124.5568818</v>
      </c>
      <c r="AI20" s="6">
        <f>IF(ISNA(MATCH(AI$2,Inputs!$K$4:$AJ$4,0)),NA(),IF(SUMPRODUCT((Inputs!$A$5:$A$190=$B20)*ISNUMBER(INDEX(Inputs!$K$5:$AJ$190,0,MATCH(AI$2,Inputs!$K$4:$AJ$4,0))))+SUMPRODUCT((Inputs!$C$5:$C$190=$B20)*ISNUMBER(INDEX(Inputs!$K$5:$AJ$190,0,MATCH(AI$2,Inputs!$K$4:$AJ$4,0))))+SUMPRODUCT((Inputs!$E$5:$E$190=$B20)*ISNUMBER(INDEX(Inputs!$K$5:$AJ$190,0,MATCH(AI$2,Inputs!$K$4:$AJ$4,0))))=0,NA(),SUMPRODUCT((Inputs!$A$5:$A$190=$B20)*Inputs!$B$5:$B$190*(((Inputs!$G$5:$G$190="moeda")+(Inputs!$G$5:$G$190="acoes"))*Inputs!$B$1+((Inputs!$G$5:$G$190&lt;&gt;"moeda")*(Inputs!$G$5:$G$190&lt;&gt;"acoes")))*INDEX(Inputs!$K$5:$AJ$190,0,MATCH(AI$2,Inputs!$K$4:$AJ$4,0)))+SUMPRODUCT((Inputs!$C$5:$C$190=$B20)*Inputs!$D$5:$D$190*(((Inputs!$G$5:$G$190="moeda")+(Inputs!$G$5:$G$190="acoes"))*Inputs!$B$1+((Inputs!$G$5:$G$190&lt;&gt;"moeda")*(Inputs!$G$5:$G$190&lt;&gt;"acoes")))*INDEX(Inputs!$K$5:$AJ$190,0,MATCH(AI$2,Inputs!$K$4:$AJ$4,0)))+SUMPRODUCT((Inputs!$E$5:$E$190=$B20)*Inputs!$F$5:$F$190*(((Inputs!$G$5:$G$190="moeda")+(Inputs!$G$5:$G$190="acoes"))*Inputs!$B$1+((Inputs!$G$5:$G$190&lt;&gt;"moeda")*(Inputs!$G$5:$G$190&lt;&gt;"acoes")))*INDEX(Inputs!$K$5:$AJ$190,0,MATCH(AI$2,Inputs!$K$4:$AJ$4,0)))))</f>
        <v>1282.686364983</v>
      </c>
      <c r="AJ20" s="6">
        <f>IF(ISNA(MATCH(AJ$2,Inputs!$K$4:$AJ$4,0)),NA(),IF(SUMPRODUCT((Inputs!$A$5:$A$190=$B20)*ISNUMBER(INDEX(Inputs!$K$5:$AJ$190,0,MATCH(AJ$2,Inputs!$K$4:$AJ$4,0))))+SUMPRODUCT((Inputs!$C$5:$C$190=$B20)*ISNUMBER(INDEX(Inputs!$K$5:$AJ$190,0,MATCH(AJ$2,Inputs!$K$4:$AJ$4,0))))+SUMPRODUCT((Inputs!$E$5:$E$190=$B20)*ISNUMBER(INDEX(Inputs!$K$5:$AJ$190,0,MATCH(AJ$2,Inputs!$K$4:$AJ$4,0))))=0,NA(),SUMPRODUCT((Inputs!$A$5:$A$190=$B20)*Inputs!$B$5:$B$190*(((Inputs!$G$5:$G$190="moeda")+(Inputs!$G$5:$G$190="acoes"))*Inputs!$B$1+((Inputs!$G$5:$G$190&lt;&gt;"moeda")*(Inputs!$G$5:$G$190&lt;&gt;"acoes")))*INDEX(Inputs!$K$5:$AJ$190,0,MATCH(AJ$2,Inputs!$K$4:$AJ$4,0)))+SUMPRODUCT((Inputs!$C$5:$C$190=$B20)*Inputs!$D$5:$D$190*(((Inputs!$G$5:$G$190="moeda")+(Inputs!$G$5:$G$190="acoes"))*Inputs!$B$1+((Inputs!$G$5:$G$190&lt;&gt;"moeda")*(Inputs!$G$5:$G$190&lt;&gt;"acoes")))*INDEX(Inputs!$K$5:$AJ$190,0,MATCH(AJ$2,Inputs!$K$4:$AJ$4,0)))+SUMPRODUCT((Inputs!$E$5:$E$190=$B20)*Inputs!$F$5:$F$190*(((Inputs!$G$5:$G$190="moeda")+(Inputs!$G$5:$G$190="acoes"))*Inputs!$B$1+((Inputs!$G$5:$G$190&lt;&gt;"moeda")*(Inputs!$G$5:$G$190&lt;&gt;"acoes")))*INDEX(Inputs!$K$5:$AJ$190,0,MATCH(AJ$2,Inputs!$K$4:$AJ$4,0)))))</f>
        <v>981.245019403</v>
      </c>
      <c r="AK20" s="6">
        <f>IF(ISNA(MATCH(AK$2,Inputs!$K$4:$AJ$4,0)),NA(),IF(SUMPRODUCT((Inputs!$A$5:$A$190=$B20)*ISNUMBER(INDEX(Inputs!$K$5:$AJ$190,0,MATCH(AK$2,Inputs!$K$4:$AJ$4,0))))+SUMPRODUCT((Inputs!$C$5:$C$190=$B20)*ISNUMBER(INDEX(Inputs!$K$5:$AJ$190,0,MATCH(AK$2,Inputs!$K$4:$AJ$4,0))))+SUMPRODUCT((Inputs!$E$5:$E$190=$B20)*ISNUMBER(INDEX(Inputs!$K$5:$AJ$190,0,MATCH(AK$2,Inputs!$K$4:$AJ$4,0))))=0,NA(),SUMPRODUCT((Inputs!$A$5:$A$190=$B20)*Inputs!$B$5:$B$190*(((Inputs!$G$5:$G$190="moeda")+(Inputs!$G$5:$G$190="acoes"))*Inputs!$B$1+((Inputs!$G$5:$G$190&lt;&gt;"moeda")*(Inputs!$G$5:$G$190&lt;&gt;"acoes")))*INDEX(Inputs!$K$5:$AJ$190,0,MATCH(AK$2,Inputs!$K$4:$AJ$4,0)))+SUMPRODUCT((Inputs!$C$5:$C$190=$B20)*Inputs!$D$5:$D$190*(((Inputs!$G$5:$G$190="moeda")+(Inputs!$G$5:$G$190="acoes"))*Inputs!$B$1+((Inputs!$G$5:$G$190&lt;&gt;"moeda")*(Inputs!$G$5:$G$190&lt;&gt;"acoes")))*INDEX(Inputs!$K$5:$AJ$190,0,MATCH(AK$2,Inputs!$K$4:$AJ$4,0)))+SUMPRODUCT((Inputs!$E$5:$E$190=$B20)*Inputs!$F$5:$F$190*(((Inputs!$G$5:$G$190="moeda")+(Inputs!$G$5:$G$190="acoes"))*Inputs!$B$1+((Inputs!$G$5:$G$190&lt;&gt;"moeda")*(Inputs!$G$5:$G$190&lt;&gt;"acoes")))*INDEX(Inputs!$K$5:$AJ$190,0,MATCH(AK$2,Inputs!$K$4:$AJ$4,0)))))</f>
        <v>961.7151453847</v>
      </c>
      <c r="AL20" s="3">
        <f>AK20</f>
        <v>961.7151453847</v>
      </c>
    </row>
    <row r="21">
      <c r="B21" s="46" t="n">
        <v>17</v>
      </c>
      <c r="C21" s="26" t="inlineStr">
        <is>
          <t>Equity in affiliates</t>
        </is>
      </c>
      <c r="D21" s="6">
        <f>IF(ISNA(MATCH(D$2,Inputs!$K$4:$AJ$4,0)),NA(),IF(SUMPRODUCT((Inputs!$A$5:$A$190=$B21)*ISNUMBER(INDEX(Inputs!$K$5:$AJ$190,0,MATCH(D$2,Inputs!$K$4:$AJ$4,0))))+SUMPRODUCT((Inputs!$C$5:$C$190=$B21)*ISNUMBER(INDEX(Inputs!$K$5:$AJ$190,0,MATCH(D$2,Inputs!$K$4:$AJ$4,0))))+SUMPRODUCT((Inputs!$E$5:$E$190=$B21)*ISNUMBER(INDEX(Inputs!$K$5:$AJ$190,0,MATCH(D$2,Inputs!$K$4:$AJ$4,0))))=0,NA(),SUMPRODUCT((Inputs!$A$5:$A$190=$B21)*Inputs!$B$5:$B$190*(((Inputs!$G$5:$G$190="moeda")+(Inputs!$G$5:$G$190="acoes"))*Inputs!$B$1+((Inputs!$G$5:$G$190&lt;&gt;"moeda")*(Inputs!$G$5:$G$190&lt;&gt;"acoes")))*INDEX(Inputs!$K$5:$AJ$190,0,MATCH(D$2,Inputs!$K$4:$AJ$4,0)))+SUMPRODUCT((Inputs!$C$5:$C$190=$B21)*Inputs!$D$5:$D$190*(((Inputs!$G$5:$G$190="moeda")+(Inputs!$G$5:$G$190="acoes"))*Inputs!$B$1+((Inputs!$G$5:$G$190&lt;&gt;"moeda")*(Inputs!$G$5:$G$190&lt;&gt;"acoes")))*INDEX(Inputs!$K$5:$AJ$190,0,MATCH(D$2,Inputs!$K$4:$AJ$4,0)))+SUMPRODUCT((Inputs!$E$5:$E$190=$B21)*Inputs!$F$5:$F$190*(((Inputs!$G$5:$G$190="moeda")+(Inputs!$G$5:$G$190="acoes"))*Inputs!$B$1+((Inputs!$G$5:$G$190&lt;&gt;"moeda")*(Inputs!$G$5:$G$190&lt;&gt;"acoes")))*INDEX(Inputs!$K$5:$AJ$190,0,MATCH(D$2,Inputs!$K$4:$AJ$4,0)))))</f>
        <v>19.015</v>
      </c>
      <c r="E21" s="6">
        <f>IF(ISNA(MATCH(E$2,Inputs!$K$4:$AJ$4,0)),NA(),IF(SUMPRODUCT((Inputs!$A$5:$A$190=$B21)*ISNUMBER(INDEX(Inputs!$K$5:$AJ$190,0,MATCH(E$2,Inputs!$K$4:$AJ$4,0))))+SUMPRODUCT((Inputs!$C$5:$C$190=$B21)*ISNUMBER(INDEX(Inputs!$K$5:$AJ$190,0,MATCH(E$2,Inputs!$K$4:$AJ$4,0))))+SUMPRODUCT((Inputs!$E$5:$E$190=$B21)*ISNUMBER(INDEX(Inputs!$K$5:$AJ$190,0,MATCH(E$2,Inputs!$K$4:$AJ$4,0))))=0,NA(),SUMPRODUCT((Inputs!$A$5:$A$190=$B21)*Inputs!$B$5:$B$190*(((Inputs!$G$5:$G$190="moeda")+(Inputs!$G$5:$G$190="acoes"))*Inputs!$B$1+((Inputs!$G$5:$G$190&lt;&gt;"moeda")*(Inputs!$G$5:$G$190&lt;&gt;"acoes")))*INDEX(Inputs!$K$5:$AJ$190,0,MATCH(E$2,Inputs!$K$4:$AJ$4,0)))+SUMPRODUCT((Inputs!$C$5:$C$190=$B21)*Inputs!$D$5:$D$190*(((Inputs!$G$5:$G$190="moeda")+(Inputs!$G$5:$G$190="acoes"))*Inputs!$B$1+((Inputs!$G$5:$G$190&lt;&gt;"moeda")*(Inputs!$G$5:$G$190&lt;&gt;"acoes")))*INDEX(Inputs!$K$5:$AJ$190,0,MATCH(E$2,Inputs!$K$4:$AJ$4,0)))+SUMPRODUCT((Inputs!$E$5:$E$190=$B21)*Inputs!$F$5:$F$190*(((Inputs!$G$5:$G$190="moeda")+(Inputs!$G$5:$G$190="acoes"))*Inputs!$B$1+((Inputs!$G$5:$G$190&lt;&gt;"moeda")*(Inputs!$G$5:$G$190&lt;&gt;"acoes")))*INDEX(Inputs!$K$5:$AJ$190,0,MATCH(E$2,Inputs!$K$4:$AJ$4,0)))))</f>
        <v>22.141</v>
      </c>
      <c r="F21" s="6">
        <f>IF(ISNA(MATCH(F$2,Inputs!$K$4:$AJ$4,0)),NA(),IF(SUMPRODUCT((Inputs!$A$5:$A$190=$B21)*ISNUMBER(INDEX(Inputs!$K$5:$AJ$190,0,MATCH(F$2,Inputs!$K$4:$AJ$4,0))))+SUMPRODUCT((Inputs!$C$5:$C$190=$B21)*ISNUMBER(INDEX(Inputs!$K$5:$AJ$190,0,MATCH(F$2,Inputs!$K$4:$AJ$4,0))))+SUMPRODUCT((Inputs!$E$5:$E$190=$B21)*ISNUMBER(INDEX(Inputs!$K$5:$AJ$190,0,MATCH(F$2,Inputs!$K$4:$AJ$4,0))))=0,NA(),SUMPRODUCT((Inputs!$A$5:$A$190=$B21)*Inputs!$B$5:$B$190*(((Inputs!$G$5:$G$190="moeda")+(Inputs!$G$5:$G$190="acoes"))*Inputs!$B$1+((Inputs!$G$5:$G$190&lt;&gt;"moeda")*(Inputs!$G$5:$G$190&lt;&gt;"acoes")))*INDEX(Inputs!$K$5:$AJ$190,0,MATCH(F$2,Inputs!$K$4:$AJ$4,0)))+SUMPRODUCT((Inputs!$C$5:$C$190=$B21)*Inputs!$D$5:$D$190*(((Inputs!$G$5:$G$190="moeda")+(Inputs!$G$5:$G$190="acoes"))*Inputs!$B$1+((Inputs!$G$5:$G$190&lt;&gt;"moeda")*(Inputs!$G$5:$G$190&lt;&gt;"acoes")))*INDEX(Inputs!$K$5:$AJ$190,0,MATCH(F$2,Inputs!$K$4:$AJ$4,0)))+SUMPRODUCT((Inputs!$E$5:$E$190=$B21)*Inputs!$F$5:$F$190*(((Inputs!$G$5:$G$190="moeda")+(Inputs!$G$5:$G$190="acoes"))*Inputs!$B$1+((Inputs!$G$5:$G$190&lt;&gt;"moeda")*(Inputs!$G$5:$G$190&lt;&gt;"acoes")))*INDEX(Inputs!$K$5:$AJ$190,0,MATCH(F$2,Inputs!$K$4:$AJ$4,0)))))</f>
        <v>24.978</v>
      </c>
      <c r="G21" s="6">
        <f>IF(ISNA(MATCH(G$2,Inputs!$K$4:$AJ$4,0)),NA(),IF(SUMPRODUCT((Inputs!$A$5:$A$190=$B21)*ISNUMBER(INDEX(Inputs!$K$5:$AJ$190,0,MATCH(G$2,Inputs!$K$4:$AJ$4,0))))+SUMPRODUCT((Inputs!$C$5:$C$190=$B21)*ISNUMBER(INDEX(Inputs!$K$5:$AJ$190,0,MATCH(G$2,Inputs!$K$4:$AJ$4,0))))+SUMPRODUCT((Inputs!$E$5:$E$190=$B21)*ISNUMBER(INDEX(Inputs!$K$5:$AJ$190,0,MATCH(G$2,Inputs!$K$4:$AJ$4,0))))=0,NA(),SUMPRODUCT((Inputs!$A$5:$A$190=$B21)*Inputs!$B$5:$B$190*(((Inputs!$G$5:$G$190="moeda")+(Inputs!$G$5:$G$190="acoes"))*Inputs!$B$1+((Inputs!$G$5:$G$190&lt;&gt;"moeda")*(Inputs!$G$5:$G$190&lt;&gt;"acoes")))*INDEX(Inputs!$K$5:$AJ$190,0,MATCH(G$2,Inputs!$K$4:$AJ$4,0)))+SUMPRODUCT((Inputs!$C$5:$C$190=$B21)*Inputs!$D$5:$D$190*(((Inputs!$G$5:$G$190="moeda")+(Inputs!$G$5:$G$190="acoes"))*Inputs!$B$1+((Inputs!$G$5:$G$190&lt;&gt;"moeda")*(Inputs!$G$5:$G$190&lt;&gt;"acoes")))*INDEX(Inputs!$K$5:$AJ$190,0,MATCH(G$2,Inputs!$K$4:$AJ$4,0)))+SUMPRODUCT((Inputs!$E$5:$E$190=$B21)*Inputs!$F$5:$F$190*(((Inputs!$G$5:$G$190="moeda")+(Inputs!$G$5:$G$190="acoes"))*Inputs!$B$1+((Inputs!$G$5:$G$190&lt;&gt;"moeda")*(Inputs!$G$5:$G$190&lt;&gt;"acoes")))*INDEX(Inputs!$K$5:$AJ$190,0,MATCH(G$2,Inputs!$K$4:$AJ$4,0)))))</f>
        <v>30.248</v>
      </c>
      <c r="H21" s="3">
        <f>G21</f>
        <v>30.248</v>
      </c>
      <c r="I21" s="6">
        <f>IF(ISNA(MATCH(I$2,Inputs!$K$4:$AJ$4,0)),NA(),IF(SUMPRODUCT((Inputs!$A$5:$A$190=$B21)*ISNUMBER(INDEX(Inputs!$K$5:$AJ$190,0,MATCH(I$2,Inputs!$K$4:$AJ$4,0))))+SUMPRODUCT((Inputs!$C$5:$C$190=$B21)*ISNUMBER(INDEX(Inputs!$K$5:$AJ$190,0,MATCH(I$2,Inputs!$K$4:$AJ$4,0))))+SUMPRODUCT((Inputs!$E$5:$E$190=$B21)*ISNUMBER(INDEX(Inputs!$K$5:$AJ$190,0,MATCH(I$2,Inputs!$K$4:$AJ$4,0))))=0,NA(),SUMPRODUCT((Inputs!$A$5:$A$190=$B21)*Inputs!$B$5:$B$190*(((Inputs!$G$5:$G$190="moeda")+(Inputs!$G$5:$G$190="acoes"))*Inputs!$B$1+((Inputs!$G$5:$G$190&lt;&gt;"moeda")*(Inputs!$G$5:$G$190&lt;&gt;"acoes")))*INDEX(Inputs!$K$5:$AJ$190,0,MATCH(I$2,Inputs!$K$4:$AJ$4,0)))+SUMPRODUCT((Inputs!$C$5:$C$190=$B21)*Inputs!$D$5:$D$190*(((Inputs!$G$5:$G$190="moeda")+(Inputs!$G$5:$G$190="acoes"))*Inputs!$B$1+((Inputs!$G$5:$G$190&lt;&gt;"moeda")*(Inputs!$G$5:$G$190&lt;&gt;"acoes")))*INDEX(Inputs!$K$5:$AJ$190,0,MATCH(I$2,Inputs!$K$4:$AJ$4,0)))+SUMPRODUCT((Inputs!$E$5:$E$190=$B21)*Inputs!$F$5:$F$190*(((Inputs!$G$5:$G$190="moeda")+(Inputs!$G$5:$G$190="acoes"))*Inputs!$B$1+((Inputs!$G$5:$G$190&lt;&gt;"moeda")*(Inputs!$G$5:$G$190&lt;&gt;"acoes")))*INDEX(Inputs!$K$5:$AJ$190,0,MATCH(I$2,Inputs!$K$4:$AJ$4,0)))))</f>
        <v>29.559</v>
      </c>
      <c r="J21" s="6">
        <f>IF(ISNA(MATCH(J$2,Inputs!$K$4:$AJ$4,0)),NA(),IF(SUMPRODUCT((Inputs!$A$5:$A$190=$B21)*ISNUMBER(INDEX(Inputs!$K$5:$AJ$190,0,MATCH(J$2,Inputs!$K$4:$AJ$4,0))))+SUMPRODUCT((Inputs!$C$5:$C$190=$B21)*ISNUMBER(INDEX(Inputs!$K$5:$AJ$190,0,MATCH(J$2,Inputs!$K$4:$AJ$4,0))))+SUMPRODUCT((Inputs!$E$5:$E$190=$B21)*ISNUMBER(INDEX(Inputs!$K$5:$AJ$190,0,MATCH(J$2,Inputs!$K$4:$AJ$4,0))))=0,NA(),SUMPRODUCT((Inputs!$A$5:$A$190=$B21)*Inputs!$B$5:$B$190*(((Inputs!$G$5:$G$190="moeda")+(Inputs!$G$5:$G$190="acoes"))*Inputs!$B$1+((Inputs!$G$5:$G$190&lt;&gt;"moeda")*(Inputs!$G$5:$G$190&lt;&gt;"acoes")))*INDEX(Inputs!$K$5:$AJ$190,0,MATCH(J$2,Inputs!$K$4:$AJ$4,0)))+SUMPRODUCT((Inputs!$C$5:$C$190=$B21)*Inputs!$D$5:$D$190*(((Inputs!$G$5:$G$190="moeda")+(Inputs!$G$5:$G$190="acoes"))*Inputs!$B$1+((Inputs!$G$5:$G$190&lt;&gt;"moeda")*(Inputs!$G$5:$G$190&lt;&gt;"acoes")))*INDEX(Inputs!$K$5:$AJ$190,0,MATCH(J$2,Inputs!$K$4:$AJ$4,0)))+SUMPRODUCT((Inputs!$E$5:$E$190=$B21)*Inputs!$F$5:$F$190*(((Inputs!$G$5:$G$190="moeda")+(Inputs!$G$5:$G$190="acoes"))*Inputs!$B$1+((Inputs!$G$5:$G$190&lt;&gt;"moeda")*(Inputs!$G$5:$G$190&lt;&gt;"acoes")))*INDEX(Inputs!$K$5:$AJ$190,0,MATCH(J$2,Inputs!$K$4:$AJ$4,0)))))</f>
        <v>28.004</v>
      </c>
      <c r="K21" s="6">
        <f>IF(ISNA(MATCH(K$2,Inputs!$K$4:$AJ$4,0)),NA(),IF(SUMPRODUCT((Inputs!$A$5:$A$190=$B21)*ISNUMBER(INDEX(Inputs!$K$5:$AJ$190,0,MATCH(K$2,Inputs!$K$4:$AJ$4,0))))+SUMPRODUCT((Inputs!$C$5:$C$190=$B21)*ISNUMBER(INDEX(Inputs!$K$5:$AJ$190,0,MATCH(K$2,Inputs!$K$4:$AJ$4,0))))+SUMPRODUCT((Inputs!$E$5:$E$190=$B21)*ISNUMBER(INDEX(Inputs!$K$5:$AJ$190,0,MATCH(K$2,Inputs!$K$4:$AJ$4,0))))=0,NA(),SUMPRODUCT((Inputs!$A$5:$A$190=$B21)*Inputs!$B$5:$B$190*(((Inputs!$G$5:$G$190="moeda")+(Inputs!$G$5:$G$190="acoes"))*Inputs!$B$1+((Inputs!$G$5:$G$190&lt;&gt;"moeda")*(Inputs!$G$5:$G$190&lt;&gt;"acoes")))*INDEX(Inputs!$K$5:$AJ$190,0,MATCH(K$2,Inputs!$K$4:$AJ$4,0)))+SUMPRODUCT((Inputs!$C$5:$C$190=$B21)*Inputs!$D$5:$D$190*(((Inputs!$G$5:$G$190="moeda")+(Inputs!$G$5:$G$190="acoes"))*Inputs!$B$1+((Inputs!$G$5:$G$190&lt;&gt;"moeda")*(Inputs!$G$5:$G$190&lt;&gt;"acoes")))*INDEX(Inputs!$K$5:$AJ$190,0,MATCH(K$2,Inputs!$K$4:$AJ$4,0)))+SUMPRODUCT((Inputs!$E$5:$E$190=$B21)*Inputs!$F$5:$F$190*(((Inputs!$G$5:$G$190="moeda")+(Inputs!$G$5:$G$190="acoes"))*Inputs!$B$1+((Inputs!$G$5:$G$190&lt;&gt;"moeda")*(Inputs!$G$5:$G$190&lt;&gt;"acoes")))*INDEX(Inputs!$K$5:$AJ$190,0,MATCH(K$2,Inputs!$K$4:$AJ$4,0)))))</f>
        <v>32.577</v>
      </c>
      <c r="L21" s="6">
        <f>IF(ISNA(MATCH(L$2,Inputs!$K$4:$AJ$4,0)),NA(),IF(SUMPRODUCT((Inputs!$A$5:$A$190=$B21)*ISNUMBER(INDEX(Inputs!$K$5:$AJ$190,0,MATCH(L$2,Inputs!$K$4:$AJ$4,0))))+SUMPRODUCT((Inputs!$C$5:$C$190=$B21)*ISNUMBER(INDEX(Inputs!$K$5:$AJ$190,0,MATCH(L$2,Inputs!$K$4:$AJ$4,0))))+SUMPRODUCT((Inputs!$E$5:$E$190=$B21)*ISNUMBER(INDEX(Inputs!$K$5:$AJ$190,0,MATCH(L$2,Inputs!$K$4:$AJ$4,0))))=0,NA(),SUMPRODUCT((Inputs!$A$5:$A$190=$B21)*Inputs!$B$5:$B$190*(((Inputs!$G$5:$G$190="moeda")+(Inputs!$G$5:$G$190="acoes"))*Inputs!$B$1+((Inputs!$G$5:$G$190&lt;&gt;"moeda")*(Inputs!$G$5:$G$190&lt;&gt;"acoes")))*INDEX(Inputs!$K$5:$AJ$190,0,MATCH(L$2,Inputs!$K$4:$AJ$4,0)))+SUMPRODUCT((Inputs!$C$5:$C$190=$B21)*Inputs!$D$5:$D$190*(((Inputs!$G$5:$G$190="moeda")+(Inputs!$G$5:$G$190="acoes"))*Inputs!$B$1+((Inputs!$G$5:$G$190&lt;&gt;"moeda")*(Inputs!$G$5:$G$190&lt;&gt;"acoes")))*INDEX(Inputs!$K$5:$AJ$190,0,MATCH(L$2,Inputs!$K$4:$AJ$4,0)))+SUMPRODUCT((Inputs!$E$5:$E$190=$B21)*Inputs!$F$5:$F$190*(((Inputs!$G$5:$G$190="moeda")+(Inputs!$G$5:$G$190="acoes"))*Inputs!$B$1+((Inputs!$G$5:$G$190&lt;&gt;"moeda")*(Inputs!$G$5:$G$190&lt;&gt;"acoes")))*INDEX(Inputs!$K$5:$AJ$190,0,MATCH(L$2,Inputs!$K$4:$AJ$4,0)))))</f>
        <v>34.024</v>
      </c>
      <c r="M21" s="3">
        <f>L21</f>
        <v>34.024</v>
      </c>
      <c r="N21" s="6">
        <f>IF(ISNA(MATCH(N$2,Inputs!$K$4:$AJ$4,0)),NA(),IF(SUMPRODUCT((Inputs!$A$5:$A$190=$B21)*ISNUMBER(INDEX(Inputs!$K$5:$AJ$190,0,MATCH(N$2,Inputs!$K$4:$AJ$4,0))))+SUMPRODUCT((Inputs!$C$5:$C$190=$B21)*ISNUMBER(INDEX(Inputs!$K$5:$AJ$190,0,MATCH(N$2,Inputs!$K$4:$AJ$4,0))))+SUMPRODUCT((Inputs!$E$5:$E$190=$B21)*ISNUMBER(INDEX(Inputs!$K$5:$AJ$190,0,MATCH(N$2,Inputs!$K$4:$AJ$4,0))))=0,NA(),SUMPRODUCT((Inputs!$A$5:$A$190=$B21)*Inputs!$B$5:$B$190*(((Inputs!$G$5:$G$190="moeda")+(Inputs!$G$5:$G$190="acoes"))*Inputs!$B$1+((Inputs!$G$5:$G$190&lt;&gt;"moeda")*(Inputs!$G$5:$G$190&lt;&gt;"acoes")))*INDEX(Inputs!$K$5:$AJ$190,0,MATCH(N$2,Inputs!$K$4:$AJ$4,0)))+SUMPRODUCT((Inputs!$C$5:$C$190=$B21)*Inputs!$D$5:$D$190*(((Inputs!$G$5:$G$190="moeda")+(Inputs!$G$5:$G$190="acoes"))*Inputs!$B$1+((Inputs!$G$5:$G$190&lt;&gt;"moeda")*(Inputs!$G$5:$G$190&lt;&gt;"acoes")))*INDEX(Inputs!$K$5:$AJ$190,0,MATCH(N$2,Inputs!$K$4:$AJ$4,0)))+SUMPRODUCT((Inputs!$E$5:$E$190=$B21)*Inputs!$F$5:$F$190*(((Inputs!$G$5:$G$190="moeda")+(Inputs!$G$5:$G$190="acoes"))*Inputs!$B$1+((Inputs!$G$5:$G$190&lt;&gt;"moeda")*(Inputs!$G$5:$G$190&lt;&gt;"acoes")))*INDEX(Inputs!$K$5:$AJ$190,0,MATCH(N$2,Inputs!$K$4:$AJ$4,0)))))</f>
        <v>33.9948946811607</v>
      </c>
      <c r="O21" s="6">
        <f>IF(ISNA(MATCH(O$2,Inputs!$K$4:$AJ$4,0)),NA(),IF(SUMPRODUCT((Inputs!$A$5:$A$190=$B21)*ISNUMBER(INDEX(Inputs!$K$5:$AJ$190,0,MATCH(O$2,Inputs!$K$4:$AJ$4,0))))+SUMPRODUCT((Inputs!$C$5:$C$190=$B21)*ISNUMBER(INDEX(Inputs!$K$5:$AJ$190,0,MATCH(O$2,Inputs!$K$4:$AJ$4,0))))+SUMPRODUCT((Inputs!$E$5:$E$190=$B21)*ISNUMBER(INDEX(Inputs!$K$5:$AJ$190,0,MATCH(O$2,Inputs!$K$4:$AJ$4,0))))=0,NA(),SUMPRODUCT((Inputs!$A$5:$A$190=$B21)*Inputs!$B$5:$B$190*(((Inputs!$G$5:$G$190="moeda")+(Inputs!$G$5:$G$190="acoes"))*Inputs!$B$1+((Inputs!$G$5:$G$190&lt;&gt;"moeda")*(Inputs!$G$5:$G$190&lt;&gt;"acoes")))*INDEX(Inputs!$K$5:$AJ$190,0,MATCH(O$2,Inputs!$K$4:$AJ$4,0)))+SUMPRODUCT((Inputs!$C$5:$C$190=$B21)*Inputs!$D$5:$D$190*(((Inputs!$G$5:$G$190="moeda")+(Inputs!$G$5:$G$190="acoes"))*Inputs!$B$1+((Inputs!$G$5:$G$190&lt;&gt;"moeda")*(Inputs!$G$5:$G$190&lt;&gt;"acoes")))*INDEX(Inputs!$K$5:$AJ$190,0,MATCH(O$2,Inputs!$K$4:$AJ$4,0)))+SUMPRODUCT((Inputs!$E$5:$E$190=$B21)*Inputs!$F$5:$F$190*(((Inputs!$G$5:$G$190="moeda")+(Inputs!$G$5:$G$190="acoes"))*Inputs!$B$1+((Inputs!$G$5:$G$190&lt;&gt;"moeda")*(Inputs!$G$5:$G$190&lt;&gt;"acoes")))*INDEX(Inputs!$K$5:$AJ$190,0,MATCH(O$2,Inputs!$K$4:$AJ$4,0)))))</f>
        <v>35.1060887046443</v>
      </c>
      <c r="P21" s="6">
        <f>IF(ISNA(MATCH(P$2,Inputs!$K$4:$AJ$4,0)),NA(),IF(SUMPRODUCT((Inputs!$A$5:$A$190=$B21)*ISNUMBER(INDEX(Inputs!$K$5:$AJ$190,0,MATCH(P$2,Inputs!$K$4:$AJ$4,0))))+SUMPRODUCT((Inputs!$C$5:$C$190=$B21)*ISNUMBER(INDEX(Inputs!$K$5:$AJ$190,0,MATCH(P$2,Inputs!$K$4:$AJ$4,0))))+SUMPRODUCT((Inputs!$E$5:$E$190=$B21)*ISNUMBER(INDEX(Inputs!$K$5:$AJ$190,0,MATCH(P$2,Inputs!$K$4:$AJ$4,0))))=0,NA(),SUMPRODUCT((Inputs!$A$5:$A$190=$B21)*Inputs!$B$5:$B$190*(((Inputs!$G$5:$G$190="moeda")+(Inputs!$G$5:$G$190="acoes"))*Inputs!$B$1+((Inputs!$G$5:$G$190&lt;&gt;"moeda")*(Inputs!$G$5:$G$190&lt;&gt;"acoes")))*INDEX(Inputs!$K$5:$AJ$190,0,MATCH(P$2,Inputs!$K$4:$AJ$4,0)))+SUMPRODUCT((Inputs!$C$5:$C$190=$B21)*Inputs!$D$5:$D$190*(((Inputs!$G$5:$G$190="moeda")+(Inputs!$G$5:$G$190="acoes"))*Inputs!$B$1+((Inputs!$G$5:$G$190&lt;&gt;"moeda")*(Inputs!$G$5:$G$190&lt;&gt;"acoes")))*INDEX(Inputs!$K$5:$AJ$190,0,MATCH(P$2,Inputs!$K$4:$AJ$4,0)))+SUMPRODUCT((Inputs!$E$5:$E$190=$B21)*Inputs!$F$5:$F$190*(((Inputs!$G$5:$G$190="moeda")+(Inputs!$G$5:$G$190="acoes"))*Inputs!$B$1+((Inputs!$G$5:$G$190&lt;&gt;"moeda")*(Inputs!$G$5:$G$190&lt;&gt;"acoes")))*INDEX(Inputs!$K$5:$AJ$190,0,MATCH(P$2,Inputs!$K$4:$AJ$4,0)))))</f>
        <v>35.3654892747361</v>
      </c>
      <c r="Q21" s="6">
        <f>IF(ISNA(MATCH(Q$2,Inputs!$K$4:$AJ$4,0)),NA(),IF(SUMPRODUCT((Inputs!$A$5:$A$190=$B21)*ISNUMBER(INDEX(Inputs!$K$5:$AJ$190,0,MATCH(Q$2,Inputs!$K$4:$AJ$4,0))))+SUMPRODUCT((Inputs!$C$5:$C$190=$B21)*ISNUMBER(INDEX(Inputs!$K$5:$AJ$190,0,MATCH(Q$2,Inputs!$K$4:$AJ$4,0))))+SUMPRODUCT((Inputs!$E$5:$E$190=$B21)*ISNUMBER(INDEX(Inputs!$K$5:$AJ$190,0,MATCH(Q$2,Inputs!$K$4:$AJ$4,0))))=0,NA(),SUMPRODUCT((Inputs!$A$5:$A$190=$B21)*Inputs!$B$5:$B$190*(((Inputs!$G$5:$G$190="moeda")+(Inputs!$G$5:$G$190="acoes"))*Inputs!$B$1+((Inputs!$G$5:$G$190&lt;&gt;"moeda")*(Inputs!$G$5:$G$190&lt;&gt;"acoes")))*INDEX(Inputs!$K$5:$AJ$190,0,MATCH(Q$2,Inputs!$K$4:$AJ$4,0)))+SUMPRODUCT((Inputs!$C$5:$C$190=$B21)*Inputs!$D$5:$D$190*(((Inputs!$G$5:$G$190="moeda")+(Inputs!$G$5:$G$190="acoes"))*Inputs!$B$1+((Inputs!$G$5:$G$190&lt;&gt;"moeda")*(Inputs!$G$5:$G$190&lt;&gt;"acoes")))*INDEX(Inputs!$K$5:$AJ$190,0,MATCH(Q$2,Inputs!$K$4:$AJ$4,0)))+SUMPRODUCT((Inputs!$E$5:$E$190=$B21)*Inputs!$F$5:$F$190*(((Inputs!$G$5:$G$190="moeda")+(Inputs!$G$5:$G$190="acoes"))*Inputs!$B$1+((Inputs!$G$5:$G$190&lt;&gt;"moeda")*(Inputs!$G$5:$G$190&lt;&gt;"acoes")))*INDEX(Inputs!$K$5:$AJ$190,0,MATCH(Q$2,Inputs!$K$4:$AJ$4,0)))))</f>
        <v>38.222815605065</v>
      </c>
      <c r="R21" s="3">
        <f>Q21</f>
        <v>38.222815605065</v>
      </c>
      <c r="S21" s="6">
        <f>IF(ISNA(MATCH(S$2,Inputs!$K$4:$AJ$4,0)),NA(),IF(SUMPRODUCT((Inputs!$A$5:$A$190=$B21)*ISNUMBER(INDEX(Inputs!$K$5:$AJ$190,0,MATCH(S$2,Inputs!$K$4:$AJ$4,0))))+SUMPRODUCT((Inputs!$C$5:$C$190=$B21)*ISNUMBER(INDEX(Inputs!$K$5:$AJ$190,0,MATCH(S$2,Inputs!$K$4:$AJ$4,0))))+SUMPRODUCT((Inputs!$E$5:$E$190=$B21)*ISNUMBER(INDEX(Inputs!$K$5:$AJ$190,0,MATCH(S$2,Inputs!$K$4:$AJ$4,0))))=0,NA(),SUMPRODUCT((Inputs!$A$5:$A$190=$B21)*Inputs!$B$5:$B$190*(((Inputs!$G$5:$G$190="moeda")+(Inputs!$G$5:$G$190="acoes"))*Inputs!$B$1+((Inputs!$G$5:$G$190&lt;&gt;"moeda")*(Inputs!$G$5:$G$190&lt;&gt;"acoes")))*INDEX(Inputs!$K$5:$AJ$190,0,MATCH(S$2,Inputs!$K$4:$AJ$4,0)))+SUMPRODUCT((Inputs!$C$5:$C$190=$B21)*Inputs!$D$5:$D$190*(((Inputs!$G$5:$G$190="moeda")+(Inputs!$G$5:$G$190="acoes"))*Inputs!$B$1+((Inputs!$G$5:$G$190&lt;&gt;"moeda")*(Inputs!$G$5:$G$190&lt;&gt;"acoes")))*INDEX(Inputs!$K$5:$AJ$190,0,MATCH(S$2,Inputs!$K$4:$AJ$4,0)))+SUMPRODUCT((Inputs!$E$5:$E$190=$B21)*Inputs!$F$5:$F$190*(((Inputs!$G$5:$G$190="moeda")+(Inputs!$G$5:$G$190="acoes"))*Inputs!$B$1+((Inputs!$G$5:$G$190&lt;&gt;"moeda")*(Inputs!$G$5:$G$190&lt;&gt;"acoes")))*INDEX(Inputs!$K$5:$AJ$190,0,MATCH(S$2,Inputs!$K$4:$AJ$4,0)))))</f>
        <v>36.645084060302</v>
      </c>
      <c r="T21" s="6">
        <f>IF(ISNA(MATCH(T$2,Inputs!$K$4:$AJ$4,0)),NA(),IF(SUMPRODUCT((Inputs!$A$5:$A$190=$B21)*ISNUMBER(INDEX(Inputs!$K$5:$AJ$190,0,MATCH(T$2,Inputs!$K$4:$AJ$4,0))))+SUMPRODUCT((Inputs!$C$5:$C$190=$B21)*ISNUMBER(INDEX(Inputs!$K$5:$AJ$190,0,MATCH(T$2,Inputs!$K$4:$AJ$4,0))))+SUMPRODUCT((Inputs!$E$5:$E$190=$B21)*ISNUMBER(INDEX(Inputs!$K$5:$AJ$190,0,MATCH(T$2,Inputs!$K$4:$AJ$4,0))))=0,NA(),SUMPRODUCT((Inputs!$A$5:$A$190=$B21)*Inputs!$B$5:$B$190*(((Inputs!$G$5:$G$190="moeda")+(Inputs!$G$5:$G$190="acoes"))*Inputs!$B$1+((Inputs!$G$5:$G$190&lt;&gt;"moeda")*(Inputs!$G$5:$G$190&lt;&gt;"acoes")))*INDEX(Inputs!$K$5:$AJ$190,0,MATCH(T$2,Inputs!$K$4:$AJ$4,0)))+SUMPRODUCT((Inputs!$C$5:$C$190=$B21)*Inputs!$D$5:$D$190*(((Inputs!$G$5:$G$190="moeda")+(Inputs!$G$5:$G$190="acoes"))*Inputs!$B$1+((Inputs!$G$5:$G$190&lt;&gt;"moeda")*(Inputs!$G$5:$G$190&lt;&gt;"acoes")))*INDEX(Inputs!$K$5:$AJ$190,0,MATCH(T$2,Inputs!$K$4:$AJ$4,0)))+SUMPRODUCT((Inputs!$E$5:$E$190=$B21)*Inputs!$F$5:$F$190*(((Inputs!$G$5:$G$190="moeda")+(Inputs!$G$5:$G$190="acoes"))*Inputs!$B$1+((Inputs!$G$5:$G$190&lt;&gt;"moeda")*(Inputs!$G$5:$G$190&lt;&gt;"acoes")))*INDEX(Inputs!$K$5:$AJ$190,0,MATCH(T$2,Inputs!$K$4:$AJ$4,0)))))</f>
        <v>35.5922063536519</v>
      </c>
      <c r="U21" s="6">
        <f>IF(ISNA(MATCH(U$2,Inputs!$K$4:$AJ$4,0)),NA(),IF(SUMPRODUCT((Inputs!$A$5:$A$190=$B21)*ISNUMBER(INDEX(Inputs!$K$5:$AJ$190,0,MATCH(U$2,Inputs!$K$4:$AJ$4,0))))+SUMPRODUCT((Inputs!$C$5:$C$190=$B21)*ISNUMBER(INDEX(Inputs!$K$5:$AJ$190,0,MATCH(U$2,Inputs!$K$4:$AJ$4,0))))+SUMPRODUCT((Inputs!$E$5:$E$190=$B21)*ISNUMBER(INDEX(Inputs!$K$5:$AJ$190,0,MATCH(U$2,Inputs!$K$4:$AJ$4,0))))=0,NA(),SUMPRODUCT((Inputs!$A$5:$A$190=$B21)*Inputs!$B$5:$B$190*(((Inputs!$G$5:$G$190="moeda")+(Inputs!$G$5:$G$190="acoes"))*Inputs!$B$1+((Inputs!$G$5:$G$190&lt;&gt;"moeda")*(Inputs!$G$5:$G$190&lt;&gt;"acoes")))*INDEX(Inputs!$K$5:$AJ$190,0,MATCH(U$2,Inputs!$K$4:$AJ$4,0)))+SUMPRODUCT((Inputs!$C$5:$C$190=$B21)*Inputs!$D$5:$D$190*(((Inputs!$G$5:$G$190="moeda")+(Inputs!$G$5:$G$190="acoes"))*Inputs!$B$1+((Inputs!$G$5:$G$190&lt;&gt;"moeda")*(Inputs!$G$5:$G$190&lt;&gt;"acoes")))*INDEX(Inputs!$K$5:$AJ$190,0,MATCH(U$2,Inputs!$K$4:$AJ$4,0)))+SUMPRODUCT((Inputs!$E$5:$E$190=$B21)*Inputs!$F$5:$F$190*(((Inputs!$G$5:$G$190="moeda")+(Inputs!$G$5:$G$190="acoes"))*Inputs!$B$1+((Inputs!$G$5:$G$190&lt;&gt;"moeda")*(Inputs!$G$5:$G$190&lt;&gt;"acoes")))*INDEX(Inputs!$K$5:$AJ$190,0,MATCH(U$2,Inputs!$K$4:$AJ$4,0)))))</f>
        <v>38.8211776019284</v>
      </c>
      <c r="V21" s="6">
        <f>IF(ISNA(MATCH(V$2,Inputs!$K$4:$AJ$4,0)),NA(),IF(SUMPRODUCT((Inputs!$A$5:$A$190=$B21)*ISNUMBER(INDEX(Inputs!$K$5:$AJ$190,0,MATCH(V$2,Inputs!$K$4:$AJ$4,0))))+SUMPRODUCT((Inputs!$C$5:$C$190=$B21)*ISNUMBER(INDEX(Inputs!$K$5:$AJ$190,0,MATCH(V$2,Inputs!$K$4:$AJ$4,0))))+SUMPRODUCT((Inputs!$E$5:$E$190=$B21)*ISNUMBER(INDEX(Inputs!$K$5:$AJ$190,0,MATCH(V$2,Inputs!$K$4:$AJ$4,0))))=0,NA(),SUMPRODUCT((Inputs!$A$5:$A$190=$B21)*Inputs!$B$5:$B$190*(((Inputs!$G$5:$G$190="moeda")+(Inputs!$G$5:$G$190="acoes"))*Inputs!$B$1+((Inputs!$G$5:$G$190&lt;&gt;"moeda")*(Inputs!$G$5:$G$190&lt;&gt;"acoes")))*INDEX(Inputs!$K$5:$AJ$190,0,MATCH(V$2,Inputs!$K$4:$AJ$4,0)))+SUMPRODUCT((Inputs!$C$5:$C$190=$B21)*Inputs!$D$5:$D$190*(((Inputs!$G$5:$G$190="moeda")+(Inputs!$G$5:$G$190="acoes"))*Inputs!$B$1+((Inputs!$G$5:$G$190&lt;&gt;"moeda")*(Inputs!$G$5:$G$190&lt;&gt;"acoes")))*INDEX(Inputs!$K$5:$AJ$190,0,MATCH(V$2,Inputs!$K$4:$AJ$4,0)))+SUMPRODUCT((Inputs!$E$5:$E$190=$B21)*Inputs!$F$5:$F$190*(((Inputs!$G$5:$G$190="moeda")+(Inputs!$G$5:$G$190="acoes"))*Inputs!$B$1+((Inputs!$G$5:$G$190&lt;&gt;"moeda")*(Inputs!$G$5:$G$190&lt;&gt;"acoes")))*INDEX(Inputs!$K$5:$AJ$190,0,MATCH(V$2,Inputs!$K$4:$AJ$4,0)))))</f>
        <v>42.4752832099999</v>
      </c>
      <c r="W21" s="3">
        <f>V21</f>
        <v>42.4752832099999</v>
      </c>
      <c r="X21" s="6">
        <f>IF(ISNA(MATCH(X$2,Inputs!$K$4:$AJ$4,0)),NA(),IF(SUMPRODUCT((Inputs!$A$5:$A$190=$B21)*ISNUMBER(INDEX(Inputs!$K$5:$AJ$190,0,MATCH(X$2,Inputs!$K$4:$AJ$4,0))))+SUMPRODUCT((Inputs!$C$5:$C$190=$B21)*ISNUMBER(INDEX(Inputs!$K$5:$AJ$190,0,MATCH(X$2,Inputs!$K$4:$AJ$4,0))))+SUMPRODUCT((Inputs!$E$5:$E$190=$B21)*ISNUMBER(INDEX(Inputs!$K$5:$AJ$190,0,MATCH(X$2,Inputs!$K$4:$AJ$4,0))))=0,NA(),SUMPRODUCT((Inputs!$A$5:$A$190=$B21)*Inputs!$B$5:$B$190*(((Inputs!$G$5:$G$190="moeda")+(Inputs!$G$5:$G$190="acoes"))*Inputs!$B$1+((Inputs!$G$5:$G$190&lt;&gt;"moeda")*(Inputs!$G$5:$G$190&lt;&gt;"acoes")))*INDEX(Inputs!$K$5:$AJ$190,0,MATCH(X$2,Inputs!$K$4:$AJ$4,0)))+SUMPRODUCT((Inputs!$C$5:$C$190=$B21)*Inputs!$D$5:$D$190*(((Inputs!$G$5:$G$190="moeda")+(Inputs!$G$5:$G$190="acoes"))*Inputs!$B$1+((Inputs!$G$5:$G$190&lt;&gt;"moeda")*(Inputs!$G$5:$G$190&lt;&gt;"acoes")))*INDEX(Inputs!$K$5:$AJ$190,0,MATCH(X$2,Inputs!$K$4:$AJ$4,0)))+SUMPRODUCT((Inputs!$E$5:$E$190=$B21)*Inputs!$F$5:$F$190*(((Inputs!$G$5:$G$190="moeda")+(Inputs!$G$5:$G$190="acoes"))*Inputs!$B$1+((Inputs!$G$5:$G$190&lt;&gt;"moeda")*(Inputs!$G$5:$G$190&lt;&gt;"acoes")))*INDEX(Inputs!$K$5:$AJ$190,0,MATCH(X$2,Inputs!$K$4:$AJ$4,0)))))</f>
        <v>41.8817216500001</v>
      </c>
      <c r="Y21" s="6">
        <f>IF(ISNA(MATCH(Y$2,Inputs!$K$4:$AJ$4,0)),NA(),IF(SUMPRODUCT((Inputs!$A$5:$A$190=$B21)*ISNUMBER(INDEX(Inputs!$K$5:$AJ$190,0,MATCH(Y$2,Inputs!$K$4:$AJ$4,0))))+SUMPRODUCT((Inputs!$C$5:$C$190=$B21)*ISNUMBER(INDEX(Inputs!$K$5:$AJ$190,0,MATCH(Y$2,Inputs!$K$4:$AJ$4,0))))+SUMPRODUCT((Inputs!$E$5:$E$190=$B21)*ISNUMBER(INDEX(Inputs!$K$5:$AJ$190,0,MATCH(Y$2,Inputs!$K$4:$AJ$4,0))))=0,NA(),SUMPRODUCT((Inputs!$A$5:$A$190=$B21)*Inputs!$B$5:$B$190*(((Inputs!$G$5:$G$190="moeda")+(Inputs!$G$5:$G$190="acoes"))*Inputs!$B$1+((Inputs!$G$5:$G$190&lt;&gt;"moeda")*(Inputs!$G$5:$G$190&lt;&gt;"acoes")))*INDEX(Inputs!$K$5:$AJ$190,0,MATCH(Y$2,Inputs!$K$4:$AJ$4,0)))+SUMPRODUCT((Inputs!$C$5:$C$190=$B21)*Inputs!$D$5:$D$190*(((Inputs!$G$5:$G$190="moeda")+(Inputs!$G$5:$G$190="acoes"))*Inputs!$B$1+((Inputs!$G$5:$G$190&lt;&gt;"moeda")*(Inputs!$G$5:$G$190&lt;&gt;"acoes")))*INDEX(Inputs!$K$5:$AJ$190,0,MATCH(Y$2,Inputs!$K$4:$AJ$4,0)))+SUMPRODUCT((Inputs!$E$5:$E$190=$B21)*Inputs!$F$5:$F$190*(((Inputs!$G$5:$G$190="moeda")+(Inputs!$G$5:$G$190="acoes"))*Inputs!$B$1+((Inputs!$G$5:$G$190&lt;&gt;"moeda")*(Inputs!$G$5:$G$190&lt;&gt;"acoes")))*INDEX(Inputs!$K$5:$AJ$190,0,MATCH(Y$2,Inputs!$K$4:$AJ$4,0)))))</f>
        <v>42.0867079000002</v>
      </c>
      <c r="Z21" s="6">
        <f>IF(ISNA(MATCH(Z$2,Inputs!$K$4:$AJ$4,0)),NA(),IF(SUMPRODUCT((Inputs!$A$5:$A$190=$B21)*ISNUMBER(INDEX(Inputs!$K$5:$AJ$190,0,MATCH(Z$2,Inputs!$K$4:$AJ$4,0))))+SUMPRODUCT((Inputs!$C$5:$C$190=$B21)*ISNUMBER(INDEX(Inputs!$K$5:$AJ$190,0,MATCH(Z$2,Inputs!$K$4:$AJ$4,0))))+SUMPRODUCT((Inputs!$E$5:$E$190=$B21)*ISNUMBER(INDEX(Inputs!$K$5:$AJ$190,0,MATCH(Z$2,Inputs!$K$4:$AJ$4,0))))=0,NA(),SUMPRODUCT((Inputs!$A$5:$A$190=$B21)*Inputs!$B$5:$B$190*(((Inputs!$G$5:$G$190="moeda")+(Inputs!$G$5:$G$190="acoes"))*Inputs!$B$1+((Inputs!$G$5:$G$190&lt;&gt;"moeda")*(Inputs!$G$5:$G$190&lt;&gt;"acoes")))*INDEX(Inputs!$K$5:$AJ$190,0,MATCH(Z$2,Inputs!$K$4:$AJ$4,0)))+SUMPRODUCT((Inputs!$C$5:$C$190=$B21)*Inputs!$D$5:$D$190*(((Inputs!$G$5:$G$190="moeda")+(Inputs!$G$5:$G$190="acoes"))*Inputs!$B$1+((Inputs!$G$5:$G$190&lt;&gt;"moeda")*(Inputs!$G$5:$G$190&lt;&gt;"acoes")))*INDEX(Inputs!$K$5:$AJ$190,0,MATCH(Z$2,Inputs!$K$4:$AJ$4,0)))+SUMPRODUCT((Inputs!$E$5:$E$190=$B21)*Inputs!$F$5:$F$190*(((Inputs!$G$5:$G$190="moeda")+(Inputs!$G$5:$G$190="acoes"))*Inputs!$B$1+((Inputs!$G$5:$G$190&lt;&gt;"moeda")*(Inputs!$G$5:$G$190&lt;&gt;"acoes")))*INDEX(Inputs!$K$5:$AJ$190,0,MATCH(Z$2,Inputs!$K$4:$AJ$4,0)))))</f>
        <v>38.0355831700003</v>
      </c>
      <c r="AA21" s="6">
        <f>IF(ISNA(MATCH(AA$2,Inputs!$K$4:$AJ$4,0)),NA(),IF(SUMPRODUCT((Inputs!$A$5:$A$190=$B21)*ISNUMBER(INDEX(Inputs!$K$5:$AJ$190,0,MATCH(AA$2,Inputs!$K$4:$AJ$4,0))))+SUMPRODUCT((Inputs!$C$5:$C$190=$B21)*ISNUMBER(INDEX(Inputs!$K$5:$AJ$190,0,MATCH(AA$2,Inputs!$K$4:$AJ$4,0))))+SUMPRODUCT((Inputs!$E$5:$E$190=$B21)*ISNUMBER(INDEX(Inputs!$K$5:$AJ$190,0,MATCH(AA$2,Inputs!$K$4:$AJ$4,0))))=0,NA(),SUMPRODUCT((Inputs!$A$5:$A$190=$B21)*Inputs!$B$5:$B$190*(((Inputs!$G$5:$G$190="moeda")+(Inputs!$G$5:$G$190="acoes"))*Inputs!$B$1+((Inputs!$G$5:$G$190&lt;&gt;"moeda")*(Inputs!$G$5:$G$190&lt;&gt;"acoes")))*INDEX(Inputs!$K$5:$AJ$190,0,MATCH(AA$2,Inputs!$K$4:$AJ$4,0)))+SUMPRODUCT((Inputs!$C$5:$C$190=$B21)*Inputs!$D$5:$D$190*(((Inputs!$G$5:$G$190="moeda")+(Inputs!$G$5:$G$190="acoes"))*Inputs!$B$1+((Inputs!$G$5:$G$190&lt;&gt;"moeda")*(Inputs!$G$5:$G$190&lt;&gt;"acoes")))*INDEX(Inputs!$K$5:$AJ$190,0,MATCH(AA$2,Inputs!$K$4:$AJ$4,0)))+SUMPRODUCT((Inputs!$E$5:$E$190=$B21)*Inputs!$F$5:$F$190*(((Inputs!$G$5:$G$190="moeda")+(Inputs!$G$5:$G$190="acoes"))*Inputs!$B$1+((Inputs!$G$5:$G$190&lt;&gt;"moeda")*(Inputs!$G$5:$G$190&lt;&gt;"acoes")))*INDEX(Inputs!$K$5:$AJ$190,0,MATCH(AA$2,Inputs!$K$4:$AJ$4,0)))))</f>
        <v>43.4183894</v>
      </c>
      <c r="AB21" s="3">
        <f>AA21</f>
        <v>43.4183894</v>
      </c>
      <c r="AC21" s="6">
        <f>IF(ISNA(MATCH(AC$2,Inputs!$K$4:$AJ$4,0)),NA(),IF(SUMPRODUCT((Inputs!$A$5:$A$190=$B21)*ISNUMBER(INDEX(Inputs!$K$5:$AJ$190,0,MATCH(AC$2,Inputs!$K$4:$AJ$4,0))))+SUMPRODUCT((Inputs!$C$5:$C$190=$B21)*ISNUMBER(INDEX(Inputs!$K$5:$AJ$190,0,MATCH(AC$2,Inputs!$K$4:$AJ$4,0))))+SUMPRODUCT((Inputs!$E$5:$E$190=$B21)*ISNUMBER(INDEX(Inputs!$K$5:$AJ$190,0,MATCH(AC$2,Inputs!$K$4:$AJ$4,0))))=0,NA(),SUMPRODUCT((Inputs!$A$5:$A$190=$B21)*Inputs!$B$5:$B$190*(((Inputs!$G$5:$G$190="moeda")+(Inputs!$G$5:$G$190="acoes"))*Inputs!$B$1+((Inputs!$G$5:$G$190&lt;&gt;"moeda")*(Inputs!$G$5:$G$190&lt;&gt;"acoes")))*INDEX(Inputs!$K$5:$AJ$190,0,MATCH(AC$2,Inputs!$K$4:$AJ$4,0)))+SUMPRODUCT((Inputs!$C$5:$C$190=$B21)*Inputs!$D$5:$D$190*(((Inputs!$G$5:$G$190="moeda")+(Inputs!$G$5:$G$190="acoes"))*Inputs!$B$1+((Inputs!$G$5:$G$190&lt;&gt;"moeda")*(Inputs!$G$5:$G$190&lt;&gt;"acoes")))*INDEX(Inputs!$K$5:$AJ$190,0,MATCH(AC$2,Inputs!$K$4:$AJ$4,0)))+SUMPRODUCT((Inputs!$E$5:$E$190=$B21)*Inputs!$F$5:$F$190*(((Inputs!$G$5:$G$190="moeda")+(Inputs!$G$5:$G$190="acoes"))*Inputs!$B$1+((Inputs!$G$5:$G$190&lt;&gt;"moeda")*(Inputs!$G$5:$G$190&lt;&gt;"acoes")))*INDEX(Inputs!$K$5:$AJ$190,0,MATCH(AC$2,Inputs!$K$4:$AJ$4,0)))))</f>
        <v>46.94638454</v>
      </c>
      <c r="AD21" s="6">
        <f>IF(ISNA(MATCH(AD$2,Inputs!$K$4:$AJ$4,0)),NA(),IF(SUMPRODUCT((Inputs!$A$5:$A$190=$B21)*ISNUMBER(INDEX(Inputs!$K$5:$AJ$190,0,MATCH(AD$2,Inputs!$K$4:$AJ$4,0))))+SUMPRODUCT((Inputs!$C$5:$C$190=$B21)*ISNUMBER(INDEX(Inputs!$K$5:$AJ$190,0,MATCH(AD$2,Inputs!$K$4:$AJ$4,0))))+SUMPRODUCT((Inputs!$E$5:$E$190=$B21)*ISNUMBER(INDEX(Inputs!$K$5:$AJ$190,0,MATCH(AD$2,Inputs!$K$4:$AJ$4,0))))=0,NA(),SUMPRODUCT((Inputs!$A$5:$A$190=$B21)*Inputs!$B$5:$B$190*(((Inputs!$G$5:$G$190="moeda")+(Inputs!$G$5:$G$190="acoes"))*Inputs!$B$1+((Inputs!$G$5:$G$190&lt;&gt;"moeda")*(Inputs!$G$5:$G$190&lt;&gt;"acoes")))*INDEX(Inputs!$K$5:$AJ$190,0,MATCH(AD$2,Inputs!$K$4:$AJ$4,0)))+SUMPRODUCT((Inputs!$C$5:$C$190=$B21)*Inputs!$D$5:$D$190*(((Inputs!$G$5:$G$190="moeda")+(Inputs!$G$5:$G$190="acoes"))*Inputs!$B$1+((Inputs!$G$5:$G$190&lt;&gt;"moeda")*(Inputs!$G$5:$G$190&lt;&gt;"acoes")))*INDEX(Inputs!$K$5:$AJ$190,0,MATCH(AD$2,Inputs!$K$4:$AJ$4,0)))+SUMPRODUCT((Inputs!$E$5:$E$190=$B21)*Inputs!$F$5:$F$190*(((Inputs!$G$5:$G$190="moeda")+(Inputs!$G$5:$G$190="acoes"))*Inputs!$B$1+((Inputs!$G$5:$G$190&lt;&gt;"moeda")*(Inputs!$G$5:$G$190&lt;&gt;"acoes")))*INDEX(Inputs!$K$5:$AJ$190,0,MATCH(AD$2,Inputs!$K$4:$AJ$4,0)))))</f>
        <v>47.170816</v>
      </c>
      <c r="AE21" s="6" t="e">
        <f>IF(ISNA(MATCH(AE$2,Inputs!$K$4:$AJ$4,0)),NA(),IF(SUMPRODUCT((Inputs!$A$5:$A$190=$B21)*ISNUMBER(INDEX(Inputs!$K$5:$AJ$190,0,MATCH(AE$2,Inputs!$K$4:$AJ$4,0))))+SUMPRODUCT((Inputs!$C$5:$C$190=$B21)*ISNUMBER(INDEX(Inputs!$K$5:$AJ$190,0,MATCH(AE$2,Inputs!$K$4:$AJ$4,0))))+SUMPRODUCT((Inputs!$E$5:$E$190=$B21)*ISNUMBER(INDEX(Inputs!$K$5:$AJ$190,0,MATCH(AE$2,Inputs!$K$4:$AJ$4,0))))=0,NA(),SUMPRODUCT((Inputs!$A$5:$A$190=$B21)*Inputs!$B$5:$B$190*(((Inputs!$G$5:$G$190="moeda")+(Inputs!$G$5:$G$190="acoes"))*Inputs!$B$1+((Inputs!$G$5:$G$190&lt;&gt;"moeda")*(Inputs!$G$5:$G$190&lt;&gt;"acoes")))*INDEX(Inputs!$K$5:$AJ$190,0,MATCH(AE$2,Inputs!$K$4:$AJ$4,0)))+SUMPRODUCT((Inputs!$C$5:$C$190=$B21)*Inputs!$D$5:$D$190*(((Inputs!$G$5:$G$190="moeda")+(Inputs!$G$5:$G$190="acoes"))*Inputs!$B$1+((Inputs!$G$5:$G$190&lt;&gt;"moeda")*(Inputs!$G$5:$G$190&lt;&gt;"acoes")))*INDEX(Inputs!$K$5:$AJ$190,0,MATCH(AE$2,Inputs!$K$4:$AJ$4,0)))+SUMPRODUCT((Inputs!$E$5:$E$190=$B21)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21" s="6" t="e">
        <f>IF(ISNA(MATCH(AF$2,Inputs!$K$4:$AJ$4,0)),NA(),IF(SUMPRODUCT((Inputs!$A$5:$A$190=$B21)*ISNUMBER(INDEX(Inputs!$K$5:$AJ$190,0,MATCH(AF$2,Inputs!$K$4:$AJ$4,0))))+SUMPRODUCT((Inputs!$C$5:$C$190=$B21)*ISNUMBER(INDEX(Inputs!$K$5:$AJ$190,0,MATCH(AF$2,Inputs!$K$4:$AJ$4,0))))+SUMPRODUCT((Inputs!$E$5:$E$190=$B21)*ISNUMBER(INDEX(Inputs!$K$5:$AJ$190,0,MATCH(AF$2,Inputs!$K$4:$AJ$4,0))))=0,NA(),SUMPRODUCT((Inputs!$A$5:$A$190=$B21)*Inputs!$B$5:$B$190*(((Inputs!$G$5:$G$190="moeda")+(Inputs!$G$5:$G$190="acoes"))*Inputs!$B$1+((Inputs!$G$5:$G$190&lt;&gt;"moeda")*(Inputs!$G$5:$G$190&lt;&gt;"acoes")))*INDEX(Inputs!$K$5:$AJ$190,0,MATCH(AF$2,Inputs!$K$4:$AJ$4,0)))+SUMPRODUCT((Inputs!$C$5:$C$190=$B21)*Inputs!$D$5:$D$190*(((Inputs!$G$5:$G$190="moeda")+(Inputs!$G$5:$G$190="acoes"))*Inputs!$B$1+((Inputs!$G$5:$G$190&lt;&gt;"moeda")*(Inputs!$G$5:$G$190&lt;&gt;"acoes")))*INDEX(Inputs!$K$5:$AJ$190,0,MATCH(AF$2,Inputs!$K$4:$AJ$4,0)))+SUMPRODUCT((Inputs!$E$5:$E$190=$B21)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21" s="3" t="e">
        <f>AF21</f>
        <v>#N/A</v>
      </c>
      <c r="AH21" s="6">
        <f>IF(ISNA(MATCH(AH$2,Inputs!$K$4:$AJ$4,0)),NA(),IF(SUMPRODUCT((Inputs!$A$5:$A$190=$B21)*ISNUMBER(INDEX(Inputs!$K$5:$AJ$190,0,MATCH(AH$2,Inputs!$K$4:$AJ$4,0))))+SUMPRODUCT((Inputs!$C$5:$C$190=$B21)*ISNUMBER(INDEX(Inputs!$K$5:$AJ$190,0,MATCH(AH$2,Inputs!$K$4:$AJ$4,0))))+SUMPRODUCT((Inputs!$E$5:$E$190=$B21)*ISNUMBER(INDEX(Inputs!$K$5:$AJ$190,0,MATCH(AH$2,Inputs!$K$4:$AJ$4,0))))=0,NA(),SUMPRODUCT((Inputs!$A$5:$A$190=$B21)*Inputs!$B$5:$B$190*(((Inputs!$G$5:$G$190="moeda")+(Inputs!$G$5:$G$190="acoes"))*Inputs!$B$1+((Inputs!$G$5:$G$190&lt;&gt;"moeda")*(Inputs!$G$5:$G$190&lt;&gt;"acoes")))*INDEX(Inputs!$K$5:$AJ$190,0,MATCH(AH$2,Inputs!$K$4:$AJ$4,0)))+SUMPRODUCT((Inputs!$C$5:$C$190=$B21)*Inputs!$D$5:$D$190*(((Inputs!$G$5:$G$190="moeda")+(Inputs!$G$5:$G$190="acoes"))*Inputs!$B$1+((Inputs!$G$5:$G$190&lt;&gt;"moeda")*(Inputs!$G$5:$G$190&lt;&gt;"acoes")))*INDEX(Inputs!$K$5:$AJ$190,0,MATCH(AH$2,Inputs!$K$4:$AJ$4,0)))+SUMPRODUCT((Inputs!$E$5:$E$190=$B21)*Inputs!$F$5:$F$190*(((Inputs!$G$5:$G$190="moeda")+(Inputs!$G$5:$G$190="acoes"))*Inputs!$B$1+((Inputs!$G$5:$G$190&lt;&gt;"moeda")*(Inputs!$G$5:$G$190&lt;&gt;"acoes")))*INDEX(Inputs!$K$5:$AJ$190,0,MATCH(AH$2,Inputs!$K$4:$AJ$4,0)))))</f>
        <v>6.5175217899044</v>
      </c>
      <c r="AI21" s="6">
        <f>IF(ISNA(MATCH(AI$2,Inputs!$K$4:$AJ$4,0)),NA(),IF(SUMPRODUCT((Inputs!$A$5:$A$190=$B21)*ISNUMBER(INDEX(Inputs!$K$5:$AJ$190,0,MATCH(AI$2,Inputs!$K$4:$AJ$4,0))))+SUMPRODUCT((Inputs!$C$5:$C$190=$B21)*ISNUMBER(INDEX(Inputs!$K$5:$AJ$190,0,MATCH(AI$2,Inputs!$K$4:$AJ$4,0))))+SUMPRODUCT((Inputs!$E$5:$E$190=$B21)*ISNUMBER(INDEX(Inputs!$K$5:$AJ$190,0,MATCH(AI$2,Inputs!$K$4:$AJ$4,0))))=0,NA(),SUMPRODUCT((Inputs!$A$5:$A$190=$B21)*Inputs!$B$5:$B$190*(((Inputs!$G$5:$G$190="moeda")+(Inputs!$G$5:$G$190="acoes"))*Inputs!$B$1+((Inputs!$G$5:$G$190&lt;&gt;"moeda")*(Inputs!$G$5:$G$190&lt;&gt;"acoes")))*INDEX(Inputs!$K$5:$AJ$190,0,MATCH(AI$2,Inputs!$K$4:$AJ$4,0)))+SUMPRODUCT((Inputs!$C$5:$C$190=$B21)*Inputs!$D$5:$D$190*(((Inputs!$G$5:$G$190="moeda")+(Inputs!$G$5:$G$190="acoes"))*Inputs!$B$1+((Inputs!$G$5:$G$190&lt;&gt;"moeda")*(Inputs!$G$5:$G$190&lt;&gt;"acoes")))*INDEX(Inputs!$K$5:$AJ$190,0,MATCH(AI$2,Inputs!$K$4:$AJ$4,0)))+SUMPRODUCT((Inputs!$E$5:$E$190=$B21)*Inputs!$F$5:$F$190*(((Inputs!$G$5:$G$190="moeda")+(Inputs!$G$5:$G$190="acoes"))*Inputs!$B$1+((Inputs!$G$5:$G$190&lt;&gt;"moeda")*(Inputs!$G$5:$G$190&lt;&gt;"acoes")))*INDEX(Inputs!$K$5:$AJ$190,0,MATCH(AI$2,Inputs!$K$4:$AJ$4,0)))))</f>
        <v>8.34518066</v>
      </c>
      <c r="AJ21" s="6">
        <f>IF(ISNA(MATCH(AJ$2,Inputs!$K$4:$AJ$4,0)),NA(),IF(SUMPRODUCT((Inputs!$A$5:$A$190=$B21)*ISNUMBER(INDEX(Inputs!$K$5:$AJ$190,0,MATCH(AJ$2,Inputs!$K$4:$AJ$4,0))))+SUMPRODUCT((Inputs!$C$5:$C$190=$B21)*ISNUMBER(INDEX(Inputs!$K$5:$AJ$190,0,MATCH(AJ$2,Inputs!$K$4:$AJ$4,0))))+SUMPRODUCT((Inputs!$E$5:$E$190=$B21)*ISNUMBER(INDEX(Inputs!$K$5:$AJ$190,0,MATCH(AJ$2,Inputs!$K$4:$AJ$4,0))))=0,NA(),SUMPRODUCT((Inputs!$A$5:$A$190=$B21)*Inputs!$B$5:$B$190*(((Inputs!$G$5:$G$190="moeda")+(Inputs!$G$5:$G$190="acoes"))*Inputs!$B$1+((Inputs!$G$5:$G$190&lt;&gt;"moeda")*(Inputs!$G$5:$G$190&lt;&gt;"acoes")))*INDEX(Inputs!$K$5:$AJ$190,0,MATCH(AJ$2,Inputs!$K$4:$AJ$4,0)))+SUMPRODUCT((Inputs!$C$5:$C$190=$B21)*Inputs!$D$5:$D$190*(((Inputs!$G$5:$G$190="moeda")+(Inputs!$G$5:$G$190="acoes"))*Inputs!$B$1+((Inputs!$G$5:$G$190&lt;&gt;"moeda")*(Inputs!$G$5:$G$190&lt;&gt;"acoes")))*INDEX(Inputs!$K$5:$AJ$190,0,MATCH(AJ$2,Inputs!$K$4:$AJ$4,0)))+SUMPRODUCT((Inputs!$E$5:$E$190=$B21)*Inputs!$F$5:$F$190*(((Inputs!$G$5:$G$190="moeda")+(Inputs!$G$5:$G$190="acoes"))*Inputs!$B$1+((Inputs!$G$5:$G$190&lt;&gt;"moeda")*(Inputs!$G$5:$G$190&lt;&gt;"acoes")))*INDEX(Inputs!$K$5:$AJ$190,0,MATCH(AJ$2,Inputs!$K$4:$AJ$4,0)))))</f>
        <v>13.6703990920664</v>
      </c>
      <c r="AK21" s="6">
        <f>IF(ISNA(MATCH(AK$2,Inputs!$K$4:$AJ$4,0)),NA(),IF(SUMPRODUCT((Inputs!$A$5:$A$190=$B21)*ISNUMBER(INDEX(Inputs!$K$5:$AJ$190,0,MATCH(AK$2,Inputs!$K$4:$AJ$4,0))))+SUMPRODUCT((Inputs!$C$5:$C$190=$B21)*ISNUMBER(INDEX(Inputs!$K$5:$AJ$190,0,MATCH(AK$2,Inputs!$K$4:$AJ$4,0))))+SUMPRODUCT((Inputs!$E$5:$E$190=$B21)*ISNUMBER(INDEX(Inputs!$K$5:$AJ$190,0,MATCH(AK$2,Inputs!$K$4:$AJ$4,0))))=0,NA(),SUMPRODUCT((Inputs!$A$5:$A$190=$B21)*Inputs!$B$5:$B$190*(((Inputs!$G$5:$G$190="moeda")+(Inputs!$G$5:$G$190="acoes"))*Inputs!$B$1+((Inputs!$G$5:$G$190&lt;&gt;"moeda")*(Inputs!$G$5:$G$190&lt;&gt;"acoes")))*INDEX(Inputs!$K$5:$AJ$190,0,MATCH(AK$2,Inputs!$K$4:$AJ$4,0)))+SUMPRODUCT((Inputs!$C$5:$C$190=$B21)*Inputs!$D$5:$D$190*(((Inputs!$G$5:$G$190="moeda")+(Inputs!$G$5:$G$190="acoes"))*Inputs!$B$1+((Inputs!$G$5:$G$190&lt;&gt;"moeda")*(Inputs!$G$5:$G$190&lt;&gt;"acoes")))*INDEX(Inputs!$K$5:$AJ$190,0,MATCH(AK$2,Inputs!$K$4:$AJ$4,0)))+SUMPRODUCT((Inputs!$E$5:$E$190=$B21)*Inputs!$F$5:$F$190*(((Inputs!$G$5:$G$190="moeda")+(Inputs!$G$5:$G$190="acoes"))*Inputs!$B$1+((Inputs!$G$5:$G$190&lt;&gt;"moeda")*(Inputs!$G$5:$G$190&lt;&gt;"acoes")))*INDEX(Inputs!$K$5:$AJ$190,0,MATCH(AK$2,Inputs!$K$4:$AJ$4,0)))))</f>
        <v>16.584</v>
      </c>
      <c r="AL21" s="3">
        <f>AK21</f>
        <v>16.584</v>
      </c>
    </row>
    <row r="22">
      <c r="B22" s="46" t="n">
        <v>18</v>
      </c>
      <c r="C22" s="26" t="inlineStr">
        <is>
          <t>PP&amp;E</t>
        </is>
      </c>
      <c r="D22" s="6">
        <f>IF(ISNA(MATCH(D$2,Inputs!$K$4:$AJ$4,0)),NA(),IF(SUMPRODUCT((Inputs!$A$5:$A$190=$B22)*ISNUMBER(INDEX(Inputs!$K$5:$AJ$190,0,MATCH(D$2,Inputs!$K$4:$AJ$4,0))))+SUMPRODUCT((Inputs!$C$5:$C$190=$B22)*ISNUMBER(INDEX(Inputs!$K$5:$AJ$190,0,MATCH(D$2,Inputs!$K$4:$AJ$4,0))))+SUMPRODUCT((Inputs!$E$5:$E$190=$B22)*ISNUMBER(INDEX(Inputs!$K$5:$AJ$190,0,MATCH(D$2,Inputs!$K$4:$AJ$4,0))))=0,NA(),SUMPRODUCT((Inputs!$A$5:$A$190=$B22)*Inputs!$B$5:$B$190*(((Inputs!$G$5:$G$190="moeda")+(Inputs!$G$5:$G$190="acoes"))*Inputs!$B$1+((Inputs!$G$5:$G$190&lt;&gt;"moeda")*(Inputs!$G$5:$G$190&lt;&gt;"acoes")))*INDEX(Inputs!$K$5:$AJ$190,0,MATCH(D$2,Inputs!$K$4:$AJ$4,0)))+SUMPRODUCT((Inputs!$C$5:$C$190=$B22)*Inputs!$D$5:$D$190*(((Inputs!$G$5:$G$190="moeda")+(Inputs!$G$5:$G$190="acoes"))*Inputs!$B$1+((Inputs!$G$5:$G$190&lt;&gt;"moeda")*(Inputs!$G$5:$G$190&lt;&gt;"acoes")))*INDEX(Inputs!$K$5:$AJ$190,0,MATCH(D$2,Inputs!$K$4:$AJ$4,0)))+SUMPRODUCT((Inputs!$E$5:$E$190=$B22)*Inputs!$F$5:$F$190*(((Inputs!$G$5:$G$190="moeda")+(Inputs!$G$5:$G$190="acoes"))*Inputs!$B$1+((Inputs!$G$5:$G$190&lt;&gt;"moeda")*(Inputs!$G$5:$G$190&lt;&gt;"acoes")))*INDEX(Inputs!$K$5:$AJ$190,0,MATCH(D$2,Inputs!$K$4:$AJ$4,0)))))</f>
        <v>12745.105</v>
      </c>
      <c r="E22" s="6">
        <f>IF(ISNA(MATCH(E$2,Inputs!$K$4:$AJ$4,0)),NA(),IF(SUMPRODUCT((Inputs!$A$5:$A$190=$B22)*ISNUMBER(INDEX(Inputs!$K$5:$AJ$190,0,MATCH(E$2,Inputs!$K$4:$AJ$4,0))))+SUMPRODUCT((Inputs!$C$5:$C$190=$B22)*ISNUMBER(INDEX(Inputs!$K$5:$AJ$190,0,MATCH(E$2,Inputs!$K$4:$AJ$4,0))))+SUMPRODUCT((Inputs!$E$5:$E$190=$B22)*ISNUMBER(INDEX(Inputs!$K$5:$AJ$190,0,MATCH(E$2,Inputs!$K$4:$AJ$4,0))))=0,NA(),SUMPRODUCT((Inputs!$A$5:$A$190=$B22)*Inputs!$B$5:$B$190*(((Inputs!$G$5:$G$190="moeda")+(Inputs!$G$5:$G$190="acoes"))*Inputs!$B$1+((Inputs!$G$5:$G$190&lt;&gt;"moeda")*(Inputs!$G$5:$G$190&lt;&gt;"acoes")))*INDEX(Inputs!$K$5:$AJ$190,0,MATCH(E$2,Inputs!$K$4:$AJ$4,0)))+SUMPRODUCT((Inputs!$C$5:$C$190=$B22)*Inputs!$D$5:$D$190*(((Inputs!$G$5:$G$190="moeda")+(Inputs!$G$5:$G$190="acoes"))*Inputs!$B$1+((Inputs!$G$5:$G$190&lt;&gt;"moeda")*(Inputs!$G$5:$G$190&lt;&gt;"acoes")))*INDEX(Inputs!$K$5:$AJ$190,0,MATCH(E$2,Inputs!$K$4:$AJ$4,0)))+SUMPRODUCT((Inputs!$E$5:$E$190=$B22)*Inputs!$F$5:$F$190*(((Inputs!$G$5:$G$190="moeda")+(Inputs!$G$5:$G$190="acoes"))*Inputs!$B$1+((Inputs!$G$5:$G$190&lt;&gt;"moeda")*(Inputs!$G$5:$G$190&lt;&gt;"acoes")))*INDEX(Inputs!$K$5:$AJ$190,0,MATCH(E$2,Inputs!$K$4:$AJ$4,0)))))</f>
        <v>15023.583</v>
      </c>
      <c r="F22" s="6">
        <f>IF(ISNA(MATCH(F$2,Inputs!$K$4:$AJ$4,0)),NA(),IF(SUMPRODUCT((Inputs!$A$5:$A$190=$B22)*ISNUMBER(INDEX(Inputs!$K$5:$AJ$190,0,MATCH(F$2,Inputs!$K$4:$AJ$4,0))))+SUMPRODUCT((Inputs!$C$5:$C$190=$B22)*ISNUMBER(INDEX(Inputs!$K$5:$AJ$190,0,MATCH(F$2,Inputs!$K$4:$AJ$4,0))))+SUMPRODUCT((Inputs!$E$5:$E$190=$B22)*ISNUMBER(INDEX(Inputs!$K$5:$AJ$190,0,MATCH(F$2,Inputs!$K$4:$AJ$4,0))))=0,NA(),SUMPRODUCT((Inputs!$A$5:$A$190=$B22)*Inputs!$B$5:$B$190*(((Inputs!$G$5:$G$190="moeda")+(Inputs!$G$5:$G$190="acoes"))*Inputs!$B$1+((Inputs!$G$5:$G$190&lt;&gt;"moeda")*(Inputs!$G$5:$G$190&lt;&gt;"acoes")))*INDEX(Inputs!$K$5:$AJ$190,0,MATCH(F$2,Inputs!$K$4:$AJ$4,0)))+SUMPRODUCT((Inputs!$C$5:$C$190=$B22)*Inputs!$D$5:$D$190*(((Inputs!$G$5:$G$190="moeda")+(Inputs!$G$5:$G$190="acoes"))*Inputs!$B$1+((Inputs!$G$5:$G$190&lt;&gt;"moeda")*(Inputs!$G$5:$G$190&lt;&gt;"acoes")))*INDEX(Inputs!$K$5:$AJ$190,0,MATCH(F$2,Inputs!$K$4:$AJ$4,0)))+SUMPRODUCT((Inputs!$E$5:$E$190=$B22)*Inputs!$F$5:$F$190*(((Inputs!$G$5:$G$190="moeda")+(Inputs!$G$5:$G$190="acoes"))*Inputs!$B$1+((Inputs!$G$5:$G$190&lt;&gt;"moeda")*(Inputs!$G$5:$G$190&lt;&gt;"acoes")))*INDEX(Inputs!$K$5:$AJ$190,0,MATCH(F$2,Inputs!$K$4:$AJ$4,0)))))</f>
        <v>17425.606</v>
      </c>
      <c r="G22" s="6">
        <f>IF(ISNA(MATCH(G$2,Inputs!$K$4:$AJ$4,0)),NA(),IF(SUMPRODUCT((Inputs!$A$5:$A$190=$B22)*ISNUMBER(INDEX(Inputs!$K$5:$AJ$190,0,MATCH(G$2,Inputs!$K$4:$AJ$4,0))))+SUMPRODUCT((Inputs!$C$5:$C$190=$B22)*ISNUMBER(INDEX(Inputs!$K$5:$AJ$190,0,MATCH(G$2,Inputs!$K$4:$AJ$4,0))))+SUMPRODUCT((Inputs!$E$5:$E$190=$B22)*ISNUMBER(INDEX(Inputs!$K$5:$AJ$190,0,MATCH(G$2,Inputs!$K$4:$AJ$4,0))))=0,NA(),SUMPRODUCT((Inputs!$A$5:$A$190=$B22)*Inputs!$B$5:$B$190*(((Inputs!$G$5:$G$190="moeda")+(Inputs!$G$5:$G$190="acoes"))*Inputs!$B$1+((Inputs!$G$5:$G$190&lt;&gt;"moeda")*(Inputs!$G$5:$G$190&lt;&gt;"acoes")))*INDEX(Inputs!$K$5:$AJ$190,0,MATCH(G$2,Inputs!$K$4:$AJ$4,0)))+SUMPRODUCT((Inputs!$C$5:$C$190=$B22)*Inputs!$D$5:$D$190*(((Inputs!$G$5:$G$190="moeda")+(Inputs!$G$5:$G$190="acoes"))*Inputs!$B$1+((Inputs!$G$5:$G$190&lt;&gt;"moeda")*(Inputs!$G$5:$G$190&lt;&gt;"acoes")))*INDEX(Inputs!$K$5:$AJ$190,0,MATCH(G$2,Inputs!$K$4:$AJ$4,0)))+SUMPRODUCT((Inputs!$E$5:$E$190=$B22)*Inputs!$F$5:$F$190*(((Inputs!$G$5:$G$190="moeda")+(Inputs!$G$5:$G$190="acoes"))*Inputs!$B$1+((Inputs!$G$5:$G$190&lt;&gt;"moeda")*(Inputs!$G$5:$G$190&lt;&gt;"acoes")))*INDEX(Inputs!$K$5:$AJ$190,0,MATCH(G$2,Inputs!$K$4:$AJ$4,0)))))</f>
        <v>21567.72</v>
      </c>
      <c r="H22" s="3">
        <f>G22</f>
        <v>21567.72</v>
      </c>
      <c r="I22" s="6">
        <f>IF(ISNA(MATCH(I$2,Inputs!$K$4:$AJ$4,0)),NA(),IF(SUMPRODUCT((Inputs!$A$5:$A$190=$B22)*ISNUMBER(INDEX(Inputs!$K$5:$AJ$190,0,MATCH(I$2,Inputs!$K$4:$AJ$4,0))))+SUMPRODUCT((Inputs!$C$5:$C$190=$B22)*ISNUMBER(INDEX(Inputs!$K$5:$AJ$190,0,MATCH(I$2,Inputs!$K$4:$AJ$4,0))))+SUMPRODUCT((Inputs!$E$5:$E$190=$B22)*ISNUMBER(INDEX(Inputs!$K$5:$AJ$190,0,MATCH(I$2,Inputs!$K$4:$AJ$4,0))))=0,NA(),SUMPRODUCT((Inputs!$A$5:$A$190=$B22)*Inputs!$B$5:$B$190*(((Inputs!$G$5:$G$190="moeda")+(Inputs!$G$5:$G$190="acoes"))*Inputs!$B$1+((Inputs!$G$5:$G$190&lt;&gt;"moeda")*(Inputs!$G$5:$G$190&lt;&gt;"acoes")))*INDEX(Inputs!$K$5:$AJ$190,0,MATCH(I$2,Inputs!$K$4:$AJ$4,0)))+SUMPRODUCT((Inputs!$C$5:$C$190=$B22)*Inputs!$D$5:$D$190*(((Inputs!$G$5:$G$190="moeda")+(Inputs!$G$5:$G$190="acoes"))*Inputs!$B$1+((Inputs!$G$5:$G$190&lt;&gt;"moeda")*(Inputs!$G$5:$G$190&lt;&gt;"acoes")))*INDEX(Inputs!$K$5:$AJ$190,0,MATCH(I$2,Inputs!$K$4:$AJ$4,0)))+SUMPRODUCT((Inputs!$E$5:$E$190=$B22)*Inputs!$F$5:$F$190*(((Inputs!$G$5:$G$190="moeda")+(Inputs!$G$5:$G$190="acoes"))*Inputs!$B$1+((Inputs!$G$5:$G$190&lt;&gt;"moeda")*(Inputs!$G$5:$G$190&lt;&gt;"acoes")))*INDEX(Inputs!$K$5:$AJ$190,0,MATCH(I$2,Inputs!$K$4:$AJ$4,0)))))</f>
        <v>23807.944</v>
      </c>
      <c r="J22" s="6">
        <f>IF(ISNA(MATCH(J$2,Inputs!$K$4:$AJ$4,0)),NA(),IF(SUMPRODUCT((Inputs!$A$5:$A$190=$B22)*ISNUMBER(INDEX(Inputs!$K$5:$AJ$190,0,MATCH(J$2,Inputs!$K$4:$AJ$4,0))))+SUMPRODUCT((Inputs!$C$5:$C$190=$B22)*ISNUMBER(INDEX(Inputs!$K$5:$AJ$190,0,MATCH(J$2,Inputs!$K$4:$AJ$4,0))))+SUMPRODUCT((Inputs!$E$5:$E$190=$B22)*ISNUMBER(INDEX(Inputs!$K$5:$AJ$190,0,MATCH(J$2,Inputs!$K$4:$AJ$4,0))))=0,NA(),SUMPRODUCT((Inputs!$A$5:$A$190=$B22)*Inputs!$B$5:$B$190*(((Inputs!$G$5:$G$190="moeda")+(Inputs!$G$5:$G$190="acoes"))*Inputs!$B$1+((Inputs!$G$5:$G$190&lt;&gt;"moeda")*(Inputs!$G$5:$G$190&lt;&gt;"acoes")))*INDEX(Inputs!$K$5:$AJ$190,0,MATCH(J$2,Inputs!$K$4:$AJ$4,0)))+SUMPRODUCT((Inputs!$C$5:$C$190=$B22)*Inputs!$D$5:$D$190*(((Inputs!$G$5:$G$190="moeda")+(Inputs!$G$5:$G$190="acoes"))*Inputs!$B$1+((Inputs!$G$5:$G$190&lt;&gt;"moeda")*(Inputs!$G$5:$G$190&lt;&gt;"acoes")))*INDEX(Inputs!$K$5:$AJ$190,0,MATCH(J$2,Inputs!$K$4:$AJ$4,0)))+SUMPRODUCT((Inputs!$E$5:$E$190=$B22)*Inputs!$F$5:$F$190*(((Inputs!$G$5:$G$190="moeda")+(Inputs!$G$5:$G$190="acoes"))*Inputs!$B$1+((Inputs!$G$5:$G$190&lt;&gt;"moeda")*(Inputs!$G$5:$G$190&lt;&gt;"acoes")))*INDEX(Inputs!$K$5:$AJ$190,0,MATCH(J$2,Inputs!$K$4:$AJ$4,0)))))</f>
        <v>27512.254</v>
      </c>
      <c r="K22" s="6">
        <f>IF(ISNA(MATCH(K$2,Inputs!$K$4:$AJ$4,0)),NA(),IF(SUMPRODUCT((Inputs!$A$5:$A$190=$B22)*ISNUMBER(INDEX(Inputs!$K$5:$AJ$190,0,MATCH(K$2,Inputs!$K$4:$AJ$4,0))))+SUMPRODUCT((Inputs!$C$5:$C$190=$B22)*ISNUMBER(INDEX(Inputs!$K$5:$AJ$190,0,MATCH(K$2,Inputs!$K$4:$AJ$4,0))))+SUMPRODUCT((Inputs!$E$5:$E$190=$B22)*ISNUMBER(INDEX(Inputs!$K$5:$AJ$190,0,MATCH(K$2,Inputs!$K$4:$AJ$4,0))))=0,NA(),SUMPRODUCT((Inputs!$A$5:$A$190=$B22)*Inputs!$B$5:$B$190*(((Inputs!$G$5:$G$190="moeda")+(Inputs!$G$5:$G$190="acoes"))*Inputs!$B$1+((Inputs!$G$5:$G$190&lt;&gt;"moeda")*(Inputs!$G$5:$G$190&lt;&gt;"acoes")))*INDEX(Inputs!$K$5:$AJ$190,0,MATCH(K$2,Inputs!$K$4:$AJ$4,0)))+SUMPRODUCT((Inputs!$C$5:$C$190=$B22)*Inputs!$D$5:$D$190*(((Inputs!$G$5:$G$190="moeda")+(Inputs!$G$5:$G$190="acoes"))*Inputs!$B$1+((Inputs!$G$5:$G$190&lt;&gt;"moeda")*(Inputs!$G$5:$G$190&lt;&gt;"acoes")))*INDEX(Inputs!$K$5:$AJ$190,0,MATCH(K$2,Inputs!$K$4:$AJ$4,0)))+SUMPRODUCT((Inputs!$E$5:$E$190=$B22)*Inputs!$F$5:$F$190*(((Inputs!$G$5:$G$190="moeda")+(Inputs!$G$5:$G$190="acoes"))*Inputs!$B$1+((Inputs!$G$5:$G$190&lt;&gt;"moeda")*(Inputs!$G$5:$G$190&lt;&gt;"acoes")))*INDEX(Inputs!$K$5:$AJ$190,0,MATCH(K$2,Inputs!$K$4:$AJ$4,0)))))</f>
        <v>30582.589</v>
      </c>
      <c r="L22" s="6">
        <f>IF(ISNA(MATCH(L$2,Inputs!$K$4:$AJ$4,0)),NA(),IF(SUMPRODUCT((Inputs!$A$5:$A$190=$B22)*ISNUMBER(INDEX(Inputs!$K$5:$AJ$190,0,MATCH(L$2,Inputs!$K$4:$AJ$4,0))))+SUMPRODUCT((Inputs!$C$5:$C$190=$B22)*ISNUMBER(INDEX(Inputs!$K$5:$AJ$190,0,MATCH(L$2,Inputs!$K$4:$AJ$4,0))))+SUMPRODUCT((Inputs!$E$5:$E$190=$B22)*ISNUMBER(INDEX(Inputs!$K$5:$AJ$190,0,MATCH(L$2,Inputs!$K$4:$AJ$4,0))))=0,NA(),SUMPRODUCT((Inputs!$A$5:$A$190=$B22)*Inputs!$B$5:$B$190*(((Inputs!$G$5:$G$190="moeda")+(Inputs!$G$5:$G$190="acoes"))*Inputs!$B$1+((Inputs!$G$5:$G$190&lt;&gt;"moeda")*(Inputs!$G$5:$G$190&lt;&gt;"acoes")))*INDEX(Inputs!$K$5:$AJ$190,0,MATCH(L$2,Inputs!$K$4:$AJ$4,0)))+SUMPRODUCT((Inputs!$C$5:$C$190=$B22)*Inputs!$D$5:$D$190*(((Inputs!$G$5:$G$190="moeda")+(Inputs!$G$5:$G$190="acoes"))*Inputs!$B$1+((Inputs!$G$5:$G$190&lt;&gt;"moeda")*(Inputs!$G$5:$G$190&lt;&gt;"acoes")))*INDEX(Inputs!$K$5:$AJ$190,0,MATCH(L$2,Inputs!$K$4:$AJ$4,0)))+SUMPRODUCT((Inputs!$E$5:$E$190=$B22)*Inputs!$F$5:$F$190*(((Inputs!$G$5:$G$190="moeda")+(Inputs!$G$5:$G$190="acoes"))*Inputs!$B$1+((Inputs!$G$5:$G$190&lt;&gt;"moeda")*(Inputs!$G$5:$G$190&lt;&gt;"acoes")))*INDEX(Inputs!$K$5:$AJ$190,0,MATCH(L$2,Inputs!$K$4:$AJ$4,0)))))</f>
        <v>34130.983</v>
      </c>
      <c r="M22" s="3">
        <f>L22</f>
        <v>34130.983</v>
      </c>
      <c r="N22" s="6">
        <f>IF(ISNA(MATCH(N$2,Inputs!$K$4:$AJ$4,0)),NA(),IF(SUMPRODUCT((Inputs!$A$5:$A$190=$B22)*ISNUMBER(INDEX(Inputs!$K$5:$AJ$190,0,MATCH(N$2,Inputs!$K$4:$AJ$4,0))))+SUMPRODUCT((Inputs!$C$5:$C$190=$B22)*ISNUMBER(INDEX(Inputs!$K$5:$AJ$190,0,MATCH(N$2,Inputs!$K$4:$AJ$4,0))))+SUMPRODUCT((Inputs!$E$5:$E$190=$B22)*ISNUMBER(INDEX(Inputs!$K$5:$AJ$190,0,MATCH(N$2,Inputs!$K$4:$AJ$4,0))))=0,NA(),SUMPRODUCT((Inputs!$A$5:$A$190=$B22)*Inputs!$B$5:$B$190*(((Inputs!$G$5:$G$190="moeda")+(Inputs!$G$5:$G$190="acoes"))*Inputs!$B$1+((Inputs!$G$5:$G$190&lt;&gt;"moeda")*(Inputs!$G$5:$G$190&lt;&gt;"acoes")))*INDEX(Inputs!$K$5:$AJ$190,0,MATCH(N$2,Inputs!$K$4:$AJ$4,0)))+SUMPRODUCT((Inputs!$C$5:$C$190=$B22)*Inputs!$D$5:$D$190*(((Inputs!$G$5:$G$190="moeda")+(Inputs!$G$5:$G$190="acoes"))*Inputs!$B$1+((Inputs!$G$5:$G$190&lt;&gt;"moeda")*(Inputs!$G$5:$G$190&lt;&gt;"acoes")))*INDEX(Inputs!$K$5:$AJ$190,0,MATCH(N$2,Inputs!$K$4:$AJ$4,0)))+SUMPRODUCT((Inputs!$E$5:$E$190=$B22)*Inputs!$F$5:$F$190*(((Inputs!$G$5:$G$190="moeda")+(Inputs!$G$5:$G$190="acoes"))*Inputs!$B$1+((Inputs!$G$5:$G$190&lt;&gt;"moeda")*(Inputs!$G$5:$G$190&lt;&gt;"acoes")))*INDEX(Inputs!$K$5:$AJ$190,0,MATCH(N$2,Inputs!$K$4:$AJ$4,0)))))</f>
        <v>34225.4822161548</v>
      </c>
      <c r="O22" s="6">
        <f>IF(ISNA(MATCH(O$2,Inputs!$K$4:$AJ$4,0)),NA(),IF(SUMPRODUCT((Inputs!$A$5:$A$190=$B22)*ISNUMBER(INDEX(Inputs!$K$5:$AJ$190,0,MATCH(O$2,Inputs!$K$4:$AJ$4,0))))+SUMPRODUCT((Inputs!$C$5:$C$190=$B22)*ISNUMBER(INDEX(Inputs!$K$5:$AJ$190,0,MATCH(O$2,Inputs!$K$4:$AJ$4,0))))+SUMPRODUCT((Inputs!$E$5:$E$190=$B22)*ISNUMBER(INDEX(Inputs!$K$5:$AJ$190,0,MATCH(O$2,Inputs!$K$4:$AJ$4,0))))=0,NA(),SUMPRODUCT((Inputs!$A$5:$A$190=$B22)*Inputs!$B$5:$B$190*(((Inputs!$G$5:$G$190="moeda")+(Inputs!$G$5:$G$190="acoes"))*Inputs!$B$1+((Inputs!$G$5:$G$190&lt;&gt;"moeda")*(Inputs!$G$5:$G$190&lt;&gt;"acoes")))*INDEX(Inputs!$K$5:$AJ$190,0,MATCH(O$2,Inputs!$K$4:$AJ$4,0)))+SUMPRODUCT((Inputs!$C$5:$C$190=$B22)*Inputs!$D$5:$D$190*(((Inputs!$G$5:$G$190="moeda")+(Inputs!$G$5:$G$190="acoes"))*Inputs!$B$1+((Inputs!$G$5:$G$190&lt;&gt;"moeda")*(Inputs!$G$5:$G$190&lt;&gt;"acoes")))*INDEX(Inputs!$K$5:$AJ$190,0,MATCH(O$2,Inputs!$K$4:$AJ$4,0)))+SUMPRODUCT((Inputs!$E$5:$E$190=$B22)*Inputs!$F$5:$F$190*(((Inputs!$G$5:$G$190="moeda")+(Inputs!$G$5:$G$190="acoes"))*Inputs!$B$1+((Inputs!$G$5:$G$190&lt;&gt;"moeda")*(Inputs!$G$5:$G$190&lt;&gt;"acoes")))*INDEX(Inputs!$K$5:$AJ$190,0,MATCH(O$2,Inputs!$K$4:$AJ$4,0)))))</f>
        <v>34978.6827177192</v>
      </c>
      <c r="P22" s="6">
        <f>IF(ISNA(MATCH(P$2,Inputs!$K$4:$AJ$4,0)),NA(),IF(SUMPRODUCT((Inputs!$A$5:$A$190=$B22)*ISNUMBER(INDEX(Inputs!$K$5:$AJ$190,0,MATCH(P$2,Inputs!$K$4:$AJ$4,0))))+SUMPRODUCT((Inputs!$C$5:$C$190=$B22)*ISNUMBER(INDEX(Inputs!$K$5:$AJ$190,0,MATCH(P$2,Inputs!$K$4:$AJ$4,0))))+SUMPRODUCT((Inputs!$E$5:$E$190=$B22)*ISNUMBER(INDEX(Inputs!$K$5:$AJ$190,0,MATCH(P$2,Inputs!$K$4:$AJ$4,0))))=0,NA(),SUMPRODUCT((Inputs!$A$5:$A$190=$B22)*Inputs!$B$5:$B$190*(((Inputs!$G$5:$G$190="moeda")+(Inputs!$G$5:$G$190="acoes"))*Inputs!$B$1+((Inputs!$G$5:$G$190&lt;&gt;"moeda")*(Inputs!$G$5:$G$190&lt;&gt;"acoes")))*INDEX(Inputs!$K$5:$AJ$190,0,MATCH(P$2,Inputs!$K$4:$AJ$4,0)))+SUMPRODUCT((Inputs!$C$5:$C$190=$B22)*Inputs!$D$5:$D$190*(((Inputs!$G$5:$G$190="moeda")+(Inputs!$G$5:$G$190="acoes"))*Inputs!$B$1+((Inputs!$G$5:$G$190&lt;&gt;"moeda")*(Inputs!$G$5:$G$190&lt;&gt;"acoes")))*INDEX(Inputs!$K$5:$AJ$190,0,MATCH(P$2,Inputs!$K$4:$AJ$4,0)))+SUMPRODUCT((Inputs!$E$5:$E$190=$B22)*Inputs!$F$5:$F$190*(((Inputs!$G$5:$G$190="moeda")+(Inputs!$G$5:$G$190="acoes"))*Inputs!$B$1+((Inputs!$G$5:$G$190&lt;&gt;"moeda")*(Inputs!$G$5:$G$190&lt;&gt;"acoes")))*INDEX(Inputs!$K$5:$AJ$190,0,MATCH(P$2,Inputs!$K$4:$AJ$4,0)))))</f>
        <v>36138.9158371207</v>
      </c>
      <c r="Q22" s="6">
        <f>IF(ISNA(MATCH(Q$2,Inputs!$K$4:$AJ$4,0)),NA(),IF(SUMPRODUCT((Inputs!$A$5:$A$190=$B22)*ISNUMBER(INDEX(Inputs!$K$5:$AJ$190,0,MATCH(Q$2,Inputs!$K$4:$AJ$4,0))))+SUMPRODUCT((Inputs!$C$5:$C$190=$B22)*ISNUMBER(INDEX(Inputs!$K$5:$AJ$190,0,MATCH(Q$2,Inputs!$K$4:$AJ$4,0))))+SUMPRODUCT((Inputs!$E$5:$E$190=$B22)*ISNUMBER(INDEX(Inputs!$K$5:$AJ$190,0,MATCH(Q$2,Inputs!$K$4:$AJ$4,0))))=0,NA(),SUMPRODUCT((Inputs!$A$5:$A$190=$B22)*Inputs!$B$5:$B$190*(((Inputs!$G$5:$G$190="moeda")+(Inputs!$G$5:$G$190="acoes"))*Inputs!$B$1+((Inputs!$G$5:$G$190&lt;&gt;"moeda")*(Inputs!$G$5:$G$190&lt;&gt;"acoes")))*INDEX(Inputs!$K$5:$AJ$190,0,MATCH(Q$2,Inputs!$K$4:$AJ$4,0)))+SUMPRODUCT((Inputs!$C$5:$C$190=$B22)*Inputs!$D$5:$D$190*(((Inputs!$G$5:$G$190="moeda")+(Inputs!$G$5:$G$190="acoes"))*Inputs!$B$1+((Inputs!$G$5:$G$190&lt;&gt;"moeda")*(Inputs!$G$5:$G$190&lt;&gt;"acoes")))*INDEX(Inputs!$K$5:$AJ$190,0,MATCH(Q$2,Inputs!$K$4:$AJ$4,0)))+SUMPRODUCT((Inputs!$E$5:$E$190=$B22)*Inputs!$F$5:$F$190*(((Inputs!$G$5:$G$190="moeda")+(Inputs!$G$5:$G$190="acoes"))*Inputs!$B$1+((Inputs!$G$5:$G$190&lt;&gt;"moeda")*(Inputs!$G$5:$G$190&lt;&gt;"acoes")))*INDEX(Inputs!$K$5:$AJ$190,0,MATCH(Q$2,Inputs!$K$4:$AJ$4,0)))))</f>
        <v>39826.1619453597</v>
      </c>
      <c r="R22" s="3">
        <f>Q22</f>
        <v>39826.1619453597</v>
      </c>
      <c r="S22" s="6">
        <f>IF(ISNA(MATCH(S$2,Inputs!$K$4:$AJ$4,0)),NA(),IF(SUMPRODUCT((Inputs!$A$5:$A$190=$B22)*ISNUMBER(INDEX(Inputs!$K$5:$AJ$190,0,MATCH(S$2,Inputs!$K$4:$AJ$4,0))))+SUMPRODUCT((Inputs!$C$5:$C$190=$B22)*ISNUMBER(INDEX(Inputs!$K$5:$AJ$190,0,MATCH(S$2,Inputs!$K$4:$AJ$4,0))))+SUMPRODUCT((Inputs!$E$5:$E$190=$B22)*ISNUMBER(INDEX(Inputs!$K$5:$AJ$190,0,MATCH(S$2,Inputs!$K$4:$AJ$4,0))))=0,NA(),SUMPRODUCT((Inputs!$A$5:$A$190=$B22)*Inputs!$B$5:$B$190*(((Inputs!$G$5:$G$190="moeda")+(Inputs!$G$5:$G$190="acoes"))*Inputs!$B$1+((Inputs!$G$5:$G$190&lt;&gt;"moeda")*(Inputs!$G$5:$G$190&lt;&gt;"acoes")))*INDEX(Inputs!$K$5:$AJ$190,0,MATCH(S$2,Inputs!$K$4:$AJ$4,0)))+SUMPRODUCT((Inputs!$C$5:$C$190=$B22)*Inputs!$D$5:$D$190*(((Inputs!$G$5:$G$190="moeda")+(Inputs!$G$5:$G$190="acoes"))*Inputs!$B$1+((Inputs!$G$5:$G$190&lt;&gt;"moeda")*(Inputs!$G$5:$G$190&lt;&gt;"acoes")))*INDEX(Inputs!$K$5:$AJ$190,0,MATCH(S$2,Inputs!$K$4:$AJ$4,0)))+SUMPRODUCT((Inputs!$E$5:$E$190=$B22)*Inputs!$F$5:$F$190*(((Inputs!$G$5:$G$190="moeda")+(Inputs!$G$5:$G$190="acoes"))*Inputs!$B$1+((Inputs!$G$5:$G$190&lt;&gt;"moeda")*(Inputs!$G$5:$G$190&lt;&gt;"acoes")))*INDEX(Inputs!$K$5:$AJ$190,0,MATCH(S$2,Inputs!$K$4:$AJ$4,0)))))</f>
        <v>41091.2283008298</v>
      </c>
      <c r="T22" s="6">
        <f>IF(ISNA(MATCH(T$2,Inputs!$K$4:$AJ$4,0)),NA(),IF(SUMPRODUCT((Inputs!$A$5:$A$190=$B22)*ISNUMBER(INDEX(Inputs!$K$5:$AJ$190,0,MATCH(T$2,Inputs!$K$4:$AJ$4,0))))+SUMPRODUCT((Inputs!$C$5:$C$190=$B22)*ISNUMBER(INDEX(Inputs!$K$5:$AJ$190,0,MATCH(T$2,Inputs!$K$4:$AJ$4,0))))+SUMPRODUCT((Inputs!$E$5:$E$190=$B22)*ISNUMBER(INDEX(Inputs!$K$5:$AJ$190,0,MATCH(T$2,Inputs!$K$4:$AJ$4,0))))=0,NA(),SUMPRODUCT((Inputs!$A$5:$A$190=$B22)*Inputs!$B$5:$B$190*(((Inputs!$G$5:$G$190="moeda")+(Inputs!$G$5:$G$190="acoes"))*Inputs!$B$1+((Inputs!$G$5:$G$190&lt;&gt;"moeda")*(Inputs!$G$5:$G$190&lt;&gt;"acoes")))*INDEX(Inputs!$K$5:$AJ$190,0,MATCH(T$2,Inputs!$K$4:$AJ$4,0)))+SUMPRODUCT((Inputs!$C$5:$C$190=$B22)*Inputs!$D$5:$D$190*(((Inputs!$G$5:$G$190="moeda")+(Inputs!$G$5:$G$190="acoes"))*Inputs!$B$1+((Inputs!$G$5:$G$190&lt;&gt;"moeda")*(Inputs!$G$5:$G$190&lt;&gt;"acoes")))*INDEX(Inputs!$K$5:$AJ$190,0,MATCH(T$2,Inputs!$K$4:$AJ$4,0)))+SUMPRODUCT((Inputs!$E$5:$E$190=$B22)*Inputs!$F$5:$F$190*(((Inputs!$G$5:$G$190="moeda")+(Inputs!$G$5:$G$190="acoes"))*Inputs!$B$1+((Inputs!$G$5:$G$190&lt;&gt;"moeda")*(Inputs!$G$5:$G$190&lt;&gt;"acoes")))*INDEX(Inputs!$K$5:$AJ$190,0,MATCH(T$2,Inputs!$K$4:$AJ$4,0)))))</f>
        <v>42196.6139310797</v>
      </c>
      <c r="U22" s="6">
        <f>IF(ISNA(MATCH(U$2,Inputs!$K$4:$AJ$4,0)),NA(),IF(SUMPRODUCT((Inputs!$A$5:$A$190=$B22)*ISNUMBER(INDEX(Inputs!$K$5:$AJ$190,0,MATCH(U$2,Inputs!$K$4:$AJ$4,0))))+SUMPRODUCT((Inputs!$C$5:$C$190=$B22)*ISNUMBER(INDEX(Inputs!$K$5:$AJ$190,0,MATCH(U$2,Inputs!$K$4:$AJ$4,0))))+SUMPRODUCT((Inputs!$E$5:$E$190=$B22)*ISNUMBER(INDEX(Inputs!$K$5:$AJ$190,0,MATCH(U$2,Inputs!$K$4:$AJ$4,0))))=0,NA(),SUMPRODUCT((Inputs!$A$5:$A$190=$B22)*Inputs!$B$5:$B$190*(((Inputs!$G$5:$G$190="moeda")+(Inputs!$G$5:$G$190="acoes"))*Inputs!$B$1+((Inputs!$G$5:$G$190&lt;&gt;"moeda")*(Inputs!$G$5:$G$190&lt;&gt;"acoes")))*INDEX(Inputs!$K$5:$AJ$190,0,MATCH(U$2,Inputs!$K$4:$AJ$4,0)))+SUMPRODUCT((Inputs!$C$5:$C$190=$B22)*Inputs!$D$5:$D$190*(((Inputs!$G$5:$G$190="moeda")+(Inputs!$G$5:$G$190="acoes"))*Inputs!$B$1+((Inputs!$G$5:$G$190&lt;&gt;"moeda")*(Inputs!$G$5:$G$190&lt;&gt;"acoes")))*INDEX(Inputs!$K$5:$AJ$190,0,MATCH(U$2,Inputs!$K$4:$AJ$4,0)))+SUMPRODUCT((Inputs!$E$5:$E$190=$B22)*Inputs!$F$5:$F$190*(((Inputs!$G$5:$G$190="moeda")+(Inputs!$G$5:$G$190="acoes"))*Inputs!$B$1+((Inputs!$G$5:$G$190&lt;&gt;"moeda")*(Inputs!$G$5:$G$190&lt;&gt;"acoes")))*INDEX(Inputs!$K$5:$AJ$190,0,MATCH(U$2,Inputs!$K$4:$AJ$4,0)))))</f>
        <v>42975.0078185287</v>
      </c>
      <c r="V22" s="6">
        <f>IF(ISNA(MATCH(V$2,Inputs!$K$4:$AJ$4,0)),NA(),IF(SUMPRODUCT((Inputs!$A$5:$A$190=$B22)*ISNUMBER(INDEX(Inputs!$K$5:$AJ$190,0,MATCH(V$2,Inputs!$K$4:$AJ$4,0))))+SUMPRODUCT((Inputs!$C$5:$C$190=$B22)*ISNUMBER(INDEX(Inputs!$K$5:$AJ$190,0,MATCH(V$2,Inputs!$K$4:$AJ$4,0))))+SUMPRODUCT((Inputs!$E$5:$E$190=$B22)*ISNUMBER(INDEX(Inputs!$K$5:$AJ$190,0,MATCH(V$2,Inputs!$K$4:$AJ$4,0))))=0,NA(),SUMPRODUCT((Inputs!$A$5:$A$190=$B22)*Inputs!$B$5:$B$190*(((Inputs!$G$5:$G$190="moeda")+(Inputs!$G$5:$G$190="acoes"))*Inputs!$B$1+((Inputs!$G$5:$G$190&lt;&gt;"moeda")*(Inputs!$G$5:$G$190&lt;&gt;"acoes")))*INDEX(Inputs!$K$5:$AJ$190,0,MATCH(V$2,Inputs!$K$4:$AJ$4,0)))+SUMPRODUCT((Inputs!$C$5:$C$190=$B22)*Inputs!$D$5:$D$190*(((Inputs!$G$5:$G$190="moeda")+(Inputs!$G$5:$G$190="acoes"))*Inputs!$B$1+((Inputs!$G$5:$G$190&lt;&gt;"moeda")*(Inputs!$G$5:$G$190&lt;&gt;"acoes")))*INDEX(Inputs!$K$5:$AJ$190,0,MATCH(V$2,Inputs!$K$4:$AJ$4,0)))+SUMPRODUCT((Inputs!$E$5:$E$190=$B22)*Inputs!$F$5:$F$190*(((Inputs!$G$5:$G$190="moeda")+(Inputs!$G$5:$G$190="acoes"))*Inputs!$B$1+((Inputs!$G$5:$G$190&lt;&gt;"moeda")*(Inputs!$G$5:$G$190&lt;&gt;"acoes")))*INDEX(Inputs!$K$5:$AJ$190,0,MATCH(V$2,Inputs!$K$4:$AJ$4,0)))))</f>
        <v>45618.21326671</v>
      </c>
      <c r="W22" s="3">
        <f>V22</f>
        <v>45618.21326671</v>
      </c>
      <c r="X22" s="6">
        <f>IF(ISNA(MATCH(X$2,Inputs!$K$4:$AJ$4,0)),NA(),IF(SUMPRODUCT((Inputs!$A$5:$A$190=$B22)*ISNUMBER(INDEX(Inputs!$K$5:$AJ$190,0,MATCH(X$2,Inputs!$K$4:$AJ$4,0))))+SUMPRODUCT((Inputs!$C$5:$C$190=$B22)*ISNUMBER(INDEX(Inputs!$K$5:$AJ$190,0,MATCH(X$2,Inputs!$K$4:$AJ$4,0))))+SUMPRODUCT((Inputs!$E$5:$E$190=$B22)*ISNUMBER(INDEX(Inputs!$K$5:$AJ$190,0,MATCH(X$2,Inputs!$K$4:$AJ$4,0))))=0,NA(),SUMPRODUCT((Inputs!$A$5:$A$190=$B22)*Inputs!$B$5:$B$190*(((Inputs!$G$5:$G$190="moeda")+(Inputs!$G$5:$G$190="acoes"))*Inputs!$B$1+((Inputs!$G$5:$G$190&lt;&gt;"moeda")*(Inputs!$G$5:$G$190&lt;&gt;"acoes")))*INDEX(Inputs!$K$5:$AJ$190,0,MATCH(X$2,Inputs!$K$4:$AJ$4,0)))+SUMPRODUCT((Inputs!$C$5:$C$190=$B22)*Inputs!$D$5:$D$190*(((Inputs!$G$5:$G$190="moeda")+(Inputs!$G$5:$G$190="acoes"))*Inputs!$B$1+((Inputs!$G$5:$G$190&lt;&gt;"moeda")*(Inputs!$G$5:$G$190&lt;&gt;"acoes")))*INDEX(Inputs!$K$5:$AJ$190,0,MATCH(X$2,Inputs!$K$4:$AJ$4,0)))+SUMPRODUCT((Inputs!$E$5:$E$190=$B22)*Inputs!$F$5:$F$190*(((Inputs!$G$5:$G$190="moeda")+(Inputs!$G$5:$G$190="acoes"))*Inputs!$B$1+((Inputs!$G$5:$G$190&lt;&gt;"moeda")*(Inputs!$G$5:$G$190&lt;&gt;"acoes")))*INDEX(Inputs!$K$5:$AJ$190,0,MATCH(X$2,Inputs!$K$4:$AJ$4,0)))))</f>
        <v>44794.68291003</v>
      </c>
      <c r="Y22" s="6">
        <f>IF(ISNA(MATCH(Y$2,Inputs!$K$4:$AJ$4,0)),NA(),IF(SUMPRODUCT((Inputs!$A$5:$A$190=$B22)*ISNUMBER(INDEX(Inputs!$K$5:$AJ$190,0,MATCH(Y$2,Inputs!$K$4:$AJ$4,0))))+SUMPRODUCT((Inputs!$C$5:$C$190=$B22)*ISNUMBER(INDEX(Inputs!$K$5:$AJ$190,0,MATCH(Y$2,Inputs!$K$4:$AJ$4,0))))+SUMPRODUCT((Inputs!$E$5:$E$190=$B22)*ISNUMBER(INDEX(Inputs!$K$5:$AJ$190,0,MATCH(Y$2,Inputs!$K$4:$AJ$4,0))))=0,NA(),SUMPRODUCT((Inputs!$A$5:$A$190=$B22)*Inputs!$B$5:$B$190*(((Inputs!$G$5:$G$190="moeda")+(Inputs!$G$5:$G$190="acoes"))*Inputs!$B$1+((Inputs!$G$5:$G$190&lt;&gt;"moeda")*(Inputs!$G$5:$G$190&lt;&gt;"acoes")))*INDEX(Inputs!$K$5:$AJ$190,0,MATCH(Y$2,Inputs!$K$4:$AJ$4,0)))+SUMPRODUCT((Inputs!$C$5:$C$190=$B22)*Inputs!$D$5:$D$190*(((Inputs!$G$5:$G$190="moeda")+(Inputs!$G$5:$G$190="acoes"))*Inputs!$B$1+((Inputs!$G$5:$G$190&lt;&gt;"moeda")*(Inputs!$G$5:$G$190&lt;&gt;"acoes")))*INDEX(Inputs!$K$5:$AJ$190,0,MATCH(Y$2,Inputs!$K$4:$AJ$4,0)))+SUMPRODUCT((Inputs!$E$5:$E$190=$B22)*Inputs!$F$5:$F$190*(((Inputs!$G$5:$G$190="moeda")+(Inputs!$G$5:$G$190="acoes"))*Inputs!$B$1+((Inputs!$G$5:$G$190&lt;&gt;"moeda")*(Inputs!$G$5:$G$190&lt;&gt;"acoes")))*INDEX(Inputs!$K$5:$AJ$190,0,MATCH(Y$2,Inputs!$K$4:$AJ$4,0)))))</f>
        <v>45294.24820465</v>
      </c>
      <c r="Z22" s="6">
        <f>IF(ISNA(MATCH(Z$2,Inputs!$K$4:$AJ$4,0)),NA(),IF(SUMPRODUCT((Inputs!$A$5:$A$190=$B22)*ISNUMBER(INDEX(Inputs!$K$5:$AJ$190,0,MATCH(Z$2,Inputs!$K$4:$AJ$4,0))))+SUMPRODUCT((Inputs!$C$5:$C$190=$B22)*ISNUMBER(INDEX(Inputs!$K$5:$AJ$190,0,MATCH(Z$2,Inputs!$K$4:$AJ$4,0))))+SUMPRODUCT((Inputs!$E$5:$E$190=$B22)*ISNUMBER(INDEX(Inputs!$K$5:$AJ$190,0,MATCH(Z$2,Inputs!$K$4:$AJ$4,0))))=0,NA(),SUMPRODUCT((Inputs!$A$5:$A$190=$B22)*Inputs!$B$5:$B$190*(((Inputs!$G$5:$G$190="moeda")+(Inputs!$G$5:$G$190="acoes"))*Inputs!$B$1+((Inputs!$G$5:$G$190&lt;&gt;"moeda")*(Inputs!$G$5:$G$190&lt;&gt;"acoes")))*INDEX(Inputs!$K$5:$AJ$190,0,MATCH(Z$2,Inputs!$K$4:$AJ$4,0)))+SUMPRODUCT((Inputs!$C$5:$C$190=$B22)*Inputs!$D$5:$D$190*(((Inputs!$G$5:$G$190="moeda")+(Inputs!$G$5:$G$190="acoes"))*Inputs!$B$1+((Inputs!$G$5:$G$190&lt;&gt;"moeda")*(Inputs!$G$5:$G$190&lt;&gt;"acoes")))*INDEX(Inputs!$K$5:$AJ$190,0,MATCH(Z$2,Inputs!$K$4:$AJ$4,0)))+SUMPRODUCT((Inputs!$E$5:$E$190=$B22)*Inputs!$F$5:$F$190*(((Inputs!$G$5:$G$190="moeda")+(Inputs!$G$5:$G$190="acoes"))*Inputs!$B$1+((Inputs!$G$5:$G$190&lt;&gt;"moeda")*(Inputs!$G$5:$G$190&lt;&gt;"acoes")))*INDEX(Inputs!$K$5:$AJ$190,0,MATCH(Z$2,Inputs!$K$4:$AJ$4,0)))))</f>
        <v>45456.94628539</v>
      </c>
      <c r="AA22" s="6">
        <f>IF(ISNA(MATCH(AA$2,Inputs!$K$4:$AJ$4,0)),NA(),IF(SUMPRODUCT((Inputs!$A$5:$A$190=$B22)*ISNUMBER(INDEX(Inputs!$K$5:$AJ$190,0,MATCH(AA$2,Inputs!$K$4:$AJ$4,0))))+SUMPRODUCT((Inputs!$C$5:$C$190=$B22)*ISNUMBER(INDEX(Inputs!$K$5:$AJ$190,0,MATCH(AA$2,Inputs!$K$4:$AJ$4,0))))+SUMPRODUCT((Inputs!$E$5:$E$190=$B22)*ISNUMBER(INDEX(Inputs!$K$5:$AJ$190,0,MATCH(AA$2,Inputs!$K$4:$AJ$4,0))))=0,NA(),SUMPRODUCT((Inputs!$A$5:$A$190=$B22)*Inputs!$B$5:$B$190*(((Inputs!$G$5:$G$190="moeda")+(Inputs!$G$5:$G$190="acoes"))*Inputs!$B$1+((Inputs!$G$5:$G$190&lt;&gt;"moeda")*(Inputs!$G$5:$G$190&lt;&gt;"acoes")))*INDEX(Inputs!$K$5:$AJ$190,0,MATCH(AA$2,Inputs!$K$4:$AJ$4,0)))+SUMPRODUCT((Inputs!$C$5:$C$190=$B22)*Inputs!$D$5:$D$190*(((Inputs!$G$5:$G$190="moeda")+(Inputs!$G$5:$G$190="acoes"))*Inputs!$B$1+((Inputs!$G$5:$G$190&lt;&gt;"moeda")*(Inputs!$G$5:$G$190&lt;&gt;"acoes")))*INDEX(Inputs!$K$5:$AJ$190,0,MATCH(AA$2,Inputs!$K$4:$AJ$4,0)))+SUMPRODUCT((Inputs!$E$5:$E$190=$B22)*Inputs!$F$5:$F$190*(((Inputs!$G$5:$G$190="moeda")+(Inputs!$G$5:$G$190="acoes"))*Inputs!$B$1+((Inputs!$G$5:$G$190&lt;&gt;"moeda")*(Inputs!$G$5:$G$190&lt;&gt;"acoes")))*INDEX(Inputs!$K$5:$AJ$190,0,MATCH(AA$2,Inputs!$K$4:$AJ$4,0)))))</f>
        <v>47862.56933573</v>
      </c>
      <c r="AB22" s="3">
        <f>AA22</f>
        <v>47862.56933573</v>
      </c>
      <c r="AC22" s="6">
        <f>IF(ISNA(MATCH(AC$2,Inputs!$K$4:$AJ$4,0)),NA(),IF(SUMPRODUCT((Inputs!$A$5:$A$190=$B22)*ISNUMBER(INDEX(Inputs!$K$5:$AJ$190,0,MATCH(AC$2,Inputs!$K$4:$AJ$4,0))))+SUMPRODUCT((Inputs!$C$5:$C$190=$B22)*ISNUMBER(INDEX(Inputs!$K$5:$AJ$190,0,MATCH(AC$2,Inputs!$K$4:$AJ$4,0))))+SUMPRODUCT((Inputs!$E$5:$E$190=$B22)*ISNUMBER(INDEX(Inputs!$K$5:$AJ$190,0,MATCH(AC$2,Inputs!$K$4:$AJ$4,0))))=0,NA(),SUMPRODUCT((Inputs!$A$5:$A$190=$B22)*Inputs!$B$5:$B$190*(((Inputs!$G$5:$G$190="moeda")+(Inputs!$G$5:$G$190="acoes"))*Inputs!$B$1+((Inputs!$G$5:$G$190&lt;&gt;"moeda")*(Inputs!$G$5:$G$190&lt;&gt;"acoes")))*INDEX(Inputs!$K$5:$AJ$190,0,MATCH(AC$2,Inputs!$K$4:$AJ$4,0)))+SUMPRODUCT((Inputs!$C$5:$C$190=$B22)*Inputs!$D$5:$D$190*(((Inputs!$G$5:$G$190="moeda")+(Inputs!$G$5:$G$190="acoes"))*Inputs!$B$1+((Inputs!$G$5:$G$190&lt;&gt;"moeda")*(Inputs!$G$5:$G$190&lt;&gt;"acoes")))*INDEX(Inputs!$K$5:$AJ$190,0,MATCH(AC$2,Inputs!$K$4:$AJ$4,0)))+SUMPRODUCT((Inputs!$E$5:$E$190=$B22)*Inputs!$F$5:$F$190*(((Inputs!$G$5:$G$190="moeda")+(Inputs!$G$5:$G$190="acoes"))*Inputs!$B$1+((Inputs!$G$5:$G$190&lt;&gt;"moeda")*(Inputs!$G$5:$G$190&lt;&gt;"acoes")))*INDEX(Inputs!$K$5:$AJ$190,0,MATCH(AC$2,Inputs!$K$4:$AJ$4,0)))))</f>
        <v>46426.00572838</v>
      </c>
      <c r="AD22" s="6">
        <f>IF(ISNA(MATCH(AD$2,Inputs!$K$4:$AJ$4,0)),NA(),IF(SUMPRODUCT((Inputs!$A$5:$A$190=$B22)*ISNUMBER(INDEX(Inputs!$K$5:$AJ$190,0,MATCH(AD$2,Inputs!$K$4:$AJ$4,0))))+SUMPRODUCT((Inputs!$C$5:$C$190=$B22)*ISNUMBER(INDEX(Inputs!$K$5:$AJ$190,0,MATCH(AD$2,Inputs!$K$4:$AJ$4,0))))+SUMPRODUCT((Inputs!$E$5:$E$190=$B22)*ISNUMBER(INDEX(Inputs!$K$5:$AJ$190,0,MATCH(AD$2,Inputs!$K$4:$AJ$4,0))))=0,NA(),SUMPRODUCT((Inputs!$A$5:$A$190=$B22)*Inputs!$B$5:$B$190*(((Inputs!$G$5:$G$190="moeda")+(Inputs!$G$5:$G$190="acoes"))*Inputs!$B$1+((Inputs!$G$5:$G$190&lt;&gt;"moeda")*(Inputs!$G$5:$G$190&lt;&gt;"acoes")))*INDEX(Inputs!$K$5:$AJ$190,0,MATCH(AD$2,Inputs!$K$4:$AJ$4,0)))+SUMPRODUCT((Inputs!$C$5:$C$190=$B22)*Inputs!$D$5:$D$190*(((Inputs!$G$5:$G$190="moeda")+(Inputs!$G$5:$G$190="acoes"))*Inputs!$B$1+((Inputs!$G$5:$G$190&lt;&gt;"moeda")*(Inputs!$G$5:$G$190&lt;&gt;"acoes")))*INDEX(Inputs!$K$5:$AJ$190,0,MATCH(AD$2,Inputs!$K$4:$AJ$4,0)))+SUMPRODUCT((Inputs!$E$5:$E$190=$B22)*Inputs!$F$5:$F$190*(((Inputs!$G$5:$G$190="moeda")+(Inputs!$G$5:$G$190="acoes"))*Inputs!$B$1+((Inputs!$G$5:$G$190&lt;&gt;"moeda")*(Inputs!$G$5:$G$190&lt;&gt;"acoes")))*INDEX(Inputs!$K$5:$AJ$190,0,MATCH(AD$2,Inputs!$K$4:$AJ$4,0)))))</f>
        <v>48115.27756408</v>
      </c>
      <c r="AE22" s="6" t="e">
        <f>IF(ISNA(MATCH(AE$2,Inputs!$K$4:$AJ$4,0)),NA(),IF(SUMPRODUCT((Inputs!$A$5:$A$190=$B22)*ISNUMBER(INDEX(Inputs!$K$5:$AJ$190,0,MATCH(AE$2,Inputs!$K$4:$AJ$4,0))))+SUMPRODUCT((Inputs!$C$5:$C$190=$B22)*ISNUMBER(INDEX(Inputs!$K$5:$AJ$190,0,MATCH(AE$2,Inputs!$K$4:$AJ$4,0))))+SUMPRODUCT((Inputs!$E$5:$E$190=$B22)*ISNUMBER(INDEX(Inputs!$K$5:$AJ$190,0,MATCH(AE$2,Inputs!$K$4:$AJ$4,0))))=0,NA(),SUMPRODUCT((Inputs!$A$5:$A$190=$B22)*Inputs!$B$5:$B$190*(((Inputs!$G$5:$G$190="moeda")+(Inputs!$G$5:$G$190="acoes"))*Inputs!$B$1+((Inputs!$G$5:$G$190&lt;&gt;"moeda")*(Inputs!$G$5:$G$190&lt;&gt;"acoes")))*INDEX(Inputs!$K$5:$AJ$190,0,MATCH(AE$2,Inputs!$K$4:$AJ$4,0)))+SUMPRODUCT((Inputs!$C$5:$C$190=$B22)*Inputs!$D$5:$D$190*(((Inputs!$G$5:$G$190="moeda")+(Inputs!$G$5:$G$190="acoes"))*Inputs!$B$1+((Inputs!$G$5:$G$190&lt;&gt;"moeda")*(Inputs!$G$5:$G$190&lt;&gt;"acoes")))*INDEX(Inputs!$K$5:$AJ$190,0,MATCH(AE$2,Inputs!$K$4:$AJ$4,0)))+SUMPRODUCT((Inputs!$E$5:$E$190=$B22)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22" s="6" t="e">
        <f>IF(ISNA(MATCH(AF$2,Inputs!$K$4:$AJ$4,0)),NA(),IF(SUMPRODUCT((Inputs!$A$5:$A$190=$B22)*ISNUMBER(INDEX(Inputs!$K$5:$AJ$190,0,MATCH(AF$2,Inputs!$K$4:$AJ$4,0))))+SUMPRODUCT((Inputs!$C$5:$C$190=$B22)*ISNUMBER(INDEX(Inputs!$K$5:$AJ$190,0,MATCH(AF$2,Inputs!$K$4:$AJ$4,0))))+SUMPRODUCT((Inputs!$E$5:$E$190=$B22)*ISNUMBER(INDEX(Inputs!$K$5:$AJ$190,0,MATCH(AF$2,Inputs!$K$4:$AJ$4,0))))=0,NA(),SUMPRODUCT((Inputs!$A$5:$A$190=$B22)*Inputs!$B$5:$B$190*(((Inputs!$G$5:$G$190="moeda")+(Inputs!$G$5:$G$190="acoes"))*Inputs!$B$1+((Inputs!$G$5:$G$190&lt;&gt;"moeda")*(Inputs!$G$5:$G$190&lt;&gt;"acoes")))*INDEX(Inputs!$K$5:$AJ$190,0,MATCH(AF$2,Inputs!$K$4:$AJ$4,0)))+SUMPRODUCT((Inputs!$C$5:$C$190=$B22)*Inputs!$D$5:$D$190*(((Inputs!$G$5:$G$190="moeda")+(Inputs!$G$5:$G$190="acoes"))*Inputs!$B$1+((Inputs!$G$5:$G$190&lt;&gt;"moeda")*(Inputs!$G$5:$G$190&lt;&gt;"acoes")))*INDEX(Inputs!$K$5:$AJ$190,0,MATCH(AF$2,Inputs!$K$4:$AJ$4,0)))+SUMPRODUCT((Inputs!$E$5:$E$190=$B22)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22" s="3" t="e">
        <f>AF22</f>
        <v>#N/A</v>
      </c>
      <c r="AH22" s="6">
        <f>IF(ISNA(MATCH(AH$2,Inputs!$K$4:$AJ$4,0)),NA(),IF(SUMPRODUCT((Inputs!$A$5:$A$190=$B22)*ISNUMBER(INDEX(Inputs!$K$5:$AJ$190,0,MATCH(AH$2,Inputs!$K$4:$AJ$4,0))))+SUMPRODUCT((Inputs!$C$5:$C$190=$B22)*ISNUMBER(INDEX(Inputs!$K$5:$AJ$190,0,MATCH(AH$2,Inputs!$K$4:$AJ$4,0))))+SUMPRODUCT((Inputs!$E$5:$E$190=$B22)*ISNUMBER(INDEX(Inputs!$K$5:$AJ$190,0,MATCH(AH$2,Inputs!$K$4:$AJ$4,0))))=0,NA(),SUMPRODUCT((Inputs!$A$5:$A$190=$B22)*Inputs!$B$5:$B$190*(((Inputs!$G$5:$G$190="moeda")+(Inputs!$G$5:$G$190="acoes"))*Inputs!$B$1+((Inputs!$G$5:$G$190&lt;&gt;"moeda")*(Inputs!$G$5:$G$190&lt;&gt;"acoes")))*INDEX(Inputs!$K$5:$AJ$190,0,MATCH(AH$2,Inputs!$K$4:$AJ$4,0)))+SUMPRODUCT((Inputs!$C$5:$C$190=$B22)*Inputs!$D$5:$D$190*(((Inputs!$G$5:$G$190="moeda")+(Inputs!$G$5:$G$190="acoes"))*Inputs!$B$1+((Inputs!$G$5:$G$190&lt;&gt;"moeda")*(Inputs!$G$5:$G$190&lt;&gt;"acoes")))*INDEX(Inputs!$K$5:$AJ$190,0,MATCH(AH$2,Inputs!$K$4:$AJ$4,0)))+SUMPRODUCT((Inputs!$E$5:$E$190=$B22)*Inputs!$F$5:$F$190*(((Inputs!$G$5:$G$190="moeda")+(Inputs!$G$5:$G$190="acoes"))*Inputs!$B$1+((Inputs!$G$5:$G$190&lt;&gt;"moeda")*(Inputs!$G$5:$G$190&lt;&gt;"acoes")))*INDEX(Inputs!$K$5:$AJ$190,0,MATCH(AH$2,Inputs!$K$4:$AJ$4,0)))))</f>
        <v>9877.70591238</v>
      </c>
      <c r="AI22" s="6">
        <f>IF(ISNA(MATCH(AI$2,Inputs!$K$4:$AJ$4,0)),NA(),IF(SUMPRODUCT((Inputs!$A$5:$A$190=$B22)*ISNUMBER(INDEX(Inputs!$K$5:$AJ$190,0,MATCH(AI$2,Inputs!$K$4:$AJ$4,0))))+SUMPRODUCT((Inputs!$C$5:$C$190=$B22)*ISNUMBER(INDEX(Inputs!$K$5:$AJ$190,0,MATCH(AI$2,Inputs!$K$4:$AJ$4,0))))+SUMPRODUCT((Inputs!$E$5:$E$190=$B22)*ISNUMBER(INDEX(Inputs!$K$5:$AJ$190,0,MATCH(AI$2,Inputs!$K$4:$AJ$4,0))))=0,NA(),SUMPRODUCT((Inputs!$A$5:$A$190=$B22)*Inputs!$B$5:$B$190*(((Inputs!$G$5:$G$190="moeda")+(Inputs!$G$5:$G$190="acoes"))*Inputs!$B$1+((Inputs!$G$5:$G$190&lt;&gt;"moeda")*(Inputs!$G$5:$G$190&lt;&gt;"acoes")))*INDEX(Inputs!$K$5:$AJ$190,0,MATCH(AI$2,Inputs!$K$4:$AJ$4,0)))+SUMPRODUCT((Inputs!$C$5:$C$190=$B22)*Inputs!$D$5:$D$190*(((Inputs!$G$5:$G$190="moeda")+(Inputs!$G$5:$G$190="acoes"))*Inputs!$B$1+((Inputs!$G$5:$G$190&lt;&gt;"moeda")*(Inputs!$G$5:$G$190&lt;&gt;"acoes")))*INDEX(Inputs!$K$5:$AJ$190,0,MATCH(AI$2,Inputs!$K$4:$AJ$4,0)))+SUMPRODUCT((Inputs!$E$5:$E$190=$B22)*Inputs!$F$5:$F$190*(((Inputs!$G$5:$G$190="moeda")+(Inputs!$G$5:$G$190="acoes"))*Inputs!$B$1+((Inputs!$G$5:$G$190&lt;&gt;"moeda")*(Inputs!$G$5:$G$190&lt;&gt;"acoes")))*INDEX(Inputs!$K$5:$AJ$190,0,MATCH(AI$2,Inputs!$K$4:$AJ$4,0)))))</f>
        <v>9399.24950746</v>
      </c>
      <c r="AJ22" s="6">
        <f>IF(ISNA(MATCH(AJ$2,Inputs!$K$4:$AJ$4,0)),NA(),IF(SUMPRODUCT((Inputs!$A$5:$A$190=$B22)*ISNUMBER(INDEX(Inputs!$K$5:$AJ$190,0,MATCH(AJ$2,Inputs!$K$4:$AJ$4,0))))+SUMPRODUCT((Inputs!$C$5:$C$190=$B22)*ISNUMBER(INDEX(Inputs!$K$5:$AJ$190,0,MATCH(AJ$2,Inputs!$K$4:$AJ$4,0))))+SUMPRODUCT((Inputs!$E$5:$E$190=$B22)*ISNUMBER(INDEX(Inputs!$K$5:$AJ$190,0,MATCH(AJ$2,Inputs!$K$4:$AJ$4,0))))=0,NA(),SUMPRODUCT((Inputs!$A$5:$A$190=$B22)*Inputs!$B$5:$B$190*(((Inputs!$G$5:$G$190="moeda")+(Inputs!$G$5:$G$190="acoes"))*Inputs!$B$1+((Inputs!$G$5:$G$190&lt;&gt;"moeda")*(Inputs!$G$5:$G$190&lt;&gt;"acoes")))*INDEX(Inputs!$K$5:$AJ$190,0,MATCH(AJ$2,Inputs!$K$4:$AJ$4,0)))+SUMPRODUCT((Inputs!$C$5:$C$190=$B22)*Inputs!$D$5:$D$190*(((Inputs!$G$5:$G$190="moeda")+(Inputs!$G$5:$G$190="acoes"))*Inputs!$B$1+((Inputs!$G$5:$G$190&lt;&gt;"moeda")*(Inputs!$G$5:$G$190&lt;&gt;"acoes")))*INDEX(Inputs!$K$5:$AJ$190,0,MATCH(AJ$2,Inputs!$K$4:$AJ$4,0)))+SUMPRODUCT((Inputs!$E$5:$E$190=$B22)*Inputs!$F$5:$F$190*(((Inputs!$G$5:$G$190="moeda")+(Inputs!$G$5:$G$190="acoes"))*Inputs!$B$1+((Inputs!$G$5:$G$190&lt;&gt;"moeda")*(Inputs!$G$5:$G$190&lt;&gt;"acoes")))*INDEX(Inputs!$K$5:$AJ$190,0,MATCH(AJ$2,Inputs!$K$4:$AJ$4,0)))))</f>
        <v>10164.08170551</v>
      </c>
      <c r="AK22" s="6">
        <f>IF(ISNA(MATCH(AK$2,Inputs!$K$4:$AJ$4,0)),NA(),IF(SUMPRODUCT((Inputs!$A$5:$A$190=$B22)*ISNUMBER(INDEX(Inputs!$K$5:$AJ$190,0,MATCH(AK$2,Inputs!$K$4:$AJ$4,0))))+SUMPRODUCT((Inputs!$C$5:$C$190=$B22)*ISNUMBER(INDEX(Inputs!$K$5:$AJ$190,0,MATCH(AK$2,Inputs!$K$4:$AJ$4,0))))+SUMPRODUCT((Inputs!$E$5:$E$190=$B22)*ISNUMBER(INDEX(Inputs!$K$5:$AJ$190,0,MATCH(AK$2,Inputs!$K$4:$AJ$4,0))))=0,NA(),SUMPRODUCT((Inputs!$A$5:$A$190=$B22)*Inputs!$B$5:$B$190*(((Inputs!$G$5:$G$190="moeda")+(Inputs!$G$5:$G$190="acoes"))*Inputs!$B$1+((Inputs!$G$5:$G$190&lt;&gt;"moeda")*(Inputs!$G$5:$G$190&lt;&gt;"acoes")))*INDEX(Inputs!$K$5:$AJ$190,0,MATCH(AK$2,Inputs!$K$4:$AJ$4,0)))+SUMPRODUCT((Inputs!$C$5:$C$190=$B22)*Inputs!$D$5:$D$190*(((Inputs!$G$5:$G$190="moeda")+(Inputs!$G$5:$G$190="acoes"))*Inputs!$B$1+((Inputs!$G$5:$G$190&lt;&gt;"moeda")*(Inputs!$G$5:$G$190&lt;&gt;"acoes")))*INDEX(Inputs!$K$5:$AJ$190,0,MATCH(AK$2,Inputs!$K$4:$AJ$4,0)))+SUMPRODUCT((Inputs!$E$5:$E$190=$B22)*Inputs!$F$5:$F$190*(((Inputs!$G$5:$G$190="moeda")+(Inputs!$G$5:$G$190="acoes"))*Inputs!$B$1+((Inputs!$G$5:$G$190&lt;&gt;"moeda")*(Inputs!$G$5:$G$190&lt;&gt;"acoes")))*INDEX(Inputs!$K$5:$AJ$190,0,MATCH(AK$2,Inputs!$K$4:$AJ$4,0)))))</f>
        <v>11747.476</v>
      </c>
      <c r="AL22" s="3">
        <f>AK22</f>
        <v>11747.476</v>
      </c>
    </row>
    <row r="23">
      <c r="B23" s="46" t="n">
        <v>19</v>
      </c>
      <c r="C23" s="26" t="inlineStr">
        <is>
          <t>Right-of-use-assets</t>
        </is>
      </c>
      <c r="D23" s="6" t="e">
        <f>IF(ISNA(MATCH(D$2,Inputs!$K$4:$AJ$4,0)),NA(),IF(SUMPRODUCT((Inputs!$A$5:$A$190=$B23)*ISNUMBER(INDEX(Inputs!$K$5:$AJ$190,0,MATCH(D$2,Inputs!$K$4:$AJ$4,0))))+SUMPRODUCT((Inputs!$C$5:$C$190=$B23)*ISNUMBER(INDEX(Inputs!$K$5:$AJ$190,0,MATCH(D$2,Inputs!$K$4:$AJ$4,0))))+SUMPRODUCT((Inputs!$E$5:$E$190=$B23)*ISNUMBER(INDEX(Inputs!$K$5:$AJ$190,0,MATCH(D$2,Inputs!$K$4:$AJ$4,0))))=0,NA(),SUMPRODUCT((Inputs!$A$5:$A$190=$B23)*Inputs!$B$5:$B$190*(((Inputs!$G$5:$G$190="moeda")+(Inputs!$G$5:$G$190="acoes"))*Inputs!$B$1+((Inputs!$G$5:$G$190&lt;&gt;"moeda")*(Inputs!$G$5:$G$190&lt;&gt;"acoes")))*INDEX(Inputs!$K$5:$AJ$190,0,MATCH(D$2,Inputs!$K$4:$AJ$4,0)))+SUMPRODUCT((Inputs!$C$5:$C$190=$B23)*Inputs!$D$5:$D$190*(((Inputs!$G$5:$G$190="moeda")+(Inputs!$G$5:$G$190="acoes"))*Inputs!$B$1+((Inputs!$G$5:$G$190&lt;&gt;"moeda")*(Inputs!$G$5:$G$190&lt;&gt;"acoes")))*INDEX(Inputs!$K$5:$AJ$190,0,MATCH(D$2,Inputs!$K$4:$AJ$4,0)))+SUMPRODUCT((Inputs!$E$5:$E$190=$B23)*Inputs!$F$5:$F$190*(((Inputs!$G$5:$G$190="moeda")+(Inputs!$G$5:$G$190="acoes"))*Inputs!$B$1+((Inputs!$G$5:$G$190&lt;&gt;"moeda")*(Inputs!$G$5:$G$190&lt;&gt;"acoes")))*INDEX(Inputs!$K$5:$AJ$190,0,MATCH(D$2,Inputs!$K$4:$AJ$4,0)))))</f>
        <v>#N/A</v>
      </c>
      <c r="E23" s="6" t="e">
        <f>IF(ISNA(MATCH(E$2,Inputs!$K$4:$AJ$4,0)),NA(),IF(SUMPRODUCT((Inputs!$A$5:$A$190=$B23)*ISNUMBER(INDEX(Inputs!$K$5:$AJ$190,0,MATCH(E$2,Inputs!$K$4:$AJ$4,0))))+SUMPRODUCT((Inputs!$C$5:$C$190=$B23)*ISNUMBER(INDEX(Inputs!$K$5:$AJ$190,0,MATCH(E$2,Inputs!$K$4:$AJ$4,0))))+SUMPRODUCT((Inputs!$E$5:$E$190=$B23)*ISNUMBER(INDEX(Inputs!$K$5:$AJ$190,0,MATCH(E$2,Inputs!$K$4:$AJ$4,0))))=0,NA(),SUMPRODUCT((Inputs!$A$5:$A$190=$B23)*Inputs!$B$5:$B$190*(((Inputs!$G$5:$G$190="moeda")+(Inputs!$G$5:$G$190="acoes"))*Inputs!$B$1+((Inputs!$G$5:$G$190&lt;&gt;"moeda")*(Inputs!$G$5:$G$190&lt;&gt;"acoes")))*INDEX(Inputs!$K$5:$AJ$190,0,MATCH(E$2,Inputs!$K$4:$AJ$4,0)))+SUMPRODUCT((Inputs!$C$5:$C$190=$B23)*Inputs!$D$5:$D$190*(((Inputs!$G$5:$G$190="moeda")+(Inputs!$G$5:$G$190="acoes"))*Inputs!$B$1+((Inputs!$G$5:$G$190&lt;&gt;"moeda")*(Inputs!$G$5:$G$190&lt;&gt;"acoes")))*INDEX(Inputs!$K$5:$AJ$190,0,MATCH(E$2,Inputs!$K$4:$AJ$4,0)))+SUMPRODUCT((Inputs!$E$5:$E$190=$B23)*Inputs!$F$5:$F$190*(((Inputs!$G$5:$G$190="moeda")+(Inputs!$G$5:$G$190="acoes"))*Inputs!$B$1+((Inputs!$G$5:$G$190&lt;&gt;"moeda")*(Inputs!$G$5:$G$190&lt;&gt;"acoes")))*INDEX(Inputs!$K$5:$AJ$190,0,MATCH(E$2,Inputs!$K$4:$AJ$4,0)))))</f>
        <v>#N/A</v>
      </c>
      <c r="F23" s="6" t="e">
        <f>IF(ISNA(MATCH(F$2,Inputs!$K$4:$AJ$4,0)),NA(),IF(SUMPRODUCT((Inputs!$A$5:$A$190=$B23)*ISNUMBER(INDEX(Inputs!$K$5:$AJ$190,0,MATCH(F$2,Inputs!$K$4:$AJ$4,0))))+SUMPRODUCT((Inputs!$C$5:$C$190=$B23)*ISNUMBER(INDEX(Inputs!$K$5:$AJ$190,0,MATCH(F$2,Inputs!$K$4:$AJ$4,0))))+SUMPRODUCT((Inputs!$E$5:$E$190=$B23)*ISNUMBER(INDEX(Inputs!$K$5:$AJ$190,0,MATCH(F$2,Inputs!$K$4:$AJ$4,0))))=0,NA(),SUMPRODUCT((Inputs!$A$5:$A$190=$B23)*Inputs!$B$5:$B$190*(((Inputs!$G$5:$G$190="moeda")+(Inputs!$G$5:$G$190="acoes"))*Inputs!$B$1+((Inputs!$G$5:$G$190&lt;&gt;"moeda")*(Inputs!$G$5:$G$190&lt;&gt;"acoes")))*INDEX(Inputs!$K$5:$AJ$190,0,MATCH(F$2,Inputs!$K$4:$AJ$4,0)))+SUMPRODUCT((Inputs!$C$5:$C$190=$B23)*Inputs!$D$5:$D$190*(((Inputs!$G$5:$G$190="moeda")+(Inputs!$G$5:$G$190="acoes"))*Inputs!$B$1+((Inputs!$G$5:$G$190&lt;&gt;"moeda")*(Inputs!$G$5:$G$190&lt;&gt;"acoes")))*INDEX(Inputs!$K$5:$AJ$190,0,MATCH(F$2,Inputs!$K$4:$AJ$4,0)))+SUMPRODUCT((Inputs!$E$5:$E$190=$B23)*Inputs!$F$5:$F$190*(((Inputs!$G$5:$G$190="moeda")+(Inputs!$G$5:$G$190="acoes"))*Inputs!$B$1+((Inputs!$G$5:$G$190&lt;&gt;"moeda")*(Inputs!$G$5:$G$190&lt;&gt;"acoes")))*INDEX(Inputs!$K$5:$AJ$190,0,MATCH(F$2,Inputs!$K$4:$AJ$4,0)))))</f>
        <v>#N/A</v>
      </c>
      <c r="G23" s="6" t="e">
        <f>IF(ISNA(MATCH(G$2,Inputs!$K$4:$AJ$4,0)),NA(),IF(SUMPRODUCT((Inputs!$A$5:$A$190=$B23)*ISNUMBER(INDEX(Inputs!$K$5:$AJ$190,0,MATCH(G$2,Inputs!$K$4:$AJ$4,0))))+SUMPRODUCT((Inputs!$C$5:$C$190=$B23)*ISNUMBER(INDEX(Inputs!$K$5:$AJ$190,0,MATCH(G$2,Inputs!$K$4:$AJ$4,0))))+SUMPRODUCT((Inputs!$E$5:$E$190=$B23)*ISNUMBER(INDEX(Inputs!$K$5:$AJ$190,0,MATCH(G$2,Inputs!$K$4:$AJ$4,0))))=0,NA(),SUMPRODUCT((Inputs!$A$5:$A$190=$B23)*Inputs!$B$5:$B$190*(((Inputs!$G$5:$G$190="moeda")+(Inputs!$G$5:$G$190="acoes"))*Inputs!$B$1+((Inputs!$G$5:$G$190&lt;&gt;"moeda")*(Inputs!$G$5:$G$190&lt;&gt;"acoes")))*INDEX(Inputs!$K$5:$AJ$190,0,MATCH(G$2,Inputs!$K$4:$AJ$4,0)))+SUMPRODUCT((Inputs!$C$5:$C$190=$B23)*Inputs!$D$5:$D$190*(((Inputs!$G$5:$G$190="moeda")+(Inputs!$G$5:$G$190="acoes"))*Inputs!$B$1+((Inputs!$G$5:$G$190&lt;&gt;"moeda")*(Inputs!$G$5:$G$190&lt;&gt;"acoes")))*INDEX(Inputs!$K$5:$AJ$190,0,MATCH(G$2,Inputs!$K$4:$AJ$4,0)))+SUMPRODUCT((Inputs!$E$5:$E$190=$B23)*Inputs!$F$5:$F$190*(((Inputs!$G$5:$G$190="moeda")+(Inputs!$G$5:$G$190="acoes"))*Inputs!$B$1+((Inputs!$G$5:$G$190&lt;&gt;"moeda")*(Inputs!$G$5:$G$190&lt;&gt;"acoes")))*INDEX(Inputs!$K$5:$AJ$190,0,MATCH(G$2,Inputs!$K$4:$AJ$4,0)))))</f>
        <v>#N/A</v>
      </c>
      <c r="H23" s="3" t="e">
        <f>G23</f>
        <v>#N/A</v>
      </c>
      <c r="I23" s="6" t="e">
        <f>IF(ISNA(MATCH(I$2,Inputs!$K$4:$AJ$4,0)),NA(),IF(SUMPRODUCT((Inputs!$A$5:$A$190=$B23)*ISNUMBER(INDEX(Inputs!$K$5:$AJ$190,0,MATCH(I$2,Inputs!$K$4:$AJ$4,0))))+SUMPRODUCT((Inputs!$C$5:$C$190=$B23)*ISNUMBER(INDEX(Inputs!$K$5:$AJ$190,0,MATCH(I$2,Inputs!$K$4:$AJ$4,0))))+SUMPRODUCT((Inputs!$E$5:$E$190=$B23)*ISNUMBER(INDEX(Inputs!$K$5:$AJ$190,0,MATCH(I$2,Inputs!$K$4:$AJ$4,0))))=0,NA(),SUMPRODUCT((Inputs!$A$5:$A$190=$B23)*Inputs!$B$5:$B$190*(((Inputs!$G$5:$G$190="moeda")+(Inputs!$G$5:$G$190="acoes"))*Inputs!$B$1+((Inputs!$G$5:$G$190&lt;&gt;"moeda")*(Inputs!$G$5:$G$190&lt;&gt;"acoes")))*INDEX(Inputs!$K$5:$AJ$190,0,MATCH(I$2,Inputs!$K$4:$AJ$4,0)))+SUMPRODUCT((Inputs!$C$5:$C$190=$B23)*Inputs!$D$5:$D$190*(((Inputs!$G$5:$G$190="moeda")+(Inputs!$G$5:$G$190="acoes"))*Inputs!$B$1+((Inputs!$G$5:$G$190&lt;&gt;"moeda")*(Inputs!$G$5:$G$190&lt;&gt;"acoes")))*INDEX(Inputs!$K$5:$AJ$190,0,MATCH(I$2,Inputs!$K$4:$AJ$4,0)))+SUMPRODUCT((Inputs!$E$5:$E$190=$B23)*Inputs!$F$5:$F$190*(((Inputs!$G$5:$G$190="moeda")+(Inputs!$G$5:$G$190="acoes"))*Inputs!$B$1+((Inputs!$G$5:$G$190&lt;&gt;"moeda")*(Inputs!$G$5:$G$190&lt;&gt;"acoes")))*INDEX(Inputs!$K$5:$AJ$190,0,MATCH(I$2,Inputs!$K$4:$AJ$4,0)))))</f>
        <v>#N/A</v>
      </c>
      <c r="J23" s="6" t="e">
        <f>IF(ISNA(MATCH(J$2,Inputs!$K$4:$AJ$4,0)),NA(),IF(SUMPRODUCT((Inputs!$A$5:$A$190=$B23)*ISNUMBER(INDEX(Inputs!$K$5:$AJ$190,0,MATCH(J$2,Inputs!$K$4:$AJ$4,0))))+SUMPRODUCT((Inputs!$C$5:$C$190=$B23)*ISNUMBER(INDEX(Inputs!$K$5:$AJ$190,0,MATCH(J$2,Inputs!$K$4:$AJ$4,0))))+SUMPRODUCT((Inputs!$E$5:$E$190=$B23)*ISNUMBER(INDEX(Inputs!$K$5:$AJ$190,0,MATCH(J$2,Inputs!$K$4:$AJ$4,0))))=0,NA(),SUMPRODUCT((Inputs!$A$5:$A$190=$B23)*Inputs!$B$5:$B$190*(((Inputs!$G$5:$G$190="moeda")+(Inputs!$G$5:$G$190="acoes"))*Inputs!$B$1+((Inputs!$G$5:$G$190&lt;&gt;"moeda")*(Inputs!$G$5:$G$190&lt;&gt;"acoes")))*INDEX(Inputs!$K$5:$AJ$190,0,MATCH(J$2,Inputs!$K$4:$AJ$4,0)))+SUMPRODUCT((Inputs!$C$5:$C$190=$B23)*Inputs!$D$5:$D$190*(((Inputs!$G$5:$G$190="moeda")+(Inputs!$G$5:$G$190="acoes"))*Inputs!$B$1+((Inputs!$G$5:$G$190&lt;&gt;"moeda")*(Inputs!$G$5:$G$190&lt;&gt;"acoes")))*INDEX(Inputs!$K$5:$AJ$190,0,MATCH(J$2,Inputs!$K$4:$AJ$4,0)))+SUMPRODUCT((Inputs!$E$5:$E$190=$B23)*Inputs!$F$5:$F$190*(((Inputs!$G$5:$G$190="moeda")+(Inputs!$G$5:$G$190="acoes"))*Inputs!$B$1+((Inputs!$G$5:$G$190&lt;&gt;"moeda")*(Inputs!$G$5:$G$190&lt;&gt;"acoes")))*INDEX(Inputs!$K$5:$AJ$190,0,MATCH(J$2,Inputs!$K$4:$AJ$4,0)))))</f>
        <v>#N/A</v>
      </c>
      <c r="K23" s="6" t="e">
        <f>IF(ISNA(MATCH(K$2,Inputs!$K$4:$AJ$4,0)),NA(),IF(SUMPRODUCT((Inputs!$A$5:$A$190=$B23)*ISNUMBER(INDEX(Inputs!$K$5:$AJ$190,0,MATCH(K$2,Inputs!$K$4:$AJ$4,0))))+SUMPRODUCT((Inputs!$C$5:$C$190=$B23)*ISNUMBER(INDEX(Inputs!$K$5:$AJ$190,0,MATCH(K$2,Inputs!$K$4:$AJ$4,0))))+SUMPRODUCT((Inputs!$E$5:$E$190=$B23)*ISNUMBER(INDEX(Inputs!$K$5:$AJ$190,0,MATCH(K$2,Inputs!$K$4:$AJ$4,0))))=0,NA(),SUMPRODUCT((Inputs!$A$5:$A$190=$B23)*Inputs!$B$5:$B$190*(((Inputs!$G$5:$G$190="moeda")+(Inputs!$G$5:$G$190="acoes"))*Inputs!$B$1+((Inputs!$G$5:$G$190&lt;&gt;"moeda")*(Inputs!$G$5:$G$190&lt;&gt;"acoes")))*INDEX(Inputs!$K$5:$AJ$190,0,MATCH(K$2,Inputs!$K$4:$AJ$4,0)))+SUMPRODUCT((Inputs!$C$5:$C$190=$B23)*Inputs!$D$5:$D$190*(((Inputs!$G$5:$G$190="moeda")+(Inputs!$G$5:$G$190="acoes"))*Inputs!$B$1+((Inputs!$G$5:$G$190&lt;&gt;"moeda")*(Inputs!$G$5:$G$190&lt;&gt;"acoes")))*INDEX(Inputs!$K$5:$AJ$190,0,MATCH(K$2,Inputs!$K$4:$AJ$4,0)))+SUMPRODUCT((Inputs!$E$5:$E$190=$B23)*Inputs!$F$5:$F$190*(((Inputs!$G$5:$G$190="moeda")+(Inputs!$G$5:$G$190="acoes"))*Inputs!$B$1+((Inputs!$G$5:$G$190&lt;&gt;"moeda")*(Inputs!$G$5:$G$190&lt;&gt;"acoes")))*INDEX(Inputs!$K$5:$AJ$190,0,MATCH(K$2,Inputs!$K$4:$AJ$4,0)))))</f>
        <v>#N/A</v>
      </c>
      <c r="L23" s="6" t="e">
        <f>IF(ISNA(MATCH(L$2,Inputs!$K$4:$AJ$4,0)),NA(),IF(SUMPRODUCT((Inputs!$A$5:$A$190=$B23)*ISNUMBER(INDEX(Inputs!$K$5:$AJ$190,0,MATCH(L$2,Inputs!$K$4:$AJ$4,0))))+SUMPRODUCT((Inputs!$C$5:$C$190=$B23)*ISNUMBER(INDEX(Inputs!$K$5:$AJ$190,0,MATCH(L$2,Inputs!$K$4:$AJ$4,0))))+SUMPRODUCT((Inputs!$E$5:$E$190=$B23)*ISNUMBER(INDEX(Inputs!$K$5:$AJ$190,0,MATCH(L$2,Inputs!$K$4:$AJ$4,0))))=0,NA(),SUMPRODUCT((Inputs!$A$5:$A$190=$B23)*Inputs!$B$5:$B$190*(((Inputs!$G$5:$G$190="moeda")+(Inputs!$G$5:$G$190="acoes"))*Inputs!$B$1+((Inputs!$G$5:$G$190&lt;&gt;"moeda")*(Inputs!$G$5:$G$190&lt;&gt;"acoes")))*INDEX(Inputs!$K$5:$AJ$190,0,MATCH(L$2,Inputs!$K$4:$AJ$4,0)))+SUMPRODUCT((Inputs!$C$5:$C$190=$B23)*Inputs!$D$5:$D$190*(((Inputs!$G$5:$G$190="moeda")+(Inputs!$G$5:$G$190="acoes"))*Inputs!$B$1+((Inputs!$G$5:$G$190&lt;&gt;"moeda")*(Inputs!$G$5:$G$190&lt;&gt;"acoes")))*INDEX(Inputs!$K$5:$AJ$190,0,MATCH(L$2,Inputs!$K$4:$AJ$4,0)))+SUMPRODUCT((Inputs!$E$5:$E$190=$B23)*Inputs!$F$5:$F$190*(((Inputs!$G$5:$G$190="moeda")+(Inputs!$G$5:$G$190="acoes"))*Inputs!$B$1+((Inputs!$G$5:$G$190&lt;&gt;"moeda")*(Inputs!$G$5:$G$190&lt;&gt;"acoes")))*INDEX(Inputs!$K$5:$AJ$190,0,MATCH(L$2,Inputs!$K$4:$AJ$4,0)))))</f>
        <v>#N/A</v>
      </c>
      <c r="M23" s="3" t="e">
        <f>L23</f>
        <v>#N/A</v>
      </c>
      <c r="N23" s="6" t="e">
        <f>IF(ISNA(MATCH(N$2,Inputs!$K$4:$AJ$4,0)),NA(),IF(SUMPRODUCT((Inputs!$A$5:$A$190=$B23)*ISNUMBER(INDEX(Inputs!$K$5:$AJ$190,0,MATCH(N$2,Inputs!$K$4:$AJ$4,0))))+SUMPRODUCT((Inputs!$C$5:$C$190=$B23)*ISNUMBER(INDEX(Inputs!$K$5:$AJ$190,0,MATCH(N$2,Inputs!$K$4:$AJ$4,0))))+SUMPRODUCT((Inputs!$E$5:$E$190=$B23)*ISNUMBER(INDEX(Inputs!$K$5:$AJ$190,0,MATCH(N$2,Inputs!$K$4:$AJ$4,0))))=0,NA(),SUMPRODUCT((Inputs!$A$5:$A$190=$B23)*Inputs!$B$5:$B$190*(((Inputs!$G$5:$G$190="moeda")+(Inputs!$G$5:$G$190="acoes"))*Inputs!$B$1+((Inputs!$G$5:$G$190&lt;&gt;"moeda")*(Inputs!$G$5:$G$190&lt;&gt;"acoes")))*INDEX(Inputs!$K$5:$AJ$190,0,MATCH(N$2,Inputs!$K$4:$AJ$4,0)))+SUMPRODUCT((Inputs!$C$5:$C$190=$B23)*Inputs!$D$5:$D$190*(((Inputs!$G$5:$G$190="moeda")+(Inputs!$G$5:$G$190="acoes"))*Inputs!$B$1+((Inputs!$G$5:$G$190&lt;&gt;"moeda")*(Inputs!$G$5:$G$190&lt;&gt;"acoes")))*INDEX(Inputs!$K$5:$AJ$190,0,MATCH(N$2,Inputs!$K$4:$AJ$4,0)))+SUMPRODUCT((Inputs!$E$5:$E$190=$B23)*Inputs!$F$5:$F$190*(((Inputs!$G$5:$G$190="moeda")+(Inputs!$G$5:$G$190="acoes"))*Inputs!$B$1+((Inputs!$G$5:$G$190&lt;&gt;"moeda")*(Inputs!$G$5:$G$190&lt;&gt;"acoes")))*INDEX(Inputs!$K$5:$AJ$190,0,MATCH(N$2,Inputs!$K$4:$AJ$4,0)))))</f>
        <v>#N/A</v>
      </c>
      <c r="O23" s="6" t="e">
        <f>IF(ISNA(MATCH(O$2,Inputs!$K$4:$AJ$4,0)),NA(),IF(SUMPRODUCT((Inputs!$A$5:$A$190=$B23)*ISNUMBER(INDEX(Inputs!$K$5:$AJ$190,0,MATCH(O$2,Inputs!$K$4:$AJ$4,0))))+SUMPRODUCT((Inputs!$C$5:$C$190=$B23)*ISNUMBER(INDEX(Inputs!$K$5:$AJ$190,0,MATCH(O$2,Inputs!$K$4:$AJ$4,0))))+SUMPRODUCT((Inputs!$E$5:$E$190=$B23)*ISNUMBER(INDEX(Inputs!$K$5:$AJ$190,0,MATCH(O$2,Inputs!$K$4:$AJ$4,0))))=0,NA(),SUMPRODUCT((Inputs!$A$5:$A$190=$B23)*Inputs!$B$5:$B$190*(((Inputs!$G$5:$G$190="moeda")+(Inputs!$G$5:$G$190="acoes"))*Inputs!$B$1+((Inputs!$G$5:$G$190&lt;&gt;"moeda")*(Inputs!$G$5:$G$190&lt;&gt;"acoes")))*INDEX(Inputs!$K$5:$AJ$190,0,MATCH(O$2,Inputs!$K$4:$AJ$4,0)))+SUMPRODUCT((Inputs!$C$5:$C$190=$B23)*Inputs!$D$5:$D$190*(((Inputs!$G$5:$G$190="moeda")+(Inputs!$G$5:$G$190="acoes"))*Inputs!$B$1+((Inputs!$G$5:$G$190&lt;&gt;"moeda")*(Inputs!$G$5:$G$190&lt;&gt;"acoes")))*INDEX(Inputs!$K$5:$AJ$190,0,MATCH(O$2,Inputs!$K$4:$AJ$4,0)))+SUMPRODUCT((Inputs!$E$5:$E$190=$B23)*Inputs!$F$5:$F$190*(((Inputs!$G$5:$G$190="moeda")+(Inputs!$G$5:$G$190="acoes"))*Inputs!$B$1+((Inputs!$G$5:$G$190&lt;&gt;"moeda")*(Inputs!$G$5:$G$190&lt;&gt;"acoes")))*INDEX(Inputs!$K$5:$AJ$190,0,MATCH(O$2,Inputs!$K$4:$AJ$4,0)))))</f>
        <v>#N/A</v>
      </c>
      <c r="P23" s="6" t="e">
        <f>IF(ISNA(MATCH(P$2,Inputs!$K$4:$AJ$4,0)),NA(),IF(SUMPRODUCT((Inputs!$A$5:$A$190=$B23)*ISNUMBER(INDEX(Inputs!$K$5:$AJ$190,0,MATCH(P$2,Inputs!$K$4:$AJ$4,0))))+SUMPRODUCT((Inputs!$C$5:$C$190=$B23)*ISNUMBER(INDEX(Inputs!$K$5:$AJ$190,0,MATCH(P$2,Inputs!$K$4:$AJ$4,0))))+SUMPRODUCT((Inputs!$E$5:$E$190=$B23)*ISNUMBER(INDEX(Inputs!$K$5:$AJ$190,0,MATCH(P$2,Inputs!$K$4:$AJ$4,0))))=0,NA(),SUMPRODUCT((Inputs!$A$5:$A$190=$B23)*Inputs!$B$5:$B$190*(((Inputs!$G$5:$G$190="moeda")+(Inputs!$G$5:$G$190="acoes"))*Inputs!$B$1+((Inputs!$G$5:$G$190&lt;&gt;"moeda")*(Inputs!$G$5:$G$190&lt;&gt;"acoes")))*INDEX(Inputs!$K$5:$AJ$190,0,MATCH(P$2,Inputs!$K$4:$AJ$4,0)))+SUMPRODUCT((Inputs!$C$5:$C$190=$B23)*Inputs!$D$5:$D$190*(((Inputs!$G$5:$G$190="moeda")+(Inputs!$G$5:$G$190="acoes"))*Inputs!$B$1+((Inputs!$G$5:$G$190&lt;&gt;"moeda")*(Inputs!$G$5:$G$190&lt;&gt;"acoes")))*INDEX(Inputs!$K$5:$AJ$190,0,MATCH(P$2,Inputs!$K$4:$AJ$4,0)))+SUMPRODUCT((Inputs!$E$5:$E$190=$B23)*Inputs!$F$5:$F$190*(((Inputs!$G$5:$G$190="moeda")+(Inputs!$G$5:$G$190="acoes"))*Inputs!$B$1+((Inputs!$G$5:$G$190&lt;&gt;"moeda")*(Inputs!$G$5:$G$190&lt;&gt;"acoes")))*INDEX(Inputs!$K$5:$AJ$190,0,MATCH(P$2,Inputs!$K$4:$AJ$4,0)))))</f>
        <v>#N/A</v>
      </c>
      <c r="Q23" s="6" t="e">
        <f>IF(ISNA(MATCH(Q$2,Inputs!$K$4:$AJ$4,0)),NA(),IF(SUMPRODUCT((Inputs!$A$5:$A$190=$B23)*ISNUMBER(INDEX(Inputs!$K$5:$AJ$190,0,MATCH(Q$2,Inputs!$K$4:$AJ$4,0))))+SUMPRODUCT((Inputs!$C$5:$C$190=$B23)*ISNUMBER(INDEX(Inputs!$K$5:$AJ$190,0,MATCH(Q$2,Inputs!$K$4:$AJ$4,0))))+SUMPRODUCT((Inputs!$E$5:$E$190=$B23)*ISNUMBER(INDEX(Inputs!$K$5:$AJ$190,0,MATCH(Q$2,Inputs!$K$4:$AJ$4,0))))=0,NA(),SUMPRODUCT((Inputs!$A$5:$A$190=$B23)*Inputs!$B$5:$B$190*(((Inputs!$G$5:$G$190="moeda")+(Inputs!$G$5:$G$190="acoes"))*Inputs!$B$1+((Inputs!$G$5:$G$190&lt;&gt;"moeda")*(Inputs!$G$5:$G$190&lt;&gt;"acoes")))*INDEX(Inputs!$K$5:$AJ$190,0,MATCH(Q$2,Inputs!$K$4:$AJ$4,0)))+SUMPRODUCT((Inputs!$C$5:$C$190=$B23)*Inputs!$D$5:$D$190*(((Inputs!$G$5:$G$190="moeda")+(Inputs!$G$5:$G$190="acoes"))*Inputs!$B$1+((Inputs!$G$5:$G$190&lt;&gt;"moeda")*(Inputs!$G$5:$G$190&lt;&gt;"acoes")))*INDEX(Inputs!$K$5:$AJ$190,0,MATCH(Q$2,Inputs!$K$4:$AJ$4,0)))+SUMPRODUCT((Inputs!$E$5:$E$190=$B23)*Inputs!$F$5:$F$190*(((Inputs!$G$5:$G$190="moeda")+(Inputs!$G$5:$G$190="acoes"))*Inputs!$B$1+((Inputs!$G$5:$G$190&lt;&gt;"moeda")*(Inputs!$G$5:$G$190&lt;&gt;"acoes")))*INDEX(Inputs!$K$5:$AJ$190,0,MATCH(Q$2,Inputs!$K$4:$AJ$4,0)))))</f>
        <v>#N/A</v>
      </c>
      <c r="R23" s="3" t="e">
        <f>Q23</f>
        <v>#N/A</v>
      </c>
      <c r="S23" s="6" t="e">
        <f>IF(ISNA(MATCH(S$2,Inputs!$K$4:$AJ$4,0)),NA(),IF(SUMPRODUCT((Inputs!$A$5:$A$190=$B23)*ISNUMBER(INDEX(Inputs!$K$5:$AJ$190,0,MATCH(S$2,Inputs!$K$4:$AJ$4,0))))+SUMPRODUCT((Inputs!$C$5:$C$190=$B23)*ISNUMBER(INDEX(Inputs!$K$5:$AJ$190,0,MATCH(S$2,Inputs!$K$4:$AJ$4,0))))+SUMPRODUCT((Inputs!$E$5:$E$190=$B23)*ISNUMBER(INDEX(Inputs!$K$5:$AJ$190,0,MATCH(S$2,Inputs!$K$4:$AJ$4,0))))=0,NA(),SUMPRODUCT((Inputs!$A$5:$A$190=$B23)*Inputs!$B$5:$B$190*(((Inputs!$G$5:$G$190="moeda")+(Inputs!$G$5:$G$190="acoes"))*Inputs!$B$1+((Inputs!$G$5:$G$190&lt;&gt;"moeda")*(Inputs!$G$5:$G$190&lt;&gt;"acoes")))*INDEX(Inputs!$K$5:$AJ$190,0,MATCH(S$2,Inputs!$K$4:$AJ$4,0)))+SUMPRODUCT((Inputs!$C$5:$C$190=$B23)*Inputs!$D$5:$D$190*(((Inputs!$G$5:$G$190="moeda")+(Inputs!$G$5:$G$190="acoes"))*Inputs!$B$1+((Inputs!$G$5:$G$190&lt;&gt;"moeda")*(Inputs!$G$5:$G$190&lt;&gt;"acoes")))*INDEX(Inputs!$K$5:$AJ$190,0,MATCH(S$2,Inputs!$K$4:$AJ$4,0)))+SUMPRODUCT((Inputs!$E$5:$E$190=$B23)*Inputs!$F$5:$F$190*(((Inputs!$G$5:$G$190="moeda")+(Inputs!$G$5:$G$190="acoes"))*Inputs!$B$1+((Inputs!$G$5:$G$190&lt;&gt;"moeda")*(Inputs!$G$5:$G$190&lt;&gt;"acoes")))*INDEX(Inputs!$K$5:$AJ$190,0,MATCH(S$2,Inputs!$K$4:$AJ$4,0)))))</f>
        <v>#N/A</v>
      </c>
      <c r="T23" s="6" t="e">
        <f>IF(ISNA(MATCH(T$2,Inputs!$K$4:$AJ$4,0)),NA(),IF(SUMPRODUCT((Inputs!$A$5:$A$190=$B23)*ISNUMBER(INDEX(Inputs!$K$5:$AJ$190,0,MATCH(T$2,Inputs!$K$4:$AJ$4,0))))+SUMPRODUCT((Inputs!$C$5:$C$190=$B23)*ISNUMBER(INDEX(Inputs!$K$5:$AJ$190,0,MATCH(T$2,Inputs!$K$4:$AJ$4,0))))+SUMPRODUCT((Inputs!$E$5:$E$190=$B23)*ISNUMBER(INDEX(Inputs!$K$5:$AJ$190,0,MATCH(T$2,Inputs!$K$4:$AJ$4,0))))=0,NA(),SUMPRODUCT((Inputs!$A$5:$A$190=$B23)*Inputs!$B$5:$B$190*(((Inputs!$G$5:$G$190="moeda")+(Inputs!$G$5:$G$190="acoes"))*Inputs!$B$1+((Inputs!$G$5:$G$190&lt;&gt;"moeda")*(Inputs!$G$5:$G$190&lt;&gt;"acoes")))*INDEX(Inputs!$K$5:$AJ$190,0,MATCH(T$2,Inputs!$K$4:$AJ$4,0)))+SUMPRODUCT((Inputs!$C$5:$C$190=$B23)*Inputs!$D$5:$D$190*(((Inputs!$G$5:$G$190="moeda")+(Inputs!$G$5:$G$190="acoes"))*Inputs!$B$1+((Inputs!$G$5:$G$190&lt;&gt;"moeda")*(Inputs!$G$5:$G$190&lt;&gt;"acoes")))*INDEX(Inputs!$K$5:$AJ$190,0,MATCH(T$2,Inputs!$K$4:$AJ$4,0)))+SUMPRODUCT((Inputs!$E$5:$E$190=$B23)*Inputs!$F$5:$F$190*(((Inputs!$G$5:$G$190="moeda")+(Inputs!$G$5:$G$190="acoes"))*Inputs!$B$1+((Inputs!$G$5:$G$190&lt;&gt;"moeda")*(Inputs!$G$5:$G$190&lt;&gt;"acoes")))*INDEX(Inputs!$K$5:$AJ$190,0,MATCH(T$2,Inputs!$K$4:$AJ$4,0)))))</f>
        <v>#N/A</v>
      </c>
      <c r="U23" s="6" t="e">
        <f>IF(ISNA(MATCH(U$2,Inputs!$K$4:$AJ$4,0)),NA(),IF(SUMPRODUCT((Inputs!$A$5:$A$190=$B23)*ISNUMBER(INDEX(Inputs!$K$5:$AJ$190,0,MATCH(U$2,Inputs!$K$4:$AJ$4,0))))+SUMPRODUCT((Inputs!$C$5:$C$190=$B23)*ISNUMBER(INDEX(Inputs!$K$5:$AJ$190,0,MATCH(U$2,Inputs!$K$4:$AJ$4,0))))+SUMPRODUCT((Inputs!$E$5:$E$190=$B23)*ISNUMBER(INDEX(Inputs!$K$5:$AJ$190,0,MATCH(U$2,Inputs!$K$4:$AJ$4,0))))=0,NA(),SUMPRODUCT((Inputs!$A$5:$A$190=$B23)*Inputs!$B$5:$B$190*(((Inputs!$G$5:$G$190="moeda")+(Inputs!$G$5:$G$190="acoes"))*Inputs!$B$1+((Inputs!$G$5:$G$190&lt;&gt;"moeda")*(Inputs!$G$5:$G$190&lt;&gt;"acoes")))*INDEX(Inputs!$K$5:$AJ$190,0,MATCH(U$2,Inputs!$K$4:$AJ$4,0)))+SUMPRODUCT((Inputs!$C$5:$C$190=$B23)*Inputs!$D$5:$D$190*(((Inputs!$G$5:$G$190="moeda")+(Inputs!$G$5:$G$190="acoes"))*Inputs!$B$1+((Inputs!$G$5:$G$190&lt;&gt;"moeda")*(Inputs!$G$5:$G$190&lt;&gt;"acoes")))*INDEX(Inputs!$K$5:$AJ$190,0,MATCH(U$2,Inputs!$K$4:$AJ$4,0)))+SUMPRODUCT((Inputs!$E$5:$E$190=$B23)*Inputs!$F$5:$F$190*(((Inputs!$G$5:$G$190="moeda")+(Inputs!$G$5:$G$190="acoes"))*Inputs!$B$1+((Inputs!$G$5:$G$190&lt;&gt;"moeda")*(Inputs!$G$5:$G$190&lt;&gt;"acoes")))*INDEX(Inputs!$K$5:$AJ$190,0,MATCH(U$2,Inputs!$K$4:$AJ$4,0)))))</f>
        <v>#N/A</v>
      </c>
      <c r="V23" s="6" t="e">
        <f>IF(ISNA(MATCH(V$2,Inputs!$K$4:$AJ$4,0)),NA(),IF(SUMPRODUCT((Inputs!$A$5:$A$190=$B23)*ISNUMBER(INDEX(Inputs!$K$5:$AJ$190,0,MATCH(V$2,Inputs!$K$4:$AJ$4,0))))+SUMPRODUCT((Inputs!$C$5:$C$190=$B23)*ISNUMBER(INDEX(Inputs!$K$5:$AJ$190,0,MATCH(V$2,Inputs!$K$4:$AJ$4,0))))+SUMPRODUCT((Inputs!$E$5:$E$190=$B23)*ISNUMBER(INDEX(Inputs!$K$5:$AJ$190,0,MATCH(V$2,Inputs!$K$4:$AJ$4,0))))=0,NA(),SUMPRODUCT((Inputs!$A$5:$A$190=$B23)*Inputs!$B$5:$B$190*(((Inputs!$G$5:$G$190="moeda")+(Inputs!$G$5:$G$190="acoes"))*Inputs!$B$1+((Inputs!$G$5:$G$190&lt;&gt;"moeda")*(Inputs!$G$5:$G$190&lt;&gt;"acoes")))*INDEX(Inputs!$K$5:$AJ$190,0,MATCH(V$2,Inputs!$K$4:$AJ$4,0)))+SUMPRODUCT((Inputs!$C$5:$C$190=$B23)*Inputs!$D$5:$D$190*(((Inputs!$G$5:$G$190="moeda")+(Inputs!$G$5:$G$190="acoes"))*Inputs!$B$1+((Inputs!$G$5:$G$190&lt;&gt;"moeda")*(Inputs!$G$5:$G$190&lt;&gt;"acoes")))*INDEX(Inputs!$K$5:$AJ$190,0,MATCH(V$2,Inputs!$K$4:$AJ$4,0)))+SUMPRODUCT((Inputs!$E$5:$E$190=$B23)*Inputs!$F$5:$F$190*(((Inputs!$G$5:$G$190="moeda")+(Inputs!$G$5:$G$190="acoes"))*Inputs!$B$1+((Inputs!$G$5:$G$190&lt;&gt;"moeda")*(Inputs!$G$5:$G$190&lt;&gt;"acoes")))*INDEX(Inputs!$K$5:$AJ$190,0,MATCH(V$2,Inputs!$K$4:$AJ$4,0)))))</f>
        <v>#N/A</v>
      </c>
      <c r="W23" s="3" t="e">
        <f>V23</f>
        <v>#N/A</v>
      </c>
      <c r="X23" s="6" t="e">
        <f>IF(ISNA(MATCH(X$2,Inputs!$K$4:$AJ$4,0)),NA(),IF(SUMPRODUCT((Inputs!$A$5:$A$190=$B23)*ISNUMBER(INDEX(Inputs!$K$5:$AJ$190,0,MATCH(X$2,Inputs!$K$4:$AJ$4,0))))+SUMPRODUCT((Inputs!$C$5:$C$190=$B23)*ISNUMBER(INDEX(Inputs!$K$5:$AJ$190,0,MATCH(X$2,Inputs!$K$4:$AJ$4,0))))+SUMPRODUCT((Inputs!$E$5:$E$190=$B23)*ISNUMBER(INDEX(Inputs!$K$5:$AJ$190,0,MATCH(X$2,Inputs!$K$4:$AJ$4,0))))=0,NA(),SUMPRODUCT((Inputs!$A$5:$A$190=$B23)*Inputs!$B$5:$B$190*(((Inputs!$G$5:$G$190="moeda")+(Inputs!$G$5:$G$190="acoes"))*Inputs!$B$1+((Inputs!$G$5:$G$190&lt;&gt;"moeda")*(Inputs!$G$5:$G$190&lt;&gt;"acoes")))*INDEX(Inputs!$K$5:$AJ$190,0,MATCH(X$2,Inputs!$K$4:$AJ$4,0)))+SUMPRODUCT((Inputs!$C$5:$C$190=$B23)*Inputs!$D$5:$D$190*(((Inputs!$G$5:$G$190="moeda")+(Inputs!$G$5:$G$190="acoes"))*Inputs!$B$1+((Inputs!$G$5:$G$190&lt;&gt;"moeda")*(Inputs!$G$5:$G$190&lt;&gt;"acoes")))*INDEX(Inputs!$K$5:$AJ$190,0,MATCH(X$2,Inputs!$K$4:$AJ$4,0)))+SUMPRODUCT((Inputs!$E$5:$E$190=$B23)*Inputs!$F$5:$F$190*(((Inputs!$G$5:$G$190="moeda")+(Inputs!$G$5:$G$190="acoes"))*Inputs!$B$1+((Inputs!$G$5:$G$190&lt;&gt;"moeda")*(Inputs!$G$5:$G$190&lt;&gt;"acoes")))*INDEX(Inputs!$K$5:$AJ$190,0,MATCH(X$2,Inputs!$K$4:$AJ$4,0)))))</f>
        <v>#N/A</v>
      </c>
      <c r="Y23" s="6" t="e">
        <f>IF(ISNA(MATCH(Y$2,Inputs!$K$4:$AJ$4,0)),NA(),IF(SUMPRODUCT((Inputs!$A$5:$A$190=$B23)*ISNUMBER(INDEX(Inputs!$K$5:$AJ$190,0,MATCH(Y$2,Inputs!$K$4:$AJ$4,0))))+SUMPRODUCT((Inputs!$C$5:$C$190=$B23)*ISNUMBER(INDEX(Inputs!$K$5:$AJ$190,0,MATCH(Y$2,Inputs!$K$4:$AJ$4,0))))+SUMPRODUCT((Inputs!$E$5:$E$190=$B23)*ISNUMBER(INDEX(Inputs!$K$5:$AJ$190,0,MATCH(Y$2,Inputs!$K$4:$AJ$4,0))))=0,NA(),SUMPRODUCT((Inputs!$A$5:$A$190=$B23)*Inputs!$B$5:$B$190*(((Inputs!$G$5:$G$190="moeda")+(Inputs!$G$5:$G$190="acoes"))*Inputs!$B$1+((Inputs!$G$5:$G$190&lt;&gt;"moeda")*(Inputs!$G$5:$G$190&lt;&gt;"acoes")))*INDEX(Inputs!$K$5:$AJ$190,0,MATCH(Y$2,Inputs!$K$4:$AJ$4,0)))+SUMPRODUCT((Inputs!$C$5:$C$190=$B23)*Inputs!$D$5:$D$190*(((Inputs!$G$5:$G$190="moeda")+(Inputs!$G$5:$G$190="acoes"))*Inputs!$B$1+((Inputs!$G$5:$G$190&lt;&gt;"moeda")*(Inputs!$G$5:$G$190&lt;&gt;"acoes")))*INDEX(Inputs!$K$5:$AJ$190,0,MATCH(Y$2,Inputs!$K$4:$AJ$4,0)))+SUMPRODUCT((Inputs!$E$5:$E$190=$B23)*Inputs!$F$5:$F$190*(((Inputs!$G$5:$G$190="moeda")+(Inputs!$G$5:$G$190="acoes"))*Inputs!$B$1+((Inputs!$G$5:$G$190&lt;&gt;"moeda")*(Inputs!$G$5:$G$190&lt;&gt;"acoes")))*INDEX(Inputs!$K$5:$AJ$190,0,MATCH(Y$2,Inputs!$K$4:$AJ$4,0)))))</f>
        <v>#N/A</v>
      </c>
      <c r="Z23" s="6" t="e">
        <f>IF(ISNA(MATCH(Z$2,Inputs!$K$4:$AJ$4,0)),NA(),IF(SUMPRODUCT((Inputs!$A$5:$A$190=$B23)*ISNUMBER(INDEX(Inputs!$K$5:$AJ$190,0,MATCH(Z$2,Inputs!$K$4:$AJ$4,0))))+SUMPRODUCT((Inputs!$C$5:$C$190=$B23)*ISNUMBER(INDEX(Inputs!$K$5:$AJ$190,0,MATCH(Z$2,Inputs!$K$4:$AJ$4,0))))+SUMPRODUCT((Inputs!$E$5:$E$190=$B23)*ISNUMBER(INDEX(Inputs!$K$5:$AJ$190,0,MATCH(Z$2,Inputs!$K$4:$AJ$4,0))))=0,NA(),SUMPRODUCT((Inputs!$A$5:$A$190=$B23)*Inputs!$B$5:$B$190*(((Inputs!$G$5:$G$190="moeda")+(Inputs!$G$5:$G$190="acoes"))*Inputs!$B$1+((Inputs!$G$5:$G$190&lt;&gt;"moeda")*(Inputs!$G$5:$G$190&lt;&gt;"acoes")))*INDEX(Inputs!$K$5:$AJ$190,0,MATCH(Z$2,Inputs!$K$4:$AJ$4,0)))+SUMPRODUCT((Inputs!$C$5:$C$190=$B23)*Inputs!$D$5:$D$190*(((Inputs!$G$5:$G$190="moeda")+(Inputs!$G$5:$G$190="acoes"))*Inputs!$B$1+((Inputs!$G$5:$G$190&lt;&gt;"moeda")*(Inputs!$G$5:$G$190&lt;&gt;"acoes")))*INDEX(Inputs!$K$5:$AJ$190,0,MATCH(Z$2,Inputs!$K$4:$AJ$4,0)))+SUMPRODUCT((Inputs!$E$5:$E$190=$B23)*Inputs!$F$5:$F$190*(((Inputs!$G$5:$G$190="moeda")+(Inputs!$G$5:$G$190="acoes"))*Inputs!$B$1+((Inputs!$G$5:$G$190&lt;&gt;"moeda")*(Inputs!$G$5:$G$190&lt;&gt;"acoes")))*INDEX(Inputs!$K$5:$AJ$190,0,MATCH(Z$2,Inputs!$K$4:$AJ$4,0)))))</f>
        <v>#N/A</v>
      </c>
      <c r="AA23" s="6" t="e">
        <f>IF(ISNA(MATCH(AA$2,Inputs!$K$4:$AJ$4,0)),NA(),IF(SUMPRODUCT((Inputs!$A$5:$A$190=$B23)*ISNUMBER(INDEX(Inputs!$K$5:$AJ$190,0,MATCH(AA$2,Inputs!$K$4:$AJ$4,0))))+SUMPRODUCT((Inputs!$C$5:$C$190=$B23)*ISNUMBER(INDEX(Inputs!$K$5:$AJ$190,0,MATCH(AA$2,Inputs!$K$4:$AJ$4,0))))+SUMPRODUCT((Inputs!$E$5:$E$190=$B23)*ISNUMBER(INDEX(Inputs!$K$5:$AJ$190,0,MATCH(AA$2,Inputs!$K$4:$AJ$4,0))))=0,NA(),SUMPRODUCT((Inputs!$A$5:$A$190=$B23)*Inputs!$B$5:$B$190*(((Inputs!$G$5:$G$190="moeda")+(Inputs!$G$5:$G$190="acoes"))*Inputs!$B$1+((Inputs!$G$5:$G$190&lt;&gt;"moeda")*(Inputs!$G$5:$G$190&lt;&gt;"acoes")))*INDEX(Inputs!$K$5:$AJ$190,0,MATCH(AA$2,Inputs!$K$4:$AJ$4,0)))+SUMPRODUCT((Inputs!$C$5:$C$190=$B23)*Inputs!$D$5:$D$190*(((Inputs!$G$5:$G$190="moeda")+(Inputs!$G$5:$G$190="acoes"))*Inputs!$B$1+((Inputs!$G$5:$G$190&lt;&gt;"moeda")*(Inputs!$G$5:$G$190&lt;&gt;"acoes")))*INDEX(Inputs!$K$5:$AJ$190,0,MATCH(AA$2,Inputs!$K$4:$AJ$4,0)))+SUMPRODUCT((Inputs!$E$5:$E$190=$B23)*Inputs!$F$5:$F$190*(((Inputs!$G$5:$G$190="moeda")+(Inputs!$G$5:$G$190="acoes"))*Inputs!$B$1+((Inputs!$G$5:$G$190&lt;&gt;"moeda")*(Inputs!$G$5:$G$190&lt;&gt;"acoes")))*INDEX(Inputs!$K$5:$AJ$190,0,MATCH(AA$2,Inputs!$K$4:$AJ$4,0)))))</f>
        <v>#N/A</v>
      </c>
      <c r="AB23" s="3" t="e">
        <f>AA23</f>
        <v>#N/A</v>
      </c>
      <c r="AC23" s="6" t="e">
        <f>IF(ISNA(MATCH(AC$2,Inputs!$K$4:$AJ$4,0)),NA(),IF(SUMPRODUCT((Inputs!$A$5:$A$190=$B23)*ISNUMBER(INDEX(Inputs!$K$5:$AJ$190,0,MATCH(AC$2,Inputs!$K$4:$AJ$4,0))))+SUMPRODUCT((Inputs!$C$5:$C$190=$B23)*ISNUMBER(INDEX(Inputs!$K$5:$AJ$190,0,MATCH(AC$2,Inputs!$K$4:$AJ$4,0))))+SUMPRODUCT((Inputs!$E$5:$E$190=$B23)*ISNUMBER(INDEX(Inputs!$K$5:$AJ$190,0,MATCH(AC$2,Inputs!$K$4:$AJ$4,0))))=0,NA(),SUMPRODUCT((Inputs!$A$5:$A$190=$B23)*Inputs!$B$5:$B$190*(((Inputs!$G$5:$G$190="moeda")+(Inputs!$G$5:$G$190="acoes"))*Inputs!$B$1+((Inputs!$G$5:$G$190&lt;&gt;"moeda")*(Inputs!$G$5:$G$190&lt;&gt;"acoes")))*INDEX(Inputs!$K$5:$AJ$190,0,MATCH(AC$2,Inputs!$K$4:$AJ$4,0)))+SUMPRODUCT((Inputs!$C$5:$C$190=$B23)*Inputs!$D$5:$D$190*(((Inputs!$G$5:$G$190="moeda")+(Inputs!$G$5:$G$190="acoes"))*Inputs!$B$1+((Inputs!$G$5:$G$190&lt;&gt;"moeda")*(Inputs!$G$5:$G$190&lt;&gt;"acoes")))*INDEX(Inputs!$K$5:$AJ$190,0,MATCH(AC$2,Inputs!$K$4:$AJ$4,0)))+SUMPRODUCT((Inputs!$E$5:$E$190=$B23)*Inputs!$F$5:$F$190*(((Inputs!$G$5:$G$190="moeda")+(Inputs!$G$5:$G$190="acoes"))*Inputs!$B$1+((Inputs!$G$5:$G$190&lt;&gt;"moeda")*(Inputs!$G$5:$G$190&lt;&gt;"acoes")))*INDEX(Inputs!$K$5:$AJ$190,0,MATCH(AC$2,Inputs!$K$4:$AJ$4,0)))))</f>
        <v>#N/A</v>
      </c>
      <c r="AD23" s="6" t="e">
        <f>IF(ISNA(MATCH(AD$2,Inputs!$K$4:$AJ$4,0)),NA(),IF(SUMPRODUCT((Inputs!$A$5:$A$190=$B23)*ISNUMBER(INDEX(Inputs!$K$5:$AJ$190,0,MATCH(AD$2,Inputs!$K$4:$AJ$4,0))))+SUMPRODUCT((Inputs!$C$5:$C$190=$B23)*ISNUMBER(INDEX(Inputs!$K$5:$AJ$190,0,MATCH(AD$2,Inputs!$K$4:$AJ$4,0))))+SUMPRODUCT((Inputs!$E$5:$E$190=$B23)*ISNUMBER(INDEX(Inputs!$K$5:$AJ$190,0,MATCH(AD$2,Inputs!$K$4:$AJ$4,0))))=0,NA(),SUMPRODUCT((Inputs!$A$5:$A$190=$B23)*Inputs!$B$5:$B$190*(((Inputs!$G$5:$G$190="moeda")+(Inputs!$G$5:$G$190="acoes"))*Inputs!$B$1+((Inputs!$G$5:$G$190&lt;&gt;"moeda")*(Inputs!$G$5:$G$190&lt;&gt;"acoes")))*INDEX(Inputs!$K$5:$AJ$190,0,MATCH(AD$2,Inputs!$K$4:$AJ$4,0)))+SUMPRODUCT((Inputs!$C$5:$C$190=$B23)*Inputs!$D$5:$D$190*(((Inputs!$G$5:$G$190="moeda")+(Inputs!$G$5:$G$190="acoes"))*Inputs!$B$1+((Inputs!$G$5:$G$190&lt;&gt;"moeda")*(Inputs!$G$5:$G$190&lt;&gt;"acoes")))*INDEX(Inputs!$K$5:$AJ$190,0,MATCH(AD$2,Inputs!$K$4:$AJ$4,0)))+SUMPRODUCT((Inputs!$E$5:$E$190=$B23)*Inputs!$F$5:$F$190*(((Inputs!$G$5:$G$190="moeda")+(Inputs!$G$5:$G$190="acoes"))*Inputs!$B$1+((Inputs!$G$5:$G$190&lt;&gt;"moeda")*(Inputs!$G$5:$G$190&lt;&gt;"acoes")))*INDEX(Inputs!$K$5:$AJ$190,0,MATCH(AD$2,Inputs!$K$4:$AJ$4,0)))))</f>
        <v>#N/A</v>
      </c>
      <c r="AE23" s="6" t="e">
        <f>IF(ISNA(MATCH(AE$2,Inputs!$K$4:$AJ$4,0)),NA(),IF(SUMPRODUCT((Inputs!$A$5:$A$190=$B23)*ISNUMBER(INDEX(Inputs!$K$5:$AJ$190,0,MATCH(AE$2,Inputs!$K$4:$AJ$4,0))))+SUMPRODUCT((Inputs!$C$5:$C$190=$B23)*ISNUMBER(INDEX(Inputs!$K$5:$AJ$190,0,MATCH(AE$2,Inputs!$K$4:$AJ$4,0))))+SUMPRODUCT((Inputs!$E$5:$E$190=$B23)*ISNUMBER(INDEX(Inputs!$K$5:$AJ$190,0,MATCH(AE$2,Inputs!$K$4:$AJ$4,0))))=0,NA(),SUMPRODUCT((Inputs!$A$5:$A$190=$B23)*Inputs!$B$5:$B$190*(((Inputs!$G$5:$G$190="moeda")+(Inputs!$G$5:$G$190="acoes"))*Inputs!$B$1+((Inputs!$G$5:$G$190&lt;&gt;"moeda")*(Inputs!$G$5:$G$190&lt;&gt;"acoes")))*INDEX(Inputs!$K$5:$AJ$190,0,MATCH(AE$2,Inputs!$K$4:$AJ$4,0)))+SUMPRODUCT((Inputs!$C$5:$C$190=$B23)*Inputs!$D$5:$D$190*(((Inputs!$G$5:$G$190="moeda")+(Inputs!$G$5:$G$190="acoes"))*Inputs!$B$1+((Inputs!$G$5:$G$190&lt;&gt;"moeda")*(Inputs!$G$5:$G$190&lt;&gt;"acoes")))*INDEX(Inputs!$K$5:$AJ$190,0,MATCH(AE$2,Inputs!$K$4:$AJ$4,0)))+SUMPRODUCT((Inputs!$E$5:$E$190=$B23)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23" s="6" t="e">
        <f>IF(ISNA(MATCH(AF$2,Inputs!$K$4:$AJ$4,0)),NA(),IF(SUMPRODUCT((Inputs!$A$5:$A$190=$B23)*ISNUMBER(INDEX(Inputs!$K$5:$AJ$190,0,MATCH(AF$2,Inputs!$K$4:$AJ$4,0))))+SUMPRODUCT((Inputs!$C$5:$C$190=$B23)*ISNUMBER(INDEX(Inputs!$K$5:$AJ$190,0,MATCH(AF$2,Inputs!$K$4:$AJ$4,0))))+SUMPRODUCT((Inputs!$E$5:$E$190=$B23)*ISNUMBER(INDEX(Inputs!$K$5:$AJ$190,0,MATCH(AF$2,Inputs!$K$4:$AJ$4,0))))=0,NA(),SUMPRODUCT((Inputs!$A$5:$A$190=$B23)*Inputs!$B$5:$B$190*(((Inputs!$G$5:$G$190="moeda")+(Inputs!$G$5:$G$190="acoes"))*Inputs!$B$1+((Inputs!$G$5:$G$190&lt;&gt;"moeda")*(Inputs!$G$5:$G$190&lt;&gt;"acoes")))*INDEX(Inputs!$K$5:$AJ$190,0,MATCH(AF$2,Inputs!$K$4:$AJ$4,0)))+SUMPRODUCT((Inputs!$C$5:$C$190=$B23)*Inputs!$D$5:$D$190*(((Inputs!$G$5:$G$190="moeda")+(Inputs!$G$5:$G$190="acoes"))*Inputs!$B$1+((Inputs!$G$5:$G$190&lt;&gt;"moeda")*(Inputs!$G$5:$G$190&lt;&gt;"acoes")))*INDEX(Inputs!$K$5:$AJ$190,0,MATCH(AF$2,Inputs!$K$4:$AJ$4,0)))+SUMPRODUCT((Inputs!$E$5:$E$190=$B23)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23" s="3" t="e">
        <f>AF23</f>
        <v>#N/A</v>
      </c>
      <c r="AH23" s="6" t="e">
        <f>IF(ISNA(MATCH(AH$2,Inputs!$K$4:$AJ$4,0)),NA(),IF(SUMPRODUCT((Inputs!$A$5:$A$190=$B23)*ISNUMBER(INDEX(Inputs!$K$5:$AJ$190,0,MATCH(AH$2,Inputs!$K$4:$AJ$4,0))))+SUMPRODUCT((Inputs!$C$5:$C$190=$B23)*ISNUMBER(INDEX(Inputs!$K$5:$AJ$190,0,MATCH(AH$2,Inputs!$K$4:$AJ$4,0))))+SUMPRODUCT((Inputs!$E$5:$E$190=$B23)*ISNUMBER(INDEX(Inputs!$K$5:$AJ$190,0,MATCH(AH$2,Inputs!$K$4:$AJ$4,0))))=0,NA(),SUMPRODUCT((Inputs!$A$5:$A$190=$B23)*Inputs!$B$5:$B$190*(((Inputs!$G$5:$G$190="moeda")+(Inputs!$G$5:$G$190="acoes"))*Inputs!$B$1+((Inputs!$G$5:$G$190&lt;&gt;"moeda")*(Inputs!$G$5:$G$190&lt;&gt;"acoes")))*INDEX(Inputs!$K$5:$AJ$190,0,MATCH(AH$2,Inputs!$K$4:$AJ$4,0)))+SUMPRODUCT((Inputs!$C$5:$C$190=$B23)*Inputs!$D$5:$D$190*(((Inputs!$G$5:$G$190="moeda")+(Inputs!$G$5:$G$190="acoes"))*Inputs!$B$1+((Inputs!$G$5:$G$190&lt;&gt;"moeda")*(Inputs!$G$5:$G$190&lt;&gt;"acoes")))*INDEX(Inputs!$K$5:$AJ$190,0,MATCH(AH$2,Inputs!$K$4:$AJ$4,0)))+SUMPRODUCT((Inputs!$E$5:$E$190=$B23)*Inputs!$F$5:$F$190*(((Inputs!$G$5:$G$190="moeda")+(Inputs!$G$5:$G$190="acoes"))*Inputs!$B$1+((Inputs!$G$5:$G$190&lt;&gt;"moeda")*(Inputs!$G$5:$G$190&lt;&gt;"acoes")))*INDEX(Inputs!$K$5:$AJ$190,0,MATCH(AH$2,Inputs!$K$4:$AJ$4,0)))))</f>
        <v>#N/A</v>
      </c>
      <c r="AI23" s="6" t="e">
        <f>IF(ISNA(MATCH(AI$2,Inputs!$K$4:$AJ$4,0)),NA(),IF(SUMPRODUCT((Inputs!$A$5:$A$190=$B23)*ISNUMBER(INDEX(Inputs!$K$5:$AJ$190,0,MATCH(AI$2,Inputs!$K$4:$AJ$4,0))))+SUMPRODUCT((Inputs!$C$5:$C$190=$B23)*ISNUMBER(INDEX(Inputs!$K$5:$AJ$190,0,MATCH(AI$2,Inputs!$K$4:$AJ$4,0))))+SUMPRODUCT((Inputs!$E$5:$E$190=$B23)*ISNUMBER(INDEX(Inputs!$K$5:$AJ$190,0,MATCH(AI$2,Inputs!$K$4:$AJ$4,0))))=0,NA(),SUMPRODUCT((Inputs!$A$5:$A$190=$B23)*Inputs!$B$5:$B$190*(((Inputs!$G$5:$G$190="moeda")+(Inputs!$G$5:$G$190="acoes"))*Inputs!$B$1+((Inputs!$G$5:$G$190&lt;&gt;"moeda")*(Inputs!$G$5:$G$190&lt;&gt;"acoes")))*INDEX(Inputs!$K$5:$AJ$190,0,MATCH(AI$2,Inputs!$K$4:$AJ$4,0)))+SUMPRODUCT((Inputs!$C$5:$C$190=$B23)*Inputs!$D$5:$D$190*(((Inputs!$G$5:$G$190="moeda")+(Inputs!$G$5:$G$190="acoes"))*Inputs!$B$1+((Inputs!$G$5:$G$190&lt;&gt;"moeda")*(Inputs!$G$5:$G$190&lt;&gt;"acoes")))*INDEX(Inputs!$K$5:$AJ$190,0,MATCH(AI$2,Inputs!$K$4:$AJ$4,0)))+SUMPRODUCT((Inputs!$E$5:$E$190=$B23)*Inputs!$F$5:$F$190*(((Inputs!$G$5:$G$190="moeda")+(Inputs!$G$5:$G$190="acoes"))*Inputs!$B$1+((Inputs!$G$5:$G$190&lt;&gt;"moeda")*(Inputs!$G$5:$G$190&lt;&gt;"acoes")))*INDEX(Inputs!$K$5:$AJ$190,0,MATCH(AI$2,Inputs!$K$4:$AJ$4,0)))))</f>
        <v>#N/A</v>
      </c>
      <c r="AJ23" s="6" t="e">
        <f>IF(ISNA(MATCH(AJ$2,Inputs!$K$4:$AJ$4,0)),NA(),IF(SUMPRODUCT((Inputs!$A$5:$A$190=$B23)*ISNUMBER(INDEX(Inputs!$K$5:$AJ$190,0,MATCH(AJ$2,Inputs!$K$4:$AJ$4,0))))+SUMPRODUCT((Inputs!$C$5:$C$190=$B23)*ISNUMBER(INDEX(Inputs!$K$5:$AJ$190,0,MATCH(AJ$2,Inputs!$K$4:$AJ$4,0))))+SUMPRODUCT((Inputs!$E$5:$E$190=$B23)*ISNUMBER(INDEX(Inputs!$K$5:$AJ$190,0,MATCH(AJ$2,Inputs!$K$4:$AJ$4,0))))=0,NA(),SUMPRODUCT((Inputs!$A$5:$A$190=$B23)*Inputs!$B$5:$B$190*(((Inputs!$G$5:$G$190="moeda")+(Inputs!$G$5:$G$190="acoes"))*Inputs!$B$1+((Inputs!$G$5:$G$190&lt;&gt;"moeda")*(Inputs!$G$5:$G$190&lt;&gt;"acoes")))*INDEX(Inputs!$K$5:$AJ$190,0,MATCH(AJ$2,Inputs!$K$4:$AJ$4,0)))+SUMPRODUCT((Inputs!$C$5:$C$190=$B23)*Inputs!$D$5:$D$190*(((Inputs!$G$5:$G$190="moeda")+(Inputs!$G$5:$G$190="acoes"))*Inputs!$B$1+((Inputs!$G$5:$G$190&lt;&gt;"moeda")*(Inputs!$G$5:$G$190&lt;&gt;"acoes")))*INDEX(Inputs!$K$5:$AJ$190,0,MATCH(AJ$2,Inputs!$K$4:$AJ$4,0)))+SUMPRODUCT((Inputs!$E$5:$E$190=$B23)*Inputs!$F$5:$F$190*(((Inputs!$G$5:$G$190="moeda")+(Inputs!$G$5:$G$190="acoes"))*Inputs!$B$1+((Inputs!$G$5:$G$190&lt;&gt;"moeda")*(Inputs!$G$5:$G$190&lt;&gt;"acoes")))*INDEX(Inputs!$K$5:$AJ$190,0,MATCH(AJ$2,Inputs!$K$4:$AJ$4,0)))))</f>
        <v>#N/A</v>
      </c>
      <c r="AK23" s="6" t="e">
        <f>IF(ISNA(MATCH(AK$2,Inputs!$K$4:$AJ$4,0)),NA(),IF(SUMPRODUCT((Inputs!$A$5:$A$190=$B23)*ISNUMBER(INDEX(Inputs!$K$5:$AJ$190,0,MATCH(AK$2,Inputs!$K$4:$AJ$4,0))))+SUMPRODUCT((Inputs!$C$5:$C$190=$B23)*ISNUMBER(INDEX(Inputs!$K$5:$AJ$190,0,MATCH(AK$2,Inputs!$K$4:$AJ$4,0))))+SUMPRODUCT((Inputs!$E$5:$E$190=$B23)*ISNUMBER(INDEX(Inputs!$K$5:$AJ$190,0,MATCH(AK$2,Inputs!$K$4:$AJ$4,0))))=0,NA(),SUMPRODUCT((Inputs!$A$5:$A$190=$B23)*Inputs!$B$5:$B$190*(((Inputs!$G$5:$G$190="moeda")+(Inputs!$G$5:$G$190="acoes"))*Inputs!$B$1+((Inputs!$G$5:$G$190&lt;&gt;"moeda")*(Inputs!$G$5:$G$190&lt;&gt;"acoes")))*INDEX(Inputs!$K$5:$AJ$190,0,MATCH(AK$2,Inputs!$K$4:$AJ$4,0)))+SUMPRODUCT((Inputs!$C$5:$C$190=$B23)*Inputs!$D$5:$D$190*(((Inputs!$G$5:$G$190="moeda")+(Inputs!$G$5:$G$190="acoes"))*Inputs!$B$1+((Inputs!$G$5:$G$190&lt;&gt;"moeda")*(Inputs!$G$5:$G$190&lt;&gt;"acoes")))*INDEX(Inputs!$K$5:$AJ$190,0,MATCH(AK$2,Inputs!$K$4:$AJ$4,0)))+SUMPRODUCT((Inputs!$E$5:$E$190=$B23)*Inputs!$F$5:$F$190*(((Inputs!$G$5:$G$190="moeda")+(Inputs!$G$5:$G$190="acoes"))*Inputs!$B$1+((Inputs!$G$5:$G$190&lt;&gt;"moeda")*(Inputs!$G$5:$G$190&lt;&gt;"acoes")))*INDEX(Inputs!$K$5:$AJ$190,0,MATCH(AK$2,Inputs!$K$4:$AJ$4,0)))))</f>
        <v>#N/A</v>
      </c>
      <c r="AL23" s="3" t="e">
        <f>AK23</f>
        <v>#N/A</v>
      </c>
    </row>
    <row r="24">
      <c r="B24" s="46" t="n">
        <v>20</v>
      </c>
      <c r="C24" s="26" t="inlineStr">
        <is>
          <t>Goodwill</t>
        </is>
      </c>
      <c r="D24" s="6" t="e">
        <f>IF(ISNA(MATCH(D$2,Inputs!$K$4:$AJ$4,0)),NA(),IF(SUMPRODUCT((Inputs!$A$5:$A$190=$B24)*ISNUMBER(INDEX(Inputs!$K$5:$AJ$190,0,MATCH(D$2,Inputs!$K$4:$AJ$4,0))))+SUMPRODUCT((Inputs!$C$5:$C$190=$B24)*ISNUMBER(INDEX(Inputs!$K$5:$AJ$190,0,MATCH(D$2,Inputs!$K$4:$AJ$4,0))))+SUMPRODUCT((Inputs!$E$5:$E$190=$B24)*ISNUMBER(INDEX(Inputs!$K$5:$AJ$190,0,MATCH(D$2,Inputs!$K$4:$AJ$4,0))))=0,NA(),SUMPRODUCT((Inputs!$A$5:$A$190=$B24)*Inputs!$B$5:$B$190*(((Inputs!$G$5:$G$190="moeda")+(Inputs!$G$5:$G$190="acoes"))*Inputs!$B$1+((Inputs!$G$5:$G$190&lt;&gt;"moeda")*(Inputs!$G$5:$G$190&lt;&gt;"acoes")))*INDEX(Inputs!$K$5:$AJ$190,0,MATCH(D$2,Inputs!$K$4:$AJ$4,0)))+SUMPRODUCT((Inputs!$C$5:$C$190=$B24)*Inputs!$D$5:$D$190*(((Inputs!$G$5:$G$190="moeda")+(Inputs!$G$5:$G$190="acoes"))*Inputs!$B$1+((Inputs!$G$5:$G$190&lt;&gt;"moeda")*(Inputs!$G$5:$G$190&lt;&gt;"acoes")))*INDEX(Inputs!$K$5:$AJ$190,0,MATCH(D$2,Inputs!$K$4:$AJ$4,0)))+SUMPRODUCT((Inputs!$E$5:$E$190=$B24)*Inputs!$F$5:$F$190*(((Inputs!$G$5:$G$190="moeda")+(Inputs!$G$5:$G$190="acoes"))*Inputs!$B$1+((Inputs!$G$5:$G$190&lt;&gt;"moeda")*(Inputs!$G$5:$G$190&lt;&gt;"acoes")))*INDEX(Inputs!$K$5:$AJ$190,0,MATCH(D$2,Inputs!$K$4:$AJ$4,0)))))</f>
        <v>#N/A</v>
      </c>
      <c r="E24" s="6" t="e">
        <f>IF(ISNA(MATCH(E$2,Inputs!$K$4:$AJ$4,0)),NA(),IF(SUMPRODUCT((Inputs!$A$5:$A$190=$B24)*ISNUMBER(INDEX(Inputs!$K$5:$AJ$190,0,MATCH(E$2,Inputs!$K$4:$AJ$4,0))))+SUMPRODUCT((Inputs!$C$5:$C$190=$B24)*ISNUMBER(INDEX(Inputs!$K$5:$AJ$190,0,MATCH(E$2,Inputs!$K$4:$AJ$4,0))))+SUMPRODUCT((Inputs!$E$5:$E$190=$B24)*ISNUMBER(INDEX(Inputs!$K$5:$AJ$190,0,MATCH(E$2,Inputs!$K$4:$AJ$4,0))))=0,NA(),SUMPRODUCT((Inputs!$A$5:$A$190=$B24)*Inputs!$B$5:$B$190*(((Inputs!$G$5:$G$190="moeda")+(Inputs!$G$5:$G$190="acoes"))*Inputs!$B$1+((Inputs!$G$5:$G$190&lt;&gt;"moeda")*(Inputs!$G$5:$G$190&lt;&gt;"acoes")))*INDEX(Inputs!$K$5:$AJ$190,0,MATCH(E$2,Inputs!$K$4:$AJ$4,0)))+SUMPRODUCT((Inputs!$C$5:$C$190=$B24)*Inputs!$D$5:$D$190*(((Inputs!$G$5:$G$190="moeda")+(Inputs!$G$5:$G$190="acoes"))*Inputs!$B$1+((Inputs!$G$5:$G$190&lt;&gt;"moeda")*(Inputs!$G$5:$G$190&lt;&gt;"acoes")))*INDEX(Inputs!$K$5:$AJ$190,0,MATCH(E$2,Inputs!$K$4:$AJ$4,0)))+SUMPRODUCT((Inputs!$E$5:$E$190=$B24)*Inputs!$F$5:$F$190*(((Inputs!$G$5:$G$190="moeda")+(Inputs!$G$5:$G$190="acoes"))*Inputs!$B$1+((Inputs!$G$5:$G$190&lt;&gt;"moeda")*(Inputs!$G$5:$G$190&lt;&gt;"acoes")))*INDEX(Inputs!$K$5:$AJ$190,0,MATCH(E$2,Inputs!$K$4:$AJ$4,0)))))</f>
        <v>#N/A</v>
      </c>
      <c r="F24" s="6" t="e">
        <f>IF(ISNA(MATCH(F$2,Inputs!$K$4:$AJ$4,0)),NA(),IF(SUMPRODUCT((Inputs!$A$5:$A$190=$B24)*ISNUMBER(INDEX(Inputs!$K$5:$AJ$190,0,MATCH(F$2,Inputs!$K$4:$AJ$4,0))))+SUMPRODUCT((Inputs!$C$5:$C$190=$B24)*ISNUMBER(INDEX(Inputs!$K$5:$AJ$190,0,MATCH(F$2,Inputs!$K$4:$AJ$4,0))))+SUMPRODUCT((Inputs!$E$5:$E$190=$B24)*ISNUMBER(INDEX(Inputs!$K$5:$AJ$190,0,MATCH(F$2,Inputs!$K$4:$AJ$4,0))))=0,NA(),SUMPRODUCT((Inputs!$A$5:$A$190=$B24)*Inputs!$B$5:$B$190*(((Inputs!$G$5:$G$190="moeda")+(Inputs!$G$5:$G$190="acoes"))*Inputs!$B$1+((Inputs!$G$5:$G$190&lt;&gt;"moeda")*(Inputs!$G$5:$G$190&lt;&gt;"acoes")))*INDEX(Inputs!$K$5:$AJ$190,0,MATCH(F$2,Inputs!$K$4:$AJ$4,0)))+SUMPRODUCT((Inputs!$C$5:$C$190=$B24)*Inputs!$D$5:$D$190*(((Inputs!$G$5:$G$190="moeda")+(Inputs!$G$5:$G$190="acoes"))*Inputs!$B$1+((Inputs!$G$5:$G$190&lt;&gt;"moeda")*(Inputs!$G$5:$G$190&lt;&gt;"acoes")))*INDEX(Inputs!$K$5:$AJ$190,0,MATCH(F$2,Inputs!$K$4:$AJ$4,0)))+SUMPRODUCT((Inputs!$E$5:$E$190=$B24)*Inputs!$F$5:$F$190*(((Inputs!$G$5:$G$190="moeda")+(Inputs!$G$5:$G$190="acoes"))*Inputs!$B$1+((Inputs!$G$5:$G$190&lt;&gt;"moeda")*(Inputs!$G$5:$G$190&lt;&gt;"acoes")))*INDEX(Inputs!$K$5:$AJ$190,0,MATCH(F$2,Inputs!$K$4:$AJ$4,0)))))</f>
        <v>#N/A</v>
      </c>
      <c r="G24" s="6" t="e">
        <f>IF(ISNA(MATCH(G$2,Inputs!$K$4:$AJ$4,0)),NA(),IF(SUMPRODUCT((Inputs!$A$5:$A$190=$B24)*ISNUMBER(INDEX(Inputs!$K$5:$AJ$190,0,MATCH(G$2,Inputs!$K$4:$AJ$4,0))))+SUMPRODUCT((Inputs!$C$5:$C$190=$B24)*ISNUMBER(INDEX(Inputs!$K$5:$AJ$190,0,MATCH(G$2,Inputs!$K$4:$AJ$4,0))))+SUMPRODUCT((Inputs!$E$5:$E$190=$B24)*ISNUMBER(INDEX(Inputs!$K$5:$AJ$190,0,MATCH(G$2,Inputs!$K$4:$AJ$4,0))))=0,NA(),SUMPRODUCT((Inputs!$A$5:$A$190=$B24)*Inputs!$B$5:$B$190*(((Inputs!$G$5:$G$190="moeda")+(Inputs!$G$5:$G$190="acoes"))*Inputs!$B$1+((Inputs!$G$5:$G$190&lt;&gt;"moeda")*(Inputs!$G$5:$G$190&lt;&gt;"acoes")))*INDEX(Inputs!$K$5:$AJ$190,0,MATCH(G$2,Inputs!$K$4:$AJ$4,0)))+SUMPRODUCT((Inputs!$C$5:$C$190=$B24)*Inputs!$D$5:$D$190*(((Inputs!$G$5:$G$190="moeda")+(Inputs!$G$5:$G$190="acoes"))*Inputs!$B$1+((Inputs!$G$5:$G$190&lt;&gt;"moeda")*(Inputs!$G$5:$G$190&lt;&gt;"acoes")))*INDEX(Inputs!$K$5:$AJ$190,0,MATCH(G$2,Inputs!$K$4:$AJ$4,0)))+SUMPRODUCT((Inputs!$E$5:$E$190=$B24)*Inputs!$F$5:$F$190*(((Inputs!$G$5:$G$190="moeda")+(Inputs!$G$5:$G$190="acoes"))*Inputs!$B$1+((Inputs!$G$5:$G$190&lt;&gt;"moeda")*(Inputs!$G$5:$G$190&lt;&gt;"acoes")))*INDEX(Inputs!$K$5:$AJ$190,0,MATCH(G$2,Inputs!$K$4:$AJ$4,0)))))</f>
        <v>#N/A</v>
      </c>
      <c r="H24" s="3" t="e">
        <f>G24</f>
        <v>#N/A</v>
      </c>
      <c r="I24" s="6" t="e">
        <f>IF(ISNA(MATCH(I$2,Inputs!$K$4:$AJ$4,0)),NA(),IF(SUMPRODUCT((Inputs!$A$5:$A$190=$B24)*ISNUMBER(INDEX(Inputs!$K$5:$AJ$190,0,MATCH(I$2,Inputs!$K$4:$AJ$4,0))))+SUMPRODUCT((Inputs!$C$5:$C$190=$B24)*ISNUMBER(INDEX(Inputs!$K$5:$AJ$190,0,MATCH(I$2,Inputs!$K$4:$AJ$4,0))))+SUMPRODUCT((Inputs!$E$5:$E$190=$B24)*ISNUMBER(INDEX(Inputs!$K$5:$AJ$190,0,MATCH(I$2,Inputs!$K$4:$AJ$4,0))))=0,NA(),SUMPRODUCT((Inputs!$A$5:$A$190=$B24)*Inputs!$B$5:$B$190*(((Inputs!$G$5:$G$190="moeda")+(Inputs!$G$5:$G$190="acoes"))*Inputs!$B$1+((Inputs!$G$5:$G$190&lt;&gt;"moeda")*(Inputs!$G$5:$G$190&lt;&gt;"acoes")))*INDEX(Inputs!$K$5:$AJ$190,0,MATCH(I$2,Inputs!$K$4:$AJ$4,0)))+SUMPRODUCT((Inputs!$C$5:$C$190=$B24)*Inputs!$D$5:$D$190*(((Inputs!$G$5:$G$190="moeda")+(Inputs!$G$5:$G$190="acoes"))*Inputs!$B$1+((Inputs!$G$5:$G$190&lt;&gt;"moeda")*(Inputs!$G$5:$G$190&lt;&gt;"acoes")))*INDEX(Inputs!$K$5:$AJ$190,0,MATCH(I$2,Inputs!$K$4:$AJ$4,0)))+SUMPRODUCT((Inputs!$E$5:$E$190=$B24)*Inputs!$F$5:$F$190*(((Inputs!$G$5:$G$190="moeda")+(Inputs!$G$5:$G$190="acoes"))*Inputs!$B$1+((Inputs!$G$5:$G$190&lt;&gt;"moeda")*(Inputs!$G$5:$G$190&lt;&gt;"acoes")))*INDEX(Inputs!$K$5:$AJ$190,0,MATCH(I$2,Inputs!$K$4:$AJ$4,0)))))</f>
        <v>#N/A</v>
      </c>
      <c r="J24" s="6" t="e">
        <f>IF(ISNA(MATCH(J$2,Inputs!$K$4:$AJ$4,0)),NA(),IF(SUMPRODUCT((Inputs!$A$5:$A$190=$B24)*ISNUMBER(INDEX(Inputs!$K$5:$AJ$190,0,MATCH(J$2,Inputs!$K$4:$AJ$4,0))))+SUMPRODUCT((Inputs!$C$5:$C$190=$B24)*ISNUMBER(INDEX(Inputs!$K$5:$AJ$190,0,MATCH(J$2,Inputs!$K$4:$AJ$4,0))))+SUMPRODUCT((Inputs!$E$5:$E$190=$B24)*ISNUMBER(INDEX(Inputs!$K$5:$AJ$190,0,MATCH(J$2,Inputs!$K$4:$AJ$4,0))))=0,NA(),SUMPRODUCT((Inputs!$A$5:$A$190=$B24)*Inputs!$B$5:$B$190*(((Inputs!$G$5:$G$190="moeda")+(Inputs!$G$5:$G$190="acoes"))*Inputs!$B$1+((Inputs!$G$5:$G$190&lt;&gt;"moeda")*(Inputs!$G$5:$G$190&lt;&gt;"acoes")))*INDEX(Inputs!$K$5:$AJ$190,0,MATCH(J$2,Inputs!$K$4:$AJ$4,0)))+SUMPRODUCT((Inputs!$C$5:$C$190=$B24)*Inputs!$D$5:$D$190*(((Inputs!$G$5:$G$190="moeda")+(Inputs!$G$5:$G$190="acoes"))*Inputs!$B$1+((Inputs!$G$5:$G$190&lt;&gt;"moeda")*(Inputs!$G$5:$G$190&lt;&gt;"acoes")))*INDEX(Inputs!$K$5:$AJ$190,0,MATCH(J$2,Inputs!$K$4:$AJ$4,0)))+SUMPRODUCT((Inputs!$E$5:$E$190=$B24)*Inputs!$F$5:$F$190*(((Inputs!$G$5:$G$190="moeda")+(Inputs!$G$5:$G$190="acoes"))*Inputs!$B$1+((Inputs!$G$5:$G$190&lt;&gt;"moeda")*(Inputs!$G$5:$G$190&lt;&gt;"acoes")))*INDEX(Inputs!$K$5:$AJ$190,0,MATCH(J$2,Inputs!$K$4:$AJ$4,0)))))</f>
        <v>#N/A</v>
      </c>
      <c r="K24" s="6" t="e">
        <f>IF(ISNA(MATCH(K$2,Inputs!$K$4:$AJ$4,0)),NA(),IF(SUMPRODUCT((Inputs!$A$5:$A$190=$B24)*ISNUMBER(INDEX(Inputs!$K$5:$AJ$190,0,MATCH(K$2,Inputs!$K$4:$AJ$4,0))))+SUMPRODUCT((Inputs!$C$5:$C$190=$B24)*ISNUMBER(INDEX(Inputs!$K$5:$AJ$190,0,MATCH(K$2,Inputs!$K$4:$AJ$4,0))))+SUMPRODUCT((Inputs!$E$5:$E$190=$B24)*ISNUMBER(INDEX(Inputs!$K$5:$AJ$190,0,MATCH(K$2,Inputs!$K$4:$AJ$4,0))))=0,NA(),SUMPRODUCT((Inputs!$A$5:$A$190=$B24)*Inputs!$B$5:$B$190*(((Inputs!$G$5:$G$190="moeda")+(Inputs!$G$5:$G$190="acoes"))*Inputs!$B$1+((Inputs!$G$5:$G$190&lt;&gt;"moeda")*(Inputs!$G$5:$G$190&lt;&gt;"acoes")))*INDEX(Inputs!$K$5:$AJ$190,0,MATCH(K$2,Inputs!$K$4:$AJ$4,0)))+SUMPRODUCT((Inputs!$C$5:$C$190=$B24)*Inputs!$D$5:$D$190*(((Inputs!$G$5:$G$190="moeda")+(Inputs!$G$5:$G$190="acoes"))*Inputs!$B$1+((Inputs!$G$5:$G$190&lt;&gt;"moeda")*(Inputs!$G$5:$G$190&lt;&gt;"acoes")))*INDEX(Inputs!$K$5:$AJ$190,0,MATCH(K$2,Inputs!$K$4:$AJ$4,0)))+SUMPRODUCT((Inputs!$E$5:$E$190=$B24)*Inputs!$F$5:$F$190*(((Inputs!$G$5:$G$190="moeda")+(Inputs!$G$5:$G$190="acoes"))*Inputs!$B$1+((Inputs!$G$5:$G$190&lt;&gt;"moeda")*(Inputs!$G$5:$G$190&lt;&gt;"acoes")))*INDEX(Inputs!$K$5:$AJ$190,0,MATCH(K$2,Inputs!$K$4:$AJ$4,0)))))</f>
        <v>#N/A</v>
      </c>
      <c r="L24" s="6" t="e">
        <f>IF(ISNA(MATCH(L$2,Inputs!$K$4:$AJ$4,0)),NA(),IF(SUMPRODUCT((Inputs!$A$5:$A$190=$B24)*ISNUMBER(INDEX(Inputs!$K$5:$AJ$190,0,MATCH(L$2,Inputs!$K$4:$AJ$4,0))))+SUMPRODUCT((Inputs!$C$5:$C$190=$B24)*ISNUMBER(INDEX(Inputs!$K$5:$AJ$190,0,MATCH(L$2,Inputs!$K$4:$AJ$4,0))))+SUMPRODUCT((Inputs!$E$5:$E$190=$B24)*ISNUMBER(INDEX(Inputs!$K$5:$AJ$190,0,MATCH(L$2,Inputs!$K$4:$AJ$4,0))))=0,NA(),SUMPRODUCT((Inputs!$A$5:$A$190=$B24)*Inputs!$B$5:$B$190*(((Inputs!$G$5:$G$190="moeda")+(Inputs!$G$5:$G$190="acoes"))*Inputs!$B$1+((Inputs!$G$5:$G$190&lt;&gt;"moeda")*(Inputs!$G$5:$G$190&lt;&gt;"acoes")))*INDEX(Inputs!$K$5:$AJ$190,0,MATCH(L$2,Inputs!$K$4:$AJ$4,0)))+SUMPRODUCT((Inputs!$C$5:$C$190=$B24)*Inputs!$D$5:$D$190*(((Inputs!$G$5:$G$190="moeda")+(Inputs!$G$5:$G$190="acoes"))*Inputs!$B$1+((Inputs!$G$5:$G$190&lt;&gt;"moeda")*(Inputs!$G$5:$G$190&lt;&gt;"acoes")))*INDEX(Inputs!$K$5:$AJ$190,0,MATCH(L$2,Inputs!$K$4:$AJ$4,0)))+SUMPRODUCT((Inputs!$E$5:$E$190=$B24)*Inputs!$F$5:$F$190*(((Inputs!$G$5:$G$190="moeda")+(Inputs!$G$5:$G$190="acoes"))*Inputs!$B$1+((Inputs!$G$5:$G$190&lt;&gt;"moeda")*(Inputs!$G$5:$G$190&lt;&gt;"acoes")))*INDEX(Inputs!$K$5:$AJ$190,0,MATCH(L$2,Inputs!$K$4:$AJ$4,0)))))</f>
        <v>#N/A</v>
      </c>
      <c r="M24" s="3" t="e">
        <f>L24</f>
        <v>#N/A</v>
      </c>
      <c r="N24" s="6" t="e">
        <f>IF(ISNA(MATCH(N$2,Inputs!$K$4:$AJ$4,0)),NA(),IF(SUMPRODUCT((Inputs!$A$5:$A$190=$B24)*ISNUMBER(INDEX(Inputs!$K$5:$AJ$190,0,MATCH(N$2,Inputs!$K$4:$AJ$4,0))))+SUMPRODUCT((Inputs!$C$5:$C$190=$B24)*ISNUMBER(INDEX(Inputs!$K$5:$AJ$190,0,MATCH(N$2,Inputs!$K$4:$AJ$4,0))))+SUMPRODUCT((Inputs!$E$5:$E$190=$B24)*ISNUMBER(INDEX(Inputs!$K$5:$AJ$190,0,MATCH(N$2,Inputs!$K$4:$AJ$4,0))))=0,NA(),SUMPRODUCT((Inputs!$A$5:$A$190=$B24)*Inputs!$B$5:$B$190*(((Inputs!$G$5:$G$190="moeda")+(Inputs!$G$5:$G$190="acoes"))*Inputs!$B$1+((Inputs!$G$5:$G$190&lt;&gt;"moeda")*(Inputs!$G$5:$G$190&lt;&gt;"acoes")))*INDEX(Inputs!$K$5:$AJ$190,0,MATCH(N$2,Inputs!$K$4:$AJ$4,0)))+SUMPRODUCT((Inputs!$C$5:$C$190=$B24)*Inputs!$D$5:$D$190*(((Inputs!$G$5:$G$190="moeda")+(Inputs!$G$5:$G$190="acoes"))*Inputs!$B$1+((Inputs!$G$5:$G$190&lt;&gt;"moeda")*(Inputs!$G$5:$G$190&lt;&gt;"acoes")))*INDEX(Inputs!$K$5:$AJ$190,0,MATCH(N$2,Inputs!$K$4:$AJ$4,0)))+SUMPRODUCT((Inputs!$E$5:$E$190=$B24)*Inputs!$F$5:$F$190*(((Inputs!$G$5:$G$190="moeda")+(Inputs!$G$5:$G$190="acoes"))*Inputs!$B$1+((Inputs!$G$5:$G$190&lt;&gt;"moeda")*(Inputs!$G$5:$G$190&lt;&gt;"acoes")))*INDEX(Inputs!$K$5:$AJ$190,0,MATCH(N$2,Inputs!$K$4:$AJ$4,0)))))</f>
        <v>#N/A</v>
      </c>
      <c r="O24" s="6" t="e">
        <f>IF(ISNA(MATCH(O$2,Inputs!$K$4:$AJ$4,0)),NA(),IF(SUMPRODUCT((Inputs!$A$5:$A$190=$B24)*ISNUMBER(INDEX(Inputs!$K$5:$AJ$190,0,MATCH(O$2,Inputs!$K$4:$AJ$4,0))))+SUMPRODUCT((Inputs!$C$5:$C$190=$B24)*ISNUMBER(INDEX(Inputs!$K$5:$AJ$190,0,MATCH(O$2,Inputs!$K$4:$AJ$4,0))))+SUMPRODUCT((Inputs!$E$5:$E$190=$B24)*ISNUMBER(INDEX(Inputs!$K$5:$AJ$190,0,MATCH(O$2,Inputs!$K$4:$AJ$4,0))))=0,NA(),SUMPRODUCT((Inputs!$A$5:$A$190=$B24)*Inputs!$B$5:$B$190*(((Inputs!$G$5:$G$190="moeda")+(Inputs!$G$5:$G$190="acoes"))*Inputs!$B$1+((Inputs!$G$5:$G$190&lt;&gt;"moeda")*(Inputs!$G$5:$G$190&lt;&gt;"acoes")))*INDEX(Inputs!$K$5:$AJ$190,0,MATCH(O$2,Inputs!$K$4:$AJ$4,0)))+SUMPRODUCT((Inputs!$C$5:$C$190=$B24)*Inputs!$D$5:$D$190*(((Inputs!$G$5:$G$190="moeda")+(Inputs!$G$5:$G$190="acoes"))*Inputs!$B$1+((Inputs!$G$5:$G$190&lt;&gt;"moeda")*(Inputs!$G$5:$G$190&lt;&gt;"acoes")))*INDEX(Inputs!$K$5:$AJ$190,0,MATCH(O$2,Inputs!$K$4:$AJ$4,0)))+SUMPRODUCT((Inputs!$E$5:$E$190=$B24)*Inputs!$F$5:$F$190*(((Inputs!$G$5:$G$190="moeda")+(Inputs!$G$5:$G$190="acoes"))*Inputs!$B$1+((Inputs!$G$5:$G$190&lt;&gt;"moeda")*(Inputs!$G$5:$G$190&lt;&gt;"acoes")))*INDEX(Inputs!$K$5:$AJ$190,0,MATCH(O$2,Inputs!$K$4:$AJ$4,0)))))</f>
        <v>#N/A</v>
      </c>
      <c r="P24" s="6" t="e">
        <f>IF(ISNA(MATCH(P$2,Inputs!$K$4:$AJ$4,0)),NA(),IF(SUMPRODUCT((Inputs!$A$5:$A$190=$B24)*ISNUMBER(INDEX(Inputs!$K$5:$AJ$190,0,MATCH(P$2,Inputs!$K$4:$AJ$4,0))))+SUMPRODUCT((Inputs!$C$5:$C$190=$B24)*ISNUMBER(INDEX(Inputs!$K$5:$AJ$190,0,MATCH(P$2,Inputs!$K$4:$AJ$4,0))))+SUMPRODUCT((Inputs!$E$5:$E$190=$B24)*ISNUMBER(INDEX(Inputs!$K$5:$AJ$190,0,MATCH(P$2,Inputs!$K$4:$AJ$4,0))))=0,NA(),SUMPRODUCT((Inputs!$A$5:$A$190=$B24)*Inputs!$B$5:$B$190*(((Inputs!$G$5:$G$190="moeda")+(Inputs!$G$5:$G$190="acoes"))*Inputs!$B$1+((Inputs!$G$5:$G$190&lt;&gt;"moeda")*(Inputs!$G$5:$G$190&lt;&gt;"acoes")))*INDEX(Inputs!$K$5:$AJ$190,0,MATCH(P$2,Inputs!$K$4:$AJ$4,0)))+SUMPRODUCT((Inputs!$C$5:$C$190=$B24)*Inputs!$D$5:$D$190*(((Inputs!$G$5:$G$190="moeda")+(Inputs!$G$5:$G$190="acoes"))*Inputs!$B$1+((Inputs!$G$5:$G$190&lt;&gt;"moeda")*(Inputs!$G$5:$G$190&lt;&gt;"acoes")))*INDEX(Inputs!$K$5:$AJ$190,0,MATCH(P$2,Inputs!$K$4:$AJ$4,0)))+SUMPRODUCT((Inputs!$E$5:$E$190=$B24)*Inputs!$F$5:$F$190*(((Inputs!$G$5:$G$190="moeda")+(Inputs!$G$5:$G$190="acoes"))*Inputs!$B$1+((Inputs!$G$5:$G$190&lt;&gt;"moeda")*(Inputs!$G$5:$G$190&lt;&gt;"acoes")))*INDEX(Inputs!$K$5:$AJ$190,0,MATCH(P$2,Inputs!$K$4:$AJ$4,0)))))</f>
        <v>#N/A</v>
      </c>
      <c r="Q24" s="6" t="e">
        <f>IF(ISNA(MATCH(Q$2,Inputs!$K$4:$AJ$4,0)),NA(),IF(SUMPRODUCT((Inputs!$A$5:$A$190=$B24)*ISNUMBER(INDEX(Inputs!$K$5:$AJ$190,0,MATCH(Q$2,Inputs!$K$4:$AJ$4,0))))+SUMPRODUCT((Inputs!$C$5:$C$190=$B24)*ISNUMBER(INDEX(Inputs!$K$5:$AJ$190,0,MATCH(Q$2,Inputs!$K$4:$AJ$4,0))))+SUMPRODUCT((Inputs!$E$5:$E$190=$B24)*ISNUMBER(INDEX(Inputs!$K$5:$AJ$190,0,MATCH(Q$2,Inputs!$K$4:$AJ$4,0))))=0,NA(),SUMPRODUCT((Inputs!$A$5:$A$190=$B24)*Inputs!$B$5:$B$190*(((Inputs!$G$5:$G$190="moeda")+(Inputs!$G$5:$G$190="acoes"))*Inputs!$B$1+((Inputs!$G$5:$G$190&lt;&gt;"moeda")*(Inputs!$G$5:$G$190&lt;&gt;"acoes")))*INDEX(Inputs!$K$5:$AJ$190,0,MATCH(Q$2,Inputs!$K$4:$AJ$4,0)))+SUMPRODUCT((Inputs!$C$5:$C$190=$B24)*Inputs!$D$5:$D$190*(((Inputs!$G$5:$G$190="moeda")+(Inputs!$G$5:$G$190="acoes"))*Inputs!$B$1+((Inputs!$G$5:$G$190&lt;&gt;"moeda")*(Inputs!$G$5:$G$190&lt;&gt;"acoes")))*INDEX(Inputs!$K$5:$AJ$190,0,MATCH(Q$2,Inputs!$K$4:$AJ$4,0)))+SUMPRODUCT((Inputs!$E$5:$E$190=$B24)*Inputs!$F$5:$F$190*(((Inputs!$G$5:$G$190="moeda")+(Inputs!$G$5:$G$190="acoes"))*Inputs!$B$1+((Inputs!$G$5:$G$190&lt;&gt;"moeda")*(Inputs!$G$5:$G$190&lt;&gt;"acoes")))*INDEX(Inputs!$K$5:$AJ$190,0,MATCH(Q$2,Inputs!$K$4:$AJ$4,0)))))</f>
        <v>#N/A</v>
      </c>
      <c r="R24" s="3" t="e">
        <f>Q24</f>
        <v>#N/A</v>
      </c>
      <c r="S24" s="6" t="e">
        <f>IF(ISNA(MATCH(S$2,Inputs!$K$4:$AJ$4,0)),NA(),IF(SUMPRODUCT((Inputs!$A$5:$A$190=$B24)*ISNUMBER(INDEX(Inputs!$K$5:$AJ$190,0,MATCH(S$2,Inputs!$K$4:$AJ$4,0))))+SUMPRODUCT((Inputs!$C$5:$C$190=$B24)*ISNUMBER(INDEX(Inputs!$K$5:$AJ$190,0,MATCH(S$2,Inputs!$K$4:$AJ$4,0))))+SUMPRODUCT((Inputs!$E$5:$E$190=$B24)*ISNUMBER(INDEX(Inputs!$K$5:$AJ$190,0,MATCH(S$2,Inputs!$K$4:$AJ$4,0))))=0,NA(),SUMPRODUCT((Inputs!$A$5:$A$190=$B24)*Inputs!$B$5:$B$190*(((Inputs!$G$5:$G$190="moeda")+(Inputs!$G$5:$G$190="acoes"))*Inputs!$B$1+((Inputs!$G$5:$G$190&lt;&gt;"moeda")*(Inputs!$G$5:$G$190&lt;&gt;"acoes")))*INDEX(Inputs!$K$5:$AJ$190,0,MATCH(S$2,Inputs!$K$4:$AJ$4,0)))+SUMPRODUCT((Inputs!$C$5:$C$190=$B24)*Inputs!$D$5:$D$190*(((Inputs!$G$5:$G$190="moeda")+(Inputs!$G$5:$G$190="acoes"))*Inputs!$B$1+((Inputs!$G$5:$G$190&lt;&gt;"moeda")*(Inputs!$G$5:$G$190&lt;&gt;"acoes")))*INDEX(Inputs!$K$5:$AJ$190,0,MATCH(S$2,Inputs!$K$4:$AJ$4,0)))+SUMPRODUCT((Inputs!$E$5:$E$190=$B24)*Inputs!$F$5:$F$190*(((Inputs!$G$5:$G$190="moeda")+(Inputs!$G$5:$G$190="acoes"))*Inputs!$B$1+((Inputs!$G$5:$G$190&lt;&gt;"moeda")*(Inputs!$G$5:$G$190&lt;&gt;"acoes")))*INDEX(Inputs!$K$5:$AJ$190,0,MATCH(S$2,Inputs!$K$4:$AJ$4,0)))))</f>
        <v>#N/A</v>
      </c>
      <c r="T24" s="6" t="e">
        <f>IF(ISNA(MATCH(T$2,Inputs!$K$4:$AJ$4,0)),NA(),IF(SUMPRODUCT((Inputs!$A$5:$A$190=$B24)*ISNUMBER(INDEX(Inputs!$K$5:$AJ$190,0,MATCH(T$2,Inputs!$K$4:$AJ$4,0))))+SUMPRODUCT((Inputs!$C$5:$C$190=$B24)*ISNUMBER(INDEX(Inputs!$K$5:$AJ$190,0,MATCH(T$2,Inputs!$K$4:$AJ$4,0))))+SUMPRODUCT((Inputs!$E$5:$E$190=$B24)*ISNUMBER(INDEX(Inputs!$K$5:$AJ$190,0,MATCH(T$2,Inputs!$K$4:$AJ$4,0))))=0,NA(),SUMPRODUCT((Inputs!$A$5:$A$190=$B24)*Inputs!$B$5:$B$190*(((Inputs!$G$5:$G$190="moeda")+(Inputs!$G$5:$G$190="acoes"))*Inputs!$B$1+((Inputs!$G$5:$G$190&lt;&gt;"moeda")*(Inputs!$G$5:$G$190&lt;&gt;"acoes")))*INDEX(Inputs!$K$5:$AJ$190,0,MATCH(T$2,Inputs!$K$4:$AJ$4,0)))+SUMPRODUCT((Inputs!$C$5:$C$190=$B24)*Inputs!$D$5:$D$190*(((Inputs!$G$5:$G$190="moeda")+(Inputs!$G$5:$G$190="acoes"))*Inputs!$B$1+((Inputs!$G$5:$G$190&lt;&gt;"moeda")*(Inputs!$G$5:$G$190&lt;&gt;"acoes")))*INDEX(Inputs!$K$5:$AJ$190,0,MATCH(T$2,Inputs!$K$4:$AJ$4,0)))+SUMPRODUCT((Inputs!$E$5:$E$190=$B24)*Inputs!$F$5:$F$190*(((Inputs!$G$5:$G$190="moeda")+(Inputs!$G$5:$G$190="acoes"))*Inputs!$B$1+((Inputs!$G$5:$G$190&lt;&gt;"moeda")*(Inputs!$G$5:$G$190&lt;&gt;"acoes")))*INDEX(Inputs!$K$5:$AJ$190,0,MATCH(T$2,Inputs!$K$4:$AJ$4,0)))))</f>
        <v>#N/A</v>
      </c>
      <c r="U24" s="6" t="e">
        <f>IF(ISNA(MATCH(U$2,Inputs!$K$4:$AJ$4,0)),NA(),IF(SUMPRODUCT((Inputs!$A$5:$A$190=$B24)*ISNUMBER(INDEX(Inputs!$K$5:$AJ$190,0,MATCH(U$2,Inputs!$K$4:$AJ$4,0))))+SUMPRODUCT((Inputs!$C$5:$C$190=$B24)*ISNUMBER(INDEX(Inputs!$K$5:$AJ$190,0,MATCH(U$2,Inputs!$K$4:$AJ$4,0))))+SUMPRODUCT((Inputs!$E$5:$E$190=$B24)*ISNUMBER(INDEX(Inputs!$K$5:$AJ$190,0,MATCH(U$2,Inputs!$K$4:$AJ$4,0))))=0,NA(),SUMPRODUCT((Inputs!$A$5:$A$190=$B24)*Inputs!$B$5:$B$190*(((Inputs!$G$5:$G$190="moeda")+(Inputs!$G$5:$G$190="acoes"))*Inputs!$B$1+((Inputs!$G$5:$G$190&lt;&gt;"moeda")*(Inputs!$G$5:$G$190&lt;&gt;"acoes")))*INDEX(Inputs!$K$5:$AJ$190,0,MATCH(U$2,Inputs!$K$4:$AJ$4,0)))+SUMPRODUCT((Inputs!$C$5:$C$190=$B24)*Inputs!$D$5:$D$190*(((Inputs!$G$5:$G$190="moeda")+(Inputs!$G$5:$G$190="acoes"))*Inputs!$B$1+((Inputs!$G$5:$G$190&lt;&gt;"moeda")*(Inputs!$G$5:$G$190&lt;&gt;"acoes")))*INDEX(Inputs!$K$5:$AJ$190,0,MATCH(U$2,Inputs!$K$4:$AJ$4,0)))+SUMPRODUCT((Inputs!$E$5:$E$190=$B24)*Inputs!$F$5:$F$190*(((Inputs!$G$5:$G$190="moeda")+(Inputs!$G$5:$G$190="acoes"))*Inputs!$B$1+((Inputs!$G$5:$G$190&lt;&gt;"moeda")*(Inputs!$G$5:$G$190&lt;&gt;"acoes")))*INDEX(Inputs!$K$5:$AJ$190,0,MATCH(U$2,Inputs!$K$4:$AJ$4,0)))))</f>
        <v>#N/A</v>
      </c>
      <c r="V24" s="6" t="e">
        <f>IF(ISNA(MATCH(V$2,Inputs!$K$4:$AJ$4,0)),NA(),IF(SUMPRODUCT((Inputs!$A$5:$A$190=$B24)*ISNUMBER(INDEX(Inputs!$K$5:$AJ$190,0,MATCH(V$2,Inputs!$K$4:$AJ$4,0))))+SUMPRODUCT((Inputs!$C$5:$C$190=$B24)*ISNUMBER(INDEX(Inputs!$K$5:$AJ$190,0,MATCH(V$2,Inputs!$K$4:$AJ$4,0))))+SUMPRODUCT((Inputs!$E$5:$E$190=$B24)*ISNUMBER(INDEX(Inputs!$K$5:$AJ$190,0,MATCH(V$2,Inputs!$K$4:$AJ$4,0))))=0,NA(),SUMPRODUCT((Inputs!$A$5:$A$190=$B24)*Inputs!$B$5:$B$190*(((Inputs!$G$5:$G$190="moeda")+(Inputs!$G$5:$G$190="acoes"))*Inputs!$B$1+((Inputs!$G$5:$G$190&lt;&gt;"moeda")*(Inputs!$G$5:$G$190&lt;&gt;"acoes")))*INDEX(Inputs!$K$5:$AJ$190,0,MATCH(V$2,Inputs!$K$4:$AJ$4,0)))+SUMPRODUCT((Inputs!$C$5:$C$190=$B24)*Inputs!$D$5:$D$190*(((Inputs!$G$5:$G$190="moeda")+(Inputs!$G$5:$G$190="acoes"))*Inputs!$B$1+((Inputs!$G$5:$G$190&lt;&gt;"moeda")*(Inputs!$G$5:$G$190&lt;&gt;"acoes")))*INDEX(Inputs!$K$5:$AJ$190,0,MATCH(V$2,Inputs!$K$4:$AJ$4,0)))+SUMPRODUCT((Inputs!$E$5:$E$190=$B24)*Inputs!$F$5:$F$190*(((Inputs!$G$5:$G$190="moeda")+(Inputs!$G$5:$G$190="acoes"))*Inputs!$B$1+((Inputs!$G$5:$G$190&lt;&gt;"moeda")*(Inputs!$G$5:$G$190&lt;&gt;"acoes")))*INDEX(Inputs!$K$5:$AJ$190,0,MATCH(V$2,Inputs!$K$4:$AJ$4,0)))))</f>
        <v>#N/A</v>
      </c>
      <c r="W24" s="3" t="e">
        <f>V24</f>
        <v>#N/A</v>
      </c>
      <c r="X24" s="6" t="e">
        <f>IF(ISNA(MATCH(X$2,Inputs!$K$4:$AJ$4,0)),NA(),IF(SUMPRODUCT((Inputs!$A$5:$A$190=$B24)*ISNUMBER(INDEX(Inputs!$K$5:$AJ$190,0,MATCH(X$2,Inputs!$K$4:$AJ$4,0))))+SUMPRODUCT((Inputs!$C$5:$C$190=$B24)*ISNUMBER(INDEX(Inputs!$K$5:$AJ$190,0,MATCH(X$2,Inputs!$K$4:$AJ$4,0))))+SUMPRODUCT((Inputs!$E$5:$E$190=$B24)*ISNUMBER(INDEX(Inputs!$K$5:$AJ$190,0,MATCH(X$2,Inputs!$K$4:$AJ$4,0))))=0,NA(),SUMPRODUCT((Inputs!$A$5:$A$190=$B24)*Inputs!$B$5:$B$190*(((Inputs!$G$5:$G$190="moeda")+(Inputs!$G$5:$G$190="acoes"))*Inputs!$B$1+((Inputs!$G$5:$G$190&lt;&gt;"moeda")*(Inputs!$G$5:$G$190&lt;&gt;"acoes")))*INDEX(Inputs!$K$5:$AJ$190,0,MATCH(X$2,Inputs!$K$4:$AJ$4,0)))+SUMPRODUCT((Inputs!$C$5:$C$190=$B24)*Inputs!$D$5:$D$190*(((Inputs!$G$5:$G$190="moeda")+(Inputs!$G$5:$G$190="acoes"))*Inputs!$B$1+((Inputs!$G$5:$G$190&lt;&gt;"moeda")*(Inputs!$G$5:$G$190&lt;&gt;"acoes")))*INDEX(Inputs!$K$5:$AJ$190,0,MATCH(X$2,Inputs!$K$4:$AJ$4,0)))+SUMPRODUCT((Inputs!$E$5:$E$190=$B24)*Inputs!$F$5:$F$190*(((Inputs!$G$5:$G$190="moeda")+(Inputs!$G$5:$G$190="acoes"))*Inputs!$B$1+((Inputs!$G$5:$G$190&lt;&gt;"moeda")*(Inputs!$G$5:$G$190&lt;&gt;"acoes")))*INDEX(Inputs!$K$5:$AJ$190,0,MATCH(X$2,Inputs!$K$4:$AJ$4,0)))))</f>
        <v>#N/A</v>
      </c>
      <c r="Y24" s="6" t="e">
        <f>IF(ISNA(MATCH(Y$2,Inputs!$K$4:$AJ$4,0)),NA(),IF(SUMPRODUCT((Inputs!$A$5:$A$190=$B24)*ISNUMBER(INDEX(Inputs!$K$5:$AJ$190,0,MATCH(Y$2,Inputs!$K$4:$AJ$4,0))))+SUMPRODUCT((Inputs!$C$5:$C$190=$B24)*ISNUMBER(INDEX(Inputs!$K$5:$AJ$190,0,MATCH(Y$2,Inputs!$K$4:$AJ$4,0))))+SUMPRODUCT((Inputs!$E$5:$E$190=$B24)*ISNUMBER(INDEX(Inputs!$K$5:$AJ$190,0,MATCH(Y$2,Inputs!$K$4:$AJ$4,0))))=0,NA(),SUMPRODUCT((Inputs!$A$5:$A$190=$B24)*Inputs!$B$5:$B$190*(((Inputs!$G$5:$G$190="moeda")+(Inputs!$G$5:$G$190="acoes"))*Inputs!$B$1+((Inputs!$G$5:$G$190&lt;&gt;"moeda")*(Inputs!$G$5:$G$190&lt;&gt;"acoes")))*INDEX(Inputs!$K$5:$AJ$190,0,MATCH(Y$2,Inputs!$K$4:$AJ$4,0)))+SUMPRODUCT((Inputs!$C$5:$C$190=$B24)*Inputs!$D$5:$D$190*(((Inputs!$G$5:$G$190="moeda")+(Inputs!$G$5:$G$190="acoes"))*Inputs!$B$1+((Inputs!$G$5:$G$190&lt;&gt;"moeda")*(Inputs!$G$5:$G$190&lt;&gt;"acoes")))*INDEX(Inputs!$K$5:$AJ$190,0,MATCH(Y$2,Inputs!$K$4:$AJ$4,0)))+SUMPRODUCT((Inputs!$E$5:$E$190=$B24)*Inputs!$F$5:$F$190*(((Inputs!$G$5:$G$190="moeda")+(Inputs!$G$5:$G$190="acoes"))*Inputs!$B$1+((Inputs!$G$5:$G$190&lt;&gt;"moeda")*(Inputs!$G$5:$G$190&lt;&gt;"acoes")))*INDEX(Inputs!$K$5:$AJ$190,0,MATCH(Y$2,Inputs!$K$4:$AJ$4,0)))))</f>
        <v>#N/A</v>
      </c>
      <c r="Z24" s="6" t="e">
        <f>IF(ISNA(MATCH(Z$2,Inputs!$K$4:$AJ$4,0)),NA(),IF(SUMPRODUCT((Inputs!$A$5:$A$190=$B24)*ISNUMBER(INDEX(Inputs!$K$5:$AJ$190,0,MATCH(Z$2,Inputs!$K$4:$AJ$4,0))))+SUMPRODUCT((Inputs!$C$5:$C$190=$B24)*ISNUMBER(INDEX(Inputs!$K$5:$AJ$190,0,MATCH(Z$2,Inputs!$K$4:$AJ$4,0))))+SUMPRODUCT((Inputs!$E$5:$E$190=$B24)*ISNUMBER(INDEX(Inputs!$K$5:$AJ$190,0,MATCH(Z$2,Inputs!$K$4:$AJ$4,0))))=0,NA(),SUMPRODUCT((Inputs!$A$5:$A$190=$B24)*Inputs!$B$5:$B$190*(((Inputs!$G$5:$G$190="moeda")+(Inputs!$G$5:$G$190="acoes"))*Inputs!$B$1+((Inputs!$G$5:$G$190&lt;&gt;"moeda")*(Inputs!$G$5:$G$190&lt;&gt;"acoes")))*INDEX(Inputs!$K$5:$AJ$190,0,MATCH(Z$2,Inputs!$K$4:$AJ$4,0)))+SUMPRODUCT((Inputs!$C$5:$C$190=$B24)*Inputs!$D$5:$D$190*(((Inputs!$G$5:$G$190="moeda")+(Inputs!$G$5:$G$190="acoes"))*Inputs!$B$1+((Inputs!$G$5:$G$190&lt;&gt;"moeda")*(Inputs!$G$5:$G$190&lt;&gt;"acoes")))*INDEX(Inputs!$K$5:$AJ$190,0,MATCH(Z$2,Inputs!$K$4:$AJ$4,0)))+SUMPRODUCT((Inputs!$E$5:$E$190=$B24)*Inputs!$F$5:$F$190*(((Inputs!$G$5:$G$190="moeda")+(Inputs!$G$5:$G$190="acoes"))*Inputs!$B$1+((Inputs!$G$5:$G$190&lt;&gt;"moeda")*(Inputs!$G$5:$G$190&lt;&gt;"acoes")))*INDEX(Inputs!$K$5:$AJ$190,0,MATCH(Z$2,Inputs!$K$4:$AJ$4,0)))))</f>
        <v>#N/A</v>
      </c>
      <c r="AA24" s="6" t="e">
        <f>IF(ISNA(MATCH(AA$2,Inputs!$K$4:$AJ$4,0)),NA(),IF(SUMPRODUCT((Inputs!$A$5:$A$190=$B24)*ISNUMBER(INDEX(Inputs!$K$5:$AJ$190,0,MATCH(AA$2,Inputs!$K$4:$AJ$4,0))))+SUMPRODUCT((Inputs!$C$5:$C$190=$B24)*ISNUMBER(INDEX(Inputs!$K$5:$AJ$190,0,MATCH(AA$2,Inputs!$K$4:$AJ$4,0))))+SUMPRODUCT((Inputs!$E$5:$E$190=$B24)*ISNUMBER(INDEX(Inputs!$K$5:$AJ$190,0,MATCH(AA$2,Inputs!$K$4:$AJ$4,0))))=0,NA(),SUMPRODUCT((Inputs!$A$5:$A$190=$B24)*Inputs!$B$5:$B$190*(((Inputs!$G$5:$G$190="moeda")+(Inputs!$G$5:$G$190="acoes"))*Inputs!$B$1+((Inputs!$G$5:$G$190&lt;&gt;"moeda")*(Inputs!$G$5:$G$190&lt;&gt;"acoes")))*INDEX(Inputs!$K$5:$AJ$190,0,MATCH(AA$2,Inputs!$K$4:$AJ$4,0)))+SUMPRODUCT((Inputs!$C$5:$C$190=$B24)*Inputs!$D$5:$D$190*(((Inputs!$G$5:$G$190="moeda")+(Inputs!$G$5:$G$190="acoes"))*Inputs!$B$1+((Inputs!$G$5:$G$190&lt;&gt;"moeda")*(Inputs!$G$5:$G$190&lt;&gt;"acoes")))*INDEX(Inputs!$K$5:$AJ$190,0,MATCH(AA$2,Inputs!$K$4:$AJ$4,0)))+SUMPRODUCT((Inputs!$E$5:$E$190=$B24)*Inputs!$F$5:$F$190*(((Inputs!$G$5:$G$190="moeda")+(Inputs!$G$5:$G$190="acoes"))*Inputs!$B$1+((Inputs!$G$5:$G$190&lt;&gt;"moeda")*(Inputs!$G$5:$G$190&lt;&gt;"acoes")))*INDEX(Inputs!$K$5:$AJ$190,0,MATCH(AA$2,Inputs!$K$4:$AJ$4,0)))))</f>
        <v>#N/A</v>
      </c>
      <c r="AB24" s="3" t="e">
        <f>AA24</f>
        <v>#N/A</v>
      </c>
      <c r="AC24" s="6" t="e">
        <f>IF(ISNA(MATCH(AC$2,Inputs!$K$4:$AJ$4,0)),NA(),IF(SUMPRODUCT((Inputs!$A$5:$A$190=$B24)*ISNUMBER(INDEX(Inputs!$K$5:$AJ$190,0,MATCH(AC$2,Inputs!$K$4:$AJ$4,0))))+SUMPRODUCT((Inputs!$C$5:$C$190=$B24)*ISNUMBER(INDEX(Inputs!$K$5:$AJ$190,0,MATCH(AC$2,Inputs!$K$4:$AJ$4,0))))+SUMPRODUCT((Inputs!$E$5:$E$190=$B24)*ISNUMBER(INDEX(Inputs!$K$5:$AJ$190,0,MATCH(AC$2,Inputs!$K$4:$AJ$4,0))))=0,NA(),SUMPRODUCT((Inputs!$A$5:$A$190=$B24)*Inputs!$B$5:$B$190*(((Inputs!$G$5:$G$190="moeda")+(Inputs!$G$5:$G$190="acoes"))*Inputs!$B$1+((Inputs!$G$5:$G$190&lt;&gt;"moeda")*(Inputs!$G$5:$G$190&lt;&gt;"acoes")))*INDEX(Inputs!$K$5:$AJ$190,0,MATCH(AC$2,Inputs!$K$4:$AJ$4,0)))+SUMPRODUCT((Inputs!$C$5:$C$190=$B24)*Inputs!$D$5:$D$190*(((Inputs!$G$5:$G$190="moeda")+(Inputs!$G$5:$G$190="acoes"))*Inputs!$B$1+((Inputs!$G$5:$G$190&lt;&gt;"moeda")*(Inputs!$G$5:$G$190&lt;&gt;"acoes")))*INDEX(Inputs!$K$5:$AJ$190,0,MATCH(AC$2,Inputs!$K$4:$AJ$4,0)))+SUMPRODUCT((Inputs!$E$5:$E$190=$B24)*Inputs!$F$5:$F$190*(((Inputs!$G$5:$G$190="moeda")+(Inputs!$G$5:$G$190="acoes"))*Inputs!$B$1+((Inputs!$G$5:$G$190&lt;&gt;"moeda")*(Inputs!$G$5:$G$190&lt;&gt;"acoes")))*INDEX(Inputs!$K$5:$AJ$190,0,MATCH(AC$2,Inputs!$K$4:$AJ$4,0)))))</f>
        <v>#N/A</v>
      </c>
      <c r="AD24" s="6" t="e">
        <f>IF(ISNA(MATCH(AD$2,Inputs!$K$4:$AJ$4,0)),NA(),IF(SUMPRODUCT((Inputs!$A$5:$A$190=$B24)*ISNUMBER(INDEX(Inputs!$K$5:$AJ$190,0,MATCH(AD$2,Inputs!$K$4:$AJ$4,0))))+SUMPRODUCT((Inputs!$C$5:$C$190=$B24)*ISNUMBER(INDEX(Inputs!$K$5:$AJ$190,0,MATCH(AD$2,Inputs!$K$4:$AJ$4,0))))+SUMPRODUCT((Inputs!$E$5:$E$190=$B24)*ISNUMBER(INDEX(Inputs!$K$5:$AJ$190,0,MATCH(AD$2,Inputs!$K$4:$AJ$4,0))))=0,NA(),SUMPRODUCT((Inputs!$A$5:$A$190=$B24)*Inputs!$B$5:$B$190*(((Inputs!$G$5:$G$190="moeda")+(Inputs!$G$5:$G$190="acoes"))*Inputs!$B$1+((Inputs!$G$5:$G$190&lt;&gt;"moeda")*(Inputs!$G$5:$G$190&lt;&gt;"acoes")))*INDEX(Inputs!$K$5:$AJ$190,0,MATCH(AD$2,Inputs!$K$4:$AJ$4,0)))+SUMPRODUCT((Inputs!$C$5:$C$190=$B24)*Inputs!$D$5:$D$190*(((Inputs!$G$5:$G$190="moeda")+(Inputs!$G$5:$G$190="acoes"))*Inputs!$B$1+((Inputs!$G$5:$G$190&lt;&gt;"moeda")*(Inputs!$G$5:$G$190&lt;&gt;"acoes")))*INDEX(Inputs!$K$5:$AJ$190,0,MATCH(AD$2,Inputs!$K$4:$AJ$4,0)))+SUMPRODUCT((Inputs!$E$5:$E$190=$B24)*Inputs!$F$5:$F$190*(((Inputs!$G$5:$G$190="moeda")+(Inputs!$G$5:$G$190="acoes"))*Inputs!$B$1+((Inputs!$G$5:$G$190&lt;&gt;"moeda")*(Inputs!$G$5:$G$190&lt;&gt;"acoes")))*INDEX(Inputs!$K$5:$AJ$190,0,MATCH(AD$2,Inputs!$K$4:$AJ$4,0)))))</f>
        <v>#N/A</v>
      </c>
      <c r="AE24" s="6" t="e">
        <f>IF(ISNA(MATCH(AE$2,Inputs!$K$4:$AJ$4,0)),NA(),IF(SUMPRODUCT((Inputs!$A$5:$A$190=$B24)*ISNUMBER(INDEX(Inputs!$K$5:$AJ$190,0,MATCH(AE$2,Inputs!$K$4:$AJ$4,0))))+SUMPRODUCT((Inputs!$C$5:$C$190=$B24)*ISNUMBER(INDEX(Inputs!$K$5:$AJ$190,0,MATCH(AE$2,Inputs!$K$4:$AJ$4,0))))+SUMPRODUCT((Inputs!$E$5:$E$190=$B24)*ISNUMBER(INDEX(Inputs!$K$5:$AJ$190,0,MATCH(AE$2,Inputs!$K$4:$AJ$4,0))))=0,NA(),SUMPRODUCT((Inputs!$A$5:$A$190=$B24)*Inputs!$B$5:$B$190*(((Inputs!$G$5:$G$190="moeda")+(Inputs!$G$5:$G$190="acoes"))*Inputs!$B$1+((Inputs!$G$5:$G$190&lt;&gt;"moeda")*(Inputs!$G$5:$G$190&lt;&gt;"acoes")))*INDEX(Inputs!$K$5:$AJ$190,0,MATCH(AE$2,Inputs!$K$4:$AJ$4,0)))+SUMPRODUCT((Inputs!$C$5:$C$190=$B24)*Inputs!$D$5:$D$190*(((Inputs!$G$5:$G$190="moeda")+(Inputs!$G$5:$G$190="acoes"))*Inputs!$B$1+((Inputs!$G$5:$G$190&lt;&gt;"moeda")*(Inputs!$G$5:$G$190&lt;&gt;"acoes")))*INDEX(Inputs!$K$5:$AJ$190,0,MATCH(AE$2,Inputs!$K$4:$AJ$4,0)))+SUMPRODUCT((Inputs!$E$5:$E$190=$B24)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24" s="6" t="e">
        <f>IF(ISNA(MATCH(AF$2,Inputs!$K$4:$AJ$4,0)),NA(),IF(SUMPRODUCT((Inputs!$A$5:$A$190=$B24)*ISNUMBER(INDEX(Inputs!$K$5:$AJ$190,0,MATCH(AF$2,Inputs!$K$4:$AJ$4,0))))+SUMPRODUCT((Inputs!$C$5:$C$190=$B24)*ISNUMBER(INDEX(Inputs!$K$5:$AJ$190,0,MATCH(AF$2,Inputs!$K$4:$AJ$4,0))))+SUMPRODUCT((Inputs!$E$5:$E$190=$B24)*ISNUMBER(INDEX(Inputs!$K$5:$AJ$190,0,MATCH(AF$2,Inputs!$K$4:$AJ$4,0))))=0,NA(),SUMPRODUCT((Inputs!$A$5:$A$190=$B24)*Inputs!$B$5:$B$190*(((Inputs!$G$5:$G$190="moeda")+(Inputs!$G$5:$G$190="acoes"))*Inputs!$B$1+((Inputs!$G$5:$G$190&lt;&gt;"moeda")*(Inputs!$G$5:$G$190&lt;&gt;"acoes")))*INDEX(Inputs!$K$5:$AJ$190,0,MATCH(AF$2,Inputs!$K$4:$AJ$4,0)))+SUMPRODUCT((Inputs!$C$5:$C$190=$B24)*Inputs!$D$5:$D$190*(((Inputs!$G$5:$G$190="moeda")+(Inputs!$G$5:$G$190="acoes"))*Inputs!$B$1+((Inputs!$G$5:$G$190&lt;&gt;"moeda")*(Inputs!$G$5:$G$190&lt;&gt;"acoes")))*INDEX(Inputs!$K$5:$AJ$190,0,MATCH(AF$2,Inputs!$K$4:$AJ$4,0)))+SUMPRODUCT((Inputs!$E$5:$E$190=$B24)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24" s="3" t="e">
        <f>AF24</f>
        <v>#N/A</v>
      </c>
      <c r="AH24" s="6" t="e">
        <f>IF(ISNA(MATCH(AH$2,Inputs!$K$4:$AJ$4,0)),NA(),IF(SUMPRODUCT((Inputs!$A$5:$A$190=$B24)*ISNUMBER(INDEX(Inputs!$K$5:$AJ$190,0,MATCH(AH$2,Inputs!$K$4:$AJ$4,0))))+SUMPRODUCT((Inputs!$C$5:$C$190=$B24)*ISNUMBER(INDEX(Inputs!$K$5:$AJ$190,0,MATCH(AH$2,Inputs!$K$4:$AJ$4,0))))+SUMPRODUCT((Inputs!$E$5:$E$190=$B24)*ISNUMBER(INDEX(Inputs!$K$5:$AJ$190,0,MATCH(AH$2,Inputs!$K$4:$AJ$4,0))))=0,NA(),SUMPRODUCT((Inputs!$A$5:$A$190=$B24)*Inputs!$B$5:$B$190*(((Inputs!$G$5:$G$190="moeda")+(Inputs!$G$5:$G$190="acoes"))*Inputs!$B$1+((Inputs!$G$5:$G$190&lt;&gt;"moeda")*(Inputs!$G$5:$G$190&lt;&gt;"acoes")))*INDEX(Inputs!$K$5:$AJ$190,0,MATCH(AH$2,Inputs!$K$4:$AJ$4,0)))+SUMPRODUCT((Inputs!$C$5:$C$190=$B24)*Inputs!$D$5:$D$190*(((Inputs!$G$5:$G$190="moeda")+(Inputs!$G$5:$G$190="acoes"))*Inputs!$B$1+((Inputs!$G$5:$G$190&lt;&gt;"moeda")*(Inputs!$G$5:$G$190&lt;&gt;"acoes")))*INDEX(Inputs!$K$5:$AJ$190,0,MATCH(AH$2,Inputs!$K$4:$AJ$4,0)))+SUMPRODUCT((Inputs!$E$5:$E$190=$B24)*Inputs!$F$5:$F$190*(((Inputs!$G$5:$G$190="moeda")+(Inputs!$G$5:$G$190="acoes"))*Inputs!$B$1+((Inputs!$G$5:$G$190&lt;&gt;"moeda")*(Inputs!$G$5:$G$190&lt;&gt;"acoes")))*INDEX(Inputs!$K$5:$AJ$190,0,MATCH(AH$2,Inputs!$K$4:$AJ$4,0)))))</f>
        <v>#N/A</v>
      </c>
      <c r="AI24" s="6" t="e">
        <f>IF(ISNA(MATCH(AI$2,Inputs!$K$4:$AJ$4,0)),NA(),IF(SUMPRODUCT((Inputs!$A$5:$A$190=$B24)*ISNUMBER(INDEX(Inputs!$K$5:$AJ$190,0,MATCH(AI$2,Inputs!$K$4:$AJ$4,0))))+SUMPRODUCT((Inputs!$C$5:$C$190=$B24)*ISNUMBER(INDEX(Inputs!$K$5:$AJ$190,0,MATCH(AI$2,Inputs!$K$4:$AJ$4,0))))+SUMPRODUCT((Inputs!$E$5:$E$190=$B24)*ISNUMBER(INDEX(Inputs!$K$5:$AJ$190,0,MATCH(AI$2,Inputs!$K$4:$AJ$4,0))))=0,NA(),SUMPRODUCT((Inputs!$A$5:$A$190=$B24)*Inputs!$B$5:$B$190*(((Inputs!$G$5:$G$190="moeda")+(Inputs!$G$5:$G$190="acoes"))*Inputs!$B$1+((Inputs!$G$5:$G$190&lt;&gt;"moeda")*(Inputs!$G$5:$G$190&lt;&gt;"acoes")))*INDEX(Inputs!$K$5:$AJ$190,0,MATCH(AI$2,Inputs!$K$4:$AJ$4,0)))+SUMPRODUCT((Inputs!$C$5:$C$190=$B24)*Inputs!$D$5:$D$190*(((Inputs!$G$5:$G$190="moeda")+(Inputs!$G$5:$G$190="acoes"))*Inputs!$B$1+((Inputs!$G$5:$G$190&lt;&gt;"moeda")*(Inputs!$G$5:$G$190&lt;&gt;"acoes")))*INDEX(Inputs!$K$5:$AJ$190,0,MATCH(AI$2,Inputs!$K$4:$AJ$4,0)))+SUMPRODUCT((Inputs!$E$5:$E$190=$B24)*Inputs!$F$5:$F$190*(((Inputs!$G$5:$G$190="moeda")+(Inputs!$G$5:$G$190="acoes"))*Inputs!$B$1+((Inputs!$G$5:$G$190&lt;&gt;"moeda")*(Inputs!$G$5:$G$190&lt;&gt;"acoes")))*INDEX(Inputs!$K$5:$AJ$190,0,MATCH(AI$2,Inputs!$K$4:$AJ$4,0)))))</f>
        <v>#N/A</v>
      </c>
      <c r="AJ24" s="6" t="e">
        <f>IF(ISNA(MATCH(AJ$2,Inputs!$K$4:$AJ$4,0)),NA(),IF(SUMPRODUCT((Inputs!$A$5:$A$190=$B24)*ISNUMBER(INDEX(Inputs!$K$5:$AJ$190,0,MATCH(AJ$2,Inputs!$K$4:$AJ$4,0))))+SUMPRODUCT((Inputs!$C$5:$C$190=$B24)*ISNUMBER(INDEX(Inputs!$K$5:$AJ$190,0,MATCH(AJ$2,Inputs!$K$4:$AJ$4,0))))+SUMPRODUCT((Inputs!$E$5:$E$190=$B24)*ISNUMBER(INDEX(Inputs!$K$5:$AJ$190,0,MATCH(AJ$2,Inputs!$K$4:$AJ$4,0))))=0,NA(),SUMPRODUCT((Inputs!$A$5:$A$190=$B24)*Inputs!$B$5:$B$190*(((Inputs!$G$5:$G$190="moeda")+(Inputs!$G$5:$G$190="acoes"))*Inputs!$B$1+((Inputs!$G$5:$G$190&lt;&gt;"moeda")*(Inputs!$G$5:$G$190&lt;&gt;"acoes")))*INDEX(Inputs!$K$5:$AJ$190,0,MATCH(AJ$2,Inputs!$K$4:$AJ$4,0)))+SUMPRODUCT((Inputs!$C$5:$C$190=$B24)*Inputs!$D$5:$D$190*(((Inputs!$G$5:$G$190="moeda")+(Inputs!$G$5:$G$190="acoes"))*Inputs!$B$1+((Inputs!$G$5:$G$190&lt;&gt;"moeda")*(Inputs!$G$5:$G$190&lt;&gt;"acoes")))*INDEX(Inputs!$K$5:$AJ$190,0,MATCH(AJ$2,Inputs!$K$4:$AJ$4,0)))+SUMPRODUCT((Inputs!$E$5:$E$190=$B24)*Inputs!$F$5:$F$190*(((Inputs!$G$5:$G$190="moeda")+(Inputs!$G$5:$G$190="acoes"))*Inputs!$B$1+((Inputs!$G$5:$G$190&lt;&gt;"moeda")*(Inputs!$G$5:$G$190&lt;&gt;"acoes")))*INDEX(Inputs!$K$5:$AJ$190,0,MATCH(AJ$2,Inputs!$K$4:$AJ$4,0)))))</f>
        <v>#N/A</v>
      </c>
      <c r="AK24" s="6" t="e">
        <f>IF(ISNA(MATCH(AK$2,Inputs!$K$4:$AJ$4,0)),NA(),IF(SUMPRODUCT((Inputs!$A$5:$A$190=$B24)*ISNUMBER(INDEX(Inputs!$K$5:$AJ$190,0,MATCH(AK$2,Inputs!$K$4:$AJ$4,0))))+SUMPRODUCT((Inputs!$C$5:$C$190=$B24)*ISNUMBER(INDEX(Inputs!$K$5:$AJ$190,0,MATCH(AK$2,Inputs!$K$4:$AJ$4,0))))+SUMPRODUCT((Inputs!$E$5:$E$190=$B24)*ISNUMBER(INDEX(Inputs!$K$5:$AJ$190,0,MATCH(AK$2,Inputs!$K$4:$AJ$4,0))))=0,NA(),SUMPRODUCT((Inputs!$A$5:$A$190=$B24)*Inputs!$B$5:$B$190*(((Inputs!$G$5:$G$190="moeda")+(Inputs!$G$5:$G$190="acoes"))*Inputs!$B$1+((Inputs!$G$5:$G$190&lt;&gt;"moeda")*(Inputs!$G$5:$G$190&lt;&gt;"acoes")))*INDEX(Inputs!$K$5:$AJ$190,0,MATCH(AK$2,Inputs!$K$4:$AJ$4,0)))+SUMPRODUCT((Inputs!$C$5:$C$190=$B24)*Inputs!$D$5:$D$190*(((Inputs!$G$5:$G$190="moeda")+(Inputs!$G$5:$G$190="acoes"))*Inputs!$B$1+((Inputs!$G$5:$G$190&lt;&gt;"moeda")*(Inputs!$G$5:$G$190&lt;&gt;"acoes")))*INDEX(Inputs!$K$5:$AJ$190,0,MATCH(AK$2,Inputs!$K$4:$AJ$4,0)))+SUMPRODUCT((Inputs!$E$5:$E$190=$B24)*Inputs!$F$5:$F$190*(((Inputs!$G$5:$G$190="moeda")+(Inputs!$G$5:$G$190="acoes"))*Inputs!$B$1+((Inputs!$G$5:$G$190&lt;&gt;"moeda")*(Inputs!$G$5:$G$190&lt;&gt;"acoes")))*INDEX(Inputs!$K$5:$AJ$190,0,MATCH(AK$2,Inputs!$K$4:$AJ$4,0)))))</f>
        <v>#N/A</v>
      </c>
      <c r="AL24" s="3" t="e">
        <f>AK24</f>
        <v>#N/A</v>
      </c>
    </row>
    <row r="25">
      <c r="B25" s="46" t="n">
        <v>21</v>
      </c>
      <c r="C25" s="26" t="inlineStr">
        <is>
          <t>Intangibles</t>
        </is>
      </c>
      <c r="D25" s="6">
        <f>IF(ISNA(MATCH(D$2,Inputs!$K$4:$AJ$4,0)),NA(),IF(SUMPRODUCT((Inputs!$A$5:$A$190=$B25)*ISNUMBER(INDEX(Inputs!$K$5:$AJ$190,0,MATCH(D$2,Inputs!$K$4:$AJ$4,0))))+SUMPRODUCT((Inputs!$C$5:$C$190=$B25)*ISNUMBER(INDEX(Inputs!$K$5:$AJ$190,0,MATCH(D$2,Inputs!$K$4:$AJ$4,0))))+SUMPRODUCT((Inputs!$E$5:$E$190=$B25)*ISNUMBER(INDEX(Inputs!$K$5:$AJ$190,0,MATCH(D$2,Inputs!$K$4:$AJ$4,0))))=0,NA(),SUMPRODUCT((Inputs!$A$5:$A$190=$B25)*Inputs!$B$5:$B$190*(((Inputs!$G$5:$G$190="moeda")+(Inputs!$G$5:$G$190="acoes"))*Inputs!$B$1+((Inputs!$G$5:$G$190&lt;&gt;"moeda")*(Inputs!$G$5:$G$190&lt;&gt;"acoes")))*INDEX(Inputs!$K$5:$AJ$190,0,MATCH(D$2,Inputs!$K$4:$AJ$4,0)))+SUMPRODUCT((Inputs!$C$5:$C$190=$B25)*Inputs!$D$5:$D$190*(((Inputs!$G$5:$G$190="moeda")+(Inputs!$G$5:$G$190="acoes"))*Inputs!$B$1+((Inputs!$G$5:$G$190&lt;&gt;"moeda")*(Inputs!$G$5:$G$190&lt;&gt;"acoes")))*INDEX(Inputs!$K$5:$AJ$190,0,MATCH(D$2,Inputs!$K$4:$AJ$4,0)))+SUMPRODUCT((Inputs!$E$5:$E$190=$B25)*Inputs!$F$5:$F$190*(((Inputs!$G$5:$G$190="moeda")+(Inputs!$G$5:$G$190="acoes"))*Inputs!$B$1+((Inputs!$G$5:$G$190&lt;&gt;"moeda")*(Inputs!$G$5:$G$190&lt;&gt;"acoes")))*INDEX(Inputs!$K$5:$AJ$190,0,MATCH(D$2,Inputs!$K$4:$AJ$4,0)))))</f>
        <v>1075.183</v>
      </c>
      <c r="E25" s="6">
        <f>IF(ISNA(MATCH(E$2,Inputs!$K$4:$AJ$4,0)),NA(),IF(SUMPRODUCT((Inputs!$A$5:$A$190=$B25)*ISNUMBER(INDEX(Inputs!$K$5:$AJ$190,0,MATCH(E$2,Inputs!$K$4:$AJ$4,0))))+SUMPRODUCT((Inputs!$C$5:$C$190=$B25)*ISNUMBER(INDEX(Inputs!$K$5:$AJ$190,0,MATCH(E$2,Inputs!$K$4:$AJ$4,0))))+SUMPRODUCT((Inputs!$E$5:$E$190=$B25)*ISNUMBER(INDEX(Inputs!$K$5:$AJ$190,0,MATCH(E$2,Inputs!$K$4:$AJ$4,0))))=0,NA(),SUMPRODUCT((Inputs!$A$5:$A$190=$B25)*Inputs!$B$5:$B$190*(((Inputs!$G$5:$G$190="moeda")+(Inputs!$G$5:$G$190="acoes"))*Inputs!$B$1+((Inputs!$G$5:$G$190&lt;&gt;"moeda")*(Inputs!$G$5:$G$190&lt;&gt;"acoes")))*INDEX(Inputs!$K$5:$AJ$190,0,MATCH(E$2,Inputs!$K$4:$AJ$4,0)))+SUMPRODUCT((Inputs!$C$5:$C$190=$B25)*Inputs!$D$5:$D$190*(((Inputs!$G$5:$G$190="moeda")+(Inputs!$G$5:$G$190="acoes"))*Inputs!$B$1+((Inputs!$G$5:$G$190&lt;&gt;"moeda")*(Inputs!$G$5:$G$190&lt;&gt;"acoes")))*INDEX(Inputs!$K$5:$AJ$190,0,MATCH(E$2,Inputs!$K$4:$AJ$4,0)))+SUMPRODUCT((Inputs!$E$5:$E$190=$B25)*Inputs!$F$5:$F$190*(((Inputs!$G$5:$G$190="moeda")+(Inputs!$G$5:$G$190="acoes"))*Inputs!$B$1+((Inputs!$G$5:$G$190&lt;&gt;"moeda")*(Inputs!$G$5:$G$190&lt;&gt;"acoes")))*INDEX(Inputs!$K$5:$AJ$190,0,MATCH(E$2,Inputs!$K$4:$AJ$4,0)))))</f>
        <v>1223.829</v>
      </c>
      <c r="F25" s="6">
        <f>IF(ISNA(MATCH(F$2,Inputs!$K$4:$AJ$4,0)),NA(),IF(SUMPRODUCT((Inputs!$A$5:$A$190=$B25)*ISNUMBER(INDEX(Inputs!$K$5:$AJ$190,0,MATCH(F$2,Inputs!$K$4:$AJ$4,0))))+SUMPRODUCT((Inputs!$C$5:$C$190=$B25)*ISNUMBER(INDEX(Inputs!$K$5:$AJ$190,0,MATCH(F$2,Inputs!$K$4:$AJ$4,0))))+SUMPRODUCT((Inputs!$E$5:$E$190=$B25)*ISNUMBER(INDEX(Inputs!$K$5:$AJ$190,0,MATCH(F$2,Inputs!$K$4:$AJ$4,0))))=0,NA(),SUMPRODUCT((Inputs!$A$5:$A$190=$B25)*Inputs!$B$5:$B$190*(((Inputs!$G$5:$G$190="moeda")+(Inputs!$G$5:$G$190="acoes"))*Inputs!$B$1+((Inputs!$G$5:$G$190&lt;&gt;"moeda")*(Inputs!$G$5:$G$190&lt;&gt;"acoes")))*INDEX(Inputs!$K$5:$AJ$190,0,MATCH(F$2,Inputs!$K$4:$AJ$4,0)))+SUMPRODUCT((Inputs!$C$5:$C$190=$B25)*Inputs!$D$5:$D$190*(((Inputs!$G$5:$G$190="moeda")+(Inputs!$G$5:$G$190="acoes"))*Inputs!$B$1+((Inputs!$G$5:$G$190&lt;&gt;"moeda")*(Inputs!$G$5:$G$190&lt;&gt;"acoes")))*INDEX(Inputs!$K$5:$AJ$190,0,MATCH(F$2,Inputs!$K$4:$AJ$4,0)))+SUMPRODUCT((Inputs!$E$5:$E$190=$B25)*Inputs!$F$5:$F$190*(((Inputs!$G$5:$G$190="moeda")+(Inputs!$G$5:$G$190="acoes"))*Inputs!$B$1+((Inputs!$G$5:$G$190&lt;&gt;"moeda")*(Inputs!$G$5:$G$190&lt;&gt;"acoes")))*INDEX(Inputs!$K$5:$AJ$190,0,MATCH(F$2,Inputs!$K$4:$AJ$4,0)))))</f>
        <v>1267.48</v>
      </c>
      <c r="G25" s="6">
        <f>IF(ISNA(MATCH(G$2,Inputs!$K$4:$AJ$4,0)),NA(),IF(SUMPRODUCT((Inputs!$A$5:$A$190=$B25)*ISNUMBER(INDEX(Inputs!$K$5:$AJ$190,0,MATCH(G$2,Inputs!$K$4:$AJ$4,0))))+SUMPRODUCT((Inputs!$C$5:$C$190=$B25)*ISNUMBER(INDEX(Inputs!$K$5:$AJ$190,0,MATCH(G$2,Inputs!$K$4:$AJ$4,0))))+SUMPRODUCT((Inputs!$E$5:$E$190=$B25)*ISNUMBER(INDEX(Inputs!$K$5:$AJ$190,0,MATCH(G$2,Inputs!$K$4:$AJ$4,0))))=0,NA(),SUMPRODUCT((Inputs!$A$5:$A$190=$B25)*Inputs!$B$5:$B$190*(((Inputs!$G$5:$G$190="moeda")+(Inputs!$G$5:$G$190="acoes"))*Inputs!$B$1+((Inputs!$G$5:$G$190&lt;&gt;"moeda")*(Inputs!$G$5:$G$190&lt;&gt;"acoes")))*INDEX(Inputs!$K$5:$AJ$190,0,MATCH(G$2,Inputs!$K$4:$AJ$4,0)))+SUMPRODUCT((Inputs!$C$5:$C$190=$B25)*Inputs!$D$5:$D$190*(((Inputs!$G$5:$G$190="moeda")+(Inputs!$G$5:$G$190="acoes"))*Inputs!$B$1+((Inputs!$G$5:$G$190&lt;&gt;"moeda")*(Inputs!$G$5:$G$190&lt;&gt;"acoes")))*INDEX(Inputs!$K$5:$AJ$190,0,MATCH(G$2,Inputs!$K$4:$AJ$4,0)))+SUMPRODUCT((Inputs!$E$5:$E$190=$B25)*Inputs!$F$5:$F$190*(((Inputs!$G$5:$G$190="moeda")+(Inputs!$G$5:$G$190="acoes"))*Inputs!$B$1+((Inputs!$G$5:$G$190&lt;&gt;"moeda")*(Inputs!$G$5:$G$190&lt;&gt;"acoes")))*INDEX(Inputs!$K$5:$AJ$190,0,MATCH(G$2,Inputs!$K$4:$AJ$4,0)))))</f>
        <v>1346.837</v>
      </c>
      <c r="H25" s="3">
        <f>G25</f>
        <v>1346.837</v>
      </c>
      <c r="I25" s="6">
        <f>IF(ISNA(MATCH(I$2,Inputs!$K$4:$AJ$4,0)),NA(),IF(SUMPRODUCT((Inputs!$A$5:$A$190=$B25)*ISNUMBER(INDEX(Inputs!$K$5:$AJ$190,0,MATCH(I$2,Inputs!$K$4:$AJ$4,0))))+SUMPRODUCT((Inputs!$C$5:$C$190=$B25)*ISNUMBER(INDEX(Inputs!$K$5:$AJ$190,0,MATCH(I$2,Inputs!$K$4:$AJ$4,0))))+SUMPRODUCT((Inputs!$E$5:$E$190=$B25)*ISNUMBER(INDEX(Inputs!$K$5:$AJ$190,0,MATCH(I$2,Inputs!$K$4:$AJ$4,0))))=0,NA(),SUMPRODUCT((Inputs!$A$5:$A$190=$B25)*Inputs!$B$5:$B$190*(((Inputs!$G$5:$G$190="moeda")+(Inputs!$G$5:$G$190="acoes"))*Inputs!$B$1+((Inputs!$G$5:$G$190&lt;&gt;"moeda")*(Inputs!$G$5:$G$190&lt;&gt;"acoes")))*INDEX(Inputs!$K$5:$AJ$190,0,MATCH(I$2,Inputs!$K$4:$AJ$4,0)))+SUMPRODUCT((Inputs!$C$5:$C$190=$B25)*Inputs!$D$5:$D$190*(((Inputs!$G$5:$G$190="moeda")+(Inputs!$G$5:$G$190="acoes"))*Inputs!$B$1+((Inputs!$G$5:$G$190&lt;&gt;"moeda")*(Inputs!$G$5:$G$190&lt;&gt;"acoes")))*INDEX(Inputs!$K$5:$AJ$190,0,MATCH(I$2,Inputs!$K$4:$AJ$4,0)))+SUMPRODUCT((Inputs!$E$5:$E$190=$B25)*Inputs!$F$5:$F$190*(((Inputs!$G$5:$G$190="moeda")+(Inputs!$G$5:$G$190="acoes"))*Inputs!$B$1+((Inputs!$G$5:$G$190&lt;&gt;"moeda")*(Inputs!$G$5:$G$190&lt;&gt;"acoes")))*INDEX(Inputs!$K$5:$AJ$190,0,MATCH(I$2,Inputs!$K$4:$AJ$4,0)))))</f>
        <v>1368.722</v>
      </c>
      <c r="J25" s="6">
        <f>IF(ISNA(MATCH(J$2,Inputs!$K$4:$AJ$4,0)),NA(),IF(SUMPRODUCT((Inputs!$A$5:$A$190=$B25)*ISNUMBER(INDEX(Inputs!$K$5:$AJ$190,0,MATCH(J$2,Inputs!$K$4:$AJ$4,0))))+SUMPRODUCT((Inputs!$C$5:$C$190=$B25)*ISNUMBER(INDEX(Inputs!$K$5:$AJ$190,0,MATCH(J$2,Inputs!$K$4:$AJ$4,0))))+SUMPRODUCT((Inputs!$E$5:$E$190=$B25)*ISNUMBER(INDEX(Inputs!$K$5:$AJ$190,0,MATCH(J$2,Inputs!$K$4:$AJ$4,0))))=0,NA(),SUMPRODUCT((Inputs!$A$5:$A$190=$B25)*Inputs!$B$5:$B$190*(((Inputs!$G$5:$G$190="moeda")+(Inputs!$G$5:$G$190="acoes"))*Inputs!$B$1+((Inputs!$G$5:$G$190&lt;&gt;"moeda")*(Inputs!$G$5:$G$190&lt;&gt;"acoes")))*INDEX(Inputs!$K$5:$AJ$190,0,MATCH(J$2,Inputs!$K$4:$AJ$4,0)))+SUMPRODUCT((Inputs!$C$5:$C$190=$B25)*Inputs!$D$5:$D$190*(((Inputs!$G$5:$G$190="moeda")+(Inputs!$G$5:$G$190="acoes"))*Inputs!$B$1+((Inputs!$G$5:$G$190&lt;&gt;"moeda")*(Inputs!$G$5:$G$190&lt;&gt;"acoes")))*INDEX(Inputs!$K$5:$AJ$190,0,MATCH(J$2,Inputs!$K$4:$AJ$4,0)))+SUMPRODUCT((Inputs!$E$5:$E$190=$B25)*Inputs!$F$5:$F$190*(((Inputs!$G$5:$G$190="moeda")+(Inputs!$G$5:$G$190="acoes"))*Inputs!$B$1+((Inputs!$G$5:$G$190&lt;&gt;"moeda")*(Inputs!$G$5:$G$190&lt;&gt;"acoes")))*INDEX(Inputs!$K$5:$AJ$190,0,MATCH(J$2,Inputs!$K$4:$AJ$4,0)))))</f>
        <v>1751.855</v>
      </c>
      <c r="K25" s="6">
        <f>IF(ISNA(MATCH(K$2,Inputs!$K$4:$AJ$4,0)),NA(),IF(SUMPRODUCT((Inputs!$A$5:$A$190=$B25)*ISNUMBER(INDEX(Inputs!$K$5:$AJ$190,0,MATCH(K$2,Inputs!$K$4:$AJ$4,0))))+SUMPRODUCT((Inputs!$C$5:$C$190=$B25)*ISNUMBER(INDEX(Inputs!$K$5:$AJ$190,0,MATCH(K$2,Inputs!$K$4:$AJ$4,0))))+SUMPRODUCT((Inputs!$E$5:$E$190=$B25)*ISNUMBER(INDEX(Inputs!$K$5:$AJ$190,0,MATCH(K$2,Inputs!$K$4:$AJ$4,0))))=0,NA(),SUMPRODUCT((Inputs!$A$5:$A$190=$B25)*Inputs!$B$5:$B$190*(((Inputs!$G$5:$G$190="moeda")+(Inputs!$G$5:$G$190="acoes"))*Inputs!$B$1+((Inputs!$G$5:$G$190&lt;&gt;"moeda")*(Inputs!$G$5:$G$190&lt;&gt;"acoes")))*INDEX(Inputs!$K$5:$AJ$190,0,MATCH(K$2,Inputs!$K$4:$AJ$4,0)))+SUMPRODUCT((Inputs!$C$5:$C$190=$B25)*Inputs!$D$5:$D$190*(((Inputs!$G$5:$G$190="moeda")+(Inputs!$G$5:$G$190="acoes"))*Inputs!$B$1+((Inputs!$G$5:$G$190&lt;&gt;"moeda")*(Inputs!$G$5:$G$190&lt;&gt;"acoes")))*INDEX(Inputs!$K$5:$AJ$190,0,MATCH(K$2,Inputs!$K$4:$AJ$4,0)))+SUMPRODUCT((Inputs!$E$5:$E$190=$B25)*Inputs!$F$5:$F$190*(((Inputs!$G$5:$G$190="moeda")+(Inputs!$G$5:$G$190="acoes"))*Inputs!$B$1+((Inputs!$G$5:$G$190&lt;&gt;"moeda")*(Inputs!$G$5:$G$190&lt;&gt;"acoes")))*INDEX(Inputs!$K$5:$AJ$190,0,MATCH(K$2,Inputs!$K$4:$AJ$4,0)))))</f>
        <v>2385.375</v>
      </c>
      <c r="L25" s="6">
        <f>IF(ISNA(MATCH(L$2,Inputs!$K$4:$AJ$4,0)),NA(),IF(SUMPRODUCT((Inputs!$A$5:$A$190=$B25)*ISNUMBER(INDEX(Inputs!$K$5:$AJ$190,0,MATCH(L$2,Inputs!$K$4:$AJ$4,0))))+SUMPRODUCT((Inputs!$C$5:$C$190=$B25)*ISNUMBER(INDEX(Inputs!$K$5:$AJ$190,0,MATCH(L$2,Inputs!$K$4:$AJ$4,0))))+SUMPRODUCT((Inputs!$E$5:$E$190=$B25)*ISNUMBER(INDEX(Inputs!$K$5:$AJ$190,0,MATCH(L$2,Inputs!$K$4:$AJ$4,0))))=0,NA(),SUMPRODUCT((Inputs!$A$5:$A$190=$B25)*Inputs!$B$5:$B$190*(((Inputs!$G$5:$G$190="moeda")+(Inputs!$G$5:$G$190="acoes"))*Inputs!$B$1+((Inputs!$G$5:$G$190&lt;&gt;"moeda")*(Inputs!$G$5:$G$190&lt;&gt;"acoes")))*INDEX(Inputs!$K$5:$AJ$190,0,MATCH(L$2,Inputs!$K$4:$AJ$4,0)))+SUMPRODUCT((Inputs!$C$5:$C$190=$B25)*Inputs!$D$5:$D$190*(((Inputs!$G$5:$G$190="moeda")+(Inputs!$G$5:$G$190="acoes"))*Inputs!$B$1+((Inputs!$G$5:$G$190&lt;&gt;"moeda")*(Inputs!$G$5:$G$190&lt;&gt;"acoes")))*INDEX(Inputs!$K$5:$AJ$190,0,MATCH(L$2,Inputs!$K$4:$AJ$4,0)))+SUMPRODUCT((Inputs!$E$5:$E$190=$B25)*Inputs!$F$5:$F$190*(((Inputs!$G$5:$G$190="moeda")+(Inputs!$G$5:$G$190="acoes"))*Inputs!$B$1+((Inputs!$G$5:$G$190&lt;&gt;"moeda")*(Inputs!$G$5:$G$190&lt;&gt;"acoes")))*INDEX(Inputs!$K$5:$AJ$190,0,MATCH(L$2,Inputs!$K$4:$AJ$4,0)))))</f>
        <v>3026.787</v>
      </c>
      <c r="M25" s="3">
        <f>L25</f>
        <v>3026.787</v>
      </c>
      <c r="N25" s="6">
        <f>IF(ISNA(MATCH(N$2,Inputs!$K$4:$AJ$4,0)),NA(),IF(SUMPRODUCT((Inputs!$A$5:$A$190=$B25)*ISNUMBER(INDEX(Inputs!$K$5:$AJ$190,0,MATCH(N$2,Inputs!$K$4:$AJ$4,0))))+SUMPRODUCT((Inputs!$C$5:$C$190=$B25)*ISNUMBER(INDEX(Inputs!$K$5:$AJ$190,0,MATCH(N$2,Inputs!$K$4:$AJ$4,0))))+SUMPRODUCT((Inputs!$E$5:$E$190=$B25)*ISNUMBER(INDEX(Inputs!$K$5:$AJ$190,0,MATCH(N$2,Inputs!$K$4:$AJ$4,0))))=0,NA(),SUMPRODUCT((Inputs!$A$5:$A$190=$B25)*Inputs!$B$5:$B$190*(((Inputs!$G$5:$G$190="moeda")+(Inputs!$G$5:$G$190="acoes"))*Inputs!$B$1+((Inputs!$G$5:$G$190&lt;&gt;"moeda")*(Inputs!$G$5:$G$190&lt;&gt;"acoes")))*INDEX(Inputs!$K$5:$AJ$190,0,MATCH(N$2,Inputs!$K$4:$AJ$4,0)))+SUMPRODUCT((Inputs!$C$5:$C$190=$B25)*Inputs!$D$5:$D$190*(((Inputs!$G$5:$G$190="moeda")+(Inputs!$G$5:$G$190="acoes"))*Inputs!$B$1+((Inputs!$G$5:$G$190&lt;&gt;"moeda")*(Inputs!$G$5:$G$190&lt;&gt;"acoes")))*INDEX(Inputs!$K$5:$AJ$190,0,MATCH(N$2,Inputs!$K$4:$AJ$4,0)))+SUMPRODUCT((Inputs!$E$5:$E$190=$B25)*Inputs!$F$5:$F$190*(((Inputs!$G$5:$G$190="moeda")+(Inputs!$G$5:$G$190="acoes"))*Inputs!$B$1+((Inputs!$G$5:$G$190&lt;&gt;"moeda")*(Inputs!$G$5:$G$190&lt;&gt;"acoes")))*INDEX(Inputs!$K$5:$AJ$190,0,MATCH(N$2,Inputs!$K$4:$AJ$4,0)))))</f>
        <v>3044.65127590202</v>
      </c>
      <c r="O25" s="6">
        <f>IF(ISNA(MATCH(O$2,Inputs!$K$4:$AJ$4,0)),NA(),IF(SUMPRODUCT((Inputs!$A$5:$A$190=$B25)*ISNUMBER(INDEX(Inputs!$K$5:$AJ$190,0,MATCH(O$2,Inputs!$K$4:$AJ$4,0))))+SUMPRODUCT((Inputs!$C$5:$C$190=$B25)*ISNUMBER(INDEX(Inputs!$K$5:$AJ$190,0,MATCH(O$2,Inputs!$K$4:$AJ$4,0))))+SUMPRODUCT((Inputs!$E$5:$E$190=$B25)*ISNUMBER(INDEX(Inputs!$K$5:$AJ$190,0,MATCH(O$2,Inputs!$K$4:$AJ$4,0))))=0,NA(),SUMPRODUCT((Inputs!$A$5:$A$190=$B25)*Inputs!$B$5:$B$190*(((Inputs!$G$5:$G$190="moeda")+(Inputs!$G$5:$G$190="acoes"))*Inputs!$B$1+((Inputs!$G$5:$G$190&lt;&gt;"moeda")*(Inputs!$G$5:$G$190&lt;&gt;"acoes")))*INDEX(Inputs!$K$5:$AJ$190,0,MATCH(O$2,Inputs!$K$4:$AJ$4,0)))+SUMPRODUCT((Inputs!$C$5:$C$190=$B25)*Inputs!$D$5:$D$190*(((Inputs!$G$5:$G$190="moeda")+(Inputs!$G$5:$G$190="acoes"))*Inputs!$B$1+((Inputs!$G$5:$G$190&lt;&gt;"moeda")*(Inputs!$G$5:$G$190&lt;&gt;"acoes")))*INDEX(Inputs!$K$5:$AJ$190,0,MATCH(O$2,Inputs!$K$4:$AJ$4,0)))+SUMPRODUCT((Inputs!$E$5:$E$190=$B25)*Inputs!$F$5:$F$190*(((Inputs!$G$5:$G$190="moeda")+(Inputs!$G$5:$G$190="acoes"))*Inputs!$B$1+((Inputs!$G$5:$G$190&lt;&gt;"moeda")*(Inputs!$G$5:$G$190&lt;&gt;"acoes")))*INDEX(Inputs!$K$5:$AJ$190,0,MATCH(O$2,Inputs!$K$4:$AJ$4,0)))))</f>
        <v>3317.40054457842</v>
      </c>
      <c r="P25" s="6">
        <f>IF(ISNA(MATCH(P$2,Inputs!$K$4:$AJ$4,0)),NA(),IF(SUMPRODUCT((Inputs!$A$5:$A$190=$B25)*ISNUMBER(INDEX(Inputs!$K$5:$AJ$190,0,MATCH(P$2,Inputs!$K$4:$AJ$4,0))))+SUMPRODUCT((Inputs!$C$5:$C$190=$B25)*ISNUMBER(INDEX(Inputs!$K$5:$AJ$190,0,MATCH(P$2,Inputs!$K$4:$AJ$4,0))))+SUMPRODUCT((Inputs!$E$5:$E$190=$B25)*ISNUMBER(INDEX(Inputs!$K$5:$AJ$190,0,MATCH(P$2,Inputs!$K$4:$AJ$4,0))))=0,NA(),SUMPRODUCT((Inputs!$A$5:$A$190=$B25)*Inputs!$B$5:$B$190*(((Inputs!$G$5:$G$190="moeda")+(Inputs!$G$5:$G$190="acoes"))*Inputs!$B$1+((Inputs!$G$5:$G$190&lt;&gt;"moeda")*(Inputs!$G$5:$G$190&lt;&gt;"acoes")))*INDEX(Inputs!$K$5:$AJ$190,0,MATCH(P$2,Inputs!$K$4:$AJ$4,0)))+SUMPRODUCT((Inputs!$C$5:$C$190=$B25)*Inputs!$D$5:$D$190*(((Inputs!$G$5:$G$190="moeda")+(Inputs!$G$5:$G$190="acoes"))*Inputs!$B$1+((Inputs!$G$5:$G$190&lt;&gt;"moeda")*(Inputs!$G$5:$G$190&lt;&gt;"acoes")))*INDEX(Inputs!$K$5:$AJ$190,0,MATCH(P$2,Inputs!$K$4:$AJ$4,0)))+SUMPRODUCT((Inputs!$E$5:$E$190=$B25)*Inputs!$F$5:$F$190*(((Inputs!$G$5:$G$190="moeda")+(Inputs!$G$5:$G$190="acoes"))*Inputs!$B$1+((Inputs!$G$5:$G$190&lt;&gt;"moeda")*(Inputs!$G$5:$G$190&lt;&gt;"acoes")))*INDEX(Inputs!$K$5:$AJ$190,0,MATCH(P$2,Inputs!$K$4:$AJ$4,0)))))</f>
        <v>3452.47424080022</v>
      </c>
      <c r="Q25" s="6">
        <f>IF(ISNA(MATCH(Q$2,Inputs!$K$4:$AJ$4,0)),NA(),IF(SUMPRODUCT((Inputs!$A$5:$A$190=$B25)*ISNUMBER(INDEX(Inputs!$K$5:$AJ$190,0,MATCH(Q$2,Inputs!$K$4:$AJ$4,0))))+SUMPRODUCT((Inputs!$C$5:$C$190=$B25)*ISNUMBER(INDEX(Inputs!$K$5:$AJ$190,0,MATCH(Q$2,Inputs!$K$4:$AJ$4,0))))+SUMPRODUCT((Inputs!$E$5:$E$190=$B25)*ISNUMBER(INDEX(Inputs!$K$5:$AJ$190,0,MATCH(Q$2,Inputs!$K$4:$AJ$4,0))))=0,NA(),SUMPRODUCT((Inputs!$A$5:$A$190=$B25)*Inputs!$B$5:$B$190*(((Inputs!$G$5:$G$190="moeda")+(Inputs!$G$5:$G$190="acoes"))*Inputs!$B$1+((Inputs!$G$5:$G$190&lt;&gt;"moeda")*(Inputs!$G$5:$G$190&lt;&gt;"acoes")))*INDEX(Inputs!$K$5:$AJ$190,0,MATCH(Q$2,Inputs!$K$4:$AJ$4,0)))+SUMPRODUCT((Inputs!$C$5:$C$190=$B25)*Inputs!$D$5:$D$190*(((Inputs!$G$5:$G$190="moeda")+(Inputs!$G$5:$G$190="acoes"))*Inputs!$B$1+((Inputs!$G$5:$G$190&lt;&gt;"moeda")*(Inputs!$G$5:$G$190&lt;&gt;"acoes")))*INDEX(Inputs!$K$5:$AJ$190,0,MATCH(Q$2,Inputs!$K$4:$AJ$4,0)))+SUMPRODUCT((Inputs!$E$5:$E$190=$B25)*Inputs!$F$5:$F$190*(((Inputs!$G$5:$G$190="moeda")+(Inputs!$G$5:$G$190="acoes"))*Inputs!$B$1+((Inputs!$G$5:$G$190&lt;&gt;"moeda")*(Inputs!$G$5:$G$190&lt;&gt;"acoes")))*INDEX(Inputs!$K$5:$AJ$190,0,MATCH(Q$2,Inputs!$K$4:$AJ$4,0)))))</f>
        <v>3516.65504205872</v>
      </c>
      <c r="R25" s="3">
        <f>Q25</f>
        <v>3516.65504205872</v>
      </c>
      <c r="S25" s="6">
        <f>IF(ISNA(MATCH(S$2,Inputs!$K$4:$AJ$4,0)),NA(),IF(SUMPRODUCT((Inputs!$A$5:$A$190=$B25)*ISNUMBER(INDEX(Inputs!$K$5:$AJ$190,0,MATCH(S$2,Inputs!$K$4:$AJ$4,0))))+SUMPRODUCT((Inputs!$C$5:$C$190=$B25)*ISNUMBER(INDEX(Inputs!$K$5:$AJ$190,0,MATCH(S$2,Inputs!$K$4:$AJ$4,0))))+SUMPRODUCT((Inputs!$E$5:$E$190=$B25)*ISNUMBER(INDEX(Inputs!$K$5:$AJ$190,0,MATCH(S$2,Inputs!$K$4:$AJ$4,0))))=0,NA(),SUMPRODUCT((Inputs!$A$5:$A$190=$B25)*Inputs!$B$5:$B$190*(((Inputs!$G$5:$G$190="moeda")+(Inputs!$G$5:$G$190="acoes"))*Inputs!$B$1+((Inputs!$G$5:$G$190&lt;&gt;"moeda")*(Inputs!$G$5:$G$190&lt;&gt;"acoes")))*INDEX(Inputs!$K$5:$AJ$190,0,MATCH(S$2,Inputs!$K$4:$AJ$4,0)))+SUMPRODUCT((Inputs!$C$5:$C$190=$B25)*Inputs!$D$5:$D$190*(((Inputs!$G$5:$G$190="moeda")+(Inputs!$G$5:$G$190="acoes"))*Inputs!$B$1+((Inputs!$G$5:$G$190&lt;&gt;"moeda")*(Inputs!$G$5:$G$190&lt;&gt;"acoes")))*INDEX(Inputs!$K$5:$AJ$190,0,MATCH(S$2,Inputs!$K$4:$AJ$4,0)))+SUMPRODUCT((Inputs!$E$5:$E$190=$B25)*Inputs!$F$5:$F$190*(((Inputs!$G$5:$G$190="moeda")+(Inputs!$G$5:$G$190="acoes"))*Inputs!$B$1+((Inputs!$G$5:$G$190&lt;&gt;"moeda")*(Inputs!$G$5:$G$190&lt;&gt;"acoes")))*INDEX(Inputs!$K$5:$AJ$190,0,MATCH(S$2,Inputs!$K$4:$AJ$4,0)))))</f>
        <v>3603.06087471752</v>
      </c>
      <c r="T25" s="6">
        <f>IF(ISNA(MATCH(T$2,Inputs!$K$4:$AJ$4,0)),NA(),IF(SUMPRODUCT((Inputs!$A$5:$A$190=$B25)*ISNUMBER(INDEX(Inputs!$K$5:$AJ$190,0,MATCH(T$2,Inputs!$K$4:$AJ$4,0))))+SUMPRODUCT((Inputs!$C$5:$C$190=$B25)*ISNUMBER(INDEX(Inputs!$K$5:$AJ$190,0,MATCH(T$2,Inputs!$K$4:$AJ$4,0))))+SUMPRODUCT((Inputs!$E$5:$E$190=$B25)*ISNUMBER(INDEX(Inputs!$K$5:$AJ$190,0,MATCH(T$2,Inputs!$K$4:$AJ$4,0))))=0,NA(),SUMPRODUCT((Inputs!$A$5:$A$190=$B25)*Inputs!$B$5:$B$190*(((Inputs!$G$5:$G$190="moeda")+(Inputs!$G$5:$G$190="acoes"))*Inputs!$B$1+((Inputs!$G$5:$G$190&lt;&gt;"moeda")*(Inputs!$G$5:$G$190&lt;&gt;"acoes")))*INDEX(Inputs!$K$5:$AJ$190,0,MATCH(T$2,Inputs!$K$4:$AJ$4,0)))+SUMPRODUCT((Inputs!$C$5:$C$190=$B25)*Inputs!$D$5:$D$190*(((Inputs!$G$5:$G$190="moeda")+(Inputs!$G$5:$G$190="acoes"))*Inputs!$B$1+((Inputs!$G$5:$G$190&lt;&gt;"moeda")*(Inputs!$G$5:$G$190&lt;&gt;"acoes")))*INDEX(Inputs!$K$5:$AJ$190,0,MATCH(T$2,Inputs!$K$4:$AJ$4,0)))+SUMPRODUCT((Inputs!$E$5:$E$190=$B25)*Inputs!$F$5:$F$190*(((Inputs!$G$5:$G$190="moeda")+(Inputs!$G$5:$G$190="acoes"))*Inputs!$B$1+((Inputs!$G$5:$G$190&lt;&gt;"moeda")*(Inputs!$G$5:$G$190&lt;&gt;"acoes")))*INDEX(Inputs!$K$5:$AJ$190,0,MATCH(T$2,Inputs!$K$4:$AJ$4,0)))))</f>
        <v>3831.16180965402</v>
      </c>
      <c r="U25" s="6">
        <f>IF(ISNA(MATCH(U$2,Inputs!$K$4:$AJ$4,0)),NA(),IF(SUMPRODUCT((Inputs!$A$5:$A$190=$B25)*ISNUMBER(INDEX(Inputs!$K$5:$AJ$190,0,MATCH(U$2,Inputs!$K$4:$AJ$4,0))))+SUMPRODUCT((Inputs!$C$5:$C$190=$B25)*ISNUMBER(INDEX(Inputs!$K$5:$AJ$190,0,MATCH(U$2,Inputs!$K$4:$AJ$4,0))))+SUMPRODUCT((Inputs!$E$5:$E$190=$B25)*ISNUMBER(INDEX(Inputs!$K$5:$AJ$190,0,MATCH(U$2,Inputs!$K$4:$AJ$4,0))))=0,NA(),SUMPRODUCT((Inputs!$A$5:$A$190=$B25)*Inputs!$B$5:$B$190*(((Inputs!$G$5:$G$190="moeda")+(Inputs!$G$5:$G$190="acoes"))*Inputs!$B$1+((Inputs!$G$5:$G$190&lt;&gt;"moeda")*(Inputs!$G$5:$G$190&lt;&gt;"acoes")))*INDEX(Inputs!$K$5:$AJ$190,0,MATCH(U$2,Inputs!$K$4:$AJ$4,0)))+SUMPRODUCT((Inputs!$C$5:$C$190=$B25)*Inputs!$D$5:$D$190*(((Inputs!$G$5:$G$190="moeda")+(Inputs!$G$5:$G$190="acoes"))*Inputs!$B$1+((Inputs!$G$5:$G$190&lt;&gt;"moeda")*(Inputs!$G$5:$G$190&lt;&gt;"acoes")))*INDEX(Inputs!$K$5:$AJ$190,0,MATCH(U$2,Inputs!$K$4:$AJ$4,0)))+SUMPRODUCT((Inputs!$E$5:$E$190=$B25)*Inputs!$F$5:$F$190*(((Inputs!$G$5:$G$190="moeda")+(Inputs!$G$5:$G$190="acoes"))*Inputs!$B$1+((Inputs!$G$5:$G$190&lt;&gt;"moeda")*(Inputs!$G$5:$G$190&lt;&gt;"acoes")))*INDEX(Inputs!$K$5:$AJ$190,0,MATCH(U$2,Inputs!$K$4:$AJ$4,0)))))</f>
        <v>3966.67767125902</v>
      </c>
      <c r="V25" s="6">
        <f>IF(ISNA(MATCH(V$2,Inputs!$K$4:$AJ$4,0)),NA(),IF(SUMPRODUCT((Inputs!$A$5:$A$190=$B25)*ISNUMBER(INDEX(Inputs!$K$5:$AJ$190,0,MATCH(V$2,Inputs!$K$4:$AJ$4,0))))+SUMPRODUCT((Inputs!$C$5:$C$190=$B25)*ISNUMBER(INDEX(Inputs!$K$5:$AJ$190,0,MATCH(V$2,Inputs!$K$4:$AJ$4,0))))+SUMPRODUCT((Inputs!$E$5:$E$190=$B25)*ISNUMBER(INDEX(Inputs!$K$5:$AJ$190,0,MATCH(V$2,Inputs!$K$4:$AJ$4,0))))=0,NA(),SUMPRODUCT((Inputs!$A$5:$A$190=$B25)*Inputs!$B$5:$B$190*(((Inputs!$G$5:$G$190="moeda")+(Inputs!$G$5:$G$190="acoes"))*Inputs!$B$1+((Inputs!$G$5:$G$190&lt;&gt;"moeda")*(Inputs!$G$5:$G$190&lt;&gt;"acoes")))*INDEX(Inputs!$K$5:$AJ$190,0,MATCH(V$2,Inputs!$K$4:$AJ$4,0)))+SUMPRODUCT((Inputs!$C$5:$C$190=$B25)*Inputs!$D$5:$D$190*(((Inputs!$G$5:$G$190="moeda")+(Inputs!$G$5:$G$190="acoes"))*Inputs!$B$1+((Inputs!$G$5:$G$190&lt;&gt;"moeda")*(Inputs!$G$5:$G$190&lt;&gt;"acoes")))*INDEX(Inputs!$K$5:$AJ$190,0,MATCH(V$2,Inputs!$K$4:$AJ$4,0)))+SUMPRODUCT((Inputs!$E$5:$E$190=$B25)*Inputs!$F$5:$F$190*(((Inputs!$G$5:$G$190="moeda")+(Inputs!$G$5:$G$190="acoes"))*Inputs!$B$1+((Inputs!$G$5:$G$190&lt;&gt;"moeda")*(Inputs!$G$5:$G$190&lt;&gt;"acoes")))*INDEX(Inputs!$K$5:$AJ$190,0,MATCH(V$2,Inputs!$K$4:$AJ$4,0)))))</f>
        <v>4206.93408546</v>
      </c>
      <c r="W25" s="3">
        <f>V25</f>
        <v>4206.93408546</v>
      </c>
      <c r="X25" s="6">
        <f>IF(ISNA(MATCH(X$2,Inputs!$K$4:$AJ$4,0)),NA(),IF(SUMPRODUCT((Inputs!$A$5:$A$190=$B25)*ISNUMBER(INDEX(Inputs!$K$5:$AJ$190,0,MATCH(X$2,Inputs!$K$4:$AJ$4,0))))+SUMPRODUCT((Inputs!$C$5:$C$190=$B25)*ISNUMBER(INDEX(Inputs!$K$5:$AJ$190,0,MATCH(X$2,Inputs!$K$4:$AJ$4,0))))+SUMPRODUCT((Inputs!$E$5:$E$190=$B25)*ISNUMBER(INDEX(Inputs!$K$5:$AJ$190,0,MATCH(X$2,Inputs!$K$4:$AJ$4,0))))=0,NA(),SUMPRODUCT((Inputs!$A$5:$A$190=$B25)*Inputs!$B$5:$B$190*(((Inputs!$G$5:$G$190="moeda")+(Inputs!$G$5:$G$190="acoes"))*Inputs!$B$1+((Inputs!$G$5:$G$190&lt;&gt;"moeda")*(Inputs!$G$5:$G$190&lt;&gt;"acoes")))*INDEX(Inputs!$K$5:$AJ$190,0,MATCH(X$2,Inputs!$K$4:$AJ$4,0)))+SUMPRODUCT((Inputs!$C$5:$C$190=$B25)*Inputs!$D$5:$D$190*(((Inputs!$G$5:$G$190="moeda")+(Inputs!$G$5:$G$190="acoes"))*Inputs!$B$1+((Inputs!$G$5:$G$190&lt;&gt;"moeda")*(Inputs!$G$5:$G$190&lt;&gt;"acoes")))*INDEX(Inputs!$K$5:$AJ$190,0,MATCH(X$2,Inputs!$K$4:$AJ$4,0)))+SUMPRODUCT((Inputs!$E$5:$E$190=$B25)*Inputs!$F$5:$F$190*(((Inputs!$G$5:$G$190="moeda")+(Inputs!$G$5:$G$190="acoes"))*Inputs!$B$1+((Inputs!$G$5:$G$190&lt;&gt;"moeda")*(Inputs!$G$5:$G$190&lt;&gt;"acoes")))*INDEX(Inputs!$K$5:$AJ$190,0,MATCH(X$2,Inputs!$K$4:$AJ$4,0)))))</f>
        <v>2990.35023541</v>
      </c>
      <c r="Y25" s="6">
        <f>IF(ISNA(MATCH(Y$2,Inputs!$K$4:$AJ$4,0)),NA(),IF(SUMPRODUCT((Inputs!$A$5:$A$190=$B25)*ISNUMBER(INDEX(Inputs!$K$5:$AJ$190,0,MATCH(Y$2,Inputs!$K$4:$AJ$4,0))))+SUMPRODUCT((Inputs!$C$5:$C$190=$B25)*ISNUMBER(INDEX(Inputs!$K$5:$AJ$190,0,MATCH(Y$2,Inputs!$K$4:$AJ$4,0))))+SUMPRODUCT((Inputs!$E$5:$E$190=$B25)*ISNUMBER(INDEX(Inputs!$K$5:$AJ$190,0,MATCH(Y$2,Inputs!$K$4:$AJ$4,0))))=0,NA(),SUMPRODUCT((Inputs!$A$5:$A$190=$B25)*Inputs!$B$5:$B$190*(((Inputs!$G$5:$G$190="moeda")+(Inputs!$G$5:$G$190="acoes"))*Inputs!$B$1+((Inputs!$G$5:$G$190&lt;&gt;"moeda")*(Inputs!$G$5:$G$190&lt;&gt;"acoes")))*INDEX(Inputs!$K$5:$AJ$190,0,MATCH(Y$2,Inputs!$K$4:$AJ$4,0)))+SUMPRODUCT((Inputs!$C$5:$C$190=$B25)*Inputs!$D$5:$D$190*(((Inputs!$G$5:$G$190="moeda")+(Inputs!$G$5:$G$190="acoes"))*Inputs!$B$1+((Inputs!$G$5:$G$190&lt;&gt;"moeda")*(Inputs!$G$5:$G$190&lt;&gt;"acoes")))*INDEX(Inputs!$K$5:$AJ$190,0,MATCH(Y$2,Inputs!$K$4:$AJ$4,0)))+SUMPRODUCT((Inputs!$E$5:$E$190=$B25)*Inputs!$F$5:$F$190*(((Inputs!$G$5:$G$190="moeda")+(Inputs!$G$5:$G$190="acoes"))*Inputs!$B$1+((Inputs!$G$5:$G$190&lt;&gt;"moeda")*(Inputs!$G$5:$G$190&lt;&gt;"acoes")))*INDEX(Inputs!$K$5:$AJ$190,0,MATCH(Y$2,Inputs!$K$4:$AJ$4,0)))))</f>
        <v>3019.63795716</v>
      </c>
      <c r="Z25" s="6">
        <f>IF(ISNA(MATCH(Z$2,Inputs!$K$4:$AJ$4,0)),NA(),IF(SUMPRODUCT((Inputs!$A$5:$A$190=$B25)*ISNUMBER(INDEX(Inputs!$K$5:$AJ$190,0,MATCH(Z$2,Inputs!$K$4:$AJ$4,0))))+SUMPRODUCT((Inputs!$C$5:$C$190=$B25)*ISNUMBER(INDEX(Inputs!$K$5:$AJ$190,0,MATCH(Z$2,Inputs!$K$4:$AJ$4,0))))+SUMPRODUCT((Inputs!$E$5:$E$190=$B25)*ISNUMBER(INDEX(Inputs!$K$5:$AJ$190,0,MATCH(Z$2,Inputs!$K$4:$AJ$4,0))))=0,NA(),SUMPRODUCT((Inputs!$A$5:$A$190=$B25)*Inputs!$B$5:$B$190*(((Inputs!$G$5:$G$190="moeda")+(Inputs!$G$5:$G$190="acoes"))*Inputs!$B$1+((Inputs!$G$5:$G$190&lt;&gt;"moeda")*(Inputs!$G$5:$G$190&lt;&gt;"acoes")))*INDEX(Inputs!$K$5:$AJ$190,0,MATCH(Z$2,Inputs!$K$4:$AJ$4,0)))+SUMPRODUCT((Inputs!$C$5:$C$190=$B25)*Inputs!$D$5:$D$190*(((Inputs!$G$5:$G$190="moeda")+(Inputs!$G$5:$G$190="acoes"))*Inputs!$B$1+((Inputs!$G$5:$G$190&lt;&gt;"moeda")*(Inputs!$G$5:$G$190&lt;&gt;"acoes")))*INDEX(Inputs!$K$5:$AJ$190,0,MATCH(Z$2,Inputs!$K$4:$AJ$4,0)))+SUMPRODUCT((Inputs!$E$5:$E$190=$B25)*Inputs!$F$5:$F$190*(((Inputs!$G$5:$G$190="moeda")+(Inputs!$G$5:$G$190="acoes"))*Inputs!$B$1+((Inputs!$G$5:$G$190&lt;&gt;"moeda")*(Inputs!$G$5:$G$190&lt;&gt;"acoes")))*INDEX(Inputs!$K$5:$AJ$190,0,MATCH(Z$2,Inputs!$K$4:$AJ$4,0)))))</f>
        <v>2986.68814482</v>
      </c>
      <c r="AA25" s="6">
        <f>IF(ISNA(MATCH(AA$2,Inputs!$K$4:$AJ$4,0)),NA(),IF(SUMPRODUCT((Inputs!$A$5:$A$190=$B25)*ISNUMBER(INDEX(Inputs!$K$5:$AJ$190,0,MATCH(AA$2,Inputs!$K$4:$AJ$4,0))))+SUMPRODUCT((Inputs!$C$5:$C$190=$B25)*ISNUMBER(INDEX(Inputs!$K$5:$AJ$190,0,MATCH(AA$2,Inputs!$K$4:$AJ$4,0))))+SUMPRODUCT((Inputs!$E$5:$E$190=$B25)*ISNUMBER(INDEX(Inputs!$K$5:$AJ$190,0,MATCH(AA$2,Inputs!$K$4:$AJ$4,0))))=0,NA(),SUMPRODUCT((Inputs!$A$5:$A$190=$B25)*Inputs!$B$5:$B$190*(((Inputs!$G$5:$G$190="moeda")+(Inputs!$G$5:$G$190="acoes"))*Inputs!$B$1+((Inputs!$G$5:$G$190&lt;&gt;"moeda")*(Inputs!$G$5:$G$190&lt;&gt;"acoes")))*INDEX(Inputs!$K$5:$AJ$190,0,MATCH(AA$2,Inputs!$K$4:$AJ$4,0)))+SUMPRODUCT((Inputs!$C$5:$C$190=$B25)*Inputs!$D$5:$D$190*(((Inputs!$G$5:$G$190="moeda")+(Inputs!$G$5:$G$190="acoes"))*Inputs!$B$1+((Inputs!$G$5:$G$190&lt;&gt;"moeda")*(Inputs!$G$5:$G$190&lt;&gt;"acoes")))*INDEX(Inputs!$K$5:$AJ$190,0,MATCH(AA$2,Inputs!$K$4:$AJ$4,0)))+SUMPRODUCT((Inputs!$E$5:$E$190=$B25)*Inputs!$F$5:$F$190*(((Inputs!$G$5:$G$190="moeda")+(Inputs!$G$5:$G$190="acoes"))*Inputs!$B$1+((Inputs!$G$5:$G$190&lt;&gt;"moeda")*(Inputs!$G$5:$G$190&lt;&gt;"acoes")))*INDEX(Inputs!$K$5:$AJ$190,0,MATCH(AA$2,Inputs!$K$4:$AJ$4,0)))))</f>
        <v>3061.05097683</v>
      </c>
      <c r="AB25" s="3">
        <f>AA25</f>
        <v>3061.05097683</v>
      </c>
      <c r="AC25" s="6">
        <f>IF(ISNA(MATCH(AC$2,Inputs!$K$4:$AJ$4,0)),NA(),IF(SUMPRODUCT((Inputs!$A$5:$A$190=$B25)*ISNUMBER(INDEX(Inputs!$K$5:$AJ$190,0,MATCH(AC$2,Inputs!$K$4:$AJ$4,0))))+SUMPRODUCT((Inputs!$C$5:$C$190=$B25)*ISNUMBER(INDEX(Inputs!$K$5:$AJ$190,0,MATCH(AC$2,Inputs!$K$4:$AJ$4,0))))+SUMPRODUCT((Inputs!$E$5:$E$190=$B25)*ISNUMBER(INDEX(Inputs!$K$5:$AJ$190,0,MATCH(AC$2,Inputs!$K$4:$AJ$4,0))))=0,NA(),SUMPRODUCT((Inputs!$A$5:$A$190=$B25)*Inputs!$B$5:$B$190*(((Inputs!$G$5:$G$190="moeda")+(Inputs!$G$5:$G$190="acoes"))*Inputs!$B$1+((Inputs!$G$5:$G$190&lt;&gt;"moeda")*(Inputs!$G$5:$G$190&lt;&gt;"acoes")))*INDEX(Inputs!$K$5:$AJ$190,0,MATCH(AC$2,Inputs!$K$4:$AJ$4,0)))+SUMPRODUCT((Inputs!$C$5:$C$190=$B25)*Inputs!$D$5:$D$190*(((Inputs!$G$5:$G$190="moeda")+(Inputs!$G$5:$G$190="acoes"))*Inputs!$B$1+((Inputs!$G$5:$G$190&lt;&gt;"moeda")*(Inputs!$G$5:$G$190&lt;&gt;"acoes")))*INDEX(Inputs!$K$5:$AJ$190,0,MATCH(AC$2,Inputs!$K$4:$AJ$4,0)))+SUMPRODUCT((Inputs!$E$5:$E$190=$B25)*Inputs!$F$5:$F$190*(((Inputs!$G$5:$G$190="moeda")+(Inputs!$G$5:$G$190="acoes"))*Inputs!$B$1+((Inputs!$G$5:$G$190&lt;&gt;"moeda")*(Inputs!$G$5:$G$190&lt;&gt;"acoes")))*INDEX(Inputs!$K$5:$AJ$190,0,MATCH(AC$2,Inputs!$K$4:$AJ$4,0)))))</f>
        <v>3074.30621869</v>
      </c>
      <c r="AD25" s="6">
        <f>IF(ISNA(MATCH(AD$2,Inputs!$K$4:$AJ$4,0)),NA(),IF(SUMPRODUCT((Inputs!$A$5:$A$190=$B25)*ISNUMBER(INDEX(Inputs!$K$5:$AJ$190,0,MATCH(AD$2,Inputs!$K$4:$AJ$4,0))))+SUMPRODUCT((Inputs!$C$5:$C$190=$B25)*ISNUMBER(INDEX(Inputs!$K$5:$AJ$190,0,MATCH(AD$2,Inputs!$K$4:$AJ$4,0))))+SUMPRODUCT((Inputs!$E$5:$E$190=$B25)*ISNUMBER(INDEX(Inputs!$K$5:$AJ$190,0,MATCH(AD$2,Inputs!$K$4:$AJ$4,0))))=0,NA(),SUMPRODUCT((Inputs!$A$5:$A$190=$B25)*Inputs!$B$5:$B$190*(((Inputs!$G$5:$G$190="moeda")+(Inputs!$G$5:$G$190="acoes"))*Inputs!$B$1+((Inputs!$G$5:$G$190&lt;&gt;"moeda")*(Inputs!$G$5:$G$190&lt;&gt;"acoes")))*INDEX(Inputs!$K$5:$AJ$190,0,MATCH(AD$2,Inputs!$K$4:$AJ$4,0)))+SUMPRODUCT((Inputs!$C$5:$C$190=$B25)*Inputs!$D$5:$D$190*(((Inputs!$G$5:$G$190="moeda")+(Inputs!$G$5:$G$190="acoes"))*Inputs!$B$1+((Inputs!$G$5:$G$190&lt;&gt;"moeda")*(Inputs!$G$5:$G$190&lt;&gt;"acoes")))*INDEX(Inputs!$K$5:$AJ$190,0,MATCH(AD$2,Inputs!$K$4:$AJ$4,0)))+SUMPRODUCT((Inputs!$E$5:$E$190=$B25)*Inputs!$F$5:$F$190*(((Inputs!$G$5:$G$190="moeda")+(Inputs!$G$5:$G$190="acoes"))*Inputs!$B$1+((Inputs!$G$5:$G$190&lt;&gt;"moeda")*(Inputs!$G$5:$G$190&lt;&gt;"acoes")))*INDEX(Inputs!$K$5:$AJ$190,0,MATCH(AD$2,Inputs!$K$4:$AJ$4,0)))))</f>
        <v>3134.04144719</v>
      </c>
      <c r="AE25" s="6" t="e">
        <f>IF(ISNA(MATCH(AE$2,Inputs!$K$4:$AJ$4,0)),NA(),IF(SUMPRODUCT((Inputs!$A$5:$A$190=$B25)*ISNUMBER(INDEX(Inputs!$K$5:$AJ$190,0,MATCH(AE$2,Inputs!$K$4:$AJ$4,0))))+SUMPRODUCT((Inputs!$C$5:$C$190=$B25)*ISNUMBER(INDEX(Inputs!$K$5:$AJ$190,0,MATCH(AE$2,Inputs!$K$4:$AJ$4,0))))+SUMPRODUCT((Inputs!$E$5:$E$190=$B25)*ISNUMBER(INDEX(Inputs!$K$5:$AJ$190,0,MATCH(AE$2,Inputs!$K$4:$AJ$4,0))))=0,NA(),SUMPRODUCT((Inputs!$A$5:$A$190=$B25)*Inputs!$B$5:$B$190*(((Inputs!$G$5:$G$190="moeda")+(Inputs!$G$5:$G$190="acoes"))*Inputs!$B$1+((Inputs!$G$5:$G$190&lt;&gt;"moeda")*(Inputs!$G$5:$G$190&lt;&gt;"acoes")))*INDEX(Inputs!$K$5:$AJ$190,0,MATCH(AE$2,Inputs!$K$4:$AJ$4,0)))+SUMPRODUCT((Inputs!$C$5:$C$190=$B25)*Inputs!$D$5:$D$190*(((Inputs!$G$5:$G$190="moeda")+(Inputs!$G$5:$G$190="acoes"))*Inputs!$B$1+((Inputs!$G$5:$G$190&lt;&gt;"moeda")*(Inputs!$G$5:$G$190&lt;&gt;"acoes")))*INDEX(Inputs!$K$5:$AJ$190,0,MATCH(AE$2,Inputs!$K$4:$AJ$4,0)))+SUMPRODUCT((Inputs!$E$5:$E$190=$B25)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25" s="6" t="e">
        <f>IF(ISNA(MATCH(AF$2,Inputs!$K$4:$AJ$4,0)),NA(),IF(SUMPRODUCT((Inputs!$A$5:$A$190=$B25)*ISNUMBER(INDEX(Inputs!$K$5:$AJ$190,0,MATCH(AF$2,Inputs!$K$4:$AJ$4,0))))+SUMPRODUCT((Inputs!$C$5:$C$190=$B25)*ISNUMBER(INDEX(Inputs!$K$5:$AJ$190,0,MATCH(AF$2,Inputs!$K$4:$AJ$4,0))))+SUMPRODUCT((Inputs!$E$5:$E$190=$B25)*ISNUMBER(INDEX(Inputs!$K$5:$AJ$190,0,MATCH(AF$2,Inputs!$K$4:$AJ$4,0))))=0,NA(),SUMPRODUCT((Inputs!$A$5:$A$190=$B25)*Inputs!$B$5:$B$190*(((Inputs!$G$5:$G$190="moeda")+(Inputs!$G$5:$G$190="acoes"))*Inputs!$B$1+((Inputs!$G$5:$G$190&lt;&gt;"moeda")*(Inputs!$G$5:$G$190&lt;&gt;"acoes")))*INDEX(Inputs!$K$5:$AJ$190,0,MATCH(AF$2,Inputs!$K$4:$AJ$4,0)))+SUMPRODUCT((Inputs!$C$5:$C$190=$B25)*Inputs!$D$5:$D$190*(((Inputs!$G$5:$G$190="moeda")+(Inputs!$G$5:$G$190="acoes"))*Inputs!$B$1+((Inputs!$G$5:$G$190&lt;&gt;"moeda")*(Inputs!$G$5:$G$190&lt;&gt;"acoes")))*INDEX(Inputs!$K$5:$AJ$190,0,MATCH(AF$2,Inputs!$K$4:$AJ$4,0)))+SUMPRODUCT((Inputs!$E$5:$E$190=$B25)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25" s="3" t="e">
        <f>AF25</f>
        <v>#N/A</v>
      </c>
      <c r="AH25" s="6">
        <f>IF(ISNA(MATCH(AH$2,Inputs!$K$4:$AJ$4,0)),NA(),IF(SUMPRODUCT((Inputs!$A$5:$A$190=$B25)*ISNUMBER(INDEX(Inputs!$K$5:$AJ$190,0,MATCH(AH$2,Inputs!$K$4:$AJ$4,0))))+SUMPRODUCT((Inputs!$C$5:$C$190=$B25)*ISNUMBER(INDEX(Inputs!$K$5:$AJ$190,0,MATCH(AH$2,Inputs!$K$4:$AJ$4,0))))+SUMPRODUCT((Inputs!$E$5:$E$190=$B25)*ISNUMBER(INDEX(Inputs!$K$5:$AJ$190,0,MATCH(AH$2,Inputs!$K$4:$AJ$4,0))))=0,NA(),SUMPRODUCT((Inputs!$A$5:$A$190=$B25)*Inputs!$B$5:$B$190*(((Inputs!$G$5:$G$190="moeda")+(Inputs!$G$5:$G$190="acoes"))*Inputs!$B$1+((Inputs!$G$5:$G$190&lt;&gt;"moeda")*(Inputs!$G$5:$G$190&lt;&gt;"acoes")))*INDEX(Inputs!$K$5:$AJ$190,0,MATCH(AH$2,Inputs!$K$4:$AJ$4,0)))+SUMPRODUCT((Inputs!$C$5:$C$190=$B25)*Inputs!$D$5:$D$190*(((Inputs!$G$5:$G$190="moeda")+(Inputs!$G$5:$G$190="acoes"))*Inputs!$B$1+((Inputs!$G$5:$G$190&lt;&gt;"moeda")*(Inputs!$G$5:$G$190&lt;&gt;"acoes")))*INDEX(Inputs!$K$5:$AJ$190,0,MATCH(AH$2,Inputs!$K$4:$AJ$4,0)))+SUMPRODUCT((Inputs!$E$5:$E$190=$B25)*Inputs!$F$5:$F$190*(((Inputs!$G$5:$G$190="moeda")+(Inputs!$G$5:$G$190="acoes"))*Inputs!$B$1+((Inputs!$G$5:$G$190&lt;&gt;"moeda")*(Inputs!$G$5:$G$190&lt;&gt;"acoes")))*INDEX(Inputs!$K$5:$AJ$190,0,MATCH(AH$2,Inputs!$K$4:$AJ$4,0)))))</f>
        <v>546.88045883</v>
      </c>
      <c r="AI25" s="6">
        <f>IF(ISNA(MATCH(AI$2,Inputs!$K$4:$AJ$4,0)),NA(),IF(SUMPRODUCT((Inputs!$A$5:$A$190=$B25)*ISNUMBER(INDEX(Inputs!$K$5:$AJ$190,0,MATCH(AI$2,Inputs!$K$4:$AJ$4,0))))+SUMPRODUCT((Inputs!$C$5:$C$190=$B25)*ISNUMBER(INDEX(Inputs!$K$5:$AJ$190,0,MATCH(AI$2,Inputs!$K$4:$AJ$4,0))))+SUMPRODUCT((Inputs!$E$5:$E$190=$B25)*ISNUMBER(INDEX(Inputs!$K$5:$AJ$190,0,MATCH(AI$2,Inputs!$K$4:$AJ$4,0))))=0,NA(),SUMPRODUCT((Inputs!$A$5:$A$190=$B25)*Inputs!$B$5:$B$190*(((Inputs!$G$5:$G$190="moeda")+(Inputs!$G$5:$G$190="acoes"))*Inputs!$B$1+((Inputs!$G$5:$G$190&lt;&gt;"moeda")*(Inputs!$G$5:$G$190&lt;&gt;"acoes")))*INDEX(Inputs!$K$5:$AJ$190,0,MATCH(AI$2,Inputs!$K$4:$AJ$4,0)))+SUMPRODUCT((Inputs!$C$5:$C$190=$B25)*Inputs!$D$5:$D$190*(((Inputs!$G$5:$G$190="moeda")+(Inputs!$G$5:$G$190="acoes"))*Inputs!$B$1+((Inputs!$G$5:$G$190&lt;&gt;"moeda")*(Inputs!$G$5:$G$190&lt;&gt;"acoes")))*INDEX(Inputs!$K$5:$AJ$190,0,MATCH(AI$2,Inputs!$K$4:$AJ$4,0)))+SUMPRODUCT((Inputs!$E$5:$E$190=$B25)*Inputs!$F$5:$F$190*(((Inputs!$G$5:$G$190="moeda")+(Inputs!$G$5:$G$190="acoes"))*Inputs!$B$1+((Inputs!$G$5:$G$190&lt;&gt;"moeda")*(Inputs!$G$5:$G$190&lt;&gt;"acoes")))*INDEX(Inputs!$K$5:$AJ$190,0,MATCH(AI$2,Inputs!$K$4:$AJ$4,0)))))</f>
        <v>557.26252384</v>
      </c>
      <c r="AJ25" s="6">
        <f>IF(ISNA(MATCH(AJ$2,Inputs!$K$4:$AJ$4,0)),NA(),IF(SUMPRODUCT((Inputs!$A$5:$A$190=$B25)*ISNUMBER(INDEX(Inputs!$K$5:$AJ$190,0,MATCH(AJ$2,Inputs!$K$4:$AJ$4,0))))+SUMPRODUCT((Inputs!$C$5:$C$190=$B25)*ISNUMBER(INDEX(Inputs!$K$5:$AJ$190,0,MATCH(AJ$2,Inputs!$K$4:$AJ$4,0))))+SUMPRODUCT((Inputs!$E$5:$E$190=$B25)*ISNUMBER(INDEX(Inputs!$K$5:$AJ$190,0,MATCH(AJ$2,Inputs!$K$4:$AJ$4,0))))=0,NA(),SUMPRODUCT((Inputs!$A$5:$A$190=$B25)*Inputs!$B$5:$B$190*(((Inputs!$G$5:$G$190="moeda")+(Inputs!$G$5:$G$190="acoes"))*Inputs!$B$1+((Inputs!$G$5:$G$190&lt;&gt;"moeda")*(Inputs!$G$5:$G$190&lt;&gt;"acoes")))*INDEX(Inputs!$K$5:$AJ$190,0,MATCH(AJ$2,Inputs!$K$4:$AJ$4,0)))+SUMPRODUCT((Inputs!$C$5:$C$190=$B25)*Inputs!$D$5:$D$190*(((Inputs!$G$5:$G$190="moeda")+(Inputs!$G$5:$G$190="acoes"))*Inputs!$B$1+((Inputs!$G$5:$G$190&lt;&gt;"moeda")*(Inputs!$G$5:$G$190&lt;&gt;"acoes")))*INDEX(Inputs!$K$5:$AJ$190,0,MATCH(AJ$2,Inputs!$K$4:$AJ$4,0)))+SUMPRODUCT((Inputs!$E$5:$E$190=$B25)*Inputs!$F$5:$F$190*(((Inputs!$G$5:$G$190="moeda")+(Inputs!$G$5:$G$190="acoes"))*Inputs!$B$1+((Inputs!$G$5:$G$190&lt;&gt;"moeda")*(Inputs!$G$5:$G$190&lt;&gt;"acoes")))*INDEX(Inputs!$K$5:$AJ$190,0,MATCH(AJ$2,Inputs!$K$4:$AJ$4,0)))))</f>
        <v>565.7284701</v>
      </c>
      <c r="AK25" s="6">
        <f>IF(ISNA(MATCH(AK$2,Inputs!$K$4:$AJ$4,0)),NA(),IF(SUMPRODUCT((Inputs!$A$5:$A$190=$B25)*ISNUMBER(INDEX(Inputs!$K$5:$AJ$190,0,MATCH(AK$2,Inputs!$K$4:$AJ$4,0))))+SUMPRODUCT((Inputs!$C$5:$C$190=$B25)*ISNUMBER(INDEX(Inputs!$K$5:$AJ$190,0,MATCH(AK$2,Inputs!$K$4:$AJ$4,0))))+SUMPRODUCT((Inputs!$E$5:$E$190=$B25)*ISNUMBER(INDEX(Inputs!$K$5:$AJ$190,0,MATCH(AK$2,Inputs!$K$4:$AJ$4,0))))=0,NA(),SUMPRODUCT((Inputs!$A$5:$A$190=$B25)*Inputs!$B$5:$B$190*(((Inputs!$G$5:$G$190="moeda")+(Inputs!$G$5:$G$190="acoes"))*Inputs!$B$1+((Inputs!$G$5:$G$190&lt;&gt;"moeda")*(Inputs!$G$5:$G$190&lt;&gt;"acoes")))*INDEX(Inputs!$K$5:$AJ$190,0,MATCH(AK$2,Inputs!$K$4:$AJ$4,0)))+SUMPRODUCT((Inputs!$C$5:$C$190=$B25)*Inputs!$D$5:$D$190*(((Inputs!$G$5:$G$190="moeda")+(Inputs!$G$5:$G$190="acoes"))*Inputs!$B$1+((Inputs!$G$5:$G$190&lt;&gt;"moeda")*(Inputs!$G$5:$G$190&lt;&gt;"acoes")))*INDEX(Inputs!$K$5:$AJ$190,0,MATCH(AK$2,Inputs!$K$4:$AJ$4,0)))+SUMPRODUCT((Inputs!$E$5:$E$190=$B25)*Inputs!$F$5:$F$190*(((Inputs!$G$5:$G$190="moeda")+(Inputs!$G$5:$G$190="acoes"))*Inputs!$B$1+((Inputs!$G$5:$G$190&lt;&gt;"moeda")*(Inputs!$G$5:$G$190&lt;&gt;"acoes")))*INDEX(Inputs!$K$5:$AJ$190,0,MATCH(AK$2,Inputs!$K$4:$AJ$4,0)))))</f>
        <v>1071.42</v>
      </c>
      <c r="AL25" s="3">
        <f>AK25</f>
        <v>1071.42</v>
      </c>
    </row>
    <row r="26">
      <c r="B26" s="46" t="n">
        <v>22</v>
      </c>
      <c r="C26" s="26" t="inlineStr">
        <is>
          <t>Other non-current assets</t>
        </is>
      </c>
      <c r="D26" s="6">
        <f>IF(ISNA(MATCH(D$2,Inputs!$K$4:$AJ$4,0)),NA(),IF(SUMPRODUCT((Inputs!$A$5:$A$190=$B26)*ISNUMBER(INDEX(Inputs!$K$5:$AJ$190,0,MATCH(D$2,Inputs!$K$4:$AJ$4,0))))+SUMPRODUCT((Inputs!$C$5:$C$190=$B26)*ISNUMBER(INDEX(Inputs!$K$5:$AJ$190,0,MATCH(D$2,Inputs!$K$4:$AJ$4,0))))+SUMPRODUCT((Inputs!$E$5:$E$190=$B26)*ISNUMBER(INDEX(Inputs!$K$5:$AJ$190,0,MATCH(D$2,Inputs!$K$4:$AJ$4,0))))=0,NA(),SUMPRODUCT((Inputs!$A$5:$A$190=$B26)*Inputs!$B$5:$B$190*(((Inputs!$G$5:$G$190="moeda")+(Inputs!$G$5:$G$190="acoes"))*Inputs!$B$1+((Inputs!$G$5:$G$190&lt;&gt;"moeda")*(Inputs!$G$5:$G$190&lt;&gt;"acoes")))*INDEX(Inputs!$K$5:$AJ$190,0,MATCH(D$2,Inputs!$K$4:$AJ$4,0)))+SUMPRODUCT((Inputs!$C$5:$C$190=$B26)*Inputs!$D$5:$D$190*(((Inputs!$G$5:$G$190="moeda")+(Inputs!$G$5:$G$190="acoes"))*Inputs!$B$1+((Inputs!$G$5:$G$190&lt;&gt;"moeda")*(Inputs!$G$5:$G$190&lt;&gt;"acoes")))*INDEX(Inputs!$K$5:$AJ$190,0,MATCH(D$2,Inputs!$K$4:$AJ$4,0)))+SUMPRODUCT((Inputs!$E$5:$E$190=$B26)*Inputs!$F$5:$F$190*(((Inputs!$G$5:$G$190="moeda")+(Inputs!$G$5:$G$190="acoes"))*Inputs!$B$1+((Inputs!$G$5:$G$190&lt;&gt;"moeda")*(Inputs!$G$5:$G$190&lt;&gt;"acoes")))*INDEX(Inputs!$K$5:$AJ$190,0,MATCH(D$2,Inputs!$K$4:$AJ$4,0)))))</f>
        <v>982.74521946</v>
      </c>
      <c r="E26" s="6">
        <f>IF(ISNA(MATCH(E$2,Inputs!$K$4:$AJ$4,0)),NA(),IF(SUMPRODUCT((Inputs!$A$5:$A$190=$B26)*ISNUMBER(INDEX(Inputs!$K$5:$AJ$190,0,MATCH(E$2,Inputs!$K$4:$AJ$4,0))))+SUMPRODUCT((Inputs!$C$5:$C$190=$B26)*ISNUMBER(INDEX(Inputs!$K$5:$AJ$190,0,MATCH(E$2,Inputs!$K$4:$AJ$4,0))))+SUMPRODUCT((Inputs!$E$5:$E$190=$B26)*ISNUMBER(INDEX(Inputs!$K$5:$AJ$190,0,MATCH(E$2,Inputs!$K$4:$AJ$4,0))))=0,NA(),SUMPRODUCT((Inputs!$A$5:$A$190=$B26)*Inputs!$B$5:$B$190*(((Inputs!$G$5:$G$190="moeda")+(Inputs!$G$5:$G$190="acoes"))*Inputs!$B$1+((Inputs!$G$5:$G$190&lt;&gt;"moeda")*(Inputs!$G$5:$G$190&lt;&gt;"acoes")))*INDEX(Inputs!$K$5:$AJ$190,0,MATCH(E$2,Inputs!$K$4:$AJ$4,0)))+SUMPRODUCT((Inputs!$C$5:$C$190=$B26)*Inputs!$D$5:$D$190*(((Inputs!$G$5:$G$190="moeda")+(Inputs!$G$5:$G$190="acoes"))*Inputs!$B$1+((Inputs!$G$5:$G$190&lt;&gt;"moeda")*(Inputs!$G$5:$G$190&lt;&gt;"acoes")))*INDEX(Inputs!$K$5:$AJ$190,0,MATCH(E$2,Inputs!$K$4:$AJ$4,0)))+SUMPRODUCT((Inputs!$E$5:$E$190=$B26)*Inputs!$F$5:$F$190*(((Inputs!$G$5:$G$190="moeda")+(Inputs!$G$5:$G$190="acoes"))*Inputs!$B$1+((Inputs!$G$5:$G$190&lt;&gt;"moeda")*(Inputs!$G$5:$G$190&lt;&gt;"acoes")))*INDEX(Inputs!$K$5:$AJ$190,0,MATCH(E$2,Inputs!$K$4:$AJ$4,0)))))</f>
        <v>1108.659</v>
      </c>
      <c r="F26" s="6">
        <f>IF(ISNA(MATCH(F$2,Inputs!$K$4:$AJ$4,0)),NA(),IF(SUMPRODUCT((Inputs!$A$5:$A$190=$B26)*ISNUMBER(INDEX(Inputs!$K$5:$AJ$190,0,MATCH(F$2,Inputs!$K$4:$AJ$4,0))))+SUMPRODUCT((Inputs!$C$5:$C$190=$B26)*ISNUMBER(INDEX(Inputs!$K$5:$AJ$190,0,MATCH(F$2,Inputs!$K$4:$AJ$4,0))))+SUMPRODUCT((Inputs!$E$5:$E$190=$B26)*ISNUMBER(INDEX(Inputs!$K$5:$AJ$190,0,MATCH(F$2,Inputs!$K$4:$AJ$4,0))))=0,NA(),SUMPRODUCT((Inputs!$A$5:$A$190=$B26)*Inputs!$B$5:$B$190*(((Inputs!$G$5:$G$190="moeda")+(Inputs!$G$5:$G$190="acoes"))*Inputs!$B$1+((Inputs!$G$5:$G$190&lt;&gt;"moeda")*(Inputs!$G$5:$G$190&lt;&gt;"acoes")))*INDEX(Inputs!$K$5:$AJ$190,0,MATCH(F$2,Inputs!$K$4:$AJ$4,0)))+SUMPRODUCT((Inputs!$C$5:$C$190=$B26)*Inputs!$D$5:$D$190*(((Inputs!$G$5:$G$190="moeda")+(Inputs!$G$5:$G$190="acoes"))*Inputs!$B$1+((Inputs!$G$5:$G$190&lt;&gt;"moeda")*(Inputs!$G$5:$G$190&lt;&gt;"acoes")))*INDEX(Inputs!$K$5:$AJ$190,0,MATCH(F$2,Inputs!$K$4:$AJ$4,0)))+SUMPRODUCT((Inputs!$E$5:$E$190=$B26)*Inputs!$F$5:$F$190*(((Inputs!$G$5:$G$190="moeda")+(Inputs!$G$5:$G$190="acoes"))*Inputs!$B$1+((Inputs!$G$5:$G$190&lt;&gt;"moeda")*(Inputs!$G$5:$G$190&lt;&gt;"acoes")))*INDEX(Inputs!$K$5:$AJ$190,0,MATCH(F$2,Inputs!$K$4:$AJ$4,0)))))</f>
        <v>1006.876</v>
      </c>
      <c r="G26" s="6">
        <f>IF(ISNA(MATCH(G$2,Inputs!$K$4:$AJ$4,0)),NA(),IF(SUMPRODUCT((Inputs!$A$5:$A$190=$B26)*ISNUMBER(INDEX(Inputs!$K$5:$AJ$190,0,MATCH(G$2,Inputs!$K$4:$AJ$4,0))))+SUMPRODUCT((Inputs!$C$5:$C$190=$B26)*ISNUMBER(INDEX(Inputs!$K$5:$AJ$190,0,MATCH(G$2,Inputs!$K$4:$AJ$4,0))))+SUMPRODUCT((Inputs!$E$5:$E$190=$B26)*ISNUMBER(INDEX(Inputs!$K$5:$AJ$190,0,MATCH(G$2,Inputs!$K$4:$AJ$4,0))))=0,NA(),SUMPRODUCT((Inputs!$A$5:$A$190=$B26)*Inputs!$B$5:$B$190*(((Inputs!$G$5:$G$190="moeda")+(Inputs!$G$5:$G$190="acoes"))*Inputs!$B$1+((Inputs!$G$5:$G$190&lt;&gt;"moeda")*(Inputs!$G$5:$G$190&lt;&gt;"acoes")))*INDEX(Inputs!$K$5:$AJ$190,0,MATCH(G$2,Inputs!$K$4:$AJ$4,0)))+SUMPRODUCT((Inputs!$C$5:$C$190=$B26)*Inputs!$D$5:$D$190*(((Inputs!$G$5:$G$190="moeda")+(Inputs!$G$5:$G$190="acoes"))*Inputs!$B$1+((Inputs!$G$5:$G$190&lt;&gt;"moeda")*(Inputs!$G$5:$G$190&lt;&gt;"acoes")))*INDEX(Inputs!$K$5:$AJ$190,0,MATCH(G$2,Inputs!$K$4:$AJ$4,0)))+SUMPRODUCT((Inputs!$E$5:$E$190=$B26)*Inputs!$F$5:$F$190*(((Inputs!$G$5:$G$190="moeda")+(Inputs!$G$5:$G$190="acoes"))*Inputs!$B$1+((Inputs!$G$5:$G$190&lt;&gt;"moeda")*(Inputs!$G$5:$G$190&lt;&gt;"acoes")))*INDEX(Inputs!$K$5:$AJ$190,0,MATCH(G$2,Inputs!$K$4:$AJ$4,0)))))</f>
        <v>1045.755</v>
      </c>
      <c r="H26" s="3">
        <f>G26</f>
        <v>1045.755</v>
      </c>
      <c r="I26" s="6">
        <f>IF(ISNA(MATCH(I$2,Inputs!$K$4:$AJ$4,0)),NA(),IF(SUMPRODUCT((Inputs!$A$5:$A$190=$B26)*ISNUMBER(INDEX(Inputs!$K$5:$AJ$190,0,MATCH(I$2,Inputs!$K$4:$AJ$4,0))))+SUMPRODUCT((Inputs!$C$5:$C$190=$B26)*ISNUMBER(INDEX(Inputs!$K$5:$AJ$190,0,MATCH(I$2,Inputs!$K$4:$AJ$4,0))))+SUMPRODUCT((Inputs!$E$5:$E$190=$B26)*ISNUMBER(INDEX(Inputs!$K$5:$AJ$190,0,MATCH(I$2,Inputs!$K$4:$AJ$4,0))))=0,NA(),SUMPRODUCT((Inputs!$A$5:$A$190=$B26)*Inputs!$B$5:$B$190*(((Inputs!$G$5:$G$190="moeda")+(Inputs!$G$5:$G$190="acoes"))*Inputs!$B$1+((Inputs!$G$5:$G$190&lt;&gt;"moeda")*(Inputs!$G$5:$G$190&lt;&gt;"acoes")))*INDEX(Inputs!$K$5:$AJ$190,0,MATCH(I$2,Inputs!$K$4:$AJ$4,0)))+SUMPRODUCT((Inputs!$C$5:$C$190=$B26)*Inputs!$D$5:$D$190*(((Inputs!$G$5:$G$190="moeda")+(Inputs!$G$5:$G$190="acoes"))*Inputs!$B$1+((Inputs!$G$5:$G$190&lt;&gt;"moeda")*(Inputs!$G$5:$G$190&lt;&gt;"acoes")))*INDEX(Inputs!$K$5:$AJ$190,0,MATCH(I$2,Inputs!$K$4:$AJ$4,0)))+SUMPRODUCT((Inputs!$E$5:$E$190=$B26)*Inputs!$F$5:$F$190*(((Inputs!$G$5:$G$190="moeda")+(Inputs!$G$5:$G$190="acoes"))*Inputs!$B$1+((Inputs!$G$5:$G$190&lt;&gt;"moeda")*(Inputs!$G$5:$G$190&lt;&gt;"acoes")))*INDEX(Inputs!$K$5:$AJ$190,0,MATCH(I$2,Inputs!$K$4:$AJ$4,0)))))</f>
        <v>1032.759</v>
      </c>
      <c r="J26" s="6">
        <f>IF(ISNA(MATCH(J$2,Inputs!$K$4:$AJ$4,0)),NA(),IF(SUMPRODUCT((Inputs!$A$5:$A$190=$B26)*ISNUMBER(INDEX(Inputs!$K$5:$AJ$190,0,MATCH(J$2,Inputs!$K$4:$AJ$4,0))))+SUMPRODUCT((Inputs!$C$5:$C$190=$B26)*ISNUMBER(INDEX(Inputs!$K$5:$AJ$190,0,MATCH(J$2,Inputs!$K$4:$AJ$4,0))))+SUMPRODUCT((Inputs!$E$5:$E$190=$B26)*ISNUMBER(INDEX(Inputs!$K$5:$AJ$190,0,MATCH(J$2,Inputs!$K$4:$AJ$4,0))))=0,NA(),SUMPRODUCT((Inputs!$A$5:$A$190=$B26)*Inputs!$B$5:$B$190*(((Inputs!$G$5:$G$190="moeda")+(Inputs!$G$5:$G$190="acoes"))*Inputs!$B$1+((Inputs!$G$5:$G$190&lt;&gt;"moeda")*(Inputs!$G$5:$G$190&lt;&gt;"acoes")))*INDEX(Inputs!$K$5:$AJ$190,0,MATCH(J$2,Inputs!$K$4:$AJ$4,0)))+SUMPRODUCT((Inputs!$C$5:$C$190=$B26)*Inputs!$D$5:$D$190*(((Inputs!$G$5:$G$190="moeda")+(Inputs!$G$5:$G$190="acoes"))*Inputs!$B$1+((Inputs!$G$5:$G$190&lt;&gt;"moeda")*(Inputs!$G$5:$G$190&lt;&gt;"acoes")))*INDEX(Inputs!$K$5:$AJ$190,0,MATCH(J$2,Inputs!$K$4:$AJ$4,0)))+SUMPRODUCT((Inputs!$E$5:$E$190=$B26)*Inputs!$F$5:$F$190*(((Inputs!$G$5:$G$190="moeda")+(Inputs!$G$5:$G$190="acoes"))*Inputs!$B$1+((Inputs!$G$5:$G$190&lt;&gt;"moeda")*(Inputs!$G$5:$G$190&lt;&gt;"acoes")))*INDEX(Inputs!$K$5:$AJ$190,0,MATCH(J$2,Inputs!$K$4:$AJ$4,0)))))</f>
        <v>1096.385</v>
      </c>
      <c r="K26" s="6">
        <f>IF(ISNA(MATCH(K$2,Inputs!$K$4:$AJ$4,0)),NA(),IF(SUMPRODUCT((Inputs!$A$5:$A$190=$B26)*ISNUMBER(INDEX(Inputs!$K$5:$AJ$190,0,MATCH(K$2,Inputs!$K$4:$AJ$4,0))))+SUMPRODUCT((Inputs!$C$5:$C$190=$B26)*ISNUMBER(INDEX(Inputs!$K$5:$AJ$190,0,MATCH(K$2,Inputs!$K$4:$AJ$4,0))))+SUMPRODUCT((Inputs!$E$5:$E$190=$B26)*ISNUMBER(INDEX(Inputs!$K$5:$AJ$190,0,MATCH(K$2,Inputs!$K$4:$AJ$4,0))))=0,NA(),SUMPRODUCT((Inputs!$A$5:$A$190=$B26)*Inputs!$B$5:$B$190*(((Inputs!$G$5:$G$190="moeda")+(Inputs!$G$5:$G$190="acoes"))*Inputs!$B$1+((Inputs!$G$5:$G$190&lt;&gt;"moeda")*(Inputs!$G$5:$G$190&lt;&gt;"acoes")))*INDEX(Inputs!$K$5:$AJ$190,0,MATCH(K$2,Inputs!$K$4:$AJ$4,0)))+SUMPRODUCT((Inputs!$C$5:$C$190=$B26)*Inputs!$D$5:$D$190*(((Inputs!$G$5:$G$190="moeda")+(Inputs!$G$5:$G$190="acoes"))*Inputs!$B$1+((Inputs!$G$5:$G$190&lt;&gt;"moeda")*(Inputs!$G$5:$G$190&lt;&gt;"acoes")))*INDEX(Inputs!$K$5:$AJ$190,0,MATCH(K$2,Inputs!$K$4:$AJ$4,0)))+SUMPRODUCT((Inputs!$E$5:$E$190=$B26)*Inputs!$F$5:$F$190*(((Inputs!$G$5:$G$190="moeda")+(Inputs!$G$5:$G$190="acoes"))*Inputs!$B$1+((Inputs!$G$5:$G$190&lt;&gt;"moeda")*(Inputs!$G$5:$G$190&lt;&gt;"acoes")))*INDEX(Inputs!$K$5:$AJ$190,0,MATCH(K$2,Inputs!$K$4:$AJ$4,0)))))</f>
        <v>1512.191</v>
      </c>
      <c r="L26" s="6">
        <f>IF(ISNA(MATCH(L$2,Inputs!$K$4:$AJ$4,0)),NA(),IF(SUMPRODUCT((Inputs!$A$5:$A$190=$B26)*ISNUMBER(INDEX(Inputs!$K$5:$AJ$190,0,MATCH(L$2,Inputs!$K$4:$AJ$4,0))))+SUMPRODUCT((Inputs!$C$5:$C$190=$B26)*ISNUMBER(INDEX(Inputs!$K$5:$AJ$190,0,MATCH(L$2,Inputs!$K$4:$AJ$4,0))))+SUMPRODUCT((Inputs!$E$5:$E$190=$B26)*ISNUMBER(INDEX(Inputs!$K$5:$AJ$190,0,MATCH(L$2,Inputs!$K$4:$AJ$4,0))))=0,NA(),SUMPRODUCT((Inputs!$A$5:$A$190=$B26)*Inputs!$B$5:$B$190*(((Inputs!$G$5:$G$190="moeda")+(Inputs!$G$5:$G$190="acoes"))*Inputs!$B$1+((Inputs!$G$5:$G$190&lt;&gt;"moeda")*(Inputs!$G$5:$G$190&lt;&gt;"acoes")))*INDEX(Inputs!$K$5:$AJ$190,0,MATCH(L$2,Inputs!$K$4:$AJ$4,0)))+SUMPRODUCT((Inputs!$C$5:$C$190=$B26)*Inputs!$D$5:$D$190*(((Inputs!$G$5:$G$190="moeda")+(Inputs!$G$5:$G$190="acoes"))*Inputs!$B$1+((Inputs!$G$5:$G$190&lt;&gt;"moeda")*(Inputs!$G$5:$G$190&lt;&gt;"acoes")))*INDEX(Inputs!$K$5:$AJ$190,0,MATCH(L$2,Inputs!$K$4:$AJ$4,0)))+SUMPRODUCT((Inputs!$E$5:$E$190=$B26)*Inputs!$F$5:$F$190*(((Inputs!$G$5:$G$190="moeda")+(Inputs!$G$5:$G$190="acoes"))*Inputs!$B$1+((Inputs!$G$5:$G$190&lt;&gt;"moeda")*(Inputs!$G$5:$G$190&lt;&gt;"acoes")))*INDEX(Inputs!$K$5:$AJ$190,0,MATCH(L$2,Inputs!$K$4:$AJ$4,0)))))</f>
        <v>1496.935</v>
      </c>
      <c r="M26" s="3">
        <f>L26</f>
        <v>1496.935</v>
      </c>
      <c r="N26" s="6">
        <f>IF(ISNA(MATCH(N$2,Inputs!$K$4:$AJ$4,0)),NA(),IF(SUMPRODUCT((Inputs!$A$5:$A$190=$B26)*ISNUMBER(INDEX(Inputs!$K$5:$AJ$190,0,MATCH(N$2,Inputs!$K$4:$AJ$4,0))))+SUMPRODUCT((Inputs!$C$5:$C$190=$B26)*ISNUMBER(INDEX(Inputs!$K$5:$AJ$190,0,MATCH(N$2,Inputs!$K$4:$AJ$4,0))))+SUMPRODUCT((Inputs!$E$5:$E$190=$B26)*ISNUMBER(INDEX(Inputs!$K$5:$AJ$190,0,MATCH(N$2,Inputs!$K$4:$AJ$4,0))))=0,NA(),SUMPRODUCT((Inputs!$A$5:$A$190=$B26)*Inputs!$B$5:$B$190*(((Inputs!$G$5:$G$190="moeda")+(Inputs!$G$5:$G$190="acoes"))*Inputs!$B$1+((Inputs!$G$5:$G$190&lt;&gt;"moeda")*(Inputs!$G$5:$G$190&lt;&gt;"acoes")))*INDEX(Inputs!$K$5:$AJ$190,0,MATCH(N$2,Inputs!$K$4:$AJ$4,0)))+SUMPRODUCT((Inputs!$C$5:$C$190=$B26)*Inputs!$D$5:$D$190*(((Inputs!$G$5:$G$190="moeda")+(Inputs!$G$5:$G$190="acoes"))*Inputs!$B$1+((Inputs!$G$5:$G$190&lt;&gt;"moeda")*(Inputs!$G$5:$G$190&lt;&gt;"acoes")))*INDEX(Inputs!$K$5:$AJ$190,0,MATCH(N$2,Inputs!$K$4:$AJ$4,0)))+SUMPRODUCT((Inputs!$E$5:$E$190=$B26)*Inputs!$F$5:$F$190*(((Inputs!$G$5:$G$190="moeda")+(Inputs!$G$5:$G$190="acoes"))*Inputs!$B$1+((Inputs!$G$5:$G$190&lt;&gt;"moeda")*(Inputs!$G$5:$G$190&lt;&gt;"acoes")))*INDEX(Inputs!$K$5:$AJ$190,0,MATCH(N$2,Inputs!$K$4:$AJ$4,0)))))</f>
        <v>1371.79047940491</v>
      </c>
      <c r="O26" s="6">
        <f>IF(ISNA(MATCH(O$2,Inputs!$K$4:$AJ$4,0)),NA(),IF(SUMPRODUCT((Inputs!$A$5:$A$190=$B26)*ISNUMBER(INDEX(Inputs!$K$5:$AJ$190,0,MATCH(O$2,Inputs!$K$4:$AJ$4,0))))+SUMPRODUCT((Inputs!$C$5:$C$190=$B26)*ISNUMBER(INDEX(Inputs!$K$5:$AJ$190,0,MATCH(O$2,Inputs!$K$4:$AJ$4,0))))+SUMPRODUCT((Inputs!$E$5:$E$190=$B26)*ISNUMBER(INDEX(Inputs!$K$5:$AJ$190,0,MATCH(O$2,Inputs!$K$4:$AJ$4,0))))=0,NA(),SUMPRODUCT((Inputs!$A$5:$A$190=$B26)*Inputs!$B$5:$B$190*(((Inputs!$G$5:$G$190="moeda")+(Inputs!$G$5:$G$190="acoes"))*Inputs!$B$1+((Inputs!$G$5:$G$190&lt;&gt;"moeda")*(Inputs!$G$5:$G$190&lt;&gt;"acoes")))*INDEX(Inputs!$K$5:$AJ$190,0,MATCH(O$2,Inputs!$K$4:$AJ$4,0)))+SUMPRODUCT((Inputs!$C$5:$C$190=$B26)*Inputs!$D$5:$D$190*(((Inputs!$G$5:$G$190="moeda")+(Inputs!$G$5:$G$190="acoes"))*Inputs!$B$1+((Inputs!$G$5:$G$190&lt;&gt;"moeda")*(Inputs!$G$5:$G$190&lt;&gt;"acoes")))*INDEX(Inputs!$K$5:$AJ$190,0,MATCH(O$2,Inputs!$K$4:$AJ$4,0)))+SUMPRODUCT((Inputs!$E$5:$E$190=$B26)*Inputs!$F$5:$F$190*(((Inputs!$G$5:$G$190="moeda")+(Inputs!$G$5:$G$190="acoes"))*Inputs!$B$1+((Inputs!$G$5:$G$190&lt;&gt;"moeda")*(Inputs!$G$5:$G$190&lt;&gt;"acoes")))*INDEX(Inputs!$K$5:$AJ$190,0,MATCH(O$2,Inputs!$K$4:$AJ$4,0)))))</f>
        <v>2122.83859222854</v>
      </c>
      <c r="P26" s="6">
        <f>IF(ISNA(MATCH(P$2,Inputs!$K$4:$AJ$4,0)),NA(),IF(SUMPRODUCT((Inputs!$A$5:$A$190=$B26)*ISNUMBER(INDEX(Inputs!$K$5:$AJ$190,0,MATCH(P$2,Inputs!$K$4:$AJ$4,0))))+SUMPRODUCT((Inputs!$C$5:$C$190=$B26)*ISNUMBER(INDEX(Inputs!$K$5:$AJ$190,0,MATCH(P$2,Inputs!$K$4:$AJ$4,0))))+SUMPRODUCT((Inputs!$E$5:$E$190=$B26)*ISNUMBER(INDEX(Inputs!$K$5:$AJ$190,0,MATCH(P$2,Inputs!$K$4:$AJ$4,0))))=0,NA(),SUMPRODUCT((Inputs!$A$5:$A$190=$B26)*Inputs!$B$5:$B$190*(((Inputs!$G$5:$G$190="moeda")+(Inputs!$G$5:$G$190="acoes"))*Inputs!$B$1+((Inputs!$G$5:$G$190&lt;&gt;"moeda")*(Inputs!$G$5:$G$190&lt;&gt;"acoes")))*INDEX(Inputs!$K$5:$AJ$190,0,MATCH(P$2,Inputs!$K$4:$AJ$4,0)))+SUMPRODUCT((Inputs!$C$5:$C$190=$B26)*Inputs!$D$5:$D$190*(((Inputs!$G$5:$G$190="moeda")+(Inputs!$G$5:$G$190="acoes"))*Inputs!$B$1+((Inputs!$G$5:$G$190&lt;&gt;"moeda")*(Inputs!$G$5:$G$190&lt;&gt;"acoes")))*INDEX(Inputs!$K$5:$AJ$190,0,MATCH(P$2,Inputs!$K$4:$AJ$4,0)))+SUMPRODUCT((Inputs!$E$5:$E$190=$B26)*Inputs!$F$5:$F$190*(((Inputs!$G$5:$G$190="moeda")+(Inputs!$G$5:$G$190="acoes"))*Inputs!$B$1+((Inputs!$G$5:$G$190&lt;&gt;"moeda")*(Inputs!$G$5:$G$190&lt;&gt;"acoes")))*INDEX(Inputs!$K$5:$AJ$190,0,MATCH(P$2,Inputs!$K$4:$AJ$4,0)))))</f>
        <v>1917.04163920601</v>
      </c>
      <c r="Q26" s="6">
        <f>IF(ISNA(MATCH(Q$2,Inputs!$K$4:$AJ$4,0)),NA(),IF(SUMPRODUCT((Inputs!$A$5:$A$190=$B26)*ISNUMBER(INDEX(Inputs!$K$5:$AJ$190,0,MATCH(Q$2,Inputs!$K$4:$AJ$4,0))))+SUMPRODUCT((Inputs!$C$5:$C$190=$B26)*ISNUMBER(INDEX(Inputs!$K$5:$AJ$190,0,MATCH(Q$2,Inputs!$K$4:$AJ$4,0))))+SUMPRODUCT((Inputs!$E$5:$E$190=$B26)*ISNUMBER(INDEX(Inputs!$K$5:$AJ$190,0,MATCH(Q$2,Inputs!$K$4:$AJ$4,0))))=0,NA(),SUMPRODUCT((Inputs!$A$5:$A$190=$B26)*Inputs!$B$5:$B$190*(((Inputs!$G$5:$G$190="moeda")+(Inputs!$G$5:$G$190="acoes"))*Inputs!$B$1+((Inputs!$G$5:$G$190&lt;&gt;"moeda")*(Inputs!$G$5:$G$190&lt;&gt;"acoes")))*INDEX(Inputs!$K$5:$AJ$190,0,MATCH(Q$2,Inputs!$K$4:$AJ$4,0)))+SUMPRODUCT((Inputs!$C$5:$C$190=$B26)*Inputs!$D$5:$D$190*(((Inputs!$G$5:$G$190="moeda")+(Inputs!$G$5:$G$190="acoes"))*Inputs!$B$1+((Inputs!$G$5:$G$190&lt;&gt;"moeda")*(Inputs!$G$5:$G$190&lt;&gt;"acoes")))*INDEX(Inputs!$K$5:$AJ$190,0,MATCH(Q$2,Inputs!$K$4:$AJ$4,0)))+SUMPRODUCT((Inputs!$E$5:$E$190=$B26)*Inputs!$F$5:$F$190*(((Inputs!$G$5:$G$190="moeda")+(Inputs!$G$5:$G$190="acoes"))*Inputs!$B$1+((Inputs!$G$5:$G$190&lt;&gt;"moeda")*(Inputs!$G$5:$G$190&lt;&gt;"acoes")))*INDEX(Inputs!$K$5:$AJ$190,0,MATCH(Q$2,Inputs!$K$4:$AJ$4,0)))))</f>
        <v>2829.58276978756</v>
      </c>
      <c r="R26" s="3">
        <f>Q26</f>
        <v>2829.58276978756</v>
      </c>
      <c r="S26" s="6">
        <f>IF(ISNA(MATCH(S$2,Inputs!$K$4:$AJ$4,0)),NA(),IF(SUMPRODUCT((Inputs!$A$5:$A$190=$B26)*ISNUMBER(INDEX(Inputs!$K$5:$AJ$190,0,MATCH(S$2,Inputs!$K$4:$AJ$4,0))))+SUMPRODUCT((Inputs!$C$5:$C$190=$B26)*ISNUMBER(INDEX(Inputs!$K$5:$AJ$190,0,MATCH(S$2,Inputs!$K$4:$AJ$4,0))))+SUMPRODUCT((Inputs!$E$5:$E$190=$B26)*ISNUMBER(INDEX(Inputs!$K$5:$AJ$190,0,MATCH(S$2,Inputs!$K$4:$AJ$4,0))))=0,NA(),SUMPRODUCT((Inputs!$A$5:$A$190=$B26)*Inputs!$B$5:$B$190*(((Inputs!$G$5:$G$190="moeda")+(Inputs!$G$5:$G$190="acoes"))*Inputs!$B$1+((Inputs!$G$5:$G$190&lt;&gt;"moeda")*(Inputs!$G$5:$G$190&lt;&gt;"acoes")))*INDEX(Inputs!$K$5:$AJ$190,0,MATCH(S$2,Inputs!$K$4:$AJ$4,0)))+SUMPRODUCT((Inputs!$C$5:$C$190=$B26)*Inputs!$D$5:$D$190*(((Inputs!$G$5:$G$190="moeda")+(Inputs!$G$5:$G$190="acoes"))*Inputs!$B$1+((Inputs!$G$5:$G$190&lt;&gt;"moeda")*(Inputs!$G$5:$G$190&lt;&gt;"acoes")))*INDEX(Inputs!$K$5:$AJ$190,0,MATCH(S$2,Inputs!$K$4:$AJ$4,0)))+SUMPRODUCT((Inputs!$E$5:$E$190=$B26)*Inputs!$F$5:$F$190*(((Inputs!$G$5:$G$190="moeda")+(Inputs!$G$5:$G$190="acoes"))*Inputs!$B$1+((Inputs!$G$5:$G$190&lt;&gt;"moeda")*(Inputs!$G$5:$G$190&lt;&gt;"acoes")))*INDEX(Inputs!$K$5:$AJ$190,0,MATCH(S$2,Inputs!$K$4:$AJ$4,0)))))</f>
        <v>2549.38754911224</v>
      </c>
      <c r="T26" s="6">
        <f>IF(ISNA(MATCH(T$2,Inputs!$K$4:$AJ$4,0)),NA(),IF(SUMPRODUCT((Inputs!$A$5:$A$190=$B26)*ISNUMBER(INDEX(Inputs!$K$5:$AJ$190,0,MATCH(T$2,Inputs!$K$4:$AJ$4,0))))+SUMPRODUCT((Inputs!$C$5:$C$190=$B26)*ISNUMBER(INDEX(Inputs!$K$5:$AJ$190,0,MATCH(T$2,Inputs!$K$4:$AJ$4,0))))+SUMPRODUCT((Inputs!$E$5:$E$190=$B26)*ISNUMBER(INDEX(Inputs!$K$5:$AJ$190,0,MATCH(T$2,Inputs!$K$4:$AJ$4,0))))=0,NA(),SUMPRODUCT((Inputs!$A$5:$A$190=$B26)*Inputs!$B$5:$B$190*(((Inputs!$G$5:$G$190="moeda")+(Inputs!$G$5:$G$190="acoes"))*Inputs!$B$1+((Inputs!$G$5:$G$190&lt;&gt;"moeda")*(Inputs!$G$5:$G$190&lt;&gt;"acoes")))*INDEX(Inputs!$K$5:$AJ$190,0,MATCH(T$2,Inputs!$K$4:$AJ$4,0)))+SUMPRODUCT((Inputs!$C$5:$C$190=$B26)*Inputs!$D$5:$D$190*(((Inputs!$G$5:$G$190="moeda")+(Inputs!$G$5:$G$190="acoes"))*Inputs!$B$1+((Inputs!$G$5:$G$190&lt;&gt;"moeda")*(Inputs!$G$5:$G$190&lt;&gt;"acoes")))*INDEX(Inputs!$K$5:$AJ$190,0,MATCH(T$2,Inputs!$K$4:$AJ$4,0)))+SUMPRODUCT((Inputs!$E$5:$E$190=$B26)*Inputs!$F$5:$F$190*(((Inputs!$G$5:$G$190="moeda")+(Inputs!$G$5:$G$190="acoes"))*Inputs!$B$1+((Inputs!$G$5:$G$190&lt;&gt;"moeda")*(Inputs!$G$5:$G$190&lt;&gt;"acoes")))*INDEX(Inputs!$K$5:$AJ$190,0,MATCH(T$2,Inputs!$K$4:$AJ$4,0)))))</f>
        <v>2903.71507226588</v>
      </c>
      <c r="U26" s="6">
        <f>IF(ISNA(MATCH(U$2,Inputs!$K$4:$AJ$4,0)),NA(),IF(SUMPRODUCT((Inputs!$A$5:$A$190=$B26)*ISNUMBER(INDEX(Inputs!$K$5:$AJ$190,0,MATCH(U$2,Inputs!$K$4:$AJ$4,0))))+SUMPRODUCT((Inputs!$C$5:$C$190=$B26)*ISNUMBER(INDEX(Inputs!$K$5:$AJ$190,0,MATCH(U$2,Inputs!$K$4:$AJ$4,0))))+SUMPRODUCT((Inputs!$E$5:$E$190=$B26)*ISNUMBER(INDEX(Inputs!$K$5:$AJ$190,0,MATCH(U$2,Inputs!$K$4:$AJ$4,0))))=0,NA(),SUMPRODUCT((Inputs!$A$5:$A$190=$B26)*Inputs!$B$5:$B$190*(((Inputs!$G$5:$G$190="moeda")+(Inputs!$G$5:$G$190="acoes"))*Inputs!$B$1+((Inputs!$G$5:$G$190&lt;&gt;"moeda")*(Inputs!$G$5:$G$190&lt;&gt;"acoes")))*INDEX(Inputs!$K$5:$AJ$190,0,MATCH(U$2,Inputs!$K$4:$AJ$4,0)))+SUMPRODUCT((Inputs!$C$5:$C$190=$B26)*Inputs!$D$5:$D$190*(((Inputs!$G$5:$G$190="moeda")+(Inputs!$G$5:$G$190="acoes"))*Inputs!$B$1+((Inputs!$G$5:$G$190&lt;&gt;"moeda")*(Inputs!$G$5:$G$190&lt;&gt;"acoes")))*INDEX(Inputs!$K$5:$AJ$190,0,MATCH(U$2,Inputs!$K$4:$AJ$4,0)))+SUMPRODUCT((Inputs!$E$5:$E$190=$B26)*Inputs!$F$5:$F$190*(((Inputs!$G$5:$G$190="moeda")+(Inputs!$G$5:$G$190="acoes"))*Inputs!$B$1+((Inputs!$G$5:$G$190&lt;&gt;"moeda")*(Inputs!$G$5:$G$190&lt;&gt;"acoes")))*INDEX(Inputs!$K$5:$AJ$190,0,MATCH(U$2,Inputs!$K$4:$AJ$4,0)))))</f>
        <v>2969.47543591092</v>
      </c>
      <c r="V26" s="6">
        <f>IF(ISNA(MATCH(V$2,Inputs!$K$4:$AJ$4,0)),NA(),IF(SUMPRODUCT((Inputs!$A$5:$A$190=$B26)*ISNUMBER(INDEX(Inputs!$K$5:$AJ$190,0,MATCH(V$2,Inputs!$K$4:$AJ$4,0))))+SUMPRODUCT((Inputs!$C$5:$C$190=$B26)*ISNUMBER(INDEX(Inputs!$K$5:$AJ$190,0,MATCH(V$2,Inputs!$K$4:$AJ$4,0))))+SUMPRODUCT((Inputs!$E$5:$E$190=$B26)*ISNUMBER(INDEX(Inputs!$K$5:$AJ$190,0,MATCH(V$2,Inputs!$K$4:$AJ$4,0))))=0,NA(),SUMPRODUCT((Inputs!$A$5:$A$190=$B26)*Inputs!$B$5:$B$190*(((Inputs!$G$5:$G$190="moeda")+(Inputs!$G$5:$G$190="acoes"))*Inputs!$B$1+((Inputs!$G$5:$G$190&lt;&gt;"moeda")*(Inputs!$G$5:$G$190&lt;&gt;"acoes")))*INDEX(Inputs!$K$5:$AJ$190,0,MATCH(V$2,Inputs!$K$4:$AJ$4,0)))+SUMPRODUCT((Inputs!$C$5:$C$190=$B26)*Inputs!$D$5:$D$190*(((Inputs!$G$5:$G$190="moeda")+(Inputs!$G$5:$G$190="acoes"))*Inputs!$B$1+((Inputs!$G$5:$G$190&lt;&gt;"moeda")*(Inputs!$G$5:$G$190&lt;&gt;"acoes")))*INDEX(Inputs!$K$5:$AJ$190,0,MATCH(V$2,Inputs!$K$4:$AJ$4,0)))+SUMPRODUCT((Inputs!$E$5:$E$190=$B26)*Inputs!$F$5:$F$190*(((Inputs!$G$5:$G$190="moeda")+(Inputs!$G$5:$G$190="acoes"))*Inputs!$B$1+((Inputs!$G$5:$G$190&lt;&gt;"moeda")*(Inputs!$G$5:$G$190&lt;&gt;"acoes")))*INDEX(Inputs!$K$5:$AJ$190,0,MATCH(V$2,Inputs!$K$4:$AJ$4,0)))))</f>
        <v>4198.8996584</v>
      </c>
      <c r="W26" s="3">
        <f>V26</f>
        <v>4198.8996584</v>
      </c>
      <c r="X26" s="6">
        <f>IF(ISNA(MATCH(X$2,Inputs!$K$4:$AJ$4,0)),NA(),IF(SUMPRODUCT((Inputs!$A$5:$A$190=$B26)*ISNUMBER(INDEX(Inputs!$K$5:$AJ$190,0,MATCH(X$2,Inputs!$K$4:$AJ$4,0))))+SUMPRODUCT((Inputs!$C$5:$C$190=$B26)*ISNUMBER(INDEX(Inputs!$K$5:$AJ$190,0,MATCH(X$2,Inputs!$K$4:$AJ$4,0))))+SUMPRODUCT((Inputs!$E$5:$E$190=$B26)*ISNUMBER(INDEX(Inputs!$K$5:$AJ$190,0,MATCH(X$2,Inputs!$K$4:$AJ$4,0))))=0,NA(),SUMPRODUCT((Inputs!$A$5:$A$190=$B26)*Inputs!$B$5:$B$190*(((Inputs!$G$5:$G$190="moeda")+(Inputs!$G$5:$G$190="acoes"))*Inputs!$B$1+((Inputs!$G$5:$G$190&lt;&gt;"moeda")*(Inputs!$G$5:$G$190&lt;&gt;"acoes")))*INDEX(Inputs!$K$5:$AJ$190,0,MATCH(X$2,Inputs!$K$4:$AJ$4,0)))+SUMPRODUCT((Inputs!$C$5:$C$190=$B26)*Inputs!$D$5:$D$190*(((Inputs!$G$5:$G$190="moeda")+(Inputs!$G$5:$G$190="acoes"))*Inputs!$B$1+((Inputs!$G$5:$G$190&lt;&gt;"moeda")*(Inputs!$G$5:$G$190&lt;&gt;"acoes")))*INDEX(Inputs!$K$5:$AJ$190,0,MATCH(X$2,Inputs!$K$4:$AJ$4,0)))+SUMPRODUCT((Inputs!$E$5:$E$190=$B26)*Inputs!$F$5:$F$190*(((Inputs!$G$5:$G$190="moeda")+(Inputs!$G$5:$G$190="acoes"))*Inputs!$B$1+((Inputs!$G$5:$G$190&lt;&gt;"moeda")*(Inputs!$G$5:$G$190&lt;&gt;"acoes")))*INDEX(Inputs!$K$5:$AJ$190,0,MATCH(X$2,Inputs!$K$4:$AJ$4,0)))))</f>
        <v>3081.89937836</v>
      </c>
      <c r="Y26" s="6">
        <f>IF(ISNA(MATCH(Y$2,Inputs!$K$4:$AJ$4,0)),NA(),IF(SUMPRODUCT((Inputs!$A$5:$A$190=$B26)*ISNUMBER(INDEX(Inputs!$K$5:$AJ$190,0,MATCH(Y$2,Inputs!$K$4:$AJ$4,0))))+SUMPRODUCT((Inputs!$C$5:$C$190=$B26)*ISNUMBER(INDEX(Inputs!$K$5:$AJ$190,0,MATCH(Y$2,Inputs!$K$4:$AJ$4,0))))+SUMPRODUCT((Inputs!$E$5:$E$190=$B26)*ISNUMBER(INDEX(Inputs!$K$5:$AJ$190,0,MATCH(Y$2,Inputs!$K$4:$AJ$4,0))))=0,NA(),SUMPRODUCT((Inputs!$A$5:$A$190=$B26)*Inputs!$B$5:$B$190*(((Inputs!$G$5:$G$190="moeda")+(Inputs!$G$5:$G$190="acoes"))*Inputs!$B$1+((Inputs!$G$5:$G$190&lt;&gt;"moeda")*(Inputs!$G$5:$G$190&lt;&gt;"acoes")))*INDEX(Inputs!$K$5:$AJ$190,0,MATCH(Y$2,Inputs!$K$4:$AJ$4,0)))+SUMPRODUCT((Inputs!$C$5:$C$190=$B26)*Inputs!$D$5:$D$190*(((Inputs!$G$5:$G$190="moeda")+(Inputs!$G$5:$G$190="acoes"))*Inputs!$B$1+((Inputs!$G$5:$G$190&lt;&gt;"moeda")*(Inputs!$G$5:$G$190&lt;&gt;"acoes")))*INDEX(Inputs!$K$5:$AJ$190,0,MATCH(Y$2,Inputs!$K$4:$AJ$4,0)))+SUMPRODUCT((Inputs!$E$5:$E$190=$B26)*Inputs!$F$5:$F$190*(((Inputs!$G$5:$G$190="moeda")+(Inputs!$G$5:$G$190="acoes"))*Inputs!$B$1+((Inputs!$G$5:$G$190&lt;&gt;"moeda")*(Inputs!$G$5:$G$190&lt;&gt;"acoes")))*INDEX(Inputs!$K$5:$AJ$190,0,MATCH(Y$2,Inputs!$K$4:$AJ$4,0)))))</f>
        <v>2399.52190193</v>
      </c>
      <c r="Z26" s="6">
        <f>IF(ISNA(MATCH(Z$2,Inputs!$K$4:$AJ$4,0)),NA(),IF(SUMPRODUCT((Inputs!$A$5:$A$190=$B26)*ISNUMBER(INDEX(Inputs!$K$5:$AJ$190,0,MATCH(Z$2,Inputs!$K$4:$AJ$4,0))))+SUMPRODUCT((Inputs!$C$5:$C$190=$B26)*ISNUMBER(INDEX(Inputs!$K$5:$AJ$190,0,MATCH(Z$2,Inputs!$K$4:$AJ$4,0))))+SUMPRODUCT((Inputs!$E$5:$E$190=$B26)*ISNUMBER(INDEX(Inputs!$K$5:$AJ$190,0,MATCH(Z$2,Inputs!$K$4:$AJ$4,0))))=0,NA(),SUMPRODUCT((Inputs!$A$5:$A$190=$B26)*Inputs!$B$5:$B$190*(((Inputs!$G$5:$G$190="moeda")+(Inputs!$G$5:$G$190="acoes"))*Inputs!$B$1+((Inputs!$G$5:$G$190&lt;&gt;"moeda")*(Inputs!$G$5:$G$190&lt;&gt;"acoes")))*INDEX(Inputs!$K$5:$AJ$190,0,MATCH(Z$2,Inputs!$K$4:$AJ$4,0)))+SUMPRODUCT((Inputs!$C$5:$C$190=$B26)*Inputs!$D$5:$D$190*(((Inputs!$G$5:$G$190="moeda")+(Inputs!$G$5:$G$190="acoes"))*Inputs!$B$1+((Inputs!$G$5:$G$190&lt;&gt;"moeda")*(Inputs!$G$5:$G$190&lt;&gt;"acoes")))*INDEX(Inputs!$K$5:$AJ$190,0,MATCH(Z$2,Inputs!$K$4:$AJ$4,0)))+SUMPRODUCT((Inputs!$E$5:$E$190=$B26)*Inputs!$F$5:$F$190*(((Inputs!$G$5:$G$190="moeda")+(Inputs!$G$5:$G$190="acoes"))*Inputs!$B$1+((Inputs!$G$5:$G$190&lt;&gt;"moeda")*(Inputs!$G$5:$G$190&lt;&gt;"acoes")))*INDEX(Inputs!$K$5:$AJ$190,0,MATCH(Z$2,Inputs!$K$4:$AJ$4,0)))))</f>
        <v>2419.20708444</v>
      </c>
      <c r="AA26" s="6">
        <f>IF(ISNA(MATCH(AA$2,Inputs!$K$4:$AJ$4,0)),NA(),IF(SUMPRODUCT((Inputs!$A$5:$A$190=$B26)*ISNUMBER(INDEX(Inputs!$K$5:$AJ$190,0,MATCH(AA$2,Inputs!$K$4:$AJ$4,0))))+SUMPRODUCT((Inputs!$C$5:$C$190=$B26)*ISNUMBER(INDEX(Inputs!$K$5:$AJ$190,0,MATCH(AA$2,Inputs!$K$4:$AJ$4,0))))+SUMPRODUCT((Inputs!$E$5:$E$190=$B26)*ISNUMBER(INDEX(Inputs!$K$5:$AJ$190,0,MATCH(AA$2,Inputs!$K$4:$AJ$4,0))))=0,NA(),SUMPRODUCT((Inputs!$A$5:$A$190=$B26)*Inputs!$B$5:$B$190*(((Inputs!$G$5:$G$190="moeda")+(Inputs!$G$5:$G$190="acoes"))*Inputs!$B$1+((Inputs!$G$5:$G$190&lt;&gt;"moeda")*(Inputs!$G$5:$G$190&lt;&gt;"acoes")))*INDEX(Inputs!$K$5:$AJ$190,0,MATCH(AA$2,Inputs!$K$4:$AJ$4,0)))+SUMPRODUCT((Inputs!$C$5:$C$190=$B26)*Inputs!$D$5:$D$190*(((Inputs!$G$5:$G$190="moeda")+(Inputs!$G$5:$G$190="acoes"))*Inputs!$B$1+((Inputs!$G$5:$G$190&lt;&gt;"moeda")*(Inputs!$G$5:$G$190&lt;&gt;"acoes")))*INDEX(Inputs!$K$5:$AJ$190,0,MATCH(AA$2,Inputs!$K$4:$AJ$4,0)))+SUMPRODUCT((Inputs!$E$5:$E$190=$B26)*Inputs!$F$5:$F$190*(((Inputs!$G$5:$G$190="moeda")+(Inputs!$G$5:$G$190="acoes"))*Inputs!$B$1+((Inputs!$G$5:$G$190&lt;&gt;"moeda")*(Inputs!$G$5:$G$190&lt;&gt;"acoes")))*INDEX(Inputs!$K$5:$AJ$190,0,MATCH(AA$2,Inputs!$K$4:$AJ$4,0)))))</f>
        <v>2635.01576854</v>
      </c>
      <c r="AB26" s="3">
        <f>AA26</f>
        <v>2635.01576854</v>
      </c>
      <c r="AC26" s="6">
        <f>IF(ISNA(MATCH(AC$2,Inputs!$K$4:$AJ$4,0)),NA(),IF(SUMPRODUCT((Inputs!$A$5:$A$190=$B26)*ISNUMBER(INDEX(Inputs!$K$5:$AJ$190,0,MATCH(AC$2,Inputs!$K$4:$AJ$4,0))))+SUMPRODUCT((Inputs!$C$5:$C$190=$B26)*ISNUMBER(INDEX(Inputs!$K$5:$AJ$190,0,MATCH(AC$2,Inputs!$K$4:$AJ$4,0))))+SUMPRODUCT((Inputs!$E$5:$E$190=$B26)*ISNUMBER(INDEX(Inputs!$K$5:$AJ$190,0,MATCH(AC$2,Inputs!$K$4:$AJ$4,0))))=0,NA(),SUMPRODUCT((Inputs!$A$5:$A$190=$B26)*Inputs!$B$5:$B$190*(((Inputs!$G$5:$G$190="moeda")+(Inputs!$G$5:$G$190="acoes"))*Inputs!$B$1+((Inputs!$G$5:$G$190&lt;&gt;"moeda")*(Inputs!$G$5:$G$190&lt;&gt;"acoes")))*INDEX(Inputs!$K$5:$AJ$190,0,MATCH(AC$2,Inputs!$K$4:$AJ$4,0)))+SUMPRODUCT((Inputs!$C$5:$C$190=$B26)*Inputs!$D$5:$D$190*(((Inputs!$G$5:$G$190="moeda")+(Inputs!$G$5:$G$190="acoes"))*Inputs!$B$1+((Inputs!$G$5:$G$190&lt;&gt;"moeda")*(Inputs!$G$5:$G$190&lt;&gt;"acoes")))*INDEX(Inputs!$K$5:$AJ$190,0,MATCH(AC$2,Inputs!$K$4:$AJ$4,0)))+SUMPRODUCT((Inputs!$E$5:$E$190=$B26)*Inputs!$F$5:$F$190*(((Inputs!$G$5:$G$190="moeda")+(Inputs!$G$5:$G$190="acoes"))*Inputs!$B$1+((Inputs!$G$5:$G$190&lt;&gt;"moeda")*(Inputs!$G$5:$G$190&lt;&gt;"acoes")))*INDEX(Inputs!$K$5:$AJ$190,0,MATCH(AC$2,Inputs!$K$4:$AJ$4,0)))))</f>
        <v>2838.20787767</v>
      </c>
      <c r="AD26" s="6">
        <f>IF(ISNA(MATCH(AD$2,Inputs!$K$4:$AJ$4,0)),NA(),IF(SUMPRODUCT((Inputs!$A$5:$A$190=$B26)*ISNUMBER(INDEX(Inputs!$K$5:$AJ$190,0,MATCH(AD$2,Inputs!$K$4:$AJ$4,0))))+SUMPRODUCT((Inputs!$C$5:$C$190=$B26)*ISNUMBER(INDEX(Inputs!$K$5:$AJ$190,0,MATCH(AD$2,Inputs!$K$4:$AJ$4,0))))+SUMPRODUCT((Inputs!$E$5:$E$190=$B26)*ISNUMBER(INDEX(Inputs!$K$5:$AJ$190,0,MATCH(AD$2,Inputs!$K$4:$AJ$4,0))))=0,NA(),SUMPRODUCT((Inputs!$A$5:$A$190=$B26)*Inputs!$B$5:$B$190*(((Inputs!$G$5:$G$190="moeda")+(Inputs!$G$5:$G$190="acoes"))*Inputs!$B$1+((Inputs!$G$5:$G$190&lt;&gt;"moeda")*(Inputs!$G$5:$G$190&lt;&gt;"acoes")))*INDEX(Inputs!$K$5:$AJ$190,0,MATCH(AD$2,Inputs!$K$4:$AJ$4,0)))+SUMPRODUCT((Inputs!$C$5:$C$190=$B26)*Inputs!$D$5:$D$190*(((Inputs!$G$5:$G$190="moeda")+(Inputs!$G$5:$G$190="acoes"))*Inputs!$B$1+((Inputs!$G$5:$G$190&lt;&gt;"moeda")*(Inputs!$G$5:$G$190&lt;&gt;"acoes")))*INDEX(Inputs!$K$5:$AJ$190,0,MATCH(AD$2,Inputs!$K$4:$AJ$4,0)))+SUMPRODUCT((Inputs!$E$5:$E$190=$B26)*Inputs!$F$5:$F$190*(((Inputs!$G$5:$G$190="moeda")+(Inputs!$G$5:$G$190="acoes"))*Inputs!$B$1+((Inputs!$G$5:$G$190&lt;&gt;"moeda")*(Inputs!$G$5:$G$190&lt;&gt;"acoes")))*INDEX(Inputs!$K$5:$AJ$190,0,MATCH(AD$2,Inputs!$K$4:$AJ$4,0)))))</f>
        <v>2775.84852478</v>
      </c>
      <c r="AE26" s="6" t="e">
        <f>IF(ISNA(MATCH(AE$2,Inputs!$K$4:$AJ$4,0)),NA(),IF(SUMPRODUCT((Inputs!$A$5:$A$190=$B26)*ISNUMBER(INDEX(Inputs!$K$5:$AJ$190,0,MATCH(AE$2,Inputs!$K$4:$AJ$4,0))))+SUMPRODUCT((Inputs!$C$5:$C$190=$B26)*ISNUMBER(INDEX(Inputs!$K$5:$AJ$190,0,MATCH(AE$2,Inputs!$K$4:$AJ$4,0))))+SUMPRODUCT((Inputs!$E$5:$E$190=$B26)*ISNUMBER(INDEX(Inputs!$K$5:$AJ$190,0,MATCH(AE$2,Inputs!$K$4:$AJ$4,0))))=0,NA(),SUMPRODUCT((Inputs!$A$5:$A$190=$B26)*Inputs!$B$5:$B$190*(((Inputs!$G$5:$G$190="moeda")+(Inputs!$G$5:$G$190="acoes"))*Inputs!$B$1+((Inputs!$G$5:$G$190&lt;&gt;"moeda")*(Inputs!$G$5:$G$190&lt;&gt;"acoes")))*INDEX(Inputs!$K$5:$AJ$190,0,MATCH(AE$2,Inputs!$K$4:$AJ$4,0)))+SUMPRODUCT((Inputs!$C$5:$C$190=$B26)*Inputs!$D$5:$D$190*(((Inputs!$G$5:$G$190="moeda")+(Inputs!$G$5:$G$190="acoes"))*Inputs!$B$1+((Inputs!$G$5:$G$190&lt;&gt;"moeda")*(Inputs!$G$5:$G$190&lt;&gt;"acoes")))*INDEX(Inputs!$K$5:$AJ$190,0,MATCH(AE$2,Inputs!$K$4:$AJ$4,0)))+SUMPRODUCT((Inputs!$E$5:$E$190=$B26)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26" s="6" t="e">
        <f>IF(ISNA(MATCH(AF$2,Inputs!$K$4:$AJ$4,0)),NA(),IF(SUMPRODUCT((Inputs!$A$5:$A$190=$B26)*ISNUMBER(INDEX(Inputs!$K$5:$AJ$190,0,MATCH(AF$2,Inputs!$K$4:$AJ$4,0))))+SUMPRODUCT((Inputs!$C$5:$C$190=$B26)*ISNUMBER(INDEX(Inputs!$K$5:$AJ$190,0,MATCH(AF$2,Inputs!$K$4:$AJ$4,0))))+SUMPRODUCT((Inputs!$E$5:$E$190=$B26)*ISNUMBER(INDEX(Inputs!$K$5:$AJ$190,0,MATCH(AF$2,Inputs!$K$4:$AJ$4,0))))=0,NA(),SUMPRODUCT((Inputs!$A$5:$A$190=$B26)*Inputs!$B$5:$B$190*(((Inputs!$G$5:$G$190="moeda")+(Inputs!$G$5:$G$190="acoes"))*Inputs!$B$1+((Inputs!$G$5:$G$190&lt;&gt;"moeda")*(Inputs!$G$5:$G$190&lt;&gt;"acoes")))*INDEX(Inputs!$K$5:$AJ$190,0,MATCH(AF$2,Inputs!$K$4:$AJ$4,0)))+SUMPRODUCT((Inputs!$C$5:$C$190=$B26)*Inputs!$D$5:$D$190*(((Inputs!$G$5:$G$190="moeda")+(Inputs!$G$5:$G$190="acoes"))*Inputs!$B$1+((Inputs!$G$5:$G$190&lt;&gt;"moeda")*(Inputs!$G$5:$G$190&lt;&gt;"acoes")))*INDEX(Inputs!$K$5:$AJ$190,0,MATCH(AF$2,Inputs!$K$4:$AJ$4,0)))+SUMPRODUCT((Inputs!$E$5:$E$190=$B26)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26" s="3" t="e">
        <f>AF26</f>
        <v>#N/A</v>
      </c>
      <c r="AH26" s="6">
        <f>IF(ISNA(MATCH(AH$2,Inputs!$K$4:$AJ$4,0)),NA(),IF(SUMPRODUCT((Inputs!$A$5:$A$190=$B26)*ISNUMBER(INDEX(Inputs!$K$5:$AJ$190,0,MATCH(AH$2,Inputs!$K$4:$AJ$4,0))))+SUMPRODUCT((Inputs!$C$5:$C$190=$B26)*ISNUMBER(INDEX(Inputs!$K$5:$AJ$190,0,MATCH(AH$2,Inputs!$K$4:$AJ$4,0))))+SUMPRODUCT((Inputs!$E$5:$E$190=$B26)*ISNUMBER(INDEX(Inputs!$K$5:$AJ$190,0,MATCH(AH$2,Inputs!$K$4:$AJ$4,0))))=0,NA(),SUMPRODUCT((Inputs!$A$5:$A$190=$B26)*Inputs!$B$5:$B$190*(((Inputs!$G$5:$G$190="moeda")+(Inputs!$G$5:$G$190="acoes"))*Inputs!$B$1+((Inputs!$G$5:$G$190&lt;&gt;"moeda")*(Inputs!$G$5:$G$190&lt;&gt;"acoes")))*INDEX(Inputs!$K$5:$AJ$190,0,MATCH(AH$2,Inputs!$K$4:$AJ$4,0)))+SUMPRODUCT((Inputs!$C$5:$C$190=$B26)*Inputs!$D$5:$D$190*(((Inputs!$G$5:$G$190="moeda")+(Inputs!$G$5:$G$190="acoes"))*Inputs!$B$1+((Inputs!$G$5:$G$190&lt;&gt;"moeda")*(Inputs!$G$5:$G$190&lt;&gt;"acoes")))*INDEX(Inputs!$K$5:$AJ$190,0,MATCH(AH$2,Inputs!$K$4:$AJ$4,0)))+SUMPRODUCT((Inputs!$E$5:$E$190=$B26)*Inputs!$F$5:$F$190*(((Inputs!$G$5:$G$190="moeda")+(Inputs!$G$5:$G$190="acoes"))*Inputs!$B$1+((Inputs!$G$5:$G$190&lt;&gt;"moeda")*(Inputs!$G$5:$G$190&lt;&gt;"acoes")))*INDEX(Inputs!$K$5:$AJ$190,0,MATCH(AH$2,Inputs!$K$4:$AJ$4,0)))))</f>
        <v>1290.64487766</v>
      </c>
      <c r="AI26" s="6">
        <f>IF(ISNA(MATCH(AI$2,Inputs!$K$4:$AJ$4,0)),NA(),IF(SUMPRODUCT((Inputs!$A$5:$A$190=$B26)*ISNUMBER(INDEX(Inputs!$K$5:$AJ$190,0,MATCH(AI$2,Inputs!$K$4:$AJ$4,0))))+SUMPRODUCT((Inputs!$C$5:$C$190=$B26)*ISNUMBER(INDEX(Inputs!$K$5:$AJ$190,0,MATCH(AI$2,Inputs!$K$4:$AJ$4,0))))+SUMPRODUCT((Inputs!$E$5:$E$190=$B26)*ISNUMBER(INDEX(Inputs!$K$5:$AJ$190,0,MATCH(AI$2,Inputs!$K$4:$AJ$4,0))))=0,NA(),SUMPRODUCT((Inputs!$A$5:$A$190=$B26)*Inputs!$B$5:$B$190*(((Inputs!$G$5:$G$190="moeda")+(Inputs!$G$5:$G$190="acoes"))*Inputs!$B$1+((Inputs!$G$5:$G$190&lt;&gt;"moeda")*(Inputs!$G$5:$G$190&lt;&gt;"acoes")))*INDEX(Inputs!$K$5:$AJ$190,0,MATCH(AI$2,Inputs!$K$4:$AJ$4,0)))+SUMPRODUCT((Inputs!$C$5:$C$190=$B26)*Inputs!$D$5:$D$190*(((Inputs!$G$5:$G$190="moeda")+(Inputs!$G$5:$G$190="acoes"))*Inputs!$B$1+((Inputs!$G$5:$G$190&lt;&gt;"moeda")*(Inputs!$G$5:$G$190&lt;&gt;"acoes")))*INDEX(Inputs!$K$5:$AJ$190,0,MATCH(AI$2,Inputs!$K$4:$AJ$4,0)))+SUMPRODUCT((Inputs!$E$5:$E$190=$B26)*Inputs!$F$5:$F$190*(((Inputs!$G$5:$G$190="moeda")+(Inputs!$G$5:$G$190="acoes"))*Inputs!$B$1+((Inputs!$G$5:$G$190&lt;&gt;"moeda")*(Inputs!$G$5:$G$190&lt;&gt;"acoes")))*INDEX(Inputs!$K$5:$AJ$190,0,MATCH(AI$2,Inputs!$K$4:$AJ$4,0)))))</f>
        <v>886.71606673</v>
      </c>
      <c r="AJ26" s="6">
        <f>IF(ISNA(MATCH(AJ$2,Inputs!$K$4:$AJ$4,0)),NA(),IF(SUMPRODUCT((Inputs!$A$5:$A$190=$B26)*ISNUMBER(INDEX(Inputs!$K$5:$AJ$190,0,MATCH(AJ$2,Inputs!$K$4:$AJ$4,0))))+SUMPRODUCT((Inputs!$C$5:$C$190=$B26)*ISNUMBER(INDEX(Inputs!$K$5:$AJ$190,0,MATCH(AJ$2,Inputs!$K$4:$AJ$4,0))))+SUMPRODUCT((Inputs!$E$5:$E$190=$B26)*ISNUMBER(INDEX(Inputs!$K$5:$AJ$190,0,MATCH(AJ$2,Inputs!$K$4:$AJ$4,0))))=0,NA(),SUMPRODUCT((Inputs!$A$5:$A$190=$B26)*Inputs!$B$5:$B$190*(((Inputs!$G$5:$G$190="moeda")+(Inputs!$G$5:$G$190="acoes"))*Inputs!$B$1+((Inputs!$G$5:$G$190&lt;&gt;"moeda")*(Inputs!$G$5:$G$190&lt;&gt;"acoes")))*INDEX(Inputs!$K$5:$AJ$190,0,MATCH(AJ$2,Inputs!$K$4:$AJ$4,0)))+SUMPRODUCT((Inputs!$C$5:$C$190=$B26)*Inputs!$D$5:$D$190*(((Inputs!$G$5:$G$190="moeda")+(Inputs!$G$5:$G$190="acoes"))*Inputs!$B$1+((Inputs!$G$5:$G$190&lt;&gt;"moeda")*(Inputs!$G$5:$G$190&lt;&gt;"acoes")))*INDEX(Inputs!$K$5:$AJ$190,0,MATCH(AJ$2,Inputs!$K$4:$AJ$4,0)))+SUMPRODUCT((Inputs!$E$5:$E$190=$B26)*Inputs!$F$5:$F$190*(((Inputs!$G$5:$G$190="moeda")+(Inputs!$G$5:$G$190="acoes"))*Inputs!$B$1+((Inputs!$G$5:$G$190&lt;&gt;"moeda")*(Inputs!$G$5:$G$190&lt;&gt;"acoes")))*INDEX(Inputs!$K$5:$AJ$190,0,MATCH(AJ$2,Inputs!$K$4:$AJ$4,0)))))</f>
        <v>961.88223753</v>
      </c>
      <c r="AK26" s="6">
        <f>IF(ISNA(MATCH(AK$2,Inputs!$K$4:$AJ$4,0)),NA(),IF(SUMPRODUCT((Inputs!$A$5:$A$190=$B26)*ISNUMBER(INDEX(Inputs!$K$5:$AJ$190,0,MATCH(AK$2,Inputs!$K$4:$AJ$4,0))))+SUMPRODUCT((Inputs!$C$5:$C$190=$B26)*ISNUMBER(INDEX(Inputs!$K$5:$AJ$190,0,MATCH(AK$2,Inputs!$K$4:$AJ$4,0))))+SUMPRODUCT((Inputs!$E$5:$E$190=$B26)*ISNUMBER(INDEX(Inputs!$K$5:$AJ$190,0,MATCH(AK$2,Inputs!$K$4:$AJ$4,0))))=0,NA(),SUMPRODUCT((Inputs!$A$5:$A$190=$B26)*Inputs!$B$5:$B$190*(((Inputs!$G$5:$G$190="moeda")+(Inputs!$G$5:$G$190="acoes"))*Inputs!$B$1+((Inputs!$G$5:$G$190&lt;&gt;"moeda")*(Inputs!$G$5:$G$190&lt;&gt;"acoes")))*INDEX(Inputs!$K$5:$AJ$190,0,MATCH(AK$2,Inputs!$K$4:$AJ$4,0)))+SUMPRODUCT((Inputs!$C$5:$C$190=$B26)*Inputs!$D$5:$D$190*(((Inputs!$G$5:$G$190="moeda")+(Inputs!$G$5:$G$190="acoes"))*Inputs!$B$1+((Inputs!$G$5:$G$190&lt;&gt;"moeda")*(Inputs!$G$5:$G$190&lt;&gt;"acoes")))*INDEX(Inputs!$K$5:$AJ$190,0,MATCH(AK$2,Inputs!$K$4:$AJ$4,0)))+SUMPRODUCT((Inputs!$E$5:$E$190=$B26)*Inputs!$F$5:$F$190*(((Inputs!$G$5:$G$190="moeda")+(Inputs!$G$5:$G$190="acoes"))*Inputs!$B$1+((Inputs!$G$5:$G$190&lt;&gt;"moeda")*(Inputs!$G$5:$G$190&lt;&gt;"acoes")))*INDEX(Inputs!$K$5:$AJ$190,0,MATCH(AK$2,Inputs!$K$4:$AJ$4,0)))))</f>
        <v>920.19773362</v>
      </c>
      <c r="AL26" s="3">
        <f>AK26</f>
        <v>920.19773362</v>
      </c>
    </row>
    <row r="27">
      <c r="C27" s="1" t="n"/>
    </row>
    <row r="28">
      <c r="B28" s="46" t="n">
        <v>23</v>
      </c>
      <c r="C28" s="26" t="inlineStr">
        <is>
          <t>Accounts payable</t>
        </is>
      </c>
      <c r="D28" s="6">
        <f>IF(ISNA(MATCH(D$2,Inputs!$K$4:$AJ$4,0)),NA(),IF(SUMPRODUCT((Inputs!$A$5:$A$190=$B28)*ISNUMBER(INDEX(Inputs!$K$5:$AJ$190,0,MATCH(D$2,Inputs!$K$4:$AJ$4,0))))+SUMPRODUCT((Inputs!$C$5:$C$190=$B28)*ISNUMBER(INDEX(Inputs!$K$5:$AJ$190,0,MATCH(D$2,Inputs!$K$4:$AJ$4,0))))+SUMPRODUCT((Inputs!$E$5:$E$190=$B28)*ISNUMBER(INDEX(Inputs!$K$5:$AJ$190,0,MATCH(D$2,Inputs!$K$4:$AJ$4,0))))=0,NA(),SUMPRODUCT((Inputs!$A$5:$A$190=$B28)*Inputs!$B$5:$B$190*(((Inputs!$G$5:$G$190="moeda")+(Inputs!$G$5:$G$190="acoes"))*Inputs!$B$1+((Inputs!$G$5:$G$190&lt;&gt;"moeda")*(Inputs!$G$5:$G$190&lt;&gt;"acoes")))*INDEX(Inputs!$K$5:$AJ$190,0,MATCH(D$2,Inputs!$K$4:$AJ$4,0)))+SUMPRODUCT((Inputs!$C$5:$C$190=$B28)*Inputs!$D$5:$D$190*(((Inputs!$G$5:$G$190="moeda")+(Inputs!$G$5:$G$190="acoes"))*Inputs!$B$1+((Inputs!$G$5:$G$190&lt;&gt;"moeda")*(Inputs!$G$5:$G$190&lt;&gt;"acoes")))*INDEX(Inputs!$K$5:$AJ$190,0,MATCH(D$2,Inputs!$K$4:$AJ$4,0)))+SUMPRODUCT((Inputs!$E$5:$E$190=$B28)*Inputs!$F$5:$F$190*(((Inputs!$G$5:$G$190="moeda")+(Inputs!$G$5:$G$190="acoes"))*Inputs!$B$1+((Inputs!$G$5:$G$190&lt;&gt;"moeda")*(Inputs!$G$5:$G$190&lt;&gt;"acoes")))*INDEX(Inputs!$K$5:$AJ$190,0,MATCH(D$2,Inputs!$K$4:$AJ$4,0)))))</f>
        <v>1785.56086061</v>
      </c>
      <c r="E28" s="6">
        <f>IF(ISNA(MATCH(E$2,Inputs!$K$4:$AJ$4,0)),NA(),IF(SUMPRODUCT((Inputs!$A$5:$A$190=$B28)*ISNUMBER(INDEX(Inputs!$K$5:$AJ$190,0,MATCH(E$2,Inputs!$K$4:$AJ$4,0))))+SUMPRODUCT((Inputs!$C$5:$C$190=$B28)*ISNUMBER(INDEX(Inputs!$K$5:$AJ$190,0,MATCH(E$2,Inputs!$K$4:$AJ$4,0))))+SUMPRODUCT((Inputs!$E$5:$E$190=$B28)*ISNUMBER(INDEX(Inputs!$K$5:$AJ$190,0,MATCH(E$2,Inputs!$K$4:$AJ$4,0))))=0,NA(),SUMPRODUCT((Inputs!$A$5:$A$190=$B28)*Inputs!$B$5:$B$190*(((Inputs!$G$5:$G$190="moeda")+(Inputs!$G$5:$G$190="acoes"))*Inputs!$B$1+((Inputs!$G$5:$G$190&lt;&gt;"moeda")*(Inputs!$G$5:$G$190&lt;&gt;"acoes")))*INDEX(Inputs!$K$5:$AJ$190,0,MATCH(E$2,Inputs!$K$4:$AJ$4,0)))+SUMPRODUCT((Inputs!$C$5:$C$190=$B28)*Inputs!$D$5:$D$190*(((Inputs!$G$5:$G$190="moeda")+(Inputs!$G$5:$G$190="acoes"))*Inputs!$B$1+((Inputs!$G$5:$G$190&lt;&gt;"moeda")*(Inputs!$G$5:$G$190&lt;&gt;"acoes")))*INDEX(Inputs!$K$5:$AJ$190,0,MATCH(E$2,Inputs!$K$4:$AJ$4,0)))+SUMPRODUCT((Inputs!$E$5:$E$190=$B28)*Inputs!$F$5:$F$190*(((Inputs!$G$5:$G$190="moeda")+(Inputs!$G$5:$G$190="acoes"))*Inputs!$B$1+((Inputs!$G$5:$G$190&lt;&gt;"moeda")*(Inputs!$G$5:$G$190&lt;&gt;"acoes")))*INDEX(Inputs!$K$5:$AJ$190,0,MATCH(E$2,Inputs!$K$4:$AJ$4,0)))))</f>
        <v>2597.160507563</v>
      </c>
      <c r="F28" s="6">
        <f>IF(ISNA(MATCH(F$2,Inputs!$K$4:$AJ$4,0)),NA(),IF(SUMPRODUCT((Inputs!$A$5:$A$190=$B28)*ISNUMBER(INDEX(Inputs!$K$5:$AJ$190,0,MATCH(F$2,Inputs!$K$4:$AJ$4,0))))+SUMPRODUCT((Inputs!$C$5:$C$190=$B28)*ISNUMBER(INDEX(Inputs!$K$5:$AJ$190,0,MATCH(F$2,Inputs!$K$4:$AJ$4,0))))+SUMPRODUCT((Inputs!$E$5:$E$190=$B28)*ISNUMBER(INDEX(Inputs!$K$5:$AJ$190,0,MATCH(F$2,Inputs!$K$4:$AJ$4,0))))=0,NA(),SUMPRODUCT((Inputs!$A$5:$A$190=$B28)*Inputs!$B$5:$B$190*(((Inputs!$G$5:$G$190="moeda")+(Inputs!$G$5:$G$190="acoes"))*Inputs!$B$1+((Inputs!$G$5:$G$190&lt;&gt;"moeda")*(Inputs!$G$5:$G$190&lt;&gt;"acoes")))*INDEX(Inputs!$K$5:$AJ$190,0,MATCH(F$2,Inputs!$K$4:$AJ$4,0)))+SUMPRODUCT((Inputs!$C$5:$C$190=$B28)*Inputs!$D$5:$D$190*(((Inputs!$G$5:$G$190="moeda")+(Inputs!$G$5:$G$190="acoes"))*Inputs!$B$1+((Inputs!$G$5:$G$190&lt;&gt;"moeda")*(Inputs!$G$5:$G$190&lt;&gt;"acoes")))*INDEX(Inputs!$K$5:$AJ$190,0,MATCH(F$2,Inputs!$K$4:$AJ$4,0)))+SUMPRODUCT((Inputs!$E$5:$E$190=$B28)*Inputs!$F$5:$F$190*(((Inputs!$G$5:$G$190="moeda")+(Inputs!$G$5:$G$190="acoes"))*Inputs!$B$1+((Inputs!$G$5:$G$190&lt;&gt;"moeda")*(Inputs!$G$5:$G$190&lt;&gt;"acoes")))*INDEX(Inputs!$K$5:$AJ$190,0,MATCH(F$2,Inputs!$K$4:$AJ$4,0)))))</f>
        <v>2266.949</v>
      </c>
      <c r="G28" s="6">
        <f>IF(ISNA(MATCH(G$2,Inputs!$K$4:$AJ$4,0)),NA(),IF(SUMPRODUCT((Inputs!$A$5:$A$190=$B28)*ISNUMBER(INDEX(Inputs!$K$5:$AJ$190,0,MATCH(G$2,Inputs!$K$4:$AJ$4,0))))+SUMPRODUCT((Inputs!$C$5:$C$190=$B28)*ISNUMBER(INDEX(Inputs!$K$5:$AJ$190,0,MATCH(G$2,Inputs!$K$4:$AJ$4,0))))+SUMPRODUCT((Inputs!$E$5:$E$190=$B28)*ISNUMBER(INDEX(Inputs!$K$5:$AJ$190,0,MATCH(G$2,Inputs!$K$4:$AJ$4,0))))=0,NA(),SUMPRODUCT((Inputs!$A$5:$A$190=$B28)*Inputs!$B$5:$B$190*(((Inputs!$G$5:$G$190="moeda")+(Inputs!$G$5:$G$190="acoes"))*Inputs!$B$1+((Inputs!$G$5:$G$190&lt;&gt;"moeda")*(Inputs!$G$5:$G$190&lt;&gt;"acoes")))*INDEX(Inputs!$K$5:$AJ$190,0,MATCH(G$2,Inputs!$K$4:$AJ$4,0)))+SUMPRODUCT((Inputs!$C$5:$C$190=$B28)*Inputs!$D$5:$D$190*(((Inputs!$G$5:$G$190="moeda")+(Inputs!$G$5:$G$190="acoes"))*Inputs!$B$1+((Inputs!$G$5:$G$190&lt;&gt;"moeda")*(Inputs!$G$5:$G$190&lt;&gt;"acoes")))*INDEX(Inputs!$K$5:$AJ$190,0,MATCH(G$2,Inputs!$K$4:$AJ$4,0)))+SUMPRODUCT((Inputs!$E$5:$E$190=$B28)*Inputs!$F$5:$F$190*(((Inputs!$G$5:$G$190="moeda")+(Inputs!$G$5:$G$190="acoes"))*Inputs!$B$1+((Inputs!$G$5:$G$190&lt;&gt;"moeda")*(Inputs!$G$5:$G$190&lt;&gt;"acoes")))*INDEX(Inputs!$K$5:$AJ$190,0,MATCH(G$2,Inputs!$K$4:$AJ$4,0)))))</f>
        <v>3549.8</v>
      </c>
      <c r="H28" s="3">
        <f>G28</f>
        <v>3549.8</v>
      </c>
      <c r="I28" s="6">
        <f>IF(ISNA(MATCH(I$2,Inputs!$K$4:$AJ$4,0)),NA(),IF(SUMPRODUCT((Inputs!$A$5:$A$190=$B28)*ISNUMBER(INDEX(Inputs!$K$5:$AJ$190,0,MATCH(I$2,Inputs!$K$4:$AJ$4,0))))+SUMPRODUCT((Inputs!$C$5:$C$190=$B28)*ISNUMBER(INDEX(Inputs!$K$5:$AJ$190,0,MATCH(I$2,Inputs!$K$4:$AJ$4,0))))+SUMPRODUCT((Inputs!$E$5:$E$190=$B28)*ISNUMBER(INDEX(Inputs!$K$5:$AJ$190,0,MATCH(I$2,Inputs!$K$4:$AJ$4,0))))=0,NA(),SUMPRODUCT((Inputs!$A$5:$A$190=$B28)*Inputs!$B$5:$B$190*(((Inputs!$G$5:$G$190="moeda")+(Inputs!$G$5:$G$190="acoes"))*Inputs!$B$1+((Inputs!$G$5:$G$190&lt;&gt;"moeda")*(Inputs!$G$5:$G$190&lt;&gt;"acoes")))*INDEX(Inputs!$K$5:$AJ$190,0,MATCH(I$2,Inputs!$K$4:$AJ$4,0)))+SUMPRODUCT((Inputs!$C$5:$C$190=$B28)*Inputs!$D$5:$D$190*(((Inputs!$G$5:$G$190="moeda")+(Inputs!$G$5:$G$190="acoes"))*Inputs!$B$1+((Inputs!$G$5:$G$190&lt;&gt;"moeda")*(Inputs!$G$5:$G$190&lt;&gt;"acoes")))*INDEX(Inputs!$K$5:$AJ$190,0,MATCH(I$2,Inputs!$K$4:$AJ$4,0)))+SUMPRODUCT((Inputs!$E$5:$E$190=$B28)*Inputs!$F$5:$F$190*(((Inputs!$G$5:$G$190="moeda")+(Inputs!$G$5:$G$190="acoes"))*Inputs!$B$1+((Inputs!$G$5:$G$190&lt;&gt;"moeda")*(Inputs!$G$5:$G$190&lt;&gt;"acoes")))*INDEX(Inputs!$K$5:$AJ$190,0,MATCH(I$2,Inputs!$K$4:$AJ$4,0)))))</f>
        <v>3293.722</v>
      </c>
      <c r="J28" s="6">
        <f>IF(ISNA(MATCH(J$2,Inputs!$K$4:$AJ$4,0)),NA(),IF(SUMPRODUCT((Inputs!$A$5:$A$190=$B28)*ISNUMBER(INDEX(Inputs!$K$5:$AJ$190,0,MATCH(J$2,Inputs!$K$4:$AJ$4,0))))+SUMPRODUCT((Inputs!$C$5:$C$190=$B28)*ISNUMBER(INDEX(Inputs!$K$5:$AJ$190,0,MATCH(J$2,Inputs!$K$4:$AJ$4,0))))+SUMPRODUCT((Inputs!$E$5:$E$190=$B28)*ISNUMBER(INDEX(Inputs!$K$5:$AJ$190,0,MATCH(J$2,Inputs!$K$4:$AJ$4,0))))=0,NA(),SUMPRODUCT((Inputs!$A$5:$A$190=$B28)*Inputs!$B$5:$B$190*(((Inputs!$G$5:$G$190="moeda")+(Inputs!$G$5:$G$190="acoes"))*Inputs!$B$1+((Inputs!$G$5:$G$190&lt;&gt;"moeda")*(Inputs!$G$5:$G$190&lt;&gt;"acoes")))*INDEX(Inputs!$K$5:$AJ$190,0,MATCH(J$2,Inputs!$K$4:$AJ$4,0)))+SUMPRODUCT((Inputs!$C$5:$C$190=$B28)*Inputs!$D$5:$D$190*(((Inputs!$G$5:$G$190="moeda")+(Inputs!$G$5:$G$190="acoes"))*Inputs!$B$1+((Inputs!$G$5:$G$190&lt;&gt;"moeda")*(Inputs!$G$5:$G$190&lt;&gt;"acoes")))*INDEX(Inputs!$K$5:$AJ$190,0,MATCH(J$2,Inputs!$K$4:$AJ$4,0)))+SUMPRODUCT((Inputs!$E$5:$E$190=$B28)*Inputs!$F$5:$F$190*(((Inputs!$G$5:$G$190="moeda")+(Inputs!$G$5:$G$190="acoes"))*Inputs!$B$1+((Inputs!$G$5:$G$190&lt;&gt;"moeda")*(Inputs!$G$5:$G$190&lt;&gt;"acoes")))*INDEX(Inputs!$K$5:$AJ$190,0,MATCH(J$2,Inputs!$K$4:$AJ$4,0)))))</f>
        <v>4445.405</v>
      </c>
      <c r="K28" s="6">
        <f>IF(ISNA(MATCH(K$2,Inputs!$K$4:$AJ$4,0)),NA(),IF(SUMPRODUCT((Inputs!$A$5:$A$190=$B28)*ISNUMBER(INDEX(Inputs!$K$5:$AJ$190,0,MATCH(K$2,Inputs!$K$4:$AJ$4,0))))+SUMPRODUCT((Inputs!$C$5:$C$190=$B28)*ISNUMBER(INDEX(Inputs!$K$5:$AJ$190,0,MATCH(K$2,Inputs!$K$4:$AJ$4,0))))+SUMPRODUCT((Inputs!$E$5:$E$190=$B28)*ISNUMBER(INDEX(Inputs!$K$5:$AJ$190,0,MATCH(K$2,Inputs!$K$4:$AJ$4,0))))=0,NA(),SUMPRODUCT((Inputs!$A$5:$A$190=$B28)*Inputs!$B$5:$B$190*(((Inputs!$G$5:$G$190="moeda")+(Inputs!$G$5:$G$190="acoes"))*Inputs!$B$1+((Inputs!$G$5:$G$190&lt;&gt;"moeda")*(Inputs!$G$5:$G$190&lt;&gt;"acoes")))*INDEX(Inputs!$K$5:$AJ$190,0,MATCH(K$2,Inputs!$K$4:$AJ$4,0)))+SUMPRODUCT((Inputs!$C$5:$C$190=$B28)*Inputs!$D$5:$D$190*(((Inputs!$G$5:$G$190="moeda")+(Inputs!$G$5:$G$190="acoes"))*Inputs!$B$1+((Inputs!$G$5:$G$190&lt;&gt;"moeda")*(Inputs!$G$5:$G$190&lt;&gt;"acoes")))*INDEX(Inputs!$K$5:$AJ$190,0,MATCH(K$2,Inputs!$K$4:$AJ$4,0)))+SUMPRODUCT((Inputs!$E$5:$E$190=$B28)*Inputs!$F$5:$F$190*(((Inputs!$G$5:$G$190="moeda")+(Inputs!$G$5:$G$190="acoes"))*Inputs!$B$1+((Inputs!$G$5:$G$190&lt;&gt;"moeda")*(Inputs!$G$5:$G$190&lt;&gt;"acoes")))*INDEX(Inputs!$K$5:$AJ$190,0,MATCH(K$2,Inputs!$K$4:$AJ$4,0)))))</f>
        <v>4020.06</v>
      </c>
      <c r="L28" s="6">
        <f>IF(ISNA(MATCH(L$2,Inputs!$K$4:$AJ$4,0)),NA(),IF(SUMPRODUCT((Inputs!$A$5:$A$190=$B28)*ISNUMBER(INDEX(Inputs!$K$5:$AJ$190,0,MATCH(L$2,Inputs!$K$4:$AJ$4,0))))+SUMPRODUCT((Inputs!$C$5:$C$190=$B28)*ISNUMBER(INDEX(Inputs!$K$5:$AJ$190,0,MATCH(L$2,Inputs!$K$4:$AJ$4,0))))+SUMPRODUCT((Inputs!$E$5:$E$190=$B28)*ISNUMBER(INDEX(Inputs!$K$5:$AJ$190,0,MATCH(L$2,Inputs!$K$4:$AJ$4,0))))=0,NA(),SUMPRODUCT((Inputs!$A$5:$A$190=$B28)*Inputs!$B$5:$B$190*(((Inputs!$G$5:$G$190="moeda")+(Inputs!$G$5:$G$190="acoes"))*Inputs!$B$1+((Inputs!$G$5:$G$190&lt;&gt;"moeda")*(Inputs!$G$5:$G$190&lt;&gt;"acoes")))*INDEX(Inputs!$K$5:$AJ$190,0,MATCH(L$2,Inputs!$K$4:$AJ$4,0)))+SUMPRODUCT((Inputs!$C$5:$C$190=$B28)*Inputs!$D$5:$D$190*(((Inputs!$G$5:$G$190="moeda")+(Inputs!$G$5:$G$190="acoes"))*Inputs!$B$1+((Inputs!$G$5:$G$190&lt;&gt;"moeda")*(Inputs!$G$5:$G$190&lt;&gt;"acoes")))*INDEX(Inputs!$K$5:$AJ$190,0,MATCH(L$2,Inputs!$K$4:$AJ$4,0)))+SUMPRODUCT((Inputs!$E$5:$E$190=$B28)*Inputs!$F$5:$F$190*(((Inputs!$G$5:$G$190="moeda")+(Inputs!$G$5:$G$190="acoes"))*Inputs!$B$1+((Inputs!$G$5:$G$190&lt;&gt;"moeda")*(Inputs!$G$5:$G$190&lt;&gt;"acoes")))*INDEX(Inputs!$K$5:$AJ$190,0,MATCH(L$2,Inputs!$K$4:$AJ$4,0)))))</f>
        <v>6103.173</v>
      </c>
      <c r="M28" s="3">
        <f>L28</f>
        <v>6103.173</v>
      </c>
      <c r="N28" s="6">
        <f>IF(ISNA(MATCH(N$2,Inputs!$K$4:$AJ$4,0)),NA(),IF(SUMPRODUCT((Inputs!$A$5:$A$190=$B28)*ISNUMBER(INDEX(Inputs!$K$5:$AJ$190,0,MATCH(N$2,Inputs!$K$4:$AJ$4,0))))+SUMPRODUCT((Inputs!$C$5:$C$190=$B28)*ISNUMBER(INDEX(Inputs!$K$5:$AJ$190,0,MATCH(N$2,Inputs!$K$4:$AJ$4,0))))+SUMPRODUCT((Inputs!$E$5:$E$190=$B28)*ISNUMBER(INDEX(Inputs!$K$5:$AJ$190,0,MATCH(N$2,Inputs!$K$4:$AJ$4,0))))=0,NA(),SUMPRODUCT((Inputs!$A$5:$A$190=$B28)*Inputs!$B$5:$B$190*(((Inputs!$G$5:$G$190="moeda")+(Inputs!$G$5:$G$190="acoes"))*Inputs!$B$1+((Inputs!$G$5:$G$190&lt;&gt;"moeda")*(Inputs!$G$5:$G$190&lt;&gt;"acoes")))*INDEX(Inputs!$K$5:$AJ$190,0,MATCH(N$2,Inputs!$K$4:$AJ$4,0)))+SUMPRODUCT((Inputs!$C$5:$C$190=$B28)*Inputs!$D$5:$D$190*(((Inputs!$G$5:$G$190="moeda")+(Inputs!$G$5:$G$190="acoes"))*Inputs!$B$1+((Inputs!$G$5:$G$190&lt;&gt;"moeda")*(Inputs!$G$5:$G$190&lt;&gt;"acoes")))*INDEX(Inputs!$K$5:$AJ$190,0,MATCH(N$2,Inputs!$K$4:$AJ$4,0)))+SUMPRODUCT((Inputs!$E$5:$E$190=$B28)*Inputs!$F$5:$F$190*(((Inputs!$G$5:$G$190="moeda")+(Inputs!$G$5:$G$190="acoes"))*Inputs!$B$1+((Inputs!$G$5:$G$190&lt;&gt;"moeda")*(Inputs!$G$5:$G$190&lt;&gt;"acoes")))*INDEX(Inputs!$K$5:$AJ$190,0,MATCH(N$2,Inputs!$K$4:$AJ$4,0)))))</f>
        <v>3544.5802412554</v>
      </c>
      <c r="O28" s="6">
        <f>IF(ISNA(MATCH(O$2,Inputs!$K$4:$AJ$4,0)),NA(),IF(SUMPRODUCT((Inputs!$A$5:$A$190=$B28)*ISNUMBER(INDEX(Inputs!$K$5:$AJ$190,0,MATCH(O$2,Inputs!$K$4:$AJ$4,0))))+SUMPRODUCT((Inputs!$C$5:$C$190=$B28)*ISNUMBER(INDEX(Inputs!$K$5:$AJ$190,0,MATCH(O$2,Inputs!$K$4:$AJ$4,0))))+SUMPRODUCT((Inputs!$E$5:$E$190=$B28)*ISNUMBER(INDEX(Inputs!$K$5:$AJ$190,0,MATCH(O$2,Inputs!$K$4:$AJ$4,0))))=0,NA(),SUMPRODUCT((Inputs!$A$5:$A$190=$B28)*Inputs!$B$5:$B$190*(((Inputs!$G$5:$G$190="moeda")+(Inputs!$G$5:$G$190="acoes"))*Inputs!$B$1+((Inputs!$G$5:$G$190&lt;&gt;"moeda")*(Inputs!$G$5:$G$190&lt;&gt;"acoes")))*INDEX(Inputs!$K$5:$AJ$190,0,MATCH(O$2,Inputs!$K$4:$AJ$4,0)))+SUMPRODUCT((Inputs!$C$5:$C$190=$B28)*Inputs!$D$5:$D$190*(((Inputs!$G$5:$G$190="moeda")+(Inputs!$G$5:$G$190="acoes"))*Inputs!$B$1+((Inputs!$G$5:$G$190&lt;&gt;"moeda")*(Inputs!$G$5:$G$190&lt;&gt;"acoes")))*INDEX(Inputs!$K$5:$AJ$190,0,MATCH(O$2,Inputs!$K$4:$AJ$4,0)))+SUMPRODUCT((Inputs!$E$5:$E$190=$B28)*Inputs!$F$5:$F$190*(((Inputs!$G$5:$G$190="moeda")+(Inputs!$G$5:$G$190="acoes"))*Inputs!$B$1+((Inputs!$G$5:$G$190&lt;&gt;"moeda")*(Inputs!$G$5:$G$190&lt;&gt;"acoes")))*INDEX(Inputs!$K$5:$AJ$190,0,MATCH(O$2,Inputs!$K$4:$AJ$4,0)))))</f>
        <v>2251.56084529809</v>
      </c>
      <c r="P28" s="6">
        <f>IF(ISNA(MATCH(P$2,Inputs!$K$4:$AJ$4,0)),NA(),IF(SUMPRODUCT((Inputs!$A$5:$A$190=$B28)*ISNUMBER(INDEX(Inputs!$K$5:$AJ$190,0,MATCH(P$2,Inputs!$K$4:$AJ$4,0))))+SUMPRODUCT((Inputs!$C$5:$C$190=$B28)*ISNUMBER(INDEX(Inputs!$K$5:$AJ$190,0,MATCH(P$2,Inputs!$K$4:$AJ$4,0))))+SUMPRODUCT((Inputs!$E$5:$E$190=$B28)*ISNUMBER(INDEX(Inputs!$K$5:$AJ$190,0,MATCH(P$2,Inputs!$K$4:$AJ$4,0))))=0,NA(),SUMPRODUCT((Inputs!$A$5:$A$190=$B28)*Inputs!$B$5:$B$190*(((Inputs!$G$5:$G$190="moeda")+(Inputs!$G$5:$G$190="acoes"))*Inputs!$B$1+((Inputs!$G$5:$G$190&lt;&gt;"moeda")*(Inputs!$G$5:$G$190&lt;&gt;"acoes")))*INDEX(Inputs!$K$5:$AJ$190,0,MATCH(P$2,Inputs!$K$4:$AJ$4,0)))+SUMPRODUCT((Inputs!$C$5:$C$190=$B28)*Inputs!$D$5:$D$190*(((Inputs!$G$5:$G$190="moeda")+(Inputs!$G$5:$G$190="acoes"))*Inputs!$B$1+((Inputs!$G$5:$G$190&lt;&gt;"moeda")*(Inputs!$G$5:$G$190&lt;&gt;"acoes")))*INDEX(Inputs!$K$5:$AJ$190,0,MATCH(P$2,Inputs!$K$4:$AJ$4,0)))+SUMPRODUCT((Inputs!$E$5:$E$190=$B28)*Inputs!$F$5:$F$190*(((Inputs!$G$5:$G$190="moeda")+(Inputs!$G$5:$G$190="acoes"))*Inputs!$B$1+((Inputs!$G$5:$G$190&lt;&gt;"moeda")*(Inputs!$G$5:$G$190&lt;&gt;"acoes")))*INDEX(Inputs!$K$5:$AJ$190,0,MATCH(P$2,Inputs!$K$4:$AJ$4,0)))))</f>
        <v>3630.18574441067</v>
      </c>
      <c r="Q28" s="6">
        <f>IF(ISNA(MATCH(Q$2,Inputs!$K$4:$AJ$4,0)),NA(),IF(SUMPRODUCT((Inputs!$A$5:$A$190=$B28)*ISNUMBER(INDEX(Inputs!$K$5:$AJ$190,0,MATCH(Q$2,Inputs!$K$4:$AJ$4,0))))+SUMPRODUCT((Inputs!$C$5:$C$190=$B28)*ISNUMBER(INDEX(Inputs!$K$5:$AJ$190,0,MATCH(Q$2,Inputs!$K$4:$AJ$4,0))))+SUMPRODUCT((Inputs!$E$5:$E$190=$B28)*ISNUMBER(INDEX(Inputs!$K$5:$AJ$190,0,MATCH(Q$2,Inputs!$K$4:$AJ$4,0))))=0,NA(),SUMPRODUCT((Inputs!$A$5:$A$190=$B28)*Inputs!$B$5:$B$190*(((Inputs!$G$5:$G$190="moeda")+(Inputs!$G$5:$G$190="acoes"))*Inputs!$B$1+((Inputs!$G$5:$G$190&lt;&gt;"moeda")*(Inputs!$G$5:$G$190&lt;&gt;"acoes")))*INDEX(Inputs!$K$5:$AJ$190,0,MATCH(Q$2,Inputs!$K$4:$AJ$4,0)))+SUMPRODUCT((Inputs!$C$5:$C$190=$B28)*Inputs!$D$5:$D$190*(((Inputs!$G$5:$G$190="moeda")+(Inputs!$G$5:$G$190="acoes"))*Inputs!$B$1+((Inputs!$G$5:$G$190&lt;&gt;"moeda")*(Inputs!$G$5:$G$190&lt;&gt;"acoes")))*INDEX(Inputs!$K$5:$AJ$190,0,MATCH(Q$2,Inputs!$K$4:$AJ$4,0)))+SUMPRODUCT((Inputs!$E$5:$E$190=$B28)*Inputs!$F$5:$F$190*(((Inputs!$G$5:$G$190="moeda")+(Inputs!$G$5:$G$190="acoes"))*Inputs!$B$1+((Inputs!$G$5:$G$190&lt;&gt;"moeda")*(Inputs!$G$5:$G$190&lt;&gt;"acoes")))*INDEX(Inputs!$K$5:$AJ$190,0,MATCH(Q$2,Inputs!$K$4:$AJ$4,0)))))</f>
        <v>6768.44321374765</v>
      </c>
      <c r="R28" s="3">
        <f>Q28</f>
        <v>6768.44321374765</v>
      </c>
      <c r="S28" s="6">
        <f>IF(ISNA(MATCH(S$2,Inputs!$K$4:$AJ$4,0)),NA(),IF(SUMPRODUCT((Inputs!$A$5:$A$190=$B28)*ISNUMBER(INDEX(Inputs!$K$5:$AJ$190,0,MATCH(S$2,Inputs!$K$4:$AJ$4,0))))+SUMPRODUCT((Inputs!$C$5:$C$190=$B28)*ISNUMBER(INDEX(Inputs!$K$5:$AJ$190,0,MATCH(S$2,Inputs!$K$4:$AJ$4,0))))+SUMPRODUCT((Inputs!$E$5:$E$190=$B28)*ISNUMBER(INDEX(Inputs!$K$5:$AJ$190,0,MATCH(S$2,Inputs!$K$4:$AJ$4,0))))=0,NA(),SUMPRODUCT((Inputs!$A$5:$A$190=$B28)*Inputs!$B$5:$B$190*(((Inputs!$G$5:$G$190="moeda")+(Inputs!$G$5:$G$190="acoes"))*Inputs!$B$1+((Inputs!$G$5:$G$190&lt;&gt;"moeda")*(Inputs!$G$5:$G$190&lt;&gt;"acoes")))*INDEX(Inputs!$K$5:$AJ$190,0,MATCH(S$2,Inputs!$K$4:$AJ$4,0)))+SUMPRODUCT((Inputs!$C$5:$C$190=$B28)*Inputs!$D$5:$D$190*(((Inputs!$G$5:$G$190="moeda")+(Inputs!$G$5:$G$190="acoes"))*Inputs!$B$1+((Inputs!$G$5:$G$190&lt;&gt;"moeda")*(Inputs!$G$5:$G$190&lt;&gt;"acoes")))*INDEX(Inputs!$K$5:$AJ$190,0,MATCH(S$2,Inputs!$K$4:$AJ$4,0)))+SUMPRODUCT((Inputs!$E$5:$E$190=$B28)*Inputs!$F$5:$F$190*(((Inputs!$G$5:$G$190="moeda")+(Inputs!$G$5:$G$190="acoes"))*Inputs!$B$1+((Inputs!$G$5:$G$190&lt;&gt;"moeda")*(Inputs!$G$5:$G$190&lt;&gt;"acoes")))*INDEX(Inputs!$K$5:$AJ$190,0,MATCH(S$2,Inputs!$K$4:$AJ$4,0)))))</f>
        <v>6651.97350231043</v>
      </c>
      <c r="T28" s="6">
        <f>IF(ISNA(MATCH(T$2,Inputs!$K$4:$AJ$4,0)),NA(),IF(SUMPRODUCT((Inputs!$A$5:$A$190=$B28)*ISNUMBER(INDEX(Inputs!$K$5:$AJ$190,0,MATCH(T$2,Inputs!$K$4:$AJ$4,0))))+SUMPRODUCT((Inputs!$C$5:$C$190=$B28)*ISNUMBER(INDEX(Inputs!$K$5:$AJ$190,0,MATCH(T$2,Inputs!$K$4:$AJ$4,0))))+SUMPRODUCT((Inputs!$E$5:$E$190=$B28)*ISNUMBER(INDEX(Inputs!$K$5:$AJ$190,0,MATCH(T$2,Inputs!$K$4:$AJ$4,0))))=0,NA(),SUMPRODUCT((Inputs!$A$5:$A$190=$B28)*Inputs!$B$5:$B$190*(((Inputs!$G$5:$G$190="moeda")+(Inputs!$G$5:$G$190="acoes"))*Inputs!$B$1+((Inputs!$G$5:$G$190&lt;&gt;"moeda")*(Inputs!$G$5:$G$190&lt;&gt;"acoes")))*INDEX(Inputs!$K$5:$AJ$190,0,MATCH(T$2,Inputs!$K$4:$AJ$4,0)))+SUMPRODUCT((Inputs!$C$5:$C$190=$B28)*Inputs!$D$5:$D$190*(((Inputs!$G$5:$G$190="moeda")+(Inputs!$G$5:$G$190="acoes"))*Inputs!$B$1+((Inputs!$G$5:$G$190&lt;&gt;"moeda")*(Inputs!$G$5:$G$190&lt;&gt;"acoes")))*INDEX(Inputs!$K$5:$AJ$190,0,MATCH(T$2,Inputs!$K$4:$AJ$4,0)))+SUMPRODUCT((Inputs!$E$5:$E$190=$B28)*Inputs!$F$5:$F$190*(((Inputs!$G$5:$G$190="moeda")+(Inputs!$G$5:$G$190="acoes"))*Inputs!$B$1+((Inputs!$G$5:$G$190&lt;&gt;"moeda")*(Inputs!$G$5:$G$190&lt;&gt;"acoes")))*INDEX(Inputs!$K$5:$AJ$190,0,MATCH(T$2,Inputs!$K$4:$AJ$4,0)))))</f>
        <v>6306.70810482981</v>
      </c>
      <c r="U28" s="6">
        <f>IF(ISNA(MATCH(U$2,Inputs!$K$4:$AJ$4,0)),NA(),IF(SUMPRODUCT((Inputs!$A$5:$A$190=$B28)*ISNUMBER(INDEX(Inputs!$K$5:$AJ$190,0,MATCH(U$2,Inputs!$K$4:$AJ$4,0))))+SUMPRODUCT((Inputs!$C$5:$C$190=$B28)*ISNUMBER(INDEX(Inputs!$K$5:$AJ$190,0,MATCH(U$2,Inputs!$K$4:$AJ$4,0))))+SUMPRODUCT((Inputs!$E$5:$E$190=$B28)*ISNUMBER(INDEX(Inputs!$K$5:$AJ$190,0,MATCH(U$2,Inputs!$K$4:$AJ$4,0))))=0,NA(),SUMPRODUCT((Inputs!$A$5:$A$190=$B28)*Inputs!$B$5:$B$190*(((Inputs!$G$5:$G$190="moeda")+(Inputs!$G$5:$G$190="acoes"))*Inputs!$B$1+((Inputs!$G$5:$G$190&lt;&gt;"moeda")*(Inputs!$G$5:$G$190&lt;&gt;"acoes")))*INDEX(Inputs!$K$5:$AJ$190,0,MATCH(U$2,Inputs!$K$4:$AJ$4,0)))+SUMPRODUCT((Inputs!$C$5:$C$190=$B28)*Inputs!$D$5:$D$190*(((Inputs!$G$5:$G$190="moeda")+(Inputs!$G$5:$G$190="acoes"))*Inputs!$B$1+((Inputs!$G$5:$G$190&lt;&gt;"moeda")*(Inputs!$G$5:$G$190&lt;&gt;"acoes")))*INDEX(Inputs!$K$5:$AJ$190,0,MATCH(U$2,Inputs!$K$4:$AJ$4,0)))+SUMPRODUCT((Inputs!$E$5:$E$190=$B28)*Inputs!$F$5:$F$190*(((Inputs!$G$5:$G$190="moeda")+(Inputs!$G$5:$G$190="acoes"))*Inputs!$B$1+((Inputs!$G$5:$G$190&lt;&gt;"moeda")*(Inputs!$G$5:$G$190&lt;&gt;"acoes")))*INDEX(Inputs!$K$5:$AJ$190,0,MATCH(U$2,Inputs!$K$4:$AJ$4,0)))))</f>
        <v>6478.81181768959</v>
      </c>
      <c r="V28" s="6">
        <f>IF(ISNA(MATCH(V$2,Inputs!$K$4:$AJ$4,0)),NA(),IF(SUMPRODUCT((Inputs!$A$5:$A$190=$B28)*ISNUMBER(INDEX(Inputs!$K$5:$AJ$190,0,MATCH(V$2,Inputs!$K$4:$AJ$4,0))))+SUMPRODUCT((Inputs!$C$5:$C$190=$B28)*ISNUMBER(INDEX(Inputs!$K$5:$AJ$190,0,MATCH(V$2,Inputs!$K$4:$AJ$4,0))))+SUMPRODUCT((Inputs!$E$5:$E$190=$B28)*ISNUMBER(INDEX(Inputs!$K$5:$AJ$190,0,MATCH(V$2,Inputs!$K$4:$AJ$4,0))))=0,NA(),SUMPRODUCT((Inputs!$A$5:$A$190=$B28)*Inputs!$B$5:$B$190*(((Inputs!$G$5:$G$190="moeda")+(Inputs!$G$5:$G$190="acoes"))*Inputs!$B$1+((Inputs!$G$5:$G$190&lt;&gt;"moeda")*(Inputs!$G$5:$G$190&lt;&gt;"acoes")))*INDEX(Inputs!$K$5:$AJ$190,0,MATCH(V$2,Inputs!$K$4:$AJ$4,0)))+SUMPRODUCT((Inputs!$C$5:$C$190=$B28)*Inputs!$D$5:$D$190*(((Inputs!$G$5:$G$190="moeda")+(Inputs!$G$5:$G$190="acoes"))*Inputs!$B$1+((Inputs!$G$5:$G$190&lt;&gt;"moeda")*(Inputs!$G$5:$G$190&lt;&gt;"acoes")))*INDEX(Inputs!$K$5:$AJ$190,0,MATCH(V$2,Inputs!$K$4:$AJ$4,0)))+SUMPRODUCT((Inputs!$E$5:$E$190=$B28)*Inputs!$F$5:$F$190*(((Inputs!$G$5:$G$190="moeda")+(Inputs!$G$5:$G$190="acoes"))*Inputs!$B$1+((Inputs!$G$5:$G$190&lt;&gt;"moeda")*(Inputs!$G$5:$G$190&lt;&gt;"acoes")))*INDEX(Inputs!$K$5:$AJ$190,0,MATCH(V$2,Inputs!$K$4:$AJ$4,0)))))</f>
        <v>7938.16129524</v>
      </c>
      <c r="W28" s="3">
        <f>V28</f>
        <v>7938.16129524</v>
      </c>
      <c r="X28" s="6">
        <f>IF(ISNA(MATCH(X$2,Inputs!$K$4:$AJ$4,0)),NA(),IF(SUMPRODUCT((Inputs!$A$5:$A$190=$B28)*ISNUMBER(INDEX(Inputs!$K$5:$AJ$190,0,MATCH(X$2,Inputs!$K$4:$AJ$4,0))))+SUMPRODUCT((Inputs!$C$5:$C$190=$B28)*ISNUMBER(INDEX(Inputs!$K$5:$AJ$190,0,MATCH(X$2,Inputs!$K$4:$AJ$4,0))))+SUMPRODUCT((Inputs!$E$5:$E$190=$B28)*ISNUMBER(INDEX(Inputs!$K$5:$AJ$190,0,MATCH(X$2,Inputs!$K$4:$AJ$4,0))))=0,NA(),SUMPRODUCT((Inputs!$A$5:$A$190=$B28)*Inputs!$B$5:$B$190*(((Inputs!$G$5:$G$190="moeda")+(Inputs!$G$5:$G$190="acoes"))*Inputs!$B$1+((Inputs!$G$5:$G$190&lt;&gt;"moeda")*(Inputs!$G$5:$G$190&lt;&gt;"acoes")))*INDEX(Inputs!$K$5:$AJ$190,0,MATCH(X$2,Inputs!$K$4:$AJ$4,0)))+SUMPRODUCT((Inputs!$C$5:$C$190=$B28)*Inputs!$D$5:$D$190*(((Inputs!$G$5:$G$190="moeda")+(Inputs!$G$5:$G$190="acoes"))*Inputs!$B$1+((Inputs!$G$5:$G$190&lt;&gt;"moeda")*(Inputs!$G$5:$G$190&lt;&gt;"acoes")))*INDEX(Inputs!$K$5:$AJ$190,0,MATCH(X$2,Inputs!$K$4:$AJ$4,0)))+SUMPRODUCT((Inputs!$E$5:$E$190=$B28)*Inputs!$F$5:$F$190*(((Inputs!$G$5:$G$190="moeda")+(Inputs!$G$5:$G$190="acoes"))*Inputs!$B$1+((Inputs!$G$5:$G$190&lt;&gt;"moeda")*(Inputs!$G$5:$G$190&lt;&gt;"acoes")))*INDEX(Inputs!$K$5:$AJ$190,0,MATCH(X$2,Inputs!$K$4:$AJ$4,0)))))</f>
        <v>6301.64529617</v>
      </c>
      <c r="Y28" s="6">
        <f>IF(ISNA(MATCH(Y$2,Inputs!$K$4:$AJ$4,0)),NA(),IF(SUMPRODUCT((Inputs!$A$5:$A$190=$B28)*ISNUMBER(INDEX(Inputs!$K$5:$AJ$190,0,MATCH(Y$2,Inputs!$K$4:$AJ$4,0))))+SUMPRODUCT((Inputs!$C$5:$C$190=$B28)*ISNUMBER(INDEX(Inputs!$K$5:$AJ$190,0,MATCH(Y$2,Inputs!$K$4:$AJ$4,0))))+SUMPRODUCT((Inputs!$E$5:$E$190=$B28)*ISNUMBER(INDEX(Inputs!$K$5:$AJ$190,0,MATCH(Y$2,Inputs!$K$4:$AJ$4,0))))=0,NA(),SUMPRODUCT((Inputs!$A$5:$A$190=$B28)*Inputs!$B$5:$B$190*(((Inputs!$G$5:$G$190="moeda")+(Inputs!$G$5:$G$190="acoes"))*Inputs!$B$1+((Inputs!$G$5:$G$190&lt;&gt;"moeda")*(Inputs!$G$5:$G$190&lt;&gt;"acoes")))*INDEX(Inputs!$K$5:$AJ$190,0,MATCH(Y$2,Inputs!$K$4:$AJ$4,0)))+SUMPRODUCT((Inputs!$C$5:$C$190=$B28)*Inputs!$D$5:$D$190*(((Inputs!$G$5:$G$190="moeda")+(Inputs!$G$5:$G$190="acoes"))*Inputs!$B$1+((Inputs!$G$5:$G$190&lt;&gt;"moeda")*(Inputs!$G$5:$G$190&lt;&gt;"acoes")))*INDEX(Inputs!$K$5:$AJ$190,0,MATCH(Y$2,Inputs!$K$4:$AJ$4,0)))+SUMPRODUCT((Inputs!$E$5:$E$190=$B28)*Inputs!$F$5:$F$190*(((Inputs!$G$5:$G$190="moeda")+(Inputs!$G$5:$G$190="acoes"))*Inputs!$B$1+((Inputs!$G$5:$G$190&lt;&gt;"moeda")*(Inputs!$G$5:$G$190&lt;&gt;"acoes")))*INDEX(Inputs!$K$5:$AJ$190,0,MATCH(Y$2,Inputs!$K$4:$AJ$4,0)))))</f>
        <v>6978.67527976</v>
      </c>
      <c r="Z28" s="6">
        <f>IF(ISNA(MATCH(Z$2,Inputs!$K$4:$AJ$4,0)),NA(),IF(SUMPRODUCT((Inputs!$A$5:$A$190=$B28)*ISNUMBER(INDEX(Inputs!$K$5:$AJ$190,0,MATCH(Z$2,Inputs!$K$4:$AJ$4,0))))+SUMPRODUCT((Inputs!$C$5:$C$190=$B28)*ISNUMBER(INDEX(Inputs!$K$5:$AJ$190,0,MATCH(Z$2,Inputs!$K$4:$AJ$4,0))))+SUMPRODUCT((Inputs!$E$5:$E$190=$B28)*ISNUMBER(INDEX(Inputs!$K$5:$AJ$190,0,MATCH(Z$2,Inputs!$K$4:$AJ$4,0))))=0,NA(),SUMPRODUCT((Inputs!$A$5:$A$190=$B28)*Inputs!$B$5:$B$190*(((Inputs!$G$5:$G$190="moeda")+(Inputs!$G$5:$G$190="acoes"))*Inputs!$B$1+((Inputs!$G$5:$G$190&lt;&gt;"moeda")*(Inputs!$G$5:$G$190&lt;&gt;"acoes")))*INDEX(Inputs!$K$5:$AJ$190,0,MATCH(Z$2,Inputs!$K$4:$AJ$4,0)))+SUMPRODUCT((Inputs!$C$5:$C$190=$B28)*Inputs!$D$5:$D$190*(((Inputs!$G$5:$G$190="moeda")+(Inputs!$G$5:$G$190="acoes"))*Inputs!$B$1+((Inputs!$G$5:$G$190&lt;&gt;"moeda")*(Inputs!$G$5:$G$190&lt;&gt;"acoes")))*INDEX(Inputs!$K$5:$AJ$190,0,MATCH(Z$2,Inputs!$K$4:$AJ$4,0)))+SUMPRODUCT((Inputs!$E$5:$E$190=$B28)*Inputs!$F$5:$F$190*(((Inputs!$G$5:$G$190="moeda")+(Inputs!$G$5:$G$190="acoes"))*Inputs!$B$1+((Inputs!$G$5:$G$190&lt;&gt;"moeda")*(Inputs!$G$5:$G$190&lt;&gt;"acoes")))*INDEX(Inputs!$K$5:$AJ$190,0,MATCH(Z$2,Inputs!$K$4:$AJ$4,0)))))</f>
        <v>6854.04016388</v>
      </c>
      <c r="AA28" s="6">
        <f>IF(ISNA(MATCH(AA$2,Inputs!$K$4:$AJ$4,0)),NA(),IF(SUMPRODUCT((Inputs!$A$5:$A$190=$B28)*ISNUMBER(INDEX(Inputs!$K$5:$AJ$190,0,MATCH(AA$2,Inputs!$K$4:$AJ$4,0))))+SUMPRODUCT((Inputs!$C$5:$C$190=$B28)*ISNUMBER(INDEX(Inputs!$K$5:$AJ$190,0,MATCH(AA$2,Inputs!$K$4:$AJ$4,0))))+SUMPRODUCT((Inputs!$E$5:$E$190=$B28)*ISNUMBER(INDEX(Inputs!$K$5:$AJ$190,0,MATCH(AA$2,Inputs!$K$4:$AJ$4,0))))=0,NA(),SUMPRODUCT((Inputs!$A$5:$A$190=$B28)*Inputs!$B$5:$B$190*(((Inputs!$G$5:$G$190="moeda")+(Inputs!$G$5:$G$190="acoes"))*Inputs!$B$1+((Inputs!$G$5:$G$190&lt;&gt;"moeda")*(Inputs!$G$5:$G$190&lt;&gt;"acoes")))*INDEX(Inputs!$K$5:$AJ$190,0,MATCH(AA$2,Inputs!$K$4:$AJ$4,0)))+SUMPRODUCT((Inputs!$C$5:$C$190=$B28)*Inputs!$D$5:$D$190*(((Inputs!$G$5:$G$190="moeda")+(Inputs!$G$5:$G$190="acoes"))*Inputs!$B$1+((Inputs!$G$5:$G$190&lt;&gt;"moeda")*(Inputs!$G$5:$G$190&lt;&gt;"acoes")))*INDEX(Inputs!$K$5:$AJ$190,0,MATCH(AA$2,Inputs!$K$4:$AJ$4,0)))+SUMPRODUCT((Inputs!$E$5:$E$190=$B28)*Inputs!$F$5:$F$190*(((Inputs!$G$5:$G$190="moeda")+(Inputs!$G$5:$G$190="acoes"))*Inputs!$B$1+((Inputs!$G$5:$G$190&lt;&gt;"moeda")*(Inputs!$G$5:$G$190&lt;&gt;"acoes")))*INDEX(Inputs!$K$5:$AJ$190,0,MATCH(AA$2,Inputs!$K$4:$AJ$4,0)))))</f>
        <v>8345.81868308</v>
      </c>
      <c r="AB28" s="3">
        <f>AA28</f>
        <v>8345.81868308</v>
      </c>
      <c r="AC28" s="6">
        <f>IF(ISNA(MATCH(AC$2,Inputs!$K$4:$AJ$4,0)),NA(),IF(SUMPRODUCT((Inputs!$A$5:$A$190=$B28)*ISNUMBER(INDEX(Inputs!$K$5:$AJ$190,0,MATCH(AC$2,Inputs!$K$4:$AJ$4,0))))+SUMPRODUCT((Inputs!$C$5:$C$190=$B28)*ISNUMBER(INDEX(Inputs!$K$5:$AJ$190,0,MATCH(AC$2,Inputs!$K$4:$AJ$4,0))))+SUMPRODUCT((Inputs!$E$5:$E$190=$B28)*ISNUMBER(INDEX(Inputs!$K$5:$AJ$190,0,MATCH(AC$2,Inputs!$K$4:$AJ$4,0))))=0,NA(),SUMPRODUCT((Inputs!$A$5:$A$190=$B28)*Inputs!$B$5:$B$190*(((Inputs!$G$5:$G$190="moeda")+(Inputs!$G$5:$G$190="acoes"))*Inputs!$B$1+((Inputs!$G$5:$G$190&lt;&gt;"moeda")*(Inputs!$G$5:$G$190&lt;&gt;"acoes")))*INDEX(Inputs!$K$5:$AJ$190,0,MATCH(AC$2,Inputs!$K$4:$AJ$4,0)))+SUMPRODUCT((Inputs!$C$5:$C$190=$B28)*Inputs!$D$5:$D$190*(((Inputs!$G$5:$G$190="moeda")+(Inputs!$G$5:$G$190="acoes"))*Inputs!$B$1+((Inputs!$G$5:$G$190&lt;&gt;"moeda")*(Inputs!$G$5:$G$190&lt;&gt;"acoes")))*INDEX(Inputs!$K$5:$AJ$190,0,MATCH(AC$2,Inputs!$K$4:$AJ$4,0)))+SUMPRODUCT((Inputs!$E$5:$E$190=$B28)*Inputs!$F$5:$F$190*(((Inputs!$G$5:$G$190="moeda")+(Inputs!$G$5:$G$190="acoes"))*Inputs!$B$1+((Inputs!$G$5:$G$190&lt;&gt;"moeda")*(Inputs!$G$5:$G$190&lt;&gt;"acoes")))*INDEX(Inputs!$K$5:$AJ$190,0,MATCH(AC$2,Inputs!$K$4:$AJ$4,0)))))</f>
        <v>7642.5584804</v>
      </c>
      <c r="AD28" s="6">
        <f>IF(ISNA(MATCH(AD$2,Inputs!$K$4:$AJ$4,0)),NA(),IF(SUMPRODUCT((Inputs!$A$5:$A$190=$B28)*ISNUMBER(INDEX(Inputs!$K$5:$AJ$190,0,MATCH(AD$2,Inputs!$K$4:$AJ$4,0))))+SUMPRODUCT((Inputs!$C$5:$C$190=$B28)*ISNUMBER(INDEX(Inputs!$K$5:$AJ$190,0,MATCH(AD$2,Inputs!$K$4:$AJ$4,0))))+SUMPRODUCT((Inputs!$E$5:$E$190=$B28)*ISNUMBER(INDEX(Inputs!$K$5:$AJ$190,0,MATCH(AD$2,Inputs!$K$4:$AJ$4,0))))=0,NA(),SUMPRODUCT((Inputs!$A$5:$A$190=$B28)*Inputs!$B$5:$B$190*(((Inputs!$G$5:$G$190="moeda")+(Inputs!$G$5:$G$190="acoes"))*Inputs!$B$1+((Inputs!$G$5:$G$190&lt;&gt;"moeda")*(Inputs!$G$5:$G$190&lt;&gt;"acoes")))*INDEX(Inputs!$K$5:$AJ$190,0,MATCH(AD$2,Inputs!$K$4:$AJ$4,0)))+SUMPRODUCT((Inputs!$C$5:$C$190=$B28)*Inputs!$D$5:$D$190*(((Inputs!$G$5:$G$190="moeda")+(Inputs!$G$5:$G$190="acoes"))*Inputs!$B$1+((Inputs!$G$5:$G$190&lt;&gt;"moeda")*(Inputs!$G$5:$G$190&lt;&gt;"acoes")))*INDEX(Inputs!$K$5:$AJ$190,0,MATCH(AD$2,Inputs!$K$4:$AJ$4,0)))+SUMPRODUCT((Inputs!$E$5:$E$190=$B28)*Inputs!$F$5:$F$190*(((Inputs!$G$5:$G$190="moeda")+(Inputs!$G$5:$G$190="acoes"))*Inputs!$B$1+((Inputs!$G$5:$G$190&lt;&gt;"moeda")*(Inputs!$G$5:$G$190&lt;&gt;"acoes")))*INDEX(Inputs!$K$5:$AJ$190,0,MATCH(AD$2,Inputs!$K$4:$AJ$4,0)))))</f>
        <v>8600.61621319</v>
      </c>
      <c r="AE28" s="6" t="e">
        <f>IF(ISNA(MATCH(AE$2,Inputs!$K$4:$AJ$4,0)),NA(),IF(SUMPRODUCT((Inputs!$A$5:$A$190=$B28)*ISNUMBER(INDEX(Inputs!$K$5:$AJ$190,0,MATCH(AE$2,Inputs!$K$4:$AJ$4,0))))+SUMPRODUCT((Inputs!$C$5:$C$190=$B28)*ISNUMBER(INDEX(Inputs!$K$5:$AJ$190,0,MATCH(AE$2,Inputs!$K$4:$AJ$4,0))))+SUMPRODUCT((Inputs!$E$5:$E$190=$B28)*ISNUMBER(INDEX(Inputs!$K$5:$AJ$190,0,MATCH(AE$2,Inputs!$K$4:$AJ$4,0))))=0,NA(),SUMPRODUCT((Inputs!$A$5:$A$190=$B28)*Inputs!$B$5:$B$190*(((Inputs!$G$5:$G$190="moeda")+(Inputs!$G$5:$G$190="acoes"))*Inputs!$B$1+((Inputs!$G$5:$G$190&lt;&gt;"moeda")*(Inputs!$G$5:$G$190&lt;&gt;"acoes")))*INDEX(Inputs!$K$5:$AJ$190,0,MATCH(AE$2,Inputs!$K$4:$AJ$4,0)))+SUMPRODUCT((Inputs!$C$5:$C$190=$B28)*Inputs!$D$5:$D$190*(((Inputs!$G$5:$G$190="moeda")+(Inputs!$G$5:$G$190="acoes"))*Inputs!$B$1+((Inputs!$G$5:$G$190&lt;&gt;"moeda")*(Inputs!$G$5:$G$190&lt;&gt;"acoes")))*INDEX(Inputs!$K$5:$AJ$190,0,MATCH(AE$2,Inputs!$K$4:$AJ$4,0)))+SUMPRODUCT((Inputs!$E$5:$E$190=$B28)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28" s="6" t="e">
        <f>IF(ISNA(MATCH(AF$2,Inputs!$K$4:$AJ$4,0)),NA(),IF(SUMPRODUCT((Inputs!$A$5:$A$190=$B28)*ISNUMBER(INDEX(Inputs!$K$5:$AJ$190,0,MATCH(AF$2,Inputs!$K$4:$AJ$4,0))))+SUMPRODUCT((Inputs!$C$5:$C$190=$B28)*ISNUMBER(INDEX(Inputs!$K$5:$AJ$190,0,MATCH(AF$2,Inputs!$K$4:$AJ$4,0))))+SUMPRODUCT((Inputs!$E$5:$E$190=$B28)*ISNUMBER(INDEX(Inputs!$K$5:$AJ$190,0,MATCH(AF$2,Inputs!$K$4:$AJ$4,0))))=0,NA(),SUMPRODUCT((Inputs!$A$5:$A$190=$B28)*Inputs!$B$5:$B$190*(((Inputs!$G$5:$G$190="moeda")+(Inputs!$G$5:$G$190="acoes"))*Inputs!$B$1+((Inputs!$G$5:$G$190&lt;&gt;"moeda")*(Inputs!$G$5:$G$190&lt;&gt;"acoes")))*INDEX(Inputs!$K$5:$AJ$190,0,MATCH(AF$2,Inputs!$K$4:$AJ$4,0)))+SUMPRODUCT((Inputs!$C$5:$C$190=$B28)*Inputs!$D$5:$D$190*(((Inputs!$G$5:$G$190="moeda")+(Inputs!$G$5:$G$190="acoes"))*Inputs!$B$1+((Inputs!$G$5:$G$190&lt;&gt;"moeda")*(Inputs!$G$5:$G$190&lt;&gt;"acoes")))*INDEX(Inputs!$K$5:$AJ$190,0,MATCH(AF$2,Inputs!$K$4:$AJ$4,0)))+SUMPRODUCT((Inputs!$E$5:$E$190=$B28)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28" s="3" t="e">
        <f>AF28</f>
        <v>#N/A</v>
      </c>
      <c r="AH28" s="6">
        <f>IF(ISNA(MATCH(AH$2,Inputs!$K$4:$AJ$4,0)),NA(),IF(SUMPRODUCT((Inputs!$A$5:$A$190=$B28)*ISNUMBER(INDEX(Inputs!$K$5:$AJ$190,0,MATCH(AH$2,Inputs!$K$4:$AJ$4,0))))+SUMPRODUCT((Inputs!$C$5:$C$190=$B28)*ISNUMBER(INDEX(Inputs!$K$5:$AJ$190,0,MATCH(AH$2,Inputs!$K$4:$AJ$4,0))))+SUMPRODUCT((Inputs!$E$5:$E$190=$B28)*ISNUMBER(INDEX(Inputs!$K$5:$AJ$190,0,MATCH(AH$2,Inputs!$K$4:$AJ$4,0))))=0,NA(),SUMPRODUCT((Inputs!$A$5:$A$190=$B28)*Inputs!$B$5:$B$190*(((Inputs!$G$5:$G$190="moeda")+(Inputs!$G$5:$G$190="acoes"))*Inputs!$B$1+((Inputs!$G$5:$G$190&lt;&gt;"moeda")*(Inputs!$G$5:$G$190&lt;&gt;"acoes")))*INDEX(Inputs!$K$5:$AJ$190,0,MATCH(AH$2,Inputs!$K$4:$AJ$4,0)))+SUMPRODUCT((Inputs!$C$5:$C$190=$B28)*Inputs!$D$5:$D$190*(((Inputs!$G$5:$G$190="moeda")+(Inputs!$G$5:$G$190="acoes"))*Inputs!$B$1+((Inputs!$G$5:$G$190&lt;&gt;"moeda")*(Inputs!$G$5:$G$190&lt;&gt;"acoes")))*INDEX(Inputs!$K$5:$AJ$190,0,MATCH(AH$2,Inputs!$K$4:$AJ$4,0)))+SUMPRODUCT((Inputs!$E$5:$E$190=$B28)*Inputs!$F$5:$F$190*(((Inputs!$G$5:$G$190="moeda")+(Inputs!$G$5:$G$190="acoes"))*Inputs!$B$1+((Inputs!$G$5:$G$190&lt;&gt;"moeda")*(Inputs!$G$5:$G$190&lt;&gt;"acoes")))*INDEX(Inputs!$K$5:$AJ$190,0,MATCH(AH$2,Inputs!$K$4:$AJ$4,0)))))</f>
        <v>1860.67391754</v>
      </c>
      <c r="AI28" s="6">
        <f>IF(ISNA(MATCH(AI$2,Inputs!$K$4:$AJ$4,0)),NA(),IF(SUMPRODUCT((Inputs!$A$5:$A$190=$B28)*ISNUMBER(INDEX(Inputs!$K$5:$AJ$190,0,MATCH(AI$2,Inputs!$K$4:$AJ$4,0))))+SUMPRODUCT((Inputs!$C$5:$C$190=$B28)*ISNUMBER(INDEX(Inputs!$K$5:$AJ$190,0,MATCH(AI$2,Inputs!$K$4:$AJ$4,0))))+SUMPRODUCT((Inputs!$E$5:$E$190=$B28)*ISNUMBER(INDEX(Inputs!$K$5:$AJ$190,0,MATCH(AI$2,Inputs!$K$4:$AJ$4,0))))=0,NA(),SUMPRODUCT((Inputs!$A$5:$A$190=$B28)*Inputs!$B$5:$B$190*(((Inputs!$G$5:$G$190="moeda")+(Inputs!$G$5:$G$190="acoes"))*Inputs!$B$1+((Inputs!$G$5:$G$190&lt;&gt;"moeda")*(Inputs!$G$5:$G$190&lt;&gt;"acoes")))*INDEX(Inputs!$K$5:$AJ$190,0,MATCH(AI$2,Inputs!$K$4:$AJ$4,0)))+SUMPRODUCT((Inputs!$C$5:$C$190=$B28)*Inputs!$D$5:$D$190*(((Inputs!$G$5:$G$190="moeda")+(Inputs!$G$5:$G$190="acoes"))*Inputs!$B$1+((Inputs!$G$5:$G$190&lt;&gt;"moeda")*(Inputs!$G$5:$G$190&lt;&gt;"acoes")))*INDEX(Inputs!$K$5:$AJ$190,0,MATCH(AI$2,Inputs!$K$4:$AJ$4,0)))+SUMPRODUCT((Inputs!$E$5:$E$190=$B28)*Inputs!$F$5:$F$190*(((Inputs!$G$5:$G$190="moeda")+(Inputs!$G$5:$G$190="acoes"))*Inputs!$B$1+((Inputs!$G$5:$G$190&lt;&gt;"moeda")*(Inputs!$G$5:$G$190&lt;&gt;"acoes")))*INDEX(Inputs!$K$5:$AJ$190,0,MATCH(AI$2,Inputs!$K$4:$AJ$4,0)))))</f>
        <v>1069.33143798</v>
      </c>
      <c r="AJ28" s="6">
        <f>IF(ISNA(MATCH(AJ$2,Inputs!$K$4:$AJ$4,0)),NA(),IF(SUMPRODUCT((Inputs!$A$5:$A$190=$B28)*ISNUMBER(INDEX(Inputs!$K$5:$AJ$190,0,MATCH(AJ$2,Inputs!$K$4:$AJ$4,0))))+SUMPRODUCT((Inputs!$C$5:$C$190=$B28)*ISNUMBER(INDEX(Inputs!$K$5:$AJ$190,0,MATCH(AJ$2,Inputs!$K$4:$AJ$4,0))))+SUMPRODUCT((Inputs!$E$5:$E$190=$B28)*ISNUMBER(INDEX(Inputs!$K$5:$AJ$190,0,MATCH(AJ$2,Inputs!$K$4:$AJ$4,0))))=0,NA(),SUMPRODUCT((Inputs!$A$5:$A$190=$B28)*Inputs!$B$5:$B$190*(((Inputs!$G$5:$G$190="moeda")+(Inputs!$G$5:$G$190="acoes"))*Inputs!$B$1+((Inputs!$G$5:$G$190&lt;&gt;"moeda")*(Inputs!$G$5:$G$190&lt;&gt;"acoes")))*INDEX(Inputs!$K$5:$AJ$190,0,MATCH(AJ$2,Inputs!$K$4:$AJ$4,0)))+SUMPRODUCT((Inputs!$C$5:$C$190=$B28)*Inputs!$D$5:$D$190*(((Inputs!$G$5:$G$190="moeda")+(Inputs!$G$5:$G$190="acoes"))*Inputs!$B$1+((Inputs!$G$5:$G$190&lt;&gt;"moeda")*(Inputs!$G$5:$G$190&lt;&gt;"acoes")))*INDEX(Inputs!$K$5:$AJ$190,0,MATCH(AJ$2,Inputs!$K$4:$AJ$4,0)))+SUMPRODUCT((Inputs!$E$5:$E$190=$B28)*Inputs!$F$5:$F$190*(((Inputs!$G$5:$G$190="moeda")+(Inputs!$G$5:$G$190="acoes"))*Inputs!$B$1+((Inputs!$G$5:$G$190&lt;&gt;"moeda")*(Inputs!$G$5:$G$190&lt;&gt;"acoes")))*INDEX(Inputs!$K$5:$AJ$190,0,MATCH(AJ$2,Inputs!$K$4:$AJ$4,0)))))</f>
        <v>1653.77812367</v>
      </c>
      <c r="AK28" s="6">
        <f>IF(ISNA(MATCH(AK$2,Inputs!$K$4:$AJ$4,0)),NA(),IF(SUMPRODUCT((Inputs!$A$5:$A$190=$B28)*ISNUMBER(INDEX(Inputs!$K$5:$AJ$190,0,MATCH(AK$2,Inputs!$K$4:$AJ$4,0))))+SUMPRODUCT((Inputs!$C$5:$C$190=$B28)*ISNUMBER(INDEX(Inputs!$K$5:$AJ$190,0,MATCH(AK$2,Inputs!$K$4:$AJ$4,0))))+SUMPRODUCT((Inputs!$E$5:$E$190=$B28)*ISNUMBER(INDEX(Inputs!$K$5:$AJ$190,0,MATCH(AK$2,Inputs!$K$4:$AJ$4,0))))=0,NA(),SUMPRODUCT((Inputs!$A$5:$A$190=$B28)*Inputs!$B$5:$B$190*(((Inputs!$G$5:$G$190="moeda")+(Inputs!$G$5:$G$190="acoes"))*Inputs!$B$1+((Inputs!$G$5:$G$190&lt;&gt;"moeda")*(Inputs!$G$5:$G$190&lt;&gt;"acoes")))*INDEX(Inputs!$K$5:$AJ$190,0,MATCH(AK$2,Inputs!$K$4:$AJ$4,0)))+SUMPRODUCT((Inputs!$C$5:$C$190=$B28)*Inputs!$D$5:$D$190*(((Inputs!$G$5:$G$190="moeda")+(Inputs!$G$5:$G$190="acoes"))*Inputs!$B$1+((Inputs!$G$5:$G$190&lt;&gt;"moeda")*(Inputs!$G$5:$G$190&lt;&gt;"acoes")))*INDEX(Inputs!$K$5:$AJ$190,0,MATCH(AK$2,Inputs!$K$4:$AJ$4,0)))+SUMPRODUCT((Inputs!$E$5:$E$190=$B28)*Inputs!$F$5:$F$190*(((Inputs!$G$5:$G$190="moeda")+(Inputs!$G$5:$G$190="acoes"))*Inputs!$B$1+((Inputs!$G$5:$G$190&lt;&gt;"moeda")*(Inputs!$G$5:$G$190&lt;&gt;"acoes")))*INDEX(Inputs!$K$5:$AJ$190,0,MATCH(AK$2,Inputs!$K$4:$AJ$4,0)))))</f>
        <v>2207.14178714896</v>
      </c>
      <c r="AL28" s="3">
        <f>AK28</f>
        <v>2207.14178714896</v>
      </c>
    </row>
    <row r="29">
      <c r="B29" s="46" t="n">
        <v>24</v>
      </c>
      <c r="C29" s="26" t="inlineStr">
        <is>
          <t>Accrued expenses</t>
        </is>
      </c>
      <c r="D29" s="6">
        <f>IF(ISNA(MATCH(D$2,Inputs!$K$4:$AJ$4,0)),NA(),IF(SUMPRODUCT((Inputs!$A$5:$A$190=$B29)*ISNUMBER(INDEX(Inputs!$K$5:$AJ$190,0,MATCH(D$2,Inputs!$K$4:$AJ$4,0))))+SUMPRODUCT((Inputs!$C$5:$C$190=$B29)*ISNUMBER(INDEX(Inputs!$K$5:$AJ$190,0,MATCH(D$2,Inputs!$K$4:$AJ$4,0))))+SUMPRODUCT((Inputs!$E$5:$E$190=$B29)*ISNUMBER(INDEX(Inputs!$K$5:$AJ$190,0,MATCH(D$2,Inputs!$K$4:$AJ$4,0))))=0,NA(),SUMPRODUCT((Inputs!$A$5:$A$190=$B29)*Inputs!$B$5:$B$190*(((Inputs!$G$5:$G$190="moeda")+(Inputs!$G$5:$G$190="acoes"))*Inputs!$B$1+((Inputs!$G$5:$G$190&lt;&gt;"moeda")*(Inputs!$G$5:$G$190&lt;&gt;"acoes")))*INDEX(Inputs!$K$5:$AJ$190,0,MATCH(D$2,Inputs!$K$4:$AJ$4,0)))+SUMPRODUCT((Inputs!$C$5:$C$190=$B29)*Inputs!$D$5:$D$190*(((Inputs!$G$5:$G$190="moeda")+(Inputs!$G$5:$G$190="acoes"))*Inputs!$B$1+((Inputs!$G$5:$G$190&lt;&gt;"moeda")*(Inputs!$G$5:$G$190&lt;&gt;"acoes")))*INDEX(Inputs!$K$5:$AJ$190,0,MATCH(D$2,Inputs!$K$4:$AJ$4,0)))+SUMPRODUCT((Inputs!$E$5:$E$190=$B29)*Inputs!$F$5:$F$190*(((Inputs!$G$5:$G$190="moeda")+(Inputs!$G$5:$G$190="acoes"))*Inputs!$B$1+((Inputs!$G$5:$G$190&lt;&gt;"moeda")*(Inputs!$G$5:$G$190&lt;&gt;"acoes")))*INDEX(Inputs!$K$5:$AJ$190,0,MATCH(D$2,Inputs!$K$4:$AJ$4,0)))))</f>
        <v>314.313235398357</v>
      </c>
      <c r="E29" s="6">
        <f>IF(ISNA(MATCH(E$2,Inputs!$K$4:$AJ$4,0)),NA(),IF(SUMPRODUCT((Inputs!$A$5:$A$190=$B29)*ISNUMBER(INDEX(Inputs!$K$5:$AJ$190,0,MATCH(E$2,Inputs!$K$4:$AJ$4,0))))+SUMPRODUCT((Inputs!$C$5:$C$190=$B29)*ISNUMBER(INDEX(Inputs!$K$5:$AJ$190,0,MATCH(E$2,Inputs!$K$4:$AJ$4,0))))+SUMPRODUCT((Inputs!$E$5:$E$190=$B29)*ISNUMBER(INDEX(Inputs!$K$5:$AJ$190,0,MATCH(E$2,Inputs!$K$4:$AJ$4,0))))=0,NA(),SUMPRODUCT((Inputs!$A$5:$A$190=$B29)*Inputs!$B$5:$B$190*(((Inputs!$G$5:$G$190="moeda")+(Inputs!$G$5:$G$190="acoes"))*Inputs!$B$1+((Inputs!$G$5:$G$190&lt;&gt;"moeda")*(Inputs!$G$5:$G$190&lt;&gt;"acoes")))*INDEX(Inputs!$K$5:$AJ$190,0,MATCH(E$2,Inputs!$K$4:$AJ$4,0)))+SUMPRODUCT((Inputs!$C$5:$C$190=$B29)*Inputs!$D$5:$D$190*(((Inputs!$G$5:$G$190="moeda")+(Inputs!$G$5:$G$190="acoes"))*Inputs!$B$1+((Inputs!$G$5:$G$190&lt;&gt;"moeda")*(Inputs!$G$5:$G$190&lt;&gt;"acoes")))*INDEX(Inputs!$K$5:$AJ$190,0,MATCH(E$2,Inputs!$K$4:$AJ$4,0)))+SUMPRODUCT((Inputs!$E$5:$E$190=$B29)*Inputs!$F$5:$F$190*(((Inputs!$G$5:$G$190="moeda")+(Inputs!$G$5:$G$190="acoes"))*Inputs!$B$1+((Inputs!$G$5:$G$190&lt;&gt;"moeda")*(Inputs!$G$5:$G$190&lt;&gt;"acoes")))*INDEX(Inputs!$K$5:$AJ$190,0,MATCH(E$2,Inputs!$K$4:$AJ$4,0)))))</f>
        <v>395.0717992</v>
      </c>
      <c r="F29" s="6">
        <f>IF(ISNA(MATCH(F$2,Inputs!$K$4:$AJ$4,0)),NA(),IF(SUMPRODUCT((Inputs!$A$5:$A$190=$B29)*ISNUMBER(INDEX(Inputs!$K$5:$AJ$190,0,MATCH(F$2,Inputs!$K$4:$AJ$4,0))))+SUMPRODUCT((Inputs!$C$5:$C$190=$B29)*ISNUMBER(INDEX(Inputs!$K$5:$AJ$190,0,MATCH(F$2,Inputs!$K$4:$AJ$4,0))))+SUMPRODUCT((Inputs!$E$5:$E$190=$B29)*ISNUMBER(INDEX(Inputs!$K$5:$AJ$190,0,MATCH(F$2,Inputs!$K$4:$AJ$4,0))))=0,NA(),SUMPRODUCT((Inputs!$A$5:$A$190=$B29)*Inputs!$B$5:$B$190*(((Inputs!$G$5:$G$190="moeda")+(Inputs!$G$5:$G$190="acoes"))*Inputs!$B$1+((Inputs!$G$5:$G$190&lt;&gt;"moeda")*(Inputs!$G$5:$G$190&lt;&gt;"acoes")))*INDEX(Inputs!$K$5:$AJ$190,0,MATCH(F$2,Inputs!$K$4:$AJ$4,0)))+SUMPRODUCT((Inputs!$C$5:$C$190=$B29)*Inputs!$D$5:$D$190*(((Inputs!$G$5:$G$190="moeda")+(Inputs!$G$5:$G$190="acoes"))*Inputs!$B$1+((Inputs!$G$5:$G$190&lt;&gt;"moeda")*(Inputs!$G$5:$G$190&lt;&gt;"acoes")))*INDEX(Inputs!$K$5:$AJ$190,0,MATCH(F$2,Inputs!$K$4:$AJ$4,0)))+SUMPRODUCT((Inputs!$E$5:$E$190=$B29)*Inputs!$F$5:$F$190*(((Inputs!$G$5:$G$190="moeda")+(Inputs!$G$5:$G$190="acoes"))*Inputs!$B$1+((Inputs!$G$5:$G$190&lt;&gt;"moeda")*(Inputs!$G$5:$G$190&lt;&gt;"acoes")))*INDEX(Inputs!$K$5:$AJ$190,0,MATCH(F$2,Inputs!$K$4:$AJ$4,0)))))</f>
        <v>462.694</v>
      </c>
      <c r="G29" s="6">
        <f>IF(ISNA(MATCH(G$2,Inputs!$K$4:$AJ$4,0)),NA(),IF(SUMPRODUCT((Inputs!$A$5:$A$190=$B29)*ISNUMBER(INDEX(Inputs!$K$5:$AJ$190,0,MATCH(G$2,Inputs!$K$4:$AJ$4,0))))+SUMPRODUCT((Inputs!$C$5:$C$190=$B29)*ISNUMBER(INDEX(Inputs!$K$5:$AJ$190,0,MATCH(G$2,Inputs!$K$4:$AJ$4,0))))+SUMPRODUCT((Inputs!$E$5:$E$190=$B29)*ISNUMBER(INDEX(Inputs!$K$5:$AJ$190,0,MATCH(G$2,Inputs!$K$4:$AJ$4,0))))=0,NA(),SUMPRODUCT((Inputs!$A$5:$A$190=$B29)*Inputs!$B$5:$B$190*(((Inputs!$G$5:$G$190="moeda")+(Inputs!$G$5:$G$190="acoes"))*Inputs!$B$1+((Inputs!$G$5:$G$190&lt;&gt;"moeda")*(Inputs!$G$5:$G$190&lt;&gt;"acoes")))*INDEX(Inputs!$K$5:$AJ$190,0,MATCH(G$2,Inputs!$K$4:$AJ$4,0)))+SUMPRODUCT((Inputs!$C$5:$C$190=$B29)*Inputs!$D$5:$D$190*(((Inputs!$G$5:$G$190="moeda")+(Inputs!$G$5:$G$190="acoes"))*Inputs!$B$1+((Inputs!$G$5:$G$190&lt;&gt;"moeda")*(Inputs!$G$5:$G$190&lt;&gt;"acoes")))*INDEX(Inputs!$K$5:$AJ$190,0,MATCH(G$2,Inputs!$K$4:$AJ$4,0)))+SUMPRODUCT((Inputs!$E$5:$E$190=$B29)*Inputs!$F$5:$F$190*(((Inputs!$G$5:$G$190="moeda")+(Inputs!$G$5:$G$190="acoes"))*Inputs!$B$1+((Inputs!$G$5:$G$190&lt;&gt;"moeda")*(Inputs!$G$5:$G$190&lt;&gt;"acoes")))*INDEX(Inputs!$K$5:$AJ$190,0,MATCH(G$2,Inputs!$K$4:$AJ$4,0)))))</f>
        <v>408.154</v>
      </c>
      <c r="H29" s="3">
        <f>G29</f>
        <v>408.154</v>
      </c>
      <c r="I29" s="6">
        <f>IF(ISNA(MATCH(I$2,Inputs!$K$4:$AJ$4,0)),NA(),IF(SUMPRODUCT((Inputs!$A$5:$A$190=$B29)*ISNUMBER(INDEX(Inputs!$K$5:$AJ$190,0,MATCH(I$2,Inputs!$K$4:$AJ$4,0))))+SUMPRODUCT((Inputs!$C$5:$C$190=$B29)*ISNUMBER(INDEX(Inputs!$K$5:$AJ$190,0,MATCH(I$2,Inputs!$K$4:$AJ$4,0))))+SUMPRODUCT((Inputs!$E$5:$E$190=$B29)*ISNUMBER(INDEX(Inputs!$K$5:$AJ$190,0,MATCH(I$2,Inputs!$K$4:$AJ$4,0))))=0,NA(),SUMPRODUCT((Inputs!$A$5:$A$190=$B29)*Inputs!$B$5:$B$190*(((Inputs!$G$5:$G$190="moeda")+(Inputs!$G$5:$G$190="acoes"))*Inputs!$B$1+((Inputs!$G$5:$G$190&lt;&gt;"moeda")*(Inputs!$G$5:$G$190&lt;&gt;"acoes")))*INDEX(Inputs!$K$5:$AJ$190,0,MATCH(I$2,Inputs!$K$4:$AJ$4,0)))+SUMPRODUCT((Inputs!$C$5:$C$190=$B29)*Inputs!$D$5:$D$190*(((Inputs!$G$5:$G$190="moeda")+(Inputs!$G$5:$G$190="acoes"))*Inputs!$B$1+((Inputs!$G$5:$G$190&lt;&gt;"moeda")*(Inputs!$G$5:$G$190&lt;&gt;"acoes")))*INDEX(Inputs!$K$5:$AJ$190,0,MATCH(I$2,Inputs!$K$4:$AJ$4,0)))+SUMPRODUCT((Inputs!$E$5:$E$190=$B29)*Inputs!$F$5:$F$190*(((Inputs!$G$5:$G$190="moeda")+(Inputs!$G$5:$G$190="acoes"))*Inputs!$B$1+((Inputs!$G$5:$G$190&lt;&gt;"moeda")*(Inputs!$G$5:$G$190&lt;&gt;"acoes")))*INDEX(Inputs!$K$5:$AJ$190,0,MATCH(I$2,Inputs!$K$4:$AJ$4,0)))))</f>
        <v>464.144</v>
      </c>
      <c r="J29" s="6">
        <f>IF(ISNA(MATCH(J$2,Inputs!$K$4:$AJ$4,0)),NA(),IF(SUMPRODUCT((Inputs!$A$5:$A$190=$B29)*ISNUMBER(INDEX(Inputs!$K$5:$AJ$190,0,MATCH(J$2,Inputs!$K$4:$AJ$4,0))))+SUMPRODUCT((Inputs!$C$5:$C$190=$B29)*ISNUMBER(INDEX(Inputs!$K$5:$AJ$190,0,MATCH(J$2,Inputs!$K$4:$AJ$4,0))))+SUMPRODUCT((Inputs!$E$5:$E$190=$B29)*ISNUMBER(INDEX(Inputs!$K$5:$AJ$190,0,MATCH(J$2,Inputs!$K$4:$AJ$4,0))))=0,NA(),SUMPRODUCT((Inputs!$A$5:$A$190=$B29)*Inputs!$B$5:$B$190*(((Inputs!$G$5:$G$190="moeda")+(Inputs!$G$5:$G$190="acoes"))*Inputs!$B$1+((Inputs!$G$5:$G$190&lt;&gt;"moeda")*(Inputs!$G$5:$G$190&lt;&gt;"acoes")))*INDEX(Inputs!$K$5:$AJ$190,0,MATCH(J$2,Inputs!$K$4:$AJ$4,0)))+SUMPRODUCT((Inputs!$C$5:$C$190=$B29)*Inputs!$D$5:$D$190*(((Inputs!$G$5:$G$190="moeda")+(Inputs!$G$5:$G$190="acoes"))*Inputs!$B$1+((Inputs!$G$5:$G$190&lt;&gt;"moeda")*(Inputs!$G$5:$G$190&lt;&gt;"acoes")))*INDEX(Inputs!$K$5:$AJ$190,0,MATCH(J$2,Inputs!$K$4:$AJ$4,0)))+SUMPRODUCT((Inputs!$E$5:$E$190=$B29)*Inputs!$F$5:$F$190*(((Inputs!$G$5:$G$190="moeda")+(Inputs!$G$5:$G$190="acoes"))*Inputs!$B$1+((Inputs!$G$5:$G$190&lt;&gt;"moeda")*(Inputs!$G$5:$G$190&lt;&gt;"acoes")))*INDEX(Inputs!$K$5:$AJ$190,0,MATCH(J$2,Inputs!$K$4:$AJ$4,0)))))</f>
        <v>510.412</v>
      </c>
      <c r="K29" s="6">
        <f>IF(ISNA(MATCH(K$2,Inputs!$K$4:$AJ$4,0)),NA(),IF(SUMPRODUCT((Inputs!$A$5:$A$190=$B29)*ISNUMBER(INDEX(Inputs!$K$5:$AJ$190,0,MATCH(K$2,Inputs!$K$4:$AJ$4,0))))+SUMPRODUCT((Inputs!$C$5:$C$190=$B29)*ISNUMBER(INDEX(Inputs!$K$5:$AJ$190,0,MATCH(K$2,Inputs!$K$4:$AJ$4,0))))+SUMPRODUCT((Inputs!$E$5:$E$190=$B29)*ISNUMBER(INDEX(Inputs!$K$5:$AJ$190,0,MATCH(K$2,Inputs!$K$4:$AJ$4,0))))=0,NA(),SUMPRODUCT((Inputs!$A$5:$A$190=$B29)*Inputs!$B$5:$B$190*(((Inputs!$G$5:$G$190="moeda")+(Inputs!$G$5:$G$190="acoes"))*Inputs!$B$1+((Inputs!$G$5:$G$190&lt;&gt;"moeda")*(Inputs!$G$5:$G$190&lt;&gt;"acoes")))*INDEX(Inputs!$K$5:$AJ$190,0,MATCH(K$2,Inputs!$K$4:$AJ$4,0)))+SUMPRODUCT((Inputs!$C$5:$C$190=$B29)*Inputs!$D$5:$D$190*(((Inputs!$G$5:$G$190="moeda")+(Inputs!$G$5:$G$190="acoes"))*Inputs!$B$1+((Inputs!$G$5:$G$190&lt;&gt;"moeda")*(Inputs!$G$5:$G$190&lt;&gt;"acoes")))*INDEX(Inputs!$K$5:$AJ$190,0,MATCH(K$2,Inputs!$K$4:$AJ$4,0)))+SUMPRODUCT((Inputs!$E$5:$E$190=$B29)*Inputs!$F$5:$F$190*(((Inputs!$G$5:$G$190="moeda")+(Inputs!$G$5:$G$190="acoes"))*Inputs!$B$1+((Inputs!$G$5:$G$190&lt;&gt;"moeda")*(Inputs!$G$5:$G$190&lt;&gt;"acoes")))*INDEX(Inputs!$K$5:$AJ$190,0,MATCH(K$2,Inputs!$K$4:$AJ$4,0)))))</f>
        <v>658.286</v>
      </c>
      <c r="L29" s="6">
        <f>IF(ISNA(MATCH(L$2,Inputs!$K$4:$AJ$4,0)),NA(),IF(SUMPRODUCT((Inputs!$A$5:$A$190=$B29)*ISNUMBER(INDEX(Inputs!$K$5:$AJ$190,0,MATCH(L$2,Inputs!$K$4:$AJ$4,0))))+SUMPRODUCT((Inputs!$C$5:$C$190=$B29)*ISNUMBER(INDEX(Inputs!$K$5:$AJ$190,0,MATCH(L$2,Inputs!$K$4:$AJ$4,0))))+SUMPRODUCT((Inputs!$E$5:$E$190=$B29)*ISNUMBER(INDEX(Inputs!$K$5:$AJ$190,0,MATCH(L$2,Inputs!$K$4:$AJ$4,0))))=0,NA(),SUMPRODUCT((Inputs!$A$5:$A$190=$B29)*Inputs!$B$5:$B$190*(((Inputs!$G$5:$G$190="moeda")+(Inputs!$G$5:$G$190="acoes"))*Inputs!$B$1+((Inputs!$G$5:$G$190&lt;&gt;"moeda")*(Inputs!$G$5:$G$190&lt;&gt;"acoes")))*INDEX(Inputs!$K$5:$AJ$190,0,MATCH(L$2,Inputs!$K$4:$AJ$4,0)))+SUMPRODUCT((Inputs!$C$5:$C$190=$B29)*Inputs!$D$5:$D$190*(((Inputs!$G$5:$G$190="moeda")+(Inputs!$G$5:$G$190="acoes"))*Inputs!$B$1+((Inputs!$G$5:$G$190&lt;&gt;"moeda")*(Inputs!$G$5:$G$190&lt;&gt;"acoes")))*INDEX(Inputs!$K$5:$AJ$190,0,MATCH(L$2,Inputs!$K$4:$AJ$4,0)))+SUMPRODUCT((Inputs!$E$5:$E$190=$B29)*Inputs!$F$5:$F$190*(((Inputs!$G$5:$G$190="moeda")+(Inputs!$G$5:$G$190="acoes"))*Inputs!$B$1+((Inputs!$G$5:$G$190&lt;&gt;"moeda")*(Inputs!$G$5:$G$190&lt;&gt;"acoes")))*INDEX(Inputs!$K$5:$AJ$190,0,MATCH(L$2,Inputs!$K$4:$AJ$4,0)))))</f>
        <v>625.156</v>
      </c>
      <c r="M29" s="3">
        <f>L29</f>
        <v>625.156</v>
      </c>
      <c r="N29" s="6">
        <f>IF(ISNA(MATCH(N$2,Inputs!$K$4:$AJ$4,0)),NA(),IF(SUMPRODUCT((Inputs!$A$5:$A$190=$B29)*ISNUMBER(INDEX(Inputs!$K$5:$AJ$190,0,MATCH(N$2,Inputs!$K$4:$AJ$4,0))))+SUMPRODUCT((Inputs!$C$5:$C$190=$B29)*ISNUMBER(INDEX(Inputs!$K$5:$AJ$190,0,MATCH(N$2,Inputs!$K$4:$AJ$4,0))))+SUMPRODUCT((Inputs!$E$5:$E$190=$B29)*ISNUMBER(INDEX(Inputs!$K$5:$AJ$190,0,MATCH(N$2,Inputs!$K$4:$AJ$4,0))))=0,NA(),SUMPRODUCT((Inputs!$A$5:$A$190=$B29)*Inputs!$B$5:$B$190*(((Inputs!$G$5:$G$190="moeda")+(Inputs!$G$5:$G$190="acoes"))*Inputs!$B$1+((Inputs!$G$5:$G$190&lt;&gt;"moeda")*(Inputs!$G$5:$G$190&lt;&gt;"acoes")))*INDEX(Inputs!$K$5:$AJ$190,0,MATCH(N$2,Inputs!$K$4:$AJ$4,0)))+SUMPRODUCT((Inputs!$C$5:$C$190=$B29)*Inputs!$D$5:$D$190*(((Inputs!$G$5:$G$190="moeda")+(Inputs!$G$5:$G$190="acoes"))*Inputs!$B$1+((Inputs!$G$5:$G$190&lt;&gt;"moeda")*(Inputs!$G$5:$G$190&lt;&gt;"acoes")))*INDEX(Inputs!$K$5:$AJ$190,0,MATCH(N$2,Inputs!$K$4:$AJ$4,0)))+SUMPRODUCT((Inputs!$E$5:$E$190=$B29)*Inputs!$F$5:$F$190*(((Inputs!$G$5:$G$190="moeda")+(Inputs!$G$5:$G$190="acoes"))*Inputs!$B$1+((Inputs!$G$5:$G$190&lt;&gt;"moeda")*(Inputs!$G$5:$G$190&lt;&gt;"acoes")))*INDEX(Inputs!$K$5:$AJ$190,0,MATCH(N$2,Inputs!$K$4:$AJ$4,0)))))</f>
        <v>702.028564539886</v>
      </c>
      <c r="O29" s="6">
        <f>IF(ISNA(MATCH(O$2,Inputs!$K$4:$AJ$4,0)),NA(),IF(SUMPRODUCT((Inputs!$A$5:$A$190=$B29)*ISNUMBER(INDEX(Inputs!$K$5:$AJ$190,0,MATCH(O$2,Inputs!$K$4:$AJ$4,0))))+SUMPRODUCT((Inputs!$C$5:$C$190=$B29)*ISNUMBER(INDEX(Inputs!$K$5:$AJ$190,0,MATCH(O$2,Inputs!$K$4:$AJ$4,0))))+SUMPRODUCT((Inputs!$E$5:$E$190=$B29)*ISNUMBER(INDEX(Inputs!$K$5:$AJ$190,0,MATCH(O$2,Inputs!$K$4:$AJ$4,0))))=0,NA(),SUMPRODUCT((Inputs!$A$5:$A$190=$B29)*Inputs!$B$5:$B$190*(((Inputs!$G$5:$G$190="moeda")+(Inputs!$G$5:$G$190="acoes"))*Inputs!$B$1+((Inputs!$G$5:$G$190&lt;&gt;"moeda")*(Inputs!$G$5:$G$190&lt;&gt;"acoes")))*INDEX(Inputs!$K$5:$AJ$190,0,MATCH(O$2,Inputs!$K$4:$AJ$4,0)))+SUMPRODUCT((Inputs!$C$5:$C$190=$B29)*Inputs!$D$5:$D$190*(((Inputs!$G$5:$G$190="moeda")+(Inputs!$G$5:$G$190="acoes"))*Inputs!$B$1+((Inputs!$G$5:$G$190&lt;&gt;"moeda")*(Inputs!$G$5:$G$190&lt;&gt;"acoes")))*INDEX(Inputs!$K$5:$AJ$190,0,MATCH(O$2,Inputs!$K$4:$AJ$4,0)))+SUMPRODUCT((Inputs!$E$5:$E$190=$B29)*Inputs!$F$5:$F$190*(((Inputs!$G$5:$G$190="moeda")+(Inputs!$G$5:$G$190="acoes"))*Inputs!$B$1+((Inputs!$G$5:$G$190&lt;&gt;"moeda")*(Inputs!$G$5:$G$190&lt;&gt;"acoes")))*INDEX(Inputs!$K$5:$AJ$190,0,MATCH(O$2,Inputs!$K$4:$AJ$4,0)))))</f>
        <v>805.710163914595</v>
      </c>
      <c r="P29" s="6">
        <f>IF(ISNA(MATCH(P$2,Inputs!$K$4:$AJ$4,0)),NA(),IF(SUMPRODUCT((Inputs!$A$5:$A$190=$B29)*ISNUMBER(INDEX(Inputs!$K$5:$AJ$190,0,MATCH(P$2,Inputs!$K$4:$AJ$4,0))))+SUMPRODUCT((Inputs!$C$5:$C$190=$B29)*ISNUMBER(INDEX(Inputs!$K$5:$AJ$190,0,MATCH(P$2,Inputs!$K$4:$AJ$4,0))))+SUMPRODUCT((Inputs!$E$5:$E$190=$B29)*ISNUMBER(INDEX(Inputs!$K$5:$AJ$190,0,MATCH(P$2,Inputs!$K$4:$AJ$4,0))))=0,NA(),SUMPRODUCT((Inputs!$A$5:$A$190=$B29)*Inputs!$B$5:$B$190*(((Inputs!$G$5:$G$190="moeda")+(Inputs!$G$5:$G$190="acoes"))*Inputs!$B$1+((Inputs!$G$5:$G$190&lt;&gt;"moeda")*(Inputs!$G$5:$G$190&lt;&gt;"acoes")))*INDEX(Inputs!$K$5:$AJ$190,0,MATCH(P$2,Inputs!$K$4:$AJ$4,0)))+SUMPRODUCT((Inputs!$C$5:$C$190=$B29)*Inputs!$D$5:$D$190*(((Inputs!$G$5:$G$190="moeda")+(Inputs!$G$5:$G$190="acoes"))*Inputs!$B$1+((Inputs!$G$5:$G$190&lt;&gt;"moeda")*(Inputs!$G$5:$G$190&lt;&gt;"acoes")))*INDEX(Inputs!$K$5:$AJ$190,0,MATCH(P$2,Inputs!$K$4:$AJ$4,0)))+SUMPRODUCT((Inputs!$E$5:$E$190=$B29)*Inputs!$F$5:$F$190*(((Inputs!$G$5:$G$190="moeda")+(Inputs!$G$5:$G$190="acoes"))*Inputs!$B$1+((Inputs!$G$5:$G$190&lt;&gt;"moeda")*(Inputs!$G$5:$G$190&lt;&gt;"acoes")))*INDEX(Inputs!$K$5:$AJ$190,0,MATCH(P$2,Inputs!$K$4:$AJ$4,0)))))</f>
        <v>919.264424689247</v>
      </c>
      <c r="Q29" s="6">
        <f>IF(ISNA(MATCH(Q$2,Inputs!$K$4:$AJ$4,0)),NA(),IF(SUMPRODUCT((Inputs!$A$5:$A$190=$B29)*ISNUMBER(INDEX(Inputs!$K$5:$AJ$190,0,MATCH(Q$2,Inputs!$K$4:$AJ$4,0))))+SUMPRODUCT((Inputs!$C$5:$C$190=$B29)*ISNUMBER(INDEX(Inputs!$K$5:$AJ$190,0,MATCH(Q$2,Inputs!$K$4:$AJ$4,0))))+SUMPRODUCT((Inputs!$E$5:$E$190=$B29)*ISNUMBER(INDEX(Inputs!$K$5:$AJ$190,0,MATCH(Q$2,Inputs!$K$4:$AJ$4,0))))=0,NA(),SUMPRODUCT((Inputs!$A$5:$A$190=$B29)*Inputs!$B$5:$B$190*(((Inputs!$G$5:$G$190="moeda")+(Inputs!$G$5:$G$190="acoes"))*Inputs!$B$1+((Inputs!$G$5:$G$190&lt;&gt;"moeda")*(Inputs!$G$5:$G$190&lt;&gt;"acoes")))*INDEX(Inputs!$K$5:$AJ$190,0,MATCH(Q$2,Inputs!$K$4:$AJ$4,0)))+SUMPRODUCT((Inputs!$C$5:$C$190=$B29)*Inputs!$D$5:$D$190*(((Inputs!$G$5:$G$190="moeda")+(Inputs!$G$5:$G$190="acoes"))*Inputs!$B$1+((Inputs!$G$5:$G$190&lt;&gt;"moeda")*(Inputs!$G$5:$G$190&lt;&gt;"acoes")))*INDEX(Inputs!$K$5:$AJ$190,0,MATCH(Q$2,Inputs!$K$4:$AJ$4,0)))+SUMPRODUCT((Inputs!$E$5:$E$190=$B29)*Inputs!$F$5:$F$190*(((Inputs!$G$5:$G$190="moeda")+(Inputs!$G$5:$G$190="acoes"))*Inputs!$B$1+((Inputs!$G$5:$G$190&lt;&gt;"moeda")*(Inputs!$G$5:$G$190&lt;&gt;"acoes")))*INDEX(Inputs!$K$5:$AJ$190,0,MATCH(Q$2,Inputs!$K$4:$AJ$4,0)))))</f>
        <v>727.767074321675</v>
      </c>
      <c r="R29" s="3">
        <f>Q29</f>
        <v>727.767074321675</v>
      </c>
      <c r="S29" s="6">
        <f>IF(ISNA(MATCH(S$2,Inputs!$K$4:$AJ$4,0)),NA(),IF(SUMPRODUCT((Inputs!$A$5:$A$190=$B29)*ISNUMBER(INDEX(Inputs!$K$5:$AJ$190,0,MATCH(S$2,Inputs!$K$4:$AJ$4,0))))+SUMPRODUCT((Inputs!$C$5:$C$190=$B29)*ISNUMBER(INDEX(Inputs!$K$5:$AJ$190,0,MATCH(S$2,Inputs!$K$4:$AJ$4,0))))+SUMPRODUCT((Inputs!$E$5:$E$190=$B29)*ISNUMBER(INDEX(Inputs!$K$5:$AJ$190,0,MATCH(S$2,Inputs!$K$4:$AJ$4,0))))=0,NA(),SUMPRODUCT((Inputs!$A$5:$A$190=$B29)*Inputs!$B$5:$B$190*(((Inputs!$G$5:$G$190="moeda")+(Inputs!$G$5:$G$190="acoes"))*Inputs!$B$1+((Inputs!$G$5:$G$190&lt;&gt;"moeda")*(Inputs!$G$5:$G$190&lt;&gt;"acoes")))*INDEX(Inputs!$K$5:$AJ$190,0,MATCH(S$2,Inputs!$K$4:$AJ$4,0)))+SUMPRODUCT((Inputs!$C$5:$C$190=$B29)*Inputs!$D$5:$D$190*(((Inputs!$G$5:$G$190="moeda")+(Inputs!$G$5:$G$190="acoes"))*Inputs!$B$1+((Inputs!$G$5:$G$190&lt;&gt;"moeda")*(Inputs!$G$5:$G$190&lt;&gt;"acoes")))*INDEX(Inputs!$K$5:$AJ$190,0,MATCH(S$2,Inputs!$K$4:$AJ$4,0)))+SUMPRODUCT((Inputs!$E$5:$E$190=$B29)*Inputs!$F$5:$F$190*(((Inputs!$G$5:$G$190="moeda")+(Inputs!$G$5:$G$190="acoes"))*Inputs!$B$1+((Inputs!$G$5:$G$190&lt;&gt;"moeda")*(Inputs!$G$5:$G$190&lt;&gt;"acoes")))*INDEX(Inputs!$K$5:$AJ$190,0,MATCH(S$2,Inputs!$K$4:$AJ$4,0)))))</f>
        <v>756.147315318588</v>
      </c>
      <c r="T29" s="6">
        <f>IF(ISNA(MATCH(T$2,Inputs!$K$4:$AJ$4,0)),NA(),IF(SUMPRODUCT((Inputs!$A$5:$A$190=$B29)*ISNUMBER(INDEX(Inputs!$K$5:$AJ$190,0,MATCH(T$2,Inputs!$K$4:$AJ$4,0))))+SUMPRODUCT((Inputs!$C$5:$C$190=$B29)*ISNUMBER(INDEX(Inputs!$K$5:$AJ$190,0,MATCH(T$2,Inputs!$K$4:$AJ$4,0))))+SUMPRODUCT((Inputs!$E$5:$E$190=$B29)*ISNUMBER(INDEX(Inputs!$K$5:$AJ$190,0,MATCH(T$2,Inputs!$K$4:$AJ$4,0))))=0,NA(),SUMPRODUCT((Inputs!$A$5:$A$190=$B29)*Inputs!$B$5:$B$190*(((Inputs!$G$5:$G$190="moeda")+(Inputs!$G$5:$G$190="acoes"))*Inputs!$B$1+((Inputs!$G$5:$G$190&lt;&gt;"moeda")*(Inputs!$G$5:$G$190&lt;&gt;"acoes")))*INDEX(Inputs!$K$5:$AJ$190,0,MATCH(T$2,Inputs!$K$4:$AJ$4,0)))+SUMPRODUCT((Inputs!$C$5:$C$190=$B29)*Inputs!$D$5:$D$190*(((Inputs!$G$5:$G$190="moeda")+(Inputs!$G$5:$G$190="acoes"))*Inputs!$B$1+((Inputs!$G$5:$G$190&lt;&gt;"moeda")*(Inputs!$G$5:$G$190&lt;&gt;"acoes")))*INDEX(Inputs!$K$5:$AJ$190,0,MATCH(T$2,Inputs!$K$4:$AJ$4,0)))+SUMPRODUCT((Inputs!$E$5:$E$190=$B29)*Inputs!$F$5:$F$190*(((Inputs!$G$5:$G$190="moeda")+(Inputs!$G$5:$G$190="acoes"))*Inputs!$B$1+((Inputs!$G$5:$G$190&lt;&gt;"moeda")*(Inputs!$G$5:$G$190&lt;&gt;"acoes")))*INDEX(Inputs!$K$5:$AJ$190,0,MATCH(T$2,Inputs!$K$4:$AJ$4,0)))))</f>
        <v>781.022510349471</v>
      </c>
      <c r="U29" s="6">
        <f>IF(ISNA(MATCH(U$2,Inputs!$K$4:$AJ$4,0)),NA(),IF(SUMPRODUCT((Inputs!$A$5:$A$190=$B29)*ISNUMBER(INDEX(Inputs!$K$5:$AJ$190,0,MATCH(U$2,Inputs!$K$4:$AJ$4,0))))+SUMPRODUCT((Inputs!$C$5:$C$190=$B29)*ISNUMBER(INDEX(Inputs!$K$5:$AJ$190,0,MATCH(U$2,Inputs!$K$4:$AJ$4,0))))+SUMPRODUCT((Inputs!$E$5:$E$190=$B29)*ISNUMBER(INDEX(Inputs!$K$5:$AJ$190,0,MATCH(U$2,Inputs!$K$4:$AJ$4,0))))=0,NA(),SUMPRODUCT((Inputs!$A$5:$A$190=$B29)*Inputs!$B$5:$B$190*(((Inputs!$G$5:$G$190="moeda")+(Inputs!$G$5:$G$190="acoes"))*Inputs!$B$1+((Inputs!$G$5:$G$190&lt;&gt;"moeda")*(Inputs!$G$5:$G$190&lt;&gt;"acoes")))*INDEX(Inputs!$K$5:$AJ$190,0,MATCH(U$2,Inputs!$K$4:$AJ$4,0)))+SUMPRODUCT((Inputs!$C$5:$C$190=$B29)*Inputs!$D$5:$D$190*(((Inputs!$G$5:$G$190="moeda")+(Inputs!$G$5:$G$190="acoes"))*Inputs!$B$1+((Inputs!$G$5:$G$190&lt;&gt;"moeda")*(Inputs!$G$5:$G$190&lt;&gt;"acoes")))*INDEX(Inputs!$K$5:$AJ$190,0,MATCH(U$2,Inputs!$K$4:$AJ$4,0)))+SUMPRODUCT((Inputs!$E$5:$E$190=$B29)*Inputs!$F$5:$F$190*(((Inputs!$G$5:$G$190="moeda")+(Inputs!$G$5:$G$190="acoes"))*Inputs!$B$1+((Inputs!$G$5:$G$190&lt;&gt;"moeda")*(Inputs!$G$5:$G$190&lt;&gt;"acoes")))*INDEX(Inputs!$K$5:$AJ$190,0,MATCH(U$2,Inputs!$K$4:$AJ$4,0)))))</f>
        <v>860.483808124382</v>
      </c>
      <c r="V29" s="6">
        <f>IF(ISNA(MATCH(V$2,Inputs!$K$4:$AJ$4,0)),NA(),IF(SUMPRODUCT((Inputs!$A$5:$A$190=$B29)*ISNUMBER(INDEX(Inputs!$K$5:$AJ$190,0,MATCH(V$2,Inputs!$K$4:$AJ$4,0))))+SUMPRODUCT((Inputs!$C$5:$C$190=$B29)*ISNUMBER(INDEX(Inputs!$K$5:$AJ$190,0,MATCH(V$2,Inputs!$K$4:$AJ$4,0))))+SUMPRODUCT((Inputs!$E$5:$E$190=$B29)*ISNUMBER(INDEX(Inputs!$K$5:$AJ$190,0,MATCH(V$2,Inputs!$K$4:$AJ$4,0))))=0,NA(),SUMPRODUCT((Inputs!$A$5:$A$190=$B29)*Inputs!$B$5:$B$190*(((Inputs!$G$5:$G$190="moeda")+(Inputs!$G$5:$G$190="acoes"))*Inputs!$B$1+((Inputs!$G$5:$G$190&lt;&gt;"moeda")*(Inputs!$G$5:$G$190&lt;&gt;"acoes")))*INDEX(Inputs!$K$5:$AJ$190,0,MATCH(V$2,Inputs!$K$4:$AJ$4,0)))+SUMPRODUCT((Inputs!$C$5:$C$190=$B29)*Inputs!$D$5:$D$190*(((Inputs!$G$5:$G$190="moeda")+(Inputs!$G$5:$G$190="acoes"))*Inputs!$B$1+((Inputs!$G$5:$G$190&lt;&gt;"moeda")*(Inputs!$G$5:$G$190&lt;&gt;"acoes")))*INDEX(Inputs!$K$5:$AJ$190,0,MATCH(V$2,Inputs!$K$4:$AJ$4,0)))+SUMPRODUCT((Inputs!$E$5:$E$190=$B29)*Inputs!$F$5:$F$190*(((Inputs!$G$5:$G$190="moeda")+(Inputs!$G$5:$G$190="acoes"))*Inputs!$B$1+((Inputs!$G$5:$G$190&lt;&gt;"moeda")*(Inputs!$G$5:$G$190&lt;&gt;"acoes")))*INDEX(Inputs!$K$5:$AJ$190,0,MATCH(V$2,Inputs!$K$4:$AJ$4,0)))))</f>
        <v>747.29725973</v>
      </c>
      <c r="W29" s="3">
        <f>V29</f>
        <v>747.29725973</v>
      </c>
      <c r="X29" s="6">
        <f>IF(ISNA(MATCH(X$2,Inputs!$K$4:$AJ$4,0)),NA(),IF(SUMPRODUCT((Inputs!$A$5:$A$190=$B29)*ISNUMBER(INDEX(Inputs!$K$5:$AJ$190,0,MATCH(X$2,Inputs!$K$4:$AJ$4,0))))+SUMPRODUCT((Inputs!$C$5:$C$190=$B29)*ISNUMBER(INDEX(Inputs!$K$5:$AJ$190,0,MATCH(X$2,Inputs!$K$4:$AJ$4,0))))+SUMPRODUCT((Inputs!$E$5:$E$190=$B29)*ISNUMBER(INDEX(Inputs!$K$5:$AJ$190,0,MATCH(X$2,Inputs!$K$4:$AJ$4,0))))=0,NA(),SUMPRODUCT((Inputs!$A$5:$A$190=$B29)*Inputs!$B$5:$B$190*(((Inputs!$G$5:$G$190="moeda")+(Inputs!$G$5:$G$190="acoes"))*Inputs!$B$1+((Inputs!$G$5:$G$190&lt;&gt;"moeda")*(Inputs!$G$5:$G$190&lt;&gt;"acoes")))*INDEX(Inputs!$K$5:$AJ$190,0,MATCH(X$2,Inputs!$K$4:$AJ$4,0)))+SUMPRODUCT((Inputs!$C$5:$C$190=$B29)*Inputs!$D$5:$D$190*(((Inputs!$G$5:$G$190="moeda")+(Inputs!$G$5:$G$190="acoes"))*Inputs!$B$1+((Inputs!$G$5:$G$190&lt;&gt;"moeda")*(Inputs!$G$5:$G$190&lt;&gt;"acoes")))*INDEX(Inputs!$K$5:$AJ$190,0,MATCH(X$2,Inputs!$K$4:$AJ$4,0)))+SUMPRODUCT((Inputs!$E$5:$E$190=$B29)*Inputs!$F$5:$F$190*(((Inputs!$G$5:$G$190="moeda")+(Inputs!$G$5:$G$190="acoes"))*Inputs!$B$1+((Inputs!$G$5:$G$190&lt;&gt;"moeda")*(Inputs!$G$5:$G$190&lt;&gt;"acoes")))*INDEX(Inputs!$K$5:$AJ$190,0,MATCH(X$2,Inputs!$K$4:$AJ$4,0)))))</f>
        <v>778.19114601</v>
      </c>
      <c r="Y29" s="6">
        <f>IF(ISNA(MATCH(Y$2,Inputs!$K$4:$AJ$4,0)),NA(),IF(SUMPRODUCT((Inputs!$A$5:$A$190=$B29)*ISNUMBER(INDEX(Inputs!$K$5:$AJ$190,0,MATCH(Y$2,Inputs!$K$4:$AJ$4,0))))+SUMPRODUCT((Inputs!$C$5:$C$190=$B29)*ISNUMBER(INDEX(Inputs!$K$5:$AJ$190,0,MATCH(Y$2,Inputs!$K$4:$AJ$4,0))))+SUMPRODUCT((Inputs!$E$5:$E$190=$B29)*ISNUMBER(INDEX(Inputs!$K$5:$AJ$190,0,MATCH(Y$2,Inputs!$K$4:$AJ$4,0))))=0,NA(),SUMPRODUCT((Inputs!$A$5:$A$190=$B29)*Inputs!$B$5:$B$190*(((Inputs!$G$5:$G$190="moeda")+(Inputs!$G$5:$G$190="acoes"))*Inputs!$B$1+((Inputs!$G$5:$G$190&lt;&gt;"moeda")*(Inputs!$G$5:$G$190&lt;&gt;"acoes")))*INDEX(Inputs!$K$5:$AJ$190,0,MATCH(Y$2,Inputs!$K$4:$AJ$4,0)))+SUMPRODUCT((Inputs!$C$5:$C$190=$B29)*Inputs!$D$5:$D$190*(((Inputs!$G$5:$G$190="moeda")+(Inputs!$G$5:$G$190="acoes"))*Inputs!$B$1+((Inputs!$G$5:$G$190&lt;&gt;"moeda")*(Inputs!$G$5:$G$190&lt;&gt;"acoes")))*INDEX(Inputs!$K$5:$AJ$190,0,MATCH(Y$2,Inputs!$K$4:$AJ$4,0)))+SUMPRODUCT((Inputs!$E$5:$E$190=$B29)*Inputs!$F$5:$F$190*(((Inputs!$G$5:$G$190="moeda")+(Inputs!$G$5:$G$190="acoes"))*Inputs!$B$1+((Inputs!$G$5:$G$190&lt;&gt;"moeda")*(Inputs!$G$5:$G$190&lt;&gt;"acoes")))*INDEX(Inputs!$K$5:$AJ$190,0,MATCH(Y$2,Inputs!$K$4:$AJ$4,0)))))</f>
        <v>861.57004729</v>
      </c>
      <c r="Z29" s="6">
        <f>IF(ISNA(MATCH(Z$2,Inputs!$K$4:$AJ$4,0)),NA(),IF(SUMPRODUCT((Inputs!$A$5:$A$190=$B29)*ISNUMBER(INDEX(Inputs!$K$5:$AJ$190,0,MATCH(Z$2,Inputs!$K$4:$AJ$4,0))))+SUMPRODUCT((Inputs!$C$5:$C$190=$B29)*ISNUMBER(INDEX(Inputs!$K$5:$AJ$190,0,MATCH(Z$2,Inputs!$K$4:$AJ$4,0))))+SUMPRODUCT((Inputs!$E$5:$E$190=$B29)*ISNUMBER(INDEX(Inputs!$K$5:$AJ$190,0,MATCH(Z$2,Inputs!$K$4:$AJ$4,0))))=0,NA(),SUMPRODUCT((Inputs!$A$5:$A$190=$B29)*Inputs!$B$5:$B$190*(((Inputs!$G$5:$G$190="moeda")+(Inputs!$G$5:$G$190="acoes"))*Inputs!$B$1+((Inputs!$G$5:$G$190&lt;&gt;"moeda")*(Inputs!$G$5:$G$190&lt;&gt;"acoes")))*INDEX(Inputs!$K$5:$AJ$190,0,MATCH(Z$2,Inputs!$K$4:$AJ$4,0)))+SUMPRODUCT((Inputs!$C$5:$C$190=$B29)*Inputs!$D$5:$D$190*(((Inputs!$G$5:$G$190="moeda")+(Inputs!$G$5:$G$190="acoes"))*Inputs!$B$1+((Inputs!$G$5:$G$190&lt;&gt;"moeda")*(Inputs!$G$5:$G$190&lt;&gt;"acoes")))*INDEX(Inputs!$K$5:$AJ$190,0,MATCH(Z$2,Inputs!$K$4:$AJ$4,0)))+SUMPRODUCT((Inputs!$E$5:$E$190=$B29)*Inputs!$F$5:$F$190*(((Inputs!$G$5:$G$190="moeda")+(Inputs!$G$5:$G$190="acoes"))*Inputs!$B$1+((Inputs!$G$5:$G$190&lt;&gt;"moeda")*(Inputs!$G$5:$G$190&lt;&gt;"acoes")))*INDEX(Inputs!$K$5:$AJ$190,0,MATCH(Z$2,Inputs!$K$4:$AJ$4,0)))))</f>
        <v>959.03046664</v>
      </c>
      <c r="AA29" s="6">
        <f>IF(ISNA(MATCH(AA$2,Inputs!$K$4:$AJ$4,0)),NA(),IF(SUMPRODUCT((Inputs!$A$5:$A$190=$B29)*ISNUMBER(INDEX(Inputs!$K$5:$AJ$190,0,MATCH(AA$2,Inputs!$K$4:$AJ$4,0))))+SUMPRODUCT((Inputs!$C$5:$C$190=$B29)*ISNUMBER(INDEX(Inputs!$K$5:$AJ$190,0,MATCH(AA$2,Inputs!$K$4:$AJ$4,0))))+SUMPRODUCT((Inputs!$E$5:$E$190=$B29)*ISNUMBER(INDEX(Inputs!$K$5:$AJ$190,0,MATCH(AA$2,Inputs!$K$4:$AJ$4,0))))=0,NA(),SUMPRODUCT((Inputs!$A$5:$A$190=$B29)*Inputs!$B$5:$B$190*(((Inputs!$G$5:$G$190="moeda")+(Inputs!$G$5:$G$190="acoes"))*Inputs!$B$1+((Inputs!$G$5:$G$190&lt;&gt;"moeda")*(Inputs!$G$5:$G$190&lt;&gt;"acoes")))*INDEX(Inputs!$K$5:$AJ$190,0,MATCH(AA$2,Inputs!$K$4:$AJ$4,0)))+SUMPRODUCT((Inputs!$C$5:$C$190=$B29)*Inputs!$D$5:$D$190*(((Inputs!$G$5:$G$190="moeda")+(Inputs!$G$5:$G$190="acoes"))*Inputs!$B$1+((Inputs!$G$5:$G$190&lt;&gt;"moeda")*(Inputs!$G$5:$G$190&lt;&gt;"acoes")))*INDEX(Inputs!$K$5:$AJ$190,0,MATCH(AA$2,Inputs!$K$4:$AJ$4,0)))+SUMPRODUCT((Inputs!$E$5:$E$190=$B29)*Inputs!$F$5:$F$190*(((Inputs!$G$5:$G$190="moeda")+(Inputs!$G$5:$G$190="acoes"))*Inputs!$B$1+((Inputs!$G$5:$G$190&lt;&gt;"moeda")*(Inputs!$G$5:$G$190&lt;&gt;"acoes")))*INDEX(Inputs!$K$5:$AJ$190,0,MATCH(AA$2,Inputs!$K$4:$AJ$4,0)))))</f>
        <v>845.76907274</v>
      </c>
      <c r="AB29" s="3">
        <f>AA29</f>
        <v>845.76907274</v>
      </c>
      <c r="AC29" s="6">
        <f>IF(ISNA(MATCH(AC$2,Inputs!$K$4:$AJ$4,0)),NA(),IF(SUMPRODUCT((Inputs!$A$5:$A$190=$B29)*ISNUMBER(INDEX(Inputs!$K$5:$AJ$190,0,MATCH(AC$2,Inputs!$K$4:$AJ$4,0))))+SUMPRODUCT((Inputs!$C$5:$C$190=$B29)*ISNUMBER(INDEX(Inputs!$K$5:$AJ$190,0,MATCH(AC$2,Inputs!$K$4:$AJ$4,0))))+SUMPRODUCT((Inputs!$E$5:$E$190=$B29)*ISNUMBER(INDEX(Inputs!$K$5:$AJ$190,0,MATCH(AC$2,Inputs!$K$4:$AJ$4,0))))=0,NA(),SUMPRODUCT((Inputs!$A$5:$A$190=$B29)*Inputs!$B$5:$B$190*(((Inputs!$G$5:$G$190="moeda")+(Inputs!$G$5:$G$190="acoes"))*Inputs!$B$1+((Inputs!$G$5:$G$190&lt;&gt;"moeda")*(Inputs!$G$5:$G$190&lt;&gt;"acoes")))*INDEX(Inputs!$K$5:$AJ$190,0,MATCH(AC$2,Inputs!$K$4:$AJ$4,0)))+SUMPRODUCT((Inputs!$C$5:$C$190=$B29)*Inputs!$D$5:$D$190*(((Inputs!$G$5:$G$190="moeda")+(Inputs!$G$5:$G$190="acoes"))*Inputs!$B$1+((Inputs!$G$5:$G$190&lt;&gt;"moeda")*(Inputs!$G$5:$G$190&lt;&gt;"acoes")))*INDEX(Inputs!$K$5:$AJ$190,0,MATCH(AC$2,Inputs!$K$4:$AJ$4,0)))+SUMPRODUCT((Inputs!$E$5:$E$190=$B29)*Inputs!$F$5:$F$190*(((Inputs!$G$5:$G$190="moeda")+(Inputs!$G$5:$G$190="acoes"))*Inputs!$B$1+((Inputs!$G$5:$G$190&lt;&gt;"moeda")*(Inputs!$G$5:$G$190&lt;&gt;"acoes")))*INDEX(Inputs!$K$5:$AJ$190,0,MATCH(AC$2,Inputs!$K$4:$AJ$4,0)))))</f>
        <v>1127.90286505</v>
      </c>
      <c r="AD29" s="6">
        <f>IF(ISNA(MATCH(AD$2,Inputs!$K$4:$AJ$4,0)),NA(),IF(SUMPRODUCT((Inputs!$A$5:$A$190=$B29)*ISNUMBER(INDEX(Inputs!$K$5:$AJ$190,0,MATCH(AD$2,Inputs!$K$4:$AJ$4,0))))+SUMPRODUCT((Inputs!$C$5:$C$190=$B29)*ISNUMBER(INDEX(Inputs!$K$5:$AJ$190,0,MATCH(AD$2,Inputs!$K$4:$AJ$4,0))))+SUMPRODUCT((Inputs!$E$5:$E$190=$B29)*ISNUMBER(INDEX(Inputs!$K$5:$AJ$190,0,MATCH(AD$2,Inputs!$K$4:$AJ$4,0))))=0,NA(),SUMPRODUCT((Inputs!$A$5:$A$190=$B29)*Inputs!$B$5:$B$190*(((Inputs!$G$5:$G$190="moeda")+(Inputs!$G$5:$G$190="acoes"))*Inputs!$B$1+((Inputs!$G$5:$G$190&lt;&gt;"moeda")*(Inputs!$G$5:$G$190&lt;&gt;"acoes")))*INDEX(Inputs!$K$5:$AJ$190,0,MATCH(AD$2,Inputs!$K$4:$AJ$4,0)))+SUMPRODUCT((Inputs!$C$5:$C$190=$B29)*Inputs!$D$5:$D$190*(((Inputs!$G$5:$G$190="moeda")+(Inputs!$G$5:$G$190="acoes"))*Inputs!$B$1+((Inputs!$G$5:$G$190&lt;&gt;"moeda")*(Inputs!$G$5:$G$190&lt;&gt;"acoes")))*INDEX(Inputs!$K$5:$AJ$190,0,MATCH(AD$2,Inputs!$K$4:$AJ$4,0)))+SUMPRODUCT((Inputs!$E$5:$E$190=$B29)*Inputs!$F$5:$F$190*(((Inputs!$G$5:$G$190="moeda")+(Inputs!$G$5:$G$190="acoes"))*Inputs!$B$1+((Inputs!$G$5:$G$190&lt;&gt;"moeda")*(Inputs!$G$5:$G$190&lt;&gt;"acoes")))*INDEX(Inputs!$K$5:$AJ$190,0,MATCH(AD$2,Inputs!$K$4:$AJ$4,0)))))</f>
        <v>1191.83897208</v>
      </c>
      <c r="AE29" s="6" t="e">
        <f>IF(ISNA(MATCH(AE$2,Inputs!$K$4:$AJ$4,0)),NA(),IF(SUMPRODUCT((Inputs!$A$5:$A$190=$B29)*ISNUMBER(INDEX(Inputs!$K$5:$AJ$190,0,MATCH(AE$2,Inputs!$K$4:$AJ$4,0))))+SUMPRODUCT((Inputs!$C$5:$C$190=$B29)*ISNUMBER(INDEX(Inputs!$K$5:$AJ$190,0,MATCH(AE$2,Inputs!$K$4:$AJ$4,0))))+SUMPRODUCT((Inputs!$E$5:$E$190=$B29)*ISNUMBER(INDEX(Inputs!$K$5:$AJ$190,0,MATCH(AE$2,Inputs!$K$4:$AJ$4,0))))=0,NA(),SUMPRODUCT((Inputs!$A$5:$A$190=$B29)*Inputs!$B$5:$B$190*(((Inputs!$G$5:$G$190="moeda")+(Inputs!$G$5:$G$190="acoes"))*Inputs!$B$1+((Inputs!$G$5:$G$190&lt;&gt;"moeda")*(Inputs!$G$5:$G$190&lt;&gt;"acoes")))*INDEX(Inputs!$K$5:$AJ$190,0,MATCH(AE$2,Inputs!$K$4:$AJ$4,0)))+SUMPRODUCT((Inputs!$C$5:$C$190=$B29)*Inputs!$D$5:$D$190*(((Inputs!$G$5:$G$190="moeda")+(Inputs!$G$5:$G$190="acoes"))*Inputs!$B$1+((Inputs!$G$5:$G$190&lt;&gt;"moeda")*(Inputs!$G$5:$G$190&lt;&gt;"acoes")))*INDEX(Inputs!$K$5:$AJ$190,0,MATCH(AE$2,Inputs!$K$4:$AJ$4,0)))+SUMPRODUCT((Inputs!$E$5:$E$190=$B29)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29" s="6" t="e">
        <f>IF(ISNA(MATCH(AF$2,Inputs!$K$4:$AJ$4,0)),NA(),IF(SUMPRODUCT((Inputs!$A$5:$A$190=$B29)*ISNUMBER(INDEX(Inputs!$K$5:$AJ$190,0,MATCH(AF$2,Inputs!$K$4:$AJ$4,0))))+SUMPRODUCT((Inputs!$C$5:$C$190=$B29)*ISNUMBER(INDEX(Inputs!$K$5:$AJ$190,0,MATCH(AF$2,Inputs!$K$4:$AJ$4,0))))+SUMPRODUCT((Inputs!$E$5:$E$190=$B29)*ISNUMBER(INDEX(Inputs!$K$5:$AJ$190,0,MATCH(AF$2,Inputs!$K$4:$AJ$4,0))))=0,NA(),SUMPRODUCT((Inputs!$A$5:$A$190=$B29)*Inputs!$B$5:$B$190*(((Inputs!$G$5:$G$190="moeda")+(Inputs!$G$5:$G$190="acoes"))*Inputs!$B$1+((Inputs!$G$5:$G$190&lt;&gt;"moeda")*(Inputs!$G$5:$G$190&lt;&gt;"acoes")))*INDEX(Inputs!$K$5:$AJ$190,0,MATCH(AF$2,Inputs!$K$4:$AJ$4,0)))+SUMPRODUCT((Inputs!$C$5:$C$190=$B29)*Inputs!$D$5:$D$190*(((Inputs!$G$5:$G$190="moeda")+(Inputs!$G$5:$G$190="acoes"))*Inputs!$B$1+((Inputs!$G$5:$G$190&lt;&gt;"moeda")*(Inputs!$G$5:$G$190&lt;&gt;"acoes")))*INDEX(Inputs!$K$5:$AJ$190,0,MATCH(AF$2,Inputs!$K$4:$AJ$4,0)))+SUMPRODUCT((Inputs!$E$5:$E$190=$B29)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29" s="3" t="e">
        <f>AF29</f>
        <v>#N/A</v>
      </c>
      <c r="AH29" s="6">
        <f>IF(ISNA(MATCH(AH$2,Inputs!$K$4:$AJ$4,0)),NA(),IF(SUMPRODUCT((Inputs!$A$5:$A$190=$B29)*ISNUMBER(INDEX(Inputs!$K$5:$AJ$190,0,MATCH(AH$2,Inputs!$K$4:$AJ$4,0))))+SUMPRODUCT((Inputs!$C$5:$C$190=$B29)*ISNUMBER(INDEX(Inputs!$K$5:$AJ$190,0,MATCH(AH$2,Inputs!$K$4:$AJ$4,0))))+SUMPRODUCT((Inputs!$E$5:$E$190=$B29)*ISNUMBER(INDEX(Inputs!$K$5:$AJ$190,0,MATCH(AH$2,Inputs!$K$4:$AJ$4,0))))=0,NA(),SUMPRODUCT((Inputs!$A$5:$A$190=$B29)*Inputs!$B$5:$B$190*(((Inputs!$G$5:$G$190="moeda")+(Inputs!$G$5:$G$190="acoes"))*Inputs!$B$1+((Inputs!$G$5:$G$190&lt;&gt;"moeda")*(Inputs!$G$5:$G$190&lt;&gt;"acoes")))*INDEX(Inputs!$K$5:$AJ$190,0,MATCH(AH$2,Inputs!$K$4:$AJ$4,0)))+SUMPRODUCT((Inputs!$C$5:$C$190=$B29)*Inputs!$D$5:$D$190*(((Inputs!$G$5:$G$190="moeda")+(Inputs!$G$5:$G$190="acoes"))*Inputs!$B$1+((Inputs!$G$5:$G$190&lt;&gt;"moeda")*(Inputs!$G$5:$G$190&lt;&gt;"acoes")))*INDEX(Inputs!$K$5:$AJ$190,0,MATCH(AH$2,Inputs!$K$4:$AJ$4,0)))+SUMPRODUCT((Inputs!$E$5:$E$190=$B29)*Inputs!$F$5:$F$190*(((Inputs!$G$5:$G$190="moeda")+(Inputs!$G$5:$G$190="acoes"))*Inputs!$B$1+((Inputs!$G$5:$G$190&lt;&gt;"moeda")*(Inputs!$G$5:$G$190&lt;&gt;"acoes")))*INDEX(Inputs!$K$5:$AJ$190,0,MATCH(AH$2,Inputs!$K$4:$AJ$4,0)))))</f>
        <v>238.41306349</v>
      </c>
      <c r="AI29" s="6">
        <f>IF(ISNA(MATCH(AI$2,Inputs!$K$4:$AJ$4,0)),NA(),IF(SUMPRODUCT((Inputs!$A$5:$A$190=$B29)*ISNUMBER(INDEX(Inputs!$K$5:$AJ$190,0,MATCH(AI$2,Inputs!$K$4:$AJ$4,0))))+SUMPRODUCT((Inputs!$C$5:$C$190=$B29)*ISNUMBER(INDEX(Inputs!$K$5:$AJ$190,0,MATCH(AI$2,Inputs!$K$4:$AJ$4,0))))+SUMPRODUCT((Inputs!$E$5:$E$190=$B29)*ISNUMBER(INDEX(Inputs!$K$5:$AJ$190,0,MATCH(AI$2,Inputs!$K$4:$AJ$4,0))))=0,NA(),SUMPRODUCT((Inputs!$A$5:$A$190=$B29)*Inputs!$B$5:$B$190*(((Inputs!$G$5:$G$190="moeda")+(Inputs!$G$5:$G$190="acoes"))*Inputs!$B$1+((Inputs!$G$5:$G$190&lt;&gt;"moeda")*(Inputs!$G$5:$G$190&lt;&gt;"acoes")))*INDEX(Inputs!$K$5:$AJ$190,0,MATCH(AI$2,Inputs!$K$4:$AJ$4,0)))+SUMPRODUCT((Inputs!$C$5:$C$190=$B29)*Inputs!$D$5:$D$190*(((Inputs!$G$5:$G$190="moeda")+(Inputs!$G$5:$G$190="acoes"))*Inputs!$B$1+((Inputs!$G$5:$G$190&lt;&gt;"moeda")*(Inputs!$G$5:$G$190&lt;&gt;"acoes")))*INDEX(Inputs!$K$5:$AJ$190,0,MATCH(AI$2,Inputs!$K$4:$AJ$4,0)))+SUMPRODUCT((Inputs!$E$5:$E$190=$B29)*Inputs!$F$5:$F$190*(((Inputs!$G$5:$G$190="moeda")+(Inputs!$G$5:$G$190="acoes"))*Inputs!$B$1+((Inputs!$G$5:$G$190&lt;&gt;"moeda")*(Inputs!$G$5:$G$190&lt;&gt;"acoes")))*INDEX(Inputs!$K$5:$AJ$190,0,MATCH(AI$2,Inputs!$K$4:$AJ$4,0)))))</f>
        <v>267.31642906</v>
      </c>
      <c r="AJ29" s="6">
        <f>IF(ISNA(MATCH(AJ$2,Inputs!$K$4:$AJ$4,0)),NA(),IF(SUMPRODUCT((Inputs!$A$5:$A$190=$B29)*ISNUMBER(INDEX(Inputs!$K$5:$AJ$190,0,MATCH(AJ$2,Inputs!$K$4:$AJ$4,0))))+SUMPRODUCT((Inputs!$C$5:$C$190=$B29)*ISNUMBER(INDEX(Inputs!$K$5:$AJ$190,0,MATCH(AJ$2,Inputs!$K$4:$AJ$4,0))))+SUMPRODUCT((Inputs!$E$5:$E$190=$B29)*ISNUMBER(INDEX(Inputs!$K$5:$AJ$190,0,MATCH(AJ$2,Inputs!$K$4:$AJ$4,0))))=0,NA(),SUMPRODUCT((Inputs!$A$5:$A$190=$B29)*Inputs!$B$5:$B$190*(((Inputs!$G$5:$G$190="moeda")+(Inputs!$G$5:$G$190="acoes"))*Inputs!$B$1+((Inputs!$G$5:$G$190&lt;&gt;"moeda")*(Inputs!$G$5:$G$190&lt;&gt;"acoes")))*INDEX(Inputs!$K$5:$AJ$190,0,MATCH(AJ$2,Inputs!$K$4:$AJ$4,0)))+SUMPRODUCT((Inputs!$C$5:$C$190=$B29)*Inputs!$D$5:$D$190*(((Inputs!$G$5:$G$190="moeda")+(Inputs!$G$5:$G$190="acoes"))*Inputs!$B$1+((Inputs!$G$5:$G$190&lt;&gt;"moeda")*(Inputs!$G$5:$G$190&lt;&gt;"acoes")))*INDEX(Inputs!$K$5:$AJ$190,0,MATCH(AJ$2,Inputs!$K$4:$AJ$4,0)))+SUMPRODUCT((Inputs!$E$5:$E$190=$B29)*Inputs!$F$5:$F$190*(((Inputs!$G$5:$G$190="moeda")+(Inputs!$G$5:$G$190="acoes"))*Inputs!$B$1+((Inputs!$G$5:$G$190&lt;&gt;"moeda")*(Inputs!$G$5:$G$190&lt;&gt;"acoes")))*INDEX(Inputs!$K$5:$AJ$190,0,MATCH(AJ$2,Inputs!$K$4:$AJ$4,0)))))</f>
        <v>287.59921562</v>
      </c>
      <c r="AK29" s="6">
        <f>IF(ISNA(MATCH(AK$2,Inputs!$K$4:$AJ$4,0)),NA(),IF(SUMPRODUCT((Inputs!$A$5:$A$190=$B29)*ISNUMBER(INDEX(Inputs!$K$5:$AJ$190,0,MATCH(AK$2,Inputs!$K$4:$AJ$4,0))))+SUMPRODUCT((Inputs!$C$5:$C$190=$B29)*ISNUMBER(INDEX(Inputs!$K$5:$AJ$190,0,MATCH(AK$2,Inputs!$K$4:$AJ$4,0))))+SUMPRODUCT((Inputs!$E$5:$E$190=$B29)*ISNUMBER(INDEX(Inputs!$K$5:$AJ$190,0,MATCH(AK$2,Inputs!$K$4:$AJ$4,0))))=0,NA(),SUMPRODUCT((Inputs!$A$5:$A$190=$B29)*Inputs!$B$5:$B$190*(((Inputs!$G$5:$G$190="moeda")+(Inputs!$G$5:$G$190="acoes"))*Inputs!$B$1+((Inputs!$G$5:$G$190&lt;&gt;"moeda")*(Inputs!$G$5:$G$190&lt;&gt;"acoes")))*INDEX(Inputs!$K$5:$AJ$190,0,MATCH(AK$2,Inputs!$K$4:$AJ$4,0)))+SUMPRODUCT((Inputs!$C$5:$C$190=$B29)*Inputs!$D$5:$D$190*(((Inputs!$G$5:$G$190="moeda")+(Inputs!$G$5:$G$190="acoes"))*Inputs!$B$1+((Inputs!$G$5:$G$190&lt;&gt;"moeda")*(Inputs!$G$5:$G$190&lt;&gt;"acoes")))*INDEX(Inputs!$K$5:$AJ$190,0,MATCH(AK$2,Inputs!$K$4:$AJ$4,0)))+SUMPRODUCT((Inputs!$E$5:$E$190=$B29)*Inputs!$F$5:$F$190*(((Inputs!$G$5:$G$190="moeda")+(Inputs!$G$5:$G$190="acoes"))*Inputs!$B$1+((Inputs!$G$5:$G$190&lt;&gt;"moeda")*(Inputs!$G$5:$G$190&lt;&gt;"acoes")))*INDEX(Inputs!$K$5:$AJ$190,0,MATCH(AK$2,Inputs!$K$4:$AJ$4,0)))))</f>
        <v>270.005696152076</v>
      </c>
      <c r="AL29" s="3">
        <f>AK29</f>
        <v>270.005696152076</v>
      </c>
    </row>
    <row r="30">
      <c r="B30" s="46" t="n">
        <v>25</v>
      </c>
      <c r="C30" s="26" t="inlineStr">
        <is>
          <t>Taxes payable</t>
        </is>
      </c>
      <c r="D30" s="6">
        <f>IF(ISNA(MATCH(D$2,Inputs!$K$4:$AJ$4,0)),NA(),IF(SUMPRODUCT((Inputs!$A$5:$A$190=$B30)*ISNUMBER(INDEX(Inputs!$K$5:$AJ$190,0,MATCH(D$2,Inputs!$K$4:$AJ$4,0))))+SUMPRODUCT((Inputs!$C$5:$C$190=$B30)*ISNUMBER(INDEX(Inputs!$K$5:$AJ$190,0,MATCH(D$2,Inputs!$K$4:$AJ$4,0))))+SUMPRODUCT((Inputs!$E$5:$E$190=$B30)*ISNUMBER(INDEX(Inputs!$K$5:$AJ$190,0,MATCH(D$2,Inputs!$K$4:$AJ$4,0))))=0,NA(),SUMPRODUCT((Inputs!$A$5:$A$190=$B30)*Inputs!$B$5:$B$190*(((Inputs!$G$5:$G$190="moeda")+(Inputs!$G$5:$G$190="acoes"))*Inputs!$B$1+((Inputs!$G$5:$G$190&lt;&gt;"moeda")*(Inputs!$G$5:$G$190&lt;&gt;"acoes")))*INDEX(Inputs!$K$5:$AJ$190,0,MATCH(D$2,Inputs!$K$4:$AJ$4,0)))+SUMPRODUCT((Inputs!$C$5:$C$190=$B30)*Inputs!$D$5:$D$190*(((Inputs!$G$5:$G$190="moeda")+(Inputs!$G$5:$G$190="acoes"))*Inputs!$B$1+((Inputs!$G$5:$G$190&lt;&gt;"moeda")*(Inputs!$G$5:$G$190&lt;&gt;"acoes")))*INDEX(Inputs!$K$5:$AJ$190,0,MATCH(D$2,Inputs!$K$4:$AJ$4,0)))+SUMPRODUCT((Inputs!$E$5:$E$190=$B30)*Inputs!$F$5:$F$190*(((Inputs!$G$5:$G$190="moeda")+(Inputs!$G$5:$G$190="acoes"))*Inputs!$B$1+((Inputs!$G$5:$G$190&lt;&gt;"moeda")*(Inputs!$G$5:$G$190&lt;&gt;"acoes")))*INDEX(Inputs!$K$5:$AJ$190,0,MATCH(D$2,Inputs!$K$4:$AJ$4,0)))))</f>
        <v>189.8675864616</v>
      </c>
      <c r="E30" s="6">
        <f>IF(ISNA(MATCH(E$2,Inputs!$K$4:$AJ$4,0)),NA(),IF(SUMPRODUCT((Inputs!$A$5:$A$190=$B30)*ISNUMBER(INDEX(Inputs!$K$5:$AJ$190,0,MATCH(E$2,Inputs!$K$4:$AJ$4,0))))+SUMPRODUCT((Inputs!$C$5:$C$190=$B30)*ISNUMBER(INDEX(Inputs!$K$5:$AJ$190,0,MATCH(E$2,Inputs!$K$4:$AJ$4,0))))+SUMPRODUCT((Inputs!$E$5:$E$190=$B30)*ISNUMBER(INDEX(Inputs!$K$5:$AJ$190,0,MATCH(E$2,Inputs!$K$4:$AJ$4,0))))=0,NA(),SUMPRODUCT((Inputs!$A$5:$A$190=$B30)*Inputs!$B$5:$B$190*(((Inputs!$G$5:$G$190="moeda")+(Inputs!$G$5:$G$190="acoes"))*Inputs!$B$1+((Inputs!$G$5:$G$190&lt;&gt;"moeda")*(Inputs!$G$5:$G$190&lt;&gt;"acoes")))*INDEX(Inputs!$K$5:$AJ$190,0,MATCH(E$2,Inputs!$K$4:$AJ$4,0)))+SUMPRODUCT((Inputs!$C$5:$C$190=$B30)*Inputs!$D$5:$D$190*(((Inputs!$G$5:$G$190="moeda")+(Inputs!$G$5:$G$190="acoes"))*Inputs!$B$1+((Inputs!$G$5:$G$190&lt;&gt;"moeda")*(Inputs!$G$5:$G$190&lt;&gt;"acoes")))*INDEX(Inputs!$K$5:$AJ$190,0,MATCH(E$2,Inputs!$K$4:$AJ$4,0)))+SUMPRODUCT((Inputs!$E$5:$E$190=$B30)*Inputs!$F$5:$F$190*(((Inputs!$G$5:$G$190="moeda")+(Inputs!$G$5:$G$190="acoes"))*Inputs!$B$1+((Inputs!$G$5:$G$190&lt;&gt;"moeda")*(Inputs!$G$5:$G$190&lt;&gt;"acoes")))*INDEX(Inputs!$K$5:$AJ$190,0,MATCH(E$2,Inputs!$K$4:$AJ$4,0)))))</f>
        <v>189.592398677</v>
      </c>
      <c r="F30" s="6">
        <f>IF(ISNA(MATCH(F$2,Inputs!$K$4:$AJ$4,0)),NA(),IF(SUMPRODUCT((Inputs!$A$5:$A$190=$B30)*ISNUMBER(INDEX(Inputs!$K$5:$AJ$190,0,MATCH(F$2,Inputs!$K$4:$AJ$4,0))))+SUMPRODUCT((Inputs!$C$5:$C$190=$B30)*ISNUMBER(INDEX(Inputs!$K$5:$AJ$190,0,MATCH(F$2,Inputs!$K$4:$AJ$4,0))))+SUMPRODUCT((Inputs!$E$5:$E$190=$B30)*ISNUMBER(INDEX(Inputs!$K$5:$AJ$190,0,MATCH(F$2,Inputs!$K$4:$AJ$4,0))))=0,NA(),SUMPRODUCT((Inputs!$A$5:$A$190=$B30)*Inputs!$B$5:$B$190*(((Inputs!$G$5:$G$190="moeda")+(Inputs!$G$5:$G$190="acoes"))*Inputs!$B$1+((Inputs!$G$5:$G$190&lt;&gt;"moeda")*(Inputs!$G$5:$G$190&lt;&gt;"acoes")))*INDEX(Inputs!$K$5:$AJ$190,0,MATCH(F$2,Inputs!$K$4:$AJ$4,0)))+SUMPRODUCT((Inputs!$C$5:$C$190=$B30)*Inputs!$D$5:$D$190*(((Inputs!$G$5:$G$190="moeda")+(Inputs!$G$5:$G$190="acoes"))*Inputs!$B$1+((Inputs!$G$5:$G$190&lt;&gt;"moeda")*(Inputs!$G$5:$G$190&lt;&gt;"acoes")))*INDEX(Inputs!$K$5:$AJ$190,0,MATCH(F$2,Inputs!$K$4:$AJ$4,0)))+SUMPRODUCT((Inputs!$E$5:$E$190=$B30)*Inputs!$F$5:$F$190*(((Inputs!$G$5:$G$190="moeda")+(Inputs!$G$5:$G$190="acoes"))*Inputs!$B$1+((Inputs!$G$5:$G$190&lt;&gt;"moeda")*(Inputs!$G$5:$G$190&lt;&gt;"acoes")))*INDEX(Inputs!$K$5:$AJ$190,0,MATCH(F$2,Inputs!$K$4:$AJ$4,0)))))</f>
        <v>205.688</v>
      </c>
      <c r="G30" s="6">
        <f>IF(ISNA(MATCH(G$2,Inputs!$K$4:$AJ$4,0)),NA(),IF(SUMPRODUCT((Inputs!$A$5:$A$190=$B30)*ISNUMBER(INDEX(Inputs!$K$5:$AJ$190,0,MATCH(G$2,Inputs!$K$4:$AJ$4,0))))+SUMPRODUCT((Inputs!$C$5:$C$190=$B30)*ISNUMBER(INDEX(Inputs!$K$5:$AJ$190,0,MATCH(G$2,Inputs!$K$4:$AJ$4,0))))+SUMPRODUCT((Inputs!$E$5:$E$190=$B30)*ISNUMBER(INDEX(Inputs!$K$5:$AJ$190,0,MATCH(G$2,Inputs!$K$4:$AJ$4,0))))=0,NA(),SUMPRODUCT((Inputs!$A$5:$A$190=$B30)*Inputs!$B$5:$B$190*(((Inputs!$G$5:$G$190="moeda")+(Inputs!$G$5:$G$190="acoes"))*Inputs!$B$1+((Inputs!$G$5:$G$190&lt;&gt;"moeda")*(Inputs!$G$5:$G$190&lt;&gt;"acoes")))*INDEX(Inputs!$K$5:$AJ$190,0,MATCH(G$2,Inputs!$K$4:$AJ$4,0)))+SUMPRODUCT((Inputs!$C$5:$C$190=$B30)*Inputs!$D$5:$D$190*(((Inputs!$G$5:$G$190="moeda")+(Inputs!$G$5:$G$190="acoes"))*Inputs!$B$1+((Inputs!$G$5:$G$190&lt;&gt;"moeda")*(Inputs!$G$5:$G$190&lt;&gt;"acoes")))*INDEX(Inputs!$K$5:$AJ$190,0,MATCH(G$2,Inputs!$K$4:$AJ$4,0)))+SUMPRODUCT((Inputs!$E$5:$E$190=$B30)*Inputs!$F$5:$F$190*(((Inputs!$G$5:$G$190="moeda")+(Inputs!$G$5:$G$190="acoes"))*Inputs!$B$1+((Inputs!$G$5:$G$190&lt;&gt;"moeda")*(Inputs!$G$5:$G$190&lt;&gt;"acoes")))*INDEX(Inputs!$K$5:$AJ$190,0,MATCH(G$2,Inputs!$K$4:$AJ$4,0)))))</f>
        <v>266.078</v>
      </c>
      <c r="H30" s="3">
        <f>G30</f>
        <v>266.078</v>
      </c>
      <c r="I30" s="6">
        <f>IF(ISNA(MATCH(I$2,Inputs!$K$4:$AJ$4,0)),NA(),IF(SUMPRODUCT((Inputs!$A$5:$A$190=$B30)*ISNUMBER(INDEX(Inputs!$K$5:$AJ$190,0,MATCH(I$2,Inputs!$K$4:$AJ$4,0))))+SUMPRODUCT((Inputs!$C$5:$C$190=$B30)*ISNUMBER(INDEX(Inputs!$K$5:$AJ$190,0,MATCH(I$2,Inputs!$K$4:$AJ$4,0))))+SUMPRODUCT((Inputs!$E$5:$E$190=$B30)*ISNUMBER(INDEX(Inputs!$K$5:$AJ$190,0,MATCH(I$2,Inputs!$K$4:$AJ$4,0))))=0,NA(),SUMPRODUCT((Inputs!$A$5:$A$190=$B30)*Inputs!$B$5:$B$190*(((Inputs!$G$5:$G$190="moeda")+(Inputs!$G$5:$G$190="acoes"))*Inputs!$B$1+((Inputs!$G$5:$G$190&lt;&gt;"moeda")*(Inputs!$G$5:$G$190&lt;&gt;"acoes")))*INDEX(Inputs!$K$5:$AJ$190,0,MATCH(I$2,Inputs!$K$4:$AJ$4,0)))+SUMPRODUCT((Inputs!$C$5:$C$190=$B30)*Inputs!$D$5:$D$190*(((Inputs!$G$5:$G$190="moeda")+(Inputs!$G$5:$G$190="acoes"))*Inputs!$B$1+((Inputs!$G$5:$G$190&lt;&gt;"moeda")*(Inputs!$G$5:$G$190&lt;&gt;"acoes")))*INDEX(Inputs!$K$5:$AJ$190,0,MATCH(I$2,Inputs!$K$4:$AJ$4,0)))+SUMPRODUCT((Inputs!$E$5:$E$190=$B30)*Inputs!$F$5:$F$190*(((Inputs!$G$5:$G$190="moeda")+(Inputs!$G$5:$G$190="acoes"))*Inputs!$B$1+((Inputs!$G$5:$G$190&lt;&gt;"moeda")*(Inputs!$G$5:$G$190&lt;&gt;"acoes")))*INDEX(Inputs!$K$5:$AJ$190,0,MATCH(I$2,Inputs!$K$4:$AJ$4,0)))))</f>
        <v>223.781</v>
      </c>
      <c r="J30" s="6">
        <f>IF(ISNA(MATCH(J$2,Inputs!$K$4:$AJ$4,0)),NA(),IF(SUMPRODUCT((Inputs!$A$5:$A$190=$B30)*ISNUMBER(INDEX(Inputs!$K$5:$AJ$190,0,MATCH(J$2,Inputs!$K$4:$AJ$4,0))))+SUMPRODUCT((Inputs!$C$5:$C$190=$B30)*ISNUMBER(INDEX(Inputs!$K$5:$AJ$190,0,MATCH(J$2,Inputs!$K$4:$AJ$4,0))))+SUMPRODUCT((Inputs!$E$5:$E$190=$B30)*ISNUMBER(INDEX(Inputs!$K$5:$AJ$190,0,MATCH(J$2,Inputs!$K$4:$AJ$4,0))))=0,NA(),SUMPRODUCT((Inputs!$A$5:$A$190=$B30)*Inputs!$B$5:$B$190*(((Inputs!$G$5:$G$190="moeda")+(Inputs!$G$5:$G$190="acoes"))*Inputs!$B$1+((Inputs!$G$5:$G$190&lt;&gt;"moeda")*(Inputs!$G$5:$G$190&lt;&gt;"acoes")))*INDEX(Inputs!$K$5:$AJ$190,0,MATCH(J$2,Inputs!$K$4:$AJ$4,0)))+SUMPRODUCT((Inputs!$C$5:$C$190=$B30)*Inputs!$D$5:$D$190*(((Inputs!$G$5:$G$190="moeda")+(Inputs!$G$5:$G$190="acoes"))*Inputs!$B$1+((Inputs!$G$5:$G$190&lt;&gt;"moeda")*(Inputs!$G$5:$G$190&lt;&gt;"acoes")))*INDEX(Inputs!$K$5:$AJ$190,0,MATCH(J$2,Inputs!$K$4:$AJ$4,0)))+SUMPRODUCT((Inputs!$E$5:$E$190=$B30)*Inputs!$F$5:$F$190*(((Inputs!$G$5:$G$190="moeda")+(Inputs!$G$5:$G$190="acoes"))*Inputs!$B$1+((Inputs!$G$5:$G$190&lt;&gt;"moeda")*(Inputs!$G$5:$G$190&lt;&gt;"acoes")))*INDEX(Inputs!$K$5:$AJ$190,0,MATCH(J$2,Inputs!$K$4:$AJ$4,0)))))</f>
        <v>305.736</v>
      </c>
      <c r="K30" s="6">
        <f>IF(ISNA(MATCH(K$2,Inputs!$K$4:$AJ$4,0)),NA(),IF(SUMPRODUCT((Inputs!$A$5:$A$190=$B30)*ISNUMBER(INDEX(Inputs!$K$5:$AJ$190,0,MATCH(K$2,Inputs!$K$4:$AJ$4,0))))+SUMPRODUCT((Inputs!$C$5:$C$190=$B30)*ISNUMBER(INDEX(Inputs!$K$5:$AJ$190,0,MATCH(K$2,Inputs!$K$4:$AJ$4,0))))+SUMPRODUCT((Inputs!$E$5:$E$190=$B30)*ISNUMBER(INDEX(Inputs!$K$5:$AJ$190,0,MATCH(K$2,Inputs!$K$4:$AJ$4,0))))=0,NA(),SUMPRODUCT((Inputs!$A$5:$A$190=$B30)*Inputs!$B$5:$B$190*(((Inputs!$G$5:$G$190="moeda")+(Inputs!$G$5:$G$190="acoes"))*Inputs!$B$1+((Inputs!$G$5:$G$190&lt;&gt;"moeda")*(Inputs!$G$5:$G$190&lt;&gt;"acoes")))*INDEX(Inputs!$K$5:$AJ$190,0,MATCH(K$2,Inputs!$K$4:$AJ$4,0)))+SUMPRODUCT((Inputs!$C$5:$C$190=$B30)*Inputs!$D$5:$D$190*(((Inputs!$G$5:$G$190="moeda")+(Inputs!$G$5:$G$190="acoes"))*Inputs!$B$1+((Inputs!$G$5:$G$190&lt;&gt;"moeda")*(Inputs!$G$5:$G$190&lt;&gt;"acoes")))*INDEX(Inputs!$K$5:$AJ$190,0,MATCH(K$2,Inputs!$K$4:$AJ$4,0)))+SUMPRODUCT((Inputs!$E$5:$E$190=$B30)*Inputs!$F$5:$F$190*(((Inputs!$G$5:$G$190="moeda")+(Inputs!$G$5:$G$190="acoes"))*Inputs!$B$1+((Inputs!$G$5:$G$190&lt;&gt;"moeda")*(Inputs!$G$5:$G$190&lt;&gt;"acoes")))*INDEX(Inputs!$K$5:$AJ$190,0,MATCH(K$2,Inputs!$K$4:$AJ$4,0)))))</f>
        <v>355.365</v>
      </c>
      <c r="L30" s="6">
        <f>IF(ISNA(MATCH(L$2,Inputs!$K$4:$AJ$4,0)),NA(),IF(SUMPRODUCT((Inputs!$A$5:$A$190=$B30)*ISNUMBER(INDEX(Inputs!$K$5:$AJ$190,0,MATCH(L$2,Inputs!$K$4:$AJ$4,0))))+SUMPRODUCT((Inputs!$C$5:$C$190=$B30)*ISNUMBER(INDEX(Inputs!$K$5:$AJ$190,0,MATCH(L$2,Inputs!$K$4:$AJ$4,0))))+SUMPRODUCT((Inputs!$E$5:$E$190=$B30)*ISNUMBER(INDEX(Inputs!$K$5:$AJ$190,0,MATCH(L$2,Inputs!$K$4:$AJ$4,0))))=0,NA(),SUMPRODUCT((Inputs!$A$5:$A$190=$B30)*Inputs!$B$5:$B$190*(((Inputs!$G$5:$G$190="moeda")+(Inputs!$G$5:$G$190="acoes"))*Inputs!$B$1+((Inputs!$G$5:$G$190&lt;&gt;"moeda")*(Inputs!$G$5:$G$190&lt;&gt;"acoes")))*INDEX(Inputs!$K$5:$AJ$190,0,MATCH(L$2,Inputs!$K$4:$AJ$4,0)))+SUMPRODUCT((Inputs!$C$5:$C$190=$B30)*Inputs!$D$5:$D$190*(((Inputs!$G$5:$G$190="moeda")+(Inputs!$G$5:$G$190="acoes"))*Inputs!$B$1+((Inputs!$G$5:$G$190&lt;&gt;"moeda")*(Inputs!$G$5:$G$190&lt;&gt;"acoes")))*INDEX(Inputs!$K$5:$AJ$190,0,MATCH(L$2,Inputs!$K$4:$AJ$4,0)))+SUMPRODUCT((Inputs!$E$5:$E$190=$B30)*Inputs!$F$5:$F$190*(((Inputs!$G$5:$G$190="moeda")+(Inputs!$G$5:$G$190="acoes"))*Inputs!$B$1+((Inputs!$G$5:$G$190&lt;&gt;"moeda")*(Inputs!$G$5:$G$190&lt;&gt;"acoes")))*INDEX(Inputs!$K$5:$AJ$190,0,MATCH(L$2,Inputs!$K$4:$AJ$4,0)))))</f>
        <v>485.147</v>
      </c>
      <c r="M30" s="3">
        <f>L30</f>
        <v>485.147</v>
      </c>
      <c r="N30" s="6">
        <f>IF(ISNA(MATCH(N$2,Inputs!$K$4:$AJ$4,0)),NA(),IF(SUMPRODUCT((Inputs!$A$5:$A$190=$B30)*ISNUMBER(INDEX(Inputs!$K$5:$AJ$190,0,MATCH(N$2,Inputs!$K$4:$AJ$4,0))))+SUMPRODUCT((Inputs!$C$5:$C$190=$B30)*ISNUMBER(INDEX(Inputs!$K$5:$AJ$190,0,MATCH(N$2,Inputs!$K$4:$AJ$4,0))))+SUMPRODUCT((Inputs!$E$5:$E$190=$B30)*ISNUMBER(INDEX(Inputs!$K$5:$AJ$190,0,MATCH(N$2,Inputs!$K$4:$AJ$4,0))))=0,NA(),SUMPRODUCT((Inputs!$A$5:$A$190=$B30)*Inputs!$B$5:$B$190*(((Inputs!$G$5:$G$190="moeda")+(Inputs!$G$5:$G$190="acoes"))*Inputs!$B$1+((Inputs!$G$5:$G$190&lt;&gt;"moeda")*(Inputs!$G$5:$G$190&lt;&gt;"acoes")))*INDEX(Inputs!$K$5:$AJ$190,0,MATCH(N$2,Inputs!$K$4:$AJ$4,0)))+SUMPRODUCT((Inputs!$C$5:$C$190=$B30)*Inputs!$D$5:$D$190*(((Inputs!$G$5:$G$190="moeda")+(Inputs!$G$5:$G$190="acoes"))*Inputs!$B$1+((Inputs!$G$5:$G$190&lt;&gt;"moeda")*(Inputs!$G$5:$G$190&lt;&gt;"acoes")))*INDEX(Inputs!$K$5:$AJ$190,0,MATCH(N$2,Inputs!$K$4:$AJ$4,0)))+SUMPRODUCT((Inputs!$E$5:$E$190=$B30)*Inputs!$F$5:$F$190*(((Inputs!$G$5:$G$190="moeda")+(Inputs!$G$5:$G$190="acoes"))*Inputs!$B$1+((Inputs!$G$5:$G$190&lt;&gt;"moeda")*(Inputs!$G$5:$G$190&lt;&gt;"acoes")))*INDEX(Inputs!$K$5:$AJ$190,0,MATCH(N$2,Inputs!$K$4:$AJ$4,0)))))</f>
        <v>347.781362932626</v>
      </c>
      <c r="O30" s="6">
        <f>IF(ISNA(MATCH(O$2,Inputs!$K$4:$AJ$4,0)),NA(),IF(SUMPRODUCT((Inputs!$A$5:$A$190=$B30)*ISNUMBER(INDEX(Inputs!$K$5:$AJ$190,0,MATCH(O$2,Inputs!$K$4:$AJ$4,0))))+SUMPRODUCT((Inputs!$C$5:$C$190=$B30)*ISNUMBER(INDEX(Inputs!$K$5:$AJ$190,0,MATCH(O$2,Inputs!$K$4:$AJ$4,0))))+SUMPRODUCT((Inputs!$E$5:$E$190=$B30)*ISNUMBER(INDEX(Inputs!$K$5:$AJ$190,0,MATCH(O$2,Inputs!$K$4:$AJ$4,0))))=0,NA(),SUMPRODUCT((Inputs!$A$5:$A$190=$B30)*Inputs!$B$5:$B$190*(((Inputs!$G$5:$G$190="moeda")+(Inputs!$G$5:$G$190="acoes"))*Inputs!$B$1+((Inputs!$G$5:$G$190&lt;&gt;"moeda")*(Inputs!$G$5:$G$190&lt;&gt;"acoes")))*INDEX(Inputs!$K$5:$AJ$190,0,MATCH(O$2,Inputs!$K$4:$AJ$4,0)))+SUMPRODUCT((Inputs!$C$5:$C$190=$B30)*Inputs!$D$5:$D$190*(((Inputs!$G$5:$G$190="moeda")+(Inputs!$G$5:$G$190="acoes"))*Inputs!$B$1+((Inputs!$G$5:$G$190&lt;&gt;"moeda")*(Inputs!$G$5:$G$190&lt;&gt;"acoes")))*INDEX(Inputs!$K$5:$AJ$190,0,MATCH(O$2,Inputs!$K$4:$AJ$4,0)))+SUMPRODUCT((Inputs!$E$5:$E$190=$B30)*Inputs!$F$5:$F$190*(((Inputs!$G$5:$G$190="moeda")+(Inputs!$G$5:$G$190="acoes"))*Inputs!$B$1+((Inputs!$G$5:$G$190&lt;&gt;"moeda")*(Inputs!$G$5:$G$190&lt;&gt;"acoes")))*INDEX(Inputs!$K$5:$AJ$190,0,MATCH(O$2,Inputs!$K$4:$AJ$4,0)))))</f>
        <v>383.019494648299</v>
      </c>
      <c r="P30" s="6">
        <f>IF(ISNA(MATCH(P$2,Inputs!$K$4:$AJ$4,0)),NA(),IF(SUMPRODUCT((Inputs!$A$5:$A$190=$B30)*ISNUMBER(INDEX(Inputs!$K$5:$AJ$190,0,MATCH(P$2,Inputs!$K$4:$AJ$4,0))))+SUMPRODUCT((Inputs!$C$5:$C$190=$B30)*ISNUMBER(INDEX(Inputs!$K$5:$AJ$190,0,MATCH(P$2,Inputs!$K$4:$AJ$4,0))))+SUMPRODUCT((Inputs!$E$5:$E$190=$B30)*ISNUMBER(INDEX(Inputs!$K$5:$AJ$190,0,MATCH(P$2,Inputs!$K$4:$AJ$4,0))))=0,NA(),SUMPRODUCT((Inputs!$A$5:$A$190=$B30)*Inputs!$B$5:$B$190*(((Inputs!$G$5:$G$190="moeda")+(Inputs!$G$5:$G$190="acoes"))*Inputs!$B$1+((Inputs!$G$5:$G$190&lt;&gt;"moeda")*(Inputs!$G$5:$G$190&lt;&gt;"acoes")))*INDEX(Inputs!$K$5:$AJ$190,0,MATCH(P$2,Inputs!$K$4:$AJ$4,0)))+SUMPRODUCT((Inputs!$C$5:$C$190=$B30)*Inputs!$D$5:$D$190*(((Inputs!$G$5:$G$190="moeda")+(Inputs!$G$5:$G$190="acoes"))*Inputs!$B$1+((Inputs!$G$5:$G$190&lt;&gt;"moeda")*(Inputs!$G$5:$G$190&lt;&gt;"acoes")))*INDEX(Inputs!$K$5:$AJ$190,0,MATCH(P$2,Inputs!$K$4:$AJ$4,0)))+SUMPRODUCT((Inputs!$E$5:$E$190=$B30)*Inputs!$F$5:$F$190*(((Inputs!$G$5:$G$190="moeda")+(Inputs!$G$5:$G$190="acoes"))*Inputs!$B$1+((Inputs!$G$5:$G$190&lt;&gt;"moeda")*(Inputs!$G$5:$G$190&lt;&gt;"acoes")))*INDEX(Inputs!$K$5:$AJ$190,0,MATCH(P$2,Inputs!$K$4:$AJ$4,0)))))</f>
        <v>422.791813105795</v>
      </c>
      <c r="Q30" s="6">
        <f>IF(ISNA(MATCH(Q$2,Inputs!$K$4:$AJ$4,0)),NA(),IF(SUMPRODUCT((Inputs!$A$5:$A$190=$B30)*ISNUMBER(INDEX(Inputs!$K$5:$AJ$190,0,MATCH(Q$2,Inputs!$K$4:$AJ$4,0))))+SUMPRODUCT((Inputs!$C$5:$C$190=$B30)*ISNUMBER(INDEX(Inputs!$K$5:$AJ$190,0,MATCH(Q$2,Inputs!$K$4:$AJ$4,0))))+SUMPRODUCT((Inputs!$E$5:$E$190=$B30)*ISNUMBER(INDEX(Inputs!$K$5:$AJ$190,0,MATCH(Q$2,Inputs!$K$4:$AJ$4,0))))=0,NA(),SUMPRODUCT((Inputs!$A$5:$A$190=$B30)*Inputs!$B$5:$B$190*(((Inputs!$G$5:$G$190="moeda")+(Inputs!$G$5:$G$190="acoes"))*Inputs!$B$1+((Inputs!$G$5:$G$190&lt;&gt;"moeda")*(Inputs!$G$5:$G$190&lt;&gt;"acoes")))*INDEX(Inputs!$K$5:$AJ$190,0,MATCH(Q$2,Inputs!$K$4:$AJ$4,0)))+SUMPRODUCT((Inputs!$C$5:$C$190=$B30)*Inputs!$D$5:$D$190*(((Inputs!$G$5:$G$190="moeda")+(Inputs!$G$5:$G$190="acoes"))*Inputs!$B$1+((Inputs!$G$5:$G$190&lt;&gt;"moeda")*(Inputs!$G$5:$G$190&lt;&gt;"acoes")))*INDEX(Inputs!$K$5:$AJ$190,0,MATCH(Q$2,Inputs!$K$4:$AJ$4,0)))+SUMPRODUCT((Inputs!$E$5:$E$190=$B30)*Inputs!$F$5:$F$190*(((Inputs!$G$5:$G$190="moeda")+(Inputs!$G$5:$G$190="acoes"))*Inputs!$B$1+((Inputs!$G$5:$G$190&lt;&gt;"moeda")*(Inputs!$G$5:$G$190&lt;&gt;"acoes")))*INDEX(Inputs!$K$5:$AJ$190,0,MATCH(Q$2,Inputs!$K$4:$AJ$4,0)))))</f>
        <v>500.79917582256</v>
      </c>
      <c r="R30" s="3">
        <f>Q30</f>
        <v>500.79917582256</v>
      </c>
      <c r="S30" s="6">
        <f>IF(ISNA(MATCH(S$2,Inputs!$K$4:$AJ$4,0)),NA(),IF(SUMPRODUCT((Inputs!$A$5:$A$190=$B30)*ISNUMBER(INDEX(Inputs!$K$5:$AJ$190,0,MATCH(S$2,Inputs!$K$4:$AJ$4,0))))+SUMPRODUCT((Inputs!$C$5:$C$190=$B30)*ISNUMBER(INDEX(Inputs!$K$5:$AJ$190,0,MATCH(S$2,Inputs!$K$4:$AJ$4,0))))+SUMPRODUCT((Inputs!$E$5:$E$190=$B30)*ISNUMBER(INDEX(Inputs!$K$5:$AJ$190,0,MATCH(S$2,Inputs!$K$4:$AJ$4,0))))=0,NA(),SUMPRODUCT((Inputs!$A$5:$A$190=$B30)*Inputs!$B$5:$B$190*(((Inputs!$G$5:$G$190="moeda")+(Inputs!$G$5:$G$190="acoes"))*Inputs!$B$1+((Inputs!$G$5:$G$190&lt;&gt;"moeda")*(Inputs!$G$5:$G$190&lt;&gt;"acoes")))*INDEX(Inputs!$K$5:$AJ$190,0,MATCH(S$2,Inputs!$K$4:$AJ$4,0)))+SUMPRODUCT((Inputs!$C$5:$C$190=$B30)*Inputs!$D$5:$D$190*(((Inputs!$G$5:$G$190="moeda")+(Inputs!$G$5:$G$190="acoes"))*Inputs!$B$1+((Inputs!$G$5:$G$190&lt;&gt;"moeda")*(Inputs!$G$5:$G$190&lt;&gt;"acoes")))*INDEX(Inputs!$K$5:$AJ$190,0,MATCH(S$2,Inputs!$K$4:$AJ$4,0)))+SUMPRODUCT((Inputs!$E$5:$E$190=$B30)*Inputs!$F$5:$F$190*(((Inputs!$G$5:$G$190="moeda")+(Inputs!$G$5:$G$190="acoes"))*Inputs!$B$1+((Inputs!$G$5:$G$190&lt;&gt;"moeda")*(Inputs!$G$5:$G$190&lt;&gt;"acoes")))*INDEX(Inputs!$K$5:$AJ$190,0,MATCH(S$2,Inputs!$K$4:$AJ$4,0)))))</f>
        <v>470.736237322339</v>
      </c>
      <c r="T30" s="6">
        <f>IF(ISNA(MATCH(T$2,Inputs!$K$4:$AJ$4,0)),NA(),IF(SUMPRODUCT((Inputs!$A$5:$A$190=$B30)*ISNUMBER(INDEX(Inputs!$K$5:$AJ$190,0,MATCH(T$2,Inputs!$K$4:$AJ$4,0))))+SUMPRODUCT((Inputs!$C$5:$C$190=$B30)*ISNUMBER(INDEX(Inputs!$K$5:$AJ$190,0,MATCH(T$2,Inputs!$K$4:$AJ$4,0))))+SUMPRODUCT((Inputs!$E$5:$E$190=$B30)*ISNUMBER(INDEX(Inputs!$K$5:$AJ$190,0,MATCH(T$2,Inputs!$K$4:$AJ$4,0))))=0,NA(),SUMPRODUCT((Inputs!$A$5:$A$190=$B30)*Inputs!$B$5:$B$190*(((Inputs!$G$5:$G$190="moeda")+(Inputs!$G$5:$G$190="acoes"))*Inputs!$B$1+((Inputs!$G$5:$G$190&lt;&gt;"moeda")*(Inputs!$G$5:$G$190&lt;&gt;"acoes")))*INDEX(Inputs!$K$5:$AJ$190,0,MATCH(T$2,Inputs!$K$4:$AJ$4,0)))+SUMPRODUCT((Inputs!$C$5:$C$190=$B30)*Inputs!$D$5:$D$190*(((Inputs!$G$5:$G$190="moeda")+(Inputs!$G$5:$G$190="acoes"))*Inputs!$B$1+((Inputs!$G$5:$G$190&lt;&gt;"moeda")*(Inputs!$G$5:$G$190&lt;&gt;"acoes")))*INDEX(Inputs!$K$5:$AJ$190,0,MATCH(T$2,Inputs!$K$4:$AJ$4,0)))+SUMPRODUCT((Inputs!$E$5:$E$190=$B30)*Inputs!$F$5:$F$190*(((Inputs!$G$5:$G$190="moeda")+(Inputs!$G$5:$G$190="acoes"))*Inputs!$B$1+((Inputs!$G$5:$G$190&lt;&gt;"moeda")*(Inputs!$G$5:$G$190&lt;&gt;"acoes")))*INDEX(Inputs!$K$5:$AJ$190,0,MATCH(T$2,Inputs!$K$4:$AJ$4,0)))))</f>
        <v>463.140924634149</v>
      </c>
      <c r="U30" s="6">
        <f>IF(ISNA(MATCH(U$2,Inputs!$K$4:$AJ$4,0)),NA(),IF(SUMPRODUCT((Inputs!$A$5:$A$190=$B30)*ISNUMBER(INDEX(Inputs!$K$5:$AJ$190,0,MATCH(U$2,Inputs!$K$4:$AJ$4,0))))+SUMPRODUCT((Inputs!$C$5:$C$190=$B30)*ISNUMBER(INDEX(Inputs!$K$5:$AJ$190,0,MATCH(U$2,Inputs!$K$4:$AJ$4,0))))+SUMPRODUCT((Inputs!$E$5:$E$190=$B30)*ISNUMBER(INDEX(Inputs!$K$5:$AJ$190,0,MATCH(U$2,Inputs!$K$4:$AJ$4,0))))=0,NA(),SUMPRODUCT((Inputs!$A$5:$A$190=$B30)*Inputs!$B$5:$B$190*(((Inputs!$G$5:$G$190="moeda")+(Inputs!$G$5:$G$190="acoes"))*Inputs!$B$1+((Inputs!$G$5:$G$190&lt;&gt;"moeda")*(Inputs!$G$5:$G$190&lt;&gt;"acoes")))*INDEX(Inputs!$K$5:$AJ$190,0,MATCH(U$2,Inputs!$K$4:$AJ$4,0)))+SUMPRODUCT((Inputs!$C$5:$C$190=$B30)*Inputs!$D$5:$D$190*(((Inputs!$G$5:$G$190="moeda")+(Inputs!$G$5:$G$190="acoes"))*Inputs!$B$1+((Inputs!$G$5:$G$190&lt;&gt;"moeda")*(Inputs!$G$5:$G$190&lt;&gt;"acoes")))*INDEX(Inputs!$K$5:$AJ$190,0,MATCH(U$2,Inputs!$K$4:$AJ$4,0)))+SUMPRODUCT((Inputs!$E$5:$E$190=$B30)*Inputs!$F$5:$F$190*(((Inputs!$G$5:$G$190="moeda")+(Inputs!$G$5:$G$190="acoes"))*Inputs!$B$1+((Inputs!$G$5:$G$190&lt;&gt;"moeda")*(Inputs!$G$5:$G$190&lt;&gt;"acoes")))*INDEX(Inputs!$K$5:$AJ$190,0,MATCH(U$2,Inputs!$K$4:$AJ$4,0)))))</f>
        <v>500.881818652557</v>
      </c>
      <c r="V30" s="6">
        <f>IF(ISNA(MATCH(V$2,Inputs!$K$4:$AJ$4,0)),NA(),IF(SUMPRODUCT((Inputs!$A$5:$A$190=$B30)*ISNUMBER(INDEX(Inputs!$K$5:$AJ$190,0,MATCH(V$2,Inputs!$K$4:$AJ$4,0))))+SUMPRODUCT((Inputs!$C$5:$C$190=$B30)*ISNUMBER(INDEX(Inputs!$K$5:$AJ$190,0,MATCH(V$2,Inputs!$K$4:$AJ$4,0))))+SUMPRODUCT((Inputs!$E$5:$E$190=$B30)*ISNUMBER(INDEX(Inputs!$K$5:$AJ$190,0,MATCH(V$2,Inputs!$K$4:$AJ$4,0))))=0,NA(),SUMPRODUCT((Inputs!$A$5:$A$190=$B30)*Inputs!$B$5:$B$190*(((Inputs!$G$5:$G$190="moeda")+(Inputs!$G$5:$G$190="acoes"))*Inputs!$B$1+((Inputs!$G$5:$G$190&lt;&gt;"moeda")*(Inputs!$G$5:$G$190&lt;&gt;"acoes")))*INDEX(Inputs!$K$5:$AJ$190,0,MATCH(V$2,Inputs!$K$4:$AJ$4,0)))+SUMPRODUCT((Inputs!$C$5:$C$190=$B30)*Inputs!$D$5:$D$190*(((Inputs!$G$5:$G$190="moeda")+(Inputs!$G$5:$G$190="acoes"))*Inputs!$B$1+((Inputs!$G$5:$G$190&lt;&gt;"moeda")*(Inputs!$G$5:$G$190&lt;&gt;"acoes")))*INDEX(Inputs!$K$5:$AJ$190,0,MATCH(V$2,Inputs!$K$4:$AJ$4,0)))+SUMPRODUCT((Inputs!$E$5:$E$190=$B30)*Inputs!$F$5:$F$190*(((Inputs!$G$5:$G$190="moeda")+(Inputs!$G$5:$G$190="acoes"))*Inputs!$B$1+((Inputs!$G$5:$G$190&lt;&gt;"moeda")*(Inputs!$G$5:$G$190&lt;&gt;"acoes")))*INDEX(Inputs!$K$5:$AJ$190,0,MATCH(V$2,Inputs!$K$4:$AJ$4,0)))))</f>
        <v>586.6794142</v>
      </c>
      <c r="W30" s="3">
        <f>V30</f>
        <v>586.6794142</v>
      </c>
      <c r="X30" s="6">
        <f>IF(ISNA(MATCH(X$2,Inputs!$K$4:$AJ$4,0)),NA(),IF(SUMPRODUCT((Inputs!$A$5:$A$190=$B30)*ISNUMBER(INDEX(Inputs!$K$5:$AJ$190,0,MATCH(X$2,Inputs!$K$4:$AJ$4,0))))+SUMPRODUCT((Inputs!$C$5:$C$190=$B30)*ISNUMBER(INDEX(Inputs!$K$5:$AJ$190,0,MATCH(X$2,Inputs!$K$4:$AJ$4,0))))+SUMPRODUCT((Inputs!$E$5:$E$190=$B30)*ISNUMBER(INDEX(Inputs!$K$5:$AJ$190,0,MATCH(X$2,Inputs!$K$4:$AJ$4,0))))=0,NA(),SUMPRODUCT((Inputs!$A$5:$A$190=$B30)*Inputs!$B$5:$B$190*(((Inputs!$G$5:$G$190="moeda")+(Inputs!$G$5:$G$190="acoes"))*Inputs!$B$1+((Inputs!$G$5:$G$190&lt;&gt;"moeda")*(Inputs!$G$5:$G$190&lt;&gt;"acoes")))*INDEX(Inputs!$K$5:$AJ$190,0,MATCH(X$2,Inputs!$K$4:$AJ$4,0)))+SUMPRODUCT((Inputs!$C$5:$C$190=$B30)*Inputs!$D$5:$D$190*(((Inputs!$G$5:$G$190="moeda")+(Inputs!$G$5:$G$190="acoes"))*Inputs!$B$1+((Inputs!$G$5:$G$190&lt;&gt;"moeda")*(Inputs!$G$5:$G$190&lt;&gt;"acoes")))*INDEX(Inputs!$K$5:$AJ$190,0,MATCH(X$2,Inputs!$K$4:$AJ$4,0)))+SUMPRODUCT((Inputs!$E$5:$E$190=$B30)*Inputs!$F$5:$F$190*(((Inputs!$G$5:$G$190="moeda")+(Inputs!$G$5:$G$190="acoes"))*Inputs!$B$1+((Inputs!$G$5:$G$190&lt;&gt;"moeda")*(Inputs!$G$5:$G$190&lt;&gt;"acoes")))*INDEX(Inputs!$K$5:$AJ$190,0,MATCH(X$2,Inputs!$K$4:$AJ$4,0)))))</f>
        <v>505.71515779</v>
      </c>
      <c r="Y30" s="6">
        <f>IF(ISNA(MATCH(Y$2,Inputs!$K$4:$AJ$4,0)),NA(),IF(SUMPRODUCT((Inputs!$A$5:$A$190=$B30)*ISNUMBER(INDEX(Inputs!$K$5:$AJ$190,0,MATCH(Y$2,Inputs!$K$4:$AJ$4,0))))+SUMPRODUCT((Inputs!$C$5:$C$190=$B30)*ISNUMBER(INDEX(Inputs!$K$5:$AJ$190,0,MATCH(Y$2,Inputs!$K$4:$AJ$4,0))))+SUMPRODUCT((Inputs!$E$5:$E$190=$B30)*ISNUMBER(INDEX(Inputs!$K$5:$AJ$190,0,MATCH(Y$2,Inputs!$K$4:$AJ$4,0))))=0,NA(),SUMPRODUCT((Inputs!$A$5:$A$190=$B30)*Inputs!$B$5:$B$190*(((Inputs!$G$5:$G$190="moeda")+(Inputs!$G$5:$G$190="acoes"))*Inputs!$B$1+((Inputs!$G$5:$G$190&lt;&gt;"moeda")*(Inputs!$G$5:$G$190&lt;&gt;"acoes")))*INDEX(Inputs!$K$5:$AJ$190,0,MATCH(Y$2,Inputs!$K$4:$AJ$4,0)))+SUMPRODUCT((Inputs!$C$5:$C$190=$B30)*Inputs!$D$5:$D$190*(((Inputs!$G$5:$G$190="moeda")+(Inputs!$G$5:$G$190="acoes"))*Inputs!$B$1+((Inputs!$G$5:$G$190&lt;&gt;"moeda")*(Inputs!$G$5:$G$190&lt;&gt;"acoes")))*INDEX(Inputs!$K$5:$AJ$190,0,MATCH(Y$2,Inputs!$K$4:$AJ$4,0)))+SUMPRODUCT((Inputs!$E$5:$E$190=$B30)*Inputs!$F$5:$F$190*(((Inputs!$G$5:$G$190="moeda")+(Inputs!$G$5:$G$190="acoes"))*Inputs!$B$1+((Inputs!$G$5:$G$190&lt;&gt;"moeda")*(Inputs!$G$5:$G$190&lt;&gt;"acoes")))*INDEX(Inputs!$K$5:$AJ$190,0,MATCH(Y$2,Inputs!$K$4:$AJ$4,0)))))</f>
        <v>528.45623878</v>
      </c>
      <c r="Z30" s="6">
        <f>IF(ISNA(MATCH(Z$2,Inputs!$K$4:$AJ$4,0)),NA(),IF(SUMPRODUCT((Inputs!$A$5:$A$190=$B30)*ISNUMBER(INDEX(Inputs!$K$5:$AJ$190,0,MATCH(Z$2,Inputs!$K$4:$AJ$4,0))))+SUMPRODUCT((Inputs!$C$5:$C$190=$B30)*ISNUMBER(INDEX(Inputs!$K$5:$AJ$190,0,MATCH(Z$2,Inputs!$K$4:$AJ$4,0))))+SUMPRODUCT((Inputs!$E$5:$E$190=$B30)*ISNUMBER(INDEX(Inputs!$K$5:$AJ$190,0,MATCH(Z$2,Inputs!$K$4:$AJ$4,0))))=0,NA(),SUMPRODUCT((Inputs!$A$5:$A$190=$B30)*Inputs!$B$5:$B$190*(((Inputs!$G$5:$G$190="moeda")+(Inputs!$G$5:$G$190="acoes"))*Inputs!$B$1+((Inputs!$G$5:$G$190&lt;&gt;"moeda")*(Inputs!$G$5:$G$190&lt;&gt;"acoes")))*INDEX(Inputs!$K$5:$AJ$190,0,MATCH(Z$2,Inputs!$K$4:$AJ$4,0)))+SUMPRODUCT((Inputs!$C$5:$C$190=$B30)*Inputs!$D$5:$D$190*(((Inputs!$G$5:$G$190="moeda")+(Inputs!$G$5:$G$190="acoes"))*Inputs!$B$1+((Inputs!$G$5:$G$190&lt;&gt;"moeda")*(Inputs!$G$5:$G$190&lt;&gt;"acoes")))*INDEX(Inputs!$K$5:$AJ$190,0,MATCH(Z$2,Inputs!$K$4:$AJ$4,0)))+SUMPRODUCT((Inputs!$E$5:$E$190=$B30)*Inputs!$F$5:$F$190*(((Inputs!$G$5:$G$190="moeda")+(Inputs!$G$5:$G$190="acoes"))*Inputs!$B$1+((Inputs!$G$5:$G$190&lt;&gt;"moeda")*(Inputs!$G$5:$G$190&lt;&gt;"acoes")))*INDEX(Inputs!$K$5:$AJ$190,0,MATCH(Z$2,Inputs!$K$4:$AJ$4,0)))))</f>
        <v>537.31639851</v>
      </c>
      <c r="AA30" s="6">
        <f>IF(ISNA(MATCH(AA$2,Inputs!$K$4:$AJ$4,0)),NA(),IF(SUMPRODUCT((Inputs!$A$5:$A$190=$B30)*ISNUMBER(INDEX(Inputs!$K$5:$AJ$190,0,MATCH(AA$2,Inputs!$K$4:$AJ$4,0))))+SUMPRODUCT((Inputs!$C$5:$C$190=$B30)*ISNUMBER(INDEX(Inputs!$K$5:$AJ$190,0,MATCH(AA$2,Inputs!$K$4:$AJ$4,0))))+SUMPRODUCT((Inputs!$E$5:$E$190=$B30)*ISNUMBER(INDEX(Inputs!$K$5:$AJ$190,0,MATCH(AA$2,Inputs!$K$4:$AJ$4,0))))=0,NA(),SUMPRODUCT((Inputs!$A$5:$A$190=$B30)*Inputs!$B$5:$B$190*(((Inputs!$G$5:$G$190="moeda")+(Inputs!$G$5:$G$190="acoes"))*Inputs!$B$1+((Inputs!$G$5:$G$190&lt;&gt;"moeda")*(Inputs!$G$5:$G$190&lt;&gt;"acoes")))*INDEX(Inputs!$K$5:$AJ$190,0,MATCH(AA$2,Inputs!$K$4:$AJ$4,0)))+SUMPRODUCT((Inputs!$C$5:$C$190=$B30)*Inputs!$D$5:$D$190*(((Inputs!$G$5:$G$190="moeda")+(Inputs!$G$5:$G$190="acoes"))*Inputs!$B$1+((Inputs!$G$5:$G$190&lt;&gt;"moeda")*(Inputs!$G$5:$G$190&lt;&gt;"acoes")))*INDEX(Inputs!$K$5:$AJ$190,0,MATCH(AA$2,Inputs!$K$4:$AJ$4,0)))+SUMPRODUCT((Inputs!$E$5:$E$190=$B30)*Inputs!$F$5:$F$190*(((Inputs!$G$5:$G$190="moeda")+(Inputs!$G$5:$G$190="acoes"))*Inputs!$B$1+((Inputs!$G$5:$G$190&lt;&gt;"moeda")*(Inputs!$G$5:$G$190&lt;&gt;"acoes")))*INDEX(Inputs!$K$5:$AJ$190,0,MATCH(AA$2,Inputs!$K$4:$AJ$4,0)))))</f>
        <v>706.74798243</v>
      </c>
      <c r="AB30" s="3">
        <f>AA30</f>
        <v>706.74798243</v>
      </c>
      <c r="AC30" s="6">
        <f>IF(ISNA(MATCH(AC$2,Inputs!$K$4:$AJ$4,0)),NA(),IF(SUMPRODUCT((Inputs!$A$5:$A$190=$B30)*ISNUMBER(INDEX(Inputs!$K$5:$AJ$190,0,MATCH(AC$2,Inputs!$K$4:$AJ$4,0))))+SUMPRODUCT((Inputs!$C$5:$C$190=$B30)*ISNUMBER(INDEX(Inputs!$K$5:$AJ$190,0,MATCH(AC$2,Inputs!$K$4:$AJ$4,0))))+SUMPRODUCT((Inputs!$E$5:$E$190=$B30)*ISNUMBER(INDEX(Inputs!$K$5:$AJ$190,0,MATCH(AC$2,Inputs!$K$4:$AJ$4,0))))=0,NA(),SUMPRODUCT((Inputs!$A$5:$A$190=$B30)*Inputs!$B$5:$B$190*(((Inputs!$G$5:$G$190="moeda")+(Inputs!$G$5:$G$190="acoes"))*Inputs!$B$1+((Inputs!$G$5:$G$190&lt;&gt;"moeda")*(Inputs!$G$5:$G$190&lt;&gt;"acoes")))*INDEX(Inputs!$K$5:$AJ$190,0,MATCH(AC$2,Inputs!$K$4:$AJ$4,0)))+SUMPRODUCT((Inputs!$C$5:$C$190=$B30)*Inputs!$D$5:$D$190*(((Inputs!$G$5:$G$190="moeda")+(Inputs!$G$5:$G$190="acoes"))*Inputs!$B$1+((Inputs!$G$5:$G$190&lt;&gt;"moeda")*(Inputs!$G$5:$G$190&lt;&gt;"acoes")))*INDEX(Inputs!$K$5:$AJ$190,0,MATCH(AC$2,Inputs!$K$4:$AJ$4,0)))+SUMPRODUCT((Inputs!$E$5:$E$190=$B30)*Inputs!$F$5:$F$190*(((Inputs!$G$5:$G$190="moeda")+(Inputs!$G$5:$G$190="acoes"))*Inputs!$B$1+((Inputs!$G$5:$G$190&lt;&gt;"moeda")*(Inputs!$G$5:$G$190&lt;&gt;"acoes")))*INDEX(Inputs!$K$5:$AJ$190,0,MATCH(AC$2,Inputs!$K$4:$AJ$4,0)))))</f>
        <v>589.8947193</v>
      </c>
      <c r="AD30" s="6">
        <f>IF(ISNA(MATCH(AD$2,Inputs!$K$4:$AJ$4,0)),NA(),IF(SUMPRODUCT((Inputs!$A$5:$A$190=$B30)*ISNUMBER(INDEX(Inputs!$K$5:$AJ$190,0,MATCH(AD$2,Inputs!$K$4:$AJ$4,0))))+SUMPRODUCT((Inputs!$C$5:$C$190=$B30)*ISNUMBER(INDEX(Inputs!$K$5:$AJ$190,0,MATCH(AD$2,Inputs!$K$4:$AJ$4,0))))+SUMPRODUCT((Inputs!$E$5:$E$190=$B30)*ISNUMBER(INDEX(Inputs!$K$5:$AJ$190,0,MATCH(AD$2,Inputs!$K$4:$AJ$4,0))))=0,NA(),SUMPRODUCT((Inputs!$A$5:$A$190=$B30)*Inputs!$B$5:$B$190*(((Inputs!$G$5:$G$190="moeda")+(Inputs!$G$5:$G$190="acoes"))*Inputs!$B$1+((Inputs!$G$5:$G$190&lt;&gt;"moeda")*(Inputs!$G$5:$G$190&lt;&gt;"acoes")))*INDEX(Inputs!$K$5:$AJ$190,0,MATCH(AD$2,Inputs!$K$4:$AJ$4,0)))+SUMPRODUCT((Inputs!$C$5:$C$190=$B30)*Inputs!$D$5:$D$190*(((Inputs!$G$5:$G$190="moeda")+(Inputs!$G$5:$G$190="acoes"))*Inputs!$B$1+((Inputs!$G$5:$G$190&lt;&gt;"moeda")*(Inputs!$G$5:$G$190&lt;&gt;"acoes")))*INDEX(Inputs!$K$5:$AJ$190,0,MATCH(AD$2,Inputs!$K$4:$AJ$4,0)))+SUMPRODUCT((Inputs!$E$5:$E$190=$B30)*Inputs!$F$5:$F$190*(((Inputs!$G$5:$G$190="moeda")+(Inputs!$G$5:$G$190="acoes"))*Inputs!$B$1+((Inputs!$G$5:$G$190&lt;&gt;"moeda")*(Inputs!$G$5:$G$190&lt;&gt;"acoes")))*INDEX(Inputs!$K$5:$AJ$190,0,MATCH(AD$2,Inputs!$K$4:$AJ$4,0)))))</f>
        <v>658.9703805</v>
      </c>
      <c r="AE30" s="6" t="e">
        <f>IF(ISNA(MATCH(AE$2,Inputs!$K$4:$AJ$4,0)),NA(),IF(SUMPRODUCT((Inputs!$A$5:$A$190=$B30)*ISNUMBER(INDEX(Inputs!$K$5:$AJ$190,0,MATCH(AE$2,Inputs!$K$4:$AJ$4,0))))+SUMPRODUCT((Inputs!$C$5:$C$190=$B30)*ISNUMBER(INDEX(Inputs!$K$5:$AJ$190,0,MATCH(AE$2,Inputs!$K$4:$AJ$4,0))))+SUMPRODUCT((Inputs!$E$5:$E$190=$B30)*ISNUMBER(INDEX(Inputs!$K$5:$AJ$190,0,MATCH(AE$2,Inputs!$K$4:$AJ$4,0))))=0,NA(),SUMPRODUCT((Inputs!$A$5:$A$190=$B30)*Inputs!$B$5:$B$190*(((Inputs!$G$5:$G$190="moeda")+(Inputs!$G$5:$G$190="acoes"))*Inputs!$B$1+((Inputs!$G$5:$G$190&lt;&gt;"moeda")*(Inputs!$G$5:$G$190&lt;&gt;"acoes")))*INDEX(Inputs!$K$5:$AJ$190,0,MATCH(AE$2,Inputs!$K$4:$AJ$4,0)))+SUMPRODUCT((Inputs!$C$5:$C$190=$B30)*Inputs!$D$5:$D$190*(((Inputs!$G$5:$G$190="moeda")+(Inputs!$G$5:$G$190="acoes"))*Inputs!$B$1+((Inputs!$G$5:$G$190&lt;&gt;"moeda")*(Inputs!$G$5:$G$190&lt;&gt;"acoes")))*INDEX(Inputs!$K$5:$AJ$190,0,MATCH(AE$2,Inputs!$K$4:$AJ$4,0)))+SUMPRODUCT((Inputs!$E$5:$E$190=$B30)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30" s="6" t="e">
        <f>IF(ISNA(MATCH(AF$2,Inputs!$K$4:$AJ$4,0)),NA(),IF(SUMPRODUCT((Inputs!$A$5:$A$190=$B30)*ISNUMBER(INDEX(Inputs!$K$5:$AJ$190,0,MATCH(AF$2,Inputs!$K$4:$AJ$4,0))))+SUMPRODUCT((Inputs!$C$5:$C$190=$B30)*ISNUMBER(INDEX(Inputs!$K$5:$AJ$190,0,MATCH(AF$2,Inputs!$K$4:$AJ$4,0))))+SUMPRODUCT((Inputs!$E$5:$E$190=$B30)*ISNUMBER(INDEX(Inputs!$K$5:$AJ$190,0,MATCH(AF$2,Inputs!$K$4:$AJ$4,0))))=0,NA(),SUMPRODUCT((Inputs!$A$5:$A$190=$B30)*Inputs!$B$5:$B$190*(((Inputs!$G$5:$G$190="moeda")+(Inputs!$G$5:$G$190="acoes"))*Inputs!$B$1+((Inputs!$G$5:$G$190&lt;&gt;"moeda")*(Inputs!$G$5:$G$190&lt;&gt;"acoes")))*INDEX(Inputs!$K$5:$AJ$190,0,MATCH(AF$2,Inputs!$K$4:$AJ$4,0)))+SUMPRODUCT((Inputs!$C$5:$C$190=$B30)*Inputs!$D$5:$D$190*(((Inputs!$G$5:$G$190="moeda")+(Inputs!$G$5:$G$190="acoes"))*Inputs!$B$1+((Inputs!$G$5:$G$190&lt;&gt;"moeda")*(Inputs!$G$5:$G$190&lt;&gt;"acoes")))*INDEX(Inputs!$K$5:$AJ$190,0,MATCH(AF$2,Inputs!$K$4:$AJ$4,0)))+SUMPRODUCT((Inputs!$E$5:$E$190=$B30)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30" s="3" t="e">
        <f>AF30</f>
        <v>#N/A</v>
      </c>
      <c r="AH30" s="6">
        <f>IF(ISNA(MATCH(AH$2,Inputs!$K$4:$AJ$4,0)),NA(),IF(SUMPRODUCT((Inputs!$A$5:$A$190=$B30)*ISNUMBER(INDEX(Inputs!$K$5:$AJ$190,0,MATCH(AH$2,Inputs!$K$4:$AJ$4,0))))+SUMPRODUCT((Inputs!$C$5:$C$190=$B30)*ISNUMBER(INDEX(Inputs!$K$5:$AJ$190,0,MATCH(AH$2,Inputs!$K$4:$AJ$4,0))))+SUMPRODUCT((Inputs!$E$5:$E$190=$B30)*ISNUMBER(INDEX(Inputs!$K$5:$AJ$190,0,MATCH(AH$2,Inputs!$K$4:$AJ$4,0))))=0,NA(),SUMPRODUCT((Inputs!$A$5:$A$190=$B30)*Inputs!$B$5:$B$190*(((Inputs!$G$5:$G$190="moeda")+(Inputs!$G$5:$G$190="acoes"))*Inputs!$B$1+((Inputs!$G$5:$G$190&lt;&gt;"moeda")*(Inputs!$G$5:$G$190&lt;&gt;"acoes")))*INDEX(Inputs!$K$5:$AJ$190,0,MATCH(AH$2,Inputs!$K$4:$AJ$4,0)))+SUMPRODUCT((Inputs!$C$5:$C$190=$B30)*Inputs!$D$5:$D$190*(((Inputs!$G$5:$G$190="moeda")+(Inputs!$G$5:$G$190="acoes"))*Inputs!$B$1+((Inputs!$G$5:$G$190&lt;&gt;"moeda")*(Inputs!$G$5:$G$190&lt;&gt;"acoes")))*INDEX(Inputs!$K$5:$AJ$190,0,MATCH(AH$2,Inputs!$K$4:$AJ$4,0)))+SUMPRODUCT((Inputs!$E$5:$E$190=$B30)*Inputs!$F$5:$F$190*(((Inputs!$G$5:$G$190="moeda")+(Inputs!$G$5:$G$190="acoes"))*Inputs!$B$1+((Inputs!$G$5:$G$190&lt;&gt;"moeda")*(Inputs!$G$5:$G$190&lt;&gt;"acoes")))*INDEX(Inputs!$K$5:$AJ$190,0,MATCH(AH$2,Inputs!$K$4:$AJ$4,0)))))</f>
        <v>126.64465528</v>
      </c>
      <c r="AI30" s="6">
        <f>IF(ISNA(MATCH(AI$2,Inputs!$K$4:$AJ$4,0)),NA(),IF(SUMPRODUCT((Inputs!$A$5:$A$190=$B30)*ISNUMBER(INDEX(Inputs!$K$5:$AJ$190,0,MATCH(AI$2,Inputs!$K$4:$AJ$4,0))))+SUMPRODUCT((Inputs!$C$5:$C$190=$B30)*ISNUMBER(INDEX(Inputs!$K$5:$AJ$190,0,MATCH(AI$2,Inputs!$K$4:$AJ$4,0))))+SUMPRODUCT((Inputs!$E$5:$E$190=$B30)*ISNUMBER(INDEX(Inputs!$K$5:$AJ$190,0,MATCH(AI$2,Inputs!$K$4:$AJ$4,0))))=0,NA(),SUMPRODUCT((Inputs!$A$5:$A$190=$B30)*Inputs!$B$5:$B$190*(((Inputs!$G$5:$G$190="moeda")+(Inputs!$G$5:$G$190="acoes"))*Inputs!$B$1+((Inputs!$G$5:$G$190&lt;&gt;"moeda")*(Inputs!$G$5:$G$190&lt;&gt;"acoes")))*INDEX(Inputs!$K$5:$AJ$190,0,MATCH(AI$2,Inputs!$K$4:$AJ$4,0)))+SUMPRODUCT((Inputs!$C$5:$C$190=$B30)*Inputs!$D$5:$D$190*(((Inputs!$G$5:$G$190="moeda")+(Inputs!$G$5:$G$190="acoes"))*Inputs!$B$1+((Inputs!$G$5:$G$190&lt;&gt;"moeda")*(Inputs!$G$5:$G$190&lt;&gt;"acoes")))*INDEX(Inputs!$K$5:$AJ$190,0,MATCH(AI$2,Inputs!$K$4:$AJ$4,0)))+SUMPRODUCT((Inputs!$E$5:$E$190=$B30)*Inputs!$F$5:$F$190*(((Inputs!$G$5:$G$190="moeda")+(Inputs!$G$5:$G$190="acoes"))*Inputs!$B$1+((Inputs!$G$5:$G$190&lt;&gt;"moeda")*(Inputs!$G$5:$G$190&lt;&gt;"acoes")))*INDEX(Inputs!$K$5:$AJ$190,0,MATCH(AI$2,Inputs!$K$4:$AJ$4,0)))))</f>
        <v>81.724789203</v>
      </c>
      <c r="AJ30" s="6">
        <f>IF(ISNA(MATCH(AJ$2,Inputs!$K$4:$AJ$4,0)),NA(),IF(SUMPRODUCT((Inputs!$A$5:$A$190=$B30)*ISNUMBER(INDEX(Inputs!$K$5:$AJ$190,0,MATCH(AJ$2,Inputs!$K$4:$AJ$4,0))))+SUMPRODUCT((Inputs!$C$5:$C$190=$B30)*ISNUMBER(INDEX(Inputs!$K$5:$AJ$190,0,MATCH(AJ$2,Inputs!$K$4:$AJ$4,0))))+SUMPRODUCT((Inputs!$E$5:$E$190=$B30)*ISNUMBER(INDEX(Inputs!$K$5:$AJ$190,0,MATCH(AJ$2,Inputs!$K$4:$AJ$4,0))))=0,NA(),SUMPRODUCT((Inputs!$A$5:$A$190=$B30)*Inputs!$B$5:$B$190*(((Inputs!$G$5:$G$190="moeda")+(Inputs!$G$5:$G$190="acoes"))*Inputs!$B$1+((Inputs!$G$5:$G$190&lt;&gt;"moeda")*(Inputs!$G$5:$G$190&lt;&gt;"acoes")))*INDEX(Inputs!$K$5:$AJ$190,0,MATCH(AJ$2,Inputs!$K$4:$AJ$4,0)))+SUMPRODUCT((Inputs!$C$5:$C$190=$B30)*Inputs!$D$5:$D$190*(((Inputs!$G$5:$G$190="moeda")+(Inputs!$G$5:$G$190="acoes"))*Inputs!$B$1+((Inputs!$G$5:$G$190&lt;&gt;"moeda")*(Inputs!$G$5:$G$190&lt;&gt;"acoes")))*INDEX(Inputs!$K$5:$AJ$190,0,MATCH(AJ$2,Inputs!$K$4:$AJ$4,0)))+SUMPRODUCT((Inputs!$E$5:$E$190=$B30)*Inputs!$F$5:$F$190*(((Inputs!$G$5:$G$190="moeda")+(Inputs!$G$5:$G$190="acoes"))*Inputs!$B$1+((Inputs!$G$5:$G$190&lt;&gt;"moeda")*(Inputs!$G$5:$G$190&lt;&gt;"acoes")))*INDEX(Inputs!$K$5:$AJ$190,0,MATCH(AJ$2,Inputs!$K$4:$AJ$4,0)))))</f>
        <v>86.410897823</v>
      </c>
      <c r="AK30" s="6">
        <f>IF(ISNA(MATCH(AK$2,Inputs!$K$4:$AJ$4,0)),NA(),IF(SUMPRODUCT((Inputs!$A$5:$A$190=$B30)*ISNUMBER(INDEX(Inputs!$K$5:$AJ$190,0,MATCH(AK$2,Inputs!$K$4:$AJ$4,0))))+SUMPRODUCT((Inputs!$C$5:$C$190=$B30)*ISNUMBER(INDEX(Inputs!$K$5:$AJ$190,0,MATCH(AK$2,Inputs!$K$4:$AJ$4,0))))+SUMPRODUCT((Inputs!$E$5:$E$190=$B30)*ISNUMBER(INDEX(Inputs!$K$5:$AJ$190,0,MATCH(AK$2,Inputs!$K$4:$AJ$4,0))))=0,NA(),SUMPRODUCT((Inputs!$A$5:$A$190=$B30)*Inputs!$B$5:$B$190*(((Inputs!$G$5:$G$190="moeda")+(Inputs!$G$5:$G$190="acoes"))*Inputs!$B$1+((Inputs!$G$5:$G$190&lt;&gt;"moeda")*(Inputs!$G$5:$G$190&lt;&gt;"acoes")))*INDEX(Inputs!$K$5:$AJ$190,0,MATCH(AK$2,Inputs!$K$4:$AJ$4,0)))+SUMPRODUCT((Inputs!$C$5:$C$190=$B30)*Inputs!$D$5:$D$190*(((Inputs!$G$5:$G$190="moeda")+(Inputs!$G$5:$G$190="acoes"))*Inputs!$B$1+((Inputs!$G$5:$G$190&lt;&gt;"moeda")*(Inputs!$G$5:$G$190&lt;&gt;"acoes")))*INDEX(Inputs!$K$5:$AJ$190,0,MATCH(AK$2,Inputs!$K$4:$AJ$4,0)))+SUMPRODUCT((Inputs!$E$5:$E$190=$B30)*Inputs!$F$5:$F$190*(((Inputs!$G$5:$G$190="moeda")+(Inputs!$G$5:$G$190="acoes"))*Inputs!$B$1+((Inputs!$G$5:$G$190&lt;&gt;"moeda")*(Inputs!$G$5:$G$190&lt;&gt;"acoes")))*INDEX(Inputs!$K$5:$AJ$190,0,MATCH(AK$2,Inputs!$K$4:$AJ$4,0)))))</f>
        <v>121.970339808</v>
      </c>
      <c r="AL30" s="3">
        <f>AK30</f>
        <v>121.970339808</v>
      </c>
    </row>
    <row r="31">
      <c r="B31" s="46" t="n">
        <v>26</v>
      </c>
      <c r="C31" s="26" t="inlineStr">
        <is>
          <t>Other current liabilities (non-debt)</t>
        </is>
      </c>
      <c r="D31" s="6">
        <f>IF(ISNA(MATCH(D$2,Inputs!$K$4:$AJ$4,0)),NA(),IF(SUMPRODUCT((Inputs!$A$5:$A$190=$B31)*ISNUMBER(INDEX(Inputs!$K$5:$AJ$190,0,MATCH(D$2,Inputs!$K$4:$AJ$4,0))))+SUMPRODUCT((Inputs!$C$5:$C$190=$B31)*ISNUMBER(INDEX(Inputs!$K$5:$AJ$190,0,MATCH(D$2,Inputs!$K$4:$AJ$4,0))))+SUMPRODUCT((Inputs!$E$5:$E$190=$B31)*ISNUMBER(INDEX(Inputs!$K$5:$AJ$190,0,MATCH(D$2,Inputs!$K$4:$AJ$4,0))))=0,NA(),SUMPRODUCT((Inputs!$A$5:$A$190=$B31)*Inputs!$B$5:$B$190*(((Inputs!$G$5:$G$190="moeda")+(Inputs!$G$5:$G$190="acoes"))*Inputs!$B$1+((Inputs!$G$5:$G$190&lt;&gt;"moeda")*(Inputs!$G$5:$G$190&lt;&gt;"acoes")))*INDEX(Inputs!$K$5:$AJ$190,0,MATCH(D$2,Inputs!$K$4:$AJ$4,0)))+SUMPRODUCT((Inputs!$C$5:$C$190=$B31)*Inputs!$D$5:$D$190*(((Inputs!$G$5:$G$190="moeda")+(Inputs!$G$5:$G$190="acoes"))*Inputs!$B$1+((Inputs!$G$5:$G$190&lt;&gt;"moeda")*(Inputs!$G$5:$G$190&lt;&gt;"acoes")))*INDEX(Inputs!$K$5:$AJ$190,0,MATCH(D$2,Inputs!$K$4:$AJ$4,0)))+SUMPRODUCT((Inputs!$E$5:$E$190=$B31)*Inputs!$F$5:$F$190*(((Inputs!$G$5:$G$190="moeda")+(Inputs!$G$5:$G$190="acoes"))*Inputs!$B$1+((Inputs!$G$5:$G$190&lt;&gt;"moeda")*(Inputs!$G$5:$G$190&lt;&gt;"acoes")))*INDEX(Inputs!$K$5:$AJ$190,0,MATCH(D$2,Inputs!$K$4:$AJ$4,0)))))</f>
        <v>744.287503269</v>
      </c>
      <c r="E31" s="6">
        <f>IF(ISNA(MATCH(E$2,Inputs!$K$4:$AJ$4,0)),NA(),IF(SUMPRODUCT((Inputs!$A$5:$A$190=$B31)*ISNUMBER(INDEX(Inputs!$K$5:$AJ$190,0,MATCH(E$2,Inputs!$K$4:$AJ$4,0))))+SUMPRODUCT((Inputs!$C$5:$C$190=$B31)*ISNUMBER(INDEX(Inputs!$K$5:$AJ$190,0,MATCH(E$2,Inputs!$K$4:$AJ$4,0))))+SUMPRODUCT((Inputs!$E$5:$E$190=$B31)*ISNUMBER(INDEX(Inputs!$K$5:$AJ$190,0,MATCH(E$2,Inputs!$K$4:$AJ$4,0))))=0,NA(),SUMPRODUCT((Inputs!$A$5:$A$190=$B31)*Inputs!$B$5:$B$190*(((Inputs!$G$5:$G$190="moeda")+(Inputs!$G$5:$G$190="acoes"))*Inputs!$B$1+((Inputs!$G$5:$G$190&lt;&gt;"moeda")*(Inputs!$G$5:$G$190&lt;&gt;"acoes")))*INDEX(Inputs!$K$5:$AJ$190,0,MATCH(E$2,Inputs!$K$4:$AJ$4,0)))+SUMPRODUCT((Inputs!$C$5:$C$190=$B31)*Inputs!$D$5:$D$190*(((Inputs!$G$5:$G$190="moeda")+(Inputs!$G$5:$G$190="acoes"))*Inputs!$B$1+((Inputs!$G$5:$G$190&lt;&gt;"moeda")*(Inputs!$G$5:$G$190&lt;&gt;"acoes")))*INDEX(Inputs!$K$5:$AJ$190,0,MATCH(E$2,Inputs!$K$4:$AJ$4,0)))+SUMPRODUCT((Inputs!$E$5:$E$190=$B31)*Inputs!$F$5:$F$190*(((Inputs!$G$5:$G$190="moeda")+(Inputs!$G$5:$G$190="acoes"))*Inputs!$B$1+((Inputs!$G$5:$G$190&lt;&gt;"moeda")*(Inputs!$G$5:$G$190&lt;&gt;"acoes")))*INDEX(Inputs!$K$5:$AJ$190,0,MATCH(E$2,Inputs!$K$4:$AJ$4,0)))))</f>
        <v>732.463626678</v>
      </c>
      <c r="F31" s="6">
        <f>IF(ISNA(MATCH(F$2,Inputs!$K$4:$AJ$4,0)),NA(),IF(SUMPRODUCT((Inputs!$A$5:$A$190=$B31)*ISNUMBER(INDEX(Inputs!$K$5:$AJ$190,0,MATCH(F$2,Inputs!$K$4:$AJ$4,0))))+SUMPRODUCT((Inputs!$C$5:$C$190=$B31)*ISNUMBER(INDEX(Inputs!$K$5:$AJ$190,0,MATCH(F$2,Inputs!$K$4:$AJ$4,0))))+SUMPRODUCT((Inputs!$E$5:$E$190=$B31)*ISNUMBER(INDEX(Inputs!$K$5:$AJ$190,0,MATCH(F$2,Inputs!$K$4:$AJ$4,0))))=0,NA(),SUMPRODUCT((Inputs!$A$5:$A$190=$B31)*Inputs!$B$5:$B$190*(((Inputs!$G$5:$G$190="moeda")+(Inputs!$G$5:$G$190="acoes"))*Inputs!$B$1+((Inputs!$G$5:$G$190&lt;&gt;"moeda")*(Inputs!$G$5:$G$190&lt;&gt;"acoes")))*INDEX(Inputs!$K$5:$AJ$190,0,MATCH(F$2,Inputs!$K$4:$AJ$4,0)))+SUMPRODUCT((Inputs!$C$5:$C$190=$B31)*Inputs!$D$5:$D$190*(((Inputs!$G$5:$G$190="moeda")+(Inputs!$G$5:$G$190="acoes"))*Inputs!$B$1+((Inputs!$G$5:$G$190&lt;&gt;"moeda")*(Inputs!$G$5:$G$190&lt;&gt;"acoes")))*INDEX(Inputs!$K$5:$AJ$190,0,MATCH(F$2,Inputs!$K$4:$AJ$4,0)))+SUMPRODUCT((Inputs!$E$5:$E$190=$B31)*Inputs!$F$5:$F$190*(((Inputs!$G$5:$G$190="moeda")+(Inputs!$G$5:$G$190="acoes"))*Inputs!$B$1+((Inputs!$G$5:$G$190&lt;&gt;"moeda")*(Inputs!$G$5:$G$190&lt;&gt;"acoes")))*INDEX(Inputs!$K$5:$AJ$190,0,MATCH(F$2,Inputs!$K$4:$AJ$4,0)))))</f>
        <v>732.544</v>
      </c>
      <c r="G31" s="6">
        <f>IF(ISNA(MATCH(G$2,Inputs!$K$4:$AJ$4,0)),NA(),IF(SUMPRODUCT((Inputs!$A$5:$A$190=$B31)*ISNUMBER(INDEX(Inputs!$K$5:$AJ$190,0,MATCH(G$2,Inputs!$K$4:$AJ$4,0))))+SUMPRODUCT((Inputs!$C$5:$C$190=$B31)*ISNUMBER(INDEX(Inputs!$K$5:$AJ$190,0,MATCH(G$2,Inputs!$K$4:$AJ$4,0))))+SUMPRODUCT((Inputs!$E$5:$E$190=$B31)*ISNUMBER(INDEX(Inputs!$K$5:$AJ$190,0,MATCH(G$2,Inputs!$K$4:$AJ$4,0))))=0,NA(),SUMPRODUCT((Inputs!$A$5:$A$190=$B31)*Inputs!$B$5:$B$190*(((Inputs!$G$5:$G$190="moeda")+(Inputs!$G$5:$G$190="acoes"))*Inputs!$B$1+((Inputs!$G$5:$G$190&lt;&gt;"moeda")*(Inputs!$G$5:$G$190&lt;&gt;"acoes")))*INDEX(Inputs!$K$5:$AJ$190,0,MATCH(G$2,Inputs!$K$4:$AJ$4,0)))+SUMPRODUCT((Inputs!$C$5:$C$190=$B31)*Inputs!$D$5:$D$190*(((Inputs!$G$5:$G$190="moeda")+(Inputs!$G$5:$G$190="acoes"))*Inputs!$B$1+((Inputs!$G$5:$G$190&lt;&gt;"moeda")*(Inputs!$G$5:$G$190&lt;&gt;"acoes")))*INDEX(Inputs!$K$5:$AJ$190,0,MATCH(G$2,Inputs!$K$4:$AJ$4,0)))+SUMPRODUCT((Inputs!$E$5:$E$190=$B31)*Inputs!$F$5:$F$190*(((Inputs!$G$5:$G$190="moeda")+(Inputs!$G$5:$G$190="acoes"))*Inputs!$B$1+((Inputs!$G$5:$G$190&lt;&gt;"moeda")*(Inputs!$G$5:$G$190&lt;&gt;"acoes")))*INDEX(Inputs!$K$5:$AJ$190,0,MATCH(G$2,Inputs!$K$4:$AJ$4,0)))))</f>
        <v>1169.471</v>
      </c>
      <c r="H31" s="3">
        <f>G31</f>
        <v>1169.471</v>
      </c>
      <c r="I31" s="6">
        <f>IF(ISNA(MATCH(I$2,Inputs!$K$4:$AJ$4,0)),NA(),IF(SUMPRODUCT((Inputs!$A$5:$A$190=$B31)*ISNUMBER(INDEX(Inputs!$K$5:$AJ$190,0,MATCH(I$2,Inputs!$K$4:$AJ$4,0))))+SUMPRODUCT((Inputs!$C$5:$C$190=$B31)*ISNUMBER(INDEX(Inputs!$K$5:$AJ$190,0,MATCH(I$2,Inputs!$K$4:$AJ$4,0))))+SUMPRODUCT((Inputs!$E$5:$E$190=$B31)*ISNUMBER(INDEX(Inputs!$K$5:$AJ$190,0,MATCH(I$2,Inputs!$K$4:$AJ$4,0))))=0,NA(),SUMPRODUCT((Inputs!$A$5:$A$190=$B31)*Inputs!$B$5:$B$190*(((Inputs!$G$5:$G$190="moeda")+(Inputs!$G$5:$G$190="acoes"))*Inputs!$B$1+((Inputs!$G$5:$G$190&lt;&gt;"moeda")*(Inputs!$G$5:$G$190&lt;&gt;"acoes")))*INDEX(Inputs!$K$5:$AJ$190,0,MATCH(I$2,Inputs!$K$4:$AJ$4,0)))+SUMPRODUCT((Inputs!$C$5:$C$190=$B31)*Inputs!$D$5:$D$190*(((Inputs!$G$5:$G$190="moeda")+(Inputs!$G$5:$G$190="acoes"))*Inputs!$B$1+((Inputs!$G$5:$G$190&lt;&gt;"moeda")*(Inputs!$G$5:$G$190&lt;&gt;"acoes")))*INDEX(Inputs!$K$5:$AJ$190,0,MATCH(I$2,Inputs!$K$4:$AJ$4,0)))+SUMPRODUCT((Inputs!$E$5:$E$190=$B31)*Inputs!$F$5:$F$190*(((Inputs!$G$5:$G$190="moeda")+(Inputs!$G$5:$G$190="acoes"))*Inputs!$B$1+((Inputs!$G$5:$G$190&lt;&gt;"moeda")*(Inputs!$G$5:$G$190&lt;&gt;"acoes")))*INDEX(Inputs!$K$5:$AJ$190,0,MATCH(I$2,Inputs!$K$4:$AJ$4,0)))))</f>
        <v>1697.846</v>
      </c>
      <c r="J31" s="6">
        <f>IF(ISNA(MATCH(J$2,Inputs!$K$4:$AJ$4,0)),NA(),IF(SUMPRODUCT((Inputs!$A$5:$A$190=$B31)*ISNUMBER(INDEX(Inputs!$K$5:$AJ$190,0,MATCH(J$2,Inputs!$K$4:$AJ$4,0))))+SUMPRODUCT((Inputs!$C$5:$C$190=$B31)*ISNUMBER(INDEX(Inputs!$K$5:$AJ$190,0,MATCH(J$2,Inputs!$K$4:$AJ$4,0))))+SUMPRODUCT((Inputs!$E$5:$E$190=$B31)*ISNUMBER(INDEX(Inputs!$K$5:$AJ$190,0,MATCH(J$2,Inputs!$K$4:$AJ$4,0))))=0,NA(),SUMPRODUCT((Inputs!$A$5:$A$190=$B31)*Inputs!$B$5:$B$190*(((Inputs!$G$5:$G$190="moeda")+(Inputs!$G$5:$G$190="acoes"))*Inputs!$B$1+((Inputs!$G$5:$G$190&lt;&gt;"moeda")*(Inputs!$G$5:$G$190&lt;&gt;"acoes")))*INDEX(Inputs!$K$5:$AJ$190,0,MATCH(J$2,Inputs!$K$4:$AJ$4,0)))+SUMPRODUCT((Inputs!$C$5:$C$190=$B31)*Inputs!$D$5:$D$190*(((Inputs!$G$5:$G$190="moeda")+(Inputs!$G$5:$G$190="acoes"))*Inputs!$B$1+((Inputs!$G$5:$G$190&lt;&gt;"moeda")*(Inputs!$G$5:$G$190&lt;&gt;"acoes")))*INDEX(Inputs!$K$5:$AJ$190,0,MATCH(J$2,Inputs!$K$4:$AJ$4,0)))+SUMPRODUCT((Inputs!$E$5:$E$190=$B31)*Inputs!$F$5:$F$190*(((Inputs!$G$5:$G$190="moeda")+(Inputs!$G$5:$G$190="acoes"))*Inputs!$B$1+((Inputs!$G$5:$G$190&lt;&gt;"moeda")*(Inputs!$G$5:$G$190&lt;&gt;"acoes")))*INDEX(Inputs!$K$5:$AJ$190,0,MATCH(J$2,Inputs!$K$4:$AJ$4,0)))))</f>
        <v>1521.488</v>
      </c>
      <c r="K31" s="6">
        <f>IF(ISNA(MATCH(K$2,Inputs!$K$4:$AJ$4,0)),NA(),IF(SUMPRODUCT((Inputs!$A$5:$A$190=$B31)*ISNUMBER(INDEX(Inputs!$K$5:$AJ$190,0,MATCH(K$2,Inputs!$K$4:$AJ$4,0))))+SUMPRODUCT((Inputs!$C$5:$C$190=$B31)*ISNUMBER(INDEX(Inputs!$K$5:$AJ$190,0,MATCH(K$2,Inputs!$K$4:$AJ$4,0))))+SUMPRODUCT((Inputs!$E$5:$E$190=$B31)*ISNUMBER(INDEX(Inputs!$K$5:$AJ$190,0,MATCH(K$2,Inputs!$K$4:$AJ$4,0))))=0,NA(),SUMPRODUCT((Inputs!$A$5:$A$190=$B31)*Inputs!$B$5:$B$190*(((Inputs!$G$5:$G$190="moeda")+(Inputs!$G$5:$G$190="acoes"))*Inputs!$B$1+((Inputs!$G$5:$G$190&lt;&gt;"moeda")*(Inputs!$G$5:$G$190&lt;&gt;"acoes")))*INDEX(Inputs!$K$5:$AJ$190,0,MATCH(K$2,Inputs!$K$4:$AJ$4,0)))+SUMPRODUCT((Inputs!$C$5:$C$190=$B31)*Inputs!$D$5:$D$190*(((Inputs!$G$5:$G$190="moeda")+(Inputs!$G$5:$G$190="acoes"))*Inputs!$B$1+((Inputs!$G$5:$G$190&lt;&gt;"moeda")*(Inputs!$G$5:$G$190&lt;&gt;"acoes")))*INDEX(Inputs!$K$5:$AJ$190,0,MATCH(K$2,Inputs!$K$4:$AJ$4,0)))+SUMPRODUCT((Inputs!$E$5:$E$190=$B31)*Inputs!$F$5:$F$190*(((Inputs!$G$5:$G$190="moeda")+(Inputs!$G$5:$G$190="acoes"))*Inputs!$B$1+((Inputs!$G$5:$G$190&lt;&gt;"moeda")*(Inputs!$G$5:$G$190&lt;&gt;"acoes")))*INDEX(Inputs!$K$5:$AJ$190,0,MATCH(K$2,Inputs!$K$4:$AJ$4,0)))))</f>
        <v>1797.247</v>
      </c>
      <c r="L31" s="6">
        <f>IF(ISNA(MATCH(L$2,Inputs!$K$4:$AJ$4,0)),NA(),IF(SUMPRODUCT((Inputs!$A$5:$A$190=$B31)*ISNUMBER(INDEX(Inputs!$K$5:$AJ$190,0,MATCH(L$2,Inputs!$K$4:$AJ$4,0))))+SUMPRODUCT((Inputs!$C$5:$C$190=$B31)*ISNUMBER(INDEX(Inputs!$K$5:$AJ$190,0,MATCH(L$2,Inputs!$K$4:$AJ$4,0))))+SUMPRODUCT((Inputs!$E$5:$E$190=$B31)*ISNUMBER(INDEX(Inputs!$K$5:$AJ$190,0,MATCH(L$2,Inputs!$K$4:$AJ$4,0))))=0,NA(),SUMPRODUCT((Inputs!$A$5:$A$190=$B31)*Inputs!$B$5:$B$190*(((Inputs!$G$5:$G$190="moeda")+(Inputs!$G$5:$G$190="acoes"))*Inputs!$B$1+((Inputs!$G$5:$G$190&lt;&gt;"moeda")*(Inputs!$G$5:$G$190&lt;&gt;"acoes")))*INDEX(Inputs!$K$5:$AJ$190,0,MATCH(L$2,Inputs!$K$4:$AJ$4,0)))+SUMPRODUCT((Inputs!$C$5:$C$190=$B31)*Inputs!$D$5:$D$190*(((Inputs!$G$5:$G$190="moeda")+(Inputs!$G$5:$G$190="acoes"))*Inputs!$B$1+((Inputs!$G$5:$G$190&lt;&gt;"moeda")*(Inputs!$G$5:$G$190&lt;&gt;"acoes")))*INDEX(Inputs!$K$5:$AJ$190,0,MATCH(L$2,Inputs!$K$4:$AJ$4,0)))+SUMPRODUCT((Inputs!$E$5:$E$190=$B31)*Inputs!$F$5:$F$190*(((Inputs!$G$5:$G$190="moeda")+(Inputs!$G$5:$G$190="acoes"))*Inputs!$B$1+((Inputs!$G$5:$G$190&lt;&gt;"moeda")*(Inputs!$G$5:$G$190&lt;&gt;"acoes")))*INDEX(Inputs!$K$5:$AJ$190,0,MATCH(L$2,Inputs!$K$4:$AJ$4,0)))))</f>
        <v>2521.471</v>
      </c>
      <c r="M31" s="3">
        <f>L31</f>
        <v>2521.471</v>
      </c>
      <c r="N31" s="6">
        <f>IF(ISNA(MATCH(N$2,Inputs!$K$4:$AJ$4,0)),NA(),IF(SUMPRODUCT((Inputs!$A$5:$A$190=$B31)*ISNUMBER(INDEX(Inputs!$K$5:$AJ$190,0,MATCH(N$2,Inputs!$K$4:$AJ$4,0))))+SUMPRODUCT((Inputs!$C$5:$C$190=$B31)*ISNUMBER(INDEX(Inputs!$K$5:$AJ$190,0,MATCH(N$2,Inputs!$K$4:$AJ$4,0))))+SUMPRODUCT((Inputs!$E$5:$E$190=$B31)*ISNUMBER(INDEX(Inputs!$K$5:$AJ$190,0,MATCH(N$2,Inputs!$K$4:$AJ$4,0))))=0,NA(),SUMPRODUCT((Inputs!$A$5:$A$190=$B31)*Inputs!$B$5:$B$190*(((Inputs!$G$5:$G$190="moeda")+(Inputs!$G$5:$G$190="acoes"))*Inputs!$B$1+((Inputs!$G$5:$G$190&lt;&gt;"moeda")*(Inputs!$G$5:$G$190&lt;&gt;"acoes")))*INDEX(Inputs!$K$5:$AJ$190,0,MATCH(N$2,Inputs!$K$4:$AJ$4,0)))+SUMPRODUCT((Inputs!$C$5:$C$190=$B31)*Inputs!$D$5:$D$190*(((Inputs!$G$5:$G$190="moeda")+(Inputs!$G$5:$G$190="acoes"))*Inputs!$B$1+((Inputs!$G$5:$G$190&lt;&gt;"moeda")*(Inputs!$G$5:$G$190&lt;&gt;"acoes")))*INDEX(Inputs!$K$5:$AJ$190,0,MATCH(N$2,Inputs!$K$4:$AJ$4,0)))+SUMPRODUCT((Inputs!$E$5:$E$190=$B31)*Inputs!$F$5:$F$190*(((Inputs!$G$5:$G$190="moeda")+(Inputs!$G$5:$G$190="acoes"))*Inputs!$B$1+((Inputs!$G$5:$G$190&lt;&gt;"moeda")*(Inputs!$G$5:$G$190&lt;&gt;"acoes")))*INDEX(Inputs!$K$5:$AJ$190,0,MATCH(N$2,Inputs!$K$4:$AJ$4,0)))))</f>
        <v>2688.43748816919</v>
      </c>
      <c r="O31" s="6">
        <f>IF(ISNA(MATCH(O$2,Inputs!$K$4:$AJ$4,0)),NA(),IF(SUMPRODUCT((Inputs!$A$5:$A$190=$B31)*ISNUMBER(INDEX(Inputs!$K$5:$AJ$190,0,MATCH(O$2,Inputs!$K$4:$AJ$4,0))))+SUMPRODUCT((Inputs!$C$5:$C$190=$B31)*ISNUMBER(INDEX(Inputs!$K$5:$AJ$190,0,MATCH(O$2,Inputs!$K$4:$AJ$4,0))))+SUMPRODUCT((Inputs!$E$5:$E$190=$B31)*ISNUMBER(INDEX(Inputs!$K$5:$AJ$190,0,MATCH(O$2,Inputs!$K$4:$AJ$4,0))))=0,NA(),SUMPRODUCT((Inputs!$A$5:$A$190=$B31)*Inputs!$B$5:$B$190*(((Inputs!$G$5:$G$190="moeda")+(Inputs!$G$5:$G$190="acoes"))*Inputs!$B$1+((Inputs!$G$5:$G$190&lt;&gt;"moeda")*(Inputs!$G$5:$G$190&lt;&gt;"acoes")))*INDEX(Inputs!$K$5:$AJ$190,0,MATCH(O$2,Inputs!$K$4:$AJ$4,0)))+SUMPRODUCT((Inputs!$C$5:$C$190=$B31)*Inputs!$D$5:$D$190*(((Inputs!$G$5:$G$190="moeda")+(Inputs!$G$5:$G$190="acoes"))*Inputs!$B$1+((Inputs!$G$5:$G$190&lt;&gt;"moeda")*(Inputs!$G$5:$G$190&lt;&gt;"acoes")))*INDEX(Inputs!$K$5:$AJ$190,0,MATCH(O$2,Inputs!$K$4:$AJ$4,0)))+SUMPRODUCT((Inputs!$E$5:$E$190=$B31)*Inputs!$F$5:$F$190*(((Inputs!$G$5:$G$190="moeda")+(Inputs!$G$5:$G$190="acoes"))*Inputs!$B$1+((Inputs!$G$5:$G$190&lt;&gt;"moeda")*(Inputs!$G$5:$G$190&lt;&gt;"acoes")))*INDEX(Inputs!$K$5:$AJ$190,0,MATCH(O$2,Inputs!$K$4:$AJ$4,0)))))</f>
        <v>2822.7202904446</v>
      </c>
      <c r="P31" s="6">
        <f>IF(ISNA(MATCH(P$2,Inputs!$K$4:$AJ$4,0)),NA(),IF(SUMPRODUCT((Inputs!$A$5:$A$190=$B31)*ISNUMBER(INDEX(Inputs!$K$5:$AJ$190,0,MATCH(P$2,Inputs!$K$4:$AJ$4,0))))+SUMPRODUCT((Inputs!$C$5:$C$190=$B31)*ISNUMBER(INDEX(Inputs!$K$5:$AJ$190,0,MATCH(P$2,Inputs!$K$4:$AJ$4,0))))+SUMPRODUCT((Inputs!$E$5:$E$190=$B31)*ISNUMBER(INDEX(Inputs!$K$5:$AJ$190,0,MATCH(P$2,Inputs!$K$4:$AJ$4,0))))=0,NA(),SUMPRODUCT((Inputs!$A$5:$A$190=$B31)*Inputs!$B$5:$B$190*(((Inputs!$G$5:$G$190="moeda")+(Inputs!$G$5:$G$190="acoes"))*Inputs!$B$1+((Inputs!$G$5:$G$190&lt;&gt;"moeda")*(Inputs!$G$5:$G$190&lt;&gt;"acoes")))*INDEX(Inputs!$K$5:$AJ$190,0,MATCH(P$2,Inputs!$K$4:$AJ$4,0)))+SUMPRODUCT((Inputs!$C$5:$C$190=$B31)*Inputs!$D$5:$D$190*(((Inputs!$G$5:$G$190="moeda")+(Inputs!$G$5:$G$190="acoes"))*Inputs!$B$1+((Inputs!$G$5:$G$190&lt;&gt;"moeda")*(Inputs!$G$5:$G$190&lt;&gt;"acoes")))*INDEX(Inputs!$K$5:$AJ$190,0,MATCH(P$2,Inputs!$K$4:$AJ$4,0)))+SUMPRODUCT((Inputs!$E$5:$E$190=$B31)*Inputs!$F$5:$F$190*(((Inputs!$G$5:$G$190="moeda")+(Inputs!$G$5:$G$190="acoes"))*Inputs!$B$1+((Inputs!$G$5:$G$190&lt;&gt;"moeda")*(Inputs!$G$5:$G$190&lt;&gt;"acoes")))*INDEX(Inputs!$K$5:$AJ$190,0,MATCH(P$2,Inputs!$K$4:$AJ$4,0)))))</f>
        <v>2513.32424222995</v>
      </c>
      <c r="Q31" s="6">
        <f>IF(ISNA(MATCH(Q$2,Inputs!$K$4:$AJ$4,0)),NA(),IF(SUMPRODUCT((Inputs!$A$5:$A$190=$B31)*ISNUMBER(INDEX(Inputs!$K$5:$AJ$190,0,MATCH(Q$2,Inputs!$K$4:$AJ$4,0))))+SUMPRODUCT((Inputs!$C$5:$C$190=$B31)*ISNUMBER(INDEX(Inputs!$K$5:$AJ$190,0,MATCH(Q$2,Inputs!$K$4:$AJ$4,0))))+SUMPRODUCT((Inputs!$E$5:$E$190=$B31)*ISNUMBER(INDEX(Inputs!$K$5:$AJ$190,0,MATCH(Q$2,Inputs!$K$4:$AJ$4,0))))=0,NA(),SUMPRODUCT((Inputs!$A$5:$A$190=$B31)*Inputs!$B$5:$B$190*(((Inputs!$G$5:$G$190="moeda")+(Inputs!$G$5:$G$190="acoes"))*Inputs!$B$1+((Inputs!$G$5:$G$190&lt;&gt;"moeda")*(Inputs!$G$5:$G$190&lt;&gt;"acoes")))*INDEX(Inputs!$K$5:$AJ$190,0,MATCH(Q$2,Inputs!$K$4:$AJ$4,0)))+SUMPRODUCT((Inputs!$C$5:$C$190=$B31)*Inputs!$D$5:$D$190*(((Inputs!$G$5:$G$190="moeda")+(Inputs!$G$5:$G$190="acoes"))*Inputs!$B$1+((Inputs!$G$5:$G$190&lt;&gt;"moeda")*(Inputs!$G$5:$G$190&lt;&gt;"acoes")))*INDEX(Inputs!$K$5:$AJ$190,0,MATCH(Q$2,Inputs!$K$4:$AJ$4,0)))+SUMPRODUCT((Inputs!$E$5:$E$190=$B31)*Inputs!$F$5:$F$190*(((Inputs!$G$5:$G$190="moeda")+(Inputs!$G$5:$G$190="acoes"))*Inputs!$B$1+((Inputs!$G$5:$G$190&lt;&gt;"moeda")*(Inputs!$G$5:$G$190&lt;&gt;"acoes")))*INDEX(Inputs!$K$5:$AJ$190,0,MATCH(Q$2,Inputs!$K$4:$AJ$4,0)))))</f>
        <v>3033.7838213386</v>
      </c>
      <c r="R31" s="3">
        <f>Q31</f>
        <v>3033.7838213386</v>
      </c>
      <c r="S31" s="6">
        <f>IF(ISNA(MATCH(S$2,Inputs!$K$4:$AJ$4,0)),NA(),IF(SUMPRODUCT((Inputs!$A$5:$A$190=$B31)*ISNUMBER(INDEX(Inputs!$K$5:$AJ$190,0,MATCH(S$2,Inputs!$K$4:$AJ$4,0))))+SUMPRODUCT((Inputs!$C$5:$C$190=$B31)*ISNUMBER(INDEX(Inputs!$K$5:$AJ$190,0,MATCH(S$2,Inputs!$K$4:$AJ$4,0))))+SUMPRODUCT((Inputs!$E$5:$E$190=$B31)*ISNUMBER(INDEX(Inputs!$K$5:$AJ$190,0,MATCH(S$2,Inputs!$K$4:$AJ$4,0))))=0,NA(),SUMPRODUCT((Inputs!$A$5:$A$190=$B31)*Inputs!$B$5:$B$190*(((Inputs!$G$5:$G$190="moeda")+(Inputs!$G$5:$G$190="acoes"))*Inputs!$B$1+((Inputs!$G$5:$G$190&lt;&gt;"moeda")*(Inputs!$G$5:$G$190&lt;&gt;"acoes")))*INDEX(Inputs!$K$5:$AJ$190,0,MATCH(S$2,Inputs!$K$4:$AJ$4,0)))+SUMPRODUCT((Inputs!$C$5:$C$190=$B31)*Inputs!$D$5:$D$190*(((Inputs!$G$5:$G$190="moeda")+(Inputs!$G$5:$G$190="acoes"))*Inputs!$B$1+((Inputs!$G$5:$G$190&lt;&gt;"moeda")*(Inputs!$G$5:$G$190&lt;&gt;"acoes")))*INDEX(Inputs!$K$5:$AJ$190,0,MATCH(S$2,Inputs!$K$4:$AJ$4,0)))+SUMPRODUCT((Inputs!$E$5:$E$190=$B31)*Inputs!$F$5:$F$190*(((Inputs!$G$5:$G$190="moeda")+(Inputs!$G$5:$G$190="acoes"))*Inputs!$B$1+((Inputs!$G$5:$G$190&lt;&gt;"moeda")*(Inputs!$G$5:$G$190&lt;&gt;"acoes")))*INDEX(Inputs!$K$5:$AJ$190,0,MATCH(S$2,Inputs!$K$4:$AJ$4,0)))))</f>
        <v>3993.21561223911</v>
      </c>
      <c r="T31" s="6">
        <f>IF(ISNA(MATCH(T$2,Inputs!$K$4:$AJ$4,0)),NA(),IF(SUMPRODUCT((Inputs!$A$5:$A$190=$B31)*ISNUMBER(INDEX(Inputs!$K$5:$AJ$190,0,MATCH(T$2,Inputs!$K$4:$AJ$4,0))))+SUMPRODUCT((Inputs!$C$5:$C$190=$B31)*ISNUMBER(INDEX(Inputs!$K$5:$AJ$190,0,MATCH(T$2,Inputs!$K$4:$AJ$4,0))))+SUMPRODUCT((Inputs!$E$5:$E$190=$B31)*ISNUMBER(INDEX(Inputs!$K$5:$AJ$190,0,MATCH(T$2,Inputs!$K$4:$AJ$4,0))))=0,NA(),SUMPRODUCT((Inputs!$A$5:$A$190=$B31)*Inputs!$B$5:$B$190*(((Inputs!$G$5:$G$190="moeda")+(Inputs!$G$5:$G$190="acoes"))*Inputs!$B$1+((Inputs!$G$5:$G$190&lt;&gt;"moeda")*(Inputs!$G$5:$G$190&lt;&gt;"acoes")))*INDEX(Inputs!$K$5:$AJ$190,0,MATCH(T$2,Inputs!$K$4:$AJ$4,0)))+SUMPRODUCT((Inputs!$C$5:$C$190=$B31)*Inputs!$D$5:$D$190*(((Inputs!$G$5:$G$190="moeda")+(Inputs!$G$5:$G$190="acoes"))*Inputs!$B$1+((Inputs!$G$5:$G$190&lt;&gt;"moeda")*(Inputs!$G$5:$G$190&lt;&gt;"acoes")))*INDEX(Inputs!$K$5:$AJ$190,0,MATCH(T$2,Inputs!$K$4:$AJ$4,0)))+SUMPRODUCT((Inputs!$E$5:$E$190=$B31)*Inputs!$F$5:$F$190*(((Inputs!$G$5:$G$190="moeda")+(Inputs!$G$5:$G$190="acoes"))*Inputs!$B$1+((Inputs!$G$5:$G$190&lt;&gt;"moeda")*(Inputs!$G$5:$G$190&lt;&gt;"acoes")))*INDEX(Inputs!$K$5:$AJ$190,0,MATCH(T$2,Inputs!$K$4:$AJ$4,0)))))</f>
        <v>3945.03831122424</v>
      </c>
      <c r="U31" s="6">
        <f>IF(ISNA(MATCH(U$2,Inputs!$K$4:$AJ$4,0)),NA(),IF(SUMPRODUCT((Inputs!$A$5:$A$190=$B31)*ISNUMBER(INDEX(Inputs!$K$5:$AJ$190,0,MATCH(U$2,Inputs!$K$4:$AJ$4,0))))+SUMPRODUCT((Inputs!$C$5:$C$190=$B31)*ISNUMBER(INDEX(Inputs!$K$5:$AJ$190,0,MATCH(U$2,Inputs!$K$4:$AJ$4,0))))+SUMPRODUCT((Inputs!$E$5:$E$190=$B31)*ISNUMBER(INDEX(Inputs!$K$5:$AJ$190,0,MATCH(U$2,Inputs!$K$4:$AJ$4,0))))=0,NA(),SUMPRODUCT((Inputs!$A$5:$A$190=$B31)*Inputs!$B$5:$B$190*(((Inputs!$G$5:$G$190="moeda")+(Inputs!$G$5:$G$190="acoes"))*Inputs!$B$1+((Inputs!$G$5:$G$190&lt;&gt;"moeda")*(Inputs!$G$5:$G$190&lt;&gt;"acoes")))*INDEX(Inputs!$K$5:$AJ$190,0,MATCH(U$2,Inputs!$K$4:$AJ$4,0)))+SUMPRODUCT((Inputs!$C$5:$C$190=$B31)*Inputs!$D$5:$D$190*(((Inputs!$G$5:$G$190="moeda")+(Inputs!$G$5:$G$190="acoes"))*Inputs!$B$1+((Inputs!$G$5:$G$190&lt;&gt;"moeda")*(Inputs!$G$5:$G$190&lt;&gt;"acoes")))*INDEX(Inputs!$K$5:$AJ$190,0,MATCH(U$2,Inputs!$K$4:$AJ$4,0)))+SUMPRODUCT((Inputs!$E$5:$E$190=$B31)*Inputs!$F$5:$F$190*(((Inputs!$G$5:$G$190="moeda")+(Inputs!$G$5:$G$190="acoes"))*Inputs!$B$1+((Inputs!$G$5:$G$190&lt;&gt;"moeda")*(Inputs!$G$5:$G$190&lt;&gt;"acoes")))*INDEX(Inputs!$K$5:$AJ$190,0,MATCH(U$2,Inputs!$K$4:$AJ$4,0)))))</f>
        <v>3679.33467694934</v>
      </c>
      <c r="V31" s="6">
        <f>IF(ISNA(MATCH(V$2,Inputs!$K$4:$AJ$4,0)),NA(),IF(SUMPRODUCT((Inputs!$A$5:$A$190=$B31)*ISNUMBER(INDEX(Inputs!$K$5:$AJ$190,0,MATCH(V$2,Inputs!$K$4:$AJ$4,0))))+SUMPRODUCT((Inputs!$C$5:$C$190=$B31)*ISNUMBER(INDEX(Inputs!$K$5:$AJ$190,0,MATCH(V$2,Inputs!$K$4:$AJ$4,0))))+SUMPRODUCT((Inputs!$E$5:$E$190=$B31)*ISNUMBER(INDEX(Inputs!$K$5:$AJ$190,0,MATCH(V$2,Inputs!$K$4:$AJ$4,0))))=0,NA(),SUMPRODUCT((Inputs!$A$5:$A$190=$B31)*Inputs!$B$5:$B$190*(((Inputs!$G$5:$G$190="moeda")+(Inputs!$G$5:$G$190="acoes"))*Inputs!$B$1+((Inputs!$G$5:$G$190&lt;&gt;"moeda")*(Inputs!$G$5:$G$190&lt;&gt;"acoes")))*INDEX(Inputs!$K$5:$AJ$190,0,MATCH(V$2,Inputs!$K$4:$AJ$4,0)))+SUMPRODUCT((Inputs!$C$5:$C$190=$B31)*Inputs!$D$5:$D$190*(((Inputs!$G$5:$G$190="moeda")+(Inputs!$G$5:$G$190="acoes"))*Inputs!$B$1+((Inputs!$G$5:$G$190&lt;&gt;"moeda")*(Inputs!$G$5:$G$190&lt;&gt;"acoes")))*INDEX(Inputs!$K$5:$AJ$190,0,MATCH(V$2,Inputs!$K$4:$AJ$4,0)))+SUMPRODUCT((Inputs!$E$5:$E$190=$B31)*Inputs!$F$5:$F$190*(((Inputs!$G$5:$G$190="moeda")+(Inputs!$G$5:$G$190="acoes"))*Inputs!$B$1+((Inputs!$G$5:$G$190&lt;&gt;"moeda")*(Inputs!$G$5:$G$190&lt;&gt;"acoes")))*INDEX(Inputs!$K$5:$AJ$190,0,MATCH(V$2,Inputs!$K$4:$AJ$4,0)))))</f>
        <v>4191.26255185</v>
      </c>
      <c r="W31" s="3">
        <f>V31</f>
        <v>4191.26255185</v>
      </c>
      <c r="X31" s="6">
        <f>IF(ISNA(MATCH(X$2,Inputs!$K$4:$AJ$4,0)),NA(),IF(SUMPRODUCT((Inputs!$A$5:$A$190=$B31)*ISNUMBER(INDEX(Inputs!$K$5:$AJ$190,0,MATCH(X$2,Inputs!$K$4:$AJ$4,0))))+SUMPRODUCT((Inputs!$C$5:$C$190=$B31)*ISNUMBER(INDEX(Inputs!$K$5:$AJ$190,0,MATCH(X$2,Inputs!$K$4:$AJ$4,0))))+SUMPRODUCT((Inputs!$E$5:$E$190=$B31)*ISNUMBER(INDEX(Inputs!$K$5:$AJ$190,0,MATCH(X$2,Inputs!$K$4:$AJ$4,0))))=0,NA(),SUMPRODUCT((Inputs!$A$5:$A$190=$B31)*Inputs!$B$5:$B$190*(((Inputs!$G$5:$G$190="moeda")+(Inputs!$G$5:$G$190="acoes"))*Inputs!$B$1+((Inputs!$G$5:$G$190&lt;&gt;"moeda")*(Inputs!$G$5:$G$190&lt;&gt;"acoes")))*INDEX(Inputs!$K$5:$AJ$190,0,MATCH(X$2,Inputs!$K$4:$AJ$4,0)))+SUMPRODUCT((Inputs!$C$5:$C$190=$B31)*Inputs!$D$5:$D$190*(((Inputs!$G$5:$G$190="moeda")+(Inputs!$G$5:$G$190="acoes"))*Inputs!$B$1+((Inputs!$G$5:$G$190&lt;&gt;"moeda")*(Inputs!$G$5:$G$190&lt;&gt;"acoes")))*INDEX(Inputs!$K$5:$AJ$190,0,MATCH(X$2,Inputs!$K$4:$AJ$4,0)))+SUMPRODUCT((Inputs!$E$5:$E$190=$B31)*Inputs!$F$5:$F$190*(((Inputs!$G$5:$G$190="moeda")+(Inputs!$G$5:$G$190="acoes"))*Inputs!$B$1+((Inputs!$G$5:$G$190&lt;&gt;"moeda")*(Inputs!$G$5:$G$190&lt;&gt;"acoes")))*INDEX(Inputs!$K$5:$AJ$190,0,MATCH(X$2,Inputs!$K$4:$AJ$4,0)))))</f>
        <v>3876.26957221</v>
      </c>
      <c r="Y31" s="6">
        <f>IF(ISNA(MATCH(Y$2,Inputs!$K$4:$AJ$4,0)),NA(),IF(SUMPRODUCT((Inputs!$A$5:$A$190=$B31)*ISNUMBER(INDEX(Inputs!$K$5:$AJ$190,0,MATCH(Y$2,Inputs!$K$4:$AJ$4,0))))+SUMPRODUCT((Inputs!$C$5:$C$190=$B31)*ISNUMBER(INDEX(Inputs!$K$5:$AJ$190,0,MATCH(Y$2,Inputs!$K$4:$AJ$4,0))))+SUMPRODUCT((Inputs!$E$5:$E$190=$B31)*ISNUMBER(INDEX(Inputs!$K$5:$AJ$190,0,MATCH(Y$2,Inputs!$K$4:$AJ$4,0))))=0,NA(),SUMPRODUCT((Inputs!$A$5:$A$190=$B31)*Inputs!$B$5:$B$190*(((Inputs!$G$5:$G$190="moeda")+(Inputs!$G$5:$G$190="acoes"))*Inputs!$B$1+((Inputs!$G$5:$G$190&lt;&gt;"moeda")*(Inputs!$G$5:$G$190&lt;&gt;"acoes")))*INDEX(Inputs!$K$5:$AJ$190,0,MATCH(Y$2,Inputs!$K$4:$AJ$4,0)))+SUMPRODUCT((Inputs!$C$5:$C$190=$B31)*Inputs!$D$5:$D$190*(((Inputs!$G$5:$G$190="moeda")+(Inputs!$G$5:$G$190="acoes"))*Inputs!$B$1+((Inputs!$G$5:$G$190&lt;&gt;"moeda")*(Inputs!$G$5:$G$190&lt;&gt;"acoes")))*INDEX(Inputs!$K$5:$AJ$190,0,MATCH(Y$2,Inputs!$K$4:$AJ$4,0)))+SUMPRODUCT((Inputs!$E$5:$E$190=$B31)*Inputs!$F$5:$F$190*(((Inputs!$G$5:$G$190="moeda")+(Inputs!$G$5:$G$190="acoes"))*Inputs!$B$1+((Inputs!$G$5:$G$190&lt;&gt;"moeda")*(Inputs!$G$5:$G$190&lt;&gt;"acoes")))*INDEX(Inputs!$K$5:$AJ$190,0,MATCH(Y$2,Inputs!$K$4:$AJ$4,0)))))</f>
        <v>3694.10962837</v>
      </c>
      <c r="Z31" s="6">
        <f>IF(ISNA(MATCH(Z$2,Inputs!$K$4:$AJ$4,0)),NA(),IF(SUMPRODUCT((Inputs!$A$5:$A$190=$B31)*ISNUMBER(INDEX(Inputs!$K$5:$AJ$190,0,MATCH(Z$2,Inputs!$K$4:$AJ$4,0))))+SUMPRODUCT((Inputs!$C$5:$C$190=$B31)*ISNUMBER(INDEX(Inputs!$K$5:$AJ$190,0,MATCH(Z$2,Inputs!$K$4:$AJ$4,0))))+SUMPRODUCT((Inputs!$E$5:$E$190=$B31)*ISNUMBER(INDEX(Inputs!$K$5:$AJ$190,0,MATCH(Z$2,Inputs!$K$4:$AJ$4,0))))=0,NA(),SUMPRODUCT((Inputs!$A$5:$A$190=$B31)*Inputs!$B$5:$B$190*(((Inputs!$G$5:$G$190="moeda")+(Inputs!$G$5:$G$190="acoes"))*Inputs!$B$1+((Inputs!$G$5:$G$190&lt;&gt;"moeda")*(Inputs!$G$5:$G$190&lt;&gt;"acoes")))*INDEX(Inputs!$K$5:$AJ$190,0,MATCH(Z$2,Inputs!$K$4:$AJ$4,0)))+SUMPRODUCT((Inputs!$C$5:$C$190=$B31)*Inputs!$D$5:$D$190*(((Inputs!$G$5:$G$190="moeda")+(Inputs!$G$5:$G$190="acoes"))*Inputs!$B$1+((Inputs!$G$5:$G$190&lt;&gt;"moeda")*(Inputs!$G$5:$G$190&lt;&gt;"acoes")))*INDEX(Inputs!$K$5:$AJ$190,0,MATCH(Z$2,Inputs!$K$4:$AJ$4,0)))+SUMPRODUCT((Inputs!$E$5:$E$190=$B31)*Inputs!$F$5:$F$190*(((Inputs!$G$5:$G$190="moeda")+(Inputs!$G$5:$G$190="acoes"))*Inputs!$B$1+((Inputs!$G$5:$G$190&lt;&gt;"moeda")*(Inputs!$G$5:$G$190&lt;&gt;"acoes")))*INDEX(Inputs!$K$5:$AJ$190,0,MATCH(Z$2,Inputs!$K$4:$AJ$4,0)))))</f>
        <v>4079.88060596</v>
      </c>
      <c r="AA31" s="6">
        <f>IF(ISNA(MATCH(AA$2,Inputs!$K$4:$AJ$4,0)),NA(),IF(SUMPRODUCT((Inputs!$A$5:$A$190=$B31)*ISNUMBER(INDEX(Inputs!$K$5:$AJ$190,0,MATCH(AA$2,Inputs!$K$4:$AJ$4,0))))+SUMPRODUCT((Inputs!$C$5:$C$190=$B31)*ISNUMBER(INDEX(Inputs!$K$5:$AJ$190,0,MATCH(AA$2,Inputs!$K$4:$AJ$4,0))))+SUMPRODUCT((Inputs!$E$5:$E$190=$B31)*ISNUMBER(INDEX(Inputs!$K$5:$AJ$190,0,MATCH(AA$2,Inputs!$K$4:$AJ$4,0))))=0,NA(),SUMPRODUCT((Inputs!$A$5:$A$190=$B31)*Inputs!$B$5:$B$190*(((Inputs!$G$5:$G$190="moeda")+(Inputs!$G$5:$G$190="acoes"))*Inputs!$B$1+((Inputs!$G$5:$G$190&lt;&gt;"moeda")*(Inputs!$G$5:$G$190&lt;&gt;"acoes")))*INDEX(Inputs!$K$5:$AJ$190,0,MATCH(AA$2,Inputs!$K$4:$AJ$4,0)))+SUMPRODUCT((Inputs!$C$5:$C$190=$B31)*Inputs!$D$5:$D$190*(((Inputs!$G$5:$G$190="moeda")+(Inputs!$G$5:$G$190="acoes"))*Inputs!$B$1+((Inputs!$G$5:$G$190&lt;&gt;"moeda")*(Inputs!$G$5:$G$190&lt;&gt;"acoes")))*INDEX(Inputs!$K$5:$AJ$190,0,MATCH(AA$2,Inputs!$K$4:$AJ$4,0)))+SUMPRODUCT((Inputs!$E$5:$E$190=$B31)*Inputs!$F$5:$F$190*(((Inputs!$G$5:$G$190="moeda")+(Inputs!$G$5:$G$190="acoes"))*Inputs!$B$1+((Inputs!$G$5:$G$190&lt;&gt;"moeda")*(Inputs!$G$5:$G$190&lt;&gt;"acoes")))*INDEX(Inputs!$K$5:$AJ$190,0,MATCH(AA$2,Inputs!$K$4:$AJ$4,0)))))</f>
        <v>4568.98124521</v>
      </c>
      <c r="AB31" s="3">
        <f>AA31</f>
        <v>4568.98124521</v>
      </c>
      <c r="AC31" s="6">
        <f>IF(ISNA(MATCH(AC$2,Inputs!$K$4:$AJ$4,0)),NA(),IF(SUMPRODUCT((Inputs!$A$5:$A$190=$B31)*ISNUMBER(INDEX(Inputs!$K$5:$AJ$190,0,MATCH(AC$2,Inputs!$K$4:$AJ$4,0))))+SUMPRODUCT((Inputs!$C$5:$C$190=$B31)*ISNUMBER(INDEX(Inputs!$K$5:$AJ$190,0,MATCH(AC$2,Inputs!$K$4:$AJ$4,0))))+SUMPRODUCT((Inputs!$E$5:$E$190=$B31)*ISNUMBER(INDEX(Inputs!$K$5:$AJ$190,0,MATCH(AC$2,Inputs!$K$4:$AJ$4,0))))=0,NA(),SUMPRODUCT((Inputs!$A$5:$A$190=$B31)*Inputs!$B$5:$B$190*(((Inputs!$G$5:$G$190="moeda")+(Inputs!$G$5:$G$190="acoes"))*Inputs!$B$1+((Inputs!$G$5:$G$190&lt;&gt;"moeda")*(Inputs!$G$5:$G$190&lt;&gt;"acoes")))*INDEX(Inputs!$K$5:$AJ$190,0,MATCH(AC$2,Inputs!$K$4:$AJ$4,0)))+SUMPRODUCT((Inputs!$C$5:$C$190=$B31)*Inputs!$D$5:$D$190*(((Inputs!$G$5:$G$190="moeda")+(Inputs!$G$5:$G$190="acoes"))*Inputs!$B$1+((Inputs!$G$5:$G$190&lt;&gt;"moeda")*(Inputs!$G$5:$G$190&lt;&gt;"acoes")))*INDEX(Inputs!$K$5:$AJ$190,0,MATCH(AC$2,Inputs!$K$4:$AJ$4,0)))+SUMPRODUCT((Inputs!$E$5:$E$190=$B31)*Inputs!$F$5:$F$190*(((Inputs!$G$5:$G$190="moeda")+(Inputs!$G$5:$G$190="acoes"))*Inputs!$B$1+((Inputs!$G$5:$G$190&lt;&gt;"moeda")*(Inputs!$G$5:$G$190&lt;&gt;"acoes")))*INDEX(Inputs!$K$5:$AJ$190,0,MATCH(AC$2,Inputs!$K$4:$AJ$4,0)))))</f>
        <v>5436.73580862</v>
      </c>
      <c r="AD31" s="6">
        <f>IF(ISNA(MATCH(AD$2,Inputs!$K$4:$AJ$4,0)),NA(),IF(SUMPRODUCT((Inputs!$A$5:$A$190=$B31)*ISNUMBER(INDEX(Inputs!$K$5:$AJ$190,0,MATCH(AD$2,Inputs!$K$4:$AJ$4,0))))+SUMPRODUCT((Inputs!$C$5:$C$190=$B31)*ISNUMBER(INDEX(Inputs!$K$5:$AJ$190,0,MATCH(AD$2,Inputs!$K$4:$AJ$4,0))))+SUMPRODUCT((Inputs!$E$5:$E$190=$B31)*ISNUMBER(INDEX(Inputs!$K$5:$AJ$190,0,MATCH(AD$2,Inputs!$K$4:$AJ$4,0))))=0,NA(),SUMPRODUCT((Inputs!$A$5:$A$190=$B31)*Inputs!$B$5:$B$190*(((Inputs!$G$5:$G$190="moeda")+(Inputs!$G$5:$G$190="acoes"))*Inputs!$B$1+((Inputs!$G$5:$G$190&lt;&gt;"moeda")*(Inputs!$G$5:$G$190&lt;&gt;"acoes")))*INDEX(Inputs!$K$5:$AJ$190,0,MATCH(AD$2,Inputs!$K$4:$AJ$4,0)))+SUMPRODUCT((Inputs!$C$5:$C$190=$B31)*Inputs!$D$5:$D$190*(((Inputs!$G$5:$G$190="moeda")+(Inputs!$G$5:$G$190="acoes"))*Inputs!$B$1+((Inputs!$G$5:$G$190&lt;&gt;"moeda")*(Inputs!$G$5:$G$190&lt;&gt;"acoes")))*INDEX(Inputs!$K$5:$AJ$190,0,MATCH(AD$2,Inputs!$K$4:$AJ$4,0)))+SUMPRODUCT((Inputs!$E$5:$E$190=$B31)*Inputs!$F$5:$F$190*(((Inputs!$G$5:$G$190="moeda")+(Inputs!$G$5:$G$190="acoes"))*Inputs!$B$1+((Inputs!$G$5:$G$190&lt;&gt;"moeda")*(Inputs!$G$5:$G$190&lt;&gt;"acoes")))*INDEX(Inputs!$K$5:$AJ$190,0,MATCH(AD$2,Inputs!$K$4:$AJ$4,0)))))</f>
        <v>6293.82962774</v>
      </c>
      <c r="AE31" s="6" t="e">
        <f>IF(ISNA(MATCH(AE$2,Inputs!$K$4:$AJ$4,0)),NA(),IF(SUMPRODUCT((Inputs!$A$5:$A$190=$B31)*ISNUMBER(INDEX(Inputs!$K$5:$AJ$190,0,MATCH(AE$2,Inputs!$K$4:$AJ$4,0))))+SUMPRODUCT((Inputs!$C$5:$C$190=$B31)*ISNUMBER(INDEX(Inputs!$K$5:$AJ$190,0,MATCH(AE$2,Inputs!$K$4:$AJ$4,0))))+SUMPRODUCT((Inputs!$E$5:$E$190=$B31)*ISNUMBER(INDEX(Inputs!$K$5:$AJ$190,0,MATCH(AE$2,Inputs!$K$4:$AJ$4,0))))=0,NA(),SUMPRODUCT((Inputs!$A$5:$A$190=$B31)*Inputs!$B$5:$B$190*(((Inputs!$G$5:$G$190="moeda")+(Inputs!$G$5:$G$190="acoes"))*Inputs!$B$1+((Inputs!$G$5:$G$190&lt;&gt;"moeda")*(Inputs!$G$5:$G$190&lt;&gt;"acoes")))*INDEX(Inputs!$K$5:$AJ$190,0,MATCH(AE$2,Inputs!$K$4:$AJ$4,0)))+SUMPRODUCT((Inputs!$C$5:$C$190=$B31)*Inputs!$D$5:$D$190*(((Inputs!$G$5:$G$190="moeda")+(Inputs!$G$5:$G$190="acoes"))*Inputs!$B$1+((Inputs!$G$5:$G$190&lt;&gt;"moeda")*(Inputs!$G$5:$G$190&lt;&gt;"acoes")))*INDEX(Inputs!$K$5:$AJ$190,0,MATCH(AE$2,Inputs!$K$4:$AJ$4,0)))+SUMPRODUCT((Inputs!$E$5:$E$190=$B31)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31" s="6" t="e">
        <f>IF(ISNA(MATCH(AF$2,Inputs!$K$4:$AJ$4,0)),NA(),IF(SUMPRODUCT((Inputs!$A$5:$A$190=$B31)*ISNUMBER(INDEX(Inputs!$K$5:$AJ$190,0,MATCH(AF$2,Inputs!$K$4:$AJ$4,0))))+SUMPRODUCT((Inputs!$C$5:$C$190=$B31)*ISNUMBER(INDEX(Inputs!$K$5:$AJ$190,0,MATCH(AF$2,Inputs!$K$4:$AJ$4,0))))+SUMPRODUCT((Inputs!$E$5:$E$190=$B31)*ISNUMBER(INDEX(Inputs!$K$5:$AJ$190,0,MATCH(AF$2,Inputs!$K$4:$AJ$4,0))))=0,NA(),SUMPRODUCT((Inputs!$A$5:$A$190=$B31)*Inputs!$B$5:$B$190*(((Inputs!$G$5:$G$190="moeda")+(Inputs!$G$5:$G$190="acoes"))*Inputs!$B$1+((Inputs!$G$5:$G$190&lt;&gt;"moeda")*(Inputs!$G$5:$G$190&lt;&gt;"acoes")))*INDEX(Inputs!$K$5:$AJ$190,0,MATCH(AF$2,Inputs!$K$4:$AJ$4,0)))+SUMPRODUCT((Inputs!$C$5:$C$190=$B31)*Inputs!$D$5:$D$190*(((Inputs!$G$5:$G$190="moeda")+(Inputs!$G$5:$G$190="acoes"))*Inputs!$B$1+((Inputs!$G$5:$G$190&lt;&gt;"moeda")*(Inputs!$G$5:$G$190&lt;&gt;"acoes")))*INDEX(Inputs!$K$5:$AJ$190,0,MATCH(AF$2,Inputs!$K$4:$AJ$4,0)))+SUMPRODUCT((Inputs!$E$5:$E$190=$B31)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31" s="3" t="e">
        <f>AF31</f>
        <v>#N/A</v>
      </c>
      <c r="AH31" s="6">
        <f>IF(ISNA(MATCH(AH$2,Inputs!$K$4:$AJ$4,0)),NA(),IF(SUMPRODUCT((Inputs!$A$5:$A$190=$B31)*ISNUMBER(INDEX(Inputs!$K$5:$AJ$190,0,MATCH(AH$2,Inputs!$K$4:$AJ$4,0))))+SUMPRODUCT((Inputs!$C$5:$C$190=$B31)*ISNUMBER(INDEX(Inputs!$K$5:$AJ$190,0,MATCH(AH$2,Inputs!$K$4:$AJ$4,0))))+SUMPRODUCT((Inputs!$E$5:$E$190=$B31)*ISNUMBER(INDEX(Inputs!$K$5:$AJ$190,0,MATCH(AH$2,Inputs!$K$4:$AJ$4,0))))=0,NA(),SUMPRODUCT((Inputs!$A$5:$A$190=$B31)*Inputs!$B$5:$B$190*(((Inputs!$G$5:$G$190="moeda")+(Inputs!$G$5:$G$190="acoes"))*Inputs!$B$1+((Inputs!$G$5:$G$190&lt;&gt;"moeda")*(Inputs!$G$5:$G$190&lt;&gt;"acoes")))*INDEX(Inputs!$K$5:$AJ$190,0,MATCH(AH$2,Inputs!$K$4:$AJ$4,0)))+SUMPRODUCT((Inputs!$C$5:$C$190=$B31)*Inputs!$D$5:$D$190*(((Inputs!$G$5:$G$190="moeda")+(Inputs!$G$5:$G$190="acoes"))*Inputs!$B$1+((Inputs!$G$5:$G$190&lt;&gt;"moeda")*(Inputs!$G$5:$G$190&lt;&gt;"acoes")))*INDEX(Inputs!$K$5:$AJ$190,0,MATCH(AH$2,Inputs!$K$4:$AJ$4,0)))+SUMPRODUCT((Inputs!$E$5:$E$190=$B31)*Inputs!$F$5:$F$190*(((Inputs!$G$5:$G$190="moeda")+(Inputs!$G$5:$G$190="acoes"))*Inputs!$B$1+((Inputs!$G$5:$G$190&lt;&gt;"moeda")*(Inputs!$G$5:$G$190&lt;&gt;"acoes")))*INDEX(Inputs!$K$5:$AJ$190,0,MATCH(AH$2,Inputs!$K$4:$AJ$4,0)))))</f>
        <v>379.5297808813</v>
      </c>
      <c r="AI31" s="6">
        <f>IF(ISNA(MATCH(AI$2,Inputs!$K$4:$AJ$4,0)),NA(),IF(SUMPRODUCT((Inputs!$A$5:$A$190=$B31)*ISNUMBER(INDEX(Inputs!$K$5:$AJ$190,0,MATCH(AI$2,Inputs!$K$4:$AJ$4,0))))+SUMPRODUCT((Inputs!$C$5:$C$190=$B31)*ISNUMBER(INDEX(Inputs!$K$5:$AJ$190,0,MATCH(AI$2,Inputs!$K$4:$AJ$4,0))))+SUMPRODUCT((Inputs!$E$5:$E$190=$B31)*ISNUMBER(INDEX(Inputs!$K$5:$AJ$190,0,MATCH(AI$2,Inputs!$K$4:$AJ$4,0))))=0,NA(),SUMPRODUCT((Inputs!$A$5:$A$190=$B31)*Inputs!$B$5:$B$190*(((Inputs!$G$5:$G$190="moeda")+(Inputs!$G$5:$G$190="acoes"))*Inputs!$B$1+((Inputs!$G$5:$G$190&lt;&gt;"moeda")*(Inputs!$G$5:$G$190&lt;&gt;"acoes")))*INDEX(Inputs!$K$5:$AJ$190,0,MATCH(AI$2,Inputs!$K$4:$AJ$4,0)))+SUMPRODUCT((Inputs!$C$5:$C$190=$B31)*Inputs!$D$5:$D$190*(((Inputs!$G$5:$G$190="moeda")+(Inputs!$G$5:$G$190="acoes"))*Inputs!$B$1+((Inputs!$G$5:$G$190&lt;&gt;"moeda")*(Inputs!$G$5:$G$190&lt;&gt;"acoes")))*INDEX(Inputs!$K$5:$AJ$190,0,MATCH(AI$2,Inputs!$K$4:$AJ$4,0)))+SUMPRODUCT((Inputs!$E$5:$E$190=$B31)*Inputs!$F$5:$F$190*(((Inputs!$G$5:$G$190="moeda")+(Inputs!$G$5:$G$190="acoes"))*Inputs!$B$1+((Inputs!$G$5:$G$190&lt;&gt;"moeda")*(Inputs!$G$5:$G$190&lt;&gt;"acoes")))*INDEX(Inputs!$K$5:$AJ$190,0,MATCH(AI$2,Inputs!$K$4:$AJ$4,0)))))</f>
        <v>357.0973542</v>
      </c>
      <c r="AJ31" s="6">
        <f>IF(ISNA(MATCH(AJ$2,Inputs!$K$4:$AJ$4,0)),NA(),IF(SUMPRODUCT((Inputs!$A$5:$A$190=$B31)*ISNUMBER(INDEX(Inputs!$K$5:$AJ$190,0,MATCH(AJ$2,Inputs!$K$4:$AJ$4,0))))+SUMPRODUCT((Inputs!$C$5:$C$190=$B31)*ISNUMBER(INDEX(Inputs!$K$5:$AJ$190,0,MATCH(AJ$2,Inputs!$K$4:$AJ$4,0))))+SUMPRODUCT((Inputs!$E$5:$E$190=$B31)*ISNUMBER(INDEX(Inputs!$K$5:$AJ$190,0,MATCH(AJ$2,Inputs!$K$4:$AJ$4,0))))=0,NA(),SUMPRODUCT((Inputs!$A$5:$A$190=$B31)*Inputs!$B$5:$B$190*(((Inputs!$G$5:$G$190="moeda")+(Inputs!$G$5:$G$190="acoes"))*Inputs!$B$1+((Inputs!$G$5:$G$190&lt;&gt;"moeda")*(Inputs!$G$5:$G$190&lt;&gt;"acoes")))*INDEX(Inputs!$K$5:$AJ$190,0,MATCH(AJ$2,Inputs!$K$4:$AJ$4,0)))+SUMPRODUCT((Inputs!$C$5:$C$190=$B31)*Inputs!$D$5:$D$190*(((Inputs!$G$5:$G$190="moeda")+(Inputs!$G$5:$G$190="acoes"))*Inputs!$B$1+((Inputs!$G$5:$G$190&lt;&gt;"moeda")*(Inputs!$G$5:$G$190&lt;&gt;"acoes")))*INDEX(Inputs!$K$5:$AJ$190,0,MATCH(AJ$2,Inputs!$K$4:$AJ$4,0)))+SUMPRODUCT((Inputs!$E$5:$E$190=$B31)*Inputs!$F$5:$F$190*(((Inputs!$G$5:$G$190="moeda")+(Inputs!$G$5:$G$190="acoes"))*Inputs!$B$1+((Inputs!$G$5:$G$190&lt;&gt;"moeda")*(Inputs!$G$5:$G$190&lt;&gt;"acoes")))*INDEX(Inputs!$K$5:$AJ$190,0,MATCH(AJ$2,Inputs!$K$4:$AJ$4,0)))))</f>
        <v>359.7103293</v>
      </c>
      <c r="AK31" s="6">
        <f>IF(ISNA(MATCH(AK$2,Inputs!$K$4:$AJ$4,0)),NA(),IF(SUMPRODUCT((Inputs!$A$5:$A$190=$B31)*ISNUMBER(INDEX(Inputs!$K$5:$AJ$190,0,MATCH(AK$2,Inputs!$K$4:$AJ$4,0))))+SUMPRODUCT((Inputs!$C$5:$C$190=$B31)*ISNUMBER(INDEX(Inputs!$K$5:$AJ$190,0,MATCH(AK$2,Inputs!$K$4:$AJ$4,0))))+SUMPRODUCT((Inputs!$E$5:$E$190=$B31)*ISNUMBER(INDEX(Inputs!$K$5:$AJ$190,0,MATCH(AK$2,Inputs!$K$4:$AJ$4,0))))=0,NA(),SUMPRODUCT((Inputs!$A$5:$A$190=$B31)*Inputs!$B$5:$B$190*(((Inputs!$G$5:$G$190="moeda")+(Inputs!$G$5:$G$190="acoes"))*Inputs!$B$1+((Inputs!$G$5:$G$190&lt;&gt;"moeda")*(Inputs!$G$5:$G$190&lt;&gt;"acoes")))*INDEX(Inputs!$K$5:$AJ$190,0,MATCH(AK$2,Inputs!$K$4:$AJ$4,0)))+SUMPRODUCT((Inputs!$C$5:$C$190=$B31)*Inputs!$D$5:$D$190*(((Inputs!$G$5:$G$190="moeda")+(Inputs!$G$5:$G$190="acoes"))*Inputs!$B$1+((Inputs!$G$5:$G$190&lt;&gt;"moeda")*(Inputs!$G$5:$G$190&lt;&gt;"acoes")))*INDEX(Inputs!$K$5:$AJ$190,0,MATCH(AK$2,Inputs!$K$4:$AJ$4,0)))+SUMPRODUCT((Inputs!$E$5:$E$190=$B31)*Inputs!$F$5:$F$190*(((Inputs!$G$5:$G$190="moeda")+(Inputs!$G$5:$G$190="acoes"))*Inputs!$B$1+((Inputs!$G$5:$G$190&lt;&gt;"moeda")*(Inputs!$G$5:$G$190&lt;&gt;"acoes")))*INDEX(Inputs!$K$5:$AJ$190,0,MATCH(AK$2,Inputs!$K$4:$AJ$4,0)))))</f>
        <v>657.7685107552</v>
      </c>
      <c r="AL31" s="3">
        <f>AK31</f>
        <v>657.7685107552</v>
      </c>
    </row>
    <row r="32">
      <c r="B32" s="46" t="n">
        <v>27</v>
      </c>
      <c r="C32" s="26" t="inlineStr">
        <is>
          <t>Current portion of long-term debt</t>
        </is>
      </c>
      <c r="D32" s="6">
        <f>IF(ISNA(MATCH(D$2,Inputs!$K$4:$AJ$4,0)),NA(),IF(SUMPRODUCT((Inputs!$A$5:$A$190=$B32)*ISNUMBER(INDEX(Inputs!$K$5:$AJ$190,0,MATCH(D$2,Inputs!$K$4:$AJ$4,0))))+SUMPRODUCT((Inputs!$C$5:$C$190=$B32)*ISNUMBER(INDEX(Inputs!$K$5:$AJ$190,0,MATCH(D$2,Inputs!$K$4:$AJ$4,0))))+SUMPRODUCT((Inputs!$E$5:$E$190=$B32)*ISNUMBER(INDEX(Inputs!$K$5:$AJ$190,0,MATCH(D$2,Inputs!$K$4:$AJ$4,0))))=0,NA(),SUMPRODUCT((Inputs!$A$5:$A$190=$B32)*Inputs!$B$5:$B$190*(((Inputs!$G$5:$G$190="moeda")+(Inputs!$G$5:$G$190="acoes"))*Inputs!$B$1+((Inputs!$G$5:$G$190&lt;&gt;"moeda")*(Inputs!$G$5:$G$190&lt;&gt;"acoes")))*INDEX(Inputs!$K$5:$AJ$190,0,MATCH(D$2,Inputs!$K$4:$AJ$4,0)))+SUMPRODUCT((Inputs!$C$5:$C$190=$B32)*Inputs!$D$5:$D$190*(((Inputs!$G$5:$G$190="moeda")+(Inputs!$G$5:$G$190="acoes"))*Inputs!$B$1+((Inputs!$G$5:$G$190&lt;&gt;"moeda")*(Inputs!$G$5:$G$190&lt;&gt;"acoes")))*INDEX(Inputs!$K$5:$AJ$190,0,MATCH(D$2,Inputs!$K$4:$AJ$4,0)))+SUMPRODUCT((Inputs!$E$5:$E$190=$B32)*Inputs!$F$5:$F$190*(((Inputs!$G$5:$G$190="moeda")+(Inputs!$G$5:$G$190="acoes"))*Inputs!$B$1+((Inputs!$G$5:$G$190&lt;&gt;"moeda")*(Inputs!$G$5:$G$190&lt;&gt;"acoes")))*INDEX(Inputs!$K$5:$AJ$190,0,MATCH(D$2,Inputs!$K$4:$AJ$4,0)))))</f>
        <v>1249.60036427</v>
      </c>
      <c r="E32" s="6">
        <f>IF(ISNA(MATCH(E$2,Inputs!$K$4:$AJ$4,0)),NA(),IF(SUMPRODUCT((Inputs!$A$5:$A$190=$B32)*ISNUMBER(INDEX(Inputs!$K$5:$AJ$190,0,MATCH(E$2,Inputs!$K$4:$AJ$4,0))))+SUMPRODUCT((Inputs!$C$5:$C$190=$B32)*ISNUMBER(INDEX(Inputs!$K$5:$AJ$190,0,MATCH(E$2,Inputs!$K$4:$AJ$4,0))))+SUMPRODUCT((Inputs!$E$5:$E$190=$B32)*ISNUMBER(INDEX(Inputs!$K$5:$AJ$190,0,MATCH(E$2,Inputs!$K$4:$AJ$4,0))))=0,NA(),SUMPRODUCT((Inputs!$A$5:$A$190=$B32)*Inputs!$B$5:$B$190*(((Inputs!$G$5:$G$190="moeda")+(Inputs!$G$5:$G$190="acoes"))*Inputs!$B$1+((Inputs!$G$5:$G$190&lt;&gt;"moeda")*(Inputs!$G$5:$G$190&lt;&gt;"acoes")))*INDEX(Inputs!$K$5:$AJ$190,0,MATCH(E$2,Inputs!$K$4:$AJ$4,0)))+SUMPRODUCT((Inputs!$C$5:$C$190=$B32)*Inputs!$D$5:$D$190*(((Inputs!$G$5:$G$190="moeda")+(Inputs!$G$5:$G$190="acoes"))*Inputs!$B$1+((Inputs!$G$5:$G$190&lt;&gt;"moeda")*(Inputs!$G$5:$G$190&lt;&gt;"acoes")))*INDEX(Inputs!$K$5:$AJ$190,0,MATCH(E$2,Inputs!$K$4:$AJ$4,0)))+SUMPRODUCT((Inputs!$E$5:$E$190=$B32)*Inputs!$F$5:$F$190*(((Inputs!$G$5:$G$190="moeda")+(Inputs!$G$5:$G$190="acoes"))*Inputs!$B$1+((Inputs!$G$5:$G$190&lt;&gt;"moeda")*(Inputs!$G$5:$G$190&lt;&gt;"acoes")))*INDEX(Inputs!$K$5:$AJ$190,0,MATCH(E$2,Inputs!$K$4:$AJ$4,0)))))</f>
        <v>1219.70268923</v>
      </c>
      <c r="F32" s="6">
        <f>IF(ISNA(MATCH(F$2,Inputs!$K$4:$AJ$4,0)),NA(),IF(SUMPRODUCT((Inputs!$A$5:$A$190=$B32)*ISNUMBER(INDEX(Inputs!$K$5:$AJ$190,0,MATCH(F$2,Inputs!$K$4:$AJ$4,0))))+SUMPRODUCT((Inputs!$C$5:$C$190=$B32)*ISNUMBER(INDEX(Inputs!$K$5:$AJ$190,0,MATCH(F$2,Inputs!$K$4:$AJ$4,0))))+SUMPRODUCT((Inputs!$E$5:$E$190=$B32)*ISNUMBER(INDEX(Inputs!$K$5:$AJ$190,0,MATCH(F$2,Inputs!$K$4:$AJ$4,0))))=0,NA(),SUMPRODUCT((Inputs!$A$5:$A$190=$B32)*Inputs!$B$5:$B$190*(((Inputs!$G$5:$G$190="moeda")+(Inputs!$G$5:$G$190="acoes"))*Inputs!$B$1+((Inputs!$G$5:$G$190&lt;&gt;"moeda")*(Inputs!$G$5:$G$190&lt;&gt;"acoes")))*INDEX(Inputs!$K$5:$AJ$190,0,MATCH(F$2,Inputs!$K$4:$AJ$4,0)))+SUMPRODUCT((Inputs!$C$5:$C$190=$B32)*Inputs!$D$5:$D$190*(((Inputs!$G$5:$G$190="moeda")+(Inputs!$G$5:$G$190="acoes"))*Inputs!$B$1+((Inputs!$G$5:$G$190&lt;&gt;"moeda")*(Inputs!$G$5:$G$190&lt;&gt;"acoes")))*INDEX(Inputs!$K$5:$AJ$190,0,MATCH(F$2,Inputs!$K$4:$AJ$4,0)))+SUMPRODUCT((Inputs!$E$5:$E$190=$B32)*Inputs!$F$5:$F$190*(((Inputs!$G$5:$G$190="moeda")+(Inputs!$G$5:$G$190="acoes"))*Inputs!$B$1+((Inputs!$G$5:$G$190&lt;&gt;"moeda")*(Inputs!$G$5:$G$190&lt;&gt;"acoes")))*INDEX(Inputs!$K$5:$AJ$190,0,MATCH(F$2,Inputs!$K$4:$AJ$4,0)))))</f>
        <v>1132.111</v>
      </c>
      <c r="G32" s="6">
        <f>IF(ISNA(MATCH(G$2,Inputs!$K$4:$AJ$4,0)),NA(),IF(SUMPRODUCT((Inputs!$A$5:$A$190=$B32)*ISNUMBER(INDEX(Inputs!$K$5:$AJ$190,0,MATCH(G$2,Inputs!$K$4:$AJ$4,0))))+SUMPRODUCT((Inputs!$C$5:$C$190=$B32)*ISNUMBER(INDEX(Inputs!$K$5:$AJ$190,0,MATCH(G$2,Inputs!$K$4:$AJ$4,0))))+SUMPRODUCT((Inputs!$E$5:$E$190=$B32)*ISNUMBER(INDEX(Inputs!$K$5:$AJ$190,0,MATCH(G$2,Inputs!$K$4:$AJ$4,0))))=0,NA(),SUMPRODUCT((Inputs!$A$5:$A$190=$B32)*Inputs!$B$5:$B$190*(((Inputs!$G$5:$G$190="moeda")+(Inputs!$G$5:$G$190="acoes"))*Inputs!$B$1+((Inputs!$G$5:$G$190&lt;&gt;"moeda")*(Inputs!$G$5:$G$190&lt;&gt;"acoes")))*INDEX(Inputs!$K$5:$AJ$190,0,MATCH(G$2,Inputs!$K$4:$AJ$4,0)))+SUMPRODUCT((Inputs!$C$5:$C$190=$B32)*Inputs!$D$5:$D$190*(((Inputs!$G$5:$G$190="moeda")+(Inputs!$G$5:$G$190="acoes"))*Inputs!$B$1+((Inputs!$G$5:$G$190&lt;&gt;"moeda")*(Inputs!$G$5:$G$190&lt;&gt;"acoes")))*INDEX(Inputs!$K$5:$AJ$190,0,MATCH(G$2,Inputs!$K$4:$AJ$4,0)))+SUMPRODUCT((Inputs!$E$5:$E$190=$B32)*Inputs!$F$5:$F$190*(((Inputs!$G$5:$G$190="moeda")+(Inputs!$G$5:$G$190="acoes"))*Inputs!$B$1+((Inputs!$G$5:$G$190&lt;&gt;"moeda")*(Inputs!$G$5:$G$190&lt;&gt;"acoes")))*INDEX(Inputs!$K$5:$AJ$190,0,MATCH(G$2,Inputs!$K$4:$AJ$4,0)))))</f>
        <v>1546.062</v>
      </c>
      <c r="H32" s="3">
        <f>G32</f>
        <v>1546.062</v>
      </c>
      <c r="I32" s="6">
        <f>IF(ISNA(MATCH(I$2,Inputs!$K$4:$AJ$4,0)),NA(),IF(SUMPRODUCT((Inputs!$A$5:$A$190=$B32)*ISNUMBER(INDEX(Inputs!$K$5:$AJ$190,0,MATCH(I$2,Inputs!$K$4:$AJ$4,0))))+SUMPRODUCT((Inputs!$C$5:$C$190=$B32)*ISNUMBER(INDEX(Inputs!$K$5:$AJ$190,0,MATCH(I$2,Inputs!$K$4:$AJ$4,0))))+SUMPRODUCT((Inputs!$E$5:$E$190=$B32)*ISNUMBER(INDEX(Inputs!$K$5:$AJ$190,0,MATCH(I$2,Inputs!$K$4:$AJ$4,0))))=0,NA(),SUMPRODUCT((Inputs!$A$5:$A$190=$B32)*Inputs!$B$5:$B$190*(((Inputs!$G$5:$G$190="moeda")+(Inputs!$G$5:$G$190="acoes"))*Inputs!$B$1+((Inputs!$G$5:$G$190&lt;&gt;"moeda")*(Inputs!$G$5:$G$190&lt;&gt;"acoes")))*INDEX(Inputs!$K$5:$AJ$190,0,MATCH(I$2,Inputs!$K$4:$AJ$4,0)))+SUMPRODUCT((Inputs!$C$5:$C$190=$B32)*Inputs!$D$5:$D$190*(((Inputs!$G$5:$G$190="moeda")+(Inputs!$G$5:$G$190="acoes"))*Inputs!$B$1+((Inputs!$G$5:$G$190&lt;&gt;"moeda")*(Inputs!$G$5:$G$190&lt;&gt;"acoes")))*INDEX(Inputs!$K$5:$AJ$190,0,MATCH(I$2,Inputs!$K$4:$AJ$4,0)))+SUMPRODUCT((Inputs!$E$5:$E$190=$B32)*Inputs!$F$5:$F$190*(((Inputs!$G$5:$G$190="moeda")+(Inputs!$G$5:$G$190="acoes"))*Inputs!$B$1+((Inputs!$G$5:$G$190&lt;&gt;"moeda")*(Inputs!$G$5:$G$190&lt;&gt;"acoes")))*INDEX(Inputs!$K$5:$AJ$190,0,MATCH(I$2,Inputs!$K$4:$AJ$4,0)))))</f>
        <v>1565.549</v>
      </c>
      <c r="J32" s="6">
        <f>IF(ISNA(MATCH(J$2,Inputs!$K$4:$AJ$4,0)),NA(),IF(SUMPRODUCT((Inputs!$A$5:$A$190=$B32)*ISNUMBER(INDEX(Inputs!$K$5:$AJ$190,0,MATCH(J$2,Inputs!$K$4:$AJ$4,0))))+SUMPRODUCT((Inputs!$C$5:$C$190=$B32)*ISNUMBER(INDEX(Inputs!$K$5:$AJ$190,0,MATCH(J$2,Inputs!$K$4:$AJ$4,0))))+SUMPRODUCT((Inputs!$E$5:$E$190=$B32)*ISNUMBER(INDEX(Inputs!$K$5:$AJ$190,0,MATCH(J$2,Inputs!$K$4:$AJ$4,0))))=0,NA(),SUMPRODUCT((Inputs!$A$5:$A$190=$B32)*Inputs!$B$5:$B$190*(((Inputs!$G$5:$G$190="moeda")+(Inputs!$G$5:$G$190="acoes"))*Inputs!$B$1+((Inputs!$G$5:$G$190&lt;&gt;"moeda")*(Inputs!$G$5:$G$190&lt;&gt;"acoes")))*INDEX(Inputs!$K$5:$AJ$190,0,MATCH(J$2,Inputs!$K$4:$AJ$4,0)))+SUMPRODUCT((Inputs!$C$5:$C$190=$B32)*Inputs!$D$5:$D$190*(((Inputs!$G$5:$G$190="moeda")+(Inputs!$G$5:$G$190="acoes"))*Inputs!$B$1+((Inputs!$G$5:$G$190&lt;&gt;"moeda")*(Inputs!$G$5:$G$190&lt;&gt;"acoes")))*INDEX(Inputs!$K$5:$AJ$190,0,MATCH(J$2,Inputs!$K$4:$AJ$4,0)))+SUMPRODUCT((Inputs!$E$5:$E$190=$B32)*Inputs!$F$5:$F$190*(((Inputs!$G$5:$G$190="moeda")+(Inputs!$G$5:$G$190="acoes"))*Inputs!$B$1+((Inputs!$G$5:$G$190&lt;&gt;"moeda")*(Inputs!$G$5:$G$190&lt;&gt;"acoes")))*INDEX(Inputs!$K$5:$AJ$190,0,MATCH(J$2,Inputs!$K$4:$AJ$4,0)))))</f>
        <v>2031.731</v>
      </c>
      <c r="K32" s="6">
        <f>IF(ISNA(MATCH(K$2,Inputs!$K$4:$AJ$4,0)),NA(),IF(SUMPRODUCT((Inputs!$A$5:$A$190=$B32)*ISNUMBER(INDEX(Inputs!$K$5:$AJ$190,0,MATCH(K$2,Inputs!$K$4:$AJ$4,0))))+SUMPRODUCT((Inputs!$C$5:$C$190=$B32)*ISNUMBER(INDEX(Inputs!$K$5:$AJ$190,0,MATCH(K$2,Inputs!$K$4:$AJ$4,0))))+SUMPRODUCT((Inputs!$E$5:$E$190=$B32)*ISNUMBER(INDEX(Inputs!$K$5:$AJ$190,0,MATCH(K$2,Inputs!$K$4:$AJ$4,0))))=0,NA(),SUMPRODUCT((Inputs!$A$5:$A$190=$B32)*Inputs!$B$5:$B$190*(((Inputs!$G$5:$G$190="moeda")+(Inputs!$G$5:$G$190="acoes"))*Inputs!$B$1+((Inputs!$G$5:$G$190&lt;&gt;"moeda")*(Inputs!$G$5:$G$190&lt;&gt;"acoes")))*INDEX(Inputs!$K$5:$AJ$190,0,MATCH(K$2,Inputs!$K$4:$AJ$4,0)))+SUMPRODUCT((Inputs!$C$5:$C$190=$B32)*Inputs!$D$5:$D$190*(((Inputs!$G$5:$G$190="moeda")+(Inputs!$G$5:$G$190="acoes"))*Inputs!$B$1+((Inputs!$G$5:$G$190&lt;&gt;"moeda")*(Inputs!$G$5:$G$190&lt;&gt;"acoes")))*INDEX(Inputs!$K$5:$AJ$190,0,MATCH(K$2,Inputs!$K$4:$AJ$4,0)))+SUMPRODUCT((Inputs!$E$5:$E$190=$B32)*Inputs!$F$5:$F$190*(((Inputs!$G$5:$G$190="moeda")+(Inputs!$G$5:$G$190="acoes"))*Inputs!$B$1+((Inputs!$G$5:$G$190&lt;&gt;"moeda")*(Inputs!$G$5:$G$190&lt;&gt;"acoes")))*INDEX(Inputs!$K$5:$AJ$190,0,MATCH(K$2,Inputs!$K$4:$AJ$4,0)))))</f>
        <v>2681.554</v>
      </c>
      <c r="L32" s="6">
        <f>IF(ISNA(MATCH(L$2,Inputs!$K$4:$AJ$4,0)),NA(),IF(SUMPRODUCT((Inputs!$A$5:$A$190=$B32)*ISNUMBER(INDEX(Inputs!$K$5:$AJ$190,0,MATCH(L$2,Inputs!$K$4:$AJ$4,0))))+SUMPRODUCT((Inputs!$C$5:$C$190=$B32)*ISNUMBER(INDEX(Inputs!$K$5:$AJ$190,0,MATCH(L$2,Inputs!$K$4:$AJ$4,0))))+SUMPRODUCT((Inputs!$E$5:$E$190=$B32)*ISNUMBER(INDEX(Inputs!$K$5:$AJ$190,0,MATCH(L$2,Inputs!$K$4:$AJ$4,0))))=0,NA(),SUMPRODUCT((Inputs!$A$5:$A$190=$B32)*Inputs!$B$5:$B$190*(((Inputs!$G$5:$G$190="moeda")+(Inputs!$G$5:$G$190="acoes"))*Inputs!$B$1+((Inputs!$G$5:$G$190&lt;&gt;"moeda")*(Inputs!$G$5:$G$190&lt;&gt;"acoes")))*INDEX(Inputs!$K$5:$AJ$190,0,MATCH(L$2,Inputs!$K$4:$AJ$4,0)))+SUMPRODUCT((Inputs!$C$5:$C$190=$B32)*Inputs!$D$5:$D$190*(((Inputs!$G$5:$G$190="moeda")+(Inputs!$G$5:$G$190="acoes"))*Inputs!$B$1+((Inputs!$G$5:$G$190&lt;&gt;"moeda")*(Inputs!$G$5:$G$190&lt;&gt;"acoes")))*INDEX(Inputs!$K$5:$AJ$190,0,MATCH(L$2,Inputs!$K$4:$AJ$4,0)))+SUMPRODUCT((Inputs!$E$5:$E$190=$B32)*Inputs!$F$5:$F$190*(((Inputs!$G$5:$G$190="moeda")+(Inputs!$G$5:$G$190="acoes"))*Inputs!$B$1+((Inputs!$G$5:$G$190&lt;&gt;"moeda")*(Inputs!$G$5:$G$190&lt;&gt;"acoes")))*INDEX(Inputs!$K$5:$AJ$190,0,MATCH(L$2,Inputs!$K$4:$AJ$4,0)))))</f>
        <v>3933.488</v>
      </c>
      <c r="M32" s="3">
        <f>L32</f>
        <v>3933.488</v>
      </c>
      <c r="N32" s="6">
        <f>IF(ISNA(MATCH(N$2,Inputs!$K$4:$AJ$4,0)),NA(),IF(SUMPRODUCT((Inputs!$A$5:$A$190=$B32)*ISNUMBER(INDEX(Inputs!$K$5:$AJ$190,0,MATCH(N$2,Inputs!$K$4:$AJ$4,0))))+SUMPRODUCT((Inputs!$C$5:$C$190=$B32)*ISNUMBER(INDEX(Inputs!$K$5:$AJ$190,0,MATCH(N$2,Inputs!$K$4:$AJ$4,0))))+SUMPRODUCT((Inputs!$E$5:$E$190=$B32)*ISNUMBER(INDEX(Inputs!$K$5:$AJ$190,0,MATCH(N$2,Inputs!$K$4:$AJ$4,0))))=0,NA(),SUMPRODUCT((Inputs!$A$5:$A$190=$B32)*Inputs!$B$5:$B$190*(((Inputs!$G$5:$G$190="moeda")+(Inputs!$G$5:$G$190="acoes"))*Inputs!$B$1+((Inputs!$G$5:$G$190&lt;&gt;"moeda")*(Inputs!$G$5:$G$190&lt;&gt;"acoes")))*INDEX(Inputs!$K$5:$AJ$190,0,MATCH(N$2,Inputs!$K$4:$AJ$4,0)))+SUMPRODUCT((Inputs!$C$5:$C$190=$B32)*Inputs!$D$5:$D$190*(((Inputs!$G$5:$G$190="moeda")+(Inputs!$G$5:$G$190="acoes"))*Inputs!$B$1+((Inputs!$G$5:$G$190&lt;&gt;"moeda")*(Inputs!$G$5:$G$190&lt;&gt;"acoes")))*INDEX(Inputs!$K$5:$AJ$190,0,MATCH(N$2,Inputs!$K$4:$AJ$4,0)))+SUMPRODUCT((Inputs!$E$5:$E$190=$B32)*Inputs!$F$5:$F$190*(((Inputs!$G$5:$G$190="moeda")+(Inputs!$G$5:$G$190="acoes"))*Inputs!$B$1+((Inputs!$G$5:$G$190&lt;&gt;"moeda")*(Inputs!$G$5:$G$190&lt;&gt;"acoes")))*INDEX(Inputs!$K$5:$AJ$190,0,MATCH(N$2,Inputs!$K$4:$AJ$4,0)))))</f>
        <v>2885.69065158703</v>
      </c>
      <c r="O32" s="6">
        <f>IF(ISNA(MATCH(O$2,Inputs!$K$4:$AJ$4,0)),NA(),IF(SUMPRODUCT((Inputs!$A$5:$A$190=$B32)*ISNUMBER(INDEX(Inputs!$K$5:$AJ$190,0,MATCH(O$2,Inputs!$K$4:$AJ$4,0))))+SUMPRODUCT((Inputs!$C$5:$C$190=$B32)*ISNUMBER(INDEX(Inputs!$K$5:$AJ$190,0,MATCH(O$2,Inputs!$K$4:$AJ$4,0))))+SUMPRODUCT((Inputs!$E$5:$E$190=$B32)*ISNUMBER(INDEX(Inputs!$K$5:$AJ$190,0,MATCH(O$2,Inputs!$K$4:$AJ$4,0))))=0,NA(),SUMPRODUCT((Inputs!$A$5:$A$190=$B32)*Inputs!$B$5:$B$190*(((Inputs!$G$5:$G$190="moeda")+(Inputs!$G$5:$G$190="acoes"))*Inputs!$B$1+((Inputs!$G$5:$G$190&lt;&gt;"moeda")*(Inputs!$G$5:$G$190&lt;&gt;"acoes")))*INDEX(Inputs!$K$5:$AJ$190,0,MATCH(O$2,Inputs!$K$4:$AJ$4,0)))+SUMPRODUCT((Inputs!$C$5:$C$190=$B32)*Inputs!$D$5:$D$190*(((Inputs!$G$5:$G$190="moeda")+(Inputs!$G$5:$G$190="acoes"))*Inputs!$B$1+((Inputs!$G$5:$G$190&lt;&gt;"moeda")*(Inputs!$G$5:$G$190&lt;&gt;"acoes")))*INDEX(Inputs!$K$5:$AJ$190,0,MATCH(O$2,Inputs!$K$4:$AJ$4,0)))+SUMPRODUCT((Inputs!$E$5:$E$190=$B32)*Inputs!$F$5:$F$190*(((Inputs!$G$5:$G$190="moeda")+(Inputs!$G$5:$G$190="acoes"))*Inputs!$B$1+((Inputs!$G$5:$G$190&lt;&gt;"moeda")*(Inputs!$G$5:$G$190&lt;&gt;"acoes")))*INDEX(Inputs!$K$5:$AJ$190,0,MATCH(O$2,Inputs!$K$4:$AJ$4,0)))))</f>
        <v>3046.7003236155</v>
      </c>
      <c r="P32" s="6">
        <f>IF(ISNA(MATCH(P$2,Inputs!$K$4:$AJ$4,0)),NA(),IF(SUMPRODUCT((Inputs!$A$5:$A$190=$B32)*ISNUMBER(INDEX(Inputs!$K$5:$AJ$190,0,MATCH(P$2,Inputs!$K$4:$AJ$4,0))))+SUMPRODUCT((Inputs!$C$5:$C$190=$B32)*ISNUMBER(INDEX(Inputs!$K$5:$AJ$190,0,MATCH(P$2,Inputs!$K$4:$AJ$4,0))))+SUMPRODUCT((Inputs!$E$5:$E$190=$B32)*ISNUMBER(INDEX(Inputs!$K$5:$AJ$190,0,MATCH(P$2,Inputs!$K$4:$AJ$4,0))))=0,NA(),SUMPRODUCT((Inputs!$A$5:$A$190=$B32)*Inputs!$B$5:$B$190*(((Inputs!$G$5:$G$190="moeda")+(Inputs!$G$5:$G$190="acoes"))*Inputs!$B$1+((Inputs!$G$5:$G$190&lt;&gt;"moeda")*(Inputs!$G$5:$G$190&lt;&gt;"acoes")))*INDEX(Inputs!$K$5:$AJ$190,0,MATCH(P$2,Inputs!$K$4:$AJ$4,0)))+SUMPRODUCT((Inputs!$C$5:$C$190=$B32)*Inputs!$D$5:$D$190*(((Inputs!$G$5:$G$190="moeda")+(Inputs!$G$5:$G$190="acoes"))*Inputs!$B$1+((Inputs!$G$5:$G$190&lt;&gt;"moeda")*(Inputs!$G$5:$G$190&lt;&gt;"acoes")))*INDEX(Inputs!$K$5:$AJ$190,0,MATCH(P$2,Inputs!$K$4:$AJ$4,0)))+SUMPRODUCT((Inputs!$E$5:$E$190=$B32)*Inputs!$F$5:$F$190*(((Inputs!$G$5:$G$190="moeda")+(Inputs!$G$5:$G$190="acoes"))*Inputs!$B$1+((Inputs!$G$5:$G$190&lt;&gt;"moeda")*(Inputs!$G$5:$G$190&lt;&gt;"acoes")))*INDEX(Inputs!$K$5:$AJ$190,0,MATCH(P$2,Inputs!$K$4:$AJ$4,0)))))</f>
        <v>3322.9265303786</v>
      </c>
      <c r="Q32" s="6">
        <f>IF(ISNA(MATCH(Q$2,Inputs!$K$4:$AJ$4,0)),NA(),IF(SUMPRODUCT((Inputs!$A$5:$A$190=$B32)*ISNUMBER(INDEX(Inputs!$K$5:$AJ$190,0,MATCH(Q$2,Inputs!$K$4:$AJ$4,0))))+SUMPRODUCT((Inputs!$C$5:$C$190=$B32)*ISNUMBER(INDEX(Inputs!$K$5:$AJ$190,0,MATCH(Q$2,Inputs!$K$4:$AJ$4,0))))+SUMPRODUCT((Inputs!$E$5:$E$190=$B32)*ISNUMBER(INDEX(Inputs!$K$5:$AJ$190,0,MATCH(Q$2,Inputs!$K$4:$AJ$4,0))))=0,NA(),SUMPRODUCT((Inputs!$A$5:$A$190=$B32)*Inputs!$B$5:$B$190*(((Inputs!$G$5:$G$190="moeda")+(Inputs!$G$5:$G$190="acoes"))*Inputs!$B$1+((Inputs!$G$5:$G$190&lt;&gt;"moeda")*(Inputs!$G$5:$G$190&lt;&gt;"acoes")))*INDEX(Inputs!$K$5:$AJ$190,0,MATCH(Q$2,Inputs!$K$4:$AJ$4,0)))+SUMPRODUCT((Inputs!$C$5:$C$190=$B32)*Inputs!$D$5:$D$190*(((Inputs!$G$5:$G$190="moeda")+(Inputs!$G$5:$G$190="acoes"))*Inputs!$B$1+((Inputs!$G$5:$G$190&lt;&gt;"moeda")*(Inputs!$G$5:$G$190&lt;&gt;"acoes")))*INDEX(Inputs!$K$5:$AJ$190,0,MATCH(Q$2,Inputs!$K$4:$AJ$4,0)))+SUMPRODUCT((Inputs!$E$5:$E$190=$B32)*Inputs!$F$5:$F$190*(((Inputs!$G$5:$G$190="moeda")+(Inputs!$G$5:$G$190="acoes"))*Inputs!$B$1+((Inputs!$G$5:$G$190&lt;&gt;"moeda")*(Inputs!$G$5:$G$190&lt;&gt;"acoes")))*INDEX(Inputs!$K$5:$AJ$190,0,MATCH(Q$2,Inputs!$K$4:$AJ$4,0)))))</f>
        <v>3933.0980084467</v>
      </c>
      <c r="R32" s="3">
        <f>Q32</f>
        <v>3933.0980084467</v>
      </c>
      <c r="S32" s="6">
        <f>IF(ISNA(MATCH(S$2,Inputs!$K$4:$AJ$4,0)),NA(),IF(SUMPRODUCT((Inputs!$A$5:$A$190=$B32)*ISNUMBER(INDEX(Inputs!$K$5:$AJ$190,0,MATCH(S$2,Inputs!$K$4:$AJ$4,0))))+SUMPRODUCT((Inputs!$C$5:$C$190=$B32)*ISNUMBER(INDEX(Inputs!$K$5:$AJ$190,0,MATCH(S$2,Inputs!$K$4:$AJ$4,0))))+SUMPRODUCT((Inputs!$E$5:$E$190=$B32)*ISNUMBER(INDEX(Inputs!$K$5:$AJ$190,0,MATCH(S$2,Inputs!$K$4:$AJ$4,0))))=0,NA(),SUMPRODUCT((Inputs!$A$5:$A$190=$B32)*Inputs!$B$5:$B$190*(((Inputs!$G$5:$G$190="moeda")+(Inputs!$G$5:$G$190="acoes"))*Inputs!$B$1+((Inputs!$G$5:$G$190&lt;&gt;"moeda")*(Inputs!$G$5:$G$190&lt;&gt;"acoes")))*INDEX(Inputs!$K$5:$AJ$190,0,MATCH(S$2,Inputs!$K$4:$AJ$4,0)))+SUMPRODUCT((Inputs!$C$5:$C$190=$B32)*Inputs!$D$5:$D$190*(((Inputs!$G$5:$G$190="moeda")+(Inputs!$G$5:$G$190="acoes"))*Inputs!$B$1+((Inputs!$G$5:$G$190&lt;&gt;"moeda")*(Inputs!$G$5:$G$190&lt;&gt;"acoes")))*INDEX(Inputs!$K$5:$AJ$190,0,MATCH(S$2,Inputs!$K$4:$AJ$4,0)))+SUMPRODUCT((Inputs!$E$5:$E$190=$B32)*Inputs!$F$5:$F$190*(((Inputs!$G$5:$G$190="moeda")+(Inputs!$G$5:$G$190="acoes"))*Inputs!$B$1+((Inputs!$G$5:$G$190&lt;&gt;"moeda")*(Inputs!$G$5:$G$190&lt;&gt;"acoes")))*INDEX(Inputs!$K$5:$AJ$190,0,MATCH(S$2,Inputs!$K$4:$AJ$4,0)))))</f>
        <v>4486.4474338244</v>
      </c>
      <c r="T32" s="6">
        <f>IF(ISNA(MATCH(T$2,Inputs!$K$4:$AJ$4,0)),NA(),IF(SUMPRODUCT((Inputs!$A$5:$A$190=$B32)*ISNUMBER(INDEX(Inputs!$K$5:$AJ$190,0,MATCH(T$2,Inputs!$K$4:$AJ$4,0))))+SUMPRODUCT((Inputs!$C$5:$C$190=$B32)*ISNUMBER(INDEX(Inputs!$K$5:$AJ$190,0,MATCH(T$2,Inputs!$K$4:$AJ$4,0))))+SUMPRODUCT((Inputs!$E$5:$E$190=$B32)*ISNUMBER(INDEX(Inputs!$K$5:$AJ$190,0,MATCH(T$2,Inputs!$K$4:$AJ$4,0))))=0,NA(),SUMPRODUCT((Inputs!$A$5:$A$190=$B32)*Inputs!$B$5:$B$190*(((Inputs!$G$5:$G$190="moeda")+(Inputs!$G$5:$G$190="acoes"))*Inputs!$B$1+((Inputs!$G$5:$G$190&lt;&gt;"moeda")*(Inputs!$G$5:$G$190&lt;&gt;"acoes")))*INDEX(Inputs!$K$5:$AJ$190,0,MATCH(T$2,Inputs!$K$4:$AJ$4,0)))+SUMPRODUCT((Inputs!$C$5:$C$190=$B32)*Inputs!$D$5:$D$190*(((Inputs!$G$5:$G$190="moeda")+(Inputs!$G$5:$G$190="acoes"))*Inputs!$B$1+((Inputs!$G$5:$G$190&lt;&gt;"moeda")*(Inputs!$G$5:$G$190&lt;&gt;"acoes")))*INDEX(Inputs!$K$5:$AJ$190,0,MATCH(T$2,Inputs!$K$4:$AJ$4,0)))+SUMPRODUCT((Inputs!$E$5:$E$190=$B32)*Inputs!$F$5:$F$190*(((Inputs!$G$5:$G$190="moeda")+(Inputs!$G$5:$G$190="acoes"))*Inputs!$B$1+((Inputs!$G$5:$G$190&lt;&gt;"moeda")*(Inputs!$G$5:$G$190&lt;&gt;"acoes")))*INDEX(Inputs!$K$5:$AJ$190,0,MATCH(T$2,Inputs!$K$4:$AJ$4,0)))))</f>
        <v>6152.4658646748</v>
      </c>
      <c r="U32" s="6">
        <f>IF(ISNA(MATCH(U$2,Inputs!$K$4:$AJ$4,0)),NA(),IF(SUMPRODUCT((Inputs!$A$5:$A$190=$B32)*ISNUMBER(INDEX(Inputs!$K$5:$AJ$190,0,MATCH(U$2,Inputs!$K$4:$AJ$4,0))))+SUMPRODUCT((Inputs!$C$5:$C$190=$B32)*ISNUMBER(INDEX(Inputs!$K$5:$AJ$190,0,MATCH(U$2,Inputs!$K$4:$AJ$4,0))))+SUMPRODUCT((Inputs!$E$5:$E$190=$B32)*ISNUMBER(INDEX(Inputs!$K$5:$AJ$190,0,MATCH(U$2,Inputs!$K$4:$AJ$4,0))))=0,NA(),SUMPRODUCT((Inputs!$A$5:$A$190=$B32)*Inputs!$B$5:$B$190*(((Inputs!$G$5:$G$190="moeda")+(Inputs!$G$5:$G$190="acoes"))*Inputs!$B$1+((Inputs!$G$5:$G$190&lt;&gt;"moeda")*(Inputs!$G$5:$G$190&lt;&gt;"acoes")))*INDEX(Inputs!$K$5:$AJ$190,0,MATCH(U$2,Inputs!$K$4:$AJ$4,0)))+SUMPRODUCT((Inputs!$C$5:$C$190=$B32)*Inputs!$D$5:$D$190*(((Inputs!$G$5:$G$190="moeda")+(Inputs!$G$5:$G$190="acoes"))*Inputs!$B$1+((Inputs!$G$5:$G$190&lt;&gt;"moeda")*(Inputs!$G$5:$G$190&lt;&gt;"acoes")))*INDEX(Inputs!$K$5:$AJ$190,0,MATCH(U$2,Inputs!$K$4:$AJ$4,0)))+SUMPRODUCT((Inputs!$E$5:$E$190=$B32)*Inputs!$F$5:$F$190*(((Inputs!$G$5:$G$190="moeda")+(Inputs!$G$5:$G$190="acoes"))*Inputs!$B$1+((Inputs!$G$5:$G$190&lt;&gt;"moeda")*(Inputs!$G$5:$G$190&lt;&gt;"acoes")))*INDEX(Inputs!$K$5:$AJ$190,0,MATCH(U$2,Inputs!$K$4:$AJ$4,0)))))</f>
        <v>6517.8459138942</v>
      </c>
      <c r="V32" s="6">
        <f>IF(ISNA(MATCH(V$2,Inputs!$K$4:$AJ$4,0)),NA(),IF(SUMPRODUCT((Inputs!$A$5:$A$190=$B32)*ISNUMBER(INDEX(Inputs!$K$5:$AJ$190,0,MATCH(V$2,Inputs!$K$4:$AJ$4,0))))+SUMPRODUCT((Inputs!$C$5:$C$190=$B32)*ISNUMBER(INDEX(Inputs!$K$5:$AJ$190,0,MATCH(V$2,Inputs!$K$4:$AJ$4,0))))+SUMPRODUCT((Inputs!$E$5:$E$190=$B32)*ISNUMBER(INDEX(Inputs!$K$5:$AJ$190,0,MATCH(V$2,Inputs!$K$4:$AJ$4,0))))=0,NA(),SUMPRODUCT((Inputs!$A$5:$A$190=$B32)*Inputs!$B$5:$B$190*(((Inputs!$G$5:$G$190="moeda")+(Inputs!$G$5:$G$190="acoes"))*Inputs!$B$1+((Inputs!$G$5:$G$190&lt;&gt;"moeda")*(Inputs!$G$5:$G$190&lt;&gt;"acoes")))*INDEX(Inputs!$K$5:$AJ$190,0,MATCH(V$2,Inputs!$K$4:$AJ$4,0)))+SUMPRODUCT((Inputs!$C$5:$C$190=$B32)*Inputs!$D$5:$D$190*(((Inputs!$G$5:$G$190="moeda")+(Inputs!$G$5:$G$190="acoes"))*Inputs!$B$1+((Inputs!$G$5:$G$190&lt;&gt;"moeda")*(Inputs!$G$5:$G$190&lt;&gt;"acoes")))*INDEX(Inputs!$K$5:$AJ$190,0,MATCH(V$2,Inputs!$K$4:$AJ$4,0)))+SUMPRODUCT((Inputs!$E$5:$E$190=$B32)*Inputs!$F$5:$F$190*(((Inputs!$G$5:$G$190="moeda")+(Inputs!$G$5:$G$190="acoes"))*Inputs!$B$1+((Inputs!$G$5:$G$190&lt;&gt;"moeda")*(Inputs!$G$5:$G$190&lt;&gt;"acoes")))*INDEX(Inputs!$K$5:$AJ$190,0,MATCH(V$2,Inputs!$K$4:$AJ$4,0)))))</f>
        <v>7114.14838549</v>
      </c>
      <c r="W32" s="3">
        <f>V32</f>
        <v>7114.14838549</v>
      </c>
      <c r="X32" s="6">
        <f>IF(ISNA(MATCH(X$2,Inputs!$K$4:$AJ$4,0)),NA(),IF(SUMPRODUCT((Inputs!$A$5:$A$190=$B32)*ISNUMBER(INDEX(Inputs!$K$5:$AJ$190,0,MATCH(X$2,Inputs!$K$4:$AJ$4,0))))+SUMPRODUCT((Inputs!$C$5:$C$190=$B32)*ISNUMBER(INDEX(Inputs!$K$5:$AJ$190,0,MATCH(X$2,Inputs!$K$4:$AJ$4,0))))+SUMPRODUCT((Inputs!$E$5:$E$190=$B32)*ISNUMBER(INDEX(Inputs!$K$5:$AJ$190,0,MATCH(X$2,Inputs!$K$4:$AJ$4,0))))=0,NA(),SUMPRODUCT((Inputs!$A$5:$A$190=$B32)*Inputs!$B$5:$B$190*(((Inputs!$G$5:$G$190="moeda")+(Inputs!$G$5:$G$190="acoes"))*Inputs!$B$1+((Inputs!$G$5:$G$190&lt;&gt;"moeda")*(Inputs!$G$5:$G$190&lt;&gt;"acoes")))*INDEX(Inputs!$K$5:$AJ$190,0,MATCH(X$2,Inputs!$K$4:$AJ$4,0)))+SUMPRODUCT((Inputs!$C$5:$C$190=$B32)*Inputs!$D$5:$D$190*(((Inputs!$G$5:$G$190="moeda")+(Inputs!$G$5:$G$190="acoes"))*Inputs!$B$1+((Inputs!$G$5:$G$190&lt;&gt;"moeda")*(Inputs!$G$5:$G$190&lt;&gt;"acoes")))*INDEX(Inputs!$K$5:$AJ$190,0,MATCH(X$2,Inputs!$K$4:$AJ$4,0)))+SUMPRODUCT((Inputs!$E$5:$E$190=$B32)*Inputs!$F$5:$F$190*(((Inputs!$G$5:$G$190="moeda")+(Inputs!$G$5:$G$190="acoes"))*Inputs!$B$1+((Inputs!$G$5:$G$190&lt;&gt;"moeda")*(Inputs!$G$5:$G$190&lt;&gt;"acoes")))*INDEX(Inputs!$K$5:$AJ$190,0,MATCH(X$2,Inputs!$K$4:$AJ$4,0)))))</f>
        <v>7447.99954332</v>
      </c>
      <c r="Y32" s="6">
        <f>IF(ISNA(MATCH(Y$2,Inputs!$K$4:$AJ$4,0)),NA(),IF(SUMPRODUCT((Inputs!$A$5:$A$190=$B32)*ISNUMBER(INDEX(Inputs!$K$5:$AJ$190,0,MATCH(Y$2,Inputs!$K$4:$AJ$4,0))))+SUMPRODUCT((Inputs!$C$5:$C$190=$B32)*ISNUMBER(INDEX(Inputs!$K$5:$AJ$190,0,MATCH(Y$2,Inputs!$K$4:$AJ$4,0))))+SUMPRODUCT((Inputs!$E$5:$E$190=$B32)*ISNUMBER(INDEX(Inputs!$K$5:$AJ$190,0,MATCH(Y$2,Inputs!$K$4:$AJ$4,0))))=0,NA(),SUMPRODUCT((Inputs!$A$5:$A$190=$B32)*Inputs!$B$5:$B$190*(((Inputs!$G$5:$G$190="moeda")+(Inputs!$G$5:$G$190="acoes"))*Inputs!$B$1+((Inputs!$G$5:$G$190&lt;&gt;"moeda")*(Inputs!$G$5:$G$190&lt;&gt;"acoes")))*INDEX(Inputs!$K$5:$AJ$190,0,MATCH(Y$2,Inputs!$K$4:$AJ$4,0)))+SUMPRODUCT((Inputs!$C$5:$C$190=$B32)*Inputs!$D$5:$D$190*(((Inputs!$G$5:$G$190="moeda")+(Inputs!$G$5:$G$190="acoes"))*Inputs!$B$1+((Inputs!$G$5:$G$190&lt;&gt;"moeda")*(Inputs!$G$5:$G$190&lt;&gt;"acoes")))*INDEX(Inputs!$K$5:$AJ$190,0,MATCH(Y$2,Inputs!$K$4:$AJ$4,0)))+SUMPRODUCT((Inputs!$E$5:$E$190=$B32)*Inputs!$F$5:$F$190*(((Inputs!$G$5:$G$190="moeda")+(Inputs!$G$5:$G$190="acoes"))*Inputs!$B$1+((Inputs!$G$5:$G$190&lt;&gt;"moeda")*(Inputs!$G$5:$G$190&lt;&gt;"acoes")))*INDEX(Inputs!$K$5:$AJ$190,0,MATCH(Y$2,Inputs!$K$4:$AJ$4,0)))))</f>
        <v>7066.00455085</v>
      </c>
      <c r="Z32" s="6">
        <f>IF(ISNA(MATCH(Z$2,Inputs!$K$4:$AJ$4,0)),NA(),IF(SUMPRODUCT((Inputs!$A$5:$A$190=$B32)*ISNUMBER(INDEX(Inputs!$K$5:$AJ$190,0,MATCH(Z$2,Inputs!$K$4:$AJ$4,0))))+SUMPRODUCT((Inputs!$C$5:$C$190=$B32)*ISNUMBER(INDEX(Inputs!$K$5:$AJ$190,0,MATCH(Z$2,Inputs!$K$4:$AJ$4,0))))+SUMPRODUCT((Inputs!$E$5:$E$190=$B32)*ISNUMBER(INDEX(Inputs!$K$5:$AJ$190,0,MATCH(Z$2,Inputs!$K$4:$AJ$4,0))))=0,NA(),SUMPRODUCT((Inputs!$A$5:$A$190=$B32)*Inputs!$B$5:$B$190*(((Inputs!$G$5:$G$190="moeda")+(Inputs!$G$5:$G$190="acoes"))*Inputs!$B$1+((Inputs!$G$5:$G$190&lt;&gt;"moeda")*(Inputs!$G$5:$G$190&lt;&gt;"acoes")))*INDEX(Inputs!$K$5:$AJ$190,0,MATCH(Z$2,Inputs!$K$4:$AJ$4,0)))+SUMPRODUCT((Inputs!$C$5:$C$190=$B32)*Inputs!$D$5:$D$190*(((Inputs!$G$5:$G$190="moeda")+(Inputs!$G$5:$G$190="acoes"))*Inputs!$B$1+((Inputs!$G$5:$G$190&lt;&gt;"moeda")*(Inputs!$G$5:$G$190&lt;&gt;"acoes")))*INDEX(Inputs!$K$5:$AJ$190,0,MATCH(Z$2,Inputs!$K$4:$AJ$4,0)))+SUMPRODUCT((Inputs!$E$5:$E$190=$B32)*Inputs!$F$5:$F$190*(((Inputs!$G$5:$G$190="moeda")+(Inputs!$G$5:$G$190="acoes"))*Inputs!$B$1+((Inputs!$G$5:$G$190&lt;&gt;"moeda")*(Inputs!$G$5:$G$190&lt;&gt;"acoes")))*INDEX(Inputs!$K$5:$AJ$190,0,MATCH(Z$2,Inputs!$K$4:$AJ$4,0)))))</f>
        <v>7912.9124352</v>
      </c>
      <c r="AA32" s="6">
        <f>IF(ISNA(MATCH(AA$2,Inputs!$K$4:$AJ$4,0)),NA(),IF(SUMPRODUCT((Inputs!$A$5:$A$190=$B32)*ISNUMBER(INDEX(Inputs!$K$5:$AJ$190,0,MATCH(AA$2,Inputs!$K$4:$AJ$4,0))))+SUMPRODUCT((Inputs!$C$5:$C$190=$B32)*ISNUMBER(INDEX(Inputs!$K$5:$AJ$190,0,MATCH(AA$2,Inputs!$K$4:$AJ$4,0))))+SUMPRODUCT((Inputs!$E$5:$E$190=$B32)*ISNUMBER(INDEX(Inputs!$K$5:$AJ$190,0,MATCH(AA$2,Inputs!$K$4:$AJ$4,0))))=0,NA(),SUMPRODUCT((Inputs!$A$5:$A$190=$B32)*Inputs!$B$5:$B$190*(((Inputs!$G$5:$G$190="moeda")+(Inputs!$G$5:$G$190="acoes"))*Inputs!$B$1+((Inputs!$G$5:$G$190&lt;&gt;"moeda")*(Inputs!$G$5:$G$190&lt;&gt;"acoes")))*INDEX(Inputs!$K$5:$AJ$190,0,MATCH(AA$2,Inputs!$K$4:$AJ$4,0)))+SUMPRODUCT((Inputs!$C$5:$C$190=$B32)*Inputs!$D$5:$D$190*(((Inputs!$G$5:$G$190="moeda")+(Inputs!$G$5:$G$190="acoes"))*Inputs!$B$1+((Inputs!$G$5:$G$190&lt;&gt;"moeda")*(Inputs!$G$5:$G$190&lt;&gt;"acoes")))*INDEX(Inputs!$K$5:$AJ$190,0,MATCH(AA$2,Inputs!$K$4:$AJ$4,0)))+SUMPRODUCT((Inputs!$E$5:$E$190=$B32)*Inputs!$F$5:$F$190*(((Inputs!$G$5:$G$190="moeda")+(Inputs!$G$5:$G$190="acoes"))*Inputs!$B$1+((Inputs!$G$5:$G$190&lt;&gt;"moeda")*(Inputs!$G$5:$G$190&lt;&gt;"acoes")))*INDEX(Inputs!$K$5:$AJ$190,0,MATCH(AA$2,Inputs!$K$4:$AJ$4,0)))))</f>
        <v>9109.41335713</v>
      </c>
      <c r="AB32" s="3">
        <f>AA32</f>
        <v>9109.41335713</v>
      </c>
      <c r="AC32" s="6">
        <f>IF(ISNA(MATCH(AC$2,Inputs!$K$4:$AJ$4,0)),NA(),IF(SUMPRODUCT((Inputs!$A$5:$A$190=$B32)*ISNUMBER(INDEX(Inputs!$K$5:$AJ$190,0,MATCH(AC$2,Inputs!$K$4:$AJ$4,0))))+SUMPRODUCT((Inputs!$C$5:$C$190=$B32)*ISNUMBER(INDEX(Inputs!$K$5:$AJ$190,0,MATCH(AC$2,Inputs!$K$4:$AJ$4,0))))+SUMPRODUCT((Inputs!$E$5:$E$190=$B32)*ISNUMBER(INDEX(Inputs!$K$5:$AJ$190,0,MATCH(AC$2,Inputs!$K$4:$AJ$4,0))))=0,NA(),SUMPRODUCT((Inputs!$A$5:$A$190=$B32)*Inputs!$B$5:$B$190*(((Inputs!$G$5:$G$190="moeda")+(Inputs!$G$5:$G$190="acoes"))*Inputs!$B$1+((Inputs!$G$5:$G$190&lt;&gt;"moeda")*(Inputs!$G$5:$G$190&lt;&gt;"acoes")))*INDEX(Inputs!$K$5:$AJ$190,0,MATCH(AC$2,Inputs!$K$4:$AJ$4,0)))+SUMPRODUCT((Inputs!$C$5:$C$190=$B32)*Inputs!$D$5:$D$190*(((Inputs!$G$5:$G$190="moeda")+(Inputs!$G$5:$G$190="acoes"))*Inputs!$B$1+((Inputs!$G$5:$G$190&lt;&gt;"moeda")*(Inputs!$G$5:$G$190&lt;&gt;"acoes")))*INDEX(Inputs!$K$5:$AJ$190,0,MATCH(AC$2,Inputs!$K$4:$AJ$4,0)))+SUMPRODUCT((Inputs!$E$5:$E$190=$B32)*Inputs!$F$5:$F$190*(((Inputs!$G$5:$G$190="moeda")+(Inputs!$G$5:$G$190="acoes"))*Inputs!$B$1+((Inputs!$G$5:$G$190&lt;&gt;"moeda")*(Inputs!$G$5:$G$190&lt;&gt;"acoes")))*INDEX(Inputs!$K$5:$AJ$190,0,MATCH(AC$2,Inputs!$K$4:$AJ$4,0)))))</f>
        <v>8001.67079087</v>
      </c>
      <c r="AD32" s="6">
        <f>IF(ISNA(MATCH(AD$2,Inputs!$K$4:$AJ$4,0)),NA(),IF(SUMPRODUCT((Inputs!$A$5:$A$190=$B32)*ISNUMBER(INDEX(Inputs!$K$5:$AJ$190,0,MATCH(AD$2,Inputs!$K$4:$AJ$4,0))))+SUMPRODUCT((Inputs!$C$5:$C$190=$B32)*ISNUMBER(INDEX(Inputs!$K$5:$AJ$190,0,MATCH(AD$2,Inputs!$K$4:$AJ$4,0))))+SUMPRODUCT((Inputs!$E$5:$E$190=$B32)*ISNUMBER(INDEX(Inputs!$K$5:$AJ$190,0,MATCH(AD$2,Inputs!$K$4:$AJ$4,0))))=0,NA(),SUMPRODUCT((Inputs!$A$5:$A$190=$B32)*Inputs!$B$5:$B$190*(((Inputs!$G$5:$G$190="moeda")+(Inputs!$G$5:$G$190="acoes"))*Inputs!$B$1+((Inputs!$G$5:$G$190&lt;&gt;"moeda")*(Inputs!$G$5:$G$190&lt;&gt;"acoes")))*INDEX(Inputs!$K$5:$AJ$190,0,MATCH(AD$2,Inputs!$K$4:$AJ$4,0)))+SUMPRODUCT((Inputs!$C$5:$C$190=$B32)*Inputs!$D$5:$D$190*(((Inputs!$G$5:$G$190="moeda")+(Inputs!$G$5:$G$190="acoes"))*Inputs!$B$1+((Inputs!$G$5:$G$190&lt;&gt;"moeda")*(Inputs!$G$5:$G$190&lt;&gt;"acoes")))*INDEX(Inputs!$K$5:$AJ$190,0,MATCH(AD$2,Inputs!$K$4:$AJ$4,0)))+SUMPRODUCT((Inputs!$E$5:$E$190=$B32)*Inputs!$F$5:$F$190*(((Inputs!$G$5:$G$190="moeda")+(Inputs!$G$5:$G$190="acoes"))*Inputs!$B$1+((Inputs!$G$5:$G$190&lt;&gt;"moeda")*(Inputs!$G$5:$G$190&lt;&gt;"acoes")))*INDEX(Inputs!$K$5:$AJ$190,0,MATCH(AD$2,Inputs!$K$4:$AJ$4,0)))))</f>
        <v>7556.41057503</v>
      </c>
      <c r="AE32" s="6" t="e">
        <f>IF(ISNA(MATCH(AE$2,Inputs!$K$4:$AJ$4,0)),NA(),IF(SUMPRODUCT((Inputs!$A$5:$A$190=$B32)*ISNUMBER(INDEX(Inputs!$K$5:$AJ$190,0,MATCH(AE$2,Inputs!$K$4:$AJ$4,0))))+SUMPRODUCT((Inputs!$C$5:$C$190=$B32)*ISNUMBER(INDEX(Inputs!$K$5:$AJ$190,0,MATCH(AE$2,Inputs!$K$4:$AJ$4,0))))+SUMPRODUCT((Inputs!$E$5:$E$190=$B32)*ISNUMBER(INDEX(Inputs!$K$5:$AJ$190,0,MATCH(AE$2,Inputs!$K$4:$AJ$4,0))))=0,NA(),SUMPRODUCT((Inputs!$A$5:$A$190=$B32)*Inputs!$B$5:$B$190*(((Inputs!$G$5:$G$190="moeda")+(Inputs!$G$5:$G$190="acoes"))*Inputs!$B$1+((Inputs!$G$5:$G$190&lt;&gt;"moeda")*(Inputs!$G$5:$G$190&lt;&gt;"acoes")))*INDEX(Inputs!$K$5:$AJ$190,0,MATCH(AE$2,Inputs!$K$4:$AJ$4,0)))+SUMPRODUCT((Inputs!$C$5:$C$190=$B32)*Inputs!$D$5:$D$190*(((Inputs!$G$5:$G$190="moeda")+(Inputs!$G$5:$G$190="acoes"))*Inputs!$B$1+((Inputs!$G$5:$G$190&lt;&gt;"moeda")*(Inputs!$G$5:$G$190&lt;&gt;"acoes")))*INDEX(Inputs!$K$5:$AJ$190,0,MATCH(AE$2,Inputs!$K$4:$AJ$4,0)))+SUMPRODUCT((Inputs!$E$5:$E$190=$B32)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32" s="6" t="e">
        <f>IF(ISNA(MATCH(AF$2,Inputs!$K$4:$AJ$4,0)),NA(),IF(SUMPRODUCT((Inputs!$A$5:$A$190=$B32)*ISNUMBER(INDEX(Inputs!$K$5:$AJ$190,0,MATCH(AF$2,Inputs!$K$4:$AJ$4,0))))+SUMPRODUCT((Inputs!$C$5:$C$190=$B32)*ISNUMBER(INDEX(Inputs!$K$5:$AJ$190,0,MATCH(AF$2,Inputs!$K$4:$AJ$4,0))))+SUMPRODUCT((Inputs!$E$5:$E$190=$B32)*ISNUMBER(INDEX(Inputs!$K$5:$AJ$190,0,MATCH(AF$2,Inputs!$K$4:$AJ$4,0))))=0,NA(),SUMPRODUCT((Inputs!$A$5:$A$190=$B32)*Inputs!$B$5:$B$190*(((Inputs!$G$5:$G$190="moeda")+(Inputs!$G$5:$G$190="acoes"))*Inputs!$B$1+((Inputs!$G$5:$G$190&lt;&gt;"moeda")*(Inputs!$G$5:$G$190&lt;&gt;"acoes")))*INDEX(Inputs!$K$5:$AJ$190,0,MATCH(AF$2,Inputs!$K$4:$AJ$4,0)))+SUMPRODUCT((Inputs!$C$5:$C$190=$B32)*Inputs!$D$5:$D$190*(((Inputs!$G$5:$G$190="moeda")+(Inputs!$G$5:$G$190="acoes"))*Inputs!$B$1+((Inputs!$G$5:$G$190&lt;&gt;"moeda")*(Inputs!$G$5:$G$190&lt;&gt;"acoes")))*INDEX(Inputs!$K$5:$AJ$190,0,MATCH(AF$2,Inputs!$K$4:$AJ$4,0)))+SUMPRODUCT((Inputs!$E$5:$E$190=$B32)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32" s="3" t="e">
        <f>AF32</f>
        <v>#N/A</v>
      </c>
      <c r="AH32" s="6">
        <f>IF(ISNA(MATCH(AH$2,Inputs!$K$4:$AJ$4,0)),NA(),IF(SUMPRODUCT((Inputs!$A$5:$A$190=$B32)*ISNUMBER(INDEX(Inputs!$K$5:$AJ$190,0,MATCH(AH$2,Inputs!$K$4:$AJ$4,0))))+SUMPRODUCT((Inputs!$C$5:$C$190=$B32)*ISNUMBER(INDEX(Inputs!$K$5:$AJ$190,0,MATCH(AH$2,Inputs!$K$4:$AJ$4,0))))+SUMPRODUCT((Inputs!$E$5:$E$190=$B32)*ISNUMBER(INDEX(Inputs!$K$5:$AJ$190,0,MATCH(AH$2,Inputs!$K$4:$AJ$4,0))))=0,NA(),SUMPRODUCT((Inputs!$A$5:$A$190=$B32)*Inputs!$B$5:$B$190*(((Inputs!$G$5:$G$190="moeda")+(Inputs!$G$5:$G$190="acoes"))*Inputs!$B$1+((Inputs!$G$5:$G$190&lt;&gt;"moeda")*(Inputs!$G$5:$G$190&lt;&gt;"acoes")))*INDEX(Inputs!$K$5:$AJ$190,0,MATCH(AH$2,Inputs!$K$4:$AJ$4,0)))+SUMPRODUCT((Inputs!$C$5:$C$190=$B32)*Inputs!$D$5:$D$190*(((Inputs!$G$5:$G$190="moeda")+(Inputs!$G$5:$G$190="acoes"))*Inputs!$B$1+((Inputs!$G$5:$G$190&lt;&gt;"moeda")*(Inputs!$G$5:$G$190&lt;&gt;"acoes")))*INDEX(Inputs!$K$5:$AJ$190,0,MATCH(AH$2,Inputs!$K$4:$AJ$4,0)))+SUMPRODUCT((Inputs!$E$5:$E$190=$B32)*Inputs!$F$5:$F$190*(((Inputs!$G$5:$G$190="moeda")+(Inputs!$G$5:$G$190="acoes"))*Inputs!$B$1+((Inputs!$G$5:$G$190&lt;&gt;"moeda")*(Inputs!$G$5:$G$190&lt;&gt;"acoes")))*INDEX(Inputs!$K$5:$AJ$190,0,MATCH(AH$2,Inputs!$K$4:$AJ$4,0)))))</f>
        <v>1843.03892892</v>
      </c>
      <c r="AI32" s="6">
        <f>IF(ISNA(MATCH(AI$2,Inputs!$K$4:$AJ$4,0)),NA(),IF(SUMPRODUCT((Inputs!$A$5:$A$190=$B32)*ISNUMBER(INDEX(Inputs!$K$5:$AJ$190,0,MATCH(AI$2,Inputs!$K$4:$AJ$4,0))))+SUMPRODUCT((Inputs!$C$5:$C$190=$B32)*ISNUMBER(INDEX(Inputs!$K$5:$AJ$190,0,MATCH(AI$2,Inputs!$K$4:$AJ$4,0))))+SUMPRODUCT((Inputs!$E$5:$E$190=$B32)*ISNUMBER(INDEX(Inputs!$K$5:$AJ$190,0,MATCH(AI$2,Inputs!$K$4:$AJ$4,0))))=0,NA(),SUMPRODUCT((Inputs!$A$5:$A$190=$B32)*Inputs!$B$5:$B$190*(((Inputs!$G$5:$G$190="moeda")+(Inputs!$G$5:$G$190="acoes"))*Inputs!$B$1+((Inputs!$G$5:$G$190&lt;&gt;"moeda")*(Inputs!$G$5:$G$190&lt;&gt;"acoes")))*INDEX(Inputs!$K$5:$AJ$190,0,MATCH(AI$2,Inputs!$K$4:$AJ$4,0)))+SUMPRODUCT((Inputs!$C$5:$C$190=$B32)*Inputs!$D$5:$D$190*(((Inputs!$G$5:$G$190="moeda")+(Inputs!$G$5:$G$190="acoes"))*Inputs!$B$1+((Inputs!$G$5:$G$190&lt;&gt;"moeda")*(Inputs!$G$5:$G$190&lt;&gt;"acoes")))*INDEX(Inputs!$K$5:$AJ$190,0,MATCH(AI$2,Inputs!$K$4:$AJ$4,0)))+SUMPRODUCT((Inputs!$E$5:$E$190=$B32)*Inputs!$F$5:$F$190*(((Inputs!$G$5:$G$190="moeda")+(Inputs!$G$5:$G$190="acoes"))*Inputs!$B$1+((Inputs!$G$5:$G$190&lt;&gt;"moeda")*(Inputs!$G$5:$G$190&lt;&gt;"acoes")))*INDEX(Inputs!$K$5:$AJ$190,0,MATCH(AI$2,Inputs!$K$4:$AJ$4,0)))))</f>
        <v>2410.52760539</v>
      </c>
      <c r="AJ32" s="6">
        <f>IF(ISNA(MATCH(AJ$2,Inputs!$K$4:$AJ$4,0)),NA(),IF(SUMPRODUCT((Inputs!$A$5:$A$190=$B32)*ISNUMBER(INDEX(Inputs!$K$5:$AJ$190,0,MATCH(AJ$2,Inputs!$K$4:$AJ$4,0))))+SUMPRODUCT((Inputs!$C$5:$C$190=$B32)*ISNUMBER(INDEX(Inputs!$K$5:$AJ$190,0,MATCH(AJ$2,Inputs!$K$4:$AJ$4,0))))+SUMPRODUCT((Inputs!$E$5:$E$190=$B32)*ISNUMBER(INDEX(Inputs!$K$5:$AJ$190,0,MATCH(AJ$2,Inputs!$K$4:$AJ$4,0))))=0,NA(),SUMPRODUCT((Inputs!$A$5:$A$190=$B32)*Inputs!$B$5:$B$190*(((Inputs!$G$5:$G$190="moeda")+(Inputs!$G$5:$G$190="acoes"))*Inputs!$B$1+((Inputs!$G$5:$G$190&lt;&gt;"moeda")*(Inputs!$G$5:$G$190&lt;&gt;"acoes")))*INDEX(Inputs!$K$5:$AJ$190,0,MATCH(AJ$2,Inputs!$K$4:$AJ$4,0)))+SUMPRODUCT((Inputs!$C$5:$C$190=$B32)*Inputs!$D$5:$D$190*(((Inputs!$G$5:$G$190="moeda")+(Inputs!$G$5:$G$190="acoes"))*Inputs!$B$1+((Inputs!$G$5:$G$190&lt;&gt;"moeda")*(Inputs!$G$5:$G$190&lt;&gt;"acoes")))*INDEX(Inputs!$K$5:$AJ$190,0,MATCH(AJ$2,Inputs!$K$4:$AJ$4,0)))+SUMPRODUCT((Inputs!$E$5:$E$190=$B32)*Inputs!$F$5:$F$190*(((Inputs!$G$5:$G$190="moeda")+(Inputs!$G$5:$G$190="acoes"))*Inputs!$B$1+((Inputs!$G$5:$G$190&lt;&gt;"moeda")*(Inputs!$G$5:$G$190&lt;&gt;"acoes")))*INDEX(Inputs!$K$5:$AJ$190,0,MATCH(AJ$2,Inputs!$K$4:$AJ$4,0)))))</f>
        <v>1675.43648048</v>
      </c>
      <c r="AK32" s="6">
        <f>IF(ISNA(MATCH(AK$2,Inputs!$K$4:$AJ$4,0)),NA(),IF(SUMPRODUCT((Inputs!$A$5:$A$190=$B32)*ISNUMBER(INDEX(Inputs!$K$5:$AJ$190,0,MATCH(AK$2,Inputs!$K$4:$AJ$4,0))))+SUMPRODUCT((Inputs!$C$5:$C$190=$B32)*ISNUMBER(INDEX(Inputs!$K$5:$AJ$190,0,MATCH(AK$2,Inputs!$K$4:$AJ$4,0))))+SUMPRODUCT((Inputs!$E$5:$E$190=$B32)*ISNUMBER(INDEX(Inputs!$K$5:$AJ$190,0,MATCH(AK$2,Inputs!$K$4:$AJ$4,0))))=0,NA(),SUMPRODUCT((Inputs!$A$5:$A$190=$B32)*Inputs!$B$5:$B$190*(((Inputs!$G$5:$G$190="moeda")+(Inputs!$G$5:$G$190="acoes"))*Inputs!$B$1+((Inputs!$G$5:$G$190&lt;&gt;"moeda")*(Inputs!$G$5:$G$190&lt;&gt;"acoes")))*INDEX(Inputs!$K$5:$AJ$190,0,MATCH(AK$2,Inputs!$K$4:$AJ$4,0)))+SUMPRODUCT((Inputs!$C$5:$C$190=$B32)*Inputs!$D$5:$D$190*(((Inputs!$G$5:$G$190="moeda")+(Inputs!$G$5:$G$190="acoes"))*Inputs!$B$1+((Inputs!$G$5:$G$190&lt;&gt;"moeda")*(Inputs!$G$5:$G$190&lt;&gt;"acoes")))*INDEX(Inputs!$K$5:$AJ$190,0,MATCH(AK$2,Inputs!$K$4:$AJ$4,0)))+SUMPRODUCT((Inputs!$E$5:$E$190=$B32)*Inputs!$F$5:$F$190*(((Inputs!$G$5:$G$190="moeda")+(Inputs!$G$5:$G$190="acoes"))*Inputs!$B$1+((Inputs!$G$5:$G$190&lt;&gt;"moeda")*(Inputs!$G$5:$G$190&lt;&gt;"acoes")))*INDEX(Inputs!$K$5:$AJ$190,0,MATCH(AK$2,Inputs!$K$4:$AJ$4,0)))))</f>
        <v>2166.37033725</v>
      </c>
      <c r="AL32" s="3">
        <f>AK32</f>
        <v>2166.37033725</v>
      </c>
    </row>
    <row r="33">
      <c r="B33" s="46" t="n">
        <v>28</v>
      </c>
      <c r="C33" s="26" t="inlineStr">
        <is>
          <t>Short term debt (Revolving credit facility)</t>
        </is>
      </c>
      <c r="D33" s="6" t="e">
        <f>IF(ISNA(MATCH(D$2,Inputs!$K$4:$AJ$4,0)),NA(),IF(SUMPRODUCT((Inputs!$A$5:$A$190=$B33)*ISNUMBER(INDEX(Inputs!$K$5:$AJ$190,0,MATCH(D$2,Inputs!$K$4:$AJ$4,0))))+SUMPRODUCT((Inputs!$C$5:$C$190=$B33)*ISNUMBER(INDEX(Inputs!$K$5:$AJ$190,0,MATCH(D$2,Inputs!$K$4:$AJ$4,0))))+SUMPRODUCT((Inputs!$E$5:$E$190=$B33)*ISNUMBER(INDEX(Inputs!$K$5:$AJ$190,0,MATCH(D$2,Inputs!$K$4:$AJ$4,0))))=0,NA(),SUMPRODUCT((Inputs!$A$5:$A$190=$B33)*Inputs!$B$5:$B$190*(((Inputs!$G$5:$G$190="moeda")+(Inputs!$G$5:$G$190="acoes"))*Inputs!$B$1+((Inputs!$G$5:$G$190&lt;&gt;"moeda")*(Inputs!$G$5:$G$190&lt;&gt;"acoes")))*INDEX(Inputs!$K$5:$AJ$190,0,MATCH(D$2,Inputs!$K$4:$AJ$4,0)))+SUMPRODUCT((Inputs!$C$5:$C$190=$B33)*Inputs!$D$5:$D$190*(((Inputs!$G$5:$G$190="moeda")+(Inputs!$G$5:$G$190="acoes"))*Inputs!$B$1+((Inputs!$G$5:$G$190&lt;&gt;"moeda")*(Inputs!$G$5:$G$190&lt;&gt;"acoes")))*INDEX(Inputs!$K$5:$AJ$190,0,MATCH(D$2,Inputs!$K$4:$AJ$4,0)))+SUMPRODUCT((Inputs!$E$5:$E$190=$B33)*Inputs!$F$5:$F$190*(((Inputs!$G$5:$G$190="moeda")+(Inputs!$G$5:$G$190="acoes"))*Inputs!$B$1+((Inputs!$G$5:$G$190&lt;&gt;"moeda")*(Inputs!$G$5:$G$190&lt;&gt;"acoes")))*INDEX(Inputs!$K$5:$AJ$190,0,MATCH(D$2,Inputs!$K$4:$AJ$4,0)))))</f>
        <v>#N/A</v>
      </c>
      <c r="E33" s="6" t="e">
        <f>IF(ISNA(MATCH(E$2,Inputs!$K$4:$AJ$4,0)),NA(),IF(SUMPRODUCT((Inputs!$A$5:$A$190=$B33)*ISNUMBER(INDEX(Inputs!$K$5:$AJ$190,0,MATCH(E$2,Inputs!$K$4:$AJ$4,0))))+SUMPRODUCT((Inputs!$C$5:$C$190=$B33)*ISNUMBER(INDEX(Inputs!$K$5:$AJ$190,0,MATCH(E$2,Inputs!$K$4:$AJ$4,0))))+SUMPRODUCT((Inputs!$E$5:$E$190=$B33)*ISNUMBER(INDEX(Inputs!$K$5:$AJ$190,0,MATCH(E$2,Inputs!$K$4:$AJ$4,0))))=0,NA(),SUMPRODUCT((Inputs!$A$5:$A$190=$B33)*Inputs!$B$5:$B$190*(((Inputs!$G$5:$G$190="moeda")+(Inputs!$G$5:$G$190="acoes"))*Inputs!$B$1+((Inputs!$G$5:$G$190&lt;&gt;"moeda")*(Inputs!$G$5:$G$190&lt;&gt;"acoes")))*INDEX(Inputs!$K$5:$AJ$190,0,MATCH(E$2,Inputs!$K$4:$AJ$4,0)))+SUMPRODUCT((Inputs!$C$5:$C$190=$B33)*Inputs!$D$5:$D$190*(((Inputs!$G$5:$G$190="moeda")+(Inputs!$G$5:$G$190="acoes"))*Inputs!$B$1+((Inputs!$G$5:$G$190&lt;&gt;"moeda")*(Inputs!$G$5:$G$190&lt;&gt;"acoes")))*INDEX(Inputs!$K$5:$AJ$190,0,MATCH(E$2,Inputs!$K$4:$AJ$4,0)))+SUMPRODUCT((Inputs!$E$5:$E$190=$B33)*Inputs!$F$5:$F$190*(((Inputs!$G$5:$G$190="moeda")+(Inputs!$G$5:$G$190="acoes"))*Inputs!$B$1+((Inputs!$G$5:$G$190&lt;&gt;"moeda")*(Inputs!$G$5:$G$190&lt;&gt;"acoes")))*INDEX(Inputs!$K$5:$AJ$190,0,MATCH(E$2,Inputs!$K$4:$AJ$4,0)))))</f>
        <v>#N/A</v>
      </c>
      <c r="F33" s="6" t="e">
        <f>IF(ISNA(MATCH(F$2,Inputs!$K$4:$AJ$4,0)),NA(),IF(SUMPRODUCT((Inputs!$A$5:$A$190=$B33)*ISNUMBER(INDEX(Inputs!$K$5:$AJ$190,0,MATCH(F$2,Inputs!$K$4:$AJ$4,0))))+SUMPRODUCT((Inputs!$C$5:$C$190=$B33)*ISNUMBER(INDEX(Inputs!$K$5:$AJ$190,0,MATCH(F$2,Inputs!$K$4:$AJ$4,0))))+SUMPRODUCT((Inputs!$E$5:$E$190=$B33)*ISNUMBER(INDEX(Inputs!$K$5:$AJ$190,0,MATCH(F$2,Inputs!$K$4:$AJ$4,0))))=0,NA(),SUMPRODUCT((Inputs!$A$5:$A$190=$B33)*Inputs!$B$5:$B$190*(((Inputs!$G$5:$G$190="moeda")+(Inputs!$G$5:$G$190="acoes"))*Inputs!$B$1+((Inputs!$G$5:$G$190&lt;&gt;"moeda")*(Inputs!$G$5:$G$190&lt;&gt;"acoes")))*INDEX(Inputs!$K$5:$AJ$190,0,MATCH(F$2,Inputs!$K$4:$AJ$4,0)))+SUMPRODUCT((Inputs!$C$5:$C$190=$B33)*Inputs!$D$5:$D$190*(((Inputs!$G$5:$G$190="moeda")+(Inputs!$G$5:$G$190="acoes"))*Inputs!$B$1+((Inputs!$G$5:$G$190&lt;&gt;"moeda")*(Inputs!$G$5:$G$190&lt;&gt;"acoes")))*INDEX(Inputs!$K$5:$AJ$190,0,MATCH(F$2,Inputs!$K$4:$AJ$4,0)))+SUMPRODUCT((Inputs!$E$5:$E$190=$B33)*Inputs!$F$5:$F$190*(((Inputs!$G$5:$G$190="moeda")+(Inputs!$G$5:$G$190="acoes"))*Inputs!$B$1+((Inputs!$G$5:$G$190&lt;&gt;"moeda")*(Inputs!$G$5:$G$190&lt;&gt;"acoes")))*INDEX(Inputs!$K$5:$AJ$190,0,MATCH(F$2,Inputs!$K$4:$AJ$4,0)))))</f>
        <v>#N/A</v>
      </c>
      <c r="G33" s="6" t="e">
        <f>IF(ISNA(MATCH(G$2,Inputs!$K$4:$AJ$4,0)),NA(),IF(SUMPRODUCT((Inputs!$A$5:$A$190=$B33)*ISNUMBER(INDEX(Inputs!$K$5:$AJ$190,0,MATCH(G$2,Inputs!$K$4:$AJ$4,0))))+SUMPRODUCT((Inputs!$C$5:$C$190=$B33)*ISNUMBER(INDEX(Inputs!$K$5:$AJ$190,0,MATCH(G$2,Inputs!$K$4:$AJ$4,0))))+SUMPRODUCT((Inputs!$E$5:$E$190=$B33)*ISNUMBER(INDEX(Inputs!$K$5:$AJ$190,0,MATCH(G$2,Inputs!$K$4:$AJ$4,0))))=0,NA(),SUMPRODUCT((Inputs!$A$5:$A$190=$B33)*Inputs!$B$5:$B$190*(((Inputs!$G$5:$G$190="moeda")+(Inputs!$G$5:$G$190="acoes"))*Inputs!$B$1+((Inputs!$G$5:$G$190&lt;&gt;"moeda")*(Inputs!$G$5:$G$190&lt;&gt;"acoes")))*INDEX(Inputs!$K$5:$AJ$190,0,MATCH(G$2,Inputs!$K$4:$AJ$4,0)))+SUMPRODUCT((Inputs!$C$5:$C$190=$B33)*Inputs!$D$5:$D$190*(((Inputs!$G$5:$G$190="moeda")+(Inputs!$G$5:$G$190="acoes"))*Inputs!$B$1+((Inputs!$G$5:$G$190&lt;&gt;"moeda")*(Inputs!$G$5:$G$190&lt;&gt;"acoes")))*INDEX(Inputs!$K$5:$AJ$190,0,MATCH(G$2,Inputs!$K$4:$AJ$4,0)))+SUMPRODUCT((Inputs!$E$5:$E$190=$B33)*Inputs!$F$5:$F$190*(((Inputs!$G$5:$G$190="moeda")+(Inputs!$G$5:$G$190="acoes"))*Inputs!$B$1+((Inputs!$G$5:$G$190&lt;&gt;"moeda")*(Inputs!$G$5:$G$190&lt;&gt;"acoes")))*INDEX(Inputs!$K$5:$AJ$190,0,MATCH(G$2,Inputs!$K$4:$AJ$4,0)))))</f>
        <v>#N/A</v>
      </c>
      <c r="H33" s="3" t="e">
        <f>G33</f>
        <v>#N/A</v>
      </c>
      <c r="I33" s="6" t="e">
        <f>IF(ISNA(MATCH(I$2,Inputs!$K$4:$AJ$4,0)),NA(),IF(SUMPRODUCT((Inputs!$A$5:$A$190=$B33)*ISNUMBER(INDEX(Inputs!$K$5:$AJ$190,0,MATCH(I$2,Inputs!$K$4:$AJ$4,0))))+SUMPRODUCT((Inputs!$C$5:$C$190=$B33)*ISNUMBER(INDEX(Inputs!$K$5:$AJ$190,0,MATCH(I$2,Inputs!$K$4:$AJ$4,0))))+SUMPRODUCT((Inputs!$E$5:$E$190=$B33)*ISNUMBER(INDEX(Inputs!$K$5:$AJ$190,0,MATCH(I$2,Inputs!$K$4:$AJ$4,0))))=0,NA(),SUMPRODUCT((Inputs!$A$5:$A$190=$B33)*Inputs!$B$5:$B$190*(((Inputs!$G$5:$G$190="moeda")+(Inputs!$G$5:$G$190="acoes"))*Inputs!$B$1+((Inputs!$G$5:$G$190&lt;&gt;"moeda")*(Inputs!$G$5:$G$190&lt;&gt;"acoes")))*INDEX(Inputs!$K$5:$AJ$190,0,MATCH(I$2,Inputs!$K$4:$AJ$4,0)))+SUMPRODUCT((Inputs!$C$5:$C$190=$B33)*Inputs!$D$5:$D$190*(((Inputs!$G$5:$G$190="moeda")+(Inputs!$G$5:$G$190="acoes"))*Inputs!$B$1+((Inputs!$G$5:$G$190&lt;&gt;"moeda")*(Inputs!$G$5:$G$190&lt;&gt;"acoes")))*INDEX(Inputs!$K$5:$AJ$190,0,MATCH(I$2,Inputs!$K$4:$AJ$4,0)))+SUMPRODUCT((Inputs!$E$5:$E$190=$B33)*Inputs!$F$5:$F$190*(((Inputs!$G$5:$G$190="moeda")+(Inputs!$G$5:$G$190="acoes"))*Inputs!$B$1+((Inputs!$G$5:$G$190&lt;&gt;"moeda")*(Inputs!$G$5:$G$190&lt;&gt;"acoes")))*INDEX(Inputs!$K$5:$AJ$190,0,MATCH(I$2,Inputs!$K$4:$AJ$4,0)))))</f>
        <v>#N/A</v>
      </c>
      <c r="J33" s="6" t="e">
        <f>IF(ISNA(MATCH(J$2,Inputs!$K$4:$AJ$4,0)),NA(),IF(SUMPRODUCT((Inputs!$A$5:$A$190=$B33)*ISNUMBER(INDEX(Inputs!$K$5:$AJ$190,0,MATCH(J$2,Inputs!$K$4:$AJ$4,0))))+SUMPRODUCT((Inputs!$C$5:$C$190=$B33)*ISNUMBER(INDEX(Inputs!$K$5:$AJ$190,0,MATCH(J$2,Inputs!$K$4:$AJ$4,0))))+SUMPRODUCT((Inputs!$E$5:$E$190=$B33)*ISNUMBER(INDEX(Inputs!$K$5:$AJ$190,0,MATCH(J$2,Inputs!$K$4:$AJ$4,0))))=0,NA(),SUMPRODUCT((Inputs!$A$5:$A$190=$B33)*Inputs!$B$5:$B$190*(((Inputs!$G$5:$G$190="moeda")+(Inputs!$G$5:$G$190="acoes"))*Inputs!$B$1+((Inputs!$G$5:$G$190&lt;&gt;"moeda")*(Inputs!$G$5:$G$190&lt;&gt;"acoes")))*INDEX(Inputs!$K$5:$AJ$190,0,MATCH(J$2,Inputs!$K$4:$AJ$4,0)))+SUMPRODUCT((Inputs!$C$5:$C$190=$B33)*Inputs!$D$5:$D$190*(((Inputs!$G$5:$G$190="moeda")+(Inputs!$G$5:$G$190="acoes"))*Inputs!$B$1+((Inputs!$G$5:$G$190&lt;&gt;"moeda")*(Inputs!$G$5:$G$190&lt;&gt;"acoes")))*INDEX(Inputs!$K$5:$AJ$190,0,MATCH(J$2,Inputs!$K$4:$AJ$4,0)))+SUMPRODUCT((Inputs!$E$5:$E$190=$B33)*Inputs!$F$5:$F$190*(((Inputs!$G$5:$G$190="moeda")+(Inputs!$G$5:$G$190="acoes"))*Inputs!$B$1+((Inputs!$G$5:$G$190&lt;&gt;"moeda")*(Inputs!$G$5:$G$190&lt;&gt;"acoes")))*INDEX(Inputs!$K$5:$AJ$190,0,MATCH(J$2,Inputs!$K$4:$AJ$4,0)))))</f>
        <v>#N/A</v>
      </c>
      <c r="K33" s="6" t="e">
        <f>IF(ISNA(MATCH(K$2,Inputs!$K$4:$AJ$4,0)),NA(),IF(SUMPRODUCT((Inputs!$A$5:$A$190=$B33)*ISNUMBER(INDEX(Inputs!$K$5:$AJ$190,0,MATCH(K$2,Inputs!$K$4:$AJ$4,0))))+SUMPRODUCT((Inputs!$C$5:$C$190=$B33)*ISNUMBER(INDEX(Inputs!$K$5:$AJ$190,0,MATCH(K$2,Inputs!$K$4:$AJ$4,0))))+SUMPRODUCT((Inputs!$E$5:$E$190=$B33)*ISNUMBER(INDEX(Inputs!$K$5:$AJ$190,0,MATCH(K$2,Inputs!$K$4:$AJ$4,0))))=0,NA(),SUMPRODUCT((Inputs!$A$5:$A$190=$B33)*Inputs!$B$5:$B$190*(((Inputs!$G$5:$G$190="moeda")+(Inputs!$G$5:$G$190="acoes"))*Inputs!$B$1+((Inputs!$G$5:$G$190&lt;&gt;"moeda")*(Inputs!$G$5:$G$190&lt;&gt;"acoes")))*INDEX(Inputs!$K$5:$AJ$190,0,MATCH(K$2,Inputs!$K$4:$AJ$4,0)))+SUMPRODUCT((Inputs!$C$5:$C$190=$B33)*Inputs!$D$5:$D$190*(((Inputs!$G$5:$G$190="moeda")+(Inputs!$G$5:$G$190="acoes"))*Inputs!$B$1+((Inputs!$G$5:$G$190&lt;&gt;"moeda")*(Inputs!$G$5:$G$190&lt;&gt;"acoes")))*INDEX(Inputs!$K$5:$AJ$190,0,MATCH(K$2,Inputs!$K$4:$AJ$4,0)))+SUMPRODUCT((Inputs!$E$5:$E$190=$B33)*Inputs!$F$5:$F$190*(((Inputs!$G$5:$G$190="moeda")+(Inputs!$G$5:$G$190="acoes"))*Inputs!$B$1+((Inputs!$G$5:$G$190&lt;&gt;"moeda")*(Inputs!$G$5:$G$190&lt;&gt;"acoes")))*INDEX(Inputs!$K$5:$AJ$190,0,MATCH(K$2,Inputs!$K$4:$AJ$4,0)))))</f>
        <v>#N/A</v>
      </c>
      <c r="L33" s="6" t="e">
        <f>IF(ISNA(MATCH(L$2,Inputs!$K$4:$AJ$4,0)),NA(),IF(SUMPRODUCT((Inputs!$A$5:$A$190=$B33)*ISNUMBER(INDEX(Inputs!$K$5:$AJ$190,0,MATCH(L$2,Inputs!$K$4:$AJ$4,0))))+SUMPRODUCT((Inputs!$C$5:$C$190=$B33)*ISNUMBER(INDEX(Inputs!$K$5:$AJ$190,0,MATCH(L$2,Inputs!$K$4:$AJ$4,0))))+SUMPRODUCT((Inputs!$E$5:$E$190=$B33)*ISNUMBER(INDEX(Inputs!$K$5:$AJ$190,0,MATCH(L$2,Inputs!$K$4:$AJ$4,0))))=0,NA(),SUMPRODUCT((Inputs!$A$5:$A$190=$B33)*Inputs!$B$5:$B$190*(((Inputs!$G$5:$G$190="moeda")+(Inputs!$G$5:$G$190="acoes"))*Inputs!$B$1+((Inputs!$G$5:$G$190&lt;&gt;"moeda")*(Inputs!$G$5:$G$190&lt;&gt;"acoes")))*INDEX(Inputs!$K$5:$AJ$190,0,MATCH(L$2,Inputs!$K$4:$AJ$4,0)))+SUMPRODUCT((Inputs!$C$5:$C$190=$B33)*Inputs!$D$5:$D$190*(((Inputs!$G$5:$G$190="moeda")+(Inputs!$G$5:$G$190="acoes"))*Inputs!$B$1+((Inputs!$G$5:$G$190&lt;&gt;"moeda")*(Inputs!$G$5:$G$190&lt;&gt;"acoes")))*INDEX(Inputs!$K$5:$AJ$190,0,MATCH(L$2,Inputs!$K$4:$AJ$4,0)))+SUMPRODUCT((Inputs!$E$5:$E$190=$B33)*Inputs!$F$5:$F$190*(((Inputs!$G$5:$G$190="moeda")+(Inputs!$G$5:$G$190="acoes"))*Inputs!$B$1+((Inputs!$G$5:$G$190&lt;&gt;"moeda")*(Inputs!$G$5:$G$190&lt;&gt;"acoes")))*INDEX(Inputs!$K$5:$AJ$190,0,MATCH(L$2,Inputs!$K$4:$AJ$4,0)))))</f>
        <v>#N/A</v>
      </c>
      <c r="M33" s="3" t="e">
        <f>L33</f>
        <v>#N/A</v>
      </c>
      <c r="N33" s="6" t="e">
        <f>IF(ISNA(MATCH(N$2,Inputs!$K$4:$AJ$4,0)),NA(),IF(SUMPRODUCT((Inputs!$A$5:$A$190=$B33)*ISNUMBER(INDEX(Inputs!$K$5:$AJ$190,0,MATCH(N$2,Inputs!$K$4:$AJ$4,0))))+SUMPRODUCT((Inputs!$C$5:$C$190=$B33)*ISNUMBER(INDEX(Inputs!$K$5:$AJ$190,0,MATCH(N$2,Inputs!$K$4:$AJ$4,0))))+SUMPRODUCT((Inputs!$E$5:$E$190=$B33)*ISNUMBER(INDEX(Inputs!$K$5:$AJ$190,0,MATCH(N$2,Inputs!$K$4:$AJ$4,0))))=0,NA(),SUMPRODUCT((Inputs!$A$5:$A$190=$B33)*Inputs!$B$5:$B$190*(((Inputs!$G$5:$G$190="moeda")+(Inputs!$G$5:$G$190="acoes"))*Inputs!$B$1+((Inputs!$G$5:$G$190&lt;&gt;"moeda")*(Inputs!$G$5:$G$190&lt;&gt;"acoes")))*INDEX(Inputs!$K$5:$AJ$190,0,MATCH(N$2,Inputs!$K$4:$AJ$4,0)))+SUMPRODUCT((Inputs!$C$5:$C$190=$B33)*Inputs!$D$5:$D$190*(((Inputs!$G$5:$G$190="moeda")+(Inputs!$G$5:$G$190="acoes"))*Inputs!$B$1+((Inputs!$G$5:$G$190&lt;&gt;"moeda")*(Inputs!$G$5:$G$190&lt;&gt;"acoes")))*INDEX(Inputs!$K$5:$AJ$190,0,MATCH(N$2,Inputs!$K$4:$AJ$4,0)))+SUMPRODUCT((Inputs!$E$5:$E$190=$B33)*Inputs!$F$5:$F$190*(((Inputs!$G$5:$G$190="moeda")+(Inputs!$G$5:$G$190="acoes"))*Inputs!$B$1+((Inputs!$G$5:$G$190&lt;&gt;"moeda")*(Inputs!$G$5:$G$190&lt;&gt;"acoes")))*INDEX(Inputs!$K$5:$AJ$190,0,MATCH(N$2,Inputs!$K$4:$AJ$4,0)))))</f>
        <v>#N/A</v>
      </c>
      <c r="O33" s="6" t="e">
        <f>IF(ISNA(MATCH(O$2,Inputs!$K$4:$AJ$4,0)),NA(),IF(SUMPRODUCT((Inputs!$A$5:$A$190=$B33)*ISNUMBER(INDEX(Inputs!$K$5:$AJ$190,0,MATCH(O$2,Inputs!$K$4:$AJ$4,0))))+SUMPRODUCT((Inputs!$C$5:$C$190=$B33)*ISNUMBER(INDEX(Inputs!$K$5:$AJ$190,0,MATCH(O$2,Inputs!$K$4:$AJ$4,0))))+SUMPRODUCT((Inputs!$E$5:$E$190=$B33)*ISNUMBER(INDEX(Inputs!$K$5:$AJ$190,0,MATCH(O$2,Inputs!$K$4:$AJ$4,0))))=0,NA(),SUMPRODUCT((Inputs!$A$5:$A$190=$B33)*Inputs!$B$5:$B$190*(((Inputs!$G$5:$G$190="moeda")+(Inputs!$G$5:$G$190="acoes"))*Inputs!$B$1+((Inputs!$G$5:$G$190&lt;&gt;"moeda")*(Inputs!$G$5:$G$190&lt;&gt;"acoes")))*INDEX(Inputs!$K$5:$AJ$190,0,MATCH(O$2,Inputs!$K$4:$AJ$4,0)))+SUMPRODUCT((Inputs!$C$5:$C$190=$B33)*Inputs!$D$5:$D$190*(((Inputs!$G$5:$G$190="moeda")+(Inputs!$G$5:$G$190="acoes"))*Inputs!$B$1+((Inputs!$G$5:$G$190&lt;&gt;"moeda")*(Inputs!$G$5:$G$190&lt;&gt;"acoes")))*INDEX(Inputs!$K$5:$AJ$190,0,MATCH(O$2,Inputs!$K$4:$AJ$4,0)))+SUMPRODUCT((Inputs!$E$5:$E$190=$B33)*Inputs!$F$5:$F$190*(((Inputs!$G$5:$G$190="moeda")+(Inputs!$G$5:$G$190="acoes"))*Inputs!$B$1+((Inputs!$G$5:$G$190&lt;&gt;"moeda")*(Inputs!$G$5:$G$190&lt;&gt;"acoes")))*INDEX(Inputs!$K$5:$AJ$190,0,MATCH(O$2,Inputs!$K$4:$AJ$4,0)))))</f>
        <v>#N/A</v>
      </c>
      <c r="P33" s="6" t="e">
        <f>IF(ISNA(MATCH(P$2,Inputs!$K$4:$AJ$4,0)),NA(),IF(SUMPRODUCT((Inputs!$A$5:$A$190=$B33)*ISNUMBER(INDEX(Inputs!$K$5:$AJ$190,0,MATCH(P$2,Inputs!$K$4:$AJ$4,0))))+SUMPRODUCT((Inputs!$C$5:$C$190=$B33)*ISNUMBER(INDEX(Inputs!$K$5:$AJ$190,0,MATCH(P$2,Inputs!$K$4:$AJ$4,0))))+SUMPRODUCT((Inputs!$E$5:$E$190=$B33)*ISNUMBER(INDEX(Inputs!$K$5:$AJ$190,0,MATCH(P$2,Inputs!$K$4:$AJ$4,0))))=0,NA(),SUMPRODUCT((Inputs!$A$5:$A$190=$B33)*Inputs!$B$5:$B$190*(((Inputs!$G$5:$G$190="moeda")+(Inputs!$G$5:$G$190="acoes"))*Inputs!$B$1+((Inputs!$G$5:$G$190&lt;&gt;"moeda")*(Inputs!$G$5:$G$190&lt;&gt;"acoes")))*INDEX(Inputs!$K$5:$AJ$190,0,MATCH(P$2,Inputs!$K$4:$AJ$4,0)))+SUMPRODUCT((Inputs!$C$5:$C$190=$B33)*Inputs!$D$5:$D$190*(((Inputs!$G$5:$G$190="moeda")+(Inputs!$G$5:$G$190="acoes"))*Inputs!$B$1+((Inputs!$G$5:$G$190&lt;&gt;"moeda")*(Inputs!$G$5:$G$190&lt;&gt;"acoes")))*INDEX(Inputs!$K$5:$AJ$190,0,MATCH(P$2,Inputs!$K$4:$AJ$4,0)))+SUMPRODUCT((Inputs!$E$5:$E$190=$B33)*Inputs!$F$5:$F$190*(((Inputs!$G$5:$G$190="moeda")+(Inputs!$G$5:$G$190="acoes"))*Inputs!$B$1+((Inputs!$G$5:$G$190&lt;&gt;"moeda")*(Inputs!$G$5:$G$190&lt;&gt;"acoes")))*INDEX(Inputs!$K$5:$AJ$190,0,MATCH(P$2,Inputs!$K$4:$AJ$4,0)))))</f>
        <v>#N/A</v>
      </c>
      <c r="Q33" s="6" t="e">
        <f>IF(ISNA(MATCH(Q$2,Inputs!$K$4:$AJ$4,0)),NA(),IF(SUMPRODUCT((Inputs!$A$5:$A$190=$B33)*ISNUMBER(INDEX(Inputs!$K$5:$AJ$190,0,MATCH(Q$2,Inputs!$K$4:$AJ$4,0))))+SUMPRODUCT((Inputs!$C$5:$C$190=$B33)*ISNUMBER(INDEX(Inputs!$K$5:$AJ$190,0,MATCH(Q$2,Inputs!$K$4:$AJ$4,0))))+SUMPRODUCT((Inputs!$E$5:$E$190=$B33)*ISNUMBER(INDEX(Inputs!$K$5:$AJ$190,0,MATCH(Q$2,Inputs!$K$4:$AJ$4,0))))=0,NA(),SUMPRODUCT((Inputs!$A$5:$A$190=$B33)*Inputs!$B$5:$B$190*(((Inputs!$G$5:$G$190="moeda")+(Inputs!$G$5:$G$190="acoes"))*Inputs!$B$1+((Inputs!$G$5:$G$190&lt;&gt;"moeda")*(Inputs!$G$5:$G$190&lt;&gt;"acoes")))*INDEX(Inputs!$K$5:$AJ$190,0,MATCH(Q$2,Inputs!$K$4:$AJ$4,0)))+SUMPRODUCT((Inputs!$C$5:$C$190=$B33)*Inputs!$D$5:$D$190*(((Inputs!$G$5:$G$190="moeda")+(Inputs!$G$5:$G$190="acoes"))*Inputs!$B$1+((Inputs!$G$5:$G$190&lt;&gt;"moeda")*(Inputs!$G$5:$G$190&lt;&gt;"acoes")))*INDEX(Inputs!$K$5:$AJ$190,0,MATCH(Q$2,Inputs!$K$4:$AJ$4,0)))+SUMPRODUCT((Inputs!$E$5:$E$190=$B33)*Inputs!$F$5:$F$190*(((Inputs!$G$5:$G$190="moeda")+(Inputs!$G$5:$G$190="acoes"))*Inputs!$B$1+((Inputs!$G$5:$G$190&lt;&gt;"moeda")*(Inputs!$G$5:$G$190&lt;&gt;"acoes")))*INDEX(Inputs!$K$5:$AJ$190,0,MATCH(Q$2,Inputs!$K$4:$AJ$4,0)))))</f>
        <v>#N/A</v>
      </c>
      <c r="R33" s="3" t="e">
        <f>Q33</f>
        <v>#N/A</v>
      </c>
      <c r="S33" s="6" t="e">
        <f>IF(ISNA(MATCH(S$2,Inputs!$K$4:$AJ$4,0)),NA(),IF(SUMPRODUCT((Inputs!$A$5:$A$190=$B33)*ISNUMBER(INDEX(Inputs!$K$5:$AJ$190,0,MATCH(S$2,Inputs!$K$4:$AJ$4,0))))+SUMPRODUCT((Inputs!$C$5:$C$190=$B33)*ISNUMBER(INDEX(Inputs!$K$5:$AJ$190,0,MATCH(S$2,Inputs!$K$4:$AJ$4,0))))+SUMPRODUCT((Inputs!$E$5:$E$190=$B33)*ISNUMBER(INDEX(Inputs!$K$5:$AJ$190,0,MATCH(S$2,Inputs!$K$4:$AJ$4,0))))=0,NA(),SUMPRODUCT((Inputs!$A$5:$A$190=$B33)*Inputs!$B$5:$B$190*(((Inputs!$G$5:$G$190="moeda")+(Inputs!$G$5:$G$190="acoes"))*Inputs!$B$1+((Inputs!$G$5:$G$190&lt;&gt;"moeda")*(Inputs!$G$5:$G$190&lt;&gt;"acoes")))*INDEX(Inputs!$K$5:$AJ$190,0,MATCH(S$2,Inputs!$K$4:$AJ$4,0)))+SUMPRODUCT((Inputs!$C$5:$C$190=$B33)*Inputs!$D$5:$D$190*(((Inputs!$G$5:$G$190="moeda")+(Inputs!$G$5:$G$190="acoes"))*Inputs!$B$1+((Inputs!$G$5:$G$190&lt;&gt;"moeda")*(Inputs!$G$5:$G$190&lt;&gt;"acoes")))*INDEX(Inputs!$K$5:$AJ$190,0,MATCH(S$2,Inputs!$K$4:$AJ$4,0)))+SUMPRODUCT((Inputs!$E$5:$E$190=$B33)*Inputs!$F$5:$F$190*(((Inputs!$G$5:$G$190="moeda")+(Inputs!$G$5:$G$190="acoes"))*Inputs!$B$1+((Inputs!$G$5:$G$190&lt;&gt;"moeda")*(Inputs!$G$5:$G$190&lt;&gt;"acoes")))*INDEX(Inputs!$K$5:$AJ$190,0,MATCH(S$2,Inputs!$K$4:$AJ$4,0)))))</f>
        <v>#N/A</v>
      </c>
      <c r="T33" s="6" t="e">
        <f>IF(ISNA(MATCH(T$2,Inputs!$K$4:$AJ$4,0)),NA(),IF(SUMPRODUCT((Inputs!$A$5:$A$190=$B33)*ISNUMBER(INDEX(Inputs!$K$5:$AJ$190,0,MATCH(T$2,Inputs!$K$4:$AJ$4,0))))+SUMPRODUCT((Inputs!$C$5:$C$190=$B33)*ISNUMBER(INDEX(Inputs!$K$5:$AJ$190,0,MATCH(T$2,Inputs!$K$4:$AJ$4,0))))+SUMPRODUCT((Inputs!$E$5:$E$190=$B33)*ISNUMBER(INDEX(Inputs!$K$5:$AJ$190,0,MATCH(T$2,Inputs!$K$4:$AJ$4,0))))=0,NA(),SUMPRODUCT((Inputs!$A$5:$A$190=$B33)*Inputs!$B$5:$B$190*(((Inputs!$G$5:$G$190="moeda")+(Inputs!$G$5:$G$190="acoes"))*Inputs!$B$1+((Inputs!$G$5:$G$190&lt;&gt;"moeda")*(Inputs!$G$5:$G$190&lt;&gt;"acoes")))*INDEX(Inputs!$K$5:$AJ$190,0,MATCH(T$2,Inputs!$K$4:$AJ$4,0)))+SUMPRODUCT((Inputs!$C$5:$C$190=$B33)*Inputs!$D$5:$D$190*(((Inputs!$G$5:$G$190="moeda")+(Inputs!$G$5:$G$190="acoes"))*Inputs!$B$1+((Inputs!$G$5:$G$190&lt;&gt;"moeda")*(Inputs!$G$5:$G$190&lt;&gt;"acoes")))*INDEX(Inputs!$K$5:$AJ$190,0,MATCH(T$2,Inputs!$K$4:$AJ$4,0)))+SUMPRODUCT((Inputs!$E$5:$E$190=$B33)*Inputs!$F$5:$F$190*(((Inputs!$G$5:$G$190="moeda")+(Inputs!$G$5:$G$190="acoes"))*Inputs!$B$1+((Inputs!$G$5:$G$190&lt;&gt;"moeda")*(Inputs!$G$5:$G$190&lt;&gt;"acoes")))*INDEX(Inputs!$K$5:$AJ$190,0,MATCH(T$2,Inputs!$K$4:$AJ$4,0)))))</f>
        <v>#N/A</v>
      </c>
      <c r="U33" s="6" t="e">
        <f>IF(ISNA(MATCH(U$2,Inputs!$K$4:$AJ$4,0)),NA(),IF(SUMPRODUCT((Inputs!$A$5:$A$190=$B33)*ISNUMBER(INDEX(Inputs!$K$5:$AJ$190,0,MATCH(U$2,Inputs!$K$4:$AJ$4,0))))+SUMPRODUCT((Inputs!$C$5:$C$190=$B33)*ISNUMBER(INDEX(Inputs!$K$5:$AJ$190,0,MATCH(U$2,Inputs!$K$4:$AJ$4,0))))+SUMPRODUCT((Inputs!$E$5:$E$190=$B33)*ISNUMBER(INDEX(Inputs!$K$5:$AJ$190,0,MATCH(U$2,Inputs!$K$4:$AJ$4,0))))=0,NA(),SUMPRODUCT((Inputs!$A$5:$A$190=$B33)*Inputs!$B$5:$B$190*(((Inputs!$G$5:$G$190="moeda")+(Inputs!$G$5:$G$190="acoes"))*Inputs!$B$1+((Inputs!$G$5:$G$190&lt;&gt;"moeda")*(Inputs!$G$5:$G$190&lt;&gt;"acoes")))*INDEX(Inputs!$K$5:$AJ$190,0,MATCH(U$2,Inputs!$K$4:$AJ$4,0)))+SUMPRODUCT((Inputs!$C$5:$C$190=$B33)*Inputs!$D$5:$D$190*(((Inputs!$G$5:$G$190="moeda")+(Inputs!$G$5:$G$190="acoes"))*Inputs!$B$1+((Inputs!$G$5:$G$190&lt;&gt;"moeda")*(Inputs!$G$5:$G$190&lt;&gt;"acoes")))*INDEX(Inputs!$K$5:$AJ$190,0,MATCH(U$2,Inputs!$K$4:$AJ$4,0)))+SUMPRODUCT((Inputs!$E$5:$E$190=$B33)*Inputs!$F$5:$F$190*(((Inputs!$G$5:$G$190="moeda")+(Inputs!$G$5:$G$190="acoes"))*Inputs!$B$1+((Inputs!$G$5:$G$190&lt;&gt;"moeda")*(Inputs!$G$5:$G$190&lt;&gt;"acoes")))*INDEX(Inputs!$K$5:$AJ$190,0,MATCH(U$2,Inputs!$K$4:$AJ$4,0)))))</f>
        <v>#N/A</v>
      </c>
      <c r="V33" s="6" t="e">
        <f>IF(ISNA(MATCH(V$2,Inputs!$K$4:$AJ$4,0)),NA(),IF(SUMPRODUCT((Inputs!$A$5:$A$190=$B33)*ISNUMBER(INDEX(Inputs!$K$5:$AJ$190,0,MATCH(V$2,Inputs!$K$4:$AJ$4,0))))+SUMPRODUCT((Inputs!$C$5:$C$190=$B33)*ISNUMBER(INDEX(Inputs!$K$5:$AJ$190,0,MATCH(V$2,Inputs!$K$4:$AJ$4,0))))+SUMPRODUCT((Inputs!$E$5:$E$190=$B33)*ISNUMBER(INDEX(Inputs!$K$5:$AJ$190,0,MATCH(V$2,Inputs!$K$4:$AJ$4,0))))=0,NA(),SUMPRODUCT((Inputs!$A$5:$A$190=$B33)*Inputs!$B$5:$B$190*(((Inputs!$G$5:$G$190="moeda")+(Inputs!$G$5:$G$190="acoes"))*Inputs!$B$1+((Inputs!$G$5:$G$190&lt;&gt;"moeda")*(Inputs!$G$5:$G$190&lt;&gt;"acoes")))*INDEX(Inputs!$K$5:$AJ$190,0,MATCH(V$2,Inputs!$K$4:$AJ$4,0)))+SUMPRODUCT((Inputs!$C$5:$C$190=$B33)*Inputs!$D$5:$D$190*(((Inputs!$G$5:$G$190="moeda")+(Inputs!$G$5:$G$190="acoes"))*Inputs!$B$1+((Inputs!$G$5:$G$190&lt;&gt;"moeda")*(Inputs!$G$5:$G$190&lt;&gt;"acoes")))*INDEX(Inputs!$K$5:$AJ$190,0,MATCH(V$2,Inputs!$K$4:$AJ$4,0)))+SUMPRODUCT((Inputs!$E$5:$E$190=$B33)*Inputs!$F$5:$F$190*(((Inputs!$G$5:$G$190="moeda")+(Inputs!$G$5:$G$190="acoes"))*Inputs!$B$1+((Inputs!$G$5:$G$190&lt;&gt;"moeda")*(Inputs!$G$5:$G$190&lt;&gt;"acoes")))*INDEX(Inputs!$K$5:$AJ$190,0,MATCH(V$2,Inputs!$K$4:$AJ$4,0)))))</f>
        <v>#N/A</v>
      </c>
      <c r="W33" s="3" t="e">
        <f>V33</f>
        <v>#N/A</v>
      </c>
      <c r="X33" s="6" t="e">
        <f>IF(ISNA(MATCH(X$2,Inputs!$K$4:$AJ$4,0)),NA(),IF(SUMPRODUCT((Inputs!$A$5:$A$190=$B33)*ISNUMBER(INDEX(Inputs!$K$5:$AJ$190,0,MATCH(X$2,Inputs!$K$4:$AJ$4,0))))+SUMPRODUCT((Inputs!$C$5:$C$190=$B33)*ISNUMBER(INDEX(Inputs!$K$5:$AJ$190,0,MATCH(X$2,Inputs!$K$4:$AJ$4,0))))+SUMPRODUCT((Inputs!$E$5:$E$190=$B33)*ISNUMBER(INDEX(Inputs!$K$5:$AJ$190,0,MATCH(X$2,Inputs!$K$4:$AJ$4,0))))=0,NA(),SUMPRODUCT((Inputs!$A$5:$A$190=$B33)*Inputs!$B$5:$B$190*(((Inputs!$G$5:$G$190="moeda")+(Inputs!$G$5:$G$190="acoes"))*Inputs!$B$1+((Inputs!$G$5:$G$190&lt;&gt;"moeda")*(Inputs!$G$5:$G$190&lt;&gt;"acoes")))*INDEX(Inputs!$K$5:$AJ$190,0,MATCH(X$2,Inputs!$K$4:$AJ$4,0)))+SUMPRODUCT((Inputs!$C$5:$C$190=$B33)*Inputs!$D$5:$D$190*(((Inputs!$G$5:$G$190="moeda")+(Inputs!$G$5:$G$190="acoes"))*Inputs!$B$1+((Inputs!$G$5:$G$190&lt;&gt;"moeda")*(Inputs!$G$5:$G$190&lt;&gt;"acoes")))*INDEX(Inputs!$K$5:$AJ$190,0,MATCH(X$2,Inputs!$K$4:$AJ$4,0)))+SUMPRODUCT((Inputs!$E$5:$E$190=$B33)*Inputs!$F$5:$F$190*(((Inputs!$G$5:$G$190="moeda")+(Inputs!$G$5:$G$190="acoes"))*Inputs!$B$1+((Inputs!$G$5:$G$190&lt;&gt;"moeda")*(Inputs!$G$5:$G$190&lt;&gt;"acoes")))*INDEX(Inputs!$K$5:$AJ$190,0,MATCH(X$2,Inputs!$K$4:$AJ$4,0)))))</f>
        <v>#N/A</v>
      </c>
      <c r="Y33" s="6" t="e">
        <f>IF(ISNA(MATCH(Y$2,Inputs!$K$4:$AJ$4,0)),NA(),IF(SUMPRODUCT((Inputs!$A$5:$A$190=$B33)*ISNUMBER(INDEX(Inputs!$K$5:$AJ$190,0,MATCH(Y$2,Inputs!$K$4:$AJ$4,0))))+SUMPRODUCT((Inputs!$C$5:$C$190=$B33)*ISNUMBER(INDEX(Inputs!$K$5:$AJ$190,0,MATCH(Y$2,Inputs!$K$4:$AJ$4,0))))+SUMPRODUCT((Inputs!$E$5:$E$190=$B33)*ISNUMBER(INDEX(Inputs!$K$5:$AJ$190,0,MATCH(Y$2,Inputs!$K$4:$AJ$4,0))))=0,NA(),SUMPRODUCT((Inputs!$A$5:$A$190=$B33)*Inputs!$B$5:$B$190*(((Inputs!$G$5:$G$190="moeda")+(Inputs!$G$5:$G$190="acoes"))*Inputs!$B$1+((Inputs!$G$5:$G$190&lt;&gt;"moeda")*(Inputs!$G$5:$G$190&lt;&gt;"acoes")))*INDEX(Inputs!$K$5:$AJ$190,0,MATCH(Y$2,Inputs!$K$4:$AJ$4,0)))+SUMPRODUCT((Inputs!$C$5:$C$190=$B33)*Inputs!$D$5:$D$190*(((Inputs!$G$5:$G$190="moeda")+(Inputs!$G$5:$G$190="acoes"))*Inputs!$B$1+((Inputs!$G$5:$G$190&lt;&gt;"moeda")*(Inputs!$G$5:$G$190&lt;&gt;"acoes")))*INDEX(Inputs!$K$5:$AJ$190,0,MATCH(Y$2,Inputs!$K$4:$AJ$4,0)))+SUMPRODUCT((Inputs!$E$5:$E$190=$B33)*Inputs!$F$5:$F$190*(((Inputs!$G$5:$G$190="moeda")+(Inputs!$G$5:$G$190="acoes"))*Inputs!$B$1+((Inputs!$G$5:$G$190&lt;&gt;"moeda")*(Inputs!$G$5:$G$190&lt;&gt;"acoes")))*INDEX(Inputs!$K$5:$AJ$190,0,MATCH(Y$2,Inputs!$K$4:$AJ$4,0)))))</f>
        <v>#N/A</v>
      </c>
      <c r="Z33" s="6" t="e">
        <f>IF(ISNA(MATCH(Z$2,Inputs!$K$4:$AJ$4,0)),NA(),IF(SUMPRODUCT((Inputs!$A$5:$A$190=$B33)*ISNUMBER(INDEX(Inputs!$K$5:$AJ$190,0,MATCH(Z$2,Inputs!$K$4:$AJ$4,0))))+SUMPRODUCT((Inputs!$C$5:$C$190=$B33)*ISNUMBER(INDEX(Inputs!$K$5:$AJ$190,0,MATCH(Z$2,Inputs!$K$4:$AJ$4,0))))+SUMPRODUCT((Inputs!$E$5:$E$190=$B33)*ISNUMBER(INDEX(Inputs!$K$5:$AJ$190,0,MATCH(Z$2,Inputs!$K$4:$AJ$4,0))))=0,NA(),SUMPRODUCT((Inputs!$A$5:$A$190=$B33)*Inputs!$B$5:$B$190*(((Inputs!$G$5:$G$190="moeda")+(Inputs!$G$5:$G$190="acoes"))*Inputs!$B$1+((Inputs!$G$5:$G$190&lt;&gt;"moeda")*(Inputs!$G$5:$G$190&lt;&gt;"acoes")))*INDEX(Inputs!$K$5:$AJ$190,0,MATCH(Z$2,Inputs!$K$4:$AJ$4,0)))+SUMPRODUCT((Inputs!$C$5:$C$190=$B33)*Inputs!$D$5:$D$190*(((Inputs!$G$5:$G$190="moeda")+(Inputs!$G$5:$G$190="acoes"))*Inputs!$B$1+((Inputs!$G$5:$G$190&lt;&gt;"moeda")*(Inputs!$G$5:$G$190&lt;&gt;"acoes")))*INDEX(Inputs!$K$5:$AJ$190,0,MATCH(Z$2,Inputs!$K$4:$AJ$4,0)))+SUMPRODUCT((Inputs!$E$5:$E$190=$B33)*Inputs!$F$5:$F$190*(((Inputs!$G$5:$G$190="moeda")+(Inputs!$G$5:$G$190="acoes"))*Inputs!$B$1+((Inputs!$G$5:$G$190&lt;&gt;"moeda")*(Inputs!$G$5:$G$190&lt;&gt;"acoes")))*INDEX(Inputs!$K$5:$AJ$190,0,MATCH(Z$2,Inputs!$K$4:$AJ$4,0)))))</f>
        <v>#N/A</v>
      </c>
      <c r="AA33" s="6" t="e">
        <f>IF(ISNA(MATCH(AA$2,Inputs!$K$4:$AJ$4,0)),NA(),IF(SUMPRODUCT((Inputs!$A$5:$A$190=$B33)*ISNUMBER(INDEX(Inputs!$K$5:$AJ$190,0,MATCH(AA$2,Inputs!$K$4:$AJ$4,0))))+SUMPRODUCT((Inputs!$C$5:$C$190=$B33)*ISNUMBER(INDEX(Inputs!$K$5:$AJ$190,0,MATCH(AA$2,Inputs!$K$4:$AJ$4,0))))+SUMPRODUCT((Inputs!$E$5:$E$190=$B33)*ISNUMBER(INDEX(Inputs!$K$5:$AJ$190,0,MATCH(AA$2,Inputs!$K$4:$AJ$4,0))))=0,NA(),SUMPRODUCT((Inputs!$A$5:$A$190=$B33)*Inputs!$B$5:$B$190*(((Inputs!$G$5:$G$190="moeda")+(Inputs!$G$5:$G$190="acoes"))*Inputs!$B$1+((Inputs!$G$5:$G$190&lt;&gt;"moeda")*(Inputs!$G$5:$G$190&lt;&gt;"acoes")))*INDEX(Inputs!$K$5:$AJ$190,0,MATCH(AA$2,Inputs!$K$4:$AJ$4,0)))+SUMPRODUCT((Inputs!$C$5:$C$190=$B33)*Inputs!$D$5:$D$190*(((Inputs!$G$5:$G$190="moeda")+(Inputs!$G$5:$G$190="acoes"))*Inputs!$B$1+((Inputs!$G$5:$G$190&lt;&gt;"moeda")*(Inputs!$G$5:$G$190&lt;&gt;"acoes")))*INDEX(Inputs!$K$5:$AJ$190,0,MATCH(AA$2,Inputs!$K$4:$AJ$4,0)))+SUMPRODUCT((Inputs!$E$5:$E$190=$B33)*Inputs!$F$5:$F$190*(((Inputs!$G$5:$G$190="moeda")+(Inputs!$G$5:$G$190="acoes"))*Inputs!$B$1+((Inputs!$G$5:$G$190&lt;&gt;"moeda")*(Inputs!$G$5:$G$190&lt;&gt;"acoes")))*INDEX(Inputs!$K$5:$AJ$190,0,MATCH(AA$2,Inputs!$K$4:$AJ$4,0)))))</f>
        <v>#N/A</v>
      </c>
      <c r="AB33" s="3" t="e">
        <f>AA33</f>
        <v>#N/A</v>
      </c>
      <c r="AC33" s="6" t="e">
        <f>IF(ISNA(MATCH(AC$2,Inputs!$K$4:$AJ$4,0)),NA(),IF(SUMPRODUCT((Inputs!$A$5:$A$190=$B33)*ISNUMBER(INDEX(Inputs!$K$5:$AJ$190,0,MATCH(AC$2,Inputs!$K$4:$AJ$4,0))))+SUMPRODUCT((Inputs!$C$5:$C$190=$B33)*ISNUMBER(INDEX(Inputs!$K$5:$AJ$190,0,MATCH(AC$2,Inputs!$K$4:$AJ$4,0))))+SUMPRODUCT((Inputs!$E$5:$E$190=$B33)*ISNUMBER(INDEX(Inputs!$K$5:$AJ$190,0,MATCH(AC$2,Inputs!$K$4:$AJ$4,0))))=0,NA(),SUMPRODUCT((Inputs!$A$5:$A$190=$B33)*Inputs!$B$5:$B$190*(((Inputs!$G$5:$G$190="moeda")+(Inputs!$G$5:$G$190="acoes"))*Inputs!$B$1+((Inputs!$G$5:$G$190&lt;&gt;"moeda")*(Inputs!$G$5:$G$190&lt;&gt;"acoes")))*INDEX(Inputs!$K$5:$AJ$190,0,MATCH(AC$2,Inputs!$K$4:$AJ$4,0)))+SUMPRODUCT((Inputs!$C$5:$C$190=$B33)*Inputs!$D$5:$D$190*(((Inputs!$G$5:$G$190="moeda")+(Inputs!$G$5:$G$190="acoes"))*Inputs!$B$1+((Inputs!$G$5:$G$190&lt;&gt;"moeda")*(Inputs!$G$5:$G$190&lt;&gt;"acoes")))*INDEX(Inputs!$K$5:$AJ$190,0,MATCH(AC$2,Inputs!$K$4:$AJ$4,0)))+SUMPRODUCT((Inputs!$E$5:$E$190=$B33)*Inputs!$F$5:$F$190*(((Inputs!$G$5:$G$190="moeda")+(Inputs!$G$5:$G$190="acoes"))*Inputs!$B$1+((Inputs!$G$5:$G$190&lt;&gt;"moeda")*(Inputs!$G$5:$G$190&lt;&gt;"acoes")))*INDEX(Inputs!$K$5:$AJ$190,0,MATCH(AC$2,Inputs!$K$4:$AJ$4,0)))))</f>
        <v>#N/A</v>
      </c>
      <c r="AD33" s="6" t="e">
        <f>IF(ISNA(MATCH(AD$2,Inputs!$K$4:$AJ$4,0)),NA(),IF(SUMPRODUCT((Inputs!$A$5:$A$190=$B33)*ISNUMBER(INDEX(Inputs!$K$5:$AJ$190,0,MATCH(AD$2,Inputs!$K$4:$AJ$4,0))))+SUMPRODUCT((Inputs!$C$5:$C$190=$B33)*ISNUMBER(INDEX(Inputs!$K$5:$AJ$190,0,MATCH(AD$2,Inputs!$K$4:$AJ$4,0))))+SUMPRODUCT((Inputs!$E$5:$E$190=$B33)*ISNUMBER(INDEX(Inputs!$K$5:$AJ$190,0,MATCH(AD$2,Inputs!$K$4:$AJ$4,0))))=0,NA(),SUMPRODUCT((Inputs!$A$5:$A$190=$B33)*Inputs!$B$5:$B$190*(((Inputs!$G$5:$G$190="moeda")+(Inputs!$G$5:$G$190="acoes"))*Inputs!$B$1+((Inputs!$G$5:$G$190&lt;&gt;"moeda")*(Inputs!$G$5:$G$190&lt;&gt;"acoes")))*INDEX(Inputs!$K$5:$AJ$190,0,MATCH(AD$2,Inputs!$K$4:$AJ$4,0)))+SUMPRODUCT((Inputs!$C$5:$C$190=$B33)*Inputs!$D$5:$D$190*(((Inputs!$G$5:$G$190="moeda")+(Inputs!$G$5:$G$190="acoes"))*Inputs!$B$1+((Inputs!$G$5:$G$190&lt;&gt;"moeda")*(Inputs!$G$5:$G$190&lt;&gt;"acoes")))*INDEX(Inputs!$K$5:$AJ$190,0,MATCH(AD$2,Inputs!$K$4:$AJ$4,0)))+SUMPRODUCT((Inputs!$E$5:$E$190=$B33)*Inputs!$F$5:$F$190*(((Inputs!$G$5:$G$190="moeda")+(Inputs!$G$5:$G$190="acoes"))*Inputs!$B$1+((Inputs!$G$5:$G$190&lt;&gt;"moeda")*(Inputs!$G$5:$G$190&lt;&gt;"acoes")))*INDEX(Inputs!$K$5:$AJ$190,0,MATCH(AD$2,Inputs!$K$4:$AJ$4,0)))))</f>
        <v>#N/A</v>
      </c>
      <c r="AE33" s="6" t="e">
        <f>IF(ISNA(MATCH(AE$2,Inputs!$K$4:$AJ$4,0)),NA(),IF(SUMPRODUCT((Inputs!$A$5:$A$190=$B33)*ISNUMBER(INDEX(Inputs!$K$5:$AJ$190,0,MATCH(AE$2,Inputs!$K$4:$AJ$4,0))))+SUMPRODUCT((Inputs!$C$5:$C$190=$B33)*ISNUMBER(INDEX(Inputs!$K$5:$AJ$190,0,MATCH(AE$2,Inputs!$K$4:$AJ$4,0))))+SUMPRODUCT((Inputs!$E$5:$E$190=$B33)*ISNUMBER(INDEX(Inputs!$K$5:$AJ$190,0,MATCH(AE$2,Inputs!$K$4:$AJ$4,0))))=0,NA(),SUMPRODUCT((Inputs!$A$5:$A$190=$B33)*Inputs!$B$5:$B$190*(((Inputs!$G$5:$G$190="moeda")+(Inputs!$G$5:$G$190="acoes"))*Inputs!$B$1+((Inputs!$G$5:$G$190&lt;&gt;"moeda")*(Inputs!$G$5:$G$190&lt;&gt;"acoes")))*INDEX(Inputs!$K$5:$AJ$190,0,MATCH(AE$2,Inputs!$K$4:$AJ$4,0)))+SUMPRODUCT((Inputs!$C$5:$C$190=$B33)*Inputs!$D$5:$D$190*(((Inputs!$G$5:$G$190="moeda")+(Inputs!$G$5:$G$190="acoes"))*Inputs!$B$1+((Inputs!$G$5:$G$190&lt;&gt;"moeda")*(Inputs!$G$5:$G$190&lt;&gt;"acoes")))*INDEX(Inputs!$K$5:$AJ$190,0,MATCH(AE$2,Inputs!$K$4:$AJ$4,0)))+SUMPRODUCT((Inputs!$E$5:$E$190=$B33)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33" s="6" t="e">
        <f>IF(ISNA(MATCH(AF$2,Inputs!$K$4:$AJ$4,0)),NA(),IF(SUMPRODUCT((Inputs!$A$5:$A$190=$B33)*ISNUMBER(INDEX(Inputs!$K$5:$AJ$190,0,MATCH(AF$2,Inputs!$K$4:$AJ$4,0))))+SUMPRODUCT((Inputs!$C$5:$C$190=$B33)*ISNUMBER(INDEX(Inputs!$K$5:$AJ$190,0,MATCH(AF$2,Inputs!$K$4:$AJ$4,0))))+SUMPRODUCT((Inputs!$E$5:$E$190=$B33)*ISNUMBER(INDEX(Inputs!$K$5:$AJ$190,0,MATCH(AF$2,Inputs!$K$4:$AJ$4,0))))=0,NA(),SUMPRODUCT((Inputs!$A$5:$A$190=$B33)*Inputs!$B$5:$B$190*(((Inputs!$G$5:$G$190="moeda")+(Inputs!$G$5:$G$190="acoes"))*Inputs!$B$1+((Inputs!$G$5:$G$190&lt;&gt;"moeda")*(Inputs!$G$5:$G$190&lt;&gt;"acoes")))*INDEX(Inputs!$K$5:$AJ$190,0,MATCH(AF$2,Inputs!$K$4:$AJ$4,0)))+SUMPRODUCT((Inputs!$C$5:$C$190=$B33)*Inputs!$D$5:$D$190*(((Inputs!$G$5:$G$190="moeda")+(Inputs!$G$5:$G$190="acoes"))*Inputs!$B$1+((Inputs!$G$5:$G$190&lt;&gt;"moeda")*(Inputs!$G$5:$G$190&lt;&gt;"acoes")))*INDEX(Inputs!$K$5:$AJ$190,0,MATCH(AF$2,Inputs!$K$4:$AJ$4,0)))+SUMPRODUCT((Inputs!$E$5:$E$190=$B33)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33" s="3" t="e">
        <f>AF33</f>
        <v>#N/A</v>
      </c>
      <c r="AH33" s="6" t="e">
        <f>IF(ISNA(MATCH(AH$2,Inputs!$K$4:$AJ$4,0)),NA(),IF(SUMPRODUCT((Inputs!$A$5:$A$190=$B33)*ISNUMBER(INDEX(Inputs!$K$5:$AJ$190,0,MATCH(AH$2,Inputs!$K$4:$AJ$4,0))))+SUMPRODUCT((Inputs!$C$5:$C$190=$B33)*ISNUMBER(INDEX(Inputs!$K$5:$AJ$190,0,MATCH(AH$2,Inputs!$K$4:$AJ$4,0))))+SUMPRODUCT((Inputs!$E$5:$E$190=$B33)*ISNUMBER(INDEX(Inputs!$K$5:$AJ$190,0,MATCH(AH$2,Inputs!$K$4:$AJ$4,0))))=0,NA(),SUMPRODUCT((Inputs!$A$5:$A$190=$B33)*Inputs!$B$5:$B$190*(((Inputs!$G$5:$G$190="moeda")+(Inputs!$G$5:$G$190="acoes"))*Inputs!$B$1+((Inputs!$G$5:$G$190&lt;&gt;"moeda")*(Inputs!$G$5:$G$190&lt;&gt;"acoes")))*INDEX(Inputs!$K$5:$AJ$190,0,MATCH(AH$2,Inputs!$K$4:$AJ$4,0)))+SUMPRODUCT((Inputs!$C$5:$C$190=$B33)*Inputs!$D$5:$D$190*(((Inputs!$G$5:$G$190="moeda")+(Inputs!$G$5:$G$190="acoes"))*Inputs!$B$1+((Inputs!$G$5:$G$190&lt;&gt;"moeda")*(Inputs!$G$5:$G$190&lt;&gt;"acoes")))*INDEX(Inputs!$K$5:$AJ$190,0,MATCH(AH$2,Inputs!$K$4:$AJ$4,0)))+SUMPRODUCT((Inputs!$E$5:$E$190=$B33)*Inputs!$F$5:$F$190*(((Inputs!$G$5:$G$190="moeda")+(Inputs!$G$5:$G$190="acoes"))*Inputs!$B$1+((Inputs!$G$5:$G$190&lt;&gt;"moeda")*(Inputs!$G$5:$G$190&lt;&gt;"acoes")))*INDEX(Inputs!$K$5:$AJ$190,0,MATCH(AH$2,Inputs!$K$4:$AJ$4,0)))))</f>
        <v>#N/A</v>
      </c>
      <c r="AI33" s="6" t="e">
        <f>IF(ISNA(MATCH(AI$2,Inputs!$K$4:$AJ$4,0)),NA(),IF(SUMPRODUCT((Inputs!$A$5:$A$190=$B33)*ISNUMBER(INDEX(Inputs!$K$5:$AJ$190,0,MATCH(AI$2,Inputs!$K$4:$AJ$4,0))))+SUMPRODUCT((Inputs!$C$5:$C$190=$B33)*ISNUMBER(INDEX(Inputs!$K$5:$AJ$190,0,MATCH(AI$2,Inputs!$K$4:$AJ$4,0))))+SUMPRODUCT((Inputs!$E$5:$E$190=$B33)*ISNUMBER(INDEX(Inputs!$K$5:$AJ$190,0,MATCH(AI$2,Inputs!$K$4:$AJ$4,0))))=0,NA(),SUMPRODUCT((Inputs!$A$5:$A$190=$B33)*Inputs!$B$5:$B$190*(((Inputs!$G$5:$G$190="moeda")+(Inputs!$G$5:$G$190="acoes"))*Inputs!$B$1+((Inputs!$G$5:$G$190&lt;&gt;"moeda")*(Inputs!$G$5:$G$190&lt;&gt;"acoes")))*INDEX(Inputs!$K$5:$AJ$190,0,MATCH(AI$2,Inputs!$K$4:$AJ$4,0)))+SUMPRODUCT((Inputs!$C$5:$C$190=$B33)*Inputs!$D$5:$D$190*(((Inputs!$G$5:$G$190="moeda")+(Inputs!$G$5:$G$190="acoes"))*Inputs!$B$1+((Inputs!$G$5:$G$190&lt;&gt;"moeda")*(Inputs!$G$5:$G$190&lt;&gt;"acoes")))*INDEX(Inputs!$K$5:$AJ$190,0,MATCH(AI$2,Inputs!$K$4:$AJ$4,0)))+SUMPRODUCT((Inputs!$E$5:$E$190=$B33)*Inputs!$F$5:$F$190*(((Inputs!$G$5:$G$190="moeda")+(Inputs!$G$5:$G$190="acoes"))*Inputs!$B$1+((Inputs!$G$5:$G$190&lt;&gt;"moeda")*(Inputs!$G$5:$G$190&lt;&gt;"acoes")))*INDEX(Inputs!$K$5:$AJ$190,0,MATCH(AI$2,Inputs!$K$4:$AJ$4,0)))))</f>
        <v>#N/A</v>
      </c>
      <c r="AJ33" s="6" t="e">
        <f>IF(ISNA(MATCH(AJ$2,Inputs!$K$4:$AJ$4,0)),NA(),IF(SUMPRODUCT((Inputs!$A$5:$A$190=$B33)*ISNUMBER(INDEX(Inputs!$K$5:$AJ$190,0,MATCH(AJ$2,Inputs!$K$4:$AJ$4,0))))+SUMPRODUCT((Inputs!$C$5:$C$190=$B33)*ISNUMBER(INDEX(Inputs!$K$5:$AJ$190,0,MATCH(AJ$2,Inputs!$K$4:$AJ$4,0))))+SUMPRODUCT((Inputs!$E$5:$E$190=$B33)*ISNUMBER(INDEX(Inputs!$K$5:$AJ$190,0,MATCH(AJ$2,Inputs!$K$4:$AJ$4,0))))=0,NA(),SUMPRODUCT((Inputs!$A$5:$A$190=$B33)*Inputs!$B$5:$B$190*(((Inputs!$G$5:$G$190="moeda")+(Inputs!$G$5:$G$190="acoes"))*Inputs!$B$1+((Inputs!$G$5:$G$190&lt;&gt;"moeda")*(Inputs!$G$5:$G$190&lt;&gt;"acoes")))*INDEX(Inputs!$K$5:$AJ$190,0,MATCH(AJ$2,Inputs!$K$4:$AJ$4,0)))+SUMPRODUCT((Inputs!$C$5:$C$190=$B33)*Inputs!$D$5:$D$190*(((Inputs!$G$5:$G$190="moeda")+(Inputs!$G$5:$G$190="acoes"))*Inputs!$B$1+((Inputs!$G$5:$G$190&lt;&gt;"moeda")*(Inputs!$G$5:$G$190&lt;&gt;"acoes")))*INDEX(Inputs!$K$5:$AJ$190,0,MATCH(AJ$2,Inputs!$K$4:$AJ$4,0)))+SUMPRODUCT((Inputs!$E$5:$E$190=$B33)*Inputs!$F$5:$F$190*(((Inputs!$G$5:$G$190="moeda")+(Inputs!$G$5:$G$190="acoes"))*Inputs!$B$1+((Inputs!$G$5:$G$190&lt;&gt;"moeda")*(Inputs!$G$5:$G$190&lt;&gt;"acoes")))*INDEX(Inputs!$K$5:$AJ$190,0,MATCH(AJ$2,Inputs!$K$4:$AJ$4,0)))))</f>
        <v>#N/A</v>
      </c>
      <c r="AK33" s="6" t="e">
        <f>IF(ISNA(MATCH(AK$2,Inputs!$K$4:$AJ$4,0)),NA(),IF(SUMPRODUCT((Inputs!$A$5:$A$190=$B33)*ISNUMBER(INDEX(Inputs!$K$5:$AJ$190,0,MATCH(AK$2,Inputs!$K$4:$AJ$4,0))))+SUMPRODUCT((Inputs!$C$5:$C$190=$B33)*ISNUMBER(INDEX(Inputs!$K$5:$AJ$190,0,MATCH(AK$2,Inputs!$K$4:$AJ$4,0))))+SUMPRODUCT((Inputs!$E$5:$E$190=$B33)*ISNUMBER(INDEX(Inputs!$K$5:$AJ$190,0,MATCH(AK$2,Inputs!$K$4:$AJ$4,0))))=0,NA(),SUMPRODUCT((Inputs!$A$5:$A$190=$B33)*Inputs!$B$5:$B$190*(((Inputs!$G$5:$G$190="moeda")+(Inputs!$G$5:$G$190="acoes"))*Inputs!$B$1+((Inputs!$G$5:$G$190&lt;&gt;"moeda")*(Inputs!$G$5:$G$190&lt;&gt;"acoes")))*INDEX(Inputs!$K$5:$AJ$190,0,MATCH(AK$2,Inputs!$K$4:$AJ$4,0)))+SUMPRODUCT((Inputs!$C$5:$C$190=$B33)*Inputs!$D$5:$D$190*(((Inputs!$G$5:$G$190="moeda")+(Inputs!$G$5:$G$190="acoes"))*Inputs!$B$1+((Inputs!$G$5:$G$190&lt;&gt;"moeda")*(Inputs!$G$5:$G$190&lt;&gt;"acoes")))*INDEX(Inputs!$K$5:$AJ$190,0,MATCH(AK$2,Inputs!$K$4:$AJ$4,0)))+SUMPRODUCT((Inputs!$E$5:$E$190=$B33)*Inputs!$F$5:$F$190*(((Inputs!$G$5:$G$190="moeda")+(Inputs!$G$5:$G$190="acoes"))*Inputs!$B$1+((Inputs!$G$5:$G$190&lt;&gt;"moeda")*(Inputs!$G$5:$G$190&lt;&gt;"acoes")))*INDEX(Inputs!$K$5:$AJ$190,0,MATCH(AK$2,Inputs!$K$4:$AJ$4,0)))))</f>
        <v>#N/A</v>
      </c>
      <c r="AL33" s="3" t="e">
        <f>AK33</f>
        <v>#N/A</v>
      </c>
    </row>
    <row r="34">
      <c r="B34" s="46" t="n">
        <v>29</v>
      </c>
      <c r="C34" s="26" t="inlineStr">
        <is>
          <t>Short term operating leases</t>
        </is>
      </c>
      <c r="D34" s="6">
        <f>IF(ISNA(MATCH(D$2,Inputs!$K$4:$AJ$4,0)),NA(),IF(SUMPRODUCT((Inputs!$A$5:$A$190=$B34)*ISNUMBER(INDEX(Inputs!$K$5:$AJ$190,0,MATCH(D$2,Inputs!$K$4:$AJ$4,0))))+SUMPRODUCT((Inputs!$C$5:$C$190=$B34)*ISNUMBER(INDEX(Inputs!$K$5:$AJ$190,0,MATCH(D$2,Inputs!$K$4:$AJ$4,0))))+SUMPRODUCT((Inputs!$E$5:$E$190=$B34)*ISNUMBER(INDEX(Inputs!$K$5:$AJ$190,0,MATCH(D$2,Inputs!$K$4:$AJ$4,0))))=0,NA(),SUMPRODUCT((Inputs!$A$5:$A$190=$B34)*Inputs!$B$5:$B$190*(((Inputs!$G$5:$G$190="moeda")+(Inputs!$G$5:$G$190="acoes"))*Inputs!$B$1+((Inputs!$G$5:$G$190&lt;&gt;"moeda")*(Inputs!$G$5:$G$190&lt;&gt;"acoes")))*INDEX(Inputs!$K$5:$AJ$190,0,MATCH(D$2,Inputs!$K$4:$AJ$4,0)))+SUMPRODUCT((Inputs!$C$5:$C$190=$B34)*Inputs!$D$5:$D$190*(((Inputs!$G$5:$G$190="moeda")+(Inputs!$G$5:$G$190="acoes"))*Inputs!$B$1+((Inputs!$G$5:$G$190&lt;&gt;"moeda")*(Inputs!$G$5:$G$190&lt;&gt;"acoes")))*INDEX(Inputs!$K$5:$AJ$190,0,MATCH(D$2,Inputs!$K$4:$AJ$4,0)))+SUMPRODUCT((Inputs!$E$5:$E$190=$B34)*Inputs!$F$5:$F$190*(((Inputs!$G$5:$G$190="moeda")+(Inputs!$G$5:$G$190="acoes"))*Inputs!$B$1+((Inputs!$G$5:$G$190&lt;&gt;"moeda")*(Inputs!$G$5:$G$190&lt;&gt;"acoes")))*INDEX(Inputs!$K$5:$AJ$190,0,MATCH(D$2,Inputs!$K$4:$AJ$4,0)))))</f>
        <v>115.26827369</v>
      </c>
      <c r="E34" s="6">
        <f>IF(ISNA(MATCH(E$2,Inputs!$K$4:$AJ$4,0)),NA(),IF(SUMPRODUCT((Inputs!$A$5:$A$190=$B34)*ISNUMBER(INDEX(Inputs!$K$5:$AJ$190,0,MATCH(E$2,Inputs!$K$4:$AJ$4,0))))+SUMPRODUCT((Inputs!$C$5:$C$190=$B34)*ISNUMBER(INDEX(Inputs!$K$5:$AJ$190,0,MATCH(E$2,Inputs!$K$4:$AJ$4,0))))+SUMPRODUCT((Inputs!$E$5:$E$190=$B34)*ISNUMBER(INDEX(Inputs!$K$5:$AJ$190,0,MATCH(E$2,Inputs!$K$4:$AJ$4,0))))=0,NA(),SUMPRODUCT((Inputs!$A$5:$A$190=$B34)*Inputs!$B$5:$B$190*(((Inputs!$G$5:$G$190="moeda")+(Inputs!$G$5:$G$190="acoes"))*Inputs!$B$1+((Inputs!$G$5:$G$190&lt;&gt;"moeda")*(Inputs!$G$5:$G$190&lt;&gt;"acoes")))*INDEX(Inputs!$K$5:$AJ$190,0,MATCH(E$2,Inputs!$K$4:$AJ$4,0)))+SUMPRODUCT((Inputs!$C$5:$C$190=$B34)*Inputs!$D$5:$D$190*(((Inputs!$G$5:$G$190="moeda")+(Inputs!$G$5:$G$190="acoes"))*Inputs!$B$1+((Inputs!$G$5:$G$190&lt;&gt;"moeda")*(Inputs!$G$5:$G$190&lt;&gt;"acoes")))*INDEX(Inputs!$K$5:$AJ$190,0,MATCH(E$2,Inputs!$K$4:$AJ$4,0)))+SUMPRODUCT((Inputs!$E$5:$E$190=$B34)*Inputs!$F$5:$F$190*(((Inputs!$G$5:$G$190="moeda")+(Inputs!$G$5:$G$190="acoes"))*Inputs!$B$1+((Inputs!$G$5:$G$190&lt;&gt;"moeda")*(Inputs!$G$5:$G$190&lt;&gt;"acoes")))*INDEX(Inputs!$K$5:$AJ$190,0,MATCH(E$2,Inputs!$K$4:$AJ$4,0)))))</f>
        <v>135.25761191</v>
      </c>
      <c r="F34" s="6">
        <f>IF(ISNA(MATCH(F$2,Inputs!$K$4:$AJ$4,0)),NA(),IF(SUMPRODUCT((Inputs!$A$5:$A$190=$B34)*ISNUMBER(INDEX(Inputs!$K$5:$AJ$190,0,MATCH(F$2,Inputs!$K$4:$AJ$4,0))))+SUMPRODUCT((Inputs!$C$5:$C$190=$B34)*ISNUMBER(INDEX(Inputs!$K$5:$AJ$190,0,MATCH(F$2,Inputs!$K$4:$AJ$4,0))))+SUMPRODUCT((Inputs!$E$5:$E$190=$B34)*ISNUMBER(INDEX(Inputs!$K$5:$AJ$190,0,MATCH(F$2,Inputs!$K$4:$AJ$4,0))))=0,NA(),SUMPRODUCT((Inputs!$A$5:$A$190=$B34)*Inputs!$B$5:$B$190*(((Inputs!$G$5:$G$190="moeda")+(Inputs!$G$5:$G$190="acoes"))*Inputs!$B$1+((Inputs!$G$5:$G$190&lt;&gt;"moeda")*(Inputs!$G$5:$G$190&lt;&gt;"acoes")))*INDEX(Inputs!$K$5:$AJ$190,0,MATCH(F$2,Inputs!$K$4:$AJ$4,0)))+SUMPRODUCT((Inputs!$C$5:$C$190=$B34)*Inputs!$D$5:$D$190*(((Inputs!$G$5:$G$190="moeda")+(Inputs!$G$5:$G$190="acoes"))*Inputs!$B$1+((Inputs!$G$5:$G$190&lt;&gt;"moeda")*(Inputs!$G$5:$G$190&lt;&gt;"acoes")))*INDEX(Inputs!$K$5:$AJ$190,0,MATCH(F$2,Inputs!$K$4:$AJ$4,0)))+SUMPRODUCT((Inputs!$E$5:$E$190=$B34)*Inputs!$F$5:$F$190*(((Inputs!$G$5:$G$190="moeda")+(Inputs!$G$5:$G$190="acoes"))*Inputs!$B$1+((Inputs!$G$5:$G$190&lt;&gt;"moeda")*(Inputs!$G$5:$G$190&lt;&gt;"acoes")))*INDEX(Inputs!$K$5:$AJ$190,0,MATCH(F$2,Inputs!$K$4:$AJ$4,0)))))</f>
        <v>324.387</v>
      </c>
      <c r="G34" s="6">
        <f>IF(ISNA(MATCH(G$2,Inputs!$K$4:$AJ$4,0)),NA(),IF(SUMPRODUCT((Inputs!$A$5:$A$190=$B34)*ISNUMBER(INDEX(Inputs!$K$5:$AJ$190,0,MATCH(G$2,Inputs!$K$4:$AJ$4,0))))+SUMPRODUCT((Inputs!$C$5:$C$190=$B34)*ISNUMBER(INDEX(Inputs!$K$5:$AJ$190,0,MATCH(G$2,Inputs!$K$4:$AJ$4,0))))+SUMPRODUCT((Inputs!$E$5:$E$190=$B34)*ISNUMBER(INDEX(Inputs!$K$5:$AJ$190,0,MATCH(G$2,Inputs!$K$4:$AJ$4,0))))=0,NA(),SUMPRODUCT((Inputs!$A$5:$A$190=$B34)*Inputs!$B$5:$B$190*(((Inputs!$G$5:$G$190="moeda")+(Inputs!$G$5:$G$190="acoes"))*Inputs!$B$1+((Inputs!$G$5:$G$190&lt;&gt;"moeda")*(Inputs!$G$5:$G$190&lt;&gt;"acoes")))*INDEX(Inputs!$K$5:$AJ$190,0,MATCH(G$2,Inputs!$K$4:$AJ$4,0)))+SUMPRODUCT((Inputs!$C$5:$C$190=$B34)*Inputs!$D$5:$D$190*(((Inputs!$G$5:$G$190="moeda")+(Inputs!$G$5:$G$190="acoes"))*Inputs!$B$1+((Inputs!$G$5:$G$190&lt;&gt;"moeda")*(Inputs!$G$5:$G$190&lt;&gt;"acoes")))*INDEX(Inputs!$K$5:$AJ$190,0,MATCH(G$2,Inputs!$K$4:$AJ$4,0)))+SUMPRODUCT((Inputs!$E$5:$E$190=$B34)*Inputs!$F$5:$F$190*(((Inputs!$G$5:$G$190="moeda")+(Inputs!$G$5:$G$190="acoes"))*Inputs!$B$1+((Inputs!$G$5:$G$190&lt;&gt;"moeda")*(Inputs!$G$5:$G$190&lt;&gt;"acoes")))*INDEX(Inputs!$K$5:$AJ$190,0,MATCH(G$2,Inputs!$K$4:$AJ$4,0)))))</f>
        <v>197.769</v>
      </c>
      <c r="H34" s="3">
        <f>G34</f>
        <v>197.769</v>
      </c>
      <c r="I34" s="6">
        <f>IF(ISNA(MATCH(I$2,Inputs!$K$4:$AJ$4,0)),NA(),IF(SUMPRODUCT((Inputs!$A$5:$A$190=$B34)*ISNUMBER(INDEX(Inputs!$K$5:$AJ$190,0,MATCH(I$2,Inputs!$K$4:$AJ$4,0))))+SUMPRODUCT((Inputs!$C$5:$C$190=$B34)*ISNUMBER(INDEX(Inputs!$K$5:$AJ$190,0,MATCH(I$2,Inputs!$K$4:$AJ$4,0))))+SUMPRODUCT((Inputs!$E$5:$E$190=$B34)*ISNUMBER(INDEX(Inputs!$K$5:$AJ$190,0,MATCH(I$2,Inputs!$K$4:$AJ$4,0))))=0,NA(),SUMPRODUCT((Inputs!$A$5:$A$190=$B34)*Inputs!$B$5:$B$190*(((Inputs!$G$5:$G$190="moeda")+(Inputs!$G$5:$G$190="acoes"))*Inputs!$B$1+((Inputs!$G$5:$G$190&lt;&gt;"moeda")*(Inputs!$G$5:$G$190&lt;&gt;"acoes")))*INDEX(Inputs!$K$5:$AJ$190,0,MATCH(I$2,Inputs!$K$4:$AJ$4,0)))+SUMPRODUCT((Inputs!$C$5:$C$190=$B34)*Inputs!$D$5:$D$190*(((Inputs!$G$5:$G$190="moeda")+(Inputs!$G$5:$G$190="acoes"))*Inputs!$B$1+((Inputs!$G$5:$G$190&lt;&gt;"moeda")*(Inputs!$G$5:$G$190&lt;&gt;"acoes")))*INDEX(Inputs!$K$5:$AJ$190,0,MATCH(I$2,Inputs!$K$4:$AJ$4,0)))+SUMPRODUCT((Inputs!$E$5:$E$190=$B34)*Inputs!$F$5:$F$190*(((Inputs!$G$5:$G$190="moeda")+(Inputs!$G$5:$G$190="acoes"))*Inputs!$B$1+((Inputs!$G$5:$G$190&lt;&gt;"moeda")*(Inputs!$G$5:$G$190&lt;&gt;"acoes")))*INDEX(Inputs!$K$5:$AJ$190,0,MATCH(I$2,Inputs!$K$4:$AJ$4,0)))))</f>
        <v>197.789</v>
      </c>
      <c r="J34" s="6">
        <f>IF(ISNA(MATCH(J$2,Inputs!$K$4:$AJ$4,0)),NA(),IF(SUMPRODUCT((Inputs!$A$5:$A$190=$B34)*ISNUMBER(INDEX(Inputs!$K$5:$AJ$190,0,MATCH(J$2,Inputs!$K$4:$AJ$4,0))))+SUMPRODUCT((Inputs!$C$5:$C$190=$B34)*ISNUMBER(INDEX(Inputs!$K$5:$AJ$190,0,MATCH(J$2,Inputs!$K$4:$AJ$4,0))))+SUMPRODUCT((Inputs!$E$5:$E$190=$B34)*ISNUMBER(INDEX(Inputs!$K$5:$AJ$190,0,MATCH(J$2,Inputs!$K$4:$AJ$4,0))))=0,NA(),SUMPRODUCT((Inputs!$A$5:$A$190=$B34)*Inputs!$B$5:$B$190*(((Inputs!$G$5:$G$190="moeda")+(Inputs!$G$5:$G$190="acoes"))*Inputs!$B$1+((Inputs!$G$5:$G$190&lt;&gt;"moeda")*(Inputs!$G$5:$G$190&lt;&gt;"acoes")))*INDEX(Inputs!$K$5:$AJ$190,0,MATCH(J$2,Inputs!$K$4:$AJ$4,0)))+SUMPRODUCT((Inputs!$C$5:$C$190=$B34)*Inputs!$D$5:$D$190*(((Inputs!$G$5:$G$190="moeda")+(Inputs!$G$5:$G$190="acoes"))*Inputs!$B$1+((Inputs!$G$5:$G$190&lt;&gt;"moeda")*(Inputs!$G$5:$G$190&lt;&gt;"acoes")))*INDEX(Inputs!$K$5:$AJ$190,0,MATCH(J$2,Inputs!$K$4:$AJ$4,0)))+SUMPRODUCT((Inputs!$E$5:$E$190=$B34)*Inputs!$F$5:$F$190*(((Inputs!$G$5:$G$190="moeda")+(Inputs!$G$5:$G$190="acoes"))*Inputs!$B$1+((Inputs!$G$5:$G$190&lt;&gt;"moeda")*(Inputs!$G$5:$G$190&lt;&gt;"acoes")))*INDEX(Inputs!$K$5:$AJ$190,0,MATCH(J$2,Inputs!$K$4:$AJ$4,0)))))</f>
        <v>212.55</v>
      </c>
      <c r="K34" s="6">
        <f>IF(ISNA(MATCH(K$2,Inputs!$K$4:$AJ$4,0)),NA(),IF(SUMPRODUCT((Inputs!$A$5:$A$190=$B34)*ISNUMBER(INDEX(Inputs!$K$5:$AJ$190,0,MATCH(K$2,Inputs!$K$4:$AJ$4,0))))+SUMPRODUCT((Inputs!$C$5:$C$190=$B34)*ISNUMBER(INDEX(Inputs!$K$5:$AJ$190,0,MATCH(K$2,Inputs!$K$4:$AJ$4,0))))+SUMPRODUCT((Inputs!$E$5:$E$190=$B34)*ISNUMBER(INDEX(Inputs!$K$5:$AJ$190,0,MATCH(K$2,Inputs!$K$4:$AJ$4,0))))=0,NA(),SUMPRODUCT((Inputs!$A$5:$A$190=$B34)*Inputs!$B$5:$B$190*(((Inputs!$G$5:$G$190="moeda")+(Inputs!$G$5:$G$190="acoes"))*Inputs!$B$1+((Inputs!$G$5:$G$190&lt;&gt;"moeda")*(Inputs!$G$5:$G$190&lt;&gt;"acoes")))*INDEX(Inputs!$K$5:$AJ$190,0,MATCH(K$2,Inputs!$K$4:$AJ$4,0)))+SUMPRODUCT((Inputs!$C$5:$C$190=$B34)*Inputs!$D$5:$D$190*(((Inputs!$G$5:$G$190="moeda")+(Inputs!$G$5:$G$190="acoes"))*Inputs!$B$1+((Inputs!$G$5:$G$190&lt;&gt;"moeda")*(Inputs!$G$5:$G$190&lt;&gt;"acoes")))*INDEX(Inputs!$K$5:$AJ$190,0,MATCH(K$2,Inputs!$K$4:$AJ$4,0)))+SUMPRODUCT((Inputs!$E$5:$E$190=$B34)*Inputs!$F$5:$F$190*(((Inputs!$G$5:$G$190="moeda")+(Inputs!$G$5:$G$190="acoes"))*Inputs!$B$1+((Inputs!$G$5:$G$190&lt;&gt;"moeda")*(Inputs!$G$5:$G$190&lt;&gt;"acoes")))*INDEX(Inputs!$K$5:$AJ$190,0,MATCH(K$2,Inputs!$K$4:$AJ$4,0)))))</f>
        <v>248.393</v>
      </c>
      <c r="L34" s="6">
        <f>IF(ISNA(MATCH(L$2,Inputs!$K$4:$AJ$4,0)),NA(),IF(SUMPRODUCT((Inputs!$A$5:$A$190=$B34)*ISNUMBER(INDEX(Inputs!$K$5:$AJ$190,0,MATCH(L$2,Inputs!$K$4:$AJ$4,0))))+SUMPRODUCT((Inputs!$C$5:$C$190=$B34)*ISNUMBER(INDEX(Inputs!$K$5:$AJ$190,0,MATCH(L$2,Inputs!$K$4:$AJ$4,0))))+SUMPRODUCT((Inputs!$E$5:$E$190=$B34)*ISNUMBER(INDEX(Inputs!$K$5:$AJ$190,0,MATCH(L$2,Inputs!$K$4:$AJ$4,0))))=0,NA(),SUMPRODUCT((Inputs!$A$5:$A$190=$B34)*Inputs!$B$5:$B$190*(((Inputs!$G$5:$G$190="moeda")+(Inputs!$G$5:$G$190="acoes"))*Inputs!$B$1+((Inputs!$G$5:$G$190&lt;&gt;"moeda")*(Inputs!$G$5:$G$190&lt;&gt;"acoes")))*INDEX(Inputs!$K$5:$AJ$190,0,MATCH(L$2,Inputs!$K$4:$AJ$4,0)))+SUMPRODUCT((Inputs!$C$5:$C$190=$B34)*Inputs!$D$5:$D$190*(((Inputs!$G$5:$G$190="moeda")+(Inputs!$G$5:$G$190="acoes"))*Inputs!$B$1+((Inputs!$G$5:$G$190&lt;&gt;"moeda")*(Inputs!$G$5:$G$190&lt;&gt;"acoes")))*INDEX(Inputs!$K$5:$AJ$190,0,MATCH(L$2,Inputs!$K$4:$AJ$4,0)))+SUMPRODUCT((Inputs!$E$5:$E$190=$B34)*Inputs!$F$5:$F$190*(((Inputs!$G$5:$G$190="moeda")+(Inputs!$G$5:$G$190="acoes"))*Inputs!$B$1+((Inputs!$G$5:$G$190&lt;&gt;"moeda")*(Inputs!$G$5:$G$190&lt;&gt;"acoes")))*INDEX(Inputs!$K$5:$AJ$190,0,MATCH(L$2,Inputs!$K$4:$AJ$4,0)))))</f>
        <v>291.43</v>
      </c>
      <c r="M34" s="3">
        <f>L34</f>
        <v>291.43</v>
      </c>
      <c r="N34" s="6">
        <f>IF(ISNA(MATCH(N$2,Inputs!$K$4:$AJ$4,0)),NA(),IF(SUMPRODUCT((Inputs!$A$5:$A$190=$B34)*ISNUMBER(INDEX(Inputs!$K$5:$AJ$190,0,MATCH(N$2,Inputs!$K$4:$AJ$4,0))))+SUMPRODUCT((Inputs!$C$5:$C$190=$B34)*ISNUMBER(INDEX(Inputs!$K$5:$AJ$190,0,MATCH(N$2,Inputs!$K$4:$AJ$4,0))))+SUMPRODUCT((Inputs!$E$5:$E$190=$B34)*ISNUMBER(INDEX(Inputs!$K$5:$AJ$190,0,MATCH(N$2,Inputs!$K$4:$AJ$4,0))))=0,NA(),SUMPRODUCT((Inputs!$A$5:$A$190=$B34)*Inputs!$B$5:$B$190*(((Inputs!$G$5:$G$190="moeda")+(Inputs!$G$5:$G$190="acoes"))*Inputs!$B$1+((Inputs!$G$5:$G$190&lt;&gt;"moeda")*(Inputs!$G$5:$G$190&lt;&gt;"acoes")))*INDEX(Inputs!$K$5:$AJ$190,0,MATCH(N$2,Inputs!$K$4:$AJ$4,0)))+SUMPRODUCT((Inputs!$C$5:$C$190=$B34)*Inputs!$D$5:$D$190*(((Inputs!$G$5:$G$190="moeda")+(Inputs!$G$5:$G$190="acoes"))*Inputs!$B$1+((Inputs!$G$5:$G$190&lt;&gt;"moeda")*(Inputs!$G$5:$G$190&lt;&gt;"acoes")))*INDEX(Inputs!$K$5:$AJ$190,0,MATCH(N$2,Inputs!$K$4:$AJ$4,0)))+SUMPRODUCT((Inputs!$E$5:$E$190=$B34)*Inputs!$F$5:$F$190*(((Inputs!$G$5:$G$190="moeda")+(Inputs!$G$5:$G$190="acoes"))*Inputs!$B$1+((Inputs!$G$5:$G$190&lt;&gt;"moeda")*(Inputs!$G$5:$G$190&lt;&gt;"acoes")))*INDEX(Inputs!$K$5:$AJ$190,0,MATCH(N$2,Inputs!$K$4:$AJ$4,0)))))</f>
        <v>302.015930157</v>
      </c>
      <c r="O34" s="6">
        <f>IF(ISNA(MATCH(O$2,Inputs!$K$4:$AJ$4,0)),NA(),IF(SUMPRODUCT((Inputs!$A$5:$A$190=$B34)*ISNUMBER(INDEX(Inputs!$K$5:$AJ$190,0,MATCH(O$2,Inputs!$K$4:$AJ$4,0))))+SUMPRODUCT((Inputs!$C$5:$C$190=$B34)*ISNUMBER(INDEX(Inputs!$K$5:$AJ$190,0,MATCH(O$2,Inputs!$K$4:$AJ$4,0))))+SUMPRODUCT((Inputs!$E$5:$E$190=$B34)*ISNUMBER(INDEX(Inputs!$K$5:$AJ$190,0,MATCH(O$2,Inputs!$K$4:$AJ$4,0))))=0,NA(),SUMPRODUCT((Inputs!$A$5:$A$190=$B34)*Inputs!$B$5:$B$190*(((Inputs!$G$5:$G$190="moeda")+(Inputs!$G$5:$G$190="acoes"))*Inputs!$B$1+((Inputs!$G$5:$G$190&lt;&gt;"moeda")*(Inputs!$G$5:$G$190&lt;&gt;"acoes")))*INDEX(Inputs!$K$5:$AJ$190,0,MATCH(O$2,Inputs!$K$4:$AJ$4,0)))+SUMPRODUCT((Inputs!$C$5:$C$190=$B34)*Inputs!$D$5:$D$190*(((Inputs!$G$5:$G$190="moeda")+(Inputs!$G$5:$G$190="acoes"))*Inputs!$B$1+((Inputs!$G$5:$G$190&lt;&gt;"moeda")*(Inputs!$G$5:$G$190&lt;&gt;"acoes")))*INDEX(Inputs!$K$5:$AJ$190,0,MATCH(O$2,Inputs!$K$4:$AJ$4,0)))+SUMPRODUCT((Inputs!$E$5:$E$190=$B34)*Inputs!$F$5:$F$190*(((Inputs!$G$5:$G$190="moeda")+(Inputs!$G$5:$G$190="acoes"))*Inputs!$B$1+((Inputs!$G$5:$G$190&lt;&gt;"moeda")*(Inputs!$G$5:$G$190&lt;&gt;"acoes")))*INDEX(Inputs!$K$5:$AJ$190,0,MATCH(O$2,Inputs!$K$4:$AJ$4,0)))))</f>
        <v>319.175826534</v>
      </c>
      <c r="P34" s="6">
        <f>IF(ISNA(MATCH(P$2,Inputs!$K$4:$AJ$4,0)),NA(),IF(SUMPRODUCT((Inputs!$A$5:$A$190=$B34)*ISNUMBER(INDEX(Inputs!$K$5:$AJ$190,0,MATCH(P$2,Inputs!$K$4:$AJ$4,0))))+SUMPRODUCT((Inputs!$C$5:$C$190=$B34)*ISNUMBER(INDEX(Inputs!$K$5:$AJ$190,0,MATCH(P$2,Inputs!$K$4:$AJ$4,0))))+SUMPRODUCT((Inputs!$E$5:$E$190=$B34)*ISNUMBER(INDEX(Inputs!$K$5:$AJ$190,0,MATCH(P$2,Inputs!$K$4:$AJ$4,0))))=0,NA(),SUMPRODUCT((Inputs!$A$5:$A$190=$B34)*Inputs!$B$5:$B$190*(((Inputs!$G$5:$G$190="moeda")+(Inputs!$G$5:$G$190="acoes"))*Inputs!$B$1+((Inputs!$G$5:$G$190&lt;&gt;"moeda")*(Inputs!$G$5:$G$190&lt;&gt;"acoes")))*INDEX(Inputs!$K$5:$AJ$190,0,MATCH(P$2,Inputs!$K$4:$AJ$4,0)))+SUMPRODUCT((Inputs!$C$5:$C$190=$B34)*Inputs!$D$5:$D$190*(((Inputs!$G$5:$G$190="moeda")+(Inputs!$G$5:$G$190="acoes"))*Inputs!$B$1+((Inputs!$G$5:$G$190&lt;&gt;"moeda")*(Inputs!$G$5:$G$190&lt;&gt;"acoes")))*INDEX(Inputs!$K$5:$AJ$190,0,MATCH(P$2,Inputs!$K$4:$AJ$4,0)))+SUMPRODUCT((Inputs!$E$5:$E$190=$B34)*Inputs!$F$5:$F$190*(((Inputs!$G$5:$G$190="moeda")+(Inputs!$G$5:$G$190="acoes"))*Inputs!$B$1+((Inputs!$G$5:$G$190&lt;&gt;"moeda")*(Inputs!$G$5:$G$190&lt;&gt;"acoes")))*INDEX(Inputs!$K$5:$AJ$190,0,MATCH(P$2,Inputs!$K$4:$AJ$4,0)))))</f>
        <v>342.244387795</v>
      </c>
      <c r="Q34" s="6">
        <f>IF(ISNA(MATCH(Q$2,Inputs!$K$4:$AJ$4,0)),NA(),IF(SUMPRODUCT((Inputs!$A$5:$A$190=$B34)*ISNUMBER(INDEX(Inputs!$K$5:$AJ$190,0,MATCH(Q$2,Inputs!$K$4:$AJ$4,0))))+SUMPRODUCT((Inputs!$C$5:$C$190=$B34)*ISNUMBER(INDEX(Inputs!$K$5:$AJ$190,0,MATCH(Q$2,Inputs!$K$4:$AJ$4,0))))+SUMPRODUCT((Inputs!$E$5:$E$190=$B34)*ISNUMBER(INDEX(Inputs!$K$5:$AJ$190,0,MATCH(Q$2,Inputs!$K$4:$AJ$4,0))))=0,NA(),SUMPRODUCT((Inputs!$A$5:$A$190=$B34)*Inputs!$B$5:$B$190*(((Inputs!$G$5:$G$190="moeda")+(Inputs!$G$5:$G$190="acoes"))*Inputs!$B$1+((Inputs!$G$5:$G$190&lt;&gt;"moeda")*(Inputs!$G$5:$G$190&lt;&gt;"acoes")))*INDEX(Inputs!$K$5:$AJ$190,0,MATCH(Q$2,Inputs!$K$4:$AJ$4,0)))+SUMPRODUCT((Inputs!$C$5:$C$190=$B34)*Inputs!$D$5:$D$190*(((Inputs!$G$5:$G$190="moeda")+(Inputs!$G$5:$G$190="acoes"))*Inputs!$B$1+((Inputs!$G$5:$G$190&lt;&gt;"moeda")*(Inputs!$G$5:$G$190&lt;&gt;"acoes")))*INDEX(Inputs!$K$5:$AJ$190,0,MATCH(Q$2,Inputs!$K$4:$AJ$4,0)))+SUMPRODUCT((Inputs!$E$5:$E$190=$B34)*Inputs!$F$5:$F$190*(((Inputs!$G$5:$G$190="moeda")+(Inputs!$G$5:$G$190="acoes"))*Inputs!$B$1+((Inputs!$G$5:$G$190&lt;&gt;"moeda")*(Inputs!$G$5:$G$190&lt;&gt;"acoes")))*INDEX(Inputs!$K$5:$AJ$190,0,MATCH(Q$2,Inputs!$K$4:$AJ$4,0)))))</f>
        <v>364.8750699109</v>
      </c>
      <c r="R34" s="3">
        <f>Q34</f>
        <v>364.8750699109</v>
      </c>
      <c r="S34" s="6">
        <f>IF(ISNA(MATCH(S$2,Inputs!$K$4:$AJ$4,0)),NA(),IF(SUMPRODUCT((Inputs!$A$5:$A$190=$B34)*ISNUMBER(INDEX(Inputs!$K$5:$AJ$190,0,MATCH(S$2,Inputs!$K$4:$AJ$4,0))))+SUMPRODUCT((Inputs!$C$5:$C$190=$B34)*ISNUMBER(INDEX(Inputs!$K$5:$AJ$190,0,MATCH(S$2,Inputs!$K$4:$AJ$4,0))))+SUMPRODUCT((Inputs!$E$5:$E$190=$B34)*ISNUMBER(INDEX(Inputs!$K$5:$AJ$190,0,MATCH(S$2,Inputs!$K$4:$AJ$4,0))))=0,NA(),SUMPRODUCT((Inputs!$A$5:$A$190=$B34)*Inputs!$B$5:$B$190*(((Inputs!$G$5:$G$190="moeda")+(Inputs!$G$5:$G$190="acoes"))*Inputs!$B$1+((Inputs!$G$5:$G$190&lt;&gt;"moeda")*(Inputs!$G$5:$G$190&lt;&gt;"acoes")))*INDEX(Inputs!$K$5:$AJ$190,0,MATCH(S$2,Inputs!$K$4:$AJ$4,0)))+SUMPRODUCT((Inputs!$C$5:$C$190=$B34)*Inputs!$D$5:$D$190*(((Inputs!$G$5:$G$190="moeda")+(Inputs!$G$5:$G$190="acoes"))*Inputs!$B$1+((Inputs!$G$5:$G$190&lt;&gt;"moeda")*(Inputs!$G$5:$G$190&lt;&gt;"acoes")))*INDEX(Inputs!$K$5:$AJ$190,0,MATCH(S$2,Inputs!$K$4:$AJ$4,0)))+SUMPRODUCT((Inputs!$E$5:$E$190=$B34)*Inputs!$F$5:$F$190*(((Inputs!$G$5:$G$190="moeda")+(Inputs!$G$5:$G$190="acoes"))*Inputs!$B$1+((Inputs!$G$5:$G$190&lt;&gt;"moeda")*(Inputs!$G$5:$G$190&lt;&gt;"acoes")))*INDEX(Inputs!$K$5:$AJ$190,0,MATCH(S$2,Inputs!$K$4:$AJ$4,0)))))</f>
        <v>354.3720350377</v>
      </c>
      <c r="T34" s="6">
        <f>IF(ISNA(MATCH(T$2,Inputs!$K$4:$AJ$4,0)),NA(),IF(SUMPRODUCT((Inputs!$A$5:$A$190=$B34)*ISNUMBER(INDEX(Inputs!$K$5:$AJ$190,0,MATCH(T$2,Inputs!$K$4:$AJ$4,0))))+SUMPRODUCT((Inputs!$C$5:$C$190=$B34)*ISNUMBER(INDEX(Inputs!$K$5:$AJ$190,0,MATCH(T$2,Inputs!$K$4:$AJ$4,0))))+SUMPRODUCT((Inputs!$E$5:$E$190=$B34)*ISNUMBER(INDEX(Inputs!$K$5:$AJ$190,0,MATCH(T$2,Inputs!$K$4:$AJ$4,0))))=0,NA(),SUMPRODUCT((Inputs!$A$5:$A$190=$B34)*Inputs!$B$5:$B$190*(((Inputs!$G$5:$G$190="moeda")+(Inputs!$G$5:$G$190="acoes"))*Inputs!$B$1+((Inputs!$G$5:$G$190&lt;&gt;"moeda")*(Inputs!$G$5:$G$190&lt;&gt;"acoes")))*INDEX(Inputs!$K$5:$AJ$190,0,MATCH(T$2,Inputs!$K$4:$AJ$4,0)))+SUMPRODUCT((Inputs!$C$5:$C$190=$B34)*Inputs!$D$5:$D$190*(((Inputs!$G$5:$G$190="moeda")+(Inputs!$G$5:$G$190="acoes"))*Inputs!$B$1+((Inputs!$G$5:$G$190&lt;&gt;"moeda")*(Inputs!$G$5:$G$190&lt;&gt;"acoes")))*INDEX(Inputs!$K$5:$AJ$190,0,MATCH(T$2,Inputs!$K$4:$AJ$4,0)))+SUMPRODUCT((Inputs!$E$5:$E$190=$B34)*Inputs!$F$5:$F$190*(((Inputs!$G$5:$G$190="moeda")+(Inputs!$G$5:$G$190="acoes"))*Inputs!$B$1+((Inputs!$G$5:$G$190&lt;&gt;"moeda")*(Inputs!$G$5:$G$190&lt;&gt;"acoes")))*INDEX(Inputs!$K$5:$AJ$190,0,MATCH(T$2,Inputs!$K$4:$AJ$4,0)))))</f>
        <v>387.9478079534</v>
      </c>
      <c r="U34" s="6">
        <f>IF(ISNA(MATCH(U$2,Inputs!$K$4:$AJ$4,0)),NA(),IF(SUMPRODUCT((Inputs!$A$5:$A$190=$B34)*ISNUMBER(INDEX(Inputs!$K$5:$AJ$190,0,MATCH(U$2,Inputs!$K$4:$AJ$4,0))))+SUMPRODUCT((Inputs!$C$5:$C$190=$B34)*ISNUMBER(INDEX(Inputs!$K$5:$AJ$190,0,MATCH(U$2,Inputs!$K$4:$AJ$4,0))))+SUMPRODUCT((Inputs!$E$5:$E$190=$B34)*ISNUMBER(INDEX(Inputs!$K$5:$AJ$190,0,MATCH(U$2,Inputs!$K$4:$AJ$4,0))))=0,NA(),SUMPRODUCT((Inputs!$A$5:$A$190=$B34)*Inputs!$B$5:$B$190*(((Inputs!$G$5:$G$190="moeda")+(Inputs!$G$5:$G$190="acoes"))*Inputs!$B$1+((Inputs!$G$5:$G$190&lt;&gt;"moeda")*(Inputs!$G$5:$G$190&lt;&gt;"acoes")))*INDEX(Inputs!$K$5:$AJ$190,0,MATCH(U$2,Inputs!$K$4:$AJ$4,0)))+SUMPRODUCT((Inputs!$C$5:$C$190=$B34)*Inputs!$D$5:$D$190*(((Inputs!$G$5:$G$190="moeda")+(Inputs!$G$5:$G$190="acoes"))*Inputs!$B$1+((Inputs!$G$5:$G$190&lt;&gt;"moeda")*(Inputs!$G$5:$G$190&lt;&gt;"acoes")))*INDEX(Inputs!$K$5:$AJ$190,0,MATCH(U$2,Inputs!$K$4:$AJ$4,0)))+SUMPRODUCT((Inputs!$E$5:$E$190=$B34)*Inputs!$F$5:$F$190*(((Inputs!$G$5:$G$190="moeda")+(Inputs!$G$5:$G$190="acoes"))*Inputs!$B$1+((Inputs!$G$5:$G$190&lt;&gt;"moeda")*(Inputs!$G$5:$G$190&lt;&gt;"acoes")))*INDEX(Inputs!$K$5:$AJ$190,0,MATCH(U$2,Inputs!$K$4:$AJ$4,0)))))</f>
        <v>434.5427625989</v>
      </c>
      <c r="V34" s="6">
        <f>IF(ISNA(MATCH(V$2,Inputs!$K$4:$AJ$4,0)),NA(),IF(SUMPRODUCT((Inputs!$A$5:$A$190=$B34)*ISNUMBER(INDEX(Inputs!$K$5:$AJ$190,0,MATCH(V$2,Inputs!$K$4:$AJ$4,0))))+SUMPRODUCT((Inputs!$C$5:$C$190=$B34)*ISNUMBER(INDEX(Inputs!$K$5:$AJ$190,0,MATCH(V$2,Inputs!$K$4:$AJ$4,0))))+SUMPRODUCT((Inputs!$E$5:$E$190=$B34)*ISNUMBER(INDEX(Inputs!$K$5:$AJ$190,0,MATCH(V$2,Inputs!$K$4:$AJ$4,0))))=0,NA(),SUMPRODUCT((Inputs!$A$5:$A$190=$B34)*Inputs!$B$5:$B$190*(((Inputs!$G$5:$G$190="moeda")+(Inputs!$G$5:$G$190="acoes"))*Inputs!$B$1+((Inputs!$G$5:$G$190&lt;&gt;"moeda")*(Inputs!$G$5:$G$190&lt;&gt;"acoes")))*INDEX(Inputs!$K$5:$AJ$190,0,MATCH(V$2,Inputs!$K$4:$AJ$4,0)))+SUMPRODUCT((Inputs!$C$5:$C$190=$B34)*Inputs!$D$5:$D$190*(((Inputs!$G$5:$G$190="moeda")+(Inputs!$G$5:$G$190="acoes"))*Inputs!$B$1+((Inputs!$G$5:$G$190&lt;&gt;"moeda")*(Inputs!$G$5:$G$190&lt;&gt;"acoes")))*INDEX(Inputs!$K$5:$AJ$190,0,MATCH(V$2,Inputs!$K$4:$AJ$4,0)))+SUMPRODUCT((Inputs!$E$5:$E$190=$B34)*Inputs!$F$5:$F$190*(((Inputs!$G$5:$G$190="moeda")+(Inputs!$G$5:$G$190="acoes"))*Inputs!$B$1+((Inputs!$G$5:$G$190&lt;&gt;"moeda")*(Inputs!$G$5:$G$190&lt;&gt;"acoes")))*INDEX(Inputs!$K$5:$AJ$190,0,MATCH(V$2,Inputs!$K$4:$AJ$4,0)))))</f>
        <v>444.88450984</v>
      </c>
      <c r="W34" s="3">
        <f>V34</f>
        <v>444.88450984</v>
      </c>
      <c r="X34" s="6">
        <f>IF(ISNA(MATCH(X$2,Inputs!$K$4:$AJ$4,0)),NA(),IF(SUMPRODUCT((Inputs!$A$5:$A$190=$B34)*ISNUMBER(INDEX(Inputs!$K$5:$AJ$190,0,MATCH(X$2,Inputs!$K$4:$AJ$4,0))))+SUMPRODUCT((Inputs!$C$5:$C$190=$B34)*ISNUMBER(INDEX(Inputs!$K$5:$AJ$190,0,MATCH(X$2,Inputs!$K$4:$AJ$4,0))))+SUMPRODUCT((Inputs!$E$5:$E$190=$B34)*ISNUMBER(INDEX(Inputs!$K$5:$AJ$190,0,MATCH(X$2,Inputs!$K$4:$AJ$4,0))))=0,NA(),SUMPRODUCT((Inputs!$A$5:$A$190=$B34)*Inputs!$B$5:$B$190*(((Inputs!$G$5:$G$190="moeda")+(Inputs!$G$5:$G$190="acoes"))*Inputs!$B$1+((Inputs!$G$5:$G$190&lt;&gt;"moeda")*(Inputs!$G$5:$G$190&lt;&gt;"acoes")))*INDEX(Inputs!$K$5:$AJ$190,0,MATCH(X$2,Inputs!$K$4:$AJ$4,0)))+SUMPRODUCT((Inputs!$C$5:$C$190=$B34)*Inputs!$D$5:$D$190*(((Inputs!$G$5:$G$190="moeda")+(Inputs!$G$5:$G$190="acoes"))*Inputs!$B$1+((Inputs!$G$5:$G$190&lt;&gt;"moeda")*(Inputs!$G$5:$G$190&lt;&gt;"acoes")))*INDEX(Inputs!$K$5:$AJ$190,0,MATCH(X$2,Inputs!$K$4:$AJ$4,0)))+SUMPRODUCT((Inputs!$E$5:$E$190=$B34)*Inputs!$F$5:$F$190*(((Inputs!$G$5:$G$190="moeda")+(Inputs!$G$5:$G$190="acoes"))*Inputs!$B$1+((Inputs!$G$5:$G$190&lt;&gt;"moeda")*(Inputs!$G$5:$G$190&lt;&gt;"acoes")))*INDEX(Inputs!$K$5:$AJ$190,0,MATCH(X$2,Inputs!$K$4:$AJ$4,0)))))</f>
        <v>409.76793177</v>
      </c>
      <c r="Y34" s="6">
        <f>IF(ISNA(MATCH(Y$2,Inputs!$K$4:$AJ$4,0)),NA(),IF(SUMPRODUCT((Inputs!$A$5:$A$190=$B34)*ISNUMBER(INDEX(Inputs!$K$5:$AJ$190,0,MATCH(Y$2,Inputs!$K$4:$AJ$4,0))))+SUMPRODUCT((Inputs!$C$5:$C$190=$B34)*ISNUMBER(INDEX(Inputs!$K$5:$AJ$190,0,MATCH(Y$2,Inputs!$K$4:$AJ$4,0))))+SUMPRODUCT((Inputs!$E$5:$E$190=$B34)*ISNUMBER(INDEX(Inputs!$K$5:$AJ$190,0,MATCH(Y$2,Inputs!$K$4:$AJ$4,0))))=0,NA(),SUMPRODUCT((Inputs!$A$5:$A$190=$B34)*Inputs!$B$5:$B$190*(((Inputs!$G$5:$G$190="moeda")+(Inputs!$G$5:$G$190="acoes"))*Inputs!$B$1+((Inputs!$G$5:$G$190&lt;&gt;"moeda")*(Inputs!$G$5:$G$190&lt;&gt;"acoes")))*INDEX(Inputs!$K$5:$AJ$190,0,MATCH(Y$2,Inputs!$K$4:$AJ$4,0)))+SUMPRODUCT((Inputs!$C$5:$C$190=$B34)*Inputs!$D$5:$D$190*(((Inputs!$G$5:$G$190="moeda")+(Inputs!$G$5:$G$190="acoes"))*Inputs!$B$1+((Inputs!$G$5:$G$190&lt;&gt;"moeda")*(Inputs!$G$5:$G$190&lt;&gt;"acoes")))*INDEX(Inputs!$K$5:$AJ$190,0,MATCH(Y$2,Inputs!$K$4:$AJ$4,0)))+SUMPRODUCT((Inputs!$E$5:$E$190=$B34)*Inputs!$F$5:$F$190*(((Inputs!$G$5:$G$190="moeda")+(Inputs!$G$5:$G$190="acoes"))*Inputs!$B$1+((Inputs!$G$5:$G$190&lt;&gt;"moeda")*(Inputs!$G$5:$G$190&lt;&gt;"acoes")))*INDEX(Inputs!$K$5:$AJ$190,0,MATCH(Y$2,Inputs!$K$4:$AJ$4,0)))))</f>
        <v>160.22182137</v>
      </c>
      <c r="Z34" s="6">
        <f>IF(ISNA(MATCH(Z$2,Inputs!$K$4:$AJ$4,0)),NA(),IF(SUMPRODUCT((Inputs!$A$5:$A$190=$B34)*ISNUMBER(INDEX(Inputs!$K$5:$AJ$190,0,MATCH(Z$2,Inputs!$K$4:$AJ$4,0))))+SUMPRODUCT((Inputs!$C$5:$C$190=$B34)*ISNUMBER(INDEX(Inputs!$K$5:$AJ$190,0,MATCH(Z$2,Inputs!$K$4:$AJ$4,0))))+SUMPRODUCT((Inputs!$E$5:$E$190=$B34)*ISNUMBER(INDEX(Inputs!$K$5:$AJ$190,0,MATCH(Z$2,Inputs!$K$4:$AJ$4,0))))=0,NA(),SUMPRODUCT((Inputs!$A$5:$A$190=$B34)*Inputs!$B$5:$B$190*(((Inputs!$G$5:$G$190="moeda")+(Inputs!$G$5:$G$190="acoes"))*Inputs!$B$1+((Inputs!$G$5:$G$190&lt;&gt;"moeda")*(Inputs!$G$5:$G$190&lt;&gt;"acoes")))*INDEX(Inputs!$K$5:$AJ$190,0,MATCH(Z$2,Inputs!$K$4:$AJ$4,0)))+SUMPRODUCT((Inputs!$C$5:$C$190=$B34)*Inputs!$D$5:$D$190*(((Inputs!$G$5:$G$190="moeda")+(Inputs!$G$5:$G$190="acoes"))*Inputs!$B$1+((Inputs!$G$5:$G$190&lt;&gt;"moeda")*(Inputs!$G$5:$G$190&lt;&gt;"acoes")))*INDEX(Inputs!$K$5:$AJ$190,0,MATCH(Z$2,Inputs!$K$4:$AJ$4,0)))+SUMPRODUCT((Inputs!$E$5:$E$190=$B34)*Inputs!$F$5:$F$190*(((Inputs!$G$5:$G$190="moeda")+(Inputs!$G$5:$G$190="acoes"))*Inputs!$B$1+((Inputs!$G$5:$G$190&lt;&gt;"moeda")*(Inputs!$G$5:$G$190&lt;&gt;"acoes")))*INDEX(Inputs!$K$5:$AJ$190,0,MATCH(Z$2,Inputs!$K$4:$AJ$4,0)))))</f>
        <v>64.34033223</v>
      </c>
      <c r="AA34" s="6">
        <f>IF(ISNA(MATCH(AA$2,Inputs!$K$4:$AJ$4,0)),NA(),IF(SUMPRODUCT((Inputs!$A$5:$A$190=$B34)*ISNUMBER(INDEX(Inputs!$K$5:$AJ$190,0,MATCH(AA$2,Inputs!$K$4:$AJ$4,0))))+SUMPRODUCT((Inputs!$C$5:$C$190=$B34)*ISNUMBER(INDEX(Inputs!$K$5:$AJ$190,0,MATCH(AA$2,Inputs!$K$4:$AJ$4,0))))+SUMPRODUCT((Inputs!$E$5:$E$190=$B34)*ISNUMBER(INDEX(Inputs!$K$5:$AJ$190,0,MATCH(AA$2,Inputs!$K$4:$AJ$4,0))))=0,NA(),SUMPRODUCT((Inputs!$A$5:$A$190=$B34)*Inputs!$B$5:$B$190*(((Inputs!$G$5:$G$190="moeda")+(Inputs!$G$5:$G$190="acoes"))*Inputs!$B$1+((Inputs!$G$5:$G$190&lt;&gt;"moeda")*(Inputs!$G$5:$G$190&lt;&gt;"acoes")))*INDEX(Inputs!$K$5:$AJ$190,0,MATCH(AA$2,Inputs!$K$4:$AJ$4,0)))+SUMPRODUCT((Inputs!$C$5:$C$190=$B34)*Inputs!$D$5:$D$190*(((Inputs!$G$5:$G$190="moeda")+(Inputs!$G$5:$G$190="acoes"))*Inputs!$B$1+((Inputs!$G$5:$G$190&lt;&gt;"moeda")*(Inputs!$G$5:$G$190&lt;&gt;"acoes")))*INDEX(Inputs!$K$5:$AJ$190,0,MATCH(AA$2,Inputs!$K$4:$AJ$4,0)))+SUMPRODUCT((Inputs!$E$5:$E$190=$B34)*Inputs!$F$5:$F$190*(((Inputs!$G$5:$G$190="moeda")+(Inputs!$G$5:$G$190="acoes"))*Inputs!$B$1+((Inputs!$G$5:$G$190&lt;&gt;"moeda")*(Inputs!$G$5:$G$190&lt;&gt;"acoes")))*INDEX(Inputs!$K$5:$AJ$190,0,MATCH(AA$2,Inputs!$K$4:$AJ$4,0)))))</f>
        <v>319.41626964</v>
      </c>
      <c r="AB34" s="3">
        <f>AA34</f>
        <v>319.41626964</v>
      </c>
      <c r="AC34" s="6">
        <f>IF(ISNA(MATCH(AC$2,Inputs!$K$4:$AJ$4,0)),NA(),IF(SUMPRODUCT((Inputs!$A$5:$A$190=$B34)*ISNUMBER(INDEX(Inputs!$K$5:$AJ$190,0,MATCH(AC$2,Inputs!$K$4:$AJ$4,0))))+SUMPRODUCT((Inputs!$C$5:$C$190=$B34)*ISNUMBER(INDEX(Inputs!$K$5:$AJ$190,0,MATCH(AC$2,Inputs!$K$4:$AJ$4,0))))+SUMPRODUCT((Inputs!$E$5:$E$190=$B34)*ISNUMBER(INDEX(Inputs!$K$5:$AJ$190,0,MATCH(AC$2,Inputs!$K$4:$AJ$4,0))))=0,NA(),SUMPRODUCT((Inputs!$A$5:$A$190=$B34)*Inputs!$B$5:$B$190*(((Inputs!$G$5:$G$190="moeda")+(Inputs!$G$5:$G$190="acoes"))*Inputs!$B$1+((Inputs!$G$5:$G$190&lt;&gt;"moeda")*(Inputs!$G$5:$G$190&lt;&gt;"acoes")))*INDEX(Inputs!$K$5:$AJ$190,0,MATCH(AC$2,Inputs!$K$4:$AJ$4,0)))+SUMPRODUCT((Inputs!$C$5:$C$190=$B34)*Inputs!$D$5:$D$190*(((Inputs!$G$5:$G$190="moeda")+(Inputs!$G$5:$G$190="acoes"))*Inputs!$B$1+((Inputs!$G$5:$G$190&lt;&gt;"moeda")*(Inputs!$G$5:$G$190&lt;&gt;"acoes")))*INDEX(Inputs!$K$5:$AJ$190,0,MATCH(AC$2,Inputs!$K$4:$AJ$4,0)))+SUMPRODUCT((Inputs!$E$5:$E$190=$B34)*Inputs!$F$5:$F$190*(((Inputs!$G$5:$G$190="moeda")+(Inputs!$G$5:$G$190="acoes"))*Inputs!$B$1+((Inputs!$G$5:$G$190&lt;&gt;"moeda")*(Inputs!$G$5:$G$190&lt;&gt;"acoes")))*INDEX(Inputs!$K$5:$AJ$190,0,MATCH(AC$2,Inputs!$K$4:$AJ$4,0)))))</f>
        <v>327.66916642</v>
      </c>
      <c r="AD34" s="6">
        <f>IF(ISNA(MATCH(AD$2,Inputs!$K$4:$AJ$4,0)),NA(),IF(SUMPRODUCT((Inputs!$A$5:$A$190=$B34)*ISNUMBER(INDEX(Inputs!$K$5:$AJ$190,0,MATCH(AD$2,Inputs!$K$4:$AJ$4,0))))+SUMPRODUCT((Inputs!$C$5:$C$190=$B34)*ISNUMBER(INDEX(Inputs!$K$5:$AJ$190,0,MATCH(AD$2,Inputs!$K$4:$AJ$4,0))))+SUMPRODUCT((Inputs!$E$5:$E$190=$B34)*ISNUMBER(INDEX(Inputs!$K$5:$AJ$190,0,MATCH(AD$2,Inputs!$K$4:$AJ$4,0))))=0,NA(),SUMPRODUCT((Inputs!$A$5:$A$190=$B34)*Inputs!$B$5:$B$190*(((Inputs!$G$5:$G$190="moeda")+(Inputs!$G$5:$G$190="acoes"))*Inputs!$B$1+((Inputs!$G$5:$G$190&lt;&gt;"moeda")*(Inputs!$G$5:$G$190&lt;&gt;"acoes")))*INDEX(Inputs!$K$5:$AJ$190,0,MATCH(AD$2,Inputs!$K$4:$AJ$4,0)))+SUMPRODUCT((Inputs!$C$5:$C$190=$B34)*Inputs!$D$5:$D$190*(((Inputs!$G$5:$G$190="moeda")+(Inputs!$G$5:$G$190="acoes"))*Inputs!$B$1+((Inputs!$G$5:$G$190&lt;&gt;"moeda")*(Inputs!$G$5:$G$190&lt;&gt;"acoes")))*INDEX(Inputs!$K$5:$AJ$190,0,MATCH(AD$2,Inputs!$K$4:$AJ$4,0)))+SUMPRODUCT((Inputs!$E$5:$E$190=$B34)*Inputs!$F$5:$F$190*(((Inputs!$G$5:$G$190="moeda")+(Inputs!$G$5:$G$190="acoes"))*Inputs!$B$1+((Inputs!$G$5:$G$190&lt;&gt;"moeda")*(Inputs!$G$5:$G$190&lt;&gt;"acoes")))*INDEX(Inputs!$K$5:$AJ$190,0,MATCH(AD$2,Inputs!$K$4:$AJ$4,0)))))</f>
        <v>199.06820025</v>
      </c>
      <c r="AE34" s="6" t="e">
        <f>IF(ISNA(MATCH(AE$2,Inputs!$K$4:$AJ$4,0)),NA(),IF(SUMPRODUCT((Inputs!$A$5:$A$190=$B34)*ISNUMBER(INDEX(Inputs!$K$5:$AJ$190,0,MATCH(AE$2,Inputs!$K$4:$AJ$4,0))))+SUMPRODUCT((Inputs!$C$5:$C$190=$B34)*ISNUMBER(INDEX(Inputs!$K$5:$AJ$190,0,MATCH(AE$2,Inputs!$K$4:$AJ$4,0))))+SUMPRODUCT((Inputs!$E$5:$E$190=$B34)*ISNUMBER(INDEX(Inputs!$K$5:$AJ$190,0,MATCH(AE$2,Inputs!$K$4:$AJ$4,0))))=0,NA(),SUMPRODUCT((Inputs!$A$5:$A$190=$B34)*Inputs!$B$5:$B$190*(((Inputs!$G$5:$G$190="moeda")+(Inputs!$G$5:$G$190="acoes"))*Inputs!$B$1+((Inputs!$G$5:$G$190&lt;&gt;"moeda")*(Inputs!$G$5:$G$190&lt;&gt;"acoes")))*INDEX(Inputs!$K$5:$AJ$190,0,MATCH(AE$2,Inputs!$K$4:$AJ$4,0)))+SUMPRODUCT((Inputs!$C$5:$C$190=$B34)*Inputs!$D$5:$D$190*(((Inputs!$G$5:$G$190="moeda")+(Inputs!$G$5:$G$190="acoes"))*Inputs!$B$1+((Inputs!$G$5:$G$190&lt;&gt;"moeda")*(Inputs!$G$5:$G$190&lt;&gt;"acoes")))*INDEX(Inputs!$K$5:$AJ$190,0,MATCH(AE$2,Inputs!$K$4:$AJ$4,0)))+SUMPRODUCT((Inputs!$E$5:$E$190=$B34)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34" s="6" t="e">
        <f>IF(ISNA(MATCH(AF$2,Inputs!$K$4:$AJ$4,0)),NA(),IF(SUMPRODUCT((Inputs!$A$5:$A$190=$B34)*ISNUMBER(INDEX(Inputs!$K$5:$AJ$190,0,MATCH(AF$2,Inputs!$K$4:$AJ$4,0))))+SUMPRODUCT((Inputs!$C$5:$C$190=$B34)*ISNUMBER(INDEX(Inputs!$K$5:$AJ$190,0,MATCH(AF$2,Inputs!$K$4:$AJ$4,0))))+SUMPRODUCT((Inputs!$E$5:$E$190=$B34)*ISNUMBER(INDEX(Inputs!$K$5:$AJ$190,0,MATCH(AF$2,Inputs!$K$4:$AJ$4,0))))=0,NA(),SUMPRODUCT((Inputs!$A$5:$A$190=$B34)*Inputs!$B$5:$B$190*(((Inputs!$G$5:$G$190="moeda")+(Inputs!$G$5:$G$190="acoes"))*Inputs!$B$1+((Inputs!$G$5:$G$190&lt;&gt;"moeda")*(Inputs!$G$5:$G$190&lt;&gt;"acoes")))*INDEX(Inputs!$K$5:$AJ$190,0,MATCH(AF$2,Inputs!$K$4:$AJ$4,0)))+SUMPRODUCT((Inputs!$C$5:$C$190=$B34)*Inputs!$D$5:$D$190*(((Inputs!$G$5:$G$190="moeda")+(Inputs!$G$5:$G$190="acoes"))*Inputs!$B$1+((Inputs!$G$5:$G$190&lt;&gt;"moeda")*(Inputs!$G$5:$G$190&lt;&gt;"acoes")))*INDEX(Inputs!$K$5:$AJ$190,0,MATCH(AF$2,Inputs!$K$4:$AJ$4,0)))+SUMPRODUCT((Inputs!$E$5:$E$190=$B34)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34" s="3" t="e">
        <f>AF34</f>
        <v>#N/A</v>
      </c>
      <c r="AH34" s="6">
        <f>IF(ISNA(MATCH(AH$2,Inputs!$K$4:$AJ$4,0)),NA(),IF(SUMPRODUCT((Inputs!$A$5:$A$190=$B34)*ISNUMBER(INDEX(Inputs!$K$5:$AJ$190,0,MATCH(AH$2,Inputs!$K$4:$AJ$4,0))))+SUMPRODUCT((Inputs!$C$5:$C$190=$B34)*ISNUMBER(INDEX(Inputs!$K$5:$AJ$190,0,MATCH(AH$2,Inputs!$K$4:$AJ$4,0))))+SUMPRODUCT((Inputs!$E$5:$E$190=$B34)*ISNUMBER(INDEX(Inputs!$K$5:$AJ$190,0,MATCH(AH$2,Inputs!$K$4:$AJ$4,0))))=0,NA(),SUMPRODUCT((Inputs!$A$5:$A$190=$B34)*Inputs!$B$5:$B$190*(((Inputs!$G$5:$G$190="moeda")+(Inputs!$G$5:$G$190="acoes"))*Inputs!$B$1+((Inputs!$G$5:$G$190&lt;&gt;"moeda")*(Inputs!$G$5:$G$190&lt;&gt;"acoes")))*INDEX(Inputs!$K$5:$AJ$190,0,MATCH(AH$2,Inputs!$K$4:$AJ$4,0)))+SUMPRODUCT((Inputs!$C$5:$C$190=$B34)*Inputs!$D$5:$D$190*(((Inputs!$G$5:$G$190="moeda")+(Inputs!$G$5:$G$190="acoes"))*Inputs!$B$1+((Inputs!$G$5:$G$190&lt;&gt;"moeda")*(Inputs!$G$5:$G$190&lt;&gt;"acoes")))*INDEX(Inputs!$K$5:$AJ$190,0,MATCH(AH$2,Inputs!$K$4:$AJ$4,0)))+SUMPRODUCT((Inputs!$E$5:$E$190=$B34)*Inputs!$F$5:$F$190*(((Inputs!$G$5:$G$190="moeda")+(Inputs!$G$5:$G$190="acoes"))*Inputs!$B$1+((Inputs!$G$5:$G$190&lt;&gt;"moeda")*(Inputs!$G$5:$G$190&lt;&gt;"acoes")))*INDEX(Inputs!$K$5:$AJ$190,0,MATCH(AH$2,Inputs!$K$4:$AJ$4,0)))))</f>
        <v>107.02432839</v>
      </c>
      <c r="AI34" s="6">
        <f>IF(ISNA(MATCH(AI$2,Inputs!$K$4:$AJ$4,0)),NA(),IF(SUMPRODUCT((Inputs!$A$5:$A$190=$B34)*ISNUMBER(INDEX(Inputs!$K$5:$AJ$190,0,MATCH(AI$2,Inputs!$K$4:$AJ$4,0))))+SUMPRODUCT((Inputs!$C$5:$C$190=$B34)*ISNUMBER(INDEX(Inputs!$K$5:$AJ$190,0,MATCH(AI$2,Inputs!$K$4:$AJ$4,0))))+SUMPRODUCT((Inputs!$E$5:$E$190=$B34)*ISNUMBER(INDEX(Inputs!$K$5:$AJ$190,0,MATCH(AI$2,Inputs!$K$4:$AJ$4,0))))=0,NA(),SUMPRODUCT((Inputs!$A$5:$A$190=$B34)*Inputs!$B$5:$B$190*(((Inputs!$G$5:$G$190="moeda")+(Inputs!$G$5:$G$190="acoes"))*Inputs!$B$1+((Inputs!$G$5:$G$190&lt;&gt;"moeda")*(Inputs!$G$5:$G$190&lt;&gt;"acoes")))*INDEX(Inputs!$K$5:$AJ$190,0,MATCH(AI$2,Inputs!$K$4:$AJ$4,0)))+SUMPRODUCT((Inputs!$C$5:$C$190=$B34)*Inputs!$D$5:$D$190*(((Inputs!$G$5:$G$190="moeda")+(Inputs!$G$5:$G$190="acoes"))*Inputs!$B$1+((Inputs!$G$5:$G$190&lt;&gt;"moeda")*(Inputs!$G$5:$G$190&lt;&gt;"acoes")))*INDEX(Inputs!$K$5:$AJ$190,0,MATCH(AI$2,Inputs!$K$4:$AJ$4,0)))+SUMPRODUCT((Inputs!$E$5:$E$190=$B34)*Inputs!$F$5:$F$190*(((Inputs!$G$5:$G$190="moeda")+(Inputs!$G$5:$G$190="acoes"))*Inputs!$B$1+((Inputs!$G$5:$G$190&lt;&gt;"moeda")*(Inputs!$G$5:$G$190&lt;&gt;"acoes")))*INDEX(Inputs!$K$5:$AJ$190,0,MATCH(AI$2,Inputs!$K$4:$AJ$4,0)))))</f>
        <v>103.51397595</v>
      </c>
      <c r="AJ34" s="6">
        <f>IF(ISNA(MATCH(AJ$2,Inputs!$K$4:$AJ$4,0)),NA(),IF(SUMPRODUCT((Inputs!$A$5:$A$190=$B34)*ISNUMBER(INDEX(Inputs!$K$5:$AJ$190,0,MATCH(AJ$2,Inputs!$K$4:$AJ$4,0))))+SUMPRODUCT((Inputs!$C$5:$C$190=$B34)*ISNUMBER(INDEX(Inputs!$K$5:$AJ$190,0,MATCH(AJ$2,Inputs!$K$4:$AJ$4,0))))+SUMPRODUCT((Inputs!$E$5:$E$190=$B34)*ISNUMBER(INDEX(Inputs!$K$5:$AJ$190,0,MATCH(AJ$2,Inputs!$K$4:$AJ$4,0))))=0,NA(),SUMPRODUCT((Inputs!$A$5:$A$190=$B34)*Inputs!$B$5:$B$190*(((Inputs!$G$5:$G$190="moeda")+(Inputs!$G$5:$G$190="acoes"))*Inputs!$B$1+((Inputs!$G$5:$G$190&lt;&gt;"moeda")*(Inputs!$G$5:$G$190&lt;&gt;"acoes")))*INDEX(Inputs!$K$5:$AJ$190,0,MATCH(AJ$2,Inputs!$K$4:$AJ$4,0)))+SUMPRODUCT((Inputs!$C$5:$C$190=$B34)*Inputs!$D$5:$D$190*(((Inputs!$G$5:$G$190="moeda")+(Inputs!$G$5:$G$190="acoes"))*Inputs!$B$1+((Inputs!$G$5:$G$190&lt;&gt;"moeda")*(Inputs!$G$5:$G$190&lt;&gt;"acoes")))*INDEX(Inputs!$K$5:$AJ$190,0,MATCH(AJ$2,Inputs!$K$4:$AJ$4,0)))+SUMPRODUCT((Inputs!$E$5:$E$190=$B34)*Inputs!$F$5:$F$190*(((Inputs!$G$5:$G$190="moeda")+(Inputs!$G$5:$G$190="acoes"))*Inputs!$B$1+((Inputs!$G$5:$G$190&lt;&gt;"moeda")*(Inputs!$G$5:$G$190&lt;&gt;"acoes")))*INDEX(Inputs!$K$5:$AJ$190,0,MATCH(AJ$2,Inputs!$K$4:$AJ$4,0)))))</f>
        <v>101.76069517</v>
      </c>
      <c r="AK34" s="6">
        <f>IF(ISNA(MATCH(AK$2,Inputs!$K$4:$AJ$4,0)),NA(),IF(SUMPRODUCT((Inputs!$A$5:$A$190=$B34)*ISNUMBER(INDEX(Inputs!$K$5:$AJ$190,0,MATCH(AK$2,Inputs!$K$4:$AJ$4,0))))+SUMPRODUCT((Inputs!$C$5:$C$190=$B34)*ISNUMBER(INDEX(Inputs!$K$5:$AJ$190,0,MATCH(AK$2,Inputs!$K$4:$AJ$4,0))))+SUMPRODUCT((Inputs!$E$5:$E$190=$B34)*ISNUMBER(INDEX(Inputs!$K$5:$AJ$190,0,MATCH(AK$2,Inputs!$K$4:$AJ$4,0))))=0,NA(),SUMPRODUCT((Inputs!$A$5:$A$190=$B34)*Inputs!$B$5:$B$190*(((Inputs!$G$5:$G$190="moeda")+(Inputs!$G$5:$G$190="acoes"))*Inputs!$B$1+((Inputs!$G$5:$G$190&lt;&gt;"moeda")*(Inputs!$G$5:$G$190&lt;&gt;"acoes")))*INDEX(Inputs!$K$5:$AJ$190,0,MATCH(AK$2,Inputs!$K$4:$AJ$4,0)))+SUMPRODUCT((Inputs!$C$5:$C$190=$B34)*Inputs!$D$5:$D$190*(((Inputs!$G$5:$G$190="moeda")+(Inputs!$G$5:$G$190="acoes"))*Inputs!$B$1+((Inputs!$G$5:$G$190&lt;&gt;"moeda")*(Inputs!$G$5:$G$190&lt;&gt;"acoes")))*INDEX(Inputs!$K$5:$AJ$190,0,MATCH(AK$2,Inputs!$K$4:$AJ$4,0)))+SUMPRODUCT((Inputs!$E$5:$E$190=$B34)*Inputs!$F$5:$F$190*(((Inputs!$G$5:$G$190="moeda")+(Inputs!$G$5:$G$190="acoes"))*Inputs!$B$1+((Inputs!$G$5:$G$190&lt;&gt;"moeda")*(Inputs!$G$5:$G$190&lt;&gt;"acoes")))*INDEX(Inputs!$K$5:$AJ$190,0,MATCH(AK$2,Inputs!$K$4:$AJ$4,0)))))</f>
        <v>101.60088852</v>
      </c>
      <c r="AL34" s="3">
        <f>AK34</f>
        <v>101.60088852</v>
      </c>
    </row>
    <row r="35">
      <c r="B35" s="46" t="n">
        <v>30</v>
      </c>
      <c r="C35" s="26" t="inlineStr">
        <is>
          <t>Long term debt</t>
        </is>
      </c>
      <c r="D35" s="6">
        <f>IF(ISNA(MATCH(D$2,Inputs!$K$4:$AJ$4,0)),NA(),IF(SUMPRODUCT((Inputs!$A$5:$A$190=$B35)*ISNUMBER(INDEX(Inputs!$K$5:$AJ$190,0,MATCH(D$2,Inputs!$K$4:$AJ$4,0))))+SUMPRODUCT((Inputs!$C$5:$C$190=$B35)*ISNUMBER(INDEX(Inputs!$K$5:$AJ$190,0,MATCH(D$2,Inputs!$K$4:$AJ$4,0))))+SUMPRODUCT((Inputs!$E$5:$E$190=$B35)*ISNUMBER(INDEX(Inputs!$K$5:$AJ$190,0,MATCH(D$2,Inputs!$K$4:$AJ$4,0))))=0,NA(),SUMPRODUCT((Inputs!$A$5:$A$190=$B35)*Inputs!$B$5:$B$190*(((Inputs!$G$5:$G$190="moeda")+(Inputs!$G$5:$G$190="acoes"))*Inputs!$B$1+((Inputs!$G$5:$G$190&lt;&gt;"moeda")*(Inputs!$G$5:$G$190&lt;&gt;"acoes")))*INDEX(Inputs!$K$5:$AJ$190,0,MATCH(D$2,Inputs!$K$4:$AJ$4,0)))+SUMPRODUCT((Inputs!$C$5:$C$190=$B35)*Inputs!$D$5:$D$190*(((Inputs!$G$5:$G$190="moeda")+(Inputs!$G$5:$G$190="acoes"))*Inputs!$B$1+((Inputs!$G$5:$G$190&lt;&gt;"moeda")*(Inputs!$G$5:$G$190&lt;&gt;"acoes")))*INDEX(Inputs!$K$5:$AJ$190,0,MATCH(D$2,Inputs!$K$4:$AJ$4,0)))+SUMPRODUCT((Inputs!$E$5:$E$190=$B35)*Inputs!$F$5:$F$190*(((Inputs!$G$5:$G$190="moeda")+(Inputs!$G$5:$G$190="acoes"))*Inputs!$B$1+((Inputs!$G$5:$G$190&lt;&gt;"moeda")*(Inputs!$G$5:$G$190&lt;&gt;"acoes")))*INDEX(Inputs!$K$5:$AJ$190,0,MATCH(D$2,Inputs!$K$4:$AJ$4,0)))))</f>
        <v>21729.77041724</v>
      </c>
      <c r="E35" s="6">
        <f>IF(ISNA(MATCH(E$2,Inputs!$K$4:$AJ$4,0)),NA(),IF(SUMPRODUCT((Inputs!$A$5:$A$190=$B35)*ISNUMBER(INDEX(Inputs!$K$5:$AJ$190,0,MATCH(E$2,Inputs!$K$4:$AJ$4,0))))+SUMPRODUCT((Inputs!$C$5:$C$190=$B35)*ISNUMBER(INDEX(Inputs!$K$5:$AJ$190,0,MATCH(E$2,Inputs!$K$4:$AJ$4,0))))+SUMPRODUCT((Inputs!$E$5:$E$190=$B35)*ISNUMBER(INDEX(Inputs!$K$5:$AJ$190,0,MATCH(E$2,Inputs!$K$4:$AJ$4,0))))=0,NA(),SUMPRODUCT((Inputs!$A$5:$A$190=$B35)*Inputs!$B$5:$B$190*(((Inputs!$G$5:$G$190="moeda")+(Inputs!$G$5:$G$190="acoes"))*Inputs!$B$1+((Inputs!$G$5:$G$190&lt;&gt;"moeda")*(Inputs!$G$5:$G$190&lt;&gt;"acoes")))*INDEX(Inputs!$K$5:$AJ$190,0,MATCH(E$2,Inputs!$K$4:$AJ$4,0)))+SUMPRODUCT((Inputs!$C$5:$C$190=$B35)*Inputs!$D$5:$D$190*(((Inputs!$G$5:$G$190="moeda")+(Inputs!$G$5:$G$190="acoes"))*Inputs!$B$1+((Inputs!$G$5:$G$190&lt;&gt;"moeda")*(Inputs!$G$5:$G$190&lt;&gt;"acoes")))*INDEX(Inputs!$K$5:$AJ$190,0,MATCH(E$2,Inputs!$K$4:$AJ$4,0)))+SUMPRODUCT((Inputs!$E$5:$E$190=$B35)*Inputs!$F$5:$F$190*(((Inputs!$G$5:$G$190="moeda")+(Inputs!$G$5:$G$190="acoes"))*Inputs!$B$1+((Inputs!$G$5:$G$190&lt;&gt;"moeda")*(Inputs!$G$5:$G$190&lt;&gt;"acoes")))*INDEX(Inputs!$K$5:$AJ$190,0,MATCH(E$2,Inputs!$K$4:$AJ$4,0)))))</f>
        <v>21263.36715647</v>
      </c>
      <c r="F35" s="6">
        <f>IF(ISNA(MATCH(F$2,Inputs!$K$4:$AJ$4,0)),NA(),IF(SUMPRODUCT((Inputs!$A$5:$A$190=$B35)*ISNUMBER(INDEX(Inputs!$K$5:$AJ$190,0,MATCH(F$2,Inputs!$K$4:$AJ$4,0))))+SUMPRODUCT((Inputs!$C$5:$C$190=$B35)*ISNUMBER(INDEX(Inputs!$K$5:$AJ$190,0,MATCH(F$2,Inputs!$K$4:$AJ$4,0))))+SUMPRODUCT((Inputs!$E$5:$E$190=$B35)*ISNUMBER(INDEX(Inputs!$K$5:$AJ$190,0,MATCH(F$2,Inputs!$K$4:$AJ$4,0))))=0,NA(),SUMPRODUCT((Inputs!$A$5:$A$190=$B35)*Inputs!$B$5:$B$190*(((Inputs!$G$5:$G$190="moeda")+(Inputs!$G$5:$G$190="acoes"))*Inputs!$B$1+((Inputs!$G$5:$G$190&lt;&gt;"moeda")*(Inputs!$G$5:$G$190&lt;&gt;"acoes")))*INDEX(Inputs!$K$5:$AJ$190,0,MATCH(F$2,Inputs!$K$4:$AJ$4,0)))+SUMPRODUCT((Inputs!$C$5:$C$190=$B35)*Inputs!$D$5:$D$190*(((Inputs!$G$5:$G$190="moeda")+(Inputs!$G$5:$G$190="acoes"))*Inputs!$B$1+((Inputs!$G$5:$G$190&lt;&gt;"moeda")*(Inputs!$G$5:$G$190&lt;&gt;"acoes")))*INDEX(Inputs!$K$5:$AJ$190,0,MATCH(F$2,Inputs!$K$4:$AJ$4,0)))+SUMPRODUCT((Inputs!$E$5:$E$190=$B35)*Inputs!$F$5:$F$190*(((Inputs!$G$5:$G$190="moeda")+(Inputs!$G$5:$G$190="acoes"))*Inputs!$B$1+((Inputs!$G$5:$G$190&lt;&gt;"moeda")*(Inputs!$G$5:$G$190&lt;&gt;"acoes")))*INDEX(Inputs!$K$5:$AJ$190,0,MATCH(F$2,Inputs!$K$4:$AJ$4,0)))))</f>
        <v>27305.482</v>
      </c>
      <c r="G35" s="6">
        <f>IF(ISNA(MATCH(G$2,Inputs!$K$4:$AJ$4,0)),NA(),IF(SUMPRODUCT((Inputs!$A$5:$A$190=$B35)*ISNUMBER(INDEX(Inputs!$K$5:$AJ$190,0,MATCH(G$2,Inputs!$K$4:$AJ$4,0))))+SUMPRODUCT((Inputs!$C$5:$C$190=$B35)*ISNUMBER(INDEX(Inputs!$K$5:$AJ$190,0,MATCH(G$2,Inputs!$K$4:$AJ$4,0))))+SUMPRODUCT((Inputs!$E$5:$E$190=$B35)*ISNUMBER(INDEX(Inputs!$K$5:$AJ$190,0,MATCH(G$2,Inputs!$K$4:$AJ$4,0))))=0,NA(),SUMPRODUCT((Inputs!$A$5:$A$190=$B35)*Inputs!$B$5:$B$190*(((Inputs!$G$5:$G$190="moeda")+(Inputs!$G$5:$G$190="acoes"))*Inputs!$B$1+((Inputs!$G$5:$G$190&lt;&gt;"moeda")*(Inputs!$G$5:$G$190&lt;&gt;"acoes")))*INDEX(Inputs!$K$5:$AJ$190,0,MATCH(G$2,Inputs!$K$4:$AJ$4,0)))+SUMPRODUCT((Inputs!$C$5:$C$190=$B35)*Inputs!$D$5:$D$190*(((Inputs!$G$5:$G$190="moeda")+(Inputs!$G$5:$G$190="acoes"))*Inputs!$B$1+((Inputs!$G$5:$G$190&lt;&gt;"moeda")*(Inputs!$G$5:$G$190&lt;&gt;"acoes")))*INDEX(Inputs!$K$5:$AJ$190,0,MATCH(G$2,Inputs!$K$4:$AJ$4,0)))+SUMPRODUCT((Inputs!$E$5:$E$190=$B35)*Inputs!$F$5:$F$190*(((Inputs!$G$5:$G$190="moeda")+(Inputs!$G$5:$G$190="acoes"))*Inputs!$B$1+((Inputs!$G$5:$G$190&lt;&gt;"moeda")*(Inputs!$G$5:$G$190&lt;&gt;"acoes")))*INDEX(Inputs!$K$5:$AJ$190,0,MATCH(G$2,Inputs!$K$4:$AJ$4,0)))))</f>
        <v>31973.666</v>
      </c>
      <c r="H35" s="3">
        <f>G35</f>
        <v>31973.666</v>
      </c>
      <c r="I35" s="6">
        <f>IF(ISNA(MATCH(I$2,Inputs!$K$4:$AJ$4,0)),NA(),IF(SUMPRODUCT((Inputs!$A$5:$A$190=$B35)*ISNUMBER(INDEX(Inputs!$K$5:$AJ$190,0,MATCH(I$2,Inputs!$K$4:$AJ$4,0))))+SUMPRODUCT((Inputs!$C$5:$C$190=$B35)*ISNUMBER(INDEX(Inputs!$K$5:$AJ$190,0,MATCH(I$2,Inputs!$K$4:$AJ$4,0))))+SUMPRODUCT((Inputs!$E$5:$E$190=$B35)*ISNUMBER(INDEX(Inputs!$K$5:$AJ$190,0,MATCH(I$2,Inputs!$K$4:$AJ$4,0))))=0,NA(),SUMPRODUCT((Inputs!$A$5:$A$190=$B35)*Inputs!$B$5:$B$190*(((Inputs!$G$5:$G$190="moeda")+(Inputs!$G$5:$G$190="acoes"))*Inputs!$B$1+((Inputs!$G$5:$G$190&lt;&gt;"moeda")*(Inputs!$G$5:$G$190&lt;&gt;"acoes")))*INDEX(Inputs!$K$5:$AJ$190,0,MATCH(I$2,Inputs!$K$4:$AJ$4,0)))+SUMPRODUCT((Inputs!$C$5:$C$190=$B35)*Inputs!$D$5:$D$190*(((Inputs!$G$5:$G$190="moeda")+(Inputs!$G$5:$G$190="acoes"))*Inputs!$B$1+((Inputs!$G$5:$G$190&lt;&gt;"moeda")*(Inputs!$G$5:$G$190&lt;&gt;"acoes")))*INDEX(Inputs!$K$5:$AJ$190,0,MATCH(I$2,Inputs!$K$4:$AJ$4,0)))+SUMPRODUCT((Inputs!$E$5:$E$190=$B35)*Inputs!$F$5:$F$190*(((Inputs!$G$5:$G$190="moeda")+(Inputs!$G$5:$G$190="acoes"))*Inputs!$B$1+((Inputs!$G$5:$G$190&lt;&gt;"moeda")*(Inputs!$G$5:$G$190&lt;&gt;"acoes")))*INDEX(Inputs!$K$5:$AJ$190,0,MATCH(I$2,Inputs!$K$4:$AJ$4,0)))))</f>
        <v>30298.448</v>
      </c>
      <c r="J35" s="6">
        <f>IF(ISNA(MATCH(J$2,Inputs!$K$4:$AJ$4,0)),NA(),IF(SUMPRODUCT((Inputs!$A$5:$A$190=$B35)*ISNUMBER(INDEX(Inputs!$K$5:$AJ$190,0,MATCH(J$2,Inputs!$K$4:$AJ$4,0))))+SUMPRODUCT((Inputs!$C$5:$C$190=$B35)*ISNUMBER(INDEX(Inputs!$K$5:$AJ$190,0,MATCH(J$2,Inputs!$K$4:$AJ$4,0))))+SUMPRODUCT((Inputs!$E$5:$E$190=$B35)*ISNUMBER(INDEX(Inputs!$K$5:$AJ$190,0,MATCH(J$2,Inputs!$K$4:$AJ$4,0))))=0,NA(),SUMPRODUCT((Inputs!$A$5:$A$190=$B35)*Inputs!$B$5:$B$190*(((Inputs!$G$5:$G$190="moeda")+(Inputs!$G$5:$G$190="acoes"))*Inputs!$B$1+((Inputs!$G$5:$G$190&lt;&gt;"moeda")*(Inputs!$G$5:$G$190&lt;&gt;"acoes")))*INDEX(Inputs!$K$5:$AJ$190,0,MATCH(J$2,Inputs!$K$4:$AJ$4,0)))+SUMPRODUCT((Inputs!$C$5:$C$190=$B35)*Inputs!$D$5:$D$190*(((Inputs!$G$5:$G$190="moeda")+(Inputs!$G$5:$G$190="acoes"))*Inputs!$B$1+((Inputs!$G$5:$G$190&lt;&gt;"moeda")*(Inputs!$G$5:$G$190&lt;&gt;"acoes")))*INDEX(Inputs!$K$5:$AJ$190,0,MATCH(J$2,Inputs!$K$4:$AJ$4,0)))+SUMPRODUCT((Inputs!$E$5:$E$190=$B35)*Inputs!$F$5:$F$190*(((Inputs!$G$5:$G$190="moeda")+(Inputs!$G$5:$G$190="acoes"))*Inputs!$B$1+((Inputs!$G$5:$G$190&lt;&gt;"moeda")*(Inputs!$G$5:$G$190&lt;&gt;"acoes")))*INDEX(Inputs!$K$5:$AJ$190,0,MATCH(J$2,Inputs!$K$4:$AJ$4,0)))))</f>
        <v>34054.21</v>
      </c>
      <c r="K35" s="6">
        <f>IF(ISNA(MATCH(K$2,Inputs!$K$4:$AJ$4,0)),NA(),IF(SUMPRODUCT((Inputs!$A$5:$A$190=$B35)*ISNUMBER(INDEX(Inputs!$K$5:$AJ$190,0,MATCH(K$2,Inputs!$K$4:$AJ$4,0))))+SUMPRODUCT((Inputs!$C$5:$C$190=$B35)*ISNUMBER(INDEX(Inputs!$K$5:$AJ$190,0,MATCH(K$2,Inputs!$K$4:$AJ$4,0))))+SUMPRODUCT((Inputs!$E$5:$E$190=$B35)*ISNUMBER(INDEX(Inputs!$K$5:$AJ$190,0,MATCH(K$2,Inputs!$K$4:$AJ$4,0))))=0,NA(),SUMPRODUCT((Inputs!$A$5:$A$190=$B35)*Inputs!$B$5:$B$190*(((Inputs!$G$5:$G$190="moeda")+(Inputs!$G$5:$G$190="acoes"))*Inputs!$B$1+((Inputs!$G$5:$G$190&lt;&gt;"moeda")*(Inputs!$G$5:$G$190&lt;&gt;"acoes")))*INDEX(Inputs!$K$5:$AJ$190,0,MATCH(K$2,Inputs!$K$4:$AJ$4,0)))+SUMPRODUCT((Inputs!$C$5:$C$190=$B35)*Inputs!$D$5:$D$190*(((Inputs!$G$5:$G$190="moeda")+(Inputs!$G$5:$G$190="acoes"))*Inputs!$B$1+((Inputs!$G$5:$G$190&lt;&gt;"moeda")*(Inputs!$G$5:$G$190&lt;&gt;"acoes")))*INDEX(Inputs!$K$5:$AJ$190,0,MATCH(K$2,Inputs!$K$4:$AJ$4,0)))+SUMPRODUCT((Inputs!$E$5:$E$190=$B35)*Inputs!$F$5:$F$190*(((Inputs!$G$5:$G$190="moeda")+(Inputs!$G$5:$G$190="acoes"))*Inputs!$B$1+((Inputs!$G$5:$G$190&lt;&gt;"moeda")*(Inputs!$G$5:$G$190&lt;&gt;"acoes")))*INDEX(Inputs!$K$5:$AJ$190,0,MATCH(K$2,Inputs!$K$4:$AJ$4,0)))))</f>
        <v>37015.292</v>
      </c>
      <c r="L35" s="6">
        <f>IF(ISNA(MATCH(L$2,Inputs!$K$4:$AJ$4,0)),NA(),IF(SUMPRODUCT((Inputs!$A$5:$A$190=$B35)*ISNUMBER(INDEX(Inputs!$K$5:$AJ$190,0,MATCH(L$2,Inputs!$K$4:$AJ$4,0))))+SUMPRODUCT((Inputs!$C$5:$C$190=$B35)*ISNUMBER(INDEX(Inputs!$K$5:$AJ$190,0,MATCH(L$2,Inputs!$K$4:$AJ$4,0))))+SUMPRODUCT((Inputs!$E$5:$E$190=$B35)*ISNUMBER(INDEX(Inputs!$K$5:$AJ$190,0,MATCH(L$2,Inputs!$K$4:$AJ$4,0))))=0,NA(),SUMPRODUCT((Inputs!$A$5:$A$190=$B35)*Inputs!$B$5:$B$190*(((Inputs!$G$5:$G$190="moeda")+(Inputs!$G$5:$G$190="acoes"))*Inputs!$B$1+((Inputs!$G$5:$G$190&lt;&gt;"moeda")*(Inputs!$G$5:$G$190&lt;&gt;"acoes")))*INDEX(Inputs!$K$5:$AJ$190,0,MATCH(L$2,Inputs!$K$4:$AJ$4,0)))+SUMPRODUCT((Inputs!$C$5:$C$190=$B35)*Inputs!$D$5:$D$190*(((Inputs!$G$5:$G$190="moeda")+(Inputs!$G$5:$G$190="acoes"))*Inputs!$B$1+((Inputs!$G$5:$G$190&lt;&gt;"moeda")*(Inputs!$G$5:$G$190&lt;&gt;"acoes")))*INDEX(Inputs!$K$5:$AJ$190,0,MATCH(L$2,Inputs!$K$4:$AJ$4,0)))+SUMPRODUCT((Inputs!$E$5:$E$190=$B35)*Inputs!$F$5:$F$190*(((Inputs!$G$5:$G$190="moeda")+(Inputs!$G$5:$G$190="acoes"))*Inputs!$B$1+((Inputs!$G$5:$G$190&lt;&gt;"moeda")*(Inputs!$G$5:$G$190&lt;&gt;"acoes")))*INDEX(Inputs!$K$5:$AJ$190,0,MATCH(L$2,Inputs!$K$4:$AJ$4,0)))))</f>
        <v>34273.332</v>
      </c>
      <c r="M35" s="3">
        <f>L35</f>
        <v>34273.332</v>
      </c>
      <c r="N35" s="6">
        <f>IF(ISNA(MATCH(N$2,Inputs!$K$4:$AJ$4,0)),NA(),IF(SUMPRODUCT((Inputs!$A$5:$A$190=$B35)*ISNUMBER(INDEX(Inputs!$K$5:$AJ$190,0,MATCH(N$2,Inputs!$K$4:$AJ$4,0))))+SUMPRODUCT((Inputs!$C$5:$C$190=$B35)*ISNUMBER(INDEX(Inputs!$K$5:$AJ$190,0,MATCH(N$2,Inputs!$K$4:$AJ$4,0))))+SUMPRODUCT((Inputs!$E$5:$E$190=$B35)*ISNUMBER(INDEX(Inputs!$K$5:$AJ$190,0,MATCH(N$2,Inputs!$K$4:$AJ$4,0))))=0,NA(),SUMPRODUCT((Inputs!$A$5:$A$190=$B35)*Inputs!$B$5:$B$190*(((Inputs!$G$5:$G$190="moeda")+(Inputs!$G$5:$G$190="acoes"))*Inputs!$B$1+((Inputs!$G$5:$G$190&lt;&gt;"moeda")*(Inputs!$G$5:$G$190&lt;&gt;"acoes")))*INDEX(Inputs!$K$5:$AJ$190,0,MATCH(N$2,Inputs!$K$4:$AJ$4,0)))+SUMPRODUCT((Inputs!$C$5:$C$190=$B35)*Inputs!$D$5:$D$190*(((Inputs!$G$5:$G$190="moeda")+(Inputs!$G$5:$G$190="acoes"))*Inputs!$B$1+((Inputs!$G$5:$G$190&lt;&gt;"moeda")*(Inputs!$G$5:$G$190&lt;&gt;"acoes")))*INDEX(Inputs!$K$5:$AJ$190,0,MATCH(N$2,Inputs!$K$4:$AJ$4,0)))+SUMPRODUCT((Inputs!$E$5:$E$190=$B35)*Inputs!$F$5:$F$190*(((Inputs!$G$5:$G$190="moeda")+(Inputs!$G$5:$G$190="acoes"))*Inputs!$B$1+((Inputs!$G$5:$G$190&lt;&gt;"moeda")*(Inputs!$G$5:$G$190&lt;&gt;"acoes")))*INDEX(Inputs!$K$5:$AJ$190,0,MATCH(N$2,Inputs!$K$4:$AJ$4,0)))))</f>
        <v>35043.5861128554</v>
      </c>
      <c r="O35" s="6">
        <f>IF(ISNA(MATCH(O$2,Inputs!$K$4:$AJ$4,0)),NA(),IF(SUMPRODUCT((Inputs!$A$5:$A$190=$B35)*ISNUMBER(INDEX(Inputs!$K$5:$AJ$190,0,MATCH(O$2,Inputs!$K$4:$AJ$4,0))))+SUMPRODUCT((Inputs!$C$5:$C$190=$B35)*ISNUMBER(INDEX(Inputs!$K$5:$AJ$190,0,MATCH(O$2,Inputs!$K$4:$AJ$4,0))))+SUMPRODUCT((Inputs!$E$5:$E$190=$B35)*ISNUMBER(INDEX(Inputs!$K$5:$AJ$190,0,MATCH(O$2,Inputs!$K$4:$AJ$4,0))))=0,NA(),SUMPRODUCT((Inputs!$A$5:$A$190=$B35)*Inputs!$B$5:$B$190*(((Inputs!$G$5:$G$190="moeda")+(Inputs!$G$5:$G$190="acoes"))*Inputs!$B$1+((Inputs!$G$5:$G$190&lt;&gt;"moeda")*(Inputs!$G$5:$G$190&lt;&gt;"acoes")))*INDEX(Inputs!$K$5:$AJ$190,0,MATCH(O$2,Inputs!$K$4:$AJ$4,0)))+SUMPRODUCT((Inputs!$C$5:$C$190=$B35)*Inputs!$D$5:$D$190*(((Inputs!$G$5:$G$190="moeda")+(Inputs!$G$5:$G$190="acoes"))*Inputs!$B$1+((Inputs!$G$5:$G$190&lt;&gt;"moeda")*(Inputs!$G$5:$G$190&lt;&gt;"acoes")))*INDEX(Inputs!$K$5:$AJ$190,0,MATCH(O$2,Inputs!$K$4:$AJ$4,0)))+SUMPRODUCT((Inputs!$E$5:$E$190=$B35)*Inputs!$F$5:$F$190*(((Inputs!$G$5:$G$190="moeda")+(Inputs!$G$5:$G$190="acoes"))*Inputs!$B$1+((Inputs!$G$5:$G$190&lt;&gt;"moeda")*(Inputs!$G$5:$G$190&lt;&gt;"acoes")))*INDEX(Inputs!$K$5:$AJ$190,0,MATCH(O$2,Inputs!$K$4:$AJ$4,0)))))</f>
        <v>35947.9576330166</v>
      </c>
      <c r="P35" s="6">
        <f>IF(ISNA(MATCH(P$2,Inputs!$K$4:$AJ$4,0)),NA(),IF(SUMPRODUCT((Inputs!$A$5:$A$190=$B35)*ISNUMBER(INDEX(Inputs!$K$5:$AJ$190,0,MATCH(P$2,Inputs!$K$4:$AJ$4,0))))+SUMPRODUCT((Inputs!$C$5:$C$190=$B35)*ISNUMBER(INDEX(Inputs!$K$5:$AJ$190,0,MATCH(P$2,Inputs!$K$4:$AJ$4,0))))+SUMPRODUCT((Inputs!$E$5:$E$190=$B35)*ISNUMBER(INDEX(Inputs!$K$5:$AJ$190,0,MATCH(P$2,Inputs!$K$4:$AJ$4,0))))=0,NA(),SUMPRODUCT((Inputs!$A$5:$A$190=$B35)*Inputs!$B$5:$B$190*(((Inputs!$G$5:$G$190="moeda")+(Inputs!$G$5:$G$190="acoes"))*Inputs!$B$1+((Inputs!$G$5:$G$190&lt;&gt;"moeda")*(Inputs!$G$5:$G$190&lt;&gt;"acoes")))*INDEX(Inputs!$K$5:$AJ$190,0,MATCH(P$2,Inputs!$K$4:$AJ$4,0)))+SUMPRODUCT((Inputs!$C$5:$C$190=$B35)*Inputs!$D$5:$D$190*(((Inputs!$G$5:$G$190="moeda")+(Inputs!$G$5:$G$190="acoes"))*Inputs!$B$1+((Inputs!$G$5:$G$190&lt;&gt;"moeda")*(Inputs!$G$5:$G$190&lt;&gt;"acoes")))*INDEX(Inputs!$K$5:$AJ$190,0,MATCH(P$2,Inputs!$K$4:$AJ$4,0)))+SUMPRODUCT((Inputs!$E$5:$E$190=$B35)*Inputs!$F$5:$F$190*(((Inputs!$G$5:$G$190="moeda")+(Inputs!$G$5:$G$190="acoes"))*Inputs!$B$1+((Inputs!$G$5:$G$190&lt;&gt;"moeda")*(Inputs!$G$5:$G$190&lt;&gt;"acoes")))*INDEX(Inputs!$K$5:$AJ$190,0,MATCH(P$2,Inputs!$K$4:$AJ$4,0)))))</f>
        <v>36140.7602137683</v>
      </c>
      <c r="Q35" s="6">
        <f>IF(ISNA(MATCH(Q$2,Inputs!$K$4:$AJ$4,0)),NA(),IF(SUMPRODUCT((Inputs!$A$5:$A$190=$B35)*ISNUMBER(INDEX(Inputs!$K$5:$AJ$190,0,MATCH(Q$2,Inputs!$K$4:$AJ$4,0))))+SUMPRODUCT((Inputs!$C$5:$C$190=$B35)*ISNUMBER(INDEX(Inputs!$K$5:$AJ$190,0,MATCH(Q$2,Inputs!$K$4:$AJ$4,0))))+SUMPRODUCT((Inputs!$E$5:$E$190=$B35)*ISNUMBER(INDEX(Inputs!$K$5:$AJ$190,0,MATCH(Q$2,Inputs!$K$4:$AJ$4,0))))=0,NA(),SUMPRODUCT((Inputs!$A$5:$A$190=$B35)*Inputs!$B$5:$B$190*(((Inputs!$G$5:$G$190="moeda")+(Inputs!$G$5:$G$190="acoes"))*Inputs!$B$1+((Inputs!$G$5:$G$190&lt;&gt;"moeda")*(Inputs!$G$5:$G$190&lt;&gt;"acoes")))*INDEX(Inputs!$K$5:$AJ$190,0,MATCH(Q$2,Inputs!$K$4:$AJ$4,0)))+SUMPRODUCT((Inputs!$C$5:$C$190=$B35)*Inputs!$D$5:$D$190*(((Inputs!$G$5:$G$190="moeda")+(Inputs!$G$5:$G$190="acoes"))*Inputs!$B$1+((Inputs!$G$5:$G$190&lt;&gt;"moeda")*(Inputs!$G$5:$G$190&lt;&gt;"acoes")))*INDEX(Inputs!$K$5:$AJ$190,0,MATCH(Q$2,Inputs!$K$4:$AJ$4,0)))+SUMPRODUCT((Inputs!$E$5:$E$190=$B35)*Inputs!$F$5:$F$190*(((Inputs!$G$5:$G$190="moeda")+(Inputs!$G$5:$G$190="acoes"))*Inputs!$B$1+((Inputs!$G$5:$G$190&lt;&gt;"moeda")*(Inputs!$G$5:$G$190&lt;&gt;"acoes")))*INDEX(Inputs!$K$5:$AJ$190,0,MATCH(Q$2,Inputs!$K$4:$AJ$4,0)))))</f>
        <v>39620.6858843622</v>
      </c>
      <c r="R35" s="3">
        <f>Q35</f>
        <v>39620.6858843622</v>
      </c>
      <c r="S35" s="6">
        <f>IF(ISNA(MATCH(S$2,Inputs!$K$4:$AJ$4,0)),NA(),IF(SUMPRODUCT((Inputs!$A$5:$A$190=$B35)*ISNUMBER(INDEX(Inputs!$K$5:$AJ$190,0,MATCH(S$2,Inputs!$K$4:$AJ$4,0))))+SUMPRODUCT((Inputs!$C$5:$C$190=$B35)*ISNUMBER(INDEX(Inputs!$K$5:$AJ$190,0,MATCH(S$2,Inputs!$K$4:$AJ$4,0))))+SUMPRODUCT((Inputs!$E$5:$E$190=$B35)*ISNUMBER(INDEX(Inputs!$K$5:$AJ$190,0,MATCH(S$2,Inputs!$K$4:$AJ$4,0))))=0,NA(),SUMPRODUCT((Inputs!$A$5:$A$190=$B35)*Inputs!$B$5:$B$190*(((Inputs!$G$5:$G$190="moeda")+(Inputs!$G$5:$G$190="acoes"))*Inputs!$B$1+((Inputs!$G$5:$G$190&lt;&gt;"moeda")*(Inputs!$G$5:$G$190&lt;&gt;"acoes")))*INDEX(Inputs!$K$5:$AJ$190,0,MATCH(S$2,Inputs!$K$4:$AJ$4,0)))+SUMPRODUCT((Inputs!$C$5:$C$190=$B35)*Inputs!$D$5:$D$190*(((Inputs!$G$5:$G$190="moeda")+(Inputs!$G$5:$G$190="acoes"))*Inputs!$B$1+((Inputs!$G$5:$G$190&lt;&gt;"moeda")*(Inputs!$G$5:$G$190&lt;&gt;"acoes")))*INDEX(Inputs!$K$5:$AJ$190,0,MATCH(S$2,Inputs!$K$4:$AJ$4,0)))+SUMPRODUCT((Inputs!$E$5:$E$190=$B35)*Inputs!$F$5:$F$190*(((Inputs!$G$5:$G$190="moeda")+(Inputs!$G$5:$G$190="acoes"))*Inputs!$B$1+((Inputs!$G$5:$G$190&lt;&gt;"moeda")*(Inputs!$G$5:$G$190&lt;&gt;"acoes")))*INDEX(Inputs!$K$5:$AJ$190,0,MATCH(S$2,Inputs!$K$4:$AJ$4,0)))))</f>
        <v>42338.7154457258</v>
      </c>
      <c r="T35" s="6">
        <f>IF(ISNA(MATCH(T$2,Inputs!$K$4:$AJ$4,0)),NA(),IF(SUMPRODUCT((Inputs!$A$5:$A$190=$B35)*ISNUMBER(INDEX(Inputs!$K$5:$AJ$190,0,MATCH(T$2,Inputs!$K$4:$AJ$4,0))))+SUMPRODUCT((Inputs!$C$5:$C$190=$B35)*ISNUMBER(INDEX(Inputs!$K$5:$AJ$190,0,MATCH(T$2,Inputs!$K$4:$AJ$4,0))))+SUMPRODUCT((Inputs!$E$5:$E$190=$B35)*ISNUMBER(INDEX(Inputs!$K$5:$AJ$190,0,MATCH(T$2,Inputs!$K$4:$AJ$4,0))))=0,NA(),SUMPRODUCT((Inputs!$A$5:$A$190=$B35)*Inputs!$B$5:$B$190*(((Inputs!$G$5:$G$190="moeda")+(Inputs!$G$5:$G$190="acoes"))*Inputs!$B$1+((Inputs!$G$5:$G$190&lt;&gt;"moeda")*(Inputs!$G$5:$G$190&lt;&gt;"acoes")))*INDEX(Inputs!$K$5:$AJ$190,0,MATCH(T$2,Inputs!$K$4:$AJ$4,0)))+SUMPRODUCT((Inputs!$C$5:$C$190=$B35)*Inputs!$D$5:$D$190*(((Inputs!$G$5:$G$190="moeda")+(Inputs!$G$5:$G$190="acoes"))*Inputs!$B$1+((Inputs!$G$5:$G$190&lt;&gt;"moeda")*(Inputs!$G$5:$G$190&lt;&gt;"acoes")))*INDEX(Inputs!$K$5:$AJ$190,0,MATCH(T$2,Inputs!$K$4:$AJ$4,0)))+SUMPRODUCT((Inputs!$E$5:$E$190=$B35)*Inputs!$F$5:$F$190*(((Inputs!$G$5:$G$190="moeda")+(Inputs!$G$5:$G$190="acoes"))*Inputs!$B$1+((Inputs!$G$5:$G$190&lt;&gt;"moeda")*(Inputs!$G$5:$G$190&lt;&gt;"acoes")))*INDEX(Inputs!$K$5:$AJ$190,0,MATCH(T$2,Inputs!$K$4:$AJ$4,0)))))</f>
        <v>43104.3996835296</v>
      </c>
      <c r="U35" s="6">
        <f>IF(ISNA(MATCH(U$2,Inputs!$K$4:$AJ$4,0)),NA(),IF(SUMPRODUCT((Inputs!$A$5:$A$190=$B35)*ISNUMBER(INDEX(Inputs!$K$5:$AJ$190,0,MATCH(U$2,Inputs!$K$4:$AJ$4,0))))+SUMPRODUCT((Inputs!$C$5:$C$190=$B35)*ISNUMBER(INDEX(Inputs!$K$5:$AJ$190,0,MATCH(U$2,Inputs!$K$4:$AJ$4,0))))+SUMPRODUCT((Inputs!$E$5:$E$190=$B35)*ISNUMBER(INDEX(Inputs!$K$5:$AJ$190,0,MATCH(U$2,Inputs!$K$4:$AJ$4,0))))=0,NA(),SUMPRODUCT((Inputs!$A$5:$A$190=$B35)*Inputs!$B$5:$B$190*(((Inputs!$G$5:$G$190="moeda")+(Inputs!$G$5:$G$190="acoes"))*Inputs!$B$1+((Inputs!$G$5:$G$190&lt;&gt;"moeda")*(Inputs!$G$5:$G$190&lt;&gt;"acoes")))*INDEX(Inputs!$K$5:$AJ$190,0,MATCH(U$2,Inputs!$K$4:$AJ$4,0)))+SUMPRODUCT((Inputs!$C$5:$C$190=$B35)*Inputs!$D$5:$D$190*(((Inputs!$G$5:$G$190="moeda")+(Inputs!$G$5:$G$190="acoes"))*Inputs!$B$1+((Inputs!$G$5:$G$190&lt;&gt;"moeda")*(Inputs!$G$5:$G$190&lt;&gt;"acoes")))*INDEX(Inputs!$K$5:$AJ$190,0,MATCH(U$2,Inputs!$K$4:$AJ$4,0)))+SUMPRODUCT((Inputs!$E$5:$E$190=$B35)*Inputs!$F$5:$F$190*(((Inputs!$G$5:$G$190="moeda")+(Inputs!$G$5:$G$190="acoes"))*Inputs!$B$1+((Inputs!$G$5:$G$190&lt;&gt;"moeda")*(Inputs!$G$5:$G$190&lt;&gt;"acoes")))*INDEX(Inputs!$K$5:$AJ$190,0,MATCH(U$2,Inputs!$K$4:$AJ$4,0)))))</f>
        <v>46165.0389215155</v>
      </c>
      <c r="V35" s="6">
        <f>IF(ISNA(MATCH(V$2,Inputs!$K$4:$AJ$4,0)),NA(),IF(SUMPRODUCT((Inputs!$A$5:$A$190=$B35)*ISNUMBER(INDEX(Inputs!$K$5:$AJ$190,0,MATCH(V$2,Inputs!$K$4:$AJ$4,0))))+SUMPRODUCT((Inputs!$C$5:$C$190=$B35)*ISNUMBER(INDEX(Inputs!$K$5:$AJ$190,0,MATCH(V$2,Inputs!$K$4:$AJ$4,0))))+SUMPRODUCT((Inputs!$E$5:$E$190=$B35)*ISNUMBER(INDEX(Inputs!$K$5:$AJ$190,0,MATCH(V$2,Inputs!$K$4:$AJ$4,0))))=0,NA(),SUMPRODUCT((Inputs!$A$5:$A$190=$B35)*Inputs!$B$5:$B$190*(((Inputs!$G$5:$G$190="moeda")+(Inputs!$G$5:$G$190="acoes"))*Inputs!$B$1+((Inputs!$G$5:$G$190&lt;&gt;"moeda")*(Inputs!$G$5:$G$190&lt;&gt;"acoes")))*INDEX(Inputs!$K$5:$AJ$190,0,MATCH(V$2,Inputs!$K$4:$AJ$4,0)))+SUMPRODUCT((Inputs!$C$5:$C$190=$B35)*Inputs!$D$5:$D$190*(((Inputs!$G$5:$G$190="moeda")+(Inputs!$G$5:$G$190="acoes"))*Inputs!$B$1+((Inputs!$G$5:$G$190&lt;&gt;"moeda")*(Inputs!$G$5:$G$190&lt;&gt;"acoes")))*INDEX(Inputs!$K$5:$AJ$190,0,MATCH(V$2,Inputs!$K$4:$AJ$4,0)))+SUMPRODUCT((Inputs!$E$5:$E$190=$B35)*Inputs!$F$5:$F$190*(((Inputs!$G$5:$G$190="moeda")+(Inputs!$G$5:$G$190="acoes"))*Inputs!$B$1+((Inputs!$G$5:$G$190&lt;&gt;"moeda")*(Inputs!$G$5:$G$190&lt;&gt;"acoes")))*INDEX(Inputs!$K$5:$AJ$190,0,MATCH(V$2,Inputs!$K$4:$AJ$4,0)))))</f>
        <v>47635.4360162</v>
      </c>
      <c r="W35" s="3">
        <f>V35</f>
        <v>47635.4360162</v>
      </c>
      <c r="X35" s="6">
        <f>IF(ISNA(MATCH(X$2,Inputs!$K$4:$AJ$4,0)),NA(),IF(SUMPRODUCT((Inputs!$A$5:$A$190=$B35)*ISNUMBER(INDEX(Inputs!$K$5:$AJ$190,0,MATCH(X$2,Inputs!$K$4:$AJ$4,0))))+SUMPRODUCT((Inputs!$C$5:$C$190=$B35)*ISNUMBER(INDEX(Inputs!$K$5:$AJ$190,0,MATCH(X$2,Inputs!$K$4:$AJ$4,0))))+SUMPRODUCT((Inputs!$E$5:$E$190=$B35)*ISNUMBER(INDEX(Inputs!$K$5:$AJ$190,0,MATCH(X$2,Inputs!$K$4:$AJ$4,0))))=0,NA(),SUMPRODUCT((Inputs!$A$5:$A$190=$B35)*Inputs!$B$5:$B$190*(((Inputs!$G$5:$G$190="moeda")+(Inputs!$G$5:$G$190="acoes"))*Inputs!$B$1+((Inputs!$G$5:$G$190&lt;&gt;"moeda")*(Inputs!$G$5:$G$190&lt;&gt;"acoes")))*INDEX(Inputs!$K$5:$AJ$190,0,MATCH(X$2,Inputs!$K$4:$AJ$4,0)))+SUMPRODUCT((Inputs!$C$5:$C$190=$B35)*Inputs!$D$5:$D$190*(((Inputs!$G$5:$G$190="moeda")+(Inputs!$G$5:$G$190="acoes"))*Inputs!$B$1+((Inputs!$G$5:$G$190&lt;&gt;"moeda")*(Inputs!$G$5:$G$190&lt;&gt;"acoes")))*INDEX(Inputs!$K$5:$AJ$190,0,MATCH(X$2,Inputs!$K$4:$AJ$4,0)))+SUMPRODUCT((Inputs!$E$5:$E$190=$B35)*Inputs!$F$5:$F$190*(((Inputs!$G$5:$G$190="moeda")+(Inputs!$G$5:$G$190="acoes"))*Inputs!$B$1+((Inputs!$G$5:$G$190&lt;&gt;"moeda")*(Inputs!$G$5:$G$190&lt;&gt;"acoes")))*INDEX(Inputs!$K$5:$AJ$190,0,MATCH(X$2,Inputs!$K$4:$AJ$4,0)))))</f>
        <v>48099.6743609</v>
      </c>
      <c r="Y35" s="6">
        <f>IF(ISNA(MATCH(Y$2,Inputs!$K$4:$AJ$4,0)),NA(),IF(SUMPRODUCT((Inputs!$A$5:$A$190=$B35)*ISNUMBER(INDEX(Inputs!$K$5:$AJ$190,0,MATCH(Y$2,Inputs!$K$4:$AJ$4,0))))+SUMPRODUCT((Inputs!$C$5:$C$190=$B35)*ISNUMBER(INDEX(Inputs!$K$5:$AJ$190,0,MATCH(Y$2,Inputs!$K$4:$AJ$4,0))))+SUMPRODUCT((Inputs!$E$5:$E$190=$B35)*ISNUMBER(INDEX(Inputs!$K$5:$AJ$190,0,MATCH(Y$2,Inputs!$K$4:$AJ$4,0))))=0,NA(),SUMPRODUCT((Inputs!$A$5:$A$190=$B35)*Inputs!$B$5:$B$190*(((Inputs!$G$5:$G$190="moeda")+(Inputs!$G$5:$G$190="acoes"))*Inputs!$B$1+((Inputs!$G$5:$G$190&lt;&gt;"moeda")*(Inputs!$G$5:$G$190&lt;&gt;"acoes")))*INDEX(Inputs!$K$5:$AJ$190,0,MATCH(Y$2,Inputs!$K$4:$AJ$4,0)))+SUMPRODUCT((Inputs!$C$5:$C$190=$B35)*Inputs!$D$5:$D$190*(((Inputs!$G$5:$G$190="moeda")+(Inputs!$G$5:$G$190="acoes"))*Inputs!$B$1+((Inputs!$G$5:$G$190&lt;&gt;"moeda")*(Inputs!$G$5:$G$190&lt;&gt;"acoes")))*INDEX(Inputs!$K$5:$AJ$190,0,MATCH(Y$2,Inputs!$K$4:$AJ$4,0)))+SUMPRODUCT((Inputs!$E$5:$E$190=$B35)*Inputs!$F$5:$F$190*(((Inputs!$G$5:$G$190="moeda")+(Inputs!$G$5:$G$190="acoes"))*Inputs!$B$1+((Inputs!$G$5:$G$190&lt;&gt;"moeda")*(Inputs!$G$5:$G$190&lt;&gt;"acoes")))*INDEX(Inputs!$K$5:$AJ$190,0,MATCH(Y$2,Inputs!$K$4:$AJ$4,0)))))</f>
        <v>47635.92752496</v>
      </c>
      <c r="Z35" s="6">
        <f>IF(ISNA(MATCH(Z$2,Inputs!$K$4:$AJ$4,0)),NA(),IF(SUMPRODUCT((Inputs!$A$5:$A$190=$B35)*ISNUMBER(INDEX(Inputs!$K$5:$AJ$190,0,MATCH(Z$2,Inputs!$K$4:$AJ$4,0))))+SUMPRODUCT((Inputs!$C$5:$C$190=$B35)*ISNUMBER(INDEX(Inputs!$K$5:$AJ$190,0,MATCH(Z$2,Inputs!$K$4:$AJ$4,0))))+SUMPRODUCT((Inputs!$E$5:$E$190=$B35)*ISNUMBER(INDEX(Inputs!$K$5:$AJ$190,0,MATCH(Z$2,Inputs!$K$4:$AJ$4,0))))=0,NA(),SUMPRODUCT((Inputs!$A$5:$A$190=$B35)*Inputs!$B$5:$B$190*(((Inputs!$G$5:$G$190="moeda")+(Inputs!$G$5:$G$190="acoes"))*Inputs!$B$1+((Inputs!$G$5:$G$190&lt;&gt;"moeda")*(Inputs!$G$5:$G$190&lt;&gt;"acoes")))*INDEX(Inputs!$K$5:$AJ$190,0,MATCH(Z$2,Inputs!$K$4:$AJ$4,0)))+SUMPRODUCT((Inputs!$C$5:$C$190=$B35)*Inputs!$D$5:$D$190*(((Inputs!$G$5:$G$190="moeda")+(Inputs!$G$5:$G$190="acoes"))*Inputs!$B$1+((Inputs!$G$5:$G$190&lt;&gt;"moeda")*(Inputs!$G$5:$G$190&lt;&gt;"acoes")))*INDEX(Inputs!$K$5:$AJ$190,0,MATCH(Z$2,Inputs!$K$4:$AJ$4,0)))+SUMPRODUCT((Inputs!$E$5:$E$190=$B35)*Inputs!$F$5:$F$190*(((Inputs!$G$5:$G$190="moeda")+(Inputs!$G$5:$G$190="acoes"))*Inputs!$B$1+((Inputs!$G$5:$G$190&lt;&gt;"moeda")*(Inputs!$G$5:$G$190&lt;&gt;"acoes")))*INDEX(Inputs!$K$5:$AJ$190,0,MATCH(Z$2,Inputs!$K$4:$AJ$4,0)))))</f>
        <v>45591.68362549</v>
      </c>
      <c r="AA35" s="6">
        <f>IF(ISNA(MATCH(AA$2,Inputs!$K$4:$AJ$4,0)),NA(),IF(SUMPRODUCT((Inputs!$A$5:$A$190=$B35)*ISNUMBER(INDEX(Inputs!$K$5:$AJ$190,0,MATCH(AA$2,Inputs!$K$4:$AJ$4,0))))+SUMPRODUCT((Inputs!$C$5:$C$190=$B35)*ISNUMBER(INDEX(Inputs!$K$5:$AJ$190,0,MATCH(AA$2,Inputs!$K$4:$AJ$4,0))))+SUMPRODUCT((Inputs!$E$5:$E$190=$B35)*ISNUMBER(INDEX(Inputs!$K$5:$AJ$190,0,MATCH(AA$2,Inputs!$K$4:$AJ$4,0))))=0,NA(),SUMPRODUCT((Inputs!$A$5:$A$190=$B35)*Inputs!$B$5:$B$190*(((Inputs!$G$5:$G$190="moeda")+(Inputs!$G$5:$G$190="acoes"))*Inputs!$B$1+((Inputs!$G$5:$G$190&lt;&gt;"moeda")*(Inputs!$G$5:$G$190&lt;&gt;"acoes")))*INDEX(Inputs!$K$5:$AJ$190,0,MATCH(AA$2,Inputs!$K$4:$AJ$4,0)))+SUMPRODUCT((Inputs!$C$5:$C$190=$B35)*Inputs!$D$5:$D$190*(((Inputs!$G$5:$G$190="moeda")+(Inputs!$G$5:$G$190="acoes"))*Inputs!$B$1+((Inputs!$G$5:$G$190&lt;&gt;"moeda")*(Inputs!$G$5:$G$190&lt;&gt;"acoes")))*INDEX(Inputs!$K$5:$AJ$190,0,MATCH(AA$2,Inputs!$K$4:$AJ$4,0)))+SUMPRODUCT((Inputs!$E$5:$E$190=$B35)*Inputs!$F$5:$F$190*(((Inputs!$G$5:$G$190="moeda")+(Inputs!$G$5:$G$190="acoes"))*Inputs!$B$1+((Inputs!$G$5:$G$190&lt;&gt;"moeda")*(Inputs!$G$5:$G$190&lt;&gt;"acoes")))*INDEX(Inputs!$K$5:$AJ$190,0,MATCH(AA$2,Inputs!$K$4:$AJ$4,0)))))</f>
        <v>46614.11133361</v>
      </c>
      <c r="AB35" s="3">
        <f>AA35</f>
        <v>46614.11133361</v>
      </c>
      <c r="AC35" s="6">
        <f>IF(ISNA(MATCH(AC$2,Inputs!$K$4:$AJ$4,0)),NA(),IF(SUMPRODUCT((Inputs!$A$5:$A$190=$B35)*ISNUMBER(INDEX(Inputs!$K$5:$AJ$190,0,MATCH(AC$2,Inputs!$K$4:$AJ$4,0))))+SUMPRODUCT((Inputs!$C$5:$C$190=$B35)*ISNUMBER(INDEX(Inputs!$K$5:$AJ$190,0,MATCH(AC$2,Inputs!$K$4:$AJ$4,0))))+SUMPRODUCT((Inputs!$E$5:$E$190=$B35)*ISNUMBER(INDEX(Inputs!$K$5:$AJ$190,0,MATCH(AC$2,Inputs!$K$4:$AJ$4,0))))=0,NA(),SUMPRODUCT((Inputs!$A$5:$A$190=$B35)*Inputs!$B$5:$B$190*(((Inputs!$G$5:$G$190="moeda")+(Inputs!$G$5:$G$190="acoes"))*Inputs!$B$1+((Inputs!$G$5:$G$190&lt;&gt;"moeda")*(Inputs!$G$5:$G$190&lt;&gt;"acoes")))*INDEX(Inputs!$K$5:$AJ$190,0,MATCH(AC$2,Inputs!$K$4:$AJ$4,0)))+SUMPRODUCT((Inputs!$C$5:$C$190=$B35)*Inputs!$D$5:$D$190*(((Inputs!$G$5:$G$190="moeda")+(Inputs!$G$5:$G$190="acoes"))*Inputs!$B$1+((Inputs!$G$5:$G$190&lt;&gt;"moeda")*(Inputs!$G$5:$G$190&lt;&gt;"acoes")))*INDEX(Inputs!$K$5:$AJ$190,0,MATCH(AC$2,Inputs!$K$4:$AJ$4,0)))+SUMPRODUCT((Inputs!$E$5:$E$190=$B35)*Inputs!$F$5:$F$190*(((Inputs!$G$5:$G$190="moeda")+(Inputs!$G$5:$G$190="acoes"))*Inputs!$B$1+((Inputs!$G$5:$G$190&lt;&gt;"moeda")*(Inputs!$G$5:$G$190&lt;&gt;"acoes")))*INDEX(Inputs!$K$5:$AJ$190,0,MATCH(AC$2,Inputs!$K$4:$AJ$4,0)))))</f>
        <v>49031.23543621</v>
      </c>
      <c r="AD35" s="6">
        <f>IF(ISNA(MATCH(AD$2,Inputs!$K$4:$AJ$4,0)),NA(),IF(SUMPRODUCT((Inputs!$A$5:$A$190=$B35)*ISNUMBER(INDEX(Inputs!$K$5:$AJ$190,0,MATCH(AD$2,Inputs!$K$4:$AJ$4,0))))+SUMPRODUCT((Inputs!$C$5:$C$190=$B35)*ISNUMBER(INDEX(Inputs!$K$5:$AJ$190,0,MATCH(AD$2,Inputs!$K$4:$AJ$4,0))))+SUMPRODUCT((Inputs!$E$5:$E$190=$B35)*ISNUMBER(INDEX(Inputs!$K$5:$AJ$190,0,MATCH(AD$2,Inputs!$K$4:$AJ$4,0))))=0,NA(),SUMPRODUCT((Inputs!$A$5:$A$190=$B35)*Inputs!$B$5:$B$190*(((Inputs!$G$5:$G$190="moeda")+(Inputs!$G$5:$G$190="acoes"))*Inputs!$B$1+((Inputs!$G$5:$G$190&lt;&gt;"moeda")*(Inputs!$G$5:$G$190&lt;&gt;"acoes")))*INDEX(Inputs!$K$5:$AJ$190,0,MATCH(AD$2,Inputs!$K$4:$AJ$4,0)))+SUMPRODUCT((Inputs!$C$5:$C$190=$B35)*Inputs!$D$5:$D$190*(((Inputs!$G$5:$G$190="moeda")+(Inputs!$G$5:$G$190="acoes"))*Inputs!$B$1+((Inputs!$G$5:$G$190&lt;&gt;"moeda")*(Inputs!$G$5:$G$190&lt;&gt;"acoes")))*INDEX(Inputs!$K$5:$AJ$190,0,MATCH(AD$2,Inputs!$K$4:$AJ$4,0)))+SUMPRODUCT((Inputs!$E$5:$E$190=$B35)*Inputs!$F$5:$F$190*(((Inputs!$G$5:$G$190="moeda")+(Inputs!$G$5:$G$190="acoes"))*Inputs!$B$1+((Inputs!$G$5:$G$190&lt;&gt;"moeda")*(Inputs!$G$5:$G$190&lt;&gt;"acoes")))*INDEX(Inputs!$K$5:$AJ$190,0,MATCH(AD$2,Inputs!$K$4:$AJ$4,0)))))</f>
        <v>48591.51937482</v>
      </c>
      <c r="AE35" s="6" t="e">
        <f>IF(ISNA(MATCH(AE$2,Inputs!$K$4:$AJ$4,0)),NA(),IF(SUMPRODUCT((Inputs!$A$5:$A$190=$B35)*ISNUMBER(INDEX(Inputs!$K$5:$AJ$190,0,MATCH(AE$2,Inputs!$K$4:$AJ$4,0))))+SUMPRODUCT((Inputs!$C$5:$C$190=$B35)*ISNUMBER(INDEX(Inputs!$K$5:$AJ$190,0,MATCH(AE$2,Inputs!$K$4:$AJ$4,0))))+SUMPRODUCT((Inputs!$E$5:$E$190=$B35)*ISNUMBER(INDEX(Inputs!$K$5:$AJ$190,0,MATCH(AE$2,Inputs!$K$4:$AJ$4,0))))=0,NA(),SUMPRODUCT((Inputs!$A$5:$A$190=$B35)*Inputs!$B$5:$B$190*(((Inputs!$G$5:$G$190="moeda")+(Inputs!$G$5:$G$190="acoes"))*Inputs!$B$1+((Inputs!$G$5:$G$190&lt;&gt;"moeda")*(Inputs!$G$5:$G$190&lt;&gt;"acoes")))*INDEX(Inputs!$K$5:$AJ$190,0,MATCH(AE$2,Inputs!$K$4:$AJ$4,0)))+SUMPRODUCT((Inputs!$C$5:$C$190=$B35)*Inputs!$D$5:$D$190*(((Inputs!$G$5:$G$190="moeda")+(Inputs!$G$5:$G$190="acoes"))*Inputs!$B$1+((Inputs!$G$5:$G$190&lt;&gt;"moeda")*(Inputs!$G$5:$G$190&lt;&gt;"acoes")))*INDEX(Inputs!$K$5:$AJ$190,0,MATCH(AE$2,Inputs!$K$4:$AJ$4,0)))+SUMPRODUCT((Inputs!$E$5:$E$190=$B35)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35" s="6" t="e">
        <f>IF(ISNA(MATCH(AF$2,Inputs!$K$4:$AJ$4,0)),NA(),IF(SUMPRODUCT((Inputs!$A$5:$A$190=$B35)*ISNUMBER(INDEX(Inputs!$K$5:$AJ$190,0,MATCH(AF$2,Inputs!$K$4:$AJ$4,0))))+SUMPRODUCT((Inputs!$C$5:$C$190=$B35)*ISNUMBER(INDEX(Inputs!$K$5:$AJ$190,0,MATCH(AF$2,Inputs!$K$4:$AJ$4,0))))+SUMPRODUCT((Inputs!$E$5:$E$190=$B35)*ISNUMBER(INDEX(Inputs!$K$5:$AJ$190,0,MATCH(AF$2,Inputs!$K$4:$AJ$4,0))))=0,NA(),SUMPRODUCT((Inputs!$A$5:$A$190=$B35)*Inputs!$B$5:$B$190*(((Inputs!$G$5:$G$190="moeda")+(Inputs!$G$5:$G$190="acoes"))*Inputs!$B$1+((Inputs!$G$5:$G$190&lt;&gt;"moeda")*(Inputs!$G$5:$G$190&lt;&gt;"acoes")))*INDEX(Inputs!$K$5:$AJ$190,0,MATCH(AF$2,Inputs!$K$4:$AJ$4,0)))+SUMPRODUCT((Inputs!$C$5:$C$190=$B35)*Inputs!$D$5:$D$190*(((Inputs!$G$5:$G$190="moeda")+(Inputs!$G$5:$G$190="acoes"))*Inputs!$B$1+((Inputs!$G$5:$G$190&lt;&gt;"moeda")*(Inputs!$G$5:$G$190&lt;&gt;"acoes")))*INDEX(Inputs!$K$5:$AJ$190,0,MATCH(AF$2,Inputs!$K$4:$AJ$4,0)))+SUMPRODUCT((Inputs!$E$5:$E$190=$B35)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35" s="3" t="e">
        <f>AF35</f>
        <v>#N/A</v>
      </c>
      <c r="AH35" s="6">
        <f>IF(ISNA(MATCH(AH$2,Inputs!$K$4:$AJ$4,0)),NA(),IF(SUMPRODUCT((Inputs!$A$5:$A$190=$B35)*ISNUMBER(INDEX(Inputs!$K$5:$AJ$190,0,MATCH(AH$2,Inputs!$K$4:$AJ$4,0))))+SUMPRODUCT((Inputs!$C$5:$C$190=$B35)*ISNUMBER(INDEX(Inputs!$K$5:$AJ$190,0,MATCH(AH$2,Inputs!$K$4:$AJ$4,0))))+SUMPRODUCT((Inputs!$E$5:$E$190=$B35)*ISNUMBER(INDEX(Inputs!$K$5:$AJ$190,0,MATCH(AH$2,Inputs!$K$4:$AJ$4,0))))=0,NA(),SUMPRODUCT((Inputs!$A$5:$A$190=$B35)*Inputs!$B$5:$B$190*(((Inputs!$G$5:$G$190="moeda")+(Inputs!$G$5:$G$190="acoes"))*Inputs!$B$1+((Inputs!$G$5:$G$190&lt;&gt;"moeda")*(Inputs!$G$5:$G$190&lt;&gt;"acoes")))*INDEX(Inputs!$K$5:$AJ$190,0,MATCH(AH$2,Inputs!$K$4:$AJ$4,0)))+SUMPRODUCT((Inputs!$C$5:$C$190=$B35)*Inputs!$D$5:$D$190*(((Inputs!$G$5:$G$190="moeda")+(Inputs!$G$5:$G$190="acoes"))*Inputs!$B$1+((Inputs!$G$5:$G$190&lt;&gt;"moeda")*(Inputs!$G$5:$G$190&lt;&gt;"acoes")))*INDEX(Inputs!$K$5:$AJ$190,0,MATCH(AH$2,Inputs!$K$4:$AJ$4,0)))+SUMPRODUCT((Inputs!$E$5:$E$190=$B35)*Inputs!$F$5:$F$190*(((Inputs!$G$5:$G$190="moeda")+(Inputs!$G$5:$G$190="acoes"))*Inputs!$B$1+((Inputs!$G$5:$G$190&lt;&gt;"moeda")*(Inputs!$G$5:$G$190&lt;&gt;"acoes")))*INDEX(Inputs!$K$5:$AJ$190,0,MATCH(AH$2,Inputs!$K$4:$AJ$4,0)))))</f>
        <v>13580.09561017</v>
      </c>
      <c r="AI35" s="6">
        <f>IF(ISNA(MATCH(AI$2,Inputs!$K$4:$AJ$4,0)),NA(),IF(SUMPRODUCT((Inputs!$A$5:$A$190=$B35)*ISNUMBER(INDEX(Inputs!$K$5:$AJ$190,0,MATCH(AI$2,Inputs!$K$4:$AJ$4,0))))+SUMPRODUCT((Inputs!$C$5:$C$190=$B35)*ISNUMBER(INDEX(Inputs!$K$5:$AJ$190,0,MATCH(AI$2,Inputs!$K$4:$AJ$4,0))))+SUMPRODUCT((Inputs!$E$5:$E$190=$B35)*ISNUMBER(INDEX(Inputs!$K$5:$AJ$190,0,MATCH(AI$2,Inputs!$K$4:$AJ$4,0))))=0,NA(),SUMPRODUCT((Inputs!$A$5:$A$190=$B35)*Inputs!$B$5:$B$190*(((Inputs!$G$5:$G$190="moeda")+(Inputs!$G$5:$G$190="acoes"))*Inputs!$B$1+((Inputs!$G$5:$G$190&lt;&gt;"moeda")*(Inputs!$G$5:$G$190&lt;&gt;"acoes")))*INDEX(Inputs!$K$5:$AJ$190,0,MATCH(AI$2,Inputs!$K$4:$AJ$4,0)))+SUMPRODUCT((Inputs!$C$5:$C$190=$B35)*Inputs!$D$5:$D$190*(((Inputs!$G$5:$G$190="moeda")+(Inputs!$G$5:$G$190="acoes"))*Inputs!$B$1+((Inputs!$G$5:$G$190&lt;&gt;"moeda")*(Inputs!$G$5:$G$190&lt;&gt;"acoes")))*INDEX(Inputs!$K$5:$AJ$190,0,MATCH(AI$2,Inputs!$K$4:$AJ$4,0)))+SUMPRODUCT((Inputs!$E$5:$E$190=$B35)*Inputs!$F$5:$F$190*(((Inputs!$G$5:$G$190="moeda")+(Inputs!$G$5:$G$190="acoes"))*Inputs!$B$1+((Inputs!$G$5:$G$190&lt;&gt;"moeda")*(Inputs!$G$5:$G$190&lt;&gt;"acoes")))*INDEX(Inputs!$K$5:$AJ$190,0,MATCH(AI$2,Inputs!$K$4:$AJ$4,0)))))</f>
        <v>14826.09447334</v>
      </c>
      <c r="AJ35" s="6">
        <f>IF(ISNA(MATCH(AJ$2,Inputs!$K$4:$AJ$4,0)),NA(),IF(SUMPRODUCT((Inputs!$A$5:$A$190=$B35)*ISNUMBER(INDEX(Inputs!$K$5:$AJ$190,0,MATCH(AJ$2,Inputs!$K$4:$AJ$4,0))))+SUMPRODUCT((Inputs!$C$5:$C$190=$B35)*ISNUMBER(INDEX(Inputs!$K$5:$AJ$190,0,MATCH(AJ$2,Inputs!$K$4:$AJ$4,0))))+SUMPRODUCT((Inputs!$E$5:$E$190=$B35)*ISNUMBER(INDEX(Inputs!$K$5:$AJ$190,0,MATCH(AJ$2,Inputs!$K$4:$AJ$4,0))))=0,NA(),SUMPRODUCT((Inputs!$A$5:$A$190=$B35)*Inputs!$B$5:$B$190*(((Inputs!$G$5:$G$190="moeda")+(Inputs!$G$5:$G$190="acoes"))*Inputs!$B$1+((Inputs!$G$5:$G$190&lt;&gt;"moeda")*(Inputs!$G$5:$G$190&lt;&gt;"acoes")))*INDEX(Inputs!$K$5:$AJ$190,0,MATCH(AJ$2,Inputs!$K$4:$AJ$4,0)))+SUMPRODUCT((Inputs!$C$5:$C$190=$B35)*Inputs!$D$5:$D$190*(((Inputs!$G$5:$G$190="moeda")+(Inputs!$G$5:$G$190="acoes"))*Inputs!$B$1+((Inputs!$G$5:$G$190&lt;&gt;"moeda")*(Inputs!$G$5:$G$190&lt;&gt;"acoes")))*INDEX(Inputs!$K$5:$AJ$190,0,MATCH(AJ$2,Inputs!$K$4:$AJ$4,0)))+SUMPRODUCT((Inputs!$E$5:$E$190=$B35)*Inputs!$F$5:$F$190*(((Inputs!$G$5:$G$190="moeda")+(Inputs!$G$5:$G$190="acoes"))*Inputs!$B$1+((Inputs!$G$5:$G$190&lt;&gt;"moeda")*(Inputs!$G$5:$G$190&lt;&gt;"acoes")))*INDEX(Inputs!$K$5:$AJ$190,0,MATCH(AJ$2,Inputs!$K$4:$AJ$4,0)))))</f>
        <v>14400.851</v>
      </c>
      <c r="AK35" s="6">
        <f>IF(ISNA(MATCH(AK$2,Inputs!$K$4:$AJ$4,0)),NA(),IF(SUMPRODUCT((Inputs!$A$5:$A$190=$B35)*ISNUMBER(INDEX(Inputs!$K$5:$AJ$190,0,MATCH(AK$2,Inputs!$K$4:$AJ$4,0))))+SUMPRODUCT((Inputs!$C$5:$C$190=$B35)*ISNUMBER(INDEX(Inputs!$K$5:$AJ$190,0,MATCH(AK$2,Inputs!$K$4:$AJ$4,0))))+SUMPRODUCT((Inputs!$E$5:$E$190=$B35)*ISNUMBER(INDEX(Inputs!$K$5:$AJ$190,0,MATCH(AK$2,Inputs!$K$4:$AJ$4,0))))=0,NA(),SUMPRODUCT((Inputs!$A$5:$A$190=$B35)*Inputs!$B$5:$B$190*(((Inputs!$G$5:$G$190="moeda")+(Inputs!$G$5:$G$190="acoes"))*Inputs!$B$1+((Inputs!$G$5:$G$190&lt;&gt;"moeda")*(Inputs!$G$5:$G$190&lt;&gt;"acoes")))*INDEX(Inputs!$K$5:$AJ$190,0,MATCH(AK$2,Inputs!$K$4:$AJ$4,0)))+SUMPRODUCT((Inputs!$C$5:$C$190=$B35)*Inputs!$D$5:$D$190*(((Inputs!$G$5:$G$190="moeda")+(Inputs!$G$5:$G$190="acoes"))*Inputs!$B$1+((Inputs!$G$5:$G$190&lt;&gt;"moeda")*(Inputs!$G$5:$G$190&lt;&gt;"acoes")))*INDEX(Inputs!$K$5:$AJ$190,0,MATCH(AK$2,Inputs!$K$4:$AJ$4,0)))+SUMPRODUCT((Inputs!$E$5:$E$190=$B35)*Inputs!$F$5:$F$190*(((Inputs!$G$5:$G$190="moeda")+(Inputs!$G$5:$G$190="acoes"))*Inputs!$B$1+((Inputs!$G$5:$G$190&lt;&gt;"moeda")*(Inputs!$G$5:$G$190&lt;&gt;"acoes")))*INDEX(Inputs!$K$5:$AJ$190,0,MATCH(AK$2,Inputs!$K$4:$AJ$4,0)))))</f>
        <v>15197.12172876</v>
      </c>
      <c r="AL35" s="3">
        <f>AK35</f>
        <v>15197.12172876</v>
      </c>
    </row>
    <row r="36">
      <c r="B36" s="46" t="n">
        <v>31</v>
      </c>
      <c r="C36" s="26" t="inlineStr">
        <is>
          <t>Long term operating leases</t>
        </is>
      </c>
      <c r="D36" s="6">
        <f>IF(ISNA(MATCH(D$2,Inputs!$K$4:$AJ$4,0)),NA(),IF(SUMPRODUCT((Inputs!$A$5:$A$190=$B36)*ISNUMBER(INDEX(Inputs!$K$5:$AJ$190,0,MATCH(D$2,Inputs!$K$4:$AJ$4,0))))+SUMPRODUCT((Inputs!$C$5:$C$190=$B36)*ISNUMBER(INDEX(Inputs!$K$5:$AJ$190,0,MATCH(D$2,Inputs!$K$4:$AJ$4,0))))+SUMPRODUCT((Inputs!$E$5:$E$190=$B36)*ISNUMBER(INDEX(Inputs!$K$5:$AJ$190,0,MATCH(D$2,Inputs!$K$4:$AJ$4,0))))=0,NA(),SUMPRODUCT((Inputs!$A$5:$A$190=$B36)*Inputs!$B$5:$B$190*(((Inputs!$G$5:$G$190="moeda")+(Inputs!$G$5:$G$190="acoes"))*Inputs!$B$1+((Inputs!$G$5:$G$190&lt;&gt;"moeda")*(Inputs!$G$5:$G$190&lt;&gt;"acoes")))*INDEX(Inputs!$K$5:$AJ$190,0,MATCH(D$2,Inputs!$K$4:$AJ$4,0)))+SUMPRODUCT((Inputs!$C$5:$C$190=$B36)*Inputs!$D$5:$D$190*(((Inputs!$G$5:$G$190="moeda")+(Inputs!$G$5:$G$190="acoes"))*Inputs!$B$1+((Inputs!$G$5:$G$190&lt;&gt;"moeda")*(Inputs!$G$5:$G$190&lt;&gt;"acoes")))*INDEX(Inputs!$K$5:$AJ$190,0,MATCH(D$2,Inputs!$K$4:$AJ$4,0)))+SUMPRODUCT((Inputs!$E$5:$E$190=$B36)*Inputs!$F$5:$F$190*(((Inputs!$G$5:$G$190="moeda")+(Inputs!$G$5:$G$190="acoes"))*Inputs!$B$1+((Inputs!$G$5:$G$190&lt;&gt;"moeda")*(Inputs!$G$5:$G$190&lt;&gt;"acoes")))*INDEX(Inputs!$K$5:$AJ$190,0,MATCH(D$2,Inputs!$K$4:$AJ$4,0)))))</f>
        <v>506.1222104</v>
      </c>
      <c r="E36" s="6">
        <f>IF(ISNA(MATCH(E$2,Inputs!$K$4:$AJ$4,0)),NA(),IF(SUMPRODUCT((Inputs!$A$5:$A$190=$B36)*ISNUMBER(INDEX(Inputs!$K$5:$AJ$190,0,MATCH(E$2,Inputs!$K$4:$AJ$4,0))))+SUMPRODUCT((Inputs!$C$5:$C$190=$B36)*ISNUMBER(INDEX(Inputs!$K$5:$AJ$190,0,MATCH(E$2,Inputs!$K$4:$AJ$4,0))))+SUMPRODUCT((Inputs!$E$5:$E$190=$B36)*ISNUMBER(INDEX(Inputs!$K$5:$AJ$190,0,MATCH(E$2,Inputs!$K$4:$AJ$4,0))))=0,NA(),SUMPRODUCT((Inputs!$A$5:$A$190=$B36)*Inputs!$B$5:$B$190*(((Inputs!$G$5:$G$190="moeda")+(Inputs!$G$5:$G$190="acoes"))*Inputs!$B$1+((Inputs!$G$5:$G$190&lt;&gt;"moeda")*(Inputs!$G$5:$G$190&lt;&gt;"acoes")))*INDEX(Inputs!$K$5:$AJ$190,0,MATCH(E$2,Inputs!$K$4:$AJ$4,0)))+SUMPRODUCT((Inputs!$C$5:$C$190=$B36)*Inputs!$D$5:$D$190*(((Inputs!$G$5:$G$190="moeda")+(Inputs!$G$5:$G$190="acoes"))*Inputs!$B$1+((Inputs!$G$5:$G$190&lt;&gt;"moeda")*(Inputs!$G$5:$G$190&lt;&gt;"acoes")))*INDEX(Inputs!$K$5:$AJ$190,0,MATCH(E$2,Inputs!$K$4:$AJ$4,0)))+SUMPRODUCT((Inputs!$E$5:$E$190=$B36)*Inputs!$F$5:$F$190*(((Inputs!$G$5:$G$190="moeda")+(Inputs!$G$5:$G$190="acoes"))*Inputs!$B$1+((Inputs!$G$5:$G$190&lt;&gt;"moeda")*(Inputs!$G$5:$G$190&lt;&gt;"acoes")))*INDEX(Inputs!$K$5:$AJ$190,0,MATCH(E$2,Inputs!$K$4:$AJ$4,0)))))</f>
        <v>571.30321603</v>
      </c>
      <c r="F36" s="6">
        <f>IF(ISNA(MATCH(F$2,Inputs!$K$4:$AJ$4,0)),NA(),IF(SUMPRODUCT((Inputs!$A$5:$A$190=$B36)*ISNUMBER(INDEX(Inputs!$K$5:$AJ$190,0,MATCH(F$2,Inputs!$K$4:$AJ$4,0))))+SUMPRODUCT((Inputs!$C$5:$C$190=$B36)*ISNUMBER(INDEX(Inputs!$K$5:$AJ$190,0,MATCH(F$2,Inputs!$K$4:$AJ$4,0))))+SUMPRODUCT((Inputs!$E$5:$E$190=$B36)*ISNUMBER(INDEX(Inputs!$K$5:$AJ$190,0,MATCH(F$2,Inputs!$K$4:$AJ$4,0))))=0,NA(),SUMPRODUCT((Inputs!$A$5:$A$190=$B36)*Inputs!$B$5:$B$190*(((Inputs!$G$5:$G$190="moeda")+(Inputs!$G$5:$G$190="acoes"))*Inputs!$B$1+((Inputs!$G$5:$G$190&lt;&gt;"moeda")*(Inputs!$G$5:$G$190&lt;&gt;"acoes")))*INDEX(Inputs!$K$5:$AJ$190,0,MATCH(F$2,Inputs!$K$4:$AJ$4,0)))+SUMPRODUCT((Inputs!$C$5:$C$190=$B36)*Inputs!$D$5:$D$190*(((Inputs!$G$5:$G$190="moeda")+(Inputs!$G$5:$G$190="acoes"))*Inputs!$B$1+((Inputs!$G$5:$G$190&lt;&gt;"moeda")*(Inputs!$G$5:$G$190&lt;&gt;"acoes")))*INDEX(Inputs!$K$5:$AJ$190,0,MATCH(F$2,Inputs!$K$4:$AJ$4,0)))+SUMPRODUCT((Inputs!$E$5:$E$190=$B36)*Inputs!$F$5:$F$190*(((Inputs!$G$5:$G$190="moeda")+(Inputs!$G$5:$G$190="acoes"))*Inputs!$B$1+((Inputs!$G$5:$G$190&lt;&gt;"moeda")*(Inputs!$G$5:$G$190&lt;&gt;"acoes")))*INDEX(Inputs!$K$5:$AJ$190,0,MATCH(F$2,Inputs!$K$4:$AJ$4,0)))))</f>
        <v>419.081</v>
      </c>
      <c r="G36" s="6">
        <f>IF(ISNA(MATCH(G$2,Inputs!$K$4:$AJ$4,0)),NA(),IF(SUMPRODUCT((Inputs!$A$5:$A$190=$B36)*ISNUMBER(INDEX(Inputs!$K$5:$AJ$190,0,MATCH(G$2,Inputs!$K$4:$AJ$4,0))))+SUMPRODUCT((Inputs!$C$5:$C$190=$B36)*ISNUMBER(INDEX(Inputs!$K$5:$AJ$190,0,MATCH(G$2,Inputs!$K$4:$AJ$4,0))))+SUMPRODUCT((Inputs!$E$5:$E$190=$B36)*ISNUMBER(INDEX(Inputs!$K$5:$AJ$190,0,MATCH(G$2,Inputs!$K$4:$AJ$4,0))))=0,NA(),SUMPRODUCT((Inputs!$A$5:$A$190=$B36)*Inputs!$B$5:$B$190*(((Inputs!$G$5:$G$190="moeda")+(Inputs!$G$5:$G$190="acoes"))*Inputs!$B$1+((Inputs!$G$5:$G$190&lt;&gt;"moeda")*(Inputs!$G$5:$G$190&lt;&gt;"acoes")))*INDEX(Inputs!$K$5:$AJ$190,0,MATCH(G$2,Inputs!$K$4:$AJ$4,0)))+SUMPRODUCT((Inputs!$C$5:$C$190=$B36)*Inputs!$D$5:$D$190*(((Inputs!$G$5:$G$190="moeda")+(Inputs!$G$5:$G$190="acoes"))*Inputs!$B$1+((Inputs!$G$5:$G$190&lt;&gt;"moeda")*(Inputs!$G$5:$G$190&lt;&gt;"acoes")))*INDEX(Inputs!$K$5:$AJ$190,0,MATCH(G$2,Inputs!$K$4:$AJ$4,0)))+SUMPRODUCT((Inputs!$E$5:$E$190=$B36)*Inputs!$F$5:$F$190*(((Inputs!$G$5:$G$190="moeda")+(Inputs!$G$5:$G$190="acoes"))*Inputs!$B$1+((Inputs!$G$5:$G$190&lt;&gt;"moeda")*(Inputs!$G$5:$G$190&lt;&gt;"acoes")))*INDEX(Inputs!$K$5:$AJ$190,0,MATCH(G$2,Inputs!$K$4:$AJ$4,0)))))</f>
        <v>660.011</v>
      </c>
      <c r="H36" s="3">
        <f>G36</f>
        <v>660.011</v>
      </c>
      <c r="I36" s="6">
        <f>IF(ISNA(MATCH(I$2,Inputs!$K$4:$AJ$4,0)),NA(),IF(SUMPRODUCT((Inputs!$A$5:$A$190=$B36)*ISNUMBER(INDEX(Inputs!$K$5:$AJ$190,0,MATCH(I$2,Inputs!$K$4:$AJ$4,0))))+SUMPRODUCT((Inputs!$C$5:$C$190=$B36)*ISNUMBER(INDEX(Inputs!$K$5:$AJ$190,0,MATCH(I$2,Inputs!$K$4:$AJ$4,0))))+SUMPRODUCT((Inputs!$E$5:$E$190=$B36)*ISNUMBER(INDEX(Inputs!$K$5:$AJ$190,0,MATCH(I$2,Inputs!$K$4:$AJ$4,0))))=0,NA(),SUMPRODUCT((Inputs!$A$5:$A$190=$B36)*Inputs!$B$5:$B$190*(((Inputs!$G$5:$G$190="moeda")+(Inputs!$G$5:$G$190="acoes"))*Inputs!$B$1+((Inputs!$G$5:$G$190&lt;&gt;"moeda")*(Inputs!$G$5:$G$190&lt;&gt;"acoes")))*INDEX(Inputs!$K$5:$AJ$190,0,MATCH(I$2,Inputs!$K$4:$AJ$4,0)))+SUMPRODUCT((Inputs!$C$5:$C$190=$B36)*Inputs!$D$5:$D$190*(((Inputs!$G$5:$G$190="moeda")+(Inputs!$G$5:$G$190="acoes"))*Inputs!$B$1+((Inputs!$G$5:$G$190&lt;&gt;"moeda")*(Inputs!$G$5:$G$190&lt;&gt;"acoes")))*INDEX(Inputs!$K$5:$AJ$190,0,MATCH(I$2,Inputs!$K$4:$AJ$4,0)))+SUMPRODUCT((Inputs!$E$5:$E$190=$B36)*Inputs!$F$5:$F$190*(((Inputs!$G$5:$G$190="moeda")+(Inputs!$G$5:$G$190="acoes"))*Inputs!$B$1+((Inputs!$G$5:$G$190&lt;&gt;"moeda")*(Inputs!$G$5:$G$190&lt;&gt;"acoes")))*INDEX(Inputs!$K$5:$AJ$190,0,MATCH(I$2,Inputs!$K$4:$AJ$4,0)))))</f>
        <v>707.509</v>
      </c>
      <c r="J36" s="6">
        <f>IF(ISNA(MATCH(J$2,Inputs!$K$4:$AJ$4,0)),NA(),IF(SUMPRODUCT((Inputs!$A$5:$A$190=$B36)*ISNUMBER(INDEX(Inputs!$K$5:$AJ$190,0,MATCH(J$2,Inputs!$K$4:$AJ$4,0))))+SUMPRODUCT((Inputs!$C$5:$C$190=$B36)*ISNUMBER(INDEX(Inputs!$K$5:$AJ$190,0,MATCH(J$2,Inputs!$K$4:$AJ$4,0))))+SUMPRODUCT((Inputs!$E$5:$E$190=$B36)*ISNUMBER(INDEX(Inputs!$K$5:$AJ$190,0,MATCH(J$2,Inputs!$K$4:$AJ$4,0))))=0,NA(),SUMPRODUCT((Inputs!$A$5:$A$190=$B36)*Inputs!$B$5:$B$190*(((Inputs!$G$5:$G$190="moeda")+(Inputs!$G$5:$G$190="acoes"))*Inputs!$B$1+((Inputs!$G$5:$G$190&lt;&gt;"moeda")*(Inputs!$G$5:$G$190&lt;&gt;"acoes")))*INDEX(Inputs!$K$5:$AJ$190,0,MATCH(J$2,Inputs!$K$4:$AJ$4,0)))+SUMPRODUCT((Inputs!$C$5:$C$190=$B36)*Inputs!$D$5:$D$190*(((Inputs!$G$5:$G$190="moeda")+(Inputs!$G$5:$G$190="acoes"))*Inputs!$B$1+((Inputs!$G$5:$G$190&lt;&gt;"moeda")*(Inputs!$G$5:$G$190&lt;&gt;"acoes")))*INDEX(Inputs!$K$5:$AJ$190,0,MATCH(J$2,Inputs!$K$4:$AJ$4,0)))+SUMPRODUCT((Inputs!$E$5:$E$190=$B36)*Inputs!$F$5:$F$190*(((Inputs!$G$5:$G$190="moeda")+(Inputs!$G$5:$G$190="acoes"))*Inputs!$B$1+((Inputs!$G$5:$G$190&lt;&gt;"moeda")*(Inputs!$G$5:$G$190&lt;&gt;"acoes")))*INDEX(Inputs!$K$5:$AJ$190,0,MATCH(J$2,Inputs!$K$4:$AJ$4,0)))))</f>
        <v>758.746</v>
      </c>
      <c r="K36" s="6">
        <f>IF(ISNA(MATCH(K$2,Inputs!$K$4:$AJ$4,0)),NA(),IF(SUMPRODUCT((Inputs!$A$5:$A$190=$B36)*ISNUMBER(INDEX(Inputs!$K$5:$AJ$190,0,MATCH(K$2,Inputs!$K$4:$AJ$4,0))))+SUMPRODUCT((Inputs!$C$5:$C$190=$B36)*ISNUMBER(INDEX(Inputs!$K$5:$AJ$190,0,MATCH(K$2,Inputs!$K$4:$AJ$4,0))))+SUMPRODUCT((Inputs!$E$5:$E$190=$B36)*ISNUMBER(INDEX(Inputs!$K$5:$AJ$190,0,MATCH(K$2,Inputs!$K$4:$AJ$4,0))))=0,NA(),SUMPRODUCT((Inputs!$A$5:$A$190=$B36)*Inputs!$B$5:$B$190*(((Inputs!$G$5:$G$190="moeda")+(Inputs!$G$5:$G$190="acoes"))*Inputs!$B$1+((Inputs!$G$5:$G$190&lt;&gt;"moeda")*(Inputs!$G$5:$G$190&lt;&gt;"acoes")))*INDEX(Inputs!$K$5:$AJ$190,0,MATCH(K$2,Inputs!$K$4:$AJ$4,0)))+SUMPRODUCT((Inputs!$C$5:$C$190=$B36)*Inputs!$D$5:$D$190*(((Inputs!$G$5:$G$190="moeda")+(Inputs!$G$5:$G$190="acoes"))*Inputs!$B$1+((Inputs!$G$5:$G$190&lt;&gt;"moeda")*(Inputs!$G$5:$G$190&lt;&gt;"acoes")))*INDEX(Inputs!$K$5:$AJ$190,0,MATCH(K$2,Inputs!$K$4:$AJ$4,0)))+SUMPRODUCT((Inputs!$E$5:$E$190=$B36)*Inputs!$F$5:$F$190*(((Inputs!$G$5:$G$190="moeda")+(Inputs!$G$5:$G$190="acoes"))*Inputs!$B$1+((Inputs!$G$5:$G$190&lt;&gt;"moeda")*(Inputs!$G$5:$G$190&lt;&gt;"acoes")))*INDEX(Inputs!$K$5:$AJ$190,0,MATCH(K$2,Inputs!$K$4:$AJ$4,0)))))</f>
        <v>967.671</v>
      </c>
      <c r="L36" s="6">
        <f>IF(ISNA(MATCH(L$2,Inputs!$K$4:$AJ$4,0)),NA(),IF(SUMPRODUCT((Inputs!$A$5:$A$190=$B36)*ISNUMBER(INDEX(Inputs!$K$5:$AJ$190,0,MATCH(L$2,Inputs!$K$4:$AJ$4,0))))+SUMPRODUCT((Inputs!$C$5:$C$190=$B36)*ISNUMBER(INDEX(Inputs!$K$5:$AJ$190,0,MATCH(L$2,Inputs!$K$4:$AJ$4,0))))+SUMPRODUCT((Inputs!$E$5:$E$190=$B36)*ISNUMBER(INDEX(Inputs!$K$5:$AJ$190,0,MATCH(L$2,Inputs!$K$4:$AJ$4,0))))=0,NA(),SUMPRODUCT((Inputs!$A$5:$A$190=$B36)*Inputs!$B$5:$B$190*(((Inputs!$G$5:$G$190="moeda")+(Inputs!$G$5:$G$190="acoes"))*Inputs!$B$1+((Inputs!$G$5:$G$190&lt;&gt;"moeda")*(Inputs!$G$5:$G$190&lt;&gt;"acoes")))*INDEX(Inputs!$K$5:$AJ$190,0,MATCH(L$2,Inputs!$K$4:$AJ$4,0)))+SUMPRODUCT((Inputs!$C$5:$C$190=$B36)*Inputs!$D$5:$D$190*(((Inputs!$G$5:$G$190="moeda")+(Inputs!$G$5:$G$190="acoes"))*Inputs!$B$1+((Inputs!$G$5:$G$190&lt;&gt;"moeda")*(Inputs!$G$5:$G$190&lt;&gt;"acoes")))*INDEX(Inputs!$K$5:$AJ$190,0,MATCH(L$2,Inputs!$K$4:$AJ$4,0)))+SUMPRODUCT((Inputs!$E$5:$E$190=$B36)*Inputs!$F$5:$F$190*(((Inputs!$G$5:$G$190="moeda")+(Inputs!$G$5:$G$190="acoes"))*Inputs!$B$1+((Inputs!$G$5:$G$190&lt;&gt;"moeda")*(Inputs!$G$5:$G$190&lt;&gt;"acoes")))*INDEX(Inputs!$K$5:$AJ$190,0,MATCH(L$2,Inputs!$K$4:$AJ$4,0)))))</f>
        <v>1399.556</v>
      </c>
      <c r="M36" s="3">
        <f>L36</f>
        <v>1399.556</v>
      </c>
      <c r="N36" s="6">
        <f>IF(ISNA(MATCH(N$2,Inputs!$K$4:$AJ$4,0)),NA(),IF(SUMPRODUCT((Inputs!$A$5:$A$190=$B36)*ISNUMBER(INDEX(Inputs!$K$5:$AJ$190,0,MATCH(N$2,Inputs!$K$4:$AJ$4,0))))+SUMPRODUCT((Inputs!$C$5:$C$190=$B36)*ISNUMBER(INDEX(Inputs!$K$5:$AJ$190,0,MATCH(N$2,Inputs!$K$4:$AJ$4,0))))+SUMPRODUCT((Inputs!$E$5:$E$190=$B36)*ISNUMBER(INDEX(Inputs!$K$5:$AJ$190,0,MATCH(N$2,Inputs!$K$4:$AJ$4,0))))=0,NA(),SUMPRODUCT((Inputs!$A$5:$A$190=$B36)*Inputs!$B$5:$B$190*(((Inputs!$G$5:$G$190="moeda")+(Inputs!$G$5:$G$190="acoes"))*Inputs!$B$1+((Inputs!$G$5:$G$190&lt;&gt;"moeda")*(Inputs!$G$5:$G$190&lt;&gt;"acoes")))*INDEX(Inputs!$K$5:$AJ$190,0,MATCH(N$2,Inputs!$K$4:$AJ$4,0)))+SUMPRODUCT((Inputs!$C$5:$C$190=$B36)*Inputs!$D$5:$D$190*(((Inputs!$G$5:$G$190="moeda")+(Inputs!$G$5:$G$190="acoes"))*Inputs!$B$1+((Inputs!$G$5:$G$190&lt;&gt;"moeda")*(Inputs!$G$5:$G$190&lt;&gt;"acoes")))*INDEX(Inputs!$K$5:$AJ$190,0,MATCH(N$2,Inputs!$K$4:$AJ$4,0)))+SUMPRODUCT((Inputs!$E$5:$E$190=$B36)*Inputs!$F$5:$F$190*(((Inputs!$G$5:$G$190="moeda")+(Inputs!$G$5:$G$190="acoes"))*Inputs!$B$1+((Inputs!$G$5:$G$190&lt;&gt;"moeda")*(Inputs!$G$5:$G$190&lt;&gt;"acoes")))*INDEX(Inputs!$K$5:$AJ$190,0,MATCH(N$2,Inputs!$K$4:$AJ$4,0)))))</f>
        <v>1448.60556487</v>
      </c>
      <c r="O36" s="6">
        <f>IF(ISNA(MATCH(O$2,Inputs!$K$4:$AJ$4,0)),NA(),IF(SUMPRODUCT((Inputs!$A$5:$A$190=$B36)*ISNUMBER(INDEX(Inputs!$K$5:$AJ$190,0,MATCH(O$2,Inputs!$K$4:$AJ$4,0))))+SUMPRODUCT((Inputs!$C$5:$C$190=$B36)*ISNUMBER(INDEX(Inputs!$K$5:$AJ$190,0,MATCH(O$2,Inputs!$K$4:$AJ$4,0))))+SUMPRODUCT((Inputs!$E$5:$E$190=$B36)*ISNUMBER(INDEX(Inputs!$K$5:$AJ$190,0,MATCH(O$2,Inputs!$K$4:$AJ$4,0))))=0,NA(),SUMPRODUCT((Inputs!$A$5:$A$190=$B36)*Inputs!$B$5:$B$190*(((Inputs!$G$5:$G$190="moeda")+(Inputs!$G$5:$G$190="acoes"))*Inputs!$B$1+((Inputs!$G$5:$G$190&lt;&gt;"moeda")*(Inputs!$G$5:$G$190&lt;&gt;"acoes")))*INDEX(Inputs!$K$5:$AJ$190,0,MATCH(O$2,Inputs!$K$4:$AJ$4,0)))+SUMPRODUCT((Inputs!$C$5:$C$190=$B36)*Inputs!$D$5:$D$190*(((Inputs!$G$5:$G$190="moeda")+(Inputs!$G$5:$G$190="acoes"))*Inputs!$B$1+((Inputs!$G$5:$G$190&lt;&gt;"moeda")*(Inputs!$G$5:$G$190&lt;&gt;"acoes")))*INDEX(Inputs!$K$5:$AJ$190,0,MATCH(O$2,Inputs!$K$4:$AJ$4,0)))+SUMPRODUCT((Inputs!$E$5:$E$190=$B36)*Inputs!$F$5:$F$190*(((Inputs!$G$5:$G$190="moeda")+(Inputs!$G$5:$G$190="acoes"))*Inputs!$B$1+((Inputs!$G$5:$G$190&lt;&gt;"moeda")*(Inputs!$G$5:$G$190&lt;&gt;"acoes")))*INDEX(Inputs!$K$5:$AJ$190,0,MATCH(O$2,Inputs!$K$4:$AJ$4,0)))))</f>
        <v>1400.04072114</v>
      </c>
      <c r="P36" s="6">
        <f>IF(ISNA(MATCH(P$2,Inputs!$K$4:$AJ$4,0)),NA(),IF(SUMPRODUCT((Inputs!$A$5:$A$190=$B36)*ISNUMBER(INDEX(Inputs!$K$5:$AJ$190,0,MATCH(P$2,Inputs!$K$4:$AJ$4,0))))+SUMPRODUCT((Inputs!$C$5:$C$190=$B36)*ISNUMBER(INDEX(Inputs!$K$5:$AJ$190,0,MATCH(P$2,Inputs!$K$4:$AJ$4,0))))+SUMPRODUCT((Inputs!$E$5:$E$190=$B36)*ISNUMBER(INDEX(Inputs!$K$5:$AJ$190,0,MATCH(P$2,Inputs!$K$4:$AJ$4,0))))=0,NA(),SUMPRODUCT((Inputs!$A$5:$A$190=$B36)*Inputs!$B$5:$B$190*(((Inputs!$G$5:$G$190="moeda")+(Inputs!$G$5:$G$190="acoes"))*Inputs!$B$1+((Inputs!$G$5:$G$190&lt;&gt;"moeda")*(Inputs!$G$5:$G$190&lt;&gt;"acoes")))*INDEX(Inputs!$K$5:$AJ$190,0,MATCH(P$2,Inputs!$K$4:$AJ$4,0)))+SUMPRODUCT((Inputs!$C$5:$C$190=$B36)*Inputs!$D$5:$D$190*(((Inputs!$G$5:$G$190="moeda")+(Inputs!$G$5:$G$190="acoes"))*Inputs!$B$1+((Inputs!$G$5:$G$190&lt;&gt;"moeda")*(Inputs!$G$5:$G$190&lt;&gt;"acoes")))*INDEX(Inputs!$K$5:$AJ$190,0,MATCH(P$2,Inputs!$K$4:$AJ$4,0)))+SUMPRODUCT((Inputs!$E$5:$E$190=$B36)*Inputs!$F$5:$F$190*(((Inputs!$G$5:$G$190="moeda")+(Inputs!$G$5:$G$190="acoes"))*Inputs!$B$1+((Inputs!$G$5:$G$190&lt;&gt;"moeda")*(Inputs!$G$5:$G$190&lt;&gt;"acoes")))*INDEX(Inputs!$K$5:$AJ$190,0,MATCH(P$2,Inputs!$K$4:$AJ$4,0)))))</f>
        <v>1429.05878962</v>
      </c>
      <c r="Q36" s="6">
        <f>IF(ISNA(MATCH(Q$2,Inputs!$K$4:$AJ$4,0)),NA(),IF(SUMPRODUCT((Inputs!$A$5:$A$190=$B36)*ISNUMBER(INDEX(Inputs!$K$5:$AJ$190,0,MATCH(Q$2,Inputs!$K$4:$AJ$4,0))))+SUMPRODUCT((Inputs!$C$5:$C$190=$B36)*ISNUMBER(INDEX(Inputs!$K$5:$AJ$190,0,MATCH(Q$2,Inputs!$K$4:$AJ$4,0))))+SUMPRODUCT((Inputs!$E$5:$E$190=$B36)*ISNUMBER(INDEX(Inputs!$K$5:$AJ$190,0,MATCH(Q$2,Inputs!$K$4:$AJ$4,0))))=0,NA(),SUMPRODUCT((Inputs!$A$5:$A$190=$B36)*Inputs!$B$5:$B$190*(((Inputs!$G$5:$G$190="moeda")+(Inputs!$G$5:$G$190="acoes"))*Inputs!$B$1+((Inputs!$G$5:$G$190&lt;&gt;"moeda")*(Inputs!$G$5:$G$190&lt;&gt;"acoes")))*INDEX(Inputs!$K$5:$AJ$190,0,MATCH(Q$2,Inputs!$K$4:$AJ$4,0)))+SUMPRODUCT((Inputs!$C$5:$C$190=$B36)*Inputs!$D$5:$D$190*(((Inputs!$G$5:$G$190="moeda")+(Inputs!$G$5:$G$190="acoes"))*Inputs!$B$1+((Inputs!$G$5:$G$190&lt;&gt;"moeda")*(Inputs!$G$5:$G$190&lt;&gt;"acoes")))*INDEX(Inputs!$K$5:$AJ$190,0,MATCH(Q$2,Inputs!$K$4:$AJ$4,0)))+SUMPRODUCT((Inputs!$E$5:$E$190=$B36)*Inputs!$F$5:$F$190*(((Inputs!$G$5:$G$190="moeda")+(Inputs!$G$5:$G$190="acoes"))*Inputs!$B$1+((Inputs!$G$5:$G$190&lt;&gt;"moeda")*(Inputs!$G$5:$G$190&lt;&gt;"acoes")))*INDEX(Inputs!$K$5:$AJ$190,0,MATCH(Q$2,Inputs!$K$4:$AJ$4,0)))))</f>
        <v>1499.744892956</v>
      </c>
      <c r="R36" s="3">
        <f>Q36</f>
        <v>1499.744892956</v>
      </c>
      <c r="S36" s="6">
        <f>IF(ISNA(MATCH(S$2,Inputs!$K$4:$AJ$4,0)),NA(),IF(SUMPRODUCT((Inputs!$A$5:$A$190=$B36)*ISNUMBER(INDEX(Inputs!$K$5:$AJ$190,0,MATCH(S$2,Inputs!$K$4:$AJ$4,0))))+SUMPRODUCT((Inputs!$C$5:$C$190=$B36)*ISNUMBER(INDEX(Inputs!$K$5:$AJ$190,0,MATCH(S$2,Inputs!$K$4:$AJ$4,0))))+SUMPRODUCT((Inputs!$E$5:$E$190=$B36)*ISNUMBER(INDEX(Inputs!$K$5:$AJ$190,0,MATCH(S$2,Inputs!$K$4:$AJ$4,0))))=0,NA(),SUMPRODUCT((Inputs!$A$5:$A$190=$B36)*Inputs!$B$5:$B$190*(((Inputs!$G$5:$G$190="moeda")+(Inputs!$G$5:$G$190="acoes"))*Inputs!$B$1+((Inputs!$G$5:$G$190&lt;&gt;"moeda")*(Inputs!$G$5:$G$190&lt;&gt;"acoes")))*INDEX(Inputs!$K$5:$AJ$190,0,MATCH(S$2,Inputs!$K$4:$AJ$4,0)))+SUMPRODUCT((Inputs!$C$5:$C$190=$B36)*Inputs!$D$5:$D$190*(((Inputs!$G$5:$G$190="moeda")+(Inputs!$G$5:$G$190="acoes"))*Inputs!$B$1+((Inputs!$G$5:$G$190&lt;&gt;"moeda")*(Inputs!$G$5:$G$190&lt;&gt;"acoes")))*INDEX(Inputs!$K$5:$AJ$190,0,MATCH(S$2,Inputs!$K$4:$AJ$4,0)))+SUMPRODUCT((Inputs!$E$5:$E$190=$B36)*Inputs!$F$5:$F$190*(((Inputs!$G$5:$G$190="moeda")+(Inputs!$G$5:$G$190="acoes"))*Inputs!$B$1+((Inputs!$G$5:$G$190&lt;&gt;"moeda")*(Inputs!$G$5:$G$190&lt;&gt;"acoes")))*INDEX(Inputs!$K$5:$AJ$190,0,MATCH(S$2,Inputs!$K$4:$AJ$4,0)))))</f>
        <v>1549.5701440893</v>
      </c>
      <c r="T36" s="6">
        <f>IF(ISNA(MATCH(T$2,Inputs!$K$4:$AJ$4,0)),NA(),IF(SUMPRODUCT((Inputs!$A$5:$A$190=$B36)*ISNUMBER(INDEX(Inputs!$K$5:$AJ$190,0,MATCH(T$2,Inputs!$K$4:$AJ$4,0))))+SUMPRODUCT((Inputs!$C$5:$C$190=$B36)*ISNUMBER(INDEX(Inputs!$K$5:$AJ$190,0,MATCH(T$2,Inputs!$K$4:$AJ$4,0))))+SUMPRODUCT((Inputs!$E$5:$E$190=$B36)*ISNUMBER(INDEX(Inputs!$K$5:$AJ$190,0,MATCH(T$2,Inputs!$K$4:$AJ$4,0))))=0,NA(),SUMPRODUCT((Inputs!$A$5:$A$190=$B36)*Inputs!$B$5:$B$190*(((Inputs!$G$5:$G$190="moeda")+(Inputs!$G$5:$G$190="acoes"))*Inputs!$B$1+((Inputs!$G$5:$G$190&lt;&gt;"moeda")*(Inputs!$G$5:$G$190&lt;&gt;"acoes")))*INDEX(Inputs!$K$5:$AJ$190,0,MATCH(T$2,Inputs!$K$4:$AJ$4,0)))+SUMPRODUCT((Inputs!$C$5:$C$190=$B36)*Inputs!$D$5:$D$190*(((Inputs!$G$5:$G$190="moeda")+(Inputs!$G$5:$G$190="acoes"))*Inputs!$B$1+((Inputs!$G$5:$G$190&lt;&gt;"moeda")*(Inputs!$G$5:$G$190&lt;&gt;"acoes")))*INDEX(Inputs!$K$5:$AJ$190,0,MATCH(T$2,Inputs!$K$4:$AJ$4,0)))+SUMPRODUCT((Inputs!$E$5:$E$190=$B36)*Inputs!$F$5:$F$190*(((Inputs!$G$5:$G$190="moeda")+(Inputs!$G$5:$G$190="acoes"))*Inputs!$B$1+((Inputs!$G$5:$G$190&lt;&gt;"moeda")*(Inputs!$G$5:$G$190&lt;&gt;"acoes")))*INDEX(Inputs!$K$5:$AJ$190,0,MATCH(T$2,Inputs!$K$4:$AJ$4,0)))))</f>
        <v>1641.605202739</v>
      </c>
      <c r="U36" s="6">
        <f>IF(ISNA(MATCH(U$2,Inputs!$K$4:$AJ$4,0)),NA(),IF(SUMPRODUCT((Inputs!$A$5:$A$190=$B36)*ISNUMBER(INDEX(Inputs!$K$5:$AJ$190,0,MATCH(U$2,Inputs!$K$4:$AJ$4,0))))+SUMPRODUCT((Inputs!$C$5:$C$190=$B36)*ISNUMBER(INDEX(Inputs!$K$5:$AJ$190,0,MATCH(U$2,Inputs!$K$4:$AJ$4,0))))+SUMPRODUCT((Inputs!$E$5:$E$190=$B36)*ISNUMBER(INDEX(Inputs!$K$5:$AJ$190,0,MATCH(U$2,Inputs!$K$4:$AJ$4,0))))=0,NA(),SUMPRODUCT((Inputs!$A$5:$A$190=$B36)*Inputs!$B$5:$B$190*(((Inputs!$G$5:$G$190="moeda")+(Inputs!$G$5:$G$190="acoes"))*Inputs!$B$1+((Inputs!$G$5:$G$190&lt;&gt;"moeda")*(Inputs!$G$5:$G$190&lt;&gt;"acoes")))*INDEX(Inputs!$K$5:$AJ$190,0,MATCH(U$2,Inputs!$K$4:$AJ$4,0)))+SUMPRODUCT((Inputs!$C$5:$C$190=$B36)*Inputs!$D$5:$D$190*(((Inputs!$G$5:$G$190="moeda")+(Inputs!$G$5:$G$190="acoes"))*Inputs!$B$1+((Inputs!$G$5:$G$190&lt;&gt;"moeda")*(Inputs!$G$5:$G$190&lt;&gt;"acoes")))*INDEX(Inputs!$K$5:$AJ$190,0,MATCH(U$2,Inputs!$K$4:$AJ$4,0)))+SUMPRODUCT((Inputs!$E$5:$E$190=$B36)*Inputs!$F$5:$F$190*(((Inputs!$G$5:$G$190="moeda")+(Inputs!$G$5:$G$190="acoes"))*Inputs!$B$1+((Inputs!$G$5:$G$190&lt;&gt;"moeda")*(Inputs!$G$5:$G$190&lt;&gt;"acoes")))*INDEX(Inputs!$K$5:$AJ$190,0,MATCH(U$2,Inputs!$K$4:$AJ$4,0)))))</f>
        <v>1654.3083349495</v>
      </c>
      <c r="V36" s="6">
        <f>IF(ISNA(MATCH(V$2,Inputs!$K$4:$AJ$4,0)),NA(),IF(SUMPRODUCT((Inputs!$A$5:$A$190=$B36)*ISNUMBER(INDEX(Inputs!$K$5:$AJ$190,0,MATCH(V$2,Inputs!$K$4:$AJ$4,0))))+SUMPRODUCT((Inputs!$C$5:$C$190=$B36)*ISNUMBER(INDEX(Inputs!$K$5:$AJ$190,0,MATCH(V$2,Inputs!$K$4:$AJ$4,0))))+SUMPRODUCT((Inputs!$E$5:$E$190=$B36)*ISNUMBER(INDEX(Inputs!$K$5:$AJ$190,0,MATCH(V$2,Inputs!$K$4:$AJ$4,0))))=0,NA(),SUMPRODUCT((Inputs!$A$5:$A$190=$B36)*Inputs!$B$5:$B$190*(((Inputs!$G$5:$G$190="moeda")+(Inputs!$G$5:$G$190="acoes"))*Inputs!$B$1+((Inputs!$G$5:$G$190&lt;&gt;"moeda")*(Inputs!$G$5:$G$190&lt;&gt;"acoes")))*INDEX(Inputs!$K$5:$AJ$190,0,MATCH(V$2,Inputs!$K$4:$AJ$4,0)))+SUMPRODUCT((Inputs!$C$5:$C$190=$B36)*Inputs!$D$5:$D$190*(((Inputs!$G$5:$G$190="moeda")+(Inputs!$G$5:$G$190="acoes"))*Inputs!$B$1+((Inputs!$G$5:$G$190&lt;&gt;"moeda")*(Inputs!$G$5:$G$190&lt;&gt;"acoes")))*INDEX(Inputs!$K$5:$AJ$190,0,MATCH(V$2,Inputs!$K$4:$AJ$4,0)))+SUMPRODUCT((Inputs!$E$5:$E$190=$B36)*Inputs!$F$5:$F$190*(((Inputs!$G$5:$G$190="moeda")+(Inputs!$G$5:$G$190="acoes"))*Inputs!$B$1+((Inputs!$G$5:$G$190&lt;&gt;"moeda")*(Inputs!$G$5:$G$190&lt;&gt;"acoes")))*INDEX(Inputs!$K$5:$AJ$190,0,MATCH(V$2,Inputs!$K$4:$AJ$4,0)))))</f>
        <v>1664.98913914</v>
      </c>
      <c r="W36" s="3">
        <f>V36</f>
        <v>1664.98913914</v>
      </c>
      <c r="X36" s="6">
        <f>IF(ISNA(MATCH(X$2,Inputs!$K$4:$AJ$4,0)),NA(),IF(SUMPRODUCT((Inputs!$A$5:$A$190=$B36)*ISNUMBER(INDEX(Inputs!$K$5:$AJ$190,0,MATCH(X$2,Inputs!$K$4:$AJ$4,0))))+SUMPRODUCT((Inputs!$C$5:$C$190=$B36)*ISNUMBER(INDEX(Inputs!$K$5:$AJ$190,0,MATCH(X$2,Inputs!$K$4:$AJ$4,0))))+SUMPRODUCT((Inputs!$E$5:$E$190=$B36)*ISNUMBER(INDEX(Inputs!$K$5:$AJ$190,0,MATCH(X$2,Inputs!$K$4:$AJ$4,0))))=0,NA(),SUMPRODUCT((Inputs!$A$5:$A$190=$B36)*Inputs!$B$5:$B$190*(((Inputs!$G$5:$G$190="moeda")+(Inputs!$G$5:$G$190="acoes"))*Inputs!$B$1+((Inputs!$G$5:$G$190&lt;&gt;"moeda")*(Inputs!$G$5:$G$190&lt;&gt;"acoes")))*INDEX(Inputs!$K$5:$AJ$190,0,MATCH(X$2,Inputs!$K$4:$AJ$4,0)))+SUMPRODUCT((Inputs!$C$5:$C$190=$B36)*Inputs!$D$5:$D$190*(((Inputs!$G$5:$G$190="moeda")+(Inputs!$G$5:$G$190="acoes"))*Inputs!$B$1+((Inputs!$G$5:$G$190&lt;&gt;"moeda")*(Inputs!$G$5:$G$190&lt;&gt;"acoes")))*INDEX(Inputs!$K$5:$AJ$190,0,MATCH(X$2,Inputs!$K$4:$AJ$4,0)))+SUMPRODUCT((Inputs!$E$5:$E$190=$B36)*Inputs!$F$5:$F$190*(((Inputs!$G$5:$G$190="moeda")+(Inputs!$G$5:$G$190="acoes"))*Inputs!$B$1+((Inputs!$G$5:$G$190&lt;&gt;"moeda")*(Inputs!$G$5:$G$190&lt;&gt;"acoes")))*INDEX(Inputs!$K$5:$AJ$190,0,MATCH(X$2,Inputs!$K$4:$AJ$4,0)))))</f>
        <v>1329.38760701</v>
      </c>
      <c r="Y36" s="6">
        <f>IF(ISNA(MATCH(Y$2,Inputs!$K$4:$AJ$4,0)),NA(),IF(SUMPRODUCT((Inputs!$A$5:$A$190=$B36)*ISNUMBER(INDEX(Inputs!$K$5:$AJ$190,0,MATCH(Y$2,Inputs!$K$4:$AJ$4,0))))+SUMPRODUCT((Inputs!$C$5:$C$190=$B36)*ISNUMBER(INDEX(Inputs!$K$5:$AJ$190,0,MATCH(Y$2,Inputs!$K$4:$AJ$4,0))))+SUMPRODUCT((Inputs!$E$5:$E$190=$B36)*ISNUMBER(INDEX(Inputs!$K$5:$AJ$190,0,MATCH(Y$2,Inputs!$K$4:$AJ$4,0))))=0,NA(),SUMPRODUCT((Inputs!$A$5:$A$190=$B36)*Inputs!$B$5:$B$190*(((Inputs!$G$5:$G$190="moeda")+(Inputs!$G$5:$G$190="acoes"))*Inputs!$B$1+((Inputs!$G$5:$G$190&lt;&gt;"moeda")*(Inputs!$G$5:$G$190&lt;&gt;"acoes")))*INDEX(Inputs!$K$5:$AJ$190,0,MATCH(Y$2,Inputs!$K$4:$AJ$4,0)))+SUMPRODUCT((Inputs!$C$5:$C$190=$B36)*Inputs!$D$5:$D$190*(((Inputs!$G$5:$G$190="moeda")+(Inputs!$G$5:$G$190="acoes"))*Inputs!$B$1+((Inputs!$G$5:$G$190&lt;&gt;"moeda")*(Inputs!$G$5:$G$190&lt;&gt;"acoes")))*INDEX(Inputs!$K$5:$AJ$190,0,MATCH(Y$2,Inputs!$K$4:$AJ$4,0)))+SUMPRODUCT((Inputs!$E$5:$E$190=$B36)*Inputs!$F$5:$F$190*(((Inputs!$G$5:$G$190="moeda")+(Inputs!$G$5:$G$190="acoes"))*Inputs!$B$1+((Inputs!$G$5:$G$190&lt;&gt;"moeda")*(Inputs!$G$5:$G$190&lt;&gt;"acoes")))*INDEX(Inputs!$K$5:$AJ$190,0,MATCH(Y$2,Inputs!$K$4:$AJ$4,0)))))</f>
        <v>1663.23345869</v>
      </c>
      <c r="Z36" s="6">
        <f>IF(ISNA(MATCH(Z$2,Inputs!$K$4:$AJ$4,0)),NA(),IF(SUMPRODUCT((Inputs!$A$5:$A$190=$B36)*ISNUMBER(INDEX(Inputs!$K$5:$AJ$190,0,MATCH(Z$2,Inputs!$K$4:$AJ$4,0))))+SUMPRODUCT((Inputs!$C$5:$C$190=$B36)*ISNUMBER(INDEX(Inputs!$K$5:$AJ$190,0,MATCH(Z$2,Inputs!$K$4:$AJ$4,0))))+SUMPRODUCT((Inputs!$E$5:$E$190=$B36)*ISNUMBER(INDEX(Inputs!$K$5:$AJ$190,0,MATCH(Z$2,Inputs!$K$4:$AJ$4,0))))=0,NA(),SUMPRODUCT((Inputs!$A$5:$A$190=$B36)*Inputs!$B$5:$B$190*(((Inputs!$G$5:$G$190="moeda")+(Inputs!$G$5:$G$190="acoes"))*Inputs!$B$1+((Inputs!$G$5:$G$190&lt;&gt;"moeda")*(Inputs!$G$5:$G$190&lt;&gt;"acoes")))*INDEX(Inputs!$K$5:$AJ$190,0,MATCH(Z$2,Inputs!$K$4:$AJ$4,0)))+SUMPRODUCT((Inputs!$C$5:$C$190=$B36)*Inputs!$D$5:$D$190*(((Inputs!$G$5:$G$190="moeda")+(Inputs!$G$5:$G$190="acoes"))*Inputs!$B$1+((Inputs!$G$5:$G$190&lt;&gt;"moeda")*(Inputs!$G$5:$G$190&lt;&gt;"acoes")))*INDEX(Inputs!$K$5:$AJ$190,0,MATCH(Z$2,Inputs!$K$4:$AJ$4,0)))+SUMPRODUCT((Inputs!$E$5:$E$190=$B36)*Inputs!$F$5:$F$190*(((Inputs!$G$5:$G$190="moeda")+(Inputs!$G$5:$G$190="acoes"))*Inputs!$B$1+((Inputs!$G$5:$G$190&lt;&gt;"moeda")*(Inputs!$G$5:$G$190&lt;&gt;"acoes")))*INDEX(Inputs!$K$5:$AJ$190,0,MATCH(Z$2,Inputs!$K$4:$AJ$4,0)))))</f>
        <v>1720.59277814</v>
      </c>
      <c r="AA36" s="6">
        <f>IF(ISNA(MATCH(AA$2,Inputs!$K$4:$AJ$4,0)),NA(),IF(SUMPRODUCT((Inputs!$A$5:$A$190=$B36)*ISNUMBER(INDEX(Inputs!$K$5:$AJ$190,0,MATCH(AA$2,Inputs!$K$4:$AJ$4,0))))+SUMPRODUCT((Inputs!$C$5:$C$190=$B36)*ISNUMBER(INDEX(Inputs!$K$5:$AJ$190,0,MATCH(AA$2,Inputs!$K$4:$AJ$4,0))))+SUMPRODUCT((Inputs!$E$5:$E$190=$B36)*ISNUMBER(INDEX(Inputs!$K$5:$AJ$190,0,MATCH(AA$2,Inputs!$K$4:$AJ$4,0))))=0,NA(),SUMPRODUCT((Inputs!$A$5:$A$190=$B36)*Inputs!$B$5:$B$190*(((Inputs!$G$5:$G$190="moeda")+(Inputs!$G$5:$G$190="acoes"))*Inputs!$B$1+((Inputs!$G$5:$G$190&lt;&gt;"moeda")*(Inputs!$G$5:$G$190&lt;&gt;"acoes")))*INDEX(Inputs!$K$5:$AJ$190,0,MATCH(AA$2,Inputs!$K$4:$AJ$4,0)))+SUMPRODUCT((Inputs!$C$5:$C$190=$B36)*Inputs!$D$5:$D$190*(((Inputs!$G$5:$G$190="moeda")+(Inputs!$G$5:$G$190="acoes"))*Inputs!$B$1+((Inputs!$G$5:$G$190&lt;&gt;"moeda")*(Inputs!$G$5:$G$190&lt;&gt;"acoes")))*INDEX(Inputs!$K$5:$AJ$190,0,MATCH(AA$2,Inputs!$K$4:$AJ$4,0)))+SUMPRODUCT((Inputs!$E$5:$E$190=$B36)*Inputs!$F$5:$F$190*(((Inputs!$G$5:$G$190="moeda")+(Inputs!$G$5:$G$190="acoes"))*Inputs!$B$1+((Inputs!$G$5:$G$190&lt;&gt;"moeda")*(Inputs!$G$5:$G$190&lt;&gt;"acoes")))*INDEX(Inputs!$K$5:$AJ$190,0,MATCH(AA$2,Inputs!$K$4:$AJ$4,0)))))</f>
        <v>1437.18948274</v>
      </c>
      <c r="AB36" s="3">
        <f>AA36</f>
        <v>1437.18948274</v>
      </c>
      <c r="AC36" s="6">
        <f>IF(ISNA(MATCH(AC$2,Inputs!$K$4:$AJ$4,0)),NA(),IF(SUMPRODUCT((Inputs!$A$5:$A$190=$B36)*ISNUMBER(INDEX(Inputs!$K$5:$AJ$190,0,MATCH(AC$2,Inputs!$K$4:$AJ$4,0))))+SUMPRODUCT((Inputs!$C$5:$C$190=$B36)*ISNUMBER(INDEX(Inputs!$K$5:$AJ$190,0,MATCH(AC$2,Inputs!$K$4:$AJ$4,0))))+SUMPRODUCT((Inputs!$E$5:$E$190=$B36)*ISNUMBER(INDEX(Inputs!$K$5:$AJ$190,0,MATCH(AC$2,Inputs!$K$4:$AJ$4,0))))=0,NA(),SUMPRODUCT((Inputs!$A$5:$A$190=$B36)*Inputs!$B$5:$B$190*(((Inputs!$G$5:$G$190="moeda")+(Inputs!$G$5:$G$190="acoes"))*Inputs!$B$1+((Inputs!$G$5:$G$190&lt;&gt;"moeda")*(Inputs!$G$5:$G$190&lt;&gt;"acoes")))*INDEX(Inputs!$K$5:$AJ$190,0,MATCH(AC$2,Inputs!$K$4:$AJ$4,0)))+SUMPRODUCT((Inputs!$C$5:$C$190=$B36)*Inputs!$D$5:$D$190*(((Inputs!$G$5:$G$190="moeda")+(Inputs!$G$5:$G$190="acoes"))*Inputs!$B$1+((Inputs!$G$5:$G$190&lt;&gt;"moeda")*(Inputs!$G$5:$G$190&lt;&gt;"acoes")))*INDEX(Inputs!$K$5:$AJ$190,0,MATCH(AC$2,Inputs!$K$4:$AJ$4,0)))+SUMPRODUCT((Inputs!$E$5:$E$190=$B36)*Inputs!$F$5:$F$190*(((Inputs!$G$5:$G$190="moeda")+(Inputs!$G$5:$G$190="acoes"))*Inputs!$B$1+((Inputs!$G$5:$G$190&lt;&gt;"moeda")*(Inputs!$G$5:$G$190&lt;&gt;"acoes")))*INDEX(Inputs!$K$5:$AJ$190,0,MATCH(AC$2,Inputs!$K$4:$AJ$4,0)))))</f>
        <v>1415.91845937</v>
      </c>
      <c r="AD36" s="6">
        <f>IF(ISNA(MATCH(AD$2,Inputs!$K$4:$AJ$4,0)),NA(),IF(SUMPRODUCT((Inputs!$A$5:$A$190=$B36)*ISNUMBER(INDEX(Inputs!$K$5:$AJ$190,0,MATCH(AD$2,Inputs!$K$4:$AJ$4,0))))+SUMPRODUCT((Inputs!$C$5:$C$190=$B36)*ISNUMBER(INDEX(Inputs!$K$5:$AJ$190,0,MATCH(AD$2,Inputs!$K$4:$AJ$4,0))))+SUMPRODUCT((Inputs!$E$5:$E$190=$B36)*ISNUMBER(INDEX(Inputs!$K$5:$AJ$190,0,MATCH(AD$2,Inputs!$K$4:$AJ$4,0))))=0,NA(),SUMPRODUCT((Inputs!$A$5:$A$190=$B36)*Inputs!$B$5:$B$190*(((Inputs!$G$5:$G$190="moeda")+(Inputs!$G$5:$G$190="acoes"))*Inputs!$B$1+((Inputs!$G$5:$G$190&lt;&gt;"moeda")*(Inputs!$G$5:$G$190&lt;&gt;"acoes")))*INDEX(Inputs!$K$5:$AJ$190,0,MATCH(AD$2,Inputs!$K$4:$AJ$4,0)))+SUMPRODUCT((Inputs!$C$5:$C$190=$B36)*Inputs!$D$5:$D$190*(((Inputs!$G$5:$G$190="moeda")+(Inputs!$G$5:$G$190="acoes"))*Inputs!$B$1+((Inputs!$G$5:$G$190&lt;&gt;"moeda")*(Inputs!$G$5:$G$190&lt;&gt;"acoes")))*INDEX(Inputs!$K$5:$AJ$190,0,MATCH(AD$2,Inputs!$K$4:$AJ$4,0)))+SUMPRODUCT((Inputs!$E$5:$E$190=$B36)*Inputs!$F$5:$F$190*(((Inputs!$G$5:$G$190="moeda")+(Inputs!$G$5:$G$190="acoes"))*Inputs!$B$1+((Inputs!$G$5:$G$190&lt;&gt;"moeda")*(Inputs!$G$5:$G$190&lt;&gt;"acoes")))*INDEX(Inputs!$K$5:$AJ$190,0,MATCH(AD$2,Inputs!$K$4:$AJ$4,0)))))</f>
        <v>1671.7366149</v>
      </c>
      <c r="AE36" s="6" t="e">
        <f>IF(ISNA(MATCH(AE$2,Inputs!$K$4:$AJ$4,0)),NA(),IF(SUMPRODUCT((Inputs!$A$5:$A$190=$B36)*ISNUMBER(INDEX(Inputs!$K$5:$AJ$190,0,MATCH(AE$2,Inputs!$K$4:$AJ$4,0))))+SUMPRODUCT((Inputs!$C$5:$C$190=$B36)*ISNUMBER(INDEX(Inputs!$K$5:$AJ$190,0,MATCH(AE$2,Inputs!$K$4:$AJ$4,0))))+SUMPRODUCT((Inputs!$E$5:$E$190=$B36)*ISNUMBER(INDEX(Inputs!$K$5:$AJ$190,0,MATCH(AE$2,Inputs!$K$4:$AJ$4,0))))=0,NA(),SUMPRODUCT((Inputs!$A$5:$A$190=$B36)*Inputs!$B$5:$B$190*(((Inputs!$G$5:$G$190="moeda")+(Inputs!$G$5:$G$190="acoes"))*Inputs!$B$1+((Inputs!$G$5:$G$190&lt;&gt;"moeda")*(Inputs!$G$5:$G$190&lt;&gt;"acoes")))*INDEX(Inputs!$K$5:$AJ$190,0,MATCH(AE$2,Inputs!$K$4:$AJ$4,0)))+SUMPRODUCT((Inputs!$C$5:$C$190=$B36)*Inputs!$D$5:$D$190*(((Inputs!$G$5:$G$190="moeda")+(Inputs!$G$5:$G$190="acoes"))*Inputs!$B$1+((Inputs!$G$5:$G$190&lt;&gt;"moeda")*(Inputs!$G$5:$G$190&lt;&gt;"acoes")))*INDEX(Inputs!$K$5:$AJ$190,0,MATCH(AE$2,Inputs!$K$4:$AJ$4,0)))+SUMPRODUCT((Inputs!$E$5:$E$190=$B36)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36" s="6" t="e">
        <f>IF(ISNA(MATCH(AF$2,Inputs!$K$4:$AJ$4,0)),NA(),IF(SUMPRODUCT((Inputs!$A$5:$A$190=$B36)*ISNUMBER(INDEX(Inputs!$K$5:$AJ$190,0,MATCH(AF$2,Inputs!$K$4:$AJ$4,0))))+SUMPRODUCT((Inputs!$C$5:$C$190=$B36)*ISNUMBER(INDEX(Inputs!$K$5:$AJ$190,0,MATCH(AF$2,Inputs!$K$4:$AJ$4,0))))+SUMPRODUCT((Inputs!$E$5:$E$190=$B36)*ISNUMBER(INDEX(Inputs!$K$5:$AJ$190,0,MATCH(AF$2,Inputs!$K$4:$AJ$4,0))))=0,NA(),SUMPRODUCT((Inputs!$A$5:$A$190=$B36)*Inputs!$B$5:$B$190*(((Inputs!$G$5:$G$190="moeda")+(Inputs!$G$5:$G$190="acoes"))*Inputs!$B$1+((Inputs!$G$5:$G$190&lt;&gt;"moeda")*(Inputs!$G$5:$G$190&lt;&gt;"acoes")))*INDEX(Inputs!$K$5:$AJ$190,0,MATCH(AF$2,Inputs!$K$4:$AJ$4,0)))+SUMPRODUCT((Inputs!$C$5:$C$190=$B36)*Inputs!$D$5:$D$190*(((Inputs!$G$5:$G$190="moeda")+(Inputs!$G$5:$G$190="acoes"))*Inputs!$B$1+((Inputs!$G$5:$G$190&lt;&gt;"moeda")*(Inputs!$G$5:$G$190&lt;&gt;"acoes")))*INDEX(Inputs!$K$5:$AJ$190,0,MATCH(AF$2,Inputs!$K$4:$AJ$4,0)))+SUMPRODUCT((Inputs!$E$5:$E$190=$B36)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36" s="3" t="e">
        <f>AF36</f>
        <v>#N/A</v>
      </c>
      <c r="AH36" s="6">
        <f>IF(ISNA(MATCH(AH$2,Inputs!$K$4:$AJ$4,0)),NA(),IF(SUMPRODUCT((Inputs!$A$5:$A$190=$B36)*ISNUMBER(INDEX(Inputs!$K$5:$AJ$190,0,MATCH(AH$2,Inputs!$K$4:$AJ$4,0))))+SUMPRODUCT((Inputs!$C$5:$C$190=$B36)*ISNUMBER(INDEX(Inputs!$K$5:$AJ$190,0,MATCH(AH$2,Inputs!$K$4:$AJ$4,0))))+SUMPRODUCT((Inputs!$E$5:$E$190=$B36)*ISNUMBER(INDEX(Inputs!$K$5:$AJ$190,0,MATCH(AH$2,Inputs!$K$4:$AJ$4,0))))=0,NA(),SUMPRODUCT((Inputs!$A$5:$A$190=$B36)*Inputs!$B$5:$B$190*(((Inputs!$G$5:$G$190="moeda")+(Inputs!$G$5:$G$190="acoes"))*Inputs!$B$1+((Inputs!$G$5:$G$190&lt;&gt;"moeda")*(Inputs!$G$5:$G$190&lt;&gt;"acoes")))*INDEX(Inputs!$K$5:$AJ$190,0,MATCH(AH$2,Inputs!$K$4:$AJ$4,0)))+SUMPRODUCT((Inputs!$C$5:$C$190=$B36)*Inputs!$D$5:$D$190*(((Inputs!$G$5:$G$190="moeda")+(Inputs!$G$5:$G$190="acoes"))*Inputs!$B$1+((Inputs!$G$5:$G$190&lt;&gt;"moeda")*(Inputs!$G$5:$G$190&lt;&gt;"acoes")))*INDEX(Inputs!$K$5:$AJ$190,0,MATCH(AH$2,Inputs!$K$4:$AJ$4,0)))+SUMPRODUCT((Inputs!$E$5:$E$190=$B36)*Inputs!$F$5:$F$190*(((Inputs!$G$5:$G$190="moeda")+(Inputs!$G$5:$G$190="acoes"))*Inputs!$B$1+((Inputs!$G$5:$G$190&lt;&gt;"moeda")*(Inputs!$G$5:$G$190&lt;&gt;"acoes")))*INDEX(Inputs!$K$5:$AJ$190,0,MATCH(AH$2,Inputs!$K$4:$AJ$4,0)))))</f>
        <v>415.85588858</v>
      </c>
      <c r="AI36" s="6">
        <f>IF(ISNA(MATCH(AI$2,Inputs!$K$4:$AJ$4,0)),NA(),IF(SUMPRODUCT((Inputs!$A$5:$A$190=$B36)*ISNUMBER(INDEX(Inputs!$K$5:$AJ$190,0,MATCH(AI$2,Inputs!$K$4:$AJ$4,0))))+SUMPRODUCT((Inputs!$C$5:$C$190=$B36)*ISNUMBER(INDEX(Inputs!$K$5:$AJ$190,0,MATCH(AI$2,Inputs!$K$4:$AJ$4,0))))+SUMPRODUCT((Inputs!$E$5:$E$190=$B36)*ISNUMBER(INDEX(Inputs!$K$5:$AJ$190,0,MATCH(AI$2,Inputs!$K$4:$AJ$4,0))))=0,NA(),SUMPRODUCT((Inputs!$A$5:$A$190=$B36)*Inputs!$B$5:$B$190*(((Inputs!$G$5:$G$190="moeda")+(Inputs!$G$5:$G$190="acoes"))*Inputs!$B$1+((Inputs!$G$5:$G$190&lt;&gt;"moeda")*(Inputs!$G$5:$G$190&lt;&gt;"acoes")))*INDEX(Inputs!$K$5:$AJ$190,0,MATCH(AI$2,Inputs!$K$4:$AJ$4,0)))+SUMPRODUCT((Inputs!$C$5:$C$190=$B36)*Inputs!$D$5:$D$190*(((Inputs!$G$5:$G$190="moeda")+(Inputs!$G$5:$G$190="acoes"))*Inputs!$B$1+((Inputs!$G$5:$G$190&lt;&gt;"moeda")*(Inputs!$G$5:$G$190&lt;&gt;"acoes")))*INDEX(Inputs!$K$5:$AJ$190,0,MATCH(AI$2,Inputs!$K$4:$AJ$4,0)))+SUMPRODUCT((Inputs!$E$5:$E$190=$B36)*Inputs!$F$5:$F$190*(((Inputs!$G$5:$G$190="moeda")+(Inputs!$G$5:$G$190="acoes"))*Inputs!$B$1+((Inputs!$G$5:$G$190&lt;&gt;"moeda")*(Inputs!$G$5:$G$190&lt;&gt;"acoes")))*INDEX(Inputs!$K$5:$AJ$190,0,MATCH(AI$2,Inputs!$K$4:$AJ$4,0)))))</f>
        <v>415.92150216</v>
      </c>
      <c r="AJ36" s="6">
        <f>IF(ISNA(MATCH(AJ$2,Inputs!$K$4:$AJ$4,0)),NA(),IF(SUMPRODUCT((Inputs!$A$5:$A$190=$B36)*ISNUMBER(INDEX(Inputs!$K$5:$AJ$190,0,MATCH(AJ$2,Inputs!$K$4:$AJ$4,0))))+SUMPRODUCT((Inputs!$C$5:$C$190=$B36)*ISNUMBER(INDEX(Inputs!$K$5:$AJ$190,0,MATCH(AJ$2,Inputs!$K$4:$AJ$4,0))))+SUMPRODUCT((Inputs!$E$5:$E$190=$B36)*ISNUMBER(INDEX(Inputs!$K$5:$AJ$190,0,MATCH(AJ$2,Inputs!$K$4:$AJ$4,0))))=0,NA(),SUMPRODUCT((Inputs!$A$5:$A$190=$B36)*Inputs!$B$5:$B$190*(((Inputs!$G$5:$G$190="moeda")+(Inputs!$G$5:$G$190="acoes"))*Inputs!$B$1+((Inputs!$G$5:$G$190&lt;&gt;"moeda")*(Inputs!$G$5:$G$190&lt;&gt;"acoes")))*INDEX(Inputs!$K$5:$AJ$190,0,MATCH(AJ$2,Inputs!$K$4:$AJ$4,0)))+SUMPRODUCT((Inputs!$C$5:$C$190=$B36)*Inputs!$D$5:$D$190*(((Inputs!$G$5:$G$190="moeda")+(Inputs!$G$5:$G$190="acoes"))*Inputs!$B$1+((Inputs!$G$5:$G$190&lt;&gt;"moeda")*(Inputs!$G$5:$G$190&lt;&gt;"acoes")))*INDEX(Inputs!$K$5:$AJ$190,0,MATCH(AJ$2,Inputs!$K$4:$AJ$4,0)))+SUMPRODUCT((Inputs!$E$5:$E$190=$B36)*Inputs!$F$5:$F$190*(((Inputs!$G$5:$G$190="moeda")+(Inputs!$G$5:$G$190="acoes"))*Inputs!$B$1+((Inputs!$G$5:$G$190&lt;&gt;"moeda")*(Inputs!$G$5:$G$190&lt;&gt;"acoes")))*INDEX(Inputs!$K$5:$AJ$190,0,MATCH(AJ$2,Inputs!$K$4:$AJ$4,0)))))</f>
        <v>421.728</v>
      </c>
      <c r="AK36" s="6">
        <f>IF(ISNA(MATCH(AK$2,Inputs!$K$4:$AJ$4,0)),NA(),IF(SUMPRODUCT((Inputs!$A$5:$A$190=$B36)*ISNUMBER(INDEX(Inputs!$K$5:$AJ$190,0,MATCH(AK$2,Inputs!$K$4:$AJ$4,0))))+SUMPRODUCT((Inputs!$C$5:$C$190=$B36)*ISNUMBER(INDEX(Inputs!$K$5:$AJ$190,0,MATCH(AK$2,Inputs!$K$4:$AJ$4,0))))+SUMPRODUCT((Inputs!$E$5:$E$190=$B36)*ISNUMBER(INDEX(Inputs!$K$5:$AJ$190,0,MATCH(AK$2,Inputs!$K$4:$AJ$4,0))))=0,NA(),SUMPRODUCT((Inputs!$A$5:$A$190=$B36)*Inputs!$B$5:$B$190*(((Inputs!$G$5:$G$190="moeda")+(Inputs!$G$5:$G$190="acoes"))*Inputs!$B$1+((Inputs!$G$5:$G$190&lt;&gt;"moeda")*(Inputs!$G$5:$G$190&lt;&gt;"acoes")))*INDEX(Inputs!$K$5:$AJ$190,0,MATCH(AK$2,Inputs!$K$4:$AJ$4,0)))+SUMPRODUCT((Inputs!$C$5:$C$190=$B36)*Inputs!$D$5:$D$190*(((Inputs!$G$5:$G$190="moeda")+(Inputs!$G$5:$G$190="acoes"))*Inputs!$B$1+((Inputs!$G$5:$G$190&lt;&gt;"moeda")*(Inputs!$G$5:$G$190&lt;&gt;"acoes")))*INDEX(Inputs!$K$5:$AJ$190,0,MATCH(AK$2,Inputs!$K$4:$AJ$4,0)))+SUMPRODUCT((Inputs!$E$5:$E$190=$B36)*Inputs!$F$5:$F$190*(((Inputs!$G$5:$G$190="moeda")+(Inputs!$G$5:$G$190="acoes"))*Inputs!$B$1+((Inputs!$G$5:$G$190&lt;&gt;"moeda")*(Inputs!$G$5:$G$190&lt;&gt;"acoes")))*INDEX(Inputs!$K$5:$AJ$190,0,MATCH(AK$2,Inputs!$K$4:$AJ$4,0)))))</f>
        <v>390.96589782</v>
      </c>
      <c r="AL36" s="3">
        <f>AK36</f>
        <v>390.96589782</v>
      </c>
    </row>
    <row r="37">
      <c r="B37" s="46" t="n">
        <v>32</v>
      </c>
      <c r="C37" s="26" t="inlineStr">
        <is>
          <t>Convertible debt</t>
        </is>
      </c>
      <c r="D37" s="6" t="e">
        <f>IF(ISNA(MATCH(D$2,Inputs!$K$4:$AJ$4,0)),NA(),IF(SUMPRODUCT((Inputs!$A$5:$A$190=$B37)*ISNUMBER(INDEX(Inputs!$K$5:$AJ$190,0,MATCH(D$2,Inputs!$K$4:$AJ$4,0))))+SUMPRODUCT((Inputs!$C$5:$C$190=$B37)*ISNUMBER(INDEX(Inputs!$K$5:$AJ$190,0,MATCH(D$2,Inputs!$K$4:$AJ$4,0))))+SUMPRODUCT((Inputs!$E$5:$E$190=$B37)*ISNUMBER(INDEX(Inputs!$K$5:$AJ$190,0,MATCH(D$2,Inputs!$K$4:$AJ$4,0))))=0,NA(),SUMPRODUCT((Inputs!$A$5:$A$190=$B37)*Inputs!$B$5:$B$190*(((Inputs!$G$5:$G$190="moeda")+(Inputs!$G$5:$G$190="acoes"))*Inputs!$B$1+((Inputs!$G$5:$G$190&lt;&gt;"moeda")*(Inputs!$G$5:$G$190&lt;&gt;"acoes")))*INDEX(Inputs!$K$5:$AJ$190,0,MATCH(D$2,Inputs!$K$4:$AJ$4,0)))+SUMPRODUCT((Inputs!$C$5:$C$190=$B37)*Inputs!$D$5:$D$190*(((Inputs!$G$5:$G$190="moeda")+(Inputs!$G$5:$G$190="acoes"))*Inputs!$B$1+((Inputs!$G$5:$G$190&lt;&gt;"moeda")*(Inputs!$G$5:$G$190&lt;&gt;"acoes")))*INDEX(Inputs!$K$5:$AJ$190,0,MATCH(D$2,Inputs!$K$4:$AJ$4,0)))+SUMPRODUCT((Inputs!$E$5:$E$190=$B37)*Inputs!$F$5:$F$190*(((Inputs!$G$5:$G$190="moeda")+(Inputs!$G$5:$G$190="acoes"))*Inputs!$B$1+((Inputs!$G$5:$G$190&lt;&gt;"moeda")*(Inputs!$G$5:$G$190&lt;&gt;"acoes")))*INDEX(Inputs!$K$5:$AJ$190,0,MATCH(D$2,Inputs!$K$4:$AJ$4,0)))))</f>
        <v>#N/A</v>
      </c>
      <c r="E37" s="6" t="e">
        <f>IF(ISNA(MATCH(E$2,Inputs!$K$4:$AJ$4,0)),NA(),IF(SUMPRODUCT((Inputs!$A$5:$A$190=$B37)*ISNUMBER(INDEX(Inputs!$K$5:$AJ$190,0,MATCH(E$2,Inputs!$K$4:$AJ$4,0))))+SUMPRODUCT((Inputs!$C$5:$C$190=$B37)*ISNUMBER(INDEX(Inputs!$K$5:$AJ$190,0,MATCH(E$2,Inputs!$K$4:$AJ$4,0))))+SUMPRODUCT((Inputs!$E$5:$E$190=$B37)*ISNUMBER(INDEX(Inputs!$K$5:$AJ$190,0,MATCH(E$2,Inputs!$K$4:$AJ$4,0))))=0,NA(),SUMPRODUCT((Inputs!$A$5:$A$190=$B37)*Inputs!$B$5:$B$190*(((Inputs!$G$5:$G$190="moeda")+(Inputs!$G$5:$G$190="acoes"))*Inputs!$B$1+((Inputs!$G$5:$G$190&lt;&gt;"moeda")*(Inputs!$G$5:$G$190&lt;&gt;"acoes")))*INDEX(Inputs!$K$5:$AJ$190,0,MATCH(E$2,Inputs!$K$4:$AJ$4,0)))+SUMPRODUCT((Inputs!$C$5:$C$190=$B37)*Inputs!$D$5:$D$190*(((Inputs!$G$5:$G$190="moeda")+(Inputs!$G$5:$G$190="acoes"))*Inputs!$B$1+((Inputs!$G$5:$G$190&lt;&gt;"moeda")*(Inputs!$G$5:$G$190&lt;&gt;"acoes")))*INDEX(Inputs!$K$5:$AJ$190,0,MATCH(E$2,Inputs!$K$4:$AJ$4,0)))+SUMPRODUCT((Inputs!$E$5:$E$190=$B37)*Inputs!$F$5:$F$190*(((Inputs!$G$5:$G$190="moeda")+(Inputs!$G$5:$G$190="acoes"))*Inputs!$B$1+((Inputs!$G$5:$G$190&lt;&gt;"moeda")*(Inputs!$G$5:$G$190&lt;&gt;"acoes")))*INDEX(Inputs!$K$5:$AJ$190,0,MATCH(E$2,Inputs!$K$4:$AJ$4,0)))))</f>
        <v>#N/A</v>
      </c>
      <c r="F37" s="6" t="e">
        <f>IF(ISNA(MATCH(F$2,Inputs!$K$4:$AJ$4,0)),NA(),IF(SUMPRODUCT((Inputs!$A$5:$A$190=$B37)*ISNUMBER(INDEX(Inputs!$K$5:$AJ$190,0,MATCH(F$2,Inputs!$K$4:$AJ$4,0))))+SUMPRODUCT((Inputs!$C$5:$C$190=$B37)*ISNUMBER(INDEX(Inputs!$K$5:$AJ$190,0,MATCH(F$2,Inputs!$K$4:$AJ$4,0))))+SUMPRODUCT((Inputs!$E$5:$E$190=$B37)*ISNUMBER(INDEX(Inputs!$K$5:$AJ$190,0,MATCH(F$2,Inputs!$K$4:$AJ$4,0))))=0,NA(),SUMPRODUCT((Inputs!$A$5:$A$190=$B37)*Inputs!$B$5:$B$190*(((Inputs!$G$5:$G$190="moeda")+(Inputs!$G$5:$G$190="acoes"))*Inputs!$B$1+((Inputs!$G$5:$G$190&lt;&gt;"moeda")*(Inputs!$G$5:$G$190&lt;&gt;"acoes")))*INDEX(Inputs!$K$5:$AJ$190,0,MATCH(F$2,Inputs!$K$4:$AJ$4,0)))+SUMPRODUCT((Inputs!$C$5:$C$190=$B37)*Inputs!$D$5:$D$190*(((Inputs!$G$5:$G$190="moeda")+(Inputs!$G$5:$G$190="acoes"))*Inputs!$B$1+((Inputs!$G$5:$G$190&lt;&gt;"moeda")*(Inputs!$G$5:$G$190&lt;&gt;"acoes")))*INDEX(Inputs!$K$5:$AJ$190,0,MATCH(F$2,Inputs!$K$4:$AJ$4,0)))+SUMPRODUCT((Inputs!$E$5:$E$190=$B37)*Inputs!$F$5:$F$190*(((Inputs!$G$5:$G$190="moeda")+(Inputs!$G$5:$G$190="acoes"))*Inputs!$B$1+((Inputs!$G$5:$G$190&lt;&gt;"moeda")*(Inputs!$G$5:$G$190&lt;&gt;"acoes")))*INDEX(Inputs!$K$5:$AJ$190,0,MATCH(F$2,Inputs!$K$4:$AJ$4,0)))))</f>
        <v>#N/A</v>
      </c>
      <c r="G37" s="6" t="e">
        <f>IF(ISNA(MATCH(G$2,Inputs!$K$4:$AJ$4,0)),NA(),IF(SUMPRODUCT((Inputs!$A$5:$A$190=$B37)*ISNUMBER(INDEX(Inputs!$K$5:$AJ$190,0,MATCH(G$2,Inputs!$K$4:$AJ$4,0))))+SUMPRODUCT((Inputs!$C$5:$C$190=$B37)*ISNUMBER(INDEX(Inputs!$K$5:$AJ$190,0,MATCH(G$2,Inputs!$K$4:$AJ$4,0))))+SUMPRODUCT((Inputs!$E$5:$E$190=$B37)*ISNUMBER(INDEX(Inputs!$K$5:$AJ$190,0,MATCH(G$2,Inputs!$K$4:$AJ$4,0))))=0,NA(),SUMPRODUCT((Inputs!$A$5:$A$190=$B37)*Inputs!$B$5:$B$190*(((Inputs!$G$5:$G$190="moeda")+(Inputs!$G$5:$G$190="acoes"))*Inputs!$B$1+((Inputs!$G$5:$G$190&lt;&gt;"moeda")*(Inputs!$G$5:$G$190&lt;&gt;"acoes")))*INDEX(Inputs!$K$5:$AJ$190,0,MATCH(G$2,Inputs!$K$4:$AJ$4,0)))+SUMPRODUCT((Inputs!$C$5:$C$190=$B37)*Inputs!$D$5:$D$190*(((Inputs!$G$5:$G$190="moeda")+(Inputs!$G$5:$G$190="acoes"))*Inputs!$B$1+((Inputs!$G$5:$G$190&lt;&gt;"moeda")*(Inputs!$G$5:$G$190&lt;&gt;"acoes")))*INDEX(Inputs!$K$5:$AJ$190,0,MATCH(G$2,Inputs!$K$4:$AJ$4,0)))+SUMPRODUCT((Inputs!$E$5:$E$190=$B37)*Inputs!$F$5:$F$190*(((Inputs!$G$5:$G$190="moeda")+(Inputs!$G$5:$G$190="acoes"))*Inputs!$B$1+((Inputs!$G$5:$G$190&lt;&gt;"moeda")*(Inputs!$G$5:$G$190&lt;&gt;"acoes")))*INDEX(Inputs!$K$5:$AJ$190,0,MATCH(G$2,Inputs!$K$4:$AJ$4,0)))))</f>
        <v>#N/A</v>
      </c>
      <c r="H37" s="3" t="e">
        <f>G37</f>
        <v>#N/A</v>
      </c>
      <c r="I37" s="6" t="e">
        <f>IF(ISNA(MATCH(I$2,Inputs!$K$4:$AJ$4,0)),NA(),IF(SUMPRODUCT((Inputs!$A$5:$A$190=$B37)*ISNUMBER(INDEX(Inputs!$K$5:$AJ$190,0,MATCH(I$2,Inputs!$K$4:$AJ$4,0))))+SUMPRODUCT((Inputs!$C$5:$C$190=$B37)*ISNUMBER(INDEX(Inputs!$K$5:$AJ$190,0,MATCH(I$2,Inputs!$K$4:$AJ$4,0))))+SUMPRODUCT((Inputs!$E$5:$E$190=$B37)*ISNUMBER(INDEX(Inputs!$K$5:$AJ$190,0,MATCH(I$2,Inputs!$K$4:$AJ$4,0))))=0,NA(),SUMPRODUCT((Inputs!$A$5:$A$190=$B37)*Inputs!$B$5:$B$190*(((Inputs!$G$5:$G$190="moeda")+(Inputs!$G$5:$G$190="acoes"))*Inputs!$B$1+((Inputs!$G$5:$G$190&lt;&gt;"moeda")*(Inputs!$G$5:$G$190&lt;&gt;"acoes")))*INDEX(Inputs!$K$5:$AJ$190,0,MATCH(I$2,Inputs!$K$4:$AJ$4,0)))+SUMPRODUCT((Inputs!$C$5:$C$190=$B37)*Inputs!$D$5:$D$190*(((Inputs!$G$5:$G$190="moeda")+(Inputs!$G$5:$G$190="acoes"))*Inputs!$B$1+((Inputs!$G$5:$G$190&lt;&gt;"moeda")*(Inputs!$G$5:$G$190&lt;&gt;"acoes")))*INDEX(Inputs!$K$5:$AJ$190,0,MATCH(I$2,Inputs!$K$4:$AJ$4,0)))+SUMPRODUCT((Inputs!$E$5:$E$190=$B37)*Inputs!$F$5:$F$190*(((Inputs!$G$5:$G$190="moeda")+(Inputs!$G$5:$G$190="acoes"))*Inputs!$B$1+((Inputs!$G$5:$G$190&lt;&gt;"moeda")*(Inputs!$G$5:$G$190&lt;&gt;"acoes")))*INDEX(Inputs!$K$5:$AJ$190,0,MATCH(I$2,Inputs!$K$4:$AJ$4,0)))))</f>
        <v>#N/A</v>
      </c>
      <c r="J37" s="6" t="e">
        <f>IF(ISNA(MATCH(J$2,Inputs!$K$4:$AJ$4,0)),NA(),IF(SUMPRODUCT((Inputs!$A$5:$A$190=$B37)*ISNUMBER(INDEX(Inputs!$K$5:$AJ$190,0,MATCH(J$2,Inputs!$K$4:$AJ$4,0))))+SUMPRODUCT((Inputs!$C$5:$C$190=$B37)*ISNUMBER(INDEX(Inputs!$K$5:$AJ$190,0,MATCH(J$2,Inputs!$K$4:$AJ$4,0))))+SUMPRODUCT((Inputs!$E$5:$E$190=$B37)*ISNUMBER(INDEX(Inputs!$K$5:$AJ$190,0,MATCH(J$2,Inputs!$K$4:$AJ$4,0))))=0,NA(),SUMPRODUCT((Inputs!$A$5:$A$190=$B37)*Inputs!$B$5:$B$190*(((Inputs!$G$5:$G$190="moeda")+(Inputs!$G$5:$G$190="acoes"))*Inputs!$B$1+((Inputs!$G$5:$G$190&lt;&gt;"moeda")*(Inputs!$G$5:$G$190&lt;&gt;"acoes")))*INDEX(Inputs!$K$5:$AJ$190,0,MATCH(J$2,Inputs!$K$4:$AJ$4,0)))+SUMPRODUCT((Inputs!$C$5:$C$190=$B37)*Inputs!$D$5:$D$190*(((Inputs!$G$5:$G$190="moeda")+(Inputs!$G$5:$G$190="acoes"))*Inputs!$B$1+((Inputs!$G$5:$G$190&lt;&gt;"moeda")*(Inputs!$G$5:$G$190&lt;&gt;"acoes")))*INDEX(Inputs!$K$5:$AJ$190,0,MATCH(J$2,Inputs!$K$4:$AJ$4,0)))+SUMPRODUCT((Inputs!$E$5:$E$190=$B37)*Inputs!$F$5:$F$190*(((Inputs!$G$5:$G$190="moeda")+(Inputs!$G$5:$G$190="acoes"))*Inputs!$B$1+((Inputs!$G$5:$G$190&lt;&gt;"moeda")*(Inputs!$G$5:$G$190&lt;&gt;"acoes")))*INDEX(Inputs!$K$5:$AJ$190,0,MATCH(J$2,Inputs!$K$4:$AJ$4,0)))))</f>
        <v>#N/A</v>
      </c>
      <c r="K37" s="6" t="e">
        <f>IF(ISNA(MATCH(K$2,Inputs!$K$4:$AJ$4,0)),NA(),IF(SUMPRODUCT((Inputs!$A$5:$A$190=$B37)*ISNUMBER(INDEX(Inputs!$K$5:$AJ$190,0,MATCH(K$2,Inputs!$K$4:$AJ$4,0))))+SUMPRODUCT((Inputs!$C$5:$C$190=$B37)*ISNUMBER(INDEX(Inputs!$K$5:$AJ$190,0,MATCH(K$2,Inputs!$K$4:$AJ$4,0))))+SUMPRODUCT((Inputs!$E$5:$E$190=$B37)*ISNUMBER(INDEX(Inputs!$K$5:$AJ$190,0,MATCH(K$2,Inputs!$K$4:$AJ$4,0))))=0,NA(),SUMPRODUCT((Inputs!$A$5:$A$190=$B37)*Inputs!$B$5:$B$190*(((Inputs!$G$5:$G$190="moeda")+(Inputs!$G$5:$G$190="acoes"))*Inputs!$B$1+((Inputs!$G$5:$G$190&lt;&gt;"moeda")*(Inputs!$G$5:$G$190&lt;&gt;"acoes")))*INDEX(Inputs!$K$5:$AJ$190,0,MATCH(K$2,Inputs!$K$4:$AJ$4,0)))+SUMPRODUCT((Inputs!$C$5:$C$190=$B37)*Inputs!$D$5:$D$190*(((Inputs!$G$5:$G$190="moeda")+(Inputs!$G$5:$G$190="acoes"))*Inputs!$B$1+((Inputs!$G$5:$G$190&lt;&gt;"moeda")*(Inputs!$G$5:$G$190&lt;&gt;"acoes")))*INDEX(Inputs!$K$5:$AJ$190,0,MATCH(K$2,Inputs!$K$4:$AJ$4,0)))+SUMPRODUCT((Inputs!$E$5:$E$190=$B37)*Inputs!$F$5:$F$190*(((Inputs!$G$5:$G$190="moeda")+(Inputs!$G$5:$G$190="acoes"))*Inputs!$B$1+((Inputs!$G$5:$G$190&lt;&gt;"moeda")*(Inputs!$G$5:$G$190&lt;&gt;"acoes")))*INDEX(Inputs!$K$5:$AJ$190,0,MATCH(K$2,Inputs!$K$4:$AJ$4,0)))))</f>
        <v>#N/A</v>
      </c>
      <c r="L37" s="6" t="e">
        <f>IF(ISNA(MATCH(L$2,Inputs!$K$4:$AJ$4,0)),NA(),IF(SUMPRODUCT((Inputs!$A$5:$A$190=$B37)*ISNUMBER(INDEX(Inputs!$K$5:$AJ$190,0,MATCH(L$2,Inputs!$K$4:$AJ$4,0))))+SUMPRODUCT((Inputs!$C$5:$C$190=$B37)*ISNUMBER(INDEX(Inputs!$K$5:$AJ$190,0,MATCH(L$2,Inputs!$K$4:$AJ$4,0))))+SUMPRODUCT((Inputs!$E$5:$E$190=$B37)*ISNUMBER(INDEX(Inputs!$K$5:$AJ$190,0,MATCH(L$2,Inputs!$K$4:$AJ$4,0))))=0,NA(),SUMPRODUCT((Inputs!$A$5:$A$190=$B37)*Inputs!$B$5:$B$190*(((Inputs!$G$5:$G$190="moeda")+(Inputs!$G$5:$G$190="acoes"))*Inputs!$B$1+((Inputs!$G$5:$G$190&lt;&gt;"moeda")*(Inputs!$G$5:$G$190&lt;&gt;"acoes")))*INDEX(Inputs!$K$5:$AJ$190,0,MATCH(L$2,Inputs!$K$4:$AJ$4,0)))+SUMPRODUCT((Inputs!$C$5:$C$190=$B37)*Inputs!$D$5:$D$190*(((Inputs!$G$5:$G$190="moeda")+(Inputs!$G$5:$G$190="acoes"))*Inputs!$B$1+((Inputs!$G$5:$G$190&lt;&gt;"moeda")*(Inputs!$G$5:$G$190&lt;&gt;"acoes")))*INDEX(Inputs!$K$5:$AJ$190,0,MATCH(L$2,Inputs!$K$4:$AJ$4,0)))+SUMPRODUCT((Inputs!$E$5:$E$190=$B37)*Inputs!$F$5:$F$190*(((Inputs!$G$5:$G$190="moeda")+(Inputs!$G$5:$G$190="acoes"))*Inputs!$B$1+((Inputs!$G$5:$G$190&lt;&gt;"moeda")*(Inputs!$G$5:$G$190&lt;&gt;"acoes")))*INDEX(Inputs!$K$5:$AJ$190,0,MATCH(L$2,Inputs!$K$4:$AJ$4,0)))))</f>
        <v>#N/A</v>
      </c>
      <c r="M37" s="3" t="e">
        <f>L37</f>
        <v>#N/A</v>
      </c>
      <c r="N37" s="6" t="e">
        <f>IF(ISNA(MATCH(N$2,Inputs!$K$4:$AJ$4,0)),NA(),IF(SUMPRODUCT((Inputs!$A$5:$A$190=$B37)*ISNUMBER(INDEX(Inputs!$K$5:$AJ$190,0,MATCH(N$2,Inputs!$K$4:$AJ$4,0))))+SUMPRODUCT((Inputs!$C$5:$C$190=$B37)*ISNUMBER(INDEX(Inputs!$K$5:$AJ$190,0,MATCH(N$2,Inputs!$K$4:$AJ$4,0))))+SUMPRODUCT((Inputs!$E$5:$E$190=$B37)*ISNUMBER(INDEX(Inputs!$K$5:$AJ$190,0,MATCH(N$2,Inputs!$K$4:$AJ$4,0))))=0,NA(),SUMPRODUCT((Inputs!$A$5:$A$190=$B37)*Inputs!$B$5:$B$190*(((Inputs!$G$5:$G$190="moeda")+(Inputs!$G$5:$G$190="acoes"))*Inputs!$B$1+((Inputs!$G$5:$G$190&lt;&gt;"moeda")*(Inputs!$G$5:$G$190&lt;&gt;"acoes")))*INDEX(Inputs!$K$5:$AJ$190,0,MATCH(N$2,Inputs!$K$4:$AJ$4,0)))+SUMPRODUCT((Inputs!$C$5:$C$190=$B37)*Inputs!$D$5:$D$190*(((Inputs!$G$5:$G$190="moeda")+(Inputs!$G$5:$G$190="acoes"))*Inputs!$B$1+((Inputs!$G$5:$G$190&lt;&gt;"moeda")*(Inputs!$G$5:$G$190&lt;&gt;"acoes")))*INDEX(Inputs!$K$5:$AJ$190,0,MATCH(N$2,Inputs!$K$4:$AJ$4,0)))+SUMPRODUCT((Inputs!$E$5:$E$190=$B37)*Inputs!$F$5:$F$190*(((Inputs!$G$5:$G$190="moeda")+(Inputs!$G$5:$G$190="acoes"))*Inputs!$B$1+((Inputs!$G$5:$G$190&lt;&gt;"moeda")*(Inputs!$G$5:$G$190&lt;&gt;"acoes")))*INDEX(Inputs!$K$5:$AJ$190,0,MATCH(N$2,Inputs!$K$4:$AJ$4,0)))))</f>
        <v>#N/A</v>
      </c>
      <c r="O37" s="6" t="e">
        <f>IF(ISNA(MATCH(O$2,Inputs!$K$4:$AJ$4,0)),NA(),IF(SUMPRODUCT((Inputs!$A$5:$A$190=$B37)*ISNUMBER(INDEX(Inputs!$K$5:$AJ$190,0,MATCH(O$2,Inputs!$K$4:$AJ$4,0))))+SUMPRODUCT((Inputs!$C$5:$C$190=$B37)*ISNUMBER(INDEX(Inputs!$K$5:$AJ$190,0,MATCH(O$2,Inputs!$K$4:$AJ$4,0))))+SUMPRODUCT((Inputs!$E$5:$E$190=$B37)*ISNUMBER(INDEX(Inputs!$K$5:$AJ$190,0,MATCH(O$2,Inputs!$K$4:$AJ$4,0))))=0,NA(),SUMPRODUCT((Inputs!$A$5:$A$190=$B37)*Inputs!$B$5:$B$190*(((Inputs!$G$5:$G$190="moeda")+(Inputs!$G$5:$G$190="acoes"))*Inputs!$B$1+((Inputs!$G$5:$G$190&lt;&gt;"moeda")*(Inputs!$G$5:$G$190&lt;&gt;"acoes")))*INDEX(Inputs!$K$5:$AJ$190,0,MATCH(O$2,Inputs!$K$4:$AJ$4,0)))+SUMPRODUCT((Inputs!$C$5:$C$190=$B37)*Inputs!$D$5:$D$190*(((Inputs!$G$5:$G$190="moeda")+(Inputs!$G$5:$G$190="acoes"))*Inputs!$B$1+((Inputs!$G$5:$G$190&lt;&gt;"moeda")*(Inputs!$G$5:$G$190&lt;&gt;"acoes")))*INDEX(Inputs!$K$5:$AJ$190,0,MATCH(O$2,Inputs!$K$4:$AJ$4,0)))+SUMPRODUCT((Inputs!$E$5:$E$190=$B37)*Inputs!$F$5:$F$190*(((Inputs!$G$5:$G$190="moeda")+(Inputs!$G$5:$G$190="acoes"))*Inputs!$B$1+((Inputs!$G$5:$G$190&lt;&gt;"moeda")*(Inputs!$G$5:$G$190&lt;&gt;"acoes")))*INDEX(Inputs!$K$5:$AJ$190,0,MATCH(O$2,Inputs!$K$4:$AJ$4,0)))))</f>
        <v>#N/A</v>
      </c>
      <c r="P37" s="6" t="e">
        <f>IF(ISNA(MATCH(P$2,Inputs!$K$4:$AJ$4,0)),NA(),IF(SUMPRODUCT((Inputs!$A$5:$A$190=$B37)*ISNUMBER(INDEX(Inputs!$K$5:$AJ$190,0,MATCH(P$2,Inputs!$K$4:$AJ$4,0))))+SUMPRODUCT((Inputs!$C$5:$C$190=$B37)*ISNUMBER(INDEX(Inputs!$K$5:$AJ$190,0,MATCH(P$2,Inputs!$K$4:$AJ$4,0))))+SUMPRODUCT((Inputs!$E$5:$E$190=$B37)*ISNUMBER(INDEX(Inputs!$K$5:$AJ$190,0,MATCH(P$2,Inputs!$K$4:$AJ$4,0))))=0,NA(),SUMPRODUCT((Inputs!$A$5:$A$190=$B37)*Inputs!$B$5:$B$190*(((Inputs!$G$5:$G$190="moeda")+(Inputs!$G$5:$G$190="acoes"))*Inputs!$B$1+((Inputs!$G$5:$G$190&lt;&gt;"moeda")*(Inputs!$G$5:$G$190&lt;&gt;"acoes")))*INDEX(Inputs!$K$5:$AJ$190,0,MATCH(P$2,Inputs!$K$4:$AJ$4,0)))+SUMPRODUCT((Inputs!$C$5:$C$190=$B37)*Inputs!$D$5:$D$190*(((Inputs!$G$5:$G$190="moeda")+(Inputs!$G$5:$G$190="acoes"))*Inputs!$B$1+((Inputs!$G$5:$G$190&lt;&gt;"moeda")*(Inputs!$G$5:$G$190&lt;&gt;"acoes")))*INDEX(Inputs!$K$5:$AJ$190,0,MATCH(P$2,Inputs!$K$4:$AJ$4,0)))+SUMPRODUCT((Inputs!$E$5:$E$190=$B37)*Inputs!$F$5:$F$190*(((Inputs!$G$5:$G$190="moeda")+(Inputs!$G$5:$G$190="acoes"))*Inputs!$B$1+((Inputs!$G$5:$G$190&lt;&gt;"moeda")*(Inputs!$G$5:$G$190&lt;&gt;"acoes")))*INDEX(Inputs!$K$5:$AJ$190,0,MATCH(P$2,Inputs!$K$4:$AJ$4,0)))))</f>
        <v>#N/A</v>
      </c>
      <c r="Q37" s="6" t="e">
        <f>IF(ISNA(MATCH(Q$2,Inputs!$K$4:$AJ$4,0)),NA(),IF(SUMPRODUCT((Inputs!$A$5:$A$190=$B37)*ISNUMBER(INDEX(Inputs!$K$5:$AJ$190,0,MATCH(Q$2,Inputs!$K$4:$AJ$4,0))))+SUMPRODUCT((Inputs!$C$5:$C$190=$B37)*ISNUMBER(INDEX(Inputs!$K$5:$AJ$190,0,MATCH(Q$2,Inputs!$K$4:$AJ$4,0))))+SUMPRODUCT((Inputs!$E$5:$E$190=$B37)*ISNUMBER(INDEX(Inputs!$K$5:$AJ$190,0,MATCH(Q$2,Inputs!$K$4:$AJ$4,0))))=0,NA(),SUMPRODUCT((Inputs!$A$5:$A$190=$B37)*Inputs!$B$5:$B$190*(((Inputs!$G$5:$G$190="moeda")+(Inputs!$G$5:$G$190="acoes"))*Inputs!$B$1+((Inputs!$G$5:$G$190&lt;&gt;"moeda")*(Inputs!$G$5:$G$190&lt;&gt;"acoes")))*INDEX(Inputs!$K$5:$AJ$190,0,MATCH(Q$2,Inputs!$K$4:$AJ$4,0)))+SUMPRODUCT((Inputs!$C$5:$C$190=$B37)*Inputs!$D$5:$D$190*(((Inputs!$G$5:$G$190="moeda")+(Inputs!$G$5:$G$190="acoes"))*Inputs!$B$1+((Inputs!$G$5:$G$190&lt;&gt;"moeda")*(Inputs!$G$5:$G$190&lt;&gt;"acoes")))*INDEX(Inputs!$K$5:$AJ$190,0,MATCH(Q$2,Inputs!$K$4:$AJ$4,0)))+SUMPRODUCT((Inputs!$E$5:$E$190=$B37)*Inputs!$F$5:$F$190*(((Inputs!$G$5:$G$190="moeda")+(Inputs!$G$5:$G$190="acoes"))*Inputs!$B$1+((Inputs!$G$5:$G$190&lt;&gt;"moeda")*(Inputs!$G$5:$G$190&lt;&gt;"acoes")))*INDEX(Inputs!$K$5:$AJ$190,0,MATCH(Q$2,Inputs!$K$4:$AJ$4,0)))))</f>
        <v>#N/A</v>
      </c>
      <c r="R37" s="3" t="e">
        <f>Q37</f>
        <v>#N/A</v>
      </c>
      <c r="S37" s="6" t="e">
        <f>IF(ISNA(MATCH(S$2,Inputs!$K$4:$AJ$4,0)),NA(),IF(SUMPRODUCT((Inputs!$A$5:$A$190=$B37)*ISNUMBER(INDEX(Inputs!$K$5:$AJ$190,0,MATCH(S$2,Inputs!$K$4:$AJ$4,0))))+SUMPRODUCT((Inputs!$C$5:$C$190=$B37)*ISNUMBER(INDEX(Inputs!$K$5:$AJ$190,0,MATCH(S$2,Inputs!$K$4:$AJ$4,0))))+SUMPRODUCT((Inputs!$E$5:$E$190=$B37)*ISNUMBER(INDEX(Inputs!$K$5:$AJ$190,0,MATCH(S$2,Inputs!$K$4:$AJ$4,0))))=0,NA(),SUMPRODUCT((Inputs!$A$5:$A$190=$B37)*Inputs!$B$5:$B$190*(((Inputs!$G$5:$G$190="moeda")+(Inputs!$G$5:$G$190="acoes"))*Inputs!$B$1+((Inputs!$G$5:$G$190&lt;&gt;"moeda")*(Inputs!$G$5:$G$190&lt;&gt;"acoes")))*INDEX(Inputs!$K$5:$AJ$190,0,MATCH(S$2,Inputs!$K$4:$AJ$4,0)))+SUMPRODUCT((Inputs!$C$5:$C$190=$B37)*Inputs!$D$5:$D$190*(((Inputs!$G$5:$G$190="moeda")+(Inputs!$G$5:$G$190="acoes"))*Inputs!$B$1+((Inputs!$G$5:$G$190&lt;&gt;"moeda")*(Inputs!$G$5:$G$190&lt;&gt;"acoes")))*INDEX(Inputs!$K$5:$AJ$190,0,MATCH(S$2,Inputs!$K$4:$AJ$4,0)))+SUMPRODUCT((Inputs!$E$5:$E$190=$B37)*Inputs!$F$5:$F$190*(((Inputs!$G$5:$G$190="moeda")+(Inputs!$G$5:$G$190="acoes"))*Inputs!$B$1+((Inputs!$G$5:$G$190&lt;&gt;"moeda")*(Inputs!$G$5:$G$190&lt;&gt;"acoes")))*INDEX(Inputs!$K$5:$AJ$190,0,MATCH(S$2,Inputs!$K$4:$AJ$4,0)))))</f>
        <v>#N/A</v>
      </c>
      <c r="T37" s="6" t="e">
        <f>IF(ISNA(MATCH(T$2,Inputs!$K$4:$AJ$4,0)),NA(),IF(SUMPRODUCT((Inputs!$A$5:$A$190=$B37)*ISNUMBER(INDEX(Inputs!$K$5:$AJ$190,0,MATCH(T$2,Inputs!$K$4:$AJ$4,0))))+SUMPRODUCT((Inputs!$C$5:$C$190=$B37)*ISNUMBER(INDEX(Inputs!$K$5:$AJ$190,0,MATCH(T$2,Inputs!$K$4:$AJ$4,0))))+SUMPRODUCT((Inputs!$E$5:$E$190=$B37)*ISNUMBER(INDEX(Inputs!$K$5:$AJ$190,0,MATCH(T$2,Inputs!$K$4:$AJ$4,0))))=0,NA(),SUMPRODUCT((Inputs!$A$5:$A$190=$B37)*Inputs!$B$5:$B$190*(((Inputs!$G$5:$G$190="moeda")+(Inputs!$G$5:$G$190="acoes"))*Inputs!$B$1+((Inputs!$G$5:$G$190&lt;&gt;"moeda")*(Inputs!$G$5:$G$190&lt;&gt;"acoes")))*INDEX(Inputs!$K$5:$AJ$190,0,MATCH(T$2,Inputs!$K$4:$AJ$4,0)))+SUMPRODUCT((Inputs!$C$5:$C$190=$B37)*Inputs!$D$5:$D$190*(((Inputs!$G$5:$G$190="moeda")+(Inputs!$G$5:$G$190="acoes"))*Inputs!$B$1+((Inputs!$G$5:$G$190&lt;&gt;"moeda")*(Inputs!$G$5:$G$190&lt;&gt;"acoes")))*INDEX(Inputs!$K$5:$AJ$190,0,MATCH(T$2,Inputs!$K$4:$AJ$4,0)))+SUMPRODUCT((Inputs!$E$5:$E$190=$B37)*Inputs!$F$5:$F$190*(((Inputs!$G$5:$G$190="moeda")+(Inputs!$G$5:$G$190="acoes"))*Inputs!$B$1+((Inputs!$G$5:$G$190&lt;&gt;"moeda")*(Inputs!$G$5:$G$190&lt;&gt;"acoes")))*INDEX(Inputs!$K$5:$AJ$190,0,MATCH(T$2,Inputs!$K$4:$AJ$4,0)))))</f>
        <v>#N/A</v>
      </c>
      <c r="U37" s="6" t="e">
        <f>IF(ISNA(MATCH(U$2,Inputs!$K$4:$AJ$4,0)),NA(),IF(SUMPRODUCT((Inputs!$A$5:$A$190=$B37)*ISNUMBER(INDEX(Inputs!$K$5:$AJ$190,0,MATCH(U$2,Inputs!$K$4:$AJ$4,0))))+SUMPRODUCT((Inputs!$C$5:$C$190=$B37)*ISNUMBER(INDEX(Inputs!$K$5:$AJ$190,0,MATCH(U$2,Inputs!$K$4:$AJ$4,0))))+SUMPRODUCT((Inputs!$E$5:$E$190=$B37)*ISNUMBER(INDEX(Inputs!$K$5:$AJ$190,0,MATCH(U$2,Inputs!$K$4:$AJ$4,0))))=0,NA(),SUMPRODUCT((Inputs!$A$5:$A$190=$B37)*Inputs!$B$5:$B$190*(((Inputs!$G$5:$G$190="moeda")+(Inputs!$G$5:$G$190="acoes"))*Inputs!$B$1+((Inputs!$G$5:$G$190&lt;&gt;"moeda")*(Inputs!$G$5:$G$190&lt;&gt;"acoes")))*INDEX(Inputs!$K$5:$AJ$190,0,MATCH(U$2,Inputs!$K$4:$AJ$4,0)))+SUMPRODUCT((Inputs!$C$5:$C$190=$B37)*Inputs!$D$5:$D$190*(((Inputs!$G$5:$G$190="moeda")+(Inputs!$G$5:$G$190="acoes"))*Inputs!$B$1+((Inputs!$G$5:$G$190&lt;&gt;"moeda")*(Inputs!$G$5:$G$190&lt;&gt;"acoes")))*INDEX(Inputs!$K$5:$AJ$190,0,MATCH(U$2,Inputs!$K$4:$AJ$4,0)))+SUMPRODUCT((Inputs!$E$5:$E$190=$B37)*Inputs!$F$5:$F$190*(((Inputs!$G$5:$G$190="moeda")+(Inputs!$G$5:$G$190="acoes"))*Inputs!$B$1+((Inputs!$G$5:$G$190&lt;&gt;"moeda")*(Inputs!$G$5:$G$190&lt;&gt;"acoes")))*INDEX(Inputs!$K$5:$AJ$190,0,MATCH(U$2,Inputs!$K$4:$AJ$4,0)))))</f>
        <v>#N/A</v>
      </c>
      <c r="V37" s="6" t="e">
        <f>IF(ISNA(MATCH(V$2,Inputs!$K$4:$AJ$4,0)),NA(),IF(SUMPRODUCT((Inputs!$A$5:$A$190=$B37)*ISNUMBER(INDEX(Inputs!$K$5:$AJ$190,0,MATCH(V$2,Inputs!$K$4:$AJ$4,0))))+SUMPRODUCT((Inputs!$C$5:$C$190=$B37)*ISNUMBER(INDEX(Inputs!$K$5:$AJ$190,0,MATCH(V$2,Inputs!$K$4:$AJ$4,0))))+SUMPRODUCT((Inputs!$E$5:$E$190=$B37)*ISNUMBER(INDEX(Inputs!$K$5:$AJ$190,0,MATCH(V$2,Inputs!$K$4:$AJ$4,0))))=0,NA(),SUMPRODUCT((Inputs!$A$5:$A$190=$B37)*Inputs!$B$5:$B$190*(((Inputs!$G$5:$G$190="moeda")+(Inputs!$G$5:$G$190="acoes"))*Inputs!$B$1+((Inputs!$G$5:$G$190&lt;&gt;"moeda")*(Inputs!$G$5:$G$190&lt;&gt;"acoes")))*INDEX(Inputs!$K$5:$AJ$190,0,MATCH(V$2,Inputs!$K$4:$AJ$4,0)))+SUMPRODUCT((Inputs!$C$5:$C$190=$B37)*Inputs!$D$5:$D$190*(((Inputs!$G$5:$G$190="moeda")+(Inputs!$G$5:$G$190="acoes"))*Inputs!$B$1+((Inputs!$G$5:$G$190&lt;&gt;"moeda")*(Inputs!$G$5:$G$190&lt;&gt;"acoes")))*INDEX(Inputs!$K$5:$AJ$190,0,MATCH(V$2,Inputs!$K$4:$AJ$4,0)))+SUMPRODUCT((Inputs!$E$5:$E$190=$B37)*Inputs!$F$5:$F$190*(((Inputs!$G$5:$G$190="moeda")+(Inputs!$G$5:$G$190="acoes"))*Inputs!$B$1+((Inputs!$G$5:$G$190&lt;&gt;"moeda")*(Inputs!$G$5:$G$190&lt;&gt;"acoes")))*INDEX(Inputs!$K$5:$AJ$190,0,MATCH(V$2,Inputs!$K$4:$AJ$4,0)))))</f>
        <v>#N/A</v>
      </c>
      <c r="W37" s="3" t="e">
        <f>V37</f>
        <v>#N/A</v>
      </c>
      <c r="X37" s="6" t="e">
        <f>IF(ISNA(MATCH(X$2,Inputs!$K$4:$AJ$4,0)),NA(),IF(SUMPRODUCT((Inputs!$A$5:$A$190=$B37)*ISNUMBER(INDEX(Inputs!$K$5:$AJ$190,0,MATCH(X$2,Inputs!$K$4:$AJ$4,0))))+SUMPRODUCT((Inputs!$C$5:$C$190=$B37)*ISNUMBER(INDEX(Inputs!$K$5:$AJ$190,0,MATCH(X$2,Inputs!$K$4:$AJ$4,0))))+SUMPRODUCT((Inputs!$E$5:$E$190=$B37)*ISNUMBER(INDEX(Inputs!$K$5:$AJ$190,0,MATCH(X$2,Inputs!$K$4:$AJ$4,0))))=0,NA(),SUMPRODUCT((Inputs!$A$5:$A$190=$B37)*Inputs!$B$5:$B$190*(((Inputs!$G$5:$G$190="moeda")+(Inputs!$G$5:$G$190="acoes"))*Inputs!$B$1+((Inputs!$G$5:$G$190&lt;&gt;"moeda")*(Inputs!$G$5:$G$190&lt;&gt;"acoes")))*INDEX(Inputs!$K$5:$AJ$190,0,MATCH(X$2,Inputs!$K$4:$AJ$4,0)))+SUMPRODUCT((Inputs!$C$5:$C$190=$B37)*Inputs!$D$5:$D$190*(((Inputs!$G$5:$G$190="moeda")+(Inputs!$G$5:$G$190="acoes"))*Inputs!$B$1+((Inputs!$G$5:$G$190&lt;&gt;"moeda")*(Inputs!$G$5:$G$190&lt;&gt;"acoes")))*INDEX(Inputs!$K$5:$AJ$190,0,MATCH(X$2,Inputs!$K$4:$AJ$4,0)))+SUMPRODUCT((Inputs!$E$5:$E$190=$B37)*Inputs!$F$5:$F$190*(((Inputs!$G$5:$G$190="moeda")+(Inputs!$G$5:$G$190="acoes"))*Inputs!$B$1+((Inputs!$G$5:$G$190&lt;&gt;"moeda")*(Inputs!$G$5:$G$190&lt;&gt;"acoes")))*INDEX(Inputs!$K$5:$AJ$190,0,MATCH(X$2,Inputs!$K$4:$AJ$4,0)))))</f>
        <v>#N/A</v>
      </c>
      <c r="Y37" s="6" t="e">
        <f>IF(ISNA(MATCH(Y$2,Inputs!$K$4:$AJ$4,0)),NA(),IF(SUMPRODUCT((Inputs!$A$5:$A$190=$B37)*ISNUMBER(INDEX(Inputs!$K$5:$AJ$190,0,MATCH(Y$2,Inputs!$K$4:$AJ$4,0))))+SUMPRODUCT((Inputs!$C$5:$C$190=$B37)*ISNUMBER(INDEX(Inputs!$K$5:$AJ$190,0,MATCH(Y$2,Inputs!$K$4:$AJ$4,0))))+SUMPRODUCT((Inputs!$E$5:$E$190=$B37)*ISNUMBER(INDEX(Inputs!$K$5:$AJ$190,0,MATCH(Y$2,Inputs!$K$4:$AJ$4,0))))=0,NA(),SUMPRODUCT((Inputs!$A$5:$A$190=$B37)*Inputs!$B$5:$B$190*(((Inputs!$G$5:$G$190="moeda")+(Inputs!$G$5:$G$190="acoes"))*Inputs!$B$1+((Inputs!$G$5:$G$190&lt;&gt;"moeda")*(Inputs!$G$5:$G$190&lt;&gt;"acoes")))*INDEX(Inputs!$K$5:$AJ$190,0,MATCH(Y$2,Inputs!$K$4:$AJ$4,0)))+SUMPRODUCT((Inputs!$C$5:$C$190=$B37)*Inputs!$D$5:$D$190*(((Inputs!$G$5:$G$190="moeda")+(Inputs!$G$5:$G$190="acoes"))*Inputs!$B$1+((Inputs!$G$5:$G$190&lt;&gt;"moeda")*(Inputs!$G$5:$G$190&lt;&gt;"acoes")))*INDEX(Inputs!$K$5:$AJ$190,0,MATCH(Y$2,Inputs!$K$4:$AJ$4,0)))+SUMPRODUCT((Inputs!$E$5:$E$190=$B37)*Inputs!$F$5:$F$190*(((Inputs!$G$5:$G$190="moeda")+(Inputs!$G$5:$G$190="acoes"))*Inputs!$B$1+((Inputs!$G$5:$G$190&lt;&gt;"moeda")*(Inputs!$G$5:$G$190&lt;&gt;"acoes")))*INDEX(Inputs!$K$5:$AJ$190,0,MATCH(Y$2,Inputs!$K$4:$AJ$4,0)))))</f>
        <v>#N/A</v>
      </c>
      <c r="Z37" s="6" t="e">
        <f>IF(ISNA(MATCH(Z$2,Inputs!$K$4:$AJ$4,0)),NA(),IF(SUMPRODUCT((Inputs!$A$5:$A$190=$B37)*ISNUMBER(INDEX(Inputs!$K$5:$AJ$190,0,MATCH(Z$2,Inputs!$K$4:$AJ$4,0))))+SUMPRODUCT((Inputs!$C$5:$C$190=$B37)*ISNUMBER(INDEX(Inputs!$K$5:$AJ$190,0,MATCH(Z$2,Inputs!$K$4:$AJ$4,0))))+SUMPRODUCT((Inputs!$E$5:$E$190=$B37)*ISNUMBER(INDEX(Inputs!$K$5:$AJ$190,0,MATCH(Z$2,Inputs!$K$4:$AJ$4,0))))=0,NA(),SUMPRODUCT((Inputs!$A$5:$A$190=$B37)*Inputs!$B$5:$B$190*(((Inputs!$G$5:$G$190="moeda")+(Inputs!$G$5:$G$190="acoes"))*Inputs!$B$1+((Inputs!$G$5:$G$190&lt;&gt;"moeda")*(Inputs!$G$5:$G$190&lt;&gt;"acoes")))*INDEX(Inputs!$K$5:$AJ$190,0,MATCH(Z$2,Inputs!$K$4:$AJ$4,0)))+SUMPRODUCT((Inputs!$C$5:$C$190=$B37)*Inputs!$D$5:$D$190*(((Inputs!$G$5:$G$190="moeda")+(Inputs!$G$5:$G$190="acoes"))*Inputs!$B$1+((Inputs!$G$5:$G$190&lt;&gt;"moeda")*(Inputs!$G$5:$G$190&lt;&gt;"acoes")))*INDEX(Inputs!$K$5:$AJ$190,0,MATCH(Z$2,Inputs!$K$4:$AJ$4,0)))+SUMPRODUCT((Inputs!$E$5:$E$190=$B37)*Inputs!$F$5:$F$190*(((Inputs!$G$5:$G$190="moeda")+(Inputs!$G$5:$G$190="acoes"))*Inputs!$B$1+((Inputs!$G$5:$G$190&lt;&gt;"moeda")*(Inputs!$G$5:$G$190&lt;&gt;"acoes")))*INDEX(Inputs!$K$5:$AJ$190,0,MATCH(Z$2,Inputs!$K$4:$AJ$4,0)))))</f>
        <v>#N/A</v>
      </c>
      <c r="AA37" s="6" t="e">
        <f>IF(ISNA(MATCH(AA$2,Inputs!$K$4:$AJ$4,0)),NA(),IF(SUMPRODUCT((Inputs!$A$5:$A$190=$B37)*ISNUMBER(INDEX(Inputs!$K$5:$AJ$190,0,MATCH(AA$2,Inputs!$K$4:$AJ$4,0))))+SUMPRODUCT((Inputs!$C$5:$C$190=$B37)*ISNUMBER(INDEX(Inputs!$K$5:$AJ$190,0,MATCH(AA$2,Inputs!$K$4:$AJ$4,0))))+SUMPRODUCT((Inputs!$E$5:$E$190=$B37)*ISNUMBER(INDEX(Inputs!$K$5:$AJ$190,0,MATCH(AA$2,Inputs!$K$4:$AJ$4,0))))=0,NA(),SUMPRODUCT((Inputs!$A$5:$A$190=$B37)*Inputs!$B$5:$B$190*(((Inputs!$G$5:$G$190="moeda")+(Inputs!$G$5:$G$190="acoes"))*Inputs!$B$1+((Inputs!$G$5:$G$190&lt;&gt;"moeda")*(Inputs!$G$5:$G$190&lt;&gt;"acoes")))*INDEX(Inputs!$K$5:$AJ$190,0,MATCH(AA$2,Inputs!$K$4:$AJ$4,0)))+SUMPRODUCT((Inputs!$C$5:$C$190=$B37)*Inputs!$D$5:$D$190*(((Inputs!$G$5:$G$190="moeda")+(Inputs!$G$5:$G$190="acoes"))*Inputs!$B$1+((Inputs!$G$5:$G$190&lt;&gt;"moeda")*(Inputs!$G$5:$G$190&lt;&gt;"acoes")))*INDEX(Inputs!$K$5:$AJ$190,0,MATCH(AA$2,Inputs!$K$4:$AJ$4,0)))+SUMPRODUCT((Inputs!$E$5:$E$190=$B37)*Inputs!$F$5:$F$190*(((Inputs!$G$5:$G$190="moeda")+(Inputs!$G$5:$G$190="acoes"))*Inputs!$B$1+((Inputs!$G$5:$G$190&lt;&gt;"moeda")*(Inputs!$G$5:$G$190&lt;&gt;"acoes")))*INDEX(Inputs!$K$5:$AJ$190,0,MATCH(AA$2,Inputs!$K$4:$AJ$4,0)))))</f>
        <v>#N/A</v>
      </c>
      <c r="AB37" s="3" t="e">
        <f>AA37</f>
        <v>#N/A</v>
      </c>
      <c r="AC37" s="6" t="e">
        <f>IF(ISNA(MATCH(AC$2,Inputs!$K$4:$AJ$4,0)),NA(),IF(SUMPRODUCT((Inputs!$A$5:$A$190=$B37)*ISNUMBER(INDEX(Inputs!$K$5:$AJ$190,0,MATCH(AC$2,Inputs!$K$4:$AJ$4,0))))+SUMPRODUCT((Inputs!$C$5:$C$190=$B37)*ISNUMBER(INDEX(Inputs!$K$5:$AJ$190,0,MATCH(AC$2,Inputs!$K$4:$AJ$4,0))))+SUMPRODUCT((Inputs!$E$5:$E$190=$B37)*ISNUMBER(INDEX(Inputs!$K$5:$AJ$190,0,MATCH(AC$2,Inputs!$K$4:$AJ$4,0))))=0,NA(),SUMPRODUCT((Inputs!$A$5:$A$190=$B37)*Inputs!$B$5:$B$190*(((Inputs!$G$5:$G$190="moeda")+(Inputs!$G$5:$G$190="acoes"))*Inputs!$B$1+((Inputs!$G$5:$G$190&lt;&gt;"moeda")*(Inputs!$G$5:$G$190&lt;&gt;"acoes")))*INDEX(Inputs!$K$5:$AJ$190,0,MATCH(AC$2,Inputs!$K$4:$AJ$4,0)))+SUMPRODUCT((Inputs!$C$5:$C$190=$B37)*Inputs!$D$5:$D$190*(((Inputs!$G$5:$G$190="moeda")+(Inputs!$G$5:$G$190="acoes"))*Inputs!$B$1+((Inputs!$G$5:$G$190&lt;&gt;"moeda")*(Inputs!$G$5:$G$190&lt;&gt;"acoes")))*INDEX(Inputs!$K$5:$AJ$190,0,MATCH(AC$2,Inputs!$K$4:$AJ$4,0)))+SUMPRODUCT((Inputs!$E$5:$E$190=$B37)*Inputs!$F$5:$F$190*(((Inputs!$G$5:$G$190="moeda")+(Inputs!$G$5:$G$190="acoes"))*Inputs!$B$1+((Inputs!$G$5:$G$190&lt;&gt;"moeda")*(Inputs!$G$5:$G$190&lt;&gt;"acoes")))*INDEX(Inputs!$K$5:$AJ$190,0,MATCH(AC$2,Inputs!$K$4:$AJ$4,0)))))</f>
        <v>#N/A</v>
      </c>
      <c r="AD37" s="6" t="e">
        <f>IF(ISNA(MATCH(AD$2,Inputs!$K$4:$AJ$4,0)),NA(),IF(SUMPRODUCT((Inputs!$A$5:$A$190=$B37)*ISNUMBER(INDEX(Inputs!$K$5:$AJ$190,0,MATCH(AD$2,Inputs!$K$4:$AJ$4,0))))+SUMPRODUCT((Inputs!$C$5:$C$190=$B37)*ISNUMBER(INDEX(Inputs!$K$5:$AJ$190,0,MATCH(AD$2,Inputs!$K$4:$AJ$4,0))))+SUMPRODUCT((Inputs!$E$5:$E$190=$B37)*ISNUMBER(INDEX(Inputs!$K$5:$AJ$190,0,MATCH(AD$2,Inputs!$K$4:$AJ$4,0))))=0,NA(),SUMPRODUCT((Inputs!$A$5:$A$190=$B37)*Inputs!$B$5:$B$190*(((Inputs!$G$5:$G$190="moeda")+(Inputs!$G$5:$G$190="acoes"))*Inputs!$B$1+((Inputs!$G$5:$G$190&lt;&gt;"moeda")*(Inputs!$G$5:$G$190&lt;&gt;"acoes")))*INDEX(Inputs!$K$5:$AJ$190,0,MATCH(AD$2,Inputs!$K$4:$AJ$4,0)))+SUMPRODUCT((Inputs!$C$5:$C$190=$B37)*Inputs!$D$5:$D$190*(((Inputs!$G$5:$G$190="moeda")+(Inputs!$G$5:$G$190="acoes"))*Inputs!$B$1+((Inputs!$G$5:$G$190&lt;&gt;"moeda")*(Inputs!$G$5:$G$190&lt;&gt;"acoes")))*INDEX(Inputs!$K$5:$AJ$190,0,MATCH(AD$2,Inputs!$K$4:$AJ$4,0)))+SUMPRODUCT((Inputs!$E$5:$E$190=$B37)*Inputs!$F$5:$F$190*(((Inputs!$G$5:$G$190="moeda")+(Inputs!$G$5:$G$190="acoes"))*Inputs!$B$1+((Inputs!$G$5:$G$190&lt;&gt;"moeda")*(Inputs!$G$5:$G$190&lt;&gt;"acoes")))*INDEX(Inputs!$K$5:$AJ$190,0,MATCH(AD$2,Inputs!$K$4:$AJ$4,0)))))</f>
        <v>#N/A</v>
      </c>
      <c r="AE37" s="6" t="e">
        <f>IF(ISNA(MATCH(AE$2,Inputs!$K$4:$AJ$4,0)),NA(),IF(SUMPRODUCT((Inputs!$A$5:$A$190=$B37)*ISNUMBER(INDEX(Inputs!$K$5:$AJ$190,0,MATCH(AE$2,Inputs!$K$4:$AJ$4,0))))+SUMPRODUCT((Inputs!$C$5:$C$190=$B37)*ISNUMBER(INDEX(Inputs!$K$5:$AJ$190,0,MATCH(AE$2,Inputs!$K$4:$AJ$4,0))))+SUMPRODUCT((Inputs!$E$5:$E$190=$B37)*ISNUMBER(INDEX(Inputs!$K$5:$AJ$190,0,MATCH(AE$2,Inputs!$K$4:$AJ$4,0))))=0,NA(),SUMPRODUCT((Inputs!$A$5:$A$190=$B37)*Inputs!$B$5:$B$190*(((Inputs!$G$5:$G$190="moeda")+(Inputs!$G$5:$G$190="acoes"))*Inputs!$B$1+((Inputs!$G$5:$G$190&lt;&gt;"moeda")*(Inputs!$G$5:$G$190&lt;&gt;"acoes")))*INDEX(Inputs!$K$5:$AJ$190,0,MATCH(AE$2,Inputs!$K$4:$AJ$4,0)))+SUMPRODUCT((Inputs!$C$5:$C$190=$B37)*Inputs!$D$5:$D$190*(((Inputs!$G$5:$G$190="moeda")+(Inputs!$G$5:$G$190="acoes"))*Inputs!$B$1+((Inputs!$G$5:$G$190&lt;&gt;"moeda")*(Inputs!$G$5:$G$190&lt;&gt;"acoes")))*INDEX(Inputs!$K$5:$AJ$190,0,MATCH(AE$2,Inputs!$K$4:$AJ$4,0)))+SUMPRODUCT((Inputs!$E$5:$E$190=$B37)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37" s="6" t="e">
        <f>IF(ISNA(MATCH(AF$2,Inputs!$K$4:$AJ$4,0)),NA(),IF(SUMPRODUCT((Inputs!$A$5:$A$190=$B37)*ISNUMBER(INDEX(Inputs!$K$5:$AJ$190,0,MATCH(AF$2,Inputs!$K$4:$AJ$4,0))))+SUMPRODUCT((Inputs!$C$5:$C$190=$B37)*ISNUMBER(INDEX(Inputs!$K$5:$AJ$190,0,MATCH(AF$2,Inputs!$K$4:$AJ$4,0))))+SUMPRODUCT((Inputs!$E$5:$E$190=$B37)*ISNUMBER(INDEX(Inputs!$K$5:$AJ$190,0,MATCH(AF$2,Inputs!$K$4:$AJ$4,0))))=0,NA(),SUMPRODUCT((Inputs!$A$5:$A$190=$B37)*Inputs!$B$5:$B$190*(((Inputs!$G$5:$G$190="moeda")+(Inputs!$G$5:$G$190="acoes"))*Inputs!$B$1+((Inputs!$G$5:$G$190&lt;&gt;"moeda")*(Inputs!$G$5:$G$190&lt;&gt;"acoes")))*INDEX(Inputs!$K$5:$AJ$190,0,MATCH(AF$2,Inputs!$K$4:$AJ$4,0)))+SUMPRODUCT((Inputs!$C$5:$C$190=$B37)*Inputs!$D$5:$D$190*(((Inputs!$G$5:$G$190="moeda")+(Inputs!$G$5:$G$190="acoes"))*Inputs!$B$1+((Inputs!$G$5:$G$190&lt;&gt;"moeda")*(Inputs!$G$5:$G$190&lt;&gt;"acoes")))*INDEX(Inputs!$K$5:$AJ$190,0,MATCH(AF$2,Inputs!$K$4:$AJ$4,0)))+SUMPRODUCT((Inputs!$E$5:$E$190=$B37)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37" s="3" t="e">
        <f>AF37</f>
        <v>#N/A</v>
      </c>
      <c r="AH37" s="6" t="e">
        <f>IF(ISNA(MATCH(AH$2,Inputs!$K$4:$AJ$4,0)),NA(),IF(SUMPRODUCT((Inputs!$A$5:$A$190=$B37)*ISNUMBER(INDEX(Inputs!$K$5:$AJ$190,0,MATCH(AH$2,Inputs!$K$4:$AJ$4,0))))+SUMPRODUCT((Inputs!$C$5:$C$190=$B37)*ISNUMBER(INDEX(Inputs!$K$5:$AJ$190,0,MATCH(AH$2,Inputs!$K$4:$AJ$4,0))))+SUMPRODUCT((Inputs!$E$5:$E$190=$B37)*ISNUMBER(INDEX(Inputs!$K$5:$AJ$190,0,MATCH(AH$2,Inputs!$K$4:$AJ$4,0))))=0,NA(),SUMPRODUCT((Inputs!$A$5:$A$190=$B37)*Inputs!$B$5:$B$190*(((Inputs!$G$5:$G$190="moeda")+(Inputs!$G$5:$G$190="acoes"))*Inputs!$B$1+((Inputs!$G$5:$G$190&lt;&gt;"moeda")*(Inputs!$G$5:$G$190&lt;&gt;"acoes")))*INDEX(Inputs!$K$5:$AJ$190,0,MATCH(AH$2,Inputs!$K$4:$AJ$4,0)))+SUMPRODUCT((Inputs!$C$5:$C$190=$B37)*Inputs!$D$5:$D$190*(((Inputs!$G$5:$G$190="moeda")+(Inputs!$G$5:$G$190="acoes"))*Inputs!$B$1+((Inputs!$G$5:$G$190&lt;&gt;"moeda")*(Inputs!$G$5:$G$190&lt;&gt;"acoes")))*INDEX(Inputs!$K$5:$AJ$190,0,MATCH(AH$2,Inputs!$K$4:$AJ$4,0)))+SUMPRODUCT((Inputs!$E$5:$E$190=$B37)*Inputs!$F$5:$F$190*(((Inputs!$G$5:$G$190="moeda")+(Inputs!$G$5:$G$190="acoes"))*Inputs!$B$1+((Inputs!$G$5:$G$190&lt;&gt;"moeda")*(Inputs!$G$5:$G$190&lt;&gt;"acoes")))*INDEX(Inputs!$K$5:$AJ$190,0,MATCH(AH$2,Inputs!$K$4:$AJ$4,0)))))</f>
        <v>#N/A</v>
      </c>
      <c r="AI37" s="6" t="e">
        <f>IF(ISNA(MATCH(AI$2,Inputs!$K$4:$AJ$4,0)),NA(),IF(SUMPRODUCT((Inputs!$A$5:$A$190=$B37)*ISNUMBER(INDEX(Inputs!$K$5:$AJ$190,0,MATCH(AI$2,Inputs!$K$4:$AJ$4,0))))+SUMPRODUCT((Inputs!$C$5:$C$190=$B37)*ISNUMBER(INDEX(Inputs!$K$5:$AJ$190,0,MATCH(AI$2,Inputs!$K$4:$AJ$4,0))))+SUMPRODUCT((Inputs!$E$5:$E$190=$B37)*ISNUMBER(INDEX(Inputs!$K$5:$AJ$190,0,MATCH(AI$2,Inputs!$K$4:$AJ$4,0))))=0,NA(),SUMPRODUCT((Inputs!$A$5:$A$190=$B37)*Inputs!$B$5:$B$190*(((Inputs!$G$5:$G$190="moeda")+(Inputs!$G$5:$G$190="acoes"))*Inputs!$B$1+((Inputs!$G$5:$G$190&lt;&gt;"moeda")*(Inputs!$G$5:$G$190&lt;&gt;"acoes")))*INDEX(Inputs!$K$5:$AJ$190,0,MATCH(AI$2,Inputs!$K$4:$AJ$4,0)))+SUMPRODUCT((Inputs!$C$5:$C$190=$B37)*Inputs!$D$5:$D$190*(((Inputs!$G$5:$G$190="moeda")+(Inputs!$G$5:$G$190="acoes"))*Inputs!$B$1+((Inputs!$G$5:$G$190&lt;&gt;"moeda")*(Inputs!$G$5:$G$190&lt;&gt;"acoes")))*INDEX(Inputs!$K$5:$AJ$190,0,MATCH(AI$2,Inputs!$K$4:$AJ$4,0)))+SUMPRODUCT((Inputs!$E$5:$E$190=$B37)*Inputs!$F$5:$F$190*(((Inputs!$G$5:$G$190="moeda")+(Inputs!$G$5:$G$190="acoes"))*Inputs!$B$1+((Inputs!$G$5:$G$190&lt;&gt;"moeda")*(Inputs!$G$5:$G$190&lt;&gt;"acoes")))*INDEX(Inputs!$K$5:$AJ$190,0,MATCH(AI$2,Inputs!$K$4:$AJ$4,0)))))</f>
        <v>#N/A</v>
      </c>
      <c r="AJ37" s="6" t="e">
        <f>IF(ISNA(MATCH(AJ$2,Inputs!$K$4:$AJ$4,0)),NA(),IF(SUMPRODUCT((Inputs!$A$5:$A$190=$B37)*ISNUMBER(INDEX(Inputs!$K$5:$AJ$190,0,MATCH(AJ$2,Inputs!$K$4:$AJ$4,0))))+SUMPRODUCT((Inputs!$C$5:$C$190=$B37)*ISNUMBER(INDEX(Inputs!$K$5:$AJ$190,0,MATCH(AJ$2,Inputs!$K$4:$AJ$4,0))))+SUMPRODUCT((Inputs!$E$5:$E$190=$B37)*ISNUMBER(INDEX(Inputs!$K$5:$AJ$190,0,MATCH(AJ$2,Inputs!$K$4:$AJ$4,0))))=0,NA(),SUMPRODUCT((Inputs!$A$5:$A$190=$B37)*Inputs!$B$5:$B$190*(((Inputs!$G$5:$G$190="moeda")+(Inputs!$G$5:$G$190="acoes"))*Inputs!$B$1+((Inputs!$G$5:$G$190&lt;&gt;"moeda")*(Inputs!$G$5:$G$190&lt;&gt;"acoes")))*INDEX(Inputs!$K$5:$AJ$190,0,MATCH(AJ$2,Inputs!$K$4:$AJ$4,0)))+SUMPRODUCT((Inputs!$C$5:$C$190=$B37)*Inputs!$D$5:$D$190*(((Inputs!$G$5:$G$190="moeda")+(Inputs!$G$5:$G$190="acoes"))*Inputs!$B$1+((Inputs!$G$5:$G$190&lt;&gt;"moeda")*(Inputs!$G$5:$G$190&lt;&gt;"acoes")))*INDEX(Inputs!$K$5:$AJ$190,0,MATCH(AJ$2,Inputs!$K$4:$AJ$4,0)))+SUMPRODUCT((Inputs!$E$5:$E$190=$B37)*Inputs!$F$5:$F$190*(((Inputs!$G$5:$G$190="moeda")+(Inputs!$G$5:$G$190="acoes"))*Inputs!$B$1+((Inputs!$G$5:$G$190&lt;&gt;"moeda")*(Inputs!$G$5:$G$190&lt;&gt;"acoes")))*INDEX(Inputs!$K$5:$AJ$190,0,MATCH(AJ$2,Inputs!$K$4:$AJ$4,0)))))</f>
        <v>#N/A</v>
      </c>
      <c r="AK37" s="6" t="e">
        <f>IF(ISNA(MATCH(AK$2,Inputs!$K$4:$AJ$4,0)),NA(),IF(SUMPRODUCT((Inputs!$A$5:$A$190=$B37)*ISNUMBER(INDEX(Inputs!$K$5:$AJ$190,0,MATCH(AK$2,Inputs!$K$4:$AJ$4,0))))+SUMPRODUCT((Inputs!$C$5:$C$190=$B37)*ISNUMBER(INDEX(Inputs!$K$5:$AJ$190,0,MATCH(AK$2,Inputs!$K$4:$AJ$4,0))))+SUMPRODUCT((Inputs!$E$5:$E$190=$B37)*ISNUMBER(INDEX(Inputs!$K$5:$AJ$190,0,MATCH(AK$2,Inputs!$K$4:$AJ$4,0))))=0,NA(),SUMPRODUCT((Inputs!$A$5:$A$190=$B37)*Inputs!$B$5:$B$190*(((Inputs!$G$5:$G$190="moeda")+(Inputs!$G$5:$G$190="acoes"))*Inputs!$B$1+((Inputs!$G$5:$G$190&lt;&gt;"moeda")*(Inputs!$G$5:$G$190&lt;&gt;"acoes")))*INDEX(Inputs!$K$5:$AJ$190,0,MATCH(AK$2,Inputs!$K$4:$AJ$4,0)))+SUMPRODUCT((Inputs!$C$5:$C$190=$B37)*Inputs!$D$5:$D$190*(((Inputs!$G$5:$G$190="moeda")+(Inputs!$G$5:$G$190="acoes"))*Inputs!$B$1+((Inputs!$G$5:$G$190&lt;&gt;"moeda")*(Inputs!$G$5:$G$190&lt;&gt;"acoes")))*INDEX(Inputs!$K$5:$AJ$190,0,MATCH(AK$2,Inputs!$K$4:$AJ$4,0)))+SUMPRODUCT((Inputs!$E$5:$E$190=$B37)*Inputs!$F$5:$F$190*(((Inputs!$G$5:$G$190="moeda")+(Inputs!$G$5:$G$190="acoes"))*Inputs!$B$1+((Inputs!$G$5:$G$190&lt;&gt;"moeda")*(Inputs!$G$5:$G$190&lt;&gt;"acoes")))*INDEX(Inputs!$K$5:$AJ$190,0,MATCH(AK$2,Inputs!$K$4:$AJ$4,0)))))</f>
        <v>#N/A</v>
      </c>
      <c r="AL37" s="3" t="e">
        <f>AK37</f>
        <v>#N/A</v>
      </c>
    </row>
    <row r="38">
      <c r="B38" s="46" t="n">
        <v>33</v>
      </c>
      <c r="C38" s="26" t="inlineStr">
        <is>
          <t>Deferred income taxes</t>
        </is>
      </c>
      <c r="D38" s="6">
        <f>IF(ISNA(MATCH(D$2,Inputs!$K$4:$AJ$4,0)),NA(),IF(SUMPRODUCT((Inputs!$A$5:$A$190=$B38)*ISNUMBER(INDEX(Inputs!$K$5:$AJ$190,0,MATCH(D$2,Inputs!$K$4:$AJ$4,0))))+SUMPRODUCT((Inputs!$C$5:$C$190=$B38)*ISNUMBER(INDEX(Inputs!$K$5:$AJ$190,0,MATCH(D$2,Inputs!$K$4:$AJ$4,0))))+SUMPRODUCT((Inputs!$E$5:$E$190=$B38)*ISNUMBER(INDEX(Inputs!$K$5:$AJ$190,0,MATCH(D$2,Inputs!$K$4:$AJ$4,0))))=0,NA(),SUMPRODUCT((Inputs!$A$5:$A$190=$B38)*Inputs!$B$5:$B$190*(((Inputs!$G$5:$G$190="moeda")+(Inputs!$G$5:$G$190="acoes"))*Inputs!$B$1+((Inputs!$G$5:$G$190&lt;&gt;"moeda")*(Inputs!$G$5:$G$190&lt;&gt;"acoes")))*INDEX(Inputs!$K$5:$AJ$190,0,MATCH(D$2,Inputs!$K$4:$AJ$4,0)))+SUMPRODUCT((Inputs!$C$5:$C$190=$B38)*Inputs!$D$5:$D$190*(((Inputs!$G$5:$G$190="moeda")+(Inputs!$G$5:$G$190="acoes"))*Inputs!$B$1+((Inputs!$G$5:$G$190&lt;&gt;"moeda")*(Inputs!$G$5:$G$190&lt;&gt;"acoes")))*INDEX(Inputs!$K$5:$AJ$190,0,MATCH(D$2,Inputs!$K$4:$AJ$4,0)))+SUMPRODUCT((Inputs!$E$5:$E$190=$B38)*Inputs!$F$5:$F$190*(((Inputs!$G$5:$G$190="moeda")+(Inputs!$G$5:$G$190="acoes"))*Inputs!$B$1+((Inputs!$G$5:$G$190&lt;&gt;"moeda")*(Inputs!$G$5:$G$190&lt;&gt;"acoes")))*INDEX(Inputs!$K$5:$AJ$190,0,MATCH(D$2,Inputs!$K$4:$AJ$4,0)))))</f>
        <v>625.738</v>
      </c>
      <c r="E38" s="6">
        <f>IF(ISNA(MATCH(E$2,Inputs!$K$4:$AJ$4,0)),NA(),IF(SUMPRODUCT((Inputs!$A$5:$A$190=$B38)*ISNUMBER(INDEX(Inputs!$K$5:$AJ$190,0,MATCH(E$2,Inputs!$K$4:$AJ$4,0))))+SUMPRODUCT((Inputs!$C$5:$C$190=$B38)*ISNUMBER(INDEX(Inputs!$K$5:$AJ$190,0,MATCH(E$2,Inputs!$K$4:$AJ$4,0))))+SUMPRODUCT((Inputs!$E$5:$E$190=$B38)*ISNUMBER(INDEX(Inputs!$K$5:$AJ$190,0,MATCH(E$2,Inputs!$K$4:$AJ$4,0))))=0,NA(),SUMPRODUCT((Inputs!$A$5:$A$190=$B38)*Inputs!$B$5:$B$190*(((Inputs!$G$5:$G$190="moeda")+(Inputs!$G$5:$G$190="acoes"))*Inputs!$B$1+((Inputs!$G$5:$G$190&lt;&gt;"moeda")*(Inputs!$G$5:$G$190&lt;&gt;"acoes")))*INDEX(Inputs!$K$5:$AJ$190,0,MATCH(E$2,Inputs!$K$4:$AJ$4,0)))+SUMPRODUCT((Inputs!$C$5:$C$190=$B38)*Inputs!$D$5:$D$190*(((Inputs!$G$5:$G$190="moeda")+(Inputs!$G$5:$G$190="acoes"))*Inputs!$B$1+((Inputs!$G$5:$G$190&lt;&gt;"moeda")*(Inputs!$G$5:$G$190&lt;&gt;"acoes")))*INDEX(Inputs!$K$5:$AJ$190,0,MATCH(E$2,Inputs!$K$4:$AJ$4,0)))+SUMPRODUCT((Inputs!$E$5:$E$190=$B38)*Inputs!$F$5:$F$190*(((Inputs!$G$5:$G$190="moeda")+(Inputs!$G$5:$G$190="acoes"))*Inputs!$B$1+((Inputs!$G$5:$G$190&lt;&gt;"moeda")*(Inputs!$G$5:$G$190&lt;&gt;"acoes")))*INDEX(Inputs!$K$5:$AJ$190,0,MATCH(E$2,Inputs!$K$4:$AJ$4,0)))))</f>
        <v>761.224803474</v>
      </c>
      <c r="F38" s="6">
        <f>IF(ISNA(MATCH(F$2,Inputs!$K$4:$AJ$4,0)),NA(),IF(SUMPRODUCT((Inputs!$A$5:$A$190=$B38)*ISNUMBER(INDEX(Inputs!$K$5:$AJ$190,0,MATCH(F$2,Inputs!$K$4:$AJ$4,0))))+SUMPRODUCT((Inputs!$C$5:$C$190=$B38)*ISNUMBER(INDEX(Inputs!$K$5:$AJ$190,0,MATCH(F$2,Inputs!$K$4:$AJ$4,0))))+SUMPRODUCT((Inputs!$E$5:$E$190=$B38)*ISNUMBER(INDEX(Inputs!$K$5:$AJ$190,0,MATCH(F$2,Inputs!$K$4:$AJ$4,0))))=0,NA(),SUMPRODUCT((Inputs!$A$5:$A$190=$B38)*Inputs!$B$5:$B$190*(((Inputs!$G$5:$G$190="moeda")+(Inputs!$G$5:$G$190="acoes"))*Inputs!$B$1+((Inputs!$G$5:$G$190&lt;&gt;"moeda")*(Inputs!$G$5:$G$190&lt;&gt;"acoes")))*INDEX(Inputs!$K$5:$AJ$190,0,MATCH(F$2,Inputs!$K$4:$AJ$4,0)))+SUMPRODUCT((Inputs!$C$5:$C$190=$B38)*Inputs!$D$5:$D$190*(((Inputs!$G$5:$G$190="moeda")+(Inputs!$G$5:$G$190="acoes"))*Inputs!$B$1+((Inputs!$G$5:$G$190&lt;&gt;"moeda")*(Inputs!$G$5:$G$190&lt;&gt;"acoes")))*INDEX(Inputs!$K$5:$AJ$190,0,MATCH(F$2,Inputs!$K$4:$AJ$4,0)))+SUMPRODUCT((Inputs!$E$5:$E$190=$B38)*Inputs!$F$5:$F$190*(((Inputs!$G$5:$G$190="moeda")+(Inputs!$G$5:$G$190="acoes"))*Inputs!$B$1+((Inputs!$G$5:$G$190&lt;&gt;"moeda")*(Inputs!$G$5:$G$190&lt;&gt;"acoes")))*INDEX(Inputs!$K$5:$AJ$190,0,MATCH(F$2,Inputs!$K$4:$AJ$4,0)))))</f>
        <v>952.252</v>
      </c>
      <c r="G38" s="6">
        <f>IF(ISNA(MATCH(G$2,Inputs!$K$4:$AJ$4,0)),NA(),IF(SUMPRODUCT((Inputs!$A$5:$A$190=$B38)*ISNUMBER(INDEX(Inputs!$K$5:$AJ$190,0,MATCH(G$2,Inputs!$K$4:$AJ$4,0))))+SUMPRODUCT((Inputs!$C$5:$C$190=$B38)*ISNUMBER(INDEX(Inputs!$K$5:$AJ$190,0,MATCH(G$2,Inputs!$K$4:$AJ$4,0))))+SUMPRODUCT((Inputs!$E$5:$E$190=$B38)*ISNUMBER(INDEX(Inputs!$K$5:$AJ$190,0,MATCH(G$2,Inputs!$K$4:$AJ$4,0))))=0,NA(),SUMPRODUCT((Inputs!$A$5:$A$190=$B38)*Inputs!$B$5:$B$190*(((Inputs!$G$5:$G$190="moeda")+(Inputs!$G$5:$G$190="acoes"))*Inputs!$B$1+((Inputs!$G$5:$G$190&lt;&gt;"moeda")*(Inputs!$G$5:$G$190&lt;&gt;"acoes")))*INDEX(Inputs!$K$5:$AJ$190,0,MATCH(G$2,Inputs!$K$4:$AJ$4,0)))+SUMPRODUCT((Inputs!$C$5:$C$190=$B38)*Inputs!$D$5:$D$190*(((Inputs!$G$5:$G$190="moeda")+(Inputs!$G$5:$G$190="acoes"))*Inputs!$B$1+((Inputs!$G$5:$G$190&lt;&gt;"moeda")*(Inputs!$G$5:$G$190&lt;&gt;"acoes")))*INDEX(Inputs!$K$5:$AJ$190,0,MATCH(G$2,Inputs!$K$4:$AJ$4,0)))+SUMPRODUCT((Inputs!$E$5:$E$190=$B38)*Inputs!$F$5:$F$190*(((Inputs!$G$5:$G$190="moeda")+(Inputs!$G$5:$G$190="acoes"))*Inputs!$B$1+((Inputs!$G$5:$G$190&lt;&gt;"moeda")*(Inputs!$G$5:$G$190&lt;&gt;"acoes")))*INDEX(Inputs!$K$5:$AJ$190,0,MATCH(G$2,Inputs!$K$4:$AJ$4,0)))))</f>
        <v>1038.582</v>
      </c>
      <c r="H38" s="3">
        <f>G38</f>
        <v>1038.582</v>
      </c>
      <c r="I38" s="6">
        <f>IF(ISNA(MATCH(I$2,Inputs!$K$4:$AJ$4,0)),NA(),IF(SUMPRODUCT((Inputs!$A$5:$A$190=$B38)*ISNUMBER(INDEX(Inputs!$K$5:$AJ$190,0,MATCH(I$2,Inputs!$K$4:$AJ$4,0))))+SUMPRODUCT((Inputs!$C$5:$C$190=$B38)*ISNUMBER(INDEX(Inputs!$K$5:$AJ$190,0,MATCH(I$2,Inputs!$K$4:$AJ$4,0))))+SUMPRODUCT((Inputs!$E$5:$E$190=$B38)*ISNUMBER(INDEX(Inputs!$K$5:$AJ$190,0,MATCH(I$2,Inputs!$K$4:$AJ$4,0))))=0,NA(),SUMPRODUCT((Inputs!$A$5:$A$190=$B38)*Inputs!$B$5:$B$190*(((Inputs!$G$5:$G$190="moeda")+(Inputs!$G$5:$G$190="acoes"))*Inputs!$B$1+((Inputs!$G$5:$G$190&lt;&gt;"moeda")*(Inputs!$G$5:$G$190&lt;&gt;"acoes")))*INDEX(Inputs!$K$5:$AJ$190,0,MATCH(I$2,Inputs!$K$4:$AJ$4,0)))+SUMPRODUCT((Inputs!$C$5:$C$190=$B38)*Inputs!$D$5:$D$190*(((Inputs!$G$5:$G$190="moeda")+(Inputs!$G$5:$G$190="acoes"))*Inputs!$B$1+((Inputs!$G$5:$G$190&lt;&gt;"moeda")*(Inputs!$G$5:$G$190&lt;&gt;"acoes")))*INDEX(Inputs!$K$5:$AJ$190,0,MATCH(I$2,Inputs!$K$4:$AJ$4,0)))+SUMPRODUCT((Inputs!$E$5:$E$190=$B38)*Inputs!$F$5:$F$190*(((Inputs!$G$5:$G$190="moeda")+(Inputs!$G$5:$G$190="acoes"))*Inputs!$B$1+((Inputs!$G$5:$G$190&lt;&gt;"moeda")*(Inputs!$G$5:$G$190&lt;&gt;"acoes")))*INDEX(Inputs!$K$5:$AJ$190,0,MATCH(I$2,Inputs!$K$4:$AJ$4,0)))))</f>
        <v>1027.149</v>
      </c>
      <c r="J38" s="6">
        <f>IF(ISNA(MATCH(J$2,Inputs!$K$4:$AJ$4,0)),NA(),IF(SUMPRODUCT((Inputs!$A$5:$A$190=$B38)*ISNUMBER(INDEX(Inputs!$K$5:$AJ$190,0,MATCH(J$2,Inputs!$K$4:$AJ$4,0))))+SUMPRODUCT((Inputs!$C$5:$C$190=$B38)*ISNUMBER(INDEX(Inputs!$K$5:$AJ$190,0,MATCH(J$2,Inputs!$K$4:$AJ$4,0))))+SUMPRODUCT((Inputs!$E$5:$E$190=$B38)*ISNUMBER(INDEX(Inputs!$K$5:$AJ$190,0,MATCH(J$2,Inputs!$K$4:$AJ$4,0))))=0,NA(),SUMPRODUCT((Inputs!$A$5:$A$190=$B38)*Inputs!$B$5:$B$190*(((Inputs!$G$5:$G$190="moeda")+(Inputs!$G$5:$G$190="acoes"))*Inputs!$B$1+((Inputs!$G$5:$G$190&lt;&gt;"moeda")*(Inputs!$G$5:$G$190&lt;&gt;"acoes")))*INDEX(Inputs!$K$5:$AJ$190,0,MATCH(J$2,Inputs!$K$4:$AJ$4,0)))+SUMPRODUCT((Inputs!$C$5:$C$190=$B38)*Inputs!$D$5:$D$190*(((Inputs!$G$5:$G$190="moeda")+(Inputs!$G$5:$G$190="acoes"))*Inputs!$B$1+((Inputs!$G$5:$G$190&lt;&gt;"moeda")*(Inputs!$G$5:$G$190&lt;&gt;"acoes")))*INDEX(Inputs!$K$5:$AJ$190,0,MATCH(J$2,Inputs!$K$4:$AJ$4,0)))+SUMPRODUCT((Inputs!$E$5:$E$190=$B38)*Inputs!$F$5:$F$190*(((Inputs!$G$5:$G$190="moeda")+(Inputs!$G$5:$G$190="acoes"))*Inputs!$B$1+((Inputs!$G$5:$G$190&lt;&gt;"moeda")*(Inputs!$G$5:$G$190&lt;&gt;"acoes")))*INDEX(Inputs!$K$5:$AJ$190,0,MATCH(J$2,Inputs!$K$4:$AJ$4,0)))))</f>
        <v>1146.917</v>
      </c>
      <c r="K38" s="6">
        <f>IF(ISNA(MATCH(K$2,Inputs!$K$4:$AJ$4,0)),NA(),IF(SUMPRODUCT((Inputs!$A$5:$A$190=$B38)*ISNUMBER(INDEX(Inputs!$K$5:$AJ$190,0,MATCH(K$2,Inputs!$K$4:$AJ$4,0))))+SUMPRODUCT((Inputs!$C$5:$C$190=$B38)*ISNUMBER(INDEX(Inputs!$K$5:$AJ$190,0,MATCH(K$2,Inputs!$K$4:$AJ$4,0))))+SUMPRODUCT((Inputs!$E$5:$E$190=$B38)*ISNUMBER(INDEX(Inputs!$K$5:$AJ$190,0,MATCH(K$2,Inputs!$K$4:$AJ$4,0))))=0,NA(),SUMPRODUCT((Inputs!$A$5:$A$190=$B38)*Inputs!$B$5:$B$190*(((Inputs!$G$5:$G$190="moeda")+(Inputs!$G$5:$G$190="acoes"))*Inputs!$B$1+((Inputs!$G$5:$G$190&lt;&gt;"moeda")*(Inputs!$G$5:$G$190&lt;&gt;"acoes")))*INDEX(Inputs!$K$5:$AJ$190,0,MATCH(K$2,Inputs!$K$4:$AJ$4,0)))+SUMPRODUCT((Inputs!$C$5:$C$190=$B38)*Inputs!$D$5:$D$190*(((Inputs!$G$5:$G$190="moeda")+(Inputs!$G$5:$G$190="acoes"))*Inputs!$B$1+((Inputs!$G$5:$G$190&lt;&gt;"moeda")*(Inputs!$G$5:$G$190&lt;&gt;"acoes")))*INDEX(Inputs!$K$5:$AJ$190,0,MATCH(K$2,Inputs!$K$4:$AJ$4,0)))+SUMPRODUCT((Inputs!$E$5:$E$190=$B38)*Inputs!$F$5:$F$190*(((Inputs!$G$5:$G$190="moeda")+(Inputs!$G$5:$G$190="acoes"))*Inputs!$B$1+((Inputs!$G$5:$G$190&lt;&gt;"moeda")*(Inputs!$G$5:$G$190&lt;&gt;"acoes")))*INDEX(Inputs!$K$5:$AJ$190,0,MATCH(K$2,Inputs!$K$4:$AJ$4,0)))))</f>
        <v>1221.456</v>
      </c>
      <c r="L38" s="6">
        <f>IF(ISNA(MATCH(L$2,Inputs!$K$4:$AJ$4,0)),NA(),IF(SUMPRODUCT((Inputs!$A$5:$A$190=$B38)*ISNUMBER(INDEX(Inputs!$K$5:$AJ$190,0,MATCH(L$2,Inputs!$K$4:$AJ$4,0))))+SUMPRODUCT((Inputs!$C$5:$C$190=$B38)*ISNUMBER(INDEX(Inputs!$K$5:$AJ$190,0,MATCH(L$2,Inputs!$K$4:$AJ$4,0))))+SUMPRODUCT((Inputs!$E$5:$E$190=$B38)*ISNUMBER(INDEX(Inputs!$K$5:$AJ$190,0,MATCH(L$2,Inputs!$K$4:$AJ$4,0))))=0,NA(),SUMPRODUCT((Inputs!$A$5:$A$190=$B38)*Inputs!$B$5:$B$190*(((Inputs!$G$5:$G$190="moeda")+(Inputs!$G$5:$G$190="acoes"))*Inputs!$B$1+((Inputs!$G$5:$G$190&lt;&gt;"moeda")*(Inputs!$G$5:$G$190&lt;&gt;"acoes")))*INDEX(Inputs!$K$5:$AJ$190,0,MATCH(L$2,Inputs!$K$4:$AJ$4,0)))+SUMPRODUCT((Inputs!$C$5:$C$190=$B38)*Inputs!$D$5:$D$190*(((Inputs!$G$5:$G$190="moeda")+(Inputs!$G$5:$G$190="acoes"))*Inputs!$B$1+((Inputs!$G$5:$G$190&lt;&gt;"moeda")*(Inputs!$G$5:$G$190&lt;&gt;"acoes")))*INDEX(Inputs!$K$5:$AJ$190,0,MATCH(L$2,Inputs!$K$4:$AJ$4,0)))+SUMPRODUCT((Inputs!$E$5:$E$190=$B38)*Inputs!$F$5:$F$190*(((Inputs!$G$5:$G$190="moeda")+(Inputs!$G$5:$G$190="acoes"))*Inputs!$B$1+((Inputs!$G$5:$G$190&lt;&gt;"moeda")*(Inputs!$G$5:$G$190&lt;&gt;"acoes")))*INDEX(Inputs!$K$5:$AJ$190,0,MATCH(L$2,Inputs!$K$4:$AJ$4,0)))))</f>
        <v>1205.986</v>
      </c>
      <c r="M38" s="3">
        <f>L38</f>
        <v>1205.986</v>
      </c>
      <c r="N38" s="6">
        <f>IF(ISNA(MATCH(N$2,Inputs!$K$4:$AJ$4,0)),NA(),IF(SUMPRODUCT((Inputs!$A$5:$A$190=$B38)*ISNUMBER(INDEX(Inputs!$K$5:$AJ$190,0,MATCH(N$2,Inputs!$K$4:$AJ$4,0))))+SUMPRODUCT((Inputs!$C$5:$C$190=$B38)*ISNUMBER(INDEX(Inputs!$K$5:$AJ$190,0,MATCH(N$2,Inputs!$K$4:$AJ$4,0))))+SUMPRODUCT((Inputs!$E$5:$E$190=$B38)*ISNUMBER(INDEX(Inputs!$K$5:$AJ$190,0,MATCH(N$2,Inputs!$K$4:$AJ$4,0))))=0,NA(),SUMPRODUCT((Inputs!$A$5:$A$190=$B38)*Inputs!$B$5:$B$190*(((Inputs!$G$5:$G$190="moeda")+(Inputs!$G$5:$G$190="acoes"))*Inputs!$B$1+((Inputs!$G$5:$G$190&lt;&gt;"moeda")*(Inputs!$G$5:$G$190&lt;&gt;"acoes")))*INDEX(Inputs!$K$5:$AJ$190,0,MATCH(N$2,Inputs!$K$4:$AJ$4,0)))+SUMPRODUCT((Inputs!$C$5:$C$190=$B38)*Inputs!$D$5:$D$190*(((Inputs!$G$5:$G$190="moeda")+(Inputs!$G$5:$G$190="acoes"))*Inputs!$B$1+((Inputs!$G$5:$G$190&lt;&gt;"moeda")*(Inputs!$G$5:$G$190&lt;&gt;"acoes")))*INDEX(Inputs!$K$5:$AJ$190,0,MATCH(N$2,Inputs!$K$4:$AJ$4,0)))+SUMPRODUCT((Inputs!$E$5:$E$190=$B38)*Inputs!$F$5:$F$190*(((Inputs!$G$5:$G$190="moeda")+(Inputs!$G$5:$G$190="acoes"))*Inputs!$B$1+((Inputs!$G$5:$G$190&lt;&gt;"moeda")*(Inputs!$G$5:$G$190&lt;&gt;"acoes")))*INDEX(Inputs!$K$5:$AJ$190,0,MATCH(N$2,Inputs!$K$4:$AJ$4,0)))))</f>
        <v>1389.6035267574</v>
      </c>
      <c r="O38" s="6">
        <f>IF(ISNA(MATCH(O$2,Inputs!$K$4:$AJ$4,0)),NA(),IF(SUMPRODUCT((Inputs!$A$5:$A$190=$B38)*ISNUMBER(INDEX(Inputs!$K$5:$AJ$190,0,MATCH(O$2,Inputs!$K$4:$AJ$4,0))))+SUMPRODUCT((Inputs!$C$5:$C$190=$B38)*ISNUMBER(INDEX(Inputs!$K$5:$AJ$190,0,MATCH(O$2,Inputs!$K$4:$AJ$4,0))))+SUMPRODUCT((Inputs!$E$5:$E$190=$B38)*ISNUMBER(INDEX(Inputs!$K$5:$AJ$190,0,MATCH(O$2,Inputs!$K$4:$AJ$4,0))))=0,NA(),SUMPRODUCT((Inputs!$A$5:$A$190=$B38)*Inputs!$B$5:$B$190*(((Inputs!$G$5:$G$190="moeda")+(Inputs!$G$5:$G$190="acoes"))*Inputs!$B$1+((Inputs!$G$5:$G$190&lt;&gt;"moeda")*(Inputs!$G$5:$G$190&lt;&gt;"acoes")))*INDEX(Inputs!$K$5:$AJ$190,0,MATCH(O$2,Inputs!$K$4:$AJ$4,0)))+SUMPRODUCT((Inputs!$C$5:$C$190=$B38)*Inputs!$D$5:$D$190*(((Inputs!$G$5:$G$190="moeda")+(Inputs!$G$5:$G$190="acoes"))*Inputs!$B$1+((Inputs!$G$5:$G$190&lt;&gt;"moeda")*(Inputs!$G$5:$G$190&lt;&gt;"acoes")))*INDEX(Inputs!$K$5:$AJ$190,0,MATCH(O$2,Inputs!$K$4:$AJ$4,0)))+SUMPRODUCT((Inputs!$E$5:$E$190=$B38)*Inputs!$F$5:$F$190*(((Inputs!$G$5:$G$190="moeda")+(Inputs!$G$5:$G$190="acoes"))*Inputs!$B$1+((Inputs!$G$5:$G$190&lt;&gt;"moeda")*(Inputs!$G$5:$G$190&lt;&gt;"acoes")))*INDEX(Inputs!$K$5:$AJ$190,0,MATCH(O$2,Inputs!$K$4:$AJ$4,0)))))</f>
        <v>1518.2618447068</v>
      </c>
      <c r="P38" s="6">
        <f>IF(ISNA(MATCH(P$2,Inputs!$K$4:$AJ$4,0)),NA(),IF(SUMPRODUCT((Inputs!$A$5:$A$190=$B38)*ISNUMBER(INDEX(Inputs!$K$5:$AJ$190,0,MATCH(P$2,Inputs!$K$4:$AJ$4,0))))+SUMPRODUCT((Inputs!$C$5:$C$190=$B38)*ISNUMBER(INDEX(Inputs!$K$5:$AJ$190,0,MATCH(P$2,Inputs!$K$4:$AJ$4,0))))+SUMPRODUCT((Inputs!$E$5:$E$190=$B38)*ISNUMBER(INDEX(Inputs!$K$5:$AJ$190,0,MATCH(P$2,Inputs!$K$4:$AJ$4,0))))=0,NA(),SUMPRODUCT((Inputs!$A$5:$A$190=$B38)*Inputs!$B$5:$B$190*(((Inputs!$G$5:$G$190="moeda")+(Inputs!$G$5:$G$190="acoes"))*Inputs!$B$1+((Inputs!$G$5:$G$190&lt;&gt;"moeda")*(Inputs!$G$5:$G$190&lt;&gt;"acoes")))*INDEX(Inputs!$K$5:$AJ$190,0,MATCH(P$2,Inputs!$K$4:$AJ$4,0)))+SUMPRODUCT((Inputs!$C$5:$C$190=$B38)*Inputs!$D$5:$D$190*(((Inputs!$G$5:$G$190="moeda")+(Inputs!$G$5:$G$190="acoes"))*Inputs!$B$1+((Inputs!$G$5:$G$190&lt;&gt;"moeda")*(Inputs!$G$5:$G$190&lt;&gt;"acoes")))*INDEX(Inputs!$K$5:$AJ$190,0,MATCH(P$2,Inputs!$K$4:$AJ$4,0)))+SUMPRODUCT((Inputs!$E$5:$E$190=$B38)*Inputs!$F$5:$F$190*(((Inputs!$G$5:$G$190="moeda")+(Inputs!$G$5:$G$190="acoes"))*Inputs!$B$1+((Inputs!$G$5:$G$190&lt;&gt;"moeda")*(Inputs!$G$5:$G$190&lt;&gt;"acoes")))*INDEX(Inputs!$K$5:$AJ$190,0,MATCH(P$2,Inputs!$K$4:$AJ$4,0)))))</f>
        <v>1513.033617955</v>
      </c>
      <c r="Q38" s="6">
        <f>IF(ISNA(MATCH(Q$2,Inputs!$K$4:$AJ$4,0)),NA(),IF(SUMPRODUCT((Inputs!$A$5:$A$190=$B38)*ISNUMBER(INDEX(Inputs!$K$5:$AJ$190,0,MATCH(Q$2,Inputs!$K$4:$AJ$4,0))))+SUMPRODUCT((Inputs!$C$5:$C$190=$B38)*ISNUMBER(INDEX(Inputs!$K$5:$AJ$190,0,MATCH(Q$2,Inputs!$K$4:$AJ$4,0))))+SUMPRODUCT((Inputs!$E$5:$E$190=$B38)*ISNUMBER(INDEX(Inputs!$K$5:$AJ$190,0,MATCH(Q$2,Inputs!$K$4:$AJ$4,0))))=0,NA(),SUMPRODUCT((Inputs!$A$5:$A$190=$B38)*Inputs!$B$5:$B$190*(((Inputs!$G$5:$G$190="moeda")+(Inputs!$G$5:$G$190="acoes"))*Inputs!$B$1+((Inputs!$G$5:$G$190&lt;&gt;"moeda")*(Inputs!$G$5:$G$190&lt;&gt;"acoes")))*INDEX(Inputs!$K$5:$AJ$190,0,MATCH(Q$2,Inputs!$K$4:$AJ$4,0)))+SUMPRODUCT((Inputs!$C$5:$C$190=$B38)*Inputs!$D$5:$D$190*(((Inputs!$G$5:$G$190="moeda")+(Inputs!$G$5:$G$190="acoes"))*Inputs!$B$1+((Inputs!$G$5:$G$190&lt;&gt;"moeda")*(Inputs!$G$5:$G$190&lt;&gt;"acoes")))*INDEX(Inputs!$K$5:$AJ$190,0,MATCH(Q$2,Inputs!$K$4:$AJ$4,0)))+SUMPRODUCT((Inputs!$E$5:$E$190=$B38)*Inputs!$F$5:$F$190*(((Inputs!$G$5:$G$190="moeda")+(Inputs!$G$5:$G$190="acoes"))*Inputs!$B$1+((Inputs!$G$5:$G$190&lt;&gt;"moeda")*(Inputs!$G$5:$G$190&lt;&gt;"acoes")))*INDEX(Inputs!$K$5:$AJ$190,0,MATCH(Q$2,Inputs!$K$4:$AJ$4,0)))))</f>
        <v>1494.779262608</v>
      </c>
      <c r="R38" s="3">
        <f>Q38</f>
        <v>1494.779262608</v>
      </c>
      <c r="S38" s="6">
        <f>IF(ISNA(MATCH(S$2,Inputs!$K$4:$AJ$4,0)),NA(),IF(SUMPRODUCT((Inputs!$A$5:$A$190=$B38)*ISNUMBER(INDEX(Inputs!$K$5:$AJ$190,0,MATCH(S$2,Inputs!$K$4:$AJ$4,0))))+SUMPRODUCT((Inputs!$C$5:$C$190=$B38)*ISNUMBER(INDEX(Inputs!$K$5:$AJ$190,0,MATCH(S$2,Inputs!$K$4:$AJ$4,0))))+SUMPRODUCT((Inputs!$E$5:$E$190=$B38)*ISNUMBER(INDEX(Inputs!$K$5:$AJ$190,0,MATCH(S$2,Inputs!$K$4:$AJ$4,0))))=0,NA(),SUMPRODUCT((Inputs!$A$5:$A$190=$B38)*Inputs!$B$5:$B$190*(((Inputs!$G$5:$G$190="moeda")+(Inputs!$G$5:$G$190="acoes"))*Inputs!$B$1+((Inputs!$G$5:$G$190&lt;&gt;"moeda")*(Inputs!$G$5:$G$190&lt;&gt;"acoes")))*INDEX(Inputs!$K$5:$AJ$190,0,MATCH(S$2,Inputs!$K$4:$AJ$4,0)))+SUMPRODUCT((Inputs!$C$5:$C$190=$B38)*Inputs!$D$5:$D$190*(((Inputs!$G$5:$G$190="moeda")+(Inputs!$G$5:$G$190="acoes"))*Inputs!$B$1+((Inputs!$G$5:$G$190&lt;&gt;"moeda")*(Inputs!$G$5:$G$190&lt;&gt;"acoes")))*INDEX(Inputs!$K$5:$AJ$190,0,MATCH(S$2,Inputs!$K$4:$AJ$4,0)))+SUMPRODUCT((Inputs!$E$5:$E$190=$B38)*Inputs!$F$5:$F$190*(((Inputs!$G$5:$G$190="moeda")+(Inputs!$G$5:$G$190="acoes"))*Inputs!$B$1+((Inputs!$G$5:$G$190&lt;&gt;"moeda")*(Inputs!$G$5:$G$190&lt;&gt;"acoes")))*INDEX(Inputs!$K$5:$AJ$190,0,MATCH(S$2,Inputs!$K$4:$AJ$4,0)))))</f>
        <v>1615.290270759</v>
      </c>
      <c r="T38" s="6">
        <f>IF(ISNA(MATCH(T$2,Inputs!$K$4:$AJ$4,0)),NA(),IF(SUMPRODUCT((Inputs!$A$5:$A$190=$B38)*ISNUMBER(INDEX(Inputs!$K$5:$AJ$190,0,MATCH(T$2,Inputs!$K$4:$AJ$4,0))))+SUMPRODUCT((Inputs!$C$5:$C$190=$B38)*ISNUMBER(INDEX(Inputs!$K$5:$AJ$190,0,MATCH(T$2,Inputs!$K$4:$AJ$4,0))))+SUMPRODUCT((Inputs!$E$5:$E$190=$B38)*ISNUMBER(INDEX(Inputs!$K$5:$AJ$190,0,MATCH(T$2,Inputs!$K$4:$AJ$4,0))))=0,NA(),SUMPRODUCT((Inputs!$A$5:$A$190=$B38)*Inputs!$B$5:$B$190*(((Inputs!$G$5:$G$190="moeda")+(Inputs!$G$5:$G$190="acoes"))*Inputs!$B$1+((Inputs!$G$5:$G$190&lt;&gt;"moeda")*(Inputs!$G$5:$G$190&lt;&gt;"acoes")))*INDEX(Inputs!$K$5:$AJ$190,0,MATCH(T$2,Inputs!$K$4:$AJ$4,0)))+SUMPRODUCT((Inputs!$C$5:$C$190=$B38)*Inputs!$D$5:$D$190*(((Inputs!$G$5:$G$190="moeda")+(Inputs!$G$5:$G$190="acoes"))*Inputs!$B$1+((Inputs!$G$5:$G$190&lt;&gt;"moeda")*(Inputs!$G$5:$G$190&lt;&gt;"acoes")))*INDEX(Inputs!$K$5:$AJ$190,0,MATCH(T$2,Inputs!$K$4:$AJ$4,0)))+SUMPRODUCT((Inputs!$E$5:$E$190=$B38)*Inputs!$F$5:$F$190*(((Inputs!$G$5:$G$190="moeda")+(Inputs!$G$5:$G$190="acoes"))*Inputs!$B$1+((Inputs!$G$5:$G$190&lt;&gt;"moeda")*(Inputs!$G$5:$G$190&lt;&gt;"acoes")))*INDEX(Inputs!$K$5:$AJ$190,0,MATCH(T$2,Inputs!$K$4:$AJ$4,0)))))</f>
        <v>1679.8137356</v>
      </c>
      <c r="U38" s="6">
        <f>IF(ISNA(MATCH(U$2,Inputs!$K$4:$AJ$4,0)),NA(),IF(SUMPRODUCT((Inputs!$A$5:$A$190=$B38)*ISNUMBER(INDEX(Inputs!$K$5:$AJ$190,0,MATCH(U$2,Inputs!$K$4:$AJ$4,0))))+SUMPRODUCT((Inputs!$C$5:$C$190=$B38)*ISNUMBER(INDEX(Inputs!$K$5:$AJ$190,0,MATCH(U$2,Inputs!$K$4:$AJ$4,0))))+SUMPRODUCT((Inputs!$E$5:$E$190=$B38)*ISNUMBER(INDEX(Inputs!$K$5:$AJ$190,0,MATCH(U$2,Inputs!$K$4:$AJ$4,0))))=0,NA(),SUMPRODUCT((Inputs!$A$5:$A$190=$B38)*Inputs!$B$5:$B$190*(((Inputs!$G$5:$G$190="moeda")+(Inputs!$G$5:$G$190="acoes"))*Inputs!$B$1+((Inputs!$G$5:$G$190&lt;&gt;"moeda")*(Inputs!$G$5:$G$190&lt;&gt;"acoes")))*INDEX(Inputs!$K$5:$AJ$190,0,MATCH(U$2,Inputs!$K$4:$AJ$4,0)))+SUMPRODUCT((Inputs!$C$5:$C$190=$B38)*Inputs!$D$5:$D$190*(((Inputs!$G$5:$G$190="moeda")+(Inputs!$G$5:$G$190="acoes"))*Inputs!$B$1+((Inputs!$G$5:$G$190&lt;&gt;"moeda")*(Inputs!$G$5:$G$190&lt;&gt;"acoes")))*INDEX(Inputs!$K$5:$AJ$190,0,MATCH(U$2,Inputs!$K$4:$AJ$4,0)))+SUMPRODUCT((Inputs!$E$5:$E$190=$B38)*Inputs!$F$5:$F$190*(((Inputs!$G$5:$G$190="moeda")+(Inputs!$G$5:$G$190="acoes"))*Inputs!$B$1+((Inputs!$G$5:$G$190&lt;&gt;"moeda")*(Inputs!$G$5:$G$190&lt;&gt;"acoes")))*INDEX(Inputs!$K$5:$AJ$190,0,MATCH(U$2,Inputs!$K$4:$AJ$4,0)))))</f>
        <v>1920.669425864</v>
      </c>
      <c r="V38" s="6">
        <f>IF(ISNA(MATCH(V$2,Inputs!$K$4:$AJ$4,0)),NA(),IF(SUMPRODUCT((Inputs!$A$5:$A$190=$B38)*ISNUMBER(INDEX(Inputs!$K$5:$AJ$190,0,MATCH(V$2,Inputs!$K$4:$AJ$4,0))))+SUMPRODUCT((Inputs!$C$5:$C$190=$B38)*ISNUMBER(INDEX(Inputs!$K$5:$AJ$190,0,MATCH(V$2,Inputs!$K$4:$AJ$4,0))))+SUMPRODUCT((Inputs!$E$5:$E$190=$B38)*ISNUMBER(INDEX(Inputs!$K$5:$AJ$190,0,MATCH(V$2,Inputs!$K$4:$AJ$4,0))))=0,NA(),SUMPRODUCT((Inputs!$A$5:$A$190=$B38)*Inputs!$B$5:$B$190*(((Inputs!$G$5:$G$190="moeda")+(Inputs!$G$5:$G$190="acoes"))*Inputs!$B$1+((Inputs!$G$5:$G$190&lt;&gt;"moeda")*(Inputs!$G$5:$G$190&lt;&gt;"acoes")))*INDEX(Inputs!$K$5:$AJ$190,0,MATCH(V$2,Inputs!$K$4:$AJ$4,0)))+SUMPRODUCT((Inputs!$C$5:$C$190=$B38)*Inputs!$D$5:$D$190*(((Inputs!$G$5:$G$190="moeda")+(Inputs!$G$5:$G$190="acoes"))*Inputs!$B$1+((Inputs!$G$5:$G$190&lt;&gt;"moeda")*(Inputs!$G$5:$G$190&lt;&gt;"acoes")))*INDEX(Inputs!$K$5:$AJ$190,0,MATCH(V$2,Inputs!$K$4:$AJ$4,0)))+SUMPRODUCT((Inputs!$E$5:$E$190=$B38)*Inputs!$F$5:$F$190*(((Inputs!$G$5:$G$190="moeda")+(Inputs!$G$5:$G$190="acoes"))*Inputs!$B$1+((Inputs!$G$5:$G$190&lt;&gt;"moeda")*(Inputs!$G$5:$G$190&lt;&gt;"acoes")))*INDEX(Inputs!$K$5:$AJ$190,0,MATCH(V$2,Inputs!$K$4:$AJ$4,0)))))</f>
        <v>1593.23390944</v>
      </c>
      <c r="W38" s="3">
        <f>V38</f>
        <v>1593.23390944</v>
      </c>
      <c r="X38" s="6">
        <f>IF(ISNA(MATCH(X$2,Inputs!$K$4:$AJ$4,0)),NA(),IF(SUMPRODUCT((Inputs!$A$5:$A$190=$B38)*ISNUMBER(INDEX(Inputs!$K$5:$AJ$190,0,MATCH(X$2,Inputs!$K$4:$AJ$4,0))))+SUMPRODUCT((Inputs!$C$5:$C$190=$B38)*ISNUMBER(INDEX(Inputs!$K$5:$AJ$190,0,MATCH(X$2,Inputs!$K$4:$AJ$4,0))))+SUMPRODUCT((Inputs!$E$5:$E$190=$B38)*ISNUMBER(INDEX(Inputs!$K$5:$AJ$190,0,MATCH(X$2,Inputs!$K$4:$AJ$4,0))))=0,NA(),SUMPRODUCT((Inputs!$A$5:$A$190=$B38)*Inputs!$B$5:$B$190*(((Inputs!$G$5:$G$190="moeda")+(Inputs!$G$5:$G$190="acoes"))*Inputs!$B$1+((Inputs!$G$5:$G$190&lt;&gt;"moeda")*(Inputs!$G$5:$G$190&lt;&gt;"acoes")))*INDEX(Inputs!$K$5:$AJ$190,0,MATCH(X$2,Inputs!$K$4:$AJ$4,0)))+SUMPRODUCT((Inputs!$C$5:$C$190=$B38)*Inputs!$D$5:$D$190*(((Inputs!$G$5:$G$190="moeda")+(Inputs!$G$5:$G$190="acoes"))*Inputs!$B$1+((Inputs!$G$5:$G$190&lt;&gt;"moeda")*(Inputs!$G$5:$G$190&lt;&gt;"acoes")))*INDEX(Inputs!$K$5:$AJ$190,0,MATCH(X$2,Inputs!$K$4:$AJ$4,0)))+SUMPRODUCT((Inputs!$E$5:$E$190=$B38)*Inputs!$F$5:$F$190*(((Inputs!$G$5:$G$190="moeda")+(Inputs!$G$5:$G$190="acoes"))*Inputs!$B$1+((Inputs!$G$5:$G$190&lt;&gt;"moeda")*(Inputs!$G$5:$G$190&lt;&gt;"acoes")))*INDEX(Inputs!$K$5:$AJ$190,0,MATCH(X$2,Inputs!$K$4:$AJ$4,0)))))</f>
        <v>1591.58878821</v>
      </c>
      <c r="Y38" s="6">
        <f>IF(ISNA(MATCH(Y$2,Inputs!$K$4:$AJ$4,0)),NA(),IF(SUMPRODUCT((Inputs!$A$5:$A$190=$B38)*ISNUMBER(INDEX(Inputs!$K$5:$AJ$190,0,MATCH(Y$2,Inputs!$K$4:$AJ$4,0))))+SUMPRODUCT((Inputs!$C$5:$C$190=$B38)*ISNUMBER(INDEX(Inputs!$K$5:$AJ$190,0,MATCH(Y$2,Inputs!$K$4:$AJ$4,0))))+SUMPRODUCT((Inputs!$E$5:$E$190=$B38)*ISNUMBER(INDEX(Inputs!$K$5:$AJ$190,0,MATCH(Y$2,Inputs!$K$4:$AJ$4,0))))=0,NA(),SUMPRODUCT((Inputs!$A$5:$A$190=$B38)*Inputs!$B$5:$B$190*(((Inputs!$G$5:$G$190="moeda")+(Inputs!$G$5:$G$190="acoes"))*Inputs!$B$1+((Inputs!$G$5:$G$190&lt;&gt;"moeda")*(Inputs!$G$5:$G$190&lt;&gt;"acoes")))*INDEX(Inputs!$K$5:$AJ$190,0,MATCH(Y$2,Inputs!$K$4:$AJ$4,0)))+SUMPRODUCT((Inputs!$C$5:$C$190=$B38)*Inputs!$D$5:$D$190*(((Inputs!$G$5:$G$190="moeda")+(Inputs!$G$5:$G$190="acoes"))*Inputs!$B$1+((Inputs!$G$5:$G$190&lt;&gt;"moeda")*(Inputs!$G$5:$G$190&lt;&gt;"acoes")))*INDEX(Inputs!$K$5:$AJ$190,0,MATCH(Y$2,Inputs!$K$4:$AJ$4,0)))+SUMPRODUCT((Inputs!$E$5:$E$190=$B38)*Inputs!$F$5:$F$190*(((Inputs!$G$5:$G$190="moeda")+(Inputs!$G$5:$G$190="acoes"))*Inputs!$B$1+((Inputs!$G$5:$G$190&lt;&gt;"moeda")*(Inputs!$G$5:$G$190&lt;&gt;"acoes")))*INDEX(Inputs!$K$5:$AJ$190,0,MATCH(Y$2,Inputs!$K$4:$AJ$4,0)))))</f>
        <v>1660.63737016</v>
      </c>
      <c r="Z38" s="6">
        <f>IF(ISNA(MATCH(Z$2,Inputs!$K$4:$AJ$4,0)),NA(),IF(SUMPRODUCT((Inputs!$A$5:$A$190=$B38)*ISNUMBER(INDEX(Inputs!$K$5:$AJ$190,0,MATCH(Z$2,Inputs!$K$4:$AJ$4,0))))+SUMPRODUCT((Inputs!$C$5:$C$190=$B38)*ISNUMBER(INDEX(Inputs!$K$5:$AJ$190,0,MATCH(Z$2,Inputs!$K$4:$AJ$4,0))))+SUMPRODUCT((Inputs!$E$5:$E$190=$B38)*ISNUMBER(INDEX(Inputs!$K$5:$AJ$190,0,MATCH(Z$2,Inputs!$K$4:$AJ$4,0))))=0,NA(),SUMPRODUCT((Inputs!$A$5:$A$190=$B38)*Inputs!$B$5:$B$190*(((Inputs!$G$5:$G$190="moeda")+(Inputs!$G$5:$G$190="acoes"))*Inputs!$B$1+((Inputs!$G$5:$G$190&lt;&gt;"moeda")*(Inputs!$G$5:$G$190&lt;&gt;"acoes")))*INDEX(Inputs!$K$5:$AJ$190,0,MATCH(Z$2,Inputs!$K$4:$AJ$4,0)))+SUMPRODUCT((Inputs!$C$5:$C$190=$B38)*Inputs!$D$5:$D$190*(((Inputs!$G$5:$G$190="moeda")+(Inputs!$G$5:$G$190="acoes"))*Inputs!$B$1+((Inputs!$G$5:$G$190&lt;&gt;"moeda")*(Inputs!$G$5:$G$190&lt;&gt;"acoes")))*INDEX(Inputs!$K$5:$AJ$190,0,MATCH(Z$2,Inputs!$K$4:$AJ$4,0)))+SUMPRODUCT((Inputs!$E$5:$E$190=$B38)*Inputs!$F$5:$F$190*(((Inputs!$G$5:$G$190="moeda")+(Inputs!$G$5:$G$190="acoes"))*Inputs!$B$1+((Inputs!$G$5:$G$190&lt;&gt;"moeda")*(Inputs!$G$5:$G$190&lt;&gt;"acoes")))*INDEX(Inputs!$K$5:$AJ$190,0,MATCH(Z$2,Inputs!$K$4:$AJ$4,0)))))</f>
        <v>1697.59706335</v>
      </c>
      <c r="AA38" s="6">
        <f>IF(ISNA(MATCH(AA$2,Inputs!$K$4:$AJ$4,0)),NA(),IF(SUMPRODUCT((Inputs!$A$5:$A$190=$B38)*ISNUMBER(INDEX(Inputs!$K$5:$AJ$190,0,MATCH(AA$2,Inputs!$K$4:$AJ$4,0))))+SUMPRODUCT((Inputs!$C$5:$C$190=$B38)*ISNUMBER(INDEX(Inputs!$K$5:$AJ$190,0,MATCH(AA$2,Inputs!$K$4:$AJ$4,0))))+SUMPRODUCT((Inputs!$E$5:$E$190=$B38)*ISNUMBER(INDEX(Inputs!$K$5:$AJ$190,0,MATCH(AA$2,Inputs!$K$4:$AJ$4,0))))=0,NA(),SUMPRODUCT((Inputs!$A$5:$A$190=$B38)*Inputs!$B$5:$B$190*(((Inputs!$G$5:$G$190="moeda")+(Inputs!$G$5:$G$190="acoes"))*Inputs!$B$1+((Inputs!$G$5:$G$190&lt;&gt;"moeda")*(Inputs!$G$5:$G$190&lt;&gt;"acoes")))*INDEX(Inputs!$K$5:$AJ$190,0,MATCH(AA$2,Inputs!$K$4:$AJ$4,0)))+SUMPRODUCT((Inputs!$C$5:$C$190=$B38)*Inputs!$D$5:$D$190*(((Inputs!$G$5:$G$190="moeda")+(Inputs!$G$5:$G$190="acoes"))*Inputs!$B$1+((Inputs!$G$5:$G$190&lt;&gt;"moeda")*(Inputs!$G$5:$G$190&lt;&gt;"acoes")))*INDEX(Inputs!$K$5:$AJ$190,0,MATCH(AA$2,Inputs!$K$4:$AJ$4,0)))+SUMPRODUCT((Inputs!$E$5:$E$190=$B38)*Inputs!$F$5:$F$190*(((Inputs!$G$5:$G$190="moeda")+(Inputs!$G$5:$G$190="acoes"))*Inputs!$B$1+((Inputs!$G$5:$G$190&lt;&gt;"moeda")*(Inputs!$G$5:$G$190&lt;&gt;"acoes")))*INDEX(Inputs!$K$5:$AJ$190,0,MATCH(AA$2,Inputs!$K$4:$AJ$4,0)))))</f>
        <v>1895.53506878</v>
      </c>
      <c r="AB38" s="3">
        <f>AA38</f>
        <v>1895.53506878</v>
      </c>
      <c r="AC38" s="6">
        <f>IF(ISNA(MATCH(AC$2,Inputs!$K$4:$AJ$4,0)),NA(),IF(SUMPRODUCT((Inputs!$A$5:$A$190=$B38)*ISNUMBER(INDEX(Inputs!$K$5:$AJ$190,0,MATCH(AC$2,Inputs!$K$4:$AJ$4,0))))+SUMPRODUCT((Inputs!$C$5:$C$190=$B38)*ISNUMBER(INDEX(Inputs!$K$5:$AJ$190,0,MATCH(AC$2,Inputs!$K$4:$AJ$4,0))))+SUMPRODUCT((Inputs!$E$5:$E$190=$B38)*ISNUMBER(INDEX(Inputs!$K$5:$AJ$190,0,MATCH(AC$2,Inputs!$K$4:$AJ$4,0))))=0,NA(),SUMPRODUCT((Inputs!$A$5:$A$190=$B38)*Inputs!$B$5:$B$190*(((Inputs!$G$5:$G$190="moeda")+(Inputs!$G$5:$G$190="acoes"))*Inputs!$B$1+((Inputs!$G$5:$G$190&lt;&gt;"moeda")*(Inputs!$G$5:$G$190&lt;&gt;"acoes")))*INDEX(Inputs!$K$5:$AJ$190,0,MATCH(AC$2,Inputs!$K$4:$AJ$4,0)))+SUMPRODUCT((Inputs!$C$5:$C$190=$B38)*Inputs!$D$5:$D$190*(((Inputs!$G$5:$G$190="moeda")+(Inputs!$G$5:$G$190="acoes"))*Inputs!$B$1+((Inputs!$G$5:$G$190&lt;&gt;"moeda")*(Inputs!$G$5:$G$190&lt;&gt;"acoes")))*INDEX(Inputs!$K$5:$AJ$190,0,MATCH(AC$2,Inputs!$K$4:$AJ$4,0)))+SUMPRODUCT((Inputs!$E$5:$E$190=$B38)*Inputs!$F$5:$F$190*(((Inputs!$G$5:$G$190="moeda")+(Inputs!$G$5:$G$190="acoes"))*Inputs!$B$1+((Inputs!$G$5:$G$190&lt;&gt;"moeda")*(Inputs!$G$5:$G$190&lt;&gt;"acoes")))*INDEX(Inputs!$K$5:$AJ$190,0,MATCH(AC$2,Inputs!$K$4:$AJ$4,0)))))</f>
        <v>1984.03141804</v>
      </c>
      <c r="AD38" s="6">
        <f>IF(ISNA(MATCH(AD$2,Inputs!$K$4:$AJ$4,0)),NA(),IF(SUMPRODUCT((Inputs!$A$5:$A$190=$B38)*ISNUMBER(INDEX(Inputs!$K$5:$AJ$190,0,MATCH(AD$2,Inputs!$K$4:$AJ$4,0))))+SUMPRODUCT((Inputs!$C$5:$C$190=$B38)*ISNUMBER(INDEX(Inputs!$K$5:$AJ$190,0,MATCH(AD$2,Inputs!$K$4:$AJ$4,0))))+SUMPRODUCT((Inputs!$E$5:$E$190=$B38)*ISNUMBER(INDEX(Inputs!$K$5:$AJ$190,0,MATCH(AD$2,Inputs!$K$4:$AJ$4,0))))=0,NA(),SUMPRODUCT((Inputs!$A$5:$A$190=$B38)*Inputs!$B$5:$B$190*(((Inputs!$G$5:$G$190="moeda")+(Inputs!$G$5:$G$190="acoes"))*Inputs!$B$1+((Inputs!$G$5:$G$190&lt;&gt;"moeda")*(Inputs!$G$5:$G$190&lt;&gt;"acoes")))*INDEX(Inputs!$K$5:$AJ$190,0,MATCH(AD$2,Inputs!$K$4:$AJ$4,0)))+SUMPRODUCT((Inputs!$C$5:$C$190=$B38)*Inputs!$D$5:$D$190*(((Inputs!$G$5:$G$190="moeda")+(Inputs!$G$5:$G$190="acoes"))*Inputs!$B$1+((Inputs!$G$5:$G$190&lt;&gt;"moeda")*(Inputs!$G$5:$G$190&lt;&gt;"acoes")))*INDEX(Inputs!$K$5:$AJ$190,0,MATCH(AD$2,Inputs!$K$4:$AJ$4,0)))+SUMPRODUCT((Inputs!$E$5:$E$190=$B38)*Inputs!$F$5:$F$190*(((Inputs!$G$5:$G$190="moeda")+(Inputs!$G$5:$G$190="acoes"))*Inputs!$B$1+((Inputs!$G$5:$G$190&lt;&gt;"moeda")*(Inputs!$G$5:$G$190&lt;&gt;"acoes")))*INDEX(Inputs!$K$5:$AJ$190,0,MATCH(AD$2,Inputs!$K$4:$AJ$4,0)))))</f>
        <v>2004.35223231</v>
      </c>
      <c r="AE38" s="6" t="e">
        <f>IF(ISNA(MATCH(AE$2,Inputs!$K$4:$AJ$4,0)),NA(),IF(SUMPRODUCT((Inputs!$A$5:$A$190=$B38)*ISNUMBER(INDEX(Inputs!$K$5:$AJ$190,0,MATCH(AE$2,Inputs!$K$4:$AJ$4,0))))+SUMPRODUCT((Inputs!$C$5:$C$190=$B38)*ISNUMBER(INDEX(Inputs!$K$5:$AJ$190,0,MATCH(AE$2,Inputs!$K$4:$AJ$4,0))))+SUMPRODUCT((Inputs!$E$5:$E$190=$B38)*ISNUMBER(INDEX(Inputs!$K$5:$AJ$190,0,MATCH(AE$2,Inputs!$K$4:$AJ$4,0))))=0,NA(),SUMPRODUCT((Inputs!$A$5:$A$190=$B38)*Inputs!$B$5:$B$190*(((Inputs!$G$5:$G$190="moeda")+(Inputs!$G$5:$G$190="acoes"))*Inputs!$B$1+((Inputs!$G$5:$G$190&lt;&gt;"moeda")*(Inputs!$G$5:$G$190&lt;&gt;"acoes")))*INDEX(Inputs!$K$5:$AJ$190,0,MATCH(AE$2,Inputs!$K$4:$AJ$4,0)))+SUMPRODUCT((Inputs!$C$5:$C$190=$B38)*Inputs!$D$5:$D$190*(((Inputs!$G$5:$G$190="moeda")+(Inputs!$G$5:$G$190="acoes"))*Inputs!$B$1+((Inputs!$G$5:$G$190&lt;&gt;"moeda")*(Inputs!$G$5:$G$190&lt;&gt;"acoes")))*INDEX(Inputs!$K$5:$AJ$190,0,MATCH(AE$2,Inputs!$K$4:$AJ$4,0)))+SUMPRODUCT((Inputs!$E$5:$E$190=$B38)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38" s="6" t="e">
        <f>IF(ISNA(MATCH(AF$2,Inputs!$K$4:$AJ$4,0)),NA(),IF(SUMPRODUCT((Inputs!$A$5:$A$190=$B38)*ISNUMBER(INDEX(Inputs!$K$5:$AJ$190,0,MATCH(AF$2,Inputs!$K$4:$AJ$4,0))))+SUMPRODUCT((Inputs!$C$5:$C$190=$B38)*ISNUMBER(INDEX(Inputs!$K$5:$AJ$190,0,MATCH(AF$2,Inputs!$K$4:$AJ$4,0))))+SUMPRODUCT((Inputs!$E$5:$E$190=$B38)*ISNUMBER(INDEX(Inputs!$K$5:$AJ$190,0,MATCH(AF$2,Inputs!$K$4:$AJ$4,0))))=0,NA(),SUMPRODUCT((Inputs!$A$5:$A$190=$B38)*Inputs!$B$5:$B$190*(((Inputs!$G$5:$G$190="moeda")+(Inputs!$G$5:$G$190="acoes"))*Inputs!$B$1+((Inputs!$G$5:$G$190&lt;&gt;"moeda")*(Inputs!$G$5:$G$190&lt;&gt;"acoes")))*INDEX(Inputs!$K$5:$AJ$190,0,MATCH(AF$2,Inputs!$K$4:$AJ$4,0)))+SUMPRODUCT((Inputs!$C$5:$C$190=$B38)*Inputs!$D$5:$D$190*(((Inputs!$G$5:$G$190="moeda")+(Inputs!$G$5:$G$190="acoes"))*Inputs!$B$1+((Inputs!$G$5:$G$190&lt;&gt;"moeda")*(Inputs!$G$5:$G$190&lt;&gt;"acoes")))*INDEX(Inputs!$K$5:$AJ$190,0,MATCH(AF$2,Inputs!$K$4:$AJ$4,0)))+SUMPRODUCT((Inputs!$E$5:$E$190=$B38)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38" s="3" t="e">
        <f>AF38</f>
        <v>#N/A</v>
      </c>
      <c r="AH38" s="6">
        <f>IF(ISNA(MATCH(AH$2,Inputs!$K$4:$AJ$4,0)),NA(),IF(SUMPRODUCT((Inputs!$A$5:$A$190=$B38)*ISNUMBER(INDEX(Inputs!$K$5:$AJ$190,0,MATCH(AH$2,Inputs!$K$4:$AJ$4,0))))+SUMPRODUCT((Inputs!$C$5:$C$190=$B38)*ISNUMBER(INDEX(Inputs!$K$5:$AJ$190,0,MATCH(AH$2,Inputs!$K$4:$AJ$4,0))))+SUMPRODUCT((Inputs!$E$5:$E$190=$B38)*ISNUMBER(INDEX(Inputs!$K$5:$AJ$190,0,MATCH(AH$2,Inputs!$K$4:$AJ$4,0))))=0,NA(),SUMPRODUCT((Inputs!$A$5:$A$190=$B38)*Inputs!$B$5:$B$190*(((Inputs!$G$5:$G$190="moeda")+(Inputs!$G$5:$G$190="acoes"))*Inputs!$B$1+((Inputs!$G$5:$G$190&lt;&gt;"moeda")*(Inputs!$G$5:$G$190&lt;&gt;"acoes")))*INDEX(Inputs!$K$5:$AJ$190,0,MATCH(AH$2,Inputs!$K$4:$AJ$4,0)))+SUMPRODUCT((Inputs!$C$5:$C$190=$B38)*Inputs!$D$5:$D$190*(((Inputs!$G$5:$G$190="moeda")+(Inputs!$G$5:$G$190="acoes"))*Inputs!$B$1+((Inputs!$G$5:$G$190&lt;&gt;"moeda")*(Inputs!$G$5:$G$190&lt;&gt;"acoes")))*INDEX(Inputs!$K$5:$AJ$190,0,MATCH(AH$2,Inputs!$K$4:$AJ$4,0)))+SUMPRODUCT((Inputs!$E$5:$E$190=$B38)*Inputs!$F$5:$F$190*(((Inputs!$G$5:$G$190="moeda")+(Inputs!$G$5:$G$190="acoes"))*Inputs!$B$1+((Inputs!$G$5:$G$190&lt;&gt;"moeda")*(Inputs!$G$5:$G$190&lt;&gt;"acoes")))*INDEX(Inputs!$K$5:$AJ$190,0,MATCH(AH$2,Inputs!$K$4:$AJ$4,0)))))</f>
        <v>453.87643072</v>
      </c>
      <c r="AI38" s="6">
        <f>IF(ISNA(MATCH(AI$2,Inputs!$K$4:$AJ$4,0)),NA(),IF(SUMPRODUCT((Inputs!$A$5:$A$190=$B38)*ISNUMBER(INDEX(Inputs!$K$5:$AJ$190,0,MATCH(AI$2,Inputs!$K$4:$AJ$4,0))))+SUMPRODUCT((Inputs!$C$5:$C$190=$B38)*ISNUMBER(INDEX(Inputs!$K$5:$AJ$190,0,MATCH(AI$2,Inputs!$K$4:$AJ$4,0))))+SUMPRODUCT((Inputs!$E$5:$E$190=$B38)*ISNUMBER(INDEX(Inputs!$K$5:$AJ$190,0,MATCH(AI$2,Inputs!$K$4:$AJ$4,0))))=0,NA(),SUMPRODUCT((Inputs!$A$5:$A$190=$B38)*Inputs!$B$5:$B$190*(((Inputs!$G$5:$G$190="moeda")+(Inputs!$G$5:$G$190="acoes"))*Inputs!$B$1+((Inputs!$G$5:$G$190&lt;&gt;"moeda")*(Inputs!$G$5:$G$190&lt;&gt;"acoes")))*INDEX(Inputs!$K$5:$AJ$190,0,MATCH(AI$2,Inputs!$K$4:$AJ$4,0)))+SUMPRODUCT((Inputs!$C$5:$C$190=$B38)*Inputs!$D$5:$D$190*(((Inputs!$G$5:$G$190="moeda")+(Inputs!$G$5:$G$190="acoes"))*Inputs!$B$1+((Inputs!$G$5:$G$190&lt;&gt;"moeda")*(Inputs!$G$5:$G$190&lt;&gt;"acoes")))*INDEX(Inputs!$K$5:$AJ$190,0,MATCH(AI$2,Inputs!$K$4:$AJ$4,0)))+SUMPRODUCT((Inputs!$E$5:$E$190=$B38)*Inputs!$F$5:$F$190*(((Inputs!$G$5:$G$190="moeda")+(Inputs!$G$5:$G$190="acoes"))*Inputs!$B$1+((Inputs!$G$5:$G$190&lt;&gt;"moeda")*(Inputs!$G$5:$G$190&lt;&gt;"acoes")))*INDEX(Inputs!$K$5:$AJ$190,0,MATCH(AI$2,Inputs!$K$4:$AJ$4,0)))))</f>
        <v>439.28877317</v>
      </c>
      <c r="AJ38" s="6">
        <f>IF(ISNA(MATCH(AJ$2,Inputs!$K$4:$AJ$4,0)),NA(),IF(SUMPRODUCT((Inputs!$A$5:$A$190=$B38)*ISNUMBER(INDEX(Inputs!$K$5:$AJ$190,0,MATCH(AJ$2,Inputs!$K$4:$AJ$4,0))))+SUMPRODUCT((Inputs!$C$5:$C$190=$B38)*ISNUMBER(INDEX(Inputs!$K$5:$AJ$190,0,MATCH(AJ$2,Inputs!$K$4:$AJ$4,0))))+SUMPRODUCT((Inputs!$E$5:$E$190=$B38)*ISNUMBER(INDEX(Inputs!$K$5:$AJ$190,0,MATCH(AJ$2,Inputs!$K$4:$AJ$4,0))))=0,NA(),SUMPRODUCT((Inputs!$A$5:$A$190=$B38)*Inputs!$B$5:$B$190*(((Inputs!$G$5:$G$190="moeda")+(Inputs!$G$5:$G$190="acoes"))*Inputs!$B$1+((Inputs!$G$5:$G$190&lt;&gt;"moeda")*(Inputs!$G$5:$G$190&lt;&gt;"acoes")))*INDEX(Inputs!$K$5:$AJ$190,0,MATCH(AJ$2,Inputs!$K$4:$AJ$4,0)))+SUMPRODUCT((Inputs!$C$5:$C$190=$B38)*Inputs!$D$5:$D$190*(((Inputs!$G$5:$G$190="moeda")+(Inputs!$G$5:$G$190="acoes"))*Inputs!$B$1+((Inputs!$G$5:$G$190&lt;&gt;"moeda")*(Inputs!$G$5:$G$190&lt;&gt;"acoes")))*INDEX(Inputs!$K$5:$AJ$190,0,MATCH(AJ$2,Inputs!$K$4:$AJ$4,0)))+SUMPRODUCT((Inputs!$E$5:$E$190=$B38)*Inputs!$F$5:$F$190*(((Inputs!$G$5:$G$190="moeda")+(Inputs!$G$5:$G$190="acoes"))*Inputs!$B$1+((Inputs!$G$5:$G$190&lt;&gt;"moeda")*(Inputs!$G$5:$G$190&lt;&gt;"acoes")))*INDEX(Inputs!$K$5:$AJ$190,0,MATCH(AJ$2,Inputs!$K$4:$AJ$4,0)))))</f>
        <v>486.673</v>
      </c>
      <c r="AK38" s="6">
        <f>IF(ISNA(MATCH(AK$2,Inputs!$K$4:$AJ$4,0)),NA(),IF(SUMPRODUCT((Inputs!$A$5:$A$190=$B38)*ISNUMBER(INDEX(Inputs!$K$5:$AJ$190,0,MATCH(AK$2,Inputs!$K$4:$AJ$4,0))))+SUMPRODUCT((Inputs!$C$5:$C$190=$B38)*ISNUMBER(INDEX(Inputs!$K$5:$AJ$190,0,MATCH(AK$2,Inputs!$K$4:$AJ$4,0))))+SUMPRODUCT((Inputs!$E$5:$E$190=$B38)*ISNUMBER(INDEX(Inputs!$K$5:$AJ$190,0,MATCH(AK$2,Inputs!$K$4:$AJ$4,0))))=0,NA(),SUMPRODUCT((Inputs!$A$5:$A$190=$B38)*Inputs!$B$5:$B$190*(((Inputs!$G$5:$G$190="moeda")+(Inputs!$G$5:$G$190="acoes"))*Inputs!$B$1+((Inputs!$G$5:$G$190&lt;&gt;"moeda")*(Inputs!$G$5:$G$190&lt;&gt;"acoes")))*INDEX(Inputs!$K$5:$AJ$190,0,MATCH(AK$2,Inputs!$K$4:$AJ$4,0)))+SUMPRODUCT((Inputs!$C$5:$C$190=$B38)*Inputs!$D$5:$D$190*(((Inputs!$G$5:$G$190="moeda")+(Inputs!$G$5:$G$190="acoes"))*Inputs!$B$1+((Inputs!$G$5:$G$190&lt;&gt;"moeda")*(Inputs!$G$5:$G$190&lt;&gt;"acoes")))*INDEX(Inputs!$K$5:$AJ$190,0,MATCH(AK$2,Inputs!$K$4:$AJ$4,0)))+SUMPRODUCT((Inputs!$E$5:$E$190=$B38)*Inputs!$F$5:$F$190*(((Inputs!$G$5:$G$190="moeda")+(Inputs!$G$5:$G$190="acoes"))*Inputs!$B$1+((Inputs!$G$5:$G$190&lt;&gt;"moeda")*(Inputs!$G$5:$G$190&lt;&gt;"acoes")))*INDEX(Inputs!$K$5:$AJ$190,0,MATCH(AK$2,Inputs!$K$4:$AJ$4,0)))))</f>
        <v>621.467</v>
      </c>
      <c r="AL38" s="3">
        <f>AK38</f>
        <v>621.467</v>
      </c>
    </row>
    <row r="39">
      <c r="B39" s="46" t="n">
        <v>34</v>
      </c>
      <c r="C39" s="26" t="inlineStr">
        <is>
          <t>Other non-current liabilities</t>
        </is>
      </c>
      <c r="D39" s="6">
        <f>IF(ISNA(MATCH(D$2,Inputs!$K$4:$AJ$4,0)),NA(),IF(SUMPRODUCT((Inputs!$A$5:$A$190=$B39)*ISNUMBER(INDEX(Inputs!$K$5:$AJ$190,0,MATCH(D$2,Inputs!$K$4:$AJ$4,0))))+SUMPRODUCT((Inputs!$C$5:$C$190=$B39)*ISNUMBER(INDEX(Inputs!$K$5:$AJ$190,0,MATCH(D$2,Inputs!$K$4:$AJ$4,0))))+SUMPRODUCT((Inputs!$E$5:$E$190=$B39)*ISNUMBER(INDEX(Inputs!$K$5:$AJ$190,0,MATCH(D$2,Inputs!$K$4:$AJ$4,0))))=0,NA(),SUMPRODUCT((Inputs!$A$5:$A$190=$B39)*Inputs!$B$5:$B$190*(((Inputs!$G$5:$G$190="moeda")+(Inputs!$G$5:$G$190="acoes"))*Inputs!$B$1+((Inputs!$G$5:$G$190&lt;&gt;"moeda")*(Inputs!$G$5:$G$190&lt;&gt;"acoes")))*INDEX(Inputs!$K$5:$AJ$190,0,MATCH(D$2,Inputs!$K$4:$AJ$4,0)))+SUMPRODUCT((Inputs!$C$5:$C$190=$B39)*Inputs!$D$5:$D$190*(((Inputs!$G$5:$G$190="moeda")+(Inputs!$G$5:$G$190="acoes"))*Inputs!$B$1+((Inputs!$G$5:$G$190&lt;&gt;"moeda")*(Inputs!$G$5:$G$190&lt;&gt;"acoes")))*INDEX(Inputs!$K$5:$AJ$190,0,MATCH(D$2,Inputs!$K$4:$AJ$4,0)))+SUMPRODUCT((Inputs!$E$5:$E$190=$B39)*Inputs!$F$5:$F$190*(((Inputs!$G$5:$G$190="moeda")+(Inputs!$G$5:$G$190="acoes"))*Inputs!$B$1+((Inputs!$G$5:$G$190&lt;&gt;"moeda")*(Inputs!$G$5:$G$190&lt;&gt;"acoes")))*INDEX(Inputs!$K$5:$AJ$190,0,MATCH(D$2,Inputs!$K$4:$AJ$4,0)))))</f>
        <v>746.9006543</v>
      </c>
      <c r="E39" s="6">
        <f>IF(ISNA(MATCH(E$2,Inputs!$K$4:$AJ$4,0)),NA(),IF(SUMPRODUCT((Inputs!$A$5:$A$190=$B39)*ISNUMBER(INDEX(Inputs!$K$5:$AJ$190,0,MATCH(E$2,Inputs!$K$4:$AJ$4,0))))+SUMPRODUCT((Inputs!$C$5:$C$190=$B39)*ISNUMBER(INDEX(Inputs!$K$5:$AJ$190,0,MATCH(E$2,Inputs!$K$4:$AJ$4,0))))+SUMPRODUCT((Inputs!$E$5:$E$190=$B39)*ISNUMBER(INDEX(Inputs!$K$5:$AJ$190,0,MATCH(E$2,Inputs!$K$4:$AJ$4,0))))=0,NA(),SUMPRODUCT((Inputs!$A$5:$A$190=$B39)*Inputs!$B$5:$B$190*(((Inputs!$G$5:$G$190="moeda")+(Inputs!$G$5:$G$190="acoes"))*Inputs!$B$1+((Inputs!$G$5:$G$190&lt;&gt;"moeda")*(Inputs!$G$5:$G$190&lt;&gt;"acoes")))*INDEX(Inputs!$K$5:$AJ$190,0,MATCH(E$2,Inputs!$K$4:$AJ$4,0)))+SUMPRODUCT((Inputs!$C$5:$C$190=$B39)*Inputs!$D$5:$D$190*(((Inputs!$G$5:$G$190="moeda")+(Inputs!$G$5:$G$190="acoes"))*Inputs!$B$1+((Inputs!$G$5:$G$190&lt;&gt;"moeda")*(Inputs!$G$5:$G$190&lt;&gt;"acoes")))*INDEX(Inputs!$K$5:$AJ$190,0,MATCH(E$2,Inputs!$K$4:$AJ$4,0)))+SUMPRODUCT((Inputs!$E$5:$E$190=$B39)*Inputs!$F$5:$F$190*(((Inputs!$G$5:$G$190="moeda")+(Inputs!$G$5:$G$190="acoes"))*Inputs!$B$1+((Inputs!$G$5:$G$190&lt;&gt;"moeda")*(Inputs!$G$5:$G$190&lt;&gt;"acoes")))*INDEX(Inputs!$K$5:$AJ$190,0,MATCH(E$2,Inputs!$K$4:$AJ$4,0)))))</f>
        <v>1464.96559789</v>
      </c>
      <c r="F39" s="6">
        <f>IF(ISNA(MATCH(F$2,Inputs!$K$4:$AJ$4,0)),NA(),IF(SUMPRODUCT((Inputs!$A$5:$A$190=$B39)*ISNUMBER(INDEX(Inputs!$K$5:$AJ$190,0,MATCH(F$2,Inputs!$K$4:$AJ$4,0))))+SUMPRODUCT((Inputs!$C$5:$C$190=$B39)*ISNUMBER(INDEX(Inputs!$K$5:$AJ$190,0,MATCH(F$2,Inputs!$K$4:$AJ$4,0))))+SUMPRODUCT((Inputs!$E$5:$E$190=$B39)*ISNUMBER(INDEX(Inputs!$K$5:$AJ$190,0,MATCH(F$2,Inputs!$K$4:$AJ$4,0))))=0,NA(),SUMPRODUCT((Inputs!$A$5:$A$190=$B39)*Inputs!$B$5:$B$190*(((Inputs!$G$5:$G$190="moeda")+(Inputs!$G$5:$G$190="acoes"))*Inputs!$B$1+((Inputs!$G$5:$G$190&lt;&gt;"moeda")*(Inputs!$G$5:$G$190&lt;&gt;"acoes")))*INDEX(Inputs!$K$5:$AJ$190,0,MATCH(F$2,Inputs!$K$4:$AJ$4,0)))+SUMPRODUCT((Inputs!$C$5:$C$190=$B39)*Inputs!$D$5:$D$190*(((Inputs!$G$5:$G$190="moeda")+(Inputs!$G$5:$G$190="acoes"))*Inputs!$B$1+((Inputs!$G$5:$G$190&lt;&gt;"moeda")*(Inputs!$G$5:$G$190&lt;&gt;"acoes")))*INDEX(Inputs!$K$5:$AJ$190,0,MATCH(F$2,Inputs!$K$4:$AJ$4,0)))+SUMPRODUCT((Inputs!$E$5:$E$190=$B39)*Inputs!$F$5:$F$190*(((Inputs!$G$5:$G$190="moeda")+(Inputs!$G$5:$G$190="acoes"))*Inputs!$B$1+((Inputs!$G$5:$G$190&lt;&gt;"moeda")*(Inputs!$G$5:$G$190&lt;&gt;"acoes")))*INDEX(Inputs!$K$5:$AJ$190,0,MATCH(F$2,Inputs!$K$4:$AJ$4,0)))))</f>
        <v>1577.624</v>
      </c>
      <c r="G39" s="6">
        <f>IF(ISNA(MATCH(G$2,Inputs!$K$4:$AJ$4,0)),NA(),IF(SUMPRODUCT((Inputs!$A$5:$A$190=$B39)*ISNUMBER(INDEX(Inputs!$K$5:$AJ$190,0,MATCH(G$2,Inputs!$K$4:$AJ$4,0))))+SUMPRODUCT((Inputs!$C$5:$C$190=$B39)*ISNUMBER(INDEX(Inputs!$K$5:$AJ$190,0,MATCH(G$2,Inputs!$K$4:$AJ$4,0))))+SUMPRODUCT((Inputs!$E$5:$E$190=$B39)*ISNUMBER(INDEX(Inputs!$K$5:$AJ$190,0,MATCH(G$2,Inputs!$K$4:$AJ$4,0))))=0,NA(),SUMPRODUCT((Inputs!$A$5:$A$190=$B39)*Inputs!$B$5:$B$190*(((Inputs!$G$5:$G$190="moeda")+(Inputs!$G$5:$G$190="acoes"))*Inputs!$B$1+((Inputs!$G$5:$G$190&lt;&gt;"moeda")*(Inputs!$G$5:$G$190&lt;&gt;"acoes")))*INDEX(Inputs!$K$5:$AJ$190,0,MATCH(G$2,Inputs!$K$4:$AJ$4,0)))+SUMPRODUCT((Inputs!$C$5:$C$190=$B39)*Inputs!$D$5:$D$190*(((Inputs!$G$5:$G$190="moeda")+(Inputs!$G$5:$G$190="acoes"))*Inputs!$B$1+((Inputs!$G$5:$G$190&lt;&gt;"moeda")*(Inputs!$G$5:$G$190&lt;&gt;"acoes")))*INDEX(Inputs!$K$5:$AJ$190,0,MATCH(G$2,Inputs!$K$4:$AJ$4,0)))+SUMPRODUCT((Inputs!$E$5:$E$190=$B39)*Inputs!$F$5:$F$190*(((Inputs!$G$5:$G$190="moeda")+(Inputs!$G$5:$G$190="acoes"))*Inputs!$B$1+((Inputs!$G$5:$G$190&lt;&gt;"moeda")*(Inputs!$G$5:$G$190&lt;&gt;"acoes")))*INDEX(Inputs!$K$5:$AJ$190,0,MATCH(G$2,Inputs!$K$4:$AJ$4,0)))))</f>
        <v>1334.341</v>
      </c>
      <c r="H39" s="3">
        <f>G39</f>
        <v>1334.341</v>
      </c>
      <c r="I39" s="6">
        <f>IF(ISNA(MATCH(I$2,Inputs!$K$4:$AJ$4,0)),NA(),IF(SUMPRODUCT((Inputs!$A$5:$A$190=$B39)*ISNUMBER(INDEX(Inputs!$K$5:$AJ$190,0,MATCH(I$2,Inputs!$K$4:$AJ$4,0))))+SUMPRODUCT((Inputs!$C$5:$C$190=$B39)*ISNUMBER(INDEX(Inputs!$K$5:$AJ$190,0,MATCH(I$2,Inputs!$K$4:$AJ$4,0))))+SUMPRODUCT((Inputs!$E$5:$E$190=$B39)*ISNUMBER(INDEX(Inputs!$K$5:$AJ$190,0,MATCH(I$2,Inputs!$K$4:$AJ$4,0))))=0,NA(),SUMPRODUCT((Inputs!$A$5:$A$190=$B39)*Inputs!$B$5:$B$190*(((Inputs!$G$5:$G$190="moeda")+(Inputs!$G$5:$G$190="acoes"))*Inputs!$B$1+((Inputs!$G$5:$G$190&lt;&gt;"moeda")*(Inputs!$G$5:$G$190&lt;&gt;"acoes")))*INDEX(Inputs!$K$5:$AJ$190,0,MATCH(I$2,Inputs!$K$4:$AJ$4,0)))+SUMPRODUCT((Inputs!$C$5:$C$190=$B39)*Inputs!$D$5:$D$190*(((Inputs!$G$5:$G$190="moeda")+(Inputs!$G$5:$G$190="acoes"))*Inputs!$B$1+((Inputs!$G$5:$G$190&lt;&gt;"moeda")*(Inputs!$G$5:$G$190&lt;&gt;"acoes")))*INDEX(Inputs!$K$5:$AJ$190,0,MATCH(I$2,Inputs!$K$4:$AJ$4,0)))+SUMPRODUCT((Inputs!$E$5:$E$190=$B39)*Inputs!$F$5:$F$190*(((Inputs!$G$5:$G$190="moeda")+(Inputs!$G$5:$G$190="acoes"))*Inputs!$B$1+((Inputs!$G$5:$G$190&lt;&gt;"moeda")*(Inputs!$G$5:$G$190&lt;&gt;"acoes")))*INDEX(Inputs!$K$5:$AJ$190,0,MATCH(I$2,Inputs!$K$4:$AJ$4,0)))))</f>
        <v>2820.215</v>
      </c>
      <c r="J39" s="6">
        <f>IF(ISNA(MATCH(J$2,Inputs!$K$4:$AJ$4,0)),NA(),IF(SUMPRODUCT((Inputs!$A$5:$A$190=$B39)*ISNUMBER(INDEX(Inputs!$K$5:$AJ$190,0,MATCH(J$2,Inputs!$K$4:$AJ$4,0))))+SUMPRODUCT((Inputs!$C$5:$C$190=$B39)*ISNUMBER(INDEX(Inputs!$K$5:$AJ$190,0,MATCH(J$2,Inputs!$K$4:$AJ$4,0))))+SUMPRODUCT((Inputs!$E$5:$E$190=$B39)*ISNUMBER(INDEX(Inputs!$K$5:$AJ$190,0,MATCH(J$2,Inputs!$K$4:$AJ$4,0))))=0,NA(),SUMPRODUCT((Inputs!$A$5:$A$190=$B39)*Inputs!$B$5:$B$190*(((Inputs!$G$5:$G$190="moeda")+(Inputs!$G$5:$G$190="acoes"))*Inputs!$B$1+((Inputs!$G$5:$G$190&lt;&gt;"moeda")*(Inputs!$G$5:$G$190&lt;&gt;"acoes")))*INDEX(Inputs!$K$5:$AJ$190,0,MATCH(J$2,Inputs!$K$4:$AJ$4,0)))+SUMPRODUCT((Inputs!$C$5:$C$190=$B39)*Inputs!$D$5:$D$190*(((Inputs!$G$5:$G$190="moeda")+(Inputs!$G$5:$G$190="acoes"))*Inputs!$B$1+((Inputs!$G$5:$G$190&lt;&gt;"moeda")*(Inputs!$G$5:$G$190&lt;&gt;"acoes")))*INDEX(Inputs!$K$5:$AJ$190,0,MATCH(J$2,Inputs!$K$4:$AJ$4,0)))+SUMPRODUCT((Inputs!$E$5:$E$190=$B39)*Inputs!$F$5:$F$190*(((Inputs!$G$5:$G$190="moeda")+(Inputs!$G$5:$G$190="acoes"))*Inputs!$B$1+((Inputs!$G$5:$G$190&lt;&gt;"moeda")*(Inputs!$G$5:$G$190&lt;&gt;"acoes")))*INDEX(Inputs!$K$5:$AJ$190,0,MATCH(J$2,Inputs!$K$4:$AJ$4,0)))))</f>
        <v>3042.713</v>
      </c>
      <c r="K39" s="6">
        <f>IF(ISNA(MATCH(K$2,Inputs!$K$4:$AJ$4,0)),NA(),IF(SUMPRODUCT((Inputs!$A$5:$A$190=$B39)*ISNUMBER(INDEX(Inputs!$K$5:$AJ$190,0,MATCH(K$2,Inputs!$K$4:$AJ$4,0))))+SUMPRODUCT((Inputs!$C$5:$C$190=$B39)*ISNUMBER(INDEX(Inputs!$K$5:$AJ$190,0,MATCH(K$2,Inputs!$K$4:$AJ$4,0))))+SUMPRODUCT((Inputs!$E$5:$E$190=$B39)*ISNUMBER(INDEX(Inputs!$K$5:$AJ$190,0,MATCH(K$2,Inputs!$K$4:$AJ$4,0))))=0,NA(),SUMPRODUCT((Inputs!$A$5:$A$190=$B39)*Inputs!$B$5:$B$190*(((Inputs!$G$5:$G$190="moeda")+(Inputs!$G$5:$G$190="acoes"))*Inputs!$B$1+((Inputs!$G$5:$G$190&lt;&gt;"moeda")*(Inputs!$G$5:$G$190&lt;&gt;"acoes")))*INDEX(Inputs!$K$5:$AJ$190,0,MATCH(K$2,Inputs!$K$4:$AJ$4,0)))+SUMPRODUCT((Inputs!$C$5:$C$190=$B39)*Inputs!$D$5:$D$190*(((Inputs!$G$5:$G$190="moeda")+(Inputs!$G$5:$G$190="acoes"))*Inputs!$B$1+((Inputs!$G$5:$G$190&lt;&gt;"moeda")*(Inputs!$G$5:$G$190&lt;&gt;"acoes")))*INDEX(Inputs!$K$5:$AJ$190,0,MATCH(K$2,Inputs!$K$4:$AJ$4,0)))+SUMPRODUCT((Inputs!$E$5:$E$190=$B39)*Inputs!$F$5:$F$190*(((Inputs!$G$5:$G$190="moeda")+(Inputs!$G$5:$G$190="acoes"))*Inputs!$B$1+((Inputs!$G$5:$G$190&lt;&gt;"moeda")*(Inputs!$G$5:$G$190&lt;&gt;"acoes")))*INDEX(Inputs!$K$5:$AJ$190,0,MATCH(K$2,Inputs!$K$4:$AJ$4,0)))))</f>
        <v>4484.726</v>
      </c>
      <c r="L39" s="6">
        <f>IF(ISNA(MATCH(L$2,Inputs!$K$4:$AJ$4,0)),NA(),IF(SUMPRODUCT((Inputs!$A$5:$A$190=$B39)*ISNUMBER(INDEX(Inputs!$K$5:$AJ$190,0,MATCH(L$2,Inputs!$K$4:$AJ$4,0))))+SUMPRODUCT((Inputs!$C$5:$C$190=$B39)*ISNUMBER(INDEX(Inputs!$K$5:$AJ$190,0,MATCH(L$2,Inputs!$K$4:$AJ$4,0))))+SUMPRODUCT((Inputs!$E$5:$E$190=$B39)*ISNUMBER(INDEX(Inputs!$K$5:$AJ$190,0,MATCH(L$2,Inputs!$K$4:$AJ$4,0))))=0,NA(),SUMPRODUCT((Inputs!$A$5:$A$190=$B39)*Inputs!$B$5:$B$190*(((Inputs!$G$5:$G$190="moeda")+(Inputs!$G$5:$G$190="acoes"))*Inputs!$B$1+((Inputs!$G$5:$G$190&lt;&gt;"moeda")*(Inputs!$G$5:$G$190&lt;&gt;"acoes")))*INDEX(Inputs!$K$5:$AJ$190,0,MATCH(L$2,Inputs!$K$4:$AJ$4,0)))+SUMPRODUCT((Inputs!$C$5:$C$190=$B39)*Inputs!$D$5:$D$190*(((Inputs!$G$5:$G$190="moeda")+(Inputs!$G$5:$G$190="acoes"))*Inputs!$B$1+((Inputs!$G$5:$G$190&lt;&gt;"moeda")*(Inputs!$G$5:$G$190&lt;&gt;"acoes")))*INDEX(Inputs!$K$5:$AJ$190,0,MATCH(L$2,Inputs!$K$4:$AJ$4,0)))+SUMPRODUCT((Inputs!$E$5:$E$190=$B39)*Inputs!$F$5:$F$190*(((Inputs!$G$5:$G$190="moeda")+(Inputs!$G$5:$G$190="acoes"))*Inputs!$B$1+((Inputs!$G$5:$G$190&lt;&gt;"moeda")*(Inputs!$G$5:$G$190&lt;&gt;"acoes")))*INDEX(Inputs!$K$5:$AJ$190,0,MATCH(L$2,Inputs!$K$4:$AJ$4,0)))))</f>
        <v>5239.022</v>
      </c>
      <c r="M39" s="3">
        <f>L39</f>
        <v>5239.022</v>
      </c>
      <c r="N39" s="6">
        <f>IF(ISNA(MATCH(N$2,Inputs!$K$4:$AJ$4,0)),NA(),IF(SUMPRODUCT((Inputs!$A$5:$A$190=$B39)*ISNUMBER(INDEX(Inputs!$K$5:$AJ$190,0,MATCH(N$2,Inputs!$K$4:$AJ$4,0))))+SUMPRODUCT((Inputs!$C$5:$C$190=$B39)*ISNUMBER(INDEX(Inputs!$K$5:$AJ$190,0,MATCH(N$2,Inputs!$K$4:$AJ$4,0))))+SUMPRODUCT((Inputs!$E$5:$E$190=$B39)*ISNUMBER(INDEX(Inputs!$K$5:$AJ$190,0,MATCH(N$2,Inputs!$K$4:$AJ$4,0))))=0,NA(),SUMPRODUCT((Inputs!$A$5:$A$190=$B39)*Inputs!$B$5:$B$190*(((Inputs!$G$5:$G$190="moeda")+(Inputs!$G$5:$G$190="acoes"))*Inputs!$B$1+((Inputs!$G$5:$G$190&lt;&gt;"moeda")*(Inputs!$G$5:$G$190&lt;&gt;"acoes")))*INDEX(Inputs!$K$5:$AJ$190,0,MATCH(N$2,Inputs!$K$4:$AJ$4,0)))+SUMPRODUCT((Inputs!$C$5:$C$190=$B39)*Inputs!$D$5:$D$190*(((Inputs!$G$5:$G$190="moeda")+(Inputs!$G$5:$G$190="acoes"))*Inputs!$B$1+((Inputs!$G$5:$G$190&lt;&gt;"moeda")*(Inputs!$G$5:$G$190&lt;&gt;"acoes")))*INDEX(Inputs!$K$5:$AJ$190,0,MATCH(N$2,Inputs!$K$4:$AJ$4,0)))+SUMPRODUCT((Inputs!$E$5:$E$190=$B39)*Inputs!$F$5:$F$190*(((Inputs!$G$5:$G$190="moeda")+(Inputs!$G$5:$G$190="acoes"))*Inputs!$B$1+((Inputs!$G$5:$G$190&lt;&gt;"moeda")*(Inputs!$G$5:$G$190&lt;&gt;"acoes")))*INDEX(Inputs!$K$5:$AJ$190,0,MATCH(N$2,Inputs!$K$4:$AJ$4,0)))))</f>
        <v>5320.8405055327</v>
      </c>
      <c r="O39" s="6">
        <f>IF(ISNA(MATCH(O$2,Inputs!$K$4:$AJ$4,0)),NA(),IF(SUMPRODUCT((Inputs!$A$5:$A$190=$B39)*ISNUMBER(INDEX(Inputs!$K$5:$AJ$190,0,MATCH(O$2,Inputs!$K$4:$AJ$4,0))))+SUMPRODUCT((Inputs!$C$5:$C$190=$B39)*ISNUMBER(INDEX(Inputs!$K$5:$AJ$190,0,MATCH(O$2,Inputs!$K$4:$AJ$4,0))))+SUMPRODUCT((Inputs!$E$5:$E$190=$B39)*ISNUMBER(INDEX(Inputs!$K$5:$AJ$190,0,MATCH(O$2,Inputs!$K$4:$AJ$4,0))))=0,NA(),SUMPRODUCT((Inputs!$A$5:$A$190=$B39)*Inputs!$B$5:$B$190*(((Inputs!$G$5:$G$190="moeda")+(Inputs!$G$5:$G$190="acoes"))*Inputs!$B$1+((Inputs!$G$5:$G$190&lt;&gt;"moeda")*(Inputs!$G$5:$G$190&lt;&gt;"acoes")))*INDEX(Inputs!$K$5:$AJ$190,0,MATCH(O$2,Inputs!$K$4:$AJ$4,0)))+SUMPRODUCT((Inputs!$C$5:$C$190=$B39)*Inputs!$D$5:$D$190*(((Inputs!$G$5:$G$190="moeda")+(Inputs!$G$5:$G$190="acoes"))*Inputs!$B$1+((Inputs!$G$5:$G$190&lt;&gt;"moeda")*(Inputs!$G$5:$G$190&lt;&gt;"acoes")))*INDEX(Inputs!$K$5:$AJ$190,0,MATCH(O$2,Inputs!$K$4:$AJ$4,0)))+SUMPRODUCT((Inputs!$E$5:$E$190=$B39)*Inputs!$F$5:$F$190*(((Inputs!$G$5:$G$190="moeda")+(Inputs!$G$5:$G$190="acoes"))*Inputs!$B$1+((Inputs!$G$5:$G$190&lt;&gt;"moeda")*(Inputs!$G$5:$G$190&lt;&gt;"acoes")))*INDEX(Inputs!$K$5:$AJ$190,0,MATCH(O$2,Inputs!$K$4:$AJ$4,0)))))</f>
        <v>5454.1987367712</v>
      </c>
      <c r="P39" s="6">
        <f>IF(ISNA(MATCH(P$2,Inputs!$K$4:$AJ$4,0)),NA(),IF(SUMPRODUCT((Inputs!$A$5:$A$190=$B39)*ISNUMBER(INDEX(Inputs!$K$5:$AJ$190,0,MATCH(P$2,Inputs!$K$4:$AJ$4,0))))+SUMPRODUCT((Inputs!$C$5:$C$190=$B39)*ISNUMBER(INDEX(Inputs!$K$5:$AJ$190,0,MATCH(P$2,Inputs!$K$4:$AJ$4,0))))+SUMPRODUCT((Inputs!$E$5:$E$190=$B39)*ISNUMBER(INDEX(Inputs!$K$5:$AJ$190,0,MATCH(P$2,Inputs!$K$4:$AJ$4,0))))=0,NA(),SUMPRODUCT((Inputs!$A$5:$A$190=$B39)*Inputs!$B$5:$B$190*(((Inputs!$G$5:$G$190="moeda")+(Inputs!$G$5:$G$190="acoes"))*Inputs!$B$1+((Inputs!$G$5:$G$190&lt;&gt;"moeda")*(Inputs!$G$5:$G$190&lt;&gt;"acoes")))*INDEX(Inputs!$K$5:$AJ$190,0,MATCH(P$2,Inputs!$K$4:$AJ$4,0)))+SUMPRODUCT((Inputs!$C$5:$C$190=$B39)*Inputs!$D$5:$D$190*(((Inputs!$G$5:$G$190="moeda")+(Inputs!$G$5:$G$190="acoes"))*Inputs!$B$1+((Inputs!$G$5:$G$190&lt;&gt;"moeda")*(Inputs!$G$5:$G$190&lt;&gt;"acoes")))*INDEX(Inputs!$K$5:$AJ$190,0,MATCH(P$2,Inputs!$K$4:$AJ$4,0)))+SUMPRODUCT((Inputs!$E$5:$E$190=$B39)*Inputs!$F$5:$F$190*(((Inputs!$G$5:$G$190="moeda")+(Inputs!$G$5:$G$190="acoes"))*Inputs!$B$1+((Inputs!$G$5:$G$190&lt;&gt;"moeda")*(Inputs!$G$5:$G$190&lt;&gt;"acoes")))*INDEX(Inputs!$K$5:$AJ$190,0,MATCH(P$2,Inputs!$K$4:$AJ$4,0)))))</f>
        <v>5512.70312227744</v>
      </c>
      <c r="Q39" s="6">
        <f>IF(ISNA(MATCH(Q$2,Inputs!$K$4:$AJ$4,0)),NA(),IF(SUMPRODUCT((Inputs!$A$5:$A$190=$B39)*ISNUMBER(INDEX(Inputs!$K$5:$AJ$190,0,MATCH(Q$2,Inputs!$K$4:$AJ$4,0))))+SUMPRODUCT((Inputs!$C$5:$C$190=$B39)*ISNUMBER(INDEX(Inputs!$K$5:$AJ$190,0,MATCH(Q$2,Inputs!$K$4:$AJ$4,0))))+SUMPRODUCT((Inputs!$E$5:$E$190=$B39)*ISNUMBER(INDEX(Inputs!$K$5:$AJ$190,0,MATCH(Q$2,Inputs!$K$4:$AJ$4,0))))=0,NA(),SUMPRODUCT((Inputs!$A$5:$A$190=$B39)*Inputs!$B$5:$B$190*(((Inputs!$G$5:$G$190="moeda")+(Inputs!$G$5:$G$190="acoes"))*Inputs!$B$1+((Inputs!$G$5:$G$190&lt;&gt;"moeda")*(Inputs!$G$5:$G$190&lt;&gt;"acoes")))*INDEX(Inputs!$K$5:$AJ$190,0,MATCH(Q$2,Inputs!$K$4:$AJ$4,0)))+SUMPRODUCT((Inputs!$C$5:$C$190=$B39)*Inputs!$D$5:$D$190*(((Inputs!$G$5:$G$190="moeda")+(Inputs!$G$5:$G$190="acoes"))*Inputs!$B$1+((Inputs!$G$5:$G$190&lt;&gt;"moeda")*(Inputs!$G$5:$G$190&lt;&gt;"acoes")))*INDEX(Inputs!$K$5:$AJ$190,0,MATCH(Q$2,Inputs!$K$4:$AJ$4,0)))+SUMPRODUCT((Inputs!$E$5:$E$190=$B39)*Inputs!$F$5:$F$190*(((Inputs!$G$5:$G$190="moeda")+(Inputs!$G$5:$G$190="acoes"))*Inputs!$B$1+((Inputs!$G$5:$G$190&lt;&gt;"moeda")*(Inputs!$G$5:$G$190&lt;&gt;"acoes")))*INDEX(Inputs!$K$5:$AJ$190,0,MATCH(Q$2,Inputs!$K$4:$AJ$4,0)))))</f>
        <v>5445.13391247592</v>
      </c>
      <c r="R39" s="3">
        <f>Q39</f>
        <v>5445.13391247592</v>
      </c>
      <c r="S39" s="6">
        <f>IF(ISNA(MATCH(S$2,Inputs!$K$4:$AJ$4,0)),NA(),IF(SUMPRODUCT((Inputs!$A$5:$A$190=$B39)*ISNUMBER(INDEX(Inputs!$K$5:$AJ$190,0,MATCH(S$2,Inputs!$K$4:$AJ$4,0))))+SUMPRODUCT((Inputs!$C$5:$C$190=$B39)*ISNUMBER(INDEX(Inputs!$K$5:$AJ$190,0,MATCH(S$2,Inputs!$K$4:$AJ$4,0))))+SUMPRODUCT((Inputs!$E$5:$E$190=$B39)*ISNUMBER(INDEX(Inputs!$K$5:$AJ$190,0,MATCH(S$2,Inputs!$K$4:$AJ$4,0))))=0,NA(),SUMPRODUCT((Inputs!$A$5:$A$190=$B39)*Inputs!$B$5:$B$190*(((Inputs!$G$5:$G$190="moeda")+(Inputs!$G$5:$G$190="acoes"))*Inputs!$B$1+((Inputs!$G$5:$G$190&lt;&gt;"moeda")*(Inputs!$G$5:$G$190&lt;&gt;"acoes")))*INDEX(Inputs!$K$5:$AJ$190,0,MATCH(S$2,Inputs!$K$4:$AJ$4,0)))+SUMPRODUCT((Inputs!$C$5:$C$190=$B39)*Inputs!$D$5:$D$190*(((Inputs!$G$5:$G$190="moeda")+(Inputs!$G$5:$G$190="acoes"))*Inputs!$B$1+((Inputs!$G$5:$G$190&lt;&gt;"moeda")*(Inputs!$G$5:$G$190&lt;&gt;"acoes")))*INDEX(Inputs!$K$5:$AJ$190,0,MATCH(S$2,Inputs!$K$4:$AJ$4,0)))+SUMPRODUCT((Inputs!$E$5:$E$190=$B39)*Inputs!$F$5:$F$190*(((Inputs!$G$5:$G$190="moeda")+(Inputs!$G$5:$G$190="acoes"))*Inputs!$B$1+((Inputs!$G$5:$G$190&lt;&gt;"moeda")*(Inputs!$G$5:$G$190&lt;&gt;"acoes")))*INDEX(Inputs!$K$5:$AJ$190,0,MATCH(S$2,Inputs!$K$4:$AJ$4,0)))))</f>
        <v>5397.67274667199</v>
      </c>
      <c r="T39" s="6">
        <f>IF(ISNA(MATCH(T$2,Inputs!$K$4:$AJ$4,0)),NA(),IF(SUMPRODUCT((Inputs!$A$5:$A$190=$B39)*ISNUMBER(INDEX(Inputs!$K$5:$AJ$190,0,MATCH(T$2,Inputs!$K$4:$AJ$4,0))))+SUMPRODUCT((Inputs!$C$5:$C$190=$B39)*ISNUMBER(INDEX(Inputs!$K$5:$AJ$190,0,MATCH(T$2,Inputs!$K$4:$AJ$4,0))))+SUMPRODUCT((Inputs!$E$5:$E$190=$B39)*ISNUMBER(INDEX(Inputs!$K$5:$AJ$190,0,MATCH(T$2,Inputs!$K$4:$AJ$4,0))))=0,NA(),SUMPRODUCT((Inputs!$A$5:$A$190=$B39)*Inputs!$B$5:$B$190*(((Inputs!$G$5:$G$190="moeda")+(Inputs!$G$5:$G$190="acoes"))*Inputs!$B$1+((Inputs!$G$5:$G$190&lt;&gt;"moeda")*(Inputs!$G$5:$G$190&lt;&gt;"acoes")))*INDEX(Inputs!$K$5:$AJ$190,0,MATCH(T$2,Inputs!$K$4:$AJ$4,0)))+SUMPRODUCT((Inputs!$C$5:$C$190=$B39)*Inputs!$D$5:$D$190*(((Inputs!$G$5:$G$190="moeda")+(Inputs!$G$5:$G$190="acoes"))*Inputs!$B$1+((Inputs!$G$5:$G$190&lt;&gt;"moeda")*(Inputs!$G$5:$G$190&lt;&gt;"acoes")))*INDEX(Inputs!$K$5:$AJ$190,0,MATCH(T$2,Inputs!$K$4:$AJ$4,0)))+SUMPRODUCT((Inputs!$E$5:$E$190=$B39)*Inputs!$F$5:$F$190*(((Inputs!$G$5:$G$190="moeda")+(Inputs!$G$5:$G$190="acoes"))*Inputs!$B$1+((Inputs!$G$5:$G$190&lt;&gt;"moeda")*(Inputs!$G$5:$G$190&lt;&gt;"acoes")))*INDEX(Inputs!$K$5:$AJ$190,0,MATCH(T$2,Inputs!$K$4:$AJ$4,0)))))</f>
        <v>5191.79676625932</v>
      </c>
      <c r="U39" s="6">
        <f>IF(ISNA(MATCH(U$2,Inputs!$K$4:$AJ$4,0)),NA(),IF(SUMPRODUCT((Inputs!$A$5:$A$190=$B39)*ISNUMBER(INDEX(Inputs!$K$5:$AJ$190,0,MATCH(U$2,Inputs!$K$4:$AJ$4,0))))+SUMPRODUCT((Inputs!$C$5:$C$190=$B39)*ISNUMBER(INDEX(Inputs!$K$5:$AJ$190,0,MATCH(U$2,Inputs!$K$4:$AJ$4,0))))+SUMPRODUCT((Inputs!$E$5:$E$190=$B39)*ISNUMBER(INDEX(Inputs!$K$5:$AJ$190,0,MATCH(U$2,Inputs!$K$4:$AJ$4,0))))=0,NA(),SUMPRODUCT((Inputs!$A$5:$A$190=$B39)*Inputs!$B$5:$B$190*(((Inputs!$G$5:$G$190="moeda")+(Inputs!$G$5:$G$190="acoes"))*Inputs!$B$1+((Inputs!$G$5:$G$190&lt;&gt;"moeda")*(Inputs!$G$5:$G$190&lt;&gt;"acoes")))*INDEX(Inputs!$K$5:$AJ$190,0,MATCH(U$2,Inputs!$K$4:$AJ$4,0)))+SUMPRODUCT((Inputs!$C$5:$C$190=$B39)*Inputs!$D$5:$D$190*(((Inputs!$G$5:$G$190="moeda")+(Inputs!$G$5:$G$190="acoes"))*Inputs!$B$1+((Inputs!$G$5:$G$190&lt;&gt;"moeda")*(Inputs!$G$5:$G$190&lt;&gt;"acoes")))*INDEX(Inputs!$K$5:$AJ$190,0,MATCH(U$2,Inputs!$K$4:$AJ$4,0)))+SUMPRODUCT((Inputs!$E$5:$E$190=$B39)*Inputs!$F$5:$F$190*(((Inputs!$G$5:$G$190="moeda")+(Inputs!$G$5:$G$190="acoes"))*Inputs!$B$1+((Inputs!$G$5:$G$190&lt;&gt;"moeda")*(Inputs!$G$5:$G$190&lt;&gt;"acoes")))*INDEX(Inputs!$K$5:$AJ$190,0,MATCH(U$2,Inputs!$K$4:$AJ$4,0)))))</f>
        <v>4981.9486454055</v>
      </c>
      <c r="V39" s="6">
        <f>IF(ISNA(MATCH(V$2,Inputs!$K$4:$AJ$4,0)),NA(),IF(SUMPRODUCT((Inputs!$A$5:$A$190=$B39)*ISNUMBER(INDEX(Inputs!$K$5:$AJ$190,0,MATCH(V$2,Inputs!$K$4:$AJ$4,0))))+SUMPRODUCT((Inputs!$C$5:$C$190=$B39)*ISNUMBER(INDEX(Inputs!$K$5:$AJ$190,0,MATCH(V$2,Inputs!$K$4:$AJ$4,0))))+SUMPRODUCT((Inputs!$E$5:$E$190=$B39)*ISNUMBER(INDEX(Inputs!$K$5:$AJ$190,0,MATCH(V$2,Inputs!$K$4:$AJ$4,0))))=0,NA(),SUMPRODUCT((Inputs!$A$5:$A$190=$B39)*Inputs!$B$5:$B$190*(((Inputs!$G$5:$G$190="moeda")+(Inputs!$G$5:$G$190="acoes"))*Inputs!$B$1+((Inputs!$G$5:$G$190&lt;&gt;"moeda")*(Inputs!$G$5:$G$190&lt;&gt;"acoes")))*INDEX(Inputs!$K$5:$AJ$190,0,MATCH(V$2,Inputs!$K$4:$AJ$4,0)))+SUMPRODUCT((Inputs!$C$5:$C$190=$B39)*Inputs!$D$5:$D$190*(((Inputs!$G$5:$G$190="moeda")+(Inputs!$G$5:$G$190="acoes"))*Inputs!$B$1+((Inputs!$G$5:$G$190&lt;&gt;"moeda")*(Inputs!$G$5:$G$190&lt;&gt;"acoes")))*INDEX(Inputs!$K$5:$AJ$190,0,MATCH(V$2,Inputs!$K$4:$AJ$4,0)))+SUMPRODUCT((Inputs!$E$5:$E$190=$B39)*Inputs!$F$5:$F$190*(((Inputs!$G$5:$G$190="moeda")+(Inputs!$G$5:$G$190="acoes"))*Inputs!$B$1+((Inputs!$G$5:$G$190&lt;&gt;"moeda")*(Inputs!$G$5:$G$190&lt;&gt;"acoes")))*INDEX(Inputs!$K$5:$AJ$190,0,MATCH(V$2,Inputs!$K$4:$AJ$4,0)))))</f>
        <v>5672.1462521</v>
      </c>
      <c r="W39" s="3">
        <f>V39</f>
        <v>5672.1462521</v>
      </c>
      <c r="X39" s="6">
        <f>IF(ISNA(MATCH(X$2,Inputs!$K$4:$AJ$4,0)),NA(),IF(SUMPRODUCT((Inputs!$A$5:$A$190=$B39)*ISNUMBER(INDEX(Inputs!$K$5:$AJ$190,0,MATCH(X$2,Inputs!$K$4:$AJ$4,0))))+SUMPRODUCT((Inputs!$C$5:$C$190=$B39)*ISNUMBER(INDEX(Inputs!$K$5:$AJ$190,0,MATCH(X$2,Inputs!$K$4:$AJ$4,0))))+SUMPRODUCT((Inputs!$E$5:$E$190=$B39)*ISNUMBER(INDEX(Inputs!$K$5:$AJ$190,0,MATCH(X$2,Inputs!$K$4:$AJ$4,0))))=0,NA(),SUMPRODUCT((Inputs!$A$5:$A$190=$B39)*Inputs!$B$5:$B$190*(((Inputs!$G$5:$G$190="moeda")+(Inputs!$G$5:$G$190="acoes"))*Inputs!$B$1+((Inputs!$G$5:$G$190&lt;&gt;"moeda")*(Inputs!$G$5:$G$190&lt;&gt;"acoes")))*INDEX(Inputs!$K$5:$AJ$190,0,MATCH(X$2,Inputs!$K$4:$AJ$4,0)))+SUMPRODUCT((Inputs!$C$5:$C$190=$B39)*Inputs!$D$5:$D$190*(((Inputs!$G$5:$G$190="moeda")+(Inputs!$G$5:$G$190="acoes"))*Inputs!$B$1+((Inputs!$G$5:$G$190&lt;&gt;"moeda")*(Inputs!$G$5:$G$190&lt;&gt;"acoes")))*INDEX(Inputs!$K$5:$AJ$190,0,MATCH(X$2,Inputs!$K$4:$AJ$4,0)))+SUMPRODUCT((Inputs!$E$5:$E$190=$B39)*Inputs!$F$5:$F$190*(((Inputs!$G$5:$G$190="moeda")+(Inputs!$G$5:$G$190="acoes"))*Inputs!$B$1+((Inputs!$G$5:$G$190&lt;&gt;"moeda")*(Inputs!$G$5:$G$190&lt;&gt;"acoes")))*INDEX(Inputs!$K$5:$AJ$190,0,MATCH(X$2,Inputs!$K$4:$AJ$4,0)))))</f>
        <v>5219.72461246</v>
      </c>
      <c r="Y39" s="6">
        <f>IF(ISNA(MATCH(Y$2,Inputs!$K$4:$AJ$4,0)),NA(),IF(SUMPRODUCT((Inputs!$A$5:$A$190=$B39)*ISNUMBER(INDEX(Inputs!$K$5:$AJ$190,0,MATCH(Y$2,Inputs!$K$4:$AJ$4,0))))+SUMPRODUCT((Inputs!$C$5:$C$190=$B39)*ISNUMBER(INDEX(Inputs!$K$5:$AJ$190,0,MATCH(Y$2,Inputs!$K$4:$AJ$4,0))))+SUMPRODUCT((Inputs!$E$5:$E$190=$B39)*ISNUMBER(INDEX(Inputs!$K$5:$AJ$190,0,MATCH(Y$2,Inputs!$K$4:$AJ$4,0))))=0,NA(),SUMPRODUCT((Inputs!$A$5:$A$190=$B39)*Inputs!$B$5:$B$190*(((Inputs!$G$5:$G$190="moeda")+(Inputs!$G$5:$G$190="acoes"))*Inputs!$B$1+((Inputs!$G$5:$G$190&lt;&gt;"moeda")*(Inputs!$G$5:$G$190&lt;&gt;"acoes")))*INDEX(Inputs!$K$5:$AJ$190,0,MATCH(Y$2,Inputs!$K$4:$AJ$4,0)))+SUMPRODUCT((Inputs!$C$5:$C$190=$B39)*Inputs!$D$5:$D$190*(((Inputs!$G$5:$G$190="moeda")+(Inputs!$G$5:$G$190="acoes"))*Inputs!$B$1+((Inputs!$G$5:$G$190&lt;&gt;"moeda")*(Inputs!$G$5:$G$190&lt;&gt;"acoes")))*INDEX(Inputs!$K$5:$AJ$190,0,MATCH(Y$2,Inputs!$K$4:$AJ$4,0)))+SUMPRODUCT((Inputs!$E$5:$E$190=$B39)*Inputs!$F$5:$F$190*(((Inputs!$G$5:$G$190="moeda")+(Inputs!$G$5:$G$190="acoes"))*Inputs!$B$1+((Inputs!$G$5:$G$190&lt;&gt;"moeda")*(Inputs!$G$5:$G$190&lt;&gt;"acoes")))*INDEX(Inputs!$K$5:$AJ$190,0,MATCH(Y$2,Inputs!$K$4:$AJ$4,0)))))</f>
        <v>5170.98587767</v>
      </c>
      <c r="Z39" s="6">
        <f>IF(ISNA(MATCH(Z$2,Inputs!$K$4:$AJ$4,0)),NA(),IF(SUMPRODUCT((Inputs!$A$5:$A$190=$B39)*ISNUMBER(INDEX(Inputs!$K$5:$AJ$190,0,MATCH(Z$2,Inputs!$K$4:$AJ$4,0))))+SUMPRODUCT((Inputs!$C$5:$C$190=$B39)*ISNUMBER(INDEX(Inputs!$K$5:$AJ$190,0,MATCH(Z$2,Inputs!$K$4:$AJ$4,0))))+SUMPRODUCT((Inputs!$E$5:$E$190=$B39)*ISNUMBER(INDEX(Inputs!$K$5:$AJ$190,0,MATCH(Z$2,Inputs!$K$4:$AJ$4,0))))=0,NA(),SUMPRODUCT((Inputs!$A$5:$A$190=$B39)*Inputs!$B$5:$B$190*(((Inputs!$G$5:$G$190="moeda")+(Inputs!$G$5:$G$190="acoes"))*Inputs!$B$1+((Inputs!$G$5:$G$190&lt;&gt;"moeda")*(Inputs!$G$5:$G$190&lt;&gt;"acoes")))*INDEX(Inputs!$K$5:$AJ$190,0,MATCH(Z$2,Inputs!$K$4:$AJ$4,0)))+SUMPRODUCT((Inputs!$C$5:$C$190=$B39)*Inputs!$D$5:$D$190*(((Inputs!$G$5:$G$190="moeda")+(Inputs!$G$5:$G$190="acoes"))*Inputs!$B$1+((Inputs!$G$5:$G$190&lt;&gt;"moeda")*(Inputs!$G$5:$G$190&lt;&gt;"acoes")))*INDEX(Inputs!$K$5:$AJ$190,0,MATCH(Z$2,Inputs!$K$4:$AJ$4,0)))+SUMPRODUCT((Inputs!$E$5:$E$190=$B39)*Inputs!$F$5:$F$190*(((Inputs!$G$5:$G$190="moeda")+(Inputs!$G$5:$G$190="acoes"))*Inputs!$B$1+((Inputs!$G$5:$G$190&lt;&gt;"moeda")*(Inputs!$G$5:$G$190&lt;&gt;"acoes")))*INDEX(Inputs!$K$5:$AJ$190,0,MATCH(Z$2,Inputs!$K$4:$AJ$4,0)))))</f>
        <v>6015.90205059</v>
      </c>
      <c r="AA39" s="6">
        <f>IF(ISNA(MATCH(AA$2,Inputs!$K$4:$AJ$4,0)),NA(),IF(SUMPRODUCT((Inputs!$A$5:$A$190=$B39)*ISNUMBER(INDEX(Inputs!$K$5:$AJ$190,0,MATCH(AA$2,Inputs!$K$4:$AJ$4,0))))+SUMPRODUCT((Inputs!$C$5:$C$190=$B39)*ISNUMBER(INDEX(Inputs!$K$5:$AJ$190,0,MATCH(AA$2,Inputs!$K$4:$AJ$4,0))))+SUMPRODUCT((Inputs!$E$5:$E$190=$B39)*ISNUMBER(INDEX(Inputs!$K$5:$AJ$190,0,MATCH(AA$2,Inputs!$K$4:$AJ$4,0))))=0,NA(),SUMPRODUCT((Inputs!$A$5:$A$190=$B39)*Inputs!$B$5:$B$190*(((Inputs!$G$5:$G$190="moeda")+(Inputs!$G$5:$G$190="acoes"))*Inputs!$B$1+((Inputs!$G$5:$G$190&lt;&gt;"moeda")*(Inputs!$G$5:$G$190&lt;&gt;"acoes")))*INDEX(Inputs!$K$5:$AJ$190,0,MATCH(AA$2,Inputs!$K$4:$AJ$4,0)))+SUMPRODUCT((Inputs!$C$5:$C$190=$B39)*Inputs!$D$5:$D$190*(((Inputs!$G$5:$G$190="moeda")+(Inputs!$G$5:$G$190="acoes"))*Inputs!$B$1+((Inputs!$G$5:$G$190&lt;&gt;"moeda")*(Inputs!$G$5:$G$190&lt;&gt;"acoes")))*INDEX(Inputs!$K$5:$AJ$190,0,MATCH(AA$2,Inputs!$K$4:$AJ$4,0)))+SUMPRODUCT((Inputs!$E$5:$E$190=$B39)*Inputs!$F$5:$F$190*(((Inputs!$G$5:$G$190="moeda")+(Inputs!$G$5:$G$190="acoes"))*Inputs!$B$1+((Inputs!$G$5:$G$190&lt;&gt;"moeda")*(Inputs!$G$5:$G$190&lt;&gt;"acoes")))*INDEX(Inputs!$K$5:$AJ$190,0,MATCH(AA$2,Inputs!$K$4:$AJ$4,0)))))</f>
        <v>5585.13379754</v>
      </c>
      <c r="AB39" s="3">
        <f>AA39</f>
        <v>5585.13379754</v>
      </c>
      <c r="AC39" s="6">
        <f>IF(ISNA(MATCH(AC$2,Inputs!$K$4:$AJ$4,0)),NA(),IF(SUMPRODUCT((Inputs!$A$5:$A$190=$B39)*ISNUMBER(INDEX(Inputs!$K$5:$AJ$190,0,MATCH(AC$2,Inputs!$K$4:$AJ$4,0))))+SUMPRODUCT((Inputs!$C$5:$C$190=$B39)*ISNUMBER(INDEX(Inputs!$K$5:$AJ$190,0,MATCH(AC$2,Inputs!$K$4:$AJ$4,0))))+SUMPRODUCT((Inputs!$E$5:$E$190=$B39)*ISNUMBER(INDEX(Inputs!$K$5:$AJ$190,0,MATCH(AC$2,Inputs!$K$4:$AJ$4,0))))=0,NA(),SUMPRODUCT((Inputs!$A$5:$A$190=$B39)*Inputs!$B$5:$B$190*(((Inputs!$G$5:$G$190="moeda")+(Inputs!$G$5:$G$190="acoes"))*Inputs!$B$1+((Inputs!$G$5:$G$190&lt;&gt;"moeda")*(Inputs!$G$5:$G$190&lt;&gt;"acoes")))*INDEX(Inputs!$K$5:$AJ$190,0,MATCH(AC$2,Inputs!$K$4:$AJ$4,0)))+SUMPRODUCT((Inputs!$C$5:$C$190=$B39)*Inputs!$D$5:$D$190*(((Inputs!$G$5:$G$190="moeda")+(Inputs!$G$5:$G$190="acoes"))*Inputs!$B$1+((Inputs!$G$5:$G$190&lt;&gt;"moeda")*(Inputs!$G$5:$G$190&lt;&gt;"acoes")))*INDEX(Inputs!$K$5:$AJ$190,0,MATCH(AC$2,Inputs!$K$4:$AJ$4,0)))+SUMPRODUCT((Inputs!$E$5:$E$190=$B39)*Inputs!$F$5:$F$190*(((Inputs!$G$5:$G$190="moeda")+(Inputs!$G$5:$G$190="acoes"))*Inputs!$B$1+((Inputs!$G$5:$G$190&lt;&gt;"moeda")*(Inputs!$G$5:$G$190&lt;&gt;"acoes")))*INDEX(Inputs!$K$5:$AJ$190,0,MATCH(AC$2,Inputs!$K$4:$AJ$4,0)))))</f>
        <v>4604.21896993</v>
      </c>
      <c r="AD39" s="6">
        <f>IF(ISNA(MATCH(AD$2,Inputs!$K$4:$AJ$4,0)),NA(),IF(SUMPRODUCT((Inputs!$A$5:$A$190=$B39)*ISNUMBER(INDEX(Inputs!$K$5:$AJ$190,0,MATCH(AD$2,Inputs!$K$4:$AJ$4,0))))+SUMPRODUCT((Inputs!$C$5:$C$190=$B39)*ISNUMBER(INDEX(Inputs!$K$5:$AJ$190,0,MATCH(AD$2,Inputs!$K$4:$AJ$4,0))))+SUMPRODUCT((Inputs!$E$5:$E$190=$B39)*ISNUMBER(INDEX(Inputs!$K$5:$AJ$190,0,MATCH(AD$2,Inputs!$K$4:$AJ$4,0))))=0,NA(),SUMPRODUCT((Inputs!$A$5:$A$190=$B39)*Inputs!$B$5:$B$190*(((Inputs!$G$5:$G$190="moeda")+(Inputs!$G$5:$G$190="acoes"))*Inputs!$B$1+((Inputs!$G$5:$G$190&lt;&gt;"moeda")*(Inputs!$G$5:$G$190&lt;&gt;"acoes")))*INDEX(Inputs!$K$5:$AJ$190,0,MATCH(AD$2,Inputs!$K$4:$AJ$4,0)))+SUMPRODUCT((Inputs!$C$5:$C$190=$B39)*Inputs!$D$5:$D$190*(((Inputs!$G$5:$G$190="moeda")+(Inputs!$G$5:$G$190="acoes"))*Inputs!$B$1+((Inputs!$G$5:$G$190&lt;&gt;"moeda")*(Inputs!$G$5:$G$190&lt;&gt;"acoes")))*INDEX(Inputs!$K$5:$AJ$190,0,MATCH(AD$2,Inputs!$K$4:$AJ$4,0)))+SUMPRODUCT((Inputs!$E$5:$E$190=$B39)*Inputs!$F$5:$F$190*(((Inputs!$G$5:$G$190="moeda")+(Inputs!$G$5:$G$190="acoes"))*Inputs!$B$1+((Inputs!$G$5:$G$190&lt;&gt;"moeda")*(Inputs!$G$5:$G$190&lt;&gt;"acoes")))*INDEX(Inputs!$K$5:$AJ$190,0,MATCH(AD$2,Inputs!$K$4:$AJ$4,0)))))</f>
        <v>5000.46659573</v>
      </c>
      <c r="AE39" s="6" t="e">
        <f>IF(ISNA(MATCH(AE$2,Inputs!$K$4:$AJ$4,0)),NA(),IF(SUMPRODUCT((Inputs!$A$5:$A$190=$B39)*ISNUMBER(INDEX(Inputs!$K$5:$AJ$190,0,MATCH(AE$2,Inputs!$K$4:$AJ$4,0))))+SUMPRODUCT((Inputs!$C$5:$C$190=$B39)*ISNUMBER(INDEX(Inputs!$K$5:$AJ$190,0,MATCH(AE$2,Inputs!$K$4:$AJ$4,0))))+SUMPRODUCT((Inputs!$E$5:$E$190=$B39)*ISNUMBER(INDEX(Inputs!$K$5:$AJ$190,0,MATCH(AE$2,Inputs!$K$4:$AJ$4,0))))=0,NA(),SUMPRODUCT((Inputs!$A$5:$A$190=$B39)*Inputs!$B$5:$B$190*(((Inputs!$G$5:$G$190="moeda")+(Inputs!$G$5:$G$190="acoes"))*Inputs!$B$1+((Inputs!$G$5:$G$190&lt;&gt;"moeda")*(Inputs!$G$5:$G$190&lt;&gt;"acoes")))*INDEX(Inputs!$K$5:$AJ$190,0,MATCH(AE$2,Inputs!$K$4:$AJ$4,0)))+SUMPRODUCT((Inputs!$C$5:$C$190=$B39)*Inputs!$D$5:$D$190*(((Inputs!$G$5:$G$190="moeda")+(Inputs!$G$5:$G$190="acoes"))*Inputs!$B$1+((Inputs!$G$5:$G$190&lt;&gt;"moeda")*(Inputs!$G$5:$G$190&lt;&gt;"acoes")))*INDEX(Inputs!$K$5:$AJ$190,0,MATCH(AE$2,Inputs!$K$4:$AJ$4,0)))+SUMPRODUCT((Inputs!$E$5:$E$190=$B39)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39" s="6" t="e">
        <f>IF(ISNA(MATCH(AF$2,Inputs!$K$4:$AJ$4,0)),NA(),IF(SUMPRODUCT((Inputs!$A$5:$A$190=$B39)*ISNUMBER(INDEX(Inputs!$K$5:$AJ$190,0,MATCH(AF$2,Inputs!$K$4:$AJ$4,0))))+SUMPRODUCT((Inputs!$C$5:$C$190=$B39)*ISNUMBER(INDEX(Inputs!$K$5:$AJ$190,0,MATCH(AF$2,Inputs!$K$4:$AJ$4,0))))+SUMPRODUCT((Inputs!$E$5:$E$190=$B39)*ISNUMBER(INDEX(Inputs!$K$5:$AJ$190,0,MATCH(AF$2,Inputs!$K$4:$AJ$4,0))))=0,NA(),SUMPRODUCT((Inputs!$A$5:$A$190=$B39)*Inputs!$B$5:$B$190*(((Inputs!$G$5:$G$190="moeda")+(Inputs!$G$5:$G$190="acoes"))*Inputs!$B$1+((Inputs!$G$5:$G$190&lt;&gt;"moeda")*(Inputs!$G$5:$G$190&lt;&gt;"acoes")))*INDEX(Inputs!$K$5:$AJ$190,0,MATCH(AF$2,Inputs!$K$4:$AJ$4,0)))+SUMPRODUCT((Inputs!$C$5:$C$190=$B39)*Inputs!$D$5:$D$190*(((Inputs!$G$5:$G$190="moeda")+(Inputs!$G$5:$G$190="acoes"))*Inputs!$B$1+((Inputs!$G$5:$G$190&lt;&gt;"moeda")*(Inputs!$G$5:$G$190&lt;&gt;"acoes")))*INDEX(Inputs!$K$5:$AJ$190,0,MATCH(AF$2,Inputs!$K$4:$AJ$4,0)))+SUMPRODUCT((Inputs!$E$5:$E$190=$B39)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39" s="3" t="e">
        <f>AF39</f>
        <v>#N/A</v>
      </c>
      <c r="AH39" s="6">
        <f>IF(ISNA(MATCH(AH$2,Inputs!$K$4:$AJ$4,0)),NA(),IF(SUMPRODUCT((Inputs!$A$5:$A$190=$B39)*ISNUMBER(INDEX(Inputs!$K$5:$AJ$190,0,MATCH(AH$2,Inputs!$K$4:$AJ$4,0))))+SUMPRODUCT((Inputs!$C$5:$C$190=$B39)*ISNUMBER(INDEX(Inputs!$K$5:$AJ$190,0,MATCH(AH$2,Inputs!$K$4:$AJ$4,0))))+SUMPRODUCT((Inputs!$E$5:$E$190=$B39)*ISNUMBER(INDEX(Inputs!$K$5:$AJ$190,0,MATCH(AH$2,Inputs!$K$4:$AJ$4,0))))=0,NA(),SUMPRODUCT((Inputs!$A$5:$A$190=$B39)*Inputs!$B$5:$B$190*(((Inputs!$G$5:$G$190="moeda")+(Inputs!$G$5:$G$190="acoes"))*Inputs!$B$1+((Inputs!$G$5:$G$190&lt;&gt;"moeda")*(Inputs!$G$5:$G$190&lt;&gt;"acoes")))*INDEX(Inputs!$K$5:$AJ$190,0,MATCH(AH$2,Inputs!$K$4:$AJ$4,0)))+SUMPRODUCT((Inputs!$C$5:$C$190=$B39)*Inputs!$D$5:$D$190*(((Inputs!$G$5:$G$190="moeda")+(Inputs!$G$5:$G$190="acoes"))*Inputs!$B$1+((Inputs!$G$5:$G$190&lt;&gt;"moeda")*(Inputs!$G$5:$G$190&lt;&gt;"acoes")))*INDEX(Inputs!$K$5:$AJ$190,0,MATCH(AH$2,Inputs!$K$4:$AJ$4,0)))+SUMPRODUCT((Inputs!$E$5:$E$190=$B39)*Inputs!$F$5:$F$190*(((Inputs!$G$5:$G$190="moeda")+(Inputs!$G$5:$G$190="acoes"))*Inputs!$B$1+((Inputs!$G$5:$G$190&lt;&gt;"moeda")*(Inputs!$G$5:$G$190&lt;&gt;"acoes")))*INDEX(Inputs!$K$5:$AJ$190,0,MATCH(AH$2,Inputs!$K$4:$AJ$4,0)))))</f>
        <v>249.04949705</v>
      </c>
      <c r="AI39" s="6">
        <f>IF(ISNA(MATCH(AI$2,Inputs!$K$4:$AJ$4,0)),NA(),IF(SUMPRODUCT((Inputs!$A$5:$A$190=$B39)*ISNUMBER(INDEX(Inputs!$K$5:$AJ$190,0,MATCH(AI$2,Inputs!$K$4:$AJ$4,0))))+SUMPRODUCT((Inputs!$C$5:$C$190=$B39)*ISNUMBER(INDEX(Inputs!$K$5:$AJ$190,0,MATCH(AI$2,Inputs!$K$4:$AJ$4,0))))+SUMPRODUCT((Inputs!$E$5:$E$190=$B39)*ISNUMBER(INDEX(Inputs!$K$5:$AJ$190,0,MATCH(AI$2,Inputs!$K$4:$AJ$4,0))))=0,NA(),SUMPRODUCT((Inputs!$A$5:$A$190=$B39)*Inputs!$B$5:$B$190*(((Inputs!$G$5:$G$190="moeda")+(Inputs!$G$5:$G$190="acoes"))*Inputs!$B$1+((Inputs!$G$5:$G$190&lt;&gt;"moeda")*(Inputs!$G$5:$G$190&lt;&gt;"acoes")))*INDEX(Inputs!$K$5:$AJ$190,0,MATCH(AI$2,Inputs!$K$4:$AJ$4,0)))+SUMPRODUCT((Inputs!$C$5:$C$190=$B39)*Inputs!$D$5:$D$190*(((Inputs!$G$5:$G$190="moeda")+(Inputs!$G$5:$G$190="acoes"))*Inputs!$B$1+((Inputs!$G$5:$G$190&lt;&gt;"moeda")*(Inputs!$G$5:$G$190&lt;&gt;"acoes")))*INDEX(Inputs!$K$5:$AJ$190,0,MATCH(AI$2,Inputs!$K$4:$AJ$4,0)))+SUMPRODUCT((Inputs!$E$5:$E$190=$B39)*Inputs!$F$5:$F$190*(((Inputs!$G$5:$G$190="moeda")+(Inputs!$G$5:$G$190="acoes"))*Inputs!$B$1+((Inputs!$G$5:$G$190&lt;&gt;"moeda")*(Inputs!$G$5:$G$190&lt;&gt;"acoes")))*INDEX(Inputs!$K$5:$AJ$190,0,MATCH(AI$2,Inputs!$K$4:$AJ$4,0)))))</f>
        <v>251.8093766</v>
      </c>
      <c r="AJ39" s="6">
        <f>IF(ISNA(MATCH(AJ$2,Inputs!$K$4:$AJ$4,0)),NA(),IF(SUMPRODUCT((Inputs!$A$5:$A$190=$B39)*ISNUMBER(INDEX(Inputs!$K$5:$AJ$190,0,MATCH(AJ$2,Inputs!$K$4:$AJ$4,0))))+SUMPRODUCT((Inputs!$C$5:$C$190=$B39)*ISNUMBER(INDEX(Inputs!$K$5:$AJ$190,0,MATCH(AJ$2,Inputs!$K$4:$AJ$4,0))))+SUMPRODUCT((Inputs!$E$5:$E$190=$B39)*ISNUMBER(INDEX(Inputs!$K$5:$AJ$190,0,MATCH(AJ$2,Inputs!$K$4:$AJ$4,0))))=0,NA(),SUMPRODUCT((Inputs!$A$5:$A$190=$B39)*Inputs!$B$5:$B$190*(((Inputs!$G$5:$G$190="moeda")+(Inputs!$G$5:$G$190="acoes"))*Inputs!$B$1+((Inputs!$G$5:$G$190&lt;&gt;"moeda")*(Inputs!$G$5:$G$190&lt;&gt;"acoes")))*INDEX(Inputs!$K$5:$AJ$190,0,MATCH(AJ$2,Inputs!$K$4:$AJ$4,0)))+SUMPRODUCT((Inputs!$C$5:$C$190=$B39)*Inputs!$D$5:$D$190*(((Inputs!$G$5:$G$190="moeda")+(Inputs!$G$5:$G$190="acoes"))*Inputs!$B$1+((Inputs!$G$5:$G$190&lt;&gt;"moeda")*(Inputs!$G$5:$G$190&lt;&gt;"acoes")))*INDEX(Inputs!$K$5:$AJ$190,0,MATCH(AJ$2,Inputs!$K$4:$AJ$4,0)))+SUMPRODUCT((Inputs!$E$5:$E$190=$B39)*Inputs!$F$5:$F$190*(((Inputs!$G$5:$G$190="moeda")+(Inputs!$G$5:$G$190="acoes"))*Inputs!$B$1+((Inputs!$G$5:$G$190&lt;&gt;"moeda")*(Inputs!$G$5:$G$190&lt;&gt;"acoes")))*INDEX(Inputs!$K$5:$AJ$190,0,MATCH(AJ$2,Inputs!$K$4:$AJ$4,0)))))</f>
        <v>234.662</v>
      </c>
      <c r="AK39" s="6">
        <f>IF(ISNA(MATCH(AK$2,Inputs!$K$4:$AJ$4,0)),NA(),IF(SUMPRODUCT((Inputs!$A$5:$A$190=$B39)*ISNUMBER(INDEX(Inputs!$K$5:$AJ$190,0,MATCH(AK$2,Inputs!$K$4:$AJ$4,0))))+SUMPRODUCT((Inputs!$C$5:$C$190=$B39)*ISNUMBER(INDEX(Inputs!$K$5:$AJ$190,0,MATCH(AK$2,Inputs!$K$4:$AJ$4,0))))+SUMPRODUCT((Inputs!$E$5:$E$190=$B39)*ISNUMBER(INDEX(Inputs!$K$5:$AJ$190,0,MATCH(AK$2,Inputs!$K$4:$AJ$4,0))))=0,NA(),SUMPRODUCT((Inputs!$A$5:$A$190=$B39)*Inputs!$B$5:$B$190*(((Inputs!$G$5:$G$190="moeda")+(Inputs!$G$5:$G$190="acoes"))*Inputs!$B$1+((Inputs!$G$5:$G$190&lt;&gt;"moeda")*(Inputs!$G$5:$G$190&lt;&gt;"acoes")))*INDEX(Inputs!$K$5:$AJ$190,0,MATCH(AK$2,Inputs!$K$4:$AJ$4,0)))+SUMPRODUCT((Inputs!$C$5:$C$190=$B39)*Inputs!$D$5:$D$190*(((Inputs!$G$5:$G$190="moeda")+(Inputs!$G$5:$G$190="acoes"))*Inputs!$B$1+((Inputs!$G$5:$G$190&lt;&gt;"moeda")*(Inputs!$G$5:$G$190&lt;&gt;"acoes")))*INDEX(Inputs!$K$5:$AJ$190,0,MATCH(AK$2,Inputs!$K$4:$AJ$4,0)))+SUMPRODUCT((Inputs!$E$5:$E$190=$B39)*Inputs!$F$5:$F$190*(((Inputs!$G$5:$G$190="moeda")+(Inputs!$G$5:$G$190="acoes"))*Inputs!$B$1+((Inputs!$G$5:$G$190&lt;&gt;"moeda")*(Inputs!$G$5:$G$190&lt;&gt;"acoes")))*INDEX(Inputs!$K$5:$AJ$190,0,MATCH(AK$2,Inputs!$K$4:$AJ$4,0)))))</f>
        <v>603.98582469</v>
      </c>
      <c r="AL39" s="3">
        <f>AK39</f>
        <v>603.98582469</v>
      </c>
    </row>
    <row r="40">
      <c r="C40" s="1" t="n"/>
    </row>
    <row r="41">
      <c r="B41" s="46" t="n">
        <v>35</v>
      </c>
      <c r="C41" s="26" t="inlineStr">
        <is>
          <t>Minority interest</t>
        </is>
      </c>
      <c r="D41" s="6">
        <f>IF(ISNA(MATCH(D$2,Inputs!$K$4:$AJ$4,0)),NA(),IF(SUMPRODUCT((Inputs!$A$5:$A$190=$B41)*ISNUMBER(INDEX(Inputs!$K$5:$AJ$190,0,MATCH(D$2,Inputs!$K$4:$AJ$4,0))))+SUMPRODUCT((Inputs!$C$5:$C$190=$B41)*ISNUMBER(INDEX(Inputs!$K$5:$AJ$190,0,MATCH(D$2,Inputs!$K$4:$AJ$4,0))))+SUMPRODUCT((Inputs!$E$5:$E$190=$B41)*ISNUMBER(INDEX(Inputs!$K$5:$AJ$190,0,MATCH(D$2,Inputs!$K$4:$AJ$4,0))))=0,NA(),SUMPRODUCT((Inputs!$A$5:$A$190=$B41)*Inputs!$B$5:$B$190*(((Inputs!$G$5:$G$190="moeda")+(Inputs!$G$5:$G$190="acoes"))*Inputs!$B$1+((Inputs!$G$5:$G$190&lt;&gt;"moeda")*(Inputs!$G$5:$G$190&lt;&gt;"acoes")))*INDEX(Inputs!$K$5:$AJ$190,0,MATCH(D$2,Inputs!$K$4:$AJ$4,0)))+SUMPRODUCT((Inputs!$C$5:$C$190=$B41)*Inputs!$D$5:$D$190*(((Inputs!$G$5:$G$190="moeda")+(Inputs!$G$5:$G$190="acoes"))*Inputs!$B$1+((Inputs!$G$5:$G$190&lt;&gt;"moeda")*(Inputs!$G$5:$G$190&lt;&gt;"acoes")))*INDEX(Inputs!$K$5:$AJ$190,0,MATCH(D$2,Inputs!$K$4:$AJ$4,0)))+SUMPRODUCT((Inputs!$E$5:$E$190=$B41)*Inputs!$F$5:$F$190*(((Inputs!$G$5:$G$190="moeda")+(Inputs!$G$5:$G$190="acoes"))*Inputs!$B$1+((Inputs!$G$5:$G$190&lt;&gt;"moeda")*(Inputs!$G$5:$G$190&lt;&gt;"acoes")))*INDEX(Inputs!$K$5:$AJ$190,0,MATCH(D$2,Inputs!$K$4:$AJ$4,0)))))</f>
        <v>1671.055</v>
      </c>
      <c r="E41" s="6">
        <f>IF(ISNA(MATCH(E$2,Inputs!$K$4:$AJ$4,0)),NA(),IF(SUMPRODUCT((Inputs!$A$5:$A$190=$B41)*ISNUMBER(INDEX(Inputs!$K$5:$AJ$190,0,MATCH(E$2,Inputs!$K$4:$AJ$4,0))))+SUMPRODUCT((Inputs!$C$5:$C$190=$B41)*ISNUMBER(INDEX(Inputs!$K$5:$AJ$190,0,MATCH(E$2,Inputs!$K$4:$AJ$4,0))))+SUMPRODUCT((Inputs!$E$5:$E$190=$B41)*ISNUMBER(INDEX(Inputs!$K$5:$AJ$190,0,MATCH(E$2,Inputs!$K$4:$AJ$4,0))))=0,NA(),SUMPRODUCT((Inputs!$A$5:$A$190=$B41)*Inputs!$B$5:$B$190*(((Inputs!$G$5:$G$190="moeda")+(Inputs!$G$5:$G$190="acoes"))*Inputs!$B$1+((Inputs!$G$5:$G$190&lt;&gt;"moeda")*(Inputs!$G$5:$G$190&lt;&gt;"acoes")))*INDEX(Inputs!$K$5:$AJ$190,0,MATCH(E$2,Inputs!$K$4:$AJ$4,0)))+SUMPRODUCT((Inputs!$C$5:$C$190=$B41)*Inputs!$D$5:$D$190*(((Inputs!$G$5:$G$190="moeda")+(Inputs!$G$5:$G$190="acoes"))*Inputs!$B$1+((Inputs!$G$5:$G$190&lt;&gt;"moeda")*(Inputs!$G$5:$G$190&lt;&gt;"acoes")))*INDEX(Inputs!$K$5:$AJ$190,0,MATCH(E$2,Inputs!$K$4:$AJ$4,0)))+SUMPRODUCT((Inputs!$E$5:$E$190=$B41)*Inputs!$F$5:$F$190*(((Inputs!$G$5:$G$190="moeda")+(Inputs!$G$5:$G$190="acoes"))*Inputs!$B$1+((Inputs!$G$5:$G$190&lt;&gt;"moeda")*(Inputs!$G$5:$G$190&lt;&gt;"acoes")))*INDEX(Inputs!$K$5:$AJ$190,0,MATCH(E$2,Inputs!$K$4:$AJ$4,0)))))</f>
        <v>1815.693</v>
      </c>
      <c r="F41" s="6">
        <f>IF(ISNA(MATCH(F$2,Inputs!$K$4:$AJ$4,0)),NA(),IF(SUMPRODUCT((Inputs!$A$5:$A$190=$B41)*ISNUMBER(INDEX(Inputs!$K$5:$AJ$190,0,MATCH(F$2,Inputs!$K$4:$AJ$4,0))))+SUMPRODUCT((Inputs!$C$5:$C$190=$B41)*ISNUMBER(INDEX(Inputs!$K$5:$AJ$190,0,MATCH(F$2,Inputs!$K$4:$AJ$4,0))))+SUMPRODUCT((Inputs!$E$5:$E$190=$B41)*ISNUMBER(INDEX(Inputs!$K$5:$AJ$190,0,MATCH(F$2,Inputs!$K$4:$AJ$4,0))))=0,NA(),SUMPRODUCT((Inputs!$A$5:$A$190=$B41)*Inputs!$B$5:$B$190*(((Inputs!$G$5:$G$190="moeda")+(Inputs!$G$5:$G$190="acoes"))*Inputs!$B$1+((Inputs!$G$5:$G$190&lt;&gt;"moeda")*(Inputs!$G$5:$G$190&lt;&gt;"acoes")))*INDEX(Inputs!$K$5:$AJ$190,0,MATCH(F$2,Inputs!$K$4:$AJ$4,0)))+SUMPRODUCT((Inputs!$C$5:$C$190=$B41)*Inputs!$D$5:$D$190*(((Inputs!$G$5:$G$190="moeda")+(Inputs!$G$5:$G$190="acoes"))*Inputs!$B$1+((Inputs!$G$5:$G$190&lt;&gt;"moeda")*(Inputs!$G$5:$G$190&lt;&gt;"acoes")))*INDEX(Inputs!$K$5:$AJ$190,0,MATCH(F$2,Inputs!$K$4:$AJ$4,0)))+SUMPRODUCT((Inputs!$E$5:$E$190=$B41)*Inputs!$F$5:$F$190*(((Inputs!$G$5:$G$190="moeda")+(Inputs!$G$5:$G$190="acoes"))*Inputs!$B$1+((Inputs!$G$5:$G$190&lt;&gt;"moeda")*(Inputs!$G$5:$G$190&lt;&gt;"acoes")))*INDEX(Inputs!$K$5:$AJ$190,0,MATCH(F$2,Inputs!$K$4:$AJ$4,0)))))</f>
        <v>2296.413</v>
      </c>
      <c r="G41" s="6">
        <f>IF(ISNA(MATCH(G$2,Inputs!$K$4:$AJ$4,0)),NA(),IF(SUMPRODUCT((Inputs!$A$5:$A$190=$B41)*ISNUMBER(INDEX(Inputs!$K$5:$AJ$190,0,MATCH(G$2,Inputs!$K$4:$AJ$4,0))))+SUMPRODUCT((Inputs!$C$5:$C$190=$B41)*ISNUMBER(INDEX(Inputs!$K$5:$AJ$190,0,MATCH(G$2,Inputs!$K$4:$AJ$4,0))))+SUMPRODUCT((Inputs!$E$5:$E$190=$B41)*ISNUMBER(INDEX(Inputs!$K$5:$AJ$190,0,MATCH(G$2,Inputs!$K$4:$AJ$4,0))))=0,NA(),SUMPRODUCT((Inputs!$A$5:$A$190=$B41)*Inputs!$B$5:$B$190*(((Inputs!$G$5:$G$190="moeda")+(Inputs!$G$5:$G$190="acoes"))*Inputs!$B$1+((Inputs!$G$5:$G$190&lt;&gt;"moeda")*(Inputs!$G$5:$G$190&lt;&gt;"acoes")))*INDEX(Inputs!$K$5:$AJ$190,0,MATCH(G$2,Inputs!$K$4:$AJ$4,0)))+SUMPRODUCT((Inputs!$C$5:$C$190=$B41)*Inputs!$D$5:$D$190*(((Inputs!$G$5:$G$190="moeda")+(Inputs!$G$5:$G$190="acoes"))*Inputs!$B$1+((Inputs!$G$5:$G$190&lt;&gt;"moeda")*(Inputs!$G$5:$G$190&lt;&gt;"acoes")))*INDEX(Inputs!$K$5:$AJ$190,0,MATCH(G$2,Inputs!$K$4:$AJ$4,0)))+SUMPRODUCT((Inputs!$E$5:$E$190=$B41)*Inputs!$F$5:$F$190*(((Inputs!$G$5:$G$190="moeda")+(Inputs!$G$5:$G$190="acoes"))*Inputs!$B$1+((Inputs!$G$5:$G$190&lt;&gt;"moeda")*(Inputs!$G$5:$G$190&lt;&gt;"acoes")))*INDEX(Inputs!$K$5:$AJ$190,0,MATCH(G$2,Inputs!$K$4:$AJ$4,0)))))</f>
        <v>2308.182</v>
      </c>
      <c r="H41" s="3">
        <f>G41</f>
        <v>2308.182</v>
      </c>
      <c r="I41" s="6">
        <f>IF(ISNA(MATCH(I$2,Inputs!$K$4:$AJ$4,0)),NA(),IF(SUMPRODUCT((Inputs!$A$5:$A$190=$B41)*ISNUMBER(INDEX(Inputs!$K$5:$AJ$190,0,MATCH(I$2,Inputs!$K$4:$AJ$4,0))))+SUMPRODUCT((Inputs!$C$5:$C$190=$B41)*ISNUMBER(INDEX(Inputs!$K$5:$AJ$190,0,MATCH(I$2,Inputs!$K$4:$AJ$4,0))))+SUMPRODUCT((Inputs!$E$5:$E$190=$B41)*ISNUMBER(INDEX(Inputs!$K$5:$AJ$190,0,MATCH(I$2,Inputs!$K$4:$AJ$4,0))))=0,NA(),SUMPRODUCT((Inputs!$A$5:$A$190=$B41)*Inputs!$B$5:$B$190*(((Inputs!$G$5:$G$190="moeda")+(Inputs!$G$5:$G$190="acoes"))*Inputs!$B$1+((Inputs!$G$5:$G$190&lt;&gt;"moeda")*(Inputs!$G$5:$G$190&lt;&gt;"acoes")))*INDEX(Inputs!$K$5:$AJ$190,0,MATCH(I$2,Inputs!$K$4:$AJ$4,0)))+SUMPRODUCT((Inputs!$C$5:$C$190=$B41)*Inputs!$D$5:$D$190*(((Inputs!$G$5:$G$190="moeda")+(Inputs!$G$5:$G$190="acoes"))*Inputs!$B$1+((Inputs!$G$5:$G$190&lt;&gt;"moeda")*(Inputs!$G$5:$G$190&lt;&gt;"acoes")))*INDEX(Inputs!$K$5:$AJ$190,0,MATCH(I$2,Inputs!$K$4:$AJ$4,0)))+SUMPRODUCT((Inputs!$E$5:$E$190=$B41)*Inputs!$F$5:$F$190*(((Inputs!$G$5:$G$190="moeda")+(Inputs!$G$5:$G$190="acoes"))*Inputs!$B$1+((Inputs!$G$5:$G$190&lt;&gt;"moeda")*(Inputs!$G$5:$G$190&lt;&gt;"acoes")))*INDEX(Inputs!$K$5:$AJ$190,0,MATCH(I$2,Inputs!$K$4:$AJ$4,0)))))</f>
        <v>2292.362</v>
      </c>
      <c r="J41" s="6">
        <f>IF(ISNA(MATCH(J$2,Inputs!$K$4:$AJ$4,0)),NA(),IF(SUMPRODUCT((Inputs!$A$5:$A$190=$B41)*ISNUMBER(INDEX(Inputs!$K$5:$AJ$190,0,MATCH(J$2,Inputs!$K$4:$AJ$4,0))))+SUMPRODUCT((Inputs!$C$5:$C$190=$B41)*ISNUMBER(INDEX(Inputs!$K$5:$AJ$190,0,MATCH(J$2,Inputs!$K$4:$AJ$4,0))))+SUMPRODUCT((Inputs!$E$5:$E$190=$B41)*ISNUMBER(INDEX(Inputs!$K$5:$AJ$190,0,MATCH(J$2,Inputs!$K$4:$AJ$4,0))))=0,NA(),SUMPRODUCT((Inputs!$A$5:$A$190=$B41)*Inputs!$B$5:$B$190*(((Inputs!$G$5:$G$190="moeda")+(Inputs!$G$5:$G$190="acoes"))*Inputs!$B$1+((Inputs!$G$5:$G$190&lt;&gt;"moeda")*(Inputs!$G$5:$G$190&lt;&gt;"acoes")))*INDEX(Inputs!$K$5:$AJ$190,0,MATCH(J$2,Inputs!$K$4:$AJ$4,0)))+SUMPRODUCT((Inputs!$C$5:$C$190=$B41)*Inputs!$D$5:$D$190*(((Inputs!$G$5:$G$190="moeda")+(Inputs!$G$5:$G$190="acoes"))*Inputs!$B$1+((Inputs!$G$5:$G$190&lt;&gt;"moeda")*(Inputs!$G$5:$G$190&lt;&gt;"acoes")))*INDEX(Inputs!$K$5:$AJ$190,0,MATCH(J$2,Inputs!$K$4:$AJ$4,0)))+SUMPRODUCT((Inputs!$E$5:$E$190=$B41)*Inputs!$F$5:$F$190*(((Inputs!$G$5:$G$190="moeda")+(Inputs!$G$5:$G$190="acoes"))*Inputs!$B$1+((Inputs!$G$5:$G$190&lt;&gt;"moeda")*(Inputs!$G$5:$G$190&lt;&gt;"acoes")))*INDEX(Inputs!$K$5:$AJ$190,0,MATCH(J$2,Inputs!$K$4:$AJ$4,0)))))</f>
        <v>2294.679</v>
      </c>
      <c r="K41" s="6">
        <f>IF(ISNA(MATCH(K$2,Inputs!$K$4:$AJ$4,0)),NA(),IF(SUMPRODUCT((Inputs!$A$5:$A$190=$B41)*ISNUMBER(INDEX(Inputs!$K$5:$AJ$190,0,MATCH(K$2,Inputs!$K$4:$AJ$4,0))))+SUMPRODUCT((Inputs!$C$5:$C$190=$B41)*ISNUMBER(INDEX(Inputs!$K$5:$AJ$190,0,MATCH(K$2,Inputs!$K$4:$AJ$4,0))))+SUMPRODUCT((Inputs!$E$5:$E$190=$B41)*ISNUMBER(INDEX(Inputs!$K$5:$AJ$190,0,MATCH(K$2,Inputs!$K$4:$AJ$4,0))))=0,NA(),SUMPRODUCT((Inputs!$A$5:$A$190=$B41)*Inputs!$B$5:$B$190*(((Inputs!$G$5:$G$190="moeda")+(Inputs!$G$5:$G$190="acoes"))*Inputs!$B$1+((Inputs!$G$5:$G$190&lt;&gt;"moeda")*(Inputs!$G$5:$G$190&lt;&gt;"acoes")))*INDEX(Inputs!$K$5:$AJ$190,0,MATCH(K$2,Inputs!$K$4:$AJ$4,0)))+SUMPRODUCT((Inputs!$C$5:$C$190=$B41)*Inputs!$D$5:$D$190*(((Inputs!$G$5:$G$190="moeda")+(Inputs!$G$5:$G$190="acoes"))*Inputs!$B$1+((Inputs!$G$5:$G$190&lt;&gt;"moeda")*(Inputs!$G$5:$G$190&lt;&gt;"acoes")))*INDEX(Inputs!$K$5:$AJ$190,0,MATCH(K$2,Inputs!$K$4:$AJ$4,0)))+SUMPRODUCT((Inputs!$E$5:$E$190=$B41)*Inputs!$F$5:$F$190*(((Inputs!$G$5:$G$190="moeda")+(Inputs!$G$5:$G$190="acoes"))*Inputs!$B$1+((Inputs!$G$5:$G$190&lt;&gt;"moeda")*(Inputs!$G$5:$G$190&lt;&gt;"acoes")))*INDEX(Inputs!$K$5:$AJ$190,0,MATCH(K$2,Inputs!$K$4:$AJ$4,0)))))</f>
        <v>2785.986</v>
      </c>
      <c r="L41" s="6">
        <f>IF(ISNA(MATCH(L$2,Inputs!$K$4:$AJ$4,0)),NA(),IF(SUMPRODUCT((Inputs!$A$5:$A$190=$B41)*ISNUMBER(INDEX(Inputs!$K$5:$AJ$190,0,MATCH(L$2,Inputs!$K$4:$AJ$4,0))))+SUMPRODUCT((Inputs!$C$5:$C$190=$B41)*ISNUMBER(INDEX(Inputs!$K$5:$AJ$190,0,MATCH(L$2,Inputs!$K$4:$AJ$4,0))))+SUMPRODUCT((Inputs!$E$5:$E$190=$B41)*ISNUMBER(INDEX(Inputs!$K$5:$AJ$190,0,MATCH(L$2,Inputs!$K$4:$AJ$4,0))))=0,NA(),SUMPRODUCT((Inputs!$A$5:$A$190=$B41)*Inputs!$B$5:$B$190*(((Inputs!$G$5:$G$190="moeda")+(Inputs!$G$5:$G$190="acoes"))*Inputs!$B$1+((Inputs!$G$5:$G$190&lt;&gt;"moeda")*(Inputs!$G$5:$G$190&lt;&gt;"acoes")))*INDEX(Inputs!$K$5:$AJ$190,0,MATCH(L$2,Inputs!$K$4:$AJ$4,0)))+SUMPRODUCT((Inputs!$C$5:$C$190=$B41)*Inputs!$D$5:$D$190*(((Inputs!$G$5:$G$190="moeda")+(Inputs!$G$5:$G$190="acoes"))*Inputs!$B$1+((Inputs!$G$5:$G$190&lt;&gt;"moeda")*(Inputs!$G$5:$G$190&lt;&gt;"acoes")))*INDEX(Inputs!$K$5:$AJ$190,0,MATCH(L$2,Inputs!$K$4:$AJ$4,0)))+SUMPRODUCT((Inputs!$E$5:$E$190=$B41)*Inputs!$F$5:$F$190*(((Inputs!$G$5:$G$190="moeda")+(Inputs!$G$5:$G$190="acoes"))*Inputs!$B$1+((Inputs!$G$5:$G$190&lt;&gt;"moeda")*(Inputs!$G$5:$G$190&lt;&gt;"acoes")))*INDEX(Inputs!$K$5:$AJ$190,0,MATCH(L$2,Inputs!$K$4:$AJ$4,0)))))</f>
        <v>2699.977</v>
      </c>
      <c r="M41" s="3">
        <f>L41</f>
        <v>2699.977</v>
      </c>
      <c r="N41" s="6">
        <f>IF(ISNA(MATCH(N$2,Inputs!$K$4:$AJ$4,0)),NA(),IF(SUMPRODUCT((Inputs!$A$5:$A$190=$B41)*ISNUMBER(INDEX(Inputs!$K$5:$AJ$190,0,MATCH(N$2,Inputs!$K$4:$AJ$4,0))))+SUMPRODUCT((Inputs!$C$5:$C$190=$B41)*ISNUMBER(INDEX(Inputs!$K$5:$AJ$190,0,MATCH(N$2,Inputs!$K$4:$AJ$4,0))))+SUMPRODUCT((Inputs!$E$5:$E$190=$B41)*ISNUMBER(INDEX(Inputs!$K$5:$AJ$190,0,MATCH(N$2,Inputs!$K$4:$AJ$4,0))))=0,NA(),SUMPRODUCT((Inputs!$A$5:$A$190=$B41)*Inputs!$B$5:$B$190*(((Inputs!$G$5:$G$190="moeda")+(Inputs!$G$5:$G$190="acoes"))*Inputs!$B$1+((Inputs!$G$5:$G$190&lt;&gt;"moeda")*(Inputs!$G$5:$G$190&lt;&gt;"acoes")))*INDEX(Inputs!$K$5:$AJ$190,0,MATCH(N$2,Inputs!$K$4:$AJ$4,0)))+SUMPRODUCT((Inputs!$C$5:$C$190=$B41)*Inputs!$D$5:$D$190*(((Inputs!$G$5:$G$190="moeda")+(Inputs!$G$5:$G$190="acoes"))*Inputs!$B$1+((Inputs!$G$5:$G$190&lt;&gt;"moeda")*(Inputs!$G$5:$G$190&lt;&gt;"acoes")))*INDEX(Inputs!$K$5:$AJ$190,0,MATCH(N$2,Inputs!$K$4:$AJ$4,0)))+SUMPRODUCT((Inputs!$E$5:$E$190=$B41)*Inputs!$F$5:$F$190*(((Inputs!$G$5:$G$190="moeda")+(Inputs!$G$5:$G$190="acoes"))*Inputs!$B$1+((Inputs!$G$5:$G$190&lt;&gt;"moeda")*(Inputs!$G$5:$G$190&lt;&gt;"acoes")))*INDEX(Inputs!$K$5:$AJ$190,0,MATCH(N$2,Inputs!$K$4:$AJ$4,0)))))</f>
        <v>2783.52400000024</v>
      </c>
      <c r="O41" s="6">
        <f>IF(ISNA(MATCH(O$2,Inputs!$K$4:$AJ$4,0)),NA(),IF(SUMPRODUCT((Inputs!$A$5:$A$190=$B41)*ISNUMBER(INDEX(Inputs!$K$5:$AJ$190,0,MATCH(O$2,Inputs!$K$4:$AJ$4,0))))+SUMPRODUCT((Inputs!$C$5:$C$190=$B41)*ISNUMBER(INDEX(Inputs!$K$5:$AJ$190,0,MATCH(O$2,Inputs!$K$4:$AJ$4,0))))+SUMPRODUCT((Inputs!$E$5:$E$190=$B41)*ISNUMBER(INDEX(Inputs!$K$5:$AJ$190,0,MATCH(O$2,Inputs!$K$4:$AJ$4,0))))=0,NA(),SUMPRODUCT((Inputs!$A$5:$A$190=$B41)*Inputs!$B$5:$B$190*(((Inputs!$G$5:$G$190="moeda")+(Inputs!$G$5:$G$190="acoes"))*Inputs!$B$1+((Inputs!$G$5:$G$190&lt;&gt;"moeda")*(Inputs!$G$5:$G$190&lt;&gt;"acoes")))*INDEX(Inputs!$K$5:$AJ$190,0,MATCH(O$2,Inputs!$K$4:$AJ$4,0)))+SUMPRODUCT((Inputs!$C$5:$C$190=$B41)*Inputs!$D$5:$D$190*(((Inputs!$G$5:$G$190="moeda")+(Inputs!$G$5:$G$190="acoes"))*Inputs!$B$1+((Inputs!$G$5:$G$190&lt;&gt;"moeda")*(Inputs!$G$5:$G$190&lt;&gt;"acoes")))*INDEX(Inputs!$K$5:$AJ$190,0,MATCH(O$2,Inputs!$K$4:$AJ$4,0)))+SUMPRODUCT((Inputs!$E$5:$E$190=$B41)*Inputs!$F$5:$F$190*(((Inputs!$G$5:$G$190="moeda")+(Inputs!$G$5:$G$190="acoes"))*Inputs!$B$1+((Inputs!$G$5:$G$190&lt;&gt;"moeda")*(Inputs!$G$5:$G$190&lt;&gt;"acoes")))*INDEX(Inputs!$K$5:$AJ$190,0,MATCH(O$2,Inputs!$K$4:$AJ$4,0)))))</f>
        <v>2960.64024878801</v>
      </c>
      <c r="P41" s="6">
        <f>IF(ISNA(MATCH(P$2,Inputs!$K$4:$AJ$4,0)),NA(),IF(SUMPRODUCT((Inputs!$A$5:$A$190=$B41)*ISNUMBER(INDEX(Inputs!$K$5:$AJ$190,0,MATCH(P$2,Inputs!$K$4:$AJ$4,0))))+SUMPRODUCT((Inputs!$C$5:$C$190=$B41)*ISNUMBER(INDEX(Inputs!$K$5:$AJ$190,0,MATCH(P$2,Inputs!$K$4:$AJ$4,0))))+SUMPRODUCT((Inputs!$E$5:$E$190=$B41)*ISNUMBER(INDEX(Inputs!$K$5:$AJ$190,0,MATCH(P$2,Inputs!$K$4:$AJ$4,0))))=0,NA(),SUMPRODUCT((Inputs!$A$5:$A$190=$B41)*Inputs!$B$5:$B$190*(((Inputs!$G$5:$G$190="moeda")+(Inputs!$G$5:$G$190="acoes"))*Inputs!$B$1+((Inputs!$G$5:$G$190&lt;&gt;"moeda")*(Inputs!$G$5:$G$190&lt;&gt;"acoes")))*INDEX(Inputs!$K$5:$AJ$190,0,MATCH(P$2,Inputs!$K$4:$AJ$4,0)))+SUMPRODUCT((Inputs!$C$5:$C$190=$B41)*Inputs!$D$5:$D$190*(((Inputs!$G$5:$G$190="moeda")+(Inputs!$G$5:$G$190="acoes"))*Inputs!$B$1+((Inputs!$G$5:$G$190&lt;&gt;"moeda")*(Inputs!$G$5:$G$190&lt;&gt;"acoes")))*INDEX(Inputs!$K$5:$AJ$190,0,MATCH(P$2,Inputs!$K$4:$AJ$4,0)))+SUMPRODUCT((Inputs!$E$5:$E$190=$B41)*Inputs!$F$5:$F$190*(((Inputs!$G$5:$G$190="moeda")+(Inputs!$G$5:$G$190="acoes"))*Inputs!$B$1+((Inputs!$G$5:$G$190&lt;&gt;"moeda")*(Inputs!$G$5:$G$190&lt;&gt;"acoes")))*INDEX(Inputs!$K$5:$AJ$190,0,MATCH(P$2,Inputs!$K$4:$AJ$4,0)))))</f>
        <v>3452.88228612438</v>
      </c>
      <c r="Q41" s="6">
        <f>IF(ISNA(MATCH(Q$2,Inputs!$K$4:$AJ$4,0)),NA(),IF(SUMPRODUCT((Inputs!$A$5:$A$190=$B41)*ISNUMBER(INDEX(Inputs!$K$5:$AJ$190,0,MATCH(Q$2,Inputs!$K$4:$AJ$4,0))))+SUMPRODUCT((Inputs!$C$5:$C$190=$B41)*ISNUMBER(INDEX(Inputs!$K$5:$AJ$190,0,MATCH(Q$2,Inputs!$K$4:$AJ$4,0))))+SUMPRODUCT((Inputs!$E$5:$E$190=$B41)*ISNUMBER(INDEX(Inputs!$K$5:$AJ$190,0,MATCH(Q$2,Inputs!$K$4:$AJ$4,0))))=0,NA(),SUMPRODUCT((Inputs!$A$5:$A$190=$B41)*Inputs!$B$5:$B$190*(((Inputs!$G$5:$G$190="moeda")+(Inputs!$G$5:$G$190="acoes"))*Inputs!$B$1+((Inputs!$G$5:$G$190&lt;&gt;"moeda")*(Inputs!$G$5:$G$190&lt;&gt;"acoes")))*INDEX(Inputs!$K$5:$AJ$190,0,MATCH(Q$2,Inputs!$K$4:$AJ$4,0)))+SUMPRODUCT((Inputs!$C$5:$C$190=$B41)*Inputs!$D$5:$D$190*(((Inputs!$G$5:$G$190="moeda")+(Inputs!$G$5:$G$190="acoes"))*Inputs!$B$1+((Inputs!$G$5:$G$190&lt;&gt;"moeda")*(Inputs!$G$5:$G$190&lt;&gt;"acoes")))*INDEX(Inputs!$K$5:$AJ$190,0,MATCH(Q$2,Inputs!$K$4:$AJ$4,0)))+SUMPRODUCT((Inputs!$E$5:$E$190=$B41)*Inputs!$F$5:$F$190*(((Inputs!$G$5:$G$190="moeda")+(Inputs!$G$5:$G$190="acoes"))*Inputs!$B$1+((Inputs!$G$5:$G$190&lt;&gt;"moeda")*(Inputs!$G$5:$G$190&lt;&gt;"acoes")))*INDEX(Inputs!$K$5:$AJ$190,0,MATCH(Q$2,Inputs!$K$4:$AJ$4,0)))))</f>
        <v>3425.48597793789</v>
      </c>
      <c r="R41" s="3">
        <f>Q41</f>
        <v>3425.48597793789</v>
      </c>
      <c r="S41" s="6">
        <f>IF(ISNA(MATCH(S$2,Inputs!$K$4:$AJ$4,0)),NA(),IF(SUMPRODUCT((Inputs!$A$5:$A$190=$B41)*ISNUMBER(INDEX(Inputs!$K$5:$AJ$190,0,MATCH(S$2,Inputs!$K$4:$AJ$4,0))))+SUMPRODUCT((Inputs!$C$5:$C$190=$B41)*ISNUMBER(INDEX(Inputs!$K$5:$AJ$190,0,MATCH(S$2,Inputs!$K$4:$AJ$4,0))))+SUMPRODUCT((Inputs!$E$5:$E$190=$B41)*ISNUMBER(INDEX(Inputs!$K$5:$AJ$190,0,MATCH(S$2,Inputs!$K$4:$AJ$4,0))))=0,NA(),SUMPRODUCT((Inputs!$A$5:$A$190=$B41)*Inputs!$B$5:$B$190*(((Inputs!$G$5:$G$190="moeda")+(Inputs!$G$5:$G$190="acoes"))*Inputs!$B$1+((Inputs!$G$5:$G$190&lt;&gt;"moeda")*(Inputs!$G$5:$G$190&lt;&gt;"acoes")))*INDEX(Inputs!$K$5:$AJ$190,0,MATCH(S$2,Inputs!$K$4:$AJ$4,0)))+SUMPRODUCT((Inputs!$C$5:$C$190=$B41)*Inputs!$D$5:$D$190*(((Inputs!$G$5:$G$190="moeda")+(Inputs!$G$5:$G$190="acoes"))*Inputs!$B$1+((Inputs!$G$5:$G$190&lt;&gt;"moeda")*(Inputs!$G$5:$G$190&lt;&gt;"acoes")))*INDEX(Inputs!$K$5:$AJ$190,0,MATCH(S$2,Inputs!$K$4:$AJ$4,0)))+SUMPRODUCT((Inputs!$E$5:$E$190=$B41)*Inputs!$F$5:$F$190*(((Inputs!$G$5:$G$190="moeda")+(Inputs!$G$5:$G$190="acoes"))*Inputs!$B$1+((Inputs!$G$5:$G$190&lt;&gt;"moeda")*(Inputs!$G$5:$G$190&lt;&gt;"acoes")))*INDEX(Inputs!$K$5:$AJ$190,0,MATCH(S$2,Inputs!$K$4:$AJ$4,0)))))</f>
        <v>3505.8584617928</v>
      </c>
      <c r="T41" s="6">
        <f>IF(ISNA(MATCH(T$2,Inputs!$K$4:$AJ$4,0)),NA(),IF(SUMPRODUCT((Inputs!$A$5:$A$190=$B41)*ISNUMBER(INDEX(Inputs!$K$5:$AJ$190,0,MATCH(T$2,Inputs!$K$4:$AJ$4,0))))+SUMPRODUCT((Inputs!$C$5:$C$190=$B41)*ISNUMBER(INDEX(Inputs!$K$5:$AJ$190,0,MATCH(T$2,Inputs!$K$4:$AJ$4,0))))+SUMPRODUCT((Inputs!$E$5:$E$190=$B41)*ISNUMBER(INDEX(Inputs!$K$5:$AJ$190,0,MATCH(T$2,Inputs!$K$4:$AJ$4,0))))=0,NA(),SUMPRODUCT((Inputs!$A$5:$A$190=$B41)*Inputs!$B$5:$B$190*(((Inputs!$G$5:$G$190="moeda")+(Inputs!$G$5:$G$190="acoes"))*Inputs!$B$1+((Inputs!$G$5:$G$190&lt;&gt;"moeda")*(Inputs!$G$5:$G$190&lt;&gt;"acoes")))*INDEX(Inputs!$K$5:$AJ$190,0,MATCH(T$2,Inputs!$K$4:$AJ$4,0)))+SUMPRODUCT((Inputs!$C$5:$C$190=$B41)*Inputs!$D$5:$D$190*(((Inputs!$G$5:$G$190="moeda")+(Inputs!$G$5:$G$190="acoes"))*Inputs!$B$1+((Inputs!$G$5:$G$190&lt;&gt;"moeda")*(Inputs!$G$5:$G$190&lt;&gt;"acoes")))*INDEX(Inputs!$K$5:$AJ$190,0,MATCH(T$2,Inputs!$K$4:$AJ$4,0)))+SUMPRODUCT((Inputs!$E$5:$E$190=$B41)*Inputs!$F$5:$F$190*(((Inputs!$G$5:$G$190="moeda")+(Inputs!$G$5:$G$190="acoes"))*Inputs!$B$1+((Inputs!$G$5:$G$190&lt;&gt;"moeda")*(Inputs!$G$5:$G$190&lt;&gt;"acoes")))*INDEX(Inputs!$K$5:$AJ$190,0,MATCH(T$2,Inputs!$K$4:$AJ$4,0)))))</f>
        <v>3600.12051036128</v>
      </c>
      <c r="U41" s="6">
        <f>IF(ISNA(MATCH(U$2,Inputs!$K$4:$AJ$4,0)),NA(),IF(SUMPRODUCT((Inputs!$A$5:$A$190=$B41)*ISNUMBER(INDEX(Inputs!$K$5:$AJ$190,0,MATCH(U$2,Inputs!$K$4:$AJ$4,0))))+SUMPRODUCT((Inputs!$C$5:$C$190=$B41)*ISNUMBER(INDEX(Inputs!$K$5:$AJ$190,0,MATCH(U$2,Inputs!$K$4:$AJ$4,0))))+SUMPRODUCT((Inputs!$E$5:$E$190=$B41)*ISNUMBER(INDEX(Inputs!$K$5:$AJ$190,0,MATCH(U$2,Inputs!$K$4:$AJ$4,0))))=0,NA(),SUMPRODUCT((Inputs!$A$5:$A$190=$B41)*Inputs!$B$5:$B$190*(((Inputs!$G$5:$G$190="moeda")+(Inputs!$G$5:$G$190="acoes"))*Inputs!$B$1+((Inputs!$G$5:$G$190&lt;&gt;"moeda")*(Inputs!$G$5:$G$190&lt;&gt;"acoes")))*INDEX(Inputs!$K$5:$AJ$190,0,MATCH(U$2,Inputs!$K$4:$AJ$4,0)))+SUMPRODUCT((Inputs!$C$5:$C$190=$B41)*Inputs!$D$5:$D$190*(((Inputs!$G$5:$G$190="moeda")+(Inputs!$G$5:$G$190="acoes"))*Inputs!$B$1+((Inputs!$G$5:$G$190&lt;&gt;"moeda")*(Inputs!$G$5:$G$190&lt;&gt;"acoes")))*INDEX(Inputs!$K$5:$AJ$190,0,MATCH(U$2,Inputs!$K$4:$AJ$4,0)))+SUMPRODUCT((Inputs!$E$5:$E$190=$B41)*Inputs!$F$5:$F$190*(((Inputs!$G$5:$G$190="moeda")+(Inputs!$G$5:$G$190="acoes"))*Inputs!$B$1+((Inputs!$G$5:$G$190&lt;&gt;"moeda")*(Inputs!$G$5:$G$190&lt;&gt;"acoes")))*INDEX(Inputs!$K$5:$AJ$190,0,MATCH(U$2,Inputs!$K$4:$AJ$4,0)))))</f>
        <v>3743.75333073443</v>
      </c>
      <c r="V41" s="6">
        <f>IF(ISNA(MATCH(V$2,Inputs!$K$4:$AJ$4,0)),NA(),IF(SUMPRODUCT((Inputs!$A$5:$A$190=$B41)*ISNUMBER(INDEX(Inputs!$K$5:$AJ$190,0,MATCH(V$2,Inputs!$K$4:$AJ$4,0))))+SUMPRODUCT((Inputs!$C$5:$C$190=$B41)*ISNUMBER(INDEX(Inputs!$K$5:$AJ$190,0,MATCH(V$2,Inputs!$K$4:$AJ$4,0))))+SUMPRODUCT((Inputs!$E$5:$E$190=$B41)*ISNUMBER(INDEX(Inputs!$K$5:$AJ$190,0,MATCH(V$2,Inputs!$K$4:$AJ$4,0))))=0,NA(),SUMPRODUCT((Inputs!$A$5:$A$190=$B41)*Inputs!$B$5:$B$190*(((Inputs!$G$5:$G$190="moeda")+(Inputs!$G$5:$G$190="acoes"))*Inputs!$B$1+((Inputs!$G$5:$G$190&lt;&gt;"moeda")*(Inputs!$G$5:$G$190&lt;&gt;"acoes")))*INDEX(Inputs!$K$5:$AJ$190,0,MATCH(V$2,Inputs!$K$4:$AJ$4,0)))+SUMPRODUCT((Inputs!$C$5:$C$190=$B41)*Inputs!$D$5:$D$190*(((Inputs!$G$5:$G$190="moeda")+(Inputs!$G$5:$G$190="acoes"))*Inputs!$B$1+((Inputs!$G$5:$G$190&lt;&gt;"moeda")*(Inputs!$G$5:$G$190&lt;&gt;"acoes")))*INDEX(Inputs!$K$5:$AJ$190,0,MATCH(V$2,Inputs!$K$4:$AJ$4,0)))+SUMPRODUCT((Inputs!$E$5:$E$190=$B41)*Inputs!$F$5:$F$190*(((Inputs!$G$5:$G$190="moeda")+(Inputs!$G$5:$G$190="acoes"))*Inputs!$B$1+((Inputs!$G$5:$G$190&lt;&gt;"moeda")*(Inputs!$G$5:$G$190&lt;&gt;"acoes")))*INDEX(Inputs!$K$5:$AJ$190,0,MATCH(V$2,Inputs!$K$4:$AJ$4,0)))))</f>
        <v>2973.47641786</v>
      </c>
      <c r="W41" s="3">
        <f>V41</f>
        <v>2973.47641786</v>
      </c>
      <c r="X41" s="6">
        <f>IF(ISNA(MATCH(X$2,Inputs!$K$4:$AJ$4,0)),NA(),IF(SUMPRODUCT((Inputs!$A$5:$A$190=$B41)*ISNUMBER(INDEX(Inputs!$K$5:$AJ$190,0,MATCH(X$2,Inputs!$K$4:$AJ$4,0))))+SUMPRODUCT((Inputs!$C$5:$C$190=$B41)*ISNUMBER(INDEX(Inputs!$K$5:$AJ$190,0,MATCH(X$2,Inputs!$K$4:$AJ$4,0))))+SUMPRODUCT((Inputs!$E$5:$E$190=$B41)*ISNUMBER(INDEX(Inputs!$K$5:$AJ$190,0,MATCH(X$2,Inputs!$K$4:$AJ$4,0))))=0,NA(),SUMPRODUCT((Inputs!$A$5:$A$190=$B41)*Inputs!$B$5:$B$190*(((Inputs!$G$5:$G$190="moeda")+(Inputs!$G$5:$G$190="acoes"))*Inputs!$B$1+((Inputs!$G$5:$G$190&lt;&gt;"moeda")*(Inputs!$G$5:$G$190&lt;&gt;"acoes")))*INDEX(Inputs!$K$5:$AJ$190,0,MATCH(X$2,Inputs!$K$4:$AJ$4,0)))+SUMPRODUCT((Inputs!$C$5:$C$190=$B41)*Inputs!$D$5:$D$190*(((Inputs!$G$5:$G$190="moeda")+(Inputs!$G$5:$G$190="acoes"))*Inputs!$B$1+((Inputs!$G$5:$G$190&lt;&gt;"moeda")*(Inputs!$G$5:$G$190&lt;&gt;"acoes")))*INDEX(Inputs!$K$5:$AJ$190,0,MATCH(X$2,Inputs!$K$4:$AJ$4,0)))+SUMPRODUCT((Inputs!$E$5:$E$190=$B41)*Inputs!$F$5:$F$190*(((Inputs!$G$5:$G$190="moeda")+(Inputs!$G$5:$G$190="acoes"))*Inputs!$B$1+((Inputs!$G$5:$G$190&lt;&gt;"moeda")*(Inputs!$G$5:$G$190&lt;&gt;"acoes")))*INDEX(Inputs!$K$5:$AJ$190,0,MATCH(X$2,Inputs!$K$4:$AJ$4,0)))))</f>
        <v>2973.15152807</v>
      </c>
      <c r="Y41" s="6">
        <f>IF(ISNA(MATCH(Y$2,Inputs!$K$4:$AJ$4,0)),NA(),IF(SUMPRODUCT((Inputs!$A$5:$A$190=$B41)*ISNUMBER(INDEX(Inputs!$K$5:$AJ$190,0,MATCH(Y$2,Inputs!$K$4:$AJ$4,0))))+SUMPRODUCT((Inputs!$C$5:$C$190=$B41)*ISNUMBER(INDEX(Inputs!$K$5:$AJ$190,0,MATCH(Y$2,Inputs!$K$4:$AJ$4,0))))+SUMPRODUCT((Inputs!$E$5:$E$190=$B41)*ISNUMBER(INDEX(Inputs!$K$5:$AJ$190,0,MATCH(Y$2,Inputs!$K$4:$AJ$4,0))))=0,NA(),SUMPRODUCT((Inputs!$A$5:$A$190=$B41)*Inputs!$B$5:$B$190*(((Inputs!$G$5:$G$190="moeda")+(Inputs!$G$5:$G$190="acoes"))*Inputs!$B$1+((Inputs!$G$5:$G$190&lt;&gt;"moeda")*(Inputs!$G$5:$G$190&lt;&gt;"acoes")))*INDEX(Inputs!$K$5:$AJ$190,0,MATCH(Y$2,Inputs!$K$4:$AJ$4,0)))+SUMPRODUCT((Inputs!$C$5:$C$190=$B41)*Inputs!$D$5:$D$190*(((Inputs!$G$5:$G$190="moeda")+(Inputs!$G$5:$G$190="acoes"))*Inputs!$B$1+((Inputs!$G$5:$G$190&lt;&gt;"moeda")*(Inputs!$G$5:$G$190&lt;&gt;"acoes")))*INDEX(Inputs!$K$5:$AJ$190,0,MATCH(Y$2,Inputs!$K$4:$AJ$4,0)))+SUMPRODUCT((Inputs!$E$5:$E$190=$B41)*Inputs!$F$5:$F$190*(((Inputs!$G$5:$G$190="moeda")+(Inputs!$G$5:$G$190="acoes"))*Inputs!$B$1+((Inputs!$G$5:$G$190&lt;&gt;"moeda")*(Inputs!$G$5:$G$190&lt;&gt;"acoes")))*INDEX(Inputs!$K$5:$AJ$190,0,MATCH(Y$2,Inputs!$K$4:$AJ$4,0)))))</f>
        <v>2968.92014546</v>
      </c>
      <c r="Z41" s="6">
        <f>IF(ISNA(MATCH(Z$2,Inputs!$K$4:$AJ$4,0)),NA(),IF(SUMPRODUCT((Inputs!$A$5:$A$190=$B41)*ISNUMBER(INDEX(Inputs!$K$5:$AJ$190,0,MATCH(Z$2,Inputs!$K$4:$AJ$4,0))))+SUMPRODUCT((Inputs!$C$5:$C$190=$B41)*ISNUMBER(INDEX(Inputs!$K$5:$AJ$190,0,MATCH(Z$2,Inputs!$K$4:$AJ$4,0))))+SUMPRODUCT((Inputs!$E$5:$E$190=$B41)*ISNUMBER(INDEX(Inputs!$K$5:$AJ$190,0,MATCH(Z$2,Inputs!$K$4:$AJ$4,0))))=0,NA(),SUMPRODUCT((Inputs!$A$5:$A$190=$B41)*Inputs!$B$5:$B$190*(((Inputs!$G$5:$G$190="moeda")+(Inputs!$G$5:$G$190="acoes"))*Inputs!$B$1+((Inputs!$G$5:$G$190&lt;&gt;"moeda")*(Inputs!$G$5:$G$190&lt;&gt;"acoes")))*INDEX(Inputs!$K$5:$AJ$190,0,MATCH(Z$2,Inputs!$K$4:$AJ$4,0)))+SUMPRODUCT((Inputs!$C$5:$C$190=$B41)*Inputs!$D$5:$D$190*(((Inputs!$G$5:$G$190="moeda")+(Inputs!$G$5:$G$190="acoes"))*Inputs!$B$1+((Inputs!$G$5:$G$190&lt;&gt;"moeda")*(Inputs!$G$5:$G$190&lt;&gt;"acoes")))*INDEX(Inputs!$K$5:$AJ$190,0,MATCH(Z$2,Inputs!$K$4:$AJ$4,0)))+SUMPRODUCT((Inputs!$E$5:$E$190=$B41)*Inputs!$F$5:$F$190*(((Inputs!$G$5:$G$190="moeda")+(Inputs!$G$5:$G$190="acoes"))*Inputs!$B$1+((Inputs!$G$5:$G$190&lt;&gt;"moeda")*(Inputs!$G$5:$G$190&lt;&gt;"acoes")))*INDEX(Inputs!$K$5:$AJ$190,0,MATCH(Z$2,Inputs!$K$4:$AJ$4,0)))))</f>
        <v>3021.07172258</v>
      </c>
      <c r="AA41" s="6">
        <f>IF(ISNA(MATCH(AA$2,Inputs!$K$4:$AJ$4,0)),NA(),IF(SUMPRODUCT((Inputs!$A$5:$A$190=$B41)*ISNUMBER(INDEX(Inputs!$K$5:$AJ$190,0,MATCH(AA$2,Inputs!$K$4:$AJ$4,0))))+SUMPRODUCT((Inputs!$C$5:$C$190=$B41)*ISNUMBER(INDEX(Inputs!$K$5:$AJ$190,0,MATCH(AA$2,Inputs!$K$4:$AJ$4,0))))+SUMPRODUCT((Inputs!$E$5:$E$190=$B41)*ISNUMBER(INDEX(Inputs!$K$5:$AJ$190,0,MATCH(AA$2,Inputs!$K$4:$AJ$4,0))))=0,NA(),SUMPRODUCT((Inputs!$A$5:$A$190=$B41)*Inputs!$B$5:$B$190*(((Inputs!$G$5:$G$190="moeda")+(Inputs!$G$5:$G$190="acoes"))*Inputs!$B$1+((Inputs!$G$5:$G$190&lt;&gt;"moeda")*(Inputs!$G$5:$G$190&lt;&gt;"acoes")))*INDEX(Inputs!$K$5:$AJ$190,0,MATCH(AA$2,Inputs!$K$4:$AJ$4,0)))+SUMPRODUCT((Inputs!$C$5:$C$190=$B41)*Inputs!$D$5:$D$190*(((Inputs!$G$5:$G$190="moeda")+(Inputs!$G$5:$G$190="acoes"))*Inputs!$B$1+((Inputs!$G$5:$G$190&lt;&gt;"moeda")*(Inputs!$G$5:$G$190&lt;&gt;"acoes")))*INDEX(Inputs!$K$5:$AJ$190,0,MATCH(AA$2,Inputs!$K$4:$AJ$4,0)))+SUMPRODUCT((Inputs!$E$5:$E$190=$B41)*Inputs!$F$5:$F$190*(((Inputs!$G$5:$G$190="moeda")+(Inputs!$G$5:$G$190="acoes"))*Inputs!$B$1+((Inputs!$G$5:$G$190&lt;&gt;"moeda")*(Inputs!$G$5:$G$190&lt;&gt;"acoes")))*INDEX(Inputs!$K$5:$AJ$190,0,MATCH(AA$2,Inputs!$K$4:$AJ$4,0)))))</f>
        <v>2898.1812004</v>
      </c>
      <c r="AB41" s="3">
        <f>AA41</f>
        <v>2898.1812004</v>
      </c>
      <c r="AC41" s="6">
        <f>IF(ISNA(MATCH(AC$2,Inputs!$K$4:$AJ$4,0)),NA(),IF(SUMPRODUCT((Inputs!$A$5:$A$190=$B41)*ISNUMBER(INDEX(Inputs!$K$5:$AJ$190,0,MATCH(AC$2,Inputs!$K$4:$AJ$4,0))))+SUMPRODUCT((Inputs!$C$5:$C$190=$B41)*ISNUMBER(INDEX(Inputs!$K$5:$AJ$190,0,MATCH(AC$2,Inputs!$K$4:$AJ$4,0))))+SUMPRODUCT((Inputs!$E$5:$E$190=$B41)*ISNUMBER(INDEX(Inputs!$K$5:$AJ$190,0,MATCH(AC$2,Inputs!$K$4:$AJ$4,0))))=0,NA(),SUMPRODUCT((Inputs!$A$5:$A$190=$B41)*Inputs!$B$5:$B$190*(((Inputs!$G$5:$G$190="moeda")+(Inputs!$G$5:$G$190="acoes"))*Inputs!$B$1+((Inputs!$G$5:$G$190&lt;&gt;"moeda")*(Inputs!$G$5:$G$190&lt;&gt;"acoes")))*INDEX(Inputs!$K$5:$AJ$190,0,MATCH(AC$2,Inputs!$K$4:$AJ$4,0)))+SUMPRODUCT((Inputs!$C$5:$C$190=$B41)*Inputs!$D$5:$D$190*(((Inputs!$G$5:$G$190="moeda")+(Inputs!$G$5:$G$190="acoes"))*Inputs!$B$1+((Inputs!$G$5:$G$190&lt;&gt;"moeda")*(Inputs!$G$5:$G$190&lt;&gt;"acoes")))*INDEX(Inputs!$K$5:$AJ$190,0,MATCH(AC$2,Inputs!$K$4:$AJ$4,0)))+SUMPRODUCT((Inputs!$E$5:$E$190=$B41)*Inputs!$F$5:$F$190*(((Inputs!$G$5:$G$190="moeda")+(Inputs!$G$5:$G$190="acoes"))*Inputs!$B$1+((Inputs!$G$5:$G$190&lt;&gt;"moeda")*(Inputs!$G$5:$G$190&lt;&gt;"acoes")))*INDEX(Inputs!$K$5:$AJ$190,0,MATCH(AC$2,Inputs!$K$4:$AJ$4,0)))))</f>
        <v>2877.63107836</v>
      </c>
      <c r="AD41" s="6">
        <f>IF(ISNA(MATCH(AD$2,Inputs!$K$4:$AJ$4,0)),NA(),IF(SUMPRODUCT((Inputs!$A$5:$A$190=$B41)*ISNUMBER(INDEX(Inputs!$K$5:$AJ$190,0,MATCH(AD$2,Inputs!$K$4:$AJ$4,0))))+SUMPRODUCT((Inputs!$C$5:$C$190=$B41)*ISNUMBER(INDEX(Inputs!$K$5:$AJ$190,0,MATCH(AD$2,Inputs!$K$4:$AJ$4,0))))+SUMPRODUCT((Inputs!$E$5:$E$190=$B41)*ISNUMBER(INDEX(Inputs!$K$5:$AJ$190,0,MATCH(AD$2,Inputs!$K$4:$AJ$4,0))))=0,NA(),SUMPRODUCT((Inputs!$A$5:$A$190=$B41)*Inputs!$B$5:$B$190*(((Inputs!$G$5:$G$190="moeda")+(Inputs!$G$5:$G$190="acoes"))*Inputs!$B$1+((Inputs!$G$5:$G$190&lt;&gt;"moeda")*(Inputs!$G$5:$G$190&lt;&gt;"acoes")))*INDEX(Inputs!$K$5:$AJ$190,0,MATCH(AD$2,Inputs!$K$4:$AJ$4,0)))+SUMPRODUCT((Inputs!$C$5:$C$190=$B41)*Inputs!$D$5:$D$190*(((Inputs!$G$5:$G$190="moeda")+(Inputs!$G$5:$G$190="acoes"))*Inputs!$B$1+((Inputs!$G$5:$G$190&lt;&gt;"moeda")*(Inputs!$G$5:$G$190&lt;&gt;"acoes")))*INDEX(Inputs!$K$5:$AJ$190,0,MATCH(AD$2,Inputs!$K$4:$AJ$4,0)))+SUMPRODUCT((Inputs!$E$5:$E$190=$B41)*Inputs!$F$5:$F$190*(((Inputs!$G$5:$G$190="moeda")+(Inputs!$G$5:$G$190="acoes"))*Inputs!$B$1+((Inputs!$G$5:$G$190&lt;&gt;"moeda")*(Inputs!$G$5:$G$190&lt;&gt;"acoes")))*INDEX(Inputs!$K$5:$AJ$190,0,MATCH(AD$2,Inputs!$K$4:$AJ$4,0)))))</f>
        <v>3938.39084761</v>
      </c>
      <c r="AE41" s="6" t="e">
        <f>IF(ISNA(MATCH(AE$2,Inputs!$K$4:$AJ$4,0)),NA(),IF(SUMPRODUCT((Inputs!$A$5:$A$190=$B41)*ISNUMBER(INDEX(Inputs!$K$5:$AJ$190,0,MATCH(AE$2,Inputs!$K$4:$AJ$4,0))))+SUMPRODUCT((Inputs!$C$5:$C$190=$B41)*ISNUMBER(INDEX(Inputs!$K$5:$AJ$190,0,MATCH(AE$2,Inputs!$K$4:$AJ$4,0))))+SUMPRODUCT((Inputs!$E$5:$E$190=$B41)*ISNUMBER(INDEX(Inputs!$K$5:$AJ$190,0,MATCH(AE$2,Inputs!$K$4:$AJ$4,0))))=0,NA(),SUMPRODUCT((Inputs!$A$5:$A$190=$B41)*Inputs!$B$5:$B$190*(((Inputs!$G$5:$G$190="moeda")+(Inputs!$G$5:$G$190="acoes"))*Inputs!$B$1+((Inputs!$G$5:$G$190&lt;&gt;"moeda")*(Inputs!$G$5:$G$190&lt;&gt;"acoes")))*INDEX(Inputs!$K$5:$AJ$190,0,MATCH(AE$2,Inputs!$K$4:$AJ$4,0)))+SUMPRODUCT((Inputs!$C$5:$C$190=$B41)*Inputs!$D$5:$D$190*(((Inputs!$G$5:$G$190="moeda")+(Inputs!$G$5:$G$190="acoes"))*Inputs!$B$1+((Inputs!$G$5:$G$190&lt;&gt;"moeda")*(Inputs!$G$5:$G$190&lt;&gt;"acoes")))*INDEX(Inputs!$K$5:$AJ$190,0,MATCH(AE$2,Inputs!$K$4:$AJ$4,0)))+SUMPRODUCT((Inputs!$E$5:$E$190=$B41)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41" s="6" t="e">
        <f>IF(ISNA(MATCH(AF$2,Inputs!$K$4:$AJ$4,0)),NA(),IF(SUMPRODUCT((Inputs!$A$5:$A$190=$B41)*ISNUMBER(INDEX(Inputs!$K$5:$AJ$190,0,MATCH(AF$2,Inputs!$K$4:$AJ$4,0))))+SUMPRODUCT((Inputs!$C$5:$C$190=$B41)*ISNUMBER(INDEX(Inputs!$K$5:$AJ$190,0,MATCH(AF$2,Inputs!$K$4:$AJ$4,0))))+SUMPRODUCT((Inputs!$E$5:$E$190=$B41)*ISNUMBER(INDEX(Inputs!$K$5:$AJ$190,0,MATCH(AF$2,Inputs!$K$4:$AJ$4,0))))=0,NA(),SUMPRODUCT((Inputs!$A$5:$A$190=$B41)*Inputs!$B$5:$B$190*(((Inputs!$G$5:$G$190="moeda")+(Inputs!$G$5:$G$190="acoes"))*Inputs!$B$1+((Inputs!$G$5:$G$190&lt;&gt;"moeda")*(Inputs!$G$5:$G$190&lt;&gt;"acoes")))*INDEX(Inputs!$K$5:$AJ$190,0,MATCH(AF$2,Inputs!$K$4:$AJ$4,0)))+SUMPRODUCT((Inputs!$C$5:$C$190=$B41)*Inputs!$D$5:$D$190*(((Inputs!$G$5:$G$190="moeda")+(Inputs!$G$5:$G$190="acoes"))*Inputs!$B$1+((Inputs!$G$5:$G$190&lt;&gt;"moeda")*(Inputs!$G$5:$G$190&lt;&gt;"acoes")))*INDEX(Inputs!$K$5:$AJ$190,0,MATCH(AF$2,Inputs!$K$4:$AJ$4,0)))+SUMPRODUCT((Inputs!$E$5:$E$190=$B41)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41" s="3" t="e">
        <f>AF41</f>
        <v>#N/A</v>
      </c>
      <c r="AH41" s="6">
        <f>IF(ISNA(MATCH(AH$2,Inputs!$K$4:$AJ$4,0)),NA(),IF(SUMPRODUCT((Inputs!$A$5:$A$190=$B41)*ISNUMBER(INDEX(Inputs!$K$5:$AJ$190,0,MATCH(AH$2,Inputs!$K$4:$AJ$4,0))))+SUMPRODUCT((Inputs!$C$5:$C$190=$B41)*ISNUMBER(INDEX(Inputs!$K$5:$AJ$190,0,MATCH(AH$2,Inputs!$K$4:$AJ$4,0))))+SUMPRODUCT((Inputs!$E$5:$E$190=$B41)*ISNUMBER(INDEX(Inputs!$K$5:$AJ$190,0,MATCH(AH$2,Inputs!$K$4:$AJ$4,0))))=0,NA(),SUMPRODUCT((Inputs!$A$5:$A$190=$B41)*Inputs!$B$5:$B$190*(((Inputs!$G$5:$G$190="moeda")+(Inputs!$G$5:$G$190="acoes"))*Inputs!$B$1+((Inputs!$G$5:$G$190&lt;&gt;"moeda")*(Inputs!$G$5:$G$190&lt;&gt;"acoes")))*INDEX(Inputs!$K$5:$AJ$190,0,MATCH(AH$2,Inputs!$K$4:$AJ$4,0)))+SUMPRODUCT((Inputs!$C$5:$C$190=$B41)*Inputs!$D$5:$D$190*(((Inputs!$G$5:$G$190="moeda")+(Inputs!$G$5:$G$190="acoes"))*Inputs!$B$1+((Inputs!$G$5:$G$190&lt;&gt;"moeda")*(Inputs!$G$5:$G$190&lt;&gt;"acoes")))*INDEX(Inputs!$K$5:$AJ$190,0,MATCH(AH$2,Inputs!$K$4:$AJ$4,0)))+SUMPRODUCT((Inputs!$E$5:$E$190=$B41)*Inputs!$F$5:$F$190*(((Inputs!$G$5:$G$190="moeda")+(Inputs!$G$5:$G$190="acoes"))*Inputs!$B$1+((Inputs!$G$5:$G$190&lt;&gt;"moeda")*(Inputs!$G$5:$G$190&lt;&gt;"acoes")))*INDEX(Inputs!$K$5:$AJ$190,0,MATCH(AH$2,Inputs!$K$4:$AJ$4,0)))))</f>
        <v>978.441</v>
      </c>
      <c r="AI41" s="6">
        <f>IF(ISNA(MATCH(AI$2,Inputs!$K$4:$AJ$4,0)),NA(),IF(SUMPRODUCT((Inputs!$A$5:$A$190=$B41)*ISNUMBER(INDEX(Inputs!$K$5:$AJ$190,0,MATCH(AI$2,Inputs!$K$4:$AJ$4,0))))+SUMPRODUCT((Inputs!$C$5:$C$190=$B41)*ISNUMBER(INDEX(Inputs!$K$5:$AJ$190,0,MATCH(AI$2,Inputs!$K$4:$AJ$4,0))))+SUMPRODUCT((Inputs!$E$5:$E$190=$B41)*ISNUMBER(INDEX(Inputs!$K$5:$AJ$190,0,MATCH(AI$2,Inputs!$K$4:$AJ$4,0))))=0,NA(),SUMPRODUCT((Inputs!$A$5:$A$190=$B41)*Inputs!$B$5:$B$190*(((Inputs!$G$5:$G$190="moeda")+(Inputs!$G$5:$G$190="acoes"))*Inputs!$B$1+((Inputs!$G$5:$G$190&lt;&gt;"moeda")*(Inputs!$G$5:$G$190&lt;&gt;"acoes")))*INDEX(Inputs!$K$5:$AJ$190,0,MATCH(AI$2,Inputs!$K$4:$AJ$4,0)))+SUMPRODUCT((Inputs!$C$5:$C$190=$B41)*Inputs!$D$5:$D$190*(((Inputs!$G$5:$G$190="moeda")+(Inputs!$G$5:$G$190="acoes"))*Inputs!$B$1+((Inputs!$G$5:$G$190&lt;&gt;"moeda")*(Inputs!$G$5:$G$190&lt;&gt;"acoes")))*INDEX(Inputs!$K$5:$AJ$190,0,MATCH(AI$2,Inputs!$K$4:$AJ$4,0)))+SUMPRODUCT((Inputs!$E$5:$E$190=$B41)*Inputs!$F$5:$F$190*(((Inputs!$G$5:$G$190="moeda")+(Inputs!$G$5:$G$190="acoes"))*Inputs!$B$1+((Inputs!$G$5:$G$190&lt;&gt;"moeda")*(Inputs!$G$5:$G$190&lt;&gt;"acoes")))*INDEX(Inputs!$K$5:$AJ$190,0,MATCH(AI$2,Inputs!$K$4:$AJ$4,0)))))</f>
        <v>978.2916931</v>
      </c>
      <c r="AJ41" s="6">
        <f>IF(ISNA(MATCH(AJ$2,Inputs!$K$4:$AJ$4,0)),NA(),IF(SUMPRODUCT((Inputs!$A$5:$A$190=$B41)*ISNUMBER(INDEX(Inputs!$K$5:$AJ$190,0,MATCH(AJ$2,Inputs!$K$4:$AJ$4,0))))+SUMPRODUCT((Inputs!$C$5:$C$190=$B41)*ISNUMBER(INDEX(Inputs!$K$5:$AJ$190,0,MATCH(AJ$2,Inputs!$K$4:$AJ$4,0))))+SUMPRODUCT((Inputs!$E$5:$E$190=$B41)*ISNUMBER(INDEX(Inputs!$K$5:$AJ$190,0,MATCH(AJ$2,Inputs!$K$4:$AJ$4,0))))=0,NA(),SUMPRODUCT((Inputs!$A$5:$A$190=$B41)*Inputs!$B$5:$B$190*(((Inputs!$G$5:$G$190="moeda")+(Inputs!$G$5:$G$190="acoes"))*Inputs!$B$1+((Inputs!$G$5:$G$190&lt;&gt;"moeda")*(Inputs!$G$5:$G$190&lt;&gt;"acoes")))*INDEX(Inputs!$K$5:$AJ$190,0,MATCH(AJ$2,Inputs!$K$4:$AJ$4,0)))+SUMPRODUCT((Inputs!$C$5:$C$190=$B41)*Inputs!$D$5:$D$190*(((Inputs!$G$5:$G$190="moeda")+(Inputs!$G$5:$G$190="acoes"))*Inputs!$B$1+((Inputs!$G$5:$G$190&lt;&gt;"moeda")*(Inputs!$G$5:$G$190&lt;&gt;"acoes")))*INDEX(Inputs!$K$5:$AJ$190,0,MATCH(AJ$2,Inputs!$K$4:$AJ$4,0)))+SUMPRODUCT((Inputs!$E$5:$E$190=$B41)*Inputs!$F$5:$F$190*(((Inputs!$G$5:$G$190="moeda")+(Inputs!$G$5:$G$190="acoes"))*Inputs!$B$1+((Inputs!$G$5:$G$190&lt;&gt;"moeda")*(Inputs!$G$5:$G$190&lt;&gt;"acoes")))*INDEX(Inputs!$K$5:$AJ$190,0,MATCH(AJ$2,Inputs!$K$4:$AJ$4,0)))))</f>
        <v>1277.87</v>
      </c>
      <c r="AK41" s="6">
        <f>IF(ISNA(MATCH(AK$2,Inputs!$K$4:$AJ$4,0)),NA(),IF(SUMPRODUCT((Inputs!$A$5:$A$190=$B41)*ISNUMBER(INDEX(Inputs!$K$5:$AJ$190,0,MATCH(AK$2,Inputs!$K$4:$AJ$4,0))))+SUMPRODUCT((Inputs!$C$5:$C$190=$B41)*ISNUMBER(INDEX(Inputs!$K$5:$AJ$190,0,MATCH(AK$2,Inputs!$K$4:$AJ$4,0))))+SUMPRODUCT((Inputs!$E$5:$E$190=$B41)*ISNUMBER(INDEX(Inputs!$K$5:$AJ$190,0,MATCH(AK$2,Inputs!$K$4:$AJ$4,0))))=0,NA(),SUMPRODUCT((Inputs!$A$5:$A$190=$B41)*Inputs!$B$5:$B$190*(((Inputs!$G$5:$G$190="moeda")+(Inputs!$G$5:$G$190="acoes"))*Inputs!$B$1+((Inputs!$G$5:$G$190&lt;&gt;"moeda")*(Inputs!$G$5:$G$190&lt;&gt;"acoes")))*INDEX(Inputs!$K$5:$AJ$190,0,MATCH(AK$2,Inputs!$K$4:$AJ$4,0)))+SUMPRODUCT((Inputs!$C$5:$C$190=$B41)*Inputs!$D$5:$D$190*(((Inputs!$G$5:$G$190="moeda")+(Inputs!$G$5:$G$190="acoes"))*Inputs!$B$1+((Inputs!$G$5:$G$190&lt;&gt;"moeda")*(Inputs!$G$5:$G$190&lt;&gt;"acoes")))*INDEX(Inputs!$K$5:$AJ$190,0,MATCH(AK$2,Inputs!$K$4:$AJ$4,0)))+SUMPRODUCT((Inputs!$E$5:$E$190=$B41)*Inputs!$F$5:$F$190*(((Inputs!$G$5:$G$190="moeda")+(Inputs!$G$5:$G$190="acoes"))*Inputs!$B$1+((Inputs!$G$5:$G$190&lt;&gt;"moeda")*(Inputs!$G$5:$G$190&lt;&gt;"acoes")))*INDEX(Inputs!$K$5:$AJ$190,0,MATCH(AK$2,Inputs!$K$4:$AJ$4,0)))))</f>
        <v>1331.252</v>
      </c>
      <c r="AL41" s="3">
        <f>AK41</f>
        <v>1331.252</v>
      </c>
    </row>
    <row r="42">
      <c r="B42" s="46" t="n">
        <v>36</v>
      </c>
      <c r="C42" s="26" t="inlineStr">
        <is>
          <t>Convertible Preferred Stock</t>
        </is>
      </c>
      <c r="D42" s="6" t="e">
        <f>IF(ISNA(MATCH(D$2,Inputs!$K$4:$AJ$4,0)),NA(),IF(SUMPRODUCT((Inputs!$A$5:$A$190=$B42)*ISNUMBER(INDEX(Inputs!$K$5:$AJ$190,0,MATCH(D$2,Inputs!$K$4:$AJ$4,0))))+SUMPRODUCT((Inputs!$C$5:$C$190=$B42)*ISNUMBER(INDEX(Inputs!$K$5:$AJ$190,0,MATCH(D$2,Inputs!$K$4:$AJ$4,0))))+SUMPRODUCT((Inputs!$E$5:$E$190=$B42)*ISNUMBER(INDEX(Inputs!$K$5:$AJ$190,0,MATCH(D$2,Inputs!$K$4:$AJ$4,0))))=0,NA(),SUMPRODUCT((Inputs!$A$5:$A$190=$B42)*Inputs!$B$5:$B$190*(((Inputs!$G$5:$G$190="moeda")+(Inputs!$G$5:$G$190="acoes"))*Inputs!$B$1+((Inputs!$G$5:$G$190&lt;&gt;"moeda")*(Inputs!$G$5:$G$190&lt;&gt;"acoes")))*INDEX(Inputs!$K$5:$AJ$190,0,MATCH(D$2,Inputs!$K$4:$AJ$4,0)))+SUMPRODUCT((Inputs!$C$5:$C$190=$B42)*Inputs!$D$5:$D$190*(((Inputs!$G$5:$G$190="moeda")+(Inputs!$G$5:$G$190="acoes"))*Inputs!$B$1+((Inputs!$G$5:$G$190&lt;&gt;"moeda")*(Inputs!$G$5:$G$190&lt;&gt;"acoes")))*INDEX(Inputs!$K$5:$AJ$190,0,MATCH(D$2,Inputs!$K$4:$AJ$4,0)))+SUMPRODUCT((Inputs!$E$5:$E$190=$B42)*Inputs!$F$5:$F$190*(((Inputs!$G$5:$G$190="moeda")+(Inputs!$G$5:$G$190="acoes"))*Inputs!$B$1+((Inputs!$G$5:$G$190&lt;&gt;"moeda")*(Inputs!$G$5:$G$190&lt;&gt;"acoes")))*INDEX(Inputs!$K$5:$AJ$190,0,MATCH(D$2,Inputs!$K$4:$AJ$4,0)))))</f>
        <v>#N/A</v>
      </c>
      <c r="E42" s="6" t="e">
        <f>IF(ISNA(MATCH(E$2,Inputs!$K$4:$AJ$4,0)),NA(),IF(SUMPRODUCT((Inputs!$A$5:$A$190=$B42)*ISNUMBER(INDEX(Inputs!$K$5:$AJ$190,0,MATCH(E$2,Inputs!$K$4:$AJ$4,0))))+SUMPRODUCT((Inputs!$C$5:$C$190=$B42)*ISNUMBER(INDEX(Inputs!$K$5:$AJ$190,0,MATCH(E$2,Inputs!$K$4:$AJ$4,0))))+SUMPRODUCT((Inputs!$E$5:$E$190=$B42)*ISNUMBER(INDEX(Inputs!$K$5:$AJ$190,0,MATCH(E$2,Inputs!$K$4:$AJ$4,0))))=0,NA(),SUMPRODUCT((Inputs!$A$5:$A$190=$B42)*Inputs!$B$5:$B$190*(((Inputs!$G$5:$G$190="moeda")+(Inputs!$G$5:$G$190="acoes"))*Inputs!$B$1+((Inputs!$G$5:$G$190&lt;&gt;"moeda")*(Inputs!$G$5:$G$190&lt;&gt;"acoes")))*INDEX(Inputs!$K$5:$AJ$190,0,MATCH(E$2,Inputs!$K$4:$AJ$4,0)))+SUMPRODUCT((Inputs!$C$5:$C$190=$B42)*Inputs!$D$5:$D$190*(((Inputs!$G$5:$G$190="moeda")+(Inputs!$G$5:$G$190="acoes"))*Inputs!$B$1+((Inputs!$G$5:$G$190&lt;&gt;"moeda")*(Inputs!$G$5:$G$190&lt;&gt;"acoes")))*INDEX(Inputs!$K$5:$AJ$190,0,MATCH(E$2,Inputs!$K$4:$AJ$4,0)))+SUMPRODUCT((Inputs!$E$5:$E$190=$B42)*Inputs!$F$5:$F$190*(((Inputs!$G$5:$G$190="moeda")+(Inputs!$G$5:$G$190="acoes"))*Inputs!$B$1+((Inputs!$G$5:$G$190&lt;&gt;"moeda")*(Inputs!$G$5:$G$190&lt;&gt;"acoes")))*INDEX(Inputs!$K$5:$AJ$190,0,MATCH(E$2,Inputs!$K$4:$AJ$4,0)))))</f>
        <v>#N/A</v>
      </c>
      <c r="F42" s="6" t="e">
        <f>IF(ISNA(MATCH(F$2,Inputs!$K$4:$AJ$4,0)),NA(),IF(SUMPRODUCT((Inputs!$A$5:$A$190=$B42)*ISNUMBER(INDEX(Inputs!$K$5:$AJ$190,0,MATCH(F$2,Inputs!$K$4:$AJ$4,0))))+SUMPRODUCT((Inputs!$C$5:$C$190=$B42)*ISNUMBER(INDEX(Inputs!$K$5:$AJ$190,0,MATCH(F$2,Inputs!$K$4:$AJ$4,0))))+SUMPRODUCT((Inputs!$E$5:$E$190=$B42)*ISNUMBER(INDEX(Inputs!$K$5:$AJ$190,0,MATCH(F$2,Inputs!$K$4:$AJ$4,0))))=0,NA(),SUMPRODUCT((Inputs!$A$5:$A$190=$B42)*Inputs!$B$5:$B$190*(((Inputs!$G$5:$G$190="moeda")+(Inputs!$G$5:$G$190="acoes"))*Inputs!$B$1+((Inputs!$G$5:$G$190&lt;&gt;"moeda")*(Inputs!$G$5:$G$190&lt;&gt;"acoes")))*INDEX(Inputs!$K$5:$AJ$190,0,MATCH(F$2,Inputs!$K$4:$AJ$4,0)))+SUMPRODUCT((Inputs!$C$5:$C$190=$B42)*Inputs!$D$5:$D$190*(((Inputs!$G$5:$G$190="moeda")+(Inputs!$G$5:$G$190="acoes"))*Inputs!$B$1+((Inputs!$G$5:$G$190&lt;&gt;"moeda")*(Inputs!$G$5:$G$190&lt;&gt;"acoes")))*INDEX(Inputs!$K$5:$AJ$190,0,MATCH(F$2,Inputs!$K$4:$AJ$4,0)))+SUMPRODUCT((Inputs!$E$5:$E$190=$B42)*Inputs!$F$5:$F$190*(((Inputs!$G$5:$G$190="moeda")+(Inputs!$G$5:$G$190="acoes"))*Inputs!$B$1+((Inputs!$G$5:$G$190&lt;&gt;"moeda")*(Inputs!$G$5:$G$190&lt;&gt;"acoes")))*INDEX(Inputs!$K$5:$AJ$190,0,MATCH(F$2,Inputs!$K$4:$AJ$4,0)))))</f>
        <v>#N/A</v>
      </c>
      <c r="G42" s="6" t="e">
        <f>IF(ISNA(MATCH(G$2,Inputs!$K$4:$AJ$4,0)),NA(),IF(SUMPRODUCT((Inputs!$A$5:$A$190=$B42)*ISNUMBER(INDEX(Inputs!$K$5:$AJ$190,0,MATCH(G$2,Inputs!$K$4:$AJ$4,0))))+SUMPRODUCT((Inputs!$C$5:$C$190=$B42)*ISNUMBER(INDEX(Inputs!$K$5:$AJ$190,0,MATCH(G$2,Inputs!$K$4:$AJ$4,0))))+SUMPRODUCT((Inputs!$E$5:$E$190=$B42)*ISNUMBER(INDEX(Inputs!$K$5:$AJ$190,0,MATCH(G$2,Inputs!$K$4:$AJ$4,0))))=0,NA(),SUMPRODUCT((Inputs!$A$5:$A$190=$B42)*Inputs!$B$5:$B$190*(((Inputs!$G$5:$G$190="moeda")+(Inputs!$G$5:$G$190="acoes"))*Inputs!$B$1+((Inputs!$G$5:$G$190&lt;&gt;"moeda")*(Inputs!$G$5:$G$190&lt;&gt;"acoes")))*INDEX(Inputs!$K$5:$AJ$190,0,MATCH(G$2,Inputs!$K$4:$AJ$4,0)))+SUMPRODUCT((Inputs!$C$5:$C$190=$B42)*Inputs!$D$5:$D$190*(((Inputs!$G$5:$G$190="moeda")+(Inputs!$G$5:$G$190="acoes"))*Inputs!$B$1+((Inputs!$G$5:$G$190&lt;&gt;"moeda")*(Inputs!$G$5:$G$190&lt;&gt;"acoes")))*INDEX(Inputs!$K$5:$AJ$190,0,MATCH(G$2,Inputs!$K$4:$AJ$4,0)))+SUMPRODUCT((Inputs!$E$5:$E$190=$B42)*Inputs!$F$5:$F$190*(((Inputs!$G$5:$G$190="moeda")+(Inputs!$G$5:$G$190="acoes"))*Inputs!$B$1+((Inputs!$G$5:$G$190&lt;&gt;"moeda")*(Inputs!$G$5:$G$190&lt;&gt;"acoes")))*INDEX(Inputs!$K$5:$AJ$190,0,MATCH(G$2,Inputs!$K$4:$AJ$4,0)))))</f>
        <v>#N/A</v>
      </c>
      <c r="H42" s="3" t="e">
        <f>G42</f>
        <v>#N/A</v>
      </c>
      <c r="I42" s="6" t="e">
        <f>IF(ISNA(MATCH(I$2,Inputs!$K$4:$AJ$4,0)),NA(),IF(SUMPRODUCT((Inputs!$A$5:$A$190=$B42)*ISNUMBER(INDEX(Inputs!$K$5:$AJ$190,0,MATCH(I$2,Inputs!$K$4:$AJ$4,0))))+SUMPRODUCT((Inputs!$C$5:$C$190=$B42)*ISNUMBER(INDEX(Inputs!$K$5:$AJ$190,0,MATCH(I$2,Inputs!$K$4:$AJ$4,0))))+SUMPRODUCT((Inputs!$E$5:$E$190=$B42)*ISNUMBER(INDEX(Inputs!$K$5:$AJ$190,0,MATCH(I$2,Inputs!$K$4:$AJ$4,0))))=0,NA(),SUMPRODUCT((Inputs!$A$5:$A$190=$B42)*Inputs!$B$5:$B$190*(((Inputs!$G$5:$G$190="moeda")+(Inputs!$G$5:$G$190="acoes"))*Inputs!$B$1+((Inputs!$G$5:$G$190&lt;&gt;"moeda")*(Inputs!$G$5:$G$190&lt;&gt;"acoes")))*INDEX(Inputs!$K$5:$AJ$190,0,MATCH(I$2,Inputs!$K$4:$AJ$4,0)))+SUMPRODUCT((Inputs!$C$5:$C$190=$B42)*Inputs!$D$5:$D$190*(((Inputs!$G$5:$G$190="moeda")+(Inputs!$G$5:$G$190="acoes"))*Inputs!$B$1+((Inputs!$G$5:$G$190&lt;&gt;"moeda")*(Inputs!$G$5:$G$190&lt;&gt;"acoes")))*INDEX(Inputs!$K$5:$AJ$190,0,MATCH(I$2,Inputs!$K$4:$AJ$4,0)))+SUMPRODUCT((Inputs!$E$5:$E$190=$B42)*Inputs!$F$5:$F$190*(((Inputs!$G$5:$G$190="moeda")+(Inputs!$G$5:$G$190="acoes"))*Inputs!$B$1+((Inputs!$G$5:$G$190&lt;&gt;"moeda")*(Inputs!$G$5:$G$190&lt;&gt;"acoes")))*INDEX(Inputs!$K$5:$AJ$190,0,MATCH(I$2,Inputs!$K$4:$AJ$4,0)))))</f>
        <v>#N/A</v>
      </c>
      <c r="J42" s="6" t="e">
        <f>IF(ISNA(MATCH(J$2,Inputs!$K$4:$AJ$4,0)),NA(),IF(SUMPRODUCT((Inputs!$A$5:$A$190=$B42)*ISNUMBER(INDEX(Inputs!$K$5:$AJ$190,0,MATCH(J$2,Inputs!$K$4:$AJ$4,0))))+SUMPRODUCT((Inputs!$C$5:$C$190=$B42)*ISNUMBER(INDEX(Inputs!$K$5:$AJ$190,0,MATCH(J$2,Inputs!$K$4:$AJ$4,0))))+SUMPRODUCT((Inputs!$E$5:$E$190=$B42)*ISNUMBER(INDEX(Inputs!$K$5:$AJ$190,0,MATCH(J$2,Inputs!$K$4:$AJ$4,0))))=0,NA(),SUMPRODUCT((Inputs!$A$5:$A$190=$B42)*Inputs!$B$5:$B$190*(((Inputs!$G$5:$G$190="moeda")+(Inputs!$G$5:$G$190="acoes"))*Inputs!$B$1+((Inputs!$G$5:$G$190&lt;&gt;"moeda")*(Inputs!$G$5:$G$190&lt;&gt;"acoes")))*INDEX(Inputs!$K$5:$AJ$190,0,MATCH(J$2,Inputs!$K$4:$AJ$4,0)))+SUMPRODUCT((Inputs!$C$5:$C$190=$B42)*Inputs!$D$5:$D$190*(((Inputs!$G$5:$G$190="moeda")+(Inputs!$G$5:$G$190="acoes"))*Inputs!$B$1+((Inputs!$G$5:$G$190&lt;&gt;"moeda")*(Inputs!$G$5:$G$190&lt;&gt;"acoes")))*INDEX(Inputs!$K$5:$AJ$190,0,MATCH(J$2,Inputs!$K$4:$AJ$4,0)))+SUMPRODUCT((Inputs!$E$5:$E$190=$B42)*Inputs!$F$5:$F$190*(((Inputs!$G$5:$G$190="moeda")+(Inputs!$G$5:$G$190="acoes"))*Inputs!$B$1+((Inputs!$G$5:$G$190&lt;&gt;"moeda")*(Inputs!$G$5:$G$190&lt;&gt;"acoes")))*INDEX(Inputs!$K$5:$AJ$190,0,MATCH(J$2,Inputs!$K$4:$AJ$4,0)))))</f>
        <v>#N/A</v>
      </c>
      <c r="K42" s="6" t="e">
        <f>IF(ISNA(MATCH(K$2,Inputs!$K$4:$AJ$4,0)),NA(),IF(SUMPRODUCT((Inputs!$A$5:$A$190=$B42)*ISNUMBER(INDEX(Inputs!$K$5:$AJ$190,0,MATCH(K$2,Inputs!$K$4:$AJ$4,0))))+SUMPRODUCT((Inputs!$C$5:$C$190=$B42)*ISNUMBER(INDEX(Inputs!$K$5:$AJ$190,0,MATCH(K$2,Inputs!$K$4:$AJ$4,0))))+SUMPRODUCT((Inputs!$E$5:$E$190=$B42)*ISNUMBER(INDEX(Inputs!$K$5:$AJ$190,0,MATCH(K$2,Inputs!$K$4:$AJ$4,0))))=0,NA(),SUMPRODUCT((Inputs!$A$5:$A$190=$B42)*Inputs!$B$5:$B$190*(((Inputs!$G$5:$G$190="moeda")+(Inputs!$G$5:$G$190="acoes"))*Inputs!$B$1+((Inputs!$G$5:$G$190&lt;&gt;"moeda")*(Inputs!$G$5:$G$190&lt;&gt;"acoes")))*INDEX(Inputs!$K$5:$AJ$190,0,MATCH(K$2,Inputs!$K$4:$AJ$4,0)))+SUMPRODUCT((Inputs!$C$5:$C$190=$B42)*Inputs!$D$5:$D$190*(((Inputs!$G$5:$G$190="moeda")+(Inputs!$G$5:$G$190="acoes"))*Inputs!$B$1+((Inputs!$G$5:$G$190&lt;&gt;"moeda")*(Inputs!$G$5:$G$190&lt;&gt;"acoes")))*INDEX(Inputs!$K$5:$AJ$190,0,MATCH(K$2,Inputs!$K$4:$AJ$4,0)))+SUMPRODUCT((Inputs!$E$5:$E$190=$B42)*Inputs!$F$5:$F$190*(((Inputs!$G$5:$G$190="moeda")+(Inputs!$G$5:$G$190="acoes"))*Inputs!$B$1+((Inputs!$G$5:$G$190&lt;&gt;"moeda")*(Inputs!$G$5:$G$190&lt;&gt;"acoes")))*INDEX(Inputs!$K$5:$AJ$190,0,MATCH(K$2,Inputs!$K$4:$AJ$4,0)))))</f>
        <v>#N/A</v>
      </c>
      <c r="L42" s="6" t="e">
        <f>IF(ISNA(MATCH(L$2,Inputs!$K$4:$AJ$4,0)),NA(),IF(SUMPRODUCT((Inputs!$A$5:$A$190=$B42)*ISNUMBER(INDEX(Inputs!$K$5:$AJ$190,0,MATCH(L$2,Inputs!$K$4:$AJ$4,0))))+SUMPRODUCT((Inputs!$C$5:$C$190=$B42)*ISNUMBER(INDEX(Inputs!$K$5:$AJ$190,0,MATCH(L$2,Inputs!$K$4:$AJ$4,0))))+SUMPRODUCT((Inputs!$E$5:$E$190=$B42)*ISNUMBER(INDEX(Inputs!$K$5:$AJ$190,0,MATCH(L$2,Inputs!$K$4:$AJ$4,0))))=0,NA(),SUMPRODUCT((Inputs!$A$5:$A$190=$B42)*Inputs!$B$5:$B$190*(((Inputs!$G$5:$G$190="moeda")+(Inputs!$G$5:$G$190="acoes"))*Inputs!$B$1+((Inputs!$G$5:$G$190&lt;&gt;"moeda")*(Inputs!$G$5:$G$190&lt;&gt;"acoes")))*INDEX(Inputs!$K$5:$AJ$190,0,MATCH(L$2,Inputs!$K$4:$AJ$4,0)))+SUMPRODUCT((Inputs!$C$5:$C$190=$B42)*Inputs!$D$5:$D$190*(((Inputs!$G$5:$G$190="moeda")+(Inputs!$G$5:$G$190="acoes"))*Inputs!$B$1+((Inputs!$G$5:$G$190&lt;&gt;"moeda")*(Inputs!$G$5:$G$190&lt;&gt;"acoes")))*INDEX(Inputs!$K$5:$AJ$190,0,MATCH(L$2,Inputs!$K$4:$AJ$4,0)))+SUMPRODUCT((Inputs!$E$5:$E$190=$B42)*Inputs!$F$5:$F$190*(((Inputs!$G$5:$G$190="moeda")+(Inputs!$G$5:$G$190="acoes"))*Inputs!$B$1+((Inputs!$G$5:$G$190&lt;&gt;"moeda")*(Inputs!$G$5:$G$190&lt;&gt;"acoes")))*INDEX(Inputs!$K$5:$AJ$190,0,MATCH(L$2,Inputs!$K$4:$AJ$4,0)))))</f>
        <v>#N/A</v>
      </c>
      <c r="M42" s="3" t="e">
        <f>L42</f>
        <v>#N/A</v>
      </c>
      <c r="N42" s="6" t="e">
        <f>IF(ISNA(MATCH(N$2,Inputs!$K$4:$AJ$4,0)),NA(),IF(SUMPRODUCT((Inputs!$A$5:$A$190=$B42)*ISNUMBER(INDEX(Inputs!$K$5:$AJ$190,0,MATCH(N$2,Inputs!$K$4:$AJ$4,0))))+SUMPRODUCT((Inputs!$C$5:$C$190=$B42)*ISNUMBER(INDEX(Inputs!$K$5:$AJ$190,0,MATCH(N$2,Inputs!$K$4:$AJ$4,0))))+SUMPRODUCT((Inputs!$E$5:$E$190=$B42)*ISNUMBER(INDEX(Inputs!$K$5:$AJ$190,0,MATCH(N$2,Inputs!$K$4:$AJ$4,0))))=0,NA(),SUMPRODUCT((Inputs!$A$5:$A$190=$B42)*Inputs!$B$5:$B$190*(((Inputs!$G$5:$G$190="moeda")+(Inputs!$G$5:$G$190="acoes"))*Inputs!$B$1+((Inputs!$G$5:$G$190&lt;&gt;"moeda")*(Inputs!$G$5:$G$190&lt;&gt;"acoes")))*INDEX(Inputs!$K$5:$AJ$190,0,MATCH(N$2,Inputs!$K$4:$AJ$4,0)))+SUMPRODUCT((Inputs!$C$5:$C$190=$B42)*Inputs!$D$5:$D$190*(((Inputs!$G$5:$G$190="moeda")+(Inputs!$G$5:$G$190="acoes"))*Inputs!$B$1+((Inputs!$G$5:$G$190&lt;&gt;"moeda")*(Inputs!$G$5:$G$190&lt;&gt;"acoes")))*INDEX(Inputs!$K$5:$AJ$190,0,MATCH(N$2,Inputs!$K$4:$AJ$4,0)))+SUMPRODUCT((Inputs!$E$5:$E$190=$B42)*Inputs!$F$5:$F$190*(((Inputs!$G$5:$G$190="moeda")+(Inputs!$G$5:$G$190="acoes"))*Inputs!$B$1+((Inputs!$G$5:$G$190&lt;&gt;"moeda")*(Inputs!$G$5:$G$190&lt;&gt;"acoes")))*INDEX(Inputs!$K$5:$AJ$190,0,MATCH(N$2,Inputs!$K$4:$AJ$4,0)))))</f>
        <v>#N/A</v>
      </c>
      <c r="O42" s="6" t="e">
        <f>IF(ISNA(MATCH(O$2,Inputs!$K$4:$AJ$4,0)),NA(),IF(SUMPRODUCT((Inputs!$A$5:$A$190=$B42)*ISNUMBER(INDEX(Inputs!$K$5:$AJ$190,0,MATCH(O$2,Inputs!$K$4:$AJ$4,0))))+SUMPRODUCT((Inputs!$C$5:$C$190=$B42)*ISNUMBER(INDEX(Inputs!$K$5:$AJ$190,0,MATCH(O$2,Inputs!$K$4:$AJ$4,0))))+SUMPRODUCT((Inputs!$E$5:$E$190=$B42)*ISNUMBER(INDEX(Inputs!$K$5:$AJ$190,0,MATCH(O$2,Inputs!$K$4:$AJ$4,0))))=0,NA(),SUMPRODUCT((Inputs!$A$5:$A$190=$B42)*Inputs!$B$5:$B$190*(((Inputs!$G$5:$G$190="moeda")+(Inputs!$G$5:$G$190="acoes"))*Inputs!$B$1+((Inputs!$G$5:$G$190&lt;&gt;"moeda")*(Inputs!$G$5:$G$190&lt;&gt;"acoes")))*INDEX(Inputs!$K$5:$AJ$190,0,MATCH(O$2,Inputs!$K$4:$AJ$4,0)))+SUMPRODUCT((Inputs!$C$5:$C$190=$B42)*Inputs!$D$5:$D$190*(((Inputs!$G$5:$G$190="moeda")+(Inputs!$G$5:$G$190="acoes"))*Inputs!$B$1+((Inputs!$G$5:$G$190&lt;&gt;"moeda")*(Inputs!$G$5:$G$190&lt;&gt;"acoes")))*INDEX(Inputs!$K$5:$AJ$190,0,MATCH(O$2,Inputs!$K$4:$AJ$4,0)))+SUMPRODUCT((Inputs!$E$5:$E$190=$B42)*Inputs!$F$5:$F$190*(((Inputs!$G$5:$G$190="moeda")+(Inputs!$G$5:$G$190="acoes"))*Inputs!$B$1+((Inputs!$G$5:$G$190&lt;&gt;"moeda")*(Inputs!$G$5:$G$190&lt;&gt;"acoes")))*INDEX(Inputs!$K$5:$AJ$190,0,MATCH(O$2,Inputs!$K$4:$AJ$4,0)))))</f>
        <v>#N/A</v>
      </c>
      <c r="P42" s="6" t="e">
        <f>IF(ISNA(MATCH(P$2,Inputs!$K$4:$AJ$4,0)),NA(),IF(SUMPRODUCT((Inputs!$A$5:$A$190=$B42)*ISNUMBER(INDEX(Inputs!$K$5:$AJ$190,0,MATCH(P$2,Inputs!$K$4:$AJ$4,0))))+SUMPRODUCT((Inputs!$C$5:$C$190=$B42)*ISNUMBER(INDEX(Inputs!$K$5:$AJ$190,0,MATCH(P$2,Inputs!$K$4:$AJ$4,0))))+SUMPRODUCT((Inputs!$E$5:$E$190=$B42)*ISNUMBER(INDEX(Inputs!$K$5:$AJ$190,0,MATCH(P$2,Inputs!$K$4:$AJ$4,0))))=0,NA(),SUMPRODUCT((Inputs!$A$5:$A$190=$B42)*Inputs!$B$5:$B$190*(((Inputs!$G$5:$G$190="moeda")+(Inputs!$G$5:$G$190="acoes"))*Inputs!$B$1+((Inputs!$G$5:$G$190&lt;&gt;"moeda")*(Inputs!$G$5:$G$190&lt;&gt;"acoes")))*INDEX(Inputs!$K$5:$AJ$190,0,MATCH(P$2,Inputs!$K$4:$AJ$4,0)))+SUMPRODUCT((Inputs!$C$5:$C$190=$B42)*Inputs!$D$5:$D$190*(((Inputs!$G$5:$G$190="moeda")+(Inputs!$G$5:$G$190="acoes"))*Inputs!$B$1+((Inputs!$G$5:$G$190&lt;&gt;"moeda")*(Inputs!$G$5:$G$190&lt;&gt;"acoes")))*INDEX(Inputs!$K$5:$AJ$190,0,MATCH(P$2,Inputs!$K$4:$AJ$4,0)))+SUMPRODUCT((Inputs!$E$5:$E$190=$B42)*Inputs!$F$5:$F$190*(((Inputs!$G$5:$G$190="moeda")+(Inputs!$G$5:$G$190="acoes"))*Inputs!$B$1+((Inputs!$G$5:$G$190&lt;&gt;"moeda")*(Inputs!$G$5:$G$190&lt;&gt;"acoes")))*INDEX(Inputs!$K$5:$AJ$190,0,MATCH(P$2,Inputs!$K$4:$AJ$4,0)))))</f>
        <v>#N/A</v>
      </c>
      <c r="Q42" s="6" t="e">
        <f>IF(ISNA(MATCH(Q$2,Inputs!$K$4:$AJ$4,0)),NA(),IF(SUMPRODUCT((Inputs!$A$5:$A$190=$B42)*ISNUMBER(INDEX(Inputs!$K$5:$AJ$190,0,MATCH(Q$2,Inputs!$K$4:$AJ$4,0))))+SUMPRODUCT((Inputs!$C$5:$C$190=$B42)*ISNUMBER(INDEX(Inputs!$K$5:$AJ$190,0,MATCH(Q$2,Inputs!$K$4:$AJ$4,0))))+SUMPRODUCT((Inputs!$E$5:$E$190=$B42)*ISNUMBER(INDEX(Inputs!$K$5:$AJ$190,0,MATCH(Q$2,Inputs!$K$4:$AJ$4,0))))=0,NA(),SUMPRODUCT((Inputs!$A$5:$A$190=$B42)*Inputs!$B$5:$B$190*(((Inputs!$G$5:$G$190="moeda")+(Inputs!$G$5:$G$190="acoes"))*Inputs!$B$1+((Inputs!$G$5:$G$190&lt;&gt;"moeda")*(Inputs!$G$5:$G$190&lt;&gt;"acoes")))*INDEX(Inputs!$K$5:$AJ$190,0,MATCH(Q$2,Inputs!$K$4:$AJ$4,0)))+SUMPRODUCT((Inputs!$C$5:$C$190=$B42)*Inputs!$D$5:$D$190*(((Inputs!$G$5:$G$190="moeda")+(Inputs!$G$5:$G$190="acoes"))*Inputs!$B$1+((Inputs!$G$5:$G$190&lt;&gt;"moeda")*(Inputs!$G$5:$G$190&lt;&gt;"acoes")))*INDEX(Inputs!$K$5:$AJ$190,0,MATCH(Q$2,Inputs!$K$4:$AJ$4,0)))+SUMPRODUCT((Inputs!$E$5:$E$190=$B42)*Inputs!$F$5:$F$190*(((Inputs!$G$5:$G$190="moeda")+(Inputs!$G$5:$G$190="acoes"))*Inputs!$B$1+((Inputs!$G$5:$G$190&lt;&gt;"moeda")*(Inputs!$G$5:$G$190&lt;&gt;"acoes")))*INDEX(Inputs!$K$5:$AJ$190,0,MATCH(Q$2,Inputs!$K$4:$AJ$4,0)))))</f>
        <v>#N/A</v>
      </c>
      <c r="R42" s="3" t="e">
        <f>Q42</f>
        <v>#N/A</v>
      </c>
      <c r="S42" s="6" t="e">
        <f>IF(ISNA(MATCH(S$2,Inputs!$K$4:$AJ$4,0)),NA(),IF(SUMPRODUCT((Inputs!$A$5:$A$190=$B42)*ISNUMBER(INDEX(Inputs!$K$5:$AJ$190,0,MATCH(S$2,Inputs!$K$4:$AJ$4,0))))+SUMPRODUCT((Inputs!$C$5:$C$190=$B42)*ISNUMBER(INDEX(Inputs!$K$5:$AJ$190,0,MATCH(S$2,Inputs!$K$4:$AJ$4,0))))+SUMPRODUCT((Inputs!$E$5:$E$190=$B42)*ISNUMBER(INDEX(Inputs!$K$5:$AJ$190,0,MATCH(S$2,Inputs!$K$4:$AJ$4,0))))=0,NA(),SUMPRODUCT((Inputs!$A$5:$A$190=$B42)*Inputs!$B$5:$B$190*(((Inputs!$G$5:$G$190="moeda")+(Inputs!$G$5:$G$190="acoes"))*Inputs!$B$1+((Inputs!$G$5:$G$190&lt;&gt;"moeda")*(Inputs!$G$5:$G$190&lt;&gt;"acoes")))*INDEX(Inputs!$K$5:$AJ$190,0,MATCH(S$2,Inputs!$K$4:$AJ$4,0)))+SUMPRODUCT((Inputs!$C$5:$C$190=$B42)*Inputs!$D$5:$D$190*(((Inputs!$G$5:$G$190="moeda")+(Inputs!$G$5:$G$190="acoes"))*Inputs!$B$1+((Inputs!$G$5:$G$190&lt;&gt;"moeda")*(Inputs!$G$5:$G$190&lt;&gt;"acoes")))*INDEX(Inputs!$K$5:$AJ$190,0,MATCH(S$2,Inputs!$K$4:$AJ$4,0)))+SUMPRODUCT((Inputs!$E$5:$E$190=$B42)*Inputs!$F$5:$F$190*(((Inputs!$G$5:$G$190="moeda")+(Inputs!$G$5:$G$190="acoes"))*Inputs!$B$1+((Inputs!$G$5:$G$190&lt;&gt;"moeda")*(Inputs!$G$5:$G$190&lt;&gt;"acoes")))*INDEX(Inputs!$K$5:$AJ$190,0,MATCH(S$2,Inputs!$K$4:$AJ$4,0)))))</f>
        <v>#N/A</v>
      </c>
      <c r="T42" s="6" t="e">
        <f>IF(ISNA(MATCH(T$2,Inputs!$K$4:$AJ$4,0)),NA(),IF(SUMPRODUCT((Inputs!$A$5:$A$190=$B42)*ISNUMBER(INDEX(Inputs!$K$5:$AJ$190,0,MATCH(T$2,Inputs!$K$4:$AJ$4,0))))+SUMPRODUCT((Inputs!$C$5:$C$190=$B42)*ISNUMBER(INDEX(Inputs!$K$5:$AJ$190,0,MATCH(T$2,Inputs!$K$4:$AJ$4,0))))+SUMPRODUCT((Inputs!$E$5:$E$190=$B42)*ISNUMBER(INDEX(Inputs!$K$5:$AJ$190,0,MATCH(T$2,Inputs!$K$4:$AJ$4,0))))=0,NA(),SUMPRODUCT((Inputs!$A$5:$A$190=$B42)*Inputs!$B$5:$B$190*(((Inputs!$G$5:$G$190="moeda")+(Inputs!$G$5:$G$190="acoes"))*Inputs!$B$1+((Inputs!$G$5:$G$190&lt;&gt;"moeda")*(Inputs!$G$5:$G$190&lt;&gt;"acoes")))*INDEX(Inputs!$K$5:$AJ$190,0,MATCH(T$2,Inputs!$K$4:$AJ$4,0)))+SUMPRODUCT((Inputs!$C$5:$C$190=$B42)*Inputs!$D$5:$D$190*(((Inputs!$G$5:$G$190="moeda")+(Inputs!$G$5:$G$190="acoes"))*Inputs!$B$1+((Inputs!$G$5:$G$190&lt;&gt;"moeda")*(Inputs!$G$5:$G$190&lt;&gt;"acoes")))*INDEX(Inputs!$K$5:$AJ$190,0,MATCH(T$2,Inputs!$K$4:$AJ$4,0)))+SUMPRODUCT((Inputs!$E$5:$E$190=$B42)*Inputs!$F$5:$F$190*(((Inputs!$G$5:$G$190="moeda")+(Inputs!$G$5:$G$190="acoes"))*Inputs!$B$1+((Inputs!$G$5:$G$190&lt;&gt;"moeda")*(Inputs!$G$5:$G$190&lt;&gt;"acoes")))*INDEX(Inputs!$K$5:$AJ$190,0,MATCH(T$2,Inputs!$K$4:$AJ$4,0)))))</f>
        <v>#N/A</v>
      </c>
      <c r="U42" s="6" t="e">
        <f>IF(ISNA(MATCH(U$2,Inputs!$K$4:$AJ$4,0)),NA(),IF(SUMPRODUCT((Inputs!$A$5:$A$190=$B42)*ISNUMBER(INDEX(Inputs!$K$5:$AJ$190,0,MATCH(U$2,Inputs!$K$4:$AJ$4,0))))+SUMPRODUCT((Inputs!$C$5:$C$190=$B42)*ISNUMBER(INDEX(Inputs!$K$5:$AJ$190,0,MATCH(U$2,Inputs!$K$4:$AJ$4,0))))+SUMPRODUCT((Inputs!$E$5:$E$190=$B42)*ISNUMBER(INDEX(Inputs!$K$5:$AJ$190,0,MATCH(U$2,Inputs!$K$4:$AJ$4,0))))=0,NA(),SUMPRODUCT((Inputs!$A$5:$A$190=$B42)*Inputs!$B$5:$B$190*(((Inputs!$G$5:$G$190="moeda")+(Inputs!$G$5:$G$190="acoes"))*Inputs!$B$1+((Inputs!$G$5:$G$190&lt;&gt;"moeda")*(Inputs!$G$5:$G$190&lt;&gt;"acoes")))*INDEX(Inputs!$K$5:$AJ$190,0,MATCH(U$2,Inputs!$K$4:$AJ$4,0)))+SUMPRODUCT((Inputs!$C$5:$C$190=$B42)*Inputs!$D$5:$D$190*(((Inputs!$G$5:$G$190="moeda")+(Inputs!$G$5:$G$190="acoes"))*Inputs!$B$1+((Inputs!$G$5:$G$190&lt;&gt;"moeda")*(Inputs!$G$5:$G$190&lt;&gt;"acoes")))*INDEX(Inputs!$K$5:$AJ$190,0,MATCH(U$2,Inputs!$K$4:$AJ$4,0)))+SUMPRODUCT((Inputs!$E$5:$E$190=$B42)*Inputs!$F$5:$F$190*(((Inputs!$G$5:$G$190="moeda")+(Inputs!$G$5:$G$190="acoes"))*Inputs!$B$1+((Inputs!$G$5:$G$190&lt;&gt;"moeda")*(Inputs!$G$5:$G$190&lt;&gt;"acoes")))*INDEX(Inputs!$K$5:$AJ$190,0,MATCH(U$2,Inputs!$K$4:$AJ$4,0)))))</f>
        <v>#N/A</v>
      </c>
      <c r="V42" s="6" t="e">
        <f>IF(ISNA(MATCH(V$2,Inputs!$K$4:$AJ$4,0)),NA(),IF(SUMPRODUCT((Inputs!$A$5:$A$190=$B42)*ISNUMBER(INDEX(Inputs!$K$5:$AJ$190,0,MATCH(V$2,Inputs!$K$4:$AJ$4,0))))+SUMPRODUCT((Inputs!$C$5:$C$190=$B42)*ISNUMBER(INDEX(Inputs!$K$5:$AJ$190,0,MATCH(V$2,Inputs!$K$4:$AJ$4,0))))+SUMPRODUCT((Inputs!$E$5:$E$190=$B42)*ISNUMBER(INDEX(Inputs!$K$5:$AJ$190,0,MATCH(V$2,Inputs!$K$4:$AJ$4,0))))=0,NA(),SUMPRODUCT((Inputs!$A$5:$A$190=$B42)*Inputs!$B$5:$B$190*(((Inputs!$G$5:$G$190="moeda")+(Inputs!$G$5:$G$190="acoes"))*Inputs!$B$1+((Inputs!$G$5:$G$190&lt;&gt;"moeda")*(Inputs!$G$5:$G$190&lt;&gt;"acoes")))*INDEX(Inputs!$K$5:$AJ$190,0,MATCH(V$2,Inputs!$K$4:$AJ$4,0)))+SUMPRODUCT((Inputs!$C$5:$C$190=$B42)*Inputs!$D$5:$D$190*(((Inputs!$G$5:$G$190="moeda")+(Inputs!$G$5:$G$190="acoes"))*Inputs!$B$1+((Inputs!$G$5:$G$190&lt;&gt;"moeda")*(Inputs!$G$5:$G$190&lt;&gt;"acoes")))*INDEX(Inputs!$K$5:$AJ$190,0,MATCH(V$2,Inputs!$K$4:$AJ$4,0)))+SUMPRODUCT((Inputs!$E$5:$E$190=$B42)*Inputs!$F$5:$F$190*(((Inputs!$G$5:$G$190="moeda")+(Inputs!$G$5:$G$190="acoes"))*Inputs!$B$1+((Inputs!$G$5:$G$190&lt;&gt;"moeda")*(Inputs!$G$5:$G$190&lt;&gt;"acoes")))*INDEX(Inputs!$K$5:$AJ$190,0,MATCH(V$2,Inputs!$K$4:$AJ$4,0)))))</f>
        <v>#N/A</v>
      </c>
      <c r="W42" s="3" t="e">
        <f>V42</f>
        <v>#N/A</v>
      </c>
      <c r="X42" s="6" t="e">
        <f>IF(ISNA(MATCH(X$2,Inputs!$K$4:$AJ$4,0)),NA(),IF(SUMPRODUCT((Inputs!$A$5:$A$190=$B42)*ISNUMBER(INDEX(Inputs!$K$5:$AJ$190,0,MATCH(X$2,Inputs!$K$4:$AJ$4,0))))+SUMPRODUCT((Inputs!$C$5:$C$190=$B42)*ISNUMBER(INDEX(Inputs!$K$5:$AJ$190,0,MATCH(X$2,Inputs!$K$4:$AJ$4,0))))+SUMPRODUCT((Inputs!$E$5:$E$190=$B42)*ISNUMBER(INDEX(Inputs!$K$5:$AJ$190,0,MATCH(X$2,Inputs!$K$4:$AJ$4,0))))=0,NA(),SUMPRODUCT((Inputs!$A$5:$A$190=$B42)*Inputs!$B$5:$B$190*(((Inputs!$G$5:$G$190="moeda")+(Inputs!$G$5:$G$190="acoes"))*Inputs!$B$1+((Inputs!$G$5:$G$190&lt;&gt;"moeda")*(Inputs!$G$5:$G$190&lt;&gt;"acoes")))*INDEX(Inputs!$K$5:$AJ$190,0,MATCH(X$2,Inputs!$K$4:$AJ$4,0)))+SUMPRODUCT((Inputs!$C$5:$C$190=$B42)*Inputs!$D$5:$D$190*(((Inputs!$G$5:$G$190="moeda")+(Inputs!$G$5:$G$190="acoes"))*Inputs!$B$1+((Inputs!$G$5:$G$190&lt;&gt;"moeda")*(Inputs!$G$5:$G$190&lt;&gt;"acoes")))*INDEX(Inputs!$K$5:$AJ$190,0,MATCH(X$2,Inputs!$K$4:$AJ$4,0)))+SUMPRODUCT((Inputs!$E$5:$E$190=$B42)*Inputs!$F$5:$F$190*(((Inputs!$G$5:$G$190="moeda")+(Inputs!$G$5:$G$190="acoes"))*Inputs!$B$1+((Inputs!$G$5:$G$190&lt;&gt;"moeda")*(Inputs!$G$5:$G$190&lt;&gt;"acoes")))*INDEX(Inputs!$K$5:$AJ$190,0,MATCH(X$2,Inputs!$K$4:$AJ$4,0)))))</f>
        <v>#N/A</v>
      </c>
      <c r="Y42" s="6" t="e">
        <f>IF(ISNA(MATCH(Y$2,Inputs!$K$4:$AJ$4,0)),NA(),IF(SUMPRODUCT((Inputs!$A$5:$A$190=$B42)*ISNUMBER(INDEX(Inputs!$K$5:$AJ$190,0,MATCH(Y$2,Inputs!$K$4:$AJ$4,0))))+SUMPRODUCT((Inputs!$C$5:$C$190=$B42)*ISNUMBER(INDEX(Inputs!$K$5:$AJ$190,0,MATCH(Y$2,Inputs!$K$4:$AJ$4,0))))+SUMPRODUCT((Inputs!$E$5:$E$190=$B42)*ISNUMBER(INDEX(Inputs!$K$5:$AJ$190,0,MATCH(Y$2,Inputs!$K$4:$AJ$4,0))))=0,NA(),SUMPRODUCT((Inputs!$A$5:$A$190=$B42)*Inputs!$B$5:$B$190*(((Inputs!$G$5:$G$190="moeda")+(Inputs!$G$5:$G$190="acoes"))*Inputs!$B$1+((Inputs!$G$5:$G$190&lt;&gt;"moeda")*(Inputs!$G$5:$G$190&lt;&gt;"acoes")))*INDEX(Inputs!$K$5:$AJ$190,0,MATCH(Y$2,Inputs!$K$4:$AJ$4,0)))+SUMPRODUCT((Inputs!$C$5:$C$190=$B42)*Inputs!$D$5:$D$190*(((Inputs!$G$5:$G$190="moeda")+(Inputs!$G$5:$G$190="acoes"))*Inputs!$B$1+((Inputs!$G$5:$G$190&lt;&gt;"moeda")*(Inputs!$G$5:$G$190&lt;&gt;"acoes")))*INDEX(Inputs!$K$5:$AJ$190,0,MATCH(Y$2,Inputs!$K$4:$AJ$4,0)))+SUMPRODUCT((Inputs!$E$5:$E$190=$B42)*Inputs!$F$5:$F$190*(((Inputs!$G$5:$G$190="moeda")+(Inputs!$G$5:$G$190="acoes"))*Inputs!$B$1+((Inputs!$G$5:$G$190&lt;&gt;"moeda")*(Inputs!$G$5:$G$190&lt;&gt;"acoes")))*INDEX(Inputs!$K$5:$AJ$190,0,MATCH(Y$2,Inputs!$K$4:$AJ$4,0)))))</f>
        <v>#N/A</v>
      </c>
      <c r="Z42" s="6" t="e">
        <f>IF(ISNA(MATCH(Z$2,Inputs!$K$4:$AJ$4,0)),NA(),IF(SUMPRODUCT((Inputs!$A$5:$A$190=$B42)*ISNUMBER(INDEX(Inputs!$K$5:$AJ$190,0,MATCH(Z$2,Inputs!$K$4:$AJ$4,0))))+SUMPRODUCT((Inputs!$C$5:$C$190=$B42)*ISNUMBER(INDEX(Inputs!$K$5:$AJ$190,0,MATCH(Z$2,Inputs!$K$4:$AJ$4,0))))+SUMPRODUCT((Inputs!$E$5:$E$190=$B42)*ISNUMBER(INDEX(Inputs!$K$5:$AJ$190,0,MATCH(Z$2,Inputs!$K$4:$AJ$4,0))))=0,NA(),SUMPRODUCT((Inputs!$A$5:$A$190=$B42)*Inputs!$B$5:$B$190*(((Inputs!$G$5:$G$190="moeda")+(Inputs!$G$5:$G$190="acoes"))*Inputs!$B$1+((Inputs!$G$5:$G$190&lt;&gt;"moeda")*(Inputs!$G$5:$G$190&lt;&gt;"acoes")))*INDEX(Inputs!$K$5:$AJ$190,0,MATCH(Z$2,Inputs!$K$4:$AJ$4,0)))+SUMPRODUCT((Inputs!$C$5:$C$190=$B42)*Inputs!$D$5:$D$190*(((Inputs!$G$5:$G$190="moeda")+(Inputs!$G$5:$G$190="acoes"))*Inputs!$B$1+((Inputs!$G$5:$G$190&lt;&gt;"moeda")*(Inputs!$G$5:$G$190&lt;&gt;"acoes")))*INDEX(Inputs!$K$5:$AJ$190,0,MATCH(Z$2,Inputs!$K$4:$AJ$4,0)))+SUMPRODUCT((Inputs!$E$5:$E$190=$B42)*Inputs!$F$5:$F$190*(((Inputs!$G$5:$G$190="moeda")+(Inputs!$G$5:$G$190="acoes"))*Inputs!$B$1+((Inputs!$G$5:$G$190&lt;&gt;"moeda")*(Inputs!$G$5:$G$190&lt;&gt;"acoes")))*INDEX(Inputs!$K$5:$AJ$190,0,MATCH(Z$2,Inputs!$K$4:$AJ$4,0)))))</f>
        <v>#N/A</v>
      </c>
      <c r="AA42" s="6" t="e">
        <f>IF(ISNA(MATCH(AA$2,Inputs!$K$4:$AJ$4,0)),NA(),IF(SUMPRODUCT((Inputs!$A$5:$A$190=$B42)*ISNUMBER(INDEX(Inputs!$K$5:$AJ$190,0,MATCH(AA$2,Inputs!$K$4:$AJ$4,0))))+SUMPRODUCT((Inputs!$C$5:$C$190=$B42)*ISNUMBER(INDEX(Inputs!$K$5:$AJ$190,0,MATCH(AA$2,Inputs!$K$4:$AJ$4,0))))+SUMPRODUCT((Inputs!$E$5:$E$190=$B42)*ISNUMBER(INDEX(Inputs!$K$5:$AJ$190,0,MATCH(AA$2,Inputs!$K$4:$AJ$4,0))))=0,NA(),SUMPRODUCT((Inputs!$A$5:$A$190=$B42)*Inputs!$B$5:$B$190*(((Inputs!$G$5:$G$190="moeda")+(Inputs!$G$5:$G$190="acoes"))*Inputs!$B$1+((Inputs!$G$5:$G$190&lt;&gt;"moeda")*(Inputs!$G$5:$G$190&lt;&gt;"acoes")))*INDEX(Inputs!$K$5:$AJ$190,0,MATCH(AA$2,Inputs!$K$4:$AJ$4,0)))+SUMPRODUCT((Inputs!$C$5:$C$190=$B42)*Inputs!$D$5:$D$190*(((Inputs!$G$5:$G$190="moeda")+(Inputs!$G$5:$G$190="acoes"))*Inputs!$B$1+((Inputs!$G$5:$G$190&lt;&gt;"moeda")*(Inputs!$G$5:$G$190&lt;&gt;"acoes")))*INDEX(Inputs!$K$5:$AJ$190,0,MATCH(AA$2,Inputs!$K$4:$AJ$4,0)))+SUMPRODUCT((Inputs!$E$5:$E$190=$B42)*Inputs!$F$5:$F$190*(((Inputs!$G$5:$G$190="moeda")+(Inputs!$G$5:$G$190="acoes"))*Inputs!$B$1+((Inputs!$G$5:$G$190&lt;&gt;"moeda")*(Inputs!$G$5:$G$190&lt;&gt;"acoes")))*INDEX(Inputs!$K$5:$AJ$190,0,MATCH(AA$2,Inputs!$K$4:$AJ$4,0)))))</f>
        <v>#N/A</v>
      </c>
      <c r="AB42" s="3" t="e">
        <f>AA42</f>
        <v>#N/A</v>
      </c>
      <c r="AC42" s="6" t="e">
        <f>IF(ISNA(MATCH(AC$2,Inputs!$K$4:$AJ$4,0)),NA(),IF(SUMPRODUCT((Inputs!$A$5:$A$190=$B42)*ISNUMBER(INDEX(Inputs!$K$5:$AJ$190,0,MATCH(AC$2,Inputs!$K$4:$AJ$4,0))))+SUMPRODUCT((Inputs!$C$5:$C$190=$B42)*ISNUMBER(INDEX(Inputs!$K$5:$AJ$190,0,MATCH(AC$2,Inputs!$K$4:$AJ$4,0))))+SUMPRODUCT((Inputs!$E$5:$E$190=$B42)*ISNUMBER(INDEX(Inputs!$K$5:$AJ$190,0,MATCH(AC$2,Inputs!$K$4:$AJ$4,0))))=0,NA(),SUMPRODUCT((Inputs!$A$5:$A$190=$B42)*Inputs!$B$5:$B$190*(((Inputs!$G$5:$G$190="moeda")+(Inputs!$G$5:$G$190="acoes"))*Inputs!$B$1+((Inputs!$G$5:$G$190&lt;&gt;"moeda")*(Inputs!$G$5:$G$190&lt;&gt;"acoes")))*INDEX(Inputs!$K$5:$AJ$190,0,MATCH(AC$2,Inputs!$K$4:$AJ$4,0)))+SUMPRODUCT((Inputs!$C$5:$C$190=$B42)*Inputs!$D$5:$D$190*(((Inputs!$G$5:$G$190="moeda")+(Inputs!$G$5:$G$190="acoes"))*Inputs!$B$1+((Inputs!$G$5:$G$190&lt;&gt;"moeda")*(Inputs!$G$5:$G$190&lt;&gt;"acoes")))*INDEX(Inputs!$K$5:$AJ$190,0,MATCH(AC$2,Inputs!$K$4:$AJ$4,0)))+SUMPRODUCT((Inputs!$E$5:$E$190=$B42)*Inputs!$F$5:$F$190*(((Inputs!$G$5:$G$190="moeda")+(Inputs!$G$5:$G$190="acoes"))*Inputs!$B$1+((Inputs!$G$5:$G$190&lt;&gt;"moeda")*(Inputs!$G$5:$G$190&lt;&gt;"acoes")))*INDEX(Inputs!$K$5:$AJ$190,0,MATCH(AC$2,Inputs!$K$4:$AJ$4,0)))))</f>
        <v>#N/A</v>
      </c>
      <c r="AD42" s="6" t="e">
        <f>IF(ISNA(MATCH(AD$2,Inputs!$K$4:$AJ$4,0)),NA(),IF(SUMPRODUCT((Inputs!$A$5:$A$190=$B42)*ISNUMBER(INDEX(Inputs!$K$5:$AJ$190,0,MATCH(AD$2,Inputs!$K$4:$AJ$4,0))))+SUMPRODUCT((Inputs!$C$5:$C$190=$B42)*ISNUMBER(INDEX(Inputs!$K$5:$AJ$190,0,MATCH(AD$2,Inputs!$K$4:$AJ$4,0))))+SUMPRODUCT((Inputs!$E$5:$E$190=$B42)*ISNUMBER(INDEX(Inputs!$K$5:$AJ$190,0,MATCH(AD$2,Inputs!$K$4:$AJ$4,0))))=0,NA(),SUMPRODUCT((Inputs!$A$5:$A$190=$B42)*Inputs!$B$5:$B$190*(((Inputs!$G$5:$G$190="moeda")+(Inputs!$G$5:$G$190="acoes"))*Inputs!$B$1+((Inputs!$G$5:$G$190&lt;&gt;"moeda")*(Inputs!$G$5:$G$190&lt;&gt;"acoes")))*INDEX(Inputs!$K$5:$AJ$190,0,MATCH(AD$2,Inputs!$K$4:$AJ$4,0)))+SUMPRODUCT((Inputs!$C$5:$C$190=$B42)*Inputs!$D$5:$D$190*(((Inputs!$G$5:$G$190="moeda")+(Inputs!$G$5:$G$190="acoes"))*Inputs!$B$1+((Inputs!$G$5:$G$190&lt;&gt;"moeda")*(Inputs!$G$5:$G$190&lt;&gt;"acoes")))*INDEX(Inputs!$K$5:$AJ$190,0,MATCH(AD$2,Inputs!$K$4:$AJ$4,0)))+SUMPRODUCT((Inputs!$E$5:$E$190=$B42)*Inputs!$F$5:$F$190*(((Inputs!$G$5:$G$190="moeda")+(Inputs!$G$5:$G$190="acoes"))*Inputs!$B$1+((Inputs!$G$5:$G$190&lt;&gt;"moeda")*(Inputs!$G$5:$G$190&lt;&gt;"acoes")))*INDEX(Inputs!$K$5:$AJ$190,0,MATCH(AD$2,Inputs!$K$4:$AJ$4,0)))))</f>
        <v>#N/A</v>
      </c>
      <c r="AE42" s="6" t="e">
        <f>IF(ISNA(MATCH(AE$2,Inputs!$K$4:$AJ$4,0)),NA(),IF(SUMPRODUCT((Inputs!$A$5:$A$190=$B42)*ISNUMBER(INDEX(Inputs!$K$5:$AJ$190,0,MATCH(AE$2,Inputs!$K$4:$AJ$4,0))))+SUMPRODUCT((Inputs!$C$5:$C$190=$B42)*ISNUMBER(INDEX(Inputs!$K$5:$AJ$190,0,MATCH(AE$2,Inputs!$K$4:$AJ$4,0))))+SUMPRODUCT((Inputs!$E$5:$E$190=$B42)*ISNUMBER(INDEX(Inputs!$K$5:$AJ$190,0,MATCH(AE$2,Inputs!$K$4:$AJ$4,0))))=0,NA(),SUMPRODUCT((Inputs!$A$5:$A$190=$B42)*Inputs!$B$5:$B$190*(((Inputs!$G$5:$G$190="moeda")+(Inputs!$G$5:$G$190="acoes"))*Inputs!$B$1+((Inputs!$G$5:$G$190&lt;&gt;"moeda")*(Inputs!$G$5:$G$190&lt;&gt;"acoes")))*INDEX(Inputs!$K$5:$AJ$190,0,MATCH(AE$2,Inputs!$K$4:$AJ$4,0)))+SUMPRODUCT((Inputs!$C$5:$C$190=$B42)*Inputs!$D$5:$D$190*(((Inputs!$G$5:$G$190="moeda")+(Inputs!$G$5:$G$190="acoes"))*Inputs!$B$1+((Inputs!$G$5:$G$190&lt;&gt;"moeda")*(Inputs!$G$5:$G$190&lt;&gt;"acoes")))*INDEX(Inputs!$K$5:$AJ$190,0,MATCH(AE$2,Inputs!$K$4:$AJ$4,0)))+SUMPRODUCT((Inputs!$E$5:$E$190=$B42)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42" s="6" t="e">
        <f>IF(ISNA(MATCH(AF$2,Inputs!$K$4:$AJ$4,0)),NA(),IF(SUMPRODUCT((Inputs!$A$5:$A$190=$B42)*ISNUMBER(INDEX(Inputs!$K$5:$AJ$190,0,MATCH(AF$2,Inputs!$K$4:$AJ$4,0))))+SUMPRODUCT((Inputs!$C$5:$C$190=$B42)*ISNUMBER(INDEX(Inputs!$K$5:$AJ$190,0,MATCH(AF$2,Inputs!$K$4:$AJ$4,0))))+SUMPRODUCT((Inputs!$E$5:$E$190=$B42)*ISNUMBER(INDEX(Inputs!$K$5:$AJ$190,0,MATCH(AF$2,Inputs!$K$4:$AJ$4,0))))=0,NA(),SUMPRODUCT((Inputs!$A$5:$A$190=$B42)*Inputs!$B$5:$B$190*(((Inputs!$G$5:$G$190="moeda")+(Inputs!$G$5:$G$190="acoes"))*Inputs!$B$1+((Inputs!$G$5:$G$190&lt;&gt;"moeda")*(Inputs!$G$5:$G$190&lt;&gt;"acoes")))*INDEX(Inputs!$K$5:$AJ$190,0,MATCH(AF$2,Inputs!$K$4:$AJ$4,0)))+SUMPRODUCT((Inputs!$C$5:$C$190=$B42)*Inputs!$D$5:$D$190*(((Inputs!$G$5:$G$190="moeda")+(Inputs!$G$5:$G$190="acoes"))*Inputs!$B$1+((Inputs!$G$5:$G$190&lt;&gt;"moeda")*(Inputs!$G$5:$G$190&lt;&gt;"acoes")))*INDEX(Inputs!$K$5:$AJ$190,0,MATCH(AF$2,Inputs!$K$4:$AJ$4,0)))+SUMPRODUCT((Inputs!$E$5:$E$190=$B42)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42" s="3" t="e">
        <f>AF42</f>
        <v>#N/A</v>
      </c>
      <c r="AH42" s="6" t="e">
        <f>IF(ISNA(MATCH(AH$2,Inputs!$K$4:$AJ$4,0)),NA(),IF(SUMPRODUCT((Inputs!$A$5:$A$190=$B42)*ISNUMBER(INDEX(Inputs!$K$5:$AJ$190,0,MATCH(AH$2,Inputs!$K$4:$AJ$4,0))))+SUMPRODUCT((Inputs!$C$5:$C$190=$B42)*ISNUMBER(INDEX(Inputs!$K$5:$AJ$190,0,MATCH(AH$2,Inputs!$K$4:$AJ$4,0))))+SUMPRODUCT((Inputs!$E$5:$E$190=$B42)*ISNUMBER(INDEX(Inputs!$K$5:$AJ$190,0,MATCH(AH$2,Inputs!$K$4:$AJ$4,0))))=0,NA(),SUMPRODUCT((Inputs!$A$5:$A$190=$B42)*Inputs!$B$5:$B$190*(((Inputs!$G$5:$G$190="moeda")+(Inputs!$G$5:$G$190="acoes"))*Inputs!$B$1+((Inputs!$G$5:$G$190&lt;&gt;"moeda")*(Inputs!$G$5:$G$190&lt;&gt;"acoes")))*INDEX(Inputs!$K$5:$AJ$190,0,MATCH(AH$2,Inputs!$K$4:$AJ$4,0)))+SUMPRODUCT((Inputs!$C$5:$C$190=$B42)*Inputs!$D$5:$D$190*(((Inputs!$G$5:$G$190="moeda")+(Inputs!$G$5:$G$190="acoes"))*Inputs!$B$1+((Inputs!$G$5:$G$190&lt;&gt;"moeda")*(Inputs!$G$5:$G$190&lt;&gt;"acoes")))*INDEX(Inputs!$K$5:$AJ$190,0,MATCH(AH$2,Inputs!$K$4:$AJ$4,0)))+SUMPRODUCT((Inputs!$E$5:$E$190=$B42)*Inputs!$F$5:$F$190*(((Inputs!$G$5:$G$190="moeda")+(Inputs!$G$5:$G$190="acoes"))*Inputs!$B$1+((Inputs!$G$5:$G$190&lt;&gt;"moeda")*(Inputs!$G$5:$G$190&lt;&gt;"acoes")))*INDEX(Inputs!$K$5:$AJ$190,0,MATCH(AH$2,Inputs!$K$4:$AJ$4,0)))))</f>
        <v>#N/A</v>
      </c>
      <c r="AI42" s="6" t="e">
        <f>IF(ISNA(MATCH(AI$2,Inputs!$K$4:$AJ$4,0)),NA(),IF(SUMPRODUCT((Inputs!$A$5:$A$190=$B42)*ISNUMBER(INDEX(Inputs!$K$5:$AJ$190,0,MATCH(AI$2,Inputs!$K$4:$AJ$4,0))))+SUMPRODUCT((Inputs!$C$5:$C$190=$B42)*ISNUMBER(INDEX(Inputs!$K$5:$AJ$190,0,MATCH(AI$2,Inputs!$K$4:$AJ$4,0))))+SUMPRODUCT((Inputs!$E$5:$E$190=$B42)*ISNUMBER(INDEX(Inputs!$K$5:$AJ$190,0,MATCH(AI$2,Inputs!$K$4:$AJ$4,0))))=0,NA(),SUMPRODUCT((Inputs!$A$5:$A$190=$B42)*Inputs!$B$5:$B$190*(((Inputs!$G$5:$G$190="moeda")+(Inputs!$G$5:$G$190="acoes"))*Inputs!$B$1+((Inputs!$G$5:$G$190&lt;&gt;"moeda")*(Inputs!$G$5:$G$190&lt;&gt;"acoes")))*INDEX(Inputs!$K$5:$AJ$190,0,MATCH(AI$2,Inputs!$K$4:$AJ$4,0)))+SUMPRODUCT((Inputs!$C$5:$C$190=$B42)*Inputs!$D$5:$D$190*(((Inputs!$G$5:$G$190="moeda")+(Inputs!$G$5:$G$190="acoes"))*Inputs!$B$1+((Inputs!$G$5:$G$190&lt;&gt;"moeda")*(Inputs!$G$5:$G$190&lt;&gt;"acoes")))*INDEX(Inputs!$K$5:$AJ$190,0,MATCH(AI$2,Inputs!$K$4:$AJ$4,0)))+SUMPRODUCT((Inputs!$E$5:$E$190=$B42)*Inputs!$F$5:$F$190*(((Inputs!$G$5:$G$190="moeda")+(Inputs!$G$5:$G$190="acoes"))*Inputs!$B$1+((Inputs!$G$5:$G$190&lt;&gt;"moeda")*(Inputs!$G$5:$G$190&lt;&gt;"acoes")))*INDEX(Inputs!$K$5:$AJ$190,0,MATCH(AI$2,Inputs!$K$4:$AJ$4,0)))))</f>
        <v>#N/A</v>
      </c>
      <c r="AJ42" s="6" t="e">
        <f>IF(ISNA(MATCH(AJ$2,Inputs!$K$4:$AJ$4,0)),NA(),IF(SUMPRODUCT((Inputs!$A$5:$A$190=$B42)*ISNUMBER(INDEX(Inputs!$K$5:$AJ$190,0,MATCH(AJ$2,Inputs!$K$4:$AJ$4,0))))+SUMPRODUCT((Inputs!$C$5:$C$190=$B42)*ISNUMBER(INDEX(Inputs!$K$5:$AJ$190,0,MATCH(AJ$2,Inputs!$K$4:$AJ$4,0))))+SUMPRODUCT((Inputs!$E$5:$E$190=$B42)*ISNUMBER(INDEX(Inputs!$K$5:$AJ$190,0,MATCH(AJ$2,Inputs!$K$4:$AJ$4,0))))=0,NA(),SUMPRODUCT((Inputs!$A$5:$A$190=$B42)*Inputs!$B$5:$B$190*(((Inputs!$G$5:$G$190="moeda")+(Inputs!$G$5:$G$190="acoes"))*Inputs!$B$1+((Inputs!$G$5:$G$190&lt;&gt;"moeda")*(Inputs!$G$5:$G$190&lt;&gt;"acoes")))*INDEX(Inputs!$K$5:$AJ$190,0,MATCH(AJ$2,Inputs!$K$4:$AJ$4,0)))+SUMPRODUCT((Inputs!$C$5:$C$190=$B42)*Inputs!$D$5:$D$190*(((Inputs!$G$5:$G$190="moeda")+(Inputs!$G$5:$G$190="acoes"))*Inputs!$B$1+((Inputs!$G$5:$G$190&lt;&gt;"moeda")*(Inputs!$G$5:$G$190&lt;&gt;"acoes")))*INDEX(Inputs!$K$5:$AJ$190,0,MATCH(AJ$2,Inputs!$K$4:$AJ$4,0)))+SUMPRODUCT((Inputs!$E$5:$E$190=$B42)*Inputs!$F$5:$F$190*(((Inputs!$G$5:$G$190="moeda")+(Inputs!$G$5:$G$190="acoes"))*Inputs!$B$1+((Inputs!$G$5:$G$190&lt;&gt;"moeda")*(Inputs!$G$5:$G$190&lt;&gt;"acoes")))*INDEX(Inputs!$K$5:$AJ$190,0,MATCH(AJ$2,Inputs!$K$4:$AJ$4,0)))))</f>
        <v>#N/A</v>
      </c>
      <c r="AK42" s="6" t="e">
        <f>IF(ISNA(MATCH(AK$2,Inputs!$K$4:$AJ$4,0)),NA(),IF(SUMPRODUCT((Inputs!$A$5:$A$190=$B42)*ISNUMBER(INDEX(Inputs!$K$5:$AJ$190,0,MATCH(AK$2,Inputs!$K$4:$AJ$4,0))))+SUMPRODUCT((Inputs!$C$5:$C$190=$B42)*ISNUMBER(INDEX(Inputs!$K$5:$AJ$190,0,MATCH(AK$2,Inputs!$K$4:$AJ$4,0))))+SUMPRODUCT((Inputs!$E$5:$E$190=$B42)*ISNUMBER(INDEX(Inputs!$K$5:$AJ$190,0,MATCH(AK$2,Inputs!$K$4:$AJ$4,0))))=0,NA(),SUMPRODUCT((Inputs!$A$5:$A$190=$B42)*Inputs!$B$5:$B$190*(((Inputs!$G$5:$G$190="moeda")+(Inputs!$G$5:$G$190="acoes"))*Inputs!$B$1+((Inputs!$G$5:$G$190&lt;&gt;"moeda")*(Inputs!$G$5:$G$190&lt;&gt;"acoes")))*INDEX(Inputs!$K$5:$AJ$190,0,MATCH(AK$2,Inputs!$K$4:$AJ$4,0)))+SUMPRODUCT((Inputs!$C$5:$C$190=$B42)*Inputs!$D$5:$D$190*(((Inputs!$G$5:$G$190="moeda")+(Inputs!$G$5:$G$190="acoes"))*Inputs!$B$1+((Inputs!$G$5:$G$190&lt;&gt;"moeda")*(Inputs!$G$5:$G$190&lt;&gt;"acoes")))*INDEX(Inputs!$K$5:$AJ$190,0,MATCH(AK$2,Inputs!$K$4:$AJ$4,0)))+SUMPRODUCT((Inputs!$E$5:$E$190=$B42)*Inputs!$F$5:$F$190*(((Inputs!$G$5:$G$190="moeda")+(Inputs!$G$5:$G$190="acoes"))*Inputs!$B$1+((Inputs!$G$5:$G$190&lt;&gt;"moeda")*(Inputs!$G$5:$G$190&lt;&gt;"acoes")))*INDEX(Inputs!$K$5:$AJ$190,0,MATCH(AK$2,Inputs!$K$4:$AJ$4,0)))))</f>
        <v>#N/A</v>
      </c>
      <c r="AL42" s="3" t="e">
        <f>AK42</f>
        <v>#N/A</v>
      </c>
    </row>
    <row r="43">
      <c r="B43" s="46" t="n">
        <v>37</v>
      </c>
      <c r="C43" s="24" t="inlineStr">
        <is>
          <t>Common Stock and APIC</t>
        </is>
      </c>
      <c r="D43" s="6">
        <f>IF(ISNA(MATCH(D$2,Inputs!$K$4:$AJ$4,0)),NA(),IF(SUMPRODUCT((Inputs!$A$5:$A$190=$B43)*ISNUMBER(INDEX(Inputs!$K$5:$AJ$190,0,MATCH(D$2,Inputs!$K$4:$AJ$4,0))))+SUMPRODUCT((Inputs!$C$5:$C$190=$B43)*ISNUMBER(INDEX(Inputs!$K$5:$AJ$190,0,MATCH(D$2,Inputs!$K$4:$AJ$4,0))))+SUMPRODUCT((Inputs!$E$5:$E$190=$B43)*ISNUMBER(INDEX(Inputs!$K$5:$AJ$190,0,MATCH(D$2,Inputs!$K$4:$AJ$4,0))))=0,NA(),SUMPRODUCT((Inputs!$A$5:$A$190=$B43)*Inputs!$B$5:$B$190*(((Inputs!$G$5:$G$190="moeda")+(Inputs!$G$5:$G$190="acoes"))*Inputs!$B$1+((Inputs!$G$5:$G$190&lt;&gt;"moeda")*(Inputs!$G$5:$G$190&lt;&gt;"acoes")))*INDEX(Inputs!$K$5:$AJ$190,0,MATCH(D$2,Inputs!$K$4:$AJ$4,0)))+SUMPRODUCT((Inputs!$C$5:$C$190=$B43)*Inputs!$D$5:$D$190*(((Inputs!$G$5:$G$190="moeda")+(Inputs!$G$5:$G$190="acoes"))*Inputs!$B$1+((Inputs!$G$5:$G$190&lt;&gt;"moeda")*(Inputs!$G$5:$G$190&lt;&gt;"acoes")))*INDEX(Inputs!$K$5:$AJ$190,0,MATCH(D$2,Inputs!$K$4:$AJ$4,0)))+SUMPRODUCT((Inputs!$E$5:$E$190=$B43)*Inputs!$F$5:$F$190*(((Inputs!$G$5:$G$190="moeda")+(Inputs!$G$5:$G$190="acoes"))*Inputs!$B$1+((Inputs!$G$5:$G$190&lt;&gt;"moeda")*(Inputs!$G$5:$G$190&lt;&gt;"acoes")))*INDEX(Inputs!$K$5:$AJ$190,0,MATCH(D$2,Inputs!$K$4:$AJ$4,0)))))</f>
        <v>2085.851</v>
      </c>
      <c r="E43" s="6">
        <f>IF(ISNA(MATCH(E$2,Inputs!$K$4:$AJ$4,0)),NA(),IF(SUMPRODUCT((Inputs!$A$5:$A$190=$B43)*ISNUMBER(INDEX(Inputs!$K$5:$AJ$190,0,MATCH(E$2,Inputs!$K$4:$AJ$4,0))))+SUMPRODUCT((Inputs!$C$5:$C$190=$B43)*ISNUMBER(INDEX(Inputs!$K$5:$AJ$190,0,MATCH(E$2,Inputs!$K$4:$AJ$4,0))))+SUMPRODUCT((Inputs!$E$5:$E$190=$B43)*ISNUMBER(INDEX(Inputs!$K$5:$AJ$190,0,MATCH(E$2,Inputs!$K$4:$AJ$4,0))))=0,NA(),SUMPRODUCT((Inputs!$A$5:$A$190=$B43)*Inputs!$B$5:$B$190*(((Inputs!$G$5:$G$190="moeda")+(Inputs!$G$5:$G$190="acoes"))*Inputs!$B$1+((Inputs!$G$5:$G$190&lt;&gt;"moeda")*(Inputs!$G$5:$G$190&lt;&gt;"acoes")))*INDEX(Inputs!$K$5:$AJ$190,0,MATCH(E$2,Inputs!$K$4:$AJ$4,0)))+SUMPRODUCT((Inputs!$C$5:$C$190=$B43)*Inputs!$D$5:$D$190*(((Inputs!$G$5:$G$190="moeda")+(Inputs!$G$5:$G$190="acoes"))*Inputs!$B$1+((Inputs!$G$5:$G$190&lt;&gt;"moeda")*(Inputs!$G$5:$G$190&lt;&gt;"acoes")))*INDEX(Inputs!$K$5:$AJ$190,0,MATCH(E$2,Inputs!$K$4:$AJ$4,0)))+SUMPRODUCT((Inputs!$E$5:$E$190=$B43)*Inputs!$F$5:$F$190*(((Inputs!$G$5:$G$190="moeda")+(Inputs!$G$5:$G$190="acoes"))*Inputs!$B$1+((Inputs!$G$5:$G$190&lt;&gt;"moeda")*(Inputs!$G$5:$G$190&lt;&gt;"acoes")))*INDEX(Inputs!$K$5:$AJ$190,0,MATCH(E$2,Inputs!$K$4:$AJ$4,0)))))</f>
        <v>2129.322</v>
      </c>
      <c r="F43" s="6">
        <f>IF(ISNA(MATCH(F$2,Inputs!$K$4:$AJ$4,0)),NA(),IF(SUMPRODUCT((Inputs!$A$5:$A$190=$B43)*ISNUMBER(INDEX(Inputs!$K$5:$AJ$190,0,MATCH(F$2,Inputs!$K$4:$AJ$4,0))))+SUMPRODUCT((Inputs!$C$5:$C$190=$B43)*ISNUMBER(INDEX(Inputs!$K$5:$AJ$190,0,MATCH(F$2,Inputs!$K$4:$AJ$4,0))))+SUMPRODUCT((Inputs!$E$5:$E$190=$B43)*ISNUMBER(INDEX(Inputs!$K$5:$AJ$190,0,MATCH(F$2,Inputs!$K$4:$AJ$4,0))))=0,NA(),SUMPRODUCT((Inputs!$A$5:$A$190=$B43)*Inputs!$B$5:$B$190*(((Inputs!$G$5:$G$190="moeda")+(Inputs!$G$5:$G$190="acoes"))*Inputs!$B$1+((Inputs!$G$5:$G$190&lt;&gt;"moeda")*(Inputs!$G$5:$G$190&lt;&gt;"acoes")))*INDEX(Inputs!$K$5:$AJ$190,0,MATCH(F$2,Inputs!$K$4:$AJ$4,0)))+SUMPRODUCT((Inputs!$C$5:$C$190=$B43)*Inputs!$D$5:$D$190*(((Inputs!$G$5:$G$190="moeda")+(Inputs!$G$5:$G$190="acoes"))*Inputs!$B$1+((Inputs!$G$5:$G$190&lt;&gt;"moeda")*(Inputs!$G$5:$G$190&lt;&gt;"acoes")))*INDEX(Inputs!$K$5:$AJ$190,0,MATCH(F$2,Inputs!$K$4:$AJ$4,0)))+SUMPRODUCT((Inputs!$E$5:$E$190=$B43)*Inputs!$F$5:$F$190*(((Inputs!$G$5:$G$190="moeda")+(Inputs!$G$5:$G$190="acoes"))*Inputs!$B$1+((Inputs!$G$5:$G$190&lt;&gt;"moeda")*(Inputs!$G$5:$G$190&lt;&gt;"acoes")))*INDEX(Inputs!$K$5:$AJ$190,0,MATCH(F$2,Inputs!$K$4:$AJ$4,0)))))</f>
        <v>2700.107</v>
      </c>
      <c r="G43" s="6">
        <f>IF(ISNA(MATCH(G$2,Inputs!$K$4:$AJ$4,0)),NA(),IF(SUMPRODUCT((Inputs!$A$5:$A$190=$B43)*ISNUMBER(INDEX(Inputs!$K$5:$AJ$190,0,MATCH(G$2,Inputs!$K$4:$AJ$4,0))))+SUMPRODUCT((Inputs!$C$5:$C$190=$B43)*ISNUMBER(INDEX(Inputs!$K$5:$AJ$190,0,MATCH(G$2,Inputs!$K$4:$AJ$4,0))))+SUMPRODUCT((Inputs!$E$5:$E$190=$B43)*ISNUMBER(INDEX(Inputs!$K$5:$AJ$190,0,MATCH(G$2,Inputs!$K$4:$AJ$4,0))))=0,NA(),SUMPRODUCT((Inputs!$A$5:$A$190=$B43)*Inputs!$B$5:$B$190*(((Inputs!$G$5:$G$190="moeda")+(Inputs!$G$5:$G$190="acoes"))*Inputs!$B$1+((Inputs!$G$5:$G$190&lt;&gt;"moeda")*(Inputs!$G$5:$G$190&lt;&gt;"acoes")))*INDEX(Inputs!$K$5:$AJ$190,0,MATCH(G$2,Inputs!$K$4:$AJ$4,0)))+SUMPRODUCT((Inputs!$C$5:$C$190=$B43)*Inputs!$D$5:$D$190*(((Inputs!$G$5:$G$190="moeda")+(Inputs!$G$5:$G$190="acoes"))*Inputs!$B$1+((Inputs!$G$5:$G$190&lt;&gt;"moeda")*(Inputs!$G$5:$G$190&lt;&gt;"acoes")))*INDEX(Inputs!$K$5:$AJ$190,0,MATCH(G$2,Inputs!$K$4:$AJ$4,0)))+SUMPRODUCT((Inputs!$E$5:$E$190=$B43)*Inputs!$F$5:$F$190*(((Inputs!$G$5:$G$190="moeda")+(Inputs!$G$5:$G$190="acoes"))*Inputs!$B$1+((Inputs!$G$5:$G$190&lt;&gt;"moeda")*(Inputs!$G$5:$G$190&lt;&gt;"acoes")))*INDEX(Inputs!$K$5:$AJ$190,0,MATCH(G$2,Inputs!$K$4:$AJ$4,0)))))</f>
        <v>2797.673</v>
      </c>
      <c r="H43" s="3">
        <f>G43</f>
        <v>2797.673</v>
      </c>
      <c r="I43" s="6">
        <f>IF(ISNA(MATCH(I$2,Inputs!$K$4:$AJ$4,0)),NA(),IF(SUMPRODUCT((Inputs!$A$5:$A$190=$B43)*ISNUMBER(INDEX(Inputs!$K$5:$AJ$190,0,MATCH(I$2,Inputs!$K$4:$AJ$4,0))))+SUMPRODUCT((Inputs!$C$5:$C$190=$B43)*ISNUMBER(INDEX(Inputs!$K$5:$AJ$190,0,MATCH(I$2,Inputs!$K$4:$AJ$4,0))))+SUMPRODUCT((Inputs!$E$5:$E$190=$B43)*ISNUMBER(INDEX(Inputs!$K$5:$AJ$190,0,MATCH(I$2,Inputs!$K$4:$AJ$4,0))))=0,NA(),SUMPRODUCT((Inputs!$A$5:$A$190=$B43)*Inputs!$B$5:$B$190*(((Inputs!$G$5:$G$190="moeda")+(Inputs!$G$5:$G$190="acoes"))*Inputs!$B$1+((Inputs!$G$5:$G$190&lt;&gt;"moeda")*(Inputs!$G$5:$G$190&lt;&gt;"acoes")))*INDEX(Inputs!$K$5:$AJ$190,0,MATCH(I$2,Inputs!$K$4:$AJ$4,0)))+SUMPRODUCT((Inputs!$C$5:$C$190=$B43)*Inputs!$D$5:$D$190*(((Inputs!$G$5:$G$190="moeda")+(Inputs!$G$5:$G$190="acoes"))*Inputs!$B$1+((Inputs!$G$5:$G$190&lt;&gt;"moeda")*(Inputs!$G$5:$G$190&lt;&gt;"acoes")))*INDEX(Inputs!$K$5:$AJ$190,0,MATCH(I$2,Inputs!$K$4:$AJ$4,0)))+SUMPRODUCT((Inputs!$E$5:$E$190=$B43)*Inputs!$F$5:$F$190*(((Inputs!$G$5:$G$190="moeda")+(Inputs!$G$5:$G$190="acoes"))*Inputs!$B$1+((Inputs!$G$5:$G$190&lt;&gt;"moeda")*(Inputs!$G$5:$G$190&lt;&gt;"acoes")))*INDEX(Inputs!$K$5:$AJ$190,0,MATCH(I$2,Inputs!$K$4:$AJ$4,0)))))</f>
        <v>2750.212</v>
      </c>
      <c r="J43" s="6">
        <f>IF(ISNA(MATCH(J$2,Inputs!$K$4:$AJ$4,0)),NA(),IF(SUMPRODUCT((Inputs!$A$5:$A$190=$B43)*ISNUMBER(INDEX(Inputs!$K$5:$AJ$190,0,MATCH(J$2,Inputs!$K$4:$AJ$4,0))))+SUMPRODUCT((Inputs!$C$5:$C$190=$B43)*ISNUMBER(INDEX(Inputs!$K$5:$AJ$190,0,MATCH(J$2,Inputs!$K$4:$AJ$4,0))))+SUMPRODUCT((Inputs!$E$5:$E$190=$B43)*ISNUMBER(INDEX(Inputs!$K$5:$AJ$190,0,MATCH(J$2,Inputs!$K$4:$AJ$4,0))))=0,NA(),SUMPRODUCT((Inputs!$A$5:$A$190=$B43)*Inputs!$B$5:$B$190*(((Inputs!$G$5:$G$190="moeda")+(Inputs!$G$5:$G$190="acoes"))*Inputs!$B$1+((Inputs!$G$5:$G$190&lt;&gt;"moeda")*(Inputs!$G$5:$G$190&lt;&gt;"acoes")))*INDEX(Inputs!$K$5:$AJ$190,0,MATCH(J$2,Inputs!$K$4:$AJ$4,0)))+SUMPRODUCT((Inputs!$C$5:$C$190=$B43)*Inputs!$D$5:$D$190*(((Inputs!$G$5:$G$190="moeda")+(Inputs!$G$5:$G$190="acoes"))*Inputs!$B$1+((Inputs!$G$5:$G$190&lt;&gt;"moeda")*(Inputs!$G$5:$G$190&lt;&gt;"acoes")))*INDEX(Inputs!$K$5:$AJ$190,0,MATCH(J$2,Inputs!$K$4:$AJ$4,0)))+SUMPRODUCT((Inputs!$E$5:$E$190=$B43)*Inputs!$F$5:$F$190*(((Inputs!$G$5:$G$190="moeda")+(Inputs!$G$5:$G$190="acoes"))*Inputs!$B$1+((Inputs!$G$5:$G$190&lt;&gt;"moeda")*(Inputs!$G$5:$G$190&lt;&gt;"acoes")))*INDEX(Inputs!$K$5:$AJ$190,0,MATCH(J$2,Inputs!$K$4:$AJ$4,0)))))</f>
        <v>2742.18</v>
      </c>
      <c r="K43" s="6">
        <f>IF(ISNA(MATCH(K$2,Inputs!$K$4:$AJ$4,0)),NA(),IF(SUMPRODUCT((Inputs!$A$5:$A$190=$B43)*ISNUMBER(INDEX(Inputs!$K$5:$AJ$190,0,MATCH(K$2,Inputs!$K$4:$AJ$4,0))))+SUMPRODUCT((Inputs!$C$5:$C$190=$B43)*ISNUMBER(INDEX(Inputs!$K$5:$AJ$190,0,MATCH(K$2,Inputs!$K$4:$AJ$4,0))))+SUMPRODUCT((Inputs!$E$5:$E$190=$B43)*ISNUMBER(INDEX(Inputs!$K$5:$AJ$190,0,MATCH(K$2,Inputs!$K$4:$AJ$4,0))))=0,NA(),SUMPRODUCT((Inputs!$A$5:$A$190=$B43)*Inputs!$B$5:$B$190*(((Inputs!$G$5:$G$190="moeda")+(Inputs!$G$5:$G$190="acoes"))*Inputs!$B$1+((Inputs!$G$5:$G$190&lt;&gt;"moeda")*(Inputs!$G$5:$G$190&lt;&gt;"acoes")))*INDEX(Inputs!$K$5:$AJ$190,0,MATCH(K$2,Inputs!$K$4:$AJ$4,0)))+SUMPRODUCT((Inputs!$C$5:$C$190=$B43)*Inputs!$D$5:$D$190*(((Inputs!$G$5:$G$190="moeda")+(Inputs!$G$5:$G$190="acoes"))*Inputs!$B$1+((Inputs!$G$5:$G$190&lt;&gt;"moeda")*(Inputs!$G$5:$G$190&lt;&gt;"acoes")))*INDEX(Inputs!$K$5:$AJ$190,0,MATCH(K$2,Inputs!$K$4:$AJ$4,0)))+SUMPRODUCT((Inputs!$E$5:$E$190=$B43)*Inputs!$F$5:$F$190*(((Inputs!$G$5:$G$190="moeda")+(Inputs!$G$5:$G$190="acoes"))*Inputs!$B$1+((Inputs!$G$5:$G$190&lt;&gt;"moeda")*(Inputs!$G$5:$G$190&lt;&gt;"acoes")))*INDEX(Inputs!$K$5:$AJ$190,0,MATCH(K$2,Inputs!$K$4:$AJ$4,0)))))</f>
        <v>3135.068</v>
      </c>
      <c r="L43" s="6">
        <f>IF(ISNA(MATCH(L$2,Inputs!$K$4:$AJ$4,0)),NA(),IF(SUMPRODUCT((Inputs!$A$5:$A$190=$B43)*ISNUMBER(INDEX(Inputs!$K$5:$AJ$190,0,MATCH(L$2,Inputs!$K$4:$AJ$4,0))))+SUMPRODUCT((Inputs!$C$5:$C$190=$B43)*ISNUMBER(INDEX(Inputs!$K$5:$AJ$190,0,MATCH(L$2,Inputs!$K$4:$AJ$4,0))))+SUMPRODUCT((Inputs!$E$5:$E$190=$B43)*ISNUMBER(INDEX(Inputs!$K$5:$AJ$190,0,MATCH(L$2,Inputs!$K$4:$AJ$4,0))))=0,NA(),SUMPRODUCT((Inputs!$A$5:$A$190=$B43)*Inputs!$B$5:$B$190*(((Inputs!$G$5:$G$190="moeda")+(Inputs!$G$5:$G$190="acoes"))*Inputs!$B$1+((Inputs!$G$5:$G$190&lt;&gt;"moeda")*(Inputs!$G$5:$G$190&lt;&gt;"acoes")))*INDEX(Inputs!$K$5:$AJ$190,0,MATCH(L$2,Inputs!$K$4:$AJ$4,0)))+SUMPRODUCT((Inputs!$C$5:$C$190=$B43)*Inputs!$D$5:$D$190*(((Inputs!$G$5:$G$190="moeda")+(Inputs!$G$5:$G$190="acoes"))*Inputs!$B$1+((Inputs!$G$5:$G$190&lt;&gt;"moeda")*(Inputs!$G$5:$G$190&lt;&gt;"acoes")))*INDEX(Inputs!$K$5:$AJ$190,0,MATCH(L$2,Inputs!$K$4:$AJ$4,0)))+SUMPRODUCT((Inputs!$E$5:$E$190=$B43)*Inputs!$F$5:$F$190*(((Inputs!$G$5:$G$190="moeda")+(Inputs!$G$5:$G$190="acoes"))*Inputs!$B$1+((Inputs!$G$5:$G$190&lt;&gt;"moeda")*(Inputs!$G$5:$G$190&lt;&gt;"acoes")))*INDEX(Inputs!$K$5:$AJ$190,0,MATCH(L$2,Inputs!$K$4:$AJ$4,0)))))</f>
        <v>3077.551</v>
      </c>
      <c r="M43" s="3">
        <f>L43</f>
        <v>3077.551</v>
      </c>
      <c r="N43" s="6">
        <f>IF(ISNA(MATCH(N$2,Inputs!$K$4:$AJ$4,0)),NA(),IF(SUMPRODUCT((Inputs!$A$5:$A$190=$B43)*ISNUMBER(INDEX(Inputs!$K$5:$AJ$190,0,MATCH(N$2,Inputs!$K$4:$AJ$4,0))))+SUMPRODUCT((Inputs!$C$5:$C$190=$B43)*ISNUMBER(INDEX(Inputs!$K$5:$AJ$190,0,MATCH(N$2,Inputs!$K$4:$AJ$4,0))))+SUMPRODUCT((Inputs!$E$5:$E$190=$B43)*ISNUMBER(INDEX(Inputs!$K$5:$AJ$190,0,MATCH(N$2,Inputs!$K$4:$AJ$4,0))))=0,NA(),SUMPRODUCT((Inputs!$A$5:$A$190=$B43)*Inputs!$B$5:$B$190*(((Inputs!$G$5:$G$190="moeda")+(Inputs!$G$5:$G$190="acoes"))*Inputs!$B$1+((Inputs!$G$5:$G$190&lt;&gt;"moeda")*(Inputs!$G$5:$G$190&lt;&gt;"acoes")))*INDEX(Inputs!$K$5:$AJ$190,0,MATCH(N$2,Inputs!$K$4:$AJ$4,0)))+SUMPRODUCT((Inputs!$C$5:$C$190=$B43)*Inputs!$D$5:$D$190*(((Inputs!$G$5:$G$190="moeda")+(Inputs!$G$5:$G$190="acoes"))*Inputs!$B$1+((Inputs!$G$5:$G$190&lt;&gt;"moeda")*(Inputs!$G$5:$G$190&lt;&gt;"acoes")))*INDEX(Inputs!$K$5:$AJ$190,0,MATCH(N$2,Inputs!$K$4:$AJ$4,0)))+SUMPRODUCT((Inputs!$E$5:$E$190=$B43)*Inputs!$F$5:$F$190*(((Inputs!$G$5:$G$190="moeda")+(Inputs!$G$5:$G$190="acoes"))*Inputs!$B$1+((Inputs!$G$5:$G$190&lt;&gt;"moeda")*(Inputs!$G$5:$G$190&lt;&gt;"acoes")))*INDEX(Inputs!$K$5:$AJ$190,0,MATCH(N$2,Inputs!$K$4:$AJ$4,0)))))</f>
        <v>3481.279081264</v>
      </c>
      <c r="O43" s="6">
        <f>IF(ISNA(MATCH(O$2,Inputs!$K$4:$AJ$4,0)),NA(),IF(SUMPRODUCT((Inputs!$A$5:$A$190=$B43)*ISNUMBER(INDEX(Inputs!$K$5:$AJ$190,0,MATCH(O$2,Inputs!$K$4:$AJ$4,0))))+SUMPRODUCT((Inputs!$C$5:$C$190=$B43)*ISNUMBER(INDEX(Inputs!$K$5:$AJ$190,0,MATCH(O$2,Inputs!$K$4:$AJ$4,0))))+SUMPRODUCT((Inputs!$E$5:$E$190=$B43)*ISNUMBER(INDEX(Inputs!$K$5:$AJ$190,0,MATCH(O$2,Inputs!$K$4:$AJ$4,0))))=0,NA(),SUMPRODUCT((Inputs!$A$5:$A$190=$B43)*Inputs!$B$5:$B$190*(((Inputs!$G$5:$G$190="moeda")+(Inputs!$G$5:$G$190="acoes"))*Inputs!$B$1+((Inputs!$G$5:$G$190&lt;&gt;"moeda")*(Inputs!$G$5:$G$190&lt;&gt;"acoes")))*INDEX(Inputs!$K$5:$AJ$190,0,MATCH(O$2,Inputs!$K$4:$AJ$4,0)))+SUMPRODUCT((Inputs!$C$5:$C$190=$B43)*Inputs!$D$5:$D$190*(((Inputs!$G$5:$G$190="moeda")+(Inputs!$G$5:$G$190="acoes"))*Inputs!$B$1+((Inputs!$G$5:$G$190&lt;&gt;"moeda")*(Inputs!$G$5:$G$190&lt;&gt;"acoes")))*INDEX(Inputs!$K$5:$AJ$190,0,MATCH(O$2,Inputs!$K$4:$AJ$4,0)))+SUMPRODUCT((Inputs!$E$5:$E$190=$B43)*Inputs!$F$5:$F$190*(((Inputs!$G$5:$G$190="moeda")+(Inputs!$G$5:$G$190="acoes"))*Inputs!$B$1+((Inputs!$G$5:$G$190&lt;&gt;"moeda")*(Inputs!$G$5:$G$190&lt;&gt;"acoes")))*INDEX(Inputs!$K$5:$AJ$190,0,MATCH(O$2,Inputs!$K$4:$AJ$4,0)))))</f>
        <v>3481.279081264</v>
      </c>
      <c r="P43" s="6">
        <f>IF(ISNA(MATCH(P$2,Inputs!$K$4:$AJ$4,0)),NA(),IF(SUMPRODUCT((Inputs!$A$5:$A$190=$B43)*ISNUMBER(INDEX(Inputs!$K$5:$AJ$190,0,MATCH(P$2,Inputs!$K$4:$AJ$4,0))))+SUMPRODUCT((Inputs!$C$5:$C$190=$B43)*ISNUMBER(INDEX(Inputs!$K$5:$AJ$190,0,MATCH(P$2,Inputs!$K$4:$AJ$4,0))))+SUMPRODUCT((Inputs!$E$5:$E$190=$B43)*ISNUMBER(INDEX(Inputs!$K$5:$AJ$190,0,MATCH(P$2,Inputs!$K$4:$AJ$4,0))))=0,NA(),SUMPRODUCT((Inputs!$A$5:$A$190=$B43)*Inputs!$B$5:$B$190*(((Inputs!$G$5:$G$190="moeda")+(Inputs!$G$5:$G$190="acoes"))*Inputs!$B$1+((Inputs!$G$5:$G$190&lt;&gt;"moeda")*(Inputs!$G$5:$G$190&lt;&gt;"acoes")))*INDEX(Inputs!$K$5:$AJ$190,0,MATCH(P$2,Inputs!$K$4:$AJ$4,0)))+SUMPRODUCT((Inputs!$C$5:$C$190=$B43)*Inputs!$D$5:$D$190*(((Inputs!$G$5:$G$190="moeda")+(Inputs!$G$5:$G$190="acoes"))*Inputs!$B$1+((Inputs!$G$5:$G$190&lt;&gt;"moeda")*(Inputs!$G$5:$G$190&lt;&gt;"acoes")))*INDEX(Inputs!$K$5:$AJ$190,0,MATCH(P$2,Inputs!$K$4:$AJ$4,0)))+SUMPRODUCT((Inputs!$E$5:$E$190=$B43)*Inputs!$F$5:$F$190*(((Inputs!$G$5:$G$190="moeda")+(Inputs!$G$5:$G$190="acoes"))*Inputs!$B$1+((Inputs!$G$5:$G$190&lt;&gt;"moeda")*(Inputs!$G$5:$G$190&lt;&gt;"acoes")))*INDEX(Inputs!$K$5:$AJ$190,0,MATCH(P$2,Inputs!$K$4:$AJ$4,0)))))</f>
        <v>3427.221941174</v>
      </c>
      <c r="Q43" s="6">
        <f>IF(ISNA(MATCH(Q$2,Inputs!$K$4:$AJ$4,0)),NA(),IF(SUMPRODUCT((Inputs!$A$5:$A$190=$B43)*ISNUMBER(INDEX(Inputs!$K$5:$AJ$190,0,MATCH(Q$2,Inputs!$K$4:$AJ$4,0))))+SUMPRODUCT((Inputs!$C$5:$C$190=$B43)*ISNUMBER(INDEX(Inputs!$K$5:$AJ$190,0,MATCH(Q$2,Inputs!$K$4:$AJ$4,0))))+SUMPRODUCT((Inputs!$E$5:$E$190=$B43)*ISNUMBER(INDEX(Inputs!$K$5:$AJ$190,0,MATCH(Q$2,Inputs!$K$4:$AJ$4,0))))=0,NA(),SUMPRODUCT((Inputs!$A$5:$A$190=$B43)*Inputs!$B$5:$B$190*(((Inputs!$G$5:$G$190="moeda")+(Inputs!$G$5:$G$190="acoes"))*Inputs!$B$1+((Inputs!$G$5:$G$190&lt;&gt;"moeda")*(Inputs!$G$5:$G$190&lt;&gt;"acoes")))*INDEX(Inputs!$K$5:$AJ$190,0,MATCH(Q$2,Inputs!$K$4:$AJ$4,0)))+SUMPRODUCT((Inputs!$C$5:$C$190=$B43)*Inputs!$D$5:$D$190*(((Inputs!$G$5:$G$190="moeda")+(Inputs!$G$5:$G$190="acoes"))*Inputs!$B$1+((Inputs!$G$5:$G$190&lt;&gt;"moeda")*(Inputs!$G$5:$G$190&lt;&gt;"acoes")))*INDEX(Inputs!$K$5:$AJ$190,0,MATCH(Q$2,Inputs!$K$4:$AJ$4,0)))+SUMPRODUCT((Inputs!$E$5:$E$190=$B43)*Inputs!$F$5:$F$190*(((Inputs!$G$5:$G$190="moeda")+(Inputs!$G$5:$G$190="acoes"))*Inputs!$B$1+((Inputs!$G$5:$G$190&lt;&gt;"moeda")*(Inputs!$G$5:$G$190&lt;&gt;"acoes")))*INDEX(Inputs!$K$5:$AJ$190,0,MATCH(Q$2,Inputs!$K$4:$AJ$4,0)))))</f>
        <v>3426.629393914</v>
      </c>
      <c r="R43" s="3">
        <f>Q43</f>
        <v>3426.629393914</v>
      </c>
      <c r="S43" s="6">
        <f>IF(ISNA(MATCH(S$2,Inputs!$K$4:$AJ$4,0)),NA(),IF(SUMPRODUCT((Inputs!$A$5:$A$190=$B43)*ISNUMBER(INDEX(Inputs!$K$5:$AJ$190,0,MATCH(S$2,Inputs!$K$4:$AJ$4,0))))+SUMPRODUCT((Inputs!$C$5:$C$190=$B43)*ISNUMBER(INDEX(Inputs!$K$5:$AJ$190,0,MATCH(S$2,Inputs!$K$4:$AJ$4,0))))+SUMPRODUCT((Inputs!$E$5:$E$190=$B43)*ISNUMBER(INDEX(Inputs!$K$5:$AJ$190,0,MATCH(S$2,Inputs!$K$4:$AJ$4,0))))=0,NA(),SUMPRODUCT((Inputs!$A$5:$A$190=$B43)*Inputs!$B$5:$B$190*(((Inputs!$G$5:$G$190="moeda")+(Inputs!$G$5:$G$190="acoes"))*Inputs!$B$1+((Inputs!$G$5:$G$190&lt;&gt;"moeda")*(Inputs!$G$5:$G$190&lt;&gt;"acoes")))*INDEX(Inputs!$K$5:$AJ$190,0,MATCH(S$2,Inputs!$K$4:$AJ$4,0)))+SUMPRODUCT((Inputs!$C$5:$C$190=$B43)*Inputs!$D$5:$D$190*(((Inputs!$G$5:$G$190="moeda")+(Inputs!$G$5:$G$190="acoes"))*Inputs!$B$1+((Inputs!$G$5:$G$190&lt;&gt;"moeda")*(Inputs!$G$5:$G$190&lt;&gt;"acoes")))*INDEX(Inputs!$K$5:$AJ$190,0,MATCH(S$2,Inputs!$K$4:$AJ$4,0)))+SUMPRODUCT((Inputs!$E$5:$E$190=$B43)*Inputs!$F$5:$F$190*(((Inputs!$G$5:$G$190="moeda")+(Inputs!$G$5:$G$190="acoes"))*Inputs!$B$1+((Inputs!$G$5:$G$190&lt;&gt;"moeda")*(Inputs!$G$5:$G$190&lt;&gt;"acoes")))*INDEX(Inputs!$K$5:$AJ$190,0,MATCH(S$2,Inputs!$K$4:$AJ$4,0)))))</f>
        <v>3279.870633084</v>
      </c>
      <c r="T43" s="6">
        <f>IF(ISNA(MATCH(T$2,Inputs!$K$4:$AJ$4,0)),NA(),IF(SUMPRODUCT((Inputs!$A$5:$A$190=$B43)*ISNUMBER(INDEX(Inputs!$K$5:$AJ$190,0,MATCH(T$2,Inputs!$K$4:$AJ$4,0))))+SUMPRODUCT((Inputs!$C$5:$C$190=$B43)*ISNUMBER(INDEX(Inputs!$K$5:$AJ$190,0,MATCH(T$2,Inputs!$K$4:$AJ$4,0))))+SUMPRODUCT((Inputs!$E$5:$E$190=$B43)*ISNUMBER(INDEX(Inputs!$K$5:$AJ$190,0,MATCH(T$2,Inputs!$K$4:$AJ$4,0))))=0,NA(),SUMPRODUCT((Inputs!$A$5:$A$190=$B43)*Inputs!$B$5:$B$190*(((Inputs!$G$5:$G$190="moeda")+(Inputs!$G$5:$G$190="acoes"))*Inputs!$B$1+((Inputs!$G$5:$G$190&lt;&gt;"moeda")*(Inputs!$G$5:$G$190&lt;&gt;"acoes")))*INDEX(Inputs!$K$5:$AJ$190,0,MATCH(T$2,Inputs!$K$4:$AJ$4,0)))+SUMPRODUCT((Inputs!$C$5:$C$190=$B43)*Inputs!$D$5:$D$190*(((Inputs!$G$5:$G$190="moeda")+(Inputs!$G$5:$G$190="acoes"))*Inputs!$B$1+((Inputs!$G$5:$G$190&lt;&gt;"moeda")*(Inputs!$G$5:$G$190&lt;&gt;"acoes")))*INDEX(Inputs!$K$5:$AJ$190,0,MATCH(T$2,Inputs!$K$4:$AJ$4,0)))+SUMPRODUCT((Inputs!$E$5:$E$190=$B43)*Inputs!$F$5:$F$190*(((Inputs!$G$5:$G$190="moeda")+(Inputs!$G$5:$G$190="acoes"))*Inputs!$B$1+((Inputs!$G$5:$G$190&lt;&gt;"moeda")*(Inputs!$G$5:$G$190&lt;&gt;"acoes")))*INDEX(Inputs!$K$5:$AJ$190,0,MATCH(T$2,Inputs!$K$4:$AJ$4,0)))))</f>
        <v>3278.486599124</v>
      </c>
      <c r="U43" s="6">
        <f>IF(ISNA(MATCH(U$2,Inputs!$K$4:$AJ$4,0)),NA(),IF(SUMPRODUCT((Inputs!$A$5:$A$190=$B43)*ISNUMBER(INDEX(Inputs!$K$5:$AJ$190,0,MATCH(U$2,Inputs!$K$4:$AJ$4,0))))+SUMPRODUCT((Inputs!$C$5:$C$190=$B43)*ISNUMBER(INDEX(Inputs!$K$5:$AJ$190,0,MATCH(U$2,Inputs!$K$4:$AJ$4,0))))+SUMPRODUCT((Inputs!$E$5:$E$190=$B43)*ISNUMBER(INDEX(Inputs!$K$5:$AJ$190,0,MATCH(U$2,Inputs!$K$4:$AJ$4,0))))=0,NA(),SUMPRODUCT((Inputs!$A$5:$A$190=$B43)*Inputs!$B$5:$B$190*(((Inputs!$G$5:$G$190="moeda")+(Inputs!$G$5:$G$190="acoes"))*Inputs!$B$1+((Inputs!$G$5:$G$190&lt;&gt;"moeda")*(Inputs!$G$5:$G$190&lt;&gt;"acoes")))*INDEX(Inputs!$K$5:$AJ$190,0,MATCH(U$2,Inputs!$K$4:$AJ$4,0)))+SUMPRODUCT((Inputs!$C$5:$C$190=$B43)*Inputs!$D$5:$D$190*(((Inputs!$G$5:$G$190="moeda")+(Inputs!$G$5:$G$190="acoes"))*Inputs!$B$1+((Inputs!$G$5:$G$190&lt;&gt;"moeda")*(Inputs!$G$5:$G$190&lt;&gt;"acoes")))*INDEX(Inputs!$K$5:$AJ$190,0,MATCH(U$2,Inputs!$K$4:$AJ$4,0)))+SUMPRODUCT((Inputs!$E$5:$E$190=$B43)*Inputs!$F$5:$F$190*(((Inputs!$G$5:$G$190="moeda")+(Inputs!$G$5:$G$190="acoes"))*Inputs!$B$1+((Inputs!$G$5:$G$190&lt;&gt;"moeda")*(Inputs!$G$5:$G$190&lt;&gt;"acoes")))*INDEX(Inputs!$K$5:$AJ$190,0,MATCH(U$2,Inputs!$K$4:$AJ$4,0)))))</f>
        <v>3277.306809334</v>
      </c>
      <c r="V43" s="6">
        <f>IF(ISNA(MATCH(V$2,Inputs!$K$4:$AJ$4,0)),NA(),IF(SUMPRODUCT((Inputs!$A$5:$A$190=$B43)*ISNUMBER(INDEX(Inputs!$K$5:$AJ$190,0,MATCH(V$2,Inputs!$K$4:$AJ$4,0))))+SUMPRODUCT((Inputs!$C$5:$C$190=$B43)*ISNUMBER(INDEX(Inputs!$K$5:$AJ$190,0,MATCH(V$2,Inputs!$K$4:$AJ$4,0))))+SUMPRODUCT((Inputs!$E$5:$E$190=$B43)*ISNUMBER(INDEX(Inputs!$K$5:$AJ$190,0,MATCH(V$2,Inputs!$K$4:$AJ$4,0))))=0,NA(),SUMPRODUCT((Inputs!$A$5:$A$190=$B43)*Inputs!$B$5:$B$190*(((Inputs!$G$5:$G$190="moeda")+(Inputs!$G$5:$G$190="acoes"))*Inputs!$B$1+((Inputs!$G$5:$G$190&lt;&gt;"moeda")*(Inputs!$G$5:$G$190&lt;&gt;"acoes")))*INDEX(Inputs!$K$5:$AJ$190,0,MATCH(V$2,Inputs!$K$4:$AJ$4,0)))+SUMPRODUCT((Inputs!$C$5:$C$190=$B43)*Inputs!$D$5:$D$190*(((Inputs!$G$5:$G$190="moeda")+(Inputs!$G$5:$G$190="acoes"))*Inputs!$B$1+((Inputs!$G$5:$G$190&lt;&gt;"moeda")*(Inputs!$G$5:$G$190&lt;&gt;"acoes")))*INDEX(Inputs!$K$5:$AJ$190,0,MATCH(V$2,Inputs!$K$4:$AJ$4,0)))+SUMPRODUCT((Inputs!$E$5:$E$190=$B43)*Inputs!$F$5:$F$190*(((Inputs!$G$5:$G$190="moeda")+(Inputs!$G$5:$G$190="acoes"))*Inputs!$B$1+((Inputs!$G$5:$G$190&lt;&gt;"moeda")*(Inputs!$G$5:$G$190&lt;&gt;"acoes")))*INDEX(Inputs!$K$5:$AJ$190,0,MATCH(V$2,Inputs!$K$4:$AJ$4,0)))))</f>
        <v>3096.41769985</v>
      </c>
      <c r="W43" s="3">
        <f>V43</f>
        <v>3096.41769985</v>
      </c>
      <c r="X43" s="6">
        <f>IF(ISNA(MATCH(X$2,Inputs!$K$4:$AJ$4,0)),NA(),IF(SUMPRODUCT((Inputs!$A$5:$A$190=$B43)*ISNUMBER(INDEX(Inputs!$K$5:$AJ$190,0,MATCH(X$2,Inputs!$K$4:$AJ$4,0))))+SUMPRODUCT((Inputs!$C$5:$C$190=$B43)*ISNUMBER(INDEX(Inputs!$K$5:$AJ$190,0,MATCH(X$2,Inputs!$K$4:$AJ$4,0))))+SUMPRODUCT((Inputs!$E$5:$E$190=$B43)*ISNUMBER(INDEX(Inputs!$K$5:$AJ$190,0,MATCH(X$2,Inputs!$K$4:$AJ$4,0))))=0,NA(),SUMPRODUCT((Inputs!$A$5:$A$190=$B43)*Inputs!$B$5:$B$190*(((Inputs!$G$5:$G$190="moeda")+(Inputs!$G$5:$G$190="acoes"))*Inputs!$B$1+((Inputs!$G$5:$G$190&lt;&gt;"moeda")*(Inputs!$G$5:$G$190&lt;&gt;"acoes")))*INDEX(Inputs!$K$5:$AJ$190,0,MATCH(X$2,Inputs!$K$4:$AJ$4,0)))+SUMPRODUCT((Inputs!$C$5:$C$190=$B43)*Inputs!$D$5:$D$190*(((Inputs!$G$5:$G$190="moeda")+(Inputs!$G$5:$G$190="acoes"))*Inputs!$B$1+((Inputs!$G$5:$G$190&lt;&gt;"moeda")*(Inputs!$G$5:$G$190&lt;&gt;"acoes")))*INDEX(Inputs!$K$5:$AJ$190,0,MATCH(X$2,Inputs!$K$4:$AJ$4,0)))+SUMPRODUCT((Inputs!$E$5:$E$190=$B43)*Inputs!$F$5:$F$190*(((Inputs!$G$5:$G$190="moeda")+(Inputs!$G$5:$G$190="acoes"))*Inputs!$B$1+((Inputs!$G$5:$G$190&lt;&gt;"moeda")*(Inputs!$G$5:$G$190&lt;&gt;"acoes")))*INDEX(Inputs!$K$5:$AJ$190,0,MATCH(X$2,Inputs!$K$4:$AJ$4,0)))))</f>
        <v>2986.67783237</v>
      </c>
      <c r="Y43" s="6">
        <f>IF(ISNA(MATCH(Y$2,Inputs!$K$4:$AJ$4,0)),NA(),IF(SUMPRODUCT((Inputs!$A$5:$A$190=$B43)*ISNUMBER(INDEX(Inputs!$K$5:$AJ$190,0,MATCH(Y$2,Inputs!$K$4:$AJ$4,0))))+SUMPRODUCT((Inputs!$C$5:$C$190=$B43)*ISNUMBER(INDEX(Inputs!$K$5:$AJ$190,0,MATCH(Y$2,Inputs!$K$4:$AJ$4,0))))+SUMPRODUCT((Inputs!$E$5:$E$190=$B43)*ISNUMBER(INDEX(Inputs!$K$5:$AJ$190,0,MATCH(Y$2,Inputs!$K$4:$AJ$4,0))))=0,NA(),SUMPRODUCT((Inputs!$A$5:$A$190=$B43)*Inputs!$B$5:$B$190*(((Inputs!$G$5:$G$190="moeda")+(Inputs!$G$5:$G$190="acoes"))*Inputs!$B$1+((Inputs!$G$5:$G$190&lt;&gt;"moeda")*(Inputs!$G$5:$G$190&lt;&gt;"acoes")))*INDEX(Inputs!$K$5:$AJ$190,0,MATCH(Y$2,Inputs!$K$4:$AJ$4,0)))+SUMPRODUCT((Inputs!$C$5:$C$190=$B43)*Inputs!$D$5:$D$190*(((Inputs!$G$5:$G$190="moeda")+(Inputs!$G$5:$G$190="acoes"))*Inputs!$B$1+((Inputs!$G$5:$G$190&lt;&gt;"moeda")*(Inputs!$G$5:$G$190&lt;&gt;"acoes")))*INDEX(Inputs!$K$5:$AJ$190,0,MATCH(Y$2,Inputs!$K$4:$AJ$4,0)))+SUMPRODUCT((Inputs!$E$5:$E$190=$B43)*Inputs!$F$5:$F$190*(((Inputs!$G$5:$G$190="moeda")+(Inputs!$G$5:$G$190="acoes"))*Inputs!$B$1+((Inputs!$G$5:$G$190&lt;&gt;"moeda")*(Inputs!$G$5:$G$190&lt;&gt;"acoes")))*INDEX(Inputs!$K$5:$AJ$190,0,MATCH(Y$2,Inputs!$K$4:$AJ$4,0)))))</f>
        <v>3014.16328918</v>
      </c>
      <c r="Z43" s="6">
        <f>IF(ISNA(MATCH(Z$2,Inputs!$K$4:$AJ$4,0)),NA(),IF(SUMPRODUCT((Inputs!$A$5:$A$190=$B43)*ISNUMBER(INDEX(Inputs!$K$5:$AJ$190,0,MATCH(Z$2,Inputs!$K$4:$AJ$4,0))))+SUMPRODUCT((Inputs!$C$5:$C$190=$B43)*ISNUMBER(INDEX(Inputs!$K$5:$AJ$190,0,MATCH(Z$2,Inputs!$K$4:$AJ$4,0))))+SUMPRODUCT((Inputs!$E$5:$E$190=$B43)*ISNUMBER(INDEX(Inputs!$K$5:$AJ$190,0,MATCH(Z$2,Inputs!$K$4:$AJ$4,0))))=0,NA(),SUMPRODUCT((Inputs!$A$5:$A$190=$B43)*Inputs!$B$5:$B$190*(((Inputs!$G$5:$G$190="moeda")+(Inputs!$G$5:$G$190="acoes"))*Inputs!$B$1+((Inputs!$G$5:$G$190&lt;&gt;"moeda")*(Inputs!$G$5:$G$190&lt;&gt;"acoes")))*INDEX(Inputs!$K$5:$AJ$190,0,MATCH(Z$2,Inputs!$K$4:$AJ$4,0)))+SUMPRODUCT((Inputs!$C$5:$C$190=$B43)*Inputs!$D$5:$D$190*(((Inputs!$G$5:$G$190="moeda")+(Inputs!$G$5:$G$190="acoes"))*Inputs!$B$1+((Inputs!$G$5:$G$190&lt;&gt;"moeda")*(Inputs!$G$5:$G$190&lt;&gt;"acoes")))*INDEX(Inputs!$K$5:$AJ$190,0,MATCH(Z$2,Inputs!$K$4:$AJ$4,0)))+SUMPRODUCT((Inputs!$E$5:$E$190=$B43)*Inputs!$F$5:$F$190*(((Inputs!$G$5:$G$190="moeda")+(Inputs!$G$5:$G$190="acoes"))*Inputs!$B$1+((Inputs!$G$5:$G$190&lt;&gt;"moeda")*(Inputs!$G$5:$G$190&lt;&gt;"acoes")))*INDEX(Inputs!$K$5:$AJ$190,0,MATCH(Z$2,Inputs!$K$4:$AJ$4,0)))))</f>
        <v>2983.71672658</v>
      </c>
      <c r="AA43" s="6">
        <f>IF(ISNA(MATCH(AA$2,Inputs!$K$4:$AJ$4,0)),NA(),IF(SUMPRODUCT((Inputs!$A$5:$A$190=$B43)*ISNUMBER(INDEX(Inputs!$K$5:$AJ$190,0,MATCH(AA$2,Inputs!$K$4:$AJ$4,0))))+SUMPRODUCT((Inputs!$C$5:$C$190=$B43)*ISNUMBER(INDEX(Inputs!$K$5:$AJ$190,0,MATCH(AA$2,Inputs!$K$4:$AJ$4,0))))+SUMPRODUCT((Inputs!$E$5:$E$190=$B43)*ISNUMBER(INDEX(Inputs!$K$5:$AJ$190,0,MATCH(AA$2,Inputs!$K$4:$AJ$4,0))))=0,NA(),SUMPRODUCT((Inputs!$A$5:$A$190=$B43)*Inputs!$B$5:$B$190*(((Inputs!$G$5:$G$190="moeda")+(Inputs!$G$5:$G$190="acoes"))*Inputs!$B$1+((Inputs!$G$5:$G$190&lt;&gt;"moeda")*(Inputs!$G$5:$G$190&lt;&gt;"acoes")))*INDEX(Inputs!$K$5:$AJ$190,0,MATCH(AA$2,Inputs!$K$4:$AJ$4,0)))+SUMPRODUCT((Inputs!$C$5:$C$190=$B43)*Inputs!$D$5:$D$190*(((Inputs!$G$5:$G$190="moeda")+(Inputs!$G$5:$G$190="acoes"))*Inputs!$B$1+((Inputs!$G$5:$G$190&lt;&gt;"moeda")*(Inputs!$G$5:$G$190&lt;&gt;"acoes")))*INDEX(Inputs!$K$5:$AJ$190,0,MATCH(AA$2,Inputs!$K$4:$AJ$4,0)))+SUMPRODUCT((Inputs!$E$5:$E$190=$B43)*Inputs!$F$5:$F$190*(((Inputs!$G$5:$G$190="moeda")+(Inputs!$G$5:$G$190="acoes"))*Inputs!$B$1+((Inputs!$G$5:$G$190&lt;&gt;"moeda")*(Inputs!$G$5:$G$190&lt;&gt;"acoes")))*INDEX(Inputs!$K$5:$AJ$190,0,MATCH(AA$2,Inputs!$K$4:$AJ$4,0)))))</f>
        <v>3163.878979</v>
      </c>
      <c r="AB43" s="3">
        <f>AA43</f>
        <v>3163.878979</v>
      </c>
      <c r="AC43" s="6">
        <f>IF(ISNA(MATCH(AC$2,Inputs!$K$4:$AJ$4,0)),NA(),IF(SUMPRODUCT((Inputs!$A$5:$A$190=$B43)*ISNUMBER(INDEX(Inputs!$K$5:$AJ$190,0,MATCH(AC$2,Inputs!$K$4:$AJ$4,0))))+SUMPRODUCT((Inputs!$C$5:$C$190=$B43)*ISNUMBER(INDEX(Inputs!$K$5:$AJ$190,0,MATCH(AC$2,Inputs!$K$4:$AJ$4,0))))+SUMPRODUCT((Inputs!$E$5:$E$190=$B43)*ISNUMBER(INDEX(Inputs!$K$5:$AJ$190,0,MATCH(AC$2,Inputs!$K$4:$AJ$4,0))))=0,NA(),SUMPRODUCT((Inputs!$A$5:$A$190=$B43)*Inputs!$B$5:$B$190*(((Inputs!$G$5:$G$190="moeda")+(Inputs!$G$5:$G$190="acoes"))*Inputs!$B$1+((Inputs!$G$5:$G$190&lt;&gt;"moeda")*(Inputs!$G$5:$G$190&lt;&gt;"acoes")))*INDEX(Inputs!$K$5:$AJ$190,0,MATCH(AC$2,Inputs!$K$4:$AJ$4,0)))+SUMPRODUCT((Inputs!$C$5:$C$190=$B43)*Inputs!$D$5:$D$190*(((Inputs!$G$5:$G$190="moeda")+(Inputs!$G$5:$G$190="acoes"))*Inputs!$B$1+((Inputs!$G$5:$G$190&lt;&gt;"moeda")*(Inputs!$G$5:$G$190&lt;&gt;"acoes")))*INDEX(Inputs!$K$5:$AJ$190,0,MATCH(AC$2,Inputs!$K$4:$AJ$4,0)))+SUMPRODUCT((Inputs!$E$5:$E$190=$B43)*Inputs!$F$5:$F$190*(((Inputs!$G$5:$G$190="moeda")+(Inputs!$G$5:$G$190="acoes"))*Inputs!$B$1+((Inputs!$G$5:$G$190&lt;&gt;"moeda")*(Inputs!$G$5:$G$190&lt;&gt;"acoes")))*INDEX(Inputs!$K$5:$AJ$190,0,MATCH(AC$2,Inputs!$K$4:$AJ$4,0)))))</f>
        <v>2984.41003072</v>
      </c>
      <c r="AD43" s="6">
        <f>IF(ISNA(MATCH(AD$2,Inputs!$K$4:$AJ$4,0)),NA(),IF(SUMPRODUCT((Inputs!$A$5:$A$190=$B43)*ISNUMBER(INDEX(Inputs!$K$5:$AJ$190,0,MATCH(AD$2,Inputs!$K$4:$AJ$4,0))))+SUMPRODUCT((Inputs!$C$5:$C$190=$B43)*ISNUMBER(INDEX(Inputs!$K$5:$AJ$190,0,MATCH(AD$2,Inputs!$K$4:$AJ$4,0))))+SUMPRODUCT((Inputs!$E$5:$E$190=$B43)*ISNUMBER(INDEX(Inputs!$K$5:$AJ$190,0,MATCH(AD$2,Inputs!$K$4:$AJ$4,0))))=0,NA(),SUMPRODUCT((Inputs!$A$5:$A$190=$B43)*Inputs!$B$5:$B$190*(((Inputs!$G$5:$G$190="moeda")+(Inputs!$G$5:$G$190="acoes"))*Inputs!$B$1+((Inputs!$G$5:$G$190&lt;&gt;"moeda")*(Inputs!$G$5:$G$190&lt;&gt;"acoes")))*INDEX(Inputs!$K$5:$AJ$190,0,MATCH(AD$2,Inputs!$K$4:$AJ$4,0)))+SUMPRODUCT((Inputs!$C$5:$C$190=$B43)*Inputs!$D$5:$D$190*(((Inputs!$G$5:$G$190="moeda")+(Inputs!$G$5:$G$190="acoes"))*Inputs!$B$1+((Inputs!$G$5:$G$190&lt;&gt;"moeda")*(Inputs!$G$5:$G$190&lt;&gt;"acoes")))*INDEX(Inputs!$K$5:$AJ$190,0,MATCH(AD$2,Inputs!$K$4:$AJ$4,0)))+SUMPRODUCT((Inputs!$E$5:$E$190=$B43)*Inputs!$F$5:$F$190*(((Inputs!$G$5:$G$190="moeda")+(Inputs!$G$5:$G$190="acoes"))*Inputs!$B$1+((Inputs!$G$5:$G$190&lt;&gt;"moeda")*(Inputs!$G$5:$G$190&lt;&gt;"acoes")))*INDEX(Inputs!$K$5:$AJ$190,0,MATCH(AD$2,Inputs!$K$4:$AJ$4,0)))))</f>
        <v>5036.05917879</v>
      </c>
      <c r="AE43" s="6" t="e">
        <f>IF(ISNA(MATCH(AE$2,Inputs!$K$4:$AJ$4,0)),NA(),IF(SUMPRODUCT((Inputs!$A$5:$A$190=$B43)*ISNUMBER(INDEX(Inputs!$K$5:$AJ$190,0,MATCH(AE$2,Inputs!$K$4:$AJ$4,0))))+SUMPRODUCT((Inputs!$C$5:$C$190=$B43)*ISNUMBER(INDEX(Inputs!$K$5:$AJ$190,0,MATCH(AE$2,Inputs!$K$4:$AJ$4,0))))+SUMPRODUCT((Inputs!$E$5:$E$190=$B43)*ISNUMBER(INDEX(Inputs!$K$5:$AJ$190,0,MATCH(AE$2,Inputs!$K$4:$AJ$4,0))))=0,NA(),SUMPRODUCT((Inputs!$A$5:$A$190=$B43)*Inputs!$B$5:$B$190*(((Inputs!$G$5:$G$190="moeda")+(Inputs!$G$5:$G$190="acoes"))*Inputs!$B$1+((Inputs!$G$5:$G$190&lt;&gt;"moeda")*(Inputs!$G$5:$G$190&lt;&gt;"acoes")))*INDEX(Inputs!$K$5:$AJ$190,0,MATCH(AE$2,Inputs!$K$4:$AJ$4,0)))+SUMPRODUCT((Inputs!$C$5:$C$190=$B43)*Inputs!$D$5:$D$190*(((Inputs!$G$5:$G$190="moeda")+(Inputs!$G$5:$G$190="acoes"))*Inputs!$B$1+((Inputs!$G$5:$G$190&lt;&gt;"moeda")*(Inputs!$G$5:$G$190&lt;&gt;"acoes")))*INDEX(Inputs!$K$5:$AJ$190,0,MATCH(AE$2,Inputs!$K$4:$AJ$4,0)))+SUMPRODUCT((Inputs!$E$5:$E$190=$B43)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43" s="6" t="e">
        <f>IF(ISNA(MATCH(AF$2,Inputs!$K$4:$AJ$4,0)),NA(),IF(SUMPRODUCT((Inputs!$A$5:$A$190=$B43)*ISNUMBER(INDEX(Inputs!$K$5:$AJ$190,0,MATCH(AF$2,Inputs!$K$4:$AJ$4,0))))+SUMPRODUCT((Inputs!$C$5:$C$190=$B43)*ISNUMBER(INDEX(Inputs!$K$5:$AJ$190,0,MATCH(AF$2,Inputs!$K$4:$AJ$4,0))))+SUMPRODUCT((Inputs!$E$5:$E$190=$B43)*ISNUMBER(INDEX(Inputs!$K$5:$AJ$190,0,MATCH(AF$2,Inputs!$K$4:$AJ$4,0))))=0,NA(),SUMPRODUCT((Inputs!$A$5:$A$190=$B43)*Inputs!$B$5:$B$190*(((Inputs!$G$5:$G$190="moeda")+(Inputs!$G$5:$G$190="acoes"))*Inputs!$B$1+((Inputs!$G$5:$G$190&lt;&gt;"moeda")*(Inputs!$G$5:$G$190&lt;&gt;"acoes")))*INDEX(Inputs!$K$5:$AJ$190,0,MATCH(AF$2,Inputs!$K$4:$AJ$4,0)))+SUMPRODUCT((Inputs!$C$5:$C$190=$B43)*Inputs!$D$5:$D$190*(((Inputs!$G$5:$G$190="moeda")+(Inputs!$G$5:$G$190="acoes"))*Inputs!$B$1+((Inputs!$G$5:$G$190&lt;&gt;"moeda")*(Inputs!$G$5:$G$190&lt;&gt;"acoes")))*INDEX(Inputs!$K$5:$AJ$190,0,MATCH(AF$2,Inputs!$K$4:$AJ$4,0)))+SUMPRODUCT((Inputs!$E$5:$E$190=$B43)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43" s="3" t="e">
        <f>AF43</f>
        <v>#N/A</v>
      </c>
      <c r="AH43" s="6">
        <f>IF(ISNA(MATCH(AH$2,Inputs!$K$4:$AJ$4,0)),NA(),IF(SUMPRODUCT((Inputs!$A$5:$A$190=$B43)*ISNUMBER(INDEX(Inputs!$K$5:$AJ$190,0,MATCH(AH$2,Inputs!$K$4:$AJ$4,0))))+SUMPRODUCT((Inputs!$C$5:$C$190=$B43)*ISNUMBER(INDEX(Inputs!$K$5:$AJ$190,0,MATCH(AH$2,Inputs!$K$4:$AJ$4,0))))+SUMPRODUCT((Inputs!$E$5:$E$190=$B43)*ISNUMBER(INDEX(Inputs!$K$5:$AJ$190,0,MATCH(AH$2,Inputs!$K$4:$AJ$4,0))))=0,NA(),SUMPRODUCT((Inputs!$A$5:$A$190=$B43)*Inputs!$B$5:$B$190*(((Inputs!$G$5:$G$190="moeda")+(Inputs!$G$5:$G$190="acoes"))*Inputs!$B$1+((Inputs!$G$5:$G$190&lt;&gt;"moeda")*(Inputs!$G$5:$G$190&lt;&gt;"acoes")))*INDEX(Inputs!$K$5:$AJ$190,0,MATCH(AH$2,Inputs!$K$4:$AJ$4,0)))+SUMPRODUCT((Inputs!$C$5:$C$190=$B43)*Inputs!$D$5:$D$190*(((Inputs!$G$5:$G$190="moeda")+(Inputs!$G$5:$G$190="acoes"))*Inputs!$B$1+((Inputs!$G$5:$G$190&lt;&gt;"moeda")*(Inputs!$G$5:$G$190&lt;&gt;"acoes")))*INDEX(Inputs!$K$5:$AJ$190,0,MATCH(AH$2,Inputs!$K$4:$AJ$4,0)))+SUMPRODUCT((Inputs!$E$5:$E$190=$B43)*Inputs!$F$5:$F$190*(((Inputs!$G$5:$G$190="moeda")+(Inputs!$G$5:$G$190="acoes"))*Inputs!$B$1+((Inputs!$G$5:$G$190&lt;&gt;"moeda")*(Inputs!$G$5:$G$190&lt;&gt;"acoes")))*INDEX(Inputs!$K$5:$AJ$190,0,MATCH(AH$2,Inputs!$K$4:$AJ$4,0)))))</f>
        <v>755.413</v>
      </c>
      <c r="AI43" s="6">
        <f>IF(ISNA(MATCH(AI$2,Inputs!$K$4:$AJ$4,0)),NA(),IF(SUMPRODUCT((Inputs!$A$5:$A$190=$B43)*ISNUMBER(INDEX(Inputs!$K$5:$AJ$190,0,MATCH(AI$2,Inputs!$K$4:$AJ$4,0))))+SUMPRODUCT((Inputs!$C$5:$C$190=$B43)*ISNUMBER(INDEX(Inputs!$K$5:$AJ$190,0,MATCH(AI$2,Inputs!$K$4:$AJ$4,0))))+SUMPRODUCT((Inputs!$E$5:$E$190=$B43)*ISNUMBER(INDEX(Inputs!$K$5:$AJ$190,0,MATCH(AI$2,Inputs!$K$4:$AJ$4,0))))=0,NA(),SUMPRODUCT((Inputs!$A$5:$A$190=$B43)*Inputs!$B$5:$B$190*(((Inputs!$G$5:$G$190="moeda")+(Inputs!$G$5:$G$190="acoes"))*Inputs!$B$1+((Inputs!$G$5:$G$190&lt;&gt;"moeda")*(Inputs!$G$5:$G$190&lt;&gt;"acoes")))*INDEX(Inputs!$K$5:$AJ$190,0,MATCH(AI$2,Inputs!$K$4:$AJ$4,0)))+SUMPRODUCT((Inputs!$C$5:$C$190=$B43)*Inputs!$D$5:$D$190*(((Inputs!$G$5:$G$190="moeda")+(Inputs!$G$5:$G$190="acoes"))*Inputs!$B$1+((Inputs!$G$5:$G$190&lt;&gt;"moeda")*(Inputs!$G$5:$G$190&lt;&gt;"acoes")))*INDEX(Inputs!$K$5:$AJ$190,0,MATCH(AI$2,Inputs!$K$4:$AJ$4,0)))+SUMPRODUCT((Inputs!$E$5:$E$190=$B43)*Inputs!$F$5:$F$190*(((Inputs!$G$5:$G$190="moeda")+(Inputs!$G$5:$G$190="acoes"))*Inputs!$B$1+((Inputs!$G$5:$G$190&lt;&gt;"moeda")*(Inputs!$G$5:$G$190&lt;&gt;"acoes")))*INDEX(Inputs!$K$5:$AJ$190,0,MATCH(AI$2,Inputs!$K$4:$AJ$4,0)))))</f>
        <v>726.68284879</v>
      </c>
      <c r="AJ43" s="6">
        <f>IF(ISNA(MATCH(AJ$2,Inputs!$K$4:$AJ$4,0)),NA(),IF(SUMPRODUCT((Inputs!$A$5:$A$190=$B43)*ISNUMBER(INDEX(Inputs!$K$5:$AJ$190,0,MATCH(AJ$2,Inputs!$K$4:$AJ$4,0))))+SUMPRODUCT((Inputs!$C$5:$C$190=$B43)*ISNUMBER(INDEX(Inputs!$K$5:$AJ$190,0,MATCH(AJ$2,Inputs!$K$4:$AJ$4,0))))+SUMPRODUCT((Inputs!$E$5:$E$190=$B43)*ISNUMBER(INDEX(Inputs!$K$5:$AJ$190,0,MATCH(AJ$2,Inputs!$K$4:$AJ$4,0))))=0,NA(),SUMPRODUCT((Inputs!$A$5:$A$190=$B43)*Inputs!$B$5:$B$190*(((Inputs!$G$5:$G$190="moeda")+(Inputs!$G$5:$G$190="acoes"))*Inputs!$B$1+((Inputs!$G$5:$G$190&lt;&gt;"moeda")*(Inputs!$G$5:$G$190&lt;&gt;"acoes")))*INDEX(Inputs!$K$5:$AJ$190,0,MATCH(AJ$2,Inputs!$K$4:$AJ$4,0)))+SUMPRODUCT((Inputs!$C$5:$C$190=$B43)*Inputs!$D$5:$D$190*(((Inputs!$G$5:$G$190="moeda")+(Inputs!$G$5:$G$190="acoes"))*Inputs!$B$1+((Inputs!$G$5:$G$190&lt;&gt;"moeda")*(Inputs!$G$5:$G$190&lt;&gt;"acoes")))*INDEX(Inputs!$K$5:$AJ$190,0,MATCH(AJ$2,Inputs!$K$4:$AJ$4,0)))+SUMPRODUCT((Inputs!$E$5:$E$190=$B43)*Inputs!$F$5:$F$190*(((Inputs!$G$5:$G$190="moeda")+(Inputs!$G$5:$G$190="acoes"))*Inputs!$B$1+((Inputs!$G$5:$G$190&lt;&gt;"moeda")*(Inputs!$G$5:$G$190&lt;&gt;"acoes")))*INDEX(Inputs!$K$5:$AJ$190,0,MATCH(AJ$2,Inputs!$K$4:$AJ$4,0)))))</f>
        <v>1287.881</v>
      </c>
      <c r="AK43" s="6">
        <f>IF(ISNA(MATCH(AK$2,Inputs!$K$4:$AJ$4,0)),NA(),IF(SUMPRODUCT((Inputs!$A$5:$A$190=$B43)*ISNUMBER(INDEX(Inputs!$K$5:$AJ$190,0,MATCH(AK$2,Inputs!$K$4:$AJ$4,0))))+SUMPRODUCT((Inputs!$C$5:$C$190=$B43)*ISNUMBER(INDEX(Inputs!$K$5:$AJ$190,0,MATCH(AK$2,Inputs!$K$4:$AJ$4,0))))+SUMPRODUCT((Inputs!$E$5:$E$190=$B43)*ISNUMBER(INDEX(Inputs!$K$5:$AJ$190,0,MATCH(AK$2,Inputs!$K$4:$AJ$4,0))))=0,NA(),SUMPRODUCT((Inputs!$A$5:$A$190=$B43)*Inputs!$B$5:$B$190*(((Inputs!$G$5:$G$190="moeda")+(Inputs!$G$5:$G$190="acoes"))*Inputs!$B$1+((Inputs!$G$5:$G$190&lt;&gt;"moeda")*(Inputs!$G$5:$G$190&lt;&gt;"acoes")))*INDEX(Inputs!$K$5:$AJ$190,0,MATCH(AK$2,Inputs!$K$4:$AJ$4,0)))+SUMPRODUCT((Inputs!$C$5:$C$190=$B43)*Inputs!$D$5:$D$190*(((Inputs!$G$5:$G$190="moeda")+(Inputs!$G$5:$G$190="acoes"))*Inputs!$B$1+((Inputs!$G$5:$G$190&lt;&gt;"moeda")*(Inputs!$G$5:$G$190&lt;&gt;"acoes")))*INDEX(Inputs!$K$5:$AJ$190,0,MATCH(AK$2,Inputs!$K$4:$AJ$4,0)))+SUMPRODUCT((Inputs!$E$5:$E$190=$B43)*Inputs!$F$5:$F$190*(((Inputs!$G$5:$G$190="moeda")+(Inputs!$G$5:$G$190="acoes"))*Inputs!$B$1+((Inputs!$G$5:$G$190&lt;&gt;"moeda")*(Inputs!$G$5:$G$190&lt;&gt;"acoes")))*INDEX(Inputs!$K$5:$AJ$190,0,MATCH(AK$2,Inputs!$K$4:$AJ$4,0)))))</f>
        <v>1289.089</v>
      </c>
      <c r="AL43" s="3">
        <f>AK43</f>
        <v>1289.089</v>
      </c>
    </row>
    <row r="44">
      <c r="B44" s="46" t="n">
        <v>38</v>
      </c>
      <c r="C44" s="26" t="inlineStr">
        <is>
          <t>Treasury stock (contra account)</t>
        </is>
      </c>
      <c r="D44" s="6">
        <f>IF(ISNA(MATCH(D$2,Inputs!$K$4:$AJ$4,0)),NA(),IF(SUMPRODUCT((Inputs!$A$5:$A$190=$B44)*ISNUMBER(INDEX(Inputs!$K$5:$AJ$190,0,MATCH(D$2,Inputs!$K$4:$AJ$4,0))))+SUMPRODUCT((Inputs!$C$5:$C$190=$B44)*ISNUMBER(INDEX(Inputs!$K$5:$AJ$190,0,MATCH(D$2,Inputs!$K$4:$AJ$4,0))))+SUMPRODUCT((Inputs!$E$5:$E$190=$B44)*ISNUMBER(INDEX(Inputs!$K$5:$AJ$190,0,MATCH(D$2,Inputs!$K$4:$AJ$4,0))))=0,NA(),SUMPRODUCT((Inputs!$A$5:$A$190=$B44)*Inputs!$B$5:$B$190*(((Inputs!$G$5:$G$190="moeda")+(Inputs!$G$5:$G$190="acoes"))*Inputs!$B$1+((Inputs!$G$5:$G$190&lt;&gt;"moeda")*(Inputs!$G$5:$G$190&lt;&gt;"acoes")))*INDEX(Inputs!$K$5:$AJ$190,0,MATCH(D$2,Inputs!$K$4:$AJ$4,0)))+SUMPRODUCT((Inputs!$C$5:$C$190=$B44)*Inputs!$D$5:$D$190*(((Inputs!$G$5:$G$190="moeda")+(Inputs!$G$5:$G$190="acoes"))*Inputs!$B$1+((Inputs!$G$5:$G$190&lt;&gt;"moeda")*(Inputs!$G$5:$G$190&lt;&gt;"acoes")))*INDEX(Inputs!$K$5:$AJ$190,0,MATCH(D$2,Inputs!$K$4:$AJ$4,0)))+SUMPRODUCT((Inputs!$E$5:$E$190=$B44)*Inputs!$F$5:$F$190*(((Inputs!$G$5:$G$190="moeda")+(Inputs!$G$5:$G$190="acoes"))*Inputs!$B$1+((Inputs!$G$5:$G$190&lt;&gt;"moeda")*(Inputs!$G$5:$G$190&lt;&gt;"acoes")))*INDEX(Inputs!$K$5:$AJ$190,0,MATCH(D$2,Inputs!$K$4:$AJ$4,0)))))</f>
        <v>-272.346</v>
      </c>
      <c r="E44" s="6">
        <f>IF(ISNA(MATCH(E$2,Inputs!$K$4:$AJ$4,0)),NA(),IF(SUMPRODUCT((Inputs!$A$5:$A$190=$B44)*ISNUMBER(INDEX(Inputs!$K$5:$AJ$190,0,MATCH(E$2,Inputs!$K$4:$AJ$4,0))))+SUMPRODUCT((Inputs!$C$5:$C$190=$B44)*ISNUMBER(INDEX(Inputs!$K$5:$AJ$190,0,MATCH(E$2,Inputs!$K$4:$AJ$4,0))))+SUMPRODUCT((Inputs!$E$5:$E$190=$B44)*ISNUMBER(INDEX(Inputs!$K$5:$AJ$190,0,MATCH(E$2,Inputs!$K$4:$AJ$4,0))))=0,NA(),SUMPRODUCT((Inputs!$A$5:$A$190=$B44)*Inputs!$B$5:$B$190*(((Inputs!$G$5:$G$190="moeda")+(Inputs!$G$5:$G$190="acoes"))*Inputs!$B$1+((Inputs!$G$5:$G$190&lt;&gt;"moeda")*(Inputs!$G$5:$G$190&lt;&gt;"acoes")))*INDEX(Inputs!$K$5:$AJ$190,0,MATCH(E$2,Inputs!$K$4:$AJ$4,0)))+SUMPRODUCT((Inputs!$C$5:$C$190=$B44)*Inputs!$D$5:$D$190*(((Inputs!$G$5:$G$190="moeda")+(Inputs!$G$5:$G$190="acoes"))*Inputs!$B$1+((Inputs!$G$5:$G$190&lt;&gt;"moeda")*(Inputs!$G$5:$G$190&lt;&gt;"acoes")))*INDEX(Inputs!$K$5:$AJ$190,0,MATCH(E$2,Inputs!$K$4:$AJ$4,0)))+SUMPRODUCT((Inputs!$E$5:$E$190=$B44)*Inputs!$F$5:$F$190*(((Inputs!$G$5:$G$190="moeda")+(Inputs!$G$5:$G$190="acoes"))*Inputs!$B$1+((Inputs!$G$5:$G$190&lt;&gt;"moeda")*(Inputs!$G$5:$G$190&lt;&gt;"acoes")))*INDEX(Inputs!$K$5:$AJ$190,0,MATCH(E$2,Inputs!$K$4:$AJ$4,0)))))</f>
        <v>-282.509</v>
      </c>
      <c r="F44" s="6">
        <f>IF(ISNA(MATCH(F$2,Inputs!$K$4:$AJ$4,0)),NA(),IF(SUMPRODUCT((Inputs!$A$5:$A$190=$B44)*ISNUMBER(INDEX(Inputs!$K$5:$AJ$190,0,MATCH(F$2,Inputs!$K$4:$AJ$4,0))))+SUMPRODUCT((Inputs!$C$5:$C$190=$B44)*ISNUMBER(INDEX(Inputs!$K$5:$AJ$190,0,MATCH(F$2,Inputs!$K$4:$AJ$4,0))))+SUMPRODUCT((Inputs!$E$5:$E$190=$B44)*ISNUMBER(INDEX(Inputs!$K$5:$AJ$190,0,MATCH(F$2,Inputs!$K$4:$AJ$4,0))))=0,NA(),SUMPRODUCT((Inputs!$A$5:$A$190=$B44)*Inputs!$B$5:$B$190*(((Inputs!$G$5:$G$190="moeda")+(Inputs!$G$5:$G$190="acoes"))*Inputs!$B$1+((Inputs!$G$5:$G$190&lt;&gt;"moeda")*(Inputs!$G$5:$G$190&lt;&gt;"acoes")))*INDEX(Inputs!$K$5:$AJ$190,0,MATCH(F$2,Inputs!$K$4:$AJ$4,0)))+SUMPRODUCT((Inputs!$C$5:$C$190=$B44)*Inputs!$D$5:$D$190*(((Inputs!$G$5:$G$190="moeda")+(Inputs!$G$5:$G$190="acoes"))*Inputs!$B$1+((Inputs!$G$5:$G$190&lt;&gt;"moeda")*(Inputs!$G$5:$G$190&lt;&gt;"acoes")))*INDEX(Inputs!$K$5:$AJ$190,0,MATCH(F$2,Inputs!$K$4:$AJ$4,0)))+SUMPRODUCT((Inputs!$E$5:$E$190=$B44)*Inputs!$F$5:$F$190*(((Inputs!$G$5:$G$190="moeda")+(Inputs!$G$5:$G$190="acoes"))*Inputs!$B$1+((Inputs!$G$5:$G$190&lt;&gt;"moeda")*(Inputs!$G$5:$G$190&lt;&gt;"acoes")))*INDEX(Inputs!$K$5:$AJ$190,0,MATCH(F$2,Inputs!$K$4:$AJ$4,0)))))</f>
        <v>-151.633</v>
      </c>
      <c r="G44" s="6">
        <f>IF(ISNA(MATCH(G$2,Inputs!$K$4:$AJ$4,0)),NA(),IF(SUMPRODUCT((Inputs!$A$5:$A$190=$B44)*ISNUMBER(INDEX(Inputs!$K$5:$AJ$190,0,MATCH(G$2,Inputs!$K$4:$AJ$4,0))))+SUMPRODUCT((Inputs!$C$5:$C$190=$B44)*ISNUMBER(INDEX(Inputs!$K$5:$AJ$190,0,MATCH(G$2,Inputs!$K$4:$AJ$4,0))))+SUMPRODUCT((Inputs!$E$5:$E$190=$B44)*ISNUMBER(INDEX(Inputs!$K$5:$AJ$190,0,MATCH(G$2,Inputs!$K$4:$AJ$4,0))))=0,NA(),SUMPRODUCT((Inputs!$A$5:$A$190=$B44)*Inputs!$B$5:$B$190*(((Inputs!$G$5:$G$190="moeda")+(Inputs!$G$5:$G$190="acoes"))*Inputs!$B$1+((Inputs!$G$5:$G$190&lt;&gt;"moeda")*(Inputs!$G$5:$G$190&lt;&gt;"acoes")))*INDEX(Inputs!$K$5:$AJ$190,0,MATCH(G$2,Inputs!$K$4:$AJ$4,0)))+SUMPRODUCT((Inputs!$C$5:$C$190=$B44)*Inputs!$D$5:$D$190*(((Inputs!$G$5:$G$190="moeda")+(Inputs!$G$5:$G$190="acoes"))*Inputs!$B$1+((Inputs!$G$5:$G$190&lt;&gt;"moeda")*(Inputs!$G$5:$G$190&lt;&gt;"acoes")))*INDEX(Inputs!$K$5:$AJ$190,0,MATCH(G$2,Inputs!$K$4:$AJ$4,0)))+SUMPRODUCT((Inputs!$E$5:$E$190=$B44)*Inputs!$F$5:$F$190*(((Inputs!$G$5:$G$190="moeda")+(Inputs!$G$5:$G$190="acoes"))*Inputs!$B$1+((Inputs!$G$5:$G$190&lt;&gt;"moeda")*(Inputs!$G$5:$G$190&lt;&gt;"acoes")))*INDEX(Inputs!$K$5:$AJ$190,0,MATCH(G$2,Inputs!$K$4:$AJ$4,0)))))</f>
        <v>-151.633</v>
      </c>
      <c r="H44" s="3">
        <f>G44</f>
        <v>-151.633</v>
      </c>
      <c r="I44" s="6">
        <f>IF(ISNA(MATCH(I$2,Inputs!$K$4:$AJ$4,0)),NA(),IF(SUMPRODUCT((Inputs!$A$5:$A$190=$B44)*ISNUMBER(INDEX(Inputs!$K$5:$AJ$190,0,MATCH(I$2,Inputs!$K$4:$AJ$4,0))))+SUMPRODUCT((Inputs!$C$5:$C$190=$B44)*ISNUMBER(INDEX(Inputs!$K$5:$AJ$190,0,MATCH(I$2,Inputs!$K$4:$AJ$4,0))))+SUMPRODUCT((Inputs!$E$5:$E$190=$B44)*ISNUMBER(INDEX(Inputs!$K$5:$AJ$190,0,MATCH(I$2,Inputs!$K$4:$AJ$4,0))))=0,NA(),SUMPRODUCT((Inputs!$A$5:$A$190=$B44)*Inputs!$B$5:$B$190*(((Inputs!$G$5:$G$190="moeda")+(Inputs!$G$5:$G$190="acoes"))*Inputs!$B$1+((Inputs!$G$5:$G$190&lt;&gt;"moeda")*(Inputs!$G$5:$G$190&lt;&gt;"acoes")))*INDEX(Inputs!$K$5:$AJ$190,0,MATCH(I$2,Inputs!$K$4:$AJ$4,0)))+SUMPRODUCT((Inputs!$C$5:$C$190=$B44)*Inputs!$D$5:$D$190*(((Inputs!$G$5:$G$190="moeda")+(Inputs!$G$5:$G$190="acoes"))*Inputs!$B$1+((Inputs!$G$5:$G$190&lt;&gt;"moeda")*(Inputs!$G$5:$G$190&lt;&gt;"acoes")))*INDEX(Inputs!$K$5:$AJ$190,0,MATCH(I$2,Inputs!$K$4:$AJ$4,0)))+SUMPRODUCT((Inputs!$E$5:$E$190=$B44)*Inputs!$F$5:$F$190*(((Inputs!$G$5:$G$190="moeda")+(Inputs!$G$5:$G$190="acoes"))*Inputs!$B$1+((Inputs!$G$5:$G$190&lt;&gt;"moeda")*(Inputs!$G$5:$G$190&lt;&gt;"acoes")))*INDEX(Inputs!$K$5:$AJ$190,0,MATCH(I$2,Inputs!$K$4:$AJ$4,0)))))</f>
        <v>-151.633</v>
      </c>
      <c r="J44" s="6">
        <f>IF(ISNA(MATCH(J$2,Inputs!$K$4:$AJ$4,0)),NA(),IF(SUMPRODUCT((Inputs!$A$5:$A$190=$B44)*ISNUMBER(INDEX(Inputs!$K$5:$AJ$190,0,MATCH(J$2,Inputs!$K$4:$AJ$4,0))))+SUMPRODUCT((Inputs!$C$5:$C$190=$B44)*ISNUMBER(INDEX(Inputs!$K$5:$AJ$190,0,MATCH(J$2,Inputs!$K$4:$AJ$4,0))))+SUMPRODUCT((Inputs!$E$5:$E$190=$B44)*ISNUMBER(INDEX(Inputs!$K$5:$AJ$190,0,MATCH(J$2,Inputs!$K$4:$AJ$4,0))))=0,NA(),SUMPRODUCT((Inputs!$A$5:$A$190=$B44)*Inputs!$B$5:$B$190*(((Inputs!$G$5:$G$190="moeda")+(Inputs!$G$5:$G$190="acoes"))*Inputs!$B$1+((Inputs!$G$5:$G$190&lt;&gt;"moeda")*(Inputs!$G$5:$G$190&lt;&gt;"acoes")))*INDEX(Inputs!$K$5:$AJ$190,0,MATCH(J$2,Inputs!$K$4:$AJ$4,0)))+SUMPRODUCT((Inputs!$C$5:$C$190=$B44)*Inputs!$D$5:$D$190*(((Inputs!$G$5:$G$190="moeda")+(Inputs!$G$5:$G$190="acoes"))*Inputs!$B$1+((Inputs!$G$5:$G$190&lt;&gt;"moeda")*(Inputs!$G$5:$G$190&lt;&gt;"acoes")))*INDEX(Inputs!$K$5:$AJ$190,0,MATCH(J$2,Inputs!$K$4:$AJ$4,0)))+SUMPRODUCT((Inputs!$E$5:$E$190=$B44)*Inputs!$F$5:$F$190*(((Inputs!$G$5:$G$190="moeda")+(Inputs!$G$5:$G$190="acoes"))*Inputs!$B$1+((Inputs!$G$5:$G$190&lt;&gt;"moeda")*(Inputs!$G$5:$G$190&lt;&gt;"acoes")))*INDEX(Inputs!$K$5:$AJ$190,0,MATCH(J$2,Inputs!$K$4:$AJ$4,0)))))</f>
        <v>-155.635</v>
      </c>
      <c r="K44" s="6">
        <f>IF(ISNA(MATCH(K$2,Inputs!$K$4:$AJ$4,0)),NA(),IF(SUMPRODUCT((Inputs!$A$5:$A$190=$B44)*ISNUMBER(INDEX(Inputs!$K$5:$AJ$190,0,MATCH(K$2,Inputs!$K$4:$AJ$4,0))))+SUMPRODUCT((Inputs!$C$5:$C$190=$B44)*ISNUMBER(INDEX(Inputs!$K$5:$AJ$190,0,MATCH(K$2,Inputs!$K$4:$AJ$4,0))))+SUMPRODUCT((Inputs!$E$5:$E$190=$B44)*ISNUMBER(INDEX(Inputs!$K$5:$AJ$190,0,MATCH(K$2,Inputs!$K$4:$AJ$4,0))))=0,NA(),SUMPRODUCT((Inputs!$A$5:$A$190=$B44)*Inputs!$B$5:$B$190*(((Inputs!$G$5:$G$190="moeda")+(Inputs!$G$5:$G$190="acoes"))*Inputs!$B$1+((Inputs!$G$5:$G$190&lt;&gt;"moeda")*(Inputs!$G$5:$G$190&lt;&gt;"acoes")))*INDEX(Inputs!$K$5:$AJ$190,0,MATCH(K$2,Inputs!$K$4:$AJ$4,0)))+SUMPRODUCT((Inputs!$C$5:$C$190=$B44)*Inputs!$D$5:$D$190*(((Inputs!$G$5:$G$190="moeda")+(Inputs!$G$5:$G$190="acoes"))*Inputs!$B$1+((Inputs!$G$5:$G$190&lt;&gt;"moeda")*(Inputs!$G$5:$G$190&lt;&gt;"acoes")))*INDEX(Inputs!$K$5:$AJ$190,0,MATCH(K$2,Inputs!$K$4:$AJ$4,0)))+SUMPRODUCT((Inputs!$E$5:$E$190=$B44)*Inputs!$F$5:$F$190*(((Inputs!$G$5:$G$190="moeda")+(Inputs!$G$5:$G$190="acoes"))*Inputs!$B$1+((Inputs!$G$5:$G$190&lt;&gt;"moeda")*(Inputs!$G$5:$G$190&lt;&gt;"acoes")))*INDEX(Inputs!$K$5:$AJ$190,0,MATCH(K$2,Inputs!$K$4:$AJ$4,0)))))</f>
        <v>-165.751</v>
      </c>
      <c r="L44" s="6">
        <f>IF(ISNA(MATCH(L$2,Inputs!$K$4:$AJ$4,0)),NA(),IF(SUMPRODUCT((Inputs!$A$5:$A$190=$B44)*ISNUMBER(INDEX(Inputs!$K$5:$AJ$190,0,MATCH(L$2,Inputs!$K$4:$AJ$4,0))))+SUMPRODUCT((Inputs!$C$5:$C$190=$B44)*ISNUMBER(INDEX(Inputs!$K$5:$AJ$190,0,MATCH(L$2,Inputs!$K$4:$AJ$4,0))))+SUMPRODUCT((Inputs!$E$5:$E$190=$B44)*ISNUMBER(INDEX(Inputs!$K$5:$AJ$190,0,MATCH(L$2,Inputs!$K$4:$AJ$4,0))))=0,NA(),SUMPRODUCT((Inputs!$A$5:$A$190=$B44)*Inputs!$B$5:$B$190*(((Inputs!$G$5:$G$190="moeda")+(Inputs!$G$5:$G$190="acoes"))*Inputs!$B$1+((Inputs!$G$5:$G$190&lt;&gt;"moeda")*(Inputs!$G$5:$G$190&lt;&gt;"acoes")))*INDEX(Inputs!$K$5:$AJ$190,0,MATCH(L$2,Inputs!$K$4:$AJ$4,0)))+SUMPRODUCT((Inputs!$C$5:$C$190=$B44)*Inputs!$D$5:$D$190*(((Inputs!$G$5:$G$190="moeda")+(Inputs!$G$5:$G$190="acoes"))*Inputs!$B$1+((Inputs!$G$5:$G$190&lt;&gt;"moeda")*(Inputs!$G$5:$G$190&lt;&gt;"acoes")))*INDEX(Inputs!$K$5:$AJ$190,0,MATCH(L$2,Inputs!$K$4:$AJ$4,0)))+SUMPRODUCT((Inputs!$E$5:$E$190=$B44)*Inputs!$F$5:$F$190*(((Inputs!$G$5:$G$190="moeda")+(Inputs!$G$5:$G$190="acoes"))*Inputs!$B$1+((Inputs!$G$5:$G$190&lt;&gt;"moeda")*(Inputs!$G$5:$G$190&lt;&gt;"acoes")))*INDEX(Inputs!$K$5:$AJ$190,0,MATCH(L$2,Inputs!$K$4:$AJ$4,0)))))</f>
        <v>-148.114</v>
      </c>
      <c r="M44" s="3">
        <f>L44</f>
        <v>-148.114</v>
      </c>
      <c r="N44" s="6">
        <f>IF(ISNA(MATCH(N$2,Inputs!$K$4:$AJ$4,0)),NA(),IF(SUMPRODUCT((Inputs!$A$5:$A$190=$B44)*ISNUMBER(INDEX(Inputs!$K$5:$AJ$190,0,MATCH(N$2,Inputs!$K$4:$AJ$4,0))))+SUMPRODUCT((Inputs!$C$5:$C$190=$B44)*ISNUMBER(INDEX(Inputs!$K$5:$AJ$190,0,MATCH(N$2,Inputs!$K$4:$AJ$4,0))))+SUMPRODUCT((Inputs!$E$5:$E$190=$B44)*ISNUMBER(INDEX(Inputs!$K$5:$AJ$190,0,MATCH(N$2,Inputs!$K$4:$AJ$4,0))))=0,NA(),SUMPRODUCT((Inputs!$A$5:$A$190=$B44)*Inputs!$B$5:$B$190*(((Inputs!$G$5:$G$190="moeda")+(Inputs!$G$5:$G$190="acoes"))*Inputs!$B$1+((Inputs!$G$5:$G$190&lt;&gt;"moeda")*(Inputs!$G$5:$G$190&lt;&gt;"acoes")))*INDEX(Inputs!$K$5:$AJ$190,0,MATCH(N$2,Inputs!$K$4:$AJ$4,0)))+SUMPRODUCT((Inputs!$C$5:$C$190=$B44)*Inputs!$D$5:$D$190*(((Inputs!$G$5:$G$190="moeda")+(Inputs!$G$5:$G$190="acoes"))*Inputs!$B$1+((Inputs!$G$5:$G$190&lt;&gt;"moeda")*(Inputs!$G$5:$G$190&lt;&gt;"acoes")))*INDEX(Inputs!$K$5:$AJ$190,0,MATCH(N$2,Inputs!$K$4:$AJ$4,0)))+SUMPRODUCT((Inputs!$E$5:$E$190=$B44)*Inputs!$F$5:$F$190*(((Inputs!$G$5:$G$190="moeda")+(Inputs!$G$5:$G$190="acoes"))*Inputs!$B$1+((Inputs!$G$5:$G$190&lt;&gt;"moeda")*(Inputs!$G$5:$G$190&lt;&gt;"acoes")))*INDEX(Inputs!$K$5:$AJ$190,0,MATCH(N$2,Inputs!$K$4:$AJ$4,0)))))</f>
        <v>-148.11432551</v>
      </c>
      <c r="O44" s="6">
        <f>IF(ISNA(MATCH(O$2,Inputs!$K$4:$AJ$4,0)),NA(),IF(SUMPRODUCT((Inputs!$A$5:$A$190=$B44)*ISNUMBER(INDEX(Inputs!$K$5:$AJ$190,0,MATCH(O$2,Inputs!$K$4:$AJ$4,0))))+SUMPRODUCT((Inputs!$C$5:$C$190=$B44)*ISNUMBER(INDEX(Inputs!$K$5:$AJ$190,0,MATCH(O$2,Inputs!$K$4:$AJ$4,0))))+SUMPRODUCT((Inputs!$E$5:$E$190=$B44)*ISNUMBER(INDEX(Inputs!$K$5:$AJ$190,0,MATCH(O$2,Inputs!$K$4:$AJ$4,0))))=0,NA(),SUMPRODUCT((Inputs!$A$5:$A$190=$B44)*Inputs!$B$5:$B$190*(((Inputs!$G$5:$G$190="moeda")+(Inputs!$G$5:$G$190="acoes"))*Inputs!$B$1+((Inputs!$G$5:$G$190&lt;&gt;"moeda")*(Inputs!$G$5:$G$190&lt;&gt;"acoes")))*INDEX(Inputs!$K$5:$AJ$190,0,MATCH(O$2,Inputs!$K$4:$AJ$4,0)))+SUMPRODUCT((Inputs!$C$5:$C$190=$B44)*Inputs!$D$5:$D$190*(((Inputs!$G$5:$G$190="moeda")+(Inputs!$G$5:$G$190="acoes"))*Inputs!$B$1+((Inputs!$G$5:$G$190&lt;&gt;"moeda")*(Inputs!$G$5:$G$190&lt;&gt;"acoes")))*INDEX(Inputs!$K$5:$AJ$190,0,MATCH(O$2,Inputs!$K$4:$AJ$4,0)))+SUMPRODUCT((Inputs!$E$5:$E$190=$B44)*Inputs!$F$5:$F$190*(((Inputs!$G$5:$G$190="moeda")+(Inputs!$G$5:$G$190="acoes"))*Inputs!$B$1+((Inputs!$G$5:$G$190&lt;&gt;"moeda")*(Inputs!$G$5:$G$190&lt;&gt;"acoes")))*INDEX(Inputs!$K$5:$AJ$190,0,MATCH(O$2,Inputs!$K$4:$AJ$4,0)))))</f>
        <v>-150.87927403</v>
      </c>
      <c r="P44" s="6">
        <f>IF(ISNA(MATCH(P$2,Inputs!$K$4:$AJ$4,0)),NA(),IF(SUMPRODUCT((Inputs!$A$5:$A$190=$B44)*ISNUMBER(INDEX(Inputs!$K$5:$AJ$190,0,MATCH(P$2,Inputs!$K$4:$AJ$4,0))))+SUMPRODUCT((Inputs!$C$5:$C$190=$B44)*ISNUMBER(INDEX(Inputs!$K$5:$AJ$190,0,MATCH(P$2,Inputs!$K$4:$AJ$4,0))))+SUMPRODUCT((Inputs!$E$5:$E$190=$B44)*ISNUMBER(INDEX(Inputs!$K$5:$AJ$190,0,MATCH(P$2,Inputs!$K$4:$AJ$4,0))))=0,NA(),SUMPRODUCT((Inputs!$A$5:$A$190=$B44)*Inputs!$B$5:$B$190*(((Inputs!$G$5:$G$190="moeda")+(Inputs!$G$5:$G$190="acoes"))*Inputs!$B$1+((Inputs!$G$5:$G$190&lt;&gt;"moeda")*(Inputs!$G$5:$G$190&lt;&gt;"acoes")))*INDEX(Inputs!$K$5:$AJ$190,0,MATCH(P$2,Inputs!$K$4:$AJ$4,0)))+SUMPRODUCT((Inputs!$C$5:$C$190=$B44)*Inputs!$D$5:$D$190*(((Inputs!$G$5:$G$190="moeda")+(Inputs!$G$5:$G$190="acoes"))*Inputs!$B$1+((Inputs!$G$5:$G$190&lt;&gt;"moeda")*(Inputs!$G$5:$G$190&lt;&gt;"acoes")))*INDEX(Inputs!$K$5:$AJ$190,0,MATCH(P$2,Inputs!$K$4:$AJ$4,0)))+SUMPRODUCT((Inputs!$E$5:$E$190=$B44)*Inputs!$F$5:$F$190*(((Inputs!$G$5:$G$190="moeda")+(Inputs!$G$5:$G$190="acoes"))*Inputs!$B$1+((Inputs!$G$5:$G$190&lt;&gt;"moeda")*(Inputs!$G$5:$G$190&lt;&gt;"acoes")))*INDEX(Inputs!$K$5:$AJ$190,0,MATCH(P$2,Inputs!$K$4:$AJ$4,0)))))</f>
        <v>-151.04712491</v>
      </c>
      <c r="Q44" s="6">
        <f>IF(ISNA(MATCH(Q$2,Inputs!$K$4:$AJ$4,0)),NA(),IF(SUMPRODUCT((Inputs!$A$5:$A$190=$B44)*ISNUMBER(INDEX(Inputs!$K$5:$AJ$190,0,MATCH(Q$2,Inputs!$K$4:$AJ$4,0))))+SUMPRODUCT((Inputs!$C$5:$C$190=$B44)*ISNUMBER(INDEX(Inputs!$K$5:$AJ$190,0,MATCH(Q$2,Inputs!$K$4:$AJ$4,0))))+SUMPRODUCT((Inputs!$E$5:$E$190=$B44)*ISNUMBER(INDEX(Inputs!$K$5:$AJ$190,0,MATCH(Q$2,Inputs!$K$4:$AJ$4,0))))=0,NA(),SUMPRODUCT((Inputs!$A$5:$A$190=$B44)*Inputs!$B$5:$B$190*(((Inputs!$G$5:$G$190="moeda")+(Inputs!$G$5:$G$190="acoes"))*Inputs!$B$1+((Inputs!$G$5:$G$190&lt;&gt;"moeda")*(Inputs!$G$5:$G$190&lt;&gt;"acoes")))*INDEX(Inputs!$K$5:$AJ$190,0,MATCH(Q$2,Inputs!$K$4:$AJ$4,0)))+SUMPRODUCT((Inputs!$C$5:$C$190=$B44)*Inputs!$D$5:$D$190*(((Inputs!$G$5:$G$190="moeda")+(Inputs!$G$5:$G$190="acoes"))*Inputs!$B$1+((Inputs!$G$5:$G$190&lt;&gt;"moeda")*(Inputs!$G$5:$G$190&lt;&gt;"acoes")))*INDEX(Inputs!$K$5:$AJ$190,0,MATCH(Q$2,Inputs!$K$4:$AJ$4,0)))+SUMPRODUCT((Inputs!$E$5:$E$190=$B44)*Inputs!$F$5:$F$190*(((Inputs!$G$5:$G$190="moeda")+(Inputs!$G$5:$G$190="acoes"))*Inputs!$B$1+((Inputs!$G$5:$G$190&lt;&gt;"moeda")*(Inputs!$G$5:$G$190&lt;&gt;"acoes")))*INDEX(Inputs!$K$5:$AJ$190,0,MATCH(Q$2,Inputs!$K$4:$AJ$4,0)))))</f>
        <v>-151.04712491</v>
      </c>
      <c r="R44" s="3">
        <f>Q44</f>
        <v>-151.04712491</v>
      </c>
      <c r="S44" s="6">
        <f>IF(ISNA(MATCH(S$2,Inputs!$K$4:$AJ$4,0)),NA(),IF(SUMPRODUCT((Inputs!$A$5:$A$190=$B44)*ISNUMBER(INDEX(Inputs!$K$5:$AJ$190,0,MATCH(S$2,Inputs!$K$4:$AJ$4,0))))+SUMPRODUCT((Inputs!$C$5:$C$190=$B44)*ISNUMBER(INDEX(Inputs!$K$5:$AJ$190,0,MATCH(S$2,Inputs!$K$4:$AJ$4,0))))+SUMPRODUCT((Inputs!$E$5:$E$190=$B44)*ISNUMBER(INDEX(Inputs!$K$5:$AJ$190,0,MATCH(S$2,Inputs!$K$4:$AJ$4,0))))=0,NA(),SUMPRODUCT((Inputs!$A$5:$A$190=$B44)*Inputs!$B$5:$B$190*(((Inputs!$G$5:$G$190="moeda")+(Inputs!$G$5:$G$190="acoes"))*Inputs!$B$1+((Inputs!$G$5:$G$190&lt;&gt;"moeda")*(Inputs!$G$5:$G$190&lt;&gt;"acoes")))*INDEX(Inputs!$K$5:$AJ$190,0,MATCH(S$2,Inputs!$K$4:$AJ$4,0)))+SUMPRODUCT((Inputs!$C$5:$C$190=$B44)*Inputs!$D$5:$D$190*(((Inputs!$G$5:$G$190="moeda")+(Inputs!$G$5:$G$190="acoes"))*Inputs!$B$1+((Inputs!$G$5:$G$190&lt;&gt;"moeda")*(Inputs!$G$5:$G$190&lt;&gt;"acoes")))*INDEX(Inputs!$K$5:$AJ$190,0,MATCH(S$2,Inputs!$K$4:$AJ$4,0)))+SUMPRODUCT((Inputs!$E$5:$E$190=$B44)*Inputs!$F$5:$F$190*(((Inputs!$G$5:$G$190="moeda")+(Inputs!$G$5:$G$190="acoes"))*Inputs!$B$1+((Inputs!$G$5:$G$190&lt;&gt;"moeda")*(Inputs!$G$5:$G$190&lt;&gt;"acoes")))*INDEX(Inputs!$K$5:$AJ$190,0,MATCH(S$2,Inputs!$K$4:$AJ$4,0)))))</f>
        <v>-151.04712491</v>
      </c>
      <c r="T44" s="6">
        <f>IF(ISNA(MATCH(T$2,Inputs!$K$4:$AJ$4,0)),NA(),IF(SUMPRODUCT((Inputs!$A$5:$A$190=$B44)*ISNUMBER(INDEX(Inputs!$K$5:$AJ$190,0,MATCH(T$2,Inputs!$K$4:$AJ$4,0))))+SUMPRODUCT((Inputs!$C$5:$C$190=$B44)*ISNUMBER(INDEX(Inputs!$K$5:$AJ$190,0,MATCH(T$2,Inputs!$K$4:$AJ$4,0))))+SUMPRODUCT((Inputs!$E$5:$E$190=$B44)*ISNUMBER(INDEX(Inputs!$K$5:$AJ$190,0,MATCH(T$2,Inputs!$K$4:$AJ$4,0))))=0,NA(),SUMPRODUCT((Inputs!$A$5:$A$190=$B44)*Inputs!$B$5:$B$190*(((Inputs!$G$5:$G$190="moeda")+(Inputs!$G$5:$G$190="acoes"))*Inputs!$B$1+((Inputs!$G$5:$G$190&lt;&gt;"moeda")*(Inputs!$G$5:$G$190&lt;&gt;"acoes")))*INDEX(Inputs!$K$5:$AJ$190,0,MATCH(T$2,Inputs!$K$4:$AJ$4,0)))+SUMPRODUCT((Inputs!$C$5:$C$190=$B44)*Inputs!$D$5:$D$190*(((Inputs!$G$5:$G$190="moeda")+(Inputs!$G$5:$G$190="acoes"))*Inputs!$B$1+((Inputs!$G$5:$G$190&lt;&gt;"moeda")*(Inputs!$G$5:$G$190&lt;&gt;"acoes")))*INDEX(Inputs!$K$5:$AJ$190,0,MATCH(T$2,Inputs!$K$4:$AJ$4,0)))+SUMPRODUCT((Inputs!$E$5:$E$190=$B44)*Inputs!$F$5:$F$190*(((Inputs!$G$5:$G$190="moeda")+(Inputs!$G$5:$G$190="acoes"))*Inputs!$B$1+((Inputs!$G$5:$G$190&lt;&gt;"moeda")*(Inputs!$G$5:$G$190&lt;&gt;"acoes")))*INDEX(Inputs!$K$5:$AJ$190,0,MATCH(T$2,Inputs!$K$4:$AJ$4,0)))))</f>
        <v>-151.18433764</v>
      </c>
      <c r="U44" s="6">
        <f>IF(ISNA(MATCH(U$2,Inputs!$K$4:$AJ$4,0)),NA(),IF(SUMPRODUCT((Inputs!$A$5:$A$190=$B44)*ISNUMBER(INDEX(Inputs!$K$5:$AJ$190,0,MATCH(U$2,Inputs!$K$4:$AJ$4,0))))+SUMPRODUCT((Inputs!$C$5:$C$190=$B44)*ISNUMBER(INDEX(Inputs!$K$5:$AJ$190,0,MATCH(U$2,Inputs!$K$4:$AJ$4,0))))+SUMPRODUCT((Inputs!$E$5:$E$190=$B44)*ISNUMBER(INDEX(Inputs!$K$5:$AJ$190,0,MATCH(U$2,Inputs!$K$4:$AJ$4,0))))=0,NA(),SUMPRODUCT((Inputs!$A$5:$A$190=$B44)*Inputs!$B$5:$B$190*(((Inputs!$G$5:$G$190="moeda")+(Inputs!$G$5:$G$190="acoes"))*Inputs!$B$1+((Inputs!$G$5:$G$190&lt;&gt;"moeda")*(Inputs!$G$5:$G$190&lt;&gt;"acoes")))*INDEX(Inputs!$K$5:$AJ$190,0,MATCH(U$2,Inputs!$K$4:$AJ$4,0)))+SUMPRODUCT((Inputs!$C$5:$C$190=$B44)*Inputs!$D$5:$D$190*(((Inputs!$G$5:$G$190="moeda")+(Inputs!$G$5:$G$190="acoes"))*Inputs!$B$1+((Inputs!$G$5:$G$190&lt;&gt;"moeda")*(Inputs!$G$5:$G$190&lt;&gt;"acoes")))*INDEX(Inputs!$K$5:$AJ$190,0,MATCH(U$2,Inputs!$K$4:$AJ$4,0)))+SUMPRODUCT((Inputs!$E$5:$E$190=$B44)*Inputs!$F$5:$F$190*(((Inputs!$G$5:$G$190="moeda")+(Inputs!$G$5:$G$190="acoes"))*Inputs!$B$1+((Inputs!$G$5:$G$190&lt;&gt;"moeda")*(Inputs!$G$5:$G$190&lt;&gt;"acoes")))*INDEX(Inputs!$K$5:$AJ$190,0,MATCH(U$2,Inputs!$K$4:$AJ$4,0)))))</f>
        <v>-151.51945841</v>
      </c>
      <c r="V44" s="6">
        <f>IF(ISNA(MATCH(V$2,Inputs!$K$4:$AJ$4,0)),NA(),IF(SUMPRODUCT((Inputs!$A$5:$A$190=$B44)*ISNUMBER(INDEX(Inputs!$K$5:$AJ$190,0,MATCH(V$2,Inputs!$K$4:$AJ$4,0))))+SUMPRODUCT((Inputs!$C$5:$C$190=$B44)*ISNUMBER(INDEX(Inputs!$K$5:$AJ$190,0,MATCH(V$2,Inputs!$K$4:$AJ$4,0))))+SUMPRODUCT((Inputs!$E$5:$E$190=$B44)*ISNUMBER(INDEX(Inputs!$K$5:$AJ$190,0,MATCH(V$2,Inputs!$K$4:$AJ$4,0))))=0,NA(),SUMPRODUCT((Inputs!$A$5:$A$190=$B44)*Inputs!$B$5:$B$190*(((Inputs!$G$5:$G$190="moeda")+(Inputs!$G$5:$G$190="acoes"))*Inputs!$B$1+((Inputs!$G$5:$G$190&lt;&gt;"moeda")*(Inputs!$G$5:$G$190&lt;&gt;"acoes")))*INDEX(Inputs!$K$5:$AJ$190,0,MATCH(V$2,Inputs!$K$4:$AJ$4,0)))+SUMPRODUCT((Inputs!$C$5:$C$190=$B44)*Inputs!$D$5:$D$190*(((Inputs!$G$5:$G$190="moeda")+(Inputs!$G$5:$G$190="acoes"))*Inputs!$B$1+((Inputs!$G$5:$G$190&lt;&gt;"moeda")*(Inputs!$G$5:$G$190&lt;&gt;"acoes")))*INDEX(Inputs!$K$5:$AJ$190,0,MATCH(V$2,Inputs!$K$4:$AJ$4,0)))+SUMPRODUCT((Inputs!$E$5:$E$190=$B44)*Inputs!$F$5:$F$190*(((Inputs!$G$5:$G$190="moeda")+(Inputs!$G$5:$G$190="acoes"))*Inputs!$B$1+((Inputs!$G$5:$G$190&lt;&gt;"moeda")*(Inputs!$G$5:$G$190&lt;&gt;"acoes")))*INDEX(Inputs!$K$5:$AJ$190,0,MATCH(V$2,Inputs!$K$4:$AJ$4,0)))))</f>
        <v>-155.78335443</v>
      </c>
      <c r="W44" s="3">
        <f>V44</f>
        <v>-155.78335443</v>
      </c>
      <c r="X44" s="6">
        <f>IF(ISNA(MATCH(X$2,Inputs!$K$4:$AJ$4,0)),NA(),IF(SUMPRODUCT((Inputs!$A$5:$A$190=$B44)*ISNUMBER(INDEX(Inputs!$K$5:$AJ$190,0,MATCH(X$2,Inputs!$K$4:$AJ$4,0))))+SUMPRODUCT((Inputs!$C$5:$C$190=$B44)*ISNUMBER(INDEX(Inputs!$K$5:$AJ$190,0,MATCH(X$2,Inputs!$K$4:$AJ$4,0))))+SUMPRODUCT((Inputs!$E$5:$E$190=$B44)*ISNUMBER(INDEX(Inputs!$K$5:$AJ$190,0,MATCH(X$2,Inputs!$K$4:$AJ$4,0))))=0,NA(),SUMPRODUCT((Inputs!$A$5:$A$190=$B44)*Inputs!$B$5:$B$190*(((Inputs!$G$5:$G$190="moeda")+(Inputs!$G$5:$G$190="acoes"))*Inputs!$B$1+((Inputs!$G$5:$G$190&lt;&gt;"moeda")*(Inputs!$G$5:$G$190&lt;&gt;"acoes")))*INDEX(Inputs!$K$5:$AJ$190,0,MATCH(X$2,Inputs!$K$4:$AJ$4,0)))+SUMPRODUCT((Inputs!$C$5:$C$190=$B44)*Inputs!$D$5:$D$190*(((Inputs!$G$5:$G$190="moeda")+(Inputs!$G$5:$G$190="acoes"))*Inputs!$B$1+((Inputs!$G$5:$G$190&lt;&gt;"moeda")*(Inputs!$G$5:$G$190&lt;&gt;"acoes")))*INDEX(Inputs!$K$5:$AJ$190,0,MATCH(X$2,Inputs!$K$4:$AJ$4,0)))+SUMPRODUCT((Inputs!$E$5:$E$190=$B44)*Inputs!$F$5:$F$190*(((Inputs!$G$5:$G$190="moeda")+(Inputs!$G$5:$G$190="acoes"))*Inputs!$B$1+((Inputs!$G$5:$G$190&lt;&gt;"moeda")*(Inputs!$G$5:$G$190&lt;&gt;"acoes")))*INDEX(Inputs!$K$5:$AJ$190,0,MATCH(X$2,Inputs!$K$4:$AJ$4,0)))))</f>
        <v>-181.91666977</v>
      </c>
      <c r="Y44" s="6">
        <f>IF(ISNA(MATCH(Y$2,Inputs!$K$4:$AJ$4,0)),NA(),IF(SUMPRODUCT((Inputs!$A$5:$A$190=$B44)*ISNUMBER(INDEX(Inputs!$K$5:$AJ$190,0,MATCH(Y$2,Inputs!$K$4:$AJ$4,0))))+SUMPRODUCT((Inputs!$C$5:$C$190=$B44)*ISNUMBER(INDEX(Inputs!$K$5:$AJ$190,0,MATCH(Y$2,Inputs!$K$4:$AJ$4,0))))+SUMPRODUCT((Inputs!$E$5:$E$190=$B44)*ISNUMBER(INDEX(Inputs!$K$5:$AJ$190,0,MATCH(Y$2,Inputs!$K$4:$AJ$4,0))))=0,NA(),SUMPRODUCT((Inputs!$A$5:$A$190=$B44)*Inputs!$B$5:$B$190*(((Inputs!$G$5:$G$190="moeda")+(Inputs!$G$5:$G$190="acoes"))*Inputs!$B$1+((Inputs!$G$5:$G$190&lt;&gt;"moeda")*(Inputs!$G$5:$G$190&lt;&gt;"acoes")))*INDEX(Inputs!$K$5:$AJ$190,0,MATCH(Y$2,Inputs!$K$4:$AJ$4,0)))+SUMPRODUCT((Inputs!$C$5:$C$190=$B44)*Inputs!$D$5:$D$190*(((Inputs!$G$5:$G$190="moeda")+(Inputs!$G$5:$G$190="acoes"))*Inputs!$B$1+((Inputs!$G$5:$G$190&lt;&gt;"moeda")*(Inputs!$G$5:$G$190&lt;&gt;"acoes")))*INDEX(Inputs!$K$5:$AJ$190,0,MATCH(Y$2,Inputs!$K$4:$AJ$4,0)))+SUMPRODUCT((Inputs!$E$5:$E$190=$B44)*Inputs!$F$5:$F$190*(((Inputs!$G$5:$G$190="moeda")+(Inputs!$G$5:$G$190="acoes"))*Inputs!$B$1+((Inputs!$G$5:$G$190&lt;&gt;"moeda")*(Inputs!$G$5:$G$190&lt;&gt;"acoes")))*INDEX(Inputs!$K$5:$AJ$190,0,MATCH(Y$2,Inputs!$K$4:$AJ$4,0)))))</f>
        <v>-181.96830777</v>
      </c>
      <c r="Z44" s="6">
        <f>IF(ISNA(MATCH(Z$2,Inputs!$K$4:$AJ$4,0)),NA(),IF(SUMPRODUCT((Inputs!$A$5:$A$190=$B44)*ISNUMBER(INDEX(Inputs!$K$5:$AJ$190,0,MATCH(Z$2,Inputs!$K$4:$AJ$4,0))))+SUMPRODUCT((Inputs!$C$5:$C$190=$B44)*ISNUMBER(INDEX(Inputs!$K$5:$AJ$190,0,MATCH(Z$2,Inputs!$K$4:$AJ$4,0))))+SUMPRODUCT((Inputs!$E$5:$E$190=$B44)*ISNUMBER(INDEX(Inputs!$K$5:$AJ$190,0,MATCH(Z$2,Inputs!$K$4:$AJ$4,0))))=0,NA(),SUMPRODUCT((Inputs!$A$5:$A$190=$B44)*Inputs!$B$5:$B$190*(((Inputs!$G$5:$G$190="moeda")+(Inputs!$G$5:$G$190="acoes"))*Inputs!$B$1+((Inputs!$G$5:$G$190&lt;&gt;"moeda")*(Inputs!$G$5:$G$190&lt;&gt;"acoes")))*INDEX(Inputs!$K$5:$AJ$190,0,MATCH(Z$2,Inputs!$K$4:$AJ$4,0)))+SUMPRODUCT((Inputs!$C$5:$C$190=$B44)*Inputs!$D$5:$D$190*(((Inputs!$G$5:$G$190="moeda")+(Inputs!$G$5:$G$190="acoes"))*Inputs!$B$1+((Inputs!$G$5:$G$190&lt;&gt;"moeda")*(Inputs!$G$5:$G$190&lt;&gt;"acoes")))*INDEX(Inputs!$K$5:$AJ$190,0,MATCH(Z$2,Inputs!$K$4:$AJ$4,0)))+SUMPRODUCT((Inputs!$E$5:$E$190=$B44)*Inputs!$F$5:$F$190*(((Inputs!$G$5:$G$190="moeda")+(Inputs!$G$5:$G$190="acoes"))*Inputs!$B$1+((Inputs!$G$5:$G$190&lt;&gt;"moeda")*(Inputs!$G$5:$G$190&lt;&gt;"acoes")))*INDEX(Inputs!$K$5:$AJ$190,0,MATCH(Z$2,Inputs!$K$4:$AJ$4,0)))))</f>
        <v>-181.96830777</v>
      </c>
      <c r="AA44" s="6">
        <f>IF(ISNA(MATCH(AA$2,Inputs!$K$4:$AJ$4,0)),NA(),IF(SUMPRODUCT((Inputs!$A$5:$A$190=$B44)*ISNUMBER(INDEX(Inputs!$K$5:$AJ$190,0,MATCH(AA$2,Inputs!$K$4:$AJ$4,0))))+SUMPRODUCT((Inputs!$C$5:$C$190=$B44)*ISNUMBER(INDEX(Inputs!$K$5:$AJ$190,0,MATCH(AA$2,Inputs!$K$4:$AJ$4,0))))+SUMPRODUCT((Inputs!$E$5:$E$190=$B44)*ISNUMBER(INDEX(Inputs!$K$5:$AJ$190,0,MATCH(AA$2,Inputs!$K$4:$AJ$4,0))))=0,NA(),SUMPRODUCT((Inputs!$A$5:$A$190=$B44)*Inputs!$B$5:$B$190*(((Inputs!$G$5:$G$190="moeda")+(Inputs!$G$5:$G$190="acoes"))*Inputs!$B$1+((Inputs!$G$5:$G$190&lt;&gt;"moeda")*(Inputs!$G$5:$G$190&lt;&gt;"acoes")))*INDEX(Inputs!$K$5:$AJ$190,0,MATCH(AA$2,Inputs!$K$4:$AJ$4,0)))+SUMPRODUCT((Inputs!$C$5:$C$190=$B44)*Inputs!$D$5:$D$190*(((Inputs!$G$5:$G$190="moeda")+(Inputs!$G$5:$G$190="acoes"))*Inputs!$B$1+((Inputs!$G$5:$G$190&lt;&gt;"moeda")*(Inputs!$G$5:$G$190&lt;&gt;"acoes")))*INDEX(Inputs!$K$5:$AJ$190,0,MATCH(AA$2,Inputs!$K$4:$AJ$4,0)))+SUMPRODUCT((Inputs!$E$5:$E$190=$B44)*Inputs!$F$5:$F$190*(((Inputs!$G$5:$G$190="moeda")+(Inputs!$G$5:$G$190="acoes"))*Inputs!$B$1+((Inputs!$G$5:$G$190&lt;&gt;"moeda")*(Inputs!$G$5:$G$190&lt;&gt;"acoes")))*INDEX(Inputs!$K$5:$AJ$190,0,MATCH(AA$2,Inputs!$K$4:$AJ$4,0)))))</f>
        <v>-181.9683078</v>
      </c>
      <c r="AB44" s="3">
        <f>AA44</f>
        <v>-181.9683078</v>
      </c>
      <c r="AC44" s="6">
        <f>IF(ISNA(MATCH(AC$2,Inputs!$K$4:$AJ$4,0)),NA(),IF(SUMPRODUCT((Inputs!$A$5:$A$190=$B44)*ISNUMBER(INDEX(Inputs!$K$5:$AJ$190,0,MATCH(AC$2,Inputs!$K$4:$AJ$4,0))))+SUMPRODUCT((Inputs!$C$5:$C$190=$B44)*ISNUMBER(INDEX(Inputs!$K$5:$AJ$190,0,MATCH(AC$2,Inputs!$K$4:$AJ$4,0))))+SUMPRODUCT((Inputs!$E$5:$E$190=$B44)*ISNUMBER(INDEX(Inputs!$K$5:$AJ$190,0,MATCH(AC$2,Inputs!$K$4:$AJ$4,0))))=0,NA(),SUMPRODUCT((Inputs!$A$5:$A$190=$B44)*Inputs!$B$5:$B$190*(((Inputs!$G$5:$G$190="moeda")+(Inputs!$G$5:$G$190="acoes"))*Inputs!$B$1+((Inputs!$G$5:$G$190&lt;&gt;"moeda")*(Inputs!$G$5:$G$190&lt;&gt;"acoes")))*INDEX(Inputs!$K$5:$AJ$190,0,MATCH(AC$2,Inputs!$K$4:$AJ$4,0)))+SUMPRODUCT((Inputs!$C$5:$C$190=$B44)*Inputs!$D$5:$D$190*(((Inputs!$G$5:$G$190="moeda")+(Inputs!$G$5:$G$190="acoes"))*Inputs!$B$1+((Inputs!$G$5:$G$190&lt;&gt;"moeda")*(Inputs!$G$5:$G$190&lt;&gt;"acoes")))*INDEX(Inputs!$K$5:$AJ$190,0,MATCH(AC$2,Inputs!$K$4:$AJ$4,0)))+SUMPRODUCT((Inputs!$E$5:$E$190=$B44)*Inputs!$F$5:$F$190*(((Inputs!$G$5:$G$190="moeda")+(Inputs!$G$5:$G$190="acoes"))*Inputs!$B$1+((Inputs!$G$5:$G$190&lt;&gt;"moeda")*(Inputs!$G$5:$G$190&lt;&gt;"acoes")))*INDEX(Inputs!$K$5:$AJ$190,0,MATCH(AC$2,Inputs!$K$4:$AJ$4,0)))))</f>
        <v>0</v>
      </c>
      <c r="AD44" s="6">
        <f>IF(ISNA(MATCH(AD$2,Inputs!$K$4:$AJ$4,0)),NA(),IF(SUMPRODUCT((Inputs!$A$5:$A$190=$B44)*ISNUMBER(INDEX(Inputs!$K$5:$AJ$190,0,MATCH(AD$2,Inputs!$K$4:$AJ$4,0))))+SUMPRODUCT((Inputs!$C$5:$C$190=$B44)*ISNUMBER(INDEX(Inputs!$K$5:$AJ$190,0,MATCH(AD$2,Inputs!$K$4:$AJ$4,0))))+SUMPRODUCT((Inputs!$E$5:$E$190=$B44)*ISNUMBER(INDEX(Inputs!$K$5:$AJ$190,0,MATCH(AD$2,Inputs!$K$4:$AJ$4,0))))=0,NA(),SUMPRODUCT((Inputs!$A$5:$A$190=$B44)*Inputs!$B$5:$B$190*(((Inputs!$G$5:$G$190="moeda")+(Inputs!$G$5:$G$190="acoes"))*Inputs!$B$1+((Inputs!$G$5:$G$190&lt;&gt;"moeda")*(Inputs!$G$5:$G$190&lt;&gt;"acoes")))*INDEX(Inputs!$K$5:$AJ$190,0,MATCH(AD$2,Inputs!$K$4:$AJ$4,0)))+SUMPRODUCT((Inputs!$C$5:$C$190=$B44)*Inputs!$D$5:$D$190*(((Inputs!$G$5:$G$190="moeda")+(Inputs!$G$5:$G$190="acoes"))*Inputs!$B$1+((Inputs!$G$5:$G$190&lt;&gt;"moeda")*(Inputs!$G$5:$G$190&lt;&gt;"acoes")))*INDEX(Inputs!$K$5:$AJ$190,0,MATCH(AD$2,Inputs!$K$4:$AJ$4,0)))+SUMPRODUCT((Inputs!$E$5:$E$190=$B44)*Inputs!$F$5:$F$190*(((Inputs!$G$5:$G$190="moeda")+(Inputs!$G$5:$G$190="acoes"))*Inputs!$B$1+((Inputs!$G$5:$G$190&lt;&gt;"moeda")*(Inputs!$G$5:$G$190&lt;&gt;"acoes")))*INDEX(Inputs!$K$5:$AJ$190,0,MATCH(AD$2,Inputs!$K$4:$AJ$4,0)))))</f>
        <v>0</v>
      </c>
      <c r="AE44" s="6" t="e">
        <f>IF(ISNA(MATCH(AE$2,Inputs!$K$4:$AJ$4,0)),NA(),IF(SUMPRODUCT((Inputs!$A$5:$A$190=$B44)*ISNUMBER(INDEX(Inputs!$K$5:$AJ$190,0,MATCH(AE$2,Inputs!$K$4:$AJ$4,0))))+SUMPRODUCT((Inputs!$C$5:$C$190=$B44)*ISNUMBER(INDEX(Inputs!$K$5:$AJ$190,0,MATCH(AE$2,Inputs!$K$4:$AJ$4,0))))+SUMPRODUCT((Inputs!$E$5:$E$190=$B44)*ISNUMBER(INDEX(Inputs!$K$5:$AJ$190,0,MATCH(AE$2,Inputs!$K$4:$AJ$4,0))))=0,NA(),SUMPRODUCT((Inputs!$A$5:$A$190=$B44)*Inputs!$B$5:$B$190*(((Inputs!$G$5:$G$190="moeda")+(Inputs!$G$5:$G$190="acoes"))*Inputs!$B$1+((Inputs!$G$5:$G$190&lt;&gt;"moeda")*(Inputs!$G$5:$G$190&lt;&gt;"acoes")))*INDEX(Inputs!$K$5:$AJ$190,0,MATCH(AE$2,Inputs!$K$4:$AJ$4,0)))+SUMPRODUCT((Inputs!$C$5:$C$190=$B44)*Inputs!$D$5:$D$190*(((Inputs!$G$5:$G$190="moeda")+(Inputs!$G$5:$G$190="acoes"))*Inputs!$B$1+((Inputs!$G$5:$G$190&lt;&gt;"moeda")*(Inputs!$G$5:$G$190&lt;&gt;"acoes")))*INDEX(Inputs!$K$5:$AJ$190,0,MATCH(AE$2,Inputs!$K$4:$AJ$4,0)))+SUMPRODUCT((Inputs!$E$5:$E$190=$B44)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44" s="6" t="e">
        <f>IF(ISNA(MATCH(AF$2,Inputs!$K$4:$AJ$4,0)),NA(),IF(SUMPRODUCT((Inputs!$A$5:$A$190=$B44)*ISNUMBER(INDEX(Inputs!$K$5:$AJ$190,0,MATCH(AF$2,Inputs!$K$4:$AJ$4,0))))+SUMPRODUCT((Inputs!$C$5:$C$190=$B44)*ISNUMBER(INDEX(Inputs!$K$5:$AJ$190,0,MATCH(AF$2,Inputs!$K$4:$AJ$4,0))))+SUMPRODUCT((Inputs!$E$5:$E$190=$B44)*ISNUMBER(INDEX(Inputs!$K$5:$AJ$190,0,MATCH(AF$2,Inputs!$K$4:$AJ$4,0))))=0,NA(),SUMPRODUCT((Inputs!$A$5:$A$190=$B44)*Inputs!$B$5:$B$190*(((Inputs!$G$5:$G$190="moeda")+(Inputs!$G$5:$G$190="acoes"))*Inputs!$B$1+((Inputs!$G$5:$G$190&lt;&gt;"moeda")*(Inputs!$G$5:$G$190&lt;&gt;"acoes")))*INDEX(Inputs!$K$5:$AJ$190,0,MATCH(AF$2,Inputs!$K$4:$AJ$4,0)))+SUMPRODUCT((Inputs!$C$5:$C$190=$B44)*Inputs!$D$5:$D$190*(((Inputs!$G$5:$G$190="moeda")+(Inputs!$G$5:$G$190="acoes"))*Inputs!$B$1+((Inputs!$G$5:$G$190&lt;&gt;"moeda")*(Inputs!$G$5:$G$190&lt;&gt;"acoes")))*INDEX(Inputs!$K$5:$AJ$190,0,MATCH(AF$2,Inputs!$K$4:$AJ$4,0)))+SUMPRODUCT((Inputs!$E$5:$E$190=$B44)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44" s="3" t="e">
        <f>AF44</f>
        <v>#N/A</v>
      </c>
      <c r="AH44" s="6">
        <f>IF(ISNA(MATCH(AH$2,Inputs!$K$4:$AJ$4,0)),NA(),IF(SUMPRODUCT((Inputs!$A$5:$A$190=$B44)*ISNUMBER(INDEX(Inputs!$K$5:$AJ$190,0,MATCH(AH$2,Inputs!$K$4:$AJ$4,0))))+SUMPRODUCT((Inputs!$C$5:$C$190=$B44)*ISNUMBER(INDEX(Inputs!$K$5:$AJ$190,0,MATCH(AH$2,Inputs!$K$4:$AJ$4,0))))+SUMPRODUCT((Inputs!$E$5:$E$190=$B44)*ISNUMBER(INDEX(Inputs!$K$5:$AJ$190,0,MATCH(AH$2,Inputs!$K$4:$AJ$4,0))))=0,NA(),SUMPRODUCT((Inputs!$A$5:$A$190=$B44)*Inputs!$B$5:$B$190*(((Inputs!$G$5:$G$190="moeda")+(Inputs!$G$5:$G$190="acoes"))*Inputs!$B$1+((Inputs!$G$5:$G$190&lt;&gt;"moeda")*(Inputs!$G$5:$G$190&lt;&gt;"acoes")))*INDEX(Inputs!$K$5:$AJ$190,0,MATCH(AH$2,Inputs!$K$4:$AJ$4,0)))+SUMPRODUCT((Inputs!$C$5:$C$190=$B44)*Inputs!$D$5:$D$190*(((Inputs!$G$5:$G$190="moeda")+(Inputs!$G$5:$G$190="acoes"))*Inputs!$B$1+((Inputs!$G$5:$G$190&lt;&gt;"moeda")*(Inputs!$G$5:$G$190&lt;&gt;"acoes")))*INDEX(Inputs!$K$5:$AJ$190,0,MATCH(AH$2,Inputs!$K$4:$AJ$4,0)))+SUMPRODUCT((Inputs!$E$5:$E$190=$B44)*Inputs!$F$5:$F$190*(((Inputs!$G$5:$G$190="moeda")+(Inputs!$G$5:$G$190="acoes"))*Inputs!$B$1+((Inputs!$G$5:$G$190&lt;&gt;"moeda")*(Inputs!$G$5:$G$190&lt;&gt;"acoes")))*INDEX(Inputs!$K$5:$AJ$190,0,MATCH(AH$2,Inputs!$K$4:$AJ$4,0)))))</f>
        <v>-0.46</v>
      </c>
      <c r="AI44" s="6">
        <f>IF(ISNA(MATCH(AI$2,Inputs!$K$4:$AJ$4,0)),NA(),IF(SUMPRODUCT((Inputs!$A$5:$A$190=$B44)*ISNUMBER(INDEX(Inputs!$K$5:$AJ$190,0,MATCH(AI$2,Inputs!$K$4:$AJ$4,0))))+SUMPRODUCT((Inputs!$C$5:$C$190=$B44)*ISNUMBER(INDEX(Inputs!$K$5:$AJ$190,0,MATCH(AI$2,Inputs!$K$4:$AJ$4,0))))+SUMPRODUCT((Inputs!$E$5:$E$190=$B44)*ISNUMBER(INDEX(Inputs!$K$5:$AJ$190,0,MATCH(AI$2,Inputs!$K$4:$AJ$4,0))))=0,NA(),SUMPRODUCT((Inputs!$A$5:$A$190=$B44)*Inputs!$B$5:$B$190*(((Inputs!$G$5:$G$190="moeda")+(Inputs!$G$5:$G$190="acoes"))*Inputs!$B$1+((Inputs!$G$5:$G$190&lt;&gt;"moeda")*(Inputs!$G$5:$G$190&lt;&gt;"acoes")))*INDEX(Inputs!$K$5:$AJ$190,0,MATCH(AI$2,Inputs!$K$4:$AJ$4,0)))+SUMPRODUCT((Inputs!$C$5:$C$190=$B44)*Inputs!$D$5:$D$190*(((Inputs!$G$5:$G$190="moeda")+(Inputs!$G$5:$G$190="acoes"))*Inputs!$B$1+((Inputs!$G$5:$G$190&lt;&gt;"moeda")*(Inputs!$G$5:$G$190&lt;&gt;"acoes")))*INDEX(Inputs!$K$5:$AJ$190,0,MATCH(AI$2,Inputs!$K$4:$AJ$4,0)))+SUMPRODUCT((Inputs!$E$5:$E$190=$B44)*Inputs!$F$5:$F$190*(((Inputs!$G$5:$G$190="moeda")+(Inputs!$G$5:$G$190="acoes"))*Inputs!$B$1+((Inputs!$G$5:$G$190&lt;&gt;"moeda")*(Inputs!$G$5:$G$190&lt;&gt;"acoes")))*INDEX(Inputs!$K$5:$AJ$190,0,MATCH(AI$2,Inputs!$K$4:$AJ$4,0)))))</f>
        <v>-38.24740684</v>
      </c>
      <c r="AJ44" s="6">
        <f>IF(ISNA(MATCH(AJ$2,Inputs!$K$4:$AJ$4,0)),NA(),IF(SUMPRODUCT((Inputs!$A$5:$A$190=$B44)*ISNUMBER(INDEX(Inputs!$K$5:$AJ$190,0,MATCH(AJ$2,Inputs!$K$4:$AJ$4,0))))+SUMPRODUCT((Inputs!$C$5:$C$190=$B44)*ISNUMBER(INDEX(Inputs!$K$5:$AJ$190,0,MATCH(AJ$2,Inputs!$K$4:$AJ$4,0))))+SUMPRODUCT((Inputs!$E$5:$E$190=$B44)*ISNUMBER(INDEX(Inputs!$K$5:$AJ$190,0,MATCH(AJ$2,Inputs!$K$4:$AJ$4,0))))=0,NA(),SUMPRODUCT((Inputs!$A$5:$A$190=$B44)*Inputs!$B$5:$B$190*(((Inputs!$G$5:$G$190="moeda")+(Inputs!$G$5:$G$190="acoes"))*Inputs!$B$1+((Inputs!$G$5:$G$190&lt;&gt;"moeda")*(Inputs!$G$5:$G$190&lt;&gt;"acoes")))*INDEX(Inputs!$K$5:$AJ$190,0,MATCH(AJ$2,Inputs!$K$4:$AJ$4,0)))+SUMPRODUCT((Inputs!$C$5:$C$190=$B44)*Inputs!$D$5:$D$190*(((Inputs!$G$5:$G$190="moeda")+(Inputs!$G$5:$G$190="acoes"))*Inputs!$B$1+((Inputs!$G$5:$G$190&lt;&gt;"moeda")*(Inputs!$G$5:$G$190&lt;&gt;"acoes")))*INDEX(Inputs!$K$5:$AJ$190,0,MATCH(AJ$2,Inputs!$K$4:$AJ$4,0)))+SUMPRODUCT((Inputs!$E$5:$E$190=$B44)*Inputs!$F$5:$F$190*(((Inputs!$G$5:$G$190="moeda")+(Inputs!$G$5:$G$190="acoes"))*Inputs!$B$1+((Inputs!$G$5:$G$190&lt;&gt;"moeda")*(Inputs!$G$5:$G$190&lt;&gt;"acoes")))*INDEX(Inputs!$K$5:$AJ$190,0,MATCH(AJ$2,Inputs!$K$4:$AJ$4,0)))))</f>
        <v>-8.105</v>
      </c>
      <c r="AK44" s="6">
        <f>IF(ISNA(MATCH(AK$2,Inputs!$K$4:$AJ$4,0)),NA(),IF(SUMPRODUCT((Inputs!$A$5:$A$190=$B44)*ISNUMBER(INDEX(Inputs!$K$5:$AJ$190,0,MATCH(AK$2,Inputs!$K$4:$AJ$4,0))))+SUMPRODUCT((Inputs!$C$5:$C$190=$B44)*ISNUMBER(INDEX(Inputs!$K$5:$AJ$190,0,MATCH(AK$2,Inputs!$K$4:$AJ$4,0))))+SUMPRODUCT((Inputs!$E$5:$E$190=$B44)*ISNUMBER(INDEX(Inputs!$K$5:$AJ$190,0,MATCH(AK$2,Inputs!$K$4:$AJ$4,0))))=0,NA(),SUMPRODUCT((Inputs!$A$5:$A$190=$B44)*Inputs!$B$5:$B$190*(((Inputs!$G$5:$G$190="moeda")+(Inputs!$G$5:$G$190="acoes"))*Inputs!$B$1+((Inputs!$G$5:$G$190&lt;&gt;"moeda")*(Inputs!$G$5:$G$190&lt;&gt;"acoes")))*INDEX(Inputs!$K$5:$AJ$190,0,MATCH(AK$2,Inputs!$K$4:$AJ$4,0)))+SUMPRODUCT((Inputs!$C$5:$C$190=$B44)*Inputs!$D$5:$D$190*(((Inputs!$G$5:$G$190="moeda")+(Inputs!$G$5:$G$190="acoes"))*Inputs!$B$1+((Inputs!$G$5:$G$190&lt;&gt;"moeda")*(Inputs!$G$5:$G$190&lt;&gt;"acoes")))*INDEX(Inputs!$K$5:$AJ$190,0,MATCH(AK$2,Inputs!$K$4:$AJ$4,0)))+SUMPRODUCT((Inputs!$E$5:$E$190=$B44)*Inputs!$F$5:$F$190*(((Inputs!$G$5:$G$190="moeda")+(Inputs!$G$5:$G$190="acoes"))*Inputs!$B$1+((Inputs!$G$5:$G$190&lt;&gt;"moeda")*(Inputs!$G$5:$G$190&lt;&gt;"acoes")))*INDEX(Inputs!$K$5:$AJ$190,0,MATCH(AK$2,Inputs!$K$4:$AJ$4,0)))))</f>
        <v>-10.503</v>
      </c>
      <c r="AL44" s="3">
        <f>AK44</f>
        <v>-10.503</v>
      </c>
    </row>
    <row r="45">
      <c r="B45" s="46" t="n">
        <v>39</v>
      </c>
      <c r="C45" s="26" t="inlineStr">
        <is>
          <t>Comprehensive (accumulated) loss</t>
        </is>
      </c>
      <c r="D45" s="6">
        <f>IF(ISNA(MATCH(D$2,Inputs!$K$4:$AJ$4,0)),NA(),IF(SUMPRODUCT((Inputs!$A$5:$A$190=$B45)*ISNUMBER(INDEX(Inputs!$K$5:$AJ$190,0,MATCH(D$2,Inputs!$K$4:$AJ$4,0))))+SUMPRODUCT((Inputs!$C$5:$C$190=$B45)*ISNUMBER(INDEX(Inputs!$K$5:$AJ$190,0,MATCH(D$2,Inputs!$K$4:$AJ$4,0))))+SUMPRODUCT((Inputs!$E$5:$E$190=$B45)*ISNUMBER(INDEX(Inputs!$K$5:$AJ$190,0,MATCH(D$2,Inputs!$K$4:$AJ$4,0))))=0,NA(),SUMPRODUCT((Inputs!$A$5:$A$190=$B45)*Inputs!$B$5:$B$190*(((Inputs!$G$5:$G$190="moeda")+(Inputs!$G$5:$G$190="acoes"))*Inputs!$B$1+((Inputs!$G$5:$G$190&lt;&gt;"moeda")*(Inputs!$G$5:$G$190&lt;&gt;"acoes")))*INDEX(Inputs!$K$5:$AJ$190,0,MATCH(D$2,Inputs!$K$4:$AJ$4,0)))+SUMPRODUCT((Inputs!$C$5:$C$190=$B45)*Inputs!$D$5:$D$190*(((Inputs!$G$5:$G$190="moeda")+(Inputs!$G$5:$G$190="acoes"))*Inputs!$B$1+((Inputs!$G$5:$G$190&lt;&gt;"moeda")*(Inputs!$G$5:$G$190&lt;&gt;"acoes")))*INDEX(Inputs!$K$5:$AJ$190,0,MATCH(D$2,Inputs!$K$4:$AJ$4,0)))+SUMPRODUCT((Inputs!$E$5:$E$190=$B45)*Inputs!$F$5:$F$190*(((Inputs!$G$5:$G$190="moeda")+(Inputs!$G$5:$G$190="acoes"))*Inputs!$B$1+((Inputs!$G$5:$G$190&lt;&gt;"moeda")*(Inputs!$G$5:$G$190&lt;&gt;"acoes")))*INDEX(Inputs!$K$5:$AJ$190,0,MATCH(D$2,Inputs!$K$4:$AJ$4,0)))))</f>
        <v>215.1</v>
      </c>
      <c r="E45" s="6">
        <f>IF(ISNA(MATCH(E$2,Inputs!$K$4:$AJ$4,0)),NA(),IF(SUMPRODUCT((Inputs!$A$5:$A$190=$B45)*ISNUMBER(INDEX(Inputs!$K$5:$AJ$190,0,MATCH(E$2,Inputs!$K$4:$AJ$4,0))))+SUMPRODUCT((Inputs!$C$5:$C$190=$B45)*ISNUMBER(INDEX(Inputs!$K$5:$AJ$190,0,MATCH(E$2,Inputs!$K$4:$AJ$4,0))))+SUMPRODUCT((Inputs!$E$5:$E$190=$B45)*ISNUMBER(INDEX(Inputs!$K$5:$AJ$190,0,MATCH(E$2,Inputs!$K$4:$AJ$4,0))))=0,NA(),SUMPRODUCT((Inputs!$A$5:$A$190=$B45)*Inputs!$B$5:$B$190*(((Inputs!$G$5:$G$190="moeda")+(Inputs!$G$5:$G$190="acoes"))*Inputs!$B$1+((Inputs!$G$5:$G$190&lt;&gt;"moeda")*(Inputs!$G$5:$G$190&lt;&gt;"acoes")))*INDEX(Inputs!$K$5:$AJ$190,0,MATCH(E$2,Inputs!$K$4:$AJ$4,0)))+SUMPRODUCT((Inputs!$C$5:$C$190=$B45)*Inputs!$D$5:$D$190*(((Inputs!$G$5:$G$190="moeda")+(Inputs!$G$5:$G$190="acoes"))*Inputs!$B$1+((Inputs!$G$5:$G$190&lt;&gt;"moeda")*(Inputs!$G$5:$G$190&lt;&gt;"acoes")))*INDEX(Inputs!$K$5:$AJ$190,0,MATCH(E$2,Inputs!$K$4:$AJ$4,0)))+SUMPRODUCT((Inputs!$E$5:$E$190=$B45)*Inputs!$F$5:$F$190*(((Inputs!$G$5:$G$190="moeda")+(Inputs!$G$5:$G$190="acoes"))*Inputs!$B$1+((Inputs!$G$5:$G$190&lt;&gt;"moeda")*(Inputs!$G$5:$G$190&lt;&gt;"acoes")))*INDEX(Inputs!$K$5:$AJ$190,0,MATCH(E$2,Inputs!$K$4:$AJ$4,0)))))</f>
        <v>270.366</v>
      </c>
      <c r="F45" s="6">
        <f>IF(ISNA(MATCH(F$2,Inputs!$K$4:$AJ$4,0)),NA(),IF(SUMPRODUCT((Inputs!$A$5:$A$190=$B45)*ISNUMBER(INDEX(Inputs!$K$5:$AJ$190,0,MATCH(F$2,Inputs!$K$4:$AJ$4,0))))+SUMPRODUCT((Inputs!$C$5:$C$190=$B45)*ISNUMBER(INDEX(Inputs!$K$5:$AJ$190,0,MATCH(F$2,Inputs!$K$4:$AJ$4,0))))+SUMPRODUCT((Inputs!$E$5:$E$190=$B45)*ISNUMBER(INDEX(Inputs!$K$5:$AJ$190,0,MATCH(F$2,Inputs!$K$4:$AJ$4,0))))=0,NA(),SUMPRODUCT((Inputs!$A$5:$A$190=$B45)*Inputs!$B$5:$B$190*(((Inputs!$G$5:$G$190="moeda")+(Inputs!$G$5:$G$190="acoes"))*Inputs!$B$1+((Inputs!$G$5:$G$190&lt;&gt;"moeda")*(Inputs!$G$5:$G$190&lt;&gt;"acoes")))*INDEX(Inputs!$K$5:$AJ$190,0,MATCH(F$2,Inputs!$K$4:$AJ$4,0)))+SUMPRODUCT((Inputs!$C$5:$C$190=$B45)*Inputs!$D$5:$D$190*(((Inputs!$G$5:$G$190="moeda")+(Inputs!$G$5:$G$190="acoes"))*Inputs!$B$1+((Inputs!$G$5:$G$190&lt;&gt;"moeda")*(Inputs!$G$5:$G$190&lt;&gt;"acoes")))*INDEX(Inputs!$K$5:$AJ$190,0,MATCH(F$2,Inputs!$K$4:$AJ$4,0)))+SUMPRODUCT((Inputs!$E$5:$E$190=$B45)*Inputs!$F$5:$F$190*(((Inputs!$G$5:$G$190="moeda")+(Inputs!$G$5:$G$190="acoes"))*Inputs!$B$1+((Inputs!$G$5:$G$190&lt;&gt;"moeda")*(Inputs!$G$5:$G$190&lt;&gt;"acoes")))*INDEX(Inputs!$K$5:$AJ$190,0,MATCH(F$2,Inputs!$K$4:$AJ$4,0)))))</f>
        <v>214.938</v>
      </c>
      <c r="G45" s="6">
        <f>IF(ISNA(MATCH(G$2,Inputs!$K$4:$AJ$4,0)),NA(),IF(SUMPRODUCT((Inputs!$A$5:$A$190=$B45)*ISNUMBER(INDEX(Inputs!$K$5:$AJ$190,0,MATCH(G$2,Inputs!$K$4:$AJ$4,0))))+SUMPRODUCT((Inputs!$C$5:$C$190=$B45)*ISNUMBER(INDEX(Inputs!$K$5:$AJ$190,0,MATCH(G$2,Inputs!$K$4:$AJ$4,0))))+SUMPRODUCT((Inputs!$E$5:$E$190=$B45)*ISNUMBER(INDEX(Inputs!$K$5:$AJ$190,0,MATCH(G$2,Inputs!$K$4:$AJ$4,0))))=0,NA(),SUMPRODUCT((Inputs!$A$5:$A$190=$B45)*Inputs!$B$5:$B$190*(((Inputs!$G$5:$G$190="moeda")+(Inputs!$G$5:$G$190="acoes"))*Inputs!$B$1+((Inputs!$G$5:$G$190&lt;&gt;"moeda")*(Inputs!$G$5:$G$190&lt;&gt;"acoes")))*INDEX(Inputs!$K$5:$AJ$190,0,MATCH(G$2,Inputs!$K$4:$AJ$4,0)))+SUMPRODUCT((Inputs!$C$5:$C$190=$B45)*Inputs!$D$5:$D$190*(((Inputs!$G$5:$G$190="moeda")+(Inputs!$G$5:$G$190="acoes"))*Inputs!$B$1+((Inputs!$G$5:$G$190&lt;&gt;"moeda")*(Inputs!$G$5:$G$190&lt;&gt;"acoes")))*INDEX(Inputs!$K$5:$AJ$190,0,MATCH(G$2,Inputs!$K$4:$AJ$4,0)))+SUMPRODUCT((Inputs!$E$5:$E$190=$B45)*Inputs!$F$5:$F$190*(((Inputs!$G$5:$G$190="moeda")+(Inputs!$G$5:$G$190="acoes"))*Inputs!$B$1+((Inputs!$G$5:$G$190&lt;&gt;"moeda")*(Inputs!$G$5:$G$190&lt;&gt;"acoes")))*INDEX(Inputs!$K$5:$AJ$190,0,MATCH(G$2,Inputs!$K$4:$AJ$4,0)))))</f>
        <v>261.301</v>
      </c>
      <c r="H45" s="3">
        <f>G45</f>
        <v>261.301</v>
      </c>
      <c r="I45" s="6">
        <f>IF(ISNA(MATCH(I$2,Inputs!$K$4:$AJ$4,0)),NA(),IF(SUMPRODUCT((Inputs!$A$5:$A$190=$B45)*ISNUMBER(INDEX(Inputs!$K$5:$AJ$190,0,MATCH(I$2,Inputs!$K$4:$AJ$4,0))))+SUMPRODUCT((Inputs!$C$5:$C$190=$B45)*ISNUMBER(INDEX(Inputs!$K$5:$AJ$190,0,MATCH(I$2,Inputs!$K$4:$AJ$4,0))))+SUMPRODUCT((Inputs!$E$5:$E$190=$B45)*ISNUMBER(INDEX(Inputs!$K$5:$AJ$190,0,MATCH(I$2,Inputs!$K$4:$AJ$4,0))))=0,NA(),SUMPRODUCT((Inputs!$A$5:$A$190=$B45)*Inputs!$B$5:$B$190*(((Inputs!$G$5:$G$190="moeda")+(Inputs!$G$5:$G$190="acoes"))*Inputs!$B$1+((Inputs!$G$5:$G$190&lt;&gt;"moeda")*(Inputs!$G$5:$G$190&lt;&gt;"acoes")))*INDEX(Inputs!$K$5:$AJ$190,0,MATCH(I$2,Inputs!$K$4:$AJ$4,0)))+SUMPRODUCT((Inputs!$C$5:$C$190=$B45)*Inputs!$D$5:$D$190*(((Inputs!$G$5:$G$190="moeda")+(Inputs!$G$5:$G$190="acoes"))*Inputs!$B$1+((Inputs!$G$5:$G$190&lt;&gt;"moeda")*(Inputs!$G$5:$G$190&lt;&gt;"acoes")))*INDEX(Inputs!$K$5:$AJ$190,0,MATCH(I$2,Inputs!$K$4:$AJ$4,0)))+SUMPRODUCT((Inputs!$E$5:$E$190=$B45)*Inputs!$F$5:$F$190*(((Inputs!$G$5:$G$190="moeda")+(Inputs!$G$5:$G$190="acoes"))*Inputs!$B$1+((Inputs!$G$5:$G$190&lt;&gt;"moeda")*(Inputs!$G$5:$G$190&lt;&gt;"acoes")))*INDEX(Inputs!$K$5:$AJ$190,0,MATCH(I$2,Inputs!$K$4:$AJ$4,0)))))</f>
        <v>31.943</v>
      </c>
      <c r="J45" s="6">
        <f>IF(ISNA(MATCH(J$2,Inputs!$K$4:$AJ$4,0)),NA(),IF(SUMPRODUCT((Inputs!$A$5:$A$190=$B45)*ISNUMBER(INDEX(Inputs!$K$5:$AJ$190,0,MATCH(J$2,Inputs!$K$4:$AJ$4,0))))+SUMPRODUCT((Inputs!$C$5:$C$190=$B45)*ISNUMBER(INDEX(Inputs!$K$5:$AJ$190,0,MATCH(J$2,Inputs!$K$4:$AJ$4,0))))+SUMPRODUCT((Inputs!$E$5:$E$190=$B45)*ISNUMBER(INDEX(Inputs!$K$5:$AJ$190,0,MATCH(J$2,Inputs!$K$4:$AJ$4,0))))=0,NA(),SUMPRODUCT((Inputs!$A$5:$A$190=$B45)*Inputs!$B$5:$B$190*(((Inputs!$G$5:$G$190="moeda")+(Inputs!$G$5:$G$190="acoes"))*Inputs!$B$1+((Inputs!$G$5:$G$190&lt;&gt;"moeda")*(Inputs!$G$5:$G$190&lt;&gt;"acoes")))*INDEX(Inputs!$K$5:$AJ$190,0,MATCH(J$2,Inputs!$K$4:$AJ$4,0)))+SUMPRODUCT((Inputs!$C$5:$C$190=$B45)*Inputs!$D$5:$D$190*(((Inputs!$G$5:$G$190="moeda")+(Inputs!$G$5:$G$190="acoes"))*Inputs!$B$1+((Inputs!$G$5:$G$190&lt;&gt;"moeda")*(Inputs!$G$5:$G$190&lt;&gt;"acoes")))*INDEX(Inputs!$K$5:$AJ$190,0,MATCH(J$2,Inputs!$K$4:$AJ$4,0)))+SUMPRODUCT((Inputs!$E$5:$E$190=$B45)*Inputs!$F$5:$F$190*(((Inputs!$G$5:$G$190="moeda")+(Inputs!$G$5:$G$190="acoes"))*Inputs!$B$1+((Inputs!$G$5:$G$190&lt;&gt;"moeda")*(Inputs!$G$5:$G$190&lt;&gt;"acoes")))*INDEX(Inputs!$K$5:$AJ$190,0,MATCH(J$2,Inputs!$K$4:$AJ$4,0)))))</f>
        <v>-104.169</v>
      </c>
      <c r="K45" s="6">
        <f>IF(ISNA(MATCH(K$2,Inputs!$K$4:$AJ$4,0)),NA(),IF(SUMPRODUCT((Inputs!$A$5:$A$190=$B45)*ISNUMBER(INDEX(Inputs!$K$5:$AJ$190,0,MATCH(K$2,Inputs!$K$4:$AJ$4,0))))+SUMPRODUCT((Inputs!$C$5:$C$190=$B45)*ISNUMBER(INDEX(Inputs!$K$5:$AJ$190,0,MATCH(K$2,Inputs!$K$4:$AJ$4,0))))+SUMPRODUCT((Inputs!$E$5:$E$190=$B45)*ISNUMBER(INDEX(Inputs!$K$5:$AJ$190,0,MATCH(K$2,Inputs!$K$4:$AJ$4,0))))=0,NA(),SUMPRODUCT((Inputs!$A$5:$A$190=$B45)*Inputs!$B$5:$B$190*(((Inputs!$G$5:$G$190="moeda")+(Inputs!$G$5:$G$190="acoes"))*Inputs!$B$1+((Inputs!$G$5:$G$190&lt;&gt;"moeda")*(Inputs!$G$5:$G$190&lt;&gt;"acoes")))*INDEX(Inputs!$K$5:$AJ$190,0,MATCH(K$2,Inputs!$K$4:$AJ$4,0)))+SUMPRODUCT((Inputs!$C$5:$C$190=$B45)*Inputs!$D$5:$D$190*(((Inputs!$G$5:$G$190="moeda")+(Inputs!$G$5:$G$190="acoes"))*Inputs!$B$1+((Inputs!$G$5:$G$190&lt;&gt;"moeda")*(Inputs!$G$5:$G$190&lt;&gt;"acoes")))*INDEX(Inputs!$K$5:$AJ$190,0,MATCH(K$2,Inputs!$K$4:$AJ$4,0)))+SUMPRODUCT((Inputs!$E$5:$E$190=$B45)*Inputs!$F$5:$F$190*(((Inputs!$G$5:$G$190="moeda")+(Inputs!$G$5:$G$190="acoes"))*Inputs!$B$1+((Inputs!$G$5:$G$190&lt;&gt;"moeda")*(Inputs!$G$5:$G$190&lt;&gt;"acoes")))*INDEX(Inputs!$K$5:$AJ$190,0,MATCH(K$2,Inputs!$K$4:$AJ$4,0)))))</f>
        <v>-268.847</v>
      </c>
      <c r="L45" s="6">
        <f>IF(ISNA(MATCH(L$2,Inputs!$K$4:$AJ$4,0)),NA(),IF(SUMPRODUCT((Inputs!$A$5:$A$190=$B45)*ISNUMBER(INDEX(Inputs!$K$5:$AJ$190,0,MATCH(L$2,Inputs!$K$4:$AJ$4,0))))+SUMPRODUCT((Inputs!$C$5:$C$190=$B45)*ISNUMBER(INDEX(Inputs!$K$5:$AJ$190,0,MATCH(L$2,Inputs!$K$4:$AJ$4,0))))+SUMPRODUCT((Inputs!$E$5:$E$190=$B45)*ISNUMBER(INDEX(Inputs!$K$5:$AJ$190,0,MATCH(L$2,Inputs!$K$4:$AJ$4,0))))=0,NA(),SUMPRODUCT((Inputs!$A$5:$A$190=$B45)*Inputs!$B$5:$B$190*(((Inputs!$G$5:$G$190="moeda")+(Inputs!$G$5:$G$190="acoes"))*Inputs!$B$1+((Inputs!$G$5:$G$190&lt;&gt;"moeda")*(Inputs!$G$5:$G$190&lt;&gt;"acoes")))*INDEX(Inputs!$K$5:$AJ$190,0,MATCH(L$2,Inputs!$K$4:$AJ$4,0)))+SUMPRODUCT((Inputs!$C$5:$C$190=$B45)*Inputs!$D$5:$D$190*(((Inputs!$G$5:$G$190="moeda")+(Inputs!$G$5:$G$190="acoes"))*Inputs!$B$1+((Inputs!$G$5:$G$190&lt;&gt;"moeda")*(Inputs!$G$5:$G$190&lt;&gt;"acoes")))*INDEX(Inputs!$K$5:$AJ$190,0,MATCH(L$2,Inputs!$K$4:$AJ$4,0)))+SUMPRODUCT((Inputs!$E$5:$E$190=$B45)*Inputs!$F$5:$F$190*(((Inputs!$G$5:$G$190="moeda")+(Inputs!$G$5:$G$190="acoes"))*Inputs!$B$1+((Inputs!$G$5:$G$190&lt;&gt;"moeda")*(Inputs!$G$5:$G$190&lt;&gt;"acoes")))*INDEX(Inputs!$K$5:$AJ$190,0,MATCH(L$2,Inputs!$K$4:$AJ$4,0)))))</f>
        <v>-251.844</v>
      </c>
      <c r="M45" s="3">
        <f>L45</f>
        <v>-251.844</v>
      </c>
      <c r="N45" s="6">
        <f>IF(ISNA(MATCH(N$2,Inputs!$K$4:$AJ$4,0)),NA(),IF(SUMPRODUCT((Inputs!$A$5:$A$190=$B45)*ISNUMBER(INDEX(Inputs!$K$5:$AJ$190,0,MATCH(N$2,Inputs!$K$4:$AJ$4,0))))+SUMPRODUCT((Inputs!$C$5:$C$190=$B45)*ISNUMBER(INDEX(Inputs!$K$5:$AJ$190,0,MATCH(N$2,Inputs!$K$4:$AJ$4,0))))+SUMPRODUCT((Inputs!$E$5:$E$190=$B45)*ISNUMBER(INDEX(Inputs!$K$5:$AJ$190,0,MATCH(N$2,Inputs!$K$4:$AJ$4,0))))=0,NA(),SUMPRODUCT((Inputs!$A$5:$A$190=$B45)*Inputs!$B$5:$B$190*(((Inputs!$G$5:$G$190="moeda")+(Inputs!$G$5:$G$190="acoes"))*Inputs!$B$1+((Inputs!$G$5:$G$190&lt;&gt;"moeda")*(Inputs!$G$5:$G$190&lt;&gt;"acoes")))*INDEX(Inputs!$K$5:$AJ$190,0,MATCH(N$2,Inputs!$K$4:$AJ$4,0)))+SUMPRODUCT((Inputs!$C$5:$C$190=$B45)*Inputs!$D$5:$D$190*(((Inputs!$G$5:$G$190="moeda")+(Inputs!$G$5:$G$190="acoes"))*Inputs!$B$1+((Inputs!$G$5:$G$190&lt;&gt;"moeda")*(Inputs!$G$5:$G$190&lt;&gt;"acoes")))*INDEX(Inputs!$K$5:$AJ$190,0,MATCH(N$2,Inputs!$K$4:$AJ$4,0)))+SUMPRODUCT((Inputs!$E$5:$E$190=$B45)*Inputs!$F$5:$F$190*(((Inputs!$G$5:$G$190="moeda")+(Inputs!$G$5:$G$190="acoes"))*Inputs!$B$1+((Inputs!$G$5:$G$190&lt;&gt;"moeda")*(Inputs!$G$5:$G$190&lt;&gt;"acoes")))*INDEX(Inputs!$K$5:$AJ$190,0,MATCH(N$2,Inputs!$K$4:$AJ$4,0)))))</f>
        <v>-954.935384997447</v>
      </c>
      <c r="O45" s="6">
        <f>IF(ISNA(MATCH(O$2,Inputs!$K$4:$AJ$4,0)),NA(),IF(SUMPRODUCT((Inputs!$A$5:$A$190=$B45)*ISNUMBER(INDEX(Inputs!$K$5:$AJ$190,0,MATCH(O$2,Inputs!$K$4:$AJ$4,0))))+SUMPRODUCT((Inputs!$C$5:$C$190=$B45)*ISNUMBER(INDEX(Inputs!$K$5:$AJ$190,0,MATCH(O$2,Inputs!$K$4:$AJ$4,0))))+SUMPRODUCT((Inputs!$E$5:$E$190=$B45)*ISNUMBER(INDEX(Inputs!$K$5:$AJ$190,0,MATCH(O$2,Inputs!$K$4:$AJ$4,0))))=0,NA(),SUMPRODUCT((Inputs!$A$5:$A$190=$B45)*Inputs!$B$5:$B$190*(((Inputs!$G$5:$G$190="moeda")+(Inputs!$G$5:$G$190="acoes"))*Inputs!$B$1+((Inputs!$G$5:$G$190&lt;&gt;"moeda")*(Inputs!$G$5:$G$190&lt;&gt;"acoes")))*INDEX(Inputs!$K$5:$AJ$190,0,MATCH(O$2,Inputs!$K$4:$AJ$4,0)))+SUMPRODUCT((Inputs!$C$5:$C$190=$B45)*Inputs!$D$5:$D$190*(((Inputs!$G$5:$G$190="moeda")+(Inputs!$G$5:$G$190="acoes"))*Inputs!$B$1+((Inputs!$G$5:$G$190&lt;&gt;"moeda")*(Inputs!$G$5:$G$190&lt;&gt;"acoes")))*INDEX(Inputs!$K$5:$AJ$190,0,MATCH(O$2,Inputs!$K$4:$AJ$4,0)))+SUMPRODUCT((Inputs!$E$5:$E$190=$B45)*Inputs!$F$5:$F$190*(((Inputs!$G$5:$G$190="moeda")+(Inputs!$G$5:$G$190="acoes"))*Inputs!$B$1+((Inputs!$G$5:$G$190&lt;&gt;"moeda")*(Inputs!$G$5:$G$190&lt;&gt;"acoes")))*INDEX(Inputs!$K$5:$AJ$190,0,MATCH(O$2,Inputs!$K$4:$AJ$4,0)))))</f>
        <v>-725.563953237447</v>
      </c>
      <c r="P45" s="6">
        <f>IF(ISNA(MATCH(P$2,Inputs!$K$4:$AJ$4,0)),NA(),IF(SUMPRODUCT((Inputs!$A$5:$A$190=$B45)*ISNUMBER(INDEX(Inputs!$K$5:$AJ$190,0,MATCH(P$2,Inputs!$K$4:$AJ$4,0))))+SUMPRODUCT((Inputs!$C$5:$C$190=$B45)*ISNUMBER(INDEX(Inputs!$K$5:$AJ$190,0,MATCH(P$2,Inputs!$K$4:$AJ$4,0))))+SUMPRODUCT((Inputs!$E$5:$E$190=$B45)*ISNUMBER(INDEX(Inputs!$K$5:$AJ$190,0,MATCH(P$2,Inputs!$K$4:$AJ$4,0))))=0,NA(),SUMPRODUCT((Inputs!$A$5:$A$190=$B45)*Inputs!$B$5:$B$190*(((Inputs!$G$5:$G$190="moeda")+(Inputs!$G$5:$G$190="acoes"))*Inputs!$B$1+((Inputs!$G$5:$G$190&lt;&gt;"moeda")*(Inputs!$G$5:$G$190&lt;&gt;"acoes")))*INDEX(Inputs!$K$5:$AJ$190,0,MATCH(P$2,Inputs!$K$4:$AJ$4,0)))+SUMPRODUCT((Inputs!$C$5:$C$190=$B45)*Inputs!$D$5:$D$190*(((Inputs!$G$5:$G$190="moeda")+(Inputs!$G$5:$G$190="acoes"))*Inputs!$B$1+((Inputs!$G$5:$G$190&lt;&gt;"moeda")*(Inputs!$G$5:$G$190&lt;&gt;"acoes")))*INDEX(Inputs!$K$5:$AJ$190,0,MATCH(P$2,Inputs!$K$4:$AJ$4,0)))+SUMPRODUCT((Inputs!$E$5:$E$190=$B45)*Inputs!$F$5:$F$190*(((Inputs!$G$5:$G$190="moeda")+(Inputs!$G$5:$G$190="acoes"))*Inputs!$B$1+((Inputs!$G$5:$G$190&lt;&gt;"moeda")*(Inputs!$G$5:$G$190&lt;&gt;"acoes")))*INDEX(Inputs!$K$5:$AJ$190,0,MATCH(P$2,Inputs!$K$4:$AJ$4,0)))))</f>
        <v>-84.9176377074471</v>
      </c>
      <c r="Q45" s="6">
        <f>IF(ISNA(MATCH(Q$2,Inputs!$K$4:$AJ$4,0)),NA(),IF(SUMPRODUCT((Inputs!$A$5:$A$190=$B45)*ISNUMBER(INDEX(Inputs!$K$5:$AJ$190,0,MATCH(Q$2,Inputs!$K$4:$AJ$4,0))))+SUMPRODUCT((Inputs!$C$5:$C$190=$B45)*ISNUMBER(INDEX(Inputs!$K$5:$AJ$190,0,MATCH(Q$2,Inputs!$K$4:$AJ$4,0))))+SUMPRODUCT((Inputs!$E$5:$E$190=$B45)*ISNUMBER(INDEX(Inputs!$K$5:$AJ$190,0,MATCH(Q$2,Inputs!$K$4:$AJ$4,0))))=0,NA(),SUMPRODUCT((Inputs!$A$5:$A$190=$B45)*Inputs!$B$5:$B$190*(((Inputs!$G$5:$G$190="moeda")+(Inputs!$G$5:$G$190="acoes"))*Inputs!$B$1+((Inputs!$G$5:$G$190&lt;&gt;"moeda")*(Inputs!$G$5:$G$190&lt;&gt;"acoes")))*INDEX(Inputs!$K$5:$AJ$190,0,MATCH(Q$2,Inputs!$K$4:$AJ$4,0)))+SUMPRODUCT((Inputs!$C$5:$C$190=$B45)*Inputs!$D$5:$D$190*(((Inputs!$G$5:$G$190="moeda")+(Inputs!$G$5:$G$190="acoes"))*Inputs!$B$1+((Inputs!$G$5:$G$190&lt;&gt;"moeda")*(Inputs!$G$5:$G$190&lt;&gt;"acoes")))*INDEX(Inputs!$K$5:$AJ$190,0,MATCH(Q$2,Inputs!$K$4:$AJ$4,0)))+SUMPRODUCT((Inputs!$E$5:$E$190=$B45)*Inputs!$F$5:$F$190*(((Inputs!$G$5:$G$190="moeda")+(Inputs!$G$5:$G$190="acoes"))*Inputs!$B$1+((Inputs!$G$5:$G$190&lt;&gt;"moeda")*(Inputs!$G$5:$G$190&lt;&gt;"acoes")))*INDEX(Inputs!$K$5:$AJ$190,0,MATCH(Q$2,Inputs!$K$4:$AJ$4,0)))))</f>
        <v>-405.504835827447</v>
      </c>
      <c r="R45" s="3">
        <f>Q45</f>
        <v>-405.504835827447</v>
      </c>
      <c r="S45" s="6">
        <f>IF(ISNA(MATCH(S$2,Inputs!$K$4:$AJ$4,0)),NA(),IF(SUMPRODUCT((Inputs!$A$5:$A$190=$B45)*ISNUMBER(INDEX(Inputs!$K$5:$AJ$190,0,MATCH(S$2,Inputs!$K$4:$AJ$4,0))))+SUMPRODUCT((Inputs!$C$5:$C$190=$B45)*ISNUMBER(INDEX(Inputs!$K$5:$AJ$190,0,MATCH(S$2,Inputs!$K$4:$AJ$4,0))))+SUMPRODUCT((Inputs!$E$5:$E$190=$B45)*ISNUMBER(INDEX(Inputs!$K$5:$AJ$190,0,MATCH(S$2,Inputs!$K$4:$AJ$4,0))))=0,NA(),SUMPRODUCT((Inputs!$A$5:$A$190=$B45)*Inputs!$B$5:$B$190*(((Inputs!$G$5:$G$190="moeda")+(Inputs!$G$5:$G$190="acoes"))*Inputs!$B$1+((Inputs!$G$5:$G$190&lt;&gt;"moeda")*(Inputs!$G$5:$G$190&lt;&gt;"acoes")))*INDEX(Inputs!$K$5:$AJ$190,0,MATCH(S$2,Inputs!$K$4:$AJ$4,0)))+SUMPRODUCT((Inputs!$C$5:$C$190=$B45)*Inputs!$D$5:$D$190*(((Inputs!$G$5:$G$190="moeda")+(Inputs!$G$5:$G$190="acoes"))*Inputs!$B$1+((Inputs!$G$5:$G$190&lt;&gt;"moeda")*(Inputs!$G$5:$G$190&lt;&gt;"acoes")))*INDEX(Inputs!$K$5:$AJ$190,0,MATCH(S$2,Inputs!$K$4:$AJ$4,0)))+SUMPRODUCT((Inputs!$E$5:$E$190=$B45)*Inputs!$F$5:$F$190*(((Inputs!$G$5:$G$190="moeda")+(Inputs!$G$5:$G$190="acoes"))*Inputs!$B$1+((Inputs!$G$5:$G$190&lt;&gt;"moeda")*(Inputs!$G$5:$G$190&lt;&gt;"acoes")))*INDEX(Inputs!$K$5:$AJ$190,0,MATCH(S$2,Inputs!$K$4:$AJ$4,0)))))</f>
        <v>-445.750407677447</v>
      </c>
      <c r="T45" s="6">
        <f>IF(ISNA(MATCH(T$2,Inputs!$K$4:$AJ$4,0)),NA(),IF(SUMPRODUCT((Inputs!$A$5:$A$190=$B45)*ISNUMBER(INDEX(Inputs!$K$5:$AJ$190,0,MATCH(T$2,Inputs!$K$4:$AJ$4,0))))+SUMPRODUCT((Inputs!$C$5:$C$190=$B45)*ISNUMBER(INDEX(Inputs!$K$5:$AJ$190,0,MATCH(T$2,Inputs!$K$4:$AJ$4,0))))+SUMPRODUCT((Inputs!$E$5:$E$190=$B45)*ISNUMBER(INDEX(Inputs!$K$5:$AJ$190,0,MATCH(T$2,Inputs!$K$4:$AJ$4,0))))=0,NA(),SUMPRODUCT((Inputs!$A$5:$A$190=$B45)*Inputs!$B$5:$B$190*(((Inputs!$G$5:$G$190="moeda")+(Inputs!$G$5:$G$190="acoes"))*Inputs!$B$1+((Inputs!$G$5:$G$190&lt;&gt;"moeda")*(Inputs!$G$5:$G$190&lt;&gt;"acoes")))*INDEX(Inputs!$K$5:$AJ$190,0,MATCH(T$2,Inputs!$K$4:$AJ$4,0)))+SUMPRODUCT((Inputs!$C$5:$C$190=$B45)*Inputs!$D$5:$D$190*(((Inputs!$G$5:$G$190="moeda")+(Inputs!$G$5:$G$190="acoes"))*Inputs!$B$1+((Inputs!$G$5:$G$190&lt;&gt;"moeda")*(Inputs!$G$5:$G$190&lt;&gt;"acoes")))*INDEX(Inputs!$K$5:$AJ$190,0,MATCH(T$2,Inputs!$K$4:$AJ$4,0)))+SUMPRODUCT((Inputs!$E$5:$E$190=$B45)*Inputs!$F$5:$F$190*(((Inputs!$G$5:$G$190="moeda")+(Inputs!$G$5:$G$190="acoes"))*Inputs!$B$1+((Inputs!$G$5:$G$190&lt;&gt;"moeda")*(Inputs!$G$5:$G$190&lt;&gt;"acoes")))*INDEX(Inputs!$K$5:$AJ$190,0,MATCH(T$2,Inputs!$K$4:$AJ$4,0)))))</f>
        <v>-488.909182807447</v>
      </c>
      <c r="U45" s="6">
        <f>IF(ISNA(MATCH(U$2,Inputs!$K$4:$AJ$4,0)),NA(),IF(SUMPRODUCT((Inputs!$A$5:$A$190=$B45)*ISNUMBER(INDEX(Inputs!$K$5:$AJ$190,0,MATCH(U$2,Inputs!$K$4:$AJ$4,0))))+SUMPRODUCT((Inputs!$C$5:$C$190=$B45)*ISNUMBER(INDEX(Inputs!$K$5:$AJ$190,0,MATCH(U$2,Inputs!$K$4:$AJ$4,0))))+SUMPRODUCT((Inputs!$E$5:$E$190=$B45)*ISNUMBER(INDEX(Inputs!$K$5:$AJ$190,0,MATCH(U$2,Inputs!$K$4:$AJ$4,0))))=0,NA(),SUMPRODUCT((Inputs!$A$5:$A$190=$B45)*Inputs!$B$5:$B$190*(((Inputs!$G$5:$G$190="moeda")+(Inputs!$G$5:$G$190="acoes"))*Inputs!$B$1+((Inputs!$G$5:$G$190&lt;&gt;"moeda")*(Inputs!$G$5:$G$190&lt;&gt;"acoes")))*INDEX(Inputs!$K$5:$AJ$190,0,MATCH(U$2,Inputs!$K$4:$AJ$4,0)))+SUMPRODUCT((Inputs!$C$5:$C$190=$B45)*Inputs!$D$5:$D$190*(((Inputs!$G$5:$G$190="moeda")+(Inputs!$G$5:$G$190="acoes"))*Inputs!$B$1+((Inputs!$G$5:$G$190&lt;&gt;"moeda")*(Inputs!$G$5:$G$190&lt;&gt;"acoes")))*INDEX(Inputs!$K$5:$AJ$190,0,MATCH(U$2,Inputs!$K$4:$AJ$4,0)))+SUMPRODUCT((Inputs!$E$5:$E$190=$B45)*Inputs!$F$5:$F$190*(((Inputs!$G$5:$G$190="moeda")+(Inputs!$G$5:$G$190="acoes"))*Inputs!$B$1+((Inputs!$G$5:$G$190&lt;&gt;"moeda")*(Inputs!$G$5:$G$190&lt;&gt;"acoes")))*INDEX(Inputs!$K$5:$AJ$190,0,MATCH(U$2,Inputs!$K$4:$AJ$4,0)))))</f>
        <v>-415.623650617447</v>
      </c>
      <c r="V45" s="6">
        <f>IF(ISNA(MATCH(V$2,Inputs!$K$4:$AJ$4,0)),NA(),IF(SUMPRODUCT((Inputs!$A$5:$A$190=$B45)*ISNUMBER(INDEX(Inputs!$K$5:$AJ$190,0,MATCH(V$2,Inputs!$K$4:$AJ$4,0))))+SUMPRODUCT((Inputs!$C$5:$C$190=$B45)*ISNUMBER(INDEX(Inputs!$K$5:$AJ$190,0,MATCH(V$2,Inputs!$K$4:$AJ$4,0))))+SUMPRODUCT((Inputs!$E$5:$E$190=$B45)*ISNUMBER(INDEX(Inputs!$K$5:$AJ$190,0,MATCH(V$2,Inputs!$K$4:$AJ$4,0))))=0,NA(),SUMPRODUCT((Inputs!$A$5:$A$190=$B45)*Inputs!$B$5:$B$190*(((Inputs!$G$5:$G$190="moeda")+(Inputs!$G$5:$G$190="acoes"))*Inputs!$B$1+((Inputs!$G$5:$G$190&lt;&gt;"moeda")*(Inputs!$G$5:$G$190&lt;&gt;"acoes")))*INDEX(Inputs!$K$5:$AJ$190,0,MATCH(V$2,Inputs!$K$4:$AJ$4,0)))+SUMPRODUCT((Inputs!$C$5:$C$190=$B45)*Inputs!$D$5:$D$190*(((Inputs!$G$5:$G$190="moeda")+(Inputs!$G$5:$G$190="acoes"))*Inputs!$B$1+((Inputs!$G$5:$G$190&lt;&gt;"moeda")*(Inputs!$G$5:$G$190&lt;&gt;"acoes")))*INDEX(Inputs!$K$5:$AJ$190,0,MATCH(V$2,Inputs!$K$4:$AJ$4,0)))+SUMPRODUCT((Inputs!$E$5:$E$190=$B45)*Inputs!$F$5:$F$190*(((Inputs!$G$5:$G$190="moeda")+(Inputs!$G$5:$G$190="acoes"))*Inputs!$B$1+((Inputs!$G$5:$G$190&lt;&gt;"moeda")*(Inputs!$G$5:$G$190&lt;&gt;"acoes")))*INDEX(Inputs!$K$5:$AJ$190,0,MATCH(V$2,Inputs!$K$4:$AJ$4,0)))))</f>
        <v>-582.0273455</v>
      </c>
      <c r="W45" s="3">
        <f>V45</f>
        <v>-582.0273455</v>
      </c>
      <c r="X45" s="6">
        <f>IF(ISNA(MATCH(X$2,Inputs!$K$4:$AJ$4,0)),NA(),IF(SUMPRODUCT((Inputs!$A$5:$A$190=$B45)*ISNUMBER(INDEX(Inputs!$K$5:$AJ$190,0,MATCH(X$2,Inputs!$K$4:$AJ$4,0))))+SUMPRODUCT((Inputs!$C$5:$C$190=$B45)*ISNUMBER(INDEX(Inputs!$K$5:$AJ$190,0,MATCH(X$2,Inputs!$K$4:$AJ$4,0))))+SUMPRODUCT((Inputs!$E$5:$E$190=$B45)*ISNUMBER(INDEX(Inputs!$K$5:$AJ$190,0,MATCH(X$2,Inputs!$K$4:$AJ$4,0))))=0,NA(),SUMPRODUCT((Inputs!$A$5:$A$190=$B45)*Inputs!$B$5:$B$190*(((Inputs!$G$5:$G$190="moeda")+(Inputs!$G$5:$G$190="acoes"))*Inputs!$B$1+((Inputs!$G$5:$G$190&lt;&gt;"moeda")*(Inputs!$G$5:$G$190&lt;&gt;"acoes")))*INDEX(Inputs!$K$5:$AJ$190,0,MATCH(X$2,Inputs!$K$4:$AJ$4,0)))+SUMPRODUCT((Inputs!$C$5:$C$190=$B45)*Inputs!$D$5:$D$190*(((Inputs!$G$5:$G$190="moeda")+(Inputs!$G$5:$G$190="acoes"))*Inputs!$B$1+((Inputs!$G$5:$G$190&lt;&gt;"moeda")*(Inputs!$G$5:$G$190&lt;&gt;"acoes")))*INDEX(Inputs!$K$5:$AJ$190,0,MATCH(X$2,Inputs!$K$4:$AJ$4,0)))+SUMPRODUCT((Inputs!$E$5:$E$190=$B45)*Inputs!$F$5:$F$190*(((Inputs!$G$5:$G$190="moeda")+(Inputs!$G$5:$G$190="acoes"))*Inputs!$B$1+((Inputs!$G$5:$G$190&lt;&gt;"moeda")*(Inputs!$G$5:$G$190&lt;&gt;"acoes")))*INDEX(Inputs!$K$5:$AJ$190,0,MATCH(X$2,Inputs!$K$4:$AJ$4,0)))))</f>
        <v>-481.32401074</v>
      </c>
      <c r="Y45" s="6">
        <f>IF(ISNA(MATCH(Y$2,Inputs!$K$4:$AJ$4,0)),NA(),IF(SUMPRODUCT((Inputs!$A$5:$A$190=$B45)*ISNUMBER(INDEX(Inputs!$K$5:$AJ$190,0,MATCH(Y$2,Inputs!$K$4:$AJ$4,0))))+SUMPRODUCT((Inputs!$C$5:$C$190=$B45)*ISNUMBER(INDEX(Inputs!$K$5:$AJ$190,0,MATCH(Y$2,Inputs!$K$4:$AJ$4,0))))+SUMPRODUCT((Inputs!$E$5:$E$190=$B45)*ISNUMBER(INDEX(Inputs!$K$5:$AJ$190,0,MATCH(Y$2,Inputs!$K$4:$AJ$4,0))))=0,NA(),SUMPRODUCT((Inputs!$A$5:$A$190=$B45)*Inputs!$B$5:$B$190*(((Inputs!$G$5:$G$190="moeda")+(Inputs!$G$5:$G$190="acoes"))*Inputs!$B$1+((Inputs!$G$5:$G$190&lt;&gt;"moeda")*(Inputs!$G$5:$G$190&lt;&gt;"acoes")))*INDEX(Inputs!$K$5:$AJ$190,0,MATCH(Y$2,Inputs!$K$4:$AJ$4,0)))+SUMPRODUCT((Inputs!$C$5:$C$190=$B45)*Inputs!$D$5:$D$190*(((Inputs!$G$5:$G$190="moeda")+(Inputs!$G$5:$G$190="acoes"))*Inputs!$B$1+((Inputs!$G$5:$G$190&lt;&gt;"moeda")*(Inputs!$G$5:$G$190&lt;&gt;"acoes")))*INDEX(Inputs!$K$5:$AJ$190,0,MATCH(Y$2,Inputs!$K$4:$AJ$4,0)))+SUMPRODUCT((Inputs!$E$5:$E$190=$B45)*Inputs!$F$5:$F$190*(((Inputs!$G$5:$G$190="moeda")+(Inputs!$G$5:$G$190="acoes"))*Inputs!$B$1+((Inputs!$G$5:$G$190&lt;&gt;"moeda")*(Inputs!$G$5:$G$190&lt;&gt;"acoes")))*INDEX(Inputs!$K$5:$AJ$190,0,MATCH(Y$2,Inputs!$K$4:$AJ$4,0)))))</f>
        <v>-392.7979527</v>
      </c>
      <c r="Z45" s="6">
        <f>IF(ISNA(MATCH(Z$2,Inputs!$K$4:$AJ$4,0)),NA(),IF(SUMPRODUCT((Inputs!$A$5:$A$190=$B45)*ISNUMBER(INDEX(Inputs!$K$5:$AJ$190,0,MATCH(Z$2,Inputs!$K$4:$AJ$4,0))))+SUMPRODUCT((Inputs!$C$5:$C$190=$B45)*ISNUMBER(INDEX(Inputs!$K$5:$AJ$190,0,MATCH(Z$2,Inputs!$K$4:$AJ$4,0))))+SUMPRODUCT((Inputs!$E$5:$E$190=$B45)*ISNUMBER(INDEX(Inputs!$K$5:$AJ$190,0,MATCH(Z$2,Inputs!$K$4:$AJ$4,0))))=0,NA(),SUMPRODUCT((Inputs!$A$5:$A$190=$B45)*Inputs!$B$5:$B$190*(((Inputs!$G$5:$G$190="moeda")+(Inputs!$G$5:$G$190="acoes"))*Inputs!$B$1+((Inputs!$G$5:$G$190&lt;&gt;"moeda")*(Inputs!$G$5:$G$190&lt;&gt;"acoes")))*INDEX(Inputs!$K$5:$AJ$190,0,MATCH(Z$2,Inputs!$K$4:$AJ$4,0)))+SUMPRODUCT((Inputs!$C$5:$C$190=$B45)*Inputs!$D$5:$D$190*(((Inputs!$G$5:$G$190="moeda")+(Inputs!$G$5:$G$190="acoes"))*Inputs!$B$1+((Inputs!$G$5:$G$190&lt;&gt;"moeda")*(Inputs!$G$5:$G$190&lt;&gt;"acoes")))*INDEX(Inputs!$K$5:$AJ$190,0,MATCH(Z$2,Inputs!$K$4:$AJ$4,0)))+SUMPRODUCT((Inputs!$E$5:$E$190=$B45)*Inputs!$F$5:$F$190*(((Inputs!$G$5:$G$190="moeda")+(Inputs!$G$5:$G$190="acoes"))*Inputs!$B$1+((Inputs!$G$5:$G$190&lt;&gt;"moeda")*(Inputs!$G$5:$G$190&lt;&gt;"acoes")))*INDEX(Inputs!$K$5:$AJ$190,0,MATCH(Z$2,Inputs!$K$4:$AJ$4,0)))))</f>
        <v>-421.69167665</v>
      </c>
      <c r="AA45" s="6">
        <f>IF(ISNA(MATCH(AA$2,Inputs!$K$4:$AJ$4,0)),NA(),IF(SUMPRODUCT((Inputs!$A$5:$A$190=$B45)*ISNUMBER(INDEX(Inputs!$K$5:$AJ$190,0,MATCH(AA$2,Inputs!$K$4:$AJ$4,0))))+SUMPRODUCT((Inputs!$C$5:$C$190=$B45)*ISNUMBER(INDEX(Inputs!$K$5:$AJ$190,0,MATCH(AA$2,Inputs!$K$4:$AJ$4,0))))+SUMPRODUCT((Inputs!$E$5:$E$190=$B45)*ISNUMBER(INDEX(Inputs!$K$5:$AJ$190,0,MATCH(AA$2,Inputs!$K$4:$AJ$4,0))))=0,NA(),SUMPRODUCT((Inputs!$A$5:$A$190=$B45)*Inputs!$B$5:$B$190*(((Inputs!$G$5:$G$190="moeda")+(Inputs!$G$5:$G$190="acoes"))*Inputs!$B$1+((Inputs!$G$5:$G$190&lt;&gt;"moeda")*(Inputs!$G$5:$G$190&lt;&gt;"acoes")))*INDEX(Inputs!$K$5:$AJ$190,0,MATCH(AA$2,Inputs!$K$4:$AJ$4,0)))+SUMPRODUCT((Inputs!$C$5:$C$190=$B45)*Inputs!$D$5:$D$190*(((Inputs!$G$5:$G$190="moeda")+(Inputs!$G$5:$G$190="acoes"))*Inputs!$B$1+((Inputs!$G$5:$G$190&lt;&gt;"moeda")*(Inputs!$G$5:$G$190&lt;&gt;"acoes")))*INDEX(Inputs!$K$5:$AJ$190,0,MATCH(AA$2,Inputs!$K$4:$AJ$4,0)))+SUMPRODUCT((Inputs!$E$5:$E$190=$B45)*Inputs!$F$5:$F$190*(((Inputs!$G$5:$G$190="moeda")+(Inputs!$G$5:$G$190="acoes"))*Inputs!$B$1+((Inputs!$G$5:$G$190&lt;&gt;"moeda")*(Inputs!$G$5:$G$190&lt;&gt;"acoes")))*INDEX(Inputs!$K$5:$AJ$190,0,MATCH(AA$2,Inputs!$K$4:$AJ$4,0)))))</f>
        <v>302.5429319</v>
      </c>
      <c r="AB45" s="3">
        <f>AA45</f>
        <v>302.5429319</v>
      </c>
      <c r="AC45" s="6">
        <f>IF(ISNA(MATCH(AC$2,Inputs!$K$4:$AJ$4,0)),NA(),IF(SUMPRODUCT((Inputs!$A$5:$A$190=$B45)*ISNUMBER(INDEX(Inputs!$K$5:$AJ$190,0,MATCH(AC$2,Inputs!$K$4:$AJ$4,0))))+SUMPRODUCT((Inputs!$C$5:$C$190=$B45)*ISNUMBER(INDEX(Inputs!$K$5:$AJ$190,0,MATCH(AC$2,Inputs!$K$4:$AJ$4,0))))+SUMPRODUCT((Inputs!$E$5:$E$190=$B45)*ISNUMBER(INDEX(Inputs!$K$5:$AJ$190,0,MATCH(AC$2,Inputs!$K$4:$AJ$4,0))))=0,NA(),SUMPRODUCT((Inputs!$A$5:$A$190=$B45)*Inputs!$B$5:$B$190*(((Inputs!$G$5:$G$190="moeda")+(Inputs!$G$5:$G$190="acoes"))*Inputs!$B$1+((Inputs!$G$5:$G$190&lt;&gt;"moeda")*(Inputs!$G$5:$G$190&lt;&gt;"acoes")))*INDEX(Inputs!$K$5:$AJ$190,0,MATCH(AC$2,Inputs!$K$4:$AJ$4,0)))+SUMPRODUCT((Inputs!$C$5:$C$190=$B45)*Inputs!$D$5:$D$190*(((Inputs!$G$5:$G$190="moeda")+(Inputs!$G$5:$G$190="acoes"))*Inputs!$B$1+((Inputs!$G$5:$G$190&lt;&gt;"moeda")*(Inputs!$G$5:$G$190&lt;&gt;"acoes")))*INDEX(Inputs!$K$5:$AJ$190,0,MATCH(AC$2,Inputs!$K$4:$AJ$4,0)))+SUMPRODUCT((Inputs!$E$5:$E$190=$B45)*Inputs!$F$5:$F$190*(((Inputs!$G$5:$G$190="moeda")+(Inputs!$G$5:$G$190="acoes"))*Inputs!$B$1+((Inputs!$G$5:$G$190&lt;&gt;"moeda")*(Inputs!$G$5:$G$190&lt;&gt;"acoes")))*INDEX(Inputs!$K$5:$AJ$190,0,MATCH(AC$2,Inputs!$K$4:$AJ$4,0)))))</f>
        <v>302.54293186</v>
      </c>
      <c r="AD45" s="6">
        <f>IF(ISNA(MATCH(AD$2,Inputs!$K$4:$AJ$4,0)),NA(),IF(SUMPRODUCT((Inputs!$A$5:$A$190=$B45)*ISNUMBER(INDEX(Inputs!$K$5:$AJ$190,0,MATCH(AD$2,Inputs!$K$4:$AJ$4,0))))+SUMPRODUCT((Inputs!$C$5:$C$190=$B45)*ISNUMBER(INDEX(Inputs!$K$5:$AJ$190,0,MATCH(AD$2,Inputs!$K$4:$AJ$4,0))))+SUMPRODUCT((Inputs!$E$5:$E$190=$B45)*ISNUMBER(INDEX(Inputs!$K$5:$AJ$190,0,MATCH(AD$2,Inputs!$K$4:$AJ$4,0))))=0,NA(),SUMPRODUCT((Inputs!$A$5:$A$190=$B45)*Inputs!$B$5:$B$190*(((Inputs!$G$5:$G$190="moeda")+(Inputs!$G$5:$G$190="acoes"))*Inputs!$B$1+((Inputs!$G$5:$G$190&lt;&gt;"moeda")*(Inputs!$G$5:$G$190&lt;&gt;"acoes")))*INDEX(Inputs!$K$5:$AJ$190,0,MATCH(AD$2,Inputs!$K$4:$AJ$4,0)))+SUMPRODUCT((Inputs!$C$5:$C$190=$B45)*Inputs!$D$5:$D$190*(((Inputs!$G$5:$G$190="moeda")+(Inputs!$G$5:$G$190="acoes"))*Inputs!$B$1+((Inputs!$G$5:$G$190&lt;&gt;"moeda")*(Inputs!$G$5:$G$190&lt;&gt;"acoes")))*INDEX(Inputs!$K$5:$AJ$190,0,MATCH(AD$2,Inputs!$K$4:$AJ$4,0)))+SUMPRODUCT((Inputs!$E$5:$E$190=$B45)*Inputs!$F$5:$F$190*(((Inputs!$G$5:$G$190="moeda")+(Inputs!$G$5:$G$190="acoes"))*Inputs!$B$1+((Inputs!$G$5:$G$190&lt;&gt;"moeda")*(Inputs!$G$5:$G$190&lt;&gt;"acoes")))*INDEX(Inputs!$K$5:$AJ$190,0,MATCH(AD$2,Inputs!$K$4:$AJ$4,0)))))</f>
        <v>333.43460416</v>
      </c>
      <c r="AE45" s="6" t="e">
        <f>IF(ISNA(MATCH(AE$2,Inputs!$K$4:$AJ$4,0)),NA(),IF(SUMPRODUCT((Inputs!$A$5:$A$190=$B45)*ISNUMBER(INDEX(Inputs!$K$5:$AJ$190,0,MATCH(AE$2,Inputs!$K$4:$AJ$4,0))))+SUMPRODUCT((Inputs!$C$5:$C$190=$B45)*ISNUMBER(INDEX(Inputs!$K$5:$AJ$190,0,MATCH(AE$2,Inputs!$K$4:$AJ$4,0))))+SUMPRODUCT((Inputs!$E$5:$E$190=$B45)*ISNUMBER(INDEX(Inputs!$K$5:$AJ$190,0,MATCH(AE$2,Inputs!$K$4:$AJ$4,0))))=0,NA(),SUMPRODUCT((Inputs!$A$5:$A$190=$B45)*Inputs!$B$5:$B$190*(((Inputs!$G$5:$G$190="moeda")+(Inputs!$G$5:$G$190="acoes"))*Inputs!$B$1+((Inputs!$G$5:$G$190&lt;&gt;"moeda")*(Inputs!$G$5:$G$190&lt;&gt;"acoes")))*INDEX(Inputs!$K$5:$AJ$190,0,MATCH(AE$2,Inputs!$K$4:$AJ$4,0)))+SUMPRODUCT((Inputs!$C$5:$C$190=$B45)*Inputs!$D$5:$D$190*(((Inputs!$G$5:$G$190="moeda")+(Inputs!$G$5:$G$190="acoes"))*Inputs!$B$1+((Inputs!$G$5:$G$190&lt;&gt;"moeda")*(Inputs!$G$5:$G$190&lt;&gt;"acoes")))*INDEX(Inputs!$K$5:$AJ$190,0,MATCH(AE$2,Inputs!$K$4:$AJ$4,0)))+SUMPRODUCT((Inputs!$E$5:$E$190=$B45)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45" s="6" t="e">
        <f>IF(ISNA(MATCH(AF$2,Inputs!$K$4:$AJ$4,0)),NA(),IF(SUMPRODUCT((Inputs!$A$5:$A$190=$B45)*ISNUMBER(INDEX(Inputs!$K$5:$AJ$190,0,MATCH(AF$2,Inputs!$K$4:$AJ$4,0))))+SUMPRODUCT((Inputs!$C$5:$C$190=$B45)*ISNUMBER(INDEX(Inputs!$K$5:$AJ$190,0,MATCH(AF$2,Inputs!$K$4:$AJ$4,0))))+SUMPRODUCT((Inputs!$E$5:$E$190=$B45)*ISNUMBER(INDEX(Inputs!$K$5:$AJ$190,0,MATCH(AF$2,Inputs!$K$4:$AJ$4,0))))=0,NA(),SUMPRODUCT((Inputs!$A$5:$A$190=$B45)*Inputs!$B$5:$B$190*(((Inputs!$G$5:$G$190="moeda")+(Inputs!$G$5:$G$190="acoes"))*Inputs!$B$1+((Inputs!$G$5:$G$190&lt;&gt;"moeda")*(Inputs!$G$5:$G$190&lt;&gt;"acoes")))*INDEX(Inputs!$K$5:$AJ$190,0,MATCH(AF$2,Inputs!$K$4:$AJ$4,0)))+SUMPRODUCT((Inputs!$C$5:$C$190=$B45)*Inputs!$D$5:$D$190*(((Inputs!$G$5:$G$190="moeda")+(Inputs!$G$5:$G$190="acoes"))*Inputs!$B$1+((Inputs!$G$5:$G$190&lt;&gt;"moeda")*(Inputs!$G$5:$G$190&lt;&gt;"acoes")))*INDEX(Inputs!$K$5:$AJ$190,0,MATCH(AF$2,Inputs!$K$4:$AJ$4,0)))+SUMPRODUCT((Inputs!$E$5:$E$190=$B45)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45" s="3" t="e">
        <f>AF45</f>
        <v>#N/A</v>
      </c>
      <c r="AH45" s="6">
        <f>IF(ISNA(MATCH(AH$2,Inputs!$K$4:$AJ$4,0)),NA(),IF(SUMPRODUCT((Inputs!$A$5:$A$190=$B45)*ISNUMBER(INDEX(Inputs!$K$5:$AJ$190,0,MATCH(AH$2,Inputs!$K$4:$AJ$4,0))))+SUMPRODUCT((Inputs!$C$5:$C$190=$B45)*ISNUMBER(INDEX(Inputs!$K$5:$AJ$190,0,MATCH(AH$2,Inputs!$K$4:$AJ$4,0))))+SUMPRODUCT((Inputs!$E$5:$E$190=$B45)*ISNUMBER(INDEX(Inputs!$K$5:$AJ$190,0,MATCH(AH$2,Inputs!$K$4:$AJ$4,0))))=0,NA(),SUMPRODUCT((Inputs!$A$5:$A$190=$B45)*Inputs!$B$5:$B$190*(((Inputs!$G$5:$G$190="moeda")+(Inputs!$G$5:$G$190="acoes"))*Inputs!$B$1+((Inputs!$G$5:$G$190&lt;&gt;"moeda")*(Inputs!$G$5:$G$190&lt;&gt;"acoes")))*INDEX(Inputs!$K$5:$AJ$190,0,MATCH(AH$2,Inputs!$K$4:$AJ$4,0)))+SUMPRODUCT((Inputs!$C$5:$C$190=$B45)*Inputs!$D$5:$D$190*(((Inputs!$G$5:$G$190="moeda")+(Inputs!$G$5:$G$190="acoes"))*Inputs!$B$1+((Inputs!$G$5:$G$190&lt;&gt;"moeda")*(Inputs!$G$5:$G$190&lt;&gt;"acoes")))*INDEX(Inputs!$K$5:$AJ$190,0,MATCH(AH$2,Inputs!$K$4:$AJ$4,0)))+SUMPRODUCT((Inputs!$E$5:$E$190=$B45)*Inputs!$F$5:$F$190*(((Inputs!$G$5:$G$190="moeda")+(Inputs!$G$5:$G$190="acoes"))*Inputs!$B$1+((Inputs!$G$5:$G$190&lt;&gt;"moeda")*(Inputs!$G$5:$G$190&lt;&gt;"acoes")))*INDEX(Inputs!$K$5:$AJ$190,0,MATCH(AH$2,Inputs!$K$4:$AJ$4,0)))))</f>
        <v>166.302</v>
      </c>
      <c r="AI45" s="6">
        <f>IF(ISNA(MATCH(AI$2,Inputs!$K$4:$AJ$4,0)),NA(),IF(SUMPRODUCT((Inputs!$A$5:$A$190=$B45)*ISNUMBER(INDEX(Inputs!$K$5:$AJ$190,0,MATCH(AI$2,Inputs!$K$4:$AJ$4,0))))+SUMPRODUCT((Inputs!$C$5:$C$190=$B45)*ISNUMBER(INDEX(Inputs!$K$5:$AJ$190,0,MATCH(AI$2,Inputs!$K$4:$AJ$4,0))))+SUMPRODUCT((Inputs!$E$5:$E$190=$B45)*ISNUMBER(INDEX(Inputs!$K$5:$AJ$190,0,MATCH(AI$2,Inputs!$K$4:$AJ$4,0))))=0,NA(),SUMPRODUCT((Inputs!$A$5:$A$190=$B45)*Inputs!$B$5:$B$190*(((Inputs!$G$5:$G$190="moeda")+(Inputs!$G$5:$G$190="acoes"))*Inputs!$B$1+((Inputs!$G$5:$G$190&lt;&gt;"moeda")*(Inputs!$G$5:$G$190&lt;&gt;"acoes")))*INDEX(Inputs!$K$5:$AJ$190,0,MATCH(AI$2,Inputs!$K$4:$AJ$4,0)))+SUMPRODUCT((Inputs!$C$5:$C$190=$B45)*Inputs!$D$5:$D$190*(((Inputs!$G$5:$G$190="moeda")+(Inputs!$G$5:$G$190="acoes"))*Inputs!$B$1+((Inputs!$G$5:$G$190&lt;&gt;"moeda")*(Inputs!$G$5:$G$190&lt;&gt;"acoes")))*INDEX(Inputs!$K$5:$AJ$190,0,MATCH(AI$2,Inputs!$K$4:$AJ$4,0)))+SUMPRODUCT((Inputs!$E$5:$E$190=$B45)*Inputs!$F$5:$F$190*(((Inputs!$G$5:$G$190="moeda")+(Inputs!$G$5:$G$190="acoes"))*Inputs!$B$1+((Inputs!$G$5:$G$190&lt;&gt;"moeda")*(Inputs!$G$5:$G$190&lt;&gt;"acoes")))*INDEX(Inputs!$K$5:$AJ$190,0,MATCH(AI$2,Inputs!$K$4:$AJ$4,0)))))</f>
        <v>26.80158517</v>
      </c>
      <c r="AJ45" s="6">
        <f>IF(ISNA(MATCH(AJ$2,Inputs!$K$4:$AJ$4,0)),NA(),IF(SUMPRODUCT((Inputs!$A$5:$A$190=$B45)*ISNUMBER(INDEX(Inputs!$K$5:$AJ$190,0,MATCH(AJ$2,Inputs!$K$4:$AJ$4,0))))+SUMPRODUCT((Inputs!$C$5:$C$190=$B45)*ISNUMBER(INDEX(Inputs!$K$5:$AJ$190,0,MATCH(AJ$2,Inputs!$K$4:$AJ$4,0))))+SUMPRODUCT((Inputs!$E$5:$E$190=$B45)*ISNUMBER(INDEX(Inputs!$K$5:$AJ$190,0,MATCH(AJ$2,Inputs!$K$4:$AJ$4,0))))=0,NA(),SUMPRODUCT((Inputs!$A$5:$A$190=$B45)*Inputs!$B$5:$B$190*(((Inputs!$G$5:$G$190="moeda")+(Inputs!$G$5:$G$190="acoes"))*Inputs!$B$1+((Inputs!$G$5:$G$190&lt;&gt;"moeda")*(Inputs!$G$5:$G$190&lt;&gt;"acoes")))*INDEX(Inputs!$K$5:$AJ$190,0,MATCH(AJ$2,Inputs!$K$4:$AJ$4,0)))+SUMPRODUCT((Inputs!$C$5:$C$190=$B45)*Inputs!$D$5:$D$190*(((Inputs!$G$5:$G$190="moeda")+(Inputs!$G$5:$G$190="acoes"))*Inputs!$B$1+((Inputs!$G$5:$G$190&lt;&gt;"moeda")*(Inputs!$G$5:$G$190&lt;&gt;"acoes")))*INDEX(Inputs!$K$5:$AJ$190,0,MATCH(AJ$2,Inputs!$K$4:$AJ$4,0)))+SUMPRODUCT((Inputs!$E$5:$E$190=$B45)*Inputs!$F$5:$F$190*(((Inputs!$G$5:$G$190="moeda")+(Inputs!$G$5:$G$190="acoes"))*Inputs!$B$1+((Inputs!$G$5:$G$190&lt;&gt;"moeda")*(Inputs!$G$5:$G$190&lt;&gt;"acoes")))*INDEX(Inputs!$K$5:$AJ$190,0,MATCH(AJ$2,Inputs!$K$4:$AJ$4,0)))))</f>
        <v>468.061</v>
      </c>
      <c r="AK45" s="6">
        <f>IF(ISNA(MATCH(AK$2,Inputs!$K$4:$AJ$4,0)),NA(),IF(SUMPRODUCT((Inputs!$A$5:$A$190=$B45)*ISNUMBER(INDEX(Inputs!$K$5:$AJ$190,0,MATCH(AK$2,Inputs!$K$4:$AJ$4,0))))+SUMPRODUCT((Inputs!$C$5:$C$190=$B45)*ISNUMBER(INDEX(Inputs!$K$5:$AJ$190,0,MATCH(AK$2,Inputs!$K$4:$AJ$4,0))))+SUMPRODUCT((Inputs!$E$5:$E$190=$B45)*ISNUMBER(INDEX(Inputs!$K$5:$AJ$190,0,MATCH(AK$2,Inputs!$K$4:$AJ$4,0))))=0,NA(),SUMPRODUCT((Inputs!$A$5:$A$190=$B45)*Inputs!$B$5:$B$190*(((Inputs!$G$5:$G$190="moeda")+(Inputs!$G$5:$G$190="acoes"))*Inputs!$B$1+((Inputs!$G$5:$G$190&lt;&gt;"moeda")*(Inputs!$G$5:$G$190&lt;&gt;"acoes")))*INDEX(Inputs!$K$5:$AJ$190,0,MATCH(AK$2,Inputs!$K$4:$AJ$4,0)))+SUMPRODUCT((Inputs!$C$5:$C$190=$B45)*Inputs!$D$5:$D$190*(((Inputs!$G$5:$G$190="moeda")+(Inputs!$G$5:$G$190="acoes"))*Inputs!$B$1+((Inputs!$G$5:$G$190&lt;&gt;"moeda")*(Inputs!$G$5:$G$190&lt;&gt;"acoes")))*INDEX(Inputs!$K$5:$AJ$190,0,MATCH(AK$2,Inputs!$K$4:$AJ$4,0)))+SUMPRODUCT((Inputs!$E$5:$E$190=$B45)*Inputs!$F$5:$F$190*(((Inputs!$G$5:$G$190="moeda")+(Inputs!$G$5:$G$190="acoes"))*Inputs!$B$1+((Inputs!$G$5:$G$190&lt;&gt;"moeda")*(Inputs!$G$5:$G$190&lt;&gt;"acoes")))*INDEX(Inputs!$K$5:$AJ$190,0,MATCH(AK$2,Inputs!$K$4:$AJ$4,0)))))</f>
        <v>472.147</v>
      </c>
      <c r="AL45" s="3">
        <f>AK45</f>
        <v>472.147</v>
      </c>
    </row>
    <row r="46">
      <c r="B46" s="46" t="n">
        <v>40</v>
      </c>
      <c r="C46" s="26" t="inlineStr">
        <is>
          <t>Other equity account</t>
        </is>
      </c>
      <c r="D46" s="6">
        <f>IF(ISNA(MATCH(D$2,Inputs!$K$4:$AJ$4,0)),NA(),IF(SUMPRODUCT((Inputs!$A$5:$A$190=$B46)*ISNUMBER(INDEX(Inputs!$K$5:$AJ$190,0,MATCH(D$2,Inputs!$K$4:$AJ$4,0))))+SUMPRODUCT((Inputs!$C$5:$C$190=$B46)*ISNUMBER(INDEX(Inputs!$K$5:$AJ$190,0,MATCH(D$2,Inputs!$K$4:$AJ$4,0))))+SUMPRODUCT((Inputs!$E$5:$E$190=$B46)*ISNUMBER(INDEX(Inputs!$K$5:$AJ$190,0,MATCH(D$2,Inputs!$K$4:$AJ$4,0))))=0,NA(),SUMPRODUCT((Inputs!$A$5:$A$190=$B46)*Inputs!$B$5:$B$190*(((Inputs!$G$5:$G$190="moeda")+(Inputs!$G$5:$G$190="acoes"))*Inputs!$B$1+((Inputs!$G$5:$G$190&lt;&gt;"moeda")*(Inputs!$G$5:$G$190&lt;&gt;"acoes")))*INDEX(Inputs!$K$5:$AJ$190,0,MATCH(D$2,Inputs!$K$4:$AJ$4,0)))+SUMPRODUCT((Inputs!$C$5:$C$190=$B46)*Inputs!$D$5:$D$190*(((Inputs!$G$5:$G$190="moeda")+(Inputs!$G$5:$G$190="acoes"))*Inputs!$B$1+((Inputs!$G$5:$G$190&lt;&gt;"moeda")*(Inputs!$G$5:$G$190&lt;&gt;"acoes")))*INDEX(Inputs!$K$5:$AJ$190,0,MATCH(D$2,Inputs!$K$4:$AJ$4,0)))+SUMPRODUCT((Inputs!$E$5:$E$190=$B46)*Inputs!$F$5:$F$190*(((Inputs!$G$5:$G$190="moeda")+(Inputs!$G$5:$G$190="acoes"))*Inputs!$B$1+((Inputs!$G$5:$G$190&lt;&gt;"moeda")*(Inputs!$G$5:$G$190&lt;&gt;"acoes")))*INDEX(Inputs!$K$5:$AJ$190,0,MATCH(D$2,Inputs!$K$4:$AJ$4,0)))))</f>
        <v>-158.278</v>
      </c>
      <c r="E46" s="6">
        <f>IF(ISNA(MATCH(E$2,Inputs!$K$4:$AJ$4,0)),NA(),IF(SUMPRODUCT((Inputs!$A$5:$A$190=$B46)*ISNUMBER(INDEX(Inputs!$K$5:$AJ$190,0,MATCH(E$2,Inputs!$K$4:$AJ$4,0))))+SUMPRODUCT((Inputs!$C$5:$C$190=$B46)*ISNUMBER(INDEX(Inputs!$K$5:$AJ$190,0,MATCH(E$2,Inputs!$K$4:$AJ$4,0))))+SUMPRODUCT((Inputs!$E$5:$E$190=$B46)*ISNUMBER(INDEX(Inputs!$K$5:$AJ$190,0,MATCH(E$2,Inputs!$K$4:$AJ$4,0))))=0,NA(),SUMPRODUCT((Inputs!$A$5:$A$190=$B46)*Inputs!$B$5:$B$190*(((Inputs!$G$5:$G$190="moeda")+(Inputs!$G$5:$G$190="acoes"))*Inputs!$B$1+((Inputs!$G$5:$G$190&lt;&gt;"moeda")*(Inputs!$G$5:$G$190&lt;&gt;"acoes")))*INDEX(Inputs!$K$5:$AJ$190,0,MATCH(E$2,Inputs!$K$4:$AJ$4,0)))+SUMPRODUCT((Inputs!$C$5:$C$190=$B46)*Inputs!$D$5:$D$190*(((Inputs!$G$5:$G$190="moeda")+(Inputs!$G$5:$G$190="acoes"))*Inputs!$B$1+((Inputs!$G$5:$G$190&lt;&gt;"moeda")*(Inputs!$G$5:$G$190&lt;&gt;"acoes")))*INDEX(Inputs!$K$5:$AJ$190,0,MATCH(E$2,Inputs!$K$4:$AJ$4,0)))+SUMPRODUCT((Inputs!$E$5:$E$190=$B46)*Inputs!$F$5:$F$190*(((Inputs!$G$5:$G$190="moeda")+(Inputs!$G$5:$G$190="acoes"))*Inputs!$B$1+((Inputs!$G$5:$G$190&lt;&gt;"moeda")*(Inputs!$G$5:$G$190&lt;&gt;"acoes")))*INDEX(Inputs!$K$5:$AJ$190,0,MATCH(E$2,Inputs!$K$4:$AJ$4,0)))))</f>
        <v>-113.68</v>
      </c>
      <c r="F46" s="6">
        <f>IF(ISNA(MATCH(F$2,Inputs!$K$4:$AJ$4,0)),NA(),IF(SUMPRODUCT((Inputs!$A$5:$A$190=$B46)*ISNUMBER(INDEX(Inputs!$K$5:$AJ$190,0,MATCH(F$2,Inputs!$K$4:$AJ$4,0))))+SUMPRODUCT((Inputs!$C$5:$C$190=$B46)*ISNUMBER(INDEX(Inputs!$K$5:$AJ$190,0,MATCH(F$2,Inputs!$K$4:$AJ$4,0))))+SUMPRODUCT((Inputs!$E$5:$E$190=$B46)*ISNUMBER(INDEX(Inputs!$K$5:$AJ$190,0,MATCH(F$2,Inputs!$K$4:$AJ$4,0))))=0,NA(),SUMPRODUCT((Inputs!$A$5:$A$190=$B46)*Inputs!$B$5:$B$190*(((Inputs!$G$5:$G$190="moeda")+(Inputs!$G$5:$G$190="acoes"))*Inputs!$B$1+((Inputs!$G$5:$G$190&lt;&gt;"moeda")*(Inputs!$G$5:$G$190&lt;&gt;"acoes")))*INDEX(Inputs!$K$5:$AJ$190,0,MATCH(F$2,Inputs!$K$4:$AJ$4,0)))+SUMPRODUCT((Inputs!$C$5:$C$190=$B46)*Inputs!$D$5:$D$190*(((Inputs!$G$5:$G$190="moeda")+(Inputs!$G$5:$G$190="acoes"))*Inputs!$B$1+((Inputs!$G$5:$G$190&lt;&gt;"moeda")*(Inputs!$G$5:$G$190&lt;&gt;"acoes")))*INDEX(Inputs!$K$5:$AJ$190,0,MATCH(F$2,Inputs!$K$4:$AJ$4,0)))+SUMPRODUCT((Inputs!$E$5:$E$190=$B46)*Inputs!$F$5:$F$190*(((Inputs!$G$5:$G$190="moeda")+(Inputs!$G$5:$G$190="acoes"))*Inputs!$B$1+((Inputs!$G$5:$G$190&lt;&gt;"moeda")*(Inputs!$G$5:$G$190&lt;&gt;"acoes")))*INDEX(Inputs!$K$5:$AJ$190,0,MATCH(F$2,Inputs!$K$4:$AJ$4,0)))))</f>
        <v>-226.171</v>
      </c>
      <c r="G46" s="6">
        <f>IF(ISNA(MATCH(G$2,Inputs!$K$4:$AJ$4,0)),NA(),IF(SUMPRODUCT((Inputs!$A$5:$A$190=$B46)*ISNUMBER(INDEX(Inputs!$K$5:$AJ$190,0,MATCH(G$2,Inputs!$K$4:$AJ$4,0))))+SUMPRODUCT((Inputs!$C$5:$C$190=$B46)*ISNUMBER(INDEX(Inputs!$K$5:$AJ$190,0,MATCH(G$2,Inputs!$K$4:$AJ$4,0))))+SUMPRODUCT((Inputs!$E$5:$E$190=$B46)*ISNUMBER(INDEX(Inputs!$K$5:$AJ$190,0,MATCH(G$2,Inputs!$K$4:$AJ$4,0))))=0,NA(),SUMPRODUCT((Inputs!$A$5:$A$190=$B46)*Inputs!$B$5:$B$190*(((Inputs!$G$5:$G$190="moeda")+(Inputs!$G$5:$G$190="acoes"))*Inputs!$B$1+((Inputs!$G$5:$G$190&lt;&gt;"moeda")*(Inputs!$G$5:$G$190&lt;&gt;"acoes")))*INDEX(Inputs!$K$5:$AJ$190,0,MATCH(G$2,Inputs!$K$4:$AJ$4,0)))+SUMPRODUCT((Inputs!$C$5:$C$190=$B46)*Inputs!$D$5:$D$190*(((Inputs!$G$5:$G$190="moeda")+(Inputs!$G$5:$G$190="acoes"))*Inputs!$B$1+((Inputs!$G$5:$G$190&lt;&gt;"moeda")*(Inputs!$G$5:$G$190&lt;&gt;"acoes")))*INDEX(Inputs!$K$5:$AJ$190,0,MATCH(G$2,Inputs!$K$4:$AJ$4,0)))+SUMPRODUCT((Inputs!$E$5:$E$190=$B46)*Inputs!$F$5:$F$190*(((Inputs!$G$5:$G$190="moeda")+(Inputs!$G$5:$G$190="acoes"))*Inputs!$B$1+((Inputs!$G$5:$G$190&lt;&gt;"moeda")*(Inputs!$G$5:$G$190&lt;&gt;"acoes")))*INDEX(Inputs!$K$5:$AJ$190,0,MATCH(G$2,Inputs!$K$4:$AJ$4,0)))))</f>
        <v>-269.203</v>
      </c>
      <c r="H46" s="3">
        <f>G46</f>
        <v>-269.203</v>
      </c>
      <c r="I46" s="6">
        <f>IF(ISNA(MATCH(I$2,Inputs!$K$4:$AJ$4,0)),NA(),IF(SUMPRODUCT((Inputs!$A$5:$A$190=$B46)*ISNUMBER(INDEX(Inputs!$K$5:$AJ$190,0,MATCH(I$2,Inputs!$K$4:$AJ$4,0))))+SUMPRODUCT((Inputs!$C$5:$C$190=$B46)*ISNUMBER(INDEX(Inputs!$K$5:$AJ$190,0,MATCH(I$2,Inputs!$K$4:$AJ$4,0))))+SUMPRODUCT((Inputs!$E$5:$E$190=$B46)*ISNUMBER(INDEX(Inputs!$K$5:$AJ$190,0,MATCH(I$2,Inputs!$K$4:$AJ$4,0))))=0,NA(),SUMPRODUCT((Inputs!$A$5:$A$190=$B46)*Inputs!$B$5:$B$190*(((Inputs!$G$5:$G$190="moeda")+(Inputs!$G$5:$G$190="acoes"))*Inputs!$B$1+((Inputs!$G$5:$G$190&lt;&gt;"moeda")*(Inputs!$G$5:$G$190&lt;&gt;"acoes")))*INDEX(Inputs!$K$5:$AJ$190,0,MATCH(I$2,Inputs!$K$4:$AJ$4,0)))+SUMPRODUCT((Inputs!$C$5:$C$190=$B46)*Inputs!$D$5:$D$190*(((Inputs!$G$5:$G$190="moeda")+(Inputs!$G$5:$G$190="acoes"))*Inputs!$B$1+((Inputs!$G$5:$G$190&lt;&gt;"moeda")*(Inputs!$G$5:$G$190&lt;&gt;"acoes")))*INDEX(Inputs!$K$5:$AJ$190,0,MATCH(I$2,Inputs!$K$4:$AJ$4,0)))+SUMPRODUCT((Inputs!$E$5:$E$190=$B46)*Inputs!$F$5:$F$190*(((Inputs!$G$5:$G$190="moeda")+(Inputs!$G$5:$G$190="acoes"))*Inputs!$B$1+((Inputs!$G$5:$G$190&lt;&gt;"moeda")*(Inputs!$G$5:$G$190&lt;&gt;"acoes")))*INDEX(Inputs!$K$5:$AJ$190,0,MATCH(I$2,Inputs!$K$4:$AJ$4,0)))))</f>
        <v>-440.692</v>
      </c>
      <c r="J46" s="6">
        <f>IF(ISNA(MATCH(J$2,Inputs!$K$4:$AJ$4,0)),NA(),IF(SUMPRODUCT((Inputs!$A$5:$A$190=$B46)*ISNUMBER(INDEX(Inputs!$K$5:$AJ$190,0,MATCH(J$2,Inputs!$K$4:$AJ$4,0))))+SUMPRODUCT((Inputs!$C$5:$C$190=$B46)*ISNUMBER(INDEX(Inputs!$K$5:$AJ$190,0,MATCH(J$2,Inputs!$K$4:$AJ$4,0))))+SUMPRODUCT((Inputs!$E$5:$E$190=$B46)*ISNUMBER(INDEX(Inputs!$K$5:$AJ$190,0,MATCH(J$2,Inputs!$K$4:$AJ$4,0))))=0,NA(),SUMPRODUCT((Inputs!$A$5:$A$190=$B46)*Inputs!$B$5:$B$190*(((Inputs!$G$5:$G$190="moeda")+(Inputs!$G$5:$G$190="acoes"))*Inputs!$B$1+((Inputs!$G$5:$G$190&lt;&gt;"moeda")*(Inputs!$G$5:$G$190&lt;&gt;"acoes")))*INDEX(Inputs!$K$5:$AJ$190,0,MATCH(J$2,Inputs!$K$4:$AJ$4,0)))+SUMPRODUCT((Inputs!$C$5:$C$190=$B46)*Inputs!$D$5:$D$190*(((Inputs!$G$5:$G$190="moeda")+(Inputs!$G$5:$G$190="acoes"))*Inputs!$B$1+((Inputs!$G$5:$G$190&lt;&gt;"moeda")*(Inputs!$G$5:$G$190&lt;&gt;"acoes")))*INDEX(Inputs!$K$5:$AJ$190,0,MATCH(J$2,Inputs!$K$4:$AJ$4,0)))+SUMPRODUCT((Inputs!$E$5:$E$190=$B46)*Inputs!$F$5:$F$190*(((Inputs!$G$5:$G$190="moeda")+(Inputs!$G$5:$G$190="acoes"))*Inputs!$B$1+((Inputs!$G$5:$G$190&lt;&gt;"moeda")*(Inputs!$G$5:$G$190&lt;&gt;"acoes")))*INDEX(Inputs!$K$5:$AJ$190,0,MATCH(J$2,Inputs!$K$4:$AJ$4,0)))))</f>
        <v>-717.596</v>
      </c>
      <c r="K46" s="6">
        <f>IF(ISNA(MATCH(K$2,Inputs!$K$4:$AJ$4,0)),NA(),IF(SUMPRODUCT((Inputs!$A$5:$A$190=$B46)*ISNUMBER(INDEX(Inputs!$K$5:$AJ$190,0,MATCH(K$2,Inputs!$K$4:$AJ$4,0))))+SUMPRODUCT((Inputs!$C$5:$C$190=$B46)*ISNUMBER(INDEX(Inputs!$K$5:$AJ$190,0,MATCH(K$2,Inputs!$K$4:$AJ$4,0))))+SUMPRODUCT((Inputs!$E$5:$E$190=$B46)*ISNUMBER(INDEX(Inputs!$K$5:$AJ$190,0,MATCH(K$2,Inputs!$K$4:$AJ$4,0))))=0,NA(),SUMPRODUCT((Inputs!$A$5:$A$190=$B46)*Inputs!$B$5:$B$190*(((Inputs!$G$5:$G$190="moeda")+(Inputs!$G$5:$G$190="acoes"))*Inputs!$B$1+((Inputs!$G$5:$G$190&lt;&gt;"moeda")*(Inputs!$G$5:$G$190&lt;&gt;"acoes")))*INDEX(Inputs!$K$5:$AJ$190,0,MATCH(K$2,Inputs!$K$4:$AJ$4,0)))+SUMPRODUCT((Inputs!$C$5:$C$190=$B46)*Inputs!$D$5:$D$190*(((Inputs!$G$5:$G$190="moeda")+(Inputs!$G$5:$G$190="acoes"))*Inputs!$B$1+((Inputs!$G$5:$G$190&lt;&gt;"moeda")*(Inputs!$G$5:$G$190&lt;&gt;"acoes")))*INDEX(Inputs!$K$5:$AJ$190,0,MATCH(K$2,Inputs!$K$4:$AJ$4,0)))+SUMPRODUCT((Inputs!$E$5:$E$190=$B46)*Inputs!$F$5:$F$190*(((Inputs!$G$5:$G$190="moeda")+(Inputs!$G$5:$G$190="acoes"))*Inputs!$B$1+((Inputs!$G$5:$G$190&lt;&gt;"moeda")*(Inputs!$G$5:$G$190&lt;&gt;"acoes")))*INDEX(Inputs!$K$5:$AJ$190,0,MATCH(K$2,Inputs!$K$4:$AJ$4,0)))))</f>
        <v>-816.101</v>
      </c>
      <c r="L46" s="6">
        <f>IF(ISNA(MATCH(L$2,Inputs!$K$4:$AJ$4,0)),NA(),IF(SUMPRODUCT((Inputs!$A$5:$A$190=$B46)*ISNUMBER(INDEX(Inputs!$K$5:$AJ$190,0,MATCH(L$2,Inputs!$K$4:$AJ$4,0))))+SUMPRODUCT((Inputs!$C$5:$C$190=$B46)*ISNUMBER(INDEX(Inputs!$K$5:$AJ$190,0,MATCH(L$2,Inputs!$K$4:$AJ$4,0))))+SUMPRODUCT((Inputs!$E$5:$E$190=$B46)*ISNUMBER(INDEX(Inputs!$K$5:$AJ$190,0,MATCH(L$2,Inputs!$K$4:$AJ$4,0))))=0,NA(),SUMPRODUCT((Inputs!$A$5:$A$190=$B46)*Inputs!$B$5:$B$190*(((Inputs!$G$5:$G$190="moeda")+(Inputs!$G$5:$G$190="acoes"))*Inputs!$B$1+((Inputs!$G$5:$G$190&lt;&gt;"moeda")*(Inputs!$G$5:$G$190&lt;&gt;"acoes")))*INDEX(Inputs!$K$5:$AJ$190,0,MATCH(L$2,Inputs!$K$4:$AJ$4,0)))+SUMPRODUCT((Inputs!$C$5:$C$190=$B46)*Inputs!$D$5:$D$190*(((Inputs!$G$5:$G$190="moeda")+(Inputs!$G$5:$G$190="acoes"))*Inputs!$B$1+((Inputs!$G$5:$G$190&lt;&gt;"moeda")*(Inputs!$G$5:$G$190&lt;&gt;"acoes")))*INDEX(Inputs!$K$5:$AJ$190,0,MATCH(L$2,Inputs!$K$4:$AJ$4,0)))+SUMPRODUCT((Inputs!$E$5:$E$190=$B46)*Inputs!$F$5:$F$190*(((Inputs!$G$5:$G$190="moeda")+(Inputs!$G$5:$G$190="acoes"))*Inputs!$B$1+((Inputs!$G$5:$G$190&lt;&gt;"moeda")*(Inputs!$G$5:$G$190&lt;&gt;"acoes")))*INDEX(Inputs!$K$5:$AJ$190,0,MATCH(L$2,Inputs!$K$4:$AJ$4,0)))))</f>
        <v>-721.574</v>
      </c>
      <c r="M46" s="3">
        <f>L46</f>
        <v>-721.574</v>
      </c>
      <c r="N46" s="6">
        <f>IF(ISNA(MATCH(N$2,Inputs!$K$4:$AJ$4,0)),NA(),IF(SUMPRODUCT((Inputs!$A$5:$A$190=$B46)*ISNUMBER(INDEX(Inputs!$K$5:$AJ$190,0,MATCH(N$2,Inputs!$K$4:$AJ$4,0))))+SUMPRODUCT((Inputs!$C$5:$C$190=$B46)*ISNUMBER(INDEX(Inputs!$K$5:$AJ$190,0,MATCH(N$2,Inputs!$K$4:$AJ$4,0))))+SUMPRODUCT((Inputs!$E$5:$E$190=$B46)*ISNUMBER(INDEX(Inputs!$K$5:$AJ$190,0,MATCH(N$2,Inputs!$K$4:$AJ$4,0))))=0,NA(),SUMPRODUCT((Inputs!$A$5:$A$190=$B46)*Inputs!$B$5:$B$190*(((Inputs!$G$5:$G$190="moeda")+(Inputs!$G$5:$G$190="acoes"))*Inputs!$B$1+((Inputs!$G$5:$G$190&lt;&gt;"moeda")*(Inputs!$G$5:$G$190&lt;&gt;"acoes")))*INDEX(Inputs!$K$5:$AJ$190,0,MATCH(N$2,Inputs!$K$4:$AJ$4,0)))+SUMPRODUCT((Inputs!$C$5:$C$190=$B46)*Inputs!$D$5:$D$190*(((Inputs!$G$5:$G$190="moeda")+(Inputs!$G$5:$G$190="acoes"))*Inputs!$B$1+((Inputs!$G$5:$G$190&lt;&gt;"moeda")*(Inputs!$G$5:$G$190&lt;&gt;"acoes")))*INDEX(Inputs!$K$5:$AJ$190,0,MATCH(N$2,Inputs!$K$4:$AJ$4,0)))+SUMPRODUCT((Inputs!$E$5:$E$190=$B46)*Inputs!$F$5:$F$190*(((Inputs!$G$5:$G$190="moeda")+(Inputs!$G$5:$G$190="acoes"))*Inputs!$B$1+((Inputs!$G$5:$G$190&lt;&gt;"moeda")*(Inputs!$G$5:$G$190&lt;&gt;"acoes")))*INDEX(Inputs!$K$5:$AJ$190,0,MATCH(N$2,Inputs!$K$4:$AJ$4,0)))))</f>
        <v>-399.57498121</v>
      </c>
      <c r="O46" s="6">
        <f>IF(ISNA(MATCH(O$2,Inputs!$K$4:$AJ$4,0)),NA(),IF(SUMPRODUCT((Inputs!$A$5:$A$190=$B46)*ISNUMBER(INDEX(Inputs!$K$5:$AJ$190,0,MATCH(O$2,Inputs!$K$4:$AJ$4,0))))+SUMPRODUCT((Inputs!$C$5:$C$190=$B46)*ISNUMBER(INDEX(Inputs!$K$5:$AJ$190,0,MATCH(O$2,Inputs!$K$4:$AJ$4,0))))+SUMPRODUCT((Inputs!$E$5:$E$190=$B46)*ISNUMBER(INDEX(Inputs!$K$5:$AJ$190,0,MATCH(O$2,Inputs!$K$4:$AJ$4,0))))=0,NA(),SUMPRODUCT((Inputs!$A$5:$A$190=$B46)*Inputs!$B$5:$B$190*(((Inputs!$G$5:$G$190="moeda")+(Inputs!$G$5:$G$190="acoes"))*Inputs!$B$1+((Inputs!$G$5:$G$190&lt;&gt;"moeda")*(Inputs!$G$5:$G$190&lt;&gt;"acoes")))*INDEX(Inputs!$K$5:$AJ$190,0,MATCH(O$2,Inputs!$K$4:$AJ$4,0)))+SUMPRODUCT((Inputs!$C$5:$C$190=$B46)*Inputs!$D$5:$D$190*(((Inputs!$G$5:$G$190="moeda")+(Inputs!$G$5:$G$190="acoes"))*Inputs!$B$1+((Inputs!$G$5:$G$190&lt;&gt;"moeda")*(Inputs!$G$5:$G$190&lt;&gt;"acoes")))*INDEX(Inputs!$K$5:$AJ$190,0,MATCH(O$2,Inputs!$K$4:$AJ$4,0)))+SUMPRODUCT((Inputs!$E$5:$E$190=$B46)*Inputs!$F$5:$F$190*(((Inputs!$G$5:$G$190="moeda")+(Inputs!$G$5:$G$190="acoes"))*Inputs!$B$1+((Inputs!$G$5:$G$190&lt;&gt;"moeda")*(Inputs!$G$5:$G$190&lt;&gt;"acoes")))*INDEX(Inputs!$K$5:$AJ$190,0,MATCH(O$2,Inputs!$K$4:$AJ$4,0)))))</f>
        <v>-399.57498121</v>
      </c>
      <c r="P46" s="6">
        <f>IF(ISNA(MATCH(P$2,Inputs!$K$4:$AJ$4,0)),NA(),IF(SUMPRODUCT((Inputs!$A$5:$A$190=$B46)*ISNUMBER(INDEX(Inputs!$K$5:$AJ$190,0,MATCH(P$2,Inputs!$K$4:$AJ$4,0))))+SUMPRODUCT((Inputs!$C$5:$C$190=$B46)*ISNUMBER(INDEX(Inputs!$K$5:$AJ$190,0,MATCH(P$2,Inputs!$K$4:$AJ$4,0))))+SUMPRODUCT((Inputs!$E$5:$E$190=$B46)*ISNUMBER(INDEX(Inputs!$K$5:$AJ$190,0,MATCH(P$2,Inputs!$K$4:$AJ$4,0))))=0,NA(),SUMPRODUCT((Inputs!$A$5:$A$190=$B46)*Inputs!$B$5:$B$190*(((Inputs!$G$5:$G$190="moeda")+(Inputs!$G$5:$G$190="acoes"))*Inputs!$B$1+((Inputs!$G$5:$G$190&lt;&gt;"moeda")*(Inputs!$G$5:$G$190&lt;&gt;"acoes")))*INDEX(Inputs!$K$5:$AJ$190,0,MATCH(P$2,Inputs!$K$4:$AJ$4,0)))+SUMPRODUCT((Inputs!$C$5:$C$190=$B46)*Inputs!$D$5:$D$190*(((Inputs!$G$5:$G$190="moeda")+(Inputs!$G$5:$G$190="acoes"))*Inputs!$B$1+((Inputs!$G$5:$G$190&lt;&gt;"moeda")*(Inputs!$G$5:$G$190&lt;&gt;"acoes")))*INDEX(Inputs!$K$5:$AJ$190,0,MATCH(P$2,Inputs!$K$4:$AJ$4,0)))+SUMPRODUCT((Inputs!$E$5:$E$190=$B46)*Inputs!$F$5:$F$190*(((Inputs!$G$5:$G$190="moeda")+(Inputs!$G$5:$G$190="acoes"))*Inputs!$B$1+((Inputs!$G$5:$G$190&lt;&gt;"moeda")*(Inputs!$G$5:$G$190&lt;&gt;"acoes")))*INDEX(Inputs!$K$5:$AJ$190,0,MATCH(P$2,Inputs!$K$4:$AJ$4,0)))))</f>
        <v>-500.57898121</v>
      </c>
      <c r="Q46" s="6">
        <f>IF(ISNA(MATCH(Q$2,Inputs!$K$4:$AJ$4,0)),NA(),IF(SUMPRODUCT((Inputs!$A$5:$A$190=$B46)*ISNUMBER(INDEX(Inputs!$K$5:$AJ$190,0,MATCH(Q$2,Inputs!$K$4:$AJ$4,0))))+SUMPRODUCT((Inputs!$C$5:$C$190=$B46)*ISNUMBER(INDEX(Inputs!$K$5:$AJ$190,0,MATCH(Q$2,Inputs!$K$4:$AJ$4,0))))+SUMPRODUCT((Inputs!$E$5:$E$190=$B46)*ISNUMBER(INDEX(Inputs!$K$5:$AJ$190,0,MATCH(Q$2,Inputs!$K$4:$AJ$4,0))))=0,NA(),SUMPRODUCT((Inputs!$A$5:$A$190=$B46)*Inputs!$B$5:$B$190*(((Inputs!$G$5:$G$190="moeda")+(Inputs!$G$5:$G$190="acoes"))*Inputs!$B$1+((Inputs!$G$5:$G$190&lt;&gt;"moeda")*(Inputs!$G$5:$G$190&lt;&gt;"acoes")))*INDEX(Inputs!$K$5:$AJ$190,0,MATCH(Q$2,Inputs!$K$4:$AJ$4,0)))+SUMPRODUCT((Inputs!$C$5:$C$190=$B46)*Inputs!$D$5:$D$190*(((Inputs!$G$5:$G$190="moeda")+(Inputs!$G$5:$G$190="acoes"))*Inputs!$B$1+((Inputs!$G$5:$G$190&lt;&gt;"moeda")*(Inputs!$G$5:$G$190&lt;&gt;"acoes")))*INDEX(Inputs!$K$5:$AJ$190,0,MATCH(Q$2,Inputs!$K$4:$AJ$4,0)))+SUMPRODUCT((Inputs!$E$5:$E$190=$B46)*Inputs!$F$5:$F$190*(((Inputs!$G$5:$G$190="moeda")+(Inputs!$G$5:$G$190="acoes"))*Inputs!$B$1+((Inputs!$G$5:$G$190&lt;&gt;"moeda")*(Inputs!$G$5:$G$190&lt;&gt;"acoes")))*INDEX(Inputs!$K$5:$AJ$190,0,MATCH(Q$2,Inputs!$K$4:$AJ$4,0)))))</f>
        <v>25.62811802</v>
      </c>
      <c r="R46" s="3">
        <f>Q46</f>
        <v>25.62811802</v>
      </c>
      <c r="S46" s="6">
        <f>IF(ISNA(MATCH(S$2,Inputs!$K$4:$AJ$4,0)),NA(),IF(SUMPRODUCT((Inputs!$A$5:$A$190=$B46)*ISNUMBER(INDEX(Inputs!$K$5:$AJ$190,0,MATCH(S$2,Inputs!$K$4:$AJ$4,0))))+SUMPRODUCT((Inputs!$C$5:$C$190=$B46)*ISNUMBER(INDEX(Inputs!$K$5:$AJ$190,0,MATCH(S$2,Inputs!$K$4:$AJ$4,0))))+SUMPRODUCT((Inputs!$E$5:$E$190=$B46)*ISNUMBER(INDEX(Inputs!$K$5:$AJ$190,0,MATCH(S$2,Inputs!$K$4:$AJ$4,0))))=0,NA(),SUMPRODUCT((Inputs!$A$5:$A$190=$B46)*Inputs!$B$5:$B$190*(((Inputs!$G$5:$G$190="moeda")+(Inputs!$G$5:$G$190="acoes"))*Inputs!$B$1+((Inputs!$G$5:$G$190&lt;&gt;"moeda")*(Inputs!$G$5:$G$190&lt;&gt;"acoes")))*INDEX(Inputs!$K$5:$AJ$190,0,MATCH(S$2,Inputs!$K$4:$AJ$4,0)))+SUMPRODUCT((Inputs!$C$5:$C$190=$B46)*Inputs!$D$5:$D$190*(((Inputs!$G$5:$G$190="moeda")+(Inputs!$G$5:$G$190="acoes"))*Inputs!$B$1+((Inputs!$G$5:$G$190&lt;&gt;"moeda")*(Inputs!$G$5:$G$190&lt;&gt;"acoes")))*INDEX(Inputs!$K$5:$AJ$190,0,MATCH(S$2,Inputs!$K$4:$AJ$4,0)))+SUMPRODUCT((Inputs!$E$5:$E$190=$B46)*Inputs!$F$5:$F$190*(((Inputs!$G$5:$G$190="moeda")+(Inputs!$G$5:$G$190="acoes"))*Inputs!$B$1+((Inputs!$G$5:$G$190&lt;&gt;"moeda")*(Inputs!$G$5:$G$190&lt;&gt;"acoes")))*INDEX(Inputs!$K$5:$AJ$190,0,MATCH(S$2,Inputs!$K$4:$AJ$4,0)))))</f>
        <v>-30.43085043</v>
      </c>
      <c r="T46" s="6">
        <f>IF(ISNA(MATCH(T$2,Inputs!$K$4:$AJ$4,0)),NA(),IF(SUMPRODUCT((Inputs!$A$5:$A$190=$B46)*ISNUMBER(INDEX(Inputs!$K$5:$AJ$190,0,MATCH(T$2,Inputs!$K$4:$AJ$4,0))))+SUMPRODUCT((Inputs!$C$5:$C$190=$B46)*ISNUMBER(INDEX(Inputs!$K$5:$AJ$190,0,MATCH(T$2,Inputs!$K$4:$AJ$4,0))))+SUMPRODUCT((Inputs!$E$5:$E$190=$B46)*ISNUMBER(INDEX(Inputs!$K$5:$AJ$190,0,MATCH(T$2,Inputs!$K$4:$AJ$4,0))))=0,NA(),SUMPRODUCT((Inputs!$A$5:$A$190=$B46)*Inputs!$B$5:$B$190*(((Inputs!$G$5:$G$190="moeda")+(Inputs!$G$5:$G$190="acoes"))*Inputs!$B$1+((Inputs!$G$5:$G$190&lt;&gt;"moeda")*(Inputs!$G$5:$G$190&lt;&gt;"acoes")))*INDEX(Inputs!$K$5:$AJ$190,0,MATCH(T$2,Inputs!$K$4:$AJ$4,0)))+SUMPRODUCT((Inputs!$C$5:$C$190=$B46)*Inputs!$D$5:$D$190*(((Inputs!$G$5:$G$190="moeda")+(Inputs!$G$5:$G$190="acoes"))*Inputs!$B$1+((Inputs!$G$5:$G$190&lt;&gt;"moeda")*(Inputs!$G$5:$G$190&lt;&gt;"acoes")))*INDEX(Inputs!$K$5:$AJ$190,0,MATCH(T$2,Inputs!$K$4:$AJ$4,0)))+SUMPRODUCT((Inputs!$E$5:$E$190=$B46)*Inputs!$F$5:$F$190*(((Inputs!$G$5:$G$190="moeda")+(Inputs!$G$5:$G$190="acoes"))*Inputs!$B$1+((Inputs!$G$5:$G$190&lt;&gt;"moeda")*(Inputs!$G$5:$G$190&lt;&gt;"acoes")))*INDEX(Inputs!$K$5:$AJ$190,0,MATCH(T$2,Inputs!$K$4:$AJ$4,0)))))</f>
        <v>-66.01177379</v>
      </c>
      <c r="U46" s="6">
        <f>IF(ISNA(MATCH(U$2,Inputs!$K$4:$AJ$4,0)),NA(),IF(SUMPRODUCT((Inputs!$A$5:$A$190=$B46)*ISNUMBER(INDEX(Inputs!$K$5:$AJ$190,0,MATCH(U$2,Inputs!$K$4:$AJ$4,0))))+SUMPRODUCT((Inputs!$C$5:$C$190=$B46)*ISNUMBER(INDEX(Inputs!$K$5:$AJ$190,0,MATCH(U$2,Inputs!$K$4:$AJ$4,0))))+SUMPRODUCT((Inputs!$E$5:$E$190=$B46)*ISNUMBER(INDEX(Inputs!$K$5:$AJ$190,0,MATCH(U$2,Inputs!$K$4:$AJ$4,0))))=0,NA(),SUMPRODUCT((Inputs!$A$5:$A$190=$B46)*Inputs!$B$5:$B$190*(((Inputs!$G$5:$G$190="moeda")+(Inputs!$G$5:$G$190="acoes"))*Inputs!$B$1+((Inputs!$G$5:$G$190&lt;&gt;"moeda")*(Inputs!$G$5:$G$190&lt;&gt;"acoes")))*INDEX(Inputs!$K$5:$AJ$190,0,MATCH(U$2,Inputs!$K$4:$AJ$4,0)))+SUMPRODUCT((Inputs!$C$5:$C$190=$B46)*Inputs!$D$5:$D$190*(((Inputs!$G$5:$G$190="moeda")+(Inputs!$G$5:$G$190="acoes"))*Inputs!$B$1+((Inputs!$G$5:$G$190&lt;&gt;"moeda")*(Inputs!$G$5:$G$190&lt;&gt;"acoes")))*INDEX(Inputs!$K$5:$AJ$190,0,MATCH(U$2,Inputs!$K$4:$AJ$4,0)))+SUMPRODUCT((Inputs!$E$5:$E$190=$B46)*Inputs!$F$5:$F$190*(((Inputs!$G$5:$G$190="moeda")+(Inputs!$G$5:$G$190="acoes"))*Inputs!$B$1+((Inputs!$G$5:$G$190&lt;&gt;"moeda")*(Inputs!$G$5:$G$190&lt;&gt;"acoes")))*INDEX(Inputs!$K$5:$AJ$190,0,MATCH(U$2,Inputs!$K$4:$AJ$4,0)))))</f>
        <v>-17.8895838</v>
      </c>
      <c r="V46" s="6">
        <f>IF(ISNA(MATCH(V$2,Inputs!$K$4:$AJ$4,0)),NA(),IF(SUMPRODUCT((Inputs!$A$5:$A$190=$B46)*ISNUMBER(INDEX(Inputs!$K$5:$AJ$190,0,MATCH(V$2,Inputs!$K$4:$AJ$4,0))))+SUMPRODUCT((Inputs!$C$5:$C$190=$B46)*ISNUMBER(INDEX(Inputs!$K$5:$AJ$190,0,MATCH(V$2,Inputs!$K$4:$AJ$4,0))))+SUMPRODUCT((Inputs!$E$5:$E$190=$B46)*ISNUMBER(INDEX(Inputs!$K$5:$AJ$190,0,MATCH(V$2,Inputs!$K$4:$AJ$4,0))))=0,NA(),SUMPRODUCT((Inputs!$A$5:$A$190=$B46)*Inputs!$B$5:$B$190*(((Inputs!$G$5:$G$190="moeda")+(Inputs!$G$5:$G$190="acoes"))*Inputs!$B$1+((Inputs!$G$5:$G$190&lt;&gt;"moeda")*(Inputs!$G$5:$G$190&lt;&gt;"acoes")))*INDEX(Inputs!$K$5:$AJ$190,0,MATCH(V$2,Inputs!$K$4:$AJ$4,0)))+SUMPRODUCT((Inputs!$C$5:$C$190=$B46)*Inputs!$D$5:$D$190*(((Inputs!$G$5:$G$190="moeda")+(Inputs!$G$5:$G$190="acoes"))*Inputs!$B$1+((Inputs!$G$5:$G$190&lt;&gt;"moeda")*(Inputs!$G$5:$G$190&lt;&gt;"acoes")))*INDEX(Inputs!$K$5:$AJ$190,0,MATCH(V$2,Inputs!$K$4:$AJ$4,0)))+SUMPRODUCT((Inputs!$E$5:$E$190=$B46)*Inputs!$F$5:$F$190*(((Inputs!$G$5:$G$190="moeda")+(Inputs!$G$5:$G$190="acoes"))*Inputs!$B$1+((Inputs!$G$5:$G$190&lt;&gt;"moeda")*(Inputs!$G$5:$G$190&lt;&gt;"acoes")))*INDEX(Inputs!$K$5:$AJ$190,0,MATCH(V$2,Inputs!$K$4:$AJ$4,0)))))</f>
        <v>0.20780122</v>
      </c>
      <c r="W46" s="3">
        <f>V46</f>
        <v>0.20780122</v>
      </c>
      <c r="X46" s="6">
        <f>IF(ISNA(MATCH(X$2,Inputs!$K$4:$AJ$4,0)),NA(),IF(SUMPRODUCT((Inputs!$A$5:$A$190=$B46)*ISNUMBER(INDEX(Inputs!$K$5:$AJ$190,0,MATCH(X$2,Inputs!$K$4:$AJ$4,0))))+SUMPRODUCT((Inputs!$C$5:$C$190=$B46)*ISNUMBER(INDEX(Inputs!$K$5:$AJ$190,0,MATCH(X$2,Inputs!$K$4:$AJ$4,0))))+SUMPRODUCT((Inputs!$E$5:$E$190=$B46)*ISNUMBER(INDEX(Inputs!$K$5:$AJ$190,0,MATCH(X$2,Inputs!$K$4:$AJ$4,0))))=0,NA(),SUMPRODUCT((Inputs!$A$5:$A$190=$B46)*Inputs!$B$5:$B$190*(((Inputs!$G$5:$G$190="moeda")+(Inputs!$G$5:$G$190="acoes"))*Inputs!$B$1+((Inputs!$G$5:$G$190&lt;&gt;"moeda")*(Inputs!$G$5:$G$190&lt;&gt;"acoes")))*INDEX(Inputs!$K$5:$AJ$190,0,MATCH(X$2,Inputs!$K$4:$AJ$4,0)))+SUMPRODUCT((Inputs!$C$5:$C$190=$B46)*Inputs!$D$5:$D$190*(((Inputs!$G$5:$G$190="moeda")+(Inputs!$G$5:$G$190="acoes"))*Inputs!$B$1+((Inputs!$G$5:$G$190&lt;&gt;"moeda")*(Inputs!$G$5:$G$190&lt;&gt;"acoes")))*INDEX(Inputs!$K$5:$AJ$190,0,MATCH(X$2,Inputs!$K$4:$AJ$4,0)))+SUMPRODUCT((Inputs!$E$5:$E$190=$B46)*Inputs!$F$5:$F$190*(((Inputs!$G$5:$G$190="moeda")+(Inputs!$G$5:$G$190="acoes"))*Inputs!$B$1+((Inputs!$G$5:$G$190&lt;&gt;"moeda")*(Inputs!$G$5:$G$190&lt;&gt;"acoes")))*INDEX(Inputs!$K$5:$AJ$190,0,MATCH(X$2,Inputs!$K$4:$AJ$4,0)))))</f>
        <v>-4.51910642</v>
      </c>
      <c r="Y46" s="6">
        <f>IF(ISNA(MATCH(Y$2,Inputs!$K$4:$AJ$4,0)),NA(),IF(SUMPRODUCT((Inputs!$A$5:$A$190=$B46)*ISNUMBER(INDEX(Inputs!$K$5:$AJ$190,0,MATCH(Y$2,Inputs!$K$4:$AJ$4,0))))+SUMPRODUCT((Inputs!$C$5:$C$190=$B46)*ISNUMBER(INDEX(Inputs!$K$5:$AJ$190,0,MATCH(Y$2,Inputs!$K$4:$AJ$4,0))))+SUMPRODUCT((Inputs!$E$5:$E$190=$B46)*ISNUMBER(INDEX(Inputs!$K$5:$AJ$190,0,MATCH(Y$2,Inputs!$K$4:$AJ$4,0))))=0,NA(),SUMPRODUCT((Inputs!$A$5:$A$190=$B46)*Inputs!$B$5:$B$190*(((Inputs!$G$5:$G$190="moeda")+(Inputs!$G$5:$G$190="acoes"))*Inputs!$B$1+((Inputs!$G$5:$G$190&lt;&gt;"moeda")*(Inputs!$G$5:$G$190&lt;&gt;"acoes")))*INDEX(Inputs!$K$5:$AJ$190,0,MATCH(Y$2,Inputs!$K$4:$AJ$4,0)))+SUMPRODUCT((Inputs!$C$5:$C$190=$B46)*Inputs!$D$5:$D$190*(((Inputs!$G$5:$G$190="moeda")+(Inputs!$G$5:$G$190="acoes"))*Inputs!$B$1+((Inputs!$G$5:$G$190&lt;&gt;"moeda")*(Inputs!$G$5:$G$190&lt;&gt;"acoes")))*INDEX(Inputs!$K$5:$AJ$190,0,MATCH(Y$2,Inputs!$K$4:$AJ$4,0)))+SUMPRODUCT((Inputs!$E$5:$E$190=$B46)*Inputs!$F$5:$F$190*(((Inputs!$G$5:$G$190="moeda")+(Inputs!$G$5:$G$190="acoes"))*Inputs!$B$1+((Inputs!$G$5:$G$190&lt;&gt;"moeda")*(Inputs!$G$5:$G$190&lt;&gt;"acoes")))*INDEX(Inputs!$K$5:$AJ$190,0,MATCH(Y$2,Inputs!$K$4:$AJ$4,0)))))</f>
        <v>563.4985897</v>
      </c>
      <c r="Z46" s="6">
        <f>IF(ISNA(MATCH(Z$2,Inputs!$K$4:$AJ$4,0)),NA(),IF(SUMPRODUCT((Inputs!$A$5:$A$190=$B46)*ISNUMBER(INDEX(Inputs!$K$5:$AJ$190,0,MATCH(Z$2,Inputs!$K$4:$AJ$4,0))))+SUMPRODUCT((Inputs!$C$5:$C$190=$B46)*ISNUMBER(INDEX(Inputs!$K$5:$AJ$190,0,MATCH(Z$2,Inputs!$K$4:$AJ$4,0))))+SUMPRODUCT((Inputs!$E$5:$E$190=$B46)*ISNUMBER(INDEX(Inputs!$K$5:$AJ$190,0,MATCH(Z$2,Inputs!$K$4:$AJ$4,0))))=0,NA(),SUMPRODUCT((Inputs!$A$5:$A$190=$B46)*Inputs!$B$5:$B$190*(((Inputs!$G$5:$G$190="moeda")+(Inputs!$G$5:$G$190="acoes"))*Inputs!$B$1+((Inputs!$G$5:$G$190&lt;&gt;"moeda")*(Inputs!$G$5:$G$190&lt;&gt;"acoes")))*INDEX(Inputs!$K$5:$AJ$190,0,MATCH(Z$2,Inputs!$K$4:$AJ$4,0)))+SUMPRODUCT((Inputs!$C$5:$C$190=$B46)*Inputs!$D$5:$D$190*(((Inputs!$G$5:$G$190="moeda")+(Inputs!$G$5:$G$190="acoes"))*Inputs!$B$1+((Inputs!$G$5:$G$190&lt;&gt;"moeda")*(Inputs!$G$5:$G$190&lt;&gt;"acoes")))*INDEX(Inputs!$K$5:$AJ$190,0,MATCH(Z$2,Inputs!$K$4:$AJ$4,0)))+SUMPRODUCT((Inputs!$E$5:$E$190=$B46)*Inputs!$F$5:$F$190*(((Inputs!$G$5:$G$190="moeda")+(Inputs!$G$5:$G$190="acoes"))*Inputs!$B$1+((Inputs!$G$5:$G$190&lt;&gt;"moeda")*(Inputs!$G$5:$G$190&lt;&gt;"acoes")))*INDEX(Inputs!$K$5:$AJ$190,0,MATCH(Z$2,Inputs!$K$4:$AJ$4,0)))))</f>
        <v>651.52011473</v>
      </c>
      <c r="AA46" s="6">
        <f>IF(ISNA(MATCH(AA$2,Inputs!$K$4:$AJ$4,0)),NA(),IF(SUMPRODUCT((Inputs!$A$5:$A$190=$B46)*ISNUMBER(INDEX(Inputs!$K$5:$AJ$190,0,MATCH(AA$2,Inputs!$K$4:$AJ$4,0))))+SUMPRODUCT((Inputs!$C$5:$C$190=$B46)*ISNUMBER(INDEX(Inputs!$K$5:$AJ$190,0,MATCH(AA$2,Inputs!$K$4:$AJ$4,0))))+SUMPRODUCT((Inputs!$E$5:$E$190=$B46)*ISNUMBER(INDEX(Inputs!$K$5:$AJ$190,0,MATCH(AA$2,Inputs!$K$4:$AJ$4,0))))=0,NA(),SUMPRODUCT((Inputs!$A$5:$A$190=$B46)*Inputs!$B$5:$B$190*(((Inputs!$G$5:$G$190="moeda")+(Inputs!$G$5:$G$190="acoes"))*Inputs!$B$1+((Inputs!$G$5:$G$190&lt;&gt;"moeda")*(Inputs!$G$5:$G$190&lt;&gt;"acoes")))*INDEX(Inputs!$K$5:$AJ$190,0,MATCH(AA$2,Inputs!$K$4:$AJ$4,0)))+SUMPRODUCT((Inputs!$C$5:$C$190=$B46)*Inputs!$D$5:$D$190*(((Inputs!$G$5:$G$190="moeda")+(Inputs!$G$5:$G$190="acoes"))*Inputs!$B$1+((Inputs!$G$5:$G$190&lt;&gt;"moeda")*(Inputs!$G$5:$G$190&lt;&gt;"acoes")))*INDEX(Inputs!$K$5:$AJ$190,0,MATCH(AA$2,Inputs!$K$4:$AJ$4,0)))+SUMPRODUCT((Inputs!$E$5:$E$190=$B46)*Inputs!$F$5:$F$190*(((Inputs!$G$5:$G$190="moeda")+(Inputs!$G$5:$G$190="acoes"))*Inputs!$B$1+((Inputs!$G$5:$G$190&lt;&gt;"moeda")*(Inputs!$G$5:$G$190&lt;&gt;"acoes")))*INDEX(Inputs!$K$5:$AJ$190,0,MATCH(AA$2,Inputs!$K$4:$AJ$4,0)))))</f>
        <v>874.5439404</v>
      </c>
      <c r="AB46" s="3">
        <f>AA46</f>
        <v>874.5439404</v>
      </c>
      <c r="AC46" s="6">
        <f>IF(ISNA(MATCH(AC$2,Inputs!$K$4:$AJ$4,0)),NA(),IF(SUMPRODUCT((Inputs!$A$5:$A$190=$B46)*ISNUMBER(INDEX(Inputs!$K$5:$AJ$190,0,MATCH(AC$2,Inputs!$K$4:$AJ$4,0))))+SUMPRODUCT((Inputs!$C$5:$C$190=$B46)*ISNUMBER(INDEX(Inputs!$K$5:$AJ$190,0,MATCH(AC$2,Inputs!$K$4:$AJ$4,0))))+SUMPRODUCT((Inputs!$E$5:$E$190=$B46)*ISNUMBER(INDEX(Inputs!$K$5:$AJ$190,0,MATCH(AC$2,Inputs!$K$4:$AJ$4,0))))=0,NA(),SUMPRODUCT((Inputs!$A$5:$A$190=$B46)*Inputs!$B$5:$B$190*(((Inputs!$G$5:$G$190="moeda")+(Inputs!$G$5:$G$190="acoes"))*Inputs!$B$1+((Inputs!$G$5:$G$190&lt;&gt;"moeda")*(Inputs!$G$5:$G$190&lt;&gt;"acoes")))*INDEX(Inputs!$K$5:$AJ$190,0,MATCH(AC$2,Inputs!$K$4:$AJ$4,0)))+SUMPRODUCT((Inputs!$C$5:$C$190=$B46)*Inputs!$D$5:$D$190*(((Inputs!$G$5:$G$190="moeda")+(Inputs!$G$5:$G$190="acoes"))*Inputs!$B$1+((Inputs!$G$5:$G$190&lt;&gt;"moeda")*(Inputs!$G$5:$G$190&lt;&gt;"acoes")))*INDEX(Inputs!$K$5:$AJ$190,0,MATCH(AC$2,Inputs!$K$4:$AJ$4,0)))+SUMPRODUCT((Inputs!$E$5:$E$190=$B46)*Inputs!$F$5:$F$190*(((Inputs!$G$5:$G$190="moeda")+(Inputs!$G$5:$G$190="acoes"))*Inputs!$B$1+((Inputs!$G$5:$G$190&lt;&gt;"moeda")*(Inputs!$G$5:$G$190&lt;&gt;"acoes")))*INDEX(Inputs!$K$5:$AJ$190,0,MATCH(AC$2,Inputs!$K$4:$AJ$4,0)))))</f>
        <v>793.66737536</v>
      </c>
      <c r="AD46" s="6">
        <f>IF(ISNA(MATCH(AD$2,Inputs!$K$4:$AJ$4,0)),NA(),IF(SUMPRODUCT((Inputs!$A$5:$A$190=$B46)*ISNUMBER(INDEX(Inputs!$K$5:$AJ$190,0,MATCH(AD$2,Inputs!$K$4:$AJ$4,0))))+SUMPRODUCT((Inputs!$C$5:$C$190=$B46)*ISNUMBER(INDEX(Inputs!$K$5:$AJ$190,0,MATCH(AD$2,Inputs!$K$4:$AJ$4,0))))+SUMPRODUCT((Inputs!$E$5:$E$190=$B46)*ISNUMBER(INDEX(Inputs!$K$5:$AJ$190,0,MATCH(AD$2,Inputs!$K$4:$AJ$4,0))))=0,NA(),SUMPRODUCT((Inputs!$A$5:$A$190=$B46)*Inputs!$B$5:$B$190*(((Inputs!$G$5:$G$190="moeda")+(Inputs!$G$5:$G$190="acoes"))*Inputs!$B$1+((Inputs!$G$5:$G$190&lt;&gt;"moeda")*(Inputs!$G$5:$G$190&lt;&gt;"acoes")))*INDEX(Inputs!$K$5:$AJ$190,0,MATCH(AD$2,Inputs!$K$4:$AJ$4,0)))+SUMPRODUCT((Inputs!$C$5:$C$190=$B46)*Inputs!$D$5:$D$190*(((Inputs!$G$5:$G$190="moeda")+(Inputs!$G$5:$G$190="acoes"))*Inputs!$B$1+((Inputs!$G$5:$G$190&lt;&gt;"moeda")*(Inputs!$G$5:$G$190&lt;&gt;"acoes")))*INDEX(Inputs!$K$5:$AJ$190,0,MATCH(AD$2,Inputs!$K$4:$AJ$4,0)))+SUMPRODUCT((Inputs!$E$5:$E$190=$B46)*Inputs!$F$5:$F$190*(((Inputs!$G$5:$G$190="moeda")+(Inputs!$G$5:$G$190="acoes"))*Inputs!$B$1+((Inputs!$G$5:$G$190&lt;&gt;"moeda")*(Inputs!$G$5:$G$190&lt;&gt;"acoes")))*INDEX(Inputs!$K$5:$AJ$190,0,MATCH(AD$2,Inputs!$K$4:$AJ$4,0)))))</f>
        <v>775.32691685</v>
      </c>
      <c r="AE46" s="6" t="e">
        <f>IF(ISNA(MATCH(AE$2,Inputs!$K$4:$AJ$4,0)),NA(),IF(SUMPRODUCT((Inputs!$A$5:$A$190=$B46)*ISNUMBER(INDEX(Inputs!$K$5:$AJ$190,0,MATCH(AE$2,Inputs!$K$4:$AJ$4,0))))+SUMPRODUCT((Inputs!$C$5:$C$190=$B46)*ISNUMBER(INDEX(Inputs!$K$5:$AJ$190,0,MATCH(AE$2,Inputs!$K$4:$AJ$4,0))))+SUMPRODUCT((Inputs!$E$5:$E$190=$B46)*ISNUMBER(INDEX(Inputs!$K$5:$AJ$190,0,MATCH(AE$2,Inputs!$K$4:$AJ$4,0))))=0,NA(),SUMPRODUCT((Inputs!$A$5:$A$190=$B46)*Inputs!$B$5:$B$190*(((Inputs!$G$5:$G$190="moeda")+(Inputs!$G$5:$G$190="acoes"))*Inputs!$B$1+((Inputs!$G$5:$G$190&lt;&gt;"moeda")*(Inputs!$G$5:$G$190&lt;&gt;"acoes")))*INDEX(Inputs!$K$5:$AJ$190,0,MATCH(AE$2,Inputs!$K$4:$AJ$4,0)))+SUMPRODUCT((Inputs!$C$5:$C$190=$B46)*Inputs!$D$5:$D$190*(((Inputs!$G$5:$G$190="moeda")+(Inputs!$G$5:$G$190="acoes"))*Inputs!$B$1+((Inputs!$G$5:$G$190&lt;&gt;"moeda")*(Inputs!$G$5:$G$190&lt;&gt;"acoes")))*INDEX(Inputs!$K$5:$AJ$190,0,MATCH(AE$2,Inputs!$K$4:$AJ$4,0)))+SUMPRODUCT((Inputs!$E$5:$E$190=$B46)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46" s="6" t="e">
        <f>IF(ISNA(MATCH(AF$2,Inputs!$K$4:$AJ$4,0)),NA(),IF(SUMPRODUCT((Inputs!$A$5:$A$190=$B46)*ISNUMBER(INDEX(Inputs!$K$5:$AJ$190,0,MATCH(AF$2,Inputs!$K$4:$AJ$4,0))))+SUMPRODUCT((Inputs!$C$5:$C$190=$B46)*ISNUMBER(INDEX(Inputs!$K$5:$AJ$190,0,MATCH(AF$2,Inputs!$K$4:$AJ$4,0))))+SUMPRODUCT((Inputs!$E$5:$E$190=$B46)*ISNUMBER(INDEX(Inputs!$K$5:$AJ$190,0,MATCH(AF$2,Inputs!$K$4:$AJ$4,0))))=0,NA(),SUMPRODUCT((Inputs!$A$5:$A$190=$B46)*Inputs!$B$5:$B$190*(((Inputs!$G$5:$G$190="moeda")+(Inputs!$G$5:$G$190="acoes"))*Inputs!$B$1+((Inputs!$G$5:$G$190&lt;&gt;"moeda")*(Inputs!$G$5:$G$190&lt;&gt;"acoes")))*INDEX(Inputs!$K$5:$AJ$190,0,MATCH(AF$2,Inputs!$K$4:$AJ$4,0)))+SUMPRODUCT((Inputs!$C$5:$C$190=$B46)*Inputs!$D$5:$D$190*(((Inputs!$G$5:$G$190="moeda")+(Inputs!$G$5:$G$190="acoes"))*Inputs!$B$1+((Inputs!$G$5:$G$190&lt;&gt;"moeda")*(Inputs!$G$5:$G$190&lt;&gt;"acoes")))*INDEX(Inputs!$K$5:$AJ$190,0,MATCH(AF$2,Inputs!$K$4:$AJ$4,0)))+SUMPRODUCT((Inputs!$E$5:$E$190=$B46)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46" s="3" t="e">
        <f>AF46</f>
        <v>#N/A</v>
      </c>
      <c r="AH46" s="6">
        <f>IF(ISNA(MATCH(AH$2,Inputs!$K$4:$AJ$4,0)),NA(),IF(SUMPRODUCT((Inputs!$A$5:$A$190=$B46)*ISNUMBER(INDEX(Inputs!$K$5:$AJ$190,0,MATCH(AH$2,Inputs!$K$4:$AJ$4,0))))+SUMPRODUCT((Inputs!$C$5:$C$190=$B46)*ISNUMBER(INDEX(Inputs!$K$5:$AJ$190,0,MATCH(AH$2,Inputs!$K$4:$AJ$4,0))))+SUMPRODUCT((Inputs!$E$5:$E$190=$B46)*ISNUMBER(INDEX(Inputs!$K$5:$AJ$190,0,MATCH(AH$2,Inputs!$K$4:$AJ$4,0))))=0,NA(),SUMPRODUCT((Inputs!$A$5:$A$190=$B46)*Inputs!$B$5:$B$190*(((Inputs!$G$5:$G$190="moeda")+(Inputs!$G$5:$G$190="acoes"))*Inputs!$B$1+((Inputs!$G$5:$G$190&lt;&gt;"moeda")*(Inputs!$G$5:$G$190&lt;&gt;"acoes")))*INDEX(Inputs!$K$5:$AJ$190,0,MATCH(AH$2,Inputs!$K$4:$AJ$4,0)))+SUMPRODUCT((Inputs!$C$5:$C$190=$B46)*Inputs!$D$5:$D$190*(((Inputs!$G$5:$G$190="moeda")+(Inputs!$G$5:$G$190="acoes"))*Inputs!$B$1+((Inputs!$G$5:$G$190&lt;&gt;"moeda")*(Inputs!$G$5:$G$190&lt;&gt;"acoes")))*INDEX(Inputs!$K$5:$AJ$190,0,MATCH(AH$2,Inputs!$K$4:$AJ$4,0)))+SUMPRODUCT((Inputs!$E$5:$E$190=$B46)*Inputs!$F$5:$F$190*(((Inputs!$G$5:$G$190="moeda")+(Inputs!$G$5:$G$190="acoes"))*Inputs!$B$1+((Inputs!$G$5:$G$190&lt;&gt;"moeda")*(Inputs!$G$5:$G$190&lt;&gt;"acoes")))*INDEX(Inputs!$K$5:$AJ$190,0,MATCH(AH$2,Inputs!$K$4:$AJ$4,0)))))</f>
        <v>286.76</v>
      </c>
      <c r="AI46" s="6">
        <f>IF(ISNA(MATCH(AI$2,Inputs!$K$4:$AJ$4,0)),NA(),IF(SUMPRODUCT((Inputs!$A$5:$A$190=$B46)*ISNUMBER(INDEX(Inputs!$K$5:$AJ$190,0,MATCH(AI$2,Inputs!$K$4:$AJ$4,0))))+SUMPRODUCT((Inputs!$C$5:$C$190=$B46)*ISNUMBER(INDEX(Inputs!$K$5:$AJ$190,0,MATCH(AI$2,Inputs!$K$4:$AJ$4,0))))+SUMPRODUCT((Inputs!$E$5:$E$190=$B46)*ISNUMBER(INDEX(Inputs!$K$5:$AJ$190,0,MATCH(AI$2,Inputs!$K$4:$AJ$4,0))))=0,NA(),SUMPRODUCT((Inputs!$A$5:$A$190=$B46)*Inputs!$B$5:$B$190*(((Inputs!$G$5:$G$190="moeda")+(Inputs!$G$5:$G$190="acoes"))*Inputs!$B$1+((Inputs!$G$5:$G$190&lt;&gt;"moeda")*(Inputs!$G$5:$G$190&lt;&gt;"acoes")))*INDEX(Inputs!$K$5:$AJ$190,0,MATCH(AI$2,Inputs!$K$4:$AJ$4,0)))+SUMPRODUCT((Inputs!$C$5:$C$190=$B46)*Inputs!$D$5:$D$190*(((Inputs!$G$5:$G$190="moeda")+(Inputs!$G$5:$G$190="acoes"))*Inputs!$B$1+((Inputs!$G$5:$G$190&lt;&gt;"moeda")*(Inputs!$G$5:$G$190&lt;&gt;"acoes")))*INDEX(Inputs!$K$5:$AJ$190,0,MATCH(AI$2,Inputs!$K$4:$AJ$4,0)))+SUMPRODUCT((Inputs!$E$5:$E$190=$B46)*Inputs!$F$5:$F$190*(((Inputs!$G$5:$G$190="moeda")+(Inputs!$G$5:$G$190="acoes"))*Inputs!$B$1+((Inputs!$G$5:$G$190&lt;&gt;"moeda")*(Inputs!$G$5:$G$190&lt;&gt;"acoes")))*INDEX(Inputs!$K$5:$AJ$190,0,MATCH(AI$2,Inputs!$K$4:$AJ$4,0)))))</f>
        <v>376.82140534</v>
      </c>
      <c r="AJ46" s="6">
        <f>IF(ISNA(MATCH(AJ$2,Inputs!$K$4:$AJ$4,0)),NA(),IF(SUMPRODUCT((Inputs!$A$5:$A$190=$B46)*ISNUMBER(INDEX(Inputs!$K$5:$AJ$190,0,MATCH(AJ$2,Inputs!$K$4:$AJ$4,0))))+SUMPRODUCT((Inputs!$C$5:$C$190=$B46)*ISNUMBER(INDEX(Inputs!$K$5:$AJ$190,0,MATCH(AJ$2,Inputs!$K$4:$AJ$4,0))))+SUMPRODUCT((Inputs!$E$5:$E$190=$B46)*ISNUMBER(INDEX(Inputs!$K$5:$AJ$190,0,MATCH(AJ$2,Inputs!$K$4:$AJ$4,0))))=0,NA(),SUMPRODUCT((Inputs!$A$5:$A$190=$B46)*Inputs!$B$5:$B$190*(((Inputs!$G$5:$G$190="moeda")+(Inputs!$G$5:$G$190="acoes"))*Inputs!$B$1+((Inputs!$G$5:$G$190&lt;&gt;"moeda")*(Inputs!$G$5:$G$190&lt;&gt;"acoes")))*INDEX(Inputs!$K$5:$AJ$190,0,MATCH(AJ$2,Inputs!$K$4:$AJ$4,0)))+SUMPRODUCT((Inputs!$C$5:$C$190=$B46)*Inputs!$D$5:$D$190*(((Inputs!$G$5:$G$190="moeda")+(Inputs!$G$5:$G$190="acoes"))*Inputs!$B$1+((Inputs!$G$5:$G$190&lt;&gt;"moeda")*(Inputs!$G$5:$G$190&lt;&gt;"acoes")))*INDEX(Inputs!$K$5:$AJ$190,0,MATCH(AJ$2,Inputs!$K$4:$AJ$4,0)))+SUMPRODUCT((Inputs!$E$5:$E$190=$B46)*Inputs!$F$5:$F$190*(((Inputs!$G$5:$G$190="moeda")+(Inputs!$G$5:$G$190="acoes"))*Inputs!$B$1+((Inputs!$G$5:$G$190&lt;&gt;"moeda")*(Inputs!$G$5:$G$190&lt;&gt;"acoes")))*INDEX(Inputs!$K$5:$AJ$190,0,MATCH(AJ$2,Inputs!$K$4:$AJ$4,0)))))</f>
        <v>-118.919</v>
      </c>
      <c r="AK46" s="6">
        <f>IF(ISNA(MATCH(AK$2,Inputs!$K$4:$AJ$4,0)),NA(),IF(SUMPRODUCT((Inputs!$A$5:$A$190=$B46)*ISNUMBER(INDEX(Inputs!$K$5:$AJ$190,0,MATCH(AK$2,Inputs!$K$4:$AJ$4,0))))+SUMPRODUCT((Inputs!$C$5:$C$190=$B46)*ISNUMBER(INDEX(Inputs!$K$5:$AJ$190,0,MATCH(AK$2,Inputs!$K$4:$AJ$4,0))))+SUMPRODUCT((Inputs!$E$5:$E$190=$B46)*ISNUMBER(INDEX(Inputs!$K$5:$AJ$190,0,MATCH(AK$2,Inputs!$K$4:$AJ$4,0))))=0,NA(),SUMPRODUCT((Inputs!$A$5:$A$190=$B46)*Inputs!$B$5:$B$190*(((Inputs!$G$5:$G$190="moeda")+(Inputs!$G$5:$G$190="acoes"))*Inputs!$B$1+((Inputs!$G$5:$G$190&lt;&gt;"moeda")*(Inputs!$G$5:$G$190&lt;&gt;"acoes")))*INDEX(Inputs!$K$5:$AJ$190,0,MATCH(AK$2,Inputs!$K$4:$AJ$4,0)))+SUMPRODUCT((Inputs!$C$5:$C$190=$B46)*Inputs!$D$5:$D$190*(((Inputs!$G$5:$G$190="moeda")+(Inputs!$G$5:$G$190="acoes"))*Inputs!$B$1+((Inputs!$G$5:$G$190&lt;&gt;"moeda")*(Inputs!$G$5:$G$190&lt;&gt;"acoes")))*INDEX(Inputs!$K$5:$AJ$190,0,MATCH(AK$2,Inputs!$K$4:$AJ$4,0)))+SUMPRODUCT((Inputs!$E$5:$E$190=$B46)*Inputs!$F$5:$F$190*(((Inputs!$G$5:$G$190="moeda")+(Inputs!$G$5:$G$190="acoes"))*Inputs!$B$1+((Inputs!$G$5:$G$190&lt;&gt;"moeda")*(Inputs!$G$5:$G$190&lt;&gt;"acoes")))*INDEX(Inputs!$K$5:$AJ$190,0,MATCH(AK$2,Inputs!$K$4:$AJ$4,0)))))</f>
        <v>-120.471</v>
      </c>
      <c r="AL46" s="3">
        <f>AK46</f>
        <v>-120.471</v>
      </c>
    </row>
    <row r="47">
      <c r="B47" s="46" t="n">
        <v>41</v>
      </c>
      <c r="C47" s="28" t="inlineStr">
        <is>
          <t>Retained earnings</t>
        </is>
      </c>
      <c r="D47" s="6">
        <f>IF(ISNA(MATCH(D$2,Inputs!$K$4:$AJ$4,0)),NA(),IF(SUMPRODUCT((Inputs!$A$5:$A$190=$B47)*ISNUMBER(INDEX(Inputs!$K$5:$AJ$190,0,MATCH(D$2,Inputs!$K$4:$AJ$4,0))))+SUMPRODUCT((Inputs!$C$5:$C$190=$B47)*ISNUMBER(INDEX(Inputs!$K$5:$AJ$190,0,MATCH(D$2,Inputs!$K$4:$AJ$4,0))))+SUMPRODUCT((Inputs!$E$5:$E$190=$B47)*ISNUMBER(INDEX(Inputs!$K$5:$AJ$190,0,MATCH(D$2,Inputs!$K$4:$AJ$4,0))))=0,NA(),SUMPRODUCT((Inputs!$A$5:$A$190=$B47)*Inputs!$B$5:$B$190*(((Inputs!$G$5:$G$190="moeda")+(Inputs!$G$5:$G$190="acoes"))*Inputs!$B$1+((Inputs!$G$5:$G$190&lt;&gt;"moeda")*(Inputs!$G$5:$G$190&lt;&gt;"acoes")))*INDEX(Inputs!$K$5:$AJ$190,0,MATCH(D$2,Inputs!$K$4:$AJ$4,0)))+SUMPRODUCT((Inputs!$C$5:$C$190=$B47)*Inputs!$D$5:$D$190*(((Inputs!$G$5:$G$190="moeda")+(Inputs!$G$5:$G$190="acoes"))*Inputs!$B$1+((Inputs!$G$5:$G$190&lt;&gt;"moeda")*(Inputs!$G$5:$G$190&lt;&gt;"acoes")))*INDEX(Inputs!$K$5:$AJ$190,0,MATCH(D$2,Inputs!$K$4:$AJ$4,0)))+SUMPRODUCT((Inputs!$E$5:$E$190=$B47)*Inputs!$F$5:$F$190*(((Inputs!$G$5:$G$190="moeda")+(Inputs!$G$5:$G$190="acoes"))*Inputs!$B$1+((Inputs!$G$5:$G$190&lt;&gt;"moeda")*(Inputs!$G$5:$G$190&lt;&gt;"acoes")))*INDEX(Inputs!$K$5:$AJ$190,0,MATCH(D$2,Inputs!$K$4:$AJ$4,0)))))</f>
        <v>410.904</v>
      </c>
      <c r="E47" s="6">
        <f>IF(ISNA(MATCH(E$2,Inputs!$K$4:$AJ$4,0)),NA(),IF(SUMPRODUCT((Inputs!$A$5:$A$190=$B47)*ISNUMBER(INDEX(Inputs!$K$5:$AJ$190,0,MATCH(E$2,Inputs!$K$4:$AJ$4,0))))+SUMPRODUCT((Inputs!$C$5:$C$190=$B47)*ISNUMBER(INDEX(Inputs!$K$5:$AJ$190,0,MATCH(E$2,Inputs!$K$4:$AJ$4,0))))+SUMPRODUCT((Inputs!$E$5:$E$190=$B47)*ISNUMBER(INDEX(Inputs!$K$5:$AJ$190,0,MATCH(E$2,Inputs!$K$4:$AJ$4,0))))=0,NA(),SUMPRODUCT((Inputs!$A$5:$A$190=$B47)*Inputs!$B$5:$B$190*(((Inputs!$G$5:$G$190="moeda")+(Inputs!$G$5:$G$190="acoes"))*Inputs!$B$1+((Inputs!$G$5:$G$190&lt;&gt;"moeda")*(Inputs!$G$5:$G$190&lt;&gt;"acoes")))*INDEX(Inputs!$K$5:$AJ$190,0,MATCH(E$2,Inputs!$K$4:$AJ$4,0)))+SUMPRODUCT((Inputs!$C$5:$C$190=$B47)*Inputs!$D$5:$D$190*(((Inputs!$G$5:$G$190="moeda")+(Inputs!$G$5:$G$190="acoes"))*Inputs!$B$1+((Inputs!$G$5:$G$190&lt;&gt;"moeda")*(Inputs!$G$5:$G$190&lt;&gt;"acoes")))*INDEX(Inputs!$K$5:$AJ$190,0,MATCH(E$2,Inputs!$K$4:$AJ$4,0)))+SUMPRODUCT((Inputs!$E$5:$E$190=$B47)*Inputs!$F$5:$F$190*(((Inputs!$G$5:$G$190="moeda")+(Inputs!$G$5:$G$190="acoes"))*Inputs!$B$1+((Inputs!$G$5:$G$190&lt;&gt;"moeda")*(Inputs!$G$5:$G$190&lt;&gt;"acoes")))*INDEX(Inputs!$K$5:$AJ$190,0,MATCH(E$2,Inputs!$K$4:$AJ$4,0)))))</f>
        <v>623.826</v>
      </c>
      <c r="F47" s="6">
        <f>IF(ISNA(MATCH(F$2,Inputs!$K$4:$AJ$4,0)),NA(),IF(SUMPRODUCT((Inputs!$A$5:$A$190=$B47)*ISNUMBER(INDEX(Inputs!$K$5:$AJ$190,0,MATCH(F$2,Inputs!$K$4:$AJ$4,0))))+SUMPRODUCT((Inputs!$C$5:$C$190=$B47)*ISNUMBER(INDEX(Inputs!$K$5:$AJ$190,0,MATCH(F$2,Inputs!$K$4:$AJ$4,0))))+SUMPRODUCT((Inputs!$E$5:$E$190=$B47)*ISNUMBER(INDEX(Inputs!$K$5:$AJ$190,0,MATCH(F$2,Inputs!$K$4:$AJ$4,0))))=0,NA(),SUMPRODUCT((Inputs!$A$5:$A$190=$B47)*Inputs!$B$5:$B$190*(((Inputs!$G$5:$G$190="moeda")+(Inputs!$G$5:$G$190="acoes"))*Inputs!$B$1+((Inputs!$G$5:$G$190&lt;&gt;"moeda")*(Inputs!$G$5:$G$190&lt;&gt;"acoes")))*INDEX(Inputs!$K$5:$AJ$190,0,MATCH(F$2,Inputs!$K$4:$AJ$4,0)))+SUMPRODUCT((Inputs!$C$5:$C$190=$B47)*Inputs!$D$5:$D$190*(((Inputs!$G$5:$G$190="moeda")+(Inputs!$G$5:$G$190="acoes"))*Inputs!$B$1+((Inputs!$G$5:$G$190&lt;&gt;"moeda")*(Inputs!$G$5:$G$190&lt;&gt;"acoes")))*INDEX(Inputs!$K$5:$AJ$190,0,MATCH(F$2,Inputs!$K$4:$AJ$4,0)))+SUMPRODUCT((Inputs!$E$5:$E$190=$B47)*Inputs!$F$5:$F$190*(((Inputs!$G$5:$G$190="moeda")+(Inputs!$G$5:$G$190="acoes"))*Inputs!$B$1+((Inputs!$G$5:$G$190&lt;&gt;"moeda")*(Inputs!$G$5:$G$190&lt;&gt;"acoes")))*INDEX(Inputs!$K$5:$AJ$190,0,MATCH(F$2,Inputs!$K$4:$AJ$4,0)))))</f>
        <v>869.589</v>
      </c>
      <c r="G47" s="6">
        <f>IF(ISNA(MATCH(G$2,Inputs!$K$4:$AJ$4,0)),NA(),IF(SUMPRODUCT((Inputs!$A$5:$A$190=$B47)*ISNUMBER(INDEX(Inputs!$K$5:$AJ$190,0,MATCH(G$2,Inputs!$K$4:$AJ$4,0))))+SUMPRODUCT((Inputs!$C$5:$C$190=$B47)*ISNUMBER(INDEX(Inputs!$K$5:$AJ$190,0,MATCH(G$2,Inputs!$K$4:$AJ$4,0))))+SUMPRODUCT((Inputs!$E$5:$E$190=$B47)*ISNUMBER(INDEX(Inputs!$K$5:$AJ$190,0,MATCH(G$2,Inputs!$K$4:$AJ$4,0))))=0,NA(),SUMPRODUCT((Inputs!$A$5:$A$190=$B47)*Inputs!$B$5:$B$190*(((Inputs!$G$5:$G$190="moeda")+(Inputs!$G$5:$G$190="acoes"))*Inputs!$B$1+((Inputs!$G$5:$G$190&lt;&gt;"moeda")*(Inputs!$G$5:$G$190&lt;&gt;"acoes")))*INDEX(Inputs!$K$5:$AJ$190,0,MATCH(G$2,Inputs!$K$4:$AJ$4,0)))+SUMPRODUCT((Inputs!$C$5:$C$190=$B47)*Inputs!$D$5:$D$190*(((Inputs!$G$5:$G$190="moeda")+(Inputs!$G$5:$G$190="acoes"))*Inputs!$B$1+((Inputs!$G$5:$G$190&lt;&gt;"moeda")*(Inputs!$G$5:$G$190&lt;&gt;"acoes")))*INDEX(Inputs!$K$5:$AJ$190,0,MATCH(G$2,Inputs!$K$4:$AJ$4,0)))+SUMPRODUCT((Inputs!$E$5:$E$190=$B47)*Inputs!$F$5:$F$190*(((Inputs!$G$5:$G$190="moeda")+(Inputs!$G$5:$G$190="acoes"))*Inputs!$B$1+((Inputs!$G$5:$G$190&lt;&gt;"moeda")*(Inputs!$G$5:$G$190&lt;&gt;"acoes")))*INDEX(Inputs!$K$5:$AJ$190,0,MATCH(G$2,Inputs!$K$4:$AJ$4,0)))))</f>
        <v>877.94</v>
      </c>
      <c r="H47" s="3">
        <f>G47</f>
        <v>877.94</v>
      </c>
      <c r="I47" s="6">
        <f>IF(ISNA(MATCH(I$2,Inputs!$K$4:$AJ$4,0)),NA(),IF(SUMPRODUCT((Inputs!$A$5:$A$190=$B47)*ISNUMBER(INDEX(Inputs!$K$5:$AJ$190,0,MATCH(I$2,Inputs!$K$4:$AJ$4,0))))+SUMPRODUCT((Inputs!$C$5:$C$190=$B47)*ISNUMBER(INDEX(Inputs!$K$5:$AJ$190,0,MATCH(I$2,Inputs!$K$4:$AJ$4,0))))+SUMPRODUCT((Inputs!$E$5:$E$190=$B47)*ISNUMBER(INDEX(Inputs!$K$5:$AJ$190,0,MATCH(I$2,Inputs!$K$4:$AJ$4,0))))=0,NA(),SUMPRODUCT((Inputs!$A$5:$A$190=$B47)*Inputs!$B$5:$B$190*(((Inputs!$G$5:$G$190="moeda")+(Inputs!$G$5:$G$190="acoes"))*Inputs!$B$1+((Inputs!$G$5:$G$190&lt;&gt;"moeda")*(Inputs!$G$5:$G$190&lt;&gt;"acoes")))*INDEX(Inputs!$K$5:$AJ$190,0,MATCH(I$2,Inputs!$K$4:$AJ$4,0)))+SUMPRODUCT((Inputs!$C$5:$C$190=$B47)*Inputs!$D$5:$D$190*(((Inputs!$G$5:$G$190="moeda")+(Inputs!$G$5:$G$190="acoes"))*Inputs!$B$1+((Inputs!$G$5:$G$190&lt;&gt;"moeda")*(Inputs!$G$5:$G$190&lt;&gt;"acoes")))*INDEX(Inputs!$K$5:$AJ$190,0,MATCH(I$2,Inputs!$K$4:$AJ$4,0)))+SUMPRODUCT((Inputs!$E$5:$E$190=$B47)*Inputs!$F$5:$F$190*(((Inputs!$G$5:$G$190="moeda")+(Inputs!$G$5:$G$190="acoes"))*Inputs!$B$1+((Inputs!$G$5:$G$190&lt;&gt;"moeda")*(Inputs!$G$5:$G$190&lt;&gt;"acoes")))*INDEX(Inputs!$K$5:$AJ$190,0,MATCH(I$2,Inputs!$K$4:$AJ$4,0)))))</f>
        <v>765.355</v>
      </c>
      <c r="J47" s="6">
        <f>IF(ISNA(MATCH(J$2,Inputs!$K$4:$AJ$4,0)),NA(),IF(SUMPRODUCT((Inputs!$A$5:$A$190=$B47)*ISNUMBER(INDEX(Inputs!$K$5:$AJ$190,0,MATCH(J$2,Inputs!$K$4:$AJ$4,0))))+SUMPRODUCT((Inputs!$C$5:$C$190=$B47)*ISNUMBER(INDEX(Inputs!$K$5:$AJ$190,0,MATCH(J$2,Inputs!$K$4:$AJ$4,0))))+SUMPRODUCT((Inputs!$E$5:$E$190=$B47)*ISNUMBER(INDEX(Inputs!$K$5:$AJ$190,0,MATCH(J$2,Inputs!$K$4:$AJ$4,0))))=0,NA(),SUMPRODUCT((Inputs!$A$5:$A$190=$B47)*Inputs!$B$5:$B$190*(((Inputs!$G$5:$G$190="moeda")+(Inputs!$G$5:$G$190="acoes"))*Inputs!$B$1+((Inputs!$G$5:$G$190&lt;&gt;"moeda")*(Inputs!$G$5:$G$190&lt;&gt;"acoes")))*INDEX(Inputs!$K$5:$AJ$190,0,MATCH(J$2,Inputs!$K$4:$AJ$4,0)))+SUMPRODUCT((Inputs!$C$5:$C$190=$B47)*Inputs!$D$5:$D$190*(((Inputs!$G$5:$G$190="moeda")+(Inputs!$G$5:$G$190="acoes"))*Inputs!$B$1+((Inputs!$G$5:$G$190&lt;&gt;"moeda")*(Inputs!$G$5:$G$190&lt;&gt;"acoes")))*INDEX(Inputs!$K$5:$AJ$190,0,MATCH(J$2,Inputs!$K$4:$AJ$4,0)))+SUMPRODUCT((Inputs!$E$5:$E$190=$B47)*Inputs!$F$5:$F$190*(((Inputs!$G$5:$G$190="moeda")+(Inputs!$G$5:$G$190="acoes"))*Inputs!$B$1+((Inputs!$G$5:$G$190&lt;&gt;"moeda")*(Inputs!$G$5:$G$190&lt;&gt;"acoes")))*INDEX(Inputs!$K$5:$AJ$190,0,MATCH(J$2,Inputs!$K$4:$AJ$4,0)))))</f>
        <v>867.332</v>
      </c>
      <c r="K47" s="6">
        <f>IF(ISNA(MATCH(K$2,Inputs!$K$4:$AJ$4,0)),NA(),IF(SUMPRODUCT((Inputs!$A$5:$A$190=$B47)*ISNUMBER(INDEX(Inputs!$K$5:$AJ$190,0,MATCH(K$2,Inputs!$K$4:$AJ$4,0))))+SUMPRODUCT((Inputs!$C$5:$C$190=$B47)*ISNUMBER(INDEX(Inputs!$K$5:$AJ$190,0,MATCH(K$2,Inputs!$K$4:$AJ$4,0))))+SUMPRODUCT((Inputs!$E$5:$E$190=$B47)*ISNUMBER(INDEX(Inputs!$K$5:$AJ$190,0,MATCH(K$2,Inputs!$K$4:$AJ$4,0))))=0,NA(),SUMPRODUCT((Inputs!$A$5:$A$190=$B47)*Inputs!$B$5:$B$190*(((Inputs!$G$5:$G$190="moeda")+(Inputs!$G$5:$G$190="acoes"))*Inputs!$B$1+((Inputs!$G$5:$G$190&lt;&gt;"moeda")*(Inputs!$G$5:$G$190&lt;&gt;"acoes")))*INDEX(Inputs!$K$5:$AJ$190,0,MATCH(K$2,Inputs!$K$4:$AJ$4,0)))+SUMPRODUCT((Inputs!$C$5:$C$190=$B47)*Inputs!$D$5:$D$190*(((Inputs!$G$5:$G$190="moeda")+(Inputs!$G$5:$G$190="acoes"))*Inputs!$B$1+((Inputs!$G$5:$G$190&lt;&gt;"moeda")*(Inputs!$G$5:$G$190&lt;&gt;"acoes")))*INDEX(Inputs!$K$5:$AJ$190,0,MATCH(K$2,Inputs!$K$4:$AJ$4,0)))+SUMPRODUCT((Inputs!$E$5:$E$190=$B47)*Inputs!$F$5:$F$190*(((Inputs!$G$5:$G$190="moeda")+(Inputs!$G$5:$G$190="acoes"))*Inputs!$B$1+((Inputs!$G$5:$G$190&lt;&gt;"moeda")*(Inputs!$G$5:$G$190&lt;&gt;"acoes")))*INDEX(Inputs!$K$5:$AJ$190,0,MATCH(K$2,Inputs!$K$4:$AJ$4,0)))))</f>
        <v>885.833</v>
      </c>
      <c r="L47" s="6">
        <f>IF(ISNA(MATCH(L$2,Inputs!$K$4:$AJ$4,0)),NA(),IF(SUMPRODUCT((Inputs!$A$5:$A$190=$B47)*ISNUMBER(INDEX(Inputs!$K$5:$AJ$190,0,MATCH(L$2,Inputs!$K$4:$AJ$4,0))))+SUMPRODUCT((Inputs!$C$5:$C$190=$B47)*ISNUMBER(INDEX(Inputs!$K$5:$AJ$190,0,MATCH(L$2,Inputs!$K$4:$AJ$4,0))))+SUMPRODUCT((Inputs!$E$5:$E$190=$B47)*ISNUMBER(INDEX(Inputs!$K$5:$AJ$190,0,MATCH(L$2,Inputs!$K$4:$AJ$4,0))))=0,NA(),SUMPRODUCT((Inputs!$A$5:$A$190=$B47)*Inputs!$B$5:$B$190*(((Inputs!$G$5:$G$190="moeda")+(Inputs!$G$5:$G$190="acoes"))*Inputs!$B$1+((Inputs!$G$5:$G$190&lt;&gt;"moeda")*(Inputs!$G$5:$G$190&lt;&gt;"acoes")))*INDEX(Inputs!$K$5:$AJ$190,0,MATCH(L$2,Inputs!$K$4:$AJ$4,0)))+SUMPRODUCT((Inputs!$C$5:$C$190=$B47)*Inputs!$D$5:$D$190*(((Inputs!$G$5:$G$190="moeda")+(Inputs!$G$5:$G$190="acoes"))*Inputs!$B$1+((Inputs!$G$5:$G$190&lt;&gt;"moeda")*(Inputs!$G$5:$G$190&lt;&gt;"acoes")))*INDEX(Inputs!$K$5:$AJ$190,0,MATCH(L$2,Inputs!$K$4:$AJ$4,0)))+SUMPRODUCT((Inputs!$E$5:$E$190=$B47)*Inputs!$F$5:$F$190*(((Inputs!$G$5:$G$190="moeda")+(Inputs!$G$5:$G$190="acoes"))*Inputs!$B$1+((Inputs!$G$5:$G$190&lt;&gt;"moeda")*(Inputs!$G$5:$G$190&lt;&gt;"acoes")))*INDEX(Inputs!$K$5:$AJ$190,0,MATCH(L$2,Inputs!$K$4:$AJ$4,0)))))</f>
        <v>925.757</v>
      </c>
      <c r="M47" s="3">
        <f>L47</f>
        <v>925.757</v>
      </c>
      <c r="N47" s="6">
        <f>IF(ISNA(MATCH(N$2,Inputs!$K$4:$AJ$4,0)),NA(),IF(SUMPRODUCT((Inputs!$A$5:$A$190=$B47)*ISNUMBER(INDEX(Inputs!$K$5:$AJ$190,0,MATCH(N$2,Inputs!$K$4:$AJ$4,0))))+SUMPRODUCT((Inputs!$C$5:$C$190=$B47)*ISNUMBER(INDEX(Inputs!$K$5:$AJ$190,0,MATCH(N$2,Inputs!$K$4:$AJ$4,0))))+SUMPRODUCT((Inputs!$E$5:$E$190=$B47)*ISNUMBER(INDEX(Inputs!$K$5:$AJ$190,0,MATCH(N$2,Inputs!$K$4:$AJ$4,0))))=0,NA(),SUMPRODUCT((Inputs!$A$5:$A$190=$B47)*Inputs!$B$5:$B$190*(((Inputs!$G$5:$G$190="moeda")+(Inputs!$G$5:$G$190="acoes"))*Inputs!$B$1+((Inputs!$G$5:$G$190&lt;&gt;"moeda")*(Inputs!$G$5:$G$190&lt;&gt;"acoes")))*INDEX(Inputs!$K$5:$AJ$190,0,MATCH(N$2,Inputs!$K$4:$AJ$4,0)))+SUMPRODUCT((Inputs!$C$5:$C$190=$B47)*Inputs!$D$5:$D$190*(((Inputs!$G$5:$G$190="moeda")+(Inputs!$G$5:$G$190="acoes"))*Inputs!$B$1+((Inputs!$G$5:$G$190&lt;&gt;"moeda")*(Inputs!$G$5:$G$190&lt;&gt;"acoes")))*INDEX(Inputs!$K$5:$AJ$190,0,MATCH(N$2,Inputs!$K$4:$AJ$4,0)))+SUMPRODUCT((Inputs!$E$5:$E$190=$B47)*Inputs!$F$5:$F$190*(((Inputs!$G$5:$G$190="moeda")+(Inputs!$G$5:$G$190="acoes"))*Inputs!$B$1+((Inputs!$G$5:$G$190&lt;&gt;"moeda")*(Inputs!$G$5:$G$190&lt;&gt;"acoes")))*INDEX(Inputs!$K$5:$AJ$190,0,MATCH(N$2,Inputs!$K$4:$AJ$4,0)))))</f>
        <v>931.95033978</v>
      </c>
      <c r="O47" s="6">
        <f>IF(ISNA(MATCH(O$2,Inputs!$K$4:$AJ$4,0)),NA(),IF(SUMPRODUCT((Inputs!$A$5:$A$190=$B47)*ISNUMBER(INDEX(Inputs!$K$5:$AJ$190,0,MATCH(O$2,Inputs!$K$4:$AJ$4,0))))+SUMPRODUCT((Inputs!$C$5:$C$190=$B47)*ISNUMBER(INDEX(Inputs!$K$5:$AJ$190,0,MATCH(O$2,Inputs!$K$4:$AJ$4,0))))+SUMPRODUCT((Inputs!$E$5:$E$190=$B47)*ISNUMBER(INDEX(Inputs!$K$5:$AJ$190,0,MATCH(O$2,Inputs!$K$4:$AJ$4,0))))=0,NA(),SUMPRODUCT((Inputs!$A$5:$A$190=$B47)*Inputs!$B$5:$B$190*(((Inputs!$G$5:$G$190="moeda")+(Inputs!$G$5:$G$190="acoes"))*Inputs!$B$1+((Inputs!$G$5:$G$190&lt;&gt;"moeda")*(Inputs!$G$5:$G$190&lt;&gt;"acoes")))*INDEX(Inputs!$K$5:$AJ$190,0,MATCH(O$2,Inputs!$K$4:$AJ$4,0)))+SUMPRODUCT((Inputs!$C$5:$C$190=$B47)*Inputs!$D$5:$D$190*(((Inputs!$G$5:$G$190="moeda")+(Inputs!$G$5:$G$190="acoes"))*Inputs!$B$1+((Inputs!$G$5:$G$190&lt;&gt;"moeda")*(Inputs!$G$5:$G$190&lt;&gt;"acoes")))*INDEX(Inputs!$K$5:$AJ$190,0,MATCH(O$2,Inputs!$K$4:$AJ$4,0)))+SUMPRODUCT((Inputs!$E$5:$E$190=$B47)*Inputs!$F$5:$F$190*(((Inputs!$G$5:$G$190="moeda")+(Inputs!$G$5:$G$190="acoes"))*Inputs!$B$1+((Inputs!$G$5:$G$190&lt;&gt;"moeda")*(Inputs!$G$5:$G$190&lt;&gt;"acoes")))*INDEX(Inputs!$K$5:$AJ$190,0,MATCH(O$2,Inputs!$K$4:$AJ$4,0)))))</f>
        <v>944.2770821504</v>
      </c>
      <c r="P47" s="6">
        <f>IF(ISNA(MATCH(P$2,Inputs!$K$4:$AJ$4,0)),NA(),IF(SUMPRODUCT((Inputs!$A$5:$A$190=$B47)*ISNUMBER(INDEX(Inputs!$K$5:$AJ$190,0,MATCH(P$2,Inputs!$K$4:$AJ$4,0))))+SUMPRODUCT((Inputs!$C$5:$C$190=$B47)*ISNUMBER(INDEX(Inputs!$K$5:$AJ$190,0,MATCH(P$2,Inputs!$K$4:$AJ$4,0))))+SUMPRODUCT((Inputs!$E$5:$E$190=$B47)*ISNUMBER(INDEX(Inputs!$K$5:$AJ$190,0,MATCH(P$2,Inputs!$K$4:$AJ$4,0))))=0,NA(),SUMPRODUCT((Inputs!$A$5:$A$190=$B47)*Inputs!$B$5:$B$190*(((Inputs!$G$5:$G$190="moeda")+(Inputs!$G$5:$G$190="acoes"))*Inputs!$B$1+((Inputs!$G$5:$G$190&lt;&gt;"moeda")*(Inputs!$G$5:$G$190&lt;&gt;"acoes")))*INDEX(Inputs!$K$5:$AJ$190,0,MATCH(P$2,Inputs!$K$4:$AJ$4,0)))+SUMPRODUCT((Inputs!$C$5:$C$190=$B47)*Inputs!$D$5:$D$190*(((Inputs!$G$5:$G$190="moeda")+(Inputs!$G$5:$G$190="acoes"))*Inputs!$B$1+((Inputs!$G$5:$G$190&lt;&gt;"moeda")*(Inputs!$G$5:$G$190&lt;&gt;"acoes")))*INDEX(Inputs!$K$5:$AJ$190,0,MATCH(P$2,Inputs!$K$4:$AJ$4,0)))+SUMPRODUCT((Inputs!$E$5:$E$190=$B47)*Inputs!$F$5:$F$190*(((Inputs!$G$5:$G$190="moeda")+(Inputs!$G$5:$G$190="acoes"))*Inputs!$B$1+((Inputs!$G$5:$G$190&lt;&gt;"moeda")*(Inputs!$G$5:$G$190&lt;&gt;"acoes")))*INDEX(Inputs!$K$5:$AJ$190,0,MATCH(P$2,Inputs!$K$4:$AJ$4,0)))))</f>
        <v>807.760875481304</v>
      </c>
      <c r="Q47" s="6">
        <f>IF(ISNA(MATCH(Q$2,Inputs!$K$4:$AJ$4,0)),NA(),IF(SUMPRODUCT((Inputs!$A$5:$A$190=$B47)*ISNUMBER(INDEX(Inputs!$K$5:$AJ$190,0,MATCH(Q$2,Inputs!$K$4:$AJ$4,0))))+SUMPRODUCT((Inputs!$C$5:$C$190=$B47)*ISNUMBER(INDEX(Inputs!$K$5:$AJ$190,0,MATCH(Q$2,Inputs!$K$4:$AJ$4,0))))+SUMPRODUCT((Inputs!$E$5:$E$190=$B47)*ISNUMBER(INDEX(Inputs!$K$5:$AJ$190,0,MATCH(Q$2,Inputs!$K$4:$AJ$4,0))))=0,NA(),SUMPRODUCT((Inputs!$A$5:$A$190=$B47)*Inputs!$B$5:$B$190*(((Inputs!$G$5:$G$190="moeda")+(Inputs!$G$5:$G$190="acoes"))*Inputs!$B$1+((Inputs!$G$5:$G$190&lt;&gt;"moeda")*(Inputs!$G$5:$G$190&lt;&gt;"acoes")))*INDEX(Inputs!$K$5:$AJ$190,0,MATCH(Q$2,Inputs!$K$4:$AJ$4,0)))+SUMPRODUCT((Inputs!$C$5:$C$190=$B47)*Inputs!$D$5:$D$190*(((Inputs!$G$5:$G$190="moeda")+(Inputs!$G$5:$G$190="acoes"))*Inputs!$B$1+((Inputs!$G$5:$G$190&lt;&gt;"moeda")*(Inputs!$G$5:$G$190&lt;&gt;"acoes")))*INDEX(Inputs!$K$5:$AJ$190,0,MATCH(Q$2,Inputs!$K$4:$AJ$4,0)))+SUMPRODUCT((Inputs!$E$5:$E$190=$B47)*Inputs!$F$5:$F$190*(((Inputs!$G$5:$G$190="moeda")+(Inputs!$G$5:$G$190="acoes"))*Inputs!$B$1+((Inputs!$G$5:$G$190&lt;&gt;"moeda")*(Inputs!$G$5:$G$190&lt;&gt;"acoes")))*INDEX(Inputs!$K$5:$AJ$190,0,MATCH(Q$2,Inputs!$K$4:$AJ$4,0)))))</f>
        <v>430.53850448</v>
      </c>
      <c r="R47" s="3">
        <f>Q47</f>
        <v>430.53850448</v>
      </c>
      <c r="S47" s="6">
        <f>IF(ISNA(MATCH(S$2,Inputs!$K$4:$AJ$4,0)),NA(),IF(SUMPRODUCT((Inputs!$A$5:$A$190=$B47)*ISNUMBER(INDEX(Inputs!$K$5:$AJ$190,0,MATCH(S$2,Inputs!$K$4:$AJ$4,0))))+SUMPRODUCT((Inputs!$C$5:$C$190=$B47)*ISNUMBER(INDEX(Inputs!$K$5:$AJ$190,0,MATCH(S$2,Inputs!$K$4:$AJ$4,0))))+SUMPRODUCT((Inputs!$E$5:$E$190=$B47)*ISNUMBER(INDEX(Inputs!$K$5:$AJ$190,0,MATCH(S$2,Inputs!$K$4:$AJ$4,0))))=0,NA(),SUMPRODUCT((Inputs!$A$5:$A$190=$B47)*Inputs!$B$5:$B$190*(((Inputs!$G$5:$G$190="moeda")+(Inputs!$G$5:$G$190="acoes"))*Inputs!$B$1+((Inputs!$G$5:$G$190&lt;&gt;"moeda")*(Inputs!$G$5:$G$190&lt;&gt;"acoes")))*INDEX(Inputs!$K$5:$AJ$190,0,MATCH(S$2,Inputs!$K$4:$AJ$4,0)))+SUMPRODUCT((Inputs!$C$5:$C$190=$B47)*Inputs!$D$5:$D$190*(((Inputs!$G$5:$G$190="moeda")+(Inputs!$G$5:$G$190="acoes"))*Inputs!$B$1+((Inputs!$G$5:$G$190&lt;&gt;"moeda")*(Inputs!$G$5:$G$190&lt;&gt;"acoes")))*INDEX(Inputs!$K$5:$AJ$190,0,MATCH(S$2,Inputs!$K$4:$AJ$4,0)))+SUMPRODUCT((Inputs!$E$5:$E$190=$B47)*Inputs!$F$5:$F$190*(((Inputs!$G$5:$G$190="moeda")+(Inputs!$G$5:$G$190="acoes"))*Inputs!$B$1+((Inputs!$G$5:$G$190&lt;&gt;"moeda")*(Inputs!$G$5:$G$190&lt;&gt;"acoes")))*INDEX(Inputs!$K$5:$AJ$190,0,MATCH(S$2,Inputs!$K$4:$AJ$4,0)))))</f>
        <v>417.4832737</v>
      </c>
      <c r="T47" s="6">
        <f>IF(ISNA(MATCH(T$2,Inputs!$K$4:$AJ$4,0)),NA(),IF(SUMPRODUCT((Inputs!$A$5:$A$190=$B47)*ISNUMBER(INDEX(Inputs!$K$5:$AJ$190,0,MATCH(T$2,Inputs!$K$4:$AJ$4,0))))+SUMPRODUCT((Inputs!$C$5:$C$190=$B47)*ISNUMBER(INDEX(Inputs!$K$5:$AJ$190,0,MATCH(T$2,Inputs!$K$4:$AJ$4,0))))+SUMPRODUCT((Inputs!$E$5:$E$190=$B47)*ISNUMBER(INDEX(Inputs!$K$5:$AJ$190,0,MATCH(T$2,Inputs!$K$4:$AJ$4,0))))=0,NA(),SUMPRODUCT((Inputs!$A$5:$A$190=$B47)*Inputs!$B$5:$B$190*(((Inputs!$G$5:$G$190="moeda")+(Inputs!$G$5:$G$190="acoes"))*Inputs!$B$1+((Inputs!$G$5:$G$190&lt;&gt;"moeda")*(Inputs!$G$5:$G$190&lt;&gt;"acoes")))*INDEX(Inputs!$K$5:$AJ$190,0,MATCH(T$2,Inputs!$K$4:$AJ$4,0)))+SUMPRODUCT((Inputs!$C$5:$C$190=$B47)*Inputs!$D$5:$D$190*(((Inputs!$G$5:$G$190="moeda")+(Inputs!$G$5:$G$190="acoes"))*Inputs!$B$1+((Inputs!$G$5:$G$190&lt;&gt;"moeda")*(Inputs!$G$5:$G$190&lt;&gt;"acoes")))*INDEX(Inputs!$K$5:$AJ$190,0,MATCH(T$2,Inputs!$K$4:$AJ$4,0)))+SUMPRODUCT((Inputs!$E$5:$E$190=$B47)*Inputs!$F$5:$F$190*(((Inputs!$G$5:$G$190="moeda")+(Inputs!$G$5:$G$190="acoes"))*Inputs!$B$1+((Inputs!$G$5:$G$190&lt;&gt;"moeda")*(Inputs!$G$5:$G$190&lt;&gt;"acoes")))*INDEX(Inputs!$K$5:$AJ$190,0,MATCH(T$2,Inputs!$K$4:$AJ$4,0)))))</f>
        <v>466.78310823</v>
      </c>
      <c r="U47" s="6">
        <f>IF(ISNA(MATCH(U$2,Inputs!$K$4:$AJ$4,0)),NA(),IF(SUMPRODUCT((Inputs!$A$5:$A$190=$B47)*ISNUMBER(INDEX(Inputs!$K$5:$AJ$190,0,MATCH(U$2,Inputs!$K$4:$AJ$4,0))))+SUMPRODUCT((Inputs!$C$5:$C$190=$B47)*ISNUMBER(INDEX(Inputs!$K$5:$AJ$190,0,MATCH(U$2,Inputs!$K$4:$AJ$4,0))))+SUMPRODUCT((Inputs!$E$5:$E$190=$B47)*ISNUMBER(INDEX(Inputs!$K$5:$AJ$190,0,MATCH(U$2,Inputs!$K$4:$AJ$4,0))))=0,NA(),SUMPRODUCT((Inputs!$A$5:$A$190=$B47)*Inputs!$B$5:$B$190*(((Inputs!$G$5:$G$190="moeda")+(Inputs!$G$5:$G$190="acoes"))*Inputs!$B$1+((Inputs!$G$5:$G$190&lt;&gt;"moeda")*(Inputs!$G$5:$G$190&lt;&gt;"acoes")))*INDEX(Inputs!$K$5:$AJ$190,0,MATCH(U$2,Inputs!$K$4:$AJ$4,0)))+SUMPRODUCT((Inputs!$C$5:$C$190=$B47)*Inputs!$D$5:$D$190*(((Inputs!$G$5:$G$190="moeda")+(Inputs!$G$5:$G$190="acoes"))*Inputs!$B$1+((Inputs!$G$5:$G$190&lt;&gt;"moeda")*(Inputs!$G$5:$G$190&lt;&gt;"acoes")))*INDEX(Inputs!$K$5:$AJ$190,0,MATCH(U$2,Inputs!$K$4:$AJ$4,0)))+SUMPRODUCT((Inputs!$E$5:$E$190=$B47)*Inputs!$F$5:$F$190*(((Inputs!$G$5:$G$190="moeda")+(Inputs!$G$5:$G$190="acoes"))*Inputs!$B$1+((Inputs!$G$5:$G$190&lt;&gt;"moeda")*(Inputs!$G$5:$G$190&lt;&gt;"acoes")))*INDEX(Inputs!$K$5:$AJ$190,0,MATCH(U$2,Inputs!$K$4:$AJ$4,0)))))</f>
        <v>477.62535819</v>
      </c>
      <c r="V47" s="6">
        <f>IF(ISNA(MATCH(V$2,Inputs!$K$4:$AJ$4,0)),NA(),IF(SUMPRODUCT((Inputs!$A$5:$A$190=$B47)*ISNUMBER(INDEX(Inputs!$K$5:$AJ$190,0,MATCH(V$2,Inputs!$K$4:$AJ$4,0))))+SUMPRODUCT((Inputs!$C$5:$C$190=$B47)*ISNUMBER(INDEX(Inputs!$K$5:$AJ$190,0,MATCH(V$2,Inputs!$K$4:$AJ$4,0))))+SUMPRODUCT((Inputs!$E$5:$E$190=$B47)*ISNUMBER(INDEX(Inputs!$K$5:$AJ$190,0,MATCH(V$2,Inputs!$K$4:$AJ$4,0))))=0,NA(),SUMPRODUCT((Inputs!$A$5:$A$190=$B47)*Inputs!$B$5:$B$190*(((Inputs!$G$5:$G$190="moeda")+(Inputs!$G$5:$G$190="acoes"))*Inputs!$B$1+((Inputs!$G$5:$G$190&lt;&gt;"moeda")*(Inputs!$G$5:$G$190&lt;&gt;"acoes")))*INDEX(Inputs!$K$5:$AJ$190,0,MATCH(V$2,Inputs!$K$4:$AJ$4,0)))+SUMPRODUCT((Inputs!$C$5:$C$190=$B47)*Inputs!$D$5:$D$190*(((Inputs!$G$5:$G$190="moeda")+(Inputs!$G$5:$G$190="acoes"))*Inputs!$B$1+((Inputs!$G$5:$G$190&lt;&gt;"moeda")*(Inputs!$G$5:$G$190&lt;&gt;"acoes")))*INDEX(Inputs!$K$5:$AJ$190,0,MATCH(V$2,Inputs!$K$4:$AJ$4,0)))+SUMPRODUCT((Inputs!$E$5:$E$190=$B47)*Inputs!$F$5:$F$190*(((Inputs!$G$5:$G$190="moeda")+(Inputs!$G$5:$G$190="acoes"))*Inputs!$B$1+((Inputs!$G$5:$G$190&lt;&gt;"moeda")*(Inputs!$G$5:$G$190&lt;&gt;"acoes")))*INDEX(Inputs!$K$5:$AJ$190,0,MATCH(V$2,Inputs!$K$4:$AJ$4,0)))))</f>
        <v>232.35130397</v>
      </c>
      <c r="W47" s="3">
        <f>V47</f>
        <v>232.35130397</v>
      </c>
      <c r="X47" s="6">
        <f>IF(ISNA(MATCH(X$2,Inputs!$K$4:$AJ$4,0)),NA(),IF(SUMPRODUCT((Inputs!$A$5:$A$190=$B47)*ISNUMBER(INDEX(Inputs!$K$5:$AJ$190,0,MATCH(X$2,Inputs!$K$4:$AJ$4,0))))+SUMPRODUCT((Inputs!$C$5:$C$190=$B47)*ISNUMBER(INDEX(Inputs!$K$5:$AJ$190,0,MATCH(X$2,Inputs!$K$4:$AJ$4,0))))+SUMPRODUCT((Inputs!$E$5:$E$190=$B47)*ISNUMBER(INDEX(Inputs!$K$5:$AJ$190,0,MATCH(X$2,Inputs!$K$4:$AJ$4,0))))=0,NA(),SUMPRODUCT((Inputs!$A$5:$A$190=$B47)*Inputs!$B$5:$B$190*(((Inputs!$G$5:$G$190="moeda")+(Inputs!$G$5:$G$190="acoes"))*Inputs!$B$1+((Inputs!$G$5:$G$190&lt;&gt;"moeda")*(Inputs!$G$5:$G$190&lt;&gt;"acoes")))*INDEX(Inputs!$K$5:$AJ$190,0,MATCH(X$2,Inputs!$K$4:$AJ$4,0)))+SUMPRODUCT((Inputs!$C$5:$C$190=$B47)*Inputs!$D$5:$D$190*(((Inputs!$G$5:$G$190="moeda")+(Inputs!$G$5:$G$190="acoes"))*Inputs!$B$1+((Inputs!$G$5:$G$190&lt;&gt;"moeda")*(Inputs!$G$5:$G$190&lt;&gt;"acoes")))*INDEX(Inputs!$K$5:$AJ$190,0,MATCH(X$2,Inputs!$K$4:$AJ$4,0)))+SUMPRODUCT((Inputs!$E$5:$E$190=$B47)*Inputs!$F$5:$F$190*(((Inputs!$G$5:$G$190="moeda")+(Inputs!$G$5:$G$190="acoes"))*Inputs!$B$1+((Inputs!$G$5:$G$190&lt;&gt;"moeda")*(Inputs!$G$5:$G$190&lt;&gt;"acoes")))*INDEX(Inputs!$K$5:$AJ$190,0,MATCH(X$2,Inputs!$K$4:$AJ$4,0)))))</f>
        <v>177.2480134</v>
      </c>
      <c r="Y47" s="6">
        <f>IF(ISNA(MATCH(Y$2,Inputs!$K$4:$AJ$4,0)),NA(),IF(SUMPRODUCT((Inputs!$A$5:$A$190=$B47)*ISNUMBER(INDEX(Inputs!$K$5:$AJ$190,0,MATCH(Y$2,Inputs!$K$4:$AJ$4,0))))+SUMPRODUCT((Inputs!$C$5:$C$190=$B47)*ISNUMBER(INDEX(Inputs!$K$5:$AJ$190,0,MATCH(Y$2,Inputs!$K$4:$AJ$4,0))))+SUMPRODUCT((Inputs!$E$5:$E$190=$B47)*ISNUMBER(INDEX(Inputs!$K$5:$AJ$190,0,MATCH(Y$2,Inputs!$K$4:$AJ$4,0))))=0,NA(),SUMPRODUCT((Inputs!$A$5:$A$190=$B47)*Inputs!$B$5:$B$190*(((Inputs!$G$5:$G$190="moeda")+(Inputs!$G$5:$G$190="acoes"))*Inputs!$B$1+((Inputs!$G$5:$G$190&lt;&gt;"moeda")*(Inputs!$G$5:$G$190&lt;&gt;"acoes")))*INDEX(Inputs!$K$5:$AJ$190,0,MATCH(Y$2,Inputs!$K$4:$AJ$4,0)))+SUMPRODUCT((Inputs!$C$5:$C$190=$B47)*Inputs!$D$5:$D$190*(((Inputs!$G$5:$G$190="moeda")+(Inputs!$G$5:$G$190="acoes"))*Inputs!$B$1+((Inputs!$G$5:$G$190&lt;&gt;"moeda")*(Inputs!$G$5:$G$190&lt;&gt;"acoes")))*INDEX(Inputs!$K$5:$AJ$190,0,MATCH(Y$2,Inputs!$K$4:$AJ$4,0)))+SUMPRODUCT((Inputs!$E$5:$E$190=$B47)*Inputs!$F$5:$F$190*(((Inputs!$G$5:$G$190="moeda")+(Inputs!$G$5:$G$190="acoes"))*Inputs!$B$1+((Inputs!$G$5:$G$190&lt;&gt;"moeda")*(Inputs!$G$5:$G$190&lt;&gt;"acoes")))*INDEX(Inputs!$K$5:$AJ$190,0,MATCH(Y$2,Inputs!$K$4:$AJ$4,0)))))</f>
        <v>22.6152274</v>
      </c>
      <c r="Z47" s="6">
        <f>IF(ISNA(MATCH(Z$2,Inputs!$K$4:$AJ$4,0)),NA(),IF(SUMPRODUCT((Inputs!$A$5:$A$190=$B47)*ISNUMBER(INDEX(Inputs!$K$5:$AJ$190,0,MATCH(Z$2,Inputs!$K$4:$AJ$4,0))))+SUMPRODUCT((Inputs!$C$5:$C$190=$B47)*ISNUMBER(INDEX(Inputs!$K$5:$AJ$190,0,MATCH(Z$2,Inputs!$K$4:$AJ$4,0))))+SUMPRODUCT((Inputs!$E$5:$E$190=$B47)*ISNUMBER(INDEX(Inputs!$K$5:$AJ$190,0,MATCH(Z$2,Inputs!$K$4:$AJ$4,0))))=0,NA(),SUMPRODUCT((Inputs!$A$5:$A$190=$B47)*Inputs!$B$5:$B$190*(((Inputs!$G$5:$G$190="moeda")+(Inputs!$G$5:$G$190="acoes"))*Inputs!$B$1+((Inputs!$G$5:$G$190&lt;&gt;"moeda")*(Inputs!$G$5:$G$190&lt;&gt;"acoes")))*INDEX(Inputs!$K$5:$AJ$190,0,MATCH(Z$2,Inputs!$K$4:$AJ$4,0)))+SUMPRODUCT((Inputs!$C$5:$C$190=$B47)*Inputs!$D$5:$D$190*(((Inputs!$G$5:$G$190="moeda")+(Inputs!$G$5:$G$190="acoes"))*Inputs!$B$1+((Inputs!$G$5:$G$190&lt;&gt;"moeda")*(Inputs!$G$5:$G$190&lt;&gt;"acoes")))*INDEX(Inputs!$K$5:$AJ$190,0,MATCH(Z$2,Inputs!$K$4:$AJ$4,0)))+SUMPRODUCT((Inputs!$E$5:$E$190=$B47)*Inputs!$F$5:$F$190*(((Inputs!$G$5:$G$190="moeda")+(Inputs!$G$5:$G$190="acoes"))*Inputs!$B$1+((Inputs!$G$5:$G$190&lt;&gt;"moeda")*(Inputs!$G$5:$G$190&lt;&gt;"acoes")))*INDEX(Inputs!$K$5:$AJ$190,0,MATCH(Z$2,Inputs!$K$4:$AJ$4,0)))))</f>
        <v>-222.64306702</v>
      </c>
      <c r="AA47" s="6">
        <f>IF(ISNA(MATCH(AA$2,Inputs!$K$4:$AJ$4,0)),NA(),IF(SUMPRODUCT((Inputs!$A$5:$A$190=$B47)*ISNUMBER(INDEX(Inputs!$K$5:$AJ$190,0,MATCH(AA$2,Inputs!$K$4:$AJ$4,0))))+SUMPRODUCT((Inputs!$C$5:$C$190=$B47)*ISNUMBER(INDEX(Inputs!$K$5:$AJ$190,0,MATCH(AA$2,Inputs!$K$4:$AJ$4,0))))+SUMPRODUCT((Inputs!$E$5:$E$190=$B47)*ISNUMBER(INDEX(Inputs!$K$5:$AJ$190,0,MATCH(AA$2,Inputs!$K$4:$AJ$4,0))))=0,NA(),SUMPRODUCT((Inputs!$A$5:$A$190=$B47)*Inputs!$B$5:$B$190*(((Inputs!$G$5:$G$190="moeda")+(Inputs!$G$5:$G$190="acoes"))*Inputs!$B$1+((Inputs!$G$5:$G$190&lt;&gt;"moeda")*(Inputs!$G$5:$G$190&lt;&gt;"acoes")))*INDEX(Inputs!$K$5:$AJ$190,0,MATCH(AA$2,Inputs!$K$4:$AJ$4,0)))+SUMPRODUCT((Inputs!$C$5:$C$190=$B47)*Inputs!$D$5:$D$190*(((Inputs!$G$5:$G$190="moeda")+(Inputs!$G$5:$G$190="acoes"))*Inputs!$B$1+((Inputs!$G$5:$G$190&lt;&gt;"moeda")*(Inputs!$G$5:$G$190&lt;&gt;"acoes")))*INDEX(Inputs!$K$5:$AJ$190,0,MATCH(AA$2,Inputs!$K$4:$AJ$4,0)))+SUMPRODUCT((Inputs!$E$5:$E$190=$B47)*Inputs!$F$5:$F$190*(((Inputs!$G$5:$G$190="moeda")+(Inputs!$G$5:$G$190="acoes"))*Inputs!$B$1+((Inputs!$G$5:$G$190&lt;&gt;"moeda")*(Inputs!$G$5:$G$190&lt;&gt;"acoes")))*INDEX(Inputs!$K$5:$AJ$190,0,MATCH(AA$2,Inputs!$K$4:$AJ$4,0)))))</f>
        <v>216.91863636</v>
      </c>
      <c r="AB47" s="3">
        <f>AA47</f>
        <v>216.91863636</v>
      </c>
      <c r="AC47" s="6">
        <f>IF(ISNA(MATCH(AC$2,Inputs!$K$4:$AJ$4,0)),NA(),IF(SUMPRODUCT((Inputs!$A$5:$A$190=$B47)*ISNUMBER(INDEX(Inputs!$K$5:$AJ$190,0,MATCH(AC$2,Inputs!$K$4:$AJ$4,0))))+SUMPRODUCT((Inputs!$C$5:$C$190=$B47)*ISNUMBER(INDEX(Inputs!$K$5:$AJ$190,0,MATCH(AC$2,Inputs!$K$4:$AJ$4,0))))+SUMPRODUCT((Inputs!$E$5:$E$190=$B47)*ISNUMBER(INDEX(Inputs!$K$5:$AJ$190,0,MATCH(AC$2,Inputs!$K$4:$AJ$4,0))))=0,NA(),SUMPRODUCT((Inputs!$A$5:$A$190=$B47)*Inputs!$B$5:$B$190*(((Inputs!$G$5:$G$190="moeda")+(Inputs!$G$5:$G$190="acoes"))*Inputs!$B$1+((Inputs!$G$5:$G$190&lt;&gt;"moeda")*(Inputs!$G$5:$G$190&lt;&gt;"acoes")))*INDEX(Inputs!$K$5:$AJ$190,0,MATCH(AC$2,Inputs!$K$4:$AJ$4,0)))+SUMPRODUCT((Inputs!$C$5:$C$190=$B47)*Inputs!$D$5:$D$190*(((Inputs!$G$5:$G$190="moeda")+(Inputs!$G$5:$G$190="acoes"))*Inputs!$B$1+((Inputs!$G$5:$G$190&lt;&gt;"moeda")*(Inputs!$G$5:$G$190&lt;&gt;"acoes")))*INDEX(Inputs!$K$5:$AJ$190,0,MATCH(AC$2,Inputs!$K$4:$AJ$4,0)))+SUMPRODUCT((Inputs!$E$5:$E$190=$B47)*Inputs!$F$5:$F$190*(((Inputs!$G$5:$G$190="moeda")+(Inputs!$G$5:$G$190="acoes"))*Inputs!$B$1+((Inputs!$G$5:$G$190&lt;&gt;"moeda")*(Inputs!$G$5:$G$190&lt;&gt;"acoes")))*INDEX(Inputs!$K$5:$AJ$190,0,MATCH(AC$2,Inputs!$K$4:$AJ$4,0)))))</f>
        <v>58.5362407</v>
      </c>
      <c r="AD47" s="6">
        <f>IF(ISNA(MATCH(AD$2,Inputs!$K$4:$AJ$4,0)),NA(),IF(SUMPRODUCT((Inputs!$A$5:$A$190=$B47)*ISNUMBER(INDEX(Inputs!$K$5:$AJ$190,0,MATCH(AD$2,Inputs!$K$4:$AJ$4,0))))+SUMPRODUCT((Inputs!$C$5:$C$190=$B47)*ISNUMBER(INDEX(Inputs!$K$5:$AJ$190,0,MATCH(AD$2,Inputs!$K$4:$AJ$4,0))))+SUMPRODUCT((Inputs!$E$5:$E$190=$B47)*ISNUMBER(INDEX(Inputs!$K$5:$AJ$190,0,MATCH(AD$2,Inputs!$K$4:$AJ$4,0))))=0,NA(),SUMPRODUCT((Inputs!$A$5:$A$190=$B47)*Inputs!$B$5:$B$190*(((Inputs!$G$5:$G$190="moeda")+(Inputs!$G$5:$G$190="acoes"))*Inputs!$B$1+((Inputs!$G$5:$G$190&lt;&gt;"moeda")*(Inputs!$G$5:$G$190&lt;&gt;"acoes")))*INDEX(Inputs!$K$5:$AJ$190,0,MATCH(AD$2,Inputs!$K$4:$AJ$4,0)))+SUMPRODUCT((Inputs!$C$5:$C$190=$B47)*Inputs!$D$5:$D$190*(((Inputs!$G$5:$G$190="moeda")+(Inputs!$G$5:$G$190="acoes"))*Inputs!$B$1+((Inputs!$G$5:$G$190&lt;&gt;"moeda")*(Inputs!$G$5:$G$190&lt;&gt;"acoes")))*INDEX(Inputs!$K$5:$AJ$190,0,MATCH(AD$2,Inputs!$K$4:$AJ$4,0)))+SUMPRODUCT((Inputs!$E$5:$E$190=$B47)*Inputs!$F$5:$F$190*(((Inputs!$G$5:$G$190="moeda")+(Inputs!$G$5:$G$190="acoes"))*Inputs!$B$1+((Inputs!$G$5:$G$190&lt;&gt;"moeda")*(Inputs!$G$5:$G$190&lt;&gt;"acoes")))*INDEX(Inputs!$K$5:$AJ$190,0,MATCH(AD$2,Inputs!$K$4:$AJ$4,0)))))</f>
        <v>-257.24394704</v>
      </c>
      <c r="AE47" s="6" t="e">
        <f>IF(ISNA(MATCH(AE$2,Inputs!$K$4:$AJ$4,0)),NA(),IF(SUMPRODUCT((Inputs!$A$5:$A$190=$B47)*ISNUMBER(INDEX(Inputs!$K$5:$AJ$190,0,MATCH(AE$2,Inputs!$K$4:$AJ$4,0))))+SUMPRODUCT((Inputs!$C$5:$C$190=$B47)*ISNUMBER(INDEX(Inputs!$K$5:$AJ$190,0,MATCH(AE$2,Inputs!$K$4:$AJ$4,0))))+SUMPRODUCT((Inputs!$E$5:$E$190=$B47)*ISNUMBER(INDEX(Inputs!$K$5:$AJ$190,0,MATCH(AE$2,Inputs!$K$4:$AJ$4,0))))=0,NA(),SUMPRODUCT((Inputs!$A$5:$A$190=$B47)*Inputs!$B$5:$B$190*(((Inputs!$G$5:$G$190="moeda")+(Inputs!$G$5:$G$190="acoes"))*Inputs!$B$1+((Inputs!$G$5:$G$190&lt;&gt;"moeda")*(Inputs!$G$5:$G$190&lt;&gt;"acoes")))*INDEX(Inputs!$K$5:$AJ$190,0,MATCH(AE$2,Inputs!$K$4:$AJ$4,0)))+SUMPRODUCT((Inputs!$C$5:$C$190=$B47)*Inputs!$D$5:$D$190*(((Inputs!$G$5:$G$190="moeda")+(Inputs!$G$5:$G$190="acoes"))*Inputs!$B$1+((Inputs!$G$5:$G$190&lt;&gt;"moeda")*(Inputs!$G$5:$G$190&lt;&gt;"acoes")))*INDEX(Inputs!$K$5:$AJ$190,0,MATCH(AE$2,Inputs!$K$4:$AJ$4,0)))+SUMPRODUCT((Inputs!$E$5:$E$190=$B47)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47" s="6" t="e">
        <f>IF(ISNA(MATCH(AF$2,Inputs!$K$4:$AJ$4,0)),NA(),IF(SUMPRODUCT((Inputs!$A$5:$A$190=$B47)*ISNUMBER(INDEX(Inputs!$K$5:$AJ$190,0,MATCH(AF$2,Inputs!$K$4:$AJ$4,0))))+SUMPRODUCT((Inputs!$C$5:$C$190=$B47)*ISNUMBER(INDEX(Inputs!$K$5:$AJ$190,0,MATCH(AF$2,Inputs!$K$4:$AJ$4,0))))+SUMPRODUCT((Inputs!$E$5:$E$190=$B47)*ISNUMBER(INDEX(Inputs!$K$5:$AJ$190,0,MATCH(AF$2,Inputs!$K$4:$AJ$4,0))))=0,NA(),SUMPRODUCT((Inputs!$A$5:$A$190=$B47)*Inputs!$B$5:$B$190*(((Inputs!$G$5:$G$190="moeda")+(Inputs!$G$5:$G$190="acoes"))*Inputs!$B$1+((Inputs!$G$5:$G$190&lt;&gt;"moeda")*(Inputs!$G$5:$G$190&lt;&gt;"acoes")))*INDEX(Inputs!$K$5:$AJ$190,0,MATCH(AF$2,Inputs!$K$4:$AJ$4,0)))+SUMPRODUCT((Inputs!$C$5:$C$190=$B47)*Inputs!$D$5:$D$190*(((Inputs!$G$5:$G$190="moeda")+(Inputs!$G$5:$G$190="acoes"))*Inputs!$B$1+((Inputs!$G$5:$G$190&lt;&gt;"moeda")*(Inputs!$G$5:$G$190&lt;&gt;"acoes")))*INDEX(Inputs!$K$5:$AJ$190,0,MATCH(AF$2,Inputs!$K$4:$AJ$4,0)))+SUMPRODUCT((Inputs!$E$5:$E$190=$B47)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47" s="3" t="e">
        <f>AF47</f>
        <v>#N/A</v>
      </c>
      <c r="AH47" s="6">
        <f>IF(ISNA(MATCH(AH$2,Inputs!$K$4:$AJ$4,0)),NA(),IF(SUMPRODUCT((Inputs!$A$5:$A$190=$B47)*ISNUMBER(INDEX(Inputs!$K$5:$AJ$190,0,MATCH(AH$2,Inputs!$K$4:$AJ$4,0))))+SUMPRODUCT((Inputs!$C$5:$C$190=$B47)*ISNUMBER(INDEX(Inputs!$K$5:$AJ$190,0,MATCH(AH$2,Inputs!$K$4:$AJ$4,0))))+SUMPRODUCT((Inputs!$E$5:$E$190=$B47)*ISNUMBER(INDEX(Inputs!$K$5:$AJ$190,0,MATCH(AH$2,Inputs!$K$4:$AJ$4,0))))=0,NA(),SUMPRODUCT((Inputs!$A$5:$A$190=$B47)*Inputs!$B$5:$B$190*(((Inputs!$G$5:$G$190="moeda")+(Inputs!$G$5:$G$190="acoes"))*Inputs!$B$1+((Inputs!$G$5:$G$190&lt;&gt;"moeda")*(Inputs!$G$5:$G$190&lt;&gt;"acoes")))*INDEX(Inputs!$K$5:$AJ$190,0,MATCH(AH$2,Inputs!$K$4:$AJ$4,0)))+SUMPRODUCT((Inputs!$C$5:$C$190=$B47)*Inputs!$D$5:$D$190*(((Inputs!$G$5:$G$190="moeda")+(Inputs!$G$5:$G$190="acoes"))*Inputs!$B$1+((Inputs!$G$5:$G$190&lt;&gt;"moeda")*(Inputs!$G$5:$G$190&lt;&gt;"acoes")))*INDEX(Inputs!$K$5:$AJ$190,0,MATCH(AH$2,Inputs!$K$4:$AJ$4,0)))+SUMPRODUCT((Inputs!$E$5:$E$190=$B47)*Inputs!$F$5:$F$190*(((Inputs!$G$5:$G$190="moeda")+(Inputs!$G$5:$G$190="acoes"))*Inputs!$B$1+((Inputs!$G$5:$G$190&lt;&gt;"moeda")*(Inputs!$G$5:$G$190&lt;&gt;"acoes")))*INDEX(Inputs!$K$5:$AJ$190,0,MATCH(AH$2,Inputs!$K$4:$AJ$4,0)))))</f>
        <v>116.225</v>
      </c>
      <c r="AI47" s="6">
        <f>IF(ISNA(MATCH(AI$2,Inputs!$K$4:$AJ$4,0)),NA(),IF(SUMPRODUCT((Inputs!$A$5:$A$190=$B47)*ISNUMBER(INDEX(Inputs!$K$5:$AJ$190,0,MATCH(AI$2,Inputs!$K$4:$AJ$4,0))))+SUMPRODUCT((Inputs!$C$5:$C$190=$B47)*ISNUMBER(INDEX(Inputs!$K$5:$AJ$190,0,MATCH(AI$2,Inputs!$K$4:$AJ$4,0))))+SUMPRODUCT((Inputs!$E$5:$E$190=$B47)*ISNUMBER(INDEX(Inputs!$K$5:$AJ$190,0,MATCH(AI$2,Inputs!$K$4:$AJ$4,0))))=0,NA(),SUMPRODUCT((Inputs!$A$5:$A$190=$B47)*Inputs!$B$5:$B$190*(((Inputs!$G$5:$G$190="moeda")+(Inputs!$G$5:$G$190="acoes"))*Inputs!$B$1+((Inputs!$G$5:$G$190&lt;&gt;"moeda")*(Inputs!$G$5:$G$190&lt;&gt;"acoes")))*INDEX(Inputs!$K$5:$AJ$190,0,MATCH(AI$2,Inputs!$K$4:$AJ$4,0)))+SUMPRODUCT((Inputs!$C$5:$C$190=$B47)*Inputs!$D$5:$D$190*(((Inputs!$G$5:$G$190="moeda")+(Inputs!$G$5:$G$190="acoes"))*Inputs!$B$1+((Inputs!$G$5:$G$190&lt;&gt;"moeda")*(Inputs!$G$5:$G$190&lt;&gt;"acoes")))*INDEX(Inputs!$K$5:$AJ$190,0,MATCH(AI$2,Inputs!$K$4:$AJ$4,0)))+SUMPRODUCT((Inputs!$E$5:$E$190=$B47)*Inputs!$F$5:$F$190*(((Inputs!$G$5:$G$190="moeda")+(Inputs!$G$5:$G$190="acoes"))*Inputs!$B$1+((Inputs!$G$5:$G$190&lt;&gt;"moeda")*(Inputs!$G$5:$G$190&lt;&gt;"acoes")))*INDEX(Inputs!$K$5:$AJ$190,0,MATCH(AI$2,Inputs!$K$4:$AJ$4,0)))))</f>
        <v>310.42597853</v>
      </c>
      <c r="AJ47" s="6">
        <f>IF(ISNA(MATCH(AJ$2,Inputs!$K$4:$AJ$4,0)),NA(),IF(SUMPRODUCT((Inputs!$A$5:$A$190=$B47)*ISNUMBER(INDEX(Inputs!$K$5:$AJ$190,0,MATCH(AJ$2,Inputs!$K$4:$AJ$4,0))))+SUMPRODUCT((Inputs!$C$5:$C$190=$B47)*ISNUMBER(INDEX(Inputs!$K$5:$AJ$190,0,MATCH(AJ$2,Inputs!$K$4:$AJ$4,0))))+SUMPRODUCT((Inputs!$E$5:$E$190=$B47)*ISNUMBER(INDEX(Inputs!$K$5:$AJ$190,0,MATCH(AJ$2,Inputs!$K$4:$AJ$4,0))))=0,NA(),SUMPRODUCT((Inputs!$A$5:$A$190=$B47)*Inputs!$B$5:$B$190*(((Inputs!$G$5:$G$190="moeda")+(Inputs!$G$5:$G$190="acoes"))*Inputs!$B$1+((Inputs!$G$5:$G$190&lt;&gt;"moeda")*(Inputs!$G$5:$G$190&lt;&gt;"acoes")))*INDEX(Inputs!$K$5:$AJ$190,0,MATCH(AJ$2,Inputs!$K$4:$AJ$4,0)))+SUMPRODUCT((Inputs!$C$5:$C$190=$B47)*Inputs!$D$5:$D$190*(((Inputs!$G$5:$G$190="moeda")+(Inputs!$G$5:$G$190="acoes"))*Inputs!$B$1+((Inputs!$G$5:$G$190&lt;&gt;"moeda")*(Inputs!$G$5:$G$190&lt;&gt;"acoes")))*INDEX(Inputs!$K$5:$AJ$190,0,MATCH(AJ$2,Inputs!$K$4:$AJ$4,0)))+SUMPRODUCT((Inputs!$E$5:$E$190=$B47)*Inputs!$F$5:$F$190*(((Inputs!$G$5:$G$190="moeda")+(Inputs!$G$5:$G$190="acoes"))*Inputs!$B$1+((Inputs!$G$5:$G$190&lt;&gt;"moeda")*(Inputs!$G$5:$G$190&lt;&gt;"acoes")))*INDEX(Inputs!$K$5:$AJ$190,0,MATCH(AJ$2,Inputs!$K$4:$AJ$4,0)))))</f>
        <v>158.796</v>
      </c>
      <c r="AK47" s="6">
        <f>IF(ISNA(MATCH(AK$2,Inputs!$K$4:$AJ$4,0)),NA(),IF(SUMPRODUCT((Inputs!$A$5:$A$190=$B47)*ISNUMBER(INDEX(Inputs!$K$5:$AJ$190,0,MATCH(AK$2,Inputs!$K$4:$AJ$4,0))))+SUMPRODUCT((Inputs!$C$5:$C$190=$B47)*ISNUMBER(INDEX(Inputs!$K$5:$AJ$190,0,MATCH(AK$2,Inputs!$K$4:$AJ$4,0))))+SUMPRODUCT((Inputs!$E$5:$E$190=$B47)*ISNUMBER(INDEX(Inputs!$K$5:$AJ$190,0,MATCH(AK$2,Inputs!$K$4:$AJ$4,0))))=0,NA(),SUMPRODUCT((Inputs!$A$5:$A$190=$B47)*Inputs!$B$5:$B$190*(((Inputs!$G$5:$G$190="moeda")+(Inputs!$G$5:$G$190="acoes"))*Inputs!$B$1+((Inputs!$G$5:$G$190&lt;&gt;"moeda")*(Inputs!$G$5:$G$190&lt;&gt;"acoes")))*INDEX(Inputs!$K$5:$AJ$190,0,MATCH(AK$2,Inputs!$K$4:$AJ$4,0)))+SUMPRODUCT((Inputs!$C$5:$C$190=$B47)*Inputs!$D$5:$D$190*(((Inputs!$G$5:$G$190="moeda")+(Inputs!$G$5:$G$190="acoes"))*Inputs!$B$1+((Inputs!$G$5:$G$190&lt;&gt;"moeda")*(Inputs!$G$5:$G$190&lt;&gt;"acoes")))*INDEX(Inputs!$K$5:$AJ$190,0,MATCH(AK$2,Inputs!$K$4:$AJ$4,0)))+SUMPRODUCT((Inputs!$E$5:$E$190=$B47)*Inputs!$F$5:$F$190*(((Inputs!$G$5:$G$190="moeda")+(Inputs!$G$5:$G$190="acoes"))*Inputs!$B$1+((Inputs!$G$5:$G$190&lt;&gt;"moeda")*(Inputs!$G$5:$G$190&lt;&gt;"acoes")))*INDEX(Inputs!$K$5:$AJ$190,0,MATCH(AK$2,Inputs!$K$4:$AJ$4,0)))))</f>
        <v>262.336</v>
      </c>
      <c r="AL47" s="3">
        <f>AK47</f>
        <v>262.336</v>
      </c>
    </row>
    <row r="48"/>
    <row r="49" customFormat="1" s="1">
      <c r="C49" s="4" t="n"/>
      <c r="D49" s="245" t="n"/>
      <c r="E49" s="245" t="n"/>
      <c r="F49" s="245" t="n"/>
      <c r="G49" s="245" t="n"/>
      <c r="H49" s="3" t="n"/>
      <c r="I49" s="245" t="n"/>
      <c r="J49" s="245" t="n"/>
      <c r="K49" s="245" t="n"/>
      <c r="L49" s="245" t="n"/>
      <c r="M49" s="3" t="n"/>
      <c r="N49" s="245" t="n"/>
      <c r="O49" s="245" t="n"/>
      <c r="P49" s="245" t="n"/>
      <c r="Q49" s="245" t="n"/>
      <c r="R49" s="3" t="n"/>
      <c r="S49" s="245" t="n"/>
      <c r="T49" s="245" t="n"/>
      <c r="U49" s="245" t="n"/>
      <c r="V49" s="245" t="n"/>
      <c r="W49" s="3" t="n"/>
      <c r="X49" s="245" t="n"/>
      <c r="Y49" s="245" t="n"/>
      <c r="Z49" s="245" t="n"/>
      <c r="AA49" s="245" t="n"/>
      <c r="AC49" s="245" t="n"/>
      <c r="AD49" s="245" t="n"/>
      <c r="AE49" s="245" t="n"/>
      <c r="AF49" s="245" t="n"/>
    </row>
    <row r="50">
      <c r="B50" s="46" t="n">
        <v>44</v>
      </c>
      <c r="C50" s="24" t="inlineStr">
        <is>
          <t>Net income reported (lucro liquido) - memo p/ check IS [Model linha 4]</t>
        </is>
      </c>
      <c r="D50" s="6">
        <f>IF(ISNA(MATCH(D$2,Inputs!$K$4:$AJ$4,0)),NA(),IF(SUMPRODUCT((Inputs!$A$5:$A$190=$B50)*ISNUMBER(INDEX(Inputs!$K$5:$AJ$190,0,MATCH(D$2,Inputs!$K$4:$AJ$4,0))))+SUMPRODUCT((Inputs!$C$5:$C$190=$B50)*ISNUMBER(INDEX(Inputs!$K$5:$AJ$190,0,MATCH(D$2,Inputs!$K$4:$AJ$4,0))))+SUMPRODUCT((Inputs!$E$5:$E$190=$B50)*ISNUMBER(INDEX(Inputs!$K$5:$AJ$190,0,MATCH(D$2,Inputs!$K$4:$AJ$4,0))))=0,NA(),SUMPRODUCT((Inputs!$A$5:$A$190=$B50)*Inputs!$B$5:$B$190*(((Inputs!$G$5:$G$190="moeda")+(Inputs!$G$5:$G$190="acoes"))*Inputs!$B$1+((Inputs!$G$5:$G$190&lt;&gt;"moeda")*(Inputs!$G$5:$G$190&lt;&gt;"acoes")))*INDEX(Inputs!$K$5:$AJ$190,0,MATCH(D$2,Inputs!$K$4:$AJ$4,0)))+SUMPRODUCT((Inputs!$C$5:$C$190=$B50)*Inputs!$D$5:$D$190*(((Inputs!$G$5:$G$190="moeda")+(Inputs!$G$5:$G$190="acoes"))*Inputs!$B$1+((Inputs!$G$5:$G$190&lt;&gt;"moeda")*(Inputs!$G$5:$G$190&lt;&gt;"acoes")))*INDEX(Inputs!$K$5:$AJ$190,0,MATCH(D$2,Inputs!$K$4:$AJ$4,0)))+SUMPRODUCT((Inputs!$E$5:$E$190=$B50)*Inputs!$F$5:$F$190*(((Inputs!$G$5:$G$190="moeda")+(Inputs!$G$5:$G$190="acoes"))*Inputs!$B$1+((Inputs!$G$5:$G$190&lt;&gt;"moeda")*(Inputs!$G$5:$G$190&lt;&gt;"acoes")))*INDEX(Inputs!$K$5:$AJ$190,0,MATCH(D$2,Inputs!$K$4:$AJ$4,0)))))</f>
        <v>94.243</v>
      </c>
      <c r="E50" s="6">
        <f>IF(ISNA(MATCH(E$2,Inputs!$K$4:$AJ$4,0)),NA(),IF(SUMPRODUCT((Inputs!$A$5:$A$190=$B50)*ISNUMBER(INDEX(Inputs!$K$5:$AJ$190,0,MATCH(E$2,Inputs!$K$4:$AJ$4,0))))+SUMPRODUCT((Inputs!$C$5:$C$190=$B50)*ISNUMBER(INDEX(Inputs!$K$5:$AJ$190,0,MATCH(E$2,Inputs!$K$4:$AJ$4,0))))+SUMPRODUCT((Inputs!$E$5:$E$190=$B50)*ISNUMBER(INDEX(Inputs!$K$5:$AJ$190,0,MATCH(E$2,Inputs!$K$4:$AJ$4,0))))=0,NA(),SUMPRODUCT((Inputs!$A$5:$A$190=$B50)*Inputs!$B$5:$B$190*(((Inputs!$G$5:$G$190="moeda")+(Inputs!$G$5:$G$190="acoes"))*Inputs!$B$1+((Inputs!$G$5:$G$190&lt;&gt;"moeda")*(Inputs!$G$5:$G$190&lt;&gt;"acoes")))*INDEX(Inputs!$K$5:$AJ$190,0,MATCH(E$2,Inputs!$K$4:$AJ$4,0)))+SUMPRODUCT((Inputs!$C$5:$C$190=$B50)*Inputs!$D$5:$D$190*(((Inputs!$G$5:$G$190="moeda")+(Inputs!$G$5:$G$190="acoes"))*Inputs!$B$1+((Inputs!$G$5:$G$190&lt;&gt;"moeda")*(Inputs!$G$5:$G$190&lt;&gt;"acoes")))*INDEX(Inputs!$K$5:$AJ$190,0,MATCH(E$2,Inputs!$K$4:$AJ$4,0)))+SUMPRODUCT((Inputs!$E$5:$E$190=$B50)*Inputs!$F$5:$F$190*(((Inputs!$G$5:$G$190="moeda")+(Inputs!$G$5:$G$190="acoes"))*Inputs!$B$1+((Inputs!$G$5:$G$190&lt;&gt;"moeda")*(Inputs!$G$5:$G$190&lt;&gt;"acoes")))*INDEX(Inputs!$K$5:$AJ$190,0,MATCH(E$2,Inputs!$K$4:$AJ$4,0)))))</f>
        <v>267.247</v>
      </c>
      <c r="F50" s="6">
        <f>IF(ISNA(MATCH(F$2,Inputs!$K$4:$AJ$4,0)),NA(),IF(SUMPRODUCT((Inputs!$A$5:$A$190=$B50)*ISNUMBER(INDEX(Inputs!$K$5:$AJ$190,0,MATCH(F$2,Inputs!$K$4:$AJ$4,0))))+SUMPRODUCT((Inputs!$C$5:$C$190=$B50)*ISNUMBER(INDEX(Inputs!$K$5:$AJ$190,0,MATCH(F$2,Inputs!$K$4:$AJ$4,0))))+SUMPRODUCT((Inputs!$E$5:$E$190=$B50)*ISNUMBER(INDEX(Inputs!$K$5:$AJ$190,0,MATCH(F$2,Inputs!$K$4:$AJ$4,0))))=0,NA(),SUMPRODUCT((Inputs!$A$5:$A$190=$B50)*Inputs!$B$5:$B$190*(((Inputs!$G$5:$G$190="moeda")+(Inputs!$G$5:$G$190="acoes"))*Inputs!$B$1+((Inputs!$G$5:$G$190&lt;&gt;"moeda")*(Inputs!$G$5:$G$190&lt;&gt;"acoes")))*INDEX(Inputs!$K$5:$AJ$190,0,MATCH(F$2,Inputs!$K$4:$AJ$4,0)))+SUMPRODUCT((Inputs!$C$5:$C$190=$B50)*Inputs!$D$5:$D$190*(((Inputs!$G$5:$G$190="moeda")+(Inputs!$G$5:$G$190="acoes"))*Inputs!$B$1+((Inputs!$G$5:$G$190&lt;&gt;"moeda")*(Inputs!$G$5:$G$190&lt;&gt;"acoes")))*INDEX(Inputs!$K$5:$AJ$190,0,MATCH(F$2,Inputs!$K$4:$AJ$4,0)))+SUMPRODUCT((Inputs!$E$5:$E$190=$B50)*Inputs!$F$5:$F$190*(((Inputs!$G$5:$G$190="moeda")+(Inputs!$G$5:$G$190="acoes"))*Inputs!$B$1+((Inputs!$G$5:$G$190&lt;&gt;"moeda")*(Inputs!$G$5:$G$190&lt;&gt;"acoes")))*INDEX(Inputs!$K$5:$AJ$190,0,MATCH(F$2,Inputs!$K$4:$AJ$4,0)))))</f>
        <v>245.763</v>
      </c>
      <c r="G50" s="6">
        <f>IF(ISNA(MATCH(G$2,Inputs!$K$4:$AJ$4,0)),NA(),IF(SUMPRODUCT((Inputs!$A$5:$A$190=$B50)*ISNUMBER(INDEX(Inputs!$K$5:$AJ$190,0,MATCH(G$2,Inputs!$K$4:$AJ$4,0))))+SUMPRODUCT((Inputs!$C$5:$C$190=$B50)*ISNUMBER(INDEX(Inputs!$K$5:$AJ$190,0,MATCH(G$2,Inputs!$K$4:$AJ$4,0))))+SUMPRODUCT((Inputs!$E$5:$E$190=$B50)*ISNUMBER(INDEX(Inputs!$K$5:$AJ$190,0,MATCH(G$2,Inputs!$K$4:$AJ$4,0))))=0,NA(),SUMPRODUCT((Inputs!$A$5:$A$190=$B50)*Inputs!$B$5:$B$190*(((Inputs!$G$5:$G$190="moeda")+(Inputs!$G$5:$G$190="acoes"))*Inputs!$B$1+((Inputs!$G$5:$G$190&lt;&gt;"moeda")*(Inputs!$G$5:$G$190&lt;&gt;"acoes")))*INDEX(Inputs!$K$5:$AJ$190,0,MATCH(G$2,Inputs!$K$4:$AJ$4,0)))+SUMPRODUCT((Inputs!$C$5:$C$190=$B50)*Inputs!$D$5:$D$190*(((Inputs!$G$5:$G$190="moeda")+(Inputs!$G$5:$G$190="acoes"))*Inputs!$B$1+((Inputs!$G$5:$G$190&lt;&gt;"moeda")*(Inputs!$G$5:$G$190&lt;&gt;"acoes")))*INDEX(Inputs!$K$5:$AJ$190,0,MATCH(G$2,Inputs!$K$4:$AJ$4,0)))+SUMPRODUCT((Inputs!$E$5:$E$190=$B50)*Inputs!$F$5:$F$190*(((Inputs!$G$5:$G$190="moeda")+(Inputs!$G$5:$G$190="acoes"))*Inputs!$B$1+((Inputs!$G$5:$G$190&lt;&gt;"moeda")*(Inputs!$G$5:$G$190&lt;&gt;"acoes")))*INDEX(Inputs!$K$5:$AJ$190,0,MATCH(G$2,Inputs!$K$4:$AJ$4,0)))))</f>
        <v>215.002</v>
      </c>
      <c r="H50" s="3">
        <f>SUM(D50:G50)</f>
        <v>822.255</v>
      </c>
      <c r="I50" s="6">
        <f>IF(ISNA(MATCH(I$2,Inputs!$K$4:$AJ$4,0)),NA(),IF(SUMPRODUCT((Inputs!$A$5:$A$190=$B50)*ISNUMBER(INDEX(Inputs!$K$5:$AJ$190,0,MATCH(I$2,Inputs!$K$4:$AJ$4,0))))+SUMPRODUCT((Inputs!$C$5:$C$190=$B50)*ISNUMBER(INDEX(Inputs!$K$5:$AJ$190,0,MATCH(I$2,Inputs!$K$4:$AJ$4,0))))+SUMPRODUCT((Inputs!$E$5:$E$190=$B50)*ISNUMBER(INDEX(Inputs!$K$5:$AJ$190,0,MATCH(I$2,Inputs!$K$4:$AJ$4,0))))=0,NA(),SUMPRODUCT((Inputs!$A$5:$A$190=$B50)*Inputs!$B$5:$B$190*(((Inputs!$G$5:$G$190="moeda")+(Inputs!$G$5:$G$190="acoes"))*Inputs!$B$1+((Inputs!$G$5:$G$190&lt;&gt;"moeda")*(Inputs!$G$5:$G$190&lt;&gt;"acoes")))*INDEX(Inputs!$K$5:$AJ$190,0,MATCH(I$2,Inputs!$K$4:$AJ$4,0)))+SUMPRODUCT((Inputs!$C$5:$C$190=$B50)*Inputs!$D$5:$D$190*(((Inputs!$G$5:$G$190="moeda")+(Inputs!$G$5:$G$190="acoes"))*Inputs!$B$1+((Inputs!$G$5:$G$190&lt;&gt;"moeda")*(Inputs!$G$5:$G$190&lt;&gt;"acoes")))*INDEX(Inputs!$K$5:$AJ$190,0,MATCH(I$2,Inputs!$K$4:$AJ$4,0)))+SUMPRODUCT((Inputs!$E$5:$E$190=$B50)*Inputs!$F$5:$F$190*(((Inputs!$G$5:$G$190="moeda")+(Inputs!$G$5:$G$190="acoes"))*Inputs!$B$1+((Inputs!$G$5:$G$190&lt;&gt;"moeda")*(Inputs!$G$5:$G$190&lt;&gt;"acoes")))*INDEX(Inputs!$K$5:$AJ$190,0,MATCH(I$2,Inputs!$K$4:$AJ$4,0)))))</f>
        <v>191.676</v>
      </c>
      <c r="J50" s="6">
        <f>IF(ISNA(MATCH(J$2,Inputs!$K$4:$AJ$4,0)),NA(),IF(SUMPRODUCT((Inputs!$A$5:$A$190=$B50)*ISNUMBER(INDEX(Inputs!$K$5:$AJ$190,0,MATCH(J$2,Inputs!$K$4:$AJ$4,0))))+SUMPRODUCT((Inputs!$C$5:$C$190=$B50)*ISNUMBER(INDEX(Inputs!$K$5:$AJ$190,0,MATCH(J$2,Inputs!$K$4:$AJ$4,0))))+SUMPRODUCT((Inputs!$E$5:$E$190=$B50)*ISNUMBER(INDEX(Inputs!$K$5:$AJ$190,0,MATCH(J$2,Inputs!$K$4:$AJ$4,0))))=0,NA(),SUMPRODUCT((Inputs!$A$5:$A$190=$B50)*Inputs!$B$5:$B$190*(((Inputs!$G$5:$G$190="moeda")+(Inputs!$G$5:$G$190="acoes"))*Inputs!$B$1+((Inputs!$G$5:$G$190&lt;&gt;"moeda")*(Inputs!$G$5:$G$190&lt;&gt;"acoes")))*INDEX(Inputs!$K$5:$AJ$190,0,MATCH(J$2,Inputs!$K$4:$AJ$4,0)))+SUMPRODUCT((Inputs!$C$5:$C$190=$B50)*Inputs!$D$5:$D$190*(((Inputs!$G$5:$G$190="moeda")+(Inputs!$G$5:$G$190="acoes"))*Inputs!$B$1+((Inputs!$G$5:$G$190&lt;&gt;"moeda")*(Inputs!$G$5:$G$190&lt;&gt;"acoes")))*INDEX(Inputs!$K$5:$AJ$190,0,MATCH(J$2,Inputs!$K$4:$AJ$4,0)))+SUMPRODUCT((Inputs!$E$5:$E$190=$B50)*Inputs!$F$5:$F$190*(((Inputs!$G$5:$G$190="moeda")+(Inputs!$G$5:$G$190="acoes"))*Inputs!$B$1+((Inputs!$G$5:$G$190&lt;&gt;"moeda")*(Inputs!$G$5:$G$190&lt;&gt;"acoes")))*INDEX(Inputs!$K$5:$AJ$190,0,MATCH(J$2,Inputs!$K$4:$AJ$4,0)))))</f>
        <v>101.977</v>
      </c>
      <c r="K50" s="6">
        <f>IF(ISNA(MATCH(K$2,Inputs!$K$4:$AJ$4,0)),NA(),IF(SUMPRODUCT((Inputs!$A$5:$A$190=$B50)*ISNUMBER(INDEX(Inputs!$K$5:$AJ$190,0,MATCH(K$2,Inputs!$K$4:$AJ$4,0))))+SUMPRODUCT((Inputs!$C$5:$C$190=$B50)*ISNUMBER(INDEX(Inputs!$K$5:$AJ$190,0,MATCH(K$2,Inputs!$K$4:$AJ$4,0))))+SUMPRODUCT((Inputs!$E$5:$E$190=$B50)*ISNUMBER(INDEX(Inputs!$K$5:$AJ$190,0,MATCH(K$2,Inputs!$K$4:$AJ$4,0))))=0,NA(),SUMPRODUCT((Inputs!$A$5:$A$190=$B50)*Inputs!$B$5:$B$190*(((Inputs!$G$5:$G$190="moeda")+(Inputs!$G$5:$G$190="acoes"))*Inputs!$B$1+((Inputs!$G$5:$G$190&lt;&gt;"moeda")*(Inputs!$G$5:$G$190&lt;&gt;"acoes")))*INDEX(Inputs!$K$5:$AJ$190,0,MATCH(K$2,Inputs!$K$4:$AJ$4,0)))+SUMPRODUCT((Inputs!$C$5:$C$190=$B50)*Inputs!$D$5:$D$190*(((Inputs!$G$5:$G$190="moeda")+(Inputs!$G$5:$G$190="acoes"))*Inputs!$B$1+((Inputs!$G$5:$G$190&lt;&gt;"moeda")*(Inputs!$G$5:$G$190&lt;&gt;"acoes")))*INDEX(Inputs!$K$5:$AJ$190,0,MATCH(K$2,Inputs!$K$4:$AJ$4,0)))+SUMPRODUCT((Inputs!$E$5:$E$190=$B50)*Inputs!$F$5:$F$190*(((Inputs!$G$5:$G$190="moeda")+(Inputs!$G$5:$G$190="acoes"))*Inputs!$B$1+((Inputs!$G$5:$G$190&lt;&gt;"moeda")*(Inputs!$G$5:$G$190&lt;&gt;"acoes")))*INDEX(Inputs!$K$5:$AJ$190,0,MATCH(K$2,Inputs!$K$4:$AJ$4,0)))))</f>
        <v>18.501</v>
      </c>
      <c r="L50" s="6">
        <f>IF(ISNA(MATCH(L$2,Inputs!$K$4:$AJ$4,0)),NA(),IF(SUMPRODUCT((Inputs!$A$5:$A$190=$B50)*ISNUMBER(INDEX(Inputs!$K$5:$AJ$190,0,MATCH(L$2,Inputs!$K$4:$AJ$4,0))))+SUMPRODUCT((Inputs!$C$5:$C$190=$B50)*ISNUMBER(INDEX(Inputs!$K$5:$AJ$190,0,MATCH(L$2,Inputs!$K$4:$AJ$4,0))))+SUMPRODUCT((Inputs!$E$5:$E$190=$B50)*ISNUMBER(INDEX(Inputs!$K$5:$AJ$190,0,MATCH(L$2,Inputs!$K$4:$AJ$4,0))))=0,NA(),SUMPRODUCT((Inputs!$A$5:$A$190=$B50)*Inputs!$B$5:$B$190*(((Inputs!$G$5:$G$190="moeda")+(Inputs!$G$5:$G$190="acoes"))*Inputs!$B$1+((Inputs!$G$5:$G$190&lt;&gt;"moeda")*(Inputs!$G$5:$G$190&lt;&gt;"acoes")))*INDEX(Inputs!$K$5:$AJ$190,0,MATCH(L$2,Inputs!$K$4:$AJ$4,0)))+SUMPRODUCT((Inputs!$C$5:$C$190=$B50)*Inputs!$D$5:$D$190*(((Inputs!$G$5:$G$190="moeda")+(Inputs!$G$5:$G$190="acoes"))*Inputs!$B$1+((Inputs!$G$5:$G$190&lt;&gt;"moeda")*(Inputs!$G$5:$G$190&lt;&gt;"acoes")))*INDEX(Inputs!$K$5:$AJ$190,0,MATCH(L$2,Inputs!$K$4:$AJ$4,0)))+SUMPRODUCT((Inputs!$E$5:$E$190=$B50)*Inputs!$F$5:$F$190*(((Inputs!$G$5:$G$190="moeda")+(Inputs!$G$5:$G$190="acoes"))*Inputs!$B$1+((Inputs!$G$5:$G$190&lt;&gt;"moeda")*(Inputs!$G$5:$G$190&lt;&gt;"acoes")))*INDEX(Inputs!$K$5:$AJ$190,0,MATCH(L$2,Inputs!$K$4:$AJ$4,0)))))</f>
        <v>169.929</v>
      </c>
      <c r="M50" s="3">
        <f>SUM(I50:L50)</f>
        <v>482.083</v>
      </c>
      <c r="N50" s="6">
        <f>IF(ISNA(MATCH(N$2,Inputs!$K$4:$AJ$4,0)),NA(),IF(SUMPRODUCT((Inputs!$A$5:$A$190=$B50)*ISNUMBER(INDEX(Inputs!$K$5:$AJ$190,0,MATCH(N$2,Inputs!$K$4:$AJ$4,0))))+SUMPRODUCT((Inputs!$C$5:$C$190=$B50)*ISNUMBER(INDEX(Inputs!$K$5:$AJ$190,0,MATCH(N$2,Inputs!$K$4:$AJ$4,0))))+SUMPRODUCT((Inputs!$E$5:$E$190=$B50)*ISNUMBER(INDEX(Inputs!$K$5:$AJ$190,0,MATCH(N$2,Inputs!$K$4:$AJ$4,0))))=0,NA(),SUMPRODUCT((Inputs!$A$5:$A$190=$B50)*Inputs!$B$5:$B$190*(((Inputs!$G$5:$G$190="moeda")+(Inputs!$G$5:$G$190="acoes"))*Inputs!$B$1+((Inputs!$G$5:$G$190&lt;&gt;"moeda")*(Inputs!$G$5:$G$190&lt;&gt;"acoes")))*INDEX(Inputs!$K$5:$AJ$190,0,MATCH(N$2,Inputs!$K$4:$AJ$4,0)))+SUMPRODUCT((Inputs!$C$5:$C$190=$B50)*Inputs!$D$5:$D$190*(((Inputs!$G$5:$G$190="moeda")+(Inputs!$G$5:$G$190="acoes"))*Inputs!$B$1+((Inputs!$G$5:$G$190&lt;&gt;"moeda")*(Inputs!$G$5:$G$190&lt;&gt;"acoes")))*INDEX(Inputs!$K$5:$AJ$190,0,MATCH(N$2,Inputs!$K$4:$AJ$4,0)))+SUMPRODUCT((Inputs!$E$5:$E$190=$B50)*Inputs!$F$5:$F$190*(((Inputs!$G$5:$G$190="moeda")+(Inputs!$G$5:$G$190="acoes"))*Inputs!$B$1+((Inputs!$G$5:$G$190&lt;&gt;"moeda")*(Inputs!$G$5:$G$190&lt;&gt;"acoes")))*INDEX(Inputs!$K$5:$AJ$190,0,MATCH(N$2,Inputs!$K$4:$AJ$4,0)))))</f>
        <v>6.189</v>
      </c>
      <c r="O50" s="6">
        <f>IF(ISNA(MATCH(O$2,Inputs!$K$4:$AJ$4,0)),NA(),IF(SUMPRODUCT((Inputs!$A$5:$A$190=$B50)*ISNUMBER(INDEX(Inputs!$K$5:$AJ$190,0,MATCH(O$2,Inputs!$K$4:$AJ$4,0))))+SUMPRODUCT((Inputs!$C$5:$C$190=$B50)*ISNUMBER(INDEX(Inputs!$K$5:$AJ$190,0,MATCH(O$2,Inputs!$K$4:$AJ$4,0))))+SUMPRODUCT((Inputs!$E$5:$E$190=$B50)*ISNUMBER(INDEX(Inputs!$K$5:$AJ$190,0,MATCH(O$2,Inputs!$K$4:$AJ$4,0))))=0,NA(),SUMPRODUCT((Inputs!$A$5:$A$190=$B50)*Inputs!$B$5:$B$190*(((Inputs!$G$5:$G$190="moeda")+(Inputs!$G$5:$G$190="acoes"))*Inputs!$B$1+((Inputs!$G$5:$G$190&lt;&gt;"moeda")*(Inputs!$G$5:$G$190&lt;&gt;"acoes")))*INDEX(Inputs!$K$5:$AJ$190,0,MATCH(O$2,Inputs!$K$4:$AJ$4,0)))+SUMPRODUCT((Inputs!$C$5:$C$190=$B50)*Inputs!$D$5:$D$190*(((Inputs!$G$5:$G$190="moeda")+(Inputs!$G$5:$G$190="acoes"))*Inputs!$B$1+((Inputs!$G$5:$G$190&lt;&gt;"moeda")*(Inputs!$G$5:$G$190&lt;&gt;"acoes")))*INDEX(Inputs!$K$5:$AJ$190,0,MATCH(O$2,Inputs!$K$4:$AJ$4,0)))+SUMPRODUCT((Inputs!$E$5:$E$190=$B50)*Inputs!$F$5:$F$190*(((Inputs!$G$5:$G$190="moeda")+(Inputs!$G$5:$G$190="acoes"))*Inputs!$B$1+((Inputs!$G$5:$G$190&lt;&gt;"moeda")*(Inputs!$G$5:$G$190&lt;&gt;"acoes")))*INDEX(Inputs!$K$5:$AJ$190,0,MATCH(O$2,Inputs!$K$4:$AJ$4,0)))))</f>
        <v>12.329</v>
      </c>
      <c r="P50" s="6">
        <f>IF(ISNA(MATCH(P$2,Inputs!$K$4:$AJ$4,0)),NA(),IF(SUMPRODUCT((Inputs!$A$5:$A$190=$B50)*ISNUMBER(INDEX(Inputs!$K$5:$AJ$190,0,MATCH(P$2,Inputs!$K$4:$AJ$4,0))))+SUMPRODUCT((Inputs!$C$5:$C$190=$B50)*ISNUMBER(INDEX(Inputs!$K$5:$AJ$190,0,MATCH(P$2,Inputs!$K$4:$AJ$4,0))))+SUMPRODUCT((Inputs!$E$5:$E$190=$B50)*ISNUMBER(INDEX(Inputs!$K$5:$AJ$190,0,MATCH(P$2,Inputs!$K$4:$AJ$4,0))))=0,NA(),SUMPRODUCT((Inputs!$A$5:$A$190=$B50)*Inputs!$B$5:$B$190*(((Inputs!$G$5:$G$190="moeda")+(Inputs!$G$5:$G$190="acoes"))*Inputs!$B$1+((Inputs!$G$5:$G$190&lt;&gt;"moeda")*(Inputs!$G$5:$G$190&lt;&gt;"acoes")))*INDEX(Inputs!$K$5:$AJ$190,0,MATCH(P$2,Inputs!$K$4:$AJ$4,0)))+SUMPRODUCT((Inputs!$C$5:$C$190=$B50)*Inputs!$D$5:$D$190*(((Inputs!$G$5:$G$190="moeda")+(Inputs!$G$5:$G$190="acoes"))*Inputs!$B$1+((Inputs!$G$5:$G$190&lt;&gt;"moeda")*(Inputs!$G$5:$G$190&lt;&gt;"acoes")))*INDEX(Inputs!$K$5:$AJ$190,0,MATCH(P$2,Inputs!$K$4:$AJ$4,0)))+SUMPRODUCT((Inputs!$E$5:$E$190=$B50)*Inputs!$F$5:$F$190*(((Inputs!$G$5:$G$190="moeda")+(Inputs!$G$5:$G$190="acoes"))*Inputs!$B$1+((Inputs!$G$5:$G$190&lt;&gt;"moeda")*(Inputs!$G$5:$G$190&lt;&gt;"acoes")))*INDEX(Inputs!$K$5:$AJ$190,0,MATCH(P$2,Inputs!$K$4:$AJ$4,0)))))</f>
        <v>-136.515</v>
      </c>
      <c r="Q50" s="6">
        <f>IF(ISNA(MATCH(Q$2,Inputs!$K$4:$AJ$4,0)),NA(),IF(SUMPRODUCT((Inputs!$A$5:$A$190=$B50)*ISNUMBER(INDEX(Inputs!$K$5:$AJ$190,0,MATCH(Q$2,Inputs!$K$4:$AJ$4,0))))+SUMPRODUCT((Inputs!$C$5:$C$190=$B50)*ISNUMBER(INDEX(Inputs!$K$5:$AJ$190,0,MATCH(Q$2,Inputs!$K$4:$AJ$4,0))))+SUMPRODUCT((Inputs!$E$5:$E$190=$B50)*ISNUMBER(INDEX(Inputs!$K$5:$AJ$190,0,MATCH(Q$2,Inputs!$K$4:$AJ$4,0))))=0,NA(),SUMPRODUCT((Inputs!$A$5:$A$190=$B50)*Inputs!$B$5:$B$190*(((Inputs!$G$5:$G$190="moeda")+(Inputs!$G$5:$G$190="acoes"))*Inputs!$B$1+((Inputs!$G$5:$G$190&lt;&gt;"moeda")*(Inputs!$G$5:$G$190&lt;&gt;"acoes")))*INDEX(Inputs!$K$5:$AJ$190,0,MATCH(Q$2,Inputs!$K$4:$AJ$4,0)))+SUMPRODUCT((Inputs!$C$5:$C$190=$B50)*Inputs!$D$5:$D$190*(((Inputs!$G$5:$G$190="moeda")+(Inputs!$G$5:$G$190="acoes"))*Inputs!$B$1+((Inputs!$G$5:$G$190&lt;&gt;"moeda")*(Inputs!$G$5:$G$190&lt;&gt;"acoes")))*INDEX(Inputs!$K$5:$AJ$190,0,MATCH(Q$2,Inputs!$K$4:$AJ$4,0)))+SUMPRODUCT((Inputs!$E$5:$E$190=$B50)*Inputs!$F$5:$F$190*(((Inputs!$G$5:$G$190="moeda")+(Inputs!$G$5:$G$190="acoes"))*Inputs!$B$1+((Inputs!$G$5:$G$190&lt;&gt;"moeda")*(Inputs!$G$5:$G$190&lt;&gt;"acoes")))*INDEX(Inputs!$K$5:$AJ$190,0,MATCH(Q$2,Inputs!$K$4:$AJ$4,0)))))</f>
        <v>-377.224</v>
      </c>
      <c r="R50" s="3">
        <f>SUM(N50:Q50)</f>
        <v>-495.221</v>
      </c>
      <c r="S50" s="6">
        <f>IF(ISNA(MATCH(S$2,Inputs!$K$4:$AJ$4,0)),NA(),IF(SUMPRODUCT((Inputs!$A$5:$A$190=$B50)*ISNUMBER(INDEX(Inputs!$K$5:$AJ$190,0,MATCH(S$2,Inputs!$K$4:$AJ$4,0))))+SUMPRODUCT((Inputs!$C$5:$C$190=$B50)*ISNUMBER(INDEX(Inputs!$K$5:$AJ$190,0,MATCH(S$2,Inputs!$K$4:$AJ$4,0))))+SUMPRODUCT((Inputs!$E$5:$E$190=$B50)*ISNUMBER(INDEX(Inputs!$K$5:$AJ$190,0,MATCH(S$2,Inputs!$K$4:$AJ$4,0))))=0,NA(),SUMPRODUCT((Inputs!$A$5:$A$190=$B50)*Inputs!$B$5:$B$190*(((Inputs!$G$5:$G$190="moeda")+(Inputs!$G$5:$G$190="acoes"))*Inputs!$B$1+((Inputs!$G$5:$G$190&lt;&gt;"moeda")*(Inputs!$G$5:$G$190&lt;&gt;"acoes")))*INDEX(Inputs!$K$5:$AJ$190,0,MATCH(S$2,Inputs!$K$4:$AJ$4,0)))+SUMPRODUCT((Inputs!$C$5:$C$190=$B50)*Inputs!$D$5:$D$190*(((Inputs!$G$5:$G$190="moeda")+(Inputs!$G$5:$G$190="acoes"))*Inputs!$B$1+((Inputs!$G$5:$G$190&lt;&gt;"moeda")*(Inputs!$G$5:$G$190&lt;&gt;"acoes")))*INDEX(Inputs!$K$5:$AJ$190,0,MATCH(S$2,Inputs!$K$4:$AJ$4,0)))+SUMPRODUCT((Inputs!$E$5:$E$190=$B50)*Inputs!$F$5:$F$190*(((Inputs!$G$5:$G$190="moeda")+(Inputs!$G$5:$G$190="acoes"))*Inputs!$B$1+((Inputs!$G$5:$G$190&lt;&gt;"moeda")*(Inputs!$G$5:$G$190&lt;&gt;"acoes")))*INDEX(Inputs!$K$5:$AJ$190,0,MATCH(S$2,Inputs!$K$4:$AJ$4,0)))))</f>
        <v>-13.05523078</v>
      </c>
      <c r="T50" s="6">
        <f>IF(ISNA(MATCH(T$2,Inputs!$K$4:$AJ$4,0)),NA(),IF(SUMPRODUCT((Inputs!$A$5:$A$190=$B50)*ISNUMBER(INDEX(Inputs!$K$5:$AJ$190,0,MATCH(T$2,Inputs!$K$4:$AJ$4,0))))+SUMPRODUCT((Inputs!$C$5:$C$190=$B50)*ISNUMBER(INDEX(Inputs!$K$5:$AJ$190,0,MATCH(T$2,Inputs!$K$4:$AJ$4,0))))+SUMPRODUCT((Inputs!$E$5:$E$190=$B50)*ISNUMBER(INDEX(Inputs!$K$5:$AJ$190,0,MATCH(T$2,Inputs!$K$4:$AJ$4,0))))=0,NA(),SUMPRODUCT((Inputs!$A$5:$A$190=$B50)*Inputs!$B$5:$B$190*(((Inputs!$G$5:$G$190="moeda")+(Inputs!$G$5:$G$190="acoes"))*Inputs!$B$1+((Inputs!$G$5:$G$190&lt;&gt;"moeda")*(Inputs!$G$5:$G$190&lt;&gt;"acoes")))*INDEX(Inputs!$K$5:$AJ$190,0,MATCH(T$2,Inputs!$K$4:$AJ$4,0)))+SUMPRODUCT((Inputs!$C$5:$C$190=$B50)*Inputs!$D$5:$D$190*(((Inputs!$G$5:$G$190="moeda")+(Inputs!$G$5:$G$190="acoes"))*Inputs!$B$1+((Inputs!$G$5:$G$190&lt;&gt;"moeda")*(Inputs!$G$5:$G$190&lt;&gt;"acoes")))*INDEX(Inputs!$K$5:$AJ$190,0,MATCH(T$2,Inputs!$K$4:$AJ$4,0)))+SUMPRODUCT((Inputs!$E$5:$E$190=$B50)*Inputs!$F$5:$F$190*(((Inputs!$G$5:$G$190="moeda")+(Inputs!$G$5:$G$190="acoes"))*Inputs!$B$1+((Inputs!$G$5:$G$190&lt;&gt;"moeda")*(Inputs!$G$5:$G$190&lt;&gt;"acoes")))*INDEX(Inputs!$K$5:$AJ$190,0,MATCH(T$2,Inputs!$K$4:$AJ$4,0)))))</f>
        <v>49.29983453</v>
      </c>
      <c r="U50" s="6">
        <f>IF(ISNA(MATCH(U$2,Inputs!$K$4:$AJ$4,0)),NA(),IF(SUMPRODUCT((Inputs!$A$5:$A$190=$B50)*ISNUMBER(INDEX(Inputs!$K$5:$AJ$190,0,MATCH(U$2,Inputs!$K$4:$AJ$4,0))))+SUMPRODUCT((Inputs!$C$5:$C$190=$B50)*ISNUMBER(INDEX(Inputs!$K$5:$AJ$190,0,MATCH(U$2,Inputs!$K$4:$AJ$4,0))))+SUMPRODUCT((Inputs!$E$5:$E$190=$B50)*ISNUMBER(INDEX(Inputs!$K$5:$AJ$190,0,MATCH(U$2,Inputs!$K$4:$AJ$4,0))))=0,NA(),SUMPRODUCT((Inputs!$A$5:$A$190=$B50)*Inputs!$B$5:$B$190*(((Inputs!$G$5:$G$190="moeda")+(Inputs!$G$5:$G$190="acoes"))*Inputs!$B$1+((Inputs!$G$5:$G$190&lt;&gt;"moeda")*(Inputs!$G$5:$G$190&lt;&gt;"acoes")))*INDEX(Inputs!$K$5:$AJ$190,0,MATCH(U$2,Inputs!$K$4:$AJ$4,0)))+SUMPRODUCT((Inputs!$C$5:$C$190=$B50)*Inputs!$D$5:$D$190*(((Inputs!$G$5:$G$190="moeda")+(Inputs!$G$5:$G$190="acoes"))*Inputs!$B$1+((Inputs!$G$5:$G$190&lt;&gt;"moeda")*(Inputs!$G$5:$G$190&lt;&gt;"acoes")))*INDEX(Inputs!$K$5:$AJ$190,0,MATCH(U$2,Inputs!$K$4:$AJ$4,0)))+SUMPRODUCT((Inputs!$E$5:$E$190=$B50)*Inputs!$F$5:$F$190*(((Inputs!$G$5:$G$190="moeda")+(Inputs!$G$5:$G$190="acoes"))*Inputs!$B$1+((Inputs!$G$5:$G$190&lt;&gt;"moeda")*(Inputs!$G$5:$G$190&lt;&gt;"acoes")))*INDEX(Inputs!$K$5:$AJ$190,0,MATCH(U$2,Inputs!$K$4:$AJ$4,0)))))</f>
        <v>10.84224994</v>
      </c>
      <c r="V50" s="6">
        <f>IF(ISNA(MATCH(V$2,Inputs!$K$4:$AJ$4,0)),NA(),IF(SUMPRODUCT((Inputs!$A$5:$A$190=$B50)*ISNUMBER(INDEX(Inputs!$K$5:$AJ$190,0,MATCH(V$2,Inputs!$K$4:$AJ$4,0))))+SUMPRODUCT((Inputs!$C$5:$C$190=$B50)*ISNUMBER(INDEX(Inputs!$K$5:$AJ$190,0,MATCH(V$2,Inputs!$K$4:$AJ$4,0))))+SUMPRODUCT((Inputs!$E$5:$E$190=$B50)*ISNUMBER(INDEX(Inputs!$K$5:$AJ$190,0,MATCH(V$2,Inputs!$K$4:$AJ$4,0))))=0,NA(),SUMPRODUCT((Inputs!$A$5:$A$190=$B50)*Inputs!$B$5:$B$190*(((Inputs!$G$5:$G$190="moeda")+(Inputs!$G$5:$G$190="acoes"))*Inputs!$B$1+((Inputs!$G$5:$G$190&lt;&gt;"moeda")*(Inputs!$G$5:$G$190&lt;&gt;"acoes")))*INDEX(Inputs!$K$5:$AJ$190,0,MATCH(V$2,Inputs!$K$4:$AJ$4,0)))+SUMPRODUCT((Inputs!$C$5:$C$190=$B50)*Inputs!$D$5:$D$190*(((Inputs!$G$5:$G$190="moeda")+(Inputs!$G$5:$G$190="acoes"))*Inputs!$B$1+((Inputs!$G$5:$G$190&lt;&gt;"moeda")*(Inputs!$G$5:$G$190&lt;&gt;"acoes")))*INDEX(Inputs!$K$5:$AJ$190,0,MATCH(V$2,Inputs!$K$4:$AJ$4,0)))+SUMPRODUCT((Inputs!$E$5:$E$190=$B50)*Inputs!$F$5:$F$190*(((Inputs!$G$5:$G$190="moeda")+(Inputs!$G$5:$G$190="acoes"))*Inputs!$B$1+((Inputs!$G$5:$G$190&lt;&gt;"moeda")*(Inputs!$G$5:$G$190&lt;&gt;"acoes")))*INDEX(Inputs!$K$5:$AJ$190,0,MATCH(V$2,Inputs!$K$4:$AJ$4,0)))))</f>
        <v>-245.24247127</v>
      </c>
      <c r="W50" s="3">
        <f>SUM(S50:V50)</f>
        <v>-198.15561758</v>
      </c>
      <c r="X50" s="6">
        <f>IF(ISNA(MATCH(X$2,Inputs!$K$4:$AJ$4,0)),NA(),IF(SUMPRODUCT((Inputs!$A$5:$A$190=$B50)*ISNUMBER(INDEX(Inputs!$K$5:$AJ$190,0,MATCH(X$2,Inputs!$K$4:$AJ$4,0))))+SUMPRODUCT((Inputs!$C$5:$C$190=$B50)*ISNUMBER(INDEX(Inputs!$K$5:$AJ$190,0,MATCH(X$2,Inputs!$K$4:$AJ$4,0))))+SUMPRODUCT((Inputs!$E$5:$E$190=$B50)*ISNUMBER(INDEX(Inputs!$K$5:$AJ$190,0,MATCH(X$2,Inputs!$K$4:$AJ$4,0))))=0,NA(),SUMPRODUCT((Inputs!$A$5:$A$190=$B50)*Inputs!$B$5:$B$190*(((Inputs!$G$5:$G$190="moeda")+(Inputs!$G$5:$G$190="acoes"))*Inputs!$B$1+((Inputs!$G$5:$G$190&lt;&gt;"moeda")*(Inputs!$G$5:$G$190&lt;&gt;"acoes")))*INDEX(Inputs!$K$5:$AJ$190,0,MATCH(X$2,Inputs!$K$4:$AJ$4,0)))+SUMPRODUCT((Inputs!$C$5:$C$190=$B50)*Inputs!$D$5:$D$190*(((Inputs!$G$5:$G$190="moeda")+(Inputs!$G$5:$G$190="acoes"))*Inputs!$B$1+((Inputs!$G$5:$G$190&lt;&gt;"moeda")*(Inputs!$G$5:$G$190&lt;&gt;"acoes")))*INDEX(Inputs!$K$5:$AJ$190,0,MATCH(X$2,Inputs!$K$4:$AJ$4,0)))+SUMPRODUCT((Inputs!$E$5:$E$190=$B50)*Inputs!$F$5:$F$190*(((Inputs!$G$5:$G$190="moeda")+(Inputs!$G$5:$G$190="acoes"))*Inputs!$B$1+((Inputs!$G$5:$G$190&lt;&gt;"moeda")*(Inputs!$G$5:$G$190&lt;&gt;"acoes")))*INDEX(Inputs!$K$5:$AJ$190,0,MATCH(X$2,Inputs!$K$4:$AJ$4,0)))))</f>
        <v>-50.953</v>
      </c>
      <c r="Y50" s="6">
        <f>IF(ISNA(MATCH(Y$2,Inputs!$K$4:$AJ$4,0)),NA(),IF(SUMPRODUCT((Inputs!$A$5:$A$190=$B50)*ISNUMBER(INDEX(Inputs!$K$5:$AJ$190,0,MATCH(Y$2,Inputs!$K$4:$AJ$4,0))))+SUMPRODUCT((Inputs!$C$5:$C$190=$B50)*ISNUMBER(INDEX(Inputs!$K$5:$AJ$190,0,MATCH(Y$2,Inputs!$K$4:$AJ$4,0))))+SUMPRODUCT((Inputs!$E$5:$E$190=$B50)*ISNUMBER(INDEX(Inputs!$K$5:$AJ$190,0,MATCH(Y$2,Inputs!$K$4:$AJ$4,0))))=0,NA(),SUMPRODUCT((Inputs!$A$5:$A$190=$B50)*Inputs!$B$5:$B$190*(((Inputs!$G$5:$G$190="moeda")+(Inputs!$G$5:$G$190="acoes"))*Inputs!$B$1+((Inputs!$G$5:$G$190&lt;&gt;"moeda")*(Inputs!$G$5:$G$190&lt;&gt;"acoes")))*INDEX(Inputs!$K$5:$AJ$190,0,MATCH(Y$2,Inputs!$K$4:$AJ$4,0)))+SUMPRODUCT((Inputs!$C$5:$C$190=$B50)*Inputs!$D$5:$D$190*(((Inputs!$G$5:$G$190="moeda")+(Inputs!$G$5:$G$190="acoes"))*Inputs!$B$1+((Inputs!$G$5:$G$190&lt;&gt;"moeda")*(Inputs!$G$5:$G$190&lt;&gt;"acoes")))*INDEX(Inputs!$K$5:$AJ$190,0,MATCH(Y$2,Inputs!$K$4:$AJ$4,0)))+SUMPRODUCT((Inputs!$E$5:$E$190=$B50)*Inputs!$F$5:$F$190*(((Inputs!$G$5:$G$190="moeda")+(Inputs!$G$5:$G$190="acoes"))*Inputs!$B$1+((Inputs!$G$5:$G$190&lt;&gt;"moeda")*(Inputs!$G$5:$G$190&lt;&gt;"acoes")))*INDEX(Inputs!$K$5:$AJ$190,0,MATCH(Y$2,Inputs!$K$4:$AJ$4,0)))))</f>
        <v>-96.291</v>
      </c>
      <c r="Z50" s="6">
        <f>IF(ISNA(MATCH(Z$2,Inputs!$K$4:$AJ$4,0)),NA(),IF(SUMPRODUCT((Inputs!$A$5:$A$190=$B50)*ISNUMBER(INDEX(Inputs!$K$5:$AJ$190,0,MATCH(Z$2,Inputs!$K$4:$AJ$4,0))))+SUMPRODUCT((Inputs!$C$5:$C$190=$B50)*ISNUMBER(INDEX(Inputs!$K$5:$AJ$190,0,MATCH(Z$2,Inputs!$K$4:$AJ$4,0))))+SUMPRODUCT((Inputs!$E$5:$E$190=$B50)*ISNUMBER(INDEX(Inputs!$K$5:$AJ$190,0,MATCH(Z$2,Inputs!$K$4:$AJ$4,0))))=0,NA(),SUMPRODUCT((Inputs!$A$5:$A$190=$B50)*Inputs!$B$5:$B$190*(((Inputs!$G$5:$G$190="moeda")+(Inputs!$G$5:$G$190="acoes"))*Inputs!$B$1+((Inputs!$G$5:$G$190&lt;&gt;"moeda")*(Inputs!$G$5:$G$190&lt;&gt;"acoes")))*INDEX(Inputs!$K$5:$AJ$190,0,MATCH(Z$2,Inputs!$K$4:$AJ$4,0)))+SUMPRODUCT((Inputs!$C$5:$C$190=$B50)*Inputs!$D$5:$D$190*(((Inputs!$G$5:$G$190="moeda")+(Inputs!$G$5:$G$190="acoes"))*Inputs!$B$1+((Inputs!$G$5:$G$190&lt;&gt;"moeda")*(Inputs!$G$5:$G$190&lt;&gt;"acoes")))*INDEX(Inputs!$K$5:$AJ$190,0,MATCH(Z$2,Inputs!$K$4:$AJ$4,0)))+SUMPRODUCT((Inputs!$E$5:$E$190=$B50)*Inputs!$F$5:$F$190*(((Inputs!$G$5:$G$190="moeda")+(Inputs!$G$5:$G$190="acoes"))*Inputs!$B$1+((Inputs!$G$5:$G$190&lt;&gt;"moeda")*(Inputs!$G$5:$G$190&lt;&gt;"acoes")))*INDEX(Inputs!$K$5:$AJ$190,0,MATCH(Z$2,Inputs!$K$4:$AJ$4,0)))))</f>
        <v>-246.193</v>
      </c>
      <c r="AA50" s="6">
        <f>IF(ISNA(MATCH(AA$2,Inputs!$K$4:$AJ$4,0)),NA(),IF(SUMPRODUCT((Inputs!$A$5:$A$190=$B50)*ISNUMBER(INDEX(Inputs!$K$5:$AJ$190,0,MATCH(AA$2,Inputs!$K$4:$AJ$4,0))))+SUMPRODUCT((Inputs!$C$5:$C$190=$B50)*ISNUMBER(INDEX(Inputs!$K$5:$AJ$190,0,MATCH(AA$2,Inputs!$K$4:$AJ$4,0))))+SUMPRODUCT((Inputs!$E$5:$E$190=$B50)*ISNUMBER(INDEX(Inputs!$K$5:$AJ$190,0,MATCH(AA$2,Inputs!$K$4:$AJ$4,0))))=0,NA(),SUMPRODUCT((Inputs!$A$5:$A$190=$B50)*Inputs!$B$5:$B$190*(((Inputs!$G$5:$G$190="moeda")+(Inputs!$G$5:$G$190="acoes"))*Inputs!$B$1+((Inputs!$G$5:$G$190&lt;&gt;"moeda")*(Inputs!$G$5:$G$190&lt;&gt;"acoes")))*INDEX(Inputs!$K$5:$AJ$190,0,MATCH(AA$2,Inputs!$K$4:$AJ$4,0)))+SUMPRODUCT((Inputs!$C$5:$C$190=$B50)*Inputs!$D$5:$D$190*(((Inputs!$G$5:$G$190="moeda")+(Inputs!$G$5:$G$190="acoes"))*Inputs!$B$1+((Inputs!$G$5:$G$190&lt;&gt;"moeda")*(Inputs!$G$5:$G$190&lt;&gt;"acoes")))*INDEX(Inputs!$K$5:$AJ$190,0,MATCH(AA$2,Inputs!$K$4:$AJ$4,0)))+SUMPRODUCT((Inputs!$E$5:$E$190=$B50)*Inputs!$F$5:$F$190*(((Inputs!$G$5:$G$190="moeda")+(Inputs!$G$5:$G$190="acoes"))*Inputs!$B$1+((Inputs!$G$5:$G$190&lt;&gt;"moeda")*(Inputs!$G$5:$G$190&lt;&gt;"acoes")))*INDEX(Inputs!$K$5:$AJ$190,0,MATCH(AA$2,Inputs!$K$4:$AJ$4,0)))))</f>
        <v>432.908</v>
      </c>
      <c r="AB50" s="3">
        <f>SUM(X50:AA50)</f>
        <v>39.471</v>
      </c>
      <c r="AC50" s="6">
        <f>IF(ISNA(MATCH(AC$2,Inputs!$K$4:$AJ$4,0)),NA(),IF(SUMPRODUCT((Inputs!$A$5:$A$190=$B50)*ISNUMBER(INDEX(Inputs!$K$5:$AJ$190,0,MATCH(AC$2,Inputs!$K$4:$AJ$4,0))))+SUMPRODUCT((Inputs!$C$5:$C$190=$B50)*ISNUMBER(INDEX(Inputs!$K$5:$AJ$190,0,MATCH(AC$2,Inputs!$K$4:$AJ$4,0))))+SUMPRODUCT((Inputs!$E$5:$E$190=$B50)*ISNUMBER(INDEX(Inputs!$K$5:$AJ$190,0,MATCH(AC$2,Inputs!$K$4:$AJ$4,0))))=0,NA(),SUMPRODUCT((Inputs!$A$5:$A$190=$B50)*Inputs!$B$5:$B$190*(((Inputs!$G$5:$G$190="moeda")+(Inputs!$G$5:$G$190="acoes"))*Inputs!$B$1+((Inputs!$G$5:$G$190&lt;&gt;"moeda")*(Inputs!$G$5:$G$190&lt;&gt;"acoes")))*INDEX(Inputs!$K$5:$AJ$190,0,MATCH(AC$2,Inputs!$K$4:$AJ$4,0)))+SUMPRODUCT((Inputs!$C$5:$C$190=$B50)*Inputs!$D$5:$D$190*(((Inputs!$G$5:$G$190="moeda")+(Inputs!$G$5:$G$190="acoes"))*Inputs!$B$1+((Inputs!$G$5:$G$190&lt;&gt;"moeda")*(Inputs!$G$5:$G$190&lt;&gt;"acoes")))*INDEX(Inputs!$K$5:$AJ$190,0,MATCH(AC$2,Inputs!$K$4:$AJ$4,0)))+SUMPRODUCT((Inputs!$E$5:$E$190=$B50)*Inputs!$F$5:$F$190*(((Inputs!$G$5:$G$190="moeda")+(Inputs!$G$5:$G$190="acoes"))*Inputs!$B$1+((Inputs!$G$5:$G$190&lt;&gt;"moeda")*(Inputs!$G$5:$G$190&lt;&gt;"acoes")))*INDEX(Inputs!$K$5:$AJ$190,0,MATCH(AC$2,Inputs!$K$4:$AJ$4,0)))))</f>
        <v>-179.59733257</v>
      </c>
      <c r="AD50" s="6">
        <f>IF(ISNA(MATCH(AD$2,Inputs!$K$4:$AJ$4,0)),NA(),IF(SUMPRODUCT((Inputs!$A$5:$A$190=$B50)*ISNUMBER(INDEX(Inputs!$K$5:$AJ$190,0,MATCH(AD$2,Inputs!$K$4:$AJ$4,0))))+SUMPRODUCT((Inputs!$C$5:$C$190=$B50)*ISNUMBER(INDEX(Inputs!$K$5:$AJ$190,0,MATCH(AD$2,Inputs!$K$4:$AJ$4,0))))+SUMPRODUCT((Inputs!$E$5:$E$190=$B50)*ISNUMBER(INDEX(Inputs!$K$5:$AJ$190,0,MATCH(AD$2,Inputs!$K$4:$AJ$4,0))))=0,NA(),SUMPRODUCT((Inputs!$A$5:$A$190=$B50)*Inputs!$B$5:$B$190*(((Inputs!$G$5:$G$190="moeda")+(Inputs!$G$5:$G$190="acoes"))*Inputs!$B$1+((Inputs!$G$5:$G$190&lt;&gt;"moeda")*(Inputs!$G$5:$G$190&lt;&gt;"acoes")))*INDEX(Inputs!$K$5:$AJ$190,0,MATCH(AD$2,Inputs!$K$4:$AJ$4,0)))+SUMPRODUCT((Inputs!$C$5:$C$190=$B50)*Inputs!$D$5:$D$190*(((Inputs!$G$5:$G$190="moeda")+(Inputs!$G$5:$G$190="acoes"))*Inputs!$B$1+((Inputs!$G$5:$G$190&lt;&gt;"moeda")*(Inputs!$G$5:$G$190&lt;&gt;"acoes")))*INDEX(Inputs!$K$5:$AJ$190,0,MATCH(AD$2,Inputs!$K$4:$AJ$4,0)))+SUMPRODUCT((Inputs!$E$5:$E$190=$B50)*Inputs!$F$5:$F$190*(((Inputs!$G$5:$G$190="moeda")+(Inputs!$G$5:$G$190="acoes"))*Inputs!$B$1+((Inputs!$G$5:$G$190&lt;&gt;"moeda")*(Inputs!$G$5:$G$190&lt;&gt;"acoes")))*INDEX(Inputs!$K$5:$AJ$190,0,MATCH(AD$2,Inputs!$K$4:$AJ$4,0)))))</f>
        <v>-189.46966743</v>
      </c>
      <c r="AE50" s="6" t="e">
        <f>IF(ISNA(MATCH(AE$2,Inputs!$K$4:$AJ$4,0)),NA(),IF(SUMPRODUCT((Inputs!$A$5:$A$190=$B50)*ISNUMBER(INDEX(Inputs!$K$5:$AJ$190,0,MATCH(AE$2,Inputs!$K$4:$AJ$4,0))))+SUMPRODUCT((Inputs!$C$5:$C$190=$B50)*ISNUMBER(INDEX(Inputs!$K$5:$AJ$190,0,MATCH(AE$2,Inputs!$K$4:$AJ$4,0))))+SUMPRODUCT((Inputs!$E$5:$E$190=$B50)*ISNUMBER(INDEX(Inputs!$K$5:$AJ$190,0,MATCH(AE$2,Inputs!$K$4:$AJ$4,0))))=0,NA(),SUMPRODUCT((Inputs!$A$5:$A$190=$B50)*Inputs!$B$5:$B$190*(((Inputs!$G$5:$G$190="moeda")+(Inputs!$G$5:$G$190="acoes"))*Inputs!$B$1+((Inputs!$G$5:$G$190&lt;&gt;"moeda")*(Inputs!$G$5:$G$190&lt;&gt;"acoes")))*INDEX(Inputs!$K$5:$AJ$190,0,MATCH(AE$2,Inputs!$K$4:$AJ$4,0)))+SUMPRODUCT((Inputs!$C$5:$C$190=$B50)*Inputs!$D$5:$D$190*(((Inputs!$G$5:$G$190="moeda")+(Inputs!$G$5:$G$190="acoes"))*Inputs!$B$1+((Inputs!$G$5:$G$190&lt;&gt;"moeda")*(Inputs!$G$5:$G$190&lt;&gt;"acoes")))*INDEX(Inputs!$K$5:$AJ$190,0,MATCH(AE$2,Inputs!$K$4:$AJ$4,0)))+SUMPRODUCT((Inputs!$E$5:$E$190=$B50)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50" s="6" t="e">
        <f>IF(ISNA(MATCH(AF$2,Inputs!$K$4:$AJ$4,0)),NA(),IF(SUMPRODUCT((Inputs!$A$5:$A$190=$B50)*ISNUMBER(INDEX(Inputs!$K$5:$AJ$190,0,MATCH(AF$2,Inputs!$K$4:$AJ$4,0))))+SUMPRODUCT((Inputs!$C$5:$C$190=$B50)*ISNUMBER(INDEX(Inputs!$K$5:$AJ$190,0,MATCH(AF$2,Inputs!$K$4:$AJ$4,0))))+SUMPRODUCT((Inputs!$E$5:$E$190=$B50)*ISNUMBER(INDEX(Inputs!$K$5:$AJ$190,0,MATCH(AF$2,Inputs!$K$4:$AJ$4,0))))=0,NA(),SUMPRODUCT((Inputs!$A$5:$A$190=$B50)*Inputs!$B$5:$B$190*(((Inputs!$G$5:$G$190="moeda")+(Inputs!$G$5:$G$190="acoes"))*Inputs!$B$1+((Inputs!$G$5:$G$190&lt;&gt;"moeda")*(Inputs!$G$5:$G$190&lt;&gt;"acoes")))*INDEX(Inputs!$K$5:$AJ$190,0,MATCH(AF$2,Inputs!$K$4:$AJ$4,0)))+SUMPRODUCT((Inputs!$C$5:$C$190=$B50)*Inputs!$D$5:$D$190*(((Inputs!$G$5:$G$190="moeda")+(Inputs!$G$5:$G$190="acoes"))*Inputs!$B$1+((Inputs!$G$5:$G$190&lt;&gt;"moeda")*(Inputs!$G$5:$G$190&lt;&gt;"acoes")))*INDEX(Inputs!$K$5:$AJ$190,0,MATCH(AF$2,Inputs!$K$4:$AJ$4,0)))+SUMPRODUCT((Inputs!$E$5:$E$190=$B50)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50" s="3" t="e">
        <f>SUM(AC50:AF50)</f>
        <v>#N/A</v>
      </c>
      <c r="AH50">
        <f>IF(ISNA(MATCH(AH$2,Inputs!$K$4:$AJ$4,0)),NA(),IF(SUMPRODUCT((Inputs!$A$5:$A$190=$B50)*ISNUMBER(INDEX(Inputs!$K$5:$AJ$190,0,MATCH(AH$2,Inputs!$K$4:$AJ$4,0))))+SUMPRODUCT((Inputs!$C$5:$C$190=$B50)*ISNUMBER(INDEX(Inputs!$K$5:$AJ$190,0,MATCH(AH$2,Inputs!$K$4:$AJ$4,0))))+SUMPRODUCT((Inputs!$E$5:$E$190=$B50)*ISNUMBER(INDEX(Inputs!$K$5:$AJ$190,0,MATCH(AH$2,Inputs!$K$4:$AJ$4,0))))=0,NA(),SUMPRODUCT((Inputs!$A$5:$A$190=$B50)*Inputs!$B$5:$B$190*(((Inputs!$G$5:$G$190="moeda")+(Inputs!$G$5:$G$190="acoes"))*Inputs!$B$1+((Inputs!$G$5:$G$190&lt;&gt;"moeda")*(Inputs!$G$5:$G$190&lt;&gt;"acoes")))*INDEX(Inputs!$K$5:$AJ$190,0,MATCH(AH$2,Inputs!$K$4:$AJ$4,0)))+SUMPRODUCT((Inputs!$C$5:$C$190=$B50)*Inputs!$D$5:$D$190*(((Inputs!$G$5:$G$190="moeda")+(Inputs!$G$5:$G$190="acoes"))*Inputs!$B$1+((Inputs!$G$5:$G$190&lt;&gt;"moeda")*(Inputs!$G$5:$G$190&lt;&gt;"acoes")))*INDEX(Inputs!$K$5:$AJ$190,0,MATCH(AH$2,Inputs!$K$4:$AJ$4,0)))+SUMPRODUCT((Inputs!$E$5:$E$190=$B50)*Inputs!$F$5:$F$190*(((Inputs!$G$5:$G$190="moeda")+(Inputs!$G$5:$G$190="acoes"))*Inputs!$B$1+((Inputs!$G$5:$G$190&lt;&gt;"moeda")*(Inputs!$G$5:$G$190&lt;&gt;"acoes")))*INDEX(Inputs!$K$5:$AJ$190,0,MATCH(AH$2,Inputs!$K$4:$AJ$4,0)))))</f>
        <v>54.4</v>
      </c>
      <c r="AI50">
        <f>IF(ISNA(MATCH(AI$2,Inputs!$K$4:$AJ$4,0)),NA(),IF(SUMPRODUCT((Inputs!$A$5:$A$190=$B50)*ISNUMBER(INDEX(Inputs!$K$5:$AJ$190,0,MATCH(AI$2,Inputs!$K$4:$AJ$4,0))))+SUMPRODUCT((Inputs!$C$5:$C$190=$B50)*ISNUMBER(INDEX(Inputs!$K$5:$AJ$190,0,MATCH(AI$2,Inputs!$K$4:$AJ$4,0))))+SUMPRODUCT((Inputs!$E$5:$E$190=$B50)*ISNUMBER(INDEX(Inputs!$K$5:$AJ$190,0,MATCH(AI$2,Inputs!$K$4:$AJ$4,0))))=0,NA(),SUMPRODUCT((Inputs!$A$5:$A$190=$B50)*Inputs!$B$5:$B$190*(((Inputs!$G$5:$G$190="moeda")+(Inputs!$G$5:$G$190="acoes"))*Inputs!$B$1+((Inputs!$G$5:$G$190&lt;&gt;"moeda")*(Inputs!$G$5:$G$190&lt;&gt;"acoes")))*INDEX(Inputs!$K$5:$AJ$190,0,MATCH(AI$2,Inputs!$K$4:$AJ$4,0)))+SUMPRODUCT((Inputs!$C$5:$C$190=$B50)*Inputs!$D$5:$D$190*(((Inputs!$G$5:$G$190="moeda")+(Inputs!$G$5:$G$190="acoes"))*Inputs!$B$1+((Inputs!$G$5:$G$190&lt;&gt;"moeda")*(Inputs!$G$5:$G$190&lt;&gt;"acoes")))*INDEX(Inputs!$K$5:$AJ$190,0,MATCH(AI$2,Inputs!$K$4:$AJ$4,0)))+SUMPRODUCT((Inputs!$E$5:$E$190=$B50)*Inputs!$F$5:$F$190*(((Inputs!$G$5:$G$190="moeda")+(Inputs!$G$5:$G$190="acoes"))*Inputs!$B$1+((Inputs!$G$5:$G$190&lt;&gt;"moeda")*(Inputs!$G$5:$G$190&lt;&gt;"acoes")))*INDEX(Inputs!$K$5:$AJ$190,0,MATCH(AI$2,Inputs!$K$4:$AJ$4,0)))))</f>
        <v>155.40026992</v>
      </c>
      <c r="AJ50">
        <f>IF(ISNA(MATCH(AJ$2,Inputs!$K$4:$AJ$4,0)),NA(),IF(SUMPRODUCT((Inputs!$A$5:$A$190=$B50)*ISNUMBER(INDEX(Inputs!$K$5:$AJ$190,0,MATCH(AJ$2,Inputs!$K$4:$AJ$4,0))))+SUMPRODUCT((Inputs!$C$5:$C$190=$B50)*ISNUMBER(INDEX(Inputs!$K$5:$AJ$190,0,MATCH(AJ$2,Inputs!$K$4:$AJ$4,0))))+SUMPRODUCT((Inputs!$E$5:$E$190=$B50)*ISNUMBER(INDEX(Inputs!$K$5:$AJ$190,0,MATCH(AJ$2,Inputs!$K$4:$AJ$4,0))))=0,NA(),SUMPRODUCT((Inputs!$A$5:$A$190=$B50)*Inputs!$B$5:$B$190*(((Inputs!$G$5:$G$190="moeda")+(Inputs!$G$5:$G$190="acoes"))*Inputs!$B$1+((Inputs!$G$5:$G$190&lt;&gt;"moeda")*(Inputs!$G$5:$G$190&lt;&gt;"acoes")))*INDEX(Inputs!$K$5:$AJ$190,0,MATCH(AJ$2,Inputs!$K$4:$AJ$4,0)))+SUMPRODUCT((Inputs!$C$5:$C$190=$B50)*Inputs!$D$5:$D$190*(((Inputs!$G$5:$G$190="moeda")+(Inputs!$G$5:$G$190="acoes"))*Inputs!$B$1+((Inputs!$G$5:$G$190&lt;&gt;"moeda")*(Inputs!$G$5:$G$190&lt;&gt;"acoes")))*INDEX(Inputs!$K$5:$AJ$190,0,MATCH(AJ$2,Inputs!$K$4:$AJ$4,0)))+SUMPRODUCT((Inputs!$E$5:$E$190=$B50)*Inputs!$F$5:$F$190*(((Inputs!$G$5:$G$190="moeda")+(Inputs!$G$5:$G$190="acoes"))*Inputs!$B$1+((Inputs!$G$5:$G$190&lt;&gt;"moeda")*(Inputs!$G$5:$G$190&lt;&gt;"acoes")))*INDEX(Inputs!$K$5:$AJ$190,0,MATCH(AJ$2,Inputs!$K$4:$AJ$4,0)))))</f>
        <v>73.166</v>
      </c>
      <c r="AK50">
        <f>IF(ISNA(MATCH(AK$2,Inputs!$K$4:$AJ$4,0)),NA(),IF(SUMPRODUCT((Inputs!$A$5:$A$190=$B50)*ISNUMBER(INDEX(Inputs!$K$5:$AJ$190,0,MATCH(AK$2,Inputs!$K$4:$AJ$4,0))))+SUMPRODUCT((Inputs!$C$5:$C$190=$B50)*ISNUMBER(INDEX(Inputs!$K$5:$AJ$190,0,MATCH(AK$2,Inputs!$K$4:$AJ$4,0))))+SUMPRODUCT((Inputs!$E$5:$E$190=$B50)*ISNUMBER(INDEX(Inputs!$K$5:$AJ$190,0,MATCH(AK$2,Inputs!$K$4:$AJ$4,0))))=0,NA(),SUMPRODUCT((Inputs!$A$5:$A$190=$B50)*Inputs!$B$5:$B$190*(((Inputs!$G$5:$G$190="moeda")+(Inputs!$G$5:$G$190="acoes"))*Inputs!$B$1+((Inputs!$G$5:$G$190&lt;&gt;"moeda")*(Inputs!$G$5:$G$190&lt;&gt;"acoes")))*INDEX(Inputs!$K$5:$AJ$190,0,MATCH(AK$2,Inputs!$K$4:$AJ$4,0)))+SUMPRODUCT((Inputs!$C$5:$C$190=$B50)*Inputs!$D$5:$D$190*(((Inputs!$G$5:$G$190="moeda")+(Inputs!$G$5:$G$190="acoes"))*Inputs!$B$1+((Inputs!$G$5:$G$190&lt;&gt;"moeda")*(Inputs!$G$5:$G$190&lt;&gt;"acoes")))*INDEX(Inputs!$K$5:$AJ$190,0,MATCH(AK$2,Inputs!$K$4:$AJ$4,0)))+SUMPRODUCT((Inputs!$E$5:$E$190=$B50)*Inputs!$F$5:$F$190*(((Inputs!$G$5:$G$190="moeda")+(Inputs!$G$5:$G$190="acoes"))*Inputs!$B$1+((Inputs!$G$5:$G$190&lt;&gt;"moeda")*(Inputs!$G$5:$G$190&lt;&gt;"acoes")))*INDEX(Inputs!$K$5:$AJ$190,0,MATCH(AK$2,Inputs!$K$4:$AJ$4,0)))))</f>
        <v>138.964643389957</v>
      </c>
      <c r="AL50">
        <f>SUM(AH50:AK50)</f>
        <v>421.930913309957</v>
      </c>
    </row>
    <row r="52">
      <c r="C52" s="254" t="inlineStr">
        <is>
          <t>Drivers de receita (memo) - codigos 45+ [Model, bloco abaixo da receita liquida]</t>
        </is>
      </c>
    </row>
    <row r="53">
      <c r="B53" s="46" t="n">
        <v>45</v>
      </c>
      <c r="C53" s="29" t="inlineStr">
        <is>
          <t>Receita liquida de vendas e prestacao de servicos (Consolidado l.11)</t>
        </is>
      </c>
      <c r="D53" s="264">
        <f>IF(ISNA(MATCH(D$2,Inputs!$K$4:$AJ$4,0)),NA(),IF(SUMPRODUCT((Inputs!$A$5:$A$190=$B53)*ISNUMBER(INDEX(Inputs!$K$5:$AJ$190,0,MATCH(D$2,Inputs!$K$4:$AJ$4,0))))+SUMPRODUCT((Inputs!$C$5:$C$190=$B53)*ISNUMBER(INDEX(Inputs!$K$5:$AJ$190,0,MATCH(D$2,Inputs!$K$4:$AJ$4,0))))+SUMPRODUCT((Inputs!$E$5:$E$190=$B53)*ISNUMBER(INDEX(Inputs!$K$5:$AJ$190,0,MATCH(D$2,Inputs!$K$4:$AJ$4,0))))=0,NA(),SUMPRODUCT((Inputs!$A$5:$A$190=$B53)*Inputs!$B$5:$B$190*(((Inputs!$G$5:$G$190="moeda")+(Inputs!$G$5:$G$190="acoes"))*Inputs!$B$1+((Inputs!$G$5:$G$190&lt;&gt;"moeda")*(Inputs!$G$5:$G$190&lt;&gt;"acoes")))*INDEX(Inputs!$K$5:$AJ$190,0,MATCH(D$2,Inputs!$K$4:$AJ$4,0)))+SUMPRODUCT((Inputs!$C$5:$C$190=$B53)*Inputs!$D$5:$D$190*(((Inputs!$G$5:$G$190="moeda")+(Inputs!$G$5:$G$190="acoes"))*Inputs!$B$1+((Inputs!$G$5:$G$190&lt;&gt;"moeda")*(Inputs!$G$5:$G$190&lt;&gt;"acoes")))*INDEX(Inputs!$K$5:$AJ$190,0,MATCH(D$2,Inputs!$K$4:$AJ$4,0)))+SUMPRODUCT((Inputs!$E$5:$E$190=$B53)*Inputs!$F$5:$F$190*(((Inputs!$G$5:$G$190="moeda")+(Inputs!$G$5:$G$190="acoes"))*Inputs!$B$1+((Inputs!$G$5:$G$190&lt;&gt;"moeda")*(Inputs!$G$5:$G$190&lt;&gt;"acoes")))*INDEX(Inputs!$K$5:$AJ$190,0,MATCH(D$2,Inputs!$K$4:$AJ$4,0)))))</f>
        <v>2228.98927988625</v>
      </c>
      <c r="E53" s="264">
        <f>IF(ISNA(MATCH(E$2,Inputs!$K$4:$AJ$4,0)),NA(),IF(SUMPRODUCT((Inputs!$A$5:$A$190=$B53)*ISNUMBER(INDEX(Inputs!$K$5:$AJ$190,0,MATCH(E$2,Inputs!$K$4:$AJ$4,0))))+SUMPRODUCT((Inputs!$C$5:$C$190=$B53)*ISNUMBER(INDEX(Inputs!$K$5:$AJ$190,0,MATCH(E$2,Inputs!$K$4:$AJ$4,0))))+SUMPRODUCT((Inputs!$E$5:$E$190=$B53)*ISNUMBER(INDEX(Inputs!$K$5:$AJ$190,0,MATCH(E$2,Inputs!$K$4:$AJ$4,0))))=0,NA(),SUMPRODUCT((Inputs!$A$5:$A$190=$B53)*Inputs!$B$5:$B$190*(((Inputs!$G$5:$G$190="moeda")+(Inputs!$G$5:$G$190="acoes"))*Inputs!$B$1+((Inputs!$G$5:$G$190&lt;&gt;"moeda")*(Inputs!$G$5:$G$190&lt;&gt;"acoes")))*INDEX(Inputs!$K$5:$AJ$190,0,MATCH(E$2,Inputs!$K$4:$AJ$4,0)))+SUMPRODUCT((Inputs!$C$5:$C$190=$B53)*Inputs!$D$5:$D$190*(((Inputs!$G$5:$G$190="moeda")+(Inputs!$G$5:$G$190="acoes"))*Inputs!$B$1+((Inputs!$G$5:$G$190&lt;&gt;"moeda")*(Inputs!$G$5:$G$190&lt;&gt;"acoes")))*INDEX(Inputs!$K$5:$AJ$190,0,MATCH(E$2,Inputs!$K$4:$AJ$4,0)))+SUMPRODUCT((Inputs!$E$5:$E$190=$B53)*Inputs!$F$5:$F$190*(((Inputs!$G$5:$G$190="moeda")+(Inputs!$G$5:$G$190="acoes"))*Inputs!$B$1+((Inputs!$G$5:$G$190&lt;&gt;"moeda")*(Inputs!$G$5:$G$190&lt;&gt;"acoes")))*INDEX(Inputs!$K$5:$AJ$190,0,MATCH(E$2,Inputs!$K$4:$AJ$4,0)))))</f>
        <v>2434.43972011375</v>
      </c>
      <c r="F53" s="264">
        <f>IF(ISNA(MATCH(F$2,Inputs!$K$4:$AJ$4,0)),NA(),IF(SUMPRODUCT((Inputs!$A$5:$A$190=$B53)*ISNUMBER(INDEX(Inputs!$K$5:$AJ$190,0,MATCH(F$2,Inputs!$K$4:$AJ$4,0))))+SUMPRODUCT((Inputs!$C$5:$C$190=$B53)*ISNUMBER(INDEX(Inputs!$K$5:$AJ$190,0,MATCH(F$2,Inputs!$K$4:$AJ$4,0))))+SUMPRODUCT((Inputs!$E$5:$E$190=$B53)*ISNUMBER(INDEX(Inputs!$K$5:$AJ$190,0,MATCH(F$2,Inputs!$K$4:$AJ$4,0))))=0,NA(),SUMPRODUCT((Inputs!$A$5:$A$190=$B53)*Inputs!$B$5:$B$190*(((Inputs!$G$5:$G$190="moeda")+(Inputs!$G$5:$G$190="acoes"))*Inputs!$B$1+((Inputs!$G$5:$G$190&lt;&gt;"moeda")*(Inputs!$G$5:$G$190&lt;&gt;"acoes")))*INDEX(Inputs!$K$5:$AJ$190,0,MATCH(F$2,Inputs!$K$4:$AJ$4,0)))+SUMPRODUCT((Inputs!$C$5:$C$190=$B53)*Inputs!$D$5:$D$190*(((Inputs!$G$5:$G$190="moeda")+(Inputs!$G$5:$G$190="acoes"))*Inputs!$B$1+((Inputs!$G$5:$G$190&lt;&gt;"moeda")*(Inputs!$G$5:$G$190&lt;&gt;"acoes")))*INDEX(Inputs!$K$5:$AJ$190,0,MATCH(F$2,Inputs!$K$4:$AJ$4,0)))+SUMPRODUCT((Inputs!$E$5:$E$190=$B53)*Inputs!$F$5:$F$190*(((Inputs!$G$5:$G$190="moeda")+(Inputs!$G$5:$G$190="acoes"))*Inputs!$B$1+((Inputs!$G$5:$G$190&lt;&gt;"moeda")*(Inputs!$G$5:$G$190&lt;&gt;"acoes")))*INDEX(Inputs!$K$5:$AJ$190,0,MATCH(F$2,Inputs!$K$4:$AJ$4,0)))))</f>
        <v>3035.233</v>
      </c>
      <c r="G53" s="264">
        <f>IF(ISNA(MATCH(G$2,Inputs!$K$4:$AJ$4,0)),NA(),IF(SUMPRODUCT((Inputs!$A$5:$A$190=$B53)*ISNUMBER(INDEX(Inputs!$K$5:$AJ$190,0,MATCH(G$2,Inputs!$K$4:$AJ$4,0))))+SUMPRODUCT((Inputs!$C$5:$C$190=$B53)*ISNUMBER(INDEX(Inputs!$K$5:$AJ$190,0,MATCH(G$2,Inputs!$K$4:$AJ$4,0))))+SUMPRODUCT((Inputs!$E$5:$E$190=$B53)*ISNUMBER(INDEX(Inputs!$K$5:$AJ$190,0,MATCH(G$2,Inputs!$K$4:$AJ$4,0))))=0,NA(),SUMPRODUCT((Inputs!$A$5:$A$190=$B53)*Inputs!$B$5:$B$190*(((Inputs!$G$5:$G$190="moeda")+(Inputs!$G$5:$G$190="acoes"))*Inputs!$B$1+((Inputs!$G$5:$G$190&lt;&gt;"moeda")*(Inputs!$G$5:$G$190&lt;&gt;"acoes")))*INDEX(Inputs!$K$5:$AJ$190,0,MATCH(G$2,Inputs!$K$4:$AJ$4,0)))+SUMPRODUCT((Inputs!$C$5:$C$190=$B53)*Inputs!$D$5:$D$190*(((Inputs!$G$5:$G$190="moeda")+(Inputs!$G$5:$G$190="acoes"))*Inputs!$B$1+((Inputs!$G$5:$G$190&lt;&gt;"moeda")*(Inputs!$G$5:$G$190&lt;&gt;"acoes")))*INDEX(Inputs!$K$5:$AJ$190,0,MATCH(G$2,Inputs!$K$4:$AJ$4,0)))+SUMPRODUCT((Inputs!$E$5:$E$190=$B53)*Inputs!$F$5:$F$190*(((Inputs!$G$5:$G$190="moeda")+(Inputs!$G$5:$G$190="acoes"))*Inputs!$B$1+((Inputs!$G$5:$G$190&lt;&gt;"moeda")*(Inputs!$G$5:$G$190&lt;&gt;"acoes")))*INDEX(Inputs!$K$5:$AJ$190,0,MATCH(G$2,Inputs!$K$4:$AJ$4,0)))))</f>
        <v>3306.956</v>
      </c>
      <c r="H53" s="265">
        <f>SUM(D53:G53)</f>
        <v>11005.618</v>
      </c>
      <c r="I53" s="264">
        <f>IF(ISNA(MATCH(I$2,Inputs!$K$4:$AJ$4,0)),NA(),IF(SUMPRODUCT((Inputs!$A$5:$A$190=$B53)*ISNUMBER(INDEX(Inputs!$K$5:$AJ$190,0,MATCH(I$2,Inputs!$K$4:$AJ$4,0))))+SUMPRODUCT((Inputs!$C$5:$C$190=$B53)*ISNUMBER(INDEX(Inputs!$K$5:$AJ$190,0,MATCH(I$2,Inputs!$K$4:$AJ$4,0))))+SUMPRODUCT((Inputs!$E$5:$E$190=$B53)*ISNUMBER(INDEX(Inputs!$K$5:$AJ$190,0,MATCH(I$2,Inputs!$K$4:$AJ$4,0))))=0,NA(),SUMPRODUCT((Inputs!$A$5:$A$190=$B53)*Inputs!$B$5:$B$190*(((Inputs!$G$5:$G$190="moeda")+(Inputs!$G$5:$G$190="acoes"))*Inputs!$B$1+((Inputs!$G$5:$G$190&lt;&gt;"moeda")*(Inputs!$G$5:$G$190&lt;&gt;"acoes")))*INDEX(Inputs!$K$5:$AJ$190,0,MATCH(I$2,Inputs!$K$4:$AJ$4,0)))+SUMPRODUCT((Inputs!$C$5:$C$190=$B53)*Inputs!$D$5:$D$190*(((Inputs!$G$5:$G$190="moeda")+(Inputs!$G$5:$G$190="acoes"))*Inputs!$B$1+((Inputs!$G$5:$G$190&lt;&gt;"moeda")*(Inputs!$G$5:$G$190&lt;&gt;"acoes")))*INDEX(Inputs!$K$5:$AJ$190,0,MATCH(I$2,Inputs!$K$4:$AJ$4,0)))+SUMPRODUCT((Inputs!$E$5:$E$190=$B53)*Inputs!$F$5:$F$190*(((Inputs!$G$5:$G$190="moeda")+(Inputs!$G$5:$G$190="acoes"))*Inputs!$B$1+((Inputs!$G$5:$G$190&lt;&gt;"moeda")*(Inputs!$G$5:$G$190&lt;&gt;"acoes")))*INDEX(Inputs!$K$5:$AJ$190,0,MATCH(I$2,Inputs!$K$4:$AJ$4,0)))))</f>
        <v>3513.11801273988</v>
      </c>
      <c r="J53" s="264">
        <f>IF(ISNA(MATCH(J$2,Inputs!$K$4:$AJ$4,0)),NA(),IF(SUMPRODUCT((Inputs!$A$5:$A$190=$B53)*ISNUMBER(INDEX(Inputs!$K$5:$AJ$190,0,MATCH(J$2,Inputs!$K$4:$AJ$4,0))))+SUMPRODUCT((Inputs!$C$5:$C$190=$B53)*ISNUMBER(INDEX(Inputs!$K$5:$AJ$190,0,MATCH(J$2,Inputs!$K$4:$AJ$4,0))))+SUMPRODUCT((Inputs!$E$5:$E$190=$B53)*ISNUMBER(INDEX(Inputs!$K$5:$AJ$190,0,MATCH(J$2,Inputs!$K$4:$AJ$4,0))))=0,NA(),SUMPRODUCT((Inputs!$A$5:$A$190=$B53)*Inputs!$B$5:$B$190*(((Inputs!$G$5:$G$190="moeda")+(Inputs!$G$5:$G$190="acoes"))*Inputs!$B$1+((Inputs!$G$5:$G$190&lt;&gt;"moeda")*(Inputs!$G$5:$G$190&lt;&gt;"acoes")))*INDEX(Inputs!$K$5:$AJ$190,0,MATCH(J$2,Inputs!$K$4:$AJ$4,0)))+SUMPRODUCT((Inputs!$C$5:$C$190=$B53)*Inputs!$D$5:$D$190*(((Inputs!$G$5:$G$190="moeda")+(Inputs!$G$5:$G$190="acoes"))*Inputs!$B$1+((Inputs!$G$5:$G$190&lt;&gt;"moeda")*(Inputs!$G$5:$G$190&lt;&gt;"acoes")))*INDEX(Inputs!$K$5:$AJ$190,0,MATCH(J$2,Inputs!$K$4:$AJ$4,0)))+SUMPRODUCT((Inputs!$E$5:$E$190=$B53)*Inputs!$F$5:$F$190*(((Inputs!$G$5:$G$190="moeda")+(Inputs!$G$5:$G$190="acoes"))*Inputs!$B$1+((Inputs!$G$5:$G$190&lt;&gt;"moeda")*(Inputs!$G$5:$G$190&lt;&gt;"acoes")))*INDEX(Inputs!$K$5:$AJ$190,0,MATCH(J$2,Inputs!$K$4:$AJ$4,0)))))</f>
        <v>4128.04135582988</v>
      </c>
      <c r="K53" s="264">
        <f>IF(ISNA(MATCH(K$2,Inputs!$K$4:$AJ$4,0)),NA(),IF(SUMPRODUCT((Inputs!$A$5:$A$190=$B53)*ISNUMBER(INDEX(Inputs!$K$5:$AJ$190,0,MATCH(K$2,Inputs!$K$4:$AJ$4,0))))+SUMPRODUCT((Inputs!$C$5:$C$190=$B53)*ISNUMBER(INDEX(Inputs!$K$5:$AJ$190,0,MATCH(K$2,Inputs!$K$4:$AJ$4,0))))+SUMPRODUCT((Inputs!$E$5:$E$190=$B53)*ISNUMBER(INDEX(Inputs!$K$5:$AJ$190,0,MATCH(K$2,Inputs!$K$4:$AJ$4,0))))=0,NA(),SUMPRODUCT((Inputs!$A$5:$A$190=$B53)*Inputs!$B$5:$B$190*(((Inputs!$G$5:$G$190="moeda")+(Inputs!$G$5:$G$190="acoes"))*Inputs!$B$1+((Inputs!$G$5:$G$190&lt;&gt;"moeda")*(Inputs!$G$5:$G$190&lt;&gt;"acoes")))*INDEX(Inputs!$K$5:$AJ$190,0,MATCH(K$2,Inputs!$K$4:$AJ$4,0)))+SUMPRODUCT((Inputs!$C$5:$C$190=$B53)*Inputs!$D$5:$D$190*(((Inputs!$G$5:$G$190="moeda")+(Inputs!$G$5:$G$190="acoes"))*Inputs!$B$1+((Inputs!$G$5:$G$190&lt;&gt;"moeda")*(Inputs!$G$5:$G$190&lt;&gt;"acoes")))*INDEX(Inputs!$K$5:$AJ$190,0,MATCH(K$2,Inputs!$K$4:$AJ$4,0)))+SUMPRODUCT((Inputs!$E$5:$E$190=$B53)*Inputs!$F$5:$F$190*(((Inputs!$G$5:$G$190="moeda")+(Inputs!$G$5:$G$190="acoes"))*Inputs!$B$1+((Inputs!$G$5:$G$190&lt;&gt;"moeda")*(Inputs!$G$5:$G$190&lt;&gt;"acoes")))*INDEX(Inputs!$K$5:$AJ$190,0,MATCH(K$2,Inputs!$K$4:$AJ$4,0)))))</f>
        <v>5325.28947141163</v>
      </c>
      <c r="L53" s="264">
        <f>IF(ISNA(MATCH(L$2,Inputs!$K$4:$AJ$4,0)),NA(),IF(SUMPRODUCT((Inputs!$A$5:$A$190=$B53)*ISNUMBER(INDEX(Inputs!$K$5:$AJ$190,0,MATCH(L$2,Inputs!$K$4:$AJ$4,0))))+SUMPRODUCT((Inputs!$C$5:$C$190=$B53)*ISNUMBER(INDEX(Inputs!$K$5:$AJ$190,0,MATCH(L$2,Inputs!$K$4:$AJ$4,0))))+SUMPRODUCT((Inputs!$E$5:$E$190=$B53)*ISNUMBER(INDEX(Inputs!$K$5:$AJ$190,0,MATCH(L$2,Inputs!$K$4:$AJ$4,0))))=0,NA(),SUMPRODUCT((Inputs!$A$5:$A$190=$B53)*Inputs!$B$5:$B$190*(((Inputs!$G$5:$G$190="moeda")+(Inputs!$G$5:$G$190="acoes"))*Inputs!$B$1+((Inputs!$G$5:$G$190&lt;&gt;"moeda")*(Inputs!$G$5:$G$190&lt;&gt;"acoes")))*INDEX(Inputs!$K$5:$AJ$190,0,MATCH(L$2,Inputs!$K$4:$AJ$4,0)))+SUMPRODUCT((Inputs!$C$5:$C$190=$B53)*Inputs!$D$5:$D$190*(((Inputs!$G$5:$G$190="moeda")+(Inputs!$G$5:$G$190="acoes"))*Inputs!$B$1+((Inputs!$G$5:$G$190&lt;&gt;"moeda")*(Inputs!$G$5:$G$190&lt;&gt;"acoes")))*INDEX(Inputs!$K$5:$AJ$190,0,MATCH(L$2,Inputs!$K$4:$AJ$4,0)))+SUMPRODUCT((Inputs!$E$5:$E$190=$B53)*Inputs!$F$5:$F$190*(((Inputs!$G$5:$G$190="moeda")+(Inputs!$G$5:$G$190="acoes"))*Inputs!$B$1+((Inputs!$G$5:$G$190&lt;&gt;"moeda")*(Inputs!$G$5:$G$190&lt;&gt;"acoes")))*INDEX(Inputs!$K$5:$AJ$190,0,MATCH(L$2,Inputs!$K$4:$AJ$4,0)))))</f>
        <v>5865.37157786097</v>
      </c>
      <c r="M53" s="265">
        <f>SUM(I53:L53)</f>
        <v>18831.8204178423</v>
      </c>
      <c r="N53" s="264">
        <f>IF(ISNA(MATCH(N$2,Inputs!$K$4:$AJ$4,0)),NA(),IF(SUMPRODUCT((Inputs!$A$5:$A$190=$B53)*ISNUMBER(INDEX(Inputs!$K$5:$AJ$190,0,MATCH(N$2,Inputs!$K$4:$AJ$4,0))))+SUMPRODUCT((Inputs!$C$5:$C$190=$B53)*ISNUMBER(INDEX(Inputs!$K$5:$AJ$190,0,MATCH(N$2,Inputs!$K$4:$AJ$4,0))))+SUMPRODUCT((Inputs!$E$5:$E$190=$B53)*ISNUMBER(INDEX(Inputs!$K$5:$AJ$190,0,MATCH(N$2,Inputs!$K$4:$AJ$4,0))))=0,NA(),SUMPRODUCT((Inputs!$A$5:$A$190=$B53)*Inputs!$B$5:$B$190*(((Inputs!$G$5:$G$190="moeda")+(Inputs!$G$5:$G$190="acoes"))*Inputs!$B$1+((Inputs!$G$5:$G$190&lt;&gt;"moeda")*(Inputs!$G$5:$G$190&lt;&gt;"acoes")))*INDEX(Inputs!$K$5:$AJ$190,0,MATCH(N$2,Inputs!$K$4:$AJ$4,0)))+SUMPRODUCT((Inputs!$C$5:$C$190=$B53)*Inputs!$D$5:$D$190*(((Inputs!$G$5:$G$190="moeda")+(Inputs!$G$5:$G$190="acoes"))*Inputs!$B$1+((Inputs!$G$5:$G$190&lt;&gt;"moeda")*(Inputs!$G$5:$G$190&lt;&gt;"acoes")))*INDEX(Inputs!$K$5:$AJ$190,0,MATCH(N$2,Inputs!$K$4:$AJ$4,0)))+SUMPRODUCT((Inputs!$E$5:$E$190=$B53)*Inputs!$F$5:$F$190*(((Inputs!$G$5:$G$190="moeda")+(Inputs!$G$5:$G$190="acoes"))*Inputs!$B$1+((Inputs!$G$5:$G$190&lt;&gt;"moeda")*(Inputs!$G$5:$G$190&lt;&gt;"acoes")))*INDEX(Inputs!$K$5:$AJ$190,0,MATCH(N$2,Inputs!$K$4:$AJ$4,0)))))</f>
        <v>5777.43383849622</v>
      </c>
      <c r="O53" s="264">
        <f>IF(ISNA(MATCH(O$2,Inputs!$K$4:$AJ$4,0)),NA(),IF(SUMPRODUCT((Inputs!$A$5:$A$190=$B53)*ISNUMBER(INDEX(Inputs!$K$5:$AJ$190,0,MATCH(O$2,Inputs!$K$4:$AJ$4,0))))+SUMPRODUCT((Inputs!$C$5:$C$190=$B53)*ISNUMBER(INDEX(Inputs!$K$5:$AJ$190,0,MATCH(O$2,Inputs!$K$4:$AJ$4,0))))+SUMPRODUCT((Inputs!$E$5:$E$190=$B53)*ISNUMBER(INDEX(Inputs!$K$5:$AJ$190,0,MATCH(O$2,Inputs!$K$4:$AJ$4,0))))=0,NA(),SUMPRODUCT((Inputs!$A$5:$A$190=$B53)*Inputs!$B$5:$B$190*(((Inputs!$G$5:$G$190="moeda")+(Inputs!$G$5:$G$190="acoes"))*Inputs!$B$1+((Inputs!$G$5:$G$190&lt;&gt;"moeda")*(Inputs!$G$5:$G$190&lt;&gt;"acoes")))*INDEX(Inputs!$K$5:$AJ$190,0,MATCH(O$2,Inputs!$K$4:$AJ$4,0)))+SUMPRODUCT((Inputs!$C$5:$C$190=$B53)*Inputs!$D$5:$D$190*(((Inputs!$G$5:$G$190="moeda")+(Inputs!$G$5:$G$190="acoes"))*Inputs!$B$1+((Inputs!$G$5:$G$190&lt;&gt;"moeda")*(Inputs!$G$5:$G$190&lt;&gt;"acoes")))*INDEX(Inputs!$K$5:$AJ$190,0,MATCH(O$2,Inputs!$K$4:$AJ$4,0)))+SUMPRODUCT((Inputs!$E$5:$E$190=$B53)*Inputs!$F$5:$F$190*(((Inputs!$G$5:$G$190="moeda")+(Inputs!$G$5:$G$190="acoes"))*Inputs!$B$1+((Inputs!$G$5:$G$190&lt;&gt;"moeda")*(Inputs!$G$5:$G$190&lt;&gt;"acoes")))*INDEX(Inputs!$K$5:$AJ$190,0,MATCH(O$2,Inputs!$K$4:$AJ$4,0)))))</f>
        <v>6044.16370319378</v>
      </c>
      <c r="P53" s="264">
        <f>IF(ISNA(MATCH(P$2,Inputs!$K$4:$AJ$4,0)),NA(),IF(SUMPRODUCT((Inputs!$A$5:$A$190=$B53)*ISNUMBER(INDEX(Inputs!$K$5:$AJ$190,0,MATCH(P$2,Inputs!$K$4:$AJ$4,0))))+SUMPRODUCT((Inputs!$C$5:$C$190=$B53)*ISNUMBER(INDEX(Inputs!$K$5:$AJ$190,0,MATCH(P$2,Inputs!$K$4:$AJ$4,0))))+SUMPRODUCT((Inputs!$E$5:$E$190=$B53)*ISNUMBER(INDEX(Inputs!$K$5:$AJ$190,0,MATCH(P$2,Inputs!$K$4:$AJ$4,0))))=0,NA(),SUMPRODUCT((Inputs!$A$5:$A$190=$B53)*Inputs!$B$5:$B$190*(((Inputs!$G$5:$G$190="moeda")+(Inputs!$G$5:$G$190="acoes"))*Inputs!$B$1+((Inputs!$G$5:$G$190&lt;&gt;"moeda")*(Inputs!$G$5:$G$190&lt;&gt;"acoes")))*INDEX(Inputs!$K$5:$AJ$190,0,MATCH(P$2,Inputs!$K$4:$AJ$4,0)))+SUMPRODUCT((Inputs!$C$5:$C$190=$B53)*Inputs!$D$5:$D$190*(((Inputs!$G$5:$G$190="moeda")+(Inputs!$G$5:$G$190="acoes"))*Inputs!$B$1+((Inputs!$G$5:$G$190&lt;&gt;"moeda")*(Inputs!$G$5:$G$190&lt;&gt;"acoes")))*INDEX(Inputs!$K$5:$AJ$190,0,MATCH(P$2,Inputs!$K$4:$AJ$4,0)))+SUMPRODUCT((Inputs!$E$5:$E$190=$B53)*Inputs!$F$5:$F$190*(((Inputs!$G$5:$G$190="moeda")+(Inputs!$G$5:$G$190="acoes"))*Inputs!$B$1+((Inputs!$G$5:$G$190&lt;&gt;"moeda")*(Inputs!$G$5:$G$190&lt;&gt;"acoes")))*INDEX(Inputs!$K$5:$AJ$190,0,MATCH(P$2,Inputs!$K$4:$AJ$4,0)))))</f>
        <v>6692.13145831</v>
      </c>
      <c r="Q53" s="264">
        <f>IF(ISNA(MATCH(Q$2,Inputs!$K$4:$AJ$4,0)),NA(),IF(SUMPRODUCT((Inputs!$A$5:$A$190=$B53)*ISNUMBER(INDEX(Inputs!$K$5:$AJ$190,0,MATCH(Q$2,Inputs!$K$4:$AJ$4,0))))+SUMPRODUCT((Inputs!$C$5:$C$190=$B53)*ISNUMBER(INDEX(Inputs!$K$5:$AJ$190,0,MATCH(Q$2,Inputs!$K$4:$AJ$4,0))))+SUMPRODUCT((Inputs!$E$5:$E$190=$B53)*ISNUMBER(INDEX(Inputs!$K$5:$AJ$190,0,MATCH(Q$2,Inputs!$K$4:$AJ$4,0))))=0,NA(),SUMPRODUCT((Inputs!$A$5:$A$190=$B53)*Inputs!$B$5:$B$190*(((Inputs!$G$5:$G$190="moeda")+(Inputs!$G$5:$G$190="acoes"))*Inputs!$B$1+((Inputs!$G$5:$G$190&lt;&gt;"moeda")*(Inputs!$G$5:$G$190&lt;&gt;"acoes")))*INDEX(Inputs!$K$5:$AJ$190,0,MATCH(Q$2,Inputs!$K$4:$AJ$4,0)))+SUMPRODUCT((Inputs!$C$5:$C$190=$B53)*Inputs!$D$5:$D$190*(((Inputs!$G$5:$G$190="moeda")+(Inputs!$G$5:$G$190="acoes"))*Inputs!$B$1+((Inputs!$G$5:$G$190&lt;&gt;"moeda")*(Inputs!$G$5:$G$190&lt;&gt;"acoes")))*INDEX(Inputs!$K$5:$AJ$190,0,MATCH(Q$2,Inputs!$K$4:$AJ$4,0)))+SUMPRODUCT((Inputs!$E$5:$E$190=$B53)*Inputs!$F$5:$F$190*(((Inputs!$G$5:$G$190="moeda")+(Inputs!$G$5:$G$190="acoes"))*Inputs!$B$1+((Inputs!$G$5:$G$190&lt;&gt;"moeda")*(Inputs!$G$5:$G$190&lt;&gt;"acoes")))*INDEX(Inputs!$K$5:$AJ$190,0,MATCH(Q$2,Inputs!$K$4:$AJ$4,0)))))</f>
        <v>7086.90511311</v>
      </c>
      <c r="R53" s="265">
        <f>SUM(N53:Q53)</f>
        <v>25600.63411311</v>
      </c>
      <c r="S53" s="264">
        <f>IF(ISNA(MATCH(S$2,Inputs!$K$4:$AJ$4,0)),NA(),IF(SUMPRODUCT((Inputs!$A$5:$A$190=$B53)*ISNUMBER(INDEX(Inputs!$K$5:$AJ$190,0,MATCH(S$2,Inputs!$K$4:$AJ$4,0))))+SUMPRODUCT((Inputs!$C$5:$C$190=$B53)*ISNUMBER(INDEX(Inputs!$K$5:$AJ$190,0,MATCH(S$2,Inputs!$K$4:$AJ$4,0))))+SUMPRODUCT((Inputs!$E$5:$E$190=$B53)*ISNUMBER(INDEX(Inputs!$K$5:$AJ$190,0,MATCH(S$2,Inputs!$K$4:$AJ$4,0))))=0,NA(),SUMPRODUCT((Inputs!$A$5:$A$190=$B53)*Inputs!$B$5:$B$190*(((Inputs!$G$5:$G$190="moeda")+(Inputs!$G$5:$G$190="acoes"))*Inputs!$B$1+((Inputs!$G$5:$G$190&lt;&gt;"moeda")*(Inputs!$G$5:$G$190&lt;&gt;"acoes")))*INDEX(Inputs!$K$5:$AJ$190,0,MATCH(S$2,Inputs!$K$4:$AJ$4,0)))+SUMPRODUCT((Inputs!$C$5:$C$190=$B53)*Inputs!$D$5:$D$190*(((Inputs!$G$5:$G$190="moeda")+(Inputs!$G$5:$G$190="acoes"))*Inputs!$B$1+((Inputs!$G$5:$G$190&lt;&gt;"moeda")*(Inputs!$G$5:$G$190&lt;&gt;"acoes")))*INDEX(Inputs!$K$5:$AJ$190,0,MATCH(S$2,Inputs!$K$4:$AJ$4,0)))+SUMPRODUCT((Inputs!$E$5:$E$190=$B53)*Inputs!$F$5:$F$190*(((Inputs!$G$5:$G$190="moeda")+(Inputs!$G$5:$G$190="acoes"))*Inputs!$B$1+((Inputs!$G$5:$G$190&lt;&gt;"moeda")*(Inputs!$G$5:$G$190&lt;&gt;"acoes")))*INDEX(Inputs!$K$5:$AJ$190,0,MATCH(S$2,Inputs!$K$4:$AJ$4,0)))))</f>
        <v>7163.34565164</v>
      </c>
      <c r="T53" s="264">
        <f>IF(ISNA(MATCH(T$2,Inputs!$K$4:$AJ$4,0)),NA(),IF(SUMPRODUCT((Inputs!$A$5:$A$190=$B53)*ISNUMBER(INDEX(Inputs!$K$5:$AJ$190,0,MATCH(T$2,Inputs!$K$4:$AJ$4,0))))+SUMPRODUCT((Inputs!$C$5:$C$190=$B53)*ISNUMBER(INDEX(Inputs!$K$5:$AJ$190,0,MATCH(T$2,Inputs!$K$4:$AJ$4,0))))+SUMPRODUCT((Inputs!$E$5:$E$190=$B53)*ISNUMBER(INDEX(Inputs!$K$5:$AJ$190,0,MATCH(T$2,Inputs!$K$4:$AJ$4,0))))=0,NA(),SUMPRODUCT((Inputs!$A$5:$A$190=$B53)*Inputs!$B$5:$B$190*(((Inputs!$G$5:$G$190="moeda")+(Inputs!$G$5:$G$190="acoes"))*Inputs!$B$1+((Inputs!$G$5:$G$190&lt;&gt;"moeda")*(Inputs!$G$5:$G$190&lt;&gt;"acoes")))*INDEX(Inputs!$K$5:$AJ$190,0,MATCH(T$2,Inputs!$K$4:$AJ$4,0)))+SUMPRODUCT((Inputs!$C$5:$C$190=$B53)*Inputs!$D$5:$D$190*(((Inputs!$G$5:$G$190="moeda")+(Inputs!$G$5:$G$190="acoes"))*Inputs!$B$1+((Inputs!$G$5:$G$190&lt;&gt;"moeda")*(Inputs!$G$5:$G$190&lt;&gt;"acoes")))*INDEX(Inputs!$K$5:$AJ$190,0,MATCH(T$2,Inputs!$K$4:$AJ$4,0)))+SUMPRODUCT((Inputs!$E$5:$E$190=$B53)*Inputs!$F$5:$F$190*(((Inputs!$G$5:$G$190="moeda")+(Inputs!$G$5:$G$190="acoes"))*Inputs!$B$1+((Inputs!$G$5:$G$190&lt;&gt;"moeda")*(Inputs!$G$5:$G$190&lt;&gt;"acoes")))*INDEX(Inputs!$K$5:$AJ$190,0,MATCH(T$2,Inputs!$K$4:$AJ$4,0)))))</f>
        <v>7938.09444039</v>
      </c>
      <c r="U53" s="264">
        <f>IF(ISNA(MATCH(U$2,Inputs!$K$4:$AJ$4,0)),NA(),IF(SUMPRODUCT((Inputs!$A$5:$A$190=$B53)*ISNUMBER(INDEX(Inputs!$K$5:$AJ$190,0,MATCH(U$2,Inputs!$K$4:$AJ$4,0))))+SUMPRODUCT((Inputs!$C$5:$C$190=$B53)*ISNUMBER(INDEX(Inputs!$K$5:$AJ$190,0,MATCH(U$2,Inputs!$K$4:$AJ$4,0))))+SUMPRODUCT((Inputs!$E$5:$E$190=$B53)*ISNUMBER(INDEX(Inputs!$K$5:$AJ$190,0,MATCH(U$2,Inputs!$K$4:$AJ$4,0))))=0,NA(),SUMPRODUCT((Inputs!$A$5:$A$190=$B53)*Inputs!$B$5:$B$190*(((Inputs!$G$5:$G$190="moeda")+(Inputs!$G$5:$G$190="acoes"))*Inputs!$B$1+((Inputs!$G$5:$G$190&lt;&gt;"moeda")*(Inputs!$G$5:$G$190&lt;&gt;"acoes")))*INDEX(Inputs!$K$5:$AJ$190,0,MATCH(U$2,Inputs!$K$4:$AJ$4,0)))+SUMPRODUCT((Inputs!$C$5:$C$190=$B53)*Inputs!$D$5:$D$190*(((Inputs!$G$5:$G$190="moeda")+(Inputs!$G$5:$G$190="acoes"))*Inputs!$B$1+((Inputs!$G$5:$G$190&lt;&gt;"moeda")*(Inputs!$G$5:$G$190&lt;&gt;"acoes")))*INDEX(Inputs!$K$5:$AJ$190,0,MATCH(U$2,Inputs!$K$4:$AJ$4,0)))+SUMPRODUCT((Inputs!$E$5:$E$190=$B53)*Inputs!$F$5:$F$190*(((Inputs!$G$5:$G$190="moeda")+(Inputs!$G$5:$G$190="acoes"))*Inputs!$B$1+((Inputs!$G$5:$G$190&lt;&gt;"moeda")*(Inputs!$G$5:$G$190&lt;&gt;"acoes")))*INDEX(Inputs!$K$5:$AJ$190,0,MATCH(U$2,Inputs!$K$4:$AJ$4,0)))))</f>
        <v>8358.224467</v>
      </c>
      <c r="V53" s="264">
        <f>IF(ISNA(MATCH(V$2,Inputs!$K$4:$AJ$4,0)),NA(),IF(SUMPRODUCT((Inputs!$A$5:$A$190=$B53)*ISNUMBER(INDEX(Inputs!$K$5:$AJ$190,0,MATCH(V$2,Inputs!$K$4:$AJ$4,0))))+SUMPRODUCT((Inputs!$C$5:$C$190=$B53)*ISNUMBER(INDEX(Inputs!$K$5:$AJ$190,0,MATCH(V$2,Inputs!$K$4:$AJ$4,0))))+SUMPRODUCT((Inputs!$E$5:$E$190=$B53)*ISNUMBER(INDEX(Inputs!$K$5:$AJ$190,0,MATCH(V$2,Inputs!$K$4:$AJ$4,0))))=0,NA(),SUMPRODUCT((Inputs!$A$5:$A$190=$B53)*Inputs!$B$5:$B$190*(((Inputs!$G$5:$G$190="moeda")+(Inputs!$G$5:$G$190="acoes"))*Inputs!$B$1+((Inputs!$G$5:$G$190&lt;&gt;"moeda")*(Inputs!$G$5:$G$190&lt;&gt;"acoes")))*INDEX(Inputs!$K$5:$AJ$190,0,MATCH(V$2,Inputs!$K$4:$AJ$4,0)))+SUMPRODUCT((Inputs!$C$5:$C$190=$B53)*Inputs!$D$5:$D$190*(((Inputs!$G$5:$G$190="moeda")+(Inputs!$G$5:$G$190="acoes"))*Inputs!$B$1+((Inputs!$G$5:$G$190&lt;&gt;"moeda")*(Inputs!$G$5:$G$190&lt;&gt;"acoes")))*INDEX(Inputs!$K$5:$AJ$190,0,MATCH(V$2,Inputs!$K$4:$AJ$4,0)))+SUMPRODUCT((Inputs!$E$5:$E$190=$B53)*Inputs!$F$5:$F$190*(((Inputs!$G$5:$G$190="moeda")+(Inputs!$G$5:$G$190="acoes"))*Inputs!$B$1+((Inputs!$G$5:$G$190&lt;&gt;"moeda")*(Inputs!$G$5:$G$190&lt;&gt;"acoes")))*INDEX(Inputs!$K$5:$AJ$190,0,MATCH(V$2,Inputs!$K$4:$AJ$4,0)))))</f>
        <v>8796.81927012</v>
      </c>
      <c r="W53" s="265">
        <f>SUM(S53:V53)</f>
        <v>32256.48382915</v>
      </c>
      <c r="X53" s="264">
        <f>IF(ISNA(MATCH(X$2,Inputs!$K$4:$AJ$4,0)),NA(),IF(SUMPRODUCT((Inputs!$A$5:$A$190=$B53)*ISNUMBER(INDEX(Inputs!$K$5:$AJ$190,0,MATCH(X$2,Inputs!$K$4:$AJ$4,0))))+SUMPRODUCT((Inputs!$C$5:$C$190=$B53)*ISNUMBER(INDEX(Inputs!$K$5:$AJ$190,0,MATCH(X$2,Inputs!$K$4:$AJ$4,0))))+SUMPRODUCT((Inputs!$E$5:$E$190=$B53)*ISNUMBER(INDEX(Inputs!$K$5:$AJ$190,0,MATCH(X$2,Inputs!$K$4:$AJ$4,0))))=0,NA(),SUMPRODUCT((Inputs!$A$5:$A$190=$B53)*Inputs!$B$5:$B$190*(((Inputs!$G$5:$G$190="moeda")+(Inputs!$G$5:$G$190="acoes"))*Inputs!$B$1+((Inputs!$G$5:$G$190&lt;&gt;"moeda")*(Inputs!$G$5:$G$190&lt;&gt;"acoes")))*INDEX(Inputs!$K$5:$AJ$190,0,MATCH(X$2,Inputs!$K$4:$AJ$4,0)))+SUMPRODUCT((Inputs!$C$5:$C$190=$B53)*Inputs!$D$5:$D$190*(((Inputs!$G$5:$G$190="moeda")+(Inputs!$G$5:$G$190="acoes"))*Inputs!$B$1+((Inputs!$G$5:$G$190&lt;&gt;"moeda")*(Inputs!$G$5:$G$190&lt;&gt;"acoes")))*INDEX(Inputs!$K$5:$AJ$190,0,MATCH(X$2,Inputs!$K$4:$AJ$4,0)))+SUMPRODUCT((Inputs!$E$5:$E$190=$B53)*Inputs!$F$5:$F$190*(((Inputs!$G$5:$G$190="moeda")+(Inputs!$G$5:$G$190="acoes"))*Inputs!$B$1+((Inputs!$G$5:$G$190&lt;&gt;"moeda")*(Inputs!$G$5:$G$190&lt;&gt;"acoes")))*INDEX(Inputs!$K$5:$AJ$190,0,MATCH(X$2,Inputs!$K$4:$AJ$4,0)))))</f>
        <v>8189.74753867</v>
      </c>
      <c r="Y53" s="264">
        <f>IF(ISNA(MATCH(Y$2,Inputs!$K$4:$AJ$4,0)),NA(),IF(SUMPRODUCT((Inputs!$A$5:$A$190=$B53)*ISNUMBER(INDEX(Inputs!$K$5:$AJ$190,0,MATCH(Y$2,Inputs!$K$4:$AJ$4,0))))+SUMPRODUCT((Inputs!$C$5:$C$190=$B53)*ISNUMBER(INDEX(Inputs!$K$5:$AJ$190,0,MATCH(Y$2,Inputs!$K$4:$AJ$4,0))))+SUMPRODUCT((Inputs!$E$5:$E$190=$B53)*ISNUMBER(INDEX(Inputs!$K$5:$AJ$190,0,MATCH(Y$2,Inputs!$K$4:$AJ$4,0))))=0,NA(),SUMPRODUCT((Inputs!$A$5:$A$190=$B53)*Inputs!$B$5:$B$190*(((Inputs!$G$5:$G$190="moeda")+(Inputs!$G$5:$G$190="acoes"))*Inputs!$B$1+((Inputs!$G$5:$G$190&lt;&gt;"moeda")*(Inputs!$G$5:$G$190&lt;&gt;"acoes")))*INDEX(Inputs!$K$5:$AJ$190,0,MATCH(Y$2,Inputs!$K$4:$AJ$4,0)))+SUMPRODUCT((Inputs!$C$5:$C$190=$B53)*Inputs!$D$5:$D$190*(((Inputs!$G$5:$G$190="moeda")+(Inputs!$G$5:$G$190="acoes"))*Inputs!$B$1+((Inputs!$G$5:$G$190&lt;&gt;"moeda")*(Inputs!$G$5:$G$190&lt;&gt;"acoes")))*INDEX(Inputs!$K$5:$AJ$190,0,MATCH(Y$2,Inputs!$K$4:$AJ$4,0)))+SUMPRODUCT((Inputs!$E$5:$E$190=$B53)*Inputs!$F$5:$F$190*(((Inputs!$G$5:$G$190="moeda")+(Inputs!$G$5:$G$190="acoes"))*Inputs!$B$1+((Inputs!$G$5:$G$190&lt;&gt;"moeda")*(Inputs!$G$5:$G$190&lt;&gt;"acoes")))*INDEX(Inputs!$K$5:$AJ$190,0,MATCH(Y$2,Inputs!$K$4:$AJ$4,0)))))</f>
        <v>8295.85026633</v>
      </c>
      <c r="Z53" s="264">
        <f>IF(ISNA(MATCH(Z$2,Inputs!$K$4:$AJ$4,0)),NA(),IF(SUMPRODUCT((Inputs!$A$5:$A$190=$B53)*ISNUMBER(INDEX(Inputs!$K$5:$AJ$190,0,MATCH(Z$2,Inputs!$K$4:$AJ$4,0))))+SUMPRODUCT((Inputs!$C$5:$C$190=$B53)*ISNUMBER(INDEX(Inputs!$K$5:$AJ$190,0,MATCH(Z$2,Inputs!$K$4:$AJ$4,0))))+SUMPRODUCT((Inputs!$E$5:$E$190=$B53)*ISNUMBER(INDEX(Inputs!$K$5:$AJ$190,0,MATCH(Z$2,Inputs!$K$4:$AJ$4,0))))=0,NA(),SUMPRODUCT((Inputs!$A$5:$A$190=$B53)*Inputs!$B$5:$B$190*(((Inputs!$G$5:$G$190="moeda")+(Inputs!$G$5:$G$190="acoes"))*Inputs!$B$1+((Inputs!$G$5:$G$190&lt;&gt;"moeda")*(Inputs!$G$5:$G$190&lt;&gt;"acoes")))*INDEX(Inputs!$K$5:$AJ$190,0,MATCH(Z$2,Inputs!$K$4:$AJ$4,0)))+SUMPRODUCT((Inputs!$C$5:$C$190=$B53)*Inputs!$D$5:$D$190*(((Inputs!$G$5:$G$190="moeda")+(Inputs!$G$5:$G$190="acoes"))*Inputs!$B$1+((Inputs!$G$5:$G$190&lt;&gt;"moeda")*(Inputs!$G$5:$G$190&lt;&gt;"acoes")))*INDEX(Inputs!$K$5:$AJ$190,0,MATCH(Z$2,Inputs!$K$4:$AJ$4,0)))+SUMPRODUCT((Inputs!$E$5:$E$190=$B53)*Inputs!$F$5:$F$190*(((Inputs!$G$5:$G$190="moeda")+(Inputs!$G$5:$G$190="acoes"))*Inputs!$B$1+((Inputs!$G$5:$G$190&lt;&gt;"moeda")*(Inputs!$G$5:$G$190&lt;&gt;"acoes")))*INDEX(Inputs!$K$5:$AJ$190,0,MATCH(Z$2,Inputs!$K$4:$AJ$4,0)))))</f>
        <v>8958.10030341</v>
      </c>
      <c r="AA53" s="264">
        <f>IF(ISNA(MATCH(AA$2,Inputs!$K$4:$AJ$4,0)),NA(),IF(SUMPRODUCT((Inputs!$A$5:$A$190=$B53)*ISNUMBER(INDEX(Inputs!$K$5:$AJ$190,0,MATCH(AA$2,Inputs!$K$4:$AJ$4,0))))+SUMPRODUCT((Inputs!$C$5:$C$190=$B53)*ISNUMBER(INDEX(Inputs!$K$5:$AJ$190,0,MATCH(AA$2,Inputs!$K$4:$AJ$4,0))))+SUMPRODUCT((Inputs!$E$5:$E$190=$B53)*ISNUMBER(INDEX(Inputs!$K$5:$AJ$190,0,MATCH(AA$2,Inputs!$K$4:$AJ$4,0))))=0,NA(),SUMPRODUCT((Inputs!$A$5:$A$190=$B53)*Inputs!$B$5:$B$190*(((Inputs!$G$5:$G$190="moeda")+(Inputs!$G$5:$G$190="acoes"))*Inputs!$B$1+((Inputs!$G$5:$G$190&lt;&gt;"moeda")*(Inputs!$G$5:$G$190&lt;&gt;"acoes")))*INDEX(Inputs!$K$5:$AJ$190,0,MATCH(AA$2,Inputs!$K$4:$AJ$4,0)))+SUMPRODUCT((Inputs!$C$5:$C$190=$B53)*Inputs!$D$5:$D$190*(((Inputs!$G$5:$G$190="moeda")+(Inputs!$G$5:$G$190="acoes"))*Inputs!$B$1+((Inputs!$G$5:$G$190&lt;&gt;"moeda")*(Inputs!$G$5:$G$190&lt;&gt;"acoes")))*INDEX(Inputs!$K$5:$AJ$190,0,MATCH(AA$2,Inputs!$K$4:$AJ$4,0)))+SUMPRODUCT((Inputs!$E$5:$E$190=$B53)*Inputs!$F$5:$F$190*(((Inputs!$G$5:$G$190="moeda")+(Inputs!$G$5:$G$190="acoes"))*Inputs!$B$1+((Inputs!$G$5:$G$190&lt;&gt;"moeda")*(Inputs!$G$5:$G$190&lt;&gt;"acoes")))*INDEX(Inputs!$K$5:$AJ$190,0,MATCH(AA$2,Inputs!$K$4:$AJ$4,0)))))</f>
        <v>9041.60020085</v>
      </c>
      <c r="AB53" s="265">
        <f>SUM(X53:AA53)</f>
        <v>34485.29830926</v>
      </c>
      <c r="AC53" s="264">
        <f>IF(ISNA(MATCH(AC$2,Inputs!$K$4:$AJ$4,0)),NA(),IF(SUMPRODUCT((Inputs!$A$5:$A$190=$B53)*ISNUMBER(INDEX(Inputs!$K$5:$AJ$190,0,MATCH(AC$2,Inputs!$K$4:$AJ$4,0))))+SUMPRODUCT((Inputs!$C$5:$C$190=$B53)*ISNUMBER(INDEX(Inputs!$K$5:$AJ$190,0,MATCH(AC$2,Inputs!$K$4:$AJ$4,0))))+SUMPRODUCT((Inputs!$E$5:$E$190=$B53)*ISNUMBER(INDEX(Inputs!$K$5:$AJ$190,0,MATCH(AC$2,Inputs!$K$4:$AJ$4,0))))=0,NA(),SUMPRODUCT((Inputs!$A$5:$A$190=$B53)*Inputs!$B$5:$B$190*(((Inputs!$G$5:$G$190="moeda")+(Inputs!$G$5:$G$190="acoes"))*Inputs!$B$1+((Inputs!$G$5:$G$190&lt;&gt;"moeda")*(Inputs!$G$5:$G$190&lt;&gt;"acoes")))*INDEX(Inputs!$K$5:$AJ$190,0,MATCH(AC$2,Inputs!$K$4:$AJ$4,0)))+SUMPRODUCT((Inputs!$C$5:$C$190=$B53)*Inputs!$D$5:$D$190*(((Inputs!$G$5:$G$190="moeda")+(Inputs!$G$5:$G$190="acoes"))*Inputs!$B$1+((Inputs!$G$5:$G$190&lt;&gt;"moeda")*(Inputs!$G$5:$G$190&lt;&gt;"acoes")))*INDEX(Inputs!$K$5:$AJ$190,0,MATCH(AC$2,Inputs!$K$4:$AJ$4,0)))+SUMPRODUCT((Inputs!$E$5:$E$190=$B53)*Inputs!$F$5:$F$190*(((Inputs!$G$5:$G$190="moeda")+(Inputs!$G$5:$G$190="acoes"))*Inputs!$B$1+((Inputs!$G$5:$G$190&lt;&gt;"moeda")*(Inputs!$G$5:$G$190&lt;&gt;"acoes")))*INDEX(Inputs!$K$5:$AJ$190,0,MATCH(AC$2,Inputs!$K$4:$AJ$4,0)))))</f>
        <v>8877.84995364</v>
      </c>
      <c r="AD53" s="264">
        <f>IF(ISNA(MATCH(AD$2,Inputs!$K$4:$AJ$4,0)),NA(),IF(SUMPRODUCT((Inputs!$A$5:$A$190=$B53)*ISNUMBER(INDEX(Inputs!$K$5:$AJ$190,0,MATCH(AD$2,Inputs!$K$4:$AJ$4,0))))+SUMPRODUCT((Inputs!$C$5:$C$190=$B53)*ISNUMBER(INDEX(Inputs!$K$5:$AJ$190,0,MATCH(AD$2,Inputs!$K$4:$AJ$4,0))))+SUMPRODUCT((Inputs!$E$5:$E$190=$B53)*ISNUMBER(INDEX(Inputs!$K$5:$AJ$190,0,MATCH(AD$2,Inputs!$K$4:$AJ$4,0))))=0,NA(),SUMPRODUCT((Inputs!$A$5:$A$190=$B53)*Inputs!$B$5:$B$190*(((Inputs!$G$5:$G$190="moeda")+(Inputs!$G$5:$G$190="acoes"))*Inputs!$B$1+((Inputs!$G$5:$G$190&lt;&gt;"moeda")*(Inputs!$G$5:$G$190&lt;&gt;"acoes")))*INDEX(Inputs!$K$5:$AJ$190,0,MATCH(AD$2,Inputs!$K$4:$AJ$4,0)))+SUMPRODUCT((Inputs!$C$5:$C$190=$B53)*Inputs!$D$5:$D$190*(((Inputs!$G$5:$G$190="moeda")+(Inputs!$G$5:$G$190="acoes"))*Inputs!$B$1+((Inputs!$G$5:$G$190&lt;&gt;"moeda")*(Inputs!$G$5:$G$190&lt;&gt;"acoes")))*INDEX(Inputs!$K$5:$AJ$190,0,MATCH(AD$2,Inputs!$K$4:$AJ$4,0)))+SUMPRODUCT((Inputs!$E$5:$E$190=$B53)*Inputs!$F$5:$F$190*(((Inputs!$G$5:$G$190="moeda")+(Inputs!$G$5:$G$190="acoes"))*Inputs!$B$1+((Inputs!$G$5:$G$190&lt;&gt;"moeda")*(Inputs!$G$5:$G$190&lt;&gt;"acoes")))*INDEX(Inputs!$K$5:$AJ$190,0,MATCH(AD$2,Inputs!$K$4:$AJ$4,0)))))</f>
        <v>9488.04860035001</v>
      </c>
      <c r="AE53" s="264" t="e">
        <f>IF(ISNA(MATCH(AE$2,Inputs!$K$4:$AJ$4,0)),NA(),IF(SUMPRODUCT((Inputs!$A$5:$A$190=$B53)*ISNUMBER(INDEX(Inputs!$K$5:$AJ$190,0,MATCH(AE$2,Inputs!$K$4:$AJ$4,0))))+SUMPRODUCT((Inputs!$C$5:$C$190=$B53)*ISNUMBER(INDEX(Inputs!$K$5:$AJ$190,0,MATCH(AE$2,Inputs!$K$4:$AJ$4,0))))+SUMPRODUCT((Inputs!$E$5:$E$190=$B53)*ISNUMBER(INDEX(Inputs!$K$5:$AJ$190,0,MATCH(AE$2,Inputs!$K$4:$AJ$4,0))))=0,NA(),SUMPRODUCT((Inputs!$A$5:$A$190=$B53)*Inputs!$B$5:$B$190*(((Inputs!$G$5:$G$190="moeda")+(Inputs!$G$5:$G$190="acoes"))*Inputs!$B$1+((Inputs!$G$5:$G$190&lt;&gt;"moeda")*(Inputs!$G$5:$G$190&lt;&gt;"acoes")))*INDEX(Inputs!$K$5:$AJ$190,0,MATCH(AE$2,Inputs!$K$4:$AJ$4,0)))+SUMPRODUCT((Inputs!$C$5:$C$190=$B53)*Inputs!$D$5:$D$190*(((Inputs!$G$5:$G$190="moeda")+(Inputs!$G$5:$G$190="acoes"))*Inputs!$B$1+((Inputs!$G$5:$G$190&lt;&gt;"moeda")*(Inputs!$G$5:$G$190&lt;&gt;"acoes")))*INDEX(Inputs!$K$5:$AJ$190,0,MATCH(AE$2,Inputs!$K$4:$AJ$4,0)))+SUMPRODUCT((Inputs!$E$5:$E$190=$B53)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53" s="264" t="e">
        <f>IF(ISNA(MATCH(AF$2,Inputs!$K$4:$AJ$4,0)),NA(),IF(SUMPRODUCT((Inputs!$A$5:$A$190=$B53)*ISNUMBER(INDEX(Inputs!$K$5:$AJ$190,0,MATCH(AF$2,Inputs!$K$4:$AJ$4,0))))+SUMPRODUCT((Inputs!$C$5:$C$190=$B53)*ISNUMBER(INDEX(Inputs!$K$5:$AJ$190,0,MATCH(AF$2,Inputs!$K$4:$AJ$4,0))))+SUMPRODUCT((Inputs!$E$5:$E$190=$B53)*ISNUMBER(INDEX(Inputs!$K$5:$AJ$190,0,MATCH(AF$2,Inputs!$K$4:$AJ$4,0))))=0,NA(),SUMPRODUCT((Inputs!$A$5:$A$190=$B53)*Inputs!$B$5:$B$190*(((Inputs!$G$5:$G$190="moeda")+(Inputs!$G$5:$G$190="acoes"))*Inputs!$B$1+((Inputs!$G$5:$G$190&lt;&gt;"moeda")*(Inputs!$G$5:$G$190&lt;&gt;"acoes")))*INDEX(Inputs!$K$5:$AJ$190,0,MATCH(AF$2,Inputs!$K$4:$AJ$4,0)))+SUMPRODUCT((Inputs!$C$5:$C$190=$B53)*Inputs!$D$5:$D$190*(((Inputs!$G$5:$G$190="moeda")+(Inputs!$G$5:$G$190="acoes"))*Inputs!$B$1+((Inputs!$G$5:$G$190&lt;&gt;"moeda")*(Inputs!$G$5:$G$190&lt;&gt;"acoes")))*INDEX(Inputs!$K$5:$AJ$190,0,MATCH(AF$2,Inputs!$K$4:$AJ$4,0)))+SUMPRODUCT((Inputs!$E$5:$E$190=$B53)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53" s="265" t="e">
        <f>SUM(AC53:AF53)</f>
        <v>#N/A</v>
      </c>
      <c r="AH53" s="264">
        <f>IF(ISNA(MATCH(AH$2,Inputs!$K$4:$AJ$4,0)),NA(),IF(SUMPRODUCT((Inputs!$A$5:$A$190=$B53)*ISNUMBER(INDEX(Inputs!$K$5:$AJ$190,0,MATCH(AH$2,Inputs!$K$4:$AJ$4,0))))+SUMPRODUCT((Inputs!$C$5:$C$190=$B53)*ISNUMBER(INDEX(Inputs!$K$5:$AJ$190,0,MATCH(AH$2,Inputs!$K$4:$AJ$4,0))))+SUMPRODUCT((Inputs!$E$5:$E$190=$B53)*ISNUMBER(INDEX(Inputs!$K$5:$AJ$190,0,MATCH(AH$2,Inputs!$K$4:$AJ$4,0))))=0,NA(),SUMPRODUCT((Inputs!$A$5:$A$190=$B53)*Inputs!$B$5:$B$190*(((Inputs!$G$5:$G$190="moeda")+(Inputs!$G$5:$G$190="acoes"))*Inputs!$B$1+((Inputs!$G$5:$G$190&lt;&gt;"moeda")*(Inputs!$G$5:$G$190&lt;&gt;"acoes")))*INDEX(Inputs!$K$5:$AJ$190,0,MATCH(AH$2,Inputs!$K$4:$AJ$4,0)))+SUMPRODUCT((Inputs!$C$5:$C$190=$B53)*Inputs!$D$5:$D$190*(((Inputs!$G$5:$G$190="moeda")+(Inputs!$G$5:$G$190="acoes"))*Inputs!$B$1+((Inputs!$G$5:$G$190&lt;&gt;"moeda")*(Inputs!$G$5:$G$190&lt;&gt;"acoes")))*INDEX(Inputs!$K$5:$AJ$190,0,MATCH(AH$2,Inputs!$K$4:$AJ$4,0)))+SUMPRODUCT((Inputs!$E$5:$E$190=$B53)*Inputs!$F$5:$F$190*(((Inputs!$G$5:$G$190="moeda")+(Inputs!$G$5:$G$190="acoes"))*Inputs!$B$1+((Inputs!$G$5:$G$190&lt;&gt;"moeda")*(Inputs!$G$5:$G$190&lt;&gt;"acoes")))*INDEX(Inputs!$K$5:$AJ$190,0,MATCH(AH$2,Inputs!$K$4:$AJ$4,0)))))</f>
        <v>1710.27725795755</v>
      </c>
      <c r="AI53" s="264">
        <f>IF(ISNA(MATCH(AI$2,Inputs!$K$4:$AJ$4,0)),NA(),IF(SUMPRODUCT((Inputs!$A$5:$A$190=$B53)*ISNUMBER(INDEX(Inputs!$K$5:$AJ$190,0,MATCH(AI$2,Inputs!$K$4:$AJ$4,0))))+SUMPRODUCT((Inputs!$C$5:$C$190=$B53)*ISNUMBER(INDEX(Inputs!$K$5:$AJ$190,0,MATCH(AI$2,Inputs!$K$4:$AJ$4,0))))+SUMPRODUCT((Inputs!$E$5:$E$190=$B53)*ISNUMBER(INDEX(Inputs!$K$5:$AJ$190,0,MATCH(AI$2,Inputs!$K$4:$AJ$4,0))))=0,NA(),SUMPRODUCT((Inputs!$A$5:$A$190=$B53)*Inputs!$B$5:$B$190*(((Inputs!$G$5:$G$190="moeda")+(Inputs!$G$5:$G$190="acoes"))*Inputs!$B$1+((Inputs!$G$5:$G$190&lt;&gt;"moeda")*(Inputs!$G$5:$G$190&lt;&gt;"acoes")))*INDEX(Inputs!$K$5:$AJ$190,0,MATCH(AI$2,Inputs!$K$4:$AJ$4,0)))+SUMPRODUCT((Inputs!$C$5:$C$190=$B53)*Inputs!$D$5:$D$190*(((Inputs!$G$5:$G$190="moeda")+(Inputs!$G$5:$G$190="acoes"))*Inputs!$B$1+((Inputs!$G$5:$G$190&lt;&gt;"moeda")*(Inputs!$G$5:$G$190&lt;&gt;"acoes")))*INDEX(Inputs!$K$5:$AJ$190,0,MATCH(AI$2,Inputs!$K$4:$AJ$4,0)))+SUMPRODUCT((Inputs!$E$5:$E$190=$B53)*Inputs!$F$5:$F$190*(((Inputs!$G$5:$G$190="moeda")+(Inputs!$G$5:$G$190="acoes"))*Inputs!$B$1+((Inputs!$G$5:$G$190&lt;&gt;"moeda")*(Inputs!$G$5:$G$190&lt;&gt;"acoes")))*INDEX(Inputs!$K$5:$AJ$190,0,MATCH(AI$2,Inputs!$K$4:$AJ$4,0)))))</f>
        <v>1331.11364498</v>
      </c>
      <c r="AJ53" s="264">
        <f>IF(ISNA(MATCH(AJ$2,Inputs!$K$4:$AJ$4,0)),NA(),IF(SUMPRODUCT((Inputs!$A$5:$A$190=$B53)*ISNUMBER(INDEX(Inputs!$K$5:$AJ$190,0,MATCH(AJ$2,Inputs!$K$4:$AJ$4,0))))+SUMPRODUCT((Inputs!$C$5:$C$190=$B53)*ISNUMBER(INDEX(Inputs!$K$5:$AJ$190,0,MATCH(AJ$2,Inputs!$K$4:$AJ$4,0))))+SUMPRODUCT((Inputs!$E$5:$E$190=$B53)*ISNUMBER(INDEX(Inputs!$K$5:$AJ$190,0,MATCH(AJ$2,Inputs!$K$4:$AJ$4,0))))=0,NA(),SUMPRODUCT((Inputs!$A$5:$A$190=$B53)*Inputs!$B$5:$B$190*(((Inputs!$G$5:$G$190="moeda")+(Inputs!$G$5:$G$190="acoes"))*Inputs!$B$1+((Inputs!$G$5:$G$190&lt;&gt;"moeda")*(Inputs!$G$5:$G$190&lt;&gt;"acoes")))*INDEX(Inputs!$K$5:$AJ$190,0,MATCH(AJ$2,Inputs!$K$4:$AJ$4,0)))+SUMPRODUCT((Inputs!$C$5:$C$190=$B53)*Inputs!$D$5:$D$190*(((Inputs!$G$5:$G$190="moeda")+(Inputs!$G$5:$G$190="acoes"))*Inputs!$B$1+((Inputs!$G$5:$G$190&lt;&gt;"moeda")*(Inputs!$G$5:$G$190&lt;&gt;"acoes")))*INDEX(Inputs!$K$5:$AJ$190,0,MATCH(AJ$2,Inputs!$K$4:$AJ$4,0)))+SUMPRODUCT((Inputs!$E$5:$E$190=$B53)*Inputs!$F$5:$F$190*(((Inputs!$G$5:$G$190="moeda")+(Inputs!$G$5:$G$190="acoes"))*Inputs!$B$1+((Inputs!$G$5:$G$190&lt;&gt;"moeda")*(Inputs!$G$5:$G$190&lt;&gt;"acoes")))*INDEX(Inputs!$K$5:$AJ$190,0,MATCH(AJ$2,Inputs!$K$4:$AJ$4,0)))))</f>
        <v>1812.48283831</v>
      </c>
      <c r="AK53" s="264">
        <f>IF(ISNA(MATCH(AK$2,Inputs!$K$4:$AJ$4,0)),NA(),IF(SUMPRODUCT((Inputs!$A$5:$A$190=$B53)*ISNUMBER(INDEX(Inputs!$K$5:$AJ$190,0,MATCH(AK$2,Inputs!$K$4:$AJ$4,0))))+SUMPRODUCT((Inputs!$C$5:$C$190=$B53)*ISNUMBER(INDEX(Inputs!$K$5:$AJ$190,0,MATCH(AK$2,Inputs!$K$4:$AJ$4,0))))+SUMPRODUCT((Inputs!$E$5:$E$190=$B53)*ISNUMBER(INDEX(Inputs!$K$5:$AJ$190,0,MATCH(AK$2,Inputs!$K$4:$AJ$4,0))))=0,NA(),SUMPRODUCT((Inputs!$A$5:$A$190=$B53)*Inputs!$B$5:$B$190*(((Inputs!$G$5:$G$190="moeda")+(Inputs!$G$5:$G$190="acoes"))*Inputs!$B$1+((Inputs!$G$5:$G$190&lt;&gt;"moeda")*(Inputs!$G$5:$G$190&lt;&gt;"acoes")))*INDEX(Inputs!$K$5:$AJ$190,0,MATCH(AK$2,Inputs!$K$4:$AJ$4,0)))+SUMPRODUCT((Inputs!$C$5:$C$190=$B53)*Inputs!$D$5:$D$190*(((Inputs!$G$5:$G$190="moeda")+(Inputs!$G$5:$G$190="acoes"))*Inputs!$B$1+((Inputs!$G$5:$G$190&lt;&gt;"moeda")*(Inputs!$G$5:$G$190&lt;&gt;"acoes")))*INDEX(Inputs!$K$5:$AJ$190,0,MATCH(AK$2,Inputs!$K$4:$AJ$4,0)))+SUMPRODUCT((Inputs!$E$5:$E$190=$B53)*Inputs!$F$5:$F$190*(((Inputs!$G$5:$G$190="moeda")+(Inputs!$G$5:$G$190="acoes"))*Inputs!$B$1+((Inputs!$G$5:$G$190&lt;&gt;"moeda")*(Inputs!$G$5:$G$190&lt;&gt;"acoes")))*INDEX(Inputs!$K$5:$AJ$190,0,MATCH(AK$2,Inputs!$K$4:$AJ$4,0)))))</f>
        <v>2092.28125875245</v>
      </c>
      <c r="AL53" s="265">
        <f>SUM(AH53:AK53)</f>
        <v>6946.155</v>
      </c>
    </row>
    <row r="54">
      <c r="B54" s="46" t="n">
        <v>46</v>
      </c>
      <c r="C54" s="29" t="inlineStr">
        <is>
          <t>Receita liquida de construcao (Consolidado l.12; concessoes - ICPC 01)</t>
        </is>
      </c>
      <c r="D54" s="264">
        <f>IF(ISNA(MATCH(D$2,Inputs!$K$4:$AJ$4,0)),NA(),IF(SUMPRODUCT((Inputs!$A$5:$A$190=$B54)*ISNUMBER(INDEX(Inputs!$K$5:$AJ$190,0,MATCH(D$2,Inputs!$K$4:$AJ$4,0))))+SUMPRODUCT((Inputs!$C$5:$C$190=$B54)*ISNUMBER(INDEX(Inputs!$K$5:$AJ$190,0,MATCH(D$2,Inputs!$K$4:$AJ$4,0))))+SUMPRODUCT((Inputs!$E$5:$E$190=$B54)*ISNUMBER(INDEX(Inputs!$K$5:$AJ$190,0,MATCH(D$2,Inputs!$K$4:$AJ$4,0))))=0,NA(),SUMPRODUCT((Inputs!$A$5:$A$190=$B54)*Inputs!$B$5:$B$190*(((Inputs!$G$5:$G$190="moeda")+(Inputs!$G$5:$G$190="acoes"))*Inputs!$B$1+((Inputs!$G$5:$G$190&lt;&gt;"moeda")*(Inputs!$G$5:$G$190&lt;&gt;"acoes")))*INDEX(Inputs!$K$5:$AJ$190,0,MATCH(D$2,Inputs!$K$4:$AJ$4,0)))+SUMPRODUCT((Inputs!$C$5:$C$190=$B54)*Inputs!$D$5:$D$190*(((Inputs!$G$5:$G$190="moeda")+(Inputs!$G$5:$G$190="acoes"))*Inputs!$B$1+((Inputs!$G$5:$G$190&lt;&gt;"moeda")*(Inputs!$G$5:$G$190&lt;&gt;"acoes")))*INDEX(Inputs!$K$5:$AJ$190,0,MATCH(D$2,Inputs!$K$4:$AJ$4,0)))+SUMPRODUCT((Inputs!$E$5:$E$190=$B54)*Inputs!$F$5:$F$190*(((Inputs!$G$5:$G$190="moeda")+(Inputs!$G$5:$G$190="acoes"))*Inputs!$B$1+((Inputs!$G$5:$G$190&lt;&gt;"moeda")*(Inputs!$G$5:$G$190&lt;&gt;"acoes")))*INDEX(Inputs!$K$5:$AJ$190,0,MATCH(D$2,Inputs!$K$4:$AJ$4,0)))))</f>
        <v>0</v>
      </c>
      <c r="E54" s="264">
        <f>IF(ISNA(MATCH(E$2,Inputs!$K$4:$AJ$4,0)),NA(),IF(SUMPRODUCT((Inputs!$A$5:$A$190=$B54)*ISNUMBER(INDEX(Inputs!$K$5:$AJ$190,0,MATCH(E$2,Inputs!$K$4:$AJ$4,0))))+SUMPRODUCT((Inputs!$C$5:$C$190=$B54)*ISNUMBER(INDEX(Inputs!$K$5:$AJ$190,0,MATCH(E$2,Inputs!$K$4:$AJ$4,0))))+SUMPRODUCT((Inputs!$E$5:$E$190=$B54)*ISNUMBER(INDEX(Inputs!$K$5:$AJ$190,0,MATCH(E$2,Inputs!$K$4:$AJ$4,0))))=0,NA(),SUMPRODUCT((Inputs!$A$5:$A$190=$B54)*Inputs!$B$5:$B$190*(((Inputs!$G$5:$G$190="moeda")+(Inputs!$G$5:$G$190="acoes"))*Inputs!$B$1+((Inputs!$G$5:$G$190&lt;&gt;"moeda")*(Inputs!$G$5:$G$190&lt;&gt;"acoes")))*INDEX(Inputs!$K$5:$AJ$190,0,MATCH(E$2,Inputs!$K$4:$AJ$4,0)))+SUMPRODUCT((Inputs!$C$5:$C$190=$B54)*Inputs!$D$5:$D$190*(((Inputs!$G$5:$G$190="moeda")+(Inputs!$G$5:$G$190="acoes"))*Inputs!$B$1+((Inputs!$G$5:$G$190&lt;&gt;"moeda")*(Inputs!$G$5:$G$190&lt;&gt;"acoes")))*INDEX(Inputs!$K$5:$AJ$190,0,MATCH(E$2,Inputs!$K$4:$AJ$4,0)))+SUMPRODUCT((Inputs!$E$5:$E$190=$B54)*Inputs!$F$5:$F$190*(((Inputs!$G$5:$G$190="moeda")+(Inputs!$G$5:$G$190="acoes"))*Inputs!$B$1+((Inputs!$G$5:$G$190&lt;&gt;"moeda")*(Inputs!$G$5:$G$190&lt;&gt;"acoes")))*INDEX(Inputs!$K$5:$AJ$190,0,MATCH(E$2,Inputs!$K$4:$AJ$4,0)))))</f>
        <v>0</v>
      </c>
      <c r="F54" s="264">
        <f>IF(ISNA(MATCH(F$2,Inputs!$K$4:$AJ$4,0)),NA(),IF(SUMPRODUCT((Inputs!$A$5:$A$190=$B54)*ISNUMBER(INDEX(Inputs!$K$5:$AJ$190,0,MATCH(F$2,Inputs!$K$4:$AJ$4,0))))+SUMPRODUCT((Inputs!$C$5:$C$190=$B54)*ISNUMBER(INDEX(Inputs!$K$5:$AJ$190,0,MATCH(F$2,Inputs!$K$4:$AJ$4,0))))+SUMPRODUCT((Inputs!$E$5:$E$190=$B54)*ISNUMBER(INDEX(Inputs!$K$5:$AJ$190,0,MATCH(F$2,Inputs!$K$4:$AJ$4,0))))=0,NA(),SUMPRODUCT((Inputs!$A$5:$A$190=$B54)*Inputs!$B$5:$B$190*(((Inputs!$G$5:$G$190="moeda")+(Inputs!$G$5:$G$190="acoes"))*Inputs!$B$1+((Inputs!$G$5:$G$190&lt;&gt;"moeda")*(Inputs!$G$5:$G$190&lt;&gt;"acoes")))*INDEX(Inputs!$K$5:$AJ$190,0,MATCH(F$2,Inputs!$K$4:$AJ$4,0)))+SUMPRODUCT((Inputs!$C$5:$C$190=$B54)*Inputs!$D$5:$D$190*(((Inputs!$G$5:$G$190="moeda")+(Inputs!$G$5:$G$190="acoes"))*Inputs!$B$1+((Inputs!$G$5:$G$190&lt;&gt;"moeda")*(Inputs!$G$5:$G$190&lt;&gt;"acoes")))*INDEX(Inputs!$K$5:$AJ$190,0,MATCH(F$2,Inputs!$K$4:$AJ$4,0)))+SUMPRODUCT((Inputs!$E$5:$E$190=$B54)*Inputs!$F$5:$F$190*(((Inputs!$G$5:$G$190="moeda")+(Inputs!$G$5:$G$190="acoes"))*Inputs!$B$1+((Inputs!$G$5:$G$190&lt;&gt;"moeda")*(Inputs!$G$5:$G$190&lt;&gt;"acoes")))*INDEX(Inputs!$K$5:$AJ$190,0,MATCH(F$2,Inputs!$K$4:$AJ$4,0)))))</f>
        <v>0</v>
      </c>
      <c r="G54" s="264">
        <f>IF(ISNA(MATCH(G$2,Inputs!$K$4:$AJ$4,0)),NA(),IF(SUMPRODUCT((Inputs!$A$5:$A$190=$B54)*ISNUMBER(INDEX(Inputs!$K$5:$AJ$190,0,MATCH(G$2,Inputs!$K$4:$AJ$4,0))))+SUMPRODUCT((Inputs!$C$5:$C$190=$B54)*ISNUMBER(INDEX(Inputs!$K$5:$AJ$190,0,MATCH(G$2,Inputs!$K$4:$AJ$4,0))))+SUMPRODUCT((Inputs!$E$5:$E$190=$B54)*ISNUMBER(INDEX(Inputs!$K$5:$AJ$190,0,MATCH(G$2,Inputs!$K$4:$AJ$4,0))))=0,NA(),SUMPRODUCT((Inputs!$A$5:$A$190=$B54)*Inputs!$B$5:$B$190*(((Inputs!$G$5:$G$190="moeda")+(Inputs!$G$5:$G$190="acoes"))*Inputs!$B$1+((Inputs!$G$5:$G$190&lt;&gt;"moeda")*(Inputs!$G$5:$G$190&lt;&gt;"acoes")))*INDEX(Inputs!$K$5:$AJ$190,0,MATCH(G$2,Inputs!$K$4:$AJ$4,0)))+SUMPRODUCT((Inputs!$C$5:$C$190=$B54)*Inputs!$D$5:$D$190*(((Inputs!$G$5:$G$190="moeda")+(Inputs!$G$5:$G$190="acoes"))*Inputs!$B$1+((Inputs!$G$5:$G$190&lt;&gt;"moeda")*(Inputs!$G$5:$G$190&lt;&gt;"acoes")))*INDEX(Inputs!$K$5:$AJ$190,0,MATCH(G$2,Inputs!$K$4:$AJ$4,0)))+SUMPRODUCT((Inputs!$E$5:$E$190=$B54)*Inputs!$F$5:$F$190*(((Inputs!$G$5:$G$190="moeda")+(Inputs!$G$5:$G$190="acoes"))*Inputs!$B$1+((Inputs!$G$5:$G$190&lt;&gt;"moeda")*(Inputs!$G$5:$G$190&lt;&gt;"acoes")))*INDEX(Inputs!$K$5:$AJ$190,0,MATCH(G$2,Inputs!$K$4:$AJ$4,0)))))</f>
        <v>0</v>
      </c>
      <c r="H54" s="265">
        <f>SUM(D54:G54)</f>
        <v>0</v>
      </c>
      <c r="I54" s="264">
        <f>IF(ISNA(MATCH(I$2,Inputs!$K$4:$AJ$4,0)),NA(),IF(SUMPRODUCT((Inputs!$A$5:$A$190=$B54)*ISNUMBER(INDEX(Inputs!$K$5:$AJ$190,0,MATCH(I$2,Inputs!$K$4:$AJ$4,0))))+SUMPRODUCT((Inputs!$C$5:$C$190=$B54)*ISNUMBER(INDEX(Inputs!$K$5:$AJ$190,0,MATCH(I$2,Inputs!$K$4:$AJ$4,0))))+SUMPRODUCT((Inputs!$E$5:$E$190=$B54)*ISNUMBER(INDEX(Inputs!$K$5:$AJ$190,0,MATCH(I$2,Inputs!$K$4:$AJ$4,0))))=0,NA(),SUMPRODUCT((Inputs!$A$5:$A$190=$B54)*Inputs!$B$5:$B$190*(((Inputs!$G$5:$G$190="moeda")+(Inputs!$G$5:$G$190="acoes"))*Inputs!$B$1+((Inputs!$G$5:$G$190&lt;&gt;"moeda")*(Inputs!$G$5:$G$190&lt;&gt;"acoes")))*INDEX(Inputs!$K$5:$AJ$190,0,MATCH(I$2,Inputs!$K$4:$AJ$4,0)))+SUMPRODUCT((Inputs!$C$5:$C$190=$B54)*Inputs!$D$5:$D$190*(((Inputs!$G$5:$G$190="moeda")+(Inputs!$G$5:$G$190="acoes"))*Inputs!$B$1+((Inputs!$G$5:$G$190&lt;&gt;"moeda")*(Inputs!$G$5:$G$190&lt;&gt;"acoes")))*INDEX(Inputs!$K$5:$AJ$190,0,MATCH(I$2,Inputs!$K$4:$AJ$4,0)))+SUMPRODUCT((Inputs!$E$5:$E$190=$B54)*Inputs!$F$5:$F$190*(((Inputs!$G$5:$G$190="moeda")+(Inputs!$G$5:$G$190="acoes"))*Inputs!$B$1+((Inputs!$G$5:$G$190&lt;&gt;"moeda")*(Inputs!$G$5:$G$190&lt;&gt;"acoes")))*INDEX(Inputs!$K$5:$AJ$190,0,MATCH(I$2,Inputs!$K$4:$AJ$4,0)))))</f>
        <v>0</v>
      </c>
      <c r="J54" s="264">
        <f>IF(ISNA(MATCH(J$2,Inputs!$K$4:$AJ$4,0)),NA(),IF(SUMPRODUCT((Inputs!$A$5:$A$190=$B54)*ISNUMBER(INDEX(Inputs!$K$5:$AJ$190,0,MATCH(J$2,Inputs!$K$4:$AJ$4,0))))+SUMPRODUCT((Inputs!$C$5:$C$190=$B54)*ISNUMBER(INDEX(Inputs!$K$5:$AJ$190,0,MATCH(J$2,Inputs!$K$4:$AJ$4,0))))+SUMPRODUCT((Inputs!$E$5:$E$190=$B54)*ISNUMBER(INDEX(Inputs!$K$5:$AJ$190,0,MATCH(J$2,Inputs!$K$4:$AJ$4,0))))=0,NA(),SUMPRODUCT((Inputs!$A$5:$A$190=$B54)*Inputs!$B$5:$B$190*(((Inputs!$G$5:$G$190="moeda")+(Inputs!$G$5:$G$190="acoes"))*Inputs!$B$1+((Inputs!$G$5:$G$190&lt;&gt;"moeda")*(Inputs!$G$5:$G$190&lt;&gt;"acoes")))*INDEX(Inputs!$K$5:$AJ$190,0,MATCH(J$2,Inputs!$K$4:$AJ$4,0)))+SUMPRODUCT((Inputs!$C$5:$C$190=$B54)*Inputs!$D$5:$D$190*(((Inputs!$G$5:$G$190="moeda")+(Inputs!$G$5:$G$190="acoes"))*Inputs!$B$1+((Inputs!$G$5:$G$190&lt;&gt;"moeda")*(Inputs!$G$5:$G$190&lt;&gt;"acoes")))*INDEX(Inputs!$K$5:$AJ$190,0,MATCH(J$2,Inputs!$K$4:$AJ$4,0)))+SUMPRODUCT((Inputs!$E$5:$E$190=$B54)*Inputs!$F$5:$F$190*(((Inputs!$G$5:$G$190="moeda")+(Inputs!$G$5:$G$190="acoes"))*Inputs!$B$1+((Inputs!$G$5:$G$190&lt;&gt;"moeda")*(Inputs!$G$5:$G$190&lt;&gt;"acoes")))*INDEX(Inputs!$K$5:$AJ$190,0,MATCH(J$2,Inputs!$K$4:$AJ$4,0)))))</f>
        <v>0</v>
      </c>
      <c r="K54" s="264">
        <f>IF(ISNA(MATCH(K$2,Inputs!$K$4:$AJ$4,0)),NA(),IF(SUMPRODUCT((Inputs!$A$5:$A$190=$B54)*ISNUMBER(INDEX(Inputs!$K$5:$AJ$190,0,MATCH(K$2,Inputs!$K$4:$AJ$4,0))))+SUMPRODUCT((Inputs!$C$5:$C$190=$B54)*ISNUMBER(INDEX(Inputs!$K$5:$AJ$190,0,MATCH(K$2,Inputs!$K$4:$AJ$4,0))))+SUMPRODUCT((Inputs!$E$5:$E$190=$B54)*ISNUMBER(INDEX(Inputs!$K$5:$AJ$190,0,MATCH(K$2,Inputs!$K$4:$AJ$4,0))))=0,NA(),SUMPRODUCT((Inputs!$A$5:$A$190=$B54)*Inputs!$B$5:$B$190*(((Inputs!$G$5:$G$190="moeda")+(Inputs!$G$5:$G$190="acoes"))*Inputs!$B$1+((Inputs!$G$5:$G$190&lt;&gt;"moeda")*(Inputs!$G$5:$G$190&lt;&gt;"acoes")))*INDEX(Inputs!$K$5:$AJ$190,0,MATCH(K$2,Inputs!$K$4:$AJ$4,0)))+SUMPRODUCT((Inputs!$C$5:$C$190=$B54)*Inputs!$D$5:$D$190*(((Inputs!$G$5:$G$190="moeda")+(Inputs!$G$5:$G$190="acoes"))*Inputs!$B$1+((Inputs!$G$5:$G$190&lt;&gt;"moeda")*(Inputs!$G$5:$G$190&lt;&gt;"acoes")))*INDEX(Inputs!$K$5:$AJ$190,0,MATCH(K$2,Inputs!$K$4:$AJ$4,0)))+SUMPRODUCT((Inputs!$E$5:$E$190=$B54)*Inputs!$F$5:$F$190*(((Inputs!$G$5:$G$190="moeda")+(Inputs!$G$5:$G$190="acoes"))*Inputs!$B$1+((Inputs!$G$5:$G$190&lt;&gt;"moeda")*(Inputs!$G$5:$G$190&lt;&gt;"acoes")))*INDEX(Inputs!$K$5:$AJ$190,0,MATCH(K$2,Inputs!$K$4:$AJ$4,0)))))</f>
        <v>0</v>
      </c>
      <c r="L54" s="264">
        <f>IF(ISNA(MATCH(L$2,Inputs!$K$4:$AJ$4,0)),NA(),IF(SUMPRODUCT((Inputs!$A$5:$A$190=$B54)*ISNUMBER(INDEX(Inputs!$K$5:$AJ$190,0,MATCH(L$2,Inputs!$K$4:$AJ$4,0))))+SUMPRODUCT((Inputs!$C$5:$C$190=$B54)*ISNUMBER(INDEX(Inputs!$K$5:$AJ$190,0,MATCH(L$2,Inputs!$K$4:$AJ$4,0))))+SUMPRODUCT((Inputs!$E$5:$E$190=$B54)*ISNUMBER(INDEX(Inputs!$K$5:$AJ$190,0,MATCH(L$2,Inputs!$K$4:$AJ$4,0))))=0,NA(),SUMPRODUCT((Inputs!$A$5:$A$190=$B54)*Inputs!$B$5:$B$190*(((Inputs!$G$5:$G$190="moeda")+(Inputs!$G$5:$G$190="acoes"))*Inputs!$B$1+((Inputs!$G$5:$G$190&lt;&gt;"moeda")*(Inputs!$G$5:$G$190&lt;&gt;"acoes")))*INDEX(Inputs!$K$5:$AJ$190,0,MATCH(L$2,Inputs!$K$4:$AJ$4,0)))+SUMPRODUCT((Inputs!$C$5:$C$190=$B54)*Inputs!$D$5:$D$190*(((Inputs!$G$5:$G$190="moeda")+(Inputs!$G$5:$G$190="acoes"))*Inputs!$B$1+((Inputs!$G$5:$G$190&lt;&gt;"moeda")*(Inputs!$G$5:$G$190&lt;&gt;"acoes")))*INDEX(Inputs!$K$5:$AJ$190,0,MATCH(L$2,Inputs!$K$4:$AJ$4,0)))+SUMPRODUCT((Inputs!$E$5:$E$190=$B54)*Inputs!$F$5:$F$190*(((Inputs!$G$5:$G$190="moeda")+(Inputs!$G$5:$G$190="acoes"))*Inputs!$B$1+((Inputs!$G$5:$G$190&lt;&gt;"moeda")*(Inputs!$G$5:$G$190&lt;&gt;"acoes")))*INDEX(Inputs!$K$5:$AJ$190,0,MATCH(L$2,Inputs!$K$4:$AJ$4,0)))))</f>
        <v>0</v>
      </c>
      <c r="M54" s="265">
        <f>SUM(I54:L54)</f>
        <v>0</v>
      </c>
      <c r="N54" s="264">
        <f>IF(ISNA(MATCH(N$2,Inputs!$K$4:$AJ$4,0)),NA(),IF(SUMPRODUCT((Inputs!$A$5:$A$190=$B54)*ISNUMBER(INDEX(Inputs!$K$5:$AJ$190,0,MATCH(N$2,Inputs!$K$4:$AJ$4,0))))+SUMPRODUCT((Inputs!$C$5:$C$190=$B54)*ISNUMBER(INDEX(Inputs!$K$5:$AJ$190,0,MATCH(N$2,Inputs!$K$4:$AJ$4,0))))+SUMPRODUCT((Inputs!$E$5:$E$190=$B54)*ISNUMBER(INDEX(Inputs!$K$5:$AJ$190,0,MATCH(N$2,Inputs!$K$4:$AJ$4,0))))=0,NA(),SUMPRODUCT((Inputs!$A$5:$A$190=$B54)*Inputs!$B$5:$B$190*(((Inputs!$G$5:$G$190="moeda")+(Inputs!$G$5:$G$190="acoes"))*Inputs!$B$1+((Inputs!$G$5:$G$190&lt;&gt;"moeda")*(Inputs!$G$5:$G$190&lt;&gt;"acoes")))*INDEX(Inputs!$K$5:$AJ$190,0,MATCH(N$2,Inputs!$K$4:$AJ$4,0)))+SUMPRODUCT((Inputs!$C$5:$C$190=$B54)*Inputs!$D$5:$D$190*(((Inputs!$G$5:$G$190="moeda")+(Inputs!$G$5:$G$190="acoes"))*Inputs!$B$1+((Inputs!$G$5:$G$190&lt;&gt;"moeda")*(Inputs!$G$5:$G$190&lt;&gt;"acoes")))*INDEX(Inputs!$K$5:$AJ$190,0,MATCH(N$2,Inputs!$K$4:$AJ$4,0)))+SUMPRODUCT((Inputs!$E$5:$E$190=$B54)*Inputs!$F$5:$F$190*(((Inputs!$G$5:$G$190="moeda")+(Inputs!$G$5:$G$190="acoes"))*Inputs!$B$1+((Inputs!$G$5:$G$190&lt;&gt;"moeda")*(Inputs!$G$5:$G$190&lt;&gt;"acoes")))*INDEX(Inputs!$K$5:$AJ$190,0,MATCH(N$2,Inputs!$K$4:$AJ$4,0)))))</f>
        <v>14.31297656</v>
      </c>
      <c r="O54" s="264">
        <f>IF(ISNA(MATCH(O$2,Inputs!$K$4:$AJ$4,0)),NA(),IF(SUMPRODUCT((Inputs!$A$5:$A$190=$B54)*ISNUMBER(INDEX(Inputs!$K$5:$AJ$190,0,MATCH(O$2,Inputs!$K$4:$AJ$4,0))))+SUMPRODUCT((Inputs!$C$5:$C$190=$B54)*ISNUMBER(INDEX(Inputs!$K$5:$AJ$190,0,MATCH(O$2,Inputs!$K$4:$AJ$4,0))))+SUMPRODUCT((Inputs!$E$5:$E$190=$B54)*ISNUMBER(INDEX(Inputs!$K$5:$AJ$190,0,MATCH(O$2,Inputs!$K$4:$AJ$4,0))))=0,NA(),SUMPRODUCT((Inputs!$A$5:$A$190=$B54)*Inputs!$B$5:$B$190*(((Inputs!$G$5:$G$190="moeda")+(Inputs!$G$5:$G$190="acoes"))*Inputs!$B$1+((Inputs!$G$5:$G$190&lt;&gt;"moeda")*(Inputs!$G$5:$G$190&lt;&gt;"acoes")))*INDEX(Inputs!$K$5:$AJ$190,0,MATCH(O$2,Inputs!$K$4:$AJ$4,0)))+SUMPRODUCT((Inputs!$C$5:$C$190=$B54)*Inputs!$D$5:$D$190*(((Inputs!$G$5:$G$190="moeda")+(Inputs!$G$5:$G$190="acoes"))*Inputs!$B$1+((Inputs!$G$5:$G$190&lt;&gt;"moeda")*(Inputs!$G$5:$G$190&lt;&gt;"acoes")))*INDEX(Inputs!$K$5:$AJ$190,0,MATCH(O$2,Inputs!$K$4:$AJ$4,0)))+SUMPRODUCT((Inputs!$E$5:$E$190=$B54)*Inputs!$F$5:$F$190*(((Inputs!$G$5:$G$190="moeda")+(Inputs!$G$5:$G$190="acoes"))*Inputs!$B$1+((Inputs!$G$5:$G$190&lt;&gt;"moeda")*(Inputs!$G$5:$G$190&lt;&gt;"acoes")))*INDEX(Inputs!$K$5:$AJ$190,0,MATCH(O$2,Inputs!$K$4:$AJ$4,0)))))</f>
        <v>10.78748175</v>
      </c>
      <c r="P54" s="264">
        <f>IF(ISNA(MATCH(P$2,Inputs!$K$4:$AJ$4,0)),NA(),IF(SUMPRODUCT((Inputs!$A$5:$A$190=$B54)*ISNUMBER(INDEX(Inputs!$K$5:$AJ$190,0,MATCH(P$2,Inputs!$K$4:$AJ$4,0))))+SUMPRODUCT((Inputs!$C$5:$C$190=$B54)*ISNUMBER(INDEX(Inputs!$K$5:$AJ$190,0,MATCH(P$2,Inputs!$K$4:$AJ$4,0))))+SUMPRODUCT((Inputs!$E$5:$E$190=$B54)*ISNUMBER(INDEX(Inputs!$K$5:$AJ$190,0,MATCH(P$2,Inputs!$K$4:$AJ$4,0))))=0,NA(),SUMPRODUCT((Inputs!$A$5:$A$190=$B54)*Inputs!$B$5:$B$190*(((Inputs!$G$5:$G$190="moeda")+(Inputs!$G$5:$G$190="acoes"))*Inputs!$B$1+((Inputs!$G$5:$G$190&lt;&gt;"moeda")*(Inputs!$G$5:$G$190&lt;&gt;"acoes")))*INDEX(Inputs!$K$5:$AJ$190,0,MATCH(P$2,Inputs!$K$4:$AJ$4,0)))+SUMPRODUCT((Inputs!$C$5:$C$190=$B54)*Inputs!$D$5:$D$190*(((Inputs!$G$5:$G$190="moeda")+(Inputs!$G$5:$G$190="acoes"))*Inputs!$B$1+((Inputs!$G$5:$G$190&lt;&gt;"moeda")*(Inputs!$G$5:$G$190&lt;&gt;"acoes")))*INDEX(Inputs!$K$5:$AJ$190,0,MATCH(P$2,Inputs!$K$4:$AJ$4,0)))+SUMPRODUCT((Inputs!$E$5:$E$190=$B54)*Inputs!$F$5:$F$190*(((Inputs!$G$5:$G$190="moeda")+(Inputs!$G$5:$G$190="acoes"))*Inputs!$B$1+((Inputs!$G$5:$G$190&lt;&gt;"moeda")*(Inputs!$G$5:$G$190&lt;&gt;"acoes")))*INDEX(Inputs!$K$5:$AJ$190,0,MATCH(P$2,Inputs!$K$4:$AJ$4,0)))))</f>
        <v>57.52154169</v>
      </c>
      <c r="Q54" s="264">
        <f>IF(ISNA(MATCH(Q$2,Inputs!$K$4:$AJ$4,0)),NA(),IF(SUMPRODUCT((Inputs!$A$5:$A$190=$B54)*ISNUMBER(INDEX(Inputs!$K$5:$AJ$190,0,MATCH(Q$2,Inputs!$K$4:$AJ$4,0))))+SUMPRODUCT((Inputs!$C$5:$C$190=$B54)*ISNUMBER(INDEX(Inputs!$K$5:$AJ$190,0,MATCH(Q$2,Inputs!$K$4:$AJ$4,0))))+SUMPRODUCT((Inputs!$E$5:$E$190=$B54)*ISNUMBER(INDEX(Inputs!$K$5:$AJ$190,0,MATCH(Q$2,Inputs!$K$4:$AJ$4,0))))=0,NA(),SUMPRODUCT((Inputs!$A$5:$A$190=$B54)*Inputs!$B$5:$B$190*(((Inputs!$G$5:$G$190="moeda")+(Inputs!$G$5:$G$190="acoes"))*Inputs!$B$1+((Inputs!$G$5:$G$190&lt;&gt;"moeda")*(Inputs!$G$5:$G$190&lt;&gt;"acoes")))*INDEX(Inputs!$K$5:$AJ$190,0,MATCH(Q$2,Inputs!$K$4:$AJ$4,0)))+SUMPRODUCT((Inputs!$C$5:$C$190=$B54)*Inputs!$D$5:$D$190*(((Inputs!$G$5:$G$190="moeda")+(Inputs!$G$5:$G$190="acoes"))*Inputs!$B$1+((Inputs!$G$5:$G$190&lt;&gt;"moeda")*(Inputs!$G$5:$G$190&lt;&gt;"acoes")))*INDEX(Inputs!$K$5:$AJ$190,0,MATCH(Q$2,Inputs!$K$4:$AJ$4,0)))+SUMPRODUCT((Inputs!$E$5:$E$190=$B54)*Inputs!$F$5:$F$190*(((Inputs!$G$5:$G$190="moeda")+(Inputs!$G$5:$G$190="acoes"))*Inputs!$B$1+((Inputs!$G$5:$G$190&lt;&gt;"moeda")*(Inputs!$G$5:$G$190&lt;&gt;"acoes")))*INDEX(Inputs!$K$5:$AJ$190,0,MATCH(Q$2,Inputs!$K$4:$AJ$4,0)))))</f>
        <v>92.88488689</v>
      </c>
      <c r="R54" s="265">
        <f>SUM(N54:Q54)</f>
        <v>175.50688689</v>
      </c>
      <c r="S54" s="264">
        <f>IF(ISNA(MATCH(S$2,Inputs!$K$4:$AJ$4,0)),NA(),IF(SUMPRODUCT((Inputs!$A$5:$A$190=$B54)*ISNUMBER(INDEX(Inputs!$K$5:$AJ$190,0,MATCH(S$2,Inputs!$K$4:$AJ$4,0))))+SUMPRODUCT((Inputs!$C$5:$C$190=$B54)*ISNUMBER(INDEX(Inputs!$K$5:$AJ$190,0,MATCH(S$2,Inputs!$K$4:$AJ$4,0))))+SUMPRODUCT((Inputs!$E$5:$E$190=$B54)*ISNUMBER(INDEX(Inputs!$K$5:$AJ$190,0,MATCH(S$2,Inputs!$K$4:$AJ$4,0))))=0,NA(),SUMPRODUCT((Inputs!$A$5:$A$190=$B54)*Inputs!$B$5:$B$190*(((Inputs!$G$5:$G$190="moeda")+(Inputs!$G$5:$G$190="acoes"))*Inputs!$B$1+((Inputs!$G$5:$G$190&lt;&gt;"moeda")*(Inputs!$G$5:$G$190&lt;&gt;"acoes")))*INDEX(Inputs!$K$5:$AJ$190,0,MATCH(S$2,Inputs!$K$4:$AJ$4,0)))+SUMPRODUCT((Inputs!$C$5:$C$190=$B54)*Inputs!$D$5:$D$190*(((Inputs!$G$5:$G$190="moeda")+(Inputs!$G$5:$G$190="acoes"))*Inputs!$B$1+((Inputs!$G$5:$G$190&lt;&gt;"moeda")*(Inputs!$G$5:$G$190&lt;&gt;"acoes")))*INDEX(Inputs!$K$5:$AJ$190,0,MATCH(S$2,Inputs!$K$4:$AJ$4,0)))+SUMPRODUCT((Inputs!$E$5:$E$190=$B54)*Inputs!$F$5:$F$190*(((Inputs!$G$5:$G$190="moeda")+(Inputs!$G$5:$G$190="acoes"))*Inputs!$B$1+((Inputs!$G$5:$G$190&lt;&gt;"moeda")*(Inputs!$G$5:$G$190&lt;&gt;"acoes")))*INDEX(Inputs!$K$5:$AJ$190,0,MATCH(S$2,Inputs!$K$4:$AJ$4,0)))))</f>
        <v>118.30826324</v>
      </c>
      <c r="T54" s="264">
        <f>IF(ISNA(MATCH(T$2,Inputs!$K$4:$AJ$4,0)),NA(),IF(SUMPRODUCT((Inputs!$A$5:$A$190=$B54)*ISNUMBER(INDEX(Inputs!$K$5:$AJ$190,0,MATCH(T$2,Inputs!$K$4:$AJ$4,0))))+SUMPRODUCT((Inputs!$C$5:$C$190=$B54)*ISNUMBER(INDEX(Inputs!$K$5:$AJ$190,0,MATCH(T$2,Inputs!$K$4:$AJ$4,0))))+SUMPRODUCT((Inputs!$E$5:$E$190=$B54)*ISNUMBER(INDEX(Inputs!$K$5:$AJ$190,0,MATCH(T$2,Inputs!$K$4:$AJ$4,0))))=0,NA(),SUMPRODUCT((Inputs!$A$5:$A$190=$B54)*Inputs!$B$5:$B$190*(((Inputs!$G$5:$G$190="moeda")+(Inputs!$G$5:$G$190="acoes"))*Inputs!$B$1+((Inputs!$G$5:$G$190&lt;&gt;"moeda")*(Inputs!$G$5:$G$190&lt;&gt;"acoes")))*INDEX(Inputs!$K$5:$AJ$190,0,MATCH(T$2,Inputs!$K$4:$AJ$4,0)))+SUMPRODUCT((Inputs!$C$5:$C$190=$B54)*Inputs!$D$5:$D$190*(((Inputs!$G$5:$G$190="moeda")+(Inputs!$G$5:$G$190="acoes"))*Inputs!$B$1+((Inputs!$G$5:$G$190&lt;&gt;"moeda")*(Inputs!$G$5:$G$190&lt;&gt;"acoes")))*INDEX(Inputs!$K$5:$AJ$190,0,MATCH(T$2,Inputs!$K$4:$AJ$4,0)))+SUMPRODUCT((Inputs!$E$5:$E$190=$B54)*Inputs!$F$5:$F$190*(((Inputs!$G$5:$G$190="moeda")+(Inputs!$G$5:$G$190="acoes"))*Inputs!$B$1+((Inputs!$G$5:$G$190&lt;&gt;"moeda")*(Inputs!$G$5:$G$190&lt;&gt;"acoes")))*INDEX(Inputs!$K$5:$AJ$190,0,MATCH(T$2,Inputs!$K$4:$AJ$4,0)))))</f>
        <v>223.03071139</v>
      </c>
      <c r="U54" s="264">
        <f>IF(ISNA(MATCH(U$2,Inputs!$K$4:$AJ$4,0)),NA(),IF(SUMPRODUCT((Inputs!$A$5:$A$190=$B54)*ISNUMBER(INDEX(Inputs!$K$5:$AJ$190,0,MATCH(U$2,Inputs!$K$4:$AJ$4,0))))+SUMPRODUCT((Inputs!$C$5:$C$190=$B54)*ISNUMBER(INDEX(Inputs!$K$5:$AJ$190,0,MATCH(U$2,Inputs!$K$4:$AJ$4,0))))+SUMPRODUCT((Inputs!$E$5:$E$190=$B54)*ISNUMBER(INDEX(Inputs!$K$5:$AJ$190,0,MATCH(U$2,Inputs!$K$4:$AJ$4,0))))=0,NA(),SUMPRODUCT((Inputs!$A$5:$A$190=$B54)*Inputs!$B$5:$B$190*(((Inputs!$G$5:$G$190="moeda")+(Inputs!$G$5:$G$190="acoes"))*Inputs!$B$1+((Inputs!$G$5:$G$190&lt;&gt;"moeda")*(Inputs!$G$5:$G$190&lt;&gt;"acoes")))*INDEX(Inputs!$K$5:$AJ$190,0,MATCH(U$2,Inputs!$K$4:$AJ$4,0)))+SUMPRODUCT((Inputs!$C$5:$C$190=$B54)*Inputs!$D$5:$D$190*(((Inputs!$G$5:$G$190="moeda")+(Inputs!$G$5:$G$190="acoes"))*Inputs!$B$1+((Inputs!$G$5:$G$190&lt;&gt;"moeda")*(Inputs!$G$5:$G$190&lt;&gt;"acoes")))*INDEX(Inputs!$K$5:$AJ$190,0,MATCH(U$2,Inputs!$K$4:$AJ$4,0)))+SUMPRODUCT((Inputs!$E$5:$E$190=$B54)*Inputs!$F$5:$F$190*(((Inputs!$G$5:$G$190="moeda")+(Inputs!$G$5:$G$190="acoes"))*Inputs!$B$1+((Inputs!$G$5:$G$190&lt;&gt;"moeda")*(Inputs!$G$5:$G$190&lt;&gt;"acoes")))*INDEX(Inputs!$K$5:$AJ$190,0,MATCH(U$2,Inputs!$K$4:$AJ$4,0)))))</f>
        <v>167.64889649</v>
      </c>
      <c r="V54" s="264">
        <f>IF(ISNA(MATCH(V$2,Inputs!$K$4:$AJ$4,0)),NA(),IF(SUMPRODUCT((Inputs!$A$5:$A$190=$B54)*ISNUMBER(INDEX(Inputs!$K$5:$AJ$190,0,MATCH(V$2,Inputs!$K$4:$AJ$4,0))))+SUMPRODUCT((Inputs!$C$5:$C$190=$B54)*ISNUMBER(INDEX(Inputs!$K$5:$AJ$190,0,MATCH(V$2,Inputs!$K$4:$AJ$4,0))))+SUMPRODUCT((Inputs!$E$5:$E$190=$B54)*ISNUMBER(INDEX(Inputs!$K$5:$AJ$190,0,MATCH(V$2,Inputs!$K$4:$AJ$4,0))))=0,NA(),SUMPRODUCT((Inputs!$A$5:$A$190=$B54)*Inputs!$B$5:$B$190*(((Inputs!$G$5:$G$190="moeda")+(Inputs!$G$5:$G$190="acoes"))*Inputs!$B$1+((Inputs!$G$5:$G$190&lt;&gt;"moeda")*(Inputs!$G$5:$G$190&lt;&gt;"acoes")))*INDEX(Inputs!$K$5:$AJ$190,0,MATCH(V$2,Inputs!$K$4:$AJ$4,0)))+SUMPRODUCT((Inputs!$C$5:$C$190=$B54)*Inputs!$D$5:$D$190*(((Inputs!$G$5:$G$190="moeda")+(Inputs!$G$5:$G$190="acoes"))*Inputs!$B$1+((Inputs!$G$5:$G$190&lt;&gt;"moeda")*(Inputs!$G$5:$G$190&lt;&gt;"acoes")))*INDEX(Inputs!$K$5:$AJ$190,0,MATCH(V$2,Inputs!$K$4:$AJ$4,0)))+SUMPRODUCT((Inputs!$E$5:$E$190=$B54)*Inputs!$F$5:$F$190*(((Inputs!$G$5:$G$190="moeda")+(Inputs!$G$5:$G$190="acoes"))*Inputs!$B$1+((Inputs!$G$5:$G$190&lt;&gt;"moeda")*(Inputs!$G$5:$G$190&lt;&gt;"acoes")))*INDEX(Inputs!$K$5:$AJ$190,0,MATCH(V$2,Inputs!$K$4:$AJ$4,0)))))</f>
        <v>209.16669777</v>
      </c>
      <c r="W54" s="265">
        <f>SUM(S54:V54)</f>
        <v>718.15456889</v>
      </c>
      <c r="X54" s="264">
        <f>IF(ISNA(MATCH(X$2,Inputs!$K$4:$AJ$4,0)),NA(),IF(SUMPRODUCT((Inputs!$A$5:$A$190=$B54)*ISNUMBER(INDEX(Inputs!$K$5:$AJ$190,0,MATCH(X$2,Inputs!$K$4:$AJ$4,0))))+SUMPRODUCT((Inputs!$C$5:$C$190=$B54)*ISNUMBER(INDEX(Inputs!$K$5:$AJ$190,0,MATCH(X$2,Inputs!$K$4:$AJ$4,0))))+SUMPRODUCT((Inputs!$E$5:$E$190=$B54)*ISNUMBER(INDEX(Inputs!$K$5:$AJ$190,0,MATCH(X$2,Inputs!$K$4:$AJ$4,0))))=0,NA(),SUMPRODUCT((Inputs!$A$5:$A$190=$B54)*Inputs!$B$5:$B$190*(((Inputs!$G$5:$G$190="moeda")+(Inputs!$G$5:$G$190="acoes"))*Inputs!$B$1+((Inputs!$G$5:$G$190&lt;&gt;"moeda")*(Inputs!$G$5:$G$190&lt;&gt;"acoes")))*INDEX(Inputs!$K$5:$AJ$190,0,MATCH(X$2,Inputs!$K$4:$AJ$4,0)))+SUMPRODUCT((Inputs!$C$5:$C$190=$B54)*Inputs!$D$5:$D$190*(((Inputs!$G$5:$G$190="moeda")+(Inputs!$G$5:$G$190="acoes"))*Inputs!$B$1+((Inputs!$G$5:$G$190&lt;&gt;"moeda")*(Inputs!$G$5:$G$190&lt;&gt;"acoes")))*INDEX(Inputs!$K$5:$AJ$190,0,MATCH(X$2,Inputs!$K$4:$AJ$4,0)))+SUMPRODUCT((Inputs!$E$5:$E$190=$B54)*Inputs!$F$5:$F$190*(((Inputs!$G$5:$G$190="moeda")+(Inputs!$G$5:$G$190="acoes"))*Inputs!$B$1+((Inputs!$G$5:$G$190&lt;&gt;"moeda")*(Inputs!$G$5:$G$190&lt;&gt;"acoes")))*INDEX(Inputs!$K$5:$AJ$190,0,MATCH(X$2,Inputs!$K$4:$AJ$4,0)))))</f>
        <v>20.00911337</v>
      </c>
      <c r="Y54" s="264">
        <f>IF(ISNA(MATCH(Y$2,Inputs!$K$4:$AJ$4,0)),NA(),IF(SUMPRODUCT((Inputs!$A$5:$A$190=$B54)*ISNUMBER(INDEX(Inputs!$K$5:$AJ$190,0,MATCH(Y$2,Inputs!$K$4:$AJ$4,0))))+SUMPRODUCT((Inputs!$C$5:$C$190=$B54)*ISNUMBER(INDEX(Inputs!$K$5:$AJ$190,0,MATCH(Y$2,Inputs!$K$4:$AJ$4,0))))+SUMPRODUCT((Inputs!$E$5:$E$190=$B54)*ISNUMBER(INDEX(Inputs!$K$5:$AJ$190,0,MATCH(Y$2,Inputs!$K$4:$AJ$4,0))))=0,NA(),SUMPRODUCT((Inputs!$A$5:$A$190=$B54)*Inputs!$B$5:$B$190*(((Inputs!$G$5:$G$190="moeda")+(Inputs!$G$5:$G$190="acoes"))*Inputs!$B$1+((Inputs!$G$5:$G$190&lt;&gt;"moeda")*(Inputs!$G$5:$G$190&lt;&gt;"acoes")))*INDEX(Inputs!$K$5:$AJ$190,0,MATCH(Y$2,Inputs!$K$4:$AJ$4,0)))+SUMPRODUCT((Inputs!$C$5:$C$190=$B54)*Inputs!$D$5:$D$190*(((Inputs!$G$5:$G$190="moeda")+(Inputs!$G$5:$G$190="acoes"))*Inputs!$B$1+((Inputs!$G$5:$G$190&lt;&gt;"moeda")*(Inputs!$G$5:$G$190&lt;&gt;"acoes")))*INDEX(Inputs!$K$5:$AJ$190,0,MATCH(Y$2,Inputs!$K$4:$AJ$4,0)))+SUMPRODUCT((Inputs!$E$5:$E$190=$B54)*Inputs!$F$5:$F$190*(((Inputs!$G$5:$G$190="moeda")+(Inputs!$G$5:$G$190="acoes"))*Inputs!$B$1+((Inputs!$G$5:$G$190&lt;&gt;"moeda")*(Inputs!$G$5:$G$190&lt;&gt;"acoes")))*INDEX(Inputs!$K$5:$AJ$190,0,MATCH(Y$2,Inputs!$K$4:$AJ$4,0)))))</f>
        <v>15.23778054</v>
      </c>
      <c r="Z54" s="264">
        <f>IF(ISNA(MATCH(Z$2,Inputs!$K$4:$AJ$4,0)),NA(),IF(SUMPRODUCT((Inputs!$A$5:$A$190=$B54)*ISNUMBER(INDEX(Inputs!$K$5:$AJ$190,0,MATCH(Z$2,Inputs!$K$4:$AJ$4,0))))+SUMPRODUCT((Inputs!$C$5:$C$190=$B54)*ISNUMBER(INDEX(Inputs!$K$5:$AJ$190,0,MATCH(Z$2,Inputs!$K$4:$AJ$4,0))))+SUMPRODUCT((Inputs!$E$5:$E$190=$B54)*ISNUMBER(INDEX(Inputs!$K$5:$AJ$190,0,MATCH(Z$2,Inputs!$K$4:$AJ$4,0))))=0,NA(),SUMPRODUCT((Inputs!$A$5:$A$190=$B54)*Inputs!$B$5:$B$190*(((Inputs!$G$5:$G$190="moeda")+(Inputs!$G$5:$G$190="acoes"))*Inputs!$B$1+((Inputs!$G$5:$G$190&lt;&gt;"moeda")*(Inputs!$G$5:$G$190&lt;&gt;"acoes")))*INDEX(Inputs!$K$5:$AJ$190,0,MATCH(Z$2,Inputs!$K$4:$AJ$4,0)))+SUMPRODUCT((Inputs!$C$5:$C$190=$B54)*Inputs!$D$5:$D$190*(((Inputs!$G$5:$G$190="moeda")+(Inputs!$G$5:$G$190="acoes"))*Inputs!$B$1+((Inputs!$G$5:$G$190&lt;&gt;"moeda")*(Inputs!$G$5:$G$190&lt;&gt;"acoes")))*INDEX(Inputs!$K$5:$AJ$190,0,MATCH(Z$2,Inputs!$K$4:$AJ$4,0)))+SUMPRODUCT((Inputs!$E$5:$E$190=$B54)*Inputs!$F$5:$F$190*(((Inputs!$G$5:$G$190="moeda")+(Inputs!$G$5:$G$190="acoes"))*Inputs!$B$1+((Inputs!$G$5:$G$190&lt;&gt;"moeda")*(Inputs!$G$5:$G$190&lt;&gt;"acoes")))*INDEX(Inputs!$K$5:$AJ$190,0,MATCH(Z$2,Inputs!$K$4:$AJ$4,0)))))</f>
        <v>39.48876117</v>
      </c>
      <c r="AA54" s="264">
        <f>IF(ISNA(MATCH(AA$2,Inputs!$K$4:$AJ$4,0)),NA(),IF(SUMPRODUCT((Inputs!$A$5:$A$190=$B54)*ISNUMBER(INDEX(Inputs!$K$5:$AJ$190,0,MATCH(AA$2,Inputs!$K$4:$AJ$4,0))))+SUMPRODUCT((Inputs!$C$5:$C$190=$B54)*ISNUMBER(INDEX(Inputs!$K$5:$AJ$190,0,MATCH(AA$2,Inputs!$K$4:$AJ$4,0))))+SUMPRODUCT((Inputs!$E$5:$E$190=$B54)*ISNUMBER(INDEX(Inputs!$K$5:$AJ$190,0,MATCH(AA$2,Inputs!$K$4:$AJ$4,0))))=0,NA(),SUMPRODUCT((Inputs!$A$5:$A$190=$B54)*Inputs!$B$5:$B$190*(((Inputs!$G$5:$G$190="moeda")+(Inputs!$G$5:$G$190="acoes"))*Inputs!$B$1+((Inputs!$G$5:$G$190&lt;&gt;"moeda")*(Inputs!$G$5:$G$190&lt;&gt;"acoes")))*INDEX(Inputs!$K$5:$AJ$190,0,MATCH(AA$2,Inputs!$K$4:$AJ$4,0)))+SUMPRODUCT((Inputs!$C$5:$C$190=$B54)*Inputs!$D$5:$D$190*(((Inputs!$G$5:$G$190="moeda")+(Inputs!$G$5:$G$190="acoes"))*Inputs!$B$1+((Inputs!$G$5:$G$190&lt;&gt;"moeda")*(Inputs!$G$5:$G$190&lt;&gt;"acoes")))*INDEX(Inputs!$K$5:$AJ$190,0,MATCH(AA$2,Inputs!$K$4:$AJ$4,0)))+SUMPRODUCT((Inputs!$E$5:$E$190=$B54)*Inputs!$F$5:$F$190*(((Inputs!$G$5:$G$190="moeda")+(Inputs!$G$5:$G$190="acoes"))*Inputs!$B$1+((Inputs!$G$5:$G$190&lt;&gt;"moeda")*(Inputs!$G$5:$G$190&lt;&gt;"acoes")))*INDEX(Inputs!$K$5:$AJ$190,0,MATCH(AA$2,Inputs!$K$4:$AJ$4,0)))))</f>
        <v>61.19585187</v>
      </c>
      <c r="AB54" s="265">
        <f>SUM(X54:AA54)</f>
        <v>135.93150695</v>
      </c>
      <c r="AC54" s="264">
        <f>IF(ISNA(MATCH(AC$2,Inputs!$K$4:$AJ$4,0)),NA(),IF(SUMPRODUCT((Inputs!$A$5:$A$190=$B54)*ISNUMBER(INDEX(Inputs!$K$5:$AJ$190,0,MATCH(AC$2,Inputs!$K$4:$AJ$4,0))))+SUMPRODUCT((Inputs!$C$5:$C$190=$B54)*ISNUMBER(INDEX(Inputs!$K$5:$AJ$190,0,MATCH(AC$2,Inputs!$K$4:$AJ$4,0))))+SUMPRODUCT((Inputs!$E$5:$E$190=$B54)*ISNUMBER(INDEX(Inputs!$K$5:$AJ$190,0,MATCH(AC$2,Inputs!$K$4:$AJ$4,0))))=0,NA(),SUMPRODUCT((Inputs!$A$5:$A$190=$B54)*Inputs!$B$5:$B$190*(((Inputs!$G$5:$G$190="moeda")+(Inputs!$G$5:$G$190="acoes"))*Inputs!$B$1+((Inputs!$G$5:$G$190&lt;&gt;"moeda")*(Inputs!$G$5:$G$190&lt;&gt;"acoes")))*INDEX(Inputs!$K$5:$AJ$190,0,MATCH(AC$2,Inputs!$K$4:$AJ$4,0)))+SUMPRODUCT((Inputs!$C$5:$C$190=$B54)*Inputs!$D$5:$D$190*(((Inputs!$G$5:$G$190="moeda")+(Inputs!$G$5:$G$190="acoes"))*Inputs!$B$1+((Inputs!$G$5:$G$190&lt;&gt;"moeda")*(Inputs!$G$5:$G$190&lt;&gt;"acoes")))*INDEX(Inputs!$K$5:$AJ$190,0,MATCH(AC$2,Inputs!$K$4:$AJ$4,0)))+SUMPRODUCT((Inputs!$E$5:$E$190=$B54)*Inputs!$F$5:$F$190*(((Inputs!$G$5:$G$190="moeda")+(Inputs!$G$5:$G$190="acoes"))*Inputs!$B$1+((Inputs!$G$5:$G$190&lt;&gt;"moeda")*(Inputs!$G$5:$G$190&lt;&gt;"acoes")))*INDEX(Inputs!$K$5:$AJ$190,0,MATCH(AC$2,Inputs!$K$4:$AJ$4,0)))))</f>
        <v>49.96972591</v>
      </c>
      <c r="AD54" s="264">
        <f>IF(ISNA(MATCH(AD$2,Inputs!$K$4:$AJ$4,0)),NA(),IF(SUMPRODUCT((Inputs!$A$5:$A$190=$B54)*ISNUMBER(INDEX(Inputs!$K$5:$AJ$190,0,MATCH(AD$2,Inputs!$K$4:$AJ$4,0))))+SUMPRODUCT((Inputs!$C$5:$C$190=$B54)*ISNUMBER(INDEX(Inputs!$K$5:$AJ$190,0,MATCH(AD$2,Inputs!$K$4:$AJ$4,0))))+SUMPRODUCT((Inputs!$E$5:$E$190=$B54)*ISNUMBER(INDEX(Inputs!$K$5:$AJ$190,0,MATCH(AD$2,Inputs!$K$4:$AJ$4,0))))=0,NA(),SUMPRODUCT((Inputs!$A$5:$A$190=$B54)*Inputs!$B$5:$B$190*(((Inputs!$G$5:$G$190="moeda")+(Inputs!$G$5:$G$190="acoes"))*Inputs!$B$1+((Inputs!$G$5:$G$190&lt;&gt;"moeda")*(Inputs!$G$5:$G$190&lt;&gt;"acoes")))*INDEX(Inputs!$K$5:$AJ$190,0,MATCH(AD$2,Inputs!$K$4:$AJ$4,0)))+SUMPRODUCT((Inputs!$C$5:$C$190=$B54)*Inputs!$D$5:$D$190*(((Inputs!$G$5:$G$190="moeda")+(Inputs!$G$5:$G$190="acoes"))*Inputs!$B$1+((Inputs!$G$5:$G$190&lt;&gt;"moeda")*(Inputs!$G$5:$G$190&lt;&gt;"acoes")))*INDEX(Inputs!$K$5:$AJ$190,0,MATCH(AD$2,Inputs!$K$4:$AJ$4,0)))+SUMPRODUCT((Inputs!$E$5:$E$190=$B54)*Inputs!$F$5:$F$190*(((Inputs!$G$5:$G$190="moeda")+(Inputs!$G$5:$G$190="acoes"))*Inputs!$B$1+((Inputs!$G$5:$G$190&lt;&gt;"moeda")*(Inputs!$G$5:$G$190&lt;&gt;"acoes")))*INDEX(Inputs!$K$5:$AJ$190,0,MATCH(AD$2,Inputs!$K$4:$AJ$4,0)))))</f>
        <v>89.11833869</v>
      </c>
      <c r="AE54" s="264" t="e">
        <f>IF(ISNA(MATCH(AE$2,Inputs!$K$4:$AJ$4,0)),NA(),IF(SUMPRODUCT((Inputs!$A$5:$A$190=$B54)*ISNUMBER(INDEX(Inputs!$K$5:$AJ$190,0,MATCH(AE$2,Inputs!$K$4:$AJ$4,0))))+SUMPRODUCT((Inputs!$C$5:$C$190=$B54)*ISNUMBER(INDEX(Inputs!$K$5:$AJ$190,0,MATCH(AE$2,Inputs!$K$4:$AJ$4,0))))+SUMPRODUCT((Inputs!$E$5:$E$190=$B54)*ISNUMBER(INDEX(Inputs!$K$5:$AJ$190,0,MATCH(AE$2,Inputs!$K$4:$AJ$4,0))))=0,NA(),SUMPRODUCT((Inputs!$A$5:$A$190=$B54)*Inputs!$B$5:$B$190*(((Inputs!$G$5:$G$190="moeda")+(Inputs!$G$5:$G$190="acoes"))*Inputs!$B$1+((Inputs!$G$5:$G$190&lt;&gt;"moeda")*(Inputs!$G$5:$G$190&lt;&gt;"acoes")))*INDEX(Inputs!$K$5:$AJ$190,0,MATCH(AE$2,Inputs!$K$4:$AJ$4,0)))+SUMPRODUCT((Inputs!$C$5:$C$190=$B54)*Inputs!$D$5:$D$190*(((Inputs!$G$5:$G$190="moeda")+(Inputs!$G$5:$G$190="acoes"))*Inputs!$B$1+((Inputs!$G$5:$G$190&lt;&gt;"moeda")*(Inputs!$G$5:$G$190&lt;&gt;"acoes")))*INDEX(Inputs!$K$5:$AJ$190,0,MATCH(AE$2,Inputs!$K$4:$AJ$4,0)))+SUMPRODUCT((Inputs!$E$5:$E$190=$B54)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54" s="264" t="e">
        <f>IF(ISNA(MATCH(AF$2,Inputs!$K$4:$AJ$4,0)),NA(),IF(SUMPRODUCT((Inputs!$A$5:$A$190=$B54)*ISNUMBER(INDEX(Inputs!$K$5:$AJ$190,0,MATCH(AF$2,Inputs!$K$4:$AJ$4,0))))+SUMPRODUCT((Inputs!$C$5:$C$190=$B54)*ISNUMBER(INDEX(Inputs!$K$5:$AJ$190,0,MATCH(AF$2,Inputs!$K$4:$AJ$4,0))))+SUMPRODUCT((Inputs!$E$5:$E$190=$B54)*ISNUMBER(INDEX(Inputs!$K$5:$AJ$190,0,MATCH(AF$2,Inputs!$K$4:$AJ$4,0))))=0,NA(),SUMPRODUCT((Inputs!$A$5:$A$190=$B54)*Inputs!$B$5:$B$190*(((Inputs!$G$5:$G$190="moeda")+(Inputs!$G$5:$G$190="acoes"))*Inputs!$B$1+((Inputs!$G$5:$G$190&lt;&gt;"moeda")*(Inputs!$G$5:$G$190&lt;&gt;"acoes")))*INDEX(Inputs!$K$5:$AJ$190,0,MATCH(AF$2,Inputs!$K$4:$AJ$4,0)))+SUMPRODUCT((Inputs!$C$5:$C$190=$B54)*Inputs!$D$5:$D$190*(((Inputs!$G$5:$G$190="moeda")+(Inputs!$G$5:$G$190="acoes"))*Inputs!$B$1+((Inputs!$G$5:$G$190&lt;&gt;"moeda")*(Inputs!$G$5:$G$190&lt;&gt;"acoes")))*INDEX(Inputs!$K$5:$AJ$190,0,MATCH(AF$2,Inputs!$K$4:$AJ$4,0)))+SUMPRODUCT((Inputs!$E$5:$E$190=$B54)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54" s="265" t="e">
        <f>SUM(AC54:AF54)</f>
        <v>#N/A</v>
      </c>
      <c r="AH54" s="264">
        <f>IF(ISNA(MATCH(AH$2,Inputs!$K$4:$AJ$4,0)),NA(),IF(SUMPRODUCT((Inputs!$A$5:$A$190=$B54)*ISNUMBER(INDEX(Inputs!$K$5:$AJ$190,0,MATCH(AH$2,Inputs!$K$4:$AJ$4,0))))+SUMPRODUCT((Inputs!$C$5:$C$190=$B54)*ISNUMBER(INDEX(Inputs!$K$5:$AJ$190,0,MATCH(AH$2,Inputs!$K$4:$AJ$4,0))))+SUMPRODUCT((Inputs!$E$5:$E$190=$B54)*ISNUMBER(INDEX(Inputs!$K$5:$AJ$190,0,MATCH(AH$2,Inputs!$K$4:$AJ$4,0))))=0,NA(),SUMPRODUCT((Inputs!$A$5:$A$190=$B54)*Inputs!$B$5:$B$190*(((Inputs!$G$5:$G$190="moeda")+(Inputs!$G$5:$G$190="acoes"))*Inputs!$B$1+((Inputs!$G$5:$G$190&lt;&gt;"moeda")*(Inputs!$G$5:$G$190&lt;&gt;"acoes")))*INDEX(Inputs!$K$5:$AJ$190,0,MATCH(AH$2,Inputs!$K$4:$AJ$4,0)))+SUMPRODUCT((Inputs!$C$5:$C$190=$B54)*Inputs!$D$5:$D$190*(((Inputs!$G$5:$G$190="moeda")+(Inputs!$G$5:$G$190="acoes"))*Inputs!$B$1+((Inputs!$G$5:$G$190&lt;&gt;"moeda")*(Inputs!$G$5:$G$190&lt;&gt;"acoes")))*INDEX(Inputs!$K$5:$AJ$190,0,MATCH(AH$2,Inputs!$K$4:$AJ$4,0)))+SUMPRODUCT((Inputs!$E$5:$E$190=$B54)*Inputs!$F$5:$F$190*(((Inputs!$G$5:$G$190="moeda")+(Inputs!$G$5:$G$190="acoes"))*Inputs!$B$1+((Inputs!$G$5:$G$190&lt;&gt;"moeda")*(Inputs!$G$5:$G$190&lt;&gt;"acoes")))*INDEX(Inputs!$K$5:$AJ$190,0,MATCH(AH$2,Inputs!$K$4:$AJ$4,0)))))</f>
        <v>0</v>
      </c>
      <c r="AI54" s="264">
        <f>IF(ISNA(MATCH(AI$2,Inputs!$K$4:$AJ$4,0)),NA(),IF(SUMPRODUCT((Inputs!$A$5:$A$190=$B54)*ISNUMBER(INDEX(Inputs!$K$5:$AJ$190,0,MATCH(AI$2,Inputs!$K$4:$AJ$4,0))))+SUMPRODUCT((Inputs!$C$5:$C$190=$B54)*ISNUMBER(INDEX(Inputs!$K$5:$AJ$190,0,MATCH(AI$2,Inputs!$K$4:$AJ$4,0))))+SUMPRODUCT((Inputs!$E$5:$E$190=$B54)*ISNUMBER(INDEX(Inputs!$K$5:$AJ$190,0,MATCH(AI$2,Inputs!$K$4:$AJ$4,0))))=0,NA(),SUMPRODUCT((Inputs!$A$5:$A$190=$B54)*Inputs!$B$5:$B$190*(((Inputs!$G$5:$G$190="moeda")+(Inputs!$G$5:$G$190="acoes"))*Inputs!$B$1+((Inputs!$G$5:$G$190&lt;&gt;"moeda")*(Inputs!$G$5:$G$190&lt;&gt;"acoes")))*INDEX(Inputs!$K$5:$AJ$190,0,MATCH(AI$2,Inputs!$K$4:$AJ$4,0)))+SUMPRODUCT((Inputs!$C$5:$C$190=$B54)*Inputs!$D$5:$D$190*(((Inputs!$G$5:$G$190="moeda")+(Inputs!$G$5:$G$190="acoes"))*Inputs!$B$1+((Inputs!$G$5:$G$190&lt;&gt;"moeda")*(Inputs!$G$5:$G$190&lt;&gt;"acoes")))*INDEX(Inputs!$K$5:$AJ$190,0,MATCH(AI$2,Inputs!$K$4:$AJ$4,0)))+SUMPRODUCT((Inputs!$E$5:$E$190=$B54)*Inputs!$F$5:$F$190*(((Inputs!$G$5:$G$190="moeda")+(Inputs!$G$5:$G$190="acoes"))*Inputs!$B$1+((Inputs!$G$5:$G$190&lt;&gt;"moeda")*(Inputs!$G$5:$G$190&lt;&gt;"acoes")))*INDEX(Inputs!$K$5:$AJ$190,0,MATCH(AI$2,Inputs!$K$4:$AJ$4,0)))))</f>
        <v>0</v>
      </c>
      <c r="AJ54" s="264">
        <f>IF(ISNA(MATCH(AJ$2,Inputs!$K$4:$AJ$4,0)),NA(),IF(SUMPRODUCT((Inputs!$A$5:$A$190=$B54)*ISNUMBER(INDEX(Inputs!$K$5:$AJ$190,0,MATCH(AJ$2,Inputs!$K$4:$AJ$4,0))))+SUMPRODUCT((Inputs!$C$5:$C$190=$B54)*ISNUMBER(INDEX(Inputs!$K$5:$AJ$190,0,MATCH(AJ$2,Inputs!$K$4:$AJ$4,0))))+SUMPRODUCT((Inputs!$E$5:$E$190=$B54)*ISNUMBER(INDEX(Inputs!$K$5:$AJ$190,0,MATCH(AJ$2,Inputs!$K$4:$AJ$4,0))))=0,NA(),SUMPRODUCT((Inputs!$A$5:$A$190=$B54)*Inputs!$B$5:$B$190*(((Inputs!$G$5:$G$190="moeda")+(Inputs!$G$5:$G$190="acoes"))*Inputs!$B$1+((Inputs!$G$5:$G$190&lt;&gt;"moeda")*(Inputs!$G$5:$G$190&lt;&gt;"acoes")))*INDEX(Inputs!$K$5:$AJ$190,0,MATCH(AJ$2,Inputs!$K$4:$AJ$4,0)))+SUMPRODUCT((Inputs!$C$5:$C$190=$B54)*Inputs!$D$5:$D$190*(((Inputs!$G$5:$G$190="moeda")+(Inputs!$G$5:$G$190="acoes"))*Inputs!$B$1+((Inputs!$G$5:$G$190&lt;&gt;"moeda")*(Inputs!$G$5:$G$190&lt;&gt;"acoes")))*INDEX(Inputs!$K$5:$AJ$190,0,MATCH(AJ$2,Inputs!$K$4:$AJ$4,0)))+SUMPRODUCT((Inputs!$E$5:$E$190=$B54)*Inputs!$F$5:$F$190*(((Inputs!$G$5:$G$190="moeda")+(Inputs!$G$5:$G$190="acoes"))*Inputs!$B$1+((Inputs!$G$5:$G$190&lt;&gt;"moeda")*(Inputs!$G$5:$G$190&lt;&gt;"acoes")))*INDEX(Inputs!$K$5:$AJ$190,0,MATCH(AJ$2,Inputs!$K$4:$AJ$4,0)))))</f>
        <v>0</v>
      </c>
      <c r="AK54" s="264">
        <f>IF(ISNA(MATCH(AK$2,Inputs!$K$4:$AJ$4,0)),NA(),IF(SUMPRODUCT((Inputs!$A$5:$A$190=$B54)*ISNUMBER(INDEX(Inputs!$K$5:$AJ$190,0,MATCH(AK$2,Inputs!$K$4:$AJ$4,0))))+SUMPRODUCT((Inputs!$C$5:$C$190=$B54)*ISNUMBER(INDEX(Inputs!$K$5:$AJ$190,0,MATCH(AK$2,Inputs!$K$4:$AJ$4,0))))+SUMPRODUCT((Inputs!$E$5:$E$190=$B54)*ISNUMBER(INDEX(Inputs!$K$5:$AJ$190,0,MATCH(AK$2,Inputs!$K$4:$AJ$4,0))))=0,NA(),SUMPRODUCT((Inputs!$A$5:$A$190=$B54)*Inputs!$B$5:$B$190*(((Inputs!$G$5:$G$190="moeda")+(Inputs!$G$5:$G$190="acoes"))*Inputs!$B$1+((Inputs!$G$5:$G$190&lt;&gt;"moeda")*(Inputs!$G$5:$G$190&lt;&gt;"acoes")))*INDEX(Inputs!$K$5:$AJ$190,0,MATCH(AK$2,Inputs!$K$4:$AJ$4,0)))+SUMPRODUCT((Inputs!$C$5:$C$190=$B54)*Inputs!$D$5:$D$190*(((Inputs!$G$5:$G$190="moeda")+(Inputs!$G$5:$G$190="acoes"))*Inputs!$B$1+((Inputs!$G$5:$G$190&lt;&gt;"moeda")*(Inputs!$G$5:$G$190&lt;&gt;"acoes")))*INDEX(Inputs!$K$5:$AJ$190,0,MATCH(AK$2,Inputs!$K$4:$AJ$4,0)))+SUMPRODUCT((Inputs!$E$5:$E$190=$B54)*Inputs!$F$5:$F$190*(((Inputs!$G$5:$G$190="moeda")+(Inputs!$G$5:$G$190="acoes"))*Inputs!$B$1+((Inputs!$G$5:$G$190&lt;&gt;"moeda")*(Inputs!$G$5:$G$190&lt;&gt;"acoes")))*INDEX(Inputs!$K$5:$AJ$190,0,MATCH(AK$2,Inputs!$K$4:$AJ$4,0)))))</f>
        <v>0</v>
      </c>
      <c r="AL54" s="265">
        <f>SUM(AH54:AK54)</f>
        <v>0</v>
      </c>
    </row>
    <row r="55">
      <c r="B55" s="46" t="n">
        <v>47</v>
      </c>
      <c r="C55" s="29" t="inlineStr">
        <is>
          <t>Receita liquida de renovacao de frota / venda de ativos (Consolidado l.13)</t>
        </is>
      </c>
      <c r="D55" s="264">
        <f>IF(ISNA(MATCH(D$2,Inputs!$K$4:$AJ$4,0)),NA(),IF(SUMPRODUCT((Inputs!$A$5:$A$190=$B55)*ISNUMBER(INDEX(Inputs!$K$5:$AJ$190,0,MATCH(D$2,Inputs!$K$4:$AJ$4,0))))+SUMPRODUCT((Inputs!$C$5:$C$190=$B55)*ISNUMBER(INDEX(Inputs!$K$5:$AJ$190,0,MATCH(D$2,Inputs!$K$4:$AJ$4,0))))+SUMPRODUCT((Inputs!$E$5:$E$190=$B55)*ISNUMBER(INDEX(Inputs!$K$5:$AJ$190,0,MATCH(D$2,Inputs!$K$4:$AJ$4,0))))=0,NA(),SUMPRODUCT((Inputs!$A$5:$A$190=$B55)*Inputs!$B$5:$B$190*(((Inputs!$G$5:$G$190="moeda")+(Inputs!$G$5:$G$190="acoes"))*Inputs!$B$1+((Inputs!$G$5:$G$190&lt;&gt;"moeda")*(Inputs!$G$5:$G$190&lt;&gt;"acoes")))*INDEX(Inputs!$K$5:$AJ$190,0,MATCH(D$2,Inputs!$K$4:$AJ$4,0)))+SUMPRODUCT((Inputs!$C$5:$C$190=$B55)*Inputs!$D$5:$D$190*(((Inputs!$G$5:$G$190="moeda")+(Inputs!$G$5:$G$190="acoes"))*Inputs!$B$1+((Inputs!$G$5:$G$190&lt;&gt;"moeda")*(Inputs!$G$5:$G$190&lt;&gt;"acoes")))*INDEX(Inputs!$K$5:$AJ$190,0,MATCH(D$2,Inputs!$K$4:$AJ$4,0)))+SUMPRODUCT((Inputs!$E$5:$E$190=$B55)*Inputs!$F$5:$F$190*(((Inputs!$G$5:$G$190="moeda")+(Inputs!$G$5:$G$190="acoes"))*Inputs!$B$1+((Inputs!$G$5:$G$190&lt;&gt;"moeda")*(Inputs!$G$5:$G$190&lt;&gt;"acoes")))*INDEX(Inputs!$K$5:$AJ$190,0,MATCH(D$2,Inputs!$K$4:$AJ$4,0)))))</f>
        <v>391.11637603</v>
      </c>
      <c r="E55" s="264">
        <f>IF(ISNA(MATCH(E$2,Inputs!$K$4:$AJ$4,0)),NA(),IF(SUMPRODUCT((Inputs!$A$5:$A$190=$B55)*ISNUMBER(INDEX(Inputs!$K$5:$AJ$190,0,MATCH(E$2,Inputs!$K$4:$AJ$4,0))))+SUMPRODUCT((Inputs!$C$5:$C$190=$B55)*ISNUMBER(INDEX(Inputs!$K$5:$AJ$190,0,MATCH(E$2,Inputs!$K$4:$AJ$4,0))))+SUMPRODUCT((Inputs!$E$5:$E$190=$B55)*ISNUMBER(INDEX(Inputs!$K$5:$AJ$190,0,MATCH(E$2,Inputs!$K$4:$AJ$4,0))))=0,NA(),SUMPRODUCT((Inputs!$A$5:$A$190=$B55)*Inputs!$B$5:$B$190*(((Inputs!$G$5:$G$190="moeda")+(Inputs!$G$5:$G$190="acoes"))*Inputs!$B$1+((Inputs!$G$5:$G$190&lt;&gt;"moeda")*(Inputs!$G$5:$G$190&lt;&gt;"acoes")))*INDEX(Inputs!$K$5:$AJ$190,0,MATCH(E$2,Inputs!$K$4:$AJ$4,0)))+SUMPRODUCT((Inputs!$C$5:$C$190=$B55)*Inputs!$D$5:$D$190*(((Inputs!$G$5:$G$190="moeda")+(Inputs!$G$5:$G$190="acoes"))*Inputs!$B$1+((Inputs!$G$5:$G$190&lt;&gt;"moeda")*(Inputs!$G$5:$G$190&lt;&gt;"acoes")))*INDEX(Inputs!$K$5:$AJ$190,0,MATCH(E$2,Inputs!$K$4:$AJ$4,0)))+SUMPRODUCT((Inputs!$E$5:$E$190=$B55)*Inputs!$F$5:$F$190*(((Inputs!$G$5:$G$190="moeda")+(Inputs!$G$5:$G$190="acoes"))*Inputs!$B$1+((Inputs!$G$5:$G$190&lt;&gt;"moeda")*(Inputs!$G$5:$G$190&lt;&gt;"acoes")))*INDEX(Inputs!$K$5:$AJ$190,0,MATCH(E$2,Inputs!$K$4:$AJ$4,0)))))</f>
        <v>714.62662397</v>
      </c>
      <c r="F55" s="264">
        <f>IF(ISNA(MATCH(F$2,Inputs!$K$4:$AJ$4,0)),NA(),IF(SUMPRODUCT((Inputs!$A$5:$A$190=$B55)*ISNUMBER(INDEX(Inputs!$K$5:$AJ$190,0,MATCH(F$2,Inputs!$K$4:$AJ$4,0))))+SUMPRODUCT((Inputs!$C$5:$C$190=$B55)*ISNUMBER(INDEX(Inputs!$K$5:$AJ$190,0,MATCH(F$2,Inputs!$K$4:$AJ$4,0))))+SUMPRODUCT((Inputs!$E$5:$E$190=$B55)*ISNUMBER(INDEX(Inputs!$K$5:$AJ$190,0,MATCH(F$2,Inputs!$K$4:$AJ$4,0))))=0,NA(),SUMPRODUCT((Inputs!$A$5:$A$190=$B55)*Inputs!$B$5:$B$190*(((Inputs!$G$5:$G$190="moeda")+(Inputs!$G$5:$G$190="acoes"))*Inputs!$B$1+((Inputs!$G$5:$G$190&lt;&gt;"moeda")*(Inputs!$G$5:$G$190&lt;&gt;"acoes")))*INDEX(Inputs!$K$5:$AJ$190,0,MATCH(F$2,Inputs!$K$4:$AJ$4,0)))+SUMPRODUCT((Inputs!$C$5:$C$190=$B55)*Inputs!$D$5:$D$190*(((Inputs!$G$5:$G$190="moeda")+(Inputs!$G$5:$G$190="acoes"))*Inputs!$B$1+((Inputs!$G$5:$G$190&lt;&gt;"moeda")*(Inputs!$G$5:$G$190&lt;&gt;"acoes")))*INDEX(Inputs!$K$5:$AJ$190,0,MATCH(F$2,Inputs!$K$4:$AJ$4,0)))+SUMPRODUCT((Inputs!$E$5:$E$190=$B55)*Inputs!$F$5:$F$190*(((Inputs!$G$5:$G$190="moeda")+(Inputs!$G$5:$G$190="acoes"))*Inputs!$B$1+((Inputs!$G$5:$G$190&lt;&gt;"moeda")*(Inputs!$G$5:$G$190&lt;&gt;"acoes")))*INDEX(Inputs!$K$5:$AJ$190,0,MATCH(F$2,Inputs!$K$4:$AJ$4,0)))))</f>
        <v>923.047</v>
      </c>
      <c r="G55" s="264">
        <f>IF(ISNA(MATCH(G$2,Inputs!$K$4:$AJ$4,0)),NA(),IF(SUMPRODUCT((Inputs!$A$5:$A$190=$B55)*ISNUMBER(INDEX(Inputs!$K$5:$AJ$190,0,MATCH(G$2,Inputs!$K$4:$AJ$4,0))))+SUMPRODUCT((Inputs!$C$5:$C$190=$B55)*ISNUMBER(INDEX(Inputs!$K$5:$AJ$190,0,MATCH(G$2,Inputs!$K$4:$AJ$4,0))))+SUMPRODUCT((Inputs!$E$5:$E$190=$B55)*ISNUMBER(INDEX(Inputs!$K$5:$AJ$190,0,MATCH(G$2,Inputs!$K$4:$AJ$4,0))))=0,NA(),SUMPRODUCT((Inputs!$A$5:$A$190=$B55)*Inputs!$B$5:$B$190*(((Inputs!$G$5:$G$190="moeda")+(Inputs!$G$5:$G$190="acoes"))*Inputs!$B$1+((Inputs!$G$5:$G$190&lt;&gt;"moeda")*(Inputs!$G$5:$G$190&lt;&gt;"acoes")))*INDEX(Inputs!$K$5:$AJ$190,0,MATCH(G$2,Inputs!$K$4:$AJ$4,0)))+SUMPRODUCT((Inputs!$C$5:$C$190=$B55)*Inputs!$D$5:$D$190*(((Inputs!$G$5:$G$190="moeda")+(Inputs!$G$5:$G$190="acoes"))*Inputs!$B$1+((Inputs!$G$5:$G$190&lt;&gt;"moeda")*(Inputs!$G$5:$G$190&lt;&gt;"acoes")))*INDEX(Inputs!$K$5:$AJ$190,0,MATCH(G$2,Inputs!$K$4:$AJ$4,0)))+SUMPRODUCT((Inputs!$E$5:$E$190=$B55)*Inputs!$F$5:$F$190*(((Inputs!$G$5:$G$190="moeda")+(Inputs!$G$5:$G$190="acoes"))*Inputs!$B$1+((Inputs!$G$5:$G$190&lt;&gt;"moeda")*(Inputs!$G$5:$G$190&lt;&gt;"acoes")))*INDEX(Inputs!$K$5:$AJ$190,0,MATCH(G$2,Inputs!$K$4:$AJ$4,0)))))</f>
        <v>831.811</v>
      </c>
      <c r="H55" s="265">
        <f>SUM(D55:G55)</f>
        <v>2860.601</v>
      </c>
      <c r="I55" s="264">
        <f>IF(ISNA(MATCH(I$2,Inputs!$K$4:$AJ$4,0)),NA(),IF(SUMPRODUCT((Inputs!$A$5:$A$190=$B55)*ISNUMBER(INDEX(Inputs!$K$5:$AJ$190,0,MATCH(I$2,Inputs!$K$4:$AJ$4,0))))+SUMPRODUCT((Inputs!$C$5:$C$190=$B55)*ISNUMBER(INDEX(Inputs!$K$5:$AJ$190,0,MATCH(I$2,Inputs!$K$4:$AJ$4,0))))+SUMPRODUCT((Inputs!$E$5:$E$190=$B55)*ISNUMBER(INDEX(Inputs!$K$5:$AJ$190,0,MATCH(I$2,Inputs!$K$4:$AJ$4,0))))=0,NA(),SUMPRODUCT((Inputs!$A$5:$A$190=$B55)*Inputs!$B$5:$B$190*(((Inputs!$G$5:$G$190="moeda")+(Inputs!$G$5:$G$190="acoes"))*Inputs!$B$1+((Inputs!$G$5:$G$190&lt;&gt;"moeda")*(Inputs!$G$5:$G$190&lt;&gt;"acoes")))*INDEX(Inputs!$K$5:$AJ$190,0,MATCH(I$2,Inputs!$K$4:$AJ$4,0)))+SUMPRODUCT((Inputs!$C$5:$C$190=$B55)*Inputs!$D$5:$D$190*(((Inputs!$G$5:$G$190="moeda")+(Inputs!$G$5:$G$190="acoes"))*Inputs!$B$1+((Inputs!$G$5:$G$190&lt;&gt;"moeda")*(Inputs!$G$5:$G$190&lt;&gt;"acoes")))*INDEX(Inputs!$K$5:$AJ$190,0,MATCH(I$2,Inputs!$K$4:$AJ$4,0)))+SUMPRODUCT((Inputs!$E$5:$E$190=$B55)*Inputs!$F$5:$F$190*(((Inputs!$G$5:$G$190="moeda")+(Inputs!$G$5:$G$190="acoes"))*Inputs!$B$1+((Inputs!$G$5:$G$190&lt;&gt;"moeda")*(Inputs!$G$5:$G$190&lt;&gt;"acoes")))*INDEX(Inputs!$K$5:$AJ$190,0,MATCH(I$2,Inputs!$K$4:$AJ$4,0)))))</f>
        <v>1017.079</v>
      </c>
      <c r="J55" s="264">
        <f>IF(ISNA(MATCH(J$2,Inputs!$K$4:$AJ$4,0)),NA(),IF(SUMPRODUCT((Inputs!$A$5:$A$190=$B55)*ISNUMBER(INDEX(Inputs!$K$5:$AJ$190,0,MATCH(J$2,Inputs!$K$4:$AJ$4,0))))+SUMPRODUCT((Inputs!$C$5:$C$190=$B55)*ISNUMBER(INDEX(Inputs!$K$5:$AJ$190,0,MATCH(J$2,Inputs!$K$4:$AJ$4,0))))+SUMPRODUCT((Inputs!$E$5:$E$190=$B55)*ISNUMBER(INDEX(Inputs!$K$5:$AJ$190,0,MATCH(J$2,Inputs!$K$4:$AJ$4,0))))=0,NA(),SUMPRODUCT((Inputs!$A$5:$A$190=$B55)*Inputs!$B$5:$B$190*(((Inputs!$G$5:$G$190="moeda")+(Inputs!$G$5:$G$190="acoes"))*Inputs!$B$1+((Inputs!$G$5:$G$190&lt;&gt;"moeda")*(Inputs!$G$5:$G$190&lt;&gt;"acoes")))*INDEX(Inputs!$K$5:$AJ$190,0,MATCH(J$2,Inputs!$K$4:$AJ$4,0)))+SUMPRODUCT((Inputs!$C$5:$C$190=$B55)*Inputs!$D$5:$D$190*(((Inputs!$G$5:$G$190="moeda")+(Inputs!$G$5:$G$190="acoes"))*Inputs!$B$1+((Inputs!$G$5:$G$190&lt;&gt;"moeda")*(Inputs!$G$5:$G$190&lt;&gt;"acoes")))*INDEX(Inputs!$K$5:$AJ$190,0,MATCH(J$2,Inputs!$K$4:$AJ$4,0)))+SUMPRODUCT((Inputs!$E$5:$E$190=$B55)*Inputs!$F$5:$F$190*(((Inputs!$G$5:$G$190="moeda")+(Inputs!$G$5:$G$190="acoes"))*Inputs!$B$1+((Inputs!$G$5:$G$190&lt;&gt;"moeda")*(Inputs!$G$5:$G$190&lt;&gt;"acoes")))*INDEX(Inputs!$K$5:$AJ$190,0,MATCH(J$2,Inputs!$K$4:$AJ$4,0)))))</f>
        <v>1259.106</v>
      </c>
      <c r="K55" s="264">
        <f>IF(ISNA(MATCH(K$2,Inputs!$K$4:$AJ$4,0)),NA(),IF(SUMPRODUCT((Inputs!$A$5:$A$190=$B55)*ISNUMBER(INDEX(Inputs!$K$5:$AJ$190,0,MATCH(K$2,Inputs!$K$4:$AJ$4,0))))+SUMPRODUCT((Inputs!$C$5:$C$190=$B55)*ISNUMBER(INDEX(Inputs!$K$5:$AJ$190,0,MATCH(K$2,Inputs!$K$4:$AJ$4,0))))+SUMPRODUCT((Inputs!$E$5:$E$190=$B55)*ISNUMBER(INDEX(Inputs!$K$5:$AJ$190,0,MATCH(K$2,Inputs!$K$4:$AJ$4,0))))=0,NA(),SUMPRODUCT((Inputs!$A$5:$A$190=$B55)*Inputs!$B$5:$B$190*(((Inputs!$G$5:$G$190="moeda")+(Inputs!$G$5:$G$190="acoes"))*Inputs!$B$1+((Inputs!$G$5:$G$190&lt;&gt;"moeda")*(Inputs!$G$5:$G$190&lt;&gt;"acoes")))*INDEX(Inputs!$K$5:$AJ$190,0,MATCH(K$2,Inputs!$K$4:$AJ$4,0)))+SUMPRODUCT((Inputs!$C$5:$C$190=$B55)*Inputs!$D$5:$D$190*(((Inputs!$G$5:$G$190="moeda")+(Inputs!$G$5:$G$190="acoes"))*Inputs!$B$1+((Inputs!$G$5:$G$190&lt;&gt;"moeda")*(Inputs!$G$5:$G$190&lt;&gt;"acoes")))*INDEX(Inputs!$K$5:$AJ$190,0,MATCH(K$2,Inputs!$K$4:$AJ$4,0)))+SUMPRODUCT((Inputs!$E$5:$E$190=$B55)*Inputs!$F$5:$F$190*(((Inputs!$G$5:$G$190="moeda")+(Inputs!$G$5:$G$190="acoes"))*Inputs!$B$1+((Inputs!$G$5:$G$190&lt;&gt;"moeda")*(Inputs!$G$5:$G$190&lt;&gt;"acoes")))*INDEX(Inputs!$K$5:$AJ$190,0,MATCH(K$2,Inputs!$K$4:$AJ$4,0)))))</f>
        <v>1498.061</v>
      </c>
      <c r="L55" s="264">
        <f>IF(ISNA(MATCH(L$2,Inputs!$K$4:$AJ$4,0)),NA(),IF(SUMPRODUCT((Inputs!$A$5:$A$190=$B55)*ISNUMBER(INDEX(Inputs!$K$5:$AJ$190,0,MATCH(L$2,Inputs!$K$4:$AJ$4,0))))+SUMPRODUCT((Inputs!$C$5:$C$190=$B55)*ISNUMBER(INDEX(Inputs!$K$5:$AJ$190,0,MATCH(L$2,Inputs!$K$4:$AJ$4,0))))+SUMPRODUCT((Inputs!$E$5:$E$190=$B55)*ISNUMBER(INDEX(Inputs!$K$5:$AJ$190,0,MATCH(L$2,Inputs!$K$4:$AJ$4,0))))=0,NA(),SUMPRODUCT((Inputs!$A$5:$A$190=$B55)*Inputs!$B$5:$B$190*(((Inputs!$G$5:$G$190="moeda")+(Inputs!$G$5:$G$190="acoes"))*Inputs!$B$1+((Inputs!$G$5:$G$190&lt;&gt;"moeda")*(Inputs!$G$5:$G$190&lt;&gt;"acoes")))*INDEX(Inputs!$K$5:$AJ$190,0,MATCH(L$2,Inputs!$K$4:$AJ$4,0)))+SUMPRODUCT((Inputs!$C$5:$C$190=$B55)*Inputs!$D$5:$D$190*(((Inputs!$G$5:$G$190="moeda")+(Inputs!$G$5:$G$190="acoes"))*Inputs!$B$1+((Inputs!$G$5:$G$190&lt;&gt;"moeda")*(Inputs!$G$5:$G$190&lt;&gt;"acoes")))*INDEX(Inputs!$K$5:$AJ$190,0,MATCH(L$2,Inputs!$K$4:$AJ$4,0)))+SUMPRODUCT((Inputs!$E$5:$E$190=$B55)*Inputs!$F$5:$F$190*(((Inputs!$G$5:$G$190="moeda")+(Inputs!$G$5:$G$190="acoes"))*Inputs!$B$1+((Inputs!$G$5:$G$190&lt;&gt;"moeda")*(Inputs!$G$5:$G$190&lt;&gt;"acoes")))*INDEX(Inputs!$K$5:$AJ$190,0,MATCH(L$2,Inputs!$K$4:$AJ$4,0)))))</f>
        <v>1475.81470045</v>
      </c>
      <c r="M55" s="265">
        <f>SUM(I55:L55)</f>
        <v>5250.06070045</v>
      </c>
      <c r="N55" s="264">
        <f>IF(ISNA(MATCH(N$2,Inputs!$K$4:$AJ$4,0)),NA(),IF(SUMPRODUCT((Inputs!$A$5:$A$190=$B55)*ISNUMBER(INDEX(Inputs!$K$5:$AJ$190,0,MATCH(N$2,Inputs!$K$4:$AJ$4,0))))+SUMPRODUCT((Inputs!$C$5:$C$190=$B55)*ISNUMBER(INDEX(Inputs!$K$5:$AJ$190,0,MATCH(N$2,Inputs!$K$4:$AJ$4,0))))+SUMPRODUCT((Inputs!$E$5:$E$190=$B55)*ISNUMBER(INDEX(Inputs!$K$5:$AJ$190,0,MATCH(N$2,Inputs!$K$4:$AJ$4,0))))=0,NA(),SUMPRODUCT((Inputs!$A$5:$A$190=$B55)*Inputs!$B$5:$B$190*(((Inputs!$G$5:$G$190="moeda")+(Inputs!$G$5:$G$190="acoes"))*Inputs!$B$1+((Inputs!$G$5:$G$190&lt;&gt;"moeda")*(Inputs!$G$5:$G$190&lt;&gt;"acoes")))*INDEX(Inputs!$K$5:$AJ$190,0,MATCH(N$2,Inputs!$K$4:$AJ$4,0)))+SUMPRODUCT((Inputs!$C$5:$C$190=$B55)*Inputs!$D$5:$D$190*(((Inputs!$G$5:$G$190="moeda")+(Inputs!$G$5:$G$190="acoes"))*Inputs!$B$1+((Inputs!$G$5:$G$190&lt;&gt;"moeda")*(Inputs!$G$5:$G$190&lt;&gt;"acoes")))*INDEX(Inputs!$K$5:$AJ$190,0,MATCH(N$2,Inputs!$K$4:$AJ$4,0)))+SUMPRODUCT((Inputs!$E$5:$E$190=$B55)*Inputs!$F$5:$F$190*(((Inputs!$G$5:$G$190="moeda")+(Inputs!$G$5:$G$190="acoes"))*Inputs!$B$1+((Inputs!$G$5:$G$190&lt;&gt;"moeda")*(Inputs!$G$5:$G$190&lt;&gt;"acoes")))*INDEX(Inputs!$K$5:$AJ$190,0,MATCH(N$2,Inputs!$K$4:$AJ$4,0)))))</f>
        <v>1648.29700617</v>
      </c>
      <c r="O55" s="264">
        <f>IF(ISNA(MATCH(O$2,Inputs!$K$4:$AJ$4,0)),NA(),IF(SUMPRODUCT((Inputs!$A$5:$A$190=$B55)*ISNUMBER(INDEX(Inputs!$K$5:$AJ$190,0,MATCH(O$2,Inputs!$K$4:$AJ$4,0))))+SUMPRODUCT((Inputs!$C$5:$C$190=$B55)*ISNUMBER(INDEX(Inputs!$K$5:$AJ$190,0,MATCH(O$2,Inputs!$K$4:$AJ$4,0))))+SUMPRODUCT((Inputs!$E$5:$E$190=$B55)*ISNUMBER(INDEX(Inputs!$K$5:$AJ$190,0,MATCH(O$2,Inputs!$K$4:$AJ$4,0))))=0,NA(),SUMPRODUCT((Inputs!$A$5:$A$190=$B55)*Inputs!$B$5:$B$190*(((Inputs!$G$5:$G$190="moeda")+(Inputs!$G$5:$G$190="acoes"))*Inputs!$B$1+((Inputs!$G$5:$G$190&lt;&gt;"moeda")*(Inputs!$G$5:$G$190&lt;&gt;"acoes")))*INDEX(Inputs!$K$5:$AJ$190,0,MATCH(O$2,Inputs!$K$4:$AJ$4,0)))+SUMPRODUCT((Inputs!$C$5:$C$190=$B55)*Inputs!$D$5:$D$190*(((Inputs!$G$5:$G$190="moeda")+(Inputs!$G$5:$G$190="acoes"))*Inputs!$B$1+((Inputs!$G$5:$G$190&lt;&gt;"moeda")*(Inputs!$G$5:$G$190&lt;&gt;"acoes")))*INDEX(Inputs!$K$5:$AJ$190,0,MATCH(O$2,Inputs!$K$4:$AJ$4,0)))+SUMPRODUCT((Inputs!$E$5:$E$190=$B55)*Inputs!$F$5:$F$190*(((Inputs!$G$5:$G$190="moeda")+(Inputs!$G$5:$G$190="acoes"))*Inputs!$B$1+((Inputs!$G$5:$G$190&lt;&gt;"moeda")*(Inputs!$G$5:$G$190&lt;&gt;"acoes")))*INDEX(Inputs!$K$5:$AJ$190,0,MATCH(O$2,Inputs!$K$4:$AJ$4,0)))))</f>
        <v>1508.68499383</v>
      </c>
      <c r="P55" s="264">
        <f>IF(ISNA(MATCH(P$2,Inputs!$K$4:$AJ$4,0)),NA(),IF(SUMPRODUCT((Inputs!$A$5:$A$190=$B55)*ISNUMBER(INDEX(Inputs!$K$5:$AJ$190,0,MATCH(P$2,Inputs!$K$4:$AJ$4,0))))+SUMPRODUCT((Inputs!$C$5:$C$190=$B55)*ISNUMBER(INDEX(Inputs!$K$5:$AJ$190,0,MATCH(P$2,Inputs!$K$4:$AJ$4,0))))+SUMPRODUCT((Inputs!$E$5:$E$190=$B55)*ISNUMBER(INDEX(Inputs!$K$5:$AJ$190,0,MATCH(P$2,Inputs!$K$4:$AJ$4,0))))=0,NA(),SUMPRODUCT((Inputs!$A$5:$A$190=$B55)*Inputs!$B$5:$B$190*(((Inputs!$G$5:$G$190="moeda")+(Inputs!$G$5:$G$190="acoes"))*Inputs!$B$1+((Inputs!$G$5:$G$190&lt;&gt;"moeda")*(Inputs!$G$5:$G$190&lt;&gt;"acoes")))*INDEX(Inputs!$K$5:$AJ$190,0,MATCH(P$2,Inputs!$K$4:$AJ$4,0)))+SUMPRODUCT((Inputs!$C$5:$C$190=$B55)*Inputs!$D$5:$D$190*(((Inputs!$G$5:$G$190="moeda")+(Inputs!$G$5:$G$190="acoes"))*Inputs!$B$1+((Inputs!$G$5:$G$190&lt;&gt;"moeda")*(Inputs!$G$5:$G$190&lt;&gt;"acoes")))*INDEX(Inputs!$K$5:$AJ$190,0,MATCH(P$2,Inputs!$K$4:$AJ$4,0)))+SUMPRODUCT((Inputs!$E$5:$E$190=$B55)*Inputs!$F$5:$F$190*(((Inputs!$G$5:$G$190="moeda")+(Inputs!$G$5:$G$190="acoes"))*Inputs!$B$1+((Inputs!$G$5:$G$190&lt;&gt;"moeda")*(Inputs!$G$5:$G$190&lt;&gt;"acoes")))*INDEX(Inputs!$K$5:$AJ$190,0,MATCH(P$2,Inputs!$K$4:$AJ$4,0)))))</f>
        <v>1568.456</v>
      </c>
      <c r="Q55" s="264">
        <f>IF(ISNA(MATCH(Q$2,Inputs!$K$4:$AJ$4,0)),NA(),IF(SUMPRODUCT((Inputs!$A$5:$A$190=$B55)*ISNUMBER(INDEX(Inputs!$K$5:$AJ$190,0,MATCH(Q$2,Inputs!$K$4:$AJ$4,0))))+SUMPRODUCT((Inputs!$C$5:$C$190=$B55)*ISNUMBER(INDEX(Inputs!$K$5:$AJ$190,0,MATCH(Q$2,Inputs!$K$4:$AJ$4,0))))+SUMPRODUCT((Inputs!$E$5:$E$190=$B55)*ISNUMBER(INDEX(Inputs!$K$5:$AJ$190,0,MATCH(Q$2,Inputs!$K$4:$AJ$4,0))))=0,NA(),SUMPRODUCT((Inputs!$A$5:$A$190=$B55)*Inputs!$B$5:$B$190*(((Inputs!$G$5:$G$190="moeda")+(Inputs!$G$5:$G$190="acoes"))*Inputs!$B$1+((Inputs!$G$5:$G$190&lt;&gt;"moeda")*(Inputs!$G$5:$G$190&lt;&gt;"acoes")))*INDEX(Inputs!$K$5:$AJ$190,0,MATCH(Q$2,Inputs!$K$4:$AJ$4,0)))+SUMPRODUCT((Inputs!$C$5:$C$190=$B55)*Inputs!$D$5:$D$190*(((Inputs!$G$5:$G$190="moeda")+(Inputs!$G$5:$G$190="acoes"))*Inputs!$B$1+((Inputs!$G$5:$G$190&lt;&gt;"moeda")*(Inputs!$G$5:$G$190&lt;&gt;"acoes")))*INDEX(Inputs!$K$5:$AJ$190,0,MATCH(Q$2,Inputs!$K$4:$AJ$4,0)))+SUMPRODUCT((Inputs!$E$5:$E$190=$B55)*Inputs!$F$5:$F$190*(((Inputs!$G$5:$G$190="moeda")+(Inputs!$G$5:$G$190="acoes"))*Inputs!$B$1+((Inputs!$G$5:$G$190&lt;&gt;"moeda")*(Inputs!$G$5:$G$190&lt;&gt;"acoes")))*INDEX(Inputs!$K$5:$AJ$190,0,MATCH(Q$2,Inputs!$K$4:$AJ$4,0)))))</f>
        <v>1342.034</v>
      </c>
      <c r="R55" s="265">
        <f>SUM(N55:Q55)</f>
        <v>6067.472</v>
      </c>
      <c r="S55" s="264">
        <f>IF(ISNA(MATCH(S$2,Inputs!$K$4:$AJ$4,0)),NA(),IF(SUMPRODUCT((Inputs!$A$5:$A$190=$B55)*ISNUMBER(INDEX(Inputs!$K$5:$AJ$190,0,MATCH(S$2,Inputs!$K$4:$AJ$4,0))))+SUMPRODUCT((Inputs!$C$5:$C$190=$B55)*ISNUMBER(INDEX(Inputs!$K$5:$AJ$190,0,MATCH(S$2,Inputs!$K$4:$AJ$4,0))))+SUMPRODUCT((Inputs!$E$5:$E$190=$B55)*ISNUMBER(INDEX(Inputs!$K$5:$AJ$190,0,MATCH(S$2,Inputs!$K$4:$AJ$4,0))))=0,NA(),SUMPRODUCT((Inputs!$A$5:$A$190=$B55)*Inputs!$B$5:$B$190*(((Inputs!$G$5:$G$190="moeda")+(Inputs!$G$5:$G$190="acoes"))*Inputs!$B$1+((Inputs!$G$5:$G$190&lt;&gt;"moeda")*(Inputs!$G$5:$G$190&lt;&gt;"acoes")))*INDEX(Inputs!$K$5:$AJ$190,0,MATCH(S$2,Inputs!$K$4:$AJ$4,0)))+SUMPRODUCT((Inputs!$C$5:$C$190=$B55)*Inputs!$D$5:$D$190*(((Inputs!$G$5:$G$190="moeda")+(Inputs!$G$5:$G$190="acoes"))*Inputs!$B$1+((Inputs!$G$5:$G$190&lt;&gt;"moeda")*(Inputs!$G$5:$G$190&lt;&gt;"acoes")))*INDEX(Inputs!$K$5:$AJ$190,0,MATCH(S$2,Inputs!$K$4:$AJ$4,0)))+SUMPRODUCT((Inputs!$E$5:$E$190=$B55)*Inputs!$F$5:$F$190*(((Inputs!$G$5:$G$190="moeda")+(Inputs!$G$5:$G$190="acoes"))*Inputs!$B$1+((Inputs!$G$5:$G$190&lt;&gt;"moeda")*(Inputs!$G$5:$G$190&lt;&gt;"acoes")))*INDEX(Inputs!$K$5:$AJ$190,0,MATCH(S$2,Inputs!$K$4:$AJ$4,0)))))</f>
        <v>1784.94251437</v>
      </c>
      <c r="T55" s="264">
        <f>IF(ISNA(MATCH(T$2,Inputs!$K$4:$AJ$4,0)),NA(),IF(SUMPRODUCT((Inputs!$A$5:$A$190=$B55)*ISNUMBER(INDEX(Inputs!$K$5:$AJ$190,0,MATCH(T$2,Inputs!$K$4:$AJ$4,0))))+SUMPRODUCT((Inputs!$C$5:$C$190=$B55)*ISNUMBER(INDEX(Inputs!$K$5:$AJ$190,0,MATCH(T$2,Inputs!$K$4:$AJ$4,0))))+SUMPRODUCT((Inputs!$E$5:$E$190=$B55)*ISNUMBER(INDEX(Inputs!$K$5:$AJ$190,0,MATCH(T$2,Inputs!$K$4:$AJ$4,0))))=0,NA(),SUMPRODUCT((Inputs!$A$5:$A$190=$B55)*Inputs!$B$5:$B$190*(((Inputs!$G$5:$G$190="moeda")+(Inputs!$G$5:$G$190="acoes"))*Inputs!$B$1+((Inputs!$G$5:$G$190&lt;&gt;"moeda")*(Inputs!$G$5:$G$190&lt;&gt;"acoes")))*INDEX(Inputs!$K$5:$AJ$190,0,MATCH(T$2,Inputs!$K$4:$AJ$4,0)))+SUMPRODUCT((Inputs!$C$5:$C$190=$B55)*Inputs!$D$5:$D$190*(((Inputs!$G$5:$G$190="moeda")+(Inputs!$G$5:$G$190="acoes"))*Inputs!$B$1+((Inputs!$G$5:$G$190&lt;&gt;"moeda")*(Inputs!$G$5:$G$190&lt;&gt;"acoes")))*INDEX(Inputs!$K$5:$AJ$190,0,MATCH(T$2,Inputs!$K$4:$AJ$4,0)))+SUMPRODUCT((Inputs!$E$5:$E$190=$B55)*Inputs!$F$5:$F$190*(((Inputs!$G$5:$G$190="moeda")+(Inputs!$G$5:$G$190="acoes"))*Inputs!$B$1+((Inputs!$G$5:$G$190&lt;&gt;"moeda")*(Inputs!$G$5:$G$190&lt;&gt;"acoes")))*INDEX(Inputs!$K$5:$AJ$190,0,MATCH(T$2,Inputs!$K$4:$AJ$4,0)))))</f>
        <v>2066.065037</v>
      </c>
      <c r="U55" s="264">
        <f>IF(ISNA(MATCH(U$2,Inputs!$K$4:$AJ$4,0)),NA(),IF(SUMPRODUCT((Inputs!$A$5:$A$190=$B55)*ISNUMBER(INDEX(Inputs!$K$5:$AJ$190,0,MATCH(U$2,Inputs!$K$4:$AJ$4,0))))+SUMPRODUCT((Inputs!$C$5:$C$190=$B55)*ISNUMBER(INDEX(Inputs!$K$5:$AJ$190,0,MATCH(U$2,Inputs!$K$4:$AJ$4,0))))+SUMPRODUCT((Inputs!$E$5:$E$190=$B55)*ISNUMBER(INDEX(Inputs!$K$5:$AJ$190,0,MATCH(U$2,Inputs!$K$4:$AJ$4,0))))=0,NA(),SUMPRODUCT((Inputs!$A$5:$A$190=$B55)*Inputs!$B$5:$B$190*(((Inputs!$G$5:$G$190="moeda")+(Inputs!$G$5:$G$190="acoes"))*Inputs!$B$1+((Inputs!$G$5:$G$190&lt;&gt;"moeda")*(Inputs!$G$5:$G$190&lt;&gt;"acoes")))*INDEX(Inputs!$K$5:$AJ$190,0,MATCH(U$2,Inputs!$K$4:$AJ$4,0)))+SUMPRODUCT((Inputs!$C$5:$C$190=$B55)*Inputs!$D$5:$D$190*(((Inputs!$G$5:$G$190="moeda")+(Inputs!$G$5:$G$190="acoes"))*Inputs!$B$1+((Inputs!$G$5:$G$190&lt;&gt;"moeda")*(Inputs!$G$5:$G$190&lt;&gt;"acoes")))*INDEX(Inputs!$K$5:$AJ$190,0,MATCH(U$2,Inputs!$K$4:$AJ$4,0)))+SUMPRODUCT((Inputs!$E$5:$E$190=$B55)*Inputs!$F$5:$F$190*(((Inputs!$G$5:$G$190="moeda")+(Inputs!$G$5:$G$190="acoes"))*Inputs!$B$1+((Inputs!$G$5:$G$190&lt;&gt;"moeda")*(Inputs!$G$5:$G$190&lt;&gt;"acoes")))*INDEX(Inputs!$K$5:$AJ$190,0,MATCH(U$2,Inputs!$K$4:$AJ$4,0)))))</f>
        <v>2264.61723902</v>
      </c>
      <c r="V55" s="264">
        <f>IF(ISNA(MATCH(V$2,Inputs!$K$4:$AJ$4,0)),NA(),IF(SUMPRODUCT((Inputs!$A$5:$A$190=$B55)*ISNUMBER(INDEX(Inputs!$K$5:$AJ$190,0,MATCH(V$2,Inputs!$K$4:$AJ$4,0))))+SUMPRODUCT((Inputs!$C$5:$C$190=$B55)*ISNUMBER(INDEX(Inputs!$K$5:$AJ$190,0,MATCH(V$2,Inputs!$K$4:$AJ$4,0))))+SUMPRODUCT((Inputs!$E$5:$E$190=$B55)*ISNUMBER(INDEX(Inputs!$K$5:$AJ$190,0,MATCH(V$2,Inputs!$K$4:$AJ$4,0))))=0,NA(),SUMPRODUCT((Inputs!$A$5:$A$190=$B55)*Inputs!$B$5:$B$190*(((Inputs!$G$5:$G$190="moeda")+(Inputs!$G$5:$G$190="acoes"))*Inputs!$B$1+((Inputs!$G$5:$G$190&lt;&gt;"moeda")*(Inputs!$G$5:$G$190&lt;&gt;"acoes")))*INDEX(Inputs!$K$5:$AJ$190,0,MATCH(V$2,Inputs!$K$4:$AJ$4,0)))+SUMPRODUCT((Inputs!$C$5:$C$190=$B55)*Inputs!$D$5:$D$190*(((Inputs!$G$5:$G$190="moeda")+(Inputs!$G$5:$G$190="acoes"))*Inputs!$B$1+((Inputs!$G$5:$G$190&lt;&gt;"moeda")*(Inputs!$G$5:$G$190&lt;&gt;"acoes")))*INDEX(Inputs!$K$5:$AJ$190,0,MATCH(V$2,Inputs!$K$4:$AJ$4,0)))+SUMPRODUCT((Inputs!$E$5:$E$190=$B55)*Inputs!$F$5:$F$190*(((Inputs!$G$5:$G$190="moeda")+(Inputs!$G$5:$G$190="acoes"))*Inputs!$B$1+((Inputs!$G$5:$G$190&lt;&gt;"moeda")*(Inputs!$G$5:$G$190&lt;&gt;"acoes")))*INDEX(Inputs!$K$5:$AJ$190,0,MATCH(V$2,Inputs!$K$4:$AJ$4,0)))))</f>
        <v>1647.8227367</v>
      </c>
      <c r="W55" s="265">
        <f>SUM(S55:V55)</f>
        <v>7763.44752709</v>
      </c>
      <c r="X55" s="264">
        <f>IF(ISNA(MATCH(X$2,Inputs!$K$4:$AJ$4,0)),NA(),IF(SUMPRODUCT((Inputs!$A$5:$A$190=$B55)*ISNUMBER(INDEX(Inputs!$K$5:$AJ$190,0,MATCH(X$2,Inputs!$K$4:$AJ$4,0))))+SUMPRODUCT((Inputs!$C$5:$C$190=$B55)*ISNUMBER(INDEX(Inputs!$K$5:$AJ$190,0,MATCH(X$2,Inputs!$K$4:$AJ$4,0))))+SUMPRODUCT((Inputs!$E$5:$E$190=$B55)*ISNUMBER(INDEX(Inputs!$K$5:$AJ$190,0,MATCH(X$2,Inputs!$K$4:$AJ$4,0))))=0,NA(),SUMPRODUCT((Inputs!$A$5:$A$190=$B55)*Inputs!$B$5:$B$190*(((Inputs!$G$5:$G$190="moeda")+(Inputs!$G$5:$G$190="acoes"))*Inputs!$B$1+((Inputs!$G$5:$G$190&lt;&gt;"moeda")*(Inputs!$G$5:$G$190&lt;&gt;"acoes")))*INDEX(Inputs!$K$5:$AJ$190,0,MATCH(X$2,Inputs!$K$4:$AJ$4,0)))+SUMPRODUCT((Inputs!$C$5:$C$190=$B55)*Inputs!$D$5:$D$190*(((Inputs!$G$5:$G$190="moeda")+(Inputs!$G$5:$G$190="acoes"))*Inputs!$B$1+((Inputs!$G$5:$G$190&lt;&gt;"moeda")*(Inputs!$G$5:$G$190&lt;&gt;"acoes")))*INDEX(Inputs!$K$5:$AJ$190,0,MATCH(X$2,Inputs!$K$4:$AJ$4,0)))+SUMPRODUCT((Inputs!$E$5:$E$190=$B55)*Inputs!$F$5:$F$190*(((Inputs!$G$5:$G$190="moeda")+(Inputs!$G$5:$G$190="acoes"))*Inputs!$B$1+((Inputs!$G$5:$G$190&lt;&gt;"moeda")*(Inputs!$G$5:$G$190&lt;&gt;"acoes")))*INDEX(Inputs!$K$5:$AJ$190,0,MATCH(X$2,Inputs!$K$4:$AJ$4,0)))))</f>
        <v>2034.87795962</v>
      </c>
      <c r="Y55" s="264">
        <f>IF(ISNA(MATCH(Y$2,Inputs!$K$4:$AJ$4,0)),NA(),IF(SUMPRODUCT((Inputs!$A$5:$A$190=$B55)*ISNUMBER(INDEX(Inputs!$K$5:$AJ$190,0,MATCH(Y$2,Inputs!$K$4:$AJ$4,0))))+SUMPRODUCT((Inputs!$C$5:$C$190=$B55)*ISNUMBER(INDEX(Inputs!$K$5:$AJ$190,0,MATCH(Y$2,Inputs!$K$4:$AJ$4,0))))+SUMPRODUCT((Inputs!$E$5:$E$190=$B55)*ISNUMBER(INDEX(Inputs!$K$5:$AJ$190,0,MATCH(Y$2,Inputs!$K$4:$AJ$4,0))))=0,NA(),SUMPRODUCT((Inputs!$A$5:$A$190=$B55)*Inputs!$B$5:$B$190*(((Inputs!$G$5:$G$190="moeda")+(Inputs!$G$5:$G$190="acoes"))*Inputs!$B$1+((Inputs!$G$5:$G$190&lt;&gt;"moeda")*(Inputs!$G$5:$G$190&lt;&gt;"acoes")))*INDEX(Inputs!$K$5:$AJ$190,0,MATCH(Y$2,Inputs!$K$4:$AJ$4,0)))+SUMPRODUCT((Inputs!$C$5:$C$190=$B55)*Inputs!$D$5:$D$190*(((Inputs!$G$5:$G$190="moeda")+(Inputs!$G$5:$G$190="acoes"))*Inputs!$B$1+((Inputs!$G$5:$G$190&lt;&gt;"moeda")*(Inputs!$G$5:$G$190&lt;&gt;"acoes")))*INDEX(Inputs!$K$5:$AJ$190,0,MATCH(Y$2,Inputs!$K$4:$AJ$4,0)))+SUMPRODUCT((Inputs!$E$5:$E$190=$B55)*Inputs!$F$5:$F$190*(((Inputs!$G$5:$G$190="moeda")+(Inputs!$G$5:$G$190="acoes"))*Inputs!$B$1+((Inputs!$G$5:$G$190&lt;&gt;"moeda")*(Inputs!$G$5:$G$190&lt;&gt;"acoes")))*INDEX(Inputs!$K$5:$AJ$190,0,MATCH(Y$2,Inputs!$K$4:$AJ$4,0)))))</f>
        <v>2029.69801446</v>
      </c>
      <c r="Z55" s="264">
        <f>IF(ISNA(MATCH(Z$2,Inputs!$K$4:$AJ$4,0)),NA(),IF(SUMPRODUCT((Inputs!$A$5:$A$190=$B55)*ISNUMBER(INDEX(Inputs!$K$5:$AJ$190,0,MATCH(Z$2,Inputs!$K$4:$AJ$4,0))))+SUMPRODUCT((Inputs!$C$5:$C$190=$B55)*ISNUMBER(INDEX(Inputs!$K$5:$AJ$190,0,MATCH(Z$2,Inputs!$K$4:$AJ$4,0))))+SUMPRODUCT((Inputs!$E$5:$E$190=$B55)*ISNUMBER(INDEX(Inputs!$K$5:$AJ$190,0,MATCH(Z$2,Inputs!$K$4:$AJ$4,0))))=0,NA(),SUMPRODUCT((Inputs!$A$5:$A$190=$B55)*Inputs!$B$5:$B$190*(((Inputs!$G$5:$G$190="moeda")+(Inputs!$G$5:$G$190="acoes"))*Inputs!$B$1+((Inputs!$G$5:$G$190&lt;&gt;"moeda")*(Inputs!$G$5:$G$190&lt;&gt;"acoes")))*INDEX(Inputs!$K$5:$AJ$190,0,MATCH(Z$2,Inputs!$K$4:$AJ$4,0)))+SUMPRODUCT((Inputs!$C$5:$C$190=$B55)*Inputs!$D$5:$D$190*(((Inputs!$G$5:$G$190="moeda")+(Inputs!$G$5:$G$190="acoes"))*Inputs!$B$1+((Inputs!$G$5:$G$190&lt;&gt;"moeda")*(Inputs!$G$5:$G$190&lt;&gt;"acoes")))*INDEX(Inputs!$K$5:$AJ$190,0,MATCH(Z$2,Inputs!$K$4:$AJ$4,0)))+SUMPRODUCT((Inputs!$E$5:$E$190=$B55)*Inputs!$F$5:$F$190*(((Inputs!$G$5:$G$190="moeda")+(Inputs!$G$5:$G$190="acoes"))*Inputs!$B$1+((Inputs!$G$5:$G$190&lt;&gt;"moeda")*(Inputs!$G$5:$G$190&lt;&gt;"acoes")))*INDEX(Inputs!$K$5:$AJ$190,0,MATCH(Z$2,Inputs!$K$4:$AJ$4,0)))))</f>
        <v>2103.34436349</v>
      </c>
      <c r="AA55" s="264">
        <f>IF(ISNA(MATCH(AA$2,Inputs!$K$4:$AJ$4,0)),NA(),IF(SUMPRODUCT((Inputs!$A$5:$A$190=$B55)*ISNUMBER(INDEX(Inputs!$K$5:$AJ$190,0,MATCH(AA$2,Inputs!$K$4:$AJ$4,0))))+SUMPRODUCT((Inputs!$C$5:$C$190=$B55)*ISNUMBER(INDEX(Inputs!$K$5:$AJ$190,0,MATCH(AA$2,Inputs!$K$4:$AJ$4,0))))+SUMPRODUCT((Inputs!$E$5:$E$190=$B55)*ISNUMBER(INDEX(Inputs!$K$5:$AJ$190,0,MATCH(AA$2,Inputs!$K$4:$AJ$4,0))))=0,NA(),SUMPRODUCT((Inputs!$A$5:$A$190=$B55)*Inputs!$B$5:$B$190*(((Inputs!$G$5:$G$190="moeda")+(Inputs!$G$5:$G$190="acoes"))*Inputs!$B$1+((Inputs!$G$5:$G$190&lt;&gt;"moeda")*(Inputs!$G$5:$G$190&lt;&gt;"acoes")))*INDEX(Inputs!$K$5:$AJ$190,0,MATCH(AA$2,Inputs!$K$4:$AJ$4,0)))+SUMPRODUCT((Inputs!$C$5:$C$190=$B55)*Inputs!$D$5:$D$190*(((Inputs!$G$5:$G$190="moeda")+(Inputs!$G$5:$G$190="acoes"))*Inputs!$B$1+((Inputs!$G$5:$G$190&lt;&gt;"moeda")*(Inputs!$G$5:$G$190&lt;&gt;"acoes")))*INDEX(Inputs!$K$5:$AJ$190,0,MATCH(AA$2,Inputs!$K$4:$AJ$4,0)))+SUMPRODUCT((Inputs!$E$5:$E$190=$B55)*Inputs!$F$5:$F$190*(((Inputs!$G$5:$G$190="moeda")+(Inputs!$G$5:$G$190="acoes"))*Inputs!$B$1+((Inputs!$G$5:$G$190&lt;&gt;"moeda")*(Inputs!$G$5:$G$190&lt;&gt;"acoes")))*INDEX(Inputs!$K$5:$AJ$190,0,MATCH(AA$2,Inputs!$K$4:$AJ$4,0)))))</f>
        <v>2016.69592475</v>
      </c>
      <c r="AB55" s="265">
        <f>SUM(X55:AA55)</f>
        <v>8184.61626232</v>
      </c>
      <c r="AC55" s="264">
        <f>IF(ISNA(MATCH(AC$2,Inputs!$K$4:$AJ$4,0)),NA(),IF(SUMPRODUCT((Inputs!$A$5:$A$190=$B55)*ISNUMBER(INDEX(Inputs!$K$5:$AJ$190,0,MATCH(AC$2,Inputs!$K$4:$AJ$4,0))))+SUMPRODUCT((Inputs!$C$5:$C$190=$B55)*ISNUMBER(INDEX(Inputs!$K$5:$AJ$190,0,MATCH(AC$2,Inputs!$K$4:$AJ$4,0))))+SUMPRODUCT((Inputs!$E$5:$E$190=$B55)*ISNUMBER(INDEX(Inputs!$K$5:$AJ$190,0,MATCH(AC$2,Inputs!$K$4:$AJ$4,0))))=0,NA(),SUMPRODUCT((Inputs!$A$5:$A$190=$B55)*Inputs!$B$5:$B$190*(((Inputs!$G$5:$G$190="moeda")+(Inputs!$G$5:$G$190="acoes"))*Inputs!$B$1+((Inputs!$G$5:$G$190&lt;&gt;"moeda")*(Inputs!$G$5:$G$190&lt;&gt;"acoes")))*INDEX(Inputs!$K$5:$AJ$190,0,MATCH(AC$2,Inputs!$K$4:$AJ$4,0)))+SUMPRODUCT((Inputs!$C$5:$C$190=$B55)*Inputs!$D$5:$D$190*(((Inputs!$G$5:$G$190="moeda")+(Inputs!$G$5:$G$190="acoes"))*Inputs!$B$1+((Inputs!$G$5:$G$190&lt;&gt;"moeda")*(Inputs!$G$5:$G$190&lt;&gt;"acoes")))*INDEX(Inputs!$K$5:$AJ$190,0,MATCH(AC$2,Inputs!$K$4:$AJ$4,0)))+SUMPRODUCT((Inputs!$E$5:$E$190=$B55)*Inputs!$F$5:$F$190*(((Inputs!$G$5:$G$190="moeda")+(Inputs!$G$5:$G$190="acoes"))*Inputs!$B$1+((Inputs!$G$5:$G$190&lt;&gt;"moeda")*(Inputs!$G$5:$G$190&lt;&gt;"acoes")))*INDEX(Inputs!$K$5:$AJ$190,0,MATCH(AC$2,Inputs!$K$4:$AJ$4,0)))))</f>
        <v>1996.47860215</v>
      </c>
      <c r="AD55" s="264">
        <f>IF(ISNA(MATCH(AD$2,Inputs!$K$4:$AJ$4,0)),NA(),IF(SUMPRODUCT((Inputs!$A$5:$A$190=$B55)*ISNUMBER(INDEX(Inputs!$K$5:$AJ$190,0,MATCH(AD$2,Inputs!$K$4:$AJ$4,0))))+SUMPRODUCT((Inputs!$C$5:$C$190=$B55)*ISNUMBER(INDEX(Inputs!$K$5:$AJ$190,0,MATCH(AD$2,Inputs!$K$4:$AJ$4,0))))+SUMPRODUCT((Inputs!$E$5:$E$190=$B55)*ISNUMBER(INDEX(Inputs!$K$5:$AJ$190,0,MATCH(AD$2,Inputs!$K$4:$AJ$4,0))))=0,NA(),SUMPRODUCT((Inputs!$A$5:$A$190=$B55)*Inputs!$B$5:$B$190*(((Inputs!$G$5:$G$190="moeda")+(Inputs!$G$5:$G$190="acoes"))*Inputs!$B$1+((Inputs!$G$5:$G$190&lt;&gt;"moeda")*(Inputs!$G$5:$G$190&lt;&gt;"acoes")))*INDEX(Inputs!$K$5:$AJ$190,0,MATCH(AD$2,Inputs!$K$4:$AJ$4,0)))+SUMPRODUCT((Inputs!$C$5:$C$190=$B55)*Inputs!$D$5:$D$190*(((Inputs!$G$5:$G$190="moeda")+(Inputs!$G$5:$G$190="acoes"))*Inputs!$B$1+((Inputs!$G$5:$G$190&lt;&gt;"moeda")*(Inputs!$G$5:$G$190&lt;&gt;"acoes")))*INDEX(Inputs!$K$5:$AJ$190,0,MATCH(AD$2,Inputs!$K$4:$AJ$4,0)))+SUMPRODUCT((Inputs!$E$5:$E$190=$B55)*Inputs!$F$5:$F$190*(((Inputs!$G$5:$G$190="moeda")+(Inputs!$G$5:$G$190="acoes"))*Inputs!$B$1+((Inputs!$G$5:$G$190&lt;&gt;"moeda")*(Inputs!$G$5:$G$190&lt;&gt;"acoes")))*INDEX(Inputs!$K$5:$AJ$190,0,MATCH(AD$2,Inputs!$K$4:$AJ$4,0)))))</f>
        <v>1671.4949194</v>
      </c>
      <c r="AE55" s="264" t="e">
        <f>IF(ISNA(MATCH(AE$2,Inputs!$K$4:$AJ$4,0)),NA(),IF(SUMPRODUCT((Inputs!$A$5:$A$190=$B55)*ISNUMBER(INDEX(Inputs!$K$5:$AJ$190,0,MATCH(AE$2,Inputs!$K$4:$AJ$4,0))))+SUMPRODUCT((Inputs!$C$5:$C$190=$B55)*ISNUMBER(INDEX(Inputs!$K$5:$AJ$190,0,MATCH(AE$2,Inputs!$K$4:$AJ$4,0))))+SUMPRODUCT((Inputs!$E$5:$E$190=$B55)*ISNUMBER(INDEX(Inputs!$K$5:$AJ$190,0,MATCH(AE$2,Inputs!$K$4:$AJ$4,0))))=0,NA(),SUMPRODUCT((Inputs!$A$5:$A$190=$B55)*Inputs!$B$5:$B$190*(((Inputs!$G$5:$G$190="moeda")+(Inputs!$G$5:$G$190="acoes"))*Inputs!$B$1+((Inputs!$G$5:$G$190&lt;&gt;"moeda")*(Inputs!$G$5:$G$190&lt;&gt;"acoes")))*INDEX(Inputs!$K$5:$AJ$190,0,MATCH(AE$2,Inputs!$K$4:$AJ$4,0)))+SUMPRODUCT((Inputs!$C$5:$C$190=$B55)*Inputs!$D$5:$D$190*(((Inputs!$G$5:$G$190="moeda")+(Inputs!$G$5:$G$190="acoes"))*Inputs!$B$1+((Inputs!$G$5:$G$190&lt;&gt;"moeda")*(Inputs!$G$5:$G$190&lt;&gt;"acoes")))*INDEX(Inputs!$K$5:$AJ$190,0,MATCH(AE$2,Inputs!$K$4:$AJ$4,0)))+SUMPRODUCT((Inputs!$E$5:$E$190=$B55)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55" s="264" t="e">
        <f>IF(ISNA(MATCH(AF$2,Inputs!$K$4:$AJ$4,0)),NA(),IF(SUMPRODUCT((Inputs!$A$5:$A$190=$B55)*ISNUMBER(INDEX(Inputs!$K$5:$AJ$190,0,MATCH(AF$2,Inputs!$K$4:$AJ$4,0))))+SUMPRODUCT((Inputs!$C$5:$C$190=$B55)*ISNUMBER(INDEX(Inputs!$K$5:$AJ$190,0,MATCH(AF$2,Inputs!$K$4:$AJ$4,0))))+SUMPRODUCT((Inputs!$E$5:$E$190=$B55)*ISNUMBER(INDEX(Inputs!$K$5:$AJ$190,0,MATCH(AF$2,Inputs!$K$4:$AJ$4,0))))=0,NA(),SUMPRODUCT((Inputs!$A$5:$A$190=$B55)*Inputs!$B$5:$B$190*(((Inputs!$G$5:$G$190="moeda")+(Inputs!$G$5:$G$190="acoes"))*Inputs!$B$1+((Inputs!$G$5:$G$190&lt;&gt;"moeda")*(Inputs!$G$5:$G$190&lt;&gt;"acoes")))*INDEX(Inputs!$K$5:$AJ$190,0,MATCH(AF$2,Inputs!$K$4:$AJ$4,0)))+SUMPRODUCT((Inputs!$C$5:$C$190=$B55)*Inputs!$D$5:$D$190*(((Inputs!$G$5:$G$190="moeda")+(Inputs!$G$5:$G$190="acoes"))*Inputs!$B$1+((Inputs!$G$5:$G$190&lt;&gt;"moeda")*(Inputs!$G$5:$G$190&lt;&gt;"acoes")))*INDEX(Inputs!$K$5:$AJ$190,0,MATCH(AF$2,Inputs!$K$4:$AJ$4,0)))+SUMPRODUCT((Inputs!$E$5:$E$190=$B55)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55" s="265" t="e">
        <f>SUM(AC55:AF55)</f>
        <v>#N/A</v>
      </c>
      <c r="AH55" s="264">
        <f>IF(ISNA(MATCH(AH$2,Inputs!$K$4:$AJ$4,0)),NA(),IF(SUMPRODUCT((Inputs!$A$5:$A$190=$B55)*ISNUMBER(INDEX(Inputs!$K$5:$AJ$190,0,MATCH(AH$2,Inputs!$K$4:$AJ$4,0))))+SUMPRODUCT((Inputs!$C$5:$C$190=$B55)*ISNUMBER(INDEX(Inputs!$K$5:$AJ$190,0,MATCH(AH$2,Inputs!$K$4:$AJ$4,0))))+SUMPRODUCT((Inputs!$E$5:$E$190=$B55)*ISNUMBER(INDEX(Inputs!$K$5:$AJ$190,0,MATCH(AH$2,Inputs!$K$4:$AJ$4,0))))=0,NA(),SUMPRODUCT((Inputs!$A$5:$A$190=$B55)*Inputs!$B$5:$B$190*(((Inputs!$G$5:$G$190="moeda")+(Inputs!$G$5:$G$190="acoes"))*Inputs!$B$1+((Inputs!$G$5:$G$190&lt;&gt;"moeda")*(Inputs!$G$5:$G$190&lt;&gt;"acoes")))*INDEX(Inputs!$K$5:$AJ$190,0,MATCH(AH$2,Inputs!$K$4:$AJ$4,0)))+SUMPRODUCT((Inputs!$C$5:$C$190=$B55)*Inputs!$D$5:$D$190*(((Inputs!$G$5:$G$190="moeda")+(Inputs!$G$5:$G$190="acoes"))*Inputs!$B$1+((Inputs!$G$5:$G$190&lt;&gt;"moeda")*(Inputs!$G$5:$G$190&lt;&gt;"acoes")))*INDEX(Inputs!$K$5:$AJ$190,0,MATCH(AH$2,Inputs!$K$4:$AJ$4,0)))+SUMPRODUCT((Inputs!$E$5:$E$190=$B55)*Inputs!$F$5:$F$190*(((Inputs!$G$5:$G$190="moeda")+(Inputs!$G$5:$G$190="acoes"))*Inputs!$B$1+((Inputs!$G$5:$G$190&lt;&gt;"moeda")*(Inputs!$G$5:$G$190&lt;&gt;"acoes")))*INDEX(Inputs!$K$5:$AJ$190,0,MATCH(AH$2,Inputs!$K$4:$AJ$4,0)))))</f>
        <v>646.61535452</v>
      </c>
      <c r="AI55" s="264">
        <f>IF(ISNA(MATCH(AI$2,Inputs!$K$4:$AJ$4,0)),NA(),IF(SUMPRODUCT((Inputs!$A$5:$A$190=$B55)*ISNUMBER(INDEX(Inputs!$K$5:$AJ$190,0,MATCH(AI$2,Inputs!$K$4:$AJ$4,0))))+SUMPRODUCT((Inputs!$C$5:$C$190=$B55)*ISNUMBER(INDEX(Inputs!$K$5:$AJ$190,0,MATCH(AI$2,Inputs!$K$4:$AJ$4,0))))+SUMPRODUCT((Inputs!$E$5:$E$190=$B55)*ISNUMBER(INDEX(Inputs!$K$5:$AJ$190,0,MATCH(AI$2,Inputs!$K$4:$AJ$4,0))))=0,NA(),SUMPRODUCT((Inputs!$A$5:$A$190=$B55)*Inputs!$B$5:$B$190*(((Inputs!$G$5:$G$190="moeda")+(Inputs!$G$5:$G$190="acoes"))*Inputs!$B$1+((Inputs!$G$5:$G$190&lt;&gt;"moeda")*(Inputs!$G$5:$G$190&lt;&gt;"acoes")))*INDEX(Inputs!$K$5:$AJ$190,0,MATCH(AI$2,Inputs!$K$4:$AJ$4,0)))+SUMPRODUCT((Inputs!$C$5:$C$190=$B55)*Inputs!$D$5:$D$190*(((Inputs!$G$5:$G$190="moeda")+(Inputs!$G$5:$G$190="acoes"))*Inputs!$B$1+((Inputs!$G$5:$G$190&lt;&gt;"moeda")*(Inputs!$G$5:$G$190&lt;&gt;"acoes")))*INDEX(Inputs!$K$5:$AJ$190,0,MATCH(AI$2,Inputs!$K$4:$AJ$4,0)))+SUMPRODUCT((Inputs!$E$5:$E$190=$B55)*Inputs!$F$5:$F$190*(((Inputs!$G$5:$G$190="moeda")+(Inputs!$G$5:$G$190="acoes"))*Inputs!$B$1+((Inputs!$G$5:$G$190&lt;&gt;"moeda")*(Inputs!$G$5:$G$190&lt;&gt;"acoes")))*INDEX(Inputs!$K$5:$AJ$190,0,MATCH(AI$2,Inputs!$K$4:$AJ$4,0)))))</f>
        <v>866.11079473</v>
      </c>
      <c r="AJ55" s="264">
        <f>IF(ISNA(MATCH(AJ$2,Inputs!$K$4:$AJ$4,0)),NA(),IF(SUMPRODUCT((Inputs!$A$5:$A$190=$B55)*ISNUMBER(INDEX(Inputs!$K$5:$AJ$190,0,MATCH(AJ$2,Inputs!$K$4:$AJ$4,0))))+SUMPRODUCT((Inputs!$C$5:$C$190=$B55)*ISNUMBER(INDEX(Inputs!$K$5:$AJ$190,0,MATCH(AJ$2,Inputs!$K$4:$AJ$4,0))))+SUMPRODUCT((Inputs!$E$5:$E$190=$B55)*ISNUMBER(INDEX(Inputs!$K$5:$AJ$190,0,MATCH(AJ$2,Inputs!$K$4:$AJ$4,0))))=0,NA(),SUMPRODUCT((Inputs!$A$5:$A$190=$B55)*Inputs!$B$5:$B$190*(((Inputs!$G$5:$G$190="moeda")+(Inputs!$G$5:$G$190="acoes"))*Inputs!$B$1+((Inputs!$G$5:$G$190&lt;&gt;"moeda")*(Inputs!$G$5:$G$190&lt;&gt;"acoes")))*INDEX(Inputs!$K$5:$AJ$190,0,MATCH(AJ$2,Inputs!$K$4:$AJ$4,0)))+SUMPRODUCT((Inputs!$C$5:$C$190=$B55)*Inputs!$D$5:$D$190*(((Inputs!$G$5:$G$190="moeda")+(Inputs!$G$5:$G$190="acoes"))*Inputs!$B$1+((Inputs!$G$5:$G$190&lt;&gt;"moeda")*(Inputs!$G$5:$G$190&lt;&gt;"acoes")))*INDEX(Inputs!$K$5:$AJ$190,0,MATCH(AJ$2,Inputs!$K$4:$AJ$4,0)))+SUMPRODUCT((Inputs!$E$5:$E$190=$B55)*Inputs!$F$5:$F$190*(((Inputs!$G$5:$G$190="moeda")+(Inputs!$G$5:$G$190="acoes"))*Inputs!$B$1+((Inputs!$G$5:$G$190&lt;&gt;"moeda")*(Inputs!$G$5:$G$190&lt;&gt;"acoes")))*INDEX(Inputs!$K$5:$AJ$190,0,MATCH(AJ$2,Inputs!$K$4:$AJ$4,0)))))</f>
        <v>790.56190162</v>
      </c>
      <c r="AK55" s="264">
        <f>IF(ISNA(MATCH(AK$2,Inputs!$K$4:$AJ$4,0)),NA(),IF(SUMPRODUCT((Inputs!$A$5:$A$190=$B55)*ISNUMBER(INDEX(Inputs!$K$5:$AJ$190,0,MATCH(AK$2,Inputs!$K$4:$AJ$4,0))))+SUMPRODUCT((Inputs!$C$5:$C$190=$B55)*ISNUMBER(INDEX(Inputs!$K$5:$AJ$190,0,MATCH(AK$2,Inputs!$K$4:$AJ$4,0))))+SUMPRODUCT((Inputs!$E$5:$E$190=$B55)*ISNUMBER(INDEX(Inputs!$K$5:$AJ$190,0,MATCH(AK$2,Inputs!$K$4:$AJ$4,0))))=0,NA(),SUMPRODUCT((Inputs!$A$5:$A$190=$B55)*Inputs!$B$5:$B$190*(((Inputs!$G$5:$G$190="moeda")+(Inputs!$G$5:$G$190="acoes"))*Inputs!$B$1+((Inputs!$G$5:$G$190&lt;&gt;"moeda")*(Inputs!$G$5:$G$190&lt;&gt;"acoes")))*INDEX(Inputs!$K$5:$AJ$190,0,MATCH(AK$2,Inputs!$K$4:$AJ$4,0)))+SUMPRODUCT((Inputs!$C$5:$C$190=$B55)*Inputs!$D$5:$D$190*(((Inputs!$G$5:$G$190="moeda")+(Inputs!$G$5:$G$190="acoes"))*Inputs!$B$1+((Inputs!$G$5:$G$190&lt;&gt;"moeda")*(Inputs!$G$5:$G$190&lt;&gt;"acoes")))*INDEX(Inputs!$K$5:$AJ$190,0,MATCH(AK$2,Inputs!$K$4:$AJ$4,0)))+SUMPRODUCT((Inputs!$E$5:$E$190=$B55)*Inputs!$F$5:$F$190*(((Inputs!$G$5:$G$190="moeda")+(Inputs!$G$5:$G$190="acoes"))*Inputs!$B$1+((Inputs!$G$5:$G$190&lt;&gt;"moeda")*(Inputs!$G$5:$G$190&lt;&gt;"acoes")))*INDEX(Inputs!$K$5:$AJ$190,0,MATCH(AK$2,Inputs!$K$4:$AJ$4,0)))))</f>
        <v>557.61394913</v>
      </c>
      <c r="AL55" s="265">
        <f>SUM(AH55:AK55)</f>
        <v>2860.902</v>
      </c>
    </row>
    <row r="56">
      <c r="B56" s="46" t="n">
        <v>48</v>
      </c>
      <c r="C56" s="29" t="inlineStr">
        <is>
          <t>Receita liquida - JSL (aba JSL l.23)</t>
        </is>
      </c>
      <c r="D56" s="264">
        <f>IF(ISNA(MATCH(D$2,Inputs!$K$4:$AJ$4,0)),NA(),IF(SUMPRODUCT((Inputs!$A$5:$A$190=$B56)*ISNUMBER(INDEX(Inputs!$K$5:$AJ$190,0,MATCH(D$2,Inputs!$K$4:$AJ$4,0))))+SUMPRODUCT((Inputs!$C$5:$C$190=$B56)*ISNUMBER(INDEX(Inputs!$K$5:$AJ$190,0,MATCH(D$2,Inputs!$K$4:$AJ$4,0))))+SUMPRODUCT((Inputs!$E$5:$E$190=$B56)*ISNUMBER(INDEX(Inputs!$K$5:$AJ$190,0,MATCH(D$2,Inputs!$K$4:$AJ$4,0))))=0,NA(),SUMPRODUCT((Inputs!$A$5:$A$190=$B56)*Inputs!$B$5:$B$190*(((Inputs!$G$5:$G$190="moeda")+(Inputs!$G$5:$G$190="acoes"))*Inputs!$B$1+((Inputs!$G$5:$G$190&lt;&gt;"moeda")*(Inputs!$G$5:$G$190&lt;&gt;"acoes")))*INDEX(Inputs!$K$5:$AJ$190,0,MATCH(D$2,Inputs!$K$4:$AJ$4,0)))+SUMPRODUCT((Inputs!$C$5:$C$190=$B56)*Inputs!$D$5:$D$190*(((Inputs!$G$5:$G$190="moeda")+(Inputs!$G$5:$G$190="acoes"))*Inputs!$B$1+((Inputs!$G$5:$G$190&lt;&gt;"moeda")*(Inputs!$G$5:$G$190&lt;&gt;"acoes")))*INDEX(Inputs!$K$5:$AJ$190,0,MATCH(D$2,Inputs!$K$4:$AJ$4,0)))+SUMPRODUCT((Inputs!$E$5:$E$190=$B56)*Inputs!$F$5:$F$190*(((Inputs!$G$5:$G$190="moeda")+(Inputs!$G$5:$G$190="acoes"))*Inputs!$B$1+((Inputs!$G$5:$G$190&lt;&gt;"moeda")*(Inputs!$G$5:$G$190&lt;&gt;"acoes")))*INDEX(Inputs!$K$5:$AJ$190,0,MATCH(D$2,Inputs!$K$4:$AJ$4,0)))))</f>
        <v>868.17127987</v>
      </c>
      <c r="E56" s="264">
        <f>IF(ISNA(MATCH(E$2,Inputs!$K$4:$AJ$4,0)),NA(),IF(SUMPRODUCT((Inputs!$A$5:$A$190=$B56)*ISNUMBER(INDEX(Inputs!$K$5:$AJ$190,0,MATCH(E$2,Inputs!$K$4:$AJ$4,0))))+SUMPRODUCT((Inputs!$C$5:$C$190=$B56)*ISNUMBER(INDEX(Inputs!$K$5:$AJ$190,0,MATCH(E$2,Inputs!$K$4:$AJ$4,0))))+SUMPRODUCT((Inputs!$E$5:$E$190=$B56)*ISNUMBER(INDEX(Inputs!$K$5:$AJ$190,0,MATCH(E$2,Inputs!$K$4:$AJ$4,0))))=0,NA(),SUMPRODUCT((Inputs!$A$5:$A$190=$B56)*Inputs!$B$5:$B$190*(((Inputs!$G$5:$G$190="moeda")+(Inputs!$G$5:$G$190="acoes"))*Inputs!$B$1+((Inputs!$G$5:$G$190&lt;&gt;"moeda")*(Inputs!$G$5:$G$190&lt;&gt;"acoes")))*INDEX(Inputs!$K$5:$AJ$190,0,MATCH(E$2,Inputs!$K$4:$AJ$4,0)))+SUMPRODUCT((Inputs!$C$5:$C$190=$B56)*Inputs!$D$5:$D$190*(((Inputs!$G$5:$G$190="moeda")+(Inputs!$G$5:$G$190="acoes"))*Inputs!$B$1+((Inputs!$G$5:$G$190&lt;&gt;"moeda")*(Inputs!$G$5:$G$190&lt;&gt;"acoes")))*INDEX(Inputs!$K$5:$AJ$190,0,MATCH(E$2,Inputs!$K$4:$AJ$4,0)))+SUMPRODUCT((Inputs!$E$5:$E$190=$B56)*Inputs!$F$5:$F$190*(((Inputs!$G$5:$G$190="moeda")+(Inputs!$G$5:$G$190="acoes"))*Inputs!$B$1+((Inputs!$G$5:$G$190&lt;&gt;"moeda")*(Inputs!$G$5:$G$190&lt;&gt;"acoes")))*INDEX(Inputs!$K$5:$AJ$190,0,MATCH(E$2,Inputs!$K$4:$AJ$4,0)))))</f>
        <v>922.366763343647</v>
      </c>
      <c r="F56" s="264">
        <f>IF(ISNA(MATCH(F$2,Inputs!$K$4:$AJ$4,0)),NA(),IF(SUMPRODUCT((Inputs!$A$5:$A$190=$B56)*ISNUMBER(INDEX(Inputs!$K$5:$AJ$190,0,MATCH(F$2,Inputs!$K$4:$AJ$4,0))))+SUMPRODUCT((Inputs!$C$5:$C$190=$B56)*ISNUMBER(INDEX(Inputs!$K$5:$AJ$190,0,MATCH(F$2,Inputs!$K$4:$AJ$4,0))))+SUMPRODUCT((Inputs!$E$5:$E$190=$B56)*ISNUMBER(INDEX(Inputs!$K$5:$AJ$190,0,MATCH(F$2,Inputs!$K$4:$AJ$4,0))))=0,NA(),SUMPRODUCT((Inputs!$A$5:$A$190=$B56)*Inputs!$B$5:$B$190*(((Inputs!$G$5:$G$190="moeda")+(Inputs!$G$5:$G$190="acoes"))*Inputs!$B$1+((Inputs!$G$5:$G$190&lt;&gt;"moeda")*(Inputs!$G$5:$G$190&lt;&gt;"acoes")))*INDEX(Inputs!$K$5:$AJ$190,0,MATCH(F$2,Inputs!$K$4:$AJ$4,0)))+SUMPRODUCT((Inputs!$C$5:$C$190=$B56)*Inputs!$D$5:$D$190*(((Inputs!$G$5:$G$190="moeda")+(Inputs!$G$5:$G$190="acoes"))*Inputs!$B$1+((Inputs!$G$5:$G$190&lt;&gt;"moeda")*(Inputs!$G$5:$G$190&lt;&gt;"acoes")))*INDEX(Inputs!$K$5:$AJ$190,0,MATCH(F$2,Inputs!$K$4:$AJ$4,0)))+SUMPRODUCT((Inputs!$E$5:$E$190=$B56)*Inputs!$F$5:$F$190*(((Inputs!$G$5:$G$190="moeda")+(Inputs!$G$5:$G$190="acoes"))*Inputs!$B$1+((Inputs!$G$5:$G$190&lt;&gt;"moeda")*(Inputs!$G$5:$G$190&lt;&gt;"acoes")))*INDEX(Inputs!$K$5:$AJ$190,0,MATCH(F$2,Inputs!$K$4:$AJ$4,0)))))</f>
        <v>1177.7676295154</v>
      </c>
      <c r="G56" s="264">
        <f>IF(ISNA(MATCH(G$2,Inputs!$K$4:$AJ$4,0)),NA(),IF(SUMPRODUCT((Inputs!$A$5:$A$190=$B56)*ISNUMBER(INDEX(Inputs!$K$5:$AJ$190,0,MATCH(G$2,Inputs!$K$4:$AJ$4,0))))+SUMPRODUCT((Inputs!$C$5:$C$190=$B56)*ISNUMBER(INDEX(Inputs!$K$5:$AJ$190,0,MATCH(G$2,Inputs!$K$4:$AJ$4,0))))+SUMPRODUCT((Inputs!$E$5:$E$190=$B56)*ISNUMBER(INDEX(Inputs!$K$5:$AJ$190,0,MATCH(G$2,Inputs!$K$4:$AJ$4,0))))=0,NA(),SUMPRODUCT((Inputs!$A$5:$A$190=$B56)*Inputs!$B$5:$B$190*(((Inputs!$G$5:$G$190="moeda")+(Inputs!$G$5:$G$190="acoes"))*Inputs!$B$1+((Inputs!$G$5:$G$190&lt;&gt;"moeda")*(Inputs!$G$5:$G$190&lt;&gt;"acoes")))*INDEX(Inputs!$K$5:$AJ$190,0,MATCH(G$2,Inputs!$K$4:$AJ$4,0)))+SUMPRODUCT((Inputs!$C$5:$C$190=$B56)*Inputs!$D$5:$D$190*(((Inputs!$G$5:$G$190="moeda")+(Inputs!$G$5:$G$190="acoes"))*Inputs!$B$1+((Inputs!$G$5:$G$190&lt;&gt;"moeda")*(Inputs!$G$5:$G$190&lt;&gt;"acoes")))*INDEX(Inputs!$K$5:$AJ$190,0,MATCH(G$2,Inputs!$K$4:$AJ$4,0)))+SUMPRODUCT((Inputs!$E$5:$E$190=$B56)*Inputs!$F$5:$F$190*(((Inputs!$G$5:$G$190="moeda")+(Inputs!$G$5:$G$190="acoes"))*Inputs!$B$1+((Inputs!$G$5:$G$190&lt;&gt;"moeda")*(Inputs!$G$5:$G$190&lt;&gt;"acoes")))*INDEX(Inputs!$K$5:$AJ$190,0,MATCH(G$2,Inputs!$K$4:$AJ$4,0)))))</f>
        <v>1327.76305050791</v>
      </c>
      <c r="H56" s="265">
        <f>SUM(D56:G56)</f>
        <v>4296.06872323695</v>
      </c>
      <c r="I56" s="264">
        <f>IF(ISNA(MATCH(I$2,Inputs!$K$4:$AJ$4,0)),NA(),IF(SUMPRODUCT((Inputs!$A$5:$A$190=$B56)*ISNUMBER(INDEX(Inputs!$K$5:$AJ$190,0,MATCH(I$2,Inputs!$K$4:$AJ$4,0))))+SUMPRODUCT((Inputs!$C$5:$C$190=$B56)*ISNUMBER(INDEX(Inputs!$K$5:$AJ$190,0,MATCH(I$2,Inputs!$K$4:$AJ$4,0))))+SUMPRODUCT((Inputs!$E$5:$E$190=$B56)*ISNUMBER(INDEX(Inputs!$K$5:$AJ$190,0,MATCH(I$2,Inputs!$K$4:$AJ$4,0))))=0,NA(),SUMPRODUCT((Inputs!$A$5:$A$190=$B56)*Inputs!$B$5:$B$190*(((Inputs!$G$5:$G$190="moeda")+(Inputs!$G$5:$G$190="acoes"))*Inputs!$B$1+((Inputs!$G$5:$G$190&lt;&gt;"moeda")*(Inputs!$G$5:$G$190&lt;&gt;"acoes")))*INDEX(Inputs!$K$5:$AJ$190,0,MATCH(I$2,Inputs!$K$4:$AJ$4,0)))+SUMPRODUCT((Inputs!$C$5:$C$190=$B56)*Inputs!$D$5:$D$190*(((Inputs!$G$5:$G$190="moeda")+(Inputs!$G$5:$G$190="acoes"))*Inputs!$B$1+((Inputs!$G$5:$G$190&lt;&gt;"moeda")*(Inputs!$G$5:$G$190&lt;&gt;"acoes")))*INDEX(Inputs!$K$5:$AJ$190,0,MATCH(I$2,Inputs!$K$4:$AJ$4,0)))+SUMPRODUCT((Inputs!$E$5:$E$190=$B56)*Inputs!$F$5:$F$190*(((Inputs!$G$5:$G$190="moeda")+(Inputs!$G$5:$G$190="acoes"))*Inputs!$B$1+((Inputs!$G$5:$G$190&lt;&gt;"moeda")*(Inputs!$G$5:$G$190&lt;&gt;"acoes")))*INDEX(Inputs!$K$5:$AJ$190,0,MATCH(I$2,Inputs!$K$4:$AJ$4,0)))))</f>
        <v>1296.4594049669</v>
      </c>
      <c r="J56" s="264">
        <f>IF(ISNA(MATCH(J$2,Inputs!$K$4:$AJ$4,0)),NA(),IF(SUMPRODUCT((Inputs!$A$5:$A$190=$B56)*ISNUMBER(INDEX(Inputs!$K$5:$AJ$190,0,MATCH(J$2,Inputs!$K$4:$AJ$4,0))))+SUMPRODUCT((Inputs!$C$5:$C$190=$B56)*ISNUMBER(INDEX(Inputs!$K$5:$AJ$190,0,MATCH(J$2,Inputs!$K$4:$AJ$4,0))))+SUMPRODUCT((Inputs!$E$5:$E$190=$B56)*ISNUMBER(INDEX(Inputs!$K$5:$AJ$190,0,MATCH(J$2,Inputs!$K$4:$AJ$4,0))))=0,NA(),SUMPRODUCT((Inputs!$A$5:$A$190=$B56)*Inputs!$B$5:$B$190*(((Inputs!$G$5:$G$190="moeda")+(Inputs!$G$5:$G$190="acoes"))*Inputs!$B$1+((Inputs!$G$5:$G$190&lt;&gt;"moeda")*(Inputs!$G$5:$G$190&lt;&gt;"acoes")))*INDEX(Inputs!$K$5:$AJ$190,0,MATCH(J$2,Inputs!$K$4:$AJ$4,0)))+SUMPRODUCT((Inputs!$C$5:$C$190=$B56)*Inputs!$D$5:$D$190*(((Inputs!$G$5:$G$190="moeda")+(Inputs!$G$5:$G$190="acoes"))*Inputs!$B$1+((Inputs!$G$5:$G$190&lt;&gt;"moeda")*(Inputs!$G$5:$G$190&lt;&gt;"acoes")))*INDEX(Inputs!$K$5:$AJ$190,0,MATCH(J$2,Inputs!$K$4:$AJ$4,0)))+SUMPRODUCT((Inputs!$E$5:$E$190=$B56)*Inputs!$F$5:$F$190*(((Inputs!$G$5:$G$190="moeda")+(Inputs!$G$5:$G$190="acoes"))*Inputs!$B$1+((Inputs!$G$5:$G$190&lt;&gt;"moeda")*(Inputs!$G$5:$G$190&lt;&gt;"acoes")))*INDEX(Inputs!$K$5:$AJ$190,0,MATCH(J$2,Inputs!$K$4:$AJ$4,0)))))</f>
        <v>1438.6826346731</v>
      </c>
      <c r="K56" s="264">
        <f>IF(ISNA(MATCH(K$2,Inputs!$K$4:$AJ$4,0)),NA(),IF(SUMPRODUCT((Inputs!$A$5:$A$190=$B56)*ISNUMBER(INDEX(Inputs!$K$5:$AJ$190,0,MATCH(K$2,Inputs!$K$4:$AJ$4,0))))+SUMPRODUCT((Inputs!$C$5:$C$190=$B56)*ISNUMBER(INDEX(Inputs!$K$5:$AJ$190,0,MATCH(K$2,Inputs!$K$4:$AJ$4,0))))+SUMPRODUCT((Inputs!$E$5:$E$190=$B56)*ISNUMBER(INDEX(Inputs!$K$5:$AJ$190,0,MATCH(K$2,Inputs!$K$4:$AJ$4,0))))=0,NA(),SUMPRODUCT((Inputs!$A$5:$A$190=$B56)*Inputs!$B$5:$B$190*(((Inputs!$G$5:$G$190="moeda")+(Inputs!$G$5:$G$190="acoes"))*Inputs!$B$1+((Inputs!$G$5:$G$190&lt;&gt;"moeda")*(Inputs!$G$5:$G$190&lt;&gt;"acoes")))*INDEX(Inputs!$K$5:$AJ$190,0,MATCH(K$2,Inputs!$K$4:$AJ$4,0)))+SUMPRODUCT((Inputs!$C$5:$C$190=$B56)*Inputs!$D$5:$D$190*(((Inputs!$G$5:$G$190="moeda")+(Inputs!$G$5:$G$190="acoes"))*Inputs!$B$1+((Inputs!$G$5:$G$190&lt;&gt;"moeda")*(Inputs!$G$5:$G$190&lt;&gt;"acoes")))*INDEX(Inputs!$K$5:$AJ$190,0,MATCH(K$2,Inputs!$K$4:$AJ$4,0)))+SUMPRODUCT((Inputs!$E$5:$E$190=$B56)*Inputs!$F$5:$F$190*(((Inputs!$G$5:$G$190="moeda")+(Inputs!$G$5:$G$190="acoes"))*Inputs!$B$1+((Inputs!$G$5:$G$190&lt;&gt;"moeda")*(Inputs!$G$5:$G$190&lt;&gt;"acoes")))*INDEX(Inputs!$K$5:$AJ$190,0,MATCH(K$2,Inputs!$K$4:$AJ$4,0)))))</f>
        <v>1624.8180787202</v>
      </c>
      <c r="L56" s="264">
        <f>IF(ISNA(MATCH(L$2,Inputs!$K$4:$AJ$4,0)),NA(),IF(SUMPRODUCT((Inputs!$A$5:$A$190=$B56)*ISNUMBER(INDEX(Inputs!$K$5:$AJ$190,0,MATCH(L$2,Inputs!$K$4:$AJ$4,0))))+SUMPRODUCT((Inputs!$C$5:$C$190=$B56)*ISNUMBER(INDEX(Inputs!$K$5:$AJ$190,0,MATCH(L$2,Inputs!$K$4:$AJ$4,0))))+SUMPRODUCT((Inputs!$E$5:$E$190=$B56)*ISNUMBER(INDEX(Inputs!$K$5:$AJ$190,0,MATCH(L$2,Inputs!$K$4:$AJ$4,0))))=0,NA(),SUMPRODUCT((Inputs!$A$5:$A$190=$B56)*Inputs!$B$5:$B$190*(((Inputs!$G$5:$G$190="moeda")+(Inputs!$G$5:$G$190="acoes"))*Inputs!$B$1+((Inputs!$G$5:$G$190&lt;&gt;"moeda")*(Inputs!$G$5:$G$190&lt;&gt;"acoes")))*INDEX(Inputs!$K$5:$AJ$190,0,MATCH(L$2,Inputs!$K$4:$AJ$4,0)))+SUMPRODUCT((Inputs!$C$5:$C$190=$B56)*Inputs!$D$5:$D$190*(((Inputs!$G$5:$G$190="moeda")+(Inputs!$G$5:$G$190="acoes"))*Inputs!$B$1+((Inputs!$G$5:$G$190&lt;&gt;"moeda")*(Inputs!$G$5:$G$190&lt;&gt;"acoes")))*INDEX(Inputs!$K$5:$AJ$190,0,MATCH(L$2,Inputs!$K$4:$AJ$4,0)))+SUMPRODUCT((Inputs!$E$5:$E$190=$B56)*Inputs!$F$5:$F$190*(((Inputs!$G$5:$G$190="moeda")+(Inputs!$G$5:$G$190="acoes"))*Inputs!$B$1+((Inputs!$G$5:$G$190&lt;&gt;"moeda")*(Inputs!$G$5:$G$190&lt;&gt;"acoes")))*INDEX(Inputs!$K$5:$AJ$190,0,MATCH(L$2,Inputs!$K$4:$AJ$4,0)))))</f>
        <v>1662.4451971423</v>
      </c>
      <c r="M56" s="265">
        <f>SUM(I56:L56)</f>
        <v>6022.4053155025</v>
      </c>
      <c r="N56" s="264">
        <f>IF(ISNA(MATCH(N$2,Inputs!$K$4:$AJ$4,0)),NA(),IF(SUMPRODUCT((Inputs!$A$5:$A$190=$B56)*ISNUMBER(INDEX(Inputs!$K$5:$AJ$190,0,MATCH(N$2,Inputs!$K$4:$AJ$4,0))))+SUMPRODUCT((Inputs!$C$5:$C$190=$B56)*ISNUMBER(INDEX(Inputs!$K$5:$AJ$190,0,MATCH(N$2,Inputs!$K$4:$AJ$4,0))))+SUMPRODUCT((Inputs!$E$5:$E$190=$B56)*ISNUMBER(INDEX(Inputs!$K$5:$AJ$190,0,MATCH(N$2,Inputs!$K$4:$AJ$4,0))))=0,NA(),SUMPRODUCT((Inputs!$A$5:$A$190=$B56)*Inputs!$B$5:$B$190*(((Inputs!$G$5:$G$190="moeda")+(Inputs!$G$5:$G$190="acoes"))*Inputs!$B$1+((Inputs!$G$5:$G$190&lt;&gt;"moeda")*(Inputs!$G$5:$G$190&lt;&gt;"acoes")))*INDEX(Inputs!$K$5:$AJ$190,0,MATCH(N$2,Inputs!$K$4:$AJ$4,0)))+SUMPRODUCT((Inputs!$C$5:$C$190=$B56)*Inputs!$D$5:$D$190*(((Inputs!$G$5:$G$190="moeda")+(Inputs!$G$5:$G$190="acoes"))*Inputs!$B$1+((Inputs!$G$5:$G$190&lt;&gt;"moeda")*(Inputs!$G$5:$G$190&lt;&gt;"acoes")))*INDEX(Inputs!$K$5:$AJ$190,0,MATCH(N$2,Inputs!$K$4:$AJ$4,0)))+SUMPRODUCT((Inputs!$E$5:$E$190=$B56)*Inputs!$F$5:$F$190*(((Inputs!$G$5:$G$190="moeda")+(Inputs!$G$5:$G$190="acoes"))*Inputs!$B$1+((Inputs!$G$5:$G$190&lt;&gt;"moeda")*(Inputs!$G$5:$G$190&lt;&gt;"acoes")))*INDEX(Inputs!$K$5:$AJ$190,0,MATCH(N$2,Inputs!$K$4:$AJ$4,0)))))</f>
        <v>1563.57782895705</v>
      </c>
      <c r="O56" s="264">
        <f>IF(ISNA(MATCH(O$2,Inputs!$K$4:$AJ$4,0)),NA(),IF(SUMPRODUCT((Inputs!$A$5:$A$190=$B56)*ISNUMBER(INDEX(Inputs!$K$5:$AJ$190,0,MATCH(O$2,Inputs!$K$4:$AJ$4,0))))+SUMPRODUCT((Inputs!$C$5:$C$190=$B56)*ISNUMBER(INDEX(Inputs!$K$5:$AJ$190,0,MATCH(O$2,Inputs!$K$4:$AJ$4,0))))+SUMPRODUCT((Inputs!$E$5:$E$190=$B56)*ISNUMBER(INDEX(Inputs!$K$5:$AJ$190,0,MATCH(O$2,Inputs!$K$4:$AJ$4,0))))=0,NA(),SUMPRODUCT((Inputs!$A$5:$A$190=$B56)*Inputs!$B$5:$B$190*(((Inputs!$G$5:$G$190="moeda")+(Inputs!$G$5:$G$190="acoes"))*Inputs!$B$1+((Inputs!$G$5:$G$190&lt;&gt;"moeda")*(Inputs!$G$5:$G$190&lt;&gt;"acoes")))*INDEX(Inputs!$K$5:$AJ$190,0,MATCH(O$2,Inputs!$K$4:$AJ$4,0)))+SUMPRODUCT((Inputs!$C$5:$C$190=$B56)*Inputs!$D$5:$D$190*(((Inputs!$G$5:$G$190="moeda")+(Inputs!$G$5:$G$190="acoes"))*Inputs!$B$1+((Inputs!$G$5:$G$190&lt;&gt;"moeda")*(Inputs!$G$5:$G$190&lt;&gt;"acoes")))*INDEX(Inputs!$K$5:$AJ$190,0,MATCH(O$2,Inputs!$K$4:$AJ$4,0)))+SUMPRODUCT((Inputs!$E$5:$E$190=$B56)*Inputs!$F$5:$F$190*(((Inputs!$G$5:$G$190="moeda")+(Inputs!$G$5:$G$190="acoes"))*Inputs!$B$1+((Inputs!$G$5:$G$190&lt;&gt;"moeda")*(Inputs!$G$5:$G$190&lt;&gt;"acoes")))*INDEX(Inputs!$K$5:$AJ$190,0,MATCH(O$2,Inputs!$K$4:$AJ$4,0)))))</f>
        <v>1839.57522649244</v>
      </c>
      <c r="P56" s="264">
        <f>IF(ISNA(MATCH(P$2,Inputs!$K$4:$AJ$4,0)),NA(),IF(SUMPRODUCT((Inputs!$A$5:$A$190=$B56)*ISNUMBER(INDEX(Inputs!$K$5:$AJ$190,0,MATCH(P$2,Inputs!$K$4:$AJ$4,0))))+SUMPRODUCT((Inputs!$C$5:$C$190=$B56)*ISNUMBER(INDEX(Inputs!$K$5:$AJ$190,0,MATCH(P$2,Inputs!$K$4:$AJ$4,0))))+SUMPRODUCT((Inputs!$E$5:$E$190=$B56)*ISNUMBER(INDEX(Inputs!$K$5:$AJ$190,0,MATCH(P$2,Inputs!$K$4:$AJ$4,0))))=0,NA(),SUMPRODUCT((Inputs!$A$5:$A$190=$B56)*Inputs!$B$5:$B$190*(((Inputs!$G$5:$G$190="moeda")+(Inputs!$G$5:$G$190="acoes"))*Inputs!$B$1+((Inputs!$G$5:$G$190&lt;&gt;"moeda")*(Inputs!$G$5:$G$190&lt;&gt;"acoes")))*INDEX(Inputs!$K$5:$AJ$190,0,MATCH(P$2,Inputs!$K$4:$AJ$4,0)))+SUMPRODUCT((Inputs!$C$5:$C$190=$B56)*Inputs!$D$5:$D$190*(((Inputs!$G$5:$G$190="moeda")+(Inputs!$G$5:$G$190="acoes"))*Inputs!$B$1+((Inputs!$G$5:$G$190&lt;&gt;"moeda")*(Inputs!$G$5:$G$190&lt;&gt;"acoes")))*INDEX(Inputs!$K$5:$AJ$190,0,MATCH(P$2,Inputs!$K$4:$AJ$4,0)))+SUMPRODUCT((Inputs!$E$5:$E$190=$B56)*Inputs!$F$5:$F$190*(((Inputs!$G$5:$G$190="moeda")+(Inputs!$G$5:$G$190="acoes"))*Inputs!$B$1+((Inputs!$G$5:$G$190&lt;&gt;"moeda")*(Inputs!$G$5:$G$190&lt;&gt;"acoes")))*INDEX(Inputs!$K$5:$AJ$190,0,MATCH(P$2,Inputs!$K$4:$AJ$4,0)))))</f>
        <v>2010.12505354333</v>
      </c>
      <c r="Q56" s="264">
        <f>IF(ISNA(MATCH(Q$2,Inputs!$K$4:$AJ$4,0)),NA(),IF(SUMPRODUCT((Inputs!$A$5:$A$190=$B56)*ISNUMBER(INDEX(Inputs!$K$5:$AJ$190,0,MATCH(Q$2,Inputs!$K$4:$AJ$4,0))))+SUMPRODUCT((Inputs!$C$5:$C$190=$B56)*ISNUMBER(INDEX(Inputs!$K$5:$AJ$190,0,MATCH(Q$2,Inputs!$K$4:$AJ$4,0))))+SUMPRODUCT((Inputs!$E$5:$E$190=$B56)*ISNUMBER(INDEX(Inputs!$K$5:$AJ$190,0,MATCH(Q$2,Inputs!$K$4:$AJ$4,0))))=0,NA(),SUMPRODUCT((Inputs!$A$5:$A$190=$B56)*Inputs!$B$5:$B$190*(((Inputs!$G$5:$G$190="moeda")+(Inputs!$G$5:$G$190="acoes"))*Inputs!$B$1+((Inputs!$G$5:$G$190&lt;&gt;"moeda")*(Inputs!$G$5:$G$190&lt;&gt;"acoes")))*INDEX(Inputs!$K$5:$AJ$190,0,MATCH(Q$2,Inputs!$K$4:$AJ$4,0)))+SUMPRODUCT((Inputs!$C$5:$C$190=$B56)*Inputs!$D$5:$D$190*(((Inputs!$G$5:$G$190="moeda")+(Inputs!$G$5:$G$190="acoes"))*Inputs!$B$1+((Inputs!$G$5:$G$190&lt;&gt;"moeda")*(Inputs!$G$5:$G$190&lt;&gt;"acoes")))*INDEX(Inputs!$K$5:$AJ$190,0,MATCH(Q$2,Inputs!$K$4:$AJ$4,0)))+SUMPRODUCT((Inputs!$E$5:$E$190=$B56)*Inputs!$F$5:$F$190*(((Inputs!$G$5:$G$190="moeda")+(Inputs!$G$5:$G$190="acoes"))*Inputs!$B$1+((Inputs!$G$5:$G$190&lt;&gt;"moeda")*(Inputs!$G$5:$G$190&lt;&gt;"acoes")))*INDEX(Inputs!$K$5:$AJ$190,0,MATCH(Q$2,Inputs!$K$4:$AJ$4,0)))))</f>
        <v>2161.36609257363</v>
      </c>
      <c r="R56" s="265">
        <f>SUM(N56:Q56)</f>
        <v>7574.64420156644</v>
      </c>
      <c r="S56" s="264">
        <f>IF(ISNA(MATCH(S$2,Inputs!$K$4:$AJ$4,0)),NA(),IF(SUMPRODUCT((Inputs!$A$5:$A$190=$B56)*ISNUMBER(INDEX(Inputs!$K$5:$AJ$190,0,MATCH(S$2,Inputs!$K$4:$AJ$4,0))))+SUMPRODUCT((Inputs!$C$5:$C$190=$B56)*ISNUMBER(INDEX(Inputs!$K$5:$AJ$190,0,MATCH(S$2,Inputs!$K$4:$AJ$4,0))))+SUMPRODUCT((Inputs!$E$5:$E$190=$B56)*ISNUMBER(INDEX(Inputs!$K$5:$AJ$190,0,MATCH(S$2,Inputs!$K$4:$AJ$4,0))))=0,NA(),SUMPRODUCT((Inputs!$A$5:$A$190=$B56)*Inputs!$B$5:$B$190*(((Inputs!$G$5:$G$190="moeda")+(Inputs!$G$5:$G$190="acoes"))*Inputs!$B$1+((Inputs!$G$5:$G$190&lt;&gt;"moeda")*(Inputs!$G$5:$G$190&lt;&gt;"acoes")))*INDEX(Inputs!$K$5:$AJ$190,0,MATCH(S$2,Inputs!$K$4:$AJ$4,0)))+SUMPRODUCT((Inputs!$C$5:$C$190=$B56)*Inputs!$D$5:$D$190*(((Inputs!$G$5:$G$190="moeda")+(Inputs!$G$5:$G$190="acoes"))*Inputs!$B$1+((Inputs!$G$5:$G$190&lt;&gt;"moeda")*(Inputs!$G$5:$G$190&lt;&gt;"acoes")))*INDEX(Inputs!$K$5:$AJ$190,0,MATCH(S$2,Inputs!$K$4:$AJ$4,0)))+SUMPRODUCT((Inputs!$E$5:$E$190=$B56)*Inputs!$F$5:$F$190*(((Inputs!$G$5:$G$190="moeda")+(Inputs!$G$5:$G$190="acoes"))*Inputs!$B$1+((Inputs!$G$5:$G$190&lt;&gt;"moeda")*(Inputs!$G$5:$G$190&lt;&gt;"acoes")))*INDEX(Inputs!$K$5:$AJ$190,0,MATCH(S$2,Inputs!$K$4:$AJ$4,0)))))</f>
        <v>2070.3405070966</v>
      </c>
      <c r="T56" s="264">
        <f>IF(ISNA(MATCH(T$2,Inputs!$K$4:$AJ$4,0)),NA(),IF(SUMPRODUCT((Inputs!$A$5:$A$190=$B56)*ISNUMBER(INDEX(Inputs!$K$5:$AJ$190,0,MATCH(T$2,Inputs!$K$4:$AJ$4,0))))+SUMPRODUCT((Inputs!$C$5:$C$190=$B56)*ISNUMBER(INDEX(Inputs!$K$5:$AJ$190,0,MATCH(T$2,Inputs!$K$4:$AJ$4,0))))+SUMPRODUCT((Inputs!$E$5:$E$190=$B56)*ISNUMBER(INDEX(Inputs!$K$5:$AJ$190,0,MATCH(T$2,Inputs!$K$4:$AJ$4,0))))=0,NA(),SUMPRODUCT((Inputs!$A$5:$A$190=$B56)*Inputs!$B$5:$B$190*(((Inputs!$G$5:$G$190="moeda")+(Inputs!$G$5:$G$190="acoes"))*Inputs!$B$1+((Inputs!$G$5:$G$190&lt;&gt;"moeda")*(Inputs!$G$5:$G$190&lt;&gt;"acoes")))*INDEX(Inputs!$K$5:$AJ$190,0,MATCH(T$2,Inputs!$K$4:$AJ$4,0)))+SUMPRODUCT((Inputs!$C$5:$C$190=$B56)*Inputs!$D$5:$D$190*(((Inputs!$G$5:$G$190="moeda")+(Inputs!$G$5:$G$190="acoes"))*Inputs!$B$1+((Inputs!$G$5:$G$190&lt;&gt;"moeda")*(Inputs!$G$5:$G$190&lt;&gt;"acoes")))*INDEX(Inputs!$K$5:$AJ$190,0,MATCH(T$2,Inputs!$K$4:$AJ$4,0)))+SUMPRODUCT((Inputs!$E$5:$E$190=$B56)*Inputs!$F$5:$F$190*(((Inputs!$G$5:$G$190="moeda")+(Inputs!$G$5:$G$190="acoes"))*Inputs!$B$1+((Inputs!$G$5:$G$190&lt;&gt;"moeda")*(Inputs!$G$5:$G$190&lt;&gt;"acoes")))*INDEX(Inputs!$K$5:$AJ$190,0,MATCH(T$2,Inputs!$K$4:$AJ$4,0)))))</f>
        <v>2142.59474085545</v>
      </c>
      <c r="U56" s="264">
        <f>IF(ISNA(MATCH(U$2,Inputs!$K$4:$AJ$4,0)),NA(),IF(SUMPRODUCT((Inputs!$A$5:$A$190=$B56)*ISNUMBER(INDEX(Inputs!$K$5:$AJ$190,0,MATCH(U$2,Inputs!$K$4:$AJ$4,0))))+SUMPRODUCT((Inputs!$C$5:$C$190=$B56)*ISNUMBER(INDEX(Inputs!$K$5:$AJ$190,0,MATCH(U$2,Inputs!$K$4:$AJ$4,0))))+SUMPRODUCT((Inputs!$E$5:$E$190=$B56)*ISNUMBER(INDEX(Inputs!$K$5:$AJ$190,0,MATCH(U$2,Inputs!$K$4:$AJ$4,0))))=0,NA(),SUMPRODUCT((Inputs!$A$5:$A$190=$B56)*Inputs!$B$5:$B$190*(((Inputs!$G$5:$G$190="moeda")+(Inputs!$G$5:$G$190="acoes"))*Inputs!$B$1+((Inputs!$G$5:$G$190&lt;&gt;"moeda")*(Inputs!$G$5:$G$190&lt;&gt;"acoes")))*INDEX(Inputs!$K$5:$AJ$190,0,MATCH(U$2,Inputs!$K$4:$AJ$4,0)))+SUMPRODUCT((Inputs!$C$5:$C$190=$B56)*Inputs!$D$5:$D$190*(((Inputs!$G$5:$G$190="moeda")+(Inputs!$G$5:$G$190="acoes"))*Inputs!$B$1+((Inputs!$G$5:$G$190&lt;&gt;"moeda")*(Inputs!$G$5:$G$190&lt;&gt;"acoes")))*INDEX(Inputs!$K$5:$AJ$190,0,MATCH(U$2,Inputs!$K$4:$AJ$4,0)))+SUMPRODUCT((Inputs!$E$5:$E$190=$B56)*Inputs!$F$5:$F$190*(((Inputs!$G$5:$G$190="moeda")+(Inputs!$G$5:$G$190="acoes"))*Inputs!$B$1+((Inputs!$G$5:$G$190&lt;&gt;"moeda")*(Inputs!$G$5:$G$190&lt;&gt;"acoes")))*INDEX(Inputs!$K$5:$AJ$190,0,MATCH(U$2,Inputs!$K$4:$AJ$4,0)))))</f>
        <v>2352.356008492</v>
      </c>
      <c r="V56" s="264">
        <f>IF(ISNA(MATCH(V$2,Inputs!$K$4:$AJ$4,0)),NA(),IF(SUMPRODUCT((Inputs!$A$5:$A$190=$B56)*ISNUMBER(INDEX(Inputs!$K$5:$AJ$190,0,MATCH(V$2,Inputs!$K$4:$AJ$4,0))))+SUMPRODUCT((Inputs!$C$5:$C$190=$B56)*ISNUMBER(INDEX(Inputs!$K$5:$AJ$190,0,MATCH(V$2,Inputs!$K$4:$AJ$4,0))))+SUMPRODUCT((Inputs!$E$5:$E$190=$B56)*ISNUMBER(INDEX(Inputs!$K$5:$AJ$190,0,MATCH(V$2,Inputs!$K$4:$AJ$4,0))))=0,NA(),SUMPRODUCT((Inputs!$A$5:$A$190=$B56)*Inputs!$B$5:$B$190*(((Inputs!$G$5:$G$190="moeda")+(Inputs!$G$5:$G$190="acoes"))*Inputs!$B$1+((Inputs!$G$5:$G$190&lt;&gt;"moeda")*(Inputs!$G$5:$G$190&lt;&gt;"acoes")))*INDEX(Inputs!$K$5:$AJ$190,0,MATCH(V$2,Inputs!$K$4:$AJ$4,0)))+SUMPRODUCT((Inputs!$C$5:$C$190=$B56)*Inputs!$D$5:$D$190*(((Inputs!$G$5:$G$190="moeda")+(Inputs!$G$5:$G$190="acoes"))*Inputs!$B$1+((Inputs!$G$5:$G$190&lt;&gt;"moeda")*(Inputs!$G$5:$G$190&lt;&gt;"acoes")))*INDEX(Inputs!$K$5:$AJ$190,0,MATCH(V$2,Inputs!$K$4:$AJ$4,0)))+SUMPRODUCT((Inputs!$E$5:$E$190=$B56)*Inputs!$F$5:$F$190*(((Inputs!$G$5:$G$190="moeda")+(Inputs!$G$5:$G$190="acoes"))*Inputs!$B$1+((Inputs!$G$5:$G$190&lt;&gt;"moeda")*(Inputs!$G$5:$G$190&lt;&gt;"acoes")))*INDEX(Inputs!$K$5:$AJ$190,0,MATCH(V$2,Inputs!$K$4:$AJ$4,0)))))</f>
        <v>2490.96684476595</v>
      </c>
      <c r="W56" s="265">
        <f>SUM(S56:V56)</f>
        <v>9056.25810121</v>
      </c>
      <c r="X56" s="264">
        <f>IF(ISNA(MATCH(X$2,Inputs!$K$4:$AJ$4,0)),NA(),IF(SUMPRODUCT((Inputs!$A$5:$A$190=$B56)*ISNUMBER(INDEX(Inputs!$K$5:$AJ$190,0,MATCH(X$2,Inputs!$K$4:$AJ$4,0))))+SUMPRODUCT((Inputs!$C$5:$C$190=$B56)*ISNUMBER(INDEX(Inputs!$K$5:$AJ$190,0,MATCH(X$2,Inputs!$K$4:$AJ$4,0))))+SUMPRODUCT((Inputs!$E$5:$E$190=$B56)*ISNUMBER(INDEX(Inputs!$K$5:$AJ$190,0,MATCH(X$2,Inputs!$K$4:$AJ$4,0))))=0,NA(),SUMPRODUCT((Inputs!$A$5:$A$190=$B56)*Inputs!$B$5:$B$190*(((Inputs!$G$5:$G$190="moeda")+(Inputs!$G$5:$G$190="acoes"))*Inputs!$B$1+((Inputs!$G$5:$G$190&lt;&gt;"moeda")*(Inputs!$G$5:$G$190&lt;&gt;"acoes")))*INDEX(Inputs!$K$5:$AJ$190,0,MATCH(X$2,Inputs!$K$4:$AJ$4,0)))+SUMPRODUCT((Inputs!$C$5:$C$190=$B56)*Inputs!$D$5:$D$190*(((Inputs!$G$5:$G$190="moeda")+(Inputs!$G$5:$G$190="acoes"))*Inputs!$B$1+((Inputs!$G$5:$G$190&lt;&gt;"moeda")*(Inputs!$G$5:$G$190&lt;&gt;"acoes")))*INDEX(Inputs!$K$5:$AJ$190,0,MATCH(X$2,Inputs!$K$4:$AJ$4,0)))+SUMPRODUCT((Inputs!$E$5:$E$190=$B56)*Inputs!$F$5:$F$190*(((Inputs!$G$5:$G$190="moeda")+(Inputs!$G$5:$G$190="acoes"))*Inputs!$B$1+((Inputs!$G$5:$G$190&lt;&gt;"moeda")*(Inputs!$G$5:$G$190&lt;&gt;"acoes")))*INDEX(Inputs!$K$5:$AJ$190,0,MATCH(X$2,Inputs!$K$4:$AJ$4,0)))))</f>
        <v>2319.93439908</v>
      </c>
      <c r="Y56" s="264">
        <f>IF(ISNA(MATCH(Y$2,Inputs!$K$4:$AJ$4,0)),NA(),IF(SUMPRODUCT((Inputs!$A$5:$A$190=$B56)*ISNUMBER(INDEX(Inputs!$K$5:$AJ$190,0,MATCH(Y$2,Inputs!$K$4:$AJ$4,0))))+SUMPRODUCT((Inputs!$C$5:$C$190=$B56)*ISNUMBER(INDEX(Inputs!$K$5:$AJ$190,0,MATCH(Y$2,Inputs!$K$4:$AJ$4,0))))+SUMPRODUCT((Inputs!$E$5:$E$190=$B56)*ISNUMBER(INDEX(Inputs!$K$5:$AJ$190,0,MATCH(Y$2,Inputs!$K$4:$AJ$4,0))))=0,NA(),SUMPRODUCT((Inputs!$A$5:$A$190=$B56)*Inputs!$B$5:$B$190*(((Inputs!$G$5:$G$190="moeda")+(Inputs!$G$5:$G$190="acoes"))*Inputs!$B$1+((Inputs!$G$5:$G$190&lt;&gt;"moeda")*(Inputs!$G$5:$G$190&lt;&gt;"acoes")))*INDEX(Inputs!$K$5:$AJ$190,0,MATCH(Y$2,Inputs!$K$4:$AJ$4,0)))+SUMPRODUCT((Inputs!$C$5:$C$190=$B56)*Inputs!$D$5:$D$190*(((Inputs!$G$5:$G$190="moeda")+(Inputs!$G$5:$G$190="acoes"))*Inputs!$B$1+((Inputs!$G$5:$G$190&lt;&gt;"moeda")*(Inputs!$G$5:$G$190&lt;&gt;"acoes")))*INDEX(Inputs!$K$5:$AJ$190,0,MATCH(Y$2,Inputs!$K$4:$AJ$4,0)))+SUMPRODUCT((Inputs!$E$5:$E$190=$B56)*Inputs!$F$5:$F$190*(((Inputs!$G$5:$G$190="moeda")+(Inputs!$G$5:$G$190="acoes"))*Inputs!$B$1+((Inputs!$G$5:$G$190&lt;&gt;"moeda")*(Inputs!$G$5:$G$190&lt;&gt;"acoes")))*INDEX(Inputs!$K$5:$AJ$190,0,MATCH(Y$2,Inputs!$K$4:$AJ$4,0)))))</f>
        <v>2381.75857342</v>
      </c>
      <c r="Z56" s="264">
        <f>IF(ISNA(MATCH(Z$2,Inputs!$K$4:$AJ$4,0)),NA(),IF(SUMPRODUCT((Inputs!$A$5:$A$190=$B56)*ISNUMBER(INDEX(Inputs!$K$5:$AJ$190,0,MATCH(Z$2,Inputs!$K$4:$AJ$4,0))))+SUMPRODUCT((Inputs!$C$5:$C$190=$B56)*ISNUMBER(INDEX(Inputs!$K$5:$AJ$190,0,MATCH(Z$2,Inputs!$K$4:$AJ$4,0))))+SUMPRODUCT((Inputs!$E$5:$E$190=$B56)*ISNUMBER(INDEX(Inputs!$K$5:$AJ$190,0,MATCH(Z$2,Inputs!$K$4:$AJ$4,0))))=0,NA(),SUMPRODUCT((Inputs!$A$5:$A$190=$B56)*Inputs!$B$5:$B$190*(((Inputs!$G$5:$G$190="moeda")+(Inputs!$G$5:$G$190="acoes"))*Inputs!$B$1+((Inputs!$G$5:$G$190&lt;&gt;"moeda")*(Inputs!$G$5:$G$190&lt;&gt;"acoes")))*INDEX(Inputs!$K$5:$AJ$190,0,MATCH(Z$2,Inputs!$K$4:$AJ$4,0)))+SUMPRODUCT((Inputs!$C$5:$C$190=$B56)*Inputs!$D$5:$D$190*(((Inputs!$G$5:$G$190="moeda")+(Inputs!$G$5:$G$190="acoes"))*Inputs!$B$1+((Inputs!$G$5:$G$190&lt;&gt;"moeda")*(Inputs!$G$5:$G$190&lt;&gt;"acoes")))*INDEX(Inputs!$K$5:$AJ$190,0,MATCH(Z$2,Inputs!$K$4:$AJ$4,0)))+SUMPRODUCT((Inputs!$E$5:$E$190=$B56)*Inputs!$F$5:$F$190*(((Inputs!$G$5:$G$190="moeda")+(Inputs!$G$5:$G$190="acoes"))*Inputs!$B$1+((Inputs!$G$5:$G$190&lt;&gt;"moeda")*(Inputs!$G$5:$G$190&lt;&gt;"acoes")))*INDEX(Inputs!$K$5:$AJ$190,0,MATCH(Z$2,Inputs!$K$4:$AJ$4,0)))))</f>
        <v>2484.89322322</v>
      </c>
      <c r="AA56" s="264">
        <f>IF(ISNA(MATCH(AA$2,Inputs!$K$4:$AJ$4,0)),NA(),IF(SUMPRODUCT((Inputs!$A$5:$A$190=$B56)*ISNUMBER(INDEX(Inputs!$K$5:$AJ$190,0,MATCH(AA$2,Inputs!$K$4:$AJ$4,0))))+SUMPRODUCT((Inputs!$C$5:$C$190=$B56)*ISNUMBER(INDEX(Inputs!$K$5:$AJ$190,0,MATCH(AA$2,Inputs!$K$4:$AJ$4,0))))+SUMPRODUCT((Inputs!$E$5:$E$190=$B56)*ISNUMBER(INDEX(Inputs!$K$5:$AJ$190,0,MATCH(AA$2,Inputs!$K$4:$AJ$4,0))))=0,NA(),SUMPRODUCT((Inputs!$A$5:$A$190=$B56)*Inputs!$B$5:$B$190*(((Inputs!$G$5:$G$190="moeda")+(Inputs!$G$5:$G$190="acoes"))*Inputs!$B$1+((Inputs!$G$5:$G$190&lt;&gt;"moeda")*(Inputs!$G$5:$G$190&lt;&gt;"acoes")))*INDEX(Inputs!$K$5:$AJ$190,0,MATCH(AA$2,Inputs!$K$4:$AJ$4,0)))+SUMPRODUCT((Inputs!$C$5:$C$190=$B56)*Inputs!$D$5:$D$190*(((Inputs!$G$5:$G$190="moeda")+(Inputs!$G$5:$G$190="acoes"))*Inputs!$B$1+((Inputs!$G$5:$G$190&lt;&gt;"moeda")*(Inputs!$G$5:$G$190&lt;&gt;"acoes")))*INDEX(Inputs!$K$5:$AJ$190,0,MATCH(AA$2,Inputs!$K$4:$AJ$4,0)))+SUMPRODUCT((Inputs!$E$5:$E$190=$B56)*Inputs!$F$5:$F$190*(((Inputs!$G$5:$G$190="moeda")+(Inputs!$G$5:$G$190="acoes"))*Inputs!$B$1+((Inputs!$G$5:$G$190&lt;&gt;"moeda")*(Inputs!$G$5:$G$190&lt;&gt;"acoes")))*INDEX(Inputs!$K$5:$AJ$190,0,MATCH(AA$2,Inputs!$K$4:$AJ$4,0)))))</f>
        <v>2454.02204209</v>
      </c>
      <c r="AB56" s="265">
        <f>SUM(X56:AA56)</f>
        <v>9640.60823781</v>
      </c>
      <c r="AC56" s="264">
        <f>IF(ISNA(MATCH(AC$2,Inputs!$K$4:$AJ$4,0)),NA(),IF(SUMPRODUCT((Inputs!$A$5:$A$190=$B56)*ISNUMBER(INDEX(Inputs!$K$5:$AJ$190,0,MATCH(AC$2,Inputs!$K$4:$AJ$4,0))))+SUMPRODUCT((Inputs!$C$5:$C$190=$B56)*ISNUMBER(INDEX(Inputs!$K$5:$AJ$190,0,MATCH(AC$2,Inputs!$K$4:$AJ$4,0))))+SUMPRODUCT((Inputs!$E$5:$E$190=$B56)*ISNUMBER(INDEX(Inputs!$K$5:$AJ$190,0,MATCH(AC$2,Inputs!$K$4:$AJ$4,0))))=0,NA(),SUMPRODUCT((Inputs!$A$5:$A$190=$B56)*Inputs!$B$5:$B$190*(((Inputs!$G$5:$G$190="moeda")+(Inputs!$G$5:$G$190="acoes"))*Inputs!$B$1+((Inputs!$G$5:$G$190&lt;&gt;"moeda")*(Inputs!$G$5:$G$190&lt;&gt;"acoes")))*INDEX(Inputs!$K$5:$AJ$190,0,MATCH(AC$2,Inputs!$K$4:$AJ$4,0)))+SUMPRODUCT((Inputs!$C$5:$C$190=$B56)*Inputs!$D$5:$D$190*(((Inputs!$G$5:$G$190="moeda")+(Inputs!$G$5:$G$190="acoes"))*Inputs!$B$1+((Inputs!$G$5:$G$190&lt;&gt;"moeda")*(Inputs!$G$5:$G$190&lt;&gt;"acoes")))*INDEX(Inputs!$K$5:$AJ$190,0,MATCH(AC$2,Inputs!$K$4:$AJ$4,0)))+SUMPRODUCT((Inputs!$E$5:$E$190=$B56)*Inputs!$F$5:$F$190*(((Inputs!$G$5:$G$190="moeda")+(Inputs!$G$5:$G$190="acoes"))*Inputs!$B$1+((Inputs!$G$5:$G$190&lt;&gt;"moeda")*(Inputs!$G$5:$G$190&lt;&gt;"acoes")))*INDEX(Inputs!$K$5:$AJ$190,0,MATCH(AC$2,Inputs!$K$4:$AJ$4,0)))))</f>
        <v>2372.71151418</v>
      </c>
      <c r="AD56" s="264">
        <f>IF(ISNA(MATCH(AD$2,Inputs!$K$4:$AJ$4,0)),NA(),IF(SUMPRODUCT((Inputs!$A$5:$A$190=$B56)*ISNUMBER(INDEX(Inputs!$K$5:$AJ$190,0,MATCH(AD$2,Inputs!$K$4:$AJ$4,0))))+SUMPRODUCT((Inputs!$C$5:$C$190=$B56)*ISNUMBER(INDEX(Inputs!$K$5:$AJ$190,0,MATCH(AD$2,Inputs!$K$4:$AJ$4,0))))+SUMPRODUCT((Inputs!$E$5:$E$190=$B56)*ISNUMBER(INDEX(Inputs!$K$5:$AJ$190,0,MATCH(AD$2,Inputs!$K$4:$AJ$4,0))))=0,NA(),SUMPRODUCT((Inputs!$A$5:$A$190=$B56)*Inputs!$B$5:$B$190*(((Inputs!$G$5:$G$190="moeda")+(Inputs!$G$5:$G$190="acoes"))*Inputs!$B$1+((Inputs!$G$5:$G$190&lt;&gt;"moeda")*(Inputs!$G$5:$G$190&lt;&gt;"acoes")))*INDEX(Inputs!$K$5:$AJ$190,0,MATCH(AD$2,Inputs!$K$4:$AJ$4,0)))+SUMPRODUCT((Inputs!$C$5:$C$190=$B56)*Inputs!$D$5:$D$190*(((Inputs!$G$5:$G$190="moeda")+(Inputs!$G$5:$G$190="acoes"))*Inputs!$B$1+((Inputs!$G$5:$G$190&lt;&gt;"moeda")*(Inputs!$G$5:$G$190&lt;&gt;"acoes")))*INDEX(Inputs!$K$5:$AJ$190,0,MATCH(AD$2,Inputs!$K$4:$AJ$4,0)))+SUMPRODUCT((Inputs!$E$5:$E$190=$B56)*Inputs!$F$5:$F$190*(((Inputs!$G$5:$G$190="moeda")+(Inputs!$G$5:$G$190="acoes"))*Inputs!$B$1+((Inputs!$G$5:$G$190&lt;&gt;"moeda")*(Inputs!$G$5:$G$190&lt;&gt;"acoes")))*INDEX(Inputs!$K$5:$AJ$190,0,MATCH(AD$2,Inputs!$K$4:$AJ$4,0)))))</f>
        <v>2498.85403582</v>
      </c>
      <c r="AE56" s="264" t="e">
        <f>IF(ISNA(MATCH(AE$2,Inputs!$K$4:$AJ$4,0)),NA(),IF(SUMPRODUCT((Inputs!$A$5:$A$190=$B56)*ISNUMBER(INDEX(Inputs!$K$5:$AJ$190,0,MATCH(AE$2,Inputs!$K$4:$AJ$4,0))))+SUMPRODUCT((Inputs!$C$5:$C$190=$B56)*ISNUMBER(INDEX(Inputs!$K$5:$AJ$190,0,MATCH(AE$2,Inputs!$K$4:$AJ$4,0))))+SUMPRODUCT((Inputs!$E$5:$E$190=$B56)*ISNUMBER(INDEX(Inputs!$K$5:$AJ$190,0,MATCH(AE$2,Inputs!$K$4:$AJ$4,0))))=0,NA(),SUMPRODUCT((Inputs!$A$5:$A$190=$B56)*Inputs!$B$5:$B$190*(((Inputs!$G$5:$G$190="moeda")+(Inputs!$G$5:$G$190="acoes"))*Inputs!$B$1+((Inputs!$G$5:$G$190&lt;&gt;"moeda")*(Inputs!$G$5:$G$190&lt;&gt;"acoes")))*INDEX(Inputs!$K$5:$AJ$190,0,MATCH(AE$2,Inputs!$K$4:$AJ$4,0)))+SUMPRODUCT((Inputs!$C$5:$C$190=$B56)*Inputs!$D$5:$D$190*(((Inputs!$G$5:$G$190="moeda")+(Inputs!$G$5:$G$190="acoes"))*Inputs!$B$1+((Inputs!$G$5:$G$190&lt;&gt;"moeda")*(Inputs!$G$5:$G$190&lt;&gt;"acoes")))*INDEX(Inputs!$K$5:$AJ$190,0,MATCH(AE$2,Inputs!$K$4:$AJ$4,0)))+SUMPRODUCT((Inputs!$E$5:$E$190=$B56)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56" s="264" t="e">
        <f>IF(ISNA(MATCH(AF$2,Inputs!$K$4:$AJ$4,0)),NA(),IF(SUMPRODUCT((Inputs!$A$5:$A$190=$B56)*ISNUMBER(INDEX(Inputs!$K$5:$AJ$190,0,MATCH(AF$2,Inputs!$K$4:$AJ$4,0))))+SUMPRODUCT((Inputs!$C$5:$C$190=$B56)*ISNUMBER(INDEX(Inputs!$K$5:$AJ$190,0,MATCH(AF$2,Inputs!$K$4:$AJ$4,0))))+SUMPRODUCT((Inputs!$E$5:$E$190=$B56)*ISNUMBER(INDEX(Inputs!$K$5:$AJ$190,0,MATCH(AF$2,Inputs!$K$4:$AJ$4,0))))=0,NA(),SUMPRODUCT((Inputs!$A$5:$A$190=$B56)*Inputs!$B$5:$B$190*(((Inputs!$G$5:$G$190="moeda")+(Inputs!$G$5:$G$190="acoes"))*Inputs!$B$1+((Inputs!$G$5:$G$190&lt;&gt;"moeda")*(Inputs!$G$5:$G$190&lt;&gt;"acoes")))*INDEX(Inputs!$K$5:$AJ$190,0,MATCH(AF$2,Inputs!$K$4:$AJ$4,0)))+SUMPRODUCT((Inputs!$C$5:$C$190=$B56)*Inputs!$D$5:$D$190*(((Inputs!$G$5:$G$190="moeda")+(Inputs!$G$5:$G$190="acoes"))*Inputs!$B$1+((Inputs!$G$5:$G$190&lt;&gt;"moeda")*(Inputs!$G$5:$G$190&lt;&gt;"acoes")))*INDEX(Inputs!$K$5:$AJ$190,0,MATCH(AF$2,Inputs!$K$4:$AJ$4,0)))+SUMPRODUCT((Inputs!$E$5:$E$190=$B56)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56" s="265" t="e">
        <f>SUM(AC56:AF56)</f>
        <v>#N/A</v>
      </c>
      <c r="AH56" s="264">
        <f>IF(ISNA(MATCH(AH$2,Inputs!$K$4:$AJ$4,0)),NA(),IF(SUMPRODUCT((Inputs!$A$5:$A$190=$B56)*ISNUMBER(INDEX(Inputs!$K$5:$AJ$190,0,MATCH(AH$2,Inputs!$K$4:$AJ$4,0))))+SUMPRODUCT((Inputs!$C$5:$C$190=$B56)*ISNUMBER(INDEX(Inputs!$K$5:$AJ$190,0,MATCH(AH$2,Inputs!$K$4:$AJ$4,0))))+SUMPRODUCT((Inputs!$E$5:$E$190=$B56)*ISNUMBER(INDEX(Inputs!$K$5:$AJ$190,0,MATCH(AH$2,Inputs!$K$4:$AJ$4,0))))=0,NA(),SUMPRODUCT((Inputs!$A$5:$A$190=$B56)*Inputs!$B$5:$B$190*(((Inputs!$G$5:$G$190="moeda")+(Inputs!$G$5:$G$190="acoes"))*Inputs!$B$1+((Inputs!$G$5:$G$190&lt;&gt;"moeda")*(Inputs!$G$5:$G$190&lt;&gt;"acoes")))*INDEX(Inputs!$K$5:$AJ$190,0,MATCH(AH$2,Inputs!$K$4:$AJ$4,0)))+SUMPRODUCT((Inputs!$C$5:$C$190=$B56)*Inputs!$D$5:$D$190*(((Inputs!$G$5:$G$190="moeda")+(Inputs!$G$5:$G$190="acoes"))*Inputs!$B$1+((Inputs!$G$5:$G$190&lt;&gt;"moeda")*(Inputs!$G$5:$G$190&lt;&gt;"acoes")))*INDEX(Inputs!$K$5:$AJ$190,0,MATCH(AH$2,Inputs!$K$4:$AJ$4,0)))+SUMPRODUCT((Inputs!$E$5:$E$190=$B56)*Inputs!$F$5:$F$190*(((Inputs!$G$5:$G$190="moeda")+(Inputs!$G$5:$G$190="acoes"))*Inputs!$B$1+((Inputs!$G$5:$G$190&lt;&gt;"moeda")*(Inputs!$G$5:$G$190&lt;&gt;"acoes")))*INDEX(Inputs!$K$5:$AJ$190,0,MATCH(AH$2,Inputs!$K$4:$AJ$4,0)))))</f>
        <v>693.77792235</v>
      </c>
      <c r="AI56" s="264">
        <f>IF(ISNA(MATCH(AI$2,Inputs!$K$4:$AJ$4,0)),NA(),IF(SUMPRODUCT((Inputs!$A$5:$A$190=$B56)*ISNUMBER(INDEX(Inputs!$K$5:$AJ$190,0,MATCH(AI$2,Inputs!$K$4:$AJ$4,0))))+SUMPRODUCT((Inputs!$C$5:$C$190=$B56)*ISNUMBER(INDEX(Inputs!$K$5:$AJ$190,0,MATCH(AI$2,Inputs!$K$4:$AJ$4,0))))+SUMPRODUCT((Inputs!$E$5:$E$190=$B56)*ISNUMBER(INDEX(Inputs!$K$5:$AJ$190,0,MATCH(AI$2,Inputs!$K$4:$AJ$4,0))))=0,NA(),SUMPRODUCT((Inputs!$A$5:$A$190=$B56)*Inputs!$B$5:$B$190*(((Inputs!$G$5:$G$190="moeda")+(Inputs!$G$5:$G$190="acoes"))*Inputs!$B$1+((Inputs!$G$5:$G$190&lt;&gt;"moeda")*(Inputs!$G$5:$G$190&lt;&gt;"acoes")))*INDEX(Inputs!$K$5:$AJ$190,0,MATCH(AI$2,Inputs!$K$4:$AJ$4,0)))+SUMPRODUCT((Inputs!$C$5:$C$190=$B56)*Inputs!$D$5:$D$190*(((Inputs!$G$5:$G$190="moeda")+(Inputs!$G$5:$G$190="acoes"))*Inputs!$B$1+((Inputs!$G$5:$G$190&lt;&gt;"moeda")*(Inputs!$G$5:$G$190&lt;&gt;"acoes")))*INDEX(Inputs!$K$5:$AJ$190,0,MATCH(AI$2,Inputs!$K$4:$AJ$4,0)))+SUMPRODUCT((Inputs!$E$5:$E$190=$B56)*Inputs!$F$5:$F$190*(((Inputs!$G$5:$G$190="moeda")+(Inputs!$G$5:$G$190="acoes"))*Inputs!$B$1+((Inputs!$G$5:$G$190&lt;&gt;"moeda")*(Inputs!$G$5:$G$190&lt;&gt;"acoes")))*INDEX(Inputs!$K$5:$AJ$190,0,MATCH(AI$2,Inputs!$K$4:$AJ$4,0)))))</f>
        <v>581.64440383</v>
      </c>
      <c r="AJ56" s="264">
        <f>IF(ISNA(MATCH(AJ$2,Inputs!$K$4:$AJ$4,0)),NA(),IF(SUMPRODUCT((Inputs!$A$5:$A$190=$B56)*ISNUMBER(INDEX(Inputs!$K$5:$AJ$190,0,MATCH(AJ$2,Inputs!$K$4:$AJ$4,0))))+SUMPRODUCT((Inputs!$C$5:$C$190=$B56)*ISNUMBER(INDEX(Inputs!$K$5:$AJ$190,0,MATCH(AJ$2,Inputs!$K$4:$AJ$4,0))))+SUMPRODUCT((Inputs!$E$5:$E$190=$B56)*ISNUMBER(INDEX(Inputs!$K$5:$AJ$190,0,MATCH(AJ$2,Inputs!$K$4:$AJ$4,0))))=0,NA(),SUMPRODUCT((Inputs!$A$5:$A$190=$B56)*Inputs!$B$5:$B$190*(((Inputs!$G$5:$G$190="moeda")+(Inputs!$G$5:$G$190="acoes"))*Inputs!$B$1+((Inputs!$G$5:$G$190&lt;&gt;"moeda")*(Inputs!$G$5:$G$190&lt;&gt;"acoes")))*INDEX(Inputs!$K$5:$AJ$190,0,MATCH(AJ$2,Inputs!$K$4:$AJ$4,0)))+SUMPRODUCT((Inputs!$C$5:$C$190=$B56)*Inputs!$D$5:$D$190*(((Inputs!$G$5:$G$190="moeda")+(Inputs!$G$5:$G$190="acoes"))*Inputs!$B$1+((Inputs!$G$5:$G$190&lt;&gt;"moeda")*(Inputs!$G$5:$G$190&lt;&gt;"acoes")))*INDEX(Inputs!$K$5:$AJ$190,0,MATCH(AJ$2,Inputs!$K$4:$AJ$4,0)))+SUMPRODUCT((Inputs!$E$5:$E$190=$B56)*Inputs!$F$5:$F$190*(((Inputs!$G$5:$G$190="moeda")+(Inputs!$G$5:$G$190="acoes"))*Inputs!$B$1+((Inputs!$G$5:$G$190&lt;&gt;"moeda")*(Inputs!$G$5:$G$190&lt;&gt;"acoes")))*INDEX(Inputs!$K$5:$AJ$190,0,MATCH(AJ$2,Inputs!$K$4:$AJ$4,0)))))</f>
        <v>733.23155814</v>
      </c>
      <c r="AK56" s="264">
        <f>IF(ISNA(MATCH(AK$2,Inputs!$K$4:$AJ$4,0)),NA(),IF(SUMPRODUCT((Inputs!$A$5:$A$190=$B56)*ISNUMBER(INDEX(Inputs!$K$5:$AJ$190,0,MATCH(AK$2,Inputs!$K$4:$AJ$4,0))))+SUMPRODUCT((Inputs!$C$5:$C$190=$B56)*ISNUMBER(INDEX(Inputs!$K$5:$AJ$190,0,MATCH(AK$2,Inputs!$K$4:$AJ$4,0))))+SUMPRODUCT((Inputs!$E$5:$E$190=$B56)*ISNUMBER(INDEX(Inputs!$K$5:$AJ$190,0,MATCH(AK$2,Inputs!$K$4:$AJ$4,0))))=0,NA(),SUMPRODUCT((Inputs!$A$5:$A$190=$B56)*Inputs!$B$5:$B$190*(((Inputs!$G$5:$G$190="moeda")+(Inputs!$G$5:$G$190="acoes"))*Inputs!$B$1+((Inputs!$G$5:$G$190&lt;&gt;"moeda")*(Inputs!$G$5:$G$190&lt;&gt;"acoes")))*INDEX(Inputs!$K$5:$AJ$190,0,MATCH(AK$2,Inputs!$K$4:$AJ$4,0)))+SUMPRODUCT((Inputs!$C$5:$C$190=$B56)*Inputs!$D$5:$D$190*(((Inputs!$G$5:$G$190="moeda")+(Inputs!$G$5:$G$190="acoes"))*Inputs!$B$1+((Inputs!$G$5:$G$190&lt;&gt;"moeda")*(Inputs!$G$5:$G$190&lt;&gt;"acoes")))*INDEX(Inputs!$K$5:$AJ$190,0,MATCH(AK$2,Inputs!$K$4:$AJ$4,0)))+SUMPRODUCT((Inputs!$E$5:$E$190=$B56)*Inputs!$F$5:$F$190*(((Inputs!$G$5:$G$190="moeda")+(Inputs!$G$5:$G$190="acoes"))*Inputs!$B$1+((Inputs!$G$5:$G$190&lt;&gt;"moeda")*(Inputs!$G$5:$G$190&lt;&gt;"acoes")))*INDEX(Inputs!$K$5:$AJ$190,0,MATCH(AK$2,Inputs!$K$4:$AJ$4,0)))))</f>
        <v>818.151110988865</v>
      </c>
      <c r="AL56" s="265">
        <f>SUM(AH56:AK56)</f>
        <v>2826.80499530887</v>
      </c>
    </row>
    <row r="57">
      <c r="B57" s="46" t="n">
        <v>49</v>
      </c>
      <c r="C57" s="29" t="inlineStr">
        <is>
          <t>Receita liquida de servicos - JSL (aba JSL l.24)</t>
        </is>
      </c>
      <c r="D57" s="264">
        <f>IF(ISNA(MATCH(D$2,Inputs!$K$4:$AJ$4,0)),NA(),IF(SUMPRODUCT((Inputs!$A$5:$A$190=$B57)*ISNUMBER(INDEX(Inputs!$K$5:$AJ$190,0,MATCH(D$2,Inputs!$K$4:$AJ$4,0))))+SUMPRODUCT((Inputs!$C$5:$C$190=$B57)*ISNUMBER(INDEX(Inputs!$K$5:$AJ$190,0,MATCH(D$2,Inputs!$K$4:$AJ$4,0))))+SUMPRODUCT((Inputs!$E$5:$E$190=$B57)*ISNUMBER(INDEX(Inputs!$K$5:$AJ$190,0,MATCH(D$2,Inputs!$K$4:$AJ$4,0))))=0,NA(),SUMPRODUCT((Inputs!$A$5:$A$190=$B57)*Inputs!$B$5:$B$190*(((Inputs!$G$5:$G$190="moeda")+(Inputs!$G$5:$G$190="acoes"))*Inputs!$B$1+((Inputs!$G$5:$G$190&lt;&gt;"moeda")*(Inputs!$G$5:$G$190&lt;&gt;"acoes")))*INDEX(Inputs!$K$5:$AJ$190,0,MATCH(D$2,Inputs!$K$4:$AJ$4,0)))+SUMPRODUCT((Inputs!$C$5:$C$190=$B57)*Inputs!$D$5:$D$190*(((Inputs!$G$5:$G$190="moeda")+(Inputs!$G$5:$G$190="acoes"))*Inputs!$B$1+((Inputs!$G$5:$G$190&lt;&gt;"moeda")*(Inputs!$G$5:$G$190&lt;&gt;"acoes")))*INDEX(Inputs!$K$5:$AJ$190,0,MATCH(D$2,Inputs!$K$4:$AJ$4,0)))+SUMPRODUCT((Inputs!$E$5:$E$190=$B57)*Inputs!$F$5:$F$190*(((Inputs!$G$5:$G$190="moeda")+(Inputs!$G$5:$G$190="acoes"))*Inputs!$B$1+((Inputs!$G$5:$G$190&lt;&gt;"moeda")*(Inputs!$G$5:$G$190&lt;&gt;"acoes")))*INDEX(Inputs!$K$5:$AJ$190,0,MATCH(D$2,Inputs!$K$4:$AJ$4,0)))))</f>
        <v>853.24252604</v>
      </c>
      <c r="E57" s="264">
        <f>IF(ISNA(MATCH(E$2,Inputs!$K$4:$AJ$4,0)),NA(),IF(SUMPRODUCT((Inputs!$A$5:$A$190=$B57)*ISNUMBER(INDEX(Inputs!$K$5:$AJ$190,0,MATCH(E$2,Inputs!$K$4:$AJ$4,0))))+SUMPRODUCT((Inputs!$C$5:$C$190=$B57)*ISNUMBER(INDEX(Inputs!$K$5:$AJ$190,0,MATCH(E$2,Inputs!$K$4:$AJ$4,0))))+SUMPRODUCT((Inputs!$E$5:$E$190=$B57)*ISNUMBER(INDEX(Inputs!$K$5:$AJ$190,0,MATCH(E$2,Inputs!$K$4:$AJ$4,0))))=0,NA(),SUMPRODUCT((Inputs!$A$5:$A$190=$B57)*Inputs!$B$5:$B$190*(((Inputs!$G$5:$G$190="moeda")+(Inputs!$G$5:$G$190="acoes"))*Inputs!$B$1+((Inputs!$G$5:$G$190&lt;&gt;"moeda")*(Inputs!$G$5:$G$190&lt;&gt;"acoes")))*INDEX(Inputs!$K$5:$AJ$190,0,MATCH(E$2,Inputs!$K$4:$AJ$4,0)))+SUMPRODUCT((Inputs!$C$5:$C$190=$B57)*Inputs!$D$5:$D$190*(((Inputs!$G$5:$G$190="moeda")+(Inputs!$G$5:$G$190="acoes"))*Inputs!$B$1+((Inputs!$G$5:$G$190&lt;&gt;"moeda")*(Inputs!$G$5:$G$190&lt;&gt;"acoes")))*INDEX(Inputs!$K$5:$AJ$190,0,MATCH(E$2,Inputs!$K$4:$AJ$4,0)))+SUMPRODUCT((Inputs!$E$5:$E$190=$B57)*Inputs!$F$5:$F$190*(((Inputs!$G$5:$G$190="moeda")+(Inputs!$G$5:$G$190="acoes"))*Inputs!$B$1+((Inputs!$G$5:$G$190&lt;&gt;"moeda")*(Inputs!$G$5:$G$190&lt;&gt;"acoes")))*INDEX(Inputs!$K$5:$AJ$190,0,MATCH(E$2,Inputs!$K$4:$AJ$4,0)))))</f>
        <v>902.462956153647</v>
      </c>
      <c r="F57" s="264">
        <f>IF(ISNA(MATCH(F$2,Inputs!$K$4:$AJ$4,0)),NA(),IF(SUMPRODUCT((Inputs!$A$5:$A$190=$B57)*ISNUMBER(INDEX(Inputs!$K$5:$AJ$190,0,MATCH(F$2,Inputs!$K$4:$AJ$4,0))))+SUMPRODUCT((Inputs!$C$5:$C$190=$B57)*ISNUMBER(INDEX(Inputs!$K$5:$AJ$190,0,MATCH(F$2,Inputs!$K$4:$AJ$4,0))))+SUMPRODUCT((Inputs!$E$5:$E$190=$B57)*ISNUMBER(INDEX(Inputs!$K$5:$AJ$190,0,MATCH(F$2,Inputs!$K$4:$AJ$4,0))))=0,NA(),SUMPRODUCT((Inputs!$A$5:$A$190=$B57)*Inputs!$B$5:$B$190*(((Inputs!$G$5:$G$190="moeda")+(Inputs!$G$5:$G$190="acoes"))*Inputs!$B$1+((Inputs!$G$5:$G$190&lt;&gt;"moeda")*(Inputs!$G$5:$G$190&lt;&gt;"acoes")))*INDEX(Inputs!$K$5:$AJ$190,0,MATCH(F$2,Inputs!$K$4:$AJ$4,0)))+SUMPRODUCT((Inputs!$C$5:$C$190=$B57)*Inputs!$D$5:$D$190*(((Inputs!$G$5:$G$190="moeda")+(Inputs!$G$5:$G$190="acoes"))*Inputs!$B$1+((Inputs!$G$5:$G$190&lt;&gt;"moeda")*(Inputs!$G$5:$G$190&lt;&gt;"acoes")))*INDEX(Inputs!$K$5:$AJ$190,0,MATCH(F$2,Inputs!$K$4:$AJ$4,0)))+SUMPRODUCT((Inputs!$E$5:$E$190=$B57)*Inputs!$F$5:$F$190*(((Inputs!$G$5:$G$190="moeda")+(Inputs!$G$5:$G$190="acoes"))*Inputs!$B$1+((Inputs!$G$5:$G$190&lt;&gt;"moeda")*(Inputs!$G$5:$G$190&lt;&gt;"acoes")))*INDEX(Inputs!$K$5:$AJ$190,0,MATCH(F$2,Inputs!$K$4:$AJ$4,0)))))</f>
        <v>1150.1476872954</v>
      </c>
      <c r="G57" s="264">
        <f>IF(ISNA(MATCH(G$2,Inputs!$K$4:$AJ$4,0)),NA(),IF(SUMPRODUCT((Inputs!$A$5:$A$190=$B57)*ISNUMBER(INDEX(Inputs!$K$5:$AJ$190,0,MATCH(G$2,Inputs!$K$4:$AJ$4,0))))+SUMPRODUCT((Inputs!$C$5:$C$190=$B57)*ISNUMBER(INDEX(Inputs!$K$5:$AJ$190,0,MATCH(G$2,Inputs!$K$4:$AJ$4,0))))+SUMPRODUCT((Inputs!$E$5:$E$190=$B57)*ISNUMBER(INDEX(Inputs!$K$5:$AJ$190,0,MATCH(G$2,Inputs!$K$4:$AJ$4,0))))=0,NA(),SUMPRODUCT((Inputs!$A$5:$A$190=$B57)*Inputs!$B$5:$B$190*(((Inputs!$G$5:$G$190="moeda")+(Inputs!$G$5:$G$190="acoes"))*Inputs!$B$1+((Inputs!$G$5:$G$190&lt;&gt;"moeda")*(Inputs!$G$5:$G$190&lt;&gt;"acoes")))*INDEX(Inputs!$K$5:$AJ$190,0,MATCH(G$2,Inputs!$K$4:$AJ$4,0)))+SUMPRODUCT((Inputs!$C$5:$C$190=$B57)*Inputs!$D$5:$D$190*(((Inputs!$G$5:$G$190="moeda")+(Inputs!$G$5:$G$190="acoes"))*Inputs!$B$1+((Inputs!$G$5:$G$190&lt;&gt;"moeda")*(Inputs!$G$5:$G$190&lt;&gt;"acoes")))*INDEX(Inputs!$K$5:$AJ$190,0,MATCH(G$2,Inputs!$K$4:$AJ$4,0)))+SUMPRODUCT((Inputs!$E$5:$E$190=$B57)*Inputs!$F$5:$F$190*(((Inputs!$G$5:$G$190="moeda")+(Inputs!$G$5:$G$190="acoes"))*Inputs!$B$1+((Inputs!$G$5:$G$190&lt;&gt;"moeda")*(Inputs!$G$5:$G$190&lt;&gt;"acoes")))*INDEX(Inputs!$K$5:$AJ$190,0,MATCH(G$2,Inputs!$K$4:$AJ$4,0)))))</f>
        <v>1306.86531597791</v>
      </c>
      <c r="H57" s="265">
        <f>SUM(D57:G57)</f>
        <v>4212.71848546695</v>
      </c>
      <c r="I57" s="264">
        <f>IF(ISNA(MATCH(I$2,Inputs!$K$4:$AJ$4,0)),NA(),IF(SUMPRODUCT((Inputs!$A$5:$A$190=$B57)*ISNUMBER(INDEX(Inputs!$K$5:$AJ$190,0,MATCH(I$2,Inputs!$K$4:$AJ$4,0))))+SUMPRODUCT((Inputs!$C$5:$C$190=$B57)*ISNUMBER(INDEX(Inputs!$K$5:$AJ$190,0,MATCH(I$2,Inputs!$K$4:$AJ$4,0))))+SUMPRODUCT((Inputs!$E$5:$E$190=$B57)*ISNUMBER(INDEX(Inputs!$K$5:$AJ$190,0,MATCH(I$2,Inputs!$K$4:$AJ$4,0))))=0,NA(),SUMPRODUCT((Inputs!$A$5:$A$190=$B57)*Inputs!$B$5:$B$190*(((Inputs!$G$5:$G$190="moeda")+(Inputs!$G$5:$G$190="acoes"))*Inputs!$B$1+((Inputs!$G$5:$G$190&lt;&gt;"moeda")*(Inputs!$G$5:$G$190&lt;&gt;"acoes")))*INDEX(Inputs!$K$5:$AJ$190,0,MATCH(I$2,Inputs!$K$4:$AJ$4,0)))+SUMPRODUCT((Inputs!$C$5:$C$190=$B57)*Inputs!$D$5:$D$190*(((Inputs!$G$5:$G$190="moeda")+(Inputs!$G$5:$G$190="acoes"))*Inputs!$B$1+((Inputs!$G$5:$G$190&lt;&gt;"moeda")*(Inputs!$G$5:$G$190&lt;&gt;"acoes")))*INDEX(Inputs!$K$5:$AJ$190,0,MATCH(I$2,Inputs!$K$4:$AJ$4,0)))+SUMPRODUCT((Inputs!$E$5:$E$190=$B57)*Inputs!$F$5:$F$190*(((Inputs!$G$5:$G$190="moeda")+(Inputs!$G$5:$G$190="acoes"))*Inputs!$B$1+((Inputs!$G$5:$G$190&lt;&gt;"moeda")*(Inputs!$G$5:$G$190&lt;&gt;"acoes")))*INDEX(Inputs!$K$5:$AJ$190,0,MATCH(I$2,Inputs!$K$4:$AJ$4,0)))))</f>
        <v>1267.6135942369</v>
      </c>
      <c r="J57" s="264">
        <f>IF(ISNA(MATCH(J$2,Inputs!$K$4:$AJ$4,0)),NA(),IF(SUMPRODUCT((Inputs!$A$5:$A$190=$B57)*ISNUMBER(INDEX(Inputs!$K$5:$AJ$190,0,MATCH(J$2,Inputs!$K$4:$AJ$4,0))))+SUMPRODUCT((Inputs!$C$5:$C$190=$B57)*ISNUMBER(INDEX(Inputs!$K$5:$AJ$190,0,MATCH(J$2,Inputs!$K$4:$AJ$4,0))))+SUMPRODUCT((Inputs!$E$5:$E$190=$B57)*ISNUMBER(INDEX(Inputs!$K$5:$AJ$190,0,MATCH(J$2,Inputs!$K$4:$AJ$4,0))))=0,NA(),SUMPRODUCT((Inputs!$A$5:$A$190=$B57)*Inputs!$B$5:$B$190*(((Inputs!$G$5:$G$190="moeda")+(Inputs!$G$5:$G$190="acoes"))*Inputs!$B$1+((Inputs!$G$5:$G$190&lt;&gt;"moeda")*(Inputs!$G$5:$G$190&lt;&gt;"acoes")))*INDEX(Inputs!$K$5:$AJ$190,0,MATCH(J$2,Inputs!$K$4:$AJ$4,0)))+SUMPRODUCT((Inputs!$C$5:$C$190=$B57)*Inputs!$D$5:$D$190*(((Inputs!$G$5:$G$190="moeda")+(Inputs!$G$5:$G$190="acoes"))*Inputs!$B$1+((Inputs!$G$5:$G$190&lt;&gt;"moeda")*(Inputs!$G$5:$G$190&lt;&gt;"acoes")))*INDEX(Inputs!$K$5:$AJ$190,0,MATCH(J$2,Inputs!$K$4:$AJ$4,0)))+SUMPRODUCT((Inputs!$E$5:$E$190=$B57)*Inputs!$F$5:$F$190*(((Inputs!$G$5:$G$190="moeda")+(Inputs!$G$5:$G$190="acoes"))*Inputs!$B$1+((Inputs!$G$5:$G$190&lt;&gt;"moeda")*(Inputs!$G$5:$G$190&lt;&gt;"acoes")))*INDEX(Inputs!$K$5:$AJ$190,0,MATCH(J$2,Inputs!$K$4:$AJ$4,0)))))</f>
        <v>1372.7186563131</v>
      </c>
      <c r="K57" s="264">
        <f>IF(ISNA(MATCH(K$2,Inputs!$K$4:$AJ$4,0)),NA(),IF(SUMPRODUCT((Inputs!$A$5:$A$190=$B57)*ISNUMBER(INDEX(Inputs!$K$5:$AJ$190,0,MATCH(K$2,Inputs!$K$4:$AJ$4,0))))+SUMPRODUCT((Inputs!$C$5:$C$190=$B57)*ISNUMBER(INDEX(Inputs!$K$5:$AJ$190,0,MATCH(K$2,Inputs!$K$4:$AJ$4,0))))+SUMPRODUCT((Inputs!$E$5:$E$190=$B57)*ISNUMBER(INDEX(Inputs!$K$5:$AJ$190,0,MATCH(K$2,Inputs!$K$4:$AJ$4,0))))=0,NA(),SUMPRODUCT((Inputs!$A$5:$A$190=$B57)*Inputs!$B$5:$B$190*(((Inputs!$G$5:$G$190="moeda")+(Inputs!$G$5:$G$190="acoes"))*Inputs!$B$1+((Inputs!$G$5:$G$190&lt;&gt;"moeda")*(Inputs!$G$5:$G$190&lt;&gt;"acoes")))*INDEX(Inputs!$K$5:$AJ$190,0,MATCH(K$2,Inputs!$K$4:$AJ$4,0)))+SUMPRODUCT((Inputs!$C$5:$C$190=$B57)*Inputs!$D$5:$D$190*(((Inputs!$G$5:$G$190="moeda")+(Inputs!$G$5:$G$190="acoes"))*Inputs!$B$1+((Inputs!$G$5:$G$190&lt;&gt;"moeda")*(Inputs!$G$5:$G$190&lt;&gt;"acoes")))*INDEX(Inputs!$K$5:$AJ$190,0,MATCH(K$2,Inputs!$K$4:$AJ$4,0)))+SUMPRODUCT((Inputs!$E$5:$E$190=$B57)*Inputs!$F$5:$F$190*(((Inputs!$G$5:$G$190="moeda")+(Inputs!$G$5:$G$190="acoes"))*Inputs!$B$1+((Inputs!$G$5:$G$190&lt;&gt;"moeda")*(Inputs!$G$5:$G$190&lt;&gt;"acoes")))*INDEX(Inputs!$K$5:$AJ$190,0,MATCH(K$2,Inputs!$K$4:$AJ$4,0)))))</f>
        <v>1570.7922793802</v>
      </c>
      <c r="L57" s="264">
        <f>IF(ISNA(MATCH(L$2,Inputs!$K$4:$AJ$4,0)),NA(),IF(SUMPRODUCT((Inputs!$A$5:$A$190=$B57)*ISNUMBER(INDEX(Inputs!$K$5:$AJ$190,0,MATCH(L$2,Inputs!$K$4:$AJ$4,0))))+SUMPRODUCT((Inputs!$C$5:$C$190=$B57)*ISNUMBER(INDEX(Inputs!$K$5:$AJ$190,0,MATCH(L$2,Inputs!$K$4:$AJ$4,0))))+SUMPRODUCT((Inputs!$E$5:$E$190=$B57)*ISNUMBER(INDEX(Inputs!$K$5:$AJ$190,0,MATCH(L$2,Inputs!$K$4:$AJ$4,0))))=0,NA(),SUMPRODUCT((Inputs!$A$5:$A$190=$B57)*Inputs!$B$5:$B$190*(((Inputs!$G$5:$G$190="moeda")+(Inputs!$G$5:$G$190="acoes"))*Inputs!$B$1+((Inputs!$G$5:$G$190&lt;&gt;"moeda")*(Inputs!$G$5:$G$190&lt;&gt;"acoes")))*INDEX(Inputs!$K$5:$AJ$190,0,MATCH(L$2,Inputs!$K$4:$AJ$4,0)))+SUMPRODUCT((Inputs!$C$5:$C$190=$B57)*Inputs!$D$5:$D$190*(((Inputs!$G$5:$G$190="moeda")+(Inputs!$G$5:$G$190="acoes"))*Inputs!$B$1+((Inputs!$G$5:$G$190&lt;&gt;"moeda")*(Inputs!$G$5:$G$190&lt;&gt;"acoes")))*INDEX(Inputs!$K$5:$AJ$190,0,MATCH(L$2,Inputs!$K$4:$AJ$4,0)))+SUMPRODUCT((Inputs!$E$5:$E$190=$B57)*Inputs!$F$5:$F$190*(((Inputs!$G$5:$G$190="moeda")+(Inputs!$G$5:$G$190="acoes"))*Inputs!$B$1+((Inputs!$G$5:$G$190&lt;&gt;"moeda")*(Inputs!$G$5:$G$190&lt;&gt;"acoes")))*INDEX(Inputs!$K$5:$AJ$190,0,MATCH(L$2,Inputs!$K$4:$AJ$4,0)))))</f>
        <v>1607.6705244823</v>
      </c>
      <c r="M57" s="265">
        <f>SUM(I57:L57)</f>
        <v>5818.7950544125</v>
      </c>
      <c r="N57" s="264">
        <f>IF(ISNA(MATCH(N$2,Inputs!$K$4:$AJ$4,0)),NA(),IF(SUMPRODUCT((Inputs!$A$5:$A$190=$B57)*ISNUMBER(INDEX(Inputs!$K$5:$AJ$190,0,MATCH(N$2,Inputs!$K$4:$AJ$4,0))))+SUMPRODUCT((Inputs!$C$5:$C$190=$B57)*ISNUMBER(INDEX(Inputs!$K$5:$AJ$190,0,MATCH(N$2,Inputs!$K$4:$AJ$4,0))))+SUMPRODUCT((Inputs!$E$5:$E$190=$B57)*ISNUMBER(INDEX(Inputs!$K$5:$AJ$190,0,MATCH(N$2,Inputs!$K$4:$AJ$4,0))))=0,NA(),SUMPRODUCT((Inputs!$A$5:$A$190=$B57)*Inputs!$B$5:$B$190*(((Inputs!$G$5:$G$190="moeda")+(Inputs!$G$5:$G$190="acoes"))*Inputs!$B$1+((Inputs!$G$5:$G$190&lt;&gt;"moeda")*(Inputs!$G$5:$G$190&lt;&gt;"acoes")))*INDEX(Inputs!$K$5:$AJ$190,0,MATCH(N$2,Inputs!$K$4:$AJ$4,0)))+SUMPRODUCT((Inputs!$C$5:$C$190=$B57)*Inputs!$D$5:$D$190*(((Inputs!$G$5:$G$190="moeda")+(Inputs!$G$5:$G$190="acoes"))*Inputs!$B$1+((Inputs!$G$5:$G$190&lt;&gt;"moeda")*(Inputs!$G$5:$G$190&lt;&gt;"acoes")))*INDEX(Inputs!$K$5:$AJ$190,0,MATCH(N$2,Inputs!$K$4:$AJ$4,0)))+SUMPRODUCT((Inputs!$E$5:$E$190=$B57)*Inputs!$F$5:$F$190*(((Inputs!$G$5:$G$190="moeda")+(Inputs!$G$5:$G$190="acoes"))*Inputs!$B$1+((Inputs!$G$5:$G$190&lt;&gt;"moeda")*(Inputs!$G$5:$G$190&lt;&gt;"acoes")))*INDEX(Inputs!$K$5:$AJ$190,0,MATCH(N$2,Inputs!$K$4:$AJ$4,0)))))</f>
        <v>1505.45694493705</v>
      </c>
      <c r="O57" s="264">
        <f>IF(ISNA(MATCH(O$2,Inputs!$K$4:$AJ$4,0)),NA(),IF(SUMPRODUCT((Inputs!$A$5:$A$190=$B57)*ISNUMBER(INDEX(Inputs!$K$5:$AJ$190,0,MATCH(O$2,Inputs!$K$4:$AJ$4,0))))+SUMPRODUCT((Inputs!$C$5:$C$190=$B57)*ISNUMBER(INDEX(Inputs!$K$5:$AJ$190,0,MATCH(O$2,Inputs!$K$4:$AJ$4,0))))+SUMPRODUCT((Inputs!$E$5:$E$190=$B57)*ISNUMBER(INDEX(Inputs!$K$5:$AJ$190,0,MATCH(O$2,Inputs!$K$4:$AJ$4,0))))=0,NA(),SUMPRODUCT((Inputs!$A$5:$A$190=$B57)*Inputs!$B$5:$B$190*(((Inputs!$G$5:$G$190="moeda")+(Inputs!$G$5:$G$190="acoes"))*Inputs!$B$1+((Inputs!$G$5:$G$190&lt;&gt;"moeda")*(Inputs!$G$5:$G$190&lt;&gt;"acoes")))*INDEX(Inputs!$K$5:$AJ$190,0,MATCH(O$2,Inputs!$K$4:$AJ$4,0)))+SUMPRODUCT((Inputs!$C$5:$C$190=$B57)*Inputs!$D$5:$D$190*(((Inputs!$G$5:$G$190="moeda")+(Inputs!$G$5:$G$190="acoes"))*Inputs!$B$1+((Inputs!$G$5:$G$190&lt;&gt;"moeda")*(Inputs!$G$5:$G$190&lt;&gt;"acoes")))*INDEX(Inputs!$K$5:$AJ$190,0,MATCH(O$2,Inputs!$K$4:$AJ$4,0)))+SUMPRODUCT((Inputs!$E$5:$E$190=$B57)*Inputs!$F$5:$F$190*(((Inputs!$G$5:$G$190="moeda")+(Inputs!$G$5:$G$190="acoes"))*Inputs!$B$1+((Inputs!$G$5:$G$190&lt;&gt;"moeda")*(Inputs!$G$5:$G$190&lt;&gt;"acoes")))*INDEX(Inputs!$K$5:$AJ$190,0,MATCH(O$2,Inputs!$K$4:$AJ$4,0)))))</f>
        <v>1779.16814859244</v>
      </c>
      <c r="P57" s="264">
        <f>IF(ISNA(MATCH(P$2,Inputs!$K$4:$AJ$4,0)),NA(),IF(SUMPRODUCT((Inputs!$A$5:$A$190=$B57)*ISNUMBER(INDEX(Inputs!$K$5:$AJ$190,0,MATCH(P$2,Inputs!$K$4:$AJ$4,0))))+SUMPRODUCT((Inputs!$C$5:$C$190=$B57)*ISNUMBER(INDEX(Inputs!$K$5:$AJ$190,0,MATCH(P$2,Inputs!$K$4:$AJ$4,0))))+SUMPRODUCT((Inputs!$E$5:$E$190=$B57)*ISNUMBER(INDEX(Inputs!$K$5:$AJ$190,0,MATCH(P$2,Inputs!$K$4:$AJ$4,0))))=0,NA(),SUMPRODUCT((Inputs!$A$5:$A$190=$B57)*Inputs!$B$5:$B$190*(((Inputs!$G$5:$G$190="moeda")+(Inputs!$G$5:$G$190="acoes"))*Inputs!$B$1+((Inputs!$G$5:$G$190&lt;&gt;"moeda")*(Inputs!$G$5:$G$190&lt;&gt;"acoes")))*INDEX(Inputs!$K$5:$AJ$190,0,MATCH(P$2,Inputs!$K$4:$AJ$4,0)))+SUMPRODUCT((Inputs!$C$5:$C$190=$B57)*Inputs!$D$5:$D$190*(((Inputs!$G$5:$G$190="moeda")+(Inputs!$G$5:$G$190="acoes"))*Inputs!$B$1+((Inputs!$G$5:$G$190&lt;&gt;"moeda")*(Inputs!$G$5:$G$190&lt;&gt;"acoes")))*INDEX(Inputs!$K$5:$AJ$190,0,MATCH(P$2,Inputs!$K$4:$AJ$4,0)))+SUMPRODUCT((Inputs!$E$5:$E$190=$B57)*Inputs!$F$5:$F$190*(((Inputs!$G$5:$G$190="moeda")+(Inputs!$G$5:$G$190="acoes"))*Inputs!$B$1+((Inputs!$G$5:$G$190&lt;&gt;"moeda")*(Inputs!$G$5:$G$190&lt;&gt;"acoes")))*INDEX(Inputs!$K$5:$AJ$190,0,MATCH(P$2,Inputs!$K$4:$AJ$4,0)))))</f>
        <v>1942.87578398333</v>
      </c>
      <c r="Q57" s="264">
        <f>IF(ISNA(MATCH(Q$2,Inputs!$K$4:$AJ$4,0)),NA(),IF(SUMPRODUCT((Inputs!$A$5:$A$190=$B57)*ISNUMBER(INDEX(Inputs!$K$5:$AJ$190,0,MATCH(Q$2,Inputs!$K$4:$AJ$4,0))))+SUMPRODUCT((Inputs!$C$5:$C$190=$B57)*ISNUMBER(INDEX(Inputs!$K$5:$AJ$190,0,MATCH(Q$2,Inputs!$K$4:$AJ$4,0))))+SUMPRODUCT((Inputs!$E$5:$E$190=$B57)*ISNUMBER(INDEX(Inputs!$K$5:$AJ$190,0,MATCH(Q$2,Inputs!$K$4:$AJ$4,0))))=0,NA(),SUMPRODUCT((Inputs!$A$5:$A$190=$B57)*Inputs!$B$5:$B$190*(((Inputs!$G$5:$G$190="moeda")+(Inputs!$G$5:$G$190="acoes"))*Inputs!$B$1+((Inputs!$G$5:$G$190&lt;&gt;"moeda")*(Inputs!$G$5:$G$190&lt;&gt;"acoes")))*INDEX(Inputs!$K$5:$AJ$190,0,MATCH(Q$2,Inputs!$K$4:$AJ$4,0)))+SUMPRODUCT((Inputs!$C$5:$C$190=$B57)*Inputs!$D$5:$D$190*(((Inputs!$G$5:$G$190="moeda")+(Inputs!$G$5:$G$190="acoes"))*Inputs!$B$1+((Inputs!$G$5:$G$190&lt;&gt;"moeda")*(Inputs!$G$5:$G$190&lt;&gt;"acoes")))*INDEX(Inputs!$K$5:$AJ$190,0,MATCH(Q$2,Inputs!$K$4:$AJ$4,0)))+SUMPRODUCT((Inputs!$E$5:$E$190=$B57)*Inputs!$F$5:$F$190*(((Inputs!$G$5:$G$190="moeda")+(Inputs!$G$5:$G$190="acoes"))*Inputs!$B$1+((Inputs!$G$5:$G$190&lt;&gt;"moeda")*(Inputs!$G$5:$G$190&lt;&gt;"acoes")))*INDEX(Inputs!$K$5:$AJ$190,0,MATCH(Q$2,Inputs!$K$4:$AJ$4,0)))))</f>
        <v>2071.47326642363</v>
      </c>
      <c r="R57" s="265">
        <f>SUM(N57:Q57)</f>
        <v>7298.97414393644</v>
      </c>
      <c r="S57" s="264">
        <f>IF(ISNA(MATCH(S$2,Inputs!$K$4:$AJ$4,0)),NA(),IF(SUMPRODUCT((Inputs!$A$5:$A$190=$B57)*ISNUMBER(INDEX(Inputs!$K$5:$AJ$190,0,MATCH(S$2,Inputs!$K$4:$AJ$4,0))))+SUMPRODUCT((Inputs!$C$5:$C$190=$B57)*ISNUMBER(INDEX(Inputs!$K$5:$AJ$190,0,MATCH(S$2,Inputs!$K$4:$AJ$4,0))))+SUMPRODUCT((Inputs!$E$5:$E$190=$B57)*ISNUMBER(INDEX(Inputs!$K$5:$AJ$190,0,MATCH(S$2,Inputs!$K$4:$AJ$4,0))))=0,NA(),SUMPRODUCT((Inputs!$A$5:$A$190=$B57)*Inputs!$B$5:$B$190*(((Inputs!$G$5:$G$190="moeda")+(Inputs!$G$5:$G$190="acoes"))*Inputs!$B$1+((Inputs!$G$5:$G$190&lt;&gt;"moeda")*(Inputs!$G$5:$G$190&lt;&gt;"acoes")))*INDEX(Inputs!$K$5:$AJ$190,0,MATCH(S$2,Inputs!$K$4:$AJ$4,0)))+SUMPRODUCT((Inputs!$C$5:$C$190=$B57)*Inputs!$D$5:$D$190*(((Inputs!$G$5:$G$190="moeda")+(Inputs!$G$5:$G$190="acoes"))*Inputs!$B$1+((Inputs!$G$5:$G$190&lt;&gt;"moeda")*(Inputs!$G$5:$G$190&lt;&gt;"acoes")))*INDEX(Inputs!$K$5:$AJ$190,0,MATCH(S$2,Inputs!$K$4:$AJ$4,0)))+SUMPRODUCT((Inputs!$E$5:$E$190=$B57)*Inputs!$F$5:$F$190*(((Inputs!$G$5:$G$190="moeda")+(Inputs!$G$5:$G$190="acoes"))*Inputs!$B$1+((Inputs!$G$5:$G$190&lt;&gt;"moeda")*(Inputs!$G$5:$G$190&lt;&gt;"acoes")))*INDEX(Inputs!$K$5:$AJ$190,0,MATCH(S$2,Inputs!$K$4:$AJ$4,0)))))</f>
        <v>1993.4498256766</v>
      </c>
      <c r="T57" s="264">
        <f>IF(ISNA(MATCH(T$2,Inputs!$K$4:$AJ$4,0)),NA(),IF(SUMPRODUCT((Inputs!$A$5:$A$190=$B57)*ISNUMBER(INDEX(Inputs!$K$5:$AJ$190,0,MATCH(T$2,Inputs!$K$4:$AJ$4,0))))+SUMPRODUCT((Inputs!$C$5:$C$190=$B57)*ISNUMBER(INDEX(Inputs!$K$5:$AJ$190,0,MATCH(T$2,Inputs!$K$4:$AJ$4,0))))+SUMPRODUCT((Inputs!$E$5:$E$190=$B57)*ISNUMBER(INDEX(Inputs!$K$5:$AJ$190,0,MATCH(T$2,Inputs!$K$4:$AJ$4,0))))=0,NA(),SUMPRODUCT((Inputs!$A$5:$A$190=$B57)*Inputs!$B$5:$B$190*(((Inputs!$G$5:$G$190="moeda")+(Inputs!$G$5:$G$190="acoes"))*Inputs!$B$1+((Inputs!$G$5:$G$190&lt;&gt;"moeda")*(Inputs!$G$5:$G$190&lt;&gt;"acoes")))*INDEX(Inputs!$K$5:$AJ$190,0,MATCH(T$2,Inputs!$K$4:$AJ$4,0)))+SUMPRODUCT((Inputs!$C$5:$C$190=$B57)*Inputs!$D$5:$D$190*(((Inputs!$G$5:$G$190="moeda")+(Inputs!$G$5:$G$190="acoes"))*Inputs!$B$1+((Inputs!$G$5:$G$190&lt;&gt;"moeda")*(Inputs!$G$5:$G$190&lt;&gt;"acoes")))*INDEX(Inputs!$K$5:$AJ$190,0,MATCH(T$2,Inputs!$K$4:$AJ$4,0)))+SUMPRODUCT((Inputs!$E$5:$E$190=$B57)*Inputs!$F$5:$F$190*(((Inputs!$G$5:$G$190="moeda")+(Inputs!$G$5:$G$190="acoes"))*Inputs!$B$1+((Inputs!$G$5:$G$190&lt;&gt;"moeda")*(Inputs!$G$5:$G$190&lt;&gt;"acoes")))*INDEX(Inputs!$K$5:$AJ$190,0,MATCH(T$2,Inputs!$K$4:$AJ$4,0)))))</f>
        <v>2073.17241747545</v>
      </c>
      <c r="U57" s="264">
        <f>IF(ISNA(MATCH(U$2,Inputs!$K$4:$AJ$4,0)),NA(),IF(SUMPRODUCT((Inputs!$A$5:$A$190=$B57)*ISNUMBER(INDEX(Inputs!$K$5:$AJ$190,0,MATCH(U$2,Inputs!$K$4:$AJ$4,0))))+SUMPRODUCT((Inputs!$C$5:$C$190=$B57)*ISNUMBER(INDEX(Inputs!$K$5:$AJ$190,0,MATCH(U$2,Inputs!$K$4:$AJ$4,0))))+SUMPRODUCT((Inputs!$E$5:$E$190=$B57)*ISNUMBER(INDEX(Inputs!$K$5:$AJ$190,0,MATCH(U$2,Inputs!$K$4:$AJ$4,0))))=0,NA(),SUMPRODUCT((Inputs!$A$5:$A$190=$B57)*Inputs!$B$5:$B$190*(((Inputs!$G$5:$G$190="moeda")+(Inputs!$G$5:$G$190="acoes"))*Inputs!$B$1+((Inputs!$G$5:$G$190&lt;&gt;"moeda")*(Inputs!$G$5:$G$190&lt;&gt;"acoes")))*INDEX(Inputs!$K$5:$AJ$190,0,MATCH(U$2,Inputs!$K$4:$AJ$4,0)))+SUMPRODUCT((Inputs!$C$5:$C$190=$B57)*Inputs!$D$5:$D$190*(((Inputs!$G$5:$G$190="moeda")+(Inputs!$G$5:$G$190="acoes"))*Inputs!$B$1+((Inputs!$G$5:$G$190&lt;&gt;"moeda")*(Inputs!$G$5:$G$190&lt;&gt;"acoes")))*INDEX(Inputs!$K$5:$AJ$190,0,MATCH(U$2,Inputs!$K$4:$AJ$4,0)))+SUMPRODUCT((Inputs!$E$5:$E$190=$B57)*Inputs!$F$5:$F$190*(((Inputs!$G$5:$G$190="moeda")+(Inputs!$G$5:$G$190="acoes"))*Inputs!$B$1+((Inputs!$G$5:$G$190&lt;&gt;"moeda")*(Inputs!$G$5:$G$190&lt;&gt;"acoes")))*INDEX(Inputs!$K$5:$AJ$190,0,MATCH(U$2,Inputs!$K$4:$AJ$4,0)))))</f>
        <v>2284.423721182</v>
      </c>
      <c r="V57" s="264">
        <f>IF(ISNA(MATCH(V$2,Inputs!$K$4:$AJ$4,0)),NA(),IF(SUMPRODUCT((Inputs!$A$5:$A$190=$B57)*ISNUMBER(INDEX(Inputs!$K$5:$AJ$190,0,MATCH(V$2,Inputs!$K$4:$AJ$4,0))))+SUMPRODUCT((Inputs!$C$5:$C$190=$B57)*ISNUMBER(INDEX(Inputs!$K$5:$AJ$190,0,MATCH(V$2,Inputs!$K$4:$AJ$4,0))))+SUMPRODUCT((Inputs!$E$5:$E$190=$B57)*ISNUMBER(INDEX(Inputs!$K$5:$AJ$190,0,MATCH(V$2,Inputs!$K$4:$AJ$4,0))))=0,NA(),SUMPRODUCT((Inputs!$A$5:$A$190=$B57)*Inputs!$B$5:$B$190*(((Inputs!$G$5:$G$190="moeda")+(Inputs!$G$5:$G$190="acoes"))*Inputs!$B$1+((Inputs!$G$5:$G$190&lt;&gt;"moeda")*(Inputs!$G$5:$G$190&lt;&gt;"acoes")))*INDEX(Inputs!$K$5:$AJ$190,0,MATCH(V$2,Inputs!$K$4:$AJ$4,0)))+SUMPRODUCT((Inputs!$C$5:$C$190=$B57)*Inputs!$D$5:$D$190*(((Inputs!$G$5:$G$190="moeda")+(Inputs!$G$5:$G$190="acoes"))*Inputs!$B$1+((Inputs!$G$5:$G$190&lt;&gt;"moeda")*(Inputs!$G$5:$G$190&lt;&gt;"acoes")))*INDEX(Inputs!$K$5:$AJ$190,0,MATCH(V$2,Inputs!$K$4:$AJ$4,0)))+SUMPRODUCT((Inputs!$E$5:$E$190=$B57)*Inputs!$F$5:$F$190*(((Inputs!$G$5:$G$190="moeda")+(Inputs!$G$5:$G$190="acoes"))*Inputs!$B$1+((Inputs!$G$5:$G$190&lt;&gt;"moeda")*(Inputs!$G$5:$G$190&lt;&gt;"acoes")))*INDEX(Inputs!$K$5:$AJ$190,0,MATCH(V$2,Inputs!$K$4:$AJ$4,0)))))</f>
        <v>2411.33875107595</v>
      </c>
      <c r="W57" s="265">
        <f>SUM(S57:V57)</f>
        <v>8762.38471541</v>
      </c>
      <c r="X57" s="264">
        <f>IF(ISNA(MATCH(X$2,Inputs!$K$4:$AJ$4,0)),NA(),IF(SUMPRODUCT((Inputs!$A$5:$A$190=$B57)*ISNUMBER(INDEX(Inputs!$K$5:$AJ$190,0,MATCH(X$2,Inputs!$K$4:$AJ$4,0))))+SUMPRODUCT((Inputs!$C$5:$C$190=$B57)*ISNUMBER(INDEX(Inputs!$K$5:$AJ$190,0,MATCH(X$2,Inputs!$K$4:$AJ$4,0))))+SUMPRODUCT((Inputs!$E$5:$E$190=$B57)*ISNUMBER(INDEX(Inputs!$K$5:$AJ$190,0,MATCH(X$2,Inputs!$K$4:$AJ$4,0))))=0,NA(),SUMPRODUCT((Inputs!$A$5:$A$190=$B57)*Inputs!$B$5:$B$190*(((Inputs!$G$5:$G$190="moeda")+(Inputs!$G$5:$G$190="acoes"))*Inputs!$B$1+((Inputs!$G$5:$G$190&lt;&gt;"moeda")*(Inputs!$G$5:$G$190&lt;&gt;"acoes")))*INDEX(Inputs!$K$5:$AJ$190,0,MATCH(X$2,Inputs!$K$4:$AJ$4,0)))+SUMPRODUCT((Inputs!$C$5:$C$190=$B57)*Inputs!$D$5:$D$190*(((Inputs!$G$5:$G$190="moeda")+(Inputs!$G$5:$G$190="acoes"))*Inputs!$B$1+((Inputs!$G$5:$G$190&lt;&gt;"moeda")*(Inputs!$G$5:$G$190&lt;&gt;"acoes")))*INDEX(Inputs!$K$5:$AJ$190,0,MATCH(X$2,Inputs!$K$4:$AJ$4,0)))+SUMPRODUCT((Inputs!$E$5:$E$190=$B57)*Inputs!$F$5:$F$190*(((Inputs!$G$5:$G$190="moeda")+(Inputs!$G$5:$G$190="acoes"))*Inputs!$B$1+((Inputs!$G$5:$G$190&lt;&gt;"moeda")*(Inputs!$G$5:$G$190&lt;&gt;"acoes")))*INDEX(Inputs!$K$5:$AJ$190,0,MATCH(X$2,Inputs!$K$4:$AJ$4,0)))))</f>
        <v>2229.45542087</v>
      </c>
      <c r="Y57" s="264">
        <f>IF(ISNA(MATCH(Y$2,Inputs!$K$4:$AJ$4,0)),NA(),IF(SUMPRODUCT((Inputs!$A$5:$A$190=$B57)*ISNUMBER(INDEX(Inputs!$K$5:$AJ$190,0,MATCH(Y$2,Inputs!$K$4:$AJ$4,0))))+SUMPRODUCT((Inputs!$C$5:$C$190=$B57)*ISNUMBER(INDEX(Inputs!$K$5:$AJ$190,0,MATCH(Y$2,Inputs!$K$4:$AJ$4,0))))+SUMPRODUCT((Inputs!$E$5:$E$190=$B57)*ISNUMBER(INDEX(Inputs!$K$5:$AJ$190,0,MATCH(Y$2,Inputs!$K$4:$AJ$4,0))))=0,NA(),SUMPRODUCT((Inputs!$A$5:$A$190=$B57)*Inputs!$B$5:$B$190*(((Inputs!$G$5:$G$190="moeda")+(Inputs!$G$5:$G$190="acoes"))*Inputs!$B$1+((Inputs!$G$5:$G$190&lt;&gt;"moeda")*(Inputs!$G$5:$G$190&lt;&gt;"acoes")))*INDEX(Inputs!$K$5:$AJ$190,0,MATCH(Y$2,Inputs!$K$4:$AJ$4,0)))+SUMPRODUCT((Inputs!$C$5:$C$190=$B57)*Inputs!$D$5:$D$190*(((Inputs!$G$5:$G$190="moeda")+(Inputs!$G$5:$G$190="acoes"))*Inputs!$B$1+((Inputs!$G$5:$G$190&lt;&gt;"moeda")*(Inputs!$G$5:$G$190&lt;&gt;"acoes")))*INDEX(Inputs!$K$5:$AJ$190,0,MATCH(Y$2,Inputs!$K$4:$AJ$4,0)))+SUMPRODUCT((Inputs!$E$5:$E$190=$B57)*Inputs!$F$5:$F$190*(((Inputs!$G$5:$G$190="moeda")+(Inputs!$G$5:$G$190="acoes"))*Inputs!$B$1+((Inputs!$G$5:$G$190&lt;&gt;"moeda")*(Inputs!$G$5:$G$190&lt;&gt;"acoes")))*INDEX(Inputs!$K$5:$AJ$190,0,MATCH(Y$2,Inputs!$K$4:$AJ$4,0)))))</f>
        <v>2274.31185248</v>
      </c>
      <c r="Z57" s="264">
        <f>IF(ISNA(MATCH(Z$2,Inputs!$K$4:$AJ$4,0)),NA(),IF(SUMPRODUCT((Inputs!$A$5:$A$190=$B57)*ISNUMBER(INDEX(Inputs!$K$5:$AJ$190,0,MATCH(Z$2,Inputs!$K$4:$AJ$4,0))))+SUMPRODUCT((Inputs!$C$5:$C$190=$B57)*ISNUMBER(INDEX(Inputs!$K$5:$AJ$190,0,MATCH(Z$2,Inputs!$K$4:$AJ$4,0))))+SUMPRODUCT((Inputs!$E$5:$E$190=$B57)*ISNUMBER(INDEX(Inputs!$K$5:$AJ$190,0,MATCH(Z$2,Inputs!$K$4:$AJ$4,0))))=0,NA(),SUMPRODUCT((Inputs!$A$5:$A$190=$B57)*Inputs!$B$5:$B$190*(((Inputs!$G$5:$G$190="moeda")+(Inputs!$G$5:$G$190="acoes"))*Inputs!$B$1+((Inputs!$G$5:$G$190&lt;&gt;"moeda")*(Inputs!$G$5:$G$190&lt;&gt;"acoes")))*INDEX(Inputs!$K$5:$AJ$190,0,MATCH(Z$2,Inputs!$K$4:$AJ$4,0)))+SUMPRODUCT((Inputs!$C$5:$C$190=$B57)*Inputs!$D$5:$D$190*(((Inputs!$G$5:$G$190="moeda")+(Inputs!$G$5:$G$190="acoes"))*Inputs!$B$1+((Inputs!$G$5:$G$190&lt;&gt;"moeda")*(Inputs!$G$5:$G$190&lt;&gt;"acoes")))*INDEX(Inputs!$K$5:$AJ$190,0,MATCH(Z$2,Inputs!$K$4:$AJ$4,0)))+SUMPRODUCT((Inputs!$E$5:$E$190=$B57)*Inputs!$F$5:$F$190*(((Inputs!$G$5:$G$190="moeda")+(Inputs!$G$5:$G$190="acoes"))*Inputs!$B$1+((Inputs!$G$5:$G$190&lt;&gt;"moeda")*(Inputs!$G$5:$G$190&lt;&gt;"acoes")))*INDEX(Inputs!$K$5:$AJ$190,0,MATCH(Z$2,Inputs!$K$4:$AJ$4,0)))))</f>
        <v>2369.64704483</v>
      </c>
      <c r="AA57" s="264">
        <f>IF(ISNA(MATCH(AA$2,Inputs!$K$4:$AJ$4,0)),NA(),IF(SUMPRODUCT((Inputs!$A$5:$A$190=$B57)*ISNUMBER(INDEX(Inputs!$K$5:$AJ$190,0,MATCH(AA$2,Inputs!$K$4:$AJ$4,0))))+SUMPRODUCT((Inputs!$C$5:$C$190=$B57)*ISNUMBER(INDEX(Inputs!$K$5:$AJ$190,0,MATCH(AA$2,Inputs!$K$4:$AJ$4,0))))+SUMPRODUCT((Inputs!$E$5:$E$190=$B57)*ISNUMBER(INDEX(Inputs!$K$5:$AJ$190,0,MATCH(AA$2,Inputs!$K$4:$AJ$4,0))))=0,NA(),SUMPRODUCT((Inputs!$A$5:$A$190=$B57)*Inputs!$B$5:$B$190*(((Inputs!$G$5:$G$190="moeda")+(Inputs!$G$5:$G$190="acoes"))*Inputs!$B$1+((Inputs!$G$5:$G$190&lt;&gt;"moeda")*(Inputs!$G$5:$G$190&lt;&gt;"acoes")))*INDEX(Inputs!$K$5:$AJ$190,0,MATCH(AA$2,Inputs!$K$4:$AJ$4,0)))+SUMPRODUCT((Inputs!$C$5:$C$190=$B57)*Inputs!$D$5:$D$190*(((Inputs!$G$5:$G$190="moeda")+(Inputs!$G$5:$G$190="acoes"))*Inputs!$B$1+((Inputs!$G$5:$G$190&lt;&gt;"moeda")*(Inputs!$G$5:$G$190&lt;&gt;"acoes")))*INDEX(Inputs!$K$5:$AJ$190,0,MATCH(AA$2,Inputs!$K$4:$AJ$4,0)))+SUMPRODUCT((Inputs!$E$5:$E$190=$B57)*Inputs!$F$5:$F$190*(((Inputs!$G$5:$G$190="moeda")+(Inputs!$G$5:$G$190="acoes"))*Inputs!$B$1+((Inputs!$G$5:$G$190&lt;&gt;"moeda")*(Inputs!$G$5:$G$190&lt;&gt;"acoes")))*INDEX(Inputs!$K$5:$AJ$190,0,MATCH(AA$2,Inputs!$K$4:$AJ$4,0)))))</f>
        <v>2354.72742575</v>
      </c>
      <c r="AB57" s="265">
        <f>SUM(X57:AA57)</f>
        <v>9228.14174393</v>
      </c>
      <c r="AC57" s="264">
        <f>IF(ISNA(MATCH(AC$2,Inputs!$K$4:$AJ$4,0)),NA(),IF(SUMPRODUCT((Inputs!$A$5:$A$190=$B57)*ISNUMBER(INDEX(Inputs!$K$5:$AJ$190,0,MATCH(AC$2,Inputs!$K$4:$AJ$4,0))))+SUMPRODUCT((Inputs!$C$5:$C$190=$B57)*ISNUMBER(INDEX(Inputs!$K$5:$AJ$190,0,MATCH(AC$2,Inputs!$K$4:$AJ$4,0))))+SUMPRODUCT((Inputs!$E$5:$E$190=$B57)*ISNUMBER(INDEX(Inputs!$K$5:$AJ$190,0,MATCH(AC$2,Inputs!$K$4:$AJ$4,0))))=0,NA(),SUMPRODUCT((Inputs!$A$5:$A$190=$B57)*Inputs!$B$5:$B$190*(((Inputs!$G$5:$G$190="moeda")+(Inputs!$G$5:$G$190="acoes"))*Inputs!$B$1+((Inputs!$G$5:$G$190&lt;&gt;"moeda")*(Inputs!$G$5:$G$190&lt;&gt;"acoes")))*INDEX(Inputs!$K$5:$AJ$190,0,MATCH(AC$2,Inputs!$K$4:$AJ$4,0)))+SUMPRODUCT((Inputs!$C$5:$C$190=$B57)*Inputs!$D$5:$D$190*(((Inputs!$G$5:$G$190="moeda")+(Inputs!$G$5:$G$190="acoes"))*Inputs!$B$1+((Inputs!$G$5:$G$190&lt;&gt;"moeda")*(Inputs!$G$5:$G$190&lt;&gt;"acoes")))*INDEX(Inputs!$K$5:$AJ$190,0,MATCH(AC$2,Inputs!$K$4:$AJ$4,0)))+SUMPRODUCT((Inputs!$E$5:$E$190=$B57)*Inputs!$F$5:$F$190*(((Inputs!$G$5:$G$190="moeda")+(Inputs!$G$5:$G$190="acoes"))*Inputs!$B$1+((Inputs!$G$5:$G$190&lt;&gt;"moeda")*(Inputs!$G$5:$G$190&lt;&gt;"acoes")))*INDEX(Inputs!$K$5:$AJ$190,0,MATCH(AC$2,Inputs!$K$4:$AJ$4,0)))))</f>
        <v>2272.76446455</v>
      </c>
      <c r="AD57" s="264">
        <f>IF(ISNA(MATCH(AD$2,Inputs!$K$4:$AJ$4,0)),NA(),IF(SUMPRODUCT((Inputs!$A$5:$A$190=$B57)*ISNUMBER(INDEX(Inputs!$K$5:$AJ$190,0,MATCH(AD$2,Inputs!$K$4:$AJ$4,0))))+SUMPRODUCT((Inputs!$C$5:$C$190=$B57)*ISNUMBER(INDEX(Inputs!$K$5:$AJ$190,0,MATCH(AD$2,Inputs!$K$4:$AJ$4,0))))+SUMPRODUCT((Inputs!$E$5:$E$190=$B57)*ISNUMBER(INDEX(Inputs!$K$5:$AJ$190,0,MATCH(AD$2,Inputs!$K$4:$AJ$4,0))))=0,NA(),SUMPRODUCT((Inputs!$A$5:$A$190=$B57)*Inputs!$B$5:$B$190*(((Inputs!$G$5:$G$190="moeda")+(Inputs!$G$5:$G$190="acoes"))*Inputs!$B$1+((Inputs!$G$5:$G$190&lt;&gt;"moeda")*(Inputs!$G$5:$G$190&lt;&gt;"acoes")))*INDEX(Inputs!$K$5:$AJ$190,0,MATCH(AD$2,Inputs!$K$4:$AJ$4,0)))+SUMPRODUCT((Inputs!$C$5:$C$190=$B57)*Inputs!$D$5:$D$190*(((Inputs!$G$5:$G$190="moeda")+(Inputs!$G$5:$G$190="acoes"))*Inputs!$B$1+((Inputs!$G$5:$G$190&lt;&gt;"moeda")*(Inputs!$G$5:$G$190&lt;&gt;"acoes")))*INDEX(Inputs!$K$5:$AJ$190,0,MATCH(AD$2,Inputs!$K$4:$AJ$4,0)))+SUMPRODUCT((Inputs!$E$5:$E$190=$B57)*Inputs!$F$5:$F$190*(((Inputs!$G$5:$G$190="moeda")+(Inputs!$G$5:$G$190="acoes"))*Inputs!$B$1+((Inputs!$G$5:$G$190&lt;&gt;"moeda")*(Inputs!$G$5:$G$190&lt;&gt;"acoes")))*INDEX(Inputs!$K$5:$AJ$190,0,MATCH(AD$2,Inputs!$K$4:$AJ$4,0)))))</f>
        <v>2409.50395348</v>
      </c>
      <c r="AE57" s="264" t="e">
        <f>IF(ISNA(MATCH(AE$2,Inputs!$K$4:$AJ$4,0)),NA(),IF(SUMPRODUCT((Inputs!$A$5:$A$190=$B57)*ISNUMBER(INDEX(Inputs!$K$5:$AJ$190,0,MATCH(AE$2,Inputs!$K$4:$AJ$4,0))))+SUMPRODUCT((Inputs!$C$5:$C$190=$B57)*ISNUMBER(INDEX(Inputs!$K$5:$AJ$190,0,MATCH(AE$2,Inputs!$K$4:$AJ$4,0))))+SUMPRODUCT((Inputs!$E$5:$E$190=$B57)*ISNUMBER(INDEX(Inputs!$K$5:$AJ$190,0,MATCH(AE$2,Inputs!$K$4:$AJ$4,0))))=0,NA(),SUMPRODUCT((Inputs!$A$5:$A$190=$B57)*Inputs!$B$5:$B$190*(((Inputs!$G$5:$G$190="moeda")+(Inputs!$G$5:$G$190="acoes"))*Inputs!$B$1+((Inputs!$G$5:$G$190&lt;&gt;"moeda")*(Inputs!$G$5:$G$190&lt;&gt;"acoes")))*INDEX(Inputs!$K$5:$AJ$190,0,MATCH(AE$2,Inputs!$K$4:$AJ$4,0)))+SUMPRODUCT((Inputs!$C$5:$C$190=$B57)*Inputs!$D$5:$D$190*(((Inputs!$G$5:$G$190="moeda")+(Inputs!$G$5:$G$190="acoes"))*Inputs!$B$1+((Inputs!$G$5:$G$190&lt;&gt;"moeda")*(Inputs!$G$5:$G$190&lt;&gt;"acoes")))*INDEX(Inputs!$K$5:$AJ$190,0,MATCH(AE$2,Inputs!$K$4:$AJ$4,0)))+SUMPRODUCT((Inputs!$E$5:$E$190=$B57)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57" s="264" t="e">
        <f>IF(ISNA(MATCH(AF$2,Inputs!$K$4:$AJ$4,0)),NA(),IF(SUMPRODUCT((Inputs!$A$5:$A$190=$B57)*ISNUMBER(INDEX(Inputs!$K$5:$AJ$190,0,MATCH(AF$2,Inputs!$K$4:$AJ$4,0))))+SUMPRODUCT((Inputs!$C$5:$C$190=$B57)*ISNUMBER(INDEX(Inputs!$K$5:$AJ$190,0,MATCH(AF$2,Inputs!$K$4:$AJ$4,0))))+SUMPRODUCT((Inputs!$E$5:$E$190=$B57)*ISNUMBER(INDEX(Inputs!$K$5:$AJ$190,0,MATCH(AF$2,Inputs!$K$4:$AJ$4,0))))=0,NA(),SUMPRODUCT((Inputs!$A$5:$A$190=$B57)*Inputs!$B$5:$B$190*(((Inputs!$G$5:$G$190="moeda")+(Inputs!$G$5:$G$190="acoes"))*Inputs!$B$1+((Inputs!$G$5:$G$190&lt;&gt;"moeda")*(Inputs!$G$5:$G$190&lt;&gt;"acoes")))*INDEX(Inputs!$K$5:$AJ$190,0,MATCH(AF$2,Inputs!$K$4:$AJ$4,0)))+SUMPRODUCT((Inputs!$C$5:$C$190=$B57)*Inputs!$D$5:$D$190*(((Inputs!$G$5:$G$190="moeda")+(Inputs!$G$5:$G$190="acoes"))*Inputs!$B$1+((Inputs!$G$5:$G$190&lt;&gt;"moeda")*(Inputs!$G$5:$G$190&lt;&gt;"acoes")))*INDEX(Inputs!$K$5:$AJ$190,0,MATCH(AF$2,Inputs!$K$4:$AJ$4,0)))+SUMPRODUCT((Inputs!$E$5:$E$190=$B57)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57" s="265" t="e">
        <f>SUM(AC57:AF57)</f>
        <v>#N/A</v>
      </c>
      <c r="AH57" s="264">
        <f>IF(ISNA(MATCH(AH$2,Inputs!$K$4:$AJ$4,0)),NA(),IF(SUMPRODUCT((Inputs!$A$5:$A$190=$B57)*ISNUMBER(INDEX(Inputs!$K$5:$AJ$190,0,MATCH(AH$2,Inputs!$K$4:$AJ$4,0))))+SUMPRODUCT((Inputs!$C$5:$C$190=$B57)*ISNUMBER(INDEX(Inputs!$K$5:$AJ$190,0,MATCH(AH$2,Inputs!$K$4:$AJ$4,0))))+SUMPRODUCT((Inputs!$E$5:$E$190=$B57)*ISNUMBER(INDEX(Inputs!$K$5:$AJ$190,0,MATCH(AH$2,Inputs!$K$4:$AJ$4,0))))=0,NA(),SUMPRODUCT((Inputs!$A$5:$A$190=$B57)*Inputs!$B$5:$B$190*(((Inputs!$G$5:$G$190="moeda")+(Inputs!$G$5:$G$190="acoes"))*Inputs!$B$1+((Inputs!$G$5:$G$190&lt;&gt;"moeda")*(Inputs!$G$5:$G$190&lt;&gt;"acoes")))*INDEX(Inputs!$K$5:$AJ$190,0,MATCH(AH$2,Inputs!$K$4:$AJ$4,0)))+SUMPRODUCT((Inputs!$C$5:$C$190=$B57)*Inputs!$D$5:$D$190*(((Inputs!$G$5:$G$190="moeda")+(Inputs!$G$5:$G$190="acoes"))*Inputs!$B$1+((Inputs!$G$5:$G$190&lt;&gt;"moeda")*(Inputs!$G$5:$G$190&lt;&gt;"acoes")))*INDEX(Inputs!$K$5:$AJ$190,0,MATCH(AH$2,Inputs!$K$4:$AJ$4,0)))+SUMPRODUCT((Inputs!$E$5:$E$190=$B57)*Inputs!$F$5:$F$190*(((Inputs!$G$5:$G$190="moeda")+(Inputs!$G$5:$G$190="acoes"))*Inputs!$B$1+((Inputs!$G$5:$G$190&lt;&gt;"moeda")*(Inputs!$G$5:$G$190&lt;&gt;"acoes")))*INDEX(Inputs!$K$5:$AJ$190,0,MATCH(AH$2,Inputs!$K$4:$AJ$4,0)))))</f>
        <v>656.29898427</v>
      </c>
      <c r="AI57" s="264">
        <f>IF(ISNA(MATCH(AI$2,Inputs!$K$4:$AJ$4,0)),NA(),IF(SUMPRODUCT((Inputs!$A$5:$A$190=$B57)*ISNUMBER(INDEX(Inputs!$K$5:$AJ$190,0,MATCH(AI$2,Inputs!$K$4:$AJ$4,0))))+SUMPRODUCT((Inputs!$C$5:$C$190=$B57)*ISNUMBER(INDEX(Inputs!$K$5:$AJ$190,0,MATCH(AI$2,Inputs!$K$4:$AJ$4,0))))+SUMPRODUCT((Inputs!$E$5:$E$190=$B57)*ISNUMBER(INDEX(Inputs!$K$5:$AJ$190,0,MATCH(AI$2,Inputs!$K$4:$AJ$4,0))))=0,NA(),SUMPRODUCT((Inputs!$A$5:$A$190=$B57)*Inputs!$B$5:$B$190*(((Inputs!$G$5:$G$190="moeda")+(Inputs!$G$5:$G$190="acoes"))*Inputs!$B$1+((Inputs!$G$5:$G$190&lt;&gt;"moeda")*(Inputs!$G$5:$G$190&lt;&gt;"acoes")))*INDEX(Inputs!$K$5:$AJ$190,0,MATCH(AI$2,Inputs!$K$4:$AJ$4,0)))+SUMPRODUCT((Inputs!$C$5:$C$190=$B57)*Inputs!$D$5:$D$190*(((Inputs!$G$5:$G$190="moeda")+(Inputs!$G$5:$G$190="acoes"))*Inputs!$B$1+((Inputs!$G$5:$G$190&lt;&gt;"moeda")*(Inputs!$G$5:$G$190&lt;&gt;"acoes")))*INDEX(Inputs!$K$5:$AJ$190,0,MATCH(AI$2,Inputs!$K$4:$AJ$4,0)))+SUMPRODUCT((Inputs!$E$5:$E$190=$B57)*Inputs!$F$5:$F$190*(((Inputs!$G$5:$G$190="moeda")+(Inputs!$G$5:$G$190="acoes"))*Inputs!$B$1+((Inputs!$G$5:$G$190&lt;&gt;"moeda")*(Inputs!$G$5:$G$190&lt;&gt;"acoes")))*INDEX(Inputs!$K$5:$AJ$190,0,MATCH(AI$2,Inputs!$K$4:$AJ$4,0)))))</f>
        <v>550.21167775</v>
      </c>
      <c r="AJ57" s="264">
        <f>IF(ISNA(MATCH(AJ$2,Inputs!$K$4:$AJ$4,0)),NA(),IF(SUMPRODUCT((Inputs!$A$5:$A$190=$B57)*ISNUMBER(INDEX(Inputs!$K$5:$AJ$190,0,MATCH(AJ$2,Inputs!$K$4:$AJ$4,0))))+SUMPRODUCT((Inputs!$C$5:$C$190=$B57)*ISNUMBER(INDEX(Inputs!$K$5:$AJ$190,0,MATCH(AJ$2,Inputs!$K$4:$AJ$4,0))))+SUMPRODUCT((Inputs!$E$5:$E$190=$B57)*ISNUMBER(INDEX(Inputs!$K$5:$AJ$190,0,MATCH(AJ$2,Inputs!$K$4:$AJ$4,0))))=0,NA(),SUMPRODUCT((Inputs!$A$5:$A$190=$B57)*Inputs!$B$5:$B$190*(((Inputs!$G$5:$G$190="moeda")+(Inputs!$G$5:$G$190="acoes"))*Inputs!$B$1+((Inputs!$G$5:$G$190&lt;&gt;"moeda")*(Inputs!$G$5:$G$190&lt;&gt;"acoes")))*INDEX(Inputs!$K$5:$AJ$190,0,MATCH(AJ$2,Inputs!$K$4:$AJ$4,0)))+SUMPRODUCT((Inputs!$C$5:$C$190=$B57)*Inputs!$D$5:$D$190*(((Inputs!$G$5:$G$190="moeda")+(Inputs!$G$5:$G$190="acoes"))*Inputs!$B$1+((Inputs!$G$5:$G$190&lt;&gt;"moeda")*(Inputs!$G$5:$G$190&lt;&gt;"acoes")))*INDEX(Inputs!$K$5:$AJ$190,0,MATCH(AJ$2,Inputs!$K$4:$AJ$4,0)))+SUMPRODUCT((Inputs!$E$5:$E$190=$B57)*Inputs!$F$5:$F$190*(((Inputs!$G$5:$G$190="moeda")+(Inputs!$G$5:$G$190="acoes"))*Inputs!$B$1+((Inputs!$G$5:$G$190&lt;&gt;"moeda")*(Inputs!$G$5:$G$190&lt;&gt;"acoes")))*INDEX(Inputs!$K$5:$AJ$190,0,MATCH(AJ$2,Inputs!$K$4:$AJ$4,0)))))</f>
        <v>660.67810759</v>
      </c>
      <c r="AK57" s="264">
        <f>IF(ISNA(MATCH(AK$2,Inputs!$K$4:$AJ$4,0)),NA(),IF(SUMPRODUCT((Inputs!$A$5:$A$190=$B57)*ISNUMBER(INDEX(Inputs!$K$5:$AJ$190,0,MATCH(AK$2,Inputs!$K$4:$AJ$4,0))))+SUMPRODUCT((Inputs!$C$5:$C$190=$B57)*ISNUMBER(INDEX(Inputs!$K$5:$AJ$190,0,MATCH(AK$2,Inputs!$K$4:$AJ$4,0))))+SUMPRODUCT((Inputs!$E$5:$E$190=$B57)*ISNUMBER(INDEX(Inputs!$K$5:$AJ$190,0,MATCH(AK$2,Inputs!$K$4:$AJ$4,0))))=0,NA(),SUMPRODUCT((Inputs!$A$5:$A$190=$B57)*Inputs!$B$5:$B$190*(((Inputs!$G$5:$G$190="moeda")+(Inputs!$G$5:$G$190="acoes"))*Inputs!$B$1+((Inputs!$G$5:$G$190&lt;&gt;"moeda")*(Inputs!$G$5:$G$190&lt;&gt;"acoes")))*INDEX(Inputs!$K$5:$AJ$190,0,MATCH(AK$2,Inputs!$K$4:$AJ$4,0)))+SUMPRODUCT((Inputs!$C$5:$C$190=$B57)*Inputs!$D$5:$D$190*(((Inputs!$G$5:$G$190="moeda")+(Inputs!$G$5:$G$190="acoes"))*Inputs!$B$1+((Inputs!$G$5:$G$190&lt;&gt;"moeda")*(Inputs!$G$5:$G$190&lt;&gt;"acoes")))*INDEX(Inputs!$K$5:$AJ$190,0,MATCH(AK$2,Inputs!$K$4:$AJ$4,0)))+SUMPRODUCT((Inputs!$E$5:$E$190=$B57)*Inputs!$F$5:$F$190*(((Inputs!$G$5:$G$190="moeda")+(Inputs!$G$5:$G$190="acoes"))*Inputs!$B$1+((Inputs!$G$5:$G$190&lt;&gt;"moeda")*(Inputs!$G$5:$G$190&lt;&gt;"acoes")))*INDEX(Inputs!$K$5:$AJ$190,0,MATCH(AK$2,Inputs!$K$4:$AJ$4,0)))))</f>
        <v>789.149007528865</v>
      </c>
      <c r="AL57" s="265">
        <f>SUM(AH57:AK57)</f>
        <v>2656.33777713887</v>
      </c>
    </row>
    <row r="58">
      <c r="B58" s="46" t="n">
        <v>50</v>
      </c>
      <c r="C58" s="29" t="inlineStr">
        <is>
          <t>Receita liquida - Movida (aba Movida l.15)</t>
        </is>
      </c>
      <c r="D58" s="264">
        <f>IF(ISNA(MATCH(D$2,Inputs!$K$4:$AJ$4,0)),NA(),IF(SUMPRODUCT((Inputs!$A$5:$A$190=$B58)*ISNUMBER(INDEX(Inputs!$K$5:$AJ$190,0,MATCH(D$2,Inputs!$K$4:$AJ$4,0))))+SUMPRODUCT((Inputs!$C$5:$C$190=$B58)*ISNUMBER(INDEX(Inputs!$K$5:$AJ$190,0,MATCH(D$2,Inputs!$K$4:$AJ$4,0))))+SUMPRODUCT((Inputs!$E$5:$E$190=$B58)*ISNUMBER(INDEX(Inputs!$K$5:$AJ$190,0,MATCH(D$2,Inputs!$K$4:$AJ$4,0))))=0,NA(),SUMPRODUCT((Inputs!$A$5:$A$190=$B58)*Inputs!$B$5:$B$190*(((Inputs!$G$5:$G$190="moeda")+(Inputs!$G$5:$G$190="acoes"))*Inputs!$B$1+((Inputs!$G$5:$G$190&lt;&gt;"moeda")*(Inputs!$G$5:$G$190&lt;&gt;"acoes")))*INDEX(Inputs!$K$5:$AJ$190,0,MATCH(D$2,Inputs!$K$4:$AJ$4,0)))+SUMPRODUCT((Inputs!$C$5:$C$190=$B58)*Inputs!$D$5:$D$190*(((Inputs!$G$5:$G$190="moeda")+(Inputs!$G$5:$G$190="acoes"))*Inputs!$B$1+((Inputs!$G$5:$G$190&lt;&gt;"moeda")*(Inputs!$G$5:$G$190&lt;&gt;"acoes")))*INDEX(Inputs!$K$5:$AJ$190,0,MATCH(D$2,Inputs!$K$4:$AJ$4,0)))+SUMPRODUCT((Inputs!$E$5:$E$190=$B58)*Inputs!$F$5:$F$190*(((Inputs!$G$5:$G$190="moeda")+(Inputs!$G$5:$G$190="acoes"))*Inputs!$B$1+((Inputs!$G$5:$G$190&lt;&gt;"moeda")*(Inputs!$G$5:$G$190&lt;&gt;"acoes")))*INDEX(Inputs!$K$5:$AJ$190,0,MATCH(D$2,Inputs!$K$4:$AJ$4,0)))))</f>
        <v>804.889</v>
      </c>
      <c r="E58" s="264">
        <f>IF(ISNA(MATCH(E$2,Inputs!$K$4:$AJ$4,0)),NA(),IF(SUMPRODUCT((Inputs!$A$5:$A$190=$B58)*ISNUMBER(INDEX(Inputs!$K$5:$AJ$190,0,MATCH(E$2,Inputs!$K$4:$AJ$4,0))))+SUMPRODUCT((Inputs!$C$5:$C$190=$B58)*ISNUMBER(INDEX(Inputs!$K$5:$AJ$190,0,MATCH(E$2,Inputs!$K$4:$AJ$4,0))))+SUMPRODUCT((Inputs!$E$5:$E$190=$B58)*ISNUMBER(INDEX(Inputs!$K$5:$AJ$190,0,MATCH(E$2,Inputs!$K$4:$AJ$4,0))))=0,NA(),SUMPRODUCT((Inputs!$A$5:$A$190=$B58)*Inputs!$B$5:$B$190*(((Inputs!$G$5:$G$190="moeda")+(Inputs!$G$5:$G$190="acoes"))*Inputs!$B$1+((Inputs!$G$5:$G$190&lt;&gt;"moeda")*(Inputs!$G$5:$G$190&lt;&gt;"acoes")))*INDEX(Inputs!$K$5:$AJ$190,0,MATCH(E$2,Inputs!$K$4:$AJ$4,0)))+SUMPRODUCT((Inputs!$C$5:$C$190=$B58)*Inputs!$D$5:$D$190*(((Inputs!$G$5:$G$190="moeda")+(Inputs!$G$5:$G$190="acoes"))*Inputs!$B$1+((Inputs!$G$5:$G$190&lt;&gt;"moeda")*(Inputs!$G$5:$G$190&lt;&gt;"acoes")))*INDEX(Inputs!$K$5:$AJ$190,0,MATCH(E$2,Inputs!$K$4:$AJ$4,0)))+SUMPRODUCT((Inputs!$E$5:$E$190=$B58)*Inputs!$F$5:$F$190*(((Inputs!$G$5:$G$190="moeda")+(Inputs!$G$5:$G$190="acoes"))*Inputs!$B$1+((Inputs!$G$5:$G$190&lt;&gt;"moeda")*(Inputs!$G$5:$G$190&lt;&gt;"acoes")))*INDEX(Inputs!$K$5:$AJ$190,0,MATCH(E$2,Inputs!$K$4:$AJ$4,0)))))</f>
        <v>1211.49877851</v>
      </c>
      <c r="F58" s="264">
        <f>IF(ISNA(MATCH(F$2,Inputs!$K$4:$AJ$4,0)),NA(),IF(SUMPRODUCT((Inputs!$A$5:$A$190=$B58)*ISNUMBER(INDEX(Inputs!$K$5:$AJ$190,0,MATCH(F$2,Inputs!$K$4:$AJ$4,0))))+SUMPRODUCT((Inputs!$C$5:$C$190=$B58)*ISNUMBER(INDEX(Inputs!$K$5:$AJ$190,0,MATCH(F$2,Inputs!$K$4:$AJ$4,0))))+SUMPRODUCT((Inputs!$E$5:$E$190=$B58)*ISNUMBER(INDEX(Inputs!$K$5:$AJ$190,0,MATCH(F$2,Inputs!$K$4:$AJ$4,0))))=0,NA(),SUMPRODUCT((Inputs!$A$5:$A$190=$B58)*Inputs!$B$5:$B$190*(((Inputs!$G$5:$G$190="moeda")+(Inputs!$G$5:$G$190="acoes"))*Inputs!$B$1+((Inputs!$G$5:$G$190&lt;&gt;"moeda")*(Inputs!$G$5:$G$190&lt;&gt;"acoes")))*INDEX(Inputs!$K$5:$AJ$190,0,MATCH(F$2,Inputs!$K$4:$AJ$4,0)))+SUMPRODUCT((Inputs!$C$5:$C$190=$B58)*Inputs!$D$5:$D$190*(((Inputs!$G$5:$G$190="moeda")+(Inputs!$G$5:$G$190="acoes"))*Inputs!$B$1+((Inputs!$G$5:$G$190&lt;&gt;"moeda")*(Inputs!$G$5:$G$190&lt;&gt;"acoes")))*INDEX(Inputs!$K$5:$AJ$190,0,MATCH(F$2,Inputs!$K$4:$AJ$4,0)))+SUMPRODUCT((Inputs!$E$5:$E$190=$B58)*Inputs!$F$5:$F$190*(((Inputs!$G$5:$G$190="moeda")+(Inputs!$G$5:$G$190="acoes"))*Inputs!$B$1+((Inputs!$G$5:$G$190&lt;&gt;"moeda")*(Inputs!$G$5:$G$190&lt;&gt;"acoes")))*INDEX(Inputs!$K$5:$AJ$190,0,MATCH(F$2,Inputs!$K$4:$AJ$4,0)))))</f>
        <v>1575.241</v>
      </c>
      <c r="G58" s="264">
        <f>IF(ISNA(MATCH(G$2,Inputs!$K$4:$AJ$4,0)),NA(),IF(SUMPRODUCT((Inputs!$A$5:$A$190=$B58)*ISNUMBER(INDEX(Inputs!$K$5:$AJ$190,0,MATCH(G$2,Inputs!$K$4:$AJ$4,0))))+SUMPRODUCT((Inputs!$C$5:$C$190=$B58)*ISNUMBER(INDEX(Inputs!$K$5:$AJ$190,0,MATCH(G$2,Inputs!$K$4:$AJ$4,0))))+SUMPRODUCT((Inputs!$E$5:$E$190=$B58)*ISNUMBER(INDEX(Inputs!$K$5:$AJ$190,0,MATCH(G$2,Inputs!$K$4:$AJ$4,0))))=0,NA(),SUMPRODUCT((Inputs!$A$5:$A$190=$B58)*Inputs!$B$5:$B$190*(((Inputs!$G$5:$G$190="moeda")+(Inputs!$G$5:$G$190="acoes"))*Inputs!$B$1+((Inputs!$G$5:$G$190&lt;&gt;"moeda")*(Inputs!$G$5:$G$190&lt;&gt;"acoes")))*INDEX(Inputs!$K$5:$AJ$190,0,MATCH(G$2,Inputs!$K$4:$AJ$4,0)))+SUMPRODUCT((Inputs!$C$5:$C$190=$B58)*Inputs!$D$5:$D$190*(((Inputs!$G$5:$G$190="moeda")+(Inputs!$G$5:$G$190="acoes"))*Inputs!$B$1+((Inputs!$G$5:$G$190&lt;&gt;"moeda")*(Inputs!$G$5:$G$190&lt;&gt;"acoes")))*INDEX(Inputs!$K$5:$AJ$190,0,MATCH(G$2,Inputs!$K$4:$AJ$4,0)))+SUMPRODUCT((Inputs!$E$5:$E$190=$B58)*Inputs!$F$5:$F$190*(((Inputs!$G$5:$G$190="moeda")+(Inputs!$G$5:$G$190="acoes"))*Inputs!$B$1+((Inputs!$G$5:$G$190&lt;&gt;"moeda")*(Inputs!$G$5:$G$190&lt;&gt;"acoes")))*INDEX(Inputs!$K$5:$AJ$190,0,MATCH(G$2,Inputs!$K$4:$AJ$4,0)))))</f>
        <v>1740.9937540742</v>
      </c>
      <c r="H58" s="265">
        <f>SUM(D58:G58)</f>
        <v>5332.6225325842</v>
      </c>
      <c r="I58" s="264">
        <f>IF(ISNA(MATCH(I$2,Inputs!$K$4:$AJ$4,0)),NA(),IF(SUMPRODUCT((Inputs!$A$5:$A$190=$B58)*ISNUMBER(INDEX(Inputs!$K$5:$AJ$190,0,MATCH(I$2,Inputs!$K$4:$AJ$4,0))))+SUMPRODUCT((Inputs!$C$5:$C$190=$B58)*ISNUMBER(INDEX(Inputs!$K$5:$AJ$190,0,MATCH(I$2,Inputs!$K$4:$AJ$4,0))))+SUMPRODUCT((Inputs!$E$5:$E$190=$B58)*ISNUMBER(INDEX(Inputs!$K$5:$AJ$190,0,MATCH(I$2,Inputs!$K$4:$AJ$4,0))))=0,NA(),SUMPRODUCT((Inputs!$A$5:$A$190=$B58)*Inputs!$B$5:$B$190*(((Inputs!$G$5:$G$190="moeda")+(Inputs!$G$5:$G$190="acoes"))*Inputs!$B$1+((Inputs!$G$5:$G$190&lt;&gt;"moeda")*(Inputs!$G$5:$G$190&lt;&gt;"acoes")))*INDEX(Inputs!$K$5:$AJ$190,0,MATCH(I$2,Inputs!$K$4:$AJ$4,0)))+SUMPRODUCT((Inputs!$C$5:$C$190=$B58)*Inputs!$D$5:$D$190*(((Inputs!$G$5:$G$190="moeda")+(Inputs!$G$5:$G$190="acoes"))*Inputs!$B$1+((Inputs!$G$5:$G$190&lt;&gt;"moeda")*(Inputs!$G$5:$G$190&lt;&gt;"acoes")))*INDEX(Inputs!$K$5:$AJ$190,0,MATCH(I$2,Inputs!$K$4:$AJ$4,0)))+SUMPRODUCT((Inputs!$E$5:$E$190=$B58)*Inputs!$F$5:$F$190*(((Inputs!$G$5:$G$190="moeda")+(Inputs!$G$5:$G$190="acoes"))*Inputs!$B$1+((Inputs!$G$5:$G$190&lt;&gt;"moeda")*(Inputs!$G$5:$G$190&lt;&gt;"acoes")))*INDEX(Inputs!$K$5:$AJ$190,0,MATCH(I$2,Inputs!$K$4:$AJ$4,0)))))</f>
        <v>1905.65707695231</v>
      </c>
      <c r="J58" s="264">
        <f>IF(ISNA(MATCH(J$2,Inputs!$K$4:$AJ$4,0)),NA(),IF(SUMPRODUCT((Inputs!$A$5:$A$190=$B58)*ISNUMBER(INDEX(Inputs!$K$5:$AJ$190,0,MATCH(J$2,Inputs!$K$4:$AJ$4,0))))+SUMPRODUCT((Inputs!$C$5:$C$190=$B58)*ISNUMBER(INDEX(Inputs!$K$5:$AJ$190,0,MATCH(J$2,Inputs!$K$4:$AJ$4,0))))+SUMPRODUCT((Inputs!$E$5:$E$190=$B58)*ISNUMBER(INDEX(Inputs!$K$5:$AJ$190,0,MATCH(J$2,Inputs!$K$4:$AJ$4,0))))=0,NA(),SUMPRODUCT((Inputs!$A$5:$A$190=$B58)*Inputs!$B$5:$B$190*(((Inputs!$G$5:$G$190="moeda")+(Inputs!$G$5:$G$190="acoes"))*Inputs!$B$1+((Inputs!$G$5:$G$190&lt;&gt;"moeda")*(Inputs!$G$5:$G$190&lt;&gt;"acoes")))*INDEX(Inputs!$K$5:$AJ$190,0,MATCH(J$2,Inputs!$K$4:$AJ$4,0)))+SUMPRODUCT((Inputs!$C$5:$C$190=$B58)*Inputs!$D$5:$D$190*(((Inputs!$G$5:$G$190="moeda")+(Inputs!$G$5:$G$190="acoes"))*Inputs!$B$1+((Inputs!$G$5:$G$190&lt;&gt;"moeda")*(Inputs!$G$5:$G$190&lt;&gt;"acoes")))*INDEX(Inputs!$K$5:$AJ$190,0,MATCH(J$2,Inputs!$K$4:$AJ$4,0)))+SUMPRODUCT((Inputs!$E$5:$E$190=$B58)*Inputs!$F$5:$F$190*(((Inputs!$G$5:$G$190="moeda")+(Inputs!$G$5:$G$190="acoes"))*Inputs!$B$1+((Inputs!$G$5:$G$190&lt;&gt;"moeda")*(Inputs!$G$5:$G$190&lt;&gt;"acoes")))*INDEX(Inputs!$K$5:$AJ$190,0,MATCH(J$2,Inputs!$K$4:$AJ$4,0)))))</f>
        <v>2230.9921676602</v>
      </c>
      <c r="K58" s="264">
        <f>IF(ISNA(MATCH(K$2,Inputs!$K$4:$AJ$4,0)),NA(),IF(SUMPRODUCT((Inputs!$A$5:$A$190=$B58)*ISNUMBER(INDEX(Inputs!$K$5:$AJ$190,0,MATCH(K$2,Inputs!$K$4:$AJ$4,0))))+SUMPRODUCT((Inputs!$C$5:$C$190=$B58)*ISNUMBER(INDEX(Inputs!$K$5:$AJ$190,0,MATCH(K$2,Inputs!$K$4:$AJ$4,0))))+SUMPRODUCT((Inputs!$E$5:$E$190=$B58)*ISNUMBER(INDEX(Inputs!$K$5:$AJ$190,0,MATCH(K$2,Inputs!$K$4:$AJ$4,0))))=0,NA(),SUMPRODUCT((Inputs!$A$5:$A$190=$B58)*Inputs!$B$5:$B$190*(((Inputs!$G$5:$G$190="moeda")+(Inputs!$G$5:$G$190="acoes"))*Inputs!$B$1+((Inputs!$G$5:$G$190&lt;&gt;"moeda")*(Inputs!$G$5:$G$190&lt;&gt;"acoes")))*INDEX(Inputs!$K$5:$AJ$190,0,MATCH(K$2,Inputs!$K$4:$AJ$4,0)))+SUMPRODUCT((Inputs!$C$5:$C$190=$B58)*Inputs!$D$5:$D$190*(((Inputs!$G$5:$G$190="moeda")+(Inputs!$G$5:$G$190="acoes"))*Inputs!$B$1+((Inputs!$G$5:$G$190&lt;&gt;"moeda")*(Inputs!$G$5:$G$190&lt;&gt;"acoes")))*INDEX(Inputs!$K$5:$AJ$190,0,MATCH(K$2,Inputs!$K$4:$AJ$4,0)))+SUMPRODUCT((Inputs!$E$5:$E$190=$B58)*Inputs!$F$5:$F$190*(((Inputs!$G$5:$G$190="moeda")+(Inputs!$G$5:$G$190="acoes"))*Inputs!$B$1+((Inputs!$G$5:$G$190&lt;&gt;"moeda")*(Inputs!$G$5:$G$190&lt;&gt;"acoes")))*INDEX(Inputs!$K$5:$AJ$190,0,MATCH(K$2,Inputs!$K$4:$AJ$4,0)))))</f>
        <v>2536.86406647895</v>
      </c>
      <c r="L58" s="264">
        <f>IF(ISNA(MATCH(L$2,Inputs!$K$4:$AJ$4,0)),NA(),IF(SUMPRODUCT((Inputs!$A$5:$A$190=$B58)*ISNUMBER(INDEX(Inputs!$K$5:$AJ$190,0,MATCH(L$2,Inputs!$K$4:$AJ$4,0))))+SUMPRODUCT((Inputs!$C$5:$C$190=$B58)*ISNUMBER(INDEX(Inputs!$K$5:$AJ$190,0,MATCH(L$2,Inputs!$K$4:$AJ$4,0))))+SUMPRODUCT((Inputs!$E$5:$E$190=$B58)*ISNUMBER(INDEX(Inputs!$K$5:$AJ$190,0,MATCH(L$2,Inputs!$K$4:$AJ$4,0))))=0,NA(),SUMPRODUCT((Inputs!$A$5:$A$190=$B58)*Inputs!$B$5:$B$190*(((Inputs!$G$5:$G$190="moeda")+(Inputs!$G$5:$G$190="acoes"))*Inputs!$B$1+((Inputs!$G$5:$G$190&lt;&gt;"moeda")*(Inputs!$G$5:$G$190&lt;&gt;"acoes")))*INDEX(Inputs!$K$5:$AJ$190,0,MATCH(L$2,Inputs!$K$4:$AJ$4,0)))+SUMPRODUCT((Inputs!$C$5:$C$190=$B58)*Inputs!$D$5:$D$190*(((Inputs!$G$5:$G$190="moeda")+(Inputs!$G$5:$G$190="acoes"))*Inputs!$B$1+((Inputs!$G$5:$G$190&lt;&gt;"moeda")*(Inputs!$G$5:$G$190&lt;&gt;"acoes")))*INDEX(Inputs!$K$5:$AJ$190,0,MATCH(L$2,Inputs!$K$4:$AJ$4,0)))+SUMPRODUCT((Inputs!$E$5:$E$190=$B58)*Inputs!$F$5:$F$190*(((Inputs!$G$5:$G$190="moeda")+(Inputs!$G$5:$G$190="acoes"))*Inputs!$B$1+((Inputs!$G$5:$G$190&lt;&gt;"moeda")*(Inputs!$G$5:$G$190&lt;&gt;"acoes")))*INDEX(Inputs!$K$5:$AJ$190,0,MATCH(L$2,Inputs!$K$4:$AJ$4,0)))))</f>
        <v>2626.63279270383</v>
      </c>
      <c r="M58" s="265">
        <f>SUM(I58:L58)</f>
        <v>9300.14610379529</v>
      </c>
      <c r="N58" s="264">
        <f>IF(ISNA(MATCH(N$2,Inputs!$K$4:$AJ$4,0)),NA(),IF(SUMPRODUCT((Inputs!$A$5:$A$190=$B58)*ISNUMBER(INDEX(Inputs!$K$5:$AJ$190,0,MATCH(N$2,Inputs!$K$4:$AJ$4,0))))+SUMPRODUCT((Inputs!$C$5:$C$190=$B58)*ISNUMBER(INDEX(Inputs!$K$5:$AJ$190,0,MATCH(N$2,Inputs!$K$4:$AJ$4,0))))+SUMPRODUCT((Inputs!$E$5:$E$190=$B58)*ISNUMBER(INDEX(Inputs!$K$5:$AJ$190,0,MATCH(N$2,Inputs!$K$4:$AJ$4,0))))=0,NA(),SUMPRODUCT((Inputs!$A$5:$A$190=$B58)*Inputs!$B$5:$B$190*(((Inputs!$G$5:$G$190="moeda")+(Inputs!$G$5:$G$190="acoes"))*Inputs!$B$1+((Inputs!$G$5:$G$190&lt;&gt;"moeda")*(Inputs!$G$5:$G$190&lt;&gt;"acoes")))*INDEX(Inputs!$K$5:$AJ$190,0,MATCH(N$2,Inputs!$K$4:$AJ$4,0)))+SUMPRODUCT((Inputs!$C$5:$C$190=$B58)*Inputs!$D$5:$D$190*(((Inputs!$G$5:$G$190="moeda")+(Inputs!$G$5:$G$190="acoes"))*Inputs!$B$1+((Inputs!$G$5:$G$190&lt;&gt;"moeda")*(Inputs!$G$5:$G$190&lt;&gt;"acoes")))*INDEX(Inputs!$K$5:$AJ$190,0,MATCH(N$2,Inputs!$K$4:$AJ$4,0)))+SUMPRODUCT((Inputs!$E$5:$E$190=$B58)*Inputs!$F$5:$F$190*(((Inputs!$G$5:$G$190="moeda")+(Inputs!$G$5:$G$190="acoes"))*Inputs!$B$1+((Inputs!$G$5:$G$190&lt;&gt;"moeda")*(Inputs!$G$5:$G$190&lt;&gt;"acoes")))*INDEX(Inputs!$K$5:$AJ$190,0,MATCH(N$2,Inputs!$K$4:$AJ$4,0)))))</f>
        <v>2703.20625153</v>
      </c>
      <c r="O58" s="264">
        <f>IF(ISNA(MATCH(O$2,Inputs!$K$4:$AJ$4,0)),NA(),IF(SUMPRODUCT((Inputs!$A$5:$A$190=$B58)*ISNUMBER(INDEX(Inputs!$K$5:$AJ$190,0,MATCH(O$2,Inputs!$K$4:$AJ$4,0))))+SUMPRODUCT((Inputs!$C$5:$C$190=$B58)*ISNUMBER(INDEX(Inputs!$K$5:$AJ$190,0,MATCH(O$2,Inputs!$K$4:$AJ$4,0))))+SUMPRODUCT((Inputs!$E$5:$E$190=$B58)*ISNUMBER(INDEX(Inputs!$K$5:$AJ$190,0,MATCH(O$2,Inputs!$K$4:$AJ$4,0))))=0,NA(),SUMPRODUCT((Inputs!$A$5:$A$190=$B58)*Inputs!$B$5:$B$190*(((Inputs!$G$5:$G$190="moeda")+(Inputs!$G$5:$G$190="acoes"))*Inputs!$B$1+((Inputs!$G$5:$G$190&lt;&gt;"moeda")*(Inputs!$G$5:$G$190&lt;&gt;"acoes")))*INDEX(Inputs!$K$5:$AJ$190,0,MATCH(O$2,Inputs!$K$4:$AJ$4,0)))+SUMPRODUCT((Inputs!$C$5:$C$190=$B58)*Inputs!$D$5:$D$190*(((Inputs!$G$5:$G$190="moeda")+(Inputs!$G$5:$G$190="acoes"))*Inputs!$B$1+((Inputs!$G$5:$G$190&lt;&gt;"moeda")*(Inputs!$G$5:$G$190&lt;&gt;"acoes")))*INDEX(Inputs!$K$5:$AJ$190,0,MATCH(O$2,Inputs!$K$4:$AJ$4,0)))+SUMPRODUCT((Inputs!$E$5:$E$190=$B58)*Inputs!$F$5:$F$190*(((Inputs!$G$5:$G$190="moeda")+(Inputs!$G$5:$G$190="acoes"))*Inputs!$B$1+((Inputs!$G$5:$G$190&lt;&gt;"moeda")*(Inputs!$G$5:$G$190&lt;&gt;"acoes")))*INDEX(Inputs!$K$5:$AJ$190,0,MATCH(O$2,Inputs!$K$4:$AJ$4,0)))))</f>
        <v>2479.14429072</v>
      </c>
      <c r="P58" s="264">
        <f>IF(ISNA(MATCH(P$2,Inputs!$K$4:$AJ$4,0)),NA(),IF(SUMPRODUCT((Inputs!$A$5:$A$190=$B58)*ISNUMBER(INDEX(Inputs!$K$5:$AJ$190,0,MATCH(P$2,Inputs!$K$4:$AJ$4,0))))+SUMPRODUCT((Inputs!$C$5:$C$190=$B58)*ISNUMBER(INDEX(Inputs!$K$5:$AJ$190,0,MATCH(P$2,Inputs!$K$4:$AJ$4,0))))+SUMPRODUCT((Inputs!$E$5:$E$190=$B58)*ISNUMBER(INDEX(Inputs!$K$5:$AJ$190,0,MATCH(P$2,Inputs!$K$4:$AJ$4,0))))=0,NA(),SUMPRODUCT((Inputs!$A$5:$A$190=$B58)*Inputs!$B$5:$B$190*(((Inputs!$G$5:$G$190="moeda")+(Inputs!$G$5:$G$190="acoes"))*Inputs!$B$1+((Inputs!$G$5:$G$190&lt;&gt;"moeda")*(Inputs!$G$5:$G$190&lt;&gt;"acoes")))*INDEX(Inputs!$K$5:$AJ$190,0,MATCH(P$2,Inputs!$K$4:$AJ$4,0)))+SUMPRODUCT((Inputs!$C$5:$C$190=$B58)*Inputs!$D$5:$D$190*(((Inputs!$G$5:$G$190="moeda")+(Inputs!$G$5:$G$190="acoes"))*Inputs!$B$1+((Inputs!$G$5:$G$190&lt;&gt;"moeda")*(Inputs!$G$5:$G$190&lt;&gt;"acoes")))*INDEX(Inputs!$K$5:$AJ$190,0,MATCH(P$2,Inputs!$K$4:$AJ$4,0)))+SUMPRODUCT((Inputs!$E$5:$E$190=$B58)*Inputs!$F$5:$F$190*(((Inputs!$G$5:$G$190="moeda")+(Inputs!$G$5:$G$190="acoes"))*Inputs!$B$1+((Inputs!$G$5:$G$190&lt;&gt;"moeda")*(Inputs!$G$5:$G$190&lt;&gt;"acoes")))*INDEX(Inputs!$K$5:$AJ$190,0,MATCH(P$2,Inputs!$K$4:$AJ$4,0)))))</f>
        <v>2666.21994829</v>
      </c>
      <c r="Q58" s="264">
        <f>IF(ISNA(MATCH(Q$2,Inputs!$K$4:$AJ$4,0)),NA(),IF(SUMPRODUCT((Inputs!$A$5:$A$190=$B58)*ISNUMBER(INDEX(Inputs!$K$5:$AJ$190,0,MATCH(Q$2,Inputs!$K$4:$AJ$4,0))))+SUMPRODUCT((Inputs!$C$5:$C$190=$B58)*ISNUMBER(INDEX(Inputs!$K$5:$AJ$190,0,MATCH(Q$2,Inputs!$K$4:$AJ$4,0))))+SUMPRODUCT((Inputs!$E$5:$E$190=$B58)*ISNUMBER(INDEX(Inputs!$K$5:$AJ$190,0,MATCH(Q$2,Inputs!$K$4:$AJ$4,0))))=0,NA(),SUMPRODUCT((Inputs!$A$5:$A$190=$B58)*Inputs!$B$5:$B$190*(((Inputs!$G$5:$G$190="moeda")+(Inputs!$G$5:$G$190="acoes"))*Inputs!$B$1+((Inputs!$G$5:$G$190&lt;&gt;"moeda")*(Inputs!$G$5:$G$190&lt;&gt;"acoes")))*INDEX(Inputs!$K$5:$AJ$190,0,MATCH(Q$2,Inputs!$K$4:$AJ$4,0)))+SUMPRODUCT((Inputs!$C$5:$C$190=$B58)*Inputs!$D$5:$D$190*(((Inputs!$G$5:$G$190="moeda")+(Inputs!$G$5:$G$190="acoes"))*Inputs!$B$1+((Inputs!$G$5:$G$190&lt;&gt;"moeda")*(Inputs!$G$5:$G$190&lt;&gt;"acoes")))*INDEX(Inputs!$K$5:$AJ$190,0,MATCH(Q$2,Inputs!$K$4:$AJ$4,0)))+SUMPRODUCT((Inputs!$E$5:$E$190=$B58)*Inputs!$F$5:$F$190*(((Inputs!$G$5:$G$190="moeda")+(Inputs!$G$5:$G$190="acoes"))*Inputs!$B$1+((Inputs!$G$5:$G$190&lt;&gt;"moeda")*(Inputs!$G$5:$G$190&lt;&gt;"acoes")))*INDEX(Inputs!$K$5:$AJ$190,0,MATCH(Q$2,Inputs!$K$4:$AJ$4,0)))))</f>
        <v>2493.44420164</v>
      </c>
      <c r="R58" s="265">
        <f>SUM(N58:Q58)</f>
        <v>10342.01469218</v>
      </c>
      <c r="S58" s="264">
        <f>IF(ISNA(MATCH(S$2,Inputs!$K$4:$AJ$4,0)),NA(),IF(SUMPRODUCT((Inputs!$A$5:$A$190=$B58)*ISNUMBER(INDEX(Inputs!$K$5:$AJ$190,0,MATCH(S$2,Inputs!$K$4:$AJ$4,0))))+SUMPRODUCT((Inputs!$C$5:$C$190=$B58)*ISNUMBER(INDEX(Inputs!$K$5:$AJ$190,0,MATCH(S$2,Inputs!$K$4:$AJ$4,0))))+SUMPRODUCT((Inputs!$E$5:$E$190=$B58)*ISNUMBER(INDEX(Inputs!$K$5:$AJ$190,0,MATCH(S$2,Inputs!$K$4:$AJ$4,0))))=0,NA(),SUMPRODUCT((Inputs!$A$5:$A$190=$B58)*Inputs!$B$5:$B$190*(((Inputs!$G$5:$G$190="moeda")+(Inputs!$G$5:$G$190="acoes"))*Inputs!$B$1+((Inputs!$G$5:$G$190&lt;&gt;"moeda")*(Inputs!$G$5:$G$190&lt;&gt;"acoes")))*INDEX(Inputs!$K$5:$AJ$190,0,MATCH(S$2,Inputs!$K$4:$AJ$4,0)))+SUMPRODUCT((Inputs!$C$5:$C$190=$B58)*Inputs!$D$5:$D$190*(((Inputs!$G$5:$G$190="moeda")+(Inputs!$G$5:$G$190="acoes"))*Inputs!$B$1+((Inputs!$G$5:$G$190&lt;&gt;"moeda")*(Inputs!$G$5:$G$190&lt;&gt;"acoes")))*INDEX(Inputs!$K$5:$AJ$190,0,MATCH(S$2,Inputs!$K$4:$AJ$4,0)))+SUMPRODUCT((Inputs!$E$5:$E$190=$B58)*Inputs!$F$5:$F$190*(((Inputs!$G$5:$G$190="moeda")+(Inputs!$G$5:$G$190="acoes"))*Inputs!$B$1+((Inputs!$G$5:$G$190&lt;&gt;"moeda")*(Inputs!$G$5:$G$190&lt;&gt;"acoes")))*INDEX(Inputs!$K$5:$AJ$190,0,MATCH(S$2,Inputs!$K$4:$AJ$4,0)))))</f>
        <v>3021.64586942</v>
      </c>
      <c r="T58" s="264">
        <f>IF(ISNA(MATCH(T$2,Inputs!$K$4:$AJ$4,0)),NA(),IF(SUMPRODUCT((Inputs!$A$5:$A$190=$B58)*ISNUMBER(INDEX(Inputs!$K$5:$AJ$190,0,MATCH(T$2,Inputs!$K$4:$AJ$4,0))))+SUMPRODUCT((Inputs!$C$5:$C$190=$B58)*ISNUMBER(INDEX(Inputs!$K$5:$AJ$190,0,MATCH(T$2,Inputs!$K$4:$AJ$4,0))))+SUMPRODUCT((Inputs!$E$5:$E$190=$B58)*ISNUMBER(INDEX(Inputs!$K$5:$AJ$190,0,MATCH(T$2,Inputs!$K$4:$AJ$4,0))))=0,NA(),SUMPRODUCT((Inputs!$A$5:$A$190=$B58)*Inputs!$B$5:$B$190*(((Inputs!$G$5:$G$190="moeda")+(Inputs!$G$5:$G$190="acoes"))*Inputs!$B$1+((Inputs!$G$5:$G$190&lt;&gt;"moeda")*(Inputs!$G$5:$G$190&lt;&gt;"acoes")))*INDEX(Inputs!$K$5:$AJ$190,0,MATCH(T$2,Inputs!$K$4:$AJ$4,0)))+SUMPRODUCT((Inputs!$C$5:$C$190=$B58)*Inputs!$D$5:$D$190*(((Inputs!$G$5:$G$190="moeda")+(Inputs!$G$5:$G$190="acoes"))*Inputs!$B$1+((Inputs!$G$5:$G$190&lt;&gt;"moeda")*(Inputs!$G$5:$G$190&lt;&gt;"acoes")))*INDEX(Inputs!$K$5:$AJ$190,0,MATCH(T$2,Inputs!$K$4:$AJ$4,0)))+SUMPRODUCT((Inputs!$E$5:$E$190=$B58)*Inputs!$F$5:$F$190*(((Inputs!$G$5:$G$190="moeda")+(Inputs!$G$5:$G$190="acoes"))*Inputs!$B$1+((Inputs!$G$5:$G$190&lt;&gt;"moeda")*(Inputs!$G$5:$G$190&lt;&gt;"acoes")))*INDEX(Inputs!$K$5:$AJ$190,0,MATCH(T$2,Inputs!$K$4:$AJ$4,0)))))</f>
        <v>3435.60355662</v>
      </c>
      <c r="U58" s="264">
        <f>IF(ISNA(MATCH(U$2,Inputs!$K$4:$AJ$4,0)),NA(),IF(SUMPRODUCT((Inputs!$A$5:$A$190=$B58)*ISNUMBER(INDEX(Inputs!$K$5:$AJ$190,0,MATCH(U$2,Inputs!$K$4:$AJ$4,0))))+SUMPRODUCT((Inputs!$C$5:$C$190=$B58)*ISNUMBER(INDEX(Inputs!$K$5:$AJ$190,0,MATCH(U$2,Inputs!$K$4:$AJ$4,0))))+SUMPRODUCT((Inputs!$E$5:$E$190=$B58)*ISNUMBER(INDEX(Inputs!$K$5:$AJ$190,0,MATCH(U$2,Inputs!$K$4:$AJ$4,0))))=0,NA(),SUMPRODUCT((Inputs!$A$5:$A$190=$B58)*Inputs!$B$5:$B$190*(((Inputs!$G$5:$G$190="moeda")+(Inputs!$G$5:$G$190="acoes"))*Inputs!$B$1+((Inputs!$G$5:$G$190&lt;&gt;"moeda")*(Inputs!$G$5:$G$190&lt;&gt;"acoes")))*INDEX(Inputs!$K$5:$AJ$190,0,MATCH(U$2,Inputs!$K$4:$AJ$4,0)))+SUMPRODUCT((Inputs!$C$5:$C$190=$B58)*Inputs!$D$5:$D$190*(((Inputs!$G$5:$G$190="moeda")+(Inputs!$G$5:$G$190="acoes"))*Inputs!$B$1+((Inputs!$G$5:$G$190&lt;&gt;"moeda")*(Inputs!$G$5:$G$190&lt;&gt;"acoes")))*INDEX(Inputs!$K$5:$AJ$190,0,MATCH(U$2,Inputs!$K$4:$AJ$4,0)))+SUMPRODUCT((Inputs!$E$5:$E$190=$B58)*Inputs!$F$5:$F$190*(((Inputs!$G$5:$G$190="moeda")+(Inputs!$G$5:$G$190="acoes"))*Inputs!$B$1+((Inputs!$G$5:$G$190&lt;&gt;"moeda")*(Inputs!$G$5:$G$190&lt;&gt;"acoes")))*INDEX(Inputs!$K$5:$AJ$190,0,MATCH(U$2,Inputs!$K$4:$AJ$4,0)))))</f>
        <v>3775.86368257</v>
      </c>
      <c r="V58" s="264">
        <f>IF(ISNA(MATCH(V$2,Inputs!$K$4:$AJ$4,0)),NA(),IF(SUMPRODUCT((Inputs!$A$5:$A$190=$B58)*ISNUMBER(INDEX(Inputs!$K$5:$AJ$190,0,MATCH(V$2,Inputs!$K$4:$AJ$4,0))))+SUMPRODUCT((Inputs!$C$5:$C$190=$B58)*ISNUMBER(INDEX(Inputs!$K$5:$AJ$190,0,MATCH(V$2,Inputs!$K$4:$AJ$4,0))))+SUMPRODUCT((Inputs!$E$5:$E$190=$B58)*ISNUMBER(INDEX(Inputs!$K$5:$AJ$190,0,MATCH(V$2,Inputs!$K$4:$AJ$4,0))))=0,NA(),SUMPRODUCT((Inputs!$A$5:$A$190=$B58)*Inputs!$B$5:$B$190*(((Inputs!$G$5:$G$190="moeda")+(Inputs!$G$5:$G$190="acoes"))*Inputs!$B$1+((Inputs!$G$5:$G$190&lt;&gt;"moeda")*(Inputs!$G$5:$G$190&lt;&gt;"acoes")))*INDEX(Inputs!$K$5:$AJ$190,0,MATCH(V$2,Inputs!$K$4:$AJ$4,0)))+SUMPRODUCT((Inputs!$C$5:$C$190=$B58)*Inputs!$D$5:$D$190*(((Inputs!$G$5:$G$190="moeda")+(Inputs!$G$5:$G$190="acoes"))*Inputs!$B$1+((Inputs!$G$5:$G$190&lt;&gt;"moeda")*(Inputs!$G$5:$G$190&lt;&gt;"acoes")))*INDEX(Inputs!$K$5:$AJ$190,0,MATCH(V$2,Inputs!$K$4:$AJ$4,0)))+SUMPRODUCT((Inputs!$E$5:$E$190=$B58)*Inputs!$F$5:$F$190*(((Inputs!$G$5:$G$190="moeda")+(Inputs!$G$5:$G$190="acoes"))*Inputs!$B$1+((Inputs!$G$5:$G$190&lt;&gt;"moeda")*(Inputs!$G$5:$G$190&lt;&gt;"acoes")))*INDEX(Inputs!$K$5:$AJ$190,0,MATCH(V$2,Inputs!$K$4:$AJ$4,0)))))</f>
        <v>3248.15701974</v>
      </c>
      <c r="W58" s="265">
        <f>SUM(S58:V58)</f>
        <v>13481.27012835</v>
      </c>
      <c r="X58" s="264">
        <f>IF(ISNA(MATCH(X$2,Inputs!$K$4:$AJ$4,0)),NA(),IF(SUMPRODUCT((Inputs!$A$5:$A$190=$B58)*ISNUMBER(INDEX(Inputs!$K$5:$AJ$190,0,MATCH(X$2,Inputs!$K$4:$AJ$4,0))))+SUMPRODUCT((Inputs!$C$5:$C$190=$B58)*ISNUMBER(INDEX(Inputs!$K$5:$AJ$190,0,MATCH(X$2,Inputs!$K$4:$AJ$4,0))))+SUMPRODUCT((Inputs!$E$5:$E$190=$B58)*ISNUMBER(INDEX(Inputs!$K$5:$AJ$190,0,MATCH(X$2,Inputs!$K$4:$AJ$4,0))))=0,NA(),SUMPRODUCT((Inputs!$A$5:$A$190=$B58)*Inputs!$B$5:$B$190*(((Inputs!$G$5:$G$190="moeda")+(Inputs!$G$5:$G$190="acoes"))*Inputs!$B$1+((Inputs!$G$5:$G$190&lt;&gt;"moeda")*(Inputs!$G$5:$G$190&lt;&gt;"acoes")))*INDEX(Inputs!$K$5:$AJ$190,0,MATCH(X$2,Inputs!$K$4:$AJ$4,0)))+SUMPRODUCT((Inputs!$C$5:$C$190=$B58)*Inputs!$D$5:$D$190*(((Inputs!$G$5:$G$190="moeda")+(Inputs!$G$5:$G$190="acoes"))*Inputs!$B$1+((Inputs!$G$5:$G$190&lt;&gt;"moeda")*(Inputs!$G$5:$G$190&lt;&gt;"acoes")))*INDEX(Inputs!$K$5:$AJ$190,0,MATCH(X$2,Inputs!$K$4:$AJ$4,0)))+SUMPRODUCT((Inputs!$E$5:$E$190=$B58)*Inputs!$F$5:$F$190*(((Inputs!$G$5:$G$190="moeda")+(Inputs!$G$5:$G$190="acoes"))*Inputs!$B$1+((Inputs!$G$5:$G$190&lt;&gt;"moeda")*(Inputs!$G$5:$G$190&lt;&gt;"acoes")))*INDEX(Inputs!$K$5:$AJ$190,0,MATCH(X$2,Inputs!$K$4:$AJ$4,0)))))</f>
        <v>3568.23052826</v>
      </c>
      <c r="Y58" s="264">
        <f>IF(ISNA(MATCH(Y$2,Inputs!$K$4:$AJ$4,0)),NA(),IF(SUMPRODUCT((Inputs!$A$5:$A$190=$B58)*ISNUMBER(INDEX(Inputs!$K$5:$AJ$190,0,MATCH(Y$2,Inputs!$K$4:$AJ$4,0))))+SUMPRODUCT((Inputs!$C$5:$C$190=$B58)*ISNUMBER(INDEX(Inputs!$K$5:$AJ$190,0,MATCH(Y$2,Inputs!$K$4:$AJ$4,0))))+SUMPRODUCT((Inputs!$E$5:$E$190=$B58)*ISNUMBER(INDEX(Inputs!$K$5:$AJ$190,0,MATCH(Y$2,Inputs!$K$4:$AJ$4,0))))=0,NA(),SUMPRODUCT((Inputs!$A$5:$A$190=$B58)*Inputs!$B$5:$B$190*(((Inputs!$G$5:$G$190="moeda")+(Inputs!$G$5:$G$190="acoes"))*Inputs!$B$1+((Inputs!$G$5:$G$190&lt;&gt;"moeda")*(Inputs!$G$5:$G$190&lt;&gt;"acoes")))*INDEX(Inputs!$K$5:$AJ$190,0,MATCH(Y$2,Inputs!$K$4:$AJ$4,0)))+SUMPRODUCT((Inputs!$C$5:$C$190=$B58)*Inputs!$D$5:$D$190*(((Inputs!$G$5:$G$190="moeda")+(Inputs!$G$5:$G$190="acoes"))*Inputs!$B$1+((Inputs!$G$5:$G$190&lt;&gt;"moeda")*(Inputs!$G$5:$G$190&lt;&gt;"acoes")))*INDEX(Inputs!$K$5:$AJ$190,0,MATCH(Y$2,Inputs!$K$4:$AJ$4,0)))+SUMPRODUCT((Inputs!$E$5:$E$190=$B58)*Inputs!$F$5:$F$190*(((Inputs!$G$5:$G$190="moeda")+(Inputs!$G$5:$G$190="acoes"))*Inputs!$B$1+((Inputs!$G$5:$G$190&lt;&gt;"moeda")*(Inputs!$G$5:$G$190&lt;&gt;"acoes")))*INDEX(Inputs!$K$5:$AJ$190,0,MATCH(Y$2,Inputs!$K$4:$AJ$4,0)))))</f>
        <v>3679.00557345</v>
      </c>
      <c r="Z58" s="264">
        <f>IF(ISNA(MATCH(Z$2,Inputs!$K$4:$AJ$4,0)),NA(),IF(SUMPRODUCT((Inputs!$A$5:$A$190=$B58)*ISNUMBER(INDEX(Inputs!$K$5:$AJ$190,0,MATCH(Z$2,Inputs!$K$4:$AJ$4,0))))+SUMPRODUCT((Inputs!$C$5:$C$190=$B58)*ISNUMBER(INDEX(Inputs!$K$5:$AJ$190,0,MATCH(Z$2,Inputs!$K$4:$AJ$4,0))))+SUMPRODUCT((Inputs!$E$5:$E$190=$B58)*ISNUMBER(INDEX(Inputs!$K$5:$AJ$190,0,MATCH(Z$2,Inputs!$K$4:$AJ$4,0))))=0,NA(),SUMPRODUCT((Inputs!$A$5:$A$190=$B58)*Inputs!$B$5:$B$190*(((Inputs!$G$5:$G$190="moeda")+(Inputs!$G$5:$G$190="acoes"))*Inputs!$B$1+((Inputs!$G$5:$G$190&lt;&gt;"moeda")*(Inputs!$G$5:$G$190&lt;&gt;"acoes")))*INDEX(Inputs!$K$5:$AJ$190,0,MATCH(Z$2,Inputs!$K$4:$AJ$4,0)))+SUMPRODUCT((Inputs!$C$5:$C$190=$B58)*Inputs!$D$5:$D$190*(((Inputs!$G$5:$G$190="moeda")+(Inputs!$G$5:$G$190="acoes"))*Inputs!$B$1+((Inputs!$G$5:$G$190&lt;&gt;"moeda")*(Inputs!$G$5:$G$190&lt;&gt;"acoes")))*INDEX(Inputs!$K$5:$AJ$190,0,MATCH(Z$2,Inputs!$K$4:$AJ$4,0)))+SUMPRODUCT((Inputs!$E$5:$E$190=$B58)*Inputs!$F$5:$F$190*(((Inputs!$G$5:$G$190="moeda")+(Inputs!$G$5:$G$190="acoes"))*Inputs!$B$1+((Inputs!$G$5:$G$190&lt;&gt;"moeda")*(Inputs!$G$5:$G$190&lt;&gt;"acoes")))*INDEX(Inputs!$K$5:$AJ$190,0,MATCH(Z$2,Inputs!$K$4:$AJ$4,0)))))</f>
        <v>3765.84276528</v>
      </c>
      <c r="AA58" s="264">
        <f>IF(ISNA(MATCH(AA$2,Inputs!$K$4:$AJ$4,0)),NA(),IF(SUMPRODUCT((Inputs!$A$5:$A$190=$B58)*ISNUMBER(INDEX(Inputs!$K$5:$AJ$190,0,MATCH(AA$2,Inputs!$K$4:$AJ$4,0))))+SUMPRODUCT((Inputs!$C$5:$C$190=$B58)*ISNUMBER(INDEX(Inputs!$K$5:$AJ$190,0,MATCH(AA$2,Inputs!$K$4:$AJ$4,0))))+SUMPRODUCT((Inputs!$E$5:$E$190=$B58)*ISNUMBER(INDEX(Inputs!$K$5:$AJ$190,0,MATCH(AA$2,Inputs!$K$4:$AJ$4,0))))=0,NA(),SUMPRODUCT((Inputs!$A$5:$A$190=$B58)*Inputs!$B$5:$B$190*(((Inputs!$G$5:$G$190="moeda")+(Inputs!$G$5:$G$190="acoes"))*Inputs!$B$1+((Inputs!$G$5:$G$190&lt;&gt;"moeda")*(Inputs!$G$5:$G$190&lt;&gt;"acoes")))*INDEX(Inputs!$K$5:$AJ$190,0,MATCH(AA$2,Inputs!$K$4:$AJ$4,0)))+SUMPRODUCT((Inputs!$C$5:$C$190=$B58)*Inputs!$D$5:$D$190*(((Inputs!$G$5:$G$190="moeda")+(Inputs!$G$5:$G$190="acoes"))*Inputs!$B$1+((Inputs!$G$5:$G$190&lt;&gt;"moeda")*(Inputs!$G$5:$G$190&lt;&gt;"acoes")))*INDEX(Inputs!$K$5:$AJ$190,0,MATCH(AA$2,Inputs!$K$4:$AJ$4,0)))+SUMPRODUCT((Inputs!$E$5:$E$190=$B58)*Inputs!$F$5:$F$190*(((Inputs!$G$5:$G$190="moeda")+(Inputs!$G$5:$G$190="acoes"))*Inputs!$B$1+((Inputs!$G$5:$G$190&lt;&gt;"moeda")*(Inputs!$G$5:$G$190&lt;&gt;"acoes")))*INDEX(Inputs!$K$5:$AJ$190,0,MATCH(AA$2,Inputs!$K$4:$AJ$4,0)))))</f>
        <v>3658.97515315</v>
      </c>
      <c r="AB58" s="265">
        <f>SUM(X58:AA58)</f>
        <v>14672.05402014</v>
      </c>
      <c r="AC58" s="264">
        <f>IF(ISNA(MATCH(AC$2,Inputs!$K$4:$AJ$4,0)),NA(),IF(SUMPRODUCT((Inputs!$A$5:$A$190=$B58)*ISNUMBER(INDEX(Inputs!$K$5:$AJ$190,0,MATCH(AC$2,Inputs!$K$4:$AJ$4,0))))+SUMPRODUCT((Inputs!$C$5:$C$190=$B58)*ISNUMBER(INDEX(Inputs!$K$5:$AJ$190,0,MATCH(AC$2,Inputs!$K$4:$AJ$4,0))))+SUMPRODUCT((Inputs!$E$5:$E$190=$B58)*ISNUMBER(INDEX(Inputs!$K$5:$AJ$190,0,MATCH(AC$2,Inputs!$K$4:$AJ$4,0))))=0,NA(),SUMPRODUCT((Inputs!$A$5:$A$190=$B58)*Inputs!$B$5:$B$190*(((Inputs!$G$5:$G$190="moeda")+(Inputs!$G$5:$G$190="acoes"))*Inputs!$B$1+((Inputs!$G$5:$G$190&lt;&gt;"moeda")*(Inputs!$G$5:$G$190&lt;&gt;"acoes")))*INDEX(Inputs!$K$5:$AJ$190,0,MATCH(AC$2,Inputs!$K$4:$AJ$4,0)))+SUMPRODUCT((Inputs!$C$5:$C$190=$B58)*Inputs!$D$5:$D$190*(((Inputs!$G$5:$G$190="moeda")+(Inputs!$G$5:$G$190="acoes"))*Inputs!$B$1+((Inputs!$G$5:$G$190&lt;&gt;"moeda")*(Inputs!$G$5:$G$190&lt;&gt;"acoes")))*INDEX(Inputs!$K$5:$AJ$190,0,MATCH(AC$2,Inputs!$K$4:$AJ$4,0)))+SUMPRODUCT((Inputs!$E$5:$E$190=$B58)*Inputs!$F$5:$F$190*(((Inputs!$G$5:$G$190="moeda")+(Inputs!$G$5:$G$190="acoes"))*Inputs!$B$1+((Inputs!$G$5:$G$190&lt;&gt;"moeda")*(Inputs!$G$5:$G$190&lt;&gt;"acoes")))*INDEX(Inputs!$K$5:$AJ$190,0,MATCH(AC$2,Inputs!$K$4:$AJ$4,0)))))</f>
        <v>3780.64496646</v>
      </c>
      <c r="AD58" s="264">
        <f>IF(ISNA(MATCH(AD$2,Inputs!$K$4:$AJ$4,0)),NA(),IF(SUMPRODUCT((Inputs!$A$5:$A$190=$B58)*ISNUMBER(INDEX(Inputs!$K$5:$AJ$190,0,MATCH(AD$2,Inputs!$K$4:$AJ$4,0))))+SUMPRODUCT((Inputs!$C$5:$C$190=$B58)*ISNUMBER(INDEX(Inputs!$K$5:$AJ$190,0,MATCH(AD$2,Inputs!$K$4:$AJ$4,0))))+SUMPRODUCT((Inputs!$E$5:$E$190=$B58)*ISNUMBER(INDEX(Inputs!$K$5:$AJ$190,0,MATCH(AD$2,Inputs!$K$4:$AJ$4,0))))=0,NA(),SUMPRODUCT((Inputs!$A$5:$A$190=$B58)*Inputs!$B$5:$B$190*(((Inputs!$G$5:$G$190="moeda")+(Inputs!$G$5:$G$190="acoes"))*Inputs!$B$1+((Inputs!$G$5:$G$190&lt;&gt;"moeda")*(Inputs!$G$5:$G$190&lt;&gt;"acoes")))*INDEX(Inputs!$K$5:$AJ$190,0,MATCH(AD$2,Inputs!$K$4:$AJ$4,0)))+SUMPRODUCT((Inputs!$C$5:$C$190=$B58)*Inputs!$D$5:$D$190*(((Inputs!$G$5:$G$190="moeda")+(Inputs!$G$5:$G$190="acoes"))*Inputs!$B$1+((Inputs!$G$5:$G$190&lt;&gt;"moeda")*(Inputs!$G$5:$G$190&lt;&gt;"acoes")))*INDEX(Inputs!$K$5:$AJ$190,0,MATCH(AD$2,Inputs!$K$4:$AJ$4,0)))+SUMPRODUCT((Inputs!$E$5:$E$190=$B58)*Inputs!$F$5:$F$190*(((Inputs!$G$5:$G$190="moeda")+(Inputs!$G$5:$G$190="acoes"))*Inputs!$B$1+((Inputs!$G$5:$G$190&lt;&gt;"moeda")*(Inputs!$G$5:$G$190&lt;&gt;"acoes")))*INDEX(Inputs!$K$5:$AJ$190,0,MATCH(AD$2,Inputs!$K$4:$AJ$4,0)))))</f>
        <v>3765.83020683</v>
      </c>
      <c r="AE58" s="264" t="e">
        <f>IF(ISNA(MATCH(AE$2,Inputs!$K$4:$AJ$4,0)),NA(),IF(SUMPRODUCT((Inputs!$A$5:$A$190=$B58)*ISNUMBER(INDEX(Inputs!$K$5:$AJ$190,0,MATCH(AE$2,Inputs!$K$4:$AJ$4,0))))+SUMPRODUCT((Inputs!$C$5:$C$190=$B58)*ISNUMBER(INDEX(Inputs!$K$5:$AJ$190,0,MATCH(AE$2,Inputs!$K$4:$AJ$4,0))))+SUMPRODUCT((Inputs!$E$5:$E$190=$B58)*ISNUMBER(INDEX(Inputs!$K$5:$AJ$190,0,MATCH(AE$2,Inputs!$K$4:$AJ$4,0))))=0,NA(),SUMPRODUCT((Inputs!$A$5:$A$190=$B58)*Inputs!$B$5:$B$190*(((Inputs!$G$5:$G$190="moeda")+(Inputs!$G$5:$G$190="acoes"))*Inputs!$B$1+((Inputs!$G$5:$G$190&lt;&gt;"moeda")*(Inputs!$G$5:$G$190&lt;&gt;"acoes")))*INDEX(Inputs!$K$5:$AJ$190,0,MATCH(AE$2,Inputs!$K$4:$AJ$4,0)))+SUMPRODUCT((Inputs!$C$5:$C$190=$B58)*Inputs!$D$5:$D$190*(((Inputs!$G$5:$G$190="moeda")+(Inputs!$G$5:$G$190="acoes"))*Inputs!$B$1+((Inputs!$G$5:$G$190&lt;&gt;"moeda")*(Inputs!$G$5:$G$190&lt;&gt;"acoes")))*INDEX(Inputs!$K$5:$AJ$190,0,MATCH(AE$2,Inputs!$K$4:$AJ$4,0)))+SUMPRODUCT((Inputs!$E$5:$E$190=$B58)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58" s="264" t="e">
        <f>IF(ISNA(MATCH(AF$2,Inputs!$K$4:$AJ$4,0)),NA(),IF(SUMPRODUCT((Inputs!$A$5:$A$190=$B58)*ISNUMBER(INDEX(Inputs!$K$5:$AJ$190,0,MATCH(AF$2,Inputs!$K$4:$AJ$4,0))))+SUMPRODUCT((Inputs!$C$5:$C$190=$B58)*ISNUMBER(INDEX(Inputs!$K$5:$AJ$190,0,MATCH(AF$2,Inputs!$K$4:$AJ$4,0))))+SUMPRODUCT((Inputs!$E$5:$E$190=$B58)*ISNUMBER(INDEX(Inputs!$K$5:$AJ$190,0,MATCH(AF$2,Inputs!$K$4:$AJ$4,0))))=0,NA(),SUMPRODUCT((Inputs!$A$5:$A$190=$B58)*Inputs!$B$5:$B$190*(((Inputs!$G$5:$G$190="moeda")+(Inputs!$G$5:$G$190="acoes"))*Inputs!$B$1+((Inputs!$G$5:$G$190&lt;&gt;"moeda")*(Inputs!$G$5:$G$190&lt;&gt;"acoes")))*INDEX(Inputs!$K$5:$AJ$190,0,MATCH(AF$2,Inputs!$K$4:$AJ$4,0)))+SUMPRODUCT((Inputs!$C$5:$C$190=$B58)*Inputs!$D$5:$D$190*(((Inputs!$G$5:$G$190="moeda")+(Inputs!$G$5:$G$190="acoes"))*Inputs!$B$1+((Inputs!$G$5:$G$190&lt;&gt;"moeda")*(Inputs!$G$5:$G$190&lt;&gt;"acoes")))*INDEX(Inputs!$K$5:$AJ$190,0,MATCH(AF$2,Inputs!$K$4:$AJ$4,0)))+SUMPRODUCT((Inputs!$E$5:$E$190=$B58)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58" s="265" t="e">
        <f>SUM(AC58:AF58)</f>
        <v>#N/A</v>
      </c>
      <c r="AH58" s="264">
        <f>IF(ISNA(MATCH(AH$2,Inputs!$K$4:$AJ$4,0)),NA(),IF(SUMPRODUCT((Inputs!$A$5:$A$190=$B58)*ISNUMBER(INDEX(Inputs!$K$5:$AJ$190,0,MATCH(AH$2,Inputs!$K$4:$AJ$4,0))))+SUMPRODUCT((Inputs!$C$5:$C$190=$B58)*ISNUMBER(INDEX(Inputs!$K$5:$AJ$190,0,MATCH(AH$2,Inputs!$K$4:$AJ$4,0))))+SUMPRODUCT((Inputs!$E$5:$E$190=$B58)*ISNUMBER(INDEX(Inputs!$K$5:$AJ$190,0,MATCH(AH$2,Inputs!$K$4:$AJ$4,0))))=0,NA(),SUMPRODUCT((Inputs!$A$5:$A$190=$B58)*Inputs!$B$5:$B$190*(((Inputs!$G$5:$G$190="moeda")+(Inputs!$G$5:$G$190="acoes"))*Inputs!$B$1+((Inputs!$G$5:$G$190&lt;&gt;"moeda")*(Inputs!$G$5:$G$190&lt;&gt;"acoes")))*INDEX(Inputs!$K$5:$AJ$190,0,MATCH(AH$2,Inputs!$K$4:$AJ$4,0)))+SUMPRODUCT((Inputs!$C$5:$C$190=$B58)*Inputs!$D$5:$D$190*(((Inputs!$G$5:$G$190="moeda")+(Inputs!$G$5:$G$190="acoes"))*Inputs!$B$1+((Inputs!$G$5:$G$190&lt;&gt;"moeda")*(Inputs!$G$5:$G$190&lt;&gt;"acoes")))*INDEX(Inputs!$K$5:$AJ$190,0,MATCH(AH$2,Inputs!$K$4:$AJ$4,0)))+SUMPRODUCT((Inputs!$E$5:$E$190=$B58)*Inputs!$F$5:$F$190*(((Inputs!$G$5:$G$190="moeda")+(Inputs!$G$5:$G$190="acoes"))*Inputs!$B$1+((Inputs!$G$5:$G$190&lt;&gt;"moeda")*(Inputs!$G$5:$G$190&lt;&gt;"acoes")))*INDEX(Inputs!$K$5:$AJ$190,0,MATCH(AH$2,Inputs!$K$4:$AJ$4,0)))))</f>
        <v>1011.166</v>
      </c>
      <c r="AI58" s="264">
        <f>IF(ISNA(MATCH(AI$2,Inputs!$K$4:$AJ$4,0)),NA(),IF(SUMPRODUCT((Inputs!$A$5:$A$190=$B58)*ISNUMBER(INDEX(Inputs!$K$5:$AJ$190,0,MATCH(AI$2,Inputs!$K$4:$AJ$4,0))))+SUMPRODUCT((Inputs!$C$5:$C$190=$B58)*ISNUMBER(INDEX(Inputs!$K$5:$AJ$190,0,MATCH(AI$2,Inputs!$K$4:$AJ$4,0))))+SUMPRODUCT((Inputs!$E$5:$E$190=$B58)*ISNUMBER(INDEX(Inputs!$K$5:$AJ$190,0,MATCH(AI$2,Inputs!$K$4:$AJ$4,0))))=0,NA(),SUMPRODUCT((Inputs!$A$5:$A$190=$B58)*Inputs!$B$5:$B$190*(((Inputs!$G$5:$G$190="moeda")+(Inputs!$G$5:$G$190="acoes"))*Inputs!$B$1+((Inputs!$G$5:$G$190&lt;&gt;"moeda")*(Inputs!$G$5:$G$190&lt;&gt;"acoes")))*INDEX(Inputs!$K$5:$AJ$190,0,MATCH(AI$2,Inputs!$K$4:$AJ$4,0)))+SUMPRODUCT((Inputs!$C$5:$C$190=$B58)*Inputs!$D$5:$D$190*(((Inputs!$G$5:$G$190="moeda")+(Inputs!$G$5:$G$190="acoes"))*Inputs!$B$1+((Inputs!$G$5:$G$190&lt;&gt;"moeda")*(Inputs!$G$5:$G$190&lt;&gt;"acoes")))*INDEX(Inputs!$K$5:$AJ$190,0,MATCH(AI$2,Inputs!$K$4:$AJ$4,0)))+SUMPRODUCT((Inputs!$E$5:$E$190=$B58)*Inputs!$F$5:$F$190*(((Inputs!$G$5:$G$190="moeda")+(Inputs!$G$5:$G$190="acoes"))*Inputs!$B$1+((Inputs!$G$5:$G$190&lt;&gt;"moeda")*(Inputs!$G$5:$G$190&lt;&gt;"acoes")))*INDEX(Inputs!$K$5:$AJ$190,0,MATCH(AI$2,Inputs!$K$4:$AJ$4,0)))))</f>
        <v>1047.824</v>
      </c>
      <c r="AJ58" s="264">
        <f>IF(ISNA(MATCH(AJ$2,Inputs!$K$4:$AJ$4,0)),NA(),IF(SUMPRODUCT((Inputs!$A$5:$A$190=$B58)*ISNUMBER(INDEX(Inputs!$K$5:$AJ$190,0,MATCH(AJ$2,Inputs!$K$4:$AJ$4,0))))+SUMPRODUCT((Inputs!$C$5:$C$190=$B58)*ISNUMBER(INDEX(Inputs!$K$5:$AJ$190,0,MATCH(AJ$2,Inputs!$K$4:$AJ$4,0))))+SUMPRODUCT((Inputs!$E$5:$E$190=$B58)*ISNUMBER(INDEX(Inputs!$K$5:$AJ$190,0,MATCH(AJ$2,Inputs!$K$4:$AJ$4,0))))=0,NA(),SUMPRODUCT((Inputs!$A$5:$A$190=$B58)*Inputs!$B$5:$B$190*(((Inputs!$G$5:$G$190="moeda")+(Inputs!$G$5:$G$190="acoes"))*Inputs!$B$1+((Inputs!$G$5:$G$190&lt;&gt;"moeda")*(Inputs!$G$5:$G$190&lt;&gt;"acoes")))*INDEX(Inputs!$K$5:$AJ$190,0,MATCH(AJ$2,Inputs!$K$4:$AJ$4,0)))+SUMPRODUCT((Inputs!$C$5:$C$190=$B58)*Inputs!$D$5:$D$190*(((Inputs!$G$5:$G$190="moeda")+(Inputs!$G$5:$G$190="acoes"))*Inputs!$B$1+((Inputs!$G$5:$G$190&lt;&gt;"moeda")*(Inputs!$G$5:$G$190&lt;&gt;"acoes")))*INDEX(Inputs!$K$5:$AJ$190,0,MATCH(AJ$2,Inputs!$K$4:$AJ$4,0)))+SUMPRODUCT((Inputs!$E$5:$E$190=$B58)*Inputs!$F$5:$F$190*(((Inputs!$G$5:$G$190="moeda")+(Inputs!$G$5:$G$190="acoes"))*Inputs!$B$1+((Inputs!$G$5:$G$190&lt;&gt;"moeda")*(Inputs!$G$5:$G$190&lt;&gt;"acoes")))*INDEX(Inputs!$K$5:$AJ$190,0,MATCH(AJ$2,Inputs!$K$4:$AJ$4,0)))))</f>
        <v>1035.56833343365</v>
      </c>
      <c r="AK58" s="264">
        <f>IF(ISNA(MATCH(AK$2,Inputs!$K$4:$AJ$4,0)),NA(),IF(SUMPRODUCT((Inputs!$A$5:$A$190=$B58)*ISNUMBER(INDEX(Inputs!$K$5:$AJ$190,0,MATCH(AK$2,Inputs!$K$4:$AJ$4,0))))+SUMPRODUCT((Inputs!$C$5:$C$190=$B58)*ISNUMBER(INDEX(Inputs!$K$5:$AJ$190,0,MATCH(AK$2,Inputs!$K$4:$AJ$4,0))))+SUMPRODUCT((Inputs!$E$5:$E$190=$B58)*ISNUMBER(INDEX(Inputs!$K$5:$AJ$190,0,MATCH(AK$2,Inputs!$K$4:$AJ$4,0))))=0,NA(),SUMPRODUCT((Inputs!$A$5:$A$190=$B58)*Inputs!$B$5:$B$190*(((Inputs!$G$5:$G$190="moeda")+(Inputs!$G$5:$G$190="acoes"))*Inputs!$B$1+((Inputs!$G$5:$G$190&lt;&gt;"moeda")*(Inputs!$G$5:$G$190&lt;&gt;"acoes")))*INDEX(Inputs!$K$5:$AJ$190,0,MATCH(AK$2,Inputs!$K$4:$AJ$4,0)))+SUMPRODUCT((Inputs!$C$5:$C$190=$B58)*Inputs!$D$5:$D$190*(((Inputs!$G$5:$G$190="moeda")+(Inputs!$G$5:$G$190="acoes"))*Inputs!$B$1+((Inputs!$G$5:$G$190&lt;&gt;"moeda")*(Inputs!$G$5:$G$190&lt;&gt;"acoes")))*INDEX(Inputs!$K$5:$AJ$190,0,MATCH(AK$2,Inputs!$K$4:$AJ$4,0)))+SUMPRODUCT((Inputs!$E$5:$E$190=$B58)*Inputs!$F$5:$F$190*(((Inputs!$G$5:$G$190="moeda")+(Inputs!$G$5:$G$190="acoes"))*Inputs!$B$1+((Inputs!$G$5:$G$190&lt;&gt;"moeda")*(Inputs!$G$5:$G$190&lt;&gt;"acoes")))*INDEX(Inputs!$K$5:$AJ$190,0,MATCH(AK$2,Inputs!$K$4:$AJ$4,0)))))</f>
        <v>990.70075501</v>
      </c>
      <c r="AL58" s="265">
        <f>SUM(AH58:AK58)</f>
        <v>4085.25908844365</v>
      </c>
    </row>
    <row r="59">
      <c r="B59" s="46" t="n">
        <v>51</v>
      </c>
      <c r="C59" s="29" t="inlineStr">
        <is>
          <t>Receita liquida de servicos - Movida (aba Movida l.16)</t>
        </is>
      </c>
      <c r="D59" s="264">
        <f>IF(ISNA(MATCH(D$2,Inputs!$K$4:$AJ$4,0)),NA(),IF(SUMPRODUCT((Inputs!$A$5:$A$190=$B59)*ISNUMBER(INDEX(Inputs!$K$5:$AJ$190,0,MATCH(D$2,Inputs!$K$4:$AJ$4,0))))+SUMPRODUCT((Inputs!$C$5:$C$190=$B59)*ISNUMBER(INDEX(Inputs!$K$5:$AJ$190,0,MATCH(D$2,Inputs!$K$4:$AJ$4,0))))+SUMPRODUCT((Inputs!$E$5:$E$190=$B59)*ISNUMBER(INDEX(Inputs!$K$5:$AJ$190,0,MATCH(D$2,Inputs!$K$4:$AJ$4,0))))=0,NA(),SUMPRODUCT((Inputs!$A$5:$A$190=$B59)*Inputs!$B$5:$B$190*(((Inputs!$G$5:$G$190="moeda")+(Inputs!$G$5:$G$190="acoes"))*Inputs!$B$1+((Inputs!$G$5:$G$190&lt;&gt;"moeda")*(Inputs!$G$5:$G$190&lt;&gt;"acoes")))*INDEX(Inputs!$K$5:$AJ$190,0,MATCH(D$2,Inputs!$K$4:$AJ$4,0)))+SUMPRODUCT((Inputs!$C$5:$C$190=$B59)*Inputs!$D$5:$D$190*(((Inputs!$G$5:$G$190="moeda")+(Inputs!$G$5:$G$190="acoes"))*Inputs!$B$1+((Inputs!$G$5:$G$190&lt;&gt;"moeda")*(Inputs!$G$5:$G$190&lt;&gt;"acoes")))*INDEX(Inputs!$K$5:$AJ$190,0,MATCH(D$2,Inputs!$K$4:$AJ$4,0)))+SUMPRODUCT((Inputs!$E$5:$E$190=$B59)*Inputs!$F$5:$F$190*(((Inputs!$G$5:$G$190="moeda")+(Inputs!$G$5:$G$190="acoes"))*Inputs!$B$1+((Inputs!$G$5:$G$190&lt;&gt;"moeda")*(Inputs!$G$5:$G$190&lt;&gt;"acoes")))*INDEX(Inputs!$K$5:$AJ$190,0,MATCH(D$2,Inputs!$K$4:$AJ$4,0)))))</f>
        <v>530.34866179</v>
      </c>
      <c r="E59" s="264">
        <f>IF(ISNA(MATCH(E$2,Inputs!$K$4:$AJ$4,0)),NA(),IF(SUMPRODUCT((Inputs!$A$5:$A$190=$B59)*ISNUMBER(INDEX(Inputs!$K$5:$AJ$190,0,MATCH(E$2,Inputs!$K$4:$AJ$4,0))))+SUMPRODUCT((Inputs!$C$5:$C$190=$B59)*ISNUMBER(INDEX(Inputs!$K$5:$AJ$190,0,MATCH(E$2,Inputs!$K$4:$AJ$4,0))))+SUMPRODUCT((Inputs!$E$5:$E$190=$B59)*ISNUMBER(INDEX(Inputs!$K$5:$AJ$190,0,MATCH(E$2,Inputs!$K$4:$AJ$4,0))))=0,NA(),SUMPRODUCT((Inputs!$A$5:$A$190=$B59)*Inputs!$B$5:$B$190*(((Inputs!$G$5:$G$190="moeda")+(Inputs!$G$5:$G$190="acoes"))*Inputs!$B$1+((Inputs!$G$5:$G$190&lt;&gt;"moeda")*(Inputs!$G$5:$G$190&lt;&gt;"acoes")))*INDEX(Inputs!$K$5:$AJ$190,0,MATCH(E$2,Inputs!$K$4:$AJ$4,0)))+SUMPRODUCT((Inputs!$C$5:$C$190=$B59)*Inputs!$D$5:$D$190*(((Inputs!$G$5:$G$190="moeda")+(Inputs!$G$5:$G$190="acoes"))*Inputs!$B$1+((Inputs!$G$5:$G$190&lt;&gt;"moeda")*(Inputs!$G$5:$G$190&lt;&gt;"acoes")))*INDEX(Inputs!$K$5:$AJ$190,0,MATCH(E$2,Inputs!$K$4:$AJ$4,0)))+SUMPRODUCT((Inputs!$E$5:$E$190=$B59)*Inputs!$F$5:$F$190*(((Inputs!$G$5:$G$190="moeda")+(Inputs!$G$5:$G$190="acoes"))*Inputs!$B$1+((Inputs!$G$5:$G$190&lt;&gt;"moeda")*(Inputs!$G$5:$G$190&lt;&gt;"acoes")))*INDEX(Inputs!$K$5:$AJ$190,0,MATCH(E$2,Inputs!$K$4:$AJ$4,0)))))</f>
        <v>538.01873694</v>
      </c>
      <c r="F59" s="264">
        <f>IF(ISNA(MATCH(F$2,Inputs!$K$4:$AJ$4,0)),NA(),IF(SUMPRODUCT((Inputs!$A$5:$A$190=$B59)*ISNUMBER(INDEX(Inputs!$K$5:$AJ$190,0,MATCH(F$2,Inputs!$K$4:$AJ$4,0))))+SUMPRODUCT((Inputs!$C$5:$C$190=$B59)*ISNUMBER(INDEX(Inputs!$K$5:$AJ$190,0,MATCH(F$2,Inputs!$K$4:$AJ$4,0))))+SUMPRODUCT((Inputs!$E$5:$E$190=$B59)*ISNUMBER(INDEX(Inputs!$K$5:$AJ$190,0,MATCH(F$2,Inputs!$K$4:$AJ$4,0))))=0,NA(),SUMPRODUCT((Inputs!$A$5:$A$190=$B59)*Inputs!$B$5:$B$190*(((Inputs!$G$5:$G$190="moeda")+(Inputs!$G$5:$G$190="acoes"))*Inputs!$B$1+((Inputs!$G$5:$G$190&lt;&gt;"moeda")*(Inputs!$G$5:$G$190&lt;&gt;"acoes")))*INDEX(Inputs!$K$5:$AJ$190,0,MATCH(F$2,Inputs!$K$4:$AJ$4,0)))+SUMPRODUCT((Inputs!$C$5:$C$190=$B59)*Inputs!$D$5:$D$190*(((Inputs!$G$5:$G$190="moeda")+(Inputs!$G$5:$G$190="acoes"))*Inputs!$B$1+((Inputs!$G$5:$G$190&lt;&gt;"moeda")*(Inputs!$G$5:$G$190&lt;&gt;"acoes")))*INDEX(Inputs!$K$5:$AJ$190,0,MATCH(F$2,Inputs!$K$4:$AJ$4,0)))+SUMPRODUCT((Inputs!$E$5:$E$190=$B59)*Inputs!$F$5:$F$190*(((Inputs!$G$5:$G$190="moeda")+(Inputs!$G$5:$G$190="acoes"))*Inputs!$B$1+((Inputs!$G$5:$G$190&lt;&gt;"moeda")*(Inputs!$G$5:$G$190&lt;&gt;"acoes")))*INDEX(Inputs!$K$5:$AJ$190,0,MATCH(F$2,Inputs!$K$4:$AJ$4,0)))))</f>
        <v>730.620531957742</v>
      </c>
      <c r="G59" s="264">
        <f>IF(ISNA(MATCH(G$2,Inputs!$K$4:$AJ$4,0)),NA(),IF(SUMPRODUCT((Inputs!$A$5:$A$190=$B59)*ISNUMBER(INDEX(Inputs!$K$5:$AJ$190,0,MATCH(G$2,Inputs!$K$4:$AJ$4,0))))+SUMPRODUCT((Inputs!$C$5:$C$190=$B59)*ISNUMBER(INDEX(Inputs!$K$5:$AJ$190,0,MATCH(G$2,Inputs!$K$4:$AJ$4,0))))+SUMPRODUCT((Inputs!$E$5:$E$190=$B59)*ISNUMBER(INDEX(Inputs!$K$5:$AJ$190,0,MATCH(G$2,Inputs!$K$4:$AJ$4,0))))=0,NA(),SUMPRODUCT((Inputs!$A$5:$A$190=$B59)*Inputs!$B$5:$B$190*(((Inputs!$G$5:$G$190="moeda")+(Inputs!$G$5:$G$190="acoes"))*Inputs!$B$1+((Inputs!$G$5:$G$190&lt;&gt;"moeda")*(Inputs!$G$5:$G$190&lt;&gt;"acoes")))*INDEX(Inputs!$K$5:$AJ$190,0,MATCH(G$2,Inputs!$K$4:$AJ$4,0)))+SUMPRODUCT((Inputs!$C$5:$C$190=$B59)*Inputs!$D$5:$D$190*(((Inputs!$G$5:$G$190="moeda")+(Inputs!$G$5:$G$190="acoes"))*Inputs!$B$1+((Inputs!$G$5:$G$190&lt;&gt;"moeda")*(Inputs!$G$5:$G$190&lt;&gt;"acoes")))*INDEX(Inputs!$K$5:$AJ$190,0,MATCH(G$2,Inputs!$K$4:$AJ$4,0)))+SUMPRODUCT((Inputs!$E$5:$E$190=$B59)*Inputs!$F$5:$F$190*(((Inputs!$G$5:$G$190="moeda")+(Inputs!$G$5:$G$190="acoes"))*Inputs!$B$1+((Inputs!$G$5:$G$190&lt;&gt;"moeda")*(Inputs!$G$5:$G$190&lt;&gt;"acoes")))*INDEX(Inputs!$K$5:$AJ$190,0,MATCH(G$2,Inputs!$K$4:$AJ$4,0)))))</f>
        <v>931.878558554198</v>
      </c>
      <c r="H59" s="265">
        <f>SUM(D59:G59)</f>
        <v>2730.86648924194</v>
      </c>
      <c r="I59" s="264">
        <f>IF(ISNA(MATCH(I$2,Inputs!$K$4:$AJ$4,0)),NA(),IF(SUMPRODUCT((Inputs!$A$5:$A$190=$B59)*ISNUMBER(INDEX(Inputs!$K$5:$AJ$190,0,MATCH(I$2,Inputs!$K$4:$AJ$4,0))))+SUMPRODUCT((Inputs!$C$5:$C$190=$B59)*ISNUMBER(INDEX(Inputs!$K$5:$AJ$190,0,MATCH(I$2,Inputs!$K$4:$AJ$4,0))))+SUMPRODUCT((Inputs!$E$5:$E$190=$B59)*ISNUMBER(INDEX(Inputs!$K$5:$AJ$190,0,MATCH(I$2,Inputs!$K$4:$AJ$4,0))))=0,NA(),SUMPRODUCT((Inputs!$A$5:$A$190=$B59)*Inputs!$B$5:$B$190*(((Inputs!$G$5:$G$190="moeda")+(Inputs!$G$5:$G$190="acoes"))*Inputs!$B$1+((Inputs!$G$5:$G$190&lt;&gt;"moeda")*(Inputs!$G$5:$G$190&lt;&gt;"acoes")))*INDEX(Inputs!$K$5:$AJ$190,0,MATCH(I$2,Inputs!$K$4:$AJ$4,0)))+SUMPRODUCT((Inputs!$C$5:$C$190=$B59)*Inputs!$D$5:$D$190*(((Inputs!$G$5:$G$190="moeda")+(Inputs!$G$5:$G$190="acoes"))*Inputs!$B$1+((Inputs!$G$5:$G$190&lt;&gt;"moeda")*(Inputs!$G$5:$G$190&lt;&gt;"acoes")))*INDEX(Inputs!$K$5:$AJ$190,0,MATCH(I$2,Inputs!$K$4:$AJ$4,0)))+SUMPRODUCT((Inputs!$E$5:$E$190=$B59)*Inputs!$F$5:$F$190*(((Inputs!$G$5:$G$190="moeda")+(Inputs!$G$5:$G$190="acoes"))*Inputs!$B$1+((Inputs!$G$5:$G$190&lt;&gt;"moeda")*(Inputs!$G$5:$G$190&lt;&gt;"acoes")))*INDEX(Inputs!$K$5:$AJ$190,0,MATCH(I$2,Inputs!$K$4:$AJ$4,0)))))</f>
        <v>931.895052062311</v>
      </c>
      <c r="J59" s="264">
        <f>IF(ISNA(MATCH(J$2,Inputs!$K$4:$AJ$4,0)),NA(),IF(SUMPRODUCT((Inputs!$A$5:$A$190=$B59)*ISNUMBER(INDEX(Inputs!$K$5:$AJ$190,0,MATCH(J$2,Inputs!$K$4:$AJ$4,0))))+SUMPRODUCT((Inputs!$C$5:$C$190=$B59)*ISNUMBER(INDEX(Inputs!$K$5:$AJ$190,0,MATCH(J$2,Inputs!$K$4:$AJ$4,0))))+SUMPRODUCT((Inputs!$E$5:$E$190=$B59)*ISNUMBER(INDEX(Inputs!$K$5:$AJ$190,0,MATCH(J$2,Inputs!$K$4:$AJ$4,0))))=0,NA(),SUMPRODUCT((Inputs!$A$5:$A$190=$B59)*Inputs!$B$5:$B$190*(((Inputs!$G$5:$G$190="moeda")+(Inputs!$G$5:$G$190="acoes"))*Inputs!$B$1+((Inputs!$G$5:$G$190&lt;&gt;"moeda")*(Inputs!$G$5:$G$190&lt;&gt;"acoes")))*INDEX(Inputs!$K$5:$AJ$190,0,MATCH(J$2,Inputs!$K$4:$AJ$4,0)))+SUMPRODUCT((Inputs!$C$5:$C$190=$B59)*Inputs!$D$5:$D$190*(((Inputs!$G$5:$G$190="moeda")+(Inputs!$G$5:$G$190="acoes"))*Inputs!$B$1+((Inputs!$G$5:$G$190&lt;&gt;"moeda")*(Inputs!$G$5:$G$190&lt;&gt;"acoes")))*INDEX(Inputs!$K$5:$AJ$190,0,MATCH(J$2,Inputs!$K$4:$AJ$4,0)))+SUMPRODUCT((Inputs!$E$5:$E$190=$B59)*Inputs!$F$5:$F$190*(((Inputs!$G$5:$G$190="moeda")+(Inputs!$G$5:$G$190="acoes"))*Inputs!$B$1+((Inputs!$G$5:$G$190&lt;&gt;"moeda")*(Inputs!$G$5:$G$190&lt;&gt;"acoes")))*INDEX(Inputs!$K$5:$AJ$190,0,MATCH(J$2,Inputs!$K$4:$AJ$4,0)))))</f>
        <v>1002.3576676302</v>
      </c>
      <c r="K59" s="264">
        <f>IF(ISNA(MATCH(K$2,Inputs!$K$4:$AJ$4,0)),NA(),IF(SUMPRODUCT((Inputs!$A$5:$A$190=$B59)*ISNUMBER(INDEX(Inputs!$K$5:$AJ$190,0,MATCH(K$2,Inputs!$K$4:$AJ$4,0))))+SUMPRODUCT((Inputs!$C$5:$C$190=$B59)*ISNUMBER(INDEX(Inputs!$K$5:$AJ$190,0,MATCH(K$2,Inputs!$K$4:$AJ$4,0))))+SUMPRODUCT((Inputs!$E$5:$E$190=$B59)*ISNUMBER(INDEX(Inputs!$K$5:$AJ$190,0,MATCH(K$2,Inputs!$K$4:$AJ$4,0))))=0,NA(),SUMPRODUCT((Inputs!$A$5:$A$190=$B59)*Inputs!$B$5:$B$190*(((Inputs!$G$5:$G$190="moeda")+(Inputs!$G$5:$G$190="acoes"))*Inputs!$B$1+((Inputs!$G$5:$G$190&lt;&gt;"moeda")*(Inputs!$G$5:$G$190&lt;&gt;"acoes")))*INDEX(Inputs!$K$5:$AJ$190,0,MATCH(K$2,Inputs!$K$4:$AJ$4,0)))+SUMPRODUCT((Inputs!$C$5:$C$190=$B59)*Inputs!$D$5:$D$190*(((Inputs!$G$5:$G$190="moeda")+(Inputs!$G$5:$G$190="acoes"))*Inputs!$B$1+((Inputs!$G$5:$G$190&lt;&gt;"moeda")*(Inputs!$G$5:$G$190&lt;&gt;"acoes")))*INDEX(Inputs!$K$5:$AJ$190,0,MATCH(K$2,Inputs!$K$4:$AJ$4,0)))+SUMPRODUCT((Inputs!$E$5:$E$190=$B59)*Inputs!$F$5:$F$190*(((Inputs!$G$5:$G$190="moeda")+(Inputs!$G$5:$G$190="acoes"))*Inputs!$B$1+((Inputs!$G$5:$G$190&lt;&gt;"moeda")*(Inputs!$G$5:$G$190&lt;&gt;"acoes")))*INDEX(Inputs!$K$5:$AJ$190,0,MATCH(K$2,Inputs!$K$4:$AJ$4,0)))))</f>
        <v>1126.43647911895</v>
      </c>
      <c r="L59" s="264">
        <f>IF(ISNA(MATCH(L$2,Inputs!$K$4:$AJ$4,0)),NA(),IF(SUMPRODUCT((Inputs!$A$5:$A$190=$B59)*ISNUMBER(INDEX(Inputs!$K$5:$AJ$190,0,MATCH(L$2,Inputs!$K$4:$AJ$4,0))))+SUMPRODUCT((Inputs!$C$5:$C$190=$B59)*ISNUMBER(INDEX(Inputs!$K$5:$AJ$190,0,MATCH(L$2,Inputs!$K$4:$AJ$4,0))))+SUMPRODUCT((Inputs!$E$5:$E$190=$B59)*ISNUMBER(INDEX(Inputs!$K$5:$AJ$190,0,MATCH(L$2,Inputs!$K$4:$AJ$4,0))))=0,NA(),SUMPRODUCT((Inputs!$A$5:$A$190=$B59)*Inputs!$B$5:$B$190*(((Inputs!$G$5:$G$190="moeda")+(Inputs!$G$5:$G$190="acoes"))*Inputs!$B$1+((Inputs!$G$5:$G$190&lt;&gt;"moeda")*(Inputs!$G$5:$G$190&lt;&gt;"acoes")))*INDEX(Inputs!$K$5:$AJ$190,0,MATCH(L$2,Inputs!$K$4:$AJ$4,0)))+SUMPRODUCT((Inputs!$C$5:$C$190=$B59)*Inputs!$D$5:$D$190*(((Inputs!$G$5:$G$190="moeda")+(Inputs!$G$5:$G$190="acoes"))*Inputs!$B$1+((Inputs!$G$5:$G$190&lt;&gt;"moeda")*(Inputs!$G$5:$G$190&lt;&gt;"acoes")))*INDEX(Inputs!$K$5:$AJ$190,0,MATCH(L$2,Inputs!$K$4:$AJ$4,0)))+SUMPRODUCT((Inputs!$E$5:$E$190=$B59)*Inputs!$F$5:$F$190*(((Inputs!$G$5:$G$190="moeda")+(Inputs!$G$5:$G$190="acoes"))*Inputs!$B$1+((Inputs!$G$5:$G$190&lt;&gt;"moeda")*(Inputs!$G$5:$G$190&lt;&gt;"acoes")))*INDEX(Inputs!$K$5:$AJ$190,0,MATCH(L$2,Inputs!$K$4:$AJ$4,0)))))</f>
        <v>1222.22561266383</v>
      </c>
      <c r="M59" s="265">
        <f>SUM(I59:L59)</f>
        <v>4282.91481147529</v>
      </c>
      <c r="N59" s="264">
        <f>IF(ISNA(MATCH(N$2,Inputs!$K$4:$AJ$4,0)),NA(),IF(SUMPRODUCT((Inputs!$A$5:$A$190=$B59)*ISNUMBER(INDEX(Inputs!$K$5:$AJ$190,0,MATCH(N$2,Inputs!$K$4:$AJ$4,0))))+SUMPRODUCT((Inputs!$C$5:$C$190=$B59)*ISNUMBER(INDEX(Inputs!$K$5:$AJ$190,0,MATCH(N$2,Inputs!$K$4:$AJ$4,0))))+SUMPRODUCT((Inputs!$E$5:$E$190=$B59)*ISNUMBER(INDEX(Inputs!$K$5:$AJ$190,0,MATCH(N$2,Inputs!$K$4:$AJ$4,0))))=0,NA(),SUMPRODUCT((Inputs!$A$5:$A$190=$B59)*Inputs!$B$5:$B$190*(((Inputs!$G$5:$G$190="moeda")+(Inputs!$G$5:$G$190="acoes"))*Inputs!$B$1+((Inputs!$G$5:$G$190&lt;&gt;"moeda")*(Inputs!$G$5:$G$190&lt;&gt;"acoes")))*INDEX(Inputs!$K$5:$AJ$190,0,MATCH(N$2,Inputs!$K$4:$AJ$4,0)))+SUMPRODUCT((Inputs!$C$5:$C$190=$B59)*Inputs!$D$5:$D$190*(((Inputs!$G$5:$G$190="moeda")+(Inputs!$G$5:$G$190="acoes"))*Inputs!$B$1+((Inputs!$G$5:$G$190&lt;&gt;"moeda")*(Inputs!$G$5:$G$190&lt;&gt;"acoes")))*INDEX(Inputs!$K$5:$AJ$190,0,MATCH(N$2,Inputs!$K$4:$AJ$4,0)))+SUMPRODUCT((Inputs!$E$5:$E$190=$B59)*Inputs!$F$5:$F$190*(((Inputs!$G$5:$G$190="moeda")+(Inputs!$G$5:$G$190="acoes"))*Inputs!$B$1+((Inputs!$G$5:$G$190&lt;&gt;"moeda")*(Inputs!$G$5:$G$190&lt;&gt;"acoes")))*INDEX(Inputs!$K$5:$AJ$190,0,MATCH(N$2,Inputs!$K$4:$AJ$4,0)))))</f>
        <v>1239.74170094</v>
      </c>
      <c r="O59" s="264">
        <f>IF(ISNA(MATCH(O$2,Inputs!$K$4:$AJ$4,0)),NA(),IF(SUMPRODUCT((Inputs!$A$5:$A$190=$B59)*ISNUMBER(INDEX(Inputs!$K$5:$AJ$190,0,MATCH(O$2,Inputs!$K$4:$AJ$4,0))))+SUMPRODUCT((Inputs!$C$5:$C$190=$B59)*ISNUMBER(INDEX(Inputs!$K$5:$AJ$190,0,MATCH(O$2,Inputs!$K$4:$AJ$4,0))))+SUMPRODUCT((Inputs!$E$5:$E$190=$B59)*ISNUMBER(INDEX(Inputs!$K$5:$AJ$190,0,MATCH(O$2,Inputs!$K$4:$AJ$4,0))))=0,NA(),SUMPRODUCT((Inputs!$A$5:$A$190=$B59)*Inputs!$B$5:$B$190*(((Inputs!$G$5:$G$190="moeda")+(Inputs!$G$5:$G$190="acoes"))*Inputs!$B$1+((Inputs!$G$5:$G$190&lt;&gt;"moeda")*(Inputs!$G$5:$G$190&lt;&gt;"acoes")))*INDEX(Inputs!$K$5:$AJ$190,0,MATCH(O$2,Inputs!$K$4:$AJ$4,0)))+SUMPRODUCT((Inputs!$C$5:$C$190=$B59)*Inputs!$D$5:$D$190*(((Inputs!$G$5:$G$190="moeda")+(Inputs!$G$5:$G$190="acoes"))*Inputs!$B$1+((Inputs!$G$5:$G$190&lt;&gt;"moeda")*(Inputs!$G$5:$G$190&lt;&gt;"acoes")))*INDEX(Inputs!$K$5:$AJ$190,0,MATCH(O$2,Inputs!$K$4:$AJ$4,0)))+SUMPRODUCT((Inputs!$E$5:$E$190=$B59)*Inputs!$F$5:$F$190*(((Inputs!$G$5:$G$190="moeda")+(Inputs!$G$5:$G$190="acoes"))*Inputs!$B$1+((Inputs!$G$5:$G$190&lt;&gt;"moeda")*(Inputs!$G$5:$G$190&lt;&gt;"acoes")))*INDEX(Inputs!$K$5:$AJ$190,0,MATCH(O$2,Inputs!$K$4:$AJ$4,0)))))</f>
        <v>1233.78083778</v>
      </c>
      <c r="P59" s="264">
        <f>IF(ISNA(MATCH(P$2,Inputs!$K$4:$AJ$4,0)),NA(),IF(SUMPRODUCT((Inputs!$A$5:$A$190=$B59)*ISNUMBER(INDEX(Inputs!$K$5:$AJ$190,0,MATCH(P$2,Inputs!$K$4:$AJ$4,0))))+SUMPRODUCT((Inputs!$C$5:$C$190=$B59)*ISNUMBER(INDEX(Inputs!$K$5:$AJ$190,0,MATCH(P$2,Inputs!$K$4:$AJ$4,0))))+SUMPRODUCT((Inputs!$E$5:$E$190=$B59)*ISNUMBER(INDEX(Inputs!$K$5:$AJ$190,0,MATCH(P$2,Inputs!$K$4:$AJ$4,0))))=0,NA(),SUMPRODUCT((Inputs!$A$5:$A$190=$B59)*Inputs!$B$5:$B$190*(((Inputs!$G$5:$G$190="moeda")+(Inputs!$G$5:$G$190="acoes"))*Inputs!$B$1+((Inputs!$G$5:$G$190&lt;&gt;"moeda")*(Inputs!$G$5:$G$190&lt;&gt;"acoes")))*INDEX(Inputs!$K$5:$AJ$190,0,MATCH(P$2,Inputs!$K$4:$AJ$4,0)))+SUMPRODUCT((Inputs!$C$5:$C$190=$B59)*Inputs!$D$5:$D$190*(((Inputs!$G$5:$G$190="moeda")+(Inputs!$G$5:$G$190="acoes"))*Inputs!$B$1+((Inputs!$G$5:$G$190&lt;&gt;"moeda")*(Inputs!$G$5:$G$190&lt;&gt;"acoes")))*INDEX(Inputs!$K$5:$AJ$190,0,MATCH(P$2,Inputs!$K$4:$AJ$4,0)))+SUMPRODUCT((Inputs!$E$5:$E$190=$B59)*Inputs!$F$5:$F$190*(((Inputs!$G$5:$G$190="moeda")+(Inputs!$G$5:$G$190="acoes"))*Inputs!$B$1+((Inputs!$G$5:$G$190&lt;&gt;"moeda")*(Inputs!$G$5:$G$190&lt;&gt;"acoes")))*INDEX(Inputs!$K$5:$AJ$190,0,MATCH(P$2,Inputs!$K$4:$AJ$4,0)))))</f>
        <v>1297.31771027</v>
      </c>
      <c r="Q59" s="264">
        <f>IF(ISNA(MATCH(Q$2,Inputs!$K$4:$AJ$4,0)),NA(),IF(SUMPRODUCT((Inputs!$A$5:$A$190=$B59)*ISNUMBER(INDEX(Inputs!$K$5:$AJ$190,0,MATCH(Q$2,Inputs!$K$4:$AJ$4,0))))+SUMPRODUCT((Inputs!$C$5:$C$190=$B59)*ISNUMBER(INDEX(Inputs!$K$5:$AJ$190,0,MATCH(Q$2,Inputs!$K$4:$AJ$4,0))))+SUMPRODUCT((Inputs!$E$5:$E$190=$B59)*ISNUMBER(INDEX(Inputs!$K$5:$AJ$190,0,MATCH(Q$2,Inputs!$K$4:$AJ$4,0))))=0,NA(),SUMPRODUCT((Inputs!$A$5:$A$190=$B59)*Inputs!$B$5:$B$190*(((Inputs!$G$5:$G$190="moeda")+(Inputs!$G$5:$G$190="acoes"))*Inputs!$B$1+((Inputs!$G$5:$G$190&lt;&gt;"moeda")*(Inputs!$G$5:$G$190&lt;&gt;"acoes")))*INDEX(Inputs!$K$5:$AJ$190,0,MATCH(Q$2,Inputs!$K$4:$AJ$4,0)))+SUMPRODUCT((Inputs!$C$5:$C$190=$B59)*Inputs!$D$5:$D$190*(((Inputs!$G$5:$G$190="moeda")+(Inputs!$G$5:$G$190="acoes"))*Inputs!$B$1+((Inputs!$G$5:$G$190&lt;&gt;"moeda")*(Inputs!$G$5:$G$190&lt;&gt;"acoes")))*INDEX(Inputs!$K$5:$AJ$190,0,MATCH(Q$2,Inputs!$K$4:$AJ$4,0)))+SUMPRODUCT((Inputs!$E$5:$E$190=$B59)*Inputs!$F$5:$F$190*(((Inputs!$G$5:$G$190="moeda")+(Inputs!$G$5:$G$190="acoes"))*Inputs!$B$1+((Inputs!$G$5:$G$190&lt;&gt;"moeda")*(Inputs!$G$5:$G$190&lt;&gt;"acoes")))*INDEX(Inputs!$K$5:$AJ$190,0,MATCH(Q$2,Inputs!$K$4:$AJ$4,0)))))</f>
        <v>1339.62050644</v>
      </c>
      <c r="R59" s="265">
        <f>SUM(N59:Q59)</f>
        <v>5110.46075543</v>
      </c>
      <c r="S59" s="264">
        <f>IF(ISNA(MATCH(S$2,Inputs!$K$4:$AJ$4,0)),NA(),IF(SUMPRODUCT((Inputs!$A$5:$A$190=$B59)*ISNUMBER(INDEX(Inputs!$K$5:$AJ$190,0,MATCH(S$2,Inputs!$K$4:$AJ$4,0))))+SUMPRODUCT((Inputs!$C$5:$C$190=$B59)*ISNUMBER(INDEX(Inputs!$K$5:$AJ$190,0,MATCH(S$2,Inputs!$K$4:$AJ$4,0))))+SUMPRODUCT((Inputs!$E$5:$E$190=$B59)*ISNUMBER(INDEX(Inputs!$K$5:$AJ$190,0,MATCH(S$2,Inputs!$K$4:$AJ$4,0))))=0,NA(),SUMPRODUCT((Inputs!$A$5:$A$190=$B59)*Inputs!$B$5:$B$190*(((Inputs!$G$5:$G$190="moeda")+(Inputs!$G$5:$G$190="acoes"))*Inputs!$B$1+((Inputs!$G$5:$G$190&lt;&gt;"moeda")*(Inputs!$G$5:$G$190&lt;&gt;"acoes")))*INDEX(Inputs!$K$5:$AJ$190,0,MATCH(S$2,Inputs!$K$4:$AJ$4,0)))+SUMPRODUCT((Inputs!$C$5:$C$190=$B59)*Inputs!$D$5:$D$190*(((Inputs!$G$5:$G$190="moeda")+(Inputs!$G$5:$G$190="acoes"))*Inputs!$B$1+((Inputs!$G$5:$G$190&lt;&gt;"moeda")*(Inputs!$G$5:$G$190&lt;&gt;"acoes")))*INDEX(Inputs!$K$5:$AJ$190,0,MATCH(S$2,Inputs!$K$4:$AJ$4,0)))+SUMPRODUCT((Inputs!$E$5:$E$190=$B59)*Inputs!$F$5:$F$190*(((Inputs!$G$5:$G$190="moeda")+(Inputs!$G$5:$G$190="acoes"))*Inputs!$B$1+((Inputs!$G$5:$G$190&lt;&gt;"moeda")*(Inputs!$G$5:$G$190&lt;&gt;"acoes")))*INDEX(Inputs!$K$5:$AJ$190,0,MATCH(S$2,Inputs!$K$4:$AJ$4,0)))))</f>
        <v>1495.19829253</v>
      </c>
      <c r="T59" s="264">
        <f>IF(ISNA(MATCH(T$2,Inputs!$K$4:$AJ$4,0)),NA(),IF(SUMPRODUCT((Inputs!$A$5:$A$190=$B59)*ISNUMBER(INDEX(Inputs!$K$5:$AJ$190,0,MATCH(T$2,Inputs!$K$4:$AJ$4,0))))+SUMPRODUCT((Inputs!$C$5:$C$190=$B59)*ISNUMBER(INDEX(Inputs!$K$5:$AJ$190,0,MATCH(T$2,Inputs!$K$4:$AJ$4,0))))+SUMPRODUCT((Inputs!$E$5:$E$190=$B59)*ISNUMBER(INDEX(Inputs!$K$5:$AJ$190,0,MATCH(T$2,Inputs!$K$4:$AJ$4,0))))=0,NA(),SUMPRODUCT((Inputs!$A$5:$A$190=$B59)*Inputs!$B$5:$B$190*(((Inputs!$G$5:$G$190="moeda")+(Inputs!$G$5:$G$190="acoes"))*Inputs!$B$1+((Inputs!$G$5:$G$190&lt;&gt;"moeda")*(Inputs!$G$5:$G$190&lt;&gt;"acoes")))*INDEX(Inputs!$K$5:$AJ$190,0,MATCH(T$2,Inputs!$K$4:$AJ$4,0)))+SUMPRODUCT((Inputs!$C$5:$C$190=$B59)*Inputs!$D$5:$D$190*(((Inputs!$G$5:$G$190="moeda")+(Inputs!$G$5:$G$190="acoes"))*Inputs!$B$1+((Inputs!$G$5:$G$190&lt;&gt;"moeda")*(Inputs!$G$5:$G$190&lt;&gt;"acoes")))*INDEX(Inputs!$K$5:$AJ$190,0,MATCH(T$2,Inputs!$K$4:$AJ$4,0)))+SUMPRODUCT((Inputs!$E$5:$E$190=$B59)*Inputs!$F$5:$F$190*(((Inputs!$G$5:$G$190="moeda")+(Inputs!$G$5:$G$190="acoes"))*Inputs!$B$1+((Inputs!$G$5:$G$190&lt;&gt;"moeda")*(Inputs!$G$5:$G$190&lt;&gt;"acoes")))*INDEX(Inputs!$K$5:$AJ$190,0,MATCH(T$2,Inputs!$K$4:$AJ$4,0)))))</f>
        <v>1608.06050374</v>
      </c>
      <c r="U59" s="264">
        <f>IF(ISNA(MATCH(U$2,Inputs!$K$4:$AJ$4,0)),NA(),IF(SUMPRODUCT((Inputs!$A$5:$A$190=$B59)*ISNUMBER(INDEX(Inputs!$K$5:$AJ$190,0,MATCH(U$2,Inputs!$K$4:$AJ$4,0))))+SUMPRODUCT((Inputs!$C$5:$C$190=$B59)*ISNUMBER(INDEX(Inputs!$K$5:$AJ$190,0,MATCH(U$2,Inputs!$K$4:$AJ$4,0))))+SUMPRODUCT((Inputs!$E$5:$E$190=$B59)*ISNUMBER(INDEX(Inputs!$K$5:$AJ$190,0,MATCH(U$2,Inputs!$K$4:$AJ$4,0))))=0,NA(),SUMPRODUCT((Inputs!$A$5:$A$190=$B59)*Inputs!$B$5:$B$190*(((Inputs!$G$5:$G$190="moeda")+(Inputs!$G$5:$G$190="acoes"))*Inputs!$B$1+((Inputs!$G$5:$G$190&lt;&gt;"moeda")*(Inputs!$G$5:$G$190&lt;&gt;"acoes")))*INDEX(Inputs!$K$5:$AJ$190,0,MATCH(U$2,Inputs!$K$4:$AJ$4,0)))+SUMPRODUCT((Inputs!$C$5:$C$190=$B59)*Inputs!$D$5:$D$190*(((Inputs!$G$5:$G$190="moeda")+(Inputs!$G$5:$G$190="acoes"))*Inputs!$B$1+((Inputs!$G$5:$G$190&lt;&gt;"moeda")*(Inputs!$G$5:$G$190&lt;&gt;"acoes")))*INDEX(Inputs!$K$5:$AJ$190,0,MATCH(U$2,Inputs!$K$4:$AJ$4,0)))+SUMPRODUCT((Inputs!$E$5:$E$190=$B59)*Inputs!$F$5:$F$190*(((Inputs!$G$5:$G$190="moeda")+(Inputs!$G$5:$G$190="acoes"))*Inputs!$B$1+((Inputs!$G$5:$G$190&lt;&gt;"moeda")*(Inputs!$G$5:$G$190&lt;&gt;"acoes")))*INDEX(Inputs!$K$5:$AJ$190,0,MATCH(U$2,Inputs!$K$4:$AJ$4,0)))))</f>
        <v>1744.7243125</v>
      </c>
      <c r="V59" s="264">
        <f>IF(ISNA(MATCH(V$2,Inputs!$K$4:$AJ$4,0)),NA(),IF(SUMPRODUCT((Inputs!$A$5:$A$190=$B59)*ISNUMBER(INDEX(Inputs!$K$5:$AJ$190,0,MATCH(V$2,Inputs!$K$4:$AJ$4,0))))+SUMPRODUCT((Inputs!$C$5:$C$190=$B59)*ISNUMBER(INDEX(Inputs!$K$5:$AJ$190,0,MATCH(V$2,Inputs!$K$4:$AJ$4,0))))+SUMPRODUCT((Inputs!$E$5:$E$190=$B59)*ISNUMBER(INDEX(Inputs!$K$5:$AJ$190,0,MATCH(V$2,Inputs!$K$4:$AJ$4,0))))=0,NA(),SUMPRODUCT((Inputs!$A$5:$A$190=$B59)*Inputs!$B$5:$B$190*(((Inputs!$G$5:$G$190="moeda")+(Inputs!$G$5:$G$190="acoes"))*Inputs!$B$1+((Inputs!$G$5:$G$190&lt;&gt;"moeda")*(Inputs!$G$5:$G$190&lt;&gt;"acoes")))*INDEX(Inputs!$K$5:$AJ$190,0,MATCH(V$2,Inputs!$K$4:$AJ$4,0)))+SUMPRODUCT((Inputs!$C$5:$C$190=$B59)*Inputs!$D$5:$D$190*(((Inputs!$G$5:$G$190="moeda")+(Inputs!$G$5:$G$190="acoes"))*Inputs!$B$1+((Inputs!$G$5:$G$190&lt;&gt;"moeda")*(Inputs!$G$5:$G$190&lt;&gt;"acoes")))*INDEX(Inputs!$K$5:$AJ$190,0,MATCH(V$2,Inputs!$K$4:$AJ$4,0)))+SUMPRODUCT((Inputs!$E$5:$E$190=$B59)*Inputs!$F$5:$F$190*(((Inputs!$G$5:$G$190="moeda")+(Inputs!$G$5:$G$190="acoes"))*Inputs!$B$1+((Inputs!$G$5:$G$190&lt;&gt;"moeda")*(Inputs!$G$5:$G$190&lt;&gt;"acoes")))*INDEX(Inputs!$K$5:$AJ$190,0,MATCH(V$2,Inputs!$K$4:$AJ$4,0)))))</f>
        <v>1791.05691627</v>
      </c>
      <c r="W59" s="265">
        <f>SUM(S59:V59)</f>
        <v>6639.04002504</v>
      </c>
      <c r="X59" s="264">
        <f>IF(ISNA(MATCH(X$2,Inputs!$K$4:$AJ$4,0)),NA(),IF(SUMPRODUCT((Inputs!$A$5:$A$190=$B59)*ISNUMBER(INDEX(Inputs!$K$5:$AJ$190,0,MATCH(X$2,Inputs!$K$4:$AJ$4,0))))+SUMPRODUCT((Inputs!$C$5:$C$190=$B59)*ISNUMBER(INDEX(Inputs!$K$5:$AJ$190,0,MATCH(X$2,Inputs!$K$4:$AJ$4,0))))+SUMPRODUCT((Inputs!$E$5:$E$190=$B59)*ISNUMBER(INDEX(Inputs!$K$5:$AJ$190,0,MATCH(X$2,Inputs!$K$4:$AJ$4,0))))=0,NA(),SUMPRODUCT((Inputs!$A$5:$A$190=$B59)*Inputs!$B$5:$B$190*(((Inputs!$G$5:$G$190="moeda")+(Inputs!$G$5:$G$190="acoes"))*Inputs!$B$1+((Inputs!$G$5:$G$190&lt;&gt;"moeda")*(Inputs!$G$5:$G$190&lt;&gt;"acoes")))*INDEX(Inputs!$K$5:$AJ$190,0,MATCH(X$2,Inputs!$K$4:$AJ$4,0)))+SUMPRODUCT((Inputs!$C$5:$C$190=$B59)*Inputs!$D$5:$D$190*(((Inputs!$G$5:$G$190="moeda")+(Inputs!$G$5:$G$190="acoes"))*Inputs!$B$1+((Inputs!$G$5:$G$190&lt;&gt;"moeda")*(Inputs!$G$5:$G$190&lt;&gt;"acoes")))*INDEX(Inputs!$K$5:$AJ$190,0,MATCH(X$2,Inputs!$K$4:$AJ$4,0)))+SUMPRODUCT((Inputs!$E$5:$E$190=$B59)*Inputs!$F$5:$F$190*(((Inputs!$G$5:$G$190="moeda")+(Inputs!$G$5:$G$190="acoes"))*Inputs!$B$1+((Inputs!$G$5:$G$190&lt;&gt;"moeda")*(Inputs!$G$5:$G$190&lt;&gt;"acoes")))*INDEX(Inputs!$K$5:$AJ$190,0,MATCH(X$2,Inputs!$K$4:$AJ$4,0)))))</f>
        <v>1878.9041189</v>
      </c>
      <c r="Y59" s="264">
        <f>IF(ISNA(MATCH(Y$2,Inputs!$K$4:$AJ$4,0)),NA(),IF(SUMPRODUCT((Inputs!$A$5:$A$190=$B59)*ISNUMBER(INDEX(Inputs!$K$5:$AJ$190,0,MATCH(Y$2,Inputs!$K$4:$AJ$4,0))))+SUMPRODUCT((Inputs!$C$5:$C$190=$B59)*ISNUMBER(INDEX(Inputs!$K$5:$AJ$190,0,MATCH(Y$2,Inputs!$K$4:$AJ$4,0))))+SUMPRODUCT((Inputs!$E$5:$E$190=$B59)*ISNUMBER(INDEX(Inputs!$K$5:$AJ$190,0,MATCH(Y$2,Inputs!$K$4:$AJ$4,0))))=0,NA(),SUMPRODUCT((Inputs!$A$5:$A$190=$B59)*Inputs!$B$5:$B$190*(((Inputs!$G$5:$G$190="moeda")+(Inputs!$G$5:$G$190="acoes"))*Inputs!$B$1+((Inputs!$G$5:$G$190&lt;&gt;"moeda")*(Inputs!$G$5:$G$190&lt;&gt;"acoes")))*INDEX(Inputs!$K$5:$AJ$190,0,MATCH(Y$2,Inputs!$K$4:$AJ$4,0)))+SUMPRODUCT((Inputs!$C$5:$C$190=$B59)*Inputs!$D$5:$D$190*(((Inputs!$G$5:$G$190="moeda")+(Inputs!$G$5:$G$190="acoes"))*Inputs!$B$1+((Inputs!$G$5:$G$190&lt;&gt;"moeda")*(Inputs!$G$5:$G$190&lt;&gt;"acoes")))*INDEX(Inputs!$K$5:$AJ$190,0,MATCH(Y$2,Inputs!$K$4:$AJ$4,0)))+SUMPRODUCT((Inputs!$E$5:$E$190=$B59)*Inputs!$F$5:$F$190*(((Inputs!$G$5:$G$190="moeda")+(Inputs!$G$5:$G$190="acoes"))*Inputs!$B$1+((Inputs!$G$5:$G$190&lt;&gt;"moeda")*(Inputs!$G$5:$G$190&lt;&gt;"acoes")))*INDEX(Inputs!$K$5:$AJ$190,0,MATCH(Y$2,Inputs!$K$4:$AJ$4,0)))))</f>
        <v>1892.63200983</v>
      </c>
      <c r="Z59" s="264">
        <f>IF(ISNA(MATCH(Z$2,Inputs!$K$4:$AJ$4,0)),NA(),IF(SUMPRODUCT((Inputs!$A$5:$A$190=$B59)*ISNUMBER(INDEX(Inputs!$K$5:$AJ$190,0,MATCH(Z$2,Inputs!$K$4:$AJ$4,0))))+SUMPRODUCT((Inputs!$C$5:$C$190=$B59)*ISNUMBER(INDEX(Inputs!$K$5:$AJ$190,0,MATCH(Z$2,Inputs!$K$4:$AJ$4,0))))+SUMPRODUCT((Inputs!$E$5:$E$190=$B59)*ISNUMBER(INDEX(Inputs!$K$5:$AJ$190,0,MATCH(Z$2,Inputs!$K$4:$AJ$4,0))))=0,NA(),SUMPRODUCT((Inputs!$A$5:$A$190=$B59)*Inputs!$B$5:$B$190*(((Inputs!$G$5:$G$190="moeda")+(Inputs!$G$5:$G$190="acoes"))*Inputs!$B$1+((Inputs!$G$5:$G$190&lt;&gt;"moeda")*(Inputs!$G$5:$G$190&lt;&gt;"acoes")))*INDEX(Inputs!$K$5:$AJ$190,0,MATCH(Z$2,Inputs!$K$4:$AJ$4,0)))+SUMPRODUCT((Inputs!$C$5:$C$190=$B59)*Inputs!$D$5:$D$190*(((Inputs!$G$5:$G$190="moeda")+(Inputs!$G$5:$G$190="acoes"))*Inputs!$B$1+((Inputs!$G$5:$G$190&lt;&gt;"moeda")*(Inputs!$G$5:$G$190&lt;&gt;"acoes")))*INDEX(Inputs!$K$5:$AJ$190,0,MATCH(Z$2,Inputs!$K$4:$AJ$4,0)))+SUMPRODUCT((Inputs!$E$5:$E$190=$B59)*Inputs!$F$5:$F$190*(((Inputs!$G$5:$G$190="moeda")+(Inputs!$G$5:$G$190="acoes"))*Inputs!$B$1+((Inputs!$G$5:$G$190&lt;&gt;"moeda")*(Inputs!$G$5:$G$190&lt;&gt;"acoes")))*INDEX(Inputs!$K$5:$AJ$190,0,MATCH(Z$2,Inputs!$K$4:$AJ$4,0)))))</f>
        <v>2010.81157436</v>
      </c>
      <c r="AA59" s="264">
        <f>IF(ISNA(MATCH(AA$2,Inputs!$K$4:$AJ$4,0)),NA(),IF(SUMPRODUCT((Inputs!$A$5:$A$190=$B59)*ISNUMBER(INDEX(Inputs!$K$5:$AJ$190,0,MATCH(AA$2,Inputs!$K$4:$AJ$4,0))))+SUMPRODUCT((Inputs!$C$5:$C$190=$B59)*ISNUMBER(INDEX(Inputs!$K$5:$AJ$190,0,MATCH(AA$2,Inputs!$K$4:$AJ$4,0))))+SUMPRODUCT((Inputs!$E$5:$E$190=$B59)*ISNUMBER(INDEX(Inputs!$K$5:$AJ$190,0,MATCH(AA$2,Inputs!$K$4:$AJ$4,0))))=0,NA(),SUMPRODUCT((Inputs!$A$5:$A$190=$B59)*Inputs!$B$5:$B$190*(((Inputs!$G$5:$G$190="moeda")+(Inputs!$G$5:$G$190="acoes"))*Inputs!$B$1+((Inputs!$G$5:$G$190&lt;&gt;"moeda")*(Inputs!$G$5:$G$190&lt;&gt;"acoes")))*INDEX(Inputs!$K$5:$AJ$190,0,MATCH(AA$2,Inputs!$K$4:$AJ$4,0)))+SUMPRODUCT((Inputs!$C$5:$C$190=$B59)*Inputs!$D$5:$D$190*(((Inputs!$G$5:$G$190="moeda")+(Inputs!$G$5:$G$190="acoes"))*Inputs!$B$1+((Inputs!$G$5:$G$190&lt;&gt;"moeda")*(Inputs!$G$5:$G$190&lt;&gt;"acoes")))*INDEX(Inputs!$K$5:$AJ$190,0,MATCH(AA$2,Inputs!$K$4:$AJ$4,0)))+SUMPRODUCT((Inputs!$E$5:$E$190=$B59)*Inputs!$F$5:$F$190*(((Inputs!$G$5:$G$190="moeda")+(Inputs!$G$5:$G$190="acoes"))*Inputs!$B$1+((Inputs!$G$5:$G$190&lt;&gt;"moeda")*(Inputs!$G$5:$G$190&lt;&gt;"acoes")))*INDEX(Inputs!$K$5:$AJ$190,0,MATCH(AA$2,Inputs!$K$4:$AJ$4,0)))))</f>
        <v>2096.39408926</v>
      </c>
      <c r="AB59" s="265">
        <f>SUM(X59:AA59)</f>
        <v>7878.74179235</v>
      </c>
      <c r="AC59" s="264">
        <f>IF(ISNA(MATCH(AC$2,Inputs!$K$4:$AJ$4,0)),NA(),IF(SUMPRODUCT((Inputs!$A$5:$A$190=$B59)*ISNUMBER(INDEX(Inputs!$K$5:$AJ$190,0,MATCH(AC$2,Inputs!$K$4:$AJ$4,0))))+SUMPRODUCT((Inputs!$C$5:$C$190=$B59)*ISNUMBER(INDEX(Inputs!$K$5:$AJ$190,0,MATCH(AC$2,Inputs!$K$4:$AJ$4,0))))+SUMPRODUCT((Inputs!$E$5:$E$190=$B59)*ISNUMBER(INDEX(Inputs!$K$5:$AJ$190,0,MATCH(AC$2,Inputs!$K$4:$AJ$4,0))))=0,NA(),SUMPRODUCT((Inputs!$A$5:$A$190=$B59)*Inputs!$B$5:$B$190*(((Inputs!$G$5:$G$190="moeda")+(Inputs!$G$5:$G$190="acoes"))*Inputs!$B$1+((Inputs!$G$5:$G$190&lt;&gt;"moeda")*(Inputs!$G$5:$G$190&lt;&gt;"acoes")))*INDEX(Inputs!$K$5:$AJ$190,0,MATCH(AC$2,Inputs!$K$4:$AJ$4,0)))+SUMPRODUCT((Inputs!$C$5:$C$190=$B59)*Inputs!$D$5:$D$190*(((Inputs!$G$5:$G$190="moeda")+(Inputs!$G$5:$G$190="acoes"))*Inputs!$B$1+((Inputs!$G$5:$G$190&lt;&gt;"moeda")*(Inputs!$G$5:$G$190&lt;&gt;"acoes")))*INDEX(Inputs!$K$5:$AJ$190,0,MATCH(AC$2,Inputs!$K$4:$AJ$4,0)))+SUMPRODUCT((Inputs!$E$5:$E$190=$B59)*Inputs!$F$5:$F$190*(((Inputs!$G$5:$G$190="moeda")+(Inputs!$G$5:$G$190="acoes"))*Inputs!$B$1+((Inputs!$G$5:$G$190&lt;&gt;"moeda")*(Inputs!$G$5:$G$190&lt;&gt;"acoes")))*INDEX(Inputs!$K$5:$AJ$190,0,MATCH(AC$2,Inputs!$K$4:$AJ$4,0)))))</f>
        <v>2205.61650379</v>
      </c>
      <c r="AD59" s="264">
        <f>IF(ISNA(MATCH(AD$2,Inputs!$K$4:$AJ$4,0)),NA(),IF(SUMPRODUCT((Inputs!$A$5:$A$190=$B59)*ISNUMBER(INDEX(Inputs!$K$5:$AJ$190,0,MATCH(AD$2,Inputs!$K$4:$AJ$4,0))))+SUMPRODUCT((Inputs!$C$5:$C$190=$B59)*ISNUMBER(INDEX(Inputs!$K$5:$AJ$190,0,MATCH(AD$2,Inputs!$K$4:$AJ$4,0))))+SUMPRODUCT((Inputs!$E$5:$E$190=$B59)*ISNUMBER(INDEX(Inputs!$K$5:$AJ$190,0,MATCH(AD$2,Inputs!$K$4:$AJ$4,0))))=0,NA(),SUMPRODUCT((Inputs!$A$5:$A$190=$B59)*Inputs!$B$5:$B$190*(((Inputs!$G$5:$G$190="moeda")+(Inputs!$G$5:$G$190="acoes"))*Inputs!$B$1+((Inputs!$G$5:$G$190&lt;&gt;"moeda")*(Inputs!$G$5:$G$190&lt;&gt;"acoes")))*INDEX(Inputs!$K$5:$AJ$190,0,MATCH(AD$2,Inputs!$K$4:$AJ$4,0)))+SUMPRODUCT((Inputs!$C$5:$C$190=$B59)*Inputs!$D$5:$D$190*(((Inputs!$G$5:$G$190="moeda")+(Inputs!$G$5:$G$190="acoes"))*Inputs!$B$1+((Inputs!$G$5:$G$190&lt;&gt;"moeda")*(Inputs!$G$5:$G$190&lt;&gt;"acoes")))*INDEX(Inputs!$K$5:$AJ$190,0,MATCH(AD$2,Inputs!$K$4:$AJ$4,0)))+SUMPRODUCT((Inputs!$E$5:$E$190=$B59)*Inputs!$F$5:$F$190*(((Inputs!$G$5:$G$190="moeda")+(Inputs!$G$5:$G$190="acoes"))*Inputs!$B$1+((Inputs!$G$5:$G$190&lt;&gt;"moeda")*(Inputs!$G$5:$G$190&lt;&gt;"acoes")))*INDEX(Inputs!$K$5:$AJ$190,0,MATCH(AD$2,Inputs!$K$4:$AJ$4,0)))))</f>
        <v>2295.3346397</v>
      </c>
      <c r="AE59" s="264" t="e">
        <f>IF(ISNA(MATCH(AE$2,Inputs!$K$4:$AJ$4,0)),NA(),IF(SUMPRODUCT((Inputs!$A$5:$A$190=$B59)*ISNUMBER(INDEX(Inputs!$K$5:$AJ$190,0,MATCH(AE$2,Inputs!$K$4:$AJ$4,0))))+SUMPRODUCT((Inputs!$C$5:$C$190=$B59)*ISNUMBER(INDEX(Inputs!$K$5:$AJ$190,0,MATCH(AE$2,Inputs!$K$4:$AJ$4,0))))+SUMPRODUCT((Inputs!$E$5:$E$190=$B59)*ISNUMBER(INDEX(Inputs!$K$5:$AJ$190,0,MATCH(AE$2,Inputs!$K$4:$AJ$4,0))))=0,NA(),SUMPRODUCT((Inputs!$A$5:$A$190=$B59)*Inputs!$B$5:$B$190*(((Inputs!$G$5:$G$190="moeda")+(Inputs!$G$5:$G$190="acoes"))*Inputs!$B$1+((Inputs!$G$5:$G$190&lt;&gt;"moeda")*(Inputs!$G$5:$G$190&lt;&gt;"acoes")))*INDEX(Inputs!$K$5:$AJ$190,0,MATCH(AE$2,Inputs!$K$4:$AJ$4,0)))+SUMPRODUCT((Inputs!$C$5:$C$190=$B59)*Inputs!$D$5:$D$190*(((Inputs!$G$5:$G$190="moeda")+(Inputs!$G$5:$G$190="acoes"))*Inputs!$B$1+((Inputs!$G$5:$G$190&lt;&gt;"moeda")*(Inputs!$G$5:$G$190&lt;&gt;"acoes")))*INDEX(Inputs!$K$5:$AJ$190,0,MATCH(AE$2,Inputs!$K$4:$AJ$4,0)))+SUMPRODUCT((Inputs!$E$5:$E$190=$B59)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59" s="264" t="e">
        <f>IF(ISNA(MATCH(AF$2,Inputs!$K$4:$AJ$4,0)),NA(),IF(SUMPRODUCT((Inputs!$A$5:$A$190=$B59)*ISNUMBER(INDEX(Inputs!$K$5:$AJ$190,0,MATCH(AF$2,Inputs!$K$4:$AJ$4,0))))+SUMPRODUCT((Inputs!$C$5:$C$190=$B59)*ISNUMBER(INDEX(Inputs!$K$5:$AJ$190,0,MATCH(AF$2,Inputs!$K$4:$AJ$4,0))))+SUMPRODUCT((Inputs!$E$5:$E$190=$B59)*ISNUMBER(INDEX(Inputs!$K$5:$AJ$190,0,MATCH(AF$2,Inputs!$K$4:$AJ$4,0))))=0,NA(),SUMPRODUCT((Inputs!$A$5:$A$190=$B59)*Inputs!$B$5:$B$190*(((Inputs!$G$5:$G$190="moeda")+(Inputs!$G$5:$G$190="acoes"))*Inputs!$B$1+((Inputs!$G$5:$G$190&lt;&gt;"moeda")*(Inputs!$G$5:$G$190&lt;&gt;"acoes")))*INDEX(Inputs!$K$5:$AJ$190,0,MATCH(AF$2,Inputs!$K$4:$AJ$4,0)))+SUMPRODUCT((Inputs!$C$5:$C$190=$B59)*Inputs!$D$5:$D$190*(((Inputs!$G$5:$G$190="moeda")+(Inputs!$G$5:$G$190="acoes"))*Inputs!$B$1+((Inputs!$G$5:$G$190&lt;&gt;"moeda")*(Inputs!$G$5:$G$190&lt;&gt;"acoes")))*INDEX(Inputs!$K$5:$AJ$190,0,MATCH(AF$2,Inputs!$K$4:$AJ$4,0)))+SUMPRODUCT((Inputs!$E$5:$E$190=$B59)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59" s="265" t="e">
        <f>SUM(AC59:AF59)</f>
        <v>#N/A</v>
      </c>
      <c r="AH59" s="264">
        <f>IF(ISNA(MATCH(AH$2,Inputs!$K$4:$AJ$4,0)),NA(),IF(SUMPRODUCT((Inputs!$A$5:$A$190=$B59)*ISNUMBER(INDEX(Inputs!$K$5:$AJ$190,0,MATCH(AH$2,Inputs!$K$4:$AJ$4,0))))+SUMPRODUCT((Inputs!$C$5:$C$190=$B59)*ISNUMBER(INDEX(Inputs!$K$5:$AJ$190,0,MATCH(AH$2,Inputs!$K$4:$AJ$4,0))))+SUMPRODUCT((Inputs!$E$5:$E$190=$B59)*ISNUMBER(INDEX(Inputs!$K$5:$AJ$190,0,MATCH(AH$2,Inputs!$K$4:$AJ$4,0))))=0,NA(),SUMPRODUCT((Inputs!$A$5:$A$190=$B59)*Inputs!$B$5:$B$190*(((Inputs!$G$5:$G$190="moeda")+(Inputs!$G$5:$G$190="acoes"))*Inputs!$B$1+((Inputs!$G$5:$G$190&lt;&gt;"moeda")*(Inputs!$G$5:$G$190&lt;&gt;"acoes")))*INDEX(Inputs!$K$5:$AJ$190,0,MATCH(AH$2,Inputs!$K$4:$AJ$4,0)))+SUMPRODUCT((Inputs!$C$5:$C$190=$B59)*Inputs!$D$5:$D$190*(((Inputs!$G$5:$G$190="moeda")+(Inputs!$G$5:$G$190="acoes"))*Inputs!$B$1+((Inputs!$G$5:$G$190&lt;&gt;"moeda")*(Inputs!$G$5:$G$190&lt;&gt;"acoes")))*INDEX(Inputs!$K$5:$AJ$190,0,MATCH(AH$2,Inputs!$K$4:$AJ$4,0)))+SUMPRODUCT((Inputs!$E$5:$E$190=$B59)*Inputs!$F$5:$F$190*(((Inputs!$G$5:$G$190="moeda")+(Inputs!$G$5:$G$190="acoes"))*Inputs!$B$1+((Inputs!$G$5:$G$190&lt;&gt;"moeda")*(Inputs!$G$5:$G$190&lt;&gt;"acoes")))*INDEX(Inputs!$K$5:$AJ$190,0,MATCH(AH$2,Inputs!$K$4:$AJ$4,0)))))</f>
        <v>451.96694167</v>
      </c>
      <c r="AI59" s="264">
        <f>IF(ISNA(MATCH(AI$2,Inputs!$K$4:$AJ$4,0)),NA(),IF(SUMPRODUCT((Inputs!$A$5:$A$190=$B59)*ISNUMBER(INDEX(Inputs!$K$5:$AJ$190,0,MATCH(AI$2,Inputs!$K$4:$AJ$4,0))))+SUMPRODUCT((Inputs!$C$5:$C$190=$B59)*ISNUMBER(INDEX(Inputs!$K$5:$AJ$190,0,MATCH(AI$2,Inputs!$K$4:$AJ$4,0))))+SUMPRODUCT((Inputs!$E$5:$E$190=$B59)*ISNUMBER(INDEX(Inputs!$K$5:$AJ$190,0,MATCH(AI$2,Inputs!$K$4:$AJ$4,0))))=0,NA(),SUMPRODUCT((Inputs!$A$5:$A$190=$B59)*Inputs!$B$5:$B$190*(((Inputs!$G$5:$G$190="moeda")+(Inputs!$G$5:$G$190="acoes"))*Inputs!$B$1+((Inputs!$G$5:$G$190&lt;&gt;"moeda")*(Inputs!$G$5:$G$190&lt;&gt;"acoes")))*INDEX(Inputs!$K$5:$AJ$190,0,MATCH(AI$2,Inputs!$K$4:$AJ$4,0)))+SUMPRODUCT((Inputs!$C$5:$C$190=$B59)*Inputs!$D$5:$D$190*(((Inputs!$G$5:$G$190="moeda")+(Inputs!$G$5:$G$190="acoes"))*Inputs!$B$1+((Inputs!$G$5:$G$190&lt;&gt;"moeda")*(Inputs!$G$5:$G$190&lt;&gt;"acoes")))*INDEX(Inputs!$K$5:$AJ$190,0,MATCH(AI$2,Inputs!$K$4:$AJ$4,0)))+SUMPRODUCT((Inputs!$E$5:$E$190=$B59)*Inputs!$F$5:$F$190*(((Inputs!$G$5:$G$190="moeda")+(Inputs!$G$5:$G$190="acoes"))*Inputs!$B$1+((Inputs!$G$5:$G$190&lt;&gt;"moeda")*(Inputs!$G$5:$G$190&lt;&gt;"acoes")))*INDEX(Inputs!$K$5:$AJ$190,0,MATCH(AI$2,Inputs!$K$4:$AJ$4,0)))))</f>
        <v>298.7477549</v>
      </c>
      <c r="AJ59" s="264">
        <f>IF(ISNA(MATCH(AJ$2,Inputs!$K$4:$AJ$4,0)),NA(),IF(SUMPRODUCT((Inputs!$A$5:$A$190=$B59)*ISNUMBER(INDEX(Inputs!$K$5:$AJ$190,0,MATCH(AJ$2,Inputs!$K$4:$AJ$4,0))))+SUMPRODUCT((Inputs!$C$5:$C$190=$B59)*ISNUMBER(INDEX(Inputs!$K$5:$AJ$190,0,MATCH(AJ$2,Inputs!$K$4:$AJ$4,0))))+SUMPRODUCT((Inputs!$E$5:$E$190=$B59)*ISNUMBER(INDEX(Inputs!$K$5:$AJ$190,0,MATCH(AJ$2,Inputs!$K$4:$AJ$4,0))))=0,NA(),SUMPRODUCT((Inputs!$A$5:$A$190=$B59)*Inputs!$B$5:$B$190*(((Inputs!$G$5:$G$190="moeda")+(Inputs!$G$5:$G$190="acoes"))*Inputs!$B$1+((Inputs!$G$5:$G$190&lt;&gt;"moeda")*(Inputs!$G$5:$G$190&lt;&gt;"acoes")))*INDEX(Inputs!$K$5:$AJ$190,0,MATCH(AJ$2,Inputs!$K$4:$AJ$4,0)))+SUMPRODUCT((Inputs!$C$5:$C$190=$B59)*Inputs!$D$5:$D$190*(((Inputs!$G$5:$G$190="moeda")+(Inputs!$G$5:$G$190="acoes"))*Inputs!$B$1+((Inputs!$G$5:$G$190&lt;&gt;"moeda")*(Inputs!$G$5:$G$190&lt;&gt;"acoes")))*INDEX(Inputs!$K$5:$AJ$190,0,MATCH(AJ$2,Inputs!$K$4:$AJ$4,0)))+SUMPRODUCT((Inputs!$E$5:$E$190=$B59)*Inputs!$F$5:$F$190*(((Inputs!$G$5:$G$190="moeda")+(Inputs!$G$5:$G$190="acoes"))*Inputs!$B$1+((Inputs!$G$5:$G$190&lt;&gt;"moeda")*(Inputs!$G$5:$G$190&lt;&gt;"acoes")))*INDEX(Inputs!$K$5:$AJ$190,0,MATCH(AJ$2,Inputs!$K$4:$AJ$4,0)))))</f>
        <v>394.70363686365</v>
      </c>
      <c r="AK59" s="264">
        <f>IF(ISNA(MATCH(AK$2,Inputs!$K$4:$AJ$4,0)),NA(),IF(SUMPRODUCT((Inputs!$A$5:$A$190=$B59)*ISNUMBER(INDEX(Inputs!$K$5:$AJ$190,0,MATCH(AK$2,Inputs!$K$4:$AJ$4,0))))+SUMPRODUCT((Inputs!$C$5:$C$190=$B59)*ISNUMBER(INDEX(Inputs!$K$5:$AJ$190,0,MATCH(AK$2,Inputs!$K$4:$AJ$4,0))))+SUMPRODUCT((Inputs!$E$5:$E$190=$B59)*ISNUMBER(INDEX(Inputs!$K$5:$AJ$190,0,MATCH(AK$2,Inputs!$K$4:$AJ$4,0))))=0,NA(),SUMPRODUCT((Inputs!$A$5:$A$190=$B59)*Inputs!$B$5:$B$190*(((Inputs!$G$5:$G$190="moeda")+(Inputs!$G$5:$G$190="acoes"))*Inputs!$B$1+((Inputs!$G$5:$G$190&lt;&gt;"moeda")*(Inputs!$G$5:$G$190&lt;&gt;"acoes")))*INDEX(Inputs!$K$5:$AJ$190,0,MATCH(AK$2,Inputs!$K$4:$AJ$4,0)))+SUMPRODUCT((Inputs!$C$5:$C$190=$B59)*Inputs!$D$5:$D$190*(((Inputs!$G$5:$G$190="moeda")+(Inputs!$G$5:$G$190="acoes"))*Inputs!$B$1+((Inputs!$G$5:$G$190&lt;&gt;"moeda")*(Inputs!$G$5:$G$190&lt;&gt;"acoes")))*INDEX(Inputs!$K$5:$AJ$190,0,MATCH(AK$2,Inputs!$K$4:$AJ$4,0)))+SUMPRODUCT((Inputs!$E$5:$E$190=$B59)*Inputs!$F$5:$F$190*(((Inputs!$G$5:$G$190="moeda")+(Inputs!$G$5:$G$190="acoes"))*Inputs!$B$1+((Inputs!$G$5:$G$190&lt;&gt;"moeda")*(Inputs!$G$5:$G$190&lt;&gt;"acoes")))*INDEX(Inputs!$K$5:$AJ$190,0,MATCH(AK$2,Inputs!$K$4:$AJ$4,0)))))</f>
        <v>499.9881311</v>
      </c>
      <c r="AL59" s="265">
        <f>SUM(AH59:AK59)</f>
        <v>1645.40646453365</v>
      </c>
    </row>
    <row r="60">
      <c r="B60" s="46" t="n">
        <v>52</v>
      </c>
      <c r="C60" s="29" t="inlineStr">
        <is>
          <t>Receita liquida - Vamos locacao + industria. 1T23+: aba VAMOS - Income Statement l.21 (SIMPAR); 1T20-4T22: Planilha de Fundamentos ANTIGA da Vamos (com concessionarias, ate 3T24), aba VAMOS DRE_BP l.65 (locacoes) + l.130 (customizacao/industria)</t>
        </is>
      </c>
      <c r="D60" s="264">
        <f>IF(ISNA(MATCH(D$2,Inputs!$K$4:$AJ$4,0)),NA(),IF(SUMPRODUCT((Inputs!$A$5:$A$190=$B60)*ISNUMBER(INDEX(Inputs!$K$5:$AJ$190,0,MATCH(D$2,Inputs!$K$4:$AJ$4,0))))+SUMPRODUCT((Inputs!$C$5:$C$190=$B60)*ISNUMBER(INDEX(Inputs!$K$5:$AJ$190,0,MATCH(D$2,Inputs!$K$4:$AJ$4,0))))+SUMPRODUCT((Inputs!$E$5:$E$190=$B60)*ISNUMBER(INDEX(Inputs!$K$5:$AJ$190,0,MATCH(D$2,Inputs!$K$4:$AJ$4,0))))=0,NA(),SUMPRODUCT((Inputs!$A$5:$A$190=$B60)*Inputs!$B$5:$B$190*(((Inputs!$G$5:$G$190="moeda")+(Inputs!$G$5:$G$190="acoes"))*Inputs!$B$1+((Inputs!$G$5:$G$190&lt;&gt;"moeda")*(Inputs!$G$5:$G$190&lt;&gt;"acoes")))*INDEX(Inputs!$K$5:$AJ$190,0,MATCH(D$2,Inputs!$K$4:$AJ$4,0)))+SUMPRODUCT((Inputs!$C$5:$C$190=$B60)*Inputs!$D$5:$D$190*(((Inputs!$G$5:$G$190="moeda")+(Inputs!$G$5:$G$190="acoes"))*Inputs!$B$1+((Inputs!$G$5:$G$190&lt;&gt;"moeda")*(Inputs!$G$5:$G$190&lt;&gt;"acoes")))*INDEX(Inputs!$K$5:$AJ$190,0,MATCH(D$2,Inputs!$K$4:$AJ$4,0)))+SUMPRODUCT((Inputs!$E$5:$E$190=$B60)*Inputs!$F$5:$F$190*(((Inputs!$G$5:$G$190="moeda")+(Inputs!$G$5:$G$190="acoes"))*Inputs!$B$1+((Inputs!$G$5:$G$190&lt;&gt;"moeda")*(Inputs!$G$5:$G$190&lt;&gt;"acoes")))*INDEX(Inputs!$K$5:$AJ$190,0,MATCH(D$2,Inputs!$K$4:$AJ$4,0)))))</f>
        <v>265.745826807948</v>
      </c>
      <c r="E60" s="264">
        <f>IF(ISNA(MATCH(E$2,Inputs!$K$4:$AJ$4,0)),NA(),IF(SUMPRODUCT((Inputs!$A$5:$A$190=$B60)*ISNUMBER(INDEX(Inputs!$K$5:$AJ$190,0,MATCH(E$2,Inputs!$K$4:$AJ$4,0))))+SUMPRODUCT((Inputs!$C$5:$C$190=$B60)*ISNUMBER(INDEX(Inputs!$K$5:$AJ$190,0,MATCH(E$2,Inputs!$K$4:$AJ$4,0))))+SUMPRODUCT((Inputs!$E$5:$E$190=$B60)*ISNUMBER(INDEX(Inputs!$K$5:$AJ$190,0,MATCH(E$2,Inputs!$K$4:$AJ$4,0))))=0,NA(),SUMPRODUCT((Inputs!$A$5:$A$190=$B60)*Inputs!$B$5:$B$190*(((Inputs!$G$5:$G$190="moeda")+(Inputs!$G$5:$G$190="acoes"))*Inputs!$B$1+((Inputs!$G$5:$G$190&lt;&gt;"moeda")*(Inputs!$G$5:$G$190&lt;&gt;"acoes")))*INDEX(Inputs!$K$5:$AJ$190,0,MATCH(E$2,Inputs!$K$4:$AJ$4,0)))+SUMPRODUCT((Inputs!$C$5:$C$190=$B60)*Inputs!$D$5:$D$190*(((Inputs!$G$5:$G$190="moeda")+(Inputs!$G$5:$G$190="acoes"))*Inputs!$B$1+((Inputs!$G$5:$G$190&lt;&gt;"moeda")*(Inputs!$G$5:$G$190&lt;&gt;"acoes")))*INDEX(Inputs!$K$5:$AJ$190,0,MATCH(E$2,Inputs!$K$4:$AJ$4,0)))+SUMPRODUCT((Inputs!$E$5:$E$190=$B60)*Inputs!$F$5:$F$190*(((Inputs!$G$5:$G$190="moeda")+(Inputs!$G$5:$G$190="acoes"))*Inputs!$B$1+((Inputs!$G$5:$G$190&lt;&gt;"moeda")*(Inputs!$G$5:$G$190&lt;&gt;"acoes")))*INDEX(Inputs!$K$5:$AJ$190,0,MATCH(E$2,Inputs!$K$4:$AJ$4,0)))))</f>
        <v>273.970729803083</v>
      </c>
      <c r="F60" s="264">
        <f>IF(ISNA(MATCH(F$2,Inputs!$K$4:$AJ$4,0)),NA(),IF(SUMPRODUCT((Inputs!$A$5:$A$190=$B60)*ISNUMBER(INDEX(Inputs!$K$5:$AJ$190,0,MATCH(F$2,Inputs!$K$4:$AJ$4,0))))+SUMPRODUCT((Inputs!$C$5:$C$190=$B60)*ISNUMBER(INDEX(Inputs!$K$5:$AJ$190,0,MATCH(F$2,Inputs!$K$4:$AJ$4,0))))+SUMPRODUCT((Inputs!$E$5:$E$190=$B60)*ISNUMBER(INDEX(Inputs!$K$5:$AJ$190,0,MATCH(F$2,Inputs!$K$4:$AJ$4,0))))=0,NA(),SUMPRODUCT((Inputs!$A$5:$A$190=$B60)*Inputs!$B$5:$B$190*(((Inputs!$G$5:$G$190="moeda")+(Inputs!$G$5:$G$190="acoes"))*Inputs!$B$1+((Inputs!$G$5:$G$190&lt;&gt;"moeda")*(Inputs!$G$5:$G$190&lt;&gt;"acoes")))*INDEX(Inputs!$K$5:$AJ$190,0,MATCH(F$2,Inputs!$K$4:$AJ$4,0)))+SUMPRODUCT((Inputs!$C$5:$C$190=$B60)*Inputs!$D$5:$D$190*(((Inputs!$G$5:$G$190="moeda")+(Inputs!$G$5:$G$190="acoes"))*Inputs!$B$1+((Inputs!$G$5:$G$190&lt;&gt;"moeda")*(Inputs!$G$5:$G$190&lt;&gt;"acoes")))*INDEX(Inputs!$K$5:$AJ$190,0,MATCH(F$2,Inputs!$K$4:$AJ$4,0)))+SUMPRODUCT((Inputs!$E$5:$E$190=$B60)*Inputs!$F$5:$F$190*(((Inputs!$G$5:$G$190="moeda")+(Inputs!$G$5:$G$190="acoes"))*Inputs!$B$1+((Inputs!$G$5:$G$190&lt;&gt;"moeda")*(Inputs!$G$5:$G$190&lt;&gt;"acoes")))*INDEX(Inputs!$K$5:$AJ$190,0,MATCH(F$2,Inputs!$K$4:$AJ$4,0)))))</f>
        <v>303.688421311688</v>
      </c>
      <c r="G60" s="264">
        <f>IF(ISNA(MATCH(G$2,Inputs!$K$4:$AJ$4,0)),NA(),IF(SUMPRODUCT((Inputs!$A$5:$A$190=$B60)*ISNUMBER(INDEX(Inputs!$K$5:$AJ$190,0,MATCH(G$2,Inputs!$K$4:$AJ$4,0))))+SUMPRODUCT((Inputs!$C$5:$C$190=$B60)*ISNUMBER(INDEX(Inputs!$K$5:$AJ$190,0,MATCH(G$2,Inputs!$K$4:$AJ$4,0))))+SUMPRODUCT((Inputs!$E$5:$E$190=$B60)*ISNUMBER(INDEX(Inputs!$K$5:$AJ$190,0,MATCH(G$2,Inputs!$K$4:$AJ$4,0))))=0,NA(),SUMPRODUCT((Inputs!$A$5:$A$190=$B60)*Inputs!$B$5:$B$190*(((Inputs!$G$5:$G$190="moeda")+(Inputs!$G$5:$G$190="acoes"))*Inputs!$B$1+((Inputs!$G$5:$G$190&lt;&gt;"moeda")*(Inputs!$G$5:$G$190&lt;&gt;"acoes")))*INDEX(Inputs!$K$5:$AJ$190,0,MATCH(G$2,Inputs!$K$4:$AJ$4,0)))+SUMPRODUCT((Inputs!$C$5:$C$190=$B60)*Inputs!$D$5:$D$190*(((Inputs!$G$5:$G$190="moeda")+(Inputs!$G$5:$G$190="acoes"))*Inputs!$B$1+((Inputs!$G$5:$G$190&lt;&gt;"moeda")*(Inputs!$G$5:$G$190&lt;&gt;"acoes")))*INDEX(Inputs!$K$5:$AJ$190,0,MATCH(G$2,Inputs!$K$4:$AJ$4,0)))+SUMPRODUCT((Inputs!$E$5:$E$190=$B60)*Inputs!$F$5:$F$190*(((Inputs!$G$5:$G$190="moeda")+(Inputs!$G$5:$G$190="acoes"))*Inputs!$B$1+((Inputs!$G$5:$G$190&lt;&gt;"moeda")*(Inputs!$G$5:$G$190&lt;&gt;"acoes")))*INDEX(Inputs!$K$5:$AJ$190,0,MATCH(G$2,Inputs!$K$4:$AJ$4,0)))))</f>
        <v>328.269593498854</v>
      </c>
      <c r="H60" s="265">
        <f>SUM(D60:G60)</f>
        <v>1171.67457142157</v>
      </c>
      <c r="I60" s="264">
        <f>IF(ISNA(MATCH(I$2,Inputs!$K$4:$AJ$4,0)),NA(),IF(SUMPRODUCT((Inputs!$A$5:$A$190=$B60)*ISNUMBER(INDEX(Inputs!$K$5:$AJ$190,0,MATCH(I$2,Inputs!$K$4:$AJ$4,0))))+SUMPRODUCT((Inputs!$C$5:$C$190=$B60)*ISNUMBER(INDEX(Inputs!$K$5:$AJ$190,0,MATCH(I$2,Inputs!$K$4:$AJ$4,0))))+SUMPRODUCT((Inputs!$E$5:$E$190=$B60)*ISNUMBER(INDEX(Inputs!$K$5:$AJ$190,0,MATCH(I$2,Inputs!$K$4:$AJ$4,0))))=0,NA(),SUMPRODUCT((Inputs!$A$5:$A$190=$B60)*Inputs!$B$5:$B$190*(((Inputs!$G$5:$G$190="moeda")+(Inputs!$G$5:$G$190="acoes"))*Inputs!$B$1+((Inputs!$G$5:$G$190&lt;&gt;"moeda")*(Inputs!$G$5:$G$190&lt;&gt;"acoes")))*INDEX(Inputs!$K$5:$AJ$190,0,MATCH(I$2,Inputs!$K$4:$AJ$4,0)))+SUMPRODUCT((Inputs!$C$5:$C$190=$B60)*Inputs!$D$5:$D$190*(((Inputs!$G$5:$G$190="moeda")+(Inputs!$G$5:$G$190="acoes"))*Inputs!$B$1+((Inputs!$G$5:$G$190&lt;&gt;"moeda")*(Inputs!$G$5:$G$190&lt;&gt;"acoes")))*INDEX(Inputs!$K$5:$AJ$190,0,MATCH(I$2,Inputs!$K$4:$AJ$4,0)))+SUMPRODUCT((Inputs!$E$5:$E$190=$B60)*Inputs!$F$5:$F$190*(((Inputs!$G$5:$G$190="moeda")+(Inputs!$G$5:$G$190="acoes"))*Inputs!$B$1+((Inputs!$G$5:$G$190&lt;&gt;"moeda")*(Inputs!$G$5:$G$190&lt;&gt;"acoes")))*INDEX(Inputs!$K$5:$AJ$190,0,MATCH(I$2,Inputs!$K$4:$AJ$4,0)))))</f>
        <v>366.989043808058</v>
      </c>
      <c r="J60" s="264">
        <f>IF(ISNA(MATCH(J$2,Inputs!$K$4:$AJ$4,0)),NA(),IF(SUMPRODUCT((Inputs!$A$5:$A$190=$B60)*ISNUMBER(INDEX(Inputs!$K$5:$AJ$190,0,MATCH(J$2,Inputs!$K$4:$AJ$4,0))))+SUMPRODUCT((Inputs!$C$5:$C$190=$B60)*ISNUMBER(INDEX(Inputs!$K$5:$AJ$190,0,MATCH(J$2,Inputs!$K$4:$AJ$4,0))))+SUMPRODUCT((Inputs!$E$5:$E$190=$B60)*ISNUMBER(INDEX(Inputs!$K$5:$AJ$190,0,MATCH(J$2,Inputs!$K$4:$AJ$4,0))))=0,NA(),SUMPRODUCT((Inputs!$A$5:$A$190=$B60)*Inputs!$B$5:$B$190*(((Inputs!$G$5:$G$190="moeda")+(Inputs!$G$5:$G$190="acoes"))*Inputs!$B$1+((Inputs!$G$5:$G$190&lt;&gt;"moeda")*(Inputs!$G$5:$G$190&lt;&gt;"acoes")))*INDEX(Inputs!$K$5:$AJ$190,0,MATCH(J$2,Inputs!$K$4:$AJ$4,0)))+SUMPRODUCT((Inputs!$C$5:$C$190=$B60)*Inputs!$D$5:$D$190*(((Inputs!$G$5:$G$190="moeda")+(Inputs!$G$5:$G$190="acoes"))*Inputs!$B$1+((Inputs!$G$5:$G$190&lt;&gt;"moeda")*(Inputs!$G$5:$G$190&lt;&gt;"acoes")))*INDEX(Inputs!$K$5:$AJ$190,0,MATCH(J$2,Inputs!$K$4:$AJ$4,0)))+SUMPRODUCT((Inputs!$E$5:$E$190=$B60)*Inputs!$F$5:$F$190*(((Inputs!$G$5:$G$190="moeda")+(Inputs!$G$5:$G$190="acoes"))*Inputs!$B$1+((Inputs!$G$5:$G$190&lt;&gt;"moeda")*(Inputs!$G$5:$G$190&lt;&gt;"acoes")))*INDEX(Inputs!$K$5:$AJ$190,0,MATCH(J$2,Inputs!$K$4:$AJ$4,0)))))</f>
        <v>461.856360134579</v>
      </c>
      <c r="K60" s="264">
        <f>IF(ISNA(MATCH(K$2,Inputs!$K$4:$AJ$4,0)),NA(),IF(SUMPRODUCT((Inputs!$A$5:$A$190=$B60)*ISNUMBER(INDEX(Inputs!$K$5:$AJ$190,0,MATCH(K$2,Inputs!$K$4:$AJ$4,0))))+SUMPRODUCT((Inputs!$C$5:$C$190=$B60)*ISNUMBER(INDEX(Inputs!$K$5:$AJ$190,0,MATCH(K$2,Inputs!$K$4:$AJ$4,0))))+SUMPRODUCT((Inputs!$E$5:$E$190=$B60)*ISNUMBER(INDEX(Inputs!$K$5:$AJ$190,0,MATCH(K$2,Inputs!$K$4:$AJ$4,0))))=0,NA(),SUMPRODUCT((Inputs!$A$5:$A$190=$B60)*Inputs!$B$5:$B$190*(((Inputs!$G$5:$G$190="moeda")+(Inputs!$G$5:$G$190="acoes"))*Inputs!$B$1+((Inputs!$G$5:$G$190&lt;&gt;"moeda")*(Inputs!$G$5:$G$190&lt;&gt;"acoes")))*INDEX(Inputs!$K$5:$AJ$190,0,MATCH(K$2,Inputs!$K$4:$AJ$4,0)))+SUMPRODUCT((Inputs!$C$5:$C$190=$B60)*Inputs!$D$5:$D$190*(((Inputs!$G$5:$G$190="moeda")+(Inputs!$G$5:$G$190="acoes"))*Inputs!$B$1+((Inputs!$G$5:$G$190&lt;&gt;"moeda")*(Inputs!$G$5:$G$190&lt;&gt;"acoes")))*INDEX(Inputs!$K$5:$AJ$190,0,MATCH(K$2,Inputs!$K$4:$AJ$4,0)))+SUMPRODUCT((Inputs!$E$5:$E$190=$B60)*Inputs!$F$5:$F$190*(((Inputs!$G$5:$G$190="moeda")+(Inputs!$G$5:$G$190="acoes"))*Inputs!$B$1+((Inputs!$G$5:$G$190&lt;&gt;"moeda")*(Inputs!$G$5:$G$190&lt;&gt;"acoes")))*INDEX(Inputs!$K$5:$AJ$190,0,MATCH(K$2,Inputs!$K$4:$AJ$4,0)))))</f>
        <v>590.21933645805</v>
      </c>
      <c r="L60" s="264">
        <f>IF(ISNA(MATCH(L$2,Inputs!$K$4:$AJ$4,0)),NA(),IF(SUMPRODUCT((Inputs!$A$5:$A$190=$B60)*ISNUMBER(INDEX(Inputs!$K$5:$AJ$190,0,MATCH(L$2,Inputs!$K$4:$AJ$4,0))))+SUMPRODUCT((Inputs!$C$5:$C$190=$B60)*ISNUMBER(INDEX(Inputs!$K$5:$AJ$190,0,MATCH(L$2,Inputs!$K$4:$AJ$4,0))))+SUMPRODUCT((Inputs!$E$5:$E$190=$B60)*ISNUMBER(INDEX(Inputs!$K$5:$AJ$190,0,MATCH(L$2,Inputs!$K$4:$AJ$4,0))))=0,NA(),SUMPRODUCT((Inputs!$A$5:$A$190=$B60)*Inputs!$B$5:$B$190*(((Inputs!$G$5:$G$190="moeda")+(Inputs!$G$5:$G$190="acoes"))*Inputs!$B$1+((Inputs!$G$5:$G$190&lt;&gt;"moeda")*(Inputs!$G$5:$G$190&lt;&gt;"acoes")))*INDEX(Inputs!$K$5:$AJ$190,0,MATCH(L$2,Inputs!$K$4:$AJ$4,0)))+SUMPRODUCT((Inputs!$C$5:$C$190=$B60)*Inputs!$D$5:$D$190*(((Inputs!$G$5:$G$190="moeda")+(Inputs!$G$5:$G$190="acoes"))*Inputs!$B$1+((Inputs!$G$5:$G$190&lt;&gt;"moeda")*(Inputs!$G$5:$G$190&lt;&gt;"acoes")))*INDEX(Inputs!$K$5:$AJ$190,0,MATCH(L$2,Inputs!$K$4:$AJ$4,0)))+SUMPRODUCT((Inputs!$E$5:$E$190=$B60)*Inputs!$F$5:$F$190*(((Inputs!$G$5:$G$190="moeda")+(Inputs!$G$5:$G$190="acoes"))*Inputs!$B$1+((Inputs!$G$5:$G$190&lt;&gt;"moeda")*(Inputs!$G$5:$G$190&lt;&gt;"acoes")))*INDEX(Inputs!$K$5:$AJ$190,0,MATCH(L$2,Inputs!$K$4:$AJ$4,0)))))</f>
        <v>715.33438274933</v>
      </c>
      <c r="M60" s="265">
        <f>SUM(I60:L60)</f>
        <v>2134.39912315002</v>
      </c>
      <c r="N60" s="264">
        <f>IF(ISNA(MATCH(N$2,Inputs!$K$4:$AJ$4,0)),NA(),IF(SUMPRODUCT((Inputs!$A$5:$A$190=$B60)*ISNUMBER(INDEX(Inputs!$K$5:$AJ$190,0,MATCH(N$2,Inputs!$K$4:$AJ$4,0))))+SUMPRODUCT((Inputs!$C$5:$C$190=$B60)*ISNUMBER(INDEX(Inputs!$K$5:$AJ$190,0,MATCH(N$2,Inputs!$K$4:$AJ$4,0))))+SUMPRODUCT((Inputs!$E$5:$E$190=$B60)*ISNUMBER(INDEX(Inputs!$K$5:$AJ$190,0,MATCH(N$2,Inputs!$K$4:$AJ$4,0))))=0,NA(),SUMPRODUCT((Inputs!$A$5:$A$190=$B60)*Inputs!$B$5:$B$190*(((Inputs!$G$5:$G$190="moeda")+(Inputs!$G$5:$G$190="acoes"))*Inputs!$B$1+((Inputs!$G$5:$G$190&lt;&gt;"moeda")*(Inputs!$G$5:$G$190&lt;&gt;"acoes")))*INDEX(Inputs!$K$5:$AJ$190,0,MATCH(N$2,Inputs!$K$4:$AJ$4,0)))+SUMPRODUCT((Inputs!$C$5:$C$190=$B60)*Inputs!$D$5:$D$190*(((Inputs!$G$5:$G$190="moeda")+(Inputs!$G$5:$G$190="acoes"))*Inputs!$B$1+((Inputs!$G$5:$G$190&lt;&gt;"moeda")*(Inputs!$G$5:$G$190&lt;&gt;"acoes")))*INDEX(Inputs!$K$5:$AJ$190,0,MATCH(N$2,Inputs!$K$4:$AJ$4,0)))+SUMPRODUCT((Inputs!$E$5:$E$190=$B60)*Inputs!$F$5:$F$190*(((Inputs!$G$5:$G$190="moeda")+(Inputs!$G$5:$G$190="acoes"))*Inputs!$B$1+((Inputs!$G$5:$G$190&lt;&gt;"moeda")*(Inputs!$G$5:$G$190&lt;&gt;"acoes")))*INDEX(Inputs!$K$5:$AJ$190,0,MATCH(N$2,Inputs!$K$4:$AJ$4,0)))))</f>
        <v>945.32264989472</v>
      </c>
      <c r="O60" s="264">
        <f>IF(ISNA(MATCH(O$2,Inputs!$K$4:$AJ$4,0)),NA(),IF(SUMPRODUCT((Inputs!$A$5:$A$190=$B60)*ISNUMBER(INDEX(Inputs!$K$5:$AJ$190,0,MATCH(O$2,Inputs!$K$4:$AJ$4,0))))+SUMPRODUCT((Inputs!$C$5:$C$190=$B60)*ISNUMBER(INDEX(Inputs!$K$5:$AJ$190,0,MATCH(O$2,Inputs!$K$4:$AJ$4,0))))+SUMPRODUCT((Inputs!$E$5:$E$190=$B60)*ISNUMBER(INDEX(Inputs!$K$5:$AJ$190,0,MATCH(O$2,Inputs!$K$4:$AJ$4,0))))=0,NA(),SUMPRODUCT((Inputs!$A$5:$A$190=$B60)*Inputs!$B$5:$B$190*(((Inputs!$G$5:$G$190="moeda")+(Inputs!$G$5:$G$190="acoes"))*Inputs!$B$1+((Inputs!$G$5:$G$190&lt;&gt;"moeda")*(Inputs!$G$5:$G$190&lt;&gt;"acoes")))*INDEX(Inputs!$K$5:$AJ$190,0,MATCH(O$2,Inputs!$K$4:$AJ$4,0)))+SUMPRODUCT((Inputs!$C$5:$C$190=$B60)*Inputs!$D$5:$D$190*(((Inputs!$G$5:$G$190="moeda")+(Inputs!$G$5:$G$190="acoes"))*Inputs!$B$1+((Inputs!$G$5:$G$190&lt;&gt;"moeda")*(Inputs!$G$5:$G$190&lt;&gt;"acoes")))*INDEX(Inputs!$K$5:$AJ$190,0,MATCH(O$2,Inputs!$K$4:$AJ$4,0)))+SUMPRODUCT((Inputs!$E$5:$E$190=$B60)*Inputs!$F$5:$F$190*(((Inputs!$G$5:$G$190="moeda")+(Inputs!$G$5:$G$190="acoes"))*Inputs!$B$1+((Inputs!$G$5:$G$190&lt;&gt;"moeda")*(Inputs!$G$5:$G$190&lt;&gt;"acoes")))*INDEX(Inputs!$K$5:$AJ$190,0,MATCH(O$2,Inputs!$K$4:$AJ$4,0)))))</f>
        <v>912.72497186528</v>
      </c>
      <c r="P60" s="264">
        <f>IF(ISNA(MATCH(P$2,Inputs!$K$4:$AJ$4,0)),NA(),IF(SUMPRODUCT((Inputs!$A$5:$A$190=$B60)*ISNUMBER(INDEX(Inputs!$K$5:$AJ$190,0,MATCH(P$2,Inputs!$K$4:$AJ$4,0))))+SUMPRODUCT((Inputs!$C$5:$C$190=$B60)*ISNUMBER(INDEX(Inputs!$K$5:$AJ$190,0,MATCH(P$2,Inputs!$K$4:$AJ$4,0))))+SUMPRODUCT((Inputs!$E$5:$E$190=$B60)*ISNUMBER(INDEX(Inputs!$K$5:$AJ$190,0,MATCH(P$2,Inputs!$K$4:$AJ$4,0))))=0,NA(),SUMPRODUCT((Inputs!$A$5:$A$190=$B60)*Inputs!$B$5:$B$190*(((Inputs!$G$5:$G$190="moeda")+(Inputs!$G$5:$G$190="acoes"))*Inputs!$B$1+((Inputs!$G$5:$G$190&lt;&gt;"moeda")*(Inputs!$G$5:$G$190&lt;&gt;"acoes")))*INDEX(Inputs!$K$5:$AJ$190,0,MATCH(P$2,Inputs!$K$4:$AJ$4,0)))+SUMPRODUCT((Inputs!$C$5:$C$190=$B60)*Inputs!$D$5:$D$190*(((Inputs!$G$5:$G$190="moeda")+(Inputs!$G$5:$G$190="acoes"))*Inputs!$B$1+((Inputs!$G$5:$G$190&lt;&gt;"moeda")*(Inputs!$G$5:$G$190&lt;&gt;"acoes")))*INDEX(Inputs!$K$5:$AJ$190,0,MATCH(P$2,Inputs!$K$4:$AJ$4,0)))+SUMPRODUCT((Inputs!$E$5:$E$190=$B60)*Inputs!$F$5:$F$190*(((Inputs!$G$5:$G$190="moeda")+(Inputs!$G$5:$G$190="acoes"))*Inputs!$B$1+((Inputs!$G$5:$G$190&lt;&gt;"moeda")*(Inputs!$G$5:$G$190&lt;&gt;"acoes")))*INDEX(Inputs!$K$5:$AJ$190,0,MATCH(P$2,Inputs!$K$4:$AJ$4,0)))))</f>
        <v>984.45924996</v>
      </c>
      <c r="Q60" s="264">
        <f>IF(ISNA(MATCH(Q$2,Inputs!$K$4:$AJ$4,0)),NA(),IF(SUMPRODUCT((Inputs!$A$5:$A$190=$B60)*ISNUMBER(INDEX(Inputs!$K$5:$AJ$190,0,MATCH(Q$2,Inputs!$K$4:$AJ$4,0))))+SUMPRODUCT((Inputs!$C$5:$C$190=$B60)*ISNUMBER(INDEX(Inputs!$K$5:$AJ$190,0,MATCH(Q$2,Inputs!$K$4:$AJ$4,0))))+SUMPRODUCT((Inputs!$E$5:$E$190=$B60)*ISNUMBER(INDEX(Inputs!$K$5:$AJ$190,0,MATCH(Q$2,Inputs!$K$4:$AJ$4,0))))=0,NA(),SUMPRODUCT((Inputs!$A$5:$A$190=$B60)*Inputs!$B$5:$B$190*(((Inputs!$G$5:$G$190="moeda")+(Inputs!$G$5:$G$190="acoes"))*Inputs!$B$1+((Inputs!$G$5:$G$190&lt;&gt;"moeda")*(Inputs!$G$5:$G$190&lt;&gt;"acoes")))*INDEX(Inputs!$K$5:$AJ$190,0,MATCH(Q$2,Inputs!$K$4:$AJ$4,0)))+SUMPRODUCT((Inputs!$C$5:$C$190=$B60)*Inputs!$D$5:$D$190*(((Inputs!$G$5:$G$190="moeda")+(Inputs!$G$5:$G$190="acoes"))*Inputs!$B$1+((Inputs!$G$5:$G$190&lt;&gt;"moeda")*(Inputs!$G$5:$G$190&lt;&gt;"acoes")))*INDEX(Inputs!$K$5:$AJ$190,0,MATCH(Q$2,Inputs!$K$4:$AJ$4,0)))+SUMPRODUCT((Inputs!$E$5:$E$190=$B60)*Inputs!$F$5:$F$190*(((Inputs!$G$5:$G$190="moeda")+(Inputs!$G$5:$G$190="acoes"))*Inputs!$B$1+((Inputs!$G$5:$G$190&lt;&gt;"moeda")*(Inputs!$G$5:$G$190&lt;&gt;"acoes")))*INDEX(Inputs!$K$5:$AJ$190,0,MATCH(Q$2,Inputs!$K$4:$AJ$4,0)))))</f>
        <v>705.909904108364</v>
      </c>
      <c r="R60" s="265">
        <f>SUM(N60:Q60)</f>
        <v>3548.41677582836</v>
      </c>
      <c r="S60" s="264">
        <f>IF(ISNA(MATCH(S$2,Inputs!$K$4:$AJ$4,0)),NA(),IF(SUMPRODUCT((Inputs!$A$5:$A$190=$B60)*ISNUMBER(INDEX(Inputs!$K$5:$AJ$190,0,MATCH(S$2,Inputs!$K$4:$AJ$4,0))))+SUMPRODUCT((Inputs!$C$5:$C$190=$B60)*ISNUMBER(INDEX(Inputs!$K$5:$AJ$190,0,MATCH(S$2,Inputs!$K$4:$AJ$4,0))))+SUMPRODUCT((Inputs!$E$5:$E$190=$B60)*ISNUMBER(INDEX(Inputs!$K$5:$AJ$190,0,MATCH(S$2,Inputs!$K$4:$AJ$4,0))))=0,NA(),SUMPRODUCT((Inputs!$A$5:$A$190=$B60)*Inputs!$B$5:$B$190*(((Inputs!$G$5:$G$190="moeda")+(Inputs!$G$5:$G$190="acoes"))*Inputs!$B$1+((Inputs!$G$5:$G$190&lt;&gt;"moeda")*(Inputs!$G$5:$G$190&lt;&gt;"acoes")))*INDEX(Inputs!$K$5:$AJ$190,0,MATCH(S$2,Inputs!$K$4:$AJ$4,0)))+SUMPRODUCT((Inputs!$C$5:$C$190=$B60)*Inputs!$D$5:$D$190*(((Inputs!$G$5:$G$190="moeda")+(Inputs!$G$5:$G$190="acoes"))*Inputs!$B$1+((Inputs!$G$5:$G$190&lt;&gt;"moeda")*(Inputs!$G$5:$G$190&lt;&gt;"acoes")))*INDEX(Inputs!$K$5:$AJ$190,0,MATCH(S$2,Inputs!$K$4:$AJ$4,0)))+SUMPRODUCT((Inputs!$E$5:$E$190=$B60)*Inputs!$F$5:$F$190*(((Inputs!$G$5:$G$190="moeda")+(Inputs!$G$5:$G$190="acoes"))*Inputs!$B$1+((Inputs!$G$5:$G$190&lt;&gt;"moeda")*(Inputs!$G$5:$G$190&lt;&gt;"acoes")))*INDEX(Inputs!$K$5:$AJ$190,0,MATCH(S$2,Inputs!$K$4:$AJ$4,0)))))</f>
        <v>1077.92902978</v>
      </c>
      <c r="T60" s="264">
        <f>IF(ISNA(MATCH(T$2,Inputs!$K$4:$AJ$4,0)),NA(),IF(SUMPRODUCT((Inputs!$A$5:$A$190=$B60)*ISNUMBER(INDEX(Inputs!$K$5:$AJ$190,0,MATCH(T$2,Inputs!$K$4:$AJ$4,0))))+SUMPRODUCT((Inputs!$C$5:$C$190=$B60)*ISNUMBER(INDEX(Inputs!$K$5:$AJ$190,0,MATCH(T$2,Inputs!$K$4:$AJ$4,0))))+SUMPRODUCT((Inputs!$E$5:$E$190=$B60)*ISNUMBER(INDEX(Inputs!$K$5:$AJ$190,0,MATCH(T$2,Inputs!$K$4:$AJ$4,0))))=0,NA(),SUMPRODUCT((Inputs!$A$5:$A$190=$B60)*Inputs!$B$5:$B$190*(((Inputs!$G$5:$G$190="moeda")+(Inputs!$G$5:$G$190="acoes"))*Inputs!$B$1+((Inputs!$G$5:$G$190&lt;&gt;"moeda")*(Inputs!$G$5:$G$190&lt;&gt;"acoes")))*INDEX(Inputs!$K$5:$AJ$190,0,MATCH(T$2,Inputs!$K$4:$AJ$4,0)))+SUMPRODUCT((Inputs!$C$5:$C$190=$B60)*Inputs!$D$5:$D$190*(((Inputs!$G$5:$G$190="moeda")+(Inputs!$G$5:$G$190="acoes"))*Inputs!$B$1+((Inputs!$G$5:$G$190&lt;&gt;"moeda")*(Inputs!$G$5:$G$190&lt;&gt;"acoes")))*INDEX(Inputs!$K$5:$AJ$190,0,MATCH(T$2,Inputs!$K$4:$AJ$4,0)))+SUMPRODUCT((Inputs!$E$5:$E$190=$B60)*Inputs!$F$5:$F$190*(((Inputs!$G$5:$G$190="moeda")+(Inputs!$G$5:$G$190="acoes"))*Inputs!$B$1+((Inputs!$G$5:$G$190&lt;&gt;"moeda")*(Inputs!$G$5:$G$190&lt;&gt;"acoes")))*INDEX(Inputs!$K$5:$AJ$190,0,MATCH(T$2,Inputs!$K$4:$AJ$4,0)))))</f>
        <v>1207.09988748</v>
      </c>
      <c r="U60" s="264">
        <f>IF(ISNA(MATCH(U$2,Inputs!$K$4:$AJ$4,0)),NA(),IF(SUMPRODUCT((Inputs!$A$5:$A$190=$B60)*ISNUMBER(INDEX(Inputs!$K$5:$AJ$190,0,MATCH(U$2,Inputs!$K$4:$AJ$4,0))))+SUMPRODUCT((Inputs!$C$5:$C$190=$B60)*ISNUMBER(INDEX(Inputs!$K$5:$AJ$190,0,MATCH(U$2,Inputs!$K$4:$AJ$4,0))))+SUMPRODUCT((Inputs!$E$5:$E$190=$B60)*ISNUMBER(INDEX(Inputs!$K$5:$AJ$190,0,MATCH(U$2,Inputs!$K$4:$AJ$4,0))))=0,NA(),SUMPRODUCT((Inputs!$A$5:$A$190=$B60)*Inputs!$B$5:$B$190*(((Inputs!$G$5:$G$190="moeda")+(Inputs!$G$5:$G$190="acoes"))*Inputs!$B$1+((Inputs!$G$5:$G$190&lt;&gt;"moeda")*(Inputs!$G$5:$G$190&lt;&gt;"acoes")))*INDEX(Inputs!$K$5:$AJ$190,0,MATCH(U$2,Inputs!$K$4:$AJ$4,0)))+SUMPRODUCT((Inputs!$C$5:$C$190=$B60)*Inputs!$D$5:$D$190*(((Inputs!$G$5:$G$190="moeda")+(Inputs!$G$5:$G$190="acoes"))*Inputs!$B$1+((Inputs!$G$5:$G$190&lt;&gt;"moeda")*(Inputs!$G$5:$G$190&lt;&gt;"acoes")))*INDEX(Inputs!$K$5:$AJ$190,0,MATCH(U$2,Inputs!$K$4:$AJ$4,0)))+SUMPRODUCT((Inputs!$E$5:$E$190=$B60)*Inputs!$F$5:$F$190*(((Inputs!$G$5:$G$190="moeda")+(Inputs!$G$5:$G$190="acoes"))*Inputs!$B$1+((Inputs!$G$5:$G$190&lt;&gt;"moeda")*(Inputs!$G$5:$G$190&lt;&gt;"acoes")))*INDEX(Inputs!$K$5:$AJ$190,0,MATCH(U$2,Inputs!$K$4:$AJ$4,0)))))</f>
        <v>1221.09474171</v>
      </c>
      <c r="V60" s="264">
        <f>IF(ISNA(MATCH(V$2,Inputs!$K$4:$AJ$4,0)),NA(),IF(SUMPRODUCT((Inputs!$A$5:$A$190=$B60)*ISNUMBER(INDEX(Inputs!$K$5:$AJ$190,0,MATCH(V$2,Inputs!$K$4:$AJ$4,0))))+SUMPRODUCT((Inputs!$C$5:$C$190=$B60)*ISNUMBER(INDEX(Inputs!$K$5:$AJ$190,0,MATCH(V$2,Inputs!$K$4:$AJ$4,0))))+SUMPRODUCT((Inputs!$E$5:$E$190=$B60)*ISNUMBER(INDEX(Inputs!$K$5:$AJ$190,0,MATCH(V$2,Inputs!$K$4:$AJ$4,0))))=0,NA(),SUMPRODUCT((Inputs!$A$5:$A$190=$B60)*Inputs!$B$5:$B$190*(((Inputs!$G$5:$G$190="moeda")+(Inputs!$G$5:$G$190="acoes"))*Inputs!$B$1+((Inputs!$G$5:$G$190&lt;&gt;"moeda")*(Inputs!$G$5:$G$190&lt;&gt;"acoes")))*INDEX(Inputs!$K$5:$AJ$190,0,MATCH(V$2,Inputs!$K$4:$AJ$4,0)))+SUMPRODUCT((Inputs!$C$5:$C$190=$B60)*Inputs!$D$5:$D$190*(((Inputs!$G$5:$G$190="moeda")+(Inputs!$G$5:$G$190="acoes"))*Inputs!$B$1+((Inputs!$G$5:$G$190&lt;&gt;"moeda")*(Inputs!$G$5:$G$190&lt;&gt;"acoes")))*INDEX(Inputs!$K$5:$AJ$190,0,MATCH(V$2,Inputs!$K$4:$AJ$4,0)))+SUMPRODUCT((Inputs!$E$5:$E$190=$B60)*Inputs!$F$5:$F$190*(((Inputs!$G$5:$G$190="moeda")+(Inputs!$G$5:$G$190="acoes"))*Inputs!$B$1+((Inputs!$G$5:$G$190&lt;&gt;"moeda")*(Inputs!$G$5:$G$190&lt;&gt;"acoes")))*INDEX(Inputs!$K$5:$AJ$190,0,MATCH(V$2,Inputs!$K$4:$AJ$4,0)))))</f>
        <v>1193.18825907467</v>
      </c>
      <c r="W60" s="265">
        <f>SUM(S60:V60)</f>
        <v>4699.31191804467</v>
      </c>
      <c r="X60" s="264">
        <f>IF(ISNA(MATCH(X$2,Inputs!$K$4:$AJ$4,0)),NA(),IF(SUMPRODUCT((Inputs!$A$5:$A$190=$B60)*ISNUMBER(INDEX(Inputs!$K$5:$AJ$190,0,MATCH(X$2,Inputs!$K$4:$AJ$4,0))))+SUMPRODUCT((Inputs!$C$5:$C$190=$B60)*ISNUMBER(INDEX(Inputs!$K$5:$AJ$190,0,MATCH(X$2,Inputs!$K$4:$AJ$4,0))))+SUMPRODUCT((Inputs!$E$5:$E$190=$B60)*ISNUMBER(INDEX(Inputs!$K$5:$AJ$190,0,MATCH(X$2,Inputs!$K$4:$AJ$4,0))))=0,NA(),SUMPRODUCT((Inputs!$A$5:$A$190=$B60)*Inputs!$B$5:$B$190*(((Inputs!$G$5:$G$190="moeda")+(Inputs!$G$5:$G$190="acoes"))*Inputs!$B$1+((Inputs!$G$5:$G$190&lt;&gt;"moeda")*(Inputs!$G$5:$G$190&lt;&gt;"acoes")))*INDEX(Inputs!$K$5:$AJ$190,0,MATCH(X$2,Inputs!$K$4:$AJ$4,0)))+SUMPRODUCT((Inputs!$C$5:$C$190=$B60)*Inputs!$D$5:$D$190*(((Inputs!$G$5:$G$190="moeda")+(Inputs!$G$5:$G$190="acoes"))*Inputs!$B$1+((Inputs!$G$5:$G$190&lt;&gt;"moeda")*(Inputs!$G$5:$G$190&lt;&gt;"acoes")))*INDEX(Inputs!$K$5:$AJ$190,0,MATCH(X$2,Inputs!$K$4:$AJ$4,0)))+SUMPRODUCT((Inputs!$E$5:$E$190=$B60)*Inputs!$F$5:$F$190*(((Inputs!$G$5:$G$190="moeda")+(Inputs!$G$5:$G$190="acoes"))*Inputs!$B$1+((Inputs!$G$5:$G$190&lt;&gt;"moeda")*(Inputs!$G$5:$G$190&lt;&gt;"acoes")))*INDEX(Inputs!$K$5:$AJ$190,0,MATCH(X$2,Inputs!$K$4:$AJ$4,0)))))</f>
        <v>1332.0158350023</v>
      </c>
      <c r="Y60" s="264">
        <f>IF(ISNA(MATCH(Y$2,Inputs!$K$4:$AJ$4,0)),NA(),IF(SUMPRODUCT((Inputs!$A$5:$A$190=$B60)*ISNUMBER(INDEX(Inputs!$K$5:$AJ$190,0,MATCH(Y$2,Inputs!$K$4:$AJ$4,0))))+SUMPRODUCT((Inputs!$C$5:$C$190=$B60)*ISNUMBER(INDEX(Inputs!$K$5:$AJ$190,0,MATCH(Y$2,Inputs!$K$4:$AJ$4,0))))+SUMPRODUCT((Inputs!$E$5:$E$190=$B60)*ISNUMBER(INDEX(Inputs!$K$5:$AJ$190,0,MATCH(Y$2,Inputs!$K$4:$AJ$4,0))))=0,NA(),SUMPRODUCT((Inputs!$A$5:$A$190=$B60)*Inputs!$B$5:$B$190*(((Inputs!$G$5:$G$190="moeda")+(Inputs!$G$5:$G$190="acoes"))*Inputs!$B$1+((Inputs!$G$5:$G$190&lt;&gt;"moeda")*(Inputs!$G$5:$G$190&lt;&gt;"acoes")))*INDEX(Inputs!$K$5:$AJ$190,0,MATCH(Y$2,Inputs!$K$4:$AJ$4,0)))+SUMPRODUCT((Inputs!$C$5:$C$190=$B60)*Inputs!$D$5:$D$190*(((Inputs!$G$5:$G$190="moeda")+(Inputs!$G$5:$G$190="acoes"))*Inputs!$B$1+((Inputs!$G$5:$G$190&lt;&gt;"moeda")*(Inputs!$G$5:$G$190&lt;&gt;"acoes")))*INDEX(Inputs!$K$5:$AJ$190,0,MATCH(Y$2,Inputs!$K$4:$AJ$4,0)))+SUMPRODUCT((Inputs!$E$5:$E$190=$B60)*Inputs!$F$5:$F$190*(((Inputs!$G$5:$G$190="moeda")+(Inputs!$G$5:$G$190="acoes"))*Inputs!$B$1+((Inputs!$G$5:$G$190&lt;&gt;"moeda")*(Inputs!$G$5:$G$190&lt;&gt;"acoes")))*INDEX(Inputs!$K$5:$AJ$190,0,MATCH(Y$2,Inputs!$K$4:$AJ$4,0)))))</f>
        <v>1411.66593227923</v>
      </c>
      <c r="Z60" s="264">
        <f>IF(ISNA(MATCH(Z$2,Inputs!$K$4:$AJ$4,0)),NA(),IF(SUMPRODUCT((Inputs!$A$5:$A$190=$B60)*ISNUMBER(INDEX(Inputs!$K$5:$AJ$190,0,MATCH(Z$2,Inputs!$K$4:$AJ$4,0))))+SUMPRODUCT((Inputs!$C$5:$C$190=$B60)*ISNUMBER(INDEX(Inputs!$K$5:$AJ$190,0,MATCH(Z$2,Inputs!$K$4:$AJ$4,0))))+SUMPRODUCT((Inputs!$E$5:$E$190=$B60)*ISNUMBER(INDEX(Inputs!$K$5:$AJ$190,0,MATCH(Z$2,Inputs!$K$4:$AJ$4,0))))=0,NA(),SUMPRODUCT((Inputs!$A$5:$A$190=$B60)*Inputs!$B$5:$B$190*(((Inputs!$G$5:$G$190="moeda")+(Inputs!$G$5:$G$190="acoes"))*Inputs!$B$1+((Inputs!$G$5:$G$190&lt;&gt;"moeda")*(Inputs!$G$5:$G$190&lt;&gt;"acoes")))*INDEX(Inputs!$K$5:$AJ$190,0,MATCH(Z$2,Inputs!$K$4:$AJ$4,0)))+SUMPRODUCT((Inputs!$C$5:$C$190=$B60)*Inputs!$D$5:$D$190*(((Inputs!$G$5:$G$190="moeda")+(Inputs!$G$5:$G$190="acoes"))*Inputs!$B$1+((Inputs!$G$5:$G$190&lt;&gt;"moeda")*(Inputs!$G$5:$G$190&lt;&gt;"acoes")))*INDEX(Inputs!$K$5:$AJ$190,0,MATCH(Z$2,Inputs!$K$4:$AJ$4,0)))+SUMPRODUCT((Inputs!$E$5:$E$190=$B60)*Inputs!$F$5:$F$190*(((Inputs!$G$5:$G$190="moeda")+(Inputs!$G$5:$G$190="acoes"))*Inputs!$B$1+((Inputs!$G$5:$G$190&lt;&gt;"moeda")*(Inputs!$G$5:$G$190&lt;&gt;"acoes")))*INDEX(Inputs!$K$5:$AJ$190,0,MATCH(Z$2,Inputs!$K$4:$AJ$4,0)))))</f>
        <v>1529.00723216847</v>
      </c>
      <c r="AA60" s="264">
        <f>IF(ISNA(MATCH(AA$2,Inputs!$K$4:$AJ$4,0)),NA(),IF(SUMPRODUCT((Inputs!$A$5:$A$190=$B60)*ISNUMBER(INDEX(Inputs!$K$5:$AJ$190,0,MATCH(AA$2,Inputs!$K$4:$AJ$4,0))))+SUMPRODUCT((Inputs!$C$5:$C$190=$B60)*ISNUMBER(INDEX(Inputs!$K$5:$AJ$190,0,MATCH(AA$2,Inputs!$K$4:$AJ$4,0))))+SUMPRODUCT((Inputs!$E$5:$E$190=$B60)*ISNUMBER(INDEX(Inputs!$K$5:$AJ$190,0,MATCH(AA$2,Inputs!$K$4:$AJ$4,0))))=0,NA(),SUMPRODUCT((Inputs!$A$5:$A$190=$B60)*Inputs!$B$5:$B$190*(((Inputs!$G$5:$G$190="moeda")+(Inputs!$G$5:$G$190="acoes"))*Inputs!$B$1+((Inputs!$G$5:$G$190&lt;&gt;"moeda")*(Inputs!$G$5:$G$190&lt;&gt;"acoes")))*INDEX(Inputs!$K$5:$AJ$190,0,MATCH(AA$2,Inputs!$K$4:$AJ$4,0)))+SUMPRODUCT((Inputs!$C$5:$C$190=$B60)*Inputs!$D$5:$D$190*(((Inputs!$G$5:$G$190="moeda")+(Inputs!$G$5:$G$190="acoes"))*Inputs!$B$1+((Inputs!$G$5:$G$190&lt;&gt;"moeda")*(Inputs!$G$5:$G$190&lt;&gt;"acoes")))*INDEX(Inputs!$K$5:$AJ$190,0,MATCH(AA$2,Inputs!$K$4:$AJ$4,0)))+SUMPRODUCT((Inputs!$E$5:$E$190=$B60)*Inputs!$F$5:$F$190*(((Inputs!$G$5:$G$190="moeda")+(Inputs!$G$5:$G$190="acoes"))*Inputs!$B$1+((Inputs!$G$5:$G$190&lt;&gt;"moeda")*(Inputs!$G$5:$G$190&lt;&gt;"acoes")))*INDEX(Inputs!$K$5:$AJ$190,0,MATCH(AA$2,Inputs!$K$4:$AJ$4,0)))))</f>
        <v>1483.023</v>
      </c>
      <c r="AB60" s="265">
        <f>SUM(X60:AA60)</f>
        <v>5755.71199945</v>
      </c>
      <c r="AC60" s="264">
        <f>IF(ISNA(MATCH(AC$2,Inputs!$K$4:$AJ$4,0)),NA(),IF(SUMPRODUCT((Inputs!$A$5:$A$190=$B60)*ISNUMBER(INDEX(Inputs!$K$5:$AJ$190,0,MATCH(AC$2,Inputs!$K$4:$AJ$4,0))))+SUMPRODUCT((Inputs!$C$5:$C$190=$B60)*ISNUMBER(INDEX(Inputs!$K$5:$AJ$190,0,MATCH(AC$2,Inputs!$K$4:$AJ$4,0))))+SUMPRODUCT((Inputs!$E$5:$E$190=$B60)*ISNUMBER(INDEX(Inputs!$K$5:$AJ$190,0,MATCH(AC$2,Inputs!$K$4:$AJ$4,0))))=0,NA(),SUMPRODUCT((Inputs!$A$5:$A$190=$B60)*Inputs!$B$5:$B$190*(((Inputs!$G$5:$G$190="moeda")+(Inputs!$G$5:$G$190="acoes"))*Inputs!$B$1+((Inputs!$G$5:$G$190&lt;&gt;"moeda")*(Inputs!$G$5:$G$190&lt;&gt;"acoes")))*INDEX(Inputs!$K$5:$AJ$190,0,MATCH(AC$2,Inputs!$K$4:$AJ$4,0)))+SUMPRODUCT((Inputs!$C$5:$C$190=$B60)*Inputs!$D$5:$D$190*(((Inputs!$G$5:$G$190="moeda")+(Inputs!$G$5:$G$190="acoes"))*Inputs!$B$1+((Inputs!$G$5:$G$190&lt;&gt;"moeda")*(Inputs!$G$5:$G$190&lt;&gt;"acoes")))*INDEX(Inputs!$K$5:$AJ$190,0,MATCH(AC$2,Inputs!$K$4:$AJ$4,0)))+SUMPRODUCT((Inputs!$E$5:$E$190=$B60)*Inputs!$F$5:$F$190*(((Inputs!$G$5:$G$190="moeda")+(Inputs!$G$5:$G$190="acoes"))*Inputs!$B$1+((Inputs!$G$5:$G$190&lt;&gt;"moeda")*(Inputs!$G$5:$G$190&lt;&gt;"acoes")))*INDEX(Inputs!$K$5:$AJ$190,0,MATCH(AC$2,Inputs!$K$4:$AJ$4,0)))))</f>
        <v>1620.28983956475</v>
      </c>
      <c r="AD60" s="264">
        <f>IF(ISNA(MATCH(AD$2,Inputs!$K$4:$AJ$4,0)),NA(),IF(SUMPRODUCT((Inputs!$A$5:$A$190=$B60)*ISNUMBER(INDEX(Inputs!$K$5:$AJ$190,0,MATCH(AD$2,Inputs!$K$4:$AJ$4,0))))+SUMPRODUCT((Inputs!$C$5:$C$190=$B60)*ISNUMBER(INDEX(Inputs!$K$5:$AJ$190,0,MATCH(AD$2,Inputs!$K$4:$AJ$4,0))))+SUMPRODUCT((Inputs!$E$5:$E$190=$B60)*ISNUMBER(INDEX(Inputs!$K$5:$AJ$190,0,MATCH(AD$2,Inputs!$K$4:$AJ$4,0))))=0,NA(),SUMPRODUCT((Inputs!$A$5:$A$190=$B60)*Inputs!$B$5:$B$190*(((Inputs!$G$5:$G$190="moeda")+(Inputs!$G$5:$G$190="acoes"))*Inputs!$B$1+((Inputs!$G$5:$G$190&lt;&gt;"moeda")*(Inputs!$G$5:$G$190&lt;&gt;"acoes")))*INDEX(Inputs!$K$5:$AJ$190,0,MATCH(AD$2,Inputs!$K$4:$AJ$4,0)))+SUMPRODUCT((Inputs!$C$5:$C$190=$B60)*Inputs!$D$5:$D$190*(((Inputs!$G$5:$G$190="moeda")+(Inputs!$G$5:$G$190="acoes"))*Inputs!$B$1+((Inputs!$G$5:$G$190&lt;&gt;"moeda")*(Inputs!$G$5:$G$190&lt;&gt;"acoes")))*INDEX(Inputs!$K$5:$AJ$190,0,MATCH(AD$2,Inputs!$K$4:$AJ$4,0)))+SUMPRODUCT((Inputs!$E$5:$E$190=$B60)*Inputs!$F$5:$F$190*(((Inputs!$G$5:$G$190="moeda")+(Inputs!$G$5:$G$190="acoes"))*Inputs!$B$1+((Inputs!$G$5:$G$190&lt;&gt;"moeda")*(Inputs!$G$5:$G$190&lt;&gt;"acoes")))*INDEX(Inputs!$K$5:$AJ$190,0,MATCH(AD$2,Inputs!$K$4:$AJ$4,0)))))</f>
        <v>1564.3051644722</v>
      </c>
      <c r="AE60" s="264" t="e">
        <f>IF(ISNA(MATCH(AE$2,Inputs!$K$4:$AJ$4,0)),NA(),IF(SUMPRODUCT((Inputs!$A$5:$A$190=$B60)*ISNUMBER(INDEX(Inputs!$K$5:$AJ$190,0,MATCH(AE$2,Inputs!$K$4:$AJ$4,0))))+SUMPRODUCT((Inputs!$C$5:$C$190=$B60)*ISNUMBER(INDEX(Inputs!$K$5:$AJ$190,0,MATCH(AE$2,Inputs!$K$4:$AJ$4,0))))+SUMPRODUCT((Inputs!$E$5:$E$190=$B60)*ISNUMBER(INDEX(Inputs!$K$5:$AJ$190,0,MATCH(AE$2,Inputs!$K$4:$AJ$4,0))))=0,NA(),SUMPRODUCT((Inputs!$A$5:$A$190=$B60)*Inputs!$B$5:$B$190*(((Inputs!$G$5:$G$190="moeda")+(Inputs!$G$5:$G$190="acoes"))*Inputs!$B$1+((Inputs!$G$5:$G$190&lt;&gt;"moeda")*(Inputs!$G$5:$G$190&lt;&gt;"acoes")))*INDEX(Inputs!$K$5:$AJ$190,0,MATCH(AE$2,Inputs!$K$4:$AJ$4,0)))+SUMPRODUCT((Inputs!$C$5:$C$190=$B60)*Inputs!$D$5:$D$190*(((Inputs!$G$5:$G$190="moeda")+(Inputs!$G$5:$G$190="acoes"))*Inputs!$B$1+((Inputs!$G$5:$G$190&lt;&gt;"moeda")*(Inputs!$G$5:$G$190&lt;&gt;"acoes")))*INDEX(Inputs!$K$5:$AJ$190,0,MATCH(AE$2,Inputs!$K$4:$AJ$4,0)))+SUMPRODUCT((Inputs!$E$5:$E$190=$B60)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60" s="264" t="e">
        <f>IF(ISNA(MATCH(AF$2,Inputs!$K$4:$AJ$4,0)),NA(),IF(SUMPRODUCT((Inputs!$A$5:$A$190=$B60)*ISNUMBER(INDEX(Inputs!$K$5:$AJ$190,0,MATCH(AF$2,Inputs!$K$4:$AJ$4,0))))+SUMPRODUCT((Inputs!$C$5:$C$190=$B60)*ISNUMBER(INDEX(Inputs!$K$5:$AJ$190,0,MATCH(AF$2,Inputs!$K$4:$AJ$4,0))))+SUMPRODUCT((Inputs!$E$5:$E$190=$B60)*ISNUMBER(INDEX(Inputs!$K$5:$AJ$190,0,MATCH(AF$2,Inputs!$K$4:$AJ$4,0))))=0,NA(),SUMPRODUCT((Inputs!$A$5:$A$190=$B60)*Inputs!$B$5:$B$190*(((Inputs!$G$5:$G$190="moeda")+(Inputs!$G$5:$G$190="acoes"))*Inputs!$B$1+((Inputs!$G$5:$G$190&lt;&gt;"moeda")*(Inputs!$G$5:$G$190&lt;&gt;"acoes")))*INDEX(Inputs!$K$5:$AJ$190,0,MATCH(AF$2,Inputs!$K$4:$AJ$4,0)))+SUMPRODUCT((Inputs!$C$5:$C$190=$B60)*Inputs!$D$5:$D$190*(((Inputs!$G$5:$G$190="moeda")+(Inputs!$G$5:$G$190="acoes"))*Inputs!$B$1+((Inputs!$G$5:$G$190&lt;&gt;"moeda")*(Inputs!$G$5:$G$190&lt;&gt;"acoes")))*INDEX(Inputs!$K$5:$AJ$190,0,MATCH(AF$2,Inputs!$K$4:$AJ$4,0)))+SUMPRODUCT((Inputs!$E$5:$E$190=$B60)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60" s="265" t="e">
        <f>SUM(AC60:AF60)</f>
        <v>#N/A</v>
      </c>
      <c r="AH60" s="264">
        <f>IF(ISNA(MATCH(AH$2,Inputs!$K$4:$AJ$4,0)),NA(),IF(SUMPRODUCT((Inputs!$A$5:$A$190=$B60)*ISNUMBER(INDEX(Inputs!$K$5:$AJ$190,0,MATCH(AH$2,Inputs!$K$4:$AJ$4,0))))+SUMPRODUCT((Inputs!$C$5:$C$190=$B60)*ISNUMBER(INDEX(Inputs!$K$5:$AJ$190,0,MATCH(AH$2,Inputs!$K$4:$AJ$4,0))))+SUMPRODUCT((Inputs!$E$5:$E$190=$B60)*ISNUMBER(INDEX(Inputs!$K$5:$AJ$190,0,MATCH(AH$2,Inputs!$K$4:$AJ$4,0))))=0,NA(),SUMPRODUCT((Inputs!$A$5:$A$190=$B60)*Inputs!$B$5:$B$190*(((Inputs!$G$5:$G$190="moeda")+(Inputs!$G$5:$G$190="acoes"))*Inputs!$B$1+((Inputs!$G$5:$G$190&lt;&gt;"moeda")*(Inputs!$G$5:$G$190&lt;&gt;"acoes")))*INDEX(Inputs!$K$5:$AJ$190,0,MATCH(AH$2,Inputs!$K$4:$AJ$4,0)))+SUMPRODUCT((Inputs!$C$5:$C$190=$B60)*Inputs!$D$5:$D$190*(((Inputs!$G$5:$G$190="moeda")+(Inputs!$G$5:$G$190="acoes"))*Inputs!$B$1+((Inputs!$G$5:$G$190&lt;&gt;"moeda")*(Inputs!$G$5:$G$190&lt;&gt;"acoes")))*INDEX(Inputs!$K$5:$AJ$190,0,MATCH(AH$2,Inputs!$K$4:$AJ$4,0)))+SUMPRODUCT((Inputs!$E$5:$E$190=$B60)*Inputs!$F$5:$F$190*(((Inputs!$G$5:$G$190="moeda")+(Inputs!$G$5:$G$190="acoes"))*Inputs!$B$1+((Inputs!$G$5:$G$190&lt;&gt;"moeda")*(Inputs!$G$5:$G$190&lt;&gt;"acoes")))*INDEX(Inputs!$K$5:$AJ$190,0,MATCH(AH$2,Inputs!$K$4:$AJ$4,0)))))</f>
        <v>204.443941423734</v>
      </c>
      <c r="AI60" s="264">
        <f>IF(ISNA(MATCH(AI$2,Inputs!$K$4:$AJ$4,0)),NA(),IF(SUMPRODUCT((Inputs!$A$5:$A$190=$B60)*ISNUMBER(INDEX(Inputs!$K$5:$AJ$190,0,MATCH(AI$2,Inputs!$K$4:$AJ$4,0))))+SUMPRODUCT((Inputs!$C$5:$C$190=$B60)*ISNUMBER(INDEX(Inputs!$K$5:$AJ$190,0,MATCH(AI$2,Inputs!$K$4:$AJ$4,0))))+SUMPRODUCT((Inputs!$E$5:$E$190=$B60)*ISNUMBER(INDEX(Inputs!$K$5:$AJ$190,0,MATCH(AI$2,Inputs!$K$4:$AJ$4,0))))=0,NA(),SUMPRODUCT((Inputs!$A$5:$A$190=$B60)*Inputs!$B$5:$B$190*(((Inputs!$G$5:$G$190="moeda")+(Inputs!$G$5:$G$190="acoes"))*Inputs!$B$1+((Inputs!$G$5:$G$190&lt;&gt;"moeda")*(Inputs!$G$5:$G$190&lt;&gt;"acoes")))*INDEX(Inputs!$K$5:$AJ$190,0,MATCH(AI$2,Inputs!$K$4:$AJ$4,0)))+SUMPRODUCT((Inputs!$C$5:$C$190=$B60)*Inputs!$D$5:$D$190*(((Inputs!$G$5:$G$190="moeda")+(Inputs!$G$5:$G$190="acoes"))*Inputs!$B$1+((Inputs!$G$5:$G$190&lt;&gt;"moeda")*(Inputs!$G$5:$G$190&lt;&gt;"acoes")))*INDEX(Inputs!$K$5:$AJ$190,0,MATCH(AI$2,Inputs!$K$4:$AJ$4,0)))+SUMPRODUCT((Inputs!$E$5:$E$190=$B60)*Inputs!$F$5:$F$190*(((Inputs!$G$5:$G$190="moeda")+(Inputs!$G$5:$G$190="acoes"))*Inputs!$B$1+((Inputs!$G$5:$G$190&lt;&gt;"moeda")*(Inputs!$G$5:$G$190&lt;&gt;"acoes")))*INDEX(Inputs!$K$5:$AJ$190,0,MATCH(AI$2,Inputs!$K$4:$AJ$4,0)))))</f>
        <v>197.510181426944</v>
      </c>
      <c r="AJ60" s="264">
        <f>IF(ISNA(MATCH(AJ$2,Inputs!$K$4:$AJ$4,0)),NA(),IF(SUMPRODUCT((Inputs!$A$5:$A$190=$B60)*ISNUMBER(INDEX(Inputs!$K$5:$AJ$190,0,MATCH(AJ$2,Inputs!$K$4:$AJ$4,0))))+SUMPRODUCT((Inputs!$C$5:$C$190=$B60)*ISNUMBER(INDEX(Inputs!$K$5:$AJ$190,0,MATCH(AJ$2,Inputs!$K$4:$AJ$4,0))))+SUMPRODUCT((Inputs!$E$5:$E$190=$B60)*ISNUMBER(INDEX(Inputs!$K$5:$AJ$190,0,MATCH(AJ$2,Inputs!$K$4:$AJ$4,0))))=0,NA(),SUMPRODUCT((Inputs!$A$5:$A$190=$B60)*Inputs!$B$5:$B$190*(((Inputs!$G$5:$G$190="moeda")+(Inputs!$G$5:$G$190="acoes"))*Inputs!$B$1+((Inputs!$G$5:$G$190&lt;&gt;"moeda")*(Inputs!$G$5:$G$190&lt;&gt;"acoes")))*INDEX(Inputs!$K$5:$AJ$190,0,MATCH(AJ$2,Inputs!$K$4:$AJ$4,0)))+SUMPRODUCT((Inputs!$C$5:$C$190=$B60)*Inputs!$D$5:$D$190*(((Inputs!$G$5:$G$190="moeda")+(Inputs!$G$5:$G$190="acoes"))*Inputs!$B$1+((Inputs!$G$5:$G$190&lt;&gt;"moeda")*(Inputs!$G$5:$G$190&lt;&gt;"acoes")))*INDEX(Inputs!$K$5:$AJ$190,0,MATCH(AJ$2,Inputs!$K$4:$AJ$4,0)))+SUMPRODUCT((Inputs!$E$5:$E$190=$B60)*Inputs!$F$5:$F$190*(((Inputs!$G$5:$G$190="moeda")+(Inputs!$G$5:$G$190="acoes"))*Inputs!$B$1+((Inputs!$G$5:$G$190&lt;&gt;"moeda")*(Inputs!$G$5:$G$190&lt;&gt;"acoes")))*INDEX(Inputs!$K$5:$AJ$190,0,MATCH(AJ$2,Inputs!$K$4:$AJ$4,0)))))</f>
        <v>223.011405977283</v>
      </c>
      <c r="AK60" s="264">
        <f>IF(ISNA(MATCH(AK$2,Inputs!$K$4:$AJ$4,0)),NA(),IF(SUMPRODUCT((Inputs!$A$5:$A$190=$B60)*ISNUMBER(INDEX(Inputs!$K$5:$AJ$190,0,MATCH(AK$2,Inputs!$K$4:$AJ$4,0))))+SUMPRODUCT((Inputs!$C$5:$C$190=$B60)*ISNUMBER(INDEX(Inputs!$K$5:$AJ$190,0,MATCH(AK$2,Inputs!$K$4:$AJ$4,0))))+SUMPRODUCT((Inputs!$E$5:$E$190=$B60)*ISNUMBER(INDEX(Inputs!$K$5:$AJ$190,0,MATCH(AK$2,Inputs!$K$4:$AJ$4,0))))=0,NA(),SUMPRODUCT((Inputs!$A$5:$A$190=$B60)*Inputs!$B$5:$B$190*(((Inputs!$G$5:$G$190="moeda")+(Inputs!$G$5:$G$190="acoes"))*Inputs!$B$1+((Inputs!$G$5:$G$190&lt;&gt;"moeda")*(Inputs!$G$5:$G$190&lt;&gt;"acoes")))*INDEX(Inputs!$K$5:$AJ$190,0,MATCH(AK$2,Inputs!$K$4:$AJ$4,0)))+SUMPRODUCT((Inputs!$C$5:$C$190=$B60)*Inputs!$D$5:$D$190*(((Inputs!$G$5:$G$190="moeda")+(Inputs!$G$5:$G$190="acoes"))*Inputs!$B$1+((Inputs!$G$5:$G$190&lt;&gt;"moeda")*(Inputs!$G$5:$G$190&lt;&gt;"acoes")))*INDEX(Inputs!$K$5:$AJ$190,0,MATCH(AK$2,Inputs!$K$4:$AJ$4,0)))+SUMPRODUCT((Inputs!$E$5:$E$190=$B60)*Inputs!$F$5:$F$190*(((Inputs!$G$5:$G$190="moeda")+(Inputs!$G$5:$G$190="acoes"))*Inputs!$B$1+((Inputs!$G$5:$G$190&lt;&gt;"moeda")*(Inputs!$G$5:$G$190&lt;&gt;"acoes")))*INDEX(Inputs!$K$5:$AJ$190,0,MATCH(AK$2,Inputs!$K$4:$AJ$4,0)))))</f>
        <v>253.478152659935</v>
      </c>
      <c r="AL60" s="265">
        <f>SUM(AH60:AK60)</f>
        <v>878.443681487896</v>
      </c>
    </row>
    <row r="61">
      <c r="B61" s="46" t="n">
        <v>53</v>
      </c>
      <c r="C61" s="29" t="inlineStr">
        <is>
          <t>Receita liquida de servicos de locacao - Vamos (1T23+: l.23 SIMPAR; 1T20-4T22: planilha antiga Vamos l.66)</t>
        </is>
      </c>
      <c r="D61" s="264">
        <f>IF(ISNA(MATCH(D$2,Inputs!$K$4:$AJ$4,0)),NA(),IF(SUMPRODUCT((Inputs!$A$5:$A$190=$B61)*ISNUMBER(INDEX(Inputs!$K$5:$AJ$190,0,MATCH(D$2,Inputs!$K$4:$AJ$4,0))))+SUMPRODUCT((Inputs!$C$5:$C$190=$B61)*ISNUMBER(INDEX(Inputs!$K$5:$AJ$190,0,MATCH(D$2,Inputs!$K$4:$AJ$4,0))))+SUMPRODUCT((Inputs!$E$5:$E$190=$B61)*ISNUMBER(INDEX(Inputs!$K$5:$AJ$190,0,MATCH(D$2,Inputs!$K$4:$AJ$4,0))))=0,NA(),SUMPRODUCT((Inputs!$A$5:$A$190=$B61)*Inputs!$B$5:$B$190*(((Inputs!$G$5:$G$190="moeda")+(Inputs!$G$5:$G$190="acoes"))*Inputs!$B$1+((Inputs!$G$5:$G$190&lt;&gt;"moeda")*(Inputs!$G$5:$G$190&lt;&gt;"acoes")))*INDEX(Inputs!$K$5:$AJ$190,0,MATCH(D$2,Inputs!$K$4:$AJ$4,0)))+SUMPRODUCT((Inputs!$C$5:$C$190=$B61)*Inputs!$D$5:$D$190*(((Inputs!$G$5:$G$190="moeda")+(Inputs!$G$5:$G$190="acoes"))*Inputs!$B$1+((Inputs!$G$5:$G$190&lt;&gt;"moeda")*(Inputs!$G$5:$G$190&lt;&gt;"acoes")))*INDEX(Inputs!$K$5:$AJ$190,0,MATCH(D$2,Inputs!$K$4:$AJ$4,0)))+SUMPRODUCT((Inputs!$E$5:$E$190=$B61)*Inputs!$F$5:$F$190*(((Inputs!$G$5:$G$190="moeda")+(Inputs!$G$5:$G$190="acoes"))*Inputs!$B$1+((Inputs!$G$5:$G$190&lt;&gt;"moeda")*(Inputs!$G$5:$G$190&lt;&gt;"acoes")))*INDEX(Inputs!$K$5:$AJ$190,0,MATCH(D$2,Inputs!$K$4:$AJ$4,0)))))</f>
        <v>199.18427502</v>
      </c>
      <c r="E61" s="264">
        <f>IF(ISNA(MATCH(E$2,Inputs!$K$4:$AJ$4,0)),NA(),IF(SUMPRODUCT((Inputs!$A$5:$A$190=$B61)*ISNUMBER(INDEX(Inputs!$K$5:$AJ$190,0,MATCH(E$2,Inputs!$K$4:$AJ$4,0))))+SUMPRODUCT((Inputs!$C$5:$C$190=$B61)*ISNUMBER(INDEX(Inputs!$K$5:$AJ$190,0,MATCH(E$2,Inputs!$K$4:$AJ$4,0))))+SUMPRODUCT((Inputs!$E$5:$E$190=$B61)*ISNUMBER(INDEX(Inputs!$K$5:$AJ$190,0,MATCH(E$2,Inputs!$K$4:$AJ$4,0))))=0,NA(),SUMPRODUCT((Inputs!$A$5:$A$190=$B61)*Inputs!$B$5:$B$190*(((Inputs!$G$5:$G$190="moeda")+(Inputs!$G$5:$G$190="acoes"))*Inputs!$B$1+((Inputs!$G$5:$G$190&lt;&gt;"moeda")*(Inputs!$G$5:$G$190&lt;&gt;"acoes")))*INDEX(Inputs!$K$5:$AJ$190,0,MATCH(E$2,Inputs!$K$4:$AJ$4,0)))+SUMPRODUCT((Inputs!$C$5:$C$190=$B61)*Inputs!$D$5:$D$190*(((Inputs!$G$5:$G$190="moeda")+(Inputs!$G$5:$G$190="acoes"))*Inputs!$B$1+((Inputs!$G$5:$G$190&lt;&gt;"moeda")*(Inputs!$G$5:$G$190&lt;&gt;"acoes")))*INDEX(Inputs!$K$5:$AJ$190,0,MATCH(E$2,Inputs!$K$4:$AJ$4,0)))+SUMPRODUCT((Inputs!$E$5:$E$190=$B61)*Inputs!$F$5:$F$190*(((Inputs!$G$5:$G$190="moeda")+(Inputs!$G$5:$G$190="acoes"))*Inputs!$B$1+((Inputs!$G$5:$G$190&lt;&gt;"moeda")*(Inputs!$G$5:$G$190&lt;&gt;"acoes")))*INDEX(Inputs!$K$5:$AJ$190,0,MATCH(E$2,Inputs!$K$4:$AJ$4,0)))))</f>
        <v>225.10853423</v>
      </c>
      <c r="F61" s="264">
        <f>IF(ISNA(MATCH(F$2,Inputs!$K$4:$AJ$4,0)),NA(),IF(SUMPRODUCT((Inputs!$A$5:$A$190=$B61)*ISNUMBER(INDEX(Inputs!$K$5:$AJ$190,0,MATCH(F$2,Inputs!$K$4:$AJ$4,0))))+SUMPRODUCT((Inputs!$C$5:$C$190=$B61)*ISNUMBER(INDEX(Inputs!$K$5:$AJ$190,0,MATCH(F$2,Inputs!$K$4:$AJ$4,0))))+SUMPRODUCT((Inputs!$E$5:$E$190=$B61)*ISNUMBER(INDEX(Inputs!$K$5:$AJ$190,0,MATCH(F$2,Inputs!$K$4:$AJ$4,0))))=0,NA(),SUMPRODUCT((Inputs!$A$5:$A$190=$B61)*Inputs!$B$5:$B$190*(((Inputs!$G$5:$G$190="moeda")+(Inputs!$G$5:$G$190="acoes"))*Inputs!$B$1+((Inputs!$G$5:$G$190&lt;&gt;"moeda")*(Inputs!$G$5:$G$190&lt;&gt;"acoes")))*INDEX(Inputs!$K$5:$AJ$190,0,MATCH(F$2,Inputs!$K$4:$AJ$4,0)))+SUMPRODUCT((Inputs!$C$5:$C$190=$B61)*Inputs!$D$5:$D$190*(((Inputs!$G$5:$G$190="moeda")+(Inputs!$G$5:$G$190="acoes"))*Inputs!$B$1+((Inputs!$G$5:$G$190&lt;&gt;"moeda")*(Inputs!$G$5:$G$190&lt;&gt;"acoes")))*INDEX(Inputs!$K$5:$AJ$190,0,MATCH(F$2,Inputs!$K$4:$AJ$4,0)))+SUMPRODUCT((Inputs!$E$5:$E$190=$B61)*Inputs!$F$5:$F$190*(((Inputs!$G$5:$G$190="moeda")+(Inputs!$G$5:$G$190="acoes"))*Inputs!$B$1+((Inputs!$G$5:$G$190&lt;&gt;"moeda")*(Inputs!$G$5:$G$190&lt;&gt;"acoes")))*INDEX(Inputs!$K$5:$AJ$190,0,MATCH(F$2,Inputs!$K$4:$AJ$4,0)))))</f>
        <v>250.832697830001</v>
      </c>
      <c r="G61" s="264">
        <f>IF(ISNA(MATCH(G$2,Inputs!$K$4:$AJ$4,0)),NA(),IF(SUMPRODUCT((Inputs!$A$5:$A$190=$B61)*ISNUMBER(INDEX(Inputs!$K$5:$AJ$190,0,MATCH(G$2,Inputs!$K$4:$AJ$4,0))))+SUMPRODUCT((Inputs!$C$5:$C$190=$B61)*ISNUMBER(INDEX(Inputs!$K$5:$AJ$190,0,MATCH(G$2,Inputs!$K$4:$AJ$4,0))))+SUMPRODUCT((Inputs!$E$5:$E$190=$B61)*ISNUMBER(INDEX(Inputs!$K$5:$AJ$190,0,MATCH(G$2,Inputs!$K$4:$AJ$4,0))))=0,NA(),SUMPRODUCT((Inputs!$A$5:$A$190=$B61)*Inputs!$B$5:$B$190*(((Inputs!$G$5:$G$190="moeda")+(Inputs!$G$5:$G$190="acoes"))*Inputs!$B$1+((Inputs!$G$5:$G$190&lt;&gt;"moeda")*(Inputs!$G$5:$G$190&lt;&gt;"acoes")))*INDEX(Inputs!$K$5:$AJ$190,0,MATCH(G$2,Inputs!$K$4:$AJ$4,0)))+SUMPRODUCT((Inputs!$C$5:$C$190=$B61)*Inputs!$D$5:$D$190*(((Inputs!$G$5:$G$190="moeda")+(Inputs!$G$5:$G$190="acoes"))*Inputs!$B$1+((Inputs!$G$5:$G$190&lt;&gt;"moeda")*(Inputs!$G$5:$G$190&lt;&gt;"acoes")))*INDEX(Inputs!$K$5:$AJ$190,0,MATCH(G$2,Inputs!$K$4:$AJ$4,0)))+SUMPRODUCT((Inputs!$E$5:$E$190=$B61)*Inputs!$F$5:$F$190*(((Inputs!$G$5:$G$190="moeda")+(Inputs!$G$5:$G$190="acoes"))*Inputs!$B$1+((Inputs!$G$5:$G$190&lt;&gt;"moeda")*(Inputs!$G$5:$G$190&lt;&gt;"acoes")))*INDEX(Inputs!$K$5:$AJ$190,0,MATCH(G$2,Inputs!$K$4:$AJ$4,0)))))</f>
        <v>278.68327376</v>
      </c>
      <c r="H61" s="265">
        <f>SUM(D61:G61)</f>
        <v>953.808780840001</v>
      </c>
      <c r="I61" s="264">
        <f>IF(ISNA(MATCH(I$2,Inputs!$K$4:$AJ$4,0)),NA(),IF(SUMPRODUCT((Inputs!$A$5:$A$190=$B61)*ISNUMBER(INDEX(Inputs!$K$5:$AJ$190,0,MATCH(I$2,Inputs!$K$4:$AJ$4,0))))+SUMPRODUCT((Inputs!$C$5:$C$190=$B61)*ISNUMBER(INDEX(Inputs!$K$5:$AJ$190,0,MATCH(I$2,Inputs!$K$4:$AJ$4,0))))+SUMPRODUCT((Inputs!$E$5:$E$190=$B61)*ISNUMBER(INDEX(Inputs!$K$5:$AJ$190,0,MATCH(I$2,Inputs!$K$4:$AJ$4,0))))=0,NA(),SUMPRODUCT((Inputs!$A$5:$A$190=$B61)*Inputs!$B$5:$B$190*(((Inputs!$G$5:$G$190="moeda")+(Inputs!$G$5:$G$190="acoes"))*Inputs!$B$1+((Inputs!$G$5:$G$190&lt;&gt;"moeda")*(Inputs!$G$5:$G$190&lt;&gt;"acoes")))*INDEX(Inputs!$K$5:$AJ$190,0,MATCH(I$2,Inputs!$K$4:$AJ$4,0)))+SUMPRODUCT((Inputs!$C$5:$C$190=$B61)*Inputs!$D$5:$D$190*(((Inputs!$G$5:$G$190="moeda")+(Inputs!$G$5:$G$190="acoes"))*Inputs!$B$1+((Inputs!$G$5:$G$190&lt;&gt;"moeda")*(Inputs!$G$5:$G$190&lt;&gt;"acoes")))*INDEX(Inputs!$K$5:$AJ$190,0,MATCH(I$2,Inputs!$K$4:$AJ$4,0)))+SUMPRODUCT((Inputs!$E$5:$E$190=$B61)*Inputs!$F$5:$F$190*(((Inputs!$G$5:$G$190="moeda")+(Inputs!$G$5:$G$190="acoes"))*Inputs!$B$1+((Inputs!$G$5:$G$190&lt;&gt;"moeda")*(Inputs!$G$5:$G$190&lt;&gt;"acoes")))*INDEX(Inputs!$K$5:$AJ$190,0,MATCH(I$2,Inputs!$K$4:$AJ$4,0)))))</f>
        <v>306.1590249</v>
      </c>
      <c r="J61" s="264">
        <f>IF(ISNA(MATCH(J$2,Inputs!$K$4:$AJ$4,0)),NA(),IF(SUMPRODUCT((Inputs!$A$5:$A$190=$B61)*ISNUMBER(INDEX(Inputs!$K$5:$AJ$190,0,MATCH(J$2,Inputs!$K$4:$AJ$4,0))))+SUMPRODUCT((Inputs!$C$5:$C$190=$B61)*ISNUMBER(INDEX(Inputs!$K$5:$AJ$190,0,MATCH(J$2,Inputs!$K$4:$AJ$4,0))))+SUMPRODUCT((Inputs!$E$5:$E$190=$B61)*ISNUMBER(INDEX(Inputs!$K$5:$AJ$190,0,MATCH(J$2,Inputs!$K$4:$AJ$4,0))))=0,NA(),SUMPRODUCT((Inputs!$A$5:$A$190=$B61)*Inputs!$B$5:$B$190*(((Inputs!$G$5:$G$190="moeda")+(Inputs!$G$5:$G$190="acoes"))*Inputs!$B$1+((Inputs!$G$5:$G$190&lt;&gt;"moeda")*(Inputs!$G$5:$G$190&lt;&gt;"acoes")))*INDEX(Inputs!$K$5:$AJ$190,0,MATCH(J$2,Inputs!$K$4:$AJ$4,0)))+SUMPRODUCT((Inputs!$C$5:$C$190=$B61)*Inputs!$D$5:$D$190*(((Inputs!$G$5:$G$190="moeda")+(Inputs!$G$5:$G$190="acoes"))*Inputs!$B$1+((Inputs!$G$5:$G$190&lt;&gt;"moeda")*(Inputs!$G$5:$G$190&lt;&gt;"acoes")))*INDEX(Inputs!$K$5:$AJ$190,0,MATCH(J$2,Inputs!$K$4:$AJ$4,0)))+SUMPRODUCT((Inputs!$E$5:$E$190=$B61)*Inputs!$F$5:$F$190*(((Inputs!$G$5:$G$190="moeda")+(Inputs!$G$5:$G$190="acoes"))*Inputs!$B$1+((Inputs!$G$5:$G$190&lt;&gt;"moeda")*(Inputs!$G$5:$G$190&lt;&gt;"acoes")))*INDEX(Inputs!$K$5:$AJ$190,0,MATCH(J$2,Inputs!$K$4:$AJ$4,0)))))</f>
        <v>383.46406758</v>
      </c>
      <c r="K61" s="264">
        <f>IF(ISNA(MATCH(K$2,Inputs!$K$4:$AJ$4,0)),NA(),IF(SUMPRODUCT((Inputs!$A$5:$A$190=$B61)*ISNUMBER(INDEX(Inputs!$K$5:$AJ$190,0,MATCH(K$2,Inputs!$K$4:$AJ$4,0))))+SUMPRODUCT((Inputs!$C$5:$C$190=$B61)*ISNUMBER(INDEX(Inputs!$K$5:$AJ$190,0,MATCH(K$2,Inputs!$K$4:$AJ$4,0))))+SUMPRODUCT((Inputs!$E$5:$E$190=$B61)*ISNUMBER(INDEX(Inputs!$K$5:$AJ$190,0,MATCH(K$2,Inputs!$K$4:$AJ$4,0))))=0,NA(),SUMPRODUCT((Inputs!$A$5:$A$190=$B61)*Inputs!$B$5:$B$190*(((Inputs!$G$5:$G$190="moeda")+(Inputs!$G$5:$G$190="acoes"))*Inputs!$B$1+((Inputs!$G$5:$G$190&lt;&gt;"moeda")*(Inputs!$G$5:$G$190&lt;&gt;"acoes")))*INDEX(Inputs!$K$5:$AJ$190,0,MATCH(K$2,Inputs!$K$4:$AJ$4,0)))+SUMPRODUCT((Inputs!$C$5:$C$190=$B61)*Inputs!$D$5:$D$190*(((Inputs!$G$5:$G$190="moeda")+(Inputs!$G$5:$G$190="acoes"))*Inputs!$B$1+((Inputs!$G$5:$G$190&lt;&gt;"moeda")*(Inputs!$G$5:$G$190&lt;&gt;"acoes")))*INDEX(Inputs!$K$5:$AJ$190,0,MATCH(K$2,Inputs!$K$4:$AJ$4,0)))+SUMPRODUCT((Inputs!$E$5:$E$190=$B61)*Inputs!$F$5:$F$190*(((Inputs!$G$5:$G$190="moeda")+(Inputs!$G$5:$G$190="acoes"))*Inputs!$B$1+((Inputs!$G$5:$G$190&lt;&gt;"moeda")*(Inputs!$G$5:$G$190&lt;&gt;"acoes")))*INDEX(Inputs!$K$5:$AJ$190,0,MATCH(K$2,Inputs!$K$4:$AJ$4,0)))))</f>
        <v>435.80483879</v>
      </c>
      <c r="L61" s="264">
        <f>IF(ISNA(MATCH(L$2,Inputs!$K$4:$AJ$4,0)),NA(),IF(SUMPRODUCT((Inputs!$A$5:$A$190=$B61)*ISNUMBER(INDEX(Inputs!$K$5:$AJ$190,0,MATCH(L$2,Inputs!$K$4:$AJ$4,0))))+SUMPRODUCT((Inputs!$C$5:$C$190=$B61)*ISNUMBER(INDEX(Inputs!$K$5:$AJ$190,0,MATCH(L$2,Inputs!$K$4:$AJ$4,0))))+SUMPRODUCT((Inputs!$E$5:$E$190=$B61)*ISNUMBER(INDEX(Inputs!$K$5:$AJ$190,0,MATCH(L$2,Inputs!$K$4:$AJ$4,0))))=0,NA(),SUMPRODUCT((Inputs!$A$5:$A$190=$B61)*Inputs!$B$5:$B$190*(((Inputs!$G$5:$G$190="moeda")+(Inputs!$G$5:$G$190="acoes"))*Inputs!$B$1+((Inputs!$G$5:$G$190&lt;&gt;"moeda")*(Inputs!$G$5:$G$190&lt;&gt;"acoes")))*INDEX(Inputs!$K$5:$AJ$190,0,MATCH(L$2,Inputs!$K$4:$AJ$4,0)))+SUMPRODUCT((Inputs!$C$5:$C$190=$B61)*Inputs!$D$5:$D$190*(((Inputs!$G$5:$G$190="moeda")+(Inputs!$G$5:$G$190="acoes"))*Inputs!$B$1+((Inputs!$G$5:$G$190&lt;&gt;"moeda")*(Inputs!$G$5:$G$190&lt;&gt;"acoes")))*INDEX(Inputs!$K$5:$AJ$190,0,MATCH(L$2,Inputs!$K$4:$AJ$4,0)))+SUMPRODUCT((Inputs!$E$5:$E$190=$B61)*Inputs!$F$5:$F$190*(((Inputs!$G$5:$G$190="moeda")+(Inputs!$G$5:$G$190="acoes"))*Inputs!$B$1+((Inputs!$G$5:$G$190&lt;&gt;"moeda")*(Inputs!$G$5:$G$190&lt;&gt;"acoes")))*INDEX(Inputs!$K$5:$AJ$190,0,MATCH(L$2,Inputs!$K$4:$AJ$4,0)))))</f>
        <v>511.047032230088</v>
      </c>
      <c r="M61" s="265">
        <f>SUM(I61:L61)</f>
        <v>1636.47496350009</v>
      </c>
      <c r="N61" s="264">
        <f>IF(ISNA(MATCH(N$2,Inputs!$K$4:$AJ$4,0)),NA(),IF(SUMPRODUCT((Inputs!$A$5:$A$190=$B61)*ISNUMBER(INDEX(Inputs!$K$5:$AJ$190,0,MATCH(N$2,Inputs!$K$4:$AJ$4,0))))+SUMPRODUCT((Inputs!$C$5:$C$190=$B61)*ISNUMBER(INDEX(Inputs!$K$5:$AJ$190,0,MATCH(N$2,Inputs!$K$4:$AJ$4,0))))+SUMPRODUCT((Inputs!$E$5:$E$190=$B61)*ISNUMBER(INDEX(Inputs!$K$5:$AJ$190,0,MATCH(N$2,Inputs!$K$4:$AJ$4,0))))=0,NA(),SUMPRODUCT((Inputs!$A$5:$A$190=$B61)*Inputs!$B$5:$B$190*(((Inputs!$G$5:$G$190="moeda")+(Inputs!$G$5:$G$190="acoes"))*Inputs!$B$1+((Inputs!$G$5:$G$190&lt;&gt;"moeda")*(Inputs!$G$5:$G$190&lt;&gt;"acoes")))*INDEX(Inputs!$K$5:$AJ$190,0,MATCH(N$2,Inputs!$K$4:$AJ$4,0)))+SUMPRODUCT((Inputs!$C$5:$C$190=$B61)*Inputs!$D$5:$D$190*(((Inputs!$G$5:$G$190="moeda")+(Inputs!$G$5:$G$190="acoes"))*Inputs!$B$1+((Inputs!$G$5:$G$190&lt;&gt;"moeda")*(Inputs!$G$5:$G$190&lt;&gt;"acoes")))*INDEX(Inputs!$K$5:$AJ$190,0,MATCH(N$2,Inputs!$K$4:$AJ$4,0)))+SUMPRODUCT((Inputs!$E$5:$E$190=$B61)*Inputs!$F$5:$F$190*(((Inputs!$G$5:$G$190="moeda")+(Inputs!$G$5:$G$190="acoes"))*Inputs!$B$1+((Inputs!$G$5:$G$190&lt;&gt;"moeda")*(Inputs!$G$5:$G$190&lt;&gt;"acoes")))*INDEX(Inputs!$K$5:$AJ$190,0,MATCH(N$2,Inputs!$K$4:$AJ$4,0)))))</f>
        <v>595.69433335</v>
      </c>
      <c r="O61" s="264">
        <f>IF(ISNA(MATCH(O$2,Inputs!$K$4:$AJ$4,0)),NA(),IF(SUMPRODUCT((Inputs!$A$5:$A$190=$B61)*ISNUMBER(INDEX(Inputs!$K$5:$AJ$190,0,MATCH(O$2,Inputs!$K$4:$AJ$4,0))))+SUMPRODUCT((Inputs!$C$5:$C$190=$B61)*ISNUMBER(INDEX(Inputs!$K$5:$AJ$190,0,MATCH(O$2,Inputs!$K$4:$AJ$4,0))))+SUMPRODUCT((Inputs!$E$5:$E$190=$B61)*ISNUMBER(INDEX(Inputs!$K$5:$AJ$190,0,MATCH(O$2,Inputs!$K$4:$AJ$4,0))))=0,NA(),SUMPRODUCT((Inputs!$A$5:$A$190=$B61)*Inputs!$B$5:$B$190*(((Inputs!$G$5:$G$190="moeda")+(Inputs!$G$5:$G$190="acoes"))*Inputs!$B$1+((Inputs!$G$5:$G$190&lt;&gt;"moeda")*(Inputs!$G$5:$G$190&lt;&gt;"acoes")))*INDEX(Inputs!$K$5:$AJ$190,0,MATCH(O$2,Inputs!$K$4:$AJ$4,0)))+SUMPRODUCT((Inputs!$C$5:$C$190=$B61)*Inputs!$D$5:$D$190*(((Inputs!$G$5:$G$190="moeda")+(Inputs!$G$5:$G$190="acoes"))*Inputs!$B$1+((Inputs!$G$5:$G$190&lt;&gt;"moeda")*(Inputs!$G$5:$G$190&lt;&gt;"acoes")))*INDEX(Inputs!$K$5:$AJ$190,0,MATCH(O$2,Inputs!$K$4:$AJ$4,0)))+SUMPRODUCT((Inputs!$E$5:$E$190=$B61)*Inputs!$F$5:$F$190*(((Inputs!$G$5:$G$190="moeda")+(Inputs!$G$5:$G$190="acoes"))*Inputs!$B$1+((Inputs!$G$5:$G$190&lt;&gt;"moeda")*(Inputs!$G$5:$G$190&lt;&gt;"acoes")))*INDEX(Inputs!$K$5:$AJ$190,0,MATCH(O$2,Inputs!$K$4:$AJ$4,0)))))</f>
        <v>656.33666665</v>
      </c>
      <c r="P61" s="264">
        <f>IF(ISNA(MATCH(P$2,Inputs!$K$4:$AJ$4,0)),NA(),IF(SUMPRODUCT((Inputs!$A$5:$A$190=$B61)*ISNUMBER(INDEX(Inputs!$K$5:$AJ$190,0,MATCH(P$2,Inputs!$K$4:$AJ$4,0))))+SUMPRODUCT((Inputs!$C$5:$C$190=$B61)*ISNUMBER(INDEX(Inputs!$K$5:$AJ$190,0,MATCH(P$2,Inputs!$K$4:$AJ$4,0))))+SUMPRODUCT((Inputs!$E$5:$E$190=$B61)*ISNUMBER(INDEX(Inputs!$K$5:$AJ$190,0,MATCH(P$2,Inputs!$K$4:$AJ$4,0))))=0,NA(),SUMPRODUCT((Inputs!$A$5:$A$190=$B61)*Inputs!$B$5:$B$190*(((Inputs!$G$5:$G$190="moeda")+(Inputs!$G$5:$G$190="acoes"))*Inputs!$B$1+((Inputs!$G$5:$G$190&lt;&gt;"moeda")*(Inputs!$G$5:$G$190&lt;&gt;"acoes")))*INDEX(Inputs!$K$5:$AJ$190,0,MATCH(P$2,Inputs!$K$4:$AJ$4,0)))+SUMPRODUCT((Inputs!$C$5:$C$190=$B61)*Inputs!$D$5:$D$190*(((Inputs!$G$5:$G$190="moeda")+(Inputs!$G$5:$G$190="acoes"))*Inputs!$B$1+((Inputs!$G$5:$G$190&lt;&gt;"moeda")*(Inputs!$G$5:$G$190&lt;&gt;"acoes")))*INDEX(Inputs!$K$5:$AJ$190,0,MATCH(P$2,Inputs!$K$4:$AJ$4,0)))+SUMPRODUCT((Inputs!$E$5:$E$190=$B61)*Inputs!$F$5:$F$190*(((Inputs!$G$5:$G$190="moeda")+(Inputs!$G$5:$G$190="acoes"))*Inputs!$B$1+((Inputs!$G$5:$G$190&lt;&gt;"moeda")*(Inputs!$G$5:$G$190&lt;&gt;"acoes")))*INDEX(Inputs!$K$5:$AJ$190,0,MATCH(P$2,Inputs!$K$4:$AJ$4,0)))))</f>
        <v>700.141</v>
      </c>
      <c r="Q61" s="264">
        <f>IF(ISNA(MATCH(Q$2,Inputs!$K$4:$AJ$4,0)),NA(),IF(SUMPRODUCT((Inputs!$A$5:$A$190=$B61)*ISNUMBER(INDEX(Inputs!$K$5:$AJ$190,0,MATCH(Q$2,Inputs!$K$4:$AJ$4,0))))+SUMPRODUCT((Inputs!$C$5:$C$190=$B61)*ISNUMBER(INDEX(Inputs!$K$5:$AJ$190,0,MATCH(Q$2,Inputs!$K$4:$AJ$4,0))))+SUMPRODUCT((Inputs!$E$5:$E$190=$B61)*ISNUMBER(INDEX(Inputs!$K$5:$AJ$190,0,MATCH(Q$2,Inputs!$K$4:$AJ$4,0))))=0,NA(),SUMPRODUCT((Inputs!$A$5:$A$190=$B61)*Inputs!$B$5:$B$190*(((Inputs!$G$5:$G$190="moeda")+(Inputs!$G$5:$G$190="acoes"))*Inputs!$B$1+((Inputs!$G$5:$G$190&lt;&gt;"moeda")*(Inputs!$G$5:$G$190&lt;&gt;"acoes")))*INDEX(Inputs!$K$5:$AJ$190,0,MATCH(Q$2,Inputs!$K$4:$AJ$4,0)))+SUMPRODUCT((Inputs!$C$5:$C$190=$B61)*Inputs!$D$5:$D$190*(((Inputs!$G$5:$G$190="moeda")+(Inputs!$G$5:$G$190="acoes"))*Inputs!$B$1+((Inputs!$G$5:$G$190&lt;&gt;"moeda")*(Inputs!$G$5:$G$190&lt;&gt;"acoes")))*INDEX(Inputs!$K$5:$AJ$190,0,MATCH(Q$2,Inputs!$K$4:$AJ$4,0)))+SUMPRODUCT((Inputs!$E$5:$E$190=$B61)*Inputs!$F$5:$F$190*(((Inputs!$G$5:$G$190="moeda")+(Inputs!$G$5:$G$190="acoes"))*Inputs!$B$1+((Inputs!$G$5:$G$190&lt;&gt;"moeda")*(Inputs!$G$5:$G$190&lt;&gt;"acoes")))*INDEX(Inputs!$K$5:$AJ$190,0,MATCH(Q$2,Inputs!$K$4:$AJ$4,0)))))</f>
        <v>773.89295826</v>
      </c>
      <c r="R61" s="265">
        <f>SUM(N61:Q61)</f>
        <v>2726.06495826</v>
      </c>
      <c r="S61" s="264">
        <f>IF(ISNA(MATCH(S$2,Inputs!$K$4:$AJ$4,0)),NA(),IF(SUMPRODUCT((Inputs!$A$5:$A$190=$B61)*ISNUMBER(INDEX(Inputs!$K$5:$AJ$190,0,MATCH(S$2,Inputs!$K$4:$AJ$4,0))))+SUMPRODUCT((Inputs!$C$5:$C$190=$B61)*ISNUMBER(INDEX(Inputs!$K$5:$AJ$190,0,MATCH(S$2,Inputs!$K$4:$AJ$4,0))))+SUMPRODUCT((Inputs!$E$5:$E$190=$B61)*ISNUMBER(INDEX(Inputs!$K$5:$AJ$190,0,MATCH(S$2,Inputs!$K$4:$AJ$4,0))))=0,NA(),SUMPRODUCT((Inputs!$A$5:$A$190=$B61)*Inputs!$B$5:$B$190*(((Inputs!$G$5:$G$190="moeda")+(Inputs!$G$5:$G$190="acoes"))*Inputs!$B$1+((Inputs!$G$5:$G$190&lt;&gt;"moeda")*(Inputs!$G$5:$G$190&lt;&gt;"acoes")))*INDEX(Inputs!$K$5:$AJ$190,0,MATCH(S$2,Inputs!$K$4:$AJ$4,0)))+SUMPRODUCT((Inputs!$C$5:$C$190=$B61)*Inputs!$D$5:$D$190*(((Inputs!$G$5:$G$190="moeda")+(Inputs!$G$5:$G$190="acoes"))*Inputs!$B$1+((Inputs!$G$5:$G$190&lt;&gt;"moeda")*(Inputs!$G$5:$G$190&lt;&gt;"acoes")))*INDEX(Inputs!$K$5:$AJ$190,0,MATCH(S$2,Inputs!$K$4:$AJ$4,0)))+SUMPRODUCT((Inputs!$E$5:$E$190=$B61)*Inputs!$F$5:$F$190*(((Inputs!$G$5:$G$190="moeda")+(Inputs!$G$5:$G$190="acoes"))*Inputs!$B$1+((Inputs!$G$5:$G$190&lt;&gt;"moeda")*(Inputs!$G$5:$G$190&lt;&gt;"acoes")))*INDEX(Inputs!$K$5:$AJ$190,0,MATCH(S$2,Inputs!$K$4:$AJ$4,0)))))</f>
        <v>838.378</v>
      </c>
      <c r="T61" s="264">
        <f>IF(ISNA(MATCH(T$2,Inputs!$K$4:$AJ$4,0)),NA(),IF(SUMPRODUCT((Inputs!$A$5:$A$190=$B61)*ISNUMBER(INDEX(Inputs!$K$5:$AJ$190,0,MATCH(T$2,Inputs!$K$4:$AJ$4,0))))+SUMPRODUCT((Inputs!$C$5:$C$190=$B61)*ISNUMBER(INDEX(Inputs!$K$5:$AJ$190,0,MATCH(T$2,Inputs!$K$4:$AJ$4,0))))+SUMPRODUCT((Inputs!$E$5:$E$190=$B61)*ISNUMBER(INDEX(Inputs!$K$5:$AJ$190,0,MATCH(T$2,Inputs!$K$4:$AJ$4,0))))=0,NA(),SUMPRODUCT((Inputs!$A$5:$A$190=$B61)*Inputs!$B$5:$B$190*(((Inputs!$G$5:$G$190="moeda")+(Inputs!$G$5:$G$190="acoes"))*Inputs!$B$1+((Inputs!$G$5:$G$190&lt;&gt;"moeda")*(Inputs!$G$5:$G$190&lt;&gt;"acoes")))*INDEX(Inputs!$K$5:$AJ$190,0,MATCH(T$2,Inputs!$K$4:$AJ$4,0)))+SUMPRODUCT((Inputs!$C$5:$C$190=$B61)*Inputs!$D$5:$D$190*(((Inputs!$G$5:$G$190="moeda")+(Inputs!$G$5:$G$190="acoes"))*Inputs!$B$1+((Inputs!$G$5:$G$190&lt;&gt;"moeda")*(Inputs!$G$5:$G$190&lt;&gt;"acoes")))*INDEX(Inputs!$K$5:$AJ$190,0,MATCH(T$2,Inputs!$K$4:$AJ$4,0)))+SUMPRODUCT((Inputs!$E$5:$E$190=$B61)*Inputs!$F$5:$F$190*(((Inputs!$G$5:$G$190="moeda")+(Inputs!$G$5:$G$190="acoes"))*Inputs!$B$1+((Inputs!$G$5:$G$190&lt;&gt;"moeda")*(Inputs!$G$5:$G$190&lt;&gt;"acoes")))*INDEX(Inputs!$K$5:$AJ$190,0,MATCH(T$2,Inputs!$K$4:$AJ$4,0)))))</f>
        <v>921.71</v>
      </c>
      <c r="U61" s="264">
        <f>IF(ISNA(MATCH(U$2,Inputs!$K$4:$AJ$4,0)),NA(),IF(SUMPRODUCT((Inputs!$A$5:$A$190=$B61)*ISNUMBER(INDEX(Inputs!$K$5:$AJ$190,0,MATCH(U$2,Inputs!$K$4:$AJ$4,0))))+SUMPRODUCT((Inputs!$C$5:$C$190=$B61)*ISNUMBER(INDEX(Inputs!$K$5:$AJ$190,0,MATCH(U$2,Inputs!$K$4:$AJ$4,0))))+SUMPRODUCT((Inputs!$E$5:$E$190=$B61)*ISNUMBER(INDEX(Inputs!$K$5:$AJ$190,0,MATCH(U$2,Inputs!$K$4:$AJ$4,0))))=0,NA(),SUMPRODUCT((Inputs!$A$5:$A$190=$B61)*Inputs!$B$5:$B$190*(((Inputs!$G$5:$G$190="moeda")+(Inputs!$G$5:$G$190="acoes"))*Inputs!$B$1+((Inputs!$G$5:$G$190&lt;&gt;"moeda")*(Inputs!$G$5:$G$190&lt;&gt;"acoes")))*INDEX(Inputs!$K$5:$AJ$190,0,MATCH(U$2,Inputs!$K$4:$AJ$4,0)))+SUMPRODUCT((Inputs!$C$5:$C$190=$B61)*Inputs!$D$5:$D$190*(((Inputs!$G$5:$G$190="moeda")+(Inputs!$G$5:$G$190="acoes"))*Inputs!$B$1+((Inputs!$G$5:$G$190&lt;&gt;"moeda")*(Inputs!$G$5:$G$190&lt;&gt;"acoes")))*INDEX(Inputs!$K$5:$AJ$190,0,MATCH(U$2,Inputs!$K$4:$AJ$4,0)))+SUMPRODUCT((Inputs!$E$5:$E$190=$B61)*Inputs!$F$5:$F$190*(((Inputs!$G$5:$G$190="moeda")+(Inputs!$G$5:$G$190="acoes"))*Inputs!$B$1+((Inputs!$G$5:$G$190&lt;&gt;"moeda")*(Inputs!$G$5:$G$190&lt;&gt;"acoes")))*INDEX(Inputs!$K$5:$AJ$190,0,MATCH(U$2,Inputs!$K$4:$AJ$4,0)))))</f>
        <v>927.638</v>
      </c>
      <c r="V61" s="264">
        <f>IF(ISNA(MATCH(V$2,Inputs!$K$4:$AJ$4,0)),NA(),IF(SUMPRODUCT((Inputs!$A$5:$A$190=$B61)*ISNUMBER(INDEX(Inputs!$K$5:$AJ$190,0,MATCH(V$2,Inputs!$K$4:$AJ$4,0))))+SUMPRODUCT((Inputs!$C$5:$C$190=$B61)*ISNUMBER(INDEX(Inputs!$K$5:$AJ$190,0,MATCH(V$2,Inputs!$K$4:$AJ$4,0))))+SUMPRODUCT((Inputs!$E$5:$E$190=$B61)*ISNUMBER(INDEX(Inputs!$K$5:$AJ$190,0,MATCH(V$2,Inputs!$K$4:$AJ$4,0))))=0,NA(),SUMPRODUCT((Inputs!$A$5:$A$190=$B61)*Inputs!$B$5:$B$190*(((Inputs!$G$5:$G$190="moeda")+(Inputs!$G$5:$G$190="acoes"))*Inputs!$B$1+((Inputs!$G$5:$G$190&lt;&gt;"moeda")*(Inputs!$G$5:$G$190&lt;&gt;"acoes")))*INDEX(Inputs!$K$5:$AJ$190,0,MATCH(V$2,Inputs!$K$4:$AJ$4,0)))+SUMPRODUCT((Inputs!$C$5:$C$190=$B61)*Inputs!$D$5:$D$190*(((Inputs!$G$5:$G$190="moeda")+(Inputs!$G$5:$G$190="acoes"))*Inputs!$B$1+((Inputs!$G$5:$G$190&lt;&gt;"moeda")*(Inputs!$G$5:$G$190&lt;&gt;"acoes")))*INDEX(Inputs!$K$5:$AJ$190,0,MATCH(V$2,Inputs!$K$4:$AJ$4,0)))+SUMPRODUCT((Inputs!$E$5:$E$190=$B61)*Inputs!$F$5:$F$190*(((Inputs!$G$5:$G$190="moeda")+(Inputs!$G$5:$G$190="acoes"))*Inputs!$B$1+((Inputs!$G$5:$G$190&lt;&gt;"moeda")*(Inputs!$G$5:$G$190&lt;&gt;"acoes")))*INDEX(Inputs!$K$5:$AJ$190,0,MATCH(V$2,Inputs!$K$4:$AJ$4,0)))))</f>
        <v>962.05571644</v>
      </c>
      <c r="W61" s="265">
        <f>SUM(S61:V61)</f>
        <v>3649.78171644</v>
      </c>
      <c r="X61" s="264">
        <f>IF(ISNA(MATCH(X$2,Inputs!$K$4:$AJ$4,0)),NA(),IF(SUMPRODUCT((Inputs!$A$5:$A$190=$B61)*ISNUMBER(INDEX(Inputs!$K$5:$AJ$190,0,MATCH(X$2,Inputs!$K$4:$AJ$4,0))))+SUMPRODUCT((Inputs!$C$5:$C$190=$B61)*ISNUMBER(INDEX(Inputs!$K$5:$AJ$190,0,MATCH(X$2,Inputs!$K$4:$AJ$4,0))))+SUMPRODUCT((Inputs!$E$5:$E$190=$B61)*ISNUMBER(INDEX(Inputs!$K$5:$AJ$190,0,MATCH(X$2,Inputs!$K$4:$AJ$4,0))))=0,NA(),SUMPRODUCT((Inputs!$A$5:$A$190=$B61)*Inputs!$B$5:$B$190*(((Inputs!$G$5:$G$190="moeda")+(Inputs!$G$5:$G$190="acoes"))*Inputs!$B$1+((Inputs!$G$5:$G$190&lt;&gt;"moeda")*(Inputs!$G$5:$G$190&lt;&gt;"acoes")))*INDEX(Inputs!$K$5:$AJ$190,0,MATCH(X$2,Inputs!$K$4:$AJ$4,0)))+SUMPRODUCT((Inputs!$C$5:$C$190=$B61)*Inputs!$D$5:$D$190*(((Inputs!$G$5:$G$190="moeda")+(Inputs!$G$5:$G$190="acoes"))*Inputs!$B$1+((Inputs!$G$5:$G$190&lt;&gt;"moeda")*(Inputs!$G$5:$G$190&lt;&gt;"acoes")))*INDEX(Inputs!$K$5:$AJ$190,0,MATCH(X$2,Inputs!$K$4:$AJ$4,0)))+SUMPRODUCT((Inputs!$E$5:$E$190=$B61)*Inputs!$F$5:$F$190*(((Inputs!$G$5:$G$190="moeda")+(Inputs!$G$5:$G$190="acoes"))*Inputs!$B$1+((Inputs!$G$5:$G$190&lt;&gt;"moeda")*(Inputs!$G$5:$G$190&lt;&gt;"acoes")))*INDEX(Inputs!$K$5:$AJ$190,0,MATCH(X$2,Inputs!$K$4:$AJ$4,0)))))</f>
        <v>960.61334328</v>
      </c>
      <c r="Y61" s="264">
        <f>IF(ISNA(MATCH(Y$2,Inputs!$K$4:$AJ$4,0)),NA(),IF(SUMPRODUCT((Inputs!$A$5:$A$190=$B61)*ISNUMBER(INDEX(Inputs!$K$5:$AJ$190,0,MATCH(Y$2,Inputs!$K$4:$AJ$4,0))))+SUMPRODUCT((Inputs!$C$5:$C$190=$B61)*ISNUMBER(INDEX(Inputs!$K$5:$AJ$190,0,MATCH(Y$2,Inputs!$K$4:$AJ$4,0))))+SUMPRODUCT((Inputs!$E$5:$E$190=$B61)*ISNUMBER(INDEX(Inputs!$K$5:$AJ$190,0,MATCH(Y$2,Inputs!$K$4:$AJ$4,0))))=0,NA(),SUMPRODUCT((Inputs!$A$5:$A$190=$B61)*Inputs!$B$5:$B$190*(((Inputs!$G$5:$G$190="moeda")+(Inputs!$G$5:$G$190="acoes"))*Inputs!$B$1+((Inputs!$G$5:$G$190&lt;&gt;"moeda")*(Inputs!$G$5:$G$190&lt;&gt;"acoes")))*INDEX(Inputs!$K$5:$AJ$190,0,MATCH(Y$2,Inputs!$K$4:$AJ$4,0)))+SUMPRODUCT((Inputs!$C$5:$C$190=$B61)*Inputs!$D$5:$D$190*(((Inputs!$G$5:$G$190="moeda")+(Inputs!$G$5:$G$190="acoes"))*Inputs!$B$1+((Inputs!$G$5:$G$190&lt;&gt;"moeda")*(Inputs!$G$5:$G$190&lt;&gt;"acoes")))*INDEX(Inputs!$K$5:$AJ$190,0,MATCH(Y$2,Inputs!$K$4:$AJ$4,0)))+SUMPRODUCT((Inputs!$E$5:$E$190=$B61)*Inputs!$F$5:$F$190*(((Inputs!$G$5:$G$190="moeda")+(Inputs!$G$5:$G$190="acoes"))*Inputs!$B$1+((Inputs!$G$5:$G$190&lt;&gt;"moeda")*(Inputs!$G$5:$G$190&lt;&gt;"acoes")))*INDEX(Inputs!$K$5:$AJ$190,0,MATCH(Y$2,Inputs!$K$4:$AJ$4,0)))))</f>
        <v>1002.13008166</v>
      </c>
      <c r="Z61" s="264">
        <f>IF(ISNA(MATCH(Z$2,Inputs!$K$4:$AJ$4,0)),NA(),IF(SUMPRODUCT((Inputs!$A$5:$A$190=$B61)*ISNUMBER(INDEX(Inputs!$K$5:$AJ$190,0,MATCH(Z$2,Inputs!$K$4:$AJ$4,0))))+SUMPRODUCT((Inputs!$C$5:$C$190=$B61)*ISNUMBER(INDEX(Inputs!$K$5:$AJ$190,0,MATCH(Z$2,Inputs!$K$4:$AJ$4,0))))+SUMPRODUCT((Inputs!$E$5:$E$190=$B61)*ISNUMBER(INDEX(Inputs!$K$5:$AJ$190,0,MATCH(Z$2,Inputs!$K$4:$AJ$4,0))))=0,NA(),SUMPRODUCT((Inputs!$A$5:$A$190=$B61)*Inputs!$B$5:$B$190*(((Inputs!$G$5:$G$190="moeda")+(Inputs!$G$5:$G$190="acoes"))*Inputs!$B$1+((Inputs!$G$5:$G$190&lt;&gt;"moeda")*(Inputs!$G$5:$G$190&lt;&gt;"acoes")))*INDEX(Inputs!$K$5:$AJ$190,0,MATCH(Z$2,Inputs!$K$4:$AJ$4,0)))+SUMPRODUCT((Inputs!$C$5:$C$190=$B61)*Inputs!$D$5:$D$190*(((Inputs!$G$5:$G$190="moeda")+(Inputs!$G$5:$G$190="acoes"))*Inputs!$B$1+((Inputs!$G$5:$G$190&lt;&gt;"moeda")*(Inputs!$G$5:$G$190&lt;&gt;"acoes")))*INDEX(Inputs!$K$5:$AJ$190,0,MATCH(Z$2,Inputs!$K$4:$AJ$4,0)))+SUMPRODUCT((Inputs!$E$5:$E$190=$B61)*Inputs!$F$5:$F$190*(((Inputs!$G$5:$G$190="moeda")+(Inputs!$G$5:$G$190="acoes"))*Inputs!$B$1+((Inputs!$G$5:$G$190&lt;&gt;"moeda")*(Inputs!$G$5:$G$190&lt;&gt;"acoes")))*INDEX(Inputs!$K$5:$AJ$190,0,MATCH(Z$2,Inputs!$K$4:$AJ$4,0)))))</f>
        <v>1038.6914787072</v>
      </c>
      <c r="AA61" s="264">
        <f>IF(ISNA(MATCH(AA$2,Inputs!$K$4:$AJ$4,0)),NA(),IF(SUMPRODUCT((Inputs!$A$5:$A$190=$B61)*ISNUMBER(INDEX(Inputs!$K$5:$AJ$190,0,MATCH(AA$2,Inputs!$K$4:$AJ$4,0))))+SUMPRODUCT((Inputs!$C$5:$C$190=$B61)*ISNUMBER(INDEX(Inputs!$K$5:$AJ$190,0,MATCH(AA$2,Inputs!$K$4:$AJ$4,0))))+SUMPRODUCT((Inputs!$E$5:$E$190=$B61)*ISNUMBER(INDEX(Inputs!$K$5:$AJ$190,0,MATCH(AA$2,Inputs!$K$4:$AJ$4,0))))=0,NA(),SUMPRODUCT((Inputs!$A$5:$A$190=$B61)*Inputs!$B$5:$B$190*(((Inputs!$G$5:$G$190="moeda")+(Inputs!$G$5:$G$190="acoes"))*Inputs!$B$1+((Inputs!$G$5:$G$190&lt;&gt;"moeda")*(Inputs!$G$5:$G$190&lt;&gt;"acoes")))*INDEX(Inputs!$K$5:$AJ$190,0,MATCH(AA$2,Inputs!$K$4:$AJ$4,0)))+SUMPRODUCT((Inputs!$C$5:$C$190=$B61)*Inputs!$D$5:$D$190*(((Inputs!$G$5:$G$190="moeda")+(Inputs!$G$5:$G$190="acoes"))*Inputs!$B$1+((Inputs!$G$5:$G$190&lt;&gt;"moeda")*(Inputs!$G$5:$G$190&lt;&gt;"acoes")))*INDEX(Inputs!$K$5:$AJ$190,0,MATCH(AA$2,Inputs!$K$4:$AJ$4,0)))+SUMPRODUCT((Inputs!$E$5:$E$190=$B61)*Inputs!$F$5:$F$190*(((Inputs!$G$5:$G$190="moeda")+(Inputs!$G$5:$G$190="acoes"))*Inputs!$B$1+((Inputs!$G$5:$G$190&lt;&gt;"moeda")*(Inputs!$G$5:$G$190&lt;&gt;"acoes")))*INDEX(Inputs!$K$5:$AJ$190,0,MATCH(AA$2,Inputs!$K$4:$AJ$4,0)))))</f>
        <v>1071.5830963528</v>
      </c>
      <c r="AB61" s="265">
        <f>SUM(X61:AA61)</f>
        <v>4073.018</v>
      </c>
      <c r="AC61" s="264">
        <f>IF(ISNA(MATCH(AC$2,Inputs!$K$4:$AJ$4,0)),NA(),IF(SUMPRODUCT((Inputs!$A$5:$A$190=$B61)*ISNUMBER(INDEX(Inputs!$K$5:$AJ$190,0,MATCH(AC$2,Inputs!$K$4:$AJ$4,0))))+SUMPRODUCT((Inputs!$C$5:$C$190=$B61)*ISNUMBER(INDEX(Inputs!$K$5:$AJ$190,0,MATCH(AC$2,Inputs!$K$4:$AJ$4,0))))+SUMPRODUCT((Inputs!$E$5:$E$190=$B61)*ISNUMBER(INDEX(Inputs!$K$5:$AJ$190,0,MATCH(AC$2,Inputs!$K$4:$AJ$4,0))))=0,NA(),SUMPRODUCT((Inputs!$A$5:$A$190=$B61)*Inputs!$B$5:$B$190*(((Inputs!$G$5:$G$190="moeda")+(Inputs!$G$5:$G$190="acoes"))*Inputs!$B$1+((Inputs!$G$5:$G$190&lt;&gt;"moeda")*(Inputs!$G$5:$G$190&lt;&gt;"acoes")))*INDEX(Inputs!$K$5:$AJ$190,0,MATCH(AC$2,Inputs!$K$4:$AJ$4,0)))+SUMPRODUCT((Inputs!$C$5:$C$190=$B61)*Inputs!$D$5:$D$190*(((Inputs!$G$5:$G$190="moeda")+(Inputs!$G$5:$G$190="acoes"))*Inputs!$B$1+((Inputs!$G$5:$G$190&lt;&gt;"moeda")*(Inputs!$G$5:$G$190&lt;&gt;"acoes")))*INDEX(Inputs!$K$5:$AJ$190,0,MATCH(AC$2,Inputs!$K$4:$AJ$4,0)))+SUMPRODUCT((Inputs!$E$5:$E$190=$B61)*Inputs!$F$5:$F$190*(((Inputs!$G$5:$G$190="moeda")+(Inputs!$G$5:$G$190="acoes"))*Inputs!$B$1+((Inputs!$G$5:$G$190&lt;&gt;"moeda")*(Inputs!$G$5:$G$190&lt;&gt;"acoes")))*INDEX(Inputs!$K$5:$AJ$190,0,MATCH(AC$2,Inputs!$K$4:$AJ$4,0)))))</f>
        <v>1054.38149487</v>
      </c>
      <c r="AD61" s="264">
        <f>IF(ISNA(MATCH(AD$2,Inputs!$K$4:$AJ$4,0)),NA(),IF(SUMPRODUCT((Inputs!$A$5:$A$190=$B61)*ISNUMBER(INDEX(Inputs!$K$5:$AJ$190,0,MATCH(AD$2,Inputs!$K$4:$AJ$4,0))))+SUMPRODUCT((Inputs!$C$5:$C$190=$B61)*ISNUMBER(INDEX(Inputs!$K$5:$AJ$190,0,MATCH(AD$2,Inputs!$K$4:$AJ$4,0))))+SUMPRODUCT((Inputs!$E$5:$E$190=$B61)*ISNUMBER(INDEX(Inputs!$K$5:$AJ$190,0,MATCH(AD$2,Inputs!$K$4:$AJ$4,0))))=0,NA(),SUMPRODUCT((Inputs!$A$5:$A$190=$B61)*Inputs!$B$5:$B$190*(((Inputs!$G$5:$G$190="moeda")+(Inputs!$G$5:$G$190="acoes"))*Inputs!$B$1+((Inputs!$G$5:$G$190&lt;&gt;"moeda")*(Inputs!$G$5:$G$190&lt;&gt;"acoes")))*INDEX(Inputs!$K$5:$AJ$190,0,MATCH(AD$2,Inputs!$K$4:$AJ$4,0)))+SUMPRODUCT((Inputs!$C$5:$C$190=$B61)*Inputs!$D$5:$D$190*(((Inputs!$G$5:$G$190="moeda")+(Inputs!$G$5:$G$190="acoes"))*Inputs!$B$1+((Inputs!$G$5:$G$190&lt;&gt;"moeda")*(Inputs!$G$5:$G$190&lt;&gt;"acoes")))*INDEX(Inputs!$K$5:$AJ$190,0,MATCH(AD$2,Inputs!$K$4:$AJ$4,0)))+SUMPRODUCT((Inputs!$E$5:$E$190=$B61)*Inputs!$F$5:$F$190*(((Inputs!$G$5:$G$190="moeda")+(Inputs!$G$5:$G$190="acoes"))*Inputs!$B$1+((Inputs!$G$5:$G$190&lt;&gt;"moeda")*(Inputs!$G$5:$G$190&lt;&gt;"acoes")))*INDEX(Inputs!$K$5:$AJ$190,0,MATCH(AD$2,Inputs!$K$4:$AJ$4,0)))))</f>
        <v>1087.87680806</v>
      </c>
      <c r="AE61" s="264" t="e">
        <f>IF(ISNA(MATCH(AE$2,Inputs!$K$4:$AJ$4,0)),NA(),IF(SUMPRODUCT((Inputs!$A$5:$A$190=$B61)*ISNUMBER(INDEX(Inputs!$K$5:$AJ$190,0,MATCH(AE$2,Inputs!$K$4:$AJ$4,0))))+SUMPRODUCT((Inputs!$C$5:$C$190=$B61)*ISNUMBER(INDEX(Inputs!$K$5:$AJ$190,0,MATCH(AE$2,Inputs!$K$4:$AJ$4,0))))+SUMPRODUCT((Inputs!$E$5:$E$190=$B61)*ISNUMBER(INDEX(Inputs!$K$5:$AJ$190,0,MATCH(AE$2,Inputs!$K$4:$AJ$4,0))))=0,NA(),SUMPRODUCT((Inputs!$A$5:$A$190=$B61)*Inputs!$B$5:$B$190*(((Inputs!$G$5:$G$190="moeda")+(Inputs!$G$5:$G$190="acoes"))*Inputs!$B$1+((Inputs!$G$5:$G$190&lt;&gt;"moeda")*(Inputs!$G$5:$G$190&lt;&gt;"acoes")))*INDEX(Inputs!$K$5:$AJ$190,0,MATCH(AE$2,Inputs!$K$4:$AJ$4,0)))+SUMPRODUCT((Inputs!$C$5:$C$190=$B61)*Inputs!$D$5:$D$190*(((Inputs!$G$5:$G$190="moeda")+(Inputs!$G$5:$G$190="acoes"))*Inputs!$B$1+((Inputs!$G$5:$G$190&lt;&gt;"moeda")*(Inputs!$G$5:$G$190&lt;&gt;"acoes")))*INDEX(Inputs!$K$5:$AJ$190,0,MATCH(AE$2,Inputs!$K$4:$AJ$4,0)))+SUMPRODUCT((Inputs!$E$5:$E$190=$B61)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61" s="264" t="e">
        <f>IF(ISNA(MATCH(AF$2,Inputs!$K$4:$AJ$4,0)),NA(),IF(SUMPRODUCT((Inputs!$A$5:$A$190=$B61)*ISNUMBER(INDEX(Inputs!$K$5:$AJ$190,0,MATCH(AF$2,Inputs!$K$4:$AJ$4,0))))+SUMPRODUCT((Inputs!$C$5:$C$190=$B61)*ISNUMBER(INDEX(Inputs!$K$5:$AJ$190,0,MATCH(AF$2,Inputs!$K$4:$AJ$4,0))))+SUMPRODUCT((Inputs!$E$5:$E$190=$B61)*ISNUMBER(INDEX(Inputs!$K$5:$AJ$190,0,MATCH(AF$2,Inputs!$K$4:$AJ$4,0))))=0,NA(),SUMPRODUCT((Inputs!$A$5:$A$190=$B61)*Inputs!$B$5:$B$190*(((Inputs!$G$5:$G$190="moeda")+(Inputs!$G$5:$G$190="acoes"))*Inputs!$B$1+((Inputs!$G$5:$G$190&lt;&gt;"moeda")*(Inputs!$G$5:$G$190&lt;&gt;"acoes")))*INDEX(Inputs!$K$5:$AJ$190,0,MATCH(AF$2,Inputs!$K$4:$AJ$4,0)))+SUMPRODUCT((Inputs!$C$5:$C$190=$B61)*Inputs!$D$5:$D$190*(((Inputs!$G$5:$G$190="moeda")+(Inputs!$G$5:$G$190="acoes"))*Inputs!$B$1+((Inputs!$G$5:$G$190&lt;&gt;"moeda")*(Inputs!$G$5:$G$190&lt;&gt;"acoes")))*INDEX(Inputs!$K$5:$AJ$190,0,MATCH(AF$2,Inputs!$K$4:$AJ$4,0)))+SUMPRODUCT((Inputs!$E$5:$E$190=$B61)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61" s="265" t="e">
        <f>SUM(AC61:AF61)</f>
        <v>#N/A</v>
      </c>
      <c r="AH61" s="264">
        <f>IF(ISNA(MATCH(AH$2,Inputs!$K$4:$AJ$4,0)),NA(),IF(SUMPRODUCT((Inputs!$A$5:$A$190=$B61)*ISNUMBER(INDEX(Inputs!$K$5:$AJ$190,0,MATCH(AH$2,Inputs!$K$4:$AJ$4,0))))+SUMPRODUCT((Inputs!$C$5:$C$190=$B61)*ISNUMBER(INDEX(Inputs!$K$5:$AJ$190,0,MATCH(AH$2,Inputs!$K$4:$AJ$4,0))))+SUMPRODUCT((Inputs!$E$5:$E$190=$B61)*ISNUMBER(INDEX(Inputs!$K$5:$AJ$190,0,MATCH(AH$2,Inputs!$K$4:$AJ$4,0))))=0,NA(),SUMPRODUCT((Inputs!$A$5:$A$190=$B61)*Inputs!$B$5:$B$190*(((Inputs!$G$5:$G$190="moeda")+(Inputs!$G$5:$G$190="acoes"))*Inputs!$B$1+((Inputs!$G$5:$G$190&lt;&gt;"moeda")*(Inputs!$G$5:$G$190&lt;&gt;"acoes")))*INDEX(Inputs!$K$5:$AJ$190,0,MATCH(AH$2,Inputs!$K$4:$AJ$4,0)))+SUMPRODUCT((Inputs!$C$5:$C$190=$B61)*Inputs!$D$5:$D$190*(((Inputs!$G$5:$G$190="moeda")+(Inputs!$G$5:$G$190="acoes"))*Inputs!$B$1+((Inputs!$G$5:$G$190&lt;&gt;"moeda")*(Inputs!$G$5:$G$190&lt;&gt;"acoes")))*INDEX(Inputs!$K$5:$AJ$190,0,MATCH(AH$2,Inputs!$K$4:$AJ$4,0)))+SUMPRODUCT((Inputs!$E$5:$E$190=$B61)*Inputs!$F$5:$F$190*(((Inputs!$G$5:$G$190="moeda")+(Inputs!$G$5:$G$190="acoes"))*Inputs!$B$1+((Inputs!$G$5:$G$190&lt;&gt;"moeda")*(Inputs!$G$5:$G$190&lt;&gt;"acoes")))*INDEX(Inputs!$K$5:$AJ$190,0,MATCH(AH$2,Inputs!$K$4:$AJ$4,0)))))</f>
        <v>145.67905174</v>
      </c>
      <c r="AI61" s="264">
        <f>IF(ISNA(MATCH(AI$2,Inputs!$K$4:$AJ$4,0)),NA(),IF(SUMPRODUCT((Inputs!$A$5:$A$190=$B61)*ISNUMBER(INDEX(Inputs!$K$5:$AJ$190,0,MATCH(AI$2,Inputs!$K$4:$AJ$4,0))))+SUMPRODUCT((Inputs!$C$5:$C$190=$B61)*ISNUMBER(INDEX(Inputs!$K$5:$AJ$190,0,MATCH(AI$2,Inputs!$K$4:$AJ$4,0))))+SUMPRODUCT((Inputs!$E$5:$E$190=$B61)*ISNUMBER(INDEX(Inputs!$K$5:$AJ$190,0,MATCH(AI$2,Inputs!$K$4:$AJ$4,0))))=0,NA(),SUMPRODUCT((Inputs!$A$5:$A$190=$B61)*Inputs!$B$5:$B$190*(((Inputs!$G$5:$G$190="moeda")+(Inputs!$G$5:$G$190="acoes"))*Inputs!$B$1+((Inputs!$G$5:$G$190&lt;&gt;"moeda")*(Inputs!$G$5:$G$190&lt;&gt;"acoes")))*INDEX(Inputs!$K$5:$AJ$190,0,MATCH(AI$2,Inputs!$K$4:$AJ$4,0)))+SUMPRODUCT((Inputs!$C$5:$C$190=$B61)*Inputs!$D$5:$D$190*(((Inputs!$G$5:$G$190="moeda")+(Inputs!$G$5:$G$190="acoes"))*Inputs!$B$1+((Inputs!$G$5:$G$190&lt;&gt;"moeda")*(Inputs!$G$5:$G$190&lt;&gt;"acoes")))*INDEX(Inputs!$K$5:$AJ$190,0,MATCH(AI$2,Inputs!$K$4:$AJ$4,0)))+SUMPRODUCT((Inputs!$E$5:$E$190=$B61)*Inputs!$F$5:$F$190*(((Inputs!$G$5:$G$190="moeda")+(Inputs!$G$5:$G$190="acoes"))*Inputs!$B$1+((Inputs!$G$5:$G$190&lt;&gt;"moeda")*(Inputs!$G$5:$G$190&lt;&gt;"acoes")))*INDEX(Inputs!$K$5:$AJ$190,0,MATCH(AI$2,Inputs!$K$4:$AJ$4,0)))))</f>
        <v>160.08127719</v>
      </c>
      <c r="AJ61" s="264">
        <f>IF(ISNA(MATCH(AJ$2,Inputs!$K$4:$AJ$4,0)),NA(),IF(SUMPRODUCT((Inputs!$A$5:$A$190=$B61)*ISNUMBER(INDEX(Inputs!$K$5:$AJ$190,0,MATCH(AJ$2,Inputs!$K$4:$AJ$4,0))))+SUMPRODUCT((Inputs!$C$5:$C$190=$B61)*ISNUMBER(INDEX(Inputs!$K$5:$AJ$190,0,MATCH(AJ$2,Inputs!$K$4:$AJ$4,0))))+SUMPRODUCT((Inputs!$E$5:$E$190=$B61)*ISNUMBER(INDEX(Inputs!$K$5:$AJ$190,0,MATCH(AJ$2,Inputs!$K$4:$AJ$4,0))))=0,NA(),SUMPRODUCT((Inputs!$A$5:$A$190=$B61)*Inputs!$B$5:$B$190*(((Inputs!$G$5:$G$190="moeda")+(Inputs!$G$5:$G$190="acoes"))*Inputs!$B$1+((Inputs!$G$5:$G$190&lt;&gt;"moeda")*(Inputs!$G$5:$G$190&lt;&gt;"acoes")))*INDEX(Inputs!$K$5:$AJ$190,0,MATCH(AJ$2,Inputs!$K$4:$AJ$4,0)))+SUMPRODUCT((Inputs!$C$5:$C$190=$B61)*Inputs!$D$5:$D$190*(((Inputs!$G$5:$G$190="moeda")+(Inputs!$G$5:$G$190="acoes"))*Inputs!$B$1+((Inputs!$G$5:$G$190&lt;&gt;"moeda")*(Inputs!$G$5:$G$190&lt;&gt;"acoes")))*INDEX(Inputs!$K$5:$AJ$190,0,MATCH(AJ$2,Inputs!$K$4:$AJ$4,0)))+SUMPRODUCT((Inputs!$E$5:$E$190=$B61)*Inputs!$F$5:$F$190*(((Inputs!$G$5:$G$190="moeda")+(Inputs!$G$5:$G$190="acoes"))*Inputs!$B$1+((Inputs!$G$5:$G$190&lt;&gt;"moeda")*(Inputs!$G$5:$G$190&lt;&gt;"acoes")))*INDEX(Inputs!$K$5:$AJ$190,0,MATCH(AJ$2,Inputs!$K$4:$AJ$4,0)))))</f>
        <v>162.0361798</v>
      </c>
      <c r="AK61" s="264">
        <f>IF(ISNA(MATCH(AK$2,Inputs!$K$4:$AJ$4,0)),NA(),IF(SUMPRODUCT((Inputs!$A$5:$A$190=$B61)*ISNUMBER(INDEX(Inputs!$K$5:$AJ$190,0,MATCH(AK$2,Inputs!$K$4:$AJ$4,0))))+SUMPRODUCT((Inputs!$C$5:$C$190=$B61)*ISNUMBER(INDEX(Inputs!$K$5:$AJ$190,0,MATCH(AK$2,Inputs!$K$4:$AJ$4,0))))+SUMPRODUCT((Inputs!$E$5:$E$190=$B61)*ISNUMBER(INDEX(Inputs!$K$5:$AJ$190,0,MATCH(AK$2,Inputs!$K$4:$AJ$4,0))))=0,NA(),SUMPRODUCT((Inputs!$A$5:$A$190=$B61)*Inputs!$B$5:$B$190*(((Inputs!$G$5:$G$190="moeda")+(Inputs!$G$5:$G$190="acoes"))*Inputs!$B$1+((Inputs!$G$5:$G$190&lt;&gt;"moeda")*(Inputs!$G$5:$G$190&lt;&gt;"acoes")))*INDEX(Inputs!$K$5:$AJ$190,0,MATCH(AK$2,Inputs!$K$4:$AJ$4,0)))+SUMPRODUCT((Inputs!$C$5:$C$190=$B61)*Inputs!$D$5:$D$190*(((Inputs!$G$5:$G$190="moeda")+(Inputs!$G$5:$G$190="acoes"))*Inputs!$B$1+((Inputs!$G$5:$G$190&lt;&gt;"moeda")*(Inputs!$G$5:$G$190&lt;&gt;"acoes")))*INDEX(Inputs!$K$5:$AJ$190,0,MATCH(AK$2,Inputs!$K$4:$AJ$4,0)))+SUMPRODUCT((Inputs!$E$5:$E$190=$B61)*Inputs!$F$5:$F$190*(((Inputs!$G$5:$G$190="moeda")+(Inputs!$G$5:$G$190="acoes"))*Inputs!$B$1+((Inputs!$G$5:$G$190&lt;&gt;"moeda")*(Inputs!$G$5:$G$190&lt;&gt;"acoes")))*INDEX(Inputs!$K$5:$AJ$190,0,MATCH(AK$2,Inputs!$K$4:$AJ$4,0)))))</f>
        <v>182.84635302</v>
      </c>
      <c r="AL61" s="265">
        <f>SUM(AH61:AK61)</f>
        <v>650.64286175</v>
      </c>
    </row>
    <row r="62">
      <c r="B62" s="46" t="n">
        <v>54</v>
      </c>
      <c r="C62" s="29" t="inlineStr">
        <is>
          <t>Receita liquida - Concessionarias da Vamos (1T20-4T22; planilha antiga Vamos l.97; a partir de 2023 dentro da Automob)</t>
        </is>
      </c>
      <c r="D62" s="264">
        <f>IF(ISNA(MATCH(D$2,Inputs!$K$4:$AJ$4,0)),NA(),IF(SUMPRODUCT((Inputs!$A$5:$A$190=$B62)*ISNUMBER(INDEX(Inputs!$K$5:$AJ$190,0,MATCH(D$2,Inputs!$K$4:$AJ$4,0))))+SUMPRODUCT((Inputs!$C$5:$C$190=$B62)*ISNUMBER(INDEX(Inputs!$K$5:$AJ$190,0,MATCH(D$2,Inputs!$K$4:$AJ$4,0))))+SUMPRODUCT((Inputs!$E$5:$E$190=$B62)*ISNUMBER(INDEX(Inputs!$K$5:$AJ$190,0,MATCH(D$2,Inputs!$K$4:$AJ$4,0))))=0,NA(),SUMPRODUCT((Inputs!$A$5:$A$190=$B62)*Inputs!$B$5:$B$190*(((Inputs!$G$5:$G$190="moeda")+(Inputs!$G$5:$G$190="acoes"))*Inputs!$B$1+((Inputs!$G$5:$G$190&lt;&gt;"moeda")*(Inputs!$G$5:$G$190&lt;&gt;"acoes")))*INDEX(Inputs!$K$5:$AJ$190,0,MATCH(D$2,Inputs!$K$4:$AJ$4,0)))+SUMPRODUCT((Inputs!$C$5:$C$190=$B62)*Inputs!$D$5:$D$190*(((Inputs!$G$5:$G$190="moeda")+(Inputs!$G$5:$G$190="acoes"))*Inputs!$B$1+((Inputs!$G$5:$G$190&lt;&gt;"moeda")*(Inputs!$G$5:$G$190&lt;&gt;"acoes")))*INDEX(Inputs!$K$5:$AJ$190,0,MATCH(D$2,Inputs!$K$4:$AJ$4,0)))+SUMPRODUCT((Inputs!$E$5:$E$190=$B62)*Inputs!$F$5:$F$190*(((Inputs!$G$5:$G$190="moeda")+(Inputs!$G$5:$G$190="acoes"))*Inputs!$B$1+((Inputs!$G$5:$G$190&lt;&gt;"moeda")*(Inputs!$G$5:$G$190&lt;&gt;"acoes")))*INDEX(Inputs!$K$5:$AJ$190,0,MATCH(D$2,Inputs!$K$4:$AJ$4,0)))))</f>
        <v>278.36339997</v>
      </c>
      <c r="E62" s="264">
        <f>IF(ISNA(MATCH(E$2,Inputs!$K$4:$AJ$4,0)),NA(),IF(SUMPRODUCT((Inputs!$A$5:$A$190=$B62)*ISNUMBER(INDEX(Inputs!$K$5:$AJ$190,0,MATCH(E$2,Inputs!$K$4:$AJ$4,0))))+SUMPRODUCT((Inputs!$C$5:$C$190=$B62)*ISNUMBER(INDEX(Inputs!$K$5:$AJ$190,0,MATCH(E$2,Inputs!$K$4:$AJ$4,0))))+SUMPRODUCT((Inputs!$E$5:$E$190=$B62)*ISNUMBER(INDEX(Inputs!$K$5:$AJ$190,0,MATCH(E$2,Inputs!$K$4:$AJ$4,0))))=0,NA(),SUMPRODUCT((Inputs!$A$5:$A$190=$B62)*Inputs!$B$5:$B$190*(((Inputs!$G$5:$G$190="moeda")+(Inputs!$G$5:$G$190="acoes"))*Inputs!$B$1+((Inputs!$G$5:$G$190&lt;&gt;"moeda")*(Inputs!$G$5:$G$190&lt;&gt;"acoes")))*INDEX(Inputs!$K$5:$AJ$190,0,MATCH(E$2,Inputs!$K$4:$AJ$4,0)))+SUMPRODUCT((Inputs!$C$5:$C$190=$B62)*Inputs!$D$5:$D$190*(((Inputs!$G$5:$G$190="moeda")+(Inputs!$G$5:$G$190="acoes"))*Inputs!$B$1+((Inputs!$G$5:$G$190&lt;&gt;"moeda")*(Inputs!$G$5:$G$190&lt;&gt;"acoes")))*INDEX(Inputs!$K$5:$AJ$190,0,MATCH(E$2,Inputs!$K$4:$AJ$4,0)))+SUMPRODUCT((Inputs!$E$5:$E$190=$B62)*Inputs!$F$5:$F$190*(((Inputs!$G$5:$G$190="moeda")+(Inputs!$G$5:$G$190="acoes"))*Inputs!$B$1+((Inputs!$G$5:$G$190&lt;&gt;"moeda")*(Inputs!$G$5:$G$190&lt;&gt;"acoes")))*INDEX(Inputs!$K$5:$AJ$190,0,MATCH(E$2,Inputs!$K$4:$AJ$4,0)))))</f>
        <v>412.52110149</v>
      </c>
      <c r="F62" s="264">
        <f>IF(ISNA(MATCH(F$2,Inputs!$K$4:$AJ$4,0)),NA(),IF(SUMPRODUCT((Inputs!$A$5:$A$190=$B62)*ISNUMBER(INDEX(Inputs!$K$5:$AJ$190,0,MATCH(F$2,Inputs!$K$4:$AJ$4,0))))+SUMPRODUCT((Inputs!$C$5:$C$190=$B62)*ISNUMBER(INDEX(Inputs!$K$5:$AJ$190,0,MATCH(F$2,Inputs!$K$4:$AJ$4,0))))+SUMPRODUCT((Inputs!$E$5:$E$190=$B62)*ISNUMBER(INDEX(Inputs!$K$5:$AJ$190,0,MATCH(F$2,Inputs!$K$4:$AJ$4,0))))=0,NA(),SUMPRODUCT((Inputs!$A$5:$A$190=$B62)*Inputs!$B$5:$B$190*(((Inputs!$G$5:$G$190="moeda")+(Inputs!$G$5:$G$190="acoes"))*Inputs!$B$1+((Inputs!$G$5:$G$190&lt;&gt;"moeda")*(Inputs!$G$5:$G$190&lt;&gt;"acoes")))*INDEX(Inputs!$K$5:$AJ$190,0,MATCH(F$2,Inputs!$K$4:$AJ$4,0)))+SUMPRODUCT((Inputs!$C$5:$C$190=$B62)*Inputs!$D$5:$D$190*(((Inputs!$G$5:$G$190="moeda")+(Inputs!$G$5:$G$190="acoes"))*Inputs!$B$1+((Inputs!$G$5:$G$190&lt;&gt;"moeda")*(Inputs!$G$5:$G$190&lt;&gt;"acoes")))*INDEX(Inputs!$K$5:$AJ$190,0,MATCH(F$2,Inputs!$K$4:$AJ$4,0)))+SUMPRODUCT((Inputs!$E$5:$E$190=$B62)*Inputs!$F$5:$F$190*(((Inputs!$G$5:$G$190="moeda")+(Inputs!$G$5:$G$190="acoes"))*Inputs!$B$1+((Inputs!$G$5:$G$190&lt;&gt;"moeda")*(Inputs!$G$5:$G$190&lt;&gt;"acoes")))*INDEX(Inputs!$K$5:$AJ$190,0,MATCH(F$2,Inputs!$K$4:$AJ$4,0)))))</f>
        <v>526.58010199</v>
      </c>
      <c r="G62" s="264">
        <f>IF(ISNA(MATCH(G$2,Inputs!$K$4:$AJ$4,0)),NA(),IF(SUMPRODUCT((Inputs!$A$5:$A$190=$B62)*ISNUMBER(INDEX(Inputs!$K$5:$AJ$190,0,MATCH(G$2,Inputs!$K$4:$AJ$4,0))))+SUMPRODUCT((Inputs!$C$5:$C$190=$B62)*ISNUMBER(INDEX(Inputs!$K$5:$AJ$190,0,MATCH(G$2,Inputs!$K$4:$AJ$4,0))))+SUMPRODUCT((Inputs!$E$5:$E$190=$B62)*ISNUMBER(INDEX(Inputs!$K$5:$AJ$190,0,MATCH(G$2,Inputs!$K$4:$AJ$4,0))))=0,NA(),SUMPRODUCT((Inputs!$A$5:$A$190=$B62)*Inputs!$B$5:$B$190*(((Inputs!$G$5:$G$190="moeda")+(Inputs!$G$5:$G$190="acoes"))*Inputs!$B$1+((Inputs!$G$5:$G$190&lt;&gt;"moeda")*(Inputs!$G$5:$G$190&lt;&gt;"acoes")))*INDEX(Inputs!$K$5:$AJ$190,0,MATCH(G$2,Inputs!$K$4:$AJ$4,0)))+SUMPRODUCT((Inputs!$C$5:$C$190=$B62)*Inputs!$D$5:$D$190*(((Inputs!$G$5:$G$190="moeda")+(Inputs!$G$5:$G$190="acoes"))*Inputs!$B$1+((Inputs!$G$5:$G$190&lt;&gt;"moeda")*(Inputs!$G$5:$G$190&lt;&gt;"acoes")))*INDEX(Inputs!$K$5:$AJ$190,0,MATCH(G$2,Inputs!$K$4:$AJ$4,0)))+SUMPRODUCT((Inputs!$E$5:$E$190=$B62)*Inputs!$F$5:$F$190*(((Inputs!$G$5:$G$190="moeda")+(Inputs!$G$5:$G$190="acoes"))*Inputs!$B$1+((Inputs!$G$5:$G$190&lt;&gt;"moeda")*(Inputs!$G$5:$G$190&lt;&gt;"acoes")))*INDEX(Inputs!$K$5:$AJ$190,0,MATCH(G$2,Inputs!$K$4:$AJ$4,0)))))</f>
        <v>478.95953918</v>
      </c>
      <c r="H62" s="265">
        <f>SUM(D62:G62)</f>
        <v>1696.42414263</v>
      </c>
      <c r="I62" s="264">
        <f>IF(ISNA(MATCH(I$2,Inputs!$K$4:$AJ$4,0)),NA(),IF(SUMPRODUCT((Inputs!$A$5:$A$190=$B62)*ISNUMBER(INDEX(Inputs!$K$5:$AJ$190,0,MATCH(I$2,Inputs!$K$4:$AJ$4,0))))+SUMPRODUCT((Inputs!$C$5:$C$190=$B62)*ISNUMBER(INDEX(Inputs!$K$5:$AJ$190,0,MATCH(I$2,Inputs!$K$4:$AJ$4,0))))+SUMPRODUCT((Inputs!$E$5:$E$190=$B62)*ISNUMBER(INDEX(Inputs!$K$5:$AJ$190,0,MATCH(I$2,Inputs!$K$4:$AJ$4,0))))=0,NA(),SUMPRODUCT((Inputs!$A$5:$A$190=$B62)*Inputs!$B$5:$B$190*(((Inputs!$G$5:$G$190="moeda")+(Inputs!$G$5:$G$190="acoes"))*Inputs!$B$1+((Inputs!$G$5:$G$190&lt;&gt;"moeda")*(Inputs!$G$5:$G$190&lt;&gt;"acoes")))*INDEX(Inputs!$K$5:$AJ$190,0,MATCH(I$2,Inputs!$K$4:$AJ$4,0)))+SUMPRODUCT((Inputs!$C$5:$C$190=$B62)*Inputs!$D$5:$D$190*(((Inputs!$G$5:$G$190="moeda")+(Inputs!$G$5:$G$190="acoes"))*Inputs!$B$1+((Inputs!$G$5:$G$190&lt;&gt;"moeda")*(Inputs!$G$5:$G$190&lt;&gt;"acoes")))*INDEX(Inputs!$K$5:$AJ$190,0,MATCH(I$2,Inputs!$K$4:$AJ$4,0)))+SUMPRODUCT((Inputs!$E$5:$E$190=$B62)*Inputs!$F$5:$F$190*(((Inputs!$G$5:$G$190="moeda")+(Inputs!$G$5:$G$190="acoes"))*Inputs!$B$1+((Inputs!$G$5:$G$190&lt;&gt;"moeda")*(Inputs!$G$5:$G$190&lt;&gt;"acoes")))*INDEX(Inputs!$K$5:$AJ$190,0,MATCH(I$2,Inputs!$K$4:$AJ$4,0)))))</f>
        <v>578.19047126</v>
      </c>
      <c r="J62" s="264">
        <f>IF(ISNA(MATCH(J$2,Inputs!$K$4:$AJ$4,0)),NA(),IF(SUMPRODUCT((Inputs!$A$5:$A$190=$B62)*ISNUMBER(INDEX(Inputs!$K$5:$AJ$190,0,MATCH(J$2,Inputs!$K$4:$AJ$4,0))))+SUMPRODUCT((Inputs!$C$5:$C$190=$B62)*ISNUMBER(INDEX(Inputs!$K$5:$AJ$190,0,MATCH(J$2,Inputs!$K$4:$AJ$4,0))))+SUMPRODUCT((Inputs!$E$5:$E$190=$B62)*ISNUMBER(INDEX(Inputs!$K$5:$AJ$190,0,MATCH(J$2,Inputs!$K$4:$AJ$4,0))))=0,NA(),SUMPRODUCT((Inputs!$A$5:$A$190=$B62)*Inputs!$B$5:$B$190*(((Inputs!$G$5:$G$190="moeda")+(Inputs!$G$5:$G$190="acoes"))*Inputs!$B$1+((Inputs!$G$5:$G$190&lt;&gt;"moeda")*(Inputs!$G$5:$G$190&lt;&gt;"acoes")))*INDEX(Inputs!$K$5:$AJ$190,0,MATCH(J$2,Inputs!$K$4:$AJ$4,0)))+SUMPRODUCT((Inputs!$C$5:$C$190=$B62)*Inputs!$D$5:$D$190*(((Inputs!$G$5:$G$190="moeda")+(Inputs!$G$5:$G$190="acoes"))*Inputs!$B$1+((Inputs!$G$5:$G$190&lt;&gt;"moeda")*(Inputs!$G$5:$G$190&lt;&gt;"acoes")))*INDEX(Inputs!$K$5:$AJ$190,0,MATCH(J$2,Inputs!$K$4:$AJ$4,0)))+SUMPRODUCT((Inputs!$E$5:$E$190=$B62)*Inputs!$F$5:$F$190*(((Inputs!$G$5:$G$190="moeda")+(Inputs!$G$5:$G$190="acoes"))*Inputs!$B$1+((Inputs!$G$5:$G$190&lt;&gt;"moeda")*(Inputs!$G$5:$G$190&lt;&gt;"acoes")))*INDEX(Inputs!$K$5:$AJ$190,0,MATCH(J$2,Inputs!$K$4:$AJ$4,0)))))</f>
        <v>736.84008429</v>
      </c>
      <c r="K62" s="264">
        <f>IF(ISNA(MATCH(K$2,Inputs!$K$4:$AJ$4,0)),NA(),IF(SUMPRODUCT((Inputs!$A$5:$A$190=$B62)*ISNUMBER(INDEX(Inputs!$K$5:$AJ$190,0,MATCH(K$2,Inputs!$K$4:$AJ$4,0))))+SUMPRODUCT((Inputs!$C$5:$C$190=$B62)*ISNUMBER(INDEX(Inputs!$K$5:$AJ$190,0,MATCH(K$2,Inputs!$K$4:$AJ$4,0))))+SUMPRODUCT((Inputs!$E$5:$E$190=$B62)*ISNUMBER(INDEX(Inputs!$K$5:$AJ$190,0,MATCH(K$2,Inputs!$K$4:$AJ$4,0))))=0,NA(),SUMPRODUCT((Inputs!$A$5:$A$190=$B62)*Inputs!$B$5:$B$190*(((Inputs!$G$5:$G$190="moeda")+(Inputs!$G$5:$G$190="acoes"))*Inputs!$B$1+((Inputs!$G$5:$G$190&lt;&gt;"moeda")*(Inputs!$G$5:$G$190&lt;&gt;"acoes")))*INDEX(Inputs!$K$5:$AJ$190,0,MATCH(K$2,Inputs!$K$4:$AJ$4,0)))+SUMPRODUCT((Inputs!$C$5:$C$190=$B62)*Inputs!$D$5:$D$190*(((Inputs!$G$5:$G$190="moeda")+(Inputs!$G$5:$G$190="acoes"))*Inputs!$B$1+((Inputs!$G$5:$G$190&lt;&gt;"moeda")*(Inputs!$G$5:$G$190&lt;&gt;"acoes")))*INDEX(Inputs!$K$5:$AJ$190,0,MATCH(K$2,Inputs!$K$4:$AJ$4,0)))+SUMPRODUCT((Inputs!$E$5:$E$190=$B62)*Inputs!$F$5:$F$190*(((Inputs!$G$5:$G$190="moeda")+(Inputs!$G$5:$G$190="acoes"))*Inputs!$B$1+((Inputs!$G$5:$G$190&lt;&gt;"moeda")*(Inputs!$G$5:$G$190&lt;&gt;"acoes")))*INDEX(Inputs!$K$5:$AJ$190,0,MATCH(K$2,Inputs!$K$4:$AJ$4,0)))))</f>
        <v>787.92101835</v>
      </c>
      <c r="L62" s="264">
        <f>IF(ISNA(MATCH(L$2,Inputs!$K$4:$AJ$4,0)),NA(),IF(SUMPRODUCT((Inputs!$A$5:$A$190=$B62)*ISNUMBER(INDEX(Inputs!$K$5:$AJ$190,0,MATCH(L$2,Inputs!$K$4:$AJ$4,0))))+SUMPRODUCT((Inputs!$C$5:$C$190=$B62)*ISNUMBER(INDEX(Inputs!$K$5:$AJ$190,0,MATCH(L$2,Inputs!$K$4:$AJ$4,0))))+SUMPRODUCT((Inputs!$E$5:$E$190=$B62)*ISNUMBER(INDEX(Inputs!$K$5:$AJ$190,0,MATCH(L$2,Inputs!$K$4:$AJ$4,0))))=0,NA(),SUMPRODUCT((Inputs!$A$5:$A$190=$B62)*Inputs!$B$5:$B$190*(((Inputs!$G$5:$G$190="moeda")+(Inputs!$G$5:$G$190="acoes"))*Inputs!$B$1+((Inputs!$G$5:$G$190&lt;&gt;"moeda")*(Inputs!$G$5:$G$190&lt;&gt;"acoes")))*INDEX(Inputs!$K$5:$AJ$190,0,MATCH(L$2,Inputs!$K$4:$AJ$4,0)))+SUMPRODUCT((Inputs!$C$5:$C$190=$B62)*Inputs!$D$5:$D$190*(((Inputs!$G$5:$G$190="moeda")+(Inputs!$G$5:$G$190="acoes"))*Inputs!$B$1+((Inputs!$G$5:$G$190&lt;&gt;"moeda")*(Inputs!$G$5:$G$190&lt;&gt;"acoes")))*INDEX(Inputs!$K$5:$AJ$190,0,MATCH(L$2,Inputs!$K$4:$AJ$4,0)))+SUMPRODUCT((Inputs!$E$5:$E$190=$B62)*Inputs!$F$5:$F$190*(((Inputs!$G$5:$G$190="moeda")+(Inputs!$G$5:$G$190="acoes"))*Inputs!$B$1+((Inputs!$G$5:$G$190&lt;&gt;"moeda")*(Inputs!$G$5:$G$190&lt;&gt;"acoes")))*INDEX(Inputs!$K$5:$AJ$190,0,MATCH(L$2,Inputs!$K$4:$AJ$4,0)))))</f>
        <v>676.10241582</v>
      </c>
      <c r="M62" s="265">
        <f>SUM(I62:L62)</f>
        <v>2779.05398972</v>
      </c>
      <c r="N62" s="264" t="e">
        <f>IF(ISNA(MATCH(N$2,Inputs!$K$4:$AJ$4,0)),NA(),IF(SUMPRODUCT((Inputs!$A$5:$A$190=$B62)*ISNUMBER(INDEX(Inputs!$K$5:$AJ$190,0,MATCH(N$2,Inputs!$K$4:$AJ$4,0))))+SUMPRODUCT((Inputs!$C$5:$C$190=$B62)*ISNUMBER(INDEX(Inputs!$K$5:$AJ$190,0,MATCH(N$2,Inputs!$K$4:$AJ$4,0))))+SUMPRODUCT((Inputs!$E$5:$E$190=$B62)*ISNUMBER(INDEX(Inputs!$K$5:$AJ$190,0,MATCH(N$2,Inputs!$K$4:$AJ$4,0))))=0,NA(),SUMPRODUCT((Inputs!$A$5:$A$190=$B62)*Inputs!$B$5:$B$190*(((Inputs!$G$5:$G$190="moeda")+(Inputs!$G$5:$G$190="acoes"))*Inputs!$B$1+((Inputs!$G$5:$G$190&lt;&gt;"moeda")*(Inputs!$G$5:$G$190&lt;&gt;"acoes")))*INDEX(Inputs!$K$5:$AJ$190,0,MATCH(N$2,Inputs!$K$4:$AJ$4,0)))+SUMPRODUCT((Inputs!$C$5:$C$190=$B62)*Inputs!$D$5:$D$190*(((Inputs!$G$5:$G$190="moeda")+(Inputs!$G$5:$G$190="acoes"))*Inputs!$B$1+((Inputs!$G$5:$G$190&lt;&gt;"moeda")*(Inputs!$G$5:$G$190&lt;&gt;"acoes")))*INDEX(Inputs!$K$5:$AJ$190,0,MATCH(N$2,Inputs!$K$4:$AJ$4,0)))+SUMPRODUCT((Inputs!$E$5:$E$190=$B62)*Inputs!$F$5:$F$190*(((Inputs!$G$5:$G$190="moeda")+(Inputs!$G$5:$G$190="acoes"))*Inputs!$B$1+((Inputs!$G$5:$G$190&lt;&gt;"moeda")*(Inputs!$G$5:$G$190&lt;&gt;"acoes")))*INDEX(Inputs!$K$5:$AJ$190,0,MATCH(N$2,Inputs!$K$4:$AJ$4,0)))))</f>
        <v>#N/A</v>
      </c>
      <c r="O62" s="264" t="e">
        <f>IF(ISNA(MATCH(O$2,Inputs!$K$4:$AJ$4,0)),NA(),IF(SUMPRODUCT((Inputs!$A$5:$A$190=$B62)*ISNUMBER(INDEX(Inputs!$K$5:$AJ$190,0,MATCH(O$2,Inputs!$K$4:$AJ$4,0))))+SUMPRODUCT((Inputs!$C$5:$C$190=$B62)*ISNUMBER(INDEX(Inputs!$K$5:$AJ$190,0,MATCH(O$2,Inputs!$K$4:$AJ$4,0))))+SUMPRODUCT((Inputs!$E$5:$E$190=$B62)*ISNUMBER(INDEX(Inputs!$K$5:$AJ$190,0,MATCH(O$2,Inputs!$K$4:$AJ$4,0))))=0,NA(),SUMPRODUCT((Inputs!$A$5:$A$190=$B62)*Inputs!$B$5:$B$190*(((Inputs!$G$5:$G$190="moeda")+(Inputs!$G$5:$G$190="acoes"))*Inputs!$B$1+((Inputs!$G$5:$G$190&lt;&gt;"moeda")*(Inputs!$G$5:$G$190&lt;&gt;"acoes")))*INDEX(Inputs!$K$5:$AJ$190,0,MATCH(O$2,Inputs!$K$4:$AJ$4,0)))+SUMPRODUCT((Inputs!$C$5:$C$190=$B62)*Inputs!$D$5:$D$190*(((Inputs!$G$5:$G$190="moeda")+(Inputs!$G$5:$G$190="acoes"))*Inputs!$B$1+((Inputs!$G$5:$G$190&lt;&gt;"moeda")*(Inputs!$G$5:$G$190&lt;&gt;"acoes")))*INDEX(Inputs!$K$5:$AJ$190,0,MATCH(O$2,Inputs!$K$4:$AJ$4,0)))+SUMPRODUCT((Inputs!$E$5:$E$190=$B62)*Inputs!$F$5:$F$190*(((Inputs!$G$5:$G$190="moeda")+(Inputs!$G$5:$G$190="acoes"))*Inputs!$B$1+((Inputs!$G$5:$G$190&lt;&gt;"moeda")*(Inputs!$G$5:$G$190&lt;&gt;"acoes")))*INDEX(Inputs!$K$5:$AJ$190,0,MATCH(O$2,Inputs!$K$4:$AJ$4,0)))))</f>
        <v>#N/A</v>
      </c>
      <c r="P62" s="264" t="e">
        <f>IF(ISNA(MATCH(P$2,Inputs!$K$4:$AJ$4,0)),NA(),IF(SUMPRODUCT((Inputs!$A$5:$A$190=$B62)*ISNUMBER(INDEX(Inputs!$K$5:$AJ$190,0,MATCH(P$2,Inputs!$K$4:$AJ$4,0))))+SUMPRODUCT((Inputs!$C$5:$C$190=$B62)*ISNUMBER(INDEX(Inputs!$K$5:$AJ$190,0,MATCH(P$2,Inputs!$K$4:$AJ$4,0))))+SUMPRODUCT((Inputs!$E$5:$E$190=$B62)*ISNUMBER(INDEX(Inputs!$K$5:$AJ$190,0,MATCH(P$2,Inputs!$K$4:$AJ$4,0))))=0,NA(),SUMPRODUCT((Inputs!$A$5:$A$190=$B62)*Inputs!$B$5:$B$190*(((Inputs!$G$5:$G$190="moeda")+(Inputs!$G$5:$G$190="acoes"))*Inputs!$B$1+((Inputs!$G$5:$G$190&lt;&gt;"moeda")*(Inputs!$G$5:$G$190&lt;&gt;"acoes")))*INDEX(Inputs!$K$5:$AJ$190,0,MATCH(P$2,Inputs!$K$4:$AJ$4,0)))+SUMPRODUCT((Inputs!$C$5:$C$190=$B62)*Inputs!$D$5:$D$190*(((Inputs!$G$5:$G$190="moeda")+(Inputs!$G$5:$G$190="acoes"))*Inputs!$B$1+((Inputs!$G$5:$G$190&lt;&gt;"moeda")*(Inputs!$G$5:$G$190&lt;&gt;"acoes")))*INDEX(Inputs!$K$5:$AJ$190,0,MATCH(P$2,Inputs!$K$4:$AJ$4,0)))+SUMPRODUCT((Inputs!$E$5:$E$190=$B62)*Inputs!$F$5:$F$190*(((Inputs!$G$5:$G$190="moeda")+(Inputs!$G$5:$G$190="acoes"))*Inputs!$B$1+((Inputs!$G$5:$G$190&lt;&gt;"moeda")*(Inputs!$G$5:$G$190&lt;&gt;"acoes")))*INDEX(Inputs!$K$5:$AJ$190,0,MATCH(P$2,Inputs!$K$4:$AJ$4,0)))))</f>
        <v>#N/A</v>
      </c>
      <c r="Q62" s="264" t="e">
        <f>IF(ISNA(MATCH(Q$2,Inputs!$K$4:$AJ$4,0)),NA(),IF(SUMPRODUCT((Inputs!$A$5:$A$190=$B62)*ISNUMBER(INDEX(Inputs!$K$5:$AJ$190,0,MATCH(Q$2,Inputs!$K$4:$AJ$4,0))))+SUMPRODUCT((Inputs!$C$5:$C$190=$B62)*ISNUMBER(INDEX(Inputs!$K$5:$AJ$190,0,MATCH(Q$2,Inputs!$K$4:$AJ$4,0))))+SUMPRODUCT((Inputs!$E$5:$E$190=$B62)*ISNUMBER(INDEX(Inputs!$K$5:$AJ$190,0,MATCH(Q$2,Inputs!$K$4:$AJ$4,0))))=0,NA(),SUMPRODUCT((Inputs!$A$5:$A$190=$B62)*Inputs!$B$5:$B$190*(((Inputs!$G$5:$G$190="moeda")+(Inputs!$G$5:$G$190="acoes"))*Inputs!$B$1+((Inputs!$G$5:$G$190&lt;&gt;"moeda")*(Inputs!$G$5:$G$190&lt;&gt;"acoes")))*INDEX(Inputs!$K$5:$AJ$190,0,MATCH(Q$2,Inputs!$K$4:$AJ$4,0)))+SUMPRODUCT((Inputs!$C$5:$C$190=$B62)*Inputs!$D$5:$D$190*(((Inputs!$G$5:$G$190="moeda")+(Inputs!$G$5:$G$190="acoes"))*Inputs!$B$1+((Inputs!$G$5:$G$190&lt;&gt;"moeda")*(Inputs!$G$5:$G$190&lt;&gt;"acoes")))*INDEX(Inputs!$K$5:$AJ$190,0,MATCH(Q$2,Inputs!$K$4:$AJ$4,0)))+SUMPRODUCT((Inputs!$E$5:$E$190=$B62)*Inputs!$F$5:$F$190*(((Inputs!$G$5:$G$190="moeda")+(Inputs!$G$5:$G$190="acoes"))*Inputs!$B$1+((Inputs!$G$5:$G$190&lt;&gt;"moeda")*(Inputs!$G$5:$G$190&lt;&gt;"acoes")))*INDEX(Inputs!$K$5:$AJ$190,0,MATCH(Q$2,Inputs!$K$4:$AJ$4,0)))))</f>
        <v>#N/A</v>
      </c>
      <c r="R62" s="265" t="e">
        <f>SUM(N62:Q62)</f>
        <v>#N/A</v>
      </c>
      <c r="S62" s="264" t="e">
        <f>IF(ISNA(MATCH(S$2,Inputs!$K$4:$AJ$4,0)),NA(),IF(SUMPRODUCT((Inputs!$A$5:$A$190=$B62)*ISNUMBER(INDEX(Inputs!$K$5:$AJ$190,0,MATCH(S$2,Inputs!$K$4:$AJ$4,0))))+SUMPRODUCT((Inputs!$C$5:$C$190=$B62)*ISNUMBER(INDEX(Inputs!$K$5:$AJ$190,0,MATCH(S$2,Inputs!$K$4:$AJ$4,0))))+SUMPRODUCT((Inputs!$E$5:$E$190=$B62)*ISNUMBER(INDEX(Inputs!$K$5:$AJ$190,0,MATCH(S$2,Inputs!$K$4:$AJ$4,0))))=0,NA(),SUMPRODUCT((Inputs!$A$5:$A$190=$B62)*Inputs!$B$5:$B$190*(((Inputs!$G$5:$G$190="moeda")+(Inputs!$G$5:$G$190="acoes"))*Inputs!$B$1+((Inputs!$G$5:$G$190&lt;&gt;"moeda")*(Inputs!$G$5:$G$190&lt;&gt;"acoes")))*INDEX(Inputs!$K$5:$AJ$190,0,MATCH(S$2,Inputs!$K$4:$AJ$4,0)))+SUMPRODUCT((Inputs!$C$5:$C$190=$B62)*Inputs!$D$5:$D$190*(((Inputs!$G$5:$G$190="moeda")+(Inputs!$G$5:$G$190="acoes"))*Inputs!$B$1+((Inputs!$G$5:$G$190&lt;&gt;"moeda")*(Inputs!$G$5:$G$190&lt;&gt;"acoes")))*INDEX(Inputs!$K$5:$AJ$190,0,MATCH(S$2,Inputs!$K$4:$AJ$4,0)))+SUMPRODUCT((Inputs!$E$5:$E$190=$B62)*Inputs!$F$5:$F$190*(((Inputs!$G$5:$G$190="moeda")+(Inputs!$G$5:$G$190="acoes"))*Inputs!$B$1+((Inputs!$G$5:$G$190&lt;&gt;"moeda")*(Inputs!$G$5:$G$190&lt;&gt;"acoes")))*INDEX(Inputs!$K$5:$AJ$190,0,MATCH(S$2,Inputs!$K$4:$AJ$4,0)))))</f>
        <v>#N/A</v>
      </c>
      <c r="T62" s="264" t="e">
        <f>IF(ISNA(MATCH(T$2,Inputs!$K$4:$AJ$4,0)),NA(),IF(SUMPRODUCT((Inputs!$A$5:$A$190=$B62)*ISNUMBER(INDEX(Inputs!$K$5:$AJ$190,0,MATCH(T$2,Inputs!$K$4:$AJ$4,0))))+SUMPRODUCT((Inputs!$C$5:$C$190=$B62)*ISNUMBER(INDEX(Inputs!$K$5:$AJ$190,0,MATCH(T$2,Inputs!$K$4:$AJ$4,0))))+SUMPRODUCT((Inputs!$E$5:$E$190=$B62)*ISNUMBER(INDEX(Inputs!$K$5:$AJ$190,0,MATCH(T$2,Inputs!$K$4:$AJ$4,0))))=0,NA(),SUMPRODUCT((Inputs!$A$5:$A$190=$B62)*Inputs!$B$5:$B$190*(((Inputs!$G$5:$G$190="moeda")+(Inputs!$G$5:$G$190="acoes"))*Inputs!$B$1+((Inputs!$G$5:$G$190&lt;&gt;"moeda")*(Inputs!$G$5:$G$190&lt;&gt;"acoes")))*INDEX(Inputs!$K$5:$AJ$190,0,MATCH(T$2,Inputs!$K$4:$AJ$4,0)))+SUMPRODUCT((Inputs!$C$5:$C$190=$B62)*Inputs!$D$5:$D$190*(((Inputs!$G$5:$G$190="moeda")+(Inputs!$G$5:$G$190="acoes"))*Inputs!$B$1+((Inputs!$G$5:$G$190&lt;&gt;"moeda")*(Inputs!$G$5:$G$190&lt;&gt;"acoes")))*INDEX(Inputs!$K$5:$AJ$190,0,MATCH(T$2,Inputs!$K$4:$AJ$4,0)))+SUMPRODUCT((Inputs!$E$5:$E$190=$B62)*Inputs!$F$5:$F$190*(((Inputs!$G$5:$G$190="moeda")+(Inputs!$G$5:$G$190="acoes"))*Inputs!$B$1+((Inputs!$G$5:$G$190&lt;&gt;"moeda")*(Inputs!$G$5:$G$190&lt;&gt;"acoes")))*INDEX(Inputs!$K$5:$AJ$190,0,MATCH(T$2,Inputs!$K$4:$AJ$4,0)))))</f>
        <v>#N/A</v>
      </c>
      <c r="U62" s="264" t="e">
        <f>IF(ISNA(MATCH(U$2,Inputs!$K$4:$AJ$4,0)),NA(),IF(SUMPRODUCT((Inputs!$A$5:$A$190=$B62)*ISNUMBER(INDEX(Inputs!$K$5:$AJ$190,0,MATCH(U$2,Inputs!$K$4:$AJ$4,0))))+SUMPRODUCT((Inputs!$C$5:$C$190=$B62)*ISNUMBER(INDEX(Inputs!$K$5:$AJ$190,0,MATCH(U$2,Inputs!$K$4:$AJ$4,0))))+SUMPRODUCT((Inputs!$E$5:$E$190=$B62)*ISNUMBER(INDEX(Inputs!$K$5:$AJ$190,0,MATCH(U$2,Inputs!$K$4:$AJ$4,0))))=0,NA(),SUMPRODUCT((Inputs!$A$5:$A$190=$B62)*Inputs!$B$5:$B$190*(((Inputs!$G$5:$G$190="moeda")+(Inputs!$G$5:$G$190="acoes"))*Inputs!$B$1+((Inputs!$G$5:$G$190&lt;&gt;"moeda")*(Inputs!$G$5:$G$190&lt;&gt;"acoes")))*INDEX(Inputs!$K$5:$AJ$190,0,MATCH(U$2,Inputs!$K$4:$AJ$4,0)))+SUMPRODUCT((Inputs!$C$5:$C$190=$B62)*Inputs!$D$5:$D$190*(((Inputs!$G$5:$G$190="moeda")+(Inputs!$G$5:$G$190="acoes"))*Inputs!$B$1+((Inputs!$G$5:$G$190&lt;&gt;"moeda")*(Inputs!$G$5:$G$190&lt;&gt;"acoes")))*INDEX(Inputs!$K$5:$AJ$190,0,MATCH(U$2,Inputs!$K$4:$AJ$4,0)))+SUMPRODUCT((Inputs!$E$5:$E$190=$B62)*Inputs!$F$5:$F$190*(((Inputs!$G$5:$G$190="moeda")+(Inputs!$G$5:$G$190="acoes"))*Inputs!$B$1+((Inputs!$G$5:$G$190&lt;&gt;"moeda")*(Inputs!$G$5:$G$190&lt;&gt;"acoes")))*INDEX(Inputs!$K$5:$AJ$190,0,MATCH(U$2,Inputs!$K$4:$AJ$4,0)))))</f>
        <v>#N/A</v>
      </c>
      <c r="V62" s="264" t="e">
        <f>IF(ISNA(MATCH(V$2,Inputs!$K$4:$AJ$4,0)),NA(),IF(SUMPRODUCT((Inputs!$A$5:$A$190=$B62)*ISNUMBER(INDEX(Inputs!$K$5:$AJ$190,0,MATCH(V$2,Inputs!$K$4:$AJ$4,0))))+SUMPRODUCT((Inputs!$C$5:$C$190=$B62)*ISNUMBER(INDEX(Inputs!$K$5:$AJ$190,0,MATCH(V$2,Inputs!$K$4:$AJ$4,0))))+SUMPRODUCT((Inputs!$E$5:$E$190=$B62)*ISNUMBER(INDEX(Inputs!$K$5:$AJ$190,0,MATCH(V$2,Inputs!$K$4:$AJ$4,0))))=0,NA(),SUMPRODUCT((Inputs!$A$5:$A$190=$B62)*Inputs!$B$5:$B$190*(((Inputs!$G$5:$G$190="moeda")+(Inputs!$G$5:$G$190="acoes"))*Inputs!$B$1+((Inputs!$G$5:$G$190&lt;&gt;"moeda")*(Inputs!$G$5:$G$190&lt;&gt;"acoes")))*INDEX(Inputs!$K$5:$AJ$190,0,MATCH(V$2,Inputs!$K$4:$AJ$4,0)))+SUMPRODUCT((Inputs!$C$5:$C$190=$B62)*Inputs!$D$5:$D$190*(((Inputs!$G$5:$G$190="moeda")+(Inputs!$G$5:$G$190="acoes"))*Inputs!$B$1+((Inputs!$G$5:$G$190&lt;&gt;"moeda")*(Inputs!$G$5:$G$190&lt;&gt;"acoes")))*INDEX(Inputs!$K$5:$AJ$190,0,MATCH(V$2,Inputs!$K$4:$AJ$4,0)))+SUMPRODUCT((Inputs!$E$5:$E$190=$B62)*Inputs!$F$5:$F$190*(((Inputs!$G$5:$G$190="moeda")+(Inputs!$G$5:$G$190="acoes"))*Inputs!$B$1+((Inputs!$G$5:$G$190&lt;&gt;"moeda")*(Inputs!$G$5:$G$190&lt;&gt;"acoes")))*INDEX(Inputs!$K$5:$AJ$190,0,MATCH(V$2,Inputs!$K$4:$AJ$4,0)))))</f>
        <v>#N/A</v>
      </c>
      <c r="W62" s="265" t="e">
        <f>SUM(S62:V62)</f>
        <v>#N/A</v>
      </c>
      <c r="X62" s="264" t="e">
        <f>IF(ISNA(MATCH(X$2,Inputs!$K$4:$AJ$4,0)),NA(),IF(SUMPRODUCT((Inputs!$A$5:$A$190=$B62)*ISNUMBER(INDEX(Inputs!$K$5:$AJ$190,0,MATCH(X$2,Inputs!$K$4:$AJ$4,0))))+SUMPRODUCT((Inputs!$C$5:$C$190=$B62)*ISNUMBER(INDEX(Inputs!$K$5:$AJ$190,0,MATCH(X$2,Inputs!$K$4:$AJ$4,0))))+SUMPRODUCT((Inputs!$E$5:$E$190=$B62)*ISNUMBER(INDEX(Inputs!$K$5:$AJ$190,0,MATCH(X$2,Inputs!$K$4:$AJ$4,0))))=0,NA(),SUMPRODUCT((Inputs!$A$5:$A$190=$B62)*Inputs!$B$5:$B$190*(((Inputs!$G$5:$G$190="moeda")+(Inputs!$G$5:$G$190="acoes"))*Inputs!$B$1+((Inputs!$G$5:$G$190&lt;&gt;"moeda")*(Inputs!$G$5:$G$190&lt;&gt;"acoes")))*INDEX(Inputs!$K$5:$AJ$190,0,MATCH(X$2,Inputs!$K$4:$AJ$4,0)))+SUMPRODUCT((Inputs!$C$5:$C$190=$B62)*Inputs!$D$5:$D$190*(((Inputs!$G$5:$G$190="moeda")+(Inputs!$G$5:$G$190="acoes"))*Inputs!$B$1+((Inputs!$G$5:$G$190&lt;&gt;"moeda")*(Inputs!$G$5:$G$190&lt;&gt;"acoes")))*INDEX(Inputs!$K$5:$AJ$190,0,MATCH(X$2,Inputs!$K$4:$AJ$4,0)))+SUMPRODUCT((Inputs!$E$5:$E$190=$B62)*Inputs!$F$5:$F$190*(((Inputs!$G$5:$G$190="moeda")+(Inputs!$G$5:$G$190="acoes"))*Inputs!$B$1+((Inputs!$G$5:$G$190&lt;&gt;"moeda")*(Inputs!$G$5:$G$190&lt;&gt;"acoes")))*INDEX(Inputs!$K$5:$AJ$190,0,MATCH(X$2,Inputs!$K$4:$AJ$4,0)))))</f>
        <v>#N/A</v>
      </c>
      <c r="Y62" s="264" t="e">
        <f>IF(ISNA(MATCH(Y$2,Inputs!$K$4:$AJ$4,0)),NA(),IF(SUMPRODUCT((Inputs!$A$5:$A$190=$B62)*ISNUMBER(INDEX(Inputs!$K$5:$AJ$190,0,MATCH(Y$2,Inputs!$K$4:$AJ$4,0))))+SUMPRODUCT((Inputs!$C$5:$C$190=$B62)*ISNUMBER(INDEX(Inputs!$K$5:$AJ$190,0,MATCH(Y$2,Inputs!$K$4:$AJ$4,0))))+SUMPRODUCT((Inputs!$E$5:$E$190=$B62)*ISNUMBER(INDEX(Inputs!$K$5:$AJ$190,0,MATCH(Y$2,Inputs!$K$4:$AJ$4,0))))=0,NA(),SUMPRODUCT((Inputs!$A$5:$A$190=$B62)*Inputs!$B$5:$B$190*(((Inputs!$G$5:$G$190="moeda")+(Inputs!$G$5:$G$190="acoes"))*Inputs!$B$1+((Inputs!$G$5:$G$190&lt;&gt;"moeda")*(Inputs!$G$5:$G$190&lt;&gt;"acoes")))*INDEX(Inputs!$K$5:$AJ$190,0,MATCH(Y$2,Inputs!$K$4:$AJ$4,0)))+SUMPRODUCT((Inputs!$C$5:$C$190=$B62)*Inputs!$D$5:$D$190*(((Inputs!$G$5:$G$190="moeda")+(Inputs!$G$5:$G$190="acoes"))*Inputs!$B$1+((Inputs!$G$5:$G$190&lt;&gt;"moeda")*(Inputs!$G$5:$G$190&lt;&gt;"acoes")))*INDEX(Inputs!$K$5:$AJ$190,0,MATCH(Y$2,Inputs!$K$4:$AJ$4,0)))+SUMPRODUCT((Inputs!$E$5:$E$190=$B62)*Inputs!$F$5:$F$190*(((Inputs!$G$5:$G$190="moeda")+(Inputs!$G$5:$G$190="acoes"))*Inputs!$B$1+((Inputs!$G$5:$G$190&lt;&gt;"moeda")*(Inputs!$G$5:$G$190&lt;&gt;"acoes")))*INDEX(Inputs!$K$5:$AJ$190,0,MATCH(Y$2,Inputs!$K$4:$AJ$4,0)))))</f>
        <v>#N/A</v>
      </c>
      <c r="Z62" s="264" t="e">
        <f>IF(ISNA(MATCH(Z$2,Inputs!$K$4:$AJ$4,0)),NA(),IF(SUMPRODUCT((Inputs!$A$5:$A$190=$B62)*ISNUMBER(INDEX(Inputs!$K$5:$AJ$190,0,MATCH(Z$2,Inputs!$K$4:$AJ$4,0))))+SUMPRODUCT((Inputs!$C$5:$C$190=$B62)*ISNUMBER(INDEX(Inputs!$K$5:$AJ$190,0,MATCH(Z$2,Inputs!$K$4:$AJ$4,0))))+SUMPRODUCT((Inputs!$E$5:$E$190=$B62)*ISNUMBER(INDEX(Inputs!$K$5:$AJ$190,0,MATCH(Z$2,Inputs!$K$4:$AJ$4,0))))=0,NA(),SUMPRODUCT((Inputs!$A$5:$A$190=$B62)*Inputs!$B$5:$B$190*(((Inputs!$G$5:$G$190="moeda")+(Inputs!$G$5:$G$190="acoes"))*Inputs!$B$1+((Inputs!$G$5:$G$190&lt;&gt;"moeda")*(Inputs!$G$5:$G$190&lt;&gt;"acoes")))*INDEX(Inputs!$K$5:$AJ$190,0,MATCH(Z$2,Inputs!$K$4:$AJ$4,0)))+SUMPRODUCT((Inputs!$C$5:$C$190=$B62)*Inputs!$D$5:$D$190*(((Inputs!$G$5:$G$190="moeda")+(Inputs!$G$5:$G$190="acoes"))*Inputs!$B$1+((Inputs!$G$5:$G$190&lt;&gt;"moeda")*(Inputs!$G$5:$G$190&lt;&gt;"acoes")))*INDEX(Inputs!$K$5:$AJ$190,0,MATCH(Z$2,Inputs!$K$4:$AJ$4,0)))+SUMPRODUCT((Inputs!$E$5:$E$190=$B62)*Inputs!$F$5:$F$190*(((Inputs!$G$5:$G$190="moeda")+(Inputs!$G$5:$G$190="acoes"))*Inputs!$B$1+((Inputs!$G$5:$G$190&lt;&gt;"moeda")*(Inputs!$G$5:$G$190&lt;&gt;"acoes")))*INDEX(Inputs!$K$5:$AJ$190,0,MATCH(Z$2,Inputs!$K$4:$AJ$4,0)))))</f>
        <v>#N/A</v>
      </c>
      <c r="AA62" s="264" t="e">
        <f>IF(ISNA(MATCH(AA$2,Inputs!$K$4:$AJ$4,0)),NA(),IF(SUMPRODUCT((Inputs!$A$5:$A$190=$B62)*ISNUMBER(INDEX(Inputs!$K$5:$AJ$190,0,MATCH(AA$2,Inputs!$K$4:$AJ$4,0))))+SUMPRODUCT((Inputs!$C$5:$C$190=$B62)*ISNUMBER(INDEX(Inputs!$K$5:$AJ$190,0,MATCH(AA$2,Inputs!$K$4:$AJ$4,0))))+SUMPRODUCT((Inputs!$E$5:$E$190=$B62)*ISNUMBER(INDEX(Inputs!$K$5:$AJ$190,0,MATCH(AA$2,Inputs!$K$4:$AJ$4,0))))=0,NA(),SUMPRODUCT((Inputs!$A$5:$A$190=$B62)*Inputs!$B$5:$B$190*(((Inputs!$G$5:$G$190="moeda")+(Inputs!$G$5:$G$190="acoes"))*Inputs!$B$1+((Inputs!$G$5:$G$190&lt;&gt;"moeda")*(Inputs!$G$5:$G$190&lt;&gt;"acoes")))*INDEX(Inputs!$K$5:$AJ$190,0,MATCH(AA$2,Inputs!$K$4:$AJ$4,0)))+SUMPRODUCT((Inputs!$C$5:$C$190=$B62)*Inputs!$D$5:$D$190*(((Inputs!$G$5:$G$190="moeda")+(Inputs!$G$5:$G$190="acoes"))*Inputs!$B$1+((Inputs!$G$5:$G$190&lt;&gt;"moeda")*(Inputs!$G$5:$G$190&lt;&gt;"acoes")))*INDEX(Inputs!$K$5:$AJ$190,0,MATCH(AA$2,Inputs!$K$4:$AJ$4,0)))+SUMPRODUCT((Inputs!$E$5:$E$190=$B62)*Inputs!$F$5:$F$190*(((Inputs!$G$5:$G$190="moeda")+(Inputs!$G$5:$G$190="acoes"))*Inputs!$B$1+((Inputs!$G$5:$G$190&lt;&gt;"moeda")*(Inputs!$G$5:$G$190&lt;&gt;"acoes")))*INDEX(Inputs!$K$5:$AJ$190,0,MATCH(AA$2,Inputs!$K$4:$AJ$4,0)))))</f>
        <v>#N/A</v>
      </c>
      <c r="AB62" s="265" t="e">
        <f>SUM(X62:AA62)</f>
        <v>#N/A</v>
      </c>
      <c r="AC62" s="264" t="e">
        <f>IF(ISNA(MATCH(AC$2,Inputs!$K$4:$AJ$4,0)),NA(),IF(SUMPRODUCT((Inputs!$A$5:$A$190=$B62)*ISNUMBER(INDEX(Inputs!$K$5:$AJ$190,0,MATCH(AC$2,Inputs!$K$4:$AJ$4,0))))+SUMPRODUCT((Inputs!$C$5:$C$190=$B62)*ISNUMBER(INDEX(Inputs!$K$5:$AJ$190,0,MATCH(AC$2,Inputs!$K$4:$AJ$4,0))))+SUMPRODUCT((Inputs!$E$5:$E$190=$B62)*ISNUMBER(INDEX(Inputs!$K$5:$AJ$190,0,MATCH(AC$2,Inputs!$K$4:$AJ$4,0))))=0,NA(),SUMPRODUCT((Inputs!$A$5:$A$190=$B62)*Inputs!$B$5:$B$190*(((Inputs!$G$5:$G$190="moeda")+(Inputs!$G$5:$G$190="acoes"))*Inputs!$B$1+((Inputs!$G$5:$G$190&lt;&gt;"moeda")*(Inputs!$G$5:$G$190&lt;&gt;"acoes")))*INDEX(Inputs!$K$5:$AJ$190,0,MATCH(AC$2,Inputs!$K$4:$AJ$4,0)))+SUMPRODUCT((Inputs!$C$5:$C$190=$B62)*Inputs!$D$5:$D$190*(((Inputs!$G$5:$G$190="moeda")+(Inputs!$G$5:$G$190="acoes"))*Inputs!$B$1+((Inputs!$G$5:$G$190&lt;&gt;"moeda")*(Inputs!$G$5:$G$190&lt;&gt;"acoes")))*INDEX(Inputs!$K$5:$AJ$190,0,MATCH(AC$2,Inputs!$K$4:$AJ$4,0)))+SUMPRODUCT((Inputs!$E$5:$E$190=$B62)*Inputs!$F$5:$F$190*(((Inputs!$G$5:$G$190="moeda")+(Inputs!$G$5:$G$190="acoes"))*Inputs!$B$1+((Inputs!$G$5:$G$190&lt;&gt;"moeda")*(Inputs!$G$5:$G$190&lt;&gt;"acoes")))*INDEX(Inputs!$K$5:$AJ$190,0,MATCH(AC$2,Inputs!$K$4:$AJ$4,0)))))</f>
        <v>#N/A</v>
      </c>
      <c r="AD62" s="264" t="e">
        <f>IF(ISNA(MATCH(AD$2,Inputs!$K$4:$AJ$4,0)),NA(),IF(SUMPRODUCT((Inputs!$A$5:$A$190=$B62)*ISNUMBER(INDEX(Inputs!$K$5:$AJ$190,0,MATCH(AD$2,Inputs!$K$4:$AJ$4,0))))+SUMPRODUCT((Inputs!$C$5:$C$190=$B62)*ISNUMBER(INDEX(Inputs!$K$5:$AJ$190,0,MATCH(AD$2,Inputs!$K$4:$AJ$4,0))))+SUMPRODUCT((Inputs!$E$5:$E$190=$B62)*ISNUMBER(INDEX(Inputs!$K$5:$AJ$190,0,MATCH(AD$2,Inputs!$K$4:$AJ$4,0))))=0,NA(),SUMPRODUCT((Inputs!$A$5:$A$190=$B62)*Inputs!$B$5:$B$190*(((Inputs!$G$5:$G$190="moeda")+(Inputs!$G$5:$G$190="acoes"))*Inputs!$B$1+((Inputs!$G$5:$G$190&lt;&gt;"moeda")*(Inputs!$G$5:$G$190&lt;&gt;"acoes")))*INDEX(Inputs!$K$5:$AJ$190,0,MATCH(AD$2,Inputs!$K$4:$AJ$4,0)))+SUMPRODUCT((Inputs!$C$5:$C$190=$B62)*Inputs!$D$5:$D$190*(((Inputs!$G$5:$G$190="moeda")+(Inputs!$G$5:$G$190="acoes"))*Inputs!$B$1+((Inputs!$G$5:$G$190&lt;&gt;"moeda")*(Inputs!$G$5:$G$190&lt;&gt;"acoes")))*INDEX(Inputs!$K$5:$AJ$190,0,MATCH(AD$2,Inputs!$K$4:$AJ$4,0)))+SUMPRODUCT((Inputs!$E$5:$E$190=$B62)*Inputs!$F$5:$F$190*(((Inputs!$G$5:$G$190="moeda")+(Inputs!$G$5:$G$190="acoes"))*Inputs!$B$1+((Inputs!$G$5:$G$190&lt;&gt;"moeda")*(Inputs!$G$5:$G$190&lt;&gt;"acoes")))*INDEX(Inputs!$K$5:$AJ$190,0,MATCH(AD$2,Inputs!$K$4:$AJ$4,0)))))</f>
        <v>#N/A</v>
      </c>
      <c r="AE62" s="264" t="e">
        <f>IF(ISNA(MATCH(AE$2,Inputs!$K$4:$AJ$4,0)),NA(),IF(SUMPRODUCT((Inputs!$A$5:$A$190=$B62)*ISNUMBER(INDEX(Inputs!$K$5:$AJ$190,0,MATCH(AE$2,Inputs!$K$4:$AJ$4,0))))+SUMPRODUCT((Inputs!$C$5:$C$190=$B62)*ISNUMBER(INDEX(Inputs!$K$5:$AJ$190,0,MATCH(AE$2,Inputs!$K$4:$AJ$4,0))))+SUMPRODUCT((Inputs!$E$5:$E$190=$B62)*ISNUMBER(INDEX(Inputs!$K$5:$AJ$190,0,MATCH(AE$2,Inputs!$K$4:$AJ$4,0))))=0,NA(),SUMPRODUCT((Inputs!$A$5:$A$190=$B62)*Inputs!$B$5:$B$190*(((Inputs!$G$5:$G$190="moeda")+(Inputs!$G$5:$G$190="acoes"))*Inputs!$B$1+((Inputs!$G$5:$G$190&lt;&gt;"moeda")*(Inputs!$G$5:$G$190&lt;&gt;"acoes")))*INDEX(Inputs!$K$5:$AJ$190,0,MATCH(AE$2,Inputs!$K$4:$AJ$4,0)))+SUMPRODUCT((Inputs!$C$5:$C$190=$B62)*Inputs!$D$5:$D$190*(((Inputs!$G$5:$G$190="moeda")+(Inputs!$G$5:$G$190="acoes"))*Inputs!$B$1+((Inputs!$G$5:$G$190&lt;&gt;"moeda")*(Inputs!$G$5:$G$190&lt;&gt;"acoes")))*INDEX(Inputs!$K$5:$AJ$190,0,MATCH(AE$2,Inputs!$K$4:$AJ$4,0)))+SUMPRODUCT((Inputs!$E$5:$E$190=$B62)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62" s="264" t="e">
        <f>IF(ISNA(MATCH(AF$2,Inputs!$K$4:$AJ$4,0)),NA(),IF(SUMPRODUCT((Inputs!$A$5:$A$190=$B62)*ISNUMBER(INDEX(Inputs!$K$5:$AJ$190,0,MATCH(AF$2,Inputs!$K$4:$AJ$4,0))))+SUMPRODUCT((Inputs!$C$5:$C$190=$B62)*ISNUMBER(INDEX(Inputs!$K$5:$AJ$190,0,MATCH(AF$2,Inputs!$K$4:$AJ$4,0))))+SUMPRODUCT((Inputs!$E$5:$E$190=$B62)*ISNUMBER(INDEX(Inputs!$K$5:$AJ$190,0,MATCH(AF$2,Inputs!$K$4:$AJ$4,0))))=0,NA(),SUMPRODUCT((Inputs!$A$5:$A$190=$B62)*Inputs!$B$5:$B$190*(((Inputs!$G$5:$G$190="moeda")+(Inputs!$G$5:$G$190="acoes"))*Inputs!$B$1+((Inputs!$G$5:$G$190&lt;&gt;"moeda")*(Inputs!$G$5:$G$190&lt;&gt;"acoes")))*INDEX(Inputs!$K$5:$AJ$190,0,MATCH(AF$2,Inputs!$K$4:$AJ$4,0)))+SUMPRODUCT((Inputs!$C$5:$C$190=$B62)*Inputs!$D$5:$D$190*(((Inputs!$G$5:$G$190="moeda")+(Inputs!$G$5:$G$190="acoes"))*Inputs!$B$1+((Inputs!$G$5:$G$190&lt;&gt;"moeda")*(Inputs!$G$5:$G$190&lt;&gt;"acoes")))*INDEX(Inputs!$K$5:$AJ$190,0,MATCH(AF$2,Inputs!$K$4:$AJ$4,0)))+SUMPRODUCT((Inputs!$E$5:$E$190=$B62)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62" s="265" t="e">
        <f>SUM(AC62:AF62)</f>
        <v>#N/A</v>
      </c>
      <c r="AH62" s="264">
        <f>IF(ISNA(MATCH(AH$2,Inputs!$K$4:$AJ$4,0)),NA(),IF(SUMPRODUCT((Inputs!$A$5:$A$190=$B62)*ISNUMBER(INDEX(Inputs!$K$5:$AJ$190,0,MATCH(AH$2,Inputs!$K$4:$AJ$4,0))))+SUMPRODUCT((Inputs!$C$5:$C$190=$B62)*ISNUMBER(INDEX(Inputs!$K$5:$AJ$190,0,MATCH(AH$2,Inputs!$K$4:$AJ$4,0))))+SUMPRODUCT((Inputs!$E$5:$E$190=$B62)*ISNUMBER(INDEX(Inputs!$K$5:$AJ$190,0,MATCH(AH$2,Inputs!$K$4:$AJ$4,0))))=0,NA(),SUMPRODUCT((Inputs!$A$5:$A$190=$B62)*Inputs!$B$5:$B$190*(((Inputs!$G$5:$G$190="moeda")+(Inputs!$G$5:$G$190="acoes"))*Inputs!$B$1+((Inputs!$G$5:$G$190&lt;&gt;"moeda")*(Inputs!$G$5:$G$190&lt;&gt;"acoes")))*INDEX(Inputs!$K$5:$AJ$190,0,MATCH(AH$2,Inputs!$K$4:$AJ$4,0)))+SUMPRODUCT((Inputs!$C$5:$C$190=$B62)*Inputs!$D$5:$D$190*(((Inputs!$G$5:$G$190="moeda")+(Inputs!$G$5:$G$190="acoes"))*Inputs!$B$1+((Inputs!$G$5:$G$190&lt;&gt;"moeda")*(Inputs!$G$5:$G$190&lt;&gt;"acoes")))*INDEX(Inputs!$K$5:$AJ$190,0,MATCH(AH$2,Inputs!$K$4:$AJ$4,0)))+SUMPRODUCT((Inputs!$E$5:$E$190=$B62)*Inputs!$F$5:$F$190*(((Inputs!$G$5:$G$190="moeda")+(Inputs!$G$5:$G$190="acoes"))*Inputs!$B$1+((Inputs!$G$5:$G$190&lt;&gt;"moeda")*(Inputs!$G$5:$G$190&lt;&gt;"acoes")))*INDEX(Inputs!$K$5:$AJ$190,0,MATCH(AH$2,Inputs!$K$4:$AJ$4,0)))))</f>
        <v>104.18079203</v>
      </c>
      <c r="AI62" s="264">
        <f>IF(ISNA(MATCH(AI$2,Inputs!$K$4:$AJ$4,0)),NA(),IF(SUMPRODUCT((Inputs!$A$5:$A$190=$B62)*ISNUMBER(INDEX(Inputs!$K$5:$AJ$190,0,MATCH(AI$2,Inputs!$K$4:$AJ$4,0))))+SUMPRODUCT((Inputs!$C$5:$C$190=$B62)*ISNUMBER(INDEX(Inputs!$K$5:$AJ$190,0,MATCH(AI$2,Inputs!$K$4:$AJ$4,0))))+SUMPRODUCT((Inputs!$E$5:$E$190=$B62)*ISNUMBER(INDEX(Inputs!$K$5:$AJ$190,0,MATCH(AI$2,Inputs!$K$4:$AJ$4,0))))=0,NA(),SUMPRODUCT((Inputs!$A$5:$A$190=$B62)*Inputs!$B$5:$B$190*(((Inputs!$G$5:$G$190="moeda")+(Inputs!$G$5:$G$190="acoes"))*Inputs!$B$1+((Inputs!$G$5:$G$190&lt;&gt;"moeda")*(Inputs!$G$5:$G$190&lt;&gt;"acoes")))*INDEX(Inputs!$K$5:$AJ$190,0,MATCH(AI$2,Inputs!$K$4:$AJ$4,0)))+SUMPRODUCT((Inputs!$C$5:$C$190=$B62)*Inputs!$D$5:$D$190*(((Inputs!$G$5:$G$190="moeda")+(Inputs!$G$5:$G$190="acoes"))*Inputs!$B$1+((Inputs!$G$5:$G$190&lt;&gt;"moeda")*(Inputs!$G$5:$G$190&lt;&gt;"acoes")))*INDEX(Inputs!$K$5:$AJ$190,0,MATCH(AI$2,Inputs!$K$4:$AJ$4,0)))+SUMPRODUCT((Inputs!$E$5:$E$190=$B62)*Inputs!$F$5:$F$190*(((Inputs!$G$5:$G$190="moeda")+(Inputs!$G$5:$G$190="acoes"))*Inputs!$B$1+((Inputs!$G$5:$G$190&lt;&gt;"moeda")*(Inputs!$G$5:$G$190&lt;&gt;"acoes")))*INDEX(Inputs!$K$5:$AJ$190,0,MATCH(AI$2,Inputs!$K$4:$AJ$4,0)))))</f>
        <v>138.39690829</v>
      </c>
      <c r="AJ62" s="264">
        <f>IF(ISNA(MATCH(AJ$2,Inputs!$K$4:$AJ$4,0)),NA(),IF(SUMPRODUCT((Inputs!$A$5:$A$190=$B62)*ISNUMBER(INDEX(Inputs!$K$5:$AJ$190,0,MATCH(AJ$2,Inputs!$K$4:$AJ$4,0))))+SUMPRODUCT((Inputs!$C$5:$C$190=$B62)*ISNUMBER(INDEX(Inputs!$K$5:$AJ$190,0,MATCH(AJ$2,Inputs!$K$4:$AJ$4,0))))+SUMPRODUCT((Inputs!$E$5:$E$190=$B62)*ISNUMBER(INDEX(Inputs!$K$5:$AJ$190,0,MATCH(AJ$2,Inputs!$K$4:$AJ$4,0))))=0,NA(),SUMPRODUCT((Inputs!$A$5:$A$190=$B62)*Inputs!$B$5:$B$190*(((Inputs!$G$5:$G$190="moeda")+(Inputs!$G$5:$G$190="acoes"))*Inputs!$B$1+((Inputs!$G$5:$G$190&lt;&gt;"moeda")*(Inputs!$G$5:$G$190&lt;&gt;"acoes")))*INDEX(Inputs!$K$5:$AJ$190,0,MATCH(AJ$2,Inputs!$K$4:$AJ$4,0)))+SUMPRODUCT((Inputs!$C$5:$C$190=$B62)*Inputs!$D$5:$D$190*(((Inputs!$G$5:$G$190="moeda")+(Inputs!$G$5:$G$190="acoes"))*Inputs!$B$1+((Inputs!$G$5:$G$190&lt;&gt;"moeda")*(Inputs!$G$5:$G$190&lt;&gt;"acoes")))*INDEX(Inputs!$K$5:$AJ$190,0,MATCH(AJ$2,Inputs!$K$4:$AJ$4,0)))+SUMPRODUCT((Inputs!$E$5:$E$190=$B62)*Inputs!$F$5:$F$190*(((Inputs!$G$5:$G$190="moeda")+(Inputs!$G$5:$G$190="acoes"))*Inputs!$B$1+((Inputs!$G$5:$G$190&lt;&gt;"moeda")*(Inputs!$G$5:$G$190&lt;&gt;"acoes")))*INDEX(Inputs!$K$5:$AJ$190,0,MATCH(AJ$2,Inputs!$K$4:$AJ$4,0)))))</f>
        <v>252.03968559</v>
      </c>
      <c r="AK62" s="264">
        <f>IF(ISNA(MATCH(AK$2,Inputs!$K$4:$AJ$4,0)),NA(),IF(SUMPRODUCT((Inputs!$A$5:$A$190=$B62)*ISNUMBER(INDEX(Inputs!$K$5:$AJ$190,0,MATCH(AK$2,Inputs!$K$4:$AJ$4,0))))+SUMPRODUCT((Inputs!$C$5:$C$190=$B62)*ISNUMBER(INDEX(Inputs!$K$5:$AJ$190,0,MATCH(AK$2,Inputs!$K$4:$AJ$4,0))))+SUMPRODUCT((Inputs!$E$5:$E$190=$B62)*ISNUMBER(INDEX(Inputs!$K$5:$AJ$190,0,MATCH(AK$2,Inputs!$K$4:$AJ$4,0))))=0,NA(),SUMPRODUCT((Inputs!$A$5:$A$190=$B62)*Inputs!$B$5:$B$190*(((Inputs!$G$5:$G$190="moeda")+(Inputs!$G$5:$G$190="acoes"))*Inputs!$B$1+((Inputs!$G$5:$G$190&lt;&gt;"moeda")*(Inputs!$G$5:$G$190&lt;&gt;"acoes")))*INDEX(Inputs!$K$5:$AJ$190,0,MATCH(AK$2,Inputs!$K$4:$AJ$4,0)))+SUMPRODUCT((Inputs!$C$5:$C$190=$B62)*Inputs!$D$5:$D$190*(((Inputs!$G$5:$G$190="moeda")+(Inputs!$G$5:$G$190="acoes"))*Inputs!$B$1+((Inputs!$G$5:$G$190&lt;&gt;"moeda")*(Inputs!$G$5:$G$190&lt;&gt;"acoes")))*INDEX(Inputs!$K$5:$AJ$190,0,MATCH(AK$2,Inputs!$K$4:$AJ$4,0)))+SUMPRODUCT((Inputs!$E$5:$E$190=$B62)*Inputs!$F$5:$F$190*(((Inputs!$G$5:$G$190="moeda")+(Inputs!$G$5:$G$190="acoes"))*Inputs!$B$1+((Inputs!$G$5:$G$190&lt;&gt;"moeda")*(Inputs!$G$5:$G$190&lt;&gt;"acoes")))*INDEX(Inputs!$K$5:$AJ$190,0,MATCH(AK$2,Inputs!$K$4:$AJ$4,0)))))</f>
        <v>194.24778275</v>
      </c>
      <c r="AL62" s="265">
        <f>SUM(AH62:AK62)</f>
        <v>688.86516866</v>
      </c>
    </row>
    <row r="63">
      <c r="B63" s="46" t="n">
        <v>55</v>
      </c>
      <c r="C63" s="29" t="inlineStr">
        <is>
          <t>Receita liquida - Automob (aba Automob - Site l.29; desde 1T23)</t>
        </is>
      </c>
      <c r="D63" s="264" t="e">
        <f>IF(ISNA(MATCH(D$2,Inputs!$K$4:$AJ$4,0)),NA(),IF(SUMPRODUCT((Inputs!$A$5:$A$190=$B63)*ISNUMBER(INDEX(Inputs!$K$5:$AJ$190,0,MATCH(D$2,Inputs!$K$4:$AJ$4,0))))+SUMPRODUCT((Inputs!$C$5:$C$190=$B63)*ISNUMBER(INDEX(Inputs!$K$5:$AJ$190,0,MATCH(D$2,Inputs!$K$4:$AJ$4,0))))+SUMPRODUCT((Inputs!$E$5:$E$190=$B63)*ISNUMBER(INDEX(Inputs!$K$5:$AJ$190,0,MATCH(D$2,Inputs!$K$4:$AJ$4,0))))=0,NA(),SUMPRODUCT((Inputs!$A$5:$A$190=$B63)*Inputs!$B$5:$B$190*(((Inputs!$G$5:$G$190="moeda")+(Inputs!$G$5:$G$190="acoes"))*Inputs!$B$1+((Inputs!$G$5:$G$190&lt;&gt;"moeda")*(Inputs!$G$5:$G$190&lt;&gt;"acoes")))*INDEX(Inputs!$K$5:$AJ$190,0,MATCH(D$2,Inputs!$K$4:$AJ$4,0)))+SUMPRODUCT((Inputs!$C$5:$C$190=$B63)*Inputs!$D$5:$D$190*(((Inputs!$G$5:$G$190="moeda")+(Inputs!$G$5:$G$190="acoes"))*Inputs!$B$1+((Inputs!$G$5:$G$190&lt;&gt;"moeda")*(Inputs!$G$5:$G$190&lt;&gt;"acoes")))*INDEX(Inputs!$K$5:$AJ$190,0,MATCH(D$2,Inputs!$K$4:$AJ$4,0)))+SUMPRODUCT((Inputs!$E$5:$E$190=$B63)*Inputs!$F$5:$F$190*(((Inputs!$G$5:$G$190="moeda")+(Inputs!$G$5:$G$190="acoes"))*Inputs!$B$1+((Inputs!$G$5:$G$190&lt;&gt;"moeda")*(Inputs!$G$5:$G$190&lt;&gt;"acoes")))*INDEX(Inputs!$K$5:$AJ$190,0,MATCH(D$2,Inputs!$K$4:$AJ$4,0)))))</f>
        <v>#N/A</v>
      </c>
      <c r="E63" s="264" t="e">
        <f>IF(ISNA(MATCH(E$2,Inputs!$K$4:$AJ$4,0)),NA(),IF(SUMPRODUCT((Inputs!$A$5:$A$190=$B63)*ISNUMBER(INDEX(Inputs!$K$5:$AJ$190,0,MATCH(E$2,Inputs!$K$4:$AJ$4,0))))+SUMPRODUCT((Inputs!$C$5:$C$190=$B63)*ISNUMBER(INDEX(Inputs!$K$5:$AJ$190,0,MATCH(E$2,Inputs!$K$4:$AJ$4,0))))+SUMPRODUCT((Inputs!$E$5:$E$190=$B63)*ISNUMBER(INDEX(Inputs!$K$5:$AJ$190,0,MATCH(E$2,Inputs!$K$4:$AJ$4,0))))=0,NA(),SUMPRODUCT((Inputs!$A$5:$A$190=$B63)*Inputs!$B$5:$B$190*(((Inputs!$G$5:$G$190="moeda")+(Inputs!$G$5:$G$190="acoes"))*Inputs!$B$1+((Inputs!$G$5:$G$190&lt;&gt;"moeda")*(Inputs!$G$5:$G$190&lt;&gt;"acoes")))*INDEX(Inputs!$K$5:$AJ$190,0,MATCH(E$2,Inputs!$K$4:$AJ$4,0)))+SUMPRODUCT((Inputs!$C$5:$C$190=$B63)*Inputs!$D$5:$D$190*(((Inputs!$G$5:$G$190="moeda")+(Inputs!$G$5:$G$190="acoes"))*Inputs!$B$1+((Inputs!$G$5:$G$190&lt;&gt;"moeda")*(Inputs!$G$5:$G$190&lt;&gt;"acoes")))*INDEX(Inputs!$K$5:$AJ$190,0,MATCH(E$2,Inputs!$K$4:$AJ$4,0)))+SUMPRODUCT((Inputs!$E$5:$E$190=$B63)*Inputs!$F$5:$F$190*(((Inputs!$G$5:$G$190="moeda")+(Inputs!$G$5:$G$190="acoes"))*Inputs!$B$1+((Inputs!$G$5:$G$190&lt;&gt;"moeda")*(Inputs!$G$5:$G$190&lt;&gt;"acoes")))*INDEX(Inputs!$K$5:$AJ$190,0,MATCH(E$2,Inputs!$K$4:$AJ$4,0)))))</f>
        <v>#N/A</v>
      </c>
      <c r="F63" s="264" t="e">
        <f>IF(ISNA(MATCH(F$2,Inputs!$K$4:$AJ$4,0)),NA(),IF(SUMPRODUCT((Inputs!$A$5:$A$190=$B63)*ISNUMBER(INDEX(Inputs!$K$5:$AJ$190,0,MATCH(F$2,Inputs!$K$4:$AJ$4,0))))+SUMPRODUCT((Inputs!$C$5:$C$190=$B63)*ISNUMBER(INDEX(Inputs!$K$5:$AJ$190,0,MATCH(F$2,Inputs!$K$4:$AJ$4,0))))+SUMPRODUCT((Inputs!$E$5:$E$190=$B63)*ISNUMBER(INDEX(Inputs!$K$5:$AJ$190,0,MATCH(F$2,Inputs!$K$4:$AJ$4,0))))=0,NA(),SUMPRODUCT((Inputs!$A$5:$A$190=$B63)*Inputs!$B$5:$B$190*(((Inputs!$G$5:$G$190="moeda")+(Inputs!$G$5:$G$190="acoes"))*Inputs!$B$1+((Inputs!$G$5:$G$190&lt;&gt;"moeda")*(Inputs!$G$5:$G$190&lt;&gt;"acoes")))*INDEX(Inputs!$K$5:$AJ$190,0,MATCH(F$2,Inputs!$K$4:$AJ$4,0)))+SUMPRODUCT((Inputs!$C$5:$C$190=$B63)*Inputs!$D$5:$D$190*(((Inputs!$G$5:$G$190="moeda")+(Inputs!$G$5:$G$190="acoes"))*Inputs!$B$1+((Inputs!$G$5:$G$190&lt;&gt;"moeda")*(Inputs!$G$5:$G$190&lt;&gt;"acoes")))*INDEX(Inputs!$K$5:$AJ$190,0,MATCH(F$2,Inputs!$K$4:$AJ$4,0)))+SUMPRODUCT((Inputs!$E$5:$E$190=$B63)*Inputs!$F$5:$F$190*(((Inputs!$G$5:$G$190="moeda")+(Inputs!$G$5:$G$190="acoes"))*Inputs!$B$1+((Inputs!$G$5:$G$190&lt;&gt;"moeda")*(Inputs!$G$5:$G$190&lt;&gt;"acoes")))*INDEX(Inputs!$K$5:$AJ$190,0,MATCH(F$2,Inputs!$K$4:$AJ$4,0)))))</f>
        <v>#N/A</v>
      </c>
      <c r="G63" s="264" t="e">
        <f>IF(ISNA(MATCH(G$2,Inputs!$K$4:$AJ$4,0)),NA(),IF(SUMPRODUCT((Inputs!$A$5:$A$190=$B63)*ISNUMBER(INDEX(Inputs!$K$5:$AJ$190,0,MATCH(G$2,Inputs!$K$4:$AJ$4,0))))+SUMPRODUCT((Inputs!$C$5:$C$190=$B63)*ISNUMBER(INDEX(Inputs!$K$5:$AJ$190,0,MATCH(G$2,Inputs!$K$4:$AJ$4,0))))+SUMPRODUCT((Inputs!$E$5:$E$190=$B63)*ISNUMBER(INDEX(Inputs!$K$5:$AJ$190,0,MATCH(G$2,Inputs!$K$4:$AJ$4,0))))=0,NA(),SUMPRODUCT((Inputs!$A$5:$A$190=$B63)*Inputs!$B$5:$B$190*(((Inputs!$G$5:$G$190="moeda")+(Inputs!$G$5:$G$190="acoes"))*Inputs!$B$1+((Inputs!$G$5:$G$190&lt;&gt;"moeda")*(Inputs!$G$5:$G$190&lt;&gt;"acoes")))*INDEX(Inputs!$K$5:$AJ$190,0,MATCH(G$2,Inputs!$K$4:$AJ$4,0)))+SUMPRODUCT((Inputs!$C$5:$C$190=$B63)*Inputs!$D$5:$D$190*(((Inputs!$G$5:$G$190="moeda")+(Inputs!$G$5:$G$190="acoes"))*Inputs!$B$1+((Inputs!$G$5:$G$190&lt;&gt;"moeda")*(Inputs!$G$5:$G$190&lt;&gt;"acoes")))*INDEX(Inputs!$K$5:$AJ$190,0,MATCH(G$2,Inputs!$K$4:$AJ$4,0)))+SUMPRODUCT((Inputs!$E$5:$E$190=$B63)*Inputs!$F$5:$F$190*(((Inputs!$G$5:$G$190="moeda")+(Inputs!$G$5:$G$190="acoes"))*Inputs!$B$1+((Inputs!$G$5:$G$190&lt;&gt;"moeda")*(Inputs!$G$5:$G$190&lt;&gt;"acoes")))*INDEX(Inputs!$K$5:$AJ$190,0,MATCH(G$2,Inputs!$K$4:$AJ$4,0)))))</f>
        <v>#N/A</v>
      </c>
      <c r="H63" s="265" t="e">
        <f>SUM(D63:G63)</f>
        <v>#N/A</v>
      </c>
      <c r="I63" s="264" t="e">
        <f>IF(ISNA(MATCH(I$2,Inputs!$K$4:$AJ$4,0)),NA(),IF(SUMPRODUCT((Inputs!$A$5:$A$190=$B63)*ISNUMBER(INDEX(Inputs!$K$5:$AJ$190,0,MATCH(I$2,Inputs!$K$4:$AJ$4,0))))+SUMPRODUCT((Inputs!$C$5:$C$190=$B63)*ISNUMBER(INDEX(Inputs!$K$5:$AJ$190,0,MATCH(I$2,Inputs!$K$4:$AJ$4,0))))+SUMPRODUCT((Inputs!$E$5:$E$190=$B63)*ISNUMBER(INDEX(Inputs!$K$5:$AJ$190,0,MATCH(I$2,Inputs!$K$4:$AJ$4,0))))=0,NA(),SUMPRODUCT((Inputs!$A$5:$A$190=$B63)*Inputs!$B$5:$B$190*(((Inputs!$G$5:$G$190="moeda")+(Inputs!$G$5:$G$190="acoes"))*Inputs!$B$1+((Inputs!$G$5:$G$190&lt;&gt;"moeda")*(Inputs!$G$5:$G$190&lt;&gt;"acoes")))*INDEX(Inputs!$K$5:$AJ$190,0,MATCH(I$2,Inputs!$K$4:$AJ$4,0)))+SUMPRODUCT((Inputs!$C$5:$C$190=$B63)*Inputs!$D$5:$D$190*(((Inputs!$G$5:$G$190="moeda")+(Inputs!$G$5:$G$190="acoes"))*Inputs!$B$1+((Inputs!$G$5:$G$190&lt;&gt;"moeda")*(Inputs!$G$5:$G$190&lt;&gt;"acoes")))*INDEX(Inputs!$K$5:$AJ$190,0,MATCH(I$2,Inputs!$K$4:$AJ$4,0)))+SUMPRODUCT((Inputs!$E$5:$E$190=$B63)*Inputs!$F$5:$F$190*(((Inputs!$G$5:$G$190="moeda")+(Inputs!$G$5:$G$190="acoes"))*Inputs!$B$1+((Inputs!$G$5:$G$190&lt;&gt;"moeda")*(Inputs!$G$5:$G$190&lt;&gt;"acoes")))*INDEX(Inputs!$K$5:$AJ$190,0,MATCH(I$2,Inputs!$K$4:$AJ$4,0)))))</f>
        <v>#N/A</v>
      </c>
      <c r="J63" s="264" t="e">
        <f>IF(ISNA(MATCH(J$2,Inputs!$K$4:$AJ$4,0)),NA(),IF(SUMPRODUCT((Inputs!$A$5:$A$190=$B63)*ISNUMBER(INDEX(Inputs!$K$5:$AJ$190,0,MATCH(J$2,Inputs!$K$4:$AJ$4,0))))+SUMPRODUCT((Inputs!$C$5:$C$190=$B63)*ISNUMBER(INDEX(Inputs!$K$5:$AJ$190,0,MATCH(J$2,Inputs!$K$4:$AJ$4,0))))+SUMPRODUCT((Inputs!$E$5:$E$190=$B63)*ISNUMBER(INDEX(Inputs!$K$5:$AJ$190,0,MATCH(J$2,Inputs!$K$4:$AJ$4,0))))=0,NA(),SUMPRODUCT((Inputs!$A$5:$A$190=$B63)*Inputs!$B$5:$B$190*(((Inputs!$G$5:$G$190="moeda")+(Inputs!$G$5:$G$190="acoes"))*Inputs!$B$1+((Inputs!$G$5:$G$190&lt;&gt;"moeda")*(Inputs!$G$5:$G$190&lt;&gt;"acoes")))*INDEX(Inputs!$K$5:$AJ$190,0,MATCH(J$2,Inputs!$K$4:$AJ$4,0)))+SUMPRODUCT((Inputs!$C$5:$C$190=$B63)*Inputs!$D$5:$D$190*(((Inputs!$G$5:$G$190="moeda")+(Inputs!$G$5:$G$190="acoes"))*Inputs!$B$1+((Inputs!$G$5:$G$190&lt;&gt;"moeda")*(Inputs!$G$5:$G$190&lt;&gt;"acoes")))*INDEX(Inputs!$K$5:$AJ$190,0,MATCH(J$2,Inputs!$K$4:$AJ$4,0)))+SUMPRODUCT((Inputs!$E$5:$E$190=$B63)*Inputs!$F$5:$F$190*(((Inputs!$G$5:$G$190="moeda")+(Inputs!$G$5:$G$190="acoes"))*Inputs!$B$1+((Inputs!$G$5:$G$190&lt;&gt;"moeda")*(Inputs!$G$5:$G$190&lt;&gt;"acoes")))*INDEX(Inputs!$K$5:$AJ$190,0,MATCH(J$2,Inputs!$K$4:$AJ$4,0)))))</f>
        <v>#N/A</v>
      </c>
      <c r="K63" s="264" t="e">
        <f>IF(ISNA(MATCH(K$2,Inputs!$K$4:$AJ$4,0)),NA(),IF(SUMPRODUCT((Inputs!$A$5:$A$190=$B63)*ISNUMBER(INDEX(Inputs!$K$5:$AJ$190,0,MATCH(K$2,Inputs!$K$4:$AJ$4,0))))+SUMPRODUCT((Inputs!$C$5:$C$190=$B63)*ISNUMBER(INDEX(Inputs!$K$5:$AJ$190,0,MATCH(K$2,Inputs!$K$4:$AJ$4,0))))+SUMPRODUCT((Inputs!$E$5:$E$190=$B63)*ISNUMBER(INDEX(Inputs!$K$5:$AJ$190,0,MATCH(K$2,Inputs!$K$4:$AJ$4,0))))=0,NA(),SUMPRODUCT((Inputs!$A$5:$A$190=$B63)*Inputs!$B$5:$B$190*(((Inputs!$G$5:$G$190="moeda")+(Inputs!$G$5:$G$190="acoes"))*Inputs!$B$1+((Inputs!$G$5:$G$190&lt;&gt;"moeda")*(Inputs!$G$5:$G$190&lt;&gt;"acoes")))*INDEX(Inputs!$K$5:$AJ$190,0,MATCH(K$2,Inputs!$K$4:$AJ$4,0)))+SUMPRODUCT((Inputs!$C$5:$C$190=$B63)*Inputs!$D$5:$D$190*(((Inputs!$G$5:$G$190="moeda")+(Inputs!$G$5:$G$190="acoes"))*Inputs!$B$1+((Inputs!$G$5:$G$190&lt;&gt;"moeda")*(Inputs!$G$5:$G$190&lt;&gt;"acoes")))*INDEX(Inputs!$K$5:$AJ$190,0,MATCH(K$2,Inputs!$K$4:$AJ$4,0)))+SUMPRODUCT((Inputs!$E$5:$E$190=$B63)*Inputs!$F$5:$F$190*(((Inputs!$G$5:$G$190="moeda")+(Inputs!$G$5:$G$190="acoes"))*Inputs!$B$1+((Inputs!$G$5:$G$190&lt;&gt;"moeda")*(Inputs!$G$5:$G$190&lt;&gt;"acoes")))*INDEX(Inputs!$K$5:$AJ$190,0,MATCH(K$2,Inputs!$K$4:$AJ$4,0)))))</f>
        <v>#N/A</v>
      </c>
      <c r="L63" s="264" t="e">
        <f>IF(ISNA(MATCH(L$2,Inputs!$K$4:$AJ$4,0)),NA(),IF(SUMPRODUCT((Inputs!$A$5:$A$190=$B63)*ISNUMBER(INDEX(Inputs!$K$5:$AJ$190,0,MATCH(L$2,Inputs!$K$4:$AJ$4,0))))+SUMPRODUCT((Inputs!$C$5:$C$190=$B63)*ISNUMBER(INDEX(Inputs!$K$5:$AJ$190,0,MATCH(L$2,Inputs!$K$4:$AJ$4,0))))+SUMPRODUCT((Inputs!$E$5:$E$190=$B63)*ISNUMBER(INDEX(Inputs!$K$5:$AJ$190,0,MATCH(L$2,Inputs!$K$4:$AJ$4,0))))=0,NA(),SUMPRODUCT((Inputs!$A$5:$A$190=$B63)*Inputs!$B$5:$B$190*(((Inputs!$G$5:$G$190="moeda")+(Inputs!$G$5:$G$190="acoes"))*Inputs!$B$1+((Inputs!$G$5:$G$190&lt;&gt;"moeda")*(Inputs!$G$5:$G$190&lt;&gt;"acoes")))*INDEX(Inputs!$K$5:$AJ$190,0,MATCH(L$2,Inputs!$K$4:$AJ$4,0)))+SUMPRODUCT((Inputs!$C$5:$C$190=$B63)*Inputs!$D$5:$D$190*(((Inputs!$G$5:$G$190="moeda")+(Inputs!$G$5:$G$190="acoes"))*Inputs!$B$1+((Inputs!$G$5:$G$190&lt;&gt;"moeda")*(Inputs!$G$5:$G$190&lt;&gt;"acoes")))*INDEX(Inputs!$K$5:$AJ$190,0,MATCH(L$2,Inputs!$K$4:$AJ$4,0)))+SUMPRODUCT((Inputs!$E$5:$E$190=$B63)*Inputs!$F$5:$F$190*(((Inputs!$G$5:$G$190="moeda")+(Inputs!$G$5:$G$190="acoes"))*Inputs!$B$1+((Inputs!$G$5:$G$190&lt;&gt;"moeda")*(Inputs!$G$5:$G$190&lt;&gt;"acoes")))*INDEX(Inputs!$K$5:$AJ$190,0,MATCH(L$2,Inputs!$K$4:$AJ$4,0)))))</f>
        <v>#N/A</v>
      </c>
      <c r="M63" s="265" t="e">
        <f>SUM(I63:L63)</f>
        <v>#N/A</v>
      </c>
      <c r="N63" s="264">
        <f>IF(ISNA(MATCH(N$2,Inputs!$K$4:$AJ$4,0)),NA(),IF(SUMPRODUCT((Inputs!$A$5:$A$190=$B63)*ISNUMBER(INDEX(Inputs!$K$5:$AJ$190,0,MATCH(N$2,Inputs!$K$4:$AJ$4,0))))+SUMPRODUCT((Inputs!$C$5:$C$190=$B63)*ISNUMBER(INDEX(Inputs!$K$5:$AJ$190,0,MATCH(N$2,Inputs!$K$4:$AJ$4,0))))+SUMPRODUCT((Inputs!$E$5:$E$190=$B63)*ISNUMBER(INDEX(Inputs!$K$5:$AJ$190,0,MATCH(N$2,Inputs!$K$4:$AJ$4,0))))=0,NA(),SUMPRODUCT((Inputs!$A$5:$A$190=$B63)*Inputs!$B$5:$B$190*(((Inputs!$G$5:$G$190="moeda")+(Inputs!$G$5:$G$190="acoes"))*Inputs!$B$1+((Inputs!$G$5:$G$190&lt;&gt;"moeda")*(Inputs!$G$5:$G$190&lt;&gt;"acoes")))*INDEX(Inputs!$K$5:$AJ$190,0,MATCH(N$2,Inputs!$K$4:$AJ$4,0)))+SUMPRODUCT((Inputs!$C$5:$C$190=$B63)*Inputs!$D$5:$D$190*(((Inputs!$G$5:$G$190="moeda")+(Inputs!$G$5:$G$190="acoes"))*Inputs!$B$1+((Inputs!$G$5:$G$190&lt;&gt;"moeda")*(Inputs!$G$5:$G$190&lt;&gt;"acoes")))*INDEX(Inputs!$K$5:$AJ$190,0,MATCH(N$2,Inputs!$K$4:$AJ$4,0)))+SUMPRODUCT((Inputs!$E$5:$E$190=$B63)*Inputs!$F$5:$F$190*(((Inputs!$G$5:$G$190="moeda")+(Inputs!$G$5:$G$190="acoes"))*Inputs!$B$1+((Inputs!$G$5:$G$190&lt;&gt;"moeda")*(Inputs!$G$5:$G$190&lt;&gt;"acoes")))*INDEX(Inputs!$K$5:$AJ$190,0,MATCH(N$2,Inputs!$K$4:$AJ$4,0)))))</f>
        <v>2137.91</v>
      </c>
      <c r="O63" s="264">
        <f>IF(ISNA(MATCH(O$2,Inputs!$K$4:$AJ$4,0)),NA(),IF(SUMPRODUCT((Inputs!$A$5:$A$190=$B63)*ISNUMBER(INDEX(Inputs!$K$5:$AJ$190,0,MATCH(O$2,Inputs!$K$4:$AJ$4,0))))+SUMPRODUCT((Inputs!$C$5:$C$190=$B63)*ISNUMBER(INDEX(Inputs!$K$5:$AJ$190,0,MATCH(O$2,Inputs!$K$4:$AJ$4,0))))+SUMPRODUCT((Inputs!$E$5:$E$190=$B63)*ISNUMBER(INDEX(Inputs!$K$5:$AJ$190,0,MATCH(O$2,Inputs!$K$4:$AJ$4,0))))=0,NA(),SUMPRODUCT((Inputs!$A$5:$A$190=$B63)*Inputs!$B$5:$B$190*(((Inputs!$G$5:$G$190="moeda")+(Inputs!$G$5:$G$190="acoes"))*Inputs!$B$1+((Inputs!$G$5:$G$190&lt;&gt;"moeda")*(Inputs!$G$5:$G$190&lt;&gt;"acoes")))*INDEX(Inputs!$K$5:$AJ$190,0,MATCH(O$2,Inputs!$K$4:$AJ$4,0)))+SUMPRODUCT((Inputs!$C$5:$C$190=$B63)*Inputs!$D$5:$D$190*(((Inputs!$G$5:$G$190="moeda")+(Inputs!$G$5:$G$190="acoes"))*Inputs!$B$1+((Inputs!$G$5:$G$190&lt;&gt;"moeda")*(Inputs!$G$5:$G$190&lt;&gt;"acoes")))*INDEX(Inputs!$K$5:$AJ$190,0,MATCH(O$2,Inputs!$K$4:$AJ$4,0)))+SUMPRODUCT((Inputs!$E$5:$E$190=$B63)*Inputs!$F$5:$F$190*(((Inputs!$G$5:$G$190="moeda")+(Inputs!$G$5:$G$190="acoes"))*Inputs!$B$1+((Inputs!$G$5:$G$190&lt;&gt;"moeda")*(Inputs!$G$5:$G$190&lt;&gt;"acoes")))*INDEX(Inputs!$K$5:$AJ$190,0,MATCH(O$2,Inputs!$K$4:$AJ$4,0)))))</f>
        <v>2204.25</v>
      </c>
      <c r="P63" s="264">
        <f>IF(ISNA(MATCH(P$2,Inputs!$K$4:$AJ$4,0)),NA(),IF(SUMPRODUCT((Inputs!$A$5:$A$190=$B63)*ISNUMBER(INDEX(Inputs!$K$5:$AJ$190,0,MATCH(P$2,Inputs!$K$4:$AJ$4,0))))+SUMPRODUCT((Inputs!$C$5:$C$190=$B63)*ISNUMBER(INDEX(Inputs!$K$5:$AJ$190,0,MATCH(P$2,Inputs!$K$4:$AJ$4,0))))+SUMPRODUCT((Inputs!$E$5:$E$190=$B63)*ISNUMBER(INDEX(Inputs!$K$5:$AJ$190,0,MATCH(P$2,Inputs!$K$4:$AJ$4,0))))=0,NA(),SUMPRODUCT((Inputs!$A$5:$A$190=$B63)*Inputs!$B$5:$B$190*(((Inputs!$G$5:$G$190="moeda")+(Inputs!$G$5:$G$190="acoes"))*Inputs!$B$1+((Inputs!$G$5:$G$190&lt;&gt;"moeda")*(Inputs!$G$5:$G$190&lt;&gt;"acoes")))*INDEX(Inputs!$K$5:$AJ$190,0,MATCH(P$2,Inputs!$K$4:$AJ$4,0)))+SUMPRODUCT((Inputs!$C$5:$C$190=$B63)*Inputs!$D$5:$D$190*(((Inputs!$G$5:$G$190="moeda")+(Inputs!$G$5:$G$190="acoes"))*Inputs!$B$1+((Inputs!$G$5:$G$190&lt;&gt;"moeda")*(Inputs!$G$5:$G$190&lt;&gt;"acoes")))*INDEX(Inputs!$K$5:$AJ$190,0,MATCH(P$2,Inputs!$K$4:$AJ$4,0)))+SUMPRODUCT((Inputs!$E$5:$E$190=$B63)*Inputs!$F$5:$F$190*(((Inputs!$G$5:$G$190="moeda")+(Inputs!$G$5:$G$190="acoes"))*Inputs!$B$1+((Inputs!$G$5:$G$190&lt;&gt;"moeda")*(Inputs!$G$5:$G$190&lt;&gt;"acoes")))*INDEX(Inputs!$K$5:$AJ$190,0,MATCH(P$2,Inputs!$K$4:$AJ$4,0)))))</f>
        <v>2483.79</v>
      </c>
      <c r="Q63" s="264">
        <f>IF(ISNA(MATCH(Q$2,Inputs!$K$4:$AJ$4,0)),NA(),IF(SUMPRODUCT((Inputs!$A$5:$A$190=$B63)*ISNUMBER(INDEX(Inputs!$K$5:$AJ$190,0,MATCH(Q$2,Inputs!$K$4:$AJ$4,0))))+SUMPRODUCT((Inputs!$C$5:$C$190=$B63)*ISNUMBER(INDEX(Inputs!$K$5:$AJ$190,0,MATCH(Q$2,Inputs!$K$4:$AJ$4,0))))+SUMPRODUCT((Inputs!$E$5:$E$190=$B63)*ISNUMBER(INDEX(Inputs!$K$5:$AJ$190,0,MATCH(Q$2,Inputs!$K$4:$AJ$4,0))))=0,NA(),SUMPRODUCT((Inputs!$A$5:$A$190=$B63)*Inputs!$B$5:$B$190*(((Inputs!$G$5:$G$190="moeda")+(Inputs!$G$5:$G$190="acoes"))*Inputs!$B$1+((Inputs!$G$5:$G$190&lt;&gt;"moeda")*(Inputs!$G$5:$G$190&lt;&gt;"acoes")))*INDEX(Inputs!$K$5:$AJ$190,0,MATCH(Q$2,Inputs!$K$4:$AJ$4,0)))+SUMPRODUCT((Inputs!$C$5:$C$190=$B63)*Inputs!$D$5:$D$190*(((Inputs!$G$5:$G$190="moeda")+(Inputs!$G$5:$G$190="acoes"))*Inputs!$B$1+((Inputs!$G$5:$G$190&lt;&gt;"moeda")*(Inputs!$G$5:$G$190&lt;&gt;"acoes")))*INDEX(Inputs!$K$5:$AJ$190,0,MATCH(Q$2,Inputs!$K$4:$AJ$4,0)))+SUMPRODUCT((Inputs!$E$5:$E$190=$B63)*Inputs!$F$5:$F$190*(((Inputs!$G$5:$G$190="moeda")+(Inputs!$G$5:$G$190="acoes"))*Inputs!$B$1+((Inputs!$G$5:$G$190&lt;&gt;"moeda")*(Inputs!$G$5:$G$190&lt;&gt;"acoes")))*INDEX(Inputs!$K$5:$AJ$190,0,MATCH(Q$2,Inputs!$K$4:$AJ$4,0)))))</f>
        <v>2695.64</v>
      </c>
      <c r="R63" s="265">
        <f>SUM(N63:Q63)</f>
        <v>9521.59</v>
      </c>
      <c r="S63" s="264">
        <f>IF(ISNA(MATCH(S$2,Inputs!$K$4:$AJ$4,0)),NA(),IF(SUMPRODUCT((Inputs!$A$5:$A$190=$B63)*ISNUMBER(INDEX(Inputs!$K$5:$AJ$190,0,MATCH(S$2,Inputs!$K$4:$AJ$4,0))))+SUMPRODUCT((Inputs!$C$5:$C$190=$B63)*ISNUMBER(INDEX(Inputs!$K$5:$AJ$190,0,MATCH(S$2,Inputs!$K$4:$AJ$4,0))))+SUMPRODUCT((Inputs!$E$5:$E$190=$B63)*ISNUMBER(INDEX(Inputs!$K$5:$AJ$190,0,MATCH(S$2,Inputs!$K$4:$AJ$4,0))))=0,NA(),SUMPRODUCT((Inputs!$A$5:$A$190=$B63)*Inputs!$B$5:$B$190*(((Inputs!$G$5:$G$190="moeda")+(Inputs!$G$5:$G$190="acoes"))*Inputs!$B$1+((Inputs!$G$5:$G$190&lt;&gt;"moeda")*(Inputs!$G$5:$G$190&lt;&gt;"acoes")))*INDEX(Inputs!$K$5:$AJ$190,0,MATCH(S$2,Inputs!$K$4:$AJ$4,0)))+SUMPRODUCT((Inputs!$C$5:$C$190=$B63)*Inputs!$D$5:$D$190*(((Inputs!$G$5:$G$190="moeda")+(Inputs!$G$5:$G$190="acoes"))*Inputs!$B$1+((Inputs!$G$5:$G$190&lt;&gt;"moeda")*(Inputs!$G$5:$G$190&lt;&gt;"acoes")))*INDEX(Inputs!$K$5:$AJ$190,0,MATCH(S$2,Inputs!$K$4:$AJ$4,0)))+SUMPRODUCT((Inputs!$E$5:$E$190=$B63)*Inputs!$F$5:$F$190*(((Inputs!$G$5:$G$190="moeda")+(Inputs!$G$5:$G$190="acoes"))*Inputs!$B$1+((Inputs!$G$5:$G$190&lt;&gt;"moeda")*(Inputs!$G$5:$G$190&lt;&gt;"acoes")))*INDEX(Inputs!$K$5:$AJ$190,0,MATCH(S$2,Inputs!$K$4:$AJ$4,0)))))</f>
        <v>2681.521926</v>
      </c>
      <c r="T63" s="264">
        <f>IF(ISNA(MATCH(T$2,Inputs!$K$4:$AJ$4,0)),NA(),IF(SUMPRODUCT((Inputs!$A$5:$A$190=$B63)*ISNUMBER(INDEX(Inputs!$K$5:$AJ$190,0,MATCH(T$2,Inputs!$K$4:$AJ$4,0))))+SUMPRODUCT((Inputs!$C$5:$C$190=$B63)*ISNUMBER(INDEX(Inputs!$K$5:$AJ$190,0,MATCH(T$2,Inputs!$K$4:$AJ$4,0))))+SUMPRODUCT((Inputs!$E$5:$E$190=$B63)*ISNUMBER(INDEX(Inputs!$K$5:$AJ$190,0,MATCH(T$2,Inputs!$K$4:$AJ$4,0))))=0,NA(),SUMPRODUCT((Inputs!$A$5:$A$190=$B63)*Inputs!$B$5:$B$190*(((Inputs!$G$5:$G$190="moeda")+(Inputs!$G$5:$G$190="acoes"))*Inputs!$B$1+((Inputs!$G$5:$G$190&lt;&gt;"moeda")*(Inputs!$G$5:$G$190&lt;&gt;"acoes")))*INDEX(Inputs!$K$5:$AJ$190,0,MATCH(T$2,Inputs!$K$4:$AJ$4,0)))+SUMPRODUCT((Inputs!$C$5:$C$190=$B63)*Inputs!$D$5:$D$190*(((Inputs!$G$5:$G$190="moeda")+(Inputs!$G$5:$G$190="acoes"))*Inputs!$B$1+((Inputs!$G$5:$G$190&lt;&gt;"moeda")*(Inputs!$G$5:$G$190&lt;&gt;"acoes")))*INDEX(Inputs!$K$5:$AJ$190,0,MATCH(T$2,Inputs!$K$4:$AJ$4,0)))+SUMPRODUCT((Inputs!$E$5:$E$190=$B63)*Inputs!$F$5:$F$190*(((Inputs!$G$5:$G$190="moeda")+(Inputs!$G$5:$G$190="acoes"))*Inputs!$B$1+((Inputs!$G$5:$G$190&lt;&gt;"moeda")*(Inputs!$G$5:$G$190&lt;&gt;"acoes")))*INDEX(Inputs!$K$5:$AJ$190,0,MATCH(T$2,Inputs!$K$4:$AJ$4,0)))))</f>
        <v>3050.08937</v>
      </c>
      <c r="U63" s="264">
        <f>IF(ISNA(MATCH(U$2,Inputs!$K$4:$AJ$4,0)),NA(),IF(SUMPRODUCT((Inputs!$A$5:$A$190=$B63)*ISNUMBER(INDEX(Inputs!$K$5:$AJ$190,0,MATCH(U$2,Inputs!$K$4:$AJ$4,0))))+SUMPRODUCT((Inputs!$C$5:$C$190=$B63)*ISNUMBER(INDEX(Inputs!$K$5:$AJ$190,0,MATCH(U$2,Inputs!$K$4:$AJ$4,0))))+SUMPRODUCT((Inputs!$E$5:$E$190=$B63)*ISNUMBER(INDEX(Inputs!$K$5:$AJ$190,0,MATCH(U$2,Inputs!$K$4:$AJ$4,0))))=0,NA(),SUMPRODUCT((Inputs!$A$5:$A$190=$B63)*Inputs!$B$5:$B$190*(((Inputs!$G$5:$G$190="moeda")+(Inputs!$G$5:$G$190="acoes"))*Inputs!$B$1+((Inputs!$G$5:$G$190&lt;&gt;"moeda")*(Inputs!$G$5:$G$190&lt;&gt;"acoes")))*INDEX(Inputs!$K$5:$AJ$190,0,MATCH(U$2,Inputs!$K$4:$AJ$4,0)))+SUMPRODUCT((Inputs!$C$5:$C$190=$B63)*Inputs!$D$5:$D$190*(((Inputs!$G$5:$G$190="moeda")+(Inputs!$G$5:$G$190="acoes"))*Inputs!$B$1+((Inputs!$G$5:$G$190&lt;&gt;"moeda")*(Inputs!$G$5:$G$190&lt;&gt;"acoes")))*INDEX(Inputs!$K$5:$AJ$190,0,MATCH(U$2,Inputs!$K$4:$AJ$4,0)))+SUMPRODUCT((Inputs!$E$5:$E$190=$B63)*Inputs!$F$5:$F$190*(((Inputs!$G$5:$G$190="moeda")+(Inputs!$G$5:$G$190="acoes"))*Inputs!$B$1+((Inputs!$G$5:$G$190&lt;&gt;"moeda")*(Inputs!$G$5:$G$190&lt;&gt;"acoes")))*INDEX(Inputs!$K$5:$AJ$190,0,MATCH(U$2,Inputs!$K$4:$AJ$4,0)))))</f>
        <v>3110.245079</v>
      </c>
      <c r="V63" s="264">
        <f>IF(ISNA(MATCH(V$2,Inputs!$K$4:$AJ$4,0)),NA(),IF(SUMPRODUCT((Inputs!$A$5:$A$190=$B63)*ISNUMBER(INDEX(Inputs!$K$5:$AJ$190,0,MATCH(V$2,Inputs!$K$4:$AJ$4,0))))+SUMPRODUCT((Inputs!$C$5:$C$190=$B63)*ISNUMBER(INDEX(Inputs!$K$5:$AJ$190,0,MATCH(V$2,Inputs!$K$4:$AJ$4,0))))+SUMPRODUCT((Inputs!$E$5:$E$190=$B63)*ISNUMBER(INDEX(Inputs!$K$5:$AJ$190,0,MATCH(V$2,Inputs!$K$4:$AJ$4,0))))=0,NA(),SUMPRODUCT((Inputs!$A$5:$A$190=$B63)*Inputs!$B$5:$B$190*(((Inputs!$G$5:$G$190="moeda")+(Inputs!$G$5:$G$190="acoes"))*Inputs!$B$1+((Inputs!$G$5:$G$190&lt;&gt;"moeda")*(Inputs!$G$5:$G$190&lt;&gt;"acoes")))*INDEX(Inputs!$K$5:$AJ$190,0,MATCH(V$2,Inputs!$K$4:$AJ$4,0)))+SUMPRODUCT((Inputs!$C$5:$C$190=$B63)*Inputs!$D$5:$D$190*(((Inputs!$G$5:$G$190="moeda")+(Inputs!$G$5:$G$190="acoes"))*Inputs!$B$1+((Inputs!$G$5:$G$190&lt;&gt;"moeda")*(Inputs!$G$5:$G$190&lt;&gt;"acoes")))*INDEX(Inputs!$K$5:$AJ$190,0,MATCH(V$2,Inputs!$K$4:$AJ$4,0)))+SUMPRODUCT((Inputs!$E$5:$E$190=$B63)*Inputs!$F$5:$F$190*(((Inputs!$G$5:$G$190="moeda")+(Inputs!$G$5:$G$190="acoes"))*Inputs!$B$1+((Inputs!$G$5:$G$190&lt;&gt;"moeda")*(Inputs!$G$5:$G$190&lt;&gt;"acoes")))*INDEX(Inputs!$K$5:$AJ$190,0,MATCH(V$2,Inputs!$K$4:$AJ$4,0)))))</f>
        <v>3144.697977</v>
      </c>
      <c r="W63" s="265">
        <f>SUM(S63:V63)</f>
        <v>11986.554352</v>
      </c>
      <c r="X63" s="264">
        <f>IF(ISNA(MATCH(X$2,Inputs!$K$4:$AJ$4,0)),NA(),IF(SUMPRODUCT((Inputs!$A$5:$A$190=$B63)*ISNUMBER(INDEX(Inputs!$K$5:$AJ$190,0,MATCH(X$2,Inputs!$K$4:$AJ$4,0))))+SUMPRODUCT((Inputs!$C$5:$C$190=$B63)*ISNUMBER(INDEX(Inputs!$K$5:$AJ$190,0,MATCH(X$2,Inputs!$K$4:$AJ$4,0))))+SUMPRODUCT((Inputs!$E$5:$E$190=$B63)*ISNUMBER(INDEX(Inputs!$K$5:$AJ$190,0,MATCH(X$2,Inputs!$K$4:$AJ$4,0))))=0,NA(),SUMPRODUCT((Inputs!$A$5:$A$190=$B63)*Inputs!$B$5:$B$190*(((Inputs!$G$5:$G$190="moeda")+(Inputs!$G$5:$G$190="acoes"))*Inputs!$B$1+((Inputs!$G$5:$G$190&lt;&gt;"moeda")*(Inputs!$G$5:$G$190&lt;&gt;"acoes")))*INDEX(Inputs!$K$5:$AJ$190,0,MATCH(X$2,Inputs!$K$4:$AJ$4,0)))+SUMPRODUCT((Inputs!$C$5:$C$190=$B63)*Inputs!$D$5:$D$190*(((Inputs!$G$5:$G$190="moeda")+(Inputs!$G$5:$G$190="acoes"))*Inputs!$B$1+((Inputs!$G$5:$G$190&lt;&gt;"moeda")*(Inputs!$G$5:$G$190&lt;&gt;"acoes")))*INDEX(Inputs!$K$5:$AJ$190,0,MATCH(X$2,Inputs!$K$4:$AJ$4,0)))+SUMPRODUCT((Inputs!$E$5:$E$190=$B63)*Inputs!$F$5:$F$190*(((Inputs!$G$5:$G$190="moeda")+(Inputs!$G$5:$G$190="acoes"))*Inputs!$B$1+((Inputs!$G$5:$G$190&lt;&gt;"moeda")*(Inputs!$G$5:$G$190&lt;&gt;"acoes")))*INDEX(Inputs!$K$5:$AJ$190,0,MATCH(X$2,Inputs!$K$4:$AJ$4,0)))))</f>
        <v>2907.88337487877</v>
      </c>
      <c r="Y63" s="264">
        <f>IF(ISNA(MATCH(Y$2,Inputs!$K$4:$AJ$4,0)),NA(),IF(SUMPRODUCT((Inputs!$A$5:$A$190=$B63)*ISNUMBER(INDEX(Inputs!$K$5:$AJ$190,0,MATCH(Y$2,Inputs!$K$4:$AJ$4,0))))+SUMPRODUCT((Inputs!$C$5:$C$190=$B63)*ISNUMBER(INDEX(Inputs!$K$5:$AJ$190,0,MATCH(Y$2,Inputs!$K$4:$AJ$4,0))))+SUMPRODUCT((Inputs!$E$5:$E$190=$B63)*ISNUMBER(INDEX(Inputs!$K$5:$AJ$190,0,MATCH(Y$2,Inputs!$K$4:$AJ$4,0))))=0,NA(),SUMPRODUCT((Inputs!$A$5:$A$190=$B63)*Inputs!$B$5:$B$190*(((Inputs!$G$5:$G$190="moeda")+(Inputs!$G$5:$G$190="acoes"))*Inputs!$B$1+((Inputs!$G$5:$G$190&lt;&gt;"moeda")*(Inputs!$G$5:$G$190&lt;&gt;"acoes")))*INDEX(Inputs!$K$5:$AJ$190,0,MATCH(Y$2,Inputs!$K$4:$AJ$4,0)))+SUMPRODUCT((Inputs!$C$5:$C$190=$B63)*Inputs!$D$5:$D$190*(((Inputs!$G$5:$G$190="moeda")+(Inputs!$G$5:$G$190="acoes"))*Inputs!$B$1+((Inputs!$G$5:$G$190&lt;&gt;"moeda")*(Inputs!$G$5:$G$190&lt;&gt;"acoes")))*INDEX(Inputs!$K$5:$AJ$190,0,MATCH(Y$2,Inputs!$K$4:$AJ$4,0)))+SUMPRODUCT((Inputs!$E$5:$E$190=$B63)*Inputs!$F$5:$F$190*(((Inputs!$G$5:$G$190="moeda")+(Inputs!$G$5:$G$190="acoes"))*Inputs!$B$1+((Inputs!$G$5:$G$190&lt;&gt;"moeda")*(Inputs!$G$5:$G$190&lt;&gt;"acoes")))*INDEX(Inputs!$K$5:$AJ$190,0,MATCH(Y$2,Inputs!$K$4:$AJ$4,0)))))</f>
        <v>3087.33263911123</v>
      </c>
      <c r="Z63" s="264">
        <f>IF(ISNA(MATCH(Z$2,Inputs!$K$4:$AJ$4,0)),NA(),IF(SUMPRODUCT((Inputs!$A$5:$A$190=$B63)*ISNUMBER(INDEX(Inputs!$K$5:$AJ$190,0,MATCH(Z$2,Inputs!$K$4:$AJ$4,0))))+SUMPRODUCT((Inputs!$C$5:$C$190=$B63)*ISNUMBER(INDEX(Inputs!$K$5:$AJ$190,0,MATCH(Z$2,Inputs!$K$4:$AJ$4,0))))+SUMPRODUCT((Inputs!$E$5:$E$190=$B63)*ISNUMBER(INDEX(Inputs!$K$5:$AJ$190,0,MATCH(Z$2,Inputs!$K$4:$AJ$4,0))))=0,NA(),SUMPRODUCT((Inputs!$A$5:$A$190=$B63)*Inputs!$B$5:$B$190*(((Inputs!$G$5:$G$190="moeda")+(Inputs!$G$5:$G$190="acoes"))*Inputs!$B$1+((Inputs!$G$5:$G$190&lt;&gt;"moeda")*(Inputs!$G$5:$G$190&lt;&gt;"acoes")))*INDEX(Inputs!$K$5:$AJ$190,0,MATCH(Z$2,Inputs!$K$4:$AJ$4,0)))+SUMPRODUCT((Inputs!$C$5:$C$190=$B63)*Inputs!$D$5:$D$190*(((Inputs!$G$5:$G$190="moeda")+(Inputs!$G$5:$G$190="acoes"))*Inputs!$B$1+((Inputs!$G$5:$G$190&lt;&gt;"moeda")*(Inputs!$G$5:$G$190&lt;&gt;"acoes")))*INDEX(Inputs!$K$5:$AJ$190,0,MATCH(Z$2,Inputs!$K$4:$AJ$4,0)))+SUMPRODUCT((Inputs!$E$5:$E$190=$B63)*Inputs!$F$5:$F$190*(((Inputs!$G$5:$G$190="moeda")+(Inputs!$G$5:$G$190="acoes"))*Inputs!$B$1+((Inputs!$G$5:$G$190&lt;&gt;"moeda")*(Inputs!$G$5:$G$190&lt;&gt;"acoes")))*INDEX(Inputs!$K$5:$AJ$190,0,MATCH(Z$2,Inputs!$K$4:$AJ$4,0)))))</f>
        <v>3465.49243777</v>
      </c>
      <c r="AA63" s="264">
        <f>IF(ISNA(MATCH(AA$2,Inputs!$K$4:$AJ$4,0)),NA(),IF(SUMPRODUCT((Inputs!$A$5:$A$190=$B63)*ISNUMBER(INDEX(Inputs!$K$5:$AJ$190,0,MATCH(AA$2,Inputs!$K$4:$AJ$4,0))))+SUMPRODUCT((Inputs!$C$5:$C$190=$B63)*ISNUMBER(INDEX(Inputs!$K$5:$AJ$190,0,MATCH(AA$2,Inputs!$K$4:$AJ$4,0))))+SUMPRODUCT((Inputs!$E$5:$E$190=$B63)*ISNUMBER(INDEX(Inputs!$K$5:$AJ$190,0,MATCH(AA$2,Inputs!$K$4:$AJ$4,0))))=0,NA(),SUMPRODUCT((Inputs!$A$5:$A$190=$B63)*Inputs!$B$5:$B$190*(((Inputs!$G$5:$G$190="moeda")+(Inputs!$G$5:$G$190="acoes"))*Inputs!$B$1+((Inputs!$G$5:$G$190&lt;&gt;"moeda")*(Inputs!$G$5:$G$190&lt;&gt;"acoes")))*INDEX(Inputs!$K$5:$AJ$190,0,MATCH(AA$2,Inputs!$K$4:$AJ$4,0)))+SUMPRODUCT((Inputs!$C$5:$C$190=$B63)*Inputs!$D$5:$D$190*(((Inputs!$G$5:$G$190="moeda")+(Inputs!$G$5:$G$190="acoes"))*Inputs!$B$1+((Inputs!$G$5:$G$190&lt;&gt;"moeda")*(Inputs!$G$5:$G$190&lt;&gt;"acoes")))*INDEX(Inputs!$K$5:$AJ$190,0,MATCH(AA$2,Inputs!$K$4:$AJ$4,0)))+SUMPRODUCT((Inputs!$E$5:$E$190=$B63)*Inputs!$F$5:$F$190*(((Inputs!$G$5:$G$190="moeda")+(Inputs!$G$5:$G$190="acoes"))*Inputs!$B$1+((Inputs!$G$5:$G$190&lt;&gt;"moeda")*(Inputs!$G$5:$G$190&lt;&gt;"acoes")))*INDEX(Inputs!$K$5:$AJ$190,0,MATCH(AA$2,Inputs!$K$4:$AJ$4,0)))))</f>
        <v>3354.69020929</v>
      </c>
      <c r="AB63" s="265">
        <f>SUM(X63:AA63)</f>
        <v>12815.39866105</v>
      </c>
      <c r="AC63" s="264">
        <f>IF(ISNA(MATCH(AC$2,Inputs!$K$4:$AJ$4,0)),NA(),IF(SUMPRODUCT((Inputs!$A$5:$A$190=$B63)*ISNUMBER(INDEX(Inputs!$K$5:$AJ$190,0,MATCH(AC$2,Inputs!$K$4:$AJ$4,0))))+SUMPRODUCT((Inputs!$C$5:$C$190=$B63)*ISNUMBER(INDEX(Inputs!$K$5:$AJ$190,0,MATCH(AC$2,Inputs!$K$4:$AJ$4,0))))+SUMPRODUCT((Inputs!$E$5:$E$190=$B63)*ISNUMBER(INDEX(Inputs!$K$5:$AJ$190,0,MATCH(AC$2,Inputs!$K$4:$AJ$4,0))))=0,NA(),SUMPRODUCT((Inputs!$A$5:$A$190=$B63)*Inputs!$B$5:$B$190*(((Inputs!$G$5:$G$190="moeda")+(Inputs!$G$5:$G$190="acoes"))*Inputs!$B$1+((Inputs!$G$5:$G$190&lt;&gt;"moeda")*(Inputs!$G$5:$G$190&lt;&gt;"acoes")))*INDEX(Inputs!$K$5:$AJ$190,0,MATCH(AC$2,Inputs!$K$4:$AJ$4,0)))+SUMPRODUCT((Inputs!$C$5:$C$190=$B63)*Inputs!$D$5:$D$190*(((Inputs!$G$5:$G$190="moeda")+(Inputs!$G$5:$G$190="acoes"))*Inputs!$B$1+((Inputs!$G$5:$G$190&lt;&gt;"moeda")*(Inputs!$G$5:$G$190&lt;&gt;"acoes")))*INDEX(Inputs!$K$5:$AJ$190,0,MATCH(AC$2,Inputs!$K$4:$AJ$4,0)))+SUMPRODUCT((Inputs!$E$5:$E$190=$B63)*Inputs!$F$5:$F$190*(((Inputs!$G$5:$G$190="moeda")+(Inputs!$G$5:$G$190="acoes"))*Inputs!$B$1+((Inputs!$G$5:$G$190&lt;&gt;"moeda")*(Inputs!$G$5:$G$190&lt;&gt;"acoes")))*INDEX(Inputs!$K$5:$AJ$190,0,MATCH(AC$2,Inputs!$K$4:$AJ$4,0)))))</f>
        <v>3126.49263894</v>
      </c>
      <c r="AD63" s="264">
        <f>IF(ISNA(MATCH(AD$2,Inputs!$K$4:$AJ$4,0)),NA(),IF(SUMPRODUCT((Inputs!$A$5:$A$190=$B63)*ISNUMBER(INDEX(Inputs!$K$5:$AJ$190,0,MATCH(AD$2,Inputs!$K$4:$AJ$4,0))))+SUMPRODUCT((Inputs!$C$5:$C$190=$B63)*ISNUMBER(INDEX(Inputs!$K$5:$AJ$190,0,MATCH(AD$2,Inputs!$K$4:$AJ$4,0))))+SUMPRODUCT((Inputs!$E$5:$E$190=$B63)*ISNUMBER(INDEX(Inputs!$K$5:$AJ$190,0,MATCH(AD$2,Inputs!$K$4:$AJ$4,0))))=0,NA(),SUMPRODUCT((Inputs!$A$5:$A$190=$B63)*Inputs!$B$5:$B$190*(((Inputs!$G$5:$G$190="moeda")+(Inputs!$G$5:$G$190="acoes"))*Inputs!$B$1+((Inputs!$G$5:$G$190&lt;&gt;"moeda")*(Inputs!$G$5:$G$190&lt;&gt;"acoes")))*INDEX(Inputs!$K$5:$AJ$190,0,MATCH(AD$2,Inputs!$K$4:$AJ$4,0)))+SUMPRODUCT((Inputs!$C$5:$C$190=$B63)*Inputs!$D$5:$D$190*(((Inputs!$G$5:$G$190="moeda")+(Inputs!$G$5:$G$190="acoes"))*Inputs!$B$1+((Inputs!$G$5:$G$190&lt;&gt;"moeda")*(Inputs!$G$5:$G$190&lt;&gt;"acoes")))*INDEX(Inputs!$K$5:$AJ$190,0,MATCH(AD$2,Inputs!$K$4:$AJ$4,0)))+SUMPRODUCT((Inputs!$E$5:$E$190=$B63)*Inputs!$F$5:$F$190*(((Inputs!$G$5:$G$190="moeda")+(Inputs!$G$5:$G$190="acoes"))*Inputs!$B$1+((Inputs!$G$5:$G$190&lt;&gt;"moeda")*(Inputs!$G$5:$G$190&lt;&gt;"acoes")))*INDEX(Inputs!$K$5:$AJ$190,0,MATCH(AD$2,Inputs!$K$4:$AJ$4,0)))))</f>
        <v>3455.11138736</v>
      </c>
      <c r="AE63" s="264" t="e">
        <f>IF(ISNA(MATCH(AE$2,Inputs!$K$4:$AJ$4,0)),NA(),IF(SUMPRODUCT((Inputs!$A$5:$A$190=$B63)*ISNUMBER(INDEX(Inputs!$K$5:$AJ$190,0,MATCH(AE$2,Inputs!$K$4:$AJ$4,0))))+SUMPRODUCT((Inputs!$C$5:$C$190=$B63)*ISNUMBER(INDEX(Inputs!$K$5:$AJ$190,0,MATCH(AE$2,Inputs!$K$4:$AJ$4,0))))+SUMPRODUCT((Inputs!$E$5:$E$190=$B63)*ISNUMBER(INDEX(Inputs!$K$5:$AJ$190,0,MATCH(AE$2,Inputs!$K$4:$AJ$4,0))))=0,NA(),SUMPRODUCT((Inputs!$A$5:$A$190=$B63)*Inputs!$B$5:$B$190*(((Inputs!$G$5:$G$190="moeda")+(Inputs!$G$5:$G$190="acoes"))*Inputs!$B$1+((Inputs!$G$5:$G$190&lt;&gt;"moeda")*(Inputs!$G$5:$G$190&lt;&gt;"acoes")))*INDEX(Inputs!$K$5:$AJ$190,0,MATCH(AE$2,Inputs!$K$4:$AJ$4,0)))+SUMPRODUCT((Inputs!$C$5:$C$190=$B63)*Inputs!$D$5:$D$190*(((Inputs!$G$5:$G$190="moeda")+(Inputs!$G$5:$G$190="acoes"))*Inputs!$B$1+((Inputs!$G$5:$G$190&lt;&gt;"moeda")*(Inputs!$G$5:$G$190&lt;&gt;"acoes")))*INDEX(Inputs!$K$5:$AJ$190,0,MATCH(AE$2,Inputs!$K$4:$AJ$4,0)))+SUMPRODUCT((Inputs!$E$5:$E$190=$B63)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63" s="264" t="e">
        <f>IF(ISNA(MATCH(AF$2,Inputs!$K$4:$AJ$4,0)),NA(),IF(SUMPRODUCT((Inputs!$A$5:$A$190=$B63)*ISNUMBER(INDEX(Inputs!$K$5:$AJ$190,0,MATCH(AF$2,Inputs!$K$4:$AJ$4,0))))+SUMPRODUCT((Inputs!$C$5:$C$190=$B63)*ISNUMBER(INDEX(Inputs!$K$5:$AJ$190,0,MATCH(AF$2,Inputs!$K$4:$AJ$4,0))))+SUMPRODUCT((Inputs!$E$5:$E$190=$B63)*ISNUMBER(INDEX(Inputs!$K$5:$AJ$190,0,MATCH(AF$2,Inputs!$K$4:$AJ$4,0))))=0,NA(),SUMPRODUCT((Inputs!$A$5:$A$190=$B63)*Inputs!$B$5:$B$190*(((Inputs!$G$5:$G$190="moeda")+(Inputs!$G$5:$G$190="acoes"))*Inputs!$B$1+((Inputs!$G$5:$G$190&lt;&gt;"moeda")*(Inputs!$G$5:$G$190&lt;&gt;"acoes")))*INDEX(Inputs!$K$5:$AJ$190,0,MATCH(AF$2,Inputs!$K$4:$AJ$4,0)))+SUMPRODUCT((Inputs!$C$5:$C$190=$B63)*Inputs!$D$5:$D$190*(((Inputs!$G$5:$G$190="moeda")+(Inputs!$G$5:$G$190="acoes"))*Inputs!$B$1+((Inputs!$G$5:$G$190&lt;&gt;"moeda")*(Inputs!$G$5:$G$190&lt;&gt;"acoes")))*INDEX(Inputs!$K$5:$AJ$190,0,MATCH(AF$2,Inputs!$K$4:$AJ$4,0)))+SUMPRODUCT((Inputs!$E$5:$E$190=$B63)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63" s="265" t="e">
        <f>SUM(AC63:AF63)</f>
        <v>#N/A</v>
      </c>
      <c r="AH63" s="264" t="e">
        <f>IF(ISNA(MATCH(AH$2,Inputs!$K$4:$AJ$4,0)),NA(),IF(SUMPRODUCT((Inputs!$A$5:$A$190=$B63)*ISNUMBER(INDEX(Inputs!$K$5:$AJ$190,0,MATCH(AH$2,Inputs!$K$4:$AJ$4,0))))+SUMPRODUCT((Inputs!$C$5:$C$190=$B63)*ISNUMBER(INDEX(Inputs!$K$5:$AJ$190,0,MATCH(AH$2,Inputs!$K$4:$AJ$4,0))))+SUMPRODUCT((Inputs!$E$5:$E$190=$B63)*ISNUMBER(INDEX(Inputs!$K$5:$AJ$190,0,MATCH(AH$2,Inputs!$K$4:$AJ$4,0))))=0,NA(),SUMPRODUCT((Inputs!$A$5:$A$190=$B63)*Inputs!$B$5:$B$190*(((Inputs!$G$5:$G$190="moeda")+(Inputs!$G$5:$G$190="acoes"))*Inputs!$B$1+((Inputs!$G$5:$G$190&lt;&gt;"moeda")*(Inputs!$G$5:$G$190&lt;&gt;"acoes")))*INDEX(Inputs!$K$5:$AJ$190,0,MATCH(AH$2,Inputs!$K$4:$AJ$4,0)))+SUMPRODUCT((Inputs!$C$5:$C$190=$B63)*Inputs!$D$5:$D$190*(((Inputs!$G$5:$G$190="moeda")+(Inputs!$G$5:$G$190="acoes"))*Inputs!$B$1+((Inputs!$G$5:$G$190&lt;&gt;"moeda")*(Inputs!$G$5:$G$190&lt;&gt;"acoes")))*INDEX(Inputs!$K$5:$AJ$190,0,MATCH(AH$2,Inputs!$K$4:$AJ$4,0)))+SUMPRODUCT((Inputs!$E$5:$E$190=$B63)*Inputs!$F$5:$F$190*(((Inputs!$G$5:$G$190="moeda")+(Inputs!$G$5:$G$190="acoes"))*Inputs!$B$1+((Inputs!$G$5:$G$190&lt;&gt;"moeda")*(Inputs!$G$5:$G$190&lt;&gt;"acoes")))*INDEX(Inputs!$K$5:$AJ$190,0,MATCH(AH$2,Inputs!$K$4:$AJ$4,0)))))</f>
        <v>#N/A</v>
      </c>
      <c r="AI63" s="264" t="e">
        <f>IF(ISNA(MATCH(AI$2,Inputs!$K$4:$AJ$4,0)),NA(),IF(SUMPRODUCT((Inputs!$A$5:$A$190=$B63)*ISNUMBER(INDEX(Inputs!$K$5:$AJ$190,0,MATCH(AI$2,Inputs!$K$4:$AJ$4,0))))+SUMPRODUCT((Inputs!$C$5:$C$190=$B63)*ISNUMBER(INDEX(Inputs!$K$5:$AJ$190,0,MATCH(AI$2,Inputs!$K$4:$AJ$4,0))))+SUMPRODUCT((Inputs!$E$5:$E$190=$B63)*ISNUMBER(INDEX(Inputs!$K$5:$AJ$190,0,MATCH(AI$2,Inputs!$K$4:$AJ$4,0))))=0,NA(),SUMPRODUCT((Inputs!$A$5:$A$190=$B63)*Inputs!$B$5:$B$190*(((Inputs!$G$5:$G$190="moeda")+(Inputs!$G$5:$G$190="acoes"))*Inputs!$B$1+((Inputs!$G$5:$G$190&lt;&gt;"moeda")*(Inputs!$G$5:$G$190&lt;&gt;"acoes")))*INDEX(Inputs!$K$5:$AJ$190,0,MATCH(AI$2,Inputs!$K$4:$AJ$4,0)))+SUMPRODUCT((Inputs!$C$5:$C$190=$B63)*Inputs!$D$5:$D$190*(((Inputs!$G$5:$G$190="moeda")+(Inputs!$G$5:$G$190="acoes"))*Inputs!$B$1+((Inputs!$G$5:$G$190&lt;&gt;"moeda")*(Inputs!$G$5:$G$190&lt;&gt;"acoes")))*INDEX(Inputs!$K$5:$AJ$190,0,MATCH(AI$2,Inputs!$K$4:$AJ$4,0)))+SUMPRODUCT((Inputs!$E$5:$E$190=$B63)*Inputs!$F$5:$F$190*(((Inputs!$G$5:$G$190="moeda")+(Inputs!$G$5:$G$190="acoes"))*Inputs!$B$1+((Inputs!$G$5:$G$190&lt;&gt;"moeda")*(Inputs!$G$5:$G$190&lt;&gt;"acoes")))*INDEX(Inputs!$K$5:$AJ$190,0,MATCH(AI$2,Inputs!$K$4:$AJ$4,0)))))</f>
        <v>#N/A</v>
      </c>
      <c r="AJ63" s="264" t="e">
        <f>IF(ISNA(MATCH(AJ$2,Inputs!$K$4:$AJ$4,0)),NA(),IF(SUMPRODUCT((Inputs!$A$5:$A$190=$B63)*ISNUMBER(INDEX(Inputs!$K$5:$AJ$190,0,MATCH(AJ$2,Inputs!$K$4:$AJ$4,0))))+SUMPRODUCT((Inputs!$C$5:$C$190=$B63)*ISNUMBER(INDEX(Inputs!$K$5:$AJ$190,0,MATCH(AJ$2,Inputs!$K$4:$AJ$4,0))))+SUMPRODUCT((Inputs!$E$5:$E$190=$B63)*ISNUMBER(INDEX(Inputs!$K$5:$AJ$190,0,MATCH(AJ$2,Inputs!$K$4:$AJ$4,0))))=0,NA(),SUMPRODUCT((Inputs!$A$5:$A$190=$B63)*Inputs!$B$5:$B$190*(((Inputs!$G$5:$G$190="moeda")+(Inputs!$G$5:$G$190="acoes"))*Inputs!$B$1+((Inputs!$G$5:$G$190&lt;&gt;"moeda")*(Inputs!$G$5:$G$190&lt;&gt;"acoes")))*INDEX(Inputs!$K$5:$AJ$190,0,MATCH(AJ$2,Inputs!$K$4:$AJ$4,0)))+SUMPRODUCT((Inputs!$C$5:$C$190=$B63)*Inputs!$D$5:$D$190*(((Inputs!$G$5:$G$190="moeda")+(Inputs!$G$5:$G$190="acoes"))*Inputs!$B$1+((Inputs!$G$5:$G$190&lt;&gt;"moeda")*(Inputs!$G$5:$G$190&lt;&gt;"acoes")))*INDEX(Inputs!$K$5:$AJ$190,0,MATCH(AJ$2,Inputs!$K$4:$AJ$4,0)))+SUMPRODUCT((Inputs!$E$5:$E$190=$B63)*Inputs!$F$5:$F$190*(((Inputs!$G$5:$G$190="moeda")+(Inputs!$G$5:$G$190="acoes"))*Inputs!$B$1+((Inputs!$G$5:$G$190&lt;&gt;"moeda")*(Inputs!$G$5:$G$190&lt;&gt;"acoes")))*INDEX(Inputs!$K$5:$AJ$190,0,MATCH(AJ$2,Inputs!$K$4:$AJ$4,0)))))</f>
        <v>#N/A</v>
      </c>
      <c r="AK63" s="264" t="e">
        <f>IF(ISNA(MATCH(AK$2,Inputs!$K$4:$AJ$4,0)),NA(),IF(SUMPRODUCT((Inputs!$A$5:$A$190=$B63)*ISNUMBER(INDEX(Inputs!$K$5:$AJ$190,0,MATCH(AK$2,Inputs!$K$4:$AJ$4,0))))+SUMPRODUCT((Inputs!$C$5:$C$190=$B63)*ISNUMBER(INDEX(Inputs!$K$5:$AJ$190,0,MATCH(AK$2,Inputs!$K$4:$AJ$4,0))))+SUMPRODUCT((Inputs!$E$5:$E$190=$B63)*ISNUMBER(INDEX(Inputs!$K$5:$AJ$190,0,MATCH(AK$2,Inputs!$K$4:$AJ$4,0))))=0,NA(),SUMPRODUCT((Inputs!$A$5:$A$190=$B63)*Inputs!$B$5:$B$190*(((Inputs!$G$5:$G$190="moeda")+(Inputs!$G$5:$G$190="acoes"))*Inputs!$B$1+((Inputs!$G$5:$G$190&lt;&gt;"moeda")*(Inputs!$G$5:$G$190&lt;&gt;"acoes")))*INDEX(Inputs!$K$5:$AJ$190,0,MATCH(AK$2,Inputs!$K$4:$AJ$4,0)))+SUMPRODUCT((Inputs!$C$5:$C$190=$B63)*Inputs!$D$5:$D$190*(((Inputs!$G$5:$G$190="moeda")+(Inputs!$G$5:$G$190="acoes"))*Inputs!$B$1+((Inputs!$G$5:$G$190&lt;&gt;"moeda")*(Inputs!$G$5:$G$190&lt;&gt;"acoes")))*INDEX(Inputs!$K$5:$AJ$190,0,MATCH(AK$2,Inputs!$K$4:$AJ$4,0)))+SUMPRODUCT((Inputs!$E$5:$E$190=$B63)*Inputs!$F$5:$F$190*(((Inputs!$G$5:$G$190="moeda")+(Inputs!$G$5:$G$190="acoes"))*Inputs!$B$1+((Inputs!$G$5:$G$190&lt;&gt;"moeda")*(Inputs!$G$5:$G$190&lt;&gt;"acoes")))*INDEX(Inputs!$K$5:$AJ$190,0,MATCH(AK$2,Inputs!$K$4:$AJ$4,0)))))</f>
        <v>#N/A</v>
      </c>
      <c r="AL63" s="265" t="e">
        <f>SUM(AH63:AK63)</f>
        <v>#N/A</v>
      </c>
    </row>
    <row r="64">
      <c r="B64" s="46" t="n">
        <v>56</v>
      </c>
      <c r="C64" s="29" t="inlineStr">
        <is>
          <t>Receita liquida - CS Brasil (aba CS Brasil l.22)</t>
        </is>
      </c>
      <c r="D64" s="264">
        <f>IF(ISNA(MATCH(D$2,Inputs!$K$4:$AJ$4,0)),NA(),IF(SUMPRODUCT((Inputs!$A$5:$A$190=$B64)*ISNUMBER(INDEX(Inputs!$K$5:$AJ$190,0,MATCH(D$2,Inputs!$K$4:$AJ$4,0))))+SUMPRODUCT((Inputs!$C$5:$C$190=$B64)*ISNUMBER(INDEX(Inputs!$K$5:$AJ$190,0,MATCH(D$2,Inputs!$K$4:$AJ$4,0))))+SUMPRODUCT((Inputs!$E$5:$E$190=$B64)*ISNUMBER(INDEX(Inputs!$K$5:$AJ$190,0,MATCH(D$2,Inputs!$K$4:$AJ$4,0))))=0,NA(),SUMPRODUCT((Inputs!$A$5:$A$190=$B64)*Inputs!$B$5:$B$190*(((Inputs!$G$5:$G$190="moeda")+(Inputs!$G$5:$G$190="acoes"))*Inputs!$B$1+((Inputs!$G$5:$G$190&lt;&gt;"moeda")*(Inputs!$G$5:$G$190&lt;&gt;"acoes")))*INDEX(Inputs!$K$5:$AJ$190,0,MATCH(D$2,Inputs!$K$4:$AJ$4,0)))+SUMPRODUCT((Inputs!$C$5:$C$190=$B64)*Inputs!$D$5:$D$190*(((Inputs!$G$5:$G$190="moeda")+(Inputs!$G$5:$G$190="acoes"))*Inputs!$B$1+((Inputs!$G$5:$G$190&lt;&gt;"moeda")*(Inputs!$G$5:$G$190&lt;&gt;"acoes")))*INDEX(Inputs!$K$5:$AJ$190,0,MATCH(D$2,Inputs!$K$4:$AJ$4,0)))+SUMPRODUCT((Inputs!$E$5:$E$190=$B64)*Inputs!$F$5:$F$190*(((Inputs!$G$5:$G$190="moeda")+(Inputs!$G$5:$G$190="acoes"))*Inputs!$B$1+((Inputs!$G$5:$G$190&lt;&gt;"moeda")*(Inputs!$G$5:$G$190&lt;&gt;"acoes")))*INDEX(Inputs!$K$5:$AJ$190,0,MATCH(D$2,Inputs!$K$4:$AJ$4,0)))))</f>
        <v>253.15964785</v>
      </c>
      <c r="E64" s="264">
        <f>IF(ISNA(MATCH(E$2,Inputs!$K$4:$AJ$4,0)),NA(),IF(SUMPRODUCT((Inputs!$A$5:$A$190=$B64)*ISNUMBER(INDEX(Inputs!$K$5:$AJ$190,0,MATCH(E$2,Inputs!$K$4:$AJ$4,0))))+SUMPRODUCT((Inputs!$C$5:$C$190=$B64)*ISNUMBER(INDEX(Inputs!$K$5:$AJ$190,0,MATCH(E$2,Inputs!$K$4:$AJ$4,0))))+SUMPRODUCT((Inputs!$E$5:$E$190=$B64)*ISNUMBER(INDEX(Inputs!$K$5:$AJ$190,0,MATCH(E$2,Inputs!$K$4:$AJ$4,0))))=0,NA(),SUMPRODUCT((Inputs!$A$5:$A$190=$B64)*Inputs!$B$5:$B$190*(((Inputs!$G$5:$G$190="moeda")+(Inputs!$G$5:$G$190="acoes"))*Inputs!$B$1+((Inputs!$G$5:$G$190&lt;&gt;"moeda")*(Inputs!$G$5:$G$190&lt;&gt;"acoes")))*INDEX(Inputs!$K$5:$AJ$190,0,MATCH(E$2,Inputs!$K$4:$AJ$4,0)))+SUMPRODUCT((Inputs!$C$5:$C$190=$B64)*Inputs!$D$5:$D$190*(((Inputs!$G$5:$G$190="moeda")+(Inputs!$G$5:$G$190="acoes"))*Inputs!$B$1+((Inputs!$G$5:$G$190&lt;&gt;"moeda")*(Inputs!$G$5:$G$190&lt;&gt;"acoes")))*INDEX(Inputs!$K$5:$AJ$190,0,MATCH(E$2,Inputs!$K$4:$AJ$4,0)))+SUMPRODUCT((Inputs!$E$5:$E$190=$B64)*Inputs!$F$5:$F$190*(((Inputs!$G$5:$G$190="moeda")+(Inputs!$G$5:$G$190="acoes"))*Inputs!$B$1+((Inputs!$G$5:$G$190&lt;&gt;"moeda")*(Inputs!$G$5:$G$190&lt;&gt;"acoes")))*INDEX(Inputs!$K$5:$AJ$190,0,MATCH(E$2,Inputs!$K$4:$AJ$4,0)))))</f>
        <v>280.22125865</v>
      </c>
      <c r="F64" s="264">
        <f>IF(ISNA(MATCH(F$2,Inputs!$K$4:$AJ$4,0)),NA(),IF(SUMPRODUCT((Inputs!$A$5:$A$190=$B64)*ISNUMBER(INDEX(Inputs!$K$5:$AJ$190,0,MATCH(F$2,Inputs!$K$4:$AJ$4,0))))+SUMPRODUCT((Inputs!$C$5:$C$190=$B64)*ISNUMBER(INDEX(Inputs!$K$5:$AJ$190,0,MATCH(F$2,Inputs!$K$4:$AJ$4,0))))+SUMPRODUCT((Inputs!$E$5:$E$190=$B64)*ISNUMBER(INDEX(Inputs!$K$5:$AJ$190,0,MATCH(F$2,Inputs!$K$4:$AJ$4,0))))=0,NA(),SUMPRODUCT((Inputs!$A$5:$A$190=$B64)*Inputs!$B$5:$B$190*(((Inputs!$G$5:$G$190="moeda")+(Inputs!$G$5:$G$190="acoes"))*Inputs!$B$1+((Inputs!$G$5:$G$190&lt;&gt;"moeda")*(Inputs!$G$5:$G$190&lt;&gt;"acoes")))*INDEX(Inputs!$K$5:$AJ$190,0,MATCH(F$2,Inputs!$K$4:$AJ$4,0)))+SUMPRODUCT((Inputs!$C$5:$C$190=$B64)*Inputs!$D$5:$D$190*(((Inputs!$G$5:$G$190="moeda")+(Inputs!$G$5:$G$190="acoes"))*Inputs!$B$1+((Inputs!$G$5:$G$190&lt;&gt;"moeda")*(Inputs!$G$5:$G$190&lt;&gt;"acoes")))*INDEX(Inputs!$K$5:$AJ$190,0,MATCH(F$2,Inputs!$K$4:$AJ$4,0)))+SUMPRODUCT((Inputs!$E$5:$E$190=$B64)*Inputs!$F$5:$F$190*(((Inputs!$G$5:$G$190="moeda")+(Inputs!$G$5:$G$190="acoes"))*Inputs!$B$1+((Inputs!$G$5:$G$190&lt;&gt;"moeda")*(Inputs!$G$5:$G$190&lt;&gt;"acoes")))*INDEX(Inputs!$K$5:$AJ$190,0,MATCH(F$2,Inputs!$K$4:$AJ$4,0)))))</f>
        <v>175.244142445807</v>
      </c>
      <c r="G64" s="264">
        <f>IF(ISNA(MATCH(G$2,Inputs!$K$4:$AJ$4,0)),NA(),IF(SUMPRODUCT((Inputs!$A$5:$A$190=$B64)*ISNUMBER(INDEX(Inputs!$K$5:$AJ$190,0,MATCH(G$2,Inputs!$K$4:$AJ$4,0))))+SUMPRODUCT((Inputs!$C$5:$C$190=$B64)*ISNUMBER(INDEX(Inputs!$K$5:$AJ$190,0,MATCH(G$2,Inputs!$K$4:$AJ$4,0))))+SUMPRODUCT((Inputs!$E$5:$E$190=$B64)*ISNUMBER(INDEX(Inputs!$K$5:$AJ$190,0,MATCH(G$2,Inputs!$K$4:$AJ$4,0))))=0,NA(),SUMPRODUCT((Inputs!$A$5:$A$190=$B64)*Inputs!$B$5:$B$190*(((Inputs!$G$5:$G$190="moeda")+(Inputs!$G$5:$G$190="acoes"))*Inputs!$B$1+((Inputs!$G$5:$G$190&lt;&gt;"moeda")*(Inputs!$G$5:$G$190&lt;&gt;"acoes")))*INDEX(Inputs!$K$5:$AJ$190,0,MATCH(G$2,Inputs!$K$4:$AJ$4,0)))+SUMPRODUCT((Inputs!$C$5:$C$190=$B64)*Inputs!$D$5:$D$190*(((Inputs!$G$5:$G$190="moeda")+(Inputs!$G$5:$G$190="acoes"))*Inputs!$B$1+((Inputs!$G$5:$G$190&lt;&gt;"moeda")*(Inputs!$G$5:$G$190&lt;&gt;"acoes")))*INDEX(Inputs!$K$5:$AJ$190,0,MATCH(G$2,Inputs!$K$4:$AJ$4,0)))+SUMPRODUCT((Inputs!$E$5:$E$190=$B64)*Inputs!$F$5:$F$190*(((Inputs!$G$5:$G$190="moeda")+(Inputs!$G$5:$G$190="acoes"))*Inputs!$B$1+((Inputs!$G$5:$G$190&lt;&gt;"moeda")*(Inputs!$G$5:$G$190&lt;&gt;"acoes")))*INDEX(Inputs!$K$5:$AJ$190,0,MATCH(G$2,Inputs!$K$4:$AJ$4,0)))))</f>
        <v>125.00164548</v>
      </c>
      <c r="H64" s="265">
        <f>SUM(D64:G64)</f>
        <v>833.626694425807</v>
      </c>
      <c r="I64" s="264">
        <f>IF(ISNA(MATCH(I$2,Inputs!$K$4:$AJ$4,0)),NA(),IF(SUMPRODUCT((Inputs!$A$5:$A$190=$B64)*ISNUMBER(INDEX(Inputs!$K$5:$AJ$190,0,MATCH(I$2,Inputs!$K$4:$AJ$4,0))))+SUMPRODUCT((Inputs!$C$5:$C$190=$B64)*ISNUMBER(INDEX(Inputs!$K$5:$AJ$190,0,MATCH(I$2,Inputs!$K$4:$AJ$4,0))))+SUMPRODUCT((Inputs!$E$5:$E$190=$B64)*ISNUMBER(INDEX(Inputs!$K$5:$AJ$190,0,MATCH(I$2,Inputs!$K$4:$AJ$4,0))))=0,NA(),SUMPRODUCT((Inputs!$A$5:$A$190=$B64)*Inputs!$B$5:$B$190*(((Inputs!$G$5:$G$190="moeda")+(Inputs!$G$5:$G$190="acoes"))*Inputs!$B$1+((Inputs!$G$5:$G$190&lt;&gt;"moeda")*(Inputs!$G$5:$G$190&lt;&gt;"acoes")))*INDEX(Inputs!$K$5:$AJ$190,0,MATCH(I$2,Inputs!$K$4:$AJ$4,0)))+SUMPRODUCT((Inputs!$C$5:$C$190=$B64)*Inputs!$D$5:$D$190*(((Inputs!$G$5:$G$190="moeda")+(Inputs!$G$5:$G$190="acoes"))*Inputs!$B$1+((Inputs!$G$5:$G$190&lt;&gt;"moeda")*(Inputs!$G$5:$G$190&lt;&gt;"acoes")))*INDEX(Inputs!$K$5:$AJ$190,0,MATCH(I$2,Inputs!$K$4:$AJ$4,0)))+SUMPRODUCT((Inputs!$E$5:$E$190=$B64)*Inputs!$F$5:$F$190*(((Inputs!$G$5:$G$190="moeda")+(Inputs!$G$5:$G$190="acoes"))*Inputs!$B$1+((Inputs!$G$5:$G$190&lt;&gt;"moeda")*(Inputs!$G$5:$G$190&lt;&gt;"acoes")))*INDEX(Inputs!$K$5:$AJ$190,0,MATCH(I$2,Inputs!$K$4:$AJ$4,0)))))</f>
        <v>120.5922828</v>
      </c>
      <c r="J64" s="264">
        <f>IF(ISNA(MATCH(J$2,Inputs!$K$4:$AJ$4,0)),NA(),IF(SUMPRODUCT((Inputs!$A$5:$A$190=$B64)*ISNUMBER(INDEX(Inputs!$K$5:$AJ$190,0,MATCH(J$2,Inputs!$K$4:$AJ$4,0))))+SUMPRODUCT((Inputs!$C$5:$C$190=$B64)*ISNUMBER(INDEX(Inputs!$K$5:$AJ$190,0,MATCH(J$2,Inputs!$K$4:$AJ$4,0))))+SUMPRODUCT((Inputs!$E$5:$E$190=$B64)*ISNUMBER(INDEX(Inputs!$K$5:$AJ$190,0,MATCH(J$2,Inputs!$K$4:$AJ$4,0))))=0,NA(),SUMPRODUCT((Inputs!$A$5:$A$190=$B64)*Inputs!$B$5:$B$190*(((Inputs!$G$5:$G$190="moeda")+(Inputs!$G$5:$G$190="acoes"))*Inputs!$B$1+((Inputs!$G$5:$G$190&lt;&gt;"moeda")*(Inputs!$G$5:$G$190&lt;&gt;"acoes")))*INDEX(Inputs!$K$5:$AJ$190,0,MATCH(J$2,Inputs!$K$4:$AJ$4,0)))+SUMPRODUCT((Inputs!$C$5:$C$190=$B64)*Inputs!$D$5:$D$190*(((Inputs!$G$5:$G$190="moeda")+(Inputs!$G$5:$G$190="acoes"))*Inputs!$B$1+((Inputs!$G$5:$G$190&lt;&gt;"moeda")*(Inputs!$G$5:$G$190&lt;&gt;"acoes")))*INDEX(Inputs!$K$5:$AJ$190,0,MATCH(J$2,Inputs!$K$4:$AJ$4,0)))+SUMPRODUCT((Inputs!$E$5:$E$190=$B64)*Inputs!$F$5:$F$190*(((Inputs!$G$5:$G$190="moeda")+(Inputs!$G$5:$G$190="acoes"))*Inputs!$B$1+((Inputs!$G$5:$G$190&lt;&gt;"moeda")*(Inputs!$G$5:$G$190&lt;&gt;"acoes")))*INDEX(Inputs!$K$5:$AJ$190,0,MATCH(J$2,Inputs!$K$4:$AJ$4,0)))))</f>
        <v>135.57765826</v>
      </c>
      <c r="K64" s="264">
        <f>IF(ISNA(MATCH(K$2,Inputs!$K$4:$AJ$4,0)),NA(),IF(SUMPRODUCT((Inputs!$A$5:$A$190=$B64)*ISNUMBER(INDEX(Inputs!$K$5:$AJ$190,0,MATCH(K$2,Inputs!$K$4:$AJ$4,0))))+SUMPRODUCT((Inputs!$C$5:$C$190=$B64)*ISNUMBER(INDEX(Inputs!$K$5:$AJ$190,0,MATCH(K$2,Inputs!$K$4:$AJ$4,0))))+SUMPRODUCT((Inputs!$E$5:$E$190=$B64)*ISNUMBER(INDEX(Inputs!$K$5:$AJ$190,0,MATCH(K$2,Inputs!$K$4:$AJ$4,0))))=0,NA(),SUMPRODUCT((Inputs!$A$5:$A$190=$B64)*Inputs!$B$5:$B$190*(((Inputs!$G$5:$G$190="moeda")+(Inputs!$G$5:$G$190="acoes"))*Inputs!$B$1+((Inputs!$G$5:$G$190&lt;&gt;"moeda")*(Inputs!$G$5:$G$190&lt;&gt;"acoes")))*INDEX(Inputs!$K$5:$AJ$190,0,MATCH(K$2,Inputs!$K$4:$AJ$4,0)))+SUMPRODUCT((Inputs!$C$5:$C$190=$B64)*Inputs!$D$5:$D$190*(((Inputs!$G$5:$G$190="moeda")+(Inputs!$G$5:$G$190="acoes"))*Inputs!$B$1+((Inputs!$G$5:$G$190&lt;&gt;"moeda")*(Inputs!$G$5:$G$190&lt;&gt;"acoes")))*INDEX(Inputs!$K$5:$AJ$190,0,MATCH(K$2,Inputs!$K$4:$AJ$4,0)))+SUMPRODUCT((Inputs!$E$5:$E$190=$B64)*Inputs!$F$5:$F$190*(((Inputs!$G$5:$G$190="moeda")+(Inputs!$G$5:$G$190="acoes"))*Inputs!$B$1+((Inputs!$G$5:$G$190&lt;&gt;"moeda")*(Inputs!$G$5:$G$190&lt;&gt;"acoes")))*INDEX(Inputs!$K$5:$AJ$190,0,MATCH(K$2,Inputs!$K$4:$AJ$4,0)))))</f>
        <v>185.37970771</v>
      </c>
      <c r="L64" s="264">
        <f>IF(ISNA(MATCH(L$2,Inputs!$K$4:$AJ$4,0)),NA(),IF(SUMPRODUCT((Inputs!$A$5:$A$190=$B64)*ISNUMBER(INDEX(Inputs!$K$5:$AJ$190,0,MATCH(L$2,Inputs!$K$4:$AJ$4,0))))+SUMPRODUCT((Inputs!$C$5:$C$190=$B64)*ISNUMBER(INDEX(Inputs!$K$5:$AJ$190,0,MATCH(L$2,Inputs!$K$4:$AJ$4,0))))+SUMPRODUCT((Inputs!$E$5:$E$190=$B64)*ISNUMBER(INDEX(Inputs!$K$5:$AJ$190,0,MATCH(L$2,Inputs!$K$4:$AJ$4,0))))=0,NA(),SUMPRODUCT((Inputs!$A$5:$A$190=$B64)*Inputs!$B$5:$B$190*(((Inputs!$G$5:$G$190="moeda")+(Inputs!$G$5:$G$190="acoes"))*Inputs!$B$1+((Inputs!$G$5:$G$190&lt;&gt;"moeda")*(Inputs!$G$5:$G$190&lt;&gt;"acoes")))*INDEX(Inputs!$K$5:$AJ$190,0,MATCH(L$2,Inputs!$K$4:$AJ$4,0)))+SUMPRODUCT((Inputs!$C$5:$C$190=$B64)*Inputs!$D$5:$D$190*(((Inputs!$G$5:$G$190="moeda")+(Inputs!$G$5:$G$190="acoes"))*Inputs!$B$1+((Inputs!$G$5:$G$190&lt;&gt;"moeda")*(Inputs!$G$5:$G$190&lt;&gt;"acoes")))*INDEX(Inputs!$K$5:$AJ$190,0,MATCH(L$2,Inputs!$K$4:$AJ$4,0)))+SUMPRODUCT((Inputs!$E$5:$E$190=$B64)*Inputs!$F$5:$F$190*(((Inputs!$G$5:$G$190="moeda")+(Inputs!$G$5:$G$190="acoes"))*Inputs!$B$1+((Inputs!$G$5:$G$190&lt;&gt;"moeda")*(Inputs!$G$5:$G$190&lt;&gt;"acoes")))*INDEX(Inputs!$K$5:$AJ$190,0,MATCH(L$2,Inputs!$K$4:$AJ$4,0)))))</f>
        <v>275.8489468</v>
      </c>
      <c r="M64" s="265">
        <f>SUM(I64:L64)</f>
        <v>717.39859557</v>
      </c>
      <c r="N64" s="264">
        <f>IF(ISNA(MATCH(N$2,Inputs!$K$4:$AJ$4,0)),NA(),IF(SUMPRODUCT((Inputs!$A$5:$A$190=$B64)*ISNUMBER(INDEX(Inputs!$K$5:$AJ$190,0,MATCH(N$2,Inputs!$K$4:$AJ$4,0))))+SUMPRODUCT((Inputs!$C$5:$C$190=$B64)*ISNUMBER(INDEX(Inputs!$K$5:$AJ$190,0,MATCH(N$2,Inputs!$K$4:$AJ$4,0))))+SUMPRODUCT((Inputs!$E$5:$E$190=$B64)*ISNUMBER(INDEX(Inputs!$K$5:$AJ$190,0,MATCH(N$2,Inputs!$K$4:$AJ$4,0))))=0,NA(),SUMPRODUCT((Inputs!$A$5:$A$190=$B64)*Inputs!$B$5:$B$190*(((Inputs!$G$5:$G$190="moeda")+(Inputs!$G$5:$G$190="acoes"))*Inputs!$B$1+((Inputs!$G$5:$G$190&lt;&gt;"moeda")*(Inputs!$G$5:$G$190&lt;&gt;"acoes")))*INDEX(Inputs!$K$5:$AJ$190,0,MATCH(N$2,Inputs!$K$4:$AJ$4,0)))+SUMPRODUCT((Inputs!$C$5:$C$190=$B64)*Inputs!$D$5:$D$190*(((Inputs!$G$5:$G$190="moeda")+(Inputs!$G$5:$G$190="acoes"))*Inputs!$B$1+((Inputs!$G$5:$G$190&lt;&gt;"moeda")*(Inputs!$G$5:$G$190&lt;&gt;"acoes")))*INDEX(Inputs!$K$5:$AJ$190,0,MATCH(N$2,Inputs!$K$4:$AJ$4,0)))+SUMPRODUCT((Inputs!$E$5:$E$190=$B64)*Inputs!$F$5:$F$190*(((Inputs!$G$5:$G$190="moeda")+(Inputs!$G$5:$G$190="acoes"))*Inputs!$B$1+((Inputs!$G$5:$G$190&lt;&gt;"moeda")*(Inputs!$G$5:$G$190&lt;&gt;"acoes")))*INDEX(Inputs!$K$5:$AJ$190,0,MATCH(N$2,Inputs!$K$4:$AJ$4,0)))))</f>
        <v>175.43202768</v>
      </c>
      <c r="O64" s="264">
        <f>IF(ISNA(MATCH(O$2,Inputs!$K$4:$AJ$4,0)),NA(),IF(SUMPRODUCT((Inputs!$A$5:$A$190=$B64)*ISNUMBER(INDEX(Inputs!$K$5:$AJ$190,0,MATCH(O$2,Inputs!$K$4:$AJ$4,0))))+SUMPRODUCT((Inputs!$C$5:$C$190=$B64)*ISNUMBER(INDEX(Inputs!$K$5:$AJ$190,0,MATCH(O$2,Inputs!$K$4:$AJ$4,0))))+SUMPRODUCT((Inputs!$E$5:$E$190=$B64)*ISNUMBER(INDEX(Inputs!$K$5:$AJ$190,0,MATCH(O$2,Inputs!$K$4:$AJ$4,0))))=0,NA(),SUMPRODUCT((Inputs!$A$5:$A$190=$B64)*Inputs!$B$5:$B$190*(((Inputs!$G$5:$G$190="moeda")+(Inputs!$G$5:$G$190="acoes"))*Inputs!$B$1+((Inputs!$G$5:$G$190&lt;&gt;"moeda")*(Inputs!$G$5:$G$190&lt;&gt;"acoes")))*INDEX(Inputs!$K$5:$AJ$190,0,MATCH(O$2,Inputs!$K$4:$AJ$4,0)))+SUMPRODUCT((Inputs!$C$5:$C$190=$B64)*Inputs!$D$5:$D$190*(((Inputs!$G$5:$G$190="moeda")+(Inputs!$G$5:$G$190="acoes"))*Inputs!$B$1+((Inputs!$G$5:$G$190&lt;&gt;"moeda")*(Inputs!$G$5:$G$190&lt;&gt;"acoes")))*INDEX(Inputs!$K$5:$AJ$190,0,MATCH(O$2,Inputs!$K$4:$AJ$4,0)))+SUMPRODUCT((Inputs!$E$5:$E$190=$B64)*Inputs!$F$5:$F$190*(((Inputs!$G$5:$G$190="moeda")+(Inputs!$G$5:$G$190="acoes"))*Inputs!$B$1+((Inputs!$G$5:$G$190&lt;&gt;"moeda")*(Inputs!$G$5:$G$190&lt;&gt;"acoes")))*INDEX(Inputs!$K$5:$AJ$190,0,MATCH(O$2,Inputs!$K$4:$AJ$4,0)))))</f>
        <v>176.42614706</v>
      </c>
      <c r="P64" s="264">
        <f>IF(ISNA(MATCH(P$2,Inputs!$K$4:$AJ$4,0)),NA(),IF(SUMPRODUCT((Inputs!$A$5:$A$190=$B64)*ISNUMBER(INDEX(Inputs!$K$5:$AJ$190,0,MATCH(P$2,Inputs!$K$4:$AJ$4,0))))+SUMPRODUCT((Inputs!$C$5:$C$190=$B64)*ISNUMBER(INDEX(Inputs!$K$5:$AJ$190,0,MATCH(P$2,Inputs!$K$4:$AJ$4,0))))+SUMPRODUCT((Inputs!$E$5:$E$190=$B64)*ISNUMBER(INDEX(Inputs!$K$5:$AJ$190,0,MATCH(P$2,Inputs!$K$4:$AJ$4,0))))=0,NA(),SUMPRODUCT((Inputs!$A$5:$A$190=$B64)*Inputs!$B$5:$B$190*(((Inputs!$G$5:$G$190="moeda")+(Inputs!$G$5:$G$190="acoes"))*Inputs!$B$1+((Inputs!$G$5:$G$190&lt;&gt;"moeda")*(Inputs!$G$5:$G$190&lt;&gt;"acoes")))*INDEX(Inputs!$K$5:$AJ$190,0,MATCH(P$2,Inputs!$K$4:$AJ$4,0)))+SUMPRODUCT((Inputs!$C$5:$C$190=$B64)*Inputs!$D$5:$D$190*(((Inputs!$G$5:$G$190="moeda")+(Inputs!$G$5:$G$190="acoes"))*Inputs!$B$1+((Inputs!$G$5:$G$190&lt;&gt;"moeda")*(Inputs!$G$5:$G$190&lt;&gt;"acoes")))*INDEX(Inputs!$K$5:$AJ$190,0,MATCH(P$2,Inputs!$K$4:$AJ$4,0)))+SUMPRODUCT((Inputs!$E$5:$E$190=$B64)*Inputs!$F$5:$F$190*(((Inputs!$G$5:$G$190="moeda")+(Inputs!$G$5:$G$190="acoes"))*Inputs!$B$1+((Inputs!$G$5:$G$190&lt;&gt;"moeda")*(Inputs!$G$5:$G$190&lt;&gt;"acoes")))*INDEX(Inputs!$K$5:$AJ$190,0,MATCH(P$2,Inputs!$K$4:$AJ$4,0)))))</f>
        <v>176.48227026</v>
      </c>
      <c r="Q64" s="264">
        <f>IF(ISNA(MATCH(Q$2,Inputs!$K$4:$AJ$4,0)),NA(),IF(SUMPRODUCT((Inputs!$A$5:$A$190=$B64)*ISNUMBER(INDEX(Inputs!$K$5:$AJ$190,0,MATCH(Q$2,Inputs!$K$4:$AJ$4,0))))+SUMPRODUCT((Inputs!$C$5:$C$190=$B64)*ISNUMBER(INDEX(Inputs!$K$5:$AJ$190,0,MATCH(Q$2,Inputs!$K$4:$AJ$4,0))))+SUMPRODUCT((Inputs!$E$5:$E$190=$B64)*ISNUMBER(INDEX(Inputs!$K$5:$AJ$190,0,MATCH(Q$2,Inputs!$K$4:$AJ$4,0))))=0,NA(),SUMPRODUCT((Inputs!$A$5:$A$190=$B64)*Inputs!$B$5:$B$190*(((Inputs!$G$5:$G$190="moeda")+(Inputs!$G$5:$G$190="acoes"))*Inputs!$B$1+((Inputs!$G$5:$G$190&lt;&gt;"moeda")*(Inputs!$G$5:$G$190&lt;&gt;"acoes")))*INDEX(Inputs!$K$5:$AJ$190,0,MATCH(Q$2,Inputs!$K$4:$AJ$4,0)))+SUMPRODUCT((Inputs!$C$5:$C$190=$B64)*Inputs!$D$5:$D$190*(((Inputs!$G$5:$G$190="moeda")+(Inputs!$G$5:$G$190="acoes"))*Inputs!$B$1+((Inputs!$G$5:$G$190&lt;&gt;"moeda")*(Inputs!$G$5:$G$190&lt;&gt;"acoes")))*INDEX(Inputs!$K$5:$AJ$190,0,MATCH(Q$2,Inputs!$K$4:$AJ$4,0)))+SUMPRODUCT((Inputs!$E$5:$E$190=$B64)*Inputs!$F$5:$F$190*(((Inputs!$G$5:$G$190="moeda")+(Inputs!$G$5:$G$190="acoes"))*Inputs!$B$1+((Inputs!$G$5:$G$190&lt;&gt;"moeda")*(Inputs!$G$5:$G$190&lt;&gt;"acoes")))*INDEX(Inputs!$K$5:$AJ$190,0,MATCH(Q$2,Inputs!$K$4:$AJ$4,0)))))</f>
        <v>153.20968642</v>
      </c>
      <c r="R64" s="265">
        <f>SUM(N64:Q64)</f>
        <v>681.55013142</v>
      </c>
      <c r="S64" s="264">
        <f>IF(ISNA(MATCH(S$2,Inputs!$K$4:$AJ$4,0)),NA(),IF(SUMPRODUCT((Inputs!$A$5:$A$190=$B64)*ISNUMBER(INDEX(Inputs!$K$5:$AJ$190,0,MATCH(S$2,Inputs!$K$4:$AJ$4,0))))+SUMPRODUCT((Inputs!$C$5:$C$190=$B64)*ISNUMBER(INDEX(Inputs!$K$5:$AJ$190,0,MATCH(S$2,Inputs!$K$4:$AJ$4,0))))+SUMPRODUCT((Inputs!$E$5:$E$190=$B64)*ISNUMBER(INDEX(Inputs!$K$5:$AJ$190,0,MATCH(S$2,Inputs!$K$4:$AJ$4,0))))=0,NA(),SUMPRODUCT((Inputs!$A$5:$A$190=$B64)*Inputs!$B$5:$B$190*(((Inputs!$G$5:$G$190="moeda")+(Inputs!$G$5:$G$190="acoes"))*Inputs!$B$1+((Inputs!$G$5:$G$190&lt;&gt;"moeda")*(Inputs!$G$5:$G$190&lt;&gt;"acoes")))*INDEX(Inputs!$K$5:$AJ$190,0,MATCH(S$2,Inputs!$K$4:$AJ$4,0)))+SUMPRODUCT((Inputs!$C$5:$C$190=$B64)*Inputs!$D$5:$D$190*(((Inputs!$G$5:$G$190="moeda")+(Inputs!$G$5:$G$190="acoes"))*Inputs!$B$1+((Inputs!$G$5:$G$190&lt;&gt;"moeda")*(Inputs!$G$5:$G$190&lt;&gt;"acoes")))*INDEX(Inputs!$K$5:$AJ$190,0,MATCH(S$2,Inputs!$K$4:$AJ$4,0)))+SUMPRODUCT((Inputs!$E$5:$E$190=$B64)*Inputs!$F$5:$F$190*(((Inputs!$G$5:$G$190="moeda")+(Inputs!$G$5:$G$190="acoes"))*Inputs!$B$1+((Inputs!$G$5:$G$190&lt;&gt;"moeda")*(Inputs!$G$5:$G$190&lt;&gt;"acoes")))*INDEX(Inputs!$K$5:$AJ$190,0,MATCH(S$2,Inputs!$K$4:$AJ$4,0)))))</f>
        <v>143.81806892</v>
      </c>
      <c r="T64" s="264">
        <f>IF(ISNA(MATCH(T$2,Inputs!$K$4:$AJ$4,0)),NA(),IF(SUMPRODUCT((Inputs!$A$5:$A$190=$B64)*ISNUMBER(INDEX(Inputs!$K$5:$AJ$190,0,MATCH(T$2,Inputs!$K$4:$AJ$4,0))))+SUMPRODUCT((Inputs!$C$5:$C$190=$B64)*ISNUMBER(INDEX(Inputs!$K$5:$AJ$190,0,MATCH(T$2,Inputs!$K$4:$AJ$4,0))))+SUMPRODUCT((Inputs!$E$5:$E$190=$B64)*ISNUMBER(INDEX(Inputs!$K$5:$AJ$190,0,MATCH(T$2,Inputs!$K$4:$AJ$4,0))))=0,NA(),SUMPRODUCT((Inputs!$A$5:$A$190=$B64)*Inputs!$B$5:$B$190*(((Inputs!$G$5:$G$190="moeda")+(Inputs!$G$5:$G$190="acoes"))*Inputs!$B$1+((Inputs!$G$5:$G$190&lt;&gt;"moeda")*(Inputs!$G$5:$G$190&lt;&gt;"acoes")))*INDEX(Inputs!$K$5:$AJ$190,0,MATCH(T$2,Inputs!$K$4:$AJ$4,0)))+SUMPRODUCT((Inputs!$C$5:$C$190=$B64)*Inputs!$D$5:$D$190*(((Inputs!$G$5:$G$190="moeda")+(Inputs!$G$5:$G$190="acoes"))*Inputs!$B$1+((Inputs!$G$5:$G$190&lt;&gt;"moeda")*(Inputs!$G$5:$G$190&lt;&gt;"acoes")))*INDEX(Inputs!$K$5:$AJ$190,0,MATCH(T$2,Inputs!$K$4:$AJ$4,0)))+SUMPRODUCT((Inputs!$E$5:$E$190=$B64)*Inputs!$F$5:$F$190*(((Inputs!$G$5:$G$190="moeda")+(Inputs!$G$5:$G$190="acoes"))*Inputs!$B$1+((Inputs!$G$5:$G$190&lt;&gt;"moeda")*(Inputs!$G$5:$G$190&lt;&gt;"acoes")))*INDEX(Inputs!$K$5:$AJ$190,0,MATCH(T$2,Inputs!$K$4:$AJ$4,0)))))</f>
        <v>153.54271196</v>
      </c>
      <c r="U64" s="264">
        <f>IF(ISNA(MATCH(U$2,Inputs!$K$4:$AJ$4,0)),NA(),IF(SUMPRODUCT((Inputs!$A$5:$A$190=$B64)*ISNUMBER(INDEX(Inputs!$K$5:$AJ$190,0,MATCH(U$2,Inputs!$K$4:$AJ$4,0))))+SUMPRODUCT((Inputs!$C$5:$C$190=$B64)*ISNUMBER(INDEX(Inputs!$K$5:$AJ$190,0,MATCH(U$2,Inputs!$K$4:$AJ$4,0))))+SUMPRODUCT((Inputs!$E$5:$E$190=$B64)*ISNUMBER(INDEX(Inputs!$K$5:$AJ$190,0,MATCH(U$2,Inputs!$K$4:$AJ$4,0))))=0,NA(),SUMPRODUCT((Inputs!$A$5:$A$190=$B64)*Inputs!$B$5:$B$190*(((Inputs!$G$5:$G$190="moeda")+(Inputs!$G$5:$G$190="acoes"))*Inputs!$B$1+((Inputs!$G$5:$G$190&lt;&gt;"moeda")*(Inputs!$G$5:$G$190&lt;&gt;"acoes")))*INDEX(Inputs!$K$5:$AJ$190,0,MATCH(U$2,Inputs!$K$4:$AJ$4,0)))+SUMPRODUCT((Inputs!$C$5:$C$190=$B64)*Inputs!$D$5:$D$190*(((Inputs!$G$5:$G$190="moeda")+(Inputs!$G$5:$G$190="acoes"))*Inputs!$B$1+((Inputs!$G$5:$G$190&lt;&gt;"moeda")*(Inputs!$G$5:$G$190&lt;&gt;"acoes")))*INDEX(Inputs!$K$5:$AJ$190,0,MATCH(U$2,Inputs!$K$4:$AJ$4,0)))+SUMPRODUCT((Inputs!$E$5:$E$190=$B64)*Inputs!$F$5:$F$190*(((Inputs!$G$5:$G$190="moeda")+(Inputs!$G$5:$G$190="acoes"))*Inputs!$B$1+((Inputs!$G$5:$G$190&lt;&gt;"moeda")*(Inputs!$G$5:$G$190&lt;&gt;"acoes")))*INDEX(Inputs!$K$5:$AJ$190,0,MATCH(U$2,Inputs!$K$4:$AJ$4,0)))))</f>
        <v>151.23504785</v>
      </c>
      <c r="V64" s="264">
        <f>IF(ISNA(MATCH(V$2,Inputs!$K$4:$AJ$4,0)),NA(),IF(SUMPRODUCT((Inputs!$A$5:$A$190=$B64)*ISNUMBER(INDEX(Inputs!$K$5:$AJ$190,0,MATCH(V$2,Inputs!$K$4:$AJ$4,0))))+SUMPRODUCT((Inputs!$C$5:$C$190=$B64)*ISNUMBER(INDEX(Inputs!$K$5:$AJ$190,0,MATCH(V$2,Inputs!$K$4:$AJ$4,0))))+SUMPRODUCT((Inputs!$E$5:$E$190=$B64)*ISNUMBER(INDEX(Inputs!$K$5:$AJ$190,0,MATCH(V$2,Inputs!$K$4:$AJ$4,0))))=0,NA(),SUMPRODUCT((Inputs!$A$5:$A$190=$B64)*Inputs!$B$5:$B$190*(((Inputs!$G$5:$G$190="moeda")+(Inputs!$G$5:$G$190="acoes"))*Inputs!$B$1+((Inputs!$G$5:$G$190&lt;&gt;"moeda")*(Inputs!$G$5:$G$190&lt;&gt;"acoes")))*INDEX(Inputs!$K$5:$AJ$190,0,MATCH(V$2,Inputs!$K$4:$AJ$4,0)))+SUMPRODUCT((Inputs!$C$5:$C$190=$B64)*Inputs!$D$5:$D$190*(((Inputs!$G$5:$G$190="moeda")+(Inputs!$G$5:$G$190="acoes"))*Inputs!$B$1+((Inputs!$G$5:$G$190&lt;&gt;"moeda")*(Inputs!$G$5:$G$190&lt;&gt;"acoes")))*INDEX(Inputs!$K$5:$AJ$190,0,MATCH(V$2,Inputs!$K$4:$AJ$4,0)))+SUMPRODUCT((Inputs!$E$5:$E$190=$B64)*Inputs!$F$5:$F$190*(((Inputs!$G$5:$G$190="moeda")+(Inputs!$G$5:$G$190="acoes"))*Inputs!$B$1+((Inputs!$G$5:$G$190&lt;&gt;"moeda")*(Inputs!$G$5:$G$190&lt;&gt;"acoes")))*INDEX(Inputs!$K$5:$AJ$190,0,MATCH(V$2,Inputs!$K$4:$AJ$4,0)))))</f>
        <v>144.91785129</v>
      </c>
      <c r="W64" s="265">
        <f>SUM(S64:V64)</f>
        <v>593.51368002</v>
      </c>
      <c r="X64" s="264">
        <f>IF(ISNA(MATCH(X$2,Inputs!$K$4:$AJ$4,0)),NA(),IF(SUMPRODUCT((Inputs!$A$5:$A$190=$B64)*ISNUMBER(INDEX(Inputs!$K$5:$AJ$190,0,MATCH(X$2,Inputs!$K$4:$AJ$4,0))))+SUMPRODUCT((Inputs!$C$5:$C$190=$B64)*ISNUMBER(INDEX(Inputs!$K$5:$AJ$190,0,MATCH(X$2,Inputs!$K$4:$AJ$4,0))))+SUMPRODUCT((Inputs!$E$5:$E$190=$B64)*ISNUMBER(INDEX(Inputs!$K$5:$AJ$190,0,MATCH(X$2,Inputs!$K$4:$AJ$4,0))))=0,NA(),SUMPRODUCT((Inputs!$A$5:$A$190=$B64)*Inputs!$B$5:$B$190*(((Inputs!$G$5:$G$190="moeda")+(Inputs!$G$5:$G$190="acoes"))*Inputs!$B$1+((Inputs!$G$5:$G$190&lt;&gt;"moeda")*(Inputs!$G$5:$G$190&lt;&gt;"acoes")))*INDEX(Inputs!$K$5:$AJ$190,0,MATCH(X$2,Inputs!$K$4:$AJ$4,0)))+SUMPRODUCT((Inputs!$C$5:$C$190=$B64)*Inputs!$D$5:$D$190*(((Inputs!$G$5:$G$190="moeda")+(Inputs!$G$5:$G$190="acoes"))*Inputs!$B$1+((Inputs!$G$5:$G$190&lt;&gt;"moeda")*(Inputs!$G$5:$G$190&lt;&gt;"acoes")))*INDEX(Inputs!$K$5:$AJ$190,0,MATCH(X$2,Inputs!$K$4:$AJ$4,0)))+SUMPRODUCT((Inputs!$E$5:$E$190=$B64)*Inputs!$F$5:$F$190*(((Inputs!$G$5:$G$190="moeda")+(Inputs!$G$5:$G$190="acoes"))*Inputs!$B$1+((Inputs!$G$5:$G$190&lt;&gt;"moeda")*(Inputs!$G$5:$G$190&lt;&gt;"acoes")))*INDEX(Inputs!$K$5:$AJ$190,0,MATCH(X$2,Inputs!$K$4:$AJ$4,0)))))</f>
        <v>146.34648783</v>
      </c>
      <c r="Y64" s="264">
        <f>IF(ISNA(MATCH(Y$2,Inputs!$K$4:$AJ$4,0)),NA(),IF(SUMPRODUCT((Inputs!$A$5:$A$190=$B64)*ISNUMBER(INDEX(Inputs!$K$5:$AJ$190,0,MATCH(Y$2,Inputs!$K$4:$AJ$4,0))))+SUMPRODUCT((Inputs!$C$5:$C$190=$B64)*ISNUMBER(INDEX(Inputs!$K$5:$AJ$190,0,MATCH(Y$2,Inputs!$K$4:$AJ$4,0))))+SUMPRODUCT((Inputs!$E$5:$E$190=$B64)*ISNUMBER(INDEX(Inputs!$K$5:$AJ$190,0,MATCH(Y$2,Inputs!$K$4:$AJ$4,0))))=0,NA(),SUMPRODUCT((Inputs!$A$5:$A$190=$B64)*Inputs!$B$5:$B$190*(((Inputs!$G$5:$G$190="moeda")+(Inputs!$G$5:$G$190="acoes"))*Inputs!$B$1+((Inputs!$G$5:$G$190&lt;&gt;"moeda")*(Inputs!$G$5:$G$190&lt;&gt;"acoes")))*INDEX(Inputs!$K$5:$AJ$190,0,MATCH(Y$2,Inputs!$K$4:$AJ$4,0)))+SUMPRODUCT((Inputs!$C$5:$C$190=$B64)*Inputs!$D$5:$D$190*(((Inputs!$G$5:$G$190="moeda")+(Inputs!$G$5:$G$190="acoes"))*Inputs!$B$1+((Inputs!$G$5:$G$190&lt;&gt;"moeda")*(Inputs!$G$5:$G$190&lt;&gt;"acoes")))*INDEX(Inputs!$K$5:$AJ$190,0,MATCH(Y$2,Inputs!$K$4:$AJ$4,0)))+SUMPRODUCT((Inputs!$E$5:$E$190=$B64)*Inputs!$F$5:$F$190*(((Inputs!$G$5:$G$190="moeda")+(Inputs!$G$5:$G$190="acoes"))*Inputs!$B$1+((Inputs!$G$5:$G$190&lt;&gt;"moeda")*(Inputs!$G$5:$G$190&lt;&gt;"acoes")))*INDEX(Inputs!$K$5:$AJ$190,0,MATCH(Y$2,Inputs!$K$4:$AJ$4,0)))))</f>
        <v>183.87345888</v>
      </c>
      <c r="Z64" s="264">
        <f>IF(ISNA(MATCH(Z$2,Inputs!$K$4:$AJ$4,0)),NA(),IF(SUMPRODUCT((Inputs!$A$5:$A$190=$B64)*ISNUMBER(INDEX(Inputs!$K$5:$AJ$190,0,MATCH(Z$2,Inputs!$K$4:$AJ$4,0))))+SUMPRODUCT((Inputs!$C$5:$C$190=$B64)*ISNUMBER(INDEX(Inputs!$K$5:$AJ$190,0,MATCH(Z$2,Inputs!$K$4:$AJ$4,0))))+SUMPRODUCT((Inputs!$E$5:$E$190=$B64)*ISNUMBER(INDEX(Inputs!$K$5:$AJ$190,0,MATCH(Z$2,Inputs!$K$4:$AJ$4,0))))=0,NA(),SUMPRODUCT((Inputs!$A$5:$A$190=$B64)*Inputs!$B$5:$B$190*(((Inputs!$G$5:$G$190="moeda")+(Inputs!$G$5:$G$190="acoes"))*Inputs!$B$1+((Inputs!$G$5:$G$190&lt;&gt;"moeda")*(Inputs!$G$5:$G$190&lt;&gt;"acoes")))*INDEX(Inputs!$K$5:$AJ$190,0,MATCH(Z$2,Inputs!$K$4:$AJ$4,0)))+SUMPRODUCT((Inputs!$C$5:$C$190=$B64)*Inputs!$D$5:$D$190*(((Inputs!$G$5:$G$190="moeda")+(Inputs!$G$5:$G$190="acoes"))*Inputs!$B$1+((Inputs!$G$5:$G$190&lt;&gt;"moeda")*(Inputs!$G$5:$G$190&lt;&gt;"acoes")))*INDEX(Inputs!$K$5:$AJ$190,0,MATCH(Z$2,Inputs!$K$4:$AJ$4,0)))+SUMPRODUCT((Inputs!$E$5:$E$190=$B64)*Inputs!$F$5:$F$190*(((Inputs!$G$5:$G$190="moeda")+(Inputs!$G$5:$G$190="acoes"))*Inputs!$B$1+((Inputs!$G$5:$G$190&lt;&gt;"moeda")*(Inputs!$G$5:$G$190&lt;&gt;"acoes")))*INDEX(Inputs!$K$5:$AJ$190,0,MATCH(Z$2,Inputs!$K$4:$AJ$4,0)))))</f>
        <v>186.55060318</v>
      </c>
      <c r="AA64" s="264">
        <f>IF(ISNA(MATCH(AA$2,Inputs!$K$4:$AJ$4,0)),NA(),IF(SUMPRODUCT((Inputs!$A$5:$A$190=$B64)*ISNUMBER(INDEX(Inputs!$K$5:$AJ$190,0,MATCH(AA$2,Inputs!$K$4:$AJ$4,0))))+SUMPRODUCT((Inputs!$C$5:$C$190=$B64)*ISNUMBER(INDEX(Inputs!$K$5:$AJ$190,0,MATCH(AA$2,Inputs!$K$4:$AJ$4,0))))+SUMPRODUCT((Inputs!$E$5:$E$190=$B64)*ISNUMBER(INDEX(Inputs!$K$5:$AJ$190,0,MATCH(AA$2,Inputs!$K$4:$AJ$4,0))))=0,NA(),SUMPRODUCT((Inputs!$A$5:$A$190=$B64)*Inputs!$B$5:$B$190*(((Inputs!$G$5:$G$190="moeda")+(Inputs!$G$5:$G$190="acoes"))*Inputs!$B$1+((Inputs!$G$5:$G$190&lt;&gt;"moeda")*(Inputs!$G$5:$G$190&lt;&gt;"acoes")))*INDEX(Inputs!$K$5:$AJ$190,0,MATCH(AA$2,Inputs!$K$4:$AJ$4,0)))+SUMPRODUCT((Inputs!$C$5:$C$190=$B64)*Inputs!$D$5:$D$190*(((Inputs!$G$5:$G$190="moeda")+(Inputs!$G$5:$G$190="acoes"))*Inputs!$B$1+((Inputs!$G$5:$G$190&lt;&gt;"moeda")*(Inputs!$G$5:$G$190&lt;&gt;"acoes")))*INDEX(Inputs!$K$5:$AJ$190,0,MATCH(AA$2,Inputs!$K$4:$AJ$4,0)))+SUMPRODUCT((Inputs!$E$5:$E$190=$B64)*Inputs!$F$5:$F$190*(((Inputs!$G$5:$G$190="moeda")+(Inputs!$G$5:$G$190="acoes"))*Inputs!$B$1+((Inputs!$G$5:$G$190&lt;&gt;"moeda")*(Inputs!$G$5:$G$190&lt;&gt;"acoes")))*INDEX(Inputs!$K$5:$AJ$190,0,MATCH(AA$2,Inputs!$K$4:$AJ$4,0)))))</f>
        <v>173.98258148</v>
      </c>
      <c r="AB64" s="265">
        <f>SUM(X64:AA64)</f>
        <v>690.75313137</v>
      </c>
      <c r="AC64" s="264">
        <f>IF(ISNA(MATCH(AC$2,Inputs!$K$4:$AJ$4,0)),NA(),IF(SUMPRODUCT((Inputs!$A$5:$A$190=$B64)*ISNUMBER(INDEX(Inputs!$K$5:$AJ$190,0,MATCH(AC$2,Inputs!$K$4:$AJ$4,0))))+SUMPRODUCT((Inputs!$C$5:$C$190=$B64)*ISNUMBER(INDEX(Inputs!$K$5:$AJ$190,0,MATCH(AC$2,Inputs!$K$4:$AJ$4,0))))+SUMPRODUCT((Inputs!$E$5:$E$190=$B64)*ISNUMBER(INDEX(Inputs!$K$5:$AJ$190,0,MATCH(AC$2,Inputs!$K$4:$AJ$4,0))))=0,NA(),SUMPRODUCT((Inputs!$A$5:$A$190=$B64)*Inputs!$B$5:$B$190*(((Inputs!$G$5:$G$190="moeda")+(Inputs!$G$5:$G$190="acoes"))*Inputs!$B$1+((Inputs!$G$5:$G$190&lt;&gt;"moeda")*(Inputs!$G$5:$G$190&lt;&gt;"acoes")))*INDEX(Inputs!$K$5:$AJ$190,0,MATCH(AC$2,Inputs!$K$4:$AJ$4,0)))+SUMPRODUCT((Inputs!$C$5:$C$190=$B64)*Inputs!$D$5:$D$190*(((Inputs!$G$5:$G$190="moeda")+(Inputs!$G$5:$G$190="acoes"))*Inputs!$B$1+((Inputs!$G$5:$G$190&lt;&gt;"moeda")*(Inputs!$G$5:$G$190&lt;&gt;"acoes")))*INDEX(Inputs!$K$5:$AJ$190,0,MATCH(AC$2,Inputs!$K$4:$AJ$4,0)))+SUMPRODUCT((Inputs!$E$5:$E$190=$B64)*Inputs!$F$5:$F$190*(((Inputs!$G$5:$G$190="moeda")+(Inputs!$G$5:$G$190="acoes"))*Inputs!$B$1+((Inputs!$G$5:$G$190&lt;&gt;"moeda")*(Inputs!$G$5:$G$190&lt;&gt;"acoes")))*INDEX(Inputs!$K$5:$AJ$190,0,MATCH(AC$2,Inputs!$K$4:$AJ$4,0)))))</f>
        <v>138.33867604</v>
      </c>
      <c r="AD64" s="264">
        <f>IF(ISNA(MATCH(AD$2,Inputs!$K$4:$AJ$4,0)),NA(),IF(SUMPRODUCT((Inputs!$A$5:$A$190=$B64)*ISNUMBER(INDEX(Inputs!$K$5:$AJ$190,0,MATCH(AD$2,Inputs!$K$4:$AJ$4,0))))+SUMPRODUCT((Inputs!$C$5:$C$190=$B64)*ISNUMBER(INDEX(Inputs!$K$5:$AJ$190,0,MATCH(AD$2,Inputs!$K$4:$AJ$4,0))))+SUMPRODUCT((Inputs!$E$5:$E$190=$B64)*ISNUMBER(INDEX(Inputs!$K$5:$AJ$190,0,MATCH(AD$2,Inputs!$K$4:$AJ$4,0))))=0,NA(),SUMPRODUCT((Inputs!$A$5:$A$190=$B64)*Inputs!$B$5:$B$190*(((Inputs!$G$5:$G$190="moeda")+(Inputs!$G$5:$G$190="acoes"))*Inputs!$B$1+((Inputs!$G$5:$G$190&lt;&gt;"moeda")*(Inputs!$G$5:$G$190&lt;&gt;"acoes")))*INDEX(Inputs!$K$5:$AJ$190,0,MATCH(AD$2,Inputs!$K$4:$AJ$4,0)))+SUMPRODUCT((Inputs!$C$5:$C$190=$B64)*Inputs!$D$5:$D$190*(((Inputs!$G$5:$G$190="moeda")+(Inputs!$G$5:$G$190="acoes"))*Inputs!$B$1+((Inputs!$G$5:$G$190&lt;&gt;"moeda")*(Inputs!$G$5:$G$190&lt;&gt;"acoes")))*INDEX(Inputs!$K$5:$AJ$190,0,MATCH(AD$2,Inputs!$K$4:$AJ$4,0)))+SUMPRODUCT((Inputs!$E$5:$E$190=$B64)*Inputs!$F$5:$F$190*(((Inputs!$G$5:$G$190="moeda")+(Inputs!$G$5:$G$190="acoes"))*Inputs!$B$1+((Inputs!$G$5:$G$190&lt;&gt;"moeda")*(Inputs!$G$5:$G$190&lt;&gt;"acoes")))*INDEX(Inputs!$K$5:$AJ$190,0,MATCH(AD$2,Inputs!$K$4:$AJ$4,0)))))</f>
        <v>230.74952679</v>
      </c>
      <c r="AE64" s="264" t="e">
        <f>IF(ISNA(MATCH(AE$2,Inputs!$K$4:$AJ$4,0)),NA(),IF(SUMPRODUCT((Inputs!$A$5:$A$190=$B64)*ISNUMBER(INDEX(Inputs!$K$5:$AJ$190,0,MATCH(AE$2,Inputs!$K$4:$AJ$4,0))))+SUMPRODUCT((Inputs!$C$5:$C$190=$B64)*ISNUMBER(INDEX(Inputs!$K$5:$AJ$190,0,MATCH(AE$2,Inputs!$K$4:$AJ$4,0))))+SUMPRODUCT((Inputs!$E$5:$E$190=$B64)*ISNUMBER(INDEX(Inputs!$K$5:$AJ$190,0,MATCH(AE$2,Inputs!$K$4:$AJ$4,0))))=0,NA(),SUMPRODUCT((Inputs!$A$5:$A$190=$B64)*Inputs!$B$5:$B$190*(((Inputs!$G$5:$G$190="moeda")+(Inputs!$G$5:$G$190="acoes"))*Inputs!$B$1+((Inputs!$G$5:$G$190&lt;&gt;"moeda")*(Inputs!$G$5:$G$190&lt;&gt;"acoes")))*INDEX(Inputs!$K$5:$AJ$190,0,MATCH(AE$2,Inputs!$K$4:$AJ$4,0)))+SUMPRODUCT((Inputs!$C$5:$C$190=$B64)*Inputs!$D$5:$D$190*(((Inputs!$G$5:$G$190="moeda")+(Inputs!$G$5:$G$190="acoes"))*Inputs!$B$1+((Inputs!$G$5:$G$190&lt;&gt;"moeda")*(Inputs!$G$5:$G$190&lt;&gt;"acoes")))*INDEX(Inputs!$K$5:$AJ$190,0,MATCH(AE$2,Inputs!$K$4:$AJ$4,0)))+SUMPRODUCT((Inputs!$E$5:$E$190=$B64)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64" s="264" t="e">
        <f>IF(ISNA(MATCH(AF$2,Inputs!$K$4:$AJ$4,0)),NA(),IF(SUMPRODUCT((Inputs!$A$5:$A$190=$B64)*ISNUMBER(INDEX(Inputs!$K$5:$AJ$190,0,MATCH(AF$2,Inputs!$K$4:$AJ$4,0))))+SUMPRODUCT((Inputs!$C$5:$C$190=$B64)*ISNUMBER(INDEX(Inputs!$K$5:$AJ$190,0,MATCH(AF$2,Inputs!$K$4:$AJ$4,0))))+SUMPRODUCT((Inputs!$E$5:$E$190=$B64)*ISNUMBER(INDEX(Inputs!$K$5:$AJ$190,0,MATCH(AF$2,Inputs!$K$4:$AJ$4,0))))=0,NA(),SUMPRODUCT((Inputs!$A$5:$A$190=$B64)*Inputs!$B$5:$B$190*(((Inputs!$G$5:$G$190="moeda")+(Inputs!$G$5:$G$190="acoes"))*Inputs!$B$1+((Inputs!$G$5:$G$190&lt;&gt;"moeda")*(Inputs!$G$5:$G$190&lt;&gt;"acoes")))*INDEX(Inputs!$K$5:$AJ$190,0,MATCH(AF$2,Inputs!$K$4:$AJ$4,0)))+SUMPRODUCT((Inputs!$C$5:$C$190=$B64)*Inputs!$D$5:$D$190*(((Inputs!$G$5:$G$190="moeda")+(Inputs!$G$5:$G$190="acoes"))*Inputs!$B$1+((Inputs!$G$5:$G$190&lt;&gt;"moeda")*(Inputs!$G$5:$G$190&lt;&gt;"acoes")))*INDEX(Inputs!$K$5:$AJ$190,0,MATCH(AF$2,Inputs!$K$4:$AJ$4,0)))+SUMPRODUCT((Inputs!$E$5:$E$190=$B64)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64" s="265" t="e">
        <f>SUM(AC64:AF64)</f>
        <v>#N/A</v>
      </c>
      <c r="AH64" s="264">
        <f>IF(ISNA(MATCH(AH$2,Inputs!$K$4:$AJ$4,0)),NA(),IF(SUMPRODUCT((Inputs!$A$5:$A$190=$B64)*ISNUMBER(INDEX(Inputs!$K$5:$AJ$190,0,MATCH(AH$2,Inputs!$K$4:$AJ$4,0))))+SUMPRODUCT((Inputs!$C$5:$C$190=$B64)*ISNUMBER(INDEX(Inputs!$K$5:$AJ$190,0,MATCH(AH$2,Inputs!$K$4:$AJ$4,0))))+SUMPRODUCT((Inputs!$E$5:$E$190=$B64)*ISNUMBER(INDEX(Inputs!$K$5:$AJ$190,0,MATCH(AH$2,Inputs!$K$4:$AJ$4,0))))=0,NA(),SUMPRODUCT((Inputs!$A$5:$A$190=$B64)*Inputs!$B$5:$B$190*(((Inputs!$G$5:$G$190="moeda")+(Inputs!$G$5:$G$190="acoes"))*Inputs!$B$1+((Inputs!$G$5:$G$190&lt;&gt;"moeda")*(Inputs!$G$5:$G$190&lt;&gt;"acoes")))*INDEX(Inputs!$K$5:$AJ$190,0,MATCH(AH$2,Inputs!$K$4:$AJ$4,0)))+SUMPRODUCT((Inputs!$C$5:$C$190=$B64)*Inputs!$D$5:$D$190*(((Inputs!$G$5:$G$190="moeda")+(Inputs!$G$5:$G$190="acoes"))*Inputs!$B$1+((Inputs!$G$5:$G$190&lt;&gt;"moeda")*(Inputs!$G$5:$G$190&lt;&gt;"acoes")))*INDEX(Inputs!$K$5:$AJ$190,0,MATCH(AH$2,Inputs!$K$4:$AJ$4,0)))+SUMPRODUCT((Inputs!$E$5:$E$190=$B64)*Inputs!$F$5:$F$190*(((Inputs!$G$5:$G$190="moeda")+(Inputs!$G$5:$G$190="acoes"))*Inputs!$B$1+((Inputs!$G$5:$G$190&lt;&gt;"moeda")*(Inputs!$G$5:$G$190&lt;&gt;"acoes")))*INDEX(Inputs!$K$5:$AJ$190,0,MATCH(AH$2,Inputs!$K$4:$AJ$4,0)))))</f>
        <v>211.80970632755</v>
      </c>
      <c r="AI64" s="264">
        <f>IF(ISNA(MATCH(AI$2,Inputs!$K$4:$AJ$4,0)),NA(),IF(SUMPRODUCT((Inputs!$A$5:$A$190=$B64)*ISNUMBER(INDEX(Inputs!$K$5:$AJ$190,0,MATCH(AI$2,Inputs!$K$4:$AJ$4,0))))+SUMPRODUCT((Inputs!$C$5:$C$190=$B64)*ISNUMBER(INDEX(Inputs!$K$5:$AJ$190,0,MATCH(AI$2,Inputs!$K$4:$AJ$4,0))))+SUMPRODUCT((Inputs!$E$5:$E$190=$B64)*ISNUMBER(INDEX(Inputs!$K$5:$AJ$190,0,MATCH(AI$2,Inputs!$K$4:$AJ$4,0))))=0,NA(),SUMPRODUCT((Inputs!$A$5:$A$190=$B64)*Inputs!$B$5:$B$190*(((Inputs!$G$5:$G$190="moeda")+(Inputs!$G$5:$G$190="acoes"))*Inputs!$B$1+((Inputs!$G$5:$G$190&lt;&gt;"moeda")*(Inputs!$G$5:$G$190&lt;&gt;"acoes")))*INDEX(Inputs!$K$5:$AJ$190,0,MATCH(AI$2,Inputs!$K$4:$AJ$4,0)))+SUMPRODUCT((Inputs!$C$5:$C$190=$B64)*Inputs!$D$5:$D$190*(((Inputs!$G$5:$G$190="moeda")+(Inputs!$G$5:$G$190="acoes"))*Inputs!$B$1+((Inputs!$G$5:$G$190&lt;&gt;"moeda")*(Inputs!$G$5:$G$190&lt;&gt;"acoes")))*INDEX(Inputs!$K$5:$AJ$190,0,MATCH(AI$2,Inputs!$K$4:$AJ$4,0)))+SUMPRODUCT((Inputs!$E$5:$E$190=$B64)*Inputs!$F$5:$F$190*(((Inputs!$G$5:$G$190="moeda")+(Inputs!$G$5:$G$190="acoes"))*Inputs!$B$1+((Inputs!$G$5:$G$190&lt;&gt;"moeda")*(Inputs!$G$5:$G$190&lt;&gt;"acoes")))*INDEX(Inputs!$K$5:$AJ$190,0,MATCH(AI$2,Inputs!$K$4:$AJ$4,0)))))</f>
        <v>183.71003257</v>
      </c>
      <c r="AJ64" s="264">
        <f>IF(ISNA(MATCH(AJ$2,Inputs!$K$4:$AJ$4,0)),NA(),IF(SUMPRODUCT((Inputs!$A$5:$A$190=$B64)*ISNUMBER(INDEX(Inputs!$K$5:$AJ$190,0,MATCH(AJ$2,Inputs!$K$4:$AJ$4,0))))+SUMPRODUCT((Inputs!$C$5:$C$190=$B64)*ISNUMBER(INDEX(Inputs!$K$5:$AJ$190,0,MATCH(AJ$2,Inputs!$K$4:$AJ$4,0))))+SUMPRODUCT((Inputs!$E$5:$E$190=$B64)*ISNUMBER(INDEX(Inputs!$K$5:$AJ$190,0,MATCH(AJ$2,Inputs!$K$4:$AJ$4,0))))=0,NA(),SUMPRODUCT((Inputs!$A$5:$A$190=$B64)*Inputs!$B$5:$B$190*(((Inputs!$G$5:$G$190="moeda")+(Inputs!$G$5:$G$190="acoes"))*Inputs!$B$1+((Inputs!$G$5:$G$190&lt;&gt;"moeda")*(Inputs!$G$5:$G$190&lt;&gt;"acoes")))*INDEX(Inputs!$K$5:$AJ$190,0,MATCH(AJ$2,Inputs!$K$4:$AJ$4,0)))+SUMPRODUCT((Inputs!$C$5:$C$190=$B64)*Inputs!$D$5:$D$190*(((Inputs!$G$5:$G$190="moeda")+(Inputs!$G$5:$G$190="acoes"))*Inputs!$B$1+((Inputs!$G$5:$G$190&lt;&gt;"moeda")*(Inputs!$G$5:$G$190&lt;&gt;"acoes")))*INDEX(Inputs!$K$5:$AJ$190,0,MATCH(AJ$2,Inputs!$K$4:$AJ$4,0)))+SUMPRODUCT((Inputs!$E$5:$E$190=$B64)*Inputs!$F$5:$F$190*(((Inputs!$G$5:$G$190="moeda")+(Inputs!$G$5:$G$190="acoes"))*Inputs!$B$1+((Inputs!$G$5:$G$190&lt;&gt;"moeda")*(Inputs!$G$5:$G$190&lt;&gt;"acoes")))*INDEX(Inputs!$K$5:$AJ$190,0,MATCH(AJ$2,Inputs!$K$4:$AJ$4,0)))))</f>
        <v>209.51459654</v>
      </c>
      <c r="AK64" s="264">
        <f>IF(ISNA(MATCH(AK$2,Inputs!$K$4:$AJ$4,0)),NA(),IF(SUMPRODUCT((Inputs!$A$5:$A$190=$B64)*ISNUMBER(INDEX(Inputs!$K$5:$AJ$190,0,MATCH(AK$2,Inputs!$K$4:$AJ$4,0))))+SUMPRODUCT((Inputs!$C$5:$C$190=$B64)*ISNUMBER(INDEX(Inputs!$K$5:$AJ$190,0,MATCH(AK$2,Inputs!$K$4:$AJ$4,0))))+SUMPRODUCT((Inputs!$E$5:$E$190=$B64)*ISNUMBER(INDEX(Inputs!$K$5:$AJ$190,0,MATCH(AK$2,Inputs!$K$4:$AJ$4,0))))=0,NA(),SUMPRODUCT((Inputs!$A$5:$A$190=$B64)*Inputs!$B$5:$B$190*(((Inputs!$G$5:$G$190="moeda")+(Inputs!$G$5:$G$190="acoes"))*Inputs!$B$1+((Inputs!$G$5:$G$190&lt;&gt;"moeda")*(Inputs!$G$5:$G$190&lt;&gt;"acoes")))*INDEX(Inputs!$K$5:$AJ$190,0,MATCH(AK$2,Inputs!$K$4:$AJ$4,0)))+SUMPRODUCT((Inputs!$C$5:$C$190=$B64)*Inputs!$D$5:$D$190*(((Inputs!$G$5:$G$190="moeda")+(Inputs!$G$5:$G$190="acoes"))*Inputs!$B$1+((Inputs!$G$5:$G$190&lt;&gt;"moeda")*(Inputs!$G$5:$G$190&lt;&gt;"acoes")))*INDEX(Inputs!$K$5:$AJ$190,0,MATCH(AK$2,Inputs!$K$4:$AJ$4,0)))+SUMPRODUCT((Inputs!$E$5:$E$190=$B64)*Inputs!$F$5:$F$190*(((Inputs!$G$5:$G$190="moeda")+(Inputs!$G$5:$G$190="acoes"))*Inputs!$B$1+((Inputs!$G$5:$G$190&lt;&gt;"moeda")*(Inputs!$G$5:$G$190&lt;&gt;"acoes")))*INDEX(Inputs!$K$5:$AJ$190,0,MATCH(AK$2,Inputs!$K$4:$AJ$4,0)))))</f>
        <v>240.77520813</v>
      </c>
      <c r="AL64" s="265">
        <f>SUM(AH64:AK64)</f>
        <v>845.80954356755</v>
      </c>
    </row>
    <row r="65">
      <c r="B65" s="46" t="n">
        <v>57</v>
      </c>
      <c r="C65" s="29" t="inlineStr">
        <is>
          <t>Receita liquida - CS Infra (aba CS Infra l.10; desde 1T22; a partir de 2025 sem a Ciclus Rio, vendida)</t>
        </is>
      </c>
      <c r="D65" s="264" t="e">
        <f>IF(ISNA(MATCH(D$2,Inputs!$K$4:$AJ$4,0)),NA(),IF(SUMPRODUCT((Inputs!$A$5:$A$190=$B65)*ISNUMBER(INDEX(Inputs!$K$5:$AJ$190,0,MATCH(D$2,Inputs!$K$4:$AJ$4,0))))+SUMPRODUCT((Inputs!$C$5:$C$190=$B65)*ISNUMBER(INDEX(Inputs!$K$5:$AJ$190,0,MATCH(D$2,Inputs!$K$4:$AJ$4,0))))+SUMPRODUCT((Inputs!$E$5:$E$190=$B65)*ISNUMBER(INDEX(Inputs!$K$5:$AJ$190,0,MATCH(D$2,Inputs!$K$4:$AJ$4,0))))=0,NA(),SUMPRODUCT((Inputs!$A$5:$A$190=$B65)*Inputs!$B$5:$B$190*(((Inputs!$G$5:$G$190="moeda")+(Inputs!$G$5:$G$190="acoes"))*Inputs!$B$1+((Inputs!$G$5:$G$190&lt;&gt;"moeda")*(Inputs!$G$5:$G$190&lt;&gt;"acoes")))*INDEX(Inputs!$K$5:$AJ$190,0,MATCH(D$2,Inputs!$K$4:$AJ$4,0)))+SUMPRODUCT((Inputs!$C$5:$C$190=$B65)*Inputs!$D$5:$D$190*(((Inputs!$G$5:$G$190="moeda")+(Inputs!$G$5:$G$190="acoes"))*Inputs!$B$1+((Inputs!$G$5:$G$190&lt;&gt;"moeda")*(Inputs!$G$5:$G$190&lt;&gt;"acoes")))*INDEX(Inputs!$K$5:$AJ$190,0,MATCH(D$2,Inputs!$K$4:$AJ$4,0)))+SUMPRODUCT((Inputs!$E$5:$E$190=$B65)*Inputs!$F$5:$F$190*(((Inputs!$G$5:$G$190="moeda")+(Inputs!$G$5:$G$190="acoes"))*Inputs!$B$1+((Inputs!$G$5:$G$190&lt;&gt;"moeda")*(Inputs!$G$5:$G$190&lt;&gt;"acoes")))*INDEX(Inputs!$K$5:$AJ$190,0,MATCH(D$2,Inputs!$K$4:$AJ$4,0)))))</f>
        <v>#N/A</v>
      </c>
      <c r="E65" s="264" t="e">
        <f>IF(ISNA(MATCH(E$2,Inputs!$K$4:$AJ$4,0)),NA(),IF(SUMPRODUCT((Inputs!$A$5:$A$190=$B65)*ISNUMBER(INDEX(Inputs!$K$5:$AJ$190,0,MATCH(E$2,Inputs!$K$4:$AJ$4,0))))+SUMPRODUCT((Inputs!$C$5:$C$190=$B65)*ISNUMBER(INDEX(Inputs!$K$5:$AJ$190,0,MATCH(E$2,Inputs!$K$4:$AJ$4,0))))+SUMPRODUCT((Inputs!$E$5:$E$190=$B65)*ISNUMBER(INDEX(Inputs!$K$5:$AJ$190,0,MATCH(E$2,Inputs!$K$4:$AJ$4,0))))=0,NA(),SUMPRODUCT((Inputs!$A$5:$A$190=$B65)*Inputs!$B$5:$B$190*(((Inputs!$G$5:$G$190="moeda")+(Inputs!$G$5:$G$190="acoes"))*Inputs!$B$1+((Inputs!$G$5:$G$190&lt;&gt;"moeda")*(Inputs!$G$5:$G$190&lt;&gt;"acoes")))*INDEX(Inputs!$K$5:$AJ$190,0,MATCH(E$2,Inputs!$K$4:$AJ$4,0)))+SUMPRODUCT((Inputs!$C$5:$C$190=$B65)*Inputs!$D$5:$D$190*(((Inputs!$G$5:$G$190="moeda")+(Inputs!$G$5:$G$190="acoes"))*Inputs!$B$1+((Inputs!$G$5:$G$190&lt;&gt;"moeda")*(Inputs!$G$5:$G$190&lt;&gt;"acoes")))*INDEX(Inputs!$K$5:$AJ$190,0,MATCH(E$2,Inputs!$K$4:$AJ$4,0)))+SUMPRODUCT((Inputs!$E$5:$E$190=$B65)*Inputs!$F$5:$F$190*(((Inputs!$G$5:$G$190="moeda")+(Inputs!$G$5:$G$190="acoes"))*Inputs!$B$1+((Inputs!$G$5:$G$190&lt;&gt;"moeda")*(Inputs!$G$5:$G$190&lt;&gt;"acoes")))*INDEX(Inputs!$K$5:$AJ$190,0,MATCH(E$2,Inputs!$K$4:$AJ$4,0)))))</f>
        <v>#N/A</v>
      </c>
      <c r="F65" s="264" t="e">
        <f>IF(ISNA(MATCH(F$2,Inputs!$K$4:$AJ$4,0)),NA(),IF(SUMPRODUCT((Inputs!$A$5:$A$190=$B65)*ISNUMBER(INDEX(Inputs!$K$5:$AJ$190,0,MATCH(F$2,Inputs!$K$4:$AJ$4,0))))+SUMPRODUCT((Inputs!$C$5:$C$190=$B65)*ISNUMBER(INDEX(Inputs!$K$5:$AJ$190,0,MATCH(F$2,Inputs!$K$4:$AJ$4,0))))+SUMPRODUCT((Inputs!$E$5:$E$190=$B65)*ISNUMBER(INDEX(Inputs!$K$5:$AJ$190,0,MATCH(F$2,Inputs!$K$4:$AJ$4,0))))=0,NA(),SUMPRODUCT((Inputs!$A$5:$A$190=$B65)*Inputs!$B$5:$B$190*(((Inputs!$G$5:$G$190="moeda")+(Inputs!$G$5:$G$190="acoes"))*Inputs!$B$1+((Inputs!$G$5:$G$190&lt;&gt;"moeda")*(Inputs!$G$5:$G$190&lt;&gt;"acoes")))*INDEX(Inputs!$K$5:$AJ$190,0,MATCH(F$2,Inputs!$K$4:$AJ$4,0)))+SUMPRODUCT((Inputs!$C$5:$C$190=$B65)*Inputs!$D$5:$D$190*(((Inputs!$G$5:$G$190="moeda")+(Inputs!$G$5:$G$190="acoes"))*Inputs!$B$1+((Inputs!$G$5:$G$190&lt;&gt;"moeda")*(Inputs!$G$5:$G$190&lt;&gt;"acoes")))*INDEX(Inputs!$K$5:$AJ$190,0,MATCH(F$2,Inputs!$K$4:$AJ$4,0)))+SUMPRODUCT((Inputs!$E$5:$E$190=$B65)*Inputs!$F$5:$F$190*(((Inputs!$G$5:$G$190="moeda")+(Inputs!$G$5:$G$190="acoes"))*Inputs!$B$1+((Inputs!$G$5:$G$190&lt;&gt;"moeda")*(Inputs!$G$5:$G$190&lt;&gt;"acoes")))*INDEX(Inputs!$K$5:$AJ$190,0,MATCH(F$2,Inputs!$K$4:$AJ$4,0)))))</f>
        <v>#N/A</v>
      </c>
      <c r="G65" s="264" t="e">
        <f>IF(ISNA(MATCH(G$2,Inputs!$K$4:$AJ$4,0)),NA(),IF(SUMPRODUCT((Inputs!$A$5:$A$190=$B65)*ISNUMBER(INDEX(Inputs!$K$5:$AJ$190,0,MATCH(G$2,Inputs!$K$4:$AJ$4,0))))+SUMPRODUCT((Inputs!$C$5:$C$190=$B65)*ISNUMBER(INDEX(Inputs!$K$5:$AJ$190,0,MATCH(G$2,Inputs!$K$4:$AJ$4,0))))+SUMPRODUCT((Inputs!$E$5:$E$190=$B65)*ISNUMBER(INDEX(Inputs!$K$5:$AJ$190,0,MATCH(G$2,Inputs!$K$4:$AJ$4,0))))=0,NA(),SUMPRODUCT((Inputs!$A$5:$A$190=$B65)*Inputs!$B$5:$B$190*(((Inputs!$G$5:$G$190="moeda")+(Inputs!$G$5:$G$190="acoes"))*Inputs!$B$1+((Inputs!$G$5:$G$190&lt;&gt;"moeda")*(Inputs!$G$5:$G$190&lt;&gt;"acoes")))*INDEX(Inputs!$K$5:$AJ$190,0,MATCH(G$2,Inputs!$K$4:$AJ$4,0)))+SUMPRODUCT((Inputs!$C$5:$C$190=$B65)*Inputs!$D$5:$D$190*(((Inputs!$G$5:$G$190="moeda")+(Inputs!$G$5:$G$190="acoes"))*Inputs!$B$1+((Inputs!$G$5:$G$190&lt;&gt;"moeda")*(Inputs!$G$5:$G$190&lt;&gt;"acoes")))*INDEX(Inputs!$K$5:$AJ$190,0,MATCH(G$2,Inputs!$K$4:$AJ$4,0)))+SUMPRODUCT((Inputs!$E$5:$E$190=$B65)*Inputs!$F$5:$F$190*(((Inputs!$G$5:$G$190="moeda")+(Inputs!$G$5:$G$190="acoes"))*Inputs!$B$1+((Inputs!$G$5:$G$190&lt;&gt;"moeda")*(Inputs!$G$5:$G$190&lt;&gt;"acoes")))*INDEX(Inputs!$K$5:$AJ$190,0,MATCH(G$2,Inputs!$K$4:$AJ$4,0)))))</f>
        <v>#N/A</v>
      </c>
      <c r="H65" s="265" t="e">
        <f>SUM(D65:G65)</f>
        <v>#N/A</v>
      </c>
      <c r="I65" s="264">
        <f>IF(ISNA(MATCH(I$2,Inputs!$K$4:$AJ$4,0)),NA(),IF(SUMPRODUCT((Inputs!$A$5:$A$190=$B65)*ISNUMBER(INDEX(Inputs!$K$5:$AJ$190,0,MATCH(I$2,Inputs!$K$4:$AJ$4,0))))+SUMPRODUCT((Inputs!$C$5:$C$190=$B65)*ISNUMBER(INDEX(Inputs!$K$5:$AJ$190,0,MATCH(I$2,Inputs!$K$4:$AJ$4,0))))+SUMPRODUCT((Inputs!$E$5:$E$190=$B65)*ISNUMBER(INDEX(Inputs!$K$5:$AJ$190,0,MATCH(I$2,Inputs!$K$4:$AJ$4,0))))=0,NA(),SUMPRODUCT((Inputs!$A$5:$A$190=$B65)*Inputs!$B$5:$B$190*(((Inputs!$G$5:$G$190="moeda")+(Inputs!$G$5:$G$190="acoes"))*Inputs!$B$1+((Inputs!$G$5:$G$190&lt;&gt;"moeda")*(Inputs!$G$5:$G$190&lt;&gt;"acoes")))*INDEX(Inputs!$K$5:$AJ$190,0,MATCH(I$2,Inputs!$K$4:$AJ$4,0)))+SUMPRODUCT((Inputs!$C$5:$C$190=$B65)*Inputs!$D$5:$D$190*(((Inputs!$G$5:$G$190="moeda")+(Inputs!$G$5:$G$190="acoes"))*Inputs!$B$1+((Inputs!$G$5:$G$190&lt;&gt;"moeda")*(Inputs!$G$5:$G$190&lt;&gt;"acoes")))*INDEX(Inputs!$K$5:$AJ$190,0,MATCH(I$2,Inputs!$K$4:$AJ$4,0)))+SUMPRODUCT((Inputs!$E$5:$E$190=$B65)*Inputs!$F$5:$F$190*(((Inputs!$G$5:$G$190="moeda")+(Inputs!$G$5:$G$190="acoes"))*Inputs!$B$1+((Inputs!$G$5:$G$190&lt;&gt;"moeda")*(Inputs!$G$5:$G$190&lt;&gt;"acoes")))*INDEX(Inputs!$K$5:$AJ$190,0,MATCH(I$2,Inputs!$K$4:$AJ$4,0)))))</f>
        <v>98.58254148</v>
      </c>
      <c r="J65" s="264">
        <f>IF(ISNA(MATCH(J$2,Inputs!$K$4:$AJ$4,0)),NA(),IF(SUMPRODUCT((Inputs!$A$5:$A$190=$B65)*ISNUMBER(INDEX(Inputs!$K$5:$AJ$190,0,MATCH(J$2,Inputs!$K$4:$AJ$4,0))))+SUMPRODUCT((Inputs!$C$5:$C$190=$B65)*ISNUMBER(INDEX(Inputs!$K$5:$AJ$190,0,MATCH(J$2,Inputs!$K$4:$AJ$4,0))))+SUMPRODUCT((Inputs!$E$5:$E$190=$B65)*ISNUMBER(INDEX(Inputs!$K$5:$AJ$190,0,MATCH(J$2,Inputs!$K$4:$AJ$4,0))))=0,NA(),SUMPRODUCT((Inputs!$A$5:$A$190=$B65)*Inputs!$B$5:$B$190*(((Inputs!$G$5:$G$190="moeda")+(Inputs!$G$5:$G$190="acoes"))*Inputs!$B$1+((Inputs!$G$5:$G$190&lt;&gt;"moeda")*(Inputs!$G$5:$G$190&lt;&gt;"acoes")))*INDEX(Inputs!$K$5:$AJ$190,0,MATCH(J$2,Inputs!$K$4:$AJ$4,0)))+SUMPRODUCT((Inputs!$C$5:$C$190=$B65)*Inputs!$D$5:$D$190*(((Inputs!$G$5:$G$190="moeda")+(Inputs!$G$5:$G$190="acoes"))*Inputs!$B$1+((Inputs!$G$5:$G$190&lt;&gt;"moeda")*(Inputs!$G$5:$G$190&lt;&gt;"acoes")))*INDEX(Inputs!$K$5:$AJ$190,0,MATCH(J$2,Inputs!$K$4:$AJ$4,0)))+SUMPRODUCT((Inputs!$E$5:$E$190=$B65)*Inputs!$F$5:$F$190*(((Inputs!$G$5:$G$190="moeda")+(Inputs!$G$5:$G$190="acoes"))*Inputs!$B$1+((Inputs!$G$5:$G$190&lt;&gt;"moeda")*(Inputs!$G$5:$G$190&lt;&gt;"acoes")))*INDEX(Inputs!$K$5:$AJ$190,0,MATCH(J$2,Inputs!$K$4:$AJ$4,0)))))</f>
        <v>99.05192403</v>
      </c>
      <c r="K65" s="264">
        <f>IF(ISNA(MATCH(K$2,Inputs!$K$4:$AJ$4,0)),NA(),IF(SUMPRODUCT((Inputs!$A$5:$A$190=$B65)*ISNUMBER(INDEX(Inputs!$K$5:$AJ$190,0,MATCH(K$2,Inputs!$K$4:$AJ$4,0))))+SUMPRODUCT((Inputs!$C$5:$C$190=$B65)*ISNUMBER(INDEX(Inputs!$K$5:$AJ$190,0,MATCH(K$2,Inputs!$K$4:$AJ$4,0))))+SUMPRODUCT((Inputs!$E$5:$E$190=$B65)*ISNUMBER(INDEX(Inputs!$K$5:$AJ$190,0,MATCH(K$2,Inputs!$K$4:$AJ$4,0))))=0,NA(),SUMPRODUCT((Inputs!$A$5:$A$190=$B65)*Inputs!$B$5:$B$190*(((Inputs!$G$5:$G$190="moeda")+(Inputs!$G$5:$G$190="acoes"))*Inputs!$B$1+((Inputs!$G$5:$G$190&lt;&gt;"moeda")*(Inputs!$G$5:$G$190&lt;&gt;"acoes")))*INDEX(Inputs!$K$5:$AJ$190,0,MATCH(K$2,Inputs!$K$4:$AJ$4,0)))+SUMPRODUCT((Inputs!$C$5:$C$190=$B65)*Inputs!$D$5:$D$190*(((Inputs!$G$5:$G$190="moeda")+(Inputs!$G$5:$G$190="acoes"))*Inputs!$B$1+((Inputs!$G$5:$G$190&lt;&gt;"moeda")*(Inputs!$G$5:$G$190&lt;&gt;"acoes")))*INDEX(Inputs!$K$5:$AJ$190,0,MATCH(K$2,Inputs!$K$4:$AJ$4,0)))+SUMPRODUCT((Inputs!$E$5:$E$190=$B65)*Inputs!$F$5:$F$190*(((Inputs!$G$5:$G$190="moeda")+(Inputs!$G$5:$G$190="acoes"))*Inputs!$B$1+((Inputs!$G$5:$G$190&lt;&gt;"moeda")*(Inputs!$G$5:$G$190&lt;&gt;"acoes")))*INDEX(Inputs!$K$5:$AJ$190,0,MATCH(K$2,Inputs!$K$4:$AJ$4,0)))))</f>
        <v>101.15180881</v>
      </c>
      <c r="L65" s="264">
        <f>IF(ISNA(MATCH(L$2,Inputs!$K$4:$AJ$4,0)),NA(),IF(SUMPRODUCT((Inputs!$A$5:$A$190=$B65)*ISNUMBER(INDEX(Inputs!$K$5:$AJ$190,0,MATCH(L$2,Inputs!$K$4:$AJ$4,0))))+SUMPRODUCT((Inputs!$C$5:$C$190=$B65)*ISNUMBER(INDEX(Inputs!$K$5:$AJ$190,0,MATCH(L$2,Inputs!$K$4:$AJ$4,0))))+SUMPRODUCT((Inputs!$E$5:$E$190=$B65)*ISNUMBER(INDEX(Inputs!$K$5:$AJ$190,0,MATCH(L$2,Inputs!$K$4:$AJ$4,0))))=0,NA(),SUMPRODUCT((Inputs!$A$5:$A$190=$B65)*Inputs!$B$5:$B$190*(((Inputs!$G$5:$G$190="moeda")+(Inputs!$G$5:$G$190="acoes"))*Inputs!$B$1+((Inputs!$G$5:$G$190&lt;&gt;"moeda")*(Inputs!$G$5:$G$190&lt;&gt;"acoes")))*INDEX(Inputs!$K$5:$AJ$190,0,MATCH(L$2,Inputs!$K$4:$AJ$4,0)))+SUMPRODUCT((Inputs!$C$5:$C$190=$B65)*Inputs!$D$5:$D$190*(((Inputs!$G$5:$G$190="moeda")+(Inputs!$G$5:$G$190="acoes"))*Inputs!$B$1+((Inputs!$G$5:$G$190&lt;&gt;"moeda")*(Inputs!$G$5:$G$190&lt;&gt;"acoes")))*INDEX(Inputs!$K$5:$AJ$190,0,MATCH(L$2,Inputs!$K$4:$AJ$4,0)))+SUMPRODUCT((Inputs!$E$5:$E$190=$B65)*Inputs!$F$5:$F$190*(((Inputs!$G$5:$G$190="moeda")+(Inputs!$G$5:$G$190="acoes"))*Inputs!$B$1+((Inputs!$G$5:$G$190&lt;&gt;"moeda")*(Inputs!$G$5:$G$190&lt;&gt;"acoes")))*INDEX(Inputs!$K$5:$AJ$190,0,MATCH(L$2,Inputs!$K$4:$AJ$4,0)))))</f>
        <v>102.35919871</v>
      </c>
      <c r="M65" s="265">
        <f>SUM(I65:L65)</f>
        <v>401.14547303</v>
      </c>
      <c r="N65" s="264">
        <f>IF(ISNA(MATCH(N$2,Inputs!$K$4:$AJ$4,0)),NA(),IF(SUMPRODUCT((Inputs!$A$5:$A$190=$B65)*ISNUMBER(INDEX(Inputs!$K$5:$AJ$190,0,MATCH(N$2,Inputs!$K$4:$AJ$4,0))))+SUMPRODUCT((Inputs!$C$5:$C$190=$B65)*ISNUMBER(INDEX(Inputs!$K$5:$AJ$190,0,MATCH(N$2,Inputs!$K$4:$AJ$4,0))))+SUMPRODUCT((Inputs!$E$5:$E$190=$B65)*ISNUMBER(INDEX(Inputs!$K$5:$AJ$190,0,MATCH(N$2,Inputs!$K$4:$AJ$4,0))))=0,NA(),SUMPRODUCT((Inputs!$A$5:$A$190=$B65)*Inputs!$B$5:$B$190*(((Inputs!$G$5:$G$190="moeda")+(Inputs!$G$5:$G$190="acoes"))*Inputs!$B$1+((Inputs!$G$5:$G$190&lt;&gt;"moeda")*(Inputs!$G$5:$G$190&lt;&gt;"acoes")))*INDEX(Inputs!$K$5:$AJ$190,0,MATCH(N$2,Inputs!$K$4:$AJ$4,0)))+SUMPRODUCT((Inputs!$C$5:$C$190=$B65)*Inputs!$D$5:$D$190*(((Inputs!$G$5:$G$190="moeda")+(Inputs!$G$5:$G$190="acoes"))*Inputs!$B$1+((Inputs!$G$5:$G$190&lt;&gt;"moeda")*(Inputs!$G$5:$G$190&lt;&gt;"acoes")))*INDEX(Inputs!$K$5:$AJ$190,0,MATCH(N$2,Inputs!$K$4:$AJ$4,0)))+SUMPRODUCT((Inputs!$E$5:$E$190=$B65)*Inputs!$F$5:$F$190*(((Inputs!$G$5:$G$190="moeda")+(Inputs!$G$5:$G$190="acoes"))*Inputs!$B$1+((Inputs!$G$5:$G$190&lt;&gt;"moeda")*(Inputs!$G$5:$G$190&lt;&gt;"acoes")))*INDEX(Inputs!$K$5:$AJ$190,0,MATCH(N$2,Inputs!$K$4:$AJ$4,0)))))</f>
        <v>146.70615843</v>
      </c>
      <c r="O65" s="264">
        <f>IF(ISNA(MATCH(O$2,Inputs!$K$4:$AJ$4,0)),NA(),IF(SUMPRODUCT((Inputs!$A$5:$A$190=$B65)*ISNUMBER(INDEX(Inputs!$K$5:$AJ$190,0,MATCH(O$2,Inputs!$K$4:$AJ$4,0))))+SUMPRODUCT((Inputs!$C$5:$C$190=$B65)*ISNUMBER(INDEX(Inputs!$K$5:$AJ$190,0,MATCH(O$2,Inputs!$K$4:$AJ$4,0))))+SUMPRODUCT((Inputs!$E$5:$E$190=$B65)*ISNUMBER(INDEX(Inputs!$K$5:$AJ$190,0,MATCH(O$2,Inputs!$K$4:$AJ$4,0))))=0,NA(),SUMPRODUCT((Inputs!$A$5:$A$190=$B65)*Inputs!$B$5:$B$190*(((Inputs!$G$5:$G$190="moeda")+(Inputs!$G$5:$G$190="acoes"))*Inputs!$B$1+((Inputs!$G$5:$G$190&lt;&gt;"moeda")*(Inputs!$G$5:$G$190&lt;&gt;"acoes")))*INDEX(Inputs!$K$5:$AJ$190,0,MATCH(O$2,Inputs!$K$4:$AJ$4,0)))+SUMPRODUCT((Inputs!$C$5:$C$190=$B65)*Inputs!$D$5:$D$190*(((Inputs!$G$5:$G$190="moeda")+(Inputs!$G$5:$G$190="acoes"))*Inputs!$B$1+((Inputs!$G$5:$G$190&lt;&gt;"moeda")*(Inputs!$G$5:$G$190&lt;&gt;"acoes")))*INDEX(Inputs!$K$5:$AJ$190,0,MATCH(O$2,Inputs!$K$4:$AJ$4,0)))+SUMPRODUCT((Inputs!$E$5:$E$190=$B65)*Inputs!$F$5:$F$190*(((Inputs!$G$5:$G$190="moeda")+(Inputs!$G$5:$G$190="acoes"))*Inputs!$B$1+((Inputs!$G$5:$G$190&lt;&gt;"moeda")*(Inputs!$G$5:$G$190&lt;&gt;"acoes")))*INDEX(Inputs!$K$5:$AJ$190,0,MATCH(O$2,Inputs!$K$4:$AJ$4,0)))))</f>
        <v>156.59406708</v>
      </c>
      <c r="P65" s="264">
        <f>IF(ISNA(MATCH(P$2,Inputs!$K$4:$AJ$4,0)),NA(),IF(SUMPRODUCT((Inputs!$A$5:$A$190=$B65)*ISNUMBER(INDEX(Inputs!$K$5:$AJ$190,0,MATCH(P$2,Inputs!$K$4:$AJ$4,0))))+SUMPRODUCT((Inputs!$C$5:$C$190=$B65)*ISNUMBER(INDEX(Inputs!$K$5:$AJ$190,0,MATCH(P$2,Inputs!$K$4:$AJ$4,0))))+SUMPRODUCT((Inputs!$E$5:$E$190=$B65)*ISNUMBER(INDEX(Inputs!$K$5:$AJ$190,0,MATCH(P$2,Inputs!$K$4:$AJ$4,0))))=0,NA(),SUMPRODUCT((Inputs!$A$5:$A$190=$B65)*Inputs!$B$5:$B$190*(((Inputs!$G$5:$G$190="moeda")+(Inputs!$G$5:$G$190="acoes"))*Inputs!$B$1+((Inputs!$G$5:$G$190&lt;&gt;"moeda")*(Inputs!$G$5:$G$190&lt;&gt;"acoes")))*INDEX(Inputs!$K$5:$AJ$190,0,MATCH(P$2,Inputs!$K$4:$AJ$4,0)))+SUMPRODUCT((Inputs!$C$5:$C$190=$B65)*Inputs!$D$5:$D$190*(((Inputs!$G$5:$G$190="moeda")+(Inputs!$G$5:$G$190="acoes"))*Inputs!$B$1+((Inputs!$G$5:$G$190&lt;&gt;"moeda")*(Inputs!$G$5:$G$190&lt;&gt;"acoes")))*INDEX(Inputs!$K$5:$AJ$190,0,MATCH(P$2,Inputs!$K$4:$AJ$4,0)))+SUMPRODUCT((Inputs!$E$5:$E$190=$B65)*Inputs!$F$5:$F$190*(((Inputs!$G$5:$G$190="moeda")+(Inputs!$G$5:$G$190="acoes"))*Inputs!$B$1+((Inputs!$G$5:$G$190&lt;&gt;"moeda")*(Inputs!$G$5:$G$190&lt;&gt;"acoes")))*INDEX(Inputs!$K$5:$AJ$190,0,MATCH(P$2,Inputs!$K$4:$AJ$4,0)))))</f>
        <v>215.89663183</v>
      </c>
      <c r="Q65" s="264">
        <f>IF(ISNA(MATCH(Q$2,Inputs!$K$4:$AJ$4,0)),NA(),IF(SUMPRODUCT((Inputs!$A$5:$A$190=$B65)*ISNUMBER(INDEX(Inputs!$K$5:$AJ$190,0,MATCH(Q$2,Inputs!$K$4:$AJ$4,0))))+SUMPRODUCT((Inputs!$C$5:$C$190=$B65)*ISNUMBER(INDEX(Inputs!$K$5:$AJ$190,0,MATCH(Q$2,Inputs!$K$4:$AJ$4,0))))+SUMPRODUCT((Inputs!$E$5:$E$190=$B65)*ISNUMBER(INDEX(Inputs!$K$5:$AJ$190,0,MATCH(Q$2,Inputs!$K$4:$AJ$4,0))))=0,NA(),SUMPRODUCT((Inputs!$A$5:$A$190=$B65)*Inputs!$B$5:$B$190*(((Inputs!$G$5:$G$190="moeda")+(Inputs!$G$5:$G$190="acoes"))*Inputs!$B$1+((Inputs!$G$5:$G$190&lt;&gt;"moeda")*(Inputs!$G$5:$G$190&lt;&gt;"acoes")))*INDEX(Inputs!$K$5:$AJ$190,0,MATCH(Q$2,Inputs!$K$4:$AJ$4,0)))+SUMPRODUCT((Inputs!$C$5:$C$190=$B65)*Inputs!$D$5:$D$190*(((Inputs!$G$5:$G$190="moeda")+(Inputs!$G$5:$G$190="acoes"))*Inputs!$B$1+((Inputs!$G$5:$G$190&lt;&gt;"moeda")*(Inputs!$G$5:$G$190&lt;&gt;"acoes")))*INDEX(Inputs!$K$5:$AJ$190,0,MATCH(Q$2,Inputs!$K$4:$AJ$4,0)))+SUMPRODUCT((Inputs!$E$5:$E$190=$B65)*Inputs!$F$5:$F$190*(((Inputs!$G$5:$G$190="moeda")+(Inputs!$G$5:$G$190="acoes"))*Inputs!$B$1+((Inputs!$G$5:$G$190&lt;&gt;"moeda")*(Inputs!$G$5:$G$190&lt;&gt;"acoes")))*INDEX(Inputs!$K$5:$AJ$190,0,MATCH(Q$2,Inputs!$K$4:$AJ$4,0)))))</f>
        <v>238.41846435</v>
      </c>
      <c r="R65" s="265">
        <f>SUM(N65:Q65)</f>
        <v>757.61532169</v>
      </c>
      <c r="S65" s="264">
        <f>IF(ISNA(MATCH(S$2,Inputs!$K$4:$AJ$4,0)),NA(),IF(SUMPRODUCT((Inputs!$A$5:$A$190=$B65)*ISNUMBER(INDEX(Inputs!$K$5:$AJ$190,0,MATCH(S$2,Inputs!$K$4:$AJ$4,0))))+SUMPRODUCT((Inputs!$C$5:$C$190=$B65)*ISNUMBER(INDEX(Inputs!$K$5:$AJ$190,0,MATCH(S$2,Inputs!$K$4:$AJ$4,0))))+SUMPRODUCT((Inputs!$E$5:$E$190=$B65)*ISNUMBER(INDEX(Inputs!$K$5:$AJ$190,0,MATCH(S$2,Inputs!$K$4:$AJ$4,0))))=0,NA(),SUMPRODUCT((Inputs!$A$5:$A$190=$B65)*Inputs!$B$5:$B$190*(((Inputs!$G$5:$G$190="moeda")+(Inputs!$G$5:$G$190="acoes"))*Inputs!$B$1+((Inputs!$G$5:$G$190&lt;&gt;"moeda")*(Inputs!$G$5:$G$190&lt;&gt;"acoes")))*INDEX(Inputs!$K$5:$AJ$190,0,MATCH(S$2,Inputs!$K$4:$AJ$4,0)))+SUMPRODUCT((Inputs!$C$5:$C$190=$B65)*Inputs!$D$5:$D$190*(((Inputs!$G$5:$G$190="moeda")+(Inputs!$G$5:$G$190="acoes"))*Inputs!$B$1+((Inputs!$G$5:$G$190&lt;&gt;"moeda")*(Inputs!$G$5:$G$190&lt;&gt;"acoes")))*INDEX(Inputs!$K$5:$AJ$190,0,MATCH(S$2,Inputs!$K$4:$AJ$4,0)))+SUMPRODUCT((Inputs!$E$5:$E$190=$B65)*Inputs!$F$5:$F$190*(((Inputs!$G$5:$G$190="moeda")+(Inputs!$G$5:$G$190="acoes"))*Inputs!$B$1+((Inputs!$G$5:$G$190&lt;&gt;"moeda")*(Inputs!$G$5:$G$190&lt;&gt;"acoes")))*INDEX(Inputs!$K$5:$AJ$190,0,MATCH(S$2,Inputs!$K$4:$AJ$4,0)))))</f>
        <v>146.55115785</v>
      </c>
      <c r="T65" s="264">
        <f>IF(ISNA(MATCH(T$2,Inputs!$K$4:$AJ$4,0)),NA(),IF(SUMPRODUCT((Inputs!$A$5:$A$190=$B65)*ISNUMBER(INDEX(Inputs!$K$5:$AJ$190,0,MATCH(T$2,Inputs!$K$4:$AJ$4,0))))+SUMPRODUCT((Inputs!$C$5:$C$190=$B65)*ISNUMBER(INDEX(Inputs!$K$5:$AJ$190,0,MATCH(T$2,Inputs!$K$4:$AJ$4,0))))+SUMPRODUCT((Inputs!$E$5:$E$190=$B65)*ISNUMBER(INDEX(Inputs!$K$5:$AJ$190,0,MATCH(T$2,Inputs!$K$4:$AJ$4,0))))=0,NA(),SUMPRODUCT((Inputs!$A$5:$A$190=$B65)*Inputs!$B$5:$B$190*(((Inputs!$G$5:$G$190="moeda")+(Inputs!$G$5:$G$190="acoes"))*Inputs!$B$1+((Inputs!$G$5:$G$190&lt;&gt;"moeda")*(Inputs!$G$5:$G$190&lt;&gt;"acoes")))*INDEX(Inputs!$K$5:$AJ$190,0,MATCH(T$2,Inputs!$K$4:$AJ$4,0)))+SUMPRODUCT((Inputs!$C$5:$C$190=$B65)*Inputs!$D$5:$D$190*(((Inputs!$G$5:$G$190="moeda")+(Inputs!$G$5:$G$190="acoes"))*Inputs!$B$1+((Inputs!$G$5:$G$190&lt;&gt;"moeda")*(Inputs!$G$5:$G$190&lt;&gt;"acoes")))*INDEX(Inputs!$K$5:$AJ$190,0,MATCH(T$2,Inputs!$K$4:$AJ$4,0)))+SUMPRODUCT((Inputs!$E$5:$E$190=$B65)*Inputs!$F$5:$F$190*(((Inputs!$G$5:$G$190="moeda")+(Inputs!$G$5:$G$190="acoes"))*Inputs!$B$1+((Inputs!$G$5:$G$190&lt;&gt;"moeda")*(Inputs!$G$5:$G$190&lt;&gt;"acoes")))*INDEX(Inputs!$K$5:$AJ$190,0,MATCH(T$2,Inputs!$K$4:$AJ$4,0)))))</f>
        <v>275.7770609</v>
      </c>
      <c r="U65" s="264">
        <f>IF(ISNA(MATCH(U$2,Inputs!$K$4:$AJ$4,0)),NA(),IF(SUMPRODUCT((Inputs!$A$5:$A$190=$B65)*ISNUMBER(INDEX(Inputs!$K$5:$AJ$190,0,MATCH(U$2,Inputs!$K$4:$AJ$4,0))))+SUMPRODUCT((Inputs!$C$5:$C$190=$B65)*ISNUMBER(INDEX(Inputs!$K$5:$AJ$190,0,MATCH(U$2,Inputs!$K$4:$AJ$4,0))))+SUMPRODUCT((Inputs!$E$5:$E$190=$B65)*ISNUMBER(INDEX(Inputs!$K$5:$AJ$190,0,MATCH(U$2,Inputs!$K$4:$AJ$4,0))))=0,NA(),SUMPRODUCT((Inputs!$A$5:$A$190=$B65)*Inputs!$B$5:$B$190*(((Inputs!$G$5:$G$190="moeda")+(Inputs!$G$5:$G$190="acoes"))*Inputs!$B$1+((Inputs!$G$5:$G$190&lt;&gt;"moeda")*(Inputs!$G$5:$G$190&lt;&gt;"acoes")))*INDEX(Inputs!$K$5:$AJ$190,0,MATCH(U$2,Inputs!$K$4:$AJ$4,0)))+SUMPRODUCT((Inputs!$C$5:$C$190=$B65)*Inputs!$D$5:$D$190*(((Inputs!$G$5:$G$190="moeda")+(Inputs!$G$5:$G$190="acoes"))*Inputs!$B$1+((Inputs!$G$5:$G$190&lt;&gt;"moeda")*(Inputs!$G$5:$G$190&lt;&gt;"acoes")))*INDEX(Inputs!$K$5:$AJ$190,0,MATCH(U$2,Inputs!$K$4:$AJ$4,0)))+SUMPRODUCT((Inputs!$E$5:$E$190=$B65)*Inputs!$F$5:$F$190*(((Inputs!$G$5:$G$190="moeda")+(Inputs!$G$5:$G$190="acoes"))*Inputs!$B$1+((Inputs!$G$5:$G$190&lt;&gt;"moeda")*(Inputs!$G$5:$G$190&lt;&gt;"acoes")))*INDEX(Inputs!$K$5:$AJ$190,0,MATCH(U$2,Inputs!$K$4:$AJ$4,0)))))</f>
        <v>215.81665142</v>
      </c>
      <c r="V65" s="264">
        <f>IF(ISNA(MATCH(V$2,Inputs!$K$4:$AJ$4,0)),NA(),IF(SUMPRODUCT((Inputs!$A$5:$A$190=$B65)*ISNUMBER(INDEX(Inputs!$K$5:$AJ$190,0,MATCH(V$2,Inputs!$K$4:$AJ$4,0))))+SUMPRODUCT((Inputs!$C$5:$C$190=$B65)*ISNUMBER(INDEX(Inputs!$K$5:$AJ$190,0,MATCH(V$2,Inputs!$K$4:$AJ$4,0))))+SUMPRODUCT((Inputs!$E$5:$E$190=$B65)*ISNUMBER(INDEX(Inputs!$K$5:$AJ$190,0,MATCH(V$2,Inputs!$K$4:$AJ$4,0))))=0,NA(),SUMPRODUCT((Inputs!$A$5:$A$190=$B65)*Inputs!$B$5:$B$190*(((Inputs!$G$5:$G$190="moeda")+(Inputs!$G$5:$G$190="acoes"))*Inputs!$B$1+((Inputs!$G$5:$G$190&lt;&gt;"moeda")*(Inputs!$G$5:$G$190&lt;&gt;"acoes")))*INDEX(Inputs!$K$5:$AJ$190,0,MATCH(V$2,Inputs!$K$4:$AJ$4,0)))+SUMPRODUCT((Inputs!$C$5:$C$190=$B65)*Inputs!$D$5:$D$190*(((Inputs!$G$5:$G$190="moeda")+(Inputs!$G$5:$G$190="acoes"))*Inputs!$B$1+((Inputs!$G$5:$G$190&lt;&gt;"moeda")*(Inputs!$G$5:$G$190&lt;&gt;"acoes")))*INDEX(Inputs!$K$5:$AJ$190,0,MATCH(V$2,Inputs!$K$4:$AJ$4,0)))+SUMPRODUCT((Inputs!$E$5:$E$190=$B65)*Inputs!$F$5:$F$190*(((Inputs!$G$5:$G$190="moeda")+(Inputs!$G$5:$G$190="acoes"))*Inputs!$B$1+((Inputs!$G$5:$G$190&lt;&gt;"moeda")*(Inputs!$G$5:$G$190&lt;&gt;"acoes")))*INDEX(Inputs!$K$5:$AJ$190,0,MATCH(V$2,Inputs!$K$4:$AJ$4,0)))))</f>
        <v>279.38339776</v>
      </c>
      <c r="W65" s="265">
        <f>SUM(S65:V65)</f>
        <v>917.52826793</v>
      </c>
      <c r="X65" s="264">
        <f>IF(ISNA(MATCH(X$2,Inputs!$K$4:$AJ$4,0)),NA(),IF(SUMPRODUCT((Inputs!$A$5:$A$190=$B65)*ISNUMBER(INDEX(Inputs!$K$5:$AJ$190,0,MATCH(X$2,Inputs!$K$4:$AJ$4,0))))+SUMPRODUCT((Inputs!$C$5:$C$190=$B65)*ISNUMBER(INDEX(Inputs!$K$5:$AJ$190,0,MATCH(X$2,Inputs!$K$4:$AJ$4,0))))+SUMPRODUCT((Inputs!$E$5:$E$190=$B65)*ISNUMBER(INDEX(Inputs!$K$5:$AJ$190,0,MATCH(X$2,Inputs!$K$4:$AJ$4,0))))=0,NA(),SUMPRODUCT((Inputs!$A$5:$A$190=$B65)*Inputs!$B$5:$B$190*(((Inputs!$G$5:$G$190="moeda")+(Inputs!$G$5:$G$190="acoes"))*Inputs!$B$1+((Inputs!$G$5:$G$190&lt;&gt;"moeda")*(Inputs!$G$5:$G$190&lt;&gt;"acoes")))*INDEX(Inputs!$K$5:$AJ$190,0,MATCH(X$2,Inputs!$K$4:$AJ$4,0)))+SUMPRODUCT((Inputs!$C$5:$C$190=$B65)*Inputs!$D$5:$D$190*(((Inputs!$G$5:$G$190="moeda")+(Inputs!$G$5:$G$190="acoes"))*Inputs!$B$1+((Inputs!$G$5:$G$190&lt;&gt;"moeda")*(Inputs!$G$5:$G$190&lt;&gt;"acoes")))*INDEX(Inputs!$K$5:$AJ$190,0,MATCH(X$2,Inputs!$K$4:$AJ$4,0)))+SUMPRODUCT((Inputs!$E$5:$E$190=$B65)*Inputs!$F$5:$F$190*(((Inputs!$G$5:$G$190="moeda")+(Inputs!$G$5:$G$190="acoes"))*Inputs!$B$1+((Inputs!$G$5:$G$190&lt;&gt;"moeda")*(Inputs!$G$5:$G$190&lt;&gt;"acoes")))*INDEX(Inputs!$K$5:$AJ$190,0,MATCH(X$2,Inputs!$K$4:$AJ$4,0)))))</f>
        <v>42.04555003</v>
      </c>
      <c r="Y65" s="264">
        <f>IF(ISNA(MATCH(Y$2,Inputs!$K$4:$AJ$4,0)),NA(),IF(SUMPRODUCT((Inputs!$A$5:$A$190=$B65)*ISNUMBER(INDEX(Inputs!$K$5:$AJ$190,0,MATCH(Y$2,Inputs!$K$4:$AJ$4,0))))+SUMPRODUCT((Inputs!$C$5:$C$190=$B65)*ISNUMBER(INDEX(Inputs!$K$5:$AJ$190,0,MATCH(Y$2,Inputs!$K$4:$AJ$4,0))))+SUMPRODUCT((Inputs!$E$5:$E$190=$B65)*ISNUMBER(INDEX(Inputs!$K$5:$AJ$190,0,MATCH(Y$2,Inputs!$K$4:$AJ$4,0))))=0,NA(),SUMPRODUCT((Inputs!$A$5:$A$190=$B65)*Inputs!$B$5:$B$190*(((Inputs!$G$5:$G$190="moeda")+(Inputs!$G$5:$G$190="acoes"))*Inputs!$B$1+((Inputs!$G$5:$G$190&lt;&gt;"moeda")*(Inputs!$G$5:$G$190&lt;&gt;"acoes")))*INDEX(Inputs!$K$5:$AJ$190,0,MATCH(Y$2,Inputs!$K$4:$AJ$4,0)))+SUMPRODUCT((Inputs!$C$5:$C$190=$B65)*Inputs!$D$5:$D$190*(((Inputs!$G$5:$G$190="moeda")+(Inputs!$G$5:$G$190="acoes"))*Inputs!$B$1+((Inputs!$G$5:$G$190&lt;&gt;"moeda")*(Inputs!$G$5:$G$190&lt;&gt;"acoes")))*INDEX(Inputs!$K$5:$AJ$190,0,MATCH(Y$2,Inputs!$K$4:$AJ$4,0)))+SUMPRODUCT((Inputs!$E$5:$E$190=$B65)*Inputs!$F$5:$F$190*(((Inputs!$G$5:$G$190="moeda")+(Inputs!$G$5:$G$190="acoes"))*Inputs!$B$1+((Inputs!$G$5:$G$190&lt;&gt;"moeda")*(Inputs!$G$5:$G$190&lt;&gt;"acoes")))*INDEX(Inputs!$K$5:$AJ$190,0,MATCH(Y$2,Inputs!$K$4:$AJ$4,0)))))</f>
        <v>42.08997818</v>
      </c>
      <c r="Z65" s="264">
        <f>IF(ISNA(MATCH(Z$2,Inputs!$K$4:$AJ$4,0)),NA(),IF(SUMPRODUCT((Inputs!$A$5:$A$190=$B65)*ISNUMBER(INDEX(Inputs!$K$5:$AJ$190,0,MATCH(Z$2,Inputs!$K$4:$AJ$4,0))))+SUMPRODUCT((Inputs!$C$5:$C$190=$B65)*ISNUMBER(INDEX(Inputs!$K$5:$AJ$190,0,MATCH(Z$2,Inputs!$K$4:$AJ$4,0))))+SUMPRODUCT((Inputs!$E$5:$E$190=$B65)*ISNUMBER(INDEX(Inputs!$K$5:$AJ$190,0,MATCH(Z$2,Inputs!$K$4:$AJ$4,0))))=0,NA(),SUMPRODUCT((Inputs!$A$5:$A$190=$B65)*Inputs!$B$5:$B$190*(((Inputs!$G$5:$G$190="moeda")+(Inputs!$G$5:$G$190="acoes"))*Inputs!$B$1+((Inputs!$G$5:$G$190&lt;&gt;"moeda")*(Inputs!$G$5:$G$190&lt;&gt;"acoes")))*INDEX(Inputs!$K$5:$AJ$190,0,MATCH(Z$2,Inputs!$K$4:$AJ$4,0)))+SUMPRODUCT((Inputs!$C$5:$C$190=$B65)*Inputs!$D$5:$D$190*(((Inputs!$G$5:$G$190="moeda")+(Inputs!$G$5:$G$190="acoes"))*Inputs!$B$1+((Inputs!$G$5:$G$190&lt;&gt;"moeda")*(Inputs!$G$5:$G$190&lt;&gt;"acoes")))*INDEX(Inputs!$K$5:$AJ$190,0,MATCH(Z$2,Inputs!$K$4:$AJ$4,0)))+SUMPRODUCT((Inputs!$E$5:$E$190=$B65)*Inputs!$F$5:$F$190*(((Inputs!$G$5:$G$190="moeda")+(Inputs!$G$5:$G$190="acoes"))*Inputs!$B$1+((Inputs!$G$5:$G$190&lt;&gt;"moeda")*(Inputs!$G$5:$G$190&lt;&gt;"acoes")))*INDEX(Inputs!$K$5:$AJ$190,0,MATCH(Z$2,Inputs!$K$4:$AJ$4,0)))))</f>
        <v>71.74317879</v>
      </c>
      <c r="AA65" s="264">
        <f>IF(ISNA(MATCH(AA$2,Inputs!$K$4:$AJ$4,0)),NA(),IF(SUMPRODUCT((Inputs!$A$5:$A$190=$B65)*ISNUMBER(INDEX(Inputs!$K$5:$AJ$190,0,MATCH(AA$2,Inputs!$K$4:$AJ$4,0))))+SUMPRODUCT((Inputs!$C$5:$C$190=$B65)*ISNUMBER(INDEX(Inputs!$K$5:$AJ$190,0,MATCH(AA$2,Inputs!$K$4:$AJ$4,0))))+SUMPRODUCT((Inputs!$E$5:$E$190=$B65)*ISNUMBER(INDEX(Inputs!$K$5:$AJ$190,0,MATCH(AA$2,Inputs!$K$4:$AJ$4,0))))=0,NA(),SUMPRODUCT((Inputs!$A$5:$A$190=$B65)*Inputs!$B$5:$B$190*(((Inputs!$G$5:$G$190="moeda")+(Inputs!$G$5:$G$190="acoes"))*Inputs!$B$1+((Inputs!$G$5:$G$190&lt;&gt;"moeda")*(Inputs!$G$5:$G$190&lt;&gt;"acoes")))*INDEX(Inputs!$K$5:$AJ$190,0,MATCH(AA$2,Inputs!$K$4:$AJ$4,0)))+SUMPRODUCT((Inputs!$C$5:$C$190=$B65)*Inputs!$D$5:$D$190*(((Inputs!$G$5:$G$190="moeda")+(Inputs!$G$5:$G$190="acoes"))*Inputs!$B$1+((Inputs!$G$5:$G$190&lt;&gt;"moeda")*(Inputs!$G$5:$G$190&lt;&gt;"acoes")))*INDEX(Inputs!$K$5:$AJ$190,0,MATCH(AA$2,Inputs!$K$4:$AJ$4,0)))+SUMPRODUCT((Inputs!$E$5:$E$190=$B65)*Inputs!$F$5:$F$190*(((Inputs!$G$5:$G$190="moeda")+(Inputs!$G$5:$G$190="acoes"))*Inputs!$B$1+((Inputs!$G$5:$G$190&lt;&gt;"moeda")*(Inputs!$G$5:$G$190&lt;&gt;"acoes")))*INDEX(Inputs!$K$5:$AJ$190,0,MATCH(AA$2,Inputs!$K$4:$AJ$4,0)))))</f>
        <v>134.13562926</v>
      </c>
      <c r="AB65" s="265">
        <f>SUM(X65:AA65)</f>
        <v>290.01433626</v>
      </c>
      <c r="AC65" s="264">
        <f>IF(ISNA(MATCH(AC$2,Inputs!$K$4:$AJ$4,0)),NA(),IF(SUMPRODUCT((Inputs!$A$5:$A$190=$B65)*ISNUMBER(INDEX(Inputs!$K$5:$AJ$190,0,MATCH(AC$2,Inputs!$K$4:$AJ$4,0))))+SUMPRODUCT((Inputs!$C$5:$C$190=$B65)*ISNUMBER(INDEX(Inputs!$K$5:$AJ$190,0,MATCH(AC$2,Inputs!$K$4:$AJ$4,0))))+SUMPRODUCT((Inputs!$E$5:$E$190=$B65)*ISNUMBER(INDEX(Inputs!$K$5:$AJ$190,0,MATCH(AC$2,Inputs!$K$4:$AJ$4,0))))=0,NA(),SUMPRODUCT((Inputs!$A$5:$A$190=$B65)*Inputs!$B$5:$B$190*(((Inputs!$G$5:$G$190="moeda")+(Inputs!$G$5:$G$190="acoes"))*Inputs!$B$1+((Inputs!$G$5:$G$190&lt;&gt;"moeda")*(Inputs!$G$5:$G$190&lt;&gt;"acoes")))*INDEX(Inputs!$K$5:$AJ$190,0,MATCH(AC$2,Inputs!$K$4:$AJ$4,0)))+SUMPRODUCT((Inputs!$C$5:$C$190=$B65)*Inputs!$D$5:$D$190*(((Inputs!$G$5:$G$190="moeda")+(Inputs!$G$5:$G$190="acoes"))*Inputs!$B$1+((Inputs!$G$5:$G$190&lt;&gt;"moeda")*(Inputs!$G$5:$G$190&lt;&gt;"acoes")))*INDEX(Inputs!$K$5:$AJ$190,0,MATCH(AC$2,Inputs!$K$4:$AJ$4,0)))+SUMPRODUCT((Inputs!$E$5:$E$190=$B65)*Inputs!$F$5:$F$190*(((Inputs!$G$5:$G$190="moeda")+(Inputs!$G$5:$G$190="acoes"))*Inputs!$B$1+((Inputs!$G$5:$G$190&lt;&gt;"moeda")*(Inputs!$G$5:$G$190&lt;&gt;"acoes")))*INDEX(Inputs!$K$5:$AJ$190,0,MATCH(AC$2,Inputs!$K$4:$AJ$4,0)))))</f>
        <v>122.33628311</v>
      </c>
      <c r="AD65" s="264">
        <f>IF(ISNA(MATCH(AD$2,Inputs!$K$4:$AJ$4,0)),NA(),IF(SUMPRODUCT((Inputs!$A$5:$A$190=$B65)*ISNUMBER(INDEX(Inputs!$K$5:$AJ$190,0,MATCH(AD$2,Inputs!$K$4:$AJ$4,0))))+SUMPRODUCT((Inputs!$C$5:$C$190=$B65)*ISNUMBER(INDEX(Inputs!$K$5:$AJ$190,0,MATCH(AD$2,Inputs!$K$4:$AJ$4,0))))+SUMPRODUCT((Inputs!$E$5:$E$190=$B65)*ISNUMBER(INDEX(Inputs!$K$5:$AJ$190,0,MATCH(AD$2,Inputs!$K$4:$AJ$4,0))))=0,NA(),SUMPRODUCT((Inputs!$A$5:$A$190=$B65)*Inputs!$B$5:$B$190*(((Inputs!$G$5:$G$190="moeda")+(Inputs!$G$5:$G$190="acoes"))*Inputs!$B$1+((Inputs!$G$5:$G$190&lt;&gt;"moeda")*(Inputs!$G$5:$G$190&lt;&gt;"acoes")))*INDEX(Inputs!$K$5:$AJ$190,0,MATCH(AD$2,Inputs!$K$4:$AJ$4,0)))+SUMPRODUCT((Inputs!$C$5:$C$190=$B65)*Inputs!$D$5:$D$190*(((Inputs!$G$5:$G$190="moeda")+(Inputs!$G$5:$G$190="acoes"))*Inputs!$B$1+((Inputs!$G$5:$G$190&lt;&gt;"moeda")*(Inputs!$G$5:$G$190&lt;&gt;"acoes")))*INDEX(Inputs!$K$5:$AJ$190,0,MATCH(AD$2,Inputs!$K$4:$AJ$4,0)))+SUMPRODUCT((Inputs!$E$5:$E$190=$B65)*Inputs!$F$5:$F$190*(((Inputs!$G$5:$G$190="moeda")+(Inputs!$G$5:$G$190="acoes"))*Inputs!$B$1+((Inputs!$G$5:$G$190&lt;&gt;"moeda")*(Inputs!$G$5:$G$190&lt;&gt;"acoes")))*INDEX(Inputs!$K$5:$AJ$190,0,MATCH(AD$2,Inputs!$K$4:$AJ$4,0)))))</f>
        <v>175.8516919</v>
      </c>
      <c r="AE65" s="264" t="e">
        <f>IF(ISNA(MATCH(AE$2,Inputs!$K$4:$AJ$4,0)),NA(),IF(SUMPRODUCT((Inputs!$A$5:$A$190=$B65)*ISNUMBER(INDEX(Inputs!$K$5:$AJ$190,0,MATCH(AE$2,Inputs!$K$4:$AJ$4,0))))+SUMPRODUCT((Inputs!$C$5:$C$190=$B65)*ISNUMBER(INDEX(Inputs!$K$5:$AJ$190,0,MATCH(AE$2,Inputs!$K$4:$AJ$4,0))))+SUMPRODUCT((Inputs!$E$5:$E$190=$B65)*ISNUMBER(INDEX(Inputs!$K$5:$AJ$190,0,MATCH(AE$2,Inputs!$K$4:$AJ$4,0))))=0,NA(),SUMPRODUCT((Inputs!$A$5:$A$190=$B65)*Inputs!$B$5:$B$190*(((Inputs!$G$5:$G$190="moeda")+(Inputs!$G$5:$G$190="acoes"))*Inputs!$B$1+((Inputs!$G$5:$G$190&lt;&gt;"moeda")*(Inputs!$G$5:$G$190&lt;&gt;"acoes")))*INDEX(Inputs!$K$5:$AJ$190,0,MATCH(AE$2,Inputs!$K$4:$AJ$4,0)))+SUMPRODUCT((Inputs!$C$5:$C$190=$B65)*Inputs!$D$5:$D$190*(((Inputs!$G$5:$G$190="moeda")+(Inputs!$G$5:$G$190="acoes"))*Inputs!$B$1+((Inputs!$G$5:$G$190&lt;&gt;"moeda")*(Inputs!$G$5:$G$190&lt;&gt;"acoes")))*INDEX(Inputs!$K$5:$AJ$190,0,MATCH(AE$2,Inputs!$K$4:$AJ$4,0)))+SUMPRODUCT((Inputs!$E$5:$E$190=$B65)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65" s="264" t="e">
        <f>IF(ISNA(MATCH(AF$2,Inputs!$K$4:$AJ$4,0)),NA(),IF(SUMPRODUCT((Inputs!$A$5:$A$190=$B65)*ISNUMBER(INDEX(Inputs!$K$5:$AJ$190,0,MATCH(AF$2,Inputs!$K$4:$AJ$4,0))))+SUMPRODUCT((Inputs!$C$5:$C$190=$B65)*ISNUMBER(INDEX(Inputs!$K$5:$AJ$190,0,MATCH(AF$2,Inputs!$K$4:$AJ$4,0))))+SUMPRODUCT((Inputs!$E$5:$E$190=$B65)*ISNUMBER(INDEX(Inputs!$K$5:$AJ$190,0,MATCH(AF$2,Inputs!$K$4:$AJ$4,0))))=0,NA(),SUMPRODUCT((Inputs!$A$5:$A$190=$B65)*Inputs!$B$5:$B$190*(((Inputs!$G$5:$G$190="moeda")+(Inputs!$G$5:$G$190="acoes"))*Inputs!$B$1+((Inputs!$G$5:$G$190&lt;&gt;"moeda")*(Inputs!$G$5:$G$190&lt;&gt;"acoes")))*INDEX(Inputs!$K$5:$AJ$190,0,MATCH(AF$2,Inputs!$K$4:$AJ$4,0)))+SUMPRODUCT((Inputs!$C$5:$C$190=$B65)*Inputs!$D$5:$D$190*(((Inputs!$G$5:$G$190="moeda")+(Inputs!$G$5:$G$190="acoes"))*Inputs!$B$1+((Inputs!$G$5:$G$190&lt;&gt;"moeda")*(Inputs!$G$5:$G$190&lt;&gt;"acoes")))*INDEX(Inputs!$K$5:$AJ$190,0,MATCH(AF$2,Inputs!$K$4:$AJ$4,0)))+SUMPRODUCT((Inputs!$E$5:$E$190=$B65)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65" s="265" t="e">
        <f>SUM(AC65:AF65)</f>
        <v>#N/A</v>
      </c>
      <c r="AH65" s="264" t="e">
        <f>IF(ISNA(MATCH(AH$2,Inputs!$K$4:$AJ$4,0)),NA(),IF(SUMPRODUCT((Inputs!$A$5:$A$190=$B65)*ISNUMBER(INDEX(Inputs!$K$5:$AJ$190,0,MATCH(AH$2,Inputs!$K$4:$AJ$4,0))))+SUMPRODUCT((Inputs!$C$5:$C$190=$B65)*ISNUMBER(INDEX(Inputs!$K$5:$AJ$190,0,MATCH(AH$2,Inputs!$K$4:$AJ$4,0))))+SUMPRODUCT((Inputs!$E$5:$E$190=$B65)*ISNUMBER(INDEX(Inputs!$K$5:$AJ$190,0,MATCH(AH$2,Inputs!$K$4:$AJ$4,0))))=0,NA(),SUMPRODUCT((Inputs!$A$5:$A$190=$B65)*Inputs!$B$5:$B$190*(((Inputs!$G$5:$G$190="moeda")+(Inputs!$G$5:$G$190="acoes"))*Inputs!$B$1+((Inputs!$G$5:$G$190&lt;&gt;"moeda")*(Inputs!$G$5:$G$190&lt;&gt;"acoes")))*INDEX(Inputs!$K$5:$AJ$190,0,MATCH(AH$2,Inputs!$K$4:$AJ$4,0)))+SUMPRODUCT((Inputs!$C$5:$C$190=$B65)*Inputs!$D$5:$D$190*(((Inputs!$G$5:$G$190="moeda")+(Inputs!$G$5:$G$190="acoes"))*Inputs!$B$1+((Inputs!$G$5:$G$190&lt;&gt;"moeda")*(Inputs!$G$5:$G$190&lt;&gt;"acoes")))*INDEX(Inputs!$K$5:$AJ$190,0,MATCH(AH$2,Inputs!$K$4:$AJ$4,0)))+SUMPRODUCT((Inputs!$E$5:$E$190=$B65)*Inputs!$F$5:$F$190*(((Inputs!$G$5:$G$190="moeda")+(Inputs!$G$5:$G$190="acoes"))*Inputs!$B$1+((Inputs!$G$5:$G$190&lt;&gt;"moeda")*(Inputs!$G$5:$G$190&lt;&gt;"acoes")))*INDEX(Inputs!$K$5:$AJ$190,0,MATCH(AH$2,Inputs!$K$4:$AJ$4,0)))))</f>
        <v>#N/A</v>
      </c>
      <c r="AI65" s="264" t="e">
        <f>IF(ISNA(MATCH(AI$2,Inputs!$K$4:$AJ$4,0)),NA(),IF(SUMPRODUCT((Inputs!$A$5:$A$190=$B65)*ISNUMBER(INDEX(Inputs!$K$5:$AJ$190,0,MATCH(AI$2,Inputs!$K$4:$AJ$4,0))))+SUMPRODUCT((Inputs!$C$5:$C$190=$B65)*ISNUMBER(INDEX(Inputs!$K$5:$AJ$190,0,MATCH(AI$2,Inputs!$K$4:$AJ$4,0))))+SUMPRODUCT((Inputs!$E$5:$E$190=$B65)*ISNUMBER(INDEX(Inputs!$K$5:$AJ$190,0,MATCH(AI$2,Inputs!$K$4:$AJ$4,0))))=0,NA(),SUMPRODUCT((Inputs!$A$5:$A$190=$B65)*Inputs!$B$5:$B$190*(((Inputs!$G$5:$G$190="moeda")+(Inputs!$G$5:$G$190="acoes"))*Inputs!$B$1+((Inputs!$G$5:$G$190&lt;&gt;"moeda")*(Inputs!$G$5:$G$190&lt;&gt;"acoes")))*INDEX(Inputs!$K$5:$AJ$190,0,MATCH(AI$2,Inputs!$K$4:$AJ$4,0)))+SUMPRODUCT((Inputs!$C$5:$C$190=$B65)*Inputs!$D$5:$D$190*(((Inputs!$G$5:$G$190="moeda")+(Inputs!$G$5:$G$190="acoes"))*Inputs!$B$1+((Inputs!$G$5:$G$190&lt;&gt;"moeda")*(Inputs!$G$5:$G$190&lt;&gt;"acoes")))*INDEX(Inputs!$K$5:$AJ$190,0,MATCH(AI$2,Inputs!$K$4:$AJ$4,0)))+SUMPRODUCT((Inputs!$E$5:$E$190=$B65)*Inputs!$F$5:$F$190*(((Inputs!$G$5:$G$190="moeda")+(Inputs!$G$5:$G$190="acoes"))*Inputs!$B$1+((Inputs!$G$5:$G$190&lt;&gt;"moeda")*(Inputs!$G$5:$G$190&lt;&gt;"acoes")))*INDEX(Inputs!$K$5:$AJ$190,0,MATCH(AI$2,Inputs!$K$4:$AJ$4,0)))))</f>
        <v>#N/A</v>
      </c>
      <c r="AJ65" s="264" t="e">
        <f>IF(ISNA(MATCH(AJ$2,Inputs!$K$4:$AJ$4,0)),NA(),IF(SUMPRODUCT((Inputs!$A$5:$A$190=$B65)*ISNUMBER(INDEX(Inputs!$K$5:$AJ$190,0,MATCH(AJ$2,Inputs!$K$4:$AJ$4,0))))+SUMPRODUCT((Inputs!$C$5:$C$190=$B65)*ISNUMBER(INDEX(Inputs!$K$5:$AJ$190,0,MATCH(AJ$2,Inputs!$K$4:$AJ$4,0))))+SUMPRODUCT((Inputs!$E$5:$E$190=$B65)*ISNUMBER(INDEX(Inputs!$K$5:$AJ$190,0,MATCH(AJ$2,Inputs!$K$4:$AJ$4,0))))=0,NA(),SUMPRODUCT((Inputs!$A$5:$A$190=$B65)*Inputs!$B$5:$B$190*(((Inputs!$G$5:$G$190="moeda")+(Inputs!$G$5:$G$190="acoes"))*Inputs!$B$1+((Inputs!$G$5:$G$190&lt;&gt;"moeda")*(Inputs!$G$5:$G$190&lt;&gt;"acoes")))*INDEX(Inputs!$K$5:$AJ$190,0,MATCH(AJ$2,Inputs!$K$4:$AJ$4,0)))+SUMPRODUCT((Inputs!$C$5:$C$190=$B65)*Inputs!$D$5:$D$190*(((Inputs!$G$5:$G$190="moeda")+(Inputs!$G$5:$G$190="acoes"))*Inputs!$B$1+((Inputs!$G$5:$G$190&lt;&gt;"moeda")*(Inputs!$G$5:$G$190&lt;&gt;"acoes")))*INDEX(Inputs!$K$5:$AJ$190,0,MATCH(AJ$2,Inputs!$K$4:$AJ$4,0)))+SUMPRODUCT((Inputs!$E$5:$E$190=$B65)*Inputs!$F$5:$F$190*(((Inputs!$G$5:$G$190="moeda")+(Inputs!$G$5:$G$190="acoes"))*Inputs!$B$1+((Inputs!$G$5:$G$190&lt;&gt;"moeda")*(Inputs!$G$5:$G$190&lt;&gt;"acoes")))*INDEX(Inputs!$K$5:$AJ$190,0,MATCH(AJ$2,Inputs!$K$4:$AJ$4,0)))))</f>
        <v>#N/A</v>
      </c>
      <c r="AK65" s="264" t="e">
        <f>IF(ISNA(MATCH(AK$2,Inputs!$K$4:$AJ$4,0)),NA(),IF(SUMPRODUCT((Inputs!$A$5:$A$190=$B65)*ISNUMBER(INDEX(Inputs!$K$5:$AJ$190,0,MATCH(AK$2,Inputs!$K$4:$AJ$4,0))))+SUMPRODUCT((Inputs!$C$5:$C$190=$B65)*ISNUMBER(INDEX(Inputs!$K$5:$AJ$190,0,MATCH(AK$2,Inputs!$K$4:$AJ$4,0))))+SUMPRODUCT((Inputs!$E$5:$E$190=$B65)*ISNUMBER(INDEX(Inputs!$K$5:$AJ$190,0,MATCH(AK$2,Inputs!$K$4:$AJ$4,0))))=0,NA(),SUMPRODUCT((Inputs!$A$5:$A$190=$B65)*Inputs!$B$5:$B$190*(((Inputs!$G$5:$G$190="moeda")+(Inputs!$G$5:$G$190="acoes"))*Inputs!$B$1+((Inputs!$G$5:$G$190&lt;&gt;"moeda")*(Inputs!$G$5:$G$190&lt;&gt;"acoes")))*INDEX(Inputs!$K$5:$AJ$190,0,MATCH(AK$2,Inputs!$K$4:$AJ$4,0)))+SUMPRODUCT((Inputs!$C$5:$C$190=$B65)*Inputs!$D$5:$D$190*(((Inputs!$G$5:$G$190="moeda")+(Inputs!$G$5:$G$190="acoes"))*Inputs!$B$1+((Inputs!$G$5:$G$190&lt;&gt;"moeda")*(Inputs!$G$5:$G$190&lt;&gt;"acoes")))*INDEX(Inputs!$K$5:$AJ$190,0,MATCH(AK$2,Inputs!$K$4:$AJ$4,0)))+SUMPRODUCT((Inputs!$E$5:$E$190=$B65)*Inputs!$F$5:$F$190*(((Inputs!$G$5:$G$190="moeda")+(Inputs!$G$5:$G$190="acoes"))*Inputs!$B$1+((Inputs!$G$5:$G$190&lt;&gt;"moeda")*(Inputs!$G$5:$G$190&lt;&gt;"acoes")))*INDEX(Inputs!$K$5:$AJ$190,0,MATCH(AK$2,Inputs!$K$4:$AJ$4,0)))))</f>
        <v>#N/A</v>
      </c>
      <c r="AL65" s="265" t="e">
        <f>SUM(AH65:AK65)</f>
        <v>#N/A</v>
      </c>
    </row>
    <row r="66">
      <c r="B66" s="46" t="n">
        <v>58</v>
      </c>
      <c r="C66" s="29" t="inlineStr">
        <is>
          <t>Receita liquida - BBC (aba BBC l.10)</t>
        </is>
      </c>
      <c r="D66" s="264">
        <f>IF(ISNA(MATCH(D$2,Inputs!$K$4:$AJ$4,0)),NA(),IF(SUMPRODUCT((Inputs!$A$5:$A$190=$B66)*ISNUMBER(INDEX(Inputs!$K$5:$AJ$190,0,MATCH(D$2,Inputs!$K$4:$AJ$4,0))))+SUMPRODUCT((Inputs!$C$5:$C$190=$B66)*ISNUMBER(INDEX(Inputs!$K$5:$AJ$190,0,MATCH(D$2,Inputs!$K$4:$AJ$4,0))))+SUMPRODUCT((Inputs!$E$5:$E$190=$B66)*ISNUMBER(INDEX(Inputs!$K$5:$AJ$190,0,MATCH(D$2,Inputs!$K$4:$AJ$4,0))))=0,NA(),SUMPRODUCT((Inputs!$A$5:$A$190=$B66)*Inputs!$B$5:$B$190*(((Inputs!$G$5:$G$190="moeda")+(Inputs!$G$5:$G$190="acoes"))*Inputs!$B$1+((Inputs!$G$5:$G$190&lt;&gt;"moeda")*(Inputs!$G$5:$G$190&lt;&gt;"acoes")))*INDEX(Inputs!$K$5:$AJ$190,0,MATCH(D$2,Inputs!$K$4:$AJ$4,0)))+SUMPRODUCT((Inputs!$C$5:$C$190=$B66)*Inputs!$D$5:$D$190*(((Inputs!$G$5:$G$190="moeda")+(Inputs!$G$5:$G$190="acoes"))*Inputs!$B$1+((Inputs!$G$5:$G$190&lt;&gt;"moeda")*(Inputs!$G$5:$G$190&lt;&gt;"acoes")))*INDEX(Inputs!$K$5:$AJ$190,0,MATCH(D$2,Inputs!$K$4:$AJ$4,0)))+SUMPRODUCT((Inputs!$E$5:$E$190=$B66)*Inputs!$F$5:$F$190*(((Inputs!$G$5:$G$190="moeda")+(Inputs!$G$5:$G$190="acoes"))*Inputs!$B$1+((Inputs!$G$5:$G$190&lt;&gt;"moeda")*(Inputs!$G$5:$G$190&lt;&gt;"acoes")))*INDEX(Inputs!$K$5:$AJ$190,0,MATCH(D$2,Inputs!$K$4:$AJ$4,0)))))</f>
        <v>10.28429948</v>
      </c>
      <c r="E66" s="264">
        <f>IF(ISNA(MATCH(E$2,Inputs!$K$4:$AJ$4,0)),NA(),IF(SUMPRODUCT((Inputs!$A$5:$A$190=$B66)*ISNUMBER(INDEX(Inputs!$K$5:$AJ$190,0,MATCH(E$2,Inputs!$K$4:$AJ$4,0))))+SUMPRODUCT((Inputs!$C$5:$C$190=$B66)*ISNUMBER(INDEX(Inputs!$K$5:$AJ$190,0,MATCH(E$2,Inputs!$K$4:$AJ$4,0))))+SUMPRODUCT((Inputs!$E$5:$E$190=$B66)*ISNUMBER(INDEX(Inputs!$K$5:$AJ$190,0,MATCH(E$2,Inputs!$K$4:$AJ$4,0))))=0,NA(),SUMPRODUCT((Inputs!$A$5:$A$190=$B66)*Inputs!$B$5:$B$190*(((Inputs!$G$5:$G$190="moeda")+(Inputs!$G$5:$G$190="acoes"))*Inputs!$B$1+((Inputs!$G$5:$G$190&lt;&gt;"moeda")*(Inputs!$G$5:$G$190&lt;&gt;"acoes")))*INDEX(Inputs!$K$5:$AJ$190,0,MATCH(E$2,Inputs!$K$4:$AJ$4,0)))+SUMPRODUCT((Inputs!$C$5:$C$190=$B66)*Inputs!$D$5:$D$190*(((Inputs!$G$5:$G$190="moeda")+(Inputs!$G$5:$G$190="acoes"))*Inputs!$B$1+((Inputs!$G$5:$G$190&lt;&gt;"moeda")*(Inputs!$G$5:$G$190&lt;&gt;"acoes")))*INDEX(Inputs!$K$5:$AJ$190,0,MATCH(E$2,Inputs!$K$4:$AJ$4,0)))+SUMPRODUCT((Inputs!$E$5:$E$190=$B66)*Inputs!$F$5:$F$190*(((Inputs!$G$5:$G$190="moeda")+(Inputs!$G$5:$G$190="acoes"))*Inputs!$B$1+((Inputs!$G$5:$G$190&lt;&gt;"moeda")*(Inputs!$G$5:$G$190&lt;&gt;"acoes")))*INDEX(Inputs!$K$5:$AJ$190,0,MATCH(E$2,Inputs!$K$4:$AJ$4,0)))))</f>
        <v>10.14109567</v>
      </c>
      <c r="F66" s="264">
        <f>IF(ISNA(MATCH(F$2,Inputs!$K$4:$AJ$4,0)),NA(),IF(SUMPRODUCT((Inputs!$A$5:$A$190=$B66)*ISNUMBER(INDEX(Inputs!$K$5:$AJ$190,0,MATCH(F$2,Inputs!$K$4:$AJ$4,0))))+SUMPRODUCT((Inputs!$C$5:$C$190=$B66)*ISNUMBER(INDEX(Inputs!$K$5:$AJ$190,0,MATCH(F$2,Inputs!$K$4:$AJ$4,0))))+SUMPRODUCT((Inputs!$E$5:$E$190=$B66)*ISNUMBER(INDEX(Inputs!$K$5:$AJ$190,0,MATCH(F$2,Inputs!$K$4:$AJ$4,0))))=0,NA(),SUMPRODUCT((Inputs!$A$5:$A$190=$B66)*Inputs!$B$5:$B$190*(((Inputs!$G$5:$G$190="moeda")+(Inputs!$G$5:$G$190="acoes"))*Inputs!$B$1+((Inputs!$G$5:$G$190&lt;&gt;"moeda")*(Inputs!$G$5:$G$190&lt;&gt;"acoes")))*INDEX(Inputs!$K$5:$AJ$190,0,MATCH(F$2,Inputs!$K$4:$AJ$4,0)))+SUMPRODUCT((Inputs!$C$5:$C$190=$B66)*Inputs!$D$5:$D$190*(((Inputs!$G$5:$G$190="moeda")+(Inputs!$G$5:$G$190="acoes"))*Inputs!$B$1+((Inputs!$G$5:$G$190&lt;&gt;"moeda")*(Inputs!$G$5:$G$190&lt;&gt;"acoes")))*INDEX(Inputs!$K$5:$AJ$190,0,MATCH(F$2,Inputs!$K$4:$AJ$4,0)))+SUMPRODUCT((Inputs!$E$5:$E$190=$B66)*Inputs!$F$5:$F$190*(((Inputs!$G$5:$G$190="moeda")+(Inputs!$G$5:$G$190="acoes"))*Inputs!$B$1+((Inputs!$G$5:$G$190&lt;&gt;"moeda")*(Inputs!$G$5:$G$190&lt;&gt;"acoes")))*INDEX(Inputs!$K$5:$AJ$190,0,MATCH(F$2,Inputs!$K$4:$AJ$4,0)))))</f>
        <v>10.64428845</v>
      </c>
      <c r="G66" s="264">
        <f>IF(ISNA(MATCH(G$2,Inputs!$K$4:$AJ$4,0)),NA(),IF(SUMPRODUCT((Inputs!$A$5:$A$190=$B66)*ISNUMBER(INDEX(Inputs!$K$5:$AJ$190,0,MATCH(G$2,Inputs!$K$4:$AJ$4,0))))+SUMPRODUCT((Inputs!$C$5:$C$190=$B66)*ISNUMBER(INDEX(Inputs!$K$5:$AJ$190,0,MATCH(G$2,Inputs!$K$4:$AJ$4,0))))+SUMPRODUCT((Inputs!$E$5:$E$190=$B66)*ISNUMBER(INDEX(Inputs!$K$5:$AJ$190,0,MATCH(G$2,Inputs!$K$4:$AJ$4,0))))=0,NA(),SUMPRODUCT((Inputs!$A$5:$A$190=$B66)*Inputs!$B$5:$B$190*(((Inputs!$G$5:$G$190="moeda")+(Inputs!$G$5:$G$190="acoes"))*Inputs!$B$1+((Inputs!$G$5:$G$190&lt;&gt;"moeda")*(Inputs!$G$5:$G$190&lt;&gt;"acoes")))*INDEX(Inputs!$K$5:$AJ$190,0,MATCH(G$2,Inputs!$K$4:$AJ$4,0)))+SUMPRODUCT((Inputs!$C$5:$C$190=$B66)*Inputs!$D$5:$D$190*(((Inputs!$G$5:$G$190="moeda")+(Inputs!$G$5:$G$190="acoes"))*Inputs!$B$1+((Inputs!$G$5:$G$190&lt;&gt;"moeda")*(Inputs!$G$5:$G$190&lt;&gt;"acoes")))*INDEX(Inputs!$K$5:$AJ$190,0,MATCH(G$2,Inputs!$K$4:$AJ$4,0)))+SUMPRODUCT((Inputs!$E$5:$E$190=$B66)*Inputs!$F$5:$F$190*(((Inputs!$G$5:$G$190="moeda")+(Inputs!$G$5:$G$190="acoes"))*Inputs!$B$1+((Inputs!$G$5:$G$190&lt;&gt;"moeda")*(Inputs!$G$5:$G$190&lt;&gt;"acoes")))*INDEX(Inputs!$K$5:$AJ$190,0,MATCH(G$2,Inputs!$K$4:$AJ$4,0)))))</f>
        <v>12.19699554</v>
      </c>
      <c r="H66" s="265">
        <f>SUM(D66:G66)</f>
        <v>43.26667914</v>
      </c>
      <c r="I66" s="264">
        <f>IF(ISNA(MATCH(I$2,Inputs!$K$4:$AJ$4,0)),NA(),IF(SUMPRODUCT((Inputs!$A$5:$A$190=$B66)*ISNUMBER(INDEX(Inputs!$K$5:$AJ$190,0,MATCH(I$2,Inputs!$K$4:$AJ$4,0))))+SUMPRODUCT((Inputs!$C$5:$C$190=$B66)*ISNUMBER(INDEX(Inputs!$K$5:$AJ$190,0,MATCH(I$2,Inputs!$K$4:$AJ$4,0))))+SUMPRODUCT((Inputs!$E$5:$E$190=$B66)*ISNUMBER(INDEX(Inputs!$K$5:$AJ$190,0,MATCH(I$2,Inputs!$K$4:$AJ$4,0))))=0,NA(),SUMPRODUCT((Inputs!$A$5:$A$190=$B66)*Inputs!$B$5:$B$190*(((Inputs!$G$5:$G$190="moeda")+(Inputs!$G$5:$G$190="acoes"))*Inputs!$B$1+((Inputs!$G$5:$G$190&lt;&gt;"moeda")*(Inputs!$G$5:$G$190&lt;&gt;"acoes")))*INDEX(Inputs!$K$5:$AJ$190,0,MATCH(I$2,Inputs!$K$4:$AJ$4,0)))+SUMPRODUCT((Inputs!$C$5:$C$190=$B66)*Inputs!$D$5:$D$190*(((Inputs!$G$5:$G$190="moeda")+(Inputs!$G$5:$G$190="acoes"))*Inputs!$B$1+((Inputs!$G$5:$G$190&lt;&gt;"moeda")*(Inputs!$G$5:$G$190&lt;&gt;"acoes")))*INDEX(Inputs!$K$5:$AJ$190,0,MATCH(I$2,Inputs!$K$4:$AJ$4,0)))+SUMPRODUCT((Inputs!$E$5:$E$190=$B66)*Inputs!$F$5:$F$190*(((Inputs!$G$5:$G$190="moeda")+(Inputs!$G$5:$G$190="acoes"))*Inputs!$B$1+((Inputs!$G$5:$G$190&lt;&gt;"moeda")*(Inputs!$G$5:$G$190&lt;&gt;"acoes")))*INDEX(Inputs!$K$5:$AJ$190,0,MATCH(I$2,Inputs!$K$4:$AJ$4,0)))))</f>
        <v>15.51883671</v>
      </c>
      <c r="J66" s="264">
        <f>IF(ISNA(MATCH(J$2,Inputs!$K$4:$AJ$4,0)),NA(),IF(SUMPRODUCT((Inputs!$A$5:$A$190=$B66)*ISNUMBER(INDEX(Inputs!$K$5:$AJ$190,0,MATCH(J$2,Inputs!$K$4:$AJ$4,0))))+SUMPRODUCT((Inputs!$C$5:$C$190=$B66)*ISNUMBER(INDEX(Inputs!$K$5:$AJ$190,0,MATCH(J$2,Inputs!$K$4:$AJ$4,0))))+SUMPRODUCT((Inputs!$E$5:$E$190=$B66)*ISNUMBER(INDEX(Inputs!$K$5:$AJ$190,0,MATCH(J$2,Inputs!$K$4:$AJ$4,0))))=0,NA(),SUMPRODUCT((Inputs!$A$5:$A$190=$B66)*Inputs!$B$5:$B$190*(((Inputs!$G$5:$G$190="moeda")+(Inputs!$G$5:$G$190="acoes"))*Inputs!$B$1+((Inputs!$G$5:$G$190&lt;&gt;"moeda")*(Inputs!$G$5:$G$190&lt;&gt;"acoes")))*INDEX(Inputs!$K$5:$AJ$190,0,MATCH(J$2,Inputs!$K$4:$AJ$4,0)))+SUMPRODUCT((Inputs!$C$5:$C$190=$B66)*Inputs!$D$5:$D$190*(((Inputs!$G$5:$G$190="moeda")+(Inputs!$G$5:$G$190="acoes"))*Inputs!$B$1+((Inputs!$G$5:$G$190&lt;&gt;"moeda")*(Inputs!$G$5:$G$190&lt;&gt;"acoes")))*INDEX(Inputs!$K$5:$AJ$190,0,MATCH(J$2,Inputs!$K$4:$AJ$4,0)))+SUMPRODUCT((Inputs!$E$5:$E$190=$B66)*Inputs!$F$5:$F$190*(((Inputs!$G$5:$G$190="moeda")+(Inputs!$G$5:$G$190="acoes"))*Inputs!$B$1+((Inputs!$G$5:$G$190&lt;&gt;"moeda")*(Inputs!$G$5:$G$190&lt;&gt;"acoes")))*INDEX(Inputs!$K$5:$AJ$190,0,MATCH(J$2,Inputs!$K$4:$AJ$4,0)))))</f>
        <v>17.60429878</v>
      </c>
      <c r="K66" s="264">
        <f>IF(ISNA(MATCH(K$2,Inputs!$K$4:$AJ$4,0)),NA(),IF(SUMPRODUCT((Inputs!$A$5:$A$190=$B66)*ISNUMBER(INDEX(Inputs!$K$5:$AJ$190,0,MATCH(K$2,Inputs!$K$4:$AJ$4,0))))+SUMPRODUCT((Inputs!$C$5:$C$190=$B66)*ISNUMBER(INDEX(Inputs!$K$5:$AJ$190,0,MATCH(K$2,Inputs!$K$4:$AJ$4,0))))+SUMPRODUCT((Inputs!$E$5:$E$190=$B66)*ISNUMBER(INDEX(Inputs!$K$5:$AJ$190,0,MATCH(K$2,Inputs!$K$4:$AJ$4,0))))=0,NA(),SUMPRODUCT((Inputs!$A$5:$A$190=$B66)*Inputs!$B$5:$B$190*(((Inputs!$G$5:$G$190="moeda")+(Inputs!$G$5:$G$190="acoes"))*Inputs!$B$1+((Inputs!$G$5:$G$190&lt;&gt;"moeda")*(Inputs!$G$5:$G$190&lt;&gt;"acoes")))*INDEX(Inputs!$K$5:$AJ$190,0,MATCH(K$2,Inputs!$K$4:$AJ$4,0)))+SUMPRODUCT((Inputs!$C$5:$C$190=$B66)*Inputs!$D$5:$D$190*(((Inputs!$G$5:$G$190="moeda")+(Inputs!$G$5:$G$190="acoes"))*Inputs!$B$1+((Inputs!$G$5:$G$190&lt;&gt;"moeda")*(Inputs!$G$5:$G$190&lt;&gt;"acoes")))*INDEX(Inputs!$K$5:$AJ$190,0,MATCH(K$2,Inputs!$K$4:$AJ$4,0)))+SUMPRODUCT((Inputs!$E$5:$E$190=$B66)*Inputs!$F$5:$F$190*(((Inputs!$G$5:$G$190="moeda")+(Inputs!$G$5:$G$190="acoes"))*Inputs!$B$1+((Inputs!$G$5:$G$190&lt;&gt;"moeda")*(Inputs!$G$5:$G$190&lt;&gt;"acoes")))*INDEX(Inputs!$K$5:$AJ$190,0,MATCH(K$2,Inputs!$K$4:$AJ$4,0)))))</f>
        <v>19.51764546</v>
      </c>
      <c r="L66" s="264">
        <f>IF(ISNA(MATCH(L$2,Inputs!$K$4:$AJ$4,0)),NA(),IF(SUMPRODUCT((Inputs!$A$5:$A$190=$B66)*ISNUMBER(INDEX(Inputs!$K$5:$AJ$190,0,MATCH(L$2,Inputs!$K$4:$AJ$4,0))))+SUMPRODUCT((Inputs!$C$5:$C$190=$B66)*ISNUMBER(INDEX(Inputs!$K$5:$AJ$190,0,MATCH(L$2,Inputs!$K$4:$AJ$4,0))))+SUMPRODUCT((Inputs!$E$5:$E$190=$B66)*ISNUMBER(INDEX(Inputs!$K$5:$AJ$190,0,MATCH(L$2,Inputs!$K$4:$AJ$4,0))))=0,NA(),SUMPRODUCT((Inputs!$A$5:$A$190=$B66)*Inputs!$B$5:$B$190*(((Inputs!$G$5:$G$190="moeda")+(Inputs!$G$5:$G$190="acoes"))*Inputs!$B$1+((Inputs!$G$5:$G$190&lt;&gt;"moeda")*(Inputs!$G$5:$G$190&lt;&gt;"acoes")))*INDEX(Inputs!$K$5:$AJ$190,0,MATCH(L$2,Inputs!$K$4:$AJ$4,0)))+SUMPRODUCT((Inputs!$C$5:$C$190=$B66)*Inputs!$D$5:$D$190*(((Inputs!$G$5:$G$190="moeda")+(Inputs!$G$5:$G$190="acoes"))*Inputs!$B$1+((Inputs!$G$5:$G$190&lt;&gt;"moeda")*(Inputs!$G$5:$G$190&lt;&gt;"acoes")))*INDEX(Inputs!$K$5:$AJ$190,0,MATCH(L$2,Inputs!$K$4:$AJ$4,0)))+SUMPRODUCT((Inputs!$E$5:$E$190=$B66)*Inputs!$F$5:$F$190*(((Inputs!$G$5:$G$190="moeda")+(Inputs!$G$5:$G$190="acoes"))*Inputs!$B$1+((Inputs!$G$5:$G$190&lt;&gt;"moeda")*(Inputs!$G$5:$G$190&lt;&gt;"acoes")))*INDEX(Inputs!$K$5:$AJ$190,0,MATCH(L$2,Inputs!$K$4:$AJ$4,0)))))</f>
        <v>24.91292716</v>
      </c>
      <c r="M66" s="265">
        <f>SUM(I66:L66)</f>
        <v>77.55370811</v>
      </c>
      <c r="N66" s="264">
        <f>IF(ISNA(MATCH(N$2,Inputs!$K$4:$AJ$4,0)),NA(),IF(SUMPRODUCT((Inputs!$A$5:$A$190=$B66)*ISNUMBER(INDEX(Inputs!$K$5:$AJ$190,0,MATCH(N$2,Inputs!$K$4:$AJ$4,0))))+SUMPRODUCT((Inputs!$C$5:$C$190=$B66)*ISNUMBER(INDEX(Inputs!$K$5:$AJ$190,0,MATCH(N$2,Inputs!$K$4:$AJ$4,0))))+SUMPRODUCT((Inputs!$E$5:$E$190=$B66)*ISNUMBER(INDEX(Inputs!$K$5:$AJ$190,0,MATCH(N$2,Inputs!$K$4:$AJ$4,0))))=0,NA(),SUMPRODUCT((Inputs!$A$5:$A$190=$B66)*Inputs!$B$5:$B$190*(((Inputs!$G$5:$G$190="moeda")+(Inputs!$G$5:$G$190="acoes"))*Inputs!$B$1+((Inputs!$G$5:$G$190&lt;&gt;"moeda")*(Inputs!$G$5:$G$190&lt;&gt;"acoes")))*INDEX(Inputs!$K$5:$AJ$190,0,MATCH(N$2,Inputs!$K$4:$AJ$4,0)))+SUMPRODUCT((Inputs!$C$5:$C$190=$B66)*Inputs!$D$5:$D$190*(((Inputs!$G$5:$G$190="moeda")+(Inputs!$G$5:$G$190="acoes"))*Inputs!$B$1+((Inputs!$G$5:$G$190&lt;&gt;"moeda")*(Inputs!$G$5:$G$190&lt;&gt;"acoes")))*INDEX(Inputs!$K$5:$AJ$190,0,MATCH(N$2,Inputs!$K$4:$AJ$4,0)))+SUMPRODUCT((Inputs!$E$5:$E$190=$B66)*Inputs!$F$5:$F$190*(((Inputs!$G$5:$G$190="moeda")+(Inputs!$G$5:$G$190="acoes"))*Inputs!$B$1+((Inputs!$G$5:$G$190&lt;&gt;"moeda")*(Inputs!$G$5:$G$190&lt;&gt;"acoes")))*INDEX(Inputs!$K$5:$AJ$190,0,MATCH(N$2,Inputs!$K$4:$AJ$4,0)))))</f>
        <v>2.69021527</v>
      </c>
      <c r="O66" s="264">
        <f>IF(ISNA(MATCH(O$2,Inputs!$K$4:$AJ$4,0)),NA(),IF(SUMPRODUCT((Inputs!$A$5:$A$190=$B66)*ISNUMBER(INDEX(Inputs!$K$5:$AJ$190,0,MATCH(O$2,Inputs!$K$4:$AJ$4,0))))+SUMPRODUCT((Inputs!$C$5:$C$190=$B66)*ISNUMBER(INDEX(Inputs!$K$5:$AJ$190,0,MATCH(O$2,Inputs!$K$4:$AJ$4,0))))+SUMPRODUCT((Inputs!$E$5:$E$190=$B66)*ISNUMBER(INDEX(Inputs!$K$5:$AJ$190,0,MATCH(O$2,Inputs!$K$4:$AJ$4,0))))=0,NA(),SUMPRODUCT((Inputs!$A$5:$A$190=$B66)*Inputs!$B$5:$B$190*(((Inputs!$G$5:$G$190="moeda")+(Inputs!$G$5:$G$190="acoes"))*Inputs!$B$1+((Inputs!$G$5:$G$190&lt;&gt;"moeda")*(Inputs!$G$5:$G$190&lt;&gt;"acoes")))*INDEX(Inputs!$K$5:$AJ$190,0,MATCH(O$2,Inputs!$K$4:$AJ$4,0)))+SUMPRODUCT((Inputs!$C$5:$C$190=$B66)*Inputs!$D$5:$D$190*(((Inputs!$G$5:$G$190="moeda")+(Inputs!$G$5:$G$190="acoes"))*Inputs!$B$1+((Inputs!$G$5:$G$190&lt;&gt;"moeda")*(Inputs!$G$5:$G$190&lt;&gt;"acoes")))*INDEX(Inputs!$K$5:$AJ$190,0,MATCH(O$2,Inputs!$K$4:$AJ$4,0)))+SUMPRODUCT((Inputs!$E$5:$E$190=$B66)*Inputs!$F$5:$F$190*(((Inputs!$G$5:$G$190="moeda")+(Inputs!$G$5:$G$190="acoes"))*Inputs!$B$1+((Inputs!$G$5:$G$190&lt;&gt;"moeda")*(Inputs!$G$5:$G$190&lt;&gt;"acoes")))*INDEX(Inputs!$K$5:$AJ$190,0,MATCH(O$2,Inputs!$K$4:$AJ$4,0)))))</f>
        <v>3.76260749</v>
      </c>
      <c r="P66" s="264">
        <f>IF(ISNA(MATCH(P$2,Inputs!$K$4:$AJ$4,0)),NA(),IF(SUMPRODUCT((Inputs!$A$5:$A$190=$B66)*ISNUMBER(INDEX(Inputs!$K$5:$AJ$190,0,MATCH(P$2,Inputs!$K$4:$AJ$4,0))))+SUMPRODUCT((Inputs!$C$5:$C$190=$B66)*ISNUMBER(INDEX(Inputs!$K$5:$AJ$190,0,MATCH(P$2,Inputs!$K$4:$AJ$4,0))))+SUMPRODUCT((Inputs!$E$5:$E$190=$B66)*ISNUMBER(INDEX(Inputs!$K$5:$AJ$190,0,MATCH(P$2,Inputs!$K$4:$AJ$4,0))))=0,NA(),SUMPRODUCT((Inputs!$A$5:$A$190=$B66)*Inputs!$B$5:$B$190*(((Inputs!$G$5:$G$190="moeda")+(Inputs!$G$5:$G$190="acoes"))*Inputs!$B$1+((Inputs!$G$5:$G$190&lt;&gt;"moeda")*(Inputs!$G$5:$G$190&lt;&gt;"acoes")))*INDEX(Inputs!$K$5:$AJ$190,0,MATCH(P$2,Inputs!$K$4:$AJ$4,0)))+SUMPRODUCT((Inputs!$C$5:$C$190=$B66)*Inputs!$D$5:$D$190*(((Inputs!$G$5:$G$190="moeda")+(Inputs!$G$5:$G$190="acoes"))*Inputs!$B$1+((Inputs!$G$5:$G$190&lt;&gt;"moeda")*(Inputs!$G$5:$G$190&lt;&gt;"acoes")))*INDEX(Inputs!$K$5:$AJ$190,0,MATCH(P$2,Inputs!$K$4:$AJ$4,0)))+SUMPRODUCT((Inputs!$E$5:$E$190=$B66)*Inputs!$F$5:$F$190*(((Inputs!$G$5:$G$190="moeda")+(Inputs!$G$5:$G$190="acoes"))*Inputs!$B$1+((Inputs!$G$5:$G$190&lt;&gt;"moeda")*(Inputs!$G$5:$G$190&lt;&gt;"acoes")))*INDEX(Inputs!$K$5:$AJ$190,0,MATCH(P$2,Inputs!$K$4:$AJ$4,0)))))</f>
        <v>3.73096101</v>
      </c>
      <c r="Q66" s="264">
        <f>IF(ISNA(MATCH(Q$2,Inputs!$K$4:$AJ$4,0)),NA(),IF(SUMPRODUCT((Inputs!$A$5:$A$190=$B66)*ISNUMBER(INDEX(Inputs!$K$5:$AJ$190,0,MATCH(Q$2,Inputs!$K$4:$AJ$4,0))))+SUMPRODUCT((Inputs!$C$5:$C$190=$B66)*ISNUMBER(INDEX(Inputs!$K$5:$AJ$190,0,MATCH(Q$2,Inputs!$K$4:$AJ$4,0))))+SUMPRODUCT((Inputs!$E$5:$E$190=$B66)*ISNUMBER(INDEX(Inputs!$K$5:$AJ$190,0,MATCH(Q$2,Inputs!$K$4:$AJ$4,0))))=0,NA(),SUMPRODUCT((Inputs!$A$5:$A$190=$B66)*Inputs!$B$5:$B$190*(((Inputs!$G$5:$G$190="moeda")+(Inputs!$G$5:$G$190="acoes"))*Inputs!$B$1+((Inputs!$G$5:$G$190&lt;&gt;"moeda")*(Inputs!$G$5:$G$190&lt;&gt;"acoes")))*INDEX(Inputs!$K$5:$AJ$190,0,MATCH(Q$2,Inputs!$K$4:$AJ$4,0)))+SUMPRODUCT((Inputs!$C$5:$C$190=$B66)*Inputs!$D$5:$D$190*(((Inputs!$G$5:$G$190="moeda")+(Inputs!$G$5:$G$190="acoes"))*Inputs!$B$1+((Inputs!$G$5:$G$190&lt;&gt;"moeda")*(Inputs!$G$5:$G$190&lt;&gt;"acoes")))*INDEX(Inputs!$K$5:$AJ$190,0,MATCH(Q$2,Inputs!$K$4:$AJ$4,0)))+SUMPRODUCT((Inputs!$E$5:$E$190=$B66)*Inputs!$F$5:$F$190*(((Inputs!$G$5:$G$190="moeda")+(Inputs!$G$5:$G$190="acoes"))*Inputs!$B$1+((Inputs!$G$5:$G$190&lt;&gt;"moeda")*(Inputs!$G$5:$G$190&lt;&gt;"acoes")))*INDEX(Inputs!$K$5:$AJ$190,0,MATCH(Q$2,Inputs!$K$4:$AJ$4,0)))))</f>
        <v>3.85759612</v>
      </c>
      <c r="R66" s="265">
        <f>SUM(N66:Q66)</f>
        <v>14.04137989</v>
      </c>
      <c r="S66" s="264">
        <f>IF(ISNA(MATCH(S$2,Inputs!$K$4:$AJ$4,0)),NA(),IF(SUMPRODUCT((Inputs!$A$5:$A$190=$B66)*ISNUMBER(INDEX(Inputs!$K$5:$AJ$190,0,MATCH(S$2,Inputs!$K$4:$AJ$4,0))))+SUMPRODUCT((Inputs!$C$5:$C$190=$B66)*ISNUMBER(INDEX(Inputs!$K$5:$AJ$190,0,MATCH(S$2,Inputs!$K$4:$AJ$4,0))))+SUMPRODUCT((Inputs!$E$5:$E$190=$B66)*ISNUMBER(INDEX(Inputs!$K$5:$AJ$190,0,MATCH(S$2,Inputs!$K$4:$AJ$4,0))))=0,NA(),SUMPRODUCT((Inputs!$A$5:$A$190=$B66)*Inputs!$B$5:$B$190*(((Inputs!$G$5:$G$190="moeda")+(Inputs!$G$5:$G$190="acoes"))*Inputs!$B$1+((Inputs!$G$5:$G$190&lt;&gt;"moeda")*(Inputs!$G$5:$G$190&lt;&gt;"acoes")))*INDEX(Inputs!$K$5:$AJ$190,0,MATCH(S$2,Inputs!$K$4:$AJ$4,0)))+SUMPRODUCT((Inputs!$C$5:$C$190=$B66)*Inputs!$D$5:$D$190*(((Inputs!$G$5:$G$190="moeda")+(Inputs!$G$5:$G$190="acoes"))*Inputs!$B$1+((Inputs!$G$5:$G$190&lt;&gt;"moeda")*(Inputs!$G$5:$G$190&lt;&gt;"acoes")))*INDEX(Inputs!$K$5:$AJ$190,0,MATCH(S$2,Inputs!$K$4:$AJ$4,0)))+SUMPRODUCT((Inputs!$E$5:$E$190=$B66)*Inputs!$F$5:$F$190*(((Inputs!$G$5:$G$190="moeda")+(Inputs!$G$5:$G$190="acoes"))*Inputs!$B$1+((Inputs!$G$5:$G$190&lt;&gt;"moeda")*(Inputs!$G$5:$G$190&lt;&gt;"acoes")))*INDEX(Inputs!$K$5:$AJ$190,0,MATCH(S$2,Inputs!$K$4:$AJ$4,0)))))</f>
        <v>1.9037001</v>
      </c>
      <c r="T66" s="264">
        <f>IF(ISNA(MATCH(T$2,Inputs!$K$4:$AJ$4,0)),NA(),IF(SUMPRODUCT((Inputs!$A$5:$A$190=$B66)*ISNUMBER(INDEX(Inputs!$K$5:$AJ$190,0,MATCH(T$2,Inputs!$K$4:$AJ$4,0))))+SUMPRODUCT((Inputs!$C$5:$C$190=$B66)*ISNUMBER(INDEX(Inputs!$K$5:$AJ$190,0,MATCH(T$2,Inputs!$K$4:$AJ$4,0))))+SUMPRODUCT((Inputs!$E$5:$E$190=$B66)*ISNUMBER(INDEX(Inputs!$K$5:$AJ$190,0,MATCH(T$2,Inputs!$K$4:$AJ$4,0))))=0,NA(),SUMPRODUCT((Inputs!$A$5:$A$190=$B66)*Inputs!$B$5:$B$190*(((Inputs!$G$5:$G$190="moeda")+(Inputs!$G$5:$G$190="acoes"))*Inputs!$B$1+((Inputs!$G$5:$G$190&lt;&gt;"moeda")*(Inputs!$G$5:$G$190&lt;&gt;"acoes")))*INDEX(Inputs!$K$5:$AJ$190,0,MATCH(T$2,Inputs!$K$4:$AJ$4,0)))+SUMPRODUCT((Inputs!$C$5:$C$190=$B66)*Inputs!$D$5:$D$190*(((Inputs!$G$5:$G$190="moeda")+(Inputs!$G$5:$G$190="acoes"))*Inputs!$B$1+((Inputs!$G$5:$G$190&lt;&gt;"moeda")*(Inputs!$G$5:$G$190&lt;&gt;"acoes")))*INDEX(Inputs!$K$5:$AJ$190,0,MATCH(T$2,Inputs!$K$4:$AJ$4,0)))+SUMPRODUCT((Inputs!$E$5:$E$190=$B66)*Inputs!$F$5:$F$190*(((Inputs!$G$5:$G$190="moeda")+(Inputs!$G$5:$G$190="acoes"))*Inputs!$B$1+((Inputs!$G$5:$G$190&lt;&gt;"moeda")*(Inputs!$G$5:$G$190&lt;&gt;"acoes")))*INDEX(Inputs!$K$5:$AJ$190,0,MATCH(T$2,Inputs!$K$4:$AJ$4,0)))))</f>
        <v>2.02947268</v>
      </c>
      <c r="U66" s="264">
        <f>IF(ISNA(MATCH(U$2,Inputs!$K$4:$AJ$4,0)),NA(),IF(SUMPRODUCT((Inputs!$A$5:$A$190=$B66)*ISNUMBER(INDEX(Inputs!$K$5:$AJ$190,0,MATCH(U$2,Inputs!$K$4:$AJ$4,0))))+SUMPRODUCT((Inputs!$C$5:$C$190=$B66)*ISNUMBER(INDEX(Inputs!$K$5:$AJ$190,0,MATCH(U$2,Inputs!$K$4:$AJ$4,0))))+SUMPRODUCT((Inputs!$E$5:$E$190=$B66)*ISNUMBER(INDEX(Inputs!$K$5:$AJ$190,0,MATCH(U$2,Inputs!$K$4:$AJ$4,0))))=0,NA(),SUMPRODUCT((Inputs!$A$5:$A$190=$B66)*Inputs!$B$5:$B$190*(((Inputs!$G$5:$G$190="moeda")+(Inputs!$G$5:$G$190="acoes"))*Inputs!$B$1+((Inputs!$G$5:$G$190&lt;&gt;"moeda")*(Inputs!$G$5:$G$190&lt;&gt;"acoes")))*INDEX(Inputs!$K$5:$AJ$190,0,MATCH(U$2,Inputs!$K$4:$AJ$4,0)))+SUMPRODUCT((Inputs!$C$5:$C$190=$B66)*Inputs!$D$5:$D$190*(((Inputs!$G$5:$G$190="moeda")+(Inputs!$G$5:$G$190="acoes"))*Inputs!$B$1+((Inputs!$G$5:$G$190&lt;&gt;"moeda")*(Inputs!$G$5:$G$190&lt;&gt;"acoes")))*INDEX(Inputs!$K$5:$AJ$190,0,MATCH(U$2,Inputs!$K$4:$AJ$4,0)))+SUMPRODUCT((Inputs!$E$5:$E$190=$B66)*Inputs!$F$5:$F$190*(((Inputs!$G$5:$G$190="moeda")+(Inputs!$G$5:$G$190="acoes"))*Inputs!$B$1+((Inputs!$G$5:$G$190&lt;&gt;"moeda")*(Inputs!$G$5:$G$190&lt;&gt;"acoes")))*INDEX(Inputs!$K$5:$AJ$190,0,MATCH(U$2,Inputs!$K$4:$AJ$4,0)))))</f>
        <v>2.42504255</v>
      </c>
      <c r="V66" s="264">
        <f>IF(ISNA(MATCH(V$2,Inputs!$K$4:$AJ$4,0)),NA(),IF(SUMPRODUCT((Inputs!$A$5:$A$190=$B66)*ISNUMBER(INDEX(Inputs!$K$5:$AJ$190,0,MATCH(V$2,Inputs!$K$4:$AJ$4,0))))+SUMPRODUCT((Inputs!$C$5:$C$190=$B66)*ISNUMBER(INDEX(Inputs!$K$5:$AJ$190,0,MATCH(V$2,Inputs!$K$4:$AJ$4,0))))+SUMPRODUCT((Inputs!$E$5:$E$190=$B66)*ISNUMBER(INDEX(Inputs!$K$5:$AJ$190,0,MATCH(V$2,Inputs!$K$4:$AJ$4,0))))=0,NA(),SUMPRODUCT((Inputs!$A$5:$A$190=$B66)*Inputs!$B$5:$B$190*(((Inputs!$G$5:$G$190="moeda")+(Inputs!$G$5:$G$190="acoes"))*Inputs!$B$1+((Inputs!$G$5:$G$190&lt;&gt;"moeda")*(Inputs!$G$5:$G$190&lt;&gt;"acoes")))*INDEX(Inputs!$K$5:$AJ$190,0,MATCH(V$2,Inputs!$K$4:$AJ$4,0)))+SUMPRODUCT((Inputs!$C$5:$C$190=$B66)*Inputs!$D$5:$D$190*(((Inputs!$G$5:$G$190="moeda")+(Inputs!$G$5:$G$190="acoes"))*Inputs!$B$1+((Inputs!$G$5:$G$190&lt;&gt;"moeda")*(Inputs!$G$5:$G$190&lt;&gt;"acoes")))*INDEX(Inputs!$K$5:$AJ$190,0,MATCH(V$2,Inputs!$K$4:$AJ$4,0)))+SUMPRODUCT((Inputs!$E$5:$E$190=$B66)*Inputs!$F$5:$F$190*(((Inputs!$G$5:$G$190="moeda")+(Inputs!$G$5:$G$190="acoes"))*Inputs!$B$1+((Inputs!$G$5:$G$190&lt;&gt;"moeda")*(Inputs!$G$5:$G$190&lt;&gt;"acoes")))*INDEX(Inputs!$K$5:$AJ$190,0,MATCH(V$2,Inputs!$K$4:$AJ$4,0)))))</f>
        <v>2.90184133</v>
      </c>
      <c r="W66" s="265">
        <f>SUM(S66:V66)</f>
        <v>9.26005666</v>
      </c>
      <c r="X66" s="264">
        <f>IF(ISNA(MATCH(X$2,Inputs!$K$4:$AJ$4,0)),NA(),IF(SUMPRODUCT((Inputs!$A$5:$A$190=$B66)*ISNUMBER(INDEX(Inputs!$K$5:$AJ$190,0,MATCH(X$2,Inputs!$K$4:$AJ$4,0))))+SUMPRODUCT((Inputs!$C$5:$C$190=$B66)*ISNUMBER(INDEX(Inputs!$K$5:$AJ$190,0,MATCH(X$2,Inputs!$K$4:$AJ$4,0))))+SUMPRODUCT((Inputs!$E$5:$E$190=$B66)*ISNUMBER(INDEX(Inputs!$K$5:$AJ$190,0,MATCH(X$2,Inputs!$K$4:$AJ$4,0))))=0,NA(),SUMPRODUCT((Inputs!$A$5:$A$190=$B66)*Inputs!$B$5:$B$190*(((Inputs!$G$5:$G$190="moeda")+(Inputs!$G$5:$G$190="acoes"))*Inputs!$B$1+((Inputs!$G$5:$G$190&lt;&gt;"moeda")*(Inputs!$G$5:$G$190&lt;&gt;"acoes")))*INDEX(Inputs!$K$5:$AJ$190,0,MATCH(X$2,Inputs!$K$4:$AJ$4,0)))+SUMPRODUCT((Inputs!$C$5:$C$190=$B66)*Inputs!$D$5:$D$190*(((Inputs!$G$5:$G$190="moeda")+(Inputs!$G$5:$G$190="acoes"))*Inputs!$B$1+((Inputs!$G$5:$G$190&lt;&gt;"moeda")*(Inputs!$G$5:$G$190&lt;&gt;"acoes")))*INDEX(Inputs!$K$5:$AJ$190,0,MATCH(X$2,Inputs!$K$4:$AJ$4,0)))+SUMPRODUCT((Inputs!$E$5:$E$190=$B66)*Inputs!$F$5:$F$190*(((Inputs!$G$5:$G$190="moeda")+(Inputs!$G$5:$G$190="acoes"))*Inputs!$B$1+((Inputs!$G$5:$G$190&lt;&gt;"moeda")*(Inputs!$G$5:$G$190&lt;&gt;"acoes")))*INDEX(Inputs!$K$5:$AJ$190,0,MATCH(X$2,Inputs!$K$4:$AJ$4,0)))))</f>
        <v>1.81728511</v>
      </c>
      <c r="Y66" s="264">
        <f>IF(ISNA(MATCH(Y$2,Inputs!$K$4:$AJ$4,0)),NA(),IF(SUMPRODUCT((Inputs!$A$5:$A$190=$B66)*ISNUMBER(INDEX(Inputs!$K$5:$AJ$190,0,MATCH(Y$2,Inputs!$K$4:$AJ$4,0))))+SUMPRODUCT((Inputs!$C$5:$C$190=$B66)*ISNUMBER(INDEX(Inputs!$K$5:$AJ$190,0,MATCH(Y$2,Inputs!$K$4:$AJ$4,0))))+SUMPRODUCT((Inputs!$E$5:$E$190=$B66)*ISNUMBER(INDEX(Inputs!$K$5:$AJ$190,0,MATCH(Y$2,Inputs!$K$4:$AJ$4,0))))=0,NA(),SUMPRODUCT((Inputs!$A$5:$A$190=$B66)*Inputs!$B$5:$B$190*(((Inputs!$G$5:$G$190="moeda")+(Inputs!$G$5:$G$190="acoes"))*Inputs!$B$1+((Inputs!$G$5:$G$190&lt;&gt;"moeda")*(Inputs!$G$5:$G$190&lt;&gt;"acoes")))*INDEX(Inputs!$K$5:$AJ$190,0,MATCH(Y$2,Inputs!$K$4:$AJ$4,0)))+SUMPRODUCT((Inputs!$C$5:$C$190=$B66)*Inputs!$D$5:$D$190*(((Inputs!$G$5:$G$190="moeda")+(Inputs!$G$5:$G$190="acoes"))*Inputs!$B$1+((Inputs!$G$5:$G$190&lt;&gt;"moeda")*(Inputs!$G$5:$G$190&lt;&gt;"acoes")))*INDEX(Inputs!$K$5:$AJ$190,0,MATCH(Y$2,Inputs!$K$4:$AJ$4,0)))+SUMPRODUCT((Inputs!$E$5:$E$190=$B66)*Inputs!$F$5:$F$190*(((Inputs!$G$5:$G$190="moeda")+(Inputs!$G$5:$G$190="acoes"))*Inputs!$B$1+((Inputs!$G$5:$G$190&lt;&gt;"moeda")*(Inputs!$G$5:$G$190&lt;&gt;"acoes")))*INDEX(Inputs!$K$5:$AJ$190,0,MATCH(Y$2,Inputs!$K$4:$AJ$4,0)))))</f>
        <v>1.99236753</v>
      </c>
      <c r="Z66" s="264">
        <f>IF(ISNA(MATCH(Z$2,Inputs!$K$4:$AJ$4,0)),NA(),IF(SUMPRODUCT((Inputs!$A$5:$A$190=$B66)*ISNUMBER(INDEX(Inputs!$K$5:$AJ$190,0,MATCH(Z$2,Inputs!$K$4:$AJ$4,0))))+SUMPRODUCT((Inputs!$C$5:$C$190=$B66)*ISNUMBER(INDEX(Inputs!$K$5:$AJ$190,0,MATCH(Z$2,Inputs!$K$4:$AJ$4,0))))+SUMPRODUCT((Inputs!$E$5:$E$190=$B66)*ISNUMBER(INDEX(Inputs!$K$5:$AJ$190,0,MATCH(Z$2,Inputs!$K$4:$AJ$4,0))))=0,NA(),SUMPRODUCT((Inputs!$A$5:$A$190=$B66)*Inputs!$B$5:$B$190*(((Inputs!$G$5:$G$190="moeda")+(Inputs!$G$5:$G$190="acoes"))*Inputs!$B$1+((Inputs!$G$5:$G$190&lt;&gt;"moeda")*(Inputs!$G$5:$G$190&lt;&gt;"acoes")))*INDEX(Inputs!$K$5:$AJ$190,0,MATCH(Z$2,Inputs!$K$4:$AJ$4,0)))+SUMPRODUCT((Inputs!$C$5:$C$190=$B66)*Inputs!$D$5:$D$190*(((Inputs!$G$5:$G$190="moeda")+(Inputs!$G$5:$G$190="acoes"))*Inputs!$B$1+((Inputs!$G$5:$G$190&lt;&gt;"moeda")*(Inputs!$G$5:$G$190&lt;&gt;"acoes")))*INDEX(Inputs!$K$5:$AJ$190,0,MATCH(Z$2,Inputs!$K$4:$AJ$4,0)))+SUMPRODUCT((Inputs!$E$5:$E$190=$B66)*Inputs!$F$5:$F$190*(((Inputs!$G$5:$G$190="moeda")+(Inputs!$G$5:$G$190="acoes"))*Inputs!$B$1+((Inputs!$G$5:$G$190&lt;&gt;"moeda")*(Inputs!$G$5:$G$190&lt;&gt;"acoes")))*INDEX(Inputs!$K$5:$AJ$190,0,MATCH(Z$2,Inputs!$K$4:$AJ$4,0)))))</f>
        <v>1.85156006</v>
      </c>
      <c r="AA66" s="264">
        <f>IF(ISNA(MATCH(AA$2,Inputs!$K$4:$AJ$4,0)),NA(),IF(SUMPRODUCT((Inputs!$A$5:$A$190=$B66)*ISNUMBER(INDEX(Inputs!$K$5:$AJ$190,0,MATCH(AA$2,Inputs!$K$4:$AJ$4,0))))+SUMPRODUCT((Inputs!$C$5:$C$190=$B66)*ISNUMBER(INDEX(Inputs!$K$5:$AJ$190,0,MATCH(AA$2,Inputs!$K$4:$AJ$4,0))))+SUMPRODUCT((Inputs!$E$5:$E$190=$B66)*ISNUMBER(INDEX(Inputs!$K$5:$AJ$190,0,MATCH(AA$2,Inputs!$K$4:$AJ$4,0))))=0,NA(),SUMPRODUCT((Inputs!$A$5:$A$190=$B66)*Inputs!$B$5:$B$190*(((Inputs!$G$5:$G$190="moeda")+(Inputs!$G$5:$G$190="acoes"))*Inputs!$B$1+((Inputs!$G$5:$G$190&lt;&gt;"moeda")*(Inputs!$G$5:$G$190&lt;&gt;"acoes")))*INDEX(Inputs!$K$5:$AJ$190,0,MATCH(AA$2,Inputs!$K$4:$AJ$4,0)))+SUMPRODUCT((Inputs!$C$5:$C$190=$B66)*Inputs!$D$5:$D$190*(((Inputs!$G$5:$G$190="moeda")+(Inputs!$G$5:$G$190="acoes"))*Inputs!$B$1+((Inputs!$G$5:$G$190&lt;&gt;"moeda")*(Inputs!$G$5:$G$190&lt;&gt;"acoes")))*INDEX(Inputs!$K$5:$AJ$190,0,MATCH(AA$2,Inputs!$K$4:$AJ$4,0)))+SUMPRODUCT((Inputs!$E$5:$E$190=$B66)*Inputs!$F$5:$F$190*(((Inputs!$G$5:$G$190="moeda")+(Inputs!$G$5:$G$190="acoes"))*Inputs!$B$1+((Inputs!$G$5:$G$190&lt;&gt;"moeda")*(Inputs!$G$5:$G$190&lt;&gt;"acoes")))*INDEX(Inputs!$K$5:$AJ$190,0,MATCH(AA$2,Inputs!$K$4:$AJ$4,0)))))</f>
        <v>1.53175477</v>
      </c>
      <c r="AB66" s="265">
        <f>SUM(X66:AA66)</f>
        <v>7.19296747</v>
      </c>
      <c r="AC66" s="264">
        <f>IF(ISNA(MATCH(AC$2,Inputs!$K$4:$AJ$4,0)),NA(),IF(SUMPRODUCT((Inputs!$A$5:$A$190=$B66)*ISNUMBER(INDEX(Inputs!$K$5:$AJ$190,0,MATCH(AC$2,Inputs!$K$4:$AJ$4,0))))+SUMPRODUCT((Inputs!$C$5:$C$190=$B66)*ISNUMBER(INDEX(Inputs!$K$5:$AJ$190,0,MATCH(AC$2,Inputs!$K$4:$AJ$4,0))))+SUMPRODUCT((Inputs!$E$5:$E$190=$B66)*ISNUMBER(INDEX(Inputs!$K$5:$AJ$190,0,MATCH(AC$2,Inputs!$K$4:$AJ$4,0))))=0,NA(),SUMPRODUCT((Inputs!$A$5:$A$190=$B66)*Inputs!$B$5:$B$190*(((Inputs!$G$5:$G$190="moeda")+(Inputs!$G$5:$G$190="acoes"))*Inputs!$B$1+((Inputs!$G$5:$G$190&lt;&gt;"moeda")*(Inputs!$G$5:$G$190&lt;&gt;"acoes")))*INDEX(Inputs!$K$5:$AJ$190,0,MATCH(AC$2,Inputs!$K$4:$AJ$4,0)))+SUMPRODUCT((Inputs!$C$5:$C$190=$B66)*Inputs!$D$5:$D$190*(((Inputs!$G$5:$G$190="moeda")+(Inputs!$G$5:$G$190="acoes"))*Inputs!$B$1+((Inputs!$G$5:$G$190&lt;&gt;"moeda")*(Inputs!$G$5:$G$190&lt;&gt;"acoes")))*INDEX(Inputs!$K$5:$AJ$190,0,MATCH(AC$2,Inputs!$K$4:$AJ$4,0)))+SUMPRODUCT((Inputs!$E$5:$E$190=$B66)*Inputs!$F$5:$F$190*(((Inputs!$G$5:$G$190="moeda")+(Inputs!$G$5:$G$190="acoes"))*Inputs!$B$1+((Inputs!$G$5:$G$190&lt;&gt;"moeda")*(Inputs!$G$5:$G$190&lt;&gt;"acoes")))*INDEX(Inputs!$K$5:$AJ$190,0,MATCH(AC$2,Inputs!$K$4:$AJ$4,0)))))</f>
        <v>1.47564871</v>
      </c>
      <c r="AD66" s="264">
        <f>IF(ISNA(MATCH(AD$2,Inputs!$K$4:$AJ$4,0)),NA(),IF(SUMPRODUCT((Inputs!$A$5:$A$190=$B66)*ISNUMBER(INDEX(Inputs!$K$5:$AJ$190,0,MATCH(AD$2,Inputs!$K$4:$AJ$4,0))))+SUMPRODUCT((Inputs!$C$5:$C$190=$B66)*ISNUMBER(INDEX(Inputs!$K$5:$AJ$190,0,MATCH(AD$2,Inputs!$K$4:$AJ$4,0))))+SUMPRODUCT((Inputs!$E$5:$E$190=$B66)*ISNUMBER(INDEX(Inputs!$K$5:$AJ$190,0,MATCH(AD$2,Inputs!$K$4:$AJ$4,0))))=0,NA(),SUMPRODUCT((Inputs!$A$5:$A$190=$B66)*Inputs!$B$5:$B$190*(((Inputs!$G$5:$G$190="moeda")+(Inputs!$G$5:$G$190="acoes"))*Inputs!$B$1+((Inputs!$G$5:$G$190&lt;&gt;"moeda")*(Inputs!$G$5:$G$190&lt;&gt;"acoes")))*INDEX(Inputs!$K$5:$AJ$190,0,MATCH(AD$2,Inputs!$K$4:$AJ$4,0)))+SUMPRODUCT((Inputs!$C$5:$C$190=$B66)*Inputs!$D$5:$D$190*(((Inputs!$G$5:$G$190="moeda")+(Inputs!$G$5:$G$190="acoes"))*Inputs!$B$1+((Inputs!$G$5:$G$190&lt;&gt;"moeda")*(Inputs!$G$5:$G$190&lt;&gt;"acoes")))*INDEX(Inputs!$K$5:$AJ$190,0,MATCH(AD$2,Inputs!$K$4:$AJ$4,0)))+SUMPRODUCT((Inputs!$E$5:$E$190=$B66)*Inputs!$F$5:$F$190*(((Inputs!$G$5:$G$190="moeda")+(Inputs!$G$5:$G$190="acoes"))*Inputs!$B$1+((Inputs!$G$5:$G$190&lt;&gt;"moeda")*(Inputs!$G$5:$G$190&lt;&gt;"acoes")))*INDEX(Inputs!$K$5:$AJ$190,0,MATCH(AD$2,Inputs!$K$4:$AJ$4,0)))))</f>
        <v>1.52514017</v>
      </c>
      <c r="AE66" s="264" t="e">
        <f>IF(ISNA(MATCH(AE$2,Inputs!$K$4:$AJ$4,0)),NA(),IF(SUMPRODUCT((Inputs!$A$5:$A$190=$B66)*ISNUMBER(INDEX(Inputs!$K$5:$AJ$190,0,MATCH(AE$2,Inputs!$K$4:$AJ$4,0))))+SUMPRODUCT((Inputs!$C$5:$C$190=$B66)*ISNUMBER(INDEX(Inputs!$K$5:$AJ$190,0,MATCH(AE$2,Inputs!$K$4:$AJ$4,0))))+SUMPRODUCT((Inputs!$E$5:$E$190=$B66)*ISNUMBER(INDEX(Inputs!$K$5:$AJ$190,0,MATCH(AE$2,Inputs!$K$4:$AJ$4,0))))=0,NA(),SUMPRODUCT((Inputs!$A$5:$A$190=$B66)*Inputs!$B$5:$B$190*(((Inputs!$G$5:$G$190="moeda")+(Inputs!$G$5:$G$190="acoes"))*Inputs!$B$1+((Inputs!$G$5:$G$190&lt;&gt;"moeda")*(Inputs!$G$5:$G$190&lt;&gt;"acoes")))*INDEX(Inputs!$K$5:$AJ$190,0,MATCH(AE$2,Inputs!$K$4:$AJ$4,0)))+SUMPRODUCT((Inputs!$C$5:$C$190=$B66)*Inputs!$D$5:$D$190*(((Inputs!$G$5:$G$190="moeda")+(Inputs!$G$5:$G$190="acoes"))*Inputs!$B$1+((Inputs!$G$5:$G$190&lt;&gt;"moeda")*(Inputs!$G$5:$G$190&lt;&gt;"acoes")))*INDEX(Inputs!$K$5:$AJ$190,0,MATCH(AE$2,Inputs!$K$4:$AJ$4,0)))+SUMPRODUCT((Inputs!$E$5:$E$190=$B66)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66" s="264" t="e">
        <f>IF(ISNA(MATCH(AF$2,Inputs!$K$4:$AJ$4,0)),NA(),IF(SUMPRODUCT((Inputs!$A$5:$A$190=$B66)*ISNUMBER(INDEX(Inputs!$K$5:$AJ$190,0,MATCH(AF$2,Inputs!$K$4:$AJ$4,0))))+SUMPRODUCT((Inputs!$C$5:$C$190=$B66)*ISNUMBER(INDEX(Inputs!$K$5:$AJ$190,0,MATCH(AF$2,Inputs!$K$4:$AJ$4,0))))+SUMPRODUCT((Inputs!$E$5:$E$190=$B66)*ISNUMBER(INDEX(Inputs!$K$5:$AJ$190,0,MATCH(AF$2,Inputs!$K$4:$AJ$4,0))))=0,NA(),SUMPRODUCT((Inputs!$A$5:$A$190=$B66)*Inputs!$B$5:$B$190*(((Inputs!$G$5:$G$190="moeda")+(Inputs!$G$5:$G$190="acoes"))*Inputs!$B$1+((Inputs!$G$5:$G$190&lt;&gt;"moeda")*(Inputs!$G$5:$G$190&lt;&gt;"acoes")))*INDEX(Inputs!$K$5:$AJ$190,0,MATCH(AF$2,Inputs!$K$4:$AJ$4,0)))+SUMPRODUCT((Inputs!$C$5:$C$190=$B66)*Inputs!$D$5:$D$190*(((Inputs!$G$5:$G$190="moeda")+(Inputs!$G$5:$G$190="acoes"))*Inputs!$B$1+((Inputs!$G$5:$G$190&lt;&gt;"moeda")*(Inputs!$G$5:$G$190&lt;&gt;"acoes")))*INDEX(Inputs!$K$5:$AJ$190,0,MATCH(AF$2,Inputs!$K$4:$AJ$4,0)))+SUMPRODUCT((Inputs!$E$5:$E$190=$B66)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66" s="265" t="e">
        <f>SUM(AC66:AF66)</f>
        <v>#N/A</v>
      </c>
      <c r="AH66" s="264">
        <f>IF(ISNA(MATCH(AH$2,Inputs!$K$4:$AJ$4,0)),NA(),IF(SUMPRODUCT((Inputs!$A$5:$A$190=$B66)*ISNUMBER(INDEX(Inputs!$K$5:$AJ$190,0,MATCH(AH$2,Inputs!$K$4:$AJ$4,0))))+SUMPRODUCT((Inputs!$C$5:$C$190=$B66)*ISNUMBER(INDEX(Inputs!$K$5:$AJ$190,0,MATCH(AH$2,Inputs!$K$4:$AJ$4,0))))+SUMPRODUCT((Inputs!$E$5:$E$190=$B66)*ISNUMBER(INDEX(Inputs!$K$5:$AJ$190,0,MATCH(AH$2,Inputs!$K$4:$AJ$4,0))))=0,NA(),SUMPRODUCT((Inputs!$A$5:$A$190=$B66)*Inputs!$B$5:$B$190*(((Inputs!$G$5:$G$190="moeda")+(Inputs!$G$5:$G$190="acoes"))*Inputs!$B$1+((Inputs!$G$5:$G$190&lt;&gt;"moeda")*(Inputs!$G$5:$G$190&lt;&gt;"acoes")))*INDEX(Inputs!$K$5:$AJ$190,0,MATCH(AH$2,Inputs!$K$4:$AJ$4,0)))+SUMPRODUCT((Inputs!$C$5:$C$190=$B66)*Inputs!$D$5:$D$190*(((Inputs!$G$5:$G$190="moeda")+(Inputs!$G$5:$G$190="acoes"))*Inputs!$B$1+((Inputs!$G$5:$G$190&lt;&gt;"moeda")*(Inputs!$G$5:$G$190&lt;&gt;"acoes")))*INDEX(Inputs!$K$5:$AJ$190,0,MATCH(AH$2,Inputs!$K$4:$AJ$4,0)))+SUMPRODUCT((Inputs!$E$5:$E$190=$B66)*Inputs!$F$5:$F$190*(((Inputs!$G$5:$G$190="moeda")+(Inputs!$G$5:$G$190="acoes"))*Inputs!$B$1+((Inputs!$G$5:$G$190&lt;&gt;"moeda")*(Inputs!$G$5:$G$190&lt;&gt;"acoes")))*INDEX(Inputs!$K$5:$AJ$190,0,MATCH(AH$2,Inputs!$K$4:$AJ$4,0)))))</f>
        <v>11.54873635</v>
      </c>
      <c r="AI66" s="264">
        <f>IF(ISNA(MATCH(AI$2,Inputs!$K$4:$AJ$4,0)),NA(),IF(SUMPRODUCT((Inputs!$A$5:$A$190=$B66)*ISNUMBER(INDEX(Inputs!$K$5:$AJ$190,0,MATCH(AI$2,Inputs!$K$4:$AJ$4,0))))+SUMPRODUCT((Inputs!$C$5:$C$190=$B66)*ISNUMBER(INDEX(Inputs!$K$5:$AJ$190,0,MATCH(AI$2,Inputs!$K$4:$AJ$4,0))))+SUMPRODUCT((Inputs!$E$5:$E$190=$B66)*ISNUMBER(INDEX(Inputs!$K$5:$AJ$190,0,MATCH(AI$2,Inputs!$K$4:$AJ$4,0))))=0,NA(),SUMPRODUCT((Inputs!$A$5:$A$190=$B66)*Inputs!$B$5:$B$190*(((Inputs!$G$5:$G$190="moeda")+(Inputs!$G$5:$G$190="acoes"))*Inputs!$B$1+((Inputs!$G$5:$G$190&lt;&gt;"moeda")*(Inputs!$G$5:$G$190&lt;&gt;"acoes")))*INDEX(Inputs!$K$5:$AJ$190,0,MATCH(AI$2,Inputs!$K$4:$AJ$4,0)))+SUMPRODUCT((Inputs!$C$5:$C$190=$B66)*Inputs!$D$5:$D$190*(((Inputs!$G$5:$G$190="moeda")+(Inputs!$G$5:$G$190="acoes"))*Inputs!$B$1+((Inputs!$G$5:$G$190&lt;&gt;"moeda")*(Inputs!$G$5:$G$190&lt;&gt;"acoes")))*INDEX(Inputs!$K$5:$AJ$190,0,MATCH(AI$2,Inputs!$K$4:$AJ$4,0)))+SUMPRODUCT((Inputs!$E$5:$E$190=$B66)*Inputs!$F$5:$F$190*(((Inputs!$G$5:$G$190="moeda")+(Inputs!$G$5:$G$190="acoes"))*Inputs!$B$1+((Inputs!$G$5:$G$190&lt;&gt;"moeda")*(Inputs!$G$5:$G$190&lt;&gt;"acoes")))*INDEX(Inputs!$K$5:$AJ$190,0,MATCH(AI$2,Inputs!$K$4:$AJ$4,0)))))</f>
        <v>10.6023682</v>
      </c>
      <c r="AJ66" s="264">
        <f>IF(ISNA(MATCH(AJ$2,Inputs!$K$4:$AJ$4,0)),NA(),IF(SUMPRODUCT((Inputs!$A$5:$A$190=$B66)*ISNUMBER(INDEX(Inputs!$K$5:$AJ$190,0,MATCH(AJ$2,Inputs!$K$4:$AJ$4,0))))+SUMPRODUCT((Inputs!$C$5:$C$190=$B66)*ISNUMBER(INDEX(Inputs!$K$5:$AJ$190,0,MATCH(AJ$2,Inputs!$K$4:$AJ$4,0))))+SUMPRODUCT((Inputs!$E$5:$E$190=$B66)*ISNUMBER(INDEX(Inputs!$K$5:$AJ$190,0,MATCH(AJ$2,Inputs!$K$4:$AJ$4,0))))=0,NA(),SUMPRODUCT((Inputs!$A$5:$A$190=$B66)*Inputs!$B$5:$B$190*(((Inputs!$G$5:$G$190="moeda")+(Inputs!$G$5:$G$190="acoes"))*Inputs!$B$1+((Inputs!$G$5:$G$190&lt;&gt;"moeda")*(Inputs!$G$5:$G$190&lt;&gt;"acoes")))*INDEX(Inputs!$K$5:$AJ$190,0,MATCH(AJ$2,Inputs!$K$4:$AJ$4,0)))+SUMPRODUCT((Inputs!$C$5:$C$190=$B66)*Inputs!$D$5:$D$190*(((Inputs!$G$5:$G$190="moeda")+(Inputs!$G$5:$G$190="acoes"))*Inputs!$B$1+((Inputs!$G$5:$G$190&lt;&gt;"moeda")*(Inputs!$G$5:$G$190&lt;&gt;"acoes")))*INDEX(Inputs!$K$5:$AJ$190,0,MATCH(AJ$2,Inputs!$K$4:$AJ$4,0)))+SUMPRODUCT((Inputs!$E$5:$E$190=$B66)*Inputs!$F$5:$F$190*(((Inputs!$G$5:$G$190="moeda")+(Inputs!$G$5:$G$190="acoes"))*Inputs!$B$1+((Inputs!$G$5:$G$190&lt;&gt;"moeda")*(Inputs!$G$5:$G$190&lt;&gt;"acoes")))*INDEX(Inputs!$K$5:$AJ$190,0,MATCH(AJ$2,Inputs!$K$4:$AJ$4,0)))))</f>
        <v>11.70278832</v>
      </c>
      <c r="AK66" s="264">
        <f>IF(ISNA(MATCH(AK$2,Inputs!$K$4:$AJ$4,0)),NA(),IF(SUMPRODUCT((Inputs!$A$5:$A$190=$B66)*ISNUMBER(INDEX(Inputs!$K$5:$AJ$190,0,MATCH(AK$2,Inputs!$K$4:$AJ$4,0))))+SUMPRODUCT((Inputs!$C$5:$C$190=$B66)*ISNUMBER(INDEX(Inputs!$K$5:$AJ$190,0,MATCH(AK$2,Inputs!$K$4:$AJ$4,0))))+SUMPRODUCT((Inputs!$E$5:$E$190=$B66)*ISNUMBER(INDEX(Inputs!$K$5:$AJ$190,0,MATCH(AK$2,Inputs!$K$4:$AJ$4,0))))=0,NA(),SUMPRODUCT((Inputs!$A$5:$A$190=$B66)*Inputs!$B$5:$B$190*(((Inputs!$G$5:$G$190="moeda")+(Inputs!$G$5:$G$190="acoes"))*Inputs!$B$1+((Inputs!$G$5:$G$190&lt;&gt;"moeda")*(Inputs!$G$5:$G$190&lt;&gt;"acoes")))*INDEX(Inputs!$K$5:$AJ$190,0,MATCH(AK$2,Inputs!$K$4:$AJ$4,0)))+SUMPRODUCT((Inputs!$C$5:$C$190=$B66)*Inputs!$D$5:$D$190*(((Inputs!$G$5:$G$190="moeda")+(Inputs!$G$5:$G$190="acoes"))*Inputs!$B$1+((Inputs!$G$5:$G$190&lt;&gt;"moeda")*(Inputs!$G$5:$G$190&lt;&gt;"acoes")))*INDEX(Inputs!$K$5:$AJ$190,0,MATCH(AK$2,Inputs!$K$4:$AJ$4,0)))+SUMPRODUCT((Inputs!$E$5:$E$190=$B66)*Inputs!$F$5:$F$190*(((Inputs!$G$5:$G$190="moeda")+(Inputs!$G$5:$G$190="acoes"))*Inputs!$B$1+((Inputs!$G$5:$G$190&lt;&gt;"moeda")*(Inputs!$G$5:$G$190&lt;&gt;"acoes")))*INDEX(Inputs!$K$5:$AJ$190,0,MATCH(AK$2,Inputs!$K$4:$AJ$4,0)))))</f>
        <v>11.57211669</v>
      </c>
      <c r="AL66" s="265">
        <f>SUM(AH66:AK66)</f>
        <v>45.42600956</v>
      </c>
    </row>
    <row r="67">
      <c r="B67" s="46" t="n">
        <v>59</v>
      </c>
      <c r="C67" s="29" t="inlineStr">
        <is>
          <t>Movida RAC - frota final (carros; Movida - Operational data l.8)</t>
        </is>
      </c>
      <c r="D67" s="266">
        <f>IF(ISNA(MATCH(D$2,Inputs!$K$4:$AJ$4,0)),NA(),IF(SUMPRODUCT((Inputs!$A$5:$A$190=$B67)*ISNUMBER(INDEX(Inputs!$K$5:$AJ$190,0,MATCH(D$2,Inputs!$K$4:$AJ$4,0))))+SUMPRODUCT((Inputs!$C$5:$C$190=$B67)*ISNUMBER(INDEX(Inputs!$K$5:$AJ$190,0,MATCH(D$2,Inputs!$K$4:$AJ$4,0))))+SUMPRODUCT((Inputs!$E$5:$E$190=$B67)*ISNUMBER(INDEX(Inputs!$K$5:$AJ$190,0,MATCH(D$2,Inputs!$K$4:$AJ$4,0))))=0,NA(),SUMPRODUCT((Inputs!$A$5:$A$190=$B67)*Inputs!$B$5:$B$190*(((Inputs!$G$5:$G$190="moeda")+(Inputs!$G$5:$G$190="acoes"))*Inputs!$B$1+((Inputs!$G$5:$G$190&lt;&gt;"moeda")*(Inputs!$G$5:$G$190&lt;&gt;"acoes")))*INDEX(Inputs!$K$5:$AJ$190,0,MATCH(D$2,Inputs!$K$4:$AJ$4,0)))+SUMPRODUCT((Inputs!$C$5:$C$190=$B67)*Inputs!$D$5:$D$190*(((Inputs!$G$5:$G$190="moeda")+(Inputs!$G$5:$G$190="acoes"))*Inputs!$B$1+((Inputs!$G$5:$G$190&lt;&gt;"moeda")*(Inputs!$G$5:$G$190&lt;&gt;"acoes")))*INDEX(Inputs!$K$5:$AJ$190,0,MATCH(D$2,Inputs!$K$4:$AJ$4,0)))+SUMPRODUCT((Inputs!$E$5:$E$190=$B67)*Inputs!$F$5:$F$190*(((Inputs!$G$5:$G$190="moeda")+(Inputs!$G$5:$G$190="acoes"))*Inputs!$B$1+((Inputs!$G$5:$G$190&lt;&gt;"moeda")*(Inputs!$G$5:$G$190&lt;&gt;"acoes")))*INDEX(Inputs!$K$5:$AJ$190,0,MATCH(D$2,Inputs!$K$4:$AJ$4,0)))))</f>
        <v>70213</v>
      </c>
      <c r="E67" s="266">
        <f>IF(ISNA(MATCH(E$2,Inputs!$K$4:$AJ$4,0)),NA(),IF(SUMPRODUCT((Inputs!$A$5:$A$190=$B67)*ISNUMBER(INDEX(Inputs!$K$5:$AJ$190,0,MATCH(E$2,Inputs!$K$4:$AJ$4,0))))+SUMPRODUCT((Inputs!$C$5:$C$190=$B67)*ISNUMBER(INDEX(Inputs!$K$5:$AJ$190,0,MATCH(E$2,Inputs!$K$4:$AJ$4,0))))+SUMPRODUCT((Inputs!$E$5:$E$190=$B67)*ISNUMBER(INDEX(Inputs!$K$5:$AJ$190,0,MATCH(E$2,Inputs!$K$4:$AJ$4,0))))=0,NA(),SUMPRODUCT((Inputs!$A$5:$A$190=$B67)*Inputs!$B$5:$B$190*(((Inputs!$G$5:$G$190="moeda")+(Inputs!$G$5:$G$190="acoes"))*Inputs!$B$1+((Inputs!$G$5:$G$190&lt;&gt;"moeda")*(Inputs!$G$5:$G$190&lt;&gt;"acoes")))*INDEX(Inputs!$K$5:$AJ$190,0,MATCH(E$2,Inputs!$K$4:$AJ$4,0)))+SUMPRODUCT((Inputs!$C$5:$C$190=$B67)*Inputs!$D$5:$D$190*(((Inputs!$G$5:$G$190="moeda")+(Inputs!$G$5:$G$190="acoes"))*Inputs!$B$1+((Inputs!$G$5:$G$190&lt;&gt;"moeda")*(Inputs!$G$5:$G$190&lt;&gt;"acoes")))*INDEX(Inputs!$K$5:$AJ$190,0,MATCH(E$2,Inputs!$K$4:$AJ$4,0)))+SUMPRODUCT((Inputs!$E$5:$E$190=$B67)*Inputs!$F$5:$F$190*(((Inputs!$G$5:$G$190="moeda")+(Inputs!$G$5:$G$190="acoes"))*Inputs!$B$1+((Inputs!$G$5:$G$190&lt;&gt;"moeda")*(Inputs!$G$5:$G$190&lt;&gt;"acoes")))*INDEX(Inputs!$K$5:$AJ$190,0,MATCH(E$2,Inputs!$K$4:$AJ$4,0)))))</f>
        <v>78453</v>
      </c>
      <c r="F67" s="266">
        <f>IF(ISNA(MATCH(F$2,Inputs!$K$4:$AJ$4,0)),NA(),IF(SUMPRODUCT((Inputs!$A$5:$A$190=$B67)*ISNUMBER(INDEX(Inputs!$K$5:$AJ$190,0,MATCH(F$2,Inputs!$K$4:$AJ$4,0))))+SUMPRODUCT((Inputs!$C$5:$C$190=$B67)*ISNUMBER(INDEX(Inputs!$K$5:$AJ$190,0,MATCH(F$2,Inputs!$K$4:$AJ$4,0))))+SUMPRODUCT((Inputs!$E$5:$E$190=$B67)*ISNUMBER(INDEX(Inputs!$K$5:$AJ$190,0,MATCH(F$2,Inputs!$K$4:$AJ$4,0))))=0,NA(),SUMPRODUCT((Inputs!$A$5:$A$190=$B67)*Inputs!$B$5:$B$190*(((Inputs!$G$5:$G$190="moeda")+(Inputs!$G$5:$G$190="acoes"))*Inputs!$B$1+((Inputs!$G$5:$G$190&lt;&gt;"moeda")*(Inputs!$G$5:$G$190&lt;&gt;"acoes")))*INDEX(Inputs!$K$5:$AJ$190,0,MATCH(F$2,Inputs!$K$4:$AJ$4,0)))+SUMPRODUCT((Inputs!$C$5:$C$190=$B67)*Inputs!$D$5:$D$190*(((Inputs!$G$5:$G$190="moeda")+(Inputs!$G$5:$G$190="acoes"))*Inputs!$B$1+((Inputs!$G$5:$G$190&lt;&gt;"moeda")*(Inputs!$G$5:$G$190&lt;&gt;"acoes")))*INDEX(Inputs!$K$5:$AJ$190,0,MATCH(F$2,Inputs!$K$4:$AJ$4,0)))+SUMPRODUCT((Inputs!$E$5:$E$190=$B67)*Inputs!$F$5:$F$190*(((Inputs!$G$5:$G$190="moeda")+(Inputs!$G$5:$G$190="acoes"))*Inputs!$B$1+((Inputs!$G$5:$G$190&lt;&gt;"moeda")*(Inputs!$G$5:$G$190&lt;&gt;"acoes")))*INDEX(Inputs!$K$5:$AJ$190,0,MATCH(F$2,Inputs!$K$4:$AJ$4,0)))))</f>
        <v>79888</v>
      </c>
      <c r="G67" s="266">
        <f>IF(ISNA(MATCH(G$2,Inputs!$K$4:$AJ$4,0)),NA(),IF(SUMPRODUCT((Inputs!$A$5:$A$190=$B67)*ISNUMBER(INDEX(Inputs!$K$5:$AJ$190,0,MATCH(G$2,Inputs!$K$4:$AJ$4,0))))+SUMPRODUCT((Inputs!$C$5:$C$190=$B67)*ISNUMBER(INDEX(Inputs!$K$5:$AJ$190,0,MATCH(G$2,Inputs!$K$4:$AJ$4,0))))+SUMPRODUCT((Inputs!$E$5:$E$190=$B67)*ISNUMBER(INDEX(Inputs!$K$5:$AJ$190,0,MATCH(G$2,Inputs!$K$4:$AJ$4,0))))=0,NA(),SUMPRODUCT((Inputs!$A$5:$A$190=$B67)*Inputs!$B$5:$B$190*(((Inputs!$G$5:$G$190="moeda")+(Inputs!$G$5:$G$190="acoes"))*Inputs!$B$1+((Inputs!$G$5:$G$190&lt;&gt;"moeda")*(Inputs!$G$5:$G$190&lt;&gt;"acoes")))*INDEX(Inputs!$K$5:$AJ$190,0,MATCH(G$2,Inputs!$K$4:$AJ$4,0)))+SUMPRODUCT((Inputs!$C$5:$C$190=$B67)*Inputs!$D$5:$D$190*(((Inputs!$G$5:$G$190="moeda")+(Inputs!$G$5:$G$190="acoes"))*Inputs!$B$1+((Inputs!$G$5:$G$190&lt;&gt;"moeda")*(Inputs!$G$5:$G$190&lt;&gt;"acoes")))*INDEX(Inputs!$K$5:$AJ$190,0,MATCH(G$2,Inputs!$K$4:$AJ$4,0)))+SUMPRODUCT((Inputs!$E$5:$E$190=$B67)*Inputs!$F$5:$F$190*(((Inputs!$G$5:$G$190="moeda")+(Inputs!$G$5:$G$190="acoes"))*Inputs!$B$1+((Inputs!$G$5:$G$190&lt;&gt;"moeda")*(Inputs!$G$5:$G$190&lt;&gt;"acoes")))*INDEX(Inputs!$K$5:$AJ$190,0,MATCH(G$2,Inputs!$K$4:$AJ$4,0)))))</f>
        <v>90671</v>
      </c>
      <c r="H67" s="267">
        <f>G67</f>
        <v>90671</v>
      </c>
      <c r="I67" s="266">
        <f>IF(ISNA(MATCH(I$2,Inputs!$K$4:$AJ$4,0)),NA(),IF(SUMPRODUCT((Inputs!$A$5:$A$190=$B67)*ISNUMBER(INDEX(Inputs!$K$5:$AJ$190,0,MATCH(I$2,Inputs!$K$4:$AJ$4,0))))+SUMPRODUCT((Inputs!$C$5:$C$190=$B67)*ISNUMBER(INDEX(Inputs!$K$5:$AJ$190,0,MATCH(I$2,Inputs!$K$4:$AJ$4,0))))+SUMPRODUCT((Inputs!$E$5:$E$190=$B67)*ISNUMBER(INDEX(Inputs!$K$5:$AJ$190,0,MATCH(I$2,Inputs!$K$4:$AJ$4,0))))=0,NA(),SUMPRODUCT((Inputs!$A$5:$A$190=$B67)*Inputs!$B$5:$B$190*(((Inputs!$G$5:$G$190="moeda")+(Inputs!$G$5:$G$190="acoes"))*Inputs!$B$1+((Inputs!$G$5:$G$190&lt;&gt;"moeda")*(Inputs!$G$5:$G$190&lt;&gt;"acoes")))*INDEX(Inputs!$K$5:$AJ$190,0,MATCH(I$2,Inputs!$K$4:$AJ$4,0)))+SUMPRODUCT((Inputs!$C$5:$C$190=$B67)*Inputs!$D$5:$D$190*(((Inputs!$G$5:$G$190="moeda")+(Inputs!$G$5:$G$190="acoes"))*Inputs!$B$1+((Inputs!$G$5:$G$190&lt;&gt;"moeda")*(Inputs!$G$5:$G$190&lt;&gt;"acoes")))*INDEX(Inputs!$K$5:$AJ$190,0,MATCH(I$2,Inputs!$K$4:$AJ$4,0)))+SUMPRODUCT((Inputs!$E$5:$E$190=$B67)*Inputs!$F$5:$F$190*(((Inputs!$G$5:$G$190="moeda")+(Inputs!$G$5:$G$190="acoes"))*Inputs!$B$1+((Inputs!$G$5:$G$190&lt;&gt;"moeda")*(Inputs!$G$5:$G$190&lt;&gt;"acoes")))*INDEX(Inputs!$K$5:$AJ$190,0,MATCH(I$2,Inputs!$K$4:$AJ$4,0)))))</f>
        <v>96572</v>
      </c>
      <c r="J67" s="266">
        <f>IF(ISNA(MATCH(J$2,Inputs!$K$4:$AJ$4,0)),NA(),IF(SUMPRODUCT((Inputs!$A$5:$A$190=$B67)*ISNUMBER(INDEX(Inputs!$K$5:$AJ$190,0,MATCH(J$2,Inputs!$K$4:$AJ$4,0))))+SUMPRODUCT((Inputs!$C$5:$C$190=$B67)*ISNUMBER(INDEX(Inputs!$K$5:$AJ$190,0,MATCH(J$2,Inputs!$K$4:$AJ$4,0))))+SUMPRODUCT((Inputs!$E$5:$E$190=$B67)*ISNUMBER(INDEX(Inputs!$K$5:$AJ$190,0,MATCH(J$2,Inputs!$K$4:$AJ$4,0))))=0,NA(),SUMPRODUCT((Inputs!$A$5:$A$190=$B67)*Inputs!$B$5:$B$190*(((Inputs!$G$5:$G$190="moeda")+(Inputs!$G$5:$G$190="acoes"))*Inputs!$B$1+((Inputs!$G$5:$G$190&lt;&gt;"moeda")*(Inputs!$G$5:$G$190&lt;&gt;"acoes")))*INDEX(Inputs!$K$5:$AJ$190,0,MATCH(J$2,Inputs!$K$4:$AJ$4,0)))+SUMPRODUCT((Inputs!$C$5:$C$190=$B67)*Inputs!$D$5:$D$190*(((Inputs!$G$5:$G$190="moeda")+(Inputs!$G$5:$G$190="acoes"))*Inputs!$B$1+((Inputs!$G$5:$G$190&lt;&gt;"moeda")*(Inputs!$G$5:$G$190&lt;&gt;"acoes")))*INDEX(Inputs!$K$5:$AJ$190,0,MATCH(J$2,Inputs!$K$4:$AJ$4,0)))+SUMPRODUCT((Inputs!$E$5:$E$190=$B67)*Inputs!$F$5:$F$190*(((Inputs!$G$5:$G$190="moeda")+(Inputs!$G$5:$G$190="acoes"))*Inputs!$B$1+((Inputs!$G$5:$G$190&lt;&gt;"moeda")*(Inputs!$G$5:$G$190&lt;&gt;"acoes")))*INDEX(Inputs!$K$5:$AJ$190,0,MATCH(J$2,Inputs!$K$4:$AJ$4,0)))))</f>
        <v>100403</v>
      </c>
      <c r="K67" s="266">
        <f>IF(ISNA(MATCH(K$2,Inputs!$K$4:$AJ$4,0)),NA(),IF(SUMPRODUCT((Inputs!$A$5:$A$190=$B67)*ISNUMBER(INDEX(Inputs!$K$5:$AJ$190,0,MATCH(K$2,Inputs!$K$4:$AJ$4,0))))+SUMPRODUCT((Inputs!$C$5:$C$190=$B67)*ISNUMBER(INDEX(Inputs!$K$5:$AJ$190,0,MATCH(K$2,Inputs!$K$4:$AJ$4,0))))+SUMPRODUCT((Inputs!$E$5:$E$190=$B67)*ISNUMBER(INDEX(Inputs!$K$5:$AJ$190,0,MATCH(K$2,Inputs!$K$4:$AJ$4,0))))=0,NA(),SUMPRODUCT((Inputs!$A$5:$A$190=$B67)*Inputs!$B$5:$B$190*(((Inputs!$G$5:$G$190="moeda")+(Inputs!$G$5:$G$190="acoes"))*Inputs!$B$1+((Inputs!$G$5:$G$190&lt;&gt;"moeda")*(Inputs!$G$5:$G$190&lt;&gt;"acoes")))*INDEX(Inputs!$K$5:$AJ$190,0,MATCH(K$2,Inputs!$K$4:$AJ$4,0)))+SUMPRODUCT((Inputs!$C$5:$C$190=$B67)*Inputs!$D$5:$D$190*(((Inputs!$G$5:$G$190="moeda")+(Inputs!$G$5:$G$190="acoes"))*Inputs!$B$1+((Inputs!$G$5:$G$190&lt;&gt;"moeda")*(Inputs!$G$5:$G$190&lt;&gt;"acoes")))*INDEX(Inputs!$K$5:$AJ$190,0,MATCH(K$2,Inputs!$K$4:$AJ$4,0)))+SUMPRODUCT((Inputs!$E$5:$E$190=$B67)*Inputs!$F$5:$F$190*(((Inputs!$G$5:$G$190="moeda")+(Inputs!$G$5:$G$190="acoes"))*Inputs!$B$1+((Inputs!$G$5:$G$190&lt;&gt;"moeda")*(Inputs!$G$5:$G$190&lt;&gt;"acoes")))*INDEX(Inputs!$K$5:$AJ$190,0,MATCH(K$2,Inputs!$K$4:$AJ$4,0)))))</f>
        <v>104987</v>
      </c>
      <c r="L67" s="266">
        <f>IF(ISNA(MATCH(L$2,Inputs!$K$4:$AJ$4,0)),NA(),IF(SUMPRODUCT((Inputs!$A$5:$A$190=$B67)*ISNUMBER(INDEX(Inputs!$K$5:$AJ$190,0,MATCH(L$2,Inputs!$K$4:$AJ$4,0))))+SUMPRODUCT((Inputs!$C$5:$C$190=$B67)*ISNUMBER(INDEX(Inputs!$K$5:$AJ$190,0,MATCH(L$2,Inputs!$K$4:$AJ$4,0))))+SUMPRODUCT((Inputs!$E$5:$E$190=$B67)*ISNUMBER(INDEX(Inputs!$K$5:$AJ$190,0,MATCH(L$2,Inputs!$K$4:$AJ$4,0))))=0,NA(),SUMPRODUCT((Inputs!$A$5:$A$190=$B67)*Inputs!$B$5:$B$190*(((Inputs!$G$5:$G$190="moeda")+(Inputs!$G$5:$G$190="acoes"))*Inputs!$B$1+((Inputs!$G$5:$G$190&lt;&gt;"moeda")*(Inputs!$G$5:$G$190&lt;&gt;"acoes")))*INDEX(Inputs!$K$5:$AJ$190,0,MATCH(L$2,Inputs!$K$4:$AJ$4,0)))+SUMPRODUCT((Inputs!$C$5:$C$190=$B67)*Inputs!$D$5:$D$190*(((Inputs!$G$5:$G$190="moeda")+(Inputs!$G$5:$G$190="acoes"))*Inputs!$B$1+((Inputs!$G$5:$G$190&lt;&gt;"moeda")*(Inputs!$G$5:$G$190&lt;&gt;"acoes")))*INDEX(Inputs!$K$5:$AJ$190,0,MATCH(L$2,Inputs!$K$4:$AJ$4,0)))+SUMPRODUCT((Inputs!$E$5:$E$190=$B67)*Inputs!$F$5:$F$190*(((Inputs!$G$5:$G$190="moeda")+(Inputs!$G$5:$G$190="acoes"))*Inputs!$B$1+((Inputs!$G$5:$G$190&lt;&gt;"moeda")*(Inputs!$G$5:$G$190&lt;&gt;"acoes")))*INDEX(Inputs!$K$5:$AJ$190,0,MATCH(L$2,Inputs!$K$4:$AJ$4,0)))))</f>
        <v>111632</v>
      </c>
      <c r="M67" s="267">
        <f>L67</f>
        <v>111632</v>
      </c>
      <c r="N67" s="266">
        <f>IF(ISNA(MATCH(N$2,Inputs!$K$4:$AJ$4,0)),NA(),IF(SUMPRODUCT((Inputs!$A$5:$A$190=$B67)*ISNUMBER(INDEX(Inputs!$K$5:$AJ$190,0,MATCH(N$2,Inputs!$K$4:$AJ$4,0))))+SUMPRODUCT((Inputs!$C$5:$C$190=$B67)*ISNUMBER(INDEX(Inputs!$K$5:$AJ$190,0,MATCH(N$2,Inputs!$K$4:$AJ$4,0))))+SUMPRODUCT((Inputs!$E$5:$E$190=$B67)*ISNUMBER(INDEX(Inputs!$K$5:$AJ$190,0,MATCH(N$2,Inputs!$K$4:$AJ$4,0))))=0,NA(),SUMPRODUCT((Inputs!$A$5:$A$190=$B67)*Inputs!$B$5:$B$190*(((Inputs!$G$5:$G$190="moeda")+(Inputs!$G$5:$G$190="acoes"))*Inputs!$B$1+((Inputs!$G$5:$G$190&lt;&gt;"moeda")*(Inputs!$G$5:$G$190&lt;&gt;"acoes")))*INDEX(Inputs!$K$5:$AJ$190,0,MATCH(N$2,Inputs!$K$4:$AJ$4,0)))+SUMPRODUCT((Inputs!$C$5:$C$190=$B67)*Inputs!$D$5:$D$190*(((Inputs!$G$5:$G$190="moeda")+(Inputs!$G$5:$G$190="acoes"))*Inputs!$B$1+((Inputs!$G$5:$G$190&lt;&gt;"moeda")*(Inputs!$G$5:$G$190&lt;&gt;"acoes")))*INDEX(Inputs!$K$5:$AJ$190,0,MATCH(N$2,Inputs!$K$4:$AJ$4,0)))+SUMPRODUCT((Inputs!$E$5:$E$190=$B67)*Inputs!$F$5:$F$190*(((Inputs!$G$5:$G$190="moeda")+(Inputs!$G$5:$G$190="acoes"))*Inputs!$B$1+((Inputs!$G$5:$G$190&lt;&gt;"moeda")*(Inputs!$G$5:$G$190&lt;&gt;"acoes")))*INDEX(Inputs!$K$5:$AJ$190,0,MATCH(N$2,Inputs!$K$4:$AJ$4,0)))))</f>
        <v>98373</v>
      </c>
      <c r="O67" s="266">
        <f>IF(ISNA(MATCH(O$2,Inputs!$K$4:$AJ$4,0)),NA(),IF(SUMPRODUCT((Inputs!$A$5:$A$190=$B67)*ISNUMBER(INDEX(Inputs!$K$5:$AJ$190,0,MATCH(O$2,Inputs!$K$4:$AJ$4,0))))+SUMPRODUCT((Inputs!$C$5:$C$190=$B67)*ISNUMBER(INDEX(Inputs!$K$5:$AJ$190,0,MATCH(O$2,Inputs!$K$4:$AJ$4,0))))+SUMPRODUCT((Inputs!$E$5:$E$190=$B67)*ISNUMBER(INDEX(Inputs!$K$5:$AJ$190,0,MATCH(O$2,Inputs!$K$4:$AJ$4,0))))=0,NA(),SUMPRODUCT((Inputs!$A$5:$A$190=$B67)*Inputs!$B$5:$B$190*(((Inputs!$G$5:$G$190="moeda")+(Inputs!$G$5:$G$190="acoes"))*Inputs!$B$1+((Inputs!$G$5:$G$190&lt;&gt;"moeda")*(Inputs!$G$5:$G$190&lt;&gt;"acoes")))*INDEX(Inputs!$K$5:$AJ$190,0,MATCH(O$2,Inputs!$K$4:$AJ$4,0)))+SUMPRODUCT((Inputs!$C$5:$C$190=$B67)*Inputs!$D$5:$D$190*(((Inputs!$G$5:$G$190="moeda")+(Inputs!$G$5:$G$190="acoes"))*Inputs!$B$1+((Inputs!$G$5:$G$190&lt;&gt;"moeda")*(Inputs!$G$5:$G$190&lt;&gt;"acoes")))*INDEX(Inputs!$K$5:$AJ$190,0,MATCH(O$2,Inputs!$K$4:$AJ$4,0)))+SUMPRODUCT((Inputs!$E$5:$E$190=$B67)*Inputs!$F$5:$F$190*(((Inputs!$G$5:$G$190="moeda")+(Inputs!$G$5:$G$190="acoes"))*Inputs!$B$1+((Inputs!$G$5:$G$190&lt;&gt;"moeda")*(Inputs!$G$5:$G$190&lt;&gt;"acoes")))*INDEX(Inputs!$K$5:$AJ$190,0,MATCH(O$2,Inputs!$K$4:$AJ$4,0)))))</f>
        <v>91632</v>
      </c>
      <c r="P67" s="266">
        <f>IF(ISNA(MATCH(P$2,Inputs!$K$4:$AJ$4,0)),NA(),IF(SUMPRODUCT((Inputs!$A$5:$A$190=$B67)*ISNUMBER(INDEX(Inputs!$K$5:$AJ$190,0,MATCH(P$2,Inputs!$K$4:$AJ$4,0))))+SUMPRODUCT((Inputs!$C$5:$C$190=$B67)*ISNUMBER(INDEX(Inputs!$K$5:$AJ$190,0,MATCH(P$2,Inputs!$K$4:$AJ$4,0))))+SUMPRODUCT((Inputs!$E$5:$E$190=$B67)*ISNUMBER(INDEX(Inputs!$K$5:$AJ$190,0,MATCH(P$2,Inputs!$K$4:$AJ$4,0))))=0,NA(),SUMPRODUCT((Inputs!$A$5:$A$190=$B67)*Inputs!$B$5:$B$190*(((Inputs!$G$5:$G$190="moeda")+(Inputs!$G$5:$G$190="acoes"))*Inputs!$B$1+((Inputs!$G$5:$G$190&lt;&gt;"moeda")*(Inputs!$G$5:$G$190&lt;&gt;"acoes")))*INDEX(Inputs!$K$5:$AJ$190,0,MATCH(P$2,Inputs!$K$4:$AJ$4,0)))+SUMPRODUCT((Inputs!$C$5:$C$190=$B67)*Inputs!$D$5:$D$190*(((Inputs!$G$5:$G$190="moeda")+(Inputs!$G$5:$G$190="acoes"))*Inputs!$B$1+((Inputs!$G$5:$G$190&lt;&gt;"moeda")*(Inputs!$G$5:$G$190&lt;&gt;"acoes")))*INDEX(Inputs!$K$5:$AJ$190,0,MATCH(P$2,Inputs!$K$4:$AJ$4,0)))+SUMPRODUCT((Inputs!$E$5:$E$190=$B67)*Inputs!$F$5:$F$190*(((Inputs!$G$5:$G$190="moeda")+(Inputs!$G$5:$G$190="acoes"))*Inputs!$B$1+((Inputs!$G$5:$G$190&lt;&gt;"moeda")*(Inputs!$G$5:$G$190&lt;&gt;"acoes")))*INDEX(Inputs!$K$5:$AJ$190,0,MATCH(P$2,Inputs!$K$4:$AJ$4,0)))))</f>
        <v>94273</v>
      </c>
      <c r="Q67" s="266">
        <f>IF(ISNA(MATCH(Q$2,Inputs!$K$4:$AJ$4,0)),NA(),IF(SUMPRODUCT((Inputs!$A$5:$A$190=$B67)*ISNUMBER(INDEX(Inputs!$K$5:$AJ$190,0,MATCH(Q$2,Inputs!$K$4:$AJ$4,0))))+SUMPRODUCT((Inputs!$C$5:$C$190=$B67)*ISNUMBER(INDEX(Inputs!$K$5:$AJ$190,0,MATCH(Q$2,Inputs!$K$4:$AJ$4,0))))+SUMPRODUCT((Inputs!$E$5:$E$190=$B67)*ISNUMBER(INDEX(Inputs!$K$5:$AJ$190,0,MATCH(Q$2,Inputs!$K$4:$AJ$4,0))))=0,NA(),SUMPRODUCT((Inputs!$A$5:$A$190=$B67)*Inputs!$B$5:$B$190*(((Inputs!$G$5:$G$190="moeda")+(Inputs!$G$5:$G$190="acoes"))*Inputs!$B$1+((Inputs!$G$5:$G$190&lt;&gt;"moeda")*(Inputs!$G$5:$G$190&lt;&gt;"acoes")))*INDEX(Inputs!$K$5:$AJ$190,0,MATCH(Q$2,Inputs!$K$4:$AJ$4,0)))+SUMPRODUCT((Inputs!$C$5:$C$190=$B67)*Inputs!$D$5:$D$190*(((Inputs!$G$5:$G$190="moeda")+(Inputs!$G$5:$G$190="acoes"))*Inputs!$B$1+((Inputs!$G$5:$G$190&lt;&gt;"moeda")*(Inputs!$G$5:$G$190&lt;&gt;"acoes")))*INDEX(Inputs!$K$5:$AJ$190,0,MATCH(Q$2,Inputs!$K$4:$AJ$4,0)))+SUMPRODUCT((Inputs!$E$5:$E$190=$B67)*Inputs!$F$5:$F$190*(((Inputs!$G$5:$G$190="moeda")+(Inputs!$G$5:$G$190="acoes"))*Inputs!$B$1+((Inputs!$G$5:$G$190&lt;&gt;"moeda")*(Inputs!$G$5:$G$190&lt;&gt;"acoes")))*INDEX(Inputs!$K$5:$AJ$190,0,MATCH(Q$2,Inputs!$K$4:$AJ$4,0)))))</f>
        <v>113150</v>
      </c>
      <c r="R67" s="267">
        <f>Q67</f>
        <v>113150</v>
      </c>
      <c r="S67" s="266">
        <f>IF(ISNA(MATCH(S$2,Inputs!$K$4:$AJ$4,0)),NA(),IF(SUMPRODUCT((Inputs!$A$5:$A$190=$B67)*ISNUMBER(INDEX(Inputs!$K$5:$AJ$190,0,MATCH(S$2,Inputs!$K$4:$AJ$4,0))))+SUMPRODUCT((Inputs!$C$5:$C$190=$B67)*ISNUMBER(INDEX(Inputs!$K$5:$AJ$190,0,MATCH(S$2,Inputs!$K$4:$AJ$4,0))))+SUMPRODUCT((Inputs!$E$5:$E$190=$B67)*ISNUMBER(INDEX(Inputs!$K$5:$AJ$190,0,MATCH(S$2,Inputs!$K$4:$AJ$4,0))))=0,NA(),SUMPRODUCT((Inputs!$A$5:$A$190=$B67)*Inputs!$B$5:$B$190*(((Inputs!$G$5:$G$190="moeda")+(Inputs!$G$5:$G$190="acoes"))*Inputs!$B$1+((Inputs!$G$5:$G$190&lt;&gt;"moeda")*(Inputs!$G$5:$G$190&lt;&gt;"acoes")))*INDEX(Inputs!$K$5:$AJ$190,0,MATCH(S$2,Inputs!$K$4:$AJ$4,0)))+SUMPRODUCT((Inputs!$C$5:$C$190=$B67)*Inputs!$D$5:$D$190*(((Inputs!$G$5:$G$190="moeda")+(Inputs!$G$5:$G$190="acoes"))*Inputs!$B$1+((Inputs!$G$5:$G$190&lt;&gt;"moeda")*(Inputs!$G$5:$G$190&lt;&gt;"acoes")))*INDEX(Inputs!$K$5:$AJ$190,0,MATCH(S$2,Inputs!$K$4:$AJ$4,0)))+SUMPRODUCT((Inputs!$E$5:$E$190=$B67)*Inputs!$F$5:$F$190*(((Inputs!$G$5:$G$190="moeda")+(Inputs!$G$5:$G$190="acoes"))*Inputs!$B$1+((Inputs!$G$5:$G$190&lt;&gt;"moeda")*(Inputs!$G$5:$G$190&lt;&gt;"acoes")))*INDEX(Inputs!$K$5:$AJ$190,0,MATCH(S$2,Inputs!$K$4:$AJ$4,0)))))</f>
        <v>110091</v>
      </c>
      <c r="T67" s="266">
        <f>IF(ISNA(MATCH(T$2,Inputs!$K$4:$AJ$4,0)),NA(),IF(SUMPRODUCT((Inputs!$A$5:$A$190=$B67)*ISNUMBER(INDEX(Inputs!$K$5:$AJ$190,0,MATCH(T$2,Inputs!$K$4:$AJ$4,0))))+SUMPRODUCT((Inputs!$C$5:$C$190=$B67)*ISNUMBER(INDEX(Inputs!$K$5:$AJ$190,0,MATCH(T$2,Inputs!$K$4:$AJ$4,0))))+SUMPRODUCT((Inputs!$E$5:$E$190=$B67)*ISNUMBER(INDEX(Inputs!$K$5:$AJ$190,0,MATCH(T$2,Inputs!$K$4:$AJ$4,0))))=0,NA(),SUMPRODUCT((Inputs!$A$5:$A$190=$B67)*Inputs!$B$5:$B$190*(((Inputs!$G$5:$G$190="moeda")+(Inputs!$G$5:$G$190="acoes"))*Inputs!$B$1+((Inputs!$G$5:$G$190&lt;&gt;"moeda")*(Inputs!$G$5:$G$190&lt;&gt;"acoes")))*INDEX(Inputs!$K$5:$AJ$190,0,MATCH(T$2,Inputs!$K$4:$AJ$4,0)))+SUMPRODUCT((Inputs!$C$5:$C$190=$B67)*Inputs!$D$5:$D$190*(((Inputs!$G$5:$G$190="moeda")+(Inputs!$G$5:$G$190="acoes"))*Inputs!$B$1+((Inputs!$G$5:$G$190&lt;&gt;"moeda")*(Inputs!$G$5:$G$190&lt;&gt;"acoes")))*INDEX(Inputs!$K$5:$AJ$190,0,MATCH(T$2,Inputs!$K$4:$AJ$4,0)))+SUMPRODUCT((Inputs!$E$5:$E$190=$B67)*Inputs!$F$5:$F$190*(((Inputs!$G$5:$G$190="moeda")+(Inputs!$G$5:$G$190="acoes"))*Inputs!$B$1+((Inputs!$G$5:$G$190&lt;&gt;"moeda")*(Inputs!$G$5:$G$190&lt;&gt;"acoes")))*INDEX(Inputs!$K$5:$AJ$190,0,MATCH(T$2,Inputs!$K$4:$AJ$4,0)))))</f>
        <v>108716</v>
      </c>
      <c r="U67" s="266">
        <f>IF(ISNA(MATCH(U$2,Inputs!$K$4:$AJ$4,0)),NA(),IF(SUMPRODUCT((Inputs!$A$5:$A$190=$B67)*ISNUMBER(INDEX(Inputs!$K$5:$AJ$190,0,MATCH(U$2,Inputs!$K$4:$AJ$4,0))))+SUMPRODUCT((Inputs!$C$5:$C$190=$B67)*ISNUMBER(INDEX(Inputs!$K$5:$AJ$190,0,MATCH(U$2,Inputs!$K$4:$AJ$4,0))))+SUMPRODUCT((Inputs!$E$5:$E$190=$B67)*ISNUMBER(INDEX(Inputs!$K$5:$AJ$190,0,MATCH(U$2,Inputs!$K$4:$AJ$4,0))))=0,NA(),SUMPRODUCT((Inputs!$A$5:$A$190=$B67)*Inputs!$B$5:$B$190*(((Inputs!$G$5:$G$190="moeda")+(Inputs!$G$5:$G$190="acoes"))*Inputs!$B$1+((Inputs!$G$5:$G$190&lt;&gt;"moeda")*(Inputs!$G$5:$G$190&lt;&gt;"acoes")))*INDEX(Inputs!$K$5:$AJ$190,0,MATCH(U$2,Inputs!$K$4:$AJ$4,0)))+SUMPRODUCT((Inputs!$C$5:$C$190=$B67)*Inputs!$D$5:$D$190*(((Inputs!$G$5:$G$190="moeda")+(Inputs!$G$5:$G$190="acoes"))*Inputs!$B$1+((Inputs!$G$5:$G$190&lt;&gt;"moeda")*(Inputs!$G$5:$G$190&lt;&gt;"acoes")))*INDEX(Inputs!$K$5:$AJ$190,0,MATCH(U$2,Inputs!$K$4:$AJ$4,0)))+SUMPRODUCT((Inputs!$E$5:$E$190=$B67)*Inputs!$F$5:$F$190*(((Inputs!$G$5:$G$190="moeda")+(Inputs!$G$5:$G$190="acoes"))*Inputs!$B$1+((Inputs!$G$5:$G$190&lt;&gt;"moeda")*(Inputs!$G$5:$G$190&lt;&gt;"acoes")))*INDEX(Inputs!$K$5:$AJ$190,0,MATCH(U$2,Inputs!$K$4:$AJ$4,0)))))</f>
        <v>110182</v>
      </c>
      <c r="V67" s="266">
        <f>IF(ISNA(MATCH(V$2,Inputs!$K$4:$AJ$4,0)),NA(),IF(SUMPRODUCT((Inputs!$A$5:$A$190=$B67)*ISNUMBER(INDEX(Inputs!$K$5:$AJ$190,0,MATCH(V$2,Inputs!$K$4:$AJ$4,0))))+SUMPRODUCT((Inputs!$C$5:$C$190=$B67)*ISNUMBER(INDEX(Inputs!$K$5:$AJ$190,0,MATCH(V$2,Inputs!$K$4:$AJ$4,0))))+SUMPRODUCT((Inputs!$E$5:$E$190=$B67)*ISNUMBER(INDEX(Inputs!$K$5:$AJ$190,0,MATCH(V$2,Inputs!$K$4:$AJ$4,0))))=0,NA(),SUMPRODUCT((Inputs!$A$5:$A$190=$B67)*Inputs!$B$5:$B$190*(((Inputs!$G$5:$G$190="moeda")+(Inputs!$G$5:$G$190="acoes"))*Inputs!$B$1+((Inputs!$G$5:$G$190&lt;&gt;"moeda")*(Inputs!$G$5:$G$190&lt;&gt;"acoes")))*INDEX(Inputs!$K$5:$AJ$190,0,MATCH(V$2,Inputs!$K$4:$AJ$4,0)))+SUMPRODUCT((Inputs!$C$5:$C$190=$B67)*Inputs!$D$5:$D$190*(((Inputs!$G$5:$G$190="moeda")+(Inputs!$G$5:$G$190="acoes"))*Inputs!$B$1+((Inputs!$G$5:$G$190&lt;&gt;"moeda")*(Inputs!$G$5:$G$190&lt;&gt;"acoes")))*INDEX(Inputs!$K$5:$AJ$190,0,MATCH(V$2,Inputs!$K$4:$AJ$4,0)))+SUMPRODUCT((Inputs!$E$5:$E$190=$B67)*Inputs!$F$5:$F$190*(((Inputs!$G$5:$G$190="moeda")+(Inputs!$G$5:$G$190="acoes"))*Inputs!$B$1+((Inputs!$G$5:$G$190&lt;&gt;"moeda")*(Inputs!$G$5:$G$190&lt;&gt;"acoes")))*INDEX(Inputs!$K$5:$AJ$190,0,MATCH(V$2,Inputs!$K$4:$AJ$4,0)))))</f>
        <v>121942</v>
      </c>
      <c r="W67" s="267">
        <f>V67</f>
        <v>121942</v>
      </c>
      <c r="X67" s="266">
        <f>IF(ISNA(MATCH(X$2,Inputs!$K$4:$AJ$4,0)),NA(),IF(SUMPRODUCT((Inputs!$A$5:$A$190=$B67)*ISNUMBER(INDEX(Inputs!$K$5:$AJ$190,0,MATCH(X$2,Inputs!$K$4:$AJ$4,0))))+SUMPRODUCT((Inputs!$C$5:$C$190=$B67)*ISNUMBER(INDEX(Inputs!$K$5:$AJ$190,0,MATCH(X$2,Inputs!$K$4:$AJ$4,0))))+SUMPRODUCT((Inputs!$E$5:$E$190=$B67)*ISNUMBER(INDEX(Inputs!$K$5:$AJ$190,0,MATCH(X$2,Inputs!$K$4:$AJ$4,0))))=0,NA(),SUMPRODUCT((Inputs!$A$5:$A$190=$B67)*Inputs!$B$5:$B$190*(((Inputs!$G$5:$G$190="moeda")+(Inputs!$G$5:$G$190="acoes"))*Inputs!$B$1+((Inputs!$G$5:$G$190&lt;&gt;"moeda")*(Inputs!$G$5:$G$190&lt;&gt;"acoes")))*INDEX(Inputs!$K$5:$AJ$190,0,MATCH(X$2,Inputs!$K$4:$AJ$4,0)))+SUMPRODUCT((Inputs!$C$5:$C$190=$B67)*Inputs!$D$5:$D$190*(((Inputs!$G$5:$G$190="moeda")+(Inputs!$G$5:$G$190="acoes"))*Inputs!$B$1+((Inputs!$G$5:$G$190&lt;&gt;"moeda")*(Inputs!$G$5:$G$190&lt;&gt;"acoes")))*INDEX(Inputs!$K$5:$AJ$190,0,MATCH(X$2,Inputs!$K$4:$AJ$4,0)))+SUMPRODUCT((Inputs!$E$5:$E$190=$B67)*Inputs!$F$5:$F$190*(((Inputs!$G$5:$G$190="moeda")+(Inputs!$G$5:$G$190="acoes"))*Inputs!$B$1+((Inputs!$G$5:$G$190&lt;&gt;"moeda")*(Inputs!$G$5:$G$190&lt;&gt;"acoes")))*INDEX(Inputs!$K$5:$AJ$190,0,MATCH(X$2,Inputs!$K$4:$AJ$4,0)))))</f>
        <v>113257</v>
      </c>
      <c r="Y67" s="266">
        <f>IF(ISNA(MATCH(Y$2,Inputs!$K$4:$AJ$4,0)),NA(),IF(SUMPRODUCT((Inputs!$A$5:$A$190=$B67)*ISNUMBER(INDEX(Inputs!$K$5:$AJ$190,0,MATCH(Y$2,Inputs!$K$4:$AJ$4,0))))+SUMPRODUCT((Inputs!$C$5:$C$190=$B67)*ISNUMBER(INDEX(Inputs!$K$5:$AJ$190,0,MATCH(Y$2,Inputs!$K$4:$AJ$4,0))))+SUMPRODUCT((Inputs!$E$5:$E$190=$B67)*ISNUMBER(INDEX(Inputs!$K$5:$AJ$190,0,MATCH(Y$2,Inputs!$K$4:$AJ$4,0))))=0,NA(),SUMPRODUCT((Inputs!$A$5:$A$190=$B67)*Inputs!$B$5:$B$190*(((Inputs!$G$5:$G$190="moeda")+(Inputs!$G$5:$G$190="acoes"))*Inputs!$B$1+((Inputs!$G$5:$G$190&lt;&gt;"moeda")*(Inputs!$G$5:$G$190&lt;&gt;"acoes")))*INDEX(Inputs!$K$5:$AJ$190,0,MATCH(Y$2,Inputs!$K$4:$AJ$4,0)))+SUMPRODUCT((Inputs!$C$5:$C$190=$B67)*Inputs!$D$5:$D$190*(((Inputs!$G$5:$G$190="moeda")+(Inputs!$G$5:$G$190="acoes"))*Inputs!$B$1+((Inputs!$G$5:$G$190&lt;&gt;"moeda")*(Inputs!$G$5:$G$190&lt;&gt;"acoes")))*INDEX(Inputs!$K$5:$AJ$190,0,MATCH(Y$2,Inputs!$K$4:$AJ$4,0)))+SUMPRODUCT((Inputs!$E$5:$E$190=$B67)*Inputs!$F$5:$F$190*(((Inputs!$G$5:$G$190="moeda")+(Inputs!$G$5:$G$190="acoes"))*Inputs!$B$1+((Inputs!$G$5:$G$190&lt;&gt;"moeda")*(Inputs!$G$5:$G$190&lt;&gt;"acoes")))*INDEX(Inputs!$K$5:$AJ$190,0,MATCH(Y$2,Inputs!$K$4:$AJ$4,0)))))</f>
        <v>120133</v>
      </c>
      <c r="Z67" s="266">
        <f>IF(ISNA(MATCH(Z$2,Inputs!$K$4:$AJ$4,0)),NA(),IF(SUMPRODUCT((Inputs!$A$5:$A$190=$B67)*ISNUMBER(INDEX(Inputs!$K$5:$AJ$190,0,MATCH(Z$2,Inputs!$K$4:$AJ$4,0))))+SUMPRODUCT((Inputs!$C$5:$C$190=$B67)*ISNUMBER(INDEX(Inputs!$K$5:$AJ$190,0,MATCH(Z$2,Inputs!$K$4:$AJ$4,0))))+SUMPRODUCT((Inputs!$E$5:$E$190=$B67)*ISNUMBER(INDEX(Inputs!$K$5:$AJ$190,0,MATCH(Z$2,Inputs!$K$4:$AJ$4,0))))=0,NA(),SUMPRODUCT((Inputs!$A$5:$A$190=$B67)*Inputs!$B$5:$B$190*(((Inputs!$G$5:$G$190="moeda")+(Inputs!$G$5:$G$190="acoes"))*Inputs!$B$1+((Inputs!$G$5:$G$190&lt;&gt;"moeda")*(Inputs!$G$5:$G$190&lt;&gt;"acoes")))*INDEX(Inputs!$K$5:$AJ$190,0,MATCH(Z$2,Inputs!$K$4:$AJ$4,0)))+SUMPRODUCT((Inputs!$C$5:$C$190=$B67)*Inputs!$D$5:$D$190*(((Inputs!$G$5:$G$190="moeda")+(Inputs!$G$5:$G$190="acoes"))*Inputs!$B$1+((Inputs!$G$5:$G$190&lt;&gt;"moeda")*(Inputs!$G$5:$G$190&lt;&gt;"acoes")))*INDEX(Inputs!$K$5:$AJ$190,0,MATCH(Z$2,Inputs!$K$4:$AJ$4,0)))+SUMPRODUCT((Inputs!$E$5:$E$190=$B67)*Inputs!$F$5:$F$190*(((Inputs!$G$5:$G$190="moeda")+(Inputs!$G$5:$G$190="acoes"))*Inputs!$B$1+((Inputs!$G$5:$G$190&lt;&gt;"moeda")*(Inputs!$G$5:$G$190&lt;&gt;"acoes")))*INDEX(Inputs!$K$5:$AJ$190,0,MATCH(Z$2,Inputs!$K$4:$AJ$4,0)))))</f>
        <v>115498</v>
      </c>
      <c r="AA67" s="266">
        <f>IF(ISNA(MATCH(AA$2,Inputs!$K$4:$AJ$4,0)),NA(),IF(SUMPRODUCT((Inputs!$A$5:$A$190=$B67)*ISNUMBER(INDEX(Inputs!$K$5:$AJ$190,0,MATCH(AA$2,Inputs!$K$4:$AJ$4,0))))+SUMPRODUCT((Inputs!$C$5:$C$190=$B67)*ISNUMBER(INDEX(Inputs!$K$5:$AJ$190,0,MATCH(AA$2,Inputs!$K$4:$AJ$4,0))))+SUMPRODUCT((Inputs!$E$5:$E$190=$B67)*ISNUMBER(INDEX(Inputs!$K$5:$AJ$190,0,MATCH(AA$2,Inputs!$K$4:$AJ$4,0))))=0,NA(),SUMPRODUCT((Inputs!$A$5:$A$190=$B67)*Inputs!$B$5:$B$190*(((Inputs!$G$5:$G$190="moeda")+(Inputs!$G$5:$G$190="acoes"))*Inputs!$B$1+((Inputs!$G$5:$G$190&lt;&gt;"moeda")*(Inputs!$G$5:$G$190&lt;&gt;"acoes")))*INDEX(Inputs!$K$5:$AJ$190,0,MATCH(AA$2,Inputs!$K$4:$AJ$4,0)))+SUMPRODUCT((Inputs!$C$5:$C$190=$B67)*Inputs!$D$5:$D$190*(((Inputs!$G$5:$G$190="moeda")+(Inputs!$G$5:$G$190="acoes"))*Inputs!$B$1+((Inputs!$G$5:$G$190&lt;&gt;"moeda")*(Inputs!$G$5:$G$190&lt;&gt;"acoes")))*INDEX(Inputs!$K$5:$AJ$190,0,MATCH(AA$2,Inputs!$K$4:$AJ$4,0)))+SUMPRODUCT((Inputs!$E$5:$E$190=$B67)*Inputs!$F$5:$F$190*(((Inputs!$G$5:$G$190="moeda")+(Inputs!$G$5:$G$190="acoes"))*Inputs!$B$1+((Inputs!$G$5:$G$190&lt;&gt;"moeda")*(Inputs!$G$5:$G$190&lt;&gt;"acoes")))*INDEX(Inputs!$K$5:$AJ$190,0,MATCH(AA$2,Inputs!$K$4:$AJ$4,0)))))</f>
        <v>130634</v>
      </c>
      <c r="AB67" s="267">
        <f>AA67</f>
        <v>130634</v>
      </c>
      <c r="AC67" s="266">
        <f>IF(ISNA(MATCH(AC$2,Inputs!$K$4:$AJ$4,0)),NA(),IF(SUMPRODUCT((Inputs!$A$5:$A$190=$B67)*ISNUMBER(INDEX(Inputs!$K$5:$AJ$190,0,MATCH(AC$2,Inputs!$K$4:$AJ$4,0))))+SUMPRODUCT((Inputs!$C$5:$C$190=$B67)*ISNUMBER(INDEX(Inputs!$K$5:$AJ$190,0,MATCH(AC$2,Inputs!$K$4:$AJ$4,0))))+SUMPRODUCT((Inputs!$E$5:$E$190=$B67)*ISNUMBER(INDEX(Inputs!$K$5:$AJ$190,0,MATCH(AC$2,Inputs!$K$4:$AJ$4,0))))=0,NA(),SUMPRODUCT((Inputs!$A$5:$A$190=$B67)*Inputs!$B$5:$B$190*(((Inputs!$G$5:$G$190="moeda")+(Inputs!$G$5:$G$190="acoes"))*Inputs!$B$1+((Inputs!$G$5:$G$190&lt;&gt;"moeda")*(Inputs!$G$5:$G$190&lt;&gt;"acoes")))*INDEX(Inputs!$K$5:$AJ$190,0,MATCH(AC$2,Inputs!$K$4:$AJ$4,0)))+SUMPRODUCT((Inputs!$C$5:$C$190=$B67)*Inputs!$D$5:$D$190*(((Inputs!$G$5:$G$190="moeda")+(Inputs!$G$5:$G$190="acoes"))*Inputs!$B$1+((Inputs!$G$5:$G$190&lt;&gt;"moeda")*(Inputs!$G$5:$G$190&lt;&gt;"acoes")))*INDEX(Inputs!$K$5:$AJ$190,0,MATCH(AC$2,Inputs!$K$4:$AJ$4,0)))+SUMPRODUCT((Inputs!$E$5:$E$190=$B67)*Inputs!$F$5:$F$190*(((Inputs!$G$5:$G$190="moeda")+(Inputs!$G$5:$G$190="acoes"))*Inputs!$B$1+((Inputs!$G$5:$G$190&lt;&gt;"moeda")*(Inputs!$G$5:$G$190&lt;&gt;"acoes")))*INDEX(Inputs!$K$5:$AJ$190,0,MATCH(AC$2,Inputs!$K$4:$AJ$4,0)))))</f>
        <v>125307</v>
      </c>
      <c r="AD67" s="266">
        <f>IF(ISNA(MATCH(AD$2,Inputs!$K$4:$AJ$4,0)),NA(),IF(SUMPRODUCT((Inputs!$A$5:$A$190=$B67)*ISNUMBER(INDEX(Inputs!$K$5:$AJ$190,0,MATCH(AD$2,Inputs!$K$4:$AJ$4,0))))+SUMPRODUCT((Inputs!$C$5:$C$190=$B67)*ISNUMBER(INDEX(Inputs!$K$5:$AJ$190,0,MATCH(AD$2,Inputs!$K$4:$AJ$4,0))))+SUMPRODUCT((Inputs!$E$5:$E$190=$B67)*ISNUMBER(INDEX(Inputs!$K$5:$AJ$190,0,MATCH(AD$2,Inputs!$K$4:$AJ$4,0))))=0,NA(),SUMPRODUCT((Inputs!$A$5:$A$190=$B67)*Inputs!$B$5:$B$190*(((Inputs!$G$5:$G$190="moeda")+(Inputs!$G$5:$G$190="acoes"))*Inputs!$B$1+((Inputs!$G$5:$G$190&lt;&gt;"moeda")*(Inputs!$G$5:$G$190&lt;&gt;"acoes")))*INDEX(Inputs!$K$5:$AJ$190,0,MATCH(AD$2,Inputs!$K$4:$AJ$4,0)))+SUMPRODUCT((Inputs!$C$5:$C$190=$B67)*Inputs!$D$5:$D$190*(((Inputs!$G$5:$G$190="moeda")+(Inputs!$G$5:$G$190="acoes"))*Inputs!$B$1+((Inputs!$G$5:$G$190&lt;&gt;"moeda")*(Inputs!$G$5:$G$190&lt;&gt;"acoes")))*INDEX(Inputs!$K$5:$AJ$190,0,MATCH(AD$2,Inputs!$K$4:$AJ$4,0)))+SUMPRODUCT((Inputs!$E$5:$E$190=$B67)*Inputs!$F$5:$F$190*(((Inputs!$G$5:$G$190="moeda")+(Inputs!$G$5:$G$190="acoes"))*Inputs!$B$1+((Inputs!$G$5:$G$190&lt;&gt;"moeda")*(Inputs!$G$5:$G$190&lt;&gt;"acoes")))*INDEX(Inputs!$K$5:$AJ$190,0,MATCH(AD$2,Inputs!$K$4:$AJ$4,0)))))</f>
        <v>139785</v>
      </c>
      <c r="AE67" s="266" t="e">
        <f>IF(ISNA(MATCH(AE$2,Inputs!$K$4:$AJ$4,0)),NA(),IF(SUMPRODUCT((Inputs!$A$5:$A$190=$B67)*ISNUMBER(INDEX(Inputs!$K$5:$AJ$190,0,MATCH(AE$2,Inputs!$K$4:$AJ$4,0))))+SUMPRODUCT((Inputs!$C$5:$C$190=$B67)*ISNUMBER(INDEX(Inputs!$K$5:$AJ$190,0,MATCH(AE$2,Inputs!$K$4:$AJ$4,0))))+SUMPRODUCT((Inputs!$E$5:$E$190=$B67)*ISNUMBER(INDEX(Inputs!$K$5:$AJ$190,0,MATCH(AE$2,Inputs!$K$4:$AJ$4,0))))=0,NA(),SUMPRODUCT((Inputs!$A$5:$A$190=$B67)*Inputs!$B$5:$B$190*(((Inputs!$G$5:$G$190="moeda")+(Inputs!$G$5:$G$190="acoes"))*Inputs!$B$1+((Inputs!$G$5:$G$190&lt;&gt;"moeda")*(Inputs!$G$5:$G$190&lt;&gt;"acoes")))*INDEX(Inputs!$K$5:$AJ$190,0,MATCH(AE$2,Inputs!$K$4:$AJ$4,0)))+SUMPRODUCT((Inputs!$C$5:$C$190=$B67)*Inputs!$D$5:$D$190*(((Inputs!$G$5:$G$190="moeda")+(Inputs!$G$5:$G$190="acoes"))*Inputs!$B$1+((Inputs!$G$5:$G$190&lt;&gt;"moeda")*(Inputs!$G$5:$G$190&lt;&gt;"acoes")))*INDEX(Inputs!$K$5:$AJ$190,0,MATCH(AE$2,Inputs!$K$4:$AJ$4,0)))+SUMPRODUCT((Inputs!$E$5:$E$190=$B67)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67" s="266" t="e">
        <f>IF(ISNA(MATCH(AF$2,Inputs!$K$4:$AJ$4,0)),NA(),IF(SUMPRODUCT((Inputs!$A$5:$A$190=$B67)*ISNUMBER(INDEX(Inputs!$K$5:$AJ$190,0,MATCH(AF$2,Inputs!$K$4:$AJ$4,0))))+SUMPRODUCT((Inputs!$C$5:$C$190=$B67)*ISNUMBER(INDEX(Inputs!$K$5:$AJ$190,0,MATCH(AF$2,Inputs!$K$4:$AJ$4,0))))+SUMPRODUCT((Inputs!$E$5:$E$190=$B67)*ISNUMBER(INDEX(Inputs!$K$5:$AJ$190,0,MATCH(AF$2,Inputs!$K$4:$AJ$4,0))))=0,NA(),SUMPRODUCT((Inputs!$A$5:$A$190=$B67)*Inputs!$B$5:$B$190*(((Inputs!$G$5:$G$190="moeda")+(Inputs!$G$5:$G$190="acoes"))*Inputs!$B$1+((Inputs!$G$5:$G$190&lt;&gt;"moeda")*(Inputs!$G$5:$G$190&lt;&gt;"acoes")))*INDEX(Inputs!$K$5:$AJ$190,0,MATCH(AF$2,Inputs!$K$4:$AJ$4,0)))+SUMPRODUCT((Inputs!$C$5:$C$190=$B67)*Inputs!$D$5:$D$190*(((Inputs!$G$5:$G$190="moeda")+(Inputs!$G$5:$G$190="acoes"))*Inputs!$B$1+((Inputs!$G$5:$G$190&lt;&gt;"moeda")*(Inputs!$G$5:$G$190&lt;&gt;"acoes")))*INDEX(Inputs!$K$5:$AJ$190,0,MATCH(AF$2,Inputs!$K$4:$AJ$4,0)))+SUMPRODUCT((Inputs!$E$5:$E$190=$B67)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67" s="267" t="e">
        <f>AF67</f>
        <v>#N/A</v>
      </c>
      <c r="AH67" s="266">
        <f>IF(ISNA(MATCH(AH$2,Inputs!$K$4:$AJ$4,0)),NA(),IF(SUMPRODUCT((Inputs!$A$5:$A$190=$B67)*ISNUMBER(INDEX(Inputs!$K$5:$AJ$190,0,MATCH(AH$2,Inputs!$K$4:$AJ$4,0))))+SUMPRODUCT((Inputs!$C$5:$C$190=$B67)*ISNUMBER(INDEX(Inputs!$K$5:$AJ$190,0,MATCH(AH$2,Inputs!$K$4:$AJ$4,0))))+SUMPRODUCT((Inputs!$E$5:$E$190=$B67)*ISNUMBER(INDEX(Inputs!$K$5:$AJ$190,0,MATCH(AH$2,Inputs!$K$4:$AJ$4,0))))=0,NA(),SUMPRODUCT((Inputs!$A$5:$A$190=$B67)*Inputs!$B$5:$B$190*(((Inputs!$G$5:$G$190="moeda")+(Inputs!$G$5:$G$190="acoes"))*Inputs!$B$1+((Inputs!$G$5:$G$190&lt;&gt;"moeda")*(Inputs!$G$5:$G$190&lt;&gt;"acoes")))*INDEX(Inputs!$K$5:$AJ$190,0,MATCH(AH$2,Inputs!$K$4:$AJ$4,0)))+SUMPRODUCT((Inputs!$C$5:$C$190=$B67)*Inputs!$D$5:$D$190*(((Inputs!$G$5:$G$190="moeda")+(Inputs!$G$5:$G$190="acoes"))*Inputs!$B$1+((Inputs!$G$5:$G$190&lt;&gt;"moeda")*(Inputs!$G$5:$G$190&lt;&gt;"acoes")))*INDEX(Inputs!$K$5:$AJ$190,0,MATCH(AH$2,Inputs!$K$4:$AJ$4,0)))+SUMPRODUCT((Inputs!$E$5:$E$190=$B67)*Inputs!$F$5:$F$190*(((Inputs!$G$5:$G$190="moeda")+(Inputs!$G$5:$G$190="acoes"))*Inputs!$B$1+((Inputs!$G$5:$G$190&lt;&gt;"moeda")*(Inputs!$G$5:$G$190&lt;&gt;"acoes")))*INDEX(Inputs!$K$5:$AJ$190,0,MATCH(AH$2,Inputs!$K$4:$AJ$4,0)))))</f>
        <v>78220</v>
      </c>
      <c r="AI67" s="266">
        <f>IF(ISNA(MATCH(AI$2,Inputs!$K$4:$AJ$4,0)),NA(),IF(SUMPRODUCT((Inputs!$A$5:$A$190=$B67)*ISNUMBER(INDEX(Inputs!$K$5:$AJ$190,0,MATCH(AI$2,Inputs!$K$4:$AJ$4,0))))+SUMPRODUCT((Inputs!$C$5:$C$190=$B67)*ISNUMBER(INDEX(Inputs!$K$5:$AJ$190,0,MATCH(AI$2,Inputs!$K$4:$AJ$4,0))))+SUMPRODUCT((Inputs!$E$5:$E$190=$B67)*ISNUMBER(INDEX(Inputs!$K$5:$AJ$190,0,MATCH(AI$2,Inputs!$K$4:$AJ$4,0))))=0,NA(),SUMPRODUCT((Inputs!$A$5:$A$190=$B67)*Inputs!$B$5:$B$190*(((Inputs!$G$5:$G$190="moeda")+(Inputs!$G$5:$G$190="acoes"))*Inputs!$B$1+((Inputs!$G$5:$G$190&lt;&gt;"moeda")*(Inputs!$G$5:$G$190&lt;&gt;"acoes")))*INDEX(Inputs!$K$5:$AJ$190,0,MATCH(AI$2,Inputs!$K$4:$AJ$4,0)))+SUMPRODUCT((Inputs!$C$5:$C$190=$B67)*Inputs!$D$5:$D$190*(((Inputs!$G$5:$G$190="moeda")+(Inputs!$G$5:$G$190="acoes"))*Inputs!$B$1+((Inputs!$G$5:$G$190&lt;&gt;"moeda")*(Inputs!$G$5:$G$190&lt;&gt;"acoes")))*INDEX(Inputs!$K$5:$AJ$190,0,MATCH(AI$2,Inputs!$K$4:$AJ$4,0)))+SUMPRODUCT((Inputs!$E$5:$E$190=$B67)*Inputs!$F$5:$F$190*(((Inputs!$G$5:$G$190="moeda")+(Inputs!$G$5:$G$190="acoes"))*Inputs!$B$1+((Inputs!$G$5:$G$190&lt;&gt;"moeda")*(Inputs!$G$5:$G$190&lt;&gt;"acoes")))*INDEX(Inputs!$K$5:$AJ$190,0,MATCH(AI$2,Inputs!$K$4:$AJ$4,0)))))</f>
        <v>66025</v>
      </c>
      <c r="AJ67" s="266">
        <f>IF(ISNA(MATCH(AJ$2,Inputs!$K$4:$AJ$4,0)),NA(),IF(SUMPRODUCT((Inputs!$A$5:$A$190=$B67)*ISNUMBER(INDEX(Inputs!$K$5:$AJ$190,0,MATCH(AJ$2,Inputs!$K$4:$AJ$4,0))))+SUMPRODUCT((Inputs!$C$5:$C$190=$B67)*ISNUMBER(INDEX(Inputs!$K$5:$AJ$190,0,MATCH(AJ$2,Inputs!$K$4:$AJ$4,0))))+SUMPRODUCT((Inputs!$E$5:$E$190=$B67)*ISNUMBER(INDEX(Inputs!$K$5:$AJ$190,0,MATCH(AJ$2,Inputs!$K$4:$AJ$4,0))))=0,NA(),SUMPRODUCT((Inputs!$A$5:$A$190=$B67)*Inputs!$B$5:$B$190*(((Inputs!$G$5:$G$190="moeda")+(Inputs!$G$5:$G$190="acoes"))*Inputs!$B$1+((Inputs!$G$5:$G$190&lt;&gt;"moeda")*(Inputs!$G$5:$G$190&lt;&gt;"acoes")))*INDEX(Inputs!$K$5:$AJ$190,0,MATCH(AJ$2,Inputs!$K$4:$AJ$4,0)))+SUMPRODUCT((Inputs!$C$5:$C$190=$B67)*Inputs!$D$5:$D$190*(((Inputs!$G$5:$G$190="moeda")+(Inputs!$G$5:$G$190="acoes"))*Inputs!$B$1+((Inputs!$G$5:$G$190&lt;&gt;"moeda")*(Inputs!$G$5:$G$190&lt;&gt;"acoes")))*INDEX(Inputs!$K$5:$AJ$190,0,MATCH(AJ$2,Inputs!$K$4:$AJ$4,0)))+SUMPRODUCT((Inputs!$E$5:$E$190=$B67)*Inputs!$F$5:$F$190*(((Inputs!$G$5:$G$190="moeda")+(Inputs!$G$5:$G$190="acoes"))*Inputs!$B$1+((Inputs!$G$5:$G$190&lt;&gt;"moeda")*(Inputs!$G$5:$G$190&lt;&gt;"acoes")))*INDEX(Inputs!$K$5:$AJ$190,0,MATCH(AJ$2,Inputs!$K$4:$AJ$4,0)))))</f>
        <v>67978</v>
      </c>
      <c r="AK67" s="266">
        <f>IF(ISNA(MATCH(AK$2,Inputs!$K$4:$AJ$4,0)),NA(),IF(SUMPRODUCT((Inputs!$A$5:$A$190=$B67)*ISNUMBER(INDEX(Inputs!$K$5:$AJ$190,0,MATCH(AK$2,Inputs!$K$4:$AJ$4,0))))+SUMPRODUCT((Inputs!$C$5:$C$190=$B67)*ISNUMBER(INDEX(Inputs!$K$5:$AJ$190,0,MATCH(AK$2,Inputs!$K$4:$AJ$4,0))))+SUMPRODUCT((Inputs!$E$5:$E$190=$B67)*ISNUMBER(INDEX(Inputs!$K$5:$AJ$190,0,MATCH(AK$2,Inputs!$K$4:$AJ$4,0))))=0,NA(),SUMPRODUCT((Inputs!$A$5:$A$190=$B67)*Inputs!$B$5:$B$190*(((Inputs!$G$5:$G$190="moeda")+(Inputs!$G$5:$G$190="acoes"))*Inputs!$B$1+((Inputs!$G$5:$G$190&lt;&gt;"moeda")*(Inputs!$G$5:$G$190&lt;&gt;"acoes")))*INDEX(Inputs!$K$5:$AJ$190,0,MATCH(AK$2,Inputs!$K$4:$AJ$4,0)))+SUMPRODUCT((Inputs!$C$5:$C$190=$B67)*Inputs!$D$5:$D$190*(((Inputs!$G$5:$G$190="moeda")+(Inputs!$G$5:$G$190="acoes"))*Inputs!$B$1+((Inputs!$G$5:$G$190&lt;&gt;"moeda")*(Inputs!$G$5:$G$190&lt;&gt;"acoes")))*INDEX(Inputs!$K$5:$AJ$190,0,MATCH(AK$2,Inputs!$K$4:$AJ$4,0)))+SUMPRODUCT((Inputs!$E$5:$E$190=$B67)*Inputs!$F$5:$F$190*(((Inputs!$G$5:$G$190="moeda")+(Inputs!$G$5:$G$190="acoes"))*Inputs!$B$1+((Inputs!$G$5:$G$190&lt;&gt;"moeda")*(Inputs!$G$5:$G$190&lt;&gt;"acoes")))*INDEX(Inputs!$K$5:$AJ$190,0,MATCH(AK$2,Inputs!$K$4:$AJ$4,0)))))</f>
        <v>71219</v>
      </c>
      <c r="AL67" s="267">
        <f>AK67</f>
        <v>71219</v>
      </c>
    </row>
    <row r="68">
      <c r="B68" s="46" t="n">
        <v>60</v>
      </c>
      <c r="C68" s="29" t="inlineStr">
        <is>
          <t>Movida RAC - numero de diarias (mil; l.16)</t>
        </is>
      </c>
      <c r="D68" s="266">
        <f>IF(ISNA(MATCH(D$2,Inputs!$K$4:$AJ$4,0)),NA(),IF(SUMPRODUCT((Inputs!$A$5:$A$190=$B68)*ISNUMBER(INDEX(Inputs!$K$5:$AJ$190,0,MATCH(D$2,Inputs!$K$4:$AJ$4,0))))+SUMPRODUCT((Inputs!$C$5:$C$190=$B68)*ISNUMBER(INDEX(Inputs!$K$5:$AJ$190,0,MATCH(D$2,Inputs!$K$4:$AJ$4,0))))+SUMPRODUCT((Inputs!$E$5:$E$190=$B68)*ISNUMBER(INDEX(Inputs!$K$5:$AJ$190,0,MATCH(D$2,Inputs!$K$4:$AJ$4,0))))=0,NA(),SUMPRODUCT((Inputs!$A$5:$A$190=$B68)*Inputs!$B$5:$B$190*(((Inputs!$G$5:$G$190="moeda")+(Inputs!$G$5:$G$190="acoes"))*Inputs!$B$1+((Inputs!$G$5:$G$190&lt;&gt;"moeda")*(Inputs!$G$5:$G$190&lt;&gt;"acoes")))*INDEX(Inputs!$K$5:$AJ$190,0,MATCH(D$2,Inputs!$K$4:$AJ$4,0)))+SUMPRODUCT((Inputs!$C$5:$C$190=$B68)*Inputs!$D$5:$D$190*(((Inputs!$G$5:$G$190="moeda")+(Inputs!$G$5:$G$190="acoes"))*Inputs!$B$1+((Inputs!$G$5:$G$190&lt;&gt;"moeda")*(Inputs!$G$5:$G$190&lt;&gt;"acoes")))*INDEX(Inputs!$K$5:$AJ$190,0,MATCH(D$2,Inputs!$K$4:$AJ$4,0)))+SUMPRODUCT((Inputs!$E$5:$E$190=$B68)*Inputs!$F$5:$F$190*(((Inputs!$G$5:$G$190="moeda")+(Inputs!$G$5:$G$190="acoes"))*Inputs!$B$1+((Inputs!$G$5:$G$190&lt;&gt;"moeda")*(Inputs!$G$5:$G$190&lt;&gt;"acoes")))*INDEX(Inputs!$K$5:$AJ$190,0,MATCH(D$2,Inputs!$K$4:$AJ$4,0)))))</f>
        <v>5067.042</v>
      </c>
      <c r="E68" s="266">
        <f>IF(ISNA(MATCH(E$2,Inputs!$K$4:$AJ$4,0)),NA(),IF(SUMPRODUCT((Inputs!$A$5:$A$190=$B68)*ISNUMBER(INDEX(Inputs!$K$5:$AJ$190,0,MATCH(E$2,Inputs!$K$4:$AJ$4,0))))+SUMPRODUCT((Inputs!$C$5:$C$190=$B68)*ISNUMBER(INDEX(Inputs!$K$5:$AJ$190,0,MATCH(E$2,Inputs!$K$4:$AJ$4,0))))+SUMPRODUCT((Inputs!$E$5:$E$190=$B68)*ISNUMBER(INDEX(Inputs!$K$5:$AJ$190,0,MATCH(E$2,Inputs!$K$4:$AJ$4,0))))=0,NA(),SUMPRODUCT((Inputs!$A$5:$A$190=$B68)*Inputs!$B$5:$B$190*(((Inputs!$G$5:$G$190="moeda")+(Inputs!$G$5:$G$190="acoes"))*Inputs!$B$1+((Inputs!$G$5:$G$190&lt;&gt;"moeda")*(Inputs!$G$5:$G$190&lt;&gt;"acoes")))*INDEX(Inputs!$K$5:$AJ$190,0,MATCH(E$2,Inputs!$K$4:$AJ$4,0)))+SUMPRODUCT((Inputs!$C$5:$C$190=$B68)*Inputs!$D$5:$D$190*(((Inputs!$G$5:$G$190="moeda")+(Inputs!$G$5:$G$190="acoes"))*Inputs!$B$1+((Inputs!$G$5:$G$190&lt;&gt;"moeda")*(Inputs!$G$5:$G$190&lt;&gt;"acoes")))*INDEX(Inputs!$K$5:$AJ$190,0,MATCH(E$2,Inputs!$K$4:$AJ$4,0)))+SUMPRODUCT((Inputs!$E$5:$E$190=$B68)*Inputs!$F$5:$F$190*(((Inputs!$G$5:$G$190="moeda")+(Inputs!$G$5:$G$190="acoes"))*Inputs!$B$1+((Inputs!$G$5:$G$190&lt;&gt;"moeda")*(Inputs!$G$5:$G$190&lt;&gt;"acoes")))*INDEX(Inputs!$K$5:$AJ$190,0,MATCH(E$2,Inputs!$K$4:$AJ$4,0)))))</f>
        <v>4618.39</v>
      </c>
      <c r="F68" s="266">
        <f>IF(ISNA(MATCH(F$2,Inputs!$K$4:$AJ$4,0)),NA(),IF(SUMPRODUCT((Inputs!$A$5:$A$190=$B68)*ISNUMBER(INDEX(Inputs!$K$5:$AJ$190,0,MATCH(F$2,Inputs!$K$4:$AJ$4,0))))+SUMPRODUCT((Inputs!$C$5:$C$190=$B68)*ISNUMBER(INDEX(Inputs!$K$5:$AJ$190,0,MATCH(F$2,Inputs!$K$4:$AJ$4,0))))+SUMPRODUCT((Inputs!$E$5:$E$190=$B68)*ISNUMBER(INDEX(Inputs!$K$5:$AJ$190,0,MATCH(F$2,Inputs!$K$4:$AJ$4,0))))=0,NA(),SUMPRODUCT((Inputs!$A$5:$A$190=$B68)*Inputs!$B$5:$B$190*(((Inputs!$G$5:$G$190="moeda")+(Inputs!$G$5:$G$190="acoes"))*Inputs!$B$1+((Inputs!$G$5:$G$190&lt;&gt;"moeda")*(Inputs!$G$5:$G$190&lt;&gt;"acoes")))*INDEX(Inputs!$K$5:$AJ$190,0,MATCH(F$2,Inputs!$K$4:$AJ$4,0)))+SUMPRODUCT((Inputs!$C$5:$C$190=$B68)*Inputs!$D$5:$D$190*(((Inputs!$G$5:$G$190="moeda")+(Inputs!$G$5:$G$190="acoes"))*Inputs!$B$1+((Inputs!$G$5:$G$190&lt;&gt;"moeda")*(Inputs!$G$5:$G$190&lt;&gt;"acoes")))*INDEX(Inputs!$K$5:$AJ$190,0,MATCH(F$2,Inputs!$K$4:$AJ$4,0)))+SUMPRODUCT((Inputs!$E$5:$E$190=$B68)*Inputs!$F$5:$F$190*(((Inputs!$G$5:$G$190="moeda")+(Inputs!$G$5:$G$190="acoes"))*Inputs!$B$1+((Inputs!$G$5:$G$190&lt;&gt;"moeda")*(Inputs!$G$5:$G$190&lt;&gt;"acoes")))*INDEX(Inputs!$K$5:$AJ$190,0,MATCH(F$2,Inputs!$K$4:$AJ$4,0)))))</f>
        <v>5143.355</v>
      </c>
      <c r="G68" s="266">
        <f>IF(ISNA(MATCH(G$2,Inputs!$K$4:$AJ$4,0)),NA(),IF(SUMPRODUCT((Inputs!$A$5:$A$190=$B68)*ISNUMBER(INDEX(Inputs!$K$5:$AJ$190,0,MATCH(G$2,Inputs!$K$4:$AJ$4,0))))+SUMPRODUCT((Inputs!$C$5:$C$190=$B68)*ISNUMBER(INDEX(Inputs!$K$5:$AJ$190,0,MATCH(G$2,Inputs!$K$4:$AJ$4,0))))+SUMPRODUCT((Inputs!$E$5:$E$190=$B68)*ISNUMBER(INDEX(Inputs!$K$5:$AJ$190,0,MATCH(G$2,Inputs!$K$4:$AJ$4,0))))=0,NA(),SUMPRODUCT((Inputs!$A$5:$A$190=$B68)*Inputs!$B$5:$B$190*(((Inputs!$G$5:$G$190="moeda")+(Inputs!$G$5:$G$190="acoes"))*Inputs!$B$1+((Inputs!$G$5:$G$190&lt;&gt;"moeda")*(Inputs!$G$5:$G$190&lt;&gt;"acoes")))*INDEX(Inputs!$K$5:$AJ$190,0,MATCH(G$2,Inputs!$K$4:$AJ$4,0)))+SUMPRODUCT((Inputs!$C$5:$C$190=$B68)*Inputs!$D$5:$D$190*(((Inputs!$G$5:$G$190="moeda")+(Inputs!$G$5:$G$190="acoes"))*Inputs!$B$1+((Inputs!$G$5:$G$190&lt;&gt;"moeda")*(Inputs!$G$5:$G$190&lt;&gt;"acoes")))*INDEX(Inputs!$K$5:$AJ$190,0,MATCH(G$2,Inputs!$K$4:$AJ$4,0)))+SUMPRODUCT((Inputs!$E$5:$E$190=$B68)*Inputs!$F$5:$F$190*(((Inputs!$G$5:$G$190="moeda")+(Inputs!$G$5:$G$190="acoes"))*Inputs!$B$1+((Inputs!$G$5:$G$190&lt;&gt;"moeda")*(Inputs!$G$5:$G$190&lt;&gt;"acoes")))*INDEX(Inputs!$K$5:$AJ$190,0,MATCH(G$2,Inputs!$K$4:$AJ$4,0)))))</f>
        <v>5281.203</v>
      </c>
      <c r="H68" s="267">
        <f>SUM(D68:G68)</f>
        <v>20109.99</v>
      </c>
      <c r="I68" s="266">
        <f>IF(ISNA(MATCH(I$2,Inputs!$K$4:$AJ$4,0)),NA(),IF(SUMPRODUCT((Inputs!$A$5:$A$190=$B68)*ISNUMBER(INDEX(Inputs!$K$5:$AJ$190,0,MATCH(I$2,Inputs!$K$4:$AJ$4,0))))+SUMPRODUCT((Inputs!$C$5:$C$190=$B68)*ISNUMBER(INDEX(Inputs!$K$5:$AJ$190,0,MATCH(I$2,Inputs!$K$4:$AJ$4,0))))+SUMPRODUCT((Inputs!$E$5:$E$190=$B68)*ISNUMBER(INDEX(Inputs!$K$5:$AJ$190,0,MATCH(I$2,Inputs!$K$4:$AJ$4,0))))=0,NA(),SUMPRODUCT((Inputs!$A$5:$A$190=$B68)*Inputs!$B$5:$B$190*(((Inputs!$G$5:$G$190="moeda")+(Inputs!$G$5:$G$190="acoes"))*Inputs!$B$1+((Inputs!$G$5:$G$190&lt;&gt;"moeda")*(Inputs!$G$5:$G$190&lt;&gt;"acoes")))*INDEX(Inputs!$K$5:$AJ$190,0,MATCH(I$2,Inputs!$K$4:$AJ$4,0)))+SUMPRODUCT((Inputs!$C$5:$C$190=$B68)*Inputs!$D$5:$D$190*(((Inputs!$G$5:$G$190="moeda")+(Inputs!$G$5:$G$190="acoes"))*Inputs!$B$1+((Inputs!$G$5:$G$190&lt;&gt;"moeda")*(Inputs!$G$5:$G$190&lt;&gt;"acoes")))*INDEX(Inputs!$K$5:$AJ$190,0,MATCH(I$2,Inputs!$K$4:$AJ$4,0)))+SUMPRODUCT((Inputs!$E$5:$E$190=$B68)*Inputs!$F$5:$F$190*(((Inputs!$G$5:$G$190="moeda")+(Inputs!$G$5:$G$190="acoes"))*Inputs!$B$1+((Inputs!$G$5:$G$190&lt;&gt;"moeda")*(Inputs!$G$5:$G$190&lt;&gt;"acoes")))*INDEX(Inputs!$K$5:$AJ$190,0,MATCH(I$2,Inputs!$K$4:$AJ$4,0)))))</f>
        <v>5224.573</v>
      </c>
      <c r="J68" s="266">
        <f>IF(ISNA(MATCH(J$2,Inputs!$K$4:$AJ$4,0)),NA(),IF(SUMPRODUCT((Inputs!$A$5:$A$190=$B68)*ISNUMBER(INDEX(Inputs!$K$5:$AJ$190,0,MATCH(J$2,Inputs!$K$4:$AJ$4,0))))+SUMPRODUCT((Inputs!$C$5:$C$190=$B68)*ISNUMBER(INDEX(Inputs!$K$5:$AJ$190,0,MATCH(J$2,Inputs!$K$4:$AJ$4,0))))+SUMPRODUCT((Inputs!$E$5:$E$190=$B68)*ISNUMBER(INDEX(Inputs!$K$5:$AJ$190,0,MATCH(J$2,Inputs!$K$4:$AJ$4,0))))=0,NA(),SUMPRODUCT((Inputs!$A$5:$A$190=$B68)*Inputs!$B$5:$B$190*(((Inputs!$G$5:$G$190="moeda")+(Inputs!$G$5:$G$190="acoes"))*Inputs!$B$1+((Inputs!$G$5:$G$190&lt;&gt;"moeda")*(Inputs!$G$5:$G$190&lt;&gt;"acoes")))*INDEX(Inputs!$K$5:$AJ$190,0,MATCH(J$2,Inputs!$K$4:$AJ$4,0)))+SUMPRODUCT((Inputs!$C$5:$C$190=$B68)*Inputs!$D$5:$D$190*(((Inputs!$G$5:$G$190="moeda")+(Inputs!$G$5:$G$190="acoes"))*Inputs!$B$1+((Inputs!$G$5:$G$190&lt;&gt;"moeda")*(Inputs!$G$5:$G$190&lt;&gt;"acoes")))*INDEX(Inputs!$K$5:$AJ$190,0,MATCH(J$2,Inputs!$K$4:$AJ$4,0)))+SUMPRODUCT((Inputs!$E$5:$E$190=$B68)*Inputs!$F$5:$F$190*(((Inputs!$G$5:$G$190="moeda")+(Inputs!$G$5:$G$190="acoes"))*Inputs!$B$1+((Inputs!$G$5:$G$190&lt;&gt;"moeda")*(Inputs!$G$5:$G$190&lt;&gt;"acoes")))*INDEX(Inputs!$K$5:$AJ$190,0,MATCH(J$2,Inputs!$K$4:$AJ$4,0)))))</f>
        <v>5677.49</v>
      </c>
      <c r="K68" s="266">
        <f>IF(ISNA(MATCH(K$2,Inputs!$K$4:$AJ$4,0)),NA(),IF(SUMPRODUCT((Inputs!$A$5:$A$190=$B68)*ISNUMBER(INDEX(Inputs!$K$5:$AJ$190,0,MATCH(K$2,Inputs!$K$4:$AJ$4,0))))+SUMPRODUCT((Inputs!$C$5:$C$190=$B68)*ISNUMBER(INDEX(Inputs!$K$5:$AJ$190,0,MATCH(K$2,Inputs!$K$4:$AJ$4,0))))+SUMPRODUCT((Inputs!$E$5:$E$190=$B68)*ISNUMBER(INDEX(Inputs!$K$5:$AJ$190,0,MATCH(K$2,Inputs!$K$4:$AJ$4,0))))=0,NA(),SUMPRODUCT((Inputs!$A$5:$A$190=$B68)*Inputs!$B$5:$B$190*(((Inputs!$G$5:$G$190="moeda")+(Inputs!$G$5:$G$190="acoes"))*Inputs!$B$1+((Inputs!$G$5:$G$190&lt;&gt;"moeda")*(Inputs!$G$5:$G$190&lt;&gt;"acoes")))*INDEX(Inputs!$K$5:$AJ$190,0,MATCH(K$2,Inputs!$K$4:$AJ$4,0)))+SUMPRODUCT((Inputs!$C$5:$C$190=$B68)*Inputs!$D$5:$D$190*(((Inputs!$G$5:$G$190="moeda")+(Inputs!$G$5:$G$190="acoes"))*Inputs!$B$1+((Inputs!$G$5:$G$190&lt;&gt;"moeda")*(Inputs!$G$5:$G$190&lt;&gt;"acoes")))*INDEX(Inputs!$K$5:$AJ$190,0,MATCH(K$2,Inputs!$K$4:$AJ$4,0)))+SUMPRODUCT((Inputs!$E$5:$E$190=$B68)*Inputs!$F$5:$F$190*(((Inputs!$G$5:$G$190="moeda")+(Inputs!$G$5:$G$190="acoes"))*Inputs!$B$1+((Inputs!$G$5:$G$190&lt;&gt;"moeda")*(Inputs!$G$5:$G$190&lt;&gt;"acoes")))*INDEX(Inputs!$K$5:$AJ$190,0,MATCH(K$2,Inputs!$K$4:$AJ$4,0)))))</f>
        <v>5888.846</v>
      </c>
      <c r="L68" s="266">
        <f>IF(ISNA(MATCH(L$2,Inputs!$K$4:$AJ$4,0)),NA(),IF(SUMPRODUCT((Inputs!$A$5:$A$190=$B68)*ISNUMBER(INDEX(Inputs!$K$5:$AJ$190,0,MATCH(L$2,Inputs!$K$4:$AJ$4,0))))+SUMPRODUCT((Inputs!$C$5:$C$190=$B68)*ISNUMBER(INDEX(Inputs!$K$5:$AJ$190,0,MATCH(L$2,Inputs!$K$4:$AJ$4,0))))+SUMPRODUCT((Inputs!$E$5:$E$190=$B68)*ISNUMBER(INDEX(Inputs!$K$5:$AJ$190,0,MATCH(L$2,Inputs!$K$4:$AJ$4,0))))=0,NA(),SUMPRODUCT((Inputs!$A$5:$A$190=$B68)*Inputs!$B$5:$B$190*(((Inputs!$G$5:$G$190="moeda")+(Inputs!$G$5:$G$190="acoes"))*Inputs!$B$1+((Inputs!$G$5:$G$190&lt;&gt;"moeda")*(Inputs!$G$5:$G$190&lt;&gt;"acoes")))*INDEX(Inputs!$K$5:$AJ$190,0,MATCH(L$2,Inputs!$K$4:$AJ$4,0)))+SUMPRODUCT((Inputs!$C$5:$C$190=$B68)*Inputs!$D$5:$D$190*(((Inputs!$G$5:$G$190="moeda")+(Inputs!$G$5:$G$190="acoes"))*Inputs!$B$1+((Inputs!$G$5:$G$190&lt;&gt;"moeda")*(Inputs!$G$5:$G$190&lt;&gt;"acoes")))*INDEX(Inputs!$K$5:$AJ$190,0,MATCH(L$2,Inputs!$K$4:$AJ$4,0)))+SUMPRODUCT((Inputs!$E$5:$E$190=$B68)*Inputs!$F$5:$F$190*(((Inputs!$G$5:$G$190="moeda")+(Inputs!$G$5:$G$190="acoes"))*Inputs!$B$1+((Inputs!$G$5:$G$190&lt;&gt;"moeda")*(Inputs!$G$5:$G$190&lt;&gt;"acoes")))*INDEX(Inputs!$K$5:$AJ$190,0,MATCH(L$2,Inputs!$K$4:$AJ$4,0)))))</f>
        <v>6111.338</v>
      </c>
      <c r="M68" s="267">
        <f>SUM(I68:L68)</f>
        <v>22902.247</v>
      </c>
      <c r="N68" s="266">
        <f>IF(ISNA(MATCH(N$2,Inputs!$K$4:$AJ$4,0)),NA(),IF(SUMPRODUCT((Inputs!$A$5:$A$190=$B68)*ISNUMBER(INDEX(Inputs!$K$5:$AJ$190,0,MATCH(N$2,Inputs!$K$4:$AJ$4,0))))+SUMPRODUCT((Inputs!$C$5:$C$190=$B68)*ISNUMBER(INDEX(Inputs!$K$5:$AJ$190,0,MATCH(N$2,Inputs!$K$4:$AJ$4,0))))+SUMPRODUCT((Inputs!$E$5:$E$190=$B68)*ISNUMBER(INDEX(Inputs!$K$5:$AJ$190,0,MATCH(N$2,Inputs!$K$4:$AJ$4,0))))=0,NA(),SUMPRODUCT((Inputs!$A$5:$A$190=$B68)*Inputs!$B$5:$B$190*(((Inputs!$G$5:$G$190="moeda")+(Inputs!$G$5:$G$190="acoes"))*Inputs!$B$1+((Inputs!$G$5:$G$190&lt;&gt;"moeda")*(Inputs!$G$5:$G$190&lt;&gt;"acoes")))*INDEX(Inputs!$K$5:$AJ$190,0,MATCH(N$2,Inputs!$K$4:$AJ$4,0)))+SUMPRODUCT((Inputs!$C$5:$C$190=$B68)*Inputs!$D$5:$D$190*(((Inputs!$G$5:$G$190="moeda")+(Inputs!$G$5:$G$190="acoes"))*Inputs!$B$1+((Inputs!$G$5:$G$190&lt;&gt;"moeda")*(Inputs!$G$5:$G$190&lt;&gt;"acoes")))*INDEX(Inputs!$K$5:$AJ$190,0,MATCH(N$2,Inputs!$K$4:$AJ$4,0)))+SUMPRODUCT((Inputs!$E$5:$E$190=$B68)*Inputs!$F$5:$F$190*(((Inputs!$G$5:$G$190="moeda")+(Inputs!$G$5:$G$190="acoes"))*Inputs!$B$1+((Inputs!$G$5:$G$190&lt;&gt;"moeda")*(Inputs!$G$5:$G$190&lt;&gt;"acoes")))*INDEX(Inputs!$K$5:$AJ$190,0,MATCH(N$2,Inputs!$K$4:$AJ$4,0)))))</f>
        <v>6218.754</v>
      </c>
      <c r="O68" s="266">
        <f>IF(ISNA(MATCH(O$2,Inputs!$K$4:$AJ$4,0)),NA(),IF(SUMPRODUCT((Inputs!$A$5:$A$190=$B68)*ISNUMBER(INDEX(Inputs!$K$5:$AJ$190,0,MATCH(O$2,Inputs!$K$4:$AJ$4,0))))+SUMPRODUCT((Inputs!$C$5:$C$190=$B68)*ISNUMBER(INDEX(Inputs!$K$5:$AJ$190,0,MATCH(O$2,Inputs!$K$4:$AJ$4,0))))+SUMPRODUCT((Inputs!$E$5:$E$190=$B68)*ISNUMBER(INDEX(Inputs!$K$5:$AJ$190,0,MATCH(O$2,Inputs!$K$4:$AJ$4,0))))=0,NA(),SUMPRODUCT((Inputs!$A$5:$A$190=$B68)*Inputs!$B$5:$B$190*(((Inputs!$G$5:$G$190="moeda")+(Inputs!$G$5:$G$190="acoes"))*Inputs!$B$1+((Inputs!$G$5:$G$190&lt;&gt;"moeda")*(Inputs!$G$5:$G$190&lt;&gt;"acoes")))*INDEX(Inputs!$K$5:$AJ$190,0,MATCH(O$2,Inputs!$K$4:$AJ$4,0)))+SUMPRODUCT((Inputs!$C$5:$C$190=$B68)*Inputs!$D$5:$D$190*(((Inputs!$G$5:$G$190="moeda")+(Inputs!$G$5:$G$190="acoes"))*Inputs!$B$1+((Inputs!$G$5:$G$190&lt;&gt;"moeda")*(Inputs!$G$5:$G$190&lt;&gt;"acoes")))*INDEX(Inputs!$K$5:$AJ$190,0,MATCH(O$2,Inputs!$K$4:$AJ$4,0)))+SUMPRODUCT((Inputs!$E$5:$E$190=$B68)*Inputs!$F$5:$F$190*(((Inputs!$G$5:$G$190="moeda")+(Inputs!$G$5:$G$190="acoes"))*Inputs!$B$1+((Inputs!$G$5:$G$190&lt;&gt;"moeda")*(Inputs!$G$5:$G$190&lt;&gt;"acoes")))*INDEX(Inputs!$K$5:$AJ$190,0,MATCH(O$2,Inputs!$K$4:$AJ$4,0)))))</f>
        <v>5837.236</v>
      </c>
      <c r="P68" s="266">
        <f>IF(ISNA(MATCH(P$2,Inputs!$K$4:$AJ$4,0)),NA(),IF(SUMPRODUCT((Inputs!$A$5:$A$190=$B68)*ISNUMBER(INDEX(Inputs!$K$5:$AJ$190,0,MATCH(P$2,Inputs!$K$4:$AJ$4,0))))+SUMPRODUCT((Inputs!$C$5:$C$190=$B68)*ISNUMBER(INDEX(Inputs!$K$5:$AJ$190,0,MATCH(P$2,Inputs!$K$4:$AJ$4,0))))+SUMPRODUCT((Inputs!$E$5:$E$190=$B68)*ISNUMBER(INDEX(Inputs!$K$5:$AJ$190,0,MATCH(P$2,Inputs!$K$4:$AJ$4,0))))=0,NA(),SUMPRODUCT((Inputs!$A$5:$A$190=$B68)*Inputs!$B$5:$B$190*(((Inputs!$G$5:$G$190="moeda")+(Inputs!$G$5:$G$190="acoes"))*Inputs!$B$1+((Inputs!$G$5:$G$190&lt;&gt;"moeda")*(Inputs!$G$5:$G$190&lt;&gt;"acoes")))*INDEX(Inputs!$K$5:$AJ$190,0,MATCH(P$2,Inputs!$K$4:$AJ$4,0)))+SUMPRODUCT((Inputs!$C$5:$C$190=$B68)*Inputs!$D$5:$D$190*(((Inputs!$G$5:$G$190="moeda")+(Inputs!$G$5:$G$190="acoes"))*Inputs!$B$1+((Inputs!$G$5:$G$190&lt;&gt;"moeda")*(Inputs!$G$5:$G$190&lt;&gt;"acoes")))*INDEX(Inputs!$K$5:$AJ$190,0,MATCH(P$2,Inputs!$K$4:$AJ$4,0)))+SUMPRODUCT((Inputs!$E$5:$E$190=$B68)*Inputs!$F$5:$F$190*(((Inputs!$G$5:$G$190="moeda")+(Inputs!$G$5:$G$190="acoes"))*Inputs!$B$1+((Inputs!$G$5:$G$190&lt;&gt;"moeda")*(Inputs!$G$5:$G$190&lt;&gt;"acoes")))*INDEX(Inputs!$K$5:$AJ$190,0,MATCH(P$2,Inputs!$K$4:$AJ$4,0)))))</f>
        <v>5819.624</v>
      </c>
      <c r="Q68" s="266">
        <f>IF(ISNA(MATCH(Q$2,Inputs!$K$4:$AJ$4,0)),NA(),IF(SUMPRODUCT((Inputs!$A$5:$A$190=$B68)*ISNUMBER(INDEX(Inputs!$K$5:$AJ$190,0,MATCH(Q$2,Inputs!$K$4:$AJ$4,0))))+SUMPRODUCT((Inputs!$C$5:$C$190=$B68)*ISNUMBER(INDEX(Inputs!$K$5:$AJ$190,0,MATCH(Q$2,Inputs!$K$4:$AJ$4,0))))+SUMPRODUCT((Inputs!$E$5:$E$190=$B68)*ISNUMBER(INDEX(Inputs!$K$5:$AJ$190,0,MATCH(Q$2,Inputs!$K$4:$AJ$4,0))))=0,NA(),SUMPRODUCT((Inputs!$A$5:$A$190=$B68)*Inputs!$B$5:$B$190*(((Inputs!$G$5:$G$190="moeda")+(Inputs!$G$5:$G$190="acoes"))*Inputs!$B$1+((Inputs!$G$5:$G$190&lt;&gt;"moeda")*(Inputs!$G$5:$G$190&lt;&gt;"acoes")))*INDEX(Inputs!$K$5:$AJ$190,0,MATCH(Q$2,Inputs!$K$4:$AJ$4,0)))+SUMPRODUCT((Inputs!$C$5:$C$190=$B68)*Inputs!$D$5:$D$190*(((Inputs!$G$5:$G$190="moeda")+(Inputs!$G$5:$G$190="acoes"))*Inputs!$B$1+((Inputs!$G$5:$G$190&lt;&gt;"moeda")*(Inputs!$G$5:$G$190&lt;&gt;"acoes")))*INDEX(Inputs!$K$5:$AJ$190,0,MATCH(Q$2,Inputs!$K$4:$AJ$4,0)))+SUMPRODUCT((Inputs!$E$5:$E$190=$B68)*Inputs!$F$5:$F$190*(((Inputs!$G$5:$G$190="moeda")+(Inputs!$G$5:$G$190="acoes"))*Inputs!$B$1+((Inputs!$G$5:$G$190&lt;&gt;"moeda")*(Inputs!$G$5:$G$190&lt;&gt;"acoes")))*INDEX(Inputs!$K$5:$AJ$190,0,MATCH(Q$2,Inputs!$K$4:$AJ$4,0)))))</f>
        <v>5945.636</v>
      </c>
      <c r="R68" s="267">
        <f>SUM(N68:Q68)</f>
        <v>23821.25</v>
      </c>
      <c r="S68" s="266">
        <f>IF(ISNA(MATCH(S$2,Inputs!$K$4:$AJ$4,0)),NA(),IF(SUMPRODUCT((Inputs!$A$5:$A$190=$B68)*ISNUMBER(INDEX(Inputs!$K$5:$AJ$190,0,MATCH(S$2,Inputs!$K$4:$AJ$4,0))))+SUMPRODUCT((Inputs!$C$5:$C$190=$B68)*ISNUMBER(INDEX(Inputs!$K$5:$AJ$190,0,MATCH(S$2,Inputs!$K$4:$AJ$4,0))))+SUMPRODUCT((Inputs!$E$5:$E$190=$B68)*ISNUMBER(INDEX(Inputs!$K$5:$AJ$190,0,MATCH(S$2,Inputs!$K$4:$AJ$4,0))))=0,NA(),SUMPRODUCT((Inputs!$A$5:$A$190=$B68)*Inputs!$B$5:$B$190*(((Inputs!$G$5:$G$190="moeda")+(Inputs!$G$5:$G$190="acoes"))*Inputs!$B$1+((Inputs!$G$5:$G$190&lt;&gt;"moeda")*(Inputs!$G$5:$G$190&lt;&gt;"acoes")))*INDEX(Inputs!$K$5:$AJ$190,0,MATCH(S$2,Inputs!$K$4:$AJ$4,0)))+SUMPRODUCT((Inputs!$C$5:$C$190=$B68)*Inputs!$D$5:$D$190*(((Inputs!$G$5:$G$190="moeda")+(Inputs!$G$5:$G$190="acoes"))*Inputs!$B$1+((Inputs!$G$5:$G$190&lt;&gt;"moeda")*(Inputs!$G$5:$G$190&lt;&gt;"acoes")))*INDEX(Inputs!$K$5:$AJ$190,0,MATCH(S$2,Inputs!$K$4:$AJ$4,0)))+SUMPRODUCT((Inputs!$E$5:$E$190=$B68)*Inputs!$F$5:$F$190*(((Inputs!$G$5:$G$190="moeda")+(Inputs!$G$5:$G$190="acoes"))*Inputs!$B$1+((Inputs!$G$5:$G$190&lt;&gt;"moeda")*(Inputs!$G$5:$G$190&lt;&gt;"acoes")))*INDEX(Inputs!$K$5:$AJ$190,0,MATCH(S$2,Inputs!$K$4:$AJ$4,0)))))</f>
        <v>6414.484</v>
      </c>
      <c r="T68" s="266">
        <f>IF(ISNA(MATCH(T$2,Inputs!$K$4:$AJ$4,0)),NA(),IF(SUMPRODUCT((Inputs!$A$5:$A$190=$B68)*ISNUMBER(INDEX(Inputs!$K$5:$AJ$190,0,MATCH(T$2,Inputs!$K$4:$AJ$4,0))))+SUMPRODUCT((Inputs!$C$5:$C$190=$B68)*ISNUMBER(INDEX(Inputs!$K$5:$AJ$190,0,MATCH(T$2,Inputs!$K$4:$AJ$4,0))))+SUMPRODUCT((Inputs!$E$5:$E$190=$B68)*ISNUMBER(INDEX(Inputs!$K$5:$AJ$190,0,MATCH(T$2,Inputs!$K$4:$AJ$4,0))))=0,NA(),SUMPRODUCT((Inputs!$A$5:$A$190=$B68)*Inputs!$B$5:$B$190*(((Inputs!$G$5:$G$190="moeda")+(Inputs!$G$5:$G$190="acoes"))*Inputs!$B$1+((Inputs!$G$5:$G$190&lt;&gt;"moeda")*(Inputs!$G$5:$G$190&lt;&gt;"acoes")))*INDEX(Inputs!$K$5:$AJ$190,0,MATCH(T$2,Inputs!$K$4:$AJ$4,0)))+SUMPRODUCT((Inputs!$C$5:$C$190=$B68)*Inputs!$D$5:$D$190*(((Inputs!$G$5:$G$190="moeda")+(Inputs!$G$5:$G$190="acoes"))*Inputs!$B$1+((Inputs!$G$5:$G$190&lt;&gt;"moeda")*(Inputs!$G$5:$G$190&lt;&gt;"acoes")))*INDEX(Inputs!$K$5:$AJ$190,0,MATCH(T$2,Inputs!$K$4:$AJ$4,0)))+SUMPRODUCT((Inputs!$E$5:$E$190=$B68)*Inputs!$F$5:$F$190*(((Inputs!$G$5:$G$190="moeda")+(Inputs!$G$5:$G$190="acoes"))*Inputs!$B$1+((Inputs!$G$5:$G$190&lt;&gt;"moeda")*(Inputs!$G$5:$G$190&lt;&gt;"acoes")))*INDEX(Inputs!$K$5:$AJ$190,0,MATCH(T$2,Inputs!$K$4:$AJ$4,0)))))</f>
        <v>6200.041</v>
      </c>
      <c r="U68" s="266">
        <f>IF(ISNA(MATCH(U$2,Inputs!$K$4:$AJ$4,0)),NA(),IF(SUMPRODUCT((Inputs!$A$5:$A$190=$B68)*ISNUMBER(INDEX(Inputs!$K$5:$AJ$190,0,MATCH(U$2,Inputs!$K$4:$AJ$4,0))))+SUMPRODUCT((Inputs!$C$5:$C$190=$B68)*ISNUMBER(INDEX(Inputs!$K$5:$AJ$190,0,MATCH(U$2,Inputs!$K$4:$AJ$4,0))))+SUMPRODUCT((Inputs!$E$5:$E$190=$B68)*ISNUMBER(INDEX(Inputs!$K$5:$AJ$190,0,MATCH(U$2,Inputs!$K$4:$AJ$4,0))))=0,NA(),SUMPRODUCT((Inputs!$A$5:$A$190=$B68)*Inputs!$B$5:$B$190*(((Inputs!$G$5:$G$190="moeda")+(Inputs!$G$5:$G$190="acoes"))*Inputs!$B$1+((Inputs!$G$5:$G$190&lt;&gt;"moeda")*(Inputs!$G$5:$G$190&lt;&gt;"acoes")))*INDEX(Inputs!$K$5:$AJ$190,0,MATCH(U$2,Inputs!$K$4:$AJ$4,0)))+SUMPRODUCT((Inputs!$C$5:$C$190=$B68)*Inputs!$D$5:$D$190*(((Inputs!$G$5:$G$190="moeda")+(Inputs!$G$5:$G$190="acoes"))*Inputs!$B$1+((Inputs!$G$5:$G$190&lt;&gt;"moeda")*(Inputs!$G$5:$G$190&lt;&gt;"acoes")))*INDEX(Inputs!$K$5:$AJ$190,0,MATCH(U$2,Inputs!$K$4:$AJ$4,0)))+SUMPRODUCT((Inputs!$E$5:$E$190=$B68)*Inputs!$F$5:$F$190*(((Inputs!$G$5:$G$190="moeda")+(Inputs!$G$5:$G$190="acoes"))*Inputs!$B$1+((Inputs!$G$5:$G$190&lt;&gt;"moeda")*(Inputs!$G$5:$G$190&lt;&gt;"acoes")))*INDEX(Inputs!$K$5:$AJ$190,0,MATCH(U$2,Inputs!$K$4:$AJ$4,0)))))</f>
        <v>6004.671</v>
      </c>
      <c r="V68" s="266">
        <f>IF(ISNA(MATCH(V$2,Inputs!$K$4:$AJ$4,0)),NA(),IF(SUMPRODUCT((Inputs!$A$5:$A$190=$B68)*ISNUMBER(INDEX(Inputs!$K$5:$AJ$190,0,MATCH(V$2,Inputs!$K$4:$AJ$4,0))))+SUMPRODUCT((Inputs!$C$5:$C$190=$B68)*ISNUMBER(INDEX(Inputs!$K$5:$AJ$190,0,MATCH(V$2,Inputs!$K$4:$AJ$4,0))))+SUMPRODUCT((Inputs!$E$5:$E$190=$B68)*ISNUMBER(INDEX(Inputs!$K$5:$AJ$190,0,MATCH(V$2,Inputs!$K$4:$AJ$4,0))))=0,NA(),SUMPRODUCT((Inputs!$A$5:$A$190=$B68)*Inputs!$B$5:$B$190*(((Inputs!$G$5:$G$190="moeda")+(Inputs!$G$5:$G$190="acoes"))*Inputs!$B$1+((Inputs!$G$5:$G$190&lt;&gt;"moeda")*(Inputs!$G$5:$G$190&lt;&gt;"acoes")))*INDEX(Inputs!$K$5:$AJ$190,0,MATCH(V$2,Inputs!$K$4:$AJ$4,0)))+SUMPRODUCT((Inputs!$C$5:$C$190=$B68)*Inputs!$D$5:$D$190*(((Inputs!$G$5:$G$190="moeda")+(Inputs!$G$5:$G$190="acoes"))*Inputs!$B$1+((Inputs!$G$5:$G$190&lt;&gt;"moeda")*(Inputs!$G$5:$G$190&lt;&gt;"acoes")))*INDEX(Inputs!$K$5:$AJ$190,0,MATCH(V$2,Inputs!$K$4:$AJ$4,0)))+SUMPRODUCT((Inputs!$E$5:$E$190=$B68)*Inputs!$F$5:$F$190*(((Inputs!$G$5:$G$190="moeda")+(Inputs!$G$5:$G$190="acoes"))*Inputs!$B$1+((Inputs!$G$5:$G$190&lt;&gt;"moeda")*(Inputs!$G$5:$G$190&lt;&gt;"acoes")))*INDEX(Inputs!$K$5:$AJ$190,0,MATCH(V$2,Inputs!$K$4:$AJ$4,0)))))</f>
        <v>5958.805</v>
      </c>
      <c r="W68" s="267">
        <f>SUM(S68:V68)</f>
        <v>24578.001</v>
      </c>
      <c r="X68" s="266">
        <f>IF(ISNA(MATCH(X$2,Inputs!$K$4:$AJ$4,0)),NA(),IF(SUMPRODUCT((Inputs!$A$5:$A$190=$B68)*ISNUMBER(INDEX(Inputs!$K$5:$AJ$190,0,MATCH(X$2,Inputs!$K$4:$AJ$4,0))))+SUMPRODUCT((Inputs!$C$5:$C$190=$B68)*ISNUMBER(INDEX(Inputs!$K$5:$AJ$190,0,MATCH(X$2,Inputs!$K$4:$AJ$4,0))))+SUMPRODUCT((Inputs!$E$5:$E$190=$B68)*ISNUMBER(INDEX(Inputs!$K$5:$AJ$190,0,MATCH(X$2,Inputs!$K$4:$AJ$4,0))))=0,NA(),SUMPRODUCT((Inputs!$A$5:$A$190=$B68)*Inputs!$B$5:$B$190*(((Inputs!$G$5:$G$190="moeda")+(Inputs!$G$5:$G$190="acoes"))*Inputs!$B$1+((Inputs!$G$5:$G$190&lt;&gt;"moeda")*(Inputs!$G$5:$G$190&lt;&gt;"acoes")))*INDEX(Inputs!$K$5:$AJ$190,0,MATCH(X$2,Inputs!$K$4:$AJ$4,0)))+SUMPRODUCT((Inputs!$C$5:$C$190=$B68)*Inputs!$D$5:$D$190*(((Inputs!$G$5:$G$190="moeda")+(Inputs!$G$5:$G$190="acoes"))*Inputs!$B$1+((Inputs!$G$5:$G$190&lt;&gt;"moeda")*(Inputs!$G$5:$G$190&lt;&gt;"acoes")))*INDEX(Inputs!$K$5:$AJ$190,0,MATCH(X$2,Inputs!$K$4:$AJ$4,0)))+SUMPRODUCT((Inputs!$E$5:$E$190=$B68)*Inputs!$F$5:$F$190*(((Inputs!$G$5:$G$190="moeda")+(Inputs!$G$5:$G$190="acoes"))*Inputs!$B$1+((Inputs!$G$5:$G$190&lt;&gt;"moeda")*(Inputs!$G$5:$G$190&lt;&gt;"acoes")))*INDEX(Inputs!$K$5:$AJ$190,0,MATCH(X$2,Inputs!$K$4:$AJ$4,0)))))</f>
        <v>6026.629</v>
      </c>
      <c r="Y68" s="266">
        <f>IF(ISNA(MATCH(Y$2,Inputs!$K$4:$AJ$4,0)),NA(),IF(SUMPRODUCT((Inputs!$A$5:$A$190=$B68)*ISNUMBER(INDEX(Inputs!$K$5:$AJ$190,0,MATCH(Y$2,Inputs!$K$4:$AJ$4,0))))+SUMPRODUCT((Inputs!$C$5:$C$190=$B68)*ISNUMBER(INDEX(Inputs!$K$5:$AJ$190,0,MATCH(Y$2,Inputs!$K$4:$AJ$4,0))))+SUMPRODUCT((Inputs!$E$5:$E$190=$B68)*ISNUMBER(INDEX(Inputs!$K$5:$AJ$190,0,MATCH(Y$2,Inputs!$K$4:$AJ$4,0))))=0,NA(),SUMPRODUCT((Inputs!$A$5:$A$190=$B68)*Inputs!$B$5:$B$190*(((Inputs!$G$5:$G$190="moeda")+(Inputs!$G$5:$G$190="acoes"))*Inputs!$B$1+((Inputs!$G$5:$G$190&lt;&gt;"moeda")*(Inputs!$G$5:$G$190&lt;&gt;"acoes")))*INDEX(Inputs!$K$5:$AJ$190,0,MATCH(Y$2,Inputs!$K$4:$AJ$4,0)))+SUMPRODUCT((Inputs!$C$5:$C$190=$B68)*Inputs!$D$5:$D$190*(((Inputs!$G$5:$G$190="moeda")+(Inputs!$G$5:$G$190="acoes"))*Inputs!$B$1+((Inputs!$G$5:$G$190&lt;&gt;"moeda")*(Inputs!$G$5:$G$190&lt;&gt;"acoes")))*INDEX(Inputs!$K$5:$AJ$190,0,MATCH(Y$2,Inputs!$K$4:$AJ$4,0)))+SUMPRODUCT((Inputs!$E$5:$E$190=$B68)*Inputs!$F$5:$F$190*(((Inputs!$G$5:$G$190="moeda")+(Inputs!$G$5:$G$190="acoes"))*Inputs!$B$1+((Inputs!$G$5:$G$190&lt;&gt;"moeda")*(Inputs!$G$5:$G$190&lt;&gt;"acoes")))*INDEX(Inputs!$K$5:$AJ$190,0,MATCH(Y$2,Inputs!$K$4:$AJ$4,0)))))</f>
        <v>6070.355</v>
      </c>
      <c r="Z68" s="266">
        <f>IF(ISNA(MATCH(Z$2,Inputs!$K$4:$AJ$4,0)),NA(),IF(SUMPRODUCT((Inputs!$A$5:$A$190=$B68)*ISNUMBER(INDEX(Inputs!$K$5:$AJ$190,0,MATCH(Z$2,Inputs!$K$4:$AJ$4,0))))+SUMPRODUCT((Inputs!$C$5:$C$190=$B68)*ISNUMBER(INDEX(Inputs!$K$5:$AJ$190,0,MATCH(Z$2,Inputs!$K$4:$AJ$4,0))))+SUMPRODUCT((Inputs!$E$5:$E$190=$B68)*ISNUMBER(INDEX(Inputs!$K$5:$AJ$190,0,MATCH(Z$2,Inputs!$K$4:$AJ$4,0))))=0,NA(),SUMPRODUCT((Inputs!$A$5:$A$190=$B68)*Inputs!$B$5:$B$190*(((Inputs!$G$5:$G$190="moeda")+(Inputs!$G$5:$G$190="acoes"))*Inputs!$B$1+((Inputs!$G$5:$G$190&lt;&gt;"moeda")*(Inputs!$G$5:$G$190&lt;&gt;"acoes")))*INDEX(Inputs!$K$5:$AJ$190,0,MATCH(Z$2,Inputs!$K$4:$AJ$4,0)))+SUMPRODUCT((Inputs!$C$5:$C$190=$B68)*Inputs!$D$5:$D$190*(((Inputs!$G$5:$G$190="moeda")+(Inputs!$G$5:$G$190="acoes"))*Inputs!$B$1+((Inputs!$G$5:$G$190&lt;&gt;"moeda")*(Inputs!$G$5:$G$190&lt;&gt;"acoes")))*INDEX(Inputs!$K$5:$AJ$190,0,MATCH(Z$2,Inputs!$K$4:$AJ$4,0)))+SUMPRODUCT((Inputs!$E$5:$E$190=$B68)*Inputs!$F$5:$F$190*(((Inputs!$G$5:$G$190="moeda")+(Inputs!$G$5:$G$190="acoes"))*Inputs!$B$1+((Inputs!$G$5:$G$190&lt;&gt;"moeda")*(Inputs!$G$5:$G$190&lt;&gt;"acoes")))*INDEX(Inputs!$K$5:$AJ$190,0,MATCH(Z$2,Inputs!$K$4:$AJ$4,0)))))</f>
        <v>6084.784</v>
      </c>
      <c r="AA68" s="266">
        <f>IF(ISNA(MATCH(AA$2,Inputs!$K$4:$AJ$4,0)),NA(),IF(SUMPRODUCT((Inputs!$A$5:$A$190=$B68)*ISNUMBER(INDEX(Inputs!$K$5:$AJ$190,0,MATCH(AA$2,Inputs!$K$4:$AJ$4,0))))+SUMPRODUCT((Inputs!$C$5:$C$190=$B68)*ISNUMBER(INDEX(Inputs!$K$5:$AJ$190,0,MATCH(AA$2,Inputs!$K$4:$AJ$4,0))))+SUMPRODUCT((Inputs!$E$5:$E$190=$B68)*ISNUMBER(INDEX(Inputs!$K$5:$AJ$190,0,MATCH(AA$2,Inputs!$K$4:$AJ$4,0))))=0,NA(),SUMPRODUCT((Inputs!$A$5:$A$190=$B68)*Inputs!$B$5:$B$190*(((Inputs!$G$5:$G$190="moeda")+(Inputs!$G$5:$G$190="acoes"))*Inputs!$B$1+((Inputs!$G$5:$G$190&lt;&gt;"moeda")*(Inputs!$G$5:$G$190&lt;&gt;"acoes")))*INDEX(Inputs!$K$5:$AJ$190,0,MATCH(AA$2,Inputs!$K$4:$AJ$4,0)))+SUMPRODUCT((Inputs!$C$5:$C$190=$B68)*Inputs!$D$5:$D$190*(((Inputs!$G$5:$G$190="moeda")+(Inputs!$G$5:$G$190="acoes"))*Inputs!$B$1+((Inputs!$G$5:$G$190&lt;&gt;"moeda")*(Inputs!$G$5:$G$190&lt;&gt;"acoes")))*INDEX(Inputs!$K$5:$AJ$190,0,MATCH(AA$2,Inputs!$K$4:$AJ$4,0)))+SUMPRODUCT((Inputs!$E$5:$E$190=$B68)*Inputs!$F$5:$F$190*(((Inputs!$G$5:$G$190="moeda")+(Inputs!$G$5:$G$190="acoes"))*Inputs!$B$1+((Inputs!$G$5:$G$190&lt;&gt;"moeda")*(Inputs!$G$5:$G$190&lt;&gt;"acoes")))*INDEX(Inputs!$K$5:$AJ$190,0,MATCH(AA$2,Inputs!$K$4:$AJ$4,0)))))</f>
        <v>6688.82</v>
      </c>
      <c r="AB68" s="267">
        <f>SUM(X68:AA68)</f>
        <v>24870.588</v>
      </c>
      <c r="AC68" s="266">
        <f>IF(ISNA(MATCH(AC$2,Inputs!$K$4:$AJ$4,0)),NA(),IF(SUMPRODUCT((Inputs!$A$5:$A$190=$B68)*ISNUMBER(INDEX(Inputs!$K$5:$AJ$190,0,MATCH(AC$2,Inputs!$K$4:$AJ$4,0))))+SUMPRODUCT((Inputs!$C$5:$C$190=$B68)*ISNUMBER(INDEX(Inputs!$K$5:$AJ$190,0,MATCH(AC$2,Inputs!$K$4:$AJ$4,0))))+SUMPRODUCT((Inputs!$E$5:$E$190=$B68)*ISNUMBER(INDEX(Inputs!$K$5:$AJ$190,0,MATCH(AC$2,Inputs!$K$4:$AJ$4,0))))=0,NA(),SUMPRODUCT((Inputs!$A$5:$A$190=$B68)*Inputs!$B$5:$B$190*(((Inputs!$G$5:$G$190="moeda")+(Inputs!$G$5:$G$190="acoes"))*Inputs!$B$1+((Inputs!$G$5:$G$190&lt;&gt;"moeda")*(Inputs!$G$5:$G$190&lt;&gt;"acoes")))*INDEX(Inputs!$K$5:$AJ$190,0,MATCH(AC$2,Inputs!$K$4:$AJ$4,0)))+SUMPRODUCT((Inputs!$C$5:$C$190=$B68)*Inputs!$D$5:$D$190*(((Inputs!$G$5:$G$190="moeda")+(Inputs!$G$5:$G$190="acoes"))*Inputs!$B$1+((Inputs!$G$5:$G$190&lt;&gt;"moeda")*(Inputs!$G$5:$G$190&lt;&gt;"acoes")))*INDEX(Inputs!$K$5:$AJ$190,0,MATCH(AC$2,Inputs!$K$4:$AJ$4,0)))+SUMPRODUCT((Inputs!$E$5:$E$190=$B68)*Inputs!$F$5:$F$190*(((Inputs!$G$5:$G$190="moeda")+(Inputs!$G$5:$G$190="acoes"))*Inputs!$B$1+((Inputs!$G$5:$G$190&lt;&gt;"moeda")*(Inputs!$G$5:$G$190&lt;&gt;"acoes")))*INDEX(Inputs!$K$5:$AJ$190,0,MATCH(AC$2,Inputs!$K$4:$AJ$4,0)))))</f>
        <v>7085.31514955121</v>
      </c>
      <c r="AD68" s="266">
        <f>IF(ISNA(MATCH(AD$2,Inputs!$K$4:$AJ$4,0)),NA(),IF(SUMPRODUCT((Inputs!$A$5:$A$190=$B68)*ISNUMBER(INDEX(Inputs!$K$5:$AJ$190,0,MATCH(AD$2,Inputs!$K$4:$AJ$4,0))))+SUMPRODUCT((Inputs!$C$5:$C$190=$B68)*ISNUMBER(INDEX(Inputs!$K$5:$AJ$190,0,MATCH(AD$2,Inputs!$K$4:$AJ$4,0))))+SUMPRODUCT((Inputs!$E$5:$E$190=$B68)*ISNUMBER(INDEX(Inputs!$K$5:$AJ$190,0,MATCH(AD$2,Inputs!$K$4:$AJ$4,0))))=0,NA(),SUMPRODUCT((Inputs!$A$5:$A$190=$B68)*Inputs!$B$5:$B$190*(((Inputs!$G$5:$G$190="moeda")+(Inputs!$G$5:$G$190="acoes"))*Inputs!$B$1+((Inputs!$G$5:$G$190&lt;&gt;"moeda")*(Inputs!$G$5:$G$190&lt;&gt;"acoes")))*INDEX(Inputs!$K$5:$AJ$190,0,MATCH(AD$2,Inputs!$K$4:$AJ$4,0)))+SUMPRODUCT((Inputs!$C$5:$C$190=$B68)*Inputs!$D$5:$D$190*(((Inputs!$G$5:$G$190="moeda")+(Inputs!$G$5:$G$190="acoes"))*Inputs!$B$1+((Inputs!$G$5:$G$190&lt;&gt;"moeda")*(Inputs!$G$5:$G$190&lt;&gt;"acoes")))*INDEX(Inputs!$K$5:$AJ$190,0,MATCH(AD$2,Inputs!$K$4:$AJ$4,0)))+SUMPRODUCT((Inputs!$E$5:$E$190=$B68)*Inputs!$F$5:$F$190*(((Inputs!$G$5:$G$190="moeda")+(Inputs!$G$5:$G$190="acoes"))*Inputs!$B$1+((Inputs!$G$5:$G$190&lt;&gt;"moeda")*(Inputs!$G$5:$G$190&lt;&gt;"acoes")))*INDEX(Inputs!$K$5:$AJ$190,0,MATCH(AD$2,Inputs!$K$4:$AJ$4,0)))))</f>
        <v>7412.78699999912</v>
      </c>
      <c r="AE68" s="266" t="e">
        <f>IF(ISNA(MATCH(AE$2,Inputs!$K$4:$AJ$4,0)),NA(),IF(SUMPRODUCT((Inputs!$A$5:$A$190=$B68)*ISNUMBER(INDEX(Inputs!$K$5:$AJ$190,0,MATCH(AE$2,Inputs!$K$4:$AJ$4,0))))+SUMPRODUCT((Inputs!$C$5:$C$190=$B68)*ISNUMBER(INDEX(Inputs!$K$5:$AJ$190,0,MATCH(AE$2,Inputs!$K$4:$AJ$4,0))))+SUMPRODUCT((Inputs!$E$5:$E$190=$B68)*ISNUMBER(INDEX(Inputs!$K$5:$AJ$190,0,MATCH(AE$2,Inputs!$K$4:$AJ$4,0))))=0,NA(),SUMPRODUCT((Inputs!$A$5:$A$190=$B68)*Inputs!$B$5:$B$190*(((Inputs!$G$5:$G$190="moeda")+(Inputs!$G$5:$G$190="acoes"))*Inputs!$B$1+((Inputs!$G$5:$G$190&lt;&gt;"moeda")*(Inputs!$G$5:$G$190&lt;&gt;"acoes")))*INDEX(Inputs!$K$5:$AJ$190,0,MATCH(AE$2,Inputs!$K$4:$AJ$4,0)))+SUMPRODUCT((Inputs!$C$5:$C$190=$B68)*Inputs!$D$5:$D$190*(((Inputs!$G$5:$G$190="moeda")+(Inputs!$G$5:$G$190="acoes"))*Inputs!$B$1+((Inputs!$G$5:$G$190&lt;&gt;"moeda")*(Inputs!$G$5:$G$190&lt;&gt;"acoes")))*INDEX(Inputs!$K$5:$AJ$190,0,MATCH(AE$2,Inputs!$K$4:$AJ$4,0)))+SUMPRODUCT((Inputs!$E$5:$E$190=$B68)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68" s="266" t="e">
        <f>IF(ISNA(MATCH(AF$2,Inputs!$K$4:$AJ$4,0)),NA(),IF(SUMPRODUCT((Inputs!$A$5:$A$190=$B68)*ISNUMBER(INDEX(Inputs!$K$5:$AJ$190,0,MATCH(AF$2,Inputs!$K$4:$AJ$4,0))))+SUMPRODUCT((Inputs!$C$5:$C$190=$B68)*ISNUMBER(INDEX(Inputs!$K$5:$AJ$190,0,MATCH(AF$2,Inputs!$K$4:$AJ$4,0))))+SUMPRODUCT((Inputs!$E$5:$E$190=$B68)*ISNUMBER(INDEX(Inputs!$K$5:$AJ$190,0,MATCH(AF$2,Inputs!$K$4:$AJ$4,0))))=0,NA(),SUMPRODUCT((Inputs!$A$5:$A$190=$B68)*Inputs!$B$5:$B$190*(((Inputs!$G$5:$G$190="moeda")+(Inputs!$G$5:$G$190="acoes"))*Inputs!$B$1+((Inputs!$G$5:$G$190&lt;&gt;"moeda")*(Inputs!$G$5:$G$190&lt;&gt;"acoes")))*INDEX(Inputs!$K$5:$AJ$190,0,MATCH(AF$2,Inputs!$K$4:$AJ$4,0)))+SUMPRODUCT((Inputs!$C$5:$C$190=$B68)*Inputs!$D$5:$D$190*(((Inputs!$G$5:$G$190="moeda")+(Inputs!$G$5:$G$190="acoes"))*Inputs!$B$1+((Inputs!$G$5:$G$190&lt;&gt;"moeda")*(Inputs!$G$5:$G$190&lt;&gt;"acoes")))*INDEX(Inputs!$K$5:$AJ$190,0,MATCH(AF$2,Inputs!$K$4:$AJ$4,0)))+SUMPRODUCT((Inputs!$E$5:$E$190=$B68)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68" s="267" t="e">
        <f>SUM(AC68:AF68)</f>
        <v>#N/A</v>
      </c>
      <c r="AH68" s="266">
        <f>IF(ISNA(MATCH(AH$2,Inputs!$K$4:$AJ$4,0)),NA(),IF(SUMPRODUCT((Inputs!$A$5:$A$190=$B68)*ISNUMBER(INDEX(Inputs!$K$5:$AJ$190,0,MATCH(AH$2,Inputs!$K$4:$AJ$4,0))))+SUMPRODUCT((Inputs!$C$5:$C$190=$B68)*ISNUMBER(INDEX(Inputs!$K$5:$AJ$190,0,MATCH(AH$2,Inputs!$K$4:$AJ$4,0))))+SUMPRODUCT((Inputs!$E$5:$E$190=$B68)*ISNUMBER(INDEX(Inputs!$K$5:$AJ$190,0,MATCH(AH$2,Inputs!$K$4:$AJ$4,0))))=0,NA(),SUMPRODUCT((Inputs!$A$5:$A$190=$B68)*Inputs!$B$5:$B$190*(((Inputs!$G$5:$G$190="moeda")+(Inputs!$G$5:$G$190="acoes"))*Inputs!$B$1+((Inputs!$G$5:$G$190&lt;&gt;"moeda")*(Inputs!$G$5:$G$190&lt;&gt;"acoes")))*INDEX(Inputs!$K$5:$AJ$190,0,MATCH(AH$2,Inputs!$K$4:$AJ$4,0)))+SUMPRODUCT((Inputs!$C$5:$C$190=$B68)*Inputs!$D$5:$D$190*(((Inputs!$G$5:$G$190="moeda")+(Inputs!$G$5:$G$190="acoes"))*Inputs!$B$1+((Inputs!$G$5:$G$190&lt;&gt;"moeda")*(Inputs!$G$5:$G$190&lt;&gt;"acoes")))*INDEX(Inputs!$K$5:$AJ$190,0,MATCH(AH$2,Inputs!$K$4:$AJ$4,0)))+SUMPRODUCT((Inputs!$E$5:$E$190=$B68)*Inputs!$F$5:$F$190*(((Inputs!$G$5:$G$190="moeda")+(Inputs!$G$5:$G$190="acoes"))*Inputs!$B$1+((Inputs!$G$5:$G$190&lt;&gt;"moeda")*(Inputs!$G$5:$G$190&lt;&gt;"acoes")))*INDEX(Inputs!$K$5:$AJ$190,0,MATCH(AH$2,Inputs!$K$4:$AJ$4,0)))))</f>
        <v>4419.568</v>
      </c>
      <c r="AI68" s="266">
        <f>IF(ISNA(MATCH(AI$2,Inputs!$K$4:$AJ$4,0)),NA(),IF(SUMPRODUCT((Inputs!$A$5:$A$190=$B68)*ISNUMBER(INDEX(Inputs!$K$5:$AJ$190,0,MATCH(AI$2,Inputs!$K$4:$AJ$4,0))))+SUMPRODUCT((Inputs!$C$5:$C$190=$B68)*ISNUMBER(INDEX(Inputs!$K$5:$AJ$190,0,MATCH(AI$2,Inputs!$K$4:$AJ$4,0))))+SUMPRODUCT((Inputs!$E$5:$E$190=$B68)*ISNUMBER(INDEX(Inputs!$K$5:$AJ$190,0,MATCH(AI$2,Inputs!$K$4:$AJ$4,0))))=0,NA(),SUMPRODUCT((Inputs!$A$5:$A$190=$B68)*Inputs!$B$5:$B$190*(((Inputs!$G$5:$G$190="moeda")+(Inputs!$G$5:$G$190="acoes"))*Inputs!$B$1+((Inputs!$G$5:$G$190&lt;&gt;"moeda")*(Inputs!$G$5:$G$190&lt;&gt;"acoes")))*INDEX(Inputs!$K$5:$AJ$190,0,MATCH(AI$2,Inputs!$K$4:$AJ$4,0)))+SUMPRODUCT((Inputs!$C$5:$C$190=$B68)*Inputs!$D$5:$D$190*(((Inputs!$G$5:$G$190="moeda")+(Inputs!$G$5:$G$190="acoes"))*Inputs!$B$1+((Inputs!$G$5:$G$190&lt;&gt;"moeda")*(Inputs!$G$5:$G$190&lt;&gt;"acoes")))*INDEX(Inputs!$K$5:$AJ$190,0,MATCH(AI$2,Inputs!$K$4:$AJ$4,0)))+SUMPRODUCT((Inputs!$E$5:$E$190=$B68)*Inputs!$F$5:$F$190*(((Inputs!$G$5:$G$190="moeda")+(Inputs!$G$5:$G$190="acoes"))*Inputs!$B$1+((Inputs!$G$5:$G$190&lt;&gt;"moeda")*(Inputs!$G$5:$G$190&lt;&gt;"acoes")))*INDEX(Inputs!$K$5:$AJ$190,0,MATCH(AI$2,Inputs!$K$4:$AJ$4,0)))))</f>
        <v>3462.499</v>
      </c>
      <c r="AJ68" s="266">
        <f>IF(ISNA(MATCH(AJ$2,Inputs!$K$4:$AJ$4,0)),NA(),IF(SUMPRODUCT((Inputs!$A$5:$A$190=$B68)*ISNUMBER(INDEX(Inputs!$K$5:$AJ$190,0,MATCH(AJ$2,Inputs!$K$4:$AJ$4,0))))+SUMPRODUCT((Inputs!$C$5:$C$190=$B68)*ISNUMBER(INDEX(Inputs!$K$5:$AJ$190,0,MATCH(AJ$2,Inputs!$K$4:$AJ$4,0))))+SUMPRODUCT((Inputs!$E$5:$E$190=$B68)*ISNUMBER(INDEX(Inputs!$K$5:$AJ$190,0,MATCH(AJ$2,Inputs!$K$4:$AJ$4,0))))=0,NA(),SUMPRODUCT((Inputs!$A$5:$A$190=$B68)*Inputs!$B$5:$B$190*(((Inputs!$G$5:$G$190="moeda")+(Inputs!$G$5:$G$190="acoes"))*Inputs!$B$1+((Inputs!$G$5:$G$190&lt;&gt;"moeda")*(Inputs!$G$5:$G$190&lt;&gt;"acoes")))*INDEX(Inputs!$K$5:$AJ$190,0,MATCH(AJ$2,Inputs!$K$4:$AJ$4,0)))+SUMPRODUCT((Inputs!$C$5:$C$190=$B68)*Inputs!$D$5:$D$190*(((Inputs!$G$5:$G$190="moeda")+(Inputs!$G$5:$G$190="acoes"))*Inputs!$B$1+((Inputs!$G$5:$G$190&lt;&gt;"moeda")*(Inputs!$G$5:$G$190&lt;&gt;"acoes")))*INDEX(Inputs!$K$5:$AJ$190,0,MATCH(AJ$2,Inputs!$K$4:$AJ$4,0)))+SUMPRODUCT((Inputs!$E$5:$E$190=$B68)*Inputs!$F$5:$F$190*(((Inputs!$G$5:$G$190="moeda")+(Inputs!$G$5:$G$190="acoes"))*Inputs!$B$1+((Inputs!$G$5:$G$190&lt;&gt;"moeda")*(Inputs!$G$5:$G$190&lt;&gt;"acoes")))*INDEX(Inputs!$K$5:$AJ$190,0,MATCH(AJ$2,Inputs!$K$4:$AJ$4,0)))))</f>
        <v>4330.12</v>
      </c>
      <c r="AK68" s="266">
        <f>IF(ISNA(MATCH(AK$2,Inputs!$K$4:$AJ$4,0)),NA(),IF(SUMPRODUCT((Inputs!$A$5:$A$190=$B68)*ISNUMBER(INDEX(Inputs!$K$5:$AJ$190,0,MATCH(AK$2,Inputs!$K$4:$AJ$4,0))))+SUMPRODUCT((Inputs!$C$5:$C$190=$B68)*ISNUMBER(INDEX(Inputs!$K$5:$AJ$190,0,MATCH(AK$2,Inputs!$K$4:$AJ$4,0))))+SUMPRODUCT((Inputs!$E$5:$E$190=$B68)*ISNUMBER(INDEX(Inputs!$K$5:$AJ$190,0,MATCH(AK$2,Inputs!$K$4:$AJ$4,0))))=0,NA(),SUMPRODUCT((Inputs!$A$5:$A$190=$B68)*Inputs!$B$5:$B$190*(((Inputs!$G$5:$G$190="moeda")+(Inputs!$G$5:$G$190="acoes"))*Inputs!$B$1+((Inputs!$G$5:$G$190&lt;&gt;"moeda")*(Inputs!$G$5:$G$190&lt;&gt;"acoes")))*INDEX(Inputs!$K$5:$AJ$190,0,MATCH(AK$2,Inputs!$K$4:$AJ$4,0)))+SUMPRODUCT((Inputs!$C$5:$C$190=$B68)*Inputs!$D$5:$D$190*(((Inputs!$G$5:$G$190="moeda")+(Inputs!$G$5:$G$190="acoes"))*Inputs!$B$1+((Inputs!$G$5:$G$190&lt;&gt;"moeda")*(Inputs!$G$5:$G$190&lt;&gt;"acoes")))*INDEX(Inputs!$K$5:$AJ$190,0,MATCH(AK$2,Inputs!$K$4:$AJ$4,0)))+SUMPRODUCT((Inputs!$E$5:$E$190=$B68)*Inputs!$F$5:$F$190*(((Inputs!$G$5:$G$190="moeda")+(Inputs!$G$5:$G$190="acoes"))*Inputs!$B$1+((Inputs!$G$5:$G$190&lt;&gt;"moeda")*(Inputs!$G$5:$G$190&lt;&gt;"acoes")))*INDEX(Inputs!$K$5:$AJ$190,0,MATCH(AK$2,Inputs!$K$4:$AJ$4,0)))))</f>
        <v>4822.77</v>
      </c>
      <c r="AL68" s="267">
        <f>SUM(AH68:AK68)</f>
        <v>17034.957</v>
      </c>
    </row>
    <row r="69">
      <c r="B69" s="46" t="n">
        <v>61</v>
      </c>
      <c r="C69" s="29" t="inlineStr">
        <is>
          <t>Movida RAC - taxa de ocupacao (l.17)</t>
        </is>
      </c>
      <c r="D69" s="268">
        <f>IF(ISNA(MATCH(D$2,Inputs!$K$4:$AJ$4,0)),NA(),IF(SUMPRODUCT((Inputs!$A$5:$A$190=$B69)*ISNUMBER(INDEX(Inputs!$K$5:$AJ$190,0,MATCH(D$2,Inputs!$K$4:$AJ$4,0))))+SUMPRODUCT((Inputs!$C$5:$C$190=$B69)*ISNUMBER(INDEX(Inputs!$K$5:$AJ$190,0,MATCH(D$2,Inputs!$K$4:$AJ$4,0))))+SUMPRODUCT((Inputs!$E$5:$E$190=$B69)*ISNUMBER(INDEX(Inputs!$K$5:$AJ$190,0,MATCH(D$2,Inputs!$K$4:$AJ$4,0))))=0,NA(),SUMPRODUCT((Inputs!$A$5:$A$190=$B69)*Inputs!$B$5:$B$190*(((Inputs!$G$5:$G$190="moeda")+(Inputs!$G$5:$G$190="acoes"))*Inputs!$B$1+((Inputs!$G$5:$G$190&lt;&gt;"moeda")*(Inputs!$G$5:$G$190&lt;&gt;"acoes")))*INDEX(Inputs!$K$5:$AJ$190,0,MATCH(D$2,Inputs!$K$4:$AJ$4,0)))+SUMPRODUCT((Inputs!$C$5:$C$190=$B69)*Inputs!$D$5:$D$190*(((Inputs!$G$5:$G$190="moeda")+(Inputs!$G$5:$G$190="acoes"))*Inputs!$B$1+((Inputs!$G$5:$G$190&lt;&gt;"moeda")*(Inputs!$G$5:$G$190&lt;&gt;"acoes")))*INDEX(Inputs!$K$5:$AJ$190,0,MATCH(D$2,Inputs!$K$4:$AJ$4,0)))+SUMPRODUCT((Inputs!$E$5:$E$190=$B69)*Inputs!$F$5:$F$190*(((Inputs!$G$5:$G$190="moeda")+(Inputs!$G$5:$G$190="acoes"))*Inputs!$B$1+((Inputs!$G$5:$G$190&lt;&gt;"moeda")*(Inputs!$G$5:$G$190&lt;&gt;"acoes")))*INDEX(Inputs!$K$5:$AJ$190,0,MATCH(D$2,Inputs!$K$4:$AJ$4,0)))))</f>
        <v>0.793</v>
      </c>
      <c r="E69" s="268">
        <f>IF(ISNA(MATCH(E$2,Inputs!$K$4:$AJ$4,0)),NA(),IF(SUMPRODUCT((Inputs!$A$5:$A$190=$B69)*ISNUMBER(INDEX(Inputs!$K$5:$AJ$190,0,MATCH(E$2,Inputs!$K$4:$AJ$4,0))))+SUMPRODUCT((Inputs!$C$5:$C$190=$B69)*ISNUMBER(INDEX(Inputs!$K$5:$AJ$190,0,MATCH(E$2,Inputs!$K$4:$AJ$4,0))))+SUMPRODUCT((Inputs!$E$5:$E$190=$B69)*ISNUMBER(INDEX(Inputs!$K$5:$AJ$190,0,MATCH(E$2,Inputs!$K$4:$AJ$4,0))))=0,NA(),SUMPRODUCT((Inputs!$A$5:$A$190=$B69)*Inputs!$B$5:$B$190*(((Inputs!$G$5:$G$190="moeda")+(Inputs!$G$5:$G$190="acoes"))*Inputs!$B$1+((Inputs!$G$5:$G$190&lt;&gt;"moeda")*(Inputs!$G$5:$G$190&lt;&gt;"acoes")))*INDEX(Inputs!$K$5:$AJ$190,0,MATCH(E$2,Inputs!$K$4:$AJ$4,0)))+SUMPRODUCT((Inputs!$C$5:$C$190=$B69)*Inputs!$D$5:$D$190*(((Inputs!$G$5:$G$190="moeda")+(Inputs!$G$5:$G$190="acoes"))*Inputs!$B$1+((Inputs!$G$5:$G$190&lt;&gt;"moeda")*(Inputs!$G$5:$G$190&lt;&gt;"acoes")))*INDEX(Inputs!$K$5:$AJ$190,0,MATCH(E$2,Inputs!$K$4:$AJ$4,0)))+SUMPRODUCT((Inputs!$E$5:$E$190=$B69)*Inputs!$F$5:$F$190*(((Inputs!$G$5:$G$190="moeda")+(Inputs!$G$5:$G$190="acoes"))*Inputs!$B$1+((Inputs!$G$5:$G$190&lt;&gt;"moeda")*(Inputs!$G$5:$G$190&lt;&gt;"acoes")))*INDEX(Inputs!$K$5:$AJ$190,0,MATCH(E$2,Inputs!$K$4:$AJ$4,0)))))</f>
        <v>0.796</v>
      </c>
      <c r="F69" s="268">
        <f>IF(ISNA(MATCH(F$2,Inputs!$K$4:$AJ$4,0)),NA(),IF(SUMPRODUCT((Inputs!$A$5:$A$190=$B69)*ISNUMBER(INDEX(Inputs!$K$5:$AJ$190,0,MATCH(F$2,Inputs!$K$4:$AJ$4,0))))+SUMPRODUCT((Inputs!$C$5:$C$190=$B69)*ISNUMBER(INDEX(Inputs!$K$5:$AJ$190,0,MATCH(F$2,Inputs!$K$4:$AJ$4,0))))+SUMPRODUCT((Inputs!$E$5:$E$190=$B69)*ISNUMBER(INDEX(Inputs!$K$5:$AJ$190,0,MATCH(F$2,Inputs!$K$4:$AJ$4,0))))=0,NA(),SUMPRODUCT((Inputs!$A$5:$A$190=$B69)*Inputs!$B$5:$B$190*(((Inputs!$G$5:$G$190="moeda")+(Inputs!$G$5:$G$190="acoes"))*Inputs!$B$1+((Inputs!$G$5:$G$190&lt;&gt;"moeda")*(Inputs!$G$5:$G$190&lt;&gt;"acoes")))*INDEX(Inputs!$K$5:$AJ$190,0,MATCH(F$2,Inputs!$K$4:$AJ$4,0)))+SUMPRODUCT((Inputs!$C$5:$C$190=$B69)*Inputs!$D$5:$D$190*(((Inputs!$G$5:$G$190="moeda")+(Inputs!$G$5:$G$190="acoes"))*Inputs!$B$1+((Inputs!$G$5:$G$190&lt;&gt;"moeda")*(Inputs!$G$5:$G$190&lt;&gt;"acoes")))*INDEX(Inputs!$K$5:$AJ$190,0,MATCH(F$2,Inputs!$K$4:$AJ$4,0)))+SUMPRODUCT((Inputs!$E$5:$E$190=$B69)*Inputs!$F$5:$F$190*(((Inputs!$G$5:$G$190="moeda")+(Inputs!$G$5:$G$190="acoes"))*Inputs!$B$1+((Inputs!$G$5:$G$190&lt;&gt;"moeda")*(Inputs!$G$5:$G$190&lt;&gt;"acoes")))*INDEX(Inputs!$K$5:$AJ$190,0,MATCH(F$2,Inputs!$K$4:$AJ$4,0)))))</f>
        <v>0.829</v>
      </c>
      <c r="G69" s="268">
        <f>IF(ISNA(MATCH(G$2,Inputs!$K$4:$AJ$4,0)),NA(),IF(SUMPRODUCT((Inputs!$A$5:$A$190=$B69)*ISNUMBER(INDEX(Inputs!$K$5:$AJ$190,0,MATCH(G$2,Inputs!$K$4:$AJ$4,0))))+SUMPRODUCT((Inputs!$C$5:$C$190=$B69)*ISNUMBER(INDEX(Inputs!$K$5:$AJ$190,0,MATCH(G$2,Inputs!$K$4:$AJ$4,0))))+SUMPRODUCT((Inputs!$E$5:$E$190=$B69)*ISNUMBER(INDEX(Inputs!$K$5:$AJ$190,0,MATCH(G$2,Inputs!$K$4:$AJ$4,0))))=0,NA(),SUMPRODUCT((Inputs!$A$5:$A$190=$B69)*Inputs!$B$5:$B$190*(((Inputs!$G$5:$G$190="moeda")+(Inputs!$G$5:$G$190="acoes"))*Inputs!$B$1+((Inputs!$G$5:$G$190&lt;&gt;"moeda")*(Inputs!$G$5:$G$190&lt;&gt;"acoes")))*INDEX(Inputs!$K$5:$AJ$190,0,MATCH(G$2,Inputs!$K$4:$AJ$4,0)))+SUMPRODUCT((Inputs!$C$5:$C$190=$B69)*Inputs!$D$5:$D$190*(((Inputs!$G$5:$G$190="moeda")+(Inputs!$G$5:$G$190="acoes"))*Inputs!$B$1+((Inputs!$G$5:$G$190&lt;&gt;"moeda")*(Inputs!$G$5:$G$190&lt;&gt;"acoes")))*INDEX(Inputs!$K$5:$AJ$190,0,MATCH(G$2,Inputs!$K$4:$AJ$4,0)))+SUMPRODUCT((Inputs!$E$5:$E$190=$B69)*Inputs!$F$5:$F$190*(((Inputs!$G$5:$G$190="moeda")+(Inputs!$G$5:$G$190="acoes"))*Inputs!$B$1+((Inputs!$G$5:$G$190&lt;&gt;"moeda")*(Inputs!$G$5:$G$190&lt;&gt;"acoes")))*INDEX(Inputs!$K$5:$AJ$190,0,MATCH(G$2,Inputs!$K$4:$AJ$4,0)))))</f>
        <v>0.808</v>
      </c>
      <c r="H69" s="40" t="n"/>
      <c r="I69" s="268">
        <f>IF(ISNA(MATCH(I$2,Inputs!$K$4:$AJ$4,0)),NA(),IF(SUMPRODUCT((Inputs!$A$5:$A$190=$B69)*ISNUMBER(INDEX(Inputs!$K$5:$AJ$190,0,MATCH(I$2,Inputs!$K$4:$AJ$4,0))))+SUMPRODUCT((Inputs!$C$5:$C$190=$B69)*ISNUMBER(INDEX(Inputs!$K$5:$AJ$190,0,MATCH(I$2,Inputs!$K$4:$AJ$4,0))))+SUMPRODUCT((Inputs!$E$5:$E$190=$B69)*ISNUMBER(INDEX(Inputs!$K$5:$AJ$190,0,MATCH(I$2,Inputs!$K$4:$AJ$4,0))))=0,NA(),SUMPRODUCT((Inputs!$A$5:$A$190=$B69)*Inputs!$B$5:$B$190*(((Inputs!$G$5:$G$190="moeda")+(Inputs!$G$5:$G$190="acoes"))*Inputs!$B$1+((Inputs!$G$5:$G$190&lt;&gt;"moeda")*(Inputs!$G$5:$G$190&lt;&gt;"acoes")))*INDEX(Inputs!$K$5:$AJ$190,0,MATCH(I$2,Inputs!$K$4:$AJ$4,0)))+SUMPRODUCT((Inputs!$C$5:$C$190=$B69)*Inputs!$D$5:$D$190*(((Inputs!$G$5:$G$190="moeda")+(Inputs!$G$5:$G$190="acoes"))*Inputs!$B$1+((Inputs!$G$5:$G$190&lt;&gt;"moeda")*(Inputs!$G$5:$G$190&lt;&gt;"acoes")))*INDEX(Inputs!$K$5:$AJ$190,0,MATCH(I$2,Inputs!$K$4:$AJ$4,0)))+SUMPRODUCT((Inputs!$E$5:$E$190=$B69)*Inputs!$F$5:$F$190*(((Inputs!$G$5:$G$190="moeda")+(Inputs!$G$5:$G$190="acoes"))*Inputs!$B$1+((Inputs!$G$5:$G$190&lt;&gt;"moeda")*(Inputs!$G$5:$G$190&lt;&gt;"acoes")))*INDEX(Inputs!$K$5:$AJ$190,0,MATCH(I$2,Inputs!$K$4:$AJ$4,0)))))</f>
        <v>0.761</v>
      </c>
      <c r="J69" s="268">
        <f>IF(ISNA(MATCH(J$2,Inputs!$K$4:$AJ$4,0)),NA(),IF(SUMPRODUCT((Inputs!$A$5:$A$190=$B69)*ISNUMBER(INDEX(Inputs!$K$5:$AJ$190,0,MATCH(J$2,Inputs!$K$4:$AJ$4,0))))+SUMPRODUCT((Inputs!$C$5:$C$190=$B69)*ISNUMBER(INDEX(Inputs!$K$5:$AJ$190,0,MATCH(J$2,Inputs!$K$4:$AJ$4,0))))+SUMPRODUCT((Inputs!$E$5:$E$190=$B69)*ISNUMBER(INDEX(Inputs!$K$5:$AJ$190,0,MATCH(J$2,Inputs!$K$4:$AJ$4,0))))=0,NA(),SUMPRODUCT((Inputs!$A$5:$A$190=$B69)*Inputs!$B$5:$B$190*(((Inputs!$G$5:$G$190="moeda")+(Inputs!$G$5:$G$190="acoes"))*Inputs!$B$1+((Inputs!$G$5:$G$190&lt;&gt;"moeda")*(Inputs!$G$5:$G$190&lt;&gt;"acoes")))*INDEX(Inputs!$K$5:$AJ$190,0,MATCH(J$2,Inputs!$K$4:$AJ$4,0)))+SUMPRODUCT((Inputs!$C$5:$C$190=$B69)*Inputs!$D$5:$D$190*(((Inputs!$G$5:$G$190="moeda")+(Inputs!$G$5:$G$190="acoes"))*Inputs!$B$1+((Inputs!$G$5:$G$190&lt;&gt;"moeda")*(Inputs!$G$5:$G$190&lt;&gt;"acoes")))*INDEX(Inputs!$K$5:$AJ$190,0,MATCH(J$2,Inputs!$K$4:$AJ$4,0)))+SUMPRODUCT((Inputs!$E$5:$E$190=$B69)*Inputs!$F$5:$F$190*(((Inputs!$G$5:$G$190="moeda")+(Inputs!$G$5:$G$190="acoes"))*Inputs!$B$1+((Inputs!$G$5:$G$190&lt;&gt;"moeda")*(Inputs!$G$5:$G$190&lt;&gt;"acoes")))*INDEX(Inputs!$K$5:$AJ$190,0,MATCH(J$2,Inputs!$K$4:$AJ$4,0)))))</f>
        <v>0.793</v>
      </c>
      <c r="K69" s="268">
        <f>IF(ISNA(MATCH(K$2,Inputs!$K$4:$AJ$4,0)),NA(),IF(SUMPRODUCT((Inputs!$A$5:$A$190=$B69)*ISNUMBER(INDEX(Inputs!$K$5:$AJ$190,0,MATCH(K$2,Inputs!$K$4:$AJ$4,0))))+SUMPRODUCT((Inputs!$C$5:$C$190=$B69)*ISNUMBER(INDEX(Inputs!$K$5:$AJ$190,0,MATCH(K$2,Inputs!$K$4:$AJ$4,0))))+SUMPRODUCT((Inputs!$E$5:$E$190=$B69)*ISNUMBER(INDEX(Inputs!$K$5:$AJ$190,0,MATCH(K$2,Inputs!$K$4:$AJ$4,0))))=0,NA(),SUMPRODUCT((Inputs!$A$5:$A$190=$B69)*Inputs!$B$5:$B$190*(((Inputs!$G$5:$G$190="moeda")+(Inputs!$G$5:$G$190="acoes"))*Inputs!$B$1+((Inputs!$G$5:$G$190&lt;&gt;"moeda")*(Inputs!$G$5:$G$190&lt;&gt;"acoes")))*INDEX(Inputs!$K$5:$AJ$190,0,MATCH(K$2,Inputs!$K$4:$AJ$4,0)))+SUMPRODUCT((Inputs!$C$5:$C$190=$B69)*Inputs!$D$5:$D$190*(((Inputs!$G$5:$G$190="moeda")+(Inputs!$G$5:$G$190="acoes"))*Inputs!$B$1+((Inputs!$G$5:$G$190&lt;&gt;"moeda")*(Inputs!$G$5:$G$190&lt;&gt;"acoes")))*INDEX(Inputs!$K$5:$AJ$190,0,MATCH(K$2,Inputs!$K$4:$AJ$4,0)))+SUMPRODUCT((Inputs!$E$5:$E$190=$B69)*Inputs!$F$5:$F$190*(((Inputs!$G$5:$G$190="moeda")+(Inputs!$G$5:$G$190="acoes"))*Inputs!$B$1+((Inputs!$G$5:$G$190&lt;&gt;"moeda")*(Inputs!$G$5:$G$190&lt;&gt;"acoes")))*INDEX(Inputs!$K$5:$AJ$190,0,MATCH(K$2,Inputs!$K$4:$AJ$4,0)))))</f>
        <v>0.772</v>
      </c>
      <c r="L69" s="268">
        <f>IF(ISNA(MATCH(L$2,Inputs!$K$4:$AJ$4,0)),NA(),IF(SUMPRODUCT((Inputs!$A$5:$A$190=$B69)*ISNUMBER(INDEX(Inputs!$K$5:$AJ$190,0,MATCH(L$2,Inputs!$K$4:$AJ$4,0))))+SUMPRODUCT((Inputs!$C$5:$C$190=$B69)*ISNUMBER(INDEX(Inputs!$K$5:$AJ$190,0,MATCH(L$2,Inputs!$K$4:$AJ$4,0))))+SUMPRODUCT((Inputs!$E$5:$E$190=$B69)*ISNUMBER(INDEX(Inputs!$K$5:$AJ$190,0,MATCH(L$2,Inputs!$K$4:$AJ$4,0))))=0,NA(),SUMPRODUCT((Inputs!$A$5:$A$190=$B69)*Inputs!$B$5:$B$190*(((Inputs!$G$5:$G$190="moeda")+(Inputs!$G$5:$G$190="acoes"))*Inputs!$B$1+((Inputs!$G$5:$G$190&lt;&gt;"moeda")*(Inputs!$G$5:$G$190&lt;&gt;"acoes")))*INDEX(Inputs!$K$5:$AJ$190,0,MATCH(L$2,Inputs!$K$4:$AJ$4,0)))+SUMPRODUCT((Inputs!$C$5:$C$190=$B69)*Inputs!$D$5:$D$190*(((Inputs!$G$5:$G$190="moeda")+(Inputs!$G$5:$G$190="acoes"))*Inputs!$B$1+((Inputs!$G$5:$G$190&lt;&gt;"moeda")*(Inputs!$G$5:$G$190&lt;&gt;"acoes")))*INDEX(Inputs!$K$5:$AJ$190,0,MATCH(L$2,Inputs!$K$4:$AJ$4,0)))+SUMPRODUCT((Inputs!$E$5:$E$190=$B69)*Inputs!$F$5:$F$190*(((Inputs!$G$5:$G$190="moeda")+(Inputs!$G$5:$G$190="acoes"))*Inputs!$B$1+((Inputs!$G$5:$G$190&lt;&gt;"moeda")*(Inputs!$G$5:$G$190&lt;&gt;"acoes")))*INDEX(Inputs!$K$5:$AJ$190,0,MATCH(L$2,Inputs!$K$4:$AJ$4,0)))))</f>
        <v>0.766</v>
      </c>
      <c r="M69" s="40" t="n"/>
      <c r="N69" s="268">
        <f>IF(ISNA(MATCH(N$2,Inputs!$K$4:$AJ$4,0)),NA(),IF(SUMPRODUCT((Inputs!$A$5:$A$190=$B69)*ISNUMBER(INDEX(Inputs!$K$5:$AJ$190,0,MATCH(N$2,Inputs!$K$4:$AJ$4,0))))+SUMPRODUCT((Inputs!$C$5:$C$190=$B69)*ISNUMBER(INDEX(Inputs!$K$5:$AJ$190,0,MATCH(N$2,Inputs!$K$4:$AJ$4,0))))+SUMPRODUCT((Inputs!$E$5:$E$190=$B69)*ISNUMBER(INDEX(Inputs!$K$5:$AJ$190,0,MATCH(N$2,Inputs!$K$4:$AJ$4,0))))=0,NA(),SUMPRODUCT((Inputs!$A$5:$A$190=$B69)*Inputs!$B$5:$B$190*(((Inputs!$G$5:$G$190="moeda")+(Inputs!$G$5:$G$190="acoes"))*Inputs!$B$1+((Inputs!$G$5:$G$190&lt;&gt;"moeda")*(Inputs!$G$5:$G$190&lt;&gt;"acoes")))*INDEX(Inputs!$K$5:$AJ$190,0,MATCH(N$2,Inputs!$K$4:$AJ$4,0)))+SUMPRODUCT((Inputs!$C$5:$C$190=$B69)*Inputs!$D$5:$D$190*(((Inputs!$G$5:$G$190="moeda")+(Inputs!$G$5:$G$190="acoes"))*Inputs!$B$1+((Inputs!$G$5:$G$190&lt;&gt;"moeda")*(Inputs!$G$5:$G$190&lt;&gt;"acoes")))*INDEX(Inputs!$K$5:$AJ$190,0,MATCH(N$2,Inputs!$K$4:$AJ$4,0)))+SUMPRODUCT((Inputs!$E$5:$E$190=$B69)*Inputs!$F$5:$F$190*(((Inputs!$G$5:$G$190="moeda")+(Inputs!$G$5:$G$190="acoes"))*Inputs!$B$1+((Inputs!$G$5:$G$190&lt;&gt;"moeda")*(Inputs!$G$5:$G$190&lt;&gt;"acoes")))*INDEX(Inputs!$K$5:$AJ$190,0,MATCH(N$2,Inputs!$K$4:$AJ$4,0)))))</f>
        <v>0.784</v>
      </c>
      <c r="O69" s="268">
        <f>IF(ISNA(MATCH(O$2,Inputs!$K$4:$AJ$4,0)),NA(),IF(SUMPRODUCT((Inputs!$A$5:$A$190=$B69)*ISNUMBER(INDEX(Inputs!$K$5:$AJ$190,0,MATCH(O$2,Inputs!$K$4:$AJ$4,0))))+SUMPRODUCT((Inputs!$C$5:$C$190=$B69)*ISNUMBER(INDEX(Inputs!$K$5:$AJ$190,0,MATCH(O$2,Inputs!$K$4:$AJ$4,0))))+SUMPRODUCT((Inputs!$E$5:$E$190=$B69)*ISNUMBER(INDEX(Inputs!$K$5:$AJ$190,0,MATCH(O$2,Inputs!$K$4:$AJ$4,0))))=0,NA(),SUMPRODUCT((Inputs!$A$5:$A$190=$B69)*Inputs!$B$5:$B$190*(((Inputs!$G$5:$G$190="moeda")+(Inputs!$G$5:$G$190="acoes"))*Inputs!$B$1+((Inputs!$G$5:$G$190&lt;&gt;"moeda")*(Inputs!$G$5:$G$190&lt;&gt;"acoes")))*INDEX(Inputs!$K$5:$AJ$190,0,MATCH(O$2,Inputs!$K$4:$AJ$4,0)))+SUMPRODUCT((Inputs!$C$5:$C$190=$B69)*Inputs!$D$5:$D$190*(((Inputs!$G$5:$G$190="moeda")+(Inputs!$G$5:$G$190="acoes"))*Inputs!$B$1+((Inputs!$G$5:$G$190&lt;&gt;"moeda")*(Inputs!$G$5:$G$190&lt;&gt;"acoes")))*INDEX(Inputs!$K$5:$AJ$190,0,MATCH(O$2,Inputs!$K$4:$AJ$4,0)))+SUMPRODUCT((Inputs!$E$5:$E$190=$B69)*Inputs!$F$5:$F$190*(((Inputs!$G$5:$G$190="moeda")+(Inputs!$G$5:$G$190="acoes"))*Inputs!$B$1+((Inputs!$G$5:$G$190&lt;&gt;"moeda")*(Inputs!$G$5:$G$190&lt;&gt;"acoes")))*INDEX(Inputs!$K$5:$AJ$190,0,MATCH(O$2,Inputs!$K$4:$AJ$4,0)))))</f>
        <v>0.783</v>
      </c>
      <c r="P69" s="268">
        <f>IF(ISNA(MATCH(P$2,Inputs!$K$4:$AJ$4,0)),NA(),IF(SUMPRODUCT((Inputs!$A$5:$A$190=$B69)*ISNUMBER(INDEX(Inputs!$K$5:$AJ$190,0,MATCH(P$2,Inputs!$K$4:$AJ$4,0))))+SUMPRODUCT((Inputs!$C$5:$C$190=$B69)*ISNUMBER(INDEX(Inputs!$K$5:$AJ$190,0,MATCH(P$2,Inputs!$K$4:$AJ$4,0))))+SUMPRODUCT((Inputs!$E$5:$E$190=$B69)*ISNUMBER(INDEX(Inputs!$K$5:$AJ$190,0,MATCH(P$2,Inputs!$K$4:$AJ$4,0))))=0,NA(),SUMPRODUCT((Inputs!$A$5:$A$190=$B69)*Inputs!$B$5:$B$190*(((Inputs!$G$5:$G$190="moeda")+(Inputs!$G$5:$G$190="acoes"))*Inputs!$B$1+((Inputs!$G$5:$G$190&lt;&gt;"moeda")*(Inputs!$G$5:$G$190&lt;&gt;"acoes")))*INDEX(Inputs!$K$5:$AJ$190,0,MATCH(P$2,Inputs!$K$4:$AJ$4,0)))+SUMPRODUCT((Inputs!$C$5:$C$190=$B69)*Inputs!$D$5:$D$190*(((Inputs!$G$5:$G$190="moeda")+(Inputs!$G$5:$G$190="acoes"))*Inputs!$B$1+((Inputs!$G$5:$G$190&lt;&gt;"moeda")*(Inputs!$G$5:$G$190&lt;&gt;"acoes")))*INDEX(Inputs!$K$5:$AJ$190,0,MATCH(P$2,Inputs!$K$4:$AJ$4,0)))+SUMPRODUCT((Inputs!$E$5:$E$190=$B69)*Inputs!$F$5:$F$190*(((Inputs!$G$5:$G$190="moeda")+(Inputs!$G$5:$G$190="acoes"))*Inputs!$B$1+((Inputs!$G$5:$G$190&lt;&gt;"moeda")*(Inputs!$G$5:$G$190&lt;&gt;"acoes")))*INDEX(Inputs!$K$5:$AJ$190,0,MATCH(P$2,Inputs!$K$4:$AJ$4,0)))))</f>
        <v>0.811</v>
      </c>
      <c r="Q69" s="268">
        <f>IF(ISNA(MATCH(Q$2,Inputs!$K$4:$AJ$4,0)),NA(),IF(SUMPRODUCT((Inputs!$A$5:$A$190=$B69)*ISNUMBER(INDEX(Inputs!$K$5:$AJ$190,0,MATCH(Q$2,Inputs!$K$4:$AJ$4,0))))+SUMPRODUCT((Inputs!$C$5:$C$190=$B69)*ISNUMBER(INDEX(Inputs!$K$5:$AJ$190,0,MATCH(Q$2,Inputs!$K$4:$AJ$4,0))))+SUMPRODUCT((Inputs!$E$5:$E$190=$B69)*ISNUMBER(INDEX(Inputs!$K$5:$AJ$190,0,MATCH(Q$2,Inputs!$K$4:$AJ$4,0))))=0,NA(),SUMPRODUCT((Inputs!$A$5:$A$190=$B69)*Inputs!$B$5:$B$190*(((Inputs!$G$5:$G$190="moeda")+(Inputs!$G$5:$G$190="acoes"))*Inputs!$B$1+((Inputs!$G$5:$G$190&lt;&gt;"moeda")*(Inputs!$G$5:$G$190&lt;&gt;"acoes")))*INDEX(Inputs!$K$5:$AJ$190,0,MATCH(Q$2,Inputs!$K$4:$AJ$4,0)))+SUMPRODUCT((Inputs!$C$5:$C$190=$B69)*Inputs!$D$5:$D$190*(((Inputs!$G$5:$G$190="moeda")+(Inputs!$G$5:$G$190="acoes"))*Inputs!$B$1+((Inputs!$G$5:$G$190&lt;&gt;"moeda")*(Inputs!$G$5:$G$190&lt;&gt;"acoes")))*INDEX(Inputs!$K$5:$AJ$190,0,MATCH(Q$2,Inputs!$K$4:$AJ$4,0)))+SUMPRODUCT((Inputs!$E$5:$E$190=$B69)*Inputs!$F$5:$F$190*(((Inputs!$G$5:$G$190="moeda")+(Inputs!$G$5:$G$190="acoes"))*Inputs!$B$1+((Inputs!$G$5:$G$190&lt;&gt;"moeda")*(Inputs!$G$5:$G$190&lt;&gt;"acoes")))*INDEX(Inputs!$K$5:$AJ$190,0,MATCH(Q$2,Inputs!$K$4:$AJ$4,0)))))</f>
        <v>0.82</v>
      </c>
      <c r="R69" s="40" t="n"/>
      <c r="S69" s="268">
        <f>IF(ISNA(MATCH(S$2,Inputs!$K$4:$AJ$4,0)),NA(),IF(SUMPRODUCT((Inputs!$A$5:$A$190=$B69)*ISNUMBER(INDEX(Inputs!$K$5:$AJ$190,0,MATCH(S$2,Inputs!$K$4:$AJ$4,0))))+SUMPRODUCT((Inputs!$C$5:$C$190=$B69)*ISNUMBER(INDEX(Inputs!$K$5:$AJ$190,0,MATCH(S$2,Inputs!$K$4:$AJ$4,0))))+SUMPRODUCT((Inputs!$E$5:$E$190=$B69)*ISNUMBER(INDEX(Inputs!$K$5:$AJ$190,0,MATCH(S$2,Inputs!$K$4:$AJ$4,0))))=0,NA(),SUMPRODUCT((Inputs!$A$5:$A$190=$B69)*Inputs!$B$5:$B$190*(((Inputs!$G$5:$G$190="moeda")+(Inputs!$G$5:$G$190="acoes"))*Inputs!$B$1+((Inputs!$G$5:$G$190&lt;&gt;"moeda")*(Inputs!$G$5:$G$190&lt;&gt;"acoes")))*INDEX(Inputs!$K$5:$AJ$190,0,MATCH(S$2,Inputs!$K$4:$AJ$4,0)))+SUMPRODUCT((Inputs!$C$5:$C$190=$B69)*Inputs!$D$5:$D$190*(((Inputs!$G$5:$G$190="moeda")+(Inputs!$G$5:$G$190="acoes"))*Inputs!$B$1+((Inputs!$G$5:$G$190&lt;&gt;"moeda")*(Inputs!$G$5:$G$190&lt;&gt;"acoes")))*INDEX(Inputs!$K$5:$AJ$190,0,MATCH(S$2,Inputs!$K$4:$AJ$4,0)))+SUMPRODUCT((Inputs!$E$5:$E$190=$B69)*Inputs!$F$5:$F$190*(((Inputs!$G$5:$G$190="moeda")+(Inputs!$G$5:$G$190="acoes"))*Inputs!$B$1+((Inputs!$G$5:$G$190&lt;&gt;"moeda")*(Inputs!$G$5:$G$190&lt;&gt;"acoes")))*INDEX(Inputs!$K$5:$AJ$190,0,MATCH(S$2,Inputs!$K$4:$AJ$4,0)))))</f>
        <v>0.802</v>
      </c>
      <c r="T69" s="268">
        <f>IF(ISNA(MATCH(T$2,Inputs!$K$4:$AJ$4,0)),NA(),IF(SUMPRODUCT((Inputs!$A$5:$A$190=$B69)*ISNUMBER(INDEX(Inputs!$K$5:$AJ$190,0,MATCH(T$2,Inputs!$K$4:$AJ$4,0))))+SUMPRODUCT((Inputs!$C$5:$C$190=$B69)*ISNUMBER(INDEX(Inputs!$K$5:$AJ$190,0,MATCH(T$2,Inputs!$K$4:$AJ$4,0))))+SUMPRODUCT((Inputs!$E$5:$E$190=$B69)*ISNUMBER(INDEX(Inputs!$K$5:$AJ$190,0,MATCH(T$2,Inputs!$K$4:$AJ$4,0))))=0,NA(),SUMPRODUCT((Inputs!$A$5:$A$190=$B69)*Inputs!$B$5:$B$190*(((Inputs!$G$5:$G$190="moeda")+(Inputs!$G$5:$G$190="acoes"))*Inputs!$B$1+((Inputs!$G$5:$G$190&lt;&gt;"moeda")*(Inputs!$G$5:$G$190&lt;&gt;"acoes")))*INDEX(Inputs!$K$5:$AJ$190,0,MATCH(T$2,Inputs!$K$4:$AJ$4,0)))+SUMPRODUCT((Inputs!$C$5:$C$190=$B69)*Inputs!$D$5:$D$190*(((Inputs!$G$5:$G$190="moeda")+(Inputs!$G$5:$G$190="acoes"))*Inputs!$B$1+((Inputs!$G$5:$G$190&lt;&gt;"moeda")*(Inputs!$G$5:$G$190&lt;&gt;"acoes")))*INDEX(Inputs!$K$5:$AJ$190,0,MATCH(T$2,Inputs!$K$4:$AJ$4,0)))+SUMPRODUCT((Inputs!$E$5:$E$190=$B69)*Inputs!$F$5:$F$190*(((Inputs!$G$5:$G$190="moeda")+(Inputs!$G$5:$G$190="acoes"))*Inputs!$B$1+((Inputs!$G$5:$G$190&lt;&gt;"moeda")*(Inputs!$G$5:$G$190&lt;&gt;"acoes")))*INDEX(Inputs!$K$5:$AJ$190,0,MATCH(T$2,Inputs!$K$4:$AJ$4,0)))))</f>
        <v>0.781</v>
      </c>
      <c r="U69" s="268">
        <f>IF(ISNA(MATCH(U$2,Inputs!$K$4:$AJ$4,0)),NA(),IF(SUMPRODUCT((Inputs!$A$5:$A$190=$B69)*ISNUMBER(INDEX(Inputs!$K$5:$AJ$190,0,MATCH(U$2,Inputs!$K$4:$AJ$4,0))))+SUMPRODUCT((Inputs!$C$5:$C$190=$B69)*ISNUMBER(INDEX(Inputs!$K$5:$AJ$190,0,MATCH(U$2,Inputs!$K$4:$AJ$4,0))))+SUMPRODUCT((Inputs!$E$5:$E$190=$B69)*ISNUMBER(INDEX(Inputs!$K$5:$AJ$190,0,MATCH(U$2,Inputs!$K$4:$AJ$4,0))))=0,NA(),SUMPRODUCT((Inputs!$A$5:$A$190=$B69)*Inputs!$B$5:$B$190*(((Inputs!$G$5:$G$190="moeda")+(Inputs!$G$5:$G$190="acoes"))*Inputs!$B$1+((Inputs!$G$5:$G$190&lt;&gt;"moeda")*(Inputs!$G$5:$G$190&lt;&gt;"acoes")))*INDEX(Inputs!$K$5:$AJ$190,0,MATCH(U$2,Inputs!$K$4:$AJ$4,0)))+SUMPRODUCT((Inputs!$C$5:$C$190=$B69)*Inputs!$D$5:$D$190*(((Inputs!$G$5:$G$190="moeda")+(Inputs!$G$5:$G$190="acoes"))*Inputs!$B$1+((Inputs!$G$5:$G$190&lt;&gt;"moeda")*(Inputs!$G$5:$G$190&lt;&gt;"acoes")))*INDEX(Inputs!$K$5:$AJ$190,0,MATCH(U$2,Inputs!$K$4:$AJ$4,0)))+SUMPRODUCT((Inputs!$E$5:$E$190=$B69)*Inputs!$F$5:$F$190*(((Inputs!$G$5:$G$190="moeda")+(Inputs!$G$5:$G$190="acoes"))*Inputs!$B$1+((Inputs!$G$5:$G$190&lt;&gt;"moeda")*(Inputs!$G$5:$G$190&lt;&gt;"acoes")))*INDEX(Inputs!$K$5:$AJ$190,0,MATCH(U$2,Inputs!$K$4:$AJ$4,0)))))</f>
        <v>0.781</v>
      </c>
      <c r="V69" s="268">
        <f>IF(ISNA(MATCH(V$2,Inputs!$K$4:$AJ$4,0)),NA(),IF(SUMPRODUCT((Inputs!$A$5:$A$190=$B69)*ISNUMBER(INDEX(Inputs!$K$5:$AJ$190,0,MATCH(V$2,Inputs!$K$4:$AJ$4,0))))+SUMPRODUCT((Inputs!$C$5:$C$190=$B69)*ISNUMBER(INDEX(Inputs!$K$5:$AJ$190,0,MATCH(V$2,Inputs!$K$4:$AJ$4,0))))+SUMPRODUCT((Inputs!$E$5:$E$190=$B69)*ISNUMBER(INDEX(Inputs!$K$5:$AJ$190,0,MATCH(V$2,Inputs!$K$4:$AJ$4,0))))=0,NA(),SUMPRODUCT((Inputs!$A$5:$A$190=$B69)*Inputs!$B$5:$B$190*(((Inputs!$G$5:$G$190="moeda")+(Inputs!$G$5:$G$190="acoes"))*Inputs!$B$1+((Inputs!$G$5:$G$190&lt;&gt;"moeda")*(Inputs!$G$5:$G$190&lt;&gt;"acoes")))*INDEX(Inputs!$K$5:$AJ$190,0,MATCH(V$2,Inputs!$K$4:$AJ$4,0)))+SUMPRODUCT((Inputs!$C$5:$C$190=$B69)*Inputs!$D$5:$D$190*(((Inputs!$G$5:$G$190="moeda")+(Inputs!$G$5:$G$190="acoes"))*Inputs!$B$1+((Inputs!$G$5:$G$190&lt;&gt;"moeda")*(Inputs!$G$5:$G$190&lt;&gt;"acoes")))*INDEX(Inputs!$K$5:$AJ$190,0,MATCH(V$2,Inputs!$K$4:$AJ$4,0)))+SUMPRODUCT((Inputs!$E$5:$E$190=$B69)*Inputs!$F$5:$F$190*(((Inputs!$G$5:$G$190="moeda")+(Inputs!$G$5:$G$190="acoes"))*Inputs!$B$1+((Inputs!$G$5:$G$190&lt;&gt;"moeda")*(Inputs!$G$5:$G$190&lt;&gt;"acoes")))*INDEX(Inputs!$K$5:$AJ$190,0,MATCH(V$2,Inputs!$K$4:$AJ$4,0)))))</f>
        <v>0.749</v>
      </c>
      <c r="W69" s="40" t="n"/>
      <c r="X69" s="268">
        <f>IF(ISNA(MATCH(X$2,Inputs!$K$4:$AJ$4,0)),NA(),IF(SUMPRODUCT((Inputs!$A$5:$A$190=$B69)*ISNUMBER(INDEX(Inputs!$K$5:$AJ$190,0,MATCH(X$2,Inputs!$K$4:$AJ$4,0))))+SUMPRODUCT((Inputs!$C$5:$C$190=$B69)*ISNUMBER(INDEX(Inputs!$K$5:$AJ$190,0,MATCH(X$2,Inputs!$K$4:$AJ$4,0))))+SUMPRODUCT((Inputs!$E$5:$E$190=$B69)*ISNUMBER(INDEX(Inputs!$K$5:$AJ$190,0,MATCH(X$2,Inputs!$K$4:$AJ$4,0))))=0,NA(),SUMPRODUCT((Inputs!$A$5:$A$190=$B69)*Inputs!$B$5:$B$190*(((Inputs!$G$5:$G$190="moeda")+(Inputs!$G$5:$G$190="acoes"))*Inputs!$B$1+((Inputs!$G$5:$G$190&lt;&gt;"moeda")*(Inputs!$G$5:$G$190&lt;&gt;"acoes")))*INDEX(Inputs!$K$5:$AJ$190,0,MATCH(X$2,Inputs!$K$4:$AJ$4,0)))+SUMPRODUCT((Inputs!$C$5:$C$190=$B69)*Inputs!$D$5:$D$190*(((Inputs!$G$5:$G$190="moeda")+(Inputs!$G$5:$G$190="acoes"))*Inputs!$B$1+((Inputs!$G$5:$G$190&lt;&gt;"moeda")*(Inputs!$G$5:$G$190&lt;&gt;"acoes")))*INDEX(Inputs!$K$5:$AJ$190,0,MATCH(X$2,Inputs!$K$4:$AJ$4,0)))+SUMPRODUCT((Inputs!$E$5:$E$190=$B69)*Inputs!$F$5:$F$190*(((Inputs!$G$5:$G$190="moeda")+(Inputs!$G$5:$G$190="acoes"))*Inputs!$B$1+((Inputs!$G$5:$G$190&lt;&gt;"moeda")*(Inputs!$G$5:$G$190&lt;&gt;"acoes")))*INDEX(Inputs!$K$5:$AJ$190,0,MATCH(X$2,Inputs!$K$4:$AJ$4,0)))))</f>
        <v>0.717</v>
      </c>
      <c r="Y69" s="268">
        <f>IF(ISNA(MATCH(Y$2,Inputs!$K$4:$AJ$4,0)),NA(),IF(SUMPRODUCT((Inputs!$A$5:$A$190=$B69)*ISNUMBER(INDEX(Inputs!$K$5:$AJ$190,0,MATCH(Y$2,Inputs!$K$4:$AJ$4,0))))+SUMPRODUCT((Inputs!$C$5:$C$190=$B69)*ISNUMBER(INDEX(Inputs!$K$5:$AJ$190,0,MATCH(Y$2,Inputs!$K$4:$AJ$4,0))))+SUMPRODUCT((Inputs!$E$5:$E$190=$B69)*ISNUMBER(INDEX(Inputs!$K$5:$AJ$190,0,MATCH(Y$2,Inputs!$K$4:$AJ$4,0))))=0,NA(),SUMPRODUCT((Inputs!$A$5:$A$190=$B69)*Inputs!$B$5:$B$190*(((Inputs!$G$5:$G$190="moeda")+(Inputs!$G$5:$G$190="acoes"))*Inputs!$B$1+((Inputs!$G$5:$G$190&lt;&gt;"moeda")*(Inputs!$G$5:$G$190&lt;&gt;"acoes")))*INDEX(Inputs!$K$5:$AJ$190,0,MATCH(Y$2,Inputs!$K$4:$AJ$4,0)))+SUMPRODUCT((Inputs!$C$5:$C$190=$B69)*Inputs!$D$5:$D$190*(((Inputs!$G$5:$G$190="moeda")+(Inputs!$G$5:$G$190="acoes"))*Inputs!$B$1+((Inputs!$G$5:$G$190&lt;&gt;"moeda")*(Inputs!$G$5:$G$190&lt;&gt;"acoes")))*INDEX(Inputs!$K$5:$AJ$190,0,MATCH(Y$2,Inputs!$K$4:$AJ$4,0)))+SUMPRODUCT((Inputs!$E$5:$E$190=$B69)*Inputs!$F$5:$F$190*(((Inputs!$G$5:$G$190="moeda")+(Inputs!$G$5:$G$190="acoes"))*Inputs!$B$1+((Inputs!$G$5:$G$190&lt;&gt;"moeda")*(Inputs!$G$5:$G$190&lt;&gt;"acoes")))*INDEX(Inputs!$K$5:$AJ$190,0,MATCH(Y$2,Inputs!$K$4:$AJ$4,0)))))</f>
        <v>0.741</v>
      </c>
      <c r="Z69" s="268">
        <f>IF(ISNA(MATCH(Z$2,Inputs!$K$4:$AJ$4,0)),NA(),IF(SUMPRODUCT((Inputs!$A$5:$A$190=$B69)*ISNUMBER(INDEX(Inputs!$K$5:$AJ$190,0,MATCH(Z$2,Inputs!$K$4:$AJ$4,0))))+SUMPRODUCT((Inputs!$C$5:$C$190=$B69)*ISNUMBER(INDEX(Inputs!$K$5:$AJ$190,0,MATCH(Z$2,Inputs!$K$4:$AJ$4,0))))+SUMPRODUCT((Inputs!$E$5:$E$190=$B69)*ISNUMBER(INDEX(Inputs!$K$5:$AJ$190,0,MATCH(Z$2,Inputs!$K$4:$AJ$4,0))))=0,NA(),SUMPRODUCT((Inputs!$A$5:$A$190=$B69)*Inputs!$B$5:$B$190*(((Inputs!$G$5:$G$190="moeda")+(Inputs!$G$5:$G$190="acoes"))*Inputs!$B$1+((Inputs!$G$5:$G$190&lt;&gt;"moeda")*(Inputs!$G$5:$G$190&lt;&gt;"acoes")))*INDEX(Inputs!$K$5:$AJ$190,0,MATCH(Z$2,Inputs!$K$4:$AJ$4,0)))+SUMPRODUCT((Inputs!$C$5:$C$190=$B69)*Inputs!$D$5:$D$190*(((Inputs!$G$5:$G$190="moeda")+(Inputs!$G$5:$G$190="acoes"))*Inputs!$B$1+((Inputs!$G$5:$G$190&lt;&gt;"moeda")*(Inputs!$G$5:$G$190&lt;&gt;"acoes")))*INDEX(Inputs!$K$5:$AJ$190,0,MATCH(Z$2,Inputs!$K$4:$AJ$4,0)))+SUMPRODUCT((Inputs!$E$5:$E$190=$B69)*Inputs!$F$5:$F$190*(((Inputs!$G$5:$G$190="moeda")+(Inputs!$G$5:$G$190="acoes"))*Inputs!$B$1+((Inputs!$G$5:$G$190&lt;&gt;"moeda")*(Inputs!$G$5:$G$190&lt;&gt;"acoes")))*INDEX(Inputs!$K$5:$AJ$190,0,MATCH(Z$2,Inputs!$K$4:$AJ$4,0)))))</f>
        <v>0.718</v>
      </c>
      <c r="AA69" s="268">
        <f>IF(ISNA(MATCH(AA$2,Inputs!$K$4:$AJ$4,0)),NA(),IF(SUMPRODUCT((Inputs!$A$5:$A$190=$B69)*ISNUMBER(INDEX(Inputs!$K$5:$AJ$190,0,MATCH(AA$2,Inputs!$K$4:$AJ$4,0))))+SUMPRODUCT((Inputs!$C$5:$C$190=$B69)*ISNUMBER(INDEX(Inputs!$K$5:$AJ$190,0,MATCH(AA$2,Inputs!$K$4:$AJ$4,0))))+SUMPRODUCT((Inputs!$E$5:$E$190=$B69)*ISNUMBER(INDEX(Inputs!$K$5:$AJ$190,0,MATCH(AA$2,Inputs!$K$4:$AJ$4,0))))=0,NA(),SUMPRODUCT((Inputs!$A$5:$A$190=$B69)*Inputs!$B$5:$B$190*(((Inputs!$G$5:$G$190="moeda")+(Inputs!$G$5:$G$190="acoes"))*Inputs!$B$1+((Inputs!$G$5:$G$190&lt;&gt;"moeda")*(Inputs!$G$5:$G$190&lt;&gt;"acoes")))*INDEX(Inputs!$K$5:$AJ$190,0,MATCH(AA$2,Inputs!$K$4:$AJ$4,0)))+SUMPRODUCT((Inputs!$C$5:$C$190=$B69)*Inputs!$D$5:$D$190*(((Inputs!$G$5:$G$190="moeda")+(Inputs!$G$5:$G$190="acoes"))*Inputs!$B$1+((Inputs!$G$5:$G$190&lt;&gt;"moeda")*(Inputs!$G$5:$G$190&lt;&gt;"acoes")))*INDEX(Inputs!$K$5:$AJ$190,0,MATCH(AA$2,Inputs!$K$4:$AJ$4,0)))+SUMPRODUCT((Inputs!$E$5:$E$190=$B69)*Inputs!$F$5:$F$190*(((Inputs!$G$5:$G$190="moeda")+(Inputs!$G$5:$G$190="acoes"))*Inputs!$B$1+((Inputs!$G$5:$G$190&lt;&gt;"moeda")*(Inputs!$G$5:$G$190&lt;&gt;"acoes")))*INDEX(Inputs!$K$5:$AJ$190,0,MATCH(AA$2,Inputs!$K$4:$AJ$4,0)))))</f>
        <v>0.758469913141117</v>
      </c>
      <c r="AB69" s="40" t="n"/>
      <c r="AC69" s="268">
        <f>IF(ISNA(MATCH(AC$2,Inputs!$K$4:$AJ$4,0)),NA(),IF(SUMPRODUCT((Inputs!$A$5:$A$190=$B69)*ISNUMBER(INDEX(Inputs!$K$5:$AJ$190,0,MATCH(AC$2,Inputs!$K$4:$AJ$4,0))))+SUMPRODUCT((Inputs!$C$5:$C$190=$B69)*ISNUMBER(INDEX(Inputs!$K$5:$AJ$190,0,MATCH(AC$2,Inputs!$K$4:$AJ$4,0))))+SUMPRODUCT((Inputs!$E$5:$E$190=$B69)*ISNUMBER(INDEX(Inputs!$K$5:$AJ$190,0,MATCH(AC$2,Inputs!$K$4:$AJ$4,0))))=0,NA(),SUMPRODUCT((Inputs!$A$5:$A$190=$B69)*Inputs!$B$5:$B$190*(((Inputs!$G$5:$G$190="moeda")+(Inputs!$G$5:$G$190="acoes"))*Inputs!$B$1+((Inputs!$G$5:$G$190&lt;&gt;"moeda")*(Inputs!$G$5:$G$190&lt;&gt;"acoes")))*INDEX(Inputs!$K$5:$AJ$190,0,MATCH(AC$2,Inputs!$K$4:$AJ$4,0)))+SUMPRODUCT((Inputs!$C$5:$C$190=$B69)*Inputs!$D$5:$D$190*(((Inputs!$G$5:$G$190="moeda")+(Inputs!$G$5:$G$190="acoes"))*Inputs!$B$1+((Inputs!$G$5:$G$190&lt;&gt;"moeda")*(Inputs!$G$5:$G$190&lt;&gt;"acoes")))*INDEX(Inputs!$K$5:$AJ$190,0,MATCH(AC$2,Inputs!$K$4:$AJ$4,0)))+SUMPRODUCT((Inputs!$E$5:$E$190=$B69)*Inputs!$F$5:$F$190*(((Inputs!$G$5:$G$190="moeda")+(Inputs!$G$5:$G$190="acoes"))*Inputs!$B$1+((Inputs!$G$5:$G$190&lt;&gt;"moeda")*(Inputs!$G$5:$G$190&lt;&gt;"acoes")))*INDEX(Inputs!$K$5:$AJ$190,0,MATCH(AC$2,Inputs!$K$4:$AJ$4,0)))))</f>
        <v>0.772834169344879</v>
      </c>
      <c r="AD69" s="268">
        <f>IF(ISNA(MATCH(AD$2,Inputs!$K$4:$AJ$4,0)),NA(),IF(SUMPRODUCT((Inputs!$A$5:$A$190=$B69)*ISNUMBER(INDEX(Inputs!$K$5:$AJ$190,0,MATCH(AD$2,Inputs!$K$4:$AJ$4,0))))+SUMPRODUCT((Inputs!$C$5:$C$190=$B69)*ISNUMBER(INDEX(Inputs!$K$5:$AJ$190,0,MATCH(AD$2,Inputs!$K$4:$AJ$4,0))))+SUMPRODUCT((Inputs!$E$5:$E$190=$B69)*ISNUMBER(INDEX(Inputs!$K$5:$AJ$190,0,MATCH(AD$2,Inputs!$K$4:$AJ$4,0))))=0,NA(),SUMPRODUCT((Inputs!$A$5:$A$190=$B69)*Inputs!$B$5:$B$190*(((Inputs!$G$5:$G$190="moeda")+(Inputs!$G$5:$G$190="acoes"))*Inputs!$B$1+((Inputs!$G$5:$G$190&lt;&gt;"moeda")*(Inputs!$G$5:$G$190&lt;&gt;"acoes")))*INDEX(Inputs!$K$5:$AJ$190,0,MATCH(AD$2,Inputs!$K$4:$AJ$4,0)))+SUMPRODUCT((Inputs!$C$5:$C$190=$B69)*Inputs!$D$5:$D$190*(((Inputs!$G$5:$G$190="moeda")+(Inputs!$G$5:$G$190="acoes"))*Inputs!$B$1+((Inputs!$G$5:$G$190&lt;&gt;"moeda")*(Inputs!$G$5:$G$190&lt;&gt;"acoes")))*INDEX(Inputs!$K$5:$AJ$190,0,MATCH(AD$2,Inputs!$K$4:$AJ$4,0)))+SUMPRODUCT((Inputs!$E$5:$E$190=$B69)*Inputs!$F$5:$F$190*(((Inputs!$G$5:$G$190="moeda")+(Inputs!$G$5:$G$190="acoes"))*Inputs!$B$1+((Inputs!$G$5:$G$190&lt;&gt;"moeda")*(Inputs!$G$5:$G$190&lt;&gt;"acoes")))*INDEX(Inputs!$K$5:$AJ$190,0,MATCH(AD$2,Inputs!$K$4:$AJ$4,0)))))</f>
        <v>0.762080418024289</v>
      </c>
      <c r="AE69" s="268" t="e">
        <f>IF(ISNA(MATCH(AE$2,Inputs!$K$4:$AJ$4,0)),NA(),IF(SUMPRODUCT((Inputs!$A$5:$A$190=$B69)*ISNUMBER(INDEX(Inputs!$K$5:$AJ$190,0,MATCH(AE$2,Inputs!$K$4:$AJ$4,0))))+SUMPRODUCT((Inputs!$C$5:$C$190=$B69)*ISNUMBER(INDEX(Inputs!$K$5:$AJ$190,0,MATCH(AE$2,Inputs!$K$4:$AJ$4,0))))+SUMPRODUCT((Inputs!$E$5:$E$190=$B69)*ISNUMBER(INDEX(Inputs!$K$5:$AJ$190,0,MATCH(AE$2,Inputs!$K$4:$AJ$4,0))))=0,NA(),SUMPRODUCT((Inputs!$A$5:$A$190=$B69)*Inputs!$B$5:$B$190*(((Inputs!$G$5:$G$190="moeda")+(Inputs!$G$5:$G$190="acoes"))*Inputs!$B$1+((Inputs!$G$5:$G$190&lt;&gt;"moeda")*(Inputs!$G$5:$G$190&lt;&gt;"acoes")))*INDEX(Inputs!$K$5:$AJ$190,0,MATCH(AE$2,Inputs!$K$4:$AJ$4,0)))+SUMPRODUCT((Inputs!$C$5:$C$190=$B69)*Inputs!$D$5:$D$190*(((Inputs!$G$5:$G$190="moeda")+(Inputs!$G$5:$G$190="acoes"))*Inputs!$B$1+((Inputs!$G$5:$G$190&lt;&gt;"moeda")*(Inputs!$G$5:$G$190&lt;&gt;"acoes")))*INDEX(Inputs!$K$5:$AJ$190,0,MATCH(AE$2,Inputs!$K$4:$AJ$4,0)))+SUMPRODUCT((Inputs!$E$5:$E$190=$B69)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69" s="268" t="e">
        <f>IF(ISNA(MATCH(AF$2,Inputs!$K$4:$AJ$4,0)),NA(),IF(SUMPRODUCT((Inputs!$A$5:$A$190=$B69)*ISNUMBER(INDEX(Inputs!$K$5:$AJ$190,0,MATCH(AF$2,Inputs!$K$4:$AJ$4,0))))+SUMPRODUCT((Inputs!$C$5:$C$190=$B69)*ISNUMBER(INDEX(Inputs!$K$5:$AJ$190,0,MATCH(AF$2,Inputs!$K$4:$AJ$4,0))))+SUMPRODUCT((Inputs!$E$5:$E$190=$B69)*ISNUMBER(INDEX(Inputs!$K$5:$AJ$190,0,MATCH(AF$2,Inputs!$K$4:$AJ$4,0))))=0,NA(),SUMPRODUCT((Inputs!$A$5:$A$190=$B69)*Inputs!$B$5:$B$190*(((Inputs!$G$5:$G$190="moeda")+(Inputs!$G$5:$G$190="acoes"))*Inputs!$B$1+((Inputs!$G$5:$G$190&lt;&gt;"moeda")*(Inputs!$G$5:$G$190&lt;&gt;"acoes")))*INDEX(Inputs!$K$5:$AJ$190,0,MATCH(AF$2,Inputs!$K$4:$AJ$4,0)))+SUMPRODUCT((Inputs!$C$5:$C$190=$B69)*Inputs!$D$5:$D$190*(((Inputs!$G$5:$G$190="moeda")+(Inputs!$G$5:$G$190="acoes"))*Inputs!$B$1+((Inputs!$G$5:$G$190&lt;&gt;"moeda")*(Inputs!$G$5:$G$190&lt;&gt;"acoes")))*INDEX(Inputs!$K$5:$AJ$190,0,MATCH(AF$2,Inputs!$K$4:$AJ$4,0)))+SUMPRODUCT((Inputs!$E$5:$E$190=$B69)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69" s="40" t="n"/>
      <c r="AH69" s="268">
        <f>IF(ISNA(MATCH(AH$2,Inputs!$K$4:$AJ$4,0)),NA(),IF(SUMPRODUCT((Inputs!$A$5:$A$190=$B69)*ISNUMBER(INDEX(Inputs!$K$5:$AJ$190,0,MATCH(AH$2,Inputs!$K$4:$AJ$4,0))))+SUMPRODUCT((Inputs!$C$5:$C$190=$B69)*ISNUMBER(INDEX(Inputs!$K$5:$AJ$190,0,MATCH(AH$2,Inputs!$K$4:$AJ$4,0))))+SUMPRODUCT((Inputs!$E$5:$E$190=$B69)*ISNUMBER(INDEX(Inputs!$K$5:$AJ$190,0,MATCH(AH$2,Inputs!$K$4:$AJ$4,0))))=0,NA(),SUMPRODUCT((Inputs!$A$5:$A$190=$B69)*Inputs!$B$5:$B$190*(((Inputs!$G$5:$G$190="moeda")+(Inputs!$G$5:$G$190="acoes"))*Inputs!$B$1+((Inputs!$G$5:$G$190&lt;&gt;"moeda")*(Inputs!$G$5:$G$190&lt;&gt;"acoes")))*INDEX(Inputs!$K$5:$AJ$190,0,MATCH(AH$2,Inputs!$K$4:$AJ$4,0)))+SUMPRODUCT((Inputs!$C$5:$C$190=$B69)*Inputs!$D$5:$D$190*(((Inputs!$G$5:$G$190="moeda")+(Inputs!$G$5:$G$190="acoes"))*Inputs!$B$1+((Inputs!$G$5:$G$190&lt;&gt;"moeda")*(Inputs!$G$5:$G$190&lt;&gt;"acoes")))*INDEX(Inputs!$K$5:$AJ$190,0,MATCH(AH$2,Inputs!$K$4:$AJ$4,0)))+SUMPRODUCT((Inputs!$E$5:$E$190=$B69)*Inputs!$F$5:$F$190*(((Inputs!$G$5:$G$190="moeda")+(Inputs!$G$5:$G$190="acoes"))*Inputs!$B$1+((Inputs!$G$5:$G$190&lt;&gt;"moeda")*(Inputs!$G$5:$G$190&lt;&gt;"acoes")))*INDEX(Inputs!$K$5:$AJ$190,0,MATCH(AH$2,Inputs!$K$4:$AJ$4,0)))))</f>
        <v>0.752</v>
      </c>
      <c r="AI69" s="268">
        <f>IF(ISNA(MATCH(AI$2,Inputs!$K$4:$AJ$4,0)),NA(),IF(SUMPRODUCT((Inputs!$A$5:$A$190=$B69)*ISNUMBER(INDEX(Inputs!$K$5:$AJ$190,0,MATCH(AI$2,Inputs!$K$4:$AJ$4,0))))+SUMPRODUCT((Inputs!$C$5:$C$190=$B69)*ISNUMBER(INDEX(Inputs!$K$5:$AJ$190,0,MATCH(AI$2,Inputs!$K$4:$AJ$4,0))))+SUMPRODUCT((Inputs!$E$5:$E$190=$B69)*ISNUMBER(INDEX(Inputs!$K$5:$AJ$190,0,MATCH(AI$2,Inputs!$K$4:$AJ$4,0))))=0,NA(),SUMPRODUCT((Inputs!$A$5:$A$190=$B69)*Inputs!$B$5:$B$190*(((Inputs!$G$5:$G$190="moeda")+(Inputs!$G$5:$G$190="acoes"))*Inputs!$B$1+((Inputs!$G$5:$G$190&lt;&gt;"moeda")*(Inputs!$G$5:$G$190&lt;&gt;"acoes")))*INDEX(Inputs!$K$5:$AJ$190,0,MATCH(AI$2,Inputs!$K$4:$AJ$4,0)))+SUMPRODUCT((Inputs!$C$5:$C$190=$B69)*Inputs!$D$5:$D$190*(((Inputs!$G$5:$G$190="moeda")+(Inputs!$G$5:$G$190="acoes"))*Inputs!$B$1+((Inputs!$G$5:$G$190&lt;&gt;"moeda")*(Inputs!$G$5:$G$190&lt;&gt;"acoes")))*INDEX(Inputs!$K$5:$AJ$190,0,MATCH(AI$2,Inputs!$K$4:$AJ$4,0)))+SUMPRODUCT((Inputs!$E$5:$E$190=$B69)*Inputs!$F$5:$F$190*(((Inputs!$G$5:$G$190="moeda")+(Inputs!$G$5:$G$190="acoes"))*Inputs!$B$1+((Inputs!$G$5:$G$190&lt;&gt;"moeda")*(Inputs!$G$5:$G$190&lt;&gt;"acoes")))*INDEX(Inputs!$K$5:$AJ$190,0,MATCH(AI$2,Inputs!$K$4:$AJ$4,0)))))</f>
        <v>0.729</v>
      </c>
      <c r="AJ69" s="268">
        <f>IF(ISNA(MATCH(AJ$2,Inputs!$K$4:$AJ$4,0)),NA(),IF(SUMPRODUCT((Inputs!$A$5:$A$190=$B69)*ISNUMBER(INDEX(Inputs!$K$5:$AJ$190,0,MATCH(AJ$2,Inputs!$K$4:$AJ$4,0))))+SUMPRODUCT((Inputs!$C$5:$C$190=$B69)*ISNUMBER(INDEX(Inputs!$K$5:$AJ$190,0,MATCH(AJ$2,Inputs!$K$4:$AJ$4,0))))+SUMPRODUCT((Inputs!$E$5:$E$190=$B69)*ISNUMBER(INDEX(Inputs!$K$5:$AJ$190,0,MATCH(AJ$2,Inputs!$K$4:$AJ$4,0))))=0,NA(),SUMPRODUCT((Inputs!$A$5:$A$190=$B69)*Inputs!$B$5:$B$190*(((Inputs!$G$5:$G$190="moeda")+(Inputs!$G$5:$G$190="acoes"))*Inputs!$B$1+((Inputs!$G$5:$G$190&lt;&gt;"moeda")*(Inputs!$G$5:$G$190&lt;&gt;"acoes")))*INDEX(Inputs!$K$5:$AJ$190,0,MATCH(AJ$2,Inputs!$K$4:$AJ$4,0)))+SUMPRODUCT((Inputs!$C$5:$C$190=$B69)*Inputs!$D$5:$D$190*(((Inputs!$G$5:$G$190="moeda")+(Inputs!$G$5:$G$190="acoes"))*Inputs!$B$1+((Inputs!$G$5:$G$190&lt;&gt;"moeda")*(Inputs!$G$5:$G$190&lt;&gt;"acoes")))*INDEX(Inputs!$K$5:$AJ$190,0,MATCH(AJ$2,Inputs!$K$4:$AJ$4,0)))+SUMPRODUCT((Inputs!$E$5:$E$190=$B69)*Inputs!$F$5:$F$190*(((Inputs!$G$5:$G$190="moeda")+(Inputs!$G$5:$G$190="acoes"))*Inputs!$B$1+((Inputs!$G$5:$G$190&lt;&gt;"moeda")*(Inputs!$G$5:$G$190&lt;&gt;"acoes")))*INDEX(Inputs!$K$5:$AJ$190,0,MATCH(AJ$2,Inputs!$K$4:$AJ$4,0)))))</f>
        <v>0.827</v>
      </c>
      <c r="AK69" s="268">
        <f>IF(ISNA(MATCH(AK$2,Inputs!$K$4:$AJ$4,0)),NA(),IF(SUMPRODUCT((Inputs!$A$5:$A$190=$B69)*ISNUMBER(INDEX(Inputs!$K$5:$AJ$190,0,MATCH(AK$2,Inputs!$K$4:$AJ$4,0))))+SUMPRODUCT((Inputs!$C$5:$C$190=$B69)*ISNUMBER(INDEX(Inputs!$K$5:$AJ$190,0,MATCH(AK$2,Inputs!$K$4:$AJ$4,0))))+SUMPRODUCT((Inputs!$E$5:$E$190=$B69)*ISNUMBER(INDEX(Inputs!$K$5:$AJ$190,0,MATCH(AK$2,Inputs!$K$4:$AJ$4,0))))=0,NA(),SUMPRODUCT((Inputs!$A$5:$A$190=$B69)*Inputs!$B$5:$B$190*(((Inputs!$G$5:$G$190="moeda")+(Inputs!$G$5:$G$190="acoes"))*Inputs!$B$1+((Inputs!$G$5:$G$190&lt;&gt;"moeda")*(Inputs!$G$5:$G$190&lt;&gt;"acoes")))*INDEX(Inputs!$K$5:$AJ$190,0,MATCH(AK$2,Inputs!$K$4:$AJ$4,0)))+SUMPRODUCT((Inputs!$C$5:$C$190=$B69)*Inputs!$D$5:$D$190*(((Inputs!$G$5:$G$190="moeda")+(Inputs!$G$5:$G$190="acoes"))*Inputs!$B$1+((Inputs!$G$5:$G$190&lt;&gt;"moeda")*(Inputs!$G$5:$G$190&lt;&gt;"acoes")))*INDEX(Inputs!$K$5:$AJ$190,0,MATCH(AK$2,Inputs!$K$4:$AJ$4,0)))+SUMPRODUCT((Inputs!$E$5:$E$190=$B69)*Inputs!$F$5:$F$190*(((Inputs!$G$5:$G$190="moeda")+(Inputs!$G$5:$G$190="acoes"))*Inputs!$B$1+((Inputs!$G$5:$G$190&lt;&gt;"moeda")*(Inputs!$G$5:$G$190&lt;&gt;"acoes")))*INDEX(Inputs!$K$5:$AJ$190,0,MATCH(AK$2,Inputs!$K$4:$AJ$4,0)))))</f>
        <v>0.844</v>
      </c>
      <c r="AL69" s="40" t="n"/>
    </row>
    <row r="70">
      <c r="B70" s="46" t="n">
        <v>62</v>
      </c>
      <c r="C70" s="29" t="inlineStr">
        <is>
          <t>Movida RAC - diaria media (R$; l.18)</t>
        </is>
      </c>
      <c r="D70" s="269">
        <f>IF(ISNA(MATCH(D$2,Inputs!$K$4:$AJ$4,0)),NA(),IF(SUMPRODUCT((Inputs!$A$5:$A$190=$B70)*ISNUMBER(INDEX(Inputs!$K$5:$AJ$190,0,MATCH(D$2,Inputs!$K$4:$AJ$4,0))))+SUMPRODUCT((Inputs!$C$5:$C$190=$B70)*ISNUMBER(INDEX(Inputs!$K$5:$AJ$190,0,MATCH(D$2,Inputs!$K$4:$AJ$4,0))))+SUMPRODUCT((Inputs!$E$5:$E$190=$B70)*ISNUMBER(INDEX(Inputs!$K$5:$AJ$190,0,MATCH(D$2,Inputs!$K$4:$AJ$4,0))))=0,NA(),SUMPRODUCT((Inputs!$A$5:$A$190=$B70)*Inputs!$B$5:$B$190*(((Inputs!$G$5:$G$190="moeda")+(Inputs!$G$5:$G$190="acoes"))*Inputs!$B$1+((Inputs!$G$5:$G$190&lt;&gt;"moeda")*(Inputs!$G$5:$G$190&lt;&gt;"acoes")))*INDEX(Inputs!$K$5:$AJ$190,0,MATCH(D$2,Inputs!$K$4:$AJ$4,0)))+SUMPRODUCT((Inputs!$C$5:$C$190=$B70)*Inputs!$D$5:$D$190*(((Inputs!$G$5:$G$190="moeda")+(Inputs!$G$5:$G$190="acoes"))*Inputs!$B$1+((Inputs!$G$5:$G$190&lt;&gt;"moeda")*(Inputs!$G$5:$G$190&lt;&gt;"acoes")))*INDEX(Inputs!$K$5:$AJ$190,0,MATCH(D$2,Inputs!$K$4:$AJ$4,0)))+SUMPRODUCT((Inputs!$E$5:$E$190=$B70)*Inputs!$F$5:$F$190*(((Inputs!$G$5:$G$190="moeda")+(Inputs!$G$5:$G$190="acoes"))*Inputs!$B$1+((Inputs!$G$5:$G$190&lt;&gt;"moeda")*(Inputs!$G$5:$G$190&lt;&gt;"acoes")))*INDEX(Inputs!$K$5:$AJ$190,0,MATCH(D$2,Inputs!$K$4:$AJ$4,0)))))</f>
        <v>81.742</v>
      </c>
      <c r="E70" s="269">
        <f>IF(ISNA(MATCH(E$2,Inputs!$K$4:$AJ$4,0)),NA(),IF(SUMPRODUCT((Inputs!$A$5:$A$190=$B70)*ISNUMBER(INDEX(Inputs!$K$5:$AJ$190,0,MATCH(E$2,Inputs!$K$4:$AJ$4,0))))+SUMPRODUCT((Inputs!$C$5:$C$190=$B70)*ISNUMBER(INDEX(Inputs!$K$5:$AJ$190,0,MATCH(E$2,Inputs!$K$4:$AJ$4,0))))+SUMPRODUCT((Inputs!$E$5:$E$190=$B70)*ISNUMBER(INDEX(Inputs!$K$5:$AJ$190,0,MATCH(E$2,Inputs!$K$4:$AJ$4,0))))=0,NA(),SUMPRODUCT((Inputs!$A$5:$A$190=$B70)*Inputs!$B$5:$B$190*(((Inputs!$G$5:$G$190="moeda")+(Inputs!$G$5:$G$190="acoes"))*Inputs!$B$1+((Inputs!$G$5:$G$190&lt;&gt;"moeda")*(Inputs!$G$5:$G$190&lt;&gt;"acoes")))*INDEX(Inputs!$K$5:$AJ$190,0,MATCH(E$2,Inputs!$K$4:$AJ$4,0)))+SUMPRODUCT((Inputs!$C$5:$C$190=$B70)*Inputs!$D$5:$D$190*(((Inputs!$G$5:$G$190="moeda")+(Inputs!$G$5:$G$190="acoes"))*Inputs!$B$1+((Inputs!$G$5:$G$190&lt;&gt;"moeda")*(Inputs!$G$5:$G$190&lt;&gt;"acoes")))*INDEX(Inputs!$K$5:$AJ$190,0,MATCH(E$2,Inputs!$K$4:$AJ$4,0)))+SUMPRODUCT((Inputs!$E$5:$E$190=$B70)*Inputs!$F$5:$F$190*(((Inputs!$G$5:$G$190="moeda")+(Inputs!$G$5:$G$190="acoes"))*Inputs!$B$1+((Inputs!$G$5:$G$190&lt;&gt;"moeda")*(Inputs!$G$5:$G$190&lt;&gt;"acoes")))*INDEX(Inputs!$K$5:$AJ$190,0,MATCH(E$2,Inputs!$K$4:$AJ$4,0)))))</f>
        <v>84.087</v>
      </c>
      <c r="F70" s="269">
        <f>IF(ISNA(MATCH(F$2,Inputs!$K$4:$AJ$4,0)),NA(),IF(SUMPRODUCT((Inputs!$A$5:$A$190=$B70)*ISNUMBER(INDEX(Inputs!$K$5:$AJ$190,0,MATCH(F$2,Inputs!$K$4:$AJ$4,0))))+SUMPRODUCT((Inputs!$C$5:$C$190=$B70)*ISNUMBER(INDEX(Inputs!$K$5:$AJ$190,0,MATCH(F$2,Inputs!$K$4:$AJ$4,0))))+SUMPRODUCT((Inputs!$E$5:$E$190=$B70)*ISNUMBER(INDEX(Inputs!$K$5:$AJ$190,0,MATCH(F$2,Inputs!$K$4:$AJ$4,0))))=0,NA(),SUMPRODUCT((Inputs!$A$5:$A$190=$B70)*Inputs!$B$5:$B$190*(((Inputs!$G$5:$G$190="moeda")+(Inputs!$G$5:$G$190="acoes"))*Inputs!$B$1+((Inputs!$G$5:$G$190&lt;&gt;"moeda")*(Inputs!$G$5:$G$190&lt;&gt;"acoes")))*INDEX(Inputs!$K$5:$AJ$190,0,MATCH(F$2,Inputs!$K$4:$AJ$4,0)))+SUMPRODUCT((Inputs!$C$5:$C$190=$B70)*Inputs!$D$5:$D$190*(((Inputs!$G$5:$G$190="moeda")+(Inputs!$G$5:$G$190="acoes"))*Inputs!$B$1+((Inputs!$G$5:$G$190&lt;&gt;"moeda")*(Inputs!$G$5:$G$190&lt;&gt;"acoes")))*INDEX(Inputs!$K$5:$AJ$190,0,MATCH(F$2,Inputs!$K$4:$AJ$4,0)))+SUMPRODUCT((Inputs!$E$5:$E$190=$B70)*Inputs!$F$5:$F$190*(((Inputs!$G$5:$G$190="moeda")+(Inputs!$G$5:$G$190="acoes"))*Inputs!$B$1+((Inputs!$G$5:$G$190&lt;&gt;"moeda")*(Inputs!$G$5:$G$190&lt;&gt;"acoes")))*INDEX(Inputs!$K$5:$AJ$190,0,MATCH(F$2,Inputs!$K$4:$AJ$4,0)))))</f>
        <v>96.404</v>
      </c>
      <c r="G70" s="269">
        <f>IF(ISNA(MATCH(G$2,Inputs!$K$4:$AJ$4,0)),NA(),IF(SUMPRODUCT((Inputs!$A$5:$A$190=$B70)*ISNUMBER(INDEX(Inputs!$K$5:$AJ$190,0,MATCH(G$2,Inputs!$K$4:$AJ$4,0))))+SUMPRODUCT((Inputs!$C$5:$C$190=$B70)*ISNUMBER(INDEX(Inputs!$K$5:$AJ$190,0,MATCH(G$2,Inputs!$K$4:$AJ$4,0))))+SUMPRODUCT((Inputs!$E$5:$E$190=$B70)*ISNUMBER(INDEX(Inputs!$K$5:$AJ$190,0,MATCH(G$2,Inputs!$K$4:$AJ$4,0))))=0,NA(),SUMPRODUCT((Inputs!$A$5:$A$190=$B70)*Inputs!$B$5:$B$190*(((Inputs!$G$5:$G$190="moeda")+(Inputs!$G$5:$G$190="acoes"))*Inputs!$B$1+((Inputs!$G$5:$G$190&lt;&gt;"moeda")*(Inputs!$G$5:$G$190&lt;&gt;"acoes")))*INDEX(Inputs!$K$5:$AJ$190,0,MATCH(G$2,Inputs!$K$4:$AJ$4,0)))+SUMPRODUCT((Inputs!$C$5:$C$190=$B70)*Inputs!$D$5:$D$190*(((Inputs!$G$5:$G$190="moeda")+(Inputs!$G$5:$G$190="acoes"))*Inputs!$B$1+((Inputs!$G$5:$G$190&lt;&gt;"moeda")*(Inputs!$G$5:$G$190&lt;&gt;"acoes")))*INDEX(Inputs!$K$5:$AJ$190,0,MATCH(G$2,Inputs!$K$4:$AJ$4,0)))+SUMPRODUCT((Inputs!$E$5:$E$190=$B70)*Inputs!$F$5:$F$190*(((Inputs!$G$5:$G$190="moeda")+(Inputs!$G$5:$G$190="acoes"))*Inputs!$B$1+((Inputs!$G$5:$G$190&lt;&gt;"moeda")*(Inputs!$G$5:$G$190&lt;&gt;"acoes")))*INDEX(Inputs!$K$5:$AJ$190,0,MATCH(G$2,Inputs!$K$4:$AJ$4,0)))))</f>
        <v>118.614</v>
      </c>
      <c r="H70" s="270" t="n"/>
      <c r="I70" s="269">
        <f>IF(ISNA(MATCH(I$2,Inputs!$K$4:$AJ$4,0)),NA(),IF(SUMPRODUCT((Inputs!$A$5:$A$190=$B70)*ISNUMBER(INDEX(Inputs!$K$5:$AJ$190,0,MATCH(I$2,Inputs!$K$4:$AJ$4,0))))+SUMPRODUCT((Inputs!$C$5:$C$190=$B70)*ISNUMBER(INDEX(Inputs!$K$5:$AJ$190,0,MATCH(I$2,Inputs!$K$4:$AJ$4,0))))+SUMPRODUCT((Inputs!$E$5:$E$190=$B70)*ISNUMBER(INDEX(Inputs!$K$5:$AJ$190,0,MATCH(I$2,Inputs!$K$4:$AJ$4,0))))=0,NA(),SUMPRODUCT((Inputs!$A$5:$A$190=$B70)*Inputs!$B$5:$B$190*(((Inputs!$G$5:$G$190="moeda")+(Inputs!$G$5:$G$190="acoes"))*Inputs!$B$1+((Inputs!$G$5:$G$190&lt;&gt;"moeda")*(Inputs!$G$5:$G$190&lt;&gt;"acoes")))*INDEX(Inputs!$K$5:$AJ$190,0,MATCH(I$2,Inputs!$K$4:$AJ$4,0)))+SUMPRODUCT((Inputs!$C$5:$C$190=$B70)*Inputs!$D$5:$D$190*(((Inputs!$G$5:$G$190="moeda")+(Inputs!$G$5:$G$190="acoes"))*Inputs!$B$1+((Inputs!$G$5:$G$190&lt;&gt;"moeda")*(Inputs!$G$5:$G$190&lt;&gt;"acoes")))*INDEX(Inputs!$K$5:$AJ$190,0,MATCH(I$2,Inputs!$K$4:$AJ$4,0)))+SUMPRODUCT((Inputs!$E$5:$E$190=$B70)*Inputs!$F$5:$F$190*(((Inputs!$G$5:$G$190="moeda")+(Inputs!$G$5:$G$190="acoes"))*Inputs!$B$1+((Inputs!$G$5:$G$190&lt;&gt;"moeda")*(Inputs!$G$5:$G$190&lt;&gt;"acoes")))*INDEX(Inputs!$K$5:$AJ$190,0,MATCH(I$2,Inputs!$K$4:$AJ$4,0)))))</f>
        <v>118.61</v>
      </c>
      <c r="J70" s="269">
        <f>IF(ISNA(MATCH(J$2,Inputs!$K$4:$AJ$4,0)),NA(),IF(SUMPRODUCT((Inputs!$A$5:$A$190=$B70)*ISNUMBER(INDEX(Inputs!$K$5:$AJ$190,0,MATCH(J$2,Inputs!$K$4:$AJ$4,0))))+SUMPRODUCT((Inputs!$C$5:$C$190=$B70)*ISNUMBER(INDEX(Inputs!$K$5:$AJ$190,0,MATCH(J$2,Inputs!$K$4:$AJ$4,0))))+SUMPRODUCT((Inputs!$E$5:$E$190=$B70)*ISNUMBER(INDEX(Inputs!$K$5:$AJ$190,0,MATCH(J$2,Inputs!$K$4:$AJ$4,0))))=0,NA(),SUMPRODUCT((Inputs!$A$5:$A$190=$B70)*Inputs!$B$5:$B$190*(((Inputs!$G$5:$G$190="moeda")+(Inputs!$G$5:$G$190="acoes"))*Inputs!$B$1+((Inputs!$G$5:$G$190&lt;&gt;"moeda")*(Inputs!$G$5:$G$190&lt;&gt;"acoes")))*INDEX(Inputs!$K$5:$AJ$190,0,MATCH(J$2,Inputs!$K$4:$AJ$4,0)))+SUMPRODUCT((Inputs!$C$5:$C$190=$B70)*Inputs!$D$5:$D$190*(((Inputs!$G$5:$G$190="moeda")+(Inputs!$G$5:$G$190="acoes"))*Inputs!$B$1+((Inputs!$G$5:$G$190&lt;&gt;"moeda")*(Inputs!$G$5:$G$190&lt;&gt;"acoes")))*INDEX(Inputs!$K$5:$AJ$190,0,MATCH(J$2,Inputs!$K$4:$AJ$4,0)))+SUMPRODUCT((Inputs!$E$5:$E$190=$B70)*Inputs!$F$5:$F$190*(((Inputs!$G$5:$G$190="moeda")+(Inputs!$G$5:$G$190="acoes"))*Inputs!$B$1+((Inputs!$G$5:$G$190&lt;&gt;"moeda")*(Inputs!$G$5:$G$190&lt;&gt;"acoes")))*INDEX(Inputs!$K$5:$AJ$190,0,MATCH(J$2,Inputs!$K$4:$AJ$4,0)))))</f>
        <v>115.745</v>
      </c>
      <c r="K70" s="269">
        <f>IF(ISNA(MATCH(K$2,Inputs!$K$4:$AJ$4,0)),NA(),IF(SUMPRODUCT((Inputs!$A$5:$A$190=$B70)*ISNUMBER(INDEX(Inputs!$K$5:$AJ$190,0,MATCH(K$2,Inputs!$K$4:$AJ$4,0))))+SUMPRODUCT((Inputs!$C$5:$C$190=$B70)*ISNUMBER(INDEX(Inputs!$K$5:$AJ$190,0,MATCH(K$2,Inputs!$K$4:$AJ$4,0))))+SUMPRODUCT((Inputs!$E$5:$E$190=$B70)*ISNUMBER(INDEX(Inputs!$K$5:$AJ$190,0,MATCH(K$2,Inputs!$K$4:$AJ$4,0))))=0,NA(),SUMPRODUCT((Inputs!$A$5:$A$190=$B70)*Inputs!$B$5:$B$190*(((Inputs!$G$5:$G$190="moeda")+(Inputs!$G$5:$G$190="acoes"))*Inputs!$B$1+((Inputs!$G$5:$G$190&lt;&gt;"moeda")*(Inputs!$G$5:$G$190&lt;&gt;"acoes")))*INDEX(Inputs!$K$5:$AJ$190,0,MATCH(K$2,Inputs!$K$4:$AJ$4,0)))+SUMPRODUCT((Inputs!$C$5:$C$190=$B70)*Inputs!$D$5:$D$190*(((Inputs!$G$5:$G$190="moeda")+(Inputs!$G$5:$G$190="acoes"))*Inputs!$B$1+((Inputs!$G$5:$G$190&lt;&gt;"moeda")*(Inputs!$G$5:$G$190&lt;&gt;"acoes")))*INDEX(Inputs!$K$5:$AJ$190,0,MATCH(K$2,Inputs!$K$4:$AJ$4,0)))+SUMPRODUCT((Inputs!$E$5:$E$190=$B70)*Inputs!$F$5:$F$190*(((Inputs!$G$5:$G$190="moeda")+(Inputs!$G$5:$G$190="acoes"))*Inputs!$B$1+((Inputs!$G$5:$G$190&lt;&gt;"moeda")*(Inputs!$G$5:$G$190&lt;&gt;"acoes")))*INDEX(Inputs!$K$5:$AJ$190,0,MATCH(K$2,Inputs!$K$4:$AJ$4,0)))))</f>
        <v>128.557</v>
      </c>
      <c r="L70" s="269">
        <f>IF(ISNA(MATCH(L$2,Inputs!$K$4:$AJ$4,0)),NA(),IF(SUMPRODUCT((Inputs!$A$5:$A$190=$B70)*ISNUMBER(INDEX(Inputs!$K$5:$AJ$190,0,MATCH(L$2,Inputs!$K$4:$AJ$4,0))))+SUMPRODUCT((Inputs!$C$5:$C$190=$B70)*ISNUMBER(INDEX(Inputs!$K$5:$AJ$190,0,MATCH(L$2,Inputs!$K$4:$AJ$4,0))))+SUMPRODUCT((Inputs!$E$5:$E$190=$B70)*ISNUMBER(INDEX(Inputs!$K$5:$AJ$190,0,MATCH(L$2,Inputs!$K$4:$AJ$4,0))))=0,NA(),SUMPRODUCT((Inputs!$A$5:$A$190=$B70)*Inputs!$B$5:$B$190*(((Inputs!$G$5:$G$190="moeda")+(Inputs!$G$5:$G$190="acoes"))*Inputs!$B$1+((Inputs!$G$5:$G$190&lt;&gt;"moeda")*(Inputs!$G$5:$G$190&lt;&gt;"acoes")))*INDEX(Inputs!$K$5:$AJ$190,0,MATCH(L$2,Inputs!$K$4:$AJ$4,0)))+SUMPRODUCT((Inputs!$C$5:$C$190=$B70)*Inputs!$D$5:$D$190*(((Inputs!$G$5:$G$190="moeda")+(Inputs!$G$5:$G$190="acoes"))*Inputs!$B$1+((Inputs!$G$5:$G$190&lt;&gt;"moeda")*(Inputs!$G$5:$G$190&lt;&gt;"acoes")))*INDEX(Inputs!$K$5:$AJ$190,0,MATCH(L$2,Inputs!$K$4:$AJ$4,0)))+SUMPRODUCT((Inputs!$E$5:$E$190=$B70)*Inputs!$F$5:$F$190*(((Inputs!$G$5:$G$190="moeda")+(Inputs!$G$5:$G$190="acoes"))*Inputs!$B$1+((Inputs!$G$5:$G$190&lt;&gt;"moeda")*(Inputs!$G$5:$G$190&lt;&gt;"acoes")))*INDEX(Inputs!$K$5:$AJ$190,0,MATCH(L$2,Inputs!$K$4:$AJ$4,0)))))</f>
        <v>127.297</v>
      </c>
      <c r="M70" s="270" t="n"/>
      <c r="N70" s="269">
        <f>IF(ISNA(MATCH(N$2,Inputs!$K$4:$AJ$4,0)),NA(),IF(SUMPRODUCT((Inputs!$A$5:$A$190=$B70)*ISNUMBER(INDEX(Inputs!$K$5:$AJ$190,0,MATCH(N$2,Inputs!$K$4:$AJ$4,0))))+SUMPRODUCT((Inputs!$C$5:$C$190=$B70)*ISNUMBER(INDEX(Inputs!$K$5:$AJ$190,0,MATCH(N$2,Inputs!$K$4:$AJ$4,0))))+SUMPRODUCT((Inputs!$E$5:$E$190=$B70)*ISNUMBER(INDEX(Inputs!$K$5:$AJ$190,0,MATCH(N$2,Inputs!$K$4:$AJ$4,0))))=0,NA(),SUMPRODUCT((Inputs!$A$5:$A$190=$B70)*Inputs!$B$5:$B$190*(((Inputs!$G$5:$G$190="moeda")+(Inputs!$G$5:$G$190="acoes"))*Inputs!$B$1+((Inputs!$G$5:$G$190&lt;&gt;"moeda")*(Inputs!$G$5:$G$190&lt;&gt;"acoes")))*INDEX(Inputs!$K$5:$AJ$190,0,MATCH(N$2,Inputs!$K$4:$AJ$4,0)))+SUMPRODUCT((Inputs!$C$5:$C$190=$B70)*Inputs!$D$5:$D$190*(((Inputs!$G$5:$G$190="moeda")+(Inputs!$G$5:$G$190="acoes"))*Inputs!$B$1+((Inputs!$G$5:$G$190&lt;&gt;"moeda")*(Inputs!$G$5:$G$190&lt;&gt;"acoes")))*INDEX(Inputs!$K$5:$AJ$190,0,MATCH(N$2,Inputs!$K$4:$AJ$4,0)))+SUMPRODUCT((Inputs!$E$5:$E$190=$B70)*Inputs!$F$5:$F$190*(((Inputs!$G$5:$G$190="moeda")+(Inputs!$G$5:$G$190="acoes"))*Inputs!$B$1+((Inputs!$G$5:$G$190&lt;&gt;"moeda")*(Inputs!$G$5:$G$190&lt;&gt;"acoes")))*INDEX(Inputs!$K$5:$AJ$190,0,MATCH(N$2,Inputs!$K$4:$AJ$4,0)))))</f>
        <v>126.002</v>
      </c>
      <c r="O70" s="269">
        <f>IF(ISNA(MATCH(O$2,Inputs!$K$4:$AJ$4,0)),NA(),IF(SUMPRODUCT((Inputs!$A$5:$A$190=$B70)*ISNUMBER(INDEX(Inputs!$K$5:$AJ$190,0,MATCH(O$2,Inputs!$K$4:$AJ$4,0))))+SUMPRODUCT((Inputs!$C$5:$C$190=$B70)*ISNUMBER(INDEX(Inputs!$K$5:$AJ$190,0,MATCH(O$2,Inputs!$K$4:$AJ$4,0))))+SUMPRODUCT((Inputs!$E$5:$E$190=$B70)*ISNUMBER(INDEX(Inputs!$K$5:$AJ$190,0,MATCH(O$2,Inputs!$K$4:$AJ$4,0))))=0,NA(),SUMPRODUCT((Inputs!$A$5:$A$190=$B70)*Inputs!$B$5:$B$190*(((Inputs!$G$5:$G$190="moeda")+(Inputs!$G$5:$G$190="acoes"))*Inputs!$B$1+((Inputs!$G$5:$G$190&lt;&gt;"moeda")*(Inputs!$G$5:$G$190&lt;&gt;"acoes")))*INDEX(Inputs!$K$5:$AJ$190,0,MATCH(O$2,Inputs!$K$4:$AJ$4,0)))+SUMPRODUCT((Inputs!$C$5:$C$190=$B70)*Inputs!$D$5:$D$190*(((Inputs!$G$5:$G$190="moeda")+(Inputs!$G$5:$G$190="acoes"))*Inputs!$B$1+((Inputs!$G$5:$G$190&lt;&gt;"moeda")*(Inputs!$G$5:$G$190&lt;&gt;"acoes")))*INDEX(Inputs!$K$5:$AJ$190,0,MATCH(O$2,Inputs!$K$4:$AJ$4,0)))+SUMPRODUCT((Inputs!$E$5:$E$190=$B70)*Inputs!$F$5:$F$190*(((Inputs!$G$5:$G$190="moeda")+(Inputs!$G$5:$G$190="acoes"))*Inputs!$B$1+((Inputs!$G$5:$G$190&lt;&gt;"moeda")*(Inputs!$G$5:$G$190&lt;&gt;"acoes")))*INDEX(Inputs!$K$5:$AJ$190,0,MATCH(O$2,Inputs!$K$4:$AJ$4,0)))))</f>
        <v>123.362</v>
      </c>
      <c r="P70" s="269">
        <f>IF(ISNA(MATCH(P$2,Inputs!$K$4:$AJ$4,0)),NA(),IF(SUMPRODUCT((Inputs!$A$5:$A$190=$B70)*ISNUMBER(INDEX(Inputs!$K$5:$AJ$190,0,MATCH(P$2,Inputs!$K$4:$AJ$4,0))))+SUMPRODUCT((Inputs!$C$5:$C$190=$B70)*ISNUMBER(INDEX(Inputs!$K$5:$AJ$190,0,MATCH(P$2,Inputs!$K$4:$AJ$4,0))))+SUMPRODUCT((Inputs!$E$5:$E$190=$B70)*ISNUMBER(INDEX(Inputs!$K$5:$AJ$190,0,MATCH(P$2,Inputs!$K$4:$AJ$4,0))))=0,NA(),SUMPRODUCT((Inputs!$A$5:$A$190=$B70)*Inputs!$B$5:$B$190*(((Inputs!$G$5:$G$190="moeda")+(Inputs!$G$5:$G$190="acoes"))*Inputs!$B$1+((Inputs!$G$5:$G$190&lt;&gt;"moeda")*(Inputs!$G$5:$G$190&lt;&gt;"acoes")))*INDEX(Inputs!$K$5:$AJ$190,0,MATCH(P$2,Inputs!$K$4:$AJ$4,0)))+SUMPRODUCT((Inputs!$C$5:$C$190=$B70)*Inputs!$D$5:$D$190*(((Inputs!$G$5:$G$190="moeda")+(Inputs!$G$5:$G$190="acoes"))*Inputs!$B$1+((Inputs!$G$5:$G$190&lt;&gt;"moeda")*(Inputs!$G$5:$G$190&lt;&gt;"acoes")))*INDEX(Inputs!$K$5:$AJ$190,0,MATCH(P$2,Inputs!$K$4:$AJ$4,0)))+SUMPRODUCT((Inputs!$E$5:$E$190=$B70)*Inputs!$F$5:$F$190*(((Inputs!$G$5:$G$190="moeda")+(Inputs!$G$5:$G$190="acoes"))*Inputs!$B$1+((Inputs!$G$5:$G$190&lt;&gt;"moeda")*(Inputs!$G$5:$G$190&lt;&gt;"acoes")))*INDEX(Inputs!$K$5:$AJ$190,0,MATCH(P$2,Inputs!$K$4:$AJ$4,0)))))</f>
        <v>124.524</v>
      </c>
      <c r="Q70" s="269">
        <f>IF(ISNA(MATCH(Q$2,Inputs!$K$4:$AJ$4,0)),NA(),IF(SUMPRODUCT((Inputs!$A$5:$A$190=$B70)*ISNUMBER(INDEX(Inputs!$K$5:$AJ$190,0,MATCH(Q$2,Inputs!$K$4:$AJ$4,0))))+SUMPRODUCT((Inputs!$C$5:$C$190=$B70)*ISNUMBER(INDEX(Inputs!$K$5:$AJ$190,0,MATCH(Q$2,Inputs!$K$4:$AJ$4,0))))+SUMPRODUCT((Inputs!$E$5:$E$190=$B70)*ISNUMBER(INDEX(Inputs!$K$5:$AJ$190,0,MATCH(Q$2,Inputs!$K$4:$AJ$4,0))))=0,NA(),SUMPRODUCT((Inputs!$A$5:$A$190=$B70)*Inputs!$B$5:$B$190*(((Inputs!$G$5:$G$190="moeda")+(Inputs!$G$5:$G$190="acoes"))*Inputs!$B$1+((Inputs!$G$5:$G$190&lt;&gt;"moeda")*(Inputs!$G$5:$G$190&lt;&gt;"acoes")))*INDEX(Inputs!$K$5:$AJ$190,0,MATCH(Q$2,Inputs!$K$4:$AJ$4,0)))+SUMPRODUCT((Inputs!$C$5:$C$190=$B70)*Inputs!$D$5:$D$190*(((Inputs!$G$5:$G$190="moeda")+(Inputs!$G$5:$G$190="acoes"))*Inputs!$B$1+((Inputs!$G$5:$G$190&lt;&gt;"moeda")*(Inputs!$G$5:$G$190&lt;&gt;"acoes")))*INDEX(Inputs!$K$5:$AJ$190,0,MATCH(Q$2,Inputs!$K$4:$AJ$4,0)))+SUMPRODUCT((Inputs!$E$5:$E$190=$B70)*Inputs!$F$5:$F$190*(((Inputs!$G$5:$G$190="moeda")+(Inputs!$G$5:$G$190="acoes"))*Inputs!$B$1+((Inputs!$G$5:$G$190&lt;&gt;"moeda")*(Inputs!$G$5:$G$190&lt;&gt;"acoes")))*INDEX(Inputs!$K$5:$AJ$190,0,MATCH(Q$2,Inputs!$K$4:$AJ$4,0)))))</f>
        <v>126.1</v>
      </c>
      <c r="R70" s="270" t="n"/>
      <c r="S70" s="269">
        <f>IF(ISNA(MATCH(S$2,Inputs!$K$4:$AJ$4,0)),NA(),IF(SUMPRODUCT((Inputs!$A$5:$A$190=$B70)*ISNUMBER(INDEX(Inputs!$K$5:$AJ$190,0,MATCH(S$2,Inputs!$K$4:$AJ$4,0))))+SUMPRODUCT((Inputs!$C$5:$C$190=$B70)*ISNUMBER(INDEX(Inputs!$K$5:$AJ$190,0,MATCH(S$2,Inputs!$K$4:$AJ$4,0))))+SUMPRODUCT((Inputs!$E$5:$E$190=$B70)*ISNUMBER(INDEX(Inputs!$K$5:$AJ$190,0,MATCH(S$2,Inputs!$K$4:$AJ$4,0))))=0,NA(),SUMPRODUCT((Inputs!$A$5:$A$190=$B70)*Inputs!$B$5:$B$190*(((Inputs!$G$5:$G$190="moeda")+(Inputs!$G$5:$G$190="acoes"))*Inputs!$B$1+((Inputs!$G$5:$G$190&lt;&gt;"moeda")*(Inputs!$G$5:$G$190&lt;&gt;"acoes")))*INDEX(Inputs!$K$5:$AJ$190,0,MATCH(S$2,Inputs!$K$4:$AJ$4,0)))+SUMPRODUCT((Inputs!$C$5:$C$190=$B70)*Inputs!$D$5:$D$190*(((Inputs!$G$5:$G$190="moeda")+(Inputs!$G$5:$G$190="acoes"))*Inputs!$B$1+((Inputs!$G$5:$G$190&lt;&gt;"moeda")*(Inputs!$G$5:$G$190&lt;&gt;"acoes")))*INDEX(Inputs!$K$5:$AJ$190,0,MATCH(S$2,Inputs!$K$4:$AJ$4,0)))+SUMPRODUCT((Inputs!$E$5:$E$190=$B70)*Inputs!$F$5:$F$190*(((Inputs!$G$5:$G$190="moeda")+(Inputs!$G$5:$G$190="acoes"))*Inputs!$B$1+((Inputs!$G$5:$G$190&lt;&gt;"moeda")*(Inputs!$G$5:$G$190&lt;&gt;"acoes")))*INDEX(Inputs!$K$5:$AJ$190,0,MATCH(S$2,Inputs!$K$4:$AJ$4,0)))))</f>
        <v>130.299</v>
      </c>
      <c r="T70" s="269">
        <f>IF(ISNA(MATCH(T$2,Inputs!$K$4:$AJ$4,0)),NA(),IF(SUMPRODUCT((Inputs!$A$5:$A$190=$B70)*ISNUMBER(INDEX(Inputs!$K$5:$AJ$190,0,MATCH(T$2,Inputs!$K$4:$AJ$4,0))))+SUMPRODUCT((Inputs!$C$5:$C$190=$B70)*ISNUMBER(INDEX(Inputs!$K$5:$AJ$190,0,MATCH(T$2,Inputs!$K$4:$AJ$4,0))))+SUMPRODUCT((Inputs!$E$5:$E$190=$B70)*ISNUMBER(INDEX(Inputs!$K$5:$AJ$190,0,MATCH(T$2,Inputs!$K$4:$AJ$4,0))))=0,NA(),SUMPRODUCT((Inputs!$A$5:$A$190=$B70)*Inputs!$B$5:$B$190*(((Inputs!$G$5:$G$190="moeda")+(Inputs!$G$5:$G$190="acoes"))*Inputs!$B$1+((Inputs!$G$5:$G$190&lt;&gt;"moeda")*(Inputs!$G$5:$G$190&lt;&gt;"acoes")))*INDEX(Inputs!$K$5:$AJ$190,0,MATCH(T$2,Inputs!$K$4:$AJ$4,0)))+SUMPRODUCT((Inputs!$C$5:$C$190=$B70)*Inputs!$D$5:$D$190*(((Inputs!$G$5:$G$190="moeda")+(Inputs!$G$5:$G$190="acoes"))*Inputs!$B$1+((Inputs!$G$5:$G$190&lt;&gt;"moeda")*(Inputs!$G$5:$G$190&lt;&gt;"acoes")))*INDEX(Inputs!$K$5:$AJ$190,0,MATCH(T$2,Inputs!$K$4:$AJ$4,0)))+SUMPRODUCT((Inputs!$E$5:$E$190=$B70)*Inputs!$F$5:$F$190*(((Inputs!$G$5:$G$190="moeda")+(Inputs!$G$5:$G$190="acoes"))*Inputs!$B$1+((Inputs!$G$5:$G$190&lt;&gt;"moeda")*(Inputs!$G$5:$G$190&lt;&gt;"acoes")))*INDEX(Inputs!$K$5:$AJ$190,0,MATCH(T$2,Inputs!$K$4:$AJ$4,0)))))</f>
        <v>134.541</v>
      </c>
      <c r="U70" s="269">
        <f>IF(ISNA(MATCH(U$2,Inputs!$K$4:$AJ$4,0)),NA(),IF(SUMPRODUCT((Inputs!$A$5:$A$190=$B70)*ISNUMBER(INDEX(Inputs!$K$5:$AJ$190,0,MATCH(U$2,Inputs!$K$4:$AJ$4,0))))+SUMPRODUCT((Inputs!$C$5:$C$190=$B70)*ISNUMBER(INDEX(Inputs!$K$5:$AJ$190,0,MATCH(U$2,Inputs!$K$4:$AJ$4,0))))+SUMPRODUCT((Inputs!$E$5:$E$190=$B70)*ISNUMBER(INDEX(Inputs!$K$5:$AJ$190,0,MATCH(U$2,Inputs!$K$4:$AJ$4,0))))=0,NA(),SUMPRODUCT((Inputs!$A$5:$A$190=$B70)*Inputs!$B$5:$B$190*(((Inputs!$G$5:$G$190="moeda")+(Inputs!$G$5:$G$190="acoes"))*Inputs!$B$1+((Inputs!$G$5:$G$190&lt;&gt;"moeda")*(Inputs!$G$5:$G$190&lt;&gt;"acoes")))*INDEX(Inputs!$K$5:$AJ$190,0,MATCH(U$2,Inputs!$K$4:$AJ$4,0)))+SUMPRODUCT((Inputs!$C$5:$C$190=$B70)*Inputs!$D$5:$D$190*(((Inputs!$G$5:$G$190="moeda")+(Inputs!$G$5:$G$190="acoes"))*Inputs!$B$1+((Inputs!$G$5:$G$190&lt;&gt;"moeda")*(Inputs!$G$5:$G$190&lt;&gt;"acoes")))*INDEX(Inputs!$K$5:$AJ$190,0,MATCH(U$2,Inputs!$K$4:$AJ$4,0)))+SUMPRODUCT((Inputs!$E$5:$E$190=$B70)*Inputs!$F$5:$F$190*(((Inputs!$G$5:$G$190="moeda")+(Inputs!$G$5:$G$190="acoes"))*Inputs!$B$1+((Inputs!$G$5:$G$190&lt;&gt;"moeda")*(Inputs!$G$5:$G$190&lt;&gt;"acoes")))*INDEX(Inputs!$K$5:$AJ$190,0,MATCH(U$2,Inputs!$K$4:$AJ$4,0)))))</f>
        <v>142.036</v>
      </c>
      <c r="V70" s="269">
        <f>IF(ISNA(MATCH(V$2,Inputs!$K$4:$AJ$4,0)),NA(),IF(SUMPRODUCT((Inputs!$A$5:$A$190=$B70)*ISNUMBER(INDEX(Inputs!$K$5:$AJ$190,0,MATCH(V$2,Inputs!$K$4:$AJ$4,0))))+SUMPRODUCT((Inputs!$C$5:$C$190=$B70)*ISNUMBER(INDEX(Inputs!$K$5:$AJ$190,0,MATCH(V$2,Inputs!$K$4:$AJ$4,0))))+SUMPRODUCT((Inputs!$E$5:$E$190=$B70)*ISNUMBER(INDEX(Inputs!$K$5:$AJ$190,0,MATCH(V$2,Inputs!$K$4:$AJ$4,0))))=0,NA(),SUMPRODUCT((Inputs!$A$5:$A$190=$B70)*Inputs!$B$5:$B$190*(((Inputs!$G$5:$G$190="moeda")+(Inputs!$G$5:$G$190="acoes"))*Inputs!$B$1+((Inputs!$G$5:$G$190&lt;&gt;"moeda")*(Inputs!$G$5:$G$190&lt;&gt;"acoes")))*INDEX(Inputs!$K$5:$AJ$190,0,MATCH(V$2,Inputs!$K$4:$AJ$4,0)))+SUMPRODUCT((Inputs!$C$5:$C$190=$B70)*Inputs!$D$5:$D$190*(((Inputs!$G$5:$G$190="moeda")+(Inputs!$G$5:$G$190="acoes"))*Inputs!$B$1+((Inputs!$G$5:$G$190&lt;&gt;"moeda")*(Inputs!$G$5:$G$190&lt;&gt;"acoes")))*INDEX(Inputs!$K$5:$AJ$190,0,MATCH(V$2,Inputs!$K$4:$AJ$4,0)))+SUMPRODUCT((Inputs!$E$5:$E$190=$B70)*Inputs!$F$5:$F$190*(((Inputs!$G$5:$G$190="moeda")+(Inputs!$G$5:$G$190="acoes"))*Inputs!$B$1+((Inputs!$G$5:$G$190&lt;&gt;"moeda")*(Inputs!$G$5:$G$190&lt;&gt;"acoes")))*INDEX(Inputs!$K$5:$AJ$190,0,MATCH(V$2,Inputs!$K$4:$AJ$4,0)))))</f>
        <v>150.723</v>
      </c>
      <c r="W70" s="270" t="n"/>
      <c r="X70" s="269">
        <f>IF(ISNA(MATCH(X$2,Inputs!$K$4:$AJ$4,0)),NA(),IF(SUMPRODUCT((Inputs!$A$5:$A$190=$B70)*ISNUMBER(INDEX(Inputs!$K$5:$AJ$190,0,MATCH(X$2,Inputs!$K$4:$AJ$4,0))))+SUMPRODUCT((Inputs!$C$5:$C$190=$B70)*ISNUMBER(INDEX(Inputs!$K$5:$AJ$190,0,MATCH(X$2,Inputs!$K$4:$AJ$4,0))))+SUMPRODUCT((Inputs!$E$5:$E$190=$B70)*ISNUMBER(INDEX(Inputs!$K$5:$AJ$190,0,MATCH(X$2,Inputs!$K$4:$AJ$4,0))))=0,NA(),SUMPRODUCT((Inputs!$A$5:$A$190=$B70)*Inputs!$B$5:$B$190*(((Inputs!$G$5:$G$190="moeda")+(Inputs!$G$5:$G$190="acoes"))*Inputs!$B$1+((Inputs!$G$5:$G$190&lt;&gt;"moeda")*(Inputs!$G$5:$G$190&lt;&gt;"acoes")))*INDEX(Inputs!$K$5:$AJ$190,0,MATCH(X$2,Inputs!$K$4:$AJ$4,0)))+SUMPRODUCT((Inputs!$C$5:$C$190=$B70)*Inputs!$D$5:$D$190*(((Inputs!$G$5:$G$190="moeda")+(Inputs!$G$5:$G$190="acoes"))*Inputs!$B$1+((Inputs!$G$5:$G$190&lt;&gt;"moeda")*(Inputs!$G$5:$G$190&lt;&gt;"acoes")))*INDEX(Inputs!$K$5:$AJ$190,0,MATCH(X$2,Inputs!$K$4:$AJ$4,0)))+SUMPRODUCT((Inputs!$E$5:$E$190=$B70)*Inputs!$F$5:$F$190*(((Inputs!$G$5:$G$190="moeda")+(Inputs!$G$5:$G$190="acoes"))*Inputs!$B$1+((Inputs!$G$5:$G$190&lt;&gt;"moeda")*(Inputs!$G$5:$G$190&lt;&gt;"acoes")))*INDEX(Inputs!$K$5:$AJ$190,0,MATCH(X$2,Inputs!$K$4:$AJ$4,0)))))</f>
        <v>158.045</v>
      </c>
      <c r="Y70" s="269">
        <f>IF(ISNA(MATCH(Y$2,Inputs!$K$4:$AJ$4,0)),NA(),IF(SUMPRODUCT((Inputs!$A$5:$A$190=$B70)*ISNUMBER(INDEX(Inputs!$K$5:$AJ$190,0,MATCH(Y$2,Inputs!$K$4:$AJ$4,0))))+SUMPRODUCT((Inputs!$C$5:$C$190=$B70)*ISNUMBER(INDEX(Inputs!$K$5:$AJ$190,0,MATCH(Y$2,Inputs!$K$4:$AJ$4,0))))+SUMPRODUCT((Inputs!$E$5:$E$190=$B70)*ISNUMBER(INDEX(Inputs!$K$5:$AJ$190,0,MATCH(Y$2,Inputs!$K$4:$AJ$4,0))))=0,NA(),SUMPRODUCT((Inputs!$A$5:$A$190=$B70)*Inputs!$B$5:$B$190*(((Inputs!$G$5:$G$190="moeda")+(Inputs!$G$5:$G$190="acoes"))*Inputs!$B$1+((Inputs!$G$5:$G$190&lt;&gt;"moeda")*(Inputs!$G$5:$G$190&lt;&gt;"acoes")))*INDEX(Inputs!$K$5:$AJ$190,0,MATCH(Y$2,Inputs!$K$4:$AJ$4,0)))+SUMPRODUCT((Inputs!$C$5:$C$190=$B70)*Inputs!$D$5:$D$190*(((Inputs!$G$5:$G$190="moeda")+(Inputs!$G$5:$G$190="acoes"))*Inputs!$B$1+((Inputs!$G$5:$G$190&lt;&gt;"moeda")*(Inputs!$G$5:$G$190&lt;&gt;"acoes")))*INDEX(Inputs!$K$5:$AJ$190,0,MATCH(Y$2,Inputs!$K$4:$AJ$4,0)))+SUMPRODUCT((Inputs!$E$5:$E$190=$B70)*Inputs!$F$5:$F$190*(((Inputs!$G$5:$G$190="moeda")+(Inputs!$G$5:$G$190="acoes"))*Inputs!$B$1+((Inputs!$G$5:$G$190&lt;&gt;"moeda")*(Inputs!$G$5:$G$190&lt;&gt;"acoes")))*INDEX(Inputs!$K$5:$AJ$190,0,MATCH(Y$2,Inputs!$K$4:$AJ$4,0)))))</f>
        <v>154.171</v>
      </c>
      <c r="Z70" s="269">
        <f>IF(ISNA(MATCH(Z$2,Inputs!$K$4:$AJ$4,0)),NA(),IF(SUMPRODUCT((Inputs!$A$5:$A$190=$B70)*ISNUMBER(INDEX(Inputs!$K$5:$AJ$190,0,MATCH(Z$2,Inputs!$K$4:$AJ$4,0))))+SUMPRODUCT((Inputs!$C$5:$C$190=$B70)*ISNUMBER(INDEX(Inputs!$K$5:$AJ$190,0,MATCH(Z$2,Inputs!$K$4:$AJ$4,0))))+SUMPRODUCT((Inputs!$E$5:$E$190=$B70)*ISNUMBER(INDEX(Inputs!$K$5:$AJ$190,0,MATCH(Z$2,Inputs!$K$4:$AJ$4,0))))=0,NA(),SUMPRODUCT((Inputs!$A$5:$A$190=$B70)*Inputs!$B$5:$B$190*(((Inputs!$G$5:$G$190="moeda")+(Inputs!$G$5:$G$190="acoes"))*Inputs!$B$1+((Inputs!$G$5:$G$190&lt;&gt;"moeda")*(Inputs!$G$5:$G$190&lt;&gt;"acoes")))*INDEX(Inputs!$K$5:$AJ$190,0,MATCH(Z$2,Inputs!$K$4:$AJ$4,0)))+SUMPRODUCT((Inputs!$C$5:$C$190=$B70)*Inputs!$D$5:$D$190*(((Inputs!$G$5:$G$190="moeda")+(Inputs!$G$5:$G$190="acoes"))*Inputs!$B$1+((Inputs!$G$5:$G$190&lt;&gt;"moeda")*(Inputs!$G$5:$G$190&lt;&gt;"acoes")))*INDEX(Inputs!$K$5:$AJ$190,0,MATCH(Z$2,Inputs!$K$4:$AJ$4,0)))+SUMPRODUCT((Inputs!$E$5:$E$190=$B70)*Inputs!$F$5:$F$190*(((Inputs!$G$5:$G$190="moeda")+(Inputs!$G$5:$G$190="acoes"))*Inputs!$B$1+((Inputs!$G$5:$G$190&lt;&gt;"moeda")*(Inputs!$G$5:$G$190&lt;&gt;"acoes")))*INDEX(Inputs!$K$5:$AJ$190,0,MATCH(Z$2,Inputs!$K$4:$AJ$4,0)))))</f>
        <v>159.266</v>
      </c>
      <c r="AA70" s="269">
        <f>IF(ISNA(MATCH(AA$2,Inputs!$K$4:$AJ$4,0)),NA(),IF(SUMPRODUCT((Inputs!$A$5:$A$190=$B70)*ISNUMBER(INDEX(Inputs!$K$5:$AJ$190,0,MATCH(AA$2,Inputs!$K$4:$AJ$4,0))))+SUMPRODUCT((Inputs!$C$5:$C$190=$B70)*ISNUMBER(INDEX(Inputs!$K$5:$AJ$190,0,MATCH(AA$2,Inputs!$K$4:$AJ$4,0))))+SUMPRODUCT((Inputs!$E$5:$E$190=$B70)*ISNUMBER(INDEX(Inputs!$K$5:$AJ$190,0,MATCH(AA$2,Inputs!$K$4:$AJ$4,0))))=0,NA(),SUMPRODUCT((Inputs!$A$5:$A$190=$B70)*Inputs!$B$5:$B$190*(((Inputs!$G$5:$G$190="moeda")+(Inputs!$G$5:$G$190="acoes"))*Inputs!$B$1+((Inputs!$G$5:$G$190&lt;&gt;"moeda")*(Inputs!$G$5:$G$190&lt;&gt;"acoes")))*INDEX(Inputs!$K$5:$AJ$190,0,MATCH(AA$2,Inputs!$K$4:$AJ$4,0)))+SUMPRODUCT((Inputs!$C$5:$C$190=$B70)*Inputs!$D$5:$D$190*(((Inputs!$G$5:$G$190="moeda")+(Inputs!$G$5:$G$190="acoes"))*Inputs!$B$1+((Inputs!$G$5:$G$190&lt;&gt;"moeda")*(Inputs!$G$5:$G$190&lt;&gt;"acoes")))*INDEX(Inputs!$K$5:$AJ$190,0,MATCH(AA$2,Inputs!$K$4:$AJ$4,0)))+SUMPRODUCT((Inputs!$E$5:$E$190=$B70)*Inputs!$F$5:$F$190*(((Inputs!$G$5:$G$190="moeda")+(Inputs!$G$5:$G$190="acoes"))*Inputs!$B$1+((Inputs!$G$5:$G$190&lt;&gt;"moeda")*(Inputs!$G$5:$G$190&lt;&gt;"acoes")))*INDEX(Inputs!$K$5:$AJ$190,0,MATCH(AA$2,Inputs!$K$4:$AJ$4,0)))))</f>
        <v>160.587855709724</v>
      </c>
      <c r="AB70" s="270" t="n"/>
      <c r="AC70" s="269">
        <f>IF(ISNA(MATCH(AC$2,Inputs!$K$4:$AJ$4,0)),NA(),IF(SUMPRODUCT((Inputs!$A$5:$A$190=$B70)*ISNUMBER(INDEX(Inputs!$K$5:$AJ$190,0,MATCH(AC$2,Inputs!$K$4:$AJ$4,0))))+SUMPRODUCT((Inputs!$C$5:$C$190=$B70)*ISNUMBER(INDEX(Inputs!$K$5:$AJ$190,0,MATCH(AC$2,Inputs!$K$4:$AJ$4,0))))+SUMPRODUCT((Inputs!$E$5:$E$190=$B70)*ISNUMBER(INDEX(Inputs!$K$5:$AJ$190,0,MATCH(AC$2,Inputs!$K$4:$AJ$4,0))))=0,NA(),SUMPRODUCT((Inputs!$A$5:$A$190=$B70)*Inputs!$B$5:$B$190*(((Inputs!$G$5:$G$190="moeda")+(Inputs!$G$5:$G$190="acoes"))*Inputs!$B$1+((Inputs!$G$5:$G$190&lt;&gt;"moeda")*(Inputs!$G$5:$G$190&lt;&gt;"acoes")))*INDEX(Inputs!$K$5:$AJ$190,0,MATCH(AC$2,Inputs!$K$4:$AJ$4,0)))+SUMPRODUCT((Inputs!$C$5:$C$190=$B70)*Inputs!$D$5:$D$190*(((Inputs!$G$5:$G$190="moeda")+(Inputs!$G$5:$G$190="acoes"))*Inputs!$B$1+((Inputs!$G$5:$G$190&lt;&gt;"moeda")*(Inputs!$G$5:$G$190&lt;&gt;"acoes")))*INDEX(Inputs!$K$5:$AJ$190,0,MATCH(AC$2,Inputs!$K$4:$AJ$4,0)))+SUMPRODUCT((Inputs!$E$5:$E$190=$B70)*Inputs!$F$5:$F$190*(((Inputs!$G$5:$G$190="moeda")+(Inputs!$G$5:$G$190="acoes"))*Inputs!$B$1+((Inputs!$G$5:$G$190&lt;&gt;"moeda")*(Inputs!$G$5:$G$190&lt;&gt;"acoes")))*INDEX(Inputs!$K$5:$AJ$190,0,MATCH(AC$2,Inputs!$K$4:$AJ$4,0)))))</f>
        <v>168.451826807674</v>
      </c>
      <c r="AD70" s="269">
        <f>IF(ISNA(MATCH(AD$2,Inputs!$K$4:$AJ$4,0)),NA(),IF(SUMPRODUCT((Inputs!$A$5:$A$190=$B70)*ISNUMBER(INDEX(Inputs!$K$5:$AJ$190,0,MATCH(AD$2,Inputs!$K$4:$AJ$4,0))))+SUMPRODUCT((Inputs!$C$5:$C$190=$B70)*ISNUMBER(INDEX(Inputs!$K$5:$AJ$190,0,MATCH(AD$2,Inputs!$K$4:$AJ$4,0))))+SUMPRODUCT((Inputs!$E$5:$E$190=$B70)*ISNUMBER(INDEX(Inputs!$K$5:$AJ$190,0,MATCH(AD$2,Inputs!$K$4:$AJ$4,0))))=0,NA(),SUMPRODUCT((Inputs!$A$5:$A$190=$B70)*Inputs!$B$5:$B$190*(((Inputs!$G$5:$G$190="moeda")+(Inputs!$G$5:$G$190="acoes"))*Inputs!$B$1+((Inputs!$G$5:$G$190&lt;&gt;"moeda")*(Inputs!$G$5:$G$190&lt;&gt;"acoes")))*INDEX(Inputs!$K$5:$AJ$190,0,MATCH(AD$2,Inputs!$K$4:$AJ$4,0)))+SUMPRODUCT((Inputs!$C$5:$C$190=$B70)*Inputs!$D$5:$D$190*(((Inputs!$G$5:$G$190="moeda")+(Inputs!$G$5:$G$190="acoes"))*Inputs!$B$1+((Inputs!$G$5:$G$190&lt;&gt;"moeda")*(Inputs!$G$5:$G$190&lt;&gt;"acoes")))*INDEX(Inputs!$K$5:$AJ$190,0,MATCH(AD$2,Inputs!$K$4:$AJ$4,0)))+SUMPRODUCT((Inputs!$E$5:$E$190=$B70)*Inputs!$F$5:$F$190*(((Inputs!$G$5:$G$190="moeda")+(Inputs!$G$5:$G$190="acoes"))*Inputs!$B$1+((Inputs!$G$5:$G$190&lt;&gt;"moeda")*(Inputs!$G$5:$G$190&lt;&gt;"acoes")))*INDEX(Inputs!$K$5:$AJ$190,0,MATCH(AD$2,Inputs!$K$4:$AJ$4,0)))))</f>
        <v>164.725592338976</v>
      </c>
      <c r="AE70" s="269" t="e">
        <f>IF(ISNA(MATCH(AE$2,Inputs!$K$4:$AJ$4,0)),NA(),IF(SUMPRODUCT((Inputs!$A$5:$A$190=$B70)*ISNUMBER(INDEX(Inputs!$K$5:$AJ$190,0,MATCH(AE$2,Inputs!$K$4:$AJ$4,0))))+SUMPRODUCT((Inputs!$C$5:$C$190=$B70)*ISNUMBER(INDEX(Inputs!$K$5:$AJ$190,0,MATCH(AE$2,Inputs!$K$4:$AJ$4,0))))+SUMPRODUCT((Inputs!$E$5:$E$190=$B70)*ISNUMBER(INDEX(Inputs!$K$5:$AJ$190,0,MATCH(AE$2,Inputs!$K$4:$AJ$4,0))))=0,NA(),SUMPRODUCT((Inputs!$A$5:$A$190=$B70)*Inputs!$B$5:$B$190*(((Inputs!$G$5:$G$190="moeda")+(Inputs!$G$5:$G$190="acoes"))*Inputs!$B$1+((Inputs!$G$5:$G$190&lt;&gt;"moeda")*(Inputs!$G$5:$G$190&lt;&gt;"acoes")))*INDEX(Inputs!$K$5:$AJ$190,0,MATCH(AE$2,Inputs!$K$4:$AJ$4,0)))+SUMPRODUCT((Inputs!$C$5:$C$190=$B70)*Inputs!$D$5:$D$190*(((Inputs!$G$5:$G$190="moeda")+(Inputs!$G$5:$G$190="acoes"))*Inputs!$B$1+((Inputs!$G$5:$G$190&lt;&gt;"moeda")*(Inputs!$G$5:$G$190&lt;&gt;"acoes")))*INDEX(Inputs!$K$5:$AJ$190,0,MATCH(AE$2,Inputs!$K$4:$AJ$4,0)))+SUMPRODUCT((Inputs!$E$5:$E$190=$B70)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70" s="269" t="e">
        <f>IF(ISNA(MATCH(AF$2,Inputs!$K$4:$AJ$4,0)),NA(),IF(SUMPRODUCT((Inputs!$A$5:$A$190=$B70)*ISNUMBER(INDEX(Inputs!$K$5:$AJ$190,0,MATCH(AF$2,Inputs!$K$4:$AJ$4,0))))+SUMPRODUCT((Inputs!$C$5:$C$190=$B70)*ISNUMBER(INDEX(Inputs!$K$5:$AJ$190,0,MATCH(AF$2,Inputs!$K$4:$AJ$4,0))))+SUMPRODUCT((Inputs!$E$5:$E$190=$B70)*ISNUMBER(INDEX(Inputs!$K$5:$AJ$190,0,MATCH(AF$2,Inputs!$K$4:$AJ$4,0))))=0,NA(),SUMPRODUCT((Inputs!$A$5:$A$190=$B70)*Inputs!$B$5:$B$190*(((Inputs!$G$5:$G$190="moeda")+(Inputs!$G$5:$G$190="acoes"))*Inputs!$B$1+((Inputs!$G$5:$G$190&lt;&gt;"moeda")*(Inputs!$G$5:$G$190&lt;&gt;"acoes")))*INDEX(Inputs!$K$5:$AJ$190,0,MATCH(AF$2,Inputs!$K$4:$AJ$4,0)))+SUMPRODUCT((Inputs!$C$5:$C$190=$B70)*Inputs!$D$5:$D$190*(((Inputs!$G$5:$G$190="moeda")+(Inputs!$G$5:$G$190="acoes"))*Inputs!$B$1+((Inputs!$G$5:$G$190&lt;&gt;"moeda")*(Inputs!$G$5:$G$190&lt;&gt;"acoes")))*INDEX(Inputs!$K$5:$AJ$190,0,MATCH(AF$2,Inputs!$K$4:$AJ$4,0)))+SUMPRODUCT((Inputs!$E$5:$E$190=$B70)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70" s="270" t="n"/>
      <c r="AH70" s="269">
        <f>IF(ISNA(MATCH(AH$2,Inputs!$K$4:$AJ$4,0)),NA(),IF(SUMPRODUCT((Inputs!$A$5:$A$190=$B70)*ISNUMBER(INDEX(Inputs!$K$5:$AJ$190,0,MATCH(AH$2,Inputs!$K$4:$AJ$4,0))))+SUMPRODUCT((Inputs!$C$5:$C$190=$B70)*ISNUMBER(INDEX(Inputs!$K$5:$AJ$190,0,MATCH(AH$2,Inputs!$K$4:$AJ$4,0))))+SUMPRODUCT((Inputs!$E$5:$E$190=$B70)*ISNUMBER(INDEX(Inputs!$K$5:$AJ$190,0,MATCH(AH$2,Inputs!$K$4:$AJ$4,0))))=0,NA(),SUMPRODUCT((Inputs!$A$5:$A$190=$B70)*Inputs!$B$5:$B$190*(((Inputs!$G$5:$G$190="moeda")+(Inputs!$G$5:$G$190="acoes"))*Inputs!$B$1+((Inputs!$G$5:$G$190&lt;&gt;"moeda")*(Inputs!$G$5:$G$190&lt;&gt;"acoes")))*INDEX(Inputs!$K$5:$AJ$190,0,MATCH(AH$2,Inputs!$K$4:$AJ$4,0)))+SUMPRODUCT((Inputs!$C$5:$C$190=$B70)*Inputs!$D$5:$D$190*(((Inputs!$G$5:$G$190="moeda")+(Inputs!$G$5:$G$190="acoes"))*Inputs!$B$1+((Inputs!$G$5:$G$190&lt;&gt;"moeda")*(Inputs!$G$5:$G$190&lt;&gt;"acoes")))*INDEX(Inputs!$K$5:$AJ$190,0,MATCH(AH$2,Inputs!$K$4:$AJ$4,0)))+SUMPRODUCT((Inputs!$E$5:$E$190=$B70)*Inputs!$F$5:$F$190*(((Inputs!$G$5:$G$190="moeda")+(Inputs!$G$5:$G$190="acoes"))*Inputs!$B$1+((Inputs!$G$5:$G$190&lt;&gt;"moeda")*(Inputs!$G$5:$G$190&lt;&gt;"acoes")))*INDEX(Inputs!$K$5:$AJ$190,0,MATCH(AH$2,Inputs!$K$4:$AJ$4,0)))))</f>
        <v>83.427</v>
      </c>
      <c r="AI70" s="269">
        <f>IF(ISNA(MATCH(AI$2,Inputs!$K$4:$AJ$4,0)),NA(),IF(SUMPRODUCT((Inputs!$A$5:$A$190=$B70)*ISNUMBER(INDEX(Inputs!$K$5:$AJ$190,0,MATCH(AI$2,Inputs!$K$4:$AJ$4,0))))+SUMPRODUCT((Inputs!$C$5:$C$190=$B70)*ISNUMBER(INDEX(Inputs!$K$5:$AJ$190,0,MATCH(AI$2,Inputs!$K$4:$AJ$4,0))))+SUMPRODUCT((Inputs!$E$5:$E$190=$B70)*ISNUMBER(INDEX(Inputs!$K$5:$AJ$190,0,MATCH(AI$2,Inputs!$K$4:$AJ$4,0))))=0,NA(),SUMPRODUCT((Inputs!$A$5:$A$190=$B70)*Inputs!$B$5:$B$190*(((Inputs!$G$5:$G$190="moeda")+(Inputs!$G$5:$G$190="acoes"))*Inputs!$B$1+((Inputs!$G$5:$G$190&lt;&gt;"moeda")*(Inputs!$G$5:$G$190&lt;&gt;"acoes")))*INDEX(Inputs!$K$5:$AJ$190,0,MATCH(AI$2,Inputs!$K$4:$AJ$4,0)))+SUMPRODUCT((Inputs!$C$5:$C$190=$B70)*Inputs!$D$5:$D$190*(((Inputs!$G$5:$G$190="moeda")+(Inputs!$G$5:$G$190="acoes"))*Inputs!$B$1+((Inputs!$G$5:$G$190&lt;&gt;"moeda")*(Inputs!$G$5:$G$190&lt;&gt;"acoes")))*INDEX(Inputs!$K$5:$AJ$190,0,MATCH(AI$2,Inputs!$K$4:$AJ$4,0)))+SUMPRODUCT((Inputs!$E$5:$E$190=$B70)*Inputs!$F$5:$F$190*(((Inputs!$G$5:$G$190="moeda")+(Inputs!$G$5:$G$190="acoes"))*Inputs!$B$1+((Inputs!$G$5:$G$190&lt;&gt;"moeda")*(Inputs!$G$5:$G$190&lt;&gt;"acoes")))*INDEX(Inputs!$K$5:$AJ$190,0,MATCH(AI$2,Inputs!$K$4:$AJ$4,0)))))</f>
        <v>59.514</v>
      </c>
      <c r="AJ70" s="269">
        <f>IF(ISNA(MATCH(AJ$2,Inputs!$K$4:$AJ$4,0)),NA(),IF(SUMPRODUCT((Inputs!$A$5:$A$190=$B70)*ISNUMBER(INDEX(Inputs!$K$5:$AJ$190,0,MATCH(AJ$2,Inputs!$K$4:$AJ$4,0))))+SUMPRODUCT((Inputs!$C$5:$C$190=$B70)*ISNUMBER(INDEX(Inputs!$K$5:$AJ$190,0,MATCH(AJ$2,Inputs!$K$4:$AJ$4,0))))+SUMPRODUCT((Inputs!$E$5:$E$190=$B70)*ISNUMBER(INDEX(Inputs!$K$5:$AJ$190,0,MATCH(AJ$2,Inputs!$K$4:$AJ$4,0))))=0,NA(),SUMPRODUCT((Inputs!$A$5:$A$190=$B70)*Inputs!$B$5:$B$190*(((Inputs!$G$5:$G$190="moeda")+(Inputs!$G$5:$G$190="acoes"))*Inputs!$B$1+((Inputs!$G$5:$G$190&lt;&gt;"moeda")*(Inputs!$G$5:$G$190&lt;&gt;"acoes")))*INDEX(Inputs!$K$5:$AJ$190,0,MATCH(AJ$2,Inputs!$K$4:$AJ$4,0)))+SUMPRODUCT((Inputs!$C$5:$C$190=$B70)*Inputs!$D$5:$D$190*(((Inputs!$G$5:$G$190="moeda")+(Inputs!$G$5:$G$190="acoes"))*Inputs!$B$1+((Inputs!$G$5:$G$190&lt;&gt;"moeda")*(Inputs!$G$5:$G$190&lt;&gt;"acoes")))*INDEX(Inputs!$K$5:$AJ$190,0,MATCH(AJ$2,Inputs!$K$4:$AJ$4,0)))+SUMPRODUCT((Inputs!$E$5:$E$190=$B70)*Inputs!$F$5:$F$190*(((Inputs!$G$5:$G$190="moeda")+(Inputs!$G$5:$G$190="acoes"))*Inputs!$B$1+((Inputs!$G$5:$G$190&lt;&gt;"moeda")*(Inputs!$G$5:$G$190&lt;&gt;"acoes")))*INDEX(Inputs!$K$5:$AJ$190,0,MATCH(AJ$2,Inputs!$K$4:$AJ$4,0)))))</f>
        <v>70.337</v>
      </c>
      <c r="AK70" s="269">
        <f>IF(ISNA(MATCH(AK$2,Inputs!$K$4:$AJ$4,0)),NA(),IF(SUMPRODUCT((Inputs!$A$5:$A$190=$B70)*ISNUMBER(INDEX(Inputs!$K$5:$AJ$190,0,MATCH(AK$2,Inputs!$K$4:$AJ$4,0))))+SUMPRODUCT((Inputs!$C$5:$C$190=$B70)*ISNUMBER(INDEX(Inputs!$K$5:$AJ$190,0,MATCH(AK$2,Inputs!$K$4:$AJ$4,0))))+SUMPRODUCT((Inputs!$E$5:$E$190=$B70)*ISNUMBER(INDEX(Inputs!$K$5:$AJ$190,0,MATCH(AK$2,Inputs!$K$4:$AJ$4,0))))=0,NA(),SUMPRODUCT((Inputs!$A$5:$A$190=$B70)*Inputs!$B$5:$B$190*(((Inputs!$G$5:$G$190="moeda")+(Inputs!$G$5:$G$190="acoes"))*Inputs!$B$1+((Inputs!$G$5:$G$190&lt;&gt;"moeda")*(Inputs!$G$5:$G$190&lt;&gt;"acoes")))*INDEX(Inputs!$K$5:$AJ$190,0,MATCH(AK$2,Inputs!$K$4:$AJ$4,0)))+SUMPRODUCT((Inputs!$C$5:$C$190=$B70)*Inputs!$D$5:$D$190*(((Inputs!$G$5:$G$190="moeda")+(Inputs!$G$5:$G$190="acoes"))*Inputs!$B$1+((Inputs!$G$5:$G$190&lt;&gt;"moeda")*(Inputs!$G$5:$G$190&lt;&gt;"acoes")))*INDEX(Inputs!$K$5:$AJ$190,0,MATCH(AK$2,Inputs!$K$4:$AJ$4,0)))+SUMPRODUCT((Inputs!$E$5:$E$190=$B70)*Inputs!$F$5:$F$190*(((Inputs!$G$5:$G$190="moeda")+(Inputs!$G$5:$G$190="acoes"))*Inputs!$B$1+((Inputs!$G$5:$G$190&lt;&gt;"moeda")*(Inputs!$G$5:$G$190&lt;&gt;"acoes")))*INDEX(Inputs!$K$5:$AJ$190,0,MATCH(AK$2,Inputs!$K$4:$AJ$4,0)))))</f>
        <v>84.379</v>
      </c>
      <c r="AL70" s="270" t="n"/>
    </row>
    <row r="71">
      <c r="B71" s="46" t="n">
        <v>63</v>
      </c>
      <c r="C71" s="29" t="inlineStr">
        <is>
          <t>Movida GTF - frota final (carros; l.21)</t>
        </is>
      </c>
      <c r="D71" s="266">
        <f>IF(ISNA(MATCH(D$2,Inputs!$K$4:$AJ$4,0)),NA(),IF(SUMPRODUCT((Inputs!$A$5:$A$190=$B71)*ISNUMBER(INDEX(Inputs!$K$5:$AJ$190,0,MATCH(D$2,Inputs!$K$4:$AJ$4,0))))+SUMPRODUCT((Inputs!$C$5:$C$190=$B71)*ISNUMBER(INDEX(Inputs!$K$5:$AJ$190,0,MATCH(D$2,Inputs!$K$4:$AJ$4,0))))+SUMPRODUCT((Inputs!$E$5:$E$190=$B71)*ISNUMBER(INDEX(Inputs!$K$5:$AJ$190,0,MATCH(D$2,Inputs!$K$4:$AJ$4,0))))=0,NA(),SUMPRODUCT((Inputs!$A$5:$A$190=$B71)*Inputs!$B$5:$B$190*(((Inputs!$G$5:$G$190="moeda")+(Inputs!$G$5:$G$190="acoes"))*Inputs!$B$1+((Inputs!$G$5:$G$190&lt;&gt;"moeda")*(Inputs!$G$5:$G$190&lt;&gt;"acoes")))*INDEX(Inputs!$K$5:$AJ$190,0,MATCH(D$2,Inputs!$K$4:$AJ$4,0)))+SUMPRODUCT((Inputs!$C$5:$C$190=$B71)*Inputs!$D$5:$D$190*(((Inputs!$G$5:$G$190="moeda")+(Inputs!$G$5:$G$190="acoes"))*Inputs!$B$1+((Inputs!$G$5:$G$190&lt;&gt;"moeda")*(Inputs!$G$5:$G$190&lt;&gt;"acoes")))*INDEX(Inputs!$K$5:$AJ$190,0,MATCH(D$2,Inputs!$K$4:$AJ$4,0)))+SUMPRODUCT((Inputs!$E$5:$E$190=$B71)*Inputs!$F$5:$F$190*(((Inputs!$G$5:$G$190="moeda")+(Inputs!$G$5:$G$190="acoes"))*Inputs!$B$1+((Inputs!$G$5:$G$190&lt;&gt;"moeda")*(Inputs!$G$5:$G$190&lt;&gt;"acoes")))*INDEX(Inputs!$K$5:$AJ$190,0,MATCH(D$2,Inputs!$K$4:$AJ$4,0)))))</f>
        <v>52395</v>
      </c>
      <c r="E71" s="266">
        <f>IF(ISNA(MATCH(E$2,Inputs!$K$4:$AJ$4,0)),NA(),IF(SUMPRODUCT((Inputs!$A$5:$A$190=$B71)*ISNUMBER(INDEX(Inputs!$K$5:$AJ$190,0,MATCH(E$2,Inputs!$K$4:$AJ$4,0))))+SUMPRODUCT((Inputs!$C$5:$C$190=$B71)*ISNUMBER(INDEX(Inputs!$K$5:$AJ$190,0,MATCH(E$2,Inputs!$K$4:$AJ$4,0))))+SUMPRODUCT((Inputs!$E$5:$E$190=$B71)*ISNUMBER(INDEX(Inputs!$K$5:$AJ$190,0,MATCH(E$2,Inputs!$K$4:$AJ$4,0))))=0,NA(),SUMPRODUCT((Inputs!$A$5:$A$190=$B71)*Inputs!$B$5:$B$190*(((Inputs!$G$5:$G$190="moeda")+(Inputs!$G$5:$G$190="acoes"))*Inputs!$B$1+((Inputs!$G$5:$G$190&lt;&gt;"moeda")*(Inputs!$G$5:$G$190&lt;&gt;"acoes")))*INDEX(Inputs!$K$5:$AJ$190,0,MATCH(E$2,Inputs!$K$4:$AJ$4,0)))+SUMPRODUCT((Inputs!$C$5:$C$190=$B71)*Inputs!$D$5:$D$190*(((Inputs!$G$5:$G$190="moeda")+(Inputs!$G$5:$G$190="acoes"))*Inputs!$B$1+((Inputs!$G$5:$G$190&lt;&gt;"moeda")*(Inputs!$G$5:$G$190&lt;&gt;"acoes")))*INDEX(Inputs!$K$5:$AJ$190,0,MATCH(E$2,Inputs!$K$4:$AJ$4,0)))+SUMPRODUCT((Inputs!$E$5:$E$190=$B71)*Inputs!$F$5:$F$190*(((Inputs!$G$5:$G$190="moeda")+(Inputs!$G$5:$G$190="acoes"))*Inputs!$B$1+((Inputs!$G$5:$G$190&lt;&gt;"moeda")*(Inputs!$G$5:$G$190&lt;&gt;"acoes")))*INDEX(Inputs!$K$5:$AJ$190,0,MATCH(E$2,Inputs!$K$4:$AJ$4,0)))))</f>
        <v>55776</v>
      </c>
      <c r="F71" s="266">
        <f>IF(ISNA(MATCH(F$2,Inputs!$K$4:$AJ$4,0)),NA(),IF(SUMPRODUCT((Inputs!$A$5:$A$190=$B71)*ISNUMBER(INDEX(Inputs!$K$5:$AJ$190,0,MATCH(F$2,Inputs!$K$4:$AJ$4,0))))+SUMPRODUCT((Inputs!$C$5:$C$190=$B71)*ISNUMBER(INDEX(Inputs!$K$5:$AJ$190,0,MATCH(F$2,Inputs!$K$4:$AJ$4,0))))+SUMPRODUCT((Inputs!$E$5:$E$190=$B71)*ISNUMBER(INDEX(Inputs!$K$5:$AJ$190,0,MATCH(F$2,Inputs!$K$4:$AJ$4,0))))=0,NA(),SUMPRODUCT((Inputs!$A$5:$A$190=$B71)*Inputs!$B$5:$B$190*(((Inputs!$G$5:$G$190="moeda")+(Inputs!$G$5:$G$190="acoes"))*Inputs!$B$1+((Inputs!$G$5:$G$190&lt;&gt;"moeda")*(Inputs!$G$5:$G$190&lt;&gt;"acoes")))*INDEX(Inputs!$K$5:$AJ$190,0,MATCH(F$2,Inputs!$K$4:$AJ$4,0)))+SUMPRODUCT((Inputs!$C$5:$C$190=$B71)*Inputs!$D$5:$D$190*(((Inputs!$G$5:$G$190="moeda")+(Inputs!$G$5:$G$190="acoes"))*Inputs!$B$1+((Inputs!$G$5:$G$190&lt;&gt;"moeda")*(Inputs!$G$5:$G$190&lt;&gt;"acoes")))*INDEX(Inputs!$K$5:$AJ$190,0,MATCH(F$2,Inputs!$K$4:$AJ$4,0)))+SUMPRODUCT((Inputs!$E$5:$E$190=$B71)*Inputs!$F$5:$F$190*(((Inputs!$G$5:$G$190="moeda")+(Inputs!$G$5:$G$190="acoes"))*Inputs!$B$1+((Inputs!$G$5:$G$190&lt;&gt;"moeda")*(Inputs!$G$5:$G$190&lt;&gt;"acoes")))*INDEX(Inputs!$K$5:$AJ$190,0,MATCH(F$2,Inputs!$K$4:$AJ$4,0)))))</f>
        <v>88379</v>
      </c>
      <c r="G71" s="266">
        <f>IF(ISNA(MATCH(G$2,Inputs!$K$4:$AJ$4,0)),NA(),IF(SUMPRODUCT((Inputs!$A$5:$A$190=$B71)*ISNUMBER(INDEX(Inputs!$K$5:$AJ$190,0,MATCH(G$2,Inputs!$K$4:$AJ$4,0))))+SUMPRODUCT((Inputs!$C$5:$C$190=$B71)*ISNUMBER(INDEX(Inputs!$K$5:$AJ$190,0,MATCH(G$2,Inputs!$K$4:$AJ$4,0))))+SUMPRODUCT((Inputs!$E$5:$E$190=$B71)*ISNUMBER(INDEX(Inputs!$K$5:$AJ$190,0,MATCH(G$2,Inputs!$K$4:$AJ$4,0))))=0,NA(),SUMPRODUCT((Inputs!$A$5:$A$190=$B71)*Inputs!$B$5:$B$190*(((Inputs!$G$5:$G$190="moeda")+(Inputs!$G$5:$G$190="acoes"))*Inputs!$B$1+((Inputs!$G$5:$G$190&lt;&gt;"moeda")*(Inputs!$G$5:$G$190&lt;&gt;"acoes")))*INDEX(Inputs!$K$5:$AJ$190,0,MATCH(G$2,Inputs!$K$4:$AJ$4,0)))+SUMPRODUCT((Inputs!$C$5:$C$190=$B71)*Inputs!$D$5:$D$190*(((Inputs!$G$5:$G$190="moeda")+(Inputs!$G$5:$G$190="acoes"))*Inputs!$B$1+((Inputs!$G$5:$G$190&lt;&gt;"moeda")*(Inputs!$G$5:$G$190&lt;&gt;"acoes")))*INDEX(Inputs!$K$5:$AJ$190,0,MATCH(G$2,Inputs!$K$4:$AJ$4,0)))+SUMPRODUCT((Inputs!$E$5:$E$190=$B71)*Inputs!$F$5:$F$190*(((Inputs!$G$5:$G$190="moeda")+(Inputs!$G$5:$G$190="acoes"))*Inputs!$B$1+((Inputs!$G$5:$G$190&lt;&gt;"moeda")*(Inputs!$G$5:$G$190&lt;&gt;"acoes")))*INDEX(Inputs!$K$5:$AJ$190,0,MATCH(G$2,Inputs!$K$4:$AJ$4,0)))))</f>
        <v>96303</v>
      </c>
      <c r="H71" s="267">
        <f>G71</f>
        <v>96303</v>
      </c>
      <c r="I71" s="266">
        <f>IF(ISNA(MATCH(I$2,Inputs!$K$4:$AJ$4,0)),NA(),IF(SUMPRODUCT((Inputs!$A$5:$A$190=$B71)*ISNUMBER(INDEX(Inputs!$K$5:$AJ$190,0,MATCH(I$2,Inputs!$K$4:$AJ$4,0))))+SUMPRODUCT((Inputs!$C$5:$C$190=$B71)*ISNUMBER(INDEX(Inputs!$K$5:$AJ$190,0,MATCH(I$2,Inputs!$K$4:$AJ$4,0))))+SUMPRODUCT((Inputs!$E$5:$E$190=$B71)*ISNUMBER(INDEX(Inputs!$K$5:$AJ$190,0,MATCH(I$2,Inputs!$K$4:$AJ$4,0))))=0,NA(),SUMPRODUCT((Inputs!$A$5:$A$190=$B71)*Inputs!$B$5:$B$190*(((Inputs!$G$5:$G$190="moeda")+(Inputs!$G$5:$G$190="acoes"))*Inputs!$B$1+((Inputs!$G$5:$G$190&lt;&gt;"moeda")*(Inputs!$G$5:$G$190&lt;&gt;"acoes")))*INDEX(Inputs!$K$5:$AJ$190,0,MATCH(I$2,Inputs!$K$4:$AJ$4,0)))+SUMPRODUCT((Inputs!$C$5:$C$190=$B71)*Inputs!$D$5:$D$190*(((Inputs!$G$5:$G$190="moeda")+(Inputs!$G$5:$G$190="acoes"))*Inputs!$B$1+((Inputs!$G$5:$G$190&lt;&gt;"moeda")*(Inputs!$G$5:$G$190&lt;&gt;"acoes")))*INDEX(Inputs!$K$5:$AJ$190,0,MATCH(I$2,Inputs!$K$4:$AJ$4,0)))+SUMPRODUCT((Inputs!$E$5:$E$190=$B71)*Inputs!$F$5:$F$190*(((Inputs!$G$5:$G$190="moeda")+(Inputs!$G$5:$G$190="acoes"))*Inputs!$B$1+((Inputs!$G$5:$G$190&lt;&gt;"moeda")*(Inputs!$G$5:$G$190&lt;&gt;"acoes")))*INDEX(Inputs!$K$5:$AJ$190,0,MATCH(I$2,Inputs!$K$4:$AJ$4,0)))))</f>
        <v>95370</v>
      </c>
      <c r="J71" s="266">
        <f>IF(ISNA(MATCH(J$2,Inputs!$K$4:$AJ$4,0)),NA(),IF(SUMPRODUCT((Inputs!$A$5:$A$190=$B71)*ISNUMBER(INDEX(Inputs!$K$5:$AJ$190,0,MATCH(J$2,Inputs!$K$4:$AJ$4,0))))+SUMPRODUCT((Inputs!$C$5:$C$190=$B71)*ISNUMBER(INDEX(Inputs!$K$5:$AJ$190,0,MATCH(J$2,Inputs!$K$4:$AJ$4,0))))+SUMPRODUCT((Inputs!$E$5:$E$190=$B71)*ISNUMBER(INDEX(Inputs!$K$5:$AJ$190,0,MATCH(J$2,Inputs!$K$4:$AJ$4,0))))=0,NA(),SUMPRODUCT((Inputs!$A$5:$A$190=$B71)*Inputs!$B$5:$B$190*(((Inputs!$G$5:$G$190="moeda")+(Inputs!$G$5:$G$190="acoes"))*Inputs!$B$1+((Inputs!$G$5:$G$190&lt;&gt;"moeda")*(Inputs!$G$5:$G$190&lt;&gt;"acoes")))*INDEX(Inputs!$K$5:$AJ$190,0,MATCH(J$2,Inputs!$K$4:$AJ$4,0)))+SUMPRODUCT((Inputs!$C$5:$C$190=$B71)*Inputs!$D$5:$D$190*(((Inputs!$G$5:$G$190="moeda")+(Inputs!$G$5:$G$190="acoes"))*Inputs!$B$1+((Inputs!$G$5:$G$190&lt;&gt;"moeda")*(Inputs!$G$5:$G$190&lt;&gt;"acoes")))*INDEX(Inputs!$K$5:$AJ$190,0,MATCH(J$2,Inputs!$K$4:$AJ$4,0)))+SUMPRODUCT((Inputs!$E$5:$E$190=$B71)*Inputs!$F$5:$F$190*(((Inputs!$G$5:$G$190="moeda")+(Inputs!$G$5:$G$190="acoes"))*Inputs!$B$1+((Inputs!$G$5:$G$190&lt;&gt;"moeda")*(Inputs!$G$5:$G$190&lt;&gt;"acoes")))*INDEX(Inputs!$K$5:$AJ$190,0,MATCH(J$2,Inputs!$K$4:$AJ$4,0)))))</f>
        <v>106498</v>
      </c>
      <c r="K71" s="266">
        <f>IF(ISNA(MATCH(K$2,Inputs!$K$4:$AJ$4,0)),NA(),IF(SUMPRODUCT((Inputs!$A$5:$A$190=$B71)*ISNUMBER(INDEX(Inputs!$K$5:$AJ$190,0,MATCH(K$2,Inputs!$K$4:$AJ$4,0))))+SUMPRODUCT((Inputs!$C$5:$C$190=$B71)*ISNUMBER(INDEX(Inputs!$K$5:$AJ$190,0,MATCH(K$2,Inputs!$K$4:$AJ$4,0))))+SUMPRODUCT((Inputs!$E$5:$E$190=$B71)*ISNUMBER(INDEX(Inputs!$K$5:$AJ$190,0,MATCH(K$2,Inputs!$K$4:$AJ$4,0))))=0,NA(),SUMPRODUCT((Inputs!$A$5:$A$190=$B71)*Inputs!$B$5:$B$190*(((Inputs!$G$5:$G$190="moeda")+(Inputs!$G$5:$G$190="acoes"))*Inputs!$B$1+((Inputs!$G$5:$G$190&lt;&gt;"moeda")*(Inputs!$G$5:$G$190&lt;&gt;"acoes")))*INDEX(Inputs!$K$5:$AJ$190,0,MATCH(K$2,Inputs!$K$4:$AJ$4,0)))+SUMPRODUCT((Inputs!$C$5:$C$190=$B71)*Inputs!$D$5:$D$190*(((Inputs!$G$5:$G$190="moeda")+(Inputs!$G$5:$G$190="acoes"))*Inputs!$B$1+((Inputs!$G$5:$G$190&lt;&gt;"moeda")*(Inputs!$G$5:$G$190&lt;&gt;"acoes")))*INDEX(Inputs!$K$5:$AJ$190,0,MATCH(K$2,Inputs!$K$4:$AJ$4,0)))+SUMPRODUCT((Inputs!$E$5:$E$190=$B71)*Inputs!$F$5:$F$190*(((Inputs!$G$5:$G$190="moeda")+(Inputs!$G$5:$G$190="acoes"))*Inputs!$B$1+((Inputs!$G$5:$G$190&lt;&gt;"moeda")*(Inputs!$G$5:$G$190&lt;&gt;"acoes")))*INDEX(Inputs!$K$5:$AJ$190,0,MATCH(K$2,Inputs!$K$4:$AJ$4,0)))))</f>
        <v>107728</v>
      </c>
      <c r="L71" s="266">
        <f>IF(ISNA(MATCH(L$2,Inputs!$K$4:$AJ$4,0)),NA(),IF(SUMPRODUCT((Inputs!$A$5:$A$190=$B71)*ISNUMBER(INDEX(Inputs!$K$5:$AJ$190,0,MATCH(L$2,Inputs!$K$4:$AJ$4,0))))+SUMPRODUCT((Inputs!$C$5:$C$190=$B71)*ISNUMBER(INDEX(Inputs!$K$5:$AJ$190,0,MATCH(L$2,Inputs!$K$4:$AJ$4,0))))+SUMPRODUCT((Inputs!$E$5:$E$190=$B71)*ISNUMBER(INDEX(Inputs!$K$5:$AJ$190,0,MATCH(L$2,Inputs!$K$4:$AJ$4,0))))=0,NA(),SUMPRODUCT((Inputs!$A$5:$A$190=$B71)*Inputs!$B$5:$B$190*(((Inputs!$G$5:$G$190="moeda")+(Inputs!$G$5:$G$190="acoes"))*Inputs!$B$1+((Inputs!$G$5:$G$190&lt;&gt;"moeda")*(Inputs!$G$5:$G$190&lt;&gt;"acoes")))*INDEX(Inputs!$K$5:$AJ$190,0,MATCH(L$2,Inputs!$K$4:$AJ$4,0)))+SUMPRODUCT((Inputs!$C$5:$C$190=$B71)*Inputs!$D$5:$D$190*(((Inputs!$G$5:$G$190="moeda")+(Inputs!$G$5:$G$190="acoes"))*Inputs!$B$1+((Inputs!$G$5:$G$190&lt;&gt;"moeda")*(Inputs!$G$5:$G$190&lt;&gt;"acoes")))*INDEX(Inputs!$K$5:$AJ$190,0,MATCH(L$2,Inputs!$K$4:$AJ$4,0)))+SUMPRODUCT((Inputs!$E$5:$E$190=$B71)*Inputs!$F$5:$F$190*(((Inputs!$G$5:$G$190="moeda")+(Inputs!$G$5:$G$190="acoes"))*Inputs!$B$1+((Inputs!$G$5:$G$190&lt;&gt;"moeda")*(Inputs!$G$5:$G$190&lt;&gt;"acoes")))*INDEX(Inputs!$K$5:$AJ$190,0,MATCH(L$2,Inputs!$K$4:$AJ$4,0)))))</f>
        <v>112352</v>
      </c>
      <c r="M71" s="267">
        <f>L71</f>
        <v>112352</v>
      </c>
      <c r="N71" s="266">
        <f>IF(ISNA(MATCH(N$2,Inputs!$K$4:$AJ$4,0)),NA(),IF(SUMPRODUCT((Inputs!$A$5:$A$190=$B71)*ISNUMBER(INDEX(Inputs!$K$5:$AJ$190,0,MATCH(N$2,Inputs!$K$4:$AJ$4,0))))+SUMPRODUCT((Inputs!$C$5:$C$190=$B71)*ISNUMBER(INDEX(Inputs!$K$5:$AJ$190,0,MATCH(N$2,Inputs!$K$4:$AJ$4,0))))+SUMPRODUCT((Inputs!$E$5:$E$190=$B71)*ISNUMBER(INDEX(Inputs!$K$5:$AJ$190,0,MATCH(N$2,Inputs!$K$4:$AJ$4,0))))=0,NA(),SUMPRODUCT((Inputs!$A$5:$A$190=$B71)*Inputs!$B$5:$B$190*(((Inputs!$G$5:$G$190="moeda")+(Inputs!$G$5:$G$190="acoes"))*Inputs!$B$1+((Inputs!$G$5:$G$190&lt;&gt;"moeda")*(Inputs!$G$5:$G$190&lt;&gt;"acoes")))*INDEX(Inputs!$K$5:$AJ$190,0,MATCH(N$2,Inputs!$K$4:$AJ$4,0)))+SUMPRODUCT((Inputs!$C$5:$C$190=$B71)*Inputs!$D$5:$D$190*(((Inputs!$G$5:$G$190="moeda")+(Inputs!$G$5:$G$190="acoes"))*Inputs!$B$1+((Inputs!$G$5:$G$190&lt;&gt;"moeda")*(Inputs!$G$5:$G$190&lt;&gt;"acoes")))*INDEX(Inputs!$K$5:$AJ$190,0,MATCH(N$2,Inputs!$K$4:$AJ$4,0)))+SUMPRODUCT((Inputs!$E$5:$E$190=$B71)*Inputs!$F$5:$F$190*(((Inputs!$G$5:$G$190="moeda")+(Inputs!$G$5:$G$190="acoes"))*Inputs!$B$1+((Inputs!$G$5:$G$190&lt;&gt;"moeda")*(Inputs!$G$5:$G$190&lt;&gt;"acoes")))*INDEX(Inputs!$K$5:$AJ$190,0,MATCH(N$2,Inputs!$K$4:$AJ$4,0)))))</f>
        <v>114617</v>
      </c>
      <c r="O71" s="266">
        <f>IF(ISNA(MATCH(O$2,Inputs!$K$4:$AJ$4,0)),NA(),IF(SUMPRODUCT((Inputs!$A$5:$A$190=$B71)*ISNUMBER(INDEX(Inputs!$K$5:$AJ$190,0,MATCH(O$2,Inputs!$K$4:$AJ$4,0))))+SUMPRODUCT((Inputs!$C$5:$C$190=$B71)*ISNUMBER(INDEX(Inputs!$K$5:$AJ$190,0,MATCH(O$2,Inputs!$K$4:$AJ$4,0))))+SUMPRODUCT((Inputs!$E$5:$E$190=$B71)*ISNUMBER(INDEX(Inputs!$K$5:$AJ$190,0,MATCH(O$2,Inputs!$K$4:$AJ$4,0))))=0,NA(),SUMPRODUCT((Inputs!$A$5:$A$190=$B71)*Inputs!$B$5:$B$190*(((Inputs!$G$5:$G$190="moeda")+(Inputs!$G$5:$G$190="acoes"))*Inputs!$B$1+((Inputs!$G$5:$G$190&lt;&gt;"moeda")*(Inputs!$G$5:$G$190&lt;&gt;"acoes")))*INDEX(Inputs!$K$5:$AJ$190,0,MATCH(O$2,Inputs!$K$4:$AJ$4,0)))+SUMPRODUCT((Inputs!$C$5:$C$190=$B71)*Inputs!$D$5:$D$190*(((Inputs!$G$5:$G$190="moeda")+(Inputs!$G$5:$G$190="acoes"))*Inputs!$B$1+((Inputs!$G$5:$G$190&lt;&gt;"moeda")*(Inputs!$G$5:$G$190&lt;&gt;"acoes")))*INDEX(Inputs!$K$5:$AJ$190,0,MATCH(O$2,Inputs!$K$4:$AJ$4,0)))+SUMPRODUCT((Inputs!$E$5:$E$190=$B71)*Inputs!$F$5:$F$190*(((Inputs!$G$5:$G$190="moeda")+(Inputs!$G$5:$G$190="acoes"))*Inputs!$B$1+((Inputs!$G$5:$G$190&lt;&gt;"moeda")*(Inputs!$G$5:$G$190&lt;&gt;"acoes")))*INDEX(Inputs!$K$5:$AJ$190,0,MATCH(O$2,Inputs!$K$4:$AJ$4,0)))))</f>
        <v>113678</v>
      </c>
      <c r="P71" s="266">
        <f>IF(ISNA(MATCH(P$2,Inputs!$K$4:$AJ$4,0)),NA(),IF(SUMPRODUCT((Inputs!$A$5:$A$190=$B71)*ISNUMBER(INDEX(Inputs!$K$5:$AJ$190,0,MATCH(P$2,Inputs!$K$4:$AJ$4,0))))+SUMPRODUCT((Inputs!$C$5:$C$190=$B71)*ISNUMBER(INDEX(Inputs!$K$5:$AJ$190,0,MATCH(P$2,Inputs!$K$4:$AJ$4,0))))+SUMPRODUCT((Inputs!$E$5:$E$190=$B71)*ISNUMBER(INDEX(Inputs!$K$5:$AJ$190,0,MATCH(P$2,Inputs!$K$4:$AJ$4,0))))=0,NA(),SUMPRODUCT((Inputs!$A$5:$A$190=$B71)*Inputs!$B$5:$B$190*(((Inputs!$G$5:$G$190="moeda")+(Inputs!$G$5:$G$190="acoes"))*Inputs!$B$1+((Inputs!$G$5:$G$190&lt;&gt;"moeda")*(Inputs!$G$5:$G$190&lt;&gt;"acoes")))*INDEX(Inputs!$K$5:$AJ$190,0,MATCH(P$2,Inputs!$K$4:$AJ$4,0)))+SUMPRODUCT((Inputs!$C$5:$C$190=$B71)*Inputs!$D$5:$D$190*(((Inputs!$G$5:$G$190="moeda")+(Inputs!$G$5:$G$190="acoes"))*Inputs!$B$1+((Inputs!$G$5:$G$190&lt;&gt;"moeda")*(Inputs!$G$5:$G$190&lt;&gt;"acoes")))*INDEX(Inputs!$K$5:$AJ$190,0,MATCH(P$2,Inputs!$K$4:$AJ$4,0)))+SUMPRODUCT((Inputs!$E$5:$E$190=$B71)*Inputs!$F$5:$F$190*(((Inputs!$G$5:$G$190="moeda")+(Inputs!$G$5:$G$190="acoes"))*Inputs!$B$1+((Inputs!$G$5:$G$190&lt;&gt;"moeda")*(Inputs!$G$5:$G$190&lt;&gt;"acoes")))*INDEX(Inputs!$K$5:$AJ$190,0,MATCH(P$2,Inputs!$K$4:$AJ$4,0)))))</f>
        <v>119574</v>
      </c>
      <c r="Q71" s="266">
        <f>IF(ISNA(MATCH(Q$2,Inputs!$K$4:$AJ$4,0)),NA(),IF(SUMPRODUCT((Inputs!$A$5:$A$190=$B71)*ISNUMBER(INDEX(Inputs!$K$5:$AJ$190,0,MATCH(Q$2,Inputs!$K$4:$AJ$4,0))))+SUMPRODUCT((Inputs!$C$5:$C$190=$B71)*ISNUMBER(INDEX(Inputs!$K$5:$AJ$190,0,MATCH(Q$2,Inputs!$K$4:$AJ$4,0))))+SUMPRODUCT((Inputs!$E$5:$E$190=$B71)*ISNUMBER(INDEX(Inputs!$K$5:$AJ$190,0,MATCH(Q$2,Inputs!$K$4:$AJ$4,0))))=0,NA(),SUMPRODUCT((Inputs!$A$5:$A$190=$B71)*Inputs!$B$5:$B$190*(((Inputs!$G$5:$G$190="moeda")+(Inputs!$G$5:$G$190="acoes"))*Inputs!$B$1+((Inputs!$G$5:$G$190&lt;&gt;"moeda")*(Inputs!$G$5:$G$190&lt;&gt;"acoes")))*INDEX(Inputs!$K$5:$AJ$190,0,MATCH(Q$2,Inputs!$K$4:$AJ$4,0)))+SUMPRODUCT((Inputs!$C$5:$C$190=$B71)*Inputs!$D$5:$D$190*(((Inputs!$G$5:$G$190="moeda")+(Inputs!$G$5:$G$190="acoes"))*Inputs!$B$1+((Inputs!$G$5:$G$190&lt;&gt;"moeda")*(Inputs!$G$5:$G$190&lt;&gt;"acoes")))*INDEX(Inputs!$K$5:$AJ$190,0,MATCH(Q$2,Inputs!$K$4:$AJ$4,0)))+SUMPRODUCT((Inputs!$E$5:$E$190=$B71)*Inputs!$F$5:$F$190*(((Inputs!$G$5:$G$190="moeda")+(Inputs!$G$5:$G$190="acoes"))*Inputs!$B$1+((Inputs!$G$5:$G$190&lt;&gt;"moeda")*(Inputs!$G$5:$G$190&lt;&gt;"acoes")))*INDEX(Inputs!$K$5:$AJ$190,0,MATCH(Q$2,Inputs!$K$4:$AJ$4,0)))))</f>
        <v>130781</v>
      </c>
      <c r="R71" s="267">
        <f>Q71</f>
        <v>130781</v>
      </c>
      <c r="S71" s="266">
        <f>IF(ISNA(MATCH(S$2,Inputs!$K$4:$AJ$4,0)),NA(),IF(SUMPRODUCT((Inputs!$A$5:$A$190=$B71)*ISNUMBER(INDEX(Inputs!$K$5:$AJ$190,0,MATCH(S$2,Inputs!$K$4:$AJ$4,0))))+SUMPRODUCT((Inputs!$C$5:$C$190=$B71)*ISNUMBER(INDEX(Inputs!$K$5:$AJ$190,0,MATCH(S$2,Inputs!$K$4:$AJ$4,0))))+SUMPRODUCT((Inputs!$E$5:$E$190=$B71)*ISNUMBER(INDEX(Inputs!$K$5:$AJ$190,0,MATCH(S$2,Inputs!$K$4:$AJ$4,0))))=0,NA(),SUMPRODUCT((Inputs!$A$5:$A$190=$B71)*Inputs!$B$5:$B$190*(((Inputs!$G$5:$G$190="moeda")+(Inputs!$G$5:$G$190="acoes"))*Inputs!$B$1+((Inputs!$G$5:$G$190&lt;&gt;"moeda")*(Inputs!$G$5:$G$190&lt;&gt;"acoes")))*INDEX(Inputs!$K$5:$AJ$190,0,MATCH(S$2,Inputs!$K$4:$AJ$4,0)))+SUMPRODUCT((Inputs!$C$5:$C$190=$B71)*Inputs!$D$5:$D$190*(((Inputs!$G$5:$G$190="moeda")+(Inputs!$G$5:$G$190="acoes"))*Inputs!$B$1+((Inputs!$G$5:$G$190&lt;&gt;"moeda")*(Inputs!$G$5:$G$190&lt;&gt;"acoes")))*INDEX(Inputs!$K$5:$AJ$190,0,MATCH(S$2,Inputs!$K$4:$AJ$4,0)))+SUMPRODUCT((Inputs!$E$5:$E$190=$B71)*Inputs!$F$5:$F$190*(((Inputs!$G$5:$G$190="moeda")+(Inputs!$G$5:$G$190="acoes"))*Inputs!$B$1+((Inputs!$G$5:$G$190&lt;&gt;"moeda")*(Inputs!$G$5:$G$190&lt;&gt;"acoes")))*INDEX(Inputs!$K$5:$AJ$190,0,MATCH(S$2,Inputs!$K$4:$AJ$4,0)))))</f>
        <v>135628</v>
      </c>
      <c r="T71" s="266">
        <f>IF(ISNA(MATCH(T$2,Inputs!$K$4:$AJ$4,0)),NA(),IF(SUMPRODUCT((Inputs!$A$5:$A$190=$B71)*ISNUMBER(INDEX(Inputs!$K$5:$AJ$190,0,MATCH(T$2,Inputs!$K$4:$AJ$4,0))))+SUMPRODUCT((Inputs!$C$5:$C$190=$B71)*ISNUMBER(INDEX(Inputs!$K$5:$AJ$190,0,MATCH(T$2,Inputs!$K$4:$AJ$4,0))))+SUMPRODUCT((Inputs!$E$5:$E$190=$B71)*ISNUMBER(INDEX(Inputs!$K$5:$AJ$190,0,MATCH(T$2,Inputs!$K$4:$AJ$4,0))))=0,NA(),SUMPRODUCT((Inputs!$A$5:$A$190=$B71)*Inputs!$B$5:$B$190*(((Inputs!$G$5:$G$190="moeda")+(Inputs!$G$5:$G$190="acoes"))*Inputs!$B$1+((Inputs!$G$5:$G$190&lt;&gt;"moeda")*(Inputs!$G$5:$G$190&lt;&gt;"acoes")))*INDEX(Inputs!$K$5:$AJ$190,0,MATCH(T$2,Inputs!$K$4:$AJ$4,0)))+SUMPRODUCT((Inputs!$C$5:$C$190=$B71)*Inputs!$D$5:$D$190*(((Inputs!$G$5:$G$190="moeda")+(Inputs!$G$5:$G$190="acoes"))*Inputs!$B$1+((Inputs!$G$5:$G$190&lt;&gt;"moeda")*(Inputs!$G$5:$G$190&lt;&gt;"acoes")))*INDEX(Inputs!$K$5:$AJ$190,0,MATCH(T$2,Inputs!$K$4:$AJ$4,0)))+SUMPRODUCT((Inputs!$E$5:$E$190=$B71)*Inputs!$F$5:$F$190*(((Inputs!$G$5:$G$190="moeda")+(Inputs!$G$5:$G$190="acoes"))*Inputs!$B$1+((Inputs!$G$5:$G$190&lt;&gt;"moeda")*(Inputs!$G$5:$G$190&lt;&gt;"acoes")))*INDEX(Inputs!$K$5:$AJ$190,0,MATCH(T$2,Inputs!$K$4:$AJ$4,0)))))</f>
        <v>137648</v>
      </c>
      <c r="U71" s="266">
        <f>IF(ISNA(MATCH(U$2,Inputs!$K$4:$AJ$4,0)),NA(),IF(SUMPRODUCT((Inputs!$A$5:$A$190=$B71)*ISNUMBER(INDEX(Inputs!$K$5:$AJ$190,0,MATCH(U$2,Inputs!$K$4:$AJ$4,0))))+SUMPRODUCT((Inputs!$C$5:$C$190=$B71)*ISNUMBER(INDEX(Inputs!$K$5:$AJ$190,0,MATCH(U$2,Inputs!$K$4:$AJ$4,0))))+SUMPRODUCT((Inputs!$E$5:$E$190=$B71)*ISNUMBER(INDEX(Inputs!$K$5:$AJ$190,0,MATCH(U$2,Inputs!$K$4:$AJ$4,0))))=0,NA(),SUMPRODUCT((Inputs!$A$5:$A$190=$B71)*Inputs!$B$5:$B$190*(((Inputs!$G$5:$G$190="moeda")+(Inputs!$G$5:$G$190="acoes"))*Inputs!$B$1+((Inputs!$G$5:$G$190&lt;&gt;"moeda")*(Inputs!$G$5:$G$190&lt;&gt;"acoes")))*INDEX(Inputs!$K$5:$AJ$190,0,MATCH(U$2,Inputs!$K$4:$AJ$4,0)))+SUMPRODUCT((Inputs!$C$5:$C$190=$B71)*Inputs!$D$5:$D$190*(((Inputs!$G$5:$G$190="moeda")+(Inputs!$G$5:$G$190="acoes"))*Inputs!$B$1+((Inputs!$G$5:$G$190&lt;&gt;"moeda")*(Inputs!$G$5:$G$190&lt;&gt;"acoes")))*INDEX(Inputs!$K$5:$AJ$190,0,MATCH(U$2,Inputs!$K$4:$AJ$4,0)))+SUMPRODUCT((Inputs!$E$5:$E$190=$B71)*Inputs!$F$5:$F$190*(((Inputs!$G$5:$G$190="moeda")+(Inputs!$G$5:$G$190="acoes"))*Inputs!$B$1+((Inputs!$G$5:$G$190&lt;&gt;"moeda")*(Inputs!$G$5:$G$190&lt;&gt;"acoes")))*INDEX(Inputs!$K$5:$AJ$190,0,MATCH(U$2,Inputs!$K$4:$AJ$4,0)))))</f>
        <v>137405</v>
      </c>
      <c r="V71" s="266">
        <f>IF(ISNA(MATCH(V$2,Inputs!$K$4:$AJ$4,0)),NA(),IF(SUMPRODUCT((Inputs!$A$5:$A$190=$B71)*ISNUMBER(INDEX(Inputs!$K$5:$AJ$190,0,MATCH(V$2,Inputs!$K$4:$AJ$4,0))))+SUMPRODUCT((Inputs!$C$5:$C$190=$B71)*ISNUMBER(INDEX(Inputs!$K$5:$AJ$190,0,MATCH(V$2,Inputs!$K$4:$AJ$4,0))))+SUMPRODUCT((Inputs!$E$5:$E$190=$B71)*ISNUMBER(INDEX(Inputs!$K$5:$AJ$190,0,MATCH(V$2,Inputs!$K$4:$AJ$4,0))))=0,NA(),SUMPRODUCT((Inputs!$A$5:$A$190=$B71)*Inputs!$B$5:$B$190*(((Inputs!$G$5:$G$190="moeda")+(Inputs!$G$5:$G$190="acoes"))*Inputs!$B$1+((Inputs!$G$5:$G$190&lt;&gt;"moeda")*(Inputs!$G$5:$G$190&lt;&gt;"acoes")))*INDEX(Inputs!$K$5:$AJ$190,0,MATCH(V$2,Inputs!$K$4:$AJ$4,0)))+SUMPRODUCT((Inputs!$C$5:$C$190=$B71)*Inputs!$D$5:$D$190*(((Inputs!$G$5:$G$190="moeda")+(Inputs!$G$5:$G$190="acoes"))*Inputs!$B$1+((Inputs!$G$5:$G$190&lt;&gt;"moeda")*(Inputs!$G$5:$G$190&lt;&gt;"acoes")))*INDEX(Inputs!$K$5:$AJ$190,0,MATCH(V$2,Inputs!$K$4:$AJ$4,0)))+SUMPRODUCT((Inputs!$E$5:$E$190=$B71)*Inputs!$F$5:$F$190*(((Inputs!$G$5:$G$190="moeda")+(Inputs!$G$5:$G$190="acoes"))*Inputs!$B$1+((Inputs!$G$5:$G$190&lt;&gt;"moeda")*(Inputs!$G$5:$G$190&lt;&gt;"acoes")))*INDEX(Inputs!$K$5:$AJ$190,0,MATCH(V$2,Inputs!$K$4:$AJ$4,0)))))</f>
        <v>146543</v>
      </c>
      <c r="W71" s="267">
        <f>V71</f>
        <v>146543</v>
      </c>
      <c r="X71" s="266">
        <f>IF(ISNA(MATCH(X$2,Inputs!$K$4:$AJ$4,0)),NA(),IF(SUMPRODUCT((Inputs!$A$5:$A$190=$B71)*ISNUMBER(INDEX(Inputs!$K$5:$AJ$190,0,MATCH(X$2,Inputs!$K$4:$AJ$4,0))))+SUMPRODUCT((Inputs!$C$5:$C$190=$B71)*ISNUMBER(INDEX(Inputs!$K$5:$AJ$190,0,MATCH(X$2,Inputs!$K$4:$AJ$4,0))))+SUMPRODUCT((Inputs!$E$5:$E$190=$B71)*ISNUMBER(INDEX(Inputs!$K$5:$AJ$190,0,MATCH(X$2,Inputs!$K$4:$AJ$4,0))))=0,NA(),SUMPRODUCT((Inputs!$A$5:$A$190=$B71)*Inputs!$B$5:$B$190*(((Inputs!$G$5:$G$190="moeda")+(Inputs!$G$5:$G$190="acoes"))*Inputs!$B$1+((Inputs!$G$5:$G$190&lt;&gt;"moeda")*(Inputs!$G$5:$G$190&lt;&gt;"acoes")))*INDEX(Inputs!$K$5:$AJ$190,0,MATCH(X$2,Inputs!$K$4:$AJ$4,0)))+SUMPRODUCT((Inputs!$C$5:$C$190=$B71)*Inputs!$D$5:$D$190*(((Inputs!$G$5:$G$190="moeda")+(Inputs!$G$5:$G$190="acoes"))*Inputs!$B$1+((Inputs!$G$5:$G$190&lt;&gt;"moeda")*(Inputs!$G$5:$G$190&lt;&gt;"acoes")))*INDEX(Inputs!$K$5:$AJ$190,0,MATCH(X$2,Inputs!$K$4:$AJ$4,0)))+SUMPRODUCT((Inputs!$E$5:$E$190=$B71)*Inputs!$F$5:$F$190*(((Inputs!$G$5:$G$190="moeda")+(Inputs!$G$5:$G$190="acoes"))*Inputs!$B$1+((Inputs!$G$5:$G$190&lt;&gt;"moeda")*(Inputs!$G$5:$G$190&lt;&gt;"acoes")))*INDEX(Inputs!$K$5:$AJ$190,0,MATCH(X$2,Inputs!$K$4:$AJ$4,0)))))</f>
        <v>143794</v>
      </c>
      <c r="Y71" s="266">
        <f>IF(ISNA(MATCH(Y$2,Inputs!$K$4:$AJ$4,0)),NA(),IF(SUMPRODUCT((Inputs!$A$5:$A$190=$B71)*ISNUMBER(INDEX(Inputs!$K$5:$AJ$190,0,MATCH(Y$2,Inputs!$K$4:$AJ$4,0))))+SUMPRODUCT((Inputs!$C$5:$C$190=$B71)*ISNUMBER(INDEX(Inputs!$K$5:$AJ$190,0,MATCH(Y$2,Inputs!$K$4:$AJ$4,0))))+SUMPRODUCT((Inputs!$E$5:$E$190=$B71)*ISNUMBER(INDEX(Inputs!$K$5:$AJ$190,0,MATCH(Y$2,Inputs!$K$4:$AJ$4,0))))=0,NA(),SUMPRODUCT((Inputs!$A$5:$A$190=$B71)*Inputs!$B$5:$B$190*(((Inputs!$G$5:$G$190="moeda")+(Inputs!$G$5:$G$190="acoes"))*Inputs!$B$1+((Inputs!$G$5:$G$190&lt;&gt;"moeda")*(Inputs!$G$5:$G$190&lt;&gt;"acoes")))*INDEX(Inputs!$K$5:$AJ$190,0,MATCH(Y$2,Inputs!$K$4:$AJ$4,0)))+SUMPRODUCT((Inputs!$C$5:$C$190=$B71)*Inputs!$D$5:$D$190*(((Inputs!$G$5:$G$190="moeda")+(Inputs!$G$5:$G$190="acoes"))*Inputs!$B$1+((Inputs!$G$5:$G$190&lt;&gt;"moeda")*(Inputs!$G$5:$G$190&lt;&gt;"acoes")))*INDEX(Inputs!$K$5:$AJ$190,0,MATCH(Y$2,Inputs!$K$4:$AJ$4,0)))+SUMPRODUCT((Inputs!$E$5:$E$190=$B71)*Inputs!$F$5:$F$190*(((Inputs!$G$5:$G$190="moeda")+(Inputs!$G$5:$G$190="acoes"))*Inputs!$B$1+((Inputs!$G$5:$G$190&lt;&gt;"moeda")*(Inputs!$G$5:$G$190&lt;&gt;"acoes")))*INDEX(Inputs!$K$5:$AJ$190,0,MATCH(Y$2,Inputs!$K$4:$AJ$4,0)))))</f>
        <v>142296</v>
      </c>
      <c r="Z71" s="266">
        <f>IF(ISNA(MATCH(Z$2,Inputs!$K$4:$AJ$4,0)),NA(),IF(SUMPRODUCT((Inputs!$A$5:$A$190=$B71)*ISNUMBER(INDEX(Inputs!$K$5:$AJ$190,0,MATCH(Z$2,Inputs!$K$4:$AJ$4,0))))+SUMPRODUCT((Inputs!$C$5:$C$190=$B71)*ISNUMBER(INDEX(Inputs!$K$5:$AJ$190,0,MATCH(Z$2,Inputs!$K$4:$AJ$4,0))))+SUMPRODUCT((Inputs!$E$5:$E$190=$B71)*ISNUMBER(INDEX(Inputs!$K$5:$AJ$190,0,MATCH(Z$2,Inputs!$K$4:$AJ$4,0))))=0,NA(),SUMPRODUCT((Inputs!$A$5:$A$190=$B71)*Inputs!$B$5:$B$190*(((Inputs!$G$5:$G$190="moeda")+(Inputs!$G$5:$G$190="acoes"))*Inputs!$B$1+((Inputs!$G$5:$G$190&lt;&gt;"moeda")*(Inputs!$G$5:$G$190&lt;&gt;"acoes")))*INDEX(Inputs!$K$5:$AJ$190,0,MATCH(Z$2,Inputs!$K$4:$AJ$4,0)))+SUMPRODUCT((Inputs!$C$5:$C$190=$B71)*Inputs!$D$5:$D$190*(((Inputs!$G$5:$G$190="moeda")+(Inputs!$G$5:$G$190="acoes"))*Inputs!$B$1+((Inputs!$G$5:$G$190&lt;&gt;"moeda")*(Inputs!$G$5:$G$190&lt;&gt;"acoes")))*INDEX(Inputs!$K$5:$AJ$190,0,MATCH(Z$2,Inputs!$K$4:$AJ$4,0)))+SUMPRODUCT((Inputs!$E$5:$E$190=$B71)*Inputs!$F$5:$F$190*(((Inputs!$G$5:$G$190="moeda")+(Inputs!$G$5:$G$190="acoes"))*Inputs!$B$1+((Inputs!$G$5:$G$190&lt;&gt;"moeda")*(Inputs!$G$5:$G$190&lt;&gt;"acoes")))*INDEX(Inputs!$K$5:$AJ$190,0,MATCH(Z$2,Inputs!$K$4:$AJ$4,0)))))</f>
        <v>143449</v>
      </c>
      <c r="AA71" s="266">
        <f>IF(ISNA(MATCH(AA$2,Inputs!$K$4:$AJ$4,0)),NA(),IF(SUMPRODUCT((Inputs!$A$5:$A$190=$B71)*ISNUMBER(INDEX(Inputs!$K$5:$AJ$190,0,MATCH(AA$2,Inputs!$K$4:$AJ$4,0))))+SUMPRODUCT((Inputs!$C$5:$C$190=$B71)*ISNUMBER(INDEX(Inputs!$K$5:$AJ$190,0,MATCH(AA$2,Inputs!$K$4:$AJ$4,0))))+SUMPRODUCT((Inputs!$E$5:$E$190=$B71)*ISNUMBER(INDEX(Inputs!$K$5:$AJ$190,0,MATCH(AA$2,Inputs!$K$4:$AJ$4,0))))=0,NA(),SUMPRODUCT((Inputs!$A$5:$A$190=$B71)*Inputs!$B$5:$B$190*(((Inputs!$G$5:$G$190="moeda")+(Inputs!$G$5:$G$190="acoes"))*Inputs!$B$1+((Inputs!$G$5:$G$190&lt;&gt;"moeda")*(Inputs!$G$5:$G$190&lt;&gt;"acoes")))*INDEX(Inputs!$K$5:$AJ$190,0,MATCH(AA$2,Inputs!$K$4:$AJ$4,0)))+SUMPRODUCT((Inputs!$C$5:$C$190=$B71)*Inputs!$D$5:$D$190*(((Inputs!$G$5:$G$190="moeda")+(Inputs!$G$5:$G$190="acoes"))*Inputs!$B$1+((Inputs!$G$5:$G$190&lt;&gt;"moeda")*(Inputs!$G$5:$G$190&lt;&gt;"acoes")))*INDEX(Inputs!$K$5:$AJ$190,0,MATCH(AA$2,Inputs!$K$4:$AJ$4,0)))+SUMPRODUCT((Inputs!$E$5:$E$190=$B71)*Inputs!$F$5:$F$190*(((Inputs!$G$5:$G$190="moeda")+(Inputs!$G$5:$G$190="acoes"))*Inputs!$B$1+((Inputs!$G$5:$G$190&lt;&gt;"moeda")*(Inputs!$G$5:$G$190&lt;&gt;"acoes")))*INDEX(Inputs!$K$5:$AJ$190,0,MATCH(AA$2,Inputs!$K$4:$AJ$4,0)))))</f>
        <v>144207</v>
      </c>
      <c r="AB71" s="267">
        <f>AA71</f>
        <v>144207</v>
      </c>
      <c r="AC71" s="266">
        <f>IF(ISNA(MATCH(AC$2,Inputs!$K$4:$AJ$4,0)),NA(),IF(SUMPRODUCT((Inputs!$A$5:$A$190=$B71)*ISNUMBER(INDEX(Inputs!$K$5:$AJ$190,0,MATCH(AC$2,Inputs!$K$4:$AJ$4,0))))+SUMPRODUCT((Inputs!$C$5:$C$190=$B71)*ISNUMBER(INDEX(Inputs!$K$5:$AJ$190,0,MATCH(AC$2,Inputs!$K$4:$AJ$4,0))))+SUMPRODUCT((Inputs!$E$5:$E$190=$B71)*ISNUMBER(INDEX(Inputs!$K$5:$AJ$190,0,MATCH(AC$2,Inputs!$K$4:$AJ$4,0))))=0,NA(),SUMPRODUCT((Inputs!$A$5:$A$190=$B71)*Inputs!$B$5:$B$190*(((Inputs!$G$5:$G$190="moeda")+(Inputs!$G$5:$G$190="acoes"))*Inputs!$B$1+((Inputs!$G$5:$G$190&lt;&gt;"moeda")*(Inputs!$G$5:$G$190&lt;&gt;"acoes")))*INDEX(Inputs!$K$5:$AJ$190,0,MATCH(AC$2,Inputs!$K$4:$AJ$4,0)))+SUMPRODUCT((Inputs!$C$5:$C$190=$B71)*Inputs!$D$5:$D$190*(((Inputs!$G$5:$G$190="moeda")+(Inputs!$G$5:$G$190="acoes"))*Inputs!$B$1+((Inputs!$G$5:$G$190&lt;&gt;"moeda")*(Inputs!$G$5:$G$190&lt;&gt;"acoes")))*INDEX(Inputs!$K$5:$AJ$190,0,MATCH(AC$2,Inputs!$K$4:$AJ$4,0)))+SUMPRODUCT((Inputs!$E$5:$E$190=$B71)*Inputs!$F$5:$F$190*(((Inputs!$G$5:$G$190="moeda")+(Inputs!$G$5:$G$190="acoes"))*Inputs!$B$1+((Inputs!$G$5:$G$190&lt;&gt;"moeda")*(Inputs!$G$5:$G$190&lt;&gt;"acoes")))*INDEX(Inputs!$K$5:$AJ$190,0,MATCH(AC$2,Inputs!$K$4:$AJ$4,0)))))</f>
        <v>141949</v>
      </c>
      <c r="AD71" s="266">
        <f>IF(ISNA(MATCH(AD$2,Inputs!$K$4:$AJ$4,0)),NA(),IF(SUMPRODUCT((Inputs!$A$5:$A$190=$B71)*ISNUMBER(INDEX(Inputs!$K$5:$AJ$190,0,MATCH(AD$2,Inputs!$K$4:$AJ$4,0))))+SUMPRODUCT((Inputs!$C$5:$C$190=$B71)*ISNUMBER(INDEX(Inputs!$K$5:$AJ$190,0,MATCH(AD$2,Inputs!$K$4:$AJ$4,0))))+SUMPRODUCT((Inputs!$E$5:$E$190=$B71)*ISNUMBER(INDEX(Inputs!$K$5:$AJ$190,0,MATCH(AD$2,Inputs!$K$4:$AJ$4,0))))=0,NA(),SUMPRODUCT((Inputs!$A$5:$A$190=$B71)*Inputs!$B$5:$B$190*(((Inputs!$G$5:$G$190="moeda")+(Inputs!$G$5:$G$190="acoes"))*Inputs!$B$1+((Inputs!$G$5:$G$190&lt;&gt;"moeda")*(Inputs!$G$5:$G$190&lt;&gt;"acoes")))*INDEX(Inputs!$K$5:$AJ$190,0,MATCH(AD$2,Inputs!$K$4:$AJ$4,0)))+SUMPRODUCT((Inputs!$C$5:$C$190=$B71)*Inputs!$D$5:$D$190*(((Inputs!$G$5:$G$190="moeda")+(Inputs!$G$5:$G$190="acoes"))*Inputs!$B$1+((Inputs!$G$5:$G$190&lt;&gt;"moeda")*(Inputs!$G$5:$G$190&lt;&gt;"acoes")))*INDEX(Inputs!$K$5:$AJ$190,0,MATCH(AD$2,Inputs!$K$4:$AJ$4,0)))+SUMPRODUCT((Inputs!$E$5:$E$190=$B71)*Inputs!$F$5:$F$190*(((Inputs!$G$5:$G$190="moeda")+(Inputs!$G$5:$G$190="acoes"))*Inputs!$B$1+((Inputs!$G$5:$G$190&lt;&gt;"moeda")*(Inputs!$G$5:$G$190&lt;&gt;"acoes")))*INDEX(Inputs!$K$5:$AJ$190,0,MATCH(AD$2,Inputs!$K$4:$AJ$4,0)))))</f>
        <v>145882</v>
      </c>
      <c r="AE71" s="266" t="e">
        <f>IF(ISNA(MATCH(AE$2,Inputs!$K$4:$AJ$4,0)),NA(),IF(SUMPRODUCT((Inputs!$A$5:$A$190=$B71)*ISNUMBER(INDEX(Inputs!$K$5:$AJ$190,0,MATCH(AE$2,Inputs!$K$4:$AJ$4,0))))+SUMPRODUCT((Inputs!$C$5:$C$190=$B71)*ISNUMBER(INDEX(Inputs!$K$5:$AJ$190,0,MATCH(AE$2,Inputs!$K$4:$AJ$4,0))))+SUMPRODUCT((Inputs!$E$5:$E$190=$B71)*ISNUMBER(INDEX(Inputs!$K$5:$AJ$190,0,MATCH(AE$2,Inputs!$K$4:$AJ$4,0))))=0,NA(),SUMPRODUCT((Inputs!$A$5:$A$190=$B71)*Inputs!$B$5:$B$190*(((Inputs!$G$5:$G$190="moeda")+(Inputs!$G$5:$G$190="acoes"))*Inputs!$B$1+((Inputs!$G$5:$G$190&lt;&gt;"moeda")*(Inputs!$G$5:$G$190&lt;&gt;"acoes")))*INDEX(Inputs!$K$5:$AJ$190,0,MATCH(AE$2,Inputs!$K$4:$AJ$4,0)))+SUMPRODUCT((Inputs!$C$5:$C$190=$B71)*Inputs!$D$5:$D$190*(((Inputs!$G$5:$G$190="moeda")+(Inputs!$G$5:$G$190="acoes"))*Inputs!$B$1+((Inputs!$G$5:$G$190&lt;&gt;"moeda")*(Inputs!$G$5:$G$190&lt;&gt;"acoes")))*INDEX(Inputs!$K$5:$AJ$190,0,MATCH(AE$2,Inputs!$K$4:$AJ$4,0)))+SUMPRODUCT((Inputs!$E$5:$E$190=$B71)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71" s="266" t="e">
        <f>IF(ISNA(MATCH(AF$2,Inputs!$K$4:$AJ$4,0)),NA(),IF(SUMPRODUCT((Inputs!$A$5:$A$190=$B71)*ISNUMBER(INDEX(Inputs!$K$5:$AJ$190,0,MATCH(AF$2,Inputs!$K$4:$AJ$4,0))))+SUMPRODUCT((Inputs!$C$5:$C$190=$B71)*ISNUMBER(INDEX(Inputs!$K$5:$AJ$190,0,MATCH(AF$2,Inputs!$K$4:$AJ$4,0))))+SUMPRODUCT((Inputs!$E$5:$E$190=$B71)*ISNUMBER(INDEX(Inputs!$K$5:$AJ$190,0,MATCH(AF$2,Inputs!$K$4:$AJ$4,0))))=0,NA(),SUMPRODUCT((Inputs!$A$5:$A$190=$B71)*Inputs!$B$5:$B$190*(((Inputs!$G$5:$G$190="moeda")+(Inputs!$G$5:$G$190="acoes"))*Inputs!$B$1+((Inputs!$G$5:$G$190&lt;&gt;"moeda")*(Inputs!$G$5:$G$190&lt;&gt;"acoes")))*INDEX(Inputs!$K$5:$AJ$190,0,MATCH(AF$2,Inputs!$K$4:$AJ$4,0)))+SUMPRODUCT((Inputs!$C$5:$C$190=$B71)*Inputs!$D$5:$D$190*(((Inputs!$G$5:$G$190="moeda")+(Inputs!$G$5:$G$190="acoes"))*Inputs!$B$1+((Inputs!$G$5:$G$190&lt;&gt;"moeda")*(Inputs!$G$5:$G$190&lt;&gt;"acoes")))*INDEX(Inputs!$K$5:$AJ$190,0,MATCH(AF$2,Inputs!$K$4:$AJ$4,0)))+SUMPRODUCT((Inputs!$E$5:$E$190=$B71)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71" s="267" t="e">
        <f>AF71</f>
        <v>#N/A</v>
      </c>
      <c r="AH71" s="266">
        <f>IF(ISNA(MATCH(AH$2,Inputs!$K$4:$AJ$4,0)),NA(),IF(SUMPRODUCT((Inputs!$A$5:$A$190=$B71)*ISNUMBER(INDEX(Inputs!$K$5:$AJ$190,0,MATCH(AH$2,Inputs!$K$4:$AJ$4,0))))+SUMPRODUCT((Inputs!$C$5:$C$190=$B71)*ISNUMBER(INDEX(Inputs!$K$5:$AJ$190,0,MATCH(AH$2,Inputs!$K$4:$AJ$4,0))))+SUMPRODUCT((Inputs!$E$5:$E$190=$B71)*ISNUMBER(INDEX(Inputs!$K$5:$AJ$190,0,MATCH(AH$2,Inputs!$K$4:$AJ$4,0))))=0,NA(),SUMPRODUCT((Inputs!$A$5:$A$190=$B71)*Inputs!$B$5:$B$190*(((Inputs!$G$5:$G$190="moeda")+(Inputs!$G$5:$G$190="acoes"))*Inputs!$B$1+((Inputs!$G$5:$G$190&lt;&gt;"moeda")*(Inputs!$G$5:$G$190&lt;&gt;"acoes")))*INDEX(Inputs!$K$5:$AJ$190,0,MATCH(AH$2,Inputs!$K$4:$AJ$4,0)))+SUMPRODUCT((Inputs!$C$5:$C$190=$B71)*Inputs!$D$5:$D$190*(((Inputs!$G$5:$G$190="moeda")+(Inputs!$G$5:$G$190="acoes"))*Inputs!$B$1+((Inputs!$G$5:$G$190&lt;&gt;"moeda")*(Inputs!$G$5:$G$190&lt;&gt;"acoes")))*INDEX(Inputs!$K$5:$AJ$190,0,MATCH(AH$2,Inputs!$K$4:$AJ$4,0)))+SUMPRODUCT((Inputs!$E$5:$E$190=$B71)*Inputs!$F$5:$F$190*(((Inputs!$G$5:$G$190="moeda")+(Inputs!$G$5:$G$190="acoes"))*Inputs!$B$1+((Inputs!$G$5:$G$190&lt;&gt;"moeda")*(Inputs!$G$5:$G$190&lt;&gt;"acoes")))*INDEX(Inputs!$K$5:$AJ$190,0,MATCH(AH$2,Inputs!$K$4:$AJ$4,0)))))</f>
        <v>40889</v>
      </c>
      <c r="AI71" s="266">
        <f>IF(ISNA(MATCH(AI$2,Inputs!$K$4:$AJ$4,0)),NA(),IF(SUMPRODUCT((Inputs!$A$5:$A$190=$B71)*ISNUMBER(INDEX(Inputs!$K$5:$AJ$190,0,MATCH(AI$2,Inputs!$K$4:$AJ$4,0))))+SUMPRODUCT((Inputs!$C$5:$C$190=$B71)*ISNUMBER(INDEX(Inputs!$K$5:$AJ$190,0,MATCH(AI$2,Inputs!$K$4:$AJ$4,0))))+SUMPRODUCT((Inputs!$E$5:$E$190=$B71)*ISNUMBER(INDEX(Inputs!$K$5:$AJ$190,0,MATCH(AI$2,Inputs!$K$4:$AJ$4,0))))=0,NA(),SUMPRODUCT((Inputs!$A$5:$A$190=$B71)*Inputs!$B$5:$B$190*(((Inputs!$G$5:$G$190="moeda")+(Inputs!$G$5:$G$190="acoes"))*Inputs!$B$1+((Inputs!$G$5:$G$190&lt;&gt;"moeda")*(Inputs!$G$5:$G$190&lt;&gt;"acoes")))*INDEX(Inputs!$K$5:$AJ$190,0,MATCH(AI$2,Inputs!$K$4:$AJ$4,0)))+SUMPRODUCT((Inputs!$C$5:$C$190=$B71)*Inputs!$D$5:$D$190*(((Inputs!$G$5:$G$190="moeda")+(Inputs!$G$5:$G$190="acoes"))*Inputs!$B$1+((Inputs!$G$5:$G$190&lt;&gt;"moeda")*(Inputs!$G$5:$G$190&lt;&gt;"acoes")))*INDEX(Inputs!$K$5:$AJ$190,0,MATCH(AI$2,Inputs!$K$4:$AJ$4,0)))+SUMPRODUCT((Inputs!$E$5:$E$190=$B71)*Inputs!$F$5:$F$190*(((Inputs!$G$5:$G$190="moeda")+(Inputs!$G$5:$G$190="acoes"))*Inputs!$B$1+((Inputs!$G$5:$G$190&lt;&gt;"moeda")*(Inputs!$G$5:$G$190&lt;&gt;"acoes")))*INDEX(Inputs!$K$5:$AJ$190,0,MATCH(AI$2,Inputs!$K$4:$AJ$4,0)))))</f>
        <v>39673</v>
      </c>
      <c r="AJ71" s="266">
        <f>IF(ISNA(MATCH(AJ$2,Inputs!$K$4:$AJ$4,0)),NA(),IF(SUMPRODUCT((Inputs!$A$5:$A$190=$B71)*ISNUMBER(INDEX(Inputs!$K$5:$AJ$190,0,MATCH(AJ$2,Inputs!$K$4:$AJ$4,0))))+SUMPRODUCT((Inputs!$C$5:$C$190=$B71)*ISNUMBER(INDEX(Inputs!$K$5:$AJ$190,0,MATCH(AJ$2,Inputs!$K$4:$AJ$4,0))))+SUMPRODUCT((Inputs!$E$5:$E$190=$B71)*ISNUMBER(INDEX(Inputs!$K$5:$AJ$190,0,MATCH(AJ$2,Inputs!$K$4:$AJ$4,0))))=0,NA(),SUMPRODUCT((Inputs!$A$5:$A$190=$B71)*Inputs!$B$5:$B$190*(((Inputs!$G$5:$G$190="moeda")+(Inputs!$G$5:$G$190="acoes"))*Inputs!$B$1+((Inputs!$G$5:$G$190&lt;&gt;"moeda")*(Inputs!$G$5:$G$190&lt;&gt;"acoes")))*INDEX(Inputs!$K$5:$AJ$190,0,MATCH(AJ$2,Inputs!$K$4:$AJ$4,0)))+SUMPRODUCT((Inputs!$C$5:$C$190=$B71)*Inputs!$D$5:$D$190*(((Inputs!$G$5:$G$190="moeda")+(Inputs!$G$5:$G$190="acoes"))*Inputs!$B$1+((Inputs!$G$5:$G$190&lt;&gt;"moeda")*(Inputs!$G$5:$G$190&lt;&gt;"acoes")))*INDEX(Inputs!$K$5:$AJ$190,0,MATCH(AJ$2,Inputs!$K$4:$AJ$4,0)))+SUMPRODUCT((Inputs!$E$5:$E$190=$B71)*Inputs!$F$5:$F$190*(((Inputs!$G$5:$G$190="moeda")+(Inputs!$G$5:$G$190="acoes"))*Inputs!$B$1+((Inputs!$G$5:$G$190&lt;&gt;"moeda")*(Inputs!$G$5:$G$190&lt;&gt;"acoes")))*INDEX(Inputs!$K$5:$AJ$190,0,MATCH(AJ$2,Inputs!$K$4:$AJ$4,0)))))</f>
        <v>40731</v>
      </c>
      <c r="AK71" s="266">
        <f>IF(ISNA(MATCH(AK$2,Inputs!$K$4:$AJ$4,0)),NA(),IF(SUMPRODUCT((Inputs!$A$5:$A$190=$B71)*ISNUMBER(INDEX(Inputs!$K$5:$AJ$190,0,MATCH(AK$2,Inputs!$K$4:$AJ$4,0))))+SUMPRODUCT((Inputs!$C$5:$C$190=$B71)*ISNUMBER(INDEX(Inputs!$K$5:$AJ$190,0,MATCH(AK$2,Inputs!$K$4:$AJ$4,0))))+SUMPRODUCT((Inputs!$E$5:$E$190=$B71)*ISNUMBER(INDEX(Inputs!$K$5:$AJ$190,0,MATCH(AK$2,Inputs!$K$4:$AJ$4,0))))=0,NA(),SUMPRODUCT((Inputs!$A$5:$A$190=$B71)*Inputs!$B$5:$B$190*(((Inputs!$G$5:$G$190="moeda")+(Inputs!$G$5:$G$190="acoes"))*Inputs!$B$1+((Inputs!$G$5:$G$190&lt;&gt;"moeda")*(Inputs!$G$5:$G$190&lt;&gt;"acoes")))*INDEX(Inputs!$K$5:$AJ$190,0,MATCH(AK$2,Inputs!$K$4:$AJ$4,0)))+SUMPRODUCT((Inputs!$C$5:$C$190=$B71)*Inputs!$D$5:$D$190*(((Inputs!$G$5:$G$190="moeda")+(Inputs!$G$5:$G$190="acoes"))*Inputs!$B$1+((Inputs!$G$5:$G$190&lt;&gt;"moeda")*(Inputs!$G$5:$G$190&lt;&gt;"acoes")))*INDEX(Inputs!$K$5:$AJ$190,0,MATCH(AK$2,Inputs!$K$4:$AJ$4,0)))+SUMPRODUCT((Inputs!$E$5:$E$190=$B71)*Inputs!$F$5:$F$190*(((Inputs!$G$5:$G$190="moeda")+(Inputs!$G$5:$G$190="acoes"))*Inputs!$B$1+((Inputs!$G$5:$G$190&lt;&gt;"moeda")*(Inputs!$G$5:$G$190&lt;&gt;"acoes")))*INDEX(Inputs!$K$5:$AJ$190,0,MATCH(AK$2,Inputs!$K$4:$AJ$4,0)))))</f>
        <v>47244</v>
      </c>
      <c r="AL71" s="267">
        <f>AK71</f>
        <v>47244</v>
      </c>
    </row>
    <row r="72">
      <c r="B72" s="46" t="n">
        <v>64</v>
      </c>
      <c r="C72" s="29" t="inlineStr">
        <is>
          <t>Movida GTF - ticket medio mensal (R$; l.26)</t>
        </is>
      </c>
      <c r="D72" s="266">
        <f>IF(ISNA(MATCH(D$2,Inputs!$K$4:$AJ$4,0)),NA(),IF(SUMPRODUCT((Inputs!$A$5:$A$190=$B72)*ISNUMBER(INDEX(Inputs!$K$5:$AJ$190,0,MATCH(D$2,Inputs!$K$4:$AJ$4,0))))+SUMPRODUCT((Inputs!$C$5:$C$190=$B72)*ISNUMBER(INDEX(Inputs!$K$5:$AJ$190,0,MATCH(D$2,Inputs!$K$4:$AJ$4,0))))+SUMPRODUCT((Inputs!$E$5:$E$190=$B72)*ISNUMBER(INDEX(Inputs!$K$5:$AJ$190,0,MATCH(D$2,Inputs!$K$4:$AJ$4,0))))=0,NA(),SUMPRODUCT((Inputs!$A$5:$A$190=$B72)*Inputs!$B$5:$B$190*(((Inputs!$G$5:$G$190="moeda")+(Inputs!$G$5:$G$190="acoes"))*Inputs!$B$1+((Inputs!$G$5:$G$190&lt;&gt;"moeda")*(Inputs!$G$5:$G$190&lt;&gt;"acoes")))*INDEX(Inputs!$K$5:$AJ$190,0,MATCH(D$2,Inputs!$K$4:$AJ$4,0)))+SUMPRODUCT((Inputs!$C$5:$C$190=$B72)*Inputs!$D$5:$D$190*(((Inputs!$G$5:$G$190="moeda")+(Inputs!$G$5:$G$190="acoes"))*Inputs!$B$1+((Inputs!$G$5:$G$190&lt;&gt;"moeda")*(Inputs!$G$5:$G$190&lt;&gt;"acoes")))*INDEX(Inputs!$K$5:$AJ$190,0,MATCH(D$2,Inputs!$K$4:$AJ$4,0)))+SUMPRODUCT((Inputs!$E$5:$E$190=$B72)*Inputs!$F$5:$F$190*(((Inputs!$G$5:$G$190="moeda")+(Inputs!$G$5:$G$190="acoes"))*Inputs!$B$1+((Inputs!$G$5:$G$190&lt;&gt;"moeda")*(Inputs!$G$5:$G$190&lt;&gt;"acoes")))*INDEX(Inputs!$K$5:$AJ$190,0,MATCH(D$2,Inputs!$K$4:$AJ$4,0)))))</f>
        <v>1372.319</v>
      </c>
      <c r="E72" s="266">
        <f>IF(ISNA(MATCH(E$2,Inputs!$K$4:$AJ$4,0)),NA(),IF(SUMPRODUCT((Inputs!$A$5:$A$190=$B72)*ISNUMBER(INDEX(Inputs!$K$5:$AJ$190,0,MATCH(E$2,Inputs!$K$4:$AJ$4,0))))+SUMPRODUCT((Inputs!$C$5:$C$190=$B72)*ISNUMBER(INDEX(Inputs!$K$5:$AJ$190,0,MATCH(E$2,Inputs!$K$4:$AJ$4,0))))+SUMPRODUCT((Inputs!$E$5:$E$190=$B72)*ISNUMBER(INDEX(Inputs!$K$5:$AJ$190,0,MATCH(E$2,Inputs!$K$4:$AJ$4,0))))=0,NA(),SUMPRODUCT((Inputs!$A$5:$A$190=$B72)*Inputs!$B$5:$B$190*(((Inputs!$G$5:$G$190="moeda")+(Inputs!$G$5:$G$190="acoes"))*Inputs!$B$1+((Inputs!$G$5:$G$190&lt;&gt;"moeda")*(Inputs!$G$5:$G$190&lt;&gt;"acoes")))*INDEX(Inputs!$K$5:$AJ$190,0,MATCH(E$2,Inputs!$K$4:$AJ$4,0)))+SUMPRODUCT((Inputs!$C$5:$C$190=$B72)*Inputs!$D$5:$D$190*(((Inputs!$G$5:$G$190="moeda")+(Inputs!$G$5:$G$190="acoes"))*Inputs!$B$1+((Inputs!$G$5:$G$190&lt;&gt;"moeda")*(Inputs!$G$5:$G$190&lt;&gt;"acoes")))*INDEX(Inputs!$K$5:$AJ$190,0,MATCH(E$2,Inputs!$K$4:$AJ$4,0)))+SUMPRODUCT((Inputs!$E$5:$E$190=$B72)*Inputs!$F$5:$F$190*(((Inputs!$G$5:$G$190="moeda")+(Inputs!$G$5:$G$190="acoes"))*Inputs!$B$1+((Inputs!$G$5:$G$190&lt;&gt;"moeda")*(Inputs!$G$5:$G$190&lt;&gt;"acoes")))*INDEX(Inputs!$K$5:$AJ$190,0,MATCH(E$2,Inputs!$K$4:$AJ$4,0)))))</f>
        <v>1446.677</v>
      </c>
      <c r="F72" s="266">
        <f>IF(ISNA(MATCH(F$2,Inputs!$K$4:$AJ$4,0)),NA(),IF(SUMPRODUCT((Inputs!$A$5:$A$190=$B72)*ISNUMBER(INDEX(Inputs!$K$5:$AJ$190,0,MATCH(F$2,Inputs!$K$4:$AJ$4,0))))+SUMPRODUCT((Inputs!$C$5:$C$190=$B72)*ISNUMBER(INDEX(Inputs!$K$5:$AJ$190,0,MATCH(F$2,Inputs!$K$4:$AJ$4,0))))+SUMPRODUCT((Inputs!$E$5:$E$190=$B72)*ISNUMBER(INDEX(Inputs!$K$5:$AJ$190,0,MATCH(F$2,Inputs!$K$4:$AJ$4,0))))=0,NA(),SUMPRODUCT((Inputs!$A$5:$A$190=$B72)*Inputs!$B$5:$B$190*(((Inputs!$G$5:$G$190="moeda")+(Inputs!$G$5:$G$190="acoes"))*Inputs!$B$1+((Inputs!$G$5:$G$190&lt;&gt;"moeda")*(Inputs!$G$5:$G$190&lt;&gt;"acoes")))*INDEX(Inputs!$K$5:$AJ$190,0,MATCH(F$2,Inputs!$K$4:$AJ$4,0)))+SUMPRODUCT((Inputs!$C$5:$C$190=$B72)*Inputs!$D$5:$D$190*(((Inputs!$G$5:$G$190="moeda")+(Inputs!$G$5:$G$190="acoes"))*Inputs!$B$1+((Inputs!$G$5:$G$190&lt;&gt;"moeda")*(Inputs!$G$5:$G$190&lt;&gt;"acoes")))*INDEX(Inputs!$K$5:$AJ$190,0,MATCH(F$2,Inputs!$K$4:$AJ$4,0)))+SUMPRODUCT((Inputs!$E$5:$E$190=$B72)*Inputs!$F$5:$F$190*(((Inputs!$G$5:$G$190="moeda")+(Inputs!$G$5:$G$190="acoes"))*Inputs!$B$1+((Inputs!$G$5:$G$190&lt;&gt;"moeda")*(Inputs!$G$5:$G$190&lt;&gt;"acoes")))*INDEX(Inputs!$K$5:$AJ$190,0,MATCH(F$2,Inputs!$K$4:$AJ$4,0)))))</f>
        <v>1556.347</v>
      </c>
      <c r="G72" s="266">
        <f>IF(ISNA(MATCH(G$2,Inputs!$K$4:$AJ$4,0)),NA(),IF(SUMPRODUCT((Inputs!$A$5:$A$190=$B72)*ISNUMBER(INDEX(Inputs!$K$5:$AJ$190,0,MATCH(G$2,Inputs!$K$4:$AJ$4,0))))+SUMPRODUCT((Inputs!$C$5:$C$190=$B72)*ISNUMBER(INDEX(Inputs!$K$5:$AJ$190,0,MATCH(G$2,Inputs!$K$4:$AJ$4,0))))+SUMPRODUCT((Inputs!$E$5:$E$190=$B72)*ISNUMBER(INDEX(Inputs!$K$5:$AJ$190,0,MATCH(G$2,Inputs!$K$4:$AJ$4,0))))=0,NA(),SUMPRODUCT((Inputs!$A$5:$A$190=$B72)*Inputs!$B$5:$B$190*(((Inputs!$G$5:$G$190="moeda")+(Inputs!$G$5:$G$190="acoes"))*Inputs!$B$1+((Inputs!$G$5:$G$190&lt;&gt;"moeda")*(Inputs!$G$5:$G$190&lt;&gt;"acoes")))*INDEX(Inputs!$K$5:$AJ$190,0,MATCH(G$2,Inputs!$K$4:$AJ$4,0)))+SUMPRODUCT((Inputs!$C$5:$C$190=$B72)*Inputs!$D$5:$D$190*(((Inputs!$G$5:$G$190="moeda")+(Inputs!$G$5:$G$190="acoes"))*Inputs!$B$1+((Inputs!$G$5:$G$190&lt;&gt;"moeda")*(Inputs!$G$5:$G$190&lt;&gt;"acoes")))*INDEX(Inputs!$K$5:$AJ$190,0,MATCH(G$2,Inputs!$K$4:$AJ$4,0)))+SUMPRODUCT((Inputs!$E$5:$E$190=$B72)*Inputs!$F$5:$F$190*(((Inputs!$G$5:$G$190="moeda")+(Inputs!$G$5:$G$190="acoes"))*Inputs!$B$1+((Inputs!$G$5:$G$190&lt;&gt;"moeda")*(Inputs!$G$5:$G$190&lt;&gt;"acoes")))*INDEX(Inputs!$K$5:$AJ$190,0,MATCH(G$2,Inputs!$K$4:$AJ$4,0)))))</f>
        <v>1554.954</v>
      </c>
      <c r="H72" s="267" t="n"/>
      <c r="I72" s="266">
        <f>IF(ISNA(MATCH(I$2,Inputs!$K$4:$AJ$4,0)),NA(),IF(SUMPRODUCT((Inputs!$A$5:$A$190=$B72)*ISNUMBER(INDEX(Inputs!$K$5:$AJ$190,0,MATCH(I$2,Inputs!$K$4:$AJ$4,0))))+SUMPRODUCT((Inputs!$C$5:$C$190=$B72)*ISNUMBER(INDEX(Inputs!$K$5:$AJ$190,0,MATCH(I$2,Inputs!$K$4:$AJ$4,0))))+SUMPRODUCT((Inputs!$E$5:$E$190=$B72)*ISNUMBER(INDEX(Inputs!$K$5:$AJ$190,0,MATCH(I$2,Inputs!$K$4:$AJ$4,0))))=0,NA(),SUMPRODUCT((Inputs!$A$5:$A$190=$B72)*Inputs!$B$5:$B$190*(((Inputs!$G$5:$G$190="moeda")+(Inputs!$G$5:$G$190="acoes"))*Inputs!$B$1+((Inputs!$G$5:$G$190&lt;&gt;"moeda")*(Inputs!$G$5:$G$190&lt;&gt;"acoes")))*INDEX(Inputs!$K$5:$AJ$190,0,MATCH(I$2,Inputs!$K$4:$AJ$4,0)))+SUMPRODUCT((Inputs!$C$5:$C$190=$B72)*Inputs!$D$5:$D$190*(((Inputs!$G$5:$G$190="moeda")+(Inputs!$G$5:$G$190="acoes"))*Inputs!$B$1+((Inputs!$G$5:$G$190&lt;&gt;"moeda")*(Inputs!$G$5:$G$190&lt;&gt;"acoes")))*INDEX(Inputs!$K$5:$AJ$190,0,MATCH(I$2,Inputs!$K$4:$AJ$4,0)))+SUMPRODUCT((Inputs!$E$5:$E$190=$B72)*Inputs!$F$5:$F$190*(((Inputs!$G$5:$G$190="moeda")+(Inputs!$G$5:$G$190="acoes"))*Inputs!$B$1+((Inputs!$G$5:$G$190&lt;&gt;"moeda")*(Inputs!$G$5:$G$190&lt;&gt;"acoes")))*INDEX(Inputs!$K$5:$AJ$190,0,MATCH(I$2,Inputs!$K$4:$AJ$4,0)))))</f>
        <v>1656.1</v>
      </c>
      <c r="J72" s="266">
        <f>IF(ISNA(MATCH(J$2,Inputs!$K$4:$AJ$4,0)),NA(),IF(SUMPRODUCT((Inputs!$A$5:$A$190=$B72)*ISNUMBER(INDEX(Inputs!$K$5:$AJ$190,0,MATCH(J$2,Inputs!$K$4:$AJ$4,0))))+SUMPRODUCT((Inputs!$C$5:$C$190=$B72)*ISNUMBER(INDEX(Inputs!$K$5:$AJ$190,0,MATCH(J$2,Inputs!$K$4:$AJ$4,0))))+SUMPRODUCT((Inputs!$E$5:$E$190=$B72)*ISNUMBER(INDEX(Inputs!$K$5:$AJ$190,0,MATCH(J$2,Inputs!$K$4:$AJ$4,0))))=0,NA(),SUMPRODUCT((Inputs!$A$5:$A$190=$B72)*Inputs!$B$5:$B$190*(((Inputs!$G$5:$G$190="moeda")+(Inputs!$G$5:$G$190="acoes"))*Inputs!$B$1+((Inputs!$G$5:$G$190&lt;&gt;"moeda")*(Inputs!$G$5:$G$190&lt;&gt;"acoes")))*INDEX(Inputs!$K$5:$AJ$190,0,MATCH(J$2,Inputs!$K$4:$AJ$4,0)))+SUMPRODUCT((Inputs!$C$5:$C$190=$B72)*Inputs!$D$5:$D$190*(((Inputs!$G$5:$G$190="moeda")+(Inputs!$G$5:$G$190="acoes"))*Inputs!$B$1+((Inputs!$G$5:$G$190&lt;&gt;"moeda")*(Inputs!$G$5:$G$190&lt;&gt;"acoes")))*INDEX(Inputs!$K$5:$AJ$190,0,MATCH(J$2,Inputs!$K$4:$AJ$4,0)))+SUMPRODUCT((Inputs!$E$5:$E$190=$B72)*Inputs!$F$5:$F$190*(((Inputs!$G$5:$G$190="moeda")+(Inputs!$G$5:$G$190="acoes"))*Inputs!$B$1+((Inputs!$G$5:$G$190&lt;&gt;"moeda")*(Inputs!$G$5:$G$190&lt;&gt;"acoes")))*INDEX(Inputs!$K$5:$AJ$190,0,MATCH(J$2,Inputs!$K$4:$AJ$4,0)))))</f>
        <v>1785.39</v>
      </c>
      <c r="K72" s="266">
        <f>IF(ISNA(MATCH(K$2,Inputs!$K$4:$AJ$4,0)),NA(),IF(SUMPRODUCT((Inputs!$A$5:$A$190=$B72)*ISNUMBER(INDEX(Inputs!$K$5:$AJ$190,0,MATCH(K$2,Inputs!$K$4:$AJ$4,0))))+SUMPRODUCT((Inputs!$C$5:$C$190=$B72)*ISNUMBER(INDEX(Inputs!$K$5:$AJ$190,0,MATCH(K$2,Inputs!$K$4:$AJ$4,0))))+SUMPRODUCT((Inputs!$E$5:$E$190=$B72)*ISNUMBER(INDEX(Inputs!$K$5:$AJ$190,0,MATCH(K$2,Inputs!$K$4:$AJ$4,0))))=0,NA(),SUMPRODUCT((Inputs!$A$5:$A$190=$B72)*Inputs!$B$5:$B$190*(((Inputs!$G$5:$G$190="moeda")+(Inputs!$G$5:$G$190="acoes"))*Inputs!$B$1+((Inputs!$G$5:$G$190&lt;&gt;"moeda")*(Inputs!$G$5:$G$190&lt;&gt;"acoes")))*INDEX(Inputs!$K$5:$AJ$190,0,MATCH(K$2,Inputs!$K$4:$AJ$4,0)))+SUMPRODUCT((Inputs!$C$5:$C$190=$B72)*Inputs!$D$5:$D$190*(((Inputs!$G$5:$G$190="moeda")+(Inputs!$G$5:$G$190="acoes"))*Inputs!$B$1+((Inputs!$G$5:$G$190&lt;&gt;"moeda")*(Inputs!$G$5:$G$190&lt;&gt;"acoes")))*INDEX(Inputs!$K$5:$AJ$190,0,MATCH(K$2,Inputs!$K$4:$AJ$4,0)))+SUMPRODUCT((Inputs!$E$5:$E$190=$B72)*Inputs!$F$5:$F$190*(((Inputs!$G$5:$G$190="moeda")+(Inputs!$G$5:$G$190="acoes"))*Inputs!$B$1+((Inputs!$G$5:$G$190&lt;&gt;"moeda")*(Inputs!$G$5:$G$190&lt;&gt;"acoes")))*INDEX(Inputs!$K$5:$AJ$190,0,MATCH(K$2,Inputs!$K$4:$AJ$4,0)))))</f>
        <v>1811.553</v>
      </c>
      <c r="L72" s="266">
        <f>IF(ISNA(MATCH(L$2,Inputs!$K$4:$AJ$4,0)),NA(),IF(SUMPRODUCT((Inputs!$A$5:$A$190=$B72)*ISNUMBER(INDEX(Inputs!$K$5:$AJ$190,0,MATCH(L$2,Inputs!$K$4:$AJ$4,0))))+SUMPRODUCT((Inputs!$C$5:$C$190=$B72)*ISNUMBER(INDEX(Inputs!$K$5:$AJ$190,0,MATCH(L$2,Inputs!$K$4:$AJ$4,0))))+SUMPRODUCT((Inputs!$E$5:$E$190=$B72)*ISNUMBER(INDEX(Inputs!$K$5:$AJ$190,0,MATCH(L$2,Inputs!$K$4:$AJ$4,0))))=0,NA(),SUMPRODUCT((Inputs!$A$5:$A$190=$B72)*Inputs!$B$5:$B$190*(((Inputs!$G$5:$G$190="moeda")+(Inputs!$G$5:$G$190="acoes"))*Inputs!$B$1+((Inputs!$G$5:$G$190&lt;&gt;"moeda")*(Inputs!$G$5:$G$190&lt;&gt;"acoes")))*INDEX(Inputs!$K$5:$AJ$190,0,MATCH(L$2,Inputs!$K$4:$AJ$4,0)))+SUMPRODUCT((Inputs!$C$5:$C$190=$B72)*Inputs!$D$5:$D$190*(((Inputs!$G$5:$G$190="moeda")+(Inputs!$G$5:$G$190="acoes"))*Inputs!$B$1+((Inputs!$G$5:$G$190&lt;&gt;"moeda")*(Inputs!$G$5:$G$190&lt;&gt;"acoes")))*INDEX(Inputs!$K$5:$AJ$190,0,MATCH(L$2,Inputs!$K$4:$AJ$4,0)))+SUMPRODUCT((Inputs!$E$5:$E$190=$B72)*Inputs!$F$5:$F$190*(((Inputs!$G$5:$G$190="moeda")+(Inputs!$G$5:$G$190="acoes"))*Inputs!$B$1+((Inputs!$G$5:$G$190&lt;&gt;"moeda")*(Inputs!$G$5:$G$190&lt;&gt;"acoes")))*INDEX(Inputs!$K$5:$AJ$190,0,MATCH(L$2,Inputs!$K$4:$AJ$4,0)))))</f>
        <v>1924.074</v>
      </c>
      <c r="M72" s="267" t="n"/>
      <c r="N72" s="266">
        <f>IF(ISNA(MATCH(N$2,Inputs!$K$4:$AJ$4,0)),NA(),IF(SUMPRODUCT((Inputs!$A$5:$A$190=$B72)*ISNUMBER(INDEX(Inputs!$K$5:$AJ$190,0,MATCH(N$2,Inputs!$K$4:$AJ$4,0))))+SUMPRODUCT((Inputs!$C$5:$C$190=$B72)*ISNUMBER(INDEX(Inputs!$K$5:$AJ$190,0,MATCH(N$2,Inputs!$K$4:$AJ$4,0))))+SUMPRODUCT((Inputs!$E$5:$E$190=$B72)*ISNUMBER(INDEX(Inputs!$K$5:$AJ$190,0,MATCH(N$2,Inputs!$K$4:$AJ$4,0))))=0,NA(),SUMPRODUCT((Inputs!$A$5:$A$190=$B72)*Inputs!$B$5:$B$190*(((Inputs!$G$5:$G$190="moeda")+(Inputs!$G$5:$G$190="acoes"))*Inputs!$B$1+((Inputs!$G$5:$G$190&lt;&gt;"moeda")*(Inputs!$G$5:$G$190&lt;&gt;"acoes")))*INDEX(Inputs!$K$5:$AJ$190,0,MATCH(N$2,Inputs!$K$4:$AJ$4,0)))+SUMPRODUCT((Inputs!$C$5:$C$190=$B72)*Inputs!$D$5:$D$190*(((Inputs!$G$5:$G$190="moeda")+(Inputs!$G$5:$G$190="acoes"))*Inputs!$B$1+((Inputs!$G$5:$G$190&lt;&gt;"moeda")*(Inputs!$G$5:$G$190&lt;&gt;"acoes")))*INDEX(Inputs!$K$5:$AJ$190,0,MATCH(N$2,Inputs!$K$4:$AJ$4,0)))+SUMPRODUCT((Inputs!$E$5:$E$190=$B72)*Inputs!$F$5:$F$190*(((Inputs!$G$5:$G$190="moeda")+(Inputs!$G$5:$G$190="acoes"))*Inputs!$B$1+((Inputs!$G$5:$G$190&lt;&gt;"moeda")*(Inputs!$G$5:$G$190&lt;&gt;"acoes")))*INDEX(Inputs!$K$5:$AJ$190,0,MATCH(N$2,Inputs!$K$4:$AJ$4,0)))))</f>
        <v>2040.898</v>
      </c>
      <c r="O72" s="266">
        <f>IF(ISNA(MATCH(O$2,Inputs!$K$4:$AJ$4,0)),NA(),IF(SUMPRODUCT((Inputs!$A$5:$A$190=$B72)*ISNUMBER(INDEX(Inputs!$K$5:$AJ$190,0,MATCH(O$2,Inputs!$K$4:$AJ$4,0))))+SUMPRODUCT((Inputs!$C$5:$C$190=$B72)*ISNUMBER(INDEX(Inputs!$K$5:$AJ$190,0,MATCH(O$2,Inputs!$K$4:$AJ$4,0))))+SUMPRODUCT((Inputs!$E$5:$E$190=$B72)*ISNUMBER(INDEX(Inputs!$K$5:$AJ$190,0,MATCH(O$2,Inputs!$K$4:$AJ$4,0))))=0,NA(),SUMPRODUCT((Inputs!$A$5:$A$190=$B72)*Inputs!$B$5:$B$190*(((Inputs!$G$5:$G$190="moeda")+(Inputs!$G$5:$G$190="acoes"))*Inputs!$B$1+((Inputs!$G$5:$G$190&lt;&gt;"moeda")*(Inputs!$G$5:$G$190&lt;&gt;"acoes")))*INDEX(Inputs!$K$5:$AJ$190,0,MATCH(O$2,Inputs!$K$4:$AJ$4,0)))+SUMPRODUCT((Inputs!$C$5:$C$190=$B72)*Inputs!$D$5:$D$190*(((Inputs!$G$5:$G$190="moeda")+(Inputs!$G$5:$G$190="acoes"))*Inputs!$B$1+((Inputs!$G$5:$G$190&lt;&gt;"moeda")*(Inputs!$G$5:$G$190&lt;&gt;"acoes")))*INDEX(Inputs!$K$5:$AJ$190,0,MATCH(O$2,Inputs!$K$4:$AJ$4,0)))+SUMPRODUCT((Inputs!$E$5:$E$190=$B72)*Inputs!$F$5:$F$190*(((Inputs!$G$5:$G$190="moeda")+(Inputs!$G$5:$G$190="acoes"))*Inputs!$B$1+((Inputs!$G$5:$G$190&lt;&gt;"moeda")*(Inputs!$G$5:$G$190&lt;&gt;"acoes")))*INDEX(Inputs!$K$5:$AJ$190,0,MATCH(O$2,Inputs!$K$4:$AJ$4,0)))))</f>
        <v>2110.268</v>
      </c>
      <c r="P72" s="266">
        <f>IF(ISNA(MATCH(P$2,Inputs!$K$4:$AJ$4,0)),NA(),IF(SUMPRODUCT((Inputs!$A$5:$A$190=$B72)*ISNUMBER(INDEX(Inputs!$K$5:$AJ$190,0,MATCH(P$2,Inputs!$K$4:$AJ$4,0))))+SUMPRODUCT((Inputs!$C$5:$C$190=$B72)*ISNUMBER(INDEX(Inputs!$K$5:$AJ$190,0,MATCH(P$2,Inputs!$K$4:$AJ$4,0))))+SUMPRODUCT((Inputs!$E$5:$E$190=$B72)*ISNUMBER(INDEX(Inputs!$K$5:$AJ$190,0,MATCH(P$2,Inputs!$K$4:$AJ$4,0))))=0,NA(),SUMPRODUCT((Inputs!$A$5:$A$190=$B72)*Inputs!$B$5:$B$190*(((Inputs!$G$5:$G$190="moeda")+(Inputs!$G$5:$G$190="acoes"))*Inputs!$B$1+((Inputs!$G$5:$G$190&lt;&gt;"moeda")*(Inputs!$G$5:$G$190&lt;&gt;"acoes")))*INDEX(Inputs!$K$5:$AJ$190,0,MATCH(P$2,Inputs!$K$4:$AJ$4,0)))+SUMPRODUCT((Inputs!$C$5:$C$190=$B72)*Inputs!$D$5:$D$190*(((Inputs!$G$5:$G$190="moeda")+(Inputs!$G$5:$G$190="acoes"))*Inputs!$B$1+((Inputs!$G$5:$G$190&lt;&gt;"moeda")*(Inputs!$G$5:$G$190&lt;&gt;"acoes")))*INDEX(Inputs!$K$5:$AJ$190,0,MATCH(P$2,Inputs!$K$4:$AJ$4,0)))+SUMPRODUCT((Inputs!$E$5:$E$190=$B72)*Inputs!$F$5:$F$190*(((Inputs!$G$5:$G$190="moeda")+(Inputs!$G$5:$G$190="acoes"))*Inputs!$B$1+((Inputs!$G$5:$G$190&lt;&gt;"moeda")*(Inputs!$G$5:$G$190&lt;&gt;"acoes")))*INDEX(Inputs!$K$5:$AJ$190,0,MATCH(P$2,Inputs!$K$4:$AJ$4,0)))))</f>
        <v>2191.255</v>
      </c>
      <c r="Q72" s="266">
        <f>IF(ISNA(MATCH(Q$2,Inputs!$K$4:$AJ$4,0)),NA(),IF(SUMPRODUCT((Inputs!$A$5:$A$190=$B72)*ISNUMBER(INDEX(Inputs!$K$5:$AJ$190,0,MATCH(Q$2,Inputs!$K$4:$AJ$4,0))))+SUMPRODUCT((Inputs!$C$5:$C$190=$B72)*ISNUMBER(INDEX(Inputs!$K$5:$AJ$190,0,MATCH(Q$2,Inputs!$K$4:$AJ$4,0))))+SUMPRODUCT((Inputs!$E$5:$E$190=$B72)*ISNUMBER(INDEX(Inputs!$K$5:$AJ$190,0,MATCH(Q$2,Inputs!$K$4:$AJ$4,0))))=0,NA(),SUMPRODUCT((Inputs!$A$5:$A$190=$B72)*Inputs!$B$5:$B$190*(((Inputs!$G$5:$G$190="moeda")+(Inputs!$G$5:$G$190="acoes"))*Inputs!$B$1+((Inputs!$G$5:$G$190&lt;&gt;"moeda")*(Inputs!$G$5:$G$190&lt;&gt;"acoes")))*INDEX(Inputs!$K$5:$AJ$190,0,MATCH(Q$2,Inputs!$K$4:$AJ$4,0)))+SUMPRODUCT((Inputs!$C$5:$C$190=$B72)*Inputs!$D$5:$D$190*(((Inputs!$G$5:$G$190="moeda")+(Inputs!$G$5:$G$190="acoes"))*Inputs!$B$1+((Inputs!$G$5:$G$190&lt;&gt;"moeda")*(Inputs!$G$5:$G$190&lt;&gt;"acoes")))*INDEX(Inputs!$K$5:$AJ$190,0,MATCH(Q$2,Inputs!$K$4:$AJ$4,0)))+SUMPRODUCT((Inputs!$E$5:$E$190=$B72)*Inputs!$F$5:$F$190*(((Inputs!$G$5:$G$190="moeda")+(Inputs!$G$5:$G$190="acoes"))*Inputs!$B$1+((Inputs!$G$5:$G$190&lt;&gt;"moeda")*(Inputs!$G$5:$G$190&lt;&gt;"acoes")))*INDEX(Inputs!$K$5:$AJ$190,0,MATCH(Q$2,Inputs!$K$4:$AJ$4,0)))))</f>
        <v>2275.453</v>
      </c>
      <c r="R72" s="267" t="n"/>
      <c r="S72" s="266">
        <f>IF(ISNA(MATCH(S$2,Inputs!$K$4:$AJ$4,0)),NA(),IF(SUMPRODUCT((Inputs!$A$5:$A$190=$B72)*ISNUMBER(INDEX(Inputs!$K$5:$AJ$190,0,MATCH(S$2,Inputs!$K$4:$AJ$4,0))))+SUMPRODUCT((Inputs!$C$5:$C$190=$B72)*ISNUMBER(INDEX(Inputs!$K$5:$AJ$190,0,MATCH(S$2,Inputs!$K$4:$AJ$4,0))))+SUMPRODUCT((Inputs!$E$5:$E$190=$B72)*ISNUMBER(INDEX(Inputs!$K$5:$AJ$190,0,MATCH(S$2,Inputs!$K$4:$AJ$4,0))))=0,NA(),SUMPRODUCT((Inputs!$A$5:$A$190=$B72)*Inputs!$B$5:$B$190*(((Inputs!$G$5:$G$190="moeda")+(Inputs!$G$5:$G$190="acoes"))*Inputs!$B$1+((Inputs!$G$5:$G$190&lt;&gt;"moeda")*(Inputs!$G$5:$G$190&lt;&gt;"acoes")))*INDEX(Inputs!$K$5:$AJ$190,0,MATCH(S$2,Inputs!$K$4:$AJ$4,0)))+SUMPRODUCT((Inputs!$C$5:$C$190=$B72)*Inputs!$D$5:$D$190*(((Inputs!$G$5:$G$190="moeda")+(Inputs!$G$5:$G$190="acoes"))*Inputs!$B$1+((Inputs!$G$5:$G$190&lt;&gt;"moeda")*(Inputs!$G$5:$G$190&lt;&gt;"acoes")))*INDEX(Inputs!$K$5:$AJ$190,0,MATCH(S$2,Inputs!$K$4:$AJ$4,0)))+SUMPRODUCT((Inputs!$E$5:$E$190=$B72)*Inputs!$F$5:$F$190*(((Inputs!$G$5:$G$190="moeda")+(Inputs!$G$5:$G$190="acoes"))*Inputs!$B$1+((Inputs!$G$5:$G$190&lt;&gt;"moeda")*(Inputs!$G$5:$G$190&lt;&gt;"acoes")))*INDEX(Inputs!$K$5:$AJ$190,0,MATCH(S$2,Inputs!$K$4:$AJ$4,0)))))</f>
        <v>2380.167</v>
      </c>
      <c r="T72" s="266">
        <f>IF(ISNA(MATCH(T$2,Inputs!$K$4:$AJ$4,0)),NA(),IF(SUMPRODUCT((Inputs!$A$5:$A$190=$B72)*ISNUMBER(INDEX(Inputs!$K$5:$AJ$190,0,MATCH(T$2,Inputs!$K$4:$AJ$4,0))))+SUMPRODUCT((Inputs!$C$5:$C$190=$B72)*ISNUMBER(INDEX(Inputs!$K$5:$AJ$190,0,MATCH(T$2,Inputs!$K$4:$AJ$4,0))))+SUMPRODUCT((Inputs!$E$5:$E$190=$B72)*ISNUMBER(INDEX(Inputs!$K$5:$AJ$190,0,MATCH(T$2,Inputs!$K$4:$AJ$4,0))))=0,NA(),SUMPRODUCT((Inputs!$A$5:$A$190=$B72)*Inputs!$B$5:$B$190*(((Inputs!$G$5:$G$190="moeda")+(Inputs!$G$5:$G$190="acoes"))*Inputs!$B$1+((Inputs!$G$5:$G$190&lt;&gt;"moeda")*(Inputs!$G$5:$G$190&lt;&gt;"acoes")))*INDEX(Inputs!$K$5:$AJ$190,0,MATCH(T$2,Inputs!$K$4:$AJ$4,0)))+SUMPRODUCT((Inputs!$C$5:$C$190=$B72)*Inputs!$D$5:$D$190*(((Inputs!$G$5:$G$190="moeda")+(Inputs!$G$5:$G$190="acoes"))*Inputs!$B$1+((Inputs!$G$5:$G$190&lt;&gt;"moeda")*(Inputs!$G$5:$G$190&lt;&gt;"acoes")))*INDEX(Inputs!$K$5:$AJ$190,0,MATCH(T$2,Inputs!$K$4:$AJ$4,0)))+SUMPRODUCT((Inputs!$E$5:$E$190=$B72)*Inputs!$F$5:$F$190*(((Inputs!$G$5:$G$190="moeda")+(Inputs!$G$5:$G$190="acoes"))*Inputs!$B$1+((Inputs!$G$5:$G$190&lt;&gt;"moeda")*(Inputs!$G$5:$G$190&lt;&gt;"acoes")))*INDEX(Inputs!$K$5:$AJ$190,0,MATCH(T$2,Inputs!$K$4:$AJ$4,0)))))</f>
        <v>2582.26</v>
      </c>
      <c r="U72" s="266">
        <f>IF(ISNA(MATCH(U$2,Inputs!$K$4:$AJ$4,0)),NA(),IF(SUMPRODUCT((Inputs!$A$5:$A$190=$B72)*ISNUMBER(INDEX(Inputs!$K$5:$AJ$190,0,MATCH(U$2,Inputs!$K$4:$AJ$4,0))))+SUMPRODUCT((Inputs!$C$5:$C$190=$B72)*ISNUMBER(INDEX(Inputs!$K$5:$AJ$190,0,MATCH(U$2,Inputs!$K$4:$AJ$4,0))))+SUMPRODUCT((Inputs!$E$5:$E$190=$B72)*ISNUMBER(INDEX(Inputs!$K$5:$AJ$190,0,MATCH(U$2,Inputs!$K$4:$AJ$4,0))))=0,NA(),SUMPRODUCT((Inputs!$A$5:$A$190=$B72)*Inputs!$B$5:$B$190*(((Inputs!$G$5:$G$190="moeda")+(Inputs!$G$5:$G$190="acoes"))*Inputs!$B$1+((Inputs!$G$5:$G$190&lt;&gt;"moeda")*(Inputs!$G$5:$G$190&lt;&gt;"acoes")))*INDEX(Inputs!$K$5:$AJ$190,0,MATCH(U$2,Inputs!$K$4:$AJ$4,0)))+SUMPRODUCT((Inputs!$C$5:$C$190=$B72)*Inputs!$D$5:$D$190*(((Inputs!$G$5:$G$190="moeda")+(Inputs!$G$5:$G$190="acoes"))*Inputs!$B$1+((Inputs!$G$5:$G$190&lt;&gt;"moeda")*(Inputs!$G$5:$G$190&lt;&gt;"acoes")))*INDEX(Inputs!$K$5:$AJ$190,0,MATCH(U$2,Inputs!$K$4:$AJ$4,0)))+SUMPRODUCT((Inputs!$E$5:$E$190=$B72)*Inputs!$F$5:$F$190*(((Inputs!$G$5:$G$190="moeda")+(Inputs!$G$5:$G$190="acoes"))*Inputs!$B$1+((Inputs!$G$5:$G$190&lt;&gt;"moeda")*(Inputs!$G$5:$G$190&lt;&gt;"acoes")))*INDEX(Inputs!$K$5:$AJ$190,0,MATCH(U$2,Inputs!$K$4:$AJ$4,0)))))</f>
        <v>2695.784</v>
      </c>
      <c r="V72" s="266">
        <f>IF(ISNA(MATCH(V$2,Inputs!$K$4:$AJ$4,0)),NA(),IF(SUMPRODUCT((Inputs!$A$5:$A$190=$B72)*ISNUMBER(INDEX(Inputs!$K$5:$AJ$190,0,MATCH(V$2,Inputs!$K$4:$AJ$4,0))))+SUMPRODUCT((Inputs!$C$5:$C$190=$B72)*ISNUMBER(INDEX(Inputs!$K$5:$AJ$190,0,MATCH(V$2,Inputs!$K$4:$AJ$4,0))))+SUMPRODUCT((Inputs!$E$5:$E$190=$B72)*ISNUMBER(INDEX(Inputs!$K$5:$AJ$190,0,MATCH(V$2,Inputs!$K$4:$AJ$4,0))))=0,NA(),SUMPRODUCT((Inputs!$A$5:$A$190=$B72)*Inputs!$B$5:$B$190*(((Inputs!$G$5:$G$190="moeda")+(Inputs!$G$5:$G$190="acoes"))*Inputs!$B$1+((Inputs!$G$5:$G$190&lt;&gt;"moeda")*(Inputs!$G$5:$G$190&lt;&gt;"acoes")))*INDEX(Inputs!$K$5:$AJ$190,0,MATCH(V$2,Inputs!$K$4:$AJ$4,0)))+SUMPRODUCT((Inputs!$C$5:$C$190=$B72)*Inputs!$D$5:$D$190*(((Inputs!$G$5:$G$190="moeda")+(Inputs!$G$5:$G$190="acoes"))*Inputs!$B$1+((Inputs!$G$5:$G$190&lt;&gt;"moeda")*(Inputs!$G$5:$G$190&lt;&gt;"acoes")))*INDEX(Inputs!$K$5:$AJ$190,0,MATCH(V$2,Inputs!$K$4:$AJ$4,0)))+SUMPRODUCT((Inputs!$E$5:$E$190=$B72)*Inputs!$F$5:$F$190*(((Inputs!$G$5:$G$190="moeda")+(Inputs!$G$5:$G$190="acoes"))*Inputs!$B$1+((Inputs!$G$5:$G$190&lt;&gt;"moeda")*(Inputs!$G$5:$G$190&lt;&gt;"acoes")))*INDEX(Inputs!$K$5:$AJ$190,0,MATCH(V$2,Inputs!$K$4:$AJ$4,0)))))</f>
        <v>2780.174</v>
      </c>
      <c r="W72" s="267" t="n"/>
      <c r="X72" s="266">
        <f>IF(ISNA(MATCH(X$2,Inputs!$K$4:$AJ$4,0)),NA(),IF(SUMPRODUCT((Inputs!$A$5:$A$190=$B72)*ISNUMBER(INDEX(Inputs!$K$5:$AJ$190,0,MATCH(X$2,Inputs!$K$4:$AJ$4,0))))+SUMPRODUCT((Inputs!$C$5:$C$190=$B72)*ISNUMBER(INDEX(Inputs!$K$5:$AJ$190,0,MATCH(X$2,Inputs!$K$4:$AJ$4,0))))+SUMPRODUCT((Inputs!$E$5:$E$190=$B72)*ISNUMBER(INDEX(Inputs!$K$5:$AJ$190,0,MATCH(X$2,Inputs!$K$4:$AJ$4,0))))=0,NA(),SUMPRODUCT((Inputs!$A$5:$A$190=$B72)*Inputs!$B$5:$B$190*(((Inputs!$G$5:$G$190="moeda")+(Inputs!$G$5:$G$190="acoes"))*Inputs!$B$1+((Inputs!$G$5:$G$190&lt;&gt;"moeda")*(Inputs!$G$5:$G$190&lt;&gt;"acoes")))*INDEX(Inputs!$K$5:$AJ$190,0,MATCH(X$2,Inputs!$K$4:$AJ$4,0)))+SUMPRODUCT((Inputs!$C$5:$C$190=$B72)*Inputs!$D$5:$D$190*(((Inputs!$G$5:$G$190="moeda")+(Inputs!$G$5:$G$190="acoes"))*Inputs!$B$1+((Inputs!$G$5:$G$190&lt;&gt;"moeda")*(Inputs!$G$5:$G$190&lt;&gt;"acoes")))*INDEX(Inputs!$K$5:$AJ$190,0,MATCH(X$2,Inputs!$K$4:$AJ$4,0)))+SUMPRODUCT((Inputs!$E$5:$E$190=$B72)*Inputs!$F$5:$F$190*(((Inputs!$G$5:$G$190="moeda")+(Inputs!$G$5:$G$190="acoes"))*Inputs!$B$1+((Inputs!$G$5:$G$190&lt;&gt;"moeda")*(Inputs!$G$5:$G$190&lt;&gt;"acoes")))*INDEX(Inputs!$K$5:$AJ$190,0,MATCH(X$2,Inputs!$K$4:$AJ$4,0)))))</f>
        <v>2855.385</v>
      </c>
      <c r="Y72" s="266">
        <f>IF(ISNA(MATCH(Y$2,Inputs!$K$4:$AJ$4,0)),NA(),IF(SUMPRODUCT((Inputs!$A$5:$A$190=$B72)*ISNUMBER(INDEX(Inputs!$K$5:$AJ$190,0,MATCH(Y$2,Inputs!$K$4:$AJ$4,0))))+SUMPRODUCT((Inputs!$C$5:$C$190=$B72)*ISNUMBER(INDEX(Inputs!$K$5:$AJ$190,0,MATCH(Y$2,Inputs!$K$4:$AJ$4,0))))+SUMPRODUCT((Inputs!$E$5:$E$190=$B72)*ISNUMBER(INDEX(Inputs!$K$5:$AJ$190,0,MATCH(Y$2,Inputs!$K$4:$AJ$4,0))))=0,NA(),SUMPRODUCT((Inputs!$A$5:$A$190=$B72)*Inputs!$B$5:$B$190*(((Inputs!$G$5:$G$190="moeda")+(Inputs!$G$5:$G$190="acoes"))*Inputs!$B$1+((Inputs!$G$5:$G$190&lt;&gt;"moeda")*(Inputs!$G$5:$G$190&lt;&gt;"acoes")))*INDEX(Inputs!$K$5:$AJ$190,0,MATCH(Y$2,Inputs!$K$4:$AJ$4,0)))+SUMPRODUCT((Inputs!$C$5:$C$190=$B72)*Inputs!$D$5:$D$190*(((Inputs!$G$5:$G$190="moeda")+(Inputs!$G$5:$G$190="acoes"))*Inputs!$B$1+((Inputs!$G$5:$G$190&lt;&gt;"moeda")*(Inputs!$G$5:$G$190&lt;&gt;"acoes")))*INDEX(Inputs!$K$5:$AJ$190,0,MATCH(Y$2,Inputs!$K$4:$AJ$4,0)))+SUMPRODUCT((Inputs!$E$5:$E$190=$B72)*Inputs!$F$5:$F$190*(((Inputs!$G$5:$G$190="moeda")+(Inputs!$G$5:$G$190="acoes"))*Inputs!$B$1+((Inputs!$G$5:$G$190&lt;&gt;"moeda")*(Inputs!$G$5:$G$190&lt;&gt;"acoes")))*INDEX(Inputs!$K$5:$AJ$190,0,MATCH(Y$2,Inputs!$K$4:$AJ$4,0)))))</f>
        <v>2948.728</v>
      </c>
      <c r="Z72" s="266">
        <f>IF(ISNA(MATCH(Z$2,Inputs!$K$4:$AJ$4,0)),NA(),IF(SUMPRODUCT((Inputs!$A$5:$A$190=$B72)*ISNUMBER(INDEX(Inputs!$K$5:$AJ$190,0,MATCH(Z$2,Inputs!$K$4:$AJ$4,0))))+SUMPRODUCT((Inputs!$C$5:$C$190=$B72)*ISNUMBER(INDEX(Inputs!$K$5:$AJ$190,0,MATCH(Z$2,Inputs!$K$4:$AJ$4,0))))+SUMPRODUCT((Inputs!$E$5:$E$190=$B72)*ISNUMBER(INDEX(Inputs!$K$5:$AJ$190,0,MATCH(Z$2,Inputs!$K$4:$AJ$4,0))))=0,NA(),SUMPRODUCT((Inputs!$A$5:$A$190=$B72)*Inputs!$B$5:$B$190*(((Inputs!$G$5:$G$190="moeda")+(Inputs!$G$5:$G$190="acoes"))*Inputs!$B$1+((Inputs!$G$5:$G$190&lt;&gt;"moeda")*(Inputs!$G$5:$G$190&lt;&gt;"acoes")))*INDEX(Inputs!$K$5:$AJ$190,0,MATCH(Z$2,Inputs!$K$4:$AJ$4,0)))+SUMPRODUCT((Inputs!$C$5:$C$190=$B72)*Inputs!$D$5:$D$190*(((Inputs!$G$5:$G$190="moeda")+(Inputs!$G$5:$G$190="acoes"))*Inputs!$B$1+((Inputs!$G$5:$G$190&lt;&gt;"moeda")*(Inputs!$G$5:$G$190&lt;&gt;"acoes")))*INDEX(Inputs!$K$5:$AJ$190,0,MATCH(Z$2,Inputs!$K$4:$AJ$4,0)))+SUMPRODUCT((Inputs!$E$5:$E$190=$B72)*Inputs!$F$5:$F$190*(((Inputs!$G$5:$G$190="moeda")+(Inputs!$G$5:$G$190="acoes"))*Inputs!$B$1+((Inputs!$G$5:$G$190&lt;&gt;"moeda")*(Inputs!$G$5:$G$190&lt;&gt;"acoes")))*INDEX(Inputs!$K$5:$AJ$190,0,MATCH(Z$2,Inputs!$K$4:$AJ$4,0)))))</f>
        <v>3025.387</v>
      </c>
      <c r="AA72" s="266">
        <f>IF(ISNA(MATCH(AA$2,Inputs!$K$4:$AJ$4,0)),NA(),IF(SUMPRODUCT((Inputs!$A$5:$A$190=$B72)*ISNUMBER(INDEX(Inputs!$K$5:$AJ$190,0,MATCH(AA$2,Inputs!$K$4:$AJ$4,0))))+SUMPRODUCT((Inputs!$C$5:$C$190=$B72)*ISNUMBER(INDEX(Inputs!$K$5:$AJ$190,0,MATCH(AA$2,Inputs!$K$4:$AJ$4,0))))+SUMPRODUCT((Inputs!$E$5:$E$190=$B72)*ISNUMBER(INDEX(Inputs!$K$5:$AJ$190,0,MATCH(AA$2,Inputs!$K$4:$AJ$4,0))))=0,NA(),SUMPRODUCT((Inputs!$A$5:$A$190=$B72)*Inputs!$B$5:$B$190*(((Inputs!$G$5:$G$190="moeda")+(Inputs!$G$5:$G$190="acoes"))*Inputs!$B$1+((Inputs!$G$5:$G$190&lt;&gt;"moeda")*(Inputs!$G$5:$G$190&lt;&gt;"acoes")))*INDEX(Inputs!$K$5:$AJ$190,0,MATCH(AA$2,Inputs!$K$4:$AJ$4,0)))+SUMPRODUCT((Inputs!$C$5:$C$190=$B72)*Inputs!$D$5:$D$190*(((Inputs!$G$5:$G$190="moeda")+(Inputs!$G$5:$G$190="acoes"))*Inputs!$B$1+((Inputs!$G$5:$G$190&lt;&gt;"moeda")*(Inputs!$G$5:$G$190&lt;&gt;"acoes")))*INDEX(Inputs!$K$5:$AJ$190,0,MATCH(AA$2,Inputs!$K$4:$AJ$4,0)))+SUMPRODUCT((Inputs!$E$5:$E$190=$B72)*Inputs!$F$5:$F$190*(((Inputs!$G$5:$G$190="moeda")+(Inputs!$G$5:$G$190="acoes"))*Inputs!$B$1+((Inputs!$G$5:$G$190&lt;&gt;"moeda")*(Inputs!$G$5:$G$190&lt;&gt;"acoes")))*INDEX(Inputs!$K$5:$AJ$190,0,MATCH(AA$2,Inputs!$K$4:$AJ$4,0)))))</f>
        <v>3123.28743634307</v>
      </c>
      <c r="AB72" s="267" t="n"/>
      <c r="AC72" s="266">
        <f>IF(ISNA(MATCH(AC$2,Inputs!$K$4:$AJ$4,0)),NA(),IF(SUMPRODUCT((Inputs!$A$5:$A$190=$B72)*ISNUMBER(INDEX(Inputs!$K$5:$AJ$190,0,MATCH(AC$2,Inputs!$K$4:$AJ$4,0))))+SUMPRODUCT((Inputs!$C$5:$C$190=$B72)*ISNUMBER(INDEX(Inputs!$K$5:$AJ$190,0,MATCH(AC$2,Inputs!$K$4:$AJ$4,0))))+SUMPRODUCT((Inputs!$E$5:$E$190=$B72)*ISNUMBER(INDEX(Inputs!$K$5:$AJ$190,0,MATCH(AC$2,Inputs!$K$4:$AJ$4,0))))=0,NA(),SUMPRODUCT((Inputs!$A$5:$A$190=$B72)*Inputs!$B$5:$B$190*(((Inputs!$G$5:$G$190="moeda")+(Inputs!$G$5:$G$190="acoes"))*Inputs!$B$1+((Inputs!$G$5:$G$190&lt;&gt;"moeda")*(Inputs!$G$5:$G$190&lt;&gt;"acoes")))*INDEX(Inputs!$K$5:$AJ$190,0,MATCH(AC$2,Inputs!$K$4:$AJ$4,0)))+SUMPRODUCT((Inputs!$C$5:$C$190=$B72)*Inputs!$D$5:$D$190*(((Inputs!$G$5:$G$190="moeda")+(Inputs!$G$5:$G$190="acoes"))*Inputs!$B$1+((Inputs!$G$5:$G$190&lt;&gt;"moeda")*(Inputs!$G$5:$G$190&lt;&gt;"acoes")))*INDEX(Inputs!$K$5:$AJ$190,0,MATCH(AC$2,Inputs!$K$4:$AJ$4,0)))+SUMPRODUCT((Inputs!$E$5:$E$190=$B72)*Inputs!$F$5:$F$190*(((Inputs!$G$5:$G$190="moeda")+(Inputs!$G$5:$G$190="acoes"))*Inputs!$B$1+((Inputs!$G$5:$G$190&lt;&gt;"moeda")*(Inputs!$G$5:$G$190&lt;&gt;"acoes")))*INDEX(Inputs!$K$5:$AJ$190,0,MATCH(AC$2,Inputs!$K$4:$AJ$4,0)))))</f>
        <v>3162.0203183452</v>
      </c>
      <c r="AD72" s="266">
        <f>IF(ISNA(MATCH(AD$2,Inputs!$K$4:$AJ$4,0)),NA(),IF(SUMPRODUCT((Inputs!$A$5:$A$190=$B72)*ISNUMBER(INDEX(Inputs!$K$5:$AJ$190,0,MATCH(AD$2,Inputs!$K$4:$AJ$4,0))))+SUMPRODUCT((Inputs!$C$5:$C$190=$B72)*ISNUMBER(INDEX(Inputs!$K$5:$AJ$190,0,MATCH(AD$2,Inputs!$K$4:$AJ$4,0))))+SUMPRODUCT((Inputs!$E$5:$E$190=$B72)*ISNUMBER(INDEX(Inputs!$K$5:$AJ$190,0,MATCH(AD$2,Inputs!$K$4:$AJ$4,0))))=0,NA(),SUMPRODUCT((Inputs!$A$5:$A$190=$B72)*Inputs!$B$5:$B$190*(((Inputs!$G$5:$G$190="moeda")+(Inputs!$G$5:$G$190="acoes"))*Inputs!$B$1+((Inputs!$G$5:$G$190&lt;&gt;"moeda")*(Inputs!$G$5:$G$190&lt;&gt;"acoes")))*INDEX(Inputs!$K$5:$AJ$190,0,MATCH(AD$2,Inputs!$K$4:$AJ$4,0)))+SUMPRODUCT((Inputs!$C$5:$C$190=$B72)*Inputs!$D$5:$D$190*(((Inputs!$G$5:$G$190="moeda")+(Inputs!$G$5:$G$190="acoes"))*Inputs!$B$1+((Inputs!$G$5:$G$190&lt;&gt;"moeda")*(Inputs!$G$5:$G$190&lt;&gt;"acoes")))*INDEX(Inputs!$K$5:$AJ$190,0,MATCH(AD$2,Inputs!$K$4:$AJ$4,0)))+SUMPRODUCT((Inputs!$E$5:$E$190=$B72)*Inputs!$F$5:$F$190*(((Inputs!$G$5:$G$190="moeda")+(Inputs!$G$5:$G$190="acoes"))*Inputs!$B$1+((Inputs!$G$5:$G$190&lt;&gt;"moeda")*(Inputs!$G$5:$G$190&lt;&gt;"acoes")))*INDEX(Inputs!$K$5:$AJ$190,0,MATCH(AD$2,Inputs!$K$4:$AJ$4,0)))))</f>
        <v>3288.95683250247</v>
      </c>
      <c r="AE72" s="266" t="e">
        <f>IF(ISNA(MATCH(AE$2,Inputs!$K$4:$AJ$4,0)),NA(),IF(SUMPRODUCT((Inputs!$A$5:$A$190=$B72)*ISNUMBER(INDEX(Inputs!$K$5:$AJ$190,0,MATCH(AE$2,Inputs!$K$4:$AJ$4,0))))+SUMPRODUCT((Inputs!$C$5:$C$190=$B72)*ISNUMBER(INDEX(Inputs!$K$5:$AJ$190,0,MATCH(AE$2,Inputs!$K$4:$AJ$4,0))))+SUMPRODUCT((Inputs!$E$5:$E$190=$B72)*ISNUMBER(INDEX(Inputs!$K$5:$AJ$190,0,MATCH(AE$2,Inputs!$K$4:$AJ$4,0))))=0,NA(),SUMPRODUCT((Inputs!$A$5:$A$190=$B72)*Inputs!$B$5:$B$190*(((Inputs!$G$5:$G$190="moeda")+(Inputs!$G$5:$G$190="acoes"))*Inputs!$B$1+((Inputs!$G$5:$G$190&lt;&gt;"moeda")*(Inputs!$G$5:$G$190&lt;&gt;"acoes")))*INDEX(Inputs!$K$5:$AJ$190,0,MATCH(AE$2,Inputs!$K$4:$AJ$4,0)))+SUMPRODUCT((Inputs!$C$5:$C$190=$B72)*Inputs!$D$5:$D$190*(((Inputs!$G$5:$G$190="moeda")+(Inputs!$G$5:$G$190="acoes"))*Inputs!$B$1+((Inputs!$G$5:$G$190&lt;&gt;"moeda")*(Inputs!$G$5:$G$190&lt;&gt;"acoes")))*INDEX(Inputs!$K$5:$AJ$190,0,MATCH(AE$2,Inputs!$K$4:$AJ$4,0)))+SUMPRODUCT((Inputs!$E$5:$E$190=$B72)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72" s="266" t="e">
        <f>IF(ISNA(MATCH(AF$2,Inputs!$K$4:$AJ$4,0)),NA(),IF(SUMPRODUCT((Inputs!$A$5:$A$190=$B72)*ISNUMBER(INDEX(Inputs!$K$5:$AJ$190,0,MATCH(AF$2,Inputs!$K$4:$AJ$4,0))))+SUMPRODUCT((Inputs!$C$5:$C$190=$B72)*ISNUMBER(INDEX(Inputs!$K$5:$AJ$190,0,MATCH(AF$2,Inputs!$K$4:$AJ$4,0))))+SUMPRODUCT((Inputs!$E$5:$E$190=$B72)*ISNUMBER(INDEX(Inputs!$K$5:$AJ$190,0,MATCH(AF$2,Inputs!$K$4:$AJ$4,0))))=0,NA(),SUMPRODUCT((Inputs!$A$5:$A$190=$B72)*Inputs!$B$5:$B$190*(((Inputs!$G$5:$G$190="moeda")+(Inputs!$G$5:$G$190="acoes"))*Inputs!$B$1+((Inputs!$G$5:$G$190&lt;&gt;"moeda")*(Inputs!$G$5:$G$190&lt;&gt;"acoes")))*INDEX(Inputs!$K$5:$AJ$190,0,MATCH(AF$2,Inputs!$K$4:$AJ$4,0)))+SUMPRODUCT((Inputs!$C$5:$C$190=$B72)*Inputs!$D$5:$D$190*(((Inputs!$G$5:$G$190="moeda")+(Inputs!$G$5:$G$190="acoes"))*Inputs!$B$1+((Inputs!$G$5:$G$190&lt;&gt;"moeda")*(Inputs!$G$5:$G$190&lt;&gt;"acoes")))*INDEX(Inputs!$K$5:$AJ$190,0,MATCH(AF$2,Inputs!$K$4:$AJ$4,0)))+SUMPRODUCT((Inputs!$E$5:$E$190=$B72)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72" s="267" t="n"/>
      <c r="AH72" s="266">
        <f>IF(ISNA(MATCH(AH$2,Inputs!$K$4:$AJ$4,0)),NA(),IF(SUMPRODUCT((Inputs!$A$5:$A$190=$B72)*ISNUMBER(INDEX(Inputs!$K$5:$AJ$190,0,MATCH(AH$2,Inputs!$K$4:$AJ$4,0))))+SUMPRODUCT((Inputs!$C$5:$C$190=$B72)*ISNUMBER(INDEX(Inputs!$K$5:$AJ$190,0,MATCH(AH$2,Inputs!$K$4:$AJ$4,0))))+SUMPRODUCT((Inputs!$E$5:$E$190=$B72)*ISNUMBER(INDEX(Inputs!$K$5:$AJ$190,0,MATCH(AH$2,Inputs!$K$4:$AJ$4,0))))=0,NA(),SUMPRODUCT((Inputs!$A$5:$A$190=$B72)*Inputs!$B$5:$B$190*(((Inputs!$G$5:$G$190="moeda")+(Inputs!$G$5:$G$190="acoes"))*Inputs!$B$1+((Inputs!$G$5:$G$190&lt;&gt;"moeda")*(Inputs!$G$5:$G$190&lt;&gt;"acoes")))*INDEX(Inputs!$K$5:$AJ$190,0,MATCH(AH$2,Inputs!$K$4:$AJ$4,0)))+SUMPRODUCT((Inputs!$C$5:$C$190=$B72)*Inputs!$D$5:$D$190*(((Inputs!$G$5:$G$190="moeda")+(Inputs!$G$5:$G$190="acoes"))*Inputs!$B$1+((Inputs!$G$5:$G$190&lt;&gt;"moeda")*(Inputs!$G$5:$G$190&lt;&gt;"acoes")))*INDEX(Inputs!$K$5:$AJ$190,0,MATCH(AH$2,Inputs!$K$4:$AJ$4,0)))+SUMPRODUCT((Inputs!$E$5:$E$190=$B72)*Inputs!$F$5:$F$190*(((Inputs!$G$5:$G$190="moeda")+(Inputs!$G$5:$G$190="acoes"))*Inputs!$B$1+((Inputs!$G$5:$G$190&lt;&gt;"moeda")*(Inputs!$G$5:$G$190&lt;&gt;"acoes")))*INDEX(Inputs!$K$5:$AJ$190,0,MATCH(AH$2,Inputs!$K$4:$AJ$4,0)))))</f>
        <v>1353.649</v>
      </c>
      <c r="AI72" s="266">
        <f>IF(ISNA(MATCH(AI$2,Inputs!$K$4:$AJ$4,0)),NA(),IF(SUMPRODUCT((Inputs!$A$5:$A$190=$B72)*ISNUMBER(INDEX(Inputs!$K$5:$AJ$190,0,MATCH(AI$2,Inputs!$K$4:$AJ$4,0))))+SUMPRODUCT((Inputs!$C$5:$C$190=$B72)*ISNUMBER(INDEX(Inputs!$K$5:$AJ$190,0,MATCH(AI$2,Inputs!$K$4:$AJ$4,0))))+SUMPRODUCT((Inputs!$E$5:$E$190=$B72)*ISNUMBER(INDEX(Inputs!$K$5:$AJ$190,0,MATCH(AI$2,Inputs!$K$4:$AJ$4,0))))=0,NA(),SUMPRODUCT((Inputs!$A$5:$A$190=$B72)*Inputs!$B$5:$B$190*(((Inputs!$G$5:$G$190="moeda")+(Inputs!$G$5:$G$190="acoes"))*Inputs!$B$1+((Inputs!$G$5:$G$190&lt;&gt;"moeda")*(Inputs!$G$5:$G$190&lt;&gt;"acoes")))*INDEX(Inputs!$K$5:$AJ$190,0,MATCH(AI$2,Inputs!$K$4:$AJ$4,0)))+SUMPRODUCT((Inputs!$C$5:$C$190=$B72)*Inputs!$D$5:$D$190*(((Inputs!$G$5:$G$190="moeda")+(Inputs!$G$5:$G$190="acoes"))*Inputs!$B$1+((Inputs!$G$5:$G$190&lt;&gt;"moeda")*(Inputs!$G$5:$G$190&lt;&gt;"acoes")))*INDEX(Inputs!$K$5:$AJ$190,0,MATCH(AI$2,Inputs!$K$4:$AJ$4,0)))+SUMPRODUCT((Inputs!$E$5:$E$190=$B72)*Inputs!$F$5:$F$190*(((Inputs!$G$5:$G$190="moeda")+(Inputs!$G$5:$G$190="acoes"))*Inputs!$B$1+((Inputs!$G$5:$G$190&lt;&gt;"moeda")*(Inputs!$G$5:$G$190&lt;&gt;"acoes")))*INDEX(Inputs!$K$5:$AJ$190,0,MATCH(AI$2,Inputs!$K$4:$AJ$4,0)))))</f>
        <v>1390.284</v>
      </c>
      <c r="AJ72" s="266">
        <f>IF(ISNA(MATCH(AJ$2,Inputs!$K$4:$AJ$4,0)),NA(),IF(SUMPRODUCT((Inputs!$A$5:$A$190=$B72)*ISNUMBER(INDEX(Inputs!$K$5:$AJ$190,0,MATCH(AJ$2,Inputs!$K$4:$AJ$4,0))))+SUMPRODUCT((Inputs!$C$5:$C$190=$B72)*ISNUMBER(INDEX(Inputs!$K$5:$AJ$190,0,MATCH(AJ$2,Inputs!$K$4:$AJ$4,0))))+SUMPRODUCT((Inputs!$E$5:$E$190=$B72)*ISNUMBER(INDEX(Inputs!$K$5:$AJ$190,0,MATCH(AJ$2,Inputs!$K$4:$AJ$4,0))))=0,NA(),SUMPRODUCT((Inputs!$A$5:$A$190=$B72)*Inputs!$B$5:$B$190*(((Inputs!$G$5:$G$190="moeda")+(Inputs!$G$5:$G$190="acoes"))*Inputs!$B$1+((Inputs!$G$5:$G$190&lt;&gt;"moeda")*(Inputs!$G$5:$G$190&lt;&gt;"acoes")))*INDEX(Inputs!$K$5:$AJ$190,0,MATCH(AJ$2,Inputs!$K$4:$AJ$4,0)))+SUMPRODUCT((Inputs!$C$5:$C$190=$B72)*Inputs!$D$5:$D$190*(((Inputs!$G$5:$G$190="moeda")+(Inputs!$G$5:$G$190="acoes"))*Inputs!$B$1+((Inputs!$G$5:$G$190&lt;&gt;"moeda")*(Inputs!$G$5:$G$190&lt;&gt;"acoes")))*INDEX(Inputs!$K$5:$AJ$190,0,MATCH(AJ$2,Inputs!$K$4:$AJ$4,0)))+SUMPRODUCT((Inputs!$E$5:$E$190=$B72)*Inputs!$F$5:$F$190*(((Inputs!$G$5:$G$190="moeda")+(Inputs!$G$5:$G$190="acoes"))*Inputs!$B$1+((Inputs!$G$5:$G$190&lt;&gt;"moeda")*(Inputs!$G$5:$G$190&lt;&gt;"acoes")))*INDEX(Inputs!$K$5:$AJ$190,0,MATCH(AJ$2,Inputs!$K$4:$AJ$4,0)))))</f>
        <v>1241.48</v>
      </c>
      <c r="AK72" s="266">
        <f>IF(ISNA(MATCH(AK$2,Inputs!$K$4:$AJ$4,0)),NA(),IF(SUMPRODUCT((Inputs!$A$5:$A$190=$B72)*ISNUMBER(INDEX(Inputs!$K$5:$AJ$190,0,MATCH(AK$2,Inputs!$K$4:$AJ$4,0))))+SUMPRODUCT((Inputs!$C$5:$C$190=$B72)*ISNUMBER(INDEX(Inputs!$K$5:$AJ$190,0,MATCH(AK$2,Inputs!$K$4:$AJ$4,0))))+SUMPRODUCT((Inputs!$E$5:$E$190=$B72)*ISNUMBER(INDEX(Inputs!$K$5:$AJ$190,0,MATCH(AK$2,Inputs!$K$4:$AJ$4,0))))=0,NA(),SUMPRODUCT((Inputs!$A$5:$A$190=$B72)*Inputs!$B$5:$B$190*(((Inputs!$G$5:$G$190="moeda")+(Inputs!$G$5:$G$190="acoes"))*Inputs!$B$1+((Inputs!$G$5:$G$190&lt;&gt;"moeda")*(Inputs!$G$5:$G$190&lt;&gt;"acoes")))*INDEX(Inputs!$K$5:$AJ$190,0,MATCH(AK$2,Inputs!$K$4:$AJ$4,0)))+SUMPRODUCT((Inputs!$C$5:$C$190=$B72)*Inputs!$D$5:$D$190*(((Inputs!$G$5:$G$190="moeda")+(Inputs!$G$5:$G$190="acoes"))*Inputs!$B$1+((Inputs!$G$5:$G$190&lt;&gt;"moeda")*(Inputs!$G$5:$G$190&lt;&gt;"acoes")))*INDEX(Inputs!$K$5:$AJ$190,0,MATCH(AK$2,Inputs!$K$4:$AJ$4,0)))+SUMPRODUCT((Inputs!$E$5:$E$190=$B72)*Inputs!$F$5:$F$190*(((Inputs!$G$5:$G$190="moeda")+(Inputs!$G$5:$G$190="acoes"))*Inputs!$B$1+((Inputs!$G$5:$G$190&lt;&gt;"moeda")*(Inputs!$G$5:$G$190&lt;&gt;"acoes")))*INDEX(Inputs!$K$5:$AJ$190,0,MATCH(AK$2,Inputs!$K$4:$AJ$4,0)))))</f>
        <v>1196.553</v>
      </c>
      <c r="AL72" s="267" t="n"/>
    </row>
    <row r="73">
      <c r="B73" s="46" t="n">
        <v>65</v>
      </c>
      <c r="C73" s="29" t="inlineStr">
        <is>
          <t>Movida - carros vendidos (seminovos; l.29)</t>
        </is>
      </c>
      <c r="D73" s="266">
        <f>IF(ISNA(MATCH(D$2,Inputs!$K$4:$AJ$4,0)),NA(),IF(SUMPRODUCT((Inputs!$A$5:$A$190=$B73)*ISNUMBER(INDEX(Inputs!$K$5:$AJ$190,0,MATCH(D$2,Inputs!$K$4:$AJ$4,0))))+SUMPRODUCT((Inputs!$C$5:$C$190=$B73)*ISNUMBER(INDEX(Inputs!$K$5:$AJ$190,0,MATCH(D$2,Inputs!$K$4:$AJ$4,0))))+SUMPRODUCT((Inputs!$E$5:$E$190=$B73)*ISNUMBER(INDEX(Inputs!$K$5:$AJ$190,0,MATCH(D$2,Inputs!$K$4:$AJ$4,0))))=0,NA(),SUMPRODUCT((Inputs!$A$5:$A$190=$B73)*Inputs!$B$5:$B$190*(((Inputs!$G$5:$G$190="moeda")+(Inputs!$G$5:$G$190="acoes"))*Inputs!$B$1+((Inputs!$G$5:$G$190&lt;&gt;"moeda")*(Inputs!$G$5:$G$190&lt;&gt;"acoes")))*INDEX(Inputs!$K$5:$AJ$190,0,MATCH(D$2,Inputs!$K$4:$AJ$4,0)))+SUMPRODUCT((Inputs!$C$5:$C$190=$B73)*Inputs!$D$5:$D$190*(((Inputs!$G$5:$G$190="moeda")+(Inputs!$G$5:$G$190="acoes"))*Inputs!$B$1+((Inputs!$G$5:$G$190&lt;&gt;"moeda")*(Inputs!$G$5:$G$190&lt;&gt;"acoes")))*INDEX(Inputs!$K$5:$AJ$190,0,MATCH(D$2,Inputs!$K$4:$AJ$4,0)))+SUMPRODUCT((Inputs!$E$5:$E$190=$B73)*Inputs!$F$5:$F$190*(((Inputs!$G$5:$G$190="moeda")+(Inputs!$G$5:$G$190="acoes"))*Inputs!$B$1+((Inputs!$G$5:$G$190&lt;&gt;"moeda")*(Inputs!$G$5:$G$190&lt;&gt;"acoes")))*INDEX(Inputs!$K$5:$AJ$190,0,MATCH(D$2,Inputs!$K$4:$AJ$4,0)))))</f>
        <v>5356</v>
      </c>
      <c r="E73" s="266">
        <f>IF(ISNA(MATCH(E$2,Inputs!$K$4:$AJ$4,0)),NA(),IF(SUMPRODUCT((Inputs!$A$5:$A$190=$B73)*ISNUMBER(INDEX(Inputs!$K$5:$AJ$190,0,MATCH(E$2,Inputs!$K$4:$AJ$4,0))))+SUMPRODUCT((Inputs!$C$5:$C$190=$B73)*ISNUMBER(INDEX(Inputs!$K$5:$AJ$190,0,MATCH(E$2,Inputs!$K$4:$AJ$4,0))))+SUMPRODUCT((Inputs!$E$5:$E$190=$B73)*ISNUMBER(INDEX(Inputs!$K$5:$AJ$190,0,MATCH(E$2,Inputs!$K$4:$AJ$4,0))))=0,NA(),SUMPRODUCT((Inputs!$A$5:$A$190=$B73)*Inputs!$B$5:$B$190*(((Inputs!$G$5:$G$190="moeda")+(Inputs!$G$5:$G$190="acoes"))*Inputs!$B$1+((Inputs!$G$5:$G$190&lt;&gt;"moeda")*(Inputs!$G$5:$G$190&lt;&gt;"acoes")))*INDEX(Inputs!$K$5:$AJ$190,0,MATCH(E$2,Inputs!$K$4:$AJ$4,0)))+SUMPRODUCT((Inputs!$C$5:$C$190=$B73)*Inputs!$D$5:$D$190*(((Inputs!$G$5:$G$190="moeda")+(Inputs!$G$5:$G$190="acoes"))*Inputs!$B$1+((Inputs!$G$5:$G$190&lt;&gt;"moeda")*(Inputs!$G$5:$G$190&lt;&gt;"acoes")))*INDEX(Inputs!$K$5:$AJ$190,0,MATCH(E$2,Inputs!$K$4:$AJ$4,0)))+SUMPRODUCT((Inputs!$E$5:$E$190=$B73)*Inputs!$F$5:$F$190*(((Inputs!$G$5:$G$190="moeda")+(Inputs!$G$5:$G$190="acoes"))*Inputs!$B$1+((Inputs!$G$5:$G$190&lt;&gt;"moeda")*(Inputs!$G$5:$G$190&lt;&gt;"acoes")))*INDEX(Inputs!$K$5:$AJ$190,0,MATCH(E$2,Inputs!$K$4:$AJ$4,0)))))</f>
        <v>12462</v>
      </c>
      <c r="F73" s="266">
        <f>IF(ISNA(MATCH(F$2,Inputs!$K$4:$AJ$4,0)),NA(),IF(SUMPRODUCT((Inputs!$A$5:$A$190=$B73)*ISNUMBER(INDEX(Inputs!$K$5:$AJ$190,0,MATCH(F$2,Inputs!$K$4:$AJ$4,0))))+SUMPRODUCT((Inputs!$C$5:$C$190=$B73)*ISNUMBER(INDEX(Inputs!$K$5:$AJ$190,0,MATCH(F$2,Inputs!$K$4:$AJ$4,0))))+SUMPRODUCT((Inputs!$E$5:$E$190=$B73)*ISNUMBER(INDEX(Inputs!$K$5:$AJ$190,0,MATCH(F$2,Inputs!$K$4:$AJ$4,0))))=0,NA(),SUMPRODUCT((Inputs!$A$5:$A$190=$B73)*Inputs!$B$5:$B$190*(((Inputs!$G$5:$G$190="moeda")+(Inputs!$G$5:$G$190="acoes"))*Inputs!$B$1+((Inputs!$G$5:$G$190&lt;&gt;"moeda")*(Inputs!$G$5:$G$190&lt;&gt;"acoes")))*INDEX(Inputs!$K$5:$AJ$190,0,MATCH(F$2,Inputs!$K$4:$AJ$4,0)))+SUMPRODUCT((Inputs!$C$5:$C$190=$B73)*Inputs!$D$5:$D$190*(((Inputs!$G$5:$G$190="moeda")+(Inputs!$G$5:$G$190="acoes"))*Inputs!$B$1+((Inputs!$G$5:$G$190&lt;&gt;"moeda")*(Inputs!$G$5:$G$190&lt;&gt;"acoes")))*INDEX(Inputs!$K$5:$AJ$190,0,MATCH(F$2,Inputs!$K$4:$AJ$4,0)))+SUMPRODUCT((Inputs!$E$5:$E$190=$B73)*Inputs!$F$5:$F$190*(((Inputs!$G$5:$G$190="moeda")+(Inputs!$G$5:$G$190="acoes"))*Inputs!$B$1+((Inputs!$G$5:$G$190&lt;&gt;"moeda")*(Inputs!$G$5:$G$190&lt;&gt;"acoes")))*INDEX(Inputs!$K$5:$AJ$190,0,MATCH(F$2,Inputs!$K$4:$AJ$4,0)))))</f>
        <v>14509</v>
      </c>
      <c r="G73" s="266">
        <f>IF(ISNA(MATCH(G$2,Inputs!$K$4:$AJ$4,0)),NA(),IF(SUMPRODUCT((Inputs!$A$5:$A$190=$B73)*ISNUMBER(INDEX(Inputs!$K$5:$AJ$190,0,MATCH(G$2,Inputs!$K$4:$AJ$4,0))))+SUMPRODUCT((Inputs!$C$5:$C$190=$B73)*ISNUMBER(INDEX(Inputs!$K$5:$AJ$190,0,MATCH(G$2,Inputs!$K$4:$AJ$4,0))))+SUMPRODUCT((Inputs!$E$5:$E$190=$B73)*ISNUMBER(INDEX(Inputs!$K$5:$AJ$190,0,MATCH(G$2,Inputs!$K$4:$AJ$4,0))))=0,NA(),SUMPRODUCT((Inputs!$A$5:$A$190=$B73)*Inputs!$B$5:$B$190*(((Inputs!$G$5:$G$190="moeda")+(Inputs!$G$5:$G$190="acoes"))*Inputs!$B$1+((Inputs!$G$5:$G$190&lt;&gt;"moeda")*(Inputs!$G$5:$G$190&lt;&gt;"acoes")))*INDEX(Inputs!$K$5:$AJ$190,0,MATCH(G$2,Inputs!$K$4:$AJ$4,0)))+SUMPRODUCT((Inputs!$C$5:$C$190=$B73)*Inputs!$D$5:$D$190*(((Inputs!$G$5:$G$190="moeda")+(Inputs!$G$5:$G$190="acoes"))*Inputs!$B$1+((Inputs!$G$5:$G$190&lt;&gt;"moeda")*(Inputs!$G$5:$G$190&lt;&gt;"acoes")))*INDEX(Inputs!$K$5:$AJ$190,0,MATCH(G$2,Inputs!$K$4:$AJ$4,0)))+SUMPRODUCT((Inputs!$E$5:$E$190=$B73)*Inputs!$F$5:$F$190*(((Inputs!$G$5:$G$190="moeda")+(Inputs!$G$5:$G$190="acoes"))*Inputs!$B$1+((Inputs!$G$5:$G$190&lt;&gt;"moeda")*(Inputs!$G$5:$G$190&lt;&gt;"acoes")))*INDEX(Inputs!$K$5:$AJ$190,0,MATCH(G$2,Inputs!$K$4:$AJ$4,0)))))</f>
        <v>12472</v>
      </c>
      <c r="H73" s="267">
        <f>SUM(D73:G73)</f>
        <v>44799</v>
      </c>
      <c r="I73" s="266">
        <f>IF(ISNA(MATCH(I$2,Inputs!$K$4:$AJ$4,0)),NA(),IF(SUMPRODUCT((Inputs!$A$5:$A$190=$B73)*ISNUMBER(INDEX(Inputs!$K$5:$AJ$190,0,MATCH(I$2,Inputs!$K$4:$AJ$4,0))))+SUMPRODUCT((Inputs!$C$5:$C$190=$B73)*ISNUMBER(INDEX(Inputs!$K$5:$AJ$190,0,MATCH(I$2,Inputs!$K$4:$AJ$4,0))))+SUMPRODUCT((Inputs!$E$5:$E$190=$B73)*ISNUMBER(INDEX(Inputs!$K$5:$AJ$190,0,MATCH(I$2,Inputs!$K$4:$AJ$4,0))))=0,NA(),SUMPRODUCT((Inputs!$A$5:$A$190=$B73)*Inputs!$B$5:$B$190*(((Inputs!$G$5:$G$190="moeda")+(Inputs!$G$5:$G$190="acoes"))*Inputs!$B$1+((Inputs!$G$5:$G$190&lt;&gt;"moeda")*(Inputs!$G$5:$G$190&lt;&gt;"acoes")))*INDEX(Inputs!$K$5:$AJ$190,0,MATCH(I$2,Inputs!$K$4:$AJ$4,0)))+SUMPRODUCT((Inputs!$C$5:$C$190=$B73)*Inputs!$D$5:$D$190*(((Inputs!$G$5:$G$190="moeda")+(Inputs!$G$5:$G$190="acoes"))*Inputs!$B$1+((Inputs!$G$5:$G$190&lt;&gt;"moeda")*(Inputs!$G$5:$G$190&lt;&gt;"acoes")))*INDEX(Inputs!$K$5:$AJ$190,0,MATCH(I$2,Inputs!$K$4:$AJ$4,0)))+SUMPRODUCT((Inputs!$E$5:$E$190=$B73)*Inputs!$F$5:$F$190*(((Inputs!$G$5:$G$190="moeda")+(Inputs!$G$5:$G$190="acoes"))*Inputs!$B$1+((Inputs!$G$5:$G$190&lt;&gt;"moeda")*(Inputs!$G$5:$G$190&lt;&gt;"acoes")))*INDEX(Inputs!$K$5:$AJ$190,0,MATCH(I$2,Inputs!$K$4:$AJ$4,0)))))</f>
        <v>15225</v>
      </c>
      <c r="J73" s="266">
        <f>IF(ISNA(MATCH(J$2,Inputs!$K$4:$AJ$4,0)),NA(),IF(SUMPRODUCT((Inputs!$A$5:$A$190=$B73)*ISNUMBER(INDEX(Inputs!$K$5:$AJ$190,0,MATCH(J$2,Inputs!$K$4:$AJ$4,0))))+SUMPRODUCT((Inputs!$C$5:$C$190=$B73)*ISNUMBER(INDEX(Inputs!$K$5:$AJ$190,0,MATCH(J$2,Inputs!$K$4:$AJ$4,0))))+SUMPRODUCT((Inputs!$E$5:$E$190=$B73)*ISNUMBER(INDEX(Inputs!$K$5:$AJ$190,0,MATCH(J$2,Inputs!$K$4:$AJ$4,0))))=0,NA(),SUMPRODUCT((Inputs!$A$5:$A$190=$B73)*Inputs!$B$5:$B$190*(((Inputs!$G$5:$G$190="moeda")+(Inputs!$G$5:$G$190="acoes"))*Inputs!$B$1+((Inputs!$G$5:$G$190&lt;&gt;"moeda")*(Inputs!$G$5:$G$190&lt;&gt;"acoes")))*INDEX(Inputs!$K$5:$AJ$190,0,MATCH(J$2,Inputs!$K$4:$AJ$4,0)))+SUMPRODUCT((Inputs!$C$5:$C$190=$B73)*Inputs!$D$5:$D$190*(((Inputs!$G$5:$G$190="moeda")+(Inputs!$G$5:$G$190="acoes"))*Inputs!$B$1+((Inputs!$G$5:$G$190&lt;&gt;"moeda")*(Inputs!$G$5:$G$190&lt;&gt;"acoes")))*INDEX(Inputs!$K$5:$AJ$190,0,MATCH(J$2,Inputs!$K$4:$AJ$4,0)))+SUMPRODUCT((Inputs!$E$5:$E$190=$B73)*Inputs!$F$5:$F$190*(((Inputs!$G$5:$G$190="moeda")+(Inputs!$G$5:$G$190="acoes"))*Inputs!$B$1+((Inputs!$G$5:$G$190&lt;&gt;"moeda")*(Inputs!$G$5:$G$190&lt;&gt;"acoes")))*INDEX(Inputs!$K$5:$AJ$190,0,MATCH(J$2,Inputs!$K$4:$AJ$4,0)))))</f>
        <v>18474</v>
      </c>
      <c r="K73" s="266">
        <f>IF(ISNA(MATCH(K$2,Inputs!$K$4:$AJ$4,0)),NA(),IF(SUMPRODUCT((Inputs!$A$5:$A$190=$B73)*ISNUMBER(INDEX(Inputs!$K$5:$AJ$190,0,MATCH(K$2,Inputs!$K$4:$AJ$4,0))))+SUMPRODUCT((Inputs!$C$5:$C$190=$B73)*ISNUMBER(INDEX(Inputs!$K$5:$AJ$190,0,MATCH(K$2,Inputs!$K$4:$AJ$4,0))))+SUMPRODUCT((Inputs!$E$5:$E$190=$B73)*ISNUMBER(INDEX(Inputs!$K$5:$AJ$190,0,MATCH(K$2,Inputs!$K$4:$AJ$4,0))))=0,NA(),SUMPRODUCT((Inputs!$A$5:$A$190=$B73)*Inputs!$B$5:$B$190*(((Inputs!$G$5:$G$190="moeda")+(Inputs!$G$5:$G$190="acoes"))*Inputs!$B$1+((Inputs!$G$5:$G$190&lt;&gt;"moeda")*(Inputs!$G$5:$G$190&lt;&gt;"acoes")))*INDEX(Inputs!$K$5:$AJ$190,0,MATCH(K$2,Inputs!$K$4:$AJ$4,0)))+SUMPRODUCT((Inputs!$C$5:$C$190=$B73)*Inputs!$D$5:$D$190*(((Inputs!$G$5:$G$190="moeda")+(Inputs!$G$5:$G$190="acoes"))*Inputs!$B$1+((Inputs!$G$5:$G$190&lt;&gt;"moeda")*(Inputs!$G$5:$G$190&lt;&gt;"acoes")))*INDEX(Inputs!$K$5:$AJ$190,0,MATCH(K$2,Inputs!$K$4:$AJ$4,0)))+SUMPRODUCT((Inputs!$E$5:$E$190=$B73)*Inputs!$F$5:$F$190*(((Inputs!$G$5:$G$190="moeda")+(Inputs!$G$5:$G$190="acoes"))*Inputs!$B$1+((Inputs!$G$5:$G$190&lt;&gt;"moeda")*(Inputs!$G$5:$G$190&lt;&gt;"acoes")))*INDEX(Inputs!$K$5:$AJ$190,0,MATCH(K$2,Inputs!$K$4:$AJ$4,0)))))</f>
        <v>20023</v>
      </c>
      <c r="L73" s="266">
        <f>IF(ISNA(MATCH(L$2,Inputs!$K$4:$AJ$4,0)),NA(),IF(SUMPRODUCT((Inputs!$A$5:$A$190=$B73)*ISNUMBER(INDEX(Inputs!$K$5:$AJ$190,0,MATCH(L$2,Inputs!$K$4:$AJ$4,0))))+SUMPRODUCT((Inputs!$C$5:$C$190=$B73)*ISNUMBER(INDEX(Inputs!$K$5:$AJ$190,0,MATCH(L$2,Inputs!$K$4:$AJ$4,0))))+SUMPRODUCT((Inputs!$E$5:$E$190=$B73)*ISNUMBER(INDEX(Inputs!$K$5:$AJ$190,0,MATCH(L$2,Inputs!$K$4:$AJ$4,0))))=0,NA(),SUMPRODUCT((Inputs!$A$5:$A$190=$B73)*Inputs!$B$5:$B$190*(((Inputs!$G$5:$G$190="moeda")+(Inputs!$G$5:$G$190="acoes"))*Inputs!$B$1+((Inputs!$G$5:$G$190&lt;&gt;"moeda")*(Inputs!$G$5:$G$190&lt;&gt;"acoes")))*INDEX(Inputs!$K$5:$AJ$190,0,MATCH(L$2,Inputs!$K$4:$AJ$4,0)))+SUMPRODUCT((Inputs!$C$5:$C$190=$B73)*Inputs!$D$5:$D$190*(((Inputs!$G$5:$G$190="moeda")+(Inputs!$G$5:$G$190="acoes"))*Inputs!$B$1+((Inputs!$G$5:$G$190&lt;&gt;"moeda")*(Inputs!$G$5:$G$190&lt;&gt;"acoes")))*INDEX(Inputs!$K$5:$AJ$190,0,MATCH(L$2,Inputs!$K$4:$AJ$4,0)))+SUMPRODUCT((Inputs!$E$5:$E$190=$B73)*Inputs!$F$5:$F$190*(((Inputs!$G$5:$G$190="moeda")+(Inputs!$G$5:$G$190="acoes"))*Inputs!$B$1+((Inputs!$G$5:$G$190&lt;&gt;"moeda")*(Inputs!$G$5:$G$190&lt;&gt;"acoes")))*INDEX(Inputs!$K$5:$AJ$190,0,MATCH(L$2,Inputs!$K$4:$AJ$4,0)))))</f>
        <v>18697</v>
      </c>
      <c r="M73" s="267">
        <f>SUM(I73:L73)</f>
        <v>72419</v>
      </c>
      <c r="N73" s="266">
        <f>IF(ISNA(MATCH(N$2,Inputs!$K$4:$AJ$4,0)),NA(),IF(SUMPRODUCT((Inputs!$A$5:$A$190=$B73)*ISNUMBER(INDEX(Inputs!$K$5:$AJ$190,0,MATCH(N$2,Inputs!$K$4:$AJ$4,0))))+SUMPRODUCT((Inputs!$C$5:$C$190=$B73)*ISNUMBER(INDEX(Inputs!$K$5:$AJ$190,0,MATCH(N$2,Inputs!$K$4:$AJ$4,0))))+SUMPRODUCT((Inputs!$E$5:$E$190=$B73)*ISNUMBER(INDEX(Inputs!$K$5:$AJ$190,0,MATCH(N$2,Inputs!$K$4:$AJ$4,0))))=0,NA(),SUMPRODUCT((Inputs!$A$5:$A$190=$B73)*Inputs!$B$5:$B$190*(((Inputs!$G$5:$G$190="moeda")+(Inputs!$G$5:$G$190="acoes"))*Inputs!$B$1+((Inputs!$G$5:$G$190&lt;&gt;"moeda")*(Inputs!$G$5:$G$190&lt;&gt;"acoes")))*INDEX(Inputs!$K$5:$AJ$190,0,MATCH(N$2,Inputs!$K$4:$AJ$4,0)))+SUMPRODUCT((Inputs!$C$5:$C$190=$B73)*Inputs!$D$5:$D$190*(((Inputs!$G$5:$G$190="moeda")+(Inputs!$G$5:$G$190="acoes"))*Inputs!$B$1+((Inputs!$G$5:$G$190&lt;&gt;"moeda")*(Inputs!$G$5:$G$190&lt;&gt;"acoes")))*INDEX(Inputs!$K$5:$AJ$190,0,MATCH(N$2,Inputs!$K$4:$AJ$4,0)))+SUMPRODUCT((Inputs!$E$5:$E$190=$B73)*Inputs!$F$5:$F$190*(((Inputs!$G$5:$G$190="moeda")+(Inputs!$G$5:$G$190="acoes"))*Inputs!$B$1+((Inputs!$G$5:$G$190&lt;&gt;"moeda")*(Inputs!$G$5:$G$190&lt;&gt;"acoes")))*INDEX(Inputs!$K$5:$AJ$190,0,MATCH(N$2,Inputs!$K$4:$AJ$4,0)))))</f>
        <v>19610</v>
      </c>
      <c r="O73" s="266">
        <f>IF(ISNA(MATCH(O$2,Inputs!$K$4:$AJ$4,0)),NA(),IF(SUMPRODUCT((Inputs!$A$5:$A$190=$B73)*ISNUMBER(INDEX(Inputs!$K$5:$AJ$190,0,MATCH(O$2,Inputs!$K$4:$AJ$4,0))))+SUMPRODUCT((Inputs!$C$5:$C$190=$B73)*ISNUMBER(INDEX(Inputs!$K$5:$AJ$190,0,MATCH(O$2,Inputs!$K$4:$AJ$4,0))))+SUMPRODUCT((Inputs!$E$5:$E$190=$B73)*ISNUMBER(INDEX(Inputs!$K$5:$AJ$190,0,MATCH(O$2,Inputs!$K$4:$AJ$4,0))))=0,NA(),SUMPRODUCT((Inputs!$A$5:$A$190=$B73)*Inputs!$B$5:$B$190*(((Inputs!$G$5:$G$190="moeda")+(Inputs!$G$5:$G$190="acoes"))*Inputs!$B$1+((Inputs!$G$5:$G$190&lt;&gt;"moeda")*(Inputs!$G$5:$G$190&lt;&gt;"acoes")))*INDEX(Inputs!$K$5:$AJ$190,0,MATCH(O$2,Inputs!$K$4:$AJ$4,0)))+SUMPRODUCT((Inputs!$C$5:$C$190=$B73)*Inputs!$D$5:$D$190*(((Inputs!$G$5:$G$190="moeda")+(Inputs!$G$5:$G$190="acoes"))*Inputs!$B$1+((Inputs!$G$5:$G$190&lt;&gt;"moeda")*(Inputs!$G$5:$G$190&lt;&gt;"acoes")))*INDEX(Inputs!$K$5:$AJ$190,0,MATCH(O$2,Inputs!$K$4:$AJ$4,0)))+SUMPRODUCT((Inputs!$E$5:$E$190=$B73)*Inputs!$F$5:$F$190*(((Inputs!$G$5:$G$190="moeda")+(Inputs!$G$5:$G$190="acoes"))*Inputs!$B$1+((Inputs!$G$5:$G$190&lt;&gt;"moeda")*(Inputs!$G$5:$G$190&lt;&gt;"acoes")))*INDEX(Inputs!$K$5:$AJ$190,0,MATCH(O$2,Inputs!$K$4:$AJ$4,0)))))</f>
        <v>18806</v>
      </c>
      <c r="P73" s="266">
        <f>IF(ISNA(MATCH(P$2,Inputs!$K$4:$AJ$4,0)),NA(),IF(SUMPRODUCT((Inputs!$A$5:$A$190=$B73)*ISNUMBER(INDEX(Inputs!$K$5:$AJ$190,0,MATCH(P$2,Inputs!$K$4:$AJ$4,0))))+SUMPRODUCT((Inputs!$C$5:$C$190=$B73)*ISNUMBER(INDEX(Inputs!$K$5:$AJ$190,0,MATCH(P$2,Inputs!$K$4:$AJ$4,0))))+SUMPRODUCT((Inputs!$E$5:$E$190=$B73)*ISNUMBER(INDEX(Inputs!$K$5:$AJ$190,0,MATCH(P$2,Inputs!$K$4:$AJ$4,0))))=0,NA(),SUMPRODUCT((Inputs!$A$5:$A$190=$B73)*Inputs!$B$5:$B$190*(((Inputs!$G$5:$G$190="moeda")+(Inputs!$G$5:$G$190="acoes"))*Inputs!$B$1+((Inputs!$G$5:$G$190&lt;&gt;"moeda")*(Inputs!$G$5:$G$190&lt;&gt;"acoes")))*INDEX(Inputs!$K$5:$AJ$190,0,MATCH(P$2,Inputs!$K$4:$AJ$4,0)))+SUMPRODUCT((Inputs!$C$5:$C$190=$B73)*Inputs!$D$5:$D$190*(((Inputs!$G$5:$G$190="moeda")+(Inputs!$G$5:$G$190="acoes"))*Inputs!$B$1+((Inputs!$G$5:$G$190&lt;&gt;"moeda")*(Inputs!$G$5:$G$190&lt;&gt;"acoes")))*INDEX(Inputs!$K$5:$AJ$190,0,MATCH(P$2,Inputs!$K$4:$AJ$4,0)))+SUMPRODUCT((Inputs!$E$5:$E$190=$B73)*Inputs!$F$5:$F$190*(((Inputs!$G$5:$G$190="moeda")+(Inputs!$G$5:$G$190="acoes"))*Inputs!$B$1+((Inputs!$G$5:$G$190&lt;&gt;"moeda")*(Inputs!$G$5:$G$190&lt;&gt;"acoes")))*INDEX(Inputs!$K$5:$AJ$190,0,MATCH(P$2,Inputs!$K$4:$AJ$4,0)))))</f>
        <v>20503</v>
      </c>
      <c r="Q73" s="266">
        <f>IF(ISNA(MATCH(Q$2,Inputs!$K$4:$AJ$4,0)),NA(),IF(SUMPRODUCT((Inputs!$A$5:$A$190=$B73)*ISNUMBER(INDEX(Inputs!$K$5:$AJ$190,0,MATCH(Q$2,Inputs!$K$4:$AJ$4,0))))+SUMPRODUCT((Inputs!$C$5:$C$190=$B73)*ISNUMBER(INDEX(Inputs!$K$5:$AJ$190,0,MATCH(Q$2,Inputs!$K$4:$AJ$4,0))))+SUMPRODUCT((Inputs!$E$5:$E$190=$B73)*ISNUMBER(INDEX(Inputs!$K$5:$AJ$190,0,MATCH(Q$2,Inputs!$K$4:$AJ$4,0))))=0,NA(),SUMPRODUCT((Inputs!$A$5:$A$190=$B73)*Inputs!$B$5:$B$190*(((Inputs!$G$5:$G$190="moeda")+(Inputs!$G$5:$G$190="acoes"))*Inputs!$B$1+((Inputs!$G$5:$G$190&lt;&gt;"moeda")*(Inputs!$G$5:$G$190&lt;&gt;"acoes")))*INDEX(Inputs!$K$5:$AJ$190,0,MATCH(Q$2,Inputs!$K$4:$AJ$4,0)))+SUMPRODUCT((Inputs!$C$5:$C$190=$B73)*Inputs!$D$5:$D$190*(((Inputs!$G$5:$G$190="moeda")+(Inputs!$G$5:$G$190="acoes"))*Inputs!$B$1+((Inputs!$G$5:$G$190&lt;&gt;"moeda")*(Inputs!$G$5:$G$190&lt;&gt;"acoes")))*INDEX(Inputs!$K$5:$AJ$190,0,MATCH(Q$2,Inputs!$K$4:$AJ$4,0)))+SUMPRODUCT((Inputs!$E$5:$E$190=$B73)*Inputs!$F$5:$F$190*(((Inputs!$G$5:$G$190="moeda")+(Inputs!$G$5:$G$190="acoes"))*Inputs!$B$1+((Inputs!$G$5:$G$190&lt;&gt;"moeda")*(Inputs!$G$5:$G$190&lt;&gt;"acoes")))*INDEX(Inputs!$K$5:$AJ$190,0,MATCH(Q$2,Inputs!$K$4:$AJ$4,0)))))</f>
        <v>17253</v>
      </c>
      <c r="R73" s="267">
        <f>SUM(N73:Q73)</f>
        <v>76172</v>
      </c>
      <c r="S73" s="266">
        <f>IF(ISNA(MATCH(S$2,Inputs!$K$4:$AJ$4,0)),NA(),IF(SUMPRODUCT((Inputs!$A$5:$A$190=$B73)*ISNUMBER(INDEX(Inputs!$K$5:$AJ$190,0,MATCH(S$2,Inputs!$K$4:$AJ$4,0))))+SUMPRODUCT((Inputs!$C$5:$C$190=$B73)*ISNUMBER(INDEX(Inputs!$K$5:$AJ$190,0,MATCH(S$2,Inputs!$K$4:$AJ$4,0))))+SUMPRODUCT((Inputs!$E$5:$E$190=$B73)*ISNUMBER(INDEX(Inputs!$K$5:$AJ$190,0,MATCH(S$2,Inputs!$K$4:$AJ$4,0))))=0,NA(),SUMPRODUCT((Inputs!$A$5:$A$190=$B73)*Inputs!$B$5:$B$190*(((Inputs!$G$5:$G$190="moeda")+(Inputs!$G$5:$G$190="acoes"))*Inputs!$B$1+((Inputs!$G$5:$G$190&lt;&gt;"moeda")*(Inputs!$G$5:$G$190&lt;&gt;"acoes")))*INDEX(Inputs!$K$5:$AJ$190,0,MATCH(S$2,Inputs!$K$4:$AJ$4,0)))+SUMPRODUCT((Inputs!$C$5:$C$190=$B73)*Inputs!$D$5:$D$190*(((Inputs!$G$5:$G$190="moeda")+(Inputs!$G$5:$G$190="acoes"))*Inputs!$B$1+((Inputs!$G$5:$G$190&lt;&gt;"moeda")*(Inputs!$G$5:$G$190&lt;&gt;"acoes")))*INDEX(Inputs!$K$5:$AJ$190,0,MATCH(S$2,Inputs!$K$4:$AJ$4,0)))+SUMPRODUCT((Inputs!$E$5:$E$190=$B73)*Inputs!$F$5:$F$190*(((Inputs!$G$5:$G$190="moeda")+(Inputs!$G$5:$G$190="acoes"))*Inputs!$B$1+((Inputs!$G$5:$G$190&lt;&gt;"moeda")*(Inputs!$G$5:$G$190&lt;&gt;"acoes")))*INDEX(Inputs!$K$5:$AJ$190,0,MATCH(S$2,Inputs!$K$4:$AJ$4,0)))))</f>
        <v>23249</v>
      </c>
      <c r="T73" s="266">
        <f>IF(ISNA(MATCH(T$2,Inputs!$K$4:$AJ$4,0)),NA(),IF(SUMPRODUCT((Inputs!$A$5:$A$190=$B73)*ISNUMBER(INDEX(Inputs!$K$5:$AJ$190,0,MATCH(T$2,Inputs!$K$4:$AJ$4,0))))+SUMPRODUCT((Inputs!$C$5:$C$190=$B73)*ISNUMBER(INDEX(Inputs!$K$5:$AJ$190,0,MATCH(T$2,Inputs!$K$4:$AJ$4,0))))+SUMPRODUCT((Inputs!$E$5:$E$190=$B73)*ISNUMBER(INDEX(Inputs!$K$5:$AJ$190,0,MATCH(T$2,Inputs!$K$4:$AJ$4,0))))=0,NA(),SUMPRODUCT((Inputs!$A$5:$A$190=$B73)*Inputs!$B$5:$B$190*(((Inputs!$G$5:$G$190="moeda")+(Inputs!$G$5:$G$190="acoes"))*Inputs!$B$1+((Inputs!$G$5:$G$190&lt;&gt;"moeda")*(Inputs!$G$5:$G$190&lt;&gt;"acoes")))*INDEX(Inputs!$K$5:$AJ$190,0,MATCH(T$2,Inputs!$K$4:$AJ$4,0)))+SUMPRODUCT((Inputs!$C$5:$C$190=$B73)*Inputs!$D$5:$D$190*(((Inputs!$G$5:$G$190="moeda")+(Inputs!$G$5:$G$190="acoes"))*Inputs!$B$1+((Inputs!$G$5:$G$190&lt;&gt;"moeda")*(Inputs!$G$5:$G$190&lt;&gt;"acoes")))*INDEX(Inputs!$K$5:$AJ$190,0,MATCH(T$2,Inputs!$K$4:$AJ$4,0)))+SUMPRODUCT((Inputs!$E$5:$E$190=$B73)*Inputs!$F$5:$F$190*(((Inputs!$G$5:$G$190="moeda")+(Inputs!$G$5:$G$190="acoes"))*Inputs!$B$1+((Inputs!$G$5:$G$190&lt;&gt;"moeda")*(Inputs!$G$5:$G$190&lt;&gt;"acoes")))*INDEX(Inputs!$K$5:$AJ$190,0,MATCH(T$2,Inputs!$K$4:$AJ$4,0)))))</f>
        <v>27954</v>
      </c>
      <c r="U73" s="266">
        <f>IF(ISNA(MATCH(U$2,Inputs!$K$4:$AJ$4,0)),NA(),IF(SUMPRODUCT((Inputs!$A$5:$A$190=$B73)*ISNUMBER(INDEX(Inputs!$K$5:$AJ$190,0,MATCH(U$2,Inputs!$K$4:$AJ$4,0))))+SUMPRODUCT((Inputs!$C$5:$C$190=$B73)*ISNUMBER(INDEX(Inputs!$K$5:$AJ$190,0,MATCH(U$2,Inputs!$K$4:$AJ$4,0))))+SUMPRODUCT((Inputs!$E$5:$E$190=$B73)*ISNUMBER(INDEX(Inputs!$K$5:$AJ$190,0,MATCH(U$2,Inputs!$K$4:$AJ$4,0))))=0,NA(),SUMPRODUCT((Inputs!$A$5:$A$190=$B73)*Inputs!$B$5:$B$190*(((Inputs!$G$5:$G$190="moeda")+(Inputs!$G$5:$G$190="acoes"))*Inputs!$B$1+((Inputs!$G$5:$G$190&lt;&gt;"moeda")*(Inputs!$G$5:$G$190&lt;&gt;"acoes")))*INDEX(Inputs!$K$5:$AJ$190,0,MATCH(U$2,Inputs!$K$4:$AJ$4,0)))+SUMPRODUCT((Inputs!$C$5:$C$190=$B73)*Inputs!$D$5:$D$190*(((Inputs!$G$5:$G$190="moeda")+(Inputs!$G$5:$G$190="acoes"))*Inputs!$B$1+((Inputs!$G$5:$G$190&lt;&gt;"moeda")*(Inputs!$G$5:$G$190&lt;&gt;"acoes")))*INDEX(Inputs!$K$5:$AJ$190,0,MATCH(U$2,Inputs!$K$4:$AJ$4,0)))+SUMPRODUCT((Inputs!$E$5:$E$190=$B73)*Inputs!$F$5:$F$190*(((Inputs!$G$5:$G$190="moeda")+(Inputs!$G$5:$G$190="acoes"))*Inputs!$B$1+((Inputs!$G$5:$G$190&lt;&gt;"moeda")*(Inputs!$G$5:$G$190&lt;&gt;"acoes")))*INDEX(Inputs!$K$5:$AJ$190,0,MATCH(U$2,Inputs!$K$4:$AJ$4,0)))))</f>
        <v>30572</v>
      </c>
      <c r="V73" s="266">
        <f>IF(ISNA(MATCH(V$2,Inputs!$K$4:$AJ$4,0)),NA(),IF(SUMPRODUCT((Inputs!$A$5:$A$190=$B73)*ISNUMBER(INDEX(Inputs!$K$5:$AJ$190,0,MATCH(V$2,Inputs!$K$4:$AJ$4,0))))+SUMPRODUCT((Inputs!$C$5:$C$190=$B73)*ISNUMBER(INDEX(Inputs!$K$5:$AJ$190,0,MATCH(V$2,Inputs!$K$4:$AJ$4,0))))+SUMPRODUCT((Inputs!$E$5:$E$190=$B73)*ISNUMBER(INDEX(Inputs!$K$5:$AJ$190,0,MATCH(V$2,Inputs!$K$4:$AJ$4,0))))=0,NA(),SUMPRODUCT((Inputs!$A$5:$A$190=$B73)*Inputs!$B$5:$B$190*(((Inputs!$G$5:$G$190="moeda")+(Inputs!$G$5:$G$190="acoes"))*Inputs!$B$1+((Inputs!$G$5:$G$190&lt;&gt;"moeda")*(Inputs!$G$5:$G$190&lt;&gt;"acoes")))*INDEX(Inputs!$K$5:$AJ$190,0,MATCH(V$2,Inputs!$K$4:$AJ$4,0)))+SUMPRODUCT((Inputs!$C$5:$C$190=$B73)*Inputs!$D$5:$D$190*(((Inputs!$G$5:$G$190="moeda")+(Inputs!$G$5:$G$190="acoes"))*Inputs!$B$1+((Inputs!$G$5:$G$190&lt;&gt;"moeda")*(Inputs!$G$5:$G$190&lt;&gt;"acoes")))*INDEX(Inputs!$K$5:$AJ$190,0,MATCH(V$2,Inputs!$K$4:$AJ$4,0)))+SUMPRODUCT((Inputs!$E$5:$E$190=$B73)*Inputs!$F$5:$F$190*(((Inputs!$G$5:$G$190="moeda")+(Inputs!$G$5:$G$190="acoes"))*Inputs!$B$1+((Inputs!$G$5:$G$190&lt;&gt;"moeda")*(Inputs!$G$5:$G$190&lt;&gt;"acoes")))*INDEX(Inputs!$K$5:$AJ$190,0,MATCH(V$2,Inputs!$K$4:$AJ$4,0)))))</f>
        <v>21916</v>
      </c>
      <c r="W73" s="267">
        <f>SUM(S73:V73)</f>
        <v>103691</v>
      </c>
      <c r="X73" s="266">
        <f>IF(ISNA(MATCH(X$2,Inputs!$K$4:$AJ$4,0)),NA(),IF(SUMPRODUCT((Inputs!$A$5:$A$190=$B73)*ISNUMBER(INDEX(Inputs!$K$5:$AJ$190,0,MATCH(X$2,Inputs!$K$4:$AJ$4,0))))+SUMPRODUCT((Inputs!$C$5:$C$190=$B73)*ISNUMBER(INDEX(Inputs!$K$5:$AJ$190,0,MATCH(X$2,Inputs!$K$4:$AJ$4,0))))+SUMPRODUCT((Inputs!$E$5:$E$190=$B73)*ISNUMBER(INDEX(Inputs!$K$5:$AJ$190,0,MATCH(X$2,Inputs!$K$4:$AJ$4,0))))=0,NA(),SUMPRODUCT((Inputs!$A$5:$A$190=$B73)*Inputs!$B$5:$B$190*(((Inputs!$G$5:$G$190="moeda")+(Inputs!$G$5:$G$190="acoes"))*Inputs!$B$1+((Inputs!$G$5:$G$190&lt;&gt;"moeda")*(Inputs!$G$5:$G$190&lt;&gt;"acoes")))*INDEX(Inputs!$K$5:$AJ$190,0,MATCH(X$2,Inputs!$K$4:$AJ$4,0)))+SUMPRODUCT((Inputs!$C$5:$C$190=$B73)*Inputs!$D$5:$D$190*(((Inputs!$G$5:$G$190="moeda")+(Inputs!$G$5:$G$190="acoes"))*Inputs!$B$1+((Inputs!$G$5:$G$190&lt;&gt;"moeda")*(Inputs!$G$5:$G$190&lt;&gt;"acoes")))*INDEX(Inputs!$K$5:$AJ$190,0,MATCH(X$2,Inputs!$K$4:$AJ$4,0)))+SUMPRODUCT((Inputs!$E$5:$E$190=$B73)*Inputs!$F$5:$F$190*(((Inputs!$G$5:$G$190="moeda")+(Inputs!$G$5:$G$190="acoes"))*Inputs!$B$1+((Inputs!$G$5:$G$190&lt;&gt;"moeda")*(Inputs!$G$5:$G$190&lt;&gt;"acoes")))*INDEX(Inputs!$K$5:$AJ$190,0,MATCH(X$2,Inputs!$K$4:$AJ$4,0)))))</f>
        <v>24784</v>
      </c>
      <c r="Y73" s="266">
        <f>IF(ISNA(MATCH(Y$2,Inputs!$K$4:$AJ$4,0)),NA(),IF(SUMPRODUCT((Inputs!$A$5:$A$190=$B73)*ISNUMBER(INDEX(Inputs!$K$5:$AJ$190,0,MATCH(Y$2,Inputs!$K$4:$AJ$4,0))))+SUMPRODUCT((Inputs!$C$5:$C$190=$B73)*ISNUMBER(INDEX(Inputs!$K$5:$AJ$190,0,MATCH(Y$2,Inputs!$K$4:$AJ$4,0))))+SUMPRODUCT((Inputs!$E$5:$E$190=$B73)*ISNUMBER(INDEX(Inputs!$K$5:$AJ$190,0,MATCH(Y$2,Inputs!$K$4:$AJ$4,0))))=0,NA(),SUMPRODUCT((Inputs!$A$5:$A$190=$B73)*Inputs!$B$5:$B$190*(((Inputs!$G$5:$G$190="moeda")+(Inputs!$G$5:$G$190="acoes"))*Inputs!$B$1+((Inputs!$G$5:$G$190&lt;&gt;"moeda")*(Inputs!$G$5:$G$190&lt;&gt;"acoes")))*INDEX(Inputs!$K$5:$AJ$190,0,MATCH(Y$2,Inputs!$K$4:$AJ$4,0)))+SUMPRODUCT((Inputs!$C$5:$C$190=$B73)*Inputs!$D$5:$D$190*(((Inputs!$G$5:$G$190="moeda")+(Inputs!$G$5:$G$190="acoes"))*Inputs!$B$1+((Inputs!$G$5:$G$190&lt;&gt;"moeda")*(Inputs!$G$5:$G$190&lt;&gt;"acoes")))*INDEX(Inputs!$K$5:$AJ$190,0,MATCH(Y$2,Inputs!$K$4:$AJ$4,0)))+SUMPRODUCT((Inputs!$E$5:$E$190=$B73)*Inputs!$F$5:$F$190*(((Inputs!$G$5:$G$190="moeda")+(Inputs!$G$5:$G$190="acoes"))*Inputs!$B$1+((Inputs!$G$5:$G$190&lt;&gt;"moeda")*(Inputs!$G$5:$G$190&lt;&gt;"acoes")))*INDEX(Inputs!$K$5:$AJ$190,0,MATCH(Y$2,Inputs!$K$4:$AJ$4,0)))))</f>
        <v>25917</v>
      </c>
      <c r="Z73" s="266">
        <f>IF(ISNA(MATCH(Z$2,Inputs!$K$4:$AJ$4,0)),NA(),IF(SUMPRODUCT((Inputs!$A$5:$A$190=$B73)*ISNUMBER(INDEX(Inputs!$K$5:$AJ$190,0,MATCH(Z$2,Inputs!$K$4:$AJ$4,0))))+SUMPRODUCT((Inputs!$C$5:$C$190=$B73)*ISNUMBER(INDEX(Inputs!$K$5:$AJ$190,0,MATCH(Z$2,Inputs!$K$4:$AJ$4,0))))+SUMPRODUCT((Inputs!$E$5:$E$190=$B73)*ISNUMBER(INDEX(Inputs!$K$5:$AJ$190,0,MATCH(Z$2,Inputs!$K$4:$AJ$4,0))))=0,NA(),SUMPRODUCT((Inputs!$A$5:$A$190=$B73)*Inputs!$B$5:$B$190*(((Inputs!$G$5:$G$190="moeda")+(Inputs!$G$5:$G$190="acoes"))*Inputs!$B$1+((Inputs!$G$5:$G$190&lt;&gt;"moeda")*(Inputs!$G$5:$G$190&lt;&gt;"acoes")))*INDEX(Inputs!$K$5:$AJ$190,0,MATCH(Z$2,Inputs!$K$4:$AJ$4,0)))+SUMPRODUCT((Inputs!$C$5:$C$190=$B73)*Inputs!$D$5:$D$190*(((Inputs!$G$5:$G$190="moeda")+(Inputs!$G$5:$G$190="acoes"))*Inputs!$B$1+((Inputs!$G$5:$G$190&lt;&gt;"moeda")*(Inputs!$G$5:$G$190&lt;&gt;"acoes")))*INDEX(Inputs!$K$5:$AJ$190,0,MATCH(Z$2,Inputs!$K$4:$AJ$4,0)))+SUMPRODUCT((Inputs!$E$5:$E$190=$B73)*Inputs!$F$5:$F$190*(((Inputs!$G$5:$G$190="moeda")+(Inputs!$G$5:$G$190="acoes"))*Inputs!$B$1+((Inputs!$G$5:$G$190&lt;&gt;"moeda")*(Inputs!$G$5:$G$190&lt;&gt;"acoes")))*INDEX(Inputs!$K$5:$AJ$190,0,MATCH(Z$2,Inputs!$K$4:$AJ$4,0)))))</f>
        <v>24472</v>
      </c>
      <c r="AA73" s="266">
        <f>IF(ISNA(MATCH(AA$2,Inputs!$K$4:$AJ$4,0)),NA(),IF(SUMPRODUCT((Inputs!$A$5:$A$190=$B73)*ISNUMBER(INDEX(Inputs!$K$5:$AJ$190,0,MATCH(AA$2,Inputs!$K$4:$AJ$4,0))))+SUMPRODUCT((Inputs!$C$5:$C$190=$B73)*ISNUMBER(INDEX(Inputs!$K$5:$AJ$190,0,MATCH(AA$2,Inputs!$K$4:$AJ$4,0))))+SUMPRODUCT((Inputs!$E$5:$E$190=$B73)*ISNUMBER(INDEX(Inputs!$K$5:$AJ$190,0,MATCH(AA$2,Inputs!$K$4:$AJ$4,0))))=0,NA(),SUMPRODUCT((Inputs!$A$5:$A$190=$B73)*Inputs!$B$5:$B$190*(((Inputs!$G$5:$G$190="moeda")+(Inputs!$G$5:$G$190="acoes"))*Inputs!$B$1+((Inputs!$G$5:$G$190&lt;&gt;"moeda")*(Inputs!$G$5:$G$190&lt;&gt;"acoes")))*INDEX(Inputs!$K$5:$AJ$190,0,MATCH(AA$2,Inputs!$K$4:$AJ$4,0)))+SUMPRODUCT((Inputs!$C$5:$C$190=$B73)*Inputs!$D$5:$D$190*(((Inputs!$G$5:$G$190="moeda")+(Inputs!$G$5:$G$190="acoes"))*Inputs!$B$1+((Inputs!$G$5:$G$190&lt;&gt;"moeda")*(Inputs!$G$5:$G$190&lt;&gt;"acoes")))*INDEX(Inputs!$K$5:$AJ$190,0,MATCH(AA$2,Inputs!$K$4:$AJ$4,0)))+SUMPRODUCT((Inputs!$E$5:$E$190=$B73)*Inputs!$F$5:$F$190*(((Inputs!$G$5:$G$190="moeda")+(Inputs!$G$5:$G$190="acoes"))*Inputs!$B$1+((Inputs!$G$5:$G$190&lt;&gt;"moeda")*(Inputs!$G$5:$G$190&lt;&gt;"acoes")))*INDEX(Inputs!$K$5:$AJ$190,0,MATCH(AA$2,Inputs!$K$4:$AJ$4,0)))))</f>
        <v>22172</v>
      </c>
      <c r="AB73" s="267">
        <f>SUM(X73:AA73)</f>
        <v>97345</v>
      </c>
      <c r="AC73" s="266">
        <f>IF(ISNA(MATCH(AC$2,Inputs!$K$4:$AJ$4,0)),NA(),IF(SUMPRODUCT((Inputs!$A$5:$A$190=$B73)*ISNUMBER(INDEX(Inputs!$K$5:$AJ$190,0,MATCH(AC$2,Inputs!$K$4:$AJ$4,0))))+SUMPRODUCT((Inputs!$C$5:$C$190=$B73)*ISNUMBER(INDEX(Inputs!$K$5:$AJ$190,0,MATCH(AC$2,Inputs!$K$4:$AJ$4,0))))+SUMPRODUCT((Inputs!$E$5:$E$190=$B73)*ISNUMBER(INDEX(Inputs!$K$5:$AJ$190,0,MATCH(AC$2,Inputs!$K$4:$AJ$4,0))))=0,NA(),SUMPRODUCT((Inputs!$A$5:$A$190=$B73)*Inputs!$B$5:$B$190*(((Inputs!$G$5:$G$190="moeda")+(Inputs!$G$5:$G$190="acoes"))*Inputs!$B$1+((Inputs!$G$5:$G$190&lt;&gt;"moeda")*(Inputs!$G$5:$G$190&lt;&gt;"acoes")))*INDEX(Inputs!$K$5:$AJ$190,0,MATCH(AC$2,Inputs!$K$4:$AJ$4,0)))+SUMPRODUCT((Inputs!$C$5:$C$190=$B73)*Inputs!$D$5:$D$190*(((Inputs!$G$5:$G$190="moeda")+(Inputs!$G$5:$G$190="acoes"))*Inputs!$B$1+((Inputs!$G$5:$G$190&lt;&gt;"moeda")*(Inputs!$G$5:$G$190&lt;&gt;"acoes")))*INDEX(Inputs!$K$5:$AJ$190,0,MATCH(AC$2,Inputs!$K$4:$AJ$4,0)))+SUMPRODUCT((Inputs!$E$5:$E$190=$B73)*Inputs!$F$5:$F$190*(((Inputs!$G$5:$G$190="moeda")+(Inputs!$G$5:$G$190="acoes"))*Inputs!$B$1+((Inputs!$G$5:$G$190&lt;&gt;"moeda")*(Inputs!$G$5:$G$190&lt;&gt;"acoes")))*INDEX(Inputs!$K$5:$AJ$190,0,MATCH(AC$2,Inputs!$K$4:$AJ$4,0)))))</f>
        <v>20620</v>
      </c>
      <c r="AD73" s="266">
        <f>IF(ISNA(MATCH(AD$2,Inputs!$K$4:$AJ$4,0)),NA(),IF(SUMPRODUCT((Inputs!$A$5:$A$190=$B73)*ISNUMBER(INDEX(Inputs!$K$5:$AJ$190,0,MATCH(AD$2,Inputs!$K$4:$AJ$4,0))))+SUMPRODUCT((Inputs!$C$5:$C$190=$B73)*ISNUMBER(INDEX(Inputs!$K$5:$AJ$190,0,MATCH(AD$2,Inputs!$K$4:$AJ$4,0))))+SUMPRODUCT((Inputs!$E$5:$E$190=$B73)*ISNUMBER(INDEX(Inputs!$K$5:$AJ$190,0,MATCH(AD$2,Inputs!$K$4:$AJ$4,0))))=0,NA(),SUMPRODUCT((Inputs!$A$5:$A$190=$B73)*Inputs!$B$5:$B$190*(((Inputs!$G$5:$G$190="moeda")+(Inputs!$G$5:$G$190="acoes"))*Inputs!$B$1+((Inputs!$G$5:$G$190&lt;&gt;"moeda")*(Inputs!$G$5:$G$190&lt;&gt;"acoes")))*INDEX(Inputs!$K$5:$AJ$190,0,MATCH(AD$2,Inputs!$K$4:$AJ$4,0)))+SUMPRODUCT((Inputs!$C$5:$C$190=$B73)*Inputs!$D$5:$D$190*(((Inputs!$G$5:$G$190="moeda")+(Inputs!$G$5:$G$190="acoes"))*Inputs!$B$1+((Inputs!$G$5:$G$190&lt;&gt;"moeda")*(Inputs!$G$5:$G$190&lt;&gt;"acoes")))*INDEX(Inputs!$K$5:$AJ$190,0,MATCH(AD$2,Inputs!$K$4:$AJ$4,0)))+SUMPRODUCT((Inputs!$E$5:$E$190=$B73)*Inputs!$F$5:$F$190*(((Inputs!$G$5:$G$190="moeda")+(Inputs!$G$5:$G$190="acoes"))*Inputs!$B$1+((Inputs!$G$5:$G$190&lt;&gt;"moeda")*(Inputs!$G$5:$G$190&lt;&gt;"acoes")))*INDEX(Inputs!$K$5:$AJ$190,0,MATCH(AD$2,Inputs!$K$4:$AJ$4,0)))))</f>
        <v>19414</v>
      </c>
      <c r="AE73" s="266" t="e">
        <f>IF(ISNA(MATCH(AE$2,Inputs!$K$4:$AJ$4,0)),NA(),IF(SUMPRODUCT((Inputs!$A$5:$A$190=$B73)*ISNUMBER(INDEX(Inputs!$K$5:$AJ$190,0,MATCH(AE$2,Inputs!$K$4:$AJ$4,0))))+SUMPRODUCT((Inputs!$C$5:$C$190=$B73)*ISNUMBER(INDEX(Inputs!$K$5:$AJ$190,0,MATCH(AE$2,Inputs!$K$4:$AJ$4,0))))+SUMPRODUCT((Inputs!$E$5:$E$190=$B73)*ISNUMBER(INDEX(Inputs!$K$5:$AJ$190,0,MATCH(AE$2,Inputs!$K$4:$AJ$4,0))))=0,NA(),SUMPRODUCT((Inputs!$A$5:$A$190=$B73)*Inputs!$B$5:$B$190*(((Inputs!$G$5:$G$190="moeda")+(Inputs!$G$5:$G$190="acoes"))*Inputs!$B$1+((Inputs!$G$5:$G$190&lt;&gt;"moeda")*(Inputs!$G$5:$G$190&lt;&gt;"acoes")))*INDEX(Inputs!$K$5:$AJ$190,0,MATCH(AE$2,Inputs!$K$4:$AJ$4,0)))+SUMPRODUCT((Inputs!$C$5:$C$190=$B73)*Inputs!$D$5:$D$190*(((Inputs!$G$5:$G$190="moeda")+(Inputs!$G$5:$G$190="acoes"))*Inputs!$B$1+((Inputs!$G$5:$G$190&lt;&gt;"moeda")*(Inputs!$G$5:$G$190&lt;&gt;"acoes")))*INDEX(Inputs!$K$5:$AJ$190,0,MATCH(AE$2,Inputs!$K$4:$AJ$4,0)))+SUMPRODUCT((Inputs!$E$5:$E$190=$B73)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73" s="266" t="e">
        <f>IF(ISNA(MATCH(AF$2,Inputs!$K$4:$AJ$4,0)),NA(),IF(SUMPRODUCT((Inputs!$A$5:$A$190=$B73)*ISNUMBER(INDEX(Inputs!$K$5:$AJ$190,0,MATCH(AF$2,Inputs!$K$4:$AJ$4,0))))+SUMPRODUCT((Inputs!$C$5:$C$190=$B73)*ISNUMBER(INDEX(Inputs!$K$5:$AJ$190,0,MATCH(AF$2,Inputs!$K$4:$AJ$4,0))))+SUMPRODUCT((Inputs!$E$5:$E$190=$B73)*ISNUMBER(INDEX(Inputs!$K$5:$AJ$190,0,MATCH(AF$2,Inputs!$K$4:$AJ$4,0))))=0,NA(),SUMPRODUCT((Inputs!$A$5:$A$190=$B73)*Inputs!$B$5:$B$190*(((Inputs!$G$5:$G$190="moeda")+(Inputs!$G$5:$G$190="acoes"))*Inputs!$B$1+((Inputs!$G$5:$G$190&lt;&gt;"moeda")*(Inputs!$G$5:$G$190&lt;&gt;"acoes")))*INDEX(Inputs!$K$5:$AJ$190,0,MATCH(AF$2,Inputs!$K$4:$AJ$4,0)))+SUMPRODUCT((Inputs!$C$5:$C$190=$B73)*Inputs!$D$5:$D$190*(((Inputs!$G$5:$G$190="moeda")+(Inputs!$G$5:$G$190="acoes"))*Inputs!$B$1+((Inputs!$G$5:$G$190&lt;&gt;"moeda")*(Inputs!$G$5:$G$190&lt;&gt;"acoes")))*INDEX(Inputs!$K$5:$AJ$190,0,MATCH(AF$2,Inputs!$K$4:$AJ$4,0)))+SUMPRODUCT((Inputs!$E$5:$E$190=$B73)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73" s="267" t="e">
        <f>SUM(AC73:AF73)</f>
        <v>#N/A</v>
      </c>
      <c r="AH73" s="266">
        <f>IF(ISNA(MATCH(AH$2,Inputs!$K$4:$AJ$4,0)),NA(),IF(SUMPRODUCT((Inputs!$A$5:$A$190=$B73)*ISNUMBER(INDEX(Inputs!$K$5:$AJ$190,0,MATCH(AH$2,Inputs!$K$4:$AJ$4,0))))+SUMPRODUCT((Inputs!$C$5:$C$190=$B73)*ISNUMBER(INDEX(Inputs!$K$5:$AJ$190,0,MATCH(AH$2,Inputs!$K$4:$AJ$4,0))))+SUMPRODUCT((Inputs!$E$5:$E$190=$B73)*ISNUMBER(INDEX(Inputs!$K$5:$AJ$190,0,MATCH(AH$2,Inputs!$K$4:$AJ$4,0))))=0,NA(),SUMPRODUCT((Inputs!$A$5:$A$190=$B73)*Inputs!$B$5:$B$190*(((Inputs!$G$5:$G$190="moeda")+(Inputs!$G$5:$G$190="acoes"))*Inputs!$B$1+((Inputs!$G$5:$G$190&lt;&gt;"moeda")*(Inputs!$G$5:$G$190&lt;&gt;"acoes")))*INDEX(Inputs!$K$5:$AJ$190,0,MATCH(AH$2,Inputs!$K$4:$AJ$4,0)))+SUMPRODUCT((Inputs!$C$5:$C$190=$B73)*Inputs!$D$5:$D$190*(((Inputs!$G$5:$G$190="moeda")+(Inputs!$G$5:$G$190="acoes"))*Inputs!$B$1+((Inputs!$G$5:$G$190&lt;&gt;"moeda")*(Inputs!$G$5:$G$190&lt;&gt;"acoes")))*INDEX(Inputs!$K$5:$AJ$190,0,MATCH(AH$2,Inputs!$K$4:$AJ$4,0)))+SUMPRODUCT((Inputs!$E$5:$E$190=$B73)*Inputs!$F$5:$F$190*(((Inputs!$G$5:$G$190="moeda")+(Inputs!$G$5:$G$190="acoes"))*Inputs!$B$1+((Inputs!$G$5:$G$190&lt;&gt;"moeda")*(Inputs!$G$5:$G$190&lt;&gt;"acoes")))*INDEX(Inputs!$K$5:$AJ$190,0,MATCH(AH$2,Inputs!$K$4:$AJ$4,0)))))</f>
        <v>14127</v>
      </c>
      <c r="AI73" s="266">
        <f>IF(ISNA(MATCH(AI$2,Inputs!$K$4:$AJ$4,0)),NA(),IF(SUMPRODUCT((Inputs!$A$5:$A$190=$B73)*ISNUMBER(INDEX(Inputs!$K$5:$AJ$190,0,MATCH(AI$2,Inputs!$K$4:$AJ$4,0))))+SUMPRODUCT((Inputs!$C$5:$C$190=$B73)*ISNUMBER(INDEX(Inputs!$K$5:$AJ$190,0,MATCH(AI$2,Inputs!$K$4:$AJ$4,0))))+SUMPRODUCT((Inputs!$E$5:$E$190=$B73)*ISNUMBER(INDEX(Inputs!$K$5:$AJ$190,0,MATCH(AI$2,Inputs!$K$4:$AJ$4,0))))=0,NA(),SUMPRODUCT((Inputs!$A$5:$A$190=$B73)*Inputs!$B$5:$B$190*(((Inputs!$G$5:$G$190="moeda")+(Inputs!$G$5:$G$190="acoes"))*Inputs!$B$1+((Inputs!$G$5:$G$190&lt;&gt;"moeda")*(Inputs!$G$5:$G$190&lt;&gt;"acoes")))*INDEX(Inputs!$K$5:$AJ$190,0,MATCH(AI$2,Inputs!$K$4:$AJ$4,0)))+SUMPRODUCT((Inputs!$C$5:$C$190=$B73)*Inputs!$D$5:$D$190*(((Inputs!$G$5:$G$190="moeda")+(Inputs!$G$5:$G$190="acoes"))*Inputs!$B$1+((Inputs!$G$5:$G$190&lt;&gt;"moeda")*(Inputs!$G$5:$G$190&lt;&gt;"acoes")))*INDEX(Inputs!$K$5:$AJ$190,0,MATCH(AI$2,Inputs!$K$4:$AJ$4,0)))+SUMPRODUCT((Inputs!$E$5:$E$190=$B73)*Inputs!$F$5:$F$190*(((Inputs!$G$5:$G$190="moeda")+(Inputs!$G$5:$G$190="acoes"))*Inputs!$B$1+((Inputs!$G$5:$G$190&lt;&gt;"moeda")*(Inputs!$G$5:$G$190&lt;&gt;"acoes")))*INDEX(Inputs!$K$5:$AJ$190,0,MATCH(AI$2,Inputs!$K$4:$AJ$4,0)))))</f>
        <v>18465</v>
      </c>
      <c r="AJ73" s="266">
        <f>IF(ISNA(MATCH(AJ$2,Inputs!$K$4:$AJ$4,0)),NA(),IF(SUMPRODUCT((Inputs!$A$5:$A$190=$B73)*ISNUMBER(INDEX(Inputs!$K$5:$AJ$190,0,MATCH(AJ$2,Inputs!$K$4:$AJ$4,0))))+SUMPRODUCT((Inputs!$C$5:$C$190=$B73)*ISNUMBER(INDEX(Inputs!$K$5:$AJ$190,0,MATCH(AJ$2,Inputs!$K$4:$AJ$4,0))))+SUMPRODUCT((Inputs!$E$5:$E$190=$B73)*ISNUMBER(INDEX(Inputs!$K$5:$AJ$190,0,MATCH(AJ$2,Inputs!$K$4:$AJ$4,0))))=0,NA(),SUMPRODUCT((Inputs!$A$5:$A$190=$B73)*Inputs!$B$5:$B$190*(((Inputs!$G$5:$G$190="moeda")+(Inputs!$G$5:$G$190="acoes"))*Inputs!$B$1+((Inputs!$G$5:$G$190&lt;&gt;"moeda")*(Inputs!$G$5:$G$190&lt;&gt;"acoes")))*INDEX(Inputs!$K$5:$AJ$190,0,MATCH(AJ$2,Inputs!$K$4:$AJ$4,0)))+SUMPRODUCT((Inputs!$C$5:$C$190=$B73)*Inputs!$D$5:$D$190*(((Inputs!$G$5:$G$190="moeda")+(Inputs!$G$5:$G$190="acoes"))*Inputs!$B$1+((Inputs!$G$5:$G$190&lt;&gt;"moeda")*(Inputs!$G$5:$G$190&lt;&gt;"acoes")))*INDEX(Inputs!$K$5:$AJ$190,0,MATCH(AJ$2,Inputs!$K$4:$AJ$4,0)))+SUMPRODUCT((Inputs!$E$5:$E$190=$B73)*Inputs!$F$5:$F$190*(((Inputs!$G$5:$G$190="moeda")+(Inputs!$G$5:$G$190="acoes"))*Inputs!$B$1+((Inputs!$G$5:$G$190&lt;&gt;"moeda")*(Inputs!$G$5:$G$190&lt;&gt;"acoes")))*INDEX(Inputs!$K$5:$AJ$190,0,MATCH(AJ$2,Inputs!$K$4:$AJ$4,0)))))</f>
        <v>14321</v>
      </c>
      <c r="AK73" s="266">
        <f>IF(ISNA(MATCH(AK$2,Inputs!$K$4:$AJ$4,0)),NA(),IF(SUMPRODUCT((Inputs!$A$5:$A$190=$B73)*ISNUMBER(INDEX(Inputs!$K$5:$AJ$190,0,MATCH(AK$2,Inputs!$K$4:$AJ$4,0))))+SUMPRODUCT((Inputs!$C$5:$C$190=$B73)*ISNUMBER(INDEX(Inputs!$K$5:$AJ$190,0,MATCH(AK$2,Inputs!$K$4:$AJ$4,0))))+SUMPRODUCT((Inputs!$E$5:$E$190=$B73)*ISNUMBER(INDEX(Inputs!$K$5:$AJ$190,0,MATCH(AK$2,Inputs!$K$4:$AJ$4,0))))=0,NA(),SUMPRODUCT((Inputs!$A$5:$A$190=$B73)*Inputs!$B$5:$B$190*(((Inputs!$G$5:$G$190="moeda")+(Inputs!$G$5:$G$190="acoes"))*Inputs!$B$1+((Inputs!$G$5:$G$190&lt;&gt;"moeda")*(Inputs!$G$5:$G$190&lt;&gt;"acoes")))*INDEX(Inputs!$K$5:$AJ$190,0,MATCH(AK$2,Inputs!$K$4:$AJ$4,0)))+SUMPRODUCT((Inputs!$C$5:$C$190=$B73)*Inputs!$D$5:$D$190*(((Inputs!$G$5:$G$190="moeda")+(Inputs!$G$5:$G$190="acoes"))*Inputs!$B$1+((Inputs!$G$5:$G$190&lt;&gt;"moeda")*(Inputs!$G$5:$G$190&lt;&gt;"acoes")))*INDEX(Inputs!$K$5:$AJ$190,0,MATCH(AK$2,Inputs!$K$4:$AJ$4,0)))+SUMPRODUCT((Inputs!$E$5:$E$190=$B73)*Inputs!$F$5:$F$190*(((Inputs!$G$5:$G$190="moeda")+(Inputs!$G$5:$G$190="acoes"))*Inputs!$B$1+((Inputs!$G$5:$G$190&lt;&gt;"moeda")*(Inputs!$G$5:$G$190&lt;&gt;"acoes")))*INDEX(Inputs!$K$5:$AJ$190,0,MATCH(AK$2,Inputs!$K$4:$AJ$4,0)))))</f>
        <v>9869</v>
      </c>
      <c r="AL73" s="267">
        <f>SUM(AH73:AK73)</f>
        <v>56782</v>
      </c>
    </row>
    <row r="74">
      <c r="B74" s="46" t="n">
        <v>66</v>
      </c>
      <c r="C74" s="29" t="inlineStr">
        <is>
          <t>Movida - preco medio do carro vendido (R$; l.32)</t>
        </is>
      </c>
      <c r="D74" s="266">
        <f>IF(ISNA(MATCH(D$2,Inputs!$K$4:$AJ$4,0)),NA(),IF(SUMPRODUCT((Inputs!$A$5:$A$190=$B74)*ISNUMBER(INDEX(Inputs!$K$5:$AJ$190,0,MATCH(D$2,Inputs!$K$4:$AJ$4,0))))+SUMPRODUCT((Inputs!$C$5:$C$190=$B74)*ISNUMBER(INDEX(Inputs!$K$5:$AJ$190,0,MATCH(D$2,Inputs!$K$4:$AJ$4,0))))+SUMPRODUCT((Inputs!$E$5:$E$190=$B74)*ISNUMBER(INDEX(Inputs!$K$5:$AJ$190,0,MATCH(D$2,Inputs!$K$4:$AJ$4,0))))=0,NA(),SUMPRODUCT((Inputs!$A$5:$A$190=$B74)*Inputs!$B$5:$B$190*(((Inputs!$G$5:$G$190="moeda")+(Inputs!$G$5:$G$190="acoes"))*Inputs!$B$1+((Inputs!$G$5:$G$190&lt;&gt;"moeda")*(Inputs!$G$5:$G$190&lt;&gt;"acoes")))*INDEX(Inputs!$K$5:$AJ$190,0,MATCH(D$2,Inputs!$K$4:$AJ$4,0)))+SUMPRODUCT((Inputs!$C$5:$C$190=$B74)*Inputs!$D$5:$D$190*(((Inputs!$G$5:$G$190="moeda")+(Inputs!$G$5:$G$190="acoes"))*Inputs!$B$1+((Inputs!$G$5:$G$190&lt;&gt;"moeda")*(Inputs!$G$5:$G$190&lt;&gt;"acoes")))*INDEX(Inputs!$K$5:$AJ$190,0,MATCH(D$2,Inputs!$K$4:$AJ$4,0)))+SUMPRODUCT((Inputs!$E$5:$E$190=$B74)*Inputs!$F$5:$F$190*(((Inputs!$G$5:$G$190="moeda")+(Inputs!$G$5:$G$190="acoes"))*Inputs!$B$1+((Inputs!$G$5:$G$190&lt;&gt;"moeda")*(Inputs!$G$5:$G$190&lt;&gt;"acoes")))*INDEX(Inputs!$K$5:$AJ$190,0,MATCH(D$2,Inputs!$K$4:$AJ$4,0)))))</f>
        <v>51893.918</v>
      </c>
      <c r="E74" s="266">
        <f>IF(ISNA(MATCH(E$2,Inputs!$K$4:$AJ$4,0)),NA(),IF(SUMPRODUCT((Inputs!$A$5:$A$190=$B74)*ISNUMBER(INDEX(Inputs!$K$5:$AJ$190,0,MATCH(E$2,Inputs!$K$4:$AJ$4,0))))+SUMPRODUCT((Inputs!$C$5:$C$190=$B74)*ISNUMBER(INDEX(Inputs!$K$5:$AJ$190,0,MATCH(E$2,Inputs!$K$4:$AJ$4,0))))+SUMPRODUCT((Inputs!$E$5:$E$190=$B74)*ISNUMBER(INDEX(Inputs!$K$5:$AJ$190,0,MATCH(E$2,Inputs!$K$4:$AJ$4,0))))=0,NA(),SUMPRODUCT((Inputs!$A$5:$A$190=$B74)*Inputs!$B$5:$B$190*(((Inputs!$G$5:$G$190="moeda")+(Inputs!$G$5:$G$190="acoes"))*Inputs!$B$1+((Inputs!$G$5:$G$190&lt;&gt;"moeda")*(Inputs!$G$5:$G$190&lt;&gt;"acoes")))*INDEX(Inputs!$K$5:$AJ$190,0,MATCH(E$2,Inputs!$K$4:$AJ$4,0)))+SUMPRODUCT((Inputs!$C$5:$C$190=$B74)*Inputs!$D$5:$D$190*(((Inputs!$G$5:$G$190="moeda")+(Inputs!$G$5:$G$190="acoes"))*Inputs!$B$1+((Inputs!$G$5:$G$190&lt;&gt;"moeda")*(Inputs!$G$5:$G$190&lt;&gt;"acoes")))*INDEX(Inputs!$K$5:$AJ$190,0,MATCH(E$2,Inputs!$K$4:$AJ$4,0)))+SUMPRODUCT((Inputs!$E$5:$E$190=$B74)*Inputs!$F$5:$F$190*(((Inputs!$G$5:$G$190="moeda")+(Inputs!$G$5:$G$190="acoes"))*Inputs!$B$1+((Inputs!$G$5:$G$190&lt;&gt;"moeda")*(Inputs!$G$5:$G$190&lt;&gt;"acoes")))*INDEX(Inputs!$K$5:$AJ$190,0,MATCH(E$2,Inputs!$K$4:$AJ$4,0)))))</f>
        <v>54575.562</v>
      </c>
      <c r="F74" s="266">
        <f>IF(ISNA(MATCH(F$2,Inputs!$K$4:$AJ$4,0)),NA(),IF(SUMPRODUCT((Inputs!$A$5:$A$190=$B74)*ISNUMBER(INDEX(Inputs!$K$5:$AJ$190,0,MATCH(F$2,Inputs!$K$4:$AJ$4,0))))+SUMPRODUCT((Inputs!$C$5:$C$190=$B74)*ISNUMBER(INDEX(Inputs!$K$5:$AJ$190,0,MATCH(F$2,Inputs!$K$4:$AJ$4,0))))+SUMPRODUCT((Inputs!$E$5:$E$190=$B74)*ISNUMBER(INDEX(Inputs!$K$5:$AJ$190,0,MATCH(F$2,Inputs!$K$4:$AJ$4,0))))=0,NA(),SUMPRODUCT((Inputs!$A$5:$A$190=$B74)*Inputs!$B$5:$B$190*(((Inputs!$G$5:$G$190="moeda")+(Inputs!$G$5:$G$190="acoes"))*Inputs!$B$1+((Inputs!$G$5:$G$190&lt;&gt;"moeda")*(Inputs!$G$5:$G$190&lt;&gt;"acoes")))*INDEX(Inputs!$K$5:$AJ$190,0,MATCH(F$2,Inputs!$K$4:$AJ$4,0)))+SUMPRODUCT((Inputs!$C$5:$C$190=$B74)*Inputs!$D$5:$D$190*(((Inputs!$G$5:$G$190="moeda")+(Inputs!$G$5:$G$190="acoes"))*Inputs!$B$1+((Inputs!$G$5:$G$190&lt;&gt;"moeda")*(Inputs!$G$5:$G$190&lt;&gt;"acoes")))*INDEX(Inputs!$K$5:$AJ$190,0,MATCH(F$2,Inputs!$K$4:$AJ$4,0)))+SUMPRODUCT((Inputs!$E$5:$E$190=$B74)*Inputs!$F$5:$F$190*(((Inputs!$G$5:$G$190="moeda")+(Inputs!$G$5:$G$190="acoes"))*Inputs!$B$1+((Inputs!$G$5:$G$190&lt;&gt;"moeda")*(Inputs!$G$5:$G$190&lt;&gt;"acoes")))*INDEX(Inputs!$K$5:$AJ$190,0,MATCH(F$2,Inputs!$K$4:$AJ$4,0)))))</f>
        <v>58732.576</v>
      </c>
      <c r="G74" s="266">
        <f>IF(ISNA(MATCH(G$2,Inputs!$K$4:$AJ$4,0)),NA(),IF(SUMPRODUCT((Inputs!$A$5:$A$190=$B74)*ISNUMBER(INDEX(Inputs!$K$5:$AJ$190,0,MATCH(G$2,Inputs!$K$4:$AJ$4,0))))+SUMPRODUCT((Inputs!$C$5:$C$190=$B74)*ISNUMBER(INDEX(Inputs!$K$5:$AJ$190,0,MATCH(G$2,Inputs!$K$4:$AJ$4,0))))+SUMPRODUCT((Inputs!$E$5:$E$190=$B74)*ISNUMBER(INDEX(Inputs!$K$5:$AJ$190,0,MATCH(G$2,Inputs!$K$4:$AJ$4,0))))=0,NA(),SUMPRODUCT((Inputs!$A$5:$A$190=$B74)*Inputs!$B$5:$B$190*(((Inputs!$G$5:$G$190="moeda")+(Inputs!$G$5:$G$190="acoes"))*Inputs!$B$1+((Inputs!$G$5:$G$190&lt;&gt;"moeda")*(Inputs!$G$5:$G$190&lt;&gt;"acoes")))*INDEX(Inputs!$K$5:$AJ$190,0,MATCH(G$2,Inputs!$K$4:$AJ$4,0)))+SUMPRODUCT((Inputs!$C$5:$C$190=$B74)*Inputs!$D$5:$D$190*(((Inputs!$G$5:$G$190="moeda")+(Inputs!$G$5:$G$190="acoes"))*Inputs!$B$1+((Inputs!$G$5:$G$190&lt;&gt;"moeda")*(Inputs!$G$5:$G$190&lt;&gt;"acoes")))*INDEX(Inputs!$K$5:$AJ$190,0,MATCH(G$2,Inputs!$K$4:$AJ$4,0)))+SUMPRODUCT((Inputs!$E$5:$E$190=$B74)*Inputs!$F$5:$F$190*(((Inputs!$G$5:$G$190="moeda")+(Inputs!$G$5:$G$190="acoes"))*Inputs!$B$1+((Inputs!$G$5:$G$190&lt;&gt;"moeda")*(Inputs!$G$5:$G$190&lt;&gt;"acoes")))*INDEX(Inputs!$K$5:$AJ$190,0,MATCH(G$2,Inputs!$K$4:$AJ$4,0)))))</f>
        <v>65422.791</v>
      </c>
      <c r="H74" s="267" t="n"/>
      <c r="I74" s="266">
        <f>IF(ISNA(MATCH(I$2,Inputs!$K$4:$AJ$4,0)),NA(),IF(SUMPRODUCT((Inputs!$A$5:$A$190=$B74)*ISNUMBER(INDEX(Inputs!$K$5:$AJ$190,0,MATCH(I$2,Inputs!$K$4:$AJ$4,0))))+SUMPRODUCT((Inputs!$C$5:$C$190=$B74)*ISNUMBER(INDEX(Inputs!$K$5:$AJ$190,0,MATCH(I$2,Inputs!$K$4:$AJ$4,0))))+SUMPRODUCT((Inputs!$E$5:$E$190=$B74)*ISNUMBER(INDEX(Inputs!$K$5:$AJ$190,0,MATCH(I$2,Inputs!$K$4:$AJ$4,0))))=0,NA(),SUMPRODUCT((Inputs!$A$5:$A$190=$B74)*Inputs!$B$5:$B$190*(((Inputs!$G$5:$G$190="moeda")+(Inputs!$G$5:$G$190="acoes"))*Inputs!$B$1+((Inputs!$G$5:$G$190&lt;&gt;"moeda")*(Inputs!$G$5:$G$190&lt;&gt;"acoes")))*INDEX(Inputs!$K$5:$AJ$190,0,MATCH(I$2,Inputs!$K$4:$AJ$4,0)))+SUMPRODUCT((Inputs!$C$5:$C$190=$B74)*Inputs!$D$5:$D$190*(((Inputs!$G$5:$G$190="moeda")+(Inputs!$G$5:$G$190="acoes"))*Inputs!$B$1+((Inputs!$G$5:$G$190&lt;&gt;"moeda")*(Inputs!$G$5:$G$190&lt;&gt;"acoes")))*INDEX(Inputs!$K$5:$AJ$190,0,MATCH(I$2,Inputs!$K$4:$AJ$4,0)))+SUMPRODUCT((Inputs!$E$5:$E$190=$B74)*Inputs!$F$5:$F$190*(((Inputs!$G$5:$G$190="moeda")+(Inputs!$G$5:$G$190="acoes"))*Inputs!$B$1+((Inputs!$G$5:$G$190&lt;&gt;"moeda")*(Inputs!$G$5:$G$190&lt;&gt;"acoes")))*INDEX(Inputs!$K$5:$AJ$190,0,MATCH(I$2,Inputs!$K$4:$AJ$4,0)))))</f>
        <v>64467.473</v>
      </c>
      <c r="J74" s="266">
        <f>IF(ISNA(MATCH(J$2,Inputs!$K$4:$AJ$4,0)),NA(),IF(SUMPRODUCT((Inputs!$A$5:$A$190=$B74)*ISNUMBER(INDEX(Inputs!$K$5:$AJ$190,0,MATCH(J$2,Inputs!$K$4:$AJ$4,0))))+SUMPRODUCT((Inputs!$C$5:$C$190=$B74)*ISNUMBER(INDEX(Inputs!$K$5:$AJ$190,0,MATCH(J$2,Inputs!$K$4:$AJ$4,0))))+SUMPRODUCT((Inputs!$E$5:$E$190=$B74)*ISNUMBER(INDEX(Inputs!$K$5:$AJ$190,0,MATCH(J$2,Inputs!$K$4:$AJ$4,0))))=0,NA(),SUMPRODUCT((Inputs!$A$5:$A$190=$B74)*Inputs!$B$5:$B$190*(((Inputs!$G$5:$G$190="moeda")+(Inputs!$G$5:$G$190="acoes"))*Inputs!$B$1+((Inputs!$G$5:$G$190&lt;&gt;"moeda")*(Inputs!$G$5:$G$190&lt;&gt;"acoes")))*INDEX(Inputs!$K$5:$AJ$190,0,MATCH(J$2,Inputs!$K$4:$AJ$4,0)))+SUMPRODUCT((Inputs!$C$5:$C$190=$B74)*Inputs!$D$5:$D$190*(((Inputs!$G$5:$G$190="moeda")+(Inputs!$G$5:$G$190="acoes"))*Inputs!$B$1+((Inputs!$G$5:$G$190&lt;&gt;"moeda")*(Inputs!$G$5:$G$190&lt;&gt;"acoes")))*INDEX(Inputs!$K$5:$AJ$190,0,MATCH(J$2,Inputs!$K$4:$AJ$4,0)))+SUMPRODUCT((Inputs!$E$5:$E$190=$B74)*Inputs!$F$5:$F$190*(((Inputs!$G$5:$G$190="moeda")+(Inputs!$G$5:$G$190="acoes"))*Inputs!$B$1+((Inputs!$G$5:$G$190&lt;&gt;"moeda")*(Inputs!$G$5:$G$190&lt;&gt;"acoes")))*INDEX(Inputs!$K$5:$AJ$190,0,MATCH(J$2,Inputs!$K$4:$AJ$4,0)))))</f>
        <v>66619.727</v>
      </c>
      <c r="K74" s="266">
        <f>IF(ISNA(MATCH(K$2,Inputs!$K$4:$AJ$4,0)),NA(),IF(SUMPRODUCT((Inputs!$A$5:$A$190=$B74)*ISNUMBER(INDEX(Inputs!$K$5:$AJ$190,0,MATCH(K$2,Inputs!$K$4:$AJ$4,0))))+SUMPRODUCT((Inputs!$C$5:$C$190=$B74)*ISNUMBER(INDEX(Inputs!$K$5:$AJ$190,0,MATCH(K$2,Inputs!$K$4:$AJ$4,0))))+SUMPRODUCT((Inputs!$E$5:$E$190=$B74)*ISNUMBER(INDEX(Inputs!$K$5:$AJ$190,0,MATCH(K$2,Inputs!$K$4:$AJ$4,0))))=0,NA(),SUMPRODUCT((Inputs!$A$5:$A$190=$B74)*Inputs!$B$5:$B$190*(((Inputs!$G$5:$G$190="moeda")+(Inputs!$G$5:$G$190="acoes"))*Inputs!$B$1+((Inputs!$G$5:$G$190&lt;&gt;"moeda")*(Inputs!$G$5:$G$190&lt;&gt;"acoes")))*INDEX(Inputs!$K$5:$AJ$190,0,MATCH(K$2,Inputs!$K$4:$AJ$4,0)))+SUMPRODUCT((Inputs!$C$5:$C$190=$B74)*Inputs!$D$5:$D$190*(((Inputs!$G$5:$G$190="moeda")+(Inputs!$G$5:$G$190="acoes"))*Inputs!$B$1+((Inputs!$G$5:$G$190&lt;&gt;"moeda")*(Inputs!$G$5:$G$190&lt;&gt;"acoes")))*INDEX(Inputs!$K$5:$AJ$190,0,MATCH(K$2,Inputs!$K$4:$AJ$4,0)))+SUMPRODUCT((Inputs!$E$5:$E$190=$B74)*Inputs!$F$5:$F$190*(((Inputs!$G$5:$G$190="moeda")+(Inputs!$G$5:$G$190="acoes"))*Inputs!$B$1+((Inputs!$G$5:$G$190&lt;&gt;"moeda")*(Inputs!$G$5:$G$190&lt;&gt;"acoes")))*INDEX(Inputs!$K$5:$AJ$190,0,MATCH(K$2,Inputs!$K$4:$AJ$4,0)))))</f>
        <v>70866.812</v>
      </c>
      <c r="L74" s="266">
        <f>IF(ISNA(MATCH(L$2,Inputs!$K$4:$AJ$4,0)),NA(),IF(SUMPRODUCT((Inputs!$A$5:$A$190=$B74)*ISNUMBER(INDEX(Inputs!$K$5:$AJ$190,0,MATCH(L$2,Inputs!$K$4:$AJ$4,0))))+SUMPRODUCT((Inputs!$C$5:$C$190=$B74)*ISNUMBER(INDEX(Inputs!$K$5:$AJ$190,0,MATCH(L$2,Inputs!$K$4:$AJ$4,0))))+SUMPRODUCT((Inputs!$E$5:$E$190=$B74)*ISNUMBER(INDEX(Inputs!$K$5:$AJ$190,0,MATCH(L$2,Inputs!$K$4:$AJ$4,0))))=0,NA(),SUMPRODUCT((Inputs!$A$5:$A$190=$B74)*Inputs!$B$5:$B$190*(((Inputs!$G$5:$G$190="moeda")+(Inputs!$G$5:$G$190="acoes"))*Inputs!$B$1+((Inputs!$G$5:$G$190&lt;&gt;"moeda")*(Inputs!$G$5:$G$190&lt;&gt;"acoes")))*INDEX(Inputs!$K$5:$AJ$190,0,MATCH(L$2,Inputs!$K$4:$AJ$4,0)))+SUMPRODUCT((Inputs!$C$5:$C$190=$B74)*Inputs!$D$5:$D$190*(((Inputs!$G$5:$G$190="moeda")+(Inputs!$G$5:$G$190="acoes"))*Inputs!$B$1+((Inputs!$G$5:$G$190&lt;&gt;"moeda")*(Inputs!$G$5:$G$190&lt;&gt;"acoes")))*INDEX(Inputs!$K$5:$AJ$190,0,MATCH(L$2,Inputs!$K$4:$AJ$4,0)))+SUMPRODUCT((Inputs!$E$5:$E$190=$B74)*Inputs!$F$5:$F$190*(((Inputs!$G$5:$G$190="moeda")+(Inputs!$G$5:$G$190="acoes"))*Inputs!$B$1+((Inputs!$G$5:$G$190&lt;&gt;"moeda")*(Inputs!$G$5:$G$190&lt;&gt;"acoes")))*INDEX(Inputs!$K$5:$AJ$190,0,MATCH(L$2,Inputs!$K$4:$AJ$4,0)))))</f>
        <v>75437.883</v>
      </c>
      <c r="M74" s="267" t="n"/>
      <c r="N74" s="266">
        <f>IF(ISNA(MATCH(N$2,Inputs!$K$4:$AJ$4,0)),NA(),IF(SUMPRODUCT((Inputs!$A$5:$A$190=$B74)*ISNUMBER(INDEX(Inputs!$K$5:$AJ$190,0,MATCH(N$2,Inputs!$K$4:$AJ$4,0))))+SUMPRODUCT((Inputs!$C$5:$C$190=$B74)*ISNUMBER(INDEX(Inputs!$K$5:$AJ$190,0,MATCH(N$2,Inputs!$K$4:$AJ$4,0))))+SUMPRODUCT((Inputs!$E$5:$E$190=$B74)*ISNUMBER(INDEX(Inputs!$K$5:$AJ$190,0,MATCH(N$2,Inputs!$K$4:$AJ$4,0))))=0,NA(),SUMPRODUCT((Inputs!$A$5:$A$190=$B74)*Inputs!$B$5:$B$190*(((Inputs!$G$5:$G$190="moeda")+(Inputs!$G$5:$G$190="acoes"))*Inputs!$B$1+((Inputs!$G$5:$G$190&lt;&gt;"moeda")*(Inputs!$G$5:$G$190&lt;&gt;"acoes")))*INDEX(Inputs!$K$5:$AJ$190,0,MATCH(N$2,Inputs!$K$4:$AJ$4,0)))+SUMPRODUCT((Inputs!$C$5:$C$190=$B74)*Inputs!$D$5:$D$190*(((Inputs!$G$5:$G$190="moeda")+(Inputs!$G$5:$G$190="acoes"))*Inputs!$B$1+((Inputs!$G$5:$G$190&lt;&gt;"moeda")*(Inputs!$G$5:$G$190&lt;&gt;"acoes")))*INDEX(Inputs!$K$5:$AJ$190,0,MATCH(N$2,Inputs!$K$4:$AJ$4,0)))+SUMPRODUCT((Inputs!$E$5:$E$190=$B74)*Inputs!$F$5:$F$190*(((Inputs!$G$5:$G$190="moeda")+(Inputs!$G$5:$G$190="acoes"))*Inputs!$B$1+((Inputs!$G$5:$G$190&lt;&gt;"moeda")*(Inputs!$G$5:$G$190&lt;&gt;"acoes")))*INDEX(Inputs!$K$5:$AJ$190,0,MATCH(N$2,Inputs!$K$4:$AJ$4,0)))))</f>
        <v>75131.641</v>
      </c>
      <c r="O74" s="266">
        <f>IF(ISNA(MATCH(O$2,Inputs!$K$4:$AJ$4,0)),NA(),IF(SUMPRODUCT((Inputs!$A$5:$A$190=$B74)*ISNUMBER(INDEX(Inputs!$K$5:$AJ$190,0,MATCH(O$2,Inputs!$K$4:$AJ$4,0))))+SUMPRODUCT((Inputs!$C$5:$C$190=$B74)*ISNUMBER(INDEX(Inputs!$K$5:$AJ$190,0,MATCH(O$2,Inputs!$K$4:$AJ$4,0))))+SUMPRODUCT((Inputs!$E$5:$E$190=$B74)*ISNUMBER(INDEX(Inputs!$K$5:$AJ$190,0,MATCH(O$2,Inputs!$K$4:$AJ$4,0))))=0,NA(),SUMPRODUCT((Inputs!$A$5:$A$190=$B74)*Inputs!$B$5:$B$190*(((Inputs!$G$5:$G$190="moeda")+(Inputs!$G$5:$G$190="acoes"))*Inputs!$B$1+((Inputs!$G$5:$G$190&lt;&gt;"moeda")*(Inputs!$G$5:$G$190&lt;&gt;"acoes")))*INDEX(Inputs!$K$5:$AJ$190,0,MATCH(O$2,Inputs!$K$4:$AJ$4,0)))+SUMPRODUCT((Inputs!$C$5:$C$190=$B74)*Inputs!$D$5:$D$190*(((Inputs!$G$5:$G$190="moeda")+(Inputs!$G$5:$G$190="acoes"))*Inputs!$B$1+((Inputs!$G$5:$G$190&lt;&gt;"moeda")*(Inputs!$G$5:$G$190&lt;&gt;"acoes")))*INDEX(Inputs!$K$5:$AJ$190,0,MATCH(O$2,Inputs!$K$4:$AJ$4,0)))+SUMPRODUCT((Inputs!$E$5:$E$190=$B74)*Inputs!$F$5:$F$190*(((Inputs!$G$5:$G$190="moeda")+(Inputs!$G$5:$G$190="acoes"))*Inputs!$B$1+((Inputs!$G$5:$G$190&lt;&gt;"moeda")*(Inputs!$G$5:$G$190&lt;&gt;"acoes")))*INDEX(Inputs!$K$5:$AJ$190,0,MATCH(O$2,Inputs!$K$4:$AJ$4,0)))))</f>
        <v>67009.986</v>
      </c>
      <c r="P74" s="266">
        <f>IF(ISNA(MATCH(P$2,Inputs!$K$4:$AJ$4,0)),NA(),IF(SUMPRODUCT((Inputs!$A$5:$A$190=$B74)*ISNUMBER(INDEX(Inputs!$K$5:$AJ$190,0,MATCH(P$2,Inputs!$K$4:$AJ$4,0))))+SUMPRODUCT((Inputs!$C$5:$C$190=$B74)*ISNUMBER(INDEX(Inputs!$K$5:$AJ$190,0,MATCH(P$2,Inputs!$K$4:$AJ$4,0))))+SUMPRODUCT((Inputs!$E$5:$E$190=$B74)*ISNUMBER(INDEX(Inputs!$K$5:$AJ$190,0,MATCH(P$2,Inputs!$K$4:$AJ$4,0))))=0,NA(),SUMPRODUCT((Inputs!$A$5:$A$190=$B74)*Inputs!$B$5:$B$190*(((Inputs!$G$5:$G$190="moeda")+(Inputs!$G$5:$G$190="acoes"))*Inputs!$B$1+((Inputs!$G$5:$G$190&lt;&gt;"moeda")*(Inputs!$G$5:$G$190&lt;&gt;"acoes")))*INDEX(Inputs!$K$5:$AJ$190,0,MATCH(P$2,Inputs!$K$4:$AJ$4,0)))+SUMPRODUCT((Inputs!$C$5:$C$190=$B74)*Inputs!$D$5:$D$190*(((Inputs!$G$5:$G$190="moeda")+(Inputs!$G$5:$G$190="acoes"))*Inputs!$B$1+((Inputs!$G$5:$G$190&lt;&gt;"moeda")*(Inputs!$G$5:$G$190&lt;&gt;"acoes")))*INDEX(Inputs!$K$5:$AJ$190,0,MATCH(P$2,Inputs!$K$4:$AJ$4,0)))+SUMPRODUCT((Inputs!$E$5:$E$190=$B74)*Inputs!$F$5:$F$190*(((Inputs!$G$5:$G$190="moeda")+(Inputs!$G$5:$G$190="acoes"))*Inputs!$B$1+((Inputs!$G$5:$G$190&lt;&gt;"moeda")*(Inputs!$G$5:$G$190&lt;&gt;"acoes")))*INDEX(Inputs!$K$5:$AJ$190,0,MATCH(P$2,Inputs!$K$4:$AJ$4,0)))))</f>
        <v>67718.251</v>
      </c>
      <c r="Q74" s="266">
        <f>IF(ISNA(MATCH(Q$2,Inputs!$K$4:$AJ$4,0)),NA(),IF(SUMPRODUCT((Inputs!$A$5:$A$190=$B74)*ISNUMBER(INDEX(Inputs!$K$5:$AJ$190,0,MATCH(Q$2,Inputs!$K$4:$AJ$4,0))))+SUMPRODUCT((Inputs!$C$5:$C$190=$B74)*ISNUMBER(INDEX(Inputs!$K$5:$AJ$190,0,MATCH(Q$2,Inputs!$K$4:$AJ$4,0))))+SUMPRODUCT((Inputs!$E$5:$E$190=$B74)*ISNUMBER(INDEX(Inputs!$K$5:$AJ$190,0,MATCH(Q$2,Inputs!$K$4:$AJ$4,0))))=0,NA(),SUMPRODUCT((Inputs!$A$5:$A$190=$B74)*Inputs!$B$5:$B$190*(((Inputs!$G$5:$G$190="moeda")+(Inputs!$G$5:$G$190="acoes"))*Inputs!$B$1+((Inputs!$G$5:$G$190&lt;&gt;"moeda")*(Inputs!$G$5:$G$190&lt;&gt;"acoes")))*INDEX(Inputs!$K$5:$AJ$190,0,MATCH(Q$2,Inputs!$K$4:$AJ$4,0)))+SUMPRODUCT((Inputs!$C$5:$C$190=$B74)*Inputs!$D$5:$D$190*(((Inputs!$G$5:$G$190="moeda")+(Inputs!$G$5:$G$190="acoes"))*Inputs!$B$1+((Inputs!$G$5:$G$190&lt;&gt;"moeda")*(Inputs!$G$5:$G$190&lt;&gt;"acoes")))*INDEX(Inputs!$K$5:$AJ$190,0,MATCH(Q$2,Inputs!$K$4:$AJ$4,0)))+SUMPRODUCT((Inputs!$E$5:$E$190=$B74)*Inputs!$F$5:$F$190*(((Inputs!$G$5:$G$190="moeda")+(Inputs!$G$5:$G$190="acoes"))*Inputs!$B$1+((Inputs!$G$5:$G$190&lt;&gt;"moeda")*(Inputs!$G$5:$G$190&lt;&gt;"acoes")))*INDEX(Inputs!$K$5:$AJ$190,0,MATCH(Q$2,Inputs!$K$4:$AJ$4,0)))))</f>
        <v>68176.185</v>
      </c>
      <c r="R74" s="267" t="n"/>
      <c r="S74" s="266">
        <f>IF(ISNA(MATCH(S$2,Inputs!$K$4:$AJ$4,0)),NA(),IF(SUMPRODUCT((Inputs!$A$5:$A$190=$B74)*ISNUMBER(INDEX(Inputs!$K$5:$AJ$190,0,MATCH(S$2,Inputs!$K$4:$AJ$4,0))))+SUMPRODUCT((Inputs!$C$5:$C$190=$B74)*ISNUMBER(INDEX(Inputs!$K$5:$AJ$190,0,MATCH(S$2,Inputs!$K$4:$AJ$4,0))))+SUMPRODUCT((Inputs!$E$5:$E$190=$B74)*ISNUMBER(INDEX(Inputs!$K$5:$AJ$190,0,MATCH(S$2,Inputs!$K$4:$AJ$4,0))))=0,NA(),SUMPRODUCT((Inputs!$A$5:$A$190=$B74)*Inputs!$B$5:$B$190*(((Inputs!$G$5:$G$190="moeda")+(Inputs!$G$5:$G$190="acoes"))*Inputs!$B$1+((Inputs!$G$5:$G$190&lt;&gt;"moeda")*(Inputs!$G$5:$G$190&lt;&gt;"acoes")))*INDEX(Inputs!$K$5:$AJ$190,0,MATCH(S$2,Inputs!$K$4:$AJ$4,0)))+SUMPRODUCT((Inputs!$C$5:$C$190=$B74)*Inputs!$D$5:$D$190*(((Inputs!$G$5:$G$190="moeda")+(Inputs!$G$5:$G$190="acoes"))*Inputs!$B$1+((Inputs!$G$5:$G$190&lt;&gt;"moeda")*(Inputs!$G$5:$G$190&lt;&gt;"acoes")))*INDEX(Inputs!$K$5:$AJ$190,0,MATCH(S$2,Inputs!$K$4:$AJ$4,0)))+SUMPRODUCT((Inputs!$E$5:$E$190=$B74)*Inputs!$F$5:$F$190*(((Inputs!$G$5:$G$190="moeda")+(Inputs!$G$5:$G$190="acoes"))*Inputs!$B$1+((Inputs!$G$5:$G$190&lt;&gt;"moeda")*(Inputs!$G$5:$G$190&lt;&gt;"acoes")))*INDEX(Inputs!$K$5:$AJ$190,0,MATCH(S$2,Inputs!$K$4:$AJ$4,0)))))</f>
        <v>66942.505</v>
      </c>
      <c r="T74" s="266">
        <f>IF(ISNA(MATCH(T$2,Inputs!$K$4:$AJ$4,0)),NA(),IF(SUMPRODUCT((Inputs!$A$5:$A$190=$B74)*ISNUMBER(INDEX(Inputs!$K$5:$AJ$190,0,MATCH(T$2,Inputs!$K$4:$AJ$4,0))))+SUMPRODUCT((Inputs!$C$5:$C$190=$B74)*ISNUMBER(INDEX(Inputs!$K$5:$AJ$190,0,MATCH(T$2,Inputs!$K$4:$AJ$4,0))))+SUMPRODUCT((Inputs!$E$5:$E$190=$B74)*ISNUMBER(INDEX(Inputs!$K$5:$AJ$190,0,MATCH(T$2,Inputs!$K$4:$AJ$4,0))))=0,NA(),SUMPRODUCT((Inputs!$A$5:$A$190=$B74)*Inputs!$B$5:$B$190*(((Inputs!$G$5:$G$190="moeda")+(Inputs!$G$5:$G$190="acoes"))*Inputs!$B$1+((Inputs!$G$5:$G$190&lt;&gt;"moeda")*(Inputs!$G$5:$G$190&lt;&gt;"acoes")))*INDEX(Inputs!$K$5:$AJ$190,0,MATCH(T$2,Inputs!$K$4:$AJ$4,0)))+SUMPRODUCT((Inputs!$C$5:$C$190=$B74)*Inputs!$D$5:$D$190*(((Inputs!$G$5:$G$190="moeda")+(Inputs!$G$5:$G$190="acoes"))*Inputs!$B$1+((Inputs!$G$5:$G$190&lt;&gt;"moeda")*(Inputs!$G$5:$G$190&lt;&gt;"acoes")))*INDEX(Inputs!$K$5:$AJ$190,0,MATCH(T$2,Inputs!$K$4:$AJ$4,0)))+SUMPRODUCT((Inputs!$E$5:$E$190=$B74)*Inputs!$F$5:$F$190*(((Inputs!$G$5:$G$190="moeda")+(Inputs!$G$5:$G$190="acoes"))*Inputs!$B$1+((Inputs!$G$5:$G$190&lt;&gt;"moeda")*(Inputs!$G$5:$G$190&lt;&gt;"acoes")))*INDEX(Inputs!$K$5:$AJ$190,0,MATCH(T$2,Inputs!$K$4:$AJ$4,0)))))</f>
        <v>66598.725</v>
      </c>
      <c r="U74" s="266">
        <f>IF(ISNA(MATCH(U$2,Inputs!$K$4:$AJ$4,0)),NA(),IF(SUMPRODUCT((Inputs!$A$5:$A$190=$B74)*ISNUMBER(INDEX(Inputs!$K$5:$AJ$190,0,MATCH(U$2,Inputs!$K$4:$AJ$4,0))))+SUMPRODUCT((Inputs!$C$5:$C$190=$B74)*ISNUMBER(INDEX(Inputs!$K$5:$AJ$190,0,MATCH(U$2,Inputs!$K$4:$AJ$4,0))))+SUMPRODUCT((Inputs!$E$5:$E$190=$B74)*ISNUMBER(INDEX(Inputs!$K$5:$AJ$190,0,MATCH(U$2,Inputs!$K$4:$AJ$4,0))))=0,NA(),SUMPRODUCT((Inputs!$A$5:$A$190=$B74)*Inputs!$B$5:$B$190*(((Inputs!$G$5:$G$190="moeda")+(Inputs!$G$5:$G$190="acoes"))*Inputs!$B$1+((Inputs!$G$5:$G$190&lt;&gt;"moeda")*(Inputs!$G$5:$G$190&lt;&gt;"acoes")))*INDEX(Inputs!$K$5:$AJ$190,0,MATCH(U$2,Inputs!$K$4:$AJ$4,0)))+SUMPRODUCT((Inputs!$C$5:$C$190=$B74)*Inputs!$D$5:$D$190*(((Inputs!$G$5:$G$190="moeda")+(Inputs!$G$5:$G$190="acoes"))*Inputs!$B$1+((Inputs!$G$5:$G$190&lt;&gt;"moeda")*(Inputs!$G$5:$G$190&lt;&gt;"acoes")))*INDEX(Inputs!$K$5:$AJ$190,0,MATCH(U$2,Inputs!$K$4:$AJ$4,0)))+SUMPRODUCT((Inputs!$E$5:$E$190=$B74)*Inputs!$F$5:$F$190*(((Inputs!$G$5:$G$190="moeda")+(Inputs!$G$5:$G$190="acoes"))*Inputs!$B$1+((Inputs!$G$5:$G$190&lt;&gt;"moeda")*(Inputs!$G$5:$G$190&lt;&gt;"acoes")))*INDEX(Inputs!$K$5:$AJ$190,0,MATCH(U$2,Inputs!$K$4:$AJ$4,0)))))</f>
        <v>67728.675</v>
      </c>
      <c r="V74" s="266">
        <f>IF(ISNA(MATCH(V$2,Inputs!$K$4:$AJ$4,0)),NA(),IF(SUMPRODUCT((Inputs!$A$5:$A$190=$B74)*ISNUMBER(INDEX(Inputs!$K$5:$AJ$190,0,MATCH(V$2,Inputs!$K$4:$AJ$4,0))))+SUMPRODUCT((Inputs!$C$5:$C$190=$B74)*ISNUMBER(INDEX(Inputs!$K$5:$AJ$190,0,MATCH(V$2,Inputs!$K$4:$AJ$4,0))))+SUMPRODUCT((Inputs!$E$5:$E$190=$B74)*ISNUMBER(INDEX(Inputs!$K$5:$AJ$190,0,MATCH(V$2,Inputs!$K$4:$AJ$4,0))))=0,NA(),SUMPRODUCT((Inputs!$A$5:$A$190=$B74)*Inputs!$B$5:$B$190*(((Inputs!$G$5:$G$190="moeda")+(Inputs!$G$5:$G$190="acoes"))*Inputs!$B$1+((Inputs!$G$5:$G$190&lt;&gt;"moeda")*(Inputs!$G$5:$G$190&lt;&gt;"acoes")))*INDEX(Inputs!$K$5:$AJ$190,0,MATCH(V$2,Inputs!$K$4:$AJ$4,0)))+SUMPRODUCT((Inputs!$C$5:$C$190=$B74)*Inputs!$D$5:$D$190*(((Inputs!$G$5:$G$190="moeda")+(Inputs!$G$5:$G$190="acoes"))*Inputs!$B$1+((Inputs!$G$5:$G$190&lt;&gt;"moeda")*(Inputs!$G$5:$G$190&lt;&gt;"acoes")))*INDEX(Inputs!$K$5:$AJ$190,0,MATCH(V$2,Inputs!$K$4:$AJ$4,0)))+SUMPRODUCT((Inputs!$E$5:$E$190=$B74)*Inputs!$F$5:$F$190*(((Inputs!$G$5:$G$190="moeda")+(Inputs!$G$5:$G$190="acoes"))*Inputs!$B$1+((Inputs!$G$5:$G$190&lt;&gt;"moeda")*(Inputs!$G$5:$G$190&lt;&gt;"acoes")))*INDEX(Inputs!$K$5:$AJ$190,0,MATCH(V$2,Inputs!$K$4:$AJ$4,0)))))</f>
        <v>68181.225</v>
      </c>
      <c r="W74" s="267" t="n"/>
      <c r="X74" s="266">
        <f>IF(ISNA(MATCH(X$2,Inputs!$K$4:$AJ$4,0)),NA(),IF(SUMPRODUCT((Inputs!$A$5:$A$190=$B74)*ISNUMBER(INDEX(Inputs!$K$5:$AJ$190,0,MATCH(X$2,Inputs!$K$4:$AJ$4,0))))+SUMPRODUCT((Inputs!$C$5:$C$190=$B74)*ISNUMBER(INDEX(Inputs!$K$5:$AJ$190,0,MATCH(X$2,Inputs!$K$4:$AJ$4,0))))+SUMPRODUCT((Inputs!$E$5:$E$190=$B74)*ISNUMBER(INDEX(Inputs!$K$5:$AJ$190,0,MATCH(X$2,Inputs!$K$4:$AJ$4,0))))=0,NA(),SUMPRODUCT((Inputs!$A$5:$A$190=$B74)*Inputs!$B$5:$B$190*(((Inputs!$G$5:$G$190="moeda")+(Inputs!$G$5:$G$190="acoes"))*Inputs!$B$1+((Inputs!$G$5:$G$190&lt;&gt;"moeda")*(Inputs!$G$5:$G$190&lt;&gt;"acoes")))*INDEX(Inputs!$K$5:$AJ$190,0,MATCH(X$2,Inputs!$K$4:$AJ$4,0)))+SUMPRODUCT((Inputs!$C$5:$C$190=$B74)*Inputs!$D$5:$D$190*(((Inputs!$G$5:$G$190="moeda")+(Inputs!$G$5:$G$190="acoes"))*Inputs!$B$1+((Inputs!$G$5:$G$190&lt;&gt;"moeda")*(Inputs!$G$5:$G$190&lt;&gt;"acoes")))*INDEX(Inputs!$K$5:$AJ$190,0,MATCH(X$2,Inputs!$K$4:$AJ$4,0)))+SUMPRODUCT((Inputs!$E$5:$E$190=$B74)*Inputs!$F$5:$F$190*(((Inputs!$G$5:$G$190="moeda")+(Inputs!$G$5:$G$190="acoes"))*Inputs!$B$1+((Inputs!$G$5:$G$190&lt;&gt;"moeda")*(Inputs!$G$5:$G$190&lt;&gt;"acoes")))*INDEX(Inputs!$K$5:$AJ$190,0,MATCH(X$2,Inputs!$K$4:$AJ$4,0)))))</f>
        <v>69546.779</v>
      </c>
      <c r="Y74" s="266">
        <f>IF(ISNA(MATCH(Y$2,Inputs!$K$4:$AJ$4,0)),NA(),IF(SUMPRODUCT((Inputs!$A$5:$A$190=$B74)*ISNUMBER(INDEX(Inputs!$K$5:$AJ$190,0,MATCH(Y$2,Inputs!$K$4:$AJ$4,0))))+SUMPRODUCT((Inputs!$C$5:$C$190=$B74)*ISNUMBER(INDEX(Inputs!$K$5:$AJ$190,0,MATCH(Y$2,Inputs!$K$4:$AJ$4,0))))+SUMPRODUCT((Inputs!$E$5:$E$190=$B74)*ISNUMBER(INDEX(Inputs!$K$5:$AJ$190,0,MATCH(Y$2,Inputs!$K$4:$AJ$4,0))))=0,NA(),SUMPRODUCT((Inputs!$A$5:$A$190=$B74)*Inputs!$B$5:$B$190*(((Inputs!$G$5:$G$190="moeda")+(Inputs!$G$5:$G$190="acoes"))*Inputs!$B$1+((Inputs!$G$5:$G$190&lt;&gt;"moeda")*(Inputs!$G$5:$G$190&lt;&gt;"acoes")))*INDEX(Inputs!$K$5:$AJ$190,0,MATCH(Y$2,Inputs!$K$4:$AJ$4,0)))+SUMPRODUCT((Inputs!$C$5:$C$190=$B74)*Inputs!$D$5:$D$190*(((Inputs!$G$5:$G$190="moeda")+(Inputs!$G$5:$G$190="acoes"))*Inputs!$B$1+((Inputs!$G$5:$G$190&lt;&gt;"moeda")*(Inputs!$G$5:$G$190&lt;&gt;"acoes")))*INDEX(Inputs!$K$5:$AJ$190,0,MATCH(Y$2,Inputs!$K$4:$AJ$4,0)))+SUMPRODUCT((Inputs!$E$5:$E$190=$B74)*Inputs!$F$5:$F$190*(((Inputs!$G$5:$G$190="moeda")+(Inputs!$G$5:$G$190="acoes"))*Inputs!$B$1+((Inputs!$G$5:$G$190&lt;&gt;"moeda")*(Inputs!$G$5:$G$190&lt;&gt;"acoes")))*INDEX(Inputs!$K$5:$AJ$190,0,MATCH(Y$2,Inputs!$K$4:$AJ$4,0)))))</f>
        <v>70398.095</v>
      </c>
      <c r="Z74" s="266">
        <f>IF(ISNA(MATCH(Z$2,Inputs!$K$4:$AJ$4,0)),NA(),IF(SUMPRODUCT((Inputs!$A$5:$A$190=$B74)*ISNUMBER(INDEX(Inputs!$K$5:$AJ$190,0,MATCH(Z$2,Inputs!$K$4:$AJ$4,0))))+SUMPRODUCT((Inputs!$C$5:$C$190=$B74)*ISNUMBER(INDEX(Inputs!$K$5:$AJ$190,0,MATCH(Z$2,Inputs!$K$4:$AJ$4,0))))+SUMPRODUCT((Inputs!$E$5:$E$190=$B74)*ISNUMBER(INDEX(Inputs!$K$5:$AJ$190,0,MATCH(Z$2,Inputs!$K$4:$AJ$4,0))))=0,NA(),SUMPRODUCT((Inputs!$A$5:$A$190=$B74)*Inputs!$B$5:$B$190*(((Inputs!$G$5:$G$190="moeda")+(Inputs!$G$5:$G$190="acoes"))*Inputs!$B$1+((Inputs!$G$5:$G$190&lt;&gt;"moeda")*(Inputs!$G$5:$G$190&lt;&gt;"acoes")))*INDEX(Inputs!$K$5:$AJ$190,0,MATCH(Z$2,Inputs!$K$4:$AJ$4,0)))+SUMPRODUCT((Inputs!$C$5:$C$190=$B74)*Inputs!$D$5:$D$190*(((Inputs!$G$5:$G$190="moeda")+(Inputs!$G$5:$G$190="acoes"))*Inputs!$B$1+((Inputs!$G$5:$G$190&lt;&gt;"moeda")*(Inputs!$G$5:$G$190&lt;&gt;"acoes")))*INDEX(Inputs!$K$5:$AJ$190,0,MATCH(Z$2,Inputs!$K$4:$AJ$4,0)))+SUMPRODUCT((Inputs!$E$5:$E$190=$B74)*Inputs!$F$5:$F$190*(((Inputs!$G$5:$G$190="moeda")+(Inputs!$G$5:$G$190="acoes"))*Inputs!$B$1+((Inputs!$G$5:$G$190&lt;&gt;"moeda")*(Inputs!$G$5:$G$190&lt;&gt;"acoes")))*INDEX(Inputs!$K$5:$AJ$190,0,MATCH(Z$2,Inputs!$K$4:$AJ$4,0)))))</f>
        <v>73431.672</v>
      </c>
      <c r="AA74" s="266">
        <f>IF(ISNA(MATCH(AA$2,Inputs!$K$4:$AJ$4,0)),NA(),IF(SUMPRODUCT((Inputs!$A$5:$A$190=$B74)*ISNUMBER(INDEX(Inputs!$K$5:$AJ$190,0,MATCH(AA$2,Inputs!$K$4:$AJ$4,0))))+SUMPRODUCT((Inputs!$C$5:$C$190=$B74)*ISNUMBER(INDEX(Inputs!$K$5:$AJ$190,0,MATCH(AA$2,Inputs!$K$4:$AJ$4,0))))+SUMPRODUCT((Inputs!$E$5:$E$190=$B74)*ISNUMBER(INDEX(Inputs!$K$5:$AJ$190,0,MATCH(AA$2,Inputs!$K$4:$AJ$4,0))))=0,NA(),SUMPRODUCT((Inputs!$A$5:$A$190=$B74)*Inputs!$B$5:$B$190*(((Inputs!$G$5:$G$190="moeda")+(Inputs!$G$5:$G$190="acoes"))*Inputs!$B$1+((Inputs!$G$5:$G$190&lt;&gt;"moeda")*(Inputs!$G$5:$G$190&lt;&gt;"acoes")))*INDEX(Inputs!$K$5:$AJ$190,0,MATCH(AA$2,Inputs!$K$4:$AJ$4,0)))+SUMPRODUCT((Inputs!$C$5:$C$190=$B74)*Inputs!$D$5:$D$190*(((Inputs!$G$5:$G$190="moeda")+(Inputs!$G$5:$G$190="acoes"))*Inputs!$B$1+((Inputs!$G$5:$G$190&lt;&gt;"moeda")*(Inputs!$G$5:$G$190&lt;&gt;"acoes")))*INDEX(Inputs!$K$5:$AJ$190,0,MATCH(AA$2,Inputs!$K$4:$AJ$4,0)))+SUMPRODUCT((Inputs!$E$5:$E$190=$B74)*Inputs!$F$5:$F$190*(((Inputs!$G$5:$G$190="moeda")+(Inputs!$G$5:$G$190="acoes"))*Inputs!$B$1+((Inputs!$G$5:$G$190&lt;&gt;"moeda")*(Inputs!$G$5:$G$190&lt;&gt;"acoes")))*INDEX(Inputs!$K$5:$AJ$190,0,MATCH(AA$2,Inputs!$K$4:$AJ$4,0)))))</f>
        <v>72269.7444547227</v>
      </c>
      <c r="AB74" s="267" t="n"/>
      <c r="AC74" s="266">
        <f>IF(ISNA(MATCH(AC$2,Inputs!$K$4:$AJ$4,0)),NA(),IF(SUMPRODUCT((Inputs!$A$5:$A$190=$B74)*ISNUMBER(INDEX(Inputs!$K$5:$AJ$190,0,MATCH(AC$2,Inputs!$K$4:$AJ$4,0))))+SUMPRODUCT((Inputs!$C$5:$C$190=$B74)*ISNUMBER(INDEX(Inputs!$K$5:$AJ$190,0,MATCH(AC$2,Inputs!$K$4:$AJ$4,0))))+SUMPRODUCT((Inputs!$E$5:$E$190=$B74)*ISNUMBER(INDEX(Inputs!$K$5:$AJ$190,0,MATCH(AC$2,Inputs!$K$4:$AJ$4,0))))=0,NA(),SUMPRODUCT((Inputs!$A$5:$A$190=$B74)*Inputs!$B$5:$B$190*(((Inputs!$G$5:$G$190="moeda")+(Inputs!$G$5:$G$190="acoes"))*Inputs!$B$1+((Inputs!$G$5:$G$190&lt;&gt;"moeda")*(Inputs!$G$5:$G$190&lt;&gt;"acoes")))*INDEX(Inputs!$K$5:$AJ$190,0,MATCH(AC$2,Inputs!$K$4:$AJ$4,0)))+SUMPRODUCT((Inputs!$C$5:$C$190=$B74)*Inputs!$D$5:$D$190*(((Inputs!$G$5:$G$190="moeda")+(Inputs!$G$5:$G$190="acoes"))*Inputs!$B$1+((Inputs!$G$5:$G$190&lt;&gt;"moeda")*(Inputs!$G$5:$G$190&lt;&gt;"acoes")))*INDEX(Inputs!$K$5:$AJ$190,0,MATCH(AC$2,Inputs!$K$4:$AJ$4,0)))+SUMPRODUCT((Inputs!$E$5:$E$190=$B74)*Inputs!$F$5:$F$190*(((Inputs!$G$5:$G$190="moeda")+(Inputs!$G$5:$G$190="acoes"))*Inputs!$B$1+((Inputs!$G$5:$G$190&lt;&gt;"moeda")*(Inputs!$G$5:$G$190&lt;&gt;"acoes")))*INDEX(Inputs!$K$5:$AJ$190,0,MATCH(AC$2,Inputs!$K$4:$AJ$4,0)))))</f>
        <v>77823.7286809495</v>
      </c>
      <c r="AD74" s="266">
        <f>IF(ISNA(MATCH(AD$2,Inputs!$K$4:$AJ$4,0)),NA(),IF(SUMPRODUCT((Inputs!$A$5:$A$190=$B74)*ISNUMBER(INDEX(Inputs!$K$5:$AJ$190,0,MATCH(AD$2,Inputs!$K$4:$AJ$4,0))))+SUMPRODUCT((Inputs!$C$5:$C$190=$B74)*ISNUMBER(INDEX(Inputs!$K$5:$AJ$190,0,MATCH(AD$2,Inputs!$K$4:$AJ$4,0))))+SUMPRODUCT((Inputs!$E$5:$E$190=$B74)*ISNUMBER(INDEX(Inputs!$K$5:$AJ$190,0,MATCH(AD$2,Inputs!$K$4:$AJ$4,0))))=0,NA(),SUMPRODUCT((Inputs!$A$5:$A$190=$B74)*Inputs!$B$5:$B$190*(((Inputs!$G$5:$G$190="moeda")+(Inputs!$G$5:$G$190="acoes"))*Inputs!$B$1+((Inputs!$G$5:$G$190&lt;&gt;"moeda")*(Inputs!$G$5:$G$190&lt;&gt;"acoes")))*INDEX(Inputs!$K$5:$AJ$190,0,MATCH(AD$2,Inputs!$K$4:$AJ$4,0)))+SUMPRODUCT((Inputs!$C$5:$C$190=$B74)*Inputs!$D$5:$D$190*(((Inputs!$G$5:$G$190="moeda")+(Inputs!$G$5:$G$190="acoes"))*Inputs!$B$1+((Inputs!$G$5:$G$190&lt;&gt;"moeda")*(Inputs!$G$5:$G$190&lt;&gt;"acoes")))*INDEX(Inputs!$K$5:$AJ$190,0,MATCH(AD$2,Inputs!$K$4:$AJ$4,0)))+SUMPRODUCT((Inputs!$E$5:$E$190=$B74)*Inputs!$F$5:$F$190*(((Inputs!$G$5:$G$190="moeda")+(Inputs!$G$5:$G$190="acoes"))*Inputs!$B$1+((Inputs!$G$5:$G$190&lt;&gt;"moeda")*(Inputs!$G$5:$G$190&lt;&gt;"acoes")))*INDEX(Inputs!$K$5:$AJ$190,0,MATCH(AD$2,Inputs!$K$4:$AJ$4,0)))))</f>
        <v>77252.1840543436</v>
      </c>
      <c r="AE74" s="266" t="e">
        <f>IF(ISNA(MATCH(AE$2,Inputs!$K$4:$AJ$4,0)),NA(),IF(SUMPRODUCT((Inputs!$A$5:$A$190=$B74)*ISNUMBER(INDEX(Inputs!$K$5:$AJ$190,0,MATCH(AE$2,Inputs!$K$4:$AJ$4,0))))+SUMPRODUCT((Inputs!$C$5:$C$190=$B74)*ISNUMBER(INDEX(Inputs!$K$5:$AJ$190,0,MATCH(AE$2,Inputs!$K$4:$AJ$4,0))))+SUMPRODUCT((Inputs!$E$5:$E$190=$B74)*ISNUMBER(INDEX(Inputs!$K$5:$AJ$190,0,MATCH(AE$2,Inputs!$K$4:$AJ$4,0))))=0,NA(),SUMPRODUCT((Inputs!$A$5:$A$190=$B74)*Inputs!$B$5:$B$190*(((Inputs!$G$5:$G$190="moeda")+(Inputs!$G$5:$G$190="acoes"))*Inputs!$B$1+((Inputs!$G$5:$G$190&lt;&gt;"moeda")*(Inputs!$G$5:$G$190&lt;&gt;"acoes")))*INDEX(Inputs!$K$5:$AJ$190,0,MATCH(AE$2,Inputs!$K$4:$AJ$4,0)))+SUMPRODUCT((Inputs!$C$5:$C$190=$B74)*Inputs!$D$5:$D$190*(((Inputs!$G$5:$G$190="moeda")+(Inputs!$G$5:$G$190="acoes"))*Inputs!$B$1+((Inputs!$G$5:$G$190&lt;&gt;"moeda")*(Inputs!$G$5:$G$190&lt;&gt;"acoes")))*INDEX(Inputs!$K$5:$AJ$190,0,MATCH(AE$2,Inputs!$K$4:$AJ$4,0)))+SUMPRODUCT((Inputs!$E$5:$E$190=$B74)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74" s="266" t="e">
        <f>IF(ISNA(MATCH(AF$2,Inputs!$K$4:$AJ$4,0)),NA(),IF(SUMPRODUCT((Inputs!$A$5:$A$190=$B74)*ISNUMBER(INDEX(Inputs!$K$5:$AJ$190,0,MATCH(AF$2,Inputs!$K$4:$AJ$4,0))))+SUMPRODUCT((Inputs!$C$5:$C$190=$B74)*ISNUMBER(INDEX(Inputs!$K$5:$AJ$190,0,MATCH(AF$2,Inputs!$K$4:$AJ$4,0))))+SUMPRODUCT((Inputs!$E$5:$E$190=$B74)*ISNUMBER(INDEX(Inputs!$K$5:$AJ$190,0,MATCH(AF$2,Inputs!$K$4:$AJ$4,0))))=0,NA(),SUMPRODUCT((Inputs!$A$5:$A$190=$B74)*Inputs!$B$5:$B$190*(((Inputs!$G$5:$G$190="moeda")+(Inputs!$G$5:$G$190="acoes"))*Inputs!$B$1+((Inputs!$G$5:$G$190&lt;&gt;"moeda")*(Inputs!$G$5:$G$190&lt;&gt;"acoes")))*INDEX(Inputs!$K$5:$AJ$190,0,MATCH(AF$2,Inputs!$K$4:$AJ$4,0)))+SUMPRODUCT((Inputs!$C$5:$C$190=$B74)*Inputs!$D$5:$D$190*(((Inputs!$G$5:$G$190="moeda")+(Inputs!$G$5:$G$190="acoes"))*Inputs!$B$1+((Inputs!$G$5:$G$190&lt;&gt;"moeda")*(Inputs!$G$5:$G$190&lt;&gt;"acoes")))*INDEX(Inputs!$K$5:$AJ$190,0,MATCH(AF$2,Inputs!$K$4:$AJ$4,0)))+SUMPRODUCT((Inputs!$E$5:$E$190=$B74)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74" s="267" t="n"/>
      <c r="AH74" s="266">
        <f>IF(ISNA(MATCH(AH$2,Inputs!$K$4:$AJ$4,0)),NA(),IF(SUMPRODUCT((Inputs!$A$5:$A$190=$B74)*ISNUMBER(INDEX(Inputs!$K$5:$AJ$190,0,MATCH(AH$2,Inputs!$K$4:$AJ$4,0))))+SUMPRODUCT((Inputs!$C$5:$C$190=$B74)*ISNUMBER(INDEX(Inputs!$K$5:$AJ$190,0,MATCH(AH$2,Inputs!$K$4:$AJ$4,0))))+SUMPRODUCT((Inputs!$E$5:$E$190=$B74)*ISNUMBER(INDEX(Inputs!$K$5:$AJ$190,0,MATCH(AH$2,Inputs!$K$4:$AJ$4,0))))=0,NA(),SUMPRODUCT((Inputs!$A$5:$A$190=$B74)*Inputs!$B$5:$B$190*(((Inputs!$G$5:$G$190="moeda")+(Inputs!$G$5:$G$190="acoes"))*Inputs!$B$1+((Inputs!$G$5:$G$190&lt;&gt;"moeda")*(Inputs!$G$5:$G$190&lt;&gt;"acoes")))*INDEX(Inputs!$K$5:$AJ$190,0,MATCH(AH$2,Inputs!$K$4:$AJ$4,0)))+SUMPRODUCT((Inputs!$C$5:$C$190=$B74)*Inputs!$D$5:$D$190*(((Inputs!$G$5:$G$190="moeda")+(Inputs!$G$5:$G$190="acoes"))*Inputs!$B$1+((Inputs!$G$5:$G$190&lt;&gt;"moeda")*(Inputs!$G$5:$G$190&lt;&gt;"acoes")))*INDEX(Inputs!$K$5:$AJ$190,0,MATCH(AH$2,Inputs!$K$4:$AJ$4,0)))+SUMPRODUCT((Inputs!$E$5:$E$190=$B74)*Inputs!$F$5:$F$190*(((Inputs!$G$5:$G$190="moeda")+(Inputs!$G$5:$G$190="acoes"))*Inputs!$B$1+((Inputs!$G$5:$G$190&lt;&gt;"moeda")*(Inputs!$G$5:$G$190&lt;&gt;"acoes")))*INDEX(Inputs!$K$5:$AJ$190,0,MATCH(AH$2,Inputs!$K$4:$AJ$4,0)))))</f>
        <v>40161.535</v>
      </c>
      <c r="AI74" s="266">
        <f>IF(ISNA(MATCH(AI$2,Inputs!$K$4:$AJ$4,0)),NA(),IF(SUMPRODUCT((Inputs!$A$5:$A$190=$B74)*ISNUMBER(INDEX(Inputs!$K$5:$AJ$190,0,MATCH(AI$2,Inputs!$K$4:$AJ$4,0))))+SUMPRODUCT((Inputs!$C$5:$C$190=$B74)*ISNUMBER(INDEX(Inputs!$K$5:$AJ$190,0,MATCH(AI$2,Inputs!$K$4:$AJ$4,0))))+SUMPRODUCT((Inputs!$E$5:$E$190=$B74)*ISNUMBER(INDEX(Inputs!$K$5:$AJ$190,0,MATCH(AI$2,Inputs!$K$4:$AJ$4,0))))=0,NA(),SUMPRODUCT((Inputs!$A$5:$A$190=$B74)*Inputs!$B$5:$B$190*(((Inputs!$G$5:$G$190="moeda")+(Inputs!$G$5:$G$190="acoes"))*Inputs!$B$1+((Inputs!$G$5:$G$190&lt;&gt;"moeda")*(Inputs!$G$5:$G$190&lt;&gt;"acoes")))*INDEX(Inputs!$K$5:$AJ$190,0,MATCH(AI$2,Inputs!$K$4:$AJ$4,0)))+SUMPRODUCT((Inputs!$C$5:$C$190=$B74)*Inputs!$D$5:$D$190*(((Inputs!$G$5:$G$190="moeda")+(Inputs!$G$5:$G$190="acoes"))*Inputs!$B$1+((Inputs!$G$5:$G$190&lt;&gt;"moeda")*(Inputs!$G$5:$G$190&lt;&gt;"acoes")))*INDEX(Inputs!$K$5:$AJ$190,0,MATCH(AI$2,Inputs!$K$4:$AJ$4,0)))+SUMPRODUCT((Inputs!$E$5:$E$190=$B74)*Inputs!$F$5:$F$190*(((Inputs!$G$5:$G$190="moeda")+(Inputs!$G$5:$G$190="acoes"))*Inputs!$B$1+((Inputs!$G$5:$G$190&lt;&gt;"moeda")*(Inputs!$G$5:$G$190&lt;&gt;"acoes")))*INDEX(Inputs!$K$5:$AJ$190,0,MATCH(AI$2,Inputs!$K$4:$AJ$4,0)))))</f>
        <v>40614.688</v>
      </c>
      <c r="AJ74" s="266">
        <f>IF(ISNA(MATCH(AJ$2,Inputs!$K$4:$AJ$4,0)),NA(),IF(SUMPRODUCT((Inputs!$A$5:$A$190=$B74)*ISNUMBER(INDEX(Inputs!$K$5:$AJ$190,0,MATCH(AJ$2,Inputs!$K$4:$AJ$4,0))))+SUMPRODUCT((Inputs!$C$5:$C$190=$B74)*ISNUMBER(INDEX(Inputs!$K$5:$AJ$190,0,MATCH(AJ$2,Inputs!$K$4:$AJ$4,0))))+SUMPRODUCT((Inputs!$E$5:$E$190=$B74)*ISNUMBER(INDEX(Inputs!$K$5:$AJ$190,0,MATCH(AJ$2,Inputs!$K$4:$AJ$4,0))))=0,NA(),SUMPRODUCT((Inputs!$A$5:$A$190=$B74)*Inputs!$B$5:$B$190*(((Inputs!$G$5:$G$190="moeda")+(Inputs!$G$5:$G$190="acoes"))*Inputs!$B$1+((Inputs!$G$5:$G$190&lt;&gt;"moeda")*(Inputs!$G$5:$G$190&lt;&gt;"acoes")))*INDEX(Inputs!$K$5:$AJ$190,0,MATCH(AJ$2,Inputs!$K$4:$AJ$4,0)))+SUMPRODUCT((Inputs!$C$5:$C$190=$B74)*Inputs!$D$5:$D$190*(((Inputs!$G$5:$G$190="moeda")+(Inputs!$G$5:$G$190="acoes"))*Inputs!$B$1+((Inputs!$G$5:$G$190&lt;&gt;"moeda")*(Inputs!$G$5:$G$190&lt;&gt;"acoes")))*INDEX(Inputs!$K$5:$AJ$190,0,MATCH(AJ$2,Inputs!$K$4:$AJ$4,0)))+SUMPRODUCT((Inputs!$E$5:$E$190=$B74)*Inputs!$F$5:$F$190*(((Inputs!$G$5:$G$190="moeda")+(Inputs!$G$5:$G$190="acoes"))*Inputs!$B$1+((Inputs!$G$5:$G$190&lt;&gt;"moeda")*(Inputs!$G$5:$G$190&lt;&gt;"acoes")))*INDEX(Inputs!$K$5:$AJ$190,0,MATCH(AJ$2,Inputs!$K$4:$AJ$4,0)))))</f>
        <v>45289.77</v>
      </c>
      <c r="AK74" s="266">
        <f>IF(ISNA(MATCH(AK$2,Inputs!$K$4:$AJ$4,0)),NA(),IF(SUMPRODUCT((Inputs!$A$5:$A$190=$B74)*ISNUMBER(INDEX(Inputs!$K$5:$AJ$190,0,MATCH(AK$2,Inputs!$K$4:$AJ$4,0))))+SUMPRODUCT((Inputs!$C$5:$C$190=$B74)*ISNUMBER(INDEX(Inputs!$K$5:$AJ$190,0,MATCH(AK$2,Inputs!$K$4:$AJ$4,0))))+SUMPRODUCT((Inputs!$E$5:$E$190=$B74)*ISNUMBER(INDEX(Inputs!$K$5:$AJ$190,0,MATCH(AK$2,Inputs!$K$4:$AJ$4,0))))=0,NA(),SUMPRODUCT((Inputs!$A$5:$A$190=$B74)*Inputs!$B$5:$B$190*(((Inputs!$G$5:$G$190="moeda")+(Inputs!$G$5:$G$190="acoes"))*Inputs!$B$1+((Inputs!$G$5:$G$190&lt;&gt;"moeda")*(Inputs!$G$5:$G$190&lt;&gt;"acoes")))*INDEX(Inputs!$K$5:$AJ$190,0,MATCH(AK$2,Inputs!$K$4:$AJ$4,0)))+SUMPRODUCT((Inputs!$C$5:$C$190=$B74)*Inputs!$D$5:$D$190*(((Inputs!$G$5:$G$190="moeda")+(Inputs!$G$5:$G$190="acoes"))*Inputs!$B$1+((Inputs!$G$5:$G$190&lt;&gt;"moeda")*(Inputs!$G$5:$G$190&lt;&gt;"acoes")))*INDEX(Inputs!$K$5:$AJ$190,0,MATCH(AK$2,Inputs!$K$4:$AJ$4,0)))+SUMPRODUCT((Inputs!$E$5:$E$190=$B74)*Inputs!$F$5:$F$190*(((Inputs!$G$5:$G$190="moeda")+(Inputs!$G$5:$G$190="acoes"))*Inputs!$B$1+((Inputs!$G$5:$G$190&lt;&gt;"moeda")*(Inputs!$G$5:$G$190&lt;&gt;"acoes")))*INDEX(Inputs!$K$5:$AJ$190,0,MATCH(AK$2,Inputs!$K$4:$AJ$4,0)))))</f>
        <v>50153.014</v>
      </c>
      <c r="AL74" s="267" t="n"/>
    </row>
    <row r="75">
      <c r="B75" s="46" t="n">
        <v>67</v>
      </c>
      <c r="C75" s="29" t="inlineStr">
        <is>
          <t>Vamos - frota de locacao final (ativos; 1T21+: VAMOS - Operational Data l.21 da SIMPAR; 2020: planilha antiga Vamos, VAMOS Operational Data l.20)</t>
        </is>
      </c>
      <c r="D75" s="266">
        <f>IF(ISNA(MATCH(D$2,Inputs!$K$4:$AJ$4,0)),NA(),IF(SUMPRODUCT((Inputs!$A$5:$A$190=$B75)*ISNUMBER(INDEX(Inputs!$K$5:$AJ$190,0,MATCH(D$2,Inputs!$K$4:$AJ$4,0))))+SUMPRODUCT((Inputs!$C$5:$C$190=$B75)*ISNUMBER(INDEX(Inputs!$K$5:$AJ$190,0,MATCH(D$2,Inputs!$K$4:$AJ$4,0))))+SUMPRODUCT((Inputs!$E$5:$E$190=$B75)*ISNUMBER(INDEX(Inputs!$K$5:$AJ$190,0,MATCH(D$2,Inputs!$K$4:$AJ$4,0))))=0,NA(),SUMPRODUCT((Inputs!$A$5:$A$190=$B75)*Inputs!$B$5:$B$190*(((Inputs!$G$5:$G$190="moeda")+(Inputs!$G$5:$G$190="acoes"))*Inputs!$B$1+((Inputs!$G$5:$G$190&lt;&gt;"moeda")*(Inputs!$G$5:$G$190&lt;&gt;"acoes")))*INDEX(Inputs!$K$5:$AJ$190,0,MATCH(D$2,Inputs!$K$4:$AJ$4,0)))+SUMPRODUCT((Inputs!$C$5:$C$190=$B75)*Inputs!$D$5:$D$190*(((Inputs!$G$5:$G$190="moeda")+(Inputs!$G$5:$G$190="acoes"))*Inputs!$B$1+((Inputs!$G$5:$G$190&lt;&gt;"moeda")*(Inputs!$G$5:$G$190&lt;&gt;"acoes")))*INDEX(Inputs!$K$5:$AJ$190,0,MATCH(D$2,Inputs!$K$4:$AJ$4,0)))+SUMPRODUCT((Inputs!$E$5:$E$190=$B75)*Inputs!$F$5:$F$190*(((Inputs!$G$5:$G$190="moeda")+(Inputs!$G$5:$G$190="acoes"))*Inputs!$B$1+((Inputs!$G$5:$G$190&lt;&gt;"moeda")*(Inputs!$G$5:$G$190&lt;&gt;"acoes")))*INDEX(Inputs!$K$5:$AJ$190,0,MATCH(D$2,Inputs!$K$4:$AJ$4,0)))))</f>
        <v>16025</v>
      </c>
      <c r="E75" s="266">
        <f>IF(ISNA(MATCH(E$2,Inputs!$K$4:$AJ$4,0)),NA(),IF(SUMPRODUCT((Inputs!$A$5:$A$190=$B75)*ISNUMBER(INDEX(Inputs!$K$5:$AJ$190,0,MATCH(E$2,Inputs!$K$4:$AJ$4,0))))+SUMPRODUCT((Inputs!$C$5:$C$190=$B75)*ISNUMBER(INDEX(Inputs!$K$5:$AJ$190,0,MATCH(E$2,Inputs!$K$4:$AJ$4,0))))+SUMPRODUCT((Inputs!$E$5:$E$190=$B75)*ISNUMBER(INDEX(Inputs!$K$5:$AJ$190,0,MATCH(E$2,Inputs!$K$4:$AJ$4,0))))=0,NA(),SUMPRODUCT((Inputs!$A$5:$A$190=$B75)*Inputs!$B$5:$B$190*(((Inputs!$G$5:$G$190="moeda")+(Inputs!$G$5:$G$190="acoes"))*Inputs!$B$1+((Inputs!$G$5:$G$190&lt;&gt;"moeda")*(Inputs!$G$5:$G$190&lt;&gt;"acoes")))*INDEX(Inputs!$K$5:$AJ$190,0,MATCH(E$2,Inputs!$K$4:$AJ$4,0)))+SUMPRODUCT((Inputs!$C$5:$C$190=$B75)*Inputs!$D$5:$D$190*(((Inputs!$G$5:$G$190="moeda")+(Inputs!$G$5:$G$190="acoes"))*Inputs!$B$1+((Inputs!$G$5:$G$190&lt;&gt;"moeda")*(Inputs!$G$5:$G$190&lt;&gt;"acoes")))*INDEX(Inputs!$K$5:$AJ$190,0,MATCH(E$2,Inputs!$K$4:$AJ$4,0)))+SUMPRODUCT((Inputs!$E$5:$E$190=$B75)*Inputs!$F$5:$F$190*(((Inputs!$G$5:$G$190="moeda")+(Inputs!$G$5:$G$190="acoes"))*Inputs!$B$1+((Inputs!$G$5:$G$190&lt;&gt;"moeda")*(Inputs!$G$5:$G$190&lt;&gt;"acoes")))*INDEX(Inputs!$K$5:$AJ$190,0,MATCH(E$2,Inputs!$K$4:$AJ$4,0)))))</f>
        <v>18395</v>
      </c>
      <c r="F75" s="266">
        <f>IF(ISNA(MATCH(F$2,Inputs!$K$4:$AJ$4,0)),NA(),IF(SUMPRODUCT((Inputs!$A$5:$A$190=$B75)*ISNUMBER(INDEX(Inputs!$K$5:$AJ$190,0,MATCH(F$2,Inputs!$K$4:$AJ$4,0))))+SUMPRODUCT((Inputs!$C$5:$C$190=$B75)*ISNUMBER(INDEX(Inputs!$K$5:$AJ$190,0,MATCH(F$2,Inputs!$K$4:$AJ$4,0))))+SUMPRODUCT((Inputs!$E$5:$E$190=$B75)*ISNUMBER(INDEX(Inputs!$K$5:$AJ$190,0,MATCH(F$2,Inputs!$K$4:$AJ$4,0))))=0,NA(),SUMPRODUCT((Inputs!$A$5:$A$190=$B75)*Inputs!$B$5:$B$190*(((Inputs!$G$5:$G$190="moeda")+(Inputs!$G$5:$G$190="acoes"))*Inputs!$B$1+((Inputs!$G$5:$G$190&lt;&gt;"moeda")*(Inputs!$G$5:$G$190&lt;&gt;"acoes")))*INDEX(Inputs!$K$5:$AJ$190,0,MATCH(F$2,Inputs!$K$4:$AJ$4,0)))+SUMPRODUCT((Inputs!$C$5:$C$190=$B75)*Inputs!$D$5:$D$190*(((Inputs!$G$5:$G$190="moeda")+(Inputs!$G$5:$G$190="acoes"))*Inputs!$B$1+((Inputs!$G$5:$G$190&lt;&gt;"moeda")*(Inputs!$G$5:$G$190&lt;&gt;"acoes")))*INDEX(Inputs!$K$5:$AJ$190,0,MATCH(F$2,Inputs!$K$4:$AJ$4,0)))+SUMPRODUCT((Inputs!$E$5:$E$190=$B75)*Inputs!$F$5:$F$190*(((Inputs!$G$5:$G$190="moeda")+(Inputs!$G$5:$G$190="acoes"))*Inputs!$B$1+((Inputs!$G$5:$G$190&lt;&gt;"moeda")*(Inputs!$G$5:$G$190&lt;&gt;"acoes")))*INDEX(Inputs!$K$5:$AJ$190,0,MATCH(F$2,Inputs!$K$4:$AJ$4,0)))))</f>
        <v>20384</v>
      </c>
      <c r="G75" s="266">
        <f>IF(ISNA(MATCH(G$2,Inputs!$K$4:$AJ$4,0)),NA(),IF(SUMPRODUCT((Inputs!$A$5:$A$190=$B75)*ISNUMBER(INDEX(Inputs!$K$5:$AJ$190,0,MATCH(G$2,Inputs!$K$4:$AJ$4,0))))+SUMPRODUCT((Inputs!$C$5:$C$190=$B75)*ISNUMBER(INDEX(Inputs!$K$5:$AJ$190,0,MATCH(G$2,Inputs!$K$4:$AJ$4,0))))+SUMPRODUCT((Inputs!$E$5:$E$190=$B75)*ISNUMBER(INDEX(Inputs!$K$5:$AJ$190,0,MATCH(G$2,Inputs!$K$4:$AJ$4,0))))=0,NA(),SUMPRODUCT((Inputs!$A$5:$A$190=$B75)*Inputs!$B$5:$B$190*(((Inputs!$G$5:$G$190="moeda")+(Inputs!$G$5:$G$190="acoes"))*Inputs!$B$1+((Inputs!$G$5:$G$190&lt;&gt;"moeda")*(Inputs!$G$5:$G$190&lt;&gt;"acoes")))*INDEX(Inputs!$K$5:$AJ$190,0,MATCH(G$2,Inputs!$K$4:$AJ$4,0)))+SUMPRODUCT((Inputs!$C$5:$C$190=$B75)*Inputs!$D$5:$D$190*(((Inputs!$G$5:$G$190="moeda")+(Inputs!$G$5:$G$190="acoes"))*Inputs!$B$1+((Inputs!$G$5:$G$190&lt;&gt;"moeda")*(Inputs!$G$5:$G$190&lt;&gt;"acoes")))*INDEX(Inputs!$K$5:$AJ$190,0,MATCH(G$2,Inputs!$K$4:$AJ$4,0)))+SUMPRODUCT((Inputs!$E$5:$E$190=$B75)*Inputs!$F$5:$F$190*(((Inputs!$G$5:$G$190="moeda")+(Inputs!$G$5:$G$190="acoes"))*Inputs!$B$1+((Inputs!$G$5:$G$190&lt;&gt;"moeda")*(Inputs!$G$5:$G$190&lt;&gt;"acoes")))*INDEX(Inputs!$K$5:$AJ$190,0,MATCH(G$2,Inputs!$K$4:$AJ$4,0)))))</f>
        <v>23627</v>
      </c>
      <c r="H75" s="267">
        <f>G75</f>
        <v>23627</v>
      </c>
      <c r="I75" s="266">
        <f>IF(ISNA(MATCH(I$2,Inputs!$K$4:$AJ$4,0)),NA(),IF(SUMPRODUCT((Inputs!$A$5:$A$190=$B75)*ISNUMBER(INDEX(Inputs!$K$5:$AJ$190,0,MATCH(I$2,Inputs!$K$4:$AJ$4,0))))+SUMPRODUCT((Inputs!$C$5:$C$190=$B75)*ISNUMBER(INDEX(Inputs!$K$5:$AJ$190,0,MATCH(I$2,Inputs!$K$4:$AJ$4,0))))+SUMPRODUCT((Inputs!$E$5:$E$190=$B75)*ISNUMBER(INDEX(Inputs!$K$5:$AJ$190,0,MATCH(I$2,Inputs!$K$4:$AJ$4,0))))=0,NA(),SUMPRODUCT((Inputs!$A$5:$A$190=$B75)*Inputs!$B$5:$B$190*(((Inputs!$G$5:$G$190="moeda")+(Inputs!$G$5:$G$190="acoes"))*Inputs!$B$1+((Inputs!$G$5:$G$190&lt;&gt;"moeda")*(Inputs!$G$5:$G$190&lt;&gt;"acoes")))*INDEX(Inputs!$K$5:$AJ$190,0,MATCH(I$2,Inputs!$K$4:$AJ$4,0)))+SUMPRODUCT((Inputs!$C$5:$C$190=$B75)*Inputs!$D$5:$D$190*(((Inputs!$G$5:$G$190="moeda")+(Inputs!$G$5:$G$190="acoes"))*Inputs!$B$1+((Inputs!$G$5:$G$190&lt;&gt;"moeda")*(Inputs!$G$5:$G$190&lt;&gt;"acoes")))*INDEX(Inputs!$K$5:$AJ$190,0,MATCH(I$2,Inputs!$K$4:$AJ$4,0)))+SUMPRODUCT((Inputs!$E$5:$E$190=$B75)*Inputs!$F$5:$F$190*(((Inputs!$G$5:$G$190="moeda")+(Inputs!$G$5:$G$190="acoes"))*Inputs!$B$1+((Inputs!$G$5:$G$190&lt;&gt;"moeda")*(Inputs!$G$5:$G$190&lt;&gt;"acoes")))*INDEX(Inputs!$K$5:$AJ$190,0,MATCH(I$2,Inputs!$K$4:$AJ$4,0)))))</f>
        <v>26859</v>
      </c>
      <c r="J75" s="266">
        <f>IF(ISNA(MATCH(J$2,Inputs!$K$4:$AJ$4,0)),NA(),IF(SUMPRODUCT((Inputs!$A$5:$A$190=$B75)*ISNUMBER(INDEX(Inputs!$K$5:$AJ$190,0,MATCH(J$2,Inputs!$K$4:$AJ$4,0))))+SUMPRODUCT((Inputs!$C$5:$C$190=$B75)*ISNUMBER(INDEX(Inputs!$K$5:$AJ$190,0,MATCH(J$2,Inputs!$K$4:$AJ$4,0))))+SUMPRODUCT((Inputs!$E$5:$E$190=$B75)*ISNUMBER(INDEX(Inputs!$K$5:$AJ$190,0,MATCH(J$2,Inputs!$K$4:$AJ$4,0))))=0,NA(),SUMPRODUCT((Inputs!$A$5:$A$190=$B75)*Inputs!$B$5:$B$190*(((Inputs!$G$5:$G$190="moeda")+(Inputs!$G$5:$G$190="acoes"))*Inputs!$B$1+((Inputs!$G$5:$G$190&lt;&gt;"moeda")*(Inputs!$G$5:$G$190&lt;&gt;"acoes")))*INDEX(Inputs!$K$5:$AJ$190,0,MATCH(J$2,Inputs!$K$4:$AJ$4,0)))+SUMPRODUCT((Inputs!$C$5:$C$190=$B75)*Inputs!$D$5:$D$190*(((Inputs!$G$5:$G$190="moeda")+(Inputs!$G$5:$G$190="acoes"))*Inputs!$B$1+((Inputs!$G$5:$G$190&lt;&gt;"moeda")*(Inputs!$G$5:$G$190&lt;&gt;"acoes")))*INDEX(Inputs!$K$5:$AJ$190,0,MATCH(J$2,Inputs!$K$4:$AJ$4,0)))+SUMPRODUCT((Inputs!$E$5:$E$190=$B75)*Inputs!$F$5:$F$190*(((Inputs!$G$5:$G$190="moeda")+(Inputs!$G$5:$G$190="acoes"))*Inputs!$B$1+((Inputs!$G$5:$G$190&lt;&gt;"moeda")*(Inputs!$G$5:$G$190&lt;&gt;"acoes")))*INDEX(Inputs!$K$5:$AJ$190,0,MATCH(J$2,Inputs!$K$4:$AJ$4,0)))))</f>
        <v>33940</v>
      </c>
      <c r="K75" s="266">
        <f>IF(ISNA(MATCH(K$2,Inputs!$K$4:$AJ$4,0)),NA(),IF(SUMPRODUCT((Inputs!$A$5:$A$190=$B75)*ISNUMBER(INDEX(Inputs!$K$5:$AJ$190,0,MATCH(K$2,Inputs!$K$4:$AJ$4,0))))+SUMPRODUCT((Inputs!$C$5:$C$190=$B75)*ISNUMBER(INDEX(Inputs!$K$5:$AJ$190,0,MATCH(K$2,Inputs!$K$4:$AJ$4,0))))+SUMPRODUCT((Inputs!$E$5:$E$190=$B75)*ISNUMBER(INDEX(Inputs!$K$5:$AJ$190,0,MATCH(K$2,Inputs!$K$4:$AJ$4,0))))=0,NA(),SUMPRODUCT((Inputs!$A$5:$A$190=$B75)*Inputs!$B$5:$B$190*(((Inputs!$G$5:$G$190="moeda")+(Inputs!$G$5:$G$190="acoes"))*Inputs!$B$1+((Inputs!$G$5:$G$190&lt;&gt;"moeda")*(Inputs!$G$5:$G$190&lt;&gt;"acoes")))*INDEX(Inputs!$K$5:$AJ$190,0,MATCH(K$2,Inputs!$K$4:$AJ$4,0)))+SUMPRODUCT((Inputs!$C$5:$C$190=$B75)*Inputs!$D$5:$D$190*(((Inputs!$G$5:$G$190="moeda")+(Inputs!$G$5:$G$190="acoes"))*Inputs!$B$1+((Inputs!$G$5:$G$190&lt;&gt;"moeda")*(Inputs!$G$5:$G$190&lt;&gt;"acoes")))*INDEX(Inputs!$K$5:$AJ$190,0,MATCH(K$2,Inputs!$K$4:$AJ$4,0)))+SUMPRODUCT((Inputs!$E$5:$E$190=$B75)*Inputs!$F$5:$F$190*(((Inputs!$G$5:$G$190="moeda")+(Inputs!$G$5:$G$190="acoes"))*Inputs!$B$1+((Inputs!$G$5:$G$190&lt;&gt;"moeda")*(Inputs!$G$5:$G$190&lt;&gt;"acoes")))*INDEX(Inputs!$K$5:$AJ$190,0,MATCH(K$2,Inputs!$K$4:$AJ$4,0)))))</f>
        <v>38561</v>
      </c>
      <c r="L75" s="266">
        <f>IF(ISNA(MATCH(L$2,Inputs!$K$4:$AJ$4,0)),NA(),IF(SUMPRODUCT((Inputs!$A$5:$A$190=$B75)*ISNUMBER(INDEX(Inputs!$K$5:$AJ$190,0,MATCH(L$2,Inputs!$K$4:$AJ$4,0))))+SUMPRODUCT((Inputs!$C$5:$C$190=$B75)*ISNUMBER(INDEX(Inputs!$K$5:$AJ$190,0,MATCH(L$2,Inputs!$K$4:$AJ$4,0))))+SUMPRODUCT((Inputs!$E$5:$E$190=$B75)*ISNUMBER(INDEX(Inputs!$K$5:$AJ$190,0,MATCH(L$2,Inputs!$K$4:$AJ$4,0))))=0,NA(),SUMPRODUCT((Inputs!$A$5:$A$190=$B75)*Inputs!$B$5:$B$190*(((Inputs!$G$5:$G$190="moeda")+(Inputs!$G$5:$G$190="acoes"))*Inputs!$B$1+((Inputs!$G$5:$G$190&lt;&gt;"moeda")*(Inputs!$G$5:$G$190&lt;&gt;"acoes")))*INDEX(Inputs!$K$5:$AJ$190,0,MATCH(L$2,Inputs!$K$4:$AJ$4,0)))+SUMPRODUCT((Inputs!$C$5:$C$190=$B75)*Inputs!$D$5:$D$190*(((Inputs!$G$5:$G$190="moeda")+(Inputs!$G$5:$G$190="acoes"))*Inputs!$B$1+((Inputs!$G$5:$G$190&lt;&gt;"moeda")*(Inputs!$G$5:$G$190&lt;&gt;"acoes")))*INDEX(Inputs!$K$5:$AJ$190,0,MATCH(L$2,Inputs!$K$4:$AJ$4,0)))+SUMPRODUCT((Inputs!$E$5:$E$190=$B75)*Inputs!$F$5:$F$190*(((Inputs!$G$5:$G$190="moeda")+(Inputs!$G$5:$G$190="acoes"))*Inputs!$B$1+((Inputs!$G$5:$G$190&lt;&gt;"moeda")*(Inputs!$G$5:$G$190&lt;&gt;"acoes")))*INDEX(Inputs!$K$5:$AJ$190,0,MATCH(L$2,Inputs!$K$4:$AJ$4,0)))))</f>
        <v>43829</v>
      </c>
      <c r="M75" s="267">
        <f>L75</f>
        <v>43829</v>
      </c>
      <c r="N75" s="266">
        <f>IF(ISNA(MATCH(N$2,Inputs!$K$4:$AJ$4,0)),NA(),IF(SUMPRODUCT((Inputs!$A$5:$A$190=$B75)*ISNUMBER(INDEX(Inputs!$K$5:$AJ$190,0,MATCH(N$2,Inputs!$K$4:$AJ$4,0))))+SUMPRODUCT((Inputs!$C$5:$C$190=$B75)*ISNUMBER(INDEX(Inputs!$K$5:$AJ$190,0,MATCH(N$2,Inputs!$K$4:$AJ$4,0))))+SUMPRODUCT((Inputs!$E$5:$E$190=$B75)*ISNUMBER(INDEX(Inputs!$K$5:$AJ$190,0,MATCH(N$2,Inputs!$K$4:$AJ$4,0))))=0,NA(),SUMPRODUCT((Inputs!$A$5:$A$190=$B75)*Inputs!$B$5:$B$190*(((Inputs!$G$5:$G$190="moeda")+(Inputs!$G$5:$G$190="acoes"))*Inputs!$B$1+((Inputs!$G$5:$G$190&lt;&gt;"moeda")*(Inputs!$G$5:$G$190&lt;&gt;"acoes")))*INDEX(Inputs!$K$5:$AJ$190,0,MATCH(N$2,Inputs!$K$4:$AJ$4,0)))+SUMPRODUCT((Inputs!$C$5:$C$190=$B75)*Inputs!$D$5:$D$190*(((Inputs!$G$5:$G$190="moeda")+(Inputs!$G$5:$G$190="acoes"))*Inputs!$B$1+((Inputs!$G$5:$G$190&lt;&gt;"moeda")*(Inputs!$G$5:$G$190&lt;&gt;"acoes")))*INDEX(Inputs!$K$5:$AJ$190,0,MATCH(N$2,Inputs!$K$4:$AJ$4,0)))+SUMPRODUCT((Inputs!$E$5:$E$190=$B75)*Inputs!$F$5:$F$190*(((Inputs!$G$5:$G$190="moeda")+(Inputs!$G$5:$G$190="acoes"))*Inputs!$B$1+((Inputs!$G$5:$G$190&lt;&gt;"moeda")*(Inputs!$G$5:$G$190&lt;&gt;"acoes")))*INDEX(Inputs!$K$5:$AJ$190,0,MATCH(N$2,Inputs!$K$4:$AJ$4,0)))))</f>
        <v>45055</v>
      </c>
      <c r="O75" s="266">
        <f>IF(ISNA(MATCH(O$2,Inputs!$K$4:$AJ$4,0)),NA(),IF(SUMPRODUCT((Inputs!$A$5:$A$190=$B75)*ISNUMBER(INDEX(Inputs!$K$5:$AJ$190,0,MATCH(O$2,Inputs!$K$4:$AJ$4,0))))+SUMPRODUCT((Inputs!$C$5:$C$190=$B75)*ISNUMBER(INDEX(Inputs!$K$5:$AJ$190,0,MATCH(O$2,Inputs!$K$4:$AJ$4,0))))+SUMPRODUCT((Inputs!$E$5:$E$190=$B75)*ISNUMBER(INDEX(Inputs!$K$5:$AJ$190,0,MATCH(O$2,Inputs!$K$4:$AJ$4,0))))=0,NA(),SUMPRODUCT((Inputs!$A$5:$A$190=$B75)*Inputs!$B$5:$B$190*(((Inputs!$G$5:$G$190="moeda")+(Inputs!$G$5:$G$190="acoes"))*Inputs!$B$1+((Inputs!$G$5:$G$190&lt;&gt;"moeda")*(Inputs!$G$5:$G$190&lt;&gt;"acoes")))*INDEX(Inputs!$K$5:$AJ$190,0,MATCH(O$2,Inputs!$K$4:$AJ$4,0)))+SUMPRODUCT((Inputs!$C$5:$C$190=$B75)*Inputs!$D$5:$D$190*(((Inputs!$G$5:$G$190="moeda")+(Inputs!$G$5:$G$190="acoes"))*Inputs!$B$1+((Inputs!$G$5:$G$190&lt;&gt;"moeda")*(Inputs!$G$5:$G$190&lt;&gt;"acoes")))*INDEX(Inputs!$K$5:$AJ$190,0,MATCH(O$2,Inputs!$K$4:$AJ$4,0)))+SUMPRODUCT((Inputs!$E$5:$E$190=$B75)*Inputs!$F$5:$F$190*(((Inputs!$G$5:$G$190="moeda")+(Inputs!$G$5:$G$190="acoes"))*Inputs!$B$1+((Inputs!$G$5:$G$190&lt;&gt;"moeda")*(Inputs!$G$5:$G$190&lt;&gt;"acoes")))*INDEX(Inputs!$K$5:$AJ$190,0,MATCH(O$2,Inputs!$K$4:$AJ$4,0)))))</f>
        <v>45279</v>
      </c>
      <c r="P75" s="266">
        <f>IF(ISNA(MATCH(P$2,Inputs!$K$4:$AJ$4,0)),NA(),IF(SUMPRODUCT((Inputs!$A$5:$A$190=$B75)*ISNUMBER(INDEX(Inputs!$K$5:$AJ$190,0,MATCH(P$2,Inputs!$K$4:$AJ$4,0))))+SUMPRODUCT((Inputs!$C$5:$C$190=$B75)*ISNUMBER(INDEX(Inputs!$K$5:$AJ$190,0,MATCH(P$2,Inputs!$K$4:$AJ$4,0))))+SUMPRODUCT((Inputs!$E$5:$E$190=$B75)*ISNUMBER(INDEX(Inputs!$K$5:$AJ$190,0,MATCH(P$2,Inputs!$K$4:$AJ$4,0))))=0,NA(),SUMPRODUCT((Inputs!$A$5:$A$190=$B75)*Inputs!$B$5:$B$190*(((Inputs!$G$5:$G$190="moeda")+(Inputs!$G$5:$G$190="acoes"))*Inputs!$B$1+((Inputs!$G$5:$G$190&lt;&gt;"moeda")*(Inputs!$G$5:$G$190&lt;&gt;"acoes")))*INDEX(Inputs!$K$5:$AJ$190,0,MATCH(P$2,Inputs!$K$4:$AJ$4,0)))+SUMPRODUCT((Inputs!$C$5:$C$190=$B75)*Inputs!$D$5:$D$190*(((Inputs!$G$5:$G$190="moeda")+(Inputs!$G$5:$G$190="acoes"))*Inputs!$B$1+((Inputs!$G$5:$G$190&lt;&gt;"moeda")*(Inputs!$G$5:$G$190&lt;&gt;"acoes")))*INDEX(Inputs!$K$5:$AJ$190,0,MATCH(P$2,Inputs!$K$4:$AJ$4,0)))+SUMPRODUCT((Inputs!$E$5:$E$190=$B75)*Inputs!$F$5:$F$190*(((Inputs!$G$5:$G$190="moeda")+(Inputs!$G$5:$G$190="acoes"))*Inputs!$B$1+((Inputs!$G$5:$G$190&lt;&gt;"moeda")*(Inputs!$G$5:$G$190&lt;&gt;"acoes")))*INDEX(Inputs!$K$5:$AJ$190,0,MATCH(P$2,Inputs!$K$4:$AJ$4,0)))))</f>
        <v>45161</v>
      </c>
      <c r="Q75" s="266">
        <f>IF(ISNA(MATCH(Q$2,Inputs!$K$4:$AJ$4,0)),NA(),IF(SUMPRODUCT((Inputs!$A$5:$A$190=$B75)*ISNUMBER(INDEX(Inputs!$K$5:$AJ$190,0,MATCH(Q$2,Inputs!$K$4:$AJ$4,0))))+SUMPRODUCT((Inputs!$C$5:$C$190=$B75)*ISNUMBER(INDEX(Inputs!$K$5:$AJ$190,0,MATCH(Q$2,Inputs!$K$4:$AJ$4,0))))+SUMPRODUCT((Inputs!$E$5:$E$190=$B75)*ISNUMBER(INDEX(Inputs!$K$5:$AJ$190,0,MATCH(Q$2,Inputs!$K$4:$AJ$4,0))))=0,NA(),SUMPRODUCT((Inputs!$A$5:$A$190=$B75)*Inputs!$B$5:$B$190*(((Inputs!$G$5:$G$190="moeda")+(Inputs!$G$5:$G$190="acoes"))*Inputs!$B$1+((Inputs!$G$5:$G$190&lt;&gt;"moeda")*(Inputs!$G$5:$G$190&lt;&gt;"acoes")))*INDEX(Inputs!$K$5:$AJ$190,0,MATCH(Q$2,Inputs!$K$4:$AJ$4,0)))+SUMPRODUCT((Inputs!$C$5:$C$190=$B75)*Inputs!$D$5:$D$190*(((Inputs!$G$5:$G$190="moeda")+(Inputs!$G$5:$G$190="acoes"))*Inputs!$B$1+((Inputs!$G$5:$G$190&lt;&gt;"moeda")*(Inputs!$G$5:$G$190&lt;&gt;"acoes")))*INDEX(Inputs!$K$5:$AJ$190,0,MATCH(Q$2,Inputs!$K$4:$AJ$4,0)))+SUMPRODUCT((Inputs!$E$5:$E$190=$B75)*Inputs!$F$5:$F$190*(((Inputs!$G$5:$G$190="moeda")+(Inputs!$G$5:$G$190="acoes"))*Inputs!$B$1+((Inputs!$G$5:$G$190&lt;&gt;"moeda")*(Inputs!$G$5:$G$190&lt;&gt;"acoes")))*INDEX(Inputs!$K$5:$AJ$190,0,MATCH(Q$2,Inputs!$K$4:$AJ$4,0)))))</f>
        <v>45727</v>
      </c>
      <c r="R75" s="267">
        <f>Q75</f>
        <v>45727</v>
      </c>
      <c r="S75" s="266">
        <f>IF(ISNA(MATCH(S$2,Inputs!$K$4:$AJ$4,0)),NA(),IF(SUMPRODUCT((Inputs!$A$5:$A$190=$B75)*ISNUMBER(INDEX(Inputs!$K$5:$AJ$190,0,MATCH(S$2,Inputs!$K$4:$AJ$4,0))))+SUMPRODUCT((Inputs!$C$5:$C$190=$B75)*ISNUMBER(INDEX(Inputs!$K$5:$AJ$190,0,MATCH(S$2,Inputs!$K$4:$AJ$4,0))))+SUMPRODUCT((Inputs!$E$5:$E$190=$B75)*ISNUMBER(INDEX(Inputs!$K$5:$AJ$190,0,MATCH(S$2,Inputs!$K$4:$AJ$4,0))))=0,NA(),SUMPRODUCT((Inputs!$A$5:$A$190=$B75)*Inputs!$B$5:$B$190*(((Inputs!$G$5:$G$190="moeda")+(Inputs!$G$5:$G$190="acoes"))*Inputs!$B$1+((Inputs!$G$5:$G$190&lt;&gt;"moeda")*(Inputs!$G$5:$G$190&lt;&gt;"acoes")))*INDEX(Inputs!$K$5:$AJ$190,0,MATCH(S$2,Inputs!$K$4:$AJ$4,0)))+SUMPRODUCT((Inputs!$C$5:$C$190=$B75)*Inputs!$D$5:$D$190*(((Inputs!$G$5:$G$190="moeda")+(Inputs!$G$5:$G$190="acoes"))*Inputs!$B$1+((Inputs!$G$5:$G$190&lt;&gt;"moeda")*(Inputs!$G$5:$G$190&lt;&gt;"acoes")))*INDEX(Inputs!$K$5:$AJ$190,0,MATCH(S$2,Inputs!$K$4:$AJ$4,0)))+SUMPRODUCT((Inputs!$E$5:$E$190=$B75)*Inputs!$F$5:$F$190*(((Inputs!$G$5:$G$190="moeda")+(Inputs!$G$5:$G$190="acoes"))*Inputs!$B$1+((Inputs!$G$5:$G$190&lt;&gt;"moeda")*(Inputs!$G$5:$G$190&lt;&gt;"acoes")))*INDEX(Inputs!$K$5:$AJ$190,0,MATCH(S$2,Inputs!$K$4:$AJ$4,0)))))</f>
        <v>49515</v>
      </c>
      <c r="T75" s="266">
        <f>IF(ISNA(MATCH(T$2,Inputs!$K$4:$AJ$4,0)),NA(),IF(SUMPRODUCT((Inputs!$A$5:$A$190=$B75)*ISNUMBER(INDEX(Inputs!$K$5:$AJ$190,0,MATCH(T$2,Inputs!$K$4:$AJ$4,0))))+SUMPRODUCT((Inputs!$C$5:$C$190=$B75)*ISNUMBER(INDEX(Inputs!$K$5:$AJ$190,0,MATCH(T$2,Inputs!$K$4:$AJ$4,0))))+SUMPRODUCT((Inputs!$E$5:$E$190=$B75)*ISNUMBER(INDEX(Inputs!$K$5:$AJ$190,0,MATCH(T$2,Inputs!$K$4:$AJ$4,0))))=0,NA(),SUMPRODUCT((Inputs!$A$5:$A$190=$B75)*Inputs!$B$5:$B$190*(((Inputs!$G$5:$G$190="moeda")+(Inputs!$G$5:$G$190="acoes"))*Inputs!$B$1+((Inputs!$G$5:$G$190&lt;&gt;"moeda")*(Inputs!$G$5:$G$190&lt;&gt;"acoes")))*INDEX(Inputs!$K$5:$AJ$190,0,MATCH(T$2,Inputs!$K$4:$AJ$4,0)))+SUMPRODUCT((Inputs!$C$5:$C$190=$B75)*Inputs!$D$5:$D$190*(((Inputs!$G$5:$G$190="moeda")+(Inputs!$G$5:$G$190="acoes"))*Inputs!$B$1+((Inputs!$G$5:$G$190&lt;&gt;"moeda")*(Inputs!$G$5:$G$190&lt;&gt;"acoes")))*INDEX(Inputs!$K$5:$AJ$190,0,MATCH(T$2,Inputs!$K$4:$AJ$4,0)))+SUMPRODUCT((Inputs!$E$5:$E$190=$B75)*Inputs!$F$5:$F$190*(((Inputs!$G$5:$G$190="moeda")+(Inputs!$G$5:$G$190="acoes"))*Inputs!$B$1+((Inputs!$G$5:$G$190&lt;&gt;"moeda")*(Inputs!$G$5:$G$190&lt;&gt;"acoes")))*INDEX(Inputs!$K$5:$AJ$190,0,MATCH(T$2,Inputs!$K$4:$AJ$4,0)))))</f>
        <v>50384</v>
      </c>
      <c r="U75" s="266">
        <f>IF(ISNA(MATCH(U$2,Inputs!$K$4:$AJ$4,0)),NA(),IF(SUMPRODUCT((Inputs!$A$5:$A$190=$B75)*ISNUMBER(INDEX(Inputs!$K$5:$AJ$190,0,MATCH(U$2,Inputs!$K$4:$AJ$4,0))))+SUMPRODUCT((Inputs!$C$5:$C$190=$B75)*ISNUMBER(INDEX(Inputs!$K$5:$AJ$190,0,MATCH(U$2,Inputs!$K$4:$AJ$4,0))))+SUMPRODUCT((Inputs!$E$5:$E$190=$B75)*ISNUMBER(INDEX(Inputs!$K$5:$AJ$190,0,MATCH(U$2,Inputs!$K$4:$AJ$4,0))))=0,NA(),SUMPRODUCT((Inputs!$A$5:$A$190=$B75)*Inputs!$B$5:$B$190*(((Inputs!$G$5:$G$190="moeda")+(Inputs!$G$5:$G$190="acoes"))*Inputs!$B$1+((Inputs!$G$5:$G$190&lt;&gt;"moeda")*(Inputs!$G$5:$G$190&lt;&gt;"acoes")))*INDEX(Inputs!$K$5:$AJ$190,0,MATCH(U$2,Inputs!$K$4:$AJ$4,0)))+SUMPRODUCT((Inputs!$C$5:$C$190=$B75)*Inputs!$D$5:$D$190*(((Inputs!$G$5:$G$190="moeda")+(Inputs!$G$5:$G$190="acoes"))*Inputs!$B$1+((Inputs!$G$5:$G$190&lt;&gt;"moeda")*(Inputs!$G$5:$G$190&lt;&gt;"acoes")))*INDEX(Inputs!$K$5:$AJ$190,0,MATCH(U$2,Inputs!$K$4:$AJ$4,0)))+SUMPRODUCT((Inputs!$E$5:$E$190=$B75)*Inputs!$F$5:$F$190*(((Inputs!$G$5:$G$190="moeda")+(Inputs!$G$5:$G$190="acoes"))*Inputs!$B$1+((Inputs!$G$5:$G$190&lt;&gt;"moeda")*(Inputs!$G$5:$G$190&lt;&gt;"acoes")))*INDEX(Inputs!$K$5:$AJ$190,0,MATCH(U$2,Inputs!$K$4:$AJ$4,0)))))</f>
        <v>51090</v>
      </c>
      <c r="V75" s="266">
        <f>IF(ISNA(MATCH(V$2,Inputs!$K$4:$AJ$4,0)),NA(),IF(SUMPRODUCT((Inputs!$A$5:$A$190=$B75)*ISNUMBER(INDEX(Inputs!$K$5:$AJ$190,0,MATCH(V$2,Inputs!$K$4:$AJ$4,0))))+SUMPRODUCT((Inputs!$C$5:$C$190=$B75)*ISNUMBER(INDEX(Inputs!$K$5:$AJ$190,0,MATCH(V$2,Inputs!$K$4:$AJ$4,0))))+SUMPRODUCT((Inputs!$E$5:$E$190=$B75)*ISNUMBER(INDEX(Inputs!$K$5:$AJ$190,0,MATCH(V$2,Inputs!$K$4:$AJ$4,0))))=0,NA(),SUMPRODUCT((Inputs!$A$5:$A$190=$B75)*Inputs!$B$5:$B$190*(((Inputs!$G$5:$G$190="moeda")+(Inputs!$G$5:$G$190="acoes"))*Inputs!$B$1+((Inputs!$G$5:$G$190&lt;&gt;"moeda")*(Inputs!$G$5:$G$190&lt;&gt;"acoes")))*INDEX(Inputs!$K$5:$AJ$190,0,MATCH(V$2,Inputs!$K$4:$AJ$4,0)))+SUMPRODUCT((Inputs!$C$5:$C$190=$B75)*Inputs!$D$5:$D$190*(((Inputs!$G$5:$G$190="moeda")+(Inputs!$G$5:$G$190="acoes"))*Inputs!$B$1+((Inputs!$G$5:$G$190&lt;&gt;"moeda")*(Inputs!$G$5:$G$190&lt;&gt;"acoes")))*INDEX(Inputs!$K$5:$AJ$190,0,MATCH(V$2,Inputs!$K$4:$AJ$4,0)))+SUMPRODUCT((Inputs!$E$5:$E$190=$B75)*Inputs!$F$5:$F$190*(((Inputs!$G$5:$G$190="moeda")+(Inputs!$G$5:$G$190="acoes"))*Inputs!$B$1+((Inputs!$G$5:$G$190&lt;&gt;"moeda")*(Inputs!$G$5:$G$190&lt;&gt;"acoes")))*INDEX(Inputs!$K$5:$AJ$190,0,MATCH(V$2,Inputs!$K$4:$AJ$4,0)))))</f>
        <v>51604</v>
      </c>
      <c r="W75" s="267">
        <f>V75</f>
        <v>51604</v>
      </c>
      <c r="X75" s="266">
        <f>IF(ISNA(MATCH(X$2,Inputs!$K$4:$AJ$4,0)),NA(),IF(SUMPRODUCT((Inputs!$A$5:$A$190=$B75)*ISNUMBER(INDEX(Inputs!$K$5:$AJ$190,0,MATCH(X$2,Inputs!$K$4:$AJ$4,0))))+SUMPRODUCT((Inputs!$C$5:$C$190=$B75)*ISNUMBER(INDEX(Inputs!$K$5:$AJ$190,0,MATCH(X$2,Inputs!$K$4:$AJ$4,0))))+SUMPRODUCT((Inputs!$E$5:$E$190=$B75)*ISNUMBER(INDEX(Inputs!$K$5:$AJ$190,0,MATCH(X$2,Inputs!$K$4:$AJ$4,0))))=0,NA(),SUMPRODUCT((Inputs!$A$5:$A$190=$B75)*Inputs!$B$5:$B$190*(((Inputs!$G$5:$G$190="moeda")+(Inputs!$G$5:$G$190="acoes"))*Inputs!$B$1+((Inputs!$G$5:$G$190&lt;&gt;"moeda")*(Inputs!$G$5:$G$190&lt;&gt;"acoes")))*INDEX(Inputs!$K$5:$AJ$190,0,MATCH(X$2,Inputs!$K$4:$AJ$4,0)))+SUMPRODUCT((Inputs!$C$5:$C$190=$B75)*Inputs!$D$5:$D$190*(((Inputs!$G$5:$G$190="moeda")+(Inputs!$G$5:$G$190="acoes"))*Inputs!$B$1+((Inputs!$G$5:$G$190&lt;&gt;"moeda")*(Inputs!$G$5:$G$190&lt;&gt;"acoes")))*INDEX(Inputs!$K$5:$AJ$190,0,MATCH(X$2,Inputs!$K$4:$AJ$4,0)))+SUMPRODUCT((Inputs!$E$5:$E$190=$B75)*Inputs!$F$5:$F$190*(((Inputs!$G$5:$G$190="moeda")+(Inputs!$G$5:$G$190="acoes"))*Inputs!$B$1+((Inputs!$G$5:$G$190&lt;&gt;"moeda")*(Inputs!$G$5:$G$190&lt;&gt;"acoes")))*INDEX(Inputs!$K$5:$AJ$190,0,MATCH(X$2,Inputs!$K$4:$AJ$4,0)))))</f>
        <v>52593</v>
      </c>
      <c r="Y75" s="266">
        <f>IF(ISNA(MATCH(Y$2,Inputs!$K$4:$AJ$4,0)),NA(),IF(SUMPRODUCT((Inputs!$A$5:$A$190=$B75)*ISNUMBER(INDEX(Inputs!$K$5:$AJ$190,0,MATCH(Y$2,Inputs!$K$4:$AJ$4,0))))+SUMPRODUCT((Inputs!$C$5:$C$190=$B75)*ISNUMBER(INDEX(Inputs!$K$5:$AJ$190,0,MATCH(Y$2,Inputs!$K$4:$AJ$4,0))))+SUMPRODUCT((Inputs!$E$5:$E$190=$B75)*ISNUMBER(INDEX(Inputs!$K$5:$AJ$190,0,MATCH(Y$2,Inputs!$K$4:$AJ$4,0))))=0,NA(),SUMPRODUCT((Inputs!$A$5:$A$190=$B75)*Inputs!$B$5:$B$190*(((Inputs!$G$5:$G$190="moeda")+(Inputs!$G$5:$G$190="acoes"))*Inputs!$B$1+((Inputs!$G$5:$G$190&lt;&gt;"moeda")*(Inputs!$G$5:$G$190&lt;&gt;"acoes")))*INDEX(Inputs!$K$5:$AJ$190,0,MATCH(Y$2,Inputs!$K$4:$AJ$4,0)))+SUMPRODUCT((Inputs!$C$5:$C$190=$B75)*Inputs!$D$5:$D$190*(((Inputs!$G$5:$G$190="moeda")+(Inputs!$G$5:$G$190="acoes"))*Inputs!$B$1+((Inputs!$G$5:$G$190&lt;&gt;"moeda")*(Inputs!$G$5:$G$190&lt;&gt;"acoes")))*INDEX(Inputs!$K$5:$AJ$190,0,MATCH(Y$2,Inputs!$K$4:$AJ$4,0)))+SUMPRODUCT((Inputs!$E$5:$E$190=$B75)*Inputs!$F$5:$F$190*(((Inputs!$G$5:$G$190="moeda")+(Inputs!$G$5:$G$190="acoes"))*Inputs!$B$1+((Inputs!$G$5:$G$190&lt;&gt;"moeda")*(Inputs!$G$5:$G$190&lt;&gt;"acoes")))*INDEX(Inputs!$K$5:$AJ$190,0,MATCH(Y$2,Inputs!$K$4:$AJ$4,0)))))</f>
        <v>52544</v>
      </c>
      <c r="Z75" s="266">
        <f>IF(ISNA(MATCH(Z$2,Inputs!$K$4:$AJ$4,0)),NA(),IF(SUMPRODUCT((Inputs!$A$5:$A$190=$B75)*ISNUMBER(INDEX(Inputs!$K$5:$AJ$190,0,MATCH(Z$2,Inputs!$K$4:$AJ$4,0))))+SUMPRODUCT((Inputs!$C$5:$C$190=$B75)*ISNUMBER(INDEX(Inputs!$K$5:$AJ$190,0,MATCH(Z$2,Inputs!$K$4:$AJ$4,0))))+SUMPRODUCT((Inputs!$E$5:$E$190=$B75)*ISNUMBER(INDEX(Inputs!$K$5:$AJ$190,0,MATCH(Z$2,Inputs!$K$4:$AJ$4,0))))=0,NA(),SUMPRODUCT((Inputs!$A$5:$A$190=$B75)*Inputs!$B$5:$B$190*(((Inputs!$G$5:$G$190="moeda")+(Inputs!$G$5:$G$190="acoes"))*Inputs!$B$1+((Inputs!$G$5:$G$190&lt;&gt;"moeda")*(Inputs!$G$5:$G$190&lt;&gt;"acoes")))*INDEX(Inputs!$K$5:$AJ$190,0,MATCH(Z$2,Inputs!$K$4:$AJ$4,0)))+SUMPRODUCT((Inputs!$C$5:$C$190=$B75)*Inputs!$D$5:$D$190*(((Inputs!$G$5:$G$190="moeda")+(Inputs!$G$5:$G$190="acoes"))*Inputs!$B$1+((Inputs!$G$5:$G$190&lt;&gt;"moeda")*(Inputs!$G$5:$G$190&lt;&gt;"acoes")))*INDEX(Inputs!$K$5:$AJ$190,0,MATCH(Z$2,Inputs!$K$4:$AJ$4,0)))+SUMPRODUCT((Inputs!$E$5:$E$190=$B75)*Inputs!$F$5:$F$190*(((Inputs!$G$5:$G$190="moeda")+(Inputs!$G$5:$G$190="acoes"))*Inputs!$B$1+((Inputs!$G$5:$G$190&lt;&gt;"moeda")*(Inputs!$G$5:$G$190&lt;&gt;"acoes")))*INDEX(Inputs!$K$5:$AJ$190,0,MATCH(Z$2,Inputs!$K$4:$AJ$4,0)))))</f>
        <v>52047</v>
      </c>
      <c r="AA75" s="266">
        <f>IF(ISNA(MATCH(AA$2,Inputs!$K$4:$AJ$4,0)),NA(),IF(SUMPRODUCT((Inputs!$A$5:$A$190=$B75)*ISNUMBER(INDEX(Inputs!$K$5:$AJ$190,0,MATCH(AA$2,Inputs!$K$4:$AJ$4,0))))+SUMPRODUCT((Inputs!$C$5:$C$190=$B75)*ISNUMBER(INDEX(Inputs!$K$5:$AJ$190,0,MATCH(AA$2,Inputs!$K$4:$AJ$4,0))))+SUMPRODUCT((Inputs!$E$5:$E$190=$B75)*ISNUMBER(INDEX(Inputs!$K$5:$AJ$190,0,MATCH(AA$2,Inputs!$K$4:$AJ$4,0))))=0,NA(),SUMPRODUCT((Inputs!$A$5:$A$190=$B75)*Inputs!$B$5:$B$190*(((Inputs!$G$5:$G$190="moeda")+(Inputs!$G$5:$G$190="acoes"))*Inputs!$B$1+((Inputs!$G$5:$G$190&lt;&gt;"moeda")*(Inputs!$G$5:$G$190&lt;&gt;"acoes")))*INDEX(Inputs!$K$5:$AJ$190,0,MATCH(AA$2,Inputs!$K$4:$AJ$4,0)))+SUMPRODUCT((Inputs!$C$5:$C$190=$B75)*Inputs!$D$5:$D$190*(((Inputs!$G$5:$G$190="moeda")+(Inputs!$G$5:$G$190="acoes"))*Inputs!$B$1+((Inputs!$G$5:$G$190&lt;&gt;"moeda")*(Inputs!$G$5:$G$190&lt;&gt;"acoes")))*INDEX(Inputs!$K$5:$AJ$190,0,MATCH(AA$2,Inputs!$K$4:$AJ$4,0)))+SUMPRODUCT((Inputs!$E$5:$E$190=$B75)*Inputs!$F$5:$F$190*(((Inputs!$G$5:$G$190="moeda")+(Inputs!$G$5:$G$190="acoes"))*Inputs!$B$1+((Inputs!$G$5:$G$190&lt;&gt;"moeda")*(Inputs!$G$5:$G$190&lt;&gt;"acoes")))*INDEX(Inputs!$K$5:$AJ$190,0,MATCH(AA$2,Inputs!$K$4:$AJ$4,0)))))</f>
        <v>51953</v>
      </c>
      <c r="AB75" s="267">
        <f>AA75</f>
        <v>51953</v>
      </c>
      <c r="AC75" s="266">
        <f>IF(ISNA(MATCH(AC$2,Inputs!$K$4:$AJ$4,0)),NA(),IF(SUMPRODUCT((Inputs!$A$5:$A$190=$B75)*ISNUMBER(INDEX(Inputs!$K$5:$AJ$190,0,MATCH(AC$2,Inputs!$K$4:$AJ$4,0))))+SUMPRODUCT((Inputs!$C$5:$C$190=$B75)*ISNUMBER(INDEX(Inputs!$K$5:$AJ$190,0,MATCH(AC$2,Inputs!$K$4:$AJ$4,0))))+SUMPRODUCT((Inputs!$E$5:$E$190=$B75)*ISNUMBER(INDEX(Inputs!$K$5:$AJ$190,0,MATCH(AC$2,Inputs!$K$4:$AJ$4,0))))=0,NA(),SUMPRODUCT((Inputs!$A$5:$A$190=$B75)*Inputs!$B$5:$B$190*(((Inputs!$G$5:$G$190="moeda")+(Inputs!$G$5:$G$190="acoes"))*Inputs!$B$1+((Inputs!$G$5:$G$190&lt;&gt;"moeda")*(Inputs!$G$5:$G$190&lt;&gt;"acoes")))*INDEX(Inputs!$K$5:$AJ$190,0,MATCH(AC$2,Inputs!$K$4:$AJ$4,0)))+SUMPRODUCT((Inputs!$C$5:$C$190=$B75)*Inputs!$D$5:$D$190*(((Inputs!$G$5:$G$190="moeda")+(Inputs!$G$5:$G$190="acoes"))*Inputs!$B$1+((Inputs!$G$5:$G$190&lt;&gt;"moeda")*(Inputs!$G$5:$G$190&lt;&gt;"acoes")))*INDEX(Inputs!$K$5:$AJ$190,0,MATCH(AC$2,Inputs!$K$4:$AJ$4,0)))+SUMPRODUCT((Inputs!$E$5:$E$190=$B75)*Inputs!$F$5:$F$190*(((Inputs!$G$5:$G$190="moeda")+(Inputs!$G$5:$G$190="acoes"))*Inputs!$B$1+((Inputs!$G$5:$G$190&lt;&gt;"moeda")*(Inputs!$G$5:$G$190&lt;&gt;"acoes")))*INDEX(Inputs!$K$5:$AJ$190,0,MATCH(AC$2,Inputs!$K$4:$AJ$4,0)))))</f>
        <v>50980</v>
      </c>
      <c r="AD75" s="266">
        <f>IF(ISNA(MATCH(AD$2,Inputs!$K$4:$AJ$4,0)),NA(),IF(SUMPRODUCT((Inputs!$A$5:$A$190=$B75)*ISNUMBER(INDEX(Inputs!$K$5:$AJ$190,0,MATCH(AD$2,Inputs!$K$4:$AJ$4,0))))+SUMPRODUCT((Inputs!$C$5:$C$190=$B75)*ISNUMBER(INDEX(Inputs!$K$5:$AJ$190,0,MATCH(AD$2,Inputs!$K$4:$AJ$4,0))))+SUMPRODUCT((Inputs!$E$5:$E$190=$B75)*ISNUMBER(INDEX(Inputs!$K$5:$AJ$190,0,MATCH(AD$2,Inputs!$K$4:$AJ$4,0))))=0,NA(),SUMPRODUCT((Inputs!$A$5:$A$190=$B75)*Inputs!$B$5:$B$190*(((Inputs!$G$5:$G$190="moeda")+(Inputs!$G$5:$G$190="acoes"))*Inputs!$B$1+((Inputs!$G$5:$G$190&lt;&gt;"moeda")*(Inputs!$G$5:$G$190&lt;&gt;"acoes")))*INDEX(Inputs!$K$5:$AJ$190,0,MATCH(AD$2,Inputs!$K$4:$AJ$4,0)))+SUMPRODUCT((Inputs!$C$5:$C$190=$B75)*Inputs!$D$5:$D$190*(((Inputs!$G$5:$G$190="moeda")+(Inputs!$G$5:$G$190="acoes"))*Inputs!$B$1+((Inputs!$G$5:$G$190&lt;&gt;"moeda")*(Inputs!$G$5:$G$190&lt;&gt;"acoes")))*INDEX(Inputs!$K$5:$AJ$190,0,MATCH(AD$2,Inputs!$K$4:$AJ$4,0)))+SUMPRODUCT((Inputs!$E$5:$E$190=$B75)*Inputs!$F$5:$F$190*(((Inputs!$G$5:$G$190="moeda")+(Inputs!$G$5:$G$190="acoes"))*Inputs!$B$1+((Inputs!$G$5:$G$190&lt;&gt;"moeda")*(Inputs!$G$5:$G$190&lt;&gt;"acoes")))*INDEX(Inputs!$K$5:$AJ$190,0,MATCH(AD$2,Inputs!$K$4:$AJ$4,0)))))</f>
        <v>51256</v>
      </c>
      <c r="AE75" s="266" t="e">
        <f>IF(ISNA(MATCH(AE$2,Inputs!$K$4:$AJ$4,0)),NA(),IF(SUMPRODUCT((Inputs!$A$5:$A$190=$B75)*ISNUMBER(INDEX(Inputs!$K$5:$AJ$190,0,MATCH(AE$2,Inputs!$K$4:$AJ$4,0))))+SUMPRODUCT((Inputs!$C$5:$C$190=$B75)*ISNUMBER(INDEX(Inputs!$K$5:$AJ$190,0,MATCH(AE$2,Inputs!$K$4:$AJ$4,0))))+SUMPRODUCT((Inputs!$E$5:$E$190=$B75)*ISNUMBER(INDEX(Inputs!$K$5:$AJ$190,0,MATCH(AE$2,Inputs!$K$4:$AJ$4,0))))=0,NA(),SUMPRODUCT((Inputs!$A$5:$A$190=$B75)*Inputs!$B$5:$B$190*(((Inputs!$G$5:$G$190="moeda")+(Inputs!$G$5:$G$190="acoes"))*Inputs!$B$1+((Inputs!$G$5:$G$190&lt;&gt;"moeda")*(Inputs!$G$5:$G$190&lt;&gt;"acoes")))*INDEX(Inputs!$K$5:$AJ$190,0,MATCH(AE$2,Inputs!$K$4:$AJ$4,0)))+SUMPRODUCT((Inputs!$C$5:$C$190=$B75)*Inputs!$D$5:$D$190*(((Inputs!$G$5:$G$190="moeda")+(Inputs!$G$5:$G$190="acoes"))*Inputs!$B$1+((Inputs!$G$5:$G$190&lt;&gt;"moeda")*(Inputs!$G$5:$G$190&lt;&gt;"acoes")))*INDEX(Inputs!$K$5:$AJ$190,0,MATCH(AE$2,Inputs!$K$4:$AJ$4,0)))+SUMPRODUCT((Inputs!$E$5:$E$190=$B75)*Inputs!$F$5:$F$190*(((Inputs!$G$5:$G$190="moeda")+(Inputs!$G$5:$G$190="acoes"))*Inputs!$B$1+((Inputs!$G$5:$G$190&lt;&gt;"moeda")*(Inputs!$G$5:$G$190&lt;&gt;"acoes")))*INDEX(Inputs!$K$5:$AJ$190,0,MATCH(AE$2,Inputs!$K$4:$AJ$4,0)))))</f>
        <v>#N/A</v>
      </c>
      <c r="AF75" s="266" t="e">
        <f>IF(ISNA(MATCH(AF$2,Inputs!$K$4:$AJ$4,0)),NA(),IF(SUMPRODUCT((Inputs!$A$5:$A$190=$B75)*ISNUMBER(INDEX(Inputs!$K$5:$AJ$190,0,MATCH(AF$2,Inputs!$K$4:$AJ$4,0))))+SUMPRODUCT((Inputs!$C$5:$C$190=$B75)*ISNUMBER(INDEX(Inputs!$K$5:$AJ$190,0,MATCH(AF$2,Inputs!$K$4:$AJ$4,0))))+SUMPRODUCT((Inputs!$E$5:$E$190=$B75)*ISNUMBER(INDEX(Inputs!$K$5:$AJ$190,0,MATCH(AF$2,Inputs!$K$4:$AJ$4,0))))=0,NA(),SUMPRODUCT((Inputs!$A$5:$A$190=$B75)*Inputs!$B$5:$B$190*(((Inputs!$G$5:$G$190="moeda")+(Inputs!$G$5:$G$190="acoes"))*Inputs!$B$1+((Inputs!$G$5:$G$190&lt;&gt;"moeda")*(Inputs!$G$5:$G$190&lt;&gt;"acoes")))*INDEX(Inputs!$K$5:$AJ$190,0,MATCH(AF$2,Inputs!$K$4:$AJ$4,0)))+SUMPRODUCT((Inputs!$C$5:$C$190=$B75)*Inputs!$D$5:$D$190*(((Inputs!$G$5:$G$190="moeda")+(Inputs!$G$5:$G$190="acoes"))*Inputs!$B$1+((Inputs!$G$5:$G$190&lt;&gt;"moeda")*(Inputs!$G$5:$G$190&lt;&gt;"acoes")))*INDEX(Inputs!$K$5:$AJ$190,0,MATCH(AF$2,Inputs!$K$4:$AJ$4,0)))+SUMPRODUCT((Inputs!$E$5:$E$190=$B75)*Inputs!$F$5:$F$190*(((Inputs!$G$5:$G$190="moeda")+(Inputs!$G$5:$G$190="acoes"))*Inputs!$B$1+((Inputs!$G$5:$G$190&lt;&gt;"moeda")*(Inputs!$G$5:$G$190&lt;&gt;"acoes")))*INDEX(Inputs!$K$5:$AJ$190,0,MATCH(AF$2,Inputs!$K$4:$AJ$4,0)))))</f>
        <v>#N/A</v>
      </c>
      <c r="AG75" s="267" t="e">
        <f>AF75</f>
        <v>#N/A</v>
      </c>
      <c r="AH75" s="266">
        <f>IF(ISNA(MATCH(AH$2,Inputs!$K$4:$AJ$4,0)),NA(),IF(SUMPRODUCT((Inputs!$A$5:$A$190=$B75)*ISNUMBER(INDEX(Inputs!$K$5:$AJ$190,0,MATCH(AH$2,Inputs!$K$4:$AJ$4,0))))+SUMPRODUCT((Inputs!$C$5:$C$190=$B75)*ISNUMBER(INDEX(Inputs!$K$5:$AJ$190,0,MATCH(AH$2,Inputs!$K$4:$AJ$4,0))))+SUMPRODUCT((Inputs!$E$5:$E$190=$B75)*ISNUMBER(INDEX(Inputs!$K$5:$AJ$190,0,MATCH(AH$2,Inputs!$K$4:$AJ$4,0))))=0,NA(),SUMPRODUCT((Inputs!$A$5:$A$190=$B75)*Inputs!$B$5:$B$190*(((Inputs!$G$5:$G$190="moeda")+(Inputs!$G$5:$G$190="acoes"))*Inputs!$B$1+((Inputs!$G$5:$G$190&lt;&gt;"moeda")*(Inputs!$G$5:$G$190&lt;&gt;"acoes")))*INDEX(Inputs!$K$5:$AJ$190,0,MATCH(AH$2,Inputs!$K$4:$AJ$4,0)))+SUMPRODUCT((Inputs!$C$5:$C$190=$B75)*Inputs!$D$5:$D$190*(((Inputs!$G$5:$G$190="moeda")+(Inputs!$G$5:$G$190="acoes"))*Inputs!$B$1+((Inputs!$G$5:$G$190&lt;&gt;"moeda")*(Inputs!$G$5:$G$190&lt;&gt;"acoes")))*INDEX(Inputs!$K$5:$AJ$190,0,MATCH(AH$2,Inputs!$K$4:$AJ$4,0)))+SUMPRODUCT((Inputs!$E$5:$E$190=$B75)*Inputs!$F$5:$F$190*(((Inputs!$G$5:$G$190="moeda")+(Inputs!$G$5:$G$190="acoes"))*Inputs!$B$1+((Inputs!$G$5:$G$190&lt;&gt;"moeda")*(Inputs!$G$5:$G$190&lt;&gt;"acoes")))*INDEX(Inputs!$K$5:$AJ$190,0,MATCH(AH$2,Inputs!$K$4:$AJ$4,0)))))</f>
        <v>13529</v>
      </c>
      <c r="AI75" s="266">
        <f>IF(ISNA(MATCH(AI$2,Inputs!$K$4:$AJ$4,0)),NA(),IF(SUMPRODUCT((Inputs!$A$5:$A$190=$B75)*ISNUMBER(INDEX(Inputs!$K$5:$AJ$190,0,MATCH(AI$2,Inputs!$K$4:$AJ$4,0))))+SUMPRODUCT((Inputs!$C$5:$C$190=$B75)*ISNUMBER(INDEX(Inputs!$K$5:$AJ$190,0,MATCH(AI$2,Inputs!$K$4:$AJ$4,0))))+SUMPRODUCT((Inputs!$E$5:$E$190=$B75)*ISNUMBER(INDEX(Inputs!$K$5:$AJ$190,0,MATCH(AI$2,Inputs!$K$4:$AJ$4,0))))=0,NA(),SUMPRODUCT((Inputs!$A$5:$A$190=$B75)*Inputs!$B$5:$B$190*(((Inputs!$G$5:$G$190="moeda")+(Inputs!$G$5:$G$190="acoes"))*Inputs!$B$1+((Inputs!$G$5:$G$190&lt;&gt;"moeda")*(Inputs!$G$5:$G$190&lt;&gt;"acoes")))*INDEX(Inputs!$K$5:$AJ$190,0,MATCH(AI$2,Inputs!$K$4:$AJ$4,0)))+SUMPRODUCT((Inputs!$C$5:$C$190=$B75)*Inputs!$D$5:$D$190*(((Inputs!$G$5:$G$190="moeda")+(Inputs!$G$5:$G$190="acoes"))*Inputs!$B$1+((Inputs!$G$5:$G$190&lt;&gt;"moeda")*(Inputs!$G$5:$G$190&lt;&gt;"acoes")))*INDEX(Inputs!$K$5:$AJ$190,0,MATCH(AI$2,Inputs!$K$4:$AJ$4,0)))+SUMPRODUCT((Inputs!$E$5:$E$190=$B75)*Inputs!$F$5:$F$190*(((Inputs!$G$5:$G$190="moeda")+(Inputs!$G$5:$G$190="acoes"))*Inputs!$B$1+((Inputs!$G$5:$G$190&lt;&gt;"moeda")*(Inputs!$G$5:$G$190&lt;&gt;"acoes")))*INDEX(Inputs!$K$5:$AJ$190,0,MATCH(AI$2,Inputs!$K$4:$AJ$4,0)))))</f>
        <v>13785</v>
      </c>
      <c r="AJ75" s="266">
        <f>IF(ISNA(MATCH(AJ$2,Inputs!$K$4:$AJ$4,0)),NA(),IF(SUMPRODUCT((Inputs!$A$5:$A$190=$B75)*ISNUMBER(INDEX(Inputs!$K$5:$AJ$190,0,MATCH(AJ$2,Inputs!$K$4:$AJ$4,0))))+SUMPRODUCT((Inputs!$C$5:$C$190=$B75)*ISNUMBER(INDEX(Inputs!$K$5:$AJ$190,0,MATCH(AJ$2,Inputs!$K$4:$AJ$4,0))))+SUMPRODUCT((Inputs!$E$5:$E$190=$B75)*ISNUMBER(INDEX(Inputs!$K$5:$AJ$190,0,MATCH(AJ$2,Inputs!$K$4:$AJ$4,0))))=0,NA(),SUMPRODUCT((Inputs!$A$5:$A$190=$B75)*Inputs!$B$5:$B$190*(((Inputs!$G$5:$G$190="moeda")+(Inputs!$G$5:$G$190="acoes"))*Inputs!$B$1+((Inputs!$G$5:$G$190&lt;&gt;"moeda")*(Inputs!$G$5:$G$190&lt;&gt;"acoes")))*INDEX(Inputs!$K$5:$AJ$190,0,MATCH(AJ$2,Inputs!$K$4:$AJ$4,0)))+SUMPRODUCT((Inputs!$C$5:$C$190=$B75)*Inputs!$D$5:$D$190*(((Inputs!$G$5:$G$190="moeda")+(Inputs!$G$5:$G$190="acoes"))*Inputs!$B$1+((Inputs!$G$5:$G$190&lt;&gt;"moeda")*(Inputs!$G$5:$G$190&lt;&gt;"acoes")))*INDEX(Inputs!$K$5:$AJ$190,0,MATCH(AJ$2,Inputs!$K$4:$AJ$4,0)))+SUMPRODUCT((Inputs!$E$5:$E$190=$B75)*Inputs!$F$5:$F$190*(((Inputs!$G$5:$G$190="moeda")+(Inputs!$G$5:$G$190="acoes"))*Inputs!$B$1+((Inputs!$G$5:$G$190&lt;&gt;"moeda")*(Inputs!$G$5:$G$190&lt;&gt;"acoes")))*INDEX(Inputs!$K$5:$AJ$190,0,MATCH(AJ$2,Inputs!$K$4:$AJ$4,0)))))</f>
        <v>14015</v>
      </c>
      <c r="AK75" s="266">
        <f>IF(ISNA(MATCH(AK$2,Inputs!$K$4:$AJ$4,0)),NA(),IF(SUMPRODUCT((Inputs!$A$5:$A$190=$B75)*ISNUMBER(INDEX(Inputs!$K$5:$AJ$190,0,MATCH(AK$2,Inputs!$K$4:$AJ$4,0))))+SUMPRODUCT((Inputs!$C$5:$C$190=$B75)*ISNUMBER(INDEX(Inputs!$K$5:$AJ$190,0,MATCH(AK$2,Inputs!$K$4:$AJ$4,0))))+SUMPRODUCT((Inputs!$E$5:$E$190=$B75)*ISNUMBER(INDEX(Inputs!$K$5:$AJ$190,0,MATCH(AK$2,Inputs!$K$4:$AJ$4,0))))=0,NA(),SUMPRODUCT((Inputs!$A$5:$A$190=$B75)*Inputs!$B$5:$B$190*(((Inputs!$G$5:$G$190="moeda")+(Inputs!$G$5:$G$190="acoes"))*Inputs!$B$1+((Inputs!$G$5:$G$190&lt;&gt;"moeda")*(Inputs!$G$5:$G$190&lt;&gt;"acoes")))*INDEX(Inputs!$K$5:$AJ$190,0,MATCH(AK$2,Inputs!$K$4:$AJ$4,0)))+SUMPRODUCT((Inputs!$C$5:$C$190=$B75)*Inputs!$D$5:$D$190*(((Inputs!$G$5:$G$190="moeda")+(Inputs!$G$5:$G$190="acoes"))*Inputs!$B$1+((Inputs!$G$5:$G$190&lt;&gt;"moeda")*(Inputs!$G$5:$G$190&lt;&gt;"acoes")))*INDEX(Inputs!$K$5:$AJ$190,0,MATCH(AK$2,Inputs!$K$4:$AJ$4,0)))+SUMPRODUCT((Inputs!$E$5:$E$190=$B75)*Inputs!$F$5:$F$190*(((Inputs!$G$5:$G$190="moeda")+(Inputs!$G$5:$G$190="acoes"))*Inputs!$B$1+((Inputs!$G$5:$G$190&lt;&gt;"moeda")*(Inputs!$G$5:$G$190&lt;&gt;"acoes")))*INDEX(Inputs!$K$5:$AJ$190,0,MATCH(AK$2,Inputs!$K$4:$AJ$4,0)))))</f>
        <v>15128</v>
      </c>
      <c r="AL75" s="267">
        <f>AK75</f>
        <v>15128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98"/>
  <sheetViews>
    <sheetView showGridLines="0" tabSelected="1" zoomScale="85" zoomScaleNormal="85" workbookViewId="0">
      <pane xSplit="3" ySplit="375" topLeftCell="D376" activePane="bottomRight" state="frozen"/>
      <selection pane="topRight" activeCell="A1" sqref="A1"/>
      <selection pane="bottomLeft" activeCell="A1" sqref="A1"/>
      <selection pane="bottomRight" activeCell="D1" sqref="D1"/>
      <selection pane="bottomLeft" activeCell="A10" sqref="A10"/>
      <selection pane="bottomRight" activeCell="D298" sqref="D298"/>
    </sheetView>
  </sheetViews>
  <sheetFormatPr baseColWidth="8" defaultRowHeight="12.75" outlineLevelRow="1"/>
  <cols>
    <col width="1.7109375" bestFit="1" customWidth="1" style="1" min="1" max="1"/>
    <col outlineLevel="1" width="7.85546875" customWidth="1" style="1" min="2" max="2"/>
    <col width="84.7109375" customWidth="1" style="4" min="3" max="3"/>
    <col outlineLevel="1" width="11.42578125" customWidth="1" style="4" min="4" max="7"/>
    <col width="11.42578125" bestFit="1" customWidth="1" style="4" min="8" max="8"/>
    <col outlineLevel="1" width="11.42578125" customWidth="1" style="4" min="9" max="12"/>
    <col width="11.42578125" bestFit="1" customWidth="1" style="4" min="13" max="13"/>
    <col outlineLevel="1" width="11.42578125" customWidth="1" style="4" min="14" max="17"/>
    <col width="11.42578125" bestFit="1" customWidth="1" style="4" min="18" max="18"/>
    <col outlineLevel="1" width="11.42578125" customWidth="1" style="4" min="19" max="22"/>
    <col width="11.42578125" bestFit="1" customWidth="1" style="4" min="23" max="23"/>
    <col outlineLevel="1" width="11.42578125" customWidth="1" style="4" min="24" max="24"/>
    <col outlineLevel="1" width="11.140625" customWidth="1" style="4" min="25" max="25"/>
    <col outlineLevel="1" width="11.42578125" customWidth="1" style="4" min="26" max="27"/>
    <col width="11.140625" bestFit="1" customWidth="1" style="4" min="28" max="28"/>
    <col outlineLevel="1" width="12.28515625" customWidth="1" style="4" min="29" max="29"/>
    <col outlineLevel="1" width="13.28515625" customWidth="1" style="4" min="30" max="30"/>
    <col outlineLevel="1" width="11" customWidth="1" style="4" min="31" max="31"/>
    <col outlineLevel="1" width="10.140625" customWidth="1" style="4" min="32" max="32"/>
    <col width="11" bestFit="1" customWidth="1" style="4" min="33" max="33"/>
    <col outlineLevel="1" width="10.140625" customWidth="1" style="4" min="34" max="34"/>
    <col outlineLevel="1" width="11.140625" customWidth="1" style="4" min="35" max="35"/>
    <col outlineLevel="1" width="10.140625" customWidth="1" style="4" min="36" max="37"/>
    <col width="10" bestFit="1" customWidth="1" style="4" min="38" max="38"/>
    <col outlineLevel="1" width="10.140625" customWidth="1" style="4" min="39" max="39"/>
    <col outlineLevel="1" width="11.140625" customWidth="1" style="4" min="40" max="40"/>
    <col outlineLevel="1" width="10.140625" customWidth="1" style="4" min="41" max="42"/>
    <col width="10" bestFit="1" customWidth="1" style="4" min="43" max="43"/>
    <col outlineLevel="1" width="10.140625" customWidth="1" style="4" min="44" max="44"/>
    <col outlineLevel="1" width="11.140625" customWidth="1" style="4" min="45" max="45"/>
    <col outlineLevel="1" width="10.140625" customWidth="1" style="4" min="46" max="47"/>
    <col width="10" bestFit="1" customWidth="1" style="4" min="48" max="48"/>
    <col outlineLevel="1" width="10.140625" customWidth="1" style="4" min="49" max="49"/>
    <col outlineLevel="1" width="11.140625" customWidth="1" style="4" min="50" max="50"/>
    <col outlineLevel="1" width="10.140625" customWidth="1" style="4" min="51" max="52"/>
    <col width="10" bestFit="1" customWidth="1" style="4" min="53" max="53"/>
    <col outlineLevel="1" width="10.140625" customWidth="1" style="4" min="54" max="54"/>
    <col outlineLevel="1" width="11.140625" customWidth="1" style="4" min="55" max="55"/>
    <col outlineLevel="1" width="10.140625" customWidth="1" style="4" min="56" max="57"/>
    <col width="10" bestFit="1" customWidth="1" style="4" min="58" max="58"/>
    <col outlineLevel="1" width="10.140625" customWidth="1" style="4" min="59" max="59"/>
    <col outlineLevel="1" width="11.140625" customWidth="1" style="4" min="60" max="60"/>
    <col outlineLevel="1" width="10.140625" customWidth="1" style="4" min="61" max="62"/>
    <col width="10" bestFit="1" customWidth="1" style="4" min="63" max="63"/>
    <col outlineLevel="1" width="10.140625" customWidth="1" style="4" min="64" max="64"/>
    <col outlineLevel="1" width="11.140625" customWidth="1" style="4" min="65" max="65"/>
    <col outlineLevel="1" width="10.140625" customWidth="1" style="4" min="66" max="67"/>
    <col width="10" bestFit="1" customWidth="1" style="4" min="68" max="68"/>
    <col outlineLevel="1" width="10.140625" customWidth="1" style="4" min="69" max="69"/>
    <col outlineLevel="1" width="11.140625" customWidth="1" style="4" min="70" max="70"/>
    <col outlineLevel="1" width="10.140625" customWidth="1" style="4" min="71" max="72"/>
    <col width="10" bestFit="1" customWidth="1" style="4" min="73" max="73"/>
    <col outlineLevel="1" width="10.140625" customWidth="1" style="4" min="74" max="74"/>
    <col outlineLevel="1" width="11.140625" customWidth="1" style="4" min="75" max="75"/>
    <col outlineLevel="1" width="10.140625" customWidth="1" style="4" min="76" max="77"/>
    <col width="10" bestFit="1" customWidth="1" style="4" min="78" max="78"/>
    <col outlineLevel="1" width="10.140625" customWidth="1" style="4" min="79" max="79"/>
    <col outlineLevel="1" width="11.140625" customWidth="1" style="4" min="80" max="80"/>
    <col outlineLevel="1" width="10.140625" customWidth="1" style="4" min="81" max="82"/>
    <col width="10" bestFit="1" customWidth="1" style="4" min="83" max="83"/>
    <col outlineLevel="1" width="10.140625" customWidth="1" style="4" min="84" max="84"/>
    <col outlineLevel="1" width="11.140625" customWidth="1" style="4" min="85" max="85"/>
    <col outlineLevel="1" width="10.140625" customWidth="1" style="4" min="86" max="87"/>
    <col width="10" bestFit="1" customWidth="1" style="4" min="88" max="88"/>
    <col outlineLevel="1" width="10.140625" customWidth="1" style="4" min="89" max="89"/>
    <col outlineLevel="1" width="11.140625" customWidth="1" style="4" min="90" max="90"/>
    <col outlineLevel="1" width="10.140625" customWidth="1" style="4" min="91" max="92"/>
    <col width="10" bestFit="1" customWidth="1" style="4" min="93" max="93"/>
    <col outlineLevel="1" width="10.140625" customWidth="1" style="4" min="94" max="94"/>
    <col outlineLevel="1" width="11.140625" customWidth="1" style="4" min="95" max="95"/>
    <col outlineLevel="1" width="10.140625" customWidth="1" style="4" min="96" max="97"/>
    <col width="10" bestFit="1" customWidth="1" style="4" min="98" max="98"/>
    <col outlineLevel="1" width="10.140625" customWidth="1" style="4" min="99" max="99"/>
    <col outlineLevel="1" width="11.140625" customWidth="1" style="4" min="100" max="100"/>
    <col outlineLevel="1" width="10.140625" customWidth="1" style="4" min="101" max="102"/>
    <col width="10" bestFit="1" customWidth="1" style="4" min="103" max="103"/>
    <col width="9.140625" customWidth="1" style="4" min="104" max="104"/>
    <col width="9.140625" customWidth="1" style="4" min="105" max="16384"/>
  </cols>
  <sheetData>
    <row r="1">
      <c r="A1" s="243" t="n"/>
      <c r="C1" s="2" t="inlineStr">
        <is>
          <t>CHECKS</t>
        </is>
      </c>
      <c r="D1" s="3">
        <f>SUM(D2,D3)</f>
        <v>0.00235352860593707</v>
      </c>
      <c r="E1" s="3">
        <f>SUM(E2,E3)</f>
        <v>5.40000712589972e-07</v>
      </c>
      <c r="F1" s="3">
        <f>SUM(F2,F3)</f>
        <v>0.00518277207447682</v>
      </c>
      <c r="G1" s="3">
        <f>SUM(G2,G3)</f>
        <v>0.00153521919855848</v>
      </c>
      <c r="H1" s="3">
        <f>SUM(H2,H3)</f>
        <v>0.00153521919855848</v>
      </c>
      <c r="I1" s="3">
        <f>SUM(I2,I3)</f>
        <v>0.00137654689024203</v>
      </c>
      <c r="J1" s="3">
        <f>SUM(J2,J3)</f>
        <v>0.000592878001043573</v>
      </c>
      <c r="K1" s="3">
        <f>SUM(K2,K3)</f>
        <v>0</v>
      </c>
      <c r="L1" s="3">
        <f>SUM(L2,L3)</f>
        <v>0</v>
      </c>
      <c r="M1" s="3">
        <f>SUM(M2,M3)</f>
        <v>0</v>
      </c>
      <c r="N1" s="3">
        <f>SUM(N2,N3)</f>
        <v>0</v>
      </c>
      <c r="O1" s="3">
        <f>SUM(O2,O3)</f>
        <v>4.83169060316868e-13</v>
      </c>
      <c r="P1" s="3">
        <f>SUM(P2,P3)</f>
        <v>2.38031816479634e-13</v>
      </c>
      <c r="Q1" s="3">
        <f>SUM(Q2,Q3)</f>
        <v>6.25277607468888e-13</v>
      </c>
      <c r="R1" s="3">
        <f>SUM(R2,R3)</f>
        <v>0</v>
      </c>
      <c r="S1" s="3">
        <f>SUM(S2,S3)</f>
        <v>0.0325930164547188</v>
      </c>
      <c r="T1" s="3">
        <f>SUM(T2,T3)</f>
        <v>0.00217225622500195</v>
      </c>
      <c r="U1" s="3">
        <f>SUM(U2,U3)</f>
        <v>0.000389388129917734</v>
      </c>
      <c r="V1" s="3">
        <f>SUM(V2,V3)</f>
        <v>0.00150702146237336</v>
      </c>
      <c r="W1" s="3">
        <f>SUM(W2,W3)</f>
        <v>0.00150702147891479</v>
      </c>
      <c r="X1" s="3">
        <f>SUM(X2,X3)</f>
        <v>0.000473476801349904</v>
      </c>
      <c r="Y1" s="3">
        <f>SUM(Y2,Y3)</f>
        <v>0.0007236146647287</v>
      </c>
      <c r="Z1" s="3">
        <f>SUM(Z2,Z3)</f>
        <v>0.00448801045574498</v>
      </c>
      <c r="AA1" s="3">
        <f>SUM(AA2,AA3)</f>
        <v>0.0164630900024463</v>
      </c>
      <c r="AB1" s="3">
        <f>SUM(AB2,AB3)</f>
        <v>0.0164630900031568</v>
      </c>
      <c r="AC1" s="3">
        <f>SUM(AC2,AC3)</f>
        <v>0.020360590002575</v>
      </c>
      <c r="AD1" s="3">
        <f>SUM(AD2,AD3)</f>
        <v>0.0162588499980672</v>
      </c>
      <c r="AE1" s="3">
        <f>SUM(AE2,AE3)</f>
        <v>0.0334084200157747</v>
      </c>
      <c r="AF1" s="3">
        <f>SUM(AF2,AF3)</f>
        <v>0.000388360003739763</v>
      </c>
      <c r="AG1" s="3">
        <f>SUM(AG2,AG3)</f>
        <v>0.000388360005899813</v>
      </c>
      <c r="AH1" s="3">
        <f>SUM(AH2,AH3)</f>
        <v>2.30007572099566e-07</v>
      </c>
      <c r="AI1" s="3">
        <f>SUM(AI2,AI3)</f>
        <v>1.00149861737009e-08</v>
      </c>
      <c r="AJ1" s="3">
        <f>SUM(AJ2,AJ3)</f>
        <v>1.00117176771164e-08</v>
      </c>
      <c r="AK1" s="3">
        <f>SUM(AK2,AK3)</f>
        <v>1.00117176771164e-08</v>
      </c>
      <c r="AL1" s="3">
        <f>SUM(AL2,AL3)</f>
        <v>9.99716576188803e-09</v>
      </c>
      <c r="AM1" s="3" t="e">
        <f>SUM(AM2,AM3)</f>
        <v>#DIV/0!</v>
      </c>
      <c r="AN1" s="3" t="e">
        <f>SUM(AN2,AN3)</f>
        <v>#DIV/0!</v>
      </c>
      <c r="AO1" s="3" t="e">
        <f>SUM(AO2,AO3)</f>
        <v>#DIV/0!</v>
      </c>
      <c r="AP1" s="3" t="e">
        <f>SUM(AP2,AP3)</f>
        <v>#DIV/0!</v>
      </c>
      <c r="AQ1" s="3" t="e">
        <f>SUM(AQ2,AQ3)</f>
        <v>#DIV/0!</v>
      </c>
      <c r="AR1" s="3" t="e">
        <f>SUM(AR2,AR3)</f>
        <v>#DIV/0!</v>
      </c>
      <c r="AS1" s="3" t="e">
        <f>SUM(AS2,AS3)</f>
        <v>#DIV/0!</v>
      </c>
      <c r="AT1" s="3" t="e">
        <f>SUM(AT2,AT3)</f>
        <v>#DIV/0!</v>
      </c>
      <c r="AU1" s="3" t="e">
        <f>SUM(AU2,AU3)</f>
        <v>#DIV/0!</v>
      </c>
      <c r="AV1" s="3" t="e">
        <f>SUM(AV2,AV3)</f>
        <v>#DIV/0!</v>
      </c>
      <c r="AW1" s="3" t="e">
        <f>SUM(AW2,AW3)</f>
        <v>#DIV/0!</v>
      </c>
      <c r="AX1" s="3" t="e">
        <f>SUM(AX2,AX3)</f>
        <v>#DIV/0!</v>
      </c>
      <c r="AY1" s="3" t="e">
        <f>SUM(AY2,AY3)</f>
        <v>#DIV/0!</v>
      </c>
      <c r="AZ1" s="3" t="e">
        <f>SUM(AZ2,AZ3)</f>
        <v>#DIV/0!</v>
      </c>
      <c r="BA1" s="3" t="e">
        <f>SUM(BA2,BA3)</f>
        <v>#DIV/0!</v>
      </c>
      <c r="BB1" s="3" t="e">
        <f>SUM(BB2,BB3)</f>
        <v>#DIV/0!</v>
      </c>
      <c r="BC1" s="3" t="e">
        <f>SUM(BC2,BC3)</f>
        <v>#DIV/0!</v>
      </c>
      <c r="BD1" s="3" t="e">
        <f>SUM(BD2,BD3)</f>
        <v>#DIV/0!</v>
      </c>
      <c r="BE1" s="3" t="e">
        <f>SUM(BE2,BE3)</f>
        <v>#DIV/0!</v>
      </c>
      <c r="BF1" s="3" t="e">
        <f>SUM(BF2,BF3)</f>
        <v>#DIV/0!</v>
      </c>
      <c r="BG1" s="3" t="e">
        <f>SUM(BG2,BG3)</f>
        <v>#DIV/0!</v>
      </c>
      <c r="BH1" s="3" t="e">
        <f>SUM(BH2,BH3)</f>
        <v>#DIV/0!</v>
      </c>
      <c r="BI1" s="3" t="e">
        <f>SUM(BI2,BI3)</f>
        <v>#DIV/0!</v>
      </c>
      <c r="BJ1" s="3" t="e">
        <f>SUM(BJ2,BJ3)</f>
        <v>#DIV/0!</v>
      </c>
      <c r="BK1" s="3" t="e">
        <f>SUM(BK2,BK3)</f>
        <v>#DIV/0!</v>
      </c>
      <c r="BL1" s="3" t="e">
        <f>SUM(BL2,BL3)</f>
        <v>#DIV/0!</v>
      </c>
      <c r="BM1" s="3" t="e">
        <f>SUM(BM2,BM3)</f>
        <v>#DIV/0!</v>
      </c>
      <c r="BN1" s="3" t="e">
        <f>SUM(BN2,BN3)</f>
        <v>#DIV/0!</v>
      </c>
      <c r="BO1" s="3" t="e">
        <f>SUM(BO2,BO3)</f>
        <v>#DIV/0!</v>
      </c>
      <c r="BP1" s="3" t="e">
        <f>SUM(BP2,BP3)</f>
        <v>#DIV/0!</v>
      </c>
      <c r="BQ1" s="3" t="e">
        <f>SUM(BQ2,BQ3)</f>
        <v>#DIV/0!</v>
      </c>
      <c r="BR1" s="3" t="e">
        <f>SUM(BR2,BR3)</f>
        <v>#DIV/0!</v>
      </c>
      <c r="BS1" s="3" t="e">
        <f>SUM(BS2,BS3)</f>
        <v>#DIV/0!</v>
      </c>
      <c r="BT1" s="3" t="e">
        <f>SUM(BT2,BT3)</f>
        <v>#DIV/0!</v>
      </c>
      <c r="BU1" s="3" t="e">
        <f>SUM(BU2,BU3)</f>
        <v>#DIV/0!</v>
      </c>
      <c r="BV1" s="3" t="e">
        <f>SUM(BV2,BV3)</f>
        <v>#DIV/0!</v>
      </c>
      <c r="BW1" s="3" t="e">
        <f>SUM(BW2,BW3)</f>
        <v>#DIV/0!</v>
      </c>
      <c r="BX1" s="3" t="e">
        <f>SUM(BX2,BX3)</f>
        <v>#DIV/0!</v>
      </c>
      <c r="BY1" s="3" t="e">
        <f>SUM(BY2,BY3)</f>
        <v>#DIV/0!</v>
      </c>
      <c r="BZ1" s="3" t="e">
        <f>SUM(BZ2,BZ3)</f>
        <v>#DIV/0!</v>
      </c>
      <c r="CA1" s="3" t="e">
        <f>SUM(CA2,CA3)</f>
        <v>#DIV/0!</v>
      </c>
      <c r="CB1" s="3" t="e">
        <f>SUM(CB2,CB3)</f>
        <v>#DIV/0!</v>
      </c>
      <c r="CC1" s="3" t="e">
        <f>SUM(CC2,CC3)</f>
        <v>#DIV/0!</v>
      </c>
      <c r="CD1" s="3" t="e">
        <f>SUM(CD2,CD3)</f>
        <v>#DIV/0!</v>
      </c>
      <c r="CE1" s="3" t="e">
        <f>SUM(CE2,CE3)</f>
        <v>#DIV/0!</v>
      </c>
      <c r="CF1" s="3" t="e">
        <f>SUM(CF2,CF3)</f>
        <v>#DIV/0!</v>
      </c>
      <c r="CG1" s="3" t="e">
        <f>SUM(CG2,CG3)</f>
        <v>#DIV/0!</v>
      </c>
      <c r="CH1" s="3" t="e">
        <f>SUM(CH2,CH3)</f>
        <v>#DIV/0!</v>
      </c>
      <c r="CI1" s="3" t="e">
        <f>SUM(CI2,CI3)</f>
        <v>#DIV/0!</v>
      </c>
      <c r="CJ1" s="3" t="e">
        <f>SUM(CJ2,CJ3)</f>
        <v>#DIV/0!</v>
      </c>
      <c r="CK1" s="3" t="e">
        <f>SUM(CK2,CK3)</f>
        <v>#DIV/0!</v>
      </c>
      <c r="CL1" s="3" t="e">
        <f>SUM(CL2,CL3)</f>
        <v>#DIV/0!</v>
      </c>
      <c r="CM1" s="3" t="e">
        <f>SUM(CM2,CM3)</f>
        <v>#DIV/0!</v>
      </c>
      <c r="CN1" s="3" t="e">
        <f>SUM(CN2,CN3)</f>
        <v>#DIV/0!</v>
      </c>
      <c r="CO1" s="3" t="e">
        <f>SUM(CO2,CO3)</f>
        <v>#DIV/0!</v>
      </c>
      <c r="CP1" s="3" t="e">
        <f>SUM(CP2,CP3)</f>
        <v>#DIV/0!</v>
      </c>
      <c r="CQ1" s="3" t="e">
        <f>SUM(CQ2,CQ3)</f>
        <v>#DIV/0!</v>
      </c>
      <c r="CR1" s="3" t="e">
        <f>SUM(CR2,CR3)</f>
        <v>#DIV/0!</v>
      </c>
      <c r="CS1" s="3" t="e">
        <f>SUM(CS2,CS3)</f>
        <v>#DIV/0!</v>
      </c>
      <c r="CT1" s="3" t="e">
        <f>SUM(CT2,CT3)</f>
        <v>#DIV/0!</v>
      </c>
      <c r="CU1" s="3" t="e">
        <f>SUM(CU2,CU3)</f>
        <v>#DIV/0!</v>
      </c>
      <c r="CV1" s="3" t="e">
        <f>SUM(CV2,CV3)</f>
        <v>#DIV/0!</v>
      </c>
      <c r="CW1" s="3" t="e">
        <f>SUM(CW2,CW3)</f>
        <v>#DIV/0!</v>
      </c>
      <c r="CX1" s="3" t="e">
        <f>SUM(CX2,CX3)</f>
        <v>#DIV/0!</v>
      </c>
      <c r="CY1" s="3" t="e">
        <f>SUM(CY2,CY3)</f>
        <v>#DIV/0!</v>
      </c>
    </row>
    <row r="2" outlineLevel="1">
      <c r="C2" s="5" t="inlineStr">
        <is>
          <t>BS</t>
        </is>
      </c>
      <c r="D2" s="3">
        <f>ABS(D203-D279)</f>
        <v>0.0023535286054539</v>
      </c>
      <c r="E2" s="3">
        <f>ABS(E203-E279)</f>
        <v>5.39999746251851e-07</v>
      </c>
      <c r="F2" s="3">
        <f>ABS(F203-F279)</f>
        <v>0.00518277207447682</v>
      </c>
      <c r="G2" s="3">
        <f>ABS(G203-G279)</f>
        <v>0.00153521919855848</v>
      </c>
      <c r="H2" s="3">
        <f>ABS(H203-H279)</f>
        <v>0.00153521919855848</v>
      </c>
      <c r="I2" s="3">
        <f>ABS(I203-I279)</f>
        <v>0.00137654689024203</v>
      </c>
      <c r="J2" s="3">
        <f>ABS(J203-J279)</f>
        <v>0.000592878001043573</v>
      </c>
      <c r="K2" s="3">
        <f>ABS(K203-K279)</f>
        <v>0</v>
      </c>
      <c r="L2" s="3">
        <f>ABS(L203-L279)</f>
        <v>0</v>
      </c>
      <c r="M2" s="3">
        <f>ABS(M203-M279)</f>
        <v>0</v>
      </c>
      <c r="N2" s="3">
        <f>ABS(N203-N279)</f>
        <v>0</v>
      </c>
      <c r="O2" s="3">
        <f>ABS(O203-O279)</f>
        <v>0</v>
      </c>
      <c r="P2" s="3">
        <f>ABS(P203-P279)</f>
        <v>0</v>
      </c>
      <c r="Q2" s="3">
        <f>ABS(Q203-Q279)</f>
        <v>0</v>
      </c>
      <c r="R2" s="3">
        <f>ABS(R203-R279)</f>
        <v>0</v>
      </c>
      <c r="S2" s="3">
        <f>ABS(S203-S279)</f>
        <v>0.0325930164544843</v>
      </c>
      <c r="T2" s="3">
        <f>ABS(T203-T279)</f>
        <v>0.00217225622327533</v>
      </c>
      <c r="U2" s="3">
        <f>ABS(U203-U279)</f>
        <v>0.000389388129406143</v>
      </c>
      <c r="V2" s="3">
        <f>ABS(V203-V279)</f>
        <v>0.00150702145765536</v>
      </c>
      <c r="W2" s="3">
        <f>ABS(W203-W279)</f>
        <v>0.00150702147220727</v>
      </c>
      <c r="X2" s="3">
        <f>ABS(X203-X279)</f>
        <v>0.00047347680083476</v>
      </c>
      <c r="Y2" s="3">
        <f>ABS(Y203-Y279)</f>
        <v>0.000723614663002081</v>
      </c>
      <c r="Z2" s="3">
        <f>ABS(Z203-Z279)</f>
        <v>0.00448801045422442</v>
      </c>
      <c r="AA2" s="3">
        <f>ABS(AA203-AA279)</f>
        <v>0.0164630899962503</v>
      </c>
      <c r="AB2" s="3">
        <f>ABS(AB203-AB279)</f>
        <v>0.0164630899962503</v>
      </c>
      <c r="AC2" s="3">
        <f>ABS(AC203-AC279)</f>
        <v>0.0203605900023831</v>
      </c>
      <c r="AD2" s="3">
        <f>ABS(AD203-AD279)</f>
        <v>0.0162588499952108</v>
      </c>
      <c r="AE2" s="3">
        <f>ABS(AE203-AE279)</f>
        <v>0.0334084200148936</v>
      </c>
      <c r="AF2" s="3">
        <f>ABS(AF203-AF279)</f>
        <v>0.000388360000215471</v>
      </c>
      <c r="AG2" s="3">
        <f>ABS(AG203-AG279)</f>
        <v>0.000388360000215471</v>
      </c>
      <c r="AH2" s="3">
        <f>ABS(AH203-AH279)</f>
        <v>2.30007572099566e-07</v>
      </c>
      <c r="AI2" s="3">
        <f>ABS(AI203-AI279)</f>
        <v>1.00117176771164e-08</v>
      </c>
      <c r="AJ2" s="3">
        <f>ABS(AJ203-AJ279)</f>
        <v>1.00117176771164e-08</v>
      </c>
      <c r="AK2" s="3">
        <f>ABS(AK203-AK279)</f>
        <v>1.00117176771164e-08</v>
      </c>
      <c r="AL2" s="3">
        <f>ABS(AL203-AL279)</f>
        <v>9.99716576188803e-09</v>
      </c>
      <c r="AM2" s="3" t="e">
        <f>ABS(AM203-AM279)</f>
        <v>#DIV/0!</v>
      </c>
      <c r="AN2" s="3" t="e">
        <f>ABS(AN203-AN279)</f>
        <v>#DIV/0!</v>
      </c>
      <c r="AO2" s="3" t="e">
        <f>ABS(AO203-AO279)</f>
        <v>#DIV/0!</v>
      </c>
      <c r="AP2" s="3" t="e">
        <f>ABS(AP203-AP279)</f>
        <v>#DIV/0!</v>
      </c>
      <c r="AQ2" s="3" t="e">
        <f>ABS(AQ203-AQ279)</f>
        <v>#DIV/0!</v>
      </c>
      <c r="AR2" s="3" t="e">
        <f>ABS(AR203-AR279)</f>
        <v>#DIV/0!</v>
      </c>
      <c r="AS2" s="3" t="e">
        <f>ABS(AS203-AS279)</f>
        <v>#DIV/0!</v>
      </c>
      <c r="AT2" s="3" t="e">
        <f>ABS(AT203-AT279)</f>
        <v>#DIV/0!</v>
      </c>
      <c r="AU2" s="3" t="e">
        <f>ABS(AU203-AU279)</f>
        <v>#DIV/0!</v>
      </c>
      <c r="AV2" s="3" t="e">
        <f>ABS(AV203-AV279)</f>
        <v>#DIV/0!</v>
      </c>
      <c r="AW2" s="3" t="e">
        <f>ABS(AW203-AW279)</f>
        <v>#DIV/0!</v>
      </c>
      <c r="AX2" s="3" t="e">
        <f>ABS(AX203-AX279)</f>
        <v>#DIV/0!</v>
      </c>
      <c r="AY2" s="3" t="e">
        <f>ABS(AY203-AY279)</f>
        <v>#DIV/0!</v>
      </c>
      <c r="AZ2" s="3" t="e">
        <f>ABS(AZ203-AZ279)</f>
        <v>#DIV/0!</v>
      </c>
      <c r="BA2" s="3" t="e">
        <f>ABS(BA203-BA279)</f>
        <v>#DIV/0!</v>
      </c>
      <c r="BB2" s="3" t="e">
        <f>ABS(BB203-BB279)</f>
        <v>#DIV/0!</v>
      </c>
      <c r="BC2" s="3" t="e">
        <f>ABS(BC203-BC279)</f>
        <v>#DIV/0!</v>
      </c>
      <c r="BD2" s="3" t="e">
        <f>ABS(BD203-BD279)</f>
        <v>#DIV/0!</v>
      </c>
      <c r="BE2" s="3" t="e">
        <f>ABS(BE203-BE279)</f>
        <v>#DIV/0!</v>
      </c>
      <c r="BF2" s="3" t="e">
        <f>ABS(BF203-BF279)</f>
        <v>#DIV/0!</v>
      </c>
      <c r="BG2" s="3" t="e">
        <f>ABS(BG203-BG279)</f>
        <v>#DIV/0!</v>
      </c>
      <c r="BH2" s="3" t="e">
        <f>ABS(BH203-BH279)</f>
        <v>#DIV/0!</v>
      </c>
      <c r="BI2" s="3" t="e">
        <f>ABS(BI203-BI279)</f>
        <v>#DIV/0!</v>
      </c>
      <c r="BJ2" s="3" t="e">
        <f>ABS(BJ203-BJ279)</f>
        <v>#DIV/0!</v>
      </c>
      <c r="BK2" s="3" t="e">
        <f>ABS(BK203-BK279)</f>
        <v>#DIV/0!</v>
      </c>
      <c r="BL2" s="3" t="e">
        <f>ABS(BL203-BL279)</f>
        <v>#DIV/0!</v>
      </c>
      <c r="BM2" s="3" t="e">
        <f>ABS(BM203-BM279)</f>
        <v>#DIV/0!</v>
      </c>
      <c r="BN2" s="3" t="e">
        <f>ABS(BN203-BN279)</f>
        <v>#DIV/0!</v>
      </c>
      <c r="BO2" s="3" t="e">
        <f>ABS(BO203-BO279)</f>
        <v>#DIV/0!</v>
      </c>
      <c r="BP2" s="3" t="e">
        <f>ABS(BP203-BP279)</f>
        <v>#DIV/0!</v>
      </c>
      <c r="BQ2" s="3" t="e">
        <f>ABS(BQ203-BQ279)</f>
        <v>#DIV/0!</v>
      </c>
      <c r="BR2" s="3" t="e">
        <f>ABS(BR203-BR279)</f>
        <v>#DIV/0!</v>
      </c>
      <c r="BS2" s="3" t="e">
        <f>ABS(BS203-BS279)</f>
        <v>#DIV/0!</v>
      </c>
      <c r="BT2" s="3" t="e">
        <f>ABS(BT203-BT279)</f>
        <v>#DIV/0!</v>
      </c>
      <c r="BU2" s="3" t="e">
        <f>ABS(BU203-BU279)</f>
        <v>#DIV/0!</v>
      </c>
      <c r="BV2" s="3" t="e">
        <f>ABS(BV203-BV279)</f>
        <v>#DIV/0!</v>
      </c>
      <c r="BW2" s="3" t="e">
        <f>ABS(BW203-BW279)</f>
        <v>#DIV/0!</v>
      </c>
      <c r="BX2" s="3" t="e">
        <f>ABS(BX203-BX279)</f>
        <v>#DIV/0!</v>
      </c>
      <c r="BY2" s="3" t="e">
        <f>ABS(BY203-BY279)</f>
        <v>#DIV/0!</v>
      </c>
      <c r="BZ2" s="3" t="e">
        <f>ABS(BZ203-BZ279)</f>
        <v>#DIV/0!</v>
      </c>
      <c r="CA2" s="3" t="e">
        <f>ABS(CA203-CA279)</f>
        <v>#DIV/0!</v>
      </c>
      <c r="CB2" s="3" t="e">
        <f>ABS(CB203-CB279)</f>
        <v>#DIV/0!</v>
      </c>
      <c r="CC2" s="3" t="e">
        <f>ABS(CC203-CC279)</f>
        <v>#DIV/0!</v>
      </c>
      <c r="CD2" s="3" t="e">
        <f>ABS(CD203-CD279)</f>
        <v>#DIV/0!</v>
      </c>
      <c r="CE2" s="3" t="e">
        <f>ABS(CE203-CE279)</f>
        <v>#DIV/0!</v>
      </c>
      <c r="CF2" s="3" t="e">
        <f>ABS(CF203-CF279)</f>
        <v>#DIV/0!</v>
      </c>
      <c r="CG2" s="3" t="e">
        <f>ABS(CG203-CG279)</f>
        <v>#DIV/0!</v>
      </c>
      <c r="CH2" s="3" t="e">
        <f>ABS(CH203-CH279)</f>
        <v>#DIV/0!</v>
      </c>
      <c r="CI2" s="3" t="e">
        <f>ABS(CI203-CI279)</f>
        <v>#DIV/0!</v>
      </c>
      <c r="CJ2" s="3" t="e">
        <f>ABS(CJ203-CJ279)</f>
        <v>#DIV/0!</v>
      </c>
      <c r="CK2" s="3" t="e">
        <f>ABS(CK203-CK279)</f>
        <v>#DIV/0!</v>
      </c>
      <c r="CL2" s="3" t="e">
        <f>ABS(CL203-CL279)</f>
        <v>#DIV/0!</v>
      </c>
      <c r="CM2" s="3" t="e">
        <f>ABS(CM203-CM279)</f>
        <v>#DIV/0!</v>
      </c>
      <c r="CN2" s="3" t="e">
        <f>ABS(CN203-CN279)</f>
        <v>#DIV/0!</v>
      </c>
      <c r="CO2" s="3" t="e">
        <f>ABS(CO203-CO279)</f>
        <v>#DIV/0!</v>
      </c>
      <c r="CP2" s="3" t="e">
        <f>ABS(CP203-CP279)</f>
        <v>#DIV/0!</v>
      </c>
      <c r="CQ2" s="3" t="e">
        <f>ABS(CQ203-CQ279)</f>
        <v>#DIV/0!</v>
      </c>
      <c r="CR2" s="3" t="e">
        <f>ABS(CR203-CR279)</f>
        <v>#DIV/0!</v>
      </c>
      <c r="CS2" s="3" t="e">
        <f>ABS(CS203-CS279)</f>
        <v>#DIV/0!</v>
      </c>
      <c r="CT2" s="3" t="e">
        <f>ABS(CT203-CT279)</f>
        <v>#DIV/0!</v>
      </c>
      <c r="CU2" s="3" t="e">
        <f>ABS(CU203-CU279)</f>
        <v>#DIV/0!</v>
      </c>
      <c r="CV2" s="3" t="e">
        <f>ABS(CV203-CV279)</f>
        <v>#DIV/0!</v>
      </c>
      <c r="CW2" s="3" t="e">
        <f>ABS(CW203-CW279)</f>
        <v>#DIV/0!</v>
      </c>
      <c r="CX2" s="3" t="e">
        <f>ABS(CX203-CX279)</f>
        <v>#DIV/0!</v>
      </c>
      <c r="CY2" s="3" t="e">
        <f>ABS(CY203-CY279)</f>
        <v>#DIV/0!</v>
      </c>
    </row>
    <row r="3" outlineLevel="1">
      <c r="C3" s="5" t="inlineStr">
        <is>
          <t>IS</t>
        </is>
      </c>
      <c r="D3" s="3">
        <f>IF(COUNT(D4)=0,"",ABS(D143-D4))</f>
        <v>4.83169060316868e-13</v>
      </c>
      <c r="E3" s="3">
        <f>IF(COUNT(E4)=0,"",ABS(E143-E4))</f>
        <v>9.66338120633736e-13</v>
      </c>
      <c r="F3" s="3">
        <f>IF(COUNT(F4)=0,"",ABS(F143-F4))</f>
        <v>0</v>
      </c>
      <c r="G3" s="3">
        <f>IF(COUNT(G4)=0,"",ABS(G143-G4))</f>
        <v>0</v>
      </c>
      <c r="H3" s="3">
        <f>IF(COUNT(H4)=0,"",ABS(H143-H4))</f>
        <v>0</v>
      </c>
      <c r="I3" s="3">
        <f>IF(COUNT(I4)=0,"",ABS(I143-I4))</f>
        <v>0</v>
      </c>
      <c r="J3" s="3">
        <f>IF(COUNT(J4)=0,"",ABS(J143-J4))</f>
        <v>0</v>
      </c>
      <c r="K3" s="3">
        <f>IF(COUNT(K4)=0,"",ABS(K143-K4))</f>
        <v>0</v>
      </c>
      <c r="L3" s="3">
        <f>IF(COUNT(L4)=0,"",ABS(L143-L4))</f>
        <v>0</v>
      </c>
      <c r="M3" s="3">
        <f>IF(COUNT(M4)=0,"",ABS(M143-M4))</f>
        <v>0</v>
      </c>
      <c r="N3" s="3">
        <f>IF(COUNT(N4)=0,"",ABS(N143-N4))</f>
        <v>0</v>
      </c>
      <c r="O3" s="3">
        <f>IF(COUNT(O4)=0,"",ABS(O143-O4))</f>
        <v>4.83169060316868e-13</v>
      </c>
      <c r="P3" s="3">
        <f>IF(COUNT(P4)=0,"",ABS(P143-P4))</f>
        <v>2.38031816479634e-13</v>
      </c>
      <c r="Q3" s="3">
        <f>IF(COUNT(Q4)=0,"",ABS(Q143-Q4))</f>
        <v>6.25277607468888e-13</v>
      </c>
      <c r="R3" s="3">
        <f>IF(COUNT(R4)=0,"",ABS(R143-R4))</f>
        <v>0</v>
      </c>
      <c r="S3" s="3">
        <f>IF(COUNT(S4)=0,"",ABS(S143-S4))</f>
        <v>2.34479102800833e-13</v>
      </c>
      <c r="T3" s="3">
        <f>IF(COUNT(T4)=0,"",ABS(T143-T4))</f>
        <v>1.72661884789704e-12</v>
      </c>
      <c r="U3" s="3">
        <f>IF(COUNT(U4)=0,"",ABS(U143-U4))</f>
        <v>5.11590769747272e-13</v>
      </c>
      <c r="V3" s="3">
        <f>IF(COUNT(V4)=0,"",ABS(V143-V4))</f>
        <v>4.71800376544707e-12</v>
      </c>
      <c r="W3" s="3">
        <f>IF(COUNT(W4)=0,"",ABS(W143-W4))</f>
        <v>6.70752342557535e-12</v>
      </c>
      <c r="X3" s="3">
        <f>IF(COUNT(X4)=0,"",ABS(X143-X4))</f>
        <v>5.15143483426073e-13</v>
      </c>
      <c r="Y3" s="3">
        <f>IF(COUNT(Y4)=0,"",ABS(Y143-Y4))</f>
        <v>1.72661884789704e-12</v>
      </c>
      <c r="Z3" s="3">
        <f>IF(COUNT(Z4)=0,"",ABS(Z143-Z4))</f>
        <v>1.52056145452661e-12</v>
      </c>
      <c r="AA3" s="3">
        <f>IF(COUNT(AA4)=0,"",ABS(AA143-AA4))</f>
        <v>6.19593265582807e-12</v>
      </c>
      <c r="AB3" s="3">
        <f>IF(COUNT(AB4)=0,"",ABS(AB143-AB4))</f>
        <v>6.90647539158817e-12</v>
      </c>
      <c r="AC3" s="3">
        <f>IF(COUNT(AC4)=0,"",ABS(AC143-AC4))</f>
        <v>1.91846538655227e-13</v>
      </c>
      <c r="AD3" s="3">
        <f>IF(COUNT(AD4)=0,"",ABS(AD143-AD4))</f>
        <v>2.8563817977556e-12</v>
      </c>
      <c r="AE3" s="3">
        <f>IF(COUNT(AE4)=0,"",ABS(AE143-AE4))</f>
        <v>8.81072992342524e-13</v>
      </c>
      <c r="AF3" s="3">
        <f>IF(COUNT(AF4)=0,"",ABS(AF143-AF4))</f>
        <v>3.5242919693701e-12</v>
      </c>
      <c r="AG3" s="3">
        <f>IF(COUNT(AG4)=0,"",ABS(AG143-AG4))</f>
        <v>5.6843418860808e-12</v>
      </c>
      <c r="AH3" s="3">
        <f>IF(COUNT(AH4)=0,"",ABS(AH143-AH4))</f>
        <v>0</v>
      </c>
      <c r="AI3" s="3">
        <f>IF(COUNT(AI4)=0,"",ABS(AI143-AI4))</f>
        <v>3.26849658449646e-12</v>
      </c>
      <c r="AJ3" s="3" t="str">
        <f>IF(COUNT(AJ4)=0,"",ABS(AJ143-AJ4))</f>
        <v/>
      </c>
      <c r="AK3" s="3" t="str">
        <f>IF(COUNT(AK4)=0,"",ABS(AK143-AK4))</f>
        <v/>
      </c>
      <c r="AL3" s="3" t="str">
        <f>IF(COUNT(AL4)=0,"",ABS(AL143-AL4))</f>
        <v/>
      </c>
      <c r="AM3" s="3" t="str">
        <f>IF(COUNT(AM4)=0,"",ABS(AM143-AM4))</f>
        <v/>
      </c>
      <c r="AN3" s="3" t="str">
        <f>IF(COUNT(AN4)=0,"",ABS(AN143-AN4))</f>
        <v/>
      </c>
      <c r="AO3" s="3" t="str">
        <f>IF(COUNT(AO4)=0,"",ABS(AO143-AO4))</f>
        <v/>
      </c>
      <c r="AP3" s="3" t="str">
        <f>IF(COUNT(AP4)=0,"",ABS(AP143-AP4))</f>
        <v/>
      </c>
      <c r="AQ3" s="3" t="str">
        <f>IF(COUNT(AQ4)=0,"",ABS(AQ143-AQ4))</f>
        <v/>
      </c>
      <c r="AR3" s="3" t="str">
        <f>IF(COUNT(AR4)=0,"",ABS(AR143-AR4))</f>
        <v/>
      </c>
      <c r="AS3" s="3" t="str">
        <f>IF(COUNT(AS4)=0,"",ABS(AS143-AS4))</f>
        <v/>
      </c>
      <c r="AT3" s="3" t="str">
        <f>IF(COUNT(AT4)=0,"",ABS(AT143-AT4))</f>
        <v/>
      </c>
      <c r="AU3" s="3" t="str">
        <f>IF(COUNT(AU4)=0,"",ABS(AU143-AU4))</f>
        <v/>
      </c>
      <c r="AV3" s="3" t="str">
        <f>IF(COUNT(AV4)=0,"",ABS(AV143-AV4))</f>
        <v/>
      </c>
      <c r="AW3" s="3" t="str">
        <f>IF(COUNT(AW4)=0,"",ABS(AW143-AW4))</f>
        <v/>
      </c>
      <c r="AX3" s="3" t="str">
        <f>IF(COUNT(AX4)=0,"",ABS(AX143-AX4))</f>
        <v/>
      </c>
      <c r="AY3" s="3" t="str">
        <f>IF(COUNT(AY4)=0,"",ABS(AY143-AY4))</f>
        <v/>
      </c>
      <c r="AZ3" s="3" t="str">
        <f>IF(COUNT(AZ4)=0,"",ABS(AZ143-AZ4))</f>
        <v/>
      </c>
      <c r="BA3" s="3" t="str">
        <f>IF(COUNT(BA4)=0,"",ABS(BA143-BA4))</f>
        <v/>
      </c>
      <c r="BB3" s="3" t="str">
        <f>IF(COUNT(BB4)=0,"",ABS(BB143-BB4))</f>
        <v/>
      </c>
      <c r="BC3" s="3" t="str">
        <f>IF(COUNT(BC4)=0,"",ABS(BC143-BC4))</f>
        <v/>
      </c>
      <c r="BD3" s="3" t="str">
        <f>IF(COUNT(BD4)=0,"",ABS(BD143-BD4))</f>
        <v/>
      </c>
      <c r="BE3" s="3" t="str">
        <f>IF(COUNT(BE4)=0,"",ABS(BE143-BE4))</f>
        <v/>
      </c>
      <c r="BF3" s="3" t="str">
        <f>IF(COUNT(BF4)=0,"",ABS(BF143-BF4))</f>
        <v/>
      </c>
      <c r="BG3" s="3" t="str">
        <f>IF(COUNT(BG4)=0,"",ABS(BG143-BG4))</f>
        <v/>
      </c>
      <c r="BH3" s="3" t="str">
        <f>IF(COUNT(BH4)=0,"",ABS(BH143-BH4))</f>
        <v/>
      </c>
      <c r="BI3" s="3" t="str">
        <f>IF(COUNT(BI4)=0,"",ABS(BI143-BI4))</f>
        <v/>
      </c>
      <c r="BJ3" s="3" t="str">
        <f>IF(COUNT(BJ4)=0,"",ABS(BJ143-BJ4))</f>
        <v/>
      </c>
      <c r="BK3" s="3" t="str">
        <f>IF(COUNT(BK4)=0,"",ABS(BK143-BK4))</f>
        <v/>
      </c>
      <c r="BL3" s="3" t="str">
        <f>IF(COUNT(BL4)=0,"",ABS(BL143-BL4))</f>
        <v/>
      </c>
      <c r="BM3" s="3" t="str">
        <f>IF(COUNT(BM4)=0,"",ABS(BM143-BM4))</f>
        <v/>
      </c>
      <c r="BN3" s="3" t="str">
        <f>IF(COUNT(BN4)=0,"",ABS(BN143-BN4))</f>
        <v/>
      </c>
      <c r="BO3" s="3" t="str">
        <f>IF(COUNT(BO4)=0,"",ABS(BO143-BO4))</f>
        <v/>
      </c>
      <c r="BP3" s="3" t="str">
        <f>IF(COUNT(BP4)=0,"",ABS(BP143-BP4))</f>
        <v/>
      </c>
      <c r="BQ3" s="3" t="str">
        <f>IF(COUNT(BQ4)=0,"",ABS(BQ143-BQ4))</f>
        <v/>
      </c>
      <c r="BR3" s="3" t="str">
        <f>IF(COUNT(BR4)=0,"",ABS(BR143-BR4))</f>
        <v/>
      </c>
      <c r="BS3" s="3" t="str">
        <f>IF(COUNT(BS4)=0,"",ABS(BS143-BS4))</f>
        <v/>
      </c>
      <c r="BT3" s="3" t="str">
        <f>IF(COUNT(BT4)=0,"",ABS(BT143-BT4))</f>
        <v/>
      </c>
      <c r="BU3" s="3" t="str">
        <f>IF(COUNT(BU4)=0,"",ABS(BU143-BU4))</f>
        <v/>
      </c>
      <c r="BV3" s="3" t="str">
        <f>IF(COUNT(BV4)=0,"",ABS(BV143-BV4))</f>
        <v/>
      </c>
      <c r="BW3" s="3" t="str">
        <f>IF(COUNT(BW4)=0,"",ABS(BW143-BW4))</f>
        <v/>
      </c>
      <c r="BX3" s="3" t="str">
        <f>IF(COUNT(BX4)=0,"",ABS(BX143-BX4))</f>
        <v/>
      </c>
      <c r="BY3" s="3" t="str">
        <f>IF(COUNT(BY4)=0,"",ABS(BY143-BY4))</f>
        <v/>
      </c>
      <c r="BZ3" s="3" t="str">
        <f>IF(COUNT(BZ4)=0,"",ABS(BZ143-BZ4))</f>
        <v/>
      </c>
      <c r="CA3" s="3" t="str">
        <f>IF(COUNT(CA4)=0,"",ABS(CA143-CA4))</f>
        <v/>
      </c>
      <c r="CB3" s="3" t="str">
        <f>IF(COUNT(CB4)=0,"",ABS(CB143-CB4))</f>
        <v/>
      </c>
      <c r="CC3" s="3" t="str">
        <f>IF(COUNT(CC4)=0,"",ABS(CC143-CC4))</f>
        <v/>
      </c>
      <c r="CD3" s="3" t="str">
        <f>IF(COUNT(CD4)=0,"",ABS(CD143-CD4))</f>
        <v/>
      </c>
      <c r="CE3" s="3" t="str">
        <f>IF(COUNT(CE4)=0,"",ABS(CE143-CE4))</f>
        <v/>
      </c>
      <c r="CF3" s="3" t="str">
        <f>IF(COUNT(CF4)=0,"",ABS(CF143-CF4))</f>
        <v/>
      </c>
      <c r="CG3" s="3" t="str">
        <f>IF(COUNT(CG4)=0,"",ABS(CG143-CG4))</f>
        <v/>
      </c>
      <c r="CH3" s="3" t="str">
        <f>IF(COUNT(CH4)=0,"",ABS(CH143-CH4))</f>
        <v/>
      </c>
      <c r="CI3" s="3" t="str">
        <f>IF(COUNT(CI4)=0,"",ABS(CI143-CI4))</f>
        <v/>
      </c>
      <c r="CJ3" s="3" t="str">
        <f>IF(COUNT(CJ4)=0,"",ABS(CJ143-CJ4))</f>
        <v/>
      </c>
      <c r="CK3" s="3" t="str">
        <f>IF(COUNT(CK4)=0,"",ABS(CK143-CK4))</f>
        <v/>
      </c>
      <c r="CL3" s="3" t="str">
        <f>IF(COUNT(CL4)=0,"",ABS(CL143-CL4))</f>
        <v/>
      </c>
      <c r="CM3" s="3" t="str">
        <f>IF(COUNT(CM4)=0,"",ABS(CM143-CM4))</f>
        <v/>
      </c>
      <c r="CN3" s="3" t="str">
        <f>IF(COUNT(CN4)=0,"",ABS(CN143-CN4))</f>
        <v/>
      </c>
      <c r="CO3" s="3" t="str">
        <f>IF(COUNT(CO4)=0,"",ABS(CO143-CO4))</f>
        <v/>
      </c>
      <c r="CP3" s="3" t="str">
        <f>IF(COUNT(CP4)=0,"",ABS(CP143-CP4))</f>
        <v/>
      </c>
      <c r="CQ3" s="3" t="str">
        <f>IF(COUNT(CQ4)=0,"",ABS(CQ143-CQ4))</f>
        <v/>
      </c>
      <c r="CR3" s="3" t="str">
        <f>IF(COUNT(CR4)=0,"",ABS(CR143-CR4))</f>
        <v/>
      </c>
      <c r="CS3" s="3" t="str">
        <f>IF(COUNT(CS4)=0,"",ABS(CS143-CS4))</f>
        <v/>
      </c>
      <c r="CT3" s="3" t="str">
        <f>IF(COUNT(CT4)=0,"",ABS(CT143-CT4))</f>
        <v/>
      </c>
      <c r="CU3" s="3" t="str">
        <f>IF(COUNT(CU4)=0,"",ABS(CU143-CU4))</f>
        <v/>
      </c>
      <c r="CV3" s="3" t="str">
        <f>IF(COUNT(CV4)=0,"",ABS(CV143-CV4))</f>
        <v/>
      </c>
      <c r="CW3" s="3" t="str">
        <f>IF(COUNT(CW4)=0,"",ABS(CW143-CW4))</f>
        <v/>
      </c>
      <c r="CX3" s="3" t="str">
        <f>IF(COUNT(CX4)=0,"",ABS(CX143-CX4))</f>
        <v/>
      </c>
      <c r="CY3" s="3" t="str">
        <f>IF(COUNT(CY4)=0,"",ABS(CY143-CY4))</f>
        <v/>
      </c>
    </row>
    <row r="4" outlineLevel="1">
      <c r="C4" s="14" t="inlineStr">
        <is>
          <t>Net Income reportado (lucro liquido) - base do check IS</t>
        </is>
      </c>
      <c r="D4" s="16">
        <f>INDEX('Inputs (2)'!$D$50:$AL$50,MATCH(D$7,'Inputs (2)'!$D$2:$AL$2,0))</f>
        <v>54.4</v>
      </c>
      <c r="E4" s="16">
        <f>INDEX('Inputs (2)'!$D$50:$AL$50,MATCH(E$7,'Inputs (2)'!$D$2:$AL$2,0))</f>
        <v>155.40026992</v>
      </c>
      <c r="F4" s="16">
        <f>INDEX('Inputs (2)'!$D$50:$AL$50,MATCH(F$7,'Inputs (2)'!$D$2:$AL$2,0))</f>
        <v>73.166</v>
      </c>
      <c r="G4" s="16">
        <f>INDEX('Inputs (2)'!$D$50:$AL$50,MATCH(G$7,'Inputs (2)'!$D$2:$AL$2,0))</f>
        <v>138.964643389957</v>
      </c>
      <c r="H4" s="16">
        <f>IF(COUNT(D4:G4)=4,SUM(D4:G4),"")</f>
        <v>421.930913309957</v>
      </c>
      <c r="I4" s="16">
        <f>INDEX('Inputs (2)'!$D$50:$AL$50,MATCH(I$7,'Inputs (2)'!$D$2:$AL$2,0))</f>
        <v>94.243</v>
      </c>
      <c r="J4" s="16">
        <f>INDEX('Inputs (2)'!$D$50:$AL$50,MATCH(J$7,'Inputs (2)'!$D$2:$AL$2,0))</f>
        <v>267.247</v>
      </c>
      <c r="K4" s="16">
        <f>INDEX('Inputs (2)'!$D$50:$AL$50,MATCH(K$7,'Inputs (2)'!$D$2:$AL$2,0))</f>
        <v>245.763</v>
      </c>
      <c r="L4" s="16">
        <f>INDEX('Inputs (2)'!$D$50:$AL$50,MATCH(L$7,'Inputs (2)'!$D$2:$AL$2,0))</f>
        <v>215.002</v>
      </c>
      <c r="M4" s="16">
        <f>IF(COUNT(I4:L4)=4,SUM(I4:L4),"")</f>
        <v>822.255</v>
      </c>
      <c r="N4" s="16">
        <f>INDEX('Inputs (2)'!$D$50:$AL$50,MATCH(N$7,'Inputs (2)'!$D$2:$AL$2,0))</f>
        <v>191.676</v>
      </c>
      <c r="O4" s="16">
        <f>INDEX('Inputs (2)'!$D$50:$AL$50,MATCH(O$7,'Inputs (2)'!$D$2:$AL$2,0))</f>
        <v>101.977</v>
      </c>
      <c r="P4" s="16">
        <f>INDEX('Inputs (2)'!$D$50:$AL$50,MATCH(P$7,'Inputs (2)'!$D$2:$AL$2,0))</f>
        <v>18.501</v>
      </c>
      <c r="Q4" s="16">
        <f>INDEX('Inputs (2)'!$D$50:$AL$50,MATCH(Q$7,'Inputs (2)'!$D$2:$AL$2,0))</f>
        <v>169.929</v>
      </c>
      <c r="R4" s="16">
        <f>IF(COUNT(N4:Q4)=4,SUM(N4:Q4),"")</f>
        <v>482.083</v>
      </c>
      <c r="S4" s="16">
        <f>INDEX('Inputs (2)'!$D$50:$AL$50,MATCH(S$7,'Inputs (2)'!$D$2:$AL$2,0))</f>
        <v>6.189</v>
      </c>
      <c r="T4" s="16">
        <f>INDEX('Inputs (2)'!$D$50:$AL$50,MATCH(T$7,'Inputs (2)'!$D$2:$AL$2,0))</f>
        <v>12.329</v>
      </c>
      <c r="U4" s="16">
        <f>INDEX('Inputs (2)'!$D$50:$AL$50,MATCH(U$7,'Inputs (2)'!$D$2:$AL$2,0))</f>
        <v>-136.515</v>
      </c>
      <c r="V4" s="16">
        <f>INDEX('Inputs (2)'!$D$50:$AL$50,MATCH(V$7,'Inputs (2)'!$D$2:$AL$2,0))</f>
        <v>-377.224</v>
      </c>
      <c r="W4" s="16">
        <f>IF(COUNT(S4:V4)=4,SUM(S4:V4),"")</f>
        <v>-495.221</v>
      </c>
      <c r="X4" s="16">
        <f>INDEX('Inputs (2)'!$D$50:$AL$50,MATCH(X$7,'Inputs (2)'!$D$2:$AL$2,0))</f>
        <v>-13.05523078</v>
      </c>
      <c r="Y4" s="16">
        <f>INDEX('Inputs (2)'!$D$50:$AL$50,MATCH(Y$7,'Inputs (2)'!$D$2:$AL$2,0))</f>
        <v>49.29983453</v>
      </c>
      <c r="Z4" s="16">
        <f>INDEX('Inputs (2)'!$D$50:$AL$50,MATCH(Z$7,'Inputs (2)'!$D$2:$AL$2,0))</f>
        <v>10.84224994</v>
      </c>
      <c r="AA4" s="16">
        <f>INDEX('Inputs (2)'!$D$50:$AL$50,MATCH(AA$7,'Inputs (2)'!$D$2:$AL$2,0))</f>
        <v>-245.24247127</v>
      </c>
      <c r="AB4" s="16">
        <f>IF(COUNT(X4:AA4)=4,SUM(X4:AA4),"")</f>
        <v>-198.15561758</v>
      </c>
      <c r="AC4" s="16">
        <f>INDEX('Inputs (2)'!$D$50:$AL$50,MATCH(AC$7,'Inputs (2)'!$D$2:$AL$2,0))</f>
        <v>-50.953</v>
      </c>
      <c r="AD4" s="16">
        <f>INDEX('Inputs (2)'!$D$50:$AL$50,MATCH(AD$7,'Inputs (2)'!$D$2:$AL$2,0))</f>
        <v>-96.291</v>
      </c>
      <c r="AE4" s="16">
        <f>INDEX('Inputs (2)'!$D$50:$AL$50,MATCH(AE$7,'Inputs (2)'!$D$2:$AL$2,0))</f>
        <v>-246.193</v>
      </c>
      <c r="AF4" s="16">
        <f>INDEX('Inputs (2)'!$D$50:$AL$50,MATCH(AF$7,'Inputs (2)'!$D$2:$AL$2,0))</f>
        <v>432.908</v>
      </c>
      <c r="AG4" s="16">
        <f>IF(COUNT(AC4:AF4)=4,SUM(AC4:AF4),"")</f>
        <v>39.471</v>
      </c>
      <c r="AH4" s="6">
        <f>INDEX('Inputs (2)'!$D$50:$AL$50,MATCH(AH$7,'Inputs (2)'!$D$2:$AL$2,0))</f>
        <v>-179.59733257</v>
      </c>
      <c r="AI4" s="6">
        <f>INDEX('Inputs (2)'!$D$50:$AL$50,MATCH(AI$7,'Inputs (2)'!$D$2:$AL$2,0))</f>
        <v>-189.46966743</v>
      </c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</row>
    <row r="5">
      <c r="B5" s="7" t="n">
        <v>45930</v>
      </c>
      <c r="D5" s="9" t="n">
        <v>43921</v>
      </c>
      <c r="E5" s="10">
        <f>DATE(YEAR(D5),MONTH(D5)+3,DAY(D5)-1)</f>
        <v>44012.0</v>
      </c>
      <c r="F5" s="10">
        <f>DATE(YEAR(E5),MONTH(E5)+3,DAY(E5))</f>
        <v>44104.0</v>
      </c>
      <c r="G5" s="10">
        <f>DATE(YEAR(F5),MONTH(F5)+3,DAY(F5)+1)</f>
        <v>44196.0</v>
      </c>
      <c r="H5" s="8">
        <f>G5</f>
        <v>44196.0</v>
      </c>
      <c r="I5" s="9" t="n">
        <v>44286</v>
      </c>
      <c r="J5" s="10">
        <f>DATE(YEAR(I5),MONTH(I5)+3,DAY(I5)-1)</f>
        <v>44377.0</v>
      </c>
      <c r="K5" s="10">
        <f>DATE(YEAR(J5),MONTH(J5)+3,DAY(J5))</f>
        <v>44469.0</v>
      </c>
      <c r="L5" s="10">
        <f>DATE(YEAR(K5),MONTH(K5)+3,DAY(K5)+1)</f>
        <v>44561.0</v>
      </c>
      <c r="M5" s="8">
        <f>L5</f>
        <v>44561.0</v>
      </c>
      <c r="N5" s="10">
        <f>DATE(YEAR(M5),MONTH(M5)+3,DAY(M5))</f>
        <v>44651.0</v>
      </c>
      <c r="O5" s="10">
        <f>DATE(YEAR(N5),MONTH(N5)+3,DAY(N5)-1)</f>
        <v>44742.0</v>
      </c>
      <c r="P5" s="10">
        <f>DATE(YEAR(O5),MONTH(O5)+3,DAY(O5))</f>
        <v>44834.0</v>
      </c>
      <c r="Q5" s="10">
        <f>DATE(YEAR(P5),MONTH(P5)+3,DAY(P5)+1)</f>
        <v>44926.0</v>
      </c>
      <c r="R5" s="8">
        <f>Q5</f>
        <v>44926.0</v>
      </c>
      <c r="S5" s="10">
        <f>DATE(YEAR(R5),MONTH(R5)+3,DAY(R5))</f>
        <v>45016.0</v>
      </c>
      <c r="T5" s="10">
        <f>DATE(YEAR(S5),MONTH(S5)+3,DAY(S5))-1</f>
        <v>45107.0</v>
      </c>
      <c r="U5" s="10">
        <f>DATE(YEAR(T5),MONTH(T5)+3,DAY(T5))</f>
        <v>45199.0</v>
      </c>
      <c r="V5" s="10">
        <f>DATE(YEAR(U5),MONTH(U5)+3,DAY(U5))+1</f>
        <v>45291.0</v>
      </c>
      <c r="W5" s="8">
        <f>V5</f>
        <v>45291.0</v>
      </c>
      <c r="X5" s="10">
        <f>DATE(YEAR(W5),MONTH(W5)+3,DAY(W5))</f>
        <v>45382.0</v>
      </c>
      <c r="Y5" s="10">
        <f>DATE(YEAR(X5),MONTH(X5)+3,DAY(X5))-1</f>
        <v>45473.0</v>
      </c>
      <c r="Z5" s="10">
        <f>DATE(YEAR(Y5),MONTH(Y5)+3,DAY(Y5))</f>
        <v>45565.0</v>
      </c>
      <c r="AA5" s="10">
        <f>DATE(YEAR(Z5),MONTH(Z5)+3,DAY(Z5))+1</f>
        <v>45657.0</v>
      </c>
      <c r="AB5" s="8">
        <f>AA5</f>
        <v>45657.0</v>
      </c>
      <c r="AC5" s="10">
        <f>DATE(YEAR(AB5),MONTH(AB5)+3,DAY(AB5))</f>
        <v>45747.0</v>
      </c>
      <c r="AD5" s="10">
        <f>DATE(YEAR(AC5),MONTH(AC5)+3,DAY(AC5))-1</f>
        <v>45838.0</v>
      </c>
      <c r="AE5" s="10">
        <f>DATE(YEAR(AD5),MONTH(AD5)+3,DAY(AD5))</f>
        <v>45930.0</v>
      </c>
      <c r="AF5" s="10">
        <f>DATE(YEAR(AE5),MONTH(AE5)+3,DAY(AE5))+1</f>
        <v>46022.0</v>
      </c>
      <c r="AG5" s="8">
        <f>AF5</f>
        <v>46022.0</v>
      </c>
      <c r="AH5" s="10">
        <f>DATE(YEAR(AG5),MONTH(AG5)+3,DAY(AG5))</f>
        <v>46112.0</v>
      </c>
      <c r="AI5" s="10">
        <f>DATE(YEAR(AH5),MONTH(AH5)+3,DAY(AH5))-1</f>
        <v>46203.0</v>
      </c>
      <c r="AJ5" s="10">
        <f>DATE(YEAR(AI5),MONTH(AI5)+3,DAY(AI5))</f>
        <v>46295.0</v>
      </c>
      <c r="AK5" s="10">
        <f>DATE(YEAR(AJ5),MONTH(AJ5)+3,DAY(AJ5))+1</f>
        <v>46387.0</v>
      </c>
      <c r="AL5" s="8">
        <f>AK5</f>
        <v>46387.0</v>
      </c>
      <c r="AM5" s="10">
        <f>DATE(YEAR(AL5),MONTH(AL5)+3,DAY(AL5))</f>
        <v>46477.0</v>
      </c>
      <c r="AN5" s="10">
        <f>DATE(YEAR(AM5),MONTH(AM5)+3,DAY(AM5))-1</f>
        <v>46568.0</v>
      </c>
      <c r="AO5" s="10">
        <f>DATE(YEAR(AN5),MONTH(AN5)+3,DAY(AN5))</f>
        <v>46660.0</v>
      </c>
      <c r="AP5" s="10">
        <f>DATE(YEAR(AO5),MONTH(AO5)+3,DAY(AO5))+1</f>
        <v>46752.0</v>
      </c>
      <c r="AQ5" s="8">
        <f>AP5</f>
        <v>46752.0</v>
      </c>
      <c r="AR5" s="10">
        <f>DATE(YEAR(AQ5),MONTH(AQ5)+3,DAY(AQ5))</f>
        <v>46843.0</v>
      </c>
      <c r="AS5" s="10">
        <f>DATE(YEAR(AR5),MONTH(AR5)+3,DAY(AR5))-1</f>
        <v>46934.0</v>
      </c>
      <c r="AT5" s="10">
        <f>DATE(YEAR(AS5),MONTH(AS5)+3,DAY(AS5))</f>
        <v>47026.0</v>
      </c>
      <c r="AU5" s="10">
        <f>DATE(YEAR(AT5),MONTH(AT5)+3,DAY(AT5))+1</f>
        <v>47118.0</v>
      </c>
      <c r="AV5" s="8">
        <f>AU5</f>
        <v>47118.0</v>
      </c>
      <c r="AW5" s="10">
        <f>DATE(YEAR(AV5),MONTH(AV5)+3,DAY(AV5))</f>
        <v>47208.0</v>
      </c>
      <c r="AX5" s="10">
        <f>DATE(YEAR(AW5),MONTH(AW5)+3,DAY(AW5))-1</f>
        <v>47299.0</v>
      </c>
      <c r="AY5" s="10">
        <f>DATE(YEAR(AX5),MONTH(AX5)+3,DAY(AX5))</f>
        <v>47391.0</v>
      </c>
      <c r="AZ5" s="10">
        <f>DATE(YEAR(AY5),MONTH(AY5)+3,DAY(AY5))+1</f>
        <v>47483.0</v>
      </c>
      <c r="BA5" s="8">
        <f>AZ5</f>
        <v>47483.0</v>
      </c>
      <c r="BB5" s="10">
        <f>DATE(YEAR(BA5),MONTH(BA5)+3,DAY(BA5))</f>
        <v>47573.0</v>
      </c>
      <c r="BC5" s="10">
        <f>DATE(YEAR(BB5),MONTH(BB5)+3,DAY(BB5))-1</f>
        <v>47664.0</v>
      </c>
      <c r="BD5" s="10">
        <f>DATE(YEAR(BC5),MONTH(BC5)+3,DAY(BC5))</f>
        <v>47756.0</v>
      </c>
      <c r="BE5" s="10">
        <f>DATE(YEAR(BD5),MONTH(BD5)+3,DAY(BD5))+1</f>
        <v>47848.0</v>
      </c>
      <c r="BF5" s="8">
        <f>BE5</f>
        <v>47848.0</v>
      </c>
      <c r="BG5" s="10">
        <f>DATE(YEAR(BF5),MONTH(BF5)+3,DAY(BF5))</f>
        <v>47938.0</v>
      </c>
      <c r="BH5" s="10">
        <f>DATE(YEAR(BG5),MONTH(BG5)+3,DAY(BG5))-1</f>
        <v>48029.0</v>
      </c>
      <c r="BI5" s="10">
        <f>DATE(YEAR(BH5),MONTH(BH5)+3,DAY(BH5))</f>
        <v>48121.0</v>
      </c>
      <c r="BJ5" s="10">
        <f>DATE(YEAR(BI5),MONTH(BI5)+3,DAY(BI5))+1</f>
        <v>48213.0</v>
      </c>
      <c r="BK5" s="8">
        <f>BJ5</f>
        <v>48213.0</v>
      </c>
      <c r="BL5" s="10">
        <f>DATE(YEAR(BK5),MONTH(BK5)+3,DAY(BK5))</f>
        <v>48304.0</v>
      </c>
      <c r="BM5" s="10">
        <f>DATE(YEAR(BL5),MONTH(BL5)+3,DAY(BL5))-1</f>
        <v>48395.0</v>
      </c>
      <c r="BN5" s="10">
        <f>DATE(YEAR(BM5),MONTH(BM5)+3,DAY(BM5))</f>
        <v>48487.0</v>
      </c>
      <c r="BO5" s="10">
        <f>DATE(YEAR(BN5),MONTH(BN5)+3,DAY(BN5))+1</f>
        <v>48579.0</v>
      </c>
      <c r="BP5" s="8">
        <f>BO5</f>
        <v>48579.0</v>
      </c>
      <c r="BQ5" s="10">
        <f>DATE(YEAR(BP5),MONTH(BP5)+3,DAY(BP5))</f>
        <v>48669.0</v>
      </c>
      <c r="BR5" s="10">
        <f>DATE(YEAR(BQ5),MONTH(BQ5)+3,DAY(BQ5))-1</f>
        <v>48760.0</v>
      </c>
      <c r="BS5" s="10">
        <f>DATE(YEAR(BR5),MONTH(BR5)+3,DAY(BR5))</f>
        <v>48852.0</v>
      </c>
      <c r="BT5" s="10">
        <f>DATE(YEAR(BS5),MONTH(BS5)+3,DAY(BS5))+1</f>
        <v>48944.0</v>
      </c>
      <c r="BU5" s="8">
        <f>BT5</f>
        <v>48944.0</v>
      </c>
      <c r="BV5" s="10">
        <f>DATE(YEAR(BU5),MONTH(BU5)+3,DAY(BU5))</f>
        <v>49034.0</v>
      </c>
      <c r="BW5" s="10">
        <f>DATE(YEAR(BV5),MONTH(BV5)+3,DAY(BV5))-1</f>
        <v>49125.0</v>
      </c>
      <c r="BX5" s="10">
        <f>DATE(YEAR(BW5),MONTH(BW5)+3,DAY(BW5))</f>
        <v>49217.0</v>
      </c>
      <c r="BY5" s="10">
        <f>DATE(YEAR(BX5),MONTH(BX5)+3,DAY(BX5))+1</f>
        <v>49309.0</v>
      </c>
      <c r="BZ5" s="8">
        <f>BY5</f>
        <v>49309.0</v>
      </c>
      <c r="CA5" s="10">
        <f>DATE(YEAR(BZ5),MONTH(BZ5)+3,DAY(BZ5))</f>
        <v>49399.0</v>
      </c>
      <c r="CB5" s="10">
        <f>DATE(YEAR(CA5),MONTH(CA5)+3,DAY(CA5))-1</f>
        <v>49490.0</v>
      </c>
      <c r="CC5" s="10">
        <f>DATE(YEAR(CB5),MONTH(CB5)+3,DAY(CB5))</f>
        <v>49582.0</v>
      </c>
      <c r="CD5" s="10">
        <f>DATE(YEAR(CC5),MONTH(CC5)+3,DAY(CC5))+1</f>
        <v>49674.0</v>
      </c>
      <c r="CE5" s="8">
        <f>CD5</f>
        <v>49674.0</v>
      </c>
      <c r="CF5" s="10">
        <f>DATE(YEAR(CE5),MONTH(CE5)+3,DAY(CE5))</f>
        <v>49765.0</v>
      </c>
      <c r="CG5" s="10">
        <f>DATE(YEAR(CF5),MONTH(CF5)+3,DAY(CF5))-1</f>
        <v>49856.0</v>
      </c>
      <c r="CH5" s="10">
        <f>DATE(YEAR(CG5),MONTH(CG5)+3,DAY(CG5))</f>
        <v>49948.0</v>
      </c>
      <c r="CI5" s="10">
        <f>DATE(YEAR(CH5),MONTH(CH5)+3,DAY(CH5))+1</f>
        <v>50040.0</v>
      </c>
      <c r="CJ5" s="8">
        <f>CI5</f>
        <v>50040.0</v>
      </c>
      <c r="CK5" s="10">
        <f>DATE(YEAR(CJ5),MONTH(CJ5)+3,DAY(CJ5))</f>
        <v>50130.0</v>
      </c>
      <c r="CL5" s="10">
        <f>DATE(YEAR(CK5),MONTH(CK5)+3,DAY(CK5))-1</f>
        <v>50221.0</v>
      </c>
      <c r="CM5" s="10">
        <f>DATE(YEAR(CL5),MONTH(CL5)+3,DAY(CL5))</f>
        <v>50313.0</v>
      </c>
      <c r="CN5" s="10">
        <f>DATE(YEAR(CM5),MONTH(CM5)+3,DAY(CM5))+1</f>
        <v>50405.0</v>
      </c>
      <c r="CO5" s="8">
        <f>CN5</f>
        <v>50405.0</v>
      </c>
      <c r="CP5" s="10">
        <f>DATE(YEAR(CO5),MONTH(CO5)+3,DAY(CO5))</f>
        <v>50495.0</v>
      </c>
      <c r="CQ5" s="10">
        <f>DATE(YEAR(CP5),MONTH(CP5)+3,DAY(CP5))-1</f>
        <v>50586.0</v>
      </c>
      <c r="CR5" s="10">
        <f>DATE(YEAR(CQ5),MONTH(CQ5)+3,DAY(CQ5))</f>
        <v>50678.0</v>
      </c>
      <c r="CS5" s="10">
        <f>DATE(YEAR(CR5),MONTH(CR5)+3,DAY(CR5))+1</f>
        <v>50770.0</v>
      </c>
      <c r="CT5" s="8">
        <f>CS5</f>
        <v>50770.0</v>
      </c>
      <c r="CU5" s="10">
        <f>DATE(YEAR(CT5),MONTH(CT5)+3,DAY(CT5))</f>
        <v>50860.0</v>
      </c>
      <c r="CV5" s="10">
        <f>DATE(YEAR(CU5),MONTH(CU5)+3,DAY(CU5))-1</f>
        <v>50951.0</v>
      </c>
      <c r="CW5" s="10">
        <f>DATE(YEAR(CV5),MONTH(CV5)+3,DAY(CV5))</f>
        <v>51043.0</v>
      </c>
      <c r="CX5" s="10">
        <f>DATE(YEAR(CW5),MONTH(CW5)+3,DAY(CW5))+1</f>
        <v>51135.0</v>
      </c>
      <c r="CY5" s="8">
        <f>CX5</f>
        <v>51135.0</v>
      </c>
    </row>
    <row r="6">
      <c r="B6" s="49" t="n"/>
      <c r="D6" s="11">
        <f>YEAR(D5)</f>
        <v>2020</v>
      </c>
      <c r="E6" s="11">
        <f>YEAR(E5)</f>
        <v>2020</v>
      </c>
      <c r="F6" s="11">
        <f>YEAR(F5)</f>
        <v>2020</v>
      </c>
      <c r="G6" s="11">
        <f>YEAR(G5)</f>
        <v>2020</v>
      </c>
      <c r="H6" s="11">
        <f>YEAR(H5)</f>
        <v>2020</v>
      </c>
      <c r="I6" s="11">
        <f>YEAR(I5)</f>
        <v>2021</v>
      </c>
      <c r="J6" s="11">
        <f>YEAR(J5)</f>
        <v>2021</v>
      </c>
      <c r="K6" s="11">
        <f>YEAR(K5)</f>
        <v>2021</v>
      </c>
      <c r="L6" s="11">
        <f>YEAR(L5)</f>
        <v>2021</v>
      </c>
      <c r="M6" s="11">
        <f>YEAR(M5)</f>
        <v>2021</v>
      </c>
      <c r="N6" s="11">
        <f>YEAR(N5)</f>
        <v>2022</v>
      </c>
      <c r="O6" s="11">
        <f>YEAR(O5)</f>
        <v>2022</v>
      </c>
      <c r="P6" s="11">
        <f>YEAR(P5)</f>
        <v>2022</v>
      </c>
      <c r="Q6" s="11">
        <f>YEAR(Q5)</f>
        <v>2022</v>
      </c>
      <c r="R6" s="11">
        <f>YEAR(R5)</f>
        <v>2022</v>
      </c>
      <c r="S6" s="11">
        <f>YEAR(S5)</f>
        <v>2023</v>
      </c>
      <c r="T6" s="11">
        <f>YEAR(T5)</f>
        <v>2023</v>
      </c>
      <c r="U6" s="11">
        <f>YEAR(U5)</f>
        <v>2023</v>
      </c>
      <c r="V6" s="11">
        <f>YEAR(V5)</f>
        <v>2023</v>
      </c>
      <c r="W6" s="11">
        <f>YEAR(W5)</f>
        <v>2023</v>
      </c>
      <c r="X6" s="11">
        <f>YEAR(X5)</f>
        <v>2024</v>
      </c>
      <c r="Y6" s="11">
        <f>YEAR(Y5)</f>
        <v>2024</v>
      </c>
      <c r="Z6" s="11">
        <f>YEAR(Z5)</f>
        <v>2024</v>
      </c>
      <c r="AA6" s="11">
        <f>YEAR(AA5)</f>
        <v>2024</v>
      </c>
      <c r="AB6" s="11">
        <f>YEAR(AB5)</f>
        <v>2024</v>
      </c>
      <c r="AC6" s="11">
        <f>YEAR(AC5)</f>
        <v>2025</v>
      </c>
      <c r="AD6" s="11">
        <f>YEAR(AD5)</f>
        <v>2025</v>
      </c>
      <c r="AE6" s="11">
        <f>YEAR(AE5)</f>
        <v>2025</v>
      </c>
      <c r="AF6" s="11">
        <f>YEAR(AF5)</f>
        <v>2025</v>
      </c>
      <c r="AG6" s="11">
        <f>YEAR(AG5)</f>
        <v>2025</v>
      </c>
      <c r="AH6" s="11">
        <f>YEAR(AH5)</f>
        <v>2026</v>
      </c>
      <c r="AI6" s="11">
        <f>YEAR(AI5)</f>
        <v>2026</v>
      </c>
      <c r="AJ6" s="11">
        <f>YEAR(AJ5)</f>
        <v>2026</v>
      </c>
      <c r="AK6" s="11">
        <f>YEAR(AK5)</f>
        <v>2026</v>
      </c>
      <c r="AL6" s="11">
        <f>YEAR(AL5)</f>
        <v>2026</v>
      </c>
      <c r="AM6" s="11">
        <f>YEAR(AM5)</f>
        <v>2027</v>
      </c>
      <c r="AN6" s="11">
        <f>YEAR(AN5)</f>
        <v>2027</v>
      </c>
      <c r="AO6" s="11">
        <f>YEAR(AO5)</f>
        <v>2027</v>
      </c>
      <c r="AP6" s="11">
        <f>YEAR(AP5)</f>
        <v>2027</v>
      </c>
      <c r="AQ6" s="11">
        <f>YEAR(AQ5)</f>
        <v>2027</v>
      </c>
      <c r="AR6" s="11">
        <f>YEAR(AR5)</f>
        <v>2028</v>
      </c>
      <c r="AS6" s="11">
        <f>YEAR(AS5)</f>
        <v>2028</v>
      </c>
      <c r="AT6" s="11">
        <f>YEAR(AT5)</f>
        <v>2028</v>
      </c>
      <c r="AU6" s="11">
        <f>YEAR(AU5)</f>
        <v>2028</v>
      </c>
      <c r="AV6" s="11">
        <f>YEAR(AV5)</f>
        <v>2028</v>
      </c>
      <c r="AW6" s="11">
        <f>YEAR(AW5)</f>
        <v>2029</v>
      </c>
      <c r="AX6" s="11">
        <f>YEAR(AX5)</f>
        <v>2029</v>
      </c>
      <c r="AY6" s="11">
        <f>YEAR(AY5)</f>
        <v>2029</v>
      </c>
      <c r="AZ6" s="11">
        <f>YEAR(AZ5)</f>
        <v>2029</v>
      </c>
      <c r="BA6" s="11">
        <f>YEAR(BA5)</f>
        <v>2029</v>
      </c>
      <c r="BB6" s="11">
        <f>YEAR(BB5)</f>
        <v>2030</v>
      </c>
      <c r="BC6" s="11">
        <f>YEAR(BC5)</f>
        <v>2030</v>
      </c>
      <c r="BD6" s="11">
        <f>YEAR(BD5)</f>
        <v>2030</v>
      </c>
      <c r="BE6" s="11">
        <f>YEAR(BE5)</f>
        <v>2030</v>
      </c>
      <c r="BF6" s="11">
        <f>YEAR(BF5)</f>
        <v>2030</v>
      </c>
      <c r="BG6" s="11">
        <f>YEAR(BG5)</f>
        <v>2031</v>
      </c>
      <c r="BH6" s="11">
        <f>YEAR(BH5)</f>
        <v>2031</v>
      </c>
      <c r="BI6" s="11">
        <f>YEAR(BI5)</f>
        <v>2031</v>
      </c>
      <c r="BJ6" s="11">
        <f>YEAR(BJ5)</f>
        <v>2031</v>
      </c>
      <c r="BK6" s="11">
        <f>YEAR(BK5)</f>
        <v>2031</v>
      </c>
      <c r="BL6" s="11">
        <f>YEAR(BL5)</f>
        <v>2032</v>
      </c>
      <c r="BM6" s="11">
        <f>YEAR(BM5)</f>
        <v>2032</v>
      </c>
      <c r="BN6" s="11">
        <f>YEAR(BN5)</f>
        <v>2032</v>
      </c>
      <c r="BO6" s="11">
        <f>YEAR(BO5)</f>
        <v>2032</v>
      </c>
      <c r="BP6" s="11">
        <f>YEAR(BP5)</f>
        <v>2032</v>
      </c>
      <c r="BQ6" s="11">
        <f>YEAR(BQ5)</f>
        <v>2033</v>
      </c>
      <c r="BR6" s="11">
        <f>YEAR(BR5)</f>
        <v>2033</v>
      </c>
      <c r="BS6" s="11">
        <f>YEAR(BS5)</f>
        <v>2033</v>
      </c>
      <c r="BT6" s="11">
        <f>YEAR(BT5)</f>
        <v>2033</v>
      </c>
      <c r="BU6" s="11">
        <f>YEAR(BU5)</f>
        <v>2033</v>
      </c>
      <c r="BV6" s="11">
        <f>YEAR(BV5)</f>
        <v>2034</v>
      </c>
      <c r="BW6" s="11">
        <f>YEAR(BW5)</f>
        <v>2034</v>
      </c>
      <c r="BX6" s="11">
        <f>YEAR(BX5)</f>
        <v>2034</v>
      </c>
      <c r="BY6" s="11">
        <f>YEAR(BY5)</f>
        <v>2034</v>
      </c>
      <c r="BZ6" s="11">
        <f>YEAR(BZ5)</f>
        <v>2034</v>
      </c>
      <c r="CA6" s="11">
        <f>YEAR(CA5)</f>
        <v>2035</v>
      </c>
      <c r="CB6" s="11">
        <f>YEAR(CB5)</f>
        <v>2035</v>
      </c>
      <c r="CC6" s="11">
        <f>YEAR(CC5)</f>
        <v>2035</v>
      </c>
      <c r="CD6" s="11">
        <f>YEAR(CD5)</f>
        <v>2035</v>
      </c>
      <c r="CE6" s="11">
        <f>YEAR(CE5)</f>
        <v>2035</v>
      </c>
      <c r="CF6" s="11">
        <f>YEAR(CF5)</f>
        <v>2036</v>
      </c>
      <c r="CG6" s="11">
        <f>YEAR(CG5)</f>
        <v>2036</v>
      </c>
      <c r="CH6" s="11">
        <f>YEAR(CH5)</f>
        <v>2036</v>
      </c>
      <c r="CI6" s="11">
        <f>YEAR(CI5)</f>
        <v>2036</v>
      </c>
      <c r="CJ6" s="11">
        <f>YEAR(CJ5)</f>
        <v>2036</v>
      </c>
      <c r="CK6" s="11">
        <f>YEAR(CK5)</f>
        <v>2037</v>
      </c>
      <c r="CL6" s="11">
        <f>YEAR(CL5)</f>
        <v>2037</v>
      </c>
      <c r="CM6" s="11">
        <f>YEAR(CM5)</f>
        <v>2037</v>
      </c>
      <c r="CN6" s="11">
        <f>YEAR(CN5)</f>
        <v>2037</v>
      </c>
      <c r="CO6" s="11">
        <f>YEAR(CO5)</f>
        <v>2037</v>
      </c>
      <c r="CP6" s="11">
        <f>YEAR(CP5)</f>
        <v>2038</v>
      </c>
      <c r="CQ6" s="11">
        <f>YEAR(CQ5)</f>
        <v>2038</v>
      </c>
      <c r="CR6" s="11">
        <f>YEAR(CR5)</f>
        <v>2038</v>
      </c>
      <c r="CS6" s="11">
        <f>YEAR(CS5)</f>
        <v>2038</v>
      </c>
      <c r="CT6" s="11">
        <f>YEAR(CT5)</f>
        <v>2038</v>
      </c>
      <c r="CU6" s="11">
        <f>YEAR(CU5)</f>
        <v>2039</v>
      </c>
      <c r="CV6" s="11">
        <f>YEAR(CV5)</f>
        <v>2039</v>
      </c>
      <c r="CW6" s="11">
        <f>YEAR(CW5)</f>
        <v>2039</v>
      </c>
      <c r="CX6" s="11">
        <f>YEAR(CX5)</f>
        <v>2039</v>
      </c>
      <c r="CY6" s="11">
        <f>YEAR(CY5)</f>
        <v>2039</v>
      </c>
    </row>
    <row r="7">
      <c r="B7" s="4" t="n"/>
      <c r="D7" s="50" t="str">
        <f>"1Q"&amp;RIGHT(D6,2)</f>
        <v>1Q20</v>
      </c>
      <c r="E7" s="50" t="str">
        <f>"2Q"&amp;RIGHT(E6,2)</f>
        <v>2Q20</v>
      </c>
      <c r="F7" s="50" t="str">
        <f>"3Q"&amp;RIGHT(F6,2)</f>
        <v>3Q20</v>
      </c>
      <c r="G7" s="50" t="str">
        <f>"4Q"&amp;RIGHT(G6,2)</f>
        <v>4Q20</v>
      </c>
      <c r="H7" s="31" t="n">
        <v>2020</v>
      </c>
      <c r="I7" s="50" t="str">
        <f>"1Q"&amp;RIGHT(I6,2)</f>
        <v>1Q21</v>
      </c>
      <c r="J7" s="50" t="str">
        <f>"2Q"&amp;RIGHT(J6,2)</f>
        <v>2Q21</v>
      </c>
      <c r="K7" s="50" t="str">
        <f>"3Q"&amp;RIGHT(K6,2)</f>
        <v>3Q21</v>
      </c>
      <c r="L7" s="50" t="str">
        <f>"4Q"&amp;RIGHT(L6,2)</f>
        <v>4Q21</v>
      </c>
      <c r="M7" s="31">
        <f>H7+1</f>
        <v>2021</v>
      </c>
      <c r="N7" s="50" t="str">
        <f>"1Q"&amp;RIGHT(N6,2)</f>
        <v>1Q22</v>
      </c>
      <c r="O7" s="50" t="str">
        <f>"2Q"&amp;RIGHT(O6,2)</f>
        <v>2Q22</v>
      </c>
      <c r="P7" s="50" t="str">
        <f>"3Q"&amp;RIGHT(P6,2)</f>
        <v>3Q22</v>
      </c>
      <c r="Q7" s="50" t="str">
        <f>"4Q"&amp;RIGHT(Q6,2)</f>
        <v>4Q22</v>
      </c>
      <c r="R7" s="31">
        <f>M7+1</f>
        <v>2022</v>
      </c>
      <c r="S7" s="50" t="str">
        <f>"1Q"&amp;RIGHT(S6,2)</f>
        <v>1Q23</v>
      </c>
      <c r="T7" s="50" t="str">
        <f>"2Q"&amp;RIGHT(T6,2)</f>
        <v>2Q23</v>
      </c>
      <c r="U7" s="50" t="str">
        <f>"3Q"&amp;RIGHT(U6,2)</f>
        <v>3Q23</v>
      </c>
      <c r="V7" s="50" t="str">
        <f>"4Q"&amp;RIGHT(V6,2)</f>
        <v>4Q23</v>
      </c>
      <c r="W7" s="31">
        <f>R7+1</f>
        <v>2023</v>
      </c>
      <c r="X7" s="50" t="str">
        <f>"1Q"&amp;RIGHT(X6,2)</f>
        <v>1Q24</v>
      </c>
      <c r="Y7" s="50" t="str">
        <f>"2Q"&amp;RIGHT(Y6,2)</f>
        <v>2Q24</v>
      </c>
      <c r="Z7" s="50" t="str">
        <f>"3Q"&amp;RIGHT(Z6,2)</f>
        <v>3Q24</v>
      </c>
      <c r="AA7" s="50" t="str">
        <f>"4Q"&amp;RIGHT(AA6,2)</f>
        <v>4Q24</v>
      </c>
      <c r="AB7" s="31">
        <f>W7+1</f>
        <v>2024</v>
      </c>
      <c r="AC7" s="50" t="str">
        <f>"1Q"&amp;RIGHT(AC6,2)</f>
        <v>1Q25</v>
      </c>
      <c r="AD7" s="50" t="str">
        <f>"2Q"&amp;RIGHT(AD6,2)</f>
        <v>2Q25</v>
      </c>
      <c r="AE7" s="50" t="str">
        <f>"3Q"&amp;RIGHT(AE6,2)</f>
        <v>3Q25</v>
      </c>
      <c r="AF7" s="50" t="str">
        <f>"4Q"&amp;RIGHT(AF6,2)</f>
        <v>4Q25</v>
      </c>
      <c r="AG7" s="31">
        <f>AB7+1</f>
        <v>2025</v>
      </c>
      <c r="AH7" s="50" t="str">
        <f>"1Q"&amp;RIGHT(AH6,2)</f>
        <v>1Q26</v>
      </c>
      <c r="AI7" s="50" t="str">
        <f>"2Q"&amp;RIGHT(AI6,2)</f>
        <v>2Q26</v>
      </c>
      <c r="AJ7" s="50" t="str">
        <f>"3Q"&amp;RIGHT(AJ6,2)</f>
        <v>3Q26</v>
      </c>
      <c r="AK7" s="50" t="str">
        <f>"4Q"&amp;RIGHT(AK6,2)</f>
        <v>4Q26</v>
      </c>
      <c r="AL7" s="31">
        <f>AG7+1</f>
        <v>2026</v>
      </c>
      <c r="AM7" s="50" t="str">
        <f>"1Q"&amp;RIGHT(AM6,2)</f>
        <v>1Q27</v>
      </c>
      <c r="AN7" s="50" t="str">
        <f>"2Q"&amp;RIGHT(AN6,2)</f>
        <v>2Q27</v>
      </c>
      <c r="AO7" s="50" t="str">
        <f>"3Q"&amp;RIGHT(AO6,2)</f>
        <v>3Q27</v>
      </c>
      <c r="AP7" s="50" t="str">
        <f>"4Q"&amp;RIGHT(AP6,2)</f>
        <v>4Q27</v>
      </c>
      <c r="AQ7" s="31">
        <f>AL7+1</f>
        <v>2027</v>
      </c>
      <c r="AR7" s="50" t="str">
        <f>"1Q"&amp;RIGHT(AR6,2)</f>
        <v>1Q28</v>
      </c>
      <c r="AS7" s="50" t="str">
        <f>"2Q"&amp;RIGHT(AS6,2)</f>
        <v>2Q28</v>
      </c>
      <c r="AT7" s="50" t="str">
        <f>"3Q"&amp;RIGHT(AT6,2)</f>
        <v>3Q28</v>
      </c>
      <c r="AU7" s="50" t="str">
        <f>"4Q"&amp;RIGHT(AU6,2)</f>
        <v>4Q28</v>
      </c>
      <c r="AV7" s="31">
        <f>AQ7+1</f>
        <v>2028</v>
      </c>
      <c r="AW7" s="50" t="str">
        <f>"1Q"&amp;RIGHT(AW6,2)</f>
        <v>1Q29</v>
      </c>
      <c r="AX7" s="50" t="str">
        <f>"2Q"&amp;RIGHT(AX6,2)</f>
        <v>2Q29</v>
      </c>
      <c r="AY7" s="50" t="str">
        <f>"3Q"&amp;RIGHT(AY6,2)</f>
        <v>3Q29</v>
      </c>
      <c r="AZ7" s="50" t="str">
        <f>"4Q"&amp;RIGHT(AZ6,2)</f>
        <v>4Q29</v>
      </c>
      <c r="BA7" s="31">
        <f>AV7+1</f>
        <v>2029</v>
      </c>
      <c r="BB7" s="50" t="str">
        <f>"1Q"&amp;RIGHT(BB6,2)</f>
        <v>1Q30</v>
      </c>
      <c r="BC7" s="50" t="str">
        <f>"2Q"&amp;RIGHT(BC6,2)</f>
        <v>2Q30</v>
      </c>
      <c r="BD7" s="50" t="str">
        <f>"3Q"&amp;RIGHT(BD6,2)</f>
        <v>3Q30</v>
      </c>
      <c r="BE7" s="50" t="str">
        <f>"4Q"&amp;RIGHT(BE6,2)</f>
        <v>4Q30</v>
      </c>
      <c r="BF7" s="31">
        <f>BA7+1</f>
        <v>2030</v>
      </c>
      <c r="BG7" s="50" t="str">
        <f>"1Q"&amp;RIGHT(BG6,2)</f>
        <v>1Q31</v>
      </c>
      <c r="BH7" s="50" t="str">
        <f>"2Q"&amp;RIGHT(BH6,2)</f>
        <v>2Q31</v>
      </c>
      <c r="BI7" s="50" t="str">
        <f>"3Q"&amp;RIGHT(BI6,2)</f>
        <v>3Q31</v>
      </c>
      <c r="BJ7" s="50" t="str">
        <f>"4Q"&amp;RIGHT(BJ6,2)</f>
        <v>4Q31</v>
      </c>
      <c r="BK7" s="31">
        <f>BF7+1</f>
        <v>2031</v>
      </c>
      <c r="BL7" s="50" t="str">
        <f>"1Q"&amp;RIGHT(BL6,2)</f>
        <v>1Q32</v>
      </c>
      <c r="BM7" s="50" t="str">
        <f>"2Q"&amp;RIGHT(BM6,2)</f>
        <v>2Q32</v>
      </c>
      <c r="BN7" s="50" t="str">
        <f>"3Q"&amp;RIGHT(BN6,2)</f>
        <v>3Q32</v>
      </c>
      <c r="BO7" s="50" t="str">
        <f>"4Q"&amp;RIGHT(BO6,2)</f>
        <v>4Q32</v>
      </c>
      <c r="BP7" s="31">
        <f>BK7+1</f>
        <v>2032</v>
      </c>
      <c r="BQ7" s="50" t="str">
        <f>"1Q"&amp;RIGHT(BQ6,2)</f>
        <v>1Q33</v>
      </c>
      <c r="BR7" s="50" t="str">
        <f>"2Q"&amp;RIGHT(BR6,2)</f>
        <v>2Q33</v>
      </c>
      <c r="BS7" s="50" t="str">
        <f>"3Q"&amp;RIGHT(BS6,2)</f>
        <v>3Q33</v>
      </c>
      <c r="BT7" s="50" t="str">
        <f>"4Q"&amp;RIGHT(BT6,2)</f>
        <v>4Q33</v>
      </c>
      <c r="BU7" s="31">
        <f>BP7+1</f>
        <v>2033</v>
      </c>
      <c r="BV7" s="50" t="str">
        <f>"1Q"&amp;RIGHT(BV6,2)</f>
        <v>1Q34</v>
      </c>
      <c r="BW7" s="50" t="str">
        <f>"2Q"&amp;RIGHT(BW6,2)</f>
        <v>2Q34</v>
      </c>
      <c r="BX7" s="50" t="str">
        <f>"3Q"&amp;RIGHT(BX6,2)</f>
        <v>3Q34</v>
      </c>
      <c r="BY7" s="50" t="str">
        <f>"4Q"&amp;RIGHT(BY6,2)</f>
        <v>4Q34</v>
      </c>
      <c r="BZ7" s="31">
        <f>BU7+1</f>
        <v>2034</v>
      </c>
      <c r="CA7" s="50" t="str">
        <f>"1Q"&amp;RIGHT(CA6,2)</f>
        <v>1Q35</v>
      </c>
      <c r="CB7" s="50" t="str">
        <f>"2Q"&amp;RIGHT(CB6,2)</f>
        <v>2Q35</v>
      </c>
      <c r="CC7" s="50" t="str">
        <f>"3Q"&amp;RIGHT(CC6,2)</f>
        <v>3Q35</v>
      </c>
      <c r="CD7" s="50" t="str">
        <f>"4Q"&amp;RIGHT(CD6,2)</f>
        <v>4Q35</v>
      </c>
      <c r="CE7" s="31">
        <f>BZ7+1</f>
        <v>2035</v>
      </c>
      <c r="CF7" s="50" t="str">
        <f>"1Q"&amp;RIGHT(CF6,2)</f>
        <v>1Q36</v>
      </c>
      <c r="CG7" s="50" t="str">
        <f>"2Q"&amp;RIGHT(CG6,2)</f>
        <v>2Q36</v>
      </c>
      <c r="CH7" s="50" t="str">
        <f>"3Q"&amp;RIGHT(CH6,2)</f>
        <v>3Q36</v>
      </c>
      <c r="CI7" s="50" t="str">
        <f>"4Q"&amp;RIGHT(CI6,2)</f>
        <v>4Q36</v>
      </c>
      <c r="CJ7" s="31">
        <f>CE7+1</f>
        <v>2036</v>
      </c>
      <c r="CK7" s="50" t="str">
        <f>"1Q"&amp;RIGHT(CK6,2)</f>
        <v>1Q37</v>
      </c>
      <c r="CL7" s="50" t="str">
        <f>"2Q"&amp;RIGHT(CL6,2)</f>
        <v>2Q37</v>
      </c>
      <c r="CM7" s="50" t="str">
        <f>"3Q"&amp;RIGHT(CM6,2)</f>
        <v>3Q37</v>
      </c>
      <c r="CN7" s="50" t="str">
        <f>"4Q"&amp;RIGHT(CN6,2)</f>
        <v>4Q37</v>
      </c>
      <c r="CO7" s="31">
        <f>CJ7+1</f>
        <v>2037</v>
      </c>
      <c r="CP7" s="50" t="str">
        <f>"1Q"&amp;RIGHT(CP6,2)</f>
        <v>1Q38</v>
      </c>
      <c r="CQ7" s="50" t="str">
        <f>"2Q"&amp;RIGHT(CQ6,2)</f>
        <v>2Q38</v>
      </c>
      <c r="CR7" s="50" t="str">
        <f>"3Q"&amp;RIGHT(CR6,2)</f>
        <v>3Q38</v>
      </c>
      <c r="CS7" s="50" t="str">
        <f>"4Q"&amp;RIGHT(CS6,2)</f>
        <v>4Q38</v>
      </c>
      <c r="CT7" s="31">
        <f>CO7+1</f>
        <v>2038</v>
      </c>
      <c r="CU7" s="50" t="str">
        <f>"1Q"&amp;RIGHT(CU6,2)</f>
        <v>1Q39</v>
      </c>
      <c r="CV7" s="50" t="str">
        <f>"2Q"&amp;RIGHT(CV6,2)</f>
        <v>2Q39</v>
      </c>
      <c r="CW7" s="50" t="str">
        <f>"3Q"&amp;RIGHT(CW6,2)</f>
        <v>3Q39</v>
      </c>
      <c r="CX7" s="50" t="str">
        <f>"4Q"&amp;RIGHT(CX6,2)</f>
        <v>4Q39</v>
      </c>
      <c r="CY7" s="31">
        <f>CT7+1</f>
        <v>2039</v>
      </c>
    </row>
    <row r="8">
      <c r="B8" s="4" t="n"/>
      <c r="C8" s="4" t="inlineStr">
        <is>
          <t>IPCA</t>
        </is>
      </c>
      <c r="D8" s="50" t="n"/>
      <c r="E8" s="50" t="n"/>
      <c r="F8" s="50" t="n"/>
      <c r="G8" s="50" t="n"/>
      <c r="H8" s="227" t="n">
        <v>0.0485</v>
      </c>
      <c r="I8" s="50" t="n"/>
      <c r="J8" s="50" t="n"/>
      <c r="K8" s="50" t="n"/>
      <c r="L8" s="50" t="n"/>
      <c r="M8" s="227" t="n">
        <v>0.1006</v>
      </c>
      <c r="N8" s="50" t="n"/>
      <c r="O8" s="50" t="n"/>
      <c r="P8" s="50" t="n"/>
      <c r="Q8" s="50" t="n"/>
      <c r="R8" s="227" t="n">
        <v>0.0579</v>
      </c>
      <c r="S8" s="50" t="n"/>
      <c r="T8" s="50" t="n"/>
      <c r="U8" s="50" t="n"/>
      <c r="V8" s="50" t="n"/>
      <c r="W8" s="227" t="n">
        <v>0.0468</v>
      </c>
      <c r="X8" s="50" t="n"/>
      <c r="Y8" s="50" t="n"/>
      <c r="Z8" s="50" t="n"/>
      <c r="AA8" s="50" t="n"/>
      <c r="AB8" s="227" t="n">
        <v>0.0483</v>
      </c>
      <c r="AC8" s="50" t="n"/>
      <c r="AD8" s="50" t="n"/>
      <c r="AE8" s="50" t="n"/>
      <c r="AF8" s="50" t="n"/>
      <c r="AG8" s="227" t="n">
        <v>0.0468</v>
      </c>
      <c r="AH8" s="50" t="n"/>
      <c r="AI8" s="50" t="n"/>
      <c r="AJ8" s="50" t="n"/>
      <c r="AK8" s="50" t="n"/>
      <c r="AL8" s="217" t="n"/>
      <c r="AM8" s="50" t="n"/>
      <c r="AN8" s="50" t="n"/>
      <c r="AO8" s="50" t="n"/>
      <c r="AP8" s="50" t="n"/>
      <c r="AQ8" s="217" t="n"/>
      <c r="AR8" s="50" t="n"/>
      <c r="AS8" s="50" t="n"/>
      <c r="AT8" s="50" t="n"/>
      <c r="AU8" s="50" t="n"/>
      <c r="AV8" s="217" t="n"/>
      <c r="AW8" s="50" t="n"/>
      <c r="AX8" s="50" t="n"/>
      <c r="AY8" s="50" t="n"/>
      <c r="AZ8" s="50" t="n"/>
      <c r="BA8" s="217" t="n"/>
      <c r="BB8" s="50" t="n"/>
      <c r="BC8" s="50" t="n"/>
      <c r="BD8" s="50" t="n"/>
      <c r="BE8" s="50" t="n"/>
      <c r="BF8" s="217" t="n"/>
      <c r="BG8" s="50" t="n"/>
      <c r="BH8" s="50" t="n"/>
      <c r="BI8" s="50" t="n"/>
      <c r="BJ8" s="50" t="n"/>
      <c r="BK8" s="217" t="n"/>
      <c r="BL8" s="50" t="n"/>
      <c r="BM8" s="50" t="n"/>
      <c r="BN8" s="50" t="n"/>
      <c r="BO8" s="50" t="n"/>
      <c r="BP8" s="217" t="n"/>
      <c r="BQ8" s="50" t="n"/>
      <c r="BR8" s="50" t="n"/>
      <c r="BS8" s="50" t="n"/>
      <c r="BT8" s="50" t="n"/>
      <c r="BU8" s="217" t="n"/>
      <c r="BV8" s="50" t="n"/>
      <c r="BW8" s="50" t="n"/>
      <c r="BX8" s="50" t="n"/>
      <c r="BY8" s="50" t="n"/>
      <c r="BZ8" s="217" t="n"/>
      <c r="CA8" s="50" t="n"/>
      <c r="CB8" s="50" t="n"/>
      <c r="CC8" s="50" t="n"/>
      <c r="CD8" s="50" t="n"/>
      <c r="CE8" s="217" t="n"/>
      <c r="CF8" s="50" t="n"/>
      <c r="CG8" s="50" t="n"/>
      <c r="CH8" s="50" t="n"/>
      <c r="CI8" s="50" t="n"/>
      <c r="CJ8" s="217" t="n"/>
      <c r="CK8" s="50" t="n"/>
      <c r="CL8" s="50" t="n"/>
      <c r="CM8" s="50" t="n"/>
      <c r="CN8" s="50" t="n"/>
      <c r="CO8" s="217" t="n"/>
      <c r="CP8" s="50" t="n"/>
      <c r="CQ8" s="50" t="n"/>
      <c r="CR8" s="50" t="n"/>
      <c r="CS8" s="50" t="n"/>
      <c r="CT8" s="217" t="n"/>
      <c r="CU8" s="50" t="n"/>
      <c r="CV8" s="50" t="n"/>
      <c r="CW8" s="50" t="n"/>
      <c r="CX8" s="50" t="n"/>
      <c r="CY8" s="217" t="n"/>
    </row>
    <row r="9">
      <c r="B9" s="4" t="n"/>
      <c r="C9" s="4" t="inlineStr">
        <is>
          <t>GDP BRAZIL</t>
        </is>
      </c>
      <c r="D9" s="50" t="n"/>
      <c r="E9" s="50" t="n"/>
      <c r="F9" s="50" t="n"/>
      <c r="G9" s="50" t="n"/>
      <c r="H9" s="228" t="n">
        <v>-0.046</v>
      </c>
      <c r="I9" s="50" t="n"/>
      <c r="J9" s="50" t="n"/>
      <c r="K9" s="50" t="n"/>
      <c r="L9" s="50" t="n"/>
      <c r="M9" s="228" t="n">
        <v>0.046</v>
      </c>
      <c r="N9" s="50" t="n"/>
      <c r="O9" s="50" t="n"/>
      <c r="P9" s="50" t="n"/>
      <c r="Q9" s="50" t="n"/>
      <c r="R9" s="228" t="n"/>
      <c r="S9" s="50" t="n"/>
      <c r="T9" s="50" t="n"/>
      <c r="U9" s="50" t="n"/>
      <c r="V9" s="50" t="n"/>
      <c r="W9" s="228" t="n"/>
      <c r="X9" s="50" t="n"/>
      <c r="Y9" s="50" t="n"/>
      <c r="Z9" s="50" t="n"/>
      <c r="AA9" s="50" t="n"/>
      <c r="AB9" s="228" t="n"/>
      <c r="AC9" s="50" t="n"/>
      <c r="AD9" s="50" t="n"/>
      <c r="AE9" s="50" t="n"/>
      <c r="AF9" s="50" t="n"/>
      <c r="AG9" s="228" t="n"/>
      <c r="AH9" s="50" t="n"/>
      <c r="AI9" s="50" t="n"/>
      <c r="AJ9" s="50" t="n"/>
      <c r="AK9" s="50" t="n"/>
      <c r="AL9" s="217" t="n"/>
      <c r="AM9" s="50" t="n"/>
      <c r="AN9" s="50" t="n"/>
      <c r="AO9" s="50" t="n"/>
      <c r="AP9" s="50" t="n"/>
      <c r="AQ9" s="217" t="n"/>
      <c r="AR9" s="50" t="n"/>
      <c r="AS9" s="50" t="n"/>
      <c r="AT9" s="50" t="n"/>
      <c r="AU9" s="50" t="n"/>
      <c r="AV9" s="217" t="n"/>
      <c r="AW9" s="50" t="n"/>
      <c r="AX9" s="50" t="n"/>
      <c r="AY9" s="50" t="n"/>
      <c r="AZ9" s="50" t="n"/>
      <c r="BA9" s="217" t="n"/>
      <c r="BB9" s="50" t="n"/>
      <c r="BC9" s="50" t="n"/>
      <c r="BD9" s="50" t="n"/>
      <c r="BE9" s="50" t="n"/>
      <c r="BF9" s="217" t="n"/>
      <c r="BG9" s="50" t="n"/>
      <c r="BH9" s="50" t="n"/>
      <c r="BI9" s="50" t="n"/>
      <c r="BJ9" s="50" t="n"/>
      <c r="BK9" s="217" t="n"/>
      <c r="BL9" s="50" t="n"/>
      <c r="BM9" s="50" t="n"/>
      <c r="BN9" s="50" t="n"/>
      <c r="BO9" s="50" t="n"/>
      <c r="BP9" s="217" t="n"/>
      <c r="BQ9" s="50" t="n"/>
      <c r="BR9" s="50" t="n"/>
      <c r="BS9" s="50" t="n"/>
      <c r="BT9" s="50" t="n"/>
      <c r="BU9" s="217" t="n"/>
      <c r="BV9" s="50" t="n"/>
      <c r="BW9" s="50" t="n"/>
      <c r="BX9" s="50" t="n"/>
      <c r="BY9" s="50" t="n"/>
      <c r="BZ9" s="217" t="n"/>
      <c r="CA9" s="50" t="n"/>
      <c r="CB9" s="50" t="n"/>
      <c r="CC9" s="50" t="n"/>
      <c r="CD9" s="50" t="n"/>
      <c r="CE9" s="217" t="n"/>
      <c r="CF9" s="50" t="n"/>
      <c r="CG9" s="50" t="n"/>
      <c r="CH9" s="50" t="n"/>
      <c r="CI9" s="50" t="n"/>
      <c r="CJ9" s="217" t="n"/>
      <c r="CK9" s="50" t="n"/>
      <c r="CL9" s="50" t="n"/>
      <c r="CM9" s="50" t="n"/>
      <c r="CN9" s="50" t="n"/>
      <c r="CO9" s="217" t="n"/>
      <c r="CP9" s="50" t="n"/>
      <c r="CQ9" s="50" t="n"/>
      <c r="CR9" s="50" t="n"/>
      <c r="CS9" s="50" t="n"/>
      <c r="CT9" s="217" t="n"/>
      <c r="CU9" s="50" t="n"/>
      <c r="CV9" s="50" t="n"/>
      <c r="CW9" s="50" t="n"/>
      <c r="CX9" s="50" t="n"/>
      <c r="CY9" s="217" t="n"/>
    </row>
    <row r="10">
      <c r="C10" s="4" t="inlineStr">
        <is>
          <t>CDI</t>
        </is>
      </c>
      <c r="H10" s="228" t="n">
        <v>0.0275</v>
      </c>
      <c r="M10" s="228" t="n">
        <v>0.0442</v>
      </c>
      <c r="R10" s="228" t="n">
        <v>0.1239</v>
      </c>
      <c r="W10" s="228" t="n">
        <v>0.1304</v>
      </c>
      <c r="AB10" s="228" t="n">
        <v>0.1064</v>
      </c>
      <c r="AG10" s="228" t="n">
        <v>0.1464</v>
      </c>
    </row>
    <row r="13" customFormat="1" s="17">
      <c r="A13" s="13" t="n"/>
      <c r="B13" s="13" t="n"/>
      <c r="C13" s="12" t="inlineStr">
        <is>
          <t>Income Statement</t>
        </is>
      </c>
      <c r="D13" s="12" t="str">
        <f>D7</f>
        <v>1Q20</v>
      </c>
      <c r="E13" s="12" t="str">
        <f>E7</f>
        <v>2Q20</v>
      </c>
      <c r="F13" s="12" t="str">
        <f>F7</f>
        <v>3Q20</v>
      </c>
      <c r="G13" s="12" t="str">
        <f>G7</f>
        <v>4Q20</v>
      </c>
      <c r="H13" s="12">
        <f>H7</f>
        <v>2020</v>
      </c>
      <c r="I13" s="12" t="str">
        <f>I7</f>
        <v>1Q21</v>
      </c>
      <c r="J13" s="12" t="str">
        <f>J7</f>
        <v>2Q21</v>
      </c>
      <c r="K13" s="12" t="str">
        <f>K7</f>
        <v>3Q21</v>
      </c>
      <c r="L13" s="12" t="str">
        <f>L7</f>
        <v>4Q21</v>
      </c>
      <c r="M13" s="12">
        <f>M7</f>
        <v>2021</v>
      </c>
      <c r="N13" s="12" t="str">
        <f>N7</f>
        <v>1Q22</v>
      </c>
      <c r="O13" s="12" t="str">
        <f>O7</f>
        <v>2Q22</v>
      </c>
      <c r="P13" s="12" t="str">
        <f>P7</f>
        <v>3Q22</v>
      </c>
      <c r="Q13" s="12" t="str">
        <f>Q7</f>
        <v>4Q22</v>
      </c>
      <c r="R13" s="12">
        <f>R7</f>
        <v>2022</v>
      </c>
      <c r="S13" s="12" t="str">
        <f>S7</f>
        <v>1Q23</v>
      </c>
      <c r="T13" s="12" t="str">
        <f>T7</f>
        <v>2Q23</v>
      </c>
      <c r="U13" s="12" t="str">
        <f>U7</f>
        <v>3Q23</v>
      </c>
      <c r="V13" s="12" t="str">
        <f>V7</f>
        <v>4Q23</v>
      </c>
      <c r="W13" s="12">
        <f>W7</f>
        <v>2023</v>
      </c>
      <c r="X13" s="12" t="str">
        <f>X7</f>
        <v>1Q24</v>
      </c>
      <c r="Y13" s="12" t="str">
        <f>Y7</f>
        <v>2Q24</v>
      </c>
      <c r="Z13" s="12" t="str">
        <f>Z7</f>
        <v>3Q24</v>
      </c>
      <c r="AA13" s="12" t="str">
        <f>AA7</f>
        <v>4Q24</v>
      </c>
      <c r="AB13" s="12">
        <f>AB7</f>
        <v>2024</v>
      </c>
      <c r="AC13" s="12" t="str">
        <f>AC7</f>
        <v>1Q25</v>
      </c>
      <c r="AD13" s="12" t="str">
        <f>AD7</f>
        <v>2Q25</v>
      </c>
      <c r="AE13" s="12" t="str">
        <f>AE7</f>
        <v>3Q25</v>
      </c>
      <c r="AF13" s="12" t="str">
        <f>AF7</f>
        <v>4Q25</v>
      </c>
      <c r="AG13" s="12">
        <f>AG7</f>
        <v>2025</v>
      </c>
      <c r="AH13" s="12" t="str">
        <f>AH7</f>
        <v>1Q26</v>
      </c>
      <c r="AI13" s="12" t="str">
        <f>AI7</f>
        <v>2Q26</v>
      </c>
      <c r="AJ13" s="12" t="str">
        <f>AJ7</f>
        <v>3Q26</v>
      </c>
      <c r="AK13" s="12" t="str">
        <f>AK7</f>
        <v>4Q26</v>
      </c>
      <c r="AL13" s="12">
        <f>AL7</f>
        <v>2026</v>
      </c>
      <c r="AM13" s="12" t="str">
        <f>AM7</f>
        <v>1Q27</v>
      </c>
      <c r="AN13" s="12" t="str">
        <f>AN7</f>
        <v>2Q27</v>
      </c>
      <c r="AO13" s="12" t="str">
        <f>AO7</f>
        <v>3Q27</v>
      </c>
      <c r="AP13" s="12" t="str">
        <f>AP7</f>
        <v>4Q27</v>
      </c>
      <c r="AQ13" s="12">
        <f>AQ7</f>
        <v>2027</v>
      </c>
      <c r="AR13" s="12" t="str">
        <f>AR7</f>
        <v>1Q28</v>
      </c>
      <c r="AS13" s="12" t="str">
        <f>AS7</f>
        <v>2Q28</v>
      </c>
      <c r="AT13" s="12" t="str">
        <f>AT7</f>
        <v>3Q28</v>
      </c>
      <c r="AU13" s="12" t="str">
        <f>AU7</f>
        <v>4Q28</v>
      </c>
      <c r="AV13" s="12">
        <f>AV7</f>
        <v>2028</v>
      </c>
      <c r="AW13" s="12" t="str">
        <f>AW7</f>
        <v>1Q29</v>
      </c>
      <c r="AX13" s="12" t="str">
        <f>AX7</f>
        <v>2Q29</v>
      </c>
      <c r="AY13" s="12" t="str">
        <f>AY7</f>
        <v>3Q29</v>
      </c>
      <c r="AZ13" s="12" t="str">
        <f>AZ7</f>
        <v>4Q29</v>
      </c>
      <c r="BA13" s="12">
        <f>BA7</f>
        <v>2029</v>
      </c>
      <c r="BB13" s="12" t="str">
        <f>BB7</f>
        <v>1Q30</v>
      </c>
      <c r="BC13" s="12" t="str">
        <f>BC7</f>
        <v>2Q30</v>
      </c>
      <c r="BD13" s="12" t="str">
        <f>BD7</f>
        <v>3Q30</v>
      </c>
      <c r="BE13" s="12" t="str">
        <f>BE7</f>
        <v>4Q30</v>
      </c>
      <c r="BF13" s="12">
        <f>BF7</f>
        <v>2030</v>
      </c>
      <c r="BG13" s="12" t="str">
        <f>BG7</f>
        <v>1Q31</v>
      </c>
      <c r="BH13" s="12" t="str">
        <f>BH7</f>
        <v>2Q31</v>
      </c>
      <c r="BI13" s="12" t="str">
        <f>BI7</f>
        <v>3Q31</v>
      </c>
      <c r="BJ13" s="12" t="str">
        <f>BJ7</f>
        <v>4Q31</v>
      </c>
      <c r="BK13" s="12">
        <f>BK7</f>
        <v>2031</v>
      </c>
      <c r="BL13" s="12" t="str">
        <f>BL7</f>
        <v>1Q32</v>
      </c>
      <c r="BM13" s="12" t="str">
        <f>BM7</f>
        <v>2Q32</v>
      </c>
      <c r="BN13" s="12" t="str">
        <f>BN7</f>
        <v>3Q32</v>
      </c>
      <c r="BO13" s="12" t="str">
        <f>BO7</f>
        <v>4Q32</v>
      </c>
      <c r="BP13" s="12">
        <f>BP7</f>
        <v>2032</v>
      </c>
      <c r="BQ13" s="12" t="str">
        <f>BQ7</f>
        <v>1Q33</v>
      </c>
      <c r="BR13" s="12" t="str">
        <f>BR7</f>
        <v>2Q33</v>
      </c>
      <c r="BS13" s="12" t="str">
        <f>BS7</f>
        <v>3Q33</v>
      </c>
      <c r="BT13" s="12" t="str">
        <f>BT7</f>
        <v>4Q33</v>
      </c>
      <c r="BU13" s="12">
        <f>BU7</f>
        <v>2033</v>
      </c>
      <c r="BV13" s="12" t="str">
        <f>BV7</f>
        <v>1Q34</v>
      </c>
      <c r="BW13" s="12" t="str">
        <f>BW7</f>
        <v>2Q34</v>
      </c>
      <c r="BX13" s="12" t="str">
        <f>BX7</f>
        <v>3Q34</v>
      </c>
      <c r="BY13" s="12" t="str">
        <f>BY7</f>
        <v>4Q34</v>
      </c>
      <c r="BZ13" s="12">
        <f>BZ7</f>
        <v>2034</v>
      </c>
      <c r="CA13" s="12" t="str">
        <f>CA7</f>
        <v>1Q35</v>
      </c>
      <c r="CB13" s="12" t="str">
        <f>CB7</f>
        <v>2Q35</v>
      </c>
      <c r="CC13" s="12" t="str">
        <f>CC7</f>
        <v>3Q35</v>
      </c>
      <c r="CD13" s="12" t="str">
        <f>CD7</f>
        <v>4Q35</v>
      </c>
      <c r="CE13" s="12">
        <f>CE7</f>
        <v>2035</v>
      </c>
      <c r="CF13" s="12" t="str">
        <f>CF7</f>
        <v>1Q36</v>
      </c>
      <c r="CG13" s="12" t="str">
        <f>CG7</f>
        <v>2Q36</v>
      </c>
      <c r="CH13" s="12" t="str">
        <f>CH7</f>
        <v>3Q36</v>
      </c>
      <c r="CI13" s="12" t="str">
        <f>CI7</f>
        <v>4Q36</v>
      </c>
      <c r="CJ13" s="12">
        <f>CJ7</f>
        <v>2036</v>
      </c>
      <c r="CK13" s="12" t="str">
        <f>CK7</f>
        <v>1Q37</v>
      </c>
      <c r="CL13" s="12" t="str">
        <f>CL7</f>
        <v>2Q37</v>
      </c>
      <c r="CM13" s="12" t="str">
        <f>CM7</f>
        <v>3Q37</v>
      </c>
      <c r="CN13" s="12" t="str">
        <f>CN7</f>
        <v>4Q37</v>
      </c>
      <c r="CO13" s="12">
        <f>CO7</f>
        <v>2037</v>
      </c>
      <c r="CP13" s="12" t="str">
        <f>CP7</f>
        <v>1Q38</v>
      </c>
      <c r="CQ13" s="12" t="str">
        <f>CQ7</f>
        <v>2Q38</v>
      </c>
      <c r="CR13" s="12" t="str">
        <f>CR7</f>
        <v>3Q38</v>
      </c>
      <c r="CS13" s="12" t="str">
        <f>CS7</f>
        <v>4Q38</v>
      </c>
      <c r="CT13" s="12">
        <f>CT7</f>
        <v>2038</v>
      </c>
      <c r="CU13" s="12" t="str">
        <f>CU7</f>
        <v>1Q39</v>
      </c>
      <c r="CV13" s="12" t="str">
        <f>CV7</f>
        <v>2Q39</v>
      </c>
      <c r="CW13" s="12" t="str">
        <f>CW7</f>
        <v>3Q39</v>
      </c>
      <c r="CX13" s="12" t="str">
        <f>CX7</f>
        <v>4Q39</v>
      </c>
      <c r="CY13" s="12">
        <f>CY7</f>
        <v>2039</v>
      </c>
    </row>
    <row r="14">
      <c r="C14" s="2" t="n"/>
    </row>
    <row r="15" customFormat="1" s="17">
      <c r="A15" s="13" t="n"/>
      <c r="B15" s="1" t="n"/>
      <c r="C15" s="14" t="inlineStr">
        <is>
          <t>Net Revenues</t>
        </is>
      </c>
      <c r="D15" s="15">
        <f>INDEX('Inputs (2)'!$D$4:$AL$4,MATCH(D$7,'Inputs (2)'!$D$2:$AL$2,0))</f>
        <v>2356.89228214755</v>
      </c>
      <c r="E15" s="15">
        <f>INDEX('Inputs (2)'!$D$4:$AL$4,MATCH(E$7,'Inputs (2)'!$D$2:$AL$2,0))</f>
        <v>2197.22477004</v>
      </c>
      <c r="F15" s="15">
        <f>INDEX('Inputs (2)'!$D$4:$AL$4,MATCH(F$7,'Inputs (2)'!$D$2:$AL$2,0))</f>
        <v>2603.04494781245</v>
      </c>
      <c r="G15" s="15">
        <f>INDEX('Inputs (2)'!$D$4:$AL$4,MATCH(G$7,'Inputs (2)'!$D$2:$AL$2,0))</f>
        <v>2649.895</v>
      </c>
      <c r="H15" s="16">
        <f>SUM(D15:G15)</f>
        <v>9807.057</v>
      </c>
      <c r="I15" s="15">
        <f>INDEX('Inputs (2)'!$D$4:$AL$4,MATCH(I$7,'Inputs (2)'!$D$2:$AL$2,0))</f>
        <v>2620.10565591625</v>
      </c>
      <c r="J15" s="15">
        <f>INDEX('Inputs (2)'!$D$4:$AL$4,MATCH(J$7,'Inputs (2)'!$D$2:$AL$2,0))</f>
        <v>3149.06634408375</v>
      </c>
      <c r="K15" s="15">
        <f>INDEX('Inputs (2)'!$D$4:$AL$4,MATCH(K$7,'Inputs (2)'!$D$2:$AL$2,0))</f>
        <v>3958.28</v>
      </c>
      <c r="L15" s="15">
        <f>INDEX('Inputs (2)'!$D$4:$AL$4,MATCH(L$7,'Inputs (2)'!$D$2:$AL$2,0))</f>
        <v>4138.767</v>
      </c>
      <c r="M15" s="16">
        <f>SUM(I15:L15)</f>
        <v>13866.219</v>
      </c>
      <c r="N15" s="15">
        <f>INDEX('Inputs (2)'!$D$4:$AL$4,MATCH(N$7,'Inputs (2)'!$D$2:$AL$2,0))</f>
        <v>4530.19701273988</v>
      </c>
      <c r="O15" s="15">
        <f>INDEX('Inputs (2)'!$D$4:$AL$4,MATCH(O$7,'Inputs (2)'!$D$2:$AL$2,0))</f>
        <v>5387.14735582988</v>
      </c>
      <c r="P15" s="15">
        <f>INDEX('Inputs (2)'!$D$4:$AL$4,MATCH(P$7,'Inputs (2)'!$D$2:$AL$2,0))</f>
        <v>6823.35047141163</v>
      </c>
      <c r="Q15" s="15">
        <f>INDEX('Inputs (2)'!$D$4:$AL$4,MATCH(Q$7,'Inputs (2)'!$D$2:$AL$2,0))</f>
        <v>7341.18627831097</v>
      </c>
      <c r="R15" s="16">
        <f>SUM(N15:Q15)</f>
        <v>24081.8811182923</v>
      </c>
      <c r="S15" s="15">
        <f>INDEX('Inputs (2)'!$D$4:$AL$4,MATCH(S$7,'Inputs (2)'!$D$2:$AL$2,0))</f>
        <v>7440.04382122622</v>
      </c>
      <c r="T15" s="15">
        <f>INDEX('Inputs (2)'!$D$4:$AL$4,MATCH(T$7,'Inputs (2)'!$D$2:$AL$2,0))</f>
        <v>7563.63617877378</v>
      </c>
      <c r="U15" s="15">
        <f>INDEX('Inputs (2)'!$D$4:$AL$4,MATCH(U$7,'Inputs (2)'!$D$2:$AL$2,0))</f>
        <v>8318.109</v>
      </c>
      <c r="V15" s="15">
        <f>INDEX('Inputs (2)'!$D$4:$AL$4,MATCH(V$7,'Inputs (2)'!$D$2:$AL$2,0))</f>
        <v>8521.824</v>
      </c>
      <c r="W15" s="16">
        <f>SUM(S15:V15)</f>
        <v>31843.613</v>
      </c>
      <c r="X15" s="15">
        <f>INDEX('Inputs (2)'!$D$4:$AL$4,MATCH(X$7,'Inputs (2)'!$D$2:$AL$2,0))</f>
        <v>9066.59642925</v>
      </c>
      <c r="Y15" s="15">
        <f>INDEX('Inputs (2)'!$D$4:$AL$4,MATCH(Y$7,'Inputs (2)'!$D$2:$AL$2,0))</f>
        <v>10227.19018878</v>
      </c>
      <c r="Z15" s="15">
        <f>INDEX('Inputs (2)'!$D$4:$AL$4,MATCH(Z$7,'Inputs (2)'!$D$2:$AL$2,0))</f>
        <v>10790.49060251</v>
      </c>
      <c r="AA15" s="15">
        <f>INDEX('Inputs (2)'!$D$4:$AL$4,MATCH(AA$7,'Inputs (2)'!$D$2:$AL$2,0))</f>
        <v>10653.80870459</v>
      </c>
      <c r="AB15" s="16">
        <f>SUM(X15:AA15)</f>
        <v>40738.08592513</v>
      </c>
      <c r="AC15" s="15">
        <f>INDEX('Inputs (2)'!$D$4:$AL$4,MATCH(AC$7,'Inputs (2)'!$D$2:$AL$2,0))</f>
        <v>10244.63461166</v>
      </c>
      <c r="AD15" s="15">
        <f>INDEX('Inputs (2)'!$D$4:$AL$4,MATCH(AD$7,'Inputs (2)'!$D$2:$AL$2,0))</f>
        <v>10340.78606133</v>
      </c>
      <c r="AE15" s="15">
        <f>INDEX('Inputs (2)'!$D$4:$AL$4,MATCH(AE$7,'Inputs (2)'!$D$2:$AL$2,0))</f>
        <v>11100.93342807</v>
      </c>
      <c r="AF15" s="15">
        <f>INDEX('Inputs (2)'!$D$4:$AL$4,MATCH(AF$7,'Inputs (2)'!$D$2:$AL$2,0))</f>
        <v>11119.49197747</v>
      </c>
      <c r="AG15" s="16">
        <f>SUM(AC15:AF15)</f>
        <v>42805.84607853</v>
      </c>
      <c r="AH15" s="16">
        <f>INDEX('Inputs (2)'!$D$4:$AL$4,MATCH(AH$7,'Inputs (2)'!$D$2:$AL$2,0))</f>
        <v>10924.2982817</v>
      </c>
      <c r="AI15" s="16">
        <f>INDEX('Inputs (2)'!$D$4:$AL$4,MATCH(AI$7,'Inputs (2)'!$D$2:$AL$2,0))</f>
        <v>11248.66185844</v>
      </c>
      <c r="AJ15" s="16">
        <f>AE15*(1+AJ16)</f>
        <v>11100.93342807</v>
      </c>
      <c r="AK15" s="16">
        <f>AF15*(1+AK16)</f>
        <v>11119.49197747</v>
      </c>
      <c r="AL15" s="16">
        <f>SUM(AH15:AK15)</f>
        <v>44393.38554568</v>
      </c>
      <c r="AM15" s="16">
        <f>AH15*(1+AM16)</f>
        <v>10924.2982817</v>
      </c>
      <c r="AN15" s="16">
        <f>AI15*(1+AN16)</f>
        <v>11248.66185844</v>
      </c>
      <c r="AO15" s="16">
        <f>AJ15*(1+AO16)</f>
        <v>11100.93342807</v>
      </c>
      <c r="AP15" s="16">
        <f>AK15*(1+AP16)</f>
        <v>11119.49197747</v>
      </c>
      <c r="AQ15" s="16">
        <f>SUM(AM15:AP15)</f>
        <v>44393.38554568</v>
      </c>
      <c r="AR15" s="16">
        <f>AM15*(1+AR16)</f>
        <v>10924.2982817</v>
      </c>
      <c r="AS15" s="16">
        <f>AN15*(1+AS16)</f>
        <v>11248.66185844</v>
      </c>
      <c r="AT15" s="16">
        <f>AO15*(1+AT16)</f>
        <v>11100.93342807</v>
      </c>
      <c r="AU15" s="16">
        <f>AP15*(1+AU16)</f>
        <v>11119.49197747</v>
      </c>
      <c r="AV15" s="16">
        <f>SUM(AR15:AU15)</f>
        <v>44393.38554568</v>
      </c>
      <c r="AW15" s="16">
        <f>AR15*(1+AW16)</f>
        <v>10924.2982817</v>
      </c>
      <c r="AX15" s="16">
        <f>AS15*(1+AX16)</f>
        <v>11248.66185844</v>
      </c>
      <c r="AY15" s="16">
        <f>AT15*(1+AY16)</f>
        <v>11100.93342807</v>
      </c>
      <c r="AZ15" s="16">
        <f>AU15*(1+AZ16)</f>
        <v>11119.49197747</v>
      </c>
      <c r="BA15" s="16">
        <f>SUM(AW15:AZ15)</f>
        <v>44393.38554568</v>
      </c>
      <c r="BB15" s="16">
        <f>AW15*(1+BB16)</f>
        <v>10924.2982817</v>
      </c>
      <c r="BC15" s="16">
        <f>AX15*(1+BC16)</f>
        <v>11248.66185844</v>
      </c>
      <c r="BD15" s="16">
        <f>AY15*(1+BD16)</f>
        <v>11100.93342807</v>
      </c>
      <c r="BE15" s="16">
        <f>AZ15*(1+BE16)</f>
        <v>11119.49197747</v>
      </c>
      <c r="BF15" s="16">
        <f>SUM(BB15:BE15)</f>
        <v>44393.38554568</v>
      </c>
      <c r="BG15" s="16">
        <f>BB15*(1+BG16)</f>
        <v>10924.2982817</v>
      </c>
      <c r="BH15" s="16">
        <f>BC15*(1+BH16)</f>
        <v>11248.66185844</v>
      </c>
      <c r="BI15" s="16">
        <f>BD15*(1+BI16)</f>
        <v>11100.93342807</v>
      </c>
      <c r="BJ15" s="16">
        <f>BE15*(1+BJ16)</f>
        <v>11119.49197747</v>
      </c>
      <c r="BK15" s="16">
        <f>SUM(BG15:BJ15)</f>
        <v>44393.38554568</v>
      </c>
      <c r="BL15" s="16">
        <f>BG15*(1+BL16)</f>
        <v>10924.2982817</v>
      </c>
      <c r="BM15" s="16">
        <f>BH15*(1+BM16)</f>
        <v>11248.66185844</v>
      </c>
      <c r="BN15" s="16">
        <f>BI15*(1+BN16)</f>
        <v>11100.93342807</v>
      </c>
      <c r="BO15" s="16">
        <f>BJ15*(1+BO16)</f>
        <v>11119.49197747</v>
      </c>
      <c r="BP15" s="16">
        <f>SUM(BL15:BO15)</f>
        <v>44393.38554568</v>
      </c>
      <c r="BQ15" s="16">
        <f>BL15*(1+BQ16)</f>
        <v>10924.2982817</v>
      </c>
      <c r="BR15" s="16">
        <f>BM15*(1+BR16)</f>
        <v>11248.66185844</v>
      </c>
      <c r="BS15" s="16">
        <f>BN15*(1+BS16)</f>
        <v>11100.93342807</v>
      </c>
      <c r="BT15" s="16">
        <f>BO15*(1+BT16)</f>
        <v>11119.49197747</v>
      </c>
      <c r="BU15" s="16">
        <f>SUM(BQ15:BT15)</f>
        <v>44393.38554568</v>
      </c>
      <c r="BV15" s="16">
        <f>BQ15*(1+BV16)</f>
        <v>10924.2982817</v>
      </c>
      <c r="BW15" s="16">
        <f>BR15*(1+BW16)</f>
        <v>11248.66185844</v>
      </c>
      <c r="BX15" s="16">
        <f>BS15*(1+BX16)</f>
        <v>11100.93342807</v>
      </c>
      <c r="BY15" s="16">
        <f>BT15*(1+BY16)</f>
        <v>11119.49197747</v>
      </c>
      <c r="BZ15" s="16">
        <f>SUM(BV15:BY15)</f>
        <v>44393.38554568</v>
      </c>
      <c r="CA15" s="16">
        <f>BV15*(1+CA16)</f>
        <v>10924.2982817</v>
      </c>
      <c r="CB15" s="16">
        <f>BW15*(1+CB16)</f>
        <v>11248.66185844</v>
      </c>
      <c r="CC15" s="16">
        <f>BX15*(1+CC16)</f>
        <v>11100.93342807</v>
      </c>
      <c r="CD15" s="16">
        <f>BY15*(1+CD16)</f>
        <v>11119.49197747</v>
      </c>
      <c r="CE15" s="16">
        <f>SUM(CA15:CD15)</f>
        <v>44393.38554568</v>
      </c>
      <c r="CF15" s="16">
        <f>CA15*(1+CF16)</f>
        <v>10924.2982817</v>
      </c>
      <c r="CG15" s="16">
        <f>CB15*(1+CG16)</f>
        <v>11248.66185844</v>
      </c>
      <c r="CH15" s="16">
        <f>CC15*(1+CH16)</f>
        <v>11100.93342807</v>
      </c>
      <c r="CI15" s="16">
        <f>CD15*(1+CI16)</f>
        <v>11119.49197747</v>
      </c>
      <c r="CJ15" s="16">
        <f>SUM(CF15:CI15)</f>
        <v>44393.38554568</v>
      </c>
      <c r="CK15" s="16">
        <f>CF15*(1+CK16)</f>
        <v>10924.2982817</v>
      </c>
      <c r="CL15" s="16">
        <f>CG15*(1+CL16)</f>
        <v>11248.66185844</v>
      </c>
      <c r="CM15" s="16">
        <f>CH15*(1+CM16)</f>
        <v>11100.93342807</v>
      </c>
      <c r="CN15" s="16">
        <f>CI15*(1+CN16)</f>
        <v>11119.49197747</v>
      </c>
      <c r="CO15" s="16">
        <f>SUM(CK15:CN15)</f>
        <v>44393.38554568</v>
      </c>
      <c r="CP15" s="16">
        <f>CK15*(1+CP16)</f>
        <v>10924.2982817</v>
      </c>
      <c r="CQ15" s="16">
        <f>CL15*(1+CQ16)</f>
        <v>11248.66185844</v>
      </c>
      <c r="CR15" s="16">
        <f>CM15*(1+CR16)</f>
        <v>11100.93342807</v>
      </c>
      <c r="CS15" s="16">
        <f>CN15*(1+CS16)</f>
        <v>11119.49197747</v>
      </c>
      <c r="CT15" s="16">
        <f>SUM(CP15:CS15)</f>
        <v>44393.38554568</v>
      </c>
      <c r="CU15" s="16">
        <f>CP15*(1+CU16)</f>
        <v>10924.2982817</v>
      </c>
      <c r="CV15" s="16">
        <f>CQ15*(1+CV16)</f>
        <v>11248.66185844</v>
      </c>
      <c r="CW15" s="16">
        <f>CR15*(1+CW16)</f>
        <v>11100.93342807</v>
      </c>
      <c r="CX15" s="16">
        <f>CS15*(1+CX16)</f>
        <v>11119.49197747</v>
      </c>
      <c r="CY15" s="16">
        <f>SUM(CU15:CX15)</f>
        <v>44393.38554568</v>
      </c>
    </row>
    <row r="16" hidden="1" outlineLevel="1" customFormat="1" s="23">
      <c r="A16" s="18" t="n"/>
      <c r="B16" s="19" t="n"/>
      <c r="C16" s="33" t="inlineStr">
        <is>
          <t>% YoY</t>
        </is>
      </c>
      <c r="D16" s="21" t="n"/>
      <c r="E16" s="47" t="n"/>
      <c r="F16" s="47" t="n"/>
      <c r="G16" s="47" t="n"/>
      <c r="H16" s="21" t="n"/>
      <c r="I16" s="21" t="n"/>
      <c r="J16" s="47" t="n"/>
      <c r="K16" s="47" t="n"/>
      <c r="L16" s="47" t="n"/>
      <c r="M16" s="21" t="n"/>
      <c r="N16" s="47">
        <f>N15/I15-1</f>
        <v>0.729013103922203</v>
      </c>
      <c r="O16" s="47">
        <f>O15/J15-1</f>
        <v>0.710712562773051</v>
      </c>
      <c r="P16" s="47">
        <f>P15/K15-1</f>
        <v>0.723817029470281</v>
      </c>
      <c r="Q16" s="47">
        <f>Q15/L15-1</f>
        <v>0.773761673056486</v>
      </c>
      <c r="R16" s="47">
        <f>R15/M15-1</f>
        <v>0.736730187103806</v>
      </c>
      <c r="S16" s="47">
        <f>S15/N15-1</f>
        <v>0.642322353818882</v>
      </c>
      <c r="T16" s="47">
        <f>T15/O15-1</f>
        <v>0.404015089839439</v>
      </c>
      <c r="U16" s="47">
        <f>U15/P15-1</f>
        <v>0.219065184303677</v>
      </c>
      <c r="V16" s="47">
        <f>V15/Q15-1</f>
        <v>0.16082383376882</v>
      </c>
      <c r="W16" s="47">
        <f>W15/R15-1</f>
        <v>0.322305879826469</v>
      </c>
      <c r="X16" s="47">
        <f>X15/S15-1</f>
        <v>0.218621374699874</v>
      </c>
      <c r="Y16" s="47">
        <f>Y15/T15-1</f>
        <v>0.352152582045272</v>
      </c>
      <c r="Z16" s="47">
        <f>Z15/U15-1</f>
        <v>0.297228805550637</v>
      </c>
      <c r="AA16" s="47">
        <f>AA15/V15-1</f>
        <v>0.250179387017381</v>
      </c>
      <c r="AB16" s="47">
        <f>AB15/W15-1</f>
        <v>0.279317328882561</v>
      </c>
      <c r="AC16" s="47">
        <f>AC15/X15-1</f>
        <v>0.129931688434868</v>
      </c>
      <c r="AD16" s="47">
        <f>AD15/Y15-1</f>
        <v>0.0111072416228872</v>
      </c>
      <c r="AE16" s="47">
        <f>AE15/Z15-1</f>
        <v>0.0287700380822153</v>
      </c>
      <c r="AF16" s="44">
        <f>AF15/AA15-1</f>
        <v>0.0437104969492619</v>
      </c>
      <c r="AG16" s="47">
        <f>AG15/AB15-1</f>
        <v>0.0507574203952588</v>
      </c>
      <c r="AH16" s="44">
        <f>AH15/AC15-1</f>
        <v>0.066343378344254</v>
      </c>
      <c r="AI16" s="44">
        <f>AI15/AD15-1</f>
        <v>0.0877956271143696</v>
      </c>
      <c r="AJ16" s="44" t="n"/>
      <c r="AK16" s="44" t="n"/>
      <c r="AL16" s="22">
        <f>AL15/AG15-1</f>
        <v>0.0370869778917009</v>
      </c>
      <c r="AM16" s="44" t="n"/>
      <c r="AN16" s="44" t="n"/>
      <c r="AO16" s="44" t="n"/>
      <c r="AP16" s="44" t="n"/>
      <c r="AQ16" s="22">
        <f>AQ15/AL15-1</f>
        <v>0</v>
      </c>
      <c r="AR16" s="44" t="n"/>
      <c r="AS16" s="44" t="n"/>
      <c r="AT16" s="44" t="n"/>
      <c r="AU16" s="44" t="n"/>
      <c r="AV16" s="22">
        <f>AV15/AQ15-1</f>
        <v>0</v>
      </c>
      <c r="AW16" s="44" t="n"/>
      <c r="AX16" s="44" t="n"/>
      <c r="AY16" s="44" t="n"/>
      <c r="AZ16" s="44" t="n"/>
      <c r="BA16" s="22">
        <f>BA15/AV15-1</f>
        <v>0</v>
      </c>
      <c r="BB16" s="44" t="n"/>
      <c r="BC16" s="44" t="n"/>
      <c r="BD16" s="44" t="n"/>
      <c r="BE16" s="44" t="n"/>
      <c r="BF16" s="22">
        <f>BF15/BA15-1</f>
        <v>0</v>
      </c>
      <c r="BG16" s="44" t="n"/>
      <c r="BH16" s="44" t="n"/>
      <c r="BI16" s="44" t="n"/>
      <c r="BJ16" s="44" t="n"/>
      <c r="BK16" s="22">
        <f>BK15/BF15-1</f>
        <v>0</v>
      </c>
      <c r="BL16" s="44" t="n"/>
      <c r="BM16" s="44" t="n"/>
      <c r="BN16" s="44" t="n"/>
      <c r="BO16" s="44" t="n"/>
      <c r="BP16" s="22">
        <f>BP15/BK15-1</f>
        <v>0</v>
      </c>
      <c r="BQ16" s="44" t="n"/>
      <c r="BR16" s="44" t="n"/>
      <c r="BS16" s="44" t="n"/>
      <c r="BT16" s="44" t="n"/>
      <c r="BU16" s="22">
        <f>BU15/BP15-1</f>
        <v>0</v>
      </c>
      <c r="BV16" s="44" t="n"/>
      <c r="BW16" s="44" t="n"/>
      <c r="BX16" s="44" t="n"/>
      <c r="BY16" s="44" t="n"/>
      <c r="BZ16" s="22">
        <f>BZ15/BU15-1</f>
        <v>0</v>
      </c>
      <c r="CA16" s="44" t="n"/>
      <c r="CB16" s="44" t="n"/>
      <c r="CC16" s="44" t="n"/>
      <c r="CD16" s="44" t="n"/>
      <c r="CE16" s="22">
        <f>CE15/BZ15-1</f>
        <v>0</v>
      </c>
      <c r="CF16" s="44" t="n"/>
      <c r="CG16" s="44" t="n"/>
      <c r="CH16" s="44" t="n"/>
      <c r="CI16" s="44" t="n"/>
      <c r="CJ16" s="22">
        <f>CJ15/CE15-1</f>
        <v>0</v>
      </c>
      <c r="CK16" s="44" t="n"/>
      <c r="CL16" s="44" t="n"/>
      <c r="CM16" s="44" t="n"/>
      <c r="CN16" s="44" t="n"/>
      <c r="CO16" s="22">
        <f>CO15/CJ15-1</f>
        <v>0</v>
      </c>
      <c r="CP16" s="44" t="n"/>
      <c r="CQ16" s="44" t="n"/>
      <c r="CR16" s="44" t="n"/>
      <c r="CS16" s="44" t="n"/>
      <c r="CT16" s="22">
        <f>CT15/CO15-1</f>
        <v>0</v>
      </c>
      <c r="CU16" s="44" t="n"/>
      <c r="CV16" s="44" t="n"/>
      <c r="CW16" s="44" t="n"/>
      <c r="CX16" s="44" t="n"/>
      <c r="CY16" s="22">
        <f>CY15/CT15-1</f>
        <v>0</v>
      </c>
    </row>
    <row r="17" hidden="1" outlineLevel="1" customFormat="1" s="23">
      <c r="A17" s="18" t="n"/>
      <c r="B17" s="19" t="n"/>
      <c r="C17" s="229" t="inlineStr">
        <is>
          <t>Check Receita (linha 15 - soma por natureza, linha 22)</t>
        </is>
      </c>
      <c r="D17" s="15">
        <f>IF(COUNT(D23)=0,"",D23)</f>
        <v>0</v>
      </c>
      <c r="E17" s="15">
        <f>IF(COUNT(E23)=0,"",E23)</f>
        <v>0</v>
      </c>
      <c r="F17" s="15">
        <f>IF(COUNT(F23)=0,"",F23)</f>
        <v>0</v>
      </c>
      <c r="G17" s="15">
        <f>IF(COUNT(G23)=0,"",G23)</f>
        <v>0</v>
      </c>
      <c r="H17" s="16">
        <f>IF(COUNT(H23)=0,"",H23)</f>
        <v>0</v>
      </c>
      <c r="I17" s="15">
        <f>IF(COUNT(I23)=0,"",I23)</f>
        <v>0</v>
      </c>
      <c r="J17" s="15">
        <f>IF(COUNT(J23)=0,"",J23)</f>
        <v>0</v>
      </c>
      <c r="K17" s="15">
        <f>IF(COUNT(K23)=0,"",K23)</f>
        <v>0</v>
      </c>
      <c r="L17" s="15">
        <f>IF(COUNT(L23)=0,"",L23)</f>
        <v>0</v>
      </c>
      <c r="M17" s="16">
        <f>IF(COUNT(M23)=0,"",M23)</f>
        <v>0</v>
      </c>
      <c r="N17" s="15">
        <f>IF(COUNT(N23)=0,"",N23)</f>
        <v>0</v>
      </c>
      <c r="O17" s="15">
        <f>IF(COUNT(O23)=0,"",O23)</f>
        <v>0</v>
      </c>
      <c r="P17" s="15">
        <f>IF(COUNT(P23)=0,"",P23)</f>
        <v>0</v>
      </c>
      <c r="Q17" s="15">
        <f>IF(COUNT(Q23)=0,"",Q23)</f>
        <v>0</v>
      </c>
      <c r="R17" s="16">
        <f>IF(COUNT(R23)=0,"",R23)</f>
        <v>0</v>
      </c>
      <c r="S17" s="15">
        <f>IF(COUNT(S23)=0,"",S23)</f>
        <v>0</v>
      </c>
      <c r="T17" s="15">
        <f>IF(COUNT(T23)=0,"",T23)</f>
        <v>0</v>
      </c>
      <c r="U17" s="15">
        <f>IF(COUNT(U23)=0,"",U23)</f>
        <v>0</v>
      </c>
      <c r="V17" s="15">
        <f>IF(COUNT(V23)=0,"",V23)</f>
        <v>0</v>
      </c>
      <c r="W17" s="16">
        <f>IF(COUNT(W23)=0,"",W23)</f>
        <v>0</v>
      </c>
      <c r="X17" s="15">
        <f>IF(COUNT(X23)=0,"",X23)</f>
        <v>0</v>
      </c>
      <c r="Y17" s="15">
        <f>IF(COUNT(Y23)=0,"",Y23)</f>
        <v>0</v>
      </c>
      <c r="Z17" s="15">
        <f>IF(COUNT(Z23)=0,"",Z23)</f>
        <v>0</v>
      </c>
      <c r="AA17" s="15">
        <f>IF(COUNT(AA23)=0,"",AA23)</f>
        <v>0</v>
      </c>
      <c r="AB17" s="16">
        <f>IF(COUNT(AB23)=0,"",AB23)</f>
        <v>0</v>
      </c>
      <c r="AC17" s="15">
        <f>IF(COUNT(AC23)=0,"",AC23)</f>
        <v>0</v>
      </c>
      <c r="AD17" s="15">
        <f>IF(COUNT(AD23)=0,"",AD23)</f>
        <v>0</v>
      </c>
      <c r="AE17" s="15">
        <f>IF(COUNT(AE23)=0,"",AE23)</f>
        <v>0</v>
      </c>
      <c r="AF17" s="15">
        <f>IF(COUNT(AF23)=0,"",AF23)</f>
        <v>0</v>
      </c>
      <c r="AG17" s="16">
        <f>IF(COUNT(AG23)=0,"",AG23)</f>
        <v>0</v>
      </c>
      <c r="AH17" s="16">
        <f>IF(COUNT(AH23)=0,"",AH23)</f>
        <v>0</v>
      </c>
      <c r="AI17" s="16">
        <f>IF(COUNT(AI23)=0,"",AI23)</f>
        <v>0</v>
      </c>
      <c r="AJ17" s="44" t="n"/>
      <c r="AK17" s="44" t="n"/>
      <c r="AL17" s="22" t="n"/>
      <c r="AM17" s="44" t="n"/>
      <c r="AN17" s="44" t="n"/>
      <c r="AO17" s="44" t="n"/>
      <c r="AP17" s="44" t="n"/>
      <c r="AQ17" s="22" t="n"/>
      <c r="AR17" s="44" t="n"/>
      <c r="AS17" s="44" t="n"/>
      <c r="AT17" s="44" t="n"/>
      <c r="AU17" s="44" t="n"/>
      <c r="AV17" s="22" t="n"/>
      <c r="AW17" s="44" t="n"/>
      <c r="AX17" s="44" t="n"/>
      <c r="AY17" s="44" t="n"/>
      <c r="AZ17" s="44" t="n"/>
      <c r="BA17" s="22" t="n"/>
      <c r="BB17" s="44" t="n"/>
      <c r="BC17" s="44" t="n"/>
      <c r="BD17" s="44" t="n"/>
      <c r="BE17" s="44" t="n"/>
      <c r="BF17" s="22" t="n"/>
      <c r="BG17" s="44" t="n"/>
      <c r="BH17" s="44" t="n"/>
      <c r="BI17" s="44" t="n"/>
      <c r="BJ17" s="44" t="n"/>
      <c r="BK17" s="22" t="n"/>
      <c r="BL17" s="44" t="n"/>
      <c r="BM17" s="44" t="n"/>
      <c r="BN17" s="44" t="n"/>
      <c r="BO17" s="44" t="n"/>
      <c r="BP17" s="22" t="n"/>
      <c r="BQ17" s="44" t="n"/>
      <c r="BR17" s="44" t="n"/>
      <c r="BS17" s="44" t="n"/>
      <c r="BT17" s="44" t="n"/>
      <c r="BU17" s="22" t="n"/>
      <c r="BV17" s="44" t="n"/>
      <c r="BW17" s="44" t="n"/>
      <c r="BX17" s="44" t="n"/>
      <c r="BY17" s="44" t="n"/>
      <c r="BZ17" s="22" t="n"/>
      <c r="CA17" s="44" t="n"/>
      <c r="CB17" s="44" t="n"/>
      <c r="CC17" s="44" t="n"/>
      <c r="CD17" s="44" t="n"/>
      <c r="CE17" s="22" t="n"/>
      <c r="CF17" s="44" t="n"/>
      <c r="CG17" s="44" t="n"/>
      <c r="CH17" s="44" t="n"/>
      <c r="CI17" s="44" t="n"/>
      <c r="CJ17" s="22" t="n"/>
      <c r="CK17" s="44" t="n"/>
      <c r="CL17" s="44" t="n"/>
      <c r="CM17" s="44" t="n"/>
      <c r="CN17" s="44" t="n"/>
      <c r="CO17" s="22" t="n"/>
      <c r="CP17" s="44" t="n"/>
      <c r="CQ17" s="44" t="n"/>
      <c r="CR17" s="44" t="n"/>
      <c r="CS17" s="44" t="n"/>
      <c r="CT17" s="22" t="n"/>
      <c r="CU17" s="44" t="n"/>
      <c r="CV17" s="44" t="n"/>
      <c r="CW17" s="44" t="n"/>
      <c r="CX17" s="44" t="n"/>
      <c r="CY17" s="22" t="n"/>
    </row>
    <row r="18">
      <c r="C18" s="12" t="inlineStr">
        <is>
          <t>Receita liquida consolidada por natureza (Planilha de Fundamentos; R$ milhoes)</t>
        </is>
      </c>
      <c r="D18" s="12" t="str">
        <f>D7</f>
        <v>1Q20</v>
      </c>
      <c r="E18" s="12" t="str">
        <f>E7</f>
        <v>2Q20</v>
      </c>
      <c r="F18" s="12" t="str">
        <f>F7</f>
        <v>3Q20</v>
      </c>
      <c r="G18" s="12" t="str">
        <f>G7</f>
        <v>4Q20</v>
      </c>
      <c r="H18" s="12">
        <f>H7</f>
        <v>2020</v>
      </c>
      <c r="I18" s="12" t="str">
        <f>I7</f>
        <v>1Q21</v>
      </c>
      <c r="J18" s="12" t="str">
        <f>J7</f>
        <v>2Q21</v>
      </c>
      <c r="K18" s="12" t="str">
        <f>K7</f>
        <v>3Q21</v>
      </c>
      <c r="L18" s="12" t="str">
        <f>L7</f>
        <v>4Q21</v>
      </c>
      <c r="M18" s="12">
        <f>M7</f>
        <v>2021</v>
      </c>
      <c r="N18" s="12" t="str">
        <f>N7</f>
        <v>1Q22</v>
      </c>
      <c r="O18" s="12" t="str">
        <f>O7</f>
        <v>2Q22</v>
      </c>
      <c r="P18" s="12" t="str">
        <f>P7</f>
        <v>3Q22</v>
      </c>
      <c r="Q18" s="12" t="str">
        <f>Q7</f>
        <v>4Q22</v>
      </c>
      <c r="R18" s="12">
        <f>R7</f>
        <v>2022</v>
      </c>
      <c r="S18" s="12" t="str">
        <f>S7</f>
        <v>1Q23</v>
      </c>
      <c r="T18" s="12" t="str">
        <f>T7</f>
        <v>2Q23</v>
      </c>
      <c r="U18" s="12" t="str">
        <f>U7</f>
        <v>3Q23</v>
      </c>
      <c r="V18" s="12" t="str">
        <f>V7</f>
        <v>4Q23</v>
      </c>
      <c r="W18" s="12">
        <f>W7</f>
        <v>2023</v>
      </c>
      <c r="X18" s="12" t="str">
        <f>X7</f>
        <v>1Q24</v>
      </c>
      <c r="Y18" s="12" t="str">
        <f>Y7</f>
        <v>2Q24</v>
      </c>
      <c r="Z18" s="12" t="str">
        <f>Z7</f>
        <v>3Q24</v>
      </c>
      <c r="AA18" s="12" t="str">
        <f>AA7</f>
        <v>4Q24</v>
      </c>
      <c r="AB18" s="12">
        <f>AB7</f>
        <v>2024</v>
      </c>
      <c r="AC18" s="12" t="str">
        <f>AC7</f>
        <v>1Q25</v>
      </c>
      <c r="AD18" s="12" t="str">
        <f>AD7</f>
        <v>2Q25</v>
      </c>
      <c r="AE18" s="12" t="str">
        <f>AE7</f>
        <v>3Q25</v>
      </c>
      <c r="AF18" s="12" t="str">
        <f>AF7</f>
        <v>4Q25</v>
      </c>
      <c r="AG18" s="12">
        <f>AG7</f>
        <v>2025</v>
      </c>
      <c r="AH18" s="12" t="str">
        <f>AH7</f>
        <v>1Q26</v>
      </c>
      <c r="AI18" s="12" t="str">
        <f>AI7</f>
        <v>2Q26</v>
      </c>
    </row>
    <row r="19">
      <c r="C19" s="14" t="inlineStr">
        <is>
          <t xml:space="preserve">   Servicos (locacao, logistica, concessoes, concessionarias)</t>
        </is>
      </c>
      <c r="D19" s="271">
        <f>IFERROR(INDEX('Inputs (2)'!$D$53:$AL$53,MATCH(D$7,'Inputs (2)'!$D$2:$AL$2,0)),"")</f>
        <v>1710.27725795755</v>
      </c>
      <c r="E19" s="271">
        <f>IFERROR(INDEX('Inputs (2)'!$D$53:$AL$53,MATCH(E$7,'Inputs (2)'!$D$2:$AL$2,0)),"")</f>
        <v>1331.11364498</v>
      </c>
      <c r="F19" s="271">
        <f>IFERROR(INDEX('Inputs (2)'!$D$53:$AL$53,MATCH(F$7,'Inputs (2)'!$D$2:$AL$2,0)),"")</f>
        <v>1812.48283831</v>
      </c>
      <c r="G19" s="271">
        <f>IFERROR(INDEX('Inputs (2)'!$D$53:$AL$53,MATCH(G$7,'Inputs (2)'!$D$2:$AL$2,0)),"")</f>
        <v>2092.28125875245</v>
      </c>
      <c r="H19" s="272">
        <f>IF(COUNT(D19:G19)=4,SUM(D19:G19),"")</f>
        <v>6946.155</v>
      </c>
      <c r="I19" s="271">
        <f>IFERROR(INDEX('Inputs (2)'!$D$53:$AL$53,MATCH(I$7,'Inputs (2)'!$D$2:$AL$2,0)),"")</f>
        <v>2228.98927988625</v>
      </c>
      <c r="J19" s="271">
        <f>IFERROR(INDEX('Inputs (2)'!$D$53:$AL$53,MATCH(J$7,'Inputs (2)'!$D$2:$AL$2,0)),"")</f>
        <v>2434.43972011375</v>
      </c>
      <c r="K19" s="271">
        <f>IFERROR(INDEX('Inputs (2)'!$D$53:$AL$53,MATCH(K$7,'Inputs (2)'!$D$2:$AL$2,0)),"")</f>
        <v>3035.233</v>
      </c>
      <c r="L19" s="271">
        <f>IFERROR(INDEX('Inputs (2)'!$D$53:$AL$53,MATCH(L$7,'Inputs (2)'!$D$2:$AL$2,0)),"")</f>
        <v>3306.956</v>
      </c>
      <c r="M19" s="272">
        <f>IF(COUNT(I19:L19)=4,SUM(I19:L19),"")</f>
        <v>11005.618</v>
      </c>
      <c r="N19" s="271">
        <f>IFERROR(INDEX('Inputs (2)'!$D$53:$AL$53,MATCH(N$7,'Inputs (2)'!$D$2:$AL$2,0)),"")</f>
        <v>3513.11801273988</v>
      </c>
      <c r="O19" s="271">
        <f>IFERROR(INDEX('Inputs (2)'!$D$53:$AL$53,MATCH(O$7,'Inputs (2)'!$D$2:$AL$2,0)),"")</f>
        <v>4128.04135582988</v>
      </c>
      <c r="P19" s="271">
        <f>IFERROR(INDEX('Inputs (2)'!$D$53:$AL$53,MATCH(P$7,'Inputs (2)'!$D$2:$AL$2,0)),"")</f>
        <v>5325.28947141163</v>
      </c>
      <c r="Q19" s="271">
        <f>IFERROR(INDEX('Inputs (2)'!$D$53:$AL$53,MATCH(Q$7,'Inputs (2)'!$D$2:$AL$2,0)),"")</f>
        <v>5865.37157786097</v>
      </c>
      <c r="R19" s="272">
        <f>IF(COUNT(N19:Q19)=4,SUM(N19:Q19),"")</f>
        <v>18831.8204178423</v>
      </c>
      <c r="S19" s="271">
        <f>IFERROR(INDEX('Inputs (2)'!$D$53:$AL$53,MATCH(S$7,'Inputs (2)'!$D$2:$AL$2,0)),"")</f>
        <v>5777.43383849622</v>
      </c>
      <c r="T19" s="271">
        <f>IFERROR(INDEX('Inputs (2)'!$D$53:$AL$53,MATCH(T$7,'Inputs (2)'!$D$2:$AL$2,0)),"")</f>
        <v>6044.16370319378</v>
      </c>
      <c r="U19" s="271">
        <f>IFERROR(INDEX('Inputs (2)'!$D$53:$AL$53,MATCH(U$7,'Inputs (2)'!$D$2:$AL$2,0)),"")</f>
        <v>6692.13145831</v>
      </c>
      <c r="V19" s="271">
        <f>IFERROR(INDEX('Inputs (2)'!$D$53:$AL$53,MATCH(V$7,'Inputs (2)'!$D$2:$AL$2,0)),"")</f>
        <v>7086.90511311</v>
      </c>
      <c r="W19" s="272">
        <f>IF(COUNT(S19:V19)=4,SUM(S19:V19),"")</f>
        <v>25600.63411311</v>
      </c>
      <c r="X19" s="271">
        <f>IFERROR(INDEX('Inputs (2)'!$D$53:$AL$53,MATCH(X$7,'Inputs (2)'!$D$2:$AL$2,0)),"")</f>
        <v>7163.34565164</v>
      </c>
      <c r="Y19" s="271">
        <f>IFERROR(INDEX('Inputs (2)'!$D$53:$AL$53,MATCH(Y$7,'Inputs (2)'!$D$2:$AL$2,0)),"")</f>
        <v>7938.09444039</v>
      </c>
      <c r="Z19" s="271">
        <f>IFERROR(INDEX('Inputs (2)'!$D$53:$AL$53,MATCH(Z$7,'Inputs (2)'!$D$2:$AL$2,0)),"")</f>
        <v>8358.224467</v>
      </c>
      <c r="AA19" s="271">
        <f>IFERROR(INDEX('Inputs (2)'!$D$53:$AL$53,MATCH(AA$7,'Inputs (2)'!$D$2:$AL$2,0)),"")</f>
        <v>8796.81927012</v>
      </c>
      <c r="AB19" s="272">
        <f>IF(COUNT(X19:AA19)=4,SUM(X19:AA19),"")</f>
        <v>32256.48382915</v>
      </c>
      <c r="AC19" s="271">
        <f>IFERROR(INDEX('Inputs (2)'!$D$53:$AL$53,MATCH(AC$7,'Inputs (2)'!$D$2:$AL$2,0)),"")</f>
        <v>8189.74753867</v>
      </c>
      <c r="AD19" s="271">
        <f>IFERROR(INDEX('Inputs (2)'!$D$53:$AL$53,MATCH(AD$7,'Inputs (2)'!$D$2:$AL$2,0)),"")</f>
        <v>8295.85026633</v>
      </c>
      <c r="AE19" s="271">
        <f>IFERROR(INDEX('Inputs (2)'!$D$53:$AL$53,MATCH(AE$7,'Inputs (2)'!$D$2:$AL$2,0)),"")</f>
        <v>8958.10030341</v>
      </c>
      <c r="AF19" s="271">
        <f>IFERROR(INDEX('Inputs (2)'!$D$53:$AL$53,MATCH(AF$7,'Inputs (2)'!$D$2:$AL$2,0)),"")</f>
        <v>9041.60020085</v>
      </c>
      <c r="AG19" s="272">
        <f>IF(COUNT(AC19:AF19)=4,SUM(AC19:AF19),"")</f>
        <v>34485.29830926</v>
      </c>
      <c r="AH19" s="272">
        <f>IFERROR(INDEX('Inputs (2)'!$D$53:$AL$53,MATCH(AH$7,'Inputs (2)'!$D$2:$AL$2,0)),"")</f>
        <v>8877.84995364</v>
      </c>
      <c r="AI19" s="272">
        <f>IFERROR(INDEX('Inputs (2)'!$D$53:$AL$53,MATCH(AI$7,'Inputs (2)'!$D$2:$AL$2,0)),"")</f>
        <v>9488.04860035001</v>
      </c>
    </row>
    <row r="20">
      <c r="C20" s="14" t="inlineStr">
        <is>
          <t xml:space="preserve">   Construcao (concessoes - ICPC 01)</t>
        </is>
      </c>
      <c r="D20" s="271">
        <f>IFERROR(INDEX('Inputs (2)'!$D$54:$AL$54,MATCH(D$7,'Inputs (2)'!$D$2:$AL$2,0)),"")</f>
        <v>0</v>
      </c>
      <c r="E20" s="271">
        <f>IFERROR(INDEX('Inputs (2)'!$D$54:$AL$54,MATCH(E$7,'Inputs (2)'!$D$2:$AL$2,0)),"")</f>
        <v>0</v>
      </c>
      <c r="F20" s="271">
        <f>IFERROR(INDEX('Inputs (2)'!$D$54:$AL$54,MATCH(F$7,'Inputs (2)'!$D$2:$AL$2,0)),"")</f>
        <v>0</v>
      </c>
      <c r="G20" s="271">
        <f>IFERROR(INDEX('Inputs (2)'!$D$54:$AL$54,MATCH(G$7,'Inputs (2)'!$D$2:$AL$2,0)),"")</f>
        <v>0</v>
      </c>
      <c r="H20" s="272">
        <f>IF(COUNT(D20:G20)=4,SUM(D20:G20),"")</f>
        <v>0</v>
      </c>
      <c r="I20" s="271">
        <f>IFERROR(INDEX('Inputs (2)'!$D$54:$AL$54,MATCH(I$7,'Inputs (2)'!$D$2:$AL$2,0)),"")</f>
        <v>0</v>
      </c>
      <c r="J20" s="271">
        <f>IFERROR(INDEX('Inputs (2)'!$D$54:$AL$54,MATCH(J$7,'Inputs (2)'!$D$2:$AL$2,0)),"")</f>
        <v>0</v>
      </c>
      <c r="K20" s="271">
        <f>IFERROR(INDEX('Inputs (2)'!$D$54:$AL$54,MATCH(K$7,'Inputs (2)'!$D$2:$AL$2,0)),"")</f>
        <v>0</v>
      </c>
      <c r="L20" s="271">
        <f>IFERROR(INDEX('Inputs (2)'!$D$54:$AL$54,MATCH(L$7,'Inputs (2)'!$D$2:$AL$2,0)),"")</f>
        <v>0</v>
      </c>
      <c r="M20" s="272">
        <f>IF(COUNT(I20:L20)=4,SUM(I20:L20),"")</f>
        <v>0</v>
      </c>
      <c r="N20" s="271">
        <f>IFERROR(INDEX('Inputs (2)'!$D$54:$AL$54,MATCH(N$7,'Inputs (2)'!$D$2:$AL$2,0)),"")</f>
        <v>0</v>
      </c>
      <c r="O20" s="271">
        <f>IFERROR(INDEX('Inputs (2)'!$D$54:$AL$54,MATCH(O$7,'Inputs (2)'!$D$2:$AL$2,0)),"")</f>
        <v>0</v>
      </c>
      <c r="P20" s="271">
        <f>IFERROR(INDEX('Inputs (2)'!$D$54:$AL$54,MATCH(P$7,'Inputs (2)'!$D$2:$AL$2,0)),"")</f>
        <v>0</v>
      </c>
      <c r="Q20" s="271">
        <f>IFERROR(INDEX('Inputs (2)'!$D$54:$AL$54,MATCH(Q$7,'Inputs (2)'!$D$2:$AL$2,0)),"")</f>
        <v>0</v>
      </c>
      <c r="R20" s="272">
        <f>IF(COUNT(N20:Q20)=4,SUM(N20:Q20),"")</f>
        <v>0</v>
      </c>
      <c r="S20" s="271">
        <f>IFERROR(INDEX('Inputs (2)'!$D$54:$AL$54,MATCH(S$7,'Inputs (2)'!$D$2:$AL$2,0)),"")</f>
        <v>14.31297656</v>
      </c>
      <c r="T20" s="271">
        <f>IFERROR(INDEX('Inputs (2)'!$D$54:$AL$54,MATCH(T$7,'Inputs (2)'!$D$2:$AL$2,0)),"")</f>
        <v>10.78748175</v>
      </c>
      <c r="U20" s="271">
        <f>IFERROR(INDEX('Inputs (2)'!$D$54:$AL$54,MATCH(U$7,'Inputs (2)'!$D$2:$AL$2,0)),"")</f>
        <v>57.52154169</v>
      </c>
      <c r="V20" s="271">
        <f>IFERROR(INDEX('Inputs (2)'!$D$54:$AL$54,MATCH(V$7,'Inputs (2)'!$D$2:$AL$2,0)),"")</f>
        <v>92.88488689</v>
      </c>
      <c r="W20" s="272">
        <f>IF(COUNT(S20:V20)=4,SUM(S20:V20),"")</f>
        <v>175.50688689</v>
      </c>
      <c r="X20" s="271">
        <f>IFERROR(INDEX('Inputs (2)'!$D$54:$AL$54,MATCH(X$7,'Inputs (2)'!$D$2:$AL$2,0)),"")</f>
        <v>118.30826324</v>
      </c>
      <c r="Y20" s="271">
        <f>IFERROR(INDEX('Inputs (2)'!$D$54:$AL$54,MATCH(Y$7,'Inputs (2)'!$D$2:$AL$2,0)),"")</f>
        <v>223.03071139</v>
      </c>
      <c r="Z20" s="271">
        <f>IFERROR(INDEX('Inputs (2)'!$D$54:$AL$54,MATCH(Z$7,'Inputs (2)'!$D$2:$AL$2,0)),"")</f>
        <v>167.64889649</v>
      </c>
      <c r="AA20" s="271">
        <f>IFERROR(INDEX('Inputs (2)'!$D$54:$AL$54,MATCH(AA$7,'Inputs (2)'!$D$2:$AL$2,0)),"")</f>
        <v>209.16669777</v>
      </c>
      <c r="AB20" s="272">
        <f>IF(COUNT(X20:AA20)=4,SUM(X20:AA20),"")</f>
        <v>718.15456889</v>
      </c>
      <c r="AC20" s="271">
        <f>IFERROR(INDEX('Inputs (2)'!$D$54:$AL$54,MATCH(AC$7,'Inputs (2)'!$D$2:$AL$2,0)),"")</f>
        <v>20.00911337</v>
      </c>
      <c r="AD20" s="271">
        <f>IFERROR(INDEX('Inputs (2)'!$D$54:$AL$54,MATCH(AD$7,'Inputs (2)'!$D$2:$AL$2,0)),"")</f>
        <v>15.23778054</v>
      </c>
      <c r="AE20" s="271">
        <f>IFERROR(INDEX('Inputs (2)'!$D$54:$AL$54,MATCH(AE$7,'Inputs (2)'!$D$2:$AL$2,0)),"")</f>
        <v>39.48876117</v>
      </c>
      <c r="AF20" s="271">
        <f>IFERROR(INDEX('Inputs (2)'!$D$54:$AL$54,MATCH(AF$7,'Inputs (2)'!$D$2:$AL$2,0)),"")</f>
        <v>61.19585187</v>
      </c>
      <c r="AG20" s="272">
        <f>IF(COUNT(AC20:AF20)=4,SUM(AC20:AF20),"")</f>
        <v>135.93150695</v>
      </c>
      <c r="AH20" s="272">
        <f>IFERROR(INDEX('Inputs (2)'!$D$54:$AL$54,MATCH(AH$7,'Inputs (2)'!$D$2:$AL$2,0)),"")</f>
        <v>49.96972591</v>
      </c>
      <c r="AI20" s="272">
        <f>IFERROR(INDEX('Inputs (2)'!$D$54:$AL$54,MATCH(AI$7,'Inputs (2)'!$D$2:$AL$2,0)),"")</f>
        <v>89.11833869</v>
      </c>
    </row>
    <row r="21">
      <c r="C21" s="14" t="inlineStr">
        <is>
          <t xml:space="preserve">   Venda de ativos / renovacao de frota (seminovos)</t>
        </is>
      </c>
      <c r="D21" s="271">
        <f>IFERROR(INDEX('Inputs (2)'!$D$55:$AL$55,MATCH(D$7,'Inputs (2)'!$D$2:$AL$2,0)),"")</f>
        <v>646.61535452</v>
      </c>
      <c r="E21" s="271">
        <f>IFERROR(INDEX('Inputs (2)'!$D$55:$AL$55,MATCH(E$7,'Inputs (2)'!$D$2:$AL$2,0)),"")</f>
        <v>866.11079473</v>
      </c>
      <c r="F21" s="271">
        <f>IFERROR(INDEX('Inputs (2)'!$D$55:$AL$55,MATCH(F$7,'Inputs (2)'!$D$2:$AL$2,0)),"")</f>
        <v>790.56190162</v>
      </c>
      <c r="G21" s="271">
        <f>IFERROR(INDEX('Inputs (2)'!$D$55:$AL$55,MATCH(G$7,'Inputs (2)'!$D$2:$AL$2,0)),"")</f>
        <v>557.61394913</v>
      </c>
      <c r="H21" s="272">
        <f>IF(COUNT(D21:G21)=4,SUM(D21:G21),"")</f>
        <v>2860.902</v>
      </c>
      <c r="I21" s="271">
        <f>IFERROR(INDEX('Inputs (2)'!$D$55:$AL$55,MATCH(I$7,'Inputs (2)'!$D$2:$AL$2,0)),"")</f>
        <v>391.11637603</v>
      </c>
      <c r="J21" s="271">
        <f>IFERROR(INDEX('Inputs (2)'!$D$55:$AL$55,MATCH(J$7,'Inputs (2)'!$D$2:$AL$2,0)),"")</f>
        <v>714.62662397</v>
      </c>
      <c r="K21" s="271">
        <f>IFERROR(INDEX('Inputs (2)'!$D$55:$AL$55,MATCH(K$7,'Inputs (2)'!$D$2:$AL$2,0)),"")</f>
        <v>923.047</v>
      </c>
      <c r="L21" s="271">
        <f>IFERROR(INDEX('Inputs (2)'!$D$55:$AL$55,MATCH(L$7,'Inputs (2)'!$D$2:$AL$2,0)),"")</f>
        <v>831.811</v>
      </c>
      <c r="M21" s="272">
        <f>IF(COUNT(I21:L21)=4,SUM(I21:L21),"")</f>
        <v>2860.601</v>
      </c>
      <c r="N21" s="271">
        <f>IFERROR(INDEX('Inputs (2)'!$D$55:$AL$55,MATCH(N$7,'Inputs (2)'!$D$2:$AL$2,0)),"")</f>
        <v>1017.079</v>
      </c>
      <c r="O21" s="271">
        <f>IFERROR(INDEX('Inputs (2)'!$D$55:$AL$55,MATCH(O$7,'Inputs (2)'!$D$2:$AL$2,0)),"")</f>
        <v>1259.106</v>
      </c>
      <c r="P21" s="271">
        <f>IFERROR(INDEX('Inputs (2)'!$D$55:$AL$55,MATCH(P$7,'Inputs (2)'!$D$2:$AL$2,0)),"")</f>
        <v>1498.061</v>
      </c>
      <c r="Q21" s="271">
        <f>IFERROR(INDEX('Inputs (2)'!$D$55:$AL$55,MATCH(Q$7,'Inputs (2)'!$D$2:$AL$2,0)),"")</f>
        <v>1475.81470045</v>
      </c>
      <c r="R21" s="272">
        <f>IF(COUNT(N21:Q21)=4,SUM(N21:Q21),"")</f>
        <v>5250.06070045</v>
      </c>
      <c r="S21" s="271">
        <f>IFERROR(INDEX('Inputs (2)'!$D$55:$AL$55,MATCH(S$7,'Inputs (2)'!$D$2:$AL$2,0)),"")</f>
        <v>1648.29700617</v>
      </c>
      <c r="T21" s="271">
        <f>IFERROR(INDEX('Inputs (2)'!$D$55:$AL$55,MATCH(T$7,'Inputs (2)'!$D$2:$AL$2,0)),"")</f>
        <v>1508.68499383</v>
      </c>
      <c r="U21" s="271">
        <f>IFERROR(INDEX('Inputs (2)'!$D$55:$AL$55,MATCH(U$7,'Inputs (2)'!$D$2:$AL$2,0)),"")</f>
        <v>1568.456</v>
      </c>
      <c r="V21" s="271">
        <f>IFERROR(INDEX('Inputs (2)'!$D$55:$AL$55,MATCH(V$7,'Inputs (2)'!$D$2:$AL$2,0)),"")</f>
        <v>1342.034</v>
      </c>
      <c r="W21" s="272">
        <f>IF(COUNT(S21:V21)=4,SUM(S21:V21),"")</f>
        <v>6067.472</v>
      </c>
      <c r="X21" s="271">
        <f>IFERROR(INDEX('Inputs (2)'!$D$55:$AL$55,MATCH(X$7,'Inputs (2)'!$D$2:$AL$2,0)),"")</f>
        <v>1784.94251437</v>
      </c>
      <c r="Y21" s="271">
        <f>IFERROR(INDEX('Inputs (2)'!$D$55:$AL$55,MATCH(Y$7,'Inputs (2)'!$D$2:$AL$2,0)),"")</f>
        <v>2066.065037</v>
      </c>
      <c r="Z21" s="271">
        <f>IFERROR(INDEX('Inputs (2)'!$D$55:$AL$55,MATCH(Z$7,'Inputs (2)'!$D$2:$AL$2,0)),"")</f>
        <v>2264.61723902</v>
      </c>
      <c r="AA21" s="271">
        <f>IFERROR(INDEX('Inputs (2)'!$D$55:$AL$55,MATCH(AA$7,'Inputs (2)'!$D$2:$AL$2,0)),"")</f>
        <v>1647.8227367</v>
      </c>
      <c r="AB21" s="272">
        <f>IF(COUNT(X21:AA21)=4,SUM(X21:AA21),"")</f>
        <v>7763.44752709</v>
      </c>
      <c r="AC21" s="271">
        <f>IFERROR(INDEX('Inputs (2)'!$D$55:$AL$55,MATCH(AC$7,'Inputs (2)'!$D$2:$AL$2,0)),"")</f>
        <v>2034.87795962</v>
      </c>
      <c r="AD21" s="271">
        <f>IFERROR(INDEX('Inputs (2)'!$D$55:$AL$55,MATCH(AD$7,'Inputs (2)'!$D$2:$AL$2,0)),"")</f>
        <v>2029.69801446</v>
      </c>
      <c r="AE21" s="271">
        <f>IFERROR(INDEX('Inputs (2)'!$D$55:$AL$55,MATCH(AE$7,'Inputs (2)'!$D$2:$AL$2,0)),"")</f>
        <v>2103.34436349</v>
      </c>
      <c r="AF21" s="271">
        <f>IFERROR(INDEX('Inputs (2)'!$D$55:$AL$55,MATCH(AF$7,'Inputs (2)'!$D$2:$AL$2,0)),"")</f>
        <v>2016.69592475</v>
      </c>
      <c r="AG21" s="272">
        <f>IF(COUNT(AC21:AF21)=4,SUM(AC21:AF21),"")</f>
        <v>8184.61626232</v>
      </c>
      <c r="AH21" s="272">
        <f>IFERROR(INDEX('Inputs (2)'!$D$55:$AL$55,MATCH(AH$7,'Inputs (2)'!$D$2:$AL$2,0)),"")</f>
        <v>1996.47860215</v>
      </c>
      <c r="AI21" s="272">
        <f>IFERROR(INDEX('Inputs (2)'!$D$55:$AL$55,MATCH(AI$7,'Inputs (2)'!$D$2:$AL$2,0)),"")</f>
        <v>1671.4949194</v>
      </c>
    </row>
    <row r="22">
      <c r="C22" s="273" t="inlineStr">
        <is>
          <t>Receita liquida (soma)</t>
        </is>
      </c>
      <c r="D22" s="271">
        <f>IF(COUNT(D19:D21)=0,"",SUM(D19:D21))</f>
        <v>2356.89261247755</v>
      </c>
      <c r="E22" s="271">
        <f>IF(COUNT(E19:E21)=0,"",SUM(E19:E21))</f>
        <v>2197.22443971</v>
      </c>
      <c r="F22" s="271">
        <f>IF(COUNT(F19:F21)=0,"",SUM(F19:F21))</f>
        <v>2603.04473993</v>
      </c>
      <c r="G22" s="271">
        <f>IF(COUNT(G19:G21)=0,"",SUM(G19:G21))</f>
        <v>2649.89520788245</v>
      </c>
      <c r="H22" s="272">
        <f>IF(COUNT(H19:H21)=0,"",SUM(H19:H21))</f>
        <v>9807.057</v>
      </c>
      <c r="I22" s="271">
        <f>IF(COUNT(I19:I21)=0,"",SUM(I19:I21))</f>
        <v>2620.10565591625</v>
      </c>
      <c r="J22" s="271">
        <f>IF(COUNT(J19:J21)=0,"",SUM(J19:J21))</f>
        <v>3149.06634408375</v>
      </c>
      <c r="K22" s="271">
        <f>IF(COUNT(K19:K21)=0,"",SUM(K19:K21))</f>
        <v>3958.28</v>
      </c>
      <c r="L22" s="271">
        <f>IF(COUNT(L19:L21)=0,"",SUM(L19:L21))</f>
        <v>4138.767</v>
      </c>
      <c r="M22" s="272">
        <f>IF(COUNT(M19:M21)=0,"",SUM(M19:M21))</f>
        <v>13866.219</v>
      </c>
      <c r="N22" s="271">
        <f>IF(COUNT(N19:N21)=0,"",SUM(N19:N21))</f>
        <v>4530.19701273988</v>
      </c>
      <c r="O22" s="271">
        <f>IF(COUNT(O19:O21)=0,"",SUM(O19:O21))</f>
        <v>5387.14735582988</v>
      </c>
      <c r="P22" s="271">
        <f>IF(COUNT(P19:P21)=0,"",SUM(P19:P21))</f>
        <v>6823.35047141162</v>
      </c>
      <c r="Q22" s="271">
        <f>IF(COUNT(Q19:Q21)=0,"",SUM(Q19:Q21))</f>
        <v>7341.18627831097</v>
      </c>
      <c r="R22" s="272">
        <f>IF(COUNT(R19:R21)=0,"",SUM(R19:R21))</f>
        <v>24081.8811182923</v>
      </c>
      <c r="S22" s="271">
        <f>IF(COUNT(S19:S21)=0,"",SUM(S19:S21))</f>
        <v>7440.04382122622</v>
      </c>
      <c r="T22" s="271">
        <f>IF(COUNT(T19:T21)=0,"",SUM(T19:T21))</f>
        <v>7563.63617877378</v>
      </c>
      <c r="U22" s="271">
        <f>IF(COUNT(U19:U21)=0,"",SUM(U19:U21))</f>
        <v>8318.109</v>
      </c>
      <c r="V22" s="271">
        <f>IF(COUNT(V19:V21)=0,"",SUM(V19:V21))</f>
        <v>8521.824</v>
      </c>
      <c r="W22" s="272">
        <f>IF(COUNT(W19:W21)=0,"",SUM(W19:W21))</f>
        <v>31843.613</v>
      </c>
      <c r="X22" s="271">
        <f>IF(COUNT(X19:X21)=0,"",SUM(X19:X21))</f>
        <v>9066.59642925</v>
      </c>
      <c r="Y22" s="271">
        <f>IF(COUNT(Y19:Y21)=0,"",SUM(Y19:Y21))</f>
        <v>10227.19018878</v>
      </c>
      <c r="Z22" s="271">
        <f>IF(COUNT(Z19:Z21)=0,"",SUM(Z19:Z21))</f>
        <v>10790.49060251</v>
      </c>
      <c r="AA22" s="271">
        <f>IF(COUNT(AA19:AA21)=0,"",SUM(AA19:AA21))</f>
        <v>10653.80870459</v>
      </c>
      <c r="AB22" s="272">
        <f>IF(COUNT(AB19:AB21)=0,"",SUM(AB19:AB21))</f>
        <v>40738.08592513</v>
      </c>
      <c r="AC22" s="271">
        <f>IF(COUNT(AC19:AC21)=0,"",SUM(AC19:AC21))</f>
        <v>10244.63461166</v>
      </c>
      <c r="AD22" s="271">
        <f>IF(COUNT(AD19:AD21)=0,"",SUM(AD19:AD21))</f>
        <v>10340.78606133</v>
      </c>
      <c r="AE22" s="271">
        <f>IF(COUNT(AE19:AE21)=0,"",SUM(AE19:AE21))</f>
        <v>11100.93342807</v>
      </c>
      <c r="AF22" s="271">
        <f>IF(COUNT(AF19:AF21)=0,"",SUM(AF19:AF21))</f>
        <v>11119.49197747</v>
      </c>
      <c r="AG22" s="272">
        <f>IF(COUNT(AG19:AG21)=0,"",SUM(AG19:AG21))</f>
        <v>42805.84607853</v>
      </c>
      <c r="AH22" s="272">
        <f>IF(COUNT(AH19:AH21)=0,"",SUM(AH19:AH21))</f>
        <v>10924.2982817</v>
      </c>
      <c r="AI22" s="272">
        <f>IF(COUNT(AI19:AI21)=0,"",SUM(AI19:AI21))</f>
        <v>11248.66185844</v>
      </c>
    </row>
    <row r="23">
      <c r="C23" s="14" t="inlineStr">
        <is>
          <t>Check vs Net Revenues (linha 15)</t>
        </is>
      </c>
      <c r="D23" s="271">
        <f>IF(COUNT(D22)=0,"",ROUND(D15-D22,3))</f>
        <v>0</v>
      </c>
      <c r="E23" s="271">
        <f>IF(COUNT(E22)=0,"",ROUND(E15-E22,3))</f>
        <v>0</v>
      </c>
      <c r="F23" s="271">
        <f>IF(COUNT(F22)=0,"",ROUND(F15-F22,3))</f>
        <v>0</v>
      </c>
      <c r="G23" s="271">
        <f>IF(COUNT(G22)=0,"",ROUND(G15-G22,3))</f>
        <v>0</v>
      </c>
      <c r="H23" s="272">
        <f>IF(COUNT(H22)=0,"",ROUND(H15-H22,3))</f>
        <v>0</v>
      </c>
      <c r="I23" s="271">
        <f>IF(COUNT(I22)=0,"",ROUND(I15-I22,3))</f>
        <v>0</v>
      </c>
      <c r="J23" s="271">
        <f>IF(COUNT(J22)=0,"",ROUND(J15-J22,3))</f>
        <v>0</v>
      </c>
      <c r="K23" s="271">
        <f>IF(COUNT(K22)=0,"",ROUND(K15-K22,3))</f>
        <v>0</v>
      </c>
      <c r="L23" s="271">
        <f>IF(COUNT(L22)=0,"",ROUND(L15-L22,3))</f>
        <v>0</v>
      </c>
      <c r="M23" s="272">
        <f>IF(COUNT(M22)=0,"",ROUND(M15-M22,3))</f>
        <v>0</v>
      </c>
      <c r="N23" s="271">
        <f>IF(COUNT(N22)=0,"",ROUND(N15-N22,3))</f>
        <v>0</v>
      </c>
      <c r="O23" s="271">
        <f>IF(COUNT(O22)=0,"",ROUND(O15-O22,3))</f>
        <v>0</v>
      </c>
      <c r="P23" s="271">
        <f>IF(COUNT(P22)=0,"",ROUND(P15-P22,3))</f>
        <v>0</v>
      </c>
      <c r="Q23" s="271">
        <f>IF(COUNT(Q22)=0,"",ROUND(Q15-Q22,3))</f>
        <v>0</v>
      </c>
      <c r="R23" s="272">
        <f>IF(COUNT(R22)=0,"",ROUND(R15-R22,3))</f>
        <v>0</v>
      </c>
      <c r="S23" s="271">
        <f>IF(COUNT(S22)=0,"",ROUND(S15-S22,3))</f>
        <v>0</v>
      </c>
      <c r="T23" s="271">
        <f>IF(COUNT(T22)=0,"",ROUND(T15-T22,3))</f>
        <v>0</v>
      </c>
      <c r="U23" s="271">
        <f>IF(COUNT(U22)=0,"",ROUND(U15-U22,3))</f>
        <v>0</v>
      </c>
      <c r="V23" s="271">
        <f>IF(COUNT(V22)=0,"",ROUND(V15-V22,3))</f>
        <v>0</v>
      </c>
      <c r="W23" s="272">
        <f>IF(COUNT(W22)=0,"",ROUND(W15-W22,3))</f>
        <v>0</v>
      </c>
      <c r="X23" s="271">
        <f>IF(COUNT(X22)=0,"",ROUND(X15-X22,3))</f>
        <v>0</v>
      </c>
      <c r="Y23" s="271">
        <f>IF(COUNT(Y22)=0,"",ROUND(Y15-Y22,3))</f>
        <v>0</v>
      </c>
      <c r="Z23" s="271">
        <f>IF(COUNT(Z22)=0,"",ROUND(Z15-Z22,3))</f>
        <v>0</v>
      </c>
      <c r="AA23" s="271">
        <f>IF(COUNT(AA22)=0,"",ROUND(AA15-AA22,3))</f>
        <v>0</v>
      </c>
      <c r="AB23" s="272">
        <f>IF(COUNT(AB22)=0,"",ROUND(AB15-AB22,3))</f>
        <v>0</v>
      </c>
      <c r="AC23" s="271">
        <f>IF(COUNT(AC22)=0,"",ROUND(AC15-AC22,3))</f>
        <v>0</v>
      </c>
      <c r="AD23" s="271">
        <f>IF(COUNT(AD22)=0,"",ROUND(AD15-AD22,3))</f>
        <v>0</v>
      </c>
      <c r="AE23" s="271">
        <f>IF(COUNT(AE22)=0,"",ROUND(AE15-AE22,3))</f>
        <v>0</v>
      </c>
      <c r="AF23" s="271">
        <f>IF(COUNT(AF22)=0,"",ROUND(AF15-AF22,3))</f>
        <v>0</v>
      </c>
      <c r="AG23" s="272">
        <f>IF(COUNT(AG22)=0,"",ROUND(AG15-AG22,3))</f>
        <v>0</v>
      </c>
      <c r="AH23" s="272">
        <f>IF(COUNT(AH22)=0,"",ROUND(AH15-AH22,3))</f>
        <v>0</v>
      </c>
      <c r="AI23" s="272">
        <f>IF(COUNT(AI22)=0,"",ROUND(AI15-AI22,3))</f>
        <v>0</v>
      </c>
    </row>
    <row r="24">
      <c r="C24" s="14" t="inlineStr">
        <is>
          <t xml:space="preserve">   % venda de ativos na receita</t>
        </is>
      </c>
      <c r="D24" s="274">
        <f>IFERROR(D21/D22,"")</f>
        <v>0.274350791842095</v>
      </c>
      <c r="E24" s="274">
        <f>IFERROR(E21/E22,"")</f>
        <v>0.394184034674361</v>
      </c>
      <c r="F24" s="274">
        <f>IFERROR(F21/F22,"")</f>
        <v>0.303706613064691</v>
      </c>
      <c r="G24" s="274">
        <f>IFERROR(G21/G22,"")</f>
        <v>0.210428679395059</v>
      </c>
      <c r="H24" s="275">
        <f>IFERROR(H21/H22,"")</f>
        <v>0.291718708273032</v>
      </c>
      <c r="I24" s="274">
        <f>IFERROR(I21/I22,"")</f>
        <v>0.149275039785839</v>
      </c>
      <c r="J24" s="274">
        <f>IFERROR(J21/J22,"")</f>
        <v>0.226932857515877</v>
      </c>
      <c r="K24" s="274">
        <f>IFERROR(K21/K22,"")</f>
        <v>0.233193963034449</v>
      </c>
      <c r="L24" s="274">
        <f>IFERROR(L21/L22,"")</f>
        <v>0.200980388603659</v>
      </c>
      <c r="M24" s="275">
        <f>IFERROR(M21/M22,"")</f>
        <v>0.20630000146399</v>
      </c>
      <c r="N24" s="274">
        <f>IFERROR(N21/N22,"")</f>
        <v>0.224510986418418</v>
      </c>
      <c r="O24" s="274">
        <f>IFERROR(O21/O22,"")</f>
        <v>0.233724068942985</v>
      </c>
      <c r="P24" s="274">
        <f>IFERROR(P21/P22,"")</f>
        <v>0.219549179875276</v>
      </c>
      <c r="Q24" s="274">
        <f>IFERROR(Q21/Q22,"")</f>
        <v>0.201032182606535</v>
      </c>
      <c r="R24" s="275">
        <f>IFERROR(R21/R22,"")</f>
        <v>0.218008745855909</v>
      </c>
      <c r="S24" s="274">
        <f>IFERROR(S21/S22,"")</f>
        <v>0.221543991645245</v>
      </c>
      <c r="T24" s="274">
        <f>IFERROR(T21/T22,"")</f>
        <v>0.199465568963232</v>
      </c>
      <c r="U24" s="274">
        <f>IFERROR(U21/U22,"")</f>
        <v>0.188559202578375</v>
      </c>
      <c r="V24" s="274">
        <f>IFERROR(V21/V22,"")</f>
        <v>0.157482013240358</v>
      </c>
      <c r="W24" s="275">
        <f>IFERROR(W21/W22,"")</f>
        <v>0.190539685305182</v>
      </c>
      <c r="X24" s="274">
        <f>IFERROR(X21/X22,"")</f>
        <v>0.19687018478197</v>
      </c>
      <c r="Y24" s="274">
        <f>IFERROR(Y21/Y22,"")</f>
        <v>0.202016878425379</v>
      </c>
      <c r="Z24" s="274">
        <f>IFERROR(Z21/Z22,"")</f>
        <v>0.209871573262222</v>
      </c>
      <c r="AA24" s="274">
        <f>IFERROR(AA21/AA22,"")</f>
        <v>0.154669825823892</v>
      </c>
      <c r="AB24" s="275">
        <f>IFERROR(AB21/AB22,"")</f>
        <v>0.190569766614906</v>
      </c>
      <c r="AC24" s="274">
        <f>IFERROR(AC21/AC22,"")</f>
        <v>0.198628651655764</v>
      </c>
      <c r="AD24" s="274">
        <f>IFERROR(AD21/AD22,"")</f>
        <v>0.196280824535204</v>
      </c>
      <c r="AE24" s="274">
        <f>IFERROR(AE21/AE22,"")</f>
        <v>0.189474549786187</v>
      </c>
      <c r="AF24" s="274">
        <f>IFERROR(AF21/AF22,"")</f>
        <v>0.181365832974759</v>
      </c>
      <c r="AG24" s="275">
        <f>IFERROR(AG21/AG22,"")</f>
        <v>0.191203235354928</v>
      </c>
      <c r="AH24" s="275">
        <f>IFERROR(AH21/AH22,"")</f>
        <v>0.182755775306358</v>
      </c>
      <c r="AI24" s="275">
        <f>IFERROR(AI21/AI22,"")</f>
        <v>0.148595000937454</v>
      </c>
    </row>
    <row r="25">
      <c r="C25" s="14" t="inlineStr">
        <is>
          <t xml:space="preserve">   % YoY receita de servicos</t>
        </is>
      </c>
      <c r="D25" s="274" t="str">
        <f>""</f>
        <v/>
      </c>
      <c r="E25" s="274" t="str">
        <f>""</f>
        <v/>
      </c>
      <c r="F25" s="274" t="str">
        <f>""</f>
        <v/>
      </c>
      <c r="G25" s="274" t="str">
        <f>""</f>
        <v/>
      </c>
      <c r="H25" s="275" t="str">
        <f>""</f>
        <v/>
      </c>
      <c r="I25" s="274">
        <f>IFERROR(I19/D19-1,"")</f>
        <v>0.303291188323557</v>
      </c>
      <c r="J25" s="274">
        <f>IFERROR(J19/E19-1,"")</f>
        <v>0.828874438553537</v>
      </c>
      <c r="K25" s="274">
        <f>IFERROR(K19/F19-1,"")</f>
        <v>0.674627166583337</v>
      </c>
      <c r="L25" s="274">
        <f>IFERROR(L19/G19-1,"")</f>
        <v>0.580550409351664</v>
      </c>
      <c r="M25" s="275">
        <f>IFERROR(M19/H19-1,"")</f>
        <v>0.584418717981386</v>
      </c>
      <c r="N25" s="274">
        <f>IFERROR(N19/I19-1,"")</f>
        <v>0.576103592978768</v>
      </c>
      <c r="O25" s="274">
        <f>IFERROR(O19/J19-1,"")</f>
        <v>0.695684358796525</v>
      </c>
      <c r="P25" s="274">
        <f>IFERROR(P19/K19-1,"")</f>
        <v>0.754491161440201</v>
      </c>
      <c r="Q25" s="274">
        <f>IFERROR(Q19/L19-1,"")</f>
        <v>0.773646694380261</v>
      </c>
      <c r="R25" s="275">
        <f>IFERROR(R19/M19-1,"")</f>
        <v>0.711109763926237</v>
      </c>
      <c r="S25" s="274">
        <f>IFERROR(S19/N19-1,"")</f>
        <v>0.644531671735789</v>
      </c>
      <c r="T25" s="274">
        <f>IFERROR(T19/O19-1,"")</f>
        <v>0.464172274984077</v>
      </c>
      <c r="U25" s="274">
        <f>IFERROR(U19/P19-1,"")</f>
        <v>0.256669988408358</v>
      </c>
      <c r="V25" s="274">
        <f>IFERROR(V19/Q19-1,"")</f>
        <v>0.208261918112698</v>
      </c>
      <c r="W25" s="275">
        <f>IFERROR(W19/R19-1,"")</f>
        <v>0.359434910968803</v>
      </c>
      <c r="X25" s="274">
        <f>IFERROR(X19/S19-1,"")</f>
        <v>0.239883632056358</v>
      </c>
      <c r="Y25" s="274">
        <f>IFERROR(Y19/T19-1,"")</f>
        <v>0.3133486831595</v>
      </c>
      <c r="Z25" s="274">
        <f>IFERROR(Z19/U19-1,"")</f>
        <v>0.248962982731177</v>
      </c>
      <c r="AA25" s="274">
        <f>IFERROR(AA19/V19-1,"")</f>
        <v>0.241277980968992</v>
      </c>
      <c r="AB25" s="275">
        <f>IFERROR(AB19/W19-1,"")</f>
        <v>0.259987689626468</v>
      </c>
      <c r="AC25" s="274">
        <f>IFERROR(AC19/X19-1,"")</f>
        <v>0.143285265983921</v>
      </c>
      <c r="AD25" s="274">
        <f>IFERROR(AD19/Y19-1,"")</f>
        <v>0.0450682249532954</v>
      </c>
      <c r="AE25" s="274">
        <f>IFERROR(AE19/Z19-1,"")</f>
        <v>0.0717707258016862</v>
      </c>
      <c r="AF25" s="274">
        <f>IFERROR(AF19/AA19-1,"")</f>
        <v>0.0278260724943438</v>
      </c>
      <c r="AG25" s="275">
        <f>IFERROR(AG19/AB19-1,"")</f>
        <v>0.0690966347080841</v>
      </c>
      <c r="AH25" s="275">
        <f>IFERROR(AH19/AC19-1,"")</f>
        <v>0.0840199788480593</v>
      </c>
      <c r="AI25" s="275">
        <f>IFERROR(AI19/AD19-1,"")</f>
        <v>0.143710203987013</v>
      </c>
    </row>
    <row r="26"/>
    <row r="27">
      <c r="C27" s="12" t="inlineStr">
        <is>
          <t>Receita liquida por controlada - como a Cia divulga (abas das controladas; R$ milhoes)</t>
        </is>
      </c>
      <c r="D27" s="12" t="str">
        <f>D7</f>
        <v>1Q20</v>
      </c>
      <c r="E27" s="12" t="str">
        <f>E7</f>
        <v>2Q20</v>
      </c>
      <c r="F27" s="12" t="str">
        <f>F7</f>
        <v>3Q20</v>
      </c>
      <c r="G27" s="12" t="str">
        <f>G7</f>
        <v>4Q20</v>
      </c>
      <c r="H27" s="12">
        <f>H7</f>
        <v>2020</v>
      </c>
      <c r="I27" s="12" t="str">
        <f>I7</f>
        <v>1Q21</v>
      </c>
      <c r="J27" s="12" t="str">
        <f>J7</f>
        <v>2Q21</v>
      </c>
      <c r="K27" s="12" t="str">
        <f>K7</f>
        <v>3Q21</v>
      </c>
      <c r="L27" s="12" t="str">
        <f>L7</f>
        <v>4Q21</v>
      </c>
      <c r="M27" s="12">
        <f>M7</f>
        <v>2021</v>
      </c>
      <c r="N27" s="12" t="str">
        <f>N7</f>
        <v>1Q22</v>
      </c>
      <c r="O27" s="12" t="str">
        <f>O7</f>
        <v>2Q22</v>
      </c>
      <c r="P27" s="12" t="str">
        <f>P7</f>
        <v>3Q22</v>
      </c>
      <c r="Q27" s="12" t="str">
        <f>Q7</f>
        <v>4Q22</v>
      </c>
      <c r="R27" s="12">
        <f>R7</f>
        <v>2022</v>
      </c>
      <c r="S27" s="12" t="str">
        <f>S7</f>
        <v>1Q23</v>
      </c>
      <c r="T27" s="12" t="str">
        <f>T7</f>
        <v>2Q23</v>
      </c>
      <c r="U27" s="12" t="str">
        <f>U7</f>
        <v>3Q23</v>
      </c>
      <c r="V27" s="12" t="str">
        <f>V7</f>
        <v>4Q23</v>
      </c>
      <c r="W27" s="12">
        <f>W7</f>
        <v>2023</v>
      </c>
      <c r="X27" s="12" t="str">
        <f>X7</f>
        <v>1Q24</v>
      </c>
      <c r="Y27" s="12" t="str">
        <f>Y7</f>
        <v>2Q24</v>
      </c>
      <c r="Z27" s="12" t="str">
        <f>Z7</f>
        <v>3Q24</v>
      </c>
      <c r="AA27" s="12" t="str">
        <f>AA7</f>
        <v>4Q24</v>
      </c>
      <c r="AB27" s="12">
        <f>AB7</f>
        <v>2024</v>
      </c>
      <c r="AC27" s="12" t="str">
        <f>AC7</f>
        <v>1Q25</v>
      </c>
      <c r="AD27" s="12" t="str">
        <f>AD7</f>
        <v>2Q25</v>
      </c>
      <c r="AE27" s="12" t="str">
        <f>AE7</f>
        <v>3Q25</v>
      </c>
      <c r="AF27" s="12" t="str">
        <f>AF7</f>
        <v>4Q25</v>
      </c>
      <c r="AG27" s="12">
        <f>AG7</f>
        <v>2025</v>
      </c>
      <c r="AH27" s="12" t="str">
        <f>AH7</f>
        <v>1Q26</v>
      </c>
      <c r="AI27" s="12" t="str">
        <f>AI7</f>
        <v>2Q26</v>
      </c>
    </row>
    <row r="28">
      <c r="C28" s="14" t="inlineStr">
        <is>
          <t xml:space="preserve">   JSL</t>
        </is>
      </c>
      <c r="D28" s="271">
        <f>IFERROR(INDEX('Inputs (2)'!$D$56:$AL$56,MATCH(D$7,'Inputs (2)'!$D$2:$AL$2,0)),"")</f>
        <v>693.77792235</v>
      </c>
      <c r="E28" s="271">
        <f>IFERROR(INDEX('Inputs (2)'!$D$56:$AL$56,MATCH(E$7,'Inputs (2)'!$D$2:$AL$2,0)),"")</f>
        <v>581.64440383</v>
      </c>
      <c r="F28" s="271">
        <f>IFERROR(INDEX('Inputs (2)'!$D$56:$AL$56,MATCH(F$7,'Inputs (2)'!$D$2:$AL$2,0)),"")</f>
        <v>733.23155814</v>
      </c>
      <c r="G28" s="271">
        <f>IFERROR(INDEX('Inputs (2)'!$D$56:$AL$56,MATCH(G$7,'Inputs (2)'!$D$2:$AL$2,0)),"")</f>
        <v>818.151110988865</v>
      </c>
      <c r="H28" s="272">
        <f>IF(COUNT(D28:G28)=4,SUM(D28:G28),"")</f>
        <v>2826.80499530887</v>
      </c>
      <c r="I28" s="271">
        <f>IFERROR(INDEX('Inputs (2)'!$D$56:$AL$56,MATCH(I$7,'Inputs (2)'!$D$2:$AL$2,0)),"")</f>
        <v>868.17127987</v>
      </c>
      <c r="J28" s="271">
        <f>IFERROR(INDEX('Inputs (2)'!$D$56:$AL$56,MATCH(J$7,'Inputs (2)'!$D$2:$AL$2,0)),"")</f>
        <v>922.366763343647</v>
      </c>
      <c r="K28" s="271">
        <f>IFERROR(INDEX('Inputs (2)'!$D$56:$AL$56,MATCH(K$7,'Inputs (2)'!$D$2:$AL$2,0)),"")</f>
        <v>1177.7676295154</v>
      </c>
      <c r="L28" s="271">
        <f>IFERROR(INDEX('Inputs (2)'!$D$56:$AL$56,MATCH(L$7,'Inputs (2)'!$D$2:$AL$2,0)),"")</f>
        <v>1327.76305050791</v>
      </c>
      <c r="M28" s="272">
        <f>IF(COUNT(I28:L28)=4,SUM(I28:L28),"")</f>
        <v>4296.06872323695</v>
      </c>
      <c r="N28" s="271">
        <f>IFERROR(INDEX('Inputs (2)'!$D$56:$AL$56,MATCH(N$7,'Inputs (2)'!$D$2:$AL$2,0)),"")</f>
        <v>1296.4594049669</v>
      </c>
      <c r="O28" s="271">
        <f>IFERROR(INDEX('Inputs (2)'!$D$56:$AL$56,MATCH(O$7,'Inputs (2)'!$D$2:$AL$2,0)),"")</f>
        <v>1438.6826346731</v>
      </c>
      <c r="P28" s="271">
        <f>IFERROR(INDEX('Inputs (2)'!$D$56:$AL$56,MATCH(P$7,'Inputs (2)'!$D$2:$AL$2,0)),"")</f>
        <v>1624.8180787202</v>
      </c>
      <c r="Q28" s="271">
        <f>IFERROR(INDEX('Inputs (2)'!$D$56:$AL$56,MATCH(Q$7,'Inputs (2)'!$D$2:$AL$2,0)),"")</f>
        <v>1662.4451971423</v>
      </c>
      <c r="R28" s="272">
        <f>IF(COUNT(N28:Q28)=4,SUM(N28:Q28),"")</f>
        <v>6022.4053155025</v>
      </c>
      <c r="S28" s="271">
        <f>IFERROR(INDEX('Inputs (2)'!$D$56:$AL$56,MATCH(S$7,'Inputs (2)'!$D$2:$AL$2,0)),"")</f>
        <v>1563.57782895705</v>
      </c>
      <c r="T28" s="271">
        <f>IFERROR(INDEX('Inputs (2)'!$D$56:$AL$56,MATCH(T$7,'Inputs (2)'!$D$2:$AL$2,0)),"")</f>
        <v>1839.57522649244</v>
      </c>
      <c r="U28" s="271">
        <f>IFERROR(INDEX('Inputs (2)'!$D$56:$AL$56,MATCH(U$7,'Inputs (2)'!$D$2:$AL$2,0)),"")</f>
        <v>2010.12505354333</v>
      </c>
      <c r="V28" s="271">
        <f>IFERROR(INDEX('Inputs (2)'!$D$56:$AL$56,MATCH(V$7,'Inputs (2)'!$D$2:$AL$2,0)),"")</f>
        <v>2161.36609257363</v>
      </c>
      <c r="W28" s="272">
        <f>IF(COUNT(S28:V28)=4,SUM(S28:V28),"")</f>
        <v>7574.64420156644</v>
      </c>
      <c r="X28" s="271">
        <f>IFERROR(INDEX('Inputs (2)'!$D$56:$AL$56,MATCH(X$7,'Inputs (2)'!$D$2:$AL$2,0)),"")</f>
        <v>2070.3405070966</v>
      </c>
      <c r="Y28" s="271">
        <f>IFERROR(INDEX('Inputs (2)'!$D$56:$AL$56,MATCH(Y$7,'Inputs (2)'!$D$2:$AL$2,0)),"")</f>
        <v>2142.59474085545</v>
      </c>
      <c r="Z28" s="271">
        <f>IFERROR(INDEX('Inputs (2)'!$D$56:$AL$56,MATCH(Z$7,'Inputs (2)'!$D$2:$AL$2,0)),"")</f>
        <v>2352.356008492</v>
      </c>
      <c r="AA28" s="271">
        <f>IFERROR(INDEX('Inputs (2)'!$D$56:$AL$56,MATCH(AA$7,'Inputs (2)'!$D$2:$AL$2,0)),"")</f>
        <v>2490.96684476595</v>
      </c>
      <c r="AB28" s="272">
        <f>IF(COUNT(X28:AA28)=4,SUM(X28:AA28),"")</f>
        <v>9056.25810121</v>
      </c>
      <c r="AC28" s="271">
        <f>IFERROR(INDEX('Inputs (2)'!$D$56:$AL$56,MATCH(AC$7,'Inputs (2)'!$D$2:$AL$2,0)),"")</f>
        <v>2319.93439908</v>
      </c>
      <c r="AD28" s="271">
        <f>IFERROR(INDEX('Inputs (2)'!$D$56:$AL$56,MATCH(AD$7,'Inputs (2)'!$D$2:$AL$2,0)),"")</f>
        <v>2381.75857342</v>
      </c>
      <c r="AE28" s="271">
        <f>IFERROR(INDEX('Inputs (2)'!$D$56:$AL$56,MATCH(AE$7,'Inputs (2)'!$D$2:$AL$2,0)),"")</f>
        <v>2484.89322322</v>
      </c>
      <c r="AF28" s="271">
        <f>IFERROR(INDEX('Inputs (2)'!$D$56:$AL$56,MATCH(AF$7,'Inputs (2)'!$D$2:$AL$2,0)),"")</f>
        <v>2454.02204209</v>
      </c>
      <c r="AG28" s="272">
        <f>IF(COUNT(AC28:AF28)=4,SUM(AC28:AF28),"")</f>
        <v>9640.60823781</v>
      </c>
      <c r="AH28" s="272">
        <f>IFERROR(INDEX('Inputs (2)'!$D$56:$AL$56,MATCH(AH$7,'Inputs (2)'!$D$2:$AL$2,0)),"")</f>
        <v>2372.71151418</v>
      </c>
      <c r="AI28" s="272">
        <f>IFERROR(INDEX('Inputs (2)'!$D$56:$AL$56,MATCH(AI$7,'Inputs (2)'!$D$2:$AL$2,0)),"")</f>
        <v>2498.85403582</v>
      </c>
    </row>
    <row r="29">
      <c r="C29" s="14" t="inlineStr">
        <is>
          <t xml:space="preserve">   Movida</t>
        </is>
      </c>
      <c r="D29" s="271">
        <f>IFERROR(INDEX('Inputs (2)'!$D$58:$AL$58,MATCH(D$7,'Inputs (2)'!$D$2:$AL$2,0)),"")</f>
        <v>1011.166</v>
      </c>
      <c r="E29" s="271">
        <f>IFERROR(INDEX('Inputs (2)'!$D$58:$AL$58,MATCH(E$7,'Inputs (2)'!$D$2:$AL$2,0)),"")</f>
        <v>1047.824</v>
      </c>
      <c r="F29" s="271">
        <f>IFERROR(INDEX('Inputs (2)'!$D$58:$AL$58,MATCH(F$7,'Inputs (2)'!$D$2:$AL$2,0)),"")</f>
        <v>1035.56833343365</v>
      </c>
      <c r="G29" s="271">
        <f>IFERROR(INDEX('Inputs (2)'!$D$58:$AL$58,MATCH(G$7,'Inputs (2)'!$D$2:$AL$2,0)),"")</f>
        <v>990.70075501</v>
      </c>
      <c r="H29" s="272">
        <f>IF(COUNT(D29:G29)=4,SUM(D29:G29),"")</f>
        <v>4085.25908844365</v>
      </c>
      <c r="I29" s="271">
        <f>IFERROR(INDEX('Inputs (2)'!$D$58:$AL$58,MATCH(I$7,'Inputs (2)'!$D$2:$AL$2,0)),"")</f>
        <v>804.889</v>
      </c>
      <c r="J29" s="271">
        <f>IFERROR(INDEX('Inputs (2)'!$D$58:$AL$58,MATCH(J$7,'Inputs (2)'!$D$2:$AL$2,0)),"")</f>
        <v>1211.49877851</v>
      </c>
      <c r="K29" s="271">
        <f>IFERROR(INDEX('Inputs (2)'!$D$58:$AL$58,MATCH(K$7,'Inputs (2)'!$D$2:$AL$2,0)),"")</f>
        <v>1575.241</v>
      </c>
      <c r="L29" s="271">
        <f>IFERROR(INDEX('Inputs (2)'!$D$58:$AL$58,MATCH(L$7,'Inputs (2)'!$D$2:$AL$2,0)),"")</f>
        <v>1740.9937540742</v>
      </c>
      <c r="M29" s="272">
        <f>IF(COUNT(I29:L29)=4,SUM(I29:L29),"")</f>
        <v>5332.6225325842</v>
      </c>
      <c r="N29" s="271">
        <f>IFERROR(INDEX('Inputs (2)'!$D$58:$AL$58,MATCH(N$7,'Inputs (2)'!$D$2:$AL$2,0)),"")</f>
        <v>1905.65707695231</v>
      </c>
      <c r="O29" s="271">
        <f>IFERROR(INDEX('Inputs (2)'!$D$58:$AL$58,MATCH(O$7,'Inputs (2)'!$D$2:$AL$2,0)),"")</f>
        <v>2230.9921676602</v>
      </c>
      <c r="P29" s="271">
        <f>IFERROR(INDEX('Inputs (2)'!$D$58:$AL$58,MATCH(P$7,'Inputs (2)'!$D$2:$AL$2,0)),"")</f>
        <v>2536.86406647895</v>
      </c>
      <c r="Q29" s="271">
        <f>IFERROR(INDEX('Inputs (2)'!$D$58:$AL$58,MATCH(Q$7,'Inputs (2)'!$D$2:$AL$2,0)),"")</f>
        <v>2626.63279270383</v>
      </c>
      <c r="R29" s="272">
        <f>IF(COUNT(N29:Q29)=4,SUM(N29:Q29),"")</f>
        <v>9300.14610379529</v>
      </c>
      <c r="S29" s="271">
        <f>IFERROR(INDEX('Inputs (2)'!$D$58:$AL$58,MATCH(S$7,'Inputs (2)'!$D$2:$AL$2,0)),"")</f>
        <v>2703.20625153</v>
      </c>
      <c r="T29" s="271">
        <f>IFERROR(INDEX('Inputs (2)'!$D$58:$AL$58,MATCH(T$7,'Inputs (2)'!$D$2:$AL$2,0)),"")</f>
        <v>2479.14429072</v>
      </c>
      <c r="U29" s="271">
        <f>IFERROR(INDEX('Inputs (2)'!$D$58:$AL$58,MATCH(U$7,'Inputs (2)'!$D$2:$AL$2,0)),"")</f>
        <v>2666.21994829</v>
      </c>
      <c r="V29" s="271">
        <f>IFERROR(INDEX('Inputs (2)'!$D$58:$AL$58,MATCH(V$7,'Inputs (2)'!$D$2:$AL$2,0)),"")</f>
        <v>2493.44420164</v>
      </c>
      <c r="W29" s="272">
        <f>IF(COUNT(S29:V29)=4,SUM(S29:V29),"")</f>
        <v>10342.01469218</v>
      </c>
      <c r="X29" s="271">
        <f>IFERROR(INDEX('Inputs (2)'!$D$58:$AL$58,MATCH(X$7,'Inputs (2)'!$D$2:$AL$2,0)),"")</f>
        <v>3021.64586942</v>
      </c>
      <c r="Y29" s="271">
        <f>IFERROR(INDEX('Inputs (2)'!$D$58:$AL$58,MATCH(Y$7,'Inputs (2)'!$D$2:$AL$2,0)),"")</f>
        <v>3435.60355662</v>
      </c>
      <c r="Z29" s="271">
        <f>IFERROR(INDEX('Inputs (2)'!$D$58:$AL$58,MATCH(Z$7,'Inputs (2)'!$D$2:$AL$2,0)),"")</f>
        <v>3775.86368257</v>
      </c>
      <c r="AA29" s="271">
        <f>IFERROR(INDEX('Inputs (2)'!$D$58:$AL$58,MATCH(AA$7,'Inputs (2)'!$D$2:$AL$2,0)),"")</f>
        <v>3248.15701974</v>
      </c>
      <c r="AB29" s="272">
        <f>IF(COUNT(X29:AA29)=4,SUM(X29:AA29),"")</f>
        <v>13481.27012835</v>
      </c>
      <c r="AC29" s="271">
        <f>IFERROR(INDEX('Inputs (2)'!$D$58:$AL$58,MATCH(AC$7,'Inputs (2)'!$D$2:$AL$2,0)),"")</f>
        <v>3568.23052826</v>
      </c>
      <c r="AD29" s="271">
        <f>IFERROR(INDEX('Inputs (2)'!$D$58:$AL$58,MATCH(AD$7,'Inputs (2)'!$D$2:$AL$2,0)),"")</f>
        <v>3679.00557345</v>
      </c>
      <c r="AE29" s="271">
        <f>IFERROR(INDEX('Inputs (2)'!$D$58:$AL$58,MATCH(AE$7,'Inputs (2)'!$D$2:$AL$2,0)),"")</f>
        <v>3765.84276528</v>
      </c>
      <c r="AF29" s="271">
        <f>IFERROR(INDEX('Inputs (2)'!$D$58:$AL$58,MATCH(AF$7,'Inputs (2)'!$D$2:$AL$2,0)),"")</f>
        <v>3658.97515315</v>
      </c>
      <c r="AG29" s="272">
        <f>IF(COUNT(AC29:AF29)=4,SUM(AC29:AF29),"")</f>
        <v>14672.05402014</v>
      </c>
      <c r="AH29" s="272">
        <f>IFERROR(INDEX('Inputs (2)'!$D$58:$AL$58,MATCH(AH$7,'Inputs (2)'!$D$2:$AL$2,0)),"")</f>
        <v>3780.64496646</v>
      </c>
      <c r="AI29" s="272">
        <f>IFERROR(INDEX('Inputs (2)'!$D$58:$AL$58,MATCH(AI$7,'Inputs (2)'!$D$2:$AL$2,0)),"")</f>
        <v>3765.83020683</v>
      </c>
    </row>
    <row r="30">
      <c r="C30" s="14" t="inlineStr">
        <is>
          <t xml:space="preserve">   Vamos - locacao + industria</t>
        </is>
      </c>
      <c r="D30" s="271">
        <f>IFERROR(INDEX('Inputs (2)'!$D$60:$AL$60,MATCH(D$7,'Inputs (2)'!$D$2:$AL$2,0)),"")</f>
        <v>204.443941423734</v>
      </c>
      <c r="E30" s="271">
        <f>IFERROR(INDEX('Inputs (2)'!$D$60:$AL$60,MATCH(E$7,'Inputs (2)'!$D$2:$AL$2,0)),"")</f>
        <v>197.510181426944</v>
      </c>
      <c r="F30" s="271">
        <f>IFERROR(INDEX('Inputs (2)'!$D$60:$AL$60,MATCH(F$7,'Inputs (2)'!$D$2:$AL$2,0)),"")</f>
        <v>223.011405977283</v>
      </c>
      <c r="G30" s="271">
        <f>IFERROR(INDEX('Inputs (2)'!$D$60:$AL$60,MATCH(G$7,'Inputs (2)'!$D$2:$AL$2,0)),"")</f>
        <v>253.478152659935</v>
      </c>
      <c r="H30" s="272">
        <f>IF(COUNT(D30:G30)=4,SUM(D30:G30),"")</f>
        <v>878.443681487896</v>
      </c>
      <c r="I30" s="271">
        <f>IFERROR(INDEX('Inputs (2)'!$D$60:$AL$60,MATCH(I$7,'Inputs (2)'!$D$2:$AL$2,0)),"")</f>
        <v>265.745826807948</v>
      </c>
      <c r="J30" s="271">
        <f>IFERROR(INDEX('Inputs (2)'!$D$60:$AL$60,MATCH(J$7,'Inputs (2)'!$D$2:$AL$2,0)),"")</f>
        <v>273.970729803083</v>
      </c>
      <c r="K30" s="271">
        <f>IFERROR(INDEX('Inputs (2)'!$D$60:$AL$60,MATCH(K$7,'Inputs (2)'!$D$2:$AL$2,0)),"")</f>
        <v>303.688421311688</v>
      </c>
      <c r="L30" s="271">
        <f>IFERROR(INDEX('Inputs (2)'!$D$60:$AL$60,MATCH(L$7,'Inputs (2)'!$D$2:$AL$2,0)),"")</f>
        <v>328.269593498854</v>
      </c>
      <c r="M30" s="272">
        <f>IF(COUNT(I30:L30)=4,SUM(I30:L30),"")</f>
        <v>1171.67457142157</v>
      </c>
      <c r="N30" s="271">
        <f>IFERROR(INDEX('Inputs (2)'!$D$60:$AL$60,MATCH(N$7,'Inputs (2)'!$D$2:$AL$2,0)),"")</f>
        <v>366.989043808058</v>
      </c>
      <c r="O30" s="271">
        <f>IFERROR(INDEX('Inputs (2)'!$D$60:$AL$60,MATCH(O$7,'Inputs (2)'!$D$2:$AL$2,0)),"")</f>
        <v>461.856360134579</v>
      </c>
      <c r="P30" s="271">
        <f>IFERROR(INDEX('Inputs (2)'!$D$60:$AL$60,MATCH(P$7,'Inputs (2)'!$D$2:$AL$2,0)),"")</f>
        <v>590.21933645805</v>
      </c>
      <c r="Q30" s="271">
        <f>IFERROR(INDEX('Inputs (2)'!$D$60:$AL$60,MATCH(Q$7,'Inputs (2)'!$D$2:$AL$2,0)),"")</f>
        <v>715.33438274933</v>
      </c>
      <c r="R30" s="272">
        <f>IF(COUNT(N30:Q30)=4,SUM(N30:Q30),"")</f>
        <v>2134.39912315002</v>
      </c>
      <c r="S30" s="271">
        <f>IFERROR(INDEX('Inputs (2)'!$D$60:$AL$60,MATCH(S$7,'Inputs (2)'!$D$2:$AL$2,0)),"")</f>
        <v>945.32264989472</v>
      </c>
      <c r="T30" s="271">
        <f>IFERROR(INDEX('Inputs (2)'!$D$60:$AL$60,MATCH(T$7,'Inputs (2)'!$D$2:$AL$2,0)),"")</f>
        <v>912.72497186528</v>
      </c>
      <c r="U30" s="271">
        <f>IFERROR(INDEX('Inputs (2)'!$D$60:$AL$60,MATCH(U$7,'Inputs (2)'!$D$2:$AL$2,0)),"")</f>
        <v>984.45924996</v>
      </c>
      <c r="V30" s="271">
        <f>IFERROR(INDEX('Inputs (2)'!$D$60:$AL$60,MATCH(V$7,'Inputs (2)'!$D$2:$AL$2,0)),"")</f>
        <v>705.909904108364</v>
      </c>
      <c r="W30" s="272">
        <f>IF(COUNT(S30:V30)=4,SUM(S30:V30),"")</f>
        <v>3548.41677582836</v>
      </c>
      <c r="X30" s="271">
        <f>IFERROR(INDEX('Inputs (2)'!$D$60:$AL$60,MATCH(X$7,'Inputs (2)'!$D$2:$AL$2,0)),"")</f>
        <v>1077.92902978</v>
      </c>
      <c r="Y30" s="271">
        <f>IFERROR(INDEX('Inputs (2)'!$D$60:$AL$60,MATCH(Y$7,'Inputs (2)'!$D$2:$AL$2,0)),"")</f>
        <v>1207.09988748</v>
      </c>
      <c r="Z30" s="271">
        <f>IFERROR(INDEX('Inputs (2)'!$D$60:$AL$60,MATCH(Z$7,'Inputs (2)'!$D$2:$AL$2,0)),"")</f>
        <v>1221.09474171</v>
      </c>
      <c r="AA30" s="271">
        <f>IFERROR(INDEX('Inputs (2)'!$D$60:$AL$60,MATCH(AA$7,'Inputs (2)'!$D$2:$AL$2,0)),"")</f>
        <v>1193.18825907467</v>
      </c>
      <c r="AB30" s="272">
        <f>IF(COUNT(X30:AA30)=4,SUM(X30:AA30),"")</f>
        <v>4699.31191804467</v>
      </c>
      <c r="AC30" s="271">
        <f>IFERROR(INDEX('Inputs (2)'!$D$60:$AL$60,MATCH(AC$7,'Inputs (2)'!$D$2:$AL$2,0)),"")</f>
        <v>1332.0158350023</v>
      </c>
      <c r="AD30" s="271">
        <f>IFERROR(INDEX('Inputs (2)'!$D$60:$AL$60,MATCH(AD$7,'Inputs (2)'!$D$2:$AL$2,0)),"")</f>
        <v>1411.66593227923</v>
      </c>
      <c r="AE30" s="271">
        <f>IFERROR(INDEX('Inputs (2)'!$D$60:$AL$60,MATCH(AE$7,'Inputs (2)'!$D$2:$AL$2,0)),"")</f>
        <v>1529.00723216847</v>
      </c>
      <c r="AF30" s="271">
        <f>IFERROR(INDEX('Inputs (2)'!$D$60:$AL$60,MATCH(AF$7,'Inputs (2)'!$D$2:$AL$2,0)),"")</f>
        <v>1483.023</v>
      </c>
      <c r="AG30" s="272">
        <f>IF(COUNT(AC30:AF30)=4,SUM(AC30:AF30),"")</f>
        <v>5755.71199945</v>
      </c>
      <c r="AH30" s="272">
        <f>IFERROR(INDEX('Inputs (2)'!$D$60:$AL$60,MATCH(AH$7,'Inputs (2)'!$D$2:$AL$2,0)),"")</f>
        <v>1620.28983956475</v>
      </c>
      <c r="AI30" s="272">
        <f>IFERROR(INDEX('Inputs (2)'!$D$60:$AL$60,MATCH(AI$7,'Inputs (2)'!$D$2:$AL$2,0)),"")</f>
        <v>1564.3051644722</v>
      </c>
    </row>
    <row r="31">
      <c r="C31" s="14" t="inlineStr">
        <is>
          <t xml:space="preserve">   Concessionarias Vamos (ate 4T22)</t>
        </is>
      </c>
      <c r="D31" s="271">
        <f>IFERROR(INDEX('Inputs (2)'!$D$62:$AL$62,MATCH(D$7,'Inputs (2)'!$D$2:$AL$2,0)),"")</f>
        <v>104.18079203</v>
      </c>
      <c r="E31" s="271">
        <f>IFERROR(INDEX('Inputs (2)'!$D$62:$AL$62,MATCH(E$7,'Inputs (2)'!$D$2:$AL$2,0)),"")</f>
        <v>138.39690829</v>
      </c>
      <c r="F31" s="271">
        <f>IFERROR(INDEX('Inputs (2)'!$D$62:$AL$62,MATCH(F$7,'Inputs (2)'!$D$2:$AL$2,0)),"")</f>
        <v>252.03968559</v>
      </c>
      <c r="G31" s="271">
        <f>IFERROR(INDEX('Inputs (2)'!$D$62:$AL$62,MATCH(G$7,'Inputs (2)'!$D$2:$AL$2,0)),"")</f>
        <v>194.24778275</v>
      </c>
      <c r="H31" s="272">
        <f>IF(COUNT(D31:G31)=4,SUM(D31:G31),"")</f>
        <v>688.86516866</v>
      </c>
      <c r="I31" s="271">
        <f>IFERROR(INDEX('Inputs (2)'!$D$62:$AL$62,MATCH(I$7,'Inputs (2)'!$D$2:$AL$2,0)),"")</f>
        <v>278.36339997</v>
      </c>
      <c r="J31" s="271">
        <f>IFERROR(INDEX('Inputs (2)'!$D$62:$AL$62,MATCH(J$7,'Inputs (2)'!$D$2:$AL$2,0)),"")</f>
        <v>412.52110149</v>
      </c>
      <c r="K31" s="271">
        <f>IFERROR(INDEX('Inputs (2)'!$D$62:$AL$62,MATCH(K$7,'Inputs (2)'!$D$2:$AL$2,0)),"")</f>
        <v>526.58010199</v>
      </c>
      <c r="L31" s="271">
        <f>IFERROR(INDEX('Inputs (2)'!$D$62:$AL$62,MATCH(L$7,'Inputs (2)'!$D$2:$AL$2,0)),"")</f>
        <v>478.95953918</v>
      </c>
      <c r="M31" s="272">
        <f>IF(COUNT(I31:L31)=4,SUM(I31:L31),"")</f>
        <v>1696.42414263</v>
      </c>
      <c r="N31" s="271">
        <f>IFERROR(INDEX('Inputs (2)'!$D$62:$AL$62,MATCH(N$7,'Inputs (2)'!$D$2:$AL$2,0)),"")</f>
        <v>578.19047126</v>
      </c>
      <c r="O31" s="271">
        <f>IFERROR(INDEX('Inputs (2)'!$D$62:$AL$62,MATCH(O$7,'Inputs (2)'!$D$2:$AL$2,0)),"")</f>
        <v>736.84008429</v>
      </c>
      <c r="P31" s="271">
        <f>IFERROR(INDEX('Inputs (2)'!$D$62:$AL$62,MATCH(P$7,'Inputs (2)'!$D$2:$AL$2,0)),"")</f>
        <v>787.92101835</v>
      </c>
      <c r="Q31" s="271">
        <f>IFERROR(INDEX('Inputs (2)'!$D$62:$AL$62,MATCH(Q$7,'Inputs (2)'!$D$2:$AL$2,0)),"")</f>
        <v>676.10241582</v>
      </c>
      <c r="R31" s="272">
        <f>IF(COUNT(N31:Q31)=4,SUM(N31:Q31),"")</f>
        <v>2779.05398972</v>
      </c>
      <c r="S31" s="271" t="str">
        <f>IFERROR(INDEX('Inputs (2)'!$D$62:$AL$62,MATCH(S$7,'Inputs (2)'!$D$2:$AL$2,0)),"")</f>
        <v/>
      </c>
      <c r="T31" s="271" t="str">
        <f>IFERROR(INDEX('Inputs (2)'!$D$62:$AL$62,MATCH(T$7,'Inputs (2)'!$D$2:$AL$2,0)),"")</f>
        <v/>
      </c>
      <c r="U31" s="271" t="str">
        <f>IFERROR(INDEX('Inputs (2)'!$D$62:$AL$62,MATCH(U$7,'Inputs (2)'!$D$2:$AL$2,0)),"")</f>
        <v/>
      </c>
      <c r="V31" s="271" t="str">
        <f>IFERROR(INDEX('Inputs (2)'!$D$62:$AL$62,MATCH(V$7,'Inputs (2)'!$D$2:$AL$2,0)),"")</f>
        <v/>
      </c>
      <c r="W31" s="272" t="str">
        <f>IF(COUNT(S31:V31)=4,SUM(S31:V31),"")</f>
        <v/>
      </c>
      <c r="X31" s="271" t="str">
        <f>IFERROR(INDEX('Inputs (2)'!$D$62:$AL$62,MATCH(X$7,'Inputs (2)'!$D$2:$AL$2,0)),"")</f>
        <v/>
      </c>
      <c r="Y31" s="271" t="str">
        <f>IFERROR(INDEX('Inputs (2)'!$D$62:$AL$62,MATCH(Y$7,'Inputs (2)'!$D$2:$AL$2,0)),"")</f>
        <v/>
      </c>
      <c r="Z31" s="271" t="str">
        <f>IFERROR(INDEX('Inputs (2)'!$D$62:$AL$62,MATCH(Z$7,'Inputs (2)'!$D$2:$AL$2,0)),"")</f>
        <v/>
      </c>
      <c r="AA31" s="271" t="str">
        <f>IFERROR(INDEX('Inputs (2)'!$D$62:$AL$62,MATCH(AA$7,'Inputs (2)'!$D$2:$AL$2,0)),"")</f>
        <v/>
      </c>
      <c r="AB31" s="272" t="str">
        <f>IF(COUNT(X31:AA31)=4,SUM(X31:AA31),"")</f>
        <v/>
      </c>
      <c r="AC31" s="271" t="str">
        <f>IFERROR(INDEX('Inputs (2)'!$D$62:$AL$62,MATCH(AC$7,'Inputs (2)'!$D$2:$AL$2,0)),"")</f>
        <v/>
      </c>
      <c r="AD31" s="271" t="str">
        <f>IFERROR(INDEX('Inputs (2)'!$D$62:$AL$62,MATCH(AD$7,'Inputs (2)'!$D$2:$AL$2,0)),"")</f>
        <v/>
      </c>
      <c r="AE31" s="271" t="str">
        <f>IFERROR(INDEX('Inputs (2)'!$D$62:$AL$62,MATCH(AE$7,'Inputs (2)'!$D$2:$AL$2,0)),"")</f>
        <v/>
      </c>
      <c r="AF31" s="271" t="str">
        <f>IFERROR(INDEX('Inputs (2)'!$D$62:$AL$62,MATCH(AF$7,'Inputs (2)'!$D$2:$AL$2,0)),"")</f>
        <v/>
      </c>
      <c r="AG31" s="272" t="str">
        <f>IF(COUNT(AC31:AF31)=4,SUM(AC31:AF31),"")</f>
        <v/>
      </c>
      <c r="AH31" s="272" t="str">
        <f>IFERROR(INDEX('Inputs (2)'!$D$62:$AL$62,MATCH(AH$7,'Inputs (2)'!$D$2:$AL$2,0)),"")</f>
        <v/>
      </c>
      <c r="AI31" s="272" t="str">
        <f>IFERROR(INDEX('Inputs (2)'!$D$62:$AL$62,MATCH(AI$7,'Inputs (2)'!$D$2:$AL$2,0)),"")</f>
        <v/>
      </c>
    </row>
    <row r="32">
      <c r="C32" s="14" t="inlineStr">
        <is>
          <t xml:space="preserve">   Automob (desde 1T23)</t>
        </is>
      </c>
      <c r="D32" s="271" t="str">
        <f>IFERROR(INDEX('Inputs (2)'!$D$63:$AL$63,MATCH(D$7,'Inputs (2)'!$D$2:$AL$2,0)),"")</f>
        <v/>
      </c>
      <c r="E32" s="271" t="str">
        <f>IFERROR(INDEX('Inputs (2)'!$D$63:$AL$63,MATCH(E$7,'Inputs (2)'!$D$2:$AL$2,0)),"")</f>
        <v/>
      </c>
      <c r="F32" s="271" t="str">
        <f>IFERROR(INDEX('Inputs (2)'!$D$63:$AL$63,MATCH(F$7,'Inputs (2)'!$D$2:$AL$2,0)),"")</f>
        <v/>
      </c>
      <c r="G32" s="271" t="str">
        <f>IFERROR(INDEX('Inputs (2)'!$D$63:$AL$63,MATCH(G$7,'Inputs (2)'!$D$2:$AL$2,0)),"")</f>
        <v/>
      </c>
      <c r="H32" s="272" t="str">
        <f>IF(COUNT(D32:G32)=4,SUM(D32:G32),"")</f>
        <v/>
      </c>
      <c r="I32" s="271" t="str">
        <f>IFERROR(INDEX('Inputs (2)'!$D$63:$AL$63,MATCH(I$7,'Inputs (2)'!$D$2:$AL$2,0)),"")</f>
        <v/>
      </c>
      <c r="J32" s="271" t="str">
        <f>IFERROR(INDEX('Inputs (2)'!$D$63:$AL$63,MATCH(J$7,'Inputs (2)'!$D$2:$AL$2,0)),"")</f>
        <v/>
      </c>
      <c r="K32" s="271" t="str">
        <f>IFERROR(INDEX('Inputs (2)'!$D$63:$AL$63,MATCH(K$7,'Inputs (2)'!$D$2:$AL$2,0)),"")</f>
        <v/>
      </c>
      <c r="L32" s="271" t="str">
        <f>IFERROR(INDEX('Inputs (2)'!$D$63:$AL$63,MATCH(L$7,'Inputs (2)'!$D$2:$AL$2,0)),"")</f>
        <v/>
      </c>
      <c r="M32" s="272" t="str">
        <f>IF(COUNT(I32:L32)=4,SUM(I32:L32),"")</f>
        <v/>
      </c>
      <c r="N32" s="271" t="str">
        <f>IFERROR(INDEX('Inputs (2)'!$D$63:$AL$63,MATCH(N$7,'Inputs (2)'!$D$2:$AL$2,0)),"")</f>
        <v/>
      </c>
      <c r="O32" s="271" t="str">
        <f>IFERROR(INDEX('Inputs (2)'!$D$63:$AL$63,MATCH(O$7,'Inputs (2)'!$D$2:$AL$2,0)),"")</f>
        <v/>
      </c>
      <c r="P32" s="271" t="str">
        <f>IFERROR(INDEX('Inputs (2)'!$D$63:$AL$63,MATCH(P$7,'Inputs (2)'!$D$2:$AL$2,0)),"")</f>
        <v/>
      </c>
      <c r="Q32" s="271" t="str">
        <f>IFERROR(INDEX('Inputs (2)'!$D$63:$AL$63,MATCH(Q$7,'Inputs (2)'!$D$2:$AL$2,0)),"")</f>
        <v/>
      </c>
      <c r="R32" s="272" t="str">
        <f>IF(COUNT(N32:Q32)=4,SUM(N32:Q32),"")</f>
        <v/>
      </c>
      <c r="S32" s="271">
        <f>IFERROR(INDEX('Inputs (2)'!$D$63:$AL$63,MATCH(S$7,'Inputs (2)'!$D$2:$AL$2,0)),"")</f>
        <v>2137.91</v>
      </c>
      <c r="T32" s="271">
        <f>IFERROR(INDEX('Inputs (2)'!$D$63:$AL$63,MATCH(T$7,'Inputs (2)'!$D$2:$AL$2,0)),"")</f>
        <v>2204.25</v>
      </c>
      <c r="U32" s="271">
        <f>IFERROR(INDEX('Inputs (2)'!$D$63:$AL$63,MATCH(U$7,'Inputs (2)'!$D$2:$AL$2,0)),"")</f>
        <v>2483.79</v>
      </c>
      <c r="V32" s="271">
        <f>IFERROR(INDEX('Inputs (2)'!$D$63:$AL$63,MATCH(V$7,'Inputs (2)'!$D$2:$AL$2,0)),"")</f>
        <v>2695.64</v>
      </c>
      <c r="W32" s="272">
        <f>IF(COUNT(S32:V32)=4,SUM(S32:V32),"")</f>
        <v>9521.59</v>
      </c>
      <c r="X32" s="271">
        <f>IFERROR(INDEX('Inputs (2)'!$D$63:$AL$63,MATCH(X$7,'Inputs (2)'!$D$2:$AL$2,0)),"")</f>
        <v>2681.521926</v>
      </c>
      <c r="Y32" s="271">
        <f>IFERROR(INDEX('Inputs (2)'!$D$63:$AL$63,MATCH(Y$7,'Inputs (2)'!$D$2:$AL$2,0)),"")</f>
        <v>3050.08937</v>
      </c>
      <c r="Z32" s="271">
        <f>IFERROR(INDEX('Inputs (2)'!$D$63:$AL$63,MATCH(Z$7,'Inputs (2)'!$D$2:$AL$2,0)),"")</f>
        <v>3110.245079</v>
      </c>
      <c r="AA32" s="271">
        <f>IFERROR(INDEX('Inputs (2)'!$D$63:$AL$63,MATCH(AA$7,'Inputs (2)'!$D$2:$AL$2,0)),"")</f>
        <v>3144.697977</v>
      </c>
      <c r="AB32" s="272">
        <f>IF(COUNT(X32:AA32)=4,SUM(X32:AA32),"")</f>
        <v>11986.554352</v>
      </c>
      <c r="AC32" s="271">
        <f>IFERROR(INDEX('Inputs (2)'!$D$63:$AL$63,MATCH(AC$7,'Inputs (2)'!$D$2:$AL$2,0)),"")</f>
        <v>2907.88337487877</v>
      </c>
      <c r="AD32" s="271">
        <f>IFERROR(INDEX('Inputs (2)'!$D$63:$AL$63,MATCH(AD$7,'Inputs (2)'!$D$2:$AL$2,0)),"")</f>
        <v>3087.33263911123</v>
      </c>
      <c r="AE32" s="271">
        <f>IFERROR(INDEX('Inputs (2)'!$D$63:$AL$63,MATCH(AE$7,'Inputs (2)'!$D$2:$AL$2,0)),"")</f>
        <v>3465.49243777</v>
      </c>
      <c r="AF32" s="271">
        <f>IFERROR(INDEX('Inputs (2)'!$D$63:$AL$63,MATCH(AF$7,'Inputs (2)'!$D$2:$AL$2,0)),"")</f>
        <v>3354.69020929</v>
      </c>
      <c r="AG32" s="272">
        <f>IF(COUNT(AC32:AF32)=4,SUM(AC32:AF32),"")</f>
        <v>12815.39866105</v>
      </c>
      <c r="AH32" s="272">
        <f>IFERROR(INDEX('Inputs (2)'!$D$63:$AL$63,MATCH(AH$7,'Inputs (2)'!$D$2:$AL$2,0)),"")</f>
        <v>3126.49263894</v>
      </c>
      <c r="AI32" s="272">
        <f>IFERROR(INDEX('Inputs (2)'!$D$63:$AL$63,MATCH(AI$7,'Inputs (2)'!$D$2:$AL$2,0)),"")</f>
        <v>3455.11138736</v>
      </c>
    </row>
    <row r="33">
      <c r="C33" s="14" t="inlineStr">
        <is>
          <t xml:space="preserve">   CS Brasil</t>
        </is>
      </c>
      <c r="D33" s="271">
        <f>IFERROR(INDEX('Inputs (2)'!$D$64:$AL$64,MATCH(D$7,'Inputs (2)'!$D$2:$AL$2,0)),"")</f>
        <v>211.80970632755</v>
      </c>
      <c r="E33" s="271">
        <f>IFERROR(INDEX('Inputs (2)'!$D$64:$AL$64,MATCH(E$7,'Inputs (2)'!$D$2:$AL$2,0)),"")</f>
        <v>183.71003257</v>
      </c>
      <c r="F33" s="271">
        <f>IFERROR(INDEX('Inputs (2)'!$D$64:$AL$64,MATCH(F$7,'Inputs (2)'!$D$2:$AL$2,0)),"")</f>
        <v>209.51459654</v>
      </c>
      <c r="G33" s="271">
        <f>IFERROR(INDEX('Inputs (2)'!$D$64:$AL$64,MATCH(G$7,'Inputs (2)'!$D$2:$AL$2,0)),"")</f>
        <v>240.77520813</v>
      </c>
      <c r="H33" s="272">
        <f>IF(COUNT(D33:G33)=4,SUM(D33:G33),"")</f>
        <v>845.80954356755</v>
      </c>
      <c r="I33" s="271">
        <f>IFERROR(INDEX('Inputs (2)'!$D$64:$AL$64,MATCH(I$7,'Inputs (2)'!$D$2:$AL$2,0)),"")</f>
        <v>253.15964785</v>
      </c>
      <c r="J33" s="271">
        <f>IFERROR(INDEX('Inputs (2)'!$D$64:$AL$64,MATCH(J$7,'Inputs (2)'!$D$2:$AL$2,0)),"")</f>
        <v>280.22125865</v>
      </c>
      <c r="K33" s="271">
        <f>IFERROR(INDEX('Inputs (2)'!$D$64:$AL$64,MATCH(K$7,'Inputs (2)'!$D$2:$AL$2,0)),"")</f>
        <v>175.244142445807</v>
      </c>
      <c r="L33" s="271">
        <f>IFERROR(INDEX('Inputs (2)'!$D$64:$AL$64,MATCH(L$7,'Inputs (2)'!$D$2:$AL$2,0)),"")</f>
        <v>125.00164548</v>
      </c>
      <c r="M33" s="272">
        <f>IF(COUNT(I33:L33)=4,SUM(I33:L33),"")</f>
        <v>833.626694425807</v>
      </c>
      <c r="N33" s="271">
        <f>IFERROR(INDEX('Inputs (2)'!$D$64:$AL$64,MATCH(N$7,'Inputs (2)'!$D$2:$AL$2,0)),"")</f>
        <v>120.5922828</v>
      </c>
      <c r="O33" s="271">
        <f>IFERROR(INDEX('Inputs (2)'!$D$64:$AL$64,MATCH(O$7,'Inputs (2)'!$D$2:$AL$2,0)),"")</f>
        <v>135.57765826</v>
      </c>
      <c r="P33" s="271">
        <f>IFERROR(INDEX('Inputs (2)'!$D$64:$AL$64,MATCH(P$7,'Inputs (2)'!$D$2:$AL$2,0)),"")</f>
        <v>185.37970771</v>
      </c>
      <c r="Q33" s="271">
        <f>IFERROR(INDEX('Inputs (2)'!$D$64:$AL$64,MATCH(Q$7,'Inputs (2)'!$D$2:$AL$2,0)),"")</f>
        <v>275.8489468</v>
      </c>
      <c r="R33" s="272">
        <f>IF(COUNT(N33:Q33)=4,SUM(N33:Q33),"")</f>
        <v>717.39859557</v>
      </c>
      <c r="S33" s="271">
        <f>IFERROR(INDEX('Inputs (2)'!$D$64:$AL$64,MATCH(S$7,'Inputs (2)'!$D$2:$AL$2,0)),"")</f>
        <v>175.43202768</v>
      </c>
      <c r="T33" s="271">
        <f>IFERROR(INDEX('Inputs (2)'!$D$64:$AL$64,MATCH(T$7,'Inputs (2)'!$D$2:$AL$2,0)),"")</f>
        <v>176.42614706</v>
      </c>
      <c r="U33" s="271">
        <f>IFERROR(INDEX('Inputs (2)'!$D$64:$AL$64,MATCH(U$7,'Inputs (2)'!$D$2:$AL$2,0)),"")</f>
        <v>176.48227026</v>
      </c>
      <c r="V33" s="271">
        <f>IFERROR(INDEX('Inputs (2)'!$D$64:$AL$64,MATCH(V$7,'Inputs (2)'!$D$2:$AL$2,0)),"")</f>
        <v>153.20968642</v>
      </c>
      <c r="W33" s="272">
        <f>IF(COUNT(S33:V33)=4,SUM(S33:V33),"")</f>
        <v>681.55013142</v>
      </c>
      <c r="X33" s="271">
        <f>IFERROR(INDEX('Inputs (2)'!$D$64:$AL$64,MATCH(X$7,'Inputs (2)'!$D$2:$AL$2,0)),"")</f>
        <v>143.81806892</v>
      </c>
      <c r="Y33" s="271">
        <f>IFERROR(INDEX('Inputs (2)'!$D$64:$AL$64,MATCH(Y$7,'Inputs (2)'!$D$2:$AL$2,0)),"")</f>
        <v>153.54271196</v>
      </c>
      <c r="Z33" s="271">
        <f>IFERROR(INDEX('Inputs (2)'!$D$64:$AL$64,MATCH(Z$7,'Inputs (2)'!$D$2:$AL$2,0)),"")</f>
        <v>151.23504785</v>
      </c>
      <c r="AA33" s="271">
        <f>IFERROR(INDEX('Inputs (2)'!$D$64:$AL$64,MATCH(AA$7,'Inputs (2)'!$D$2:$AL$2,0)),"")</f>
        <v>144.91785129</v>
      </c>
      <c r="AB33" s="272">
        <f>IF(COUNT(X33:AA33)=4,SUM(X33:AA33),"")</f>
        <v>593.51368002</v>
      </c>
      <c r="AC33" s="271">
        <f>IFERROR(INDEX('Inputs (2)'!$D$64:$AL$64,MATCH(AC$7,'Inputs (2)'!$D$2:$AL$2,0)),"")</f>
        <v>146.34648783</v>
      </c>
      <c r="AD33" s="271">
        <f>IFERROR(INDEX('Inputs (2)'!$D$64:$AL$64,MATCH(AD$7,'Inputs (2)'!$D$2:$AL$2,0)),"")</f>
        <v>183.87345888</v>
      </c>
      <c r="AE33" s="271">
        <f>IFERROR(INDEX('Inputs (2)'!$D$64:$AL$64,MATCH(AE$7,'Inputs (2)'!$D$2:$AL$2,0)),"")</f>
        <v>186.55060318</v>
      </c>
      <c r="AF33" s="271">
        <f>IFERROR(INDEX('Inputs (2)'!$D$64:$AL$64,MATCH(AF$7,'Inputs (2)'!$D$2:$AL$2,0)),"")</f>
        <v>173.98258148</v>
      </c>
      <c r="AG33" s="272">
        <f>IF(COUNT(AC33:AF33)=4,SUM(AC33:AF33),"")</f>
        <v>690.75313137</v>
      </c>
      <c r="AH33" s="272">
        <f>IFERROR(INDEX('Inputs (2)'!$D$64:$AL$64,MATCH(AH$7,'Inputs (2)'!$D$2:$AL$2,0)),"")</f>
        <v>138.33867604</v>
      </c>
      <c r="AI33" s="272">
        <f>IFERROR(INDEX('Inputs (2)'!$D$64:$AL$64,MATCH(AI$7,'Inputs (2)'!$D$2:$AL$2,0)),"")</f>
        <v>230.74952679</v>
      </c>
    </row>
    <row r="34">
      <c r="C34" s="14" t="inlineStr">
        <is>
          <t xml:space="preserve">   CS Infra (desde 1T22)</t>
        </is>
      </c>
      <c r="D34" s="271" t="str">
        <f>IFERROR(INDEX('Inputs (2)'!$D$65:$AL$65,MATCH(D$7,'Inputs (2)'!$D$2:$AL$2,0)),"")</f>
        <v/>
      </c>
      <c r="E34" s="271" t="str">
        <f>IFERROR(INDEX('Inputs (2)'!$D$65:$AL$65,MATCH(E$7,'Inputs (2)'!$D$2:$AL$2,0)),"")</f>
        <v/>
      </c>
      <c r="F34" s="271" t="str">
        <f>IFERROR(INDEX('Inputs (2)'!$D$65:$AL$65,MATCH(F$7,'Inputs (2)'!$D$2:$AL$2,0)),"")</f>
        <v/>
      </c>
      <c r="G34" s="271" t="str">
        <f>IFERROR(INDEX('Inputs (2)'!$D$65:$AL$65,MATCH(G$7,'Inputs (2)'!$D$2:$AL$2,0)),"")</f>
        <v/>
      </c>
      <c r="H34" s="272" t="str">
        <f>IF(COUNT(D34:G34)=4,SUM(D34:G34),"")</f>
        <v/>
      </c>
      <c r="I34" s="271" t="str">
        <f>IFERROR(INDEX('Inputs (2)'!$D$65:$AL$65,MATCH(I$7,'Inputs (2)'!$D$2:$AL$2,0)),"")</f>
        <v/>
      </c>
      <c r="J34" s="271" t="str">
        <f>IFERROR(INDEX('Inputs (2)'!$D$65:$AL$65,MATCH(J$7,'Inputs (2)'!$D$2:$AL$2,0)),"")</f>
        <v/>
      </c>
      <c r="K34" s="271" t="str">
        <f>IFERROR(INDEX('Inputs (2)'!$D$65:$AL$65,MATCH(K$7,'Inputs (2)'!$D$2:$AL$2,0)),"")</f>
        <v/>
      </c>
      <c r="L34" s="271" t="str">
        <f>IFERROR(INDEX('Inputs (2)'!$D$65:$AL$65,MATCH(L$7,'Inputs (2)'!$D$2:$AL$2,0)),"")</f>
        <v/>
      </c>
      <c r="M34" s="272" t="str">
        <f>IF(COUNT(I34:L34)=4,SUM(I34:L34),"")</f>
        <v/>
      </c>
      <c r="N34" s="271">
        <f>IFERROR(INDEX('Inputs (2)'!$D$65:$AL$65,MATCH(N$7,'Inputs (2)'!$D$2:$AL$2,0)),"")</f>
        <v>98.58254148</v>
      </c>
      <c r="O34" s="271">
        <f>IFERROR(INDEX('Inputs (2)'!$D$65:$AL$65,MATCH(O$7,'Inputs (2)'!$D$2:$AL$2,0)),"")</f>
        <v>99.05192403</v>
      </c>
      <c r="P34" s="271">
        <f>IFERROR(INDEX('Inputs (2)'!$D$65:$AL$65,MATCH(P$7,'Inputs (2)'!$D$2:$AL$2,0)),"")</f>
        <v>101.15180881</v>
      </c>
      <c r="Q34" s="271">
        <f>IFERROR(INDEX('Inputs (2)'!$D$65:$AL$65,MATCH(Q$7,'Inputs (2)'!$D$2:$AL$2,0)),"")</f>
        <v>102.35919871</v>
      </c>
      <c r="R34" s="272">
        <f>IF(COUNT(N34:Q34)=4,SUM(N34:Q34),"")</f>
        <v>401.14547303</v>
      </c>
      <c r="S34" s="271">
        <f>IFERROR(INDEX('Inputs (2)'!$D$65:$AL$65,MATCH(S$7,'Inputs (2)'!$D$2:$AL$2,0)),"")</f>
        <v>146.70615843</v>
      </c>
      <c r="T34" s="271">
        <f>IFERROR(INDEX('Inputs (2)'!$D$65:$AL$65,MATCH(T$7,'Inputs (2)'!$D$2:$AL$2,0)),"")</f>
        <v>156.59406708</v>
      </c>
      <c r="U34" s="271">
        <f>IFERROR(INDEX('Inputs (2)'!$D$65:$AL$65,MATCH(U$7,'Inputs (2)'!$D$2:$AL$2,0)),"")</f>
        <v>215.89663183</v>
      </c>
      <c r="V34" s="271">
        <f>IFERROR(INDEX('Inputs (2)'!$D$65:$AL$65,MATCH(V$7,'Inputs (2)'!$D$2:$AL$2,0)),"")</f>
        <v>238.41846435</v>
      </c>
      <c r="W34" s="272">
        <f>IF(COUNT(S34:V34)=4,SUM(S34:V34),"")</f>
        <v>757.61532169</v>
      </c>
      <c r="X34" s="271">
        <f>IFERROR(INDEX('Inputs (2)'!$D$65:$AL$65,MATCH(X$7,'Inputs (2)'!$D$2:$AL$2,0)),"")</f>
        <v>146.55115785</v>
      </c>
      <c r="Y34" s="271">
        <f>IFERROR(INDEX('Inputs (2)'!$D$65:$AL$65,MATCH(Y$7,'Inputs (2)'!$D$2:$AL$2,0)),"")</f>
        <v>275.7770609</v>
      </c>
      <c r="Z34" s="271">
        <f>IFERROR(INDEX('Inputs (2)'!$D$65:$AL$65,MATCH(Z$7,'Inputs (2)'!$D$2:$AL$2,0)),"")</f>
        <v>215.81665142</v>
      </c>
      <c r="AA34" s="271">
        <f>IFERROR(INDEX('Inputs (2)'!$D$65:$AL$65,MATCH(AA$7,'Inputs (2)'!$D$2:$AL$2,0)),"")</f>
        <v>279.38339776</v>
      </c>
      <c r="AB34" s="272">
        <f>IF(COUNT(X34:AA34)=4,SUM(X34:AA34),"")</f>
        <v>917.52826793</v>
      </c>
      <c r="AC34" s="271">
        <f>IFERROR(INDEX('Inputs (2)'!$D$65:$AL$65,MATCH(AC$7,'Inputs (2)'!$D$2:$AL$2,0)),"")</f>
        <v>42.04555003</v>
      </c>
      <c r="AD34" s="271">
        <f>IFERROR(INDEX('Inputs (2)'!$D$65:$AL$65,MATCH(AD$7,'Inputs (2)'!$D$2:$AL$2,0)),"")</f>
        <v>42.08997818</v>
      </c>
      <c r="AE34" s="271">
        <f>IFERROR(INDEX('Inputs (2)'!$D$65:$AL$65,MATCH(AE$7,'Inputs (2)'!$D$2:$AL$2,0)),"")</f>
        <v>71.74317879</v>
      </c>
      <c r="AF34" s="271">
        <f>IFERROR(INDEX('Inputs (2)'!$D$65:$AL$65,MATCH(AF$7,'Inputs (2)'!$D$2:$AL$2,0)),"")</f>
        <v>134.13562926</v>
      </c>
      <c r="AG34" s="272">
        <f>IF(COUNT(AC34:AF34)=4,SUM(AC34:AF34),"")</f>
        <v>290.01433626</v>
      </c>
      <c r="AH34" s="272">
        <f>IFERROR(INDEX('Inputs (2)'!$D$65:$AL$65,MATCH(AH$7,'Inputs (2)'!$D$2:$AL$2,0)),"")</f>
        <v>122.33628311</v>
      </c>
      <c r="AI34" s="272">
        <f>IFERROR(INDEX('Inputs (2)'!$D$65:$AL$65,MATCH(AI$7,'Inputs (2)'!$D$2:$AL$2,0)),"")</f>
        <v>175.8516919</v>
      </c>
    </row>
    <row r="35">
      <c r="C35" s="14" t="inlineStr">
        <is>
          <t xml:space="preserve">   BBC</t>
        </is>
      </c>
      <c r="D35" s="271">
        <f>IFERROR(INDEX('Inputs (2)'!$D$66:$AL$66,MATCH(D$7,'Inputs (2)'!$D$2:$AL$2,0)),"")</f>
        <v>11.54873635</v>
      </c>
      <c r="E35" s="271">
        <f>IFERROR(INDEX('Inputs (2)'!$D$66:$AL$66,MATCH(E$7,'Inputs (2)'!$D$2:$AL$2,0)),"")</f>
        <v>10.6023682</v>
      </c>
      <c r="F35" s="271">
        <f>IFERROR(INDEX('Inputs (2)'!$D$66:$AL$66,MATCH(F$7,'Inputs (2)'!$D$2:$AL$2,0)),"")</f>
        <v>11.70278832</v>
      </c>
      <c r="G35" s="271">
        <f>IFERROR(INDEX('Inputs (2)'!$D$66:$AL$66,MATCH(G$7,'Inputs (2)'!$D$2:$AL$2,0)),"")</f>
        <v>11.57211669</v>
      </c>
      <c r="H35" s="272">
        <f>IF(COUNT(D35:G35)=4,SUM(D35:G35),"")</f>
        <v>45.42600956</v>
      </c>
      <c r="I35" s="271">
        <f>IFERROR(INDEX('Inputs (2)'!$D$66:$AL$66,MATCH(I$7,'Inputs (2)'!$D$2:$AL$2,0)),"")</f>
        <v>10.28429948</v>
      </c>
      <c r="J35" s="271">
        <f>IFERROR(INDEX('Inputs (2)'!$D$66:$AL$66,MATCH(J$7,'Inputs (2)'!$D$2:$AL$2,0)),"")</f>
        <v>10.14109567</v>
      </c>
      <c r="K35" s="271">
        <f>IFERROR(INDEX('Inputs (2)'!$D$66:$AL$66,MATCH(K$7,'Inputs (2)'!$D$2:$AL$2,0)),"")</f>
        <v>10.64428845</v>
      </c>
      <c r="L35" s="271">
        <f>IFERROR(INDEX('Inputs (2)'!$D$66:$AL$66,MATCH(L$7,'Inputs (2)'!$D$2:$AL$2,0)),"")</f>
        <v>12.19699554</v>
      </c>
      <c r="M35" s="272">
        <f>IF(COUNT(I35:L35)=4,SUM(I35:L35),"")</f>
        <v>43.26667914</v>
      </c>
      <c r="N35" s="271">
        <f>IFERROR(INDEX('Inputs (2)'!$D$66:$AL$66,MATCH(N$7,'Inputs (2)'!$D$2:$AL$2,0)),"")</f>
        <v>15.51883671</v>
      </c>
      <c r="O35" s="271">
        <f>IFERROR(INDEX('Inputs (2)'!$D$66:$AL$66,MATCH(O$7,'Inputs (2)'!$D$2:$AL$2,0)),"")</f>
        <v>17.60429878</v>
      </c>
      <c r="P35" s="271">
        <f>IFERROR(INDEX('Inputs (2)'!$D$66:$AL$66,MATCH(P$7,'Inputs (2)'!$D$2:$AL$2,0)),"")</f>
        <v>19.51764546</v>
      </c>
      <c r="Q35" s="271">
        <f>IFERROR(INDEX('Inputs (2)'!$D$66:$AL$66,MATCH(Q$7,'Inputs (2)'!$D$2:$AL$2,0)),"")</f>
        <v>24.91292716</v>
      </c>
      <c r="R35" s="272">
        <f>IF(COUNT(N35:Q35)=4,SUM(N35:Q35),"")</f>
        <v>77.55370811</v>
      </c>
      <c r="S35" s="271">
        <f>IFERROR(INDEX('Inputs (2)'!$D$66:$AL$66,MATCH(S$7,'Inputs (2)'!$D$2:$AL$2,0)),"")</f>
        <v>2.69021527</v>
      </c>
      <c r="T35" s="271">
        <f>IFERROR(INDEX('Inputs (2)'!$D$66:$AL$66,MATCH(T$7,'Inputs (2)'!$D$2:$AL$2,0)),"")</f>
        <v>3.76260749</v>
      </c>
      <c r="U35" s="271">
        <f>IFERROR(INDEX('Inputs (2)'!$D$66:$AL$66,MATCH(U$7,'Inputs (2)'!$D$2:$AL$2,0)),"")</f>
        <v>3.73096101</v>
      </c>
      <c r="V35" s="271">
        <f>IFERROR(INDEX('Inputs (2)'!$D$66:$AL$66,MATCH(V$7,'Inputs (2)'!$D$2:$AL$2,0)),"")</f>
        <v>3.85759612</v>
      </c>
      <c r="W35" s="272">
        <f>IF(COUNT(S35:V35)=4,SUM(S35:V35),"")</f>
        <v>14.04137989</v>
      </c>
      <c r="X35" s="271">
        <f>IFERROR(INDEX('Inputs (2)'!$D$66:$AL$66,MATCH(X$7,'Inputs (2)'!$D$2:$AL$2,0)),"")</f>
        <v>1.9037001</v>
      </c>
      <c r="Y35" s="271">
        <f>IFERROR(INDEX('Inputs (2)'!$D$66:$AL$66,MATCH(Y$7,'Inputs (2)'!$D$2:$AL$2,0)),"")</f>
        <v>2.02947268</v>
      </c>
      <c r="Z35" s="271">
        <f>IFERROR(INDEX('Inputs (2)'!$D$66:$AL$66,MATCH(Z$7,'Inputs (2)'!$D$2:$AL$2,0)),"")</f>
        <v>2.42504255</v>
      </c>
      <c r="AA35" s="271">
        <f>IFERROR(INDEX('Inputs (2)'!$D$66:$AL$66,MATCH(AA$7,'Inputs (2)'!$D$2:$AL$2,0)),"")</f>
        <v>2.90184133</v>
      </c>
      <c r="AB35" s="272">
        <f>IF(COUNT(X35:AA35)=4,SUM(X35:AA35),"")</f>
        <v>9.26005666</v>
      </c>
      <c r="AC35" s="271">
        <f>IFERROR(INDEX('Inputs (2)'!$D$66:$AL$66,MATCH(AC$7,'Inputs (2)'!$D$2:$AL$2,0)),"")</f>
        <v>1.81728511</v>
      </c>
      <c r="AD35" s="271">
        <f>IFERROR(INDEX('Inputs (2)'!$D$66:$AL$66,MATCH(AD$7,'Inputs (2)'!$D$2:$AL$2,0)),"")</f>
        <v>1.99236753</v>
      </c>
      <c r="AE35" s="271">
        <f>IFERROR(INDEX('Inputs (2)'!$D$66:$AL$66,MATCH(AE$7,'Inputs (2)'!$D$2:$AL$2,0)),"")</f>
        <v>1.85156006</v>
      </c>
      <c r="AF35" s="271">
        <f>IFERROR(INDEX('Inputs (2)'!$D$66:$AL$66,MATCH(AF$7,'Inputs (2)'!$D$2:$AL$2,0)),"")</f>
        <v>1.53175477</v>
      </c>
      <c r="AG35" s="272">
        <f>IF(COUNT(AC35:AF35)=4,SUM(AC35:AF35),"")</f>
        <v>7.19296747</v>
      </c>
      <c r="AH35" s="272">
        <f>IFERROR(INDEX('Inputs (2)'!$D$66:$AL$66,MATCH(AH$7,'Inputs (2)'!$D$2:$AL$2,0)),"")</f>
        <v>1.47564871</v>
      </c>
      <c r="AI35" s="272">
        <f>IFERROR(INDEX('Inputs (2)'!$D$66:$AL$66,MATCH(AI$7,'Inputs (2)'!$D$2:$AL$2,0)),"")</f>
        <v>1.52514017</v>
      </c>
    </row>
    <row r="36">
      <c r="C36" s="14" t="inlineStr">
        <is>
          <t xml:space="preserve">   Holding, eliminacoes e ajustes (residual; ate 4T22 inclui as demais concessionarias do grupo)</t>
        </is>
      </c>
      <c r="D36" s="271">
        <f>IF(COUNT(D28)=0,"",D15-SUM(D28:D35))</f>
        <v>119.965183666266</v>
      </c>
      <c r="E36" s="271">
        <f>IF(COUNT(E28)=0,"",E15-SUM(E28:E35))</f>
        <v>37.5368757230553</v>
      </c>
      <c r="F36" s="271">
        <f>IF(COUNT(F28)=0,"",F15-SUM(F28:F35))</f>
        <v>137.976579811516</v>
      </c>
      <c r="G36" s="271">
        <f>IF(COUNT(G28)=0,"",G15-SUM(G28:G35))</f>
        <v>140.969873771201</v>
      </c>
      <c r="H36" s="272">
        <f>IF(COUNT(H28)=0,"",H15-SUM(H28:H35))</f>
        <v>436.448512972038</v>
      </c>
      <c r="I36" s="271">
        <f>IF(COUNT(I28)=0,"",I15-SUM(I28:I35))</f>
        <v>139.492201938302</v>
      </c>
      <c r="J36" s="271">
        <f>IF(COUNT(J28)=0,"",J15-SUM(J28:J35))</f>
        <v>38.3466166170206</v>
      </c>
      <c r="K36" s="271">
        <f>IF(COUNT(K28)=0,"",K15-SUM(K28:K35))</f>
        <v>189.114416287106</v>
      </c>
      <c r="L36" s="271">
        <f>IF(COUNT(L28)=0,"",L15-SUM(L28:L35))</f>
        <v>125.582421719043</v>
      </c>
      <c r="M36" s="272">
        <f>IF(COUNT(M28)=0,"",M15-SUM(M28:M35))</f>
        <v>492.535656561473</v>
      </c>
      <c r="N36" s="271">
        <f>IF(COUNT(N28)=0,"",N15-SUM(N28:N35))</f>
        <v>148.207354762607</v>
      </c>
      <c r="O36" s="271">
        <f>IF(COUNT(O28)=0,"",O15-SUM(O28:O35))</f>
        <v>266.542228001995</v>
      </c>
      <c r="P36" s="271">
        <f>IF(COUNT(P28)=0,"",P15-SUM(P28:P35))</f>
        <v>977.478809424427</v>
      </c>
      <c r="Q36" s="271">
        <f>IF(COUNT(Q28)=0,"",Q15-SUM(Q28:Q35))</f>
        <v>1257.55041722551</v>
      </c>
      <c r="R36" s="272">
        <f>IF(COUNT(R28)=0,"",R15-SUM(R28:R35))</f>
        <v>2649.77880941454</v>
      </c>
      <c r="S36" s="271">
        <f>IF(COUNT(S28)=0,"",S15-SUM(S28:S35))</f>
        <v>-234.801310535548</v>
      </c>
      <c r="T36" s="271">
        <f>IF(COUNT(T28)=0,"",T15-SUM(T28:T35))</f>
        <v>-208.841131933938</v>
      </c>
      <c r="U36" s="271">
        <f>IF(COUNT(U28)=0,"",U15-SUM(U28:U35))</f>
        <v>-222.595114893329</v>
      </c>
      <c r="V36" s="271">
        <f>IF(COUNT(V28)=0,"",V15-SUM(V28:V35))</f>
        <v>69.9780547880055</v>
      </c>
      <c r="W36" s="272">
        <f>IF(COUNT(W28)=0,"",W15-SUM(W28:W35))</f>
        <v>-596.259502574809</v>
      </c>
      <c r="X36" s="271">
        <f>IF(COUNT(X28)=0,"",X15-SUM(X28:X35))</f>
        <v>-77.1138299165996</v>
      </c>
      <c r="Y36" s="271">
        <f>IF(COUNT(Y28)=0,"",Y15-SUM(Y28:Y35))</f>
        <v>-39.5466117154501</v>
      </c>
      <c r="Z36" s="271">
        <f>IF(COUNT(Z28)=0,"",Z15-SUM(Z28:Z35))</f>
        <v>-38.5456510819986</v>
      </c>
      <c r="AA36" s="271">
        <f>IF(COUNT(AA28)=0,"",AA15-SUM(AA28:AA35))</f>
        <v>149.595513629378</v>
      </c>
      <c r="AB36" s="272">
        <f>IF(COUNT(AB28)=0,"",AB15-SUM(AB28:AB35))</f>
        <v>-5.61057908467774</v>
      </c>
      <c r="AC36" s="271">
        <f>IF(COUNT(AC28)=0,"",AC15-SUM(AC28:AC35))</f>
        <v>-73.6388485310708</v>
      </c>
      <c r="AD36" s="271">
        <f>IF(COUNT(AD28)=0,"",AD15-SUM(AD28:AD35))</f>
        <v>-446.932461520462</v>
      </c>
      <c r="AE36" s="271">
        <f>IF(COUNT(AE28)=0,"",AE15-SUM(AE28:AE35))</f>
        <v>-404.447572398469</v>
      </c>
      <c r="AF36" s="271">
        <f>IF(COUNT(AF28)=0,"",AF15-SUM(AF28:AF35))</f>
        <v>-140.868392569997</v>
      </c>
      <c r="AG36" s="272">
        <f>IF(COUNT(AG28)=0,"",AG15-SUM(AG28:AG35))</f>
        <v>-1065.88727502</v>
      </c>
      <c r="AH36" s="272">
        <f>IF(COUNT(AH28)=0,"",AH15-SUM(AH28:AH35))</f>
        <v>-237.991285304752</v>
      </c>
      <c r="AI36" s="272">
        <f>IF(COUNT(AI28)=0,"",AI15-SUM(AI28:AI35))</f>
        <v>-443.565294902199</v>
      </c>
    </row>
    <row r="37">
      <c r="C37" s="273" t="inlineStr">
        <is>
          <t>Receita liquida consolidada (linha 15)</t>
        </is>
      </c>
      <c r="D37" s="271">
        <f>D15</f>
        <v>2356.89228214755</v>
      </c>
      <c r="E37" s="271">
        <f>E15</f>
        <v>2197.22477004</v>
      </c>
      <c r="F37" s="271">
        <f>F15</f>
        <v>2603.04494781245</v>
      </c>
      <c r="G37" s="271">
        <f>G15</f>
        <v>2649.895</v>
      </c>
      <c r="H37" s="272">
        <f>H15</f>
        <v>9807.057</v>
      </c>
      <c r="I37" s="271">
        <f>I15</f>
        <v>2620.10565591625</v>
      </c>
      <c r="J37" s="271">
        <f>J15</f>
        <v>3149.06634408375</v>
      </c>
      <c r="K37" s="271">
        <f>K15</f>
        <v>3958.28</v>
      </c>
      <c r="L37" s="271">
        <f>L15</f>
        <v>4138.767</v>
      </c>
      <c r="M37" s="272">
        <f>M15</f>
        <v>13866.219</v>
      </c>
      <c r="N37" s="271">
        <f>N15</f>
        <v>4530.19701273988</v>
      </c>
      <c r="O37" s="271">
        <f>O15</f>
        <v>5387.14735582988</v>
      </c>
      <c r="P37" s="271">
        <f>P15</f>
        <v>6823.35047141163</v>
      </c>
      <c r="Q37" s="271">
        <f>Q15</f>
        <v>7341.18627831097</v>
      </c>
      <c r="R37" s="272">
        <f>R15</f>
        <v>24081.8811182923</v>
      </c>
      <c r="S37" s="271">
        <f>S15</f>
        <v>7440.04382122622</v>
      </c>
      <c r="T37" s="271">
        <f>T15</f>
        <v>7563.63617877378</v>
      </c>
      <c r="U37" s="271">
        <f>U15</f>
        <v>8318.109</v>
      </c>
      <c r="V37" s="271">
        <f>V15</f>
        <v>8521.824</v>
      </c>
      <c r="W37" s="272">
        <f>W15</f>
        <v>31843.613</v>
      </c>
      <c r="X37" s="271">
        <f>X15</f>
        <v>9066.59642925</v>
      </c>
      <c r="Y37" s="271">
        <f>Y15</f>
        <v>10227.19018878</v>
      </c>
      <c r="Z37" s="271">
        <f>Z15</f>
        <v>10790.49060251</v>
      </c>
      <c r="AA37" s="271">
        <f>AA15</f>
        <v>10653.80870459</v>
      </c>
      <c r="AB37" s="272">
        <f>AB15</f>
        <v>40738.08592513</v>
      </c>
      <c r="AC37" s="271">
        <f>AC15</f>
        <v>10244.63461166</v>
      </c>
      <c r="AD37" s="271">
        <f>AD15</f>
        <v>10340.78606133</v>
      </c>
      <c r="AE37" s="271">
        <f>AE15</f>
        <v>11100.93342807</v>
      </c>
      <c r="AF37" s="271">
        <f>AF15</f>
        <v>11119.49197747</v>
      </c>
      <c r="AG37" s="272">
        <f>AG15</f>
        <v>42805.84607853</v>
      </c>
      <c r="AH37" s="272">
        <f>AH15</f>
        <v>10924.2982817</v>
      </c>
      <c r="AI37" s="272">
        <f>AI15</f>
        <v>11248.66185844</v>
      </c>
    </row>
    <row r="38">
      <c r="C38" s="14" t="inlineStr">
        <is>
          <t xml:space="preserve">   % YoY JSL</t>
        </is>
      </c>
      <c r="D38" s="274" t="str">
        <f>""</f>
        <v/>
      </c>
      <c r="E38" s="274" t="str">
        <f>""</f>
        <v/>
      </c>
      <c r="F38" s="274" t="str">
        <f>""</f>
        <v/>
      </c>
      <c r="G38" s="274" t="str">
        <f>""</f>
        <v/>
      </c>
      <c r="H38" s="275" t="str">
        <f>""</f>
        <v/>
      </c>
      <c r="I38" s="274">
        <f>IFERROR(I28/D28-1,"")</f>
        <v>0.251367695485734</v>
      </c>
      <c r="J38" s="274">
        <f>IFERROR(J28/E28-1,"")</f>
        <v>0.585791520162603</v>
      </c>
      <c r="K38" s="274">
        <f>IFERROR(K28/F28-1,"")</f>
        <v>0.606269692623517</v>
      </c>
      <c r="L38" s="274">
        <f>IFERROR(L28/G28-1,"")</f>
        <v>0.622882414598319</v>
      </c>
      <c r="M38" s="275">
        <f>IFERROR(M28/H28-1,"")</f>
        <v>0.519761260633952</v>
      </c>
      <c r="N38" s="274">
        <f>IFERROR(N28/I28-1,"")</f>
        <v>0.493322153159721</v>
      </c>
      <c r="O38" s="274">
        <f>IFERROR(O28/J28-1,"")</f>
        <v>0.559772849422469</v>
      </c>
      <c r="P38" s="274">
        <f>IFERROR(P28/K28-1,"")</f>
        <v>0.379574406700871</v>
      </c>
      <c r="Q38" s="274">
        <f>IFERROR(Q28/L28-1,"")</f>
        <v>0.252064663575605</v>
      </c>
      <c r="R38" s="275">
        <f>IFERROR(R28/M28-1,"")</f>
        <v>0.401841009415884</v>
      </c>
      <c r="S38" s="274">
        <f>IFERROR(S28/N28-1,"")</f>
        <v>0.206036859285205</v>
      </c>
      <c r="T38" s="274">
        <f>IFERROR(T28/O28-1,"")</f>
        <v>0.278652554884303</v>
      </c>
      <c r="U38" s="274">
        <f>IFERROR(U28/P28-1,"")</f>
        <v>0.237138532534434</v>
      </c>
      <c r="V38" s="274">
        <f>IFERROR(V28/Q28-1,"")</f>
        <v>0.300112687196523</v>
      </c>
      <c r="W38" s="275">
        <f>IFERROR(W28/R28-1,"")</f>
        <v>0.257744008372911</v>
      </c>
      <c r="X38" s="274">
        <f>IFERROR(X28/S28-1,"")</f>
        <v>0.324104543281725</v>
      </c>
      <c r="Y38" s="274">
        <f>IFERROR(Y28/T28-1,"")</f>
        <v>0.164722545726377</v>
      </c>
      <c r="Z38" s="274">
        <f>IFERROR(Z28/U28-1,"")</f>
        <v>0.170253564247364</v>
      </c>
      <c r="AA38" s="274">
        <f>IFERROR(AA28/V28-1,"")</f>
        <v>0.152496494381408</v>
      </c>
      <c r="AB38" s="275">
        <f>IFERROR(AB28/W28-1,"")</f>
        <v>0.195601781445677</v>
      </c>
      <c r="AC38" s="274">
        <f>IFERROR(AC28/X28-1,"")</f>
        <v>0.120556928257866</v>
      </c>
      <c r="AD38" s="274">
        <f>IFERROR(AD28/Y28-1,"")</f>
        <v>0.111623457298818</v>
      </c>
      <c r="AE38" s="274">
        <f>IFERROR(AE28/Z28-1,"")</f>
        <v>0.0563423283931264</v>
      </c>
      <c r="AF38" s="274">
        <f>IFERROR(AF28/AA28-1,"")</f>
        <v>-0.0148315112076193</v>
      </c>
      <c r="AG38" s="275">
        <f>IFERROR(AG28/AB28-1,"")</f>
        <v>0.0645244570185031</v>
      </c>
      <c r="AH38" s="275">
        <f>IFERROR(AH28/AC28-1,"")</f>
        <v>0.0227493997765322</v>
      </c>
      <c r="AI38" s="275">
        <f>IFERROR(AI28/AD28-1,"")</f>
        <v>0.0491634474235816</v>
      </c>
    </row>
    <row r="39">
      <c r="C39" s="14" t="inlineStr">
        <is>
          <t xml:space="preserve">   % YoY Movida</t>
        </is>
      </c>
      <c r="D39" s="274" t="str">
        <f>""</f>
        <v/>
      </c>
      <c r="E39" s="274" t="str">
        <f>""</f>
        <v/>
      </c>
      <c r="F39" s="274" t="str">
        <f>""</f>
        <v/>
      </c>
      <c r="G39" s="274" t="str">
        <f>""</f>
        <v/>
      </c>
      <c r="H39" s="275" t="str">
        <f>""</f>
        <v/>
      </c>
      <c r="I39" s="274">
        <f>IFERROR(I29/D29-1,"")</f>
        <v>-0.203999145540891</v>
      </c>
      <c r="J39" s="274">
        <f>IFERROR(J29/E29-1,"")</f>
        <v>0.156204456578586</v>
      </c>
      <c r="K39" s="274">
        <f>IFERROR(K29/F29-1,"")</f>
        <v>0.521136702565005</v>
      </c>
      <c r="L39" s="274">
        <f>IFERROR(L29/G29-1,"")</f>
        <v>0.757335648802068</v>
      </c>
      <c r="M39" s="275">
        <f>IFERROR(M29/H29-1,"")</f>
        <v>0.305332762778517</v>
      </c>
      <c r="N39" s="274">
        <f>IFERROR(N29/I29-1,"")</f>
        <v>1.36760233641199</v>
      </c>
      <c r="O39" s="274">
        <f>IFERROR(O29/J29-1,"")</f>
        <v>0.841514170079525</v>
      </c>
      <c r="P39" s="274">
        <f>IFERROR(P29/K29-1,"")</f>
        <v>0.610460917712877</v>
      </c>
      <c r="Q39" s="274">
        <f>IFERROR(Q29/L29-1,"")</f>
        <v>0.508697424420448</v>
      </c>
      <c r="R39" s="275">
        <f>IFERROR(R29/M29-1,"")</f>
        <v>0.744009827616361</v>
      </c>
      <c r="S39" s="274">
        <f>IFERROR(S29/N29-1,"")</f>
        <v>0.418516628318668</v>
      </c>
      <c r="T39" s="274">
        <f>IFERROR(T29/O29-1,"")</f>
        <v>0.111229490921993</v>
      </c>
      <c r="U39" s="274">
        <f>IFERROR(U29/P29-1,"")</f>
        <v>0.050990466347923</v>
      </c>
      <c r="V39" s="274">
        <f>IFERROR(V29/Q29-1,"")</f>
        <v>-0.0507069703210106</v>
      </c>
      <c r="W39" s="275">
        <f>IFERROR(W29/R29-1,"")</f>
        <v>0.112027120515831</v>
      </c>
      <c r="X39" s="274">
        <f>IFERROR(X29/S29-1,"")</f>
        <v>0.117800710807681</v>
      </c>
      <c r="Y39" s="274">
        <f>IFERROR(Y29/T29-1,"")</f>
        <v>0.385802177582097</v>
      </c>
      <c r="Z39" s="274">
        <f>IFERROR(Z29/U29-1,"")</f>
        <v>0.416186119600402</v>
      </c>
      <c r="AA39" s="274">
        <f>IFERROR(AA29/V29-1,"")</f>
        <v>0.302678847837705</v>
      </c>
      <c r="AB39" s="275">
        <f>IFERROR(AB29/W29-1,"")</f>
        <v>0.303543896388362</v>
      </c>
      <c r="AC39" s="274">
        <f>IFERROR(AC29/X29-1,"")</f>
        <v>0.180889714566359</v>
      </c>
      <c r="AD39" s="274">
        <f>IFERROR(AD29/Y29-1,"")</f>
        <v>0.0708469451782334</v>
      </c>
      <c r="AE39" s="274">
        <f>IFERROR(AE29/Z29-1,"")</f>
        <v>-0.00265394043123379</v>
      </c>
      <c r="AF39" s="274">
        <f>IFERROR(AF29/AA29-1,"")</f>
        <v>0.126477301101313</v>
      </c>
      <c r="AG39" s="275">
        <f>IFERROR(AG29/AB29-1,"")</f>
        <v>0.0883287613446657</v>
      </c>
      <c r="AH39" s="275">
        <f>IFERROR(AH29/AC29-1,"")</f>
        <v>0.0595293483752524</v>
      </c>
      <c r="AI39" s="275">
        <f>IFERROR(AI29/AD29-1,"")</f>
        <v>0.0236000276831814</v>
      </c>
    </row>
    <row r="40">
      <c r="C40" s="14" t="inlineStr">
        <is>
          <t xml:space="preserve">   % YoY Vamos</t>
        </is>
      </c>
      <c r="D40" s="274" t="str">
        <f>""</f>
        <v/>
      </c>
      <c r="E40" s="274" t="str">
        <f>""</f>
        <v/>
      </c>
      <c r="F40" s="274" t="str">
        <f>""</f>
        <v/>
      </c>
      <c r="G40" s="274" t="str">
        <f>""</f>
        <v/>
      </c>
      <c r="H40" s="275" t="str">
        <f>""</f>
        <v/>
      </c>
      <c r="I40" s="274">
        <f>IFERROR(I30/D30-1,"")</f>
        <v>0.299846916261306</v>
      </c>
      <c r="J40" s="274">
        <f>IFERROR(J30/E30-1,"")</f>
        <v>0.387122060360317</v>
      </c>
      <c r="K40" s="274">
        <f>IFERROR(K30/F30-1,"")</f>
        <v>0.361761834471476</v>
      </c>
      <c r="L40" s="274">
        <f>IFERROR(L30/G30-1,"")</f>
        <v>0.295060698739029</v>
      </c>
      <c r="M40" s="275">
        <f>IFERROR(M30/H30-1,"")</f>
        <v>0.333807273150403</v>
      </c>
      <c r="N40" s="274">
        <f>IFERROR(N30/I30-1,"")</f>
        <v>0.380977636473959</v>
      </c>
      <c r="O40" s="274">
        <f>IFERROR(O30/J30-1,"")</f>
        <v>0.685787238901541</v>
      </c>
      <c r="P40" s="274">
        <f>IFERROR(P30/K30-1,"")</f>
        <v>0.943502929445846</v>
      </c>
      <c r="Q40" s="274">
        <f>IFERROR(Q30/L30-1,"")</f>
        <v>1.17910643238368</v>
      </c>
      <c r="R40" s="275">
        <f>IFERROR(R30/M30-1,"")</f>
        <v>0.821665482216949</v>
      </c>
      <c r="S40" s="274">
        <f>IFERROR(S30/N30-1,"")</f>
        <v>1.57588793410722</v>
      </c>
      <c r="T40" s="274">
        <f>IFERROR(T30/O30-1,"")</f>
        <v>0.976209598151519</v>
      </c>
      <c r="U40" s="274">
        <f>IFERROR(U30/P30-1,"")</f>
        <v>0.667954926498704</v>
      </c>
      <c r="V40" s="274">
        <f>IFERROR(V30/Q30-1,"")</f>
        <v>-0.0131749275139601</v>
      </c>
      <c r="W40" s="275">
        <f>IFERROR(W30/R30-1,"")</f>
        <v>0.662489802090761</v>
      </c>
      <c r="X40" s="274">
        <f>IFERROR(X30/S30-1,"")</f>
        <v>0.140276317191859</v>
      </c>
      <c r="Y40" s="274">
        <f>IFERROR(Y30/T30-1,"")</f>
        <v>0.32252313094176</v>
      </c>
      <c r="Z40" s="274">
        <f>IFERROR(Z30/U30-1,"")</f>
        <v>0.240371037967914</v>
      </c>
      <c r="AA40" s="274">
        <f>IFERROR(AA30/V30-1,"")</f>
        <v>0.690284060515893</v>
      </c>
      <c r="AB40" s="275">
        <f>IFERROR(AB30/W30-1,"")</f>
        <v>0.324340463627651</v>
      </c>
      <c r="AC40" s="274">
        <f>IFERROR(AC30/X30-1,"")</f>
        <v>0.235717564146276</v>
      </c>
      <c r="AD40" s="274">
        <f>IFERROR(AD30/Y30-1,"")</f>
        <v>0.169469028140077</v>
      </c>
      <c r="AE40" s="274">
        <f>IFERROR(AE30/Z30-1,"")</f>
        <v>0.252161015800684</v>
      </c>
      <c r="AF40" s="274">
        <f>IFERROR(AF30/AA30-1,"")</f>
        <v>0.242907804967928</v>
      </c>
      <c r="AG40" s="275">
        <f>IFERROR(AG30/AB30-1,"")</f>
        <v>0.224798885417439</v>
      </c>
      <c r="AH40" s="275">
        <f>IFERROR(AH30/AC30-1,"")</f>
        <v>0.216419352523652</v>
      </c>
      <c r="AI40" s="275">
        <f>IFERROR(AI30/AD30-1,"")</f>
        <v>0.108127021204316</v>
      </c>
    </row>
    <row r="41">
      <c r="C41" s="14" t="inlineStr">
        <is>
          <t xml:space="preserve">   % YoY Automob</t>
        </is>
      </c>
      <c r="D41" s="274" t="str">
        <f>""</f>
        <v/>
      </c>
      <c r="E41" s="274" t="str">
        <f>""</f>
        <v/>
      </c>
      <c r="F41" s="274" t="str">
        <f>""</f>
        <v/>
      </c>
      <c r="G41" s="274" t="str">
        <f>""</f>
        <v/>
      </c>
      <c r="H41" s="275" t="str">
        <f>""</f>
        <v/>
      </c>
      <c r="I41" s="274" t="str">
        <f>IFERROR(I32/D32-1,"")</f>
        <v/>
      </c>
      <c r="J41" s="274" t="str">
        <f>IFERROR(J32/E32-1,"")</f>
        <v/>
      </c>
      <c r="K41" s="274" t="str">
        <f>IFERROR(K32/F32-1,"")</f>
        <v/>
      </c>
      <c r="L41" s="274" t="str">
        <f>IFERROR(L32/G32-1,"")</f>
        <v/>
      </c>
      <c r="M41" s="275" t="str">
        <f>IFERROR(M32/H32-1,"")</f>
        <v/>
      </c>
      <c r="N41" s="274" t="str">
        <f>IFERROR(N32/I32-1,"")</f>
        <v/>
      </c>
      <c r="O41" s="274" t="str">
        <f>IFERROR(O32/J32-1,"")</f>
        <v/>
      </c>
      <c r="P41" s="274" t="str">
        <f>IFERROR(P32/K32-1,"")</f>
        <v/>
      </c>
      <c r="Q41" s="274" t="str">
        <f>IFERROR(Q32/L32-1,"")</f>
        <v/>
      </c>
      <c r="R41" s="275" t="str">
        <f>IFERROR(R32/M32-1,"")</f>
        <v/>
      </c>
      <c r="S41" s="274" t="str">
        <f>IFERROR(S32/N32-1,"")</f>
        <v/>
      </c>
      <c r="T41" s="274" t="str">
        <f>IFERROR(T32/O32-1,"")</f>
        <v/>
      </c>
      <c r="U41" s="274" t="str">
        <f>IFERROR(U32/P32-1,"")</f>
        <v/>
      </c>
      <c r="V41" s="274" t="str">
        <f>IFERROR(V32/Q32-1,"")</f>
        <v/>
      </c>
      <c r="W41" s="275" t="str">
        <f>IFERROR(W32/R32-1,"")</f>
        <v/>
      </c>
      <c r="X41" s="274">
        <f>IFERROR(X32/S32-1,"")</f>
        <v>0.254272596133607</v>
      </c>
      <c r="Y41" s="274">
        <f>IFERROR(Y32/T32-1,"")</f>
        <v>0.383731142111829</v>
      </c>
      <c r="Z41" s="274">
        <f>IFERROR(Z32/U32-1,"")</f>
        <v>0.252217409281783</v>
      </c>
      <c r="AA41" s="274">
        <f>IFERROR(AA32/V32-1,"")</f>
        <v>0.166586776053182</v>
      </c>
      <c r="AB41" s="275">
        <f>IFERROR(AB32/W32-1,"")</f>
        <v>0.25888158931439</v>
      </c>
      <c r="AC41" s="274">
        <f>IFERROR(AC32/X32-1,"")</f>
        <v>0.0844152891997536</v>
      </c>
      <c r="AD41" s="274">
        <f>IFERROR(AD32/Y32-1,"")</f>
        <v>0.0122105501161855</v>
      </c>
      <c r="AE41" s="274">
        <f>IFERROR(AE32/Z32-1,"")</f>
        <v>0.114218445732328</v>
      </c>
      <c r="AF41" s="274">
        <f>IFERROR(AF32/AA32-1,"")</f>
        <v>0.0667765978882111</v>
      </c>
      <c r="AG41" s="275">
        <f>IFERROR(AG32/AB32-1,"")</f>
        <v>0.0691478372107583</v>
      </c>
      <c r="AH41" s="275">
        <f>IFERROR(AH32/AC32-1,"")</f>
        <v>0.0751781402066529</v>
      </c>
      <c r="AI41" s="275">
        <f>IFERROR(AI32/AD32-1,"")</f>
        <v>0.119125080203423</v>
      </c>
    </row>
    <row r="42">
      <c r="C42" s="14" t="inlineStr">
        <is>
          <t xml:space="preserve">   JSL - receita de servicos</t>
        </is>
      </c>
      <c r="D42" s="271">
        <f>IFERROR(INDEX('Inputs (2)'!$D$57:$AL$57,MATCH(D$7,'Inputs (2)'!$D$2:$AL$2,0)),"")</f>
        <v>656.29898427</v>
      </c>
      <c r="E42" s="271">
        <f>IFERROR(INDEX('Inputs (2)'!$D$57:$AL$57,MATCH(E$7,'Inputs (2)'!$D$2:$AL$2,0)),"")</f>
        <v>550.21167775</v>
      </c>
      <c r="F42" s="271">
        <f>IFERROR(INDEX('Inputs (2)'!$D$57:$AL$57,MATCH(F$7,'Inputs (2)'!$D$2:$AL$2,0)),"")</f>
        <v>660.67810759</v>
      </c>
      <c r="G42" s="271">
        <f>IFERROR(INDEX('Inputs (2)'!$D$57:$AL$57,MATCH(G$7,'Inputs (2)'!$D$2:$AL$2,0)),"")</f>
        <v>789.149007528865</v>
      </c>
      <c r="H42" s="272">
        <f>IF(COUNT(D42:G42)=4,SUM(D42:G42),"")</f>
        <v>2656.33777713887</v>
      </c>
      <c r="I42" s="271">
        <f>IFERROR(INDEX('Inputs (2)'!$D$57:$AL$57,MATCH(I$7,'Inputs (2)'!$D$2:$AL$2,0)),"")</f>
        <v>853.24252604</v>
      </c>
      <c r="J42" s="271">
        <f>IFERROR(INDEX('Inputs (2)'!$D$57:$AL$57,MATCH(J$7,'Inputs (2)'!$D$2:$AL$2,0)),"")</f>
        <v>902.462956153647</v>
      </c>
      <c r="K42" s="271">
        <f>IFERROR(INDEX('Inputs (2)'!$D$57:$AL$57,MATCH(K$7,'Inputs (2)'!$D$2:$AL$2,0)),"")</f>
        <v>1150.1476872954</v>
      </c>
      <c r="L42" s="271">
        <f>IFERROR(INDEX('Inputs (2)'!$D$57:$AL$57,MATCH(L$7,'Inputs (2)'!$D$2:$AL$2,0)),"")</f>
        <v>1306.86531597791</v>
      </c>
      <c r="M42" s="272">
        <f>IF(COUNT(I42:L42)=4,SUM(I42:L42),"")</f>
        <v>4212.71848546695</v>
      </c>
      <c r="N42" s="271">
        <f>IFERROR(INDEX('Inputs (2)'!$D$57:$AL$57,MATCH(N$7,'Inputs (2)'!$D$2:$AL$2,0)),"")</f>
        <v>1267.6135942369</v>
      </c>
      <c r="O42" s="271">
        <f>IFERROR(INDEX('Inputs (2)'!$D$57:$AL$57,MATCH(O$7,'Inputs (2)'!$D$2:$AL$2,0)),"")</f>
        <v>1372.7186563131</v>
      </c>
      <c r="P42" s="271">
        <f>IFERROR(INDEX('Inputs (2)'!$D$57:$AL$57,MATCH(P$7,'Inputs (2)'!$D$2:$AL$2,0)),"")</f>
        <v>1570.7922793802</v>
      </c>
      <c r="Q42" s="271">
        <f>IFERROR(INDEX('Inputs (2)'!$D$57:$AL$57,MATCH(Q$7,'Inputs (2)'!$D$2:$AL$2,0)),"")</f>
        <v>1607.6705244823</v>
      </c>
      <c r="R42" s="272">
        <f>IF(COUNT(N42:Q42)=4,SUM(N42:Q42),"")</f>
        <v>5818.7950544125</v>
      </c>
      <c r="S42" s="271">
        <f>IFERROR(INDEX('Inputs (2)'!$D$57:$AL$57,MATCH(S$7,'Inputs (2)'!$D$2:$AL$2,0)),"")</f>
        <v>1505.45694493705</v>
      </c>
      <c r="T42" s="271">
        <f>IFERROR(INDEX('Inputs (2)'!$D$57:$AL$57,MATCH(T$7,'Inputs (2)'!$D$2:$AL$2,0)),"")</f>
        <v>1779.16814859244</v>
      </c>
      <c r="U42" s="271">
        <f>IFERROR(INDEX('Inputs (2)'!$D$57:$AL$57,MATCH(U$7,'Inputs (2)'!$D$2:$AL$2,0)),"")</f>
        <v>1942.87578398333</v>
      </c>
      <c r="V42" s="271">
        <f>IFERROR(INDEX('Inputs (2)'!$D$57:$AL$57,MATCH(V$7,'Inputs (2)'!$D$2:$AL$2,0)),"")</f>
        <v>2071.47326642363</v>
      </c>
      <c r="W42" s="272">
        <f>IF(COUNT(S42:V42)=4,SUM(S42:V42),"")</f>
        <v>7298.97414393644</v>
      </c>
      <c r="X42" s="271">
        <f>IFERROR(INDEX('Inputs (2)'!$D$57:$AL$57,MATCH(X$7,'Inputs (2)'!$D$2:$AL$2,0)),"")</f>
        <v>1993.4498256766</v>
      </c>
      <c r="Y42" s="271">
        <f>IFERROR(INDEX('Inputs (2)'!$D$57:$AL$57,MATCH(Y$7,'Inputs (2)'!$D$2:$AL$2,0)),"")</f>
        <v>2073.17241747545</v>
      </c>
      <c r="Z42" s="271">
        <f>IFERROR(INDEX('Inputs (2)'!$D$57:$AL$57,MATCH(Z$7,'Inputs (2)'!$D$2:$AL$2,0)),"")</f>
        <v>2284.423721182</v>
      </c>
      <c r="AA42" s="271">
        <f>IFERROR(INDEX('Inputs (2)'!$D$57:$AL$57,MATCH(AA$7,'Inputs (2)'!$D$2:$AL$2,0)),"")</f>
        <v>2411.33875107595</v>
      </c>
      <c r="AB42" s="272">
        <f>IF(COUNT(X42:AA42)=4,SUM(X42:AA42),"")</f>
        <v>8762.38471541</v>
      </c>
      <c r="AC42" s="271">
        <f>IFERROR(INDEX('Inputs (2)'!$D$57:$AL$57,MATCH(AC$7,'Inputs (2)'!$D$2:$AL$2,0)),"")</f>
        <v>2229.45542087</v>
      </c>
      <c r="AD42" s="271">
        <f>IFERROR(INDEX('Inputs (2)'!$D$57:$AL$57,MATCH(AD$7,'Inputs (2)'!$D$2:$AL$2,0)),"")</f>
        <v>2274.31185248</v>
      </c>
      <c r="AE42" s="271">
        <f>IFERROR(INDEX('Inputs (2)'!$D$57:$AL$57,MATCH(AE$7,'Inputs (2)'!$D$2:$AL$2,0)),"")</f>
        <v>2369.64704483</v>
      </c>
      <c r="AF42" s="271">
        <f>IFERROR(INDEX('Inputs (2)'!$D$57:$AL$57,MATCH(AF$7,'Inputs (2)'!$D$2:$AL$2,0)),"")</f>
        <v>2354.72742575</v>
      </c>
      <c r="AG42" s="272">
        <f>IF(COUNT(AC42:AF42)=4,SUM(AC42:AF42),"")</f>
        <v>9228.14174393</v>
      </c>
      <c r="AH42" s="272">
        <f>IFERROR(INDEX('Inputs (2)'!$D$57:$AL$57,MATCH(AH$7,'Inputs (2)'!$D$2:$AL$2,0)),"")</f>
        <v>2272.76446455</v>
      </c>
      <c r="AI42" s="272">
        <f>IFERROR(INDEX('Inputs (2)'!$D$57:$AL$57,MATCH(AI$7,'Inputs (2)'!$D$2:$AL$2,0)),"")</f>
        <v>2409.50395348</v>
      </c>
    </row>
    <row r="43">
      <c r="C43" s="14" t="inlineStr">
        <is>
          <t xml:space="preserve">   Movida - receita de servicos (aluguel RAC + GTF)</t>
        </is>
      </c>
      <c r="D43" s="271">
        <f>IFERROR(INDEX('Inputs (2)'!$D$59:$AL$59,MATCH(D$7,'Inputs (2)'!$D$2:$AL$2,0)),"")</f>
        <v>451.96694167</v>
      </c>
      <c r="E43" s="271">
        <f>IFERROR(INDEX('Inputs (2)'!$D$59:$AL$59,MATCH(E$7,'Inputs (2)'!$D$2:$AL$2,0)),"")</f>
        <v>298.7477549</v>
      </c>
      <c r="F43" s="271">
        <f>IFERROR(INDEX('Inputs (2)'!$D$59:$AL$59,MATCH(F$7,'Inputs (2)'!$D$2:$AL$2,0)),"")</f>
        <v>394.70363686365</v>
      </c>
      <c r="G43" s="271">
        <f>IFERROR(INDEX('Inputs (2)'!$D$59:$AL$59,MATCH(G$7,'Inputs (2)'!$D$2:$AL$2,0)),"")</f>
        <v>499.9881311</v>
      </c>
      <c r="H43" s="272">
        <f>IF(COUNT(D43:G43)=4,SUM(D43:G43),"")</f>
        <v>1645.40646453365</v>
      </c>
      <c r="I43" s="271">
        <f>IFERROR(INDEX('Inputs (2)'!$D$59:$AL$59,MATCH(I$7,'Inputs (2)'!$D$2:$AL$2,0)),"")</f>
        <v>530.34866179</v>
      </c>
      <c r="J43" s="271">
        <f>IFERROR(INDEX('Inputs (2)'!$D$59:$AL$59,MATCH(J$7,'Inputs (2)'!$D$2:$AL$2,0)),"")</f>
        <v>538.01873694</v>
      </c>
      <c r="K43" s="271">
        <f>IFERROR(INDEX('Inputs (2)'!$D$59:$AL$59,MATCH(K$7,'Inputs (2)'!$D$2:$AL$2,0)),"")</f>
        <v>730.620531957742</v>
      </c>
      <c r="L43" s="271">
        <f>IFERROR(INDEX('Inputs (2)'!$D$59:$AL$59,MATCH(L$7,'Inputs (2)'!$D$2:$AL$2,0)),"")</f>
        <v>931.878558554198</v>
      </c>
      <c r="M43" s="272">
        <f>IF(COUNT(I43:L43)=4,SUM(I43:L43),"")</f>
        <v>2730.86648924194</v>
      </c>
      <c r="N43" s="271">
        <f>IFERROR(INDEX('Inputs (2)'!$D$59:$AL$59,MATCH(N$7,'Inputs (2)'!$D$2:$AL$2,0)),"")</f>
        <v>931.895052062311</v>
      </c>
      <c r="O43" s="271">
        <f>IFERROR(INDEX('Inputs (2)'!$D$59:$AL$59,MATCH(O$7,'Inputs (2)'!$D$2:$AL$2,0)),"")</f>
        <v>1002.3576676302</v>
      </c>
      <c r="P43" s="271">
        <f>IFERROR(INDEX('Inputs (2)'!$D$59:$AL$59,MATCH(P$7,'Inputs (2)'!$D$2:$AL$2,0)),"")</f>
        <v>1126.43647911895</v>
      </c>
      <c r="Q43" s="271">
        <f>IFERROR(INDEX('Inputs (2)'!$D$59:$AL$59,MATCH(Q$7,'Inputs (2)'!$D$2:$AL$2,0)),"")</f>
        <v>1222.22561266383</v>
      </c>
      <c r="R43" s="272">
        <f>IF(COUNT(N43:Q43)=4,SUM(N43:Q43),"")</f>
        <v>4282.91481147529</v>
      </c>
      <c r="S43" s="271">
        <f>IFERROR(INDEX('Inputs (2)'!$D$59:$AL$59,MATCH(S$7,'Inputs (2)'!$D$2:$AL$2,0)),"")</f>
        <v>1239.74170094</v>
      </c>
      <c r="T43" s="271">
        <f>IFERROR(INDEX('Inputs (2)'!$D$59:$AL$59,MATCH(T$7,'Inputs (2)'!$D$2:$AL$2,0)),"")</f>
        <v>1233.78083778</v>
      </c>
      <c r="U43" s="271">
        <f>IFERROR(INDEX('Inputs (2)'!$D$59:$AL$59,MATCH(U$7,'Inputs (2)'!$D$2:$AL$2,0)),"")</f>
        <v>1297.31771027</v>
      </c>
      <c r="V43" s="271">
        <f>IFERROR(INDEX('Inputs (2)'!$D$59:$AL$59,MATCH(V$7,'Inputs (2)'!$D$2:$AL$2,0)),"")</f>
        <v>1339.62050644</v>
      </c>
      <c r="W43" s="272">
        <f>IF(COUNT(S43:V43)=4,SUM(S43:V43),"")</f>
        <v>5110.46075543</v>
      </c>
      <c r="X43" s="271">
        <f>IFERROR(INDEX('Inputs (2)'!$D$59:$AL$59,MATCH(X$7,'Inputs (2)'!$D$2:$AL$2,0)),"")</f>
        <v>1495.19829253</v>
      </c>
      <c r="Y43" s="271">
        <f>IFERROR(INDEX('Inputs (2)'!$D$59:$AL$59,MATCH(Y$7,'Inputs (2)'!$D$2:$AL$2,0)),"")</f>
        <v>1608.06050374</v>
      </c>
      <c r="Z43" s="271">
        <f>IFERROR(INDEX('Inputs (2)'!$D$59:$AL$59,MATCH(Z$7,'Inputs (2)'!$D$2:$AL$2,0)),"")</f>
        <v>1744.7243125</v>
      </c>
      <c r="AA43" s="271">
        <f>IFERROR(INDEX('Inputs (2)'!$D$59:$AL$59,MATCH(AA$7,'Inputs (2)'!$D$2:$AL$2,0)),"")</f>
        <v>1791.05691627</v>
      </c>
      <c r="AB43" s="272">
        <f>IF(COUNT(X43:AA43)=4,SUM(X43:AA43),"")</f>
        <v>6639.04002504</v>
      </c>
      <c r="AC43" s="271">
        <f>IFERROR(INDEX('Inputs (2)'!$D$59:$AL$59,MATCH(AC$7,'Inputs (2)'!$D$2:$AL$2,0)),"")</f>
        <v>1878.9041189</v>
      </c>
      <c r="AD43" s="271">
        <f>IFERROR(INDEX('Inputs (2)'!$D$59:$AL$59,MATCH(AD$7,'Inputs (2)'!$D$2:$AL$2,0)),"")</f>
        <v>1892.63200983</v>
      </c>
      <c r="AE43" s="271">
        <f>IFERROR(INDEX('Inputs (2)'!$D$59:$AL$59,MATCH(AE$7,'Inputs (2)'!$D$2:$AL$2,0)),"")</f>
        <v>2010.81157436</v>
      </c>
      <c r="AF43" s="271">
        <f>IFERROR(INDEX('Inputs (2)'!$D$59:$AL$59,MATCH(AF$7,'Inputs (2)'!$D$2:$AL$2,0)),"")</f>
        <v>2096.39408926</v>
      </c>
      <c r="AG43" s="272">
        <f>IF(COUNT(AC43:AF43)=4,SUM(AC43:AF43),"")</f>
        <v>7878.74179235</v>
      </c>
      <c r="AH43" s="272">
        <f>IFERROR(INDEX('Inputs (2)'!$D$59:$AL$59,MATCH(AH$7,'Inputs (2)'!$D$2:$AL$2,0)),"")</f>
        <v>2205.61650379</v>
      </c>
      <c r="AI43" s="272">
        <f>IFERROR(INDEX('Inputs (2)'!$D$59:$AL$59,MATCH(AI$7,'Inputs (2)'!$D$2:$AL$2,0)),"")</f>
        <v>2295.3346397</v>
      </c>
    </row>
    <row r="44">
      <c r="C44" s="14" t="inlineStr">
        <is>
          <t xml:space="preserve">   Vamos - receita de servicos de locacao</t>
        </is>
      </c>
      <c r="D44" s="271">
        <f>IFERROR(INDEX('Inputs (2)'!$D$61:$AL$61,MATCH(D$7,'Inputs (2)'!$D$2:$AL$2,0)),"")</f>
        <v>145.67905174</v>
      </c>
      <c r="E44" s="271">
        <f>IFERROR(INDEX('Inputs (2)'!$D$61:$AL$61,MATCH(E$7,'Inputs (2)'!$D$2:$AL$2,0)),"")</f>
        <v>160.08127719</v>
      </c>
      <c r="F44" s="271">
        <f>IFERROR(INDEX('Inputs (2)'!$D$61:$AL$61,MATCH(F$7,'Inputs (2)'!$D$2:$AL$2,0)),"")</f>
        <v>162.0361798</v>
      </c>
      <c r="G44" s="271">
        <f>IFERROR(INDEX('Inputs (2)'!$D$61:$AL$61,MATCH(G$7,'Inputs (2)'!$D$2:$AL$2,0)),"")</f>
        <v>182.84635302</v>
      </c>
      <c r="H44" s="272">
        <f>IF(COUNT(D44:G44)=4,SUM(D44:G44),"")</f>
        <v>650.64286175</v>
      </c>
      <c r="I44" s="271">
        <f>IFERROR(INDEX('Inputs (2)'!$D$61:$AL$61,MATCH(I$7,'Inputs (2)'!$D$2:$AL$2,0)),"")</f>
        <v>199.18427502</v>
      </c>
      <c r="J44" s="271">
        <f>IFERROR(INDEX('Inputs (2)'!$D$61:$AL$61,MATCH(J$7,'Inputs (2)'!$D$2:$AL$2,0)),"")</f>
        <v>225.10853423</v>
      </c>
      <c r="K44" s="271">
        <f>IFERROR(INDEX('Inputs (2)'!$D$61:$AL$61,MATCH(K$7,'Inputs (2)'!$D$2:$AL$2,0)),"")</f>
        <v>250.832697830001</v>
      </c>
      <c r="L44" s="271">
        <f>IFERROR(INDEX('Inputs (2)'!$D$61:$AL$61,MATCH(L$7,'Inputs (2)'!$D$2:$AL$2,0)),"")</f>
        <v>278.68327376</v>
      </c>
      <c r="M44" s="272">
        <f>IF(COUNT(I44:L44)=4,SUM(I44:L44),"")</f>
        <v>953.808780840001</v>
      </c>
      <c r="N44" s="271">
        <f>IFERROR(INDEX('Inputs (2)'!$D$61:$AL$61,MATCH(N$7,'Inputs (2)'!$D$2:$AL$2,0)),"")</f>
        <v>306.1590249</v>
      </c>
      <c r="O44" s="271">
        <f>IFERROR(INDEX('Inputs (2)'!$D$61:$AL$61,MATCH(O$7,'Inputs (2)'!$D$2:$AL$2,0)),"")</f>
        <v>383.46406758</v>
      </c>
      <c r="P44" s="271">
        <f>IFERROR(INDEX('Inputs (2)'!$D$61:$AL$61,MATCH(P$7,'Inputs (2)'!$D$2:$AL$2,0)),"")</f>
        <v>435.80483879</v>
      </c>
      <c r="Q44" s="271">
        <f>IFERROR(INDEX('Inputs (2)'!$D$61:$AL$61,MATCH(Q$7,'Inputs (2)'!$D$2:$AL$2,0)),"")</f>
        <v>511.047032230088</v>
      </c>
      <c r="R44" s="272">
        <f>IF(COUNT(N44:Q44)=4,SUM(N44:Q44),"")</f>
        <v>1636.47496350009</v>
      </c>
      <c r="S44" s="271">
        <f>IFERROR(INDEX('Inputs (2)'!$D$61:$AL$61,MATCH(S$7,'Inputs (2)'!$D$2:$AL$2,0)),"")</f>
        <v>595.69433335</v>
      </c>
      <c r="T44" s="271">
        <f>IFERROR(INDEX('Inputs (2)'!$D$61:$AL$61,MATCH(T$7,'Inputs (2)'!$D$2:$AL$2,0)),"")</f>
        <v>656.33666665</v>
      </c>
      <c r="U44" s="271">
        <f>IFERROR(INDEX('Inputs (2)'!$D$61:$AL$61,MATCH(U$7,'Inputs (2)'!$D$2:$AL$2,0)),"")</f>
        <v>700.141</v>
      </c>
      <c r="V44" s="271">
        <f>IFERROR(INDEX('Inputs (2)'!$D$61:$AL$61,MATCH(V$7,'Inputs (2)'!$D$2:$AL$2,0)),"")</f>
        <v>773.89295826</v>
      </c>
      <c r="W44" s="272">
        <f>IF(COUNT(S44:V44)=4,SUM(S44:V44),"")</f>
        <v>2726.06495826</v>
      </c>
      <c r="X44" s="271">
        <f>IFERROR(INDEX('Inputs (2)'!$D$61:$AL$61,MATCH(X$7,'Inputs (2)'!$D$2:$AL$2,0)),"")</f>
        <v>838.378</v>
      </c>
      <c r="Y44" s="271">
        <f>IFERROR(INDEX('Inputs (2)'!$D$61:$AL$61,MATCH(Y$7,'Inputs (2)'!$D$2:$AL$2,0)),"")</f>
        <v>921.71</v>
      </c>
      <c r="Z44" s="271">
        <f>IFERROR(INDEX('Inputs (2)'!$D$61:$AL$61,MATCH(Z$7,'Inputs (2)'!$D$2:$AL$2,0)),"")</f>
        <v>927.638</v>
      </c>
      <c r="AA44" s="271">
        <f>IFERROR(INDEX('Inputs (2)'!$D$61:$AL$61,MATCH(AA$7,'Inputs (2)'!$D$2:$AL$2,0)),"")</f>
        <v>962.05571644</v>
      </c>
      <c r="AB44" s="272">
        <f>IF(COUNT(X44:AA44)=4,SUM(X44:AA44),"")</f>
        <v>3649.78171644</v>
      </c>
      <c r="AC44" s="271">
        <f>IFERROR(INDEX('Inputs (2)'!$D$61:$AL$61,MATCH(AC$7,'Inputs (2)'!$D$2:$AL$2,0)),"")</f>
        <v>960.61334328</v>
      </c>
      <c r="AD44" s="271">
        <f>IFERROR(INDEX('Inputs (2)'!$D$61:$AL$61,MATCH(AD$7,'Inputs (2)'!$D$2:$AL$2,0)),"")</f>
        <v>1002.13008166</v>
      </c>
      <c r="AE44" s="271">
        <f>IFERROR(INDEX('Inputs (2)'!$D$61:$AL$61,MATCH(AE$7,'Inputs (2)'!$D$2:$AL$2,0)),"")</f>
        <v>1038.6914787072</v>
      </c>
      <c r="AF44" s="271">
        <f>IFERROR(INDEX('Inputs (2)'!$D$61:$AL$61,MATCH(AF$7,'Inputs (2)'!$D$2:$AL$2,0)),"")</f>
        <v>1071.5830963528</v>
      </c>
      <c r="AG44" s="272">
        <f>IF(COUNT(AC44:AF44)=4,SUM(AC44:AF44),"")</f>
        <v>4073.018</v>
      </c>
      <c r="AH44" s="272">
        <f>IFERROR(INDEX('Inputs (2)'!$D$61:$AL$61,MATCH(AH$7,'Inputs (2)'!$D$2:$AL$2,0)),"")</f>
        <v>1054.38149487</v>
      </c>
      <c r="AI44" s="272">
        <f>IFERROR(INDEX('Inputs (2)'!$D$61:$AL$61,MATCH(AI$7,'Inputs (2)'!$D$2:$AL$2,0)),"")</f>
        <v>1087.87680806</v>
      </c>
    </row>
    <row r="45"/>
    <row r="46">
      <c r="C46" s="12" t="inlineStr">
        <is>
          <t>Drivers operacionais - Movida (RAC, GTF, seminovos) e Vamos (frota)</t>
        </is>
      </c>
      <c r="D46" s="12" t="str">
        <f>D7</f>
        <v>1Q20</v>
      </c>
      <c r="E46" s="12" t="str">
        <f>E7</f>
        <v>2Q20</v>
      </c>
      <c r="F46" s="12" t="str">
        <f>F7</f>
        <v>3Q20</v>
      </c>
      <c r="G46" s="12" t="str">
        <f>G7</f>
        <v>4Q20</v>
      </c>
      <c r="H46" s="12">
        <f>H7</f>
        <v>2020</v>
      </c>
      <c r="I46" s="12" t="str">
        <f>I7</f>
        <v>1Q21</v>
      </c>
      <c r="J46" s="12" t="str">
        <f>J7</f>
        <v>2Q21</v>
      </c>
      <c r="K46" s="12" t="str">
        <f>K7</f>
        <v>3Q21</v>
      </c>
      <c r="L46" s="12" t="str">
        <f>L7</f>
        <v>4Q21</v>
      </c>
      <c r="M46" s="12">
        <f>M7</f>
        <v>2021</v>
      </c>
      <c r="N46" s="12" t="str">
        <f>N7</f>
        <v>1Q22</v>
      </c>
      <c r="O46" s="12" t="str">
        <f>O7</f>
        <v>2Q22</v>
      </c>
      <c r="P46" s="12" t="str">
        <f>P7</f>
        <v>3Q22</v>
      </c>
      <c r="Q46" s="12" t="str">
        <f>Q7</f>
        <v>4Q22</v>
      </c>
      <c r="R46" s="12">
        <f>R7</f>
        <v>2022</v>
      </c>
      <c r="S46" s="12" t="str">
        <f>S7</f>
        <v>1Q23</v>
      </c>
      <c r="T46" s="12" t="str">
        <f>T7</f>
        <v>2Q23</v>
      </c>
      <c r="U46" s="12" t="str">
        <f>U7</f>
        <v>3Q23</v>
      </c>
      <c r="V46" s="12" t="str">
        <f>V7</f>
        <v>4Q23</v>
      </c>
      <c r="W46" s="12">
        <f>W7</f>
        <v>2023</v>
      </c>
      <c r="X46" s="12" t="str">
        <f>X7</f>
        <v>1Q24</v>
      </c>
      <c r="Y46" s="12" t="str">
        <f>Y7</f>
        <v>2Q24</v>
      </c>
      <c r="Z46" s="12" t="str">
        <f>Z7</f>
        <v>3Q24</v>
      </c>
      <c r="AA46" s="12" t="str">
        <f>AA7</f>
        <v>4Q24</v>
      </c>
      <c r="AB46" s="12">
        <f>AB7</f>
        <v>2024</v>
      </c>
      <c r="AC46" s="12" t="str">
        <f>AC7</f>
        <v>1Q25</v>
      </c>
      <c r="AD46" s="12" t="str">
        <f>AD7</f>
        <v>2Q25</v>
      </c>
      <c r="AE46" s="12" t="str">
        <f>AE7</f>
        <v>3Q25</v>
      </c>
      <c r="AF46" s="12" t="str">
        <f>AF7</f>
        <v>4Q25</v>
      </c>
      <c r="AG46" s="12">
        <f>AG7</f>
        <v>2025</v>
      </c>
      <c r="AH46" s="12" t="str">
        <f>AH7</f>
        <v>1Q26</v>
      </c>
      <c r="AI46" s="12" t="str">
        <f>AI7</f>
        <v>2Q26</v>
      </c>
    </row>
    <row r="47">
      <c r="C47" s="14" t="inlineStr">
        <is>
          <t>Movida RAC - frota final (mil carros)</t>
        </is>
      </c>
      <c r="D47" s="271">
        <f>IFERROR(IFERROR(INDEX('Inputs (2)'!$D$67:$AL$67,MATCH(D$7,'Inputs (2)'!$D$2:$AL$2,0)),"")/1000,"")</f>
        <v>78.22</v>
      </c>
      <c r="E47" s="271">
        <f>IFERROR(IFERROR(INDEX('Inputs (2)'!$D$67:$AL$67,MATCH(E$7,'Inputs (2)'!$D$2:$AL$2,0)),"")/1000,"")</f>
        <v>66.025</v>
      </c>
      <c r="F47" s="271">
        <f>IFERROR(IFERROR(INDEX('Inputs (2)'!$D$67:$AL$67,MATCH(F$7,'Inputs (2)'!$D$2:$AL$2,0)),"")/1000,"")</f>
        <v>67.978</v>
      </c>
      <c r="G47" s="271">
        <f>IFERROR(IFERROR(INDEX('Inputs (2)'!$D$67:$AL$67,MATCH(G$7,'Inputs (2)'!$D$2:$AL$2,0)),"")/1000,"")</f>
        <v>71.219</v>
      </c>
      <c r="H47" s="272">
        <f>IF(COUNT(G47)=0,"",G47)</f>
        <v>71.219</v>
      </c>
      <c r="I47" s="271">
        <f>IFERROR(IFERROR(INDEX('Inputs (2)'!$D$67:$AL$67,MATCH(I$7,'Inputs (2)'!$D$2:$AL$2,0)),"")/1000,"")</f>
        <v>70.213</v>
      </c>
      <c r="J47" s="271">
        <f>IFERROR(IFERROR(INDEX('Inputs (2)'!$D$67:$AL$67,MATCH(J$7,'Inputs (2)'!$D$2:$AL$2,0)),"")/1000,"")</f>
        <v>78.453</v>
      </c>
      <c r="K47" s="271">
        <f>IFERROR(IFERROR(INDEX('Inputs (2)'!$D$67:$AL$67,MATCH(K$7,'Inputs (2)'!$D$2:$AL$2,0)),"")/1000,"")</f>
        <v>79.888</v>
      </c>
      <c r="L47" s="271">
        <f>IFERROR(IFERROR(INDEX('Inputs (2)'!$D$67:$AL$67,MATCH(L$7,'Inputs (2)'!$D$2:$AL$2,0)),"")/1000,"")</f>
        <v>90.671</v>
      </c>
      <c r="M47" s="272">
        <f>IF(COUNT(L47)=0,"",L47)</f>
        <v>90.671</v>
      </c>
      <c r="N47" s="271">
        <f>IFERROR(IFERROR(INDEX('Inputs (2)'!$D$67:$AL$67,MATCH(N$7,'Inputs (2)'!$D$2:$AL$2,0)),"")/1000,"")</f>
        <v>96.572</v>
      </c>
      <c r="O47" s="271">
        <f>IFERROR(IFERROR(INDEX('Inputs (2)'!$D$67:$AL$67,MATCH(O$7,'Inputs (2)'!$D$2:$AL$2,0)),"")/1000,"")</f>
        <v>100.403</v>
      </c>
      <c r="P47" s="271">
        <f>IFERROR(IFERROR(INDEX('Inputs (2)'!$D$67:$AL$67,MATCH(P$7,'Inputs (2)'!$D$2:$AL$2,0)),"")/1000,"")</f>
        <v>104.987</v>
      </c>
      <c r="Q47" s="271">
        <f>IFERROR(IFERROR(INDEX('Inputs (2)'!$D$67:$AL$67,MATCH(Q$7,'Inputs (2)'!$D$2:$AL$2,0)),"")/1000,"")</f>
        <v>111.632</v>
      </c>
      <c r="R47" s="272">
        <f>IF(COUNT(Q47)=0,"",Q47)</f>
        <v>111.632</v>
      </c>
      <c r="S47" s="271">
        <f>IFERROR(IFERROR(INDEX('Inputs (2)'!$D$67:$AL$67,MATCH(S$7,'Inputs (2)'!$D$2:$AL$2,0)),"")/1000,"")</f>
        <v>98.373</v>
      </c>
      <c r="T47" s="271">
        <f>IFERROR(IFERROR(INDEX('Inputs (2)'!$D$67:$AL$67,MATCH(T$7,'Inputs (2)'!$D$2:$AL$2,0)),"")/1000,"")</f>
        <v>91.632</v>
      </c>
      <c r="U47" s="271">
        <f>IFERROR(IFERROR(INDEX('Inputs (2)'!$D$67:$AL$67,MATCH(U$7,'Inputs (2)'!$D$2:$AL$2,0)),"")/1000,"")</f>
        <v>94.273</v>
      </c>
      <c r="V47" s="271">
        <f>IFERROR(IFERROR(INDEX('Inputs (2)'!$D$67:$AL$67,MATCH(V$7,'Inputs (2)'!$D$2:$AL$2,0)),"")/1000,"")</f>
        <v>113.15</v>
      </c>
      <c r="W47" s="272">
        <f>IF(COUNT(V47)=0,"",V47)</f>
        <v>113.15</v>
      </c>
      <c r="X47" s="271">
        <f>IFERROR(IFERROR(INDEX('Inputs (2)'!$D$67:$AL$67,MATCH(X$7,'Inputs (2)'!$D$2:$AL$2,0)),"")/1000,"")</f>
        <v>110.091</v>
      </c>
      <c r="Y47" s="271">
        <f>IFERROR(IFERROR(INDEX('Inputs (2)'!$D$67:$AL$67,MATCH(Y$7,'Inputs (2)'!$D$2:$AL$2,0)),"")/1000,"")</f>
        <v>108.716</v>
      </c>
      <c r="Z47" s="271">
        <f>IFERROR(IFERROR(INDEX('Inputs (2)'!$D$67:$AL$67,MATCH(Z$7,'Inputs (2)'!$D$2:$AL$2,0)),"")/1000,"")</f>
        <v>110.182</v>
      </c>
      <c r="AA47" s="271">
        <f>IFERROR(IFERROR(INDEX('Inputs (2)'!$D$67:$AL$67,MATCH(AA$7,'Inputs (2)'!$D$2:$AL$2,0)),"")/1000,"")</f>
        <v>121.942</v>
      </c>
      <c r="AB47" s="272">
        <f>IF(COUNT(AA47)=0,"",AA47)</f>
        <v>121.942</v>
      </c>
      <c r="AC47" s="271">
        <f>IFERROR(IFERROR(INDEX('Inputs (2)'!$D$67:$AL$67,MATCH(AC$7,'Inputs (2)'!$D$2:$AL$2,0)),"")/1000,"")</f>
        <v>113.257</v>
      </c>
      <c r="AD47" s="271">
        <f>IFERROR(IFERROR(INDEX('Inputs (2)'!$D$67:$AL$67,MATCH(AD$7,'Inputs (2)'!$D$2:$AL$2,0)),"")/1000,"")</f>
        <v>120.133</v>
      </c>
      <c r="AE47" s="271">
        <f>IFERROR(IFERROR(INDEX('Inputs (2)'!$D$67:$AL$67,MATCH(AE$7,'Inputs (2)'!$D$2:$AL$2,0)),"")/1000,"")</f>
        <v>115.498</v>
      </c>
      <c r="AF47" s="271">
        <f>IFERROR(IFERROR(INDEX('Inputs (2)'!$D$67:$AL$67,MATCH(AF$7,'Inputs (2)'!$D$2:$AL$2,0)),"")/1000,"")</f>
        <v>130.634</v>
      </c>
      <c r="AG47" s="272">
        <f>IF(COUNT(AF47)=0,"",AF47)</f>
        <v>130.634</v>
      </c>
      <c r="AH47" s="272">
        <f>IFERROR(IFERROR(INDEX('Inputs (2)'!$D$67:$AL$67,MATCH(AH$7,'Inputs (2)'!$D$2:$AL$2,0)),"")/1000,"")</f>
        <v>125.307</v>
      </c>
      <c r="AI47" s="272">
        <f>IFERROR(IFERROR(INDEX('Inputs (2)'!$D$67:$AL$67,MATCH(AI$7,'Inputs (2)'!$D$2:$AL$2,0)),"")/1000,"")</f>
        <v>139.785</v>
      </c>
    </row>
    <row r="48">
      <c r="C48" s="14" t="inlineStr">
        <is>
          <t>Movida RAC - diarias (milhoes)</t>
        </is>
      </c>
      <c r="D48" s="276">
        <f>IFERROR(IFERROR(INDEX('Inputs (2)'!$D$68:$AL$68,MATCH(D$7,'Inputs (2)'!$D$2:$AL$2,0)),"")/1000,"")</f>
        <v>4.419568</v>
      </c>
      <c r="E48" s="276">
        <f>IFERROR(IFERROR(INDEX('Inputs (2)'!$D$68:$AL$68,MATCH(E$7,'Inputs (2)'!$D$2:$AL$2,0)),"")/1000,"")</f>
        <v>3.462499</v>
      </c>
      <c r="F48" s="276">
        <f>IFERROR(IFERROR(INDEX('Inputs (2)'!$D$68:$AL$68,MATCH(F$7,'Inputs (2)'!$D$2:$AL$2,0)),"")/1000,"")</f>
        <v>4.33012</v>
      </c>
      <c r="G48" s="276">
        <f>IFERROR(IFERROR(INDEX('Inputs (2)'!$D$68:$AL$68,MATCH(G$7,'Inputs (2)'!$D$2:$AL$2,0)),"")/1000,"")</f>
        <v>4.82277</v>
      </c>
      <c r="H48" s="277">
        <f>IF(COUNT(D48:G48)=4,SUM(D48:G48),"")</f>
        <v>17.034957</v>
      </c>
      <c r="I48" s="276">
        <f>IFERROR(IFERROR(INDEX('Inputs (2)'!$D$68:$AL$68,MATCH(I$7,'Inputs (2)'!$D$2:$AL$2,0)),"")/1000,"")</f>
        <v>5.067042</v>
      </c>
      <c r="J48" s="276">
        <f>IFERROR(IFERROR(INDEX('Inputs (2)'!$D$68:$AL$68,MATCH(J$7,'Inputs (2)'!$D$2:$AL$2,0)),"")/1000,"")</f>
        <v>4.61839</v>
      </c>
      <c r="K48" s="276">
        <f>IFERROR(IFERROR(INDEX('Inputs (2)'!$D$68:$AL$68,MATCH(K$7,'Inputs (2)'!$D$2:$AL$2,0)),"")/1000,"")</f>
        <v>5.143355</v>
      </c>
      <c r="L48" s="276">
        <f>IFERROR(IFERROR(INDEX('Inputs (2)'!$D$68:$AL$68,MATCH(L$7,'Inputs (2)'!$D$2:$AL$2,0)),"")/1000,"")</f>
        <v>5.281203</v>
      </c>
      <c r="M48" s="277">
        <f>IF(COUNT(I48:L48)=4,SUM(I48:L48),"")</f>
        <v>20.10999</v>
      </c>
      <c r="N48" s="276">
        <f>IFERROR(IFERROR(INDEX('Inputs (2)'!$D$68:$AL$68,MATCH(N$7,'Inputs (2)'!$D$2:$AL$2,0)),"")/1000,"")</f>
        <v>5.224573</v>
      </c>
      <c r="O48" s="276">
        <f>IFERROR(IFERROR(INDEX('Inputs (2)'!$D$68:$AL$68,MATCH(O$7,'Inputs (2)'!$D$2:$AL$2,0)),"")/1000,"")</f>
        <v>5.67749</v>
      </c>
      <c r="P48" s="276">
        <f>IFERROR(IFERROR(INDEX('Inputs (2)'!$D$68:$AL$68,MATCH(P$7,'Inputs (2)'!$D$2:$AL$2,0)),"")/1000,"")</f>
        <v>5.888846</v>
      </c>
      <c r="Q48" s="276">
        <f>IFERROR(IFERROR(INDEX('Inputs (2)'!$D$68:$AL$68,MATCH(Q$7,'Inputs (2)'!$D$2:$AL$2,0)),"")/1000,"")</f>
        <v>6.111338</v>
      </c>
      <c r="R48" s="277">
        <f>IF(COUNT(N48:Q48)=4,SUM(N48:Q48),"")</f>
        <v>22.902247</v>
      </c>
      <c r="S48" s="276">
        <f>IFERROR(IFERROR(INDEX('Inputs (2)'!$D$68:$AL$68,MATCH(S$7,'Inputs (2)'!$D$2:$AL$2,0)),"")/1000,"")</f>
        <v>6.218754</v>
      </c>
      <c r="T48" s="276">
        <f>IFERROR(IFERROR(INDEX('Inputs (2)'!$D$68:$AL$68,MATCH(T$7,'Inputs (2)'!$D$2:$AL$2,0)),"")/1000,"")</f>
        <v>5.837236</v>
      </c>
      <c r="U48" s="276">
        <f>IFERROR(IFERROR(INDEX('Inputs (2)'!$D$68:$AL$68,MATCH(U$7,'Inputs (2)'!$D$2:$AL$2,0)),"")/1000,"")</f>
        <v>5.819624</v>
      </c>
      <c r="V48" s="276">
        <f>IFERROR(IFERROR(INDEX('Inputs (2)'!$D$68:$AL$68,MATCH(V$7,'Inputs (2)'!$D$2:$AL$2,0)),"")/1000,"")</f>
        <v>5.945636</v>
      </c>
      <c r="W48" s="277">
        <f>IF(COUNT(S48:V48)=4,SUM(S48:V48),"")</f>
        <v>23.82125</v>
      </c>
      <c r="X48" s="276">
        <f>IFERROR(IFERROR(INDEX('Inputs (2)'!$D$68:$AL$68,MATCH(X$7,'Inputs (2)'!$D$2:$AL$2,0)),"")/1000,"")</f>
        <v>6.414484</v>
      </c>
      <c r="Y48" s="276">
        <f>IFERROR(IFERROR(INDEX('Inputs (2)'!$D$68:$AL$68,MATCH(Y$7,'Inputs (2)'!$D$2:$AL$2,0)),"")/1000,"")</f>
        <v>6.200041</v>
      </c>
      <c r="Z48" s="276">
        <f>IFERROR(IFERROR(INDEX('Inputs (2)'!$D$68:$AL$68,MATCH(Z$7,'Inputs (2)'!$D$2:$AL$2,0)),"")/1000,"")</f>
        <v>6.004671</v>
      </c>
      <c r="AA48" s="276">
        <f>IFERROR(IFERROR(INDEX('Inputs (2)'!$D$68:$AL$68,MATCH(AA$7,'Inputs (2)'!$D$2:$AL$2,0)),"")/1000,"")</f>
        <v>5.958805</v>
      </c>
      <c r="AB48" s="277">
        <f>IF(COUNT(X48:AA48)=4,SUM(X48:AA48),"")</f>
        <v>24.578001</v>
      </c>
      <c r="AC48" s="276">
        <f>IFERROR(IFERROR(INDEX('Inputs (2)'!$D$68:$AL$68,MATCH(AC$7,'Inputs (2)'!$D$2:$AL$2,0)),"")/1000,"")</f>
        <v>6.026629</v>
      </c>
      <c r="AD48" s="276">
        <f>IFERROR(IFERROR(INDEX('Inputs (2)'!$D$68:$AL$68,MATCH(AD$7,'Inputs (2)'!$D$2:$AL$2,0)),"")/1000,"")</f>
        <v>6.070355</v>
      </c>
      <c r="AE48" s="276">
        <f>IFERROR(IFERROR(INDEX('Inputs (2)'!$D$68:$AL$68,MATCH(AE$7,'Inputs (2)'!$D$2:$AL$2,0)),"")/1000,"")</f>
        <v>6.084784</v>
      </c>
      <c r="AF48" s="276">
        <f>IFERROR(IFERROR(INDEX('Inputs (2)'!$D$68:$AL$68,MATCH(AF$7,'Inputs (2)'!$D$2:$AL$2,0)),"")/1000,"")</f>
        <v>6.68882</v>
      </c>
      <c r="AG48" s="277">
        <f>IF(COUNT(AC48:AF48)=4,SUM(AC48:AF48),"")</f>
        <v>24.870588</v>
      </c>
      <c r="AH48" s="277">
        <f>IFERROR(IFERROR(INDEX('Inputs (2)'!$D$68:$AL$68,MATCH(AH$7,'Inputs (2)'!$D$2:$AL$2,0)),"")/1000,"")</f>
        <v>7.08531514955121</v>
      </c>
      <c r="AI48" s="277">
        <f>IFERROR(IFERROR(INDEX('Inputs (2)'!$D$68:$AL$68,MATCH(AI$7,'Inputs (2)'!$D$2:$AL$2,0)),"")/1000,"")</f>
        <v>7.41278699999912</v>
      </c>
    </row>
    <row r="49">
      <c r="C49" s="14" t="inlineStr">
        <is>
          <t>Movida RAC - taxa de ocupacao</t>
        </is>
      </c>
      <c r="D49" s="274">
        <f>IFERROR(INDEX('Inputs (2)'!$D$69:$AL$69,MATCH(D$7,'Inputs (2)'!$D$2:$AL$2,0)),"")</f>
        <v>0.752</v>
      </c>
      <c r="E49" s="274">
        <f>IFERROR(INDEX('Inputs (2)'!$D$69:$AL$69,MATCH(E$7,'Inputs (2)'!$D$2:$AL$2,0)),"")</f>
        <v>0.729</v>
      </c>
      <c r="F49" s="274">
        <f>IFERROR(INDEX('Inputs (2)'!$D$69:$AL$69,MATCH(F$7,'Inputs (2)'!$D$2:$AL$2,0)),"")</f>
        <v>0.827</v>
      </c>
      <c r="G49" s="274">
        <f>IFERROR(INDEX('Inputs (2)'!$D$69:$AL$69,MATCH(G$7,'Inputs (2)'!$D$2:$AL$2,0)),"")</f>
        <v>0.844</v>
      </c>
      <c r="H49" s="275" t="n"/>
      <c r="I49" s="274">
        <f>IFERROR(INDEX('Inputs (2)'!$D$69:$AL$69,MATCH(I$7,'Inputs (2)'!$D$2:$AL$2,0)),"")</f>
        <v>0.793</v>
      </c>
      <c r="J49" s="274">
        <f>IFERROR(INDEX('Inputs (2)'!$D$69:$AL$69,MATCH(J$7,'Inputs (2)'!$D$2:$AL$2,0)),"")</f>
        <v>0.796</v>
      </c>
      <c r="K49" s="274">
        <f>IFERROR(INDEX('Inputs (2)'!$D$69:$AL$69,MATCH(K$7,'Inputs (2)'!$D$2:$AL$2,0)),"")</f>
        <v>0.829</v>
      </c>
      <c r="L49" s="274">
        <f>IFERROR(INDEX('Inputs (2)'!$D$69:$AL$69,MATCH(L$7,'Inputs (2)'!$D$2:$AL$2,0)),"")</f>
        <v>0.808</v>
      </c>
      <c r="M49" s="275" t="n"/>
      <c r="N49" s="274">
        <f>IFERROR(INDEX('Inputs (2)'!$D$69:$AL$69,MATCH(N$7,'Inputs (2)'!$D$2:$AL$2,0)),"")</f>
        <v>0.761</v>
      </c>
      <c r="O49" s="274">
        <f>IFERROR(INDEX('Inputs (2)'!$D$69:$AL$69,MATCH(O$7,'Inputs (2)'!$D$2:$AL$2,0)),"")</f>
        <v>0.793</v>
      </c>
      <c r="P49" s="274">
        <f>IFERROR(INDEX('Inputs (2)'!$D$69:$AL$69,MATCH(P$7,'Inputs (2)'!$D$2:$AL$2,0)),"")</f>
        <v>0.772</v>
      </c>
      <c r="Q49" s="274">
        <f>IFERROR(INDEX('Inputs (2)'!$D$69:$AL$69,MATCH(Q$7,'Inputs (2)'!$D$2:$AL$2,0)),"")</f>
        <v>0.766</v>
      </c>
      <c r="R49" s="275" t="n"/>
      <c r="S49" s="274">
        <f>IFERROR(INDEX('Inputs (2)'!$D$69:$AL$69,MATCH(S$7,'Inputs (2)'!$D$2:$AL$2,0)),"")</f>
        <v>0.784</v>
      </c>
      <c r="T49" s="274">
        <f>IFERROR(INDEX('Inputs (2)'!$D$69:$AL$69,MATCH(T$7,'Inputs (2)'!$D$2:$AL$2,0)),"")</f>
        <v>0.783</v>
      </c>
      <c r="U49" s="274">
        <f>IFERROR(INDEX('Inputs (2)'!$D$69:$AL$69,MATCH(U$7,'Inputs (2)'!$D$2:$AL$2,0)),"")</f>
        <v>0.811</v>
      </c>
      <c r="V49" s="274">
        <f>IFERROR(INDEX('Inputs (2)'!$D$69:$AL$69,MATCH(V$7,'Inputs (2)'!$D$2:$AL$2,0)),"")</f>
        <v>0.82</v>
      </c>
      <c r="W49" s="275" t="n"/>
      <c r="X49" s="274">
        <f>IFERROR(INDEX('Inputs (2)'!$D$69:$AL$69,MATCH(X$7,'Inputs (2)'!$D$2:$AL$2,0)),"")</f>
        <v>0.802</v>
      </c>
      <c r="Y49" s="274">
        <f>IFERROR(INDEX('Inputs (2)'!$D$69:$AL$69,MATCH(Y$7,'Inputs (2)'!$D$2:$AL$2,0)),"")</f>
        <v>0.781</v>
      </c>
      <c r="Z49" s="274">
        <f>IFERROR(INDEX('Inputs (2)'!$D$69:$AL$69,MATCH(Z$7,'Inputs (2)'!$D$2:$AL$2,0)),"")</f>
        <v>0.781</v>
      </c>
      <c r="AA49" s="274">
        <f>IFERROR(INDEX('Inputs (2)'!$D$69:$AL$69,MATCH(AA$7,'Inputs (2)'!$D$2:$AL$2,0)),"")</f>
        <v>0.749</v>
      </c>
      <c r="AB49" s="275" t="n"/>
      <c r="AC49" s="274">
        <f>IFERROR(INDEX('Inputs (2)'!$D$69:$AL$69,MATCH(AC$7,'Inputs (2)'!$D$2:$AL$2,0)),"")</f>
        <v>0.717</v>
      </c>
      <c r="AD49" s="274">
        <f>IFERROR(INDEX('Inputs (2)'!$D$69:$AL$69,MATCH(AD$7,'Inputs (2)'!$D$2:$AL$2,0)),"")</f>
        <v>0.741</v>
      </c>
      <c r="AE49" s="274">
        <f>IFERROR(INDEX('Inputs (2)'!$D$69:$AL$69,MATCH(AE$7,'Inputs (2)'!$D$2:$AL$2,0)),"")</f>
        <v>0.718</v>
      </c>
      <c r="AF49" s="274">
        <f>IFERROR(INDEX('Inputs (2)'!$D$69:$AL$69,MATCH(AF$7,'Inputs (2)'!$D$2:$AL$2,0)),"")</f>
        <v>0.758469913141117</v>
      </c>
      <c r="AG49" s="275" t="n"/>
      <c r="AH49" s="275">
        <f>IFERROR(INDEX('Inputs (2)'!$D$69:$AL$69,MATCH(AH$7,'Inputs (2)'!$D$2:$AL$2,0)),"")</f>
        <v>0.772834169344879</v>
      </c>
      <c r="AI49" s="275">
        <f>IFERROR(INDEX('Inputs (2)'!$D$69:$AL$69,MATCH(AI$7,'Inputs (2)'!$D$2:$AL$2,0)),"")</f>
        <v>0.762080418024289</v>
      </c>
    </row>
    <row r="50">
      <c r="C50" s="14" t="inlineStr">
        <is>
          <t>Movida RAC - diaria media (R$)</t>
        </is>
      </c>
      <c r="D50" s="271">
        <f>IFERROR(INDEX('Inputs (2)'!$D$70:$AL$70,MATCH(D$7,'Inputs (2)'!$D$2:$AL$2,0)),"")</f>
        <v>83.427</v>
      </c>
      <c r="E50" s="271">
        <f>IFERROR(INDEX('Inputs (2)'!$D$70:$AL$70,MATCH(E$7,'Inputs (2)'!$D$2:$AL$2,0)),"")</f>
        <v>59.514</v>
      </c>
      <c r="F50" s="271">
        <f>IFERROR(INDEX('Inputs (2)'!$D$70:$AL$70,MATCH(F$7,'Inputs (2)'!$D$2:$AL$2,0)),"")</f>
        <v>70.337</v>
      </c>
      <c r="G50" s="271">
        <f>IFERROR(INDEX('Inputs (2)'!$D$70:$AL$70,MATCH(G$7,'Inputs (2)'!$D$2:$AL$2,0)),"")</f>
        <v>84.379</v>
      </c>
      <c r="H50" s="272" t="n"/>
      <c r="I50" s="271">
        <f>IFERROR(INDEX('Inputs (2)'!$D$70:$AL$70,MATCH(I$7,'Inputs (2)'!$D$2:$AL$2,0)),"")</f>
        <v>81.742</v>
      </c>
      <c r="J50" s="271">
        <f>IFERROR(INDEX('Inputs (2)'!$D$70:$AL$70,MATCH(J$7,'Inputs (2)'!$D$2:$AL$2,0)),"")</f>
        <v>84.087</v>
      </c>
      <c r="K50" s="271">
        <f>IFERROR(INDEX('Inputs (2)'!$D$70:$AL$70,MATCH(K$7,'Inputs (2)'!$D$2:$AL$2,0)),"")</f>
        <v>96.404</v>
      </c>
      <c r="L50" s="271">
        <f>IFERROR(INDEX('Inputs (2)'!$D$70:$AL$70,MATCH(L$7,'Inputs (2)'!$D$2:$AL$2,0)),"")</f>
        <v>118.614</v>
      </c>
      <c r="M50" s="272" t="n"/>
      <c r="N50" s="271">
        <f>IFERROR(INDEX('Inputs (2)'!$D$70:$AL$70,MATCH(N$7,'Inputs (2)'!$D$2:$AL$2,0)),"")</f>
        <v>118.61</v>
      </c>
      <c r="O50" s="271">
        <f>IFERROR(INDEX('Inputs (2)'!$D$70:$AL$70,MATCH(O$7,'Inputs (2)'!$D$2:$AL$2,0)),"")</f>
        <v>115.745</v>
      </c>
      <c r="P50" s="271">
        <f>IFERROR(INDEX('Inputs (2)'!$D$70:$AL$70,MATCH(P$7,'Inputs (2)'!$D$2:$AL$2,0)),"")</f>
        <v>128.557</v>
      </c>
      <c r="Q50" s="271">
        <f>IFERROR(INDEX('Inputs (2)'!$D$70:$AL$70,MATCH(Q$7,'Inputs (2)'!$D$2:$AL$2,0)),"")</f>
        <v>127.297</v>
      </c>
      <c r="R50" s="272" t="n"/>
      <c r="S50" s="271">
        <f>IFERROR(INDEX('Inputs (2)'!$D$70:$AL$70,MATCH(S$7,'Inputs (2)'!$D$2:$AL$2,0)),"")</f>
        <v>126.002</v>
      </c>
      <c r="T50" s="271">
        <f>IFERROR(INDEX('Inputs (2)'!$D$70:$AL$70,MATCH(T$7,'Inputs (2)'!$D$2:$AL$2,0)),"")</f>
        <v>123.362</v>
      </c>
      <c r="U50" s="271">
        <f>IFERROR(INDEX('Inputs (2)'!$D$70:$AL$70,MATCH(U$7,'Inputs (2)'!$D$2:$AL$2,0)),"")</f>
        <v>124.524</v>
      </c>
      <c r="V50" s="271">
        <f>IFERROR(INDEX('Inputs (2)'!$D$70:$AL$70,MATCH(V$7,'Inputs (2)'!$D$2:$AL$2,0)),"")</f>
        <v>126.1</v>
      </c>
      <c r="W50" s="272" t="n"/>
      <c r="X50" s="271">
        <f>IFERROR(INDEX('Inputs (2)'!$D$70:$AL$70,MATCH(X$7,'Inputs (2)'!$D$2:$AL$2,0)),"")</f>
        <v>130.299</v>
      </c>
      <c r="Y50" s="271">
        <f>IFERROR(INDEX('Inputs (2)'!$D$70:$AL$70,MATCH(Y$7,'Inputs (2)'!$D$2:$AL$2,0)),"")</f>
        <v>134.541</v>
      </c>
      <c r="Z50" s="271">
        <f>IFERROR(INDEX('Inputs (2)'!$D$70:$AL$70,MATCH(Z$7,'Inputs (2)'!$D$2:$AL$2,0)),"")</f>
        <v>142.036</v>
      </c>
      <c r="AA50" s="271">
        <f>IFERROR(INDEX('Inputs (2)'!$D$70:$AL$70,MATCH(AA$7,'Inputs (2)'!$D$2:$AL$2,0)),"")</f>
        <v>150.723</v>
      </c>
      <c r="AB50" s="272" t="n"/>
      <c r="AC50" s="271">
        <f>IFERROR(INDEX('Inputs (2)'!$D$70:$AL$70,MATCH(AC$7,'Inputs (2)'!$D$2:$AL$2,0)),"")</f>
        <v>158.045</v>
      </c>
      <c r="AD50" s="271">
        <f>IFERROR(INDEX('Inputs (2)'!$D$70:$AL$70,MATCH(AD$7,'Inputs (2)'!$D$2:$AL$2,0)),"")</f>
        <v>154.171</v>
      </c>
      <c r="AE50" s="271">
        <f>IFERROR(INDEX('Inputs (2)'!$D$70:$AL$70,MATCH(AE$7,'Inputs (2)'!$D$2:$AL$2,0)),"")</f>
        <v>159.266</v>
      </c>
      <c r="AF50" s="271">
        <f>IFERROR(INDEX('Inputs (2)'!$D$70:$AL$70,MATCH(AF$7,'Inputs (2)'!$D$2:$AL$2,0)),"")</f>
        <v>160.587855709724</v>
      </c>
      <c r="AG50" s="272" t="n"/>
      <c r="AH50" s="272">
        <f>IFERROR(INDEX('Inputs (2)'!$D$70:$AL$70,MATCH(AH$7,'Inputs (2)'!$D$2:$AL$2,0)),"")</f>
        <v>168.451826807674</v>
      </c>
      <c r="AI50" s="272">
        <f>IFERROR(INDEX('Inputs (2)'!$D$70:$AL$70,MATCH(AI$7,'Inputs (2)'!$D$2:$AL$2,0)),"")</f>
        <v>164.725592338976</v>
      </c>
    </row>
    <row r="51">
      <c r="C51" s="14" t="inlineStr">
        <is>
          <t>Movida GTF - frota final (mil carros)</t>
        </is>
      </c>
      <c r="D51" s="271">
        <f>IFERROR(IFERROR(INDEX('Inputs (2)'!$D$71:$AL$71,MATCH(D$7,'Inputs (2)'!$D$2:$AL$2,0)),"")/1000,"")</f>
        <v>40.889</v>
      </c>
      <c r="E51" s="271">
        <f>IFERROR(IFERROR(INDEX('Inputs (2)'!$D$71:$AL$71,MATCH(E$7,'Inputs (2)'!$D$2:$AL$2,0)),"")/1000,"")</f>
        <v>39.673</v>
      </c>
      <c r="F51" s="271">
        <f>IFERROR(IFERROR(INDEX('Inputs (2)'!$D$71:$AL$71,MATCH(F$7,'Inputs (2)'!$D$2:$AL$2,0)),"")/1000,"")</f>
        <v>40.731</v>
      </c>
      <c r="G51" s="271">
        <f>IFERROR(IFERROR(INDEX('Inputs (2)'!$D$71:$AL$71,MATCH(G$7,'Inputs (2)'!$D$2:$AL$2,0)),"")/1000,"")</f>
        <v>47.244</v>
      </c>
      <c r="H51" s="272">
        <f>IF(COUNT(G51)=0,"",G51)</f>
        <v>47.244</v>
      </c>
      <c r="I51" s="271">
        <f>IFERROR(IFERROR(INDEX('Inputs (2)'!$D$71:$AL$71,MATCH(I$7,'Inputs (2)'!$D$2:$AL$2,0)),"")/1000,"")</f>
        <v>52.395</v>
      </c>
      <c r="J51" s="271">
        <f>IFERROR(IFERROR(INDEX('Inputs (2)'!$D$71:$AL$71,MATCH(J$7,'Inputs (2)'!$D$2:$AL$2,0)),"")/1000,"")</f>
        <v>55.776</v>
      </c>
      <c r="K51" s="271">
        <f>IFERROR(IFERROR(INDEX('Inputs (2)'!$D$71:$AL$71,MATCH(K$7,'Inputs (2)'!$D$2:$AL$2,0)),"")/1000,"")</f>
        <v>88.379</v>
      </c>
      <c r="L51" s="271">
        <f>IFERROR(IFERROR(INDEX('Inputs (2)'!$D$71:$AL$71,MATCH(L$7,'Inputs (2)'!$D$2:$AL$2,0)),"")/1000,"")</f>
        <v>96.303</v>
      </c>
      <c r="M51" s="272">
        <f>IF(COUNT(L51)=0,"",L51)</f>
        <v>96.303</v>
      </c>
      <c r="N51" s="271">
        <f>IFERROR(IFERROR(INDEX('Inputs (2)'!$D$71:$AL$71,MATCH(N$7,'Inputs (2)'!$D$2:$AL$2,0)),"")/1000,"")</f>
        <v>95.37</v>
      </c>
      <c r="O51" s="271">
        <f>IFERROR(IFERROR(INDEX('Inputs (2)'!$D$71:$AL$71,MATCH(O$7,'Inputs (2)'!$D$2:$AL$2,0)),"")/1000,"")</f>
        <v>106.498</v>
      </c>
      <c r="P51" s="271">
        <f>IFERROR(IFERROR(INDEX('Inputs (2)'!$D$71:$AL$71,MATCH(P$7,'Inputs (2)'!$D$2:$AL$2,0)),"")/1000,"")</f>
        <v>107.728</v>
      </c>
      <c r="Q51" s="271">
        <f>IFERROR(IFERROR(INDEX('Inputs (2)'!$D$71:$AL$71,MATCH(Q$7,'Inputs (2)'!$D$2:$AL$2,0)),"")/1000,"")</f>
        <v>112.352</v>
      </c>
      <c r="R51" s="272">
        <f>IF(COUNT(Q51)=0,"",Q51)</f>
        <v>112.352</v>
      </c>
      <c r="S51" s="271">
        <f>IFERROR(IFERROR(INDEX('Inputs (2)'!$D$71:$AL$71,MATCH(S$7,'Inputs (2)'!$D$2:$AL$2,0)),"")/1000,"")</f>
        <v>114.617</v>
      </c>
      <c r="T51" s="271">
        <f>IFERROR(IFERROR(INDEX('Inputs (2)'!$D$71:$AL$71,MATCH(T$7,'Inputs (2)'!$D$2:$AL$2,0)),"")/1000,"")</f>
        <v>113.678</v>
      </c>
      <c r="U51" s="271">
        <f>IFERROR(IFERROR(INDEX('Inputs (2)'!$D$71:$AL$71,MATCH(U$7,'Inputs (2)'!$D$2:$AL$2,0)),"")/1000,"")</f>
        <v>119.574</v>
      </c>
      <c r="V51" s="271">
        <f>IFERROR(IFERROR(INDEX('Inputs (2)'!$D$71:$AL$71,MATCH(V$7,'Inputs (2)'!$D$2:$AL$2,0)),"")/1000,"")</f>
        <v>130.781</v>
      </c>
      <c r="W51" s="272">
        <f>IF(COUNT(V51)=0,"",V51)</f>
        <v>130.781</v>
      </c>
      <c r="X51" s="271">
        <f>IFERROR(IFERROR(INDEX('Inputs (2)'!$D$71:$AL$71,MATCH(X$7,'Inputs (2)'!$D$2:$AL$2,0)),"")/1000,"")</f>
        <v>135.628</v>
      </c>
      <c r="Y51" s="271">
        <f>IFERROR(IFERROR(INDEX('Inputs (2)'!$D$71:$AL$71,MATCH(Y$7,'Inputs (2)'!$D$2:$AL$2,0)),"")/1000,"")</f>
        <v>137.648</v>
      </c>
      <c r="Z51" s="271">
        <f>IFERROR(IFERROR(INDEX('Inputs (2)'!$D$71:$AL$71,MATCH(Z$7,'Inputs (2)'!$D$2:$AL$2,0)),"")/1000,"")</f>
        <v>137.405</v>
      </c>
      <c r="AA51" s="271">
        <f>IFERROR(IFERROR(INDEX('Inputs (2)'!$D$71:$AL$71,MATCH(AA$7,'Inputs (2)'!$D$2:$AL$2,0)),"")/1000,"")</f>
        <v>146.543</v>
      </c>
      <c r="AB51" s="272">
        <f>IF(COUNT(AA51)=0,"",AA51)</f>
        <v>146.543</v>
      </c>
      <c r="AC51" s="271">
        <f>IFERROR(IFERROR(INDEX('Inputs (2)'!$D$71:$AL$71,MATCH(AC$7,'Inputs (2)'!$D$2:$AL$2,0)),"")/1000,"")</f>
        <v>143.794</v>
      </c>
      <c r="AD51" s="271">
        <f>IFERROR(IFERROR(INDEX('Inputs (2)'!$D$71:$AL$71,MATCH(AD$7,'Inputs (2)'!$D$2:$AL$2,0)),"")/1000,"")</f>
        <v>142.296</v>
      </c>
      <c r="AE51" s="271">
        <f>IFERROR(IFERROR(INDEX('Inputs (2)'!$D$71:$AL$71,MATCH(AE$7,'Inputs (2)'!$D$2:$AL$2,0)),"")/1000,"")</f>
        <v>143.449</v>
      </c>
      <c r="AF51" s="271">
        <f>IFERROR(IFERROR(INDEX('Inputs (2)'!$D$71:$AL$71,MATCH(AF$7,'Inputs (2)'!$D$2:$AL$2,0)),"")/1000,"")</f>
        <v>144.207</v>
      </c>
      <c r="AG51" s="272">
        <f>IF(COUNT(AF51)=0,"",AF51)</f>
        <v>144.207</v>
      </c>
      <c r="AH51" s="272">
        <f>IFERROR(IFERROR(INDEX('Inputs (2)'!$D$71:$AL$71,MATCH(AH$7,'Inputs (2)'!$D$2:$AL$2,0)),"")/1000,"")</f>
        <v>141.949</v>
      </c>
      <c r="AI51" s="272">
        <f>IFERROR(IFERROR(INDEX('Inputs (2)'!$D$71:$AL$71,MATCH(AI$7,'Inputs (2)'!$D$2:$AL$2,0)),"")/1000,"")</f>
        <v>145.882</v>
      </c>
    </row>
    <row r="52">
      <c r="C52" s="14" t="inlineStr">
        <is>
          <t>Movida GTF - ticket medio mensal (R$)</t>
        </is>
      </c>
      <c r="D52" s="278">
        <f>IFERROR(INDEX('Inputs (2)'!$D$72:$AL$72,MATCH(D$7,'Inputs (2)'!$D$2:$AL$2,0)),"")</f>
        <v>1353.649</v>
      </c>
      <c r="E52" s="278">
        <f>IFERROR(INDEX('Inputs (2)'!$D$72:$AL$72,MATCH(E$7,'Inputs (2)'!$D$2:$AL$2,0)),"")</f>
        <v>1390.284</v>
      </c>
      <c r="F52" s="278">
        <f>IFERROR(INDEX('Inputs (2)'!$D$72:$AL$72,MATCH(F$7,'Inputs (2)'!$D$2:$AL$2,0)),"")</f>
        <v>1241.48</v>
      </c>
      <c r="G52" s="278">
        <f>IFERROR(INDEX('Inputs (2)'!$D$72:$AL$72,MATCH(G$7,'Inputs (2)'!$D$2:$AL$2,0)),"")</f>
        <v>1196.553</v>
      </c>
      <c r="H52" s="279" t="n"/>
      <c r="I52" s="278">
        <f>IFERROR(INDEX('Inputs (2)'!$D$72:$AL$72,MATCH(I$7,'Inputs (2)'!$D$2:$AL$2,0)),"")</f>
        <v>1372.319</v>
      </c>
      <c r="J52" s="278">
        <f>IFERROR(INDEX('Inputs (2)'!$D$72:$AL$72,MATCH(J$7,'Inputs (2)'!$D$2:$AL$2,0)),"")</f>
        <v>1446.677</v>
      </c>
      <c r="K52" s="278">
        <f>IFERROR(INDEX('Inputs (2)'!$D$72:$AL$72,MATCH(K$7,'Inputs (2)'!$D$2:$AL$2,0)),"")</f>
        <v>1556.347</v>
      </c>
      <c r="L52" s="278">
        <f>IFERROR(INDEX('Inputs (2)'!$D$72:$AL$72,MATCH(L$7,'Inputs (2)'!$D$2:$AL$2,0)),"")</f>
        <v>1554.954</v>
      </c>
      <c r="M52" s="279" t="n"/>
      <c r="N52" s="278">
        <f>IFERROR(INDEX('Inputs (2)'!$D$72:$AL$72,MATCH(N$7,'Inputs (2)'!$D$2:$AL$2,0)),"")</f>
        <v>1656.1</v>
      </c>
      <c r="O52" s="278">
        <f>IFERROR(INDEX('Inputs (2)'!$D$72:$AL$72,MATCH(O$7,'Inputs (2)'!$D$2:$AL$2,0)),"")</f>
        <v>1785.39</v>
      </c>
      <c r="P52" s="278">
        <f>IFERROR(INDEX('Inputs (2)'!$D$72:$AL$72,MATCH(P$7,'Inputs (2)'!$D$2:$AL$2,0)),"")</f>
        <v>1811.553</v>
      </c>
      <c r="Q52" s="278">
        <f>IFERROR(INDEX('Inputs (2)'!$D$72:$AL$72,MATCH(Q$7,'Inputs (2)'!$D$2:$AL$2,0)),"")</f>
        <v>1924.074</v>
      </c>
      <c r="R52" s="279" t="n"/>
      <c r="S52" s="278">
        <f>IFERROR(INDEX('Inputs (2)'!$D$72:$AL$72,MATCH(S$7,'Inputs (2)'!$D$2:$AL$2,0)),"")</f>
        <v>2040.898</v>
      </c>
      <c r="T52" s="278">
        <f>IFERROR(INDEX('Inputs (2)'!$D$72:$AL$72,MATCH(T$7,'Inputs (2)'!$D$2:$AL$2,0)),"")</f>
        <v>2110.268</v>
      </c>
      <c r="U52" s="278">
        <f>IFERROR(INDEX('Inputs (2)'!$D$72:$AL$72,MATCH(U$7,'Inputs (2)'!$D$2:$AL$2,0)),"")</f>
        <v>2191.255</v>
      </c>
      <c r="V52" s="278">
        <f>IFERROR(INDEX('Inputs (2)'!$D$72:$AL$72,MATCH(V$7,'Inputs (2)'!$D$2:$AL$2,0)),"")</f>
        <v>2275.453</v>
      </c>
      <c r="W52" s="279" t="n"/>
      <c r="X52" s="278">
        <f>IFERROR(INDEX('Inputs (2)'!$D$72:$AL$72,MATCH(X$7,'Inputs (2)'!$D$2:$AL$2,0)),"")</f>
        <v>2380.167</v>
      </c>
      <c r="Y52" s="278">
        <f>IFERROR(INDEX('Inputs (2)'!$D$72:$AL$72,MATCH(Y$7,'Inputs (2)'!$D$2:$AL$2,0)),"")</f>
        <v>2582.26</v>
      </c>
      <c r="Z52" s="278">
        <f>IFERROR(INDEX('Inputs (2)'!$D$72:$AL$72,MATCH(Z$7,'Inputs (2)'!$D$2:$AL$2,0)),"")</f>
        <v>2695.784</v>
      </c>
      <c r="AA52" s="278">
        <f>IFERROR(INDEX('Inputs (2)'!$D$72:$AL$72,MATCH(AA$7,'Inputs (2)'!$D$2:$AL$2,0)),"")</f>
        <v>2780.174</v>
      </c>
      <c r="AB52" s="279" t="n"/>
      <c r="AC52" s="278">
        <f>IFERROR(INDEX('Inputs (2)'!$D$72:$AL$72,MATCH(AC$7,'Inputs (2)'!$D$2:$AL$2,0)),"")</f>
        <v>2855.385</v>
      </c>
      <c r="AD52" s="278">
        <f>IFERROR(INDEX('Inputs (2)'!$D$72:$AL$72,MATCH(AD$7,'Inputs (2)'!$D$2:$AL$2,0)),"")</f>
        <v>2948.728</v>
      </c>
      <c r="AE52" s="278">
        <f>IFERROR(INDEX('Inputs (2)'!$D$72:$AL$72,MATCH(AE$7,'Inputs (2)'!$D$2:$AL$2,0)),"")</f>
        <v>3025.387</v>
      </c>
      <c r="AF52" s="278">
        <f>IFERROR(INDEX('Inputs (2)'!$D$72:$AL$72,MATCH(AF$7,'Inputs (2)'!$D$2:$AL$2,0)),"")</f>
        <v>3123.28743634307</v>
      </c>
      <c r="AG52" s="279" t="n"/>
      <c r="AH52" s="279">
        <f>IFERROR(INDEX('Inputs (2)'!$D$72:$AL$72,MATCH(AH$7,'Inputs (2)'!$D$2:$AL$2,0)),"")</f>
        <v>3162.0203183452</v>
      </c>
      <c r="AI52" s="279">
        <f>IFERROR(INDEX('Inputs (2)'!$D$72:$AL$72,MATCH(AI$7,'Inputs (2)'!$D$2:$AL$2,0)),"")</f>
        <v>3288.95683250247</v>
      </c>
    </row>
    <row r="53">
      <c r="C53" s="14" t="inlineStr">
        <is>
          <t>Movida - carros vendidos (mil)</t>
        </is>
      </c>
      <c r="D53" s="271">
        <f>IFERROR(IFERROR(INDEX('Inputs (2)'!$D$73:$AL$73,MATCH(D$7,'Inputs (2)'!$D$2:$AL$2,0)),"")/1000,"")</f>
        <v>14.127</v>
      </c>
      <c r="E53" s="271">
        <f>IFERROR(IFERROR(INDEX('Inputs (2)'!$D$73:$AL$73,MATCH(E$7,'Inputs (2)'!$D$2:$AL$2,0)),"")/1000,"")</f>
        <v>18.465</v>
      </c>
      <c r="F53" s="271">
        <f>IFERROR(IFERROR(INDEX('Inputs (2)'!$D$73:$AL$73,MATCH(F$7,'Inputs (2)'!$D$2:$AL$2,0)),"")/1000,"")</f>
        <v>14.321</v>
      </c>
      <c r="G53" s="271">
        <f>IFERROR(IFERROR(INDEX('Inputs (2)'!$D$73:$AL$73,MATCH(G$7,'Inputs (2)'!$D$2:$AL$2,0)),"")/1000,"")</f>
        <v>9.869</v>
      </c>
      <c r="H53" s="272">
        <f>IF(COUNT(D53:G53)=4,SUM(D53:G53),"")</f>
        <v>56.782</v>
      </c>
      <c r="I53" s="271">
        <f>IFERROR(IFERROR(INDEX('Inputs (2)'!$D$73:$AL$73,MATCH(I$7,'Inputs (2)'!$D$2:$AL$2,0)),"")/1000,"")</f>
        <v>5.356</v>
      </c>
      <c r="J53" s="271">
        <f>IFERROR(IFERROR(INDEX('Inputs (2)'!$D$73:$AL$73,MATCH(J$7,'Inputs (2)'!$D$2:$AL$2,0)),"")/1000,"")</f>
        <v>12.462</v>
      </c>
      <c r="K53" s="271">
        <f>IFERROR(IFERROR(INDEX('Inputs (2)'!$D$73:$AL$73,MATCH(K$7,'Inputs (2)'!$D$2:$AL$2,0)),"")/1000,"")</f>
        <v>14.509</v>
      </c>
      <c r="L53" s="271">
        <f>IFERROR(IFERROR(INDEX('Inputs (2)'!$D$73:$AL$73,MATCH(L$7,'Inputs (2)'!$D$2:$AL$2,0)),"")/1000,"")</f>
        <v>12.472</v>
      </c>
      <c r="M53" s="272">
        <f>IF(COUNT(I53:L53)=4,SUM(I53:L53),"")</f>
        <v>44.799</v>
      </c>
      <c r="N53" s="271">
        <f>IFERROR(IFERROR(INDEX('Inputs (2)'!$D$73:$AL$73,MATCH(N$7,'Inputs (2)'!$D$2:$AL$2,0)),"")/1000,"")</f>
        <v>15.225</v>
      </c>
      <c r="O53" s="271">
        <f>IFERROR(IFERROR(INDEX('Inputs (2)'!$D$73:$AL$73,MATCH(O$7,'Inputs (2)'!$D$2:$AL$2,0)),"")/1000,"")</f>
        <v>18.474</v>
      </c>
      <c r="P53" s="271">
        <f>IFERROR(IFERROR(INDEX('Inputs (2)'!$D$73:$AL$73,MATCH(P$7,'Inputs (2)'!$D$2:$AL$2,0)),"")/1000,"")</f>
        <v>20.023</v>
      </c>
      <c r="Q53" s="271">
        <f>IFERROR(IFERROR(INDEX('Inputs (2)'!$D$73:$AL$73,MATCH(Q$7,'Inputs (2)'!$D$2:$AL$2,0)),"")/1000,"")</f>
        <v>18.697</v>
      </c>
      <c r="R53" s="272">
        <f>IF(COUNT(N53:Q53)=4,SUM(N53:Q53),"")</f>
        <v>72.419</v>
      </c>
      <c r="S53" s="271">
        <f>IFERROR(IFERROR(INDEX('Inputs (2)'!$D$73:$AL$73,MATCH(S$7,'Inputs (2)'!$D$2:$AL$2,0)),"")/1000,"")</f>
        <v>19.61</v>
      </c>
      <c r="T53" s="271">
        <f>IFERROR(IFERROR(INDEX('Inputs (2)'!$D$73:$AL$73,MATCH(T$7,'Inputs (2)'!$D$2:$AL$2,0)),"")/1000,"")</f>
        <v>18.806</v>
      </c>
      <c r="U53" s="271">
        <f>IFERROR(IFERROR(INDEX('Inputs (2)'!$D$73:$AL$73,MATCH(U$7,'Inputs (2)'!$D$2:$AL$2,0)),"")/1000,"")</f>
        <v>20.503</v>
      </c>
      <c r="V53" s="271">
        <f>IFERROR(IFERROR(INDEX('Inputs (2)'!$D$73:$AL$73,MATCH(V$7,'Inputs (2)'!$D$2:$AL$2,0)),"")/1000,"")</f>
        <v>17.253</v>
      </c>
      <c r="W53" s="272">
        <f>IF(COUNT(S53:V53)=4,SUM(S53:V53),"")</f>
        <v>76.172</v>
      </c>
      <c r="X53" s="271">
        <f>IFERROR(IFERROR(INDEX('Inputs (2)'!$D$73:$AL$73,MATCH(X$7,'Inputs (2)'!$D$2:$AL$2,0)),"")/1000,"")</f>
        <v>23.249</v>
      </c>
      <c r="Y53" s="271">
        <f>IFERROR(IFERROR(INDEX('Inputs (2)'!$D$73:$AL$73,MATCH(Y$7,'Inputs (2)'!$D$2:$AL$2,0)),"")/1000,"")</f>
        <v>27.954</v>
      </c>
      <c r="Z53" s="271">
        <f>IFERROR(IFERROR(INDEX('Inputs (2)'!$D$73:$AL$73,MATCH(Z$7,'Inputs (2)'!$D$2:$AL$2,0)),"")/1000,"")</f>
        <v>30.572</v>
      </c>
      <c r="AA53" s="271">
        <f>IFERROR(IFERROR(INDEX('Inputs (2)'!$D$73:$AL$73,MATCH(AA$7,'Inputs (2)'!$D$2:$AL$2,0)),"")/1000,"")</f>
        <v>21.916</v>
      </c>
      <c r="AB53" s="272">
        <f>IF(COUNT(X53:AA53)=4,SUM(X53:AA53),"")</f>
        <v>103.691</v>
      </c>
      <c r="AC53" s="271">
        <f>IFERROR(IFERROR(INDEX('Inputs (2)'!$D$73:$AL$73,MATCH(AC$7,'Inputs (2)'!$D$2:$AL$2,0)),"")/1000,"")</f>
        <v>24.784</v>
      </c>
      <c r="AD53" s="271">
        <f>IFERROR(IFERROR(INDEX('Inputs (2)'!$D$73:$AL$73,MATCH(AD$7,'Inputs (2)'!$D$2:$AL$2,0)),"")/1000,"")</f>
        <v>25.917</v>
      </c>
      <c r="AE53" s="271">
        <f>IFERROR(IFERROR(INDEX('Inputs (2)'!$D$73:$AL$73,MATCH(AE$7,'Inputs (2)'!$D$2:$AL$2,0)),"")/1000,"")</f>
        <v>24.472</v>
      </c>
      <c r="AF53" s="271">
        <f>IFERROR(IFERROR(INDEX('Inputs (2)'!$D$73:$AL$73,MATCH(AF$7,'Inputs (2)'!$D$2:$AL$2,0)),"")/1000,"")</f>
        <v>22.172</v>
      </c>
      <c r="AG53" s="272">
        <f>IF(COUNT(AC53:AF53)=4,SUM(AC53:AF53),"")</f>
        <v>97.345</v>
      </c>
      <c r="AH53" s="272">
        <f>IFERROR(IFERROR(INDEX('Inputs (2)'!$D$73:$AL$73,MATCH(AH$7,'Inputs (2)'!$D$2:$AL$2,0)),"")/1000,"")</f>
        <v>20.62</v>
      </c>
      <c r="AI53" s="272">
        <f>IFERROR(IFERROR(INDEX('Inputs (2)'!$D$73:$AL$73,MATCH(AI$7,'Inputs (2)'!$D$2:$AL$2,0)),"")/1000,"")</f>
        <v>19.414</v>
      </c>
    </row>
    <row r="54">
      <c r="C54" s="14" t="inlineStr">
        <is>
          <t>Movida - preco medio do carro vendido (R$ mil)</t>
        </is>
      </c>
      <c r="D54" s="271">
        <f>IFERROR(IFERROR(INDEX('Inputs (2)'!$D$74:$AL$74,MATCH(D$7,'Inputs (2)'!$D$2:$AL$2,0)),"")/1000,"")</f>
        <v>40.161535</v>
      </c>
      <c r="E54" s="271">
        <f>IFERROR(IFERROR(INDEX('Inputs (2)'!$D$74:$AL$74,MATCH(E$7,'Inputs (2)'!$D$2:$AL$2,0)),"")/1000,"")</f>
        <v>40.614688</v>
      </c>
      <c r="F54" s="271">
        <f>IFERROR(IFERROR(INDEX('Inputs (2)'!$D$74:$AL$74,MATCH(F$7,'Inputs (2)'!$D$2:$AL$2,0)),"")/1000,"")</f>
        <v>45.28977</v>
      </c>
      <c r="G54" s="271">
        <f>IFERROR(IFERROR(INDEX('Inputs (2)'!$D$74:$AL$74,MATCH(G$7,'Inputs (2)'!$D$2:$AL$2,0)),"")/1000,"")</f>
        <v>50.153014</v>
      </c>
      <c r="H54" s="272" t="n"/>
      <c r="I54" s="271">
        <f>IFERROR(IFERROR(INDEX('Inputs (2)'!$D$74:$AL$74,MATCH(I$7,'Inputs (2)'!$D$2:$AL$2,0)),"")/1000,"")</f>
        <v>51.893918</v>
      </c>
      <c r="J54" s="271">
        <f>IFERROR(IFERROR(INDEX('Inputs (2)'!$D$74:$AL$74,MATCH(J$7,'Inputs (2)'!$D$2:$AL$2,0)),"")/1000,"")</f>
        <v>54.575562</v>
      </c>
      <c r="K54" s="271">
        <f>IFERROR(IFERROR(INDEX('Inputs (2)'!$D$74:$AL$74,MATCH(K$7,'Inputs (2)'!$D$2:$AL$2,0)),"")/1000,"")</f>
        <v>58.732576</v>
      </c>
      <c r="L54" s="271">
        <f>IFERROR(IFERROR(INDEX('Inputs (2)'!$D$74:$AL$74,MATCH(L$7,'Inputs (2)'!$D$2:$AL$2,0)),"")/1000,"")</f>
        <v>65.422791</v>
      </c>
      <c r="M54" s="272" t="n"/>
      <c r="N54" s="271">
        <f>IFERROR(IFERROR(INDEX('Inputs (2)'!$D$74:$AL$74,MATCH(N$7,'Inputs (2)'!$D$2:$AL$2,0)),"")/1000,"")</f>
        <v>64.467473</v>
      </c>
      <c r="O54" s="271">
        <f>IFERROR(IFERROR(INDEX('Inputs (2)'!$D$74:$AL$74,MATCH(O$7,'Inputs (2)'!$D$2:$AL$2,0)),"")/1000,"")</f>
        <v>66.619727</v>
      </c>
      <c r="P54" s="271">
        <f>IFERROR(IFERROR(INDEX('Inputs (2)'!$D$74:$AL$74,MATCH(P$7,'Inputs (2)'!$D$2:$AL$2,0)),"")/1000,"")</f>
        <v>70.866812</v>
      </c>
      <c r="Q54" s="271">
        <f>IFERROR(IFERROR(INDEX('Inputs (2)'!$D$74:$AL$74,MATCH(Q$7,'Inputs (2)'!$D$2:$AL$2,0)),"")/1000,"")</f>
        <v>75.437883</v>
      </c>
      <c r="R54" s="272" t="n"/>
      <c r="S54" s="271">
        <f>IFERROR(IFERROR(INDEX('Inputs (2)'!$D$74:$AL$74,MATCH(S$7,'Inputs (2)'!$D$2:$AL$2,0)),"")/1000,"")</f>
        <v>75.131641</v>
      </c>
      <c r="T54" s="271">
        <f>IFERROR(IFERROR(INDEX('Inputs (2)'!$D$74:$AL$74,MATCH(T$7,'Inputs (2)'!$D$2:$AL$2,0)),"")/1000,"")</f>
        <v>67.009986</v>
      </c>
      <c r="U54" s="271">
        <f>IFERROR(IFERROR(INDEX('Inputs (2)'!$D$74:$AL$74,MATCH(U$7,'Inputs (2)'!$D$2:$AL$2,0)),"")/1000,"")</f>
        <v>67.718251</v>
      </c>
      <c r="V54" s="271">
        <f>IFERROR(IFERROR(INDEX('Inputs (2)'!$D$74:$AL$74,MATCH(V$7,'Inputs (2)'!$D$2:$AL$2,0)),"")/1000,"")</f>
        <v>68.176185</v>
      </c>
      <c r="W54" s="272" t="n"/>
      <c r="X54" s="271">
        <f>IFERROR(IFERROR(INDEX('Inputs (2)'!$D$74:$AL$74,MATCH(X$7,'Inputs (2)'!$D$2:$AL$2,0)),"")/1000,"")</f>
        <v>66.942505</v>
      </c>
      <c r="Y54" s="271">
        <f>IFERROR(IFERROR(INDEX('Inputs (2)'!$D$74:$AL$74,MATCH(Y$7,'Inputs (2)'!$D$2:$AL$2,0)),"")/1000,"")</f>
        <v>66.598725</v>
      </c>
      <c r="Z54" s="271">
        <f>IFERROR(IFERROR(INDEX('Inputs (2)'!$D$74:$AL$74,MATCH(Z$7,'Inputs (2)'!$D$2:$AL$2,0)),"")/1000,"")</f>
        <v>67.728675</v>
      </c>
      <c r="AA54" s="271">
        <f>IFERROR(IFERROR(INDEX('Inputs (2)'!$D$74:$AL$74,MATCH(AA$7,'Inputs (2)'!$D$2:$AL$2,0)),"")/1000,"")</f>
        <v>68.181225</v>
      </c>
      <c r="AB54" s="272" t="n"/>
      <c r="AC54" s="271">
        <f>IFERROR(IFERROR(INDEX('Inputs (2)'!$D$74:$AL$74,MATCH(AC$7,'Inputs (2)'!$D$2:$AL$2,0)),"")/1000,"")</f>
        <v>69.546779</v>
      </c>
      <c r="AD54" s="271">
        <f>IFERROR(IFERROR(INDEX('Inputs (2)'!$D$74:$AL$74,MATCH(AD$7,'Inputs (2)'!$D$2:$AL$2,0)),"")/1000,"")</f>
        <v>70.398095</v>
      </c>
      <c r="AE54" s="271">
        <f>IFERROR(IFERROR(INDEX('Inputs (2)'!$D$74:$AL$74,MATCH(AE$7,'Inputs (2)'!$D$2:$AL$2,0)),"")/1000,"")</f>
        <v>73.431672</v>
      </c>
      <c r="AF54" s="271">
        <f>IFERROR(IFERROR(INDEX('Inputs (2)'!$D$74:$AL$74,MATCH(AF$7,'Inputs (2)'!$D$2:$AL$2,0)),"")/1000,"")</f>
        <v>72.2697444547227</v>
      </c>
      <c r="AG54" s="272" t="n"/>
      <c r="AH54" s="272">
        <f>IFERROR(IFERROR(INDEX('Inputs (2)'!$D$74:$AL$74,MATCH(AH$7,'Inputs (2)'!$D$2:$AL$2,0)),"")/1000,"")</f>
        <v>77.8237286809495</v>
      </c>
      <c r="AI54" s="272">
        <f>IFERROR(IFERROR(INDEX('Inputs (2)'!$D$74:$AL$74,MATCH(AI$7,'Inputs (2)'!$D$2:$AL$2,0)),"")/1000,"")</f>
        <v>77.2521840543436</v>
      </c>
    </row>
    <row r="55">
      <c r="C55" s="14" t="inlineStr">
        <is>
          <t>Vamos - frota de locacao final (mil ativos)</t>
        </is>
      </c>
      <c r="D55" s="271">
        <f>IFERROR(IFERROR(INDEX('Inputs (2)'!$D$75:$AL$75,MATCH(D$7,'Inputs (2)'!$D$2:$AL$2,0)),"")/1000,"")</f>
        <v>13.529</v>
      </c>
      <c r="E55" s="271">
        <f>IFERROR(IFERROR(INDEX('Inputs (2)'!$D$75:$AL$75,MATCH(E$7,'Inputs (2)'!$D$2:$AL$2,0)),"")/1000,"")</f>
        <v>13.785</v>
      </c>
      <c r="F55" s="271">
        <f>IFERROR(IFERROR(INDEX('Inputs (2)'!$D$75:$AL$75,MATCH(F$7,'Inputs (2)'!$D$2:$AL$2,0)),"")/1000,"")</f>
        <v>14.015</v>
      </c>
      <c r="G55" s="271">
        <f>IFERROR(IFERROR(INDEX('Inputs (2)'!$D$75:$AL$75,MATCH(G$7,'Inputs (2)'!$D$2:$AL$2,0)),"")/1000,"")</f>
        <v>15.128</v>
      </c>
      <c r="H55" s="272">
        <f>IF(COUNT(G55)=0,"",G55)</f>
        <v>15.128</v>
      </c>
      <c r="I55" s="271">
        <f>IFERROR(IFERROR(INDEX('Inputs (2)'!$D$75:$AL$75,MATCH(I$7,'Inputs (2)'!$D$2:$AL$2,0)),"")/1000,"")</f>
        <v>16.025</v>
      </c>
      <c r="J55" s="271">
        <f>IFERROR(IFERROR(INDEX('Inputs (2)'!$D$75:$AL$75,MATCH(J$7,'Inputs (2)'!$D$2:$AL$2,0)),"")/1000,"")</f>
        <v>18.395</v>
      </c>
      <c r="K55" s="271">
        <f>IFERROR(IFERROR(INDEX('Inputs (2)'!$D$75:$AL$75,MATCH(K$7,'Inputs (2)'!$D$2:$AL$2,0)),"")/1000,"")</f>
        <v>20.384</v>
      </c>
      <c r="L55" s="271">
        <f>IFERROR(IFERROR(INDEX('Inputs (2)'!$D$75:$AL$75,MATCH(L$7,'Inputs (2)'!$D$2:$AL$2,0)),"")/1000,"")</f>
        <v>23.627</v>
      </c>
      <c r="M55" s="272">
        <f>IF(COUNT(L55)=0,"",L55)</f>
        <v>23.627</v>
      </c>
      <c r="N55" s="271">
        <f>IFERROR(IFERROR(INDEX('Inputs (2)'!$D$75:$AL$75,MATCH(N$7,'Inputs (2)'!$D$2:$AL$2,0)),"")/1000,"")</f>
        <v>26.859</v>
      </c>
      <c r="O55" s="271">
        <f>IFERROR(IFERROR(INDEX('Inputs (2)'!$D$75:$AL$75,MATCH(O$7,'Inputs (2)'!$D$2:$AL$2,0)),"")/1000,"")</f>
        <v>33.94</v>
      </c>
      <c r="P55" s="271">
        <f>IFERROR(IFERROR(INDEX('Inputs (2)'!$D$75:$AL$75,MATCH(P$7,'Inputs (2)'!$D$2:$AL$2,0)),"")/1000,"")</f>
        <v>38.561</v>
      </c>
      <c r="Q55" s="271">
        <f>IFERROR(IFERROR(INDEX('Inputs (2)'!$D$75:$AL$75,MATCH(Q$7,'Inputs (2)'!$D$2:$AL$2,0)),"")/1000,"")</f>
        <v>43.829</v>
      </c>
      <c r="R55" s="272">
        <f>IF(COUNT(Q55)=0,"",Q55)</f>
        <v>43.829</v>
      </c>
      <c r="S55" s="271">
        <f>IFERROR(IFERROR(INDEX('Inputs (2)'!$D$75:$AL$75,MATCH(S$7,'Inputs (2)'!$D$2:$AL$2,0)),"")/1000,"")</f>
        <v>45.055</v>
      </c>
      <c r="T55" s="271">
        <f>IFERROR(IFERROR(INDEX('Inputs (2)'!$D$75:$AL$75,MATCH(T$7,'Inputs (2)'!$D$2:$AL$2,0)),"")/1000,"")</f>
        <v>45.279</v>
      </c>
      <c r="U55" s="271">
        <f>IFERROR(IFERROR(INDEX('Inputs (2)'!$D$75:$AL$75,MATCH(U$7,'Inputs (2)'!$D$2:$AL$2,0)),"")/1000,"")</f>
        <v>45.161</v>
      </c>
      <c r="V55" s="271">
        <f>IFERROR(IFERROR(INDEX('Inputs (2)'!$D$75:$AL$75,MATCH(V$7,'Inputs (2)'!$D$2:$AL$2,0)),"")/1000,"")</f>
        <v>45.727</v>
      </c>
      <c r="W55" s="272">
        <f>IF(COUNT(V55)=0,"",V55)</f>
        <v>45.727</v>
      </c>
      <c r="X55" s="271">
        <f>IFERROR(IFERROR(INDEX('Inputs (2)'!$D$75:$AL$75,MATCH(X$7,'Inputs (2)'!$D$2:$AL$2,0)),"")/1000,"")</f>
        <v>49.515</v>
      </c>
      <c r="Y55" s="271">
        <f>IFERROR(IFERROR(INDEX('Inputs (2)'!$D$75:$AL$75,MATCH(Y$7,'Inputs (2)'!$D$2:$AL$2,0)),"")/1000,"")</f>
        <v>50.384</v>
      </c>
      <c r="Z55" s="271">
        <f>IFERROR(IFERROR(INDEX('Inputs (2)'!$D$75:$AL$75,MATCH(Z$7,'Inputs (2)'!$D$2:$AL$2,0)),"")/1000,"")</f>
        <v>51.09</v>
      </c>
      <c r="AA55" s="271">
        <f>IFERROR(IFERROR(INDEX('Inputs (2)'!$D$75:$AL$75,MATCH(AA$7,'Inputs (2)'!$D$2:$AL$2,0)),"")/1000,"")</f>
        <v>51.604</v>
      </c>
      <c r="AB55" s="272">
        <f>IF(COUNT(AA55)=0,"",AA55)</f>
        <v>51.604</v>
      </c>
      <c r="AC55" s="271">
        <f>IFERROR(IFERROR(INDEX('Inputs (2)'!$D$75:$AL$75,MATCH(AC$7,'Inputs (2)'!$D$2:$AL$2,0)),"")/1000,"")</f>
        <v>52.593</v>
      </c>
      <c r="AD55" s="271">
        <f>IFERROR(IFERROR(INDEX('Inputs (2)'!$D$75:$AL$75,MATCH(AD$7,'Inputs (2)'!$D$2:$AL$2,0)),"")/1000,"")</f>
        <v>52.544</v>
      </c>
      <c r="AE55" s="271">
        <f>IFERROR(IFERROR(INDEX('Inputs (2)'!$D$75:$AL$75,MATCH(AE$7,'Inputs (2)'!$D$2:$AL$2,0)),"")/1000,"")</f>
        <v>52.047</v>
      </c>
      <c r="AF55" s="271">
        <f>IFERROR(IFERROR(INDEX('Inputs (2)'!$D$75:$AL$75,MATCH(AF$7,'Inputs (2)'!$D$2:$AL$2,0)),"")/1000,"")</f>
        <v>51.953</v>
      </c>
      <c r="AG55" s="272">
        <f>IF(COUNT(AF55)=0,"",AF55)</f>
        <v>51.953</v>
      </c>
      <c r="AH55" s="272">
        <f>IFERROR(IFERROR(INDEX('Inputs (2)'!$D$75:$AL$75,MATCH(AH$7,'Inputs (2)'!$D$2:$AL$2,0)),"")/1000,"")</f>
        <v>50.98</v>
      </c>
      <c r="AI55" s="272">
        <f>IFERROR(IFERROR(INDEX('Inputs (2)'!$D$75:$AL$75,MATCH(AI$7,'Inputs (2)'!$D$2:$AL$2,0)),"")/1000,"")</f>
        <v>51.256</v>
      </c>
    </row>
    <row r="56"/>
    <row r="57"/>
    <row r="58" hidden="1" outlineLevel="1" customFormat="1" s="23">
      <c r="A58" s="18" t="n"/>
      <c r="B58" s="19" t="n"/>
      <c r="C58" s="20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  <c r="AO58" s="21" t="n"/>
      <c r="AP58" s="21" t="n"/>
      <c r="AQ58" s="21" t="n"/>
      <c r="AR58" s="21" t="n"/>
      <c r="AS58" s="21" t="n"/>
      <c r="AT58" s="21" t="n"/>
      <c r="AU58" s="21" t="n"/>
      <c r="AV58" s="21" t="n"/>
      <c r="AW58" s="21" t="n"/>
      <c r="AX58" s="21" t="n"/>
      <c r="AY58" s="21" t="n"/>
      <c r="AZ58" s="21" t="n"/>
      <c r="BA58" s="21" t="n"/>
      <c r="BB58" s="21" t="n"/>
      <c r="BC58" s="21" t="n"/>
      <c r="BD58" s="21" t="n"/>
      <c r="BE58" s="21" t="n"/>
      <c r="BF58" s="21" t="n"/>
      <c r="BG58" s="21" t="n"/>
      <c r="BH58" s="21" t="n"/>
      <c r="BI58" s="21" t="n"/>
      <c r="BJ58" s="21" t="n"/>
      <c r="BK58" s="21" t="n"/>
      <c r="BL58" s="21" t="n"/>
      <c r="BM58" s="21" t="n"/>
      <c r="BN58" s="21" t="n"/>
      <c r="BO58" s="21" t="n"/>
      <c r="BP58" s="21" t="n"/>
      <c r="BQ58" s="21" t="n"/>
      <c r="BR58" s="21" t="n"/>
      <c r="BS58" s="21" t="n"/>
      <c r="BT58" s="21" t="n"/>
      <c r="BU58" s="21" t="n"/>
      <c r="BV58" s="21" t="n"/>
      <c r="BW58" s="21" t="n"/>
      <c r="BX58" s="21" t="n"/>
      <c r="BY58" s="21" t="n"/>
      <c r="BZ58" s="21" t="n"/>
      <c r="CA58" s="21" t="n"/>
      <c r="CB58" s="21" t="n"/>
      <c r="CC58" s="21" t="n"/>
      <c r="CD58" s="21" t="n"/>
      <c r="CE58" s="21" t="n"/>
      <c r="CF58" s="21" t="n"/>
      <c r="CG58" s="21" t="n"/>
      <c r="CH58" s="21" t="n"/>
      <c r="CI58" s="21" t="n"/>
      <c r="CJ58" s="21" t="n"/>
      <c r="CK58" s="21" t="n"/>
      <c r="CL58" s="21" t="n"/>
      <c r="CM58" s="21" t="n"/>
      <c r="CN58" s="21" t="n"/>
      <c r="CO58" s="21" t="n"/>
      <c r="CP58" s="21" t="n"/>
      <c r="CQ58" s="21" t="n"/>
      <c r="CR58" s="21" t="n"/>
      <c r="CS58" s="21" t="n"/>
      <c r="CT58" s="21" t="n"/>
      <c r="CU58" s="21" t="n"/>
      <c r="CV58" s="21" t="n"/>
      <c r="CW58" s="21" t="n"/>
      <c r="CX58" s="21" t="n"/>
      <c r="CY58" s="21" t="n"/>
    </row>
    <row r="59" hidden="1" outlineLevel="1" customFormat="1" s="23">
      <c r="A59" s="18" t="n"/>
      <c r="B59" s="19" t="n"/>
      <c r="C59" s="20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O59" s="21" t="n"/>
      <c r="AP59" s="21" t="n"/>
      <c r="AQ59" s="21" t="n"/>
      <c r="AR59" s="21" t="n"/>
      <c r="AS59" s="21" t="n"/>
      <c r="AT59" s="21" t="n"/>
      <c r="AU59" s="21" t="n"/>
      <c r="AV59" s="21" t="n"/>
      <c r="AW59" s="21" t="n"/>
      <c r="AX59" s="21" t="n"/>
      <c r="AY59" s="21" t="n"/>
      <c r="AZ59" s="21" t="n"/>
      <c r="BA59" s="21" t="n"/>
      <c r="BB59" s="21" t="n"/>
      <c r="BC59" s="21" t="n"/>
      <c r="BD59" s="21" t="n"/>
      <c r="BE59" s="21" t="n"/>
      <c r="BF59" s="21" t="n"/>
      <c r="BG59" s="21" t="n"/>
      <c r="BH59" s="21" t="n"/>
      <c r="BI59" s="21" t="n"/>
      <c r="BJ59" s="21" t="n"/>
      <c r="BK59" s="21" t="n"/>
      <c r="BL59" s="21" t="n"/>
      <c r="BM59" s="21" t="n"/>
      <c r="BN59" s="21" t="n"/>
      <c r="BO59" s="21" t="n"/>
      <c r="BP59" s="21" t="n"/>
      <c r="BQ59" s="21" t="n"/>
      <c r="BR59" s="21" t="n"/>
      <c r="BS59" s="21" t="n"/>
      <c r="BT59" s="21" t="n"/>
      <c r="BU59" s="21" t="n"/>
      <c r="BV59" s="21" t="n"/>
      <c r="BW59" s="21" t="n"/>
      <c r="BX59" s="21" t="n"/>
      <c r="BY59" s="21" t="n"/>
      <c r="BZ59" s="21" t="n"/>
      <c r="CA59" s="21" t="n"/>
      <c r="CB59" s="21" t="n"/>
      <c r="CC59" s="21" t="n"/>
      <c r="CD59" s="21" t="n"/>
      <c r="CE59" s="21" t="n"/>
      <c r="CF59" s="21" t="n"/>
      <c r="CG59" s="21" t="n"/>
      <c r="CH59" s="21" t="n"/>
      <c r="CI59" s="21" t="n"/>
      <c r="CJ59" s="21" t="n"/>
      <c r="CK59" s="21" t="n"/>
      <c r="CL59" s="21" t="n"/>
      <c r="CM59" s="21" t="n"/>
      <c r="CN59" s="21" t="n"/>
      <c r="CO59" s="21" t="n"/>
      <c r="CP59" s="21" t="n"/>
      <c r="CQ59" s="21" t="n"/>
      <c r="CR59" s="21" t="n"/>
      <c r="CS59" s="21" t="n"/>
      <c r="CT59" s="21" t="n"/>
      <c r="CU59" s="21" t="n"/>
      <c r="CV59" s="21" t="n"/>
      <c r="CW59" s="21" t="n"/>
      <c r="CX59" s="21" t="n"/>
      <c r="CY59" s="21" t="n"/>
    </row>
    <row r="60" collapsed="1">
      <c r="C60" s="24" t="inlineStr">
        <is>
          <t>COGS (cash)</t>
        </is>
      </c>
      <c r="D60" s="25">
        <f>INDEX('Inputs (2)'!$D$5:$AL$5,MATCH(D$7,'Inputs (2)'!$D$2:$AL$2,0))</f>
        <v>-1369.925548518</v>
      </c>
      <c r="E60" s="25">
        <f>INDEX('Inputs (2)'!$D$5:$AL$5,MATCH(E$7,'Inputs (2)'!$D$2:$AL$2,0))</f>
        <v>-1531.78282191</v>
      </c>
      <c r="F60" s="25">
        <f>INDEX('Inputs (2)'!$D$5:$AL$5,MATCH(F$7,'Inputs (2)'!$D$2:$AL$2,0))</f>
        <v>-1772.60412409245</v>
      </c>
      <c r="G60" s="25">
        <f>INDEX('Inputs (2)'!$D$5:$AL$5,MATCH(G$7,'Inputs (2)'!$D$2:$AL$2,0))</f>
        <v>-1855.47136998955</v>
      </c>
      <c r="H60" s="3">
        <f>SUM(D60:G60)</f>
        <v>-6529.78386451</v>
      </c>
      <c r="I60" s="25">
        <f>INDEX('Inputs (2)'!$D$5:$AL$5,MATCH(I$7,'Inputs (2)'!$D$2:$AL$2,0))</f>
        <v>-1575.37451371469</v>
      </c>
      <c r="J60" s="25">
        <f>INDEX('Inputs (2)'!$D$5:$AL$5,MATCH(J$7,'Inputs (2)'!$D$2:$AL$2,0))</f>
        <v>-1930.87126570775</v>
      </c>
      <c r="K60" s="25">
        <f>INDEX('Inputs (2)'!$D$5:$AL$5,MATCH(K$7,'Inputs (2)'!$D$2:$AL$2,0))</f>
        <v>-2418.87014872533</v>
      </c>
      <c r="L60" s="25">
        <f>INDEX('Inputs (2)'!$D$5:$AL$5,MATCH(L$7,'Inputs (2)'!$D$2:$AL$2,0))</f>
        <v>-2398.08306920989</v>
      </c>
      <c r="M60" s="3">
        <f>SUM(I60:L60)</f>
        <v>-8323.19899735766</v>
      </c>
      <c r="N60" s="25">
        <f>INDEX('Inputs (2)'!$D$5:$AL$5,MATCH(N$7,'Inputs (2)'!$D$2:$AL$2,0))</f>
        <v>-2575.87501273988</v>
      </c>
      <c r="O60" s="25">
        <f>INDEX('Inputs (2)'!$D$5:$AL$5,MATCH(O$7,'Inputs (2)'!$D$2:$AL$2,0))</f>
        <v>-3171.52835840618</v>
      </c>
      <c r="P60" s="25">
        <f>INDEX('Inputs (2)'!$D$5:$AL$5,MATCH(P$7,'Inputs (2)'!$D$2:$AL$2,0))</f>
        <v>-4240.2653654841</v>
      </c>
      <c r="Q60" s="25">
        <f>INDEX('Inputs (2)'!$D$5:$AL$5,MATCH(Q$7,'Inputs (2)'!$D$2:$AL$2,0))</f>
        <v>-4616.76361825563</v>
      </c>
      <c r="R60" s="3">
        <f>SUM(N60:Q60)</f>
        <v>-14604.4323548858</v>
      </c>
      <c r="S60" s="25">
        <f>INDEX('Inputs (2)'!$D$5:$AL$5,MATCH(S$7,'Inputs (2)'!$D$2:$AL$2,0))</f>
        <v>-4659.76786414784</v>
      </c>
      <c r="T60" s="25">
        <f>INDEX('Inputs (2)'!$D$5:$AL$5,MATCH(T$7,'Inputs (2)'!$D$2:$AL$2,0))</f>
        <v>-4733.96298158517</v>
      </c>
      <c r="U60" s="25">
        <f>INDEX('Inputs (2)'!$D$5:$AL$5,MATCH(U$7,'Inputs (2)'!$D$2:$AL$2,0))</f>
        <v>-5378.47194847179</v>
      </c>
      <c r="V60" s="25">
        <f>INDEX('Inputs (2)'!$D$5:$AL$5,MATCH(V$7,'Inputs (2)'!$D$2:$AL$2,0))</f>
        <v>-5823.60457520679</v>
      </c>
      <c r="W60" s="3">
        <f>SUM(S60:V60)</f>
        <v>-20595.8073694116</v>
      </c>
      <c r="X60" s="25">
        <f>INDEX('Inputs (2)'!$D$5:$AL$5,MATCH(X$7,'Inputs (2)'!$D$2:$AL$2,0))</f>
        <v>-5801.02220757</v>
      </c>
      <c r="Y60" s="25">
        <f>INDEX('Inputs (2)'!$D$5:$AL$5,MATCH(Y$7,'Inputs (2)'!$D$2:$AL$2,0))</f>
        <v>-6751.49355524</v>
      </c>
      <c r="Z60" s="25">
        <f>INDEX('Inputs (2)'!$D$5:$AL$5,MATCH(Z$7,'Inputs (2)'!$D$2:$AL$2,0))</f>
        <v>-7094.01065115</v>
      </c>
      <c r="AA60" s="25">
        <f>INDEX('Inputs (2)'!$D$5:$AL$5,MATCH(AA$7,'Inputs (2)'!$D$2:$AL$2,0))</f>
        <v>-6972.99469569</v>
      </c>
      <c r="AB60" s="3">
        <f>SUM(X60:AA60)</f>
        <v>-26619.52110965</v>
      </c>
      <c r="AC60" s="25">
        <f>INDEX('Inputs (2)'!$D$5:$AL$5,MATCH(AC$7,'Inputs (2)'!$D$2:$AL$2,0))</f>
        <v>-6497.62922759</v>
      </c>
      <c r="AD60" s="25">
        <f>INDEX('Inputs (2)'!$D$5:$AL$5,MATCH(AD$7,'Inputs (2)'!$D$2:$AL$2,0))</f>
        <v>-6445.09281348</v>
      </c>
      <c r="AE60" s="25">
        <f>INDEX('Inputs (2)'!$D$5:$AL$5,MATCH(AE$7,'Inputs (2)'!$D$2:$AL$2,0))</f>
        <v>-7040.52444631</v>
      </c>
      <c r="AF60" s="25">
        <f>INDEX('Inputs (2)'!$D$5:$AL$5,MATCH(AF$7,'Inputs (2)'!$D$2:$AL$2,0))</f>
        <v>-6969.47234352001</v>
      </c>
      <c r="AG60" s="3">
        <f>SUM(AC60:AF60)</f>
        <v>-26952.7188309</v>
      </c>
      <c r="AH60" s="3">
        <f>INDEX('Inputs (2)'!$D$5:$AL$5,MATCH(AH$7,'Inputs (2)'!$D$2:$AL$2,0))</f>
        <v>-6737.00588267</v>
      </c>
      <c r="AI60" s="3">
        <f>INDEX('Inputs (2)'!$D$5:$AL$5,MATCH(AI$7,'Inputs (2)'!$D$2:$AL$2,0))</f>
        <v>-6813.79230310001</v>
      </c>
      <c r="AJ60" s="3">
        <f>(100%-AJ61)*-AJ15</f>
        <v>-11100.93342807</v>
      </c>
      <c r="AK60" s="3">
        <f>(100%-AK61)*-AK15</f>
        <v>-11119.49197747</v>
      </c>
      <c r="AL60" s="3">
        <f>SUM(AH60:AK60)</f>
        <v>-35771.22359131</v>
      </c>
      <c r="AM60" s="3">
        <f>(100%-AM61)*-AM15</f>
        <v>-10924.2982817</v>
      </c>
      <c r="AN60" s="3">
        <f>(100%-AN61)*-AN15</f>
        <v>-11248.66185844</v>
      </c>
      <c r="AO60" s="3">
        <f>(100%-AO61)*-AO15</f>
        <v>-11100.93342807</v>
      </c>
      <c r="AP60" s="3">
        <f>(100%-AP61)*-AP15</f>
        <v>-11119.49197747</v>
      </c>
      <c r="AQ60" s="3">
        <f>SUM(AM60:AP60)</f>
        <v>-44393.38554568</v>
      </c>
      <c r="AR60" s="3">
        <f>(100%-AR61)*-AR15</f>
        <v>-10924.2982817</v>
      </c>
      <c r="AS60" s="3">
        <f>(100%-AS61)*-AS15</f>
        <v>-11248.66185844</v>
      </c>
      <c r="AT60" s="3">
        <f>(100%-AT61)*-AT15</f>
        <v>-11100.93342807</v>
      </c>
      <c r="AU60" s="3">
        <f>(100%-AU61)*-AU15</f>
        <v>-11119.49197747</v>
      </c>
      <c r="AV60" s="3">
        <f>SUM(AR60:AU60)</f>
        <v>-44393.38554568</v>
      </c>
      <c r="AW60" s="3">
        <f>(100%-AW61)*-AW15</f>
        <v>-10924.2982817</v>
      </c>
      <c r="AX60" s="3">
        <f>(100%-AX61)*-AX15</f>
        <v>-11248.66185844</v>
      </c>
      <c r="AY60" s="3">
        <f>(100%-AY61)*-AY15</f>
        <v>-11100.93342807</v>
      </c>
      <c r="AZ60" s="3">
        <f>(100%-AZ61)*-AZ15</f>
        <v>-11119.49197747</v>
      </c>
      <c r="BA60" s="3">
        <f>SUM(AW60:AZ60)</f>
        <v>-44393.38554568</v>
      </c>
      <c r="BB60" s="3">
        <f>(100%-BB61)*-BB15</f>
        <v>-10924.2982817</v>
      </c>
      <c r="BC60" s="3">
        <f>(100%-BC61)*-BC15</f>
        <v>-11248.66185844</v>
      </c>
      <c r="BD60" s="3">
        <f>(100%-BD61)*-BD15</f>
        <v>-11100.93342807</v>
      </c>
      <c r="BE60" s="3">
        <f>(100%-BE61)*-BE15</f>
        <v>-11119.49197747</v>
      </c>
      <c r="BF60" s="3">
        <f>SUM(BB60:BE60)</f>
        <v>-44393.38554568</v>
      </c>
      <c r="BG60" s="3">
        <f>(100%-BG61)*-BG15</f>
        <v>-10924.2982817</v>
      </c>
      <c r="BH60" s="3">
        <f>(100%-BH61)*-BH15</f>
        <v>-11248.66185844</v>
      </c>
      <c r="BI60" s="3">
        <f>(100%-BI61)*-BI15</f>
        <v>-11100.93342807</v>
      </c>
      <c r="BJ60" s="3">
        <f>(100%-BJ61)*-BJ15</f>
        <v>-11119.49197747</v>
      </c>
      <c r="BK60" s="3">
        <f>SUM(BG60:BJ60)</f>
        <v>-44393.38554568</v>
      </c>
      <c r="BL60" s="3">
        <f>(100%-BL61)*-BL15</f>
        <v>-10924.2982817</v>
      </c>
      <c r="BM60" s="3">
        <f>(100%-BM61)*-BM15</f>
        <v>-11248.66185844</v>
      </c>
      <c r="BN60" s="3">
        <f>(100%-BN61)*-BN15</f>
        <v>-11100.93342807</v>
      </c>
      <c r="BO60" s="3">
        <f>(100%-BO61)*-BO15</f>
        <v>-11119.49197747</v>
      </c>
      <c r="BP60" s="3">
        <f>SUM(BL60:BO60)</f>
        <v>-44393.38554568</v>
      </c>
      <c r="BQ60" s="3">
        <f>(100%-BQ61)*-BQ15</f>
        <v>-10924.2982817</v>
      </c>
      <c r="BR60" s="3">
        <f>(100%-BR61)*-BR15</f>
        <v>-11248.66185844</v>
      </c>
      <c r="BS60" s="3">
        <f>(100%-BS61)*-BS15</f>
        <v>-11100.93342807</v>
      </c>
      <c r="BT60" s="3">
        <f>(100%-BT61)*-BT15</f>
        <v>-11119.49197747</v>
      </c>
      <c r="BU60" s="3">
        <f>SUM(BQ60:BT60)</f>
        <v>-44393.38554568</v>
      </c>
      <c r="BV60" s="3">
        <f>(100%-BV61)*-BV15</f>
        <v>-10924.2982817</v>
      </c>
      <c r="BW60" s="3">
        <f>(100%-BW61)*-BW15</f>
        <v>-11248.66185844</v>
      </c>
      <c r="BX60" s="3">
        <f>(100%-BX61)*-BX15</f>
        <v>-11100.93342807</v>
      </c>
      <c r="BY60" s="3">
        <f>(100%-BY61)*-BY15</f>
        <v>-11119.49197747</v>
      </c>
      <c r="BZ60" s="3">
        <f>SUM(BV60:BY60)</f>
        <v>-44393.38554568</v>
      </c>
      <c r="CA60" s="3">
        <f>(100%-CA61)*-CA15</f>
        <v>-10924.2982817</v>
      </c>
      <c r="CB60" s="3">
        <f>(100%-CB61)*-CB15</f>
        <v>-11248.66185844</v>
      </c>
      <c r="CC60" s="3">
        <f>(100%-CC61)*-CC15</f>
        <v>-11100.93342807</v>
      </c>
      <c r="CD60" s="3">
        <f>(100%-CD61)*-CD15</f>
        <v>-11119.49197747</v>
      </c>
      <c r="CE60" s="3">
        <f>SUM(CA60:CD60)</f>
        <v>-44393.38554568</v>
      </c>
      <c r="CF60" s="3">
        <f>(100%-CF61)*-CF15</f>
        <v>-10924.2982817</v>
      </c>
      <c r="CG60" s="3">
        <f>(100%-CG61)*-CG15</f>
        <v>-11248.66185844</v>
      </c>
      <c r="CH60" s="3">
        <f>(100%-CH61)*-CH15</f>
        <v>-11100.93342807</v>
      </c>
      <c r="CI60" s="3">
        <f>(100%-CI61)*-CI15</f>
        <v>-11119.49197747</v>
      </c>
      <c r="CJ60" s="3">
        <f>SUM(CF60:CI60)</f>
        <v>-44393.38554568</v>
      </c>
      <c r="CK60" s="3">
        <f>(100%-CK61)*-CK15</f>
        <v>-10924.2982817</v>
      </c>
      <c r="CL60" s="3">
        <f>(100%-CL61)*-CL15</f>
        <v>-11248.66185844</v>
      </c>
      <c r="CM60" s="3">
        <f>(100%-CM61)*-CM15</f>
        <v>-11100.93342807</v>
      </c>
      <c r="CN60" s="3">
        <f>(100%-CN61)*-CN15</f>
        <v>-11119.49197747</v>
      </c>
      <c r="CO60" s="3">
        <f>SUM(CK60:CN60)</f>
        <v>-44393.38554568</v>
      </c>
      <c r="CP60" s="3">
        <f>(100%-CP61)*-CP15</f>
        <v>-10924.2982817</v>
      </c>
      <c r="CQ60" s="3">
        <f>(100%-CQ61)*-CQ15</f>
        <v>-11248.66185844</v>
      </c>
      <c r="CR60" s="3">
        <f>(100%-CR61)*-CR15</f>
        <v>-11100.93342807</v>
      </c>
      <c r="CS60" s="3">
        <f>(100%-CS61)*-CS15</f>
        <v>-11119.49197747</v>
      </c>
      <c r="CT60" s="3">
        <f>SUM(CP60:CS60)</f>
        <v>-44393.38554568</v>
      </c>
      <c r="CU60" s="3">
        <f>(100%-CU61)*-CU15</f>
        <v>-10924.2982817</v>
      </c>
      <c r="CV60" s="3">
        <f>(100%-CV61)*-CV15</f>
        <v>-11248.66185844</v>
      </c>
      <c r="CW60" s="3">
        <f>(100%-CW61)*-CW15</f>
        <v>-11100.93342807</v>
      </c>
      <c r="CX60" s="3">
        <f>(100%-CX61)*-CX15</f>
        <v>-11119.49197747</v>
      </c>
      <c r="CY60" s="3">
        <f>SUM(CU60:CX60)</f>
        <v>-44393.38554568</v>
      </c>
    </row>
    <row r="61" hidden="1" outlineLevel="1" customFormat="1" s="1">
      <c r="C61" s="57" t="inlineStr">
        <is>
          <t>% Gross Margin</t>
        </is>
      </c>
      <c r="D61" s="54">
        <f>(D15+D60)/D$15</f>
        <v>0.41875767556515</v>
      </c>
      <c r="E61" s="54">
        <f>(E15+E60)/E$15</f>
        <v>0.302855655554022</v>
      </c>
      <c r="F61" s="54">
        <f>(F15+F60)/F$15</f>
        <v>0.319026693879369</v>
      </c>
      <c r="G61" s="54">
        <f>(G15+G60)/G$15</f>
        <v>0.299794380536003</v>
      </c>
      <c r="H61" s="54">
        <f>(H15+H60)/H$15</f>
        <v>0.334174985981014</v>
      </c>
      <c r="I61" s="54">
        <f>(I15+I60)/I$15</f>
        <v>0.398736264639763</v>
      </c>
      <c r="J61" s="54">
        <f>(J15+J60)/J$15</f>
        <v>0.38684325614945</v>
      </c>
      <c r="K61" s="54">
        <f>(K15+K60)/K$15</f>
        <v>0.38890878140876</v>
      </c>
      <c r="L61" s="54">
        <f>(L15+L60)/L$15</f>
        <v>0.420580315536031</v>
      </c>
      <c r="M61" s="54">
        <f>(M15+M60)/M$15</f>
        <v>0.399749924809521</v>
      </c>
      <c r="N61" s="54">
        <f>(N15+N60)/N$15</f>
        <v>0.431398898216575</v>
      </c>
      <c r="O61" s="54">
        <f>(O15+O60)/O$15</f>
        <v>0.41127870672147</v>
      </c>
      <c r="P61" s="54">
        <f>(P15+P60)/P$15</f>
        <v>0.378565503376984</v>
      </c>
      <c r="Q61" s="54">
        <f>(Q15+Q60)/Q$15</f>
        <v>0.371114770388603</v>
      </c>
      <c r="R61" s="54">
        <f>(R15+R60)/R$15</f>
        <v>0.393551015257176</v>
      </c>
      <c r="S61" s="54">
        <f>(S15+S60)/S$15</f>
        <v>0.373690803963592</v>
      </c>
      <c r="T61" s="54">
        <f>(T15+T60)/T$15</f>
        <v>0.37411545588743</v>
      </c>
      <c r="U61" s="54">
        <f>(U15+U60)/U$15</f>
        <v>0.353402083517806</v>
      </c>
      <c r="V61" s="54">
        <f>(V15+V60)/V$15</f>
        <v>0.316624636321192</v>
      </c>
      <c r="W61" s="54">
        <f>(W15+W60)/W$15</f>
        <v>0.353220145923404</v>
      </c>
      <c r="X61" s="54">
        <f>(X15+X60)/X$15</f>
        <v>0.360176417596447</v>
      </c>
      <c r="Y61" s="54">
        <f>(Y15+Y60)/Y$15</f>
        <v>0.339848635782006</v>
      </c>
      <c r="Z61" s="54">
        <f>(Z15+Z60)/Z$15</f>
        <v>0.342568293465744</v>
      </c>
      <c r="AA61" s="54">
        <f>(AA15+AA60)/AA$15</f>
        <v>0.345492782061516</v>
      </c>
      <c r="AB61" s="54">
        <f>(AB15+AB60)/AB$15</f>
        <v>0.34656917463986</v>
      </c>
      <c r="AC61" s="54">
        <f>(AC15+AC60)/AC$15</f>
        <v>0.365752955191327</v>
      </c>
      <c r="AD61" s="54">
        <f>(AD15+AD60)/AD$15</f>
        <v>0.376730862116777</v>
      </c>
      <c r="AE61" s="54">
        <f>(AE15+AE60)/AE$15</f>
        <v>0.365771852256387</v>
      </c>
      <c r="AF61" s="44">
        <f>(AF15+AF60)/AF$15</f>
        <v>0.373220255238157</v>
      </c>
      <c r="AG61" s="54">
        <f>(AG15+AG60)/AG$15</f>
        <v>0.370349583058035</v>
      </c>
      <c r="AH61" s="55">
        <f>(AH15+AH60)/AH$15</f>
        <v>0.383300811736751</v>
      </c>
      <c r="AI61" s="55">
        <f>(AI15+AI60)/AI$15</f>
        <v>0.394257522463658</v>
      </c>
      <c r="AJ61" s="55" t="n"/>
      <c r="AK61" s="55" t="n"/>
      <c r="AL61" s="54">
        <f>(AL15+AL60)/AL$15</f>
        <v>0.194221770842369</v>
      </c>
      <c r="AM61" s="55" t="n"/>
      <c r="AN61" s="55" t="n"/>
      <c r="AO61" s="55" t="n"/>
      <c r="AP61" s="55" t="n"/>
      <c r="AQ61" s="54">
        <f>(AQ15+AQ60)/AQ$15</f>
        <v>0</v>
      </c>
      <c r="AR61" s="55" t="n"/>
      <c r="AS61" s="55" t="n"/>
      <c r="AT61" s="55" t="n"/>
      <c r="AU61" s="55" t="n"/>
      <c r="AV61" s="54">
        <f>(AV15+AV60)/AV$15</f>
        <v>0</v>
      </c>
      <c r="AW61" s="55" t="n"/>
      <c r="AX61" s="55" t="n"/>
      <c r="AY61" s="55" t="n"/>
      <c r="AZ61" s="55" t="n"/>
      <c r="BA61" s="54">
        <f>(BA15+BA60)/BA$15</f>
        <v>0</v>
      </c>
      <c r="BB61" s="55" t="n"/>
      <c r="BC61" s="55" t="n"/>
      <c r="BD61" s="55" t="n"/>
      <c r="BE61" s="55" t="n"/>
      <c r="BF61" s="54">
        <f>(BF15+BF60)/BF$15</f>
        <v>0</v>
      </c>
      <c r="BG61" s="55" t="n"/>
      <c r="BH61" s="55" t="n"/>
      <c r="BI61" s="55" t="n"/>
      <c r="BJ61" s="55" t="n"/>
      <c r="BK61" s="54">
        <f>(BK15+BK60)/BK$15</f>
        <v>0</v>
      </c>
      <c r="BL61" s="55" t="n"/>
      <c r="BM61" s="55" t="n"/>
      <c r="BN61" s="55" t="n"/>
      <c r="BO61" s="55" t="n"/>
      <c r="BP61" s="54">
        <f>(BP15+BP60)/BP$15</f>
        <v>0</v>
      </c>
      <c r="BQ61" s="55" t="n"/>
      <c r="BR61" s="55" t="n"/>
      <c r="BS61" s="55" t="n"/>
      <c r="BT61" s="55" t="n"/>
      <c r="BU61" s="54">
        <f>(BU15+BU60)/BU$15</f>
        <v>0</v>
      </c>
      <c r="BV61" s="55" t="n"/>
      <c r="BW61" s="55" t="n"/>
      <c r="BX61" s="55" t="n"/>
      <c r="BY61" s="55" t="n"/>
      <c r="BZ61" s="54">
        <f>(BZ15+BZ60)/BZ$15</f>
        <v>0</v>
      </c>
      <c r="CA61" s="55" t="n"/>
      <c r="CB61" s="55" t="n"/>
      <c r="CC61" s="55" t="n"/>
      <c r="CD61" s="55" t="n"/>
      <c r="CE61" s="54">
        <f>(CE15+CE60)/CE$15</f>
        <v>0</v>
      </c>
      <c r="CF61" s="55" t="n"/>
      <c r="CG61" s="55" t="n"/>
      <c r="CH61" s="55" t="n"/>
      <c r="CI61" s="55" t="n"/>
      <c r="CJ61" s="54">
        <f>(CJ15+CJ60)/CJ$15</f>
        <v>0</v>
      </c>
      <c r="CK61" s="55" t="n"/>
      <c r="CL61" s="55" t="n"/>
      <c r="CM61" s="55" t="n"/>
      <c r="CN61" s="55" t="n"/>
      <c r="CO61" s="54">
        <f>(CO15+CO60)/CO$15</f>
        <v>0</v>
      </c>
      <c r="CP61" s="55" t="n"/>
      <c r="CQ61" s="55" t="n"/>
      <c r="CR61" s="55" t="n"/>
      <c r="CS61" s="55" t="n"/>
      <c r="CT61" s="54">
        <f>(CT15+CT60)/CT$15</f>
        <v>0</v>
      </c>
      <c r="CU61" s="55" t="n"/>
      <c r="CV61" s="55" t="n"/>
      <c r="CW61" s="55" t="n"/>
      <c r="CX61" s="55" t="n"/>
      <c r="CY61" s="54">
        <f>(CY15+CY60)/CY$15</f>
        <v>0</v>
      </c>
    </row>
    <row r="62" hidden="1" outlineLevel="1"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  <c r="Y62" s="32" t="n"/>
      <c r="Z62" s="32" t="n"/>
      <c r="AA62" s="32" t="n"/>
      <c r="AB62" s="32" t="n"/>
      <c r="AC62" s="32" t="n"/>
      <c r="AD62" s="32" t="n"/>
      <c r="AE62" s="32" t="n"/>
      <c r="AF62" s="32" t="n"/>
      <c r="AG62" s="32" t="n"/>
      <c r="AH62" s="32" t="n"/>
      <c r="AI62" s="32" t="n"/>
      <c r="AJ62" s="32" t="n"/>
      <c r="AK62" s="32" t="n"/>
      <c r="AL62" s="32" t="n"/>
      <c r="AM62" s="32" t="n"/>
      <c r="AN62" s="32" t="n"/>
      <c r="AO62" s="32" t="n"/>
      <c r="AP62" s="32" t="n"/>
      <c r="AQ62" s="32" t="n"/>
      <c r="AR62" s="32" t="n"/>
      <c r="AS62" s="32" t="n"/>
      <c r="AT62" s="32" t="n"/>
      <c r="AU62" s="32" t="n"/>
      <c r="AV62" s="32" t="n"/>
      <c r="AW62" s="32" t="n"/>
      <c r="AX62" s="32" t="n"/>
      <c r="AY62" s="32" t="n"/>
      <c r="AZ62" s="32" t="n"/>
      <c r="BA62" s="32" t="n"/>
      <c r="BB62" s="32" t="n"/>
      <c r="BC62" s="32" t="n"/>
      <c r="BD62" s="32" t="n"/>
      <c r="BE62" s="32" t="n"/>
      <c r="BF62" s="32" t="n"/>
      <c r="BG62" s="32" t="n"/>
      <c r="BH62" s="32" t="n"/>
      <c r="BI62" s="32" t="n"/>
      <c r="BJ62" s="32" t="n"/>
      <c r="BK62" s="32" t="n"/>
      <c r="BL62" s="32" t="n"/>
      <c r="BM62" s="32" t="n"/>
      <c r="BN62" s="32" t="n"/>
      <c r="BO62" s="32" t="n"/>
      <c r="BP62" s="32" t="n"/>
      <c r="BQ62" s="32" t="n"/>
      <c r="BR62" s="32" t="n"/>
      <c r="BS62" s="32" t="n"/>
      <c r="BT62" s="32" t="n"/>
      <c r="BU62" s="32" t="n"/>
      <c r="BV62" s="32" t="n"/>
      <c r="BW62" s="32" t="n"/>
      <c r="BX62" s="32" t="n"/>
      <c r="BY62" s="32" t="n"/>
      <c r="BZ62" s="32" t="n"/>
      <c r="CA62" s="32" t="n"/>
      <c r="CB62" s="32" t="n"/>
      <c r="CC62" s="32" t="n"/>
      <c r="CD62" s="32" t="n"/>
      <c r="CE62" s="32" t="n"/>
      <c r="CF62" s="32" t="n"/>
      <c r="CG62" s="32" t="n"/>
      <c r="CH62" s="32" t="n"/>
      <c r="CI62" s="32" t="n"/>
      <c r="CJ62" s="32" t="n"/>
      <c r="CK62" s="32" t="n"/>
      <c r="CL62" s="32" t="n"/>
      <c r="CM62" s="32" t="n"/>
      <c r="CN62" s="32" t="n"/>
      <c r="CO62" s="32" t="n"/>
      <c r="CP62" s="32" t="n"/>
      <c r="CQ62" s="32" t="n"/>
      <c r="CR62" s="32" t="n"/>
      <c r="CS62" s="32" t="n"/>
      <c r="CT62" s="32" t="n"/>
      <c r="CU62" s="32" t="n"/>
      <c r="CV62" s="32" t="n"/>
      <c r="CW62" s="32" t="n"/>
      <c r="CX62" s="32" t="n"/>
      <c r="CY62" s="32" t="n"/>
    </row>
    <row r="63" hidden="1" outlineLevel="1"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  <c r="X63" s="32" t="n"/>
      <c r="Y63" s="32" t="n"/>
      <c r="Z63" s="32" t="n"/>
      <c r="AA63" s="32" t="n"/>
      <c r="AB63" s="32" t="n"/>
      <c r="AC63" s="32" t="n"/>
      <c r="AD63" s="32" t="n"/>
      <c r="AE63" s="32" t="n"/>
      <c r="AF63" s="32" t="n"/>
      <c r="AG63" s="32" t="n"/>
      <c r="AH63" s="32" t="n"/>
      <c r="AI63" s="32" t="n"/>
      <c r="AJ63" s="32" t="n"/>
      <c r="AK63" s="32" t="n"/>
      <c r="AL63" s="32" t="n"/>
      <c r="AM63" s="32" t="n"/>
      <c r="AN63" s="32" t="n"/>
      <c r="AO63" s="32" t="n"/>
      <c r="AP63" s="32" t="n"/>
      <c r="AQ63" s="32" t="n"/>
      <c r="AR63" s="32" t="n"/>
      <c r="AS63" s="32" t="n"/>
      <c r="AT63" s="32" t="n"/>
      <c r="AU63" s="32" t="n"/>
      <c r="AV63" s="32" t="n"/>
      <c r="AW63" s="32" t="n"/>
      <c r="AX63" s="32" t="n"/>
      <c r="AY63" s="32" t="n"/>
      <c r="AZ63" s="32" t="n"/>
      <c r="BA63" s="32" t="n"/>
      <c r="BB63" s="32" t="n"/>
      <c r="BC63" s="32" t="n"/>
      <c r="BD63" s="32" t="n"/>
      <c r="BE63" s="32" t="n"/>
      <c r="BF63" s="32" t="n"/>
      <c r="BG63" s="32" t="n"/>
      <c r="BH63" s="32" t="n"/>
      <c r="BI63" s="32" t="n"/>
      <c r="BJ63" s="32" t="n"/>
      <c r="BK63" s="32" t="n"/>
      <c r="BL63" s="32" t="n"/>
      <c r="BM63" s="32" t="n"/>
      <c r="BN63" s="32" t="n"/>
      <c r="BO63" s="32" t="n"/>
      <c r="BP63" s="32" t="n"/>
      <c r="BQ63" s="32" t="n"/>
      <c r="BR63" s="32" t="n"/>
      <c r="BS63" s="32" t="n"/>
      <c r="BT63" s="32" t="n"/>
      <c r="BU63" s="32" t="n"/>
      <c r="BV63" s="32" t="n"/>
      <c r="BW63" s="32" t="n"/>
      <c r="BX63" s="32" t="n"/>
      <c r="BY63" s="32" t="n"/>
      <c r="BZ63" s="32" t="n"/>
      <c r="CA63" s="32" t="n"/>
      <c r="CB63" s="32" t="n"/>
      <c r="CC63" s="32" t="n"/>
      <c r="CD63" s="32" t="n"/>
      <c r="CE63" s="32" t="n"/>
      <c r="CF63" s="32" t="n"/>
      <c r="CG63" s="32" t="n"/>
      <c r="CH63" s="32" t="n"/>
      <c r="CI63" s="32" t="n"/>
      <c r="CJ63" s="32" t="n"/>
      <c r="CK63" s="32" t="n"/>
      <c r="CL63" s="32" t="n"/>
      <c r="CM63" s="32" t="n"/>
      <c r="CN63" s="32" t="n"/>
      <c r="CO63" s="32" t="n"/>
      <c r="CP63" s="32" t="n"/>
      <c r="CQ63" s="32" t="n"/>
      <c r="CR63" s="32" t="n"/>
      <c r="CS63" s="32" t="n"/>
      <c r="CT63" s="32" t="n"/>
      <c r="CU63" s="32" t="n"/>
      <c r="CV63" s="32" t="n"/>
      <c r="CW63" s="32" t="n"/>
      <c r="CX63" s="32" t="n"/>
      <c r="CY63" s="32" t="n"/>
    </row>
    <row r="64" collapsed="1">
      <c r="C64" s="24" t="inlineStr">
        <is>
          <t>SG&amp;A and Other (cash)</t>
        </is>
      </c>
      <c r="D64" s="25">
        <f>INDEX('Inputs (2)'!$D$6:$AL$6,MATCH(D$7,'Inputs (2)'!$D$2:$AL$2,0))</f>
        <v>-425.28034283</v>
      </c>
      <c r="E64" s="25">
        <f>INDEX('Inputs (2)'!$D$6:$AL$6,MATCH(E$7,'Inputs (2)'!$D$2:$AL$2,0))</f>
        <v>-195.00783415</v>
      </c>
      <c r="F64" s="25">
        <f>INDEX('Inputs (2)'!$D$6:$AL$6,MATCH(F$7,'Inputs (2)'!$D$2:$AL$2,0))</f>
        <v>-242.9289274</v>
      </c>
      <c r="G64" s="25">
        <f>INDEX('Inputs (2)'!$D$6:$AL$6,MATCH(G$7,'Inputs (2)'!$D$2:$AL$2,0))</f>
        <v>-94.4410838499999</v>
      </c>
      <c r="H64" s="3">
        <f>SUM(D64:G64)</f>
        <v>-957.65818823</v>
      </c>
      <c r="I64" s="25">
        <f>INDEX('Inputs (2)'!$D$6:$AL$6,MATCH(I$7,'Inputs (2)'!$D$2:$AL$2,0))</f>
        <v>-311.027123998304</v>
      </c>
      <c r="J64" s="25">
        <f>INDEX('Inputs (2)'!$D$6:$AL$6,MATCH(J$7,'Inputs (2)'!$D$2:$AL$2,0))</f>
        <v>-253.18520715</v>
      </c>
      <c r="K64" s="25">
        <f>INDEX('Inputs (2)'!$D$6:$AL$6,MATCH(K$7,'Inputs (2)'!$D$2:$AL$2,0))</f>
        <v>-373.888740703926</v>
      </c>
      <c r="L64" s="25">
        <f>INDEX('Inputs (2)'!$D$6:$AL$6,MATCH(L$7,'Inputs (2)'!$D$2:$AL$2,0))</f>
        <v>-415.252928147769</v>
      </c>
      <c r="M64" s="3">
        <f>SUM(I64:L64)</f>
        <v>-1353.354</v>
      </c>
      <c r="N64" s="25">
        <f>INDEX('Inputs (2)'!$D$6:$AL$6,MATCH(N$7,'Inputs (2)'!$D$2:$AL$2,0))</f>
        <v>-441.278</v>
      </c>
      <c r="O64" s="25">
        <f>INDEX('Inputs (2)'!$D$6:$AL$6,MATCH(O$7,'Inputs (2)'!$D$2:$AL$2,0))</f>
        <v>-512.662</v>
      </c>
      <c r="P64" s="25">
        <f>INDEX('Inputs (2)'!$D$6:$AL$6,MATCH(P$7,'Inputs (2)'!$D$2:$AL$2,0))</f>
        <v>-645.013799541121</v>
      </c>
      <c r="Q64" s="25">
        <f>INDEX('Inputs (2)'!$D$6:$AL$6,MATCH(Q$7,'Inputs (2)'!$D$2:$AL$2,0))</f>
        <v>-875.400687025248</v>
      </c>
      <c r="R64" s="3">
        <f>SUM(N64:Q64)</f>
        <v>-2474.35448656637</v>
      </c>
      <c r="S64" s="25">
        <f>INDEX('Inputs (2)'!$D$6:$AL$6,MATCH(S$7,'Inputs (2)'!$D$2:$AL$2,0))</f>
        <v>-816.411443457576</v>
      </c>
      <c r="T64" s="25">
        <f>INDEX('Inputs (2)'!$D$6:$AL$6,MATCH(T$7,'Inputs (2)'!$D$2:$AL$2,0))</f>
        <v>-562.180071512905</v>
      </c>
      <c r="U64" s="25">
        <f>INDEX('Inputs (2)'!$D$6:$AL$6,MATCH(U$7,'Inputs (2)'!$D$2:$AL$2,0))</f>
        <v>-854.692587925405</v>
      </c>
      <c r="V64" s="25">
        <f>INDEX('Inputs (2)'!$D$6:$AL$6,MATCH(V$7,'Inputs (2)'!$D$2:$AL$2,0))</f>
        <v>-1045.89846326158</v>
      </c>
      <c r="W64" s="3">
        <f>SUM(S64:V64)</f>
        <v>-3279.18256615747</v>
      </c>
      <c r="X64" s="25">
        <f>INDEX('Inputs (2)'!$D$6:$AL$6,MATCH(X$7,'Inputs (2)'!$D$2:$AL$2,0))</f>
        <v>-904.42900876</v>
      </c>
      <c r="Y64" s="25">
        <f>INDEX('Inputs (2)'!$D$6:$AL$6,MATCH(Y$7,'Inputs (2)'!$D$2:$AL$2,0))</f>
        <v>-878.68710389</v>
      </c>
      <c r="Z64" s="25">
        <f>INDEX('Inputs (2)'!$D$6:$AL$6,MATCH(Z$7,'Inputs (2)'!$D$2:$AL$2,0))</f>
        <v>-997.19909168</v>
      </c>
      <c r="AA64" s="25">
        <f>INDEX('Inputs (2)'!$D$6:$AL$6,MATCH(AA$7,'Inputs (2)'!$D$2:$AL$2,0))</f>
        <v>-1065.87079567</v>
      </c>
      <c r="AB64" s="3">
        <f>SUM(X64:AA64)</f>
        <v>-3846.186</v>
      </c>
      <c r="AC64" s="25">
        <f>INDEX('Inputs (2)'!$D$6:$AL$6,MATCH(AC$7,'Inputs (2)'!$D$2:$AL$2,0))</f>
        <v>-944.98508415</v>
      </c>
      <c r="AD64" s="25">
        <f>INDEX('Inputs (2)'!$D$6:$AL$6,MATCH(AD$7,'Inputs (2)'!$D$2:$AL$2,0))</f>
        <v>-973.05747003</v>
      </c>
      <c r="AE64" s="25">
        <f>INDEX('Inputs (2)'!$D$6:$AL$6,MATCH(AE$7,'Inputs (2)'!$D$2:$AL$2,0))</f>
        <v>-1153.53826563</v>
      </c>
      <c r="AF64" s="25">
        <f>INDEX('Inputs (2)'!$D$6:$AL$6,MATCH(AF$7,'Inputs (2)'!$D$2:$AL$2,0))</f>
        <v>-83.9614846699999</v>
      </c>
      <c r="AG64" s="3">
        <f>SUM(AC64:AF64)</f>
        <v>-3155.54230448</v>
      </c>
      <c r="AH64" s="3">
        <f>INDEX('Inputs (2)'!$D$6:$AL$6,MATCH(AH$7,'Inputs (2)'!$D$2:$AL$2,0))</f>
        <v>-1175.05327747</v>
      </c>
      <c r="AI64" s="3">
        <f>INDEX('Inputs (2)'!$D$6:$AL$6,MATCH(AI$7,'Inputs (2)'!$D$2:$AL$2,0))</f>
        <v>-1082.98686087</v>
      </c>
      <c r="AJ64" s="3">
        <f>-AJ15*AJ65</f>
        <v>0</v>
      </c>
      <c r="AK64" s="3">
        <f>-AK15*AK65</f>
        <v>0</v>
      </c>
      <c r="AL64" s="3">
        <f>SUM(AH64:AK64)</f>
        <v>-2258.04013834</v>
      </c>
      <c r="AM64" s="3">
        <f>-AM15*AM65</f>
        <v>0</v>
      </c>
      <c r="AN64" s="3">
        <f>-AN15*AN65</f>
        <v>0</v>
      </c>
      <c r="AO64" s="3">
        <f>-AO15*AO65</f>
        <v>0</v>
      </c>
      <c r="AP64" s="3">
        <f>-AP15*AP65</f>
        <v>0</v>
      </c>
      <c r="AQ64" s="3">
        <f>SUM(AM64:AP64)</f>
        <v>0</v>
      </c>
      <c r="AR64" s="3">
        <f>-AR15*AR65</f>
        <v>0</v>
      </c>
      <c r="AS64" s="3">
        <f>-AS15*AS65</f>
        <v>0</v>
      </c>
      <c r="AT64" s="3">
        <f>-AT15*AT65</f>
        <v>0</v>
      </c>
      <c r="AU64" s="3">
        <f>-AU15*AU65</f>
        <v>0</v>
      </c>
      <c r="AV64" s="3">
        <f>SUM(AR64:AU64)</f>
        <v>0</v>
      </c>
      <c r="AW64" s="3">
        <f>-AW15*AW65</f>
        <v>0</v>
      </c>
      <c r="AX64" s="3">
        <f>-AX15*AX65</f>
        <v>0</v>
      </c>
      <c r="AY64" s="3">
        <f>-AY15*AY65</f>
        <v>0</v>
      </c>
      <c r="AZ64" s="3">
        <f>-AZ15*AZ65</f>
        <v>0</v>
      </c>
      <c r="BA64" s="3">
        <f>SUM(AW64:AZ64)</f>
        <v>0</v>
      </c>
      <c r="BB64" s="3">
        <f>-BB15*BB65</f>
        <v>0</v>
      </c>
      <c r="BC64" s="3">
        <f>-BC15*BC65</f>
        <v>0</v>
      </c>
      <c r="BD64" s="3">
        <f>-BD15*BD65</f>
        <v>0</v>
      </c>
      <c r="BE64" s="3">
        <f>-BE15*BE65</f>
        <v>0</v>
      </c>
      <c r="BF64" s="3">
        <f>SUM(BB64:BE64)</f>
        <v>0</v>
      </c>
      <c r="BG64" s="3">
        <f>-BG15*BG65</f>
        <v>0</v>
      </c>
      <c r="BH64" s="3">
        <f>-BH15*BH65</f>
        <v>0</v>
      </c>
      <c r="BI64" s="3">
        <f>-BI15*BI65</f>
        <v>0</v>
      </c>
      <c r="BJ64" s="3">
        <f>-BJ15*BJ65</f>
        <v>0</v>
      </c>
      <c r="BK64" s="3">
        <f>SUM(BG64:BJ64)</f>
        <v>0</v>
      </c>
      <c r="BL64" s="3">
        <f>-BL15*BL65</f>
        <v>0</v>
      </c>
      <c r="BM64" s="3">
        <f>-BM15*BM65</f>
        <v>0</v>
      </c>
      <c r="BN64" s="3">
        <f>-BN15*BN65</f>
        <v>0</v>
      </c>
      <c r="BO64" s="3">
        <f>-BO15*BO65</f>
        <v>0</v>
      </c>
      <c r="BP64" s="3">
        <f>SUM(BL64:BO64)</f>
        <v>0</v>
      </c>
      <c r="BQ64" s="3">
        <f>-BQ15*BQ65</f>
        <v>0</v>
      </c>
      <c r="BR64" s="3">
        <f>-BR15*BR65</f>
        <v>0</v>
      </c>
      <c r="BS64" s="3">
        <f>-BS15*BS65</f>
        <v>0</v>
      </c>
      <c r="BT64" s="3">
        <f>-BT15*BT65</f>
        <v>0</v>
      </c>
      <c r="BU64" s="3">
        <f>SUM(BQ64:BT64)</f>
        <v>0</v>
      </c>
      <c r="BV64" s="3">
        <f>-BV15*BV65</f>
        <v>0</v>
      </c>
      <c r="BW64" s="3">
        <f>-BW15*BW65</f>
        <v>0</v>
      </c>
      <c r="BX64" s="3">
        <f>-BX15*BX65</f>
        <v>0</v>
      </c>
      <c r="BY64" s="3">
        <f>-BY15*BY65</f>
        <v>0</v>
      </c>
      <c r="BZ64" s="3">
        <f>SUM(BV64:BY64)</f>
        <v>0</v>
      </c>
      <c r="CA64" s="3">
        <f>-CA15*CA65</f>
        <v>0</v>
      </c>
      <c r="CB64" s="3">
        <f>-CB15*CB65</f>
        <v>0</v>
      </c>
      <c r="CC64" s="3">
        <f>-CC15*CC65</f>
        <v>0</v>
      </c>
      <c r="CD64" s="3">
        <f>-CD15*CD65</f>
        <v>0</v>
      </c>
      <c r="CE64" s="3">
        <f>SUM(CA64:CD64)</f>
        <v>0</v>
      </c>
      <c r="CF64" s="3">
        <f>-CF15*CF65</f>
        <v>0</v>
      </c>
      <c r="CG64" s="3">
        <f>-CG15*CG65</f>
        <v>0</v>
      </c>
      <c r="CH64" s="3">
        <f>-CH15*CH65</f>
        <v>0</v>
      </c>
      <c r="CI64" s="3">
        <f>-CI15*CI65</f>
        <v>0</v>
      </c>
      <c r="CJ64" s="3">
        <f>SUM(CF64:CI64)</f>
        <v>0</v>
      </c>
      <c r="CK64" s="3">
        <f>-CK15*CK65</f>
        <v>0</v>
      </c>
      <c r="CL64" s="3">
        <f>-CL15*CL65</f>
        <v>0</v>
      </c>
      <c r="CM64" s="3">
        <f>-CM15*CM65</f>
        <v>0</v>
      </c>
      <c r="CN64" s="3">
        <f>-CN15*CN65</f>
        <v>0</v>
      </c>
      <c r="CO64" s="3">
        <f>SUM(CK64:CN64)</f>
        <v>0</v>
      </c>
      <c r="CP64" s="3">
        <f>-CP15*CP65</f>
        <v>0</v>
      </c>
      <c r="CQ64" s="3">
        <f>-CQ15*CQ65</f>
        <v>0</v>
      </c>
      <c r="CR64" s="3">
        <f>-CR15*CR65</f>
        <v>0</v>
      </c>
      <c r="CS64" s="3">
        <f>-CS15*CS65</f>
        <v>0</v>
      </c>
      <c r="CT64" s="3">
        <f>SUM(CP64:CS64)</f>
        <v>0</v>
      </c>
      <c r="CU64" s="3">
        <f>-CU15*CU65</f>
        <v>0</v>
      </c>
      <c r="CV64" s="3">
        <f>-CV15*CV65</f>
        <v>0</v>
      </c>
      <c r="CW64" s="3">
        <f>-CW15*CW65</f>
        <v>0</v>
      </c>
      <c r="CX64" s="3">
        <f>-CX15*CX65</f>
        <v>0</v>
      </c>
      <c r="CY64" s="3">
        <f>SUM(CU64:CX64)</f>
        <v>0</v>
      </c>
    </row>
    <row r="65" hidden="1" outlineLevel="1">
      <c r="C65" s="33" t="inlineStr">
        <is>
          <t>% SG&amp;A and Other Margin</t>
        </is>
      </c>
      <c r="D65" s="56">
        <f>-(D64/D$15)</f>
        <v>0.180441145338426</v>
      </c>
      <c r="E65" s="56">
        <f>-(E64/E$15)</f>
        <v>0.088751882287605</v>
      </c>
      <c r="F65" s="56">
        <f>-(F64/F$15)</f>
        <v>0.0933249068957311</v>
      </c>
      <c r="G65" s="56">
        <f>-(G64/G$15)</f>
        <v>0.0356395569824464</v>
      </c>
      <c r="H65" s="56">
        <f>-(H64/H$15)</f>
        <v>0.0976499053926168</v>
      </c>
      <c r="I65" s="56">
        <f>-(I64/I$15)</f>
        <v>0.118707855653072</v>
      </c>
      <c r="J65" s="56">
        <f>-(J64/J$15)</f>
        <v>0.0804000867195659</v>
      </c>
      <c r="K65" s="56">
        <f>-(K64/K$15)</f>
        <v>0.0944573756035264</v>
      </c>
      <c r="L65" s="56">
        <f>-(L64/L$15)</f>
        <v>0.10033252129143</v>
      </c>
      <c r="M65" s="56">
        <f>-(M64/M$15)</f>
        <v>0.0976007951410547</v>
      </c>
      <c r="N65" s="56">
        <f>-(N64/N$15)</f>
        <v>0.0974081256861529</v>
      </c>
      <c r="O65" s="56">
        <f>-(O64/O$15)</f>
        <v>0.095163908862676</v>
      </c>
      <c r="P65" s="56">
        <f>-(P64/P$15)</f>
        <v>0.0945303633813902</v>
      </c>
      <c r="Q65" s="56">
        <f>-(Q64/Q$15)</f>
        <v>0.119245126582819</v>
      </c>
      <c r="R65" s="56">
        <f>-(R64/R$15)</f>
        <v>0.102747558399284</v>
      </c>
      <c r="S65" s="56">
        <f>-(S64/S$15)</f>
        <v>0.109732074578429</v>
      </c>
      <c r="T65" s="56">
        <f>-(T64/T$15)</f>
        <v>0.0743266939637551</v>
      </c>
      <c r="U65" s="56">
        <f>-(U64/U$15)</f>
        <v>0.10275082809391</v>
      </c>
      <c r="V65" s="56">
        <f>-(V64/V$15)</f>
        <v>0.12273176062561</v>
      </c>
      <c r="W65" s="56">
        <f>-(W64/W$15)</f>
        <v>0.102977716949313</v>
      </c>
      <c r="X65" s="56">
        <f>-(X64/X$15)</f>
        <v>0.0997539722670567</v>
      </c>
      <c r="Y65" s="56">
        <f>-(Y64/Y$15)</f>
        <v>0.0859167657656339</v>
      </c>
      <c r="Z65" s="56">
        <f>-(Z64/Z$15)</f>
        <v>0.0924146202813095</v>
      </c>
      <c r="AA65" s="56">
        <f>-(AA64/AA$15)</f>
        <v>0.100045985921522</v>
      </c>
      <c r="AB65" s="56">
        <f>-(AB64/AB$15)</f>
        <v>0.0944125359023658</v>
      </c>
      <c r="AC65" s="56">
        <f>-(AC64/AC$15)</f>
        <v>0.0922419510281469</v>
      </c>
      <c r="AD65" s="56">
        <f>-(AD64/AD$15)</f>
        <v>0.094098984763722</v>
      </c>
      <c r="AE65" s="56">
        <f>-(AE64/AE$15)</f>
        <v>0.103913627903861</v>
      </c>
      <c r="AF65" s="44">
        <f>-(AF64/AF$15)</f>
        <v>0.00755083818938134</v>
      </c>
      <c r="AG65" s="56">
        <f>-(AG64/AG$15)</f>
        <v>0.0737175548099426</v>
      </c>
      <c r="AH65" s="45">
        <f>-(AH64/AH$15)</f>
        <v>0.107563272914143</v>
      </c>
      <c r="AI65" s="45">
        <f>-(AI64/AI$15)</f>
        <v>0.096276950494109</v>
      </c>
      <c r="AJ65" s="45" t="n"/>
      <c r="AK65" s="45" t="n"/>
      <c r="AL65" s="56">
        <f>-(AL64/AL$15)</f>
        <v>0.0508643373463039</v>
      </c>
      <c r="AM65" s="45" t="n"/>
      <c r="AN65" s="45" t="n"/>
      <c r="AO65" s="45" t="n"/>
      <c r="AP65" s="45" t="n"/>
      <c r="AQ65" s="56">
        <f>-(AQ64/AQ$15)</f>
        <v>0</v>
      </c>
      <c r="AR65" s="45" t="n"/>
      <c r="AS65" s="45" t="n"/>
      <c r="AT65" s="45" t="n"/>
      <c r="AU65" s="45" t="n"/>
      <c r="AV65" s="56">
        <f>-(AV64/AV$15)</f>
        <v>0</v>
      </c>
      <c r="AW65" s="45" t="n"/>
      <c r="AX65" s="45" t="n"/>
      <c r="AY65" s="45" t="n"/>
      <c r="AZ65" s="45" t="n"/>
      <c r="BA65" s="56">
        <f>-(BA64/BA$15)</f>
        <v>0</v>
      </c>
      <c r="BB65" s="45" t="n"/>
      <c r="BC65" s="45" t="n"/>
      <c r="BD65" s="45" t="n"/>
      <c r="BE65" s="45" t="n"/>
      <c r="BF65" s="56">
        <f>-(BF64/BF$15)</f>
        <v>0</v>
      </c>
      <c r="BG65" s="45" t="n"/>
      <c r="BH65" s="45" t="n"/>
      <c r="BI65" s="45" t="n"/>
      <c r="BJ65" s="45" t="n"/>
      <c r="BK65" s="56">
        <f>-(BK64/BK$15)</f>
        <v>0</v>
      </c>
      <c r="BL65" s="45" t="n"/>
      <c r="BM65" s="45" t="n"/>
      <c r="BN65" s="45" t="n"/>
      <c r="BO65" s="45" t="n"/>
      <c r="BP65" s="56">
        <f>-(BP64/BP$15)</f>
        <v>0</v>
      </c>
      <c r="BQ65" s="45" t="n"/>
      <c r="BR65" s="45" t="n"/>
      <c r="BS65" s="45" t="n"/>
      <c r="BT65" s="45" t="n"/>
      <c r="BU65" s="56">
        <f>-(BU64/BU$15)</f>
        <v>0</v>
      </c>
      <c r="BV65" s="45" t="n"/>
      <c r="BW65" s="45" t="n"/>
      <c r="BX65" s="45" t="n"/>
      <c r="BY65" s="45" t="n"/>
      <c r="BZ65" s="56">
        <f>-(BZ64/BZ$15)</f>
        <v>0</v>
      </c>
      <c r="CA65" s="45" t="n"/>
      <c r="CB65" s="45" t="n"/>
      <c r="CC65" s="45" t="n"/>
      <c r="CD65" s="45" t="n"/>
      <c r="CE65" s="56">
        <f>-(CE64/CE$15)</f>
        <v>0</v>
      </c>
      <c r="CF65" s="45" t="n"/>
      <c r="CG65" s="45" t="n"/>
      <c r="CH65" s="45" t="n"/>
      <c r="CI65" s="45" t="n"/>
      <c r="CJ65" s="56">
        <f>-(CJ64/CJ$15)</f>
        <v>0</v>
      </c>
      <c r="CK65" s="45" t="n"/>
      <c r="CL65" s="45" t="n"/>
      <c r="CM65" s="45" t="n"/>
      <c r="CN65" s="45" t="n"/>
      <c r="CO65" s="56">
        <f>-(CO64/CO$15)</f>
        <v>0</v>
      </c>
      <c r="CP65" s="45" t="n"/>
      <c r="CQ65" s="45" t="n"/>
      <c r="CR65" s="45" t="n"/>
      <c r="CS65" s="45" t="n"/>
      <c r="CT65" s="56">
        <f>-(CT64/CT$15)</f>
        <v>0</v>
      </c>
      <c r="CU65" s="45" t="n"/>
      <c r="CV65" s="45" t="n"/>
      <c r="CW65" s="45" t="n"/>
      <c r="CX65" s="45" t="n"/>
      <c r="CY65" s="56">
        <f>-(CY64/CY$15)</f>
        <v>0</v>
      </c>
    </row>
    <row r="66" hidden="1" outlineLevel="1"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  <c r="X66" s="32" t="n"/>
      <c r="Y66" s="32" t="n"/>
      <c r="Z66" s="32" t="n"/>
      <c r="AA66" s="32" t="n"/>
      <c r="AB66" s="32" t="n"/>
      <c r="AC66" s="32" t="n"/>
      <c r="AD66" s="32" t="n"/>
      <c r="AE66" s="32" t="n"/>
      <c r="AF66" s="32" t="n"/>
      <c r="AG66" s="32" t="n"/>
      <c r="AH66" s="32" t="n"/>
      <c r="AI66" s="32" t="n"/>
      <c r="AJ66" s="32" t="n"/>
      <c r="AK66" s="32" t="n"/>
      <c r="AL66" s="32" t="n"/>
      <c r="AM66" s="32" t="n"/>
      <c r="AN66" s="32" t="n"/>
      <c r="AO66" s="32" t="n"/>
      <c r="AP66" s="32" t="n"/>
      <c r="AQ66" s="32" t="n"/>
      <c r="AR66" s="32" t="n"/>
      <c r="AS66" s="32" t="n"/>
      <c r="AT66" s="32" t="n"/>
      <c r="AU66" s="32" t="n"/>
      <c r="AV66" s="32" t="n"/>
      <c r="AW66" s="32" t="n"/>
      <c r="AX66" s="32" t="n"/>
      <c r="AY66" s="32" t="n"/>
      <c r="AZ66" s="32" t="n"/>
      <c r="BA66" s="32" t="n"/>
      <c r="BB66" s="32" t="n"/>
      <c r="BC66" s="32" t="n"/>
      <c r="BD66" s="32" t="n"/>
      <c r="BE66" s="32" t="n"/>
      <c r="BF66" s="32" t="n"/>
      <c r="BG66" s="32" t="n"/>
      <c r="BH66" s="32" t="n"/>
      <c r="BI66" s="32" t="n"/>
      <c r="BJ66" s="32" t="n"/>
      <c r="BK66" s="32" t="n"/>
      <c r="BL66" s="32" t="n"/>
      <c r="BM66" s="32" t="n"/>
      <c r="BN66" s="32" t="n"/>
      <c r="BO66" s="32" t="n"/>
      <c r="BP66" s="32" t="n"/>
      <c r="BQ66" s="32" t="n"/>
      <c r="BR66" s="32" t="n"/>
      <c r="BS66" s="32" t="n"/>
      <c r="BT66" s="32" t="n"/>
      <c r="BU66" s="32" t="n"/>
      <c r="BV66" s="32" t="n"/>
      <c r="BW66" s="32" t="n"/>
      <c r="BX66" s="32" t="n"/>
      <c r="BY66" s="32" t="n"/>
      <c r="BZ66" s="32" t="n"/>
      <c r="CA66" s="32" t="n"/>
      <c r="CB66" s="32" t="n"/>
      <c r="CC66" s="32" t="n"/>
      <c r="CD66" s="32" t="n"/>
      <c r="CE66" s="32" t="n"/>
      <c r="CF66" s="32" t="n"/>
      <c r="CG66" s="32" t="n"/>
      <c r="CH66" s="32" t="n"/>
      <c r="CI66" s="32" t="n"/>
      <c r="CJ66" s="32" t="n"/>
      <c r="CK66" s="32" t="n"/>
      <c r="CL66" s="32" t="n"/>
      <c r="CM66" s="32" t="n"/>
      <c r="CN66" s="32" t="n"/>
      <c r="CO66" s="32" t="n"/>
      <c r="CP66" s="32" t="n"/>
      <c r="CQ66" s="32" t="n"/>
      <c r="CR66" s="32" t="n"/>
      <c r="CS66" s="32" t="n"/>
      <c r="CT66" s="32" t="n"/>
      <c r="CU66" s="32" t="n"/>
      <c r="CV66" s="32" t="n"/>
      <c r="CW66" s="32" t="n"/>
      <c r="CX66" s="32" t="n"/>
      <c r="CY66" s="32" t="n"/>
    </row>
    <row r="67" hidden="1" outlineLevel="1">
      <c r="C67" s="32" t="inlineStr">
        <is>
          <t>Com Vendas</t>
        </is>
      </c>
      <c r="D67" s="6" t="n"/>
      <c r="E67" s="6" t="n"/>
      <c r="F67" s="6" t="n"/>
      <c r="G67" s="6" t="n"/>
      <c r="H67" s="32" t="n"/>
      <c r="I67" s="6" t="n"/>
      <c r="J67" s="6" t="n"/>
      <c r="K67" s="6" t="n"/>
      <c r="L67" s="6" t="n"/>
      <c r="M67" s="32" t="n"/>
      <c r="N67" s="6" t="n"/>
      <c r="O67" s="6" t="n"/>
      <c r="P67" s="6" t="n"/>
      <c r="Q67" s="6" t="n"/>
      <c r="R67" s="32" t="n"/>
      <c r="S67" s="6" t="n"/>
      <c r="T67" s="6" t="n"/>
      <c r="U67" s="6" t="n"/>
      <c r="V67" s="6" t="n"/>
      <c r="W67" s="32" t="n"/>
      <c r="X67" s="6" t="n"/>
      <c r="Y67" s="6" t="n"/>
      <c r="Z67" s="6" t="n"/>
      <c r="AA67" s="6" t="n"/>
      <c r="AB67" s="32" t="n"/>
      <c r="AC67" s="6" t="n"/>
      <c r="AD67" s="6" t="n"/>
      <c r="AE67" s="6" t="n"/>
      <c r="AF67" s="6" t="n"/>
      <c r="AG67" s="32" t="n"/>
      <c r="AH67" s="32" t="n"/>
      <c r="AI67" s="32" t="n"/>
      <c r="AJ67" s="32" t="n"/>
      <c r="AK67" s="32" t="n"/>
      <c r="AL67" s="32" t="n"/>
      <c r="AM67" s="32" t="n"/>
      <c r="AN67" s="32" t="n"/>
      <c r="AO67" s="32" t="n"/>
      <c r="AP67" s="32" t="n"/>
      <c r="AQ67" s="32" t="n"/>
      <c r="AR67" s="32" t="n"/>
      <c r="AS67" s="32" t="n"/>
      <c r="AT67" s="32" t="n"/>
      <c r="AU67" s="32" t="n"/>
      <c r="AV67" s="32" t="n"/>
      <c r="AW67" s="32" t="n"/>
      <c r="AX67" s="32" t="n"/>
      <c r="AY67" s="32" t="n"/>
      <c r="AZ67" s="32" t="n"/>
      <c r="BA67" s="32" t="n"/>
      <c r="BB67" s="32" t="n"/>
      <c r="BC67" s="32" t="n"/>
      <c r="BD67" s="32" t="n"/>
      <c r="BE67" s="32" t="n"/>
      <c r="BF67" s="32" t="n"/>
      <c r="BG67" s="32" t="n"/>
      <c r="BH67" s="32" t="n"/>
      <c r="BI67" s="32" t="n"/>
      <c r="BJ67" s="32" t="n"/>
      <c r="BK67" s="32" t="n"/>
      <c r="BL67" s="32" t="n"/>
      <c r="BM67" s="32" t="n"/>
      <c r="BN67" s="32" t="n"/>
      <c r="BO67" s="32" t="n"/>
      <c r="BP67" s="32" t="n"/>
      <c r="BQ67" s="32" t="n"/>
      <c r="BR67" s="32" t="n"/>
      <c r="BS67" s="32" t="n"/>
      <c r="BT67" s="32" t="n"/>
      <c r="BU67" s="32" t="n"/>
      <c r="BV67" s="32" t="n"/>
      <c r="BW67" s="32" t="n"/>
      <c r="BX67" s="32" t="n"/>
      <c r="BY67" s="32" t="n"/>
      <c r="BZ67" s="32" t="n"/>
      <c r="CA67" s="32" t="n"/>
      <c r="CB67" s="32" t="n"/>
      <c r="CC67" s="32" t="n"/>
      <c r="CD67" s="32" t="n"/>
      <c r="CE67" s="32" t="n"/>
      <c r="CF67" s="32" t="n"/>
      <c r="CG67" s="32" t="n"/>
      <c r="CH67" s="32" t="n"/>
      <c r="CI67" s="32" t="n"/>
      <c r="CJ67" s="32" t="n"/>
      <c r="CK67" s="32" t="n"/>
      <c r="CL67" s="32" t="n"/>
      <c r="CM67" s="32" t="n"/>
      <c r="CN67" s="32" t="n"/>
      <c r="CO67" s="32" t="n"/>
      <c r="CP67" s="32" t="n"/>
      <c r="CQ67" s="32" t="n"/>
      <c r="CR67" s="32" t="n"/>
      <c r="CS67" s="32" t="n"/>
      <c r="CT67" s="32" t="n"/>
      <c r="CU67" s="32" t="n"/>
      <c r="CV67" s="32" t="n"/>
      <c r="CW67" s="32" t="n"/>
      <c r="CX67" s="32" t="n"/>
      <c r="CY67" s="32" t="n"/>
    </row>
    <row r="68" hidden="1" outlineLevel="1">
      <c r="C68" s="32" t="inlineStr">
        <is>
          <t>Gerais &amp; Administrativas</t>
        </is>
      </c>
      <c r="D68" s="6" t="n"/>
      <c r="E68" s="6" t="n"/>
      <c r="F68" s="6" t="n"/>
      <c r="G68" s="6" t="n"/>
      <c r="H68" s="32" t="n"/>
      <c r="I68" s="6" t="n"/>
      <c r="J68" s="6" t="n"/>
      <c r="K68" s="6" t="n"/>
      <c r="L68" s="6" t="n"/>
      <c r="M68" s="32" t="n"/>
      <c r="N68" s="6" t="n"/>
      <c r="O68" s="6" t="n"/>
      <c r="P68" s="6" t="n"/>
      <c r="Q68" s="6" t="n"/>
      <c r="R68" s="32" t="n"/>
      <c r="S68" s="6" t="n"/>
      <c r="T68" s="6" t="n"/>
      <c r="U68" s="6" t="n"/>
      <c r="V68" s="6" t="n"/>
      <c r="W68" s="32" t="n"/>
      <c r="X68" s="6" t="n"/>
      <c r="Y68" s="6" t="n"/>
      <c r="Z68" s="6" t="n"/>
      <c r="AA68" s="6" t="n"/>
      <c r="AB68" s="32" t="n"/>
      <c r="AC68" s="6" t="n"/>
      <c r="AD68" s="6" t="n"/>
      <c r="AE68" s="6" t="n"/>
      <c r="AF68" s="6" t="n"/>
      <c r="AG68" s="32" t="n"/>
      <c r="AH68" s="32" t="n"/>
      <c r="AI68" s="32" t="n"/>
      <c r="AJ68" s="32" t="n"/>
      <c r="AK68" s="32" t="n"/>
      <c r="AL68" s="32" t="n"/>
      <c r="AM68" s="32" t="n"/>
      <c r="AN68" s="32" t="n"/>
      <c r="AO68" s="32" t="n"/>
      <c r="AP68" s="32" t="n"/>
      <c r="AQ68" s="32" t="n"/>
      <c r="AR68" s="32" t="n"/>
      <c r="AS68" s="32" t="n"/>
      <c r="AT68" s="32" t="n"/>
      <c r="AU68" s="32" t="n"/>
      <c r="AV68" s="32" t="n"/>
      <c r="AW68" s="32" t="n"/>
      <c r="AX68" s="32" t="n"/>
      <c r="AY68" s="32" t="n"/>
      <c r="AZ68" s="32" t="n"/>
      <c r="BA68" s="32" t="n"/>
      <c r="BB68" s="32" t="n"/>
      <c r="BC68" s="32" t="n"/>
      <c r="BD68" s="32" t="n"/>
      <c r="BE68" s="32" t="n"/>
      <c r="BF68" s="32" t="n"/>
      <c r="BG68" s="32" t="n"/>
      <c r="BH68" s="32" t="n"/>
      <c r="BI68" s="32" t="n"/>
      <c r="BJ68" s="32" t="n"/>
      <c r="BK68" s="32" t="n"/>
      <c r="BL68" s="32" t="n"/>
      <c r="BM68" s="32" t="n"/>
      <c r="BN68" s="32" t="n"/>
      <c r="BO68" s="32" t="n"/>
      <c r="BP68" s="32" t="n"/>
      <c r="BQ68" s="32" t="n"/>
      <c r="BR68" s="32" t="n"/>
      <c r="BS68" s="32" t="n"/>
      <c r="BT68" s="32" t="n"/>
      <c r="BU68" s="32" t="n"/>
      <c r="BV68" s="32" t="n"/>
      <c r="BW68" s="32" t="n"/>
      <c r="BX68" s="32" t="n"/>
      <c r="BY68" s="32" t="n"/>
      <c r="BZ68" s="32" t="n"/>
      <c r="CA68" s="32" t="n"/>
      <c r="CB68" s="32" t="n"/>
      <c r="CC68" s="32" t="n"/>
      <c r="CD68" s="32" t="n"/>
      <c r="CE68" s="32" t="n"/>
      <c r="CF68" s="32" t="n"/>
      <c r="CG68" s="32" t="n"/>
      <c r="CH68" s="32" t="n"/>
      <c r="CI68" s="32" t="n"/>
      <c r="CJ68" s="32" t="n"/>
      <c r="CK68" s="32" t="n"/>
      <c r="CL68" s="32" t="n"/>
      <c r="CM68" s="32" t="n"/>
      <c r="CN68" s="32" t="n"/>
      <c r="CO68" s="32" t="n"/>
      <c r="CP68" s="32" t="n"/>
      <c r="CQ68" s="32" t="n"/>
      <c r="CR68" s="32" t="n"/>
      <c r="CS68" s="32" t="n"/>
      <c r="CT68" s="32" t="n"/>
      <c r="CU68" s="32" t="n"/>
      <c r="CV68" s="32" t="n"/>
      <c r="CW68" s="32" t="n"/>
      <c r="CX68" s="32" t="n"/>
      <c r="CY68" s="32" t="n"/>
    </row>
    <row r="69" hidden="1" outlineLevel="1">
      <c r="C69" s="32" t="inlineStr">
        <is>
          <t>Outras Receitas (Despesas) Operacionais, Líquidas</t>
        </is>
      </c>
      <c r="D69" s="6" t="n"/>
      <c r="E69" s="6" t="n"/>
      <c r="F69" s="6" t="n"/>
      <c r="G69" s="6" t="n"/>
      <c r="H69" s="32" t="n"/>
      <c r="I69" s="6" t="n"/>
      <c r="J69" s="6" t="n"/>
      <c r="K69" s="6" t="n"/>
      <c r="L69" s="6" t="n"/>
      <c r="M69" s="32" t="n"/>
      <c r="N69" s="6" t="n"/>
      <c r="O69" s="6" t="n"/>
      <c r="P69" s="6" t="n"/>
      <c r="Q69" s="6" t="n"/>
      <c r="R69" s="32" t="n"/>
      <c r="S69" s="6" t="n"/>
      <c r="T69" s="6" t="n"/>
      <c r="U69" s="6" t="n"/>
      <c r="V69" s="6" t="n"/>
      <c r="W69" s="32" t="n"/>
      <c r="X69" s="6" t="n"/>
      <c r="Y69" s="6" t="n"/>
      <c r="Z69" s="6" t="n"/>
      <c r="AA69" s="6" t="n"/>
      <c r="AB69" s="32" t="n"/>
      <c r="AC69" s="6" t="n"/>
      <c r="AD69" s="6" t="n"/>
      <c r="AE69" s="6" t="n"/>
      <c r="AF69" s="6" t="n"/>
      <c r="AG69" s="32" t="n"/>
      <c r="AH69" s="32" t="n"/>
      <c r="AI69" s="32" t="n"/>
      <c r="AJ69" s="32" t="n"/>
      <c r="AK69" s="32" t="n"/>
      <c r="AL69" s="32" t="n"/>
      <c r="AM69" s="32" t="n"/>
      <c r="AN69" s="32" t="n"/>
      <c r="AO69" s="32" t="n"/>
      <c r="AP69" s="32" t="n"/>
      <c r="AQ69" s="32" t="n"/>
      <c r="AR69" s="32" t="n"/>
      <c r="AS69" s="32" t="n"/>
      <c r="AT69" s="32" t="n"/>
      <c r="AU69" s="32" t="n"/>
      <c r="AV69" s="32" t="n"/>
      <c r="AW69" s="32" t="n"/>
      <c r="AX69" s="32" t="n"/>
      <c r="AY69" s="32" t="n"/>
      <c r="AZ69" s="32" t="n"/>
      <c r="BA69" s="32" t="n"/>
      <c r="BB69" s="32" t="n"/>
      <c r="BC69" s="32" t="n"/>
      <c r="BD69" s="32" t="n"/>
      <c r="BE69" s="32" t="n"/>
      <c r="BF69" s="32" t="n"/>
      <c r="BG69" s="32" t="n"/>
      <c r="BH69" s="32" t="n"/>
      <c r="BI69" s="32" t="n"/>
      <c r="BJ69" s="32" t="n"/>
      <c r="BK69" s="32" t="n"/>
      <c r="BL69" s="32" t="n"/>
      <c r="BM69" s="32" t="n"/>
      <c r="BN69" s="32" t="n"/>
      <c r="BO69" s="32" t="n"/>
      <c r="BP69" s="32" t="n"/>
      <c r="BQ69" s="32" t="n"/>
      <c r="BR69" s="32" t="n"/>
      <c r="BS69" s="32" t="n"/>
      <c r="BT69" s="32" t="n"/>
      <c r="BU69" s="32" t="n"/>
      <c r="BV69" s="32" t="n"/>
      <c r="BW69" s="32" t="n"/>
      <c r="BX69" s="32" t="n"/>
      <c r="BY69" s="32" t="n"/>
      <c r="BZ69" s="32" t="n"/>
      <c r="CA69" s="32" t="n"/>
      <c r="CB69" s="32" t="n"/>
      <c r="CC69" s="32" t="n"/>
      <c r="CD69" s="32" t="n"/>
      <c r="CE69" s="32" t="n"/>
      <c r="CF69" s="32" t="n"/>
      <c r="CG69" s="32" t="n"/>
      <c r="CH69" s="32" t="n"/>
      <c r="CI69" s="32" t="n"/>
      <c r="CJ69" s="32" t="n"/>
      <c r="CK69" s="32" t="n"/>
      <c r="CL69" s="32" t="n"/>
      <c r="CM69" s="32" t="n"/>
      <c r="CN69" s="32" t="n"/>
      <c r="CO69" s="32" t="n"/>
      <c r="CP69" s="32" t="n"/>
      <c r="CQ69" s="32" t="n"/>
      <c r="CR69" s="32" t="n"/>
      <c r="CS69" s="32" t="n"/>
      <c r="CT69" s="32" t="n"/>
      <c r="CU69" s="32" t="n"/>
      <c r="CV69" s="32" t="n"/>
      <c r="CW69" s="32" t="n"/>
      <c r="CX69" s="32" t="n"/>
      <c r="CY69" s="32" t="n"/>
    </row>
    <row r="70" hidden="1" outlineLevel="1"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2" t="n"/>
      <c r="V70" s="32" t="n"/>
      <c r="W70" s="32" t="n"/>
      <c r="X70" s="32" t="n"/>
      <c r="Y70" s="32" t="n"/>
      <c r="Z70" s="32" t="n"/>
      <c r="AA70" s="32" t="n"/>
      <c r="AB70" s="32" t="n"/>
      <c r="AC70" s="32" t="n"/>
      <c r="AD70" s="32" t="n"/>
      <c r="AE70" s="32" t="n"/>
      <c r="AF70" s="32" t="n"/>
      <c r="AG70" s="32" t="n"/>
      <c r="AH70" s="32" t="n"/>
      <c r="AI70" s="32" t="n"/>
      <c r="AJ70" s="32" t="n"/>
      <c r="AK70" s="32" t="n"/>
      <c r="AL70" s="32" t="n"/>
      <c r="AM70" s="32" t="n"/>
      <c r="AN70" s="32" t="n"/>
      <c r="AO70" s="32" t="n"/>
      <c r="AP70" s="32" t="n"/>
      <c r="AQ70" s="32" t="n"/>
      <c r="AR70" s="32" t="n"/>
      <c r="AS70" s="32" t="n"/>
      <c r="AT70" s="32" t="n"/>
      <c r="AU70" s="32" t="n"/>
      <c r="AV70" s="32" t="n"/>
      <c r="AW70" s="32" t="n"/>
      <c r="AX70" s="32" t="n"/>
      <c r="AY70" s="32" t="n"/>
      <c r="AZ70" s="32" t="n"/>
      <c r="BA70" s="32" t="n"/>
      <c r="BB70" s="32" t="n"/>
      <c r="BC70" s="32" t="n"/>
      <c r="BD70" s="32" t="n"/>
      <c r="BE70" s="32" t="n"/>
      <c r="BF70" s="32" t="n"/>
      <c r="BG70" s="32" t="n"/>
      <c r="BH70" s="32" t="n"/>
      <c r="BI70" s="32" t="n"/>
      <c r="BJ70" s="32" t="n"/>
      <c r="BK70" s="32" t="n"/>
      <c r="BL70" s="32" t="n"/>
      <c r="BM70" s="32" t="n"/>
      <c r="BN70" s="32" t="n"/>
      <c r="BO70" s="32" t="n"/>
      <c r="BP70" s="32" t="n"/>
      <c r="BQ70" s="32" t="n"/>
      <c r="BR70" s="32" t="n"/>
      <c r="BS70" s="32" t="n"/>
      <c r="BT70" s="32" t="n"/>
      <c r="BU70" s="32" t="n"/>
      <c r="BV70" s="32" t="n"/>
      <c r="BW70" s="32" t="n"/>
      <c r="BX70" s="32" t="n"/>
      <c r="BY70" s="32" t="n"/>
      <c r="BZ70" s="32" t="n"/>
      <c r="CA70" s="32" t="n"/>
      <c r="CB70" s="32" t="n"/>
      <c r="CC70" s="32" t="n"/>
      <c r="CD70" s="32" t="n"/>
      <c r="CE70" s="32" t="n"/>
      <c r="CF70" s="32" t="n"/>
      <c r="CG70" s="32" t="n"/>
      <c r="CH70" s="32" t="n"/>
      <c r="CI70" s="32" t="n"/>
      <c r="CJ70" s="32" t="n"/>
      <c r="CK70" s="32" t="n"/>
      <c r="CL70" s="32" t="n"/>
      <c r="CM70" s="32" t="n"/>
      <c r="CN70" s="32" t="n"/>
      <c r="CO70" s="32" t="n"/>
      <c r="CP70" s="32" t="n"/>
      <c r="CQ70" s="32" t="n"/>
      <c r="CR70" s="32" t="n"/>
      <c r="CS70" s="32" t="n"/>
      <c r="CT70" s="32" t="n"/>
      <c r="CU70" s="32" t="n"/>
      <c r="CV70" s="32" t="n"/>
      <c r="CW70" s="32" t="n"/>
      <c r="CX70" s="32" t="n"/>
      <c r="CY70" s="32" t="n"/>
    </row>
    <row r="71" hidden="1" outlineLevel="1">
      <c r="C71" s="32" t="inlineStr">
        <is>
          <t>Com Vendas (%)</t>
        </is>
      </c>
      <c r="D71" s="32" t="n"/>
      <c r="E71" s="32" t="n"/>
      <c r="F71" s="32" t="n"/>
      <c r="G71" s="32" t="n"/>
      <c r="H71" s="32" t="n"/>
      <c r="I71" s="32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2" t="n"/>
      <c r="V71" s="32" t="n"/>
      <c r="W71" s="32" t="n"/>
      <c r="X71" s="32" t="n"/>
      <c r="Y71" s="32" t="n"/>
      <c r="Z71" s="32" t="n"/>
      <c r="AA71" s="32" t="n"/>
      <c r="AB71" s="32" t="n"/>
      <c r="AC71" s="32" t="n"/>
      <c r="AD71" s="32" t="n"/>
      <c r="AE71" s="32" t="n"/>
      <c r="AF71" s="32" t="n"/>
      <c r="AG71" s="32" t="n"/>
      <c r="AH71" s="32" t="n"/>
      <c r="AI71" s="32" t="n"/>
      <c r="AJ71" s="32" t="n"/>
      <c r="AK71" s="32" t="n"/>
      <c r="AL71" s="32" t="n"/>
      <c r="AM71" s="32" t="n"/>
      <c r="AN71" s="32" t="n"/>
      <c r="AO71" s="32" t="n"/>
      <c r="AP71" s="32" t="n"/>
      <c r="AQ71" s="32" t="n"/>
      <c r="AR71" s="32" t="n"/>
      <c r="AS71" s="32" t="n"/>
      <c r="AT71" s="32" t="n"/>
      <c r="AU71" s="32" t="n"/>
      <c r="AV71" s="32" t="n"/>
      <c r="AW71" s="32" t="n"/>
      <c r="AX71" s="32" t="n"/>
      <c r="AY71" s="32" t="n"/>
      <c r="AZ71" s="32" t="n"/>
      <c r="BA71" s="32" t="n"/>
      <c r="BB71" s="32" t="n"/>
      <c r="BC71" s="32" t="n"/>
      <c r="BD71" s="32" t="n"/>
      <c r="BE71" s="32" t="n"/>
      <c r="BF71" s="32" t="n"/>
      <c r="BG71" s="32" t="n"/>
      <c r="BH71" s="32" t="n"/>
      <c r="BI71" s="32" t="n"/>
      <c r="BJ71" s="32" t="n"/>
      <c r="BK71" s="32" t="n"/>
      <c r="BL71" s="32" t="n"/>
      <c r="BM71" s="32" t="n"/>
      <c r="BN71" s="32" t="n"/>
      <c r="BO71" s="32" t="n"/>
      <c r="BP71" s="32" t="n"/>
      <c r="BQ71" s="32" t="n"/>
      <c r="BR71" s="32" t="n"/>
      <c r="BS71" s="32" t="n"/>
      <c r="BT71" s="32" t="n"/>
      <c r="BU71" s="32" t="n"/>
      <c r="BV71" s="32" t="n"/>
      <c r="BW71" s="32" t="n"/>
      <c r="BX71" s="32" t="n"/>
      <c r="BY71" s="32" t="n"/>
      <c r="BZ71" s="32" t="n"/>
      <c r="CA71" s="32" t="n"/>
      <c r="CB71" s="32" t="n"/>
      <c r="CC71" s="32" t="n"/>
      <c r="CD71" s="32" t="n"/>
      <c r="CE71" s="32" t="n"/>
      <c r="CF71" s="32" t="n"/>
      <c r="CG71" s="32" t="n"/>
      <c r="CH71" s="32" t="n"/>
      <c r="CI71" s="32" t="n"/>
      <c r="CJ71" s="32" t="n"/>
      <c r="CK71" s="32" t="n"/>
      <c r="CL71" s="32" t="n"/>
      <c r="CM71" s="32" t="n"/>
      <c r="CN71" s="32" t="n"/>
      <c r="CO71" s="32" t="n"/>
      <c r="CP71" s="32" t="n"/>
      <c r="CQ71" s="32" t="n"/>
      <c r="CR71" s="32" t="n"/>
      <c r="CS71" s="32" t="n"/>
      <c r="CT71" s="32" t="n"/>
      <c r="CU71" s="32" t="n"/>
      <c r="CV71" s="32" t="n"/>
      <c r="CW71" s="32" t="n"/>
      <c r="CX71" s="32" t="n"/>
      <c r="CY71" s="32" t="n"/>
    </row>
    <row r="72" hidden="1" outlineLevel="1">
      <c r="C72" s="32" t="inlineStr">
        <is>
          <t>Gerais &amp; Administrativas (%)</t>
        </is>
      </c>
      <c r="D72" s="32" t="n"/>
      <c r="E72" s="32" t="n"/>
      <c r="F72" s="32" t="n"/>
      <c r="G72" s="32" t="n"/>
      <c r="H72" s="32" t="n"/>
      <c r="I72" s="32" t="n"/>
      <c r="J72" s="32" t="n"/>
      <c r="K72" s="32" t="n"/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2" t="n"/>
      <c r="V72" s="32" t="n"/>
      <c r="W72" s="32" t="n"/>
      <c r="X72" s="32" t="n"/>
      <c r="Y72" s="32" t="n"/>
      <c r="Z72" s="32" t="n"/>
      <c r="AA72" s="32" t="n"/>
      <c r="AB72" s="32" t="n"/>
      <c r="AC72" s="32" t="n"/>
      <c r="AD72" s="32" t="n"/>
      <c r="AE72" s="32" t="n"/>
      <c r="AF72" s="32" t="n"/>
      <c r="AG72" s="32" t="n"/>
      <c r="AH72" s="32" t="n"/>
      <c r="AI72" s="32" t="n"/>
      <c r="AJ72" s="32" t="n"/>
      <c r="AK72" s="32" t="n"/>
      <c r="AL72" s="32" t="n"/>
      <c r="AM72" s="32" t="n"/>
      <c r="AN72" s="32" t="n"/>
      <c r="AO72" s="32" t="n"/>
      <c r="AP72" s="32" t="n"/>
      <c r="AQ72" s="32" t="n"/>
      <c r="AR72" s="32" t="n"/>
      <c r="AS72" s="32" t="n"/>
      <c r="AT72" s="32" t="n"/>
      <c r="AU72" s="32" t="n"/>
      <c r="AV72" s="32" t="n"/>
      <c r="AW72" s="32" t="n"/>
      <c r="AX72" s="32" t="n"/>
      <c r="AY72" s="32" t="n"/>
      <c r="AZ72" s="32" t="n"/>
      <c r="BA72" s="32" t="n"/>
      <c r="BB72" s="32" t="n"/>
      <c r="BC72" s="32" t="n"/>
      <c r="BD72" s="32" t="n"/>
      <c r="BE72" s="32" t="n"/>
      <c r="BF72" s="32" t="n"/>
      <c r="BG72" s="32" t="n"/>
      <c r="BH72" s="32" t="n"/>
      <c r="BI72" s="32" t="n"/>
      <c r="BJ72" s="32" t="n"/>
      <c r="BK72" s="32" t="n"/>
      <c r="BL72" s="32" t="n"/>
      <c r="BM72" s="32" t="n"/>
      <c r="BN72" s="32" t="n"/>
      <c r="BO72" s="32" t="n"/>
      <c r="BP72" s="32" t="n"/>
      <c r="BQ72" s="32" t="n"/>
      <c r="BR72" s="32" t="n"/>
      <c r="BS72" s="32" t="n"/>
      <c r="BT72" s="32" t="n"/>
      <c r="BU72" s="32" t="n"/>
      <c r="BV72" s="32" t="n"/>
      <c r="BW72" s="32" t="n"/>
      <c r="BX72" s="32" t="n"/>
      <c r="BY72" s="32" t="n"/>
      <c r="BZ72" s="32" t="n"/>
      <c r="CA72" s="32" t="n"/>
      <c r="CB72" s="32" t="n"/>
      <c r="CC72" s="32" t="n"/>
      <c r="CD72" s="32" t="n"/>
      <c r="CE72" s="32" t="n"/>
      <c r="CF72" s="32" t="n"/>
      <c r="CG72" s="32" t="n"/>
      <c r="CH72" s="32" t="n"/>
      <c r="CI72" s="32" t="n"/>
      <c r="CJ72" s="32" t="n"/>
      <c r="CK72" s="32" t="n"/>
      <c r="CL72" s="32" t="n"/>
      <c r="CM72" s="32" t="n"/>
      <c r="CN72" s="32" t="n"/>
      <c r="CO72" s="32" t="n"/>
      <c r="CP72" s="32" t="n"/>
      <c r="CQ72" s="32" t="n"/>
      <c r="CR72" s="32" t="n"/>
      <c r="CS72" s="32" t="n"/>
      <c r="CT72" s="32" t="n"/>
      <c r="CU72" s="32" t="n"/>
      <c r="CV72" s="32" t="n"/>
      <c r="CW72" s="32" t="n"/>
      <c r="CX72" s="32" t="n"/>
      <c r="CY72" s="32" t="n"/>
    </row>
    <row r="73" hidden="1" outlineLevel="1">
      <c r="C73" s="32" t="inlineStr">
        <is>
          <t>Outras Receitas (Despesas) Operacionais, Líquidas (%)</t>
        </is>
      </c>
      <c r="D73" s="32" t="n"/>
      <c r="E73" s="32" t="n"/>
      <c r="F73" s="32" t="n"/>
      <c r="G73" s="32" t="n"/>
      <c r="H73" s="32" t="n"/>
      <c r="I73" s="32" t="n"/>
      <c r="J73" s="32" t="n"/>
      <c r="K73" s="32" t="n"/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2" t="n"/>
      <c r="V73" s="32" t="n"/>
      <c r="W73" s="32" t="n"/>
      <c r="X73" s="32" t="n"/>
      <c r="Y73" s="32" t="n"/>
      <c r="Z73" s="32" t="n"/>
      <c r="AA73" s="32" t="n"/>
      <c r="AB73" s="32" t="n"/>
      <c r="AC73" s="32" t="n"/>
      <c r="AD73" s="32" t="n"/>
      <c r="AE73" s="32" t="n"/>
      <c r="AF73" s="32" t="n"/>
      <c r="AG73" s="32" t="n"/>
      <c r="AH73" s="32" t="n"/>
      <c r="AI73" s="32" t="n"/>
      <c r="AJ73" s="32" t="n"/>
      <c r="AK73" s="32" t="n"/>
      <c r="AL73" s="32" t="n"/>
      <c r="AM73" s="32" t="n"/>
      <c r="AN73" s="32" t="n"/>
      <c r="AO73" s="32" t="n"/>
      <c r="AP73" s="32" t="n"/>
      <c r="AQ73" s="32" t="n"/>
      <c r="AR73" s="32" t="n"/>
      <c r="AS73" s="32" t="n"/>
      <c r="AT73" s="32" t="n"/>
      <c r="AU73" s="32" t="n"/>
      <c r="AV73" s="32" t="n"/>
      <c r="AW73" s="32" t="n"/>
      <c r="AX73" s="32" t="n"/>
      <c r="AY73" s="32" t="n"/>
      <c r="AZ73" s="32" t="n"/>
      <c r="BA73" s="32" t="n"/>
      <c r="BB73" s="32" t="n"/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2" t="n"/>
      <c r="BQ73" s="32" t="n"/>
      <c r="BR73" s="32" t="n"/>
      <c r="BS73" s="32" t="n"/>
      <c r="BT73" s="32" t="n"/>
      <c r="BU73" s="32" t="n"/>
      <c r="BV73" s="32" t="n"/>
      <c r="BW73" s="32" t="n"/>
      <c r="BX73" s="32" t="n"/>
      <c r="BY73" s="32" t="n"/>
      <c r="BZ73" s="32" t="n"/>
      <c r="CA73" s="32" t="n"/>
      <c r="CB73" s="32" t="n"/>
      <c r="CC73" s="32" t="n"/>
      <c r="CD73" s="32" t="n"/>
      <c r="CE73" s="32" t="n"/>
      <c r="CF73" s="32" t="n"/>
      <c r="CG73" s="32" t="n"/>
      <c r="CH73" s="32" t="n"/>
      <c r="CI73" s="32" t="n"/>
      <c r="CJ73" s="32" t="n"/>
      <c r="CK73" s="32" t="n"/>
      <c r="CL73" s="32" t="n"/>
      <c r="CM73" s="32" t="n"/>
      <c r="CN73" s="32" t="n"/>
      <c r="CO73" s="32" t="n"/>
      <c r="CP73" s="32" t="n"/>
      <c r="CQ73" s="32" t="n"/>
      <c r="CR73" s="32" t="n"/>
      <c r="CS73" s="32" t="n"/>
      <c r="CT73" s="32" t="n"/>
      <c r="CU73" s="32" t="n"/>
      <c r="CV73" s="32" t="n"/>
      <c r="CW73" s="32" t="n"/>
      <c r="CX73" s="32" t="n"/>
      <c r="CY73" s="32" t="n"/>
    </row>
    <row r="74" hidden="1" outlineLevel="1"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  <c r="X74" s="32" t="n"/>
      <c r="Y74" s="32" t="n"/>
      <c r="Z74" s="32" t="n"/>
      <c r="AA74" s="32" t="n"/>
      <c r="AB74" s="32" t="n"/>
      <c r="AC74" s="32" t="n"/>
      <c r="AD74" s="32" t="n"/>
      <c r="AE74" s="32" t="n"/>
      <c r="AF74" s="32" t="n"/>
      <c r="AG74" s="32" t="n"/>
      <c r="AH74" s="32" t="n"/>
      <c r="AI74" s="32" t="n"/>
      <c r="AJ74" s="32" t="n"/>
      <c r="AK74" s="32" t="n"/>
      <c r="AL74" s="32" t="n"/>
      <c r="AM74" s="32" t="n"/>
      <c r="AN74" s="32" t="n"/>
      <c r="AO74" s="32" t="n"/>
      <c r="AP74" s="32" t="n"/>
      <c r="AQ74" s="32" t="n"/>
      <c r="AR74" s="32" t="n"/>
      <c r="AS74" s="32" t="n"/>
      <c r="AT74" s="32" t="n"/>
      <c r="AU74" s="32" t="n"/>
      <c r="AV74" s="32" t="n"/>
      <c r="AW74" s="32" t="n"/>
      <c r="AX74" s="32" t="n"/>
      <c r="AY74" s="32" t="n"/>
      <c r="AZ74" s="32" t="n"/>
      <c r="BA74" s="32" t="n"/>
      <c r="BB74" s="32" t="n"/>
      <c r="BC74" s="32" t="n"/>
      <c r="BD74" s="32" t="n"/>
      <c r="BE74" s="32" t="n"/>
      <c r="BF74" s="32" t="n"/>
      <c r="BG74" s="32" t="n"/>
      <c r="BH74" s="32" t="n"/>
      <c r="BI74" s="32" t="n"/>
      <c r="BJ74" s="32" t="n"/>
      <c r="BK74" s="32" t="n"/>
      <c r="BL74" s="32" t="n"/>
      <c r="BM74" s="32" t="n"/>
      <c r="BN74" s="32" t="n"/>
      <c r="BO74" s="32" t="n"/>
      <c r="BP74" s="32" t="n"/>
      <c r="BQ74" s="32" t="n"/>
      <c r="BR74" s="32" t="n"/>
      <c r="BS74" s="32" t="n"/>
      <c r="BT74" s="32" t="n"/>
      <c r="BU74" s="32" t="n"/>
      <c r="BV74" s="32" t="n"/>
      <c r="BW74" s="32" t="n"/>
      <c r="BX74" s="32" t="n"/>
      <c r="BY74" s="32" t="n"/>
      <c r="BZ74" s="32" t="n"/>
      <c r="CA74" s="32" t="n"/>
      <c r="CB74" s="32" t="n"/>
      <c r="CC74" s="32" t="n"/>
      <c r="CD74" s="32" t="n"/>
      <c r="CE74" s="32" t="n"/>
      <c r="CF74" s="32" t="n"/>
      <c r="CG74" s="32" t="n"/>
      <c r="CH74" s="32" t="n"/>
      <c r="CI74" s="32" t="n"/>
      <c r="CJ74" s="32" t="n"/>
      <c r="CK74" s="32" t="n"/>
      <c r="CL74" s="32" t="n"/>
      <c r="CM74" s="32" t="n"/>
      <c r="CN74" s="32" t="n"/>
      <c r="CO74" s="32" t="n"/>
      <c r="CP74" s="32" t="n"/>
      <c r="CQ74" s="32" t="n"/>
      <c r="CR74" s="32" t="n"/>
      <c r="CS74" s="32" t="n"/>
      <c r="CT74" s="32" t="n"/>
      <c r="CU74" s="32" t="n"/>
      <c r="CV74" s="32" t="n"/>
      <c r="CW74" s="32" t="n"/>
      <c r="CX74" s="32" t="n"/>
      <c r="CY74" s="32" t="n"/>
    </row>
    <row r="75" collapsed="1" customFormat="1" s="17">
      <c r="A75" s="13" t="n"/>
      <c r="B75" s="1" t="n"/>
      <c r="C75" s="14" t="inlineStr">
        <is>
          <t>EBITDA</t>
        </is>
      </c>
      <c r="D75" s="16">
        <f>SUM(D15,D60,D64)</f>
        <v>561.68639079955</v>
      </c>
      <c r="E75" s="16">
        <f>SUM(E15,E60,E64)</f>
        <v>470.43411398</v>
      </c>
      <c r="F75" s="16">
        <f>SUM(F15,F60,F64)</f>
        <v>587.511896319999</v>
      </c>
      <c r="G75" s="16">
        <f>SUM(G15,G60,G64)</f>
        <v>699.98254616045</v>
      </c>
      <c r="H75" s="16">
        <f>SUM(D75:G75)</f>
        <v>2319.61494726</v>
      </c>
      <c r="I75" s="16">
        <f>SUM(I15,I60,I64)</f>
        <v>733.704018203258</v>
      </c>
      <c r="J75" s="16">
        <f>SUM(J15,J60,J64)</f>
        <v>965.009871226004</v>
      </c>
      <c r="K75" s="16">
        <f>SUM(K15,K60,K64)</f>
        <v>1165.52111057074</v>
      </c>
      <c r="L75" s="16">
        <f>SUM(L15,L60,L64)</f>
        <v>1325.43100264234</v>
      </c>
      <c r="M75" s="16">
        <f>SUM(I75:L75)</f>
        <v>4189.66600264234</v>
      </c>
      <c r="N75" s="16">
        <f>SUM(N15,N60,N64)</f>
        <v>1513.044</v>
      </c>
      <c r="O75" s="16">
        <f>SUM(O15,O60,O64)</f>
        <v>1702.9569974237</v>
      </c>
      <c r="P75" s="16">
        <f>SUM(P15,P60,P64)</f>
        <v>1938.0713063864</v>
      </c>
      <c r="Q75" s="16">
        <f>SUM(Q15,Q60,Q64)</f>
        <v>1849.02197303009</v>
      </c>
      <c r="R75" s="16">
        <f>SUM(N75:Q75)</f>
        <v>7003.0942768402</v>
      </c>
      <c r="S75" s="16">
        <f>SUM(S15,S60,S64)</f>
        <v>1963.86451362081</v>
      </c>
      <c r="T75" s="16">
        <f>SUM(T15,T60,T64)</f>
        <v>2267.4931256757</v>
      </c>
      <c r="U75" s="16">
        <f>SUM(U15,U60,U64)</f>
        <v>2084.9444636028</v>
      </c>
      <c r="V75" s="16">
        <f>SUM(V15,V60,V64)</f>
        <v>1652.32096153162</v>
      </c>
      <c r="W75" s="16">
        <f>SUM(S75:V75)</f>
        <v>7968.62306443094</v>
      </c>
      <c r="X75" s="16">
        <f>SUM(X15,X60,X64)</f>
        <v>2361.14521292</v>
      </c>
      <c r="Y75" s="16">
        <f>SUM(Y15,Y60,Y64)</f>
        <v>2597.00952965</v>
      </c>
      <c r="Z75" s="16">
        <f>SUM(Z15,Z60,Z64)</f>
        <v>2699.28085968</v>
      </c>
      <c r="AA75" s="16">
        <f>SUM(AA15,AA60,AA64)</f>
        <v>2614.94321323</v>
      </c>
      <c r="AB75" s="16">
        <f>SUM(X75:AA75)</f>
        <v>10272.37881548</v>
      </c>
      <c r="AC75" s="16">
        <f>SUM(AC15,AC60,AC64)</f>
        <v>2802.02029992</v>
      </c>
      <c r="AD75" s="16">
        <f>SUM(AD15,AD60,AD64)</f>
        <v>2922.63577782</v>
      </c>
      <c r="AE75" s="16">
        <f>SUM(AE15,AE60,AE64)</f>
        <v>2906.87071613</v>
      </c>
      <c r="AF75" s="16">
        <f>SUM(AF15,AF60,AF64)</f>
        <v>4066.05814927999</v>
      </c>
      <c r="AG75" s="16">
        <f>SUM(AC75:AF75)</f>
        <v>12697.58494315</v>
      </c>
      <c r="AH75" s="16">
        <f>SUM(AH15,AH60,AH64)</f>
        <v>3012.23912156</v>
      </c>
      <c r="AI75" s="16">
        <f>SUM(AI15,AI60,AI64)</f>
        <v>3351.88269447</v>
      </c>
      <c r="AJ75" s="16">
        <f>SUM(AJ15,AJ60,AJ64)</f>
        <v>0</v>
      </c>
      <c r="AK75" s="16">
        <f>SUM(AK15,AK60,AK64)</f>
        <v>0</v>
      </c>
      <c r="AL75" s="16">
        <f>SUM(AH75:AK75)</f>
        <v>6364.12181603</v>
      </c>
      <c r="AM75" s="16">
        <f>SUM(AM15,AM60,AM64)</f>
        <v>0</v>
      </c>
      <c r="AN75" s="16">
        <f>SUM(AN15,AN60,AN64)</f>
        <v>0</v>
      </c>
      <c r="AO75" s="16">
        <f>SUM(AO15,AO60,AO64)</f>
        <v>0</v>
      </c>
      <c r="AP75" s="16">
        <f>SUM(AP15,AP60,AP64)</f>
        <v>0</v>
      </c>
      <c r="AQ75" s="16">
        <f>SUM(AM75:AP75)</f>
        <v>0</v>
      </c>
      <c r="AR75" s="16">
        <f>SUM(AR15,AR60,AR64)</f>
        <v>0</v>
      </c>
      <c r="AS75" s="16">
        <f>SUM(AS15,AS60,AS64)</f>
        <v>0</v>
      </c>
      <c r="AT75" s="16">
        <f>SUM(AT15,AT60,AT64)</f>
        <v>0</v>
      </c>
      <c r="AU75" s="16">
        <f>SUM(AU15,AU60,AU64)</f>
        <v>0</v>
      </c>
      <c r="AV75" s="16">
        <f>SUM(AR75:AU75)</f>
        <v>0</v>
      </c>
      <c r="AW75" s="16">
        <f>SUM(AW15,AW60,AW64)</f>
        <v>0</v>
      </c>
      <c r="AX75" s="16">
        <f>SUM(AX15,AX60,AX64)</f>
        <v>0</v>
      </c>
      <c r="AY75" s="16">
        <f>SUM(AY15,AY60,AY64)</f>
        <v>0</v>
      </c>
      <c r="AZ75" s="16">
        <f>SUM(AZ15,AZ60,AZ64)</f>
        <v>0</v>
      </c>
      <c r="BA75" s="16">
        <f>SUM(AW75:AZ75)</f>
        <v>0</v>
      </c>
      <c r="BB75" s="16">
        <f>SUM(BB15,BB60,BB64)</f>
        <v>0</v>
      </c>
      <c r="BC75" s="16">
        <f>SUM(BC15,BC60,BC64)</f>
        <v>0</v>
      </c>
      <c r="BD75" s="16">
        <f>SUM(BD15,BD60,BD64)</f>
        <v>0</v>
      </c>
      <c r="BE75" s="16">
        <f>SUM(BE15,BE60,BE64)</f>
        <v>0</v>
      </c>
      <c r="BF75" s="16">
        <f>SUM(BB75:BE75)</f>
        <v>0</v>
      </c>
      <c r="BG75" s="16">
        <f>SUM(BG15,BG60,BG64)</f>
        <v>0</v>
      </c>
      <c r="BH75" s="16">
        <f>SUM(BH15,BH60,BH64)</f>
        <v>0</v>
      </c>
      <c r="BI75" s="16">
        <f>SUM(BI15,BI60,BI64)</f>
        <v>0</v>
      </c>
      <c r="BJ75" s="16">
        <f>SUM(BJ15,BJ60,BJ64)</f>
        <v>0</v>
      </c>
      <c r="BK75" s="16">
        <f>SUM(BG75:BJ75)</f>
        <v>0</v>
      </c>
      <c r="BL75" s="16">
        <f>SUM(BL15,BL60,BL64)</f>
        <v>0</v>
      </c>
      <c r="BM75" s="16">
        <f>SUM(BM15,BM60,BM64)</f>
        <v>0</v>
      </c>
      <c r="BN75" s="16">
        <f>SUM(BN15,BN60,BN64)</f>
        <v>0</v>
      </c>
      <c r="BO75" s="16">
        <f>SUM(BO15,BO60,BO64)</f>
        <v>0</v>
      </c>
      <c r="BP75" s="16">
        <f>SUM(BL75:BO75)</f>
        <v>0</v>
      </c>
      <c r="BQ75" s="16">
        <f>SUM(BQ15,BQ60,BQ64)</f>
        <v>0</v>
      </c>
      <c r="BR75" s="16">
        <f>SUM(BR15,BR60,BR64)</f>
        <v>0</v>
      </c>
      <c r="BS75" s="16">
        <f>SUM(BS15,BS60,BS64)</f>
        <v>0</v>
      </c>
      <c r="BT75" s="16">
        <f>SUM(BT15,BT60,BT64)</f>
        <v>0</v>
      </c>
      <c r="BU75" s="16">
        <f>SUM(BQ75:BT75)</f>
        <v>0</v>
      </c>
      <c r="BV75" s="16">
        <f>SUM(BV15,BV60,BV64)</f>
        <v>0</v>
      </c>
      <c r="BW75" s="16">
        <f>SUM(BW15,BW60,BW64)</f>
        <v>0</v>
      </c>
      <c r="BX75" s="16">
        <f>SUM(BX15,BX60,BX64)</f>
        <v>0</v>
      </c>
      <c r="BY75" s="16">
        <f>SUM(BY15,BY60,BY64)</f>
        <v>0</v>
      </c>
      <c r="BZ75" s="16">
        <f>SUM(BV75:BY75)</f>
        <v>0</v>
      </c>
      <c r="CA75" s="16">
        <f>SUM(CA15,CA60,CA64)</f>
        <v>0</v>
      </c>
      <c r="CB75" s="16">
        <f>SUM(CB15,CB60,CB64)</f>
        <v>0</v>
      </c>
      <c r="CC75" s="16">
        <f>SUM(CC15,CC60,CC64)</f>
        <v>0</v>
      </c>
      <c r="CD75" s="16">
        <f>SUM(CD15,CD60,CD64)</f>
        <v>0</v>
      </c>
      <c r="CE75" s="16">
        <f>SUM(CA75:CD75)</f>
        <v>0</v>
      </c>
      <c r="CF75" s="16">
        <f>SUM(CF15,CF60,CF64)</f>
        <v>0</v>
      </c>
      <c r="CG75" s="16">
        <f>SUM(CG15,CG60,CG64)</f>
        <v>0</v>
      </c>
      <c r="CH75" s="16">
        <f>SUM(CH15,CH60,CH64)</f>
        <v>0</v>
      </c>
      <c r="CI75" s="16">
        <f>SUM(CI15,CI60,CI64)</f>
        <v>0</v>
      </c>
      <c r="CJ75" s="16">
        <f>SUM(CF75:CI75)</f>
        <v>0</v>
      </c>
      <c r="CK75" s="16">
        <f>SUM(CK15,CK60,CK64)</f>
        <v>0</v>
      </c>
      <c r="CL75" s="16">
        <f>SUM(CL15,CL60,CL64)</f>
        <v>0</v>
      </c>
      <c r="CM75" s="16">
        <f>SUM(CM15,CM60,CM64)</f>
        <v>0</v>
      </c>
      <c r="CN75" s="16">
        <f>SUM(CN15,CN60,CN64)</f>
        <v>0</v>
      </c>
      <c r="CO75" s="16">
        <f>SUM(CK75:CN75)</f>
        <v>0</v>
      </c>
      <c r="CP75" s="16">
        <f>SUM(CP15,CP60,CP64)</f>
        <v>0</v>
      </c>
      <c r="CQ75" s="16">
        <f>SUM(CQ15,CQ60,CQ64)</f>
        <v>0</v>
      </c>
      <c r="CR75" s="16">
        <f>SUM(CR15,CR60,CR64)</f>
        <v>0</v>
      </c>
      <c r="CS75" s="16">
        <f>SUM(CS15,CS60,CS64)</f>
        <v>0</v>
      </c>
      <c r="CT75" s="16">
        <f>SUM(CP75:CS75)</f>
        <v>0</v>
      </c>
      <c r="CU75" s="16">
        <f>SUM(CU15,CU60,CU64)</f>
        <v>0</v>
      </c>
      <c r="CV75" s="16">
        <f>SUM(CV15,CV60,CV64)</f>
        <v>0</v>
      </c>
      <c r="CW75" s="16">
        <f>SUM(CW15,CW60,CW64)</f>
        <v>0</v>
      </c>
      <c r="CX75" s="16">
        <f>SUM(CX15,CX60,CX64)</f>
        <v>0</v>
      </c>
      <c r="CY75" s="16">
        <f>SUM(CU75:CX75)</f>
        <v>0</v>
      </c>
    </row>
    <row r="76" ht="13.5" customHeight="1">
      <c r="C76" s="24" t="inlineStr">
        <is>
          <t>D&amp;A</t>
        </is>
      </c>
      <c r="D76" s="25">
        <f>INDEX('Inputs (2)'!$D$7:$AL$7,MATCH(D$7,'Inputs (2)'!$D$2:$AL$2,0))</f>
        <v>-275.68271341</v>
      </c>
      <c r="E76" s="25">
        <f>INDEX('Inputs (2)'!$D$7:$AL$7,MATCH(E$7,'Inputs (2)'!$D$2:$AL$2,0))</f>
        <v>-271.90979999</v>
      </c>
      <c r="F76" s="25">
        <f>INDEX('Inputs (2)'!$D$7:$AL$7,MATCH(F$7,'Inputs (2)'!$D$2:$AL$2,0))</f>
        <v>-290.25133795755</v>
      </c>
      <c r="G76" s="25">
        <f>INDEX('Inputs (2)'!$D$7:$AL$7,MATCH(G$7,'Inputs (2)'!$D$2:$AL$2,0))</f>
        <v>-274.107593500965</v>
      </c>
      <c r="H76" s="3">
        <f>SUM(D76:G76)</f>
        <v>-1111.95144485852</v>
      </c>
      <c r="I76" s="25">
        <f>INDEX('Inputs (2)'!$D$7:$AL$7,MATCH(I$7,'Inputs (2)'!$D$2:$AL$2,0))</f>
        <v>-217.049</v>
      </c>
      <c r="J76" s="25">
        <f>INDEX('Inputs (2)'!$D$7:$AL$7,MATCH(J$7,'Inputs (2)'!$D$2:$AL$2,0))</f>
        <v>-241.434278302253</v>
      </c>
      <c r="K76" s="25">
        <f>INDEX('Inputs (2)'!$D$7:$AL$7,MATCH(K$7,'Inputs (2)'!$D$2:$AL$2,0))</f>
        <v>-275.839366386516</v>
      </c>
      <c r="L76" s="25">
        <f>INDEX('Inputs (2)'!$D$7:$AL$7,MATCH(L$7,'Inputs (2)'!$D$2:$AL$2,0))</f>
        <v>-324.792357953573</v>
      </c>
      <c r="M76" s="3">
        <f>SUM(I76:L76)</f>
        <v>-1059.11500264234</v>
      </c>
      <c r="N76" s="25">
        <f>INDEX('Inputs (2)'!$D$7:$AL$7,MATCH(N$7,'Inputs (2)'!$D$2:$AL$2,0))</f>
        <v>-377.493</v>
      </c>
      <c r="O76" s="25">
        <f>INDEX('Inputs (2)'!$D$7:$AL$7,MATCH(O$7,'Inputs (2)'!$D$2:$AL$2,0))</f>
        <v>-416.207797423699</v>
      </c>
      <c r="P76" s="25">
        <f>INDEX('Inputs (2)'!$D$7:$AL$7,MATCH(P$7,'Inputs (2)'!$D$2:$AL$2,0))</f>
        <v>-510.065305927525</v>
      </c>
      <c r="Q76" s="25">
        <f>INDEX('Inputs (2)'!$D$7:$AL$7,MATCH(Q$7,'Inputs (2)'!$D$2:$AL$2,0))</f>
        <v>-582.510896648771</v>
      </c>
      <c r="R76" s="3">
        <f>SUM(N76:Q76)</f>
        <v>-1886.277</v>
      </c>
      <c r="S76" s="25">
        <f>INDEX('Inputs (2)'!$D$7:$AL$7,MATCH(S$7,'Inputs (2)'!$D$2:$AL$2,0))</f>
        <v>-646.759784850327</v>
      </c>
      <c r="T76" s="25">
        <f>INDEX('Inputs (2)'!$D$7:$AL$7,MATCH(T$7,'Inputs (2)'!$D$2:$AL$2,0))</f>
        <v>-679.385996476699</v>
      </c>
      <c r="U76" s="25">
        <f>INDEX('Inputs (2)'!$D$7:$AL$7,MATCH(U$7,'Inputs (2)'!$D$2:$AL$2,0))</f>
        <v>-717.081006699591</v>
      </c>
      <c r="V76" s="25">
        <f>INDEX('Inputs (2)'!$D$7:$AL$7,MATCH(V$7,'Inputs (2)'!$D$2:$AL$2,0))</f>
        <v>-1060.72584447304</v>
      </c>
      <c r="W76" s="3">
        <f>SUM(S76:V76)</f>
        <v>-3103.95263249965</v>
      </c>
      <c r="X76" s="25">
        <f>INDEX('Inputs (2)'!$D$7:$AL$7,MATCH(X$7,'Inputs (2)'!$D$2:$AL$2,0))</f>
        <v>-821.97976934</v>
      </c>
      <c r="Y76" s="25">
        <f>INDEX('Inputs (2)'!$D$7:$AL$7,MATCH(Y$7,'Inputs (2)'!$D$2:$AL$2,0))</f>
        <v>-897.643222139999</v>
      </c>
      <c r="Z76" s="25">
        <f>INDEX('Inputs (2)'!$D$7:$AL$7,MATCH(Z$7,'Inputs (2)'!$D$2:$AL$2,0))</f>
        <v>-997.19452895</v>
      </c>
      <c r="AA76" s="25">
        <f>INDEX('Inputs (2)'!$D$7:$AL$7,MATCH(AA$7,'Inputs (2)'!$D$2:$AL$2,0))</f>
        <v>-974.302369919992</v>
      </c>
      <c r="AB76" s="3">
        <f>SUM(X76:AA76)</f>
        <v>-3691.11989034999</v>
      </c>
      <c r="AC76" s="25">
        <f>INDEX('Inputs (2)'!$D$7:$AL$7,MATCH(AC$7,'Inputs (2)'!$D$2:$AL$2,0))</f>
        <v>-1052.41326183</v>
      </c>
      <c r="AD76" s="25">
        <f>INDEX('Inputs (2)'!$D$7:$AL$7,MATCH(AD$7,'Inputs (2)'!$D$2:$AL$2,0))</f>
        <v>-1118.94089968</v>
      </c>
      <c r="AE76" s="25">
        <f>INDEX('Inputs (2)'!$D$7:$AL$7,MATCH(AE$7,'Inputs (2)'!$D$2:$AL$2,0))</f>
        <v>-1172.06197375</v>
      </c>
      <c r="AF76" s="25">
        <f>INDEX('Inputs (2)'!$D$7:$AL$7,MATCH(AF$7,'Inputs (2)'!$D$2:$AL$2,0))</f>
        <v>-1197.96966854999</v>
      </c>
      <c r="AG76" s="3">
        <f>SUM(AC76:AF76)</f>
        <v>-4541.38580381</v>
      </c>
      <c r="AH76" s="3">
        <f>INDEX('Inputs (2)'!$D$7:$AL$7,MATCH(AH$7,'Inputs (2)'!$D$2:$AL$2,0))</f>
        <v>-1239.92653653</v>
      </c>
      <c r="AI76" s="3">
        <f>INDEX('Inputs (2)'!$D$7:$AL$7,MATCH(AI$7,'Inputs (2)'!$D$2:$AL$2,0))</f>
        <v>-1253.5541439</v>
      </c>
      <c r="AJ76" s="3">
        <f>-AJ77*AJ15</f>
        <v>0</v>
      </c>
      <c r="AK76" s="3">
        <f>-AK77*AK15</f>
        <v>0</v>
      </c>
      <c r="AL76" s="3">
        <f>SUM(AH76:AK76)</f>
        <v>-2493.48068043</v>
      </c>
      <c r="AM76" s="3">
        <f>-AM77*AM15</f>
        <v>0</v>
      </c>
      <c r="AN76" s="3">
        <f>-AN77*AN15</f>
        <v>0</v>
      </c>
      <c r="AO76" s="3">
        <f>-AO77*AO15</f>
        <v>0</v>
      </c>
      <c r="AP76" s="3">
        <f>-AP77*AP15</f>
        <v>0</v>
      </c>
      <c r="AQ76" s="3">
        <f>SUM(AM76:AP76)</f>
        <v>0</v>
      </c>
      <c r="AR76" s="3">
        <f>-AR77*AR15</f>
        <v>0</v>
      </c>
      <c r="AS76" s="3">
        <f>-AS77*AS15</f>
        <v>0</v>
      </c>
      <c r="AT76" s="3">
        <f>-AT77*AT15</f>
        <v>0</v>
      </c>
      <c r="AU76" s="3">
        <f>-AU77*AU15</f>
        <v>0</v>
      </c>
      <c r="AV76" s="3">
        <f>SUM(AR76:AU76)</f>
        <v>0</v>
      </c>
      <c r="AW76" s="3">
        <f>-AW77*AW15</f>
        <v>0</v>
      </c>
      <c r="AX76" s="3">
        <f>-AX77*AX15</f>
        <v>0</v>
      </c>
      <c r="AY76" s="3">
        <f>-AY77*AY15</f>
        <v>0</v>
      </c>
      <c r="AZ76" s="3">
        <f>-AZ77*AZ15</f>
        <v>0</v>
      </c>
      <c r="BA76" s="3">
        <f>SUM(AW76:AZ76)</f>
        <v>0</v>
      </c>
      <c r="BB76" s="3">
        <f>-BB77*BB15</f>
        <v>0</v>
      </c>
      <c r="BC76" s="3">
        <f>-BC77*BC15</f>
        <v>0</v>
      </c>
      <c r="BD76" s="3">
        <f>-BD77*BD15</f>
        <v>0</v>
      </c>
      <c r="BE76" s="3">
        <f>-BE77*BE15</f>
        <v>0</v>
      </c>
      <c r="BF76" s="3">
        <f>SUM(BB76:BE76)</f>
        <v>0</v>
      </c>
      <c r="BG76" s="3">
        <f>-BG77*BG15</f>
        <v>0</v>
      </c>
      <c r="BH76" s="3">
        <f>-BH77*BH15</f>
        <v>0</v>
      </c>
      <c r="BI76" s="3">
        <f>-BI77*BI15</f>
        <v>0</v>
      </c>
      <c r="BJ76" s="3">
        <f>-BJ77*BJ15</f>
        <v>0</v>
      </c>
      <c r="BK76" s="3">
        <f>SUM(BG76:BJ76)</f>
        <v>0</v>
      </c>
      <c r="BL76" s="3">
        <f>-BL77*BL15</f>
        <v>0</v>
      </c>
      <c r="BM76" s="3">
        <f>-BM77*BM15</f>
        <v>0</v>
      </c>
      <c r="BN76" s="3">
        <f>-BN77*BN15</f>
        <v>0</v>
      </c>
      <c r="BO76" s="3">
        <f>-BO77*BO15</f>
        <v>0</v>
      </c>
      <c r="BP76" s="3">
        <f>SUM(BL76:BO76)</f>
        <v>0</v>
      </c>
      <c r="BQ76" s="3">
        <f>-BQ77*BQ15</f>
        <v>0</v>
      </c>
      <c r="BR76" s="3">
        <f>-BR77*BR15</f>
        <v>0</v>
      </c>
      <c r="BS76" s="3">
        <f>-BS77*BS15</f>
        <v>0</v>
      </c>
      <c r="BT76" s="3">
        <f>-BT77*BT15</f>
        <v>0</v>
      </c>
      <c r="BU76" s="3">
        <f>SUM(BQ76:BT76)</f>
        <v>0</v>
      </c>
      <c r="BV76" s="3">
        <f>-BV77*BV15</f>
        <v>0</v>
      </c>
      <c r="BW76" s="3">
        <f>-BW77*BW15</f>
        <v>0</v>
      </c>
      <c r="BX76" s="3">
        <f>-BX77*BX15</f>
        <v>0</v>
      </c>
      <c r="BY76" s="3">
        <f>-BY77*BY15</f>
        <v>0</v>
      </c>
      <c r="BZ76" s="3">
        <f>SUM(BV76:BY76)</f>
        <v>0</v>
      </c>
      <c r="CA76" s="3">
        <f>-CA77*CA15</f>
        <v>0</v>
      </c>
      <c r="CB76" s="3">
        <f>-CB77*CB15</f>
        <v>0</v>
      </c>
      <c r="CC76" s="3">
        <f>-CC77*CC15</f>
        <v>0</v>
      </c>
      <c r="CD76" s="3">
        <f>-CD77*CD15</f>
        <v>0</v>
      </c>
      <c r="CE76" s="3">
        <f>SUM(CA76:CD76)</f>
        <v>0</v>
      </c>
      <c r="CF76" s="3">
        <f>-CF77*CF15</f>
        <v>0</v>
      </c>
      <c r="CG76" s="3">
        <f>-CG77*CG15</f>
        <v>0</v>
      </c>
      <c r="CH76" s="3">
        <f>-CH77*CH15</f>
        <v>0</v>
      </c>
      <c r="CI76" s="3">
        <f>-CI77*CI15</f>
        <v>0</v>
      </c>
      <c r="CJ76" s="3">
        <f>SUM(CF76:CI76)</f>
        <v>0</v>
      </c>
      <c r="CK76" s="3">
        <f>-CK77*CK15</f>
        <v>0</v>
      </c>
      <c r="CL76" s="3">
        <f>-CL77*CL15</f>
        <v>0</v>
      </c>
      <c r="CM76" s="3">
        <f>-CM77*CM15</f>
        <v>0</v>
      </c>
      <c r="CN76" s="3">
        <f>-CN77*CN15</f>
        <v>0</v>
      </c>
      <c r="CO76" s="3">
        <f>SUM(CK76:CN76)</f>
        <v>0</v>
      </c>
      <c r="CP76" s="3">
        <f>-CP77*CP15</f>
        <v>0</v>
      </c>
      <c r="CQ76" s="3">
        <f>-CQ77*CQ15</f>
        <v>0</v>
      </c>
      <c r="CR76" s="3">
        <f>-CR77*CR15</f>
        <v>0</v>
      </c>
      <c r="CS76" s="3">
        <f>-CS77*CS15</f>
        <v>0</v>
      </c>
      <c r="CT76" s="3">
        <f>SUM(CP76:CS76)</f>
        <v>0</v>
      </c>
      <c r="CU76" s="3">
        <f>-CU77*CU15</f>
        <v>0</v>
      </c>
      <c r="CV76" s="3">
        <f>-CV77*CV15</f>
        <v>0</v>
      </c>
      <c r="CW76" s="3">
        <f>-CW77*CW15</f>
        <v>0</v>
      </c>
      <c r="CX76" s="3">
        <f>-CX77*CX15</f>
        <v>0</v>
      </c>
      <c r="CY76" s="3">
        <f>SUM(CU76:CX76)</f>
        <v>0</v>
      </c>
    </row>
    <row r="77" hidden="1" outlineLevel="1" customFormat="1" s="247">
      <c r="A77" s="48" t="n"/>
      <c r="B77" s="48" t="n"/>
      <c r="C77" s="246" t="inlineStr">
        <is>
          <t>% of Revenue</t>
        </is>
      </c>
      <c r="D77" s="48">
        <f>-D76/D15</f>
        <v>0.116968736966971</v>
      </c>
      <c r="E77" s="48">
        <f>-E76/E15</f>
        <v>0.123751472174169</v>
      </c>
      <c r="F77" s="48">
        <f>-F76/F15</f>
        <v>0.11150454324712</v>
      </c>
      <c r="G77" s="48">
        <f>-G76/G15</f>
        <v>0.103440926338955</v>
      </c>
      <c r="H77" s="48" t="n"/>
      <c r="I77" s="48">
        <f>-I76/I15</f>
        <v>0.0828397891168622</v>
      </c>
      <c r="J77" s="48">
        <f>-J76/J15</f>
        <v>0.0766685270876694</v>
      </c>
      <c r="K77" s="48">
        <f>-K76/K15</f>
        <v>0.0696866736023011</v>
      </c>
      <c r="L77" s="48">
        <f>-L76/L15</f>
        <v>0.078475632465798</v>
      </c>
      <c r="M77" s="48" t="n"/>
      <c r="N77" s="48">
        <f>-N76/N15</f>
        <v>0.0833281640816966</v>
      </c>
      <c r="O77" s="48">
        <f>-O76/O15</f>
        <v>0.0772594046408043</v>
      </c>
      <c r="P77" s="48">
        <f>-P76/P15</f>
        <v>0.0747529103282309</v>
      </c>
      <c r="Q77" s="48">
        <f>-Q76/Q15</f>
        <v>0.0793483334389374</v>
      </c>
      <c r="R77" s="48" t="n"/>
      <c r="S77" s="48">
        <f>-S76/S15</f>
        <v>0.086929566598135</v>
      </c>
      <c r="T77" s="48">
        <f>-T76/T15</f>
        <v>0.0898226699987626</v>
      </c>
      <c r="U77" s="48">
        <f>-U76/U15</f>
        <v>0.0862072144882438</v>
      </c>
      <c r="V77" s="48">
        <f>-V76/V15</f>
        <v>0.124471691092545</v>
      </c>
      <c r="W77" s="48" t="n"/>
      <c r="X77" s="48">
        <f>-X76/X15</f>
        <v>0.0906602357074357</v>
      </c>
      <c r="Y77" s="48">
        <f>-Y76/Y15</f>
        <v>0.087770267841971</v>
      </c>
      <c r="Z77" s="48">
        <f>-Z76/Z15</f>
        <v>0.0924141974339925</v>
      </c>
      <c r="AA77" s="48">
        <f>-AA76/AA15</f>
        <v>0.0914510854226463</v>
      </c>
      <c r="AB77" s="48" t="n"/>
      <c r="AC77" s="48">
        <f>-AC76/AC15</f>
        <v>0.102728237923897</v>
      </c>
      <c r="AD77" s="48">
        <f>-AD76/AD15</f>
        <v>0.108206561188259</v>
      </c>
      <c r="AE77" s="48">
        <f>-AE76/AE15</f>
        <v>0.105582290115019</v>
      </c>
      <c r="AF77" s="218">
        <f>-AF76/AF15</f>
        <v>0.10773600727239</v>
      </c>
      <c r="AG77" s="48" t="n"/>
      <c r="AH77" s="218">
        <f>-AH76/AH15</f>
        <v>0.113501710092179</v>
      </c>
      <c r="AI77" s="218">
        <f>-AI76/AI15</f>
        <v>0.111440290380801</v>
      </c>
      <c r="AJ77" s="218" t="n"/>
      <c r="AK77" s="218" t="n"/>
      <c r="AL77" s="48" t="n"/>
      <c r="AM77" s="218" t="n"/>
      <c r="AN77" s="218" t="n"/>
      <c r="AO77" s="218" t="n"/>
      <c r="AP77" s="218" t="n"/>
      <c r="AQ77" s="48" t="n"/>
      <c r="AR77" s="218" t="n"/>
      <c r="AS77" s="218" t="n"/>
      <c r="AT77" s="218" t="n"/>
      <c r="AU77" s="218" t="n"/>
      <c r="AV77" s="48" t="n"/>
      <c r="AW77" s="218" t="n"/>
      <c r="AX77" s="218" t="n"/>
      <c r="AY77" s="218" t="n"/>
      <c r="AZ77" s="218" t="n"/>
      <c r="BA77" s="48" t="n"/>
      <c r="BB77" s="218" t="n"/>
      <c r="BC77" s="218" t="n"/>
      <c r="BD77" s="218" t="n"/>
      <c r="BE77" s="218" t="n"/>
      <c r="BF77" s="48" t="n"/>
      <c r="BG77" s="218" t="n"/>
      <c r="BH77" s="218" t="n"/>
      <c r="BI77" s="218" t="n"/>
      <c r="BJ77" s="218" t="n"/>
      <c r="BK77" s="48" t="n"/>
      <c r="BL77" s="218" t="n"/>
      <c r="BM77" s="218" t="n"/>
      <c r="BN77" s="218" t="n"/>
      <c r="BO77" s="218" t="n"/>
      <c r="BP77" s="48" t="n"/>
      <c r="BQ77" s="218" t="n"/>
      <c r="BR77" s="218" t="n"/>
      <c r="BS77" s="218" t="n"/>
      <c r="BT77" s="218" t="n"/>
      <c r="BU77" s="48" t="n"/>
      <c r="BV77" s="218" t="n"/>
      <c r="BW77" s="218" t="n"/>
      <c r="BX77" s="218" t="n"/>
      <c r="BY77" s="218" t="n"/>
      <c r="BZ77" s="48" t="n"/>
      <c r="CA77" s="218" t="n"/>
      <c r="CB77" s="218" t="n"/>
      <c r="CC77" s="218" t="n"/>
      <c r="CD77" s="218" t="n"/>
      <c r="CE77" s="48" t="n"/>
      <c r="CF77" s="218" t="n"/>
      <c r="CG77" s="218" t="n"/>
      <c r="CH77" s="218" t="n"/>
      <c r="CI77" s="218" t="n"/>
      <c r="CJ77" s="48" t="n"/>
      <c r="CK77" s="218" t="n"/>
      <c r="CL77" s="218" t="n"/>
      <c r="CM77" s="218" t="n"/>
      <c r="CN77" s="218" t="n"/>
      <c r="CO77" s="48" t="n"/>
      <c r="CP77" s="218" t="n"/>
      <c r="CQ77" s="218" t="n"/>
      <c r="CR77" s="218" t="n"/>
      <c r="CS77" s="218" t="n"/>
      <c r="CT77" s="48" t="n"/>
      <c r="CU77" s="218" t="n"/>
      <c r="CV77" s="218" t="n"/>
      <c r="CW77" s="218" t="n"/>
      <c r="CX77" s="218" t="n"/>
      <c r="CY77" s="48" t="n"/>
    </row>
    <row r="78" hidden="1" outlineLevel="1">
      <c r="C78" s="32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3" t="n"/>
      <c r="BI78" s="3" t="n"/>
      <c r="BJ78" s="3" t="n"/>
      <c r="BK78" s="3" t="n"/>
      <c r="BL78" s="3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3" t="n"/>
      <c r="BX78" s="3" t="n"/>
      <c r="BY78" s="3" t="n"/>
      <c r="BZ78" s="3" t="n"/>
      <c r="CA78" s="3" t="n"/>
      <c r="CB78" s="3" t="n"/>
      <c r="CC78" s="3" t="n"/>
      <c r="CD78" s="3" t="n"/>
      <c r="CE78" s="3" t="n"/>
      <c r="CF78" s="3" t="n"/>
      <c r="CG78" s="3" t="n"/>
      <c r="CH78" s="3" t="n"/>
      <c r="CI78" s="3" t="n"/>
      <c r="CJ78" s="3" t="n"/>
      <c r="CK78" s="3" t="n"/>
      <c r="CL78" s="3" t="n"/>
      <c r="CM78" s="3" t="n"/>
      <c r="CN78" s="3" t="n"/>
      <c r="CO78" s="3" t="n"/>
      <c r="CP78" s="3" t="n"/>
      <c r="CQ78" s="3" t="n"/>
      <c r="CR78" s="3" t="n"/>
      <c r="CS78" s="3" t="n"/>
      <c r="CT78" s="3" t="n"/>
      <c r="CU78" s="3" t="n"/>
      <c r="CV78" s="3" t="n"/>
      <c r="CW78" s="3" t="n"/>
      <c r="CX78" s="3" t="n"/>
      <c r="CY78" s="3" t="n"/>
    </row>
    <row r="79" collapsed="1" customFormat="1" s="17">
      <c r="A79" s="13" t="n"/>
      <c r="B79" s="1" t="n"/>
      <c r="C79" s="14" t="inlineStr">
        <is>
          <t>Operating Profit - EBIT</t>
        </is>
      </c>
      <c r="D79" s="16">
        <f>SUM(D75,D76)</f>
        <v>286.00367738955</v>
      </c>
      <c r="E79" s="16">
        <f>SUM(E75,E76)</f>
        <v>198.52431399</v>
      </c>
      <c r="F79" s="16">
        <f>SUM(F75,F76)</f>
        <v>297.260558362449</v>
      </c>
      <c r="G79" s="16">
        <f>SUM(G75,G76)</f>
        <v>425.874952659486</v>
      </c>
      <c r="H79" s="16">
        <f>SUM(D79:G79)</f>
        <v>1207.66350240148</v>
      </c>
      <c r="I79" s="16">
        <f>SUM(I75,I76)</f>
        <v>516.655018203258</v>
      </c>
      <c r="J79" s="16">
        <f>SUM(J75,J76)</f>
        <v>723.575592923751</v>
      </c>
      <c r="K79" s="16">
        <f>SUM(K75,K76)</f>
        <v>889.681744184223</v>
      </c>
      <c r="L79" s="16">
        <f>SUM(L75,L76)</f>
        <v>1000.63864468877</v>
      </c>
      <c r="M79" s="16">
        <f>SUM(I79:L79)</f>
        <v>3130.551</v>
      </c>
      <c r="N79" s="16">
        <f>SUM(N75,N76)</f>
        <v>1135.551</v>
      </c>
      <c r="O79" s="16">
        <f>SUM(O75,O76)</f>
        <v>1286.7492</v>
      </c>
      <c r="P79" s="16">
        <f>SUM(P75,P76)</f>
        <v>1428.00600045888</v>
      </c>
      <c r="Q79" s="16">
        <f>SUM(Q75,Q76)</f>
        <v>1266.51107638132</v>
      </c>
      <c r="R79" s="16">
        <f>SUM(N79:Q79)</f>
        <v>5116.8172768402</v>
      </c>
      <c r="S79" s="16">
        <f>SUM(S75,S76)</f>
        <v>1317.10472877048</v>
      </c>
      <c r="T79" s="16">
        <f>SUM(T75,T76)</f>
        <v>1588.10712919901</v>
      </c>
      <c r="U79" s="16">
        <f>SUM(U75,U76)</f>
        <v>1367.86345690321</v>
      </c>
      <c r="V79" s="16">
        <f>SUM(V75,V76)</f>
        <v>591.595117058588</v>
      </c>
      <c r="W79" s="16">
        <f>SUM(S79:V79)</f>
        <v>4864.67043193129</v>
      </c>
      <c r="X79" s="16">
        <f>SUM(X75,X76)</f>
        <v>1539.16544358</v>
      </c>
      <c r="Y79" s="16">
        <f>SUM(Y75,Y76)</f>
        <v>1699.36630751</v>
      </c>
      <c r="Z79" s="16">
        <f>SUM(Z75,Z76)</f>
        <v>1702.08633073</v>
      </c>
      <c r="AA79" s="16">
        <f>SUM(AA75,AA76)</f>
        <v>1640.64084331</v>
      </c>
      <c r="AB79" s="16">
        <f>SUM(X79:AA79)</f>
        <v>6581.25892513</v>
      </c>
      <c r="AC79" s="16">
        <f>SUM(AC75,AC76)</f>
        <v>1749.60703809</v>
      </c>
      <c r="AD79" s="16">
        <f>SUM(AD75,AD76)</f>
        <v>1803.69487814</v>
      </c>
      <c r="AE79" s="16">
        <f>SUM(AE75,AE76)</f>
        <v>1734.80874238</v>
      </c>
      <c r="AF79" s="16">
        <f>SUM(AF75,AF76)</f>
        <v>2868.08848073</v>
      </c>
      <c r="AG79" s="16">
        <f>SUM(AC79:AF79)</f>
        <v>8156.19913934</v>
      </c>
      <c r="AH79" s="16">
        <f>SUM(AH75,AH76)</f>
        <v>1772.31258503</v>
      </c>
      <c r="AI79" s="16">
        <f>SUM(AI75,AI76)</f>
        <v>2098.32855057</v>
      </c>
      <c r="AJ79" s="16">
        <f>SUM(AJ75,AJ76)</f>
        <v>0</v>
      </c>
      <c r="AK79" s="16">
        <f>SUM(AK75,AK76)</f>
        <v>0</v>
      </c>
      <c r="AL79" s="16">
        <f>SUM(AL75,AL76)</f>
        <v>3870.6411356</v>
      </c>
      <c r="AM79" s="16">
        <f>SUM(AM75,AM76)</f>
        <v>0</v>
      </c>
      <c r="AN79" s="16">
        <f>SUM(AN75,AN76)</f>
        <v>0</v>
      </c>
      <c r="AO79" s="16">
        <f>SUM(AO75,AO76)</f>
        <v>0</v>
      </c>
      <c r="AP79" s="16">
        <f>SUM(AP75,AP76)</f>
        <v>0</v>
      </c>
      <c r="AQ79" s="16">
        <f>SUM(AQ75,AQ76)</f>
        <v>0</v>
      </c>
      <c r="AR79" s="16">
        <f>SUM(AR75,AR76)</f>
        <v>0</v>
      </c>
      <c r="AS79" s="16">
        <f>SUM(AS75,AS76)</f>
        <v>0</v>
      </c>
      <c r="AT79" s="16">
        <f>SUM(AT75,AT76)</f>
        <v>0</v>
      </c>
      <c r="AU79" s="16">
        <f>SUM(AU75,AU76)</f>
        <v>0</v>
      </c>
      <c r="AV79" s="16">
        <f>SUM(AV75,AV76)</f>
        <v>0</v>
      </c>
      <c r="AW79" s="16">
        <f>SUM(AW75,AW76)</f>
        <v>0</v>
      </c>
      <c r="AX79" s="16">
        <f>SUM(AX75,AX76)</f>
        <v>0</v>
      </c>
      <c r="AY79" s="16">
        <f>SUM(AY75,AY76)</f>
        <v>0</v>
      </c>
      <c r="AZ79" s="16">
        <f>SUM(AZ75,AZ76)</f>
        <v>0</v>
      </c>
      <c r="BA79" s="16">
        <f>SUM(BA75,BA76)</f>
        <v>0</v>
      </c>
      <c r="BB79" s="16">
        <f>SUM(BB75,BB76)</f>
        <v>0</v>
      </c>
      <c r="BC79" s="16">
        <f>SUM(BC75,BC76)</f>
        <v>0</v>
      </c>
      <c r="BD79" s="16">
        <f>SUM(BD75,BD76)</f>
        <v>0</v>
      </c>
      <c r="BE79" s="16">
        <f>SUM(BE75,BE76)</f>
        <v>0</v>
      </c>
      <c r="BF79" s="16">
        <f>SUM(BF75,BF76)</f>
        <v>0</v>
      </c>
      <c r="BG79" s="16">
        <f>SUM(BG75,BG76)</f>
        <v>0</v>
      </c>
      <c r="BH79" s="16">
        <f>SUM(BH75,BH76)</f>
        <v>0</v>
      </c>
      <c r="BI79" s="16">
        <f>SUM(BI75,BI76)</f>
        <v>0</v>
      </c>
      <c r="BJ79" s="16">
        <f>SUM(BJ75,BJ76)</f>
        <v>0</v>
      </c>
      <c r="BK79" s="16">
        <f>SUM(BK75,BK76)</f>
        <v>0</v>
      </c>
      <c r="BL79" s="16">
        <f>SUM(BL75,BL76)</f>
        <v>0</v>
      </c>
      <c r="BM79" s="16">
        <f>SUM(BM75,BM76)</f>
        <v>0</v>
      </c>
      <c r="BN79" s="16">
        <f>SUM(BN75,BN76)</f>
        <v>0</v>
      </c>
      <c r="BO79" s="16">
        <f>SUM(BO75,BO76)</f>
        <v>0</v>
      </c>
      <c r="BP79" s="16">
        <f>SUM(BP75,BP76)</f>
        <v>0</v>
      </c>
      <c r="BQ79" s="16">
        <f>SUM(BQ75,BQ76)</f>
        <v>0</v>
      </c>
      <c r="BR79" s="16">
        <f>SUM(BR75,BR76)</f>
        <v>0</v>
      </c>
      <c r="BS79" s="16">
        <f>SUM(BS75,BS76)</f>
        <v>0</v>
      </c>
      <c r="BT79" s="16">
        <f>SUM(BT75,BT76)</f>
        <v>0</v>
      </c>
      <c r="BU79" s="16">
        <f>SUM(BU75,BU76)</f>
        <v>0</v>
      </c>
      <c r="BV79" s="16">
        <f>SUM(BV75,BV76)</f>
        <v>0</v>
      </c>
      <c r="BW79" s="16">
        <f>SUM(BW75,BW76)</f>
        <v>0</v>
      </c>
      <c r="BX79" s="16">
        <f>SUM(BX75,BX76)</f>
        <v>0</v>
      </c>
      <c r="BY79" s="16">
        <f>SUM(BY75,BY76)</f>
        <v>0</v>
      </c>
      <c r="BZ79" s="16">
        <f>SUM(BZ75,BZ76)</f>
        <v>0</v>
      </c>
      <c r="CA79" s="16">
        <f>SUM(CA75,CA76)</f>
        <v>0</v>
      </c>
      <c r="CB79" s="16">
        <f>SUM(CB75,CB76)</f>
        <v>0</v>
      </c>
      <c r="CC79" s="16">
        <f>SUM(CC75,CC76)</f>
        <v>0</v>
      </c>
      <c r="CD79" s="16">
        <f>SUM(CD75,CD76)</f>
        <v>0</v>
      </c>
      <c r="CE79" s="16">
        <f>SUM(CE75,CE76)</f>
        <v>0</v>
      </c>
      <c r="CF79" s="16">
        <f>SUM(CF75,CF76)</f>
        <v>0</v>
      </c>
      <c r="CG79" s="16">
        <f>SUM(CG75,CG76)</f>
        <v>0</v>
      </c>
      <c r="CH79" s="16">
        <f>SUM(CH75,CH76)</f>
        <v>0</v>
      </c>
      <c r="CI79" s="16">
        <f>SUM(CI75,CI76)</f>
        <v>0</v>
      </c>
      <c r="CJ79" s="16">
        <f>SUM(CJ75,CJ76)</f>
        <v>0</v>
      </c>
      <c r="CK79" s="16">
        <f>SUM(CK75,CK76)</f>
        <v>0</v>
      </c>
      <c r="CL79" s="16">
        <f>SUM(CL75,CL76)</f>
        <v>0</v>
      </c>
      <c r="CM79" s="16">
        <f>SUM(CM75,CM76)</f>
        <v>0</v>
      </c>
      <c r="CN79" s="16">
        <f>SUM(CN75,CN76)</f>
        <v>0</v>
      </c>
      <c r="CO79" s="16">
        <f>SUM(CO75,CO76)</f>
        <v>0</v>
      </c>
      <c r="CP79" s="16">
        <f>SUM(CP75,CP76)</f>
        <v>0</v>
      </c>
      <c r="CQ79" s="16">
        <f>SUM(CQ75,CQ76)</f>
        <v>0</v>
      </c>
      <c r="CR79" s="16">
        <f>SUM(CR75,CR76)</f>
        <v>0</v>
      </c>
      <c r="CS79" s="16">
        <f>SUM(CS75,CS76)</f>
        <v>0</v>
      </c>
      <c r="CT79" s="16">
        <f>SUM(CT75,CT76)</f>
        <v>0</v>
      </c>
      <c r="CU79" s="16">
        <f>SUM(CU75,CU76)</f>
        <v>0</v>
      </c>
      <c r="CV79" s="16">
        <f>SUM(CV75,CV76)</f>
        <v>0</v>
      </c>
      <c r="CW79" s="16">
        <f>SUM(CW75,CW76)</f>
        <v>0</v>
      </c>
      <c r="CX79" s="16">
        <f>SUM(CX75,CX76)</f>
        <v>0</v>
      </c>
      <c r="CY79" s="16">
        <f>SUM(CY75,CY76)</f>
        <v>0</v>
      </c>
    </row>
    <row r="80">
      <c r="C80" s="26" t="inlineStr">
        <is>
          <t>Interest Expense</t>
        </is>
      </c>
      <c r="D80" s="25">
        <f>INDEX('Inputs (2)'!$D$8:$AL$8,MATCH(D$7,'Inputs (2)'!$D$2:$AL$2,0))</f>
        <v>-372.69143663</v>
      </c>
      <c r="E80" s="25">
        <f>INDEX('Inputs (2)'!$D$8:$AL$8,MATCH(E$7,'Inputs (2)'!$D$2:$AL$2,0))</f>
        <v>-154.39356281</v>
      </c>
      <c r="F80" s="25">
        <f>INDEX('Inputs (2)'!$D$8:$AL$8,MATCH(F$7,'Inputs (2)'!$D$2:$AL$2,0))</f>
        <v>-261.24800056</v>
      </c>
      <c r="G80" s="25">
        <f>INDEX('Inputs (2)'!$D$8:$AL$8,MATCH(G$7,'Inputs (2)'!$D$2:$AL$2,0))</f>
        <v>-265.869252565217</v>
      </c>
      <c r="H80" s="3">
        <f>SUM(D80:G80)</f>
        <v>-1054.20225256522</v>
      </c>
      <c r="I80" s="25">
        <f>INDEX('Inputs (2)'!$D$8:$AL$8,MATCH(I$7,'Inputs (2)'!$D$2:$AL$2,0))</f>
        <v>-454.957867286321</v>
      </c>
      <c r="J80" s="25">
        <f>INDEX('Inputs (2)'!$D$8:$AL$8,MATCH(J$7,'Inputs (2)'!$D$2:$AL$2,0))</f>
        <v>-191.11210572</v>
      </c>
      <c r="K80" s="25">
        <f>INDEX('Inputs (2)'!$D$8:$AL$8,MATCH(K$7,'Inputs (2)'!$D$2:$AL$2,0))</f>
        <v>-526.933886687027</v>
      </c>
      <c r="L80" s="25">
        <f>INDEX('Inputs (2)'!$D$8:$AL$8,MATCH(L$7,'Inputs (2)'!$D$2:$AL$2,0))</f>
        <v>-780.951140306653</v>
      </c>
      <c r="M80" s="3">
        <f>SUM(I80:L80)</f>
        <v>-1953.955</v>
      </c>
      <c r="N80" s="25">
        <f>INDEX('Inputs (2)'!$D$8:$AL$8,MATCH(N$7,'Inputs (2)'!$D$2:$AL$2,0))</f>
        <v>-1017.218</v>
      </c>
      <c r="O80" s="25">
        <f>INDEX('Inputs (2)'!$D$8:$AL$8,MATCH(O$7,'Inputs (2)'!$D$2:$AL$2,0))</f>
        <v>-1246.042</v>
      </c>
      <c r="P80" s="25">
        <f>INDEX('Inputs (2)'!$D$8:$AL$8,MATCH(P$7,'Inputs (2)'!$D$2:$AL$2,0))</f>
        <v>-1499.372</v>
      </c>
      <c r="Q80" s="25">
        <f>INDEX('Inputs (2)'!$D$8:$AL$8,MATCH(Q$7,'Inputs (2)'!$D$2:$AL$2,0))</f>
        <v>-1595.84051053528</v>
      </c>
      <c r="R80" s="3">
        <f>SUM(N80:Q80)</f>
        <v>-5358.47251053528</v>
      </c>
      <c r="S80" s="25">
        <f>INDEX('Inputs (2)'!$D$8:$AL$8,MATCH(S$7,'Inputs (2)'!$D$2:$AL$2,0))</f>
        <v>-1648.827</v>
      </c>
      <c r="T80" s="25">
        <f>INDEX('Inputs (2)'!$D$8:$AL$8,MATCH(T$7,'Inputs (2)'!$D$2:$AL$2,0))</f>
        <v>-1664.541</v>
      </c>
      <c r="U80" s="25">
        <f>INDEX('Inputs (2)'!$D$8:$AL$8,MATCH(U$7,'Inputs (2)'!$D$2:$AL$2,0))</f>
        <v>-1877.077</v>
      </c>
      <c r="V80" s="25">
        <f>INDEX('Inputs (2)'!$D$8:$AL$8,MATCH(V$7,'Inputs (2)'!$D$2:$AL$2,0))</f>
        <v>-1840.783</v>
      </c>
      <c r="W80" s="3">
        <f>SUM(S80:V80)</f>
        <v>-7031.228</v>
      </c>
      <c r="X80" s="25">
        <f>INDEX('Inputs (2)'!$D$8:$AL$8,MATCH(X$7,'Inputs (2)'!$D$2:$AL$2,0))</f>
        <v>-1808.78418443</v>
      </c>
      <c r="Y80" s="25">
        <f>INDEX('Inputs (2)'!$D$8:$AL$8,MATCH(Y$7,'Inputs (2)'!$D$2:$AL$2,0))</f>
        <v>-1862.35669101</v>
      </c>
      <c r="Z80" s="25">
        <f>INDEX('Inputs (2)'!$D$8:$AL$8,MATCH(Z$7,'Inputs (2)'!$D$2:$AL$2,0))</f>
        <v>-1990.90045149</v>
      </c>
      <c r="AA80" s="25">
        <f>INDEX('Inputs (2)'!$D$8:$AL$8,MATCH(AA$7,'Inputs (2)'!$D$2:$AL$2,0))</f>
        <v>-2181.35818543</v>
      </c>
      <c r="AB80" s="3">
        <f>SUM(X80:AA80)</f>
        <v>-7843.39951236</v>
      </c>
      <c r="AC80" s="25">
        <f>INDEX('Inputs (2)'!$D$8:$AL$8,MATCH(AC$7,'Inputs (2)'!$D$2:$AL$2,0))</f>
        <v>-2235.645</v>
      </c>
      <c r="AD80" s="25">
        <f>INDEX('Inputs (2)'!$D$8:$AL$8,MATCH(AD$7,'Inputs (2)'!$D$2:$AL$2,0))</f>
        <v>-2445.21</v>
      </c>
      <c r="AE80" s="25">
        <f>INDEX('Inputs (2)'!$D$8:$AL$8,MATCH(AE$7,'Inputs (2)'!$D$2:$AL$2,0))</f>
        <v>-2633.139</v>
      </c>
      <c r="AF80" s="25">
        <f>INDEX('Inputs (2)'!$D$8:$AL$8,MATCH(AF$7,'Inputs (2)'!$D$2:$AL$2,0))</f>
        <v>-2646.005</v>
      </c>
      <c r="AG80" s="3">
        <f>SUM(AC80:AF80)</f>
        <v>-9959.999</v>
      </c>
      <c r="AH80" s="3">
        <f>INDEX('Inputs (2)'!$D$8:$AL$8,MATCH(AH$7,'Inputs (2)'!$D$2:$AL$2,0))</f>
        <v>-2595.69</v>
      </c>
      <c r="AI80" s="3">
        <f>INDEX('Inputs (2)'!$D$8:$AL$8,MATCH(AI$7,'Inputs (2)'!$D$2:$AL$2,0))</f>
        <v>-2958.432</v>
      </c>
      <c r="AJ80" s="3" t="n"/>
      <c r="AK80" s="3" t="n"/>
      <c r="AL80" s="3">
        <f>SUM(AH80:AK80)</f>
        <v>-5554.122</v>
      </c>
      <c r="AM80" s="3" t="n"/>
      <c r="AN80" s="3" t="n"/>
      <c r="AO80" s="3" t="n"/>
      <c r="AP80" s="3" t="n"/>
      <c r="AQ80" s="3">
        <f>SUM(AM80:AP80)</f>
        <v>0</v>
      </c>
      <c r="AR80" s="3" t="n"/>
      <c r="AS80" s="3" t="n"/>
      <c r="AT80" s="3" t="n"/>
      <c r="AU80" s="3" t="n"/>
      <c r="AV80" s="3">
        <f>SUM(AR80:AU80)</f>
        <v>0</v>
      </c>
      <c r="AW80" s="3" t="n"/>
      <c r="AX80" s="3" t="n"/>
      <c r="AY80" s="3" t="n"/>
      <c r="AZ80" s="3" t="n"/>
      <c r="BA80" s="3">
        <f>SUM(AW80:AZ80)</f>
        <v>0</v>
      </c>
      <c r="BB80" s="3" t="n"/>
      <c r="BC80" s="3" t="n"/>
      <c r="BD80" s="3" t="n"/>
      <c r="BE80" s="3" t="n"/>
      <c r="BF80" s="3">
        <f>SUM(BB80:BE80)</f>
        <v>0</v>
      </c>
      <c r="BG80" s="3" t="n"/>
      <c r="BH80" s="3" t="n"/>
      <c r="BI80" s="3" t="n"/>
      <c r="BJ80" s="3" t="n"/>
      <c r="BK80" s="3">
        <f>SUM(BG80:BJ80)</f>
        <v>0</v>
      </c>
      <c r="BL80" s="3" t="n"/>
      <c r="BM80" s="3" t="n"/>
      <c r="BN80" s="3" t="n"/>
      <c r="BO80" s="3" t="n"/>
      <c r="BP80" s="3">
        <f>SUM(BL80:BO80)</f>
        <v>0</v>
      </c>
      <c r="BQ80" s="3" t="n"/>
      <c r="BR80" s="3" t="n"/>
      <c r="BS80" s="3" t="n"/>
      <c r="BT80" s="3" t="n"/>
      <c r="BU80" s="3">
        <f>SUM(BQ80:BT80)</f>
        <v>0</v>
      </c>
      <c r="BV80" s="3" t="n"/>
      <c r="BW80" s="3" t="n"/>
      <c r="BX80" s="3" t="n"/>
      <c r="BY80" s="3" t="n"/>
      <c r="BZ80" s="3">
        <f>SUM(BV80:BY80)</f>
        <v>0</v>
      </c>
      <c r="CA80" s="3" t="n"/>
      <c r="CB80" s="3" t="n"/>
      <c r="CC80" s="3" t="n"/>
      <c r="CD80" s="3" t="n"/>
      <c r="CE80" s="3">
        <f>SUM(CA80:CD80)</f>
        <v>0</v>
      </c>
      <c r="CF80" s="3" t="n"/>
      <c r="CG80" s="3" t="n"/>
      <c r="CH80" s="3" t="n"/>
      <c r="CI80" s="3" t="n"/>
      <c r="CJ80" s="3">
        <f>SUM(CF80:CI80)</f>
        <v>0</v>
      </c>
      <c r="CK80" s="3" t="n"/>
      <c r="CL80" s="3" t="n"/>
      <c r="CM80" s="3" t="n"/>
      <c r="CN80" s="3" t="n"/>
      <c r="CO80" s="3">
        <f>SUM(CK80:CN80)</f>
        <v>0</v>
      </c>
      <c r="CP80" s="3" t="n"/>
      <c r="CQ80" s="3" t="n"/>
      <c r="CR80" s="3" t="n"/>
      <c r="CS80" s="3" t="n"/>
      <c r="CT80" s="3">
        <f>SUM(CP80:CS80)</f>
        <v>0</v>
      </c>
      <c r="CU80" s="3" t="n"/>
      <c r="CV80" s="3" t="n"/>
      <c r="CW80" s="3" t="n"/>
      <c r="CX80" s="3" t="n"/>
      <c r="CY80" s="3">
        <f>SUM(CU80:CX80)</f>
        <v>0</v>
      </c>
    </row>
    <row r="81" hidden="1" outlineLevel="1">
      <c r="C81" s="32" t="inlineStr">
        <is>
          <t>% of Debt</t>
        </is>
      </c>
      <c r="D81" s="48">
        <f>IFERROR(-D80/SUM(D218+D223),0)</f>
        <v>0.0241644417796792</v>
      </c>
      <c r="E81" s="48">
        <f>IFERROR(-E80/SUM(E218+E223),0)</f>
        <v>0.0089572981356087</v>
      </c>
      <c r="F81" s="48">
        <f>IFERROR(-F80/SUM(F218+F223),0)</f>
        <v>0.0162505180923898</v>
      </c>
      <c r="G81" s="48">
        <f>IFERROR(-G80/SUM(G218+G223),0)</f>
        <v>0.0153119690183561</v>
      </c>
      <c r="H81" s="3" t="n"/>
      <c r="I81" s="48">
        <f>IFERROR(-I80/SUM(I218+I223),0)</f>
        <v>0.0197985345905291</v>
      </c>
      <c r="J81" s="48">
        <f>IFERROR(-J80/SUM(J218+J223),0)</f>
        <v>0.00850026740260966</v>
      </c>
      <c r="K81" s="48">
        <f>IFERROR(-K80/SUM(K218+K223),0)</f>
        <v>0.0185294826705983</v>
      </c>
      <c r="L81" s="48">
        <f>IFERROR(-L80/SUM(L218+L223),0)</f>
        <v>0.0232982540999931</v>
      </c>
      <c r="M81" s="3" t="n"/>
      <c r="N81" s="48">
        <f>IFERROR(-N80/SUM(N218+N223),0)</f>
        <v>0.0319237413937743</v>
      </c>
      <c r="O81" s="48">
        <f>IFERROR(-O80/SUM(O218+O223),0)</f>
        <v>0.0345298464019547</v>
      </c>
      <c r="P81" s="48">
        <f>IFERROR(-P80/SUM(P218+P223),0)</f>
        <v>0.0377705573888666</v>
      </c>
      <c r="Q81" s="48">
        <f>IFERROR(-Q80/SUM(Q218+Q223),0)</f>
        <v>0.0417684725013827</v>
      </c>
      <c r="R81" s="3" t="n"/>
      <c r="S81" s="48">
        <f>IFERROR(-S80/SUM(S218+S223),0)</f>
        <v>0.0434710898981793</v>
      </c>
      <c r="T81" s="48">
        <f>IFERROR(-T80/SUM(T218+T223),0)</f>
        <v>0.0426863854492895</v>
      </c>
      <c r="U81" s="48">
        <f>IFERROR(-U80/SUM(U218+U223),0)</f>
        <v>0.0475646639952716</v>
      </c>
      <c r="V81" s="48">
        <f>IFERROR(-V80/SUM(V218+V223),0)</f>
        <v>0.0422645941516905</v>
      </c>
      <c r="W81" s="3" t="n"/>
      <c r="X81" s="48">
        <f>IFERROR(-X80/SUM(X218+X223),0)</f>
        <v>0.0386284654061491</v>
      </c>
      <c r="Y81" s="48">
        <f>IFERROR(-Y80/SUM(Y218+Y223),0)</f>
        <v>0.0378090783951211</v>
      </c>
      <c r="Z81" s="48">
        <f>IFERROR(-Z80/SUM(Z218+Z223),0)</f>
        <v>0.0377902701742684</v>
      </c>
      <c r="AA81" s="48">
        <f>IFERROR(-AA80/SUM(AA218+AA223),0)</f>
        <v>0.0398424610756071</v>
      </c>
      <c r="AB81" s="3" t="n"/>
      <c r="AC81" s="48">
        <f>IFERROR(-AC80/SUM(AC218+AC223),0)</f>
        <v>0.0402473198761642</v>
      </c>
      <c r="AD81" s="48">
        <f>IFERROR(-AD80/SUM(AD218+AD223),0)</f>
        <v>0.0447006148998768</v>
      </c>
      <c r="AE81" s="48">
        <f>IFERROR(-AE80/SUM(AE218+AE223),0)</f>
        <v>0.0492133235995884</v>
      </c>
      <c r="AF81" s="231">
        <f>IFERROR(-AF80/SUM(AF218+AF223),0)</f>
        <v>0.0474845231827144</v>
      </c>
      <c r="AG81" s="3" t="n"/>
      <c r="AH81" s="6">
        <f>IFERROR(-AH80/SUM(AH218+AH223),0)</f>
        <v>0.0455121467888223</v>
      </c>
      <c r="AI81" s="6">
        <f>IFERROR(-AI80/SUM(AI218+AI223),0)</f>
        <v>0.052689956738252</v>
      </c>
      <c r="AJ81" s="6" t="n"/>
      <c r="AK81" s="6" t="n"/>
      <c r="AL81" s="3" t="n"/>
      <c r="AM81" s="6" t="n"/>
      <c r="AN81" s="6" t="n"/>
      <c r="AO81" s="6" t="n"/>
      <c r="AP81" s="6" t="n"/>
      <c r="AQ81" s="3" t="n"/>
      <c r="AR81" s="6" t="n"/>
      <c r="AS81" s="6" t="n"/>
      <c r="AT81" s="6" t="n"/>
      <c r="AU81" s="6" t="n"/>
      <c r="AV81" s="3" t="n"/>
      <c r="AW81" s="6" t="n"/>
      <c r="AX81" s="6" t="n"/>
      <c r="AY81" s="6" t="n"/>
      <c r="AZ81" s="6" t="n"/>
      <c r="BA81" s="3" t="n"/>
      <c r="BB81" s="6" t="n"/>
      <c r="BC81" s="6" t="n"/>
      <c r="BD81" s="6" t="n"/>
      <c r="BE81" s="6" t="n"/>
      <c r="BF81" s="3" t="n"/>
      <c r="BG81" s="6" t="n"/>
      <c r="BH81" s="6" t="n"/>
      <c r="BI81" s="6" t="n"/>
      <c r="BJ81" s="6" t="n"/>
      <c r="BK81" s="3" t="n"/>
      <c r="BL81" s="6" t="n"/>
      <c r="BM81" s="6" t="n"/>
      <c r="BN81" s="6" t="n"/>
      <c r="BO81" s="6" t="n"/>
      <c r="BP81" s="3" t="n"/>
      <c r="BQ81" s="6" t="n"/>
      <c r="BR81" s="6" t="n"/>
      <c r="BS81" s="6" t="n"/>
      <c r="BT81" s="6" t="n"/>
      <c r="BU81" s="3" t="n"/>
      <c r="BV81" s="6" t="n"/>
      <c r="BW81" s="6" t="n"/>
      <c r="BX81" s="6" t="n"/>
      <c r="BY81" s="6" t="n"/>
      <c r="BZ81" s="3" t="n"/>
      <c r="CA81" s="6" t="n"/>
      <c r="CB81" s="6" t="n"/>
      <c r="CC81" s="6" t="n"/>
      <c r="CD81" s="6" t="n"/>
      <c r="CE81" s="3" t="n"/>
      <c r="CF81" s="6" t="n"/>
      <c r="CG81" s="6" t="n"/>
      <c r="CH81" s="6" t="n"/>
      <c r="CI81" s="6" t="n"/>
      <c r="CJ81" s="3" t="n"/>
      <c r="CK81" s="6" t="n"/>
      <c r="CL81" s="6" t="n"/>
      <c r="CM81" s="6" t="n"/>
      <c r="CN81" s="6" t="n"/>
      <c r="CO81" s="3" t="n"/>
      <c r="CP81" s="6" t="n"/>
      <c r="CQ81" s="6" t="n"/>
      <c r="CR81" s="6" t="n"/>
      <c r="CS81" s="6" t="n"/>
      <c r="CT81" s="3" t="n"/>
      <c r="CU81" s="6" t="n"/>
      <c r="CV81" s="6" t="n"/>
      <c r="CW81" s="6" t="n"/>
      <c r="CX81" s="6" t="n"/>
      <c r="CY81" s="3" t="n"/>
    </row>
    <row r="82" hidden="1" outlineLevel="1">
      <c r="C82" s="32" t="inlineStr">
        <is>
          <t>%CDI</t>
        </is>
      </c>
      <c r="D82" s="6" t="n"/>
      <c r="E82" s="6" t="n"/>
      <c r="F82" s="6" t="n"/>
      <c r="G82" s="6" t="n"/>
      <c r="H82" s="3" t="n"/>
      <c r="I82" s="6" t="n"/>
      <c r="J82" s="6" t="n"/>
      <c r="K82" s="6" t="n"/>
      <c r="L82" s="6" t="n"/>
      <c r="M82" s="3" t="n"/>
      <c r="N82" s="6" t="n"/>
      <c r="O82" s="6" t="n"/>
      <c r="P82" s="6" t="n"/>
      <c r="Q82" s="6" t="n"/>
      <c r="R82" s="3" t="n"/>
      <c r="S82" s="6" t="n"/>
      <c r="T82" s="6" t="n"/>
      <c r="U82" s="6" t="n"/>
      <c r="V82" s="6" t="n"/>
      <c r="W82" s="3" t="n"/>
      <c r="X82" s="6" t="n"/>
      <c r="Y82" s="6" t="n"/>
      <c r="Z82" s="6" t="n"/>
      <c r="AA82" s="6" t="n"/>
      <c r="AB82" s="3" t="n"/>
      <c r="AC82" s="6" t="n"/>
      <c r="AD82" s="6" t="n"/>
      <c r="AE82" s="6" t="n"/>
      <c r="AF82" s="6" t="n"/>
      <c r="AG82" s="3" t="n"/>
      <c r="AH82" s="6" t="n"/>
      <c r="AI82" s="6" t="n"/>
      <c r="AJ82" s="6" t="n"/>
      <c r="AK82" s="6" t="n"/>
      <c r="AL82" s="3" t="n"/>
      <c r="AM82" s="6" t="n"/>
      <c r="AN82" s="6" t="n"/>
      <c r="AO82" s="6" t="n"/>
      <c r="AP82" s="6" t="n"/>
      <c r="AQ82" s="3" t="n"/>
      <c r="AR82" s="6" t="n"/>
      <c r="AS82" s="6" t="n"/>
      <c r="AT82" s="6" t="n"/>
      <c r="AU82" s="6" t="n"/>
      <c r="AV82" s="3" t="n"/>
      <c r="AW82" s="6" t="n"/>
      <c r="AX82" s="6" t="n"/>
      <c r="AY82" s="6" t="n"/>
      <c r="AZ82" s="6" t="n"/>
      <c r="BA82" s="3" t="n"/>
      <c r="BB82" s="6" t="n"/>
      <c r="BC82" s="6" t="n"/>
      <c r="BD82" s="6" t="n"/>
      <c r="BE82" s="6" t="n"/>
      <c r="BF82" s="3" t="n"/>
      <c r="BG82" s="6" t="n"/>
      <c r="BH82" s="6" t="n"/>
      <c r="BI82" s="6" t="n"/>
      <c r="BJ82" s="6" t="n"/>
      <c r="BK82" s="3" t="n"/>
      <c r="BL82" s="6" t="n"/>
      <c r="BM82" s="6" t="n"/>
      <c r="BN82" s="6" t="n"/>
      <c r="BO82" s="6" t="n"/>
      <c r="BP82" s="3" t="n"/>
      <c r="BQ82" s="6" t="n"/>
      <c r="BR82" s="6" t="n"/>
      <c r="BS82" s="6" t="n"/>
      <c r="BT82" s="6" t="n"/>
      <c r="BU82" s="3" t="n"/>
      <c r="BV82" s="6" t="n"/>
      <c r="BW82" s="6" t="n"/>
      <c r="BX82" s="6" t="n"/>
      <c r="BY82" s="6" t="n"/>
      <c r="BZ82" s="3" t="n"/>
      <c r="CA82" s="6" t="n"/>
      <c r="CB82" s="6" t="n"/>
      <c r="CC82" s="6" t="n"/>
      <c r="CD82" s="6" t="n"/>
      <c r="CE82" s="3" t="n"/>
      <c r="CF82" s="6" t="n"/>
      <c r="CG82" s="6" t="n"/>
      <c r="CH82" s="6" t="n"/>
      <c r="CI82" s="6" t="n"/>
      <c r="CJ82" s="3" t="n"/>
      <c r="CK82" s="6" t="n"/>
      <c r="CL82" s="6" t="n"/>
      <c r="CM82" s="6" t="n"/>
      <c r="CN82" s="6" t="n"/>
      <c r="CO82" s="3" t="n"/>
      <c r="CP82" s="6" t="n"/>
      <c r="CQ82" s="6" t="n"/>
      <c r="CR82" s="6" t="n"/>
      <c r="CS82" s="6" t="n"/>
      <c r="CT82" s="3" t="n"/>
      <c r="CU82" s="6" t="n"/>
      <c r="CV82" s="6" t="n"/>
      <c r="CW82" s="6" t="n"/>
      <c r="CX82" s="6" t="n"/>
      <c r="CY82" s="3" t="n"/>
    </row>
    <row r="83" hidden="1" outlineLevel="1">
      <c r="C83" s="34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  <c r="CU83" s="3" t="n"/>
      <c r="CV83" s="3" t="n"/>
      <c r="CW83" s="3" t="n"/>
      <c r="CX83" s="3" t="n"/>
      <c r="CY83" s="3" t="n"/>
    </row>
    <row r="84" hidden="1" outlineLevel="1">
      <c r="C84" s="34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  <c r="CU84" s="3" t="n"/>
      <c r="CV84" s="3" t="n"/>
      <c r="CW84" s="3" t="n"/>
      <c r="CX84" s="3" t="n"/>
      <c r="CY84" s="3" t="n"/>
    </row>
    <row r="85" hidden="1" outlineLevel="1">
      <c r="C85" s="34" t="inlineStr">
        <is>
          <t>RECEITA FINANCEIRA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  <c r="CU85" s="3" t="n"/>
      <c r="CV85" s="3" t="n"/>
      <c r="CW85" s="3" t="n"/>
      <c r="CX85" s="3" t="n"/>
      <c r="CY85" s="3" t="n"/>
    </row>
    <row r="86" hidden="1" outlineLevel="1">
      <c r="C86" s="34" t="inlineStr">
        <is>
          <t>DESPESA FINANCEIRA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  <c r="CU86" s="3" t="n"/>
      <c r="CV86" s="3" t="n"/>
      <c r="CW86" s="3" t="n"/>
      <c r="CX86" s="3" t="n"/>
      <c r="CY86" s="3" t="n"/>
    </row>
    <row r="87" hidden="1" outlineLevel="1">
      <c r="C87" s="34" t="inlineStr">
        <is>
          <t>OUTROS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  <c r="CU87" s="3" t="n"/>
      <c r="CV87" s="3" t="n"/>
      <c r="CW87" s="3" t="n"/>
      <c r="CX87" s="3" t="n"/>
      <c r="CY87" s="3" t="n"/>
    </row>
    <row r="88" hidden="1" outlineLevel="1">
      <c r="C88" s="34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  <c r="CU88" s="3" t="n"/>
      <c r="CV88" s="3" t="n"/>
      <c r="CW88" s="3" t="n"/>
      <c r="CX88" s="3" t="n"/>
      <c r="CY88" s="3" t="n"/>
    </row>
    <row r="89" hidden="1" outlineLevel="1">
      <c r="C89" s="34" t="inlineStr">
        <is>
          <t>Cash and equivalents (inc. investment securities)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  <c r="CU89" s="3" t="n"/>
      <c r="CV89" s="3" t="n"/>
      <c r="CW89" s="3" t="n"/>
      <c r="CX89" s="3" t="n"/>
      <c r="CY89" s="3" t="n"/>
    </row>
    <row r="90" hidden="1" outlineLevel="1">
      <c r="C90" s="34" t="inlineStr">
        <is>
          <t>Interest on cash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  <c r="CU90" s="3" t="n"/>
      <c r="CV90" s="3" t="n"/>
      <c r="CW90" s="3" t="n"/>
      <c r="CX90" s="3" t="n"/>
      <c r="CY90" s="3" t="n"/>
    </row>
    <row r="91" hidden="1" outlineLevel="1">
      <c r="C91" s="34" t="inlineStr">
        <is>
          <t>Average interest rate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  <c r="CU91" s="3" t="n"/>
      <c r="CV91" s="3" t="n"/>
      <c r="CW91" s="3" t="n"/>
      <c r="CX91" s="3" t="n"/>
      <c r="CY91" s="3" t="n"/>
    </row>
    <row r="92" hidden="1" outlineLevel="1">
      <c r="C92" s="34" t="inlineStr">
        <is>
          <t>% CDI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  <c r="CU92" s="3" t="n"/>
      <c r="CV92" s="3" t="n"/>
      <c r="CW92" s="3" t="n"/>
      <c r="CX92" s="3" t="n"/>
      <c r="CY92" s="3" t="n"/>
    </row>
    <row r="93" hidden="1" outlineLevel="1">
      <c r="C93" s="34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  <c r="CU93" s="3" t="n"/>
      <c r="CV93" s="3" t="n"/>
      <c r="CW93" s="3" t="n"/>
      <c r="CX93" s="3" t="n"/>
      <c r="CY93" s="3" t="n"/>
    </row>
    <row r="94" hidden="1" outlineLevel="1">
      <c r="C94" s="34" t="inlineStr">
        <is>
          <t>Current portion of long-term debt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  <c r="CU94" s="3" t="n"/>
      <c r="CV94" s="3" t="n"/>
      <c r="CW94" s="3" t="n"/>
      <c r="CX94" s="3" t="n"/>
      <c r="CY94" s="3" t="n"/>
    </row>
    <row r="95" hidden="1" outlineLevel="1">
      <c r="C95" s="34" t="inlineStr">
        <is>
          <t>Short term debt (Revolving credit facility)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  <c r="CU95" s="3" t="n"/>
      <c r="CV95" s="3" t="n"/>
      <c r="CW95" s="3" t="n"/>
      <c r="CX95" s="3" t="n"/>
      <c r="CY95" s="3" t="n"/>
    </row>
    <row r="96" hidden="1" outlineLevel="1">
      <c r="C96" s="34" t="inlineStr">
        <is>
          <t>Long term debt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  <c r="CU96" s="3" t="n"/>
      <c r="CV96" s="3" t="n"/>
      <c r="CW96" s="3" t="n"/>
      <c r="CX96" s="3" t="n"/>
      <c r="CY96" s="3" t="n"/>
    </row>
    <row r="97" hidden="1" outlineLevel="1">
      <c r="C97" s="34" t="inlineStr">
        <is>
          <t>Convertible debt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  <c r="CU97" s="3" t="n"/>
      <c r="CV97" s="3" t="n"/>
      <c r="CW97" s="3" t="n"/>
      <c r="CX97" s="3" t="n"/>
      <c r="CY97" s="3" t="n"/>
    </row>
    <row r="98" hidden="1" outlineLevel="1">
      <c r="C98" s="34" t="inlineStr">
        <is>
          <t>Total debt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  <c r="CU98" s="3" t="n"/>
      <c r="CV98" s="3" t="n"/>
      <c r="CW98" s="3" t="n"/>
      <c r="CX98" s="3" t="n"/>
      <c r="CY98" s="3" t="n"/>
    </row>
    <row r="99" hidden="1" outlineLevel="1">
      <c r="C99" s="34" t="inlineStr">
        <is>
          <t>Interest expense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  <c r="CU99" s="3" t="n"/>
      <c r="CV99" s="3" t="n"/>
      <c r="CW99" s="3" t="n"/>
      <c r="CX99" s="3" t="n"/>
      <c r="CY99" s="3" t="n"/>
    </row>
    <row r="100" hidden="1" outlineLevel="1">
      <c r="C100" s="34" t="inlineStr">
        <is>
          <t>Average interest rate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  <c r="CU100" s="3" t="n"/>
      <c r="CV100" s="3" t="n"/>
      <c r="CW100" s="3" t="n"/>
      <c r="CX100" s="3" t="n"/>
      <c r="CY100" s="3" t="n"/>
    </row>
    <row r="101" hidden="1" outlineLevel="1">
      <c r="C101" s="34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  <c r="CU101" s="3" t="n"/>
      <c r="CV101" s="3" t="n"/>
      <c r="CW101" s="3" t="n"/>
      <c r="CX101" s="3" t="n"/>
      <c r="CY101" s="3" t="n"/>
    </row>
    <row r="102" hidden="1" outlineLevel="1">
      <c r="C102" s="34" t="inlineStr">
        <is>
          <t>Stake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  <c r="CU102" s="3" t="n"/>
      <c r="CV102" s="3" t="n"/>
      <c r="CW102" s="3" t="n"/>
      <c r="CX102" s="3" t="n"/>
      <c r="CY102" s="3" t="n"/>
    </row>
    <row r="103" hidden="1" outlineLevel="1">
      <c r="C103" s="34" t="inlineStr">
        <is>
          <t>PRE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  <c r="CU103" s="3" t="n"/>
      <c r="CV103" s="3" t="n"/>
      <c r="CW103" s="3" t="n"/>
      <c r="CX103" s="3" t="n"/>
      <c r="CY103" s="3" t="n"/>
    </row>
    <row r="104" hidden="1" outlineLevel="1">
      <c r="C104" s="34" t="inlineStr">
        <is>
          <t>CDI+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  <c r="BJ104" s="3" t="n"/>
      <c r="BK104" s="3" t="n"/>
      <c r="BL104" s="3" t="n"/>
      <c r="BM104" s="3" t="n"/>
      <c r="BN104" s="3" t="n"/>
      <c r="BO104" s="3" t="n"/>
      <c r="BP104" s="3" t="n"/>
      <c r="BQ104" s="3" t="n"/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  <c r="CA104" s="3" t="n"/>
      <c r="CB104" s="3" t="n"/>
      <c r="CC104" s="3" t="n"/>
      <c r="CD104" s="3" t="n"/>
      <c r="CE104" s="3" t="n"/>
      <c r="CF104" s="3" t="n"/>
      <c r="CG104" s="3" t="n"/>
      <c r="CH104" s="3" t="n"/>
      <c r="CI104" s="3" t="n"/>
      <c r="CJ104" s="3" t="n"/>
      <c r="CK104" s="3" t="n"/>
      <c r="CL104" s="3" t="n"/>
      <c r="CM104" s="3" t="n"/>
      <c r="CN104" s="3" t="n"/>
      <c r="CO104" s="3" t="n"/>
      <c r="CP104" s="3" t="n"/>
      <c r="CQ104" s="3" t="n"/>
      <c r="CR104" s="3" t="n"/>
      <c r="CS104" s="3" t="n"/>
      <c r="CT104" s="3" t="n"/>
      <c r="CU104" s="3" t="n"/>
      <c r="CV104" s="3" t="n"/>
      <c r="CW104" s="3" t="n"/>
      <c r="CX104" s="3" t="n"/>
      <c r="CY104" s="3" t="n"/>
    </row>
    <row r="105" hidden="1" outlineLevel="1">
      <c r="C105" s="34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  <c r="BK105" s="3" t="n"/>
      <c r="BL105" s="3" t="n"/>
      <c r="BM105" s="3" t="n"/>
      <c r="BN105" s="3" t="n"/>
      <c r="BO105" s="3" t="n"/>
      <c r="BP105" s="3" t="n"/>
      <c r="BQ105" s="3" t="n"/>
      <c r="BR105" s="3" t="n"/>
      <c r="BS105" s="3" t="n"/>
      <c r="BT105" s="3" t="n"/>
      <c r="BU105" s="3" t="n"/>
      <c r="BV105" s="3" t="n"/>
      <c r="BW105" s="3" t="n"/>
      <c r="BX105" s="3" t="n"/>
      <c r="BY105" s="3" t="n"/>
      <c r="BZ105" s="3" t="n"/>
      <c r="CA105" s="3" t="n"/>
      <c r="CB105" s="3" t="n"/>
      <c r="CC105" s="3" t="n"/>
      <c r="CD105" s="3" t="n"/>
      <c r="CE105" s="3" t="n"/>
      <c r="CF105" s="3" t="n"/>
      <c r="CG105" s="3" t="n"/>
      <c r="CH105" s="3" t="n"/>
      <c r="CI105" s="3" t="n"/>
      <c r="CJ105" s="3" t="n"/>
      <c r="CK105" s="3" t="n"/>
      <c r="CL105" s="3" t="n"/>
      <c r="CM105" s="3" t="n"/>
      <c r="CN105" s="3" t="n"/>
      <c r="CO105" s="3" t="n"/>
      <c r="CP105" s="3" t="n"/>
      <c r="CQ105" s="3" t="n"/>
      <c r="CR105" s="3" t="n"/>
      <c r="CS105" s="3" t="n"/>
      <c r="CT105" s="3" t="n"/>
      <c r="CU105" s="3" t="n"/>
      <c r="CV105" s="3" t="n"/>
      <c r="CW105" s="3" t="n"/>
      <c r="CX105" s="3" t="n"/>
      <c r="CY105" s="3" t="n"/>
    </row>
    <row r="106" hidden="1" outlineLevel="1">
      <c r="C106" s="34" t="inlineStr">
        <is>
          <t>Spread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  <c r="CU106" s="3" t="n"/>
      <c r="CV106" s="3" t="n"/>
      <c r="CW106" s="3" t="n"/>
      <c r="CX106" s="3" t="n"/>
      <c r="CY106" s="3" t="n"/>
    </row>
    <row r="107" hidden="1" outlineLevel="1">
      <c r="C107" s="34" t="inlineStr">
        <is>
          <t>PRE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  <c r="CU107" s="3" t="n"/>
      <c r="CV107" s="3" t="n"/>
      <c r="CW107" s="3" t="n"/>
      <c r="CX107" s="3" t="n"/>
      <c r="CY107" s="3" t="n"/>
    </row>
    <row r="108" hidden="1" outlineLevel="1">
      <c r="C108" s="34" t="inlineStr">
        <is>
          <t>CDI+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  <c r="CU108" s="3" t="n"/>
      <c r="CV108" s="3" t="n"/>
      <c r="CW108" s="3" t="n"/>
      <c r="CX108" s="3" t="n"/>
      <c r="CY108" s="3" t="n"/>
    </row>
    <row r="109" hidden="1" outlineLevel="1">
      <c r="C109" s="34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  <c r="CU109" s="3" t="n"/>
      <c r="CV109" s="3" t="n"/>
      <c r="CW109" s="3" t="n"/>
      <c r="CX109" s="3" t="n"/>
      <c r="CY109" s="3" t="n"/>
    </row>
    <row r="110" hidden="1" outlineLevel="1">
      <c r="C110" s="34" t="inlineStr">
        <is>
          <t>RECEITAS FINANCEIRAS - Rendimentos de aplicações financeiras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  <c r="CU110" s="3" t="n"/>
      <c r="CV110" s="3" t="n"/>
      <c r="CW110" s="3" t="n"/>
      <c r="CX110" s="3" t="n"/>
      <c r="CY110" s="3" t="n"/>
    </row>
    <row r="111" hidden="1" outlineLevel="1">
      <c r="C111" s="34" t="inlineStr">
        <is>
          <t>RECEITAS FINANCEIRAS - Variação cambial ativa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  <c r="CU111" s="3" t="n"/>
      <c r="CV111" s="3" t="n"/>
      <c r="CW111" s="3" t="n"/>
      <c r="CX111" s="3" t="n"/>
      <c r="CY111" s="3" t="n"/>
    </row>
    <row r="112" hidden="1" outlineLevel="1">
      <c r="C112" s="34" t="inlineStr">
        <is>
          <t>RECEITAS FINANCEIRAS - Atualização de contas a pagar por aquisição de empresas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  <c r="CU112" s="3" t="n"/>
      <c r="CV112" s="3" t="n"/>
      <c r="CW112" s="3" t="n"/>
      <c r="CX112" s="3" t="n"/>
      <c r="CY112" s="3" t="n"/>
    </row>
    <row r="113" hidden="1" outlineLevel="1">
      <c r="C113" s="34" t="inlineStr">
        <is>
          <t>RECEITAS FINANCEIRAS - Resultado positivo com instrumentos derivativos</t>
        </is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  <c r="CU113" s="3" t="n"/>
      <c r="CV113" s="3" t="n"/>
      <c r="CW113" s="3" t="n"/>
      <c r="CX113" s="3" t="n"/>
      <c r="CY113" s="3" t="n"/>
    </row>
    <row r="114" hidden="1" outlineLevel="1">
      <c r="C114" s="34" t="inlineStr">
        <is>
          <t>RECEITAS FINANCEIRAS - Descontos obtidos de fornecedores por antecipação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  <c r="CU114" s="3" t="n"/>
      <c r="CV114" s="3" t="n"/>
      <c r="CW114" s="3" t="n"/>
      <c r="CX114" s="3" t="n"/>
      <c r="CY114" s="3" t="n"/>
    </row>
    <row r="115" hidden="1" outlineLevel="1">
      <c r="C115" s="34" t="inlineStr">
        <is>
          <t>RECEITAS FINANCEIRAS - Atualização monetária sobre Exclusão ICMS da base de PIS/COFINS (nota explicativa nº 7)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  <c r="CU115" s="3" t="n"/>
      <c r="CV115" s="3" t="n"/>
      <c r="CW115" s="3" t="n"/>
      <c r="CX115" s="3" t="n"/>
      <c r="CY115" s="3" t="n"/>
    </row>
    <row r="116" hidden="1" outlineLevel="1">
      <c r="C116" s="34" t="inlineStr">
        <is>
          <t>RECEITAS FINANCEIRAS - Outras</t>
        </is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  <c r="CU116" s="3" t="n"/>
      <c r="CV116" s="3" t="n"/>
      <c r="CW116" s="3" t="n"/>
      <c r="CX116" s="3" t="n"/>
      <c r="CY116" s="3" t="n"/>
    </row>
    <row r="117" hidden="1" outlineLevel="1">
      <c r="C117" s="34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  <c r="CU117" s="3" t="n"/>
      <c r="CV117" s="3" t="n"/>
      <c r="CW117" s="3" t="n"/>
      <c r="CX117" s="3" t="n"/>
      <c r="CY117" s="3" t="n"/>
    </row>
    <row r="118" hidden="1" outlineLevel="1">
      <c r="C118" s="34" t="inlineStr">
        <is>
          <t>DESPESAS FINANCEIRAS - Encargos sobre empréstimos, financiamentos e debêntures</t>
        </is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  <c r="CU118" s="3" t="n"/>
      <c r="CV118" s="3" t="n"/>
      <c r="CW118" s="3" t="n"/>
      <c r="CX118" s="3" t="n"/>
      <c r="CY118" s="3" t="n"/>
    </row>
    <row r="119" hidden="1" outlineLevel="1">
      <c r="C119" s="34" t="inlineStr">
        <is>
          <t>DESPESAS FINANCEIRAS - Variação cambial passiva</t>
        </is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  <c r="CS119" s="3" t="n"/>
      <c r="CT119" s="3" t="n"/>
      <c r="CU119" s="3" t="n"/>
      <c r="CV119" s="3" t="n"/>
      <c r="CW119" s="3" t="n"/>
      <c r="CX119" s="3" t="n"/>
      <c r="CY119" s="3" t="n"/>
    </row>
    <row r="120" hidden="1" outlineLevel="1">
      <c r="C120" s="34" t="inlineStr">
        <is>
          <t>DESPESAS FINANCEIRAS - Resultado negativo com instrumentos derivativos</t>
        </is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  <c r="CU120" s="3" t="n"/>
      <c r="CV120" s="3" t="n"/>
      <c r="CW120" s="3" t="n"/>
      <c r="CX120" s="3" t="n"/>
      <c r="CY120" s="3" t="n"/>
    </row>
    <row r="121" hidden="1" outlineLevel="1">
      <c r="C121" s="34" t="inlineStr">
        <is>
          <t>DESPESAS FINANCEIRAS - Juros sobre arrendamento - IFRS16</t>
        </is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  <c r="CS121" s="3" t="n"/>
      <c r="CT121" s="3" t="n"/>
      <c r="CU121" s="3" t="n"/>
      <c r="CV121" s="3" t="n"/>
      <c r="CW121" s="3" t="n"/>
      <c r="CX121" s="3" t="n"/>
      <c r="CY121" s="3" t="n"/>
    </row>
    <row r="122" hidden="1" outlineLevel="1">
      <c r="C122" s="34" t="inlineStr">
        <is>
          <t>DESPESAS FINANCEIRAS - Despesas bancárias</t>
        </is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  <c r="CU122" s="3" t="n"/>
      <c r="CV122" s="3" t="n"/>
      <c r="CW122" s="3" t="n"/>
      <c r="CX122" s="3" t="n"/>
      <c r="CY122" s="3" t="n"/>
    </row>
    <row r="123" hidden="1" outlineLevel="1">
      <c r="C123" s="34" t="inlineStr">
        <is>
          <t>DESPESAS FINANCEIRAS - Despesas com obtenção de empréstimos e financiamentos</t>
        </is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  <c r="CU123" s="3" t="n"/>
      <c r="CV123" s="3" t="n"/>
      <c r="CW123" s="3" t="n"/>
      <c r="CX123" s="3" t="n"/>
      <c r="CY123" s="3" t="n"/>
    </row>
    <row r="124" hidden="1" outlineLevel="1">
      <c r="C124" s="34" t="inlineStr">
        <is>
          <t>DESPESAS FINANCEIRAS - Atualização de contas a pagar por aquisição de empresas</t>
        </is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  <c r="CU124" s="3" t="n"/>
      <c r="CV124" s="3" t="n"/>
      <c r="CW124" s="3" t="n"/>
      <c r="CX124" s="3" t="n"/>
      <c r="CY124" s="3" t="n"/>
    </row>
    <row r="125" hidden="1" outlineLevel="1">
      <c r="C125" s="34" t="inlineStr">
        <is>
          <t>DESPESAS FINANCEIRAS - Outras</t>
        </is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  <c r="CS125" s="3" t="n"/>
      <c r="CT125" s="3" t="n"/>
      <c r="CU125" s="3" t="n"/>
      <c r="CV125" s="3" t="n"/>
      <c r="CW125" s="3" t="n"/>
      <c r="CX125" s="3" t="n"/>
      <c r="CY125" s="3" t="n"/>
    </row>
    <row r="126" hidden="1" outlineLevel="1">
      <c r="C126" s="34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  <c r="CS126" s="3" t="n"/>
      <c r="CT126" s="3" t="n"/>
      <c r="CU126" s="3" t="n"/>
      <c r="CV126" s="3" t="n"/>
      <c r="CW126" s="3" t="n"/>
      <c r="CX126" s="3" t="n"/>
      <c r="CY126" s="3" t="n"/>
    </row>
    <row r="127" hidden="1" outlineLevel="1">
      <c r="C127" s="34" t="inlineStr">
        <is>
          <t>CHECK [EX IFRS-16]</t>
        </is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  <c r="CS127" s="3" t="n"/>
      <c r="CT127" s="3" t="n"/>
      <c r="CU127" s="3" t="n"/>
      <c r="CV127" s="3" t="n"/>
      <c r="CW127" s="3" t="n"/>
      <c r="CX127" s="3" t="n"/>
      <c r="CY127" s="3" t="n"/>
    </row>
    <row r="128" hidden="1" outlineLevel="1">
      <c r="C128" s="34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  <c r="CU128" s="3" t="n"/>
      <c r="CV128" s="3" t="n"/>
      <c r="CW128" s="3" t="n"/>
      <c r="CX128" s="3" t="n"/>
      <c r="CY128" s="3" t="n"/>
    </row>
    <row r="129" collapsed="1">
      <c r="C129" s="26" t="inlineStr">
        <is>
          <t>Nonoperating Income / (Loss)</t>
        </is>
      </c>
      <c r="D129" s="25">
        <f>INDEX('Inputs (2)'!$D$9:$AL$9,MATCH(D$7,'Inputs (2)'!$D$2:$AL$2,0))</f>
        <v>202.50764143</v>
      </c>
      <c r="E129" s="25">
        <f>INDEX('Inputs (2)'!$D$9:$AL$9,MATCH(E$7,'Inputs (2)'!$D$2:$AL$2,0))</f>
        <v>237.62368159</v>
      </c>
      <c r="F129" s="25">
        <f>INDEX('Inputs (2)'!$D$9:$AL$9,MATCH(F$7,'Inputs (2)'!$D$2:$AL$2,0))</f>
        <v>96.75467698</v>
      </c>
      <c r="G129" s="25">
        <f>INDEX('Inputs (2)'!$D$9:$AL$9,MATCH(G$7,'Inputs (2)'!$D$2:$AL$2,0))</f>
        <v>114.000689586185</v>
      </c>
      <c r="H129" s="3">
        <f>SUM(D129:G129)</f>
        <v>650.886689586185</v>
      </c>
      <c r="I129" s="25">
        <f>INDEX('Inputs (2)'!$D$9:$AL$9,MATCH(I$7,'Inputs (2)'!$D$2:$AL$2,0))</f>
        <v>225.148916478836</v>
      </c>
      <c r="J129" s="25">
        <f>INDEX('Inputs (2)'!$D$9:$AL$9,MATCH(J$7,'Inputs (2)'!$D$2:$AL$2,0))</f>
        <v>10.13128014</v>
      </c>
      <c r="K129" s="25">
        <f>INDEX('Inputs (2)'!$D$9:$AL$9,MATCH(K$7,'Inputs (2)'!$D$2:$AL$2,0))</f>
        <v>210.230477917021</v>
      </c>
      <c r="L129" s="25">
        <f>INDEX('Inputs (2)'!$D$9:$AL$9,MATCH(L$7,'Inputs (2)'!$D$2:$AL$2,0))</f>
        <v>290.851325464143</v>
      </c>
      <c r="M129" s="3">
        <f>SUM(I129:L129)</f>
        <v>736.362</v>
      </c>
      <c r="N129" s="25">
        <f>INDEX('Inputs (2)'!$D$9:$AL$9,MATCH(N$7,'Inputs (2)'!$D$2:$AL$2,0))</f>
        <v>345.152</v>
      </c>
      <c r="O129" s="25">
        <f>INDEX('Inputs (2)'!$D$9:$AL$9,MATCH(O$7,'Inputs (2)'!$D$2:$AL$2,0))</f>
        <v>283.463</v>
      </c>
      <c r="P129" s="25">
        <f>INDEX('Inputs (2)'!$D$9:$AL$9,MATCH(P$7,'Inputs (2)'!$D$2:$AL$2,0))</f>
        <v>246.492</v>
      </c>
      <c r="Q129" s="25">
        <f>INDEX('Inputs (2)'!$D$9:$AL$9,MATCH(Q$7,'Inputs (2)'!$D$2:$AL$2,0))</f>
        <v>353.934680599419</v>
      </c>
      <c r="R129" s="3">
        <f>SUM(N129:Q129)</f>
        <v>1229.04168059942</v>
      </c>
      <c r="S129" s="25">
        <f>INDEX('Inputs (2)'!$D$9:$AL$9,MATCH(S$7,'Inputs (2)'!$D$2:$AL$2,0))</f>
        <v>338.376</v>
      </c>
      <c r="T129" s="25">
        <f>INDEX('Inputs (2)'!$D$9:$AL$9,MATCH(T$7,'Inputs (2)'!$D$2:$AL$2,0))</f>
        <v>183.206</v>
      </c>
      <c r="U129" s="25">
        <f>INDEX('Inputs (2)'!$D$9:$AL$9,MATCH(U$7,'Inputs (2)'!$D$2:$AL$2,0))</f>
        <v>316.416</v>
      </c>
      <c r="V129" s="25">
        <f>INDEX('Inputs (2)'!$D$9:$AL$9,MATCH(V$7,'Inputs (2)'!$D$2:$AL$2,0))</f>
        <v>299.504</v>
      </c>
      <c r="W129" s="3">
        <f>SUM(S129:V129)</f>
        <v>1137.502</v>
      </c>
      <c r="X129" s="25">
        <f>INDEX('Inputs (2)'!$D$9:$AL$9,MATCH(X$7,'Inputs (2)'!$D$2:$AL$2,0))</f>
        <v>358.69728481</v>
      </c>
      <c r="Y129" s="25">
        <f>INDEX('Inputs (2)'!$D$9:$AL$9,MATCH(Y$7,'Inputs (2)'!$D$2:$AL$2,0))</f>
        <v>383.86595754</v>
      </c>
      <c r="Z129" s="25">
        <f>INDEX('Inputs (2)'!$D$9:$AL$9,MATCH(Z$7,'Inputs (2)'!$D$2:$AL$2,0))</f>
        <v>433.20390214</v>
      </c>
      <c r="AA129" s="25">
        <f>INDEX('Inputs (2)'!$D$9:$AL$9,MATCH(AA$7,'Inputs (2)'!$D$2:$AL$2,0))</f>
        <v>495.826642450001</v>
      </c>
      <c r="AB129" s="3">
        <f>SUM(X129:AA129)</f>
        <v>1671.59378694</v>
      </c>
      <c r="AC129" s="25">
        <f>INDEX('Inputs (2)'!$D$9:$AL$9,MATCH(AC$7,'Inputs (2)'!$D$2:$AL$2,0))</f>
        <v>464.52346782</v>
      </c>
      <c r="AD129" s="25">
        <f>INDEX('Inputs (2)'!$D$9:$AL$9,MATCH(AD$7,'Inputs (2)'!$D$2:$AL$2,0))</f>
        <v>522.37025267</v>
      </c>
      <c r="AE129" s="25">
        <f>INDEX('Inputs (2)'!$D$9:$AL$9,MATCH(AE$7,'Inputs (2)'!$D$2:$AL$2,0))</f>
        <v>576.10046127</v>
      </c>
      <c r="AF129" s="25">
        <f>INDEX('Inputs (2)'!$D$9:$AL$9,MATCH(AF$7,'Inputs (2)'!$D$2:$AL$2,0))</f>
        <v>500.0067633</v>
      </c>
      <c r="AG129" s="3">
        <f>SUM(AC129:AF129)</f>
        <v>2063.00094506</v>
      </c>
      <c r="AH129" s="3">
        <f>INDEX('Inputs (2)'!$D$9:$AL$9,MATCH(AH$7,'Inputs (2)'!$D$2:$AL$2,0))</f>
        <v>590.30406363</v>
      </c>
      <c r="AI129" s="3">
        <f>INDEX('Inputs (2)'!$D$9:$AL$9,MATCH(AI$7,'Inputs (2)'!$D$2:$AL$2,0))</f>
        <v>668.46021238</v>
      </c>
      <c r="AJ129" s="3">
        <f>AH129</f>
        <v>590.30406363</v>
      </c>
      <c r="AK129" s="3">
        <f>AI129</f>
        <v>668.46021238</v>
      </c>
      <c r="AL129" s="3">
        <f>SUM(AH129:AK129)</f>
        <v>2517.52855202</v>
      </c>
      <c r="AM129" s="3">
        <f>AK129</f>
        <v>668.46021238</v>
      </c>
      <c r="AN129" s="3">
        <f>AL129</f>
        <v>2517.52855202</v>
      </c>
      <c r="AO129" s="3">
        <f>AM129</f>
        <v>668.46021238</v>
      </c>
      <c r="AP129" s="3">
        <f>AN129</f>
        <v>2517.52855202</v>
      </c>
      <c r="AQ129" s="3">
        <f>SUM(AM129:AP129)</f>
        <v>6371.9775288</v>
      </c>
      <c r="AR129" s="3">
        <f>AP129</f>
        <v>2517.52855202</v>
      </c>
      <c r="AS129" s="3">
        <f>AQ129</f>
        <v>6371.9775288</v>
      </c>
      <c r="AT129" s="3">
        <f>AR129</f>
        <v>2517.52855202</v>
      </c>
      <c r="AU129" s="3">
        <f>AS129</f>
        <v>6371.9775288</v>
      </c>
      <c r="AV129" s="3">
        <f>SUM(AR129:AU129)</f>
        <v>17779.01216164</v>
      </c>
      <c r="AW129" s="3">
        <f>AU129</f>
        <v>6371.9775288</v>
      </c>
      <c r="AX129" s="3">
        <f>AV129</f>
        <v>17779.01216164</v>
      </c>
      <c r="AY129" s="3">
        <f>AW129</f>
        <v>6371.9775288</v>
      </c>
      <c r="AZ129" s="3">
        <f>AX129</f>
        <v>17779.01216164</v>
      </c>
      <c r="BA129" s="3">
        <f>SUM(AW129:AZ129)</f>
        <v>48301.97938088</v>
      </c>
      <c r="BB129" s="3">
        <f>AZ129</f>
        <v>17779.01216164</v>
      </c>
      <c r="BC129" s="3">
        <f>BA129</f>
        <v>48301.97938088</v>
      </c>
      <c r="BD129" s="3">
        <f>BB129</f>
        <v>17779.01216164</v>
      </c>
      <c r="BE129" s="3">
        <f>BC129</f>
        <v>48301.97938088</v>
      </c>
      <c r="BF129" s="3">
        <f>SUM(BB129:BE129)</f>
        <v>132161.98308504</v>
      </c>
      <c r="BG129" s="3">
        <f>BE129</f>
        <v>48301.97938088</v>
      </c>
      <c r="BH129" s="3">
        <f>BF129</f>
        <v>132161.98308504</v>
      </c>
      <c r="BI129" s="3">
        <f>BG129</f>
        <v>48301.97938088</v>
      </c>
      <c r="BJ129" s="3">
        <f>BH129</f>
        <v>132161.98308504</v>
      </c>
      <c r="BK129" s="3">
        <f>SUM(BG129:BJ129)</f>
        <v>360927.92493184</v>
      </c>
      <c r="BL129" s="3">
        <f>BJ129</f>
        <v>132161.98308504</v>
      </c>
      <c r="BM129" s="3">
        <f>BK129</f>
        <v>360927.92493184</v>
      </c>
      <c r="BN129" s="3">
        <f>BL129</f>
        <v>132161.98308504</v>
      </c>
      <c r="BO129" s="3">
        <f>BM129</f>
        <v>360927.92493184</v>
      </c>
      <c r="BP129" s="3">
        <f>SUM(BL129:BO129)</f>
        <v>986179.81603376</v>
      </c>
      <c r="BQ129" s="3">
        <f>BO129</f>
        <v>360927.92493184</v>
      </c>
      <c r="BR129" s="3">
        <f>BP129</f>
        <v>986179.81603376</v>
      </c>
      <c r="BS129" s="3">
        <f>BQ129</f>
        <v>360927.92493184</v>
      </c>
      <c r="BT129" s="3">
        <f>BR129</f>
        <v>986179.81603376</v>
      </c>
      <c r="BU129" s="3">
        <f>SUM(BQ129:BT129)</f>
        <v>2694215.4819312</v>
      </c>
      <c r="BV129" s="3">
        <f>BT129</f>
        <v>986179.81603376</v>
      </c>
      <c r="BW129" s="3">
        <f>BU129</f>
        <v>2694215.4819312</v>
      </c>
      <c r="BX129" s="3">
        <f>BV129</f>
        <v>986179.81603376</v>
      </c>
      <c r="BY129" s="3">
        <f>BW129</f>
        <v>2694215.4819312</v>
      </c>
      <c r="BZ129" s="3">
        <f>SUM(BV129:BY129)</f>
        <v>7360790.59592992</v>
      </c>
      <c r="CA129" s="3">
        <f>BY129</f>
        <v>2694215.4819312</v>
      </c>
      <c r="CB129" s="3">
        <f>BZ129</f>
        <v>7360790.59592992</v>
      </c>
      <c r="CC129" s="3">
        <f>CA129</f>
        <v>2694215.4819312</v>
      </c>
      <c r="CD129" s="3">
        <f>CB129</f>
        <v>7360790.59592992</v>
      </c>
      <c r="CE129" s="3">
        <f>SUM(CA129:CD129)</f>
        <v>20110012.1557222</v>
      </c>
      <c r="CF129" s="3">
        <f>CD129</f>
        <v>7360790.59592992</v>
      </c>
      <c r="CG129" s="3">
        <f>CE129</f>
        <v>20110012.1557222</v>
      </c>
      <c r="CH129" s="3">
        <f>CF129</f>
        <v>7360790.59592992</v>
      </c>
      <c r="CI129" s="3">
        <f>CG129</f>
        <v>20110012.1557222</v>
      </c>
      <c r="CJ129" s="3">
        <f>SUM(CF129:CI129)</f>
        <v>54941605.5033043</v>
      </c>
      <c r="CK129" s="3">
        <f>CI129</f>
        <v>20110012.1557222</v>
      </c>
      <c r="CL129" s="3">
        <f>CJ129</f>
        <v>54941605.5033043</v>
      </c>
      <c r="CM129" s="3">
        <f>CK129</f>
        <v>20110012.1557222</v>
      </c>
      <c r="CN129" s="3">
        <f>CL129</f>
        <v>54941605.5033043</v>
      </c>
      <c r="CO129" s="3">
        <f>SUM(CK129:CN129)</f>
        <v>150103235.318053</v>
      </c>
      <c r="CP129" s="3">
        <f>CN129</f>
        <v>54941605.5033043</v>
      </c>
      <c r="CQ129" s="3">
        <f>CO129</f>
        <v>150103235.318053</v>
      </c>
      <c r="CR129" s="3">
        <f>CP129</f>
        <v>54941605.5033043</v>
      </c>
      <c r="CS129" s="3">
        <f>CQ129</f>
        <v>150103235.318053</v>
      </c>
      <c r="CT129" s="3">
        <f>SUM(CP129:CS129)</f>
        <v>410089681.642715</v>
      </c>
      <c r="CU129" s="3">
        <f>CS129</f>
        <v>150103235.318053</v>
      </c>
      <c r="CV129" s="3">
        <f>CT129</f>
        <v>410089681.642715</v>
      </c>
      <c r="CW129" s="3">
        <f>CU129</f>
        <v>150103235.318053</v>
      </c>
      <c r="CX129" s="3">
        <f>CV129</f>
        <v>410089681.642715</v>
      </c>
      <c r="CY129" s="3">
        <f>SUM(CU129:CX129)</f>
        <v>1120385833.92154</v>
      </c>
    </row>
    <row r="130" hidden="1" outlineLevel="1">
      <c r="C130" s="34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  <c r="AY130" s="3" t="n"/>
      <c r="AZ130" s="3" t="n"/>
      <c r="BA130" s="3" t="n"/>
      <c r="BB130" s="3" t="n"/>
      <c r="BC130" s="3" t="n"/>
      <c r="BD130" s="3" t="n"/>
      <c r="BE130" s="3" t="n"/>
      <c r="BF130" s="3" t="n"/>
      <c r="BG130" s="3" t="n"/>
      <c r="BH130" s="3" t="n"/>
      <c r="BI130" s="3" t="n"/>
      <c r="BJ130" s="3" t="n"/>
      <c r="BK130" s="3" t="n"/>
      <c r="BL130" s="3" t="n"/>
      <c r="BM130" s="3" t="n"/>
      <c r="BN130" s="3" t="n"/>
      <c r="BO130" s="3" t="n"/>
      <c r="BP130" s="3" t="n"/>
      <c r="BQ130" s="3" t="n"/>
      <c r="BR130" s="3" t="n"/>
      <c r="BS130" s="3" t="n"/>
      <c r="BT130" s="3" t="n"/>
      <c r="BU130" s="3" t="n"/>
      <c r="BV130" s="3" t="n"/>
      <c r="BW130" s="3" t="n"/>
      <c r="BX130" s="3" t="n"/>
      <c r="BY130" s="3" t="n"/>
      <c r="BZ130" s="3" t="n"/>
      <c r="CA130" s="3" t="n"/>
      <c r="CB130" s="3" t="n"/>
      <c r="CC130" s="3" t="n"/>
      <c r="CD130" s="3" t="n"/>
      <c r="CE130" s="3" t="n"/>
      <c r="CF130" s="3" t="n"/>
      <c r="CG130" s="3" t="n"/>
      <c r="CH130" s="3" t="n"/>
      <c r="CI130" s="3" t="n"/>
      <c r="CJ130" s="3" t="n"/>
      <c r="CK130" s="3" t="n"/>
      <c r="CL130" s="3" t="n"/>
      <c r="CM130" s="3" t="n"/>
      <c r="CN130" s="3" t="n"/>
      <c r="CO130" s="3" t="n"/>
      <c r="CP130" s="3" t="n"/>
      <c r="CQ130" s="3" t="n"/>
      <c r="CR130" s="3" t="n"/>
      <c r="CS130" s="3" t="n"/>
      <c r="CT130" s="3" t="n"/>
      <c r="CU130" s="3" t="n"/>
      <c r="CV130" s="3" t="n"/>
      <c r="CW130" s="3" t="n"/>
      <c r="CX130" s="3" t="n"/>
      <c r="CY130" s="3" t="n"/>
    </row>
    <row r="131" hidden="1" outlineLevel="1">
      <c r="C131" s="32" t="inlineStr">
        <is>
          <t>Resultado Não Recorrente</t>
        </is>
      </c>
      <c r="D131" s="6" t="n"/>
      <c r="E131" s="6" t="n"/>
      <c r="F131" s="6" t="n"/>
      <c r="G131" s="6" t="n"/>
      <c r="H131" s="3" t="n"/>
      <c r="I131" s="6" t="n"/>
      <c r="J131" s="6" t="n"/>
      <c r="K131" s="6" t="n"/>
      <c r="L131" s="6" t="n"/>
      <c r="M131" s="3" t="n"/>
      <c r="N131" s="6" t="n"/>
      <c r="O131" s="6" t="n"/>
      <c r="P131" s="6" t="n"/>
      <c r="Q131" s="6" t="n"/>
      <c r="R131" s="3" t="n"/>
      <c r="S131" s="6" t="n"/>
      <c r="T131" s="6" t="n"/>
      <c r="U131" s="6" t="n"/>
      <c r="V131" s="6" t="n"/>
      <c r="W131" s="3" t="n"/>
      <c r="X131" s="6" t="n"/>
      <c r="Y131" s="6" t="n"/>
      <c r="Z131" s="6" t="n"/>
      <c r="AA131" s="6" t="n"/>
      <c r="AB131" s="3" t="n"/>
      <c r="AC131" s="6" t="n"/>
      <c r="AD131" s="6" t="n"/>
      <c r="AE131" s="6" t="n"/>
      <c r="AF131" s="6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/>
      <c r="AY131" s="3" t="n"/>
      <c r="AZ131" s="3" t="n"/>
      <c r="BA131" s="3" t="n"/>
      <c r="BB131" s="3" t="n"/>
      <c r="BC131" s="3" t="n"/>
      <c r="BD131" s="3" t="n"/>
      <c r="BE131" s="3" t="n"/>
      <c r="BF131" s="3" t="n"/>
      <c r="BG131" s="3" t="n"/>
      <c r="BH131" s="3" t="n"/>
      <c r="BI131" s="3" t="n"/>
      <c r="BJ131" s="3" t="n"/>
      <c r="BK131" s="3" t="n"/>
      <c r="BL131" s="3" t="n"/>
      <c r="BM131" s="3" t="n"/>
      <c r="BN131" s="3" t="n"/>
      <c r="BO131" s="3" t="n"/>
      <c r="BP131" s="3" t="n"/>
      <c r="BQ131" s="3" t="n"/>
      <c r="BR131" s="3" t="n"/>
      <c r="BS131" s="3" t="n"/>
      <c r="BT131" s="3" t="n"/>
      <c r="BU131" s="3" t="n"/>
      <c r="BV131" s="3" t="n"/>
      <c r="BW131" s="3" t="n"/>
      <c r="BX131" s="3" t="n"/>
      <c r="BY131" s="3" t="n"/>
      <c r="BZ131" s="3" t="n"/>
      <c r="CA131" s="3" t="n"/>
      <c r="CB131" s="3" t="n"/>
      <c r="CC131" s="3" t="n"/>
      <c r="CD131" s="3" t="n"/>
      <c r="CE131" s="3" t="n"/>
      <c r="CF131" s="3" t="n"/>
      <c r="CG131" s="3" t="n"/>
      <c r="CH131" s="3" t="n"/>
      <c r="CI131" s="3" t="n"/>
      <c r="CJ131" s="3" t="n"/>
      <c r="CK131" s="3" t="n"/>
      <c r="CL131" s="3" t="n"/>
      <c r="CM131" s="3" t="n"/>
      <c r="CN131" s="3" t="n"/>
      <c r="CO131" s="3" t="n"/>
      <c r="CP131" s="3" t="n"/>
      <c r="CQ131" s="3" t="n"/>
      <c r="CR131" s="3" t="n"/>
      <c r="CS131" s="3" t="n"/>
      <c r="CT131" s="3" t="n"/>
      <c r="CU131" s="3" t="n"/>
      <c r="CV131" s="3" t="n"/>
      <c r="CW131" s="3" t="n"/>
      <c r="CX131" s="3" t="n"/>
      <c r="CY131" s="3" t="n"/>
    </row>
    <row r="132" hidden="1" outlineLevel="1">
      <c r="C132" s="32" t="inlineStr">
        <is>
          <t>Plano de Opção de Compra de Ações</t>
        </is>
      </c>
      <c r="D132" s="6" t="n"/>
      <c r="E132" s="6" t="n"/>
      <c r="F132" s="6" t="n"/>
      <c r="G132" s="6" t="n"/>
      <c r="H132" s="3" t="n"/>
      <c r="I132" s="6" t="n"/>
      <c r="J132" s="6" t="n"/>
      <c r="K132" s="6" t="n"/>
      <c r="L132" s="6" t="n"/>
      <c r="M132" s="3" t="n"/>
      <c r="N132" s="6" t="n"/>
      <c r="O132" s="6" t="n"/>
      <c r="P132" s="6" t="n"/>
      <c r="Q132" s="6" t="n"/>
      <c r="R132" s="3" t="n"/>
      <c r="S132" s="6" t="n"/>
      <c r="T132" s="6" t="n"/>
      <c r="U132" s="6" t="n"/>
      <c r="V132" s="6" t="n"/>
      <c r="W132" s="3" t="n"/>
      <c r="X132" s="6" t="n"/>
      <c r="Y132" s="6" t="n"/>
      <c r="Z132" s="6" t="n"/>
      <c r="AA132" s="6" t="n"/>
      <c r="AB132" s="3" t="n"/>
      <c r="AC132" s="6" t="n"/>
      <c r="AD132" s="6" t="n"/>
      <c r="AE132" s="6" t="n"/>
      <c r="AF132" s="6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  <c r="BO132" s="3" t="n"/>
      <c r="BP132" s="3" t="n"/>
      <c r="BQ132" s="3" t="n"/>
      <c r="BR132" s="3" t="n"/>
      <c r="BS132" s="3" t="n"/>
      <c r="BT132" s="3" t="n"/>
      <c r="BU132" s="3" t="n"/>
      <c r="BV132" s="3" t="n"/>
      <c r="BW132" s="3" t="n"/>
      <c r="BX132" s="3" t="n"/>
      <c r="BY132" s="3" t="n"/>
      <c r="BZ132" s="3" t="n"/>
      <c r="CA132" s="3" t="n"/>
      <c r="CB132" s="3" t="n"/>
      <c r="CC132" s="3" t="n"/>
      <c r="CD132" s="3" t="n"/>
      <c r="CE132" s="3" t="n"/>
      <c r="CF132" s="3" t="n"/>
      <c r="CG132" s="3" t="n"/>
      <c r="CH132" s="3" t="n"/>
      <c r="CI132" s="3" t="n"/>
      <c r="CJ132" s="3" t="n"/>
      <c r="CK132" s="3" t="n"/>
      <c r="CL132" s="3" t="n"/>
      <c r="CM132" s="3" t="n"/>
      <c r="CN132" s="3" t="n"/>
      <c r="CO132" s="3" t="n"/>
      <c r="CP132" s="3" t="n"/>
      <c r="CQ132" s="3" t="n"/>
      <c r="CR132" s="3" t="n"/>
      <c r="CS132" s="3" t="n"/>
      <c r="CT132" s="3" t="n"/>
      <c r="CU132" s="3" t="n"/>
      <c r="CV132" s="3" t="n"/>
      <c r="CW132" s="3" t="n"/>
      <c r="CX132" s="3" t="n"/>
      <c r="CY132" s="3" t="n"/>
    </row>
    <row r="133" hidden="1" outlineLevel="1">
      <c r="C133" s="32" t="inlineStr">
        <is>
          <t>Baixa Imobilizado</t>
        </is>
      </c>
      <c r="D133" s="6" t="n"/>
      <c r="E133" s="6" t="n"/>
      <c r="F133" s="6" t="n"/>
      <c r="G133" s="6" t="n"/>
      <c r="H133" s="3" t="n"/>
      <c r="I133" s="6" t="n"/>
      <c r="J133" s="6" t="n"/>
      <c r="K133" s="6" t="n"/>
      <c r="L133" s="6" t="n"/>
      <c r="M133" s="3" t="n"/>
      <c r="N133" s="6" t="n"/>
      <c r="O133" s="6" t="n"/>
      <c r="P133" s="6" t="n"/>
      <c r="Q133" s="6" t="n"/>
      <c r="R133" s="3" t="n"/>
      <c r="S133" s="6" t="n"/>
      <c r="T133" s="6" t="n"/>
      <c r="U133" s="6" t="n"/>
      <c r="V133" s="6" t="n"/>
      <c r="W133" s="3" t="n"/>
      <c r="X133" s="6" t="n"/>
      <c r="Y133" s="6" t="n"/>
      <c r="Z133" s="6" t="n"/>
      <c r="AA133" s="6" t="n"/>
      <c r="AB133" s="3" t="n"/>
      <c r="AC133" s="6" t="n"/>
      <c r="AD133" s="6" t="n"/>
      <c r="AE133" s="6" t="n"/>
      <c r="AF133" s="6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/>
      <c r="BW133" s="3" t="n"/>
      <c r="BX133" s="3" t="n"/>
      <c r="BY133" s="3" t="n"/>
      <c r="BZ133" s="3" t="n"/>
      <c r="CA133" s="3" t="n"/>
      <c r="CB133" s="3" t="n"/>
      <c r="CC133" s="3" t="n"/>
      <c r="CD133" s="3" t="n"/>
      <c r="CE133" s="3" t="n"/>
      <c r="CF133" s="3" t="n"/>
      <c r="CG133" s="3" t="n"/>
      <c r="CH133" s="3" t="n"/>
      <c r="CI133" s="3" t="n"/>
      <c r="CJ133" s="3" t="n"/>
      <c r="CK133" s="3" t="n"/>
      <c r="CL133" s="3" t="n"/>
      <c r="CM133" s="3" t="n"/>
      <c r="CN133" s="3" t="n"/>
      <c r="CO133" s="3" t="n"/>
      <c r="CP133" s="3" t="n"/>
      <c r="CQ133" s="3" t="n"/>
      <c r="CR133" s="3" t="n"/>
      <c r="CS133" s="3" t="n"/>
      <c r="CT133" s="3" t="n"/>
      <c r="CU133" s="3" t="n"/>
      <c r="CV133" s="3" t="n"/>
      <c r="CW133" s="3" t="n"/>
      <c r="CX133" s="3" t="n"/>
      <c r="CY133" s="3" t="n"/>
    </row>
    <row r="134" hidden="1" outlineLevel="1">
      <c r="C134" s="34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n"/>
      <c r="CC134" s="3" t="n"/>
      <c r="CD134" s="3" t="n"/>
      <c r="CE134" s="3" t="n"/>
      <c r="CF134" s="3" t="n"/>
      <c r="CG134" s="3" t="n"/>
      <c r="CH134" s="3" t="n"/>
      <c r="CI134" s="3" t="n"/>
      <c r="CJ134" s="3" t="n"/>
      <c r="CK134" s="3" t="n"/>
      <c r="CL134" s="3" t="n"/>
      <c r="CM134" s="3" t="n"/>
      <c r="CN134" s="3" t="n"/>
      <c r="CO134" s="3" t="n"/>
      <c r="CP134" s="3" t="n"/>
      <c r="CQ134" s="3" t="n"/>
      <c r="CR134" s="3" t="n"/>
      <c r="CS134" s="3" t="n"/>
      <c r="CT134" s="3" t="n"/>
      <c r="CU134" s="3" t="n"/>
      <c r="CV134" s="3" t="n"/>
      <c r="CW134" s="3" t="n"/>
      <c r="CX134" s="3" t="n"/>
      <c r="CY134" s="3" t="n"/>
    </row>
    <row r="135" hidden="1" outlineLevel="1">
      <c r="C135" s="34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n"/>
      <c r="CC135" s="3" t="n"/>
      <c r="CD135" s="3" t="n"/>
      <c r="CE135" s="3" t="n"/>
      <c r="CF135" s="3" t="n"/>
      <c r="CG135" s="3" t="n"/>
      <c r="CH135" s="3" t="n"/>
      <c r="CI135" s="3" t="n"/>
      <c r="CJ135" s="3" t="n"/>
      <c r="CK135" s="3" t="n"/>
      <c r="CL135" s="3" t="n"/>
      <c r="CM135" s="3" t="n"/>
      <c r="CN135" s="3" t="n"/>
      <c r="CO135" s="3" t="n"/>
      <c r="CP135" s="3" t="n"/>
      <c r="CQ135" s="3" t="n"/>
      <c r="CR135" s="3" t="n"/>
      <c r="CS135" s="3" t="n"/>
      <c r="CT135" s="3" t="n"/>
      <c r="CU135" s="3" t="n"/>
      <c r="CV135" s="3" t="n"/>
      <c r="CW135" s="3" t="n"/>
      <c r="CX135" s="3" t="n"/>
      <c r="CY135" s="3" t="n"/>
    </row>
    <row r="136" collapsed="1" customFormat="1" s="17">
      <c r="A136" s="13" t="n"/>
      <c r="B136" s="1" t="n"/>
      <c r="C136" s="14" t="inlineStr">
        <is>
          <t>Pretax Income - EBT</t>
        </is>
      </c>
      <c r="D136" s="16">
        <f>SUM(D79,D80,D129)</f>
        <v>115.81988218955</v>
      </c>
      <c r="E136" s="16">
        <f>SUM(E79,E80,E129)</f>
        <v>281.75443277</v>
      </c>
      <c r="F136" s="16">
        <f>SUM(F79,F80,F129)</f>
        <v>132.767234782449</v>
      </c>
      <c r="G136" s="16">
        <f>SUM(G79,G80,G129)</f>
        <v>274.006389680454</v>
      </c>
      <c r="H136" s="16">
        <f>SUM(D136:G136)</f>
        <v>804.347939422452</v>
      </c>
      <c r="I136" s="16">
        <f>SUM(I79,I80,I129)</f>
        <v>286.846067395773</v>
      </c>
      <c r="J136" s="16">
        <f>SUM(J79,J80,J129)</f>
        <v>542.594767343751</v>
      </c>
      <c r="K136" s="16">
        <f>SUM(K79,K80,K129)</f>
        <v>572.978335414218</v>
      </c>
      <c r="L136" s="16">
        <f>SUM(L79,L80,L129)</f>
        <v>510.538829846259</v>
      </c>
      <c r="M136" s="16">
        <f>SUM(I136:L136)</f>
        <v>1912.958</v>
      </c>
      <c r="N136" s="16">
        <f>SUM(N79,N80,N129)</f>
        <v>463.485</v>
      </c>
      <c r="O136" s="16">
        <f>SUM(O79,O80,O129)</f>
        <v>324.1702</v>
      </c>
      <c r="P136" s="16">
        <f>SUM(P79,P80,P129)</f>
        <v>175.12600045888</v>
      </c>
      <c r="Q136" s="16">
        <f>SUM(Q79,Q80,Q129)</f>
        <v>24.6052464454631</v>
      </c>
      <c r="R136" s="16">
        <f>SUM(N136:Q136)</f>
        <v>987.386446904343</v>
      </c>
      <c r="S136" s="16">
        <f>SUM(S79,S80,S129)</f>
        <v>6.65372877048094</v>
      </c>
      <c r="T136" s="16">
        <f>SUM(T79,T80,T129)</f>
        <v>106.772129199006</v>
      </c>
      <c r="U136" s="16">
        <f>SUM(U79,U80,U129)</f>
        <v>-192.797543096786</v>
      </c>
      <c r="V136" s="16">
        <f>SUM(V79,V80,V129)</f>
        <v>-949.683882941414</v>
      </c>
      <c r="W136" s="16">
        <f>SUM(S136:V136)</f>
        <v>-1029.05556806871</v>
      </c>
      <c r="X136" s="16">
        <f>SUM(X79,X80,X129)</f>
        <v>89.0785439599991</v>
      </c>
      <c r="Y136" s="16">
        <f>SUM(Y79,Y80,Y129)</f>
        <v>220.875574039999</v>
      </c>
      <c r="Z136" s="16">
        <f>SUM(Z79,Z80,Z129)</f>
        <v>144.38978138</v>
      </c>
      <c r="AA136" s="16">
        <f>SUM(AA79,AA80,AA129)</f>
        <v>-44.890699669997</v>
      </c>
      <c r="AB136" s="16">
        <f>SUM(X136:AA136)</f>
        <v>409.453199710001</v>
      </c>
      <c r="AC136" s="16">
        <f>SUM(AC79,AC80,AC129)</f>
        <v>-21.51449409</v>
      </c>
      <c r="AD136" s="16">
        <f>SUM(AD79,AD80,AD129)</f>
        <v>-119.144869190001</v>
      </c>
      <c r="AE136" s="16">
        <f>SUM(AE79,AE80,AE129)</f>
        <v>-322.229796350001</v>
      </c>
      <c r="AF136" s="16">
        <f>SUM(AF79,AF80,AF129)</f>
        <v>722.090244030001</v>
      </c>
      <c r="AG136" s="16">
        <f>SUM(AC136:AF136)</f>
        <v>259.201084399999</v>
      </c>
      <c r="AH136" s="16">
        <f>SUM(AH79,AH80,AH129)</f>
        <v>-233.073351340001</v>
      </c>
      <c r="AI136" s="16">
        <f>SUM(AI79,AI80,AI129)</f>
        <v>-191.64323705</v>
      </c>
      <c r="AJ136" s="16">
        <f>SUM(AJ79,AJ80,AJ129)</f>
        <v>590.30406363</v>
      </c>
      <c r="AK136" s="16">
        <f>SUM(AK79,AK80,AK129)</f>
        <v>668.46021238</v>
      </c>
      <c r="AL136" s="16">
        <f>SUM(AH136:AK136)</f>
        <v>834.047687619999</v>
      </c>
      <c r="AM136" s="16">
        <f>SUM(AM79,AM80,AM129)</f>
        <v>668.46021238</v>
      </c>
      <c r="AN136" s="16">
        <f>SUM(AN79,AN80,AN129)</f>
        <v>2517.52855202</v>
      </c>
      <c r="AO136" s="16">
        <f>SUM(AO79,AO80,AO129)</f>
        <v>668.46021238</v>
      </c>
      <c r="AP136" s="16">
        <f>SUM(AP79,AP80,AP129)</f>
        <v>2517.52855202</v>
      </c>
      <c r="AQ136" s="16">
        <f>SUM(AM136:AP136)</f>
        <v>6371.9775288</v>
      </c>
      <c r="AR136" s="16">
        <f>SUM(AR79,AR80,AR129)</f>
        <v>2517.52855202</v>
      </c>
      <c r="AS136" s="16">
        <f>SUM(AS79,AS80,AS129)</f>
        <v>6371.9775288</v>
      </c>
      <c r="AT136" s="16">
        <f>SUM(AT79,AT80,AT129)</f>
        <v>2517.52855202</v>
      </c>
      <c r="AU136" s="16">
        <f>SUM(AU79,AU80,AU129)</f>
        <v>6371.9775288</v>
      </c>
      <c r="AV136" s="16">
        <f>SUM(AR136:AU136)</f>
        <v>17779.01216164</v>
      </c>
      <c r="AW136" s="16">
        <f>SUM(AW79,AW80,AW129)</f>
        <v>6371.9775288</v>
      </c>
      <c r="AX136" s="16">
        <f>SUM(AX79,AX80,AX129)</f>
        <v>17779.01216164</v>
      </c>
      <c r="AY136" s="16">
        <f>SUM(AY79,AY80,AY129)</f>
        <v>6371.9775288</v>
      </c>
      <c r="AZ136" s="16">
        <f>SUM(AZ79,AZ80,AZ129)</f>
        <v>17779.01216164</v>
      </c>
      <c r="BA136" s="16">
        <f>SUM(AW136:AZ136)</f>
        <v>48301.97938088</v>
      </c>
      <c r="BB136" s="16">
        <f>SUM(BB79,BB80,BB129)</f>
        <v>17779.01216164</v>
      </c>
      <c r="BC136" s="16">
        <f>SUM(BC79,BC80,BC129)</f>
        <v>48301.97938088</v>
      </c>
      <c r="BD136" s="16">
        <f>SUM(BD79,BD80,BD129)</f>
        <v>17779.01216164</v>
      </c>
      <c r="BE136" s="16">
        <f>SUM(BE79,BE80,BE129)</f>
        <v>48301.97938088</v>
      </c>
      <c r="BF136" s="16">
        <f>SUM(BB136:BE136)</f>
        <v>132161.98308504</v>
      </c>
      <c r="BG136" s="16">
        <f>SUM(BG79,BG80,BG129)</f>
        <v>48301.97938088</v>
      </c>
      <c r="BH136" s="16">
        <f>SUM(BH79,BH80,BH129)</f>
        <v>132161.98308504</v>
      </c>
      <c r="BI136" s="16">
        <f>SUM(BI79,BI80,BI129)</f>
        <v>48301.97938088</v>
      </c>
      <c r="BJ136" s="16">
        <f>SUM(BJ79,BJ80,BJ129)</f>
        <v>132161.98308504</v>
      </c>
      <c r="BK136" s="16">
        <f>SUM(BG136:BJ136)</f>
        <v>360927.92493184</v>
      </c>
      <c r="BL136" s="16">
        <f>SUM(BL79,BL80,BL129)</f>
        <v>132161.98308504</v>
      </c>
      <c r="BM136" s="16">
        <f>SUM(BM79,BM80,BM129)</f>
        <v>360927.92493184</v>
      </c>
      <c r="BN136" s="16">
        <f>SUM(BN79,BN80,BN129)</f>
        <v>132161.98308504</v>
      </c>
      <c r="BO136" s="16">
        <f>SUM(BO79,BO80,BO129)</f>
        <v>360927.92493184</v>
      </c>
      <c r="BP136" s="16">
        <f>SUM(BL136:BO136)</f>
        <v>986179.81603376</v>
      </c>
      <c r="BQ136" s="16">
        <f>SUM(BQ79,BQ80,BQ129)</f>
        <v>360927.92493184</v>
      </c>
      <c r="BR136" s="16">
        <f>SUM(BR79,BR80,BR129)</f>
        <v>986179.81603376</v>
      </c>
      <c r="BS136" s="16">
        <f>SUM(BS79,BS80,BS129)</f>
        <v>360927.92493184</v>
      </c>
      <c r="BT136" s="16">
        <f>SUM(BT79,BT80,BT129)</f>
        <v>986179.81603376</v>
      </c>
      <c r="BU136" s="16">
        <f>SUM(BQ136:BT136)</f>
        <v>2694215.4819312</v>
      </c>
      <c r="BV136" s="16">
        <f>SUM(BV79,BV80,BV129)</f>
        <v>986179.81603376</v>
      </c>
      <c r="BW136" s="16">
        <f>SUM(BW79,BW80,BW129)</f>
        <v>2694215.4819312</v>
      </c>
      <c r="BX136" s="16">
        <f>SUM(BX79,BX80,BX129)</f>
        <v>986179.81603376</v>
      </c>
      <c r="BY136" s="16">
        <f>SUM(BY79,BY80,BY129)</f>
        <v>2694215.4819312</v>
      </c>
      <c r="BZ136" s="16">
        <f>SUM(BV136:BY136)</f>
        <v>7360790.59592992</v>
      </c>
      <c r="CA136" s="16">
        <f>SUM(CA79,CA80,CA129)</f>
        <v>2694215.4819312</v>
      </c>
      <c r="CB136" s="16">
        <f>SUM(CB79,CB80,CB129)</f>
        <v>7360790.59592992</v>
      </c>
      <c r="CC136" s="16">
        <f>SUM(CC79,CC80,CC129)</f>
        <v>2694215.4819312</v>
      </c>
      <c r="CD136" s="16">
        <f>SUM(CD79,CD80,CD129)</f>
        <v>7360790.59592992</v>
      </c>
      <c r="CE136" s="16">
        <f>SUM(CA136:CD136)</f>
        <v>20110012.1557222</v>
      </c>
      <c r="CF136" s="16">
        <f>SUM(CF79,CF80,CF129)</f>
        <v>7360790.59592992</v>
      </c>
      <c r="CG136" s="16">
        <f>SUM(CG79,CG80,CG129)</f>
        <v>20110012.1557222</v>
      </c>
      <c r="CH136" s="16">
        <f>SUM(CH79,CH80,CH129)</f>
        <v>7360790.59592992</v>
      </c>
      <c r="CI136" s="16">
        <f>SUM(CI79,CI80,CI129)</f>
        <v>20110012.1557222</v>
      </c>
      <c r="CJ136" s="16">
        <f>SUM(CF136:CI136)</f>
        <v>54941605.5033043</v>
      </c>
      <c r="CK136" s="16">
        <f>SUM(CK79,CK80,CK129)</f>
        <v>20110012.1557222</v>
      </c>
      <c r="CL136" s="16">
        <f>SUM(CL79,CL80,CL129)</f>
        <v>54941605.5033043</v>
      </c>
      <c r="CM136" s="16">
        <f>SUM(CM79,CM80,CM129)</f>
        <v>20110012.1557222</v>
      </c>
      <c r="CN136" s="16">
        <f>SUM(CN79,CN80,CN129)</f>
        <v>54941605.5033043</v>
      </c>
      <c r="CO136" s="16">
        <f>SUM(CK136:CN136)</f>
        <v>150103235.318053</v>
      </c>
      <c r="CP136" s="16">
        <f>SUM(CP79,CP80,CP129)</f>
        <v>54941605.5033043</v>
      </c>
      <c r="CQ136" s="16">
        <f>SUM(CQ79,CQ80,CQ129)</f>
        <v>150103235.318053</v>
      </c>
      <c r="CR136" s="16">
        <f>SUM(CR79,CR80,CR129)</f>
        <v>54941605.5033043</v>
      </c>
      <c r="CS136" s="16">
        <f>SUM(CS79,CS80,CS129)</f>
        <v>150103235.318053</v>
      </c>
      <c r="CT136" s="16">
        <f>SUM(CP136:CS136)</f>
        <v>410089681.642715</v>
      </c>
      <c r="CU136" s="16">
        <f>SUM(CU79,CU80,CU129)</f>
        <v>150103235.318053</v>
      </c>
      <c r="CV136" s="16">
        <f>SUM(CV79,CV80,CV129)</f>
        <v>410089681.642715</v>
      </c>
      <c r="CW136" s="16">
        <f>SUM(CW79,CW80,CW129)</f>
        <v>150103235.318053</v>
      </c>
      <c r="CX136" s="16">
        <f>SUM(CX79,CX80,CX129)</f>
        <v>410089681.642715</v>
      </c>
      <c r="CY136" s="16">
        <f>SUM(CU136:CX136)</f>
        <v>1120385833.92154</v>
      </c>
    </row>
    <row r="137">
      <c r="C137" s="26" t="inlineStr">
        <is>
          <t>Taxes</t>
        </is>
      </c>
      <c r="D137" s="25">
        <f>INDEX('Inputs (2)'!$D$10:$AL$10,MATCH(D$7,'Inputs (2)'!$D$2:$AL$2,0))</f>
        <v>-32.6364575</v>
      </c>
      <c r="E137" s="25">
        <f>INDEX('Inputs (2)'!$D$10:$AL$10,MATCH(E$7,'Inputs (2)'!$D$2:$AL$2,0))</f>
        <v>-144.96426611</v>
      </c>
      <c r="F137" s="25">
        <f>INDEX('Inputs (2)'!$D$10:$AL$10,MATCH(F$7,'Inputs (2)'!$D$2:$AL$2,0))</f>
        <v>-45.56421225</v>
      </c>
      <c r="G137" s="25">
        <f>INDEX('Inputs (2)'!$D$10:$AL$10,MATCH(G$7,'Inputs (2)'!$D$2:$AL$2,0))</f>
        <v>-59.1107329932</v>
      </c>
      <c r="H137" s="3">
        <f>SUM(D137:G137)</f>
        <v>-282.2756688532</v>
      </c>
      <c r="I137" s="25">
        <f>INDEX('Inputs (2)'!$D$10:$AL$10,MATCH(I$7,'Inputs (2)'!$D$2:$AL$2,0))</f>
        <v>-115.6779938707</v>
      </c>
      <c r="J137" s="25">
        <f>INDEX('Inputs (2)'!$D$10:$AL$10,MATCH(J$7,'Inputs (2)'!$D$2:$AL$2,0))</f>
        <v>-150.76208871</v>
      </c>
      <c r="K137" s="25">
        <f>INDEX('Inputs (2)'!$D$10:$AL$10,MATCH(K$7,'Inputs (2)'!$D$2:$AL$2,0))</f>
        <v>-173.62383393022</v>
      </c>
      <c r="L137" s="25">
        <f>INDEX('Inputs (2)'!$D$10:$AL$10,MATCH(L$7,'Inputs (2)'!$D$2:$AL$2,0))</f>
        <v>-143.94408348908</v>
      </c>
      <c r="M137" s="3">
        <f>SUM(I137:L137)</f>
        <v>-584.008</v>
      </c>
      <c r="N137" s="25">
        <f>INDEX('Inputs (2)'!$D$10:$AL$10,MATCH(N$7,'Inputs (2)'!$D$2:$AL$2,0))</f>
        <v>-134.962</v>
      </c>
      <c r="O137" s="25">
        <f>INDEX('Inputs (2)'!$D$10:$AL$10,MATCH(O$7,'Inputs (2)'!$D$2:$AL$2,0))</f>
        <v>-111.208</v>
      </c>
      <c r="P137" s="25">
        <f>INDEX('Inputs (2)'!$D$10:$AL$10,MATCH(P$7,'Inputs (2)'!$D$2:$AL$2,0))</f>
        <v>-64.128</v>
      </c>
      <c r="Q137" s="25">
        <f>INDEX('Inputs (2)'!$D$10:$AL$10,MATCH(Q$7,'Inputs (2)'!$D$2:$AL$2,0))</f>
        <v>263.61971230464</v>
      </c>
      <c r="R137" s="3">
        <f>SUM(N137:Q137)</f>
        <v>-46.67828769536</v>
      </c>
      <c r="S137" s="25">
        <f>INDEX('Inputs (2)'!$D$10:$AL$10,MATCH(S$7,'Inputs (2)'!$D$2:$AL$2,0))</f>
        <v>70.27789576014</v>
      </c>
      <c r="T137" s="25">
        <f>INDEX('Inputs (2)'!$D$10:$AL$10,MATCH(T$7,'Inputs (2)'!$D$2:$AL$2,0))</f>
        <v>-6.88647712687001</v>
      </c>
      <c r="U137" s="25">
        <f>INDEX('Inputs (2)'!$D$10:$AL$10,MATCH(U$7,'Inputs (2)'!$D$2:$AL$2,0))</f>
        <v>82.158320557504</v>
      </c>
      <c r="V137" s="25">
        <f>INDEX('Inputs (2)'!$D$10:$AL$10,MATCH(V$7,'Inputs (2)'!$D$2:$AL$2,0))</f>
        <v>231.65526359095</v>
      </c>
      <c r="W137" s="3">
        <f>SUM(S137:V137)</f>
        <v>377.205002781724</v>
      </c>
      <c r="X137" s="25">
        <f>INDEX('Inputs (2)'!$D$10:$AL$10,MATCH(X$7,'Inputs (2)'!$D$2:$AL$2,0))</f>
        <v>-16.36550454</v>
      </c>
      <c r="Y137" s="25">
        <f>INDEX('Inputs (2)'!$D$10:$AL$10,MATCH(Y$7,'Inputs (2)'!$D$2:$AL$2,0))</f>
        <v>-79.02701432</v>
      </c>
      <c r="Z137" s="25">
        <f>INDEX('Inputs (2)'!$D$10:$AL$10,MATCH(Z$7,'Inputs (2)'!$D$2:$AL$2,0))</f>
        <v>-41.45635505</v>
      </c>
      <c r="AA137" s="25">
        <f>INDEX('Inputs (2)'!$D$10:$AL$10,MATCH(AA$7,'Inputs (2)'!$D$2:$AL$2,0))</f>
        <v>-178.77275664</v>
      </c>
      <c r="AB137" s="3">
        <f>SUM(X137:AA137)</f>
        <v>-315.62163055</v>
      </c>
      <c r="AC137" s="25">
        <f>INDEX('Inputs (2)'!$D$10:$AL$10,MATCH(AC$7,'Inputs (2)'!$D$2:$AL$2,0))</f>
        <v>33.11294772</v>
      </c>
      <c r="AD137" s="25">
        <f>INDEX('Inputs (2)'!$D$10:$AL$10,MATCH(AD$7,'Inputs (2)'!$D$2:$AL$2,0))</f>
        <v>76.22104517</v>
      </c>
      <c r="AE137" s="25">
        <f>INDEX('Inputs (2)'!$D$10:$AL$10,MATCH(AE$7,'Inputs (2)'!$D$2:$AL$2,0))</f>
        <v>83.7182697</v>
      </c>
      <c r="AF137" s="25">
        <f>INDEX('Inputs (2)'!$D$10:$AL$10,MATCH(AF$7,'Inputs (2)'!$D$2:$AL$2,0))</f>
        <v>-239.26191702</v>
      </c>
      <c r="AG137" s="3">
        <f>SUM(AC137:AF137)</f>
        <v>-46.20965443</v>
      </c>
      <c r="AH137" s="3">
        <f>INDEX('Inputs (2)'!$D$10:$AL$10,MATCH(AH$7,'Inputs (2)'!$D$2:$AL$2,0))</f>
        <v>58.79669943</v>
      </c>
      <c r="AI137" s="3">
        <f>INDEX('Inputs (2)'!$D$10:$AL$10,MATCH(AI$7,'Inputs (2)'!$D$2:$AL$2,0))</f>
        <v>40.52143457</v>
      </c>
      <c r="AJ137" s="3">
        <f>AJ138*-AJ136</f>
        <v>0</v>
      </c>
      <c r="AK137" s="3">
        <f>AK138*-AK136</f>
        <v>0</v>
      </c>
      <c r="AL137" s="3">
        <f>SUM(AH137:AK137)</f>
        <v>99.318134</v>
      </c>
      <c r="AM137" s="3">
        <f>AM138*-AM136</f>
        <v>0</v>
      </c>
      <c r="AN137" s="3">
        <f>AN138*-AN136</f>
        <v>0</v>
      </c>
      <c r="AO137" s="3">
        <f>AO138*-AO136</f>
        <v>0</v>
      </c>
      <c r="AP137" s="3">
        <f>AP138*-AP136</f>
        <v>0</v>
      </c>
      <c r="AQ137" s="3">
        <f>SUM(AM137:AP137)</f>
        <v>0</v>
      </c>
      <c r="AR137" s="3">
        <f>AR138*-AR136</f>
        <v>0</v>
      </c>
      <c r="AS137" s="3">
        <f>AS138*-AS136</f>
        <v>0</v>
      </c>
      <c r="AT137" s="3">
        <f>AT138*-AT136</f>
        <v>0</v>
      </c>
      <c r="AU137" s="3">
        <f>AU138*-AU136</f>
        <v>0</v>
      </c>
      <c r="AV137" s="3">
        <f>SUM(AR137:AU137)</f>
        <v>0</v>
      </c>
      <c r="AW137" s="3">
        <f>AW138*-AW136</f>
        <v>0</v>
      </c>
      <c r="AX137" s="3">
        <f>AX138*-AX136</f>
        <v>0</v>
      </c>
      <c r="AY137" s="3">
        <f>AY138*-AY136</f>
        <v>0</v>
      </c>
      <c r="AZ137" s="3">
        <f>AZ138*-AZ136</f>
        <v>0</v>
      </c>
      <c r="BA137" s="3">
        <f>SUM(AW137:AZ137)</f>
        <v>0</v>
      </c>
      <c r="BB137" s="3">
        <f>BB138*-BB136</f>
        <v>0</v>
      </c>
      <c r="BC137" s="3">
        <f>BC138*-BC136</f>
        <v>0</v>
      </c>
      <c r="BD137" s="3">
        <f>BD138*-BD136</f>
        <v>0</v>
      </c>
      <c r="BE137" s="3">
        <f>BE138*-BE136</f>
        <v>0</v>
      </c>
      <c r="BF137" s="3">
        <f>SUM(BB137:BE137)</f>
        <v>0</v>
      </c>
      <c r="BG137" s="3">
        <f>BG138*-BG136</f>
        <v>0</v>
      </c>
      <c r="BH137" s="3">
        <f>BH138*-BH136</f>
        <v>0</v>
      </c>
      <c r="BI137" s="3">
        <f>BI138*-BI136</f>
        <v>0</v>
      </c>
      <c r="BJ137" s="3">
        <f>BJ138*-BJ136</f>
        <v>0</v>
      </c>
      <c r="BK137" s="3">
        <f>SUM(BG137:BJ137)</f>
        <v>0</v>
      </c>
      <c r="BL137" s="3">
        <f>BL138*-BL136</f>
        <v>0</v>
      </c>
      <c r="BM137" s="3">
        <f>BM138*-BM136</f>
        <v>0</v>
      </c>
      <c r="BN137" s="3">
        <f>BN138*-BN136</f>
        <v>0</v>
      </c>
      <c r="BO137" s="3">
        <f>BO138*-BO136</f>
        <v>0</v>
      </c>
      <c r="BP137" s="3">
        <f>SUM(BL137:BO137)</f>
        <v>0</v>
      </c>
      <c r="BQ137" s="3">
        <f>BQ138*-BQ136</f>
        <v>0</v>
      </c>
      <c r="BR137" s="3">
        <f>BR138*-BR136</f>
        <v>0</v>
      </c>
      <c r="BS137" s="3">
        <f>BS138*-BS136</f>
        <v>0</v>
      </c>
      <c r="BT137" s="3">
        <f>BT138*-BT136</f>
        <v>0</v>
      </c>
      <c r="BU137" s="3">
        <f>SUM(BQ137:BT137)</f>
        <v>0</v>
      </c>
      <c r="BV137" s="3">
        <f>BV138*-BV136</f>
        <v>0</v>
      </c>
      <c r="BW137" s="3">
        <f>BW138*-BW136</f>
        <v>0</v>
      </c>
      <c r="BX137" s="3">
        <f>BX138*-BX136</f>
        <v>0</v>
      </c>
      <c r="BY137" s="3">
        <f>BY138*-BY136</f>
        <v>0</v>
      </c>
      <c r="BZ137" s="3">
        <f>SUM(BV137:BY137)</f>
        <v>0</v>
      </c>
      <c r="CA137" s="3">
        <f>CA138*-CA136</f>
        <v>0</v>
      </c>
      <c r="CB137" s="3">
        <f>CB138*-CB136</f>
        <v>0</v>
      </c>
      <c r="CC137" s="3">
        <f>CC138*-CC136</f>
        <v>0</v>
      </c>
      <c r="CD137" s="3">
        <f>CD138*-CD136</f>
        <v>0</v>
      </c>
      <c r="CE137" s="3">
        <f>SUM(CA137:CD137)</f>
        <v>0</v>
      </c>
      <c r="CF137" s="3">
        <f>CF138*-CF136</f>
        <v>0</v>
      </c>
      <c r="CG137" s="3">
        <f>CG138*-CG136</f>
        <v>0</v>
      </c>
      <c r="CH137" s="3">
        <f>CH138*-CH136</f>
        <v>0</v>
      </c>
      <c r="CI137" s="3">
        <f>CI138*-CI136</f>
        <v>0</v>
      </c>
      <c r="CJ137" s="3">
        <f>SUM(CF137:CI137)</f>
        <v>0</v>
      </c>
      <c r="CK137" s="3">
        <f>CK138*-CK136</f>
        <v>0</v>
      </c>
      <c r="CL137" s="3">
        <f>CL138*-CL136</f>
        <v>0</v>
      </c>
      <c r="CM137" s="3">
        <f>CM138*-CM136</f>
        <v>0</v>
      </c>
      <c r="CN137" s="3">
        <f>CN138*-CN136</f>
        <v>0</v>
      </c>
      <c r="CO137" s="3">
        <f>SUM(CK137:CN137)</f>
        <v>0</v>
      </c>
      <c r="CP137" s="3">
        <f>CP138*-CP136</f>
        <v>0</v>
      </c>
      <c r="CQ137" s="3">
        <f>CQ138*-CQ136</f>
        <v>0</v>
      </c>
      <c r="CR137" s="3">
        <f>CR138*-CR136</f>
        <v>0</v>
      </c>
      <c r="CS137" s="3">
        <f>CS138*-CS136</f>
        <v>0</v>
      </c>
      <c r="CT137" s="3">
        <f>SUM(CP137:CS137)</f>
        <v>0</v>
      </c>
      <c r="CU137" s="3">
        <f>CU138*-CU136</f>
        <v>0</v>
      </c>
      <c r="CV137" s="3">
        <f>CV138*-CV136</f>
        <v>0</v>
      </c>
      <c r="CW137" s="3">
        <f>CW138*-CW136</f>
        <v>0</v>
      </c>
      <c r="CX137" s="3">
        <f>CX138*-CX136</f>
        <v>0</v>
      </c>
      <c r="CY137" s="3">
        <f>SUM(CU137:CX137)</f>
        <v>0</v>
      </c>
    </row>
    <row r="138" hidden="1" outlineLevel="1">
      <c r="C138" s="34" t="inlineStr">
        <is>
          <t>% ETR</t>
        </is>
      </c>
      <c r="D138" s="48">
        <f>-D137/D136</f>
        <v>0.281786312358593</v>
      </c>
      <c r="E138" s="48">
        <f>-E137/E136</f>
        <v>0.514505715792364</v>
      </c>
      <c r="F138" s="48">
        <f>-F137/F136</f>
        <v>0.343188681489533</v>
      </c>
      <c r="G138" s="48">
        <f>-G137/G136</f>
        <v>0.215727571397641</v>
      </c>
      <c r="H138" s="48">
        <f>-H137/H136</f>
        <v>0.350937268585387</v>
      </c>
      <c r="I138" s="48">
        <f>-I137/I136</f>
        <v>0.403275509129063</v>
      </c>
      <c r="J138" s="48">
        <f>-J137/J136</f>
        <v>0.277853930379847</v>
      </c>
      <c r="K138" s="48">
        <f>-K137/K136</f>
        <v>0.303019893072753</v>
      </c>
      <c r="L138" s="48">
        <f>-L137/L136</f>
        <v>0.281945417417959</v>
      </c>
      <c r="M138" s="48">
        <f>-M137/M136</f>
        <v>0.305290550027758</v>
      </c>
      <c r="N138" s="48">
        <f>-N137/N136</f>
        <v>0.291189574635641</v>
      </c>
      <c r="O138" s="48">
        <f>-O137/O136</f>
        <v>0.343054358482057</v>
      </c>
      <c r="P138" s="48">
        <f>-P137/P136</f>
        <v>0.36618206224071</v>
      </c>
      <c r="Q138" s="48">
        <f>-Q137/Q136</f>
        <v>-10.7139634991645</v>
      </c>
      <c r="R138" s="48">
        <f>-R137/R136</f>
        <v>0.0472745882239987</v>
      </c>
      <c r="S138" s="48">
        <f>-S137/S136</f>
        <v>-10.5621822265924</v>
      </c>
      <c r="T138" s="48">
        <f>-T137/T136</f>
        <v>0.0644969542007985</v>
      </c>
      <c r="U138" s="48">
        <f>-U137/U136</f>
        <v>0.426137798427544</v>
      </c>
      <c r="V138" s="48">
        <f>-V137/V136</f>
        <v>0.243928814368687</v>
      </c>
      <c r="W138" s="48">
        <f>-W137/W136</f>
        <v>0.366554552043915</v>
      </c>
      <c r="X138" s="48">
        <f>-X137/X136</f>
        <v>0.183719937624362</v>
      </c>
      <c r="Y138" s="48">
        <f>-Y137/Y136</f>
        <v>0.357789740506521</v>
      </c>
      <c r="Z138" s="48">
        <f>-Z137/Z136</f>
        <v>0.287114189479217</v>
      </c>
      <c r="AA138" s="48">
        <f>-AA137/AA136</f>
        <v>-3.98240076350345</v>
      </c>
      <c r="AB138" s="48">
        <f>-AB137/AB136</f>
        <v>0.77083688874221</v>
      </c>
      <c r="AC138" s="48">
        <f>-AC137/AC136</f>
        <v>1.53909952897247</v>
      </c>
      <c r="AD138" s="48">
        <f>-AD137/AD136</f>
        <v>0.639734179811386</v>
      </c>
      <c r="AE138" s="48">
        <f>-AE137/AE136</f>
        <v>0.259809212705663</v>
      </c>
      <c r="AF138" s="44">
        <f>-AF137/AF136</f>
        <v>0.331346281158259</v>
      </c>
      <c r="AG138" s="48">
        <f>-AG137/AG136</f>
        <v>0.17827724192191</v>
      </c>
      <c r="AH138" s="44">
        <f>-AH137/AH136</f>
        <v>0.252266932671462</v>
      </c>
      <c r="AI138" s="44">
        <f>-AI137/AI136</f>
        <v>0.211442027351207</v>
      </c>
      <c r="AJ138" s="44" t="n"/>
      <c r="AK138" s="44" t="n"/>
      <c r="AL138" s="48">
        <f>-AL137/AL136</f>
        <v>-0.119079682701849</v>
      </c>
      <c r="AM138" s="44" t="n"/>
      <c r="AN138" s="44" t="n"/>
      <c r="AO138" s="44" t="n"/>
      <c r="AP138" s="44" t="n"/>
      <c r="AQ138" s="48">
        <f>-AQ137/AQ136</f>
        <v>0</v>
      </c>
      <c r="AR138" s="44" t="n"/>
      <c r="AS138" s="44" t="n"/>
      <c r="AT138" s="44" t="n"/>
      <c r="AU138" s="44" t="n"/>
      <c r="AV138" s="48">
        <f>-AV137/AV136</f>
        <v>0</v>
      </c>
      <c r="AW138" s="44" t="n"/>
      <c r="AX138" s="44" t="n"/>
      <c r="AY138" s="44" t="n"/>
      <c r="AZ138" s="44" t="n"/>
      <c r="BA138" s="48">
        <f>-BA137/BA136</f>
        <v>0</v>
      </c>
      <c r="BB138" s="44" t="n"/>
      <c r="BC138" s="44" t="n"/>
      <c r="BD138" s="44" t="n"/>
      <c r="BE138" s="44" t="n"/>
      <c r="BF138" s="48">
        <f>-BF137/BF136</f>
        <v>0</v>
      </c>
      <c r="BG138" s="44" t="n"/>
      <c r="BH138" s="44" t="n"/>
      <c r="BI138" s="44" t="n"/>
      <c r="BJ138" s="44" t="n"/>
      <c r="BK138" s="48">
        <f>-BK137/BK136</f>
        <v>0</v>
      </c>
      <c r="BL138" s="44" t="n"/>
      <c r="BM138" s="44" t="n"/>
      <c r="BN138" s="44" t="n"/>
      <c r="BO138" s="44" t="n"/>
      <c r="BP138" s="48">
        <f>-BP137/BP136</f>
        <v>0</v>
      </c>
      <c r="BQ138" s="44" t="n"/>
      <c r="BR138" s="44" t="n"/>
      <c r="BS138" s="44" t="n"/>
      <c r="BT138" s="44" t="n"/>
      <c r="BU138" s="48">
        <f>-BU137/BU136</f>
        <v>0</v>
      </c>
      <c r="BV138" s="44" t="n"/>
      <c r="BW138" s="44" t="n"/>
      <c r="BX138" s="44" t="n"/>
      <c r="BY138" s="44" t="n"/>
      <c r="BZ138" s="48">
        <f>-BZ137/BZ136</f>
        <v>0</v>
      </c>
      <c r="CA138" s="44" t="n"/>
      <c r="CB138" s="44" t="n"/>
      <c r="CC138" s="44" t="n"/>
      <c r="CD138" s="44" t="n"/>
      <c r="CE138" s="48">
        <f>-CE137/CE136</f>
        <v>0</v>
      </c>
      <c r="CF138" s="44" t="n"/>
      <c r="CG138" s="44" t="n"/>
      <c r="CH138" s="44" t="n"/>
      <c r="CI138" s="44" t="n"/>
      <c r="CJ138" s="48">
        <f>-CJ137/CJ136</f>
        <v>0</v>
      </c>
      <c r="CK138" s="44" t="n"/>
      <c r="CL138" s="44" t="n"/>
      <c r="CM138" s="44" t="n"/>
      <c r="CN138" s="44" t="n"/>
      <c r="CO138" s="48">
        <f>-CO137/CO136</f>
        <v>0</v>
      </c>
      <c r="CP138" s="44" t="n"/>
      <c r="CQ138" s="44" t="n"/>
      <c r="CR138" s="44" t="n"/>
      <c r="CS138" s="44" t="n"/>
      <c r="CT138" s="48">
        <f>-CT137/CT136</f>
        <v>0</v>
      </c>
      <c r="CU138" s="44" t="n"/>
      <c r="CV138" s="44" t="n"/>
      <c r="CW138" s="44" t="n"/>
      <c r="CX138" s="44" t="n"/>
      <c r="CY138" s="48">
        <f>-CY137/CY136</f>
        <v>0</v>
      </c>
    </row>
    <row r="139" hidden="1" outlineLevel="1">
      <c r="C139" s="34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n"/>
      <c r="CC139" s="3" t="n"/>
      <c r="CD139" s="3" t="n"/>
      <c r="CE139" s="3" t="n"/>
      <c r="CF139" s="3" t="n"/>
      <c r="CG139" s="3" t="n"/>
      <c r="CH139" s="3" t="n"/>
      <c r="CI139" s="3" t="n"/>
      <c r="CJ139" s="3" t="n"/>
      <c r="CK139" s="3" t="n"/>
      <c r="CL139" s="3" t="n"/>
      <c r="CM139" s="3" t="n"/>
      <c r="CN139" s="3" t="n"/>
      <c r="CO139" s="3" t="n"/>
      <c r="CP139" s="3" t="n"/>
      <c r="CQ139" s="3" t="n"/>
      <c r="CR139" s="3" t="n"/>
      <c r="CS139" s="3" t="n"/>
      <c r="CT139" s="3" t="n"/>
      <c r="CU139" s="3" t="n"/>
      <c r="CV139" s="3" t="n"/>
      <c r="CW139" s="3" t="n"/>
      <c r="CX139" s="3" t="n"/>
      <c r="CY139" s="3" t="n"/>
    </row>
    <row r="140" hidden="1" outlineLevel="1">
      <c r="C140" s="34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  <c r="CI140" s="3" t="n"/>
      <c r="CJ140" s="3" t="n"/>
      <c r="CK140" s="3" t="n"/>
      <c r="CL140" s="3" t="n"/>
      <c r="CM140" s="3" t="n"/>
      <c r="CN140" s="3" t="n"/>
      <c r="CO140" s="3" t="n"/>
      <c r="CP140" s="3" t="n"/>
      <c r="CQ140" s="3" t="n"/>
      <c r="CR140" s="3" t="n"/>
      <c r="CS140" s="3" t="n"/>
      <c r="CT140" s="3" t="n"/>
      <c r="CU140" s="3" t="n"/>
      <c r="CV140" s="3" t="n"/>
      <c r="CW140" s="3" t="n"/>
      <c r="CX140" s="3" t="n"/>
      <c r="CY140" s="3" t="n"/>
    </row>
    <row r="141" collapsed="1">
      <c r="C141" s="26" t="inlineStr">
        <is>
          <t>Equity in Income of Affiliates, after tax (enter as +)</t>
        </is>
      </c>
      <c r="D141" s="25" t="n"/>
      <c r="E141" s="25" t="n"/>
      <c r="F141" s="25" t="n"/>
      <c r="G141" s="25" t="n"/>
      <c r="H141" s="3">
        <f>SUM(D141:G141)</f>
        <v>0</v>
      </c>
      <c r="I141" s="25" t="n"/>
      <c r="J141" s="25" t="n"/>
      <c r="K141" s="25" t="n"/>
      <c r="L141" s="25" t="n"/>
      <c r="M141" s="3">
        <f>SUM(I141:L141)</f>
        <v>0</v>
      </c>
      <c r="N141" s="25" t="n"/>
      <c r="O141" s="25" t="n"/>
      <c r="P141" s="25" t="n"/>
      <c r="Q141" s="25" t="n"/>
      <c r="R141" s="3">
        <f>SUM(N141:Q141)</f>
        <v>0</v>
      </c>
      <c r="S141" s="25" t="n"/>
      <c r="T141" s="25" t="n"/>
      <c r="U141" s="25" t="n"/>
      <c r="V141" s="25" t="n"/>
      <c r="W141" s="3">
        <f>SUM(S141:V141)</f>
        <v>0</v>
      </c>
      <c r="X141" s="25" t="n"/>
      <c r="Y141" s="25" t="n"/>
      <c r="Z141" s="25" t="n"/>
      <c r="AA141" s="25" t="n"/>
      <c r="AB141" s="3">
        <f>SUM(X141:AA141)</f>
        <v>0</v>
      </c>
      <c r="AC141" s="25" t="n"/>
      <c r="AD141" s="25" t="n"/>
      <c r="AE141" s="25" t="n"/>
      <c r="AF141" s="25" t="n"/>
      <c r="AG141" s="3">
        <f>SUM(AC141:AF141)</f>
        <v>0</v>
      </c>
      <c r="AH141" s="3">
        <f>AC141*(1+AH169)</f>
        <v>0</v>
      </c>
      <c r="AI141" s="3">
        <f>AD141*(1+AI169)</f>
        <v>0</v>
      </c>
      <c r="AJ141" s="3">
        <f>AE141*(1+AJ169)</f>
        <v>0</v>
      </c>
      <c r="AK141" s="3">
        <f>AF141*(1+AK169)</f>
        <v>0</v>
      </c>
      <c r="AL141" s="3">
        <f>SUM(AH141:AK141)</f>
        <v>0</v>
      </c>
      <c r="AM141" s="3">
        <f>AH141*(1+AM169)</f>
        <v>0</v>
      </c>
      <c r="AN141" s="3">
        <f>AI141*(1+AN169)</f>
        <v>0</v>
      </c>
      <c r="AO141" s="3">
        <f>AJ141*(1+AO169)</f>
        <v>0</v>
      </c>
      <c r="AP141" s="3">
        <f>AK141*(1+AP169)</f>
        <v>0</v>
      </c>
      <c r="AQ141" s="3">
        <f>SUM(AM141:AP141)</f>
        <v>0</v>
      </c>
      <c r="AR141" s="3">
        <f>AM141*(1+AR169)</f>
        <v>0</v>
      </c>
      <c r="AS141" s="3">
        <f>AN141*(1+AS169)</f>
        <v>0</v>
      </c>
      <c r="AT141" s="3">
        <f>AO141*(1+AT169)</f>
        <v>0</v>
      </c>
      <c r="AU141" s="3">
        <f>AP141*(1+AU169)</f>
        <v>0</v>
      </c>
      <c r="AV141" s="3">
        <f>SUM(AR141:AU141)</f>
        <v>0</v>
      </c>
      <c r="AW141" s="3">
        <f>AR141*(1+AW169)</f>
        <v>0</v>
      </c>
      <c r="AX141" s="3">
        <f>AS141*(1+AX169)</f>
        <v>0</v>
      </c>
      <c r="AY141" s="3">
        <f>AT141*(1+AY169)</f>
        <v>0</v>
      </c>
      <c r="AZ141" s="3">
        <f>AU141*(1+AZ169)</f>
        <v>0</v>
      </c>
      <c r="BA141" s="3">
        <f>SUM(AW141:AZ141)</f>
        <v>0</v>
      </c>
      <c r="BB141" s="3">
        <f>AW141*(1+BB169)</f>
        <v>0</v>
      </c>
      <c r="BC141" s="3">
        <f>AX141*(1+BC169)</f>
        <v>0</v>
      </c>
      <c r="BD141" s="3">
        <f>AY141*(1+BD169)</f>
        <v>0</v>
      </c>
      <c r="BE141" s="3">
        <f>AZ141*(1+BE169)</f>
        <v>0</v>
      </c>
      <c r="BF141" s="3">
        <f>SUM(BB141:BE141)</f>
        <v>0</v>
      </c>
      <c r="BG141" s="3">
        <f>BB141*(1+BG169)</f>
        <v>0</v>
      </c>
      <c r="BH141" s="3">
        <f>BC141*(1+BH169)</f>
        <v>0</v>
      </c>
      <c r="BI141" s="3">
        <f>BD141*(1+BI169)</f>
        <v>0</v>
      </c>
      <c r="BJ141" s="3">
        <f>BE141*(1+BJ169)</f>
        <v>0</v>
      </c>
      <c r="BK141" s="3">
        <f>SUM(BG141:BJ141)</f>
        <v>0</v>
      </c>
      <c r="BL141" s="3">
        <f>BG141*(1+BL169)</f>
        <v>0</v>
      </c>
      <c r="BM141" s="3">
        <f>BH141*(1+BM169)</f>
        <v>0</v>
      </c>
      <c r="BN141" s="3">
        <f>BI141*(1+BN169)</f>
        <v>0</v>
      </c>
      <c r="BO141" s="3">
        <f>BJ141*(1+BO169)</f>
        <v>0</v>
      </c>
      <c r="BP141" s="3">
        <f>SUM(BL141:BO141)</f>
        <v>0</v>
      </c>
      <c r="BQ141" s="3">
        <f>BL141*(1+BQ169)</f>
        <v>0</v>
      </c>
      <c r="BR141" s="3">
        <f>BM141*(1+BR169)</f>
        <v>0</v>
      </c>
      <c r="BS141" s="3">
        <f>BN141*(1+BS169)</f>
        <v>0</v>
      </c>
      <c r="BT141" s="3">
        <f>BO141*(1+BT169)</f>
        <v>0</v>
      </c>
      <c r="BU141" s="3">
        <f>SUM(BQ141:BT141)</f>
        <v>0</v>
      </c>
      <c r="BV141" s="3">
        <f>BQ141*(1+BV169)</f>
        <v>0</v>
      </c>
      <c r="BW141" s="3">
        <f>BR141*(1+BW169)</f>
        <v>0</v>
      </c>
      <c r="BX141" s="3">
        <f>BS141*(1+BX169)</f>
        <v>0</v>
      </c>
      <c r="BY141" s="3">
        <f>BT141*(1+BY169)</f>
        <v>0</v>
      </c>
      <c r="BZ141" s="3">
        <f>SUM(BV141:BY141)</f>
        <v>0</v>
      </c>
      <c r="CA141" s="3">
        <f>BV141*(1+CA169)</f>
        <v>0</v>
      </c>
      <c r="CB141" s="3">
        <f>BW141*(1+CB169)</f>
        <v>0</v>
      </c>
      <c r="CC141" s="3">
        <f>BX141*(1+CC169)</f>
        <v>0</v>
      </c>
      <c r="CD141" s="3">
        <f>BY141*(1+CD169)</f>
        <v>0</v>
      </c>
      <c r="CE141" s="3">
        <f>SUM(CA141:CD141)</f>
        <v>0</v>
      </c>
      <c r="CF141" s="3">
        <f>CA141*(1+CF169)</f>
        <v>0</v>
      </c>
      <c r="CG141" s="3">
        <f>CB141*(1+CG169)</f>
        <v>0</v>
      </c>
      <c r="CH141" s="3">
        <f>CC141*(1+CH169)</f>
        <v>0</v>
      </c>
      <c r="CI141" s="3">
        <f>CD141*(1+CI169)</f>
        <v>0</v>
      </c>
      <c r="CJ141" s="3">
        <f>SUM(CF141:CI141)</f>
        <v>0</v>
      </c>
      <c r="CK141" s="3">
        <f>CF141*(1+CK169)</f>
        <v>0</v>
      </c>
      <c r="CL141" s="3">
        <f>CG141*(1+CL169)</f>
        <v>0</v>
      </c>
      <c r="CM141" s="3">
        <f>CH141*(1+CM169)</f>
        <v>0</v>
      </c>
      <c r="CN141" s="3">
        <f>CI141*(1+CN169)</f>
        <v>0</v>
      </c>
      <c r="CO141" s="3">
        <f>SUM(CK141:CN141)</f>
        <v>0</v>
      </c>
      <c r="CP141" s="3">
        <f>CK141*(1+CP169)</f>
        <v>0</v>
      </c>
      <c r="CQ141" s="3">
        <f>CL141*(1+CQ169)</f>
        <v>0</v>
      </c>
      <c r="CR141" s="3">
        <f>CM141*(1+CR169)</f>
        <v>0</v>
      </c>
      <c r="CS141" s="3">
        <f>CN141*(1+CS169)</f>
        <v>0</v>
      </c>
      <c r="CT141" s="3">
        <f>SUM(CP141:CS141)</f>
        <v>0</v>
      </c>
      <c r="CU141" s="3">
        <f>CP141*(1+CU169)</f>
        <v>0</v>
      </c>
      <c r="CV141" s="3">
        <f>CQ141*(1+CV169)</f>
        <v>0</v>
      </c>
      <c r="CW141" s="3">
        <f>CR141*(1+CW169)</f>
        <v>0</v>
      </c>
      <c r="CX141" s="3">
        <f>CS141*(1+CX169)</f>
        <v>0</v>
      </c>
      <c r="CY141" s="3">
        <f>SUM(CU141:CX141)</f>
        <v>0</v>
      </c>
    </row>
    <row r="142">
      <c r="C142" s="26" t="inlineStr">
        <is>
          <t>Minority Interest Expense, after tax (enter as - )</t>
        </is>
      </c>
      <c r="D142" s="25">
        <f>INDEX('Inputs (2)'!$D$12:$AL$12,MATCH(D$7,'Inputs (2)'!$D$2:$AL$2,0))</f>
        <v>-28.7834246895495</v>
      </c>
      <c r="E142" s="25">
        <f>INDEX('Inputs (2)'!$D$12:$AL$12,MATCH(E$7,'Inputs (2)'!$D$2:$AL$2,0))</f>
        <v>18.6101032599994</v>
      </c>
      <c r="F142" s="25">
        <f>INDEX('Inputs (2)'!$D$12:$AL$12,MATCH(F$7,'Inputs (2)'!$D$2:$AL$2,0))</f>
        <v>-14.0370225324491</v>
      </c>
      <c r="G142" s="25">
        <f>INDEX('Inputs (2)'!$D$12:$AL$12,MATCH(G$7,'Inputs (2)'!$D$2:$AL$2,0))</f>
        <v>-75.9310132972963</v>
      </c>
      <c r="H142" s="3">
        <f>SUM(D142:G142)</f>
        <v>-100.141357259295</v>
      </c>
      <c r="I142" s="25">
        <f>INDEX('Inputs (2)'!$D$12:$AL$12,MATCH(I$7,'Inputs (2)'!$D$2:$AL$2,0))</f>
        <v>-76.9250735250731</v>
      </c>
      <c r="J142" s="25">
        <f>INDEX('Inputs (2)'!$D$12:$AL$12,MATCH(J$7,'Inputs (2)'!$D$2:$AL$2,0))</f>
        <v>-124.58567863375</v>
      </c>
      <c r="K142" s="25">
        <f>INDEX('Inputs (2)'!$D$12:$AL$12,MATCH(K$7,'Inputs (2)'!$D$2:$AL$2,0))</f>
        <v>-153.591501483998</v>
      </c>
      <c r="L142" s="25">
        <f>INDEX('Inputs (2)'!$D$12:$AL$12,MATCH(L$7,'Inputs (2)'!$D$2:$AL$2,0))</f>
        <v>-151.592746357179</v>
      </c>
      <c r="M142" s="3">
        <f>SUM(I142:L142)</f>
        <v>-506.695</v>
      </c>
      <c r="N142" s="25">
        <f>INDEX('Inputs (2)'!$D$12:$AL$12,MATCH(N$7,'Inputs (2)'!$D$2:$AL$2,0))</f>
        <v>-136.847</v>
      </c>
      <c r="O142" s="25">
        <f>INDEX('Inputs (2)'!$D$12:$AL$12,MATCH(O$7,'Inputs (2)'!$D$2:$AL$2,0))</f>
        <v>-110.9852</v>
      </c>
      <c r="P142" s="25">
        <f>INDEX('Inputs (2)'!$D$12:$AL$12,MATCH(P$7,'Inputs (2)'!$D$2:$AL$2,0))</f>
        <v>-92.4970004588794</v>
      </c>
      <c r="Q142" s="25">
        <f>INDEX('Inputs (2)'!$D$12:$AL$12,MATCH(Q$7,'Inputs (2)'!$D$2:$AL$2,0))</f>
        <v>-118.295958750104</v>
      </c>
      <c r="R142" s="3">
        <f>SUM(N142:Q142)</f>
        <v>-458.625159208983</v>
      </c>
      <c r="S142" s="25">
        <f>INDEX('Inputs (2)'!$D$12:$AL$12,MATCH(S$7,'Inputs (2)'!$D$2:$AL$2,0))</f>
        <v>-70.7426245306207</v>
      </c>
      <c r="T142" s="25">
        <f>INDEX('Inputs (2)'!$D$12:$AL$12,MATCH(T$7,'Inputs (2)'!$D$2:$AL$2,0))</f>
        <v>-87.5566520721374</v>
      </c>
      <c r="U142" s="25">
        <f>INDEX('Inputs (2)'!$D$12:$AL$12,MATCH(U$7,'Inputs (2)'!$D$2:$AL$2,0))</f>
        <v>-25.8757774607182</v>
      </c>
      <c r="V142" s="25">
        <f>INDEX('Inputs (2)'!$D$12:$AL$12,MATCH(V$7,'Inputs (2)'!$D$2:$AL$2,0))</f>
        <v>340.804619350459</v>
      </c>
      <c r="W142" s="3">
        <f>SUM(S142:V142)</f>
        <v>156.629565286982</v>
      </c>
      <c r="X142" s="25">
        <f>INDEX('Inputs (2)'!$D$12:$AL$12,MATCH(X$7,'Inputs (2)'!$D$2:$AL$2,0))</f>
        <v>-85.7682701999996</v>
      </c>
      <c r="Y142" s="25">
        <f>INDEX('Inputs (2)'!$D$12:$AL$12,MATCH(Y$7,'Inputs (2)'!$D$2:$AL$2,0))</f>
        <v>-92.5487251900008</v>
      </c>
      <c r="Z142" s="25">
        <f>INDEX('Inputs (2)'!$D$12:$AL$12,MATCH(Z$7,'Inputs (2)'!$D$2:$AL$2,0))</f>
        <v>-92.0911763899984</v>
      </c>
      <c r="AA142" s="25">
        <f>INDEX('Inputs (2)'!$D$12:$AL$12,MATCH(AA$7,'Inputs (2)'!$D$2:$AL$2,0))</f>
        <v>-21.5790149600092</v>
      </c>
      <c r="AB142" s="3">
        <f>SUM(X142:AA142)</f>
        <v>-291.987186740008</v>
      </c>
      <c r="AC142" s="25">
        <f>INDEX('Inputs (2)'!$D$12:$AL$12,MATCH(AC$7,'Inputs (2)'!$D$2:$AL$2,0))</f>
        <v>-62.5514536300002</v>
      </c>
      <c r="AD142" s="25">
        <f>INDEX('Inputs (2)'!$D$12:$AL$12,MATCH(AD$7,'Inputs (2)'!$D$2:$AL$2,0))</f>
        <v>-53.367175980002</v>
      </c>
      <c r="AE142" s="25">
        <f>INDEX('Inputs (2)'!$D$12:$AL$12,MATCH(AE$7,'Inputs (2)'!$D$2:$AL$2,0))</f>
        <v>-7.68147334999821</v>
      </c>
      <c r="AF142" s="25">
        <f>INDEX('Inputs (2)'!$D$12:$AL$12,MATCH(AF$7,'Inputs (2)'!$D$2:$AL$2,0))</f>
        <v>-49.920327010004</v>
      </c>
      <c r="AG142" s="3">
        <f>SUM(AC142:AF142)</f>
        <v>-173.520429970004</v>
      </c>
      <c r="AH142" s="3">
        <f>INDEX('Inputs (2)'!$D$12:$AL$12,MATCH(AH$7,'Inputs (2)'!$D$2:$AL$2,0))</f>
        <v>-5.3206806599988</v>
      </c>
      <c r="AI142" s="3">
        <f>INDEX('Inputs (2)'!$D$12:$AL$12,MATCH(AI$7,'Inputs (2)'!$D$2:$AL$2,0))</f>
        <v>-38.3478649500031</v>
      </c>
      <c r="AJ142" s="3">
        <f>AE142*(1+AJ256)</f>
        <v>-7.68147334999821</v>
      </c>
      <c r="AK142" s="3">
        <f>AF142*(1+AK256)</f>
        <v>-49.920327010004</v>
      </c>
      <c r="AL142" s="3">
        <f>SUM(AH142:AK142)</f>
        <v>-101.270345970004</v>
      </c>
      <c r="AM142" s="3">
        <f>AH142*(1+AM256)</f>
        <v>-5.3206806599988</v>
      </c>
      <c r="AN142" s="3">
        <f>AI142*(1+AN256)</f>
        <v>-38.3478649500031</v>
      </c>
      <c r="AO142" s="3">
        <f>AJ142*(1+AO256)</f>
        <v>-7.68147334999821</v>
      </c>
      <c r="AP142" s="3">
        <f>AK142*(1+AP256)</f>
        <v>-49.920327010004</v>
      </c>
      <c r="AQ142" s="3">
        <f>SUM(AM142:AP142)</f>
        <v>-101.270345970004</v>
      </c>
      <c r="AR142" s="3">
        <f>AM142*(1+AR256)</f>
        <v>-5.3206806599988</v>
      </c>
      <c r="AS142" s="3">
        <f>AN142*(1+AS256)</f>
        <v>-38.3478649500031</v>
      </c>
      <c r="AT142" s="3">
        <f>AO142*(1+AT256)</f>
        <v>-7.68147334999821</v>
      </c>
      <c r="AU142" s="3">
        <f>AP142*(1+AU256)</f>
        <v>-49.920327010004</v>
      </c>
      <c r="AV142" s="3">
        <f>SUM(AR142:AU142)</f>
        <v>-101.270345970004</v>
      </c>
      <c r="AW142" s="3">
        <f>AR142*(1+AW256)</f>
        <v>-5.3206806599988</v>
      </c>
      <c r="AX142" s="3">
        <f>AS142*(1+AX256)</f>
        <v>-38.3478649500031</v>
      </c>
      <c r="AY142" s="3">
        <f>AT142*(1+AY256)</f>
        <v>-7.68147334999821</v>
      </c>
      <c r="AZ142" s="3">
        <f>AU142*(1+AZ256)</f>
        <v>-49.920327010004</v>
      </c>
      <c r="BA142" s="3">
        <f>SUM(AW142:AZ142)</f>
        <v>-101.270345970004</v>
      </c>
      <c r="BB142" s="3">
        <f>AW142*(1+BB256)</f>
        <v>-5.3206806599988</v>
      </c>
      <c r="BC142" s="3">
        <f>AX142*(1+BC256)</f>
        <v>-38.3478649500031</v>
      </c>
      <c r="BD142" s="3">
        <f>AY142*(1+BD256)</f>
        <v>-7.68147334999821</v>
      </c>
      <c r="BE142" s="3">
        <f>AZ142*(1+BE256)</f>
        <v>-49.920327010004</v>
      </c>
      <c r="BF142" s="3">
        <f>SUM(BB142:BE142)</f>
        <v>-101.270345970004</v>
      </c>
      <c r="BG142" s="3">
        <f>BB142*(1+BG256)</f>
        <v>-5.3206806599988</v>
      </c>
      <c r="BH142" s="3">
        <f>BC142*(1+BH256)</f>
        <v>-38.3478649500031</v>
      </c>
      <c r="BI142" s="3">
        <f>BD142*(1+BI256)</f>
        <v>-7.68147334999821</v>
      </c>
      <c r="BJ142" s="3">
        <f>BE142*(1+BJ256)</f>
        <v>-49.920327010004</v>
      </c>
      <c r="BK142" s="3">
        <f>SUM(BG142:BJ142)</f>
        <v>-101.270345970004</v>
      </c>
      <c r="BL142" s="3">
        <f>BG142*(1+BL256)</f>
        <v>-5.3206806599988</v>
      </c>
      <c r="BM142" s="3">
        <f>BH142*(1+BM256)</f>
        <v>-38.3478649500031</v>
      </c>
      <c r="BN142" s="3">
        <f>BI142*(1+BN256)</f>
        <v>-7.68147334999821</v>
      </c>
      <c r="BO142" s="3">
        <f>BJ142*(1+BO256)</f>
        <v>-49.920327010004</v>
      </c>
      <c r="BP142" s="3">
        <f>SUM(BL142:BO142)</f>
        <v>-101.270345970004</v>
      </c>
      <c r="BQ142" s="3">
        <f>BL142*(1+BQ256)</f>
        <v>-5.3206806599988</v>
      </c>
      <c r="BR142" s="3">
        <f>BM142*(1+BR256)</f>
        <v>-38.3478649500031</v>
      </c>
      <c r="BS142" s="3">
        <f>BN142*(1+BS256)</f>
        <v>-7.68147334999821</v>
      </c>
      <c r="BT142" s="3">
        <f>BO142*(1+BT256)</f>
        <v>-49.920327010004</v>
      </c>
      <c r="BU142" s="3">
        <f>SUM(BQ142:BT142)</f>
        <v>-101.270345970004</v>
      </c>
      <c r="BV142" s="3">
        <f>BQ142*(1+BV256)</f>
        <v>-5.3206806599988</v>
      </c>
      <c r="BW142" s="3">
        <f>BR142*(1+BW256)</f>
        <v>-38.3478649500031</v>
      </c>
      <c r="BX142" s="3">
        <f>BS142*(1+BX256)</f>
        <v>-7.68147334999821</v>
      </c>
      <c r="BY142" s="3">
        <f>BT142*(1+BY256)</f>
        <v>-49.920327010004</v>
      </c>
      <c r="BZ142" s="3">
        <f>SUM(BV142:BY142)</f>
        <v>-101.270345970004</v>
      </c>
      <c r="CA142" s="3">
        <f>BV142*(1+CA256)</f>
        <v>-5.3206806599988</v>
      </c>
      <c r="CB142" s="3">
        <f>BW142*(1+CB256)</f>
        <v>-38.3478649500031</v>
      </c>
      <c r="CC142" s="3">
        <f>BX142*(1+CC256)</f>
        <v>-7.68147334999821</v>
      </c>
      <c r="CD142" s="3">
        <f>BY142*(1+CD256)</f>
        <v>-49.920327010004</v>
      </c>
      <c r="CE142" s="3">
        <f>SUM(CA142:CD142)</f>
        <v>-101.270345970004</v>
      </c>
      <c r="CF142" s="3">
        <f>CA142*(1+CF256)</f>
        <v>-5.3206806599988</v>
      </c>
      <c r="CG142" s="3">
        <f>CB142*(1+CG256)</f>
        <v>-38.3478649500031</v>
      </c>
      <c r="CH142" s="3">
        <f>CC142*(1+CH256)</f>
        <v>-7.68147334999821</v>
      </c>
      <c r="CI142" s="3">
        <f>CD142*(1+CI256)</f>
        <v>-49.920327010004</v>
      </c>
      <c r="CJ142" s="3">
        <f>SUM(CF142:CI142)</f>
        <v>-101.270345970004</v>
      </c>
      <c r="CK142" s="3">
        <f>CF142*(1+CK256)</f>
        <v>-5.3206806599988</v>
      </c>
      <c r="CL142" s="3">
        <f>CG142*(1+CL256)</f>
        <v>-38.3478649500031</v>
      </c>
      <c r="CM142" s="3">
        <f>CH142*(1+CM256)</f>
        <v>-7.68147334999821</v>
      </c>
      <c r="CN142" s="3">
        <f>CI142*(1+CN256)</f>
        <v>-49.920327010004</v>
      </c>
      <c r="CO142" s="3">
        <f>SUM(CK142:CN142)</f>
        <v>-101.270345970004</v>
      </c>
      <c r="CP142" s="3">
        <f>CK142*(1+CP256)</f>
        <v>-5.3206806599988</v>
      </c>
      <c r="CQ142" s="3">
        <f>CL142*(1+CQ256)</f>
        <v>-38.3478649500031</v>
      </c>
      <c r="CR142" s="3">
        <f>CM142*(1+CR256)</f>
        <v>-7.68147334999821</v>
      </c>
      <c r="CS142" s="3">
        <f>CN142*(1+CS256)</f>
        <v>-49.920327010004</v>
      </c>
      <c r="CT142" s="3">
        <f>SUM(CP142:CS142)</f>
        <v>-101.270345970004</v>
      </c>
      <c r="CU142" s="3">
        <f>CP142*(1+CU256)</f>
        <v>-5.3206806599988</v>
      </c>
      <c r="CV142" s="3">
        <f>CQ142*(1+CV256)</f>
        <v>-38.3478649500031</v>
      </c>
      <c r="CW142" s="3">
        <f>CR142*(1+CW256)</f>
        <v>-7.68147334999821</v>
      </c>
      <c r="CX142" s="3">
        <f>CS142*(1+CX256)</f>
        <v>-49.920327010004</v>
      </c>
      <c r="CY142" s="3">
        <f>SUM(CU142:CX142)</f>
        <v>-101.270345970004</v>
      </c>
    </row>
    <row r="143" customFormat="1" s="17">
      <c r="A143" s="13" t="n"/>
      <c r="B143" s="1" t="n"/>
      <c r="C143" s="14" t="inlineStr">
        <is>
          <t>Net Income</t>
        </is>
      </c>
      <c r="D143" s="16">
        <f>SUM(D136,D137,D141,D142)</f>
        <v>54.4000000000005</v>
      </c>
      <c r="E143" s="16">
        <f>SUM(E136,E137,E141,E142)</f>
        <v>155.400269919999</v>
      </c>
      <c r="F143" s="16">
        <f>SUM(F136,F137,F141,F142)</f>
        <v>73.1659999999999</v>
      </c>
      <c r="G143" s="16">
        <f>SUM(G136,G137,G141,G142)</f>
        <v>138.964643389957</v>
      </c>
      <c r="H143" s="16">
        <f>SUM(D143:G143)</f>
        <v>421.930913309957</v>
      </c>
      <c r="I143" s="16">
        <f>SUM(I136,I137,I141,I142)</f>
        <v>94.243</v>
      </c>
      <c r="J143" s="16">
        <f>SUM(J136,J137,J141,J142)</f>
        <v>267.247000000001</v>
      </c>
      <c r="K143" s="16">
        <f>SUM(K136,K137,K141,K142)</f>
        <v>245.763</v>
      </c>
      <c r="L143" s="16">
        <f>SUM(L136,L137,L141,L142)</f>
        <v>215.002</v>
      </c>
      <c r="M143" s="16">
        <f>SUM(I143:L143)</f>
        <v>822.255000000001</v>
      </c>
      <c r="N143" s="16">
        <f>SUM(N136,N137,N141,N142)</f>
        <v>191.676</v>
      </c>
      <c r="O143" s="16">
        <f>SUM(O136,O137,O141,O142)</f>
        <v>101.977</v>
      </c>
      <c r="P143" s="16">
        <f>SUM(P136,P137,P141,P142)</f>
        <v>18.5010000000002</v>
      </c>
      <c r="Q143" s="16">
        <f>SUM(Q136,Q137,Q141,Q142)</f>
        <v>169.928999999999</v>
      </c>
      <c r="R143" s="16">
        <f>SUM(N143:Q143)</f>
        <v>482.083</v>
      </c>
      <c r="S143" s="16">
        <f>SUM(S136,S137,S141,S142)</f>
        <v>6.18900000000023</v>
      </c>
      <c r="T143" s="16">
        <f>SUM(T136,T137,T141,T142)</f>
        <v>12.3289999999983</v>
      </c>
      <c r="U143" s="16">
        <f>SUM(U136,U137,U141,U142)</f>
        <v>-136.515000000001</v>
      </c>
      <c r="V143" s="16">
        <f>SUM(V136,V137,V141,V142)</f>
        <v>-377.224000000005</v>
      </c>
      <c r="W143" s="16">
        <f>SUM(S143:V143)</f>
        <v>-495.221000000007</v>
      </c>
      <c r="X143" s="16">
        <f>SUM(X136,X137,X141,X142)</f>
        <v>-13.0552307800005</v>
      </c>
      <c r="Y143" s="16">
        <f>SUM(Y136,Y137,Y141,Y142)</f>
        <v>49.2998345299982</v>
      </c>
      <c r="Z143" s="16">
        <f>SUM(Z136,Z137,Z141,Z142)</f>
        <v>10.8422499400016</v>
      </c>
      <c r="AA143" s="16">
        <f>SUM(AA136,AA137,AA141,AA142)</f>
        <v>-245.242471270006</v>
      </c>
      <c r="AB143" s="16">
        <f>SUM(X143:AA143)</f>
        <v>-198.155617580007</v>
      </c>
      <c r="AC143" s="16">
        <f>SUM(AC136,AC137,AC141,AC142)</f>
        <v>-50.9530000000002</v>
      </c>
      <c r="AD143" s="16">
        <f>SUM(AD136,AD137,AD141,AD142)</f>
        <v>-96.2910000000029</v>
      </c>
      <c r="AE143" s="16">
        <f>SUM(AE136,AE137,AE141,AE142)</f>
        <v>-246.192999999999</v>
      </c>
      <c r="AF143" s="16">
        <f>SUM(AF136,AF137,AF141,AF142)</f>
        <v>432.907999999997</v>
      </c>
      <c r="AG143" s="16">
        <f>SUM(AC143:AF143)</f>
        <v>39.4709999999943</v>
      </c>
      <c r="AH143" s="16">
        <f>SUM(AH136,AH137,AH141,AH142)</f>
        <v>-179.59733257</v>
      </c>
      <c r="AI143" s="16">
        <f>SUM(AI136,AI137,AI141,AI142)</f>
        <v>-189.469667430003</v>
      </c>
      <c r="AJ143" s="16">
        <f>SUM(AJ136,AJ137,AJ141,AJ142)</f>
        <v>582.622590280002</v>
      </c>
      <c r="AK143" s="16">
        <f>SUM(AK136,AK137,AK141,AK142)</f>
        <v>618.539885369996</v>
      </c>
      <c r="AL143" s="16">
        <f>SUM(AH143:AK143)</f>
        <v>832.095475649995</v>
      </c>
      <c r="AM143" s="16">
        <f>SUM(AM136,AM137,AM141,AM142)</f>
        <v>663.139531720001</v>
      </c>
      <c r="AN143" s="16">
        <f>SUM(AN136,AN137,AN141,AN142)</f>
        <v>2479.18068707</v>
      </c>
      <c r="AO143" s="16">
        <f>SUM(AO136,AO137,AO141,AO142)</f>
        <v>660.778739030002</v>
      </c>
      <c r="AP143" s="16">
        <f>SUM(AP136,AP137,AP141,AP142)</f>
        <v>2467.60822501</v>
      </c>
      <c r="AQ143" s="16">
        <f>SUM(AM143:AP143)</f>
        <v>6270.70718283</v>
      </c>
      <c r="AR143" s="16">
        <f>SUM(AR136,AR137,AR141,AR142)</f>
        <v>2512.20787136</v>
      </c>
      <c r="AS143" s="16">
        <f>SUM(AS136,AS137,AS141,AS142)</f>
        <v>6333.62966385</v>
      </c>
      <c r="AT143" s="16">
        <f>SUM(AT136,AT137,AT141,AT142)</f>
        <v>2509.84707867</v>
      </c>
      <c r="AU143" s="16">
        <f>SUM(AU136,AU137,AU141,AU142)</f>
        <v>6322.05720179</v>
      </c>
      <c r="AV143" s="16">
        <f>SUM(AR143:AU143)</f>
        <v>17677.74181567</v>
      </c>
      <c r="AW143" s="16">
        <f>SUM(AW136,AW137,AW141,AW142)</f>
        <v>6366.65684814</v>
      </c>
      <c r="AX143" s="16">
        <f>SUM(AX136,AX137,AX141,AX142)</f>
        <v>17740.66429669</v>
      </c>
      <c r="AY143" s="16">
        <f>SUM(AY136,AY137,AY141,AY142)</f>
        <v>6364.29605545</v>
      </c>
      <c r="AZ143" s="16">
        <f>SUM(AZ136,AZ137,AZ141,AZ142)</f>
        <v>17729.09183463</v>
      </c>
      <c r="BA143" s="16">
        <f>SUM(AW143:AZ143)</f>
        <v>48200.70903491</v>
      </c>
      <c r="BB143" s="16">
        <f>SUM(BB136,BB137,BB141,BB142)</f>
        <v>17773.69148098</v>
      </c>
      <c r="BC143" s="16">
        <f>SUM(BC136,BC137,BC141,BC142)</f>
        <v>48263.63151593</v>
      </c>
      <c r="BD143" s="16">
        <f>SUM(BD136,BD137,BD141,BD142)</f>
        <v>17771.33068829</v>
      </c>
      <c r="BE143" s="16">
        <f>SUM(BE136,BE137,BE141,BE142)</f>
        <v>48252.05905387</v>
      </c>
      <c r="BF143" s="16">
        <f>SUM(BB143:BE143)</f>
        <v>132060.71273907</v>
      </c>
      <c r="BG143" s="16">
        <f>SUM(BG136,BG137,BG141,BG142)</f>
        <v>48296.65870022</v>
      </c>
      <c r="BH143" s="16">
        <f>SUM(BH136,BH137,BH141,BH142)</f>
        <v>132123.63522009</v>
      </c>
      <c r="BI143" s="16">
        <f>SUM(BI136,BI137,BI141,BI142)</f>
        <v>48294.29790753</v>
      </c>
      <c r="BJ143" s="16">
        <f>SUM(BJ136,BJ137,BJ141,BJ142)</f>
        <v>132112.06275803</v>
      </c>
      <c r="BK143" s="16">
        <f>SUM(BG143:BJ143)</f>
        <v>360826.65458587</v>
      </c>
      <c r="BL143" s="16">
        <f>SUM(BL136,BL137,BL141,BL142)</f>
        <v>132156.66240438</v>
      </c>
      <c r="BM143" s="16">
        <f>SUM(BM136,BM137,BM141,BM142)</f>
        <v>360889.57706689</v>
      </c>
      <c r="BN143" s="16">
        <f>SUM(BN136,BN137,BN141,BN142)</f>
        <v>132154.30161169</v>
      </c>
      <c r="BO143" s="16">
        <f>SUM(BO136,BO137,BO141,BO142)</f>
        <v>360878.00460483</v>
      </c>
      <c r="BP143" s="16">
        <f>SUM(BL143:BO143)</f>
        <v>986078.54568779</v>
      </c>
      <c r="BQ143" s="16">
        <f>SUM(BQ136,BQ137,BQ141,BQ142)</f>
        <v>360922.60425118</v>
      </c>
      <c r="BR143" s="16">
        <f>SUM(BR136,BR137,BR141,BR142)</f>
        <v>986141.46816881</v>
      </c>
      <c r="BS143" s="16">
        <f>SUM(BS136,BS137,BS141,BS142)</f>
        <v>360920.24345849</v>
      </c>
      <c r="BT143" s="16">
        <f>SUM(BT136,BT137,BT141,BT142)</f>
        <v>986129.89570675</v>
      </c>
      <c r="BU143" s="16">
        <f>SUM(BQ143:BT143)</f>
        <v>2694114.21158523</v>
      </c>
      <c r="BV143" s="16">
        <f>SUM(BV136,BV137,BV141,BV142)</f>
        <v>986174.4953531</v>
      </c>
      <c r="BW143" s="16">
        <f>SUM(BW136,BW137,BW141,BW142)</f>
        <v>2694177.13406625</v>
      </c>
      <c r="BX143" s="16">
        <f>SUM(BX136,BX137,BX141,BX142)</f>
        <v>986172.13456041</v>
      </c>
      <c r="BY143" s="16">
        <f>SUM(BY136,BY137,BY141,BY142)</f>
        <v>2694165.56160419</v>
      </c>
      <c r="BZ143" s="16">
        <f>SUM(BV143:BY143)</f>
        <v>7360689.32558395</v>
      </c>
      <c r="CA143" s="16">
        <f>SUM(CA136,CA137,CA141,CA142)</f>
        <v>2694210.16125054</v>
      </c>
      <c r="CB143" s="16">
        <f>SUM(CB136,CB137,CB141,CB142)</f>
        <v>7360752.24806497</v>
      </c>
      <c r="CC143" s="16">
        <f>SUM(CC136,CC137,CC141,CC142)</f>
        <v>2694207.80045785</v>
      </c>
      <c r="CD143" s="16">
        <f>SUM(CD136,CD137,CD141,CD142)</f>
        <v>7360740.67560291</v>
      </c>
      <c r="CE143" s="16">
        <f>SUM(CA143:CD143)</f>
        <v>20109910.8853763</v>
      </c>
      <c r="CF143" s="16">
        <f>SUM(CF136,CF137,CF141,CF142)</f>
        <v>7360785.27524926</v>
      </c>
      <c r="CG143" s="16">
        <f>SUM(CG136,CG137,CG141,CG142)</f>
        <v>20109973.8078573</v>
      </c>
      <c r="CH143" s="16">
        <f>SUM(CH136,CH137,CH141,CH142)</f>
        <v>7360782.91445657</v>
      </c>
      <c r="CI143" s="16">
        <f>SUM(CI136,CI137,CI141,CI142)</f>
        <v>20109962.2353952</v>
      </c>
      <c r="CJ143" s="16">
        <f>SUM(CF143:CI143)</f>
        <v>54941504.2329584</v>
      </c>
      <c r="CK143" s="16">
        <f>SUM(CK136,CK137,CK141,CK142)</f>
        <v>20110006.8350416</v>
      </c>
      <c r="CL143" s="16">
        <f>SUM(CL136,CL137,CL141,CL142)</f>
        <v>54941567.1554394</v>
      </c>
      <c r="CM143" s="16">
        <f>SUM(CM136,CM137,CM141,CM142)</f>
        <v>20110004.4742489</v>
      </c>
      <c r="CN143" s="16">
        <f>SUM(CN136,CN137,CN141,CN142)</f>
        <v>54941555.5829773</v>
      </c>
      <c r="CO143" s="16">
        <f>SUM(CK143:CN143)</f>
        <v>150103134.047707</v>
      </c>
      <c r="CP143" s="16">
        <f>SUM(CP136,CP137,CP141,CP142)</f>
        <v>54941600.1826237</v>
      </c>
      <c r="CQ143" s="16">
        <f>SUM(CQ136,CQ137,CQ141,CQ142)</f>
        <v>150103196.970188</v>
      </c>
      <c r="CR143" s="16">
        <f>SUM(CR136,CR137,CR141,CR142)</f>
        <v>54941597.821831</v>
      </c>
      <c r="CS143" s="16">
        <f>SUM(CS136,CS137,CS141,CS142)</f>
        <v>150103185.397726</v>
      </c>
      <c r="CT143" s="16">
        <f>SUM(CP143:CS143)</f>
        <v>410089580.372369</v>
      </c>
      <c r="CU143" s="16">
        <f>SUM(CU136,CU137,CU141,CU142)</f>
        <v>150103229.997373</v>
      </c>
      <c r="CV143" s="16">
        <f>SUM(CV136,CV137,CV141,CV142)</f>
        <v>410089643.29485</v>
      </c>
      <c r="CW143" s="16">
        <f>SUM(CW136,CW137,CW141,CW142)</f>
        <v>150103227.63658</v>
      </c>
      <c r="CX143" s="16">
        <f>SUM(CX136,CX137,CX141,CX142)</f>
        <v>410089631.722388</v>
      </c>
      <c r="CY143" s="16">
        <f>SUM(CU143:CX143)</f>
        <v>1120385732.65119</v>
      </c>
    </row>
    <row r="144">
      <c r="C144" s="24" t="inlineStr">
        <is>
          <t>Common Dividends</t>
        </is>
      </c>
      <c r="D144" s="25">
        <f>INDEX('Inputs (2)'!$D$13:$AL$13,MATCH(D$7,'Inputs (2)'!$D$2:$AL$2,0))</f>
        <v>-41.585</v>
      </c>
      <c r="E144" s="25">
        <f>INDEX('Inputs (2)'!$D$13:$AL$13,MATCH(E$7,'Inputs (2)'!$D$2:$AL$2,0))</f>
        <v>-13.825</v>
      </c>
      <c r="F144" s="25">
        <f>INDEX('Inputs (2)'!$D$13:$AL$13,MATCH(F$7,'Inputs (2)'!$D$2:$AL$2,0))</f>
        <v>21.454</v>
      </c>
      <c r="G144" s="25">
        <f>INDEX('Inputs (2)'!$D$13:$AL$13,MATCH(G$7,'Inputs (2)'!$D$2:$AL$2,0))</f>
        <v>-14.9</v>
      </c>
      <c r="H144" s="3">
        <f>SUM(D144:G144)</f>
        <v>-48.856</v>
      </c>
      <c r="I144" s="25">
        <f>INDEX('Inputs (2)'!$D$13:$AL$13,MATCH(I$7,'Inputs (2)'!$D$2:$AL$2,0))</f>
        <v>-23.249</v>
      </c>
      <c r="J144" s="25">
        <f>INDEX('Inputs (2)'!$D$13:$AL$13,MATCH(J$7,'Inputs (2)'!$D$2:$AL$2,0))</f>
        <v>-60.257</v>
      </c>
      <c r="K144" s="25">
        <f>INDEX('Inputs (2)'!$D$13:$AL$13,MATCH(K$7,'Inputs (2)'!$D$2:$AL$2,0))</f>
        <v>-30.1</v>
      </c>
      <c r="L144" s="25">
        <f>INDEX('Inputs (2)'!$D$13:$AL$13,MATCH(L$7,'Inputs (2)'!$D$2:$AL$2,0))</f>
        <v>-112.967</v>
      </c>
      <c r="M144" s="3">
        <f>SUM(I144:L144)</f>
        <v>-226.573</v>
      </c>
      <c r="N144" s="25">
        <f>INDEX('Inputs (2)'!$D$13:$AL$13,MATCH(N$7,'Inputs (2)'!$D$2:$AL$2,0))</f>
        <v>-125.184</v>
      </c>
      <c r="O144" s="25">
        <f>INDEX('Inputs (2)'!$D$13:$AL$13,MATCH(O$7,'Inputs (2)'!$D$2:$AL$2,0))</f>
        <v>-421.481</v>
      </c>
      <c r="P144" s="25">
        <f>INDEX('Inputs (2)'!$D$13:$AL$13,MATCH(P$7,'Inputs (2)'!$D$2:$AL$2,0))</f>
        <v>-49.193</v>
      </c>
      <c r="Q144" s="25">
        <f>INDEX('Inputs (2)'!$D$13:$AL$13,MATCH(Q$7,'Inputs (2)'!$D$2:$AL$2,0))</f>
        <v>180.674</v>
      </c>
      <c r="R144" s="3">
        <f>SUM(N144:Q144)</f>
        <v>-415.184</v>
      </c>
      <c r="S144" s="25">
        <f>INDEX('Inputs (2)'!$D$13:$AL$13,MATCH(S$7,'Inputs (2)'!$D$2:$AL$2,0))</f>
        <v>-125.974</v>
      </c>
      <c r="T144" s="25">
        <f>INDEX('Inputs (2)'!$D$13:$AL$13,MATCH(T$7,'Inputs (2)'!$D$2:$AL$2,0))</f>
        <v>-109.124</v>
      </c>
      <c r="U144" s="25">
        <f>INDEX('Inputs (2)'!$D$13:$AL$13,MATCH(U$7,'Inputs (2)'!$D$2:$AL$2,0))</f>
        <v>-22.684</v>
      </c>
      <c r="V144" s="25">
        <f>INDEX('Inputs (2)'!$D$13:$AL$13,MATCH(V$7,'Inputs (2)'!$D$2:$AL$2,0))</f>
        <v>-223.781</v>
      </c>
      <c r="W144" s="3">
        <f>SUM(S144:V144)</f>
        <v>-481.563</v>
      </c>
      <c r="X144" s="25">
        <f>INDEX('Inputs (2)'!$D$13:$AL$13,MATCH(X$7,'Inputs (2)'!$D$2:$AL$2,0))</f>
        <v>0</v>
      </c>
      <c r="Y144" s="25">
        <f>INDEX('Inputs (2)'!$D$13:$AL$13,MATCH(Y$7,'Inputs (2)'!$D$2:$AL$2,0))</f>
        <v>0</v>
      </c>
      <c r="Z144" s="25">
        <f>INDEX('Inputs (2)'!$D$13:$AL$13,MATCH(Z$7,'Inputs (2)'!$D$2:$AL$2,0))</f>
        <v>-112.087</v>
      </c>
      <c r="AA144" s="25">
        <f>INDEX('Inputs (2)'!$D$13:$AL$13,MATCH(AA$7,'Inputs (2)'!$D$2:$AL$2,0))</f>
        <v>-45.091</v>
      </c>
      <c r="AB144" s="3">
        <f>SUM(X144:AA144)</f>
        <v>-157.178</v>
      </c>
      <c r="AC144" s="25">
        <f>INDEX('Inputs (2)'!$D$13:$AL$13,MATCH(AC$7,'Inputs (2)'!$D$2:$AL$2,0))</f>
        <v>-40.884</v>
      </c>
      <c r="AD144" s="25">
        <f>INDEX('Inputs (2)'!$D$13:$AL$13,MATCH(AD$7,'Inputs (2)'!$D$2:$AL$2,0))</f>
        <v>-189.751</v>
      </c>
      <c r="AE144" s="25">
        <f>INDEX('Inputs (2)'!$D$13:$AL$13,MATCH(AE$7,'Inputs (2)'!$D$2:$AL$2,0))</f>
        <v>-5.80200000000002</v>
      </c>
      <c r="AF144" s="25">
        <f>INDEX('Inputs (2)'!$D$13:$AL$13,MATCH(AF$7,'Inputs (2)'!$D$2:$AL$2,0))</f>
        <v>7.38600000000002</v>
      </c>
      <c r="AG144" s="3">
        <f>SUM(AC144:AF144)</f>
        <v>-229.051</v>
      </c>
      <c r="AH144" s="3">
        <f>INDEX('Inputs (2)'!$D$13:$AL$13,MATCH(AH$7,'Inputs (2)'!$D$2:$AL$2,0))</f>
        <v>0</v>
      </c>
      <c r="AI144" s="3">
        <f>INDEX('Inputs (2)'!$D$13:$AL$13,MATCH(AI$7,'Inputs (2)'!$D$2:$AL$2,0))</f>
        <v>-168.72</v>
      </c>
      <c r="AJ144" s="3" t="n"/>
      <c r="AK144" s="3" t="n"/>
      <c r="AL144" s="3">
        <f>SUM(AH144:AK144)</f>
        <v>-168.72</v>
      </c>
      <c r="AM144" s="3" t="n"/>
      <c r="AN144" s="3" t="n"/>
      <c r="AO144" s="3" t="n"/>
      <c r="AP144" s="3" t="n"/>
      <c r="AQ144" s="3">
        <f>SUM(AM144:AP144)</f>
        <v>0</v>
      </c>
      <c r="AR144" s="3" t="n"/>
      <c r="AS144" s="3" t="n"/>
      <c r="AT144" s="3" t="n"/>
      <c r="AU144" s="3" t="n"/>
      <c r="AV144" s="3">
        <f>SUM(AR144:AU144)</f>
        <v>0</v>
      </c>
      <c r="AW144" s="3" t="n"/>
      <c r="AX144" s="3" t="n"/>
      <c r="AY144" s="3" t="n"/>
      <c r="AZ144" s="3" t="n"/>
      <c r="BA144" s="3">
        <f>SUM(AW144:AZ144)</f>
        <v>0</v>
      </c>
      <c r="BB144" s="3" t="n"/>
      <c r="BC144" s="3" t="n"/>
      <c r="BD144" s="3" t="n"/>
      <c r="BE144" s="3" t="n"/>
      <c r="BF144" s="3">
        <f>SUM(BB144:BE144)</f>
        <v>0</v>
      </c>
      <c r="BG144" s="3" t="n"/>
      <c r="BH144" s="3" t="n"/>
      <c r="BI144" s="3" t="n"/>
      <c r="BJ144" s="3" t="n"/>
      <c r="BK144" s="3">
        <f>SUM(BG144:BJ144)</f>
        <v>0</v>
      </c>
      <c r="BL144" s="3" t="n"/>
      <c r="BM144" s="3" t="n"/>
      <c r="BN144" s="3" t="n"/>
      <c r="BO144" s="3" t="n"/>
      <c r="BP144" s="3">
        <f>SUM(BL144:BO144)</f>
        <v>0</v>
      </c>
      <c r="BQ144" s="3" t="n"/>
      <c r="BR144" s="3" t="n"/>
      <c r="BS144" s="3" t="n"/>
      <c r="BT144" s="3" t="n"/>
      <c r="BU144" s="3">
        <f>SUM(BQ144:BT144)</f>
        <v>0</v>
      </c>
      <c r="BV144" s="3" t="n"/>
      <c r="BW144" s="3" t="n"/>
      <c r="BX144" s="3" t="n"/>
      <c r="BY144" s="3" t="n"/>
      <c r="BZ144" s="3">
        <f>SUM(BV144:BY144)</f>
        <v>0</v>
      </c>
      <c r="CA144" s="3" t="n"/>
      <c r="CB144" s="3" t="n"/>
      <c r="CC144" s="3" t="n"/>
      <c r="CD144" s="3" t="n"/>
      <c r="CE144" s="3">
        <f>SUM(CA144:CD144)</f>
        <v>0</v>
      </c>
      <c r="CF144" s="3" t="n"/>
      <c r="CG144" s="3" t="n"/>
      <c r="CH144" s="3" t="n"/>
      <c r="CI144" s="3" t="n"/>
      <c r="CJ144" s="3">
        <f>SUM(CF144:CI144)</f>
        <v>0</v>
      </c>
      <c r="CK144" s="3" t="n"/>
      <c r="CL144" s="3" t="n"/>
      <c r="CM144" s="3" t="n"/>
      <c r="CN144" s="3" t="n"/>
      <c r="CO144" s="3">
        <f>SUM(CK144:CN144)</f>
        <v>0</v>
      </c>
      <c r="CP144" s="3" t="n"/>
      <c r="CQ144" s="3" t="n"/>
      <c r="CR144" s="3" t="n"/>
      <c r="CS144" s="3" t="n"/>
      <c r="CT144" s="3">
        <f>SUM(CP144:CS144)</f>
        <v>0</v>
      </c>
      <c r="CU144" s="3" t="n"/>
      <c r="CV144" s="3" t="n"/>
      <c r="CW144" s="3" t="n"/>
      <c r="CX144" s="3" t="n"/>
      <c r="CY144" s="3">
        <f>SUM(CU144:CX144)</f>
        <v>0</v>
      </c>
    </row>
    <row r="145" hidden="1" outlineLevel="1">
      <c r="C145" s="32" t="inlineStr">
        <is>
          <t>% DVD Payout</t>
        </is>
      </c>
      <c r="D145" s="40">
        <f>-D144/D143</f>
        <v>0.764430147058817</v>
      </c>
      <c r="E145" s="40">
        <f>-E144/E143</f>
        <v>0.0889638094394378</v>
      </c>
      <c r="F145" s="40">
        <f>-F144/F143</f>
        <v>-0.293223628461307</v>
      </c>
      <c r="G145" s="40">
        <f>-G144/G143</f>
        <v>0.10722151790933</v>
      </c>
      <c r="H145" s="40">
        <f>-H144/H143</f>
        <v>0.115791468363233</v>
      </c>
      <c r="I145" s="40">
        <f>-I144/I143</f>
        <v>0.24669206200991</v>
      </c>
      <c r="J145" s="40">
        <f>-J144/J143</f>
        <v>0.225473064243939</v>
      </c>
      <c r="K145" s="40">
        <f>-K144/K143</f>
        <v>0.122475718476744</v>
      </c>
      <c r="L145" s="40">
        <f>-L144/L143</f>
        <v>0.52542301932075</v>
      </c>
      <c r="M145" s="40">
        <f>-M144/M143</f>
        <v>0.275550771962469</v>
      </c>
      <c r="N145" s="40">
        <f>-N144/N143</f>
        <v>0.653102109810305</v>
      </c>
      <c r="O145" s="40">
        <f>-O144/O143</f>
        <v>4.13309863988937</v>
      </c>
      <c r="P145" s="40">
        <f>-P144/P143</f>
        <v>2.65893735473755</v>
      </c>
      <c r="Q145" s="40">
        <f>-Q144/Q143</f>
        <v>-1.06323229113336</v>
      </c>
      <c r="R145" s="40">
        <f>-R144/R143</f>
        <v>0.861229290391904</v>
      </c>
      <c r="S145" s="40">
        <f>-S144/S143</f>
        <v>20.3544999192107</v>
      </c>
      <c r="T145" s="40">
        <f>-T144/T143</f>
        <v>8.8510017033024</v>
      </c>
      <c r="U145" s="40">
        <f>-U144/U143</f>
        <v>-0.166164890305094</v>
      </c>
      <c r="V145" s="40">
        <f>-V144/V143</f>
        <v>-0.593231077556034</v>
      </c>
      <c r="W145" s="40">
        <f>-W144/W143</f>
        <v>-0.972420394127053</v>
      </c>
      <c r="X145" s="40">
        <f>-X144/X143</f>
        <v>0</v>
      </c>
      <c r="Y145" s="40">
        <f>-Y144/Y143</f>
        <v>0</v>
      </c>
      <c r="Z145" s="40">
        <f>-Z144/Z143</f>
        <v>10.3379834093719</v>
      </c>
      <c r="AA145" s="40">
        <f>-AA144/AA143</f>
        <v>-0.183862932739557</v>
      </c>
      <c r="AB145" s="40">
        <f>-AB144/AB143</f>
        <v>-0.793204865547342</v>
      </c>
      <c r="AC145" s="40">
        <f>-AC144/AC143</f>
        <v>-0.802386513061053</v>
      </c>
      <c r="AD145" s="40">
        <f>-AD144/AD143</f>
        <v>-1.97059953682062</v>
      </c>
      <c r="AE145" s="40">
        <f>-AE144/AE143</f>
        <v>-0.0235668763937238</v>
      </c>
      <c r="AF145" s="44">
        <f>-AF144/AF143</f>
        <v>-0.0170613617673965</v>
      </c>
      <c r="AG145" s="3" t="n"/>
      <c r="AH145" s="44">
        <f>-AH144/AH143</f>
        <v>0</v>
      </c>
      <c r="AI145" s="44">
        <f>-AI144/AI143</f>
        <v>-0.890485544670791</v>
      </c>
      <c r="AJ145" s="44" t="n"/>
      <c r="AK145" s="44" t="n"/>
      <c r="AL145" s="3">
        <f>-AL144/AL143</f>
        <v>0.202765193342992</v>
      </c>
      <c r="AM145" s="44" t="n"/>
      <c r="AN145" s="44" t="n"/>
      <c r="AO145" s="44" t="n"/>
      <c r="AP145" s="44" t="n"/>
      <c r="AQ145" s="3">
        <f>-AQ144/AQ143</f>
        <v>0</v>
      </c>
      <c r="AR145" s="44" t="n"/>
      <c r="AS145" s="44" t="n"/>
      <c r="AT145" s="44" t="n"/>
      <c r="AU145" s="44" t="n"/>
      <c r="AV145" s="3">
        <f>-AV144/AV143</f>
        <v>0</v>
      </c>
      <c r="AW145" s="44" t="n"/>
      <c r="AX145" s="44" t="n"/>
      <c r="AY145" s="44" t="n"/>
      <c r="AZ145" s="44" t="n"/>
      <c r="BA145" s="3">
        <f>-BA144/BA143</f>
        <v>0</v>
      </c>
      <c r="BB145" s="44" t="n"/>
      <c r="BC145" s="44" t="n"/>
      <c r="BD145" s="44" t="n"/>
      <c r="BE145" s="44" t="n"/>
      <c r="BF145" s="3">
        <f>-BF144/BF143</f>
        <v>0</v>
      </c>
      <c r="BG145" s="44" t="n"/>
      <c r="BH145" s="44" t="n"/>
      <c r="BI145" s="44" t="n"/>
      <c r="BJ145" s="44" t="n"/>
      <c r="BK145" s="3">
        <f>-BK144/BK143</f>
        <v>0</v>
      </c>
      <c r="BL145" s="44" t="n"/>
      <c r="BM145" s="44" t="n"/>
      <c r="BN145" s="44" t="n"/>
      <c r="BO145" s="44" t="n"/>
      <c r="BP145" s="3">
        <f>-BP144/BP143</f>
        <v>0</v>
      </c>
      <c r="BQ145" s="44" t="n"/>
      <c r="BR145" s="44" t="n"/>
      <c r="BS145" s="44" t="n"/>
      <c r="BT145" s="44" t="n"/>
      <c r="BU145" s="3">
        <f>-BU144/BU143</f>
        <v>0</v>
      </c>
      <c r="BV145" s="44" t="n"/>
      <c r="BW145" s="44" t="n"/>
      <c r="BX145" s="44" t="n"/>
      <c r="BY145" s="44" t="n"/>
      <c r="BZ145" s="3">
        <f>-BZ144/BZ143</f>
        <v>0</v>
      </c>
      <c r="CA145" s="44" t="n"/>
      <c r="CB145" s="44" t="n"/>
      <c r="CC145" s="44" t="n"/>
      <c r="CD145" s="44" t="n"/>
      <c r="CE145" s="3">
        <f>-CE144/CE143</f>
        <v>0</v>
      </c>
      <c r="CF145" s="44" t="n"/>
      <c r="CG145" s="44" t="n"/>
      <c r="CH145" s="44" t="n"/>
      <c r="CI145" s="44" t="n"/>
      <c r="CJ145" s="3">
        <f>-CJ144/CJ143</f>
        <v>0</v>
      </c>
      <c r="CK145" s="44" t="n"/>
      <c r="CL145" s="44" t="n"/>
      <c r="CM145" s="44" t="n"/>
      <c r="CN145" s="44" t="n"/>
      <c r="CO145" s="3">
        <f>-CO144/CO143</f>
        <v>0</v>
      </c>
      <c r="CP145" s="44" t="n"/>
      <c r="CQ145" s="44" t="n"/>
      <c r="CR145" s="44" t="n"/>
      <c r="CS145" s="44" t="n"/>
      <c r="CT145" s="3">
        <f>-CT144/CT143</f>
        <v>0</v>
      </c>
      <c r="CU145" s="44" t="n"/>
      <c r="CV145" s="44" t="n"/>
      <c r="CW145" s="44" t="n"/>
      <c r="CX145" s="44" t="n"/>
      <c r="CY145" s="3">
        <f>-CY144/CY143</f>
        <v>0</v>
      </c>
    </row>
    <row r="146" hidden="1" outlineLevel="1">
      <c r="C146" s="5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n"/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  <c r="BP146" s="1" t="n"/>
      <c r="BQ146" s="1" t="n"/>
      <c r="BR146" s="1" t="n"/>
      <c r="BS146" s="1" t="n"/>
      <c r="BT146" s="1" t="n"/>
      <c r="BU146" s="1" t="n"/>
      <c r="BV146" s="1" t="n"/>
      <c r="BW146" s="1" t="n"/>
      <c r="BX146" s="1" t="n"/>
      <c r="BY146" s="1" t="n"/>
      <c r="BZ146" s="1" t="n"/>
      <c r="CA146" s="1" t="n"/>
      <c r="CB146" s="1" t="n"/>
      <c r="CC146" s="1" t="n"/>
      <c r="CD146" s="1" t="n"/>
      <c r="CE146" s="1" t="n"/>
      <c r="CF146" s="1" t="n"/>
      <c r="CG146" s="1" t="n"/>
      <c r="CH146" s="1" t="n"/>
      <c r="CI146" s="1" t="n"/>
      <c r="CJ146" s="1" t="n"/>
      <c r="CK146" s="1" t="n"/>
      <c r="CL146" s="1" t="n"/>
      <c r="CM146" s="1" t="n"/>
      <c r="CN146" s="1" t="n"/>
      <c r="CO146" s="1" t="n"/>
      <c r="CP146" s="1" t="n"/>
      <c r="CQ146" s="1" t="n"/>
      <c r="CR146" s="1" t="n"/>
      <c r="CS146" s="1" t="n"/>
      <c r="CT146" s="1" t="n"/>
      <c r="CU146" s="1" t="n"/>
      <c r="CV146" s="1" t="n"/>
      <c r="CW146" s="1" t="n"/>
      <c r="CX146" s="1" t="n"/>
      <c r="CY146" s="1" t="n"/>
    </row>
    <row r="147" hidden="1" outlineLevel="1">
      <c r="C147" s="5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  <c r="AY147" s="1" t="n"/>
      <c r="AZ147" s="1" t="n"/>
      <c r="BA147" s="1" t="n"/>
      <c r="BB147" s="1" t="n"/>
      <c r="BC147" s="1" t="n"/>
      <c r="BD147" s="1" t="n"/>
      <c r="BE147" s="1" t="n"/>
      <c r="BF147" s="1" t="n"/>
      <c r="BG147" s="1" t="n"/>
      <c r="BH147" s="1" t="n"/>
      <c r="BI147" s="1" t="n"/>
      <c r="BJ147" s="1" t="n"/>
      <c r="BK147" s="1" t="n"/>
      <c r="BL147" s="1" t="n"/>
      <c r="BM147" s="1" t="n"/>
      <c r="BN147" s="1" t="n"/>
      <c r="BO147" s="1" t="n"/>
      <c r="BP147" s="1" t="n"/>
      <c r="BQ147" s="1" t="n"/>
      <c r="BR147" s="1" t="n"/>
      <c r="BS147" s="1" t="n"/>
      <c r="BT147" s="1" t="n"/>
      <c r="BU147" s="1" t="n"/>
      <c r="BV147" s="1" t="n"/>
      <c r="BW147" s="1" t="n"/>
      <c r="BX147" s="1" t="n"/>
      <c r="BY147" s="1" t="n"/>
      <c r="BZ147" s="1" t="n"/>
      <c r="CA147" s="1" t="n"/>
      <c r="CB147" s="1" t="n"/>
      <c r="CC147" s="1" t="n"/>
      <c r="CD147" s="1" t="n"/>
      <c r="CE147" s="1" t="n"/>
      <c r="CF147" s="1" t="n"/>
      <c r="CG147" s="1" t="n"/>
      <c r="CH147" s="1" t="n"/>
      <c r="CI147" s="1" t="n"/>
      <c r="CJ147" s="1" t="n"/>
      <c r="CK147" s="1" t="n"/>
      <c r="CL147" s="1" t="n"/>
      <c r="CM147" s="1" t="n"/>
      <c r="CN147" s="1" t="n"/>
      <c r="CO147" s="1" t="n"/>
      <c r="CP147" s="1" t="n"/>
      <c r="CQ147" s="1" t="n"/>
      <c r="CR147" s="1" t="n"/>
      <c r="CS147" s="1" t="n"/>
      <c r="CT147" s="1" t="n"/>
      <c r="CU147" s="1" t="n"/>
      <c r="CV147" s="1" t="n"/>
      <c r="CW147" s="1" t="n"/>
      <c r="CX147" s="1" t="n"/>
      <c r="CY147" s="1" t="n"/>
    </row>
    <row r="148" collapsed="1" ht="11.25" customHeight="1">
      <c r="C148" s="12" t="inlineStr">
        <is>
          <t>Balance Sheet</t>
        </is>
      </c>
      <c r="D148" s="12" t="str">
        <f>D13</f>
        <v>1Q20</v>
      </c>
      <c r="E148" s="12" t="str">
        <f>E13</f>
        <v>2Q20</v>
      </c>
      <c r="F148" s="12" t="str">
        <f>F13</f>
        <v>3Q20</v>
      </c>
      <c r="G148" s="12" t="str">
        <f>G13</f>
        <v>4Q20</v>
      </c>
      <c r="H148" s="12">
        <f>H13</f>
        <v>2020</v>
      </c>
      <c r="I148" s="12" t="str">
        <f>I13</f>
        <v>1Q21</v>
      </c>
      <c r="J148" s="12" t="str">
        <f>J13</f>
        <v>2Q21</v>
      </c>
      <c r="K148" s="12" t="str">
        <f>K13</f>
        <v>3Q21</v>
      </c>
      <c r="L148" s="12" t="str">
        <f>L13</f>
        <v>4Q21</v>
      </c>
      <c r="M148" s="12">
        <f>M13</f>
        <v>2021</v>
      </c>
      <c r="N148" s="12" t="str">
        <f>N13</f>
        <v>1Q22</v>
      </c>
      <c r="O148" s="12" t="str">
        <f>O13</f>
        <v>2Q22</v>
      </c>
      <c r="P148" s="12" t="str">
        <f>P13</f>
        <v>3Q22</v>
      </c>
      <c r="Q148" s="12" t="str">
        <f>Q13</f>
        <v>4Q22</v>
      </c>
      <c r="R148" s="12">
        <f>R13</f>
        <v>2022</v>
      </c>
      <c r="S148" s="12" t="str">
        <f>S13</f>
        <v>1Q23</v>
      </c>
      <c r="T148" s="12" t="str">
        <f>T13</f>
        <v>2Q23</v>
      </c>
      <c r="U148" s="12" t="str">
        <f>U13</f>
        <v>3Q23</v>
      </c>
      <c r="V148" s="12" t="str">
        <f>V13</f>
        <v>4Q23</v>
      </c>
      <c r="W148" s="12">
        <f>W13</f>
        <v>2023</v>
      </c>
      <c r="X148" s="12" t="str">
        <f>X13</f>
        <v>1Q24</v>
      </c>
      <c r="Y148" s="12" t="str">
        <f>Y13</f>
        <v>2Q24</v>
      </c>
      <c r="Z148" s="12" t="str">
        <f>Z13</f>
        <v>3Q24</v>
      </c>
      <c r="AA148" s="12" t="str">
        <f>AA13</f>
        <v>4Q24</v>
      </c>
      <c r="AB148" s="12">
        <f>AB13</f>
        <v>2024</v>
      </c>
      <c r="AC148" s="12" t="str">
        <f>AC13</f>
        <v>1Q25</v>
      </c>
      <c r="AD148" s="12" t="str">
        <f>AD13</f>
        <v>2Q25</v>
      </c>
      <c r="AE148" s="12" t="str">
        <f>AE13</f>
        <v>3Q25</v>
      </c>
      <c r="AF148" s="12" t="str">
        <f>AF13</f>
        <v>4Q25</v>
      </c>
      <c r="AG148" s="12">
        <f>AG13</f>
        <v>2025</v>
      </c>
      <c r="AH148" s="12" t="str">
        <f>AH13</f>
        <v>1Q26</v>
      </c>
      <c r="AI148" s="12" t="str">
        <f>AI13</f>
        <v>2Q26</v>
      </c>
      <c r="AJ148" s="12" t="str">
        <f>AJ13</f>
        <v>3Q26</v>
      </c>
      <c r="AK148" s="12" t="str">
        <f>AK13</f>
        <v>4Q26</v>
      </c>
      <c r="AL148" s="12">
        <f>AL13</f>
        <v>2026</v>
      </c>
      <c r="AM148" s="12" t="str">
        <f>AM13</f>
        <v>1Q27</v>
      </c>
      <c r="AN148" s="12" t="str">
        <f>AN13</f>
        <v>2Q27</v>
      </c>
      <c r="AO148" s="12" t="str">
        <f>AO13</f>
        <v>3Q27</v>
      </c>
      <c r="AP148" s="12" t="str">
        <f>AP13</f>
        <v>4Q27</v>
      </c>
      <c r="AQ148" s="12">
        <f>AQ13</f>
        <v>2027</v>
      </c>
      <c r="AR148" s="12" t="str">
        <f>AR13</f>
        <v>1Q28</v>
      </c>
      <c r="AS148" s="12" t="str">
        <f>AS13</f>
        <v>2Q28</v>
      </c>
      <c r="AT148" s="12" t="str">
        <f>AT13</f>
        <v>3Q28</v>
      </c>
      <c r="AU148" s="12" t="str">
        <f>AU13</f>
        <v>4Q28</v>
      </c>
      <c r="AV148" s="12">
        <f>AV13</f>
        <v>2028</v>
      </c>
      <c r="AW148" s="12" t="str">
        <f>AW13</f>
        <v>1Q29</v>
      </c>
      <c r="AX148" s="12" t="str">
        <f>AX13</f>
        <v>2Q29</v>
      </c>
      <c r="AY148" s="12" t="str">
        <f>AY13</f>
        <v>3Q29</v>
      </c>
      <c r="AZ148" s="12" t="str">
        <f>AZ13</f>
        <v>4Q29</v>
      </c>
      <c r="BA148" s="12">
        <f>BA13</f>
        <v>2029</v>
      </c>
      <c r="BB148" s="12" t="str">
        <f>BB13</f>
        <v>1Q30</v>
      </c>
      <c r="BC148" s="12" t="str">
        <f>BC13</f>
        <v>2Q30</v>
      </c>
      <c r="BD148" s="12" t="str">
        <f>BD13</f>
        <v>3Q30</v>
      </c>
      <c r="BE148" s="12" t="str">
        <f>BE13</f>
        <v>4Q30</v>
      </c>
      <c r="BF148" s="12">
        <f>BF13</f>
        <v>2030</v>
      </c>
      <c r="BG148" s="12" t="str">
        <f>BG13</f>
        <v>1Q31</v>
      </c>
      <c r="BH148" s="12" t="str">
        <f>BH13</f>
        <v>2Q31</v>
      </c>
      <c r="BI148" s="12" t="str">
        <f>BI13</f>
        <v>3Q31</v>
      </c>
      <c r="BJ148" s="12" t="str">
        <f>BJ13</f>
        <v>4Q31</v>
      </c>
      <c r="BK148" s="12">
        <f>BK13</f>
        <v>2031</v>
      </c>
      <c r="BL148" s="12" t="str">
        <f>BL13</f>
        <v>1Q32</v>
      </c>
      <c r="BM148" s="12" t="str">
        <f>BM13</f>
        <v>2Q32</v>
      </c>
      <c r="BN148" s="12" t="str">
        <f>BN13</f>
        <v>3Q32</v>
      </c>
      <c r="BO148" s="12" t="str">
        <f>BO13</f>
        <v>4Q32</v>
      </c>
      <c r="BP148" s="12">
        <f>BP13</f>
        <v>2032</v>
      </c>
      <c r="BQ148" s="12" t="str">
        <f>BQ13</f>
        <v>1Q33</v>
      </c>
      <c r="BR148" s="12" t="str">
        <f>BR13</f>
        <v>2Q33</v>
      </c>
      <c r="BS148" s="12" t="str">
        <f>BS13</f>
        <v>3Q33</v>
      </c>
      <c r="BT148" s="12" t="str">
        <f>BT13</f>
        <v>4Q33</v>
      </c>
      <c r="BU148" s="12">
        <f>BU13</f>
        <v>2033</v>
      </c>
      <c r="BV148" s="12" t="str">
        <f>BV13</f>
        <v>1Q34</v>
      </c>
      <c r="BW148" s="12" t="str">
        <f>BW13</f>
        <v>2Q34</v>
      </c>
      <c r="BX148" s="12" t="str">
        <f>BX13</f>
        <v>3Q34</v>
      </c>
      <c r="BY148" s="12" t="str">
        <f>BY13</f>
        <v>4Q34</v>
      </c>
      <c r="BZ148" s="12">
        <f>BZ13</f>
        <v>2034</v>
      </c>
      <c r="CA148" s="12" t="str">
        <f>CA13</f>
        <v>1Q35</v>
      </c>
      <c r="CB148" s="12" t="str">
        <f>CB13</f>
        <v>2Q35</v>
      </c>
      <c r="CC148" s="12" t="str">
        <f>CC13</f>
        <v>3Q35</v>
      </c>
      <c r="CD148" s="12" t="str">
        <f>CD13</f>
        <v>4Q35</v>
      </c>
      <c r="CE148" s="12">
        <f>CE13</f>
        <v>2035</v>
      </c>
      <c r="CF148" s="12" t="str">
        <f>CF13</f>
        <v>1Q36</v>
      </c>
      <c r="CG148" s="12" t="str">
        <f>CG13</f>
        <v>2Q36</v>
      </c>
      <c r="CH148" s="12" t="str">
        <f>CH13</f>
        <v>3Q36</v>
      </c>
      <c r="CI148" s="12" t="str">
        <f>CI13</f>
        <v>4Q36</v>
      </c>
      <c r="CJ148" s="12">
        <f>CJ13</f>
        <v>2036</v>
      </c>
      <c r="CK148" s="12" t="str">
        <f>CK13</f>
        <v>1Q37</v>
      </c>
      <c r="CL148" s="12" t="str">
        <f>CL13</f>
        <v>2Q37</v>
      </c>
      <c r="CM148" s="12" t="str">
        <f>CM13</f>
        <v>3Q37</v>
      </c>
      <c r="CN148" s="12" t="str">
        <f>CN13</f>
        <v>4Q37</v>
      </c>
      <c r="CO148" s="12">
        <f>CO13</f>
        <v>2037</v>
      </c>
      <c r="CP148" s="12" t="str">
        <f>CP13</f>
        <v>1Q38</v>
      </c>
      <c r="CQ148" s="12" t="str">
        <f>CQ13</f>
        <v>2Q38</v>
      </c>
      <c r="CR148" s="12" t="str">
        <f>CR13</f>
        <v>3Q38</v>
      </c>
      <c r="CS148" s="12" t="str">
        <f>CS13</f>
        <v>4Q38</v>
      </c>
      <c r="CT148" s="12">
        <f>CT13</f>
        <v>2038</v>
      </c>
      <c r="CU148" s="12" t="str">
        <f>CU13</f>
        <v>1Q39</v>
      </c>
      <c r="CV148" s="12" t="str">
        <f>CV13</f>
        <v>2Q39</v>
      </c>
      <c r="CW148" s="12" t="str">
        <f>CW13</f>
        <v>3Q39</v>
      </c>
      <c r="CX148" s="12" t="str">
        <f>CX13</f>
        <v>4Q39</v>
      </c>
      <c r="CY148" s="12">
        <f>CY13</f>
        <v>2039</v>
      </c>
    </row>
    <row r="149">
      <c r="C149" s="5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  <c r="AY149" s="1" t="n"/>
      <c r="AZ149" s="1" t="n"/>
      <c r="BA149" s="1" t="n"/>
      <c r="BB149" s="1" t="n"/>
      <c r="BC149" s="1" t="n"/>
      <c r="BD149" s="1" t="n"/>
      <c r="BE149" s="1" t="n"/>
      <c r="BF149" s="1" t="n"/>
      <c r="BG149" s="1" t="n"/>
      <c r="BH149" s="1" t="n"/>
      <c r="BI149" s="1" t="n"/>
      <c r="BJ149" s="1" t="n"/>
      <c r="BK149" s="1" t="n"/>
      <c r="BL149" s="1" t="n"/>
      <c r="BM149" s="1" t="n"/>
      <c r="BN149" s="1" t="n"/>
      <c r="BO149" s="1" t="n"/>
      <c r="BP149" s="1" t="n"/>
      <c r="BQ149" s="1" t="n"/>
      <c r="BR149" s="1" t="n"/>
      <c r="BS149" s="1" t="n"/>
      <c r="BT149" s="1" t="n"/>
      <c r="BU149" s="1" t="n"/>
      <c r="BV149" s="1" t="n"/>
      <c r="BW149" s="1" t="n"/>
      <c r="BX149" s="1" t="n"/>
      <c r="BY149" s="1" t="n"/>
      <c r="BZ149" s="1" t="n"/>
      <c r="CA149" s="1" t="n"/>
      <c r="CB149" s="1" t="n"/>
      <c r="CC149" s="1" t="n"/>
      <c r="CD149" s="1" t="n"/>
      <c r="CE149" s="1" t="n"/>
      <c r="CF149" s="1" t="n"/>
      <c r="CG149" s="1" t="n"/>
      <c r="CH149" s="1" t="n"/>
      <c r="CI149" s="1" t="n"/>
      <c r="CJ149" s="1" t="n"/>
      <c r="CK149" s="1" t="n"/>
      <c r="CL149" s="1" t="n"/>
      <c r="CM149" s="1" t="n"/>
      <c r="CN149" s="1" t="n"/>
      <c r="CO149" s="1" t="n"/>
      <c r="CP149" s="1" t="n"/>
      <c r="CQ149" s="1" t="n"/>
      <c r="CR149" s="1" t="n"/>
      <c r="CS149" s="1" t="n"/>
      <c r="CT149" s="1" t="n"/>
      <c r="CU149" s="1" t="n"/>
      <c r="CV149" s="1" t="n"/>
      <c r="CW149" s="1" t="n"/>
      <c r="CX149" s="1" t="n"/>
      <c r="CY149" s="1" t="n"/>
    </row>
    <row r="150">
      <c r="C150" s="24" t="inlineStr">
        <is>
          <t>Cash and equivalents (inc. investment securities)</t>
        </is>
      </c>
      <c r="D150" s="25">
        <f>INDEX('Inputs (2)'!$D$15:$AL$15,MATCH(D$7,'Inputs (2)'!$D$2:$AL$2,0))</f>
        <v>6516.64101769</v>
      </c>
      <c r="E150" s="25">
        <f>INDEX('Inputs (2)'!$D$15:$AL$15,MATCH(E$7,'Inputs (2)'!$D$2:$AL$2,0))</f>
        <v>8278.75394923</v>
      </c>
      <c r="F150" s="25">
        <f>INDEX('Inputs (2)'!$D$15:$AL$15,MATCH(F$7,'Inputs (2)'!$D$2:$AL$2,0))</f>
        <v>7860.954</v>
      </c>
      <c r="G150" s="25">
        <f>INDEX('Inputs (2)'!$D$15:$AL$15,MATCH(G$7,'Inputs (2)'!$D$2:$AL$2,0))</f>
        <v>8477.86473120872</v>
      </c>
      <c r="H150" s="3">
        <f>G150</f>
        <v>8477.86473120872</v>
      </c>
      <c r="I150" s="25">
        <f>INDEX('Inputs (2)'!$D$15:$AL$15,MATCH(I$7,'Inputs (2)'!$D$2:$AL$2,0))</f>
        <v>13416.1907057257</v>
      </c>
      <c r="J150" s="25">
        <f>INDEX('Inputs (2)'!$D$15:$AL$15,MATCH(J$7,'Inputs (2)'!$D$2:$AL$2,0))</f>
        <v>12174.055</v>
      </c>
      <c r="K150" s="25">
        <f>INDEX('Inputs (2)'!$D$15:$AL$15,MATCH(K$7,'Inputs (2)'!$D$2:$AL$2,0))</f>
        <v>16646.889</v>
      </c>
      <c r="L150" s="25">
        <f>INDEX('Inputs (2)'!$D$15:$AL$15,MATCH(L$7,'Inputs (2)'!$D$2:$AL$2,0))</f>
        <v>18661.489</v>
      </c>
      <c r="M150" s="3">
        <f>L150</f>
        <v>18661.489</v>
      </c>
      <c r="N150" s="25">
        <f>INDEX('Inputs (2)'!$D$15:$AL$15,MATCH(N$7,'Inputs (2)'!$D$2:$AL$2,0))</f>
        <v>14705.318</v>
      </c>
      <c r="O150" s="25">
        <f>INDEX('Inputs (2)'!$D$15:$AL$15,MATCH(O$7,'Inputs (2)'!$D$2:$AL$2,0))</f>
        <v>15021.48</v>
      </c>
      <c r="P150" s="25">
        <f>INDEX('Inputs (2)'!$D$15:$AL$15,MATCH(P$7,'Inputs (2)'!$D$2:$AL$2,0))</f>
        <v>15483.583</v>
      </c>
      <c r="Q150" s="25">
        <f>INDEX('Inputs (2)'!$D$15:$AL$15,MATCH(Q$7,'Inputs (2)'!$D$2:$AL$2,0))</f>
        <v>12902.269</v>
      </c>
      <c r="R150" s="3">
        <f>Q150</f>
        <v>12902.269</v>
      </c>
      <c r="S150" s="25">
        <f>INDEX('Inputs (2)'!$D$15:$AL$15,MATCH(S$7,'Inputs (2)'!$D$2:$AL$2,0))</f>
        <v>9931.66328764447</v>
      </c>
      <c r="T150" s="25">
        <f>INDEX('Inputs (2)'!$D$15:$AL$15,MATCH(T$7,'Inputs (2)'!$D$2:$AL$2,0))</f>
        <v>7894.41818753206</v>
      </c>
      <c r="U150" s="25">
        <f>INDEX('Inputs (2)'!$D$15:$AL$15,MATCH(U$7,'Inputs (2)'!$D$2:$AL$2,0))</f>
        <v>8078.17540343371</v>
      </c>
      <c r="V150" s="25">
        <f>INDEX('Inputs (2)'!$D$15:$AL$15,MATCH(V$7,'Inputs (2)'!$D$2:$AL$2,0))</f>
        <v>11124.5367270151</v>
      </c>
      <c r="W150" s="3">
        <f>V150</f>
        <v>11124.5367270151</v>
      </c>
      <c r="X150" s="25">
        <f>INDEX('Inputs (2)'!$D$15:$AL$15,MATCH(X$7,'Inputs (2)'!$D$2:$AL$2,0))</f>
        <v>12943.2809375618</v>
      </c>
      <c r="Y150" s="25">
        <f>INDEX('Inputs (2)'!$D$15:$AL$15,MATCH(Y$7,'Inputs (2)'!$D$2:$AL$2,0))</f>
        <v>12200.0965241082</v>
      </c>
      <c r="Z150" s="25">
        <f>INDEX('Inputs (2)'!$D$15:$AL$15,MATCH(Z$7,'Inputs (2)'!$D$2:$AL$2,0))</f>
        <v>14175.1800728122</v>
      </c>
      <c r="AA150" s="25">
        <f>INDEX('Inputs (2)'!$D$15:$AL$15,MATCH(AA$7,'Inputs (2)'!$D$2:$AL$2,0))</f>
        <v>13361.13484371</v>
      </c>
      <c r="AB150" s="3">
        <f>AA150</f>
        <v>13361.13484371</v>
      </c>
      <c r="AC150" s="25">
        <f>INDEX('Inputs (2)'!$D$15:$AL$15,MATCH(AC$7,'Inputs (2)'!$D$2:$AL$2,0))</f>
        <v>13536.03658932</v>
      </c>
      <c r="AD150" s="25">
        <f>INDEX('Inputs (2)'!$D$15:$AL$15,MATCH(AD$7,'Inputs (2)'!$D$2:$AL$2,0))</f>
        <v>12538.6419752</v>
      </c>
      <c r="AE150" s="25">
        <f>INDEX('Inputs (2)'!$D$15:$AL$15,MATCH(AE$7,'Inputs (2)'!$D$2:$AL$2,0))</f>
        <v>12685.19969168</v>
      </c>
      <c r="AF150" s="25">
        <f>INDEX('Inputs (2)'!$D$15:$AL$15,MATCH(AF$7,'Inputs (2)'!$D$2:$AL$2,0))</f>
        <v>17019.45165328</v>
      </c>
      <c r="AG150" s="3">
        <f>AF150</f>
        <v>17019.45165328</v>
      </c>
      <c r="AH150" s="3">
        <f>INDEX('Inputs (2)'!$D$15:$AL$15,MATCH(AH$7,'Inputs (2)'!$D$2:$AL$2,0))</f>
        <v>18005.17520755</v>
      </c>
      <c r="AI150" s="3">
        <f>INDEX('Inputs (2)'!$D$15:$AL$15,MATCH(AI$7,'Inputs (2)'!$D$2:$AL$2,0))</f>
        <v>18143.44610157</v>
      </c>
      <c r="AJ150" s="3">
        <f>AI150+AJ320</f>
        <v>22802.34775164</v>
      </c>
      <c r="AK150" s="3">
        <f>AJ150+AK320</f>
        <v>23470.80796402</v>
      </c>
      <c r="AL150" s="3">
        <f>AK150</f>
        <v>23470.80796402</v>
      </c>
      <c r="AM150" s="3" t="e">
        <f>AL150+AM320</f>
        <v>#DIV/0!</v>
      </c>
      <c r="AN150" s="3" t="e">
        <f>AM150+AN320</f>
        <v>#DIV/0!</v>
      </c>
      <c r="AO150" s="3" t="e">
        <f>AN150+AO320</f>
        <v>#DIV/0!</v>
      </c>
      <c r="AP150" s="3" t="e">
        <f>AO150+AP320</f>
        <v>#DIV/0!</v>
      </c>
      <c r="AQ150" s="3" t="e">
        <f>AP150</f>
        <v>#DIV/0!</v>
      </c>
      <c r="AR150" s="3" t="e">
        <f>AQ150+AR320</f>
        <v>#DIV/0!</v>
      </c>
      <c r="AS150" s="3" t="e">
        <f>AR150+AS320</f>
        <v>#DIV/0!</v>
      </c>
      <c r="AT150" s="3" t="e">
        <f>AS150+AT320</f>
        <v>#DIV/0!</v>
      </c>
      <c r="AU150" s="3" t="e">
        <f>AT150+AU320</f>
        <v>#DIV/0!</v>
      </c>
      <c r="AV150" s="3" t="e">
        <f>AU150</f>
        <v>#DIV/0!</v>
      </c>
      <c r="AW150" s="3" t="e">
        <f>AV150+AW320</f>
        <v>#DIV/0!</v>
      </c>
      <c r="AX150" s="3" t="e">
        <f>AW150+AX320</f>
        <v>#DIV/0!</v>
      </c>
      <c r="AY150" s="3" t="e">
        <f>AX150+AY320</f>
        <v>#DIV/0!</v>
      </c>
      <c r="AZ150" s="3" t="e">
        <f>AY150+AZ320</f>
        <v>#DIV/0!</v>
      </c>
      <c r="BA150" s="3" t="e">
        <f>AZ150</f>
        <v>#DIV/0!</v>
      </c>
      <c r="BB150" s="3" t="e">
        <f>BA150+BB320</f>
        <v>#DIV/0!</v>
      </c>
      <c r="BC150" s="3" t="e">
        <f>BB150+BC320</f>
        <v>#DIV/0!</v>
      </c>
      <c r="BD150" s="3" t="e">
        <f>BC150+BD320</f>
        <v>#DIV/0!</v>
      </c>
      <c r="BE150" s="3" t="e">
        <f>BD150+BE320</f>
        <v>#DIV/0!</v>
      </c>
      <c r="BF150" s="3" t="e">
        <f>BE150</f>
        <v>#DIV/0!</v>
      </c>
      <c r="BG150" s="3" t="e">
        <f>BF150+BG320</f>
        <v>#DIV/0!</v>
      </c>
      <c r="BH150" s="3" t="e">
        <f>BG150+BH320</f>
        <v>#DIV/0!</v>
      </c>
      <c r="BI150" s="3" t="e">
        <f>BH150+BI320</f>
        <v>#DIV/0!</v>
      </c>
      <c r="BJ150" s="3" t="e">
        <f>BI150+BJ320</f>
        <v>#DIV/0!</v>
      </c>
      <c r="BK150" s="3" t="e">
        <f>BJ150</f>
        <v>#DIV/0!</v>
      </c>
      <c r="BL150" s="3" t="e">
        <f>BK150+BL320</f>
        <v>#DIV/0!</v>
      </c>
      <c r="BM150" s="3" t="e">
        <f>BL150+BM320</f>
        <v>#DIV/0!</v>
      </c>
      <c r="BN150" s="3" t="e">
        <f>BM150+BN320</f>
        <v>#DIV/0!</v>
      </c>
      <c r="BO150" s="3" t="e">
        <f>BN150+BO320</f>
        <v>#DIV/0!</v>
      </c>
      <c r="BP150" s="3" t="e">
        <f>BO150</f>
        <v>#DIV/0!</v>
      </c>
      <c r="BQ150" s="3" t="e">
        <f>BP150+BQ320</f>
        <v>#DIV/0!</v>
      </c>
      <c r="BR150" s="3" t="e">
        <f>BQ150+BR320</f>
        <v>#DIV/0!</v>
      </c>
      <c r="BS150" s="3" t="e">
        <f>BR150+BS320</f>
        <v>#DIV/0!</v>
      </c>
      <c r="BT150" s="3" t="e">
        <f>BS150+BT320</f>
        <v>#DIV/0!</v>
      </c>
      <c r="BU150" s="3" t="e">
        <f>BT150</f>
        <v>#DIV/0!</v>
      </c>
      <c r="BV150" s="3" t="e">
        <f>BU150+BV320</f>
        <v>#DIV/0!</v>
      </c>
      <c r="BW150" s="3" t="e">
        <f>BV150+BW320</f>
        <v>#DIV/0!</v>
      </c>
      <c r="BX150" s="3" t="e">
        <f>BW150+BX320</f>
        <v>#DIV/0!</v>
      </c>
      <c r="BY150" s="3" t="e">
        <f>BX150+BY320</f>
        <v>#DIV/0!</v>
      </c>
      <c r="BZ150" s="3" t="e">
        <f>BY150</f>
        <v>#DIV/0!</v>
      </c>
      <c r="CA150" s="3" t="e">
        <f>BZ150+CA320</f>
        <v>#DIV/0!</v>
      </c>
      <c r="CB150" s="3" t="e">
        <f>CA150+CB320</f>
        <v>#DIV/0!</v>
      </c>
      <c r="CC150" s="3" t="e">
        <f>CB150+CC320</f>
        <v>#DIV/0!</v>
      </c>
      <c r="CD150" s="3" t="e">
        <f>CC150+CD320</f>
        <v>#DIV/0!</v>
      </c>
      <c r="CE150" s="3" t="e">
        <f>CD150</f>
        <v>#DIV/0!</v>
      </c>
      <c r="CF150" s="3" t="e">
        <f>CE150+CF320</f>
        <v>#DIV/0!</v>
      </c>
      <c r="CG150" s="3" t="e">
        <f>CF150+CG320</f>
        <v>#DIV/0!</v>
      </c>
      <c r="CH150" s="3" t="e">
        <f>CG150+CH320</f>
        <v>#DIV/0!</v>
      </c>
      <c r="CI150" s="3" t="e">
        <f>CH150+CI320</f>
        <v>#DIV/0!</v>
      </c>
      <c r="CJ150" s="3" t="e">
        <f>CI150</f>
        <v>#DIV/0!</v>
      </c>
      <c r="CK150" s="3" t="e">
        <f>CJ150+CK320</f>
        <v>#DIV/0!</v>
      </c>
      <c r="CL150" s="3" t="e">
        <f>CK150+CL320</f>
        <v>#DIV/0!</v>
      </c>
      <c r="CM150" s="3" t="e">
        <f>CL150+CM320</f>
        <v>#DIV/0!</v>
      </c>
      <c r="CN150" s="3" t="e">
        <f>CM150+CN320</f>
        <v>#DIV/0!</v>
      </c>
      <c r="CO150" s="3" t="e">
        <f>CN150</f>
        <v>#DIV/0!</v>
      </c>
      <c r="CP150" s="3" t="e">
        <f>CO150+CP320</f>
        <v>#DIV/0!</v>
      </c>
      <c r="CQ150" s="3" t="e">
        <f>CP150+CQ320</f>
        <v>#DIV/0!</v>
      </c>
      <c r="CR150" s="3" t="e">
        <f>CQ150+CR320</f>
        <v>#DIV/0!</v>
      </c>
      <c r="CS150" s="3" t="e">
        <f>CR150+CS320</f>
        <v>#DIV/0!</v>
      </c>
      <c r="CT150" s="3" t="e">
        <f>CS150</f>
        <v>#DIV/0!</v>
      </c>
      <c r="CU150" s="3" t="e">
        <f>CT150+CU320</f>
        <v>#DIV/0!</v>
      </c>
      <c r="CV150" s="3" t="e">
        <f>CU150+CV320</f>
        <v>#DIV/0!</v>
      </c>
      <c r="CW150" s="3" t="e">
        <f>CV150+CW320</f>
        <v>#DIV/0!</v>
      </c>
      <c r="CX150" s="3" t="e">
        <f>CW150+CX320</f>
        <v>#DIV/0!</v>
      </c>
      <c r="CY150" s="3" t="e">
        <f>CX150</f>
        <v>#DIV/0!</v>
      </c>
    </row>
    <row r="151">
      <c r="C151" s="26" t="inlineStr">
        <is>
          <t>Accounts receivable</t>
        </is>
      </c>
      <c r="D151" s="25">
        <f>INDEX('Inputs (2)'!$D$16:$AL$16,MATCH(D$7,'Inputs (2)'!$D$2:$AL$2,0))</f>
        <v>1591.86353107</v>
      </c>
      <c r="E151" s="25">
        <f>INDEX('Inputs (2)'!$D$16:$AL$16,MATCH(E$7,'Inputs (2)'!$D$2:$AL$2,0))</f>
        <v>1627.08897217</v>
      </c>
      <c r="F151" s="25">
        <f>INDEX('Inputs (2)'!$D$16:$AL$16,MATCH(F$7,'Inputs (2)'!$D$2:$AL$2,0))</f>
        <v>1741.4563492</v>
      </c>
      <c r="G151" s="25">
        <f>INDEX('Inputs (2)'!$D$16:$AL$16,MATCH(G$7,'Inputs (2)'!$D$2:$AL$2,0))</f>
        <v>1934.44589198925</v>
      </c>
      <c r="H151" s="3">
        <f>G151</f>
        <v>1934.44589198925</v>
      </c>
      <c r="I151" s="25">
        <f>INDEX('Inputs (2)'!$D$16:$AL$16,MATCH(I$7,'Inputs (2)'!$D$2:$AL$2,0))</f>
        <v>2151.39265197933</v>
      </c>
      <c r="J151" s="25">
        <f>INDEX('Inputs (2)'!$D$16:$AL$16,MATCH(J$7,'Inputs (2)'!$D$2:$AL$2,0))</f>
        <v>2430.89</v>
      </c>
      <c r="K151" s="25">
        <f>INDEX('Inputs (2)'!$D$16:$AL$16,MATCH(K$7,'Inputs (2)'!$D$2:$AL$2,0))</f>
        <v>2779.127</v>
      </c>
      <c r="L151" s="25">
        <f>INDEX('Inputs (2)'!$D$16:$AL$16,MATCH(L$7,'Inputs (2)'!$D$2:$AL$2,0))</f>
        <v>3260.329</v>
      </c>
      <c r="M151" s="3">
        <f>L151</f>
        <v>3260.329</v>
      </c>
      <c r="N151" s="25">
        <f>INDEX('Inputs (2)'!$D$16:$AL$16,MATCH(N$7,'Inputs (2)'!$D$2:$AL$2,0))</f>
        <v>3702.988</v>
      </c>
      <c r="O151" s="25">
        <f>INDEX('Inputs (2)'!$D$16:$AL$16,MATCH(O$7,'Inputs (2)'!$D$2:$AL$2,0))</f>
        <v>3976.906</v>
      </c>
      <c r="P151" s="25">
        <f>INDEX('Inputs (2)'!$D$16:$AL$16,MATCH(P$7,'Inputs (2)'!$D$2:$AL$2,0))</f>
        <v>4223.848</v>
      </c>
      <c r="Q151" s="25">
        <f>INDEX('Inputs (2)'!$D$16:$AL$16,MATCH(Q$7,'Inputs (2)'!$D$2:$AL$2,0))</f>
        <v>4433.345</v>
      </c>
      <c r="R151" s="3">
        <f>Q151</f>
        <v>4433.345</v>
      </c>
      <c r="S151" s="25">
        <f>INDEX('Inputs (2)'!$D$16:$AL$16,MATCH(S$7,'Inputs (2)'!$D$2:$AL$2,0))</f>
        <v>4794.60207892478</v>
      </c>
      <c r="T151" s="25">
        <f>INDEX('Inputs (2)'!$D$16:$AL$16,MATCH(T$7,'Inputs (2)'!$D$2:$AL$2,0))</f>
        <v>5221.96830285793</v>
      </c>
      <c r="U151" s="25">
        <f>INDEX('Inputs (2)'!$D$16:$AL$16,MATCH(U$7,'Inputs (2)'!$D$2:$AL$2,0))</f>
        <v>5708.64076707149</v>
      </c>
      <c r="V151" s="25">
        <f>INDEX('Inputs (2)'!$D$16:$AL$16,MATCH(V$7,'Inputs (2)'!$D$2:$AL$2,0))</f>
        <v>5106.68016746079</v>
      </c>
      <c r="W151" s="3">
        <f>V151</f>
        <v>5106.68016746079</v>
      </c>
      <c r="X151" s="25">
        <f>INDEX('Inputs (2)'!$D$16:$AL$16,MATCH(X$7,'Inputs (2)'!$D$2:$AL$2,0))</f>
        <v>5418.71273677048</v>
      </c>
      <c r="Y151" s="25">
        <f>INDEX('Inputs (2)'!$D$16:$AL$16,MATCH(Y$7,'Inputs (2)'!$D$2:$AL$2,0))</f>
        <v>5801.98116487911</v>
      </c>
      <c r="Z151" s="25">
        <f>INDEX('Inputs (2)'!$D$16:$AL$16,MATCH(Z$7,'Inputs (2)'!$D$2:$AL$2,0))</f>
        <v>6344.78478163993</v>
      </c>
      <c r="AA151" s="25">
        <f>INDEX('Inputs (2)'!$D$16:$AL$16,MATCH(AA$7,'Inputs (2)'!$D$2:$AL$2,0))</f>
        <v>6051.44102391</v>
      </c>
      <c r="AB151" s="3">
        <f>AA151</f>
        <v>6051.44102391</v>
      </c>
      <c r="AC151" s="25">
        <f>INDEX('Inputs (2)'!$D$16:$AL$16,MATCH(AC$7,'Inputs (2)'!$D$2:$AL$2,0))</f>
        <v>6817.36007656</v>
      </c>
      <c r="AD151" s="25">
        <f>INDEX('Inputs (2)'!$D$16:$AL$16,MATCH(AD$7,'Inputs (2)'!$D$2:$AL$2,0))</f>
        <v>7493.70215503</v>
      </c>
      <c r="AE151" s="25">
        <f>INDEX('Inputs (2)'!$D$16:$AL$16,MATCH(AE$7,'Inputs (2)'!$D$2:$AL$2,0))</f>
        <v>7771.08104948</v>
      </c>
      <c r="AF151" s="25">
        <f>INDEX('Inputs (2)'!$D$16:$AL$16,MATCH(AF$7,'Inputs (2)'!$D$2:$AL$2,0))</f>
        <v>7614.79769078</v>
      </c>
      <c r="AG151" s="3">
        <f>AF151</f>
        <v>7614.79769078</v>
      </c>
      <c r="AH151" s="3">
        <f>INDEX('Inputs (2)'!$D$16:$AL$16,MATCH(AH$7,'Inputs (2)'!$D$2:$AL$2,0))</f>
        <v>7759.61530065</v>
      </c>
      <c r="AI151" s="3">
        <f>INDEX('Inputs (2)'!$D$16:$AL$16,MATCH(AI$7,'Inputs (2)'!$D$2:$AL$2,0))</f>
        <v>8715.74125397</v>
      </c>
      <c r="AJ151" s="3">
        <f>(AJ152/(AJ$5-AI$5))*AJ$15</f>
        <v>0</v>
      </c>
      <c r="AK151" s="3">
        <f>(AK152/(AK$5-AJ$5))*AK$15</f>
        <v>0</v>
      </c>
      <c r="AL151" s="3">
        <f>AK151</f>
        <v>0</v>
      </c>
      <c r="AM151" s="3">
        <f>(AM152/(AM$5-AL$5))*AM$15</f>
        <v>0</v>
      </c>
      <c r="AN151" s="3">
        <f>(AN152/(AN$5-AM$5))*AN$15</f>
        <v>0</v>
      </c>
      <c r="AO151" s="3">
        <f>(AO152/(AO$5-AN$5))*AO$15</f>
        <v>0</v>
      </c>
      <c r="AP151" s="3">
        <f>(AP152/(AP$5-AO$5))*AP$15</f>
        <v>0</v>
      </c>
      <c r="AQ151" s="3">
        <f>AP151</f>
        <v>0</v>
      </c>
      <c r="AR151" s="3">
        <f>(AR152/(AR$5-AQ$5))*AR$15</f>
        <v>0</v>
      </c>
      <c r="AS151" s="3">
        <f>(AS152/(AS$5-AR$5))*AS$15</f>
        <v>0</v>
      </c>
      <c r="AT151" s="3">
        <f>(AT152/(AT$5-AS$5))*AT$15</f>
        <v>0</v>
      </c>
      <c r="AU151" s="3">
        <f>(AU152/(AU$5-AT$5))*AU$15</f>
        <v>0</v>
      </c>
      <c r="AV151" s="3">
        <f>AU151</f>
        <v>0</v>
      </c>
      <c r="AW151" s="3">
        <f>(AW152/(AW$5-AV$5))*AW$15</f>
        <v>0</v>
      </c>
      <c r="AX151" s="3">
        <f>(AX152/(AX$5-AW$5))*AX$15</f>
        <v>0</v>
      </c>
      <c r="AY151" s="3">
        <f>(AY152/(AY$5-AX$5))*AY$15</f>
        <v>0</v>
      </c>
      <c r="AZ151" s="3">
        <f>(AZ152/(AZ$5-AY$5))*AZ$15</f>
        <v>0</v>
      </c>
      <c r="BA151" s="3">
        <f>AZ151</f>
        <v>0</v>
      </c>
      <c r="BB151" s="3">
        <f>(BB152/(BB$5-BA$5))*BB$15</f>
        <v>0</v>
      </c>
      <c r="BC151" s="3">
        <f>(BC152/(BC$5-BB$5))*BC$15</f>
        <v>0</v>
      </c>
      <c r="BD151" s="3">
        <f>(BD152/(BD$5-BC$5))*BD$15</f>
        <v>0</v>
      </c>
      <c r="BE151" s="3">
        <f>(BE152/(BE$5-BD$5))*BE$15</f>
        <v>0</v>
      </c>
      <c r="BF151" s="3">
        <f>BE151</f>
        <v>0</v>
      </c>
      <c r="BG151" s="3">
        <f>(BG152/(BG$5-BF$5))*BG$15</f>
        <v>0</v>
      </c>
      <c r="BH151" s="3">
        <f>(BH152/(BH$5-BG$5))*BH$15</f>
        <v>0</v>
      </c>
      <c r="BI151" s="3">
        <f>(BI152/(BI$5-BH$5))*BI$15</f>
        <v>0</v>
      </c>
      <c r="BJ151" s="3">
        <f>(BJ152/(BJ$5-BI$5))*BJ$15</f>
        <v>0</v>
      </c>
      <c r="BK151" s="3">
        <f>BJ151</f>
        <v>0</v>
      </c>
      <c r="BL151" s="3">
        <f>(BL152/(BL$5-BK$5))*BL$15</f>
        <v>0</v>
      </c>
      <c r="BM151" s="3">
        <f>(BM152/(BM$5-BL$5))*BM$15</f>
        <v>0</v>
      </c>
      <c r="BN151" s="3">
        <f>(BN152/(BN$5-BM$5))*BN$15</f>
        <v>0</v>
      </c>
      <c r="BO151" s="3">
        <f>(BO152/(BO$5-BN$5))*BO$15</f>
        <v>0</v>
      </c>
      <c r="BP151" s="3">
        <f>BO151</f>
        <v>0</v>
      </c>
      <c r="BQ151" s="3">
        <f>(BQ152/(BQ$5-BP$5))*BQ$15</f>
        <v>0</v>
      </c>
      <c r="BR151" s="3">
        <f>(BR152/(BR$5-BQ$5))*BR$15</f>
        <v>0</v>
      </c>
      <c r="BS151" s="3">
        <f>(BS152/(BS$5-BR$5))*BS$15</f>
        <v>0</v>
      </c>
      <c r="BT151" s="3">
        <f>(BT152/(BT$5-BS$5))*BT$15</f>
        <v>0</v>
      </c>
      <c r="BU151" s="3">
        <f>BT151</f>
        <v>0</v>
      </c>
      <c r="BV151" s="3">
        <f>(BV152/(BV$5-BU$5))*BV$15</f>
        <v>0</v>
      </c>
      <c r="BW151" s="3">
        <f>(BW152/(BW$5-BV$5))*BW$15</f>
        <v>0</v>
      </c>
      <c r="BX151" s="3">
        <f>(BX152/(BX$5-BW$5))*BX$15</f>
        <v>0</v>
      </c>
      <c r="BY151" s="3">
        <f>(BY152/(BY$5-BX$5))*BY$15</f>
        <v>0</v>
      </c>
      <c r="BZ151" s="3">
        <f>BY151</f>
        <v>0</v>
      </c>
      <c r="CA151" s="3">
        <f>(CA152/(CA$5-BZ$5))*CA$15</f>
        <v>0</v>
      </c>
      <c r="CB151" s="3">
        <f>(CB152/(CB$5-CA$5))*CB$15</f>
        <v>0</v>
      </c>
      <c r="CC151" s="3">
        <f>(CC152/(CC$5-CB$5))*CC$15</f>
        <v>0</v>
      </c>
      <c r="CD151" s="3">
        <f>(CD152/(CD$5-CC$5))*CD$15</f>
        <v>0</v>
      </c>
      <c r="CE151" s="3">
        <f>CD151</f>
        <v>0</v>
      </c>
      <c r="CF151" s="3">
        <f>(CF152/(CF$5-CE$5))*CF$15</f>
        <v>0</v>
      </c>
      <c r="CG151" s="3">
        <f>(CG152/(CG$5-CF$5))*CG$15</f>
        <v>0</v>
      </c>
      <c r="CH151" s="3">
        <f>(CH152/(CH$5-CG$5))*CH$15</f>
        <v>0</v>
      </c>
      <c r="CI151" s="3">
        <f>(CI152/(CI$5-CH$5))*CI$15</f>
        <v>0</v>
      </c>
      <c r="CJ151" s="3">
        <f>CI151</f>
        <v>0</v>
      </c>
      <c r="CK151" s="3">
        <f>(CK152/(CK$5-CJ$5))*CK$15</f>
        <v>0</v>
      </c>
      <c r="CL151" s="3">
        <f>(CL152/(CL$5-CK$5))*CL$15</f>
        <v>0</v>
      </c>
      <c r="CM151" s="3">
        <f>(CM152/(CM$5-CL$5))*CM$15</f>
        <v>0</v>
      </c>
      <c r="CN151" s="3">
        <f>(CN152/(CN$5-CM$5))*CN$15</f>
        <v>0</v>
      </c>
      <c r="CO151" s="3">
        <f>CN151</f>
        <v>0</v>
      </c>
      <c r="CP151" s="3">
        <f>(CP152/(CP$5-CO$5))*CP$15</f>
        <v>0</v>
      </c>
      <c r="CQ151" s="3">
        <f>(CQ152/(CQ$5-CP$5))*CQ$15</f>
        <v>0</v>
      </c>
      <c r="CR151" s="3">
        <f>(CR152/(CR$5-CQ$5))*CR$15</f>
        <v>0</v>
      </c>
      <c r="CS151" s="3">
        <f>(CS152/(CS$5-CR$5))*CS$15</f>
        <v>0</v>
      </c>
      <c r="CT151" s="3">
        <f>CS151</f>
        <v>0</v>
      </c>
      <c r="CU151" s="3">
        <f>(CU152/(CU$5-CT$5))*CU$15</f>
        <v>0</v>
      </c>
      <c r="CV151" s="3">
        <f>(CV152/(CV$5-CU$5))*CV$15</f>
        <v>0</v>
      </c>
      <c r="CW151" s="3">
        <f>(CW152/(CW$5-CV$5))*CW$15</f>
        <v>0</v>
      </c>
      <c r="CX151" s="3">
        <f>(CX152/(CX$5-CW$5))*CX$15</f>
        <v>0</v>
      </c>
      <c r="CY151" s="3">
        <f>CX151</f>
        <v>0</v>
      </c>
    </row>
    <row r="152" hidden="1" outlineLevel="1">
      <c r="C152" s="34" t="inlineStr">
        <is>
          <t>DSO</t>
        </is>
      </c>
      <c r="D152" s="3" t="n"/>
      <c r="E152" s="3">
        <f>(E151/E$15)*(E$5-D$5)</f>
        <v>67.3873235394004</v>
      </c>
      <c r="F152" s="3">
        <f>(F151/F$15)*(F$5-E$5)</f>
        <v>61.548681386021</v>
      </c>
      <c r="G152" s="3">
        <f>(G151/G$15)*(G$5-F$5)</f>
        <v>67.1607826208251</v>
      </c>
      <c r="H152" s="3" t="n"/>
      <c r="I152" s="3">
        <f>(I151/I$15)*(I$5-H$5)</f>
        <v>73.8998208873484</v>
      </c>
      <c r="J152" s="3">
        <f>(J151/J$15)*(J$5-I$5)</f>
        <v>70.2465320921536</v>
      </c>
      <c r="K152" s="3">
        <f>(K151/K$15)*(K$5-J$5)</f>
        <v>64.5936325878917</v>
      </c>
      <c r="L152" s="3">
        <f>(L151/L$15)*(L$5-K$5)</f>
        <v>72.4733400068185</v>
      </c>
      <c r="M152" s="3" t="n"/>
      <c r="N152" s="3">
        <f>(N151/N$15)*(N$5-M$5)</f>
        <v>73.5660985742512</v>
      </c>
      <c r="O152" s="3">
        <f>(O151/O$15)*(O$5-N$5)</f>
        <v>67.1781226864641</v>
      </c>
      <c r="P152" s="3">
        <f>(P151/P$15)*(P$5-O$5)</f>
        <v>56.9506165084331</v>
      </c>
      <c r="Q152" s="3">
        <f>(Q151/Q$15)*(Q$5-P$5)</f>
        <v>55.558832665099</v>
      </c>
      <c r="R152" s="3" t="n"/>
      <c r="S152" s="3">
        <f>(S151/S$15)*(S$5-R$5)</f>
        <v>57.9988770861985</v>
      </c>
      <c r="T152" s="3">
        <f>(T151/T$15)*(T$5-S$5)</f>
        <v>62.8268076793074</v>
      </c>
      <c r="U152" s="3">
        <f>(U151/U$15)*(U$5-T$5)</f>
        <v>63.1387435017475</v>
      </c>
      <c r="V152" s="3">
        <f>(V151/V$15)*(V$5-U$5)</f>
        <v>55.1307531587595</v>
      </c>
      <c r="W152" s="3" t="n"/>
      <c r="X152" s="3">
        <f>(X151/X$15)*(X$5-W$5)</f>
        <v>54.3867660697129</v>
      </c>
      <c r="Y152" s="3">
        <f>(Y151/Y$15)*(Y$5-X$5)</f>
        <v>51.6251557131726</v>
      </c>
      <c r="Z152" s="3">
        <f>(Z151/Z$15)*(Z$5-Y$5)</f>
        <v>54.0957979959774</v>
      </c>
      <c r="AA152" s="3">
        <f>(AA151/AA$15)*(AA$5-Z$5)</f>
        <v>52.2566707960377</v>
      </c>
      <c r="AB152" s="3" t="n"/>
      <c r="AC152" s="3">
        <f>(AC151/AC$15)*(AC$5-AB$5)</f>
        <v>59.8910971594897</v>
      </c>
      <c r="AD152" s="3">
        <f>(AD151/AD$15)*(AD$5-AC$5)</f>
        <v>65.9453635403828</v>
      </c>
      <c r="AE152" s="3">
        <f>(AE151/AE$15)*(AE$5-AD$5)</f>
        <v>64.4035441870458</v>
      </c>
      <c r="AF152" s="6">
        <f>(AF151/AF$15)*(AF$5-AE$5)</f>
        <v>63.0030031022296</v>
      </c>
      <c r="AG152" s="3" t="n"/>
      <c r="AH152" s="6">
        <f>(AH151/AH$15)*(AH$5-AG$5)</f>
        <v>63.9277104167301</v>
      </c>
      <c r="AI152" s="6">
        <f>(AI151/AI$15)*(AI$5-AH$5)</f>
        <v>70.5090493511611</v>
      </c>
      <c r="AJ152" s="6" t="n"/>
      <c r="AK152" s="6" t="n"/>
      <c r="AL152" s="3" t="n"/>
      <c r="AM152" s="6" t="n"/>
      <c r="AN152" s="6" t="n"/>
      <c r="AO152" s="6" t="n"/>
      <c r="AP152" s="6" t="n"/>
      <c r="AQ152" s="3" t="n"/>
      <c r="AR152" s="6" t="n"/>
      <c r="AS152" s="6" t="n"/>
      <c r="AT152" s="6" t="n"/>
      <c r="AU152" s="6" t="n"/>
      <c r="AV152" s="3" t="n"/>
      <c r="AW152" s="6" t="n"/>
      <c r="AX152" s="6" t="n"/>
      <c r="AY152" s="6" t="n"/>
      <c r="AZ152" s="6" t="n"/>
      <c r="BA152" s="3" t="n"/>
      <c r="BB152" s="6" t="n"/>
      <c r="BC152" s="6" t="n"/>
      <c r="BD152" s="6" t="n"/>
      <c r="BE152" s="6" t="n"/>
      <c r="BF152" s="3" t="n"/>
      <c r="BG152" s="6" t="n"/>
      <c r="BH152" s="6" t="n"/>
      <c r="BI152" s="6" t="n"/>
      <c r="BJ152" s="6" t="n"/>
      <c r="BK152" s="3" t="n"/>
      <c r="BL152" s="6" t="n"/>
      <c r="BM152" s="6" t="n"/>
      <c r="BN152" s="6" t="n"/>
      <c r="BO152" s="6" t="n"/>
      <c r="BP152" s="3" t="n"/>
      <c r="BQ152" s="6" t="n"/>
      <c r="BR152" s="6" t="n"/>
      <c r="BS152" s="6" t="n"/>
      <c r="BT152" s="6" t="n"/>
      <c r="BU152" s="3" t="n"/>
      <c r="BV152" s="6" t="n"/>
      <c r="BW152" s="6" t="n"/>
      <c r="BX152" s="6" t="n"/>
      <c r="BY152" s="6" t="n"/>
      <c r="BZ152" s="3" t="n"/>
      <c r="CA152" s="6" t="n"/>
      <c r="CB152" s="6" t="n"/>
      <c r="CC152" s="6" t="n"/>
      <c r="CD152" s="6" t="n"/>
      <c r="CE152" s="3" t="n"/>
      <c r="CF152" s="6" t="n"/>
      <c r="CG152" s="6" t="n"/>
      <c r="CH152" s="6" t="n"/>
      <c r="CI152" s="6" t="n"/>
      <c r="CJ152" s="3" t="n"/>
      <c r="CK152" s="6" t="n"/>
      <c r="CL152" s="6" t="n"/>
      <c r="CM152" s="6" t="n"/>
      <c r="CN152" s="6" t="n"/>
      <c r="CO152" s="3" t="n"/>
      <c r="CP152" s="6" t="n"/>
      <c r="CQ152" s="6" t="n"/>
      <c r="CR152" s="6" t="n"/>
      <c r="CS152" s="6" t="n"/>
      <c r="CT152" s="3" t="n"/>
      <c r="CU152" s="6" t="n"/>
      <c r="CV152" s="6" t="n"/>
      <c r="CW152" s="6" t="n"/>
      <c r="CX152" s="6" t="n"/>
      <c r="CY152" s="3" t="n"/>
    </row>
    <row r="153" hidden="1" outlineLevel="1">
      <c r="C153" s="34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  <c r="CI153" s="3" t="n"/>
      <c r="CJ153" s="3" t="n"/>
      <c r="CK153" s="3" t="n"/>
      <c r="CL153" s="3" t="n"/>
      <c r="CM153" s="3" t="n"/>
      <c r="CN153" s="3" t="n"/>
      <c r="CO153" s="3" t="n"/>
      <c r="CP153" s="3" t="n"/>
      <c r="CQ153" s="3" t="n"/>
      <c r="CR153" s="3" t="n"/>
      <c r="CS153" s="3" t="n"/>
      <c r="CT153" s="3" t="n"/>
      <c r="CU153" s="3" t="n"/>
      <c r="CV153" s="3" t="n"/>
      <c r="CW153" s="3" t="n"/>
      <c r="CX153" s="3" t="n"/>
      <c r="CY153" s="3" t="n"/>
    </row>
    <row r="154" hidden="1" outlineLevel="1">
      <c r="C154" s="34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  <c r="CI154" s="3" t="n"/>
      <c r="CJ154" s="3" t="n"/>
      <c r="CK154" s="3" t="n"/>
      <c r="CL154" s="3" t="n"/>
      <c r="CM154" s="3" t="n"/>
      <c r="CN154" s="3" t="n"/>
      <c r="CO154" s="3" t="n"/>
      <c r="CP154" s="3" t="n"/>
      <c r="CQ154" s="3" t="n"/>
      <c r="CR154" s="3" t="n"/>
      <c r="CS154" s="3" t="n"/>
      <c r="CT154" s="3" t="n"/>
      <c r="CU154" s="3" t="n"/>
      <c r="CV154" s="3" t="n"/>
      <c r="CW154" s="3" t="n"/>
      <c r="CX154" s="3" t="n"/>
      <c r="CY154" s="3" t="n"/>
    </row>
    <row r="155" collapsed="1">
      <c r="C155" s="26" t="inlineStr">
        <is>
          <t>Inventories</t>
        </is>
      </c>
      <c r="D155" s="25">
        <f>INDEX('Inputs (2)'!$D$17:$AL$17,MATCH(D$7,'Inputs (2)'!$D$2:$AL$2,0))</f>
        <v>308.24343693</v>
      </c>
      <c r="E155" s="25">
        <f>INDEX('Inputs (2)'!$D$17:$AL$17,MATCH(E$7,'Inputs (2)'!$D$2:$AL$2,0))</f>
        <v>292.12008807</v>
      </c>
      <c r="F155" s="25">
        <f>INDEX('Inputs (2)'!$D$17:$AL$17,MATCH(F$7,'Inputs (2)'!$D$2:$AL$2,0))</f>
        <v>235.5613089</v>
      </c>
      <c r="G155" s="25">
        <f>INDEX('Inputs (2)'!$D$17:$AL$17,MATCH(G$7,'Inputs (2)'!$D$2:$AL$2,0))</f>
        <v>213.01692523216</v>
      </c>
      <c r="H155" s="3">
        <f>G155</f>
        <v>213.01692523216</v>
      </c>
      <c r="I155" s="25">
        <f>INDEX('Inputs (2)'!$D$17:$AL$17,MATCH(I$7,'Inputs (2)'!$D$2:$AL$2,0))</f>
        <v>255.362567320248</v>
      </c>
      <c r="J155" s="25">
        <f>INDEX('Inputs (2)'!$D$17:$AL$17,MATCH(J$7,'Inputs (2)'!$D$2:$AL$2,0))</f>
        <v>378.575</v>
      </c>
      <c r="K155" s="25">
        <f>INDEX('Inputs (2)'!$D$17:$AL$17,MATCH(K$7,'Inputs (2)'!$D$2:$AL$2,0))</f>
        <v>378.18</v>
      </c>
      <c r="L155" s="25">
        <f>INDEX('Inputs (2)'!$D$17:$AL$17,MATCH(L$7,'Inputs (2)'!$D$2:$AL$2,0))</f>
        <v>525.95</v>
      </c>
      <c r="M155" s="3">
        <f>L155</f>
        <v>525.95</v>
      </c>
      <c r="N155" s="25">
        <f>INDEX('Inputs (2)'!$D$17:$AL$17,MATCH(N$7,'Inputs (2)'!$D$2:$AL$2,0))</f>
        <v>596.625</v>
      </c>
      <c r="O155" s="25">
        <f>INDEX('Inputs (2)'!$D$17:$AL$17,MATCH(O$7,'Inputs (2)'!$D$2:$AL$2,0))</f>
        <v>775.164</v>
      </c>
      <c r="P155" s="25">
        <f>INDEX('Inputs (2)'!$D$17:$AL$17,MATCH(P$7,'Inputs (2)'!$D$2:$AL$2,0))</f>
        <v>1166.831</v>
      </c>
      <c r="Q155" s="25">
        <f>INDEX('Inputs (2)'!$D$17:$AL$17,MATCH(Q$7,'Inputs (2)'!$D$2:$AL$2,0))</f>
        <v>1694.32</v>
      </c>
      <c r="R155" s="3">
        <f>Q155</f>
        <v>1694.32</v>
      </c>
      <c r="S155" s="25">
        <f>INDEX('Inputs (2)'!$D$17:$AL$17,MATCH(S$7,'Inputs (2)'!$D$2:$AL$2,0))</f>
        <v>1774.06624681239</v>
      </c>
      <c r="T155" s="25">
        <f>INDEX('Inputs (2)'!$D$17:$AL$17,MATCH(T$7,'Inputs (2)'!$D$2:$AL$2,0))</f>
        <v>2010.42873299772</v>
      </c>
      <c r="U155" s="25">
        <f>INDEX('Inputs (2)'!$D$17:$AL$17,MATCH(U$7,'Inputs (2)'!$D$2:$AL$2,0))</f>
        <v>2549.58253029174</v>
      </c>
      <c r="V155" s="25">
        <f>INDEX('Inputs (2)'!$D$17:$AL$17,MATCH(V$7,'Inputs (2)'!$D$2:$AL$2,0))</f>
        <v>2890.50938019952</v>
      </c>
      <c r="W155" s="3">
        <f>V155</f>
        <v>2890.50938019952</v>
      </c>
      <c r="X155" s="25">
        <f>INDEX('Inputs (2)'!$D$17:$AL$17,MATCH(X$7,'Inputs (2)'!$D$2:$AL$2,0))</f>
        <v>2876.05484587425</v>
      </c>
      <c r="Y155" s="25">
        <f>INDEX('Inputs (2)'!$D$17:$AL$17,MATCH(Y$7,'Inputs (2)'!$D$2:$AL$2,0))</f>
        <v>2973.78726808732</v>
      </c>
      <c r="Z155" s="25">
        <f>INDEX('Inputs (2)'!$D$17:$AL$17,MATCH(Z$7,'Inputs (2)'!$D$2:$AL$2,0))</f>
        <v>3204.8421038027</v>
      </c>
      <c r="AA155" s="25">
        <f>INDEX('Inputs (2)'!$D$17:$AL$17,MATCH(AA$7,'Inputs (2)'!$D$2:$AL$2,0))</f>
        <v>3180.42084757</v>
      </c>
      <c r="AB155" s="3">
        <f>AA155</f>
        <v>3180.42084757</v>
      </c>
      <c r="AC155" s="25">
        <f>INDEX('Inputs (2)'!$D$17:$AL$17,MATCH(AC$7,'Inputs (2)'!$D$2:$AL$2,0))</f>
        <v>3017.70346832</v>
      </c>
      <c r="AD155" s="25">
        <f>INDEX('Inputs (2)'!$D$17:$AL$17,MATCH(AD$7,'Inputs (2)'!$D$2:$AL$2,0))</f>
        <v>3009.38209893</v>
      </c>
      <c r="AE155" s="25">
        <f>INDEX('Inputs (2)'!$D$17:$AL$17,MATCH(AE$7,'Inputs (2)'!$D$2:$AL$2,0))</f>
        <v>2814.70355854</v>
      </c>
      <c r="AF155" s="25">
        <f>INDEX('Inputs (2)'!$D$17:$AL$17,MATCH(AF$7,'Inputs (2)'!$D$2:$AL$2,0))</f>
        <v>2827.60633441</v>
      </c>
      <c r="AG155" s="3">
        <f>AF155</f>
        <v>2827.60633441</v>
      </c>
      <c r="AH155" s="3">
        <f>INDEX('Inputs (2)'!$D$17:$AL$17,MATCH(AH$7,'Inputs (2)'!$D$2:$AL$2,0))</f>
        <v>2524.4446876</v>
      </c>
      <c r="AI155" s="3">
        <f>INDEX('Inputs (2)'!$D$17:$AL$17,MATCH(AI$7,'Inputs (2)'!$D$2:$AL$2,0))</f>
        <v>2670.24045105</v>
      </c>
      <c r="AJ155" s="3">
        <f>(AJ156/(AJ$5-AI$5))*-AJ$60</f>
        <v>0</v>
      </c>
      <c r="AK155" s="3">
        <f>(AK156/(AK$5-AJ$5))*-AK$60</f>
        <v>0</v>
      </c>
      <c r="AL155" s="3">
        <f>AK155</f>
        <v>0</v>
      </c>
      <c r="AM155" s="3">
        <f>(AM156/(AM$5-AL$5))*-AM$60</f>
        <v>0</v>
      </c>
      <c r="AN155" s="3">
        <f>(AN156/(AN$5-AM$5))*-AN$60</f>
        <v>0</v>
      </c>
      <c r="AO155" s="3">
        <f>(AO156/(AO$5-AN$5))*-AO$60</f>
        <v>0</v>
      </c>
      <c r="AP155" s="3">
        <f>(AP156/(AP$5-AO$5))*-AP$60</f>
        <v>0</v>
      </c>
      <c r="AQ155" s="3">
        <f>AP155</f>
        <v>0</v>
      </c>
      <c r="AR155" s="3">
        <f>(AR156/(AR$5-AQ$5))*-AR$60</f>
        <v>0</v>
      </c>
      <c r="AS155" s="3">
        <f>(AS156/(AS$5-AR$5))*-AS$60</f>
        <v>0</v>
      </c>
      <c r="AT155" s="3">
        <f>(AT156/(AT$5-AS$5))*-AT$60</f>
        <v>0</v>
      </c>
      <c r="AU155" s="3">
        <f>(AU156/(AU$5-AT$5))*-AU$60</f>
        <v>0</v>
      </c>
      <c r="AV155" s="3">
        <f>AU155</f>
        <v>0</v>
      </c>
      <c r="AW155" s="3">
        <f>(AW156/(AW$5-AV$5))*-AW$60</f>
        <v>0</v>
      </c>
      <c r="AX155" s="3">
        <f>(AX156/(AX$5-AW$5))*-AX$60</f>
        <v>0</v>
      </c>
      <c r="AY155" s="3">
        <f>(AY156/(AY$5-AX$5))*-AY$60</f>
        <v>0</v>
      </c>
      <c r="AZ155" s="3">
        <f>(AZ156/(AZ$5-AY$5))*-AZ$60</f>
        <v>0</v>
      </c>
      <c r="BA155" s="3">
        <f>AZ155</f>
        <v>0</v>
      </c>
      <c r="BB155" s="3">
        <f>(BB156/(BB$5-BA$5))*-BB$60</f>
        <v>0</v>
      </c>
      <c r="BC155" s="3">
        <f>(BC156/(BC$5-BB$5))*-BC$60</f>
        <v>0</v>
      </c>
      <c r="BD155" s="3">
        <f>(BD156/(BD$5-BC$5))*-BD$60</f>
        <v>0</v>
      </c>
      <c r="BE155" s="3">
        <f>(BE156/(BE$5-BD$5))*-BE$60</f>
        <v>0</v>
      </c>
      <c r="BF155" s="3">
        <f>BE155</f>
        <v>0</v>
      </c>
      <c r="BG155" s="3">
        <f>(BG156/(BG$5-BF$5))*-BG$60</f>
        <v>0</v>
      </c>
      <c r="BH155" s="3">
        <f>(BH156/(BH$5-BG$5))*-BH$60</f>
        <v>0</v>
      </c>
      <c r="BI155" s="3">
        <f>(BI156/(BI$5-BH$5))*-BI$60</f>
        <v>0</v>
      </c>
      <c r="BJ155" s="3">
        <f>(BJ156/(BJ$5-BI$5))*-BJ$60</f>
        <v>0</v>
      </c>
      <c r="BK155" s="3">
        <f>BJ155</f>
        <v>0</v>
      </c>
      <c r="BL155" s="3">
        <f>(BL156/(BL$5-BK$5))*-BL$60</f>
        <v>0</v>
      </c>
      <c r="BM155" s="3">
        <f>(BM156/(BM$5-BL$5))*-BM$60</f>
        <v>0</v>
      </c>
      <c r="BN155" s="3">
        <f>(BN156/(BN$5-BM$5))*-BN$60</f>
        <v>0</v>
      </c>
      <c r="BO155" s="3">
        <f>(BO156/(BO$5-BN$5))*-BO$60</f>
        <v>0</v>
      </c>
      <c r="BP155" s="3">
        <f>BO155</f>
        <v>0</v>
      </c>
      <c r="BQ155" s="3">
        <f>(BQ156/(BQ$5-BP$5))*-BQ$60</f>
        <v>0</v>
      </c>
      <c r="BR155" s="3">
        <f>(BR156/(BR$5-BQ$5))*-BR$60</f>
        <v>0</v>
      </c>
      <c r="BS155" s="3">
        <f>(BS156/(BS$5-BR$5))*-BS$60</f>
        <v>0</v>
      </c>
      <c r="BT155" s="3">
        <f>(BT156/(BT$5-BS$5))*-BT$60</f>
        <v>0</v>
      </c>
      <c r="BU155" s="3">
        <f>BT155</f>
        <v>0</v>
      </c>
      <c r="BV155" s="3">
        <f>(BV156/(BV$5-BU$5))*-BV$60</f>
        <v>0</v>
      </c>
      <c r="BW155" s="3">
        <f>(BW156/(BW$5-BV$5))*-BW$60</f>
        <v>0</v>
      </c>
      <c r="BX155" s="3">
        <f>(BX156/(BX$5-BW$5))*-BX$60</f>
        <v>0</v>
      </c>
      <c r="BY155" s="3">
        <f>(BY156/(BY$5-BX$5))*-BY$60</f>
        <v>0</v>
      </c>
      <c r="BZ155" s="3">
        <f>BY155</f>
        <v>0</v>
      </c>
      <c r="CA155" s="3">
        <f>(CA156/(CA$5-BZ$5))*-CA$60</f>
        <v>0</v>
      </c>
      <c r="CB155" s="3">
        <f>(CB156/(CB$5-CA$5))*-CB$60</f>
        <v>0</v>
      </c>
      <c r="CC155" s="3">
        <f>(CC156/(CC$5-CB$5))*-CC$60</f>
        <v>0</v>
      </c>
      <c r="CD155" s="3">
        <f>(CD156/(CD$5-CC$5))*-CD$60</f>
        <v>0</v>
      </c>
      <c r="CE155" s="3">
        <f>CD155</f>
        <v>0</v>
      </c>
      <c r="CF155" s="3">
        <f>(CF156/(CF$5-CE$5))*-CF$60</f>
        <v>0</v>
      </c>
      <c r="CG155" s="3">
        <f>(CG156/(CG$5-CF$5))*-CG$60</f>
        <v>0</v>
      </c>
      <c r="CH155" s="3">
        <f>(CH156/(CH$5-CG$5))*-CH$60</f>
        <v>0</v>
      </c>
      <c r="CI155" s="3">
        <f>(CI156/(CI$5-CH$5))*-CI$60</f>
        <v>0</v>
      </c>
      <c r="CJ155" s="3">
        <f>CI155</f>
        <v>0</v>
      </c>
      <c r="CK155" s="3">
        <f>(CK156/(CK$5-CJ$5))*-CK$60</f>
        <v>0</v>
      </c>
      <c r="CL155" s="3">
        <f>(CL156/(CL$5-CK$5))*-CL$60</f>
        <v>0</v>
      </c>
      <c r="CM155" s="3">
        <f>(CM156/(CM$5-CL$5))*-CM$60</f>
        <v>0</v>
      </c>
      <c r="CN155" s="3">
        <f>(CN156/(CN$5-CM$5))*-CN$60</f>
        <v>0</v>
      </c>
      <c r="CO155" s="3">
        <f>CN155</f>
        <v>0</v>
      </c>
      <c r="CP155" s="3">
        <f>(CP156/(CP$5-CO$5))*-CP$60</f>
        <v>0</v>
      </c>
      <c r="CQ155" s="3">
        <f>(CQ156/(CQ$5-CP$5))*-CQ$60</f>
        <v>0</v>
      </c>
      <c r="CR155" s="3">
        <f>(CR156/(CR$5-CQ$5))*-CR$60</f>
        <v>0</v>
      </c>
      <c r="CS155" s="3">
        <f>(CS156/(CS$5-CR$5))*-CS$60</f>
        <v>0</v>
      </c>
      <c r="CT155" s="3">
        <f>CS155</f>
        <v>0</v>
      </c>
      <c r="CU155" s="3">
        <f>(CU156/(CU$5-CT$5))*-CU$60</f>
        <v>0</v>
      </c>
      <c r="CV155" s="3">
        <f>(CV156/(CV$5-CU$5))*-CV$60</f>
        <v>0</v>
      </c>
      <c r="CW155" s="3">
        <f>(CW156/(CW$5-CV$5))*-CW$60</f>
        <v>0</v>
      </c>
      <c r="CX155" s="3">
        <f>(CX156/(CX$5-CW$5))*-CX$60</f>
        <v>0</v>
      </c>
      <c r="CY155" s="3">
        <f>CX155</f>
        <v>0</v>
      </c>
    </row>
    <row r="156" hidden="1" outlineLevel="1">
      <c r="C156" s="34" t="inlineStr">
        <is>
          <t>DIO</t>
        </is>
      </c>
      <c r="D156" s="3" t="n"/>
      <c r="E156" s="3">
        <f>((E155/E$60)*(E$5-D$5))*-1</f>
        <v>17.3542408454636</v>
      </c>
      <c r="F156" s="3">
        <f>((F155/F$60)*(F$5-E$5))*-1</f>
        <v>12.2258772414261</v>
      </c>
      <c r="G156" s="3">
        <f>((G155/G$60)*(G$5-F$5))*-1</f>
        <v>10.5620369240562</v>
      </c>
      <c r="H156" s="3" t="n"/>
      <c r="I156" s="3">
        <f>((I155/I$60)*(I$5-H$5))*-1</f>
        <v>14.5886777136123</v>
      </c>
      <c r="J156" s="3">
        <f>((J155/J$60)*(J$5-I$5))*-1</f>
        <v>17.8418549241668</v>
      </c>
      <c r="K156" s="3">
        <f>((K155/K$60)*(K$5-J$5))*-1</f>
        <v>14.383806430591</v>
      </c>
      <c r="L156" s="3">
        <f>((L155/L$60)*(L$5-K$5))*-1</f>
        <v>20.1775328891933</v>
      </c>
      <c r="M156" s="3" t="n"/>
      <c r="N156" s="3">
        <f>((N155/N$60)*(N$5-M$5))*-1</f>
        <v>20.8458289841032</v>
      </c>
      <c r="O156" s="3">
        <f>((O155/O$60)*(O$5-N$5))*-1</f>
        <v>22.2416185600337</v>
      </c>
      <c r="P156" s="3">
        <f>((P155/P$60)*(P$5-O$5))*-1</f>
        <v>25.3164466719041</v>
      </c>
      <c r="Q156" s="3">
        <f>((Q155/Q$60)*(Q$5-P$5))*-1</f>
        <v>33.7633573838671</v>
      </c>
      <c r="R156" s="3" t="n"/>
      <c r="S156" s="3">
        <f>((S155/S$60)*(S$5-R$5))*-1</f>
        <v>34.2647889053834</v>
      </c>
      <c r="T156" s="3">
        <f>((T155/T$60)*(T$5-S$5))*-1</f>
        <v>38.6460594251482</v>
      </c>
      <c r="U156" s="3">
        <f>((U155/U$60)*(U$5-T$5))*-1</f>
        <v>43.6111957139587</v>
      </c>
      <c r="V156" s="3">
        <f>((V155/V$60)*(V$5-U$5))*-1</f>
        <v>45.6636194206082</v>
      </c>
      <c r="W156" s="3" t="n"/>
      <c r="X156" s="3">
        <f>((X155/X$60)*(X$5-W$5))*-1</f>
        <v>45.1163573607813</v>
      </c>
      <c r="Y156" s="3">
        <f>((Y155/Y$60)*(Y$5-X$5))*-1</f>
        <v>40.0821891010939</v>
      </c>
      <c r="Z156" s="3">
        <f>((Z155/Z$60)*(Z$5-Y$5))*-1</f>
        <v>41.5625924528393</v>
      </c>
      <c r="AA156" s="3">
        <f>((AA155/AA$60)*(AA$5-Z$5))*-1</f>
        <v>41.9617009256145</v>
      </c>
      <c r="AB156" s="3" t="n"/>
      <c r="AC156" s="3">
        <f>((AC155/AC$60)*(AC$5-AB$5))*-1</f>
        <v>41.7988319486699</v>
      </c>
      <c r="AD156" s="3">
        <f>((AD155/AD$60)*(AD$5-AC$5))*-1</f>
        <v>42.4902757691652</v>
      </c>
      <c r="AE156" s="3">
        <f>((AE155/AE$60)*(AE$5-AD$5))*-1</f>
        <v>36.7803179096125</v>
      </c>
      <c r="AF156" s="6">
        <f>((AF155/AF$60)*(AF$5-AE$5))*-1</f>
        <v>37.3256065801868</v>
      </c>
      <c r="AG156" s="3" t="n"/>
      <c r="AH156" s="6">
        <f>((AH155/AH$60)*(AH$5-AG$5))*-1</f>
        <v>33.7241833896034</v>
      </c>
      <c r="AI156" s="6">
        <f>((AI155/AI$60)*(AI$5-AH$5))*-1</f>
        <v>35.6617681074603</v>
      </c>
      <c r="AJ156" s="6" t="n"/>
      <c r="AK156" s="6" t="n"/>
      <c r="AL156" s="3" t="n"/>
      <c r="AM156" s="6" t="n"/>
      <c r="AN156" s="6" t="n"/>
      <c r="AO156" s="6" t="n"/>
      <c r="AP156" s="6" t="n"/>
      <c r="AQ156" s="3" t="n"/>
      <c r="AR156" s="6" t="n"/>
      <c r="AS156" s="6" t="n"/>
      <c r="AT156" s="6" t="n"/>
      <c r="AU156" s="6" t="n"/>
      <c r="AV156" s="3" t="n"/>
      <c r="AW156" s="6" t="n"/>
      <c r="AX156" s="6" t="n"/>
      <c r="AY156" s="6" t="n"/>
      <c r="AZ156" s="6" t="n"/>
      <c r="BA156" s="3" t="n"/>
      <c r="BB156" s="6" t="n"/>
      <c r="BC156" s="6" t="n"/>
      <c r="BD156" s="6" t="n"/>
      <c r="BE156" s="6" t="n"/>
      <c r="BF156" s="3" t="n"/>
      <c r="BG156" s="6" t="n"/>
      <c r="BH156" s="6" t="n"/>
      <c r="BI156" s="6" t="n"/>
      <c r="BJ156" s="6" t="n"/>
      <c r="BK156" s="3" t="n"/>
      <c r="BL156" s="6" t="n"/>
      <c r="BM156" s="6" t="n"/>
      <c r="BN156" s="6" t="n"/>
      <c r="BO156" s="6" t="n"/>
      <c r="BP156" s="3" t="n"/>
      <c r="BQ156" s="6" t="n"/>
      <c r="BR156" s="6" t="n"/>
      <c r="BS156" s="6" t="n"/>
      <c r="BT156" s="6" t="n"/>
      <c r="BU156" s="3" t="n"/>
      <c r="BV156" s="6" t="n"/>
      <c r="BW156" s="6" t="n"/>
      <c r="BX156" s="6" t="n"/>
      <c r="BY156" s="6" t="n"/>
      <c r="BZ156" s="3" t="n"/>
      <c r="CA156" s="6" t="n"/>
      <c r="CB156" s="6" t="n"/>
      <c r="CC156" s="6" t="n"/>
      <c r="CD156" s="6" t="n"/>
      <c r="CE156" s="3" t="n"/>
      <c r="CF156" s="6" t="n"/>
      <c r="CG156" s="6" t="n"/>
      <c r="CH156" s="6" t="n"/>
      <c r="CI156" s="6" t="n"/>
      <c r="CJ156" s="3" t="n"/>
      <c r="CK156" s="6" t="n"/>
      <c r="CL156" s="6" t="n"/>
      <c r="CM156" s="6" t="n"/>
      <c r="CN156" s="6" t="n"/>
      <c r="CO156" s="3" t="n"/>
      <c r="CP156" s="6" t="n"/>
      <c r="CQ156" s="6" t="n"/>
      <c r="CR156" s="6" t="n"/>
      <c r="CS156" s="6" t="n"/>
      <c r="CT156" s="3" t="n"/>
      <c r="CU156" s="6" t="n"/>
      <c r="CV156" s="6" t="n"/>
      <c r="CW156" s="6" t="n"/>
      <c r="CX156" s="6" t="n"/>
      <c r="CY156" s="3" t="n"/>
    </row>
    <row r="157" hidden="1" outlineLevel="1">
      <c r="C157" s="34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  <c r="AW157" s="3" t="n"/>
      <c r="AX157" s="3" t="n"/>
      <c r="AY157" s="3" t="n"/>
      <c r="AZ157" s="3" t="n"/>
      <c r="BA157" s="3" t="n"/>
      <c r="BB157" s="3" t="n"/>
      <c r="BC157" s="3" t="n"/>
      <c r="BD157" s="3" t="n"/>
      <c r="BE157" s="3" t="n"/>
      <c r="BF157" s="3" t="n"/>
      <c r="BG157" s="3" t="n"/>
      <c r="BH157" s="3" t="n"/>
      <c r="BI157" s="3" t="n"/>
      <c r="BJ157" s="3" t="n"/>
      <c r="BK157" s="3" t="n"/>
      <c r="BL157" s="3" t="n"/>
      <c r="BM157" s="3" t="n"/>
      <c r="BN157" s="3" t="n"/>
      <c r="BO157" s="3" t="n"/>
      <c r="BP157" s="3" t="n"/>
      <c r="BQ157" s="3" t="n"/>
      <c r="BR157" s="3" t="n"/>
      <c r="BS157" s="3" t="n"/>
      <c r="BT157" s="3" t="n"/>
      <c r="BU157" s="3" t="n"/>
      <c r="BV157" s="3" t="n"/>
      <c r="BW157" s="3" t="n"/>
      <c r="BX157" s="3" t="n"/>
      <c r="BY157" s="3" t="n"/>
      <c r="BZ157" s="3" t="n"/>
      <c r="CA157" s="3" t="n"/>
      <c r="CB157" s="3" t="n"/>
      <c r="CC157" s="3" t="n"/>
      <c r="CD157" s="3" t="n"/>
      <c r="CE157" s="3" t="n"/>
      <c r="CF157" s="3" t="n"/>
      <c r="CG157" s="3" t="n"/>
      <c r="CH157" s="3" t="n"/>
      <c r="CI157" s="3" t="n"/>
      <c r="CJ157" s="3" t="n"/>
      <c r="CK157" s="3" t="n"/>
      <c r="CL157" s="3" t="n"/>
      <c r="CM157" s="3" t="n"/>
      <c r="CN157" s="3" t="n"/>
      <c r="CO157" s="3" t="n"/>
      <c r="CP157" s="3" t="n"/>
      <c r="CQ157" s="3" t="n"/>
      <c r="CR157" s="3" t="n"/>
      <c r="CS157" s="3" t="n"/>
      <c r="CT157" s="3" t="n"/>
      <c r="CU157" s="3" t="n"/>
      <c r="CV157" s="3" t="n"/>
      <c r="CW157" s="3" t="n"/>
      <c r="CX157" s="3" t="n"/>
      <c r="CY157" s="3" t="n"/>
    </row>
    <row r="158" hidden="1" outlineLevel="1">
      <c r="C158" s="34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  <c r="CT158" s="3" t="n"/>
      <c r="CU158" s="3" t="n"/>
      <c r="CV158" s="3" t="n"/>
      <c r="CW158" s="3" t="n"/>
      <c r="CX158" s="3" t="n"/>
      <c r="CY158" s="3" t="n"/>
    </row>
    <row r="159" collapsed="1">
      <c r="C159" s="26" t="inlineStr">
        <is>
          <t>Deferred income taxes</t>
        </is>
      </c>
      <c r="D159" s="25">
        <f>INDEX('Inputs (2)'!$D$18:$AL$18,MATCH(D$7,'Inputs (2)'!$D$2:$AL$2,0))</f>
        <v>153.50735418</v>
      </c>
      <c r="E159" s="25">
        <f>INDEX('Inputs (2)'!$D$18:$AL$18,MATCH(E$7,'Inputs (2)'!$D$2:$AL$2,0))</f>
        <v>160.60896407</v>
      </c>
      <c r="F159" s="25">
        <f>INDEX('Inputs (2)'!$D$18:$AL$18,MATCH(F$7,'Inputs (2)'!$D$2:$AL$2,0))</f>
        <v>159.04004347</v>
      </c>
      <c r="G159" s="25">
        <f>INDEX('Inputs (2)'!$D$18:$AL$18,MATCH(G$7,'Inputs (2)'!$D$2:$AL$2,0))</f>
        <v>161.2148912386</v>
      </c>
      <c r="H159" s="3">
        <f>G159</f>
        <v>161.2148912386</v>
      </c>
      <c r="I159" s="25">
        <f>INDEX('Inputs (2)'!$D$18:$AL$18,MATCH(I$7,'Inputs (2)'!$D$2:$AL$2,0))</f>
        <v>241.268</v>
      </c>
      <c r="J159" s="25">
        <f>INDEX('Inputs (2)'!$D$18:$AL$18,MATCH(J$7,'Inputs (2)'!$D$2:$AL$2,0))</f>
        <v>256.819</v>
      </c>
      <c r="K159" s="25">
        <f>INDEX('Inputs (2)'!$D$18:$AL$18,MATCH(K$7,'Inputs (2)'!$D$2:$AL$2,0))</f>
        <v>412.573</v>
      </c>
      <c r="L159" s="25">
        <f>INDEX('Inputs (2)'!$D$18:$AL$18,MATCH(L$7,'Inputs (2)'!$D$2:$AL$2,0))</f>
        <v>407.12</v>
      </c>
      <c r="M159" s="3">
        <f>L159</f>
        <v>407.12</v>
      </c>
      <c r="N159" s="25">
        <f>INDEX('Inputs (2)'!$D$18:$AL$18,MATCH(N$7,'Inputs (2)'!$D$2:$AL$2,0))</f>
        <v>539.7</v>
      </c>
      <c r="O159" s="25">
        <f>INDEX('Inputs (2)'!$D$18:$AL$18,MATCH(O$7,'Inputs (2)'!$D$2:$AL$2,0))</f>
        <v>736.221</v>
      </c>
      <c r="P159" s="25">
        <f>INDEX('Inputs (2)'!$D$18:$AL$18,MATCH(P$7,'Inputs (2)'!$D$2:$AL$2,0))</f>
        <v>973.754</v>
      </c>
      <c r="Q159" s="25">
        <f>INDEX('Inputs (2)'!$D$18:$AL$18,MATCH(Q$7,'Inputs (2)'!$D$2:$AL$2,0))</f>
        <v>1177.823</v>
      </c>
      <c r="R159" s="3">
        <f>Q159</f>
        <v>1177.823</v>
      </c>
      <c r="S159" s="25">
        <f>INDEX('Inputs (2)'!$D$18:$AL$18,MATCH(S$7,'Inputs (2)'!$D$2:$AL$2,0))</f>
        <v>1491.85617508</v>
      </c>
      <c r="T159" s="25">
        <f>INDEX('Inputs (2)'!$D$18:$AL$18,MATCH(T$7,'Inputs (2)'!$D$2:$AL$2,0))</f>
        <v>1461.7029102404</v>
      </c>
      <c r="U159" s="25">
        <f>INDEX('Inputs (2)'!$D$18:$AL$18,MATCH(U$7,'Inputs (2)'!$D$2:$AL$2,0))</f>
        <v>1511.0487302117</v>
      </c>
      <c r="V159" s="25">
        <f>INDEX('Inputs (2)'!$D$18:$AL$18,MATCH(V$7,'Inputs (2)'!$D$2:$AL$2,0))</f>
        <v>1591.41292869</v>
      </c>
      <c r="W159" s="3">
        <f>V159</f>
        <v>1591.41292869</v>
      </c>
      <c r="X159" s="25">
        <f>INDEX('Inputs (2)'!$D$18:$AL$18,MATCH(X$7,'Inputs (2)'!$D$2:$AL$2,0))</f>
        <v>1766.87914727</v>
      </c>
      <c r="Y159" s="25">
        <f>INDEX('Inputs (2)'!$D$18:$AL$18,MATCH(Y$7,'Inputs (2)'!$D$2:$AL$2,0))</f>
        <v>1821.17066609</v>
      </c>
      <c r="Z159" s="25">
        <f>INDEX('Inputs (2)'!$D$18:$AL$18,MATCH(Z$7,'Inputs (2)'!$D$2:$AL$2,0))</f>
        <v>2015.6869975</v>
      </c>
      <c r="AA159" s="25">
        <f>INDEX('Inputs (2)'!$D$18:$AL$18,MATCH(AA$7,'Inputs (2)'!$D$2:$AL$2,0))</f>
        <v>1630.83874262</v>
      </c>
      <c r="AB159" s="3">
        <f>AA159</f>
        <v>1630.83874262</v>
      </c>
      <c r="AC159" s="25">
        <f>INDEX('Inputs (2)'!$D$18:$AL$18,MATCH(AC$7,'Inputs (2)'!$D$2:$AL$2,0))</f>
        <v>1592.80656682</v>
      </c>
      <c r="AD159" s="25">
        <f>INDEX('Inputs (2)'!$D$18:$AL$18,MATCH(AD$7,'Inputs (2)'!$D$2:$AL$2,0))</f>
        <v>1880.25687392</v>
      </c>
      <c r="AE159" s="25">
        <f>INDEX('Inputs (2)'!$D$18:$AL$18,MATCH(AE$7,'Inputs (2)'!$D$2:$AL$2,0))</f>
        <v>1983.94357365</v>
      </c>
      <c r="AF159" s="25">
        <f>INDEX('Inputs (2)'!$D$18:$AL$18,MATCH(AF$7,'Inputs (2)'!$D$2:$AL$2,0))</f>
        <v>1466.6363021</v>
      </c>
      <c r="AG159" s="3">
        <f>AF159</f>
        <v>1466.6363021</v>
      </c>
      <c r="AH159" s="3">
        <f>INDEX('Inputs (2)'!$D$18:$AL$18,MATCH(AH$7,'Inputs (2)'!$D$2:$AL$2,0))</f>
        <v>1625.76654579</v>
      </c>
      <c r="AI159" s="3">
        <f>INDEX('Inputs (2)'!$D$18:$AL$18,MATCH(AI$7,'Inputs (2)'!$D$2:$AL$2,0))</f>
        <v>1782.3087295</v>
      </c>
      <c r="AJ159" s="3">
        <f>AI159</f>
        <v>1782.3087295</v>
      </c>
      <c r="AK159" s="3">
        <f>AJ159</f>
        <v>1782.3087295</v>
      </c>
      <c r="AL159" s="3">
        <f>AK159</f>
        <v>1782.3087295</v>
      </c>
      <c r="AM159" s="3">
        <f>AL159</f>
        <v>1782.3087295</v>
      </c>
      <c r="AN159" s="3">
        <f>AM159</f>
        <v>1782.3087295</v>
      </c>
      <c r="AO159" s="3">
        <f>AN159</f>
        <v>1782.3087295</v>
      </c>
      <c r="AP159" s="3">
        <f>AO159</f>
        <v>1782.3087295</v>
      </c>
      <c r="AQ159" s="3">
        <f>AP159</f>
        <v>1782.3087295</v>
      </c>
      <c r="AR159" s="3">
        <f>AQ159</f>
        <v>1782.3087295</v>
      </c>
      <c r="AS159" s="3">
        <f>AR159</f>
        <v>1782.3087295</v>
      </c>
      <c r="AT159" s="3">
        <f>AS159</f>
        <v>1782.3087295</v>
      </c>
      <c r="AU159" s="3">
        <f>AT159</f>
        <v>1782.3087295</v>
      </c>
      <c r="AV159" s="3">
        <f>AU159</f>
        <v>1782.3087295</v>
      </c>
      <c r="AW159" s="3">
        <f>AV159</f>
        <v>1782.3087295</v>
      </c>
      <c r="AX159" s="3">
        <f>AW159</f>
        <v>1782.3087295</v>
      </c>
      <c r="AY159" s="3">
        <f>AX159</f>
        <v>1782.3087295</v>
      </c>
      <c r="AZ159" s="3">
        <f>AY159</f>
        <v>1782.3087295</v>
      </c>
      <c r="BA159" s="3">
        <f>AZ159</f>
        <v>1782.3087295</v>
      </c>
      <c r="BB159" s="3">
        <f>BA159</f>
        <v>1782.3087295</v>
      </c>
      <c r="BC159" s="3">
        <f>BB159</f>
        <v>1782.3087295</v>
      </c>
      <c r="BD159" s="3">
        <f>BC159</f>
        <v>1782.3087295</v>
      </c>
      <c r="BE159" s="3">
        <f>BD159</f>
        <v>1782.3087295</v>
      </c>
      <c r="BF159" s="3">
        <f>BE159</f>
        <v>1782.3087295</v>
      </c>
      <c r="BG159" s="3">
        <f>BF159</f>
        <v>1782.3087295</v>
      </c>
      <c r="BH159" s="3">
        <f>BG159</f>
        <v>1782.3087295</v>
      </c>
      <c r="BI159" s="3">
        <f>BH159</f>
        <v>1782.3087295</v>
      </c>
      <c r="BJ159" s="3">
        <f>BI159</f>
        <v>1782.3087295</v>
      </c>
      <c r="BK159" s="3">
        <f>BJ159</f>
        <v>1782.3087295</v>
      </c>
      <c r="BL159" s="3">
        <f>BK159</f>
        <v>1782.3087295</v>
      </c>
      <c r="BM159" s="3">
        <f>BL159</f>
        <v>1782.3087295</v>
      </c>
      <c r="BN159" s="3">
        <f>BM159</f>
        <v>1782.3087295</v>
      </c>
      <c r="BO159" s="3">
        <f>BN159</f>
        <v>1782.3087295</v>
      </c>
      <c r="BP159" s="3">
        <f>BO159</f>
        <v>1782.3087295</v>
      </c>
      <c r="BQ159" s="3">
        <f>BP159</f>
        <v>1782.3087295</v>
      </c>
      <c r="BR159" s="3">
        <f>BQ159</f>
        <v>1782.3087295</v>
      </c>
      <c r="BS159" s="3">
        <f>BR159</f>
        <v>1782.3087295</v>
      </c>
      <c r="BT159" s="3">
        <f>BS159</f>
        <v>1782.3087295</v>
      </c>
      <c r="BU159" s="3">
        <f>BT159</f>
        <v>1782.3087295</v>
      </c>
      <c r="BV159" s="3">
        <f>BU159</f>
        <v>1782.3087295</v>
      </c>
      <c r="BW159" s="3">
        <f>BV159</f>
        <v>1782.3087295</v>
      </c>
      <c r="BX159" s="3">
        <f>BW159</f>
        <v>1782.3087295</v>
      </c>
      <c r="BY159" s="3">
        <f>BX159</f>
        <v>1782.3087295</v>
      </c>
      <c r="BZ159" s="3">
        <f>BY159</f>
        <v>1782.3087295</v>
      </c>
      <c r="CA159" s="3">
        <f>BZ159</f>
        <v>1782.3087295</v>
      </c>
      <c r="CB159" s="3">
        <f>CA159</f>
        <v>1782.3087295</v>
      </c>
      <c r="CC159" s="3">
        <f>CB159</f>
        <v>1782.3087295</v>
      </c>
      <c r="CD159" s="3">
        <f>CC159</f>
        <v>1782.3087295</v>
      </c>
      <c r="CE159" s="3">
        <f>CD159</f>
        <v>1782.3087295</v>
      </c>
      <c r="CF159" s="3">
        <f>CE159</f>
        <v>1782.3087295</v>
      </c>
      <c r="CG159" s="3">
        <f>CF159</f>
        <v>1782.3087295</v>
      </c>
      <c r="CH159" s="3">
        <f>CG159</f>
        <v>1782.3087295</v>
      </c>
      <c r="CI159" s="3">
        <f>CH159</f>
        <v>1782.3087295</v>
      </c>
      <c r="CJ159" s="3">
        <f>CI159</f>
        <v>1782.3087295</v>
      </c>
      <c r="CK159" s="3">
        <f>CJ159</f>
        <v>1782.3087295</v>
      </c>
      <c r="CL159" s="3">
        <f>CK159</f>
        <v>1782.3087295</v>
      </c>
      <c r="CM159" s="3">
        <f>CL159</f>
        <v>1782.3087295</v>
      </c>
      <c r="CN159" s="3">
        <f>CM159</f>
        <v>1782.3087295</v>
      </c>
      <c r="CO159" s="3">
        <f>CN159</f>
        <v>1782.3087295</v>
      </c>
      <c r="CP159" s="3">
        <f>CO159</f>
        <v>1782.3087295</v>
      </c>
      <c r="CQ159" s="3">
        <f>CP159</f>
        <v>1782.3087295</v>
      </c>
      <c r="CR159" s="3">
        <f>CQ159</f>
        <v>1782.3087295</v>
      </c>
      <c r="CS159" s="3">
        <f>CR159</f>
        <v>1782.3087295</v>
      </c>
      <c r="CT159" s="3">
        <f>CS159</f>
        <v>1782.3087295</v>
      </c>
      <c r="CU159" s="3">
        <f>CT159</f>
        <v>1782.3087295</v>
      </c>
      <c r="CV159" s="3">
        <f>CU159</f>
        <v>1782.3087295</v>
      </c>
      <c r="CW159" s="3">
        <f>CV159</f>
        <v>1782.3087295</v>
      </c>
      <c r="CX159" s="3">
        <f>CW159</f>
        <v>1782.3087295</v>
      </c>
      <c r="CY159" s="3">
        <f>CX159</f>
        <v>1782.3087295</v>
      </c>
    </row>
    <row r="160">
      <c r="C160" s="26" t="inlineStr">
        <is>
          <t>Prepaid expenses</t>
        </is>
      </c>
      <c r="D160" s="25">
        <f>INDEX('Inputs (2)'!$D$19:$AL$19,MATCH(D$7,'Inputs (2)'!$D$2:$AL$2,0))</f>
        <v>140.32446222</v>
      </c>
      <c r="E160" s="25">
        <f>INDEX('Inputs (2)'!$D$19:$AL$19,MATCH(E$7,'Inputs (2)'!$D$2:$AL$2,0))</f>
        <v>110.57020447</v>
      </c>
      <c r="F160" s="25">
        <f>INDEX('Inputs (2)'!$D$19:$AL$19,MATCH(F$7,'Inputs (2)'!$D$2:$AL$2,0))</f>
        <v>90.57939163</v>
      </c>
      <c r="G160" s="25">
        <f>INDEX('Inputs (2)'!$D$19:$AL$19,MATCH(G$7,'Inputs (2)'!$D$2:$AL$2,0))</f>
        <v>58.31422745</v>
      </c>
      <c r="H160" s="3">
        <f>G160</f>
        <v>58.31422745</v>
      </c>
      <c r="I160" s="25">
        <f>INDEX('Inputs (2)'!$D$19:$AL$19,MATCH(I$7,'Inputs (2)'!$D$2:$AL$2,0))</f>
        <v>154.8268738489</v>
      </c>
      <c r="J160" s="25">
        <f>INDEX('Inputs (2)'!$D$19:$AL$19,MATCH(J$7,'Inputs (2)'!$D$2:$AL$2,0))</f>
        <v>145.481</v>
      </c>
      <c r="K160" s="25">
        <f>INDEX('Inputs (2)'!$D$19:$AL$19,MATCH(K$7,'Inputs (2)'!$D$2:$AL$2,0))</f>
        <v>115.248</v>
      </c>
      <c r="L160" s="25">
        <f>INDEX('Inputs (2)'!$D$19:$AL$19,MATCH(L$7,'Inputs (2)'!$D$2:$AL$2,0))</f>
        <v>67.977</v>
      </c>
      <c r="M160" s="3">
        <f>L160</f>
        <v>67.977</v>
      </c>
      <c r="N160" s="25">
        <f>INDEX('Inputs (2)'!$D$19:$AL$19,MATCH(N$7,'Inputs (2)'!$D$2:$AL$2,0))</f>
        <v>219.519</v>
      </c>
      <c r="O160" s="25">
        <f>INDEX('Inputs (2)'!$D$19:$AL$19,MATCH(O$7,'Inputs (2)'!$D$2:$AL$2,0))</f>
        <v>189.826</v>
      </c>
      <c r="P160" s="25">
        <f>INDEX('Inputs (2)'!$D$19:$AL$19,MATCH(P$7,'Inputs (2)'!$D$2:$AL$2,0))</f>
        <v>176.358</v>
      </c>
      <c r="Q160" s="25">
        <f>INDEX('Inputs (2)'!$D$19:$AL$19,MATCH(Q$7,'Inputs (2)'!$D$2:$AL$2,0))</f>
        <v>98.457</v>
      </c>
      <c r="R160" s="3">
        <f>Q160</f>
        <v>98.457</v>
      </c>
      <c r="S160" s="25">
        <f>INDEX('Inputs (2)'!$D$19:$AL$19,MATCH(S$7,'Inputs (2)'!$D$2:$AL$2,0))</f>
        <v>205.0166392576</v>
      </c>
      <c r="T160" s="25">
        <f>INDEX('Inputs (2)'!$D$19:$AL$19,MATCH(T$7,'Inputs (2)'!$D$2:$AL$2,0))</f>
        <v>348.50864310987</v>
      </c>
      <c r="U160" s="25">
        <f>INDEX('Inputs (2)'!$D$19:$AL$19,MATCH(U$7,'Inputs (2)'!$D$2:$AL$2,0))</f>
        <v>264.29539219758</v>
      </c>
      <c r="V160" s="25">
        <f>INDEX('Inputs (2)'!$D$19:$AL$19,MATCH(V$7,'Inputs (2)'!$D$2:$AL$2,0))</f>
        <v>127.72710507799</v>
      </c>
      <c r="W160" s="3">
        <f>V160</f>
        <v>127.72710507799</v>
      </c>
      <c r="X160" s="25">
        <f>INDEX('Inputs (2)'!$D$19:$AL$19,MATCH(X$7,'Inputs (2)'!$D$2:$AL$2,0))</f>
        <v>393.75850714171</v>
      </c>
      <c r="Y160" s="25">
        <f>INDEX('Inputs (2)'!$D$19:$AL$19,MATCH(Y$7,'Inputs (2)'!$D$2:$AL$2,0))</f>
        <v>415.55977247423</v>
      </c>
      <c r="Z160" s="25">
        <f>INDEX('Inputs (2)'!$D$19:$AL$19,MATCH(Z$7,'Inputs (2)'!$D$2:$AL$2,0))</f>
        <v>320.16496519566</v>
      </c>
      <c r="AA160" s="25">
        <f>INDEX('Inputs (2)'!$D$19:$AL$19,MATCH(AA$7,'Inputs (2)'!$D$2:$AL$2,0))</f>
        <v>165.44256093</v>
      </c>
      <c r="AB160" s="3">
        <f>AA160</f>
        <v>165.44256093</v>
      </c>
      <c r="AC160" s="25">
        <f>INDEX('Inputs (2)'!$D$19:$AL$19,MATCH(AC$7,'Inputs (2)'!$D$2:$AL$2,0))</f>
        <v>537.14427348</v>
      </c>
      <c r="AD160" s="25">
        <f>INDEX('Inputs (2)'!$D$19:$AL$19,MATCH(AD$7,'Inputs (2)'!$D$2:$AL$2,0))</f>
        <v>508.51691581</v>
      </c>
      <c r="AE160" s="25">
        <f>INDEX('Inputs (2)'!$D$19:$AL$19,MATCH(AE$7,'Inputs (2)'!$D$2:$AL$2,0))</f>
        <v>346.88826298</v>
      </c>
      <c r="AF160" s="25">
        <f>INDEX('Inputs (2)'!$D$19:$AL$19,MATCH(AF$7,'Inputs (2)'!$D$2:$AL$2,0))</f>
        <v>211.97374409</v>
      </c>
      <c r="AG160" s="3">
        <f>AF160</f>
        <v>211.97374409</v>
      </c>
      <c r="AH160" s="3">
        <f>INDEX('Inputs (2)'!$D$19:$AL$19,MATCH(AH$7,'Inputs (2)'!$D$2:$AL$2,0))</f>
        <v>581.06857717</v>
      </c>
      <c r="AI160" s="3">
        <f>INDEX('Inputs (2)'!$D$19:$AL$19,MATCH(AI$7,'Inputs (2)'!$D$2:$AL$2,0))</f>
        <v>475.81639252</v>
      </c>
      <c r="AJ160" s="3">
        <f>AI160</f>
        <v>475.81639252</v>
      </c>
      <c r="AK160" s="3">
        <f>AJ160</f>
        <v>475.81639252</v>
      </c>
      <c r="AL160" s="3">
        <f>AK160</f>
        <v>475.81639252</v>
      </c>
      <c r="AM160" s="3">
        <f>AL160</f>
        <v>475.81639252</v>
      </c>
      <c r="AN160" s="3">
        <f>AM160</f>
        <v>475.81639252</v>
      </c>
      <c r="AO160" s="3">
        <f>AN160</f>
        <v>475.81639252</v>
      </c>
      <c r="AP160" s="3">
        <f>AO160</f>
        <v>475.81639252</v>
      </c>
      <c r="AQ160" s="3">
        <f>AP160</f>
        <v>475.81639252</v>
      </c>
      <c r="AR160" s="3">
        <f>AQ160</f>
        <v>475.81639252</v>
      </c>
      <c r="AS160" s="3">
        <f>AR160</f>
        <v>475.81639252</v>
      </c>
      <c r="AT160" s="3">
        <f>AS160</f>
        <v>475.81639252</v>
      </c>
      <c r="AU160" s="3">
        <f>AT160</f>
        <v>475.81639252</v>
      </c>
      <c r="AV160" s="3">
        <f>AU160</f>
        <v>475.81639252</v>
      </c>
      <c r="AW160" s="3">
        <f>AV160</f>
        <v>475.81639252</v>
      </c>
      <c r="AX160" s="3">
        <f>AW160</f>
        <v>475.81639252</v>
      </c>
      <c r="AY160" s="3">
        <f>AX160</f>
        <v>475.81639252</v>
      </c>
      <c r="AZ160" s="3">
        <f>AY160</f>
        <v>475.81639252</v>
      </c>
      <c r="BA160" s="3">
        <f>AZ160</f>
        <v>475.81639252</v>
      </c>
      <c r="BB160" s="3">
        <f>BA160</f>
        <v>475.81639252</v>
      </c>
      <c r="BC160" s="3">
        <f>BB160</f>
        <v>475.81639252</v>
      </c>
      <c r="BD160" s="3">
        <f>BC160</f>
        <v>475.81639252</v>
      </c>
      <c r="BE160" s="3">
        <f>BD160</f>
        <v>475.81639252</v>
      </c>
      <c r="BF160" s="3">
        <f>BE160</f>
        <v>475.81639252</v>
      </c>
      <c r="BG160" s="3">
        <f>BF160</f>
        <v>475.81639252</v>
      </c>
      <c r="BH160" s="3">
        <f>BG160</f>
        <v>475.81639252</v>
      </c>
      <c r="BI160" s="3">
        <f>BH160</f>
        <v>475.81639252</v>
      </c>
      <c r="BJ160" s="3">
        <f>BI160</f>
        <v>475.81639252</v>
      </c>
      <c r="BK160" s="3">
        <f>BJ160</f>
        <v>475.81639252</v>
      </c>
      <c r="BL160" s="3">
        <f>BK160</f>
        <v>475.81639252</v>
      </c>
      <c r="BM160" s="3">
        <f>BL160</f>
        <v>475.81639252</v>
      </c>
      <c r="BN160" s="3">
        <f>BM160</f>
        <v>475.81639252</v>
      </c>
      <c r="BO160" s="3">
        <f>BN160</f>
        <v>475.81639252</v>
      </c>
      <c r="BP160" s="3">
        <f>BO160</f>
        <v>475.81639252</v>
      </c>
      <c r="BQ160" s="3">
        <f>BP160</f>
        <v>475.81639252</v>
      </c>
      <c r="BR160" s="3">
        <f>BQ160</f>
        <v>475.81639252</v>
      </c>
      <c r="BS160" s="3">
        <f>BR160</f>
        <v>475.81639252</v>
      </c>
      <c r="BT160" s="3">
        <f>BS160</f>
        <v>475.81639252</v>
      </c>
      <c r="BU160" s="3">
        <f>BT160</f>
        <v>475.81639252</v>
      </c>
      <c r="BV160" s="3">
        <f>BU160</f>
        <v>475.81639252</v>
      </c>
      <c r="BW160" s="3">
        <f>BV160</f>
        <v>475.81639252</v>
      </c>
      <c r="BX160" s="3">
        <f>BW160</f>
        <v>475.81639252</v>
      </c>
      <c r="BY160" s="3">
        <f>BX160</f>
        <v>475.81639252</v>
      </c>
      <c r="BZ160" s="3">
        <f>BY160</f>
        <v>475.81639252</v>
      </c>
      <c r="CA160" s="3">
        <f>BZ160</f>
        <v>475.81639252</v>
      </c>
      <c r="CB160" s="3">
        <f>CA160</f>
        <v>475.81639252</v>
      </c>
      <c r="CC160" s="3">
        <f>CB160</f>
        <v>475.81639252</v>
      </c>
      <c r="CD160" s="3">
        <f>CC160</f>
        <v>475.81639252</v>
      </c>
      <c r="CE160" s="3">
        <f>CD160</f>
        <v>475.81639252</v>
      </c>
      <c r="CF160" s="3">
        <f>CE160</f>
        <v>475.81639252</v>
      </c>
      <c r="CG160" s="3">
        <f>CF160</f>
        <v>475.81639252</v>
      </c>
      <c r="CH160" s="3">
        <f>CG160</f>
        <v>475.81639252</v>
      </c>
      <c r="CI160" s="3">
        <f>CH160</f>
        <v>475.81639252</v>
      </c>
      <c r="CJ160" s="3">
        <f>CI160</f>
        <v>475.81639252</v>
      </c>
      <c r="CK160" s="3">
        <f>CJ160</f>
        <v>475.81639252</v>
      </c>
      <c r="CL160" s="3">
        <f>CK160</f>
        <v>475.81639252</v>
      </c>
      <c r="CM160" s="3">
        <f>CL160</f>
        <v>475.81639252</v>
      </c>
      <c r="CN160" s="3">
        <f>CM160</f>
        <v>475.81639252</v>
      </c>
      <c r="CO160" s="3">
        <f>CN160</f>
        <v>475.81639252</v>
      </c>
      <c r="CP160" s="3">
        <f>CO160</f>
        <v>475.81639252</v>
      </c>
      <c r="CQ160" s="3">
        <f>CP160</f>
        <v>475.81639252</v>
      </c>
      <c r="CR160" s="3">
        <f>CQ160</f>
        <v>475.81639252</v>
      </c>
      <c r="CS160" s="3">
        <f>CR160</f>
        <v>475.81639252</v>
      </c>
      <c r="CT160" s="3">
        <f>CS160</f>
        <v>475.81639252</v>
      </c>
      <c r="CU160" s="3">
        <f>CT160</f>
        <v>475.81639252</v>
      </c>
      <c r="CV160" s="3">
        <f>CU160</f>
        <v>475.81639252</v>
      </c>
      <c r="CW160" s="3">
        <f>CV160</f>
        <v>475.81639252</v>
      </c>
      <c r="CX160" s="3">
        <f>CW160</f>
        <v>475.81639252</v>
      </c>
      <c r="CY160" s="3">
        <f>CX160</f>
        <v>475.81639252</v>
      </c>
    </row>
    <row r="161">
      <c r="C161" s="26" t="inlineStr">
        <is>
          <t>Other current assets</t>
        </is>
      </c>
      <c r="D161" s="25">
        <f>INDEX('Inputs (2)'!$D$20:$AL$20,MATCH(D$7,'Inputs (2)'!$D$2:$AL$2,0))</f>
        <v>1124.5568818</v>
      </c>
      <c r="E161" s="25">
        <f>INDEX('Inputs (2)'!$D$20:$AL$20,MATCH(E$7,'Inputs (2)'!$D$2:$AL$2,0))</f>
        <v>1282.686364983</v>
      </c>
      <c r="F161" s="25">
        <f>INDEX('Inputs (2)'!$D$20:$AL$20,MATCH(F$7,'Inputs (2)'!$D$2:$AL$2,0))</f>
        <v>981.245019403</v>
      </c>
      <c r="G161" s="25">
        <f>INDEX('Inputs (2)'!$D$20:$AL$20,MATCH(G$7,'Inputs (2)'!$D$2:$AL$2,0))</f>
        <v>961.7151453847</v>
      </c>
      <c r="H161" s="3">
        <f>G161</f>
        <v>961.7151453847</v>
      </c>
      <c r="I161" s="25">
        <f>INDEX('Inputs (2)'!$D$20:$AL$20,MATCH(I$7,'Inputs (2)'!$D$2:$AL$2,0))</f>
        <v>918.62471075788</v>
      </c>
      <c r="J161" s="25">
        <f>INDEX('Inputs (2)'!$D$20:$AL$20,MATCH(J$7,'Inputs (2)'!$D$2:$AL$2,0))</f>
        <v>1009.096</v>
      </c>
      <c r="K161" s="25">
        <f>INDEX('Inputs (2)'!$D$20:$AL$20,MATCH(K$7,'Inputs (2)'!$D$2:$AL$2,0))</f>
        <v>1025.098</v>
      </c>
      <c r="L161" s="25">
        <f>INDEX('Inputs (2)'!$D$20:$AL$20,MATCH(L$7,'Inputs (2)'!$D$2:$AL$2,0))</f>
        <v>1054.769</v>
      </c>
      <c r="M161" s="3">
        <f>L161</f>
        <v>1054.769</v>
      </c>
      <c r="N161" s="25">
        <f>INDEX('Inputs (2)'!$D$20:$AL$20,MATCH(N$7,'Inputs (2)'!$D$2:$AL$2,0))</f>
        <v>1540.565</v>
      </c>
      <c r="O161" s="25">
        <f>INDEX('Inputs (2)'!$D$20:$AL$20,MATCH(O$7,'Inputs (2)'!$D$2:$AL$2,0))</f>
        <v>1868.604</v>
      </c>
      <c r="P161" s="25">
        <f>INDEX('Inputs (2)'!$D$20:$AL$20,MATCH(P$7,'Inputs (2)'!$D$2:$AL$2,0))</f>
        <v>2469.132</v>
      </c>
      <c r="Q161" s="25">
        <f>INDEX('Inputs (2)'!$D$20:$AL$20,MATCH(Q$7,'Inputs (2)'!$D$2:$AL$2,0))</f>
        <v>2664.571</v>
      </c>
      <c r="R161" s="3">
        <f>Q161</f>
        <v>2664.571</v>
      </c>
      <c r="S161" s="25">
        <f>INDEX('Inputs (2)'!$D$20:$AL$20,MATCH(S$7,'Inputs (2)'!$D$2:$AL$2,0))</f>
        <v>2494.20797713777</v>
      </c>
      <c r="T161" s="25">
        <f>INDEX('Inputs (2)'!$D$20:$AL$20,MATCH(T$7,'Inputs (2)'!$D$2:$AL$2,0))</f>
        <v>2668.47153610207</v>
      </c>
      <c r="U161" s="25">
        <f>INDEX('Inputs (2)'!$D$20:$AL$20,MATCH(U$7,'Inputs (2)'!$D$2:$AL$2,0))</f>
        <v>3042.07460496244</v>
      </c>
      <c r="V161" s="25">
        <f>INDEX('Inputs (2)'!$D$20:$AL$20,MATCH(V$7,'Inputs (2)'!$D$2:$AL$2,0))</f>
        <v>3089.34996132869</v>
      </c>
      <c r="W161" s="3">
        <f>V161</f>
        <v>3089.34996132869</v>
      </c>
      <c r="X161" s="25">
        <f>INDEX('Inputs (2)'!$D$20:$AL$20,MATCH(X$7,'Inputs (2)'!$D$2:$AL$2,0))</f>
        <v>3511.11721899673</v>
      </c>
      <c r="Y161" s="25">
        <f>INDEX('Inputs (2)'!$D$20:$AL$20,MATCH(Y$7,'Inputs (2)'!$D$2:$AL$2,0))</f>
        <v>4113.54614389414</v>
      </c>
      <c r="Z161" s="25">
        <f>INDEX('Inputs (2)'!$D$20:$AL$20,MATCH(Z$7,'Inputs (2)'!$D$2:$AL$2,0))</f>
        <v>4096.88239483389</v>
      </c>
      <c r="AA161" s="25">
        <f>INDEX('Inputs (2)'!$D$20:$AL$20,MATCH(AA$7,'Inputs (2)'!$D$2:$AL$2,0))</f>
        <v>4697.06448059</v>
      </c>
      <c r="AB161" s="3">
        <f>AA161</f>
        <v>4697.06448059</v>
      </c>
      <c r="AC161" s="25">
        <f>INDEX('Inputs (2)'!$D$20:$AL$20,MATCH(AC$7,'Inputs (2)'!$D$2:$AL$2,0))</f>
        <v>4619.39602222</v>
      </c>
      <c r="AD161" s="25">
        <f>INDEX('Inputs (2)'!$D$20:$AL$20,MATCH(AD$7,'Inputs (2)'!$D$2:$AL$2,0))</f>
        <v>5228.24173979</v>
      </c>
      <c r="AE161" s="25">
        <f>INDEX('Inputs (2)'!$D$20:$AL$20,MATCH(AE$7,'Inputs (2)'!$D$2:$AL$2,0))</f>
        <v>4760.64160671</v>
      </c>
      <c r="AF161" s="25">
        <f>INDEX('Inputs (2)'!$D$20:$AL$20,MATCH(AF$7,'Inputs (2)'!$D$2:$AL$2,0))</f>
        <v>3959.69308964</v>
      </c>
      <c r="AG161" s="3">
        <f>AF161</f>
        <v>3959.69308964</v>
      </c>
      <c r="AH161" s="3">
        <f>INDEX('Inputs (2)'!$D$20:$AL$20,MATCH(AH$7,'Inputs (2)'!$D$2:$AL$2,0))</f>
        <v>4297.0872434</v>
      </c>
      <c r="AI161" s="3">
        <f>INDEX('Inputs (2)'!$D$20:$AL$20,MATCH(AI$7,'Inputs (2)'!$D$2:$AL$2,0))</f>
        <v>5734.88510625</v>
      </c>
      <c r="AJ161" s="3">
        <f>AI161</f>
        <v>5734.88510625</v>
      </c>
      <c r="AK161" s="3">
        <f>AJ161</f>
        <v>5734.88510625</v>
      </c>
      <c r="AL161" s="3">
        <f>AK161</f>
        <v>5734.88510625</v>
      </c>
      <c r="AM161" s="3">
        <f>AL161</f>
        <v>5734.88510625</v>
      </c>
      <c r="AN161" s="3">
        <f>AM161</f>
        <v>5734.88510625</v>
      </c>
      <c r="AO161" s="3">
        <f>AN161</f>
        <v>5734.88510625</v>
      </c>
      <c r="AP161" s="3">
        <f>AO161</f>
        <v>5734.88510625</v>
      </c>
      <c r="AQ161" s="3">
        <f>AP161</f>
        <v>5734.88510625</v>
      </c>
      <c r="AR161" s="3">
        <f>AQ161</f>
        <v>5734.88510625</v>
      </c>
      <c r="AS161" s="3">
        <f>AR161</f>
        <v>5734.88510625</v>
      </c>
      <c r="AT161" s="3">
        <f>AS161</f>
        <v>5734.88510625</v>
      </c>
      <c r="AU161" s="3">
        <f>AT161</f>
        <v>5734.88510625</v>
      </c>
      <c r="AV161" s="3">
        <f>AU161</f>
        <v>5734.88510625</v>
      </c>
      <c r="AW161" s="3">
        <f>AV161</f>
        <v>5734.88510625</v>
      </c>
      <c r="AX161" s="3">
        <f>AW161</f>
        <v>5734.88510625</v>
      </c>
      <c r="AY161" s="3">
        <f>AX161</f>
        <v>5734.88510625</v>
      </c>
      <c r="AZ161" s="3">
        <f>AY161</f>
        <v>5734.88510625</v>
      </c>
      <c r="BA161" s="3">
        <f>AZ161</f>
        <v>5734.88510625</v>
      </c>
      <c r="BB161" s="3">
        <f>BA161</f>
        <v>5734.88510625</v>
      </c>
      <c r="BC161" s="3">
        <f>BB161</f>
        <v>5734.88510625</v>
      </c>
      <c r="BD161" s="3">
        <f>BC161</f>
        <v>5734.88510625</v>
      </c>
      <c r="BE161" s="3">
        <f>BD161</f>
        <v>5734.88510625</v>
      </c>
      <c r="BF161" s="3">
        <f>BE161</f>
        <v>5734.88510625</v>
      </c>
      <c r="BG161" s="3">
        <f>BF161</f>
        <v>5734.88510625</v>
      </c>
      <c r="BH161" s="3">
        <f>BG161</f>
        <v>5734.88510625</v>
      </c>
      <c r="BI161" s="3">
        <f>BH161</f>
        <v>5734.88510625</v>
      </c>
      <c r="BJ161" s="3">
        <f>BI161</f>
        <v>5734.88510625</v>
      </c>
      <c r="BK161" s="3">
        <f>BJ161</f>
        <v>5734.88510625</v>
      </c>
      <c r="BL161" s="3">
        <f>BK161</f>
        <v>5734.88510625</v>
      </c>
      <c r="BM161" s="3">
        <f>BL161</f>
        <v>5734.88510625</v>
      </c>
      <c r="BN161" s="3">
        <f>BM161</f>
        <v>5734.88510625</v>
      </c>
      <c r="BO161" s="3">
        <f>BN161</f>
        <v>5734.88510625</v>
      </c>
      <c r="BP161" s="3">
        <f>BO161</f>
        <v>5734.88510625</v>
      </c>
      <c r="BQ161" s="3">
        <f>BP161</f>
        <v>5734.88510625</v>
      </c>
      <c r="BR161" s="3">
        <f>BQ161</f>
        <v>5734.88510625</v>
      </c>
      <c r="BS161" s="3">
        <f>BR161</f>
        <v>5734.88510625</v>
      </c>
      <c r="BT161" s="3">
        <f>BS161</f>
        <v>5734.88510625</v>
      </c>
      <c r="BU161" s="3">
        <f>BT161</f>
        <v>5734.88510625</v>
      </c>
      <c r="BV161" s="3">
        <f>BU161</f>
        <v>5734.88510625</v>
      </c>
      <c r="BW161" s="3">
        <f>BV161</f>
        <v>5734.88510625</v>
      </c>
      <c r="BX161" s="3">
        <f>BW161</f>
        <v>5734.88510625</v>
      </c>
      <c r="BY161" s="3">
        <f>BX161</f>
        <v>5734.88510625</v>
      </c>
      <c r="BZ161" s="3">
        <f>BY161</f>
        <v>5734.88510625</v>
      </c>
      <c r="CA161" s="3">
        <f>BZ161</f>
        <v>5734.88510625</v>
      </c>
      <c r="CB161" s="3">
        <f>CA161</f>
        <v>5734.88510625</v>
      </c>
      <c r="CC161" s="3">
        <f>CB161</f>
        <v>5734.88510625</v>
      </c>
      <c r="CD161" s="3">
        <f>CC161</f>
        <v>5734.88510625</v>
      </c>
      <c r="CE161" s="3">
        <f>CD161</f>
        <v>5734.88510625</v>
      </c>
      <c r="CF161" s="3">
        <f>CE161</f>
        <v>5734.88510625</v>
      </c>
      <c r="CG161" s="3">
        <f>CF161</f>
        <v>5734.88510625</v>
      </c>
      <c r="CH161" s="3">
        <f>CG161</f>
        <v>5734.88510625</v>
      </c>
      <c r="CI161" s="3">
        <f>CH161</f>
        <v>5734.88510625</v>
      </c>
      <c r="CJ161" s="3">
        <f>CI161</f>
        <v>5734.88510625</v>
      </c>
      <c r="CK161" s="3">
        <f>CJ161</f>
        <v>5734.88510625</v>
      </c>
      <c r="CL161" s="3">
        <f>CK161</f>
        <v>5734.88510625</v>
      </c>
      <c r="CM161" s="3">
        <f>CL161</f>
        <v>5734.88510625</v>
      </c>
      <c r="CN161" s="3">
        <f>CM161</f>
        <v>5734.88510625</v>
      </c>
      <c r="CO161" s="3">
        <f>CN161</f>
        <v>5734.88510625</v>
      </c>
      <c r="CP161" s="3">
        <f>CO161</f>
        <v>5734.88510625</v>
      </c>
      <c r="CQ161" s="3">
        <f>CP161</f>
        <v>5734.88510625</v>
      </c>
      <c r="CR161" s="3">
        <f>CQ161</f>
        <v>5734.88510625</v>
      </c>
      <c r="CS161" s="3">
        <f>CR161</f>
        <v>5734.88510625</v>
      </c>
      <c r="CT161" s="3">
        <f>CS161</f>
        <v>5734.88510625</v>
      </c>
      <c r="CU161" s="3">
        <f>CT161</f>
        <v>5734.88510625</v>
      </c>
      <c r="CV161" s="3">
        <f>CU161</f>
        <v>5734.88510625</v>
      </c>
      <c r="CW161" s="3">
        <f>CV161</f>
        <v>5734.88510625</v>
      </c>
      <c r="CX161" s="3">
        <f>CW161</f>
        <v>5734.88510625</v>
      </c>
      <c r="CY161" s="3">
        <f>CX161</f>
        <v>5734.88510625</v>
      </c>
    </row>
    <row r="162" hidden="1" outlineLevel="1">
      <c r="C162" s="38" t="inlineStr">
        <is>
          <t>%(Var.)</t>
        </is>
      </c>
      <c r="D162" s="3" t="n"/>
      <c r="E162" s="47">
        <f>(E161-D161)/D161</f>
        <v>0.140614926414299</v>
      </c>
      <c r="F162" s="47">
        <f>(F161-E161)/E161</f>
        <v>-0.235007834969849</v>
      </c>
      <c r="G162" s="47">
        <f>(G161-F161)/F161</f>
        <v>-0.0199031573481842</v>
      </c>
      <c r="H162" s="3" t="n"/>
      <c r="I162" s="47">
        <f>(I161-H161)/H161</f>
        <v>-0.0448058188889011</v>
      </c>
      <c r="J162" s="47">
        <f>(J161-I161)/I161</f>
        <v>0.0984855819603196</v>
      </c>
      <c r="K162" s="47">
        <f>(K161-J161)/J161</f>
        <v>0.0158577578347352</v>
      </c>
      <c r="L162" s="47">
        <f>(L161-K161)/K161</f>
        <v>0.0289445496918344</v>
      </c>
      <c r="M162" s="3" t="n"/>
      <c r="N162" s="47">
        <f>(N161-M161)/M161</f>
        <v>0.460570987581167</v>
      </c>
      <c r="O162" s="47">
        <f>(O161-N161)/N161</f>
        <v>0.212934215693593</v>
      </c>
      <c r="P162" s="47">
        <f>(P161-O161)/O161</f>
        <v>0.321377884238715</v>
      </c>
      <c r="Q162" s="47">
        <f>(Q161-P161)/P161</f>
        <v>0.079152916895492</v>
      </c>
      <c r="R162" s="3" t="n"/>
      <c r="S162" s="47">
        <f>(S161-R161)/R161</f>
        <v>-0.0639363795756358</v>
      </c>
      <c r="T162" s="47">
        <f>(T161-S161)/S161</f>
        <v>0.069867292768536</v>
      </c>
      <c r="U162" s="47">
        <f>(U161-T161)/T161</f>
        <v>0.140006390851785</v>
      </c>
      <c r="V162" s="47">
        <f>(V161-U161)/U161</f>
        <v>0.0155404986745335</v>
      </c>
      <c r="W162" s="3" t="n"/>
      <c r="X162" s="47">
        <f>(X161-W161)/W161</f>
        <v>0.136522978279432</v>
      </c>
      <c r="Y162" s="47">
        <f>(Y161-X161)/X161</f>
        <v>0.171577559882647</v>
      </c>
      <c r="Z162" s="47">
        <f>(Z161-Y161)/Y161</f>
        <v>-0.00405094496994758</v>
      </c>
      <c r="AA162" s="47">
        <f>(AA161-Z161)/Z161</f>
        <v>0.146497269854008</v>
      </c>
      <c r="AB162" s="3" t="n"/>
      <c r="AC162" s="47">
        <f>(AC161-AB161)/AB161</f>
        <v>-0.0165355316476822</v>
      </c>
      <c r="AD162" s="47">
        <f>(AD161-AC161)/AC161</f>
        <v>0.131802017978402</v>
      </c>
      <c r="AE162" s="47">
        <f>(AE161-AD161)/AD161</f>
        <v>-0.0894373589348954</v>
      </c>
      <c r="AF162" s="218">
        <f>(AF161-AE161)/AE161</f>
        <v>-0.1682438173756</v>
      </c>
      <c r="AG162" s="3" t="n"/>
      <c r="AH162" s="3">
        <f>(AH161-AG161)/AG161</f>
        <v>0.085207147655647</v>
      </c>
      <c r="AI162" s="3">
        <f>(AI161-AH161)/AH161</f>
        <v>0.334598247931398</v>
      </c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n"/>
      <c r="CC162" s="3" t="n"/>
      <c r="CD162" s="3" t="n"/>
      <c r="CE162" s="3" t="n"/>
      <c r="CF162" s="3" t="n"/>
      <c r="CG162" s="3" t="n"/>
      <c r="CH162" s="3" t="n"/>
      <c r="CI162" s="3" t="n"/>
      <c r="CJ162" s="3" t="n"/>
      <c r="CK162" s="3" t="n"/>
      <c r="CL162" s="3" t="n"/>
      <c r="CM162" s="3" t="n"/>
      <c r="CN162" s="3" t="n"/>
      <c r="CO162" s="3" t="n"/>
      <c r="CP162" s="3" t="n"/>
      <c r="CQ162" s="3" t="n"/>
      <c r="CR162" s="3" t="n"/>
      <c r="CS162" s="3" t="n"/>
      <c r="CT162" s="3" t="n"/>
      <c r="CU162" s="3" t="n"/>
      <c r="CV162" s="3" t="n"/>
      <c r="CW162" s="3" t="n"/>
      <c r="CX162" s="3" t="n"/>
      <c r="CY162" s="3" t="n"/>
    </row>
    <row r="163" hidden="1" outlineLevel="1">
      <c r="C163" s="34" t="n"/>
      <c r="D163" s="3" t="n"/>
      <c r="E163" s="47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  <c r="AY163" s="3" t="n"/>
      <c r="AZ163" s="3" t="n"/>
      <c r="BA163" s="3" t="n"/>
      <c r="BB163" s="3" t="n"/>
      <c r="BC163" s="3" t="n"/>
      <c r="BD163" s="3" t="n"/>
      <c r="BE163" s="3" t="n"/>
      <c r="BF163" s="3" t="n"/>
      <c r="BG163" s="3" t="n"/>
      <c r="BH163" s="3" t="n"/>
      <c r="BI163" s="3" t="n"/>
      <c r="BJ163" s="3" t="n"/>
      <c r="BK163" s="3" t="n"/>
      <c r="BL163" s="3" t="n"/>
      <c r="BM163" s="3" t="n"/>
      <c r="BN163" s="3" t="n"/>
      <c r="BO163" s="3" t="n"/>
      <c r="BP163" s="3" t="n"/>
      <c r="BQ163" s="3" t="n"/>
      <c r="BR163" s="3" t="n"/>
      <c r="BS163" s="3" t="n"/>
      <c r="BT163" s="3" t="n"/>
      <c r="BU163" s="3" t="n"/>
      <c r="BV163" s="3" t="n"/>
      <c r="BW163" s="3" t="n"/>
      <c r="BX163" s="3" t="n"/>
      <c r="BY163" s="3" t="n"/>
      <c r="BZ163" s="3" t="n"/>
      <c r="CA163" s="3" t="n"/>
      <c r="CB163" s="3" t="n"/>
      <c r="CC163" s="3" t="n"/>
      <c r="CD163" s="3" t="n"/>
      <c r="CE163" s="3" t="n"/>
      <c r="CF163" s="3" t="n"/>
      <c r="CG163" s="3" t="n"/>
      <c r="CH163" s="3" t="n"/>
      <c r="CI163" s="3" t="n"/>
      <c r="CJ163" s="3" t="n"/>
      <c r="CK163" s="3" t="n"/>
      <c r="CL163" s="3" t="n"/>
      <c r="CM163" s="3" t="n"/>
      <c r="CN163" s="3" t="n"/>
      <c r="CO163" s="3" t="n"/>
      <c r="CP163" s="3" t="n"/>
      <c r="CQ163" s="3" t="n"/>
      <c r="CR163" s="3" t="n"/>
      <c r="CS163" s="3" t="n"/>
      <c r="CT163" s="3" t="n"/>
      <c r="CU163" s="3" t="n"/>
      <c r="CV163" s="3" t="n"/>
      <c r="CW163" s="3" t="n"/>
      <c r="CX163" s="3" t="n"/>
      <c r="CY163" s="3" t="n"/>
    </row>
    <row r="164" hidden="1" outlineLevel="1">
      <c r="C164" s="52" t="inlineStr">
        <is>
          <t xml:space="preserve">Impostos e Contribuições a Recuperar </t>
        </is>
      </c>
      <c r="D164" s="6" t="n"/>
      <c r="E164" s="6" t="n"/>
      <c r="F164" s="6" t="n"/>
      <c r="G164" s="6" t="n"/>
      <c r="H164" s="3" t="n"/>
      <c r="I164" s="6" t="n"/>
      <c r="J164" s="6" t="n"/>
      <c r="K164" s="6" t="n"/>
      <c r="L164" s="6" t="n"/>
      <c r="M164" s="3" t="n"/>
      <c r="N164" s="6" t="n"/>
      <c r="O164" s="6" t="n"/>
      <c r="P164" s="6" t="n"/>
      <c r="Q164" s="6" t="n"/>
      <c r="R164" s="3" t="n"/>
      <c r="S164" s="6" t="n"/>
      <c r="T164" s="6" t="n"/>
      <c r="U164" s="6" t="n"/>
      <c r="V164" s="6" t="n"/>
      <c r="W164" s="3" t="n"/>
      <c r="X164" s="6" t="n"/>
      <c r="Y164" s="6" t="n"/>
      <c r="Z164" s="6" t="n"/>
      <c r="AA164" s="6" t="n"/>
      <c r="AB164" s="3" t="n"/>
      <c r="AC164" s="6" t="n"/>
      <c r="AD164" s="6" t="n"/>
      <c r="AE164" s="6" t="n"/>
      <c r="AF164" s="6" t="n"/>
      <c r="AG164" s="3">
        <f>AF164</f>
        <v>0</v>
      </c>
      <c r="AH164" s="216">
        <f>AG164*AH15/AG15</f>
        <v>0</v>
      </c>
      <c r="AI164" s="216">
        <f>AH164*AI15/AH15</f>
        <v>0</v>
      </c>
      <c r="AJ164" s="216">
        <f>AI164*AJ15/AI15</f>
        <v>0</v>
      </c>
      <c r="AK164" s="216">
        <f>AJ164*AK15/AJ15</f>
        <v>0</v>
      </c>
      <c r="AL164" s="3">
        <f>AK164</f>
        <v>0</v>
      </c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  <c r="BO164" s="3" t="n"/>
      <c r="BP164" s="3" t="n"/>
      <c r="BQ164" s="3" t="n"/>
      <c r="BR164" s="3" t="n"/>
      <c r="BS164" s="3" t="n"/>
      <c r="BT164" s="3" t="n"/>
      <c r="BU164" s="3" t="n"/>
      <c r="BV164" s="3" t="n"/>
      <c r="BW164" s="3" t="n"/>
      <c r="BX164" s="3" t="n"/>
      <c r="BY164" s="3" t="n"/>
      <c r="BZ164" s="3" t="n"/>
      <c r="CA164" s="3" t="n"/>
      <c r="CB164" s="3" t="n"/>
      <c r="CC164" s="3" t="n"/>
      <c r="CD164" s="3" t="n"/>
      <c r="CE164" s="3" t="n"/>
      <c r="CF164" s="3" t="n"/>
      <c r="CG164" s="3" t="n"/>
      <c r="CH164" s="3" t="n"/>
      <c r="CI164" s="3" t="n"/>
      <c r="CJ164" s="3" t="n"/>
      <c r="CK164" s="3" t="n"/>
      <c r="CL164" s="3" t="n"/>
      <c r="CM164" s="3" t="n"/>
      <c r="CN164" s="3" t="n"/>
      <c r="CO164" s="3" t="n"/>
      <c r="CP164" s="3" t="n"/>
      <c r="CQ164" s="3" t="n"/>
      <c r="CR164" s="3" t="n"/>
      <c r="CS164" s="3" t="n"/>
      <c r="CT164" s="3" t="n"/>
      <c r="CU164" s="3" t="n"/>
      <c r="CV164" s="3" t="n"/>
      <c r="CW164" s="3" t="n"/>
      <c r="CX164" s="3" t="n"/>
      <c r="CY164" s="3" t="n"/>
    </row>
    <row r="165" hidden="1" outlineLevel="1">
      <c r="C165" s="52" t="inlineStr">
        <is>
          <t>Outros Créditos</t>
        </is>
      </c>
      <c r="D165" s="6" t="n"/>
      <c r="E165" s="6" t="n"/>
      <c r="F165" s="6" t="n"/>
      <c r="G165" s="6" t="n"/>
      <c r="H165" s="3" t="n"/>
      <c r="I165" s="6" t="n"/>
      <c r="J165" s="6" t="n"/>
      <c r="K165" s="6" t="n"/>
      <c r="L165" s="6" t="n"/>
      <c r="M165" s="3" t="n"/>
      <c r="N165" s="6" t="n"/>
      <c r="O165" s="6" t="n"/>
      <c r="P165" s="6" t="n"/>
      <c r="Q165" s="6" t="n"/>
      <c r="R165" s="3" t="n"/>
      <c r="S165" s="6" t="n"/>
      <c r="T165" s="6" t="n"/>
      <c r="U165" s="6" t="n"/>
      <c r="V165" s="6" t="n"/>
      <c r="W165" s="3" t="n"/>
      <c r="X165" s="6" t="n"/>
      <c r="Y165" s="6" t="n"/>
      <c r="Z165" s="6" t="n"/>
      <c r="AA165" s="6" t="n"/>
      <c r="AB165" s="3" t="n"/>
      <c r="AC165" s="6" t="n"/>
      <c r="AD165" s="6" t="n"/>
      <c r="AE165" s="6" t="n"/>
      <c r="AF165" s="6" t="n"/>
      <c r="AG165" s="3">
        <f>AF165</f>
        <v>0</v>
      </c>
      <c r="AH165" s="3">
        <f>AG165</f>
        <v>0</v>
      </c>
      <c r="AI165" s="3">
        <f>AH165</f>
        <v>0</v>
      </c>
      <c r="AJ165" s="3">
        <f>AI165</f>
        <v>0</v>
      </c>
      <c r="AK165" s="3">
        <f>AJ165</f>
        <v>0</v>
      </c>
      <c r="AL165" s="3">
        <f>AK165</f>
        <v>0</v>
      </c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/>
      <c r="BD165" s="3" t="n"/>
      <c r="BE165" s="3" t="n"/>
      <c r="BF165" s="3" t="n"/>
      <c r="BG165" s="3" t="n"/>
      <c r="BH165" s="3" t="n"/>
      <c r="BI165" s="3" t="n"/>
      <c r="BJ165" s="3" t="n"/>
      <c r="BK165" s="3" t="n"/>
      <c r="BL165" s="3" t="n"/>
      <c r="BM165" s="3" t="n"/>
      <c r="BN165" s="3" t="n"/>
      <c r="BO165" s="3" t="n"/>
      <c r="BP165" s="3" t="n"/>
      <c r="BQ165" s="3" t="n"/>
      <c r="BR165" s="3" t="n"/>
      <c r="BS165" s="3" t="n"/>
      <c r="BT165" s="3" t="n"/>
      <c r="BU165" s="3" t="n"/>
      <c r="BV165" s="3" t="n"/>
      <c r="BW165" s="3" t="n"/>
      <c r="BX165" s="3" t="n"/>
      <c r="BY165" s="3" t="n"/>
      <c r="BZ165" s="3" t="n"/>
      <c r="CA165" s="3" t="n"/>
      <c r="CB165" s="3" t="n"/>
      <c r="CC165" s="3" t="n"/>
      <c r="CD165" s="3" t="n"/>
      <c r="CE165" s="3" t="n"/>
      <c r="CF165" s="3" t="n"/>
      <c r="CG165" s="3" t="n"/>
      <c r="CH165" s="3" t="n"/>
      <c r="CI165" s="3" t="n"/>
      <c r="CJ165" s="3" t="n"/>
      <c r="CK165" s="3" t="n"/>
      <c r="CL165" s="3" t="n"/>
      <c r="CM165" s="3" t="n"/>
      <c r="CN165" s="3" t="n"/>
      <c r="CO165" s="3" t="n"/>
      <c r="CP165" s="3" t="n"/>
      <c r="CQ165" s="3" t="n"/>
      <c r="CR165" s="3" t="n"/>
      <c r="CS165" s="3" t="n"/>
      <c r="CT165" s="3" t="n"/>
      <c r="CU165" s="3" t="n"/>
      <c r="CV165" s="3" t="n"/>
      <c r="CW165" s="3" t="n"/>
      <c r="CX165" s="3" t="n"/>
      <c r="CY165" s="3" t="n"/>
    </row>
    <row r="166" hidden="1" outlineLevel="1">
      <c r="C166" s="34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n"/>
      <c r="CC166" s="3" t="n"/>
      <c r="CD166" s="3" t="n"/>
      <c r="CE166" s="3" t="n"/>
      <c r="CF166" s="3" t="n"/>
      <c r="CG166" s="3" t="n"/>
      <c r="CH166" s="3" t="n"/>
      <c r="CI166" s="3" t="n"/>
      <c r="CJ166" s="3" t="n"/>
      <c r="CK166" s="3" t="n"/>
      <c r="CL166" s="3" t="n"/>
      <c r="CM166" s="3" t="n"/>
      <c r="CN166" s="3" t="n"/>
      <c r="CO166" s="3" t="n"/>
      <c r="CP166" s="3" t="n"/>
      <c r="CQ166" s="3" t="n"/>
      <c r="CR166" s="3" t="n"/>
      <c r="CS166" s="3" t="n"/>
      <c r="CT166" s="3" t="n"/>
      <c r="CU166" s="3" t="n"/>
      <c r="CV166" s="3" t="n"/>
      <c r="CW166" s="3" t="n"/>
      <c r="CX166" s="3" t="n"/>
      <c r="CY166" s="3" t="n"/>
    </row>
    <row r="167" collapsed="1">
      <c r="C167" s="26" t="inlineStr">
        <is>
          <t>Equity in affiliates</t>
        </is>
      </c>
      <c r="D167" s="25">
        <f>INDEX('Inputs (2)'!$D$21:$AL$21,MATCH(D$7,'Inputs (2)'!$D$2:$AL$2,0))</f>
        <v>6.5175217899044</v>
      </c>
      <c r="E167" s="25">
        <f>INDEX('Inputs (2)'!$D$21:$AL$21,MATCH(E$7,'Inputs (2)'!$D$2:$AL$2,0))</f>
        <v>8.34518066</v>
      </c>
      <c r="F167" s="25">
        <f>INDEX('Inputs (2)'!$D$21:$AL$21,MATCH(F$7,'Inputs (2)'!$D$2:$AL$2,0))</f>
        <v>13.6703990920664</v>
      </c>
      <c r="G167" s="25">
        <f>INDEX('Inputs (2)'!$D$21:$AL$21,MATCH(G$7,'Inputs (2)'!$D$2:$AL$2,0))</f>
        <v>16.584</v>
      </c>
      <c r="H167" s="3">
        <f>G167</f>
        <v>16.584</v>
      </c>
      <c r="I167" s="25">
        <f>INDEX('Inputs (2)'!$D$21:$AL$21,MATCH(I$7,'Inputs (2)'!$D$2:$AL$2,0))</f>
        <v>19.015</v>
      </c>
      <c r="J167" s="25">
        <f>INDEX('Inputs (2)'!$D$21:$AL$21,MATCH(J$7,'Inputs (2)'!$D$2:$AL$2,0))</f>
        <v>22.141</v>
      </c>
      <c r="K167" s="25">
        <f>INDEX('Inputs (2)'!$D$21:$AL$21,MATCH(K$7,'Inputs (2)'!$D$2:$AL$2,0))</f>
        <v>24.978</v>
      </c>
      <c r="L167" s="25">
        <f>INDEX('Inputs (2)'!$D$21:$AL$21,MATCH(L$7,'Inputs (2)'!$D$2:$AL$2,0))</f>
        <v>30.248</v>
      </c>
      <c r="M167" s="3">
        <f>L167</f>
        <v>30.248</v>
      </c>
      <c r="N167" s="25">
        <f>INDEX('Inputs (2)'!$D$21:$AL$21,MATCH(N$7,'Inputs (2)'!$D$2:$AL$2,0))</f>
        <v>29.559</v>
      </c>
      <c r="O167" s="25">
        <f>INDEX('Inputs (2)'!$D$21:$AL$21,MATCH(O$7,'Inputs (2)'!$D$2:$AL$2,0))</f>
        <v>28.004</v>
      </c>
      <c r="P167" s="25">
        <f>INDEX('Inputs (2)'!$D$21:$AL$21,MATCH(P$7,'Inputs (2)'!$D$2:$AL$2,0))</f>
        <v>32.577</v>
      </c>
      <c r="Q167" s="25">
        <f>INDEX('Inputs (2)'!$D$21:$AL$21,MATCH(Q$7,'Inputs (2)'!$D$2:$AL$2,0))</f>
        <v>34.024</v>
      </c>
      <c r="R167" s="3">
        <f>Q167</f>
        <v>34.024</v>
      </c>
      <c r="S167" s="25">
        <f>INDEX('Inputs (2)'!$D$21:$AL$21,MATCH(S$7,'Inputs (2)'!$D$2:$AL$2,0))</f>
        <v>33.9948946811607</v>
      </c>
      <c r="T167" s="25">
        <f>INDEX('Inputs (2)'!$D$21:$AL$21,MATCH(T$7,'Inputs (2)'!$D$2:$AL$2,0))</f>
        <v>35.1060887046443</v>
      </c>
      <c r="U167" s="25">
        <f>INDEX('Inputs (2)'!$D$21:$AL$21,MATCH(U$7,'Inputs (2)'!$D$2:$AL$2,0))</f>
        <v>35.3654892747361</v>
      </c>
      <c r="V167" s="25">
        <f>INDEX('Inputs (2)'!$D$21:$AL$21,MATCH(V$7,'Inputs (2)'!$D$2:$AL$2,0))</f>
        <v>38.222815605065</v>
      </c>
      <c r="W167" s="3">
        <f>V167</f>
        <v>38.222815605065</v>
      </c>
      <c r="X167" s="25">
        <f>INDEX('Inputs (2)'!$D$21:$AL$21,MATCH(X$7,'Inputs (2)'!$D$2:$AL$2,0))</f>
        <v>36.645084060302</v>
      </c>
      <c r="Y167" s="25">
        <f>INDEX('Inputs (2)'!$D$21:$AL$21,MATCH(Y$7,'Inputs (2)'!$D$2:$AL$2,0))</f>
        <v>35.5922063536519</v>
      </c>
      <c r="Z167" s="25">
        <f>INDEX('Inputs (2)'!$D$21:$AL$21,MATCH(Z$7,'Inputs (2)'!$D$2:$AL$2,0))</f>
        <v>38.8211776019284</v>
      </c>
      <c r="AA167" s="25">
        <f>INDEX('Inputs (2)'!$D$21:$AL$21,MATCH(AA$7,'Inputs (2)'!$D$2:$AL$2,0))</f>
        <v>42.4752832099999</v>
      </c>
      <c r="AB167" s="3">
        <f>AA167</f>
        <v>42.4752832099999</v>
      </c>
      <c r="AC167" s="25">
        <f>INDEX('Inputs (2)'!$D$21:$AL$21,MATCH(AC$7,'Inputs (2)'!$D$2:$AL$2,0))</f>
        <v>41.8817216500001</v>
      </c>
      <c r="AD167" s="25">
        <f>INDEX('Inputs (2)'!$D$21:$AL$21,MATCH(AD$7,'Inputs (2)'!$D$2:$AL$2,0))</f>
        <v>42.0867079000002</v>
      </c>
      <c r="AE167" s="25">
        <f>INDEX('Inputs (2)'!$D$21:$AL$21,MATCH(AE$7,'Inputs (2)'!$D$2:$AL$2,0))</f>
        <v>38.0355831700003</v>
      </c>
      <c r="AF167" s="25">
        <f>INDEX('Inputs (2)'!$D$21:$AL$21,MATCH(AF$7,'Inputs (2)'!$D$2:$AL$2,0))</f>
        <v>43.4183894</v>
      </c>
      <c r="AG167" s="3">
        <f>AF167</f>
        <v>43.4183894</v>
      </c>
      <c r="AH167" s="3">
        <f>INDEX('Inputs (2)'!$D$21:$AL$21,MATCH(AH$7,'Inputs (2)'!$D$2:$AL$2,0))</f>
        <v>46.94638454</v>
      </c>
      <c r="AI167" s="3">
        <f>INDEX('Inputs (2)'!$D$21:$AL$21,MATCH(AI$7,'Inputs (2)'!$D$2:$AL$2,0))</f>
        <v>47.170816</v>
      </c>
      <c r="AJ167" s="3">
        <f>AI167+AJ141+AJ170</f>
        <v>47.170816</v>
      </c>
      <c r="AK167" s="3">
        <f>AJ167+AK141+AK170</f>
        <v>47.170816</v>
      </c>
      <c r="AL167" s="3">
        <f>AK167</f>
        <v>47.170816</v>
      </c>
      <c r="AM167" s="3">
        <f>AL167+AM141+AM170</f>
        <v>47.170816</v>
      </c>
      <c r="AN167" s="3">
        <f>AM167+AN141+AN170</f>
        <v>47.170816</v>
      </c>
      <c r="AO167" s="3">
        <f>AN167+AO141+AO170</f>
        <v>47.170816</v>
      </c>
      <c r="AP167" s="3">
        <f>AO167+AP141+AP170</f>
        <v>47.170816</v>
      </c>
      <c r="AQ167" s="3">
        <f>AP167</f>
        <v>47.170816</v>
      </c>
      <c r="AR167" s="3">
        <f>AQ167+AR141+AR170</f>
        <v>47.170816</v>
      </c>
      <c r="AS167" s="3">
        <f>AR167+AS141+AS170</f>
        <v>47.170816</v>
      </c>
      <c r="AT167" s="3">
        <f>AS167+AT141+AT170</f>
        <v>47.170816</v>
      </c>
      <c r="AU167" s="3">
        <f>AT167+AU141+AU170</f>
        <v>47.170816</v>
      </c>
      <c r="AV167" s="3">
        <f>AU167</f>
        <v>47.170816</v>
      </c>
      <c r="AW167" s="3">
        <f>AV167+AW141+AW170</f>
        <v>47.170816</v>
      </c>
      <c r="AX167" s="3">
        <f>AW167+AX141+AX170</f>
        <v>47.170816</v>
      </c>
      <c r="AY167" s="3">
        <f>AX167+AY141+AY170</f>
        <v>47.170816</v>
      </c>
      <c r="AZ167" s="3">
        <f>AY167+AZ141+AZ170</f>
        <v>47.170816</v>
      </c>
      <c r="BA167" s="3">
        <f>AZ167</f>
        <v>47.170816</v>
      </c>
      <c r="BB167" s="3">
        <f>BA167+BB141+BB170</f>
        <v>47.170816</v>
      </c>
      <c r="BC167" s="3">
        <f>BB167+BC141+BC170</f>
        <v>47.170816</v>
      </c>
      <c r="BD167" s="3">
        <f>BC167+BD141+BD170</f>
        <v>47.170816</v>
      </c>
      <c r="BE167" s="3">
        <f>BD167+BE141+BE170</f>
        <v>47.170816</v>
      </c>
      <c r="BF167" s="3">
        <f>BE167</f>
        <v>47.170816</v>
      </c>
      <c r="BG167" s="3">
        <f>BF167+BG141+BG170</f>
        <v>47.170816</v>
      </c>
      <c r="BH167" s="3">
        <f>BG167+BH141+BH170</f>
        <v>47.170816</v>
      </c>
      <c r="BI167" s="3">
        <f>BH167+BI141+BI170</f>
        <v>47.170816</v>
      </c>
      <c r="BJ167" s="3">
        <f>BI167+BJ141+BJ170</f>
        <v>47.170816</v>
      </c>
      <c r="BK167" s="3">
        <f>BJ167</f>
        <v>47.170816</v>
      </c>
      <c r="BL167" s="3">
        <f>BK167+BL141+BL170</f>
        <v>47.170816</v>
      </c>
      <c r="BM167" s="3">
        <f>BL167+BM141+BM170</f>
        <v>47.170816</v>
      </c>
      <c r="BN167" s="3">
        <f>BM167+BN141+BN170</f>
        <v>47.170816</v>
      </c>
      <c r="BO167" s="3">
        <f>BN167+BO141+BO170</f>
        <v>47.170816</v>
      </c>
      <c r="BP167" s="3">
        <f>BO167</f>
        <v>47.170816</v>
      </c>
      <c r="BQ167" s="3">
        <f>BP167+BQ141+BQ170</f>
        <v>47.170816</v>
      </c>
      <c r="BR167" s="3">
        <f>BQ167+BR141+BR170</f>
        <v>47.170816</v>
      </c>
      <c r="BS167" s="3">
        <f>BR167+BS141+BS170</f>
        <v>47.170816</v>
      </c>
      <c r="BT167" s="3">
        <f>BS167+BT141+BT170</f>
        <v>47.170816</v>
      </c>
      <c r="BU167" s="3">
        <f>BT167</f>
        <v>47.170816</v>
      </c>
      <c r="BV167" s="3">
        <f>BU167+BV141+BV170</f>
        <v>47.170816</v>
      </c>
      <c r="BW167" s="3">
        <f>BV167+BW141+BW170</f>
        <v>47.170816</v>
      </c>
      <c r="BX167" s="3">
        <f>BW167+BX141+BX170</f>
        <v>47.170816</v>
      </c>
      <c r="BY167" s="3">
        <f>BX167+BY141+BY170</f>
        <v>47.170816</v>
      </c>
      <c r="BZ167" s="3">
        <f>BY167</f>
        <v>47.170816</v>
      </c>
      <c r="CA167" s="3">
        <f>BZ167+CA141+CA170</f>
        <v>47.170816</v>
      </c>
      <c r="CB167" s="3">
        <f>CA167+CB141+CB170</f>
        <v>47.170816</v>
      </c>
      <c r="CC167" s="3">
        <f>CB167+CC141+CC170</f>
        <v>47.170816</v>
      </c>
      <c r="CD167" s="3">
        <f>CC167+CD141+CD170</f>
        <v>47.170816</v>
      </c>
      <c r="CE167" s="3">
        <f>CD167</f>
        <v>47.170816</v>
      </c>
      <c r="CF167" s="3">
        <f>CE167+CF141+CF170</f>
        <v>47.170816</v>
      </c>
      <c r="CG167" s="3">
        <f>CF167+CG141+CG170</f>
        <v>47.170816</v>
      </c>
      <c r="CH167" s="3">
        <f>CG167+CH141+CH170</f>
        <v>47.170816</v>
      </c>
      <c r="CI167" s="3">
        <f>CH167+CI141+CI170</f>
        <v>47.170816</v>
      </c>
      <c r="CJ167" s="3">
        <f>CI167</f>
        <v>47.170816</v>
      </c>
      <c r="CK167" s="3">
        <f>CJ167+CK141+CK170</f>
        <v>47.170816</v>
      </c>
      <c r="CL167" s="3">
        <f>CK167+CL141+CL170</f>
        <v>47.170816</v>
      </c>
      <c r="CM167" s="3">
        <f>CL167+CM141+CM170</f>
        <v>47.170816</v>
      </c>
      <c r="CN167" s="3">
        <f>CM167+CN141+CN170</f>
        <v>47.170816</v>
      </c>
      <c r="CO167" s="3">
        <f>CN167</f>
        <v>47.170816</v>
      </c>
      <c r="CP167" s="3">
        <f>CO167+CP141+CP170</f>
        <v>47.170816</v>
      </c>
      <c r="CQ167" s="3">
        <f>CP167+CQ141+CQ170</f>
        <v>47.170816</v>
      </c>
      <c r="CR167" s="3">
        <f>CQ167+CR141+CR170</f>
        <v>47.170816</v>
      </c>
      <c r="CS167" s="3">
        <f>CR167+CS141+CS170</f>
        <v>47.170816</v>
      </c>
      <c r="CT167" s="3">
        <f>CS167</f>
        <v>47.170816</v>
      </c>
      <c r="CU167" s="3">
        <f>CT167+CU141+CU170</f>
        <v>47.170816</v>
      </c>
      <c r="CV167" s="3">
        <f>CU167+CV141+CV170</f>
        <v>47.170816</v>
      </c>
      <c r="CW167" s="3">
        <f>CV167+CW141+CW170</f>
        <v>47.170816</v>
      </c>
      <c r="CX167" s="3">
        <f>CW167+CX141+CX170</f>
        <v>47.170816</v>
      </c>
      <c r="CY167" s="3">
        <f>CX167</f>
        <v>47.170816</v>
      </c>
    </row>
    <row r="168" hidden="1" outlineLevel="1">
      <c r="C168" s="34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n"/>
      <c r="CC168" s="3" t="n"/>
      <c r="CD168" s="3" t="n"/>
      <c r="CE168" s="3" t="n"/>
      <c r="CF168" s="3" t="n"/>
      <c r="CG168" s="3" t="n"/>
      <c r="CH168" s="3" t="n"/>
      <c r="CI168" s="3" t="n"/>
      <c r="CJ168" s="3" t="n"/>
      <c r="CK168" s="3" t="n"/>
      <c r="CL168" s="3" t="n"/>
      <c r="CM168" s="3" t="n"/>
      <c r="CN168" s="3" t="n"/>
      <c r="CO168" s="3" t="n"/>
      <c r="CP168" s="3" t="n"/>
      <c r="CQ168" s="3" t="n"/>
      <c r="CR168" s="3" t="n"/>
      <c r="CS168" s="3" t="n"/>
      <c r="CT168" s="3" t="n"/>
      <c r="CU168" s="3" t="n"/>
      <c r="CV168" s="3" t="n"/>
      <c r="CW168" s="3" t="n"/>
      <c r="CX168" s="3" t="n"/>
      <c r="CY168" s="3" t="n"/>
    </row>
    <row r="169" hidden="1" outlineLevel="1">
      <c r="C169" s="34" t="inlineStr">
        <is>
          <t>Equity in Income - % YoY</t>
        </is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>
        <f>IF(I141=0,0,N141/I141-1)</f>
        <v>0</v>
      </c>
      <c r="O169" s="3">
        <f>IF(J141=0,0,O141/J141-1)</f>
        <v>0</v>
      </c>
      <c r="P169" s="3">
        <f>IF(K141=0,0,P141/K141-1)</f>
        <v>0</v>
      </c>
      <c r="Q169" s="3">
        <f>IF(L141=0,0,Q141/L141-1)</f>
        <v>0</v>
      </c>
      <c r="R169" s="3" t="n"/>
      <c r="S169" s="3">
        <f>IF(N141=0,0,S141/N141-1)</f>
        <v>0</v>
      </c>
      <c r="T169" s="3">
        <f>IF(O141=0,0,T141/O141-1)</f>
        <v>0</v>
      </c>
      <c r="U169" s="3">
        <f>IF(P141=0,0,U141/P141-1)</f>
        <v>0</v>
      </c>
      <c r="V169" s="3">
        <f>IF(Q141=0,0,V141/Q141-1)</f>
        <v>0</v>
      </c>
      <c r="W169" s="3" t="n"/>
      <c r="X169" s="3">
        <f>IF(S141=0,0,X141/S141-1)</f>
        <v>0</v>
      </c>
      <c r="Y169" s="3">
        <f>IF(T141=0,0,Y141/T141-1)</f>
        <v>0</v>
      </c>
      <c r="Z169" s="3">
        <f>IF(U141=0,0,Z141/U141-1)</f>
        <v>0</v>
      </c>
      <c r="AA169" s="3">
        <f>IF(V141=0,0,AA141/V141-1)</f>
        <v>0</v>
      </c>
      <c r="AB169" s="3" t="n"/>
      <c r="AC169" s="3">
        <f>IF(X141=0,0,AC141/X141-1)</f>
        <v>0</v>
      </c>
      <c r="AD169" s="3">
        <f>IF(Y141=0,0,AD141/Y141-1)</f>
        <v>0</v>
      </c>
      <c r="AE169" s="3">
        <f>IF(Z141=0,0,AE141/Z141-1)</f>
        <v>0</v>
      </c>
      <c r="AF169" s="3">
        <f>IF(AA141=0,0,AF141/AA141-1)</f>
        <v>0</v>
      </c>
      <c r="AG169" s="3" t="n"/>
      <c r="AH169" s="6">
        <f>IF(AC141=0,0,AH141/AC141-1)</f>
        <v>0</v>
      </c>
      <c r="AI169" s="6">
        <f>IF(AD141=0,0,AI141/AD141-1)</f>
        <v>0</v>
      </c>
      <c r="AJ169" s="6" t="n"/>
      <c r="AK169" s="6" t="n"/>
      <c r="AL169" s="3" t="n"/>
      <c r="AM169" s="6" t="n"/>
      <c r="AN169" s="6" t="n"/>
      <c r="AO169" s="6" t="n"/>
      <c r="AP169" s="6" t="n"/>
      <c r="AQ169" s="3" t="n"/>
      <c r="AR169" s="6" t="n"/>
      <c r="AS169" s="6" t="n"/>
      <c r="AT169" s="6" t="n"/>
      <c r="AU169" s="6" t="n"/>
      <c r="AV169" s="3" t="n"/>
      <c r="AW169" s="6" t="n"/>
      <c r="AX169" s="6" t="n"/>
      <c r="AY169" s="6" t="n"/>
      <c r="AZ169" s="6" t="n"/>
      <c r="BA169" s="3" t="n"/>
      <c r="BB169" s="6" t="n"/>
      <c r="BC169" s="6" t="n"/>
      <c r="BD169" s="6" t="n"/>
      <c r="BE169" s="6" t="n"/>
      <c r="BF169" s="3" t="n"/>
      <c r="BG169" s="6" t="n"/>
      <c r="BH169" s="6" t="n"/>
      <c r="BI169" s="6" t="n"/>
      <c r="BJ169" s="6" t="n"/>
      <c r="BK169" s="3" t="n"/>
      <c r="BL169" s="6" t="n"/>
      <c r="BM169" s="6" t="n"/>
      <c r="BN169" s="6" t="n"/>
      <c r="BO169" s="6" t="n"/>
      <c r="BP169" s="3" t="n"/>
      <c r="BQ169" s="6" t="n"/>
      <c r="BR169" s="6" t="n"/>
      <c r="BS169" s="6" t="n"/>
      <c r="BT169" s="6" t="n"/>
      <c r="BU169" s="3" t="n"/>
      <c r="BV169" s="6" t="n"/>
      <c r="BW169" s="6" t="n"/>
      <c r="BX169" s="6" t="n"/>
      <c r="BY169" s="6" t="n"/>
      <c r="BZ169" s="3" t="n"/>
      <c r="CA169" s="6" t="n"/>
      <c r="CB169" s="6" t="n"/>
      <c r="CC169" s="6" t="n"/>
      <c r="CD169" s="6" t="n"/>
      <c r="CE169" s="3" t="n"/>
      <c r="CF169" s="6" t="n"/>
      <c r="CG169" s="6" t="n"/>
      <c r="CH169" s="6" t="n"/>
      <c r="CI169" s="6" t="n"/>
      <c r="CJ169" s="3" t="n"/>
      <c r="CK169" s="6" t="n"/>
      <c r="CL169" s="6" t="n"/>
      <c r="CM169" s="6" t="n"/>
      <c r="CN169" s="6" t="n"/>
      <c r="CO169" s="3" t="n"/>
      <c r="CP169" s="6" t="n"/>
      <c r="CQ169" s="6" t="n"/>
      <c r="CR169" s="6" t="n"/>
      <c r="CS169" s="6" t="n"/>
      <c r="CT169" s="3" t="n"/>
      <c r="CU169" s="6" t="n"/>
      <c r="CV169" s="6" t="n"/>
      <c r="CW169" s="6" t="n"/>
      <c r="CX169" s="6" t="n"/>
      <c r="CY169" s="3" t="n"/>
    </row>
    <row r="170" hidden="1" outlineLevel="1">
      <c r="C170" s="34" t="inlineStr">
        <is>
          <t>Dividends (enter as -)</t>
        </is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6" t="n"/>
      <c r="AI170" s="6" t="n"/>
      <c r="AJ170" s="6" t="n"/>
      <c r="AK170" s="6" t="n"/>
      <c r="AL170" s="3" t="n"/>
      <c r="AM170" s="6" t="n"/>
      <c r="AN170" s="6" t="n"/>
      <c r="AO170" s="6" t="n"/>
      <c r="AP170" s="6" t="n"/>
      <c r="AQ170" s="3" t="n"/>
      <c r="AR170" s="6" t="n"/>
      <c r="AS170" s="6" t="n"/>
      <c r="AT170" s="6" t="n"/>
      <c r="AU170" s="6" t="n"/>
      <c r="AV170" s="3" t="n"/>
      <c r="AW170" s="6" t="n"/>
      <c r="AX170" s="6" t="n"/>
      <c r="AY170" s="6" t="n"/>
      <c r="AZ170" s="6" t="n"/>
      <c r="BA170" s="3" t="n"/>
      <c r="BB170" s="6" t="n"/>
      <c r="BC170" s="6" t="n"/>
      <c r="BD170" s="6" t="n"/>
      <c r="BE170" s="6" t="n"/>
      <c r="BF170" s="3" t="n"/>
      <c r="BG170" s="6" t="n"/>
      <c r="BH170" s="6" t="n"/>
      <c r="BI170" s="6" t="n"/>
      <c r="BJ170" s="6" t="n"/>
      <c r="BK170" s="3" t="n"/>
      <c r="BL170" s="6" t="n"/>
      <c r="BM170" s="6" t="n"/>
      <c r="BN170" s="6" t="n"/>
      <c r="BO170" s="6" t="n"/>
      <c r="BP170" s="3" t="n"/>
      <c r="BQ170" s="6" t="n"/>
      <c r="BR170" s="6" t="n"/>
      <c r="BS170" s="6" t="n"/>
      <c r="BT170" s="6" t="n"/>
      <c r="BU170" s="3" t="n"/>
      <c r="BV170" s="6" t="n"/>
      <c r="BW170" s="6" t="n"/>
      <c r="BX170" s="6" t="n"/>
      <c r="BY170" s="6" t="n"/>
      <c r="BZ170" s="3" t="n"/>
      <c r="CA170" s="6" t="n"/>
      <c r="CB170" s="6" t="n"/>
      <c r="CC170" s="6" t="n"/>
      <c r="CD170" s="6" t="n"/>
      <c r="CE170" s="3" t="n"/>
      <c r="CF170" s="6" t="n"/>
      <c r="CG170" s="6" t="n"/>
      <c r="CH170" s="6" t="n"/>
      <c r="CI170" s="6" t="n"/>
      <c r="CJ170" s="3" t="n"/>
      <c r="CK170" s="6" t="n"/>
      <c r="CL170" s="6" t="n"/>
      <c r="CM170" s="6" t="n"/>
      <c r="CN170" s="6" t="n"/>
      <c r="CO170" s="3" t="n"/>
      <c r="CP170" s="6" t="n"/>
      <c r="CQ170" s="6" t="n"/>
      <c r="CR170" s="6" t="n"/>
      <c r="CS170" s="6" t="n"/>
      <c r="CT170" s="3" t="n"/>
      <c r="CU170" s="6" t="n"/>
      <c r="CV170" s="6" t="n"/>
      <c r="CW170" s="6" t="n"/>
      <c r="CX170" s="6" t="n"/>
      <c r="CY170" s="3" t="n"/>
    </row>
    <row r="171" hidden="1" outlineLevel="1">
      <c r="C171" s="34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n"/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/>
      <c r="CB171" s="3" t="n"/>
      <c r="CC171" s="3" t="n"/>
      <c r="CD171" s="3" t="n"/>
      <c r="CE171" s="3" t="n"/>
      <c r="CF171" s="3" t="n"/>
      <c r="CG171" s="3" t="n"/>
      <c r="CH171" s="3" t="n"/>
      <c r="CI171" s="3" t="n"/>
      <c r="CJ171" s="3" t="n"/>
      <c r="CK171" s="3" t="n"/>
      <c r="CL171" s="3" t="n"/>
      <c r="CM171" s="3" t="n"/>
      <c r="CN171" s="3" t="n"/>
      <c r="CO171" s="3" t="n"/>
      <c r="CP171" s="3" t="n"/>
      <c r="CQ171" s="3" t="n"/>
      <c r="CR171" s="3" t="n"/>
      <c r="CS171" s="3" t="n"/>
      <c r="CT171" s="3" t="n"/>
      <c r="CU171" s="3" t="n"/>
      <c r="CV171" s="3" t="n"/>
      <c r="CW171" s="3" t="n"/>
      <c r="CX171" s="3" t="n"/>
      <c r="CY171" s="3" t="n"/>
    </row>
    <row r="172" collapsed="1">
      <c r="C172" s="26" t="inlineStr">
        <is>
          <t>PP&amp;E</t>
        </is>
      </c>
      <c r="D172" s="25">
        <f>INDEX('Inputs (2)'!$D$22:$AL$22,MATCH(D$7,'Inputs (2)'!$D$2:$AL$2,0))</f>
        <v>9877.70591238</v>
      </c>
      <c r="E172" s="25">
        <f>INDEX('Inputs (2)'!$D$22:$AL$22,MATCH(E$7,'Inputs (2)'!$D$2:$AL$2,0))</f>
        <v>9399.24950746</v>
      </c>
      <c r="F172" s="25">
        <f>INDEX('Inputs (2)'!$D$22:$AL$22,MATCH(F$7,'Inputs (2)'!$D$2:$AL$2,0))</f>
        <v>10164.08170551</v>
      </c>
      <c r="G172" s="25">
        <f>INDEX('Inputs (2)'!$D$22:$AL$22,MATCH(G$7,'Inputs (2)'!$D$2:$AL$2,0))</f>
        <v>11747.476</v>
      </c>
      <c r="H172" s="3">
        <f>G172</f>
        <v>11747.476</v>
      </c>
      <c r="I172" s="25">
        <f>INDEX('Inputs (2)'!$D$22:$AL$22,MATCH(I$7,'Inputs (2)'!$D$2:$AL$2,0))</f>
        <v>12745.105</v>
      </c>
      <c r="J172" s="25">
        <f>INDEX('Inputs (2)'!$D$22:$AL$22,MATCH(J$7,'Inputs (2)'!$D$2:$AL$2,0))</f>
        <v>15023.583</v>
      </c>
      <c r="K172" s="25">
        <f>INDEX('Inputs (2)'!$D$22:$AL$22,MATCH(K$7,'Inputs (2)'!$D$2:$AL$2,0))</f>
        <v>17425.606</v>
      </c>
      <c r="L172" s="25">
        <f>INDEX('Inputs (2)'!$D$22:$AL$22,MATCH(L$7,'Inputs (2)'!$D$2:$AL$2,0))</f>
        <v>21567.72</v>
      </c>
      <c r="M172" s="3">
        <f>L172</f>
        <v>21567.72</v>
      </c>
      <c r="N172" s="25">
        <f>INDEX('Inputs (2)'!$D$22:$AL$22,MATCH(N$7,'Inputs (2)'!$D$2:$AL$2,0))</f>
        <v>23807.944</v>
      </c>
      <c r="O172" s="25">
        <f>INDEX('Inputs (2)'!$D$22:$AL$22,MATCH(O$7,'Inputs (2)'!$D$2:$AL$2,0))</f>
        <v>27512.254</v>
      </c>
      <c r="P172" s="25">
        <f>INDEX('Inputs (2)'!$D$22:$AL$22,MATCH(P$7,'Inputs (2)'!$D$2:$AL$2,0))</f>
        <v>30582.589</v>
      </c>
      <c r="Q172" s="25">
        <f>INDEX('Inputs (2)'!$D$22:$AL$22,MATCH(Q$7,'Inputs (2)'!$D$2:$AL$2,0))</f>
        <v>34130.983</v>
      </c>
      <c r="R172" s="3">
        <f>Q172</f>
        <v>34130.983</v>
      </c>
      <c r="S172" s="25">
        <f>INDEX('Inputs (2)'!$D$22:$AL$22,MATCH(S$7,'Inputs (2)'!$D$2:$AL$2,0))</f>
        <v>34225.4822161548</v>
      </c>
      <c r="T172" s="25">
        <f>INDEX('Inputs (2)'!$D$22:$AL$22,MATCH(T$7,'Inputs (2)'!$D$2:$AL$2,0))</f>
        <v>34978.6827177192</v>
      </c>
      <c r="U172" s="25">
        <f>INDEX('Inputs (2)'!$D$22:$AL$22,MATCH(U$7,'Inputs (2)'!$D$2:$AL$2,0))</f>
        <v>36138.9158371207</v>
      </c>
      <c r="V172" s="25">
        <f>INDEX('Inputs (2)'!$D$22:$AL$22,MATCH(V$7,'Inputs (2)'!$D$2:$AL$2,0))</f>
        <v>39826.1619453597</v>
      </c>
      <c r="W172" s="3">
        <f>V172</f>
        <v>39826.1619453597</v>
      </c>
      <c r="X172" s="25">
        <f>INDEX('Inputs (2)'!$D$22:$AL$22,MATCH(X$7,'Inputs (2)'!$D$2:$AL$2,0))</f>
        <v>41091.2283008298</v>
      </c>
      <c r="Y172" s="25">
        <f>INDEX('Inputs (2)'!$D$22:$AL$22,MATCH(Y$7,'Inputs (2)'!$D$2:$AL$2,0))</f>
        <v>42196.6139310797</v>
      </c>
      <c r="Z172" s="25">
        <f>INDEX('Inputs (2)'!$D$22:$AL$22,MATCH(Z$7,'Inputs (2)'!$D$2:$AL$2,0))</f>
        <v>42975.0078185287</v>
      </c>
      <c r="AA172" s="25">
        <f>INDEX('Inputs (2)'!$D$22:$AL$22,MATCH(AA$7,'Inputs (2)'!$D$2:$AL$2,0))</f>
        <v>45618.21326671</v>
      </c>
      <c r="AB172" s="3">
        <f>AA172</f>
        <v>45618.21326671</v>
      </c>
      <c r="AC172" s="25">
        <f>INDEX('Inputs (2)'!$D$22:$AL$22,MATCH(AC$7,'Inputs (2)'!$D$2:$AL$2,0))</f>
        <v>44794.68291003</v>
      </c>
      <c r="AD172" s="25">
        <f>INDEX('Inputs (2)'!$D$22:$AL$22,MATCH(AD$7,'Inputs (2)'!$D$2:$AL$2,0))</f>
        <v>45294.24820465</v>
      </c>
      <c r="AE172" s="25">
        <f>INDEX('Inputs (2)'!$D$22:$AL$22,MATCH(AE$7,'Inputs (2)'!$D$2:$AL$2,0))</f>
        <v>45456.94628539</v>
      </c>
      <c r="AF172" s="25">
        <f>INDEX('Inputs (2)'!$D$22:$AL$22,MATCH(AF$7,'Inputs (2)'!$D$2:$AL$2,0))</f>
        <v>47862.56933573</v>
      </c>
      <c r="AG172" s="3">
        <f>AF172</f>
        <v>47862.56933573</v>
      </c>
      <c r="AH172" s="3">
        <f>INDEX('Inputs (2)'!$D$22:$AL$22,MATCH(AH$7,'Inputs (2)'!$D$2:$AL$2,0))</f>
        <v>46426.00572838</v>
      </c>
      <c r="AI172" s="3">
        <f>INDEX('Inputs (2)'!$D$22:$AL$22,MATCH(AI$7,'Inputs (2)'!$D$2:$AL$2,0))</f>
        <v>48115.27756408</v>
      </c>
      <c r="AJ172" s="3">
        <f>AJ177</f>
        <v>48115.27756408</v>
      </c>
      <c r="AK172" s="3">
        <f>AK177</f>
        <v>48115.27756408</v>
      </c>
      <c r="AL172" s="3">
        <f>AK172</f>
        <v>48115.27756408</v>
      </c>
      <c r="AM172" s="3">
        <f>AM177</f>
        <v>48115.27756408</v>
      </c>
      <c r="AN172" s="3">
        <f>AN177</f>
        <v>48115.27756408</v>
      </c>
      <c r="AO172" s="3">
        <f>AO177</f>
        <v>48115.27756408</v>
      </c>
      <c r="AP172" s="3">
        <f>AP177</f>
        <v>48115.27756408</v>
      </c>
      <c r="AQ172" s="3">
        <f>AP172</f>
        <v>48115.27756408</v>
      </c>
      <c r="AR172" s="3">
        <f>AR177</f>
        <v>48115.27756408</v>
      </c>
      <c r="AS172" s="3">
        <f>AS177</f>
        <v>48115.27756408</v>
      </c>
      <c r="AT172" s="3">
        <f>AT177</f>
        <v>48115.27756408</v>
      </c>
      <c r="AU172" s="3">
        <f>AU177</f>
        <v>48115.27756408</v>
      </c>
      <c r="AV172" s="3">
        <f>AU172</f>
        <v>48115.27756408</v>
      </c>
      <c r="AW172" s="3">
        <f>AW177</f>
        <v>48115.27756408</v>
      </c>
      <c r="AX172" s="3">
        <f>AX177</f>
        <v>48115.27756408</v>
      </c>
      <c r="AY172" s="3">
        <f>AY177</f>
        <v>48115.27756408</v>
      </c>
      <c r="AZ172" s="3">
        <f>AZ177</f>
        <v>48115.27756408</v>
      </c>
      <c r="BA172" s="3">
        <f>AZ172</f>
        <v>48115.27756408</v>
      </c>
      <c r="BB172" s="3">
        <f>BB177</f>
        <v>48115.27756408</v>
      </c>
      <c r="BC172" s="3">
        <f>BC177</f>
        <v>48115.27756408</v>
      </c>
      <c r="BD172" s="3">
        <f>BD177</f>
        <v>48115.27756408</v>
      </c>
      <c r="BE172" s="3">
        <f>BE177</f>
        <v>48115.27756408</v>
      </c>
      <c r="BF172" s="3">
        <f>BE172</f>
        <v>48115.27756408</v>
      </c>
      <c r="BG172" s="3">
        <f>BG177</f>
        <v>48115.27756408</v>
      </c>
      <c r="BH172" s="3">
        <f>BH177</f>
        <v>48115.27756408</v>
      </c>
      <c r="BI172" s="3">
        <f>BI177</f>
        <v>48115.27756408</v>
      </c>
      <c r="BJ172" s="3">
        <f>BJ177</f>
        <v>48115.27756408</v>
      </c>
      <c r="BK172" s="3">
        <f>BJ172</f>
        <v>48115.27756408</v>
      </c>
      <c r="BL172" s="3">
        <f>BL177</f>
        <v>48115.27756408</v>
      </c>
      <c r="BM172" s="3">
        <f>BM177</f>
        <v>48115.27756408</v>
      </c>
      <c r="BN172" s="3">
        <f>BN177</f>
        <v>48115.27756408</v>
      </c>
      <c r="BO172" s="3">
        <f>BO177</f>
        <v>48115.27756408</v>
      </c>
      <c r="BP172" s="3">
        <f>BO172</f>
        <v>48115.27756408</v>
      </c>
      <c r="BQ172" s="3">
        <f>BQ177</f>
        <v>48115.27756408</v>
      </c>
      <c r="BR172" s="3">
        <f>BR177</f>
        <v>48115.27756408</v>
      </c>
      <c r="BS172" s="3">
        <f>BS177</f>
        <v>48115.27756408</v>
      </c>
      <c r="BT172" s="3">
        <f>BT177</f>
        <v>48115.27756408</v>
      </c>
      <c r="BU172" s="3">
        <f>BT172</f>
        <v>48115.27756408</v>
      </c>
      <c r="BV172" s="3">
        <f>BV177</f>
        <v>48115.27756408</v>
      </c>
      <c r="BW172" s="3">
        <f>BW177</f>
        <v>48115.27756408</v>
      </c>
      <c r="BX172" s="3">
        <f>BX177</f>
        <v>48115.27756408</v>
      </c>
      <c r="BY172" s="3">
        <f>BY177</f>
        <v>48115.27756408</v>
      </c>
      <c r="BZ172" s="3">
        <f>BY172</f>
        <v>48115.27756408</v>
      </c>
      <c r="CA172" s="3">
        <f>CA177</f>
        <v>48115.27756408</v>
      </c>
      <c r="CB172" s="3">
        <f>CB177</f>
        <v>48115.27756408</v>
      </c>
      <c r="CC172" s="3">
        <f>CC177</f>
        <v>48115.27756408</v>
      </c>
      <c r="CD172" s="3">
        <f>CD177</f>
        <v>48115.27756408</v>
      </c>
      <c r="CE172" s="3">
        <f>CD172</f>
        <v>48115.27756408</v>
      </c>
      <c r="CF172" s="3">
        <f>CF177</f>
        <v>48115.27756408</v>
      </c>
      <c r="CG172" s="3">
        <f>CG177</f>
        <v>48115.27756408</v>
      </c>
      <c r="CH172" s="3">
        <f>CH177</f>
        <v>48115.27756408</v>
      </c>
      <c r="CI172" s="3">
        <f>CI177</f>
        <v>48115.27756408</v>
      </c>
      <c r="CJ172" s="3">
        <f>CI172</f>
        <v>48115.27756408</v>
      </c>
      <c r="CK172" s="3">
        <f>CK177</f>
        <v>48115.27756408</v>
      </c>
      <c r="CL172" s="3">
        <f>CL177</f>
        <v>48115.27756408</v>
      </c>
      <c r="CM172" s="3">
        <f>CM177</f>
        <v>48115.27756408</v>
      </c>
      <c r="CN172" s="3">
        <f>CN177</f>
        <v>48115.27756408</v>
      </c>
      <c r="CO172" s="3">
        <f>CN172</f>
        <v>48115.27756408</v>
      </c>
      <c r="CP172" s="3">
        <f>CP177</f>
        <v>48115.27756408</v>
      </c>
      <c r="CQ172" s="3">
        <f>CQ177</f>
        <v>48115.27756408</v>
      </c>
      <c r="CR172" s="3">
        <f>CR177</f>
        <v>48115.27756408</v>
      </c>
      <c r="CS172" s="3">
        <f>CS177</f>
        <v>48115.27756408</v>
      </c>
      <c r="CT172" s="3">
        <f>CS172</f>
        <v>48115.27756408</v>
      </c>
      <c r="CU172" s="3">
        <f>CU177</f>
        <v>48115.27756408</v>
      </c>
      <c r="CV172" s="3">
        <f>CV177</f>
        <v>48115.27756408</v>
      </c>
      <c r="CW172" s="3">
        <f>CW177</f>
        <v>48115.27756408</v>
      </c>
      <c r="CX172" s="3">
        <f>CX177</f>
        <v>48115.27756408</v>
      </c>
      <c r="CY172" s="3">
        <f>CX172</f>
        <v>48115.27756408</v>
      </c>
    </row>
    <row r="173" hidden="1" outlineLevel="1">
      <c r="C173" s="34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n"/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/>
      <c r="CB173" s="3" t="n"/>
      <c r="CC173" s="3" t="n"/>
      <c r="CD173" s="3" t="n"/>
      <c r="CE173" s="3" t="n"/>
      <c r="CF173" s="3" t="n"/>
      <c r="CG173" s="3" t="n"/>
      <c r="CH173" s="3" t="n"/>
      <c r="CI173" s="3" t="n"/>
      <c r="CJ173" s="3" t="n"/>
      <c r="CK173" s="3" t="n"/>
      <c r="CL173" s="3" t="n"/>
      <c r="CM173" s="3" t="n"/>
      <c r="CN173" s="3" t="n"/>
      <c r="CO173" s="3" t="n"/>
      <c r="CP173" s="3" t="n"/>
      <c r="CQ173" s="3" t="n"/>
      <c r="CR173" s="3" t="n"/>
      <c r="CS173" s="3" t="n"/>
      <c r="CT173" s="3" t="n"/>
      <c r="CU173" s="3" t="n"/>
      <c r="CV173" s="3" t="n"/>
      <c r="CW173" s="3" t="n"/>
      <c r="CX173" s="3" t="n"/>
      <c r="CY173" s="3" t="n"/>
    </row>
    <row r="174" hidden="1" outlineLevel="1">
      <c r="C174" s="34" t="inlineStr">
        <is>
          <t>Capital expenditures</t>
        </is>
      </c>
      <c r="D174" s="3" t="n"/>
      <c r="E174" s="3">
        <f>E172-D172-E76</f>
        <v>-206.54660493</v>
      </c>
      <c r="F174" s="3">
        <f>F172-E172-F76</f>
        <v>1055.08353600755</v>
      </c>
      <c r="G174" s="3">
        <f>G172-F172-G76</f>
        <v>1857.50188799097</v>
      </c>
      <c r="H174" s="3" t="n"/>
      <c r="I174" s="3">
        <f>I172-H172-I76</f>
        <v>1214.678</v>
      </c>
      <c r="J174" s="3">
        <f>J172-I172-J76</f>
        <v>2519.91227830225</v>
      </c>
      <c r="K174" s="3">
        <f>K172-J172-K76</f>
        <v>2677.86236638652</v>
      </c>
      <c r="L174" s="3">
        <f>L172-K172-L76</f>
        <v>4466.90635795357</v>
      </c>
      <c r="M174" s="3" t="n"/>
      <c r="N174" s="3">
        <f>N172-M172-N76</f>
        <v>2617.717</v>
      </c>
      <c r="O174" s="3">
        <f>O172-N172-O76</f>
        <v>4120.5177974237</v>
      </c>
      <c r="P174" s="3">
        <f>P172-O172-P76</f>
        <v>3580.40030592752</v>
      </c>
      <c r="Q174" s="3">
        <f>Q172-P172-Q76</f>
        <v>4130.90489664877</v>
      </c>
      <c r="R174" s="3" t="n"/>
      <c r="S174" s="3">
        <f>S172-R172-S76</f>
        <v>741.25900100512</v>
      </c>
      <c r="T174" s="3">
        <f>T172-S172-T76</f>
        <v>1432.58649804112</v>
      </c>
      <c r="U174" s="3">
        <f>U172-T172-U76</f>
        <v>1877.31412610111</v>
      </c>
      <c r="V174" s="3">
        <f>V172-U172-V76</f>
        <v>4747.971952712</v>
      </c>
      <c r="W174" s="3" t="n"/>
      <c r="X174" s="3">
        <f>X172-W172-X76</f>
        <v>2087.04612481014</v>
      </c>
      <c r="Y174" s="3">
        <f>Y172-X172-Y76</f>
        <v>2003.0288523899</v>
      </c>
      <c r="Z174" s="3">
        <f>Z172-Y172-Z76</f>
        <v>1775.58841639891</v>
      </c>
      <c r="AA174" s="3">
        <f>AA172-Z172-AA76</f>
        <v>3617.50781810135</v>
      </c>
      <c r="AB174" s="3" t="n"/>
      <c r="AC174" s="3">
        <f>AC172-AB172-AC76</f>
        <v>228.882905149986</v>
      </c>
      <c r="AD174" s="3">
        <f>AD172-AC172-AD76</f>
        <v>1618.50619430001</v>
      </c>
      <c r="AE174" s="3">
        <f>AE172-AD172-AE76</f>
        <v>1334.76005449</v>
      </c>
      <c r="AF174" s="6">
        <f>AF172-AE172-AF76</f>
        <v>3603.59271888999</v>
      </c>
      <c r="AG174" s="3">
        <f>SUM(AC174:AF174)</f>
        <v>6785.74187282999</v>
      </c>
      <c r="AH174" s="6">
        <f>AH172-AG172-AH76</f>
        <v>-196.637070819983</v>
      </c>
      <c r="AI174" s="6">
        <f>AI172-AH172-AI76</f>
        <v>2942.82597959999</v>
      </c>
      <c r="AJ174" s="6" t="n"/>
      <c r="AK174" s="6" t="n"/>
      <c r="AL174" s="3" t="n"/>
      <c r="AM174" s="6" t="n"/>
      <c r="AN174" s="6" t="n"/>
      <c r="AO174" s="6" t="n"/>
      <c r="AP174" s="6" t="n"/>
      <c r="AQ174" s="3" t="n"/>
      <c r="AR174" s="6" t="n"/>
      <c r="AS174" s="6" t="n"/>
      <c r="AT174" s="6" t="n"/>
      <c r="AU174" s="6" t="n"/>
      <c r="AV174" s="3" t="n"/>
      <c r="AW174" s="6" t="n"/>
      <c r="AX174" s="6" t="n"/>
      <c r="AY174" s="6" t="n"/>
      <c r="AZ174" s="6" t="n"/>
      <c r="BA174" s="3" t="n"/>
      <c r="BB174" s="6" t="n"/>
      <c r="BC174" s="6" t="n"/>
      <c r="BD174" s="6" t="n"/>
      <c r="BE174" s="6" t="n"/>
      <c r="BF174" s="3" t="n"/>
      <c r="BG174" s="6" t="n"/>
      <c r="BH174" s="6" t="n"/>
      <c r="BI174" s="6" t="n"/>
      <c r="BJ174" s="6" t="n"/>
      <c r="BK174" s="3" t="n"/>
      <c r="BL174" s="6" t="n"/>
      <c r="BM174" s="6" t="n"/>
      <c r="BN174" s="6" t="n"/>
      <c r="BO174" s="6" t="n"/>
      <c r="BP174" s="3" t="n"/>
      <c r="BQ174" s="6" t="n"/>
      <c r="BR174" s="6" t="n"/>
      <c r="BS174" s="6" t="n"/>
      <c r="BT174" s="6" t="n"/>
      <c r="BU174" s="3" t="n"/>
      <c r="BV174" s="6" t="n"/>
      <c r="BW174" s="6" t="n"/>
      <c r="BX174" s="6" t="n"/>
      <c r="BY174" s="6" t="n"/>
      <c r="BZ174" s="3" t="n"/>
      <c r="CA174" s="6" t="n"/>
      <c r="CB174" s="6" t="n"/>
      <c r="CC174" s="6" t="n"/>
      <c r="CD174" s="6" t="n"/>
      <c r="CE174" s="3" t="n"/>
      <c r="CF174" s="6" t="n"/>
      <c r="CG174" s="6" t="n"/>
      <c r="CH174" s="6" t="n"/>
      <c r="CI174" s="6" t="n"/>
      <c r="CJ174" s="3" t="n"/>
      <c r="CK174" s="6" t="n"/>
      <c r="CL174" s="6" t="n"/>
      <c r="CM174" s="6" t="n"/>
      <c r="CN174" s="6" t="n"/>
      <c r="CO174" s="3" t="n"/>
      <c r="CP174" s="6" t="n"/>
      <c r="CQ174" s="6" t="n"/>
      <c r="CR174" s="6" t="n"/>
      <c r="CS174" s="6" t="n"/>
      <c r="CT174" s="3" t="n"/>
      <c r="CU174" s="6" t="n"/>
      <c r="CV174" s="6" t="n"/>
      <c r="CW174" s="6" t="n"/>
      <c r="CX174" s="6" t="n"/>
      <c r="CY174" s="3" t="n"/>
    </row>
    <row r="175" hidden="1" outlineLevel="1">
      <c r="C175" s="34" t="inlineStr">
        <is>
          <t>Recurring asset sales (enter as -)</t>
        </is>
      </c>
      <c r="D175" s="3" t="n"/>
      <c r="E175" s="3" t="n"/>
      <c r="F175" s="3" t="n"/>
      <c r="G175" s="3" t="n"/>
      <c r="H175" s="3">
        <f>SUM(D175:G175)</f>
        <v>0</v>
      </c>
      <c r="I175" s="3" t="n"/>
      <c r="J175" s="3" t="n"/>
      <c r="K175" s="3" t="n"/>
      <c r="L175" s="3" t="n"/>
      <c r="M175" s="3">
        <f>SUM(I175:L175)</f>
        <v>0</v>
      </c>
      <c r="N175" s="3" t="n"/>
      <c r="O175" s="3" t="n"/>
      <c r="P175" s="3" t="n"/>
      <c r="Q175" s="3" t="n"/>
      <c r="R175" s="3">
        <f>SUM(N175:Q175)</f>
        <v>0</v>
      </c>
      <c r="S175" s="3" t="n"/>
      <c r="T175" s="3" t="n"/>
      <c r="U175" s="3" t="n"/>
      <c r="V175" s="3" t="n"/>
      <c r="W175" s="3">
        <f>SUM(S175:V175)</f>
        <v>0</v>
      </c>
      <c r="X175" s="3" t="n"/>
      <c r="Y175" s="3" t="n"/>
      <c r="Z175" s="3" t="n"/>
      <c r="AA175" s="3" t="n"/>
      <c r="AB175" s="3">
        <f>SUM(X175:AA175)</f>
        <v>0</v>
      </c>
      <c r="AC175" s="3" t="n"/>
      <c r="AD175" s="3" t="n"/>
      <c r="AE175" s="3" t="n"/>
      <c r="AF175" s="6" t="n"/>
      <c r="AG175" s="3" t="n"/>
      <c r="AH175" s="6" t="n"/>
      <c r="AI175" s="6" t="n"/>
      <c r="AJ175" s="6" t="n"/>
      <c r="AK175" s="6" t="n"/>
      <c r="AL175" s="3" t="n"/>
      <c r="AM175" s="6" t="n"/>
      <c r="AN175" s="6" t="n"/>
      <c r="AO175" s="6" t="n"/>
      <c r="AP175" s="6" t="n"/>
      <c r="AQ175" s="3" t="n"/>
      <c r="AR175" s="6" t="n"/>
      <c r="AS175" s="6" t="n"/>
      <c r="AT175" s="6" t="n"/>
      <c r="AU175" s="6" t="n"/>
      <c r="AV175" s="3" t="n"/>
      <c r="AW175" s="6" t="n"/>
      <c r="AX175" s="6" t="n"/>
      <c r="AY175" s="6" t="n"/>
      <c r="AZ175" s="6" t="n"/>
      <c r="BA175" s="3" t="n"/>
      <c r="BB175" s="6" t="n"/>
      <c r="BC175" s="6" t="n"/>
      <c r="BD175" s="6" t="n"/>
      <c r="BE175" s="6" t="n"/>
      <c r="BF175" s="3" t="n"/>
      <c r="BG175" s="6" t="n"/>
      <c r="BH175" s="6" t="n"/>
      <c r="BI175" s="6" t="n"/>
      <c r="BJ175" s="6" t="n"/>
      <c r="BK175" s="3" t="n"/>
      <c r="BL175" s="6" t="n"/>
      <c r="BM175" s="6" t="n"/>
      <c r="BN175" s="6" t="n"/>
      <c r="BO175" s="6" t="n"/>
      <c r="BP175" s="3" t="n"/>
      <c r="BQ175" s="6" t="n"/>
      <c r="BR175" s="6" t="n"/>
      <c r="BS175" s="6" t="n"/>
      <c r="BT175" s="6" t="n"/>
      <c r="BU175" s="3" t="n"/>
      <c r="BV175" s="6" t="n"/>
      <c r="BW175" s="6" t="n"/>
      <c r="BX175" s="6" t="n"/>
      <c r="BY175" s="6" t="n"/>
      <c r="BZ175" s="3" t="n"/>
      <c r="CA175" s="6" t="n"/>
      <c r="CB175" s="6" t="n"/>
      <c r="CC175" s="6" t="n"/>
      <c r="CD175" s="6" t="n"/>
      <c r="CE175" s="3" t="n"/>
      <c r="CF175" s="6" t="n"/>
      <c r="CG175" s="6" t="n"/>
      <c r="CH175" s="6" t="n"/>
      <c r="CI175" s="6" t="n"/>
      <c r="CJ175" s="3" t="n"/>
      <c r="CK175" s="6" t="n"/>
      <c r="CL175" s="6" t="n"/>
      <c r="CM175" s="6" t="n"/>
      <c r="CN175" s="6" t="n"/>
      <c r="CO175" s="3" t="n"/>
      <c r="CP175" s="6" t="n"/>
      <c r="CQ175" s="6" t="n"/>
      <c r="CR175" s="6" t="n"/>
      <c r="CS175" s="6" t="n"/>
      <c r="CT175" s="3" t="n"/>
      <c r="CU175" s="6" t="n"/>
      <c r="CV175" s="6" t="n"/>
      <c r="CW175" s="6" t="n"/>
      <c r="CX175" s="6" t="n"/>
      <c r="CY175" s="3" t="n"/>
    </row>
    <row r="176" hidden="1" outlineLevel="1">
      <c r="C176" s="34" t="inlineStr">
        <is>
          <t>Depreciation</t>
        </is>
      </c>
      <c r="D176" s="3">
        <f>D76</f>
        <v>-275.68271341</v>
      </c>
      <c r="E176" s="3">
        <f>E76</f>
        <v>-271.90979999</v>
      </c>
      <c r="F176" s="3">
        <f>F76</f>
        <v>-290.25133795755</v>
      </c>
      <c r="G176" s="3">
        <f>G76</f>
        <v>-274.107593500965</v>
      </c>
      <c r="H176" s="3" t="n"/>
      <c r="I176" s="3">
        <f>I76</f>
        <v>-217.049</v>
      </c>
      <c r="J176" s="3">
        <f>J76</f>
        <v>-241.434278302253</v>
      </c>
      <c r="K176" s="3">
        <f>K76</f>
        <v>-275.839366386516</v>
      </c>
      <c r="L176" s="3">
        <f>L76</f>
        <v>-324.792357953573</v>
      </c>
      <c r="M176" s="3" t="n"/>
      <c r="N176" s="3">
        <f>N76</f>
        <v>-377.493</v>
      </c>
      <c r="O176" s="3">
        <f>O76</f>
        <v>-416.207797423699</v>
      </c>
      <c r="P176" s="3">
        <f>P76</f>
        <v>-510.065305927525</v>
      </c>
      <c r="Q176" s="3">
        <f>Q76</f>
        <v>-582.510896648771</v>
      </c>
      <c r="R176" s="3" t="n"/>
      <c r="S176" s="3">
        <f>S76</f>
        <v>-646.759784850327</v>
      </c>
      <c r="T176" s="3">
        <f>T76</f>
        <v>-679.385996476699</v>
      </c>
      <c r="U176" s="3">
        <f>U76</f>
        <v>-717.081006699591</v>
      </c>
      <c r="V176" s="3">
        <f>V76</f>
        <v>-1060.72584447304</v>
      </c>
      <c r="W176" s="3" t="n"/>
      <c r="X176" s="3">
        <f>X76</f>
        <v>-821.97976934</v>
      </c>
      <c r="Y176" s="3">
        <f>Y76</f>
        <v>-897.643222139999</v>
      </c>
      <c r="Z176" s="3">
        <f>Z76</f>
        <v>-997.19452895</v>
      </c>
      <c r="AA176" s="3">
        <f>AA76</f>
        <v>-974.302369919992</v>
      </c>
      <c r="AB176" s="3" t="n"/>
      <c r="AC176" s="3">
        <f>AC76</f>
        <v>-1052.41326183</v>
      </c>
      <c r="AD176" s="3">
        <f>AD76</f>
        <v>-1118.94089968</v>
      </c>
      <c r="AE176" s="3">
        <f>AE76</f>
        <v>-1172.06197375</v>
      </c>
      <c r="AF176" s="3">
        <f>AF76</f>
        <v>-1197.96966854999</v>
      </c>
      <c r="AG176" s="3" t="n"/>
      <c r="AH176" s="3">
        <f>AH76</f>
        <v>-1239.92653653</v>
      </c>
      <c r="AI176" s="3">
        <f>AI76</f>
        <v>-1253.5541439</v>
      </c>
      <c r="AJ176" s="3">
        <f>AJ76</f>
        <v>0</v>
      </c>
      <c r="AK176" s="3">
        <f>AK76</f>
        <v>0</v>
      </c>
      <c r="AL176" s="3" t="n"/>
      <c r="AM176" s="3">
        <f>AM76</f>
        <v>0</v>
      </c>
      <c r="AN176" s="3">
        <f>AN76</f>
        <v>0</v>
      </c>
      <c r="AO176" s="3">
        <f>AO76</f>
        <v>0</v>
      </c>
      <c r="AP176" s="3">
        <f>AP76</f>
        <v>0</v>
      </c>
      <c r="AQ176" s="3" t="n"/>
      <c r="AR176" s="3">
        <f>AR76</f>
        <v>0</v>
      </c>
      <c r="AS176" s="3">
        <f>AS76</f>
        <v>0</v>
      </c>
      <c r="AT176" s="3">
        <f>AT76</f>
        <v>0</v>
      </c>
      <c r="AU176" s="3">
        <f>AU76</f>
        <v>0</v>
      </c>
      <c r="AV176" s="3" t="n"/>
      <c r="AW176" s="3">
        <f>AW76</f>
        <v>0</v>
      </c>
      <c r="AX176" s="3">
        <f>AX76</f>
        <v>0</v>
      </c>
      <c r="AY176" s="3">
        <f>AY76</f>
        <v>0</v>
      </c>
      <c r="AZ176" s="3">
        <f>AZ76</f>
        <v>0</v>
      </c>
      <c r="BA176" s="3" t="n"/>
      <c r="BB176" s="3">
        <f>BB76</f>
        <v>0</v>
      </c>
      <c r="BC176" s="3">
        <f>BC76</f>
        <v>0</v>
      </c>
      <c r="BD176" s="3">
        <f>BD76</f>
        <v>0</v>
      </c>
      <c r="BE176" s="3">
        <f>BE76</f>
        <v>0</v>
      </c>
      <c r="BF176" s="3" t="n"/>
      <c r="BG176" s="3">
        <f>BG76</f>
        <v>0</v>
      </c>
      <c r="BH176" s="3">
        <f>BH76</f>
        <v>0</v>
      </c>
      <c r="BI176" s="3">
        <f>BI76</f>
        <v>0</v>
      </c>
      <c r="BJ176" s="3">
        <f>BJ76</f>
        <v>0</v>
      </c>
      <c r="BK176" s="3" t="n"/>
      <c r="BL176" s="3">
        <f>BL76</f>
        <v>0</v>
      </c>
      <c r="BM176" s="3">
        <f>BM76</f>
        <v>0</v>
      </c>
      <c r="BN176" s="3">
        <f>BN76</f>
        <v>0</v>
      </c>
      <c r="BO176" s="3">
        <f>BO76</f>
        <v>0</v>
      </c>
      <c r="BP176" s="3" t="n"/>
      <c r="BQ176" s="3">
        <f>BQ76</f>
        <v>0</v>
      </c>
      <c r="BR176" s="3">
        <f>BR76</f>
        <v>0</v>
      </c>
      <c r="BS176" s="3">
        <f>BS76</f>
        <v>0</v>
      </c>
      <c r="BT176" s="3">
        <f>BT76</f>
        <v>0</v>
      </c>
      <c r="BU176" s="3" t="n"/>
      <c r="BV176" s="3">
        <f>BV76</f>
        <v>0</v>
      </c>
      <c r="BW176" s="3">
        <f>BW76</f>
        <v>0</v>
      </c>
      <c r="BX176" s="3">
        <f>BX76</f>
        <v>0</v>
      </c>
      <c r="BY176" s="3">
        <f>BY76</f>
        <v>0</v>
      </c>
      <c r="BZ176" s="3" t="n"/>
      <c r="CA176" s="3">
        <f>CA76</f>
        <v>0</v>
      </c>
      <c r="CB176" s="3">
        <f>CB76</f>
        <v>0</v>
      </c>
      <c r="CC176" s="3">
        <f>CC76</f>
        <v>0</v>
      </c>
      <c r="CD176" s="3">
        <f>CD76</f>
        <v>0</v>
      </c>
      <c r="CE176" s="3" t="n"/>
      <c r="CF176" s="3">
        <f>CF76</f>
        <v>0</v>
      </c>
      <c r="CG176" s="3">
        <f>CG76</f>
        <v>0</v>
      </c>
      <c r="CH176" s="3">
        <f>CH76</f>
        <v>0</v>
      </c>
      <c r="CI176" s="3">
        <f>CI76</f>
        <v>0</v>
      </c>
      <c r="CJ176" s="3" t="n"/>
      <c r="CK176" s="3">
        <f>CK76</f>
        <v>0</v>
      </c>
      <c r="CL176" s="3">
        <f>CL76</f>
        <v>0</v>
      </c>
      <c r="CM176" s="3">
        <f>CM76</f>
        <v>0</v>
      </c>
      <c r="CN176" s="3">
        <f>CN76</f>
        <v>0</v>
      </c>
      <c r="CO176" s="3" t="n"/>
      <c r="CP176" s="3">
        <f>CP76</f>
        <v>0</v>
      </c>
      <c r="CQ176" s="3">
        <f>CQ76</f>
        <v>0</v>
      </c>
      <c r="CR176" s="3">
        <f>CR76</f>
        <v>0</v>
      </c>
      <c r="CS176" s="3">
        <f>CS76</f>
        <v>0</v>
      </c>
      <c r="CT176" s="3" t="n"/>
      <c r="CU176" s="3">
        <f>CU76</f>
        <v>0</v>
      </c>
      <c r="CV176" s="3">
        <f>CV76</f>
        <v>0</v>
      </c>
      <c r="CW176" s="3">
        <f>CW76</f>
        <v>0</v>
      </c>
      <c r="CX176" s="3">
        <f>CX76</f>
        <v>0</v>
      </c>
      <c r="CY176" s="3" t="n"/>
    </row>
    <row r="177" hidden="1" outlineLevel="1">
      <c r="C177" s="34" t="inlineStr">
        <is>
          <t>PP&amp;E</t>
        </is>
      </c>
      <c r="D177" s="3">
        <f>D172</f>
        <v>9877.70591238</v>
      </c>
      <c r="E177" s="3">
        <f>E172</f>
        <v>9399.24950746</v>
      </c>
      <c r="F177" s="3">
        <f>F172</f>
        <v>10164.08170551</v>
      </c>
      <c r="G177" s="3">
        <f>G172</f>
        <v>11747.476</v>
      </c>
      <c r="H177" s="3" t="n"/>
      <c r="I177" s="3">
        <f>I172</f>
        <v>12745.105</v>
      </c>
      <c r="J177" s="3">
        <f>J172</f>
        <v>15023.583</v>
      </c>
      <c r="K177" s="3">
        <f>K172</f>
        <v>17425.606</v>
      </c>
      <c r="L177" s="3">
        <f>L172</f>
        <v>21567.72</v>
      </c>
      <c r="M177" s="3" t="n"/>
      <c r="N177" s="3">
        <f>N172</f>
        <v>23807.944</v>
      </c>
      <c r="O177" s="3">
        <f>O172</f>
        <v>27512.254</v>
      </c>
      <c r="P177" s="3">
        <f>P172</f>
        <v>30582.589</v>
      </c>
      <c r="Q177" s="3">
        <f>Q172</f>
        <v>34130.983</v>
      </c>
      <c r="R177" s="3" t="n"/>
      <c r="S177" s="3">
        <f>S172</f>
        <v>34225.4822161548</v>
      </c>
      <c r="T177" s="3">
        <f>T172</f>
        <v>34978.6827177192</v>
      </c>
      <c r="U177" s="3">
        <f>U172</f>
        <v>36138.9158371207</v>
      </c>
      <c r="V177" s="3">
        <f>V172</f>
        <v>39826.1619453597</v>
      </c>
      <c r="W177" s="3" t="n"/>
      <c r="X177" s="3">
        <f>X172</f>
        <v>41091.2283008298</v>
      </c>
      <c r="Y177" s="3">
        <f>Y172</f>
        <v>42196.6139310797</v>
      </c>
      <c r="Z177" s="3">
        <f>Z172</f>
        <v>42975.0078185287</v>
      </c>
      <c r="AA177" s="3">
        <f>Y177+SUM(AA174:AA176)</f>
        <v>44839.8193792611</v>
      </c>
      <c r="AB177" s="3" t="n"/>
      <c r="AC177" s="3">
        <f>AC172</f>
        <v>44794.68291003</v>
      </c>
      <c r="AD177" s="3">
        <f>AD172</f>
        <v>45294.24820465</v>
      </c>
      <c r="AE177" s="3">
        <f>AE172</f>
        <v>45456.94628539</v>
      </c>
      <c r="AF177" s="3">
        <f>AE177+SUM(AF174:AF176)</f>
        <v>47862.56933573</v>
      </c>
      <c r="AG177" s="3" t="n"/>
      <c r="AH177" s="3">
        <f>AH172</f>
        <v>46426.00572838</v>
      </c>
      <c r="AI177" s="3">
        <f>AI172</f>
        <v>48115.27756408</v>
      </c>
      <c r="AJ177" s="3">
        <f>AI177+SUM(AJ174:AJ176)</f>
        <v>48115.27756408</v>
      </c>
      <c r="AK177" s="3">
        <f>AJ177+SUM(AK174:AK176)</f>
        <v>48115.27756408</v>
      </c>
      <c r="AL177" s="3" t="n"/>
      <c r="AM177" s="3">
        <f>AK177+SUM(AM174:AM176)</f>
        <v>48115.27756408</v>
      </c>
      <c r="AN177" s="3">
        <f>AM177+SUM(AN174:AN176)</f>
        <v>48115.27756408</v>
      </c>
      <c r="AO177" s="3">
        <f>AN177+SUM(AO174:AO176)</f>
        <v>48115.27756408</v>
      </c>
      <c r="AP177" s="3">
        <f>AO177+SUM(AP174:AP176)</f>
        <v>48115.27756408</v>
      </c>
      <c r="AQ177" s="3" t="n"/>
      <c r="AR177" s="3">
        <f>AP177+SUM(AR174:AR176)</f>
        <v>48115.27756408</v>
      </c>
      <c r="AS177" s="3">
        <f>AR177+SUM(AS174:AS176)</f>
        <v>48115.27756408</v>
      </c>
      <c r="AT177" s="3">
        <f>AS177+SUM(AT174:AT176)</f>
        <v>48115.27756408</v>
      </c>
      <c r="AU177" s="3">
        <f>AT177+SUM(AU174:AU176)</f>
        <v>48115.27756408</v>
      </c>
      <c r="AV177" s="3" t="n"/>
      <c r="AW177" s="3">
        <f>AU177+SUM(AW174:AW176)</f>
        <v>48115.27756408</v>
      </c>
      <c r="AX177" s="3">
        <f>AW177+SUM(AX174:AX176)</f>
        <v>48115.27756408</v>
      </c>
      <c r="AY177" s="3">
        <f>AX177+SUM(AY174:AY176)</f>
        <v>48115.27756408</v>
      </c>
      <c r="AZ177" s="3">
        <f>AY177+SUM(AZ174:AZ176)</f>
        <v>48115.27756408</v>
      </c>
      <c r="BA177" s="3" t="n"/>
      <c r="BB177" s="3">
        <f>AZ177+SUM(BB174:BB176)</f>
        <v>48115.27756408</v>
      </c>
      <c r="BC177" s="3">
        <f>BB177+SUM(BC174:BC176)</f>
        <v>48115.27756408</v>
      </c>
      <c r="BD177" s="3">
        <f>BC177+SUM(BD174:BD176)</f>
        <v>48115.27756408</v>
      </c>
      <c r="BE177" s="3">
        <f>BD177+SUM(BE174:BE176)</f>
        <v>48115.27756408</v>
      </c>
      <c r="BF177" s="3" t="n"/>
      <c r="BG177" s="3">
        <f>BE177+SUM(BG174:BG176)</f>
        <v>48115.27756408</v>
      </c>
      <c r="BH177" s="3">
        <f>BG177+SUM(BH174:BH176)</f>
        <v>48115.27756408</v>
      </c>
      <c r="BI177" s="3">
        <f>BH177+SUM(BI174:BI176)</f>
        <v>48115.27756408</v>
      </c>
      <c r="BJ177" s="3">
        <f>BI177+SUM(BJ174:BJ176)</f>
        <v>48115.27756408</v>
      </c>
      <c r="BK177" s="3" t="n"/>
      <c r="BL177" s="3">
        <f>BJ177+SUM(BL174:BL176)</f>
        <v>48115.27756408</v>
      </c>
      <c r="BM177" s="3">
        <f>BL177+SUM(BM174:BM176)</f>
        <v>48115.27756408</v>
      </c>
      <c r="BN177" s="3">
        <f>BM177+SUM(BN174:BN176)</f>
        <v>48115.27756408</v>
      </c>
      <c r="BO177" s="3">
        <f>BN177+SUM(BO174:BO176)</f>
        <v>48115.27756408</v>
      </c>
      <c r="BP177" s="3" t="n"/>
      <c r="BQ177" s="3">
        <f>BO177+SUM(BQ174:BQ176)</f>
        <v>48115.27756408</v>
      </c>
      <c r="BR177" s="3">
        <f>BQ177+SUM(BR174:BR176)</f>
        <v>48115.27756408</v>
      </c>
      <c r="BS177" s="3">
        <f>BR177+SUM(BS174:BS176)</f>
        <v>48115.27756408</v>
      </c>
      <c r="BT177" s="3">
        <f>BS177+SUM(BT174:BT176)</f>
        <v>48115.27756408</v>
      </c>
      <c r="BU177" s="3" t="n"/>
      <c r="BV177" s="3">
        <f>BT177+SUM(BV174:BV176)</f>
        <v>48115.27756408</v>
      </c>
      <c r="BW177" s="3">
        <f>BV177+SUM(BW174:BW176)</f>
        <v>48115.27756408</v>
      </c>
      <c r="BX177" s="3">
        <f>BW177+SUM(BX174:BX176)</f>
        <v>48115.27756408</v>
      </c>
      <c r="BY177" s="3">
        <f>BX177+SUM(BY174:BY176)</f>
        <v>48115.27756408</v>
      </c>
      <c r="BZ177" s="3" t="n"/>
      <c r="CA177" s="3">
        <f>BY177+SUM(CA174:CA176)</f>
        <v>48115.27756408</v>
      </c>
      <c r="CB177" s="3">
        <f>CA177+SUM(CB174:CB176)</f>
        <v>48115.27756408</v>
      </c>
      <c r="CC177" s="3">
        <f>CB177+SUM(CC174:CC176)</f>
        <v>48115.27756408</v>
      </c>
      <c r="CD177" s="3">
        <f>CC177+SUM(CD174:CD176)</f>
        <v>48115.27756408</v>
      </c>
      <c r="CE177" s="3" t="n"/>
      <c r="CF177" s="3">
        <f>CD177+SUM(CF174:CF176)</f>
        <v>48115.27756408</v>
      </c>
      <c r="CG177" s="3">
        <f>CF177+SUM(CG174:CG176)</f>
        <v>48115.27756408</v>
      </c>
      <c r="CH177" s="3">
        <f>CG177+SUM(CH174:CH176)</f>
        <v>48115.27756408</v>
      </c>
      <c r="CI177" s="3">
        <f>CH177+SUM(CI174:CI176)</f>
        <v>48115.27756408</v>
      </c>
      <c r="CJ177" s="3" t="n"/>
      <c r="CK177" s="3">
        <f>CI177+SUM(CK174:CK176)</f>
        <v>48115.27756408</v>
      </c>
      <c r="CL177" s="3">
        <f>CK177+SUM(CL174:CL176)</f>
        <v>48115.27756408</v>
      </c>
      <c r="CM177" s="3">
        <f>CL177+SUM(CM174:CM176)</f>
        <v>48115.27756408</v>
      </c>
      <c r="CN177" s="3">
        <f>CM177+SUM(CN174:CN176)</f>
        <v>48115.27756408</v>
      </c>
      <c r="CO177" s="3" t="n"/>
      <c r="CP177" s="3">
        <f>CN177+SUM(CP174:CP176)</f>
        <v>48115.27756408</v>
      </c>
      <c r="CQ177" s="3">
        <f>CP177+SUM(CQ174:CQ176)</f>
        <v>48115.27756408</v>
      </c>
      <c r="CR177" s="3">
        <f>CQ177+SUM(CR174:CR176)</f>
        <v>48115.27756408</v>
      </c>
      <c r="CS177" s="3">
        <f>CR177+SUM(CS174:CS176)</f>
        <v>48115.27756408</v>
      </c>
      <c r="CT177" s="3" t="n"/>
      <c r="CU177" s="3">
        <f>CS177+SUM(CU174:CU176)</f>
        <v>48115.27756408</v>
      </c>
      <c r="CV177" s="3">
        <f>CU177+SUM(CV174:CV176)</f>
        <v>48115.27756408</v>
      </c>
      <c r="CW177" s="3">
        <f>CV177+SUM(CW174:CW176)</f>
        <v>48115.27756408</v>
      </c>
      <c r="CX177" s="3">
        <f>CW177+SUM(CX174:CX176)</f>
        <v>48115.27756408</v>
      </c>
      <c r="CY177" s="3" t="n"/>
      <c r="CZ177">
        <f>CX177+SUM(CZ174:CZ176)</f>
        <v>48115.27756408</v>
      </c>
      <c r="DA177">
        <f>CZ177+SUM(DA174:DA176)</f>
        <v>48115.27756408</v>
      </c>
      <c r="DB177">
        <f>DA177+SUM(DB174:DB176)</f>
        <v>48115.27756408</v>
      </c>
      <c r="DC177">
        <f>DB177+SUM(DC174:DC176)</f>
        <v>48115.27756408</v>
      </c>
    </row>
    <row r="178" hidden="1" outlineLevel="1">
      <c r="C178" s="34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n"/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/>
      <c r="CB178" s="3" t="n"/>
      <c r="CC178" s="3" t="n"/>
      <c r="CD178" s="3" t="n"/>
      <c r="CE178" s="3" t="n"/>
      <c r="CF178" s="3" t="n"/>
      <c r="CG178" s="3" t="n"/>
      <c r="CH178" s="3" t="n"/>
      <c r="CI178" s="3" t="n"/>
      <c r="CJ178" s="3" t="n"/>
      <c r="CK178" s="3" t="n"/>
      <c r="CL178" s="3" t="n"/>
      <c r="CM178" s="3" t="n"/>
      <c r="CN178" s="3" t="n"/>
      <c r="CO178" s="3" t="n"/>
      <c r="CP178" s="3" t="n"/>
      <c r="CQ178" s="3" t="n"/>
      <c r="CR178" s="3" t="n"/>
      <c r="CS178" s="3" t="n"/>
      <c r="CT178" s="3" t="n"/>
      <c r="CU178" s="3" t="n"/>
      <c r="CV178" s="3" t="n"/>
      <c r="CW178" s="3" t="n"/>
      <c r="CX178" s="3" t="n"/>
      <c r="CY178" s="3" t="n"/>
    </row>
    <row r="179" hidden="1" outlineLevel="1">
      <c r="C179" s="34" t="inlineStr">
        <is>
          <t>Capital expenditures (% Net Revenues)</t>
        </is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40">
        <f>AF174/AF15</f>
        <v>0.324078899125202</v>
      </c>
      <c r="AG179" s="40">
        <f>AG174/AG15</f>
        <v>0.158523718007609</v>
      </c>
      <c r="AH179" s="40">
        <f>AH174/AH15</f>
        <v>-0.0179999726984188</v>
      </c>
      <c r="AI179" s="40">
        <f>AI174/AI15</f>
        <v>0.261615649633201</v>
      </c>
      <c r="AJ179" s="40">
        <f>AJ174/AJ15</f>
        <v>0</v>
      </c>
      <c r="AK179" s="40">
        <f>AK174/AK15</f>
        <v>0</v>
      </c>
      <c r="AL179" s="40">
        <f>AL174/AL15</f>
        <v>0</v>
      </c>
      <c r="AM179" s="40">
        <f>AM174/AM15</f>
        <v>0</v>
      </c>
      <c r="AN179" s="40">
        <f>AN174/AN15</f>
        <v>0</v>
      </c>
      <c r="AO179" s="40">
        <f>AO174/AO15</f>
        <v>0</v>
      </c>
      <c r="AP179" s="40">
        <f>AP174/AP15</f>
        <v>0</v>
      </c>
      <c r="AQ179" s="40">
        <f>AQ174/AQ15</f>
        <v>0</v>
      </c>
      <c r="AR179" s="40">
        <f>AR174/AR15</f>
        <v>0</v>
      </c>
      <c r="AS179" s="40">
        <f>AS174/AS15</f>
        <v>0</v>
      </c>
      <c r="AT179" s="40">
        <f>AT174/AT15</f>
        <v>0</v>
      </c>
      <c r="AU179" s="40">
        <f>AU174/AU15</f>
        <v>0</v>
      </c>
      <c r="AV179" s="40">
        <f>AV174/AV15</f>
        <v>0</v>
      </c>
      <c r="AW179" s="40">
        <f>AW174/AW15</f>
        <v>0</v>
      </c>
      <c r="AX179" s="40">
        <f>AX174/AX15</f>
        <v>0</v>
      </c>
      <c r="AY179" s="40">
        <f>AY174/AY15</f>
        <v>0</v>
      </c>
      <c r="AZ179" s="40">
        <f>AZ174/AZ15</f>
        <v>0</v>
      </c>
      <c r="BA179" s="40">
        <f>BA174/BA15</f>
        <v>0</v>
      </c>
      <c r="BB179" s="40">
        <f>BB174/BB15</f>
        <v>0</v>
      </c>
      <c r="BC179" s="40">
        <f>BC174/BC15</f>
        <v>0</v>
      </c>
      <c r="BD179" s="40">
        <f>BD174/BD15</f>
        <v>0</v>
      </c>
      <c r="BE179" s="40">
        <f>BE174/BE15</f>
        <v>0</v>
      </c>
      <c r="BF179" s="40">
        <f>BF174/BF15</f>
        <v>0</v>
      </c>
      <c r="BG179" s="40">
        <f>BG174/BG15</f>
        <v>0</v>
      </c>
      <c r="BH179" s="40">
        <f>BH174/BH15</f>
        <v>0</v>
      </c>
      <c r="BI179" s="40">
        <f>BI174/BI15</f>
        <v>0</v>
      </c>
      <c r="BJ179" s="40">
        <f>BJ174/BJ15</f>
        <v>0</v>
      </c>
      <c r="BK179" s="40">
        <f>BK174/BK15</f>
        <v>0</v>
      </c>
      <c r="BL179" s="40">
        <f>BL174/BL15</f>
        <v>0</v>
      </c>
      <c r="BM179" s="40">
        <f>BM174/BM15</f>
        <v>0</v>
      </c>
      <c r="BN179" s="40">
        <f>BN174/BN15</f>
        <v>0</v>
      </c>
      <c r="BO179" s="40">
        <f>BO174/BO15</f>
        <v>0</v>
      </c>
      <c r="BP179" s="40">
        <f>BP174/BP15</f>
        <v>0</v>
      </c>
      <c r="BQ179" s="40">
        <f>BQ174/BQ15</f>
        <v>0</v>
      </c>
      <c r="BR179" s="40">
        <f>BR174/BR15</f>
        <v>0</v>
      </c>
      <c r="BS179" s="40">
        <f>BS174/BS15</f>
        <v>0</v>
      </c>
      <c r="BT179" s="40">
        <f>BT174/BT15</f>
        <v>0</v>
      </c>
      <c r="BU179" s="40">
        <f>BU174/BU15</f>
        <v>0</v>
      </c>
      <c r="BV179" s="40">
        <f>BV174/BV15</f>
        <v>0</v>
      </c>
      <c r="BW179" s="40">
        <f>BW174/BW15</f>
        <v>0</v>
      </c>
      <c r="BX179" s="40">
        <f>BX174/BX15</f>
        <v>0</v>
      </c>
      <c r="BY179" s="40">
        <f>BY174/BY15</f>
        <v>0</v>
      </c>
      <c r="BZ179" s="40">
        <f>BZ174/BZ15</f>
        <v>0</v>
      </c>
      <c r="CA179" s="40">
        <f>CA174/CA15</f>
        <v>0</v>
      </c>
      <c r="CB179" s="40">
        <f>CB174/CB15</f>
        <v>0</v>
      </c>
      <c r="CC179" s="40">
        <f>CC174/CC15</f>
        <v>0</v>
      </c>
      <c r="CD179" s="40">
        <f>CD174/CD15</f>
        <v>0</v>
      </c>
      <c r="CE179" s="40">
        <f>CE174/CE15</f>
        <v>0</v>
      </c>
      <c r="CF179" s="40">
        <f>CF174/CF15</f>
        <v>0</v>
      </c>
      <c r="CG179" s="40">
        <f>CG174/CG15</f>
        <v>0</v>
      </c>
      <c r="CH179" s="40">
        <f>CH174/CH15</f>
        <v>0</v>
      </c>
      <c r="CI179" s="40">
        <f>CI174/CI15</f>
        <v>0</v>
      </c>
      <c r="CJ179" s="40">
        <f>CJ174/CJ15</f>
        <v>0</v>
      </c>
      <c r="CK179" s="40">
        <f>CK174/CK15</f>
        <v>0</v>
      </c>
      <c r="CL179" s="40">
        <f>CL174/CL15</f>
        <v>0</v>
      </c>
      <c r="CM179" s="40">
        <f>CM174/CM15</f>
        <v>0</v>
      </c>
      <c r="CN179" s="40">
        <f>CN174/CN15</f>
        <v>0</v>
      </c>
      <c r="CO179" s="40">
        <f>CO174/CO15</f>
        <v>0</v>
      </c>
      <c r="CP179" s="40">
        <f>CP174/CP15</f>
        <v>0</v>
      </c>
      <c r="CQ179" s="40">
        <f>CQ174/CQ15</f>
        <v>0</v>
      </c>
      <c r="CR179" s="40">
        <f>CR174/CR15</f>
        <v>0</v>
      </c>
      <c r="CS179" s="40">
        <f>CS174/CS15</f>
        <v>0</v>
      </c>
      <c r="CT179" s="40">
        <f>CT174/CT15</f>
        <v>0</v>
      </c>
      <c r="CU179" s="40">
        <f>CU174/CU15</f>
        <v>0</v>
      </c>
      <c r="CV179" s="40">
        <f>CV174/CV15</f>
        <v>0</v>
      </c>
      <c r="CW179" s="40">
        <f>CW174/CW15</f>
        <v>0</v>
      </c>
      <c r="CX179" s="40">
        <f>CX174/CX15</f>
        <v>0</v>
      </c>
      <c r="CY179" s="40">
        <f>CY174/CY15</f>
        <v>0</v>
      </c>
    </row>
    <row r="180" hidden="1" outlineLevel="1">
      <c r="C180" s="34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n"/>
      <c r="CC180" s="3" t="n"/>
      <c r="CD180" s="3" t="n"/>
      <c r="CE180" s="3" t="n"/>
      <c r="CF180" s="3" t="n"/>
      <c r="CG180" s="3" t="n"/>
      <c r="CH180" s="3" t="n"/>
      <c r="CI180" s="3" t="n"/>
      <c r="CJ180" s="3" t="n"/>
      <c r="CK180" s="3" t="n"/>
      <c r="CL180" s="3" t="n"/>
      <c r="CM180" s="3" t="n"/>
      <c r="CN180" s="3" t="n"/>
      <c r="CO180" s="3" t="n"/>
      <c r="CP180" s="3" t="n"/>
      <c r="CQ180" s="3" t="n"/>
      <c r="CR180" s="3" t="n"/>
      <c r="CS180" s="3" t="n"/>
      <c r="CT180" s="3" t="n"/>
      <c r="CU180" s="3" t="n"/>
      <c r="CV180" s="3" t="n"/>
      <c r="CW180" s="3" t="n"/>
      <c r="CX180" s="3" t="n"/>
      <c r="CY180" s="3" t="n"/>
    </row>
    <row r="181" hidden="1" outlineLevel="1">
      <c r="C181" s="34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n"/>
      <c r="CC181" s="3" t="n"/>
      <c r="CD181" s="3" t="n"/>
      <c r="CE181" s="3" t="n"/>
      <c r="CF181" s="3" t="n"/>
      <c r="CG181" s="3" t="n"/>
      <c r="CH181" s="3" t="n"/>
      <c r="CI181" s="3" t="n"/>
      <c r="CJ181" s="3" t="n"/>
      <c r="CK181" s="3" t="n"/>
      <c r="CL181" s="3" t="n"/>
      <c r="CM181" s="3" t="n"/>
      <c r="CN181" s="3" t="n"/>
      <c r="CO181" s="3" t="n"/>
      <c r="CP181" s="3" t="n"/>
      <c r="CQ181" s="3" t="n"/>
      <c r="CR181" s="3" t="n"/>
      <c r="CS181" s="3" t="n"/>
      <c r="CT181" s="3" t="n"/>
      <c r="CU181" s="3" t="n"/>
      <c r="CV181" s="3" t="n"/>
      <c r="CW181" s="3" t="n"/>
      <c r="CX181" s="3" t="n"/>
      <c r="CY181" s="3" t="n"/>
    </row>
    <row r="182" collapsed="1">
      <c r="C182" s="26" t="inlineStr">
        <is>
          <t>Right-of-use-assets</t>
        </is>
      </c>
      <c r="D182" s="25" t="n"/>
      <c r="E182" s="25" t="n"/>
      <c r="F182" s="25" t="n"/>
      <c r="G182" s="25" t="n"/>
      <c r="H182" s="3">
        <f>G182</f>
        <v>0</v>
      </c>
      <c r="I182" s="25" t="n"/>
      <c r="J182" s="25" t="n"/>
      <c r="K182" s="25" t="n"/>
      <c r="L182" s="25" t="n"/>
      <c r="M182" s="3">
        <f>L182</f>
        <v>0</v>
      </c>
      <c r="N182" s="25" t="n"/>
      <c r="O182" s="25" t="n"/>
      <c r="P182" s="25" t="n"/>
      <c r="Q182" s="25" t="n"/>
      <c r="R182" s="3">
        <f>Q182</f>
        <v>0</v>
      </c>
      <c r="S182" s="25" t="n"/>
      <c r="T182" s="25" t="n"/>
      <c r="U182" s="25" t="n"/>
      <c r="V182" s="25" t="n"/>
      <c r="W182" s="3">
        <f>V182</f>
        <v>0</v>
      </c>
      <c r="X182" s="25" t="n"/>
      <c r="Y182" s="25" t="n"/>
      <c r="Z182" s="25" t="n"/>
      <c r="AA182" s="25" t="n"/>
      <c r="AB182" s="3">
        <f>AA182</f>
        <v>0</v>
      </c>
      <c r="AC182" s="25" t="n"/>
      <c r="AD182" s="25" t="n"/>
      <c r="AE182" s="25" t="n"/>
      <c r="AF182" s="25" t="n"/>
      <c r="AG182" s="3">
        <f>AF182</f>
        <v>0</v>
      </c>
      <c r="AH182" s="3">
        <f>AG182</f>
        <v>0</v>
      </c>
      <c r="AI182" s="3">
        <f>AH182</f>
        <v>0</v>
      </c>
      <c r="AJ182" s="3">
        <f>AI182</f>
        <v>0</v>
      </c>
      <c r="AK182" s="3">
        <f>AJ182</f>
        <v>0</v>
      </c>
      <c r="AL182" s="3">
        <f>AK182</f>
        <v>0</v>
      </c>
      <c r="AM182" s="3">
        <f>AL182</f>
        <v>0</v>
      </c>
      <c r="AN182" s="3">
        <f>AM182</f>
        <v>0</v>
      </c>
      <c r="AO182" s="3">
        <f>AN182</f>
        <v>0</v>
      </c>
      <c r="AP182" s="3">
        <f>AO182</f>
        <v>0</v>
      </c>
      <c r="AQ182" s="3">
        <f>AP182</f>
        <v>0</v>
      </c>
      <c r="AR182" s="3">
        <f>AQ182</f>
        <v>0</v>
      </c>
      <c r="AS182" s="3">
        <f>AR182</f>
        <v>0</v>
      </c>
      <c r="AT182" s="3">
        <f>AS182</f>
        <v>0</v>
      </c>
      <c r="AU182" s="3">
        <f>AT182</f>
        <v>0</v>
      </c>
      <c r="AV182" s="3">
        <f>AU182</f>
        <v>0</v>
      </c>
      <c r="AW182" s="3">
        <f>AV182</f>
        <v>0</v>
      </c>
      <c r="AX182" s="3">
        <f>AW182</f>
        <v>0</v>
      </c>
      <c r="AY182" s="3">
        <f>AX182</f>
        <v>0</v>
      </c>
      <c r="AZ182" s="3">
        <f>AY182</f>
        <v>0</v>
      </c>
      <c r="BA182" s="3">
        <f>AZ182</f>
        <v>0</v>
      </c>
      <c r="BB182" s="3">
        <f>BA182</f>
        <v>0</v>
      </c>
      <c r="BC182" s="3">
        <f>BB182</f>
        <v>0</v>
      </c>
      <c r="BD182" s="3">
        <f>BC182</f>
        <v>0</v>
      </c>
      <c r="BE182" s="3">
        <f>BD182</f>
        <v>0</v>
      </c>
      <c r="BF182" s="3">
        <f>BE182</f>
        <v>0</v>
      </c>
      <c r="BG182" s="3">
        <f>BF182</f>
        <v>0</v>
      </c>
      <c r="BH182" s="3">
        <f>BG182</f>
        <v>0</v>
      </c>
      <c r="BI182" s="3">
        <f>BH182</f>
        <v>0</v>
      </c>
      <c r="BJ182" s="3">
        <f>BI182</f>
        <v>0</v>
      </c>
      <c r="BK182" s="3">
        <f>BJ182</f>
        <v>0</v>
      </c>
      <c r="BL182" s="3">
        <f>BK182</f>
        <v>0</v>
      </c>
      <c r="BM182" s="3">
        <f>BL182</f>
        <v>0</v>
      </c>
      <c r="BN182" s="3">
        <f>BM182</f>
        <v>0</v>
      </c>
      <c r="BO182" s="3">
        <f>BN182</f>
        <v>0</v>
      </c>
      <c r="BP182" s="3">
        <f>BO182</f>
        <v>0</v>
      </c>
      <c r="BQ182" s="3">
        <f>BP182</f>
        <v>0</v>
      </c>
      <c r="BR182" s="3">
        <f>BQ182</f>
        <v>0</v>
      </c>
      <c r="BS182" s="3">
        <f>BR182</f>
        <v>0</v>
      </c>
      <c r="BT182" s="3">
        <f>BS182</f>
        <v>0</v>
      </c>
      <c r="BU182" s="3">
        <f>BT182</f>
        <v>0</v>
      </c>
      <c r="BV182" s="3">
        <f>BU182</f>
        <v>0</v>
      </c>
      <c r="BW182" s="3">
        <f>BV182</f>
        <v>0</v>
      </c>
      <c r="BX182" s="3">
        <f>BW182</f>
        <v>0</v>
      </c>
      <c r="BY182" s="3">
        <f>BX182</f>
        <v>0</v>
      </c>
      <c r="BZ182" s="3">
        <f>BY182</f>
        <v>0</v>
      </c>
      <c r="CA182" s="3">
        <f>BZ182</f>
        <v>0</v>
      </c>
      <c r="CB182" s="3">
        <f>CA182</f>
        <v>0</v>
      </c>
      <c r="CC182" s="3">
        <f>CB182</f>
        <v>0</v>
      </c>
      <c r="CD182" s="3">
        <f>CC182</f>
        <v>0</v>
      </c>
      <c r="CE182" s="3">
        <f>CD182</f>
        <v>0</v>
      </c>
      <c r="CF182" s="3">
        <f>CE182</f>
        <v>0</v>
      </c>
      <c r="CG182" s="3">
        <f>CF182</f>
        <v>0</v>
      </c>
      <c r="CH182" s="3">
        <f>CG182</f>
        <v>0</v>
      </c>
      <c r="CI182" s="3">
        <f>CH182</f>
        <v>0</v>
      </c>
      <c r="CJ182" s="3">
        <f>CI182</f>
        <v>0</v>
      </c>
      <c r="CK182" s="3">
        <f>CJ182</f>
        <v>0</v>
      </c>
      <c r="CL182" s="3">
        <f>CK182</f>
        <v>0</v>
      </c>
      <c r="CM182" s="3">
        <f>CL182</f>
        <v>0</v>
      </c>
      <c r="CN182" s="3">
        <f>CM182</f>
        <v>0</v>
      </c>
      <c r="CO182" s="3">
        <f>CN182</f>
        <v>0</v>
      </c>
      <c r="CP182" s="3">
        <f>CO182</f>
        <v>0</v>
      </c>
      <c r="CQ182" s="3">
        <f>CP182</f>
        <v>0</v>
      </c>
      <c r="CR182" s="3">
        <f>CQ182</f>
        <v>0</v>
      </c>
      <c r="CS182" s="3">
        <f>CR182</f>
        <v>0</v>
      </c>
      <c r="CT182" s="3">
        <f>CS182</f>
        <v>0</v>
      </c>
      <c r="CU182" s="3">
        <f>CT182</f>
        <v>0</v>
      </c>
      <c r="CV182" s="3">
        <f>CU182</f>
        <v>0</v>
      </c>
      <c r="CW182" s="3">
        <f>CV182</f>
        <v>0</v>
      </c>
      <c r="CX182" s="3">
        <f>CW182</f>
        <v>0</v>
      </c>
      <c r="CY182" s="3">
        <f>CX182</f>
        <v>0</v>
      </c>
    </row>
    <row r="183" hidden="1" outlineLevel="1">
      <c r="C183" s="38" t="inlineStr">
        <is>
          <t>%(Var.)</t>
        </is>
      </c>
      <c r="D183" s="3" t="n"/>
      <c r="E183" s="47">
        <f>IFERROR((E182-D182)/D182,0)</f>
        <v>0</v>
      </c>
      <c r="F183" s="47">
        <f>IFERROR((F182-E182)/E182,0)</f>
        <v>0</v>
      </c>
      <c r="G183" s="47">
        <f>IFERROR((G182-F182)/F182,0)</f>
        <v>0</v>
      </c>
      <c r="H183" s="3" t="n"/>
      <c r="I183" s="47">
        <f>IFERROR((I182-H182)/H182,0)</f>
        <v>0</v>
      </c>
      <c r="J183" s="47">
        <f>IFERROR((J182-I182)/I182,0)</f>
        <v>0</v>
      </c>
      <c r="K183" s="47">
        <f>IFERROR((K182-J182)/J182,0)</f>
        <v>0</v>
      </c>
      <c r="L183" s="47">
        <f>IFERROR((L182-K182)/K182,0)</f>
        <v>0</v>
      </c>
      <c r="M183" s="3" t="n"/>
      <c r="N183" s="47">
        <f>IFERROR((N182-M182)/M182,0)</f>
        <v>0</v>
      </c>
      <c r="O183" s="47">
        <f>IFERROR((O182-N182)/N182,0)</f>
        <v>0</v>
      </c>
      <c r="P183" s="47">
        <f>IFERROR((P182-O182)/O182,0)</f>
        <v>0</v>
      </c>
      <c r="Q183" s="47">
        <f>IFERROR((Q182-P182)/P182,0)</f>
        <v>0</v>
      </c>
      <c r="R183" s="3" t="n"/>
      <c r="S183" s="47">
        <f>IFERROR((S182-R182)/R182,0)</f>
        <v>0</v>
      </c>
      <c r="T183" s="47">
        <f>IFERROR((T182-S182)/S182,0)</f>
        <v>0</v>
      </c>
      <c r="U183" s="47">
        <f>IFERROR((U182-T182)/T182,0)</f>
        <v>0</v>
      </c>
      <c r="V183" s="47">
        <f>IFERROR((V182-U182)/U182,0)</f>
        <v>0</v>
      </c>
      <c r="W183" s="3" t="n"/>
      <c r="X183" s="47">
        <f>IFERROR((X182-W182)/W182,0)</f>
        <v>0</v>
      </c>
      <c r="Y183" s="47">
        <f>IFERROR((Y182-X182)/X182,0)</f>
        <v>0</v>
      </c>
      <c r="Z183" s="47">
        <f>IFERROR((Z182-Y182)/Y182,0)</f>
        <v>0</v>
      </c>
      <c r="AA183" s="47">
        <f>IFERROR((AA182-Z182)/Z182,0)</f>
        <v>0</v>
      </c>
      <c r="AB183" s="3" t="n"/>
      <c r="AC183" s="47">
        <f>IFERROR((AC182-AB182)/AB182,0)</f>
        <v>0</v>
      </c>
      <c r="AD183" s="47">
        <f>IFERROR((AD182-AC182)/AC182,0)</f>
        <v>0</v>
      </c>
      <c r="AE183" s="47">
        <f>IFERROR((AE182-AD182)/AD182,0)</f>
        <v>0</v>
      </c>
      <c r="AF183" s="218">
        <f>IFERROR((AF182-AE182)/AE182,0)</f>
        <v>0</v>
      </c>
      <c r="AG183" s="3" t="n"/>
      <c r="AH183" s="218">
        <f>IFERROR((AH182-AG182)/AG182,0)</f>
        <v>0</v>
      </c>
      <c r="AI183" s="218">
        <f>IFERROR((AI182-AH182)/AH182,0)</f>
        <v>0</v>
      </c>
      <c r="AJ183" s="218" t="n"/>
      <c r="AK183" s="218" t="n"/>
      <c r="AL183" s="3" t="n"/>
      <c r="AM183" s="218" t="n"/>
      <c r="AN183" s="218" t="n"/>
      <c r="AO183" s="218" t="n"/>
      <c r="AP183" s="218" t="n"/>
      <c r="AQ183" s="3" t="n"/>
      <c r="AR183" s="218" t="n"/>
      <c r="AS183" s="218" t="n"/>
      <c r="AT183" s="218" t="n"/>
      <c r="AU183" s="218" t="n"/>
      <c r="AV183" s="3" t="n"/>
      <c r="AW183" s="218" t="n"/>
      <c r="AX183" s="218" t="n"/>
      <c r="AY183" s="218" t="n"/>
      <c r="AZ183" s="218" t="n"/>
      <c r="BA183" s="3" t="n"/>
      <c r="BB183" s="218" t="n"/>
      <c r="BC183" s="218" t="n"/>
      <c r="BD183" s="218" t="n"/>
      <c r="BE183" s="218" t="n"/>
      <c r="BF183" s="3" t="n"/>
      <c r="BG183" s="218" t="n"/>
      <c r="BH183" s="218" t="n"/>
      <c r="BI183" s="218" t="n"/>
      <c r="BJ183" s="218" t="n"/>
      <c r="BK183" s="3" t="n"/>
      <c r="BL183" s="218" t="n"/>
      <c r="BM183" s="218" t="n"/>
      <c r="BN183" s="218" t="n"/>
      <c r="BO183" s="218" t="n"/>
      <c r="BP183" s="3" t="n"/>
      <c r="BQ183" s="218" t="n"/>
      <c r="BR183" s="218" t="n"/>
      <c r="BS183" s="218" t="n"/>
      <c r="BT183" s="218" t="n"/>
      <c r="BU183" s="3" t="n"/>
      <c r="BV183" s="218" t="n"/>
      <c r="BW183" s="218" t="n"/>
      <c r="BX183" s="218" t="n"/>
      <c r="BY183" s="218" t="n"/>
      <c r="BZ183" s="3" t="n"/>
      <c r="CA183" s="218" t="n"/>
      <c r="CB183" s="218" t="n"/>
      <c r="CC183" s="218" t="n"/>
      <c r="CD183" s="218" t="n"/>
      <c r="CE183" s="3" t="n"/>
      <c r="CF183" s="218" t="n"/>
      <c r="CG183" s="218" t="n"/>
      <c r="CH183" s="218" t="n"/>
      <c r="CI183" s="218" t="n"/>
      <c r="CJ183" s="3" t="n"/>
      <c r="CK183" s="218" t="n"/>
      <c r="CL183" s="218" t="n"/>
      <c r="CM183" s="218" t="n"/>
      <c r="CN183" s="218" t="n"/>
      <c r="CO183" s="3" t="n"/>
      <c r="CP183" s="218" t="n"/>
      <c r="CQ183" s="218" t="n"/>
      <c r="CR183" s="218" t="n"/>
      <c r="CS183" s="218" t="n"/>
      <c r="CT183" s="3" t="n"/>
      <c r="CU183" s="218" t="n"/>
      <c r="CV183" s="218" t="n"/>
      <c r="CW183" s="218" t="n"/>
      <c r="CX183" s="218" t="n"/>
      <c r="CY183" s="3" t="n"/>
    </row>
    <row r="184" hidden="1" outlineLevel="1">
      <c r="C184" s="34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n"/>
      <c r="CC184" s="3" t="n"/>
      <c r="CD184" s="3" t="n"/>
      <c r="CE184" s="3" t="n"/>
      <c r="CF184" s="3" t="n"/>
      <c r="CG184" s="3" t="n"/>
      <c r="CH184" s="3" t="n"/>
      <c r="CI184" s="3" t="n"/>
      <c r="CJ184" s="3" t="n"/>
      <c r="CK184" s="3" t="n"/>
      <c r="CL184" s="3" t="n"/>
      <c r="CM184" s="3" t="n"/>
      <c r="CN184" s="3" t="n"/>
      <c r="CO184" s="3" t="n"/>
      <c r="CP184" s="3" t="n"/>
      <c r="CQ184" s="3" t="n"/>
      <c r="CR184" s="3" t="n"/>
      <c r="CS184" s="3" t="n"/>
      <c r="CT184" s="3" t="n"/>
      <c r="CU184" s="3" t="n"/>
      <c r="CV184" s="3" t="n"/>
      <c r="CW184" s="3" t="n"/>
      <c r="CX184" s="3" t="n"/>
      <c r="CY184" s="3" t="n"/>
    </row>
    <row r="185" collapsed="1">
      <c r="C185" s="26" t="inlineStr">
        <is>
          <t>Goodwill</t>
        </is>
      </c>
      <c r="D185" s="25" t="n"/>
      <c r="E185" s="25" t="n"/>
      <c r="F185" s="25" t="n"/>
      <c r="G185" s="25" t="n"/>
      <c r="H185" s="3">
        <f>G185</f>
        <v>0</v>
      </c>
      <c r="I185" s="25" t="n"/>
      <c r="J185" s="25" t="n"/>
      <c r="K185" s="25" t="n"/>
      <c r="L185" s="25" t="n"/>
      <c r="M185" s="3">
        <f>L185</f>
        <v>0</v>
      </c>
      <c r="N185" s="25" t="n"/>
      <c r="O185" s="25" t="n"/>
      <c r="P185" s="25" t="n"/>
      <c r="Q185" s="25" t="n"/>
      <c r="R185" s="3">
        <f>Q185</f>
        <v>0</v>
      </c>
      <c r="S185" s="25" t="n"/>
      <c r="T185" s="25" t="n"/>
      <c r="U185" s="25" t="n"/>
      <c r="V185" s="25" t="n"/>
      <c r="W185" s="3">
        <f>V185</f>
        <v>0</v>
      </c>
      <c r="X185" s="25" t="n"/>
      <c r="Y185" s="25" t="n"/>
      <c r="Z185" s="25" t="n"/>
      <c r="AA185" s="25" t="n"/>
      <c r="AB185" s="3">
        <f>AA185</f>
        <v>0</v>
      </c>
      <c r="AC185" s="25" t="n"/>
      <c r="AD185" s="25" t="n"/>
      <c r="AE185" s="25" t="n"/>
      <c r="AF185" s="25" t="n"/>
      <c r="AG185" s="3">
        <f>AF185</f>
        <v>0</v>
      </c>
      <c r="AH185" s="3">
        <f>AG185</f>
        <v>0</v>
      </c>
      <c r="AI185" s="3">
        <f>AH185</f>
        <v>0</v>
      </c>
      <c r="AJ185" s="3">
        <f>AI185</f>
        <v>0</v>
      </c>
      <c r="AK185" s="3">
        <f>AJ185</f>
        <v>0</v>
      </c>
      <c r="AL185" s="3">
        <f>AK185</f>
        <v>0</v>
      </c>
      <c r="AM185" s="3">
        <f>AL185</f>
        <v>0</v>
      </c>
      <c r="AN185" s="3">
        <f>AM185</f>
        <v>0</v>
      </c>
      <c r="AO185" s="3">
        <f>AN185</f>
        <v>0</v>
      </c>
      <c r="AP185" s="3">
        <f>AO185</f>
        <v>0</v>
      </c>
      <c r="AQ185" s="3">
        <f>AP185</f>
        <v>0</v>
      </c>
      <c r="AR185" s="3">
        <f>AQ185</f>
        <v>0</v>
      </c>
      <c r="AS185" s="3">
        <f>AR185</f>
        <v>0</v>
      </c>
      <c r="AT185" s="3">
        <f>AS185</f>
        <v>0</v>
      </c>
      <c r="AU185" s="3">
        <f>AT185</f>
        <v>0</v>
      </c>
      <c r="AV185" s="3">
        <f>AU185</f>
        <v>0</v>
      </c>
      <c r="AW185" s="3">
        <f>AV185</f>
        <v>0</v>
      </c>
      <c r="AX185" s="3">
        <f>AW185</f>
        <v>0</v>
      </c>
      <c r="AY185" s="3">
        <f>AX185</f>
        <v>0</v>
      </c>
      <c r="AZ185" s="3">
        <f>AY185</f>
        <v>0</v>
      </c>
      <c r="BA185" s="3">
        <f>AZ185</f>
        <v>0</v>
      </c>
      <c r="BB185" s="3">
        <f>BA185</f>
        <v>0</v>
      </c>
      <c r="BC185" s="3">
        <f>BB185</f>
        <v>0</v>
      </c>
      <c r="BD185" s="3">
        <f>BC185</f>
        <v>0</v>
      </c>
      <c r="BE185" s="3">
        <f>BD185</f>
        <v>0</v>
      </c>
      <c r="BF185" s="3">
        <f>BE185</f>
        <v>0</v>
      </c>
      <c r="BG185" s="3">
        <f>BF185</f>
        <v>0</v>
      </c>
      <c r="BH185" s="3">
        <f>BG185</f>
        <v>0</v>
      </c>
      <c r="BI185" s="3">
        <f>BH185</f>
        <v>0</v>
      </c>
      <c r="BJ185" s="3">
        <f>BI185</f>
        <v>0</v>
      </c>
      <c r="BK185" s="3">
        <f>BJ185</f>
        <v>0</v>
      </c>
      <c r="BL185" s="3">
        <f>BK185</f>
        <v>0</v>
      </c>
      <c r="BM185" s="3">
        <f>BL185</f>
        <v>0</v>
      </c>
      <c r="BN185" s="3">
        <f>BM185</f>
        <v>0</v>
      </c>
      <c r="BO185" s="3">
        <f>BN185</f>
        <v>0</v>
      </c>
      <c r="BP185" s="3">
        <f>BO185</f>
        <v>0</v>
      </c>
      <c r="BQ185" s="3">
        <f>BP185</f>
        <v>0</v>
      </c>
      <c r="BR185" s="3">
        <f>BQ185</f>
        <v>0</v>
      </c>
      <c r="BS185" s="3">
        <f>BR185</f>
        <v>0</v>
      </c>
      <c r="BT185" s="3">
        <f>BS185</f>
        <v>0</v>
      </c>
      <c r="BU185" s="3">
        <f>BT185</f>
        <v>0</v>
      </c>
      <c r="BV185" s="3">
        <f>BU185</f>
        <v>0</v>
      </c>
      <c r="BW185" s="3">
        <f>BV185</f>
        <v>0</v>
      </c>
      <c r="BX185" s="3">
        <f>BW185</f>
        <v>0</v>
      </c>
      <c r="BY185" s="3">
        <f>BX185</f>
        <v>0</v>
      </c>
      <c r="BZ185" s="3">
        <f>BY185</f>
        <v>0</v>
      </c>
      <c r="CA185" s="3">
        <f>BZ185</f>
        <v>0</v>
      </c>
      <c r="CB185" s="3">
        <f>CA185</f>
        <v>0</v>
      </c>
      <c r="CC185" s="3">
        <f>CB185</f>
        <v>0</v>
      </c>
      <c r="CD185" s="3">
        <f>CC185</f>
        <v>0</v>
      </c>
      <c r="CE185" s="3">
        <f>CD185</f>
        <v>0</v>
      </c>
      <c r="CF185" s="3">
        <f>CE185</f>
        <v>0</v>
      </c>
      <c r="CG185" s="3">
        <f>CF185</f>
        <v>0</v>
      </c>
      <c r="CH185" s="3">
        <f>CG185</f>
        <v>0</v>
      </c>
      <c r="CI185" s="3">
        <f>CH185</f>
        <v>0</v>
      </c>
      <c r="CJ185" s="3">
        <f>CI185</f>
        <v>0</v>
      </c>
      <c r="CK185" s="3">
        <f>CJ185</f>
        <v>0</v>
      </c>
      <c r="CL185" s="3">
        <f>CK185</f>
        <v>0</v>
      </c>
      <c r="CM185" s="3">
        <f>CL185</f>
        <v>0</v>
      </c>
      <c r="CN185" s="3">
        <f>CM185</f>
        <v>0</v>
      </c>
      <c r="CO185" s="3">
        <f>CN185</f>
        <v>0</v>
      </c>
      <c r="CP185" s="3">
        <f>CO185</f>
        <v>0</v>
      </c>
      <c r="CQ185" s="3">
        <f>CP185</f>
        <v>0</v>
      </c>
      <c r="CR185" s="3">
        <f>CQ185</f>
        <v>0</v>
      </c>
      <c r="CS185" s="3">
        <f>CR185</f>
        <v>0</v>
      </c>
      <c r="CT185" s="3">
        <f>CS185</f>
        <v>0</v>
      </c>
      <c r="CU185" s="3">
        <f>CT185</f>
        <v>0</v>
      </c>
      <c r="CV185" s="3">
        <f>CU185</f>
        <v>0</v>
      </c>
      <c r="CW185" s="3">
        <f>CV185</f>
        <v>0</v>
      </c>
      <c r="CX185" s="3">
        <f>CW185</f>
        <v>0</v>
      </c>
      <c r="CY185" s="3">
        <f>CX185</f>
        <v>0</v>
      </c>
    </row>
    <row r="186">
      <c r="C186" s="26" t="inlineStr">
        <is>
          <t>Intangibles</t>
        </is>
      </c>
      <c r="D186" s="25">
        <f>INDEX('Inputs (2)'!$D$25:$AL$25,MATCH(D$7,'Inputs (2)'!$D$2:$AL$2,0))</f>
        <v>546.88045883</v>
      </c>
      <c r="E186" s="25">
        <f>INDEX('Inputs (2)'!$D$25:$AL$25,MATCH(E$7,'Inputs (2)'!$D$2:$AL$2,0))</f>
        <v>557.26252384</v>
      </c>
      <c r="F186" s="25">
        <f>INDEX('Inputs (2)'!$D$25:$AL$25,MATCH(F$7,'Inputs (2)'!$D$2:$AL$2,0))</f>
        <v>565.7284701</v>
      </c>
      <c r="G186" s="25">
        <f>INDEX('Inputs (2)'!$D$25:$AL$25,MATCH(G$7,'Inputs (2)'!$D$2:$AL$2,0))</f>
        <v>1071.42</v>
      </c>
      <c r="H186" s="3">
        <f>G186</f>
        <v>1071.42</v>
      </c>
      <c r="I186" s="25">
        <f>INDEX('Inputs (2)'!$D$25:$AL$25,MATCH(I$7,'Inputs (2)'!$D$2:$AL$2,0))</f>
        <v>1075.183</v>
      </c>
      <c r="J186" s="25">
        <f>INDEX('Inputs (2)'!$D$25:$AL$25,MATCH(J$7,'Inputs (2)'!$D$2:$AL$2,0))</f>
        <v>1223.829</v>
      </c>
      <c r="K186" s="25">
        <f>INDEX('Inputs (2)'!$D$25:$AL$25,MATCH(K$7,'Inputs (2)'!$D$2:$AL$2,0))</f>
        <v>1267.48</v>
      </c>
      <c r="L186" s="25">
        <f>INDEX('Inputs (2)'!$D$25:$AL$25,MATCH(L$7,'Inputs (2)'!$D$2:$AL$2,0))</f>
        <v>1346.837</v>
      </c>
      <c r="M186" s="3">
        <f>L186</f>
        <v>1346.837</v>
      </c>
      <c r="N186" s="25">
        <f>INDEX('Inputs (2)'!$D$25:$AL$25,MATCH(N$7,'Inputs (2)'!$D$2:$AL$2,0))</f>
        <v>1368.722</v>
      </c>
      <c r="O186" s="25">
        <f>INDEX('Inputs (2)'!$D$25:$AL$25,MATCH(O$7,'Inputs (2)'!$D$2:$AL$2,0))</f>
        <v>1751.855</v>
      </c>
      <c r="P186" s="25">
        <f>INDEX('Inputs (2)'!$D$25:$AL$25,MATCH(P$7,'Inputs (2)'!$D$2:$AL$2,0))</f>
        <v>2385.375</v>
      </c>
      <c r="Q186" s="25">
        <f>INDEX('Inputs (2)'!$D$25:$AL$25,MATCH(Q$7,'Inputs (2)'!$D$2:$AL$2,0))</f>
        <v>3026.787</v>
      </c>
      <c r="R186" s="3">
        <f>Q186</f>
        <v>3026.787</v>
      </c>
      <c r="S186" s="25">
        <f>INDEX('Inputs (2)'!$D$25:$AL$25,MATCH(S$7,'Inputs (2)'!$D$2:$AL$2,0))</f>
        <v>3044.65127590202</v>
      </c>
      <c r="T186" s="25">
        <f>INDEX('Inputs (2)'!$D$25:$AL$25,MATCH(T$7,'Inputs (2)'!$D$2:$AL$2,0))</f>
        <v>3317.40054457842</v>
      </c>
      <c r="U186" s="25">
        <f>INDEX('Inputs (2)'!$D$25:$AL$25,MATCH(U$7,'Inputs (2)'!$D$2:$AL$2,0))</f>
        <v>3452.47424080022</v>
      </c>
      <c r="V186" s="25">
        <f>INDEX('Inputs (2)'!$D$25:$AL$25,MATCH(V$7,'Inputs (2)'!$D$2:$AL$2,0))</f>
        <v>3516.65504205872</v>
      </c>
      <c r="W186" s="3">
        <f>V186</f>
        <v>3516.65504205872</v>
      </c>
      <c r="X186" s="25">
        <f>INDEX('Inputs (2)'!$D$25:$AL$25,MATCH(X$7,'Inputs (2)'!$D$2:$AL$2,0))</f>
        <v>3603.06087471752</v>
      </c>
      <c r="Y186" s="25">
        <f>INDEX('Inputs (2)'!$D$25:$AL$25,MATCH(Y$7,'Inputs (2)'!$D$2:$AL$2,0))</f>
        <v>3831.16180965402</v>
      </c>
      <c r="Z186" s="25">
        <f>INDEX('Inputs (2)'!$D$25:$AL$25,MATCH(Z$7,'Inputs (2)'!$D$2:$AL$2,0))</f>
        <v>3966.67767125902</v>
      </c>
      <c r="AA186" s="25">
        <f>INDEX('Inputs (2)'!$D$25:$AL$25,MATCH(AA$7,'Inputs (2)'!$D$2:$AL$2,0))</f>
        <v>4206.93408546</v>
      </c>
      <c r="AB186" s="3">
        <f>AA186</f>
        <v>4206.93408546</v>
      </c>
      <c r="AC186" s="25">
        <f>INDEX('Inputs (2)'!$D$25:$AL$25,MATCH(AC$7,'Inputs (2)'!$D$2:$AL$2,0))</f>
        <v>2990.35023541</v>
      </c>
      <c r="AD186" s="25">
        <f>INDEX('Inputs (2)'!$D$25:$AL$25,MATCH(AD$7,'Inputs (2)'!$D$2:$AL$2,0))</f>
        <v>3019.63795716</v>
      </c>
      <c r="AE186" s="25">
        <f>INDEX('Inputs (2)'!$D$25:$AL$25,MATCH(AE$7,'Inputs (2)'!$D$2:$AL$2,0))</f>
        <v>2986.68814482</v>
      </c>
      <c r="AF186" s="25">
        <f>INDEX('Inputs (2)'!$D$25:$AL$25,MATCH(AF$7,'Inputs (2)'!$D$2:$AL$2,0))</f>
        <v>3061.05097683</v>
      </c>
      <c r="AG186" s="3">
        <f>AF186</f>
        <v>3061.05097683</v>
      </c>
      <c r="AH186" s="3">
        <f>INDEX('Inputs (2)'!$D$25:$AL$25,MATCH(AH$7,'Inputs (2)'!$D$2:$AL$2,0))</f>
        <v>3074.30621869</v>
      </c>
      <c r="AI186" s="3">
        <f>INDEX('Inputs (2)'!$D$25:$AL$25,MATCH(AI$7,'Inputs (2)'!$D$2:$AL$2,0))</f>
        <v>3134.04144719</v>
      </c>
      <c r="AJ186" s="3" t="n"/>
      <c r="AK186" s="3" t="n"/>
      <c r="AL186" s="3">
        <f>AK186</f>
        <v>0</v>
      </c>
      <c r="AN186" s="3" t="n"/>
      <c r="AO186" s="3" t="n"/>
      <c r="AP186" s="3" t="n"/>
      <c r="AQ186" s="3">
        <f>AP186</f>
        <v>0</v>
      </c>
      <c r="AS186" s="3" t="n"/>
      <c r="AT186" s="3" t="n"/>
      <c r="AU186" s="3" t="n"/>
      <c r="AV186" s="3">
        <f>AU186</f>
        <v>0</v>
      </c>
      <c r="AX186" s="3" t="n"/>
      <c r="AY186" s="3" t="n"/>
      <c r="AZ186" s="3" t="n"/>
      <c r="BA186" s="3">
        <f>AZ186</f>
        <v>0</v>
      </c>
      <c r="BC186" s="3" t="n"/>
      <c r="BD186" s="3" t="n"/>
      <c r="BE186" s="3" t="n"/>
      <c r="BF186" s="3">
        <f>BE186</f>
        <v>0</v>
      </c>
      <c r="BH186" s="3" t="n"/>
      <c r="BI186" s="3" t="n"/>
      <c r="BJ186" s="3" t="n"/>
      <c r="BK186" s="3">
        <f>BJ186</f>
        <v>0</v>
      </c>
      <c r="BM186" s="3" t="n"/>
      <c r="BN186" s="3" t="n"/>
      <c r="BO186" s="3" t="n"/>
      <c r="BP186" s="3">
        <f>BO186</f>
        <v>0</v>
      </c>
      <c r="BR186" s="3" t="n"/>
      <c r="BS186" s="3" t="n"/>
      <c r="BT186" s="3" t="n"/>
      <c r="BU186" s="3">
        <f>BT186</f>
        <v>0</v>
      </c>
      <c r="BW186" s="3" t="n"/>
      <c r="BX186" s="3" t="n"/>
      <c r="BY186" s="3" t="n"/>
      <c r="BZ186" s="3">
        <f>BY186</f>
        <v>0</v>
      </c>
      <c r="CB186" s="3" t="n"/>
      <c r="CC186" s="3" t="n"/>
      <c r="CD186" s="3" t="n"/>
      <c r="CE186" s="3">
        <f>CD186</f>
        <v>0</v>
      </c>
      <c r="CG186" s="3" t="n"/>
      <c r="CH186" s="3" t="n"/>
      <c r="CI186" s="3" t="n"/>
      <c r="CJ186" s="3">
        <f>CI186</f>
        <v>0</v>
      </c>
      <c r="CL186" s="3" t="n"/>
      <c r="CM186" s="3" t="n"/>
      <c r="CN186" s="3" t="n"/>
      <c r="CO186" s="3">
        <f>CN186</f>
        <v>0</v>
      </c>
      <c r="CQ186" s="3" t="n"/>
      <c r="CR186" s="3" t="n"/>
      <c r="CS186" s="3" t="n"/>
      <c r="CT186" s="3">
        <f>CS186</f>
        <v>0</v>
      </c>
      <c r="CV186" s="3" t="n"/>
      <c r="CW186" s="3" t="n"/>
      <c r="CX186" s="3" t="n"/>
      <c r="CY186" s="3">
        <f>CX186</f>
        <v>0</v>
      </c>
    </row>
    <row r="187" hidden="1" outlineLevel="1">
      <c r="C187" s="34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n"/>
      <c r="CC187" s="3" t="n"/>
      <c r="CD187" s="3" t="n"/>
      <c r="CE187" s="3" t="n"/>
      <c r="CF187" s="3" t="n"/>
      <c r="CG187" s="3" t="n"/>
      <c r="CH187" s="3" t="n"/>
      <c r="CI187" s="3" t="n"/>
      <c r="CJ187" s="3" t="n"/>
      <c r="CK187" s="3" t="n"/>
      <c r="CL187" s="3" t="n"/>
      <c r="CM187" s="3" t="n"/>
      <c r="CN187" s="3" t="n"/>
      <c r="CO187" s="3" t="n"/>
      <c r="CP187" s="3" t="n"/>
      <c r="CQ187" s="3" t="n"/>
      <c r="CR187" s="3" t="n"/>
      <c r="CS187" s="3" t="n"/>
      <c r="CT187" s="3" t="n"/>
      <c r="CU187" s="3" t="n"/>
      <c r="CV187" s="3" t="n"/>
      <c r="CW187" s="3" t="n"/>
      <c r="CX187" s="3" t="n"/>
      <c r="CY187" s="3" t="n"/>
    </row>
    <row r="188" hidden="1" outlineLevel="1">
      <c r="C188" s="34" t="inlineStr">
        <is>
          <t>Purchase of intangible assets</t>
        </is>
      </c>
      <c r="D188" s="3" t="n"/>
      <c r="E188" s="3">
        <f>E186-D186-E90</f>
        <v>10.38206501</v>
      </c>
      <c r="F188" s="3">
        <f>F186-E186-F90</f>
        <v>8.4659462599999</v>
      </c>
      <c r="G188" s="3">
        <f>G186-F186-G90</f>
        <v>505.6915299</v>
      </c>
      <c r="H188" s="3" t="n"/>
      <c r="I188" s="3">
        <f>I186-H186-I90</f>
        <v>3.76299999999992</v>
      </c>
      <c r="J188" s="3">
        <f>J186-I186-J90</f>
        <v>148.646</v>
      </c>
      <c r="K188" s="3">
        <f>K186-J186-K90</f>
        <v>43.6510000000001</v>
      </c>
      <c r="L188" s="3">
        <f>L186-K186-L90</f>
        <v>79.357</v>
      </c>
      <c r="M188" s="3" t="n"/>
      <c r="N188" s="3">
        <f>N186-M186-N90</f>
        <v>21.885</v>
      </c>
      <c r="O188" s="3">
        <f>O186-N186-O90</f>
        <v>383.133</v>
      </c>
      <c r="P188" s="3">
        <f>P186-O186-P90</f>
        <v>633.52</v>
      </c>
      <c r="Q188" s="3">
        <f>Q186-P186-Q90</f>
        <v>641.412</v>
      </c>
      <c r="R188" s="3" t="n"/>
      <c r="S188" s="3">
        <f>S186-R186-S90</f>
        <v>17.8642759020204</v>
      </c>
      <c r="T188" s="3">
        <f>T186-S186-T90</f>
        <v>272.7492686764</v>
      </c>
      <c r="U188" s="3">
        <f>U186-T186-U90</f>
        <v>135.0736962218</v>
      </c>
      <c r="V188" s="3">
        <f>V186-U186-V90</f>
        <v>64.1808012585002</v>
      </c>
      <c r="W188" s="3" t="n"/>
      <c r="X188" s="3">
        <f>X186-W186-X90</f>
        <v>86.4058326588001</v>
      </c>
      <c r="Y188" s="3">
        <f>Y186-X186-Y90</f>
        <v>228.1009349365</v>
      </c>
      <c r="Z188" s="3">
        <f>Z186-Y186-Z90</f>
        <v>135.515861605</v>
      </c>
      <c r="AA188" s="3">
        <f>AA186-Z186-AA90</f>
        <v>240.25641420098</v>
      </c>
      <c r="AB188" s="3" t="n"/>
      <c r="AC188" s="3">
        <f>AC186-AB186-AC90</f>
        <v>-1216.58385005</v>
      </c>
      <c r="AD188" s="3">
        <f>AD186-AC186-AD90</f>
        <v>29.2877217499999</v>
      </c>
      <c r="AE188" s="3">
        <f>AE186-AD186-AE90</f>
        <v>-32.9498123399999</v>
      </c>
      <c r="AF188" s="3" t="n"/>
      <c r="AG188" s="3" t="n"/>
      <c r="AH188" s="6">
        <f>AH186-AG186-AH90</f>
        <v>13.2552418600003</v>
      </c>
      <c r="AI188" s="6">
        <f>AI186-AH186-AI90</f>
        <v>59.7352284999997</v>
      </c>
      <c r="AJ188" s="6" t="n"/>
      <c r="AK188" s="6" t="n"/>
      <c r="AL188" s="3" t="n"/>
      <c r="AM188" s="6" t="n"/>
      <c r="AN188" s="6" t="n"/>
      <c r="AO188" s="6" t="n"/>
      <c r="AP188" s="6" t="n"/>
      <c r="AQ188" s="3" t="n"/>
      <c r="AR188" s="6" t="n"/>
      <c r="AS188" s="6" t="n"/>
      <c r="AT188" s="6" t="n"/>
      <c r="AU188" s="6" t="n"/>
      <c r="AV188" s="3" t="n"/>
      <c r="AW188" s="6" t="n"/>
      <c r="AX188" s="6" t="n"/>
      <c r="AY188" s="6" t="n"/>
      <c r="AZ188" s="6" t="n"/>
      <c r="BA188" s="3" t="n"/>
      <c r="BB188" s="6" t="n"/>
      <c r="BC188" s="6" t="n"/>
      <c r="BD188" s="6" t="n"/>
      <c r="BE188" s="6" t="n"/>
      <c r="BF188" s="3" t="n"/>
      <c r="BG188" s="6" t="n"/>
      <c r="BH188" s="6" t="n"/>
      <c r="BI188" s="6" t="n"/>
      <c r="BJ188" s="6" t="n"/>
      <c r="BK188" s="3" t="n"/>
      <c r="BL188" s="6" t="n"/>
      <c r="BM188" s="6" t="n"/>
      <c r="BN188" s="6" t="n"/>
      <c r="BO188" s="6" t="n"/>
      <c r="BP188" s="3" t="n"/>
      <c r="BQ188" s="6" t="n"/>
      <c r="BR188" s="6" t="n"/>
      <c r="BS188" s="6" t="n"/>
      <c r="BT188" s="6" t="n"/>
      <c r="BU188" s="3" t="n"/>
      <c r="BV188" s="6" t="n"/>
      <c r="BW188" s="6" t="n"/>
      <c r="BX188" s="6" t="n"/>
      <c r="BY188" s="6" t="n"/>
      <c r="BZ188" s="3" t="n"/>
      <c r="CA188" s="6" t="n"/>
      <c r="CB188" s="6" t="n"/>
      <c r="CC188" s="6" t="n"/>
      <c r="CD188" s="6" t="n"/>
      <c r="CE188" s="3" t="n"/>
      <c r="CF188" s="6" t="n"/>
      <c r="CG188" s="6" t="n"/>
      <c r="CH188" s="6" t="n"/>
      <c r="CI188" s="6" t="n"/>
      <c r="CJ188" s="3" t="n"/>
      <c r="CK188" s="6" t="n"/>
      <c r="CL188" s="6" t="n"/>
      <c r="CM188" s="6" t="n"/>
      <c r="CN188" s="6" t="n"/>
      <c r="CO188" s="3" t="n"/>
      <c r="CP188" s="6" t="n"/>
      <c r="CQ188" s="6" t="n"/>
      <c r="CR188" s="6" t="n"/>
      <c r="CS188" s="6" t="n"/>
      <c r="CT188" s="3" t="n"/>
      <c r="CU188" s="6" t="n"/>
      <c r="CV188" s="6" t="n"/>
      <c r="CW188" s="6" t="n"/>
      <c r="CX188" s="6" t="n"/>
      <c r="CY188" s="3" t="n"/>
    </row>
    <row r="189" hidden="1" outlineLevel="1">
      <c r="C189" s="34" t="inlineStr">
        <is>
          <t>Amortization (enter as -)</t>
        </is>
      </c>
      <c r="D189" s="3" t="n"/>
      <c r="E189" s="3">
        <f>E89</f>
        <v>0</v>
      </c>
      <c r="F189" s="3">
        <f>F89</f>
        <v>0</v>
      </c>
      <c r="G189" s="3">
        <f>G89</f>
        <v>0</v>
      </c>
      <c r="H189" s="3" t="n"/>
      <c r="I189" s="3">
        <f>I89</f>
        <v>0</v>
      </c>
      <c r="J189" s="3">
        <f>J89</f>
        <v>0</v>
      </c>
      <c r="K189" s="3">
        <f>K89</f>
        <v>0</v>
      </c>
      <c r="L189" s="3">
        <f>L89</f>
        <v>0</v>
      </c>
      <c r="M189" s="3" t="n"/>
      <c r="N189" s="3">
        <f>N89</f>
        <v>0</v>
      </c>
      <c r="O189" s="3">
        <f>O89</f>
        <v>0</v>
      </c>
      <c r="P189" s="3">
        <f>P89</f>
        <v>0</v>
      </c>
      <c r="Q189" s="3">
        <f>Q89</f>
        <v>0</v>
      </c>
      <c r="R189" s="3" t="n"/>
      <c r="S189" s="3">
        <f>S89</f>
        <v>0</v>
      </c>
      <c r="T189" s="3">
        <f>T89</f>
        <v>0</v>
      </c>
      <c r="U189" s="3">
        <f>U89</f>
        <v>0</v>
      </c>
      <c r="V189" s="3">
        <f>V89</f>
        <v>0</v>
      </c>
      <c r="W189" s="3" t="n"/>
      <c r="X189" s="3">
        <f>X89</f>
        <v>0</v>
      </c>
      <c r="Y189" s="3">
        <f>Y89</f>
        <v>0</v>
      </c>
      <c r="Z189" s="3">
        <f>Z89</f>
        <v>0</v>
      </c>
      <c r="AA189" s="3">
        <f>AA89</f>
        <v>0</v>
      </c>
      <c r="AB189" s="3" t="n"/>
      <c r="AC189" s="3">
        <f>AC89</f>
        <v>0</v>
      </c>
      <c r="AD189" s="3">
        <f>AD89</f>
        <v>0</v>
      </c>
      <c r="AE189" s="3">
        <f>AE89</f>
        <v>0</v>
      </c>
      <c r="AF189" s="3" t="n"/>
      <c r="AG189" s="3" t="n"/>
      <c r="AH189" s="3">
        <f>AH89</f>
        <v>0</v>
      </c>
      <c r="AI189" s="6">
        <f>AI89</f>
        <v>0</v>
      </c>
      <c r="AJ189" s="6" t="n"/>
      <c r="AK189" s="6" t="n"/>
      <c r="AL189" s="3" t="n"/>
      <c r="AM189" s="6" t="n"/>
      <c r="AN189" s="6" t="n"/>
      <c r="AO189" s="6" t="n"/>
      <c r="AP189" s="6" t="n"/>
      <c r="AQ189" s="3" t="n"/>
      <c r="AR189" s="6" t="n"/>
      <c r="AS189" s="6" t="n"/>
      <c r="AT189" s="6" t="n"/>
      <c r="AU189" s="6" t="n"/>
      <c r="AV189" s="3" t="n"/>
      <c r="AW189" s="6" t="n"/>
      <c r="AX189" s="6" t="n"/>
      <c r="AY189" s="6" t="n"/>
      <c r="AZ189" s="6" t="n"/>
      <c r="BA189" s="3" t="n"/>
      <c r="BB189" s="6" t="n"/>
      <c r="BC189" s="6" t="n"/>
      <c r="BD189" s="6" t="n"/>
      <c r="BE189" s="6" t="n"/>
      <c r="BF189" s="3" t="n"/>
      <c r="BG189" s="6" t="n"/>
      <c r="BH189" s="6" t="n"/>
      <c r="BI189" s="6" t="n"/>
      <c r="BJ189" s="6" t="n"/>
      <c r="BK189" s="3" t="n"/>
      <c r="BL189" s="6" t="n"/>
      <c r="BM189" s="6" t="n"/>
      <c r="BN189" s="6" t="n"/>
      <c r="BO189" s="6" t="n"/>
      <c r="BP189" s="3" t="n"/>
      <c r="BQ189" s="6" t="n"/>
      <c r="BR189" s="6" t="n"/>
      <c r="BS189" s="6" t="n"/>
      <c r="BT189" s="6" t="n"/>
      <c r="BU189" s="3" t="n"/>
      <c r="BV189" s="6" t="n"/>
      <c r="BW189" s="6" t="n"/>
      <c r="BX189" s="6" t="n"/>
      <c r="BY189" s="6" t="n"/>
      <c r="BZ189" s="3" t="n"/>
      <c r="CA189" s="6" t="n"/>
      <c r="CB189" s="6" t="n"/>
      <c r="CC189" s="6" t="n"/>
      <c r="CD189" s="6" t="n"/>
      <c r="CE189" s="3" t="n"/>
      <c r="CF189" s="6" t="n"/>
      <c r="CG189" s="6" t="n"/>
      <c r="CH189" s="6" t="n"/>
      <c r="CI189" s="6" t="n"/>
      <c r="CJ189" s="3" t="n"/>
      <c r="CK189" s="6" t="n"/>
      <c r="CL189" s="6" t="n"/>
      <c r="CM189" s="6" t="n"/>
      <c r="CN189" s="6" t="n"/>
      <c r="CO189" s="3" t="n"/>
      <c r="CP189" s="6" t="n"/>
      <c r="CQ189" s="6" t="n"/>
      <c r="CR189" s="6" t="n"/>
      <c r="CS189" s="6" t="n"/>
      <c r="CT189" s="3" t="n"/>
      <c r="CU189" s="6" t="n"/>
      <c r="CV189" s="6" t="n"/>
      <c r="CW189" s="6" t="n"/>
      <c r="CX189" s="6" t="n"/>
      <c r="CY189" s="3" t="n"/>
    </row>
    <row r="190" hidden="1" outlineLevel="1">
      <c r="C190" s="34" t="inlineStr">
        <is>
          <t>Intangibles</t>
        </is>
      </c>
      <c r="D190" s="3" t="n"/>
      <c r="E190" s="3">
        <f>E186</f>
        <v>557.26252384</v>
      </c>
      <c r="F190" s="3">
        <f>F186</f>
        <v>565.7284701</v>
      </c>
      <c r="G190" s="3">
        <f>G186</f>
        <v>1071.42</v>
      </c>
      <c r="H190" s="3" t="n"/>
      <c r="I190" s="3">
        <f>I186</f>
        <v>1075.183</v>
      </c>
      <c r="J190" s="3">
        <f>J186</f>
        <v>1223.829</v>
      </c>
      <c r="K190" s="3">
        <f>K186</f>
        <v>1267.48</v>
      </c>
      <c r="L190" s="3">
        <f>L186</f>
        <v>1346.837</v>
      </c>
      <c r="M190" s="3" t="n"/>
      <c r="N190" s="3">
        <f>N186</f>
        <v>1368.722</v>
      </c>
      <c r="O190" s="3">
        <f>O186</f>
        <v>1751.855</v>
      </c>
      <c r="P190" s="3">
        <f>P186</f>
        <v>2385.375</v>
      </c>
      <c r="Q190" s="3">
        <f>Q186</f>
        <v>3026.787</v>
      </c>
      <c r="R190" s="3" t="n"/>
      <c r="S190" s="3">
        <f>S186</f>
        <v>3044.65127590202</v>
      </c>
      <c r="T190" s="3">
        <f>T186</f>
        <v>3317.40054457842</v>
      </c>
      <c r="U190" s="3">
        <f>U186</f>
        <v>3452.47424080022</v>
      </c>
      <c r="V190" s="3">
        <f>V186</f>
        <v>3516.65504205872</v>
      </c>
      <c r="W190" s="3" t="n"/>
      <c r="X190" s="3">
        <f>X186</f>
        <v>3603.06087471752</v>
      </c>
      <c r="Y190" s="3">
        <f>Y186</f>
        <v>3831.16180965402</v>
      </c>
      <c r="Z190" s="3">
        <f>Z186</f>
        <v>3966.67767125902</v>
      </c>
      <c r="AA190" s="3">
        <f>AA186</f>
        <v>4206.93408546</v>
      </c>
      <c r="AB190" s="3" t="n"/>
      <c r="AC190" s="3">
        <f>AC186</f>
        <v>2990.35023541</v>
      </c>
      <c r="AD190" s="3">
        <f>AD186</f>
        <v>3019.63795716</v>
      </c>
      <c r="AE190" s="3">
        <f>AE186</f>
        <v>2986.68814482</v>
      </c>
      <c r="AF190" s="3">
        <f>AF186</f>
        <v>3061.05097683</v>
      </c>
      <c r="AG190" s="3" t="n"/>
      <c r="AH190" s="3">
        <f>AH186</f>
        <v>3074.30621869</v>
      </c>
      <c r="AI190" s="3">
        <f>AI186</f>
        <v>3134.04144719</v>
      </c>
      <c r="AJ190" s="3">
        <f>AI190+SUM(AJ188:AJ189)</f>
        <v>3134.04144719</v>
      </c>
      <c r="AK190" s="3">
        <f>AJ190+SUM(AK188:AK189)</f>
        <v>3134.04144719</v>
      </c>
      <c r="AL190" s="3" t="n"/>
      <c r="AM190" s="3">
        <f>AK190+SUM(AM188:AM189)</f>
        <v>3134.04144719</v>
      </c>
      <c r="AN190" s="3">
        <f>AM190+SUM(AN188:AN189)</f>
        <v>3134.04144719</v>
      </c>
      <c r="AO190" s="3">
        <f>AN190+SUM(AO188:AO189)</f>
        <v>3134.04144719</v>
      </c>
      <c r="AP190" s="3">
        <f>AO190+SUM(AP188:AP189)</f>
        <v>3134.04144719</v>
      </c>
      <c r="AQ190" s="3" t="n"/>
      <c r="AR190" s="3">
        <f>AP190+SUM(AR188:AR189)</f>
        <v>3134.04144719</v>
      </c>
      <c r="AS190" s="3">
        <f>AR190+SUM(AS188:AS189)</f>
        <v>3134.04144719</v>
      </c>
      <c r="AT190" s="3">
        <f>AS190+SUM(AT188:AT189)</f>
        <v>3134.04144719</v>
      </c>
      <c r="AU190" s="3">
        <f>AT190+SUM(AU188:AU189)</f>
        <v>3134.04144719</v>
      </c>
      <c r="AV190" s="3" t="n"/>
      <c r="AW190" s="3">
        <f>AU190+SUM(AW188:AW189)</f>
        <v>3134.04144719</v>
      </c>
      <c r="AX190" s="3">
        <f>AW190+SUM(AX188:AX189)</f>
        <v>3134.04144719</v>
      </c>
      <c r="AY190" s="3">
        <f>AX190+SUM(AY188:AY189)</f>
        <v>3134.04144719</v>
      </c>
      <c r="AZ190" s="3">
        <f>AY190+SUM(AZ188:AZ189)</f>
        <v>3134.04144719</v>
      </c>
      <c r="BA190" s="3" t="n"/>
      <c r="BB190" s="3">
        <f>AZ190+SUM(BB188:BB189)</f>
        <v>3134.04144719</v>
      </c>
      <c r="BC190" s="3">
        <f>BB190+SUM(BC188:BC189)</f>
        <v>3134.04144719</v>
      </c>
      <c r="BD190" s="3">
        <f>BC190+SUM(BD188:BD189)</f>
        <v>3134.04144719</v>
      </c>
      <c r="BE190" s="3">
        <f>BD190+SUM(BE188:BE189)</f>
        <v>3134.04144719</v>
      </c>
      <c r="BF190" s="3" t="n"/>
      <c r="BG190" s="3">
        <f>BE190+SUM(BG188:BG189)</f>
        <v>3134.04144719</v>
      </c>
      <c r="BH190" s="3">
        <f>BG190+SUM(BH188:BH189)</f>
        <v>3134.04144719</v>
      </c>
      <c r="BI190" s="3">
        <f>BH190+SUM(BI188:BI189)</f>
        <v>3134.04144719</v>
      </c>
      <c r="BJ190" s="3">
        <f>BI190+SUM(BJ188:BJ189)</f>
        <v>3134.04144719</v>
      </c>
      <c r="BK190" s="3" t="n"/>
      <c r="BL190" s="3">
        <f>BJ190+SUM(BL188:BL189)</f>
        <v>3134.04144719</v>
      </c>
      <c r="BM190" s="3">
        <f>BL190+SUM(BM188:BM189)</f>
        <v>3134.04144719</v>
      </c>
      <c r="BN190" s="3">
        <f>BM190+SUM(BN188:BN189)</f>
        <v>3134.04144719</v>
      </c>
      <c r="BO190" s="3">
        <f>BN190+SUM(BO188:BO189)</f>
        <v>3134.04144719</v>
      </c>
      <c r="BP190" s="3" t="n"/>
      <c r="BQ190" s="3">
        <f>BO190+SUM(BQ188:BQ189)</f>
        <v>3134.04144719</v>
      </c>
      <c r="BR190" s="3">
        <f>BQ190+SUM(BR188:BR189)</f>
        <v>3134.04144719</v>
      </c>
      <c r="BS190" s="3">
        <f>BR190+SUM(BS188:BS189)</f>
        <v>3134.04144719</v>
      </c>
      <c r="BT190" s="3">
        <f>BS190+SUM(BT188:BT189)</f>
        <v>3134.04144719</v>
      </c>
      <c r="BU190" s="3" t="n"/>
      <c r="BV190" s="3">
        <f>BT190+SUM(BV188:BV189)</f>
        <v>3134.04144719</v>
      </c>
      <c r="BW190" s="3">
        <f>BV190+SUM(BW188:BW189)</f>
        <v>3134.04144719</v>
      </c>
      <c r="BX190" s="3">
        <f>BW190+SUM(BX188:BX189)</f>
        <v>3134.04144719</v>
      </c>
      <c r="BY190" s="3">
        <f>BX190+SUM(BY188:BY189)</f>
        <v>3134.04144719</v>
      </c>
      <c r="BZ190" s="3" t="n"/>
      <c r="CA190" s="3">
        <f>BY190+SUM(CA188:CA189)</f>
        <v>3134.04144719</v>
      </c>
      <c r="CB190" s="3">
        <f>CA190+SUM(CB188:CB189)</f>
        <v>3134.04144719</v>
      </c>
      <c r="CC190" s="3">
        <f>CB190+SUM(CC188:CC189)</f>
        <v>3134.04144719</v>
      </c>
      <c r="CD190" s="3">
        <f>CC190+SUM(CD188:CD189)</f>
        <v>3134.04144719</v>
      </c>
      <c r="CE190" s="3" t="n"/>
      <c r="CF190" s="3">
        <f>CD190+SUM(CF188:CF189)</f>
        <v>3134.04144719</v>
      </c>
      <c r="CG190" s="3">
        <f>CF190+SUM(CG188:CG189)</f>
        <v>3134.04144719</v>
      </c>
      <c r="CH190" s="3">
        <f>CG190+SUM(CH188:CH189)</f>
        <v>3134.04144719</v>
      </c>
      <c r="CI190" s="3">
        <f>CH190+SUM(CI188:CI189)</f>
        <v>3134.04144719</v>
      </c>
      <c r="CJ190" s="3" t="n"/>
      <c r="CK190" s="3">
        <f>CI190+SUM(CK188:CK189)</f>
        <v>3134.04144719</v>
      </c>
      <c r="CL190" s="3">
        <f>CK190+SUM(CL188:CL189)</f>
        <v>3134.04144719</v>
      </c>
      <c r="CM190" s="3">
        <f>CL190+SUM(CM188:CM189)</f>
        <v>3134.04144719</v>
      </c>
      <c r="CN190" s="3">
        <f>CM190+SUM(CN188:CN189)</f>
        <v>3134.04144719</v>
      </c>
      <c r="CO190" s="3" t="n"/>
      <c r="CP190" s="3">
        <f>CN190+SUM(CP188:CP189)</f>
        <v>3134.04144719</v>
      </c>
      <c r="CQ190" s="3">
        <f>CP190+SUM(CQ188:CQ189)</f>
        <v>3134.04144719</v>
      </c>
      <c r="CR190" s="3">
        <f>CQ190+SUM(CR188:CR189)</f>
        <v>3134.04144719</v>
      </c>
      <c r="CS190" s="3">
        <f>CR190+SUM(CS188:CS189)</f>
        <v>3134.04144719</v>
      </c>
      <c r="CT190" s="3" t="n"/>
      <c r="CU190" s="3">
        <f>CS190+SUM(CU188:CU189)</f>
        <v>3134.04144719</v>
      </c>
      <c r="CV190" s="3">
        <f>CU190+SUM(CV188:CV189)</f>
        <v>3134.04144719</v>
      </c>
      <c r="CW190" s="3">
        <f>CV190+SUM(CW188:CW189)</f>
        <v>3134.04144719</v>
      </c>
      <c r="CX190" s="3">
        <f>CW190+SUM(CX188:CX189)</f>
        <v>3134.04144719</v>
      </c>
      <c r="CY190" s="3" t="n"/>
      <c r="CZ190">
        <f>CX190+SUM(CZ188:CZ189)</f>
        <v>3134.04144719</v>
      </c>
      <c r="DA190">
        <f>CZ190+SUM(DA188:DA189)</f>
        <v>3134.04144719</v>
      </c>
      <c r="DB190">
        <f>DA190+SUM(DB188:DB189)</f>
        <v>3134.04144719</v>
      </c>
      <c r="DC190">
        <f>DB190+SUM(DC188:DC189)</f>
        <v>3134.04144719</v>
      </c>
    </row>
    <row r="191" hidden="1" outlineLevel="1">
      <c r="C191" s="34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/>
      <c r="BN191" s="3" t="n"/>
      <c r="BO191" s="3" t="n"/>
      <c r="BP191" s="3" t="n"/>
      <c r="BQ191" s="3" t="n"/>
      <c r="BR191" s="3" t="n"/>
      <c r="BS191" s="3" t="n"/>
      <c r="BT191" s="3" t="n"/>
      <c r="BU191" s="3" t="n"/>
      <c r="BV191" s="3" t="n"/>
      <c r="BW191" s="3" t="n"/>
      <c r="BX191" s="3" t="n"/>
      <c r="BY191" s="3" t="n"/>
      <c r="BZ191" s="3" t="n"/>
      <c r="CA191" s="3" t="n"/>
      <c r="CB191" s="3" t="n"/>
      <c r="CC191" s="3" t="n"/>
      <c r="CD191" s="3" t="n"/>
      <c r="CE191" s="3" t="n"/>
      <c r="CF191" s="3" t="n"/>
      <c r="CG191" s="3" t="n"/>
      <c r="CH191" s="3" t="n"/>
      <c r="CI191" s="3" t="n"/>
      <c r="CJ191" s="3" t="n"/>
      <c r="CK191" s="3" t="n"/>
      <c r="CL191" s="3" t="n"/>
      <c r="CM191" s="3" t="n"/>
      <c r="CN191" s="3" t="n"/>
      <c r="CO191" s="3" t="n"/>
      <c r="CP191" s="3" t="n"/>
      <c r="CQ191" s="3" t="n"/>
      <c r="CR191" s="3" t="n"/>
      <c r="CS191" s="3" t="n"/>
      <c r="CT191" s="3" t="n"/>
      <c r="CU191" s="3" t="n"/>
      <c r="CV191" s="3" t="n"/>
      <c r="CW191" s="3" t="n"/>
      <c r="CX191" s="3" t="n"/>
      <c r="CY191" s="3" t="n"/>
    </row>
    <row r="192" hidden="1" outlineLevel="1">
      <c r="C192" s="34" t="inlineStr">
        <is>
          <t>Definir % do D&amp;A No PPE and Intagibles</t>
        </is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/>
      <c r="BQ192" s="3" t="n"/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  <c r="CA192" s="3" t="n"/>
      <c r="CB192" s="3" t="n"/>
      <c r="CC192" s="3" t="n"/>
      <c r="CD192" s="3" t="n"/>
      <c r="CE192" s="3" t="n"/>
      <c r="CF192" s="3" t="n"/>
      <c r="CG192" s="3" t="n"/>
      <c r="CH192" s="3" t="n"/>
      <c r="CI192" s="3" t="n"/>
      <c r="CJ192" s="3" t="n"/>
      <c r="CK192" s="3" t="n"/>
      <c r="CL192" s="3" t="n"/>
      <c r="CM192" s="3" t="n"/>
      <c r="CN192" s="3" t="n"/>
      <c r="CO192" s="3" t="n"/>
      <c r="CP192" s="3" t="n"/>
      <c r="CQ192" s="3" t="n"/>
      <c r="CR192" s="3" t="n"/>
      <c r="CS192" s="3" t="n"/>
      <c r="CT192" s="3" t="n"/>
      <c r="CU192" s="3" t="n"/>
      <c r="CV192" s="3" t="n"/>
      <c r="CW192" s="3" t="n"/>
      <c r="CX192" s="3" t="n"/>
      <c r="CY192" s="3" t="n"/>
    </row>
    <row r="193" hidden="1" outlineLevel="1">
      <c r="C193" s="34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  <c r="AY193" s="3" t="n"/>
      <c r="AZ193" s="3" t="n"/>
      <c r="BA193" s="3" t="n"/>
      <c r="BB193" s="3" t="n"/>
      <c r="BC193" s="3" t="n"/>
      <c r="BD193" s="3" t="n"/>
      <c r="BE193" s="3" t="n"/>
      <c r="BF193" s="3" t="n"/>
      <c r="BG193" s="3" t="n"/>
      <c r="BH193" s="3" t="n"/>
      <c r="BI193" s="3" t="n"/>
      <c r="BJ193" s="3" t="n"/>
      <c r="BK193" s="3" t="n"/>
      <c r="BL193" s="3" t="n"/>
      <c r="BM193" s="3" t="n"/>
      <c r="BN193" s="3" t="n"/>
      <c r="BO193" s="3" t="n"/>
      <c r="BP193" s="3" t="n"/>
      <c r="BQ193" s="3" t="n"/>
      <c r="BR193" s="3" t="n"/>
      <c r="BS193" s="3" t="n"/>
      <c r="BT193" s="3" t="n"/>
      <c r="BU193" s="3" t="n"/>
      <c r="BV193" s="3" t="n"/>
      <c r="BW193" s="3" t="n"/>
      <c r="BX193" s="3" t="n"/>
      <c r="BY193" s="3" t="n"/>
      <c r="BZ193" s="3" t="n"/>
      <c r="CA193" s="3" t="n"/>
      <c r="CB193" s="3" t="n"/>
      <c r="CC193" s="3" t="n"/>
      <c r="CD193" s="3" t="n"/>
      <c r="CE193" s="3" t="n"/>
      <c r="CF193" s="3" t="n"/>
      <c r="CG193" s="3" t="n"/>
      <c r="CH193" s="3" t="n"/>
      <c r="CI193" s="3" t="n"/>
      <c r="CJ193" s="3" t="n"/>
      <c r="CK193" s="3" t="n"/>
      <c r="CL193" s="3" t="n"/>
      <c r="CM193" s="3" t="n"/>
      <c r="CN193" s="3" t="n"/>
      <c r="CO193" s="3" t="n"/>
      <c r="CP193" s="3" t="n"/>
      <c r="CQ193" s="3" t="n"/>
      <c r="CR193" s="3" t="n"/>
      <c r="CS193" s="3" t="n"/>
      <c r="CT193" s="3" t="n"/>
      <c r="CU193" s="3" t="n"/>
      <c r="CV193" s="3" t="n"/>
      <c r="CW193" s="3" t="n"/>
      <c r="CX193" s="3" t="n"/>
      <c r="CY193" s="3" t="n"/>
    </row>
    <row r="194" hidden="1" outlineLevel="1">
      <c r="C194" s="34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n"/>
      <c r="CF194" s="3" t="n"/>
      <c r="CG194" s="3" t="n"/>
      <c r="CH194" s="3" t="n"/>
      <c r="CI194" s="3" t="n"/>
      <c r="CJ194" s="3" t="n"/>
      <c r="CK194" s="3" t="n"/>
      <c r="CL194" s="3" t="n"/>
      <c r="CM194" s="3" t="n"/>
      <c r="CN194" s="3" t="n"/>
      <c r="CO194" s="3" t="n"/>
      <c r="CP194" s="3" t="n"/>
      <c r="CQ194" s="3" t="n"/>
      <c r="CR194" s="3" t="n"/>
      <c r="CS194" s="3" t="n"/>
      <c r="CT194" s="3" t="n"/>
      <c r="CU194" s="3" t="n"/>
      <c r="CV194" s="3" t="n"/>
      <c r="CW194" s="3" t="n"/>
      <c r="CX194" s="3" t="n"/>
      <c r="CY194" s="3" t="n"/>
    </row>
    <row r="195" collapsed="1">
      <c r="C195" s="26" t="inlineStr">
        <is>
          <t>Other non-current assets</t>
        </is>
      </c>
      <c r="D195" s="25">
        <f>INDEX('Inputs (2)'!$D$26:$AL$26,MATCH(D$7,'Inputs (2)'!$D$2:$AL$2,0))</f>
        <v>1290.64487766</v>
      </c>
      <c r="E195" s="25">
        <f>INDEX('Inputs (2)'!$D$26:$AL$26,MATCH(E$7,'Inputs (2)'!$D$2:$AL$2,0))</f>
        <v>886.71606673</v>
      </c>
      <c r="F195" s="25">
        <f>INDEX('Inputs (2)'!$D$26:$AL$26,MATCH(F$7,'Inputs (2)'!$D$2:$AL$2,0))</f>
        <v>961.88223753</v>
      </c>
      <c r="G195" s="25">
        <f>INDEX('Inputs (2)'!$D$26:$AL$26,MATCH(G$7,'Inputs (2)'!$D$2:$AL$2,0))</f>
        <v>920.19773362</v>
      </c>
      <c r="H195" s="3">
        <f>G195</f>
        <v>920.19773362</v>
      </c>
      <c r="I195" s="25">
        <f>INDEX('Inputs (2)'!$D$26:$AL$26,MATCH(I$7,'Inputs (2)'!$D$2:$AL$2,0))</f>
        <v>982.74521946</v>
      </c>
      <c r="J195" s="25">
        <f>INDEX('Inputs (2)'!$D$26:$AL$26,MATCH(J$7,'Inputs (2)'!$D$2:$AL$2,0))</f>
        <v>1108.659</v>
      </c>
      <c r="K195" s="25">
        <f>INDEX('Inputs (2)'!$D$26:$AL$26,MATCH(K$7,'Inputs (2)'!$D$2:$AL$2,0))</f>
        <v>1006.876</v>
      </c>
      <c r="L195" s="25">
        <f>INDEX('Inputs (2)'!$D$26:$AL$26,MATCH(L$7,'Inputs (2)'!$D$2:$AL$2,0))</f>
        <v>1045.755</v>
      </c>
      <c r="M195" s="3">
        <f>L195</f>
        <v>1045.755</v>
      </c>
      <c r="N195" s="25">
        <f>INDEX('Inputs (2)'!$D$26:$AL$26,MATCH(N$7,'Inputs (2)'!$D$2:$AL$2,0))</f>
        <v>1032.759</v>
      </c>
      <c r="O195" s="25">
        <f>INDEX('Inputs (2)'!$D$26:$AL$26,MATCH(O$7,'Inputs (2)'!$D$2:$AL$2,0))</f>
        <v>1096.385</v>
      </c>
      <c r="P195" s="25">
        <f>INDEX('Inputs (2)'!$D$26:$AL$26,MATCH(P$7,'Inputs (2)'!$D$2:$AL$2,0))</f>
        <v>1512.191</v>
      </c>
      <c r="Q195" s="25">
        <f>INDEX('Inputs (2)'!$D$26:$AL$26,MATCH(Q$7,'Inputs (2)'!$D$2:$AL$2,0))</f>
        <v>1496.935</v>
      </c>
      <c r="R195" s="3">
        <f>Q195</f>
        <v>1496.935</v>
      </c>
      <c r="S195" s="25">
        <f>INDEX('Inputs (2)'!$D$26:$AL$26,MATCH(S$7,'Inputs (2)'!$D$2:$AL$2,0))</f>
        <v>1371.79047940491</v>
      </c>
      <c r="T195" s="25">
        <f>INDEX('Inputs (2)'!$D$26:$AL$26,MATCH(T$7,'Inputs (2)'!$D$2:$AL$2,0))</f>
        <v>2122.83859222854</v>
      </c>
      <c r="U195" s="25">
        <f>INDEX('Inputs (2)'!$D$26:$AL$26,MATCH(U$7,'Inputs (2)'!$D$2:$AL$2,0))</f>
        <v>1917.04163920601</v>
      </c>
      <c r="V195" s="25">
        <f>INDEX('Inputs (2)'!$D$26:$AL$26,MATCH(V$7,'Inputs (2)'!$D$2:$AL$2,0))</f>
        <v>2829.58276978756</v>
      </c>
      <c r="W195" s="3">
        <f>V195</f>
        <v>2829.58276978756</v>
      </c>
      <c r="X195" s="25">
        <f>INDEX('Inputs (2)'!$D$26:$AL$26,MATCH(X$7,'Inputs (2)'!$D$2:$AL$2,0))</f>
        <v>2549.38754911224</v>
      </c>
      <c r="Y195" s="25">
        <f>INDEX('Inputs (2)'!$D$26:$AL$26,MATCH(Y$7,'Inputs (2)'!$D$2:$AL$2,0))</f>
        <v>2903.71507226588</v>
      </c>
      <c r="Z195" s="25">
        <f>INDEX('Inputs (2)'!$D$26:$AL$26,MATCH(Z$7,'Inputs (2)'!$D$2:$AL$2,0))</f>
        <v>2969.47543591092</v>
      </c>
      <c r="AA195" s="25">
        <f>INDEX('Inputs (2)'!$D$26:$AL$26,MATCH(AA$7,'Inputs (2)'!$D$2:$AL$2,0))</f>
        <v>4198.8996584</v>
      </c>
      <c r="AB195" s="3">
        <f>AA195</f>
        <v>4198.8996584</v>
      </c>
      <c r="AC195" s="25">
        <f>INDEX('Inputs (2)'!$D$26:$AL$26,MATCH(AC$7,'Inputs (2)'!$D$2:$AL$2,0))</f>
        <v>3081.89937836</v>
      </c>
      <c r="AD195" s="25">
        <f>INDEX('Inputs (2)'!$D$26:$AL$26,MATCH(AD$7,'Inputs (2)'!$D$2:$AL$2,0))</f>
        <v>2399.52190193</v>
      </c>
      <c r="AE195" s="25">
        <f>INDEX('Inputs (2)'!$D$26:$AL$26,MATCH(AE$7,'Inputs (2)'!$D$2:$AL$2,0))</f>
        <v>2419.20708444</v>
      </c>
      <c r="AF195" s="25">
        <f>INDEX('Inputs (2)'!$D$26:$AL$26,MATCH(AF$7,'Inputs (2)'!$D$2:$AL$2,0))</f>
        <v>2635.01576854</v>
      </c>
      <c r="AG195" s="3">
        <f>AF195</f>
        <v>2635.01576854</v>
      </c>
      <c r="AH195" s="3">
        <f>INDEX('Inputs (2)'!$D$26:$AL$26,MATCH(AH$7,'Inputs (2)'!$D$2:$AL$2,0))</f>
        <v>2838.20787767</v>
      </c>
      <c r="AI195" s="3">
        <f>INDEX('Inputs (2)'!$D$26:$AL$26,MATCH(AI$7,'Inputs (2)'!$D$2:$AL$2,0))</f>
        <v>2775.84852478</v>
      </c>
      <c r="AJ195" s="3">
        <f>AI195</f>
        <v>2775.84852478</v>
      </c>
      <c r="AK195" s="3">
        <f>AJ195</f>
        <v>2775.84852478</v>
      </c>
      <c r="AL195" s="3">
        <f>AK195</f>
        <v>2775.84852478</v>
      </c>
      <c r="AM195" s="3">
        <f>AL195</f>
        <v>2775.84852478</v>
      </c>
      <c r="AN195" s="3">
        <f>AM195</f>
        <v>2775.84852478</v>
      </c>
      <c r="AO195" s="3">
        <f>AN195</f>
        <v>2775.84852478</v>
      </c>
      <c r="AP195" s="3">
        <f>AO195</f>
        <v>2775.84852478</v>
      </c>
      <c r="AQ195" s="3">
        <f>AP195</f>
        <v>2775.84852478</v>
      </c>
      <c r="AR195" s="3">
        <f>AQ195</f>
        <v>2775.84852478</v>
      </c>
      <c r="AS195" s="3">
        <f>AR195</f>
        <v>2775.84852478</v>
      </c>
      <c r="AT195" s="3">
        <f>AS195</f>
        <v>2775.84852478</v>
      </c>
      <c r="AU195" s="3">
        <f>AT195</f>
        <v>2775.84852478</v>
      </c>
      <c r="AV195" s="3">
        <f>AU195</f>
        <v>2775.84852478</v>
      </c>
      <c r="AW195" s="3">
        <f>AV195</f>
        <v>2775.84852478</v>
      </c>
      <c r="AX195" s="3">
        <f>AW195</f>
        <v>2775.84852478</v>
      </c>
      <c r="AY195" s="3">
        <f>AX195</f>
        <v>2775.84852478</v>
      </c>
      <c r="AZ195" s="3">
        <f>AY195</f>
        <v>2775.84852478</v>
      </c>
      <c r="BA195" s="3">
        <f>AZ195</f>
        <v>2775.84852478</v>
      </c>
      <c r="BB195" s="3">
        <f>BA195</f>
        <v>2775.84852478</v>
      </c>
      <c r="BC195" s="3">
        <f>BB195</f>
        <v>2775.84852478</v>
      </c>
      <c r="BD195" s="3">
        <f>BC195</f>
        <v>2775.84852478</v>
      </c>
      <c r="BE195" s="3">
        <f>BD195</f>
        <v>2775.84852478</v>
      </c>
      <c r="BF195" s="3">
        <f>BE195</f>
        <v>2775.84852478</v>
      </c>
      <c r="BG195" s="3">
        <f>BF195</f>
        <v>2775.84852478</v>
      </c>
      <c r="BH195" s="3">
        <f>BG195</f>
        <v>2775.84852478</v>
      </c>
      <c r="BI195" s="3">
        <f>BH195</f>
        <v>2775.84852478</v>
      </c>
      <c r="BJ195" s="3">
        <f>BI195</f>
        <v>2775.84852478</v>
      </c>
      <c r="BK195" s="3">
        <f>BJ195</f>
        <v>2775.84852478</v>
      </c>
      <c r="BL195" s="3">
        <f>BK195</f>
        <v>2775.84852478</v>
      </c>
      <c r="BM195" s="3">
        <f>BL195</f>
        <v>2775.84852478</v>
      </c>
      <c r="BN195" s="3">
        <f>BM195</f>
        <v>2775.84852478</v>
      </c>
      <c r="BO195" s="3">
        <f>BN195</f>
        <v>2775.84852478</v>
      </c>
      <c r="BP195" s="3">
        <f>BO195</f>
        <v>2775.84852478</v>
      </c>
      <c r="BQ195" s="3">
        <f>BP195</f>
        <v>2775.84852478</v>
      </c>
      <c r="BR195" s="3">
        <f>BQ195</f>
        <v>2775.84852478</v>
      </c>
      <c r="BS195" s="3">
        <f>BR195</f>
        <v>2775.84852478</v>
      </c>
      <c r="BT195" s="3">
        <f>BS195</f>
        <v>2775.84852478</v>
      </c>
      <c r="BU195" s="3">
        <f>BT195</f>
        <v>2775.84852478</v>
      </c>
      <c r="BV195" s="3">
        <f>BU195</f>
        <v>2775.84852478</v>
      </c>
      <c r="BW195" s="3">
        <f>BV195</f>
        <v>2775.84852478</v>
      </c>
      <c r="BX195" s="3">
        <f>BW195</f>
        <v>2775.84852478</v>
      </c>
      <c r="BY195" s="3">
        <f>BX195</f>
        <v>2775.84852478</v>
      </c>
      <c r="BZ195" s="3">
        <f>BY195</f>
        <v>2775.84852478</v>
      </c>
      <c r="CA195" s="3">
        <f>BZ195</f>
        <v>2775.84852478</v>
      </c>
      <c r="CB195" s="3">
        <f>CA195</f>
        <v>2775.84852478</v>
      </c>
      <c r="CC195" s="3">
        <f>CB195</f>
        <v>2775.84852478</v>
      </c>
      <c r="CD195" s="3">
        <f>CC195</f>
        <v>2775.84852478</v>
      </c>
      <c r="CE195" s="3">
        <f>CD195</f>
        <v>2775.84852478</v>
      </c>
      <c r="CF195" s="3">
        <f>CE195</f>
        <v>2775.84852478</v>
      </c>
      <c r="CG195" s="3">
        <f>CF195</f>
        <v>2775.84852478</v>
      </c>
      <c r="CH195" s="3">
        <f>CG195</f>
        <v>2775.84852478</v>
      </c>
      <c r="CI195" s="3">
        <f>CH195</f>
        <v>2775.84852478</v>
      </c>
      <c r="CJ195" s="3">
        <f>CI195</f>
        <v>2775.84852478</v>
      </c>
      <c r="CK195" s="3">
        <f>CJ195</f>
        <v>2775.84852478</v>
      </c>
      <c r="CL195" s="3">
        <f>CK195</f>
        <v>2775.84852478</v>
      </c>
      <c r="CM195" s="3">
        <f>CL195</f>
        <v>2775.84852478</v>
      </c>
      <c r="CN195" s="3">
        <f>CM195</f>
        <v>2775.84852478</v>
      </c>
      <c r="CO195" s="3">
        <f>CN195</f>
        <v>2775.84852478</v>
      </c>
      <c r="CP195" s="3">
        <f>CO195</f>
        <v>2775.84852478</v>
      </c>
      <c r="CQ195" s="3">
        <f>CP195</f>
        <v>2775.84852478</v>
      </c>
      <c r="CR195" s="3">
        <f>CQ195</f>
        <v>2775.84852478</v>
      </c>
      <c r="CS195" s="3">
        <f>CR195</f>
        <v>2775.84852478</v>
      </c>
      <c r="CT195" s="3">
        <f>CS195</f>
        <v>2775.84852478</v>
      </c>
      <c r="CU195" s="3">
        <f>CT195</f>
        <v>2775.84852478</v>
      </c>
      <c r="CV195" s="3">
        <f>CU195</f>
        <v>2775.84852478</v>
      </c>
      <c r="CW195" s="3">
        <f>CV195</f>
        <v>2775.84852478</v>
      </c>
      <c r="CX195" s="3">
        <f>CW195</f>
        <v>2775.84852478</v>
      </c>
      <c r="CY195" s="3">
        <f>CX195</f>
        <v>2775.84852478</v>
      </c>
    </row>
    <row r="196" hidden="1" outlineLevel="1">
      <c r="C196" s="38" t="inlineStr">
        <is>
          <t>%(Var.)</t>
        </is>
      </c>
      <c r="D196" s="3" t="n"/>
      <c r="E196" s="47">
        <f>(E195-D195)/D195</f>
        <v>-0.312966655601146</v>
      </c>
      <c r="F196" s="47">
        <f>(F195-E195)/E195</f>
        <v>0.0847691539831856</v>
      </c>
      <c r="G196" s="47">
        <f>(G195-F195)/F195</f>
        <v>-0.0433363901354919</v>
      </c>
      <c r="H196" s="3" t="n"/>
      <c r="I196" s="47">
        <f>(I195-H195)/H195</f>
        <v>0.0679717886219326</v>
      </c>
      <c r="J196" s="47">
        <f>(J195-I195)/I195</f>
        <v>0.128124541383358</v>
      </c>
      <c r="K196" s="47">
        <f>(K195-J195)/J195</f>
        <v>-0.091807309551449</v>
      </c>
      <c r="L196" s="47">
        <f>(L195-K195)/K195</f>
        <v>0.0386134936178836</v>
      </c>
      <c r="M196" s="3" t="n"/>
      <c r="N196" s="47">
        <f>(N195-M195)/M195</f>
        <v>-0.0124273849993546</v>
      </c>
      <c r="O196" s="47">
        <f>(O195-N195)/N195</f>
        <v>0.0616077903944676</v>
      </c>
      <c r="P196" s="47">
        <f>(P195-O195)/O195</f>
        <v>0.379251813915732</v>
      </c>
      <c r="Q196" s="47">
        <f>(Q195-P195)/P195</f>
        <v>-0.0100886726610594</v>
      </c>
      <c r="R196" s="3" t="n"/>
      <c r="S196" s="47">
        <f>(S195-R195)/R195</f>
        <v>-0.0836005040934275</v>
      </c>
      <c r="T196" s="47">
        <f>(T195-S195)/S195</f>
        <v>0.547494769864161</v>
      </c>
      <c r="U196" s="47">
        <f>(U195-T195)/T195</f>
        <v>-0.0969442301340886</v>
      </c>
      <c r="V196" s="47">
        <f>(V195-U195)/U195</f>
        <v>0.476015289349426</v>
      </c>
      <c r="W196" s="3" t="n"/>
      <c r="X196" s="47">
        <f>(X195-W195)/W195</f>
        <v>-0.0990235110515447</v>
      </c>
      <c r="Y196" s="47">
        <f>(Y195-X195)/X195</f>
        <v>0.138985350923608</v>
      </c>
      <c r="Z196" s="47">
        <f>(Z195-Y195)/Y195</f>
        <v>0.022646975343115</v>
      </c>
      <c r="AA196" s="47">
        <f>(AA195-Z195)/Z195</f>
        <v>0.41402067436599</v>
      </c>
      <c r="AB196" s="3" t="n"/>
      <c r="AC196" s="47">
        <f>(AC195-AB195)/AB195</f>
        <v>-0.26602214173073</v>
      </c>
      <c r="AD196" s="47">
        <f>(AD195-AC195)/AC195</f>
        <v>-0.221414586479173</v>
      </c>
      <c r="AE196" s="47">
        <f>(AE195-AD195)/AD195</f>
        <v>0.00820379363662691</v>
      </c>
      <c r="AF196" s="218">
        <f>(AF195-AE195)/AE195</f>
        <v>0.0892063707518265</v>
      </c>
      <c r="AG196" s="3" t="n"/>
      <c r="AH196" s="218">
        <f>(AH195-AG195)/AG195</f>
        <v>0.0771122934275965</v>
      </c>
      <c r="AI196" s="218">
        <f>(AI195-AH195)/AH195</f>
        <v>-0.0219713832029786</v>
      </c>
      <c r="AJ196" s="218" t="n"/>
      <c r="AK196" s="218" t="n"/>
      <c r="AL196" s="3" t="n"/>
      <c r="AM196" s="218" t="n"/>
      <c r="AN196" s="218" t="n"/>
      <c r="AO196" s="218" t="n"/>
      <c r="AP196" s="218" t="n"/>
      <c r="AQ196" s="3" t="n"/>
      <c r="AR196" s="218" t="n"/>
      <c r="AS196" s="218" t="n"/>
      <c r="AT196" s="218" t="n"/>
      <c r="AU196" s="218" t="n"/>
      <c r="AV196" s="3" t="n"/>
      <c r="AW196" s="218" t="n"/>
      <c r="AX196" s="218" t="n"/>
      <c r="AY196" s="218" t="n"/>
      <c r="AZ196" s="218" t="n"/>
      <c r="BA196" s="3" t="n"/>
      <c r="BB196" s="218" t="n"/>
      <c r="BC196" s="218" t="n"/>
      <c r="BD196" s="218" t="n"/>
      <c r="BE196" s="218" t="n"/>
      <c r="BF196" s="3" t="n"/>
      <c r="BG196" s="218" t="n"/>
      <c r="BH196" s="218" t="n"/>
      <c r="BI196" s="218" t="n"/>
      <c r="BJ196" s="218" t="n"/>
      <c r="BK196" s="3" t="n"/>
      <c r="BL196" s="218" t="n"/>
      <c r="BM196" s="218" t="n"/>
      <c r="BN196" s="218" t="n"/>
      <c r="BO196" s="218" t="n"/>
      <c r="BP196" s="3" t="n"/>
      <c r="BQ196" s="218" t="n"/>
      <c r="BR196" s="218" t="n"/>
      <c r="BS196" s="218" t="n"/>
      <c r="BT196" s="218" t="n"/>
      <c r="BU196" s="3" t="n"/>
      <c r="BV196" s="218" t="n"/>
      <c r="BW196" s="218" t="n"/>
      <c r="BX196" s="218" t="n"/>
      <c r="BY196" s="218" t="n"/>
      <c r="BZ196" s="3" t="n"/>
      <c r="CA196" s="218" t="n"/>
      <c r="CB196" s="218" t="n"/>
      <c r="CC196" s="218" t="n"/>
      <c r="CD196" s="218" t="n"/>
      <c r="CE196" s="3" t="n"/>
      <c r="CF196" s="218" t="n"/>
      <c r="CG196" s="218" t="n"/>
      <c r="CH196" s="218" t="n"/>
      <c r="CI196" s="218" t="n"/>
      <c r="CJ196" s="3" t="n"/>
      <c r="CK196" s="218" t="n"/>
      <c r="CL196" s="218" t="n"/>
      <c r="CM196" s="218" t="n"/>
      <c r="CN196" s="218" t="n"/>
      <c r="CO196" s="3" t="n"/>
      <c r="CP196" s="218" t="n"/>
      <c r="CQ196" s="218" t="n"/>
      <c r="CR196" s="218" t="n"/>
      <c r="CS196" s="218" t="n"/>
      <c r="CT196" s="3" t="n"/>
      <c r="CU196" s="218" t="n"/>
      <c r="CV196" s="218" t="n"/>
      <c r="CW196" s="218" t="n"/>
      <c r="CX196" s="218" t="n"/>
      <c r="CY196" s="3" t="n"/>
    </row>
    <row r="197" hidden="1" outlineLevel="1">
      <c r="C197" s="34" t="n"/>
      <c r="D197" s="3" t="n"/>
      <c r="E197" s="47" t="n"/>
      <c r="F197" s="47" t="n"/>
      <c r="G197" s="47" t="n"/>
      <c r="H197" s="3" t="n"/>
      <c r="I197" s="47" t="n"/>
      <c r="J197" s="47" t="n"/>
      <c r="K197" s="47" t="n"/>
      <c r="L197" s="47" t="n"/>
      <c r="M197" s="3" t="n"/>
      <c r="N197" s="47" t="n"/>
      <c r="O197" s="47" t="n"/>
      <c r="P197" s="47" t="n"/>
      <c r="Q197" s="47" t="n"/>
      <c r="R197" s="3" t="n"/>
      <c r="S197" s="47" t="n"/>
      <c r="T197" s="47" t="n"/>
      <c r="U197" s="47" t="n"/>
      <c r="V197" s="47" t="n"/>
      <c r="W197" s="3" t="n"/>
      <c r="X197" s="47" t="n"/>
      <c r="Y197" s="47" t="n"/>
      <c r="Z197" s="47" t="n"/>
      <c r="AA197" s="47" t="n"/>
      <c r="AB197" s="3" t="n"/>
      <c r="AC197" s="47" t="n"/>
      <c r="AD197" s="47" t="n"/>
      <c r="AE197" s="47" t="n"/>
      <c r="AF197" s="218" t="n"/>
      <c r="AG197" s="3" t="n"/>
      <c r="AH197" s="218" t="n"/>
      <c r="AI197" s="218" t="n"/>
      <c r="AJ197" s="218" t="n"/>
      <c r="AK197" s="218" t="n"/>
      <c r="AL197" s="3" t="n"/>
      <c r="AM197" s="218" t="n"/>
      <c r="AN197" s="218" t="n"/>
      <c r="AO197" s="218" t="n"/>
      <c r="AP197" s="218" t="n"/>
      <c r="AQ197" s="3" t="n"/>
      <c r="AR197" s="218" t="n"/>
      <c r="AS197" s="218" t="n"/>
      <c r="AT197" s="218" t="n"/>
      <c r="AU197" s="218" t="n"/>
      <c r="AV197" s="3" t="n"/>
      <c r="AW197" s="218" t="n"/>
      <c r="AX197" s="218" t="n"/>
      <c r="AY197" s="218" t="n"/>
      <c r="AZ197" s="218" t="n"/>
      <c r="BA197" s="3" t="n"/>
      <c r="BB197" s="218" t="n"/>
      <c r="BC197" s="218" t="n"/>
      <c r="BD197" s="218" t="n"/>
      <c r="BE197" s="218" t="n"/>
      <c r="BF197" s="3" t="n"/>
      <c r="BG197" s="218" t="n"/>
      <c r="BH197" s="218" t="n"/>
      <c r="BI197" s="218" t="n"/>
      <c r="BJ197" s="218" t="n"/>
      <c r="BK197" s="3" t="n"/>
      <c r="BL197" s="218" t="n"/>
      <c r="BM197" s="218" t="n"/>
      <c r="BN197" s="218" t="n"/>
      <c r="BO197" s="218" t="n"/>
      <c r="BP197" s="3" t="n"/>
      <c r="BQ197" s="218" t="n"/>
      <c r="BR197" s="218" t="n"/>
      <c r="BS197" s="218" t="n"/>
      <c r="BT197" s="218" t="n"/>
      <c r="BU197" s="3" t="n"/>
      <c r="BV197" s="218" t="n"/>
      <c r="BW197" s="218" t="n"/>
      <c r="BX197" s="218" t="n"/>
      <c r="BY197" s="218" t="n"/>
      <c r="BZ197" s="3" t="n"/>
      <c r="CA197" s="218" t="n"/>
      <c r="CB197" s="218" t="n"/>
      <c r="CC197" s="218" t="n"/>
      <c r="CD197" s="218" t="n"/>
      <c r="CE197" s="3" t="n"/>
      <c r="CF197" s="218" t="n"/>
      <c r="CG197" s="218" t="n"/>
      <c r="CH197" s="218" t="n"/>
      <c r="CI197" s="218" t="n"/>
      <c r="CJ197" s="3" t="n"/>
      <c r="CK197" s="218" t="n"/>
      <c r="CL197" s="218" t="n"/>
      <c r="CM197" s="218" t="n"/>
      <c r="CN197" s="218" t="n"/>
      <c r="CO197" s="3" t="n"/>
      <c r="CP197" s="218" t="n"/>
      <c r="CQ197" s="218" t="n"/>
      <c r="CR197" s="218" t="n"/>
      <c r="CS197" s="218" t="n"/>
      <c r="CT197" s="3" t="n"/>
      <c r="CU197" s="218" t="n"/>
      <c r="CV197" s="218" t="n"/>
      <c r="CW197" s="218" t="n"/>
      <c r="CX197" s="218" t="n"/>
      <c r="CY197" s="3" t="n"/>
    </row>
    <row r="198" hidden="1" outlineLevel="1">
      <c r="C198" s="52" t="inlineStr">
        <is>
          <t>Outros Créditos - LP</t>
        </is>
      </c>
      <c r="D198" s="6" t="n"/>
      <c r="E198" s="6" t="n"/>
      <c r="F198" s="6" t="n"/>
      <c r="G198" s="6" t="n"/>
      <c r="H198" s="3" t="n"/>
      <c r="I198" s="6" t="n"/>
      <c r="J198" s="6" t="n"/>
      <c r="K198" s="6" t="n"/>
      <c r="L198" s="6" t="n"/>
      <c r="M198" s="3" t="n"/>
      <c r="N198" s="6" t="n"/>
      <c r="O198" s="6" t="n"/>
      <c r="P198" s="6" t="n"/>
      <c r="Q198" s="6" t="n"/>
      <c r="R198" s="3" t="n"/>
      <c r="S198" s="6" t="n"/>
      <c r="T198" s="6" t="n"/>
      <c r="U198" s="6" t="n"/>
      <c r="V198" s="6" t="n"/>
      <c r="W198" s="3" t="n"/>
      <c r="X198" s="6" t="n"/>
      <c r="Y198" s="6" t="n"/>
      <c r="Z198" s="6" t="n"/>
      <c r="AA198" s="6" t="n"/>
      <c r="AB198" s="3" t="n"/>
      <c r="AC198" s="6" t="n"/>
      <c r="AD198" s="6" t="n"/>
      <c r="AE198" s="6" t="n"/>
      <c r="AF198" s="6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  <c r="BO198" s="3" t="n"/>
      <c r="BP198" s="3" t="n"/>
      <c r="BQ198" s="3" t="n"/>
      <c r="BR198" s="3" t="n"/>
      <c r="BS198" s="3" t="n"/>
      <c r="BT198" s="3" t="n"/>
      <c r="BU198" s="3" t="n"/>
      <c r="BV198" s="3" t="n"/>
      <c r="BW198" s="3" t="n"/>
      <c r="BX198" s="3" t="n"/>
      <c r="BY198" s="3" t="n"/>
      <c r="BZ198" s="3" t="n"/>
      <c r="CA198" s="3" t="n"/>
      <c r="CB198" s="3" t="n"/>
      <c r="CC198" s="3" t="n"/>
      <c r="CD198" s="3" t="n"/>
      <c r="CE198" s="3" t="n"/>
      <c r="CF198" s="3" t="n"/>
      <c r="CG198" s="3" t="n"/>
      <c r="CH198" s="3" t="n"/>
      <c r="CI198" s="3" t="n"/>
      <c r="CJ198" s="3" t="n"/>
      <c r="CK198" s="3" t="n"/>
      <c r="CL198" s="3" t="n"/>
      <c r="CM198" s="3" t="n"/>
      <c r="CN198" s="3" t="n"/>
      <c r="CO198" s="3" t="n"/>
      <c r="CP198" s="3" t="n"/>
      <c r="CQ198" s="3" t="n"/>
      <c r="CR198" s="3" t="n"/>
      <c r="CS198" s="3" t="n"/>
      <c r="CT198" s="3" t="n"/>
      <c r="CU198" s="3" t="n"/>
      <c r="CV198" s="3" t="n"/>
      <c r="CW198" s="3" t="n"/>
      <c r="CX198" s="3" t="n"/>
      <c r="CY198" s="3" t="n"/>
    </row>
    <row r="199" hidden="1" outlineLevel="1">
      <c r="C199" s="52" t="inlineStr">
        <is>
          <t xml:space="preserve">Impostos e Contribuições a Recuperar </t>
        </is>
      </c>
      <c r="D199" s="6" t="n"/>
      <c r="E199" s="6" t="n"/>
      <c r="F199" s="6" t="n"/>
      <c r="G199" s="6" t="n"/>
      <c r="H199" s="3" t="n"/>
      <c r="I199" s="6" t="n"/>
      <c r="J199" s="6" t="n"/>
      <c r="K199" s="6" t="n"/>
      <c r="L199" s="6" t="n"/>
      <c r="M199" s="3" t="n"/>
      <c r="N199" s="6" t="n"/>
      <c r="O199" s="6" t="n"/>
      <c r="P199" s="6" t="n"/>
      <c r="Q199" s="6" t="n"/>
      <c r="R199" s="3" t="n"/>
      <c r="S199" s="6" t="n"/>
      <c r="T199" s="6" t="n"/>
      <c r="U199" s="6" t="n"/>
      <c r="V199" s="6" t="n"/>
      <c r="W199" s="3" t="n"/>
      <c r="X199" s="6" t="n"/>
      <c r="Y199" s="6" t="n"/>
      <c r="Z199" s="6" t="n"/>
      <c r="AA199" s="6" t="n"/>
      <c r="AB199" s="3" t="n"/>
      <c r="AC199" s="6" t="n"/>
      <c r="AD199" s="6" t="n"/>
      <c r="AE199" s="6" t="n"/>
      <c r="AF199" s="6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  <c r="AY199" s="3" t="n"/>
      <c r="AZ199" s="3" t="n"/>
      <c r="BA199" s="3" t="n"/>
      <c r="BB199" s="3" t="n"/>
      <c r="BC199" s="3" t="n"/>
      <c r="BD199" s="3" t="n"/>
      <c r="BE199" s="3" t="n"/>
      <c r="BF199" s="3" t="n"/>
      <c r="BG199" s="3" t="n"/>
      <c r="BH199" s="3" t="n"/>
      <c r="BI199" s="3" t="n"/>
      <c r="BJ199" s="3" t="n"/>
      <c r="BK199" s="3" t="n"/>
      <c r="BL199" s="3" t="n"/>
      <c r="BM199" s="3" t="n"/>
      <c r="BN199" s="3" t="n"/>
      <c r="BO199" s="3" t="n"/>
      <c r="BP199" s="3" t="n"/>
      <c r="BQ199" s="3" t="n"/>
      <c r="BR199" s="3" t="n"/>
      <c r="BS199" s="3" t="n"/>
      <c r="BT199" s="3" t="n"/>
      <c r="BU199" s="3" t="n"/>
      <c r="BV199" s="3" t="n"/>
      <c r="BW199" s="3" t="n"/>
      <c r="BX199" s="3" t="n"/>
      <c r="BY199" s="3" t="n"/>
      <c r="BZ199" s="3" t="n"/>
      <c r="CA199" s="3" t="n"/>
      <c r="CB199" s="3" t="n"/>
      <c r="CC199" s="3" t="n"/>
      <c r="CD199" s="3" t="n"/>
      <c r="CE199" s="3" t="n"/>
      <c r="CF199" s="3" t="n"/>
      <c r="CG199" s="3" t="n"/>
      <c r="CH199" s="3" t="n"/>
      <c r="CI199" s="3" t="n"/>
      <c r="CJ199" s="3" t="n"/>
      <c r="CK199" s="3" t="n"/>
      <c r="CL199" s="3" t="n"/>
      <c r="CM199" s="3" t="n"/>
      <c r="CN199" s="3" t="n"/>
      <c r="CO199" s="3" t="n"/>
      <c r="CP199" s="3" t="n"/>
      <c r="CQ199" s="3" t="n"/>
      <c r="CR199" s="3" t="n"/>
      <c r="CS199" s="3" t="n"/>
      <c r="CT199" s="3" t="n"/>
      <c r="CU199" s="3" t="n"/>
      <c r="CV199" s="3" t="n"/>
      <c r="CW199" s="3" t="n"/>
      <c r="CX199" s="3" t="n"/>
      <c r="CY199" s="3" t="n"/>
    </row>
    <row r="200" hidden="1" outlineLevel="1">
      <c r="C200" s="52" t="inlineStr">
        <is>
          <t xml:space="preserve">Imposto de Renda e Contribuição Social Diferidos </t>
        </is>
      </c>
      <c r="D200" s="6" t="n"/>
      <c r="E200" s="6" t="n"/>
      <c r="F200" s="6" t="n"/>
      <c r="G200" s="6" t="n"/>
      <c r="H200" s="3" t="n"/>
      <c r="I200" s="6" t="n"/>
      <c r="J200" s="6" t="n"/>
      <c r="K200" s="6" t="n"/>
      <c r="L200" s="6" t="n"/>
      <c r="M200" s="3" t="n"/>
      <c r="N200" s="6" t="n"/>
      <c r="O200" s="6" t="n"/>
      <c r="P200" s="6" t="n"/>
      <c r="Q200" s="6" t="n"/>
      <c r="R200" s="3" t="n"/>
      <c r="S200" s="6" t="n"/>
      <c r="T200" s="6" t="n"/>
      <c r="U200" s="6" t="n"/>
      <c r="V200" s="6" t="n"/>
      <c r="W200" s="3" t="n"/>
      <c r="X200" s="6" t="n"/>
      <c r="Y200" s="6" t="n"/>
      <c r="Z200" s="6" t="n"/>
      <c r="AA200" s="6" t="n"/>
      <c r="AB200" s="3" t="n"/>
      <c r="AC200" s="6" t="n"/>
      <c r="AD200" s="6" t="n"/>
      <c r="AE200" s="6" t="n"/>
      <c r="AF200" s="6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  <c r="BD200" s="3" t="n"/>
      <c r="BE200" s="3" t="n"/>
      <c r="BF200" s="3" t="n"/>
      <c r="BG200" s="3" t="n"/>
      <c r="BH200" s="3" t="n"/>
      <c r="BI200" s="3" t="n"/>
      <c r="BJ200" s="3" t="n"/>
      <c r="BK200" s="3" t="n"/>
      <c r="BL200" s="3" t="n"/>
      <c r="BM200" s="3" t="n"/>
      <c r="BN200" s="3" t="n"/>
      <c r="BO200" s="3" t="n"/>
      <c r="BP200" s="3" t="n"/>
      <c r="BQ200" s="3" t="n"/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n"/>
      <c r="CB200" s="3" t="n"/>
      <c r="CC200" s="3" t="n"/>
      <c r="CD200" s="3" t="n"/>
      <c r="CE200" s="3" t="n"/>
      <c r="CF200" s="3" t="n"/>
      <c r="CG200" s="3" t="n"/>
      <c r="CH200" s="3" t="n"/>
      <c r="CI200" s="3" t="n"/>
      <c r="CJ200" s="3" t="n"/>
      <c r="CK200" s="3" t="n"/>
      <c r="CL200" s="3" t="n"/>
      <c r="CM200" s="3" t="n"/>
      <c r="CN200" s="3" t="n"/>
      <c r="CO200" s="3" t="n"/>
      <c r="CP200" s="3" t="n"/>
      <c r="CQ200" s="3" t="n"/>
      <c r="CR200" s="3" t="n"/>
      <c r="CS200" s="3" t="n"/>
      <c r="CT200" s="3" t="n"/>
      <c r="CU200" s="3" t="n"/>
      <c r="CV200" s="3" t="n"/>
      <c r="CW200" s="3" t="n"/>
      <c r="CX200" s="3" t="n"/>
      <c r="CY200" s="3" t="n"/>
    </row>
    <row r="201" hidden="1" outlineLevel="1">
      <c r="C201" s="52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  <c r="BO201" s="3" t="n"/>
      <c r="BP201" s="3" t="n"/>
      <c r="BQ201" s="3" t="n"/>
      <c r="BR201" s="3" t="n"/>
      <c r="BS201" s="3" t="n"/>
      <c r="BT201" s="3" t="n"/>
      <c r="BU201" s="3" t="n"/>
      <c r="BV201" s="3" t="n"/>
      <c r="BW201" s="3" t="n"/>
      <c r="BX201" s="3" t="n"/>
      <c r="BY201" s="3" t="n"/>
      <c r="BZ201" s="3" t="n"/>
      <c r="CA201" s="3" t="n"/>
      <c r="CB201" s="3" t="n"/>
      <c r="CC201" s="3" t="n"/>
      <c r="CD201" s="3" t="n"/>
      <c r="CE201" s="3" t="n"/>
      <c r="CF201" s="3" t="n"/>
      <c r="CG201" s="3" t="n"/>
      <c r="CH201" s="3" t="n"/>
      <c r="CI201" s="3" t="n"/>
      <c r="CJ201" s="3" t="n"/>
      <c r="CK201" s="3" t="n"/>
      <c r="CL201" s="3" t="n"/>
      <c r="CM201" s="3" t="n"/>
      <c r="CN201" s="3" t="n"/>
      <c r="CO201" s="3" t="n"/>
      <c r="CP201" s="3" t="n"/>
      <c r="CQ201" s="3" t="n"/>
      <c r="CR201" s="3" t="n"/>
      <c r="CS201" s="3" t="n"/>
      <c r="CT201" s="3" t="n"/>
      <c r="CU201" s="3" t="n"/>
      <c r="CV201" s="3" t="n"/>
      <c r="CW201" s="3" t="n"/>
      <c r="CX201" s="3" t="n"/>
      <c r="CY201" s="3" t="n"/>
    </row>
    <row r="202" hidden="1" outlineLevel="1">
      <c r="C202" s="34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3" t="n"/>
      <c r="BW202" s="3" t="n"/>
      <c r="BX202" s="3" t="n"/>
      <c r="BY202" s="3" t="n"/>
      <c r="BZ202" s="3" t="n"/>
      <c r="CA202" s="3" t="n"/>
      <c r="CB202" s="3" t="n"/>
      <c r="CC202" s="3" t="n"/>
      <c r="CD202" s="3" t="n"/>
      <c r="CE202" s="3" t="n"/>
      <c r="CF202" s="3" t="n"/>
      <c r="CG202" s="3" t="n"/>
      <c r="CH202" s="3" t="n"/>
      <c r="CI202" s="3" t="n"/>
      <c r="CJ202" s="3" t="n"/>
      <c r="CK202" s="3" t="n"/>
      <c r="CL202" s="3" t="n"/>
      <c r="CM202" s="3" t="n"/>
      <c r="CN202" s="3" t="n"/>
      <c r="CO202" s="3" t="n"/>
      <c r="CP202" s="3" t="n"/>
      <c r="CQ202" s="3" t="n"/>
      <c r="CR202" s="3" t="n"/>
      <c r="CS202" s="3" t="n"/>
      <c r="CT202" s="3" t="n"/>
      <c r="CU202" s="3" t="n"/>
      <c r="CV202" s="3" t="n"/>
      <c r="CW202" s="3" t="n"/>
      <c r="CX202" s="3" t="n"/>
      <c r="CY202" s="3" t="n"/>
    </row>
    <row r="203" collapsed="1" customFormat="1" s="17">
      <c r="A203" s="13" t="n"/>
      <c r="B203" s="1" t="n"/>
      <c r="C203" s="14" t="inlineStr">
        <is>
          <t>Total Assets</t>
        </is>
      </c>
      <c r="D203" s="16">
        <f>(D150+D151+D155+D159+D160+D161+D167+D172+D182+D185+D186+D195)</f>
        <v>21556.8854545499</v>
      </c>
      <c r="E203" s="16">
        <f>(E150+E151+E155+E159+E160+E161+E167+E172+E182+E185+E186+E195)</f>
        <v>22603.401821683</v>
      </c>
      <c r="F203" s="16">
        <f>(F150+F151+F155+F159+F160+F161+F167+F172+F182+F185+F186+F195)</f>
        <v>22774.1989248351</v>
      </c>
      <c r="G203" s="16">
        <f>(G150+G151+G155+G159+G160+G161+G167+G172+G182+G185+G186+G195)</f>
        <v>25562.2495461234</v>
      </c>
      <c r="H203" s="16">
        <f>SUM(H150,H151,H155,H159,H160,H161,H167,H182,H185,H186,H195,H172)</f>
        <v>25562.2495461234</v>
      </c>
      <c r="I203" s="16">
        <f>(I150+I151+I155+I159+I160+I161+I167+I172+I182+I185+I186+I195)</f>
        <v>31959.7137290921</v>
      </c>
      <c r="J203" s="16">
        <f>(J150+J151+J155+J159+J160+J161+J167+J172+J182+J185+J186+J195)</f>
        <v>33773.128</v>
      </c>
      <c r="K203" s="16">
        <f>(K150+K151+K155+K159+K160+K161+K167+K172+K182+K185+K186+K195)</f>
        <v>41082.055</v>
      </c>
      <c r="L203" s="16">
        <f>(L150+L151+L155+L159+L160+L161+L167+L172+L182+L185+L186+L195)</f>
        <v>47968.194</v>
      </c>
      <c r="M203" s="16">
        <f>SUM(M150,M151,M155,M159,M160,M161,M167,M182,M185,M186,M195,M172)</f>
        <v>47968.194</v>
      </c>
      <c r="N203" s="16">
        <f>(N150+N151+N155+N159+N160+N161+N167+N172+N182+N185+N186+N195)</f>
        <v>47543.699</v>
      </c>
      <c r="O203" s="16">
        <f>(O150+O151+O155+O159+O160+O161+O167+O172+O182+O185+O186+O195)</f>
        <v>52956.699</v>
      </c>
      <c r="P203" s="16">
        <f>(P150+P151+P155+P159+P160+P161+P167+P172+P182+P185+P186+P195)</f>
        <v>59006.238</v>
      </c>
      <c r="Q203" s="16">
        <f>(Q150+Q151+Q155+Q159+Q160+Q161+Q167+Q172+Q182+Q185+Q186+Q195)</f>
        <v>61659.514</v>
      </c>
      <c r="R203" s="16">
        <f>SUM(R150,R151,R155,R159,R160,R161,R167,R182,R185,R186,R195,R172)</f>
        <v>61659.514</v>
      </c>
      <c r="S203" s="16">
        <f>(S150+S151+S155+S159+S160+S161+S167+S172+S182+S185+S186+S195)</f>
        <v>59367.3312709999</v>
      </c>
      <c r="T203" s="16">
        <f>(T150+T151+T155+T159+T160+T161+T167+T172+T182+T185+T186+T195)</f>
        <v>60059.5262560709</v>
      </c>
      <c r="U203" s="16">
        <f>(U150+U151+U155+U159+U160+U161+U167+U172+U182+U185+U186+U195)</f>
        <v>62697.6146345704</v>
      </c>
      <c r="V203" s="16">
        <f>(V150+V151+V155+V159+V160+V161+V167+V172+V182+V185+V186+V195)</f>
        <v>70140.8388425832</v>
      </c>
      <c r="W203" s="16">
        <f>SUM(W150,W151,W155,W159,W160,W161,W167,W182,W185,W186,W195,W172)</f>
        <v>70140.8388425832</v>
      </c>
      <c r="X203" s="16">
        <f>(X150+X151+X155+X159+X160+X161+X167+X172+X182+X185+X186+X195)</f>
        <v>74190.1252023348</v>
      </c>
      <c r="Y203" s="16">
        <f>(Y150+Y151+Y155+Y159+Y160+Y161+Y167+Y172+Y182+Y185+Y186+Y195)</f>
        <v>76293.2245588863</v>
      </c>
      <c r="Z203" s="16">
        <f>(Z150+Z151+Z155+Z159+Z160+Z161+Z167+Z172+Z182+Z185+Z186+Z195)</f>
        <v>80107.5234190849</v>
      </c>
      <c r="AA203" s="16">
        <f>(AA150+AA151+AA155+AA159+AA160+AA161+AA167+AA172+AA182+AA185+AA186+AA195)</f>
        <v>83152.86479311</v>
      </c>
      <c r="AB203" s="16">
        <f>SUM(AB150,AB151,AB155,AB159,AB160,AB161,AB167,AB182,AB185,AB186,AB195,AB172)</f>
        <v>83152.86479311</v>
      </c>
      <c r="AC203" s="16">
        <f>(AC150+AC151+AC155+AC159+AC160+AC161+AC167+AC172+AC182+AC185+AC186+AC195)</f>
        <v>81029.26124217</v>
      </c>
      <c r="AD203" s="16">
        <f>(AD150+AD151+AD155+AD159+AD160+AD161+AD167+AD172+AD182+AD185+AD186+AD195)</f>
        <v>81414.23653032</v>
      </c>
      <c r="AE203" s="16">
        <f>(AE150+AE151+AE155+AE159+AE160+AE161+AE167+AE172+AE182+AE185+AE186+AE195)</f>
        <v>81263.33484086</v>
      </c>
      <c r="AF203" s="16">
        <f>(AF150+AF151+AF155+AF159+AF160+AF161+AF167+AF172+AF182+AF185+AF186+AF195)</f>
        <v>86702.2132848</v>
      </c>
      <c r="AG203" s="16">
        <f>SUM(AG150,AG151,AG155,AG159,AG160,AG161,AG167,AG182,AG185,AG186,AG195,AG172)</f>
        <v>86702.2132848</v>
      </c>
      <c r="AH203" s="16">
        <f>(AH150+AH151+AH155+AH159+AH160+AH161+AH167+AH172+AH182+AH185+AH186+AH195)</f>
        <v>87178.62377144</v>
      </c>
      <c r="AI203" s="16">
        <f>(AI150+AI151+AI155+AI159+AI160+AI161+AI167+AI172+AI182+AI185+AI186+AI195)</f>
        <v>91594.77638691</v>
      </c>
      <c r="AJ203" s="16">
        <f>(AJ150+AJ151+AJ155+AJ159+AJ160+AJ161+AJ167+AJ172+AJ182+AJ185+AJ186+AJ195)</f>
        <v>81733.65488477</v>
      </c>
      <c r="AK203" s="16">
        <f>(AK150+AK151+AK155+AK159+AK160+AK161+AK167+AK172+AK182+AK185+AK186+AK195)</f>
        <v>82402.11509715</v>
      </c>
      <c r="AL203" s="16">
        <f>SUM(AL150,AL151,AL155,AL159,AL160,AL161,AL167,AL182,AL185,AL186,AL195,AL172)</f>
        <v>82402.11509715</v>
      </c>
      <c r="AM203" s="16" t="e">
        <f>(AM150+AM151+AM155+AM159+AM160+AM161+AM167+AM172+AM182+AM185+AM186+AM195)</f>
        <v>#DIV/0!</v>
      </c>
      <c r="AN203" s="16" t="e">
        <f>(AN150+AN151+AN155+AN159+AN160+AN161+AN167+AN172+AN182+AN185+AN186+AN195)</f>
        <v>#DIV/0!</v>
      </c>
      <c r="AO203" s="16" t="e">
        <f>(AO150+AO151+AO155+AO159+AO160+AO161+AO167+AO172+AO182+AO185+AO186+AO195)</f>
        <v>#DIV/0!</v>
      </c>
      <c r="AP203" s="16" t="e">
        <f>(AP150+AP151+AP155+AP159+AP160+AP161+AP167+AP172+AP182+AP185+AP186+AP195)</f>
        <v>#DIV/0!</v>
      </c>
      <c r="AQ203" s="16" t="e">
        <f>SUM(AQ150,AQ151,AQ155,AQ159,AQ160,AQ161,AQ167,AQ182,AQ185,AQ186,AQ195,AQ172)</f>
        <v>#DIV/0!</v>
      </c>
      <c r="AR203" s="16" t="e">
        <f>(AR150+AR151+AR155+AR159+AR160+AR161+AR167+AR172+AR182+AR185+AR186+AR195)</f>
        <v>#DIV/0!</v>
      </c>
      <c r="AS203" s="16" t="e">
        <f>(AS150+AS151+AS155+AS159+AS160+AS161+AS167+AS172+AS182+AS185+AS186+AS195)</f>
        <v>#DIV/0!</v>
      </c>
      <c r="AT203" s="16" t="e">
        <f>(AT150+AT151+AT155+AT159+AT160+AT161+AT167+AT172+AT182+AT185+AT186+AT195)</f>
        <v>#DIV/0!</v>
      </c>
      <c r="AU203" s="16" t="e">
        <f>(AU150+AU151+AU155+AU159+AU160+AU161+AU167+AU172+AU182+AU185+AU186+AU195)</f>
        <v>#DIV/0!</v>
      </c>
      <c r="AV203" s="16" t="e">
        <f>SUM(AV150,AV151,AV155,AV159,AV160,AV161,AV167,AV182,AV185,AV186,AV195,AV172)</f>
        <v>#DIV/0!</v>
      </c>
      <c r="AW203" s="16" t="e">
        <f>(AW150+AW151+AW155+AW159+AW160+AW161+AW167+AW172+AW182+AW185+AW186+AW195)</f>
        <v>#DIV/0!</v>
      </c>
      <c r="AX203" s="16" t="e">
        <f>(AX150+AX151+AX155+AX159+AX160+AX161+AX167+AX172+AX182+AX185+AX186+AX195)</f>
        <v>#DIV/0!</v>
      </c>
      <c r="AY203" s="16" t="e">
        <f>(AY150+AY151+AY155+AY159+AY160+AY161+AY167+AY172+AY182+AY185+AY186+AY195)</f>
        <v>#DIV/0!</v>
      </c>
      <c r="AZ203" s="16" t="e">
        <f>(AZ150+AZ151+AZ155+AZ159+AZ160+AZ161+AZ167+AZ172+AZ182+AZ185+AZ186+AZ195)</f>
        <v>#DIV/0!</v>
      </c>
      <c r="BA203" s="16" t="e">
        <f>SUM(BA150,BA151,BA155,BA159,BA160,BA161,BA167,BA182,BA185,BA186,BA195,BA172)</f>
        <v>#DIV/0!</v>
      </c>
      <c r="BB203" s="16" t="e">
        <f>(BB150+BB151+BB155+BB159+BB160+BB161+BB167+BB172+BB182+BB185+BB186+BB195)</f>
        <v>#DIV/0!</v>
      </c>
      <c r="BC203" s="16" t="e">
        <f>(BC150+BC151+BC155+BC159+BC160+BC161+BC167+BC172+BC182+BC185+BC186+BC195)</f>
        <v>#DIV/0!</v>
      </c>
      <c r="BD203" s="16" t="e">
        <f>(BD150+BD151+BD155+BD159+BD160+BD161+BD167+BD172+BD182+BD185+BD186+BD195)</f>
        <v>#DIV/0!</v>
      </c>
      <c r="BE203" s="16" t="e">
        <f>(BE150+BE151+BE155+BE159+BE160+BE161+BE167+BE172+BE182+BE185+BE186+BE195)</f>
        <v>#DIV/0!</v>
      </c>
      <c r="BF203" s="16" t="e">
        <f>SUM(BF150,BF151,BF155,BF159,BF160,BF161,BF167,BF182,BF185,BF186,BF195,BF172)</f>
        <v>#DIV/0!</v>
      </c>
      <c r="BG203" s="16" t="e">
        <f>(BG150+BG151+BG155+BG159+BG160+BG161+BG167+BG172+BG182+BG185+BG186+BG195)</f>
        <v>#DIV/0!</v>
      </c>
      <c r="BH203" s="16" t="e">
        <f>(BH150+BH151+BH155+BH159+BH160+BH161+BH167+BH172+BH182+BH185+BH186+BH195)</f>
        <v>#DIV/0!</v>
      </c>
      <c r="BI203" s="16" t="e">
        <f>(BI150+BI151+BI155+BI159+BI160+BI161+BI167+BI172+BI182+BI185+BI186+BI195)</f>
        <v>#DIV/0!</v>
      </c>
      <c r="BJ203" s="16" t="e">
        <f>(BJ150+BJ151+BJ155+BJ159+BJ160+BJ161+BJ167+BJ172+BJ182+BJ185+BJ186+BJ195)</f>
        <v>#DIV/0!</v>
      </c>
      <c r="BK203" s="16" t="e">
        <f>SUM(BK150,BK151,BK155,BK159,BK160,BK161,BK167,BK182,BK185,BK186,BK195,BK172)</f>
        <v>#DIV/0!</v>
      </c>
      <c r="BL203" s="16" t="e">
        <f>(BL150+BL151+BL155+BL159+BL160+BL161+BL167+BL172+BL182+BL185+BL186+BL195)</f>
        <v>#DIV/0!</v>
      </c>
      <c r="BM203" s="16" t="e">
        <f>(BM150+BM151+BM155+BM159+BM160+BM161+BM167+BM172+BM182+BM185+BM186+BM195)</f>
        <v>#DIV/0!</v>
      </c>
      <c r="BN203" s="16" t="e">
        <f>(BN150+BN151+BN155+BN159+BN160+BN161+BN167+BN172+BN182+BN185+BN186+BN195)</f>
        <v>#DIV/0!</v>
      </c>
      <c r="BO203" s="16" t="e">
        <f>(BO150+BO151+BO155+BO159+BO160+BO161+BO167+BO172+BO182+BO185+BO186+BO195)</f>
        <v>#DIV/0!</v>
      </c>
      <c r="BP203" s="16" t="e">
        <f>SUM(BP150,BP151,BP155,BP159,BP160,BP161,BP167,BP182,BP185,BP186,BP195,BP172)</f>
        <v>#DIV/0!</v>
      </c>
      <c r="BQ203" s="16" t="e">
        <f>(BQ150+BQ151+BQ155+BQ159+BQ160+BQ161+BQ167+BQ172+BQ182+BQ185+BQ186+BQ195)</f>
        <v>#DIV/0!</v>
      </c>
      <c r="BR203" s="16" t="e">
        <f>(BR150+BR151+BR155+BR159+BR160+BR161+BR167+BR172+BR182+BR185+BR186+BR195)</f>
        <v>#DIV/0!</v>
      </c>
      <c r="BS203" s="16" t="e">
        <f>(BS150+BS151+BS155+BS159+BS160+BS161+BS167+BS172+BS182+BS185+BS186+BS195)</f>
        <v>#DIV/0!</v>
      </c>
      <c r="BT203" s="16" t="e">
        <f>(BT150+BT151+BT155+BT159+BT160+BT161+BT167+BT172+BT182+BT185+BT186+BT195)</f>
        <v>#DIV/0!</v>
      </c>
      <c r="BU203" s="16" t="e">
        <f>SUM(BU150,BU151,BU155,BU159,BU160,BU161,BU167,BU182,BU185,BU186,BU195,BU172)</f>
        <v>#DIV/0!</v>
      </c>
      <c r="BV203" s="16" t="e">
        <f>(BV150+BV151+BV155+BV159+BV160+BV161+BV167+BV172+BV182+BV185+BV186+BV195)</f>
        <v>#DIV/0!</v>
      </c>
      <c r="BW203" s="16" t="e">
        <f>(BW150+BW151+BW155+BW159+BW160+BW161+BW167+BW172+BW182+BW185+BW186+BW195)</f>
        <v>#DIV/0!</v>
      </c>
      <c r="BX203" s="16" t="e">
        <f>(BX150+BX151+BX155+BX159+BX160+BX161+BX167+BX172+BX182+BX185+BX186+BX195)</f>
        <v>#DIV/0!</v>
      </c>
      <c r="BY203" s="16" t="e">
        <f>(BY150+BY151+BY155+BY159+BY160+BY161+BY167+BY172+BY182+BY185+BY186+BY195)</f>
        <v>#DIV/0!</v>
      </c>
      <c r="BZ203" s="16" t="e">
        <f>SUM(BZ150,BZ151,BZ155,BZ159,BZ160,BZ161,BZ167,BZ182,BZ185,BZ186,BZ195,BZ172)</f>
        <v>#DIV/0!</v>
      </c>
      <c r="CA203" s="16" t="e">
        <f>(CA150+CA151+CA155+CA159+CA160+CA161+CA167+CA172+CA182+CA185+CA186+CA195)</f>
        <v>#DIV/0!</v>
      </c>
      <c r="CB203" s="16" t="e">
        <f>(CB150+CB151+CB155+CB159+CB160+CB161+CB167+CB172+CB182+CB185+CB186+CB195)</f>
        <v>#DIV/0!</v>
      </c>
      <c r="CC203" s="16" t="e">
        <f>(CC150+CC151+CC155+CC159+CC160+CC161+CC167+CC172+CC182+CC185+CC186+CC195)</f>
        <v>#DIV/0!</v>
      </c>
      <c r="CD203" s="16" t="e">
        <f>(CD150+CD151+CD155+CD159+CD160+CD161+CD167+CD172+CD182+CD185+CD186+CD195)</f>
        <v>#DIV/0!</v>
      </c>
      <c r="CE203" s="16" t="e">
        <f>SUM(CE150,CE151,CE155,CE159,CE160,CE161,CE167,CE182,CE185,CE186,CE195,CE172)</f>
        <v>#DIV/0!</v>
      </c>
      <c r="CF203" s="16" t="e">
        <f>(CF150+CF151+CF155+CF159+CF160+CF161+CF167+CF172+CF182+CF185+CF186+CF195)</f>
        <v>#DIV/0!</v>
      </c>
      <c r="CG203" s="16" t="e">
        <f>(CG150+CG151+CG155+CG159+CG160+CG161+CG167+CG172+CG182+CG185+CG186+CG195)</f>
        <v>#DIV/0!</v>
      </c>
      <c r="CH203" s="16" t="e">
        <f>(CH150+CH151+CH155+CH159+CH160+CH161+CH167+CH172+CH182+CH185+CH186+CH195)</f>
        <v>#DIV/0!</v>
      </c>
      <c r="CI203" s="16" t="e">
        <f>(CI150+CI151+CI155+CI159+CI160+CI161+CI167+CI172+CI182+CI185+CI186+CI195)</f>
        <v>#DIV/0!</v>
      </c>
      <c r="CJ203" s="16" t="e">
        <f>SUM(CJ150,CJ151,CJ155,CJ159,CJ160,CJ161,CJ167,CJ182,CJ185,CJ186,CJ195,CJ172)</f>
        <v>#DIV/0!</v>
      </c>
      <c r="CK203" s="16" t="e">
        <f>(CK150+CK151+CK155+CK159+CK160+CK161+CK167+CK172+CK182+CK185+CK186+CK195)</f>
        <v>#DIV/0!</v>
      </c>
      <c r="CL203" s="16" t="e">
        <f>(CL150+CL151+CL155+CL159+CL160+CL161+CL167+CL172+CL182+CL185+CL186+CL195)</f>
        <v>#DIV/0!</v>
      </c>
      <c r="CM203" s="16" t="e">
        <f>(CM150+CM151+CM155+CM159+CM160+CM161+CM167+CM172+CM182+CM185+CM186+CM195)</f>
        <v>#DIV/0!</v>
      </c>
      <c r="CN203" s="16" t="e">
        <f>(CN150+CN151+CN155+CN159+CN160+CN161+CN167+CN172+CN182+CN185+CN186+CN195)</f>
        <v>#DIV/0!</v>
      </c>
      <c r="CO203" s="16" t="e">
        <f>SUM(CO150,CO151,CO155,CO159,CO160,CO161,CO167,CO182,CO185,CO186,CO195,CO172)</f>
        <v>#DIV/0!</v>
      </c>
      <c r="CP203" s="16" t="e">
        <f>(CP150+CP151+CP155+CP159+CP160+CP161+CP167+CP172+CP182+CP185+CP186+CP195)</f>
        <v>#DIV/0!</v>
      </c>
      <c r="CQ203" s="16" t="e">
        <f>(CQ150+CQ151+CQ155+CQ159+CQ160+CQ161+CQ167+CQ172+CQ182+CQ185+CQ186+CQ195)</f>
        <v>#DIV/0!</v>
      </c>
      <c r="CR203" s="16" t="e">
        <f>(CR150+CR151+CR155+CR159+CR160+CR161+CR167+CR172+CR182+CR185+CR186+CR195)</f>
        <v>#DIV/0!</v>
      </c>
      <c r="CS203" s="16" t="e">
        <f>(CS150+CS151+CS155+CS159+CS160+CS161+CS167+CS172+CS182+CS185+CS186+CS195)</f>
        <v>#DIV/0!</v>
      </c>
      <c r="CT203" s="16" t="e">
        <f>SUM(CT150,CT151,CT155,CT159,CT160,CT161,CT167,CT182,CT185,CT186,CT195,CT172)</f>
        <v>#DIV/0!</v>
      </c>
      <c r="CU203" s="16" t="e">
        <f>(CU150+CU151+CU155+CU159+CU160+CU161+CU167+CU172+CU182+CU185+CU186+CU195)</f>
        <v>#DIV/0!</v>
      </c>
      <c r="CV203" s="16" t="e">
        <f>(CV150+CV151+CV155+CV159+CV160+CV161+CV167+CV172+CV182+CV185+CV186+CV195)</f>
        <v>#DIV/0!</v>
      </c>
      <c r="CW203" s="16" t="e">
        <f>(CW150+CW151+CW155+CW159+CW160+CW161+CW167+CW172+CW182+CW185+CW186+CW195)</f>
        <v>#DIV/0!</v>
      </c>
      <c r="CX203" s="16" t="e">
        <f>(CX150+CX151+CX155+CX159+CX160+CX161+CX167+CX172+CX182+CX185+CX186+CX195)</f>
        <v>#DIV/0!</v>
      </c>
      <c r="CY203" s="16" t="e">
        <f>SUM(CY150,CY151,CY155,CY159,CY160,CY161,CY167,CY182,CY185,CY186,CY195,CY172)</f>
        <v>#DIV/0!</v>
      </c>
    </row>
    <row r="204">
      <c r="C204" s="26" t="inlineStr">
        <is>
          <t>Accounts payable</t>
        </is>
      </c>
      <c r="D204" s="25">
        <f>INDEX('Inputs (2)'!$D$28:$AL$28,MATCH(D$7,'Inputs (2)'!$D$2:$AL$2,0))</f>
        <v>1860.67391754</v>
      </c>
      <c r="E204" s="25">
        <f>INDEX('Inputs (2)'!$D$28:$AL$28,MATCH(E$7,'Inputs (2)'!$D$2:$AL$2,0))</f>
        <v>1069.33143798</v>
      </c>
      <c r="F204" s="25">
        <f>INDEX('Inputs (2)'!$D$28:$AL$28,MATCH(F$7,'Inputs (2)'!$D$2:$AL$2,0))</f>
        <v>1653.77812367</v>
      </c>
      <c r="G204" s="25">
        <f>INDEX('Inputs (2)'!$D$28:$AL$28,MATCH(G$7,'Inputs (2)'!$D$2:$AL$2,0))</f>
        <v>2207.14178714896</v>
      </c>
      <c r="H204" s="3">
        <f>G204</f>
        <v>2207.14178714896</v>
      </c>
      <c r="I204" s="25">
        <f>INDEX('Inputs (2)'!$D$28:$AL$28,MATCH(I$7,'Inputs (2)'!$D$2:$AL$2,0))</f>
        <v>1785.56086061</v>
      </c>
      <c r="J204" s="25">
        <f>INDEX('Inputs (2)'!$D$28:$AL$28,MATCH(J$7,'Inputs (2)'!$D$2:$AL$2,0))</f>
        <v>2597.160507563</v>
      </c>
      <c r="K204" s="25">
        <f>INDEX('Inputs (2)'!$D$28:$AL$28,MATCH(K$7,'Inputs (2)'!$D$2:$AL$2,0))</f>
        <v>2266.949</v>
      </c>
      <c r="L204" s="25">
        <f>INDEX('Inputs (2)'!$D$28:$AL$28,MATCH(L$7,'Inputs (2)'!$D$2:$AL$2,0))</f>
        <v>3549.8</v>
      </c>
      <c r="M204" s="3">
        <f>L204</f>
        <v>3549.8</v>
      </c>
      <c r="N204" s="25">
        <f>INDEX('Inputs (2)'!$D$28:$AL$28,MATCH(N$7,'Inputs (2)'!$D$2:$AL$2,0))</f>
        <v>3293.722</v>
      </c>
      <c r="O204" s="25">
        <f>INDEX('Inputs (2)'!$D$28:$AL$28,MATCH(O$7,'Inputs (2)'!$D$2:$AL$2,0))</f>
        <v>4445.405</v>
      </c>
      <c r="P204" s="25">
        <f>INDEX('Inputs (2)'!$D$28:$AL$28,MATCH(P$7,'Inputs (2)'!$D$2:$AL$2,0))</f>
        <v>4020.06</v>
      </c>
      <c r="Q204" s="25">
        <f>INDEX('Inputs (2)'!$D$28:$AL$28,MATCH(Q$7,'Inputs (2)'!$D$2:$AL$2,0))</f>
        <v>6103.173</v>
      </c>
      <c r="R204" s="3">
        <f>Q204</f>
        <v>6103.173</v>
      </c>
      <c r="S204" s="25">
        <f>INDEX('Inputs (2)'!$D$28:$AL$28,MATCH(S$7,'Inputs (2)'!$D$2:$AL$2,0))</f>
        <v>3544.5802412554</v>
      </c>
      <c r="T204" s="25">
        <f>INDEX('Inputs (2)'!$D$28:$AL$28,MATCH(T$7,'Inputs (2)'!$D$2:$AL$2,0))</f>
        <v>2251.56084529809</v>
      </c>
      <c r="U204" s="25">
        <f>INDEX('Inputs (2)'!$D$28:$AL$28,MATCH(U$7,'Inputs (2)'!$D$2:$AL$2,0))</f>
        <v>3630.18574441067</v>
      </c>
      <c r="V204" s="25">
        <f>INDEX('Inputs (2)'!$D$28:$AL$28,MATCH(V$7,'Inputs (2)'!$D$2:$AL$2,0))</f>
        <v>6768.44321374765</v>
      </c>
      <c r="W204" s="3">
        <f>V204</f>
        <v>6768.44321374765</v>
      </c>
      <c r="X204" s="25">
        <f>INDEX('Inputs (2)'!$D$28:$AL$28,MATCH(X$7,'Inputs (2)'!$D$2:$AL$2,0))</f>
        <v>6651.97350231043</v>
      </c>
      <c r="Y204" s="25">
        <f>INDEX('Inputs (2)'!$D$28:$AL$28,MATCH(Y$7,'Inputs (2)'!$D$2:$AL$2,0))</f>
        <v>6306.70810482981</v>
      </c>
      <c r="Z204" s="25">
        <f>INDEX('Inputs (2)'!$D$28:$AL$28,MATCH(Z$7,'Inputs (2)'!$D$2:$AL$2,0))</f>
        <v>6478.81181768959</v>
      </c>
      <c r="AA204" s="25">
        <f>INDEX('Inputs (2)'!$D$28:$AL$28,MATCH(AA$7,'Inputs (2)'!$D$2:$AL$2,0))</f>
        <v>7938.16129524</v>
      </c>
      <c r="AB204" s="3">
        <f>AA204</f>
        <v>7938.16129524</v>
      </c>
      <c r="AC204" s="25">
        <f>INDEX('Inputs (2)'!$D$28:$AL$28,MATCH(AC$7,'Inputs (2)'!$D$2:$AL$2,0))</f>
        <v>6301.64529617</v>
      </c>
      <c r="AD204" s="25">
        <f>INDEX('Inputs (2)'!$D$28:$AL$28,MATCH(AD$7,'Inputs (2)'!$D$2:$AL$2,0))</f>
        <v>6978.67527976</v>
      </c>
      <c r="AE204" s="25">
        <f>INDEX('Inputs (2)'!$D$28:$AL$28,MATCH(AE$7,'Inputs (2)'!$D$2:$AL$2,0))</f>
        <v>6854.04016388</v>
      </c>
      <c r="AF204" s="25">
        <f>INDEX('Inputs (2)'!$D$28:$AL$28,MATCH(AF$7,'Inputs (2)'!$D$2:$AL$2,0))</f>
        <v>8345.81868308</v>
      </c>
      <c r="AG204" s="3">
        <f>AF204</f>
        <v>8345.81868308</v>
      </c>
      <c r="AH204" s="3">
        <f>INDEX('Inputs (2)'!$D$28:$AL$28,MATCH(AH$7,'Inputs (2)'!$D$2:$AL$2,0))</f>
        <v>7642.5584804</v>
      </c>
      <c r="AI204" s="3">
        <f>INDEX('Inputs (2)'!$D$28:$AL$28,MATCH(AI$7,'Inputs (2)'!$D$2:$AL$2,0))</f>
        <v>8600.61621319</v>
      </c>
      <c r="AJ204" s="3">
        <f>(AJ205/(AJ$5-AI$5))*-AJ60</f>
        <v>0</v>
      </c>
      <c r="AK204" s="3">
        <f>(AK205/(AK$5-AJ$5))*-AK60</f>
        <v>0</v>
      </c>
      <c r="AL204" s="3">
        <f>AK204</f>
        <v>0</v>
      </c>
      <c r="AM204" s="3">
        <f>(AM205/(AM$5-AL$5))*-AM60</f>
        <v>0</v>
      </c>
      <c r="AN204" s="3">
        <f>(AN205/(AN$5-AM$5))*-AN60</f>
        <v>0</v>
      </c>
      <c r="AO204" s="3">
        <f>(AO205/(AO$5-AN$5))*-AO60</f>
        <v>0</v>
      </c>
      <c r="AP204" s="3">
        <f>(AP205/(AP$5-AO$5))*-AP60</f>
        <v>0</v>
      </c>
      <c r="AQ204" s="3">
        <f>AP204</f>
        <v>0</v>
      </c>
      <c r="AR204" s="3">
        <f>(AR205/(AR$5-AQ$5))*-AR60</f>
        <v>0</v>
      </c>
      <c r="AS204" s="3">
        <f>(AS205/(AS$5-AR$5))*-AS60</f>
        <v>0</v>
      </c>
      <c r="AT204" s="3">
        <f>(AT205/(AT$5-AS$5))*-AT60</f>
        <v>0</v>
      </c>
      <c r="AU204" s="3">
        <f>(AU205/(AU$5-AT$5))*-AU60</f>
        <v>0</v>
      </c>
      <c r="AV204" s="3">
        <f>AU204</f>
        <v>0</v>
      </c>
      <c r="AW204" s="3">
        <f>(AW205/(AW$5-AV$5))*-AW60</f>
        <v>0</v>
      </c>
      <c r="AX204" s="3">
        <f>(AX205/(AX$5-AW$5))*-AX60</f>
        <v>0</v>
      </c>
      <c r="AY204" s="3">
        <f>(AY205/(AY$5-AX$5))*-AY60</f>
        <v>0</v>
      </c>
      <c r="AZ204" s="3">
        <f>(AZ205/(AZ$5-AY$5))*-AZ60</f>
        <v>0</v>
      </c>
      <c r="BA204" s="3">
        <f>AZ204</f>
        <v>0</v>
      </c>
      <c r="BB204" s="3">
        <f>(BB205/(BB$5-BA$5))*-BB60</f>
        <v>0</v>
      </c>
      <c r="BC204" s="3">
        <f>(BC205/(BC$5-BB$5))*-BC60</f>
        <v>0</v>
      </c>
      <c r="BD204" s="3">
        <f>(BD205/(BD$5-BC$5))*-BD60</f>
        <v>0</v>
      </c>
      <c r="BE204" s="3">
        <f>(BE205/(BE$5-BD$5))*-BE60</f>
        <v>0</v>
      </c>
      <c r="BF204" s="3">
        <f>BE204</f>
        <v>0</v>
      </c>
      <c r="BG204" s="3">
        <f>(BG205/(BG$5-BF$5))*-BG60</f>
        <v>0</v>
      </c>
      <c r="BH204" s="3">
        <f>(BH205/(BH$5-BG$5))*-BH60</f>
        <v>0</v>
      </c>
      <c r="BI204" s="3">
        <f>(BI205/(BI$5-BH$5))*-BI60</f>
        <v>0</v>
      </c>
      <c r="BJ204" s="3">
        <f>(BJ205/(BJ$5-BI$5))*-BJ60</f>
        <v>0</v>
      </c>
      <c r="BK204" s="3">
        <f>BJ204</f>
        <v>0</v>
      </c>
      <c r="BL204" s="3">
        <f>(BL205/(BL$5-BK$5))*-BL60</f>
        <v>0</v>
      </c>
      <c r="BM204" s="3">
        <f>(BM205/(BM$5-BL$5))*-BM60</f>
        <v>0</v>
      </c>
      <c r="BN204" s="3">
        <f>(BN205/(BN$5-BM$5))*-BN60</f>
        <v>0</v>
      </c>
      <c r="BO204" s="3">
        <f>(BO205/(BO$5-BN$5))*-BO60</f>
        <v>0</v>
      </c>
      <c r="BP204" s="3">
        <f>BO204</f>
        <v>0</v>
      </c>
      <c r="BQ204" s="3">
        <f>(BQ205/(BQ$5-BP$5))*-BQ60</f>
        <v>0</v>
      </c>
      <c r="BR204" s="3">
        <f>(BR205/(BR$5-BQ$5))*-BR60</f>
        <v>0</v>
      </c>
      <c r="BS204" s="3">
        <f>(BS205/(BS$5-BR$5))*-BS60</f>
        <v>0</v>
      </c>
      <c r="BT204" s="3">
        <f>(BT205/(BT$5-BS$5))*-BT60</f>
        <v>0</v>
      </c>
      <c r="BU204" s="3">
        <f>BT204</f>
        <v>0</v>
      </c>
      <c r="BV204" s="3">
        <f>(BV205/(BV$5-BU$5))*-BV60</f>
        <v>0</v>
      </c>
      <c r="BW204" s="3">
        <f>(BW205/(BW$5-BV$5))*-BW60</f>
        <v>0</v>
      </c>
      <c r="BX204" s="3">
        <f>(BX205/(BX$5-BW$5))*-BX60</f>
        <v>0</v>
      </c>
      <c r="BY204" s="3">
        <f>(BY205/(BY$5-BX$5))*-BY60</f>
        <v>0</v>
      </c>
      <c r="BZ204" s="3">
        <f>BY204</f>
        <v>0</v>
      </c>
      <c r="CA204" s="3">
        <f>(CA205/(CA$5-BZ$5))*-CA60</f>
        <v>0</v>
      </c>
      <c r="CB204" s="3">
        <f>(CB205/(CB$5-CA$5))*-CB60</f>
        <v>0</v>
      </c>
      <c r="CC204" s="3">
        <f>(CC205/(CC$5-CB$5))*-CC60</f>
        <v>0</v>
      </c>
      <c r="CD204" s="3">
        <f>(CD205/(CD$5-CC$5))*-CD60</f>
        <v>0</v>
      </c>
      <c r="CE204" s="3">
        <f>CD204</f>
        <v>0</v>
      </c>
      <c r="CF204" s="3">
        <f>(CF205/(CF$5-CE$5))*-CF60</f>
        <v>0</v>
      </c>
      <c r="CG204" s="3">
        <f>(CG205/(CG$5-CF$5))*-CG60</f>
        <v>0</v>
      </c>
      <c r="CH204" s="3">
        <f>(CH205/(CH$5-CG$5))*-CH60</f>
        <v>0</v>
      </c>
      <c r="CI204" s="3">
        <f>(CI205/(CI$5-CH$5))*-CI60</f>
        <v>0</v>
      </c>
      <c r="CJ204" s="3">
        <f>CI204</f>
        <v>0</v>
      </c>
      <c r="CK204" s="3">
        <f>(CK205/(CK$5-CJ$5))*-CK60</f>
        <v>0</v>
      </c>
      <c r="CL204" s="3">
        <f>(CL205/(CL$5-CK$5))*-CL60</f>
        <v>0</v>
      </c>
      <c r="CM204" s="3">
        <f>(CM205/(CM$5-CL$5))*-CM60</f>
        <v>0</v>
      </c>
      <c r="CN204" s="3">
        <f>(CN205/(CN$5-CM$5))*-CN60</f>
        <v>0</v>
      </c>
      <c r="CO204" s="3">
        <f>CN204</f>
        <v>0</v>
      </c>
      <c r="CP204" s="3">
        <f>(CP205/(CP$5-CO$5))*-CP60</f>
        <v>0</v>
      </c>
      <c r="CQ204" s="3">
        <f>(CQ205/(CQ$5-CP$5))*-CQ60</f>
        <v>0</v>
      </c>
      <c r="CR204" s="3">
        <f>(CR205/(CR$5-CQ$5))*-CR60</f>
        <v>0</v>
      </c>
      <c r="CS204" s="3">
        <f>(CS205/(CS$5-CR$5))*-CS60</f>
        <v>0</v>
      </c>
      <c r="CT204" s="3">
        <f>CS204</f>
        <v>0</v>
      </c>
      <c r="CU204" s="3">
        <f>(CU205/(CU$5-CT$5))*-CU60</f>
        <v>0</v>
      </c>
      <c r="CV204" s="3">
        <f>(CV205/(CV$5-CU$5))*-CV60</f>
        <v>0</v>
      </c>
      <c r="CW204" s="3">
        <f>(CW205/(CW$5-CV$5))*-CW60</f>
        <v>0</v>
      </c>
      <c r="CX204" s="3">
        <f>(CX205/(CX$5-CW$5))*-CX60</f>
        <v>0</v>
      </c>
      <c r="CY204" s="3">
        <f>CX204</f>
        <v>0</v>
      </c>
    </row>
    <row r="205" hidden="1" outlineLevel="1">
      <c r="C205" s="34" t="inlineStr">
        <is>
          <t>DPO</t>
        </is>
      </c>
      <c r="D205" s="3" t="n"/>
      <c r="E205" s="3">
        <f>-(E204/E$60)*(E$5-D$5)</f>
        <v>63.5267346416928</v>
      </c>
      <c r="F205" s="3">
        <f>-(F204/F$60)*(F$5-E$5)</f>
        <v>85.8328068347114</v>
      </c>
      <c r="G205" s="3">
        <f>-(G204/G$60)*(G$5-F$5)</f>
        <v>109.436905199377</v>
      </c>
      <c r="H205" s="3" t="n"/>
      <c r="I205" s="3">
        <f>-(I204/I$60)*(I$5-H$5)</f>
        <v>102.007793103097</v>
      </c>
      <c r="J205" s="3">
        <f>-(J204/J$60)*(J$5-I$5)</f>
        <v>122.401534677975</v>
      </c>
      <c r="K205" s="3">
        <f>-(K204/K$60)*(K$5-J$5)</f>
        <v>86.2217875192283</v>
      </c>
      <c r="L205" s="3">
        <f>-(L204/L$60)*(L$5-K$5)</f>
        <v>136.184440060953</v>
      </c>
      <c r="M205" s="3" t="n"/>
      <c r="N205" s="3">
        <f>-(N204/N$60)*(N$5-M$5)</f>
        <v>115.081274725629</v>
      </c>
      <c r="O205" s="3">
        <f>-(O204/O$60)*(O$5-N$5)</f>
        <v>127.551076101143</v>
      </c>
      <c r="P205" s="3">
        <f>-(P204/P$60)*(P$5-O$5)</f>
        <v>87.2222580715242</v>
      </c>
      <c r="Q205" s="3">
        <f>-(Q204/Q$60)*(Q$5-P$5)</f>
        <v>121.620243622555</v>
      </c>
      <c r="R205" s="3" t="n"/>
      <c r="S205" s="3">
        <f>-(S204/S$60)*(S$5-R$5)</f>
        <v>68.4609686605765</v>
      </c>
      <c r="T205" s="3">
        <f>-(T204/T$60)*(T$5-S$5)</f>
        <v>43.2812925912483</v>
      </c>
      <c r="U205" s="3">
        <f>-(U204/U$60)*(U$5-T$5)</f>
        <v>62.0951622850197</v>
      </c>
      <c r="V205" s="3">
        <f>-(V204/V$60)*(V$5-U$5)</f>
        <v>106.926349071816</v>
      </c>
      <c r="W205" s="3" t="n"/>
      <c r="X205" s="3">
        <f>-(X204/X$60)*(X$5-W$5)</f>
        <v>104.348779758217</v>
      </c>
      <c r="Y205" s="3">
        <f>-(Y204/Y$60)*(Y$5-X$5)</f>
        <v>85.0049596943015</v>
      </c>
      <c r="Z205" s="3">
        <f>-(Z204/Z$60)*(Z$5-Y$5)</f>
        <v>84.0216792077719</v>
      </c>
      <c r="AA205" s="3">
        <f>-(AA204/AA$60)*(AA$5-Z$5)</f>
        <v>104.734173914328</v>
      </c>
      <c r="AB205" s="3" t="n"/>
      <c r="AC205" s="3">
        <f>-(AC204/AC$60)*(AC$5-AB$5)</f>
        <v>87.2853862216539</v>
      </c>
      <c r="AD205" s="3">
        <f>-(AD204/AD$60)*(AD$5-AC$5)</f>
        <v>98.5337944443444</v>
      </c>
      <c r="AE205" s="3">
        <f>-(AE204/AE$60)*(AE$5-AD$5)</f>
        <v>89.5631710230689</v>
      </c>
      <c r="AF205" s="6">
        <f>-(AF204/AF$60)*(AF$5-AE$5)</f>
        <v>110.16835722969</v>
      </c>
      <c r="AG205" s="3" t="n"/>
      <c r="AH205" s="6">
        <f>-(AH204/AH$60)*(AH$5-AG$5)</f>
        <v>102.097322640811</v>
      </c>
      <c r="AI205" s="6">
        <f>-(AI204/AI$60)*(AI$5-AH$5)</f>
        <v>114.863506339078</v>
      </c>
      <c r="AJ205" s="6" t="n"/>
      <c r="AK205" s="6" t="n"/>
      <c r="AL205" s="3" t="n"/>
      <c r="AM205" s="6" t="n"/>
      <c r="AN205" s="6" t="n"/>
      <c r="AO205" s="6" t="n"/>
      <c r="AP205" s="6" t="n"/>
      <c r="AQ205" s="3" t="n"/>
      <c r="AR205" s="6" t="n"/>
      <c r="AS205" s="6" t="n"/>
      <c r="AT205" s="6" t="n"/>
      <c r="AU205" s="6" t="n"/>
      <c r="AV205" s="3" t="n"/>
      <c r="AW205" s="6" t="n"/>
      <c r="AX205" s="6" t="n"/>
      <c r="AY205" s="6" t="n"/>
      <c r="AZ205" s="6" t="n"/>
      <c r="BA205" s="3" t="n"/>
      <c r="BB205" s="6" t="n"/>
      <c r="BC205" s="6" t="n"/>
      <c r="BD205" s="6" t="n"/>
      <c r="BE205" s="6" t="n"/>
      <c r="BF205" s="3" t="n"/>
      <c r="BG205" s="6" t="n"/>
      <c r="BH205" s="6" t="n"/>
      <c r="BI205" s="6" t="n"/>
      <c r="BJ205" s="6" t="n"/>
      <c r="BK205" s="3" t="n"/>
      <c r="BL205" s="6" t="n"/>
      <c r="BM205" s="6" t="n"/>
      <c r="BN205" s="6" t="n"/>
      <c r="BO205" s="6" t="n"/>
      <c r="BP205" s="3" t="n"/>
      <c r="BQ205" s="6" t="n"/>
      <c r="BR205" s="6" t="n"/>
      <c r="BS205" s="6" t="n"/>
      <c r="BT205" s="6" t="n"/>
      <c r="BU205" s="3" t="n"/>
      <c r="BV205" s="6" t="n"/>
      <c r="BW205" s="6" t="n"/>
      <c r="BX205" s="6" t="n"/>
      <c r="BY205" s="6" t="n"/>
      <c r="BZ205" s="3" t="n"/>
      <c r="CA205" s="6" t="n"/>
      <c r="CB205" s="6" t="n"/>
      <c r="CC205" s="6" t="n"/>
      <c r="CD205" s="6" t="n"/>
      <c r="CE205" s="3" t="n"/>
      <c r="CF205" s="6" t="n"/>
      <c r="CG205" s="6" t="n"/>
      <c r="CH205" s="6" t="n"/>
      <c r="CI205" s="6" t="n"/>
      <c r="CJ205" s="3" t="n"/>
      <c r="CK205" s="6" t="n"/>
      <c r="CL205" s="6" t="n"/>
      <c r="CM205" s="6" t="n"/>
      <c r="CN205" s="6" t="n"/>
      <c r="CO205" s="3" t="n"/>
      <c r="CP205" s="6" t="n"/>
      <c r="CQ205" s="6" t="n"/>
      <c r="CR205" s="6" t="n"/>
      <c r="CS205" s="6" t="n"/>
      <c r="CT205" s="3" t="n"/>
      <c r="CU205" s="6" t="n"/>
      <c r="CV205" s="6" t="n"/>
      <c r="CW205" s="6" t="n"/>
      <c r="CX205" s="6" t="n"/>
      <c r="CY205" s="3" t="n"/>
    </row>
    <row r="206" hidden="1" outlineLevel="1">
      <c r="C206" s="34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  <c r="AX206" s="3" t="n"/>
      <c r="AY206" s="3" t="n"/>
      <c r="AZ206" s="3" t="n"/>
      <c r="BA206" s="3" t="n"/>
      <c r="BB206" s="3" t="n"/>
      <c r="BC206" s="3" t="n"/>
      <c r="BD206" s="3" t="n"/>
      <c r="BE206" s="3" t="n"/>
      <c r="BF206" s="3" t="n"/>
      <c r="BG206" s="3" t="n"/>
      <c r="BH206" s="3" t="n"/>
      <c r="BI206" s="3" t="n"/>
      <c r="BJ206" s="3" t="n"/>
      <c r="BK206" s="3" t="n"/>
      <c r="BL206" s="3" t="n"/>
      <c r="BM206" s="3" t="n"/>
      <c r="BN206" s="3" t="n"/>
      <c r="BO206" s="3" t="n"/>
      <c r="BP206" s="3" t="n"/>
      <c r="BQ206" s="3" t="n"/>
      <c r="BR206" s="3" t="n"/>
      <c r="BS206" s="3" t="n"/>
      <c r="BT206" s="3" t="n"/>
      <c r="BU206" s="3" t="n"/>
      <c r="BV206" s="3" t="n"/>
      <c r="BW206" s="3" t="n"/>
      <c r="BX206" s="3" t="n"/>
      <c r="BY206" s="3" t="n"/>
      <c r="BZ206" s="3" t="n"/>
      <c r="CA206" s="3" t="n"/>
      <c r="CB206" s="3" t="n"/>
      <c r="CC206" s="3" t="n"/>
      <c r="CD206" s="3" t="n"/>
      <c r="CE206" s="3" t="n"/>
      <c r="CF206" s="3" t="n"/>
      <c r="CG206" s="3" t="n"/>
      <c r="CH206" s="3" t="n"/>
      <c r="CI206" s="3" t="n"/>
      <c r="CJ206" s="3" t="n"/>
      <c r="CK206" s="3" t="n"/>
      <c r="CL206" s="3" t="n"/>
      <c r="CM206" s="3" t="n"/>
      <c r="CN206" s="3" t="n"/>
      <c r="CO206" s="3" t="n"/>
      <c r="CP206" s="3" t="n"/>
      <c r="CQ206" s="3" t="n"/>
      <c r="CR206" s="3" t="n"/>
      <c r="CS206" s="3" t="n"/>
      <c r="CT206" s="3" t="n"/>
      <c r="CU206" s="3" t="n"/>
      <c r="CV206" s="3" t="n"/>
      <c r="CW206" s="3" t="n"/>
      <c r="CX206" s="3" t="n"/>
      <c r="CY206" s="3" t="n"/>
    </row>
    <row r="207" hidden="1" outlineLevel="1">
      <c r="C207" s="34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  <c r="CU207" s="3" t="n"/>
      <c r="CV207" s="3" t="n"/>
      <c r="CW207" s="3" t="n"/>
      <c r="CX207" s="3" t="n"/>
      <c r="CY207" s="3" t="n"/>
    </row>
    <row r="208" collapsed="1">
      <c r="C208" s="26" t="inlineStr">
        <is>
          <t>Accrued expenses</t>
        </is>
      </c>
      <c r="D208" s="25">
        <f>INDEX('Inputs (2)'!$D$29:$AL$29,MATCH(D$7,'Inputs (2)'!$D$2:$AL$2,0))</f>
        <v>238.41306349</v>
      </c>
      <c r="E208" s="25">
        <f>INDEX('Inputs (2)'!$D$29:$AL$29,MATCH(E$7,'Inputs (2)'!$D$2:$AL$2,0))</f>
        <v>267.31642906</v>
      </c>
      <c r="F208" s="25">
        <f>INDEX('Inputs (2)'!$D$29:$AL$29,MATCH(F$7,'Inputs (2)'!$D$2:$AL$2,0))</f>
        <v>287.59921562</v>
      </c>
      <c r="G208" s="25">
        <f>INDEX('Inputs (2)'!$D$29:$AL$29,MATCH(G$7,'Inputs (2)'!$D$2:$AL$2,0))</f>
        <v>270.005696152076</v>
      </c>
      <c r="H208" s="3">
        <f>G208</f>
        <v>270.005696152076</v>
      </c>
      <c r="I208" s="25">
        <f>INDEX('Inputs (2)'!$D$29:$AL$29,MATCH(I$7,'Inputs (2)'!$D$2:$AL$2,0))</f>
        <v>314.313235398357</v>
      </c>
      <c r="J208" s="25">
        <f>INDEX('Inputs (2)'!$D$29:$AL$29,MATCH(J$7,'Inputs (2)'!$D$2:$AL$2,0))</f>
        <v>395.0717992</v>
      </c>
      <c r="K208" s="25">
        <f>INDEX('Inputs (2)'!$D$29:$AL$29,MATCH(K$7,'Inputs (2)'!$D$2:$AL$2,0))</f>
        <v>462.694</v>
      </c>
      <c r="L208" s="25">
        <f>INDEX('Inputs (2)'!$D$29:$AL$29,MATCH(L$7,'Inputs (2)'!$D$2:$AL$2,0))</f>
        <v>408.154</v>
      </c>
      <c r="M208" s="3">
        <f>L208</f>
        <v>408.154</v>
      </c>
      <c r="N208" s="25">
        <f>INDEX('Inputs (2)'!$D$29:$AL$29,MATCH(N$7,'Inputs (2)'!$D$2:$AL$2,0))</f>
        <v>464.144</v>
      </c>
      <c r="O208" s="25">
        <f>INDEX('Inputs (2)'!$D$29:$AL$29,MATCH(O$7,'Inputs (2)'!$D$2:$AL$2,0))</f>
        <v>510.412</v>
      </c>
      <c r="P208" s="25">
        <f>INDEX('Inputs (2)'!$D$29:$AL$29,MATCH(P$7,'Inputs (2)'!$D$2:$AL$2,0))</f>
        <v>658.286</v>
      </c>
      <c r="Q208" s="25">
        <f>INDEX('Inputs (2)'!$D$29:$AL$29,MATCH(Q$7,'Inputs (2)'!$D$2:$AL$2,0))</f>
        <v>625.156</v>
      </c>
      <c r="R208" s="3">
        <f>Q208</f>
        <v>625.156</v>
      </c>
      <c r="S208" s="25">
        <f>INDEX('Inputs (2)'!$D$29:$AL$29,MATCH(S$7,'Inputs (2)'!$D$2:$AL$2,0))</f>
        <v>702.028564539886</v>
      </c>
      <c r="T208" s="25">
        <f>INDEX('Inputs (2)'!$D$29:$AL$29,MATCH(T$7,'Inputs (2)'!$D$2:$AL$2,0))</f>
        <v>805.710163914595</v>
      </c>
      <c r="U208" s="25">
        <f>INDEX('Inputs (2)'!$D$29:$AL$29,MATCH(U$7,'Inputs (2)'!$D$2:$AL$2,0))</f>
        <v>919.264424689247</v>
      </c>
      <c r="V208" s="25">
        <f>INDEX('Inputs (2)'!$D$29:$AL$29,MATCH(V$7,'Inputs (2)'!$D$2:$AL$2,0))</f>
        <v>727.767074321675</v>
      </c>
      <c r="W208" s="3">
        <f>V208</f>
        <v>727.767074321675</v>
      </c>
      <c r="X208" s="25">
        <f>INDEX('Inputs (2)'!$D$29:$AL$29,MATCH(X$7,'Inputs (2)'!$D$2:$AL$2,0))</f>
        <v>756.147315318588</v>
      </c>
      <c r="Y208" s="25">
        <f>INDEX('Inputs (2)'!$D$29:$AL$29,MATCH(Y$7,'Inputs (2)'!$D$2:$AL$2,0))</f>
        <v>781.022510349471</v>
      </c>
      <c r="Z208" s="25">
        <f>INDEX('Inputs (2)'!$D$29:$AL$29,MATCH(Z$7,'Inputs (2)'!$D$2:$AL$2,0))</f>
        <v>860.483808124382</v>
      </c>
      <c r="AA208" s="25">
        <f>INDEX('Inputs (2)'!$D$29:$AL$29,MATCH(AA$7,'Inputs (2)'!$D$2:$AL$2,0))</f>
        <v>747.29725973</v>
      </c>
      <c r="AB208" s="3">
        <f>AA208</f>
        <v>747.29725973</v>
      </c>
      <c r="AC208" s="25">
        <f>INDEX('Inputs (2)'!$D$29:$AL$29,MATCH(AC$7,'Inputs (2)'!$D$2:$AL$2,0))</f>
        <v>778.19114601</v>
      </c>
      <c r="AD208" s="25">
        <f>INDEX('Inputs (2)'!$D$29:$AL$29,MATCH(AD$7,'Inputs (2)'!$D$2:$AL$2,0))</f>
        <v>861.57004729</v>
      </c>
      <c r="AE208" s="25">
        <f>INDEX('Inputs (2)'!$D$29:$AL$29,MATCH(AE$7,'Inputs (2)'!$D$2:$AL$2,0))</f>
        <v>959.03046664</v>
      </c>
      <c r="AF208" s="25">
        <f>INDEX('Inputs (2)'!$D$29:$AL$29,MATCH(AF$7,'Inputs (2)'!$D$2:$AL$2,0))</f>
        <v>845.76907274</v>
      </c>
      <c r="AG208" s="3">
        <f>AF208</f>
        <v>845.76907274</v>
      </c>
      <c r="AH208" s="3">
        <f>INDEX('Inputs (2)'!$D$29:$AL$29,MATCH(AH$7,'Inputs (2)'!$D$2:$AL$2,0))</f>
        <v>1127.90286505</v>
      </c>
      <c r="AI208" s="3">
        <f>INDEX('Inputs (2)'!$D$29:$AL$29,MATCH(AI$7,'Inputs (2)'!$D$2:$AL$2,0))</f>
        <v>1191.83897208</v>
      </c>
      <c r="AJ208" s="3">
        <f>AH208*AJ64/AH64</f>
        <v>0</v>
      </c>
      <c r="AK208" s="3">
        <f>AI208*AK64/AI64</f>
        <v>0</v>
      </c>
      <c r="AL208" s="3">
        <f>AK208</f>
        <v>0</v>
      </c>
      <c r="AM208" s="3" t="e">
        <f>AK208*AM64/AK64</f>
        <v>#DIV/0!</v>
      </c>
      <c r="AN208" s="3">
        <f>AL208*AN64/AL64</f>
        <v>0</v>
      </c>
      <c r="AO208" s="3" t="e">
        <f>AM208*AO64/AM64</f>
        <v>#DIV/0!</v>
      </c>
      <c r="AP208" s="3" t="e">
        <f>AN208*AP64/AN64</f>
        <v>#DIV/0!</v>
      </c>
      <c r="AQ208" s="3" t="e">
        <f>AP208</f>
        <v>#DIV/0!</v>
      </c>
      <c r="AR208" s="3" t="e">
        <f>AP208*AR64/AP64</f>
        <v>#DIV/0!</v>
      </c>
      <c r="AS208" s="3" t="e">
        <f>AQ208*AS64/AQ64</f>
        <v>#DIV/0!</v>
      </c>
      <c r="AT208" s="3" t="e">
        <f>AR208*AT64/AR64</f>
        <v>#DIV/0!</v>
      </c>
      <c r="AU208" s="3" t="e">
        <f>AS208*AU64/AS64</f>
        <v>#DIV/0!</v>
      </c>
      <c r="AV208" s="3" t="e">
        <f>AU208</f>
        <v>#DIV/0!</v>
      </c>
      <c r="AW208" s="3" t="e">
        <f>AU208*AW64/AU64</f>
        <v>#DIV/0!</v>
      </c>
      <c r="AX208" s="3" t="e">
        <f>AV208*AX64/AV64</f>
        <v>#DIV/0!</v>
      </c>
      <c r="AY208" s="3" t="e">
        <f>AW208*AY64/AW64</f>
        <v>#DIV/0!</v>
      </c>
      <c r="AZ208" s="3" t="e">
        <f>AX208*AZ64/AX64</f>
        <v>#DIV/0!</v>
      </c>
      <c r="BA208" s="3" t="e">
        <f>AZ208</f>
        <v>#DIV/0!</v>
      </c>
      <c r="BB208" s="3" t="e">
        <f>AZ208*BB64/AZ64</f>
        <v>#DIV/0!</v>
      </c>
      <c r="BC208" s="3" t="e">
        <f>BA208*BC64/BA64</f>
        <v>#DIV/0!</v>
      </c>
      <c r="BD208" s="3" t="e">
        <f>BB208*BD64/BB64</f>
        <v>#DIV/0!</v>
      </c>
      <c r="BE208" s="3" t="e">
        <f>BC208*BE64/BC64</f>
        <v>#DIV/0!</v>
      </c>
      <c r="BF208" s="3" t="e">
        <f>BE208</f>
        <v>#DIV/0!</v>
      </c>
      <c r="BG208" s="3" t="e">
        <f>BE208*BG64/BE64</f>
        <v>#DIV/0!</v>
      </c>
      <c r="BH208" s="3" t="e">
        <f>BF208*BH64/BF64</f>
        <v>#DIV/0!</v>
      </c>
      <c r="BI208" s="3" t="e">
        <f>BG208*BI64/BG64</f>
        <v>#DIV/0!</v>
      </c>
      <c r="BJ208" s="3" t="e">
        <f>BH208*BJ64/BH64</f>
        <v>#DIV/0!</v>
      </c>
      <c r="BK208" s="3" t="e">
        <f>BJ208</f>
        <v>#DIV/0!</v>
      </c>
      <c r="BL208" s="3" t="e">
        <f>BJ208*BL64/BJ64</f>
        <v>#DIV/0!</v>
      </c>
      <c r="BM208" s="3" t="e">
        <f>BK208*BM64/BK64</f>
        <v>#DIV/0!</v>
      </c>
      <c r="BN208" s="3" t="e">
        <f>BL208*BN64/BL64</f>
        <v>#DIV/0!</v>
      </c>
      <c r="BO208" s="3" t="e">
        <f>BM208*BO64/BM64</f>
        <v>#DIV/0!</v>
      </c>
      <c r="BP208" s="3" t="e">
        <f>BO208</f>
        <v>#DIV/0!</v>
      </c>
      <c r="BQ208" s="3" t="e">
        <f>BO208*BQ64/BO64</f>
        <v>#DIV/0!</v>
      </c>
      <c r="BR208" s="3" t="e">
        <f>BP208*BR64/BP64</f>
        <v>#DIV/0!</v>
      </c>
      <c r="BS208" s="3" t="e">
        <f>BQ208*BS64/BQ64</f>
        <v>#DIV/0!</v>
      </c>
      <c r="BT208" s="3" t="e">
        <f>BR208*BT64/BR64</f>
        <v>#DIV/0!</v>
      </c>
      <c r="BU208" s="3" t="e">
        <f>BT208</f>
        <v>#DIV/0!</v>
      </c>
      <c r="BV208" s="3" t="e">
        <f>BT208*BV64/BT64</f>
        <v>#DIV/0!</v>
      </c>
      <c r="BW208" s="3" t="e">
        <f>BU208*BW64/BU64</f>
        <v>#DIV/0!</v>
      </c>
      <c r="BX208" s="3" t="e">
        <f>BV208*BX64/BV64</f>
        <v>#DIV/0!</v>
      </c>
      <c r="BY208" s="3" t="e">
        <f>BW208*BY64/BW64</f>
        <v>#DIV/0!</v>
      </c>
      <c r="BZ208" s="3" t="e">
        <f>BY208</f>
        <v>#DIV/0!</v>
      </c>
      <c r="CA208" s="3" t="e">
        <f>BY208*CA64/BY64</f>
        <v>#DIV/0!</v>
      </c>
      <c r="CB208" s="3" t="e">
        <f>BZ208*CB64/BZ64</f>
        <v>#DIV/0!</v>
      </c>
      <c r="CC208" s="3" t="e">
        <f>CA208*CC64/CA64</f>
        <v>#DIV/0!</v>
      </c>
      <c r="CD208" s="3" t="e">
        <f>CB208*CD64/CB64</f>
        <v>#DIV/0!</v>
      </c>
      <c r="CE208" s="3" t="e">
        <f>CD208</f>
        <v>#DIV/0!</v>
      </c>
      <c r="CF208" s="3" t="e">
        <f>CD208*CF64/CD64</f>
        <v>#DIV/0!</v>
      </c>
      <c r="CG208" s="3" t="e">
        <f>CE208*CG64/CE64</f>
        <v>#DIV/0!</v>
      </c>
      <c r="CH208" s="3" t="e">
        <f>CF208*CH64/CF64</f>
        <v>#DIV/0!</v>
      </c>
      <c r="CI208" s="3" t="e">
        <f>CG208*CI64/CG64</f>
        <v>#DIV/0!</v>
      </c>
      <c r="CJ208" s="3" t="e">
        <f>CI208</f>
        <v>#DIV/0!</v>
      </c>
      <c r="CK208" s="3" t="e">
        <f>CI208*CK64/CI64</f>
        <v>#DIV/0!</v>
      </c>
      <c r="CL208" s="3" t="e">
        <f>CJ208*CL64/CJ64</f>
        <v>#DIV/0!</v>
      </c>
      <c r="CM208" s="3" t="e">
        <f>CK208*CM64/CK64</f>
        <v>#DIV/0!</v>
      </c>
      <c r="CN208" s="3" t="e">
        <f>CL208*CN64/CL64</f>
        <v>#DIV/0!</v>
      </c>
      <c r="CO208" s="3" t="e">
        <f>CN208</f>
        <v>#DIV/0!</v>
      </c>
      <c r="CP208" s="3" t="e">
        <f>CN208*CP64/CN64</f>
        <v>#DIV/0!</v>
      </c>
      <c r="CQ208" s="3" t="e">
        <f>CO208*CQ64/CO64</f>
        <v>#DIV/0!</v>
      </c>
      <c r="CR208" s="3" t="e">
        <f>CP208*CR64/CP64</f>
        <v>#DIV/0!</v>
      </c>
      <c r="CS208" s="3" t="e">
        <f>CQ208*CS64/CQ64</f>
        <v>#DIV/0!</v>
      </c>
      <c r="CT208" s="3" t="e">
        <f>CS208</f>
        <v>#DIV/0!</v>
      </c>
      <c r="CU208" s="3" t="e">
        <f>CS208*CU64/CS64</f>
        <v>#DIV/0!</v>
      </c>
      <c r="CV208" s="3" t="e">
        <f>CT208*CV64/CT64</f>
        <v>#DIV/0!</v>
      </c>
      <c r="CW208" s="3" t="e">
        <f>CU208*CW64/CU64</f>
        <v>#DIV/0!</v>
      </c>
      <c r="CX208" s="3" t="e">
        <f>CV208*CX64/CV64</f>
        <v>#DIV/0!</v>
      </c>
      <c r="CY208" s="3" t="e">
        <f>CX208</f>
        <v>#DIV/0!</v>
      </c>
    </row>
    <row r="209" hidden="1" outlineLevel="1">
      <c r="C209" s="38" t="inlineStr">
        <is>
          <t>%(Var.)</t>
        </is>
      </c>
      <c r="D209" s="3" t="n"/>
      <c r="E209" s="47">
        <f>(E208-D208)/D208</f>
        <v>0.121232306430274</v>
      </c>
      <c r="F209" s="47">
        <f>(F208-E208)/E208</f>
        <v>0.0758755705039268</v>
      </c>
      <c r="G209" s="47">
        <f>(G208-F208)/F208</f>
        <v>-0.0611737393997974</v>
      </c>
      <c r="H209" s="3" t="n"/>
      <c r="I209" s="47">
        <f>(I208-H208)/H208</f>
        <v>0.164098535244699</v>
      </c>
      <c r="J209" s="47">
        <f>(J208-I208)/I208</f>
        <v>0.256936567431819</v>
      </c>
      <c r="K209" s="47">
        <f>(K208-J208)/J208</f>
        <v>0.171164332500906</v>
      </c>
      <c r="L209" s="47">
        <f>(L208-K208)/K208</f>
        <v>-0.117874880590628</v>
      </c>
      <c r="M209" s="3" t="n"/>
      <c r="N209" s="47">
        <f>(N208-M208)/M208</f>
        <v>0.137178613954537</v>
      </c>
      <c r="O209" s="47">
        <f>(O208-N208)/N208</f>
        <v>0.0996845806473852</v>
      </c>
      <c r="P209" s="47">
        <f>(P208-O208)/O208</f>
        <v>0.289714975353244</v>
      </c>
      <c r="Q209" s="47">
        <f>(Q208-P208)/P208</f>
        <v>-0.0503276691286158</v>
      </c>
      <c r="R209" s="3" t="n"/>
      <c r="S209" s="47">
        <f>(S208-R208)/R208</f>
        <v>0.122965411097207</v>
      </c>
      <c r="T209" s="47">
        <f>(T208-S208)/S208</f>
        <v>0.147688576522044</v>
      </c>
      <c r="U209" s="47">
        <f>(U208-T208)/T208</f>
        <v>0.140936860251261</v>
      </c>
      <c r="V209" s="47">
        <f>(V208-U208)/U208</f>
        <v>-0.208315850395611</v>
      </c>
      <c r="W209" s="3" t="n"/>
      <c r="X209" s="47">
        <f>(X208-W208)/W208</f>
        <v>0.0389963245085867</v>
      </c>
      <c r="Y209" s="47">
        <f>(Y208-X208)/X208</f>
        <v>0.0328972867150927</v>
      </c>
      <c r="Z209" s="47">
        <f>(Z208-Y208)/Y208</f>
        <v>0.101740086517296</v>
      </c>
      <c r="AA209" s="47">
        <f>(AA208-Z208)/Z208</f>
        <v>-0.131538266409798</v>
      </c>
      <c r="AB209" s="3" t="n"/>
      <c r="AC209" s="47">
        <f>(AC208-AB208)/AB208</f>
        <v>0.0413408263950573</v>
      </c>
      <c r="AD209" s="47">
        <f>(AD208-AC208)/AC208</f>
        <v>0.107144500046687</v>
      </c>
      <c r="AE209" s="47">
        <f>(AE208-AD208)/AD208</f>
        <v>0.11311955383843</v>
      </c>
      <c r="AF209" s="218">
        <f>(AF208-AE208)/AE208</f>
        <v>-0.118099891337984</v>
      </c>
      <c r="AG209" s="3" t="n"/>
      <c r="AH209" s="218">
        <f>(AH208-AG208)/AG208</f>
        <v>0.333582536183291</v>
      </c>
      <c r="AI209" s="218">
        <f>(AI208-AH208)/AH208</f>
        <v>0.0566858273093985</v>
      </c>
      <c r="AJ209" s="218" t="n"/>
      <c r="AK209" s="218" t="n"/>
      <c r="AL209" s="3" t="n"/>
      <c r="AM209" s="218" t="n"/>
      <c r="AN209" s="218" t="n"/>
      <c r="AO209" s="218" t="n"/>
      <c r="AP209" s="218" t="n"/>
      <c r="AQ209" s="3" t="n"/>
      <c r="AR209" s="218" t="n"/>
      <c r="AS209" s="218" t="n"/>
      <c r="AT209" s="218" t="n"/>
      <c r="AU209" s="218" t="n"/>
      <c r="AV209" s="3" t="n"/>
      <c r="AW209" s="218" t="n"/>
      <c r="AX209" s="218" t="n"/>
      <c r="AY209" s="218" t="n"/>
      <c r="AZ209" s="218" t="n"/>
      <c r="BA209" s="3" t="n"/>
      <c r="BB209" s="218" t="n"/>
      <c r="BC209" s="218" t="n"/>
      <c r="BD209" s="218" t="n"/>
      <c r="BE209" s="218" t="n"/>
      <c r="BF209" s="3" t="n"/>
      <c r="BG209" s="218" t="n"/>
      <c r="BH209" s="218" t="n"/>
      <c r="BI209" s="218" t="n"/>
      <c r="BJ209" s="218" t="n"/>
      <c r="BK209" s="3" t="n"/>
      <c r="BL209" s="218" t="n"/>
      <c r="BM209" s="218" t="n"/>
      <c r="BN209" s="218" t="n"/>
      <c r="BO209" s="218" t="n"/>
      <c r="BP209" s="3" t="n"/>
      <c r="BQ209" s="218" t="n"/>
      <c r="BR209" s="218" t="n"/>
      <c r="BS209" s="218" t="n"/>
      <c r="BT209" s="218" t="n"/>
      <c r="BU209" s="3" t="n"/>
      <c r="BV209" s="218" t="n"/>
      <c r="BW209" s="218" t="n"/>
      <c r="BX209" s="218" t="n"/>
      <c r="BY209" s="218" t="n"/>
      <c r="BZ209" s="3" t="n"/>
      <c r="CA209" s="218" t="n"/>
      <c r="CB209" s="218" t="n"/>
      <c r="CC209" s="218" t="n"/>
      <c r="CD209" s="218" t="n"/>
      <c r="CE209" s="3" t="n"/>
      <c r="CF209" s="218" t="n"/>
      <c r="CG209" s="218" t="n"/>
      <c r="CH209" s="218" t="n"/>
      <c r="CI209" s="218" t="n"/>
      <c r="CJ209" s="3" t="n"/>
      <c r="CK209" s="218" t="n"/>
      <c r="CL209" s="218" t="n"/>
      <c r="CM209" s="218" t="n"/>
      <c r="CN209" s="218" t="n"/>
      <c r="CO209" s="3" t="n"/>
      <c r="CP209" s="218" t="n"/>
      <c r="CQ209" s="218" t="n"/>
      <c r="CR209" s="218" t="n"/>
      <c r="CS209" s="218" t="n"/>
      <c r="CT209" s="3" t="n"/>
      <c r="CU209" s="218" t="n"/>
      <c r="CV209" s="218" t="n"/>
      <c r="CW209" s="218" t="n"/>
      <c r="CX209" s="218" t="n"/>
      <c r="CY209" s="3" t="n"/>
    </row>
    <row r="210" collapsed="1">
      <c r="C210" s="26" t="inlineStr">
        <is>
          <t>Taxes payable</t>
        </is>
      </c>
      <c r="D210" s="25">
        <f>INDEX('Inputs (2)'!$D$30:$AL$30,MATCH(D$7,'Inputs (2)'!$D$2:$AL$2,0))</f>
        <v>126.64465528</v>
      </c>
      <c r="E210" s="25">
        <f>INDEX('Inputs (2)'!$D$30:$AL$30,MATCH(E$7,'Inputs (2)'!$D$2:$AL$2,0))</f>
        <v>81.724789203</v>
      </c>
      <c r="F210" s="25">
        <f>INDEX('Inputs (2)'!$D$30:$AL$30,MATCH(F$7,'Inputs (2)'!$D$2:$AL$2,0))</f>
        <v>86.410897823</v>
      </c>
      <c r="G210" s="25">
        <f>INDEX('Inputs (2)'!$D$30:$AL$30,MATCH(G$7,'Inputs (2)'!$D$2:$AL$2,0))</f>
        <v>121.970339808</v>
      </c>
      <c r="H210" s="3">
        <f>G210</f>
        <v>121.970339808</v>
      </c>
      <c r="I210" s="25">
        <f>INDEX('Inputs (2)'!$D$30:$AL$30,MATCH(I$7,'Inputs (2)'!$D$2:$AL$2,0))</f>
        <v>189.8675864616</v>
      </c>
      <c r="J210" s="25">
        <f>INDEX('Inputs (2)'!$D$30:$AL$30,MATCH(J$7,'Inputs (2)'!$D$2:$AL$2,0))</f>
        <v>189.592398677</v>
      </c>
      <c r="K210" s="25">
        <f>INDEX('Inputs (2)'!$D$30:$AL$30,MATCH(K$7,'Inputs (2)'!$D$2:$AL$2,0))</f>
        <v>205.688</v>
      </c>
      <c r="L210" s="25">
        <f>INDEX('Inputs (2)'!$D$30:$AL$30,MATCH(L$7,'Inputs (2)'!$D$2:$AL$2,0))</f>
        <v>266.078</v>
      </c>
      <c r="M210" s="3">
        <f>L210</f>
        <v>266.078</v>
      </c>
      <c r="N210" s="25">
        <f>INDEX('Inputs (2)'!$D$30:$AL$30,MATCH(N$7,'Inputs (2)'!$D$2:$AL$2,0))</f>
        <v>223.781</v>
      </c>
      <c r="O210" s="25">
        <f>INDEX('Inputs (2)'!$D$30:$AL$30,MATCH(O$7,'Inputs (2)'!$D$2:$AL$2,0))</f>
        <v>305.736</v>
      </c>
      <c r="P210" s="25">
        <f>INDEX('Inputs (2)'!$D$30:$AL$30,MATCH(P$7,'Inputs (2)'!$D$2:$AL$2,0))</f>
        <v>355.365</v>
      </c>
      <c r="Q210" s="25">
        <f>INDEX('Inputs (2)'!$D$30:$AL$30,MATCH(Q$7,'Inputs (2)'!$D$2:$AL$2,0))</f>
        <v>485.147</v>
      </c>
      <c r="R210" s="3">
        <f>Q210</f>
        <v>485.147</v>
      </c>
      <c r="S210" s="25">
        <f>INDEX('Inputs (2)'!$D$30:$AL$30,MATCH(S$7,'Inputs (2)'!$D$2:$AL$2,0))</f>
        <v>347.781362932626</v>
      </c>
      <c r="T210" s="25">
        <f>INDEX('Inputs (2)'!$D$30:$AL$30,MATCH(T$7,'Inputs (2)'!$D$2:$AL$2,0))</f>
        <v>383.019494648299</v>
      </c>
      <c r="U210" s="25">
        <f>INDEX('Inputs (2)'!$D$30:$AL$30,MATCH(U$7,'Inputs (2)'!$D$2:$AL$2,0))</f>
        <v>422.791813105795</v>
      </c>
      <c r="V210" s="25">
        <f>INDEX('Inputs (2)'!$D$30:$AL$30,MATCH(V$7,'Inputs (2)'!$D$2:$AL$2,0))</f>
        <v>500.79917582256</v>
      </c>
      <c r="W210" s="3">
        <f>V210</f>
        <v>500.79917582256</v>
      </c>
      <c r="X210" s="25">
        <f>INDEX('Inputs (2)'!$D$30:$AL$30,MATCH(X$7,'Inputs (2)'!$D$2:$AL$2,0))</f>
        <v>470.736237322339</v>
      </c>
      <c r="Y210" s="25">
        <f>INDEX('Inputs (2)'!$D$30:$AL$30,MATCH(Y$7,'Inputs (2)'!$D$2:$AL$2,0))</f>
        <v>463.140924634149</v>
      </c>
      <c r="Z210" s="25">
        <f>INDEX('Inputs (2)'!$D$30:$AL$30,MATCH(Z$7,'Inputs (2)'!$D$2:$AL$2,0))</f>
        <v>500.881818652557</v>
      </c>
      <c r="AA210" s="25">
        <f>INDEX('Inputs (2)'!$D$30:$AL$30,MATCH(AA$7,'Inputs (2)'!$D$2:$AL$2,0))</f>
        <v>586.6794142</v>
      </c>
      <c r="AB210" s="3">
        <f>AA210</f>
        <v>586.6794142</v>
      </c>
      <c r="AC210" s="25">
        <f>INDEX('Inputs (2)'!$D$30:$AL$30,MATCH(AC$7,'Inputs (2)'!$D$2:$AL$2,0))</f>
        <v>505.71515779</v>
      </c>
      <c r="AD210" s="25">
        <f>INDEX('Inputs (2)'!$D$30:$AL$30,MATCH(AD$7,'Inputs (2)'!$D$2:$AL$2,0))</f>
        <v>528.45623878</v>
      </c>
      <c r="AE210" s="25">
        <f>INDEX('Inputs (2)'!$D$30:$AL$30,MATCH(AE$7,'Inputs (2)'!$D$2:$AL$2,0))</f>
        <v>537.31639851</v>
      </c>
      <c r="AF210" s="25">
        <f>INDEX('Inputs (2)'!$D$30:$AL$30,MATCH(AF$7,'Inputs (2)'!$D$2:$AL$2,0))</f>
        <v>706.74798243</v>
      </c>
      <c r="AG210" s="3">
        <f>AF210</f>
        <v>706.74798243</v>
      </c>
      <c r="AH210" s="3">
        <f>INDEX('Inputs (2)'!$D$30:$AL$30,MATCH(AH$7,'Inputs (2)'!$D$2:$AL$2,0))</f>
        <v>589.8947193</v>
      </c>
      <c r="AI210" s="3">
        <f>INDEX('Inputs (2)'!$D$30:$AL$30,MATCH(AI$7,'Inputs (2)'!$D$2:$AL$2,0))</f>
        <v>658.9703805</v>
      </c>
      <c r="AJ210" s="3">
        <f>AH210*AJ137/AH137</f>
        <v>0</v>
      </c>
      <c r="AK210" s="3">
        <f>AI210*AK137/AI137</f>
        <v>0</v>
      </c>
      <c r="AL210" s="3">
        <f>AK210</f>
        <v>0</v>
      </c>
      <c r="AM210" s="3" t="e">
        <f>AK210*AM137/AK137</f>
        <v>#DIV/0!</v>
      </c>
      <c r="AN210" s="3">
        <f>AL210*AN137/AL137</f>
        <v>0</v>
      </c>
      <c r="AO210" s="3" t="e">
        <f>AM210*AO137/AM137</f>
        <v>#DIV/0!</v>
      </c>
      <c r="AP210" s="3" t="e">
        <f>AN210*AP137/AN137</f>
        <v>#DIV/0!</v>
      </c>
      <c r="AQ210" s="3" t="e">
        <f>AP210</f>
        <v>#DIV/0!</v>
      </c>
      <c r="AR210" s="3" t="e">
        <f>AP210*AR137/AP137</f>
        <v>#DIV/0!</v>
      </c>
      <c r="AS210" s="3" t="e">
        <f>AQ210*AS137/AQ137</f>
        <v>#DIV/0!</v>
      </c>
      <c r="AT210" s="3" t="e">
        <f>AR210*AT137/AR137</f>
        <v>#DIV/0!</v>
      </c>
      <c r="AU210" s="3" t="e">
        <f>AS210*AU137/AS137</f>
        <v>#DIV/0!</v>
      </c>
      <c r="AV210" s="3" t="e">
        <f>AU210</f>
        <v>#DIV/0!</v>
      </c>
      <c r="AW210" s="3" t="e">
        <f>AU210*AW137/AU137</f>
        <v>#DIV/0!</v>
      </c>
      <c r="AX210" s="3" t="e">
        <f>AV210*AX137/AV137</f>
        <v>#DIV/0!</v>
      </c>
      <c r="AY210" s="3" t="e">
        <f>AW210*AY137/AW137</f>
        <v>#DIV/0!</v>
      </c>
      <c r="AZ210" s="3" t="e">
        <f>AX210*AZ137/AX137</f>
        <v>#DIV/0!</v>
      </c>
      <c r="BA210" s="3" t="e">
        <f>AZ210</f>
        <v>#DIV/0!</v>
      </c>
      <c r="BB210" s="3" t="e">
        <f>AZ210*BB137/AZ137</f>
        <v>#DIV/0!</v>
      </c>
      <c r="BC210" s="3" t="e">
        <f>BA210*BC137/BA137</f>
        <v>#DIV/0!</v>
      </c>
      <c r="BD210" s="3" t="e">
        <f>BB210*BD137/BB137</f>
        <v>#DIV/0!</v>
      </c>
      <c r="BE210" s="3" t="e">
        <f>BC210*BE137/BC137</f>
        <v>#DIV/0!</v>
      </c>
      <c r="BF210" s="3" t="e">
        <f>BE210</f>
        <v>#DIV/0!</v>
      </c>
      <c r="BG210" s="3" t="e">
        <f>BE210*BG137/BE137</f>
        <v>#DIV/0!</v>
      </c>
      <c r="BH210" s="3" t="e">
        <f>BF210*BH137/BF137</f>
        <v>#DIV/0!</v>
      </c>
      <c r="BI210" s="3" t="e">
        <f>BG210*BI137/BG137</f>
        <v>#DIV/0!</v>
      </c>
      <c r="BJ210" s="3" t="e">
        <f>BH210*BJ137/BH137</f>
        <v>#DIV/0!</v>
      </c>
      <c r="BK210" s="3" t="e">
        <f>BJ210</f>
        <v>#DIV/0!</v>
      </c>
      <c r="BL210" s="3" t="e">
        <f>BJ210*BL137/BJ137</f>
        <v>#DIV/0!</v>
      </c>
      <c r="BM210" s="3" t="e">
        <f>BK210*BM137/BK137</f>
        <v>#DIV/0!</v>
      </c>
      <c r="BN210" s="3" t="e">
        <f>BL210*BN137/BL137</f>
        <v>#DIV/0!</v>
      </c>
      <c r="BO210" s="3" t="e">
        <f>BM210*BO137/BM137</f>
        <v>#DIV/0!</v>
      </c>
      <c r="BP210" s="3" t="e">
        <f>BO210</f>
        <v>#DIV/0!</v>
      </c>
      <c r="BQ210" s="3" t="e">
        <f>BO210*BQ137/BO137</f>
        <v>#DIV/0!</v>
      </c>
      <c r="BR210" s="3" t="e">
        <f>BP210*BR137/BP137</f>
        <v>#DIV/0!</v>
      </c>
      <c r="BS210" s="3" t="e">
        <f>BQ210*BS137/BQ137</f>
        <v>#DIV/0!</v>
      </c>
      <c r="BT210" s="3" t="e">
        <f>BR210*BT137/BR137</f>
        <v>#DIV/0!</v>
      </c>
      <c r="BU210" s="3" t="e">
        <f>BT210</f>
        <v>#DIV/0!</v>
      </c>
      <c r="BV210" s="3" t="e">
        <f>BT210*BV137/BT137</f>
        <v>#DIV/0!</v>
      </c>
      <c r="BW210" s="3" t="e">
        <f>BU210*BW137/BU137</f>
        <v>#DIV/0!</v>
      </c>
      <c r="BX210" s="3" t="e">
        <f>BV210*BX137/BV137</f>
        <v>#DIV/0!</v>
      </c>
      <c r="BY210" s="3" t="e">
        <f>BW210*BY137/BW137</f>
        <v>#DIV/0!</v>
      </c>
      <c r="BZ210" s="3" t="e">
        <f>BY210</f>
        <v>#DIV/0!</v>
      </c>
      <c r="CA210" s="3" t="e">
        <f>BY210*CA137/BY137</f>
        <v>#DIV/0!</v>
      </c>
      <c r="CB210" s="3" t="e">
        <f>BZ210*CB137/BZ137</f>
        <v>#DIV/0!</v>
      </c>
      <c r="CC210" s="3" t="e">
        <f>CA210*CC137/CA137</f>
        <v>#DIV/0!</v>
      </c>
      <c r="CD210" s="3" t="e">
        <f>CB210*CD137/CB137</f>
        <v>#DIV/0!</v>
      </c>
      <c r="CE210" s="3" t="e">
        <f>CD210</f>
        <v>#DIV/0!</v>
      </c>
      <c r="CF210" s="3" t="e">
        <f>CD210*CF137/CD137</f>
        <v>#DIV/0!</v>
      </c>
      <c r="CG210" s="3" t="e">
        <f>CE210*CG137/CE137</f>
        <v>#DIV/0!</v>
      </c>
      <c r="CH210" s="3" t="e">
        <f>CF210*CH137/CF137</f>
        <v>#DIV/0!</v>
      </c>
      <c r="CI210" s="3" t="e">
        <f>CG210*CI137/CG137</f>
        <v>#DIV/0!</v>
      </c>
      <c r="CJ210" s="3" t="e">
        <f>CI210</f>
        <v>#DIV/0!</v>
      </c>
      <c r="CK210" s="3" t="e">
        <f>CI210*CK137/CI137</f>
        <v>#DIV/0!</v>
      </c>
      <c r="CL210" s="3" t="e">
        <f>CJ210*CL137/CJ137</f>
        <v>#DIV/0!</v>
      </c>
      <c r="CM210" s="3" t="e">
        <f>CK210*CM137/CK137</f>
        <v>#DIV/0!</v>
      </c>
      <c r="CN210" s="3" t="e">
        <f>CL210*CN137/CL137</f>
        <v>#DIV/0!</v>
      </c>
      <c r="CO210" s="3" t="e">
        <f>CN210</f>
        <v>#DIV/0!</v>
      </c>
      <c r="CP210" s="3" t="e">
        <f>CN210*CP137/CN137</f>
        <v>#DIV/0!</v>
      </c>
      <c r="CQ210" s="3" t="e">
        <f>CO210*CQ137/CO137</f>
        <v>#DIV/0!</v>
      </c>
      <c r="CR210" s="3" t="e">
        <f>CP210*CR137/CP137</f>
        <v>#DIV/0!</v>
      </c>
      <c r="CS210" s="3" t="e">
        <f>CQ210*CS137/CQ137</f>
        <v>#DIV/0!</v>
      </c>
      <c r="CT210" s="3" t="e">
        <f>CS210</f>
        <v>#DIV/0!</v>
      </c>
      <c r="CU210" s="3" t="e">
        <f>CS210*CU137/CS137</f>
        <v>#DIV/0!</v>
      </c>
      <c r="CV210" s="3" t="e">
        <f>CT210*CV137/CT137</f>
        <v>#DIV/0!</v>
      </c>
      <c r="CW210" s="3" t="e">
        <f>CU210*CW137/CU137</f>
        <v>#DIV/0!</v>
      </c>
      <c r="CX210" s="3" t="e">
        <f>CV210*CX137/CV137</f>
        <v>#DIV/0!</v>
      </c>
      <c r="CY210" s="3" t="e">
        <f>CX210</f>
        <v>#DIV/0!</v>
      </c>
    </row>
    <row r="211">
      <c r="C211" s="26" t="inlineStr">
        <is>
          <t>Other current liabilities (non-debt)</t>
        </is>
      </c>
      <c r="D211" s="25">
        <f>INDEX('Inputs (2)'!$D$31:$AL$31,MATCH(D$7,'Inputs (2)'!$D$2:$AL$2,0))</f>
        <v>379.5297808813</v>
      </c>
      <c r="E211" s="25">
        <f>INDEX('Inputs (2)'!$D$31:$AL$31,MATCH(E$7,'Inputs (2)'!$D$2:$AL$2,0))</f>
        <v>357.0973542</v>
      </c>
      <c r="F211" s="25">
        <f>INDEX('Inputs (2)'!$D$31:$AL$31,MATCH(F$7,'Inputs (2)'!$D$2:$AL$2,0))</f>
        <v>359.7103293</v>
      </c>
      <c r="G211" s="25">
        <f>INDEX('Inputs (2)'!$D$31:$AL$31,MATCH(G$7,'Inputs (2)'!$D$2:$AL$2,0))</f>
        <v>657.7685107552</v>
      </c>
      <c r="H211" s="3">
        <f>G211</f>
        <v>657.7685107552</v>
      </c>
      <c r="I211" s="25">
        <f>INDEX('Inputs (2)'!$D$31:$AL$31,MATCH(I$7,'Inputs (2)'!$D$2:$AL$2,0))</f>
        <v>744.287503269</v>
      </c>
      <c r="J211" s="25">
        <f>INDEX('Inputs (2)'!$D$31:$AL$31,MATCH(J$7,'Inputs (2)'!$D$2:$AL$2,0))</f>
        <v>732.463626678</v>
      </c>
      <c r="K211" s="25">
        <f>INDEX('Inputs (2)'!$D$31:$AL$31,MATCH(K$7,'Inputs (2)'!$D$2:$AL$2,0))</f>
        <v>732.544</v>
      </c>
      <c r="L211" s="25">
        <f>INDEX('Inputs (2)'!$D$31:$AL$31,MATCH(L$7,'Inputs (2)'!$D$2:$AL$2,0))</f>
        <v>1169.471</v>
      </c>
      <c r="M211" s="3">
        <f>L211</f>
        <v>1169.471</v>
      </c>
      <c r="N211" s="25">
        <f>INDEX('Inputs (2)'!$D$31:$AL$31,MATCH(N$7,'Inputs (2)'!$D$2:$AL$2,0))</f>
        <v>1697.846</v>
      </c>
      <c r="O211" s="25">
        <f>INDEX('Inputs (2)'!$D$31:$AL$31,MATCH(O$7,'Inputs (2)'!$D$2:$AL$2,0))</f>
        <v>1521.488</v>
      </c>
      <c r="P211" s="25">
        <f>INDEX('Inputs (2)'!$D$31:$AL$31,MATCH(P$7,'Inputs (2)'!$D$2:$AL$2,0))</f>
        <v>1797.247</v>
      </c>
      <c r="Q211" s="25">
        <f>INDEX('Inputs (2)'!$D$31:$AL$31,MATCH(Q$7,'Inputs (2)'!$D$2:$AL$2,0))</f>
        <v>2521.471</v>
      </c>
      <c r="R211" s="3">
        <f>Q211</f>
        <v>2521.471</v>
      </c>
      <c r="S211" s="25">
        <f>INDEX('Inputs (2)'!$D$31:$AL$31,MATCH(S$7,'Inputs (2)'!$D$2:$AL$2,0))</f>
        <v>2688.43748816919</v>
      </c>
      <c r="T211" s="25">
        <f>INDEX('Inputs (2)'!$D$31:$AL$31,MATCH(T$7,'Inputs (2)'!$D$2:$AL$2,0))</f>
        <v>2822.7202904446</v>
      </c>
      <c r="U211" s="25">
        <f>INDEX('Inputs (2)'!$D$31:$AL$31,MATCH(U$7,'Inputs (2)'!$D$2:$AL$2,0))</f>
        <v>2513.32424222995</v>
      </c>
      <c r="V211" s="25">
        <f>INDEX('Inputs (2)'!$D$31:$AL$31,MATCH(V$7,'Inputs (2)'!$D$2:$AL$2,0))</f>
        <v>3033.7838213386</v>
      </c>
      <c r="W211" s="3">
        <f>V211</f>
        <v>3033.7838213386</v>
      </c>
      <c r="X211" s="25">
        <f>INDEX('Inputs (2)'!$D$31:$AL$31,MATCH(X$7,'Inputs (2)'!$D$2:$AL$2,0))</f>
        <v>3993.21561223911</v>
      </c>
      <c r="Y211" s="25">
        <f>INDEX('Inputs (2)'!$D$31:$AL$31,MATCH(Y$7,'Inputs (2)'!$D$2:$AL$2,0))</f>
        <v>3945.03831122424</v>
      </c>
      <c r="Z211" s="25">
        <f>INDEX('Inputs (2)'!$D$31:$AL$31,MATCH(Z$7,'Inputs (2)'!$D$2:$AL$2,0))</f>
        <v>3679.33467694934</v>
      </c>
      <c r="AA211" s="25">
        <f>INDEX('Inputs (2)'!$D$31:$AL$31,MATCH(AA$7,'Inputs (2)'!$D$2:$AL$2,0))</f>
        <v>4191.26255185</v>
      </c>
      <c r="AB211" s="3">
        <f>AA211</f>
        <v>4191.26255185</v>
      </c>
      <c r="AC211" s="25">
        <f>INDEX('Inputs (2)'!$D$31:$AL$31,MATCH(AC$7,'Inputs (2)'!$D$2:$AL$2,0))</f>
        <v>3876.26957221</v>
      </c>
      <c r="AD211" s="25">
        <f>INDEX('Inputs (2)'!$D$31:$AL$31,MATCH(AD$7,'Inputs (2)'!$D$2:$AL$2,0))</f>
        <v>3694.10962837</v>
      </c>
      <c r="AE211" s="25">
        <f>INDEX('Inputs (2)'!$D$31:$AL$31,MATCH(AE$7,'Inputs (2)'!$D$2:$AL$2,0))</f>
        <v>4079.88060596</v>
      </c>
      <c r="AF211" s="25">
        <f>INDEX('Inputs (2)'!$D$31:$AL$31,MATCH(AF$7,'Inputs (2)'!$D$2:$AL$2,0))</f>
        <v>4568.98124521</v>
      </c>
      <c r="AG211" s="3">
        <f>AF211</f>
        <v>4568.98124521</v>
      </c>
      <c r="AH211" s="3">
        <f>INDEX('Inputs (2)'!$D$31:$AL$31,MATCH(AH$7,'Inputs (2)'!$D$2:$AL$2,0))</f>
        <v>5436.73580862</v>
      </c>
      <c r="AI211" s="3">
        <f>INDEX('Inputs (2)'!$D$31:$AL$31,MATCH(AI$7,'Inputs (2)'!$D$2:$AL$2,0))</f>
        <v>6293.82962774</v>
      </c>
      <c r="AJ211" s="3">
        <f>AI211</f>
        <v>6293.82962774</v>
      </c>
      <c r="AK211" s="3">
        <f>AJ211</f>
        <v>6293.82962774</v>
      </c>
      <c r="AL211" s="3">
        <f>AK211</f>
        <v>6293.82962774</v>
      </c>
      <c r="AM211" s="3">
        <f>AL211</f>
        <v>6293.82962774</v>
      </c>
      <c r="AN211" s="3">
        <f>AM211</f>
        <v>6293.82962774</v>
      </c>
      <c r="AO211" s="3">
        <f>AN211</f>
        <v>6293.82962774</v>
      </c>
      <c r="AP211" s="3">
        <f>AO211</f>
        <v>6293.82962774</v>
      </c>
      <c r="AQ211" s="3">
        <f>AP211</f>
        <v>6293.82962774</v>
      </c>
      <c r="AR211" s="3">
        <f>AQ211</f>
        <v>6293.82962774</v>
      </c>
      <c r="AS211" s="3">
        <f>AR211</f>
        <v>6293.82962774</v>
      </c>
      <c r="AT211" s="3">
        <f>AS211</f>
        <v>6293.82962774</v>
      </c>
      <c r="AU211" s="3">
        <f>AT211</f>
        <v>6293.82962774</v>
      </c>
      <c r="AV211" s="3">
        <f>AU211</f>
        <v>6293.82962774</v>
      </c>
      <c r="AW211" s="3">
        <f>AV211</f>
        <v>6293.82962774</v>
      </c>
      <c r="AX211" s="3">
        <f>AW211</f>
        <v>6293.82962774</v>
      </c>
      <c r="AY211" s="3">
        <f>AX211</f>
        <v>6293.82962774</v>
      </c>
      <c r="AZ211" s="3">
        <f>AY211</f>
        <v>6293.82962774</v>
      </c>
      <c r="BA211" s="3">
        <f>AZ211</f>
        <v>6293.82962774</v>
      </c>
      <c r="BB211" s="3">
        <f>BA211</f>
        <v>6293.82962774</v>
      </c>
      <c r="BC211" s="3">
        <f>BB211</f>
        <v>6293.82962774</v>
      </c>
      <c r="BD211" s="3">
        <f>BC211</f>
        <v>6293.82962774</v>
      </c>
      <c r="BE211" s="3">
        <f>BD211</f>
        <v>6293.82962774</v>
      </c>
      <c r="BF211" s="3">
        <f>BE211</f>
        <v>6293.82962774</v>
      </c>
      <c r="BG211" s="3">
        <f>BF211</f>
        <v>6293.82962774</v>
      </c>
      <c r="BH211" s="3">
        <f>BG211</f>
        <v>6293.82962774</v>
      </c>
      <c r="BI211" s="3">
        <f>BH211</f>
        <v>6293.82962774</v>
      </c>
      <c r="BJ211" s="3">
        <f>BI211</f>
        <v>6293.82962774</v>
      </c>
      <c r="BK211" s="3">
        <f>BJ211</f>
        <v>6293.82962774</v>
      </c>
      <c r="BL211" s="3">
        <f>BK211</f>
        <v>6293.82962774</v>
      </c>
      <c r="BM211" s="3">
        <f>BL211</f>
        <v>6293.82962774</v>
      </c>
      <c r="BN211" s="3">
        <f>BM211</f>
        <v>6293.82962774</v>
      </c>
      <c r="BO211" s="3">
        <f>BN211</f>
        <v>6293.82962774</v>
      </c>
      <c r="BP211" s="3">
        <f>BO211</f>
        <v>6293.82962774</v>
      </c>
      <c r="BQ211" s="3">
        <f>BP211</f>
        <v>6293.82962774</v>
      </c>
      <c r="BR211" s="3">
        <f>BQ211</f>
        <v>6293.82962774</v>
      </c>
      <c r="BS211" s="3">
        <f>BR211</f>
        <v>6293.82962774</v>
      </c>
      <c r="BT211" s="3">
        <f>BS211</f>
        <v>6293.82962774</v>
      </c>
      <c r="BU211" s="3">
        <f>BT211</f>
        <v>6293.82962774</v>
      </c>
      <c r="BV211" s="3">
        <f>BU211</f>
        <v>6293.82962774</v>
      </c>
      <c r="BW211" s="3">
        <f>BV211</f>
        <v>6293.82962774</v>
      </c>
      <c r="BX211" s="3">
        <f>BW211</f>
        <v>6293.82962774</v>
      </c>
      <c r="BY211" s="3">
        <f>BX211</f>
        <v>6293.82962774</v>
      </c>
      <c r="BZ211" s="3">
        <f>BY211</f>
        <v>6293.82962774</v>
      </c>
      <c r="CA211" s="3">
        <f>BZ211</f>
        <v>6293.82962774</v>
      </c>
      <c r="CB211" s="3">
        <f>CA211</f>
        <v>6293.82962774</v>
      </c>
      <c r="CC211" s="3">
        <f>CB211</f>
        <v>6293.82962774</v>
      </c>
      <c r="CD211" s="3">
        <f>CC211</f>
        <v>6293.82962774</v>
      </c>
      <c r="CE211" s="3">
        <f>CD211</f>
        <v>6293.82962774</v>
      </c>
      <c r="CF211" s="3">
        <f>CE211</f>
        <v>6293.82962774</v>
      </c>
      <c r="CG211" s="3">
        <f>CF211</f>
        <v>6293.82962774</v>
      </c>
      <c r="CH211" s="3">
        <f>CG211</f>
        <v>6293.82962774</v>
      </c>
      <c r="CI211" s="3">
        <f>CH211</f>
        <v>6293.82962774</v>
      </c>
      <c r="CJ211" s="3">
        <f>CI211</f>
        <v>6293.82962774</v>
      </c>
      <c r="CK211" s="3">
        <f>CJ211</f>
        <v>6293.82962774</v>
      </c>
      <c r="CL211" s="3">
        <f>CK211</f>
        <v>6293.82962774</v>
      </c>
      <c r="CM211" s="3">
        <f>CL211</f>
        <v>6293.82962774</v>
      </c>
      <c r="CN211" s="3">
        <f>CM211</f>
        <v>6293.82962774</v>
      </c>
      <c r="CO211" s="3">
        <f>CN211</f>
        <v>6293.82962774</v>
      </c>
      <c r="CP211" s="3">
        <f>CO211</f>
        <v>6293.82962774</v>
      </c>
      <c r="CQ211" s="3">
        <f>CP211</f>
        <v>6293.82962774</v>
      </c>
      <c r="CR211" s="3">
        <f>CQ211</f>
        <v>6293.82962774</v>
      </c>
      <c r="CS211" s="3">
        <f>CR211</f>
        <v>6293.82962774</v>
      </c>
      <c r="CT211" s="3">
        <f>CS211</f>
        <v>6293.82962774</v>
      </c>
      <c r="CU211" s="3">
        <f>CT211</f>
        <v>6293.82962774</v>
      </c>
      <c r="CV211" s="3">
        <f>CU211</f>
        <v>6293.82962774</v>
      </c>
      <c r="CW211" s="3">
        <f>CV211</f>
        <v>6293.82962774</v>
      </c>
      <c r="CX211" s="3">
        <f>CW211</f>
        <v>6293.82962774</v>
      </c>
      <c r="CY211" s="3">
        <f>CX211</f>
        <v>6293.82962774</v>
      </c>
    </row>
    <row r="212" hidden="1" outlineLevel="1">
      <c r="C212" s="38" t="inlineStr">
        <is>
          <t>%(Var.)</t>
        </is>
      </c>
      <c r="D212" s="3" t="n"/>
      <c r="E212" s="47">
        <f>(E211-D211)/D211</f>
        <v>-0.0591058404671437</v>
      </c>
      <c r="F212" s="47">
        <f>(F211-E211)/E211</f>
        <v>0.00731726255954473</v>
      </c>
      <c r="G212" s="47">
        <f>(G211-F211)/F211</f>
        <v>0.82860612325263</v>
      </c>
      <c r="H212" s="3" t="n"/>
      <c r="I212" s="47">
        <f>(I211-H211)/H211</f>
        <v>0.131534105234782</v>
      </c>
      <c r="J212" s="47">
        <f>(J211-I211)/I211</f>
        <v>-0.0158861683678258</v>
      </c>
      <c r="K212" s="47">
        <f>(K211-J211)/J211</f>
        <v>0.000109730120476477</v>
      </c>
      <c r="L212" s="47">
        <f>(L211-K211)/K211</f>
        <v>0.596451544207584</v>
      </c>
      <c r="M212" s="3" t="n"/>
      <c r="N212" s="47">
        <f>(N211-M211)/M211</f>
        <v>0.451806842580962</v>
      </c>
      <c r="O212" s="47">
        <f>(O211-N211)/N211</f>
        <v>-0.103871611441792</v>
      </c>
      <c r="P212" s="47">
        <f>(P211-O211)/O211</f>
        <v>0.18124296741085</v>
      </c>
      <c r="Q212" s="47">
        <f>(Q211-P211)/P211</f>
        <v>0.402962976151859</v>
      </c>
      <c r="R212" s="3" t="n"/>
      <c r="S212" s="47">
        <f>(S211-R211)/R211</f>
        <v>0.0662178895451065</v>
      </c>
      <c r="T212" s="47">
        <f>(T211-S211)/S211</f>
        <v>0.0499482702745886</v>
      </c>
      <c r="U212" s="47">
        <f>(U211-T211)/T211</f>
        <v>-0.109609177098423</v>
      </c>
      <c r="V212" s="47">
        <f>(V211-U211)/U211</f>
        <v>0.207080157173384</v>
      </c>
      <c r="W212" s="3" t="n"/>
      <c r="X212" s="47">
        <f>(X211-W211)/W211</f>
        <v>0.31624922782968</v>
      </c>
      <c r="Y212" s="47">
        <f>(Y211-X211)/X211</f>
        <v>-0.0120647883042444</v>
      </c>
      <c r="Z212" s="47">
        <f>(Z211-Y211)/Y211</f>
        <v>-0.0673513444771716</v>
      </c>
      <c r="AA212" s="47">
        <f>(AA211-Z211)/Z211</f>
        <v>0.139135990565859</v>
      </c>
      <c r="AB212" s="3" t="n"/>
      <c r="AC212" s="47">
        <f>(AC211-AB211)/AB211</f>
        <v>-0.0751546761252082</v>
      </c>
      <c r="AD212" s="47">
        <f>(AD211-AC211)/AC211</f>
        <v>-0.0469936211727772</v>
      </c>
      <c r="AE212" s="47">
        <f>(AE211-AD211)/AD211</f>
        <v>0.104428676027197</v>
      </c>
      <c r="AF212" s="218">
        <f>(AF211-AE211)/AE211</f>
        <v>0.119881115769787</v>
      </c>
      <c r="AG212" s="3" t="n"/>
      <c r="AH212" s="218">
        <f>(AH211-AG211)/AG211</f>
        <v>0.189922986512525</v>
      </c>
      <c r="AI212" s="218">
        <f>(AI211-AH211)/AH211</f>
        <v>0.157648605577094</v>
      </c>
      <c r="AJ212" s="218" t="n"/>
      <c r="AK212" s="218" t="n"/>
      <c r="AL212" s="3" t="n"/>
      <c r="AM212" s="218" t="n"/>
      <c r="AN212" s="218" t="n"/>
      <c r="AO212" s="218" t="n"/>
      <c r="AP212" s="218" t="n"/>
      <c r="AQ212" s="3" t="n"/>
      <c r="AR212" s="218" t="n"/>
      <c r="AS212" s="218" t="n"/>
      <c r="AT212" s="218" t="n"/>
      <c r="AU212" s="218" t="n"/>
      <c r="AV212" s="3" t="n"/>
      <c r="AW212" s="218" t="n"/>
      <c r="AX212" s="218" t="n"/>
      <c r="AY212" s="218" t="n"/>
      <c r="AZ212" s="218" t="n"/>
      <c r="BA212" s="3" t="n"/>
      <c r="BB212" s="218" t="n"/>
      <c r="BC212" s="218" t="n"/>
      <c r="BD212" s="218" t="n"/>
      <c r="BE212" s="218" t="n"/>
      <c r="BF212" s="3" t="n"/>
      <c r="BG212" s="218" t="n"/>
      <c r="BH212" s="218" t="n"/>
      <c r="BI212" s="218" t="n"/>
      <c r="BJ212" s="218" t="n"/>
      <c r="BK212" s="3" t="n"/>
      <c r="BL212" s="218" t="n"/>
      <c r="BM212" s="218" t="n"/>
      <c r="BN212" s="218" t="n"/>
      <c r="BO212" s="218" t="n"/>
      <c r="BP212" s="3" t="n"/>
      <c r="BQ212" s="218" t="n"/>
      <c r="BR212" s="218" t="n"/>
      <c r="BS212" s="218" t="n"/>
      <c r="BT212" s="218" t="n"/>
      <c r="BU212" s="3" t="n"/>
      <c r="BV212" s="218" t="n"/>
      <c r="BW212" s="218" t="n"/>
      <c r="BX212" s="218" t="n"/>
      <c r="BY212" s="218" t="n"/>
      <c r="BZ212" s="3" t="n"/>
      <c r="CA212" s="218" t="n"/>
      <c r="CB212" s="218" t="n"/>
      <c r="CC212" s="218" t="n"/>
      <c r="CD212" s="218" t="n"/>
      <c r="CE212" s="3" t="n"/>
      <c r="CF212" s="218" t="n"/>
      <c r="CG212" s="218" t="n"/>
      <c r="CH212" s="218" t="n"/>
      <c r="CI212" s="218" t="n"/>
      <c r="CJ212" s="3" t="n"/>
      <c r="CK212" s="218" t="n"/>
      <c r="CL212" s="218" t="n"/>
      <c r="CM212" s="218" t="n"/>
      <c r="CN212" s="218" t="n"/>
      <c r="CO212" s="3" t="n"/>
      <c r="CP212" s="218" t="n"/>
      <c r="CQ212" s="218" t="n"/>
      <c r="CR212" s="218" t="n"/>
      <c r="CS212" s="218" t="n"/>
      <c r="CT212" s="3" t="n"/>
      <c r="CU212" s="218" t="n"/>
      <c r="CV212" s="218" t="n"/>
      <c r="CW212" s="218" t="n"/>
      <c r="CX212" s="218" t="n"/>
      <c r="CY212" s="3" t="n"/>
    </row>
    <row r="213" hidden="1" outlineLevel="1">
      <c r="C213" s="34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3" t="n"/>
      <c r="AX213" s="3" t="n"/>
      <c r="AY213" s="3" t="n"/>
      <c r="AZ213" s="3" t="n"/>
      <c r="BA213" s="3" t="n"/>
      <c r="BB213" s="3" t="n"/>
      <c r="BC213" s="3" t="n"/>
      <c r="BD213" s="3" t="n"/>
      <c r="BE213" s="3" t="n"/>
      <c r="BF213" s="3" t="n"/>
      <c r="BG213" s="3" t="n"/>
      <c r="BH213" s="3" t="n"/>
      <c r="BI213" s="3" t="n"/>
      <c r="BJ213" s="3" t="n"/>
      <c r="BK213" s="3" t="n"/>
      <c r="BL213" s="3" t="n"/>
      <c r="BM213" s="3" t="n"/>
      <c r="BN213" s="3" t="n"/>
      <c r="BO213" s="3" t="n"/>
      <c r="BP213" s="3" t="n"/>
      <c r="BQ213" s="3" t="n"/>
      <c r="BR213" s="3" t="n"/>
      <c r="BS213" s="3" t="n"/>
      <c r="BT213" s="3" t="n"/>
      <c r="BU213" s="3" t="n"/>
      <c r="BV213" s="3" t="n"/>
      <c r="BW213" s="3" t="n"/>
      <c r="BX213" s="3" t="n"/>
      <c r="BY213" s="3" t="n"/>
      <c r="BZ213" s="3" t="n"/>
      <c r="CA213" s="3" t="n"/>
      <c r="CB213" s="3" t="n"/>
      <c r="CC213" s="3" t="n"/>
      <c r="CD213" s="3" t="n"/>
      <c r="CE213" s="3" t="n"/>
      <c r="CF213" s="3" t="n"/>
      <c r="CG213" s="3" t="n"/>
      <c r="CH213" s="3" t="n"/>
      <c r="CI213" s="3" t="n"/>
      <c r="CJ213" s="3" t="n"/>
      <c r="CK213" s="3" t="n"/>
      <c r="CL213" s="3" t="n"/>
      <c r="CM213" s="3" t="n"/>
      <c r="CN213" s="3" t="n"/>
      <c r="CO213" s="3" t="n"/>
      <c r="CP213" s="3" t="n"/>
      <c r="CQ213" s="3" t="n"/>
      <c r="CR213" s="3" t="n"/>
      <c r="CS213" s="3" t="n"/>
      <c r="CT213" s="3" t="n"/>
      <c r="CU213" s="3" t="n"/>
      <c r="CV213" s="3" t="n"/>
      <c r="CW213" s="3" t="n"/>
      <c r="CX213" s="3" t="n"/>
      <c r="CY213" s="3" t="n"/>
    </row>
    <row r="214" hidden="1" outlineLevel="1">
      <c r="C214" s="34" t="inlineStr">
        <is>
          <t xml:space="preserve">Dividendos a Pagar </t>
        </is>
      </c>
      <c r="D214" s="6" t="n"/>
      <c r="E214" s="6" t="n"/>
      <c r="F214" s="6" t="n"/>
      <c r="G214" s="6" t="n"/>
      <c r="H214" s="3" t="n"/>
      <c r="I214" s="6" t="n"/>
      <c r="J214" s="6" t="n"/>
      <c r="K214" s="6" t="n"/>
      <c r="L214" s="6" t="n"/>
      <c r="M214" s="3" t="n"/>
      <c r="N214" s="6" t="n"/>
      <c r="O214" s="6" t="n"/>
      <c r="P214" s="6" t="n"/>
      <c r="Q214" s="6" t="n"/>
      <c r="R214" s="3" t="n"/>
      <c r="S214" s="6" t="n"/>
      <c r="T214" s="6" t="n"/>
      <c r="U214" s="6" t="n"/>
      <c r="V214" s="6" t="n"/>
      <c r="W214" s="3" t="n"/>
      <c r="X214" s="6" t="n"/>
      <c r="Y214" s="6" t="n"/>
      <c r="Z214" s="6" t="n"/>
      <c r="AA214" s="6" t="n"/>
      <c r="AB214" s="3" t="n"/>
      <c r="AC214" s="6" t="n"/>
      <c r="AD214" s="6" t="n"/>
      <c r="AE214" s="6" t="n"/>
      <c r="AF214" s="6" t="n"/>
      <c r="AG214" s="3" t="n"/>
      <c r="AH214" s="6" t="n"/>
      <c r="AI214" s="6" t="n"/>
      <c r="AJ214" s="6" t="n"/>
      <c r="AK214" s="6" t="n"/>
      <c r="AL214" s="3" t="n"/>
      <c r="AM214" s="6" t="n"/>
      <c r="AN214" s="6" t="n"/>
      <c r="AO214" s="6" t="n"/>
      <c r="AP214" s="6" t="n"/>
      <c r="AQ214" s="3" t="n"/>
      <c r="AR214" s="6" t="n"/>
      <c r="AS214" s="6" t="n"/>
      <c r="AT214" s="6" t="n"/>
      <c r="AU214" s="6" t="n"/>
      <c r="AV214" s="3" t="n"/>
      <c r="AW214" s="6" t="n"/>
      <c r="AX214" s="6" t="n"/>
      <c r="AY214" s="6" t="n"/>
      <c r="AZ214" s="6" t="n"/>
      <c r="BA214" s="3" t="n"/>
      <c r="BB214" s="6" t="n"/>
      <c r="BC214" s="6" t="n"/>
      <c r="BD214" s="6" t="n"/>
      <c r="BE214" s="6" t="n"/>
      <c r="BF214" s="3" t="n"/>
      <c r="BG214" s="6" t="n"/>
      <c r="BH214" s="6" t="n"/>
      <c r="BI214" s="6" t="n"/>
      <c r="BJ214" s="6" t="n"/>
      <c r="BK214" s="3" t="n"/>
      <c r="BL214" s="6" t="n"/>
      <c r="BM214" s="6" t="n"/>
      <c r="BN214" s="6" t="n"/>
      <c r="BO214" s="6" t="n"/>
      <c r="BP214" s="3" t="n"/>
      <c r="BQ214" s="6" t="n"/>
      <c r="BR214" s="6" t="n"/>
      <c r="BS214" s="6" t="n"/>
      <c r="BT214" s="6" t="n"/>
      <c r="BU214" s="3" t="n"/>
      <c r="BV214" s="6" t="n"/>
      <c r="BW214" s="6" t="n"/>
      <c r="BX214" s="6" t="n"/>
      <c r="BY214" s="6" t="n"/>
      <c r="BZ214" s="3" t="n"/>
      <c r="CA214" s="6" t="n"/>
      <c r="CB214" s="6" t="n"/>
      <c r="CC214" s="6" t="n"/>
      <c r="CD214" s="6" t="n"/>
      <c r="CE214" s="3" t="n"/>
      <c r="CF214" s="6" t="n"/>
      <c r="CG214" s="6" t="n"/>
      <c r="CH214" s="6" t="n"/>
      <c r="CI214" s="6" t="n"/>
      <c r="CJ214" s="3" t="n"/>
      <c r="CK214" s="6" t="n"/>
      <c r="CL214" s="6" t="n"/>
      <c r="CM214" s="6" t="n"/>
      <c r="CN214" s="6" t="n"/>
      <c r="CO214" s="3" t="n"/>
      <c r="CP214" s="6" t="n"/>
      <c r="CQ214" s="6" t="n"/>
      <c r="CR214" s="6" t="n"/>
      <c r="CS214" s="6" t="n"/>
      <c r="CT214" s="3" t="n"/>
      <c r="CU214" s="6" t="n"/>
      <c r="CV214" s="6" t="n"/>
      <c r="CW214" s="6" t="n"/>
      <c r="CX214" s="6" t="n"/>
      <c r="CY214" s="3" t="n"/>
    </row>
    <row r="215" hidden="1" outlineLevel="1">
      <c r="C215" s="34" t="inlineStr">
        <is>
          <t>Contas a pagar pela aquisição de controladas</t>
        </is>
      </c>
      <c r="D215" s="6" t="n"/>
      <c r="E215" s="6" t="n"/>
      <c r="F215" s="6" t="n"/>
      <c r="G215" s="6" t="n"/>
      <c r="H215" s="3" t="n"/>
      <c r="I215" s="6" t="n"/>
      <c r="J215" s="6" t="n"/>
      <c r="K215" s="6" t="n"/>
      <c r="L215" s="6" t="n"/>
      <c r="M215" s="3" t="n"/>
      <c r="N215" s="6" t="n"/>
      <c r="O215" s="6" t="n"/>
      <c r="P215" s="6" t="n"/>
      <c r="Q215" s="6" t="n"/>
      <c r="R215" s="3" t="n"/>
      <c r="S215" s="6" t="n"/>
      <c r="T215" s="6" t="n"/>
      <c r="U215" s="6" t="n"/>
      <c r="V215" s="6" t="n"/>
      <c r="W215" s="3" t="n"/>
      <c r="X215" s="6" t="n"/>
      <c r="Y215" s="6" t="n"/>
      <c r="Z215" s="6" t="n"/>
      <c r="AA215" s="6" t="n"/>
      <c r="AB215" s="3" t="n"/>
      <c r="AC215" s="6" t="n"/>
      <c r="AD215" s="6" t="n"/>
      <c r="AE215" s="6" t="n"/>
      <c r="AF215" s="6" t="n"/>
      <c r="AG215" s="3" t="n"/>
      <c r="AH215" s="6" t="n"/>
      <c r="AI215" s="6" t="n"/>
      <c r="AJ215" s="6" t="n"/>
      <c r="AK215" s="6" t="n"/>
      <c r="AL215" s="3" t="n"/>
      <c r="AM215" s="6" t="n"/>
      <c r="AN215" s="6" t="n"/>
      <c r="AO215" s="6" t="n"/>
      <c r="AP215" s="6" t="n"/>
      <c r="AQ215" s="3" t="n"/>
      <c r="AR215" s="6" t="n"/>
      <c r="AS215" s="6" t="n"/>
      <c r="AT215" s="6" t="n"/>
      <c r="AU215" s="6" t="n"/>
      <c r="AV215" s="3" t="n"/>
      <c r="AW215" s="6" t="n"/>
      <c r="AX215" s="6" t="n"/>
      <c r="AY215" s="6" t="n"/>
      <c r="AZ215" s="6" t="n"/>
      <c r="BA215" s="3" t="n"/>
      <c r="BB215" s="6" t="n"/>
      <c r="BC215" s="6" t="n"/>
      <c r="BD215" s="6" t="n"/>
      <c r="BE215" s="6" t="n"/>
      <c r="BF215" s="3" t="n"/>
      <c r="BG215" s="6" t="n"/>
      <c r="BH215" s="6" t="n"/>
      <c r="BI215" s="6" t="n"/>
      <c r="BJ215" s="6" t="n"/>
      <c r="BK215" s="3" t="n"/>
      <c r="BL215" s="6" t="n"/>
      <c r="BM215" s="6" t="n"/>
      <c r="BN215" s="6" t="n"/>
      <c r="BO215" s="6" t="n"/>
      <c r="BP215" s="3" t="n"/>
      <c r="BQ215" s="6" t="n"/>
      <c r="BR215" s="6" t="n"/>
      <c r="BS215" s="6" t="n"/>
      <c r="BT215" s="6" t="n"/>
      <c r="BU215" s="3" t="n"/>
      <c r="BV215" s="6" t="n"/>
      <c r="BW215" s="6" t="n"/>
      <c r="BX215" s="6" t="n"/>
      <c r="BY215" s="6" t="n"/>
      <c r="BZ215" s="3" t="n"/>
      <c r="CA215" s="6" t="n"/>
      <c r="CB215" s="6" t="n"/>
      <c r="CC215" s="6" t="n"/>
      <c r="CD215" s="6" t="n"/>
      <c r="CE215" s="3" t="n"/>
      <c r="CF215" s="6" t="n"/>
      <c r="CG215" s="6" t="n"/>
      <c r="CH215" s="6" t="n"/>
      <c r="CI215" s="6" t="n"/>
      <c r="CJ215" s="3" t="n"/>
      <c r="CK215" s="6" t="n"/>
      <c r="CL215" s="6" t="n"/>
      <c r="CM215" s="6" t="n"/>
      <c r="CN215" s="6" t="n"/>
      <c r="CO215" s="3" t="n"/>
      <c r="CP215" s="6" t="n"/>
      <c r="CQ215" s="6" t="n"/>
      <c r="CR215" s="6" t="n"/>
      <c r="CS215" s="6" t="n"/>
      <c r="CT215" s="3" t="n"/>
      <c r="CU215" s="6" t="n"/>
      <c r="CV215" s="6" t="n"/>
      <c r="CW215" s="6" t="n"/>
      <c r="CX215" s="6" t="n"/>
      <c r="CY215" s="3" t="n"/>
    </row>
    <row r="216" hidden="1" outlineLevel="1">
      <c r="C216" s="34" t="inlineStr">
        <is>
          <t>Outros</t>
        </is>
      </c>
      <c r="D216" s="6" t="n"/>
      <c r="E216" s="6" t="n"/>
      <c r="F216" s="6" t="n"/>
      <c r="G216" s="6" t="n"/>
      <c r="H216" s="3" t="n"/>
      <c r="I216" s="6" t="n"/>
      <c r="J216" s="6" t="n"/>
      <c r="K216" s="6" t="n"/>
      <c r="L216" s="6" t="n"/>
      <c r="M216" s="3" t="n"/>
      <c r="N216" s="6" t="n"/>
      <c r="O216" s="6" t="n"/>
      <c r="P216" s="6" t="n"/>
      <c r="Q216" s="6" t="n"/>
      <c r="R216" s="3" t="n"/>
      <c r="S216" s="6" t="n"/>
      <c r="T216" s="6" t="n"/>
      <c r="U216" s="6" t="n"/>
      <c r="V216" s="6" t="n"/>
      <c r="W216" s="3" t="n"/>
      <c r="X216" s="6" t="n"/>
      <c r="Y216" s="6" t="n"/>
      <c r="Z216" s="6" t="n"/>
      <c r="AA216" s="6" t="n"/>
      <c r="AB216" s="3" t="n"/>
      <c r="AC216" s="6" t="n"/>
      <c r="AD216" s="6" t="n"/>
      <c r="AE216" s="6" t="n"/>
      <c r="AF216" s="6" t="n"/>
      <c r="AG216" s="3" t="n"/>
      <c r="AH216" s="6" t="n"/>
      <c r="AI216" s="6" t="n"/>
      <c r="AJ216" s="6" t="n"/>
      <c r="AK216" s="6" t="n"/>
      <c r="AL216" s="3" t="n"/>
      <c r="AM216" s="6" t="n"/>
      <c r="AN216" s="6" t="n"/>
      <c r="AO216" s="6" t="n"/>
      <c r="AP216" s="6" t="n"/>
      <c r="AQ216" s="3" t="n"/>
      <c r="AR216" s="6" t="n"/>
      <c r="AS216" s="6" t="n"/>
      <c r="AT216" s="6" t="n"/>
      <c r="AU216" s="6" t="n"/>
      <c r="AV216" s="3" t="n"/>
      <c r="AW216" s="6" t="n"/>
      <c r="AX216" s="6" t="n"/>
      <c r="AY216" s="6" t="n"/>
      <c r="AZ216" s="6" t="n"/>
      <c r="BA216" s="3" t="n"/>
      <c r="BB216" s="6" t="n"/>
      <c r="BC216" s="6" t="n"/>
      <c r="BD216" s="6" t="n"/>
      <c r="BE216" s="6" t="n"/>
      <c r="BF216" s="3" t="n"/>
      <c r="BG216" s="6" t="n"/>
      <c r="BH216" s="6" t="n"/>
      <c r="BI216" s="6" t="n"/>
      <c r="BJ216" s="6" t="n"/>
      <c r="BK216" s="3" t="n"/>
      <c r="BL216" s="6" t="n"/>
      <c r="BM216" s="6" t="n"/>
      <c r="BN216" s="6" t="n"/>
      <c r="BO216" s="6" t="n"/>
      <c r="BP216" s="3" t="n"/>
      <c r="BQ216" s="6" t="n"/>
      <c r="BR216" s="6" t="n"/>
      <c r="BS216" s="6" t="n"/>
      <c r="BT216" s="6" t="n"/>
      <c r="BU216" s="3" t="n"/>
      <c r="BV216" s="6" t="n"/>
      <c r="BW216" s="6" t="n"/>
      <c r="BX216" s="6" t="n"/>
      <c r="BY216" s="6" t="n"/>
      <c r="BZ216" s="3" t="n"/>
      <c r="CA216" s="6" t="n"/>
      <c r="CB216" s="6" t="n"/>
      <c r="CC216" s="6" t="n"/>
      <c r="CD216" s="6" t="n"/>
      <c r="CE216" s="3" t="n"/>
      <c r="CF216" s="6" t="n"/>
      <c r="CG216" s="6" t="n"/>
      <c r="CH216" s="6" t="n"/>
      <c r="CI216" s="6" t="n"/>
      <c r="CJ216" s="3" t="n"/>
      <c r="CK216" s="6" t="n"/>
      <c r="CL216" s="6" t="n"/>
      <c r="CM216" s="6" t="n"/>
      <c r="CN216" s="6" t="n"/>
      <c r="CO216" s="3" t="n"/>
      <c r="CP216" s="6" t="n"/>
      <c r="CQ216" s="6" t="n"/>
      <c r="CR216" s="6" t="n"/>
      <c r="CS216" s="6" t="n"/>
      <c r="CT216" s="3" t="n"/>
      <c r="CU216" s="6" t="n"/>
      <c r="CV216" s="6" t="n"/>
      <c r="CW216" s="6" t="n"/>
      <c r="CX216" s="6" t="n"/>
      <c r="CY216" s="3" t="n"/>
    </row>
    <row r="217" hidden="1" outlineLevel="1">
      <c r="C217" s="34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3" t="n"/>
      <c r="AX217" s="3" t="n"/>
      <c r="AY217" s="3" t="n"/>
      <c r="AZ217" s="3" t="n"/>
      <c r="BA217" s="3" t="n"/>
      <c r="BB217" s="3" t="n"/>
      <c r="BC217" s="3" t="n"/>
      <c r="BD217" s="3" t="n"/>
      <c r="BE217" s="3" t="n"/>
      <c r="BF217" s="3" t="n"/>
      <c r="BG217" s="3" t="n"/>
      <c r="BH217" s="3" t="n"/>
      <c r="BI217" s="3" t="n"/>
      <c r="BJ217" s="3" t="n"/>
      <c r="BK217" s="3" t="n"/>
      <c r="BL217" s="3" t="n"/>
      <c r="BM217" s="3" t="n"/>
      <c r="BN217" s="3" t="n"/>
      <c r="BO217" s="3" t="n"/>
      <c r="BP217" s="3" t="n"/>
      <c r="BQ217" s="3" t="n"/>
      <c r="BR217" s="3" t="n"/>
      <c r="BS217" s="3" t="n"/>
      <c r="BT217" s="3" t="n"/>
      <c r="BU217" s="3" t="n"/>
      <c r="BV217" s="3" t="n"/>
      <c r="BW217" s="3" t="n"/>
      <c r="BX217" s="3" t="n"/>
      <c r="BY217" s="3" t="n"/>
      <c r="BZ217" s="3" t="n"/>
      <c r="CA217" s="3" t="n"/>
      <c r="CB217" s="3" t="n"/>
      <c r="CC217" s="3" t="n"/>
      <c r="CD217" s="3" t="n"/>
      <c r="CE217" s="3" t="n"/>
      <c r="CF217" s="3" t="n"/>
      <c r="CG217" s="3" t="n"/>
      <c r="CH217" s="3" t="n"/>
      <c r="CI217" s="3" t="n"/>
      <c r="CJ217" s="3" t="n"/>
      <c r="CK217" s="3" t="n"/>
      <c r="CL217" s="3" t="n"/>
      <c r="CM217" s="3" t="n"/>
      <c r="CN217" s="3" t="n"/>
      <c r="CO217" s="3" t="n"/>
      <c r="CP217" s="3" t="n"/>
      <c r="CQ217" s="3" t="n"/>
      <c r="CR217" s="3" t="n"/>
      <c r="CS217" s="3" t="n"/>
      <c r="CT217" s="3" t="n"/>
      <c r="CU217" s="3" t="n"/>
      <c r="CV217" s="3" t="n"/>
      <c r="CW217" s="3" t="n"/>
      <c r="CX217" s="3" t="n"/>
      <c r="CY217" s="3" t="n"/>
    </row>
    <row r="218" collapsed="1">
      <c r="C218" s="26" t="inlineStr">
        <is>
          <t>Current portion of long-term debt</t>
        </is>
      </c>
      <c r="D218" s="25">
        <f>INDEX('Inputs (2)'!$D$32:$AL$32,MATCH(D$7,'Inputs (2)'!$D$2:$AL$2,0))</f>
        <v>1843.03892892</v>
      </c>
      <c r="E218" s="25">
        <f>INDEX('Inputs (2)'!$D$32:$AL$32,MATCH(E$7,'Inputs (2)'!$D$2:$AL$2,0))</f>
        <v>2410.52760539</v>
      </c>
      <c r="F218" s="25">
        <f>INDEX('Inputs (2)'!$D$32:$AL$32,MATCH(F$7,'Inputs (2)'!$D$2:$AL$2,0))</f>
        <v>1675.43648048</v>
      </c>
      <c r="G218" s="25">
        <f>INDEX('Inputs (2)'!$D$32:$AL$32,MATCH(G$7,'Inputs (2)'!$D$2:$AL$2,0))</f>
        <v>2166.37033725</v>
      </c>
      <c r="H218" s="3">
        <f>G218</f>
        <v>2166.37033725</v>
      </c>
      <c r="I218" s="25">
        <f>INDEX('Inputs (2)'!$D$32:$AL$32,MATCH(I$7,'Inputs (2)'!$D$2:$AL$2,0))</f>
        <v>1249.60036427</v>
      </c>
      <c r="J218" s="25">
        <f>INDEX('Inputs (2)'!$D$32:$AL$32,MATCH(J$7,'Inputs (2)'!$D$2:$AL$2,0))</f>
        <v>1219.70268923</v>
      </c>
      <c r="K218" s="25">
        <f>INDEX('Inputs (2)'!$D$32:$AL$32,MATCH(K$7,'Inputs (2)'!$D$2:$AL$2,0))</f>
        <v>1132.111</v>
      </c>
      <c r="L218" s="25">
        <f>INDEX('Inputs (2)'!$D$32:$AL$32,MATCH(L$7,'Inputs (2)'!$D$2:$AL$2,0))</f>
        <v>1546.062</v>
      </c>
      <c r="M218" s="3">
        <f>L218</f>
        <v>1546.062</v>
      </c>
      <c r="N218" s="25">
        <f>INDEX('Inputs (2)'!$D$32:$AL$32,MATCH(N$7,'Inputs (2)'!$D$2:$AL$2,0))</f>
        <v>1565.549</v>
      </c>
      <c r="O218" s="25">
        <f>INDEX('Inputs (2)'!$D$32:$AL$32,MATCH(O$7,'Inputs (2)'!$D$2:$AL$2,0))</f>
        <v>2031.731</v>
      </c>
      <c r="P218" s="25">
        <f>INDEX('Inputs (2)'!$D$32:$AL$32,MATCH(P$7,'Inputs (2)'!$D$2:$AL$2,0))</f>
        <v>2681.554</v>
      </c>
      <c r="Q218" s="25">
        <f>INDEX('Inputs (2)'!$D$32:$AL$32,MATCH(Q$7,'Inputs (2)'!$D$2:$AL$2,0))</f>
        <v>3933.488</v>
      </c>
      <c r="R218" s="3">
        <f>Q218</f>
        <v>3933.488</v>
      </c>
      <c r="S218" s="25">
        <f>INDEX('Inputs (2)'!$D$32:$AL$32,MATCH(S$7,'Inputs (2)'!$D$2:$AL$2,0))</f>
        <v>2885.69065158703</v>
      </c>
      <c r="T218" s="25">
        <f>INDEX('Inputs (2)'!$D$32:$AL$32,MATCH(T$7,'Inputs (2)'!$D$2:$AL$2,0))</f>
        <v>3046.7003236155</v>
      </c>
      <c r="U218" s="25">
        <f>INDEX('Inputs (2)'!$D$32:$AL$32,MATCH(U$7,'Inputs (2)'!$D$2:$AL$2,0))</f>
        <v>3322.9265303786</v>
      </c>
      <c r="V218" s="25">
        <f>INDEX('Inputs (2)'!$D$32:$AL$32,MATCH(V$7,'Inputs (2)'!$D$2:$AL$2,0))</f>
        <v>3933.0980084467</v>
      </c>
      <c r="W218" s="3">
        <f>V218</f>
        <v>3933.0980084467</v>
      </c>
      <c r="X218" s="25">
        <f>INDEX('Inputs (2)'!$D$32:$AL$32,MATCH(X$7,'Inputs (2)'!$D$2:$AL$2,0))</f>
        <v>4486.4474338244</v>
      </c>
      <c r="Y218" s="25">
        <f>INDEX('Inputs (2)'!$D$32:$AL$32,MATCH(Y$7,'Inputs (2)'!$D$2:$AL$2,0))</f>
        <v>6152.4658646748</v>
      </c>
      <c r="Z218" s="25">
        <f>INDEX('Inputs (2)'!$D$32:$AL$32,MATCH(Z$7,'Inputs (2)'!$D$2:$AL$2,0))</f>
        <v>6517.8459138942</v>
      </c>
      <c r="AA218" s="25">
        <f>INDEX('Inputs (2)'!$D$32:$AL$32,MATCH(AA$7,'Inputs (2)'!$D$2:$AL$2,0))</f>
        <v>7114.14838549</v>
      </c>
      <c r="AB218" s="3">
        <f>AA218</f>
        <v>7114.14838549</v>
      </c>
      <c r="AC218" s="25">
        <f>INDEX('Inputs (2)'!$D$32:$AL$32,MATCH(AC$7,'Inputs (2)'!$D$2:$AL$2,0))</f>
        <v>7447.99954332</v>
      </c>
      <c r="AD218" s="25">
        <f>INDEX('Inputs (2)'!$D$32:$AL$32,MATCH(AD$7,'Inputs (2)'!$D$2:$AL$2,0))</f>
        <v>7066.00455085</v>
      </c>
      <c r="AE218" s="25">
        <f>INDEX('Inputs (2)'!$D$32:$AL$32,MATCH(AE$7,'Inputs (2)'!$D$2:$AL$2,0))</f>
        <v>7912.9124352</v>
      </c>
      <c r="AF218" s="25">
        <f>INDEX('Inputs (2)'!$D$32:$AL$32,MATCH(AF$7,'Inputs (2)'!$D$2:$AL$2,0))</f>
        <v>9109.41335713</v>
      </c>
      <c r="AG218" s="3">
        <f>AF218</f>
        <v>9109.41335713</v>
      </c>
      <c r="AH218" s="3">
        <f>INDEX('Inputs (2)'!$D$32:$AL$32,MATCH(AH$7,'Inputs (2)'!$D$2:$AL$2,0))</f>
        <v>8001.67079087</v>
      </c>
      <c r="AI218" s="3">
        <f>INDEX('Inputs (2)'!$D$32:$AL$32,MATCH(AI$7,'Inputs (2)'!$D$2:$AL$2,0))</f>
        <v>7556.41057503</v>
      </c>
      <c r="AJ218" s="3">
        <f>AI218</f>
        <v>7556.41057503</v>
      </c>
      <c r="AK218" s="3">
        <f>AJ218</f>
        <v>7556.41057503</v>
      </c>
      <c r="AL218" s="3">
        <f>AK218</f>
        <v>7556.41057503</v>
      </c>
      <c r="AM218" s="3">
        <f>AL218</f>
        <v>7556.41057503</v>
      </c>
      <c r="AN218" s="3">
        <f>AM218</f>
        <v>7556.41057503</v>
      </c>
      <c r="AO218" s="3">
        <f>AN218</f>
        <v>7556.41057503</v>
      </c>
      <c r="AP218" s="3">
        <f>AO218</f>
        <v>7556.41057503</v>
      </c>
      <c r="AQ218" s="3">
        <f>AP218</f>
        <v>7556.41057503</v>
      </c>
      <c r="AR218" s="3">
        <f>AQ218</f>
        <v>7556.41057503</v>
      </c>
      <c r="AS218" s="3">
        <f>AR218</f>
        <v>7556.41057503</v>
      </c>
      <c r="AT218" s="3">
        <f>AS218</f>
        <v>7556.41057503</v>
      </c>
      <c r="AU218" s="3">
        <f>AT218</f>
        <v>7556.41057503</v>
      </c>
      <c r="AV218" s="3">
        <f>AU218</f>
        <v>7556.41057503</v>
      </c>
      <c r="AW218" s="3">
        <f>AV218</f>
        <v>7556.41057503</v>
      </c>
      <c r="AX218" s="3">
        <f>AW218</f>
        <v>7556.41057503</v>
      </c>
      <c r="AY218" s="3">
        <f>AX218</f>
        <v>7556.41057503</v>
      </c>
      <c r="AZ218" s="3">
        <f>AY218</f>
        <v>7556.41057503</v>
      </c>
      <c r="BA218" s="3">
        <f>AZ218</f>
        <v>7556.41057503</v>
      </c>
      <c r="BB218" s="3">
        <f>BA218</f>
        <v>7556.41057503</v>
      </c>
      <c r="BC218" s="3">
        <f>BB218</f>
        <v>7556.41057503</v>
      </c>
      <c r="BD218" s="3">
        <f>BC218</f>
        <v>7556.41057503</v>
      </c>
      <c r="BE218" s="3">
        <f>BD218</f>
        <v>7556.41057503</v>
      </c>
      <c r="BF218" s="3">
        <f>BE218</f>
        <v>7556.41057503</v>
      </c>
      <c r="BG218" s="3">
        <f>BF218</f>
        <v>7556.41057503</v>
      </c>
      <c r="BH218" s="3">
        <f>BG218</f>
        <v>7556.41057503</v>
      </c>
      <c r="BI218" s="3">
        <f>BH218</f>
        <v>7556.41057503</v>
      </c>
      <c r="BJ218" s="3">
        <f>BI218</f>
        <v>7556.41057503</v>
      </c>
      <c r="BK218" s="3">
        <f>BJ218</f>
        <v>7556.41057503</v>
      </c>
      <c r="BL218" s="3">
        <f>BK218</f>
        <v>7556.41057503</v>
      </c>
      <c r="BM218" s="3">
        <f>BL218</f>
        <v>7556.41057503</v>
      </c>
      <c r="BN218" s="3">
        <f>BM218</f>
        <v>7556.41057503</v>
      </c>
      <c r="BO218" s="3">
        <f>BN218</f>
        <v>7556.41057503</v>
      </c>
      <c r="BP218" s="3">
        <f>BO218</f>
        <v>7556.41057503</v>
      </c>
      <c r="BQ218" s="3">
        <f>BP218</f>
        <v>7556.41057503</v>
      </c>
      <c r="BR218" s="3">
        <f>BQ218</f>
        <v>7556.41057503</v>
      </c>
      <c r="BS218" s="3">
        <f>BR218</f>
        <v>7556.41057503</v>
      </c>
      <c r="BT218" s="3">
        <f>BS218</f>
        <v>7556.41057503</v>
      </c>
      <c r="BU218" s="3">
        <f>BT218</f>
        <v>7556.41057503</v>
      </c>
      <c r="BV218" s="3">
        <f>BU218</f>
        <v>7556.41057503</v>
      </c>
      <c r="BW218" s="3">
        <f>BV218</f>
        <v>7556.41057503</v>
      </c>
      <c r="BX218" s="3">
        <f>BW218</f>
        <v>7556.41057503</v>
      </c>
      <c r="BY218" s="3">
        <f>BX218</f>
        <v>7556.41057503</v>
      </c>
      <c r="BZ218" s="3">
        <f>BY218</f>
        <v>7556.41057503</v>
      </c>
      <c r="CA218" s="3">
        <f>BZ218</f>
        <v>7556.41057503</v>
      </c>
      <c r="CB218" s="3">
        <f>CA218</f>
        <v>7556.41057503</v>
      </c>
      <c r="CC218" s="3">
        <f>CB218</f>
        <v>7556.41057503</v>
      </c>
      <c r="CD218" s="3">
        <f>CC218</f>
        <v>7556.41057503</v>
      </c>
      <c r="CE218" s="3">
        <f>CD218</f>
        <v>7556.41057503</v>
      </c>
      <c r="CF218" s="3">
        <f>CE218</f>
        <v>7556.41057503</v>
      </c>
      <c r="CG218" s="3">
        <f>CF218</f>
        <v>7556.41057503</v>
      </c>
      <c r="CH218" s="3">
        <f>CG218</f>
        <v>7556.41057503</v>
      </c>
      <c r="CI218" s="3">
        <f>CH218</f>
        <v>7556.41057503</v>
      </c>
      <c r="CJ218" s="3">
        <f>CI218</f>
        <v>7556.41057503</v>
      </c>
      <c r="CK218" s="3">
        <f>CJ218</f>
        <v>7556.41057503</v>
      </c>
      <c r="CL218" s="3">
        <f>CK218</f>
        <v>7556.41057503</v>
      </c>
      <c r="CM218" s="3">
        <f>CL218</f>
        <v>7556.41057503</v>
      </c>
      <c r="CN218" s="3">
        <f>CM218</f>
        <v>7556.41057503</v>
      </c>
      <c r="CO218" s="3">
        <f>CN218</f>
        <v>7556.41057503</v>
      </c>
      <c r="CP218" s="3">
        <f>CO218</f>
        <v>7556.41057503</v>
      </c>
      <c r="CQ218" s="3">
        <f>CP218</f>
        <v>7556.41057503</v>
      </c>
      <c r="CR218" s="3">
        <f>CQ218</f>
        <v>7556.41057503</v>
      </c>
      <c r="CS218" s="3">
        <f>CR218</f>
        <v>7556.41057503</v>
      </c>
      <c r="CT218" s="3">
        <f>CS218</f>
        <v>7556.41057503</v>
      </c>
      <c r="CU218" s="3">
        <f>CT218</f>
        <v>7556.41057503</v>
      </c>
      <c r="CV218" s="3">
        <f>CU218</f>
        <v>7556.41057503</v>
      </c>
      <c r="CW218" s="3">
        <f>CV218</f>
        <v>7556.41057503</v>
      </c>
      <c r="CX218" s="3">
        <f>CW218</f>
        <v>7556.41057503</v>
      </c>
      <c r="CY218" s="3">
        <f>CX218</f>
        <v>7556.41057503</v>
      </c>
    </row>
    <row r="219">
      <c r="C219" s="26" t="inlineStr">
        <is>
          <t>Short term debt (Revolving credit facility)</t>
        </is>
      </c>
      <c r="D219" s="25" t="n"/>
      <c r="E219" s="25" t="n"/>
      <c r="F219" s="25" t="n"/>
      <c r="G219" s="25" t="n"/>
      <c r="H219" s="3">
        <f>G219</f>
        <v>0</v>
      </c>
      <c r="I219" s="25" t="n"/>
      <c r="J219" s="25" t="n"/>
      <c r="K219" s="25" t="n"/>
      <c r="L219" s="25" t="n"/>
      <c r="M219" s="3">
        <f>L219</f>
        <v>0</v>
      </c>
      <c r="N219" s="25" t="n"/>
      <c r="O219" s="25" t="n"/>
      <c r="P219" s="25" t="n"/>
      <c r="Q219" s="25" t="n"/>
      <c r="R219" s="3">
        <f>Q219</f>
        <v>0</v>
      </c>
      <c r="S219" s="25" t="n"/>
      <c r="T219" s="25" t="n"/>
      <c r="U219" s="25" t="n"/>
      <c r="V219" s="25" t="n"/>
      <c r="W219" s="3">
        <f>V219</f>
        <v>0</v>
      </c>
      <c r="X219" s="25" t="n"/>
      <c r="Y219" s="25" t="n"/>
      <c r="Z219" s="25" t="n"/>
      <c r="AA219" s="25" t="n"/>
      <c r="AB219" s="3">
        <f>AA219</f>
        <v>0</v>
      </c>
      <c r="AC219" s="25" t="n"/>
      <c r="AD219" s="25" t="n"/>
      <c r="AE219" s="25" t="n"/>
      <c r="AF219" s="25" t="n"/>
      <c r="AG219" s="3">
        <f>AF219</f>
        <v>0</v>
      </c>
      <c r="AH219" s="3">
        <f>AG219</f>
        <v>0</v>
      </c>
      <c r="AI219" s="3">
        <f>AH219</f>
        <v>0</v>
      </c>
      <c r="AJ219" s="3">
        <f>AI219</f>
        <v>0</v>
      </c>
      <c r="AK219" s="3">
        <f>AJ219</f>
        <v>0</v>
      </c>
      <c r="AL219" s="3">
        <f>AK219</f>
        <v>0</v>
      </c>
      <c r="AM219" s="3">
        <f>AL219</f>
        <v>0</v>
      </c>
      <c r="AN219" s="3">
        <f>AM219</f>
        <v>0</v>
      </c>
      <c r="AO219" s="3">
        <f>AN219</f>
        <v>0</v>
      </c>
      <c r="AP219" s="3">
        <f>AO219</f>
        <v>0</v>
      </c>
      <c r="AQ219" s="3">
        <f>AP219</f>
        <v>0</v>
      </c>
      <c r="AR219" s="3">
        <f>AQ219</f>
        <v>0</v>
      </c>
      <c r="AS219" s="3">
        <f>AR219</f>
        <v>0</v>
      </c>
      <c r="AT219" s="3">
        <f>AS219</f>
        <v>0</v>
      </c>
      <c r="AU219" s="3">
        <f>AT219</f>
        <v>0</v>
      </c>
      <c r="AV219" s="3">
        <f>AU219</f>
        <v>0</v>
      </c>
      <c r="AW219" s="3">
        <f>AV219</f>
        <v>0</v>
      </c>
      <c r="AX219" s="3">
        <f>AW219</f>
        <v>0</v>
      </c>
      <c r="AY219" s="3">
        <f>AX219</f>
        <v>0</v>
      </c>
      <c r="AZ219" s="3">
        <f>AY219</f>
        <v>0</v>
      </c>
      <c r="BA219" s="3">
        <f>AZ219</f>
        <v>0</v>
      </c>
      <c r="BB219" s="3">
        <f>BA219</f>
        <v>0</v>
      </c>
      <c r="BC219" s="3">
        <f>BB219</f>
        <v>0</v>
      </c>
      <c r="BD219" s="3">
        <f>BC219</f>
        <v>0</v>
      </c>
      <c r="BE219" s="3">
        <f>BD219</f>
        <v>0</v>
      </c>
      <c r="BF219" s="3">
        <f>BE219</f>
        <v>0</v>
      </c>
      <c r="BG219" s="3">
        <f>BF219</f>
        <v>0</v>
      </c>
      <c r="BH219" s="3">
        <f>BG219</f>
        <v>0</v>
      </c>
      <c r="BI219" s="3">
        <f>BH219</f>
        <v>0</v>
      </c>
      <c r="BJ219" s="3">
        <f>BI219</f>
        <v>0</v>
      </c>
      <c r="BK219" s="3">
        <f>BJ219</f>
        <v>0</v>
      </c>
      <c r="BL219" s="3">
        <f>BK219</f>
        <v>0</v>
      </c>
      <c r="BM219" s="3">
        <f>BL219</f>
        <v>0</v>
      </c>
      <c r="BN219" s="3">
        <f>BM219</f>
        <v>0</v>
      </c>
      <c r="BO219" s="3">
        <f>BN219</f>
        <v>0</v>
      </c>
      <c r="BP219" s="3">
        <f>BO219</f>
        <v>0</v>
      </c>
      <c r="BQ219" s="3">
        <f>BP219</f>
        <v>0</v>
      </c>
      <c r="BR219" s="3">
        <f>BQ219</f>
        <v>0</v>
      </c>
      <c r="BS219" s="3">
        <f>BR219</f>
        <v>0</v>
      </c>
      <c r="BT219" s="3">
        <f>BS219</f>
        <v>0</v>
      </c>
      <c r="BU219" s="3">
        <f>BT219</f>
        <v>0</v>
      </c>
      <c r="BV219" s="3">
        <f>BU219</f>
        <v>0</v>
      </c>
      <c r="BW219" s="3">
        <f>BV219</f>
        <v>0</v>
      </c>
      <c r="BX219" s="3">
        <f>BW219</f>
        <v>0</v>
      </c>
      <c r="BY219" s="3">
        <f>BX219</f>
        <v>0</v>
      </c>
      <c r="BZ219" s="3">
        <f>BY219</f>
        <v>0</v>
      </c>
      <c r="CA219" s="3">
        <f>BZ219</f>
        <v>0</v>
      </c>
      <c r="CB219" s="3">
        <f>CA219</f>
        <v>0</v>
      </c>
      <c r="CC219" s="3">
        <f>CB219</f>
        <v>0</v>
      </c>
      <c r="CD219" s="3">
        <f>CC219</f>
        <v>0</v>
      </c>
      <c r="CE219" s="3">
        <f>CD219</f>
        <v>0</v>
      </c>
      <c r="CF219" s="3">
        <f>CE219</f>
        <v>0</v>
      </c>
      <c r="CG219" s="3">
        <f>CF219</f>
        <v>0</v>
      </c>
      <c r="CH219" s="3">
        <f>CG219</f>
        <v>0</v>
      </c>
      <c r="CI219" s="3">
        <f>CH219</f>
        <v>0</v>
      </c>
      <c r="CJ219" s="3">
        <f>CI219</f>
        <v>0</v>
      </c>
      <c r="CK219" s="3">
        <f>CJ219</f>
        <v>0</v>
      </c>
      <c r="CL219" s="3">
        <f>CK219</f>
        <v>0</v>
      </c>
      <c r="CM219" s="3">
        <f>CL219</f>
        <v>0</v>
      </c>
      <c r="CN219" s="3">
        <f>CM219</f>
        <v>0</v>
      </c>
      <c r="CO219" s="3">
        <f>CN219</f>
        <v>0</v>
      </c>
      <c r="CP219" s="3">
        <f>CO219</f>
        <v>0</v>
      </c>
      <c r="CQ219" s="3">
        <f>CP219</f>
        <v>0</v>
      </c>
      <c r="CR219" s="3">
        <f>CQ219</f>
        <v>0</v>
      </c>
      <c r="CS219" s="3">
        <f>CR219</f>
        <v>0</v>
      </c>
      <c r="CT219" s="3">
        <f>CS219</f>
        <v>0</v>
      </c>
      <c r="CU219" s="3">
        <f>CT219</f>
        <v>0</v>
      </c>
      <c r="CV219" s="3">
        <f>CU219</f>
        <v>0</v>
      </c>
      <c r="CW219" s="3">
        <f>CV219</f>
        <v>0</v>
      </c>
      <c r="CX219" s="3">
        <f>CW219</f>
        <v>0</v>
      </c>
      <c r="CY219" s="3">
        <f>CX219</f>
        <v>0</v>
      </c>
    </row>
    <row r="220">
      <c r="C220" s="26" t="inlineStr">
        <is>
          <t>Short term operating leases</t>
        </is>
      </c>
      <c r="D220" s="25">
        <f>INDEX('Inputs (2)'!$D$34:$AL$34,MATCH(D$7,'Inputs (2)'!$D$2:$AL$2,0))</f>
        <v>107.02432839</v>
      </c>
      <c r="E220" s="25">
        <f>INDEX('Inputs (2)'!$D$34:$AL$34,MATCH(E$7,'Inputs (2)'!$D$2:$AL$2,0))</f>
        <v>103.51397595</v>
      </c>
      <c r="F220" s="25">
        <f>INDEX('Inputs (2)'!$D$34:$AL$34,MATCH(F$7,'Inputs (2)'!$D$2:$AL$2,0))</f>
        <v>101.76069517</v>
      </c>
      <c r="G220" s="25">
        <f>INDEX('Inputs (2)'!$D$34:$AL$34,MATCH(G$7,'Inputs (2)'!$D$2:$AL$2,0))</f>
        <v>101.60088852</v>
      </c>
      <c r="H220" s="3">
        <f>G220</f>
        <v>101.60088852</v>
      </c>
      <c r="I220" s="25">
        <f>INDEX('Inputs (2)'!$D$34:$AL$34,MATCH(I$7,'Inputs (2)'!$D$2:$AL$2,0))</f>
        <v>115.26827369</v>
      </c>
      <c r="J220" s="25">
        <f>INDEX('Inputs (2)'!$D$34:$AL$34,MATCH(J$7,'Inputs (2)'!$D$2:$AL$2,0))</f>
        <v>135.25761191</v>
      </c>
      <c r="K220" s="25">
        <f>INDEX('Inputs (2)'!$D$34:$AL$34,MATCH(K$7,'Inputs (2)'!$D$2:$AL$2,0))</f>
        <v>324.387</v>
      </c>
      <c r="L220" s="25">
        <f>INDEX('Inputs (2)'!$D$34:$AL$34,MATCH(L$7,'Inputs (2)'!$D$2:$AL$2,0))</f>
        <v>197.769</v>
      </c>
      <c r="M220" s="3">
        <f>L220</f>
        <v>197.769</v>
      </c>
      <c r="N220" s="25">
        <f>INDEX('Inputs (2)'!$D$34:$AL$34,MATCH(N$7,'Inputs (2)'!$D$2:$AL$2,0))</f>
        <v>197.789</v>
      </c>
      <c r="O220" s="25">
        <f>INDEX('Inputs (2)'!$D$34:$AL$34,MATCH(O$7,'Inputs (2)'!$D$2:$AL$2,0))</f>
        <v>212.55</v>
      </c>
      <c r="P220" s="25">
        <f>INDEX('Inputs (2)'!$D$34:$AL$34,MATCH(P$7,'Inputs (2)'!$D$2:$AL$2,0))</f>
        <v>248.393</v>
      </c>
      <c r="Q220" s="25">
        <f>INDEX('Inputs (2)'!$D$34:$AL$34,MATCH(Q$7,'Inputs (2)'!$D$2:$AL$2,0))</f>
        <v>291.43</v>
      </c>
      <c r="R220" s="3">
        <f>Q220</f>
        <v>291.43</v>
      </c>
      <c r="S220" s="25">
        <f>INDEX('Inputs (2)'!$D$34:$AL$34,MATCH(S$7,'Inputs (2)'!$D$2:$AL$2,0))</f>
        <v>302.015930157</v>
      </c>
      <c r="T220" s="25">
        <f>INDEX('Inputs (2)'!$D$34:$AL$34,MATCH(T$7,'Inputs (2)'!$D$2:$AL$2,0))</f>
        <v>319.175826534</v>
      </c>
      <c r="U220" s="25">
        <f>INDEX('Inputs (2)'!$D$34:$AL$34,MATCH(U$7,'Inputs (2)'!$D$2:$AL$2,0))</f>
        <v>342.244387795</v>
      </c>
      <c r="V220" s="25">
        <f>INDEX('Inputs (2)'!$D$34:$AL$34,MATCH(V$7,'Inputs (2)'!$D$2:$AL$2,0))</f>
        <v>364.8750699109</v>
      </c>
      <c r="W220" s="3">
        <f>V220</f>
        <v>364.8750699109</v>
      </c>
      <c r="X220" s="25">
        <f>INDEX('Inputs (2)'!$D$34:$AL$34,MATCH(X$7,'Inputs (2)'!$D$2:$AL$2,0))</f>
        <v>354.3720350377</v>
      </c>
      <c r="Y220" s="25">
        <f>INDEX('Inputs (2)'!$D$34:$AL$34,MATCH(Y$7,'Inputs (2)'!$D$2:$AL$2,0))</f>
        <v>387.9478079534</v>
      </c>
      <c r="Z220" s="25">
        <f>INDEX('Inputs (2)'!$D$34:$AL$34,MATCH(Z$7,'Inputs (2)'!$D$2:$AL$2,0))</f>
        <v>434.5427625989</v>
      </c>
      <c r="AA220" s="25">
        <f>INDEX('Inputs (2)'!$D$34:$AL$34,MATCH(AA$7,'Inputs (2)'!$D$2:$AL$2,0))</f>
        <v>444.88450984</v>
      </c>
      <c r="AB220" s="3">
        <f>AA220</f>
        <v>444.88450984</v>
      </c>
      <c r="AC220" s="25">
        <f>INDEX('Inputs (2)'!$D$34:$AL$34,MATCH(AC$7,'Inputs (2)'!$D$2:$AL$2,0))</f>
        <v>409.76793177</v>
      </c>
      <c r="AD220" s="25">
        <f>INDEX('Inputs (2)'!$D$34:$AL$34,MATCH(AD$7,'Inputs (2)'!$D$2:$AL$2,0))</f>
        <v>160.22182137</v>
      </c>
      <c r="AE220" s="25">
        <f>INDEX('Inputs (2)'!$D$34:$AL$34,MATCH(AE$7,'Inputs (2)'!$D$2:$AL$2,0))</f>
        <v>64.34033223</v>
      </c>
      <c r="AF220" s="25">
        <f>INDEX('Inputs (2)'!$D$34:$AL$34,MATCH(AF$7,'Inputs (2)'!$D$2:$AL$2,0))</f>
        <v>319.41626964</v>
      </c>
      <c r="AG220" s="3">
        <f>AF220</f>
        <v>319.41626964</v>
      </c>
      <c r="AH220" s="3">
        <f>INDEX('Inputs (2)'!$D$34:$AL$34,MATCH(AH$7,'Inputs (2)'!$D$2:$AL$2,0))</f>
        <v>327.66916642</v>
      </c>
      <c r="AI220" s="3">
        <f>INDEX('Inputs (2)'!$D$34:$AL$34,MATCH(AI$7,'Inputs (2)'!$D$2:$AL$2,0))</f>
        <v>199.06820025</v>
      </c>
      <c r="AJ220" s="3">
        <f>AI220</f>
        <v>199.06820025</v>
      </c>
      <c r="AK220" s="3">
        <f>AJ220</f>
        <v>199.06820025</v>
      </c>
      <c r="AL220" s="3">
        <f>AK220</f>
        <v>199.06820025</v>
      </c>
      <c r="AM220" s="3">
        <f>AL220</f>
        <v>199.06820025</v>
      </c>
      <c r="AN220" s="3">
        <f>AM220</f>
        <v>199.06820025</v>
      </c>
      <c r="AO220" s="3">
        <f>AN220</f>
        <v>199.06820025</v>
      </c>
      <c r="AP220" s="3">
        <f>AO220</f>
        <v>199.06820025</v>
      </c>
      <c r="AQ220" s="3">
        <f>AP220</f>
        <v>199.06820025</v>
      </c>
      <c r="AR220" s="3">
        <f>AQ220</f>
        <v>199.06820025</v>
      </c>
      <c r="AS220" s="3">
        <f>AR220</f>
        <v>199.06820025</v>
      </c>
      <c r="AT220" s="3">
        <f>AS220</f>
        <v>199.06820025</v>
      </c>
      <c r="AU220" s="3">
        <f>AT220</f>
        <v>199.06820025</v>
      </c>
      <c r="AV220" s="3">
        <f>AU220</f>
        <v>199.06820025</v>
      </c>
      <c r="AW220" s="3">
        <f>AV220</f>
        <v>199.06820025</v>
      </c>
      <c r="AX220" s="3">
        <f>AW220</f>
        <v>199.06820025</v>
      </c>
      <c r="AY220" s="3">
        <f>AX220</f>
        <v>199.06820025</v>
      </c>
      <c r="AZ220" s="3">
        <f>AY220</f>
        <v>199.06820025</v>
      </c>
      <c r="BA220" s="3">
        <f>AZ220</f>
        <v>199.06820025</v>
      </c>
      <c r="BB220" s="3">
        <f>BA220</f>
        <v>199.06820025</v>
      </c>
      <c r="BC220" s="3">
        <f>BB220</f>
        <v>199.06820025</v>
      </c>
      <c r="BD220" s="3">
        <f>BC220</f>
        <v>199.06820025</v>
      </c>
      <c r="BE220" s="3">
        <f>BD220</f>
        <v>199.06820025</v>
      </c>
      <c r="BF220" s="3">
        <f>BE220</f>
        <v>199.06820025</v>
      </c>
      <c r="BG220" s="3">
        <f>BF220</f>
        <v>199.06820025</v>
      </c>
      <c r="BH220" s="3">
        <f>BG220</f>
        <v>199.06820025</v>
      </c>
      <c r="BI220" s="3">
        <f>BH220</f>
        <v>199.06820025</v>
      </c>
      <c r="BJ220" s="3">
        <f>BI220</f>
        <v>199.06820025</v>
      </c>
      <c r="BK220" s="3">
        <f>BJ220</f>
        <v>199.06820025</v>
      </c>
      <c r="BL220" s="3">
        <f>BK220</f>
        <v>199.06820025</v>
      </c>
      <c r="BM220" s="3">
        <f>BL220</f>
        <v>199.06820025</v>
      </c>
      <c r="BN220" s="3">
        <f>BM220</f>
        <v>199.06820025</v>
      </c>
      <c r="BO220" s="3">
        <f>BN220</f>
        <v>199.06820025</v>
      </c>
      <c r="BP220" s="3">
        <f>BO220</f>
        <v>199.06820025</v>
      </c>
      <c r="BQ220" s="3">
        <f>BP220</f>
        <v>199.06820025</v>
      </c>
      <c r="BR220" s="3">
        <f>BQ220</f>
        <v>199.06820025</v>
      </c>
      <c r="BS220" s="3">
        <f>BR220</f>
        <v>199.06820025</v>
      </c>
      <c r="BT220" s="3">
        <f>BS220</f>
        <v>199.06820025</v>
      </c>
      <c r="BU220" s="3">
        <f>BT220</f>
        <v>199.06820025</v>
      </c>
      <c r="BV220" s="3">
        <f>BU220</f>
        <v>199.06820025</v>
      </c>
      <c r="BW220" s="3">
        <f>BV220</f>
        <v>199.06820025</v>
      </c>
      <c r="BX220" s="3">
        <f>BW220</f>
        <v>199.06820025</v>
      </c>
      <c r="BY220" s="3">
        <f>BX220</f>
        <v>199.06820025</v>
      </c>
      <c r="BZ220" s="3">
        <f>BY220</f>
        <v>199.06820025</v>
      </c>
      <c r="CA220" s="3">
        <f>BZ220</f>
        <v>199.06820025</v>
      </c>
      <c r="CB220" s="3">
        <f>CA220</f>
        <v>199.06820025</v>
      </c>
      <c r="CC220" s="3">
        <f>CB220</f>
        <v>199.06820025</v>
      </c>
      <c r="CD220" s="3">
        <f>CC220</f>
        <v>199.06820025</v>
      </c>
      <c r="CE220" s="3">
        <f>CD220</f>
        <v>199.06820025</v>
      </c>
      <c r="CF220" s="3">
        <f>CE220</f>
        <v>199.06820025</v>
      </c>
      <c r="CG220" s="3">
        <f>CF220</f>
        <v>199.06820025</v>
      </c>
      <c r="CH220" s="3">
        <f>CG220</f>
        <v>199.06820025</v>
      </c>
      <c r="CI220" s="3">
        <f>CH220</f>
        <v>199.06820025</v>
      </c>
      <c r="CJ220" s="3">
        <f>CI220</f>
        <v>199.06820025</v>
      </c>
      <c r="CK220" s="3">
        <f>CJ220</f>
        <v>199.06820025</v>
      </c>
      <c r="CL220" s="3">
        <f>CK220</f>
        <v>199.06820025</v>
      </c>
      <c r="CM220" s="3">
        <f>CL220</f>
        <v>199.06820025</v>
      </c>
      <c r="CN220" s="3">
        <f>CM220</f>
        <v>199.06820025</v>
      </c>
      <c r="CO220" s="3">
        <f>CN220</f>
        <v>199.06820025</v>
      </c>
      <c r="CP220" s="3">
        <f>CO220</f>
        <v>199.06820025</v>
      </c>
      <c r="CQ220" s="3">
        <f>CP220</f>
        <v>199.06820025</v>
      </c>
      <c r="CR220" s="3">
        <f>CQ220</f>
        <v>199.06820025</v>
      </c>
      <c r="CS220" s="3">
        <f>CR220</f>
        <v>199.06820025</v>
      </c>
      <c r="CT220" s="3">
        <f>CS220</f>
        <v>199.06820025</v>
      </c>
      <c r="CU220" s="3">
        <f>CT220</f>
        <v>199.06820025</v>
      </c>
      <c r="CV220" s="3">
        <f>CU220</f>
        <v>199.06820025</v>
      </c>
      <c r="CW220" s="3">
        <f>CV220</f>
        <v>199.06820025</v>
      </c>
      <c r="CX220" s="3">
        <f>CW220</f>
        <v>199.06820025</v>
      </c>
      <c r="CY220" s="3">
        <f>CX220</f>
        <v>199.06820025</v>
      </c>
    </row>
    <row r="221" hidden="1" outlineLevel="1">
      <c r="C221" s="38" t="inlineStr">
        <is>
          <t>%(Var.)</t>
        </is>
      </c>
      <c r="D221" s="3" t="n"/>
      <c r="E221" s="47">
        <f>(E220-D220)/D220</f>
        <v>-0.0327995745715699</v>
      </c>
      <c r="F221" s="47">
        <f>(F220-E220)/E220</f>
        <v>-0.0169376237740774</v>
      </c>
      <c r="G221" s="47">
        <f>(G220-F220)/F220</f>
        <v>-0.00157041625681739</v>
      </c>
      <c r="H221" s="3" t="n"/>
      <c r="I221" s="47">
        <f>(I220-H220)/H220</f>
        <v>0.134520331161372</v>
      </c>
      <c r="J221" s="47">
        <f>(J220-I220)/I220</f>
        <v>0.173415785455059</v>
      </c>
      <c r="K221" s="47">
        <f>(K220-J220)/J220</f>
        <v>1.39829016215255</v>
      </c>
      <c r="L221" s="47">
        <f>(L220-K220)/K220</f>
        <v>-0.390330068714221</v>
      </c>
      <c r="M221" s="3" t="n"/>
      <c r="N221" s="47">
        <f>(N220-M220)/M220</f>
        <v>0.000101128083774413</v>
      </c>
      <c r="O221" s="47">
        <f>(O220-N220)/N220</f>
        <v>0.0746300350373379</v>
      </c>
      <c r="P221" s="47">
        <f>(P220-O220)/O220</f>
        <v>0.168633262761703</v>
      </c>
      <c r="Q221" s="47">
        <f>(Q220-P220)/P220</f>
        <v>0.173261726377152</v>
      </c>
      <c r="R221" s="3" t="n"/>
      <c r="S221" s="47">
        <f>(S220-R220)/R220</f>
        <v>0.0363240920872937</v>
      </c>
      <c r="T221" s="47">
        <f>(T220-S220)/S220</f>
        <v>0.0568178518533098</v>
      </c>
      <c r="U221" s="47">
        <f>(U220-T220)/T220</f>
        <v>0.0722754022806381</v>
      </c>
      <c r="V221" s="47">
        <f>(V220-U220)/U220</f>
        <v>0.0661243337303618</v>
      </c>
      <c r="W221" s="3" t="n"/>
      <c r="X221" s="47">
        <f>(X220-W220)/W220</f>
        <v>-0.028785290471516</v>
      </c>
      <c r="Y221" s="47">
        <f>(Y220-X220)/X220</f>
        <v>0.0947472418700534</v>
      </c>
      <c r="Z221" s="47">
        <f>(Z220-Y220)/Y220</f>
        <v>0.120106245454278</v>
      </c>
      <c r="AA221" s="47">
        <f>(AA220-Z220)/Z220</f>
        <v>0.0237991473595105</v>
      </c>
      <c r="AB221" s="3" t="n"/>
      <c r="AC221" s="47">
        <f>(AC220-AB220)/AB220</f>
        <v>-0.0789341442403321</v>
      </c>
      <c r="AD221" s="47">
        <f>(AD220-AC220)/AC220</f>
        <v>-0.608993752444417</v>
      </c>
      <c r="AE221" s="47">
        <f>(AE220-AD220)/AD220</f>
        <v>-0.598429654089258</v>
      </c>
      <c r="AF221" s="6">
        <f>(AF220-AE220)/AE220</f>
        <v>3.96447964393733</v>
      </c>
      <c r="AG221" s="3" t="n"/>
      <c r="AH221" s="6">
        <f>(AH220-AG220)/AG220</f>
        <v>0.0258374339832517</v>
      </c>
      <c r="AI221" s="6">
        <f>(AI220-AH220)/AH220</f>
        <v>-0.39247197890192</v>
      </c>
      <c r="AJ221" s="6" t="n"/>
      <c r="AK221" s="6" t="n"/>
      <c r="AL221" s="3" t="n"/>
      <c r="AM221" s="6" t="n"/>
      <c r="AN221" s="6" t="n"/>
      <c r="AO221" s="6" t="n"/>
      <c r="AP221" s="6" t="n"/>
      <c r="AQ221" s="3" t="n"/>
      <c r="AR221" s="6" t="n"/>
      <c r="AS221" s="6" t="n"/>
      <c r="AT221" s="6" t="n"/>
      <c r="AU221" s="6" t="n"/>
      <c r="AV221" s="3" t="n"/>
      <c r="AW221" s="6" t="n"/>
      <c r="AX221" s="6" t="n"/>
      <c r="AY221" s="6" t="n"/>
      <c r="AZ221" s="6" t="n"/>
      <c r="BA221" s="3" t="n"/>
      <c r="BB221" s="6" t="n"/>
      <c r="BC221" s="6" t="n"/>
      <c r="BD221" s="6" t="n"/>
      <c r="BE221" s="6" t="n"/>
      <c r="BF221" s="3" t="n"/>
      <c r="BG221" s="6" t="n"/>
      <c r="BH221" s="6" t="n"/>
      <c r="BI221" s="6" t="n"/>
      <c r="BJ221" s="6" t="n"/>
      <c r="BK221" s="3" t="n"/>
      <c r="BL221" s="6" t="n"/>
      <c r="BM221" s="6" t="n"/>
      <c r="BN221" s="6" t="n"/>
      <c r="BO221" s="6" t="n"/>
      <c r="BP221" s="3" t="n"/>
      <c r="BQ221" s="6" t="n"/>
      <c r="BR221" s="6" t="n"/>
      <c r="BS221" s="6" t="n"/>
      <c r="BT221" s="6" t="n"/>
      <c r="BU221" s="3" t="n"/>
      <c r="BV221" s="6" t="n"/>
      <c r="BW221" s="6" t="n"/>
      <c r="BX221" s="6" t="n"/>
      <c r="BY221" s="6" t="n"/>
      <c r="BZ221" s="3" t="n"/>
      <c r="CA221" s="6" t="n"/>
      <c r="CB221" s="6" t="n"/>
      <c r="CC221" s="6" t="n"/>
      <c r="CD221" s="6" t="n"/>
      <c r="CE221" s="3" t="n"/>
      <c r="CF221" s="6" t="n"/>
      <c r="CG221" s="6" t="n"/>
      <c r="CH221" s="6" t="n"/>
      <c r="CI221" s="6" t="n"/>
      <c r="CJ221" s="3" t="n"/>
      <c r="CK221" s="6" t="n"/>
      <c r="CL221" s="6" t="n"/>
      <c r="CM221" s="6" t="n"/>
      <c r="CN221" s="6" t="n"/>
      <c r="CO221" s="3" t="n"/>
      <c r="CP221" s="6" t="n"/>
      <c r="CQ221" s="6" t="n"/>
      <c r="CR221" s="6" t="n"/>
      <c r="CS221" s="6" t="n"/>
      <c r="CT221" s="3" t="n"/>
      <c r="CU221" s="6" t="n"/>
      <c r="CV221" s="6" t="n"/>
      <c r="CW221" s="6" t="n"/>
      <c r="CX221" s="6" t="n"/>
      <c r="CY221" s="3" t="n"/>
    </row>
    <row r="222" hidden="1" outlineLevel="1">
      <c r="C222" s="34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3" t="n"/>
      <c r="AW222" s="3" t="n"/>
      <c r="AX222" s="3" t="n"/>
      <c r="AY222" s="3" t="n"/>
      <c r="AZ222" s="3" t="n"/>
      <c r="BA222" s="3" t="n"/>
      <c r="BB222" s="3" t="n"/>
      <c r="BC222" s="3" t="n"/>
      <c r="BD222" s="3" t="n"/>
      <c r="BE222" s="3" t="n"/>
      <c r="BF222" s="3" t="n"/>
      <c r="BG222" s="3" t="n"/>
      <c r="BH222" s="3" t="n"/>
      <c r="BI222" s="3" t="n"/>
      <c r="BJ222" s="3" t="n"/>
      <c r="BK222" s="3" t="n"/>
      <c r="BL222" s="3" t="n"/>
      <c r="BM222" s="3" t="n"/>
      <c r="BN222" s="3" t="n"/>
      <c r="BO222" s="3" t="n"/>
      <c r="BP222" s="3" t="n"/>
      <c r="BQ222" s="3" t="n"/>
      <c r="BR222" s="3" t="n"/>
      <c r="BS222" s="3" t="n"/>
      <c r="BT222" s="3" t="n"/>
      <c r="BU222" s="3" t="n"/>
      <c r="BV222" s="3" t="n"/>
      <c r="BW222" s="3" t="n"/>
      <c r="BX222" s="3" t="n"/>
      <c r="BY222" s="3" t="n"/>
      <c r="BZ222" s="3" t="n"/>
      <c r="CA222" s="3" t="n"/>
      <c r="CB222" s="3" t="n"/>
      <c r="CC222" s="3" t="n"/>
      <c r="CD222" s="3" t="n"/>
      <c r="CE222" s="3" t="n"/>
      <c r="CF222" s="3" t="n"/>
      <c r="CG222" s="3" t="n"/>
      <c r="CH222" s="3" t="n"/>
      <c r="CI222" s="3" t="n"/>
      <c r="CJ222" s="3" t="n"/>
      <c r="CK222" s="3" t="n"/>
      <c r="CL222" s="3" t="n"/>
      <c r="CM222" s="3" t="n"/>
      <c r="CN222" s="3" t="n"/>
      <c r="CO222" s="3" t="n"/>
      <c r="CP222" s="3" t="n"/>
      <c r="CQ222" s="3" t="n"/>
      <c r="CR222" s="3" t="n"/>
      <c r="CS222" s="3" t="n"/>
      <c r="CT222" s="3" t="n"/>
      <c r="CU222" s="3" t="n"/>
      <c r="CV222" s="3" t="n"/>
      <c r="CW222" s="3" t="n"/>
      <c r="CX222" s="3" t="n"/>
      <c r="CY222" s="3" t="n"/>
    </row>
    <row r="223" collapsed="1">
      <c r="C223" s="26" t="inlineStr">
        <is>
          <t>Long term debt</t>
        </is>
      </c>
      <c r="D223" s="25">
        <f>INDEX('Inputs (2)'!$D$35:$AL$35,MATCH(D$7,'Inputs (2)'!$D$2:$AL$2,0))</f>
        <v>13580.09561017</v>
      </c>
      <c r="E223" s="25">
        <f>INDEX('Inputs (2)'!$D$35:$AL$35,MATCH(E$7,'Inputs (2)'!$D$2:$AL$2,0))</f>
        <v>14826.09447334</v>
      </c>
      <c r="F223" s="25">
        <f>INDEX('Inputs (2)'!$D$35:$AL$35,MATCH(F$7,'Inputs (2)'!$D$2:$AL$2,0))</f>
        <v>14400.851</v>
      </c>
      <c r="G223" s="25">
        <f>INDEX('Inputs (2)'!$D$35:$AL$35,MATCH(G$7,'Inputs (2)'!$D$2:$AL$2,0))</f>
        <v>15197.12172876</v>
      </c>
      <c r="H223" s="3">
        <f>G223</f>
        <v>15197.12172876</v>
      </c>
      <c r="I223" s="25">
        <f>INDEX('Inputs (2)'!$D$35:$AL$35,MATCH(I$7,'Inputs (2)'!$D$2:$AL$2,0))</f>
        <v>21729.77041724</v>
      </c>
      <c r="J223" s="25">
        <f>INDEX('Inputs (2)'!$D$35:$AL$35,MATCH(J$7,'Inputs (2)'!$D$2:$AL$2,0))</f>
        <v>21263.36715647</v>
      </c>
      <c r="K223" s="25">
        <f>INDEX('Inputs (2)'!$D$35:$AL$35,MATCH(K$7,'Inputs (2)'!$D$2:$AL$2,0))</f>
        <v>27305.482</v>
      </c>
      <c r="L223" s="25">
        <f>INDEX('Inputs (2)'!$D$35:$AL$35,MATCH(L$7,'Inputs (2)'!$D$2:$AL$2,0))</f>
        <v>31973.666</v>
      </c>
      <c r="M223" s="3">
        <f>L223</f>
        <v>31973.666</v>
      </c>
      <c r="N223" s="25">
        <f>INDEX('Inputs (2)'!$D$35:$AL$35,MATCH(N$7,'Inputs (2)'!$D$2:$AL$2,0))</f>
        <v>30298.448</v>
      </c>
      <c r="O223" s="25">
        <f>INDEX('Inputs (2)'!$D$35:$AL$35,MATCH(O$7,'Inputs (2)'!$D$2:$AL$2,0))</f>
        <v>34054.21</v>
      </c>
      <c r="P223" s="25">
        <f>INDEX('Inputs (2)'!$D$35:$AL$35,MATCH(P$7,'Inputs (2)'!$D$2:$AL$2,0))</f>
        <v>37015.292</v>
      </c>
      <c r="Q223" s="25">
        <f>INDEX('Inputs (2)'!$D$35:$AL$35,MATCH(Q$7,'Inputs (2)'!$D$2:$AL$2,0))</f>
        <v>34273.332</v>
      </c>
      <c r="R223" s="3">
        <f>Q223</f>
        <v>34273.332</v>
      </c>
      <c r="S223" s="25">
        <f>INDEX('Inputs (2)'!$D$35:$AL$35,MATCH(S$7,'Inputs (2)'!$D$2:$AL$2,0))</f>
        <v>35043.5861128554</v>
      </c>
      <c r="T223" s="25">
        <f>INDEX('Inputs (2)'!$D$35:$AL$35,MATCH(T$7,'Inputs (2)'!$D$2:$AL$2,0))</f>
        <v>35947.9576330166</v>
      </c>
      <c r="U223" s="25">
        <f>INDEX('Inputs (2)'!$D$35:$AL$35,MATCH(U$7,'Inputs (2)'!$D$2:$AL$2,0))</f>
        <v>36140.7602137683</v>
      </c>
      <c r="V223" s="25">
        <f>INDEX('Inputs (2)'!$D$35:$AL$35,MATCH(V$7,'Inputs (2)'!$D$2:$AL$2,0))</f>
        <v>39620.6858843622</v>
      </c>
      <c r="W223" s="3">
        <f>V223</f>
        <v>39620.6858843622</v>
      </c>
      <c r="X223" s="25">
        <f>INDEX('Inputs (2)'!$D$35:$AL$35,MATCH(X$7,'Inputs (2)'!$D$2:$AL$2,0))</f>
        <v>42338.7154457258</v>
      </c>
      <c r="Y223" s="25">
        <f>INDEX('Inputs (2)'!$D$35:$AL$35,MATCH(Y$7,'Inputs (2)'!$D$2:$AL$2,0))</f>
        <v>43104.3996835296</v>
      </c>
      <c r="Z223" s="25">
        <f>INDEX('Inputs (2)'!$D$35:$AL$35,MATCH(Z$7,'Inputs (2)'!$D$2:$AL$2,0))</f>
        <v>46165.0389215155</v>
      </c>
      <c r="AA223" s="25">
        <f>INDEX('Inputs (2)'!$D$35:$AL$35,MATCH(AA$7,'Inputs (2)'!$D$2:$AL$2,0))</f>
        <v>47635.4360162</v>
      </c>
      <c r="AB223" s="3">
        <f>AA223</f>
        <v>47635.4360162</v>
      </c>
      <c r="AC223" s="25">
        <f>INDEX('Inputs (2)'!$D$35:$AL$35,MATCH(AC$7,'Inputs (2)'!$D$2:$AL$2,0))</f>
        <v>48099.6743609</v>
      </c>
      <c r="AD223" s="25">
        <f>INDEX('Inputs (2)'!$D$35:$AL$35,MATCH(AD$7,'Inputs (2)'!$D$2:$AL$2,0))</f>
        <v>47635.92752496</v>
      </c>
      <c r="AE223" s="25">
        <f>INDEX('Inputs (2)'!$D$35:$AL$35,MATCH(AE$7,'Inputs (2)'!$D$2:$AL$2,0))</f>
        <v>45591.68362549</v>
      </c>
      <c r="AF223" s="25">
        <f>INDEX('Inputs (2)'!$D$35:$AL$35,MATCH(AF$7,'Inputs (2)'!$D$2:$AL$2,0))</f>
        <v>46614.11133361</v>
      </c>
      <c r="AG223" s="3">
        <f>AF223</f>
        <v>46614.11133361</v>
      </c>
      <c r="AH223" s="3">
        <f>INDEX('Inputs (2)'!$D$35:$AL$35,MATCH(AH$7,'Inputs (2)'!$D$2:$AL$2,0))</f>
        <v>49031.23543621</v>
      </c>
      <c r="AI223" s="3">
        <f>INDEX('Inputs (2)'!$D$35:$AL$35,MATCH(AI$7,'Inputs (2)'!$D$2:$AL$2,0))</f>
        <v>48591.51937482</v>
      </c>
      <c r="AJ223" s="3">
        <f>AJ229</f>
        <v>48591.51937482</v>
      </c>
      <c r="AK223" s="3">
        <f>AK229</f>
        <v>48591.51937482</v>
      </c>
      <c r="AL223" s="3">
        <f>AK223</f>
        <v>48591.51937482</v>
      </c>
      <c r="AM223" s="3">
        <f>AM229</f>
        <v>48591.51937482</v>
      </c>
      <c r="AN223" s="3">
        <f>AN229</f>
        <v>48591.51937482</v>
      </c>
      <c r="AO223" s="3">
        <f>AO229</f>
        <v>48591.51937482</v>
      </c>
      <c r="AP223" s="3">
        <f>AP229</f>
        <v>48591.51937482</v>
      </c>
      <c r="AQ223" s="3">
        <f>AP223</f>
        <v>48591.51937482</v>
      </c>
      <c r="AR223" s="3">
        <f>AR229</f>
        <v>48591.51937482</v>
      </c>
      <c r="AS223" s="3">
        <f>AS229</f>
        <v>48591.51937482</v>
      </c>
      <c r="AT223" s="3">
        <f>AT229</f>
        <v>48591.51937482</v>
      </c>
      <c r="AU223" s="3">
        <f>AU229</f>
        <v>48591.51937482</v>
      </c>
      <c r="AV223" s="3">
        <f>AU223</f>
        <v>48591.51937482</v>
      </c>
      <c r="AW223" s="3">
        <f>AW229</f>
        <v>48591.51937482</v>
      </c>
      <c r="AX223" s="3">
        <f>AX229</f>
        <v>48591.51937482</v>
      </c>
      <c r="AY223" s="3">
        <f>AY229</f>
        <v>48591.51937482</v>
      </c>
      <c r="AZ223" s="3">
        <f>AZ229</f>
        <v>48591.51937482</v>
      </c>
      <c r="BA223" s="3">
        <f>AZ223</f>
        <v>48591.51937482</v>
      </c>
      <c r="BB223" s="3">
        <f>BB229</f>
        <v>48591.51937482</v>
      </c>
      <c r="BC223" s="3">
        <f>BC229</f>
        <v>48591.51937482</v>
      </c>
      <c r="BD223" s="3">
        <f>BD229</f>
        <v>48591.51937482</v>
      </c>
      <c r="BE223" s="3">
        <f>BE229</f>
        <v>48591.51937482</v>
      </c>
      <c r="BF223" s="3">
        <f>BE223</f>
        <v>48591.51937482</v>
      </c>
      <c r="BG223" s="3">
        <f>BG229</f>
        <v>48591.51937482</v>
      </c>
      <c r="BH223" s="3">
        <f>BH229</f>
        <v>48591.51937482</v>
      </c>
      <c r="BI223" s="3">
        <f>BI229</f>
        <v>48591.51937482</v>
      </c>
      <c r="BJ223" s="3">
        <f>BJ229</f>
        <v>48591.51937482</v>
      </c>
      <c r="BK223" s="3">
        <f>BJ223</f>
        <v>48591.51937482</v>
      </c>
      <c r="BL223" s="3">
        <f>BL229</f>
        <v>48591.51937482</v>
      </c>
      <c r="BM223" s="3">
        <f>BM229</f>
        <v>48591.51937482</v>
      </c>
      <c r="BN223" s="3">
        <f>BN229</f>
        <v>48591.51937482</v>
      </c>
      <c r="BO223" s="3">
        <f>BO229</f>
        <v>48591.51937482</v>
      </c>
      <c r="BP223" s="3">
        <f>BO223</f>
        <v>48591.51937482</v>
      </c>
      <c r="BQ223" s="3">
        <f>BQ229</f>
        <v>48591.51937482</v>
      </c>
      <c r="BR223" s="3">
        <f>BR229</f>
        <v>48591.51937482</v>
      </c>
      <c r="BS223" s="3">
        <f>BS229</f>
        <v>48591.51937482</v>
      </c>
      <c r="BT223" s="3">
        <f>BT229</f>
        <v>48591.51937482</v>
      </c>
      <c r="BU223" s="3">
        <f>BT223</f>
        <v>48591.51937482</v>
      </c>
      <c r="BV223" s="3">
        <f>BV229</f>
        <v>48591.51937482</v>
      </c>
      <c r="BW223" s="3">
        <f>BW229</f>
        <v>48591.51937482</v>
      </c>
      <c r="BX223" s="3">
        <f>BX229</f>
        <v>48591.51937482</v>
      </c>
      <c r="BY223" s="3">
        <f>BY229</f>
        <v>48591.51937482</v>
      </c>
      <c r="BZ223" s="3">
        <f>BY223</f>
        <v>48591.51937482</v>
      </c>
      <c r="CA223" s="3">
        <f>CA229</f>
        <v>48591.51937482</v>
      </c>
      <c r="CB223" s="3">
        <f>CB229</f>
        <v>48591.51937482</v>
      </c>
      <c r="CC223" s="3">
        <f>CC229</f>
        <v>48591.51937482</v>
      </c>
      <c r="CD223" s="3">
        <f>CD229</f>
        <v>48591.51937482</v>
      </c>
      <c r="CE223" s="3">
        <f>CD223</f>
        <v>48591.51937482</v>
      </c>
      <c r="CF223" s="3">
        <f>CF229</f>
        <v>48591.51937482</v>
      </c>
      <c r="CG223" s="3">
        <f>CG229</f>
        <v>48591.51937482</v>
      </c>
      <c r="CH223" s="3">
        <f>CH229</f>
        <v>48591.51937482</v>
      </c>
      <c r="CI223" s="3">
        <f>CI229</f>
        <v>48591.51937482</v>
      </c>
      <c r="CJ223" s="3">
        <f>CI223</f>
        <v>48591.51937482</v>
      </c>
      <c r="CK223" s="3">
        <f>CK229</f>
        <v>48591.51937482</v>
      </c>
      <c r="CL223" s="3">
        <f>CL229</f>
        <v>48591.51937482</v>
      </c>
      <c r="CM223" s="3">
        <f>CM229</f>
        <v>48591.51937482</v>
      </c>
      <c r="CN223" s="3">
        <f>CN229</f>
        <v>48591.51937482</v>
      </c>
      <c r="CO223" s="3">
        <f>CN223</f>
        <v>48591.51937482</v>
      </c>
      <c r="CP223" s="3">
        <f>CP229</f>
        <v>48591.51937482</v>
      </c>
      <c r="CQ223" s="3">
        <f>CQ229</f>
        <v>48591.51937482</v>
      </c>
      <c r="CR223" s="3">
        <f>CR229</f>
        <v>48591.51937482</v>
      </c>
      <c r="CS223" s="3">
        <f>CS229</f>
        <v>48591.51937482</v>
      </c>
      <c r="CT223" s="3">
        <f>CS223</f>
        <v>48591.51937482</v>
      </c>
      <c r="CU223" s="3">
        <f>CU229</f>
        <v>48591.51937482</v>
      </c>
      <c r="CV223" s="3">
        <f>CV229</f>
        <v>48591.51937482</v>
      </c>
      <c r="CW223" s="3">
        <f>CW229</f>
        <v>48591.51937482</v>
      </c>
      <c r="CX223" s="3">
        <f>CX229</f>
        <v>48591.51937482</v>
      </c>
      <c r="CY223" s="3">
        <f>CX223</f>
        <v>48591.51937482</v>
      </c>
    </row>
    <row r="224" hidden="1" outlineLevel="1">
      <c r="C224" s="34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3" t="n"/>
      <c r="AW224" s="3" t="n"/>
      <c r="AX224" s="3" t="n"/>
      <c r="AY224" s="3" t="n"/>
      <c r="AZ224" s="3" t="n"/>
      <c r="BA224" s="3" t="n"/>
      <c r="BB224" s="3" t="n"/>
      <c r="BC224" s="3" t="n"/>
      <c r="BD224" s="3" t="n"/>
      <c r="BE224" s="3" t="n"/>
      <c r="BF224" s="3" t="n"/>
      <c r="BG224" s="3" t="n"/>
      <c r="BH224" s="3" t="n"/>
      <c r="BI224" s="3" t="n"/>
      <c r="BJ224" s="3" t="n"/>
      <c r="BK224" s="3" t="n"/>
      <c r="BL224" s="3" t="n"/>
      <c r="BM224" s="3" t="n"/>
      <c r="BN224" s="3" t="n"/>
      <c r="BO224" s="3" t="n"/>
      <c r="BP224" s="3" t="n"/>
      <c r="BQ224" s="3" t="n"/>
      <c r="BR224" s="3" t="n"/>
      <c r="BS224" s="3" t="n"/>
      <c r="BT224" s="3" t="n"/>
      <c r="BU224" s="3" t="n"/>
      <c r="BV224" s="3" t="n"/>
      <c r="BW224" s="3" t="n"/>
      <c r="BX224" s="3" t="n"/>
      <c r="BY224" s="3" t="n"/>
      <c r="BZ224" s="3" t="n"/>
      <c r="CA224" s="3" t="n"/>
      <c r="CB224" s="3" t="n"/>
      <c r="CC224" s="3" t="n"/>
      <c r="CD224" s="3" t="n"/>
      <c r="CE224" s="3" t="n"/>
      <c r="CF224" s="3" t="n"/>
      <c r="CG224" s="3" t="n"/>
      <c r="CH224" s="3" t="n"/>
      <c r="CI224" s="3" t="n"/>
      <c r="CJ224" s="3" t="n"/>
      <c r="CK224" s="3" t="n"/>
      <c r="CL224" s="3" t="n"/>
      <c r="CM224" s="3" t="n"/>
      <c r="CN224" s="3" t="n"/>
      <c r="CO224" s="3" t="n"/>
      <c r="CP224" s="3" t="n"/>
      <c r="CQ224" s="3" t="n"/>
      <c r="CR224" s="3" t="n"/>
      <c r="CS224" s="3" t="n"/>
      <c r="CT224" s="3" t="n"/>
      <c r="CU224" s="3" t="n"/>
      <c r="CV224" s="3" t="n"/>
      <c r="CW224" s="3" t="n"/>
      <c r="CX224" s="3" t="n"/>
      <c r="CY224" s="3" t="n"/>
    </row>
    <row r="225" hidden="1" outlineLevel="1">
      <c r="C225" s="34" t="inlineStr">
        <is>
          <t>Current portion of LTD</t>
        </is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>
        <f>AF218</f>
        <v>9109.41335713</v>
      </c>
      <c r="AI225" s="35" t="n"/>
      <c r="AJ225" s="35" t="n"/>
      <c r="AK225" s="35" t="n"/>
      <c r="AL225" s="3" t="n"/>
      <c r="AM225" s="3">
        <f>AK218</f>
        <v>7556.41057503</v>
      </c>
      <c r="AN225" s="35" t="n"/>
      <c r="AO225" s="35" t="n"/>
      <c r="AP225" s="35" t="n"/>
      <c r="AQ225" s="3" t="n"/>
      <c r="AR225" s="3">
        <f>AP218</f>
        <v>7556.41057503</v>
      </c>
      <c r="AS225" s="35" t="n"/>
      <c r="AT225" s="35" t="n"/>
      <c r="AU225" s="35" t="n"/>
      <c r="AV225" s="3" t="n"/>
      <c r="AW225" s="3">
        <f>AU218</f>
        <v>7556.41057503</v>
      </c>
      <c r="AX225" s="35" t="n"/>
      <c r="AY225" s="35" t="n"/>
      <c r="AZ225" s="35" t="n"/>
      <c r="BA225" s="3" t="n"/>
      <c r="BB225" s="3">
        <f>AZ218</f>
        <v>7556.41057503</v>
      </c>
      <c r="BC225" s="35" t="n"/>
      <c r="BD225" s="35" t="n"/>
      <c r="BE225" s="35" t="n"/>
      <c r="BF225" s="3" t="n"/>
      <c r="BG225" s="3">
        <f>BE218</f>
        <v>7556.41057503</v>
      </c>
      <c r="BH225" s="35" t="n"/>
      <c r="BI225" s="35" t="n"/>
      <c r="BJ225" s="35" t="n"/>
      <c r="BK225" s="3" t="n"/>
      <c r="BL225" s="3">
        <f>BJ218</f>
        <v>7556.41057503</v>
      </c>
      <c r="BM225" s="35" t="n"/>
      <c r="BN225" s="35" t="n"/>
      <c r="BO225" s="35" t="n"/>
      <c r="BP225" s="3" t="n"/>
      <c r="BQ225" s="3">
        <f>BO218</f>
        <v>7556.41057503</v>
      </c>
      <c r="BR225" s="35" t="n"/>
      <c r="BS225" s="35" t="n"/>
      <c r="BT225" s="35" t="n"/>
      <c r="BU225" s="3" t="n"/>
      <c r="BV225" s="3">
        <f>BT218</f>
        <v>7556.41057503</v>
      </c>
      <c r="BW225" s="35" t="n"/>
      <c r="BX225" s="35" t="n"/>
      <c r="BY225" s="35" t="n"/>
      <c r="BZ225" s="3" t="n"/>
      <c r="CA225" s="3">
        <f>BY218</f>
        <v>7556.41057503</v>
      </c>
      <c r="CB225" s="35" t="n"/>
      <c r="CC225" s="35" t="n"/>
      <c r="CD225" s="35" t="n"/>
      <c r="CE225" s="3" t="n"/>
      <c r="CF225" s="3">
        <f>CD218</f>
        <v>7556.41057503</v>
      </c>
      <c r="CG225" s="35" t="n"/>
      <c r="CH225" s="35" t="n"/>
      <c r="CI225" s="35" t="n"/>
      <c r="CJ225" s="3" t="n"/>
      <c r="CK225" s="3">
        <f>CI218</f>
        <v>7556.41057503</v>
      </c>
      <c r="CL225" s="35" t="n"/>
      <c r="CM225" s="35" t="n"/>
      <c r="CN225" s="35" t="n"/>
      <c r="CO225" s="3" t="n"/>
      <c r="CP225" s="3">
        <f>CN218</f>
        <v>7556.41057503</v>
      </c>
      <c r="CQ225" s="35" t="n"/>
      <c r="CR225" s="35" t="n"/>
      <c r="CS225" s="35" t="n"/>
      <c r="CT225" s="3" t="n"/>
      <c r="CU225" s="3">
        <f>CS218</f>
        <v>7556.41057503</v>
      </c>
      <c r="CV225" s="35" t="n"/>
      <c r="CW225" s="35" t="n"/>
      <c r="CX225" s="35" t="n"/>
      <c r="CY225" s="3" t="n"/>
    </row>
    <row r="226" hidden="1" outlineLevel="1">
      <c r="C226" s="34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n"/>
      <c r="BI226" s="3" t="n"/>
      <c r="BJ226" s="3" t="n"/>
      <c r="BK226" s="3" t="n"/>
      <c r="BL226" s="3" t="n"/>
      <c r="BM226" s="3" t="n"/>
      <c r="BN226" s="3" t="n"/>
      <c r="BO226" s="3" t="n"/>
      <c r="BP226" s="3" t="n"/>
      <c r="BQ226" s="3" t="n"/>
      <c r="BR226" s="3" t="n"/>
      <c r="BS226" s="3" t="n"/>
      <c r="BT226" s="3" t="n"/>
      <c r="BU226" s="3" t="n"/>
      <c r="BV226" s="3" t="n"/>
      <c r="BW226" s="3" t="n"/>
      <c r="BX226" s="3" t="n"/>
      <c r="BY226" s="3" t="n"/>
      <c r="BZ226" s="3" t="n"/>
      <c r="CA226" s="3" t="n"/>
      <c r="CB226" s="3" t="n"/>
      <c r="CC226" s="3" t="n"/>
      <c r="CD226" s="3" t="n"/>
      <c r="CE226" s="3" t="n"/>
      <c r="CF226" s="3" t="n"/>
      <c r="CG226" s="3" t="n"/>
      <c r="CH226" s="3" t="n"/>
      <c r="CI226" s="3" t="n"/>
      <c r="CJ226" s="3" t="n"/>
      <c r="CK226" s="3" t="n"/>
      <c r="CL226" s="3" t="n"/>
      <c r="CM226" s="3" t="n"/>
      <c r="CN226" s="3" t="n"/>
      <c r="CO226" s="3" t="n"/>
      <c r="CP226" s="3" t="n"/>
      <c r="CQ226" s="3" t="n"/>
      <c r="CR226" s="3" t="n"/>
      <c r="CS226" s="3" t="n"/>
      <c r="CT226" s="3" t="n"/>
      <c r="CU226" s="3" t="n"/>
      <c r="CV226" s="3" t="n"/>
      <c r="CW226" s="3" t="n"/>
      <c r="CX226" s="3" t="n"/>
      <c r="CY226" s="3" t="n"/>
    </row>
    <row r="227" hidden="1" outlineLevel="1">
      <c r="C227" s="34" t="inlineStr">
        <is>
          <t>Reclassification of LTD to CP of LTD</t>
        </is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>
        <f>-AI225</f>
        <v>0</v>
      </c>
      <c r="AJ227" s="3">
        <f>-AJ225</f>
        <v>0</v>
      </c>
      <c r="AK227" s="3">
        <f>-AK225</f>
        <v>0</v>
      </c>
      <c r="AL227" s="3" t="n"/>
      <c r="AM227" s="3" t="n"/>
      <c r="AN227" s="3">
        <f>-AN225</f>
        <v>0</v>
      </c>
      <c r="AO227" s="3">
        <f>-AO225</f>
        <v>0</v>
      </c>
      <c r="AP227" s="3">
        <f>-AP225</f>
        <v>0</v>
      </c>
      <c r="AQ227" s="3" t="n"/>
      <c r="AR227" s="3" t="n"/>
      <c r="AS227" s="3">
        <f>-AS225</f>
        <v>0</v>
      </c>
      <c r="AT227" s="3">
        <f>-AT225</f>
        <v>0</v>
      </c>
      <c r="AU227" s="3">
        <f>-AU225</f>
        <v>0</v>
      </c>
      <c r="AV227" s="3" t="n"/>
      <c r="AW227" s="3" t="n"/>
      <c r="AX227" s="3">
        <f>-AX225</f>
        <v>0</v>
      </c>
      <c r="AY227" s="3">
        <f>-AY225</f>
        <v>0</v>
      </c>
      <c r="AZ227" s="3">
        <f>-AZ225</f>
        <v>0</v>
      </c>
      <c r="BA227" s="3" t="n"/>
      <c r="BB227" s="3" t="n"/>
      <c r="BC227" s="3">
        <f>-BC225</f>
        <v>0</v>
      </c>
      <c r="BD227" s="3">
        <f>-BD225</f>
        <v>0</v>
      </c>
      <c r="BE227" s="3">
        <f>-BE225</f>
        <v>0</v>
      </c>
      <c r="BF227" s="3" t="n"/>
      <c r="BG227" s="3" t="n"/>
      <c r="BH227" s="3">
        <f>-BH225</f>
        <v>0</v>
      </c>
      <c r="BI227" s="3">
        <f>-BI225</f>
        <v>0</v>
      </c>
      <c r="BJ227" s="3">
        <f>-BJ225</f>
        <v>0</v>
      </c>
      <c r="BK227" s="3" t="n"/>
      <c r="BL227" s="3" t="n"/>
      <c r="BM227" s="3">
        <f>-BM225</f>
        <v>0</v>
      </c>
      <c r="BN227" s="3">
        <f>-BN225</f>
        <v>0</v>
      </c>
      <c r="BO227" s="3">
        <f>-BO225</f>
        <v>0</v>
      </c>
      <c r="BP227" s="3" t="n"/>
      <c r="BQ227" s="3" t="n"/>
      <c r="BR227" s="3">
        <f>-BR225</f>
        <v>0</v>
      </c>
      <c r="BS227" s="3">
        <f>-BS225</f>
        <v>0</v>
      </c>
      <c r="BT227" s="3">
        <f>-BT225</f>
        <v>0</v>
      </c>
      <c r="BU227" s="3" t="n"/>
      <c r="BV227" s="3" t="n"/>
      <c r="BW227" s="3">
        <f>-BW225</f>
        <v>0</v>
      </c>
      <c r="BX227" s="3">
        <f>-BX225</f>
        <v>0</v>
      </c>
      <c r="BY227" s="3">
        <f>-BY225</f>
        <v>0</v>
      </c>
      <c r="BZ227" s="3" t="n"/>
      <c r="CA227" s="3" t="n"/>
      <c r="CB227" s="3">
        <f>-CB225</f>
        <v>0</v>
      </c>
      <c r="CC227" s="3">
        <f>-CC225</f>
        <v>0</v>
      </c>
      <c r="CD227" s="3">
        <f>-CD225</f>
        <v>0</v>
      </c>
      <c r="CE227" s="3" t="n"/>
      <c r="CF227" s="3" t="n"/>
      <c r="CG227" s="3">
        <f>-CG225</f>
        <v>0</v>
      </c>
      <c r="CH227" s="3">
        <f>-CH225</f>
        <v>0</v>
      </c>
      <c r="CI227" s="3">
        <f>-CI225</f>
        <v>0</v>
      </c>
      <c r="CJ227" s="3" t="n"/>
      <c r="CK227" s="3" t="n"/>
      <c r="CL227" s="3">
        <f>-CL225</f>
        <v>0</v>
      </c>
      <c r="CM227" s="3">
        <f>-CM225</f>
        <v>0</v>
      </c>
      <c r="CN227" s="3">
        <f>-CN225</f>
        <v>0</v>
      </c>
      <c r="CO227" s="3" t="n"/>
      <c r="CP227" s="3" t="n"/>
      <c r="CQ227" s="3">
        <f>-CQ225</f>
        <v>0</v>
      </c>
      <c r="CR227" s="3">
        <f>-CR225</f>
        <v>0</v>
      </c>
      <c r="CS227" s="3">
        <f>-CS225</f>
        <v>0</v>
      </c>
      <c r="CT227" s="3" t="n"/>
      <c r="CU227" s="3" t="n"/>
      <c r="CV227" s="3">
        <f>-CV225</f>
        <v>0</v>
      </c>
      <c r="CW227" s="3">
        <f>-CW225</f>
        <v>0</v>
      </c>
      <c r="CX227" s="3">
        <f>-CX225</f>
        <v>0</v>
      </c>
      <c r="CY227" s="3" t="n"/>
    </row>
    <row r="228" hidden="1" outlineLevel="1">
      <c r="C228" s="34" t="inlineStr">
        <is>
          <t>Discretionary (paydown)/borrowing of long term debt</t>
        </is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5" t="n"/>
      <c r="AI228" s="35" t="n"/>
      <c r="AJ228" s="35" t="n"/>
      <c r="AK228" s="35" t="n"/>
      <c r="AL228" s="3" t="n"/>
      <c r="AM228" s="35" t="n"/>
      <c r="AN228" s="35" t="n"/>
      <c r="AO228" s="35" t="n"/>
      <c r="AP228" s="35" t="n"/>
      <c r="AQ228" s="3" t="n"/>
      <c r="AR228" s="35" t="n"/>
      <c r="AS228" s="35" t="n"/>
      <c r="AT228" s="35" t="n"/>
      <c r="AU228" s="35" t="n"/>
      <c r="AV228" s="3" t="n"/>
      <c r="AW228" s="35" t="n"/>
      <c r="AX228" s="35" t="n"/>
      <c r="AY228" s="35" t="n"/>
      <c r="AZ228" s="35" t="n"/>
      <c r="BA228" s="3" t="n"/>
      <c r="BB228" s="35" t="n"/>
      <c r="BC228" s="35" t="n"/>
      <c r="BD228" s="35" t="n"/>
      <c r="BE228" s="35" t="n"/>
      <c r="BF228" s="3" t="n"/>
      <c r="BG228" s="35" t="n"/>
      <c r="BH228" s="35" t="n"/>
      <c r="BI228" s="35" t="n"/>
      <c r="BJ228" s="35" t="n"/>
      <c r="BK228" s="3" t="n"/>
      <c r="BL228" s="35" t="n"/>
      <c r="BM228" s="35" t="n"/>
      <c r="BN228" s="35" t="n"/>
      <c r="BO228" s="35" t="n"/>
      <c r="BP228" s="3" t="n"/>
      <c r="BQ228" s="35" t="n"/>
      <c r="BR228" s="35" t="n"/>
      <c r="BS228" s="35" t="n"/>
      <c r="BT228" s="35" t="n"/>
      <c r="BU228" s="3" t="n"/>
      <c r="BV228" s="35" t="n"/>
      <c r="BW228" s="35" t="n"/>
      <c r="BX228" s="35" t="n"/>
      <c r="BY228" s="35" t="n"/>
      <c r="BZ228" s="3" t="n"/>
      <c r="CA228" s="35" t="n"/>
      <c r="CB228" s="35" t="n"/>
      <c r="CC228" s="35" t="n"/>
      <c r="CD228" s="35" t="n"/>
      <c r="CE228" s="3" t="n"/>
      <c r="CF228" s="35" t="n"/>
      <c r="CG228" s="35" t="n"/>
      <c r="CH228" s="35" t="n"/>
      <c r="CI228" s="35" t="n"/>
      <c r="CJ228" s="3" t="n"/>
      <c r="CK228" s="35" t="n"/>
      <c r="CL228" s="35" t="n"/>
      <c r="CM228" s="35" t="n"/>
      <c r="CN228" s="35" t="n"/>
      <c r="CO228" s="3" t="n"/>
      <c r="CP228" s="35" t="n"/>
      <c r="CQ228" s="35" t="n"/>
      <c r="CR228" s="35" t="n"/>
      <c r="CS228" s="35" t="n"/>
      <c r="CT228" s="3" t="n"/>
      <c r="CU228" s="35" t="n"/>
      <c r="CV228" s="35" t="n"/>
      <c r="CW228" s="35" t="n"/>
      <c r="CX228" s="35" t="n"/>
      <c r="CY228" s="3" t="n"/>
    </row>
    <row r="229" hidden="1" outlineLevel="1">
      <c r="C229" s="34" t="inlineStr">
        <is>
          <t>Long term debt</t>
        </is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>
        <f>AF223+SUM(AH227:AH228)</f>
        <v>46614.11133361</v>
      </c>
      <c r="AI229" s="3">
        <f>AH229+SUM(AI227:AI228)</f>
        <v>46614.11133361</v>
      </c>
      <c r="AJ229" s="3">
        <f>AI223+SUM(AJ227:AJ228)</f>
        <v>48591.51937482</v>
      </c>
      <c r="AK229" s="3">
        <f>AJ229+SUM(AK227:AK228)</f>
        <v>48591.51937482</v>
      </c>
      <c r="AL229" s="3" t="n"/>
      <c r="AM229" s="3">
        <f>AK229+SUM(AM227:AM228)</f>
        <v>48591.51937482</v>
      </c>
      <c r="AN229" s="3">
        <f>AM229+SUM(AN227:AN228)</f>
        <v>48591.51937482</v>
      </c>
      <c r="AO229" s="3">
        <f>AN229+SUM(AO227:AO228)</f>
        <v>48591.51937482</v>
      </c>
      <c r="AP229" s="3">
        <f>AO229+SUM(AP227:AP228)</f>
        <v>48591.51937482</v>
      </c>
      <c r="AQ229" s="3" t="n"/>
      <c r="AR229" s="3">
        <f>AP229+SUM(AR227:AR228)</f>
        <v>48591.51937482</v>
      </c>
      <c r="AS229" s="3">
        <f>AR229+SUM(AS227:AS228)</f>
        <v>48591.51937482</v>
      </c>
      <c r="AT229" s="3">
        <f>AS229+SUM(AT227:AT228)</f>
        <v>48591.51937482</v>
      </c>
      <c r="AU229" s="3">
        <f>AT229+SUM(AU227:AU228)</f>
        <v>48591.51937482</v>
      </c>
      <c r="AV229" s="3" t="n"/>
      <c r="AW229" s="3">
        <f>AU229+SUM(AW227:AW228)</f>
        <v>48591.51937482</v>
      </c>
      <c r="AX229" s="3">
        <f>AW229+SUM(AX227:AX228)</f>
        <v>48591.51937482</v>
      </c>
      <c r="AY229" s="3">
        <f>AX229+SUM(AY227:AY228)</f>
        <v>48591.51937482</v>
      </c>
      <c r="AZ229" s="3">
        <f>AY229+SUM(AZ227:AZ228)</f>
        <v>48591.51937482</v>
      </c>
      <c r="BA229" s="3" t="n"/>
      <c r="BB229" s="3">
        <f>AZ229+SUM(BB227:BB228)</f>
        <v>48591.51937482</v>
      </c>
      <c r="BC229" s="3">
        <f>BB229+SUM(BC227:BC228)</f>
        <v>48591.51937482</v>
      </c>
      <c r="BD229" s="3">
        <f>BC229+SUM(BD227:BD228)</f>
        <v>48591.51937482</v>
      </c>
      <c r="BE229" s="3">
        <f>BD229+SUM(BE227:BE228)</f>
        <v>48591.51937482</v>
      </c>
      <c r="BF229" s="3" t="n"/>
      <c r="BG229" s="3">
        <f>BE229+SUM(BG227:BG228)</f>
        <v>48591.51937482</v>
      </c>
      <c r="BH229" s="3">
        <f>BG229+SUM(BH227:BH228)</f>
        <v>48591.51937482</v>
      </c>
      <c r="BI229" s="3">
        <f>BH229+SUM(BI227:BI228)</f>
        <v>48591.51937482</v>
      </c>
      <c r="BJ229" s="3">
        <f>BI229+SUM(BJ227:BJ228)</f>
        <v>48591.51937482</v>
      </c>
      <c r="BK229" s="3" t="n"/>
      <c r="BL229" s="3">
        <f>BJ229+SUM(BL227:BL228)</f>
        <v>48591.51937482</v>
      </c>
      <c r="BM229" s="3">
        <f>BL229+SUM(BM227:BM228)</f>
        <v>48591.51937482</v>
      </c>
      <c r="BN229" s="3">
        <f>BM229+SUM(BN227:BN228)</f>
        <v>48591.51937482</v>
      </c>
      <c r="BO229" s="3">
        <f>BN229+SUM(BO227:BO228)</f>
        <v>48591.51937482</v>
      </c>
      <c r="BP229" s="3" t="n"/>
      <c r="BQ229" s="3">
        <f>BO229+SUM(BQ227:BQ228)</f>
        <v>48591.51937482</v>
      </c>
      <c r="BR229" s="3">
        <f>BQ229+SUM(BR227:BR228)</f>
        <v>48591.51937482</v>
      </c>
      <c r="BS229" s="3">
        <f>BR229+SUM(BS227:BS228)</f>
        <v>48591.51937482</v>
      </c>
      <c r="BT229" s="3">
        <f>BS229+SUM(BT227:BT228)</f>
        <v>48591.51937482</v>
      </c>
      <c r="BU229" s="3" t="n"/>
      <c r="BV229" s="3">
        <f>BT229+SUM(BV227:BV228)</f>
        <v>48591.51937482</v>
      </c>
      <c r="BW229" s="3">
        <f>BV229+SUM(BW227:BW228)</f>
        <v>48591.51937482</v>
      </c>
      <c r="BX229" s="3">
        <f>BW229+SUM(BX227:BX228)</f>
        <v>48591.51937482</v>
      </c>
      <c r="BY229" s="3">
        <f>BX229+SUM(BY227:BY228)</f>
        <v>48591.51937482</v>
      </c>
      <c r="BZ229" s="3" t="n"/>
      <c r="CA229" s="3">
        <f>BY229+SUM(CA227:CA228)</f>
        <v>48591.51937482</v>
      </c>
      <c r="CB229" s="3">
        <f>CA229+SUM(CB227:CB228)</f>
        <v>48591.51937482</v>
      </c>
      <c r="CC229" s="3">
        <f>CB229+SUM(CC227:CC228)</f>
        <v>48591.51937482</v>
      </c>
      <c r="CD229" s="3">
        <f>CC229+SUM(CD227:CD228)</f>
        <v>48591.51937482</v>
      </c>
      <c r="CE229" s="3" t="n"/>
      <c r="CF229" s="3">
        <f>CD229+SUM(CF227:CF228)</f>
        <v>48591.51937482</v>
      </c>
      <c r="CG229" s="3">
        <f>CF229+SUM(CG227:CG228)</f>
        <v>48591.51937482</v>
      </c>
      <c r="CH229" s="3">
        <f>CG229+SUM(CH227:CH228)</f>
        <v>48591.51937482</v>
      </c>
      <c r="CI229" s="3">
        <f>CH229+SUM(CI227:CI228)</f>
        <v>48591.51937482</v>
      </c>
      <c r="CJ229" s="3" t="n"/>
      <c r="CK229" s="3">
        <f>CI229+SUM(CK227:CK228)</f>
        <v>48591.51937482</v>
      </c>
      <c r="CL229" s="3">
        <f>CK229+SUM(CL227:CL228)</f>
        <v>48591.51937482</v>
      </c>
      <c r="CM229" s="3">
        <f>CL229+SUM(CM227:CM228)</f>
        <v>48591.51937482</v>
      </c>
      <c r="CN229" s="3">
        <f>CM229+SUM(CN227:CN228)</f>
        <v>48591.51937482</v>
      </c>
      <c r="CO229" s="3" t="n"/>
      <c r="CP229" s="3">
        <f>CN229+SUM(CP227:CP228)</f>
        <v>48591.51937482</v>
      </c>
      <c r="CQ229" s="3">
        <f>CP229+SUM(CQ227:CQ228)</f>
        <v>48591.51937482</v>
      </c>
      <c r="CR229" s="3">
        <f>CQ229+SUM(CR227:CR228)</f>
        <v>48591.51937482</v>
      </c>
      <c r="CS229" s="3">
        <f>CR229+SUM(CS227:CS228)</f>
        <v>48591.51937482</v>
      </c>
      <c r="CT229" s="3" t="n"/>
      <c r="CU229" s="3">
        <f>CS229+SUM(CU227:CU228)</f>
        <v>48591.51937482</v>
      </c>
      <c r="CV229" s="3">
        <f>CU229+SUM(CV227:CV228)</f>
        <v>48591.51937482</v>
      </c>
      <c r="CW229" s="3">
        <f>CV229+SUM(CW227:CW228)</f>
        <v>48591.51937482</v>
      </c>
      <c r="CX229" s="3">
        <f>CW229+SUM(CX227:CX228)</f>
        <v>48591.51937482</v>
      </c>
      <c r="CY229" s="3" t="n"/>
      <c r="CZ229">
        <f>CX229+SUM(CZ227:CZ228)</f>
        <v>48591.51937482</v>
      </c>
      <c r="DA229">
        <f>CZ229+SUM(DA227:DA228)</f>
        <v>48591.51937482</v>
      </c>
      <c r="DB229">
        <f>DA229+SUM(DB227:DB228)</f>
        <v>48591.51937482</v>
      </c>
      <c r="DC229">
        <f>DB229+SUM(DC227:DC228)</f>
        <v>48591.51937482</v>
      </c>
    </row>
    <row r="230" hidden="1" outlineLevel="1">
      <c r="C230" s="34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  <c r="AW230" s="3" t="n"/>
      <c r="AX230" s="3" t="n"/>
      <c r="AY230" s="3" t="n"/>
      <c r="AZ230" s="3" t="n"/>
      <c r="BA230" s="3" t="n"/>
      <c r="BB230" s="3" t="n"/>
      <c r="BC230" s="3" t="n"/>
      <c r="BD230" s="3" t="n"/>
      <c r="BE230" s="3" t="n"/>
      <c r="BF230" s="3" t="n"/>
      <c r="BG230" s="3" t="n"/>
      <c r="BH230" s="3" t="n"/>
      <c r="BI230" s="3" t="n"/>
      <c r="BJ230" s="3" t="n"/>
      <c r="BK230" s="3" t="n"/>
      <c r="BL230" s="3" t="n"/>
      <c r="BM230" s="3" t="n"/>
      <c r="BN230" s="3" t="n"/>
      <c r="BO230" s="3" t="n"/>
      <c r="BP230" s="3" t="n"/>
      <c r="BQ230" s="3" t="n"/>
      <c r="BR230" s="3" t="n"/>
      <c r="BS230" s="3" t="n"/>
      <c r="BT230" s="3" t="n"/>
      <c r="BU230" s="3" t="n"/>
      <c r="BV230" s="3" t="n"/>
      <c r="BW230" s="3" t="n"/>
      <c r="BX230" s="3" t="n"/>
      <c r="BY230" s="3" t="n"/>
      <c r="BZ230" s="3" t="n"/>
      <c r="CA230" s="3" t="n"/>
      <c r="CB230" s="3" t="n"/>
      <c r="CC230" s="3" t="n"/>
      <c r="CD230" s="3" t="n"/>
      <c r="CE230" s="3" t="n"/>
      <c r="CF230" s="3" t="n"/>
      <c r="CG230" s="3" t="n"/>
      <c r="CH230" s="3" t="n"/>
      <c r="CI230" s="3" t="n"/>
      <c r="CJ230" s="3" t="n"/>
      <c r="CK230" s="3" t="n"/>
      <c r="CL230" s="3" t="n"/>
      <c r="CM230" s="3" t="n"/>
      <c r="CN230" s="3" t="n"/>
      <c r="CO230" s="3" t="n"/>
      <c r="CP230" s="3" t="n"/>
      <c r="CQ230" s="3" t="n"/>
      <c r="CR230" s="3" t="n"/>
      <c r="CS230" s="3" t="n"/>
      <c r="CT230" s="3" t="n"/>
      <c r="CU230" s="3" t="n"/>
      <c r="CV230" s="3" t="n"/>
      <c r="CW230" s="3" t="n"/>
      <c r="CX230" s="3" t="n"/>
      <c r="CY230" s="3" t="n"/>
    </row>
    <row r="231" hidden="1" outlineLevel="1">
      <c r="C231" s="34" t="inlineStr">
        <is>
          <t>Discretionary (paydown)/borrowing of convertible debt</t>
        </is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5" t="n"/>
      <c r="AI231" s="35" t="n"/>
      <c r="AJ231" s="35" t="n"/>
      <c r="AK231" s="35" t="n"/>
      <c r="AL231" s="3" t="n"/>
      <c r="AM231" s="35" t="n"/>
      <c r="AN231" s="35" t="n"/>
      <c r="AO231" s="35" t="n"/>
      <c r="AP231" s="35" t="n"/>
      <c r="AQ231" s="3" t="n"/>
      <c r="AR231" s="35" t="n"/>
      <c r="AS231" s="35" t="n"/>
      <c r="AT231" s="35" t="n"/>
      <c r="AU231" s="35" t="n"/>
      <c r="AV231" s="3" t="n"/>
      <c r="AW231" s="35" t="n"/>
      <c r="AX231" s="35" t="n"/>
      <c r="AY231" s="35" t="n"/>
      <c r="AZ231" s="35" t="n"/>
      <c r="BA231" s="3" t="n"/>
      <c r="BB231" s="35" t="n"/>
      <c r="BC231" s="35" t="n"/>
      <c r="BD231" s="35" t="n"/>
      <c r="BE231" s="35" t="n"/>
      <c r="BF231" s="3" t="n"/>
      <c r="BG231" s="35" t="n"/>
      <c r="BH231" s="35" t="n"/>
      <c r="BI231" s="35" t="n"/>
      <c r="BJ231" s="35" t="n"/>
      <c r="BK231" s="3" t="n"/>
      <c r="BL231" s="35" t="n"/>
      <c r="BM231" s="35" t="n"/>
      <c r="BN231" s="35" t="n"/>
      <c r="BO231" s="35" t="n"/>
      <c r="BP231" s="3" t="n"/>
      <c r="BQ231" s="35" t="n"/>
      <c r="BR231" s="35" t="n"/>
      <c r="BS231" s="35" t="n"/>
      <c r="BT231" s="35" t="n"/>
      <c r="BU231" s="3" t="n"/>
      <c r="BV231" s="35" t="n"/>
      <c r="BW231" s="35" t="n"/>
      <c r="BX231" s="35" t="n"/>
      <c r="BY231" s="35" t="n"/>
      <c r="BZ231" s="3" t="n"/>
      <c r="CA231" s="35" t="n"/>
      <c r="CB231" s="35" t="n"/>
      <c r="CC231" s="35" t="n"/>
      <c r="CD231" s="35" t="n"/>
      <c r="CE231" s="3" t="n"/>
      <c r="CF231" s="35" t="n"/>
      <c r="CG231" s="35" t="n"/>
      <c r="CH231" s="35" t="n"/>
      <c r="CI231" s="35" t="n"/>
      <c r="CJ231" s="3" t="n"/>
      <c r="CK231" s="35" t="n"/>
      <c r="CL231" s="35" t="n"/>
      <c r="CM231" s="35" t="n"/>
      <c r="CN231" s="35" t="n"/>
      <c r="CO231" s="3" t="n"/>
      <c r="CP231" s="35" t="n"/>
      <c r="CQ231" s="35" t="n"/>
      <c r="CR231" s="35" t="n"/>
      <c r="CS231" s="35" t="n"/>
      <c r="CT231" s="3" t="n"/>
      <c r="CU231" s="35" t="n"/>
      <c r="CV231" s="35" t="n"/>
      <c r="CW231" s="35" t="n"/>
      <c r="CX231" s="35" t="n"/>
      <c r="CY231" s="3" t="n"/>
    </row>
    <row r="232" hidden="1" outlineLevel="1">
      <c r="C232" s="34" t="inlineStr">
        <is>
          <t>Convertible debt</t>
        </is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>
        <f>AH244</f>
        <v>0</v>
      </c>
      <c r="AI232" s="3">
        <f>AH232+SUM(AI231)</f>
        <v>0</v>
      </c>
      <c r="AJ232" s="3">
        <f>AI232+SUM(AJ231)</f>
        <v>0</v>
      </c>
      <c r="AK232" s="3">
        <f>AJ232+SUM(AK231)</f>
        <v>0</v>
      </c>
      <c r="AL232" s="3" t="n"/>
      <c r="AM232" s="3">
        <f>AM244</f>
        <v>0</v>
      </c>
      <c r="AN232" s="3">
        <f>AM232+SUM(AN231)</f>
        <v>0</v>
      </c>
      <c r="AO232" s="3">
        <f>AN232+SUM(AO231)</f>
        <v>0</v>
      </c>
      <c r="AP232" s="3">
        <f>AO232+SUM(AP231)</f>
        <v>0</v>
      </c>
      <c r="AQ232" s="3" t="n"/>
      <c r="AR232" s="3">
        <f>AR244</f>
        <v>0</v>
      </c>
      <c r="AS232" s="3">
        <f>AR232+SUM(AS231)</f>
        <v>0</v>
      </c>
      <c r="AT232" s="3">
        <f>AS232+SUM(AT231)</f>
        <v>0</v>
      </c>
      <c r="AU232" s="3">
        <f>AT232+SUM(AU231)</f>
        <v>0</v>
      </c>
      <c r="AV232" s="3" t="n"/>
      <c r="AW232" s="3">
        <f>AW244</f>
        <v>0</v>
      </c>
      <c r="AX232" s="3">
        <f>AW232+SUM(AX231)</f>
        <v>0</v>
      </c>
      <c r="AY232" s="3">
        <f>AX232+SUM(AY231)</f>
        <v>0</v>
      </c>
      <c r="AZ232" s="3">
        <f>AY232+SUM(AZ231)</f>
        <v>0</v>
      </c>
      <c r="BA232" s="3" t="n"/>
      <c r="BB232" s="3">
        <f>BB244</f>
        <v>0</v>
      </c>
      <c r="BC232" s="3">
        <f>BB232+SUM(BC231)</f>
        <v>0</v>
      </c>
      <c r="BD232" s="3">
        <f>BC232+SUM(BD231)</f>
        <v>0</v>
      </c>
      <c r="BE232" s="3">
        <f>BD232+SUM(BE231)</f>
        <v>0</v>
      </c>
      <c r="BF232" s="3" t="n"/>
      <c r="BG232" s="3">
        <f>BG244</f>
        <v>0</v>
      </c>
      <c r="BH232" s="3">
        <f>BG232+SUM(BH231)</f>
        <v>0</v>
      </c>
      <c r="BI232" s="3">
        <f>BH232+SUM(BI231)</f>
        <v>0</v>
      </c>
      <c r="BJ232" s="3">
        <f>BI232+SUM(BJ231)</f>
        <v>0</v>
      </c>
      <c r="BK232" s="3" t="n"/>
      <c r="BL232" s="3">
        <f>BL244</f>
        <v>0</v>
      </c>
      <c r="BM232" s="3">
        <f>BL232+SUM(BM231)</f>
        <v>0</v>
      </c>
      <c r="BN232" s="3">
        <f>BM232+SUM(BN231)</f>
        <v>0</v>
      </c>
      <c r="BO232" s="3">
        <f>BN232+SUM(BO231)</f>
        <v>0</v>
      </c>
      <c r="BP232" s="3" t="n"/>
      <c r="BQ232" s="3">
        <f>BQ244</f>
        <v>0</v>
      </c>
      <c r="BR232" s="3">
        <f>BQ232+SUM(BR231)</f>
        <v>0</v>
      </c>
      <c r="BS232" s="3">
        <f>BR232+SUM(BS231)</f>
        <v>0</v>
      </c>
      <c r="BT232" s="3">
        <f>BS232+SUM(BT231)</f>
        <v>0</v>
      </c>
      <c r="BU232" s="3" t="n"/>
      <c r="BV232" s="3">
        <f>BV244</f>
        <v>0</v>
      </c>
      <c r="BW232" s="3">
        <f>BV232+SUM(BW231)</f>
        <v>0</v>
      </c>
      <c r="BX232" s="3">
        <f>BW232+SUM(BX231)</f>
        <v>0</v>
      </c>
      <c r="BY232" s="3">
        <f>BX232+SUM(BY231)</f>
        <v>0</v>
      </c>
      <c r="BZ232" s="3" t="n"/>
      <c r="CA232" s="3">
        <f>CA244</f>
        <v>0</v>
      </c>
      <c r="CB232" s="3">
        <f>CA232+SUM(CB231)</f>
        <v>0</v>
      </c>
      <c r="CC232" s="3">
        <f>CB232+SUM(CC231)</f>
        <v>0</v>
      </c>
      <c r="CD232" s="3">
        <f>CC232+SUM(CD231)</f>
        <v>0</v>
      </c>
      <c r="CE232" s="3" t="n"/>
      <c r="CF232" s="3">
        <f>CF244</f>
        <v>0</v>
      </c>
      <c r="CG232" s="3">
        <f>CF232+SUM(CG231)</f>
        <v>0</v>
      </c>
      <c r="CH232" s="3">
        <f>CG232+SUM(CH231)</f>
        <v>0</v>
      </c>
      <c r="CI232" s="3">
        <f>CH232+SUM(CI231)</f>
        <v>0</v>
      </c>
      <c r="CJ232" s="3" t="n"/>
      <c r="CK232" s="3">
        <f>CK244</f>
        <v>0</v>
      </c>
      <c r="CL232" s="3">
        <f>CK232+SUM(CL231)</f>
        <v>0</v>
      </c>
      <c r="CM232" s="3">
        <f>CL232+SUM(CM231)</f>
        <v>0</v>
      </c>
      <c r="CN232" s="3">
        <f>CM232+SUM(CN231)</f>
        <v>0</v>
      </c>
      <c r="CO232" s="3" t="n"/>
      <c r="CP232" s="3">
        <f>CP244</f>
        <v>0</v>
      </c>
      <c r="CQ232" s="3">
        <f>CP232+SUM(CQ231)</f>
        <v>0</v>
      </c>
      <c r="CR232" s="3">
        <f>CQ232+SUM(CR231)</f>
        <v>0</v>
      </c>
      <c r="CS232" s="3">
        <f>CR232+SUM(CS231)</f>
        <v>0</v>
      </c>
      <c r="CT232" s="3" t="n"/>
      <c r="CU232" s="3">
        <f>CU244</f>
        <v>0</v>
      </c>
      <c r="CV232" s="3">
        <f>CU232+SUM(CV231)</f>
        <v>0</v>
      </c>
      <c r="CW232" s="3">
        <f>CV232+SUM(CW231)</f>
        <v>0</v>
      </c>
      <c r="CX232" s="3">
        <f>CW232+SUM(CX231)</f>
        <v>0</v>
      </c>
      <c r="CY232" s="3" t="n"/>
    </row>
    <row r="233" hidden="1" outlineLevel="1">
      <c r="C233" s="34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I233" s="3" t="n"/>
      <c r="AJ233" s="3" t="n"/>
      <c r="AK233" s="3" t="n"/>
      <c r="AL233" s="3" t="n"/>
      <c r="AN233" s="3" t="n"/>
      <c r="AO233" s="3" t="n"/>
      <c r="AP233" s="3" t="n"/>
      <c r="AQ233" s="3" t="n"/>
      <c r="AS233" s="3" t="n"/>
      <c r="AT233" s="3" t="n"/>
      <c r="AU233" s="3" t="n"/>
      <c r="AV233" s="3" t="n"/>
      <c r="AX233" s="3" t="n"/>
      <c r="AY233" s="3" t="n"/>
      <c r="AZ233" s="3" t="n"/>
      <c r="BA233" s="3" t="n"/>
      <c r="BC233" s="3" t="n"/>
      <c r="BD233" s="3" t="n"/>
      <c r="BE233" s="3" t="n"/>
      <c r="BF233" s="3" t="n"/>
      <c r="BH233" s="3" t="n"/>
      <c r="BI233" s="3" t="n"/>
      <c r="BJ233" s="3" t="n"/>
      <c r="BK233" s="3" t="n"/>
      <c r="BM233" s="3" t="n"/>
      <c r="BN233" s="3" t="n"/>
      <c r="BO233" s="3" t="n"/>
      <c r="BP233" s="3" t="n"/>
      <c r="BR233" s="3" t="n"/>
      <c r="BS233" s="3" t="n"/>
      <c r="BT233" s="3" t="n"/>
      <c r="BU233" s="3" t="n"/>
      <c r="BW233" s="3" t="n"/>
      <c r="BX233" s="3" t="n"/>
      <c r="BY233" s="3" t="n"/>
      <c r="BZ233" s="3" t="n"/>
      <c r="CB233" s="3" t="n"/>
      <c r="CC233" s="3" t="n"/>
      <c r="CD233" s="3" t="n"/>
      <c r="CE233" s="3" t="n"/>
      <c r="CG233" s="3" t="n"/>
      <c r="CH233" s="3" t="n"/>
      <c r="CI233" s="3" t="n"/>
      <c r="CJ233" s="3" t="n"/>
      <c r="CL233" s="3" t="n"/>
      <c r="CM233" s="3" t="n"/>
      <c r="CN233" s="3" t="n"/>
      <c r="CO233" s="3" t="n"/>
      <c r="CQ233" s="3" t="n"/>
      <c r="CR233" s="3" t="n"/>
      <c r="CS233" s="3" t="n"/>
      <c r="CT233" s="3" t="n"/>
      <c r="CV233" s="3" t="n"/>
      <c r="CW233" s="3" t="n"/>
      <c r="CX233" s="3" t="n"/>
      <c r="CY233" s="3" t="n"/>
    </row>
    <row r="234" hidden="1" outlineLevel="1">
      <c r="C234" s="34" t="inlineStr">
        <is>
          <t>Calculation of short term debt</t>
        </is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/>
      <c r="AV234" s="3" t="n"/>
      <c r="AW234" s="3" t="n"/>
      <c r="AX234" s="3" t="n"/>
      <c r="AY234" s="3" t="n"/>
      <c r="AZ234" s="3" t="n"/>
      <c r="BA234" s="3" t="n"/>
      <c r="BB234" s="3" t="n"/>
      <c r="BC234" s="3" t="n"/>
      <c r="BD234" s="3" t="n"/>
      <c r="BE234" s="3" t="n"/>
      <c r="BF234" s="3" t="n"/>
      <c r="BG234" s="3" t="n"/>
      <c r="BH234" s="3" t="n"/>
      <c r="BI234" s="3" t="n"/>
      <c r="BJ234" s="3" t="n"/>
      <c r="BK234" s="3" t="n"/>
      <c r="BL234" s="3" t="n"/>
      <c r="BM234" s="3" t="n"/>
      <c r="BN234" s="3" t="n"/>
      <c r="BO234" s="3" t="n"/>
      <c r="BP234" s="3" t="n"/>
      <c r="BQ234" s="3" t="n"/>
      <c r="BR234" s="3" t="n"/>
      <c r="BS234" s="3" t="n"/>
      <c r="BT234" s="3" t="n"/>
      <c r="BU234" s="3" t="n"/>
      <c r="BV234" s="3" t="n"/>
      <c r="BW234" s="3" t="n"/>
      <c r="BX234" s="3" t="n"/>
      <c r="BY234" s="3" t="n"/>
      <c r="BZ234" s="3" t="n"/>
      <c r="CA234" s="3" t="n"/>
      <c r="CB234" s="3" t="n"/>
      <c r="CC234" s="3" t="n"/>
      <c r="CD234" s="3" t="n"/>
      <c r="CE234" s="3" t="n"/>
      <c r="CF234" s="3" t="n"/>
      <c r="CG234" s="3" t="n"/>
      <c r="CH234" s="3" t="n"/>
      <c r="CI234" s="3" t="n"/>
      <c r="CJ234" s="3" t="n"/>
      <c r="CK234" s="3" t="n"/>
      <c r="CL234" s="3" t="n"/>
      <c r="CM234" s="3" t="n"/>
      <c r="CN234" s="3" t="n"/>
      <c r="CO234" s="3" t="n"/>
      <c r="CP234" s="3" t="n"/>
      <c r="CQ234" s="3" t="n"/>
      <c r="CR234" s="3" t="n"/>
      <c r="CS234" s="3" t="n"/>
      <c r="CT234" s="3" t="n"/>
      <c r="CU234" s="3" t="n"/>
      <c r="CV234" s="3" t="n"/>
      <c r="CW234" s="3" t="n"/>
      <c r="CX234" s="3" t="n"/>
      <c r="CY234" s="3" t="n"/>
    </row>
    <row r="235" hidden="1" outlineLevel="1">
      <c r="C235" s="34" t="inlineStr">
        <is>
          <t>Cash @ beginning of the period (end of last period)</t>
        </is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6">
        <f>AG150</f>
        <v>17019.45165328</v>
      </c>
      <c r="AI235" s="3" t="n"/>
      <c r="AJ235" s="3" t="n"/>
      <c r="AK235" s="3" t="n"/>
      <c r="AL235" s="3" t="n"/>
      <c r="AM235" s="36">
        <f>AL150</f>
        <v>23470.80796402</v>
      </c>
      <c r="AN235" s="3" t="n"/>
      <c r="AO235" s="3" t="n"/>
      <c r="AP235" s="3" t="n"/>
      <c r="AQ235" s="3" t="n"/>
      <c r="AR235" s="36" t="e">
        <f>AQ150</f>
        <v>#DIV/0!</v>
      </c>
      <c r="AS235" s="3" t="n"/>
      <c r="AT235" s="3" t="n"/>
      <c r="AU235" s="3" t="n"/>
      <c r="AV235" s="3" t="n"/>
      <c r="AW235" s="36" t="e">
        <f>AV150</f>
        <v>#DIV/0!</v>
      </c>
      <c r="AX235" s="3" t="n"/>
      <c r="AY235" s="3" t="n"/>
      <c r="AZ235" s="3" t="n"/>
      <c r="BA235" s="3" t="n"/>
      <c r="BB235" s="36" t="e">
        <f>BA150</f>
        <v>#DIV/0!</v>
      </c>
      <c r="BC235" s="3" t="n"/>
      <c r="BD235" s="3" t="n"/>
      <c r="BE235" s="3" t="n"/>
      <c r="BF235" s="3" t="n"/>
      <c r="BG235" s="36" t="e">
        <f>BF150</f>
        <v>#DIV/0!</v>
      </c>
      <c r="BH235" s="3" t="n"/>
      <c r="BI235" s="3" t="n"/>
      <c r="BJ235" s="3" t="n"/>
      <c r="BK235" s="3" t="n"/>
      <c r="BL235" s="36" t="e">
        <f>BK150</f>
        <v>#DIV/0!</v>
      </c>
      <c r="BM235" s="3" t="n"/>
      <c r="BN235" s="3" t="n"/>
      <c r="BO235" s="3" t="n"/>
      <c r="BP235" s="3" t="n"/>
      <c r="BQ235" s="36" t="e">
        <f>BP150</f>
        <v>#DIV/0!</v>
      </c>
      <c r="BR235" s="3" t="n"/>
      <c r="BS235" s="3" t="n"/>
      <c r="BT235" s="3" t="n"/>
      <c r="BU235" s="3" t="n"/>
      <c r="BV235" s="36" t="e">
        <f>BU150</f>
        <v>#DIV/0!</v>
      </c>
      <c r="BW235" s="3" t="n"/>
      <c r="BX235" s="3" t="n"/>
      <c r="BY235" s="3" t="n"/>
      <c r="BZ235" s="3" t="n"/>
      <c r="CA235" s="36" t="e">
        <f>BZ150</f>
        <v>#DIV/0!</v>
      </c>
      <c r="CB235" s="3" t="n"/>
      <c r="CC235" s="3" t="n"/>
      <c r="CD235" s="3" t="n"/>
      <c r="CE235" s="3" t="n"/>
      <c r="CF235" s="36" t="e">
        <f>CE150</f>
        <v>#DIV/0!</v>
      </c>
      <c r="CG235" s="3" t="n"/>
      <c r="CH235" s="3" t="n"/>
      <c r="CI235" s="3" t="n"/>
      <c r="CJ235" s="3" t="n"/>
      <c r="CK235" s="36" t="e">
        <f>CJ150</f>
        <v>#DIV/0!</v>
      </c>
      <c r="CL235" s="3" t="n"/>
      <c r="CM235" s="3" t="n"/>
      <c r="CN235" s="3" t="n"/>
      <c r="CO235" s="3" t="n"/>
      <c r="CP235" s="36" t="e">
        <f>CO150</f>
        <v>#DIV/0!</v>
      </c>
      <c r="CQ235" s="3" t="n"/>
      <c r="CR235" s="3" t="n"/>
      <c r="CS235" s="3" t="n"/>
      <c r="CT235" s="3" t="n"/>
      <c r="CU235" s="36" t="e">
        <f>CT150</f>
        <v>#DIV/0!</v>
      </c>
      <c r="CV235" s="3" t="n"/>
      <c r="CW235" s="3" t="n"/>
      <c r="CX235" s="3" t="n"/>
      <c r="CY235" s="3" t="n"/>
    </row>
    <row r="236" hidden="1" outlineLevel="1">
      <c r="C236" s="34" t="inlineStr">
        <is>
          <t>Plus: Free cash flows prior to debt during period</t>
        </is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inlineStr">
        <is>
          <t>% of sales</t>
        </is>
      </c>
      <c r="AH236" s="37">
        <f>SUM(AH299,AH306)+SUM(AH308:AH314)</f>
        <v>-310.640244070017</v>
      </c>
      <c r="AI236" s="37">
        <f>SUM(AI299,AI306)+SUM(AI308:AI314)</f>
        <v>896.02998213001</v>
      </c>
      <c r="AJ236" s="37">
        <f>SUM(AJ299,AJ306)+SUM(AJ308:AJ314)</f>
        <v>4658.90165007</v>
      </c>
      <c r="AK236" s="37">
        <f>SUM(AK299,AK306)+SUM(AK308:AK314)</f>
        <v>668.46021238</v>
      </c>
      <c r="AL236" s="3" t="n"/>
      <c r="AM236" s="37" t="e">
        <f>SUM(AM299,AM306)+SUM(AM308:AM314)</f>
        <v>#DIV/0!</v>
      </c>
      <c r="AN236" s="37" t="e">
        <f>SUM(AN299,AN306)+SUM(AN308:AN314)</f>
        <v>#DIV/0!</v>
      </c>
      <c r="AO236" s="37" t="e">
        <f>SUM(AO299,AO306)+SUM(AO308:AO314)</f>
        <v>#DIV/0!</v>
      </c>
      <c r="AP236" s="37" t="e">
        <f>SUM(AP299,AP306)+SUM(AP308:AP314)</f>
        <v>#DIV/0!</v>
      </c>
      <c r="AQ236" s="3" t="n"/>
      <c r="AR236" s="37" t="e">
        <f>SUM(AR299,AR306)+SUM(AR308:AR314)</f>
        <v>#DIV/0!</v>
      </c>
      <c r="AS236" s="37" t="e">
        <f>SUM(AS299,AS306)+SUM(AS308:AS314)</f>
        <v>#DIV/0!</v>
      </c>
      <c r="AT236" s="37" t="e">
        <f>SUM(AT299,AT306)+SUM(AT308:AT314)</f>
        <v>#DIV/0!</v>
      </c>
      <c r="AU236" s="37" t="e">
        <f>SUM(AU299,AU306)+SUM(AU308:AU314)</f>
        <v>#DIV/0!</v>
      </c>
      <c r="AV236" s="3" t="n"/>
      <c r="AW236" s="37" t="e">
        <f>SUM(AW299,AW306)+SUM(AW308:AW314)</f>
        <v>#DIV/0!</v>
      </c>
      <c r="AX236" s="37" t="e">
        <f>SUM(AX299,AX306)+SUM(AX308:AX314)</f>
        <v>#DIV/0!</v>
      </c>
      <c r="AY236" s="37" t="e">
        <f>SUM(AY299,AY306)+SUM(AY308:AY314)</f>
        <v>#DIV/0!</v>
      </c>
      <c r="AZ236" s="37" t="e">
        <f>SUM(AZ299,AZ306)+SUM(AZ308:AZ314)</f>
        <v>#DIV/0!</v>
      </c>
      <c r="BA236" s="3" t="n"/>
      <c r="BB236" s="37" t="e">
        <f>SUM(BB299,BB306)+SUM(BB308:BB314)</f>
        <v>#DIV/0!</v>
      </c>
      <c r="BC236" s="37" t="e">
        <f>SUM(BC299,BC306)+SUM(BC308:BC314)</f>
        <v>#DIV/0!</v>
      </c>
      <c r="BD236" s="37" t="e">
        <f>SUM(BD299,BD306)+SUM(BD308:BD314)</f>
        <v>#DIV/0!</v>
      </c>
      <c r="BE236" s="37" t="e">
        <f>SUM(BE299,BE306)+SUM(BE308:BE314)</f>
        <v>#DIV/0!</v>
      </c>
      <c r="BF236" s="3" t="n"/>
      <c r="BG236" s="37" t="e">
        <f>SUM(BG299,BG306)+SUM(BG308:BG314)</f>
        <v>#DIV/0!</v>
      </c>
      <c r="BH236" s="37" t="e">
        <f>SUM(BH299,BH306)+SUM(BH308:BH314)</f>
        <v>#DIV/0!</v>
      </c>
      <c r="BI236" s="37" t="e">
        <f>SUM(BI299,BI306)+SUM(BI308:BI314)</f>
        <v>#DIV/0!</v>
      </c>
      <c r="BJ236" s="37" t="e">
        <f>SUM(BJ299,BJ306)+SUM(BJ308:BJ314)</f>
        <v>#DIV/0!</v>
      </c>
      <c r="BK236" s="3" t="n"/>
      <c r="BL236" s="37" t="e">
        <f>SUM(BL299,BL306)+SUM(BL308:BL314)</f>
        <v>#DIV/0!</v>
      </c>
      <c r="BM236" s="37" t="e">
        <f>SUM(BM299,BM306)+SUM(BM308:BM314)</f>
        <v>#DIV/0!</v>
      </c>
      <c r="BN236" s="37" t="e">
        <f>SUM(BN299,BN306)+SUM(BN308:BN314)</f>
        <v>#DIV/0!</v>
      </c>
      <c r="BO236" s="37" t="e">
        <f>SUM(BO299,BO306)+SUM(BO308:BO314)</f>
        <v>#DIV/0!</v>
      </c>
      <c r="BP236" s="3" t="n"/>
      <c r="BQ236" s="37" t="e">
        <f>SUM(BQ299,BQ306)+SUM(BQ308:BQ314)</f>
        <v>#DIV/0!</v>
      </c>
      <c r="BR236" s="37" t="e">
        <f>SUM(BR299,BR306)+SUM(BR308:BR314)</f>
        <v>#DIV/0!</v>
      </c>
      <c r="BS236" s="37" t="e">
        <f>SUM(BS299,BS306)+SUM(BS308:BS314)</f>
        <v>#DIV/0!</v>
      </c>
      <c r="BT236" s="37" t="e">
        <f>SUM(BT299,BT306)+SUM(BT308:BT314)</f>
        <v>#DIV/0!</v>
      </c>
      <c r="BU236" s="3" t="n"/>
      <c r="BV236" s="37" t="e">
        <f>SUM(BV299,BV306)+SUM(BV308:BV314)</f>
        <v>#DIV/0!</v>
      </c>
      <c r="BW236" s="37" t="e">
        <f>SUM(BW299,BW306)+SUM(BW308:BW314)</f>
        <v>#DIV/0!</v>
      </c>
      <c r="BX236" s="37" t="e">
        <f>SUM(BX299,BX306)+SUM(BX308:BX314)</f>
        <v>#DIV/0!</v>
      </c>
      <c r="BY236" s="37" t="e">
        <f>SUM(BY299,BY306)+SUM(BY308:BY314)</f>
        <v>#DIV/0!</v>
      </c>
      <c r="BZ236" s="3" t="n"/>
      <c r="CA236" s="37" t="e">
        <f>SUM(CA299,CA306)+SUM(CA308:CA314)</f>
        <v>#DIV/0!</v>
      </c>
      <c r="CB236" s="37" t="e">
        <f>SUM(CB299,CB306)+SUM(CB308:CB314)</f>
        <v>#DIV/0!</v>
      </c>
      <c r="CC236" s="37" t="e">
        <f>SUM(CC299,CC306)+SUM(CC308:CC314)</f>
        <v>#DIV/0!</v>
      </c>
      <c r="CD236" s="37" t="e">
        <f>SUM(CD299,CD306)+SUM(CD308:CD314)</f>
        <v>#DIV/0!</v>
      </c>
      <c r="CE236" s="3" t="n"/>
      <c r="CF236" s="37" t="e">
        <f>SUM(CF299,CF306)+SUM(CF308:CF314)</f>
        <v>#DIV/0!</v>
      </c>
      <c r="CG236" s="37" t="e">
        <f>SUM(CG299,CG306)+SUM(CG308:CG314)</f>
        <v>#DIV/0!</v>
      </c>
      <c r="CH236" s="37" t="e">
        <f>SUM(CH299,CH306)+SUM(CH308:CH314)</f>
        <v>#DIV/0!</v>
      </c>
      <c r="CI236" s="37" t="e">
        <f>SUM(CI299,CI306)+SUM(CI308:CI314)</f>
        <v>#DIV/0!</v>
      </c>
      <c r="CJ236" s="3" t="n"/>
      <c r="CK236" s="37" t="e">
        <f>SUM(CK299,CK306)+SUM(CK308:CK314)</f>
        <v>#DIV/0!</v>
      </c>
      <c r="CL236" s="37" t="e">
        <f>SUM(CL299,CL306)+SUM(CL308:CL314)</f>
        <v>#DIV/0!</v>
      </c>
      <c r="CM236" s="37" t="e">
        <f>SUM(CM299,CM306)+SUM(CM308:CM314)</f>
        <v>#DIV/0!</v>
      </c>
      <c r="CN236" s="37" t="e">
        <f>SUM(CN299,CN306)+SUM(CN308:CN314)</f>
        <v>#DIV/0!</v>
      </c>
      <c r="CO236" s="3" t="n"/>
      <c r="CP236" s="37" t="e">
        <f>SUM(CP299,CP306)+SUM(CP308:CP314)</f>
        <v>#DIV/0!</v>
      </c>
      <c r="CQ236" s="37" t="e">
        <f>SUM(CQ299,CQ306)+SUM(CQ308:CQ314)</f>
        <v>#DIV/0!</v>
      </c>
      <c r="CR236" s="37" t="e">
        <f>SUM(CR299,CR306)+SUM(CR308:CR314)</f>
        <v>#DIV/0!</v>
      </c>
      <c r="CS236" s="37" t="e">
        <f>SUM(CS299,CS306)+SUM(CS308:CS314)</f>
        <v>#DIV/0!</v>
      </c>
      <c r="CT236" s="3" t="n"/>
      <c r="CU236" s="37" t="e">
        <f>SUM(CU299,CU306)+SUM(CU308:CU314)</f>
        <v>#DIV/0!</v>
      </c>
      <c r="CV236" s="37" t="e">
        <f>SUM(CV299,CV306)+SUM(CV308:CV314)</f>
        <v>#DIV/0!</v>
      </c>
      <c r="CW236" s="37" t="e">
        <f>SUM(CW299,CW306)+SUM(CW308:CW314)</f>
        <v>#DIV/0!</v>
      </c>
      <c r="CX236" s="37" t="e">
        <f>SUM(CX299,CX306)+SUM(CX308:CX314)</f>
        <v>#DIV/0!</v>
      </c>
      <c r="CY236" s="3" t="n"/>
    </row>
    <row r="237" hidden="1" outlineLevel="1">
      <c r="C237" s="34" t="inlineStr">
        <is>
          <t>Less: Minimum cash balance</t>
        </is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250" t="n"/>
      <c r="AH237" s="3">
        <f>($AG$237*AH15)</f>
        <v>0</v>
      </c>
      <c r="AI237" s="3">
        <f>($AG$237*AI15)</f>
        <v>0</v>
      </c>
      <c r="AJ237" s="3">
        <f>($AG$237*AJ15)</f>
        <v>0</v>
      </c>
      <c r="AK237" s="3">
        <f>($AG$237*AK15)</f>
        <v>0</v>
      </c>
      <c r="AL237" s="3" t="n"/>
      <c r="AM237" s="3">
        <f>($AG$237*AM15)</f>
        <v>0</v>
      </c>
      <c r="AN237" s="3">
        <f>($AG$237*AN15)</f>
        <v>0</v>
      </c>
      <c r="AO237" s="3">
        <f>($AG$237*AO15)</f>
        <v>0</v>
      </c>
      <c r="AP237" s="3">
        <f>($AG$237*AP15)</f>
        <v>0</v>
      </c>
      <c r="AQ237" s="3" t="n"/>
      <c r="AR237" s="3">
        <f>($AG$237*AR15)</f>
        <v>0</v>
      </c>
      <c r="AS237" s="3">
        <f>($AG$237*AS15)</f>
        <v>0</v>
      </c>
      <c r="AT237" s="3">
        <f>($AG$237*AT15)</f>
        <v>0</v>
      </c>
      <c r="AU237" s="3">
        <f>($AG$237*AU15)</f>
        <v>0</v>
      </c>
      <c r="AV237" s="3" t="n"/>
      <c r="AW237" s="3">
        <f>($AG$237*AW15)</f>
        <v>0</v>
      </c>
      <c r="AX237" s="3">
        <f>($AG$237*AX15)</f>
        <v>0</v>
      </c>
      <c r="AY237" s="3">
        <f>($AG$237*AY15)</f>
        <v>0</v>
      </c>
      <c r="AZ237" s="3">
        <f>($AG$237*AZ15)</f>
        <v>0</v>
      </c>
      <c r="BA237" s="3" t="n"/>
      <c r="BB237" s="3">
        <f>($AG$237*BB15)</f>
        <v>0</v>
      </c>
      <c r="BC237" s="3">
        <f>($AG$237*BC15)</f>
        <v>0</v>
      </c>
      <c r="BD237" s="3">
        <f>($AG$237*BD15)</f>
        <v>0</v>
      </c>
      <c r="BE237" s="3">
        <f>($AG$237*BE15)</f>
        <v>0</v>
      </c>
      <c r="BF237" s="3" t="n"/>
      <c r="BG237" s="3">
        <f>($AG$237*BG15)</f>
        <v>0</v>
      </c>
      <c r="BH237" s="3">
        <f>($AG$237*BH15)</f>
        <v>0</v>
      </c>
      <c r="BI237" s="3">
        <f>($AG$237*BI15)</f>
        <v>0</v>
      </c>
      <c r="BJ237" s="3">
        <f>($AG$237*BJ15)</f>
        <v>0</v>
      </c>
      <c r="BK237" s="3" t="n"/>
      <c r="BL237" s="3">
        <f>($AG$237*BL15)</f>
        <v>0</v>
      </c>
      <c r="BM237" s="3">
        <f>($AG$237*BM15)</f>
        <v>0</v>
      </c>
      <c r="BN237" s="3">
        <f>($AG$237*BN15)</f>
        <v>0</v>
      </c>
      <c r="BO237" s="3">
        <f>($AG$237*BO15)</f>
        <v>0</v>
      </c>
      <c r="BP237" s="3" t="n"/>
      <c r="BQ237" s="3">
        <f>($AG$237*BQ15)</f>
        <v>0</v>
      </c>
      <c r="BR237" s="3">
        <f>($AG$237*BR15)</f>
        <v>0</v>
      </c>
      <c r="BS237" s="3">
        <f>($AG$237*BS15)</f>
        <v>0</v>
      </c>
      <c r="BT237" s="3">
        <f>($AG$237*BT15)</f>
        <v>0</v>
      </c>
      <c r="BU237" s="3" t="n"/>
      <c r="BV237" s="3">
        <f>($AG$237*BV15)</f>
        <v>0</v>
      </c>
      <c r="BW237" s="3">
        <f>($AG$237*BW15)</f>
        <v>0</v>
      </c>
      <c r="BX237" s="3">
        <f>($AG$237*BX15)</f>
        <v>0</v>
      </c>
      <c r="BY237" s="3">
        <f>($AG$237*BY15)</f>
        <v>0</v>
      </c>
      <c r="BZ237" s="3" t="n"/>
      <c r="CA237" s="3">
        <f>($AG$237*CA15)</f>
        <v>0</v>
      </c>
      <c r="CB237" s="3">
        <f>($AG$237*CB15)</f>
        <v>0</v>
      </c>
      <c r="CC237" s="3">
        <f>($AG$237*CC15)</f>
        <v>0</v>
      </c>
      <c r="CD237" s="3">
        <f>($AG$237*CD15)</f>
        <v>0</v>
      </c>
      <c r="CE237" s="3" t="n"/>
      <c r="CF237" s="3">
        <f>($AG$237*CF15)</f>
        <v>0</v>
      </c>
      <c r="CG237" s="3">
        <f>($AG$237*CG15)</f>
        <v>0</v>
      </c>
      <c r="CH237" s="3">
        <f>($AG$237*CH15)</f>
        <v>0</v>
      </c>
      <c r="CI237" s="3">
        <f>($AG$237*CI15)</f>
        <v>0</v>
      </c>
      <c r="CJ237" s="3" t="n"/>
      <c r="CK237" s="3">
        <f>($AG$237*CK15)</f>
        <v>0</v>
      </c>
      <c r="CL237" s="3">
        <f>($AG$237*CL15)</f>
        <v>0</v>
      </c>
      <c r="CM237" s="3">
        <f>($AG$237*CM15)</f>
        <v>0</v>
      </c>
      <c r="CN237" s="3">
        <f>($AG$237*CN15)</f>
        <v>0</v>
      </c>
      <c r="CO237" s="3" t="n"/>
      <c r="CP237" s="3">
        <f>($AG$237*CP15)</f>
        <v>0</v>
      </c>
      <c r="CQ237" s="3">
        <f>($AG$237*CQ15)</f>
        <v>0</v>
      </c>
      <c r="CR237" s="3">
        <f>($AG$237*CR15)</f>
        <v>0</v>
      </c>
      <c r="CS237" s="3">
        <f>($AG$237*CS15)</f>
        <v>0</v>
      </c>
      <c r="CT237" s="3" t="n"/>
      <c r="CU237" s="3">
        <f>($AG$237*CU15)</f>
        <v>0</v>
      </c>
      <c r="CV237" s="3">
        <f>($AG$237*CV15)</f>
        <v>0</v>
      </c>
      <c r="CW237" s="3">
        <f>($AG$237*CW15)</f>
        <v>0</v>
      </c>
      <c r="CX237" s="3">
        <f>($AG$237*CX15)</f>
        <v>0</v>
      </c>
      <c r="CY237" s="3" t="n"/>
    </row>
    <row r="238" hidden="1" outlineLevel="1">
      <c r="C238" s="34" t="inlineStr">
        <is>
          <t>Total cash available / (debt required) for short term debt paydown</t>
        </is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1">
        <f>AH235+AH236-AH237-AF225+AH227+AH231</f>
        <v>16708.81140921</v>
      </c>
      <c r="AI238" s="1">
        <f>AI235+AI236-AI237-AG225+AI227+AI231</f>
        <v>896.02998213001</v>
      </c>
      <c r="AJ238" s="1">
        <f>AJ235+AJ236-AJ237-AH225+AJ227+AJ231</f>
        <v>-4450.51170706</v>
      </c>
      <c r="AK238" s="1">
        <f>AK235+AK236-AK237-AI225+AK227+AK231</f>
        <v>668.46021238</v>
      </c>
      <c r="AL238" s="3" t="n"/>
      <c r="AM238" s="1" t="e">
        <f>AM235+AM236-AM237-AK225+AM227+AM231</f>
        <v>#DIV/0!</v>
      </c>
      <c r="AN238" s="1" t="e">
        <f>AN235+AN236-AN237-AL225+AN227+AN231</f>
        <v>#DIV/0!</v>
      </c>
      <c r="AO238" s="1" t="e">
        <f>AO235+AO236-AO237-AM225+AO227+AO231</f>
        <v>#DIV/0!</v>
      </c>
      <c r="AP238" s="1" t="e">
        <f>AP235+AP236-AP237-AN225+AP227+AP231</f>
        <v>#DIV/0!</v>
      </c>
      <c r="AQ238" s="3" t="n"/>
      <c r="AR238" s="1" t="e">
        <f>AR235+AR236-AR237-AP225+AR227+AR231</f>
        <v>#DIV/0!</v>
      </c>
      <c r="AS238" s="1" t="e">
        <f>AS235+AS236-AS237-AQ225+AS227+AS231</f>
        <v>#DIV/0!</v>
      </c>
      <c r="AT238" s="1" t="e">
        <f>AT235+AT236-AT237-AR225+AT227+AT231</f>
        <v>#DIV/0!</v>
      </c>
      <c r="AU238" s="1" t="e">
        <f>AU235+AU236-AU237-AS225+AU227+AU231</f>
        <v>#DIV/0!</v>
      </c>
      <c r="AV238" s="3" t="n"/>
      <c r="AW238" s="1" t="e">
        <f>AW235+AW236-AW237-AU225+AW227+AW231</f>
        <v>#DIV/0!</v>
      </c>
      <c r="AX238" s="1" t="e">
        <f>AX235+AX236-AX237-AV225+AX227+AX231</f>
        <v>#DIV/0!</v>
      </c>
      <c r="AY238" s="1" t="e">
        <f>AY235+AY236-AY237-AW225+AY227+AY231</f>
        <v>#DIV/0!</v>
      </c>
      <c r="AZ238" s="1" t="e">
        <f>AZ235+AZ236-AZ237-AX225+AZ227+AZ231</f>
        <v>#DIV/0!</v>
      </c>
      <c r="BA238" s="3" t="n"/>
      <c r="BB238" s="1" t="e">
        <f>BB235+BB236-BB237-AZ225+BB227+BB231</f>
        <v>#DIV/0!</v>
      </c>
      <c r="BC238" s="1" t="e">
        <f>BC235+BC236-BC237-BA225+BC227+BC231</f>
        <v>#DIV/0!</v>
      </c>
      <c r="BD238" s="1" t="e">
        <f>BD235+BD236-BD237-BB225+BD227+BD231</f>
        <v>#DIV/0!</v>
      </c>
      <c r="BE238" s="1" t="e">
        <f>BE235+BE236-BE237-BC225+BE227+BE231</f>
        <v>#DIV/0!</v>
      </c>
      <c r="BF238" s="3" t="n"/>
      <c r="BG238" s="1" t="e">
        <f>BG235+BG236-BG237-BE225+BG227+BG231</f>
        <v>#DIV/0!</v>
      </c>
      <c r="BH238" s="1" t="e">
        <f>BH235+BH236-BH237-BF225+BH227+BH231</f>
        <v>#DIV/0!</v>
      </c>
      <c r="BI238" s="1" t="e">
        <f>BI235+BI236-BI237-BG225+BI227+BI231</f>
        <v>#DIV/0!</v>
      </c>
      <c r="BJ238" s="1" t="e">
        <f>BJ235+BJ236-BJ237-BH225+BJ227+BJ231</f>
        <v>#DIV/0!</v>
      </c>
      <c r="BK238" s="3" t="n"/>
      <c r="BL238" s="1" t="e">
        <f>BL235+BL236-BL237-BJ225+BL227+BL231</f>
        <v>#DIV/0!</v>
      </c>
      <c r="BM238" s="1" t="e">
        <f>BM235+BM236-BM237-BK225+BM227+BM231</f>
        <v>#DIV/0!</v>
      </c>
      <c r="BN238" s="1" t="e">
        <f>BN235+BN236-BN237-BL225+BN227+BN231</f>
        <v>#DIV/0!</v>
      </c>
      <c r="BO238" s="1" t="e">
        <f>BO235+BO236-BO237-BM225+BO227+BO231</f>
        <v>#DIV/0!</v>
      </c>
      <c r="BP238" s="3" t="n"/>
      <c r="BQ238" s="1" t="e">
        <f>BQ235+BQ236-BQ237-BO225+BQ227+BQ231</f>
        <v>#DIV/0!</v>
      </c>
      <c r="BR238" s="1" t="e">
        <f>BR235+BR236-BR237-BP225+BR227+BR231</f>
        <v>#DIV/0!</v>
      </c>
      <c r="BS238" s="1" t="e">
        <f>BS235+BS236-BS237-BQ225+BS227+BS231</f>
        <v>#DIV/0!</v>
      </c>
      <c r="BT238" s="1" t="e">
        <f>BT235+BT236-BT237-BR225+BT227+BT231</f>
        <v>#DIV/0!</v>
      </c>
      <c r="BU238" s="3" t="n"/>
      <c r="BV238" s="1" t="e">
        <f>BV235+BV236-BV237-BT225+BV227+BV231</f>
        <v>#DIV/0!</v>
      </c>
      <c r="BW238" s="1" t="e">
        <f>BW235+BW236-BW237-BU225+BW227+BW231</f>
        <v>#DIV/0!</v>
      </c>
      <c r="BX238" s="1" t="e">
        <f>BX235+BX236-BX237-BV225+BX227+BX231</f>
        <v>#DIV/0!</v>
      </c>
      <c r="BY238" s="1" t="e">
        <f>BY235+BY236-BY237-BW225+BY227+BY231</f>
        <v>#DIV/0!</v>
      </c>
      <c r="BZ238" s="3" t="n"/>
      <c r="CA238" s="1" t="e">
        <f>CA235+CA236-CA237-BY225+CA227+CA231</f>
        <v>#DIV/0!</v>
      </c>
      <c r="CB238" s="1" t="e">
        <f>CB235+CB236-CB237-BZ225+CB227+CB231</f>
        <v>#DIV/0!</v>
      </c>
      <c r="CC238" s="1" t="e">
        <f>CC235+CC236-CC237-CA225+CC227+CC231</f>
        <v>#DIV/0!</v>
      </c>
      <c r="CD238" s="1" t="e">
        <f>CD235+CD236-CD237-CB225+CD227+CD231</f>
        <v>#DIV/0!</v>
      </c>
      <c r="CE238" s="3" t="n"/>
      <c r="CF238" s="1" t="e">
        <f>CF235+CF236-CF237-CD225+CF227+CF231</f>
        <v>#DIV/0!</v>
      </c>
      <c r="CG238" s="1" t="e">
        <f>CG235+CG236-CG237-CE225+CG227+CG231</f>
        <v>#DIV/0!</v>
      </c>
      <c r="CH238" s="1" t="e">
        <f>CH235+CH236-CH237-CF225+CH227+CH231</f>
        <v>#DIV/0!</v>
      </c>
      <c r="CI238" s="1" t="e">
        <f>CI235+CI236-CI237-CG225+CI227+CI231</f>
        <v>#DIV/0!</v>
      </c>
      <c r="CJ238" s="3" t="n"/>
      <c r="CK238" s="1" t="e">
        <f>CK235+CK236-CK237-CI225+CK227+CK231</f>
        <v>#DIV/0!</v>
      </c>
      <c r="CL238" s="1" t="e">
        <f>CL235+CL236-CL237-CJ225+CL227+CL231</f>
        <v>#DIV/0!</v>
      </c>
      <c r="CM238" s="1" t="e">
        <f>CM235+CM236-CM237-CK225+CM227+CM231</f>
        <v>#DIV/0!</v>
      </c>
      <c r="CN238" s="1" t="e">
        <f>CN235+CN236-CN237-CL225+CN227+CN231</f>
        <v>#DIV/0!</v>
      </c>
      <c r="CO238" s="3" t="n"/>
      <c r="CP238" s="1" t="e">
        <f>CP235+CP236-CP237-CN225+CP227+CP231</f>
        <v>#DIV/0!</v>
      </c>
      <c r="CQ238" s="1" t="e">
        <f>CQ235+CQ236-CQ237-CO225+CQ227+CQ231</f>
        <v>#DIV/0!</v>
      </c>
      <c r="CR238" s="1" t="e">
        <f>CR235+CR236-CR237-CP225+CR227+CR231</f>
        <v>#DIV/0!</v>
      </c>
      <c r="CS238" s="1" t="e">
        <f>CS235+CS236-CS237-CQ225+CS227+CS231</f>
        <v>#DIV/0!</v>
      </c>
      <c r="CT238" s="3" t="n"/>
      <c r="CU238" s="1" t="e">
        <f>CU235+CU236-CU237-CS225+CU227+CU231</f>
        <v>#DIV/0!</v>
      </c>
      <c r="CV238" s="1" t="e">
        <f>CV235+CV236-CV237-CT225+CV227+CV231</f>
        <v>#DIV/0!</v>
      </c>
      <c r="CW238" s="1" t="e">
        <f>CW235+CW236-CW237-CU225+CW227+CW231</f>
        <v>#DIV/0!</v>
      </c>
      <c r="CX238" s="1" t="e">
        <f>CX235+CX236-CX237-CV225+CX227+CX231</f>
        <v>#DIV/0!</v>
      </c>
      <c r="CY238" s="3" t="n"/>
    </row>
    <row r="239" hidden="1" outlineLevel="1">
      <c r="C239" s="34" t="inlineStr">
        <is>
          <t>Short term debt</t>
        </is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>
        <f>AH219</f>
        <v>0</v>
      </c>
      <c r="AI239" s="3">
        <f>MAX(0,AH239-AI238)</f>
        <v>0</v>
      </c>
      <c r="AJ239" s="3">
        <f>MAX(0,AI239-AJ238)</f>
        <v>4450.51170706</v>
      </c>
      <c r="AK239" s="3">
        <f>MAX(0,AJ239-AK238)</f>
        <v>3782.05149468</v>
      </c>
      <c r="AL239" s="3" t="n"/>
      <c r="AM239" s="3">
        <f>AM219</f>
        <v>0</v>
      </c>
      <c r="AN239" s="3" t="e">
        <f>MAX(0,AM239-AN238)</f>
        <v>#DIV/0!</v>
      </c>
      <c r="AO239" s="3" t="e">
        <f>MAX(0,AN239-AO238)</f>
        <v>#DIV/0!</v>
      </c>
      <c r="AP239" s="3" t="e">
        <f>MAX(0,AO239-AP238)</f>
        <v>#DIV/0!</v>
      </c>
      <c r="AQ239" s="3" t="n"/>
      <c r="AR239" s="3">
        <f>AR219</f>
        <v>0</v>
      </c>
      <c r="AS239" s="3" t="e">
        <f>MAX(0,AR239-AS238)</f>
        <v>#DIV/0!</v>
      </c>
      <c r="AT239" s="3" t="e">
        <f>MAX(0,AS239-AT238)</f>
        <v>#DIV/0!</v>
      </c>
      <c r="AU239" s="3" t="e">
        <f>MAX(0,AT239-AU238)</f>
        <v>#DIV/0!</v>
      </c>
      <c r="AV239" s="3" t="n"/>
      <c r="AW239" s="3">
        <f>AW219</f>
        <v>0</v>
      </c>
      <c r="AX239" s="3" t="e">
        <f>MAX(0,AW239-AX238)</f>
        <v>#DIV/0!</v>
      </c>
      <c r="AY239" s="3" t="e">
        <f>MAX(0,AX239-AY238)</f>
        <v>#DIV/0!</v>
      </c>
      <c r="AZ239" s="3" t="e">
        <f>MAX(0,AY239-AZ238)</f>
        <v>#DIV/0!</v>
      </c>
      <c r="BA239" s="3" t="n"/>
      <c r="BB239" s="3">
        <f>BB219</f>
        <v>0</v>
      </c>
      <c r="BC239" s="3" t="e">
        <f>MAX(0,BB239-BC238)</f>
        <v>#DIV/0!</v>
      </c>
      <c r="BD239" s="3" t="e">
        <f>MAX(0,BC239-BD238)</f>
        <v>#DIV/0!</v>
      </c>
      <c r="BE239" s="3" t="e">
        <f>MAX(0,BD239-BE238)</f>
        <v>#DIV/0!</v>
      </c>
      <c r="BF239" s="3" t="n"/>
      <c r="BG239" s="3">
        <f>BG219</f>
        <v>0</v>
      </c>
      <c r="BH239" s="3" t="e">
        <f>MAX(0,BG239-BH238)</f>
        <v>#DIV/0!</v>
      </c>
      <c r="BI239" s="3" t="e">
        <f>MAX(0,BH239-BI238)</f>
        <v>#DIV/0!</v>
      </c>
      <c r="BJ239" s="3" t="e">
        <f>MAX(0,BI239-BJ238)</f>
        <v>#DIV/0!</v>
      </c>
      <c r="BK239" s="3" t="n"/>
      <c r="BL239" s="3">
        <f>BL219</f>
        <v>0</v>
      </c>
      <c r="BM239" s="3" t="e">
        <f>MAX(0,BL239-BM238)</f>
        <v>#DIV/0!</v>
      </c>
      <c r="BN239" s="3" t="e">
        <f>MAX(0,BM239-BN238)</f>
        <v>#DIV/0!</v>
      </c>
      <c r="BO239" s="3" t="e">
        <f>MAX(0,BN239-BO238)</f>
        <v>#DIV/0!</v>
      </c>
      <c r="BP239" s="3" t="n"/>
      <c r="BQ239" s="3">
        <f>BQ219</f>
        <v>0</v>
      </c>
      <c r="BR239" s="3" t="e">
        <f>MAX(0,BQ239-BR238)</f>
        <v>#DIV/0!</v>
      </c>
      <c r="BS239" s="3" t="e">
        <f>MAX(0,BR239-BS238)</f>
        <v>#DIV/0!</v>
      </c>
      <c r="BT239" s="3" t="e">
        <f>MAX(0,BS239-BT238)</f>
        <v>#DIV/0!</v>
      </c>
      <c r="BU239" s="3" t="n"/>
      <c r="BV239" s="3">
        <f>BV219</f>
        <v>0</v>
      </c>
      <c r="BW239" s="3" t="e">
        <f>MAX(0,BV239-BW238)</f>
        <v>#DIV/0!</v>
      </c>
      <c r="BX239" s="3" t="e">
        <f>MAX(0,BW239-BX238)</f>
        <v>#DIV/0!</v>
      </c>
      <c r="BY239" s="3" t="e">
        <f>MAX(0,BX239-BY238)</f>
        <v>#DIV/0!</v>
      </c>
      <c r="BZ239" s="3" t="n"/>
      <c r="CA239" s="3">
        <f>CA219</f>
        <v>0</v>
      </c>
      <c r="CB239" s="3" t="e">
        <f>MAX(0,CA239-CB238)</f>
        <v>#DIV/0!</v>
      </c>
      <c r="CC239" s="3" t="e">
        <f>MAX(0,CB239-CC238)</f>
        <v>#DIV/0!</v>
      </c>
      <c r="CD239" s="3" t="e">
        <f>MAX(0,CC239-CD238)</f>
        <v>#DIV/0!</v>
      </c>
      <c r="CE239" s="3" t="n"/>
      <c r="CF239" s="3">
        <f>CF219</f>
        <v>0</v>
      </c>
      <c r="CG239" s="3" t="e">
        <f>MAX(0,CF239-CG238)</f>
        <v>#DIV/0!</v>
      </c>
      <c r="CH239" s="3" t="e">
        <f>MAX(0,CG239-CH238)</f>
        <v>#DIV/0!</v>
      </c>
      <c r="CI239" s="3" t="e">
        <f>MAX(0,CH239-CI238)</f>
        <v>#DIV/0!</v>
      </c>
      <c r="CJ239" s="3" t="n"/>
      <c r="CK239" s="3">
        <f>CK219</f>
        <v>0</v>
      </c>
      <c r="CL239" s="3" t="e">
        <f>MAX(0,CK239-CL238)</f>
        <v>#DIV/0!</v>
      </c>
      <c r="CM239" s="3" t="e">
        <f>MAX(0,CL239-CM238)</f>
        <v>#DIV/0!</v>
      </c>
      <c r="CN239" s="3" t="e">
        <f>MAX(0,CM239-CN238)</f>
        <v>#DIV/0!</v>
      </c>
      <c r="CO239" s="3" t="n"/>
      <c r="CP239" s="3">
        <f>CP219</f>
        <v>0</v>
      </c>
      <c r="CQ239" s="3" t="e">
        <f>MAX(0,CP239-CQ238)</f>
        <v>#DIV/0!</v>
      </c>
      <c r="CR239" s="3" t="e">
        <f>MAX(0,CQ239-CR238)</f>
        <v>#DIV/0!</v>
      </c>
      <c r="CS239" s="3" t="e">
        <f>MAX(0,CR239-CS238)</f>
        <v>#DIV/0!</v>
      </c>
      <c r="CT239" s="3" t="n"/>
      <c r="CU239" s="3">
        <f>CU219</f>
        <v>0</v>
      </c>
      <c r="CV239" s="3" t="e">
        <f>MAX(0,CU239-CV238)</f>
        <v>#DIV/0!</v>
      </c>
      <c r="CW239" s="3" t="e">
        <f>MAX(0,CV239-CW238)</f>
        <v>#DIV/0!</v>
      </c>
      <c r="CX239" s="3" t="e">
        <f>MAX(0,CW239-CX238)</f>
        <v>#DIV/0!</v>
      </c>
      <c r="CY239" s="3" t="n"/>
    </row>
    <row r="240" hidden="1" outlineLevel="1">
      <c r="C240" s="34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n"/>
      <c r="BI240" s="3" t="n"/>
      <c r="BJ240" s="3" t="n"/>
      <c r="BK240" s="3" t="n"/>
      <c r="BL240" s="3" t="n"/>
      <c r="BM240" s="3" t="n"/>
      <c r="BN240" s="3" t="n"/>
      <c r="BO240" s="3" t="n"/>
      <c r="BP240" s="3" t="n"/>
      <c r="BQ240" s="3" t="n"/>
      <c r="BR240" s="3" t="n"/>
      <c r="BS240" s="3" t="n"/>
      <c r="BT240" s="3" t="n"/>
      <c r="BU240" s="3" t="n"/>
      <c r="BV240" s="3" t="n"/>
      <c r="BW240" s="3" t="n"/>
      <c r="BX240" s="3" t="n"/>
      <c r="BY240" s="3" t="n"/>
      <c r="BZ240" s="3" t="n"/>
      <c r="CA240" s="3" t="n"/>
      <c r="CB240" s="3" t="n"/>
      <c r="CC240" s="3" t="n"/>
      <c r="CD240" s="3" t="n"/>
      <c r="CE240" s="3" t="n"/>
      <c r="CF240" s="3" t="n"/>
      <c r="CG240" s="3" t="n"/>
      <c r="CH240" s="3" t="n"/>
      <c r="CI240" s="3" t="n"/>
      <c r="CJ240" s="3" t="n"/>
      <c r="CK240" s="3" t="n"/>
      <c r="CL240" s="3" t="n"/>
      <c r="CM240" s="3" t="n"/>
      <c r="CN240" s="3" t="n"/>
      <c r="CO240" s="3" t="n"/>
      <c r="CP240" s="3" t="n"/>
      <c r="CQ240" s="3" t="n"/>
      <c r="CR240" s="3" t="n"/>
      <c r="CS240" s="3" t="n"/>
      <c r="CT240" s="3" t="n"/>
      <c r="CU240" s="3" t="n"/>
      <c r="CV240" s="3" t="n"/>
      <c r="CW240" s="3" t="n"/>
      <c r="CX240" s="3" t="n"/>
      <c r="CY240" s="3" t="n"/>
    </row>
    <row r="241" collapsed="1">
      <c r="C241" s="26" t="inlineStr">
        <is>
          <t>Long term operating leases</t>
        </is>
      </c>
      <c r="D241" s="25">
        <f>INDEX('Inputs (2)'!$D$36:$AL$36,MATCH(D$7,'Inputs (2)'!$D$2:$AL$2,0))</f>
        <v>415.85588858</v>
      </c>
      <c r="E241" s="25">
        <f>INDEX('Inputs (2)'!$D$36:$AL$36,MATCH(E$7,'Inputs (2)'!$D$2:$AL$2,0))</f>
        <v>415.92150216</v>
      </c>
      <c r="F241" s="25">
        <f>INDEX('Inputs (2)'!$D$36:$AL$36,MATCH(F$7,'Inputs (2)'!$D$2:$AL$2,0))</f>
        <v>421.728</v>
      </c>
      <c r="G241" s="25">
        <f>INDEX('Inputs (2)'!$D$36:$AL$36,MATCH(G$7,'Inputs (2)'!$D$2:$AL$2,0))</f>
        <v>390.96589782</v>
      </c>
      <c r="H241" s="3">
        <f>G241</f>
        <v>390.96589782</v>
      </c>
      <c r="I241" s="25">
        <f>INDEX('Inputs (2)'!$D$36:$AL$36,MATCH(I$7,'Inputs (2)'!$D$2:$AL$2,0))</f>
        <v>506.1222104</v>
      </c>
      <c r="J241" s="25">
        <f>INDEX('Inputs (2)'!$D$36:$AL$36,MATCH(J$7,'Inputs (2)'!$D$2:$AL$2,0))</f>
        <v>571.30321603</v>
      </c>
      <c r="K241" s="25">
        <f>INDEX('Inputs (2)'!$D$36:$AL$36,MATCH(K$7,'Inputs (2)'!$D$2:$AL$2,0))</f>
        <v>419.081</v>
      </c>
      <c r="L241" s="25">
        <f>INDEX('Inputs (2)'!$D$36:$AL$36,MATCH(L$7,'Inputs (2)'!$D$2:$AL$2,0))</f>
        <v>660.011</v>
      </c>
      <c r="M241" s="3">
        <f>L241</f>
        <v>660.011</v>
      </c>
      <c r="N241" s="25">
        <f>INDEX('Inputs (2)'!$D$36:$AL$36,MATCH(N$7,'Inputs (2)'!$D$2:$AL$2,0))</f>
        <v>707.509</v>
      </c>
      <c r="O241" s="25">
        <f>INDEX('Inputs (2)'!$D$36:$AL$36,MATCH(O$7,'Inputs (2)'!$D$2:$AL$2,0))</f>
        <v>758.746</v>
      </c>
      <c r="P241" s="25">
        <f>INDEX('Inputs (2)'!$D$36:$AL$36,MATCH(P$7,'Inputs (2)'!$D$2:$AL$2,0))</f>
        <v>967.671</v>
      </c>
      <c r="Q241" s="25">
        <f>INDEX('Inputs (2)'!$D$36:$AL$36,MATCH(Q$7,'Inputs (2)'!$D$2:$AL$2,0))</f>
        <v>1399.556</v>
      </c>
      <c r="R241" s="3">
        <f>Q241</f>
        <v>1399.556</v>
      </c>
      <c r="S241" s="25">
        <f>INDEX('Inputs (2)'!$D$36:$AL$36,MATCH(S$7,'Inputs (2)'!$D$2:$AL$2,0))</f>
        <v>1448.60556487</v>
      </c>
      <c r="T241" s="25">
        <f>INDEX('Inputs (2)'!$D$36:$AL$36,MATCH(T$7,'Inputs (2)'!$D$2:$AL$2,0))</f>
        <v>1400.04072114</v>
      </c>
      <c r="U241" s="25">
        <f>INDEX('Inputs (2)'!$D$36:$AL$36,MATCH(U$7,'Inputs (2)'!$D$2:$AL$2,0))</f>
        <v>1429.05878962</v>
      </c>
      <c r="V241" s="25">
        <f>INDEX('Inputs (2)'!$D$36:$AL$36,MATCH(V$7,'Inputs (2)'!$D$2:$AL$2,0))</f>
        <v>1499.744892956</v>
      </c>
      <c r="W241" s="3">
        <f>V241</f>
        <v>1499.744892956</v>
      </c>
      <c r="X241" s="25">
        <f>INDEX('Inputs (2)'!$D$36:$AL$36,MATCH(X$7,'Inputs (2)'!$D$2:$AL$2,0))</f>
        <v>1549.5701440893</v>
      </c>
      <c r="Y241" s="25">
        <f>INDEX('Inputs (2)'!$D$36:$AL$36,MATCH(Y$7,'Inputs (2)'!$D$2:$AL$2,0))</f>
        <v>1641.605202739</v>
      </c>
      <c r="Z241" s="25">
        <f>INDEX('Inputs (2)'!$D$36:$AL$36,MATCH(Z$7,'Inputs (2)'!$D$2:$AL$2,0))</f>
        <v>1654.3083349495</v>
      </c>
      <c r="AA241" s="25">
        <f>INDEX('Inputs (2)'!$D$36:$AL$36,MATCH(AA$7,'Inputs (2)'!$D$2:$AL$2,0))</f>
        <v>1664.98913914</v>
      </c>
      <c r="AB241" s="3">
        <f>AA241</f>
        <v>1664.98913914</v>
      </c>
      <c r="AC241" s="25">
        <f>INDEX('Inputs (2)'!$D$36:$AL$36,MATCH(AC$7,'Inputs (2)'!$D$2:$AL$2,0))</f>
        <v>1329.38760701</v>
      </c>
      <c r="AD241" s="25">
        <f>INDEX('Inputs (2)'!$D$36:$AL$36,MATCH(AD$7,'Inputs (2)'!$D$2:$AL$2,0))</f>
        <v>1663.23345869</v>
      </c>
      <c r="AE241" s="25">
        <f>INDEX('Inputs (2)'!$D$36:$AL$36,MATCH(AE$7,'Inputs (2)'!$D$2:$AL$2,0))</f>
        <v>1720.59277814</v>
      </c>
      <c r="AF241" s="25">
        <f>INDEX('Inputs (2)'!$D$36:$AL$36,MATCH(AF$7,'Inputs (2)'!$D$2:$AL$2,0))</f>
        <v>1437.18948274</v>
      </c>
      <c r="AG241" s="3">
        <f>AF241</f>
        <v>1437.18948274</v>
      </c>
      <c r="AH241" s="3">
        <f>INDEX('Inputs (2)'!$D$36:$AL$36,MATCH(AH$7,'Inputs (2)'!$D$2:$AL$2,0))</f>
        <v>1415.91845937</v>
      </c>
      <c r="AI241" s="3">
        <f>INDEX('Inputs (2)'!$D$36:$AL$36,MATCH(AI$7,'Inputs (2)'!$D$2:$AL$2,0))</f>
        <v>1671.7366149</v>
      </c>
      <c r="AJ241" s="3">
        <f>AI241</f>
        <v>1671.7366149</v>
      </c>
      <c r="AK241" s="3">
        <f>AJ241</f>
        <v>1671.7366149</v>
      </c>
      <c r="AL241" s="3">
        <f>AK241</f>
        <v>1671.7366149</v>
      </c>
      <c r="AM241" s="3">
        <f>AL241</f>
        <v>1671.7366149</v>
      </c>
      <c r="AN241" s="3">
        <f>AM241</f>
        <v>1671.7366149</v>
      </c>
      <c r="AO241" s="3">
        <f>AN241</f>
        <v>1671.7366149</v>
      </c>
      <c r="AP241" s="3">
        <f>AO241</f>
        <v>1671.7366149</v>
      </c>
      <c r="AQ241" s="3">
        <f>AP241</f>
        <v>1671.7366149</v>
      </c>
      <c r="AR241" s="3">
        <f>AQ241</f>
        <v>1671.7366149</v>
      </c>
      <c r="AS241" s="3">
        <f>AR241</f>
        <v>1671.7366149</v>
      </c>
      <c r="AT241" s="3">
        <f>AS241</f>
        <v>1671.7366149</v>
      </c>
      <c r="AU241" s="3">
        <f>AT241</f>
        <v>1671.7366149</v>
      </c>
      <c r="AV241" s="3">
        <f>AU241</f>
        <v>1671.7366149</v>
      </c>
      <c r="AW241" s="3">
        <f>AV241</f>
        <v>1671.7366149</v>
      </c>
      <c r="AX241" s="3">
        <f>AW241</f>
        <v>1671.7366149</v>
      </c>
      <c r="AY241" s="3">
        <f>AX241</f>
        <v>1671.7366149</v>
      </c>
      <c r="AZ241" s="3">
        <f>AY241</f>
        <v>1671.7366149</v>
      </c>
      <c r="BA241" s="3">
        <f>AZ241</f>
        <v>1671.7366149</v>
      </c>
      <c r="BB241" s="3">
        <f>BA241</f>
        <v>1671.7366149</v>
      </c>
      <c r="BC241" s="3">
        <f>BB241</f>
        <v>1671.7366149</v>
      </c>
      <c r="BD241" s="3">
        <f>BC241</f>
        <v>1671.7366149</v>
      </c>
      <c r="BE241" s="3">
        <f>BD241</f>
        <v>1671.7366149</v>
      </c>
      <c r="BF241" s="3">
        <f>BE241</f>
        <v>1671.7366149</v>
      </c>
      <c r="BG241" s="3">
        <f>BF241</f>
        <v>1671.7366149</v>
      </c>
      <c r="BH241" s="3">
        <f>BG241</f>
        <v>1671.7366149</v>
      </c>
      <c r="BI241" s="3">
        <f>BH241</f>
        <v>1671.7366149</v>
      </c>
      <c r="BJ241" s="3">
        <f>BI241</f>
        <v>1671.7366149</v>
      </c>
      <c r="BK241" s="3">
        <f>BJ241</f>
        <v>1671.7366149</v>
      </c>
      <c r="BL241" s="3">
        <f>BK241</f>
        <v>1671.7366149</v>
      </c>
      <c r="BM241" s="3">
        <f>BL241</f>
        <v>1671.7366149</v>
      </c>
      <c r="BN241" s="3">
        <f>BM241</f>
        <v>1671.7366149</v>
      </c>
      <c r="BO241" s="3">
        <f>BN241</f>
        <v>1671.7366149</v>
      </c>
      <c r="BP241" s="3">
        <f>BO241</f>
        <v>1671.7366149</v>
      </c>
      <c r="BQ241" s="3">
        <f>BP241</f>
        <v>1671.7366149</v>
      </c>
      <c r="BR241" s="3">
        <f>BQ241</f>
        <v>1671.7366149</v>
      </c>
      <c r="BS241" s="3">
        <f>BR241</f>
        <v>1671.7366149</v>
      </c>
      <c r="BT241" s="3">
        <f>BS241</f>
        <v>1671.7366149</v>
      </c>
      <c r="BU241" s="3">
        <f>BT241</f>
        <v>1671.7366149</v>
      </c>
      <c r="BV241" s="3">
        <f>BU241</f>
        <v>1671.7366149</v>
      </c>
      <c r="BW241" s="3">
        <f>BV241</f>
        <v>1671.7366149</v>
      </c>
      <c r="BX241" s="3">
        <f>BW241</f>
        <v>1671.7366149</v>
      </c>
      <c r="BY241" s="3">
        <f>BX241</f>
        <v>1671.7366149</v>
      </c>
      <c r="BZ241" s="3">
        <f>BY241</f>
        <v>1671.7366149</v>
      </c>
      <c r="CA241" s="3">
        <f>BZ241</f>
        <v>1671.7366149</v>
      </c>
      <c r="CB241" s="3">
        <f>CA241</f>
        <v>1671.7366149</v>
      </c>
      <c r="CC241" s="3">
        <f>CB241</f>
        <v>1671.7366149</v>
      </c>
      <c r="CD241" s="3">
        <f>CC241</f>
        <v>1671.7366149</v>
      </c>
      <c r="CE241" s="3">
        <f>CD241</f>
        <v>1671.7366149</v>
      </c>
      <c r="CF241" s="3">
        <f>CE241</f>
        <v>1671.7366149</v>
      </c>
      <c r="CG241" s="3">
        <f>CF241</f>
        <v>1671.7366149</v>
      </c>
      <c r="CH241" s="3">
        <f>CG241</f>
        <v>1671.7366149</v>
      </c>
      <c r="CI241" s="3">
        <f>CH241</f>
        <v>1671.7366149</v>
      </c>
      <c r="CJ241" s="3">
        <f>CI241</f>
        <v>1671.7366149</v>
      </c>
      <c r="CK241" s="3">
        <f>CJ241</f>
        <v>1671.7366149</v>
      </c>
      <c r="CL241" s="3">
        <f>CK241</f>
        <v>1671.7366149</v>
      </c>
      <c r="CM241" s="3">
        <f>CL241</f>
        <v>1671.7366149</v>
      </c>
      <c r="CN241" s="3">
        <f>CM241</f>
        <v>1671.7366149</v>
      </c>
      <c r="CO241" s="3">
        <f>CN241</f>
        <v>1671.7366149</v>
      </c>
      <c r="CP241" s="3">
        <f>CO241</f>
        <v>1671.7366149</v>
      </c>
      <c r="CQ241" s="3">
        <f>CP241</f>
        <v>1671.7366149</v>
      </c>
      <c r="CR241" s="3">
        <f>CQ241</f>
        <v>1671.7366149</v>
      </c>
      <c r="CS241" s="3">
        <f>CR241</f>
        <v>1671.7366149</v>
      </c>
      <c r="CT241" s="3">
        <f>CS241</f>
        <v>1671.7366149</v>
      </c>
      <c r="CU241" s="3">
        <f>CT241</f>
        <v>1671.7366149</v>
      </c>
      <c r="CV241" s="3">
        <f>CU241</f>
        <v>1671.7366149</v>
      </c>
      <c r="CW241" s="3">
        <f>CV241</f>
        <v>1671.7366149</v>
      </c>
      <c r="CX241" s="3">
        <f>CW241</f>
        <v>1671.7366149</v>
      </c>
      <c r="CY241" s="3">
        <f>CX241</f>
        <v>1671.7366149</v>
      </c>
    </row>
    <row r="242" hidden="1" outlineLevel="1">
      <c r="C242" s="38" t="inlineStr">
        <is>
          <t>%(Var.)</t>
        </is>
      </c>
      <c r="D242" s="3" t="n"/>
      <c r="E242" s="47">
        <f>(E241-D241)/D241</f>
        <v>0.000157779610201114</v>
      </c>
      <c r="F242" s="47">
        <f>(F241-E241)/E241</f>
        <v>0.0139605618123737</v>
      </c>
      <c r="G242" s="47">
        <f>(G241-F241)/F241</f>
        <v>-0.0729429921181425</v>
      </c>
      <c r="H242" s="3" t="n"/>
      <c r="I242" s="47">
        <f>(I241-H241)/H241</f>
        <v>0.29454311289579</v>
      </c>
      <c r="J242" s="47">
        <f>(J241-I241)/I241</f>
        <v>0.128785112154011</v>
      </c>
      <c r="K242" s="47">
        <f>(K241-J241)/J241</f>
        <v>-0.266447329121996</v>
      </c>
      <c r="L242" s="47">
        <f>(L241-K241)/K241</f>
        <v>0.574900794834411</v>
      </c>
      <c r="M242" s="3" t="n"/>
      <c r="N242" s="47">
        <f>(N241-M241)/M241</f>
        <v>0.0719654672422127</v>
      </c>
      <c r="O242" s="47">
        <f>(O241-N241)/N241</f>
        <v>0.0724188667564652</v>
      </c>
      <c r="P242" s="47">
        <f>(P241-O241)/O241</f>
        <v>0.275355652616291</v>
      </c>
      <c r="Q242" s="47">
        <f>(Q241-P241)/P241</f>
        <v>0.446313881474179</v>
      </c>
      <c r="R242" s="3" t="n"/>
      <c r="S242" s="47">
        <f>(S241-R241)/R241</f>
        <v>0.0350465182314963</v>
      </c>
      <c r="T242" s="47">
        <f>(T241-S241)/S241</f>
        <v>-0.0335252362049005</v>
      </c>
      <c r="U242" s="47">
        <f>(U241-T241)/T241</f>
        <v>0.0207265889069082</v>
      </c>
      <c r="V242" s="47">
        <f>(V241-U241)/U241</f>
        <v>0.0494633977618207</v>
      </c>
      <c r="W242" s="3" t="n"/>
      <c r="X242" s="47">
        <f>(X241-W241)/W241</f>
        <v>0.0332224842820396</v>
      </c>
      <c r="Y242" s="47">
        <f>(Y241-X241)/X241</f>
        <v>0.0593939286974261</v>
      </c>
      <c r="Z242" s="47">
        <f>(Z241-Y241)/Y241</f>
        <v>0.00773823827391926</v>
      </c>
      <c r="AA242" s="47">
        <f>(AA241-Z241)/Z241</f>
        <v>0.00645635639067607</v>
      </c>
      <c r="AB242" s="3" t="n"/>
      <c r="AC242" s="47">
        <f>(AC241-AB241)/AB241</f>
        <v>-0.201563796568274</v>
      </c>
      <c r="AD242" s="47">
        <f>(AD241-AC241)/AC241</f>
        <v>0.251127549196033</v>
      </c>
      <c r="AE242" s="47">
        <f>(AE241-AD241)/AD241</f>
        <v>0.034486631537089</v>
      </c>
      <c r="AF242" s="230">
        <f>(AF241-AE241)/AE241</f>
        <v>-0.164712591497894</v>
      </c>
      <c r="AG242" s="3" t="n"/>
      <c r="AH242" s="6">
        <f>(AH241-AG241)/AG241</f>
        <v>-0.0148004307194392</v>
      </c>
      <c r="AI242" s="6">
        <f>(AI241-AH241)/AH241</f>
        <v>0.180672943301992</v>
      </c>
      <c r="AJ242" s="6" t="n"/>
      <c r="AK242" s="6" t="n"/>
      <c r="AL242" s="3" t="n"/>
      <c r="AM242" s="6" t="n"/>
      <c r="AN242" s="6" t="n"/>
      <c r="AO242" s="6" t="n"/>
      <c r="AP242" s="6" t="n"/>
      <c r="AQ242" s="3" t="n"/>
      <c r="AR242" s="6" t="n"/>
      <c r="AS242" s="6" t="n"/>
      <c r="AT242" s="6" t="n"/>
      <c r="AU242" s="6" t="n"/>
      <c r="AV242" s="3" t="n"/>
      <c r="AW242" s="6" t="n"/>
      <c r="AX242" s="6" t="n"/>
      <c r="AY242" s="6" t="n"/>
      <c r="AZ242" s="6" t="n"/>
      <c r="BA242" s="3" t="n"/>
      <c r="BB242" s="6" t="n"/>
      <c r="BC242" s="6" t="n"/>
      <c r="BD242" s="6" t="n"/>
      <c r="BE242" s="6" t="n"/>
      <c r="BF242" s="3" t="n"/>
      <c r="BG242" s="6" t="n"/>
      <c r="BH242" s="6" t="n"/>
      <c r="BI242" s="6" t="n"/>
      <c r="BJ242" s="6" t="n"/>
      <c r="BK242" s="3" t="n"/>
      <c r="BL242" s="6" t="n"/>
      <c r="BM242" s="6" t="n"/>
      <c r="BN242" s="6" t="n"/>
      <c r="BO242" s="6" t="n"/>
      <c r="BP242" s="3" t="n"/>
      <c r="BQ242" s="6" t="n"/>
      <c r="BR242" s="6" t="n"/>
      <c r="BS242" s="6" t="n"/>
      <c r="BT242" s="6" t="n"/>
      <c r="BU242" s="3" t="n"/>
      <c r="BV242" s="6" t="n"/>
      <c r="BW242" s="6" t="n"/>
      <c r="BX242" s="6" t="n"/>
      <c r="BY242" s="6" t="n"/>
      <c r="BZ242" s="3" t="n"/>
      <c r="CA242" s="6" t="n"/>
      <c r="CB242" s="6" t="n"/>
      <c r="CC242" s="6" t="n"/>
      <c r="CD242" s="6" t="n"/>
      <c r="CE242" s="3" t="n"/>
      <c r="CF242" s="6" t="n"/>
      <c r="CG242" s="6" t="n"/>
      <c r="CH242" s="6" t="n"/>
      <c r="CI242" s="6" t="n"/>
      <c r="CJ242" s="3" t="n"/>
      <c r="CK242" s="6" t="n"/>
      <c r="CL242" s="6" t="n"/>
      <c r="CM242" s="6" t="n"/>
      <c r="CN242" s="6" t="n"/>
      <c r="CO242" s="3" t="n"/>
      <c r="CP242" s="6" t="n"/>
      <c r="CQ242" s="6" t="n"/>
      <c r="CR242" s="6" t="n"/>
      <c r="CS242" s="6" t="n"/>
      <c r="CT242" s="3" t="n"/>
      <c r="CU242" s="6" t="n"/>
      <c r="CV242" s="6" t="n"/>
      <c r="CW242" s="6" t="n"/>
      <c r="CX242" s="6" t="n"/>
      <c r="CY242" s="3" t="n"/>
    </row>
    <row r="243" hidden="1" outlineLevel="1">
      <c r="C243" s="34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/>
      <c r="AT243" s="3" t="n"/>
      <c r="AU243" s="3" t="n"/>
      <c r="AV243" s="3" t="n"/>
      <c r="AW243" s="3" t="n"/>
      <c r="AX243" s="3" t="n"/>
      <c r="AY243" s="3" t="n"/>
      <c r="AZ243" s="3" t="n"/>
      <c r="BA243" s="3" t="n"/>
      <c r="BB243" s="3" t="n"/>
      <c r="BC243" s="3" t="n"/>
      <c r="BD243" s="3" t="n"/>
      <c r="BE243" s="3" t="n"/>
      <c r="BF243" s="3" t="n"/>
      <c r="BG243" s="3" t="n"/>
      <c r="BH243" s="3" t="n"/>
      <c r="BI243" s="3" t="n"/>
      <c r="BJ243" s="3" t="n"/>
      <c r="BK243" s="3" t="n"/>
      <c r="BL243" s="3" t="n"/>
      <c r="BM243" s="3" t="n"/>
      <c r="BN243" s="3" t="n"/>
      <c r="BO243" s="3" t="n"/>
      <c r="BP243" s="3" t="n"/>
      <c r="BQ243" s="3" t="n"/>
      <c r="BR243" s="3" t="n"/>
      <c r="BS243" s="3" t="n"/>
      <c r="BT243" s="3" t="n"/>
      <c r="BU243" s="3" t="n"/>
      <c r="BV243" s="3" t="n"/>
      <c r="BW243" s="3" t="n"/>
      <c r="BX243" s="3" t="n"/>
      <c r="BY243" s="3" t="n"/>
      <c r="BZ243" s="3" t="n"/>
      <c r="CA243" s="3" t="n"/>
      <c r="CB243" s="3" t="n"/>
      <c r="CC243" s="3" t="n"/>
      <c r="CD243" s="3" t="n"/>
      <c r="CE243" s="3" t="n"/>
      <c r="CF243" s="3" t="n"/>
      <c r="CG243" s="3" t="n"/>
      <c r="CH243" s="3" t="n"/>
      <c r="CI243" s="3" t="n"/>
      <c r="CJ243" s="3" t="n"/>
      <c r="CK243" s="3" t="n"/>
      <c r="CL243" s="3" t="n"/>
      <c r="CM243" s="3" t="n"/>
      <c r="CN243" s="3" t="n"/>
      <c r="CO243" s="3" t="n"/>
      <c r="CP243" s="3" t="n"/>
      <c r="CQ243" s="3" t="n"/>
      <c r="CR243" s="3" t="n"/>
      <c r="CS243" s="3" t="n"/>
      <c r="CT243" s="3" t="n"/>
      <c r="CU243" s="3" t="n"/>
      <c r="CV243" s="3" t="n"/>
      <c r="CW243" s="3" t="n"/>
      <c r="CX243" s="3" t="n"/>
      <c r="CY243" s="3" t="n"/>
    </row>
    <row r="244" collapsed="1">
      <c r="C244" s="26" t="inlineStr">
        <is>
          <t>Convertible debt</t>
        </is>
      </c>
      <c r="D244" s="25" t="n"/>
      <c r="E244" s="25" t="n"/>
      <c r="F244" s="25" t="n"/>
      <c r="G244" s="25" t="n"/>
      <c r="H244" s="3">
        <f>G244</f>
        <v>0</v>
      </c>
      <c r="I244" s="25" t="n"/>
      <c r="J244" s="25" t="n"/>
      <c r="K244" s="25" t="n"/>
      <c r="L244" s="25" t="n"/>
      <c r="M244" s="3">
        <f>L244</f>
        <v>0</v>
      </c>
      <c r="N244" s="25" t="n"/>
      <c r="O244" s="25" t="n"/>
      <c r="P244" s="25" t="n"/>
      <c r="Q244" s="25" t="n"/>
      <c r="R244" s="3">
        <f>Q244</f>
        <v>0</v>
      </c>
      <c r="S244" s="25" t="n"/>
      <c r="T244" s="25" t="n"/>
      <c r="U244" s="25" t="n"/>
      <c r="V244" s="25" t="n"/>
      <c r="W244" s="3">
        <f>V244</f>
        <v>0</v>
      </c>
      <c r="X244" s="25" t="n"/>
      <c r="Y244" s="25" t="n"/>
      <c r="Z244" s="25" t="n"/>
      <c r="AA244" s="25" t="n"/>
      <c r="AB244" s="3">
        <f>AA244</f>
        <v>0</v>
      </c>
      <c r="AC244" s="25" t="n"/>
      <c r="AD244" s="25" t="n"/>
      <c r="AE244" s="25" t="n"/>
      <c r="AF244" s="25" t="n"/>
      <c r="AG244" s="3">
        <f>AF244</f>
        <v>0</v>
      </c>
      <c r="AH244" s="3">
        <f>AG244</f>
        <v>0</v>
      </c>
      <c r="AI244" s="3">
        <f>AH244</f>
        <v>0</v>
      </c>
      <c r="AJ244" s="3">
        <f>AI244</f>
        <v>0</v>
      </c>
      <c r="AK244" s="3">
        <f>AJ244</f>
        <v>0</v>
      </c>
      <c r="AL244" s="3">
        <f>AK244</f>
        <v>0</v>
      </c>
      <c r="AM244" s="3">
        <f>AL244</f>
        <v>0</v>
      </c>
      <c r="AN244" s="3">
        <f>AM244</f>
        <v>0</v>
      </c>
      <c r="AO244" s="3">
        <f>AN244</f>
        <v>0</v>
      </c>
      <c r="AP244" s="3">
        <f>AO244</f>
        <v>0</v>
      </c>
      <c r="AQ244" s="3">
        <f>AP244</f>
        <v>0</v>
      </c>
      <c r="AR244" s="3">
        <f>AQ244</f>
        <v>0</v>
      </c>
      <c r="AS244" s="3">
        <f>AR244</f>
        <v>0</v>
      </c>
      <c r="AT244" s="3">
        <f>AS244</f>
        <v>0</v>
      </c>
      <c r="AU244" s="3">
        <f>AT244</f>
        <v>0</v>
      </c>
      <c r="AV244" s="3">
        <f>AU244</f>
        <v>0</v>
      </c>
      <c r="AW244" s="3">
        <f>AV244</f>
        <v>0</v>
      </c>
      <c r="AX244" s="3">
        <f>AW244</f>
        <v>0</v>
      </c>
      <c r="AY244" s="3">
        <f>AX244</f>
        <v>0</v>
      </c>
      <c r="AZ244" s="3">
        <f>AY244</f>
        <v>0</v>
      </c>
      <c r="BA244" s="3">
        <f>AZ244</f>
        <v>0</v>
      </c>
      <c r="BB244" s="3">
        <f>BA244</f>
        <v>0</v>
      </c>
      <c r="BC244" s="3">
        <f>BB244</f>
        <v>0</v>
      </c>
      <c r="BD244" s="3">
        <f>BC244</f>
        <v>0</v>
      </c>
      <c r="BE244" s="3">
        <f>BD244</f>
        <v>0</v>
      </c>
      <c r="BF244" s="3">
        <f>BE244</f>
        <v>0</v>
      </c>
      <c r="BG244" s="3">
        <f>BF244</f>
        <v>0</v>
      </c>
      <c r="BH244" s="3">
        <f>BG244</f>
        <v>0</v>
      </c>
      <c r="BI244" s="3">
        <f>BH244</f>
        <v>0</v>
      </c>
      <c r="BJ244" s="3">
        <f>BI244</f>
        <v>0</v>
      </c>
      <c r="BK244" s="3">
        <f>BJ244</f>
        <v>0</v>
      </c>
      <c r="BL244" s="3">
        <f>BK244</f>
        <v>0</v>
      </c>
      <c r="BM244" s="3">
        <f>BL244</f>
        <v>0</v>
      </c>
      <c r="BN244" s="3">
        <f>BM244</f>
        <v>0</v>
      </c>
      <c r="BO244" s="3">
        <f>BN244</f>
        <v>0</v>
      </c>
      <c r="BP244" s="3">
        <f>BO244</f>
        <v>0</v>
      </c>
      <c r="BQ244" s="3">
        <f>BP244</f>
        <v>0</v>
      </c>
      <c r="BR244" s="3">
        <f>BQ244</f>
        <v>0</v>
      </c>
      <c r="BS244" s="3">
        <f>BR244</f>
        <v>0</v>
      </c>
      <c r="BT244" s="3">
        <f>BS244</f>
        <v>0</v>
      </c>
      <c r="BU244" s="3">
        <f>BT244</f>
        <v>0</v>
      </c>
      <c r="BV244" s="3">
        <f>BU244</f>
        <v>0</v>
      </c>
      <c r="BW244" s="3">
        <f>BV244</f>
        <v>0</v>
      </c>
      <c r="BX244" s="3">
        <f>BW244</f>
        <v>0</v>
      </c>
      <c r="BY244" s="3">
        <f>BX244</f>
        <v>0</v>
      </c>
      <c r="BZ244" s="3">
        <f>BY244</f>
        <v>0</v>
      </c>
      <c r="CA244" s="3">
        <f>BZ244</f>
        <v>0</v>
      </c>
      <c r="CB244" s="3">
        <f>CA244</f>
        <v>0</v>
      </c>
      <c r="CC244" s="3">
        <f>CB244</f>
        <v>0</v>
      </c>
      <c r="CD244" s="3">
        <f>CC244</f>
        <v>0</v>
      </c>
      <c r="CE244" s="3">
        <f>CD244</f>
        <v>0</v>
      </c>
      <c r="CF244" s="3">
        <f>CE244</f>
        <v>0</v>
      </c>
      <c r="CG244" s="3">
        <f>CF244</f>
        <v>0</v>
      </c>
      <c r="CH244" s="3">
        <f>CG244</f>
        <v>0</v>
      </c>
      <c r="CI244" s="3">
        <f>CH244</f>
        <v>0</v>
      </c>
      <c r="CJ244" s="3">
        <f>CI244</f>
        <v>0</v>
      </c>
      <c r="CK244" s="3">
        <f>CJ244</f>
        <v>0</v>
      </c>
      <c r="CL244" s="3">
        <f>CK244</f>
        <v>0</v>
      </c>
      <c r="CM244" s="3">
        <f>CL244</f>
        <v>0</v>
      </c>
      <c r="CN244" s="3">
        <f>CM244</f>
        <v>0</v>
      </c>
      <c r="CO244" s="3">
        <f>CN244</f>
        <v>0</v>
      </c>
      <c r="CP244" s="3">
        <f>CO244</f>
        <v>0</v>
      </c>
      <c r="CQ244" s="3">
        <f>CP244</f>
        <v>0</v>
      </c>
      <c r="CR244" s="3">
        <f>CQ244</f>
        <v>0</v>
      </c>
      <c r="CS244" s="3">
        <f>CR244</f>
        <v>0</v>
      </c>
      <c r="CT244" s="3">
        <f>CS244</f>
        <v>0</v>
      </c>
      <c r="CU244" s="3">
        <f>CT244</f>
        <v>0</v>
      </c>
      <c r="CV244" s="3">
        <f>CU244</f>
        <v>0</v>
      </c>
      <c r="CW244" s="3">
        <f>CV244</f>
        <v>0</v>
      </c>
      <c r="CX244" s="3">
        <f>CW244</f>
        <v>0</v>
      </c>
      <c r="CY244" s="3">
        <f>CX244</f>
        <v>0</v>
      </c>
    </row>
    <row r="245">
      <c r="C245" s="26" t="inlineStr">
        <is>
          <t>Deferred income taxes</t>
        </is>
      </c>
      <c r="D245" s="25">
        <f>INDEX('Inputs (2)'!$D$38:$AL$38,MATCH(D$7,'Inputs (2)'!$D$2:$AL$2,0))</f>
        <v>453.87643072</v>
      </c>
      <c r="E245" s="25">
        <f>INDEX('Inputs (2)'!$D$38:$AL$38,MATCH(E$7,'Inputs (2)'!$D$2:$AL$2,0))</f>
        <v>439.28877317</v>
      </c>
      <c r="F245" s="25">
        <f>INDEX('Inputs (2)'!$D$38:$AL$38,MATCH(F$7,'Inputs (2)'!$D$2:$AL$2,0))</f>
        <v>486.673</v>
      </c>
      <c r="G245" s="25">
        <f>INDEX('Inputs (2)'!$D$38:$AL$38,MATCH(G$7,'Inputs (2)'!$D$2:$AL$2,0))</f>
        <v>621.467</v>
      </c>
      <c r="H245" s="3">
        <f>G245</f>
        <v>621.467</v>
      </c>
      <c r="I245" s="25">
        <f>INDEX('Inputs (2)'!$D$38:$AL$38,MATCH(I$7,'Inputs (2)'!$D$2:$AL$2,0))</f>
        <v>625.738</v>
      </c>
      <c r="J245" s="25">
        <f>INDEX('Inputs (2)'!$D$38:$AL$38,MATCH(J$7,'Inputs (2)'!$D$2:$AL$2,0))</f>
        <v>761.224803474</v>
      </c>
      <c r="K245" s="25">
        <f>INDEX('Inputs (2)'!$D$38:$AL$38,MATCH(K$7,'Inputs (2)'!$D$2:$AL$2,0))</f>
        <v>952.252</v>
      </c>
      <c r="L245" s="25">
        <f>INDEX('Inputs (2)'!$D$38:$AL$38,MATCH(L$7,'Inputs (2)'!$D$2:$AL$2,0))</f>
        <v>1038.582</v>
      </c>
      <c r="M245" s="3">
        <f>L245</f>
        <v>1038.582</v>
      </c>
      <c r="N245" s="25">
        <f>INDEX('Inputs (2)'!$D$38:$AL$38,MATCH(N$7,'Inputs (2)'!$D$2:$AL$2,0))</f>
        <v>1027.149</v>
      </c>
      <c r="O245" s="25">
        <f>INDEX('Inputs (2)'!$D$38:$AL$38,MATCH(O$7,'Inputs (2)'!$D$2:$AL$2,0))</f>
        <v>1146.917</v>
      </c>
      <c r="P245" s="25">
        <f>INDEX('Inputs (2)'!$D$38:$AL$38,MATCH(P$7,'Inputs (2)'!$D$2:$AL$2,0))</f>
        <v>1221.456</v>
      </c>
      <c r="Q245" s="25">
        <f>INDEX('Inputs (2)'!$D$38:$AL$38,MATCH(Q$7,'Inputs (2)'!$D$2:$AL$2,0))</f>
        <v>1205.986</v>
      </c>
      <c r="R245" s="3">
        <f>Q245</f>
        <v>1205.986</v>
      </c>
      <c r="S245" s="25">
        <f>INDEX('Inputs (2)'!$D$38:$AL$38,MATCH(S$7,'Inputs (2)'!$D$2:$AL$2,0))</f>
        <v>1389.6035267574</v>
      </c>
      <c r="T245" s="25">
        <f>INDEX('Inputs (2)'!$D$38:$AL$38,MATCH(T$7,'Inputs (2)'!$D$2:$AL$2,0))</f>
        <v>1518.2618447068</v>
      </c>
      <c r="U245" s="25">
        <f>INDEX('Inputs (2)'!$D$38:$AL$38,MATCH(U$7,'Inputs (2)'!$D$2:$AL$2,0))</f>
        <v>1513.033617955</v>
      </c>
      <c r="V245" s="25">
        <f>INDEX('Inputs (2)'!$D$38:$AL$38,MATCH(V$7,'Inputs (2)'!$D$2:$AL$2,0))</f>
        <v>1494.779262608</v>
      </c>
      <c r="W245" s="3">
        <f>V245</f>
        <v>1494.779262608</v>
      </c>
      <c r="X245" s="25">
        <f>INDEX('Inputs (2)'!$D$38:$AL$38,MATCH(X$7,'Inputs (2)'!$D$2:$AL$2,0))</f>
        <v>1615.290270759</v>
      </c>
      <c r="Y245" s="25">
        <f>INDEX('Inputs (2)'!$D$38:$AL$38,MATCH(Y$7,'Inputs (2)'!$D$2:$AL$2,0))</f>
        <v>1679.8137356</v>
      </c>
      <c r="Z245" s="25">
        <f>INDEX('Inputs (2)'!$D$38:$AL$38,MATCH(Z$7,'Inputs (2)'!$D$2:$AL$2,0))</f>
        <v>1920.669425864</v>
      </c>
      <c r="AA245" s="25">
        <f>INDEX('Inputs (2)'!$D$38:$AL$38,MATCH(AA$7,'Inputs (2)'!$D$2:$AL$2,0))</f>
        <v>1593.23390944</v>
      </c>
      <c r="AB245" s="3">
        <f>AA245</f>
        <v>1593.23390944</v>
      </c>
      <c r="AC245" s="25">
        <f>INDEX('Inputs (2)'!$D$38:$AL$38,MATCH(AC$7,'Inputs (2)'!$D$2:$AL$2,0))</f>
        <v>1591.58878821</v>
      </c>
      <c r="AD245" s="25">
        <f>INDEX('Inputs (2)'!$D$38:$AL$38,MATCH(AD$7,'Inputs (2)'!$D$2:$AL$2,0))</f>
        <v>1660.63737016</v>
      </c>
      <c r="AE245" s="25">
        <f>INDEX('Inputs (2)'!$D$38:$AL$38,MATCH(AE$7,'Inputs (2)'!$D$2:$AL$2,0))</f>
        <v>1697.59706335</v>
      </c>
      <c r="AF245" s="25">
        <f>INDEX('Inputs (2)'!$D$38:$AL$38,MATCH(AF$7,'Inputs (2)'!$D$2:$AL$2,0))</f>
        <v>1895.53506878</v>
      </c>
      <c r="AG245" s="3">
        <f>AF245</f>
        <v>1895.53506878</v>
      </c>
      <c r="AH245" s="3">
        <f>INDEX('Inputs (2)'!$D$38:$AL$38,MATCH(AH$7,'Inputs (2)'!$D$2:$AL$2,0))</f>
        <v>1984.03141804</v>
      </c>
      <c r="AI245" s="3">
        <f>INDEX('Inputs (2)'!$D$38:$AL$38,MATCH(AI$7,'Inputs (2)'!$D$2:$AL$2,0))</f>
        <v>2004.35223231</v>
      </c>
      <c r="AJ245" s="3">
        <f>AI245</f>
        <v>2004.35223231</v>
      </c>
      <c r="AK245" s="3">
        <f>AJ245</f>
        <v>2004.35223231</v>
      </c>
      <c r="AL245" s="3">
        <f>AK245</f>
        <v>2004.35223231</v>
      </c>
      <c r="AM245" s="3">
        <f>AL245</f>
        <v>2004.35223231</v>
      </c>
      <c r="AN245" s="3">
        <f>AM245</f>
        <v>2004.35223231</v>
      </c>
      <c r="AO245" s="3">
        <f>AN245</f>
        <v>2004.35223231</v>
      </c>
      <c r="AP245" s="3">
        <f>AO245</f>
        <v>2004.35223231</v>
      </c>
      <c r="AQ245" s="3">
        <f>AP245</f>
        <v>2004.35223231</v>
      </c>
      <c r="AR245" s="3">
        <f>AQ245</f>
        <v>2004.35223231</v>
      </c>
      <c r="AS245" s="3">
        <f>AR245</f>
        <v>2004.35223231</v>
      </c>
      <c r="AT245" s="3">
        <f>AS245</f>
        <v>2004.35223231</v>
      </c>
      <c r="AU245" s="3">
        <f>AT245</f>
        <v>2004.35223231</v>
      </c>
      <c r="AV245" s="3">
        <f>AU245</f>
        <v>2004.35223231</v>
      </c>
      <c r="AW245" s="3">
        <f>AV245</f>
        <v>2004.35223231</v>
      </c>
      <c r="AX245" s="3">
        <f>AW245</f>
        <v>2004.35223231</v>
      </c>
      <c r="AY245" s="3">
        <f>AX245</f>
        <v>2004.35223231</v>
      </c>
      <c r="AZ245" s="3">
        <f>AY245</f>
        <v>2004.35223231</v>
      </c>
      <c r="BA245" s="3">
        <f>AZ245</f>
        <v>2004.35223231</v>
      </c>
      <c r="BB245" s="3">
        <f>BA245</f>
        <v>2004.35223231</v>
      </c>
      <c r="BC245" s="3">
        <f>BB245</f>
        <v>2004.35223231</v>
      </c>
      <c r="BD245" s="3">
        <f>BC245</f>
        <v>2004.35223231</v>
      </c>
      <c r="BE245" s="3">
        <f>BD245</f>
        <v>2004.35223231</v>
      </c>
      <c r="BF245" s="3">
        <f>BE245</f>
        <v>2004.35223231</v>
      </c>
      <c r="BG245" s="3">
        <f>BF245</f>
        <v>2004.35223231</v>
      </c>
      <c r="BH245" s="3">
        <f>BG245</f>
        <v>2004.35223231</v>
      </c>
      <c r="BI245" s="3">
        <f>BH245</f>
        <v>2004.35223231</v>
      </c>
      <c r="BJ245" s="3">
        <f>BI245</f>
        <v>2004.35223231</v>
      </c>
      <c r="BK245" s="3">
        <f>BJ245</f>
        <v>2004.35223231</v>
      </c>
      <c r="BL245" s="3">
        <f>BK245</f>
        <v>2004.35223231</v>
      </c>
      <c r="BM245" s="3">
        <f>BL245</f>
        <v>2004.35223231</v>
      </c>
      <c r="BN245" s="3">
        <f>BM245</f>
        <v>2004.35223231</v>
      </c>
      <c r="BO245" s="3">
        <f>BN245</f>
        <v>2004.35223231</v>
      </c>
      <c r="BP245" s="3">
        <f>BO245</f>
        <v>2004.35223231</v>
      </c>
      <c r="BQ245" s="3">
        <f>BP245</f>
        <v>2004.35223231</v>
      </c>
      <c r="BR245" s="3">
        <f>BQ245</f>
        <v>2004.35223231</v>
      </c>
      <c r="BS245" s="3">
        <f>BR245</f>
        <v>2004.35223231</v>
      </c>
      <c r="BT245" s="3">
        <f>BS245</f>
        <v>2004.35223231</v>
      </c>
      <c r="BU245" s="3">
        <f>BT245</f>
        <v>2004.35223231</v>
      </c>
      <c r="BV245" s="3">
        <f>BU245</f>
        <v>2004.35223231</v>
      </c>
      <c r="BW245" s="3">
        <f>BV245</f>
        <v>2004.35223231</v>
      </c>
      <c r="BX245" s="3">
        <f>BW245</f>
        <v>2004.35223231</v>
      </c>
      <c r="BY245" s="3">
        <f>BX245</f>
        <v>2004.35223231</v>
      </c>
      <c r="BZ245" s="3">
        <f>BY245</f>
        <v>2004.35223231</v>
      </c>
      <c r="CA245" s="3">
        <f>BZ245</f>
        <v>2004.35223231</v>
      </c>
      <c r="CB245" s="3">
        <f>CA245</f>
        <v>2004.35223231</v>
      </c>
      <c r="CC245" s="3">
        <f>CB245</f>
        <v>2004.35223231</v>
      </c>
      <c r="CD245" s="3">
        <f>CC245</f>
        <v>2004.35223231</v>
      </c>
      <c r="CE245" s="3">
        <f>CD245</f>
        <v>2004.35223231</v>
      </c>
      <c r="CF245" s="3">
        <f>CE245</f>
        <v>2004.35223231</v>
      </c>
      <c r="CG245" s="3">
        <f>CF245</f>
        <v>2004.35223231</v>
      </c>
      <c r="CH245" s="3">
        <f>CG245</f>
        <v>2004.35223231</v>
      </c>
      <c r="CI245" s="3">
        <f>CH245</f>
        <v>2004.35223231</v>
      </c>
      <c r="CJ245" s="3">
        <f>CI245</f>
        <v>2004.35223231</v>
      </c>
      <c r="CK245" s="3">
        <f>CJ245</f>
        <v>2004.35223231</v>
      </c>
      <c r="CL245" s="3">
        <f>CK245</f>
        <v>2004.35223231</v>
      </c>
      <c r="CM245" s="3">
        <f>CL245</f>
        <v>2004.35223231</v>
      </c>
      <c r="CN245" s="3">
        <f>CM245</f>
        <v>2004.35223231</v>
      </c>
      <c r="CO245" s="3">
        <f>CN245</f>
        <v>2004.35223231</v>
      </c>
      <c r="CP245" s="3">
        <f>CO245</f>
        <v>2004.35223231</v>
      </c>
      <c r="CQ245" s="3">
        <f>CP245</f>
        <v>2004.35223231</v>
      </c>
      <c r="CR245" s="3">
        <f>CQ245</f>
        <v>2004.35223231</v>
      </c>
      <c r="CS245" s="3">
        <f>CR245</f>
        <v>2004.35223231</v>
      </c>
      <c r="CT245" s="3">
        <f>CS245</f>
        <v>2004.35223231</v>
      </c>
      <c r="CU245" s="3">
        <f>CT245</f>
        <v>2004.35223231</v>
      </c>
      <c r="CV245" s="3">
        <f>CU245</f>
        <v>2004.35223231</v>
      </c>
      <c r="CW245" s="3">
        <f>CV245</f>
        <v>2004.35223231</v>
      </c>
      <c r="CX245" s="3">
        <f>CW245</f>
        <v>2004.35223231</v>
      </c>
      <c r="CY245" s="3">
        <f>CX245</f>
        <v>2004.35223231</v>
      </c>
    </row>
    <row r="246">
      <c r="C246" s="26" t="inlineStr">
        <is>
          <t>Other non-current liabilities</t>
        </is>
      </c>
      <c r="D246" s="25">
        <f>INDEX('Inputs (2)'!$D$39:$AL$39,MATCH(D$7,'Inputs (2)'!$D$2:$AL$2,0))</f>
        <v>249.04949705</v>
      </c>
      <c r="E246" s="25">
        <f>INDEX('Inputs (2)'!$D$39:$AL$39,MATCH(E$7,'Inputs (2)'!$D$2:$AL$2,0))</f>
        <v>251.8093766</v>
      </c>
      <c r="F246" s="25">
        <f>INDEX('Inputs (2)'!$D$39:$AL$39,MATCH(F$7,'Inputs (2)'!$D$2:$AL$2,0))</f>
        <v>234.662</v>
      </c>
      <c r="G246" s="25">
        <f>INDEX('Inputs (2)'!$D$39:$AL$39,MATCH(G$7,'Inputs (2)'!$D$2:$AL$2,0))</f>
        <v>603.98582469</v>
      </c>
      <c r="H246" s="3">
        <f>G246</f>
        <v>603.98582469</v>
      </c>
      <c r="I246" s="25">
        <f>INDEX('Inputs (2)'!$D$39:$AL$39,MATCH(I$7,'Inputs (2)'!$D$2:$AL$2,0))</f>
        <v>746.9006543</v>
      </c>
      <c r="J246" s="25">
        <f>INDEX('Inputs (2)'!$D$39:$AL$39,MATCH(J$7,'Inputs (2)'!$D$2:$AL$2,0))</f>
        <v>1464.96559789</v>
      </c>
      <c r="K246" s="25">
        <f>INDEX('Inputs (2)'!$D$39:$AL$39,MATCH(K$7,'Inputs (2)'!$D$2:$AL$2,0))</f>
        <v>1577.624</v>
      </c>
      <c r="L246" s="25">
        <f>INDEX('Inputs (2)'!$D$39:$AL$39,MATCH(L$7,'Inputs (2)'!$D$2:$AL$2,0))</f>
        <v>1334.341</v>
      </c>
      <c r="M246" s="3">
        <f>L246</f>
        <v>1334.341</v>
      </c>
      <c r="N246" s="25">
        <f>INDEX('Inputs (2)'!$D$39:$AL$39,MATCH(N$7,'Inputs (2)'!$D$2:$AL$2,0))</f>
        <v>2820.215</v>
      </c>
      <c r="O246" s="25">
        <f>INDEX('Inputs (2)'!$D$39:$AL$39,MATCH(O$7,'Inputs (2)'!$D$2:$AL$2,0))</f>
        <v>3042.713</v>
      </c>
      <c r="P246" s="25">
        <f>INDEX('Inputs (2)'!$D$39:$AL$39,MATCH(P$7,'Inputs (2)'!$D$2:$AL$2,0))</f>
        <v>4484.726</v>
      </c>
      <c r="Q246" s="25">
        <f>INDEX('Inputs (2)'!$D$39:$AL$39,MATCH(Q$7,'Inputs (2)'!$D$2:$AL$2,0))</f>
        <v>5239.022</v>
      </c>
      <c r="R246" s="3">
        <f>Q246</f>
        <v>5239.022</v>
      </c>
      <c r="S246" s="25">
        <f>INDEX('Inputs (2)'!$D$39:$AL$39,MATCH(S$7,'Inputs (2)'!$D$2:$AL$2,0))</f>
        <v>5320.8405055327</v>
      </c>
      <c r="T246" s="25">
        <f>INDEX('Inputs (2)'!$D$39:$AL$39,MATCH(T$7,'Inputs (2)'!$D$2:$AL$2,0))</f>
        <v>5454.1987367712</v>
      </c>
      <c r="U246" s="25">
        <f>INDEX('Inputs (2)'!$D$39:$AL$39,MATCH(U$7,'Inputs (2)'!$D$2:$AL$2,0))</f>
        <v>5512.70312227744</v>
      </c>
      <c r="V246" s="25">
        <f>INDEX('Inputs (2)'!$D$39:$AL$39,MATCH(V$7,'Inputs (2)'!$D$2:$AL$2,0))</f>
        <v>5445.13391247592</v>
      </c>
      <c r="W246" s="3">
        <f>V246</f>
        <v>5445.13391247592</v>
      </c>
      <c r="X246" s="25">
        <f>INDEX('Inputs (2)'!$D$39:$AL$39,MATCH(X$7,'Inputs (2)'!$D$2:$AL$2,0))</f>
        <v>5397.67274667199</v>
      </c>
      <c r="Y246" s="25">
        <f>INDEX('Inputs (2)'!$D$39:$AL$39,MATCH(Y$7,'Inputs (2)'!$D$2:$AL$2,0))</f>
        <v>5191.79676625932</v>
      </c>
      <c r="Z246" s="25">
        <f>INDEX('Inputs (2)'!$D$39:$AL$39,MATCH(Z$7,'Inputs (2)'!$D$2:$AL$2,0))</f>
        <v>4981.9486454055</v>
      </c>
      <c r="AA246" s="25">
        <f>INDEX('Inputs (2)'!$D$39:$AL$39,MATCH(AA$7,'Inputs (2)'!$D$2:$AL$2,0))</f>
        <v>5672.1462521</v>
      </c>
      <c r="AB246" s="3">
        <f>AA246</f>
        <v>5672.1462521</v>
      </c>
      <c r="AC246" s="25">
        <f>INDEX('Inputs (2)'!$D$39:$AL$39,MATCH(AC$7,'Inputs (2)'!$D$2:$AL$2,0))</f>
        <v>5219.72461246</v>
      </c>
      <c r="AD246" s="25">
        <f>INDEX('Inputs (2)'!$D$39:$AL$39,MATCH(AD$7,'Inputs (2)'!$D$2:$AL$2,0))</f>
        <v>5170.98587767</v>
      </c>
      <c r="AE246" s="25">
        <f>INDEX('Inputs (2)'!$D$39:$AL$39,MATCH(AE$7,'Inputs (2)'!$D$2:$AL$2,0))</f>
        <v>6015.90205059</v>
      </c>
      <c r="AF246" s="25">
        <f>INDEX('Inputs (2)'!$D$39:$AL$39,MATCH(AF$7,'Inputs (2)'!$D$2:$AL$2,0))</f>
        <v>5585.13379754</v>
      </c>
      <c r="AG246" s="3">
        <f>AF246</f>
        <v>5585.13379754</v>
      </c>
      <c r="AH246" s="3">
        <f>INDEX('Inputs (2)'!$D$39:$AL$39,MATCH(AH$7,'Inputs (2)'!$D$2:$AL$2,0))</f>
        <v>4604.21896993</v>
      </c>
      <c r="AI246" s="3">
        <f>INDEX('Inputs (2)'!$D$39:$AL$39,MATCH(AI$7,'Inputs (2)'!$D$2:$AL$2,0))</f>
        <v>5000.46659573</v>
      </c>
      <c r="AJ246" s="3">
        <f>AI246</f>
        <v>5000.46659573</v>
      </c>
      <c r="AK246" s="3">
        <f>AJ246</f>
        <v>5000.46659573</v>
      </c>
      <c r="AL246" s="3">
        <f>AK246</f>
        <v>5000.46659573</v>
      </c>
      <c r="AM246" s="3">
        <f>AL246</f>
        <v>5000.46659573</v>
      </c>
      <c r="AN246" s="3">
        <f>AM246</f>
        <v>5000.46659573</v>
      </c>
      <c r="AO246" s="3">
        <f>AN246</f>
        <v>5000.46659573</v>
      </c>
      <c r="AP246" s="3">
        <f>AO246</f>
        <v>5000.46659573</v>
      </c>
      <c r="AQ246" s="3">
        <f>AP246</f>
        <v>5000.46659573</v>
      </c>
      <c r="AR246" s="3">
        <f>AQ246</f>
        <v>5000.46659573</v>
      </c>
      <c r="AS246" s="3">
        <f>AR246</f>
        <v>5000.46659573</v>
      </c>
      <c r="AT246" s="3">
        <f>AS246</f>
        <v>5000.46659573</v>
      </c>
      <c r="AU246" s="3">
        <f>AT246</f>
        <v>5000.46659573</v>
      </c>
      <c r="AV246" s="3">
        <f>AU246</f>
        <v>5000.46659573</v>
      </c>
      <c r="AW246" s="3">
        <f>AV246</f>
        <v>5000.46659573</v>
      </c>
      <c r="AX246" s="3">
        <f>AW246</f>
        <v>5000.46659573</v>
      </c>
      <c r="AY246" s="3">
        <f>AX246</f>
        <v>5000.46659573</v>
      </c>
      <c r="AZ246" s="3">
        <f>AY246</f>
        <v>5000.46659573</v>
      </c>
      <c r="BA246" s="3">
        <f>AZ246</f>
        <v>5000.46659573</v>
      </c>
      <c r="BB246" s="3">
        <f>BA246</f>
        <v>5000.46659573</v>
      </c>
      <c r="BC246" s="3">
        <f>BB246</f>
        <v>5000.46659573</v>
      </c>
      <c r="BD246" s="3">
        <f>BC246</f>
        <v>5000.46659573</v>
      </c>
      <c r="BE246" s="3">
        <f>BD246</f>
        <v>5000.46659573</v>
      </c>
      <c r="BF246" s="3">
        <f>BE246</f>
        <v>5000.46659573</v>
      </c>
      <c r="BG246" s="3">
        <f>BF246</f>
        <v>5000.46659573</v>
      </c>
      <c r="BH246" s="3">
        <f>BG246</f>
        <v>5000.46659573</v>
      </c>
      <c r="BI246" s="3">
        <f>BH246</f>
        <v>5000.46659573</v>
      </c>
      <c r="BJ246" s="3">
        <f>BI246</f>
        <v>5000.46659573</v>
      </c>
      <c r="BK246" s="3">
        <f>BJ246</f>
        <v>5000.46659573</v>
      </c>
      <c r="BL246" s="3">
        <f>BK246</f>
        <v>5000.46659573</v>
      </c>
      <c r="BM246" s="3">
        <f>BL246</f>
        <v>5000.46659573</v>
      </c>
      <c r="BN246" s="3">
        <f>BM246</f>
        <v>5000.46659573</v>
      </c>
      <c r="BO246" s="3">
        <f>BN246</f>
        <v>5000.46659573</v>
      </c>
      <c r="BP246" s="3">
        <f>BO246</f>
        <v>5000.46659573</v>
      </c>
      <c r="BQ246" s="3">
        <f>BP246</f>
        <v>5000.46659573</v>
      </c>
      <c r="BR246" s="3">
        <f>BQ246</f>
        <v>5000.46659573</v>
      </c>
      <c r="BS246" s="3">
        <f>BR246</f>
        <v>5000.46659573</v>
      </c>
      <c r="BT246" s="3">
        <f>BS246</f>
        <v>5000.46659573</v>
      </c>
      <c r="BU246" s="3">
        <f>BT246</f>
        <v>5000.46659573</v>
      </c>
      <c r="BV246" s="3">
        <f>BU246</f>
        <v>5000.46659573</v>
      </c>
      <c r="BW246" s="3">
        <f>BV246</f>
        <v>5000.46659573</v>
      </c>
      <c r="BX246" s="3">
        <f>BW246</f>
        <v>5000.46659573</v>
      </c>
      <c r="BY246" s="3">
        <f>BX246</f>
        <v>5000.46659573</v>
      </c>
      <c r="BZ246" s="3">
        <f>BY246</f>
        <v>5000.46659573</v>
      </c>
      <c r="CA246" s="3">
        <f>BZ246</f>
        <v>5000.46659573</v>
      </c>
      <c r="CB246" s="3">
        <f>CA246</f>
        <v>5000.46659573</v>
      </c>
      <c r="CC246" s="3">
        <f>CB246</f>
        <v>5000.46659573</v>
      </c>
      <c r="CD246" s="3">
        <f>CC246</f>
        <v>5000.46659573</v>
      </c>
      <c r="CE246" s="3">
        <f>CD246</f>
        <v>5000.46659573</v>
      </c>
      <c r="CF246" s="3">
        <f>CE246</f>
        <v>5000.46659573</v>
      </c>
      <c r="CG246" s="3">
        <f>CF246</f>
        <v>5000.46659573</v>
      </c>
      <c r="CH246" s="3">
        <f>CG246</f>
        <v>5000.46659573</v>
      </c>
      <c r="CI246" s="3">
        <f>CH246</f>
        <v>5000.46659573</v>
      </c>
      <c r="CJ246" s="3">
        <f>CI246</f>
        <v>5000.46659573</v>
      </c>
      <c r="CK246" s="3">
        <f>CJ246</f>
        <v>5000.46659573</v>
      </c>
      <c r="CL246" s="3">
        <f>CK246</f>
        <v>5000.46659573</v>
      </c>
      <c r="CM246" s="3">
        <f>CL246</f>
        <v>5000.46659573</v>
      </c>
      <c r="CN246" s="3">
        <f>CM246</f>
        <v>5000.46659573</v>
      </c>
      <c r="CO246" s="3">
        <f>CN246</f>
        <v>5000.46659573</v>
      </c>
      <c r="CP246" s="3">
        <f>CO246</f>
        <v>5000.46659573</v>
      </c>
      <c r="CQ246" s="3">
        <f>CP246</f>
        <v>5000.46659573</v>
      </c>
      <c r="CR246" s="3">
        <f>CQ246</f>
        <v>5000.46659573</v>
      </c>
      <c r="CS246" s="3">
        <f>CR246</f>
        <v>5000.46659573</v>
      </c>
      <c r="CT246" s="3">
        <f>CS246</f>
        <v>5000.46659573</v>
      </c>
      <c r="CU246" s="3">
        <f>CT246</f>
        <v>5000.46659573</v>
      </c>
      <c r="CV246" s="3">
        <f>CU246</f>
        <v>5000.46659573</v>
      </c>
      <c r="CW246" s="3">
        <f>CV246</f>
        <v>5000.46659573</v>
      </c>
      <c r="CX246" s="3">
        <f>CW246</f>
        <v>5000.46659573</v>
      </c>
      <c r="CY246" s="3">
        <f>CX246</f>
        <v>5000.46659573</v>
      </c>
    </row>
    <row r="247" hidden="1" outlineLevel="1" ht="12" customHeight="1">
      <c r="C247" s="38" t="inlineStr">
        <is>
          <t>%(Var.)</t>
        </is>
      </c>
      <c r="D247" s="3" t="n"/>
      <c r="E247" s="47">
        <f>(E246-D246)/D246</f>
        <v>0.0110816507669794</v>
      </c>
      <c r="F247" s="47">
        <f>(F246-E246)/E246</f>
        <v>-0.0680966564133894</v>
      </c>
      <c r="G247" s="47">
        <f>(G246-F246)/F246</f>
        <v>1.57385441481791</v>
      </c>
      <c r="H247" s="3" t="n"/>
      <c r="I247" s="47">
        <f>(I246-H246)/H246</f>
        <v>0.236619509544536</v>
      </c>
      <c r="J247" s="47">
        <f>(J246-I246)/I246</f>
        <v>0.961392843152581</v>
      </c>
      <c r="K247" s="47">
        <f>(K246-J246)/J246</f>
        <v>0.0769017390389663</v>
      </c>
      <c r="L247" s="47">
        <f>(L246-K246)/K246</f>
        <v>-0.154208480601208</v>
      </c>
      <c r="M247" s="3" t="n"/>
      <c r="N247" s="47">
        <f>(N246-M246)/M246</f>
        <v>1.11356392406439</v>
      </c>
      <c r="O247" s="47">
        <f>(O246-N246)/N246</f>
        <v>0.078893985033056</v>
      </c>
      <c r="P247" s="47">
        <f>(P246-O246)/O246</f>
        <v>0.473923436091409</v>
      </c>
      <c r="Q247" s="47">
        <f>(Q246-P246)/P246</f>
        <v>0.168192215087388</v>
      </c>
      <c r="R247" s="3" t="n"/>
      <c r="S247" s="47">
        <f>(S246-R246)/R246</f>
        <v>0.0156171334139655</v>
      </c>
      <c r="T247" s="47">
        <f>(T246-S246)/S246</f>
        <v>0.0250633769420135</v>
      </c>
      <c r="U247" s="47">
        <f>(U246-T246)/T246</f>
        <v>0.0107264858377482</v>
      </c>
      <c r="V247" s="47">
        <f>(V246-U246)/U246</f>
        <v>-0.0122570013843963</v>
      </c>
      <c r="W247" s="3" t="n"/>
      <c r="X247" s="47">
        <f>(X246-W246)/W246</f>
        <v>-0.00871625318436817</v>
      </c>
      <c r="Y247" s="47">
        <f>(Y246-X246)/X246</f>
        <v>-0.0381416195599494</v>
      </c>
      <c r="Z247" s="47">
        <f>(Z246-Y246)/Y246</f>
        <v>-0.0404191709154701</v>
      </c>
      <c r="AA247" s="47">
        <f>(AA246-Z246)/Z246</f>
        <v>0.138539687142504</v>
      </c>
      <c r="AB247" s="3" t="n"/>
      <c r="AC247" s="47">
        <f>(AC246-AB246)/AB246</f>
        <v>-0.0797619841823543</v>
      </c>
      <c r="AD247" s="47">
        <f>(AD246-AC246)/AC246</f>
        <v>-0.00933741498041012</v>
      </c>
      <c r="AE247" s="47">
        <f>(AE246-AD246)/AD246</f>
        <v>0.163395567674749</v>
      </c>
      <c r="AF247" s="230">
        <f>(AF246-AE246)/AE246</f>
        <v>-0.0716049313016579</v>
      </c>
      <c r="AG247" s="3" t="n"/>
      <c r="AH247" s="230">
        <f>(AH246-AG246)/AG246</f>
        <v>-0.175629602292079</v>
      </c>
      <c r="AI247" s="230">
        <f>(AI246-AH246)/AH246</f>
        <v>0.0860618550915759</v>
      </c>
      <c r="AJ247" s="230" t="n"/>
      <c r="AK247" s="230" t="n"/>
      <c r="AL247" s="3" t="n"/>
      <c r="AM247" s="230" t="n"/>
      <c r="AN247" s="230" t="n"/>
      <c r="AO247" s="230" t="n"/>
      <c r="AP247" s="230" t="n"/>
      <c r="AQ247" s="3" t="n"/>
      <c r="AR247" s="230" t="n"/>
      <c r="AS247" s="230" t="n"/>
      <c r="AT247" s="230" t="n"/>
      <c r="AU247" s="230" t="n"/>
      <c r="AV247" s="3" t="n"/>
      <c r="AW247" s="230" t="n"/>
      <c r="AX247" s="230" t="n"/>
      <c r="AY247" s="230" t="n"/>
      <c r="AZ247" s="230" t="n"/>
      <c r="BA247" s="3" t="n"/>
      <c r="BB247" s="230" t="n"/>
      <c r="BC247" s="230" t="n"/>
      <c r="BD247" s="230" t="n"/>
      <c r="BE247" s="230" t="n"/>
      <c r="BF247" s="3" t="n"/>
      <c r="BG247" s="230" t="n"/>
      <c r="BH247" s="230" t="n"/>
      <c r="BI247" s="230" t="n"/>
      <c r="BJ247" s="230" t="n"/>
      <c r="BK247" s="3" t="n"/>
      <c r="BL247" s="230" t="n"/>
      <c r="BM247" s="230" t="n"/>
      <c r="BN247" s="230" t="n"/>
      <c r="BO247" s="230" t="n"/>
      <c r="BP247" s="3" t="n"/>
      <c r="BQ247" s="230" t="n"/>
      <c r="BR247" s="230" t="n"/>
      <c r="BS247" s="230" t="n"/>
      <c r="BT247" s="230" t="n"/>
      <c r="BU247" s="3" t="n"/>
      <c r="BV247" s="230" t="n"/>
      <c r="BW247" s="230" t="n"/>
      <c r="BX247" s="230" t="n"/>
      <c r="BY247" s="230" t="n"/>
      <c r="BZ247" s="3" t="n"/>
      <c r="CA247" s="230" t="n"/>
      <c r="CB247" s="230" t="n"/>
      <c r="CC247" s="230" t="n"/>
      <c r="CD247" s="230" t="n"/>
      <c r="CE247" s="3" t="n"/>
      <c r="CF247" s="230" t="n"/>
      <c r="CG247" s="230" t="n"/>
      <c r="CH247" s="230" t="n"/>
      <c r="CI247" s="230" t="n"/>
      <c r="CJ247" s="3" t="n"/>
      <c r="CK247" s="230" t="n"/>
      <c r="CL247" s="230" t="n"/>
      <c r="CM247" s="230" t="n"/>
      <c r="CN247" s="230" t="n"/>
      <c r="CO247" s="3" t="n"/>
      <c r="CP247" s="230" t="n"/>
      <c r="CQ247" s="230" t="n"/>
      <c r="CR247" s="230" t="n"/>
      <c r="CS247" s="230" t="n"/>
      <c r="CT247" s="3" t="n"/>
      <c r="CU247" s="230" t="n"/>
      <c r="CV247" s="230" t="n"/>
      <c r="CW247" s="230" t="n"/>
      <c r="CX247" s="230" t="n"/>
      <c r="CY247" s="3" t="n"/>
    </row>
    <row r="248" hidden="1" outlineLevel="1" ht="12" customHeight="1">
      <c r="C248" s="38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s="3" t="n"/>
      <c r="AZ248" s="3" t="n"/>
      <c r="BA248" s="3" t="n"/>
      <c r="BB248" s="3" t="n"/>
      <c r="BC248" s="3" t="n"/>
      <c r="BD248" s="3" t="n"/>
      <c r="BE248" s="3" t="n"/>
      <c r="BF248" s="3" t="n"/>
      <c r="BG248" s="3" t="n"/>
      <c r="BH248" s="3" t="n"/>
      <c r="BI248" s="3" t="n"/>
      <c r="BJ248" s="3" t="n"/>
      <c r="BK248" s="3" t="n"/>
      <c r="BL248" s="3" t="n"/>
      <c r="BM248" s="3" t="n"/>
      <c r="BN248" s="3" t="n"/>
      <c r="BO248" s="3" t="n"/>
      <c r="BP248" s="3" t="n"/>
      <c r="BQ248" s="3" t="n"/>
      <c r="BR248" s="3" t="n"/>
      <c r="BS248" s="3" t="n"/>
      <c r="BT248" s="3" t="n"/>
      <c r="BU248" s="3" t="n"/>
      <c r="BV248" s="3" t="n"/>
      <c r="BW248" s="3" t="n"/>
      <c r="BX248" s="3" t="n"/>
      <c r="BY248" s="3" t="n"/>
      <c r="BZ248" s="3" t="n"/>
      <c r="CA248" s="3" t="n"/>
      <c r="CB248" s="3" t="n"/>
      <c r="CC248" s="3" t="n"/>
      <c r="CD248" s="3" t="n"/>
      <c r="CE248" s="3" t="n"/>
      <c r="CF248" s="3" t="n"/>
      <c r="CG248" s="3" t="n"/>
      <c r="CH248" s="3" t="n"/>
      <c r="CI248" s="3" t="n"/>
      <c r="CJ248" s="3" t="n"/>
      <c r="CK248" s="3" t="n"/>
      <c r="CL248" s="3" t="n"/>
      <c r="CM248" s="3" t="n"/>
      <c r="CN248" s="3" t="n"/>
      <c r="CO248" s="3" t="n"/>
      <c r="CP248" s="3" t="n"/>
      <c r="CQ248" s="3" t="n"/>
      <c r="CR248" s="3" t="n"/>
      <c r="CS248" s="3" t="n"/>
      <c r="CT248" s="3" t="n"/>
      <c r="CU248" s="3" t="n"/>
      <c r="CV248" s="3" t="n"/>
      <c r="CW248" s="3" t="n"/>
      <c r="CX248" s="3" t="n"/>
      <c r="CY248" s="3" t="n"/>
    </row>
    <row r="249" hidden="1" outlineLevel="1">
      <c r="C249" s="34" t="inlineStr">
        <is>
          <t>Contas a pagar pela aquisição de controladas</t>
        </is>
      </c>
      <c r="D249" s="6" t="n"/>
      <c r="E249" s="6" t="n"/>
      <c r="F249" s="6" t="n"/>
      <c r="G249" s="6" t="n"/>
      <c r="H249" s="3" t="n"/>
      <c r="I249" s="6" t="n"/>
      <c r="J249" s="6" t="n"/>
      <c r="K249" s="6" t="n"/>
      <c r="L249" s="6" t="n"/>
      <c r="M249" s="3" t="n"/>
      <c r="N249" s="6" t="n"/>
      <c r="O249" s="6" t="n"/>
      <c r="P249" s="6" t="n"/>
      <c r="Q249" s="6" t="n"/>
      <c r="R249" s="3" t="n"/>
      <c r="S249" s="6" t="n"/>
      <c r="T249" s="6" t="n"/>
      <c r="U249" s="6" t="n"/>
      <c r="V249" s="6" t="n"/>
      <c r="W249" s="3" t="n"/>
      <c r="X249" s="6" t="n"/>
      <c r="Y249" s="6" t="n"/>
      <c r="Z249" s="6" t="n"/>
      <c r="AA249" s="6" t="n"/>
      <c r="AB249" s="3" t="n"/>
      <c r="AC249" s="6" t="n"/>
      <c r="AD249" s="6" t="n"/>
      <c r="AE249" s="6" t="n"/>
      <c r="AF249" s="6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3" t="n"/>
      <c r="AX249" s="3" t="n"/>
      <c r="AY249" s="3" t="n"/>
      <c r="AZ249" s="3" t="n"/>
      <c r="BA249" s="3" t="n"/>
      <c r="BB249" s="3" t="n"/>
      <c r="BC249" s="3" t="n"/>
      <c r="BD249" s="3" t="n"/>
      <c r="BE249" s="3" t="n"/>
      <c r="BF249" s="3" t="n"/>
      <c r="BG249" s="3" t="n"/>
      <c r="BH249" s="3" t="n"/>
      <c r="BI249" s="3" t="n"/>
      <c r="BJ249" s="3" t="n"/>
      <c r="BK249" s="3" t="n"/>
      <c r="BL249" s="3" t="n"/>
      <c r="BM249" s="3" t="n"/>
      <c r="BN249" s="3" t="n"/>
      <c r="BO249" s="3" t="n"/>
      <c r="BP249" s="3" t="n"/>
      <c r="BQ249" s="3" t="n"/>
      <c r="BR249" s="3" t="n"/>
      <c r="BS249" s="3" t="n"/>
      <c r="BT249" s="3" t="n"/>
      <c r="BU249" s="3" t="n"/>
      <c r="BV249" s="3" t="n"/>
      <c r="BW249" s="3" t="n"/>
      <c r="BX249" s="3" t="n"/>
      <c r="BY249" s="3" t="n"/>
      <c r="BZ249" s="3" t="n"/>
      <c r="CA249" s="3" t="n"/>
      <c r="CB249" s="3" t="n"/>
      <c r="CC249" s="3" t="n"/>
      <c r="CD249" s="3" t="n"/>
      <c r="CE249" s="3" t="n"/>
      <c r="CF249" s="3" t="n"/>
      <c r="CG249" s="3" t="n"/>
      <c r="CH249" s="3" t="n"/>
      <c r="CI249" s="3" t="n"/>
      <c r="CJ249" s="3" t="n"/>
      <c r="CK249" s="3" t="n"/>
      <c r="CL249" s="3" t="n"/>
      <c r="CM249" s="3" t="n"/>
      <c r="CN249" s="3" t="n"/>
      <c r="CO249" s="3" t="n"/>
      <c r="CP249" s="3" t="n"/>
      <c r="CQ249" s="3" t="n"/>
      <c r="CR249" s="3" t="n"/>
      <c r="CS249" s="3" t="n"/>
      <c r="CT249" s="3" t="n"/>
      <c r="CU249" s="3" t="n"/>
      <c r="CV249" s="3" t="n"/>
      <c r="CW249" s="3" t="n"/>
      <c r="CX249" s="3" t="n"/>
      <c r="CY249" s="3" t="n"/>
    </row>
    <row r="250" hidden="1" outlineLevel="1">
      <c r="C250" s="34" t="inlineStr">
        <is>
          <t xml:space="preserve">Outras Obrigações </t>
        </is>
      </c>
      <c r="D250" s="6" t="n"/>
      <c r="E250" s="6" t="n"/>
      <c r="F250" s="6" t="n"/>
      <c r="G250" s="6" t="n"/>
      <c r="H250" s="3" t="n"/>
      <c r="I250" s="6" t="n"/>
      <c r="J250" s="6" t="n"/>
      <c r="K250" s="6" t="n"/>
      <c r="L250" s="6" t="n"/>
      <c r="M250" s="3" t="n"/>
      <c r="N250" s="6" t="n"/>
      <c r="O250" s="6" t="n"/>
      <c r="P250" s="6" t="n"/>
      <c r="Q250" s="6" t="n"/>
      <c r="R250" s="3" t="n"/>
      <c r="S250" s="6" t="n"/>
      <c r="T250" s="6" t="n"/>
      <c r="U250" s="6" t="n"/>
      <c r="V250" s="6" t="n"/>
      <c r="W250" s="3" t="n"/>
      <c r="X250" s="6" t="n"/>
      <c r="Y250" s="6" t="n"/>
      <c r="Z250" s="6" t="n"/>
      <c r="AA250" s="6" t="n"/>
      <c r="AB250" s="3" t="n"/>
      <c r="AC250" s="6" t="n"/>
      <c r="AD250" s="6" t="n"/>
      <c r="AE250" s="6" t="n"/>
      <c r="AF250" s="6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  <c r="AY250" s="3" t="n"/>
      <c r="AZ250" s="3" t="n"/>
      <c r="BA250" s="3" t="n"/>
      <c r="BB250" s="3" t="n"/>
      <c r="BC250" s="3" t="n"/>
      <c r="BD250" s="3" t="n"/>
      <c r="BE250" s="3" t="n"/>
      <c r="BF250" s="3" t="n"/>
      <c r="BG250" s="3" t="n"/>
      <c r="BH250" s="3" t="n"/>
      <c r="BI250" s="3" t="n"/>
      <c r="BJ250" s="3" t="n"/>
      <c r="BK250" s="3" t="n"/>
      <c r="BL250" s="3" t="n"/>
      <c r="BM250" s="3" t="n"/>
      <c r="BN250" s="3" t="n"/>
      <c r="BO250" s="3" t="n"/>
      <c r="BP250" s="3" t="n"/>
      <c r="BQ250" s="3" t="n"/>
      <c r="BR250" s="3" t="n"/>
      <c r="BS250" s="3" t="n"/>
      <c r="BT250" s="3" t="n"/>
      <c r="BU250" s="3" t="n"/>
      <c r="BV250" s="3" t="n"/>
      <c r="BW250" s="3" t="n"/>
      <c r="BX250" s="3" t="n"/>
      <c r="BY250" s="3" t="n"/>
      <c r="BZ250" s="3" t="n"/>
      <c r="CA250" s="3" t="n"/>
      <c r="CB250" s="3" t="n"/>
      <c r="CC250" s="3" t="n"/>
      <c r="CD250" s="3" t="n"/>
      <c r="CE250" s="3" t="n"/>
      <c r="CF250" s="3" t="n"/>
      <c r="CG250" s="3" t="n"/>
      <c r="CH250" s="3" t="n"/>
      <c r="CI250" s="3" t="n"/>
      <c r="CJ250" s="3" t="n"/>
      <c r="CK250" s="3" t="n"/>
      <c r="CL250" s="3" t="n"/>
      <c r="CM250" s="3" t="n"/>
      <c r="CN250" s="3" t="n"/>
      <c r="CO250" s="3" t="n"/>
      <c r="CP250" s="3" t="n"/>
      <c r="CQ250" s="3" t="n"/>
      <c r="CR250" s="3" t="n"/>
      <c r="CS250" s="3" t="n"/>
      <c r="CT250" s="3" t="n"/>
      <c r="CU250" s="3" t="n"/>
      <c r="CV250" s="3" t="n"/>
      <c r="CW250" s="3" t="n"/>
      <c r="CX250" s="3" t="n"/>
      <c r="CY250" s="3" t="n"/>
    </row>
    <row r="251" hidden="1" outlineLevel="1">
      <c r="C251" s="34" t="inlineStr">
        <is>
          <t xml:space="preserve">Provisão de Risco Cíveis, Trabalhistas e Tributários </t>
        </is>
      </c>
      <c r="D251" s="6" t="n"/>
      <c r="E251" s="6" t="n"/>
      <c r="F251" s="6" t="n"/>
      <c r="G251" s="6" t="n"/>
      <c r="H251" s="3" t="n"/>
      <c r="I251" s="6" t="n"/>
      <c r="J251" s="6" t="n"/>
      <c r="K251" s="6" t="n"/>
      <c r="L251" s="6" t="n"/>
      <c r="M251" s="3" t="n"/>
      <c r="N251" s="6" t="n"/>
      <c r="O251" s="6" t="n"/>
      <c r="P251" s="6" t="n"/>
      <c r="Q251" s="6" t="n"/>
      <c r="R251" s="3" t="n"/>
      <c r="S251" s="6" t="n"/>
      <c r="T251" s="6" t="n"/>
      <c r="U251" s="6" t="n"/>
      <c r="V251" s="6" t="n"/>
      <c r="W251" s="3" t="n"/>
      <c r="X251" s="6" t="n"/>
      <c r="Y251" s="6" t="n"/>
      <c r="Z251" s="6" t="n"/>
      <c r="AA251" s="6" t="n"/>
      <c r="AB251" s="3" t="n"/>
      <c r="AC251" s="6" t="n"/>
      <c r="AD251" s="6" t="n"/>
      <c r="AE251" s="6" t="n"/>
      <c r="AF251" s="6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3" t="n"/>
      <c r="AX251" s="3" t="n"/>
      <c r="AY251" s="3" t="n"/>
      <c r="AZ251" s="3" t="n"/>
      <c r="BA251" s="3" t="n"/>
      <c r="BB251" s="3" t="n"/>
      <c r="BC251" s="3" t="n"/>
      <c r="BD251" s="3" t="n"/>
      <c r="BE251" s="3" t="n"/>
      <c r="BF251" s="3" t="n"/>
      <c r="BG251" s="3" t="n"/>
      <c r="BH251" s="3" t="n"/>
      <c r="BI251" s="3" t="n"/>
      <c r="BJ251" s="3" t="n"/>
      <c r="BK251" s="3" t="n"/>
      <c r="BL251" s="3" t="n"/>
      <c r="BM251" s="3" t="n"/>
      <c r="BN251" s="3" t="n"/>
      <c r="BO251" s="3" t="n"/>
      <c r="BP251" s="3" t="n"/>
      <c r="BQ251" s="3" t="n"/>
      <c r="BR251" s="3" t="n"/>
      <c r="BS251" s="3" t="n"/>
      <c r="BT251" s="3" t="n"/>
      <c r="BU251" s="3" t="n"/>
      <c r="BV251" s="3" t="n"/>
      <c r="BW251" s="3" t="n"/>
      <c r="BX251" s="3" t="n"/>
      <c r="BY251" s="3" t="n"/>
      <c r="BZ251" s="3" t="n"/>
      <c r="CA251" s="3" t="n"/>
      <c r="CB251" s="3" t="n"/>
      <c r="CC251" s="3" t="n"/>
      <c r="CD251" s="3" t="n"/>
      <c r="CE251" s="3" t="n"/>
      <c r="CF251" s="3" t="n"/>
      <c r="CG251" s="3" t="n"/>
      <c r="CH251" s="3" t="n"/>
      <c r="CI251" s="3" t="n"/>
      <c r="CJ251" s="3" t="n"/>
      <c r="CK251" s="3" t="n"/>
      <c r="CL251" s="3" t="n"/>
      <c r="CM251" s="3" t="n"/>
      <c r="CN251" s="3" t="n"/>
      <c r="CO251" s="3" t="n"/>
      <c r="CP251" s="3" t="n"/>
      <c r="CQ251" s="3" t="n"/>
      <c r="CR251" s="3" t="n"/>
      <c r="CS251" s="3" t="n"/>
      <c r="CT251" s="3" t="n"/>
      <c r="CU251" s="3" t="n"/>
      <c r="CV251" s="3" t="n"/>
      <c r="CW251" s="3" t="n"/>
      <c r="CX251" s="3" t="n"/>
      <c r="CY251" s="3" t="n"/>
    </row>
    <row r="252" hidden="1" outlineLevel="1">
      <c r="C252" s="34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/>
      <c r="AW252" s="3" t="n"/>
      <c r="AX252" s="3" t="n"/>
      <c r="AY252" s="3" t="n"/>
      <c r="AZ252" s="3" t="n"/>
      <c r="BA252" s="3" t="n"/>
      <c r="BB252" s="3" t="n"/>
      <c r="BC252" s="3" t="n"/>
      <c r="BD252" s="3" t="n"/>
      <c r="BE252" s="3" t="n"/>
      <c r="BF252" s="3" t="n"/>
      <c r="BG252" s="3" t="n"/>
      <c r="BH252" s="3" t="n"/>
      <c r="BI252" s="3" t="n"/>
      <c r="BJ252" s="3" t="n"/>
      <c r="BK252" s="3" t="n"/>
      <c r="BL252" s="3" t="n"/>
      <c r="BM252" s="3" t="n"/>
      <c r="BN252" s="3" t="n"/>
      <c r="BO252" s="3" t="n"/>
      <c r="BP252" s="3" t="n"/>
      <c r="BQ252" s="3" t="n"/>
      <c r="BR252" s="3" t="n"/>
      <c r="BS252" s="3" t="n"/>
      <c r="BT252" s="3" t="n"/>
      <c r="BU252" s="3" t="n"/>
      <c r="BV252" s="3" t="n"/>
      <c r="BW252" s="3" t="n"/>
      <c r="BX252" s="3" t="n"/>
      <c r="BY252" s="3" t="n"/>
      <c r="BZ252" s="3" t="n"/>
      <c r="CA252" s="3" t="n"/>
      <c r="CB252" s="3" t="n"/>
      <c r="CC252" s="3" t="n"/>
      <c r="CD252" s="3" t="n"/>
      <c r="CE252" s="3" t="n"/>
      <c r="CF252" s="3" t="n"/>
      <c r="CG252" s="3" t="n"/>
      <c r="CH252" s="3" t="n"/>
      <c r="CI252" s="3" t="n"/>
      <c r="CJ252" s="3" t="n"/>
      <c r="CK252" s="3" t="n"/>
      <c r="CL252" s="3" t="n"/>
      <c r="CM252" s="3" t="n"/>
      <c r="CN252" s="3" t="n"/>
      <c r="CO252" s="3" t="n"/>
      <c r="CP252" s="3" t="n"/>
      <c r="CQ252" s="3" t="n"/>
      <c r="CR252" s="3" t="n"/>
      <c r="CS252" s="3" t="n"/>
      <c r="CT252" s="3" t="n"/>
      <c r="CU252" s="3" t="n"/>
      <c r="CV252" s="3" t="n"/>
      <c r="CW252" s="3" t="n"/>
      <c r="CX252" s="3" t="n"/>
      <c r="CY252" s="3" t="n"/>
    </row>
    <row r="253" collapsed="1" customFormat="1" s="17">
      <c r="A253" s="13" t="n"/>
      <c r="B253" s="13" t="n"/>
      <c r="C253" s="27" t="inlineStr">
        <is>
          <t>Total Liabilities</t>
        </is>
      </c>
      <c r="D253" s="16">
        <f>SUM(D204+D208+D210+D211+D218+D219+D220+D223+D241+D244+D245+D246)</f>
        <v>19254.2021010213</v>
      </c>
      <c r="E253" s="16">
        <f>SUM(E204+E208+E210+E211+E218+E219+E220+E223+E241+E244+E245+E246)</f>
        <v>20222.625717053</v>
      </c>
      <c r="F253" s="16">
        <f>SUM(F204+F208+F210+F211+F218+F219+F220+F223+F241+F244+F245+F246)</f>
        <v>19708.609742063</v>
      </c>
      <c r="G253" s="16">
        <f>SUM(G204+G208+G210+G211+G218+G219+G220+G223+G241+G244+G245+G246)</f>
        <v>22338.3980109042</v>
      </c>
      <c r="H253" s="16">
        <f>SUM(H204,H208,H210,H211,H218,H219,H223,H220,H241,H244,H245,H246)</f>
        <v>22338.3980109042</v>
      </c>
      <c r="I253" s="16">
        <f>SUM(I204+I208+I210+I211+I218+I219+I220+I223+I241+I244+I245+I246)</f>
        <v>28007.429105639</v>
      </c>
      <c r="J253" s="16">
        <f>SUM(J204+J208+J210+J211+J218+J219+J220+J223+J241+J244+J245+J246)</f>
        <v>29330.109407122</v>
      </c>
      <c r="K253" s="16">
        <f>SUM(K204+K208+K210+K211+K218+K219+K220+K223+K241+K244+K245+K246)</f>
        <v>35378.812</v>
      </c>
      <c r="L253" s="16">
        <f>SUM(L204+L208+L210+L211+L218+L219+L220+L223+L241+L244+L245+L246)</f>
        <v>42143.934</v>
      </c>
      <c r="M253" s="16">
        <f>SUM(M204,M208,M210,M211,M218,M219,M223,M220,M241,M244,M245,M246)</f>
        <v>42143.934</v>
      </c>
      <c r="N253" s="16">
        <f>SUM(N204+N208+N210+N211+N218+N219+N220+N223+N241+N244+N245+N246)</f>
        <v>42296.152</v>
      </c>
      <c r="O253" s="16">
        <f>SUM(O204+O208+O210+O211+O218+O219+O220+O223+O241+O244+O245+O246)</f>
        <v>48029.908</v>
      </c>
      <c r="P253" s="16">
        <f>SUM(P204+P208+P210+P211+P218+P219+P220+P223+P241+P244+P245+P246)</f>
        <v>53450.05</v>
      </c>
      <c r="Q253" s="16">
        <f>SUM(Q204+Q208+Q210+Q211+Q218+Q219+Q220+Q223+Q241+Q244+Q245+Q246)</f>
        <v>56077.761</v>
      </c>
      <c r="R253" s="16">
        <f>SUM(R204,R208,R210,R211,R218,R219,R223,R220,R241,R244,R245,R246)</f>
        <v>56077.761</v>
      </c>
      <c r="S253" s="16">
        <f>SUM(S204+S208+S210+S211+S218+S219+S220+S223+S241+S244+S245+S246)</f>
        <v>53673.1699486566</v>
      </c>
      <c r="T253" s="16">
        <f>SUM(T204+T208+T210+T211+T218+T219+T220+T223+T241+T244+T245+T246)</f>
        <v>53949.3458800897</v>
      </c>
      <c r="U253" s="16">
        <f>SUM(U204+U208+U210+U211+U218+U219+U220+U223+U241+U244+U245+U246)</f>
        <v>55746.29288623</v>
      </c>
      <c r="V253" s="16">
        <f>SUM(V204+V208+V210+V211+V218+V219+V220+V223+V241+V244+V245+V246)</f>
        <v>63389.1103159902</v>
      </c>
      <c r="W253" s="16">
        <f>SUM(W204,W208,W210,W211,W218,W219,W223,W220,W241,W244,W245,W246)</f>
        <v>63389.1103159902</v>
      </c>
      <c r="X253" s="16">
        <f>SUM(X204+X208+X210+X211+X218+X219+X220+X223+X241+X244+X245+X246)</f>
        <v>67614.1407432987</v>
      </c>
      <c r="Y253" s="16">
        <f>SUM(Y204+Y208+Y210+Y211+Y218+Y219+Y220+Y223+Y241+Y244+Y245+Y246)</f>
        <v>69653.9389117938</v>
      </c>
      <c r="Z253" s="16">
        <f>SUM(Z204+Z208+Z210+Z211+Z218+Z219+Z220+Z223+Z241+Z244+Z245+Z246)</f>
        <v>73193.8661256435</v>
      </c>
      <c r="AA253" s="16">
        <f>SUM(AA204+AA208+AA210+AA211+AA218+AA219+AA220+AA223+AA241+AA244+AA245+AA246)</f>
        <v>77588.23873323</v>
      </c>
      <c r="AB253" s="16">
        <f>SUM(AB204,AB208,AB210,AB211,AB218,AB219,AB223,AB220,AB241,AB244,AB245,AB246)</f>
        <v>77588.23873323</v>
      </c>
      <c r="AC253" s="16">
        <f>SUM(AC204+AC208+AC210+AC211+AC218+AC219+AC220+AC223+AC241+AC244+AC245+AC246)</f>
        <v>75559.96401585</v>
      </c>
      <c r="AD253" s="16">
        <f>SUM(AD204+AD208+AD210+AD211+AD218+AD219+AD220+AD223+AD241+AD244+AD245+AD246)</f>
        <v>75419.8217979</v>
      </c>
      <c r="AE253" s="16">
        <f>SUM(AE204+AE208+AE210+AE211+AE218+AE219+AE220+AE223+AE241+AE244+AE245+AE246)</f>
        <v>75433.29591999</v>
      </c>
      <c r="AF253" s="16">
        <f>SUM(AF204+AF208+AF210+AF211+AF218+AF219+AF220+AF223+AF241+AF244+AF245+AF246)</f>
        <v>79428.1162929</v>
      </c>
      <c r="AG253" s="16">
        <f>SUM(AG204,AG208,AG210,AG211,AG218,AG219,AG223,AG220,AG241,AG244,AG245,AG246)</f>
        <v>79428.1162929</v>
      </c>
      <c r="AH253" s="16">
        <f>SUM(AH204+AH208+AH210+AH211+AH218+AH219+AH220+AH223+AH241+AH244+AH245+AH246)</f>
        <v>80161.83611421</v>
      </c>
      <c r="AI253" s="16">
        <f>SUM(AI204+AI208+AI210+AI211+AI218+AI219+AI220+AI223+AI241+AI244+AI245+AI246)</f>
        <v>81768.80878655</v>
      </c>
      <c r="AJ253" s="16">
        <f>SUM(AJ204+AJ208+AJ210+AJ211+AJ218+AJ219+AJ220+AJ223+AJ241+AJ244+AJ245+AJ246)</f>
        <v>71317.38322078</v>
      </c>
      <c r="AK253" s="16">
        <f>SUM(AK204+AK208+AK210+AK211+AK218+AK219+AK220+AK223+AK241+AK244+AK245+AK246)</f>
        <v>71317.38322078</v>
      </c>
      <c r="AL253" s="16">
        <f>SUM(AL204,AL208,AL210,AL211,AL218,AL219,AL223,AL220,AL241,AL244,AL245,AL246)</f>
        <v>71317.38322078</v>
      </c>
      <c r="AM253" s="16" t="e">
        <f>SUM(AM204+AM208+AM210+AM211+AM218+AM219+AM220+AM223+AM241+AM244+AM245+AM246)</f>
        <v>#DIV/0!</v>
      </c>
      <c r="AN253" s="16">
        <f>SUM(AN204+AN208+AN210+AN211+AN218+AN219+AN220+AN223+AN241+AN244+AN245+AN246)</f>
        <v>71317.38322078</v>
      </c>
      <c r="AO253" s="16" t="e">
        <f>SUM(AO204+AO208+AO210+AO211+AO218+AO219+AO220+AO223+AO241+AO244+AO245+AO246)</f>
        <v>#DIV/0!</v>
      </c>
      <c r="AP253" s="16" t="e">
        <f>SUM(AP204+AP208+AP210+AP211+AP218+AP219+AP220+AP223+AP241+AP244+AP245+AP246)</f>
        <v>#DIV/0!</v>
      </c>
      <c r="AQ253" s="16" t="e">
        <f>SUM(AQ204,AQ208,AQ210,AQ211,AQ218,AQ219,AQ223,AQ220,AQ241,AQ244,AQ245,AQ246)</f>
        <v>#DIV/0!</v>
      </c>
      <c r="AR253" s="16" t="e">
        <f>SUM(AR204+AR208+AR210+AR211+AR218+AR219+AR220+AR223+AR241+AR244+AR245+AR246)</f>
        <v>#DIV/0!</v>
      </c>
      <c r="AS253" s="16" t="e">
        <f>SUM(AS204+AS208+AS210+AS211+AS218+AS219+AS220+AS223+AS241+AS244+AS245+AS246)</f>
        <v>#DIV/0!</v>
      </c>
      <c r="AT253" s="16" t="e">
        <f>SUM(AT204+AT208+AT210+AT211+AT218+AT219+AT220+AT223+AT241+AT244+AT245+AT246)</f>
        <v>#DIV/0!</v>
      </c>
      <c r="AU253" s="16" t="e">
        <f>SUM(AU204+AU208+AU210+AU211+AU218+AU219+AU220+AU223+AU241+AU244+AU245+AU246)</f>
        <v>#DIV/0!</v>
      </c>
      <c r="AV253" s="16" t="e">
        <f>SUM(AV204,AV208,AV210,AV211,AV218,AV219,AV223,AV220,AV241,AV244,AV245,AV246)</f>
        <v>#DIV/0!</v>
      </c>
      <c r="AW253" s="16" t="e">
        <f>SUM(AW204+AW208+AW210+AW211+AW218+AW219+AW220+AW223+AW241+AW244+AW245+AW246)</f>
        <v>#DIV/0!</v>
      </c>
      <c r="AX253" s="16" t="e">
        <f>SUM(AX204+AX208+AX210+AX211+AX218+AX219+AX220+AX223+AX241+AX244+AX245+AX246)</f>
        <v>#DIV/0!</v>
      </c>
      <c r="AY253" s="16" t="e">
        <f>SUM(AY204+AY208+AY210+AY211+AY218+AY219+AY220+AY223+AY241+AY244+AY245+AY246)</f>
        <v>#DIV/0!</v>
      </c>
      <c r="AZ253" s="16" t="e">
        <f>SUM(AZ204+AZ208+AZ210+AZ211+AZ218+AZ219+AZ220+AZ223+AZ241+AZ244+AZ245+AZ246)</f>
        <v>#DIV/0!</v>
      </c>
      <c r="BA253" s="16" t="e">
        <f>SUM(BA204,BA208,BA210,BA211,BA218,BA219,BA223,BA220,BA241,BA244,BA245,BA246)</f>
        <v>#DIV/0!</v>
      </c>
      <c r="BB253" s="16" t="e">
        <f>SUM(BB204+BB208+BB210+BB211+BB218+BB219+BB220+BB223+BB241+BB244+BB245+BB246)</f>
        <v>#DIV/0!</v>
      </c>
      <c r="BC253" s="16" t="e">
        <f>SUM(BC204+BC208+BC210+BC211+BC218+BC219+BC220+BC223+BC241+BC244+BC245+BC246)</f>
        <v>#DIV/0!</v>
      </c>
      <c r="BD253" s="16" t="e">
        <f>SUM(BD204+BD208+BD210+BD211+BD218+BD219+BD220+BD223+BD241+BD244+BD245+BD246)</f>
        <v>#DIV/0!</v>
      </c>
      <c r="BE253" s="16" t="e">
        <f>SUM(BE204+BE208+BE210+BE211+BE218+BE219+BE220+BE223+BE241+BE244+BE245+BE246)</f>
        <v>#DIV/0!</v>
      </c>
      <c r="BF253" s="16" t="e">
        <f>SUM(BF204,BF208,BF210,BF211,BF218,BF219,BF223,BF220,BF241,BF244,BF245,BF246)</f>
        <v>#DIV/0!</v>
      </c>
      <c r="BG253" s="16" t="e">
        <f>SUM(BG204+BG208+BG210+BG211+BG218+BG219+BG220+BG223+BG241+BG244+BG245+BG246)</f>
        <v>#DIV/0!</v>
      </c>
      <c r="BH253" s="16" t="e">
        <f>SUM(BH204+BH208+BH210+BH211+BH218+BH219+BH220+BH223+BH241+BH244+BH245+BH246)</f>
        <v>#DIV/0!</v>
      </c>
      <c r="BI253" s="16" t="e">
        <f>SUM(BI204+BI208+BI210+BI211+BI218+BI219+BI220+BI223+BI241+BI244+BI245+BI246)</f>
        <v>#DIV/0!</v>
      </c>
      <c r="BJ253" s="16" t="e">
        <f>SUM(BJ204+BJ208+BJ210+BJ211+BJ218+BJ219+BJ220+BJ223+BJ241+BJ244+BJ245+BJ246)</f>
        <v>#DIV/0!</v>
      </c>
      <c r="BK253" s="16" t="e">
        <f>SUM(BK204,BK208,BK210,BK211,BK218,BK219,BK223,BK220,BK241,BK244,BK245,BK246)</f>
        <v>#DIV/0!</v>
      </c>
      <c r="BL253" s="16" t="e">
        <f>SUM(BL204+BL208+BL210+BL211+BL218+BL219+BL220+BL223+BL241+BL244+BL245+BL246)</f>
        <v>#DIV/0!</v>
      </c>
      <c r="BM253" s="16" t="e">
        <f>SUM(BM204+BM208+BM210+BM211+BM218+BM219+BM220+BM223+BM241+BM244+BM245+BM246)</f>
        <v>#DIV/0!</v>
      </c>
      <c r="BN253" s="16" t="e">
        <f>SUM(BN204+BN208+BN210+BN211+BN218+BN219+BN220+BN223+BN241+BN244+BN245+BN246)</f>
        <v>#DIV/0!</v>
      </c>
      <c r="BO253" s="16" t="e">
        <f>SUM(BO204+BO208+BO210+BO211+BO218+BO219+BO220+BO223+BO241+BO244+BO245+BO246)</f>
        <v>#DIV/0!</v>
      </c>
      <c r="BP253" s="16" t="e">
        <f>SUM(BP204,BP208,BP210,BP211,BP218,BP219,BP223,BP220,BP241,BP244,BP245,BP246)</f>
        <v>#DIV/0!</v>
      </c>
      <c r="BQ253" s="16" t="e">
        <f>SUM(BQ204+BQ208+BQ210+BQ211+BQ218+BQ219+BQ220+BQ223+BQ241+BQ244+BQ245+BQ246)</f>
        <v>#DIV/0!</v>
      </c>
      <c r="BR253" s="16" t="e">
        <f>SUM(BR204+BR208+BR210+BR211+BR218+BR219+BR220+BR223+BR241+BR244+BR245+BR246)</f>
        <v>#DIV/0!</v>
      </c>
      <c r="BS253" s="16" t="e">
        <f>SUM(BS204+BS208+BS210+BS211+BS218+BS219+BS220+BS223+BS241+BS244+BS245+BS246)</f>
        <v>#DIV/0!</v>
      </c>
      <c r="BT253" s="16" t="e">
        <f>SUM(BT204+BT208+BT210+BT211+BT218+BT219+BT220+BT223+BT241+BT244+BT245+BT246)</f>
        <v>#DIV/0!</v>
      </c>
      <c r="BU253" s="16" t="e">
        <f>SUM(BU204,BU208,BU210,BU211,BU218,BU219,BU223,BU220,BU241,BU244,BU245,BU246)</f>
        <v>#DIV/0!</v>
      </c>
      <c r="BV253" s="16" t="e">
        <f>SUM(BV204+BV208+BV210+BV211+BV218+BV219+BV220+BV223+BV241+BV244+BV245+BV246)</f>
        <v>#DIV/0!</v>
      </c>
      <c r="BW253" s="16" t="e">
        <f>SUM(BW204+BW208+BW210+BW211+BW218+BW219+BW220+BW223+BW241+BW244+BW245+BW246)</f>
        <v>#DIV/0!</v>
      </c>
      <c r="BX253" s="16" t="e">
        <f>SUM(BX204+BX208+BX210+BX211+BX218+BX219+BX220+BX223+BX241+BX244+BX245+BX246)</f>
        <v>#DIV/0!</v>
      </c>
      <c r="BY253" s="16" t="e">
        <f>SUM(BY204+BY208+BY210+BY211+BY218+BY219+BY220+BY223+BY241+BY244+BY245+BY246)</f>
        <v>#DIV/0!</v>
      </c>
      <c r="BZ253" s="16" t="e">
        <f>SUM(BZ204,BZ208,BZ210,BZ211,BZ218,BZ219,BZ223,BZ220,BZ241,BZ244,BZ245,BZ246)</f>
        <v>#DIV/0!</v>
      </c>
      <c r="CA253" s="16" t="e">
        <f>SUM(CA204+CA208+CA210+CA211+CA218+CA219+CA220+CA223+CA241+CA244+CA245+CA246)</f>
        <v>#DIV/0!</v>
      </c>
      <c r="CB253" s="16" t="e">
        <f>SUM(CB204+CB208+CB210+CB211+CB218+CB219+CB220+CB223+CB241+CB244+CB245+CB246)</f>
        <v>#DIV/0!</v>
      </c>
      <c r="CC253" s="16" t="e">
        <f>SUM(CC204+CC208+CC210+CC211+CC218+CC219+CC220+CC223+CC241+CC244+CC245+CC246)</f>
        <v>#DIV/0!</v>
      </c>
      <c r="CD253" s="16" t="e">
        <f>SUM(CD204+CD208+CD210+CD211+CD218+CD219+CD220+CD223+CD241+CD244+CD245+CD246)</f>
        <v>#DIV/0!</v>
      </c>
      <c r="CE253" s="16" t="e">
        <f>SUM(CE204,CE208,CE210,CE211,CE218,CE219,CE223,CE220,CE241,CE244,CE245,CE246)</f>
        <v>#DIV/0!</v>
      </c>
      <c r="CF253" s="16" t="e">
        <f>SUM(CF204+CF208+CF210+CF211+CF218+CF219+CF220+CF223+CF241+CF244+CF245+CF246)</f>
        <v>#DIV/0!</v>
      </c>
      <c r="CG253" s="16" t="e">
        <f>SUM(CG204+CG208+CG210+CG211+CG218+CG219+CG220+CG223+CG241+CG244+CG245+CG246)</f>
        <v>#DIV/0!</v>
      </c>
      <c r="CH253" s="16" t="e">
        <f>SUM(CH204+CH208+CH210+CH211+CH218+CH219+CH220+CH223+CH241+CH244+CH245+CH246)</f>
        <v>#DIV/0!</v>
      </c>
      <c r="CI253" s="16" t="e">
        <f>SUM(CI204+CI208+CI210+CI211+CI218+CI219+CI220+CI223+CI241+CI244+CI245+CI246)</f>
        <v>#DIV/0!</v>
      </c>
      <c r="CJ253" s="16" t="e">
        <f>SUM(CJ204,CJ208,CJ210,CJ211,CJ218,CJ219,CJ223,CJ220,CJ241,CJ244,CJ245,CJ246)</f>
        <v>#DIV/0!</v>
      </c>
      <c r="CK253" s="16" t="e">
        <f>SUM(CK204+CK208+CK210+CK211+CK218+CK219+CK220+CK223+CK241+CK244+CK245+CK246)</f>
        <v>#DIV/0!</v>
      </c>
      <c r="CL253" s="16" t="e">
        <f>SUM(CL204+CL208+CL210+CL211+CL218+CL219+CL220+CL223+CL241+CL244+CL245+CL246)</f>
        <v>#DIV/0!</v>
      </c>
      <c r="CM253" s="16" t="e">
        <f>SUM(CM204+CM208+CM210+CM211+CM218+CM219+CM220+CM223+CM241+CM244+CM245+CM246)</f>
        <v>#DIV/0!</v>
      </c>
      <c r="CN253" s="16" t="e">
        <f>SUM(CN204+CN208+CN210+CN211+CN218+CN219+CN220+CN223+CN241+CN244+CN245+CN246)</f>
        <v>#DIV/0!</v>
      </c>
      <c r="CO253" s="16" t="e">
        <f>SUM(CO204,CO208,CO210,CO211,CO218,CO219,CO223,CO220,CO241,CO244,CO245,CO246)</f>
        <v>#DIV/0!</v>
      </c>
      <c r="CP253" s="16" t="e">
        <f>SUM(CP204+CP208+CP210+CP211+CP218+CP219+CP220+CP223+CP241+CP244+CP245+CP246)</f>
        <v>#DIV/0!</v>
      </c>
      <c r="CQ253" s="16" t="e">
        <f>SUM(CQ204+CQ208+CQ210+CQ211+CQ218+CQ219+CQ220+CQ223+CQ241+CQ244+CQ245+CQ246)</f>
        <v>#DIV/0!</v>
      </c>
      <c r="CR253" s="16" t="e">
        <f>SUM(CR204+CR208+CR210+CR211+CR218+CR219+CR220+CR223+CR241+CR244+CR245+CR246)</f>
        <v>#DIV/0!</v>
      </c>
      <c r="CS253" s="16" t="e">
        <f>SUM(CS204+CS208+CS210+CS211+CS218+CS219+CS220+CS223+CS241+CS244+CS245+CS246)</f>
        <v>#DIV/0!</v>
      </c>
      <c r="CT253" s="16" t="e">
        <f>SUM(CT204,CT208,CT210,CT211,CT218,CT219,CT223,CT220,CT241,CT244,CT245,CT246)</f>
        <v>#DIV/0!</v>
      </c>
      <c r="CU253" s="16" t="e">
        <f>SUM(CU204+CU208+CU210+CU211+CU218+CU219+CU220+CU223+CU241+CU244+CU245+CU246)</f>
        <v>#DIV/0!</v>
      </c>
      <c r="CV253" s="16" t="e">
        <f>SUM(CV204+CV208+CV210+CV211+CV218+CV219+CV220+CV223+CV241+CV244+CV245+CV246)</f>
        <v>#DIV/0!</v>
      </c>
      <c r="CW253" s="16" t="e">
        <f>SUM(CW204+CW208+CW210+CW211+CW218+CW219+CW220+CW223+CW241+CW244+CW245+CW246)</f>
        <v>#DIV/0!</v>
      </c>
      <c r="CX253" s="16" t="e">
        <f>SUM(CX204+CX208+CX210+CX211+CX218+CX219+CX220+CX223+CX241+CX244+CX245+CX246)</f>
        <v>#DIV/0!</v>
      </c>
      <c r="CY253" s="16" t="e">
        <f>SUM(CY204,CY208,CY210,CY211,CY218,CY219,CY223,CY220,CY241,CY244,CY245,CY246)</f>
        <v>#DIV/0!</v>
      </c>
    </row>
    <row r="254">
      <c r="C254" s="26" t="inlineStr">
        <is>
          <t>Minority interest</t>
        </is>
      </c>
      <c r="D254" s="25">
        <f>INDEX('Inputs (2)'!$D$41:$AL$41,MATCH(D$7,'Inputs (2)'!$D$2:$AL$2,0))</f>
        <v>978.441</v>
      </c>
      <c r="E254" s="25">
        <f>INDEX('Inputs (2)'!$D$41:$AL$41,MATCH(E$7,'Inputs (2)'!$D$2:$AL$2,0))</f>
        <v>978.2916931</v>
      </c>
      <c r="F254" s="25">
        <f>INDEX('Inputs (2)'!$D$41:$AL$41,MATCH(F$7,'Inputs (2)'!$D$2:$AL$2,0))</f>
        <v>1277.87</v>
      </c>
      <c r="G254" s="25">
        <f>INDEX('Inputs (2)'!$D$41:$AL$41,MATCH(G$7,'Inputs (2)'!$D$2:$AL$2,0))</f>
        <v>1331.252</v>
      </c>
      <c r="H254" s="3">
        <f>G254</f>
        <v>1331.252</v>
      </c>
      <c r="I254" s="25">
        <f>INDEX('Inputs (2)'!$D$41:$AL$41,MATCH(I$7,'Inputs (2)'!$D$2:$AL$2,0))</f>
        <v>1671.055</v>
      </c>
      <c r="J254" s="25">
        <f>INDEX('Inputs (2)'!$D$41:$AL$41,MATCH(J$7,'Inputs (2)'!$D$2:$AL$2,0))</f>
        <v>1815.693</v>
      </c>
      <c r="K254" s="25">
        <f>INDEX('Inputs (2)'!$D$41:$AL$41,MATCH(K$7,'Inputs (2)'!$D$2:$AL$2,0))</f>
        <v>2296.413</v>
      </c>
      <c r="L254" s="25">
        <f>INDEX('Inputs (2)'!$D$41:$AL$41,MATCH(L$7,'Inputs (2)'!$D$2:$AL$2,0))</f>
        <v>2308.182</v>
      </c>
      <c r="M254" s="3">
        <f>L254</f>
        <v>2308.182</v>
      </c>
      <c r="N254" s="25">
        <f>INDEX('Inputs (2)'!$D$41:$AL$41,MATCH(N$7,'Inputs (2)'!$D$2:$AL$2,0))</f>
        <v>2292.362</v>
      </c>
      <c r="O254" s="25">
        <f>INDEX('Inputs (2)'!$D$41:$AL$41,MATCH(O$7,'Inputs (2)'!$D$2:$AL$2,0))</f>
        <v>2294.679</v>
      </c>
      <c r="P254" s="25">
        <f>INDEX('Inputs (2)'!$D$41:$AL$41,MATCH(P$7,'Inputs (2)'!$D$2:$AL$2,0))</f>
        <v>2785.986</v>
      </c>
      <c r="Q254" s="25">
        <f>INDEX('Inputs (2)'!$D$41:$AL$41,MATCH(Q$7,'Inputs (2)'!$D$2:$AL$2,0))</f>
        <v>2699.977</v>
      </c>
      <c r="R254" s="3">
        <f>Q254</f>
        <v>2699.977</v>
      </c>
      <c r="S254" s="25">
        <f>INDEX('Inputs (2)'!$D$41:$AL$41,MATCH(S$7,'Inputs (2)'!$D$2:$AL$2,0))</f>
        <v>2783.52400000024</v>
      </c>
      <c r="T254" s="25">
        <f>INDEX('Inputs (2)'!$D$41:$AL$41,MATCH(T$7,'Inputs (2)'!$D$2:$AL$2,0))</f>
        <v>2960.64024878801</v>
      </c>
      <c r="U254" s="25">
        <f>INDEX('Inputs (2)'!$D$41:$AL$41,MATCH(U$7,'Inputs (2)'!$D$2:$AL$2,0))</f>
        <v>3452.88228612438</v>
      </c>
      <c r="V254" s="25">
        <f>INDEX('Inputs (2)'!$D$41:$AL$41,MATCH(V$7,'Inputs (2)'!$D$2:$AL$2,0))</f>
        <v>3425.48597793789</v>
      </c>
      <c r="W254" s="3">
        <f>V254</f>
        <v>3425.48597793789</v>
      </c>
      <c r="X254" s="25">
        <f>INDEX('Inputs (2)'!$D$41:$AL$41,MATCH(X$7,'Inputs (2)'!$D$2:$AL$2,0))</f>
        <v>3505.8584617928</v>
      </c>
      <c r="Y254" s="25">
        <f>INDEX('Inputs (2)'!$D$41:$AL$41,MATCH(Y$7,'Inputs (2)'!$D$2:$AL$2,0))</f>
        <v>3600.12051036128</v>
      </c>
      <c r="Z254" s="25">
        <f>INDEX('Inputs (2)'!$D$41:$AL$41,MATCH(Z$7,'Inputs (2)'!$D$2:$AL$2,0))</f>
        <v>3743.75333073443</v>
      </c>
      <c r="AA254" s="25">
        <f>INDEX('Inputs (2)'!$D$41:$AL$41,MATCH(AA$7,'Inputs (2)'!$D$2:$AL$2,0))</f>
        <v>2973.47641786</v>
      </c>
      <c r="AB254" s="3">
        <f>AA254</f>
        <v>2973.47641786</v>
      </c>
      <c r="AC254" s="25">
        <f>INDEX('Inputs (2)'!$D$41:$AL$41,MATCH(AC$7,'Inputs (2)'!$D$2:$AL$2,0))</f>
        <v>2973.15152807</v>
      </c>
      <c r="AD254" s="25">
        <f>INDEX('Inputs (2)'!$D$41:$AL$41,MATCH(AD$7,'Inputs (2)'!$D$2:$AL$2,0))</f>
        <v>2968.92014546</v>
      </c>
      <c r="AE254" s="25">
        <f>INDEX('Inputs (2)'!$D$41:$AL$41,MATCH(AE$7,'Inputs (2)'!$D$2:$AL$2,0))</f>
        <v>3021.07172258</v>
      </c>
      <c r="AF254" s="25">
        <f>INDEX('Inputs (2)'!$D$41:$AL$41,MATCH(AF$7,'Inputs (2)'!$D$2:$AL$2,0))</f>
        <v>2898.1812004</v>
      </c>
      <c r="AG254" s="3">
        <f>AF254</f>
        <v>2898.1812004</v>
      </c>
      <c r="AH254" s="3">
        <f>INDEX('Inputs (2)'!$D$41:$AL$41,MATCH(AH$7,'Inputs (2)'!$D$2:$AL$2,0))</f>
        <v>2877.63107836</v>
      </c>
      <c r="AI254" s="3">
        <f>INDEX('Inputs (2)'!$D$41:$AL$41,MATCH(AI$7,'Inputs (2)'!$D$2:$AL$2,0))</f>
        <v>3938.39084761</v>
      </c>
      <c r="AJ254" s="3">
        <f>AI254-AJ142+AJ257</f>
        <v>3946.07232096</v>
      </c>
      <c r="AK254" s="3">
        <f>AJ254-AK142+AK257</f>
        <v>3995.99264797</v>
      </c>
      <c r="AL254" s="3">
        <f>AK254</f>
        <v>3995.99264797</v>
      </c>
      <c r="AM254" s="3">
        <f>AL254-AM142+AM257</f>
        <v>4001.31332863</v>
      </c>
      <c r="AN254" s="3">
        <f>AM254-AN142+AN257</f>
        <v>4039.66119358</v>
      </c>
      <c r="AO254" s="3">
        <f>AN254-AO142+AO257</f>
        <v>4047.34266693</v>
      </c>
      <c r="AP254" s="3">
        <f>AO254-AP142+AP257</f>
        <v>4097.26299394001</v>
      </c>
      <c r="AQ254" s="3">
        <f>AP254</f>
        <v>4097.26299394001</v>
      </c>
      <c r="AR254" s="3">
        <f>AQ254-AR142+AR257</f>
        <v>4102.58367460001</v>
      </c>
      <c r="AS254" s="3">
        <f>AR254-AS142+AS257</f>
        <v>4140.93153955001</v>
      </c>
      <c r="AT254" s="3">
        <f>AS254-AT142+AT257</f>
        <v>4148.61301290001</v>
      </c>
      <c r="AU254" s="3">
        <f>AT254-AU142+AU257</f>
        <v>4198.53333991001</v>
      </c>
      <c r="AV254" s="3">
        <f>AU254</f>
        <v>4198.53333991001</v>
      </c>
      <c r="AW254" s="3">
        <f>AV254-AW142+AW257</f>
        <v>4203.85402057001</v>
      </c>
      <c r="AX254" s="3">
        <f>AW254-AX142+AX257</f>
        <v>4242.20188552001</v>
      </c>
      <c r="AY254" s="3">
        <f>AX254-AY142+AY257</f>
        <v>4249.88335887001</v>
      </c>
      <c r="AZ254" s="3">
        <f>AY254-AZ142+AZ257</f>
        <v>4299.80368588002</v>
      </c>
      <c r="BA254" s="3">
        <f>AZ254</f>
        <v>4299.80368588002</v>
      </c>
      <c r="BB254" s="3">
        <f>BA254-BB142+BB257</f>
        <v>4305.12436654001</v>
      </c>
      <c r="BC254" s="3">
        <f>BB254-BC142+BC257</f>
        <v>4343.47223149002</v>
      </c>
      <c r="BD254" s="3">
        <f>BC254-BD142+BD257</f>
        <v>4351.15370484002</v>
      </c>
      <c r="BE254" s="3">
        <f>BD254-BE142+BE257</f>
        <v>4401.07403185002</v>
      </c>
      <c r="BF254" s="3">
        <f>BE254</f>
        <v>4401.07403185002</v>
      </c>
      <c r="BG254" s="3">
        <f>BF254-BG142+BG257</f>
        <v>4406.39471251002</v>
      </c>
      <c r="BH254" s="3">
        <f>BG254-BH142+BH257</f>
        <v>4444.74257746002</v>
      </c>
      <c r="BI254" s="3">
        <f>BH254-BI142+BI257</f>
        <v>4452.42405081002</v>
      </c>
      <c r="BJ254" s="3">
        <f>BI254-BJ142+BJ257</f>
        <v>4502.34437782002</v>
      </c>
      <c r="BK254" s="3">
        <f>BJ254</f>
        <v>4502.34437782002</v>
      </c>
      <c r="BL254" s="3">
        <f>BK254-BL142+BL257</f>
        <v>4507.66505848002</v>
      </c>
      <c r="BM254" s="3">
        <f>BL254-BM142+BM257</f>
        <v>4546.01292343003</v>
      </c>
      <c r="BN254" s="3">
        <f>BM254-BN142+BN257</f>
        <v>4553.69439678002</v>
      </c>
      <c r="BO254" s="3">
        <f>BN254-BO142+BO257</f>
        <v>4603.61472379003</v>
      </c>
      <c r="BP254" s="3">
        <f>BO254</f>
        <v>4603.61472379003</v>
      </c>
      <c r="BQ254" s="3">
        <f>BP254-BQ142+BQ257</f>
        <v>4608.93540445003</v>
      </c>
      <c r="BR254" s="3">
        <f>BQ254-BR142+BR257</f>
        <v>4647.28326940003</v>
      </c>
      <c r="BS254" s="3">
        <f>BR254-BS142+BS257</f>
        <v>4654.96474275003</v>
      </c>
      <c r="BT254" s="3">
        <f>BS254-BT142+BT257</f>
        <v>4704.88506976003</v>
      </c>
      <c r="BU254" s="3">
        <f>BT254</f>
        <v>4704.88506976003</v>
      </c>
      <c r="BV254" s="3">
        <f>BU254-BV142+BV257</f>
        <v>4710.20575042003</v>
      </c>
      <c r="BW254" s="3">
        <f>BV254-BW142+BW257</f>
        <v>4748.55361537003</v>
      </c>
      <c r="BX254" s="3">
        <f>BW254-BX142+BX257</f>
        <v>4756.23508872003</v>
      </c>
      <c r="BY254" s="3">
        <f>BX254-BY142+BY257</f>
        <v>4806.15541573004</v>
      </c>
      <c r="BZ254" s="3">
        <f>BY254</f>
        <v>4806.15541573004</v>
      </c>
      <c r="CA254" s="3">
        <f>BZ254-CA142+CA257</f>
        <v>4811.47609639004</v>
      </c>
      <c r="CB254" s="3">
        <f>CA254-CB142+CB257</f>
        <v>4849.82396134004</v>
      </c>
      <c r="CC254" s="3">
        <f>CB254-CC142+CC257</f>
        <v>4857.50543469004</v>
      </c>
      <c r="CD254" s="3">
        <f>CC254-CD142+CD257</f>
        <v>4907.42576170004</v>
      </c>
      <c r="CE254" s="3">
        <f>CD254</f>
        <v>4907.42576170004</v>
      </c>
      <c r="CF254" s="3">
        <f>CE254-CF142+CF257</f>
        <v>4912.74644236004</v>
      </c>
      <c r="CG254" s="3">
        <f>CF254-CG142+CG257</f>
        <v>4951.09430731004</v>
      </c>
      <c r="CH254" s="3">
        <f>CG254-CH142+CH257</f>
        <v>4958.77578066004</v>
      </c>
      <c r="CI254" s="3">
        <f>CH254-CI142+CI257</f>
        <v>5008.69610767004</v>
      </c>
      <c r="CJ254" s="3">
        <f>CI254</f>
        <v>5008.69610767004</v>
      </c>
      <c r="CK254" s="3">
        <f>CJ254-CK142+CK257</f>
        <v>5014.01678833004</v>
      </c>
      <c r="CL254" s="3">
        <f>CK254-CL142+CL257</f>
        <v>5052.36465328005</v>
      </c>
      <c r="CM254" s="3">
        <f>CL254-CM142+CM257</f>
        <v>5060.04612663004</v>
      </c>
      <c r="CN254" s="3">
        <f>CM254-CN142+CN257</f>
        <v>5109.96645364005</v>
      </c>
      <c r="CO254" s="3">
        <f>CN254</f>
        <v>5109.96645364005</v>
      </c>
      <c r="CP254" s="3">
        <f>CO254-CP142+CP257</f>
        <v>5115.28713430005</v>
      </c>
      <c r="CQ254" s="3">
        <f>CP254-CQ142+CQ257</f>
        <v>5153.63499925005</v>
      </c>
      <c r="CR254" s="3">
        <f>CQ254-CR142+CR257</f>
        <v>5161.31647260005</v>
      </c>
      <c r="CS254" s="3">
        <f>CR254-CS142+CS257</f>
        <v>5211.23679961005</v>
      </c>
      <c r="CT254" s="3">
        <f>CS254</f>
        <v>5211.23679961005</v>
      </c>
      <c r="CU254" s="3">
        <f>CT254-CU142+CU257</f>
        <v>5216.55748027005</v>
      </c>
      <c r="CV254" s="3">
        <f>CU254-CV142+CV257</f>
        <v>5254.90534522006</v>
      </c>
      <c r="CW254" s="3">
        <f>CV254-CW142+CW257</f>
        <v>5262.58681857005</v>
      </c>
      <c r="CX254" s="3">
        <f>CW254-CX142+CX257</f>
        <v>5312.50714558006</v>
      </c>
      <c r="CY254" s="3">
        <f>CX254</f>
        <v>5312.50714558006</v>
      </c>
    </row>
    <row r="255" hidden="1" outlineLevel="1" customFormat="1" s="39">
      <c r="A255" s="19" t="n"/>
      <c r="B255" s="19" t="n"/>
      <c r="C255" s="38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  <c r="AI255" s="22" t="n"/>
      <c r="AJ255" s="22" t="n"/>
      <c r="AK255" s="22" t="n"/>
      <c r="AL255" s="22" t="n"/>
      <c r="AM255" s="22" t="n"/>
      <c r="AN255" s="22" t="n"/>
      <c r="AO255" s="22" t="n"/>
      <c r="AP255" s="22" t="n"/>
      <c r="AQ255" s="22" t="n"/>
      <c r="AR255" s="22" t="n"/>
      <c r="AS255" s="22" t="n"/>
      <c r="AT255" s="22" t="n"/>
      <c r="AU255" s="22" t="n"/>
      <c r="AV255" s="22" t="n"/>
      <c r="AW255" s="22" t="n"/>
      <c r="AX255" s="22" t="n"/>
      <c r="AY255" s="22" t="n"/>
      <c r="AZ255" s="22" t="n"/>
      <c r="BA255" s="22" t="n"/>
      <c r="BB255" s="22" t="n"/>
      <c r="BC255" s="22" t="n"/>
      <c r="BD255" s="22" t="n"/>
      <c r="BE255" s="22" t="n"/>
      <c r="BF255" s="22" t="n"/>
      <c r="BG255" s="22" t="n"/>
      <c r="BH255" s="22" t="n"/>
      <c r="BI255" s="22" t="n"/>
      <c r="BJ255" s="22" t="n"/>
      <c r="BK255" s="22" t="n"/>
      <c r="BL255" s="22" t="n"/>
      <c r="BM255" s="22" t="n"/>
      <c r="BN255" s="22" t="n"/>
      <c r="BO255" s="22" t="n"/>
      <c r="BP255" s="22" t="n"/>
      <c r="BQ255" s="22" t="n"/>
      <c r="BR255" s="22" t="n"/>
      <c r="BS255" s="22" t="n"/>
      <c r="BT255" s="22" t="n"/>
      <c r="BU255" s="22" t="n"/>
      <c r="BV255" s="22" t="n"/>
      <c r="BW255" s="22" t="n"/>
      <c r="BX255" s="22" t="n"/>
      <c r="BY255" s="22" t="n"/>
      <c r="BZ255" s="22" t="n"/>
      <c r="CA255" s="22" t="n"/>
      <c r="CB255" s="22" t="n"/>
      <c r="CC255" s="22" t="n"/>
      <c r="CD255" s="22" t="n"/>
      <c r="CE255" s="22" t="n"/>
      <c r="CF255" s="22" t="n"/>
      <c r="CG255" s="22" t="n"/>
      <c r="CH255" s="22" t="n"/>
      <c r="CI255" s="22" t="n"/>
      <c r="CJ255" s="22" t="n"/>
      <c r="CK255" s="22" t="n"/>
      <c r="CL255" s="22" t="n"/>
      <c r="CM255" s="22" t="n"/>
      <c r="CN255" s="22" t="n"/>
      <c r="CO255" s="22" t="n"/>
      <c r="CP255" s="22" t="n"/>
      <c r="CQ255" s="22" t="n"/>
      <c r="CR255" s="22" t="n"/>
      <c r="CS255" s="22" t="n"/>
      <c r="CT255" s="22" t="n"/>
      <c r="CU255" s="22" t="n"/>
      <c r="CV255" s="22" t="n"/>
      <c r="CW255" s="22" t="n"/>
      <c r="CX255" s="22" t="n"/>
      <c r="CY255" s="22" t="n"/>
    </row>
    <row r="256" hidden="1" outlineLevel="1" customFormat="1" s="39">
      <c r="A256" s="19" t="n"/>
      <c r="B256" s="19" t="n"/>
      <c r="C256" s="34" t="inlineStr">
        <is>
          <t>Minority Interest Expense - % YoY</t>
        </is>
      </c>
      <c r="D256" s="22" t="n"/>
      <c r="E256" s="40">
        <f>IF(D141=0,0,E141/D141-1)</f>
        <v>0</v>
      </c>
      <c r="F256" s="22" t="n"/>
      <c r="G256" s="22" t="n"/>
      <c r="H256" s="40" t="n"/>
      <c r="I256" s="22" t="n"/>
      <c r="J256" s="40">
        <f>IF(I141=0,0,J141/I141-1)</f>
        <v>0</v>
      </c>
      <c r="K256" s="22" t="n"/>
      <c r="L256" s="22" t="n"/>
      <c r="M256" s="40" t="n"/>
      <c r="N256" s="40">
        <f>IF(I141=0,0,N141/I141-1)</f>
        <v>0</v>
      </c>
      <c r="O256" s="40">
        <f>IF(J141=0,0,O141/J141-1)</f>
        <v>0</v>
      </c>
      <c r="P256" s="40">
        <f>IF(K141=0,0,P141/K141-1)</f>
        <v>0</v>
      </c>
      <c r="Q256" s="40">
        <f>IF(L141=0,0,Q141/L141-1)</f>
        <v>0</v>
      </c>
      <c r="R256" s="40" t="n"/>
      <c r="S256" s="40">
        <f>IF(N141=0,0,S141/N141-1)</f>
        <v>0</v>
      </c>
      <c r="T256" s="40">
        <f>IF(O141=0,0,T141/O141-1)</f>
        <v>0</v>
      </c>
      <c r="U256" s="40">
        <f>IF(P141=0,0,U141/P141-1)</f>
        <v>0</v>
      </c>
      <c r="V256" s="40">
        <f>IF(Q141=0,0,V141/Q141-1)</f>
        <v>0</v>
      </c>
      <c r="W256" s="40">
        <f>IF(R142=0,0,W142/R142-1)</f>
        <v>-1.34151978394977</v>
      </c>
      <c r="X256" s="40">
        <f>IF(S141=0,0,X141/S141-1)</f>
        <v>0</v>
      </c>
      <c r="Y256" s="40">
        <f>IF(T141=0,0,Y141/T141-1)</f>
        <v>0</v>
      </c>
      <c r="Z256" s="40">
        <f>IF(U141=0,0,Z141/U141-1)</f>
        <v>0</v>
      </c>
      <c r="AA256" s="40">
        <f>IF(V141=0,0,AA141/V141-1)</f>
        <v>0</v>
      </c>
      <c r="AB256" s="40">
        <f>IF(W142=0,0,AB142/W142-1)</f>
        <v>-2.86418947281772</v>
      </c>
      <c r="AC256" s="40">
        <f>IF(X141=0,0,AC141/X141-1)</f>
        <v>0</v>
      </c>
      <c r="AD256" s="40">
        <f>IF(Y141=0,0,AD141/Y141-1)</f>
        <v>0</v>
      </c>
      <c r="AE256" s="40">
        <f>IF(Z141=0,0,AE141/Z141-1)</f>
        <v>0</v>
      </c>
      <c r="AF256" s="40">
        <f>IF(AA141=0,0,AF141/AA141-1)</f>
        <v>0</v>
      </c>
      <c r="AG256" s="40">
        <f>IF(AB142=0,0,AG142/AB142-1)</f>
        <v>-0.405725874798366</v>
      </c>
      <c r="AH256" s="35">
        <f>IF(AC141=0,0,AH141/AC141-1)</f>
        <v>0</v>
      </c>
      <c r="AI256" s="35">
        <f>IF(AD141=0,0,AI141/AD141-1)</f>
        <v>0</v>
      </c>
      <c r="AJ256" s="35" t="n"/>
      <c r="AK256" s="35" t="n"/>
      <c r="AL256" s="40">
        <f>IF(AG142=0,0,AL142/AG142-1)</f>
        <v>-0.416377967784484</v>
      </c>
      <c r="AM256" s="35" t="n"/>
      <c r="AN256" s="35" t="n"/>
      <c r="AO256" s="35" t="n"/>
      <c r="AP256" s="35" t="n"/>
      <c r="AQ256" s="40">
        <f>IF(AL142=0,0,AQ142/AL142-1)</f>
        <v>0</v>
      </c>
      <c r="AR256" s="35" t="n"/>
      <c r="AS256" s="35" t="n"/>
      <c r="AT256" s="35" t="n"/>
      <c r="AU256" s="35" t="n"/>
      <c r="AV256" s="40">
        <f>IF(AQ142=0,0,AV142/AQ142-1)</f>
        <v>0</v>
      </c>
      <c r="AW256" s="35" t="n"/>
      <c r="AX256" s="35" t="n"/>
      <c r="AY256" s="35" t="n"/>
      <c r="AZ256" s="35" t="n"/>
      <c r="BA256" s="40">
        <f>IF(AV142=0,0,BA142/AV142-1)</f>
        <v>0</v>
      </c>
      <c r="BB256" s="35" t="n"/>
      <c r="BC256" s="35" t="n"/>
      <c r="BD256" s="35" t="n"/>
      <c r="BE256" s="35" t="n"/>
      <c r="BF256" s="40">
        <f>IF(BA142=0,0,BF142/BA142-1)</f>
        <v>0</v>
      </c>
      <c r="BG256" s="35" t="n"/>
      <c r="BH256" s="35" t="n"/>
      <c r="BI256" s="35" t="n"/>
      <c r="BJ256" s="35" t="n"/>
      <c r="BK256" s="40">
        <f>IF(BF142=0,0,BK142/BF142-1)</f>
        <v>0</v>
      </c>
      <c r="BL256" s="35" t="n"/>
      <c r="BM256" s="35" t="n"/>
      <c r="BN256" s="35" t="n"/>
      <c r="BO256" s="35" t="n"/>
      <c r="BP256" s="40">
        <f>IF(BK142=0,0,BP142/BK142-1)</f>
        <v>0</v>
      </c>
      <c r="BQ256" s="35" t="n"/>
      <c r="BR256" s="35" t="n"/>
      <c r="BS256" s="35" t="n"/>
      <c r="BT256" s="35" t="n"/>
      <c r="BU256" s="40">
        <f>IF(BP142=0,0,BU142/BP142-1)</f>
        <v>0</v>
      </c>
      <c r="BV256" s="35" t="n"/>
      <c r="BW256" s="35" t="n"/>
      <c r="BX256" s="35" t="n"/>
      <c r="BY256" s="35" t="n"/>
      <c r="BZ256" s="40">
        <f>IF(BU142=0,0,BZ142/BU142-1)</f>
        <v>0</v>
      </c>
      <c r="CA256" s="35" t="n"/>
      <c r="CB256" s="35" t="n"/>
      <c r="CC256" s="35" t="n"/>
      <c r="CD256" s="35" t="n"/>
      <c r="CE256" s="40">
        <f>IF(BZ142=0,0,CE142/BZ142-1)</f>
        <v>0</v>
      </c>
      <c r="CF256" s="35" t="n"/>
      <c r="CG256" s="35" t="n"/>
      <c r="CH256" s="35" t="n"/>
      <c r="CI256" s="35" t="n"/>
      <c r="CJ256" s="40">
        <f>IF(CE142=0,0,CJ142/CE142-1)</f>
        <v>0</v>
      </c>
      <c r="CK256" s="35" t="n"/>
      <c r="CL256" s="35" t="n"/>
      <c r="CM256" s="35" t="n"/>
      <c r="CN256" s="35" t="n"/>
      <c r="CO256" s="40">
        <f>IF(CJ142=0,0,CO142/CJ142-1)</f>
        <v>0</v>
      </c>
      <c r="CP256" s="35" t="n"/>
      <c r="CQ256" s="35" t="n"/>
      <c r="CR256" s="35" t="n"/>
      <c r="CS256" s="35" t="n"/>
      <c r="CT256" s="40">
        <f>IF(CO142=0,0,CT142/CO142-1)</f>
        <v>0</v>
      </c>
      <c r="CU256" s="35" t="n"/>
      <c r="CV256" s="35" t="n"/>
      <c r="CW256" s="35" t="n"/>
      <c r="CX256" s="35" t="n"/>
      <c r="CY256" s="40">
        <f>IF(CT142=0,0,CY142/CT142-1)</f>
        <v>0</v>
      </c>
    </row>
    <row r="257" hidden="1" outlineLevel="1" customFormat="1" s="39">
      <c r="A257" s="19" t="n"/>
      <c r="B257" s="19" t="n"/>
      <c r="C257" s="34" t="inlineStr">
        <is>
          <t>Dividends (enter as -)</t>
        </is>
      </c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35" t="n"/>
      <c r="AI257" s="35" t="n"/>
      <c r="AJ257" s="35" t="n"/>
      <c r="AK257" s="35" t="n"/>
      <c r="AL257" s="22" t="n"/>
      <c r="AM257" s="35" t="n"/>
      <c r="AN257" s="35" t="n"/>
      <c r="AO257" s="35" t="n"/>
      <c r="AP257" s="35" t="n"/>
      <c r="AQ257" s="22" t="n"/>
      <c r="AR257" s="35" t="n"/>
      <c r="AS257" s="35" t="n"/>
      <c r="AT257" s="35" t="n"/>
      <c r="AU257" s="35" t="n"/>
      <c r="AV257" s="22" t="n"/>
      <c r="AW257" s="35" t="n"/>
      <c r="AX257" s="35" t="n"/>
      <c r="AY257" s="35" t="n"/>
      <c r="AZ257" s="35" t="n"/>
      <c r="BA257" s="22" t="n"/>
      <c r="BB257" s="35" t="n"/>
      <c r="BC257" s="35" t="n"/>
      <c r="BD257" s="35" t="n"/>
      <c r="BE257" s="35" t="n"/>
      <c r="BF257" s="22" t="n"/>
      <c r="BG257" s="35" t="n"/>
      <c r="BH257" s="35" t="n"/>
      <c r="BI257" s="35" t="n"/>
      <c r="BJ257" s="35" t="n"/>
      <c r="BK257" s="22" t="n"/>
      <c r="BL257" s="35" t="n"/>
      <c r="BM257" s="35" t="n"/>
      <c r="BN257" s="35" t="n"/>
      <c r="BO257" s="35" t="n"/>
      <c r="BP257" s="22" t="n"/>
      <c r="BQ257" s="35" t="n"/>
      <c r="BR257" s="35" t="n"/>
      <c r="BS257" s="35" t="n"/>
      <c r="BT257" s="35" t="n"/>
      <c r="BU257" s="22" t="n"/>
      <c r="BV257" s="35" t="n"/>
      <c r="BW257" s="35" t="n"/>
      <c r="BX257" s="35" t="n"/>
      <c r="BY257" s="35" t="n"/>
      <c r="BZ257" s="22" t="n"/>
      <c r="CA257" s="35" t="n"/>
      <c r="CB257" s="35" t="n"/>
      <c r="CC257" s="35" t="n"/>
      <c r="CD257" s="35" t="n"/>
      <c r="CE257" s="22" t="n"/>
      <c r="CF257" s="35" t="n"/>
      <c r="CG257" s="35" t="n"/>
      <c r="CH257" s="35" t="n"/>
      <c r="CI257" s="35" t="n"/>
      <c r="CJ257" s="22" t="n"/>
      <c r="CK257" s="35" t="n"/>
      <c r="CL257" s="35" t="n"/>
      <c r="CM257" s="35" t="n"/>
      <c r="CN257" s="35" t="n"/>
      <c r="CO257" s="22" t="n"/>
      <c r="CP257" s="35" t="n"/>
      <c r="CQ257" s="35" t="n"/>
      <c r="CR257" s="35" t="n"/>
      <c r="CS257" s="35" t="n"/>
      <c r="CT257" s="22" t="n"/>
      <c r="CU257" s="35" t="n"/>
      <c r="CV257" s="35" t="n"/>
      <c r="CW257" s="35" t="n"/>
      <c r="CX257" s="35" t="n"/>
      <c r="CY257" s="22" t="n"/>
    </row>
    <row r="258" hidden="1" outlineLevel="1" customFormat="1" s="39">
      <c r="A258" s="19" t="n"/>
      <c r="B258" s="19" t="n"/>
      <c r="C258" s="38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  <c r="AI258" s="22" t="n"/>
      <c r="AJ258" s="22" t="n"/>
      <c r="AK258" s="22" t="n"/>
      <c r="AL258" s="22" t="n"/>
      <c r="AM258" s="22" t="n"/>
      <c r="AN258" s="22" t="n"/>
      <c r="AO258" s="22" t="n"/>
      <c r="AP258" s="22" t="n"/>
      <c r="AQ258" s="22" t="n"/>
      <c r="AR258" s="22" t="n"/>
      <c r="AS258" s="22" t="n"/>
      <c r="AT258" s="22" t="n"/>
      <c r="AU258" s="22" t="n"/>
      <c r="AV258" s="22" t="n"/>
      <c r="AW258" s="22" t="n"/>
      <c r="AX258" s="22" t="n"/>
      <c r="AY258" s="22" t="n"/>
      <c r="AZ258" s="22" t="n"/>
      <c r="BA258" s="22" t="n"/>
      <c r="BB258" s="22" t="n"/>
      <c r="BC258" s="22" t="n"/>
      <c r="BD258" s="22" t="n"/>
      <c r="BE258" s="22" t="n"/>
      <c r="BF258" s="22" t="n"/>
      <c r="BG258" s="22" t="n"/>
      <c r="BH258" s="22" t="n"/>
      <c r="BI258" s="22" t="n"/>
      <c r="BJ258" s="22" t="n"/>
      <c r="BK258" s="22" t="n"/>
      <c r="BL258" s="22" t="n"/>
      <c r="BM258" s="22" t="n"/>
      <c r="BN258" s="22" t="n"/>
      <c r="BO258" s="22" t="n"/>
      <c r="BP258" s="22" t="n"/>
      <c r="BQ258" s="22" t="n"/>
      <c r="BR258" s="22" t="n"/>
      <c r="BS258" s="22" t="n"/>
      <c r="BT258" s="22" t="n"/>
      <c r="BU258" s="22" t="n"/>
      <c r="BV258" s="22" t="n"/>
      <c r="BW258" s="22" t="n"/>
      <c r="BX258" s="22" t="n"/>
      <c r="BY258" s="22" t="n"/>
      <c r="BZ258" s="22" t="n"/>
      <c r="CA258" s="22" t="n"/>
      <c r="CB258" s="22" t="n"/>
      <c r="CC258" s="22" t="n"/>
      <c r="CD258" s="22" t="n"/>
      <c r="CE258" s="22" t="n"/>
      <c r="CF258" s="22" t="n"/>
      <c r="CG258" s="22" t="n"/>
      <c r="CH258" s="22" t="n"/>
      <c r="CI258" s="22" t="n"/>
      <c r="CJ258" s="22" t="n"/>
      <c r="CK258" s="22" t="n"/>
      <c r="CL258" s="22" t="n"/>
      <c r="CM258" s="22" t="n"/>
      <c r="CN258" s="22" t="n"/>
      <c r="CO258" s="22" t="n"/>
      <c r="CP258" s="22" t="n"/>
      <c r="CQ258" s="22" t="n"/>
      <c r="CR258" s="22" t="n"/>
      <c r="CS258" s="22" t="n"/>
      <c r="CT258" s="22" t="n"/>
      <c r="CU258" s="22" t="n"/>
      <c r="CV258" s="22" t="n"/>
      <c r="CW258" s="22" t="n"/>
      <c r="CX258" s="22" t="n"/>
      <c r="CY258" s="22" t="n"/>
    </row>
    <row r="259" collapsed="1">
      <c r="C259" s="26" t="inlineStr">
        <is>
          <t>Convertible Preferred Stock</t>
        </is>
      </c>
      <c r="D259" s="25" t="n"/>
      <c r="E259" s="25" t="n"/>
      <c r="F259" s="25" t="n"/>
      <c r="G259" s="25" t="n"/>
      <c r="H259" s="3">
        <f>G259</f>
        <v>0</v>
      </c>
      <c r="I259" s="25" t="n"/>
      <c r="J259" s="25" t="n"/>
      <c r="K259" s="25" t="n"/>
      <c r="L259" s="25" t="n"/>
      <c r="M259" s="3">
        <f>L259</f>
        <v>0</v>
      </c>
      <c r="N259" s="25" t="n"/>
      <c r="O259" s="25" t="n"/>
      <c r="P259" s="25" t="n"/>
      <c r="Q259" s="25" t="n"/>
      <c r="R259" s="3">
        <f>Q259</f>
        <v>0</v>
      </c>
      <c r="S259" s="25" t="n"/>
      <c r="T259" s="25" t="n"/>
      <c r="U259" s="25" t="n"/>
      <c r="V259" s="25" t="n"/>
      <c r="W259" s="3">
        <f>V259</f>
        <v>0</v>
      </c>
      <c r="X259" s="25" t="n"/>
      <c r="Y259" s="25" t="n"/>
      <c r="Z259" s="25" t="n"/>
      <c r="AA259" s="25" t="n"/>
      <c r="AB259" s="3">
        <f>AA259</f>
        <v>0</v>
      </c>
      <c r="AC259" s="25" t="n"/>
      <c r="AD259" s="25" t="n"/>
      <c r="AE259" s="25" t="n"/>
      <c r="AF259" s="25" t="n"/>
      <c r="AG259" s="3">
        <f>AF259</f>
        <v>0</v>
      </c>
      <c r="AH259" s="3">
        <f>AG259</f>
        <v>0</v>
      </c>
      <c r="AI259" s="3">
        <f>AH259</f>
        <v>0</v>
      </c>
      <c r="AJ259" s="3">
        <f>AI259</f>
        <v>0</v>
      </c>
      <c r="AK259" s="3">
        <f>AJ259</f>
        <v>0</v>
      </c>
      <c r="AL259" s="3">
        <f>AK259</f>
        <v>0</v>
      </c>
      <c r="AM259" s="3">
        <f>AL259</f>
        <v>0</v>
      </c>
      <c r="AN259" s="3">
        <f>AM259</f>
        <v>0</v>
      </c>
      <c r="AO259" s="3">
        <f>AN259</f>
        <v>0</v>
      </c>
      <c r="AP259" s="3">
        <f>AO259</f>
        <v>0</v>
      </c>
      <c r="AQ259" s="3">
        <f>AP259</f>
        <v>0</v>
      </c>
      <c r="AR259" s="3">
        <f>AQ259</f>
        <v>0</v>
      </c>
      <c r="AS259" s="3">
        <f>AR259</f>
        <v>0</v>
      </c>
      <c r="AT259" s="3">
        <f>AS259</f>
        <v>0</v>
      </c>
      <c r="AU259" s="3">
        <f>AT259</f>
        <v>0</v>
      </c>
      <c r="AV259" s="3">
        <f>AU259</f>
        <v>0</v>
      </c>
      <c r="AW259" s="3">
        <f>AV259</f>
        <v>0</v>
      </c>
      <c r="AX259" s="3">
        <f>AW259</f>
        <v>0</v>
      </c>
      <c r="AY259" s="3">
        <f>AX259</f>
        <v>0</v>
      </c>
      <c r="AZ259" s="3">
        <f>AY259</f>
        <v>0</v>
      </c>
      <c r="BA259" s="3">
        <f>AZ259</f>
        <v>0</v>
      </c>
      <c r="BB259" s="3">
        <f>BA259</f>
        <v>0</v>
      </c>
      <c r="BC259" s="3">
        <f>BB259</f>
        <v>0</v>
      </c>
      <c r="BD259" s="3">
        <f>BC259</f>
        <v>0</v>
      </c>
      <c r="BE259" s="3">
        <f>BD259</f>
        <v>0</v>
      </c>
      <c r="BF259" s="3">
        <f>BE259</f>
        <v>0</v>
      </c>
      <c r="BG259" s="3">
        <f>BF259</f>
        <v>0</v>
      </c>
      <c r="BH259" s="3">
        <f>BG259</f>
        <v>0</v>
      </c>
      <c r="BI259" s="3">
        <f>BH259</f>
        <v>0</v>
      </c>
      <c r="BJ259" s="3">
        <f>BI259</f>
        <v>0</v>
      </c>
      <c r="BK259" s="3">
        <f>BJ259</f>
        <v>0</v>
      </c>
      <c r="BL259" s="3">
        <f>BK259</f>
        <v>0</v>
      </c>
      <c r="BM259" s="3">
        <f>BL259</f>
        <v>0</v>
      </c>
      <c r="BN259" s="3">
        <f>BM259</f>
        <v>0</v>
      </c>
      <c r="BO259" s="3">
        <f>BN259</f>
        <v>0</v>
      </c>
      <c r="BP259" s="3">
        <f>BO259</f>
        <v>0</v>
      </c>
      <c r="BQ259" s="3">
        <f>BP259</f>
        <v>0</v>
      </c>
      <c r="BR259" s="3">
        <f>BQ259</f>
        <v>0</v>
      </c>
      <c r="BS259" s="3">
        <f>BR259</f>
        <v>0</v>
      </c>
      <c r="BT259" s="3">
        <f>BS259</f>
        <v>0</v>
      </c>
      <c r="BU259" s="3">
        <f>BT259</f>
        <v>0</v>
      </c>
      <c r="BV259" s="3">
        <f>BU259</f>
        <v>0</v>
      </c>
      <c r="BW259" s="3">
        <f>BV259</f>
        <v>0</v>
      </c>
      <c r="BX259" s="3">
        <f>BW259</f>
        <v>0</v>
      </c>
      <c r="BY259" s="3">
        <f>BX259</f>
        <v>0</v>
      </c>
      <c r="BZ259" s="3">
        <f>BY259</f>
        <v>0</v>
      </c>
      <c r="CA259" s="3">
        <f>BZ259</f>
        <v>0</v>
      </c>
      <c r="CB259" s="3">
        <f>CA259</f>
        <v>0</v>
      </c>
      <c r="CC259" s="3">
        <f>CB259</f>
        <v>0</v>
      </c>
      <c r="CD259" s="3">
        <f>CC259</f>
        <v>0</v>
      </c>
      <c r="CE259" s="3">
        <f>CD259</f>
        <v>0</v>
      </c>
      <c r="CF259" s="3">
        <f>CE259</f>
        <v>0</v>
      </c>
      <c r="CG259" s="3">
        <f>CF259</f>
        <v>0</v>
      </c>
      <c r="CH259" s="3">
        <f>CG259</f>
        <v>0</v>
      </c>
      <c r="CI259" s="3">
        <f>CH259</f>
        <v>0</v>
      </c>
      <c r="CJ259" s="3">
        <f>CI259</f>
        <v>0</v>
      </c>
      <c r="CK259" s="3">
        <f>CJ259</f>
        <v>0</v>
      </c>
      <c r="CL259" s="3">
        <f>CK259</f>
        <v>0</v>
      </c>
      <c r="CM259" s="3">
        <f>CL259</f>
        <v>0</v>
      </c>
      <c r="CN259" s="3">
        <f>CM259</f>
        <v>0</v>
      </c>
      <c r="CO259" s="3">
        <f>CN259</f>
        <v>0</v>
      </c>
      <c r="CP259" s="3">
        <f>CO259</f>
        <v>0</v>
      </c>
      <c r="CQ259" s="3">
        <f>CP259</f>
        <v>0</v>
      </c>
      <c r="CR259" s="3">
        <f>CQ259</f>
        <v>0</v>
      </c>
      <c r="CS259" s="3">
        <f>CR259</f>
        <v>0</v>
      </c>
      <c r="CT259" s="3">
        <f>CS259</f>
        <v>0</v>
      </c>
      <c r="CU259" s="3">
        <f>CT259</f>
        <v>0</v>
      </c>
      <c r="CV259" s="3">
        <f>CU259</f>
        <v>0</v>
      </c>
      <c r="CW259" s="3">
        <f>CV259</f>
        <v>0</v>
      </c>
      <c r="CX259" s="3">
        <f>CW259</f>
        <v>0</v>
      </c>
      <c r="CY259" s="3">
        <f>CX259</f>
        <v>0</v>
      </c>
    </row>
    <row r="260">
      <c r="C260" s="24" t="inlineStr">
        <is>
          <t>Common Stock and APIC</t>
        </is>
      </c>
      <c r="D260" s="25">
        <f>INDEX('Inputs (2)'!$D$43:$AL$43,MATCH(D$7,'Inputs (2)'!$D$2:$AL$2,0))</f>
        <v>755.413</v>
      </c>
      <c r="E260" s="25">
        <f>INDEX('Inputs (2)'!$D$43:$AL$43,MATCH(E$7,'Inputs (2)'!$D$2:$AL$2,0))</f>
        <v>726.68284879</v>
      </c>
      <c r="F260" s="25">
        <f>INDEX('Inputs (2)'!$D$43:$AL$43,MATCH(F$7,'Inputs (2)'!$D$2:$AL$2,0))</f>
        <v>1287.881</v>
      </c>
      <c r="G260" s="25">
        <f>INDEX('Inputs (2)'!$D$43:$AL$43,MATCH(G$7,'Inputs (2)'!$D$2:$AL$2,0))</f>
        <v>1289.089</v>
      </c>
      <c r="H260" s="3">
        <f>G260</f>
        <v>1289.089</v>
      </c>
      <c r="I260" s="25">
        <f>INDEX('Inputs (2)'!$D$43:$AL$43,MATCH(I$7,'Inputs (2)'!$D$2:$AL$2,0))</f>
        <v>2085.851</v>
      </c>
      <c r="J260" s="25">
        <f>INDEX('Inputs (2)'!$D$43:$AL$43,MATCH(J$7,'Inputs (2)'!$D$2:$AL$2,0))</f>
        <v>2129.322</v>
      </c>
      <c r="K260" s="25">
        <f>INDEX('Inputs (2)'!$D$43:$AL$43,MATCH(K$7,'Inputs (2)'!$D$2:$AL$2,0))</f>
        <v>2700.107</v>
      </c>
      <c r="L260" s="25">
        <f>INDEX('Inputs (2)'!$D$43:$AL$43,MATCH(L$7,'Inputs (2)'!$D$2:$AL$2,0))</f>
        <v>2797.673</v>
      </c>
      <c r="M260" s="3">
        <f>L260</f>
        <v>2797.673</v>
      </c>
      <c r="N260" s="25">
        <f>INDEX('Inputs (2)'!$D$43:$AL$43,MATCH(N$7,'Inputs (2)'!$D$2:$AL$2,0))</f>
        <v>2750.212</v>
      </c>
      <c r="O260" s="25">
        <f>INDEX('Inputs (2)'!$D$43:$AL$43,MATCH(O$7,'Inputs (2)'!$D$2:$AL$2,0))</f>
        <v>2742.18</v>
      </c>
      <c r="P260" s="25">
        <f>INDEX('Inputs (2)'!$D$43:$AL$43,MATCH(P$7,'Inputs (2)'!$D$2:$AL$2,0))</f>
        <v>3135.068</v>
      </c>
      <c r="Q260" s="25">
        <f>INDEX('Inputs (2)'!$D$43:$AL$43,MATCH(Q$7,'Inputs (2)'!$D$2:$AL$2,0))</f>
        <v>3077.551</v>
      </c>
      <c r="R260" s="3">
        <f>Q260</f>
        <v>3077.551</v>
      </c>
      <c r="S260" s="25">
        <f>INDEX('Inputs (2)'!$D$43:$AL$43,MATCH(S$7,'Inputs (2)'!$D$2:$AL$2,0))</f>
        <v>3481.279081264</v>
      </c>
      <c r="T260" s="25">
        <f>INDEX('Inputs (2)'!$D$43:$AL$43,MATCH(T$7,'Inputs (2)'!$D$2:$AL$2,0))</f>
        <v>3481.279081264</v>
      </c>
      <c r="U260" s="25">
        <f>INDEX('Inputs (2)'!$D$43:$AL$43,MATCH(U$7,'Inputs (2)'!$D$2:$AL$2,0))</f>
        <v>3427.221941174</v>
      </c>
      <c r="V260" s="25">
        <f>INDEX('Inputs (2)'!$D$43:$AL$43,MATCH(V$7,'Inputs (2)'!$D$2:$AL$2,0))</f>
        <v>3426.629393914</v>
      </c>
      <c r="W260" s="3">
        <f>V260</f>
        <v>3426.629393914</v>
      </c>
      <c r="X260" s="25">
        <f>INDEX('Inputs (2)'!$D$43:$AL$43,MATCH(X$7,'Inputs (2)'!$D$2:$AL$2,0))</f>
        <v>3279.870633084</v>
      </c>
      <c r="Y260" s="25">
        <f>INDEX('Inputs (2)'!$D$43:$AL$43,MATCH(Y$7,'Inputs (2)'!$D$2:$AL$2,0))</f>
        <v>3278.486599124</v>
      </c>
      <c r="Z260" s="25">
        <f>INDEX('Inputs (2)'!$D$43:$AL$43,MATCH(Z$7,'Inputs (2)'!$D$2:$AL$2,0))</f>
        <v>3277.306809334</v>
      </c>
      <c r="AA260" s="25">
        <f>INDEX('Inputs (2)'!$D$43:$AL$43,MATCH(AA$7,'Inputs (2)'!$D$2:$AL$2,0))</f>
        <v>3096.41769985</v>
      </c>
      <c r="AB260" s="3">
        <f>AA260</f>
        <v>3096.41769985</v>
      </c>
      <c r="AC260" s="25">
        <f>INDEX('Inputs (2)'!$D$43:$AL$43,MATCH(AC$7,'Inputs (2)'!$D$2:$AL$2,0))</f>
        <v>2986.67783237</v>
      </c>
      <c r="AD260" s="25">
        <f>INDEX('Inputs (2)'!$D$43:$AL$43,MATCH(AD$7,'Inputs (2)'!$D$2:$AL$2,0))</f>
        <v>3014.16328918</v>
      </c>
      <c r="AE260" s="25">
        <f>INDEX('Inputs (2)'!$D$43:$AL$43,MATCH(AE$7,'Inputs (2)'!$D$2:$AL$2,0))</f>
        <v>2983.71672658</v>
      </c>
      <c r="AF260" s="25">
        <f>INDEX('Inputs (2)'!$D$43:$AL$43,MATCH(AF$7,'Inputs (2)'!$D$2:$AL$2,0))</f>
        <v>3163.878979</v>
      </c>
      <c r="AG260" s="3">
        <f>AF260</f>
        <v>3163.878979</v>
      </c>
      <c r="AH260" s="3">
        <f>INDEX('Inputs (2)'!$D$43:$AL$43,MATCH(AH$7,'Inputs (2)'!$D$2:$AL$2,0))</f>
        <v>2984.41003072</v>
      </c>
      <c r="AI260" s="3">
        <f>INDEX('Inputs (2)'!$D$43:$AL$43,MATCH(AI$7,'Inputs (2)'!$D$2:$AL$2,0))</f>
        <v>5036.05917879</v>
      </c>
      <c r="AJ260" s="3">
        <f>AI260+AJ264</f>
        <v>5036.05917879</v>
      </c>
      <c r="AK260" s="3">
        <f>AJ260+AK264</f>
        <v>5036.05917879</v>
      </c>
      <c r="AL260" s="3">
        <f>AK260</f>
        <v>5036.05917879</v>
      </c>
      <c r="AM260" s="3">
        <f>AL260+AM264</f>
        <v>5036.05917879</v>
      </c>
      <c r="AN260" s="3">
        <f>AM260+AN264</f>
        <v>5036.05917879</v>
      </c>
      <c r="AO260" s="3">
        <f>AN260+AO264</f>
        <v>5036.05917879</v>
      </c>
      <c r="AP260" s="3">
        <f>AO260+AP264</f>
        <v>5036.05917879</v>
      </c>
      <c r="AQ260" s="3">
        <f>AP260</f>
        <v>5036.05917879</v>
      </c>
      <c r="AR260" s="3">
        <f>AQ260+AR264</f>
        <v>5036.05917879</v>
      </c>
      <c r="AS260" s="3">
        <f>AR260+AS264</f>
        <v>5036.05917879</v>
      </c>
      <c r="AT260" s="3">
        <f>AS260+AT264</f>
        <v>5036.05917879</v>
      </c>
      <c r="AU260" s="3">
        <f>AT260+AU264</f>
        <v>5036.05917879</v>
      </c>
      <c r="AV260" s="3">
        <f>AU260</f>
        <v>5036.05917879</v>
      </c>
      <c r="AW260" s="3">
        <f>AV260+AW264</f>
        <v>5036.05917879</v>
      </c>
      <c r="AX260" s="3">
        <f>AW260+AX264</f>
        <v>5036.05917879</v>
      </c>
      <c r="AY260" s="3">
        <f>AX260+AY264</f>
        <v>5036.05917879</v>
      </c>
      <c r="AZ260" s="3">
        <f>AY260+AZ264</f>
        <v>5036.05917879</v>
      </c>
      <c r="BA260" s="3">
        <f>AZ260</f>
        <v>5036.05917879</v>
      </c>
      <c r="BB260" s="3">
        <f>BA260+BB264</f>
        <v>5036.05917879</v>
      </c>
      <c r="BC260" s="3">
        <f>BB260+BC264</f>
        <v>5036.05917879</v>
      </c>
      <c r="BD260" s="3">
        <f>BC260+BD264</f>
        <v>5036.05917879</v>
      </c>
      <c r="BE260" s="3">
        <f>BD260+BE264</f>
        <v>5036.05917879</v>
      </c>
      <c r="BF260" s="3">
        <f>BE260</f>
        <v>5036.05917879</v>
      </c>
      <c r="BG260" s="3">
        <f>BF260+BG264</f>
        <v>5036.05917879</v>
      </c>
      <c r="BH260" s="3">
        <f>BG260+BH264</f>
        <v>5036.05917879</v>
      </c>
      <c r="BI260" s="3">
        <f>BH260+BI264</f>
        <v>5036.05917879</v>
      </c>
      <c r="BJ260" s="3">
        <f>BI260+BJ264</f>
        <v>5036.05917879</v>
      </c>
      <c r="BK260" s="3">
        <f>BJ260</f>
        <v>5036.05917879</v>
      </c>
      <c r="BL260" s="3">
        <f>BK260+BL264</f>
        <v>5036.05917879</v>
      </c>
      <c r="BM260" s="3">
        <f>BL260+BM264</f>
        <v>5036.05917879</v>
      </c>
      <c r="BN260" s="3">
        <f>BM260+BN264</f>
        <v>5036.05917879</v>
      </c>
      <c r="BO260" s="3">
        <f>BN260+BO264</f>
        <v>5036.05917879</v>
      </c>
      <c r="BP260" s="3">
        <f>BO260</f>
        <v>5036.05917879</v>
      </c>
      <c r="BQ260" s="3">
        <f>BP260+BQ264</f>
        <v>5036.05917879</v>
      </c>
      <c r="BR260" s="3">
        <f>BQ260+BR264</f>
        <v>5036.05917879</v>
      </c>
      <c r="BS260" s="3">
        <f>BR260+BS264</f>
        <v>5036.05917879</v>
      </c>
      <c r="BT260" s="3">
        <f>BS260+BT264</f>
        <v>5036.05917879</v>
      </c>
      <c r="BU260" s="3">
        <f>BT260</f>
        <v>5036.05917879</v>
      </c>
      <c r="BV260" s="3">
        <f>BU260+BV264</f>
        <v>5036.05917879</v>
      </c>
      <c r="BW260" s="3">
        <f>BV260+BW264</f>
        <v>5036.05917879</v>
      </c>
      <c r="BX260" s="3">
        <f>BW260+BX264</f>
        <v>5036.05917879</v>
      </c>
      <c r="BY260" s="3">
        <f>BX260+BY264</f>
        <v>5036.05917879</v>
      </c>
      <c r="BZ260" s="3">
        <f>BY260</f>
        <v>5036.05917879</v>
      </c>
      <c r="CA260" s="3">
        <f>BZ260+CA264</f>
        <v>5036.05917879</v>
      </c>
      <c r="CB260" s="3">
        <f>CA260+CB264</f>
        <v>5036.05917879</v>
      </c>
      <c r="CC260" s="3">
        <f>CB260+CC264</f>
        <v>5036.05917879</v>
      </c>
      <c r="CD260" s="3">
        <f>CC260+CD264</f>
        <v>5036.05917879</v>
      </c>
      <c r="CE260" s="3">
        <f>CD260</f>
        <v>5036.05917879</v>
      </c>
      <c r="CF260" s="3">
        <f>CE260+CF264</f>
        <v>5036.05917879</v>
      </c>
      <c r="CG260" s="3">
        <f>CF260+CG264</f>
        <v>5036.05917879</v>
      </c>
      <c r="CH260" s="3">
        <f>CG260+CH264</f>
        <v>5036.05917879</v>
      </c>
      <c r="CI260" s="3">
        <f>CH260+CI264</f>
        <v>5036.05917879</v>
      </c>
      <c r="CJ260" s="3">
        <f>CI260</f>
        <v>5036.05917879</v>
      </c>
      <c r="CK260" s="3">
        <f>CJ260+CK264</f>
        <v>5036.05917879</v>
      </c>
      <c r="CL260" s="3">
        <f>CK260+CL264</f>
        <v>5036.05917879</v>
      </c>
      <c r="CM260" s="3">
        <f>CL260+CM264</f>
        <v>5036.05917879</v>
      </c>
      <c r="CN260" s="3">
        <f>CM260+CN264</f>
        <v>5036.05917879</v>
      </c>
      <c r="CO260" s="3">
        <f>CN260</f>
        <v>5036.05917879</v>
      </c>
      <c r="CP260" s="3">
        <f>CO260+CP264</f>
        <v>5036.05917879</v>
      </c>
      <c r="CQ260" s="3">
        <f>CP260+CQ264</f>
        <v>5036.05917879</v>
      </c>
      <c r="CR260" s="3">
        <f>CQ260+CR264</f>
        <v>5036.05917879</v>
      </c>
      <c r="CS260" s="3">
        <f>CR260+CS264</f>
        <v>5036.05917879</v>
      </c>
      <c r="CT260" s="3">
        <f>CS260</f>
        <v>5036.05917879</v>
      </c>
      <c r="CU260" s="3">
        <f>CT260+CU264</f>
        <v>5036.05917879</v>
      </c>
      <c r="CV260" s="3">
        <f>CU260+CV264</f>
        <v>5036.05917879</v>
      </c>
      <c r="CW260" s="3">
        <f>CV260+CW264</f>
        <v>5036.05917879</v>
      </c>
      <c r="CX260" s="3">
        <f>CW260+CX264</f>
        <v>5036.05917879</v>
      </c>
      <c r="CY260" s="3">
        <f>CX260</f>
        <v>5036.05917879</v>
      </c>
    </row>
    <row r="261" hidden="1" outlineLevel="1" customFormat="1" s="39">
      <c r="A261" s="19" t="n"/>
      <c r="B261" s="19" t="n"/>
      <c r="C261" s="41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22" t="n"/>
      <c r="AI261" s="22" t="n"/>
      <c r="AJ261" s="22" t="n"/>
      <c r="AK261" s="22" t="n"/>
      <c r="AL261" s="22" t="n"/>
      <c r="AM261" s="22" t="n"/>
      <c r="AN261" s="22" t="n"/>
      <c r="AO261" s="22" t="n"/>
      <c r="AP261" s="22" t="n"/>
      <c r="AQ261" s="22" t="n"/>
      <c r="AR261" s="22" t="n"/>
      <c r="AS261" s="22" t="n"/>
      <c r="AT261" s="22" t="n"/>
      <c r="AU261" s="22" t="n"/>
      <c r="AV261" s="22" t="n"/>
      <c r="AW261" s="22" t="n"/>
      <c r="AX261" s="22" t="n"/>
      <c r="AY261" s="22" t="n"/>
      <c r="AZ261" s="22" t="n"/>
      <c r="BA261" s="22" t="n"/>
      <c r="BB261" s="22" t="n"/>
      <c r="BC261" s="22" t="n"/>
      <c r="BD261" s="22" t="n"/>
      <c r="BE261" s="22" t="n"/>
      <c r="BF261" s="22" t="n"/>
      <c r="BG261" s="22" t="n"/>
      <c r="BH261" s="22" t="n"/>
      <c r="BI261" s="22" t="n"/>
      <c r="BJ261" s="22" t="n"/>
      <c r="BK261" s="22" t="n"/>
      <c r="BL261" s="22" t="n"/>
      <c r="BM261" s="22" t="n"/>
      <c r="BN261" s="22" t="n"/>
      <c r="BO261" s="22" t="n"/>
      <c r="BP261" s="22" t="n"/>
      <c r="BQ261" s="22" t="n"/>
      <c r="BR261" s="22" t="n"/>
      <c r="BS261" s="22" t="n"/>
      <c r="BT261" s="22" t="n"/>
      <c r="BU261" s="22" t="n"/>
      <c r="BV261" s="22" t="n"/>
      <c r="BW261" s="22" t="n"/>
      <c r="BX261" s="22" t="n"/>
      <c r="BY261" s="22" t="n"/>
      <c r="BZ261" s="22" t="n"/>
      <c r="CA261" s="22" t="n"/>
      <c r="CB261" s="22" t="n"/>
      <c r="CC261" s="22" t="n"/>
      <c r="CD261" s="22" t="n"/>
      <c r="CE261" s="22" t="n"/>
      <c r="CF261" s="22" t="n"/>
      <c r="CG261" s="22" t="n"/>
      <c r="CH261" s="22" t="n"/>
      <c r="CI261" s="22" t="n"/>
      <c r="CJ261" s="22" t="n"/>
      <c r="CK261" s="22" t="n"/>
      <c r="CL261" s="22" t="n"/>
      <c r="CM261" s="22" t="n"/>
      <c r="CN261" s="22" t="n"/>
      <c r="CO261" s="22" t="n"/>
      <c r="CP261" s="22" t="n"/>
      <c r="CQ261" s="22" t="n"/>
      <c r="CR261" s="22" t="n"/>
      <c r="CS261" s="22" t="n"/>
      <c r="CT261" s="22" t="n"/>
      <c r="CU261" s="22" t="n"/>
      <c r="CV261" s="22" t="n"/>
      <c r="CW261" s="22" t="n"/>
      <c r="CX261" s="22" t="n"/>
      <c r="CY261" s="22" t="n"/>
    </row>
    <row r="262" hidden="1" outlineLevel="1" customFormat="1" s="39">
      <c r="A262" s="19" t="n"/>
      <c r="B262" s="19" t="n"/>
      <c r="C262" s="41" t="inlineStr">
        <is>
          <t>Diluted Shares outstanding</t>
        </is>
      </c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22" t="n"/>
      <c r="AI262" s="22" t="n"/>
      <c r="AJ262" s="22" t="n"/>
      <c r="AK262" s="22" t="n"/>
      <c r="AL262" s="22" t="n"/>
      <c r="AM262" s="22" t="n"/>
      <c r="AN262" s="22" t="n"/>
      <c r="AO262" s="22" t="n"/>
      <c r="AP262" s="22" t="n"/>
      <c r="AQ262" s="22" t="n"/>
      <c r="AR262" s="22" t="n"/>
      <c r="AS262" s="22" t="n"/>
      <c r="AT262" s="22" t="n"/>
      <c r="AU262" s="22" t="n"/>
      <c r="AV262" s="22" t="n"/>
      <c r="AW262" s="22" t="n"/>
      <c r="AX262" s="22" t="n"/>
      <c r="AY262" s="22" t="n"/>
      <c r="AZ262" s="22" t="n"/>
      <c r="BA262" s="22" t="n"/>
      <c r="BB262" s="22" t="n"/>
      <c r="BC262" s="22" t="n"/>
      <c r="BD262" s="22" t="n"/>
      <c r="BE262" s="22" t="n"/>
      <c r="BF262" s="22" t="n"/>
      <c r="BG262" s="22" t="n"/>
      <c r="BH262" s="22" t="n"/>
      <c r="BI262" s="22" t="n"/>
      <c r="BJ262" s="22" t="n"/>
      <c r="BK262" s="22" t="n"/>
      <c r="BL262" s="22" t="n"/>
      <c r="BM262" s="22" t="n"/>
      <c r="BN262" s="22" t="n"/>
      <c r="BO262" s="22" t="n"/>
      <c r="BP262" s="22" t="n"/>
      <c r="BQ262" s="22" t="n"/>
      <c r="BR262" s="22" t="n"/>
      <c r="BS262" s="22" t="n"/>
      <c r="BT262" s="22" t="n"/>
      <c r="BU262" s="22" t="n"/>
      <c r="BV262" s="22" t="n"/>
      <c r="BW262" s="22" t="n"/>
      <c r="BX262" s="22" t="n"/>
      <c r="BY262" s="22" t="n"/>
      <c r="BZ262" s="22" t="n"/>
      <c r="CA262" s="22" t="n"/>
      <c r="CB262" s="22" t="n"/>
      <c r="CC262" s="22" t="n"/>
      <c r="CD262" s="22" t="n"/>
      <c r="CE262" s="22" t="n"/>
      <c r="CF262" s="22" t="n"/>
      <c r="CG262" s="22" t="n"/>
      <c r="CH262" s="22" t="n"/>
      <c r="CI262" s="22" t="n"/>
      <c r="CJ262" s="22" t="n"/>
      <c r="CK262" s="22" t="n"/>
      <c r="CL262" s="22" t="n"/>
      <c r="CM262" s="22" t="n"/>
      <c r="CN262" s="22" t="n"/>
      <c r="CO262" s="22" t="n"/>
      <c r="CP262" s="22" t="n"/>
      <c r="CQ262" s="22" t="n"/>
      <c r="CR262" s="22" t="n"/>
      <c r="CS262" s="22" t="n"/>
      <c r="CT262" s="22" t="n"/>
      <c r="CU262" s="22" t="n"/>
      <c r="CV262" s="22" t="n"/>
      <c r="CW262" s="22" t="n"/>
      <c r="CX262" s="22" t="n"/>
      <c r="CY262" s="22" t="n"/>
    </row>
    <row r="263" hidden="1" outlineLevel="1" customFormat="1" s="39">
      <c r="A263" s="19" t="n"/>
      <c r="B263" s="19" t="n"/>
      <c r="C263" s="41" t="inlineStr">
        <is>
          <t>Treasury share $ repurchases</t>
        </is>
      </c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6" t="n"/>
      <c r="AI263" s="6" t="n"/>
      <c r="AJ263" s="6" t="n"/>
      <c r="AK263" s="6" t="n"/>
      <c r="AL263" s="22" t="n"/>
      <c r="AM263" s="6" t="n"/>
      <c r="AN263" s="6" t="n"/>
      <c r="AO263" s="6" t="n"/>
      <c r="AP263" s="6" t="n"/>
      <c r="AQ263" s="22" t="n"/>
      <c r="AR263" s="6" t="n"/>
      <c r="AS263" s="6" t="n"/>
      <c r="AT263" s="6" t="n"/>
      <c r="AU263" s="6" t="n"/>
      <c r="AV263" s="22" t="n"/>
      <c r="AW263" s="6" t="n"/>
      <c r="AX263" s="6" t="n"/>
      <c r="AY263" s="6" t="n"/>
      <c r="AZ263" s="6" t="n"/>
      <c r="BA263" s="22" t="n"/>
      <c r="BB263" s="6" t="n"/>
      <c r="BC263" s="6" t="n"/>
      <c r="BD263" s="6" t="n"/>
      <c r="BE263" s="6" t="n"/>
      <c r="BF263" s="22" t="n"/>
      <c r="BG263" s="6" t="n"/>
      <c r="BH263" s="6" t="n"/>
      <c r="BI263" s="6" t="n"/>
      <c r="BJ263" s="6" t="n"/>
      <c r="BK263" s="22" t="n"/>
      <c r="BL263" s="6" t="n"/>
      <c r="BM263" s="6" t="n"/>
      <c r="BN263" s="6" t="n"/>
      <c r="BO263" s="6" t="n"/>
      <c r="BP263" s="22" t="n"/>
      <c r="BQ263" s="6" t="n"/>
      <c r="BR263" s="6" t="n"/>
      <c r="BS263" s="6" t="n"/>
      <c r="BT263" s="6" t="n"/>
      <c r="BU263" s="22" t="n"/>
      <c r="BV263" s="6" t="n"/>
      <c r="BW263" s="6" t="n"/>
      <c r="BX263" s="6" t="n"/>
      <c r="BY263" s="6" t="n"/>
      <c r="BZ263" s="22" t="n"/>
      <c r="CA263" s="6" t="n"/>
      <c r="CB263" s="6" t="n"/>
      <c r="CC263" s="6" t="n"/>
      <c r="CD263" s="6" t="n"/>
      <c r="CE263" s="22" t="n"/>
      <c r="CF263" s="6" t="n"/>
      <c r="CG263" s="6" t="n"/>
      <c r="CH263" s="6" t="n"/>
      <c r="CI263" s="6" t="n"/>
      <c r="CJ263" s="22" t="n"/>
      <c r="CK263" s="6" t="n"/>
      <c r="CL263" s="6" t="n"/>
      <c r="CM263" s="6" t="n"/>
      <c r="CN263" s="6" t="n"/>
      <c r="CO263" s="22" t="n"/>
      <c r="CP263" s="6" t="n"/>
      <c r="CQ263" s="6" t="n"/>
      <c r="CR263" s="6" t="n"/>
      <c r="CS263" s="6" t="n"/>
      <c r="CT263" s="22" t="n"/>
      <c r="CU263" s="6" t="n"/>
      <c r="CV263" s="6" t="n"/>
      <c r="CW263" s="6" t="n"/>
      <c r="CX263" s="6" t="n"/>
      <c r="CY263" s="22" t="n"/>
    </row>
    <row r="264" hidden="1" outlineLevel="1" customFormat="1" s="39">
      <c r="A264" s="19" t="n"/>
      <c r="B264" s="19" t="n"/>
      <c r="C264" s="41" t="inlineStr">
        <is>
          <t>Value of shares issued</t>
        </is>
      </c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6" t="n"/>
      <c r="AI264" s="6" t="n"/>
      <c r="AJ264" s="6" t="n"/>
      <c r="AK264" s="6" t="n"/>
      <c r="AL264" s="22" t="n"/>
      <c r="AM264" s="6" t="n"/>
      <c r="AN264" s="6" t="n"/>
      <c r="AO264" s="6" t="n"/>
      <c r="AP264" s="6" t="n"/>
      <c r="AQ264" s="22" t="n"/>
      <c r="AR264" s="6" t="n"/>
      <c r="AS264" s="6" t="n"/>
      <c r="AT264" s="6" t="n"/>
      <c r="AU264" s="6" t="n"/>
      <c r="AV264" s="22" t="n"/>
      <c r="AW264" s="6" t="n"/>
      <c r="AX264" s="6" t="n"/>
      <c r="AY264" s="6" t="n"/>
      <c r="AZ264" s="6" t="n"/>
      <c r="BA264" s="22" t="n"/>
      <c r="BB264" s="6" t="n"/>
      <c r="BC264" s="6" t="n"/>
      <c r="BD264" s="6" t="n"/>
      <c r="BE264" s="6" t="n"/>
      <c r="BF264" s="22" t="n"/>
      <c r="BG264" s="6" t="n"/>
      <c r="BH264" s="6" t="n"/>
      <c r="BI264" s="6" t="n"/>
      <c r="BJ264" s="6" t="n"/>
      <c r="BK264" s="22" t="n"/>
      <c r="BL264" s="6" t="n"/>
      <c r="BM264" s="6" t="n"/>
      <c r="BN264" s="6" t="n"/>
      <c r="BO264" s="6" t="n"/>
      <c r="BP264" s="22" t="n"/>
      <c r="BQ264" s="6" t="n"/>
      <c r="BR264" s="6" t="n"/>
      <c r="BS264" s="6" t="n"/>
      <c r="BT264" s="6" t="n"/>
      <c r="BU264" s="22" t="n"/>
      <c r="BV264" s="6" t="n"/>
      <c r="BW264" s="6" t="n"/>
      <c r="BX264" s="6" t="n"/>
      <c r="BY264" s="6" t="n"/>
      <c r="BZ264" s="22" t="n"/>
      <c r="CA264" s="6" t="n"/>
      <c r="CB264" s="6" t="n"/>
      <c r="CC264" s="6" t="n"/>
      <c r="CD264" s="6" t="n"/>
      <c r="CE264" s="22" t="n"/>
      <c r="CF264" s="6" t="n"/>
      <c r="CG264" s="6" t="n"/>
      <c r="CH264" s="6" t="n"/>
      <c r="CI264" s="6" t="n"/>
      <c r="CJ264" s="22" t="n"/>
      <c r="CK264" s="6" t="n"/>
      <c r="CL264" s="6" t="n"/>
      <c r="CM264" s="6" t="n"/>
      <c r="CN264" s="6" t="n"/>
      <c r="CO264" s="22" t="n"/>
      <c r="CP264" s="6" t="n"/>
      <c r="CQ264" s="6" t="n"/>
      <c r="CR264" s="6" t="n"/>
      <c r="CS264" s="6" t="n"/>
      <c r="CT264" s="22" t="n"/>
      <c r="CU264" s="6" t="n"/>
      <c r="CV264" s="6" t="n"/>
      <c r="CW264" s="6" t="n"/>
      <c r="CX264" s="6" t="n"/>
      <c r="CY264" s="22" t="n"/>
    </row>
    <row r="265" hidden="1" outlineLevel="1" customFormat="1" s="39">
      <c r="A265" s="19" t="n"/>
      <c r="B265" s="19" t="n"/>
      <c r="C265" s="41" t="inlineStr">
        <is>
          <t>Expected average share price</t>
        </is>
      </c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51" t="n"/>
      <c r="AH265" s="42">
        <f>AG265*(1+AH266)</f>
        <v>0</v>
      </c>
      <c r="AI265" s="42">
        <f>AH265*(1+AI266)</f>
        <v>0</v>
      </c>
      <c r="AJ265" s="42">
        <f>AI265*(1+AJ266)</f>
        <v>0</v>
      </c>
      <c r="AK265" s="42">
        <f>AJ265*(1+AK266)</f>
        <v>0</v>
      </c>
      <c r="AL265" s="22" t="n"/>
      <c r="AM265" s="42">
        <f>AK265*(1+AM266)</f>
        <v>0</v>
      </c>
      <c r="AN265" s="42">
        <f>AM265*(1+AN266)</f>
        <v>0</v>
      </c>
      <c r="AO265" s="42">
        <f>AN265*(1+AO266)</f>
        <v>0</v>
      </c>
      <c r="AP265" s="42">
        <f>AO265*(1+AP266)</f>
        <v>0</v>
      </c>
      <c r="AQ265" s="22" t="n"/>
      <c r="AR265" s="42">
        <f>AP265*(1+AR266)</f>
        <v>0</v>
      </c>
      <c r="AS265" s="42">
        <f>AR265*(1+AS266)</f>
        <v>0</v>
      </c>
      <c r="AT265" s="42">
        <f>AS265*(1+AT266)</f>
        <v>0</v>
      </c>
      <c r="AU265" s="42">
        <f>AT265*(1+AU266)</f>
        <v>0</v>
      </c>
      <c r="AV265" s="22" t="n"/>
      <c r="AW265" s="42">
        <f>AU265*(1+AW266)</f>
        <v>0</v>
      </c>
      <c r="AX265" s="42">
        <f>AW265*(1+AX266)</f>
        <v>0</v>
      </c>
      <c r="AY265" s="42">
        <f>AX265*(1+AY266)</f>
        <v>0</v>
      </c>
      <c r="AZ265" s="42">
        <f>AY265*(1+AZ266)</f>
        <v>0</v>
      </c>
      <c r="BA265" s="22" t="n"/>
      <c r="BB265" s="42">
        <f>AZ265*(1+BB266)</f>
        <v>0</v>
      </c>
      <c r="BC265" s="42">
        <f>BB265*(1+BC266)</f>
        <v>0</v>
      </c>
      <c r="BD265" s="42">
        <f>BC265*(1+BD266)</f>
        <v>0</v>
      </c>
      <c r="BE265" s="42">
        <f>BD265*(1+BE266)</f>
        <v>0</v>
      </c>
      <c r="BF265" s="22" t="n"/>
      <c r="BG265" s="42">
        <f>BE265*(1+BG266)</f>
        <v>0</v>
      </c>
      <c r="BH265" s="42">
        <f>BG265*(1+BH266)</f>
        <v>0</v>
      </c>
      <c r="BI265" s="42">
        <f>BH265*(1+BI266)</f>
        <v>0</v>
      </c>
      <c r="BJ265" s="42">
        <f>BI265*(1+BJ266)</f>
        <v>0</v>
      </c>
      <c r="BK265" s="22" t="n"/>
      <c r="BL265" s="42">
        <f>BJ265*(1+BL266)</f>
        <v>0</v>
      </c>
      <c r="BM265" s="42">
        <f>BL265*(1+BM266)</f>
        <v>0</v>
      </c>
      <c r="BN265" s="42">
        <f>BM265*(1+BN266)</f>
        <v>0</v>
      </c>
      <c r="BO265" s="42">
        <f>BN265*(1+BO266)</f>
        <v>0</v>
      </c>
      <c r="BP265" s="22" t="n"/>
      <c r="BQ265" s="42">
        <f>BO265*(1+BQ266)</f>
        <v>0</v>
      </c>
      <c r="BR265" s="42">
        <f>BQ265*(1+BR266)</f>
        <v>0</v>
      </c>
      <c r="BS265" s="42">
        <f>BR265*(1+BS266)</f>
        <v>0</v>
      </c>
      <c r="BT265" s="42">
        <f>BS265*(1+BT266)</f>
        <v>0</v>
      </c>
      <c r="BU265" s="22" t="n"/>
      <c r="BV265" s="42">
        <f>BT265*(1+BV266)</f>
        <v>0</v>
      </c>
      <c r="BW265" s="42">
        <f>BV265*(1+BW266)</f>
        <v>0</v>
      </c>
      <c r="BX265" s="42">
        <f>BW265*(1+BX266)</f>
        <v>0</v>
      </c>
      <c r="BY265" s="42">
        <f>BX265*(1+BY266)</f>
        <v>0</v>
      </c>
      <c r="BZ265" s="22" t="n"/>
      <c r="CA265" s="42">
        <f>BY265*(1+CA266)</f>
        <v>0</v>
      </c>
      <c r="CB265" s="42">
        <f>CA265*(1+CB266)</f>
        <v>0</v>
      </c>
      <c r="CC265" s="42">
        <f>CB265*(1+CC266)</f>
        <v>0</v>
      </c>
      <c r="CD265" s="42">
        <f>CC265*(1+CD266)</f>
        <v>0</v>
      </c>
      <c r="CE265" s="22" t="n"/>
      <c r="CF265" s="42">
        <f>CD265*(1+CF266)</f>
        <v>0</v>
      </c>
      <c r="CG265" s="42">
        <f>CF265*(1+CG266)</f>
        <v>0</v>
      </c>
      <c r="CH265" s="42">
        <f>CG265*(1+CH266)</f>
        <v>0</v>
      </c>
      <c r="CI265" s="42">
        <f>CH265*(1+CI266)</f>
        <v>0</v>
      </c>
      <c r="CJ265" s="22" t="n"/>
      <c r="CK265" s="42">
        <f>CI265*(1+CK266)</f>
        <v>0</v>
      </c>
      <c r="CL265" s="42">
        <f>CK265*(1+CL266)</f>
        <v>0</v>
      </c>
      <c r="CM265" s="42">
        <f>CL265*(1+CM266)</f>
        <v>0</v>
      </c>
      <c r="CN265" s="42">
        <f>CM265*(1+CN266)</f>
        <v>0</v>
      </c>
      <c r="CO265" s="22" t="n"/>
      <c r="CP265" s="42">
        <f>CN265*(1+CP266)</f>
        <v>0</v>
      </c>
      <c r="CQ265" s="42">
        <f>CP265*(1+CQ266)</f>
        <v>0</v>
      </c>
      <c r="CR265" s="42">
        <f>CQ265*(1+CR266)</f>
        <v>0</v>
      </c>
      <c r="CS265" s="42">
        <f>CR265*(1+CS266)</f>
        <v>0</v>
      </c>
      <c r="CT265" s="22" t="n"/>
      <c r="CU265" s="42">
        <f>CS265*(1+CU266)</f>
        <v>0</v>
      </c>
      <c r="CV265" s="42">
        <f>CU265*(1+CV266)</f>
        <v>0</v>
      </c>
      <c r="CW265" s="42">
        <f>CV265*(1+CW266)</f>
        <v>0</v>
      </c>
      <c r="CX265" s="42">
        <f>CW265*(1+CX266)</f>
        <v>0</v>
      </c>
      <c r="CY265" s="22" t="n"/>
      <c r="CZ265">
        <f>CX265*(1+CZ266)</f>
        <v>0</v>
      </c>
      <c r="DA265">
        <f>CZ265*(1+DA266)</f>
        <v>0</v>
      </c>
      <c r="DB265">
        <f>DA265*(1+DB266)</f>
        <v>0</v>
      </c>
      <c r="DC265">
        <f>DB265*(1+DC266)</f>
        <v>0</v>
      </c>
    </row>
    <row r="266" hidden="1" outlineLevel="1" customFormat="1" s="39">
      <c r="A266" s="19" t="n"/>
      <c r="B266" s="19" t="n"/>
      <c r="C266" s="41" t="inlineStr">
        <is>
          <t>Consensus EPS growth</t>
        </is>
      </c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2" t="n"/>
      <c r="AH266" s="40">
        <f>$AL$271</f>
        <v>0</v>
      </c>
      <c r="AI266" s="40">
        <f>$AL$271</f>
        <v>0</v>
      </c>
      <c r="AJ266" s="40">
        <f>$AL$271</f>
        <v>0</v>
      </c>
      <c r="AK266" s="40">
        <f>$AL$271</f>
        <v>0</v>
      </c>
      <c r="AL266" s="22" t="n"/>
      <c r="AM266" s="40">
        <f>$AL$271</f>
        <v>0</v>
      </c>
      <c r="AN266" s="40">
        <f>$AL$271</f>
        <v>0</v>
      </c>
      <c r="AO266" s="40">
        <f>$AL$271</f>
        <v>0</v>
      </c>
      <c r="AP266" s="40">
        <f>$AL$271</f>
        <v>0</v>
      </c>
      <c r="AQ266" s="22" t="n"/>
      <c r="AR266" s="40">
        <f>$AL$271</f>
        <v>0</v>
      </c>
      <c r="AS266" s="40">
        <f>$AL$271</f>
        <v>0</v>
      </c>
      <c r="AT266" s="40">
        <f>$AL$271</f>
        <v>0</v>
      </c>
      <c r="AU266" s="40">
        <f>$AL$271</f>
        <v>0</v>
      </c>
      <c r="AV266" s="22" t="n"/>
      <c r="AW266" s="40">
        <f>$AL$271</f>
        <v>0</v>
      </c>
      <c r="AX266" s="40">
        <f>$AL$271</f>
        <v>0</v>
      </c>
      <c r="AY266" s="40">
        <f>$AL$271</f>
        <v>0</v>
      </c>
      <c r="AZ266" s="40">
        <f>$AL$271</f>
        <v>0</v>
      </c>
      <c r="BA266" s="22" t="n"/>
      <c r="BB266" s="40">
        <f>$AL$271</f>
        <v>0</v>
      </c>
      <c r="BC266" s="40">
        <f>$AL$271</f>
        <v>0</v>
      </c>
      <c r="BD266" s="40">
        <f>$AL$271</f>
        <v>0</v>
      </c>
      <c r="BE266" s="40">
        <f>$AL$271</f>
        <v>0</v>
      </c>
      <c r="BF266" s="22" t="n"/>
      <c r="BG266" s="40">
        <f>$AL$271</f>
        <v>0</v>
      </c>
      <c r="BH266" s="40">
        <f>$AL$271</f>
        <v>0</v>
      </c>
      <c r="BI266" s="40">
        <f>$AL$271</f>
        <v>0</v>
      </c>
      <c r="BJ266" s="40">
        <f>$AL$271</f>
        <v>0</v>
      </c>
      <c r="BK266" s="22" t="n"/>
      <c r="BL266" s="40">
        <f>$AL$271</f>
        <v>0</v>
      </c>
      <c r="BM266" s="40">
        <f>$AL$271</f>
        <v>0</v>
      </c>
      <c r="BN266" s="40">
        <f>$AL$271</f>
        <v>0</v>
      </c>
      <c r="BO266" s="40">
        <f>$AL$271</f>
        <v>0</v>
      </c>
      <c r="BP266" s="22" t="n"/>
      <c r="BQ266" s="40">
        <f>$AL$271</f>
        <v>0</v>
      </c>
      <c r="BR266" s="40">
        <f>$AL$271</f>
        <v>0</v>
      </c>
      <c r="BS266" s="40">
        <f>$AL$271</f>
        <v>0</v>
      </c>
      <c r="BT266" s="40">
        <f>$AL$271</f>
        <v>0</v>
      </c>
      <c r="BU266" s="22" t="n"/>
      <c r="BV266" s="40">
        <f>$AL$271</f>
        <v>0</v>
      </c>
      <c r="BW266" s="40">
        <f>$AL$271</f>
        <v>0</v>
      </c>
      <c r="BX266" s="40">
        <f>$AL$271</f>
        <v>0</v>
      </c>
      <c r="BY266" s="40">
        <f>$AL$271</f>
        <v>0</v>
      </c>
      <c r="BZ266" s="22" t="n"/>
      <c r="CA266" s="40">
        <f>$AL$271</f>
        <v>0</v>
      </c>
      <c r="CB266" s="40">
        <f>$AL$271</f>
        <v>0</v>
      </c>
      <c r="CC266" s="40">
        <f>$AL$271</f>
        <v>0</v>
      </c>
      <c r="CD266" s="40">
        <f>$AL$271</f>
        <v>0</v>
      </c>
      <c r="CE266" s="22" t="n"/>
      <c r="CF266" s="40">
        <f>$AL$271</f>
        <v>0</v>
      </c>
      <c r="CG266" s="40">
        <f>$AL$271</f>
        <v>0</v>
      </c>
      <c r="CH266" s="40">
        <f>$AL$271</f>
        <v>0</v>
      </c>
      <c r="CI266" s="40">
        <f>$AL$271</f>
        <v>0</v>
      </c>
      <c r="CJ266" s="22" t="n"/>
      <c r="CK266" s="40">
        <f>$AL$271</f>
        <v>0</v>
      </c>
      <c r="CL266" s="40">
        <f>$AL$271</f>
        <v>0</v>
      </c>
      <c r="CM266" s="40">
        <f>$AL$271</f>
        <v>0</v>
      </c>
      <c r="CN266" s="40">
        <f>$AL$271</f>
        <v>0</v>
      </c>
      <c r="CO266" s="22" t="n"/>
      <c r="CP266" s="40">
        <f>$AL$271</f>
        <v>0</v>
      </c>
      <c r="CQ266" s="40">
        <f>$AL$271</f>
        <v>0</v>
      </c>
      <c r="CR266" s="40">
        <f>$AL$271</f>
        <v>0</v>
      </c>
      <c r="CS266" s="40">
        <f>$AL$271</f>
        <v>0</v>
      </c>
      <c r="CT266" s="22" t="n"/>
      <c r="CU266" s="40">
        <f>$AL$271</f>
        <v>0</v>
      </c>
      <c r="CV266" s="40">
        <f>$AL$271</f>
        <v>0</v>
      </c>
      <c r="CW266" s="40">
        <f>$AL$271</f>
        <v>0</v>
      </c>
      <c r="CX266" s="40">
        <f>$AL$271</f>
        <v>0</v>
      </c>
      <c r="CY266" s="22" t="n"/>
    </row>
    <row r="267" hidden="1" outlineLevel="1" customFormat="1" s="39">
      <c r="A267" s="19" t="n"/>
      <c r="B267" s="19" t="n"/>
      <c r="C267" s="41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3" t="n"/>
      <c r="AI267" s="3" t="n"/>
      <c r="AJ267" s="3" t="n"/>
      <c r="AK267" s="3" t="n"/>
      <c r="AL267" s="22" t="n"/>
      <c r="AM267" s="3" t="n"/>
      <c r="AN267" s="3" t="n"/>
      <c r="AO267" s="3" t="n"/>
      <c r="AP267" s="3" t="n"/>
      <c r="AQ267" s="22" t="n"/>
      <c r="AR267" s="3" t="n"/>
      <c r="AS267" s="3" t="n"/>
      <c r="AT267" s="3" t="n"/>
      <c r="AU267" s="3" t="n"/>
      <c r="AV267" s="22" t="n"/>
      <c r="AW267" s="3" t="n"/>
      <c r="AX267" s="3" t="n"/>
      <c r="AY267" s="3" t="n"/>
      <c r="AZ267" s="3" t="n"/>
      <c r="BA267" s="22" t="n"/>
      <c r="BB267" s="3" t="n"/>
      <c r="BC267" s="3" t="n"/>
      <c r="BD267" s="3" t="n"/>
      <c r="BE267" s="3" t="n"/>
      <c r="BF267" s="22" t="n"/>
      <c r="BG267" s="3" t="n"/>
      <c r="BH267" s="3" t="n"/>
      <c r="BI267" s="3" t="n"/>
      <c r="BJ267" s="3" t="n"/>
      <c r="BK267" s="22" t="n"/>
      <c r="BL267" s="3" t="n"/>
      <c r="BM267" s="3" t="n"/>
      <c r="BN267" s="3" t="n"/>
      <c r="BO267" s="3" t="n"/>
      <c r="BP267" s="22" t="n"/>
      <c r="BQ267" s="3" t="n"/>
      <c r="BR267" s="3" t="n"/>
      <c r="BS267" s="3" t="n"/>
      <c r="BT267" s="3" t="n"/>
      <c r="BU267" s="22" t="n"/>
      <c r="BV267" s="3" t="n"/>
      <c r="BW267" s="3" t="n"/>
      <c r="BX267" s="3" t="n"/>
      <c r="BY267" s="3" t="n"/>
      <c r="BZ267" s="22" t="n"/>
      <c r="CA267" s="3" t="n"/>
      <c r="CB267" s="3" t="n"/>
      <c r="CC267" s="3" t="n"/>
      <c r="CD267" s="3" t="n"/>
      <c r="CE267" s="22" t="n"/>
      <c r="CF267" s="3" t="n"/>
      <c r="CG267" s="3" t="n"/>
      <c r="CH267" s="3" t="n"/>
      <c r="CI267" s="3" t="n"/>
      <c r="CJ267" s="22" t="n"/>
      <c r="CK267" s="3" t="n"/>
      <c r="CL267" s="3" t="n"/>
      <c r="CM267" s="3" t="n"/>
      <c r="CN267" s="3" t="n"/>
      <c r="CO267" s="22" t="n"/>
      <c r="CP267" s="3" t="n"/>
      <c r="CQ267" s="3" t="n"/>
      <c r="CR267" s="3" t="n"/>
      <c r="CS267" s="3" t="n"/>
      <c r="CT267" s="22" t="n"/>
      <c r="CU267" s="3" t="n"/>
      <c r="CV267" s="3" t="n"/>
      <c r="CW267" s="3" t="n"/>
      <c r="CX267" s="3" t="n"/>
      <c r="CY267" s="22" t="n"/>
    </row>
    <row r="268" hidden="1" outlineLevel="1" customFormat="1" s="39">
      <c r="A268" s="19" t="n"/>
      <c r="B268" s="19" t="n"/>
      <c r="C268" s="41" t="inlineStr">
        <is>
          <t>Shares repurchased</t>
        </is>
      </c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  <c r="AG268" s="22" t="n"/>
      <c r="AH268" s="43" t="n"/>
      <c r="AI268" s="43" t="n"/>
      <c r="AJ268" s="43" t="e">
        <f>-AJ263/AJ265</f>
        <v>#DIV/0!</v>
      </c>
      <c r="AK268" s="43" t="e">
        <f>-AK263/AK265</f>
        <v>#DIV/0!</v>
      </c>
      <c r="AL268" s="22" t="n"/>
      <c r="AM268" s="43" t="e">
        <f>-AM263/AM265</f>
        <v>#DIV/0!</v>
      </c>
      <c r="AN268" s="43" t="e">
        <f>-AN263/AN265</f>
        <v>#DIV/0!</v>
      </c>
      <c r="AO268" s="43" t="e">
        <f>-AO263/AO265</f>
        <v>#DIV/0!</v>
      </c>
      <c r="AP268" s="43" t="e">
        <f>-AP263/AP265</f>
        <v>#DIV/0!</v>
      </c>
      <c r="AQ268" s="22" t="n"/>
      <c r="AR268" s="43" t="e">
        <f>-AR263/AR265</f>
        <v>#DIV/0!</v>
      </c>
      <c r="AS268" s="43" t="e">
        <f>-AS263/AS265</f>
        <v>#DIV/0!</v>
      </c>
      <c r="AT268" s="43" t="e">
        <f>-AT263/AT265</f>
        <v>#DIV/0!</v>
      </c>
      <c r="AU268" s="43" t="e">
        <f>-AU263/AU265</f>
        <v>#DIV/0!</v>
      </c>
      <c r="AV268" s="22" t="n"/>
      <c r="AW268" s="43" t="e">
        <f>-AW263/AW265</f>
        <v>#DIV/0!</v>
      </c>
      <c r="AX268" s="43" t="e">
        <f>-AX263/AX265</f>
        <v>#DIV/0!</v>
      </c>
      <c r="AY268" s="43" t="e">
        <f>-AY263/AY265</f>
        <v>#DIV/0!</v>
      </c>
      <c r="AZ268" s="43" t="e">
        <f>-AZ263/AZ265</f>
        <v>#DIV/0!</v>
      </c>
      <c r="BA268" s="22" t="n"/>
      <c r="BB268" s="43" t="e">
        <f>-BB263/BB265</f>
        <v>#DIV/0!</v>
      </c>
      <c r="BC268" s="43" t="e">
        <f>-BC263/BC265</f>
        <v>#DIV/0!</v>
      </c>
      <c r="BD268" s="43" t="e">
        <f>-BD263/BD265</f>
        <v>#DIV/0!</v>
      </c>
      <c r="BE268" s="43" t="e">
        <f>-BE263/BE265</f>
        <v>#DIV/0!</v>
      </c>
      <c r="BF268" s="22" t="n"/>
      <c r="BG268" s="43" t="e">
        <f>-BG263/BG265</f>
        <v>#DIV/0!</v>
      </c>
      <c r="BH268" s="43" t="e">
        <f>-BH263/BH265</f>
        <v>#DIV/0!</v>
      </c>
      <c r="BI268" s="43" t="e">
        <f>-BI263/BI265</f>
        <v>#DIV/0!</v>
      </c>
      <c r="BJ268" s="43" t="e">
        <f>-BJ263/BJ265</f>
        <v>#DIV/0!</v>
      </c>
      <c r="BK268" s="22" t="n"/>
      <c r="BL268" s="43" t="e">
        <f>-BL263/BL265</f>
        <v>#DIV/0!</v>
      </c>
      <c r="BM268" s="43" t="e">
        <f>-BM263/BM265</f>
        <v>#DIV/0!</v>
      </c>
      <c r="BN268" s="43" t="e">
        <f>-BN263/BN265</f>
        <v>#DIV/0!</v>
      </c>
      <c r="BO268" s="43" t="e">
        <f>-BO263/BO265</f>
        <v>#DIV/0!</v>
      </c>
      <c r="BP268" s="22" t="n"/>
      <c r="BQ268" s="43" t="e">
        <f>-BQ263/BQ265</f>
        <v>#DIV/0!</v>
      </c>
      <c r="BR268" s="43" t="e">
        <f>-BR263/BR265</f>
        <v>#DIV/0!</v>
      </c>
      <c r="BS268" s="43" t="e">
        <f>-BS263/BS265</f>
        <v>#DIV/0!</v>
      </c>
      <c r="BT268" s="43" t="e">
        <f>-BT263/BT265</f>
        <v>#DIV/0!</v>
      </c>
      <c r="BU268" s="22" t="n"/>
      <c r="BV268" s="43" t="e">
        <f>-BV263/BV265</f>
        <v>#DIV/0!</v>
      </c>
      <c r="BW268" s="43" t="e">
        <f>-BW263/BW265</f>
        <v>#DIV/0!</v>
      </c>
      <c r="BX268" s="43" t="e">
        <f>-BX263/BX265</f>
        <v>#DIV/0!</v>
      </c>
      <c r="BY268" s="43" t="e">
        <f>-BY263/BY265</f>
        <v>#DIV/0!</v>
      </c>
      <c r="BZ268" s="22" t="n"/>
      <c r="CA268" s="43" t="e">
        <f>-CA263/CA265</f>
        <v>#DIV/0!</v>
      </c>
      <c r="CB268" s="43" t="e">
        <f>-CB263/CB265</f>
        <v>#DIV/0!</v>
      </c>
      <c r="CC268" s="43" t="e">
        <f>-CC263/CC265</f>
        <v>#DIV/0!</v>
      </c>
      <c r="CD268" s="43" t="e">
        <f>-CD263/CD265</f>
        <v>#DIV/0!</v>
      </c>
      <c r="CE268" s="22" t="n"/>
      <c r="CF268" s="43" t="e">
        <f>-CF263/CF265</f>
        <v>#DIV/0!</v>
      </c>
      <c r="CG268" s="43" t="e">
        <f>-CG263/CG265</f>
        <v>#DIV/0!</v>
      </c>
      <c r="CH268" s="43" t="e">
        <f>-CH263/CH265</f>
        <v>#DIV/0!</v>
      </c>
      <c r="CI268" s="43" t="e">
        <f>-CI263/CI265</f>
        <v>#DIV/0!</v>
      </c>
      <c r="CJ268" s="22" t="n"/>
      <c r="CK268" s="43" t="e">
        <f>-CK263/CK265</f>
        <v>#DIV/0!</v>
      </c>
      <c r="CL268" s="43" t="e">
        <f>-CL263/CL265</f>
        <v>#DIV/0!</v>
      </c>
      <c r="CM268" s="43" t="e">
        <f>-CM263/CM265</f>
        <v>#DIV/0!</v>
      </c>
      <c r="CN268" s="43" t="e">
        <f>-CN263/CN265</f>
        <v>#DIV/0!</v>
      </c>
      <c r="CO268" s="22" t="n"/>
      <c r="CP268" s="43" t="e">
        <f>-CP263/CP265</f>
        <v>#DIV/0!</v>
      </c>
      <c r="CQ268" s="43" t="e">
        <f>-CQ263/CQ265</f>
        <v>#DIV/0!</v>
      </c>
      <c r="CR268" s="43" t="e">
        <f>-CR263/CR265</f>
        <v>#DIV/0!</v>
      </c>
      <c r="CS268" s="43" t="e">
        <f>-CS263/CS265</f>
        <v>#DIV/0!</v>
      </c>
      <c r="CT268" s="22" t="n"/>
      <c r="CU268" s="43" t="e">
        <f>-CU263/CU265</f>
        <v>#DIV/0!</v>
      </c>
      <c r="CV268" s="43" t="e">
        <f>-CV263/CV265</f>
        <v>#DIV/0!</v>
      </c>
      <c r="CW268" s="43" t="e">
        <f>-CW263/CW265</f>
        <v>#DIV/0!</v>
      </c>
      <c r="CX268" s="43" t="e">
        <f>-CX263/CX265</f>
        <v>#DIV/0!</v>
      </c>
      <c r="CY268" s="22" t="n"/>
    </row>
    <row r="269" hidden="1" outlineLevel="1" customFormat="1" s="39">
      <c r="A269" s="19" t="n"/>
      <c r="B269" s="19" t="n"/>
      <c r="C269" s="41" t="inlineStr">
        <is>
          <t>Shares issued</t>
        </is>
      </c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46" t="n"/>
      <c r="AG269" s="22" t="n"/>
      <c r="AH269" s="43" t="n"/>
      <c r="AI269" s="43" t="n"/>
      <c r="AJ269" s="43" t="e">
        <f>AJ264/AJ265</f>
        <v>#DIV/0!</v>
      </c>
      <c r="AK269" s="43" t="e">
        <f>AK264/AK265</f>
        <v>#DIV/0!</v>
      </c>
      <c r="AL269" s="22" t="n"/>
      <c r="AM269" s="43" t="e">
        <f>AM264/AM265</f>
        <v>#DIV/0!</v>
      </c>
      <c r="AN269" s="43" t="e">
        <f>AN264/AN265</f>
        <v>#DIV/0!</v>
      </c>
      <c r="AO269" s="43" t="e">
        <f>AO264/AO265</f>
        <v>#DIV/0!</v>
      </c>
      <c r="AP269" s="43" t="e">
        <f>AP264/AP265</f>
        <v>#DIV/0!</v>
      </c>
      <c r="AQ269" s="22" t="n"/>
      <c r="AR269" s="43" t="e">
        <f>AR264/AR265</f>
        <v>#DIV/0!</v>
      </c>
      <c r="AS269" s="43" t="e">
        <f>AS264/AS265</f>
        <v>#DIV/0!</v>
      </c>
      <c r="AT269" s="43" t="e">
        <f>AT264/AT265</f>
        <v>#DIV/0!</v>
      </c>
      <c r="AU269" s="43" t="e">
        <f>AU264/AU265</f>
        <v>#DIV/0!</v>
      </c>
      <c r="AV269" s="22" t="n"/>
      <c r="AW269" s="43" t="e">
        <f>AW264/AW265</f>
        <v>#DIV/0!</v>
      </c>
      <c r="AX269" s="43" t="e">
        <f>AX264/AX265</f>
        <v>#DIV/0!</v>
      </c>
      <c r="AY269" s="43" t="e">
        <f>AY264/AY265</f>
        <v>#DIV/0!</v>
      </c>
      <c r="AZ269" s="43" t="e">
        <f>AZ264/AZ265</f>
        <v>#DIV/0!</v>
      </c>
      <c r="BA269" s="22" t="n"/>
      <c r="BB269" s="43" t="e">
        <f>BB264/BB265</f>
        <v>#DIV/0!</v>
      </c>
      <c r="BC269" s="43" t="e">
        <f>BC264/BC265</f>
        <v>#DIV/0!</v>
      </c>
      <c r="BD269" s="43" t="e">
        <f>BD264/BD265</f>
        <v>#DIV/0!</v>
      </c>
      <c r="BE269" s="43" t="e">
        <f>BE264/BE265</f>
        <v>#DIV/0!</v>
      </c>
      <c r="BF269" s="22" t="n"/>
      <c r="BG269" s="43" t="e">
        <f>BG264/BG265</f>
        <v>#DIV/0!</v>
      </c>
      <c r="BH269" s="43" t="e">
        <f>BH264/BH265</f>
        <v>#DIV/0!</v>
      </c>
      <c r="BI269" s="43" t="e">
        <f>BI264/BI265</f>
        <v>#DIV/0!</v>
      </c>
      <c r="BJ269" s="43" t="e">
        <f>BJ264/BJ265</f>
        <v>#DIV/0!</v>
      </c>
      <c r="BK269" s="22" t="n"/>
      <c r="BL269" s="43" t="e">
        <f>BL264/BL265</f>
        <v>#DIV/0!</v>
      </c>
      <c r="BM269" s="43" t="e">
        <f>BM264/BM265</f>
        <v>#DIV/0!</v>
      </c>
      <c r="BN269" s="43" t="e">
        <f>BN264/BN265</f>
        <v>#DIV/0!</v>
      </c>
      <c r="BO269" s="43" t="e">
        <f>BO264/BO265</f>
        <v>#DIV/0!</v>
      </c>
      <c r="BP269" s="22" t="n"/>
      <c r="BQ269" s="43" t="e">
        <f>BQ264/BQ265</f>
        <v>#DIV/0!</v>
      </c>
      <c r="BR269" s="43" t="e">
        <f>BR264/BR265</f>
        <v>#DIV/0!</v>
      </c>
      <c r="BS269" s="43" t="e">
        <f>BS264/BS265</f>
        <v>#DIV/0!</v>
      </c>
      <c r="BT269" s="43" t="e">
        <f>BT264/BT265</f>
        <v>#DIV/0!</v>
      </c>
      <c r="BU269" s="22" t="n"/>
      <c r="BV269" s="43" t="e">
        <f>BV264/BV265</f>
        <v>#DIV/0!</v>
      </c>
      <c r="BW269" s="43" t="e">
        <f>BW264/BW265</f>
        <v>#DIV/0!</v>
      </c>
      <c r="BX269" s="43" t="e">
        <f>BX264/BX265</f>
        <v>#DIV/0!</v>
      </c>
      <c r="BY269" s="43" t="e">
        <f>BY264/BY265</f>
        <v>#DIV/0!</v>
      </c>
      <c r="BZ269" s="22" t="n"/>
      <c r="CA269" s="43" t="e">
        <f>CA264/CA265</f>
        <v>#DIV/0!</v>
      </c>
      <c r="CB269" s="43" t="e">
        <f>CB264/CB265</f>
        <v>#DIV/0!</v>
      </c>
      <c r="CC269" s="43" t="e">
        <f>CC264/CC265</f>
        <v>#DIV/0!</v>
      </c>
      <c r="CD269" s="43" t="e">
        <f>CD264/CD265</f>
        <v>#DIV/0!</v>
      </c>
      <c r="CE269" s="22" t="n"/>
      <c r="CF269" s="43" t="e">
        <f>CF264/CF265</f>
        <v>#DIV/0!</v>
      </c>
      <c r="CG269" s="43" t="e">
        <f>CG264/CG265</f>
        <v>#DIV/0!</v>
      </c>
      <c r="CH269" s="43" t="e">
        <f>CH264/CH265</f>
        <v>#DIV/0!</v>
      </c>
      <c r="CI269" s="43" t="e">
        <f>CI264/CI265</f>
        <v>#DIV/0!</v>
      </c>
      <c r="CJ269" s="22" t="n"/>
      <c r="CK269" s="43" t="e">
        <f>CK264/CK265</f>
        <v>#DIV/0!</v>
      </c>
      <c r="CL269" s="43" t="e">
        <f>CL264/CL265</f>
        <v>#DIV/0!</v>
      </c>
      <c r="CM269" s="43" t="e">
        <f>CM264/CM265</f>
        <v>#DIV/0!</v>
      </c>
      <c r="CN269" s="43" t="e">
        <f>CN264/CN265</f>
        <v>#DIV/0!</v>
      </c>
      <c r="CO269" s="22" t="n"/>
      <c r="CP269" s="43" t="e">
        <f>CP264/CP265</f>
        <v>#DIV/0!</v>
      </c>
      <c r="CQ269" s="43" t="e">
        <f>CQ264/CQ265</f>
        <v>#DIV/0!</v>
      </c>
      <c r="CR269" s="43" t="e">
        <f>CR264/CR265</f>
        <v>#DIV/0!</v>
      </c>
      <c r="CS269" s="43" t="e">
        <f>CS264/CS265</f>
        <v>#DIV/0!</v>
      </c>
      <c r="CT269" s="22" t="n"/>
      <c r="CU269" s="43" t="e">
        <f>CU264/CU265</f>
        <v>#DIV/0!</v>
      </c>
      <c r="CV269" s="43" t="e">
        <f>CV264/CV265</f>
        <v>#DIV/0!</v>
      </c>
      <c r="CW269" s="43" t="e">
        <f>CW264/CW265</f>
        <v>#DIV/0!</v>
      </c>
      <c r="CX269" s="43" t="e">
        <f>CX264/CX265</f>
        <v>#DIV/0!</v>
      </c>
      <c r="CY269" s="22" t="n"/>
    </row>
    <row r="270" hidden="1" outlineLevel="1" customFormat="1" s="39">
      <c r="A270" s="19" t="n"/>
      <c r="B270" s="19" t="n"/>
      <c r="C270" s="41" t="inlineStr">
        <is>
          <t>End of period basic shares outstanding</t>
        </is>
      </c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  <c r="AG270" s="251" t="n"/>
      <c r="AH270" s="1">
        <f>AG270+AH269-AH268</f>
        <v>0</v>
      </c>
      <c r="AI270" s="1">
        <f>AH270+AI269-AI268</f>
        <v>0</v>
      </c>
      <c r="AJ270" s="43" t="e">
        <f>AI270+AJ269-AJ268</f>
        <v>#DIV/0!</v>
      </c>
      <c r="AK270" s="43" t="e">
        <f>AJ270+AK269-AK268</f>
        <v>#DIV/0!</v>
      </c>
      <c r="AL270" s="22" t="n"/>
      <c r="AM270" s="1" t="e">
        <f>AK270+AM269-AM268</f>
        <v>#DIV/0!</v>
      </c>
      <c r="AN270" s="1" t="e">
        <f>AM270+AN269-AN268</f>
        <v>#DIV/0!</v>
      </c>
      <c r="AO270" s="43" t="e">
        <f>AN270+AO269-AO268</f>
        <v>#DIV/0!</v>
      </c>
      <c r="AP270" s="43" t="e">
        <f>AO270+AP269-AP268</f>
        <v>#DIV/0!</v>
      </c>
      <c r="AQ270" s="22" t="n"/>
      <c r="AR270" s="1" t="e">
        <f>AP270+AR269-AR268</f>
        <v>#DIV/0!</v>
      </c>
      <c r="AS270" s="1" t="e">
        <f>AR270+AS269-AS268</f>
        <v>#DIV/0!</v>
      </c>
      <c r="AT270" s="43" t="e">
        <f>AS270+AT269-AT268</f>
        <v>#DIV/0!</v>
      </c>
      <c r="AU270" s="43" t="e">
        <f>AT270+AU269-AU268</f>
        <v>#DIV/0!</v>
      </c>
      <c r="AV270" s="22" t="n"/>
      <c r="AW270" s="1" t="e">
        <f>AU270+AW269-AW268</f>
        <v>#DIV/0!</v>
      </c>
      <c r="AX270" s="1" t="e">
        <f>AW270+AX269-AX268</f>
        <v>#DIV/0!</v>
      </c>
      <c r="AY270" s="43" t="e">
        <f>AX270+AY269-AY268</f>
        <v>#DIV/0!</v>
      </c>
      <c r="AZ270" s="43" t="e">
        <f>AY270+AZ269-AZ268</f>
        <v>#DIV/0!</v>
      </c>
      <c r="BA270" s="22" t="n"/>
      <c r="BB270" s="1" t="e">
        <f>AZ270+BB269-BB268</f>
        <v>#DIV/0!</v>
      </c>
      <c r="BC270" s="1" t="e">
        <f>BB270+BC269-BC268</f>
        <v>#DIV/0!</v>
      </c>
      <c r="BD270" s="43" t="e">
        <f>BC270+BD269-BD268</f>
        <v>#DIV/0!</v>
      </c>
      <c r="BE270" s="43" t="e">
        <f>BD270+BE269-BE268</f>
        <v>#DIV/0!</v>
      </c>
      <c r="BF270" s="22" t="n"/>
      <c r="BG270" s="1" t="e">
        <f>BE270+BG269-BG268</f>
        <v>#DIV/0!</v>
      </c>
      <c r="BH270" s="1" t="e">
        <f>BG270+BH269-BH268</f>
        <v>#DIV/0!</v>
      </c>
      <c r="BI270" s="43" t="e">
        <f>BH270+BI269-BI268</f>
        <v>#DIV/0!</v>
      </c>
      <c r="BJ270" s="43" t="e">
        <f>BI270+BJ269-BJ268</f>
        <v>#DIV/0!</v>
      </c>
      <c r="BK270" s="22" t="n"/>
      <c r="BL270" s="1" t="e">
        <f>BJ270+BL269-BL268</f>
        <v>#DIV/0!</v>
      </c>
      <c r="BM270" s="1" t="e">
        <f>BL270+BM269-BM268</f>
        <v>#DIV/0!</v>
      </c>
      <c r="BN270" s="43" t="e">
        <f>BM270+BN269-BN268</f>
        <v>#DIV/0!</v>
      </c>
      <c r="BO270" s="43" t="e">
        <f>BN270+BO269-BO268</f>
        <v>#DIV/0!</v>
      </c>
      <c r="BP270" s="22" t="n"/>
      <c r="BQ270" s="1" t="e">
        <f>BO270+BQ269-BQ268</f>
        <v>#DIV/0!</v>
      </c>
      <c r="BR270" s="1" t="e">
        <f>BQ270+BR269-BR268</f>
        <v>#DIV/0!</v>
      </c>
      <c r="BS270" s="43" t="e">
        <f>BR270+BS269-BS268</f>
        <v>#DIV/0!</v>
      </c>
      <c r="BT270" s="43" t="e">
        <f>BS270+BT269-BT268</f>
        <v>#DIV/0!</v>
      </c>
      <c r="BU270" s="22" t="n"/>
      <c r="BV270" s="1" t="e">
        <f>BT270+BV269-BV268</f>
        <v>#DIV/0!</v>
      </c>
      <c r="BW270" s="1" t="e">
        <f>BV270+BW269-BW268</f>
        <v>#DIV/0!</v>
      </c>
      <c r="BX270" s="43" t="e">
        <f>BW270+BX269-BX268</f>
        <v>#DIV/0!</v>
      </c>
      <c r="BY270" s="43" t="e">
        <f>BX270+BY269-BY268</f>
        <v>#DIV/0!</v>
      </c>
      <c r="BZ270" s="22" t="n"/>
      <c r="CA270" s="1" t="e">
        <f>BY270+CA269-CA268</f>
        <v>#DIV/0!</v>
      </c>
      <c r="CB270" s="1" t="e">
        <f>CA270+CB269-CB268</f>
        <v>#DIV/0!</v>
      </c>
      <c r="CC270" s="43" t="e">
        <f>CB270+CC269-CC268</f>
        <v>#DIV/0!</v>
      </c>
      <c r="CD270" s="43" t="e">
        <f>CC270+CD269-CD268</f>
        <v>#DIV/0!</v>
      </c>
      <c r="CE270" s="22" t="n"/>
      <c r="CF270" s="1" t="e">
        <f>CD270+CF269-CF268</f>
        <v>#DIV/0!</v>
      </c>
      <c r="CG270" s="1" t="e">
        <f>CF270+CG269-CG268</f>
        <v>#DIV/0!</v>
      </c>
      <c r="CH270" s="43" t="e">
        <f>CG270+CH269-CH268</f>
        <v>#DIV/0!</v>
      </c>
      <c r="CI270" s="43" t="e">
        <f>CH270+CI269-CI268</f>
        <v>#DIV/0!</v>
      </c>
      <c r="CJ270" s="22" t="n"/>
      <c r="CK270" s="1" t="e">
        <f>CI270+CK269-CK268</f>
        <v>#DIV/0!</v>
      </c>
      <c r="CL270" s="1" t="e">
        <f>CK270+CL269-CL268</f>
        <v>#DIV/0!</v>
      </c>
      <c r="CM270" s="43" t="e">
        <f>CL270+CM269-CM268</f>
        <v>#DIV/0!</v>
      </c>
      <c r="CN270" s="43" t="e">
        <f>CM270+CN269-CN268</f>
        <v>#DIV/0!</v>
      </c>
      <c r="CO270" s="22" t="n"/>
      <c r="CP270" s="1" t="e">
        <f>CN270+CP269-CP268</f>
        <v>#DIV/0!</v>
      </c>
      <c r="CQ270" s="1" t="e">
        <f>CP270+CQ269-CQ268</f>
        <v>#DIV/0!</v>
      </c>
      <c r="CR270" s="43" t="e">
        <f>CQ270+CR269-CR268</f>
        <v>#DIV/0!</v>
      </c>
      <c r="CS270" s="43" t="e">
        <f>CR270+CS269-CS268</f>
        <v>#DIV/0!</v>
      </c>
      <c r="CT270" s="22" t="n"/>
      <c r="CU270" s="1" t="e">
        <f>CS270+CU269-CU268</f>
        <v>#DIV/0!</v>
      </c>
      <c r="CV270" s="1" t="e">
        <f>CU270+CV269-CV268</f>
        <v>#DIV/0!</v>
      </c>
      <c r="CW270" s="43" t="e">
        <f>CV270+CW269-CW268</f>
        <v>#DIV/0!</v>
      </c>
      <c r="CX270" s="43" t="e">
        <f>CW270+CX269-CX268</f>
        <v>#DIV/0!</v>
      </c>
      <c r="CY270" s="22" t="n"/>
      <c r="CZ270" t="e">
        <f>CX270+CZ269-CZ268</f>
        <v>#DIV/0!</v>
      </c>
      <c r="DA270" t="e">
        <f>CZ270+DA269-DA268</f>
        <v>#DIV/0!</v>
      </c>
      <c r="DB270" t="e">
        <f>DA270+DB269-DB268</f>
        <v>#DIV/0!</v>
      </c>
      <c r="DC270" t="e">
        <f>DB270+DC269-DC268</f>
        <v>#DIV/0!</v>
      </c>
    </row>
    <row r="271" hidden="1" outlineLevel="1" customFormat="1" s="39">
      <c r="A271" s="19" t="n"/>
      <c r="B271" s="19" t="n"/>
      <c r="C271" s="41" t="inlineStr">
        <is>
          <t>Weighted average basic shares outstanding</t>
        </is>
      </c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  <c r="AG271" s="22" t="n"/>
      <c r="AH271" s="43">
        <f>AVERAGE(AG270,AH270)</f>
        <v>0</v>
      </c>
      <c r="AI271" s="43">
        <f>AVERAGE(AH270,AI270)</f>
        <v>0</v>
      </c>
      <c r="AJ271" s="43" t="e">
        <f>AVERAGE(AI270,AJ270)</f>
        <v>#DIV/0!</v>
      </c>
      <c r="AK271" s="43" t="e">
        <f>AVERAGE(AJ270,AK270)</f>
        <v>#DIV/0!</v>
      </c>
      <c r="AL271" s="22" t="n"/>
      <c r="AM271" s="43" t="e">
        <f>AVERAGE(AK270,AM270)</f>
        <v>#DIV/0!</v>
      </c>
      <c r="AN271" s="43" t="e">
        <f>AVERAGE(AM270,AN270)</f>
        <v>#DIV/0!</v>
      </c>
      <c r="AO271" s="43" t="e">
        <f>AVERAGE(AN270,AO270)</f>
        <v>#DIV/0!</v>
      </c>
      <c r="AP271" s="43" t="e">
        <f>AVERAGE(AO270,AP270)</f>
        <v>#DIV/0!</v>
      </c>
      <c r="AQ271" s="22" t="n"/>
      <c r="AR271" s="43" t="e">
        <f>AVERAGE(AP270,AR270)</f>
        <v>#DIV/0!</v>
      </c>
      <c r="AS271" s="43" t="e">
        <f>AVERAGE(AR270,AS270)</f>
        <v>#DIV/0!</v>
      </c>
      <c r="AT271" s="43" t="e">
        <f>AVERAGE(AS270,AT270)</f>
        <v>#DIV/0!</v>
      </c>
      <c r="AU271" s="43" t="e">
        <f>AVERAGE(AT270,AU270)</f>
        <v>#DIV/0!</v>
      </c>
      <c r="AV271" s="22" t="n"/>
      <c r="AW271" s="43" t="e">
        <f>AVERAGE(AU270,AW270)</f>
        <v>#DIV/0!</v>
      </c>
      <c r="AX271" s="43" t="e">
        <f>AVERAGE(AW270,AX270)</f>
        <v>#DIV/0!</v>
      </c>
      <c r="AY271" s="43" t="e">
        <f>AVERAGE(AX270,AY270)</f>
        <v>#DIV/0!</v>
      </c>
      <c r="AZ271" s="43" t="e">
        <f>AVERAGE(AY270,AZ270)</f>
        <v>#DIV/0!</v>
      </c>
      <c r="BA271" s="22" t="n"/>
      <c r="BB271" s="43" t="e">
        <f>AVERAGE(AZ270,BB270)</f>
        <v>#DIV/0!</v>
      </c>
      <c r="BC271" s="43" t="e">
        <f>AVERAGE(BB270,BC270)</f>
        <v>#DIV/0!</v>
      </c>
      <c r="BD271" s="43" t="e">
        <f>AVERAGE(BC270,BD270)</f>
        <v>#DIV/0!</v>
      </c>
      <c r="BE271" s="43" t="e">
        <f>AVERAGE(BD270,BE270)</f>
        <v>#DIV/0!</v>
      </c>
      <c r="BF271" s="22" t="n"/>
      <c r="BG271" s="43" t="e">
        <f>AVERAGE(BE270,BG270)</f>
        <v>#DIV/0!</v>
      </c>
      <c r="BH271" s="43" t="e">
        <f>AVERAGE(BG270,BH270)</f>
        <v>#DIV/0!</v>
      </c>
      <c r="BI271" s="43" t="e">
        <f>AVERAGE(BH270,BI270)</f>
        <v>#DIV/0!</v>
      </c>
      <c r="BJ271" s="43" t="e">
        <f>AVERAGE(BI270,BJ270)</f>
        <v>#DIV/0!</v>
      </c>
      <c r="BK271" s="22" t="n"/>
      <c r="BL271" s="43" t="e">
        <f>AVERAGE(BJ270,BL270)</f>
        <v>#DIV/0!</v>
      </c>
      <c r="BM271" s="43" t="e">
        <f>AVERAGE(BL270,BM270)</f>
        <v>#DIV/0!</v>
      </c>
      <c r="BN271" s="43" t="e">
        <f>AVERAGE(BM270,BN270)</f>
        <v>#DIV/0!</v>
      </c>
      <c r="BO271" s="43" t="e">
        <f>AVERAGE(BN270,BO270)</f>
        <v>#DIV/0!</v>
      </c>
      <c r="BP271" s="22" t="n"/>
      <c r="BQ271" s="43" t="e">
        <f>AVERAGE(BO270,BQ270)</f>
        <v>#DIV/0!</v>
      </c>
      <c r="BR271" s="43" t="e">
        <f>AVERAGE(BQ270,BR270)</f>
        <v>#DIV/0!</v>
      </c>
      <c r="BS271" s="43" t="e">
        <f>AVERAGE(BR270,BS270)</f>
        <v>#DIV/0!</v>
      </c>
      <c r="BT271" s="43" t="e">
        <f>AVERAGE(BS270,BT270)</f>
        <v>#DIV/0!</v>
      </c>
      <c r="BU271" s="22" t="n"/>
      <c r="BV271" s="43" t="e">
        <f>AVERAGE(BT270,BV270)</f>
        <v>#DIV/0!</v>
      </c>
      <c r="BW271" s="43" t="e">
        <f>AVERAGE(BV270,BW270)</f>
        <v>#DIV/0!</v>
      </c>
      <c r="BX271" s="43" t="e">
        <f>AVERAGE(BW270,BX270)</f>
        <v>#DIV/0!</v>
      </c>
      <c r="BY271" s="43" t="e">
        <f>AVERAGE(BX270,BY270)</f>
        <v>#DIV/0!</v>
      </c>
      <c r="BZ271" s="22" t="n"/>
      <c r="CA271" s="43" t="e">
        <f>AVERAGE(BY270,CA270)</f>
        <v>#DIV/0!</v>
      </c>
      <c r="CB271" s="43" t="e">
        <f>AVERAGE(CA270,CB270)</f>
        <v>#DIV/0!</v>
      </c>
      <c r="CC271" s="43" t="e">
        <f>AVERAGE(CB270,CC270)</f>
        <v>#DIV/0!</v>
      </c>
      <c r="CD271" s="43" t="e">
        <f>AVERAGE(CC270,CD270)</f>
        <v>#DIV/0!</v>
      </c>
      <c r="CE271" s="22" t="n"/>
      <c r="CF271" s="43" t="e">
        <f>AVERAGE(CD270,CF270)</f>
        <v>#DIV/0!</v>
      </c>
      <c r="CG271" s="43" t="e">
        <f>AVERAGE(CF270,CG270)</f>
        <v>#DIV/0!</v>
      </c>
      <c r="CH271" s="43" t="e">
        <f>AVERAGE(CG270,CH270)</f>
        <v>#DIV/0!</v>
      </c>
      <c r="CI271" s="43" t="e">
        <f>AVERAGE(CH270,CI270)</f>
        <v>#DIV/0!</v>
      </c>
      <c r="CJ271" s="22" t="n"/>
      <c r="CK271" s="43" t="e">
        <f>AVERAGE(CI270,CK270)</f>
        <v>#DIV/0!</v>
      </c>
      <c r="CL271" s="43" t="e">
        <f>AVERAGE(CK270,CL270)</f>
        <v>#DIV/0!</v>
      </c>
      <c r="CM271" s="43" t="e">
        <f>AVERAGE(CL270,CM270)</f>
        <v>#DIV/0!</v>
      </c>
      <c r="CN271" s="43" t="e">
        <f>AVERAGE(CM270,CN270)</f>
        <v>#DIV/0!</v>
      </c>
      <c r="CO271" s="22" t="n"/>
      <c r="CP271" s="43" t="e">
        <f>AVERAGE(CN270,CP270)</f>
        <v>#DIV/0!</v>
      </c>
      <c r="CQ271" s="43" t="e">
        <f>AVERAGE(CP270,CQ270)</f>
        <v>#DIV/0!</v>
      </c>
      <c r="CR271" s="43" t="e">
        <f>AVERAGE(CQ270,CR270)</f>
        <v>#DIV/0!</v>
      </c>
      <c r="CS271" s="43" t="e">
        <f>AVERAGE(CR270,CS270)</f>
        <v>#DIV/0!</v>
      </c>
      <c r="CT271" s="22" t="n"/>
      <c r="CU271" s="43" t="e">
        <f>AVERAGE(CS270,CU270)</f>
        <v>#DIV/0!</v>
      </c>
      <c r="CV271" s="43" t="e">
        <f>AVERAGE(CU270,CV270)</f>
        <v>#DIV/0!</v>
      </c>
      <c r="CW271" s="43" t="e">
        <f>AVERAGE(CV270,CW270)</f>
        <v>#DIV/0!</v>
      </c>
      <c r="CX271" s="43" t="e">
        <f>AVERAGE(CW270,CX270)</f>
        <v>#DIV/0!</v>
      </c>
      <c r="CY271" s="22" t="n"/>
      <c r="CZ271" t="e">
        <f>AVERAGE(CX270,CZ270)</f>
        <v>#DIV/0!</v>
      </c>
      <c r="DA271" t="e">
        <f>AVERAGE(CZ270,DA270)</f>
        <v>#DIV/0!</v>
      </c>
      <c r="DB271" t="e">
        <f>AVERAGE(DA270,DB270)</f>
        <v>#DIV/0!</v>
      </c>
      <c r="DC271" t="e">
        <f>AVERAGE(DB270,DC270)</f>
        <v>#DIV/0!</v>
      </c>
    </row>
    <row r="272" hidden="1" outlineLevel="1" customFormat="1" s="39">
      <c r="A272" s="19" t="n"/>
      <c r="B272" s="19" t="n"/>
      <c r="C272" s="41" t="n"/>
      <c r="D272" s="22" t="n"/>
      <c r="E272" s="22" t="n"/>
      <c r="F272" s="22" t="n"/>
      <c r="G272" s="22" t="n"/>
      <c r="H272" s="3" t="n"/>
      <c r="I272" s="22" t="n"/>
      <c r="J272" s="22" t="n"/>
      <c r="K272" s="22" t="n"/>
      <c r="L272" s="22" t="n"/>
      <c r="M272" s="3" t="n"/>
      <c r="N272" s="22" t="n"/>
      <c r="O272" s="22" t="n"/>
      <c r="P272" s="22" t="n"/>
      <c r="Q272" s="22" t="n"/>
      <c r="R272" s="3" t="n"/>
      <c r="S272" s="22" t="n"/>
      <c r="T272" s="22" t="n"/>
      <c r="U272" s="22" t="n"/>
      <c r="V272" s="22" t="n"/>
      <c r="W272" s="3" t="n"/>
      <c r="X272" s="22" t="n"/>
      <c r="Y272" s="22" t="n"/>
      <c r="Z272" s="22" t="n"/>
      <c r="AA272" s="22" t="n"/>
      <c r="AB272" s="3" t="n"/>
      <c r="AC272" s="22" t="n"/>
      <c r="AD272" s="22" t="n"/>
      <c r="AE272" s="22" t="n"/>
      <c r="AF272" s="22" t="n"/>
      <c r="AG272" s="3" t="n"/>
      <c r="AH272" s="22" t="n"/>
      <c r="AI272" s="22" t="n"/>
      <c r="AJ272" s="22" t="n"/>
      <c r="AK272" s="22" t="n"/>
      <c r="AL272" s="3" t="n"/>
      <c r="AM272" s="22" t="n"/>
      <c r="AN272" s="22" t="n"/>
      <c r="AO272" s="22" t="n"/>
      <c r="AP272" s="22" t="n"/>
      <c r="AQ272" s="3" t="n"/>
      <c r="AR272" s="22" t="n"/>
      <c r="AS272" s="22" t="n"/>
      <c r="AT272" s="22" t="n"/>
      <c r="AU272" s="22" t="n"/>
      <c r="AV272" s="3" t="n"/>
      <c r="AW272" s="22" t="n"/>
      <c r="AX272" s="22" t="n"/>
      <c r="AY272" s="22" t="n"/>
      <c r="AZ272" s="22" t="n"/>
      <c r="BA272" s="3" t="n"/>
      <c r="BB272" s="22" t="n"/>
      <c r="BC272" s="22" t="n"/>
      <c r="BD272" s="22" t="n"/>
      <c r="BE272" s="22" t="n"/>
      <c r="BF272" s="3" t="n"/>
      <c r="BG272" s="22" t="n"/>
      <c r="BH272" s="22" t="n"/>
      <c r="BI272" s="22" t="n"/>
      <c r="BJ272" s="22" t="n"/>
      <c r="BK272" s="3" t="n"/>
      <c r="BL272" s="22" t="n"/>
      <c r="BM272" s="22" t="n"/>
      <c r="BN272" s="22" t="n"/>
      <c r="BO272" s="22" t="n"/>
      <c r="BP272" s="3" t="n"/>
      <c r="BQ272" s="22" t="n"/>
      <c r="BR272" s="22" t="n"/>
      <c r="BS272" s="22" t="n"/>
      <c r="BT272" s="22" t="n"/>
      <c r="BU272" s="3" t="n"/>
      <c r="BV272" s="22" t="n"/>
      <c r="BW272" s="22" t="n"/>
      <c r="BX272" s="22" t="n"/>
      <c r="BY272" s="22" t="n"/>
      <c r="BZ272" s="3" t="n"/>
      <c r="CA272" s="22" t="n"/>
      <c r="CB272" s="22" t="n"/>
      <c r="CC272" s="22" t="n"/>
      <c r="CD272" s="22" t="n"/>
      <c r="CE272" s="3" t="n"/>
      <c r="CF272" s="22" t="n"/>
      <c r="CG272" s="22" t="n"/>
      <c r="CH272" s="22" t="n"/>
      <c r="CI272" s="22" t="n"/>
      <c r="CJ272" s="3" t="n"/>
      <c r="CK272" s="22" t="n"/>
      <c r="CL272" s="22" t="n"/>
      <c r="CM272" s="22" t="n"/>
      <c r="CN272" s="22" t="n"/>
      <c r="CO272" s="3" t="n"/>
      <c r="CP272" s="22" t="n"/>
      <c r="CQ272" s="22" t="n"/>
      <c r="CR272" s="22" t="n"/>
      <c r="CS272" s="22" t="n"/>
      <c r="CT272" s="3" t="n"/>
      <c r="CU272" s="22" t="n"/>
      <c r="CV272" s="22" t="n"/>
      <c r="CW272" s="22" t="n"/>
      <c r="CX272" s="22" t="n"/>
      <c r="CY272" s="3" t="n"/>
    </row>
    <row r="273" collapsed="1">
      <c r="C273" s="26" t="inlineStr">
        <is>
          <t>Treasury stock (contra account)</t>
        </is>
      </c>
      <c r="D273" s="25">
        <f>INDEX('Inputs (2)'!$D$44:$AL$44,MATCH(D$7,'Inputs (2)'!$D$2:$AL$2,0))</f>
        <v>-0.46</v>
      </c>
      <c r="E273" s="25">
        <f>INDEX('Inputs (2)'!$D$44:$AL$44,MATCH(E$7,'Inputs (2)'!$D$2:$AL$2,0))</f>
        <v>-38.24740684</v>
      </c>
      <c r="F273" s="25">
        <f>INDEX('Inputs (2)'!$D$44:$AL$44,MATCH(F$7,'Inputs (2)'!$D$2:$AL$2,0))</f>
        <v>-8.105</v>
      </c>
      <c r="G273" s="25">
        <f>INDEX('Inputs (2)'!$D$44:$AL$44,MATCH(G$7,'Inputs (2)'!$D$2:$AL$2,0))</f>
        <v>-10.503</v>
      </c>
      <c r="H273" s="3">
        <f>G273</f>
        <v>-10.503</v>
      </c>
      <c r="I273" s="25">
        <f>INDEX('Inputs (2)'!$D$44:$AL$44,MATCH(I$7,'Inputs (2)'!$D$2:$AL$2,0))</f>
        <v>-272.346</v>
      </c>
      <c r="J273" s="25">
        <f>INDEX('Inputs (2)'!$D$44:$AL$44,MATCH(J$7,'Inputs (2)'!$D$2:$AL$2,0))</f>
        <v>-282.509</v>
      </c>
      <c r="K273" s="25">
        <f>INDEX('Inputs (2)'!$D$44:$AL$44,MATCH(K$7,'Inputs (2)'!$D$2:$AL$2,0))</f>
        <v>-151.633</v>
      </c>
      <c r="L273" s="25">
        <f>INDEX('Inputs (2)'!$D$44:$AL$44,MATCH(L$7,'Inputs (2)'!$D$2:$AL$2,0))</f>
        <v>-151.633</v>
      </c>
      <c r="M273" s="3">
        <f>L273</f>
        <v>-151.633</v>
      </c>
      <c r="N273" s="25">
        <f>INDEX('Inputs (2)'!$D$44:$AL$44,MATCH(N$7,'Inputs (2)'!$D$2:$AL$2,0))</f>
        <v>-151.633</v>
      </c>
      <c r="O273" s="25">
        <f>INDEX('Inputs (2)'!$D$44:$AL$44,MATCH(O$7,'Inputs (2)'!$D$2:$AL$2,0))</f>
        <v>-155.635</v>
      </c>
      <c r="P273" s="25">
        <f>INDEX('Inputs (2)'!$D$44:$AL$44,MATCH(P$7,'Inputs (2)'!$D$2:$AL$2,0))</f>
        <v>-165.751</v>
      </c>
      <c r="Q273" s="25">
        <f>INDEX('Inputs (2)'!$D$44:$AL$44,MATCH(Q$7,'Inputs (2)'!$D$2:$AL$2,0))</f>
        <v>-148.114</v>
      </c>
      <c r="R273" s="3">
        <f>Q273</f>
        <v>-148.114</v>
      </c>
      <c r="S273" s="25">
        <f>INDEX('Inputs (2)'!$D$44:$AL$44,MATCH(S$7,'Inputs (2)'!$D$2:$AL$2,0))</f>
        <v>-148.11432551</v>
      </c>
      <c r="T273" s="25">
        <f>INDEX('Inputs (2)'!$D$44:$AL$44,MATCH(T$7,'Inputs (2)'!$D$2:$AL$2,0))</f>
        <v>-150.87927403</v>
      </c>
      <c r="U273" s="25">
        <f>INDEX('Inputs (2)'!$D$44:$AL$44,MATCH(U$7,'Inputs (2)'!$D$2:$AL$2,0))</f>
        <v>-151.04712491</v>
      </c>
      <c r="V273" s="25">
        <f>INDEX('Inputs (2)'!$D$44:$AL$44,MATCH(V$7,'Inputs (2)'!$D$2:$AL$2,0))</f>
        <v>-151.04712491</v>
      </c>
      <c r="W273" s="3">
        <f>V273</f>
        <v>-151.04712491</v>
      </c>
      <c r="X273" s="25">
        <f>INDEX('Inputs (2)'!$D$44:$AL$44,MATCH(X$7,'Inputs (2)'!$D$2:$AL$2,0))</f>
        <v>-151.04712491</v>
      </c>
      <c r="Y273" s="25">
        <f>INDEX('Inputs (2)'!$D$44:$AL$44,MATCH(Y$7,'Inputs (2)'!$D$2:$AL$2,0))</f>
        <v>-151.18433764</v>
      </c>
      <c r="Z273" s="25">
        <f>INDEX('Inputs (2)'!$D$44:$AL$44,MATCH(Z$7,'Inputs (2)'!$D$2:$AL$2,0))</f>
        <v>-151.51945841</v>
      </c>
      <c r="AA273" s="25">
        <f>INDEX('Inputs (2)'!$D$44:$AL$44,MATCH(AA$7,'Inputs (2)'!$D$2:$AL$2,0))</f>
        <v>-155.78335443</v>
      </c>
      <c r="AB273" s="3">
        <f>AA273</f>
        <v>-155.78335443</v>
      </c>
      <c r="AC273" s="25">
        <f>INDEX('Inputs (2)'!$D$44:$AL$44,MATCH(AC$7,'Inputs (2)'!$D$2:$AL$2,0))</f>
        <v>-181.91666977</v>
      </c>
      <c r="AD273" s="25">
        <f>INDEX('Inputs (2)'!$D$44:$AL$44,MATCH(AD$7,'Inputs (2)'!$D$2:$AL$2,0))</f>
        <v>-181.96830777</v>
      </c>
      <c r="AE273" s="25">
        <f>INDEX('Inputs (2)'!$D$44:$AL$44,MATCH(AE$7,'Inputs (2)'!$D$2:$AL$2,0))</f>
        <v>-181.96830777</v>
      </c>
      <c r="AF273" s="25">
        <f>INDEX('Inputs (2)'!$D$44:$AL$44,MATCH(AF$7,'Inputs (2)'!$D$2:$AL$2,0))</f>
        <v>-181.9683078</v>
      </c>
      <c r="AG273" s="3">
        <f>AF273</f>
        <v>-181.9683078</v>
      </c>
      <c r="AH273" s="3">
        <f>INDEX('Inputs (2)'!$D$44:$AL$44,MATCH(AH$7,'Inputs (2)'!$D$2:$AL$2,0))</f>
        <v>0</v>
      </c>
      <c r="AI273" s="3">
        <f>INDEX('Inputs (2)'!$D$44:$AL$44,MATCH(AI$7,'Inputs (2)'!$D$2:$AL$2,0))</f>
        <v>0</v>
      </c>
      <c r="AJ273" s="3">
        <f>AI273+AJ263</f>
        <v>0</v>
      </c>
      <c r="AK273" s="3">
        <f>AJ273+AK263</f>
        <v>0</v>
      </c>
      <c r="AL273" s="3">
        <f>AK273</f>
        <v>0</v>
      </c>
      <c r="AM273" s="3">
        <f>AL273+AM263</f>
        <v>0</v>
      </c>
      <c r="AN273" s="3">
        <f>AM273+AN263</f>
        <v>0</v>
      </c>
      <c r="AO273" s="3">
        <f>AN273+AO263</f>
        <v>0</v>
      </c>
      <c r="AP273" s="3">
        <f>AO273+AP263</f>
        <v>0</v>
      </c>
      <c r="AQ273" s="3">
        <f>AP273</f>
        <v>0</v>
      </c>
      <c r="AR273" s="3">
        <f>AQ273+AR263</f>
        <v>0</v>
      </c>
      <c r="AS273" s="3">
        <f>AR273+AS263</f>
        <v>0</v>
      </c>
      <c r="AT273" s="3">
        <f>AS273+AT263</f>
        <v>0</v>
      </c>
      <c r="AU273" s="3">
        <f>AT273+AU263</f>
        <v>0</v>
      </c>
      <c r="AV273" s="3">
        <f>AU273</f>
        <v>0</v>
      </c>
      <c r="AW273" s="3">
        <f>AV273+AW263</f>
        <v>0</v>
      </c>
      <c r="AX273" s="3">
        <f>AW273+AX263</f>
        <v>0</v>
      </c>
      <c r="AY273" s="3">
        <f>AX273+AY263</f>
        <v>0</v>
      </c>
      <c r="AZ273" s="3">
        <f>AY273+AZ263</f>
        <v>0</v>
      </c>
      <c r="BA273" s="3">
        <f>AZ273</f>
        <v>0</v>
      </c>
      <c r="BB273" s="3">
        <f>BA273+BB263</f>
        <v>0</v>
      </c>
      <c r="BC273" s="3">
        <f>BB273+BC263</f>
        <v>0</v>
      </c>
      <c r="BD273" s="3">
        <f>BC273+BD263</f>
        <v>0</v>
      </c>
      <c r="BE273" s="3">
        <f>BD273+BE263</f>
        <v>0</v>
      </c>
      <c r="BF273" s="3">
        <f>BE273</f>
        <v>0</v>
      </c>
      <c r="BG273" s="3">
        <f>BF273+BG263</f>
        <v>0</v>
      </c>
      <c r="BH273" s="3">
        <f>BG273+BH263</f>
        <v>0</v>
      </c>
      <c r="BI273" s="3">
        <f>BH273+BI263</f>
        <v>0</v>
      </c>
      <c r="BJ273" s="3">
        <f>BI273+BJ263</f>
        <v>0</v>
      </c>
      <c r="BK273" s="3">
        <f>BJ273</f>
        <v>0</v>
      </c>
      <c r="BL273" s="3">
        <f>BK273+BL263</f>
        <v>0</v>
      </c>
      <c r="BM273" s="3">
        <f>BL273+BM263</f>
        <v>0</v>
      </c>
      <c r="BN273" s="3">
        <f>BM273+BN263</f>
        <v>0</v>
      </c>
      <c r="BO273" s="3">
        <f>BN273+BO263</f>
        <v>0</v>
      </c>
      <c r="BP273" s="3">
        <f>BO273</f>
        <v>0</v>
      </c>
      <c r="BQ273" s="3">
        <f>BP273+BQ263</f>
        <v>0</v>
      </c>
      <c r="BR273" s="3">
        <f>BQ273+BR263</f>
        <v>0</v>
      </c>
      <c r="BS273" s="3">
        <f>BR273+BS263</f>
        <v>0</v>
      </c>
      <c r="BT273" s="3">
        <f>BS273+BT263</f>
        <v>0</v>
      </c>
      <c r="BU273" s="3">
        <f>BT273</f>
        <v>0</v>
      </c>
      <c r="BV273" s="3">
        <f>BU273+BV263</f>
        <v>0</v>
      </c>
      <c r="BW273" s="3">
        <f>BV273+BW263</f>
        <v>0</v>
      </c>
      <c r="BX273" s="3">
        <f>BW273+BX263</f>
        <v>0</v>
      </c>
      <c r="BY273" s="3">
        <f>BX273+BY263</f>
        <v>0</v>
      </c>
      <c r="BZ273" s="3">
        <f>BY273</f>
        <v>0</v>
      </c>
      <c r="CA273" s="3">
        <f>BZ273+CA263</f>
        <v>0</v>
      </c>
      <c r="CB273" s="3">
        <f>CA273+CB263</f>
        <v>0</v>
      </c>
      <c r="CC273" s="3">
        <f>CB273+CC263</f>
        <v>0</v>
      </c>
      <c r="CD273" s="3">
        <f>CC273+CD263</f>
        <v>0</v>
      </c>
      <c r="CE273" s="3">
        <f>CD273</f>
        <v>0</v>
      </c>
      <c r="CF273" s="3">
        <f>CE273+CF263</f>
        <v>0</v>
      </c>
      <c r="CG273" s="3">
        <f>CF273+CG263</f>
        <v>0</v>
      </c>
      <c r="CH273" s="3">
        <f>CG273+CH263</f>
        <v>0</v>
      </c>
      <c r="CI273" s="3">
        <f>CH273+CI263</f>
        <v>0</v>
      </c>
      <c r="CJ273" s="3">
        <f>CI273</f>
        <v>0</v>
      </c>
      <c r="CK273" s="3">
        <f>CJ273+CK263</f>
        <v>0</v>
      </c>
      <c r="CL273" s="3">
        <f>CK273+CL263</f>
        <v>0</v>
      </c>
      <c r="CM273" s="3">
        <f>CL273+CM263</f>
        <v>0</v>
      </c>
      <c r="CN273" s="3">
        <f>CM273+CN263</f>
        <v>0</v>
      </c>
      <c r="CO273" s="3">
        <f>CN273</f>
        <v>0</v>
      </c>
      <c r="CP273" s="3">
        <f>CO273+CP263</f>
        <v>0</v>
      </c>
      <c r="CQ273" s="3">
        <f>CP273+CQ263</f>
        <v>0</v>
      </c>
      <c r="CR273" s="3">
        <f>CQ273+CR263</f>
        <v>0</v>
      </c>
      <c r="CS273" s="3">
        <f>CR273+CS263</f>
        <v>0</v>
      </c>
      <c r="CT273" s="3">
        <f>CS273</f>
        <v>0</v>
      </c>
      <c r="CU273" s="3">
        <f>CT273+CU263</f>
        <v>0</v>
      </c>
      <c r="CV273" s="3">
        <f>CU273+CV263</f>
        <v>0</v>
      </c>
      <c r="CW273" s="3">
        <f>CV273+CW263</f>
        <v>0</v>
      </c>
      <c r="CX273" s="3">
        <f>CW273+CX263</f>
        <v>0</v>
      </c>
      <c r="CY273" s="3">
        <f>CX273</f>
        <v>0</v>
      </c>
    </row>
    <row r="274">
      <c r="C274" s="26" t="inlineStr">
        <is>
          <t>Comprehensive (accumulated) loss</t>
        </is>
      </c>
      <c r="D274" s="25">
        <f>INDEX('Inputs (2)'!$D$45:$AL$45,MATCH(D$7,'Inputs (2)'!$D$2:$AL$2,0))</f>
        <v>166.302</v>
      </c>
      <c r="E274" s="25">
        <f>INDEX('Inputs (2)'!$D$45:$AL$45,MATCH(E$7,'Inputs (2)'!$D$2:$AL$2,0))</f>
        <v>26.80158517</v>
      </c>
      <c r="F274" s="25">
        <f>INDEX('Inputs (2)'!$D$45:$AL$45,MATCH(F$7,'Inputs (2)'!$D$2:$AL$2,0))</f>
        <v>468.061</v>
      </c>
      <c r="G274" s="25">
        <f>INDEX('Inputs (2)'!$D$45:$AL$45,MATCH(G$7,'Inputs (2)'!$D$2:$AL$2,0))</f>
        <v>472.147</v>
      </c>
      <c r="H274" s="3">
        <f>G274</f>
        <v>472.147</v>
      </c>
      <c r="I274" s="25">
        <f>INDEX('Inputs (2)'!$D$45:$AL$45,MATCH(I$7,'Inputs (2)'!$D$2:$AL$2,0))</f>
        <v>215.1</v>
      </c>
      <c r="J274" s="25">
        <f>INDEX('Inputs (2)'!$D$45:$AL$45,MATCH(J$7,'Inputs (2)'!$D$2:$AL$2,0))</f>
        <v>270.366</v>
      </c>
      <c r="K274" s="25">
        <f>INDEX('Inputs (2)'!$D$45:$AL$45,MATCH(K$7,'Inputs (2)'!$D$2:$AL$2,0))</f>
        <v>214.938</v>
      </c>
      <c r="L274" s="25">
        <f>INDEX('Inputs (2)'!$D$45:$AL$45,MATCH(L$7,'Inputs (2)'!$D$2:$AL$2,0))</f>
        <v>261.301</v>
      </c>
      <c r="M274" s="3">
        <f>L274</f>
        <v>261.301</v>
      </c>
      <c r="N274" s="25">
        <f>INDEX('Inputs (2)'!$D$45:$AL$45,MATCH(N$7,'Inputs (2)'!$D$2:$AL$2,0))</f>
        <v>31.943</v>
      </c>
      <c r="O274" s="25">
        <f>INDEX('Inputs (2)'!$D$45:$AL$45,MATCH(O$7,'Inputs (2)'!$D$2:$AL$2,0))</f>
        <v>-104.169</v>
      </c>
      <c r="P274" s="25">
        <f>INDEX('Inputs (2)'!$D$45:$AL$45,MATCH(P$7,'Inputs (2)'!$D$2:$AL$2,0))</f>
        <v>-268.847</v>
      </c>
      <c r="Q274" s="25">
        <f>INDEX('Inputs (2)'!$D$45:$AL$45,MATCH(Q$7,'Inputs (2)'!$D$2:$AL$2,0))</f>
        <v>-251.844</v>
      </c>
      <c r="R274" s="3">
        <f>Q274</f>
        <v>-251.844</v>
      </c>
      <c r="S274" s="25">
        <f>INDEX('Inputs (2)'!$D$45:$AL$45,MATCH(S$7,'Inputs (2)'!$D$2:$AL$2,0))</f>
        <v>-954.935384997447</v>
      </c>
      <c r="T274" s="25">
        <f>INDEX('Inputs (2)'!$D$45:$AL$45,MATCH(T$7,'Inputs (2)'!$D$2:$AL$2,0))</f>
        <v>-725.563953237447</v>
      </c>
      <c r="U274" s="25">
        <f>INDEX('Inputs (2)'!$D$45:$AL$45,MATCH(U$7,'Inputs (2)'!$D$2:$AL$2,0))</f>
        <v>-84.9176377074471</v>
      </c>
      <c r="V274" s="25">
        <f>INDEX('Inputs (2)'!$D$45:$AL$45,MATCH(V$7,'Inputs (2)'!$D$2:$AL$2,0))</f>
        <v>-405.504835827447</v>
      </c>
      <c r="W274" s="3">
        <f>V274</f>
        <v>-405.504835827447</v>
      </c>
      <c r="X274" s="25">
        <f>INDEX('Inputs (2)'!$D$45:$AL$45,MATCH(X$7,'Inputs (2)'!$D$2:$AL$2,0))</f>
        <v>-445.750407677447</v>
      </c>
      <c r="Y274" s="25">
        <f>INDEX('Inputs (2)'!$D$45:$AL$45,MATCH(Y$7,'Inputs (2)'!$D$2:$AL$2,0))</f>
        <v>-488.909182807447</v>
      </c>
      <c r="Z274" s="25">
        <f>INDEX('Inputs (2)'!$D$45:$AL$45,MATCH(Z$7,'Inputs (2)'!$D$2:$AL$2,0))</f>
        <v>-415.623650617447</v>
      </c>
      <c r="AA274" s="25">
        <f>INDEX('Inputs (2)'!$D$45:$AL$45,MATCH(AA$7,'Inputs (2)'!$D$2:$AL$2,0))</f>
        <v>-582.0273455</v>
      </c>
      <c r="AB274" s="3">
        <f>AA274</f>
        <v>-582.0273455</v>
      </c>
      <c r="AC274" s="25">
        <f>INDEX('Inputs (2)'!$D$45:$AL$45,MATCH(AC$7,'Inputs (2)'!$D$2:$AL$2,0))</f>
        <v>-481.32401074</v>
      </c>
      <c r="AD274" s="25">
        <f>INDEX('Inputs (2)'!$D$45:$AL$45,MATCH(AD$7,'Inputs (2)'!$D$2:$AL$2,0))</f>
        <v>-392.7979527</v>
      </c>
      <c r="AE274" s="25">
        <f>INDEX('Inputs (2)'!$D$45:$AL$45,MATCH(AE$7,'Inputs (2)'!$D$2:$AL$2,0))</f>
        <v>-421.69167665</v>
      </c>
      <c r="AF274" s="25">
        <f>INDEX('Inputs (2)'!$D$45:$AL$45,MATCH(AF$7,'Inputs (2)'!$D$2:$AL$2,0))</f>
        <v>302.5429319</v>
      </c>
      <c r="AG274" s="3">
        <f>AF274</f>
        <v>302.5429319</v>
      </c>
      <c r="AH274" s="3">
        <f>INDEX('Inputs (2)'!$D$45:$AL$45,MATCH(AH$7,'Inputs (2)'!$D$2:$AL$2,0))</f>
        <v>302.54293186</v>
      </c>
      <c r="AI274" s="3">
        <f>INDEX('Inputs (2)'!$D$45:$AL$45,MATCH(AI$7,'Inputs (2)'!$D$2:$AL$2,0))</f>
        <v>333.43460416</v>
      </c>
      <c r="AJ274" s="3">
        <f>AI274</f>
        <v>333.43460416</v>
      </c>
      <c r="AK274" s="3">
        <f>AJ274</f>
        <v>333.43460416</v>
      </c>
      <c r="AL274" s="3">
        <f>AK274</f>
        <v>333.43460416</v>
      </c>
      <c r="AM274" s="3">
        <f>AL274</f>
        <v>333.43460416</v>
      </c>
      <c r="AN274" s="3">
        <f>AM274</f>
        <v>333.43460416</v>
      </c>
      <c r="AO274" s="3">
        <f>AN274</f>
        <v>333.43460416</v>
      </c>
      <c r="AP274" s="3">
        <f>AO274</f>
        <v>333.43460416</v>
      </c>
      <c r="AQ274" s="3">
        <f>AP274</f>
        <v>333.43460416</v>
      </c>
      <c r="AR274" s="3">
        <f>AQ274</f>
        <v>333.43460416</v>
      </c>
      <c r="AS274" s="3">
        <f>AR274</f>
        <v>333.43460416</v>
      </c>
      <c r="AT274" s="3">
        <f>AS274</f>
        <v>333.43460416</v>
      </c>
      <c r="AU274" s="3">
        <f>AT274</f>
        <v>333.43460416</v>
      </c>
      <c r="AV274" s="3">
        <f>AU274</f>
        <v>333.43460416</v>
      </c>
      <c r="AW274" s="3">
        <f>AV274</f>
        <v>333.43460416</v>
      </c>
      <c r="AX274" s="3">
        <f>AW274</f>
        <v>333.43460416</v>
      </c>
      <c r="AY274" s="3">
        <f>AX274</f>
        <v>333.43460416</v>
      </c>
      <c r="AZ274" s="3">
        <f>AY274</f>
        <v>333.43460416</v>
      </c>
      <c r="BA274" s="3">
        <f>AZ274</f>
        <v>333.43460416</v>
      </c>
      <c r="BB274" s="3">
        <f>BA274</f>
        <v>333.43460416</v>
      </c>
      <c r="BC274" s="3">
        <f>BB274</f>
        <v>333.43460416</v>
      </c>
      <c r="BD274" s="3">
        <f>BC274</f>
        <v>333.43460416</v>
      </c>
      <c r="BE274" s="3">
        <f>BD274</f>
        <v>333.43460416</v>
      </c>
      <c r="BF274" s="3">
        <f>BE274</f>
        <v>333.43460416</v>
      </c>
      <c r="BG274" s="3">
        <f>BF274</f>
        <v>333.43460416</v>
      </c>
      <c r="BH274" s="3">
        <f>BG274</f>
        <v>333.43460416</v>
      </c>
      <c r="BI274" s="3">
        <f>BH274</f>
        <v>333.43460416</v>
      </c>
      <c r="BJ274" s="3">
        <f>BI274</f>
        <v>333.43460416</v>
      </c>
      <c r="BK274" s="3">
        <f>BJ274</f>
        <v>333.43460416</v>
      </c>
      <c r="BL274" s="3">
        <f>BK274</f>
        <v>333.43460416</v>
      </c>
      <c r="BM274" s="3">
        <f>BL274</f>
        <v>333.43460416</v>
      </c>
      <c r="BN274" s="3">
        <f>BM274</f>
        <v>333.43460416</v>
      </c>
      <c r="BO274" s="3">
        <f>BN274</f>
        <v>333.43460416</v>
      </c>
      <c r="BP274" s="3">
        <f>BO274</f>
        <v>333.43460416</v>
      </c>
      <c r="BQ274" s="3">
        <f>BP274</f>
        <v>333.43460416</v>
      </c>
      <c r="BR274" s="3">
        <f>BQ274</f>
        <v>333.43460416</v>
      </c>
      <c r="BS274" s="3">
        <f>BR274</f>
        <v>333.43460416</v>
      </c>
      <c r="BT274" s="3">
        <f>BS274</f>
        <v>333.43460416</v>
      </c>
      <c r="BU274" s="3">
        <f>BT274</f>
        <v>333.43460416</v>
      </c>
      <c r="BV274" s="3">
        <f>BU274</f>
        <v>333.43460416</v>
      </c>
      <c r="BW274" s="3">
        <f>BV274</f>
        <v>333.43460416</v>
      </c>
      <c r="BX274" s="3">
        <f>BW274</f>
        <v>333.43460416</v>
      </c>
      <c r="BY274" s="3">
        <f>BX274</f>
        <v>333.43460416</v>
      </c>
      <c r="BZ274" s="3">
        <f>BY274</f>
        <v>333.43460416</v>
      </c>
      <c r="CA274" s="3">
        <f>BZ274</f>
        <v>333.43460416</v>
      </c>
      <c r="CB274" s="3">
        <f>CA274</f>
        <v>333.43460416</v>
      </c>
      <c r="CC274" s="3">
        <f>CB274</f>
        <v>333.43460416</v>
      </c>
      <c r="CD274" s="3">
        <f>CC274</f>
        <v>333.43460416</v>
      </c>
      <c r="CE274" s="3">
        <f>CD274</f>
        <v>333.43460416</v>
      </c>
      <c r="CF274" s="3">
        <f>CE274</f>
        <v>333.43460416</v>
      </c>
      <c r="CG274" s="3">
        <f>CF274</f>
        <v>333.43460416</v>
      </c>
      <c r="CH274" s="3">
        <f>CG274</f>
        <v>333.43460416</v>
      </c>
      <c r="CI274" s="3">
        <f>CH274</f>
        <v>333.43460416</v>
      </c>
      <c r="CJ274" s="3">
        <f>CI274</f>
        <v>333.43460416</v>
      </c>
      <c r="CK274" s="3">
        <f>CJ274</f>
        <v>333.43460416</v>
      </c>
      <c r="CL274" s="3">
        <f>CK274</f>
        <v>333.43460416</v>
      </c>
      <c r="CM274" s="3">
        <f>CL274</f>
        <v>333.43460416</v>
      </c>
      <c r="CN274" s="3">
        <f>CM274</f>
        <v>333.43460416</v>
      </c>
      <c r="CO274" s="3">
        <f>CN274</f>
        <v>333.43460416</v>
      </c>
      <c r="CP274" s="3">
        <f>CO274</f>
        <v>333.43460416</v>
      </c>
      <c r="CQ274" s="3">
        <f>CP274</f>
        <v>333.43460416</v>
      </c>
      <c r="CR274" s="3">
        <f>CQ274</f>
        <v>333.43460416</v>
      </c>
      <c r="CS274" s="3">
        <f>CR274</f>
        <v>333.43460416</v>
      </c>
      <c r="CT274" s="3">
        <f>CS274</f>
        <v>333.43460416</v>
      </c>
      <c r="CU274" s="3">
        <f>CT274</f>
        <v>333.43460416</v>
      </c>
      <c r="CV274" s="3">
        <f>CU274</f>
        <v>333.43460416</v>
      </c>
      <c r="CW274" s="3">
        <f>CV274</f>
        <v>333.43460416</v>
      </c>
      <c r="CX274" s="3">
        <f>CW274</f>
        <v>333.43460416</v>
      </c>
      <c r="CY274" s="3">
        <f>CX274</f>
        <v>333.43460416</v>
      </c>
    </row>
    <row r="275">
      <c r="C275" s="26" t="inlineStr">
        <is>
          <t>Other equity account</t>
        </is>
      </c>
      <c r="D275" s="25">
        <f>INDEX('Inputs (2)'!$D$46:$AL$46,MATCH(D$7,'Inputs (2)'!$D$2:$AL$2,0))</f>
        <v>286.76</v>
      </c>
      <c r="E275" s="25">
        <f>INDEX('Inputs (2)'!$D$46:$AL$46,MATCH(E$7,'Inputs (2)'!$D$2:$AL$2,0))</f>
        <v>376.82140534</v>
      </c>
      <c r="F275" s="25">
        <f>INDEX('Inputs (2)'!$D$46:$AL$46,MATCH(F$7,'Inputs (2)'!$D$2:$AL$2,0))</f>
        <v>-118.919</v>
      </c>
      <c r="G275" s="25">
        <f>INDEX('Inputs (2)'!$D$46:$AL$46,MATCH(G$7,'Inputs (2)'!$D$2:$AL$2,0))</f>
        <v>-120.471</v>
      </c>
      <c r="H275" s="3">
        <f>G275</f>
        <v>-120.471</v>
      </c>
      <c r="I275" s="25">
        <f>INDEX('Inputs (2)'!$D$46:$AL$46,MATCH(I$7,'Inputs (2)'!$D$2:$AL$2,0))</f>
        <v>-158.278</v>
      </c>
      <c r="J275" s="25">
        <f>INDEX('Inputs (2)'!$D$46:$AL$46,MATCH(J$7,'Inputs (2)'!$D$2:$AL$2,0))</f>
        <v>-113.68</v>
      </c>
      <c r="K275" s="25">
        <f>INDEX('Inputs (2)'!$D$46:$AL$46,MATCH(K$7,'Inputs (2)'!$D$2:$AL$2,0))</f>
        <v>-226.171</v>
      </c>
      <c r="L275" s="25">
        <f>INDEX('Inputs (2)'!$D$46:$AL$46,MATCH(L$7,'Inputs (2)'!$D$2:$AL$2,0))</f>
        <v>-269.203</v>
      </c>
      <c r="M275" s="3">
        <f>L275</f>
        <v>-269.203</v>
      </c>
      <c r="N275" s="25">
        <f>INDEX('Inputs (2)'!$D$46:$AL$46,MATCH(N$7,'Inputs (2)'!$D$2:$AL$2,0))</f>
        <v>-440.692</v>
      </c>
      <c r="O275" s="25">
        <f>INDEX('Inputs (2)'!$D$46:$AL$46,MATCH(O$7,'Inputs (2)'!$D$2:$AL$2,0))</f>
        <v>-717.596</v>
      </c>
      <c r="P275" s="25">
        <f>INDEX('Inputs (2)'!$D$46:$AL$46,MATCH(P$7,'Inputs (2)'!$D$2:$AL$2,0))</f>
        <v>-816.101</v>
      </c>
      <c r="Q275" s="25">
        <f>INDEX('Inputs (2)'!$D$46:$AL$46,MATCH(Q$7,'Inputs (2)'!$D$2:$AL$2,0))</f>
        <v>-721.574</v>
      </c>
      <c r="R275" s="3">
        <f>Q275</f>
        <v>-721.574</v>
      </c>
      <c r="S275" s="25">
        <f>INDEX('Inputs (2)'!$D$46:$AL$46,MATCH(S$7,'Inputs (2)'!$D$2:$AL$2,0))</f>
        <v>-399.57498121</v>
      </c>
      <c r="T275" s="25">
        <f>INDEX('Inputs (2)'!$D$46:$AL$46,MATCH(T$7,'Inputs (2)'!$D$2:$AL$2,0))</f>
        <v>-399.57498121</v>
      </c>
      <c r="U275" s="25">
        <f>INDEX('Inputs (2)'!$D$46:$AL$46,MATCH(U$7,'Inputs (2)'!$D$2:$AL$2,0))</f>
        <v>-500.57898121</v>
      </c>
      <c r="V275" s="25">
        <f>INDEX('Inputs (2)'!$D$46:$AL$46,MATCH(V$7,'Inputs (2)'!$D$2:$AL$2,0))</f>
        <v>25.62811802</v>
      </c>
      <c r="W275" s="3">
        <f>V275</f>
        <v>25.62811802</v>
      </c>
      <c r="X275" s="25">
        <f>INDEX('Inputs (2)'!$D$46:$AL$46,MATCH(X$7,'Inputs (2)'!$D$2:$AL$2,0))</f>
        <v>-30.43085043</v>
      </c>
      <c r="Y275" s="25">
        <f>INDEX('Inputs (2)'!$D$46:$AL$46,MATCH(Y$7,'Inputs (2)'!$D$2:$AL$2,0))</f>
        <v>-66.01177379</v>
      </c>
      <c r="Z275" s="25">
        <f>INDEX('Inputs (2)'!$D$46:$AL$46,MATCH(Z$7,'Inputs (2)'!$D$2:$AL$2,0))</f>
        <v>-17.8895838</v>
      </c>
      <c r="AA275" s="25">
        <f>INDEX('Inputs (2)'!$D$46:$AL$46,MATCH(AA$7,'Inputs (2)'!$D$2:$AL$2,0))</f>
        <v>0.20780122</v>
      </c>
      <c r="AB275" s="3">
        <f>AA275</f>
        <v>0.20780122</v>
      </c>
      <c r="AC275" s="25">
        <f>INDEX('Inputs (2)'!$D$46:$AL$46,MATCH(AC$7,'Inputs (2)'!$D$2:$AL$2,0))</f>
        <v>-4.51910642</v>
      </c>
      <c r="AD275" s="25">
        <f>INDEX('Inputs (2)'!$D$46:$AL$46,MATCH(AD$7,'Inputs (2)'!$D$2:$AL$2,0))</f>
        <v>563.4985897</v>
      </c>
      <c r="AE275" s="25">
        <f>INDEX('Inputs (2)'!$D$46:$AL$46,MATCH(AE$7,'Inputs (2)'!$D$2:$AL$2,0))</f>
        <v>651.52011473</v>
      </c>
      <c r="AF275" s="25">
        <f>INDEX('Inputs (2)'!$D$46:$AL$46,MATCH(AF$7,'Inputs (2)'!$D$2:$AL$2,0))</f>
        <v>874.5439404</v>
      </c>
      <c r="AG275" s="3">
        <f>AF275</f>
        <v>874.5439404</v>
      </c>
      <c r="AH275" s="3">
        <f>INDEX('Inputs (2)'!$D$46:$AL$46,MATCH(AH$7,'Inputs (2)'!$D$2:$AL$2,0))</f>
        <v>793.66737536</v>
      </c>
      <c r="AI275" s="3">
        <f>INDEX('Inputs (2)'!$D$46:$AL$46,MATCH(AI$7,'Inputs (2)'!$D$2:$AL$2,0))</f>
        <v>775.32691685</v>
      </c>
      <c r="AJ275" s="3">
        <f>AI275</f>
        <v>775.32691685</v>
      </c>
      <c r="AK275" s="3">
        <f>AJ275</f>
        <v>775.32691685</v>
      </c>
      <c r="AL275" s="3">
        <f>AK275</f>
        <v>775.32691685</v>
      </c>
      <c r="AM275" s="3">
        <f>AL275</f>
        <v>775.32691685</v>
      </c>
      <c r="AN275" s="3">
        <f>AM275</f>
        <v>775.32691685</v>
      </c>
      <c r="AO275" s="3">
        <f>AN275</f>
        <v>775.32691685</v>
      </c>
      <c r="AP275" s="3">
        <f>AO275</f>
        <v>775.32691685</v>
      </c>
      <c r="AQ275" s="3">
        <f>AP275</f>
        <v>775.32691685</v>
      </c>
      <c r="AR275" s="3">
        <f>AQ275</f>
        <v>775.32691685</v>
      </c>
      <c r="AS275" s="3">
        <f>AR275</f>
        <v>775.32691685</v>
      </c>
      <c r="AT275" s="3">
        <f>AS275</f>
        <v>775.32691685</v>
      </c>
      <c r="AU275" s="3">
        <f>AT275</f>
        <v>775.32691685</v>
      </c>
      <c r="AV275" s="3">
        <f>AU275</f>
        <v>775.32691685</v>
      </c>
      <c r="AW275" s="3">
        <f>AV275</f>
        <v>775.32691685</v>
      </c>
      <c r="AX275" s="3">
        <f>AW275</f>
        <v>775.32691685</v>
      </c>
      <c r="AY275" s="3">
        <f>AX275</f>
        <v>775.32691685</v>
      </c>
      <c r="AZ275" s="3">
        <f>AY275</f>
        <v>775.32691685</v>
      </c>
      <c r="BA275" s="3">
        <f>AZ275</f>
        <v>775.32691685</v>
      </c>
      <c r="BB275" s="3">
        <f>BA275</f>
        <v>775.32691685</v>
      </c>
      <c r="BC275" s="3">
        <f>BB275</f>
        <v>775.32691685</v>
      </c>
      <c r="BD275" s="3">
        <f>BC275</f>
        <v>775.32691685</v>
      </c>
      <c r="BE275" s="3">
        <f>BD275</f>
        <v>775.32691685</v>
      </c>
      <c r="BF275" s="3">
        <f>BE275</f>
        <v>775.32691685</v>
      </c>
      <c r="BG275" s="3">
        <f>BF275</f>
        <v>775.32691685</v>
      </c>
      <c r="BH275" s="3">
        <f>BG275</f>
        <v>775.32691685</v>
      </c>
      <c r="BI275" s="3">
        <f>BH275</f>
        <v>775.32691685</v>
      </c>
      <c r="BJ275" s="3">
        <f>BI275</f>
        <v>775.32691685</v>
      </c>
      <c r="BK275" s="3">
        <f>BJ275</f>
        <v>775.32691685</v>
      </c>
      <c r="BL275" s="3">
        <f>BK275</f>
        <v>775.32691685</v>
      </c>
      <c r="BM275" s="3">
        <f>BL275</f>
        <v>775.32691685</v>
      </c>
      <c r="BN275" s="3">
        <f>BM275</f>
        <v>775.32691685</v>
      </c>
      <c r="BO275" s="3">
        <f>BN275</f>
        <v>775.32691685</v>
      </c>
      <c r="BP275" s="3">
        <f>BO275</f>
        <v>775.32691685</v>
      </c>
      <c r="BQ275" s="3">
        <f>BP275</f>
        <v>775.32691685</v>
      </c>
      <c r="BR275" s="3">
        <f>BQ275</f>
        <v>775.32691685</v>
      </c>
      <c r="BS275" s="3">
        <f>BR275</f>
        <v>775.32691685</v>
      </c>
      <c r="BT275" s="3">
        <f>BS275</f>
        <v>775.32691685</v>
      </c>
      <c r="BU275" s="3">
        <f>BT275</f>
        <v>775.32691685</v>
      </c>
      <c r="BV275" s="3">
        <f>BU275</f>
        <v>775.32691685</v>
      </c>
      <c r="BW275" s="3">
        <f>BV275</f>
        <v>775.32691685</v>
      </c>
      <c r="BX275" s="3">
        <f>BW275</f>
        <v>775.32691685</v>
      </c>
      <c r="BY275" s="3">
        <f>BX275</f>
        <v>775.32691685</v>
      </c>
      <c r="BZ275" s="3">
        <f>BY275</f>
        <v>775.32691685</v>
      </c>
      <c r="CA275" s="3">
        <f>BZ275</f>
        <v>775.32691685</v>
      </c>
      <c r="CB275" s="3">
        <f>CA275</f>
        <v>775.32691685</v>
      </c>
      <c r="CC275" s="3">
        <f>CB275</f>
        <v>775.32691685</v>
      </c>
      <c r="CD275" s="3">
        <f>CC275</f>
        <v>775.32691685</v>
      </c>
      <c r="CE275" s="3">
        <f>CD275</f>
        <v>775.32691685</v>
      </c>
      <c r="CF275" s="3">
        <f>CE275</f>
        <v>775.32691685</v>
      </c>
      <c r="CG275" s="3">
        <f>CF275</f>
        <v>775.32691685</v>
      </c>
      <c r="CH275" s="3">
        <f>CG275</f>
        <v>775.32691685</v>
      </c>
      <c r="CI275" s="3">
        <f>CH275</f>
        <v>775.32691685</v>
      </c>
      <c r="CJ275" s="3">
        <f>CI275</f>
        <v>775.32691685</v>
      </c>
      <c r="CK275" s="3">
        <f>CJ275</f>
        <v>775.32691685</v>
      </c>
      <c r="CL275" s="3">
        <f>CK275</f>
        <v>775.32691685</v>
      </c>
      <c r="CM275" s="3">
        <f>CL275</f>
        <v>775.32691685</v>
      </c>
      <c r="CN275" s="3">
        <f>CM275</f>
        <v>775.32691685</v>
      </c>
      <c r="CO275" s="3">
        <f>CN275</f>
        <v>775.32691685</v>
      </c>
      <c r="CP275" s="3">
        <f>CO275</f>
        <v>775.32691685</v>
      </c>
      <c r="CQ275" s="3">
        <f>CP275</f>
        <v>775.32691685</v>
      </c>
      <c r="CR275" s="3">
        <f>CQ275</f>
        <v>775.32691685</v>
      </c>
      <c r="CS275" s="3">
        <f>CR275</f>
        <v>775.32691685</v>
      </c>
      <c r="CT275" s="3">
        <f>CS275</f>
        <v>775.32691685</v>
      </c>
      <c r="CU275" s="3">
        <f>CT275</f>
        <v>775.32691685</v>
      </c>
      <c r="CV275" s="3">
        <f>CU275</f>
        <v>775.32691685</v>
      </c>
      <c r="CW275" s="3">
        <f>CV275</f>
        <v>775.32691685</v>
      </c>
      <c r="CX275" s="3">
        <f>CW275</f>
        <v>775.32691685</v>
      </c>
      <c r="CY275" s="3">
        <f>CX275</f>
        <v>775.32691685</v>
      </c>
    </row>
    <row r="276">
      <c r="C276" s="28" t="inlineStr">
        <is>
          <t>Retained earnings</t>
        </is>
      </c>
      <c r="D276" s="25">
        <f>INDEX('Inputs (2)'!$D$47:$AL$47,MATCH(D$7,'Inputs (2)'!$D$2:$AL$2,0))</f>
        <v>116.225</v>
      </c>
      <c r="E276" s="25">
        <f>INDEX('Inputs (2)'!$D$47:$AL$47,MATCH(E$7,'Inputs (2)'!$D$2:$AL$2,0))</f>
        <v>310.42597853</v>
      </c>
      <c r="F276" s="25">
        <f>INDEX('Inputs (2)'!$D$47:$AL$47,MATCH(F$7,'Inputs (2)'!$D$2:$AL$2,0))</f>
        <v>158.796</v>
      </c>
      <c r="G276" s="25">
        <f>INDEX('Inputs (2)'!$D$47:$AL$47,MATCH(G$7,'Inputs (2)'!$D$2:$AL$2,0))</f>
        <v>262.336</v>
      </c>
      <c r="H276" s="3">
        <f>G276</f>
        <v>262.336</v>
      </c>
      <c r="I276" s="25">
        <f>INDEX('Inputs (2)'!$D$47:$AL$47,MATCH(I$7,'Inputs (2)'!$D$2:$AL$2,0))</f>
        <v>410.904</v>
      </c>
      <c r="J276" s="25">
        <f>INDEX('Inputs (2)'!$D$47:$AL$47,MATCH(J$7,'Inputs (2)'!$D$2:$AL$2,0))</f>
        <v>623.826</v>
      </c>
      <c r="K276" s="25">
        <f>INDEX('Inputs (2)'!$D$47:$AL$47,MATCH(K$7,'Inputs (2)'!$D$2:$AL$2,0))</f>
        <v>869.589</v>
      </c>
      <c r="L276" s="25">
        <f>INDEX('Inputs (2)'!$D$47:$AL$47,MATCH(L$7,'Inputs (2)'!$D$2:$AL$2,0))</f>
        <v>877.94</v>
      </c>
      <c r="M276" s="3">
        <f>L276</f>
        <v>877.94</v>
      </c>
      <c r="N276" s="25">
        <f>INDEX('Inputs (2)'!$D$47:$AL$47,MATCH(N$7,'Inputs (2)'!$D$2:$AL$2,0))</f>
        <v>765.355</v>
      </c>
      <c r="O276" s="25">
        <f>INDEX('Inputs (2)'!$D$47:$AL$47,MATCH(O$7,'Inputs (2)'!$D$2:$AL$2,0))</f>
        <v>867.332</v>
      </c>
      <c r="P276" s="25">
        <f>INDEX('Inputs (2)'!$D$47:$AL$47,MATCH(P$7,'Inputs (2)'!$D$2:$AL$2,0))</f>
        <v>885.833</v>
      </c>
      <c r="Q276" s="25">
        <f>INDEX('Inputs (2)'!$D$47:$AL$47,MATCH(Q$7,'Inputs (2)'!$D$2:$AL$2,0))</f>
        <v>925.757</v>
      </c>
      <c r="R276" s="3">
        <f>Q276</f>
        <v>925.757</v>
      </c>
      <c r="S276" s="25">
        <f>INDEX('Inputs (2)'!$D$47:$AL$47,MATCH(S$7,'Inputs (2)'!$D$2:$AL$2,0))</f>
        <v>931.95033978</v>
      </c>
      <c r="T276" s="25">
        <f>INDEX('Inputs (2)'!$D$47:$AL$47,MATCH(T$7,'Inputs (2)'!$D$2:$AL$2,0))</f>
        <v>944.2770821504</v>
      </c>
      <c r="U276" s="25">
        <f>INDEX('Inputs (2)'!$D$47:$AL$47,MATCH(U$7,'Inputs (2)'!$D$2:$AL$2,0))</f>
        <v>807.760875481304</v>
      </c>
      <c r="V276" s="25">
        <f>INDEX('Inputs (2)'!$D$47:$AL$47,MATCH(V$7,'Inputs (2)'!$D$2:$AL$2,0))</f>
        <v>430.53850448</v>
      </c>
      <c r="W276" s="3">
        <f>V276</f>
        <v>430.53850448</v>
      </c>
      <c r="X276" s="25">
        <f>INDEX('Inputs (2)'!$D$47:$AL$47,MATCH(X$7,'Inputs (2)'!$D$2:$AL$2,0))</f>
        <v>417.4832737</v>
      </c>
      <c r="Y276" s="25">
        <f>INDEX('Inputs (2)'!$D$47:$AL$47,MATCH(Y$7,'Inputs (2)'!$D$2:$AL$2,0))</f>
        <v>466.78310823</v>
      </c>
      <c r="Z276" s="25">
        <f>INDEX('Inputs (2)'!$D$47:$AL$47,MATCH(Z$7,'Inputs (2)'!$D$2:$AL$2,0))</f>
        <v>477.62535819</v>
      </c>
      <c r="AA276" s="25">
        <f>INDEX('Inputs (2)'!$D$47:$AL$47,MATCH(AA$7,'Inputs (2)'!$D$2:$AL$2,0))</f>
        <v>232.35130397</v>
      </c>
      <c r="AB276" s="3">
        <f>AA276</f>
        <v>232.35130397</v>
      </c>
      <c r="AC276" s="25">
        <f>INDEX('Inputs (2)'!$D$47:$AL$47,MATCH(AC$7,'Inputs (2)'!$D$2:$AL$2,0))</f>
        <v>177.2480134</v>
      </c>
      <c r="AD276" s="25">
        <f>INDEX('Inputs (2)'!$D$47:$AL$47,MATCH(AD$7,'Inputs (2)'!$D$2:$AL$2,0))</f>
        <v>22.6152274</v>
      </c>
      <c r="AE276" s="25">
        <f>INDEX('Inputs (2)'!$D$47:$AL$47,MATCH(AE$7,'Inputs (2)'!$D$2:$AL$2,0))</f>
        <v>-222.64306702</v>
      </c>
      <c r="AF276" s="25">
        <f>INDEX('Inputs (2)'!$D$47:$AL$47,MATCH(AF$7,'Inputs (2)'!$D$2:$AL$2,0))</f>
        <v>216.91863636</v>
      </c>
      <c r="AG276" s="3">
        <f>AF276</f>
        <v>216.91863636</v>
      </c>
      <c r="AH276" s="3">
        <f>INDEX('Inputs (2)'!$D$47:$AL$47,MATCH(AH$7,'Inputs (2)'!$D$2:$AL$2,0))</f>
        <v>58.5362407</v>
      </c>
      <c r="AI276" s="3">
        <f>INDEX('Inputs (2)'!$D$47:$AL$47,MATCH(AI$7,'Inputs (2)'!$D$2:$AL$2,0))</f>
        <v>-257.24394704</v>
      </c>
      <c r="AJ276" s="3">
        <f>AI276+AJ143+AJ144</f>
        <v>325.378643240002</v>
      </c>
      <c r="AK276" s="3">
        <f>AJ276+AK143+AK144</f>
        <v>943.918528609998</v>
      </c>
      <c r="AL276" s="3">
        <f>AK276</f>
        <v>943.918528609998</v>
      </c>
      <c r="AM276" s="3">
        <f>AL276+AM143+AM144</f>
        <v>1607.05806033</v>
      </c>
      <c r="AN276" s="3">
        <f>AM276+AN143+AN144</f>
        <v>4086.2387474</v>
      </c>
      <c r="AO276" s="3">
        <f>AN276+AO143+AO144</f>
        <v>4747.01748643</v>
      </c>
      <c r="AP276" s="3">
        <f>AO276+AP143+AP144</f>
        <v>7214.62571143999</v>
      </c>
      <c r="AQ276" s="3">
        <f>AP276</f>
        <v>7214.62571143999</v>
      </c>
      <c r="AR276" s="3">
        <f>AQ276+AR143+AR144</f>
        <v>9726.83358279999</v>
      </c>
      <c r="AS276" s="3">
        <f>AR276+AS143+AS144</f>
        <v>16060.46324665</v>
      </c>
      <c r="AT276" s="3">
        <f>AS276+AT143+AT144</f>
        <v>18570.31032532</v>
      </c>
      <c r="AU276" s="3">
        <f>AT276+AU143+AU144</f>
        <v>24892.36752711</v>
      </c>
      <c r="AV276" s="3">
        <f>AU276</f>
        <v>24892.36752711</v>
      </c>
      <c r="AW276" s="3">
        <f>AV276+AW143+AW144</f>
        <v>31259.02437525</v>
      </c>
      <c r="AX276" s="3">
        <f>AW276+AX143+AX144</f>
        <v>48999.68867194</v>
      </c>
      <c r="AY276" s="3">
        <f>AX276+AY143+AY144</f>
        <v>55363.98472739</v>
      </c>
      <c r="AZ276" s="3">
        <f>AY276+AZ143+AZ144</f>
        <v>73093.07656202</v>
      </c>
      <c r="BA276" s="3">
        <f>AZ276</f>
        <v>73093.07656202</v>
      </c>
      <c r="BB276" s="3">
        <f>BA276+BB143+BB144</f>
        <v>90866.768043</v>
      </c>
      <c r="BC276" s="3">
        <f>BB276+BC143+BC144</f>
        <v>139130.39955893</v>
      </c>
      <c r="BD276" s="3">
        <f>BC276+BD143+BD144</f>
        <v>156901.73024722</v>
      </c>
      <c r="BE276" s="3">
        <f>BD276+BE143+BE144</f>
        <v>205153.78930109</v>
      </c>
      <c r="BF276" s="3">
        <f>BE276</f>
        <v>205153.78930109</v>
      </c>
      <c r="BG276" s="3">
        <f>BF276+BG143+BG144</f>
        <v>253450.44800131</v>
      </c>
      <c r="BH276" s="3">
        <f>BG276+BH143+BH144</f>
        <v>385574.0832214</v>
      </c>
      <c r="BI276" s="3">
        <f>BH276+BI143+BI144</f>
        <v>433868.38112893</v>
      </c>
      <c r="BJ276" s="3">
        <f>BI276+BJ143+BJ144</f>
        <v>565980.44388696</v>
      </c>
      <c r="BK276" s="3">
        <f>BJ276</f>
        <v>565980.44388696</v>
      </c>
      <c r="BL276" s="3">
        <f>BK276+BL143+BL144</f>
        <v>698137.10629134</v>
      </c>
      <c r="BM276" s="3">
        <f>BL276+BM143+BM144</f>
        <v>1059026.68335823</v>
      </c>
      <c r="BN276" s="3">
        <f>BM276+BN143+BN144</f>
        <v>1191180.98496992</v>
      </c>
      <c r="BO276" s="3">
        <f>BN276+BO143+BO144</f>
        <v>1552058.98957475</v>
      </c>
      <c r="BP276" s="3">
        <f>BO276</f>
        <v>1552058.98957475</v>
      </c>
      <c r="BQ276" s="3">
        <f>BP276+BQ143+BQ144</f>
        <v>1912981.59382593</v>
      </c>
      <c r="BR276" s="3">
        <f>BQ276+BR143+BR144</f>
        <v>2899123.06199474</v>
      </c>
      <c r="BS276" s="3">
        <f>BR276+BS143+BS144</f>
        <v>3260043.30545323</v>
      </c>
      <c r="BT276" s="3">
        <f>BS276+BT143+BT144</f>
        <v>4246173.20115998</v>
      </c>
      <c r="BU276" s="3">
        <f>BT276</f>
        <v>4246173.20115998</v>
      </c>
      <c r="BV276" s="3">
        <f>BU276+BV143+BV144</f>
        <v>5232347.69651308</v>
      </c>
      <c r="BW276" s="3">
        <f>BV276+BW143+BW144</f>
        <v>7926524.83057933</v>
      </c>
      <c r="BX276" s="3">
        <f>BW276+BX143+BX144</f>
        <v>8912696.96513974</v>
      </c>
      <c r="BY276" s="3">
        <f>BX276+BY143+BY144</f>
        <v>11606862.5267439</v>
      </c>
      <c r="BZ276" s="3">
        <f>BY276</f>
        <v>11606862.5267439</v>
      </c>
      <c r="CA276" s="3">
        <f>BZ276+CA143+CA144</f>
        <v>14301072.6879945</v>
      </c>
      <c r="CB276" s="3">
        <f>CA276+CB143+CB144</f>
        <v>21661824.9360594</v>
      </c>
      <c r="CC276" s="3">
        <f>CB276+CC143+CC144</f>
        <v>24356032.7365173</v>
      </c>
      <c r="CD276" s="3">
        <f>CC276+CD143+CD144</f>
        <v>31716773.4121202</v>
      </c>
      <c r="CE276" s="3">
        <f>CD276</f>
        <v>31716773.4121202</v>
      </c>
      <c r="CF276" s="3">
        <f>CE276+CF143+CF144</f>
        <v>39077558.6873695</v>
      </c>
      <c r="CG276" s="3">
        <f>CF276+CG143+CG144</f>
        <v>59187532.4952268</v>
      </c>
      <c r="CH276" s="3">
        <f>CG276+CH143+CH144</f>
        <v>66548315.4096833</v>
      </c>
      <c r="CI276" s="3">
        <f>CH276+CI143+CI144</f>
        <v>86658277.6450786</v>
      </c>
      <c r="CJ276" s="3">
        <f>CI276</f>
        <v>86658277.6450786</v>
      </c>
      <c r="CK276" s="3">
        <f>CJ276+CK143+CK144</f>
        <v>106768284.48012</v>
      </c>
      <c r="CL276" s="3">
        <f>CK276+CL143+CL144</f>
        <v>161709851.63556</v>
      </c>
      <c r="CM276" s="3">
        <f>CL276+CM143+CM144</f>
        <v>181819856.109808</v>
      </c>
      <c r="CN276" s="3">
        <f>CM276+CN143+CN144</f>
        <v>236761411.692786</v>
      </c>
      <c r="CO276" s="3">
        <f>CN276</f>
        <v>236761411.692786</v>
      </c>
      <c r="CP276" s="3">
        <f>CO276+CP143+CP144</f>
        <v>291703011.875409</v>
      </c>
      <c r="CQ276" s="3">
        <f>CP276+CQ143+CQ144</f>
        <v>441806208.845598</v>
      </c>
      <c r="CR276" s="3">
        <f>CQ276+CR143+CR144</f>
        <v>496747806.667429</v>
      </c>
      <c r="CS276" s="3">
        <f>CR276+CS143+CS144</f>
        <v>646850992.065155</v>
      </c>
      <c r="CT276" s="3">
        <f>CS276</f>
        <v>646850992.065155</v>
      </c>
      <c r="CU276" s="3">
        <f>CT276+CU143+CU144</f>
        <v>796954222.062527</v>
      </c>
      <c r="CV276" s="3">
        <f>CU276+CV143+CV144</f>
        <v>1207043865.35738</v>
      </c>
      <c r="CW276" s="3">
        <f>CV276+CW143+CW144</f>
        <v>1357147092.99396</v>
      </c>
      <c r="CX276" s="3">
        <f>CW276+CX143+CX144</f>
        <v>1767236724.71635</v>
      </c>
      <c r="CY276" s="3">
        <f>CX276</f>
        <v>1767236724.71635</v>
      </c>
    </row>
    <row r="277" customFormat="1" s="17">
      <c r="A277" s="13" t="inlineStr">
        <is>
          <t xml:space="preserve"> </t>
        </is>
      </c>
      <c r="B277" s="13" t="n"/>
      <c r="C277" s="27" t="inlineStr">
        <is>
          <t>Total Shareholders' Equity</t>
        </is>
      </c>
      <c r="D277" s="16">
        <f>SUM(D254+D259+D260+D273+D274+D275+D276)</f>
        <v>2302.681</v>
      </c>
      <c r="E277" s="16">
        <f>SUM(E254+E259+E260+E273+E274+E275+E276)</f>
        <v>2380.77610409</v>
      </c>
      <c r="F277" s="16">
        <f>SUM(F254+F259+F260+F273+F274+F275+F276)</f>
        <v>3065.584</v>
      </c>
      <c r="G277" s="16">
        <f>SUM(G254+G259+G260+G273+G274+G275+G276)</f>
        <v>3223.85</v>
      </c>
      <c r="H277" s="16">
        <f>SUM(H254,H259,H260,H273,H274,H275,H276)</f>
        <v>3223.85</v>
      </c>
      <c r="I277" s="16">
        <f>SUM(I254+I259+I260+I273+I274+I275+I276)</f>
        <v>3952.286</v>
      </c>
      <c r="J277" s="16">
        <f>SUM(J254+J259+J260+J273+J274+J275+J276)</f>
        <v>4443.018</v>
      </c>
      <c r="K277" s="16">
        <f>SUM(K254+K259+K260+K273+K274+K275+K276)</f>
        <v>5703.243</v>
      </c>
      <c r="L277" s="16">
        <f>SUM(L254+L259+L260+L273+L274+L275+L276)</f>
        <v>5824.26</v>
      </c>
      <c r="M277" s="16">
        <f>SUM(M254,M259,M260,M273,M274,M275,M276)</f>
        <v>5824.26</v>
      </c>
      <c r="N277" s="16">
        <f>SUM(N254+N259+N260+N273+N274+N275+N276)</f>
        <v>5247.547</v>
      </c>
      <c r="O277" s="16">
        <f>SUM(O254+O259+O260+O273+O274+O275+O276)</f>
        <v>4926.791</v>
      </c>
      <c r="P277" s="16">
        <f>SUM(P254+P259+P260+P273+P274+P275+P276)</f>
        <v>5556.188</v>
      </c>
      <c r="Q277" s="16">
        <f>SUM(Q254+Q259+Q260+Q273+Q274+Q275+Q276)</f>
        <v>5581.753</v>
      </c>
      <c r="R277" s="16">
        <f>SUM(R254,R259,R260,R273,R274,R275,R276)</f>
        <v>5581.753</v>
      </c>
      <c r="S277" s="16">
        <f>SUM(S254+S259+S260+S273+S274+S275+S276)</f>
        <v>5694.12872932679</v>
      </c>
      <c r="T277" s="16">
        <f>SUM(T254+T259+T260+T273+T274+T275+T276)</f>
        <v>6110.17820372497</v>
      </c>
      <c r="U277" s="16">
        <f>SUM(U254+U259+U260+U273+U274+U275+U276)</f>
        <v>6951.32135895224</v>
      </c>
      <c r="V277" s="16">
        <f>SUM(V254+V259+V260+V273+V274+V275+V276)</f>
        <v>6751.73003361444</v>
      </c>
      <c r="W277" s="16">
        <f>SUM(W254,W259,W260,W273,W274,W275,W276)</f>
        <v>6751.73003361444</v>
      </c>
      <c r="X277" s="16">
        <f>SUM(X254+X259+X260+X273+X274+X275+X276)</f>
        <v>6575.98398555936</v>
      </c>
      <c r="Y277" s="16">
        <f>SUM(Y254+Y259+Y260+Y273+Y274+Y275+Y276)</f>
        <v>6639.28492347783</v>
      </c>
      <c r="Z277" s="16">
        <f>SUM(Z254+Z259+Z260+Z273+Z274+Z275+Z276)</f>
        <v>6913.65280543098</v>
      </c>
      <c r="AA277" s="16">
        <f>SUM(AA254+AA259+AA260+AA273+AA274+AA275+AA276)</f>
        <v>5564.64252297</v>
      </c>
      <c r="AB277" s="16">
        <f>SUM(AB254,AB259,AB260,AB273,AB274,AB275,AB276)</f>
        <v>5564.64252297</v>
      </c>
      <c r="AC277" s="16">
        <f>SUM(AC254+AC259+AC260+AC273+AC274+AC275+AC276)</f>
        <v>5469.31758691</v>
      </c>
      <c r="AD277" s="16">
        <f>SUM(AD254+AD259+AD260+AD273+AD274+AD275+AD276)</f>
        <v>5994.43099127</v>
      </c>
      <c r="AE277" s="16">
        <f>SUM(AE254+AE259+AE260+AE273+AE274+AE275+AE276)</f>
        <v>5830.00551245</v>
      </c>
      <c r="AF277" s="16">
        <f>SUM(AF254+AF259+AF260+AF273+AF274+AF275+AF276)</f>
        <v>7274.09738026</v>
      </c>
      <c r="AG277" s="16">
        <f>SUM(AG254,AG259,AG260,AG273,AG274,AG275,AG276)</f>
        <v>7274.09738026</v>
      </c>
      <c r="AH277" s="16">
        <f>SUM(AH254+AH259+AH260+AH273+AH274+AH275+AH276)</f>
        <v>7016.787657</v>
      </c>
      <c r="AI277" s="16">
        <f>SUM(AI254+AI259+AI260+AI273+AI274+AI275+AI276)</f>
        <v>9825.96760037</v>
      </c>
      <c r="AJ277" s="16">
        <f>SUM(AJ254+AJ259+AJ260+AJ273+AJ274+AJ275+AJ276)</f>
        <v>10416.271664</v>
      </c>
      <c r="AK277" s="16">
        <f>SUM(AK254+AK259+AK260+AK273+AK274+AK275+AK276)</f>
        <v>11084.73187638</v>
      </c>
      <c r="AL277" s="16">
        <f>SUM(AL254,AL259,AL260,AL273,AL274,AL275,AL276)</f>
        <v>11084.73187638</v>
      </c>
      <c r="AM277" s="16">
        <f>SUM(AM254+AM259+AM260+AM273+AM274+AM275+AM276)</f>
        <v>11753.19208876</v>
      </c>
      <c r="AN277" s="16">
        <f>SUM(AN254+AN259+AN260+AN273+AN274+AN275+AN276)</f>
        <v>14270.72064078</v>
      </c>
      <c r="AO277" s="16">
        <f>SUM(AO254+AO259+AO260+AO273+AO274+AO275+AO276)</f>
        <v>14939.18085316</v>
      </c>
      <c r="AP277" s="16">
        <f>SUM(AP254+AP259+AP260+AP273+AP274+AP275+AP276)</f>
        <v>17456.70940518</v>
      </c>
      <c r="AQ277" s="16">
        <f>SUM(AQ254,AQ259,AQ260,AQ273,AQ274,AQ275,AQ276)</f>
        <v>17456.70940518</v>
      </c>
      <c r="AR277" s="16">
        <f>SUM(AR254+AR259+AR260+AR273+AR274+AR275+AR276)</f>
        <v>19974.2379572</v>
      </c>
      <c r="AS277" s="16">
        <f>SUM(AS254+AS259+AS260+AS273+AS274+AS275+AS276)</f>
        <v>26346.215486</v>
      </c>
      <c r="AT277" s="16">
        <f>SUM(AT254+AT259+AT260+AT273+AT274+AT275+AT276)</f>
        <v>28863.74403802</v>
      </c>
      <c r="AU277" s="16">
        <f>SUM(AU254+AU259+AU260+AU273+AU274+AU275+AU276)</f>
        <v>35235.72156682</v>
      </c>
      <c r="AV277" s="16">
        <f>SUM(AV254,AV259,AV260,AV273,AV274,AV275,AV276)</f>
        <v>35235.72156682</v>
      </c>
      <c r="AW277" s="16">
        <f>SUM(AW254+AW259+AW260+AW273+AW274+AW275+AW276)</f>
        <v>41607.69909562</v>
      </c>
      <c r="AX277" s="16">
        <f>SUM(AX254+AX259+AX260+AX273+AX274+AX275+AX276)</f>
        <v>59386.71125726</v>
      </c>
      <c r="AY277" s="16">
        <f>SUM(AY254+AY259+AY260+AY273+AY274+AY275+AY276)</f>
        <v>65758.68878606</v>
      </c>
      <c r="AZ277" s="16">
        <f>SUM(AZ254+AZ259+AZ260+AZ273+AZ274+AZ275+AZ276)</f>
        <v>83537.7009477</v>
      </c>
      <c r="BA277" s="16">
        <f>SUM(BA254,BA259,BA260,BA273,BA274,BA275,BA276)</f>
        <v>83537.7009477</v>
      </c>
      <c r="BB277" s="16">
        <f>SUM(BB254+BB259+BB260+BB273+BB274+BB275+BB276)</f>
        <v>101316.71310934</v>
      </c>
      <c r="BC277" s="16">
        <f>SUM(BC254+BC259+BC260+BC273+BC274+BC275+BC276)</f>
        <v>149618.69249022</v>
      </c>
      <c r="BD277" s="16">
        <f>SUM(BD254+BD259+BD260+BD273+BD274+BD275+BD276)</f>
        <v>167397.70465186</v>
      </c>
      <c r="BE277" s="16">
        <f>SUM(BE254+BE259+BE260+BE273+BE274+BE275+BE276)</f>
        <v>215699.68403274</v>
      </c>
      <c r="BF277" s="16">
        <f>SUM(BF254,BF259,BF260,BF273,BF274,BF275,BF276)</f>
        <v>215699.68403274</v>
      </c>
      <c r="BG277" s="16">
        <f>SUM(BG254+BG259+BG260+BG273+BG274+BG275+BG276)</f>
        <v>264001.66341362</v>
      </c>
      <c r="BH277" s="16">
        <f>SUM(BH254+BH259+BH260+BH273+BH274+BH275+BH276)</f>
        <v>396163.64649866</v>
      </c>
      <c r="BI277" s="16">
        <f>SUM(BI254+BI259+BI260+BI273+BI274+BI275+BI276)</f>
        <v>444465.62587954</v>
      </c>
      <c r="BJ277" s="16">
        <f>SUM(BJ254+BJ259+BJ260+BJ273+BJ274+BJ275+BJ276)</f>
        <v>576627.60896458</v>
      </c>
      <c r="BK277" s="16">
        <f>SUM(BK254,BK259,BK260,BK273,BK274,BK275,BK276)</f>
        <v>576627.60896458</v>
      </c>
      <c r="BL277" s="16">
        <f>SUM(BL254+BL259+BL260+BL273+BL274+BL275+BL276)</f>
        <v>708789.59204962</v>
      </c>
      <c r="BM277" s="16">
        <f>SUM(BM254+BM259+BM260+BM273+BM274+BM275+BM276)</f>
        <v>1069717.51698146</v>
      </c>
      <c r="BN277" s="16">
        <f>SUM(BN254+BN259+BN260+BN273+BN274+BN275+BN276)</f>
        <v>1201879.5000665</v>
      </c>
      <c r="BO277" s="16">
        <f>SUM(BO254+BO259+BO260+BO273+BO274+BO275+BO276)</f>
        <v>1562807.42499834</v>
      </c>
      <c r="BP277" s="16">
        <f>SUM(BP254,BP259,BP260,BP273,BP274,BP275,BP276)</f>
        <v>1562807.42499834</v>
      </c>
      <c r="BQ277" s="16">
        <f>SUM(BQ254+BQ259+BQ260+BQ273+BQ274+BQ275+BQ276)</f>
        <v>1923735.34993018</v>
      </c>
      <c r="BR277" s="16">
        <f>SUM(BR254+BR259+BR260+BR273+BR274+BR275+BR276)</f>
        <v>2909915.16596394</v>
      </c>
      <c r="BS277" s="16">
        <f>SUM(BS254+BS259+BS260+BS273+BS274+BS275+BS276)</f>
        <v>3270843.09089578</v>
      </c>
      <c r="BT277" s="16">
        <f>SUM(BT254+BT259+BT260+BT273+BT274+BT275+BT276)</f>
        <v>4257022.90692954</v>
      </c>
      <c r="BU277" s="16">
        <f>SUM(BU254,BU259,BU260,BU273,BU274,BU275,BU276)</f>
        <v>4257022.90692954</v>
      </c>
      <c r="BV277" s="16">
        <f>SUM(BV254+BV259+BV260+BV273+BV274+BV275+BV276)</f>
        <v>5243202.7229633</v>
      </c>
      <c r="BW277" s="16">
        <f>SUM(BW254+BW259+BW260+BW273+BW274+BW275+BW276)</f>
        <v>7937418.2048945</v>
      </c>
      <c r="BX277" s="16">
        <f>SUM(BX254+BX259+BX260+BX273+BX274+BX275+BX276)</f>
        <v>8923598.02092826</v>
      </c>
      <c r="BY277" s="16">
        <f>SUM(BY254+BY259+BY260+BY273+BY274+BY275+BY276)</f>
        <v>11617813.5028595</v>
      </c>
      <c r="BZ277" s="16">
        <f>SUM(BZ254,BZ259,BZ260,BZ273,BZ274,BZ275,BZ276)</f>
        <v>11617813.5028595</v>
      </c>
      <c r="CA277" s="16">
        <f>SUM(CA254+CA259+CA260+CA273+CA274+CA275+CA276)</f>
        <v>14312028.9847907</v>
      </c>
      <c r="CB277" s="16">
        <f>SUM(CB254+CB259+CB260+CB273+CB274+CB275+CB276)</f>
        <v>21672819.5807206</v>
      </c>
      <c r="CC277" s="16">
        <f>SUM(CC254+CC259+CC260+CC273+CC274+CC275+CC276)</f>
        <v>24367035.0626518</v>
      </c>
      <c r="CD277" s="16">
        <f>SUM(CD254+CD259+CD260+CD273+CD274+CD275+CD276)</f>
        <v>31727825.6585817</v>
      </c>
      <c r="CE277" s="16">
        <f>SUM(CE254,CE259,CE260,CE273,CE274,CE275,CE276)</f>
        <v>31727825.6585817</v>
      </c>
      <c r="CF277" s="16">
        <f>SUM(CF254+CF259+CF260+CF273+CF274+CF275+CF276)</f>
        <v>39088616.2545116</v>
      </c>
      <c r="CG277" s="16">
        <f>SUM(CG254+CG259+CG260+CG273+CG274+CG275+CG276)</f>
        <v>59198628.4102339</v>
      </c>
      <c r="CH277" s="16">
        <f>SUM(CH254+CH259+CH260+CH273+CH274+CH275+CH276)</f>
        <v>66559419.0061638</v>
      </c>
      <c r="CI277" s="16">
        <f>SUM(CI254+CI259+CI260+CI273+CI274+CI275+CI276)</f>
        <v>86669431.161886</v>
      </c>
      <c r="CJ277" s="16">
        <f>SUM(CJ254,CJ259,CJ260,CJ273,CJ274,CJ275,CJ276)</f>
        <v>86669431.161886</v>
      </c>
      <c r="CK277" s="16">
        <f>SUM(CK254+CK259+CK260+CK273+CK274+CK275+CK276)</f>
        <v>106779443.317608</v>
      </c>
      <c r="CL277" s="16">
        <f>SUM(CL254+CL259+CL260+CL273+CL274+CL275+CL276)</f>
        <v>161721048.820913</v>
      </c>
      <c r="CM277" s="16">
        <f>SUM(CM254+CM259+CM260+CM273+CM274+CM275+CM276)</f>
        <v>181831060.976635</v>
      </c>
      <c r="CN277" s="16">
        <f>SUM(CN254+CN259+CN260+CN273+CN274+CN275+CN276)</f>
        <v>236772666.479939</v>
      </c>
      <c r="CO277" s="16">
        <f>SUM(CO254,CO259,CO260,CO273,CO274,CO275,CO276)</f>
        <v>236772666.479939</v>
      </c>
      <c r="CP277" s="16">
        <f>SUM(CP254+CP259+CP260+CP273+CP274+CP275+CP276)</f>
        <v>291714271.983244</v>
      </c>
      <c r="CQ277" s="16">
        <f>SUM(CQ254+CQ259+CQ260+CQ273+CQ274+CQ275+CQ276)</f>
        <v>441817507.301297</v>
      </c>
      <c r="CR277" s="16">
        <f>SUM(CR254+CR259+CR260+CR273+CR274+CR275+CR276)</f>
        <v>496759112.804601</v>
      </c>
      <c r="CS277" s="16">
        <f>SUM(CS254+CS259+CS260+CS273+CS274+CS275+CS276)</f>
        <v>646862348.122654</v>
      </c>
      <c r="CT277" s="16">
        <f>SUM(CT254,CT259,CT260,CT273,CT274,CT275,CT276)</f>
        <v>646862348.122654</v>
      </c>
      <c r="CU277" s="16">
        <f>SUM(CU254+CU259+CU260+CU273+CU274+CU275+CU276)</f>
        <v>796965583.440707</v>
      </c>
      <c r="CV277" s="16">
        <f>SUM(CV254+CV259+CV260+CV273+CV274+CV275+CV276)</f>
        <v>1207055265.08342</v>
      </c>
      <c r="CW277" s="16">
        <f>SUM(CW254+CW259+CW260+CW273+CW274+CW275+CW276)</f>
        <v>1357158500.40148</v>
      </c>
      <c r="CX277" s="16">
        <f>SUM(CX254+CX259+CX260+CX273+CX274+CX275+CX276)</f>
        <v>1767248182.04419</v>
      </c>
      <c r="CY277" s="16">
        <f>SUM(CY254,CY259,CY260,CY273,CY274,CY275,CY276)</f>
        <v>1767248182.04419</v>
      </c>
    </row>
    <row r="278">
      <c r="C278" s="29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  <c r="BD278" s="3" t="n"/>
      <c r="BE278" s="3" t="n"/>
      <c r="BF278" s="3" t="n"/>
      <c r="BG278" s="3" t="n"/>
      <c r="BH278" s="3" t="n"/>
      <c r="BI278" s="3" t="n"/>
      <c r="BJ278" s="3" t="n"/>
      <c r="BK278" s="3" t="n"/>
      <c r="BL278" s="3" t="n"/>
      <c r="BM278" s="3" t="n"/>
      <c r="BN278" s="3" t="n"/>
      <c r="BO278" s="3" t="n"/>
      <c r="BP278" s="3" t="n"/>
      <c r="BQ278" s="3" t="n"/>
      <c r="BR278" s="3" t="n"/>
      <c r="BS278" s="3" t="n"/>
      <c r="BT278" s="3" t="n"/>
      <c r="BU278" s="3" t="n"/>
      <c r="BV278" s="3" t="n"/>
      <c r="BW278" s="3" t="n"/>
      <c r="BX278" s="3" t="n"/>
      <c r="BY278" s="3" t="n"/>
      <c r="BZ278" s="3" t="n"/>
      <c r="CA278" s="3" t="n"/>
      <c r="CB278" s="3" t="n"/>
      <c r="CC278" s="3" t="n"/>
      <c r="CD278" s="3" t="n"/>
      <c r="CE278" s="3" t="n"/>
      <c r="CF278" s="3" t="n"/>
      <c r="CG278" s="3" t="n"/>
      <c r="CH278" s="3" t="n"/>
      <c r="CI278" s="3" t="n"/>
      <c r="CJ278" s="3" t="n"/>
      <c r="CK278" s="3" t="n"/>
      <c r="CL278" s="3" t="n"/>
      <c r="CM278" s="3" t="n"/>
      <c r="CN278" s="3" t="n"/>
      <c r="CO278" s="3" t="n"/>
      <c r="CP278" s="3" t="n"/>
      <c r="CQ278" s="3" t="n"/>
      <c r="CR278" s="3" t="n"/>
      <c r="CS278" s="3" t="n"/>
      <c r="CT278" s="3" t="n"/>
      <c r="CU278" s="3" t="n"/>
      <c r="CV278" s="3" t="n"/>
      <c r="CW278" s="3" t="n"/>
      <c r="CX278" s="3" t="n"/>
      <c r="CY278" s="3" t="n"/>
    </row>
    <row r="279" customFormat="1" s="17">
      <c r="A279" s="13" t="n"/>
      <c r="B279" s="1" t="n"/>
      <c r="C279" s="14" t="inlineStr">
        <is>
          <t>Total Liabilities + Shareholders' Equity</t>
        </is>
      </c>
      <c r="D279" s="16">
        <f>D277+D253</f>
        <v>21556.8831010213</v>
      </c>
      <c r="E279" s="16">
        <f>E277+E253</f>
        <v>22603.401821143</v>
      </c>
      <c r="F279" s="16">
        <f>F277+F253</f>
        <v>22774.193742063</v>
      </c>
      <c r="G279" s="16">
        <f>G277+G253</f>
        <v>25562.2480109042</v>
      </c>
      <c r="H279" s="16">
        <f>H277+H253</f>
        <v>25562.2480109042</v>
      </c>
      <c r="I279" s="16">
        <f>I277+I253</f>
        <v>31959.715105639</v>
      </c>
      <c r="J279" s="16">
        <f>J277+J253</f>
        <v>33773.127407122</v>
      </c>
      <c r="K279" s="16">
        <f>K277+K253</f>
        <v>41082.055</v>
      </c>
      <c r="L279" s="16">
        <f>L277+L253</f>
        <v>47968.194</v>
      </c>
      <c r="M279" s="16">
        <f>M277+M253</f>
        <v>47968.194</v>
      </c>
      <c r="N279" s="16">
        <f>N277+N253</f>
        <v>47543.699</v>
      </c>
      <c r="O279" s="16">
        <f>O277+O253</f>
        <v>52956.699</v>
      </c>
      <c r="P279" s="16">
        <f>P277+P253</f>
        <v>59006.238</v>
      </c>
      <c r="Q279" s="16">
        <f>Q277+Q253</f>
        <v>61659.514</v>
      </c>
      <c r="R279" s="16">
        <f>R277+R253</f>
        <v>61659.514</v>
      </c>
      <c r="S279" s="16">
        <f>S277+S253</f>
        <v>59367.2986779834</v>
      </c>
      <c r="T279" s="16">
        <f>T277+T253</f>
        <v>60059.5240838147</v>
      </c>
      <c r="U279" s="16">
        <f>U277+U253</f>
        <v>62697.6142451822</v>
      </c>
      <c r="V279" s="16">
        <f>V277+V253</f>
        <v>70140.8403496046</v>
      </c>
      <c r="W279" s="16">
        <f>W277+W253</f>
        <v>70140.8403496047</v>
      </c>
      <c r="X279" s="16">
        <f>X277+X253</f>
        <v>74190.124728858</v>
      </c>
      <c r="Y279" s="16">
        <f>Y277+Y253</f>
        <v>76293.2238352716</v>
      </c>
      <c r="Z279" s="16">
        <f>Z277+Z253</f>
        <v>80107.5189310745</v>
      </c>
      <c r="AA279" s="16">
        <f>AA277+AA253</f>
        <v>83152.8812562</v>
      </c>
      <c r="AB279" s="16">
        <f>AB277+AB253</f>
        <v>83152.8812562</v>
      </c>
      <c r="AC279" s="16">
        <f>AC277+AC253</f>
        <v>81029.28160276</v>
      </c>
      <c r="AD279" s="16">
        <f>AD277+AD253</f>
        <v>81414.25278917</v>
      </c>
      <c r="AE279" s="16">
        <f>AE277+AE253</f>
        <v>81263.30143244</v>
      </c>
      <c r="AF279" s="16">
        <f>AF277+AF253</f>
        <v>86702.21367316</v>
      </c>
      <c r="AG279" s="16">
        <f>AG277+AG253</f>
        <v>86702.21367316</v>
      </c>
      <c r="AH279" s="16">
        <f>AH277+AH253</f>
        <v>87178.62377121</v>
      </c>
      <c r="AI279" s="16">
        <f>AI277+AI253</f>
        <v>91594.77638692</v>
      </c>
      <c r="AJ279" s="16">
        <f>AJ277+AJ253</f>
        <v>81733.65488478</v>
      </c>
      <c r="AK279" s="16">
        <f>AK277+AK253</f>
        <v>82402.11509716</v>
      </c>
      <c r="AL279" s="16">
        <f>AL277+AL253</f>
        <v>82402.11509716</v>
      </c>
      <c r="AM279" s="16" t="e">
        <f>AM277+AM253</f>
        <v>#DIV/0!</v>
      </c>
      <c r="AN279" s="16">
        <f>AN277+AN253</f>
        <v>85588.10386156</v>
      </c>
      <c r="AO279" s="16" t="e">
        <f>AO277+AO253</f>
        <v>#DIV/0!</v>
      </c>
      <c r="AP279" s="16" t="e">
        <f>AP277+AP253</f>
        <v>#DIV/0!</v>
      </c>
      <c r="AQ279" s="16" t="e">
        <f>AQ277+AQ253</f>
        <v>#DIV/0!</v>
      </c>
      <c r="AR279" s="16" t="e">
        <f>AR277+AR253</f>
        <v>#DIV/0!</v>
      </c>
      <c r="AS279" s="16" t="e">
        <f>AS277+AS253</f>
        <v>#DIV/0!</v>
      </c>
      <c r="AT279" s="16" t="e">
        <f>AT277+AT253</f>
        <v>#DIV/0!</v>
      </c>
      <c r="AU279" s="16" t="e">
        <f>AU277+AU253</f>
        <v>#DIV/0!</v>
      </c>
      <c r="AV279" s="16" t="e">
        <f>AV277+AV253</f>
        <v>#DIV/0!</v>
      </c>
      <c r="AW279" s="16" t="e">
        <f>AW277+AW253</f>
        <v>#DIV/0!</v>
      </c>
      <c r="AX279" s="16" t="e">
        <f>AX277+AX253</f>
        <v>#DIV/0!</v>
      </c>
      <c r="AY279" s="16" t="e">
        <f>AY277+AY253</f>
        <v>#DIV/0!</v>
      </c>
      <c r="AZ279" s="16" t="e">
        <f>AZ277+AZ253</f>
        <v>#DIV/0!</v>
      </c>
      <c r="BA279" s="16" t="e">
        <f>BA277+BA253</f>
        <v>#DIV/0!</v>
      </c>
      <c r="BB279" s="16" t="e">
        <f>BB277+BB253</f>
        <v>#DIV/0!</v>
      </c>
      <c r="BC279" s="16" t="e">
        <f>BC277+BC253</f>
        <v>#DIV/0!</v>
      </c>
      <c r="BD279" s="16" t="e">
        <f>BD277+BD253</f>
        <v>#DIV/0!</v>
      </c>
      <c r="BE279" s="16" t="e">
        <f>BE277+BE253</f>
        <v>#DIV/0!</v>
      </c>
      <c r="BF279" s="16" t="e">
        <f>BF277+BF253</f>
        <v>#DIV/0!</v>
      </c>
      <c r="BG279" s="16" t="e">
        <f>BG277+BG253</f>
        <v>#DIV/0!</v>
      </c>
      <c r="BH279" s="16" t="e">
        <f>BH277+BH253</f>
        <v>#DIV/0!</v>
      </c>
      <c r="BI279" s="16" t="e">
        <f>BI277+BI253</f>
        <v>#DIV/0!</v>
      </c>
      <c r="BJ279" s="16" t="e">
        <f>BJ277+BJ253</f>
        <v>#DIV/0!</v>
      </c>
      <c r="BK279" s="16" t="e">
        <f>BK277+BK253</f>
        <v>#DIV/0!</v>
      </c>
      <c r="BL279" s="16" t="e">
        <f>BL277+BL253</f>
        <v>#DIV/0!</v>
      </c>
      <c r="BM279" s="16" t="e">
        <f>BM277+BM253</f>
        <v>#DIV/0!</v>
      </c>
      <c r="BN279" s="16" t="e">
        <f>BN277+BN253</f>
        <v>#DIV/0!</v>
      </c>
      <c r="BO279" s="16" t="e">
        <f>BO277+BO253</f>
        <v>#DIV/0!</v>
      </c>
      <c r="BP279" s="16" t="e">
        <f>BP277+BP253</f>
        <v>#DIV/0!</v>
      </c>
      <c r="BQ279" s="16" t="e">
        <f>BQ277+BQ253</f>
        <v>#DIV/0!</v>
      </c>
      <c r="BR279" s="16" t="e">
        <f>BR277+BR253</f>
        <v>#DIV/0!</v>
      </c>
      <c r="BS279" s="16" t="e">
        <f>BS277+BS253</f>
        <v>#DIV/0!</v>
      </c>
      <c r="BT279" s="16" t="e">
        <f>BT277+BT253</f>
        <v>#DIV/0!</v>
      </c>
      <c r="BU279" s="16" t="e">
        <f>BU277+BU253</f>
        <v>#DIV/0!</v>
      </c>
      <c r="BV279" s="16" t="e">
        <f>BV277+BV253</f>
        <v>#DIV/0!</v>
      </c>
      <c r="BW279" s="16" t="e">
        <f>BW277+BW253</f>
        <v>#DIV/0!</v>
      </c>
      <c r="BX279" s="16" t="e">
        <f>BX277+BX253</f>
        <v>#DIV/0!</v>
      </c>
      <c r="BY279" s="16" t="e">
        <f>BY277+BY253</f>
        <v>#DIV/0!</v>
      </c>
      <c r="BZ279" s="16" t="e">
        <f>BZ277+BZ253</f>
        <v>#DIV/0!</v>
      </c>
      <c r="CA279" s="16" t="e">
        <f>CA277+CA253</f>
        <v>#DIV/0!</v>
      </c>
      <c r="CB279" s="16" t="e">
        <f>CB277+CB253</f>
        <v>#DIV/0!</v>
      </c>
      <c r="CC279" s="16" t="e">
        <f>CC277+CC253</f>
        <v>#DIV/0!</v>
      </c>
      <c r="CD279" s="16" t="e">
        <f>CD277+CD253</f>
        <v>#DIV/0!</v>
      </c>
      <c r="CE279" s="16" t="e">
        <f>CE277+CE253</f>
        <v>#DIV/0!</v>
      </c>
      <c r="CF279" s="16" t="e">
        <f>CF277+CF253</f>
        <v>#DIV/0!</v>
      </c>
      <c r="CG279" s="16" t="e">
        <f>CG277+CG253</f>
        <v>#DIV/0!</v>
      </c>
      <c r="CH279" s="16" t="e">
        <f>CH277+CH253</f>
        <v>#DIV/0!</v>
      </c>
      <c r="CI279" s="16" t="e">
        <f>CI277+CI253</f>
        <v>#DIV/0!</v>
      </c>
      <c r="CJ279" s="16" t="e">
        <f>CJ277+CJ253</f>
        <v>#DIV/0!</v>
      </c>
      <c r="CK279" s="16" t="e">
        <f>CK277+CK253</f>
        <v>#DIV/0!</v>
      </c>
      <c r="CL279" s="16" t="e">
        <f>CL277+CL253</f>
        <v>#DIV/0!</v>
      </c>
      <c r="CM279" s="16" t="e">
        <f>CM277+CM253</f>
        <v>#DIV/0!</v>
      </c>
      <c r="CN279" s="16" t="e">
        <f>CN277+CN253</f>
        <v>#DIV/0!</v>
      </c>
      <c r="CO279" s="16" t="e">
        <f>CO277+CO253</f>
        <v>#DIV/0!</v>
      </c>
      <c r="CP279" s="16" t="e">
        <f>CP277+CP253</f>
        <v>#DIV/0!</v>
      </c>
      <c r="CQ279" s="16" t="e">
        <f>CQ277+CQ253</f>
        <v>#DIV/0!</v>
      </c>
      <c r="CR279" s="16" t="e">
        <f>CR277+CR253</f>
        <v>#DIV/0!</v>
      </c>
      <c r="CS279" s="16" t="e">
        <f>CS277+CS253</f>
        <v>#DIV/0!</v>
      </c>
      <c r="CT279" s="16" t="e">
        <f>CT277+CT253</f>
        <v>#DIV/0!</v>
      </c>
      <c r="CU279" s="16" t="e">
        <f>CU277+CU253</f>
        <v>#DIV/0!</v>
      </c>
      <c r="CV279" s="16" t="e">
        <f>CV277+CV253</f>
        <v>#DIV/0!</v>
      </c>
      <c r="CW279" s="16" t="e">
        <f>CW277+CW253</f>
        <v>#DIV/0!</v>
      </c>
      <c r="CX279" s="16" t="e">
        <f>CX277+CX253</f>
        <v>#DIV/0!</v>
      </c>
      <c r="CY279" s="16" t="e">
        <f>CY277+CY253</f>
        <v>#DIV/0!</v>
      </c>
    </row>
    <row r="280">
      <c r="C280" s="5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  <c r="AQ280" s="1" t="n"/>
      <c r="AR280" s="1" t="n"/>
      <c r="AS280" s="1" t="n"/>
      <c r="AT280" s="1" t="n"/>
      <c r="AU280" s="1" t="n"/>
      <c r="AV280" s="1" t="n"/>
      <c r="AW280" s="1" t="n"/>
      <c r="AX280" s="1" t="n"/>
      <c r="AY280" s="1" t="n"/>
      <c r="AZ280" s="1" t="n"/>
      <c r="BA280" s="1" t="n"/>
      <c r="BB280" s="1" t="n"/>
      <c r="BC280" s="1" t="n"/>
      <c r="BD280" s="1" t="n"/>
      <c r="BE280" s="1" t="n"/>
      <c r="BF280" s="1" t="n"/>
      <c r="BG280" s="1" t="n"/>
      <c r="BH280" s="1" t="n"/>
      <c r="BI280" s="1" t="n"/>
      <c r="BJ280" s="1" t="n"/>
      <c r="BK280" s="1" t="n"/>
      <c r="BL280" s="1" t="n"/>
      <c r="BM280" s="1" t="n"/>
      <c r="BN280" s="1" t="n"/>
      <c r="BO280" s="1" t="n"/>
      <c r="BP280" s="1" t="n"/>
      <c r="BQ280" s="1" t="n"/>
      <c r="BR280" s="1" t="n"/>
      <c r="BS280" s="1" t="n"/>
      <c r="BT280" s="1" t="n"/>
      <c r="BU280" s="1" t="n"/>
      <c r="BV280" s="1" t="n"/>
      <c r="BW280" s="1" t="n"/>
      <c r="BX280" s="1" t="n"/>
      <c r="BY280" s="1" t="n"/>
      <c r="BZ280" s="1" t="n"/>
      <c r="CA280" s="1" t="n"/>
      <c r="CB280" s="1" t="n"/>
      <c r="CC280" s="1" t="n"/>
      <c r="CD280" s="1" t="n"/>
      <c r="CE280" s="1" t="n"/>
      <c r="CF280" s="1" t="n"/>
      <c r="CG280" s="1" t="n"/>
      <c r="CH280" s="1" t="n"/>
      <c r="CI280" s="1" t="n"/>
      <c r="CJ280" s="1" t="n"/>
      <c r="CK280" s="1" t="n"/>
      <c r="CL280" s="1" t="n"/>
      <c r="CM280" s="1" t="n"/>
      <c r="CN280" s="1" t="n"/>
      <c r="CO280" s="1" t="n"/>
      <c r="CP280" s="1" t="n"/>
      <c r="CQ280" s="1" t="n"/>
      <c r="CR280" s="1" t="n"/>
      <c r="CS280" s="1" t="n"/>
      <c r="CT280" s="1" t="n"/>
      <c r="CU280" s="1" t="n"/>
      <c r="CV280" s="1" t="n"/>
      <c r="CW280" s="1" t="n"/>
      <c r="CX280" s="1" t="n"/>
      <c r="CY280" s="1" t="n"/>
    </row>
    <row r="281" customFormat="1" s="17">
      <c r="A281" s="13" t="n"/>
      <c r="B281" s="13" t="n"/>
      <c r="C281" s="12" t="inlineStr">
        <is>
          <t>Cash Flow Statement</t>
        </is>
      </c>
      <c r="D281" s="232" t="str">
        <f>D148</f>
        <v>1Q20</v>
      </c>
      <c r="E281" s="232" t="str">
        <f>E148</f>
        <v>2Q20</v>
      </c>
      <c r="F281" s="232" t="str">
        <f>F148</f>
        <v>3Q20</v>
      </c>
      <c r="G281" s="232" t="str">
        <f>G148</f>
        <v>4Q20</v>
      </c>
      <c r="H281" s="232">
        <f>H148</f>
        <v>2020</v>
      </c>
      <c r="I281" s="232" t="str">
        <f>I148</f>
        <v>1Q21</v>
      </c>
      <c r="J281" s="232" t="str">
        <f>J148</f>
        <v>2Q21</v>
      </c>
      <c r="K281" s="232" t="str">
        <f>K148</f>
        <v>3Q21</v>
      </c>
      <c r="L281" s="232" t="str">
        <f>L148</f>
        <v>4Q21</v>
      </c>
      <c r="M281" s="232">
        <f>M148</f>
        <v>2021</v>
      </c>
      <c r="N281" s="232" t="str">
        <f>N148</f>
        <v>1Q22</v>
      </c>
      <c r="O281" s="232" t="str">
        <f>O148</f>
        <v>2Q22</v>
      </c>
      <c r="P281" s="232" t="str">
        <f>P148</f>
        <v>3Q22</v>
      </c>
      <c r="Q281" s="232" t="str">
        <f>Q148</f>
        <v>4Q22</v>
      </c>
      <c r="R281" s="232">
        <f>R148</f>
        <v>2022</v>
      </c>
      <c r="S281" s="232" t="str">
        <f>S148</f>
        <v>1Q23</v>
      </c>
      <c r="T281" s="232" t="str">
        <f>T148</f>
        <v>2Q23</v>
      </c>
      <c r="U281" s="232" t="str">
        <f>U148</f>
        <v>3Q23</v>
      </c>
      <c r="V281" s="232" t="str">
        <f>V148</f>
        <v>4Q23</v>
      </c>
      <c r="W281" s="232">
        <f>W148</f>
        <v>2023</v>
      </c>
      <c r="X281" s="232" t="str">
        <f>X148</f>
        <v>1Q24</v>
      </c>
      <c r="Y281" s="232" t="str">
        <f>Y148</f>
        <v>2Q24</v>
      </c>
      <c r="Z281" s="232" t="str">
        <f>Z148</f>
        <v>3Q24</v>
      </c>
      <c r="AA281" s="232" t="str">
        <f>AA148</f>
        <v>4Q24</v>
      </c>
      <c r="AB281" s="232">
        <f>AB148</f>
        <v>2024</v>
      </c>
      <c r="AC281" s="232" t="str">
        <f>AC148</f>
        <v>1Q25</v>
      </c>
      <c r="AD281" s="232" t="str">
        <f>AD148</f>
        <v>2Q25</v>
      </c>
      <c r="AE281" s="232" t="str">
        <f>AE148</f>
        <v>3Q25</v>
      </c>
      <c r="AF281" s="232" t="str">
        <f>AF148</f>
        <v>4Q25</v>
      </c>
      <c r="AG281" s="232">
        <f>AG148</f>
        <v>2025</v>
      </c>
      <c r="AH281" s="232" t="str">
        <f>AH148</f>
        <v>1Q26</v>
      </c>
      <c r="AI281" s="232" t="str">
        <f>AI148</f>
        <v>2Q26</v>
      </c>
      <c r="AJ281" s="232" t="str">
        <f>AJ148</f>
        <v>3Q26</v>
      </c>
      <c r="AK281" s="232" t="str">
        <f>AK148</f>
        <v>4Q26</v>
      </c>
      <c r="AL281" s="232">
        <f>AL148</f>
        <v>2026</v>
      </c>
      <c r="AM281" s="232" t="str">
        <f>AM148</f>
        <v>1Q27</v>
      </c>
      <c r="AN281" s="232" t="str">
        <f>AN148</f>
        <v>2Q27</v>
      </c>
      <c r="AO281" s="232" t="str">
        <f>AO148</f>
        <v>3Q27</v>
      </c>
      <c r="AP281" s="232" t="str">
        <f>AP148</f>
        <v>4Q27</v>
      </c>
      <c r="AQ281" s="232">
        <f>AQ148</f>
        <v>2027</v>
      </c>
      <c r="AR281" s="232" t="str">
        <f>AR148</f>
        <v>1Q28</v>
      </c>
      <c r="AS281" s="232" t="str">
        <f>AS148</f>
        <v>2Q28</v>
      </c>
      <c r="AT281" s="232" t="str">
        <f>AT148</f>
        <v>3Q28</v>
      </c>
      <c r="AU281" s="232" t="str">
        <f>AU148</f>
        <v>4Q28</v>
      </c>
      <c r="AV281" s="232">
        <f>AV148</f>
        <v>2028</v>
      </c>
      <c r="AW281" s="232" t="str">
        <f>AW148</f>
        <v>1Q29</v>
      </c>
      <c r="AX281" s="232" t="str">
        <f>AX148</f>
        <v>2Q29</v>
      </c>
      <c r="AY281" s="232" t="str">
        <f>AY148</f>
        <v>3Q29</v>
      </c>
      <c r="AZ281" s="232" t="str">
        <f>AZ148</f>
        <v>4Q29</v>
      </c>
      <c r="BA281" s="232">
        <f>BA148</f>
        <v>2029</v>
      </c>
      <c r="BB281" s="232" t="str">
        <f>BB148</f>
        <v>1Q30</v>
      </c>
      <c r="BC281" s="232" t="str">
        <f>BC148</f>
        <v>2Q30</v>
      </c>
      <c r="BD281" s="232" t="str">
        <f>BD148</f>
        <v>3Q30</v>
      </c>
      <c r="BE281" s="232" t="str">
        <f>BE148</f>
        <v>4Q30</v>
      </c>
      <c r="BF281" s="232">
        <f>BF148</f>
        <v>2030</v>
      </c>
      <c r="BG281" s="232" t="str">
        <f>BG148</f>
        <v>1Q31</v>
      </c>
      <c r="BH281" s="232" t="str">
        <f>BH148</f>
        <v>2Q31</v>
      </c>
      <c r="BI281" s="232" t="str">
        <f>BI148</f>
        <v>3Q31</v>
      </c>
      <c r="BJ281" s="232" t="str">
        <f>BJ148</f>
        <v>4Q31</v>
      </c>
      <c r="BK281" s="232">
        <f>BK148</f>
        <v>2031</v>
      </c>
      <c r="BL281" s="232" t="str">
        <f>BL148</f>
        <v>1Q32</v>
      </c>
      <c r="BM281" s="232" t="str">
        <f>BM148</f>
        <v>2Q32</v>
      </c>
      <c r="BN281" s="232" t="str">
        <f>BN148</f>
        <v>3Q32</v>
      </c>
      <c r="BO281" s="232" t="str">
        <f>BO148</f>
        <v>4Q32</v>
      </c>
      <c r="BP281" s="232">
        <f>BP148</f>
        <v>2032</v>
      </c>
      <c r="BQ281" s="232" t="str">
        <f>BQ148</f>
        <v>1Q33</v>
      </c>
      <c r="BR281" s="232" t="str">
        <f>BR148</f>
        <v>2Q33</v>
      </c>
      <c r="BS281" s="232" t="str">
        <f>BS148</f>
        <v>3Q33</v>
      </c>
      <c r="BT281" s="232" t="str">
        <f>BT148</f>
        <v>4Q33</v>
      </c>
      <c r="BU281" s="232">
        <f>BU148</f>
        <v>2033</v>
      </c>
      <c r="BV281" s="232" t="str">
        <f>BV148</f>
        <v>1Q34</v>
      </c>
      <c r="BW281" s="232" t="str">
        <f>BW148</f>
        <v>2Q34</v>
      </c>
      <c r="BX281" s="232" t="str">
        <f>BX148</f>
        <v>3Q34</v>
      </c>
      <c r="BY281" s="232" t="str">
        <f>BY148</f>
        <v>4Q34</v>
      </c>
      <c r="BZ281" s="232">
        <f>BZ148</f>
        <v>2034</v>
      </c>
      <c r="CA281" s="232" t="str">
        <f>CA148</f>
        <v>1Q35</v>
      </c>
      <c r="CB281" s="232" t="str">
        <f>CB148</f>
        <v>2Q35</v>
      </c>
      <c r="CC281" s="232" t="str">
        <f>CC148</f>
        <v>3Q35</v>
      </c>
      <c r="CD281" s="232" t="str">
        <f>CD148</f>
        <v>4Q35</v>
      </c>
      <c r="CE281" s="232">
        <f>CE148</f>
        <v>2035</v>
      </c>
      <c r="CF281" s="232" t="str">
        <f>CF148</f>
        <v>1Q36</v>
      </c>
      <c r="CG281" s="232" t="str">
        <f>CG148</f>
        <v>2Q36</v>
      </c>
      <c r="CH281" s="232" t="str">
        <f>CH148</f>
        <v>3Q36</v>
      </c>
      <c r="CI281" s="232" t="str">
        <f>CI148</f>
        <v>4Q36</v>
      </c>
      <c r="CJ281" s="232">
        <f>CJ148</f>
        <v>2036</v>
      </c>
      <c r="CK281" s="232" t="str">
        <f>CK148</f>
        <v>1Q37</v>
      </c>
      <c r="CL281" s="232" t="str">
        <f>CL148</f>
        <v>2Q37</v>
      </c>
      <c r="CM281" s="232" t="str">
        <f>CM148</f>
        <v>3Q37</v>
      </c>
      <c r="CN281" s="232" t="str">
        <f>CN148</f>
        <v>4Q37</v>
      </c>
      <c r="CO281" s="232">
        <f>CO148</f>
        <v>2037</v>
      </c>
      <c r="CP281" s="232" t="str">
        <f>CP148</f>
        <v>1Q38</v>
      </c>
      <c r="CQ281" s="232" t="str">
        <f>CQ148</f>
        <v>2Q38</v>
      </c>
      <c r="CR281" s="232" t="str">
        <f>CR148</f>
        <v>3Q38</v>
      </c>
      <c r="CS281" s="232" t="str">
        <f>CS148</f>
        <v>4Q38</v>
      </c>
      <c r="CT281" s="232">
        <f>CT148</f>
        <v>2038</v>
      </c>
      <c r="CU281" s="232" t="str">
        <f>CU148</f>
        <v>1Q39</v>
      </c>
      <c r="CV281" s="232" t="str">
        <f>CV148</f>
        <v>2Q39</v>
      </c>
      <c r="CW281" s="232" t="str">
        <f>CW148</f>
        <v>3Q39</v>
      </c>
      <c r="CX281" s="232" t="str">
        <f>CX148</f>
        <v>4Q39</v>
      </c>
      <c r="CY281" s="232">
        <f>CY148</f>
        <v>2039</v>
      </c>
    </row>
    <row r="282">
      <c r="C282" s="5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  <c r="AQ282" s="1" t="n"/>
      <c r="AR282" s="1" t="n"/>
      <c r="AS282" s="1" t="n"/>
      <c r="AT282" s="1" t="n"/>
      <c r="AU282" s="1" t="n"/>
      <c r="AV282" s="1" t="n"/>
      <c r="AW282" s="1" t="n"/>
      <c r="AX282" s="1" t="n"/>
      <c r="AY282" s="1" t="n"/>
      <c r="AZ282" s="1" t="n"/>
      <c r="BA282" s="1" t="n"/>
      <c r="BB282" s="1" t="n"/>
      <c r="BC282" s="1" t="n"/>
      <c r="BD282" s="1" t="n"/>
      <c r="BE282" s="1" t="n"/>
      <c r="BF282" s="1" t="n"/>
      <c r="BG282" s="1" t="n"/>
      <c r="BH282" s="1" t="n"/>
      <c r="BI282" s="1" t="n"/>
      <c r="BJ282" s="1" t="n"/>
      <c r="BK282" s="1" t="n"/>
      <c r="BL282" s="1" t="n"/>
      <c r="BM282" s="1" t="n"/>
      <c r="BN282" s="1" t="n"/>
      <c r="BO282" s="1" t="n"/>
      <c r="BP282" s="1" t="n"/>
      <c r="BQ282" s="1" t="n"/>
      <c r="BR282" s="1" t="n"/>
      <c r="BS282" s="1" t="n"/>
      <c r="BT282" s="1" t="n"/>
      <c r="BU282" s="1" t="n"/>
      <c r="BV282" s="1" t="n"/>
      <c r="BW282" s="1" t="n"/>
      <c r="BX282" s="1" t="n"/>
      <c r="BY282" s="1" t="n"/>
      <c r="BZ282" s="1" t="n"/>
      <c r="CA282" s="1" t="n"/>
      <c r="CB282" s="1" t="n"/>
      <c r="CC282" s="1" t="n"/>
      <c r="CD282" s="1" t="n"/>
      <c r="CE282" s="1" t="n"/>
      <c r="CF282" s="1" t="n"/>
      <c r="CG282" s="1" t="n"/>
      <c r="CH282" s="1" t="n"/>
      <c r="CI282" s="1" t="n"/>
      <c r="CJ282" s="1" t="n"/>
      <c r="CK282" s="1" t="n"/>
      <c r="CL282" s="1" t="n"/>
      <c r="CM282" s="1" t="n"/>
      <c r="CN282" s="1" t="n"/>
      <c r="CO282" s="1" t="n"/>
      <c r="CP282" s="1" t="n"/>
      <c r="CQ282" s="1" t="n"/>
      <c r="CR282" s="1" t="n"/>
      <c r="CS282" s="1" t="n"/>
      <c r="CT282" s="1" t="n"/>
      <c r="CU282" s="1" t="n"/>
      <c r="CV282" s="1" t="n"/>
      <c r="CW282" s="1" t="n"/>
      <c r="CX282" s="1" t="n"/>
      <c r="CY282" s="1" t="n"/>
    </row>
    <row r="283">
      <c r="C283" s="29" t="inlineStr">
        <is>
          <t>Net Income</t>
        </is>
      </c>
      <c r="D283" s="3" t="n"/>
      <c r="E283" s="3">
        <f>E143</f>
        <v>155.400269919999</v>
      </c>
      <c r="F283" s="3">
        <f>F143</f>
        <v>73.1659999999999</v>
      </c>
      <c r="G283" s="3">
        <f>G143</f>
        <v>138.964643389957</v>
      </c>
      <c r="H283" s="3">
        <f>SUM(D283:G283)</f>
        <v>367.530913309956</v>
      </c>
      <c r="I283" s="3">
        <f>I143</f>
        <v>94.243</v>
      </c>
      <c r="J283" s="3">
        <f>J143</f>
        <v>267.247000000001</v>
      </c>
      <c r="K283" s="3">
        <f>K143</f>
        <v>245.763</v>
      </c>
      <c r="L283" s="3">
        <f>L143</f>
        <v>215.002</v>
      </c>
      <c r="M283" s="3">
        <f>SUM(I283:L283)</f>
        <v>822.255000000001</v>
      </c>
      <c r="N283" s="3">
        <f>N143</f>
        <v>191.676</v>
      </c>
      <c r="O283" s="3">
        <f>O143</f>
        <v>101.977</v>
      </c>
      <c r="P283" s="3">
        <f>P143</f>
        <v>18.5010000000002</v>
      </c>
      <c r="Q283" s="3">
        <f>Q143</f>
        <v>169.928999999999</v>
      </c>
      <c r="R283" s="3">
        <f>SUM(N283:Q283)</f>
        <v>482.083</v>
      </c>
      <c r="S283" s="3">
        <f>S143</f>
        <v>6.18900000000023</v>
      </c>
      <c r="T283" s="3">
        <f>T143</f>
        <v>12.3289999999983</v>
      </c>
      <c r="U283" s="3">
        <f>U143</f>
        <v>-136.515000000001</v>
      </c>
      <c r="V283" s="3">
        <f>V143</f>
        <v>-377.224000000005</v>
      </c>
      <c r="W283" s="3">
        <f>SUM(S283:V283)</f>
        <v>-495.221000000007</v>
      </c>
      <c r="X283" s="3">
        <f>X143</f>
        <v>-13.0552307800005</v>
      </c>
      <c r="Y283" s="3">
        <f>Y143</f>
        <v>49.2998345299982</v>
      </c>
      <c r="Z283" s="3">
        <f>Z143</f>
        <v>10.8422499400016</v>
      </c>
      <c r="AA283" s="3">
        <f>AA143</f>
        <v>-245.242471270006</v>
      </c>
      <c r="AB283" s="3">
        <f>SUM(X283:AA283)</f>
        <v>-198.155617580007</v>
      </c>
      <c r="AC283" s="3">
        <f>AC143</f>
        <v>-50.9530000000002</v>
      </c>
      <c r="AD283" s="3">
        <f>AD143</f>
        <v>-96.2910000000029</v>
      </c>
      <c r="AE283" s="3">
        <f>AE143</f>
        <v>-246.192999999999</v>
      </c>
      <c r="AF283" s="3">
        <f>AF143</f>
        <v>432.907999999997</v>
      </c>
      <c r="AG283" s="3">
        <f>SUM(AC283:AF283)</f>
        <v>39.4709999999943</v>
      </c>
      <c r="AH283" s="3">
        <f>AH143</f>
        <v>-179.59733257</v>
      </c>
      <c r="AI283" s="3">
        <f>AI143</f>
        <v>-189.469667430003</v>
      </c>
      <c r="AJ283" s="3">
        <f>AJ143</f>
        <v>582.622590280002</v>
      </c>
      <c r="AK283" s="3">
        <f>AK143</f>
        <v>618.539885369996</v>
      </c>
      <c r="AL283" s="3">
        <f>SUM(AH283:AK283)</f>
        <v>832.095475649995</v>
      </c>
      <c r="AM283" s="3">
        <f>AM143</f>
        <v>663.139531720001</v>
      </c>
      <c r="AN283" s="3">
        <f>AN143</f>
        <v>2479.18068707</v>
      </c>
      <c r="AO283" s="3">
        <f>AO143</f>
        <v>660.778739030002</v>
      </c>
      <c r="AP283" s="3">
        <f>AP143</f>
        <v>2467.60822501</v>
      </c>
      <c r="AQ283" s="3">
        <f>SUM(AM283:AP283)</f>
        <v>6270.70718283</v>
      </c>
      <c r="AR283" s="3">
        <f>AR143</f>
        <v>2512.20787136</v>
      </c>
      <c r="AS283" s="3">
        <f>AS143</f>
        <v>6333.62966385</v>
      </c>
      <c r="AT283" s="3">
        <f>AT143</f>
        <v>2509.84707867</v>
      </c>
      <c r="AU283" s="3">
        <f>AU143</f>
        <v>6322.05720179</v>
      </c>
      <c r="AV283" s="3">
        <f>SUM(AR283:AU283)</f>
        <v>17677.74181567</v>
      </c>
      <c r="AW283" s="3">
        <f>AW143</f>
        <v>6366.65684814</v>
      </c>
      <c r="AX283" s="3">
        <f>AX143</f>
        <v>17740.66429669</v>
      </c>
      <c r="AY283" s="3">
        <f>AY143</f>
        <v>6364.29605545</v>
      </c>
      <c r="AZ283" s="3">
        <f>AZ143</f>
        <v>17729.09183463</v>
      </c>
      <c r="BA283" s="3">
        <f>SUM(AW283:AZ283)</f>
        <v>48200.70903491</v>
      </c>
      <c r="BB283" s="3">
        <f>BB143</f>
        <v>17773.69148098</v>
      </c>
      <c r="BC283" s="3">
        <f>BC143</f>
        <v>48263.63151593</v>
      </c>
      <c r="BD283" s="3">
        <f>BD143</f>
        <v>17771.33068829</v>
      </c>
      <c r="BE283" s="3">
        <f>BE143</f>
        <v>48252.05905387</v>
      </c>
      <c r="BF283" s="3">
        <f>SUM(BB283:BE283)</f>
        <v>132060.71273907</v>
      </c>
      <c r="BG283" s="3">
        <f>BG143</f>
        <v>48296.65870022</v>
      </c>
      <c r="BH283" s="3">
        <f>BH143</f>
        <v>132123.63522009</v>
      </c>
      <c r="BI283" s="3">
        <f>BI143</f>
        <v>48294.29790753</v>
      </c>
      <c r="BJ283" s="3">
        <f>BJ143</f>
        <v>132112.06275803</v>
      </c>
      <c r="BK283" s="3">
        <f>SUM(BG283:BJ283)</f>
        <v>360826.65458587</v>
      </c>
      <c r="BL283" s="3">
        <f>BL143</f>
        <v>132156.66240438</v>
      </c>
      <c r="BM283" s="3">
        <f>BM143</f>
        <v>360889.57706689</v>
      </c>
      <c r="BN283" s="3">
        <f>BN143</f>
        <v>132154.30161169</v>
      </c>
      <c r="BO283" s="3">
        <f>BO143</f>
        <v>360878.00460483</v>
      </c>
      <c r="BP283" s="3">
        <f>SUM(BL283:BO283)</f>
        <v>986078.54568779</v>
      </c>
      <c r="BQ283" s="3">
        <f>BQ143</f>
        <v>360922.60425118</v>
      </c>
      <c r="BR283" s="3">
        <f>BR143</f>
        <v>986141.46816881</v>
      </c>
      <c r="BS283" s="3">
        <f>BS143</f>
        <v>360920.24345849</v>
      </c>
      <c r="BT283" s="3">
        <f>BT143</f>
        <v>986129.89570675</v>
      </c>
      <c r="BU283" s="3">
        <f>SUM(BQ283:BT283)</f>
        <v>2694114.21158523</v>
      </c>
      <c r="BV283" s="3">
        <f>BV143</f>
        <v>986174.4953531</v>
      </c>
      <c r="BW283" s="3">
        <f>BW143</f>
        <v>2694177.13406625</v>
      </c>
      <c r="BX283" s="3">
        <f>BX143</f>
        <v>986172.13456041</v>
      </c>
      <c r="BY283" s="3">
        <f>BY143</f>
        <v>2694165.56160419</v>
      </c>
      <c r="BZ283" s="3">
        <f>SUM(BV283:BY283)</f>
        <v>7360689.32558395</v>
      </c>
      <c r="CA283" s="3">
        <f>CA143</f>
        <v>2694210.16125054</v>
      </c>
      <c r="CB283" s="3">
        <f>CB143</f>
        <v>7360752.24806497</v>
      </c>
      <c r="CC283" s="3">
        <f>CC143</f>
        <v>2694207.80045785</v>
      </c>
      <c r="CD283" s="3">
        <f>CD143</f>
        <v>7360740.67560291</v>
      </c>
      <c r="CE283" s="3">
        <f>SUM(CA283:CD283)</f>
        <v>20109910.8853763</v>
      </c>
      <c r="CF283" s="3">
        <f>CF143</f>
        <v>7360785.27524926</v>
      </c>
      <c r="CG283" s="3">
        <f>CG143</f>
        <v>20109973.8078573</v>
      </c>
      <c r="CH283" s="3">
        <f>CH143</f>
        <v>7360782.91445657</v>
      </c>
      <c r="CI283" s="3">
        <f>CI143</f>
        <v>20109962.2353952</v>
      </c>
      <c r="CJ283" s="3">
        <f>SUM(CF283:CI283)</f>
        <v>54941504.2329584</v>
      </c>
      <c r="CK283" s="3">
        <f>CK143</f>
        <v>20110006.8350416</v>
      </c>
      <c r="CL283" s="3">
        <f>CL143</f>
        <v>54941567.1554394</v>
      </c>
      <c r="CM283" s="3">
        <f>CM143</f>
        <v>20110004.4742489</v>
      </c>
      <c r="CN283" s="3">
        <f>CN143</f>
        <v>54941555.5829773</v>
      </c>
      <c r="CO283" s="3">
        <f>SUM(CK283:CN283)</f>
        <v>150103134.047707</v>
      </c>
      <c r="CP283" s="3">
        <f>CP143</f>
        <v>54941600.1826237</v>
      </c>
      <c r="CQ283" s="3">
        <f>CQ143</f>
        <v>150103196.970188</v>
      </c>
      <c r="CR283" s="3">
        <f>CR143</f>
        <v>54941597.821831</v>
      </c>
      <c r="CS283" s="3">
        <f>CS143</f>
        <v>150103185.397726</v>
      </c>
      <c r="CT283" s="3">
        <f>SUM(CP283:CS283)</f>
        <v>410089580.372369</v>
      </c>
      <c r="CU283" s="3">
        <f>CU143</f>
        <v>150103229.997373</v>
      </c>
      <c r="CV283" s="3">
        <f>CV143</f>
        <v>410089643.29485</v>
      </c>
      <c r="CW283" s="3">
        <f>CW143</f>
        <v>150103227.63658</v>
      </c>
      <c r="CX283" s="3">
        <f>CX143</f>
        <v>410089631.722388</v>
      </c>
      <c r="CY283" s="3">
        <f>SUM(CU283:CX283)</f>
        <v>1120385732.65119</v>
      </c>
    </row>
    <row r="284">
      <c r="C284" s="29" t="inlineStr">
        <is>
          <t>Depreciation &amp; amortization</t>
        </is>
      </c>
      <c r="D284" s="3" t="n"/>
      <c r="E284" s="3">
        <f>-E76</f>
        <v>271.90979999</v>
      </c>
      <c r="F284" s="3">
        <f>-F76</f>
        <v>290.25133795755</v>
      </c>
      <c r="G284" s="3">
        <f>-G76</f>
        <v>274.107593500965</v>
      </c>
      <c r="H284" s="3">
        <f>SUM(D284:G284)</f>
        <v>836.268731448515</v>
      </c>
      <c r="I284" s="3">
        <f>-I76</f>
        <v>217.049</v>
      </c>
      <c r="J284" s="3">
        <f>-J76</f>
        <v>241.434278302253</v>
      </c>
      <c r="K284" s="3">
        <f>-K76</f>
        <v>275.839366386516</v>
      </c>
      <c r="L284" s="3">
        <f>-L76</f>
        <v>324.792357953573</v>
      </c>
      <c r="M284" s="3">
        <f>SUM(I284:L284)</f>
        <v>1059.11500264234</v>
      </c>
      <c r="N284" s="3">
        <f>-N76</f>
        <v>377.493</v>
      </c>
      <c r="O284" s="3">
        <f>-O76</f>
        <v>416.207797423699</v>
      </c>
      <c r="P284" s="3">
        <f>-P76</f>
        <v>510.065305927525</v>
      </c>
      <c r="Q284" s="3">
        <f>-Q76</f>
        <v>582.510896648771</v>
      </c>
      <c r="R284" s="3">
        <f>SUM(N284:Q284)</f>
        <v>1886.277</v>
      </c>
      <c r="S284" s="3">
        <f>-S76</f>
        <v>646.759784850327</v>
      </c>
      <c r="T284" s="3">
        <f>-T76</f>
        <v>679.385996476699</v>
      </c>
      <c r="U284" s="3">
        <f>-U76</f>
        <v>717.081006699591</v>
      </c>
      <c r="V284" s="3">
        <f>-V76</f>
        <v>1060.72584447304</v>
      </c>
      <c r="W284" s="3">
        <f>SUM(S284:V284)</f>
        <v>3103.95263249965</v>
      </c>
      <c r="X284" s="3">
        <f>-X76</f>
        <v>821.97976934</v>
      </c>
      <c r="Y284" s="3">
        <f>-Y76</f>
        <v>897.643222139999</v>
      </c>
      <c r="Z284" s="3">
        <f>-Z76</f>
        <v>997.19452895</v>
      </c>
      <c r="AA284" s="3">
        <f>-AA76</f>
        <v>974.302369919992</v>
      </c>
      <c r="AB284" s="3">
        <f>SUM(X284:AA284)</f>
        <v>3691.11989034999</v>
      </c>
      <c r="AC284" s="3">
        <f>-AC76</f>
        <v>1052.41326183</v>
      </c>
      <c r="AD284" s="3">
        <f>-AD76</f>
        <v>1118.94089968</v>
      </c>
      <c r="AE284" s="3">
        <f>-AE76</f>
        <v>1172.06197375</v>
      </c>
      <c r="AF284" s="3">
        <f>-AF76</f>
        <v>1197.96966854999</v>
      </c>
      <c r="AG284" s="3">
        <f>SUM(AC284:AF284)</f>
        <v>4541.38580381</v>
      </c>
      <c r="AH284" s="3">
        <f>-AH76</f>
        <v>1239.92653653</v>
      </c>
      <c r="AI284" s="3">
        <f>-AI76</f>
        <v>1253.5541439</v>
      </c>
      <c r="AJ284" s="3">
        <f>-AJ76</f>
        <v>0</v>
      </c>
      <c r="AK284" s="3">
        <f>-AK76</f>
        <v>0</v>
      </c>
      <c r="AL284" s="3">
        <f>SUM(AH284:AK284)</f>
        <v>2493.48068043</v>
      </c>
      <c r="AM284" s="3">
        <f>-AM76</f>
        <v>0</v>
      </c>
      <c r="AN284" s="3">
        <f>-AN76</f>
        <v>0</v>
      </c>
      <c r="AO284" s="3">
        <f>-AO76</f>
        <v>0</v>
      </c>
      <c r="AP284" s="3">
        <f>-AP76</f>
        <v>0</v>
      </c>
      <c r="AQ284" s="3">
        <f>SUM(AM284:AP284)</f>
        <v>0</v>
      </c>
      <c r="AR284" s="3">
        <f>-AR76</f>
        <v>0</v>
      </c>
      <c r="AS284" s="3">
        <f>-AS76</f>
        <v>0</v>
      </c>
      <c r="AT284" s="3">
        <f>-AT76</f>
        <v>0</v>
      </c>
      <c r="AU284" s="3">
        <f>-AU76</f>
        <v>0</v>
      </c>
      <c r="AV284" s="3">
        <f>SUM(AR284:AU284)</f>
        <v>0</v>
      </c>
      <c r="AW284" s="3">
        <f>-AW76</f>
        <v>0</v>
      </c>
      <c r="AX284" s="3">
        <f>-AX76</f>
        <v>0</v>
      </c>
      <c r="AY284" s="3">
        <f>-AY76</f>
        <v>0</v>
      </c>
      <c r="AZ284" s="3">
        <f>-AZ76</f>
        <v>0</v>
      </c>
      <c r="BA284" s="3">
        <f>SUM(AW284:AZ284)</f>
        <v>0</v>
      </c>
      <c r="BB284" s="3">
        <f>-BB76</f>
        <v>0</v>
      </c>
      <c r="BC284" s="3">
        <f>-BC76</f>
        <v>0</v>
      </c>
      <c r="BD284" s="3">
        <f>-BD76</f>
        <v>0</v>
      </c>
      <c r="BE284" s="3">
        <f>-BE76</f>
        <v>0</v>
      </c>
      <c r="BF284" s="3">
        <f>SUM(BB284:BE284)</f>
        <v>0</v>
      </c>
      <c r="BG284" s="3">
        <f>-BG76</f>
        <v>0</v>
      </c>
      <c r="BH284" s="3">
        <f>-BH76</f>
        <v>0</v>
      </c>
      <c r="BI284" s="3">
        <f>-BI76</f>
        <v>0</v>
      </c>
      <c r="BJ284" s="3">
        <f>-BJ76</f>
        <v>0</v>
      </c>
      <c r="BK284" s="3">
        <f>SUM(BG284:BJ284)</f>
        <v>0</v>
      </c>
      <c r="BL284" s="3">
        <f>-BL76</f>
        <v>0</v>
      </c>
      <c r="BM284" s="3">
        <f>-BM76</f>
        <v>0</v>
      </c>
      <c r="BN284" s="3">
        <f>-BN76</f>
        <v>0</v>
      </c>
      <c r="BO284" s="3">
        <f>-BO76</f>
        <v>0</v>
      </c>
      <c r="BP284" s="3">
        <f>SUM(BL284:BO284)</f>
        <v>0</v>
      </c>
      <c r="BQ284" s="3">
        <f>-BQ76</f>
        <v>0</v>
      </c>
      <c r="BR284" s="3">
        <f>-BR76</f>
        <v>0</v>
      </c>
      <c r="BS284" s="3">
        <f>-BS76</f>
        <v>0</v>
      </c>
      <c r="BT284" s="3">
        <f>-BT76</f>
        <v>0</v>
      </c>
      <c r="BU284" s="3">
        <f>SUM(BQ284:BT284)</f>
        <v>0</v>
      </c>
      <c r="BV284" s="3">
        <f>-BV76</f>
        <v>0</v>
      </c>
      <c r="BW284" s="3">
        <f>-BW76</f>
        <v>0</v>
      </c>
      <c r="BX284" s="3">
        <f>-BX76</f>
        <v>0</v>
      </c>
      <c r="BY284" s="3">
        <f>-BY76</f>
        <v>0</v>
      </c>
      <c r="BZ284" s="3">
        <f>SUM(BV284:BY284)</f>
        <v>0</v>
      </c>
      <c r="CA284" s="3">
        <f>-CA76</f>
        <v>0</v>
      </c>
      <c r="CB284" s="3">
        <f>-CB76</f>
        <v>0</v>
      </c>
      <c r="CC284" s="3">
        <f>-CC76</f>
        <v>0</v>
      </c>
      <c r="CD284" s="3">
        <f>-CD76</f>
        <v>0</v>
      </c>
      <c r="CE284" s="3">
        <f>SUM(CA284:CD284)</f>
        <v>0</v>
      </c>
      <c r="CF284" s="3">
        <f>-CF76</f>
        <v>0</v>
      </c>
      <c r="CG284" s="3">
        <f>-CG76</f>
        <v>0</v>
      </c>
      <c r="CH284" s="3">
        <f>-CH76</f>
        <v>0</v>
      </c>
      <c r="CI284" s="3">
        <f>-CI76</f>
        <v>0</v>
      </c>
      <c r="CJ284" s="3">
        <f>SUM(CF284:CI284)</f>
        <v>0</v>
      </c>
      <c r="CK284" s="3">
        <f>-CK76</f>
        <v>0</v>
      </c>
      <c r="CL284" s="3">
        <f>-CL76</f>
        <v>0</v>
      </c>
      <c r="CM284" s="3">
        <f>-CM76</f>
        <v>0</v>
      </c>
      <c r="CN284" s="3">
        <f>-CN76</f>
        <v>0</v>
      </c>
      <c r="CO284" s="3">
        <f>SUM(CK284:CN284)</f>
        <v>0</v>
      </c>
      <c r="CP284" s="3">
        <f>-CP76</f>
        <v>0</v>
      </c>
      <c r="CQ284" s="3">
        <f>-CQ76</f>
        <v>0</v>
      </c>
      <c r="CR284" s="3">
        <f>-CR76</f>
        <v>0</v>
      </c>
      <c r="CS284" s="3">
        <f>-CS76</f>
        <v>0</v>
      </c>
      <c r="CT284" s="3">
        <f>SUM(CP284:CS284)</f>
        <v>0</v>
      </c>
      <c r="CU284" s="3">
        <f>-CU76</f>
        <v>0</v>
      </c>
      <c r="CV284" s="3">
        <f>-CV76</f>
        <v>0</v>
      </c>
      <c r="CW284" s="3">
        <f>-CW76</f>
        <v>0</v>
      </c>
      <c r="CX284" s="3">
        <f>-CX76</f>
        <v>0</v>
      </c>
      <c r="CY284" s="3">
        <f>SUM(CU284:CX284)</f>
        <v>0</v>
      </c>
    </row>
    <row r="285">
      <c r="C285" s="29" t="inlineStr">
        <is>
          <t xml:space="preserve">Changes in working capital </t>
        </is>
      </c>
      <c r="D285" s="3" t="n"/>
      <c r="E285" s="3">
        <f>SUM(E286:E295)</f>
        <v>-998.9579918613</v>
      </c>
      <c r="F285" s="3">
        <f>SUM(F286:F295)</f>
        <v>924.60526396</v>
      </c>
      <c r="G285" s="3">
        <f>SUM(G286:G295)</f>
        <v>883.356798759527</v>
      </c>
      <c r="H285" s="3">
        <f>SUM(D285:G285)</f>
        <v>809.004070858227</v>
      </c>
      <c r="I285" s="3">
        <f>SUM(I286:I295)</f>
        <v>-611.353870736925</v>
      </c>
      <c r="J285" s="3">
        <f>SUM(J286:J295)</f>
        <v>516.359753759398</v>
      </c>
      <c r="K285" s="3">
        <f>SUM(K286:K295)</f>
        <v>-544.751135592</v>
      </c>
      <c r="L285" s="3">
        <f>SUM(L286:L295)</f>
        <v>1206.039</v>
      </c>
      <c r="M285" s="3">
        <f>SUM(I285:L285)</f>
        <v>566.293747430473</v>
      </c>
      <c r="N285" s="3">
        <f>SUM(N286:N295)</f>
        <v>-1008.695</v>
      </c>
      <c r="O285" s="3">
        <f>SUM(O286:O295)</f>
        <v>275.992</v>
      </c>
      <c r="P285" s="3">
        <f>SUM(P286:P295)</f>
        <v>-1340.746</v>
      </c>
      <c r="Q285" s="3">
        <f>SUM(Q286:Q295)</f>
        <v>1829.926</v>
      </c>
      <c r="R285" s="3">
        <f>SUM(N285:Q285)</f>
        <v>-243.523</v>
      </c>
      <c r="S285" s="3">
        <f>SUM(S286:S295)</f>
        <v>-2959.73493355803</v>
      </c>
      <c r="T285" s="3">
        <f>SUM(T286:T295)</f>
        <v>-1842.48955273757</v>
      </c>
      <c r="U285" s="3">
        <f>SUM(U286:U295)</f>
        <v>-147.234696048691</v>
      </c>
      <c r="V285" s="3">
        <f>SUM(V286:V295)</f>
        <v>3796.93518742579</v>
      </c>
      <c r="W285" s="3">
        <f>SUM(S285:V285)</f>
        <v>-1152.5239949185</v>
      </c>
      <c r="X285" s="3">
        <f>SUM(X286:X295)</f>
        <v>-199.052523185205</v>
      </c>
      <c r="Y285" s="3">
        <f>SUM(Y286:Y295)</f>
        <v>-1471.16191068343</v>
      </c>
      <c r="Z285" s="3">
        <f>SUM(Z286:Z295)</f>
        <v>-591.858266905176</v>
      </c>
      <c r="AA285" s="3">
        <f>SUM(AA286:AA295)</f>
        <v>1873.60647053231</v>
      </c>
      <c r="AB285" s="3">
        <f>SUM(X285:AA285)</f>
        <v>-388.4662302415</v>
      </c>
      <c r="AC285" s="3">
        <f>SUM(AC286:AC295)</f>
        <v>-2862.42722185</v>
      </c>
      <c r="AD285" s="3">
        <f>SUM(AD286:AD295)</f>
        <v>-865.650772110001</v>
      </c>
      <c r="AE285" s="3">
        <f>SUM(AE286:AE295)</f>
        <v>847.2578661</v>
      </c>
      <c r="AF285" s="3">
        <f>SUM(AF286:AF295)</f>
        <v>3831.53824424</v>
      </c>
      <c r="AG285" s="3">
        <f>SUM(AC285:AF285)</f>
        <v>950.718116380002</v>
      </c>
      <c r="AH285" s="3">
        <f>SUM(AH286:AH295)</f>
        <v>-289.003954420001</v>
      </c>
      <c r="AI285" s="3">
        <f>SUM(AI286:AI295)</f>
        <v>-622.52544427</v>
      </c>
      <c r="AJ285" s="3">
        <f>SUM(AJ286:AJ295)</f>
        <v>934.55613925</v>
      </c>
      <c r="AK285" s="3">
        <f>SUM(AK286:AK295)</f>
        <v>0</v>
      </c>
      <c r="AL285" s="3">
        <f>SUM(AH285:AK285)</f>
        <v>23.0267405599986</v>
      </c>
      <c r="AM285" s="3" t="e">
        <f>SUM(AM286:AM295)</f>
        <v>#DIV/0!</v>
      </c>
      <c r="AN285" s="3" t="e">
        <f>SUM(AN286:AN295)</f>
        <v>#DIV/0!</v>
      </c>
      <c r="AO285" s="3" t="e">
        <f>SUM(AO286:AO295)</f>
        <v>#DIV/0!</v>
      </c>
      <c r="AP285" s="3" t="e">
        <f>SUM(AP286:AP295)</f>
        <v>#DIV/0!</v>
      </c>
      <c r="AQ285" s="3" t="e">
        <f>SUM(AM285:AP285)</f>
        <v>#DIV/0!</v>
      </c>
      <c r="AR285" s="3" t="e">
        <f>SUM(AR286:AR295)</f>
        <v>#DIV/0!</v>
      </c>
      <c r="AS285" s="3" t="e">
        <f>SUM(AS286:AS295)</f>
        <v>#DIV/0!</v>
      </c>
      <c r="AT285" s="3" t="e">
        <f>SUM(AT286:AT295)</f>
        <v>#DIV/0!</v>
      </c>
      <c r="AU285" s="3" t="e">
        <f>SUM(AU286:AU295)</f>
        <v>#DIV/0!</v>
      </c>
      <c r="AV285" s="3" t="e">
        <f>SUM(AR285:AU285)</f>
        <v>#DIV/0!</v>
      </c>
      <c r="AW285" s="3" t="e">
        <f>SUM(AW286:AW295)</f>
        <v>#DIV/0!</v>
      </c>
      <c r="AX285" s="3" t="e">
        <f>SUM(AX286:AX295)</f>
        <v>#DIV/0!</v>
      </c>
      <c r="AY285" s="3" t="e">
        <f>SUM(AY286:AY295)</f>
        <v>#DIV/0!</v>
      </c>
      <c r="AZ285" s="3" t="e">
        <f>SUM(AZ286:AZ295)</f>
        <v>#DIV/0!</v>
      </c>
      <c r="BA285" s="3" t="e">
        <f>SUM(AW285:AZ285)</f>
        <v>#DIV/0!</v>
      </c>
      <c r="BB285" s="3" t="e">
        <f>SUM(BB286:BB295)</f>
        <v>#DIV/0!</v>
      </c>
      <c r="BC285" s="3" t="e">
        <f>SUM(BC286:BC295)</f>
        <v>#DIV/0!</v>
      </c>
      <c r="BD285" s="3" t="e">
        <f>SUM(BD286:BD295)</f>
        <v>#DIV/0!</v>
      </c>
      <c r="BE285" s="3" t="e">
        <f>SUM(BE286:BE295)</f>
        <v>#DIV/0!</v>
      </c>
      <c r="BF285" s="3" t="e">
        <f>SUM(BB285:BE285)</f>
        <v>#DIV/0!</v>
      </c>
      <c r="BG285" s="3" t="e">
        <f>SUM(BG286:BG295)</f>
        <v>#DIV/0!</v>
      </c>
      <c r="BH285" s="3" t="e">
        <f>SUM(BH286:BH295)</f>
        <v>#DIV/0!</v>
      </c>
      <c r="BI285" s="3" t="e">
        <f>SUM(BI286:BI295)</f>
        <v>#DIV/0!</v>
      </c>
      <c r="BJ285" s="3" t="e">
        <f>SUM(BJ286:BJ295)</f>
        <v>#DIV/0!</v>
      </c>
      <c r="BK285" s="3" t="e">
        <f>SUM(BG285:BJ285)</f>
        <v>#DIV/0!</v>
      </c>
      <c r="BL285" s="3" t="e">
        <f>SUM(BL286:BL295)</f>
        <v>#DIV/0!</v>
      </c>
      <c r="BM285" s="3" t="e">
        <f>SUM(BM286:BM295)</f>
        <v>#DIV/0!</v>
      </c>
      <c r="BN285" s="3" t="e">
        <f>SUM(BN286:BN295)</f>
        <v>#DIV/0!</v>
      </c>
      <c r="BO285" s="3" t="e">
        <f>SUM(BO286:BO295)</f>
        <v>#DIV/0!</v>
      </c>
      <c r="BP285" s="3" t="e">
        <f>SUM(BL285:BO285)</f>
        <v>#DIV/0!</v>
      </c>
      <c r="BQ285" s="3" t="e">
        <f>SUM(BQ286:BQ295)</f>
        <v>#DIV/0!</v>
      </c>
      <c r="BR285" s="3" t="e">
        <f>SUM(BR286:BR295)</f>
        <v>#DIV/0!</v>
      </c>
      <c r="BS285" s="3" t="e">
        <f>SUM(BS286:BS295)</f>
        <v>#DIV/0!</v>
      </c>
      <c r="BT285" s="3" t="e">
        <f>SUM(BT286:BT295)</f>
        <v>#DIV/0!</v>
      </c>
      <c r="BU285" s="3" t="e">
        <f>SUM(BQ285:BT285)</f>
        <v>#DIV/0!</v>
      </c>
      <c r="BV285" s="3" t="e">
        <f>SUM(BV286:BV295)</f>
        <v>#DIV/0!</v>
      </c>
      <c r="BW285" s="3" t="e">
        <f>SUM(BW286:BW295)</f>
        <v>#DIV/0!</v>
      </c>
      <c r="BX285" s="3" t="e">
        <f>SUM(BX286:BX295)</f>
        <v>#DIV/0!</v>
      </c>
      <c r="BY285" s="3" t="e">
        <f>SUM(BY286:BY295)</f>
        <v>#DIV/0!</v>
      </c>
      <c r="BZ285" s="3" t="e">
        <f>SUM(BV285:BY285)</f>
        <v>#DIV/0!</v>
      </c>
      <c r="CA285" s="3" t="e">
        <f>SUM(CA286:CA295)</f>
        <v>#DIV/0!</v>
      </c>
      <c r="CB285" s="3" t="e">
        <f>SUM(CB286:CB295)</f>
        <v>#DIV/0!</v>
      </c>
      <c r="CC285" s="3" t="e">
        <f>SUM(CC286:CC295)</f>
        <v>#DIV/0!</v>
      </c>
      <c r="CD285" s="3" t="e">
        <f>SUM(CD286:CD295)</f>
        <v>#DIV/0!</v>
      </c>
      <c r="CE285" s="3" t="e">
        <f>SUM(CA285:CD285)</f>
        <v>#DIV/0!</v>
      </c>
      <c r="CF285" s="3" t="e">
        <f>SUM(CF286:CF295)</f>
        <v>#DIV/0!</v>
      </c>
      <c r="CG285" s="3" t="e">
        <f>SUM(CG286:CG295)</f>
        <v>#DIV/0!</v>
      </c>
      <c r="CH285" s="3" t="e">
        <f>SUM(CH286:CH295)</f>
        <v>#DIV/0!</v>
      </c>
      <c r="CI285" s="3" t="e">
        <f>SUM(CI286:CI295)</f>
        <v>#DIV/0!</v>
      </c>
      <c r="CJ285" s="3" t="e">
        <f>SUM(CF285:CI285)</f>
        <v>#DIV/0!</v>
      </c>
      <c r="CK285" s="3" t="e">
        <f>SUM(CK286:CK295)</f>
        <v>#DIV/0!</v>
      </c>
      <c r="CL285" s="3" t="e">
        <f>SUM(CL286:CL295)</f>
        <v>#DIV/0!</v>
      </c>
      <c r="CM285" s="3" t="e">
        <f>SUM(CM286:CM295)</f>
        <v>#DIV/0!</v>
      </c>
      <c r="CN285" s="3" t="e">
        <f>SUM(CN286:CN295)</f>
        <v>#DIV/0!</v>
      </c>
      <c r="CO285" s="3" t="e">
        <f>SUM(CK285:CN285)</f>
        <v>#DIV/0!</v>
      </c>
      <c r="CP285" s="3" t="e">
        <f>SUM(CP286:CP295)</f>
        <v>#DIV/0!</v>
      </c>
      <c r="CQ285" s="3" t="e">
        <f>SUM(CQ286:CQ295)</f>
        <v>#DIV/0!</v>
      </c>
      <c r="CR285" s="3" t="e">
        <f>SUM(CR286:CR295)</f>
        <v>#DIV/0!</v>
      </c>
      <c r="CS285" s="3" t="e">
        <f>SUM(CS286:CS295)</f>
        <v>#DIV/0!</v>
      </c>
      <c r="CT285" s="3" t="e">
        <f>SUM(CP285:CS285)</f>
        <v>#DIV/0!</v>
      </c>
      <c r="CU285" s="3" t="e">
        <f>SUM(CU286:CU295)</f>
        <v>#DIV/0!</v>
      </c>
      <c r="CV285" s="3" t="e">
        <f>SUM(CV286:CV295)</f>
        <v>#DIV/0!</v>
      </c>
      <c r="CW285" s="3" t="e">
        <f>SUM(CW286:CW295)</f>
        <v>#DIV/0!</v>
      </c>
      <c r="CX285" s="3" t="e">
        <f>SUM(CX286:CX295)</f>
        <v>#DIV/0!</v>
      </c>
      <c r="CY285" s="3" t="e">
        <f>SUM(CU285:CX285)</f>
        <v>#DIV/0!</v>
      </c>
    </row>
    <row r="286" hidden="1" outlineLevel="1">
      <c r="C286" s="29" t="inlineStr">
        <is>
          <t>Accounts receivable</t>
        </is>
      </c>
      <c r="D286" s="3" t="n"/>
      <c r="E286" s="3">
        <f>(E151-D151)*-1</f>
        <v>-35.2254411000001</v>
      </c>
      <c r="F286" s="3">
        <f>(F151-E151)*-1</f>
        <v>-114.36737703</v>
      </c>
      <c r="G286" s="3">
        <f>(G151-F151)*-1</f>
        <v>-192.989542789252</v>
      </c>
      <c r="H286" s="3">
        <f>SUM(D286:G286)</f>
        <v>-342.582360919252</v>
      </c>
      <c r="I286" s="3">
        <f>(I151-H151)*-1</f>
        <v>-216.946759990075</v>
      </c>
      <c r="J286" s="3">
        <f>(J151-I151)*-1</f>
        <v>-279.497348020673</v>
      </c>
      <c r="K286" s="3">
        <f>(K151-J151)*-1</f>
        <v>-348.237</v>
      </c>
      <c r="L286" s="3">
        <f>(L151-K151)*-1</f>
        <v>-481.202</v>
      </c>
      <c r="M286" s="3">
        <f>SUM(I286:L286)</f>
        <v>-1325.88310801075</v>
      </c>
      <c r="N286" s="3">
        <f>(N151-M151)*-1</f>
        <v>-442.659</v>
      </c>
      <c r="O286" s="3">
        <f>(O151-N151)*-1</f>
        <v>-273.918</v>
      </c>
      <c r="P286" s="3">
        <f>(P151-O151)*-1</f>
        <v>-246.942</v>
      </c>
      <c r="Q286" s="3">
        <f>(Q151-P151)*-1</f>
        <v>-209.497</v>
      </c>
      <c r="R286" s="3">
        <f>SUM(N286:Q286)</f>
        <v>-1173.016</v>
      </c>
      <c r="S286" s="3">
        <f>(S151-R151)*-1</f>
        <v>-361.257078924779</v>
      </c>
      <c r="T286" s="3">
        <f>(T151-S151)*-1</f>
        <v>-427.366223933152</v>
      </c>
      <c r="U286" s="3">
        <f>(U151-T151)*-1</f>
        <v>-486.672464213556</v>
      </c>
      <c r="V286" s="3">
        <f>(V151-U151)*-1</f>
        <v>601.960599610699</v>
      </c>
      <c r="W286" s="3">
        <f>SUM(S286:V286)</f>
        <v>-673.335167460788</v>
      </c>
      <c r="X286" s="3">
        <f>(X151-W151)*-1</f>
        <v>-312.032569309689</v>
      </c>
      <c r="Y286" s="3">
        <f>(Y151-X151)*-1</f>
        <v>-383.268428108632</v>
      </c>
      <c r="Z286" s="3">
        <f>(Z151-Y151)*-1</f>
        <v>-542.803616760822</v>
      </c>
      <c r="AA286" s="3">
        <f>(AA151-Z151)*-1</f>
        <v>293.343757729932</v>
      </c>
      <c r="AB286" s="3">
        <f>SUM(X286:AA286)</f>
        <v>-944.760856449211</v>
      </c>
      <c r="AC286" s="3">
        <f>(AC151-AB151)*-1</f>
        <v>-765.919052650001</v>
      </c>
      <c r="AD286" s="3">
        <f>(AD151-AC151)*-1</f>
        <v>-676.342078470001</v>
      </c>
      <c r="AE286" s="3">
        <f>(AE151-AD151)*-1</f>
        <v>-277.378894449999</v>
      </c>
      <c r="AF286" s="3">
        <f>(AF151-AE151)*-1</f>
        <v>156.283358700001</v>
      </c>
      <c r="AG286" s="3">
        <f>SUM(AC286:AF286)</f>
        <v>-1563.35666687</v>
      </c>
      <c r="AH286" s="3">
        <f>(AH151-AG151)*-1</f>
        <v>-144.817609870001</v>
      </c>
      <c r="AI286" s="3">
        <f>(AI151-AH151)*-1</f>
        <v>-956.12595332</v>
      </c>
      <c r="AJ286" s="3">
        <f>(AJ151-AI151)*-1</f>
        <v>8715.74125397</v>
      </c>
      <c r="AK286" s="3">
        <f>(AK151-AJ151)*-1</f>
        <v>0</v>
      </c>
      <c r="AL286" s="3">
        <f>SUM(AH286:AK286)</f>
        <v>7614.79769078</v>
      </c>
      <c r="AM286" s="3">
        <f>(AM151-AL151)*-1</f>
        <v>0</v>
      </c>
      <c r="AN286" s="3">
        <f>(AN151-AM151)*-1</f>
        <v>0</v>
      </c>
      <c r="AO286" s="3">
        <f>(AO151-AN151)*-1</f>
        <v>0</v>
      </c>
      <c r="AP286" s="3">
        <f>(AP151-AO151)*-1</f>
        <v>0</v>
      </c>
      <c r="AQ286" s="3">
        <f>SUM(AM286:AP286)</f>
        <v>0</v>
      </c>
      <c r="AR286" s="3">
        <f>(AR151-AQ151)*-1</f>
        <v>0</v>
      </c>
      <c r="AS286" s="3">
        <f>(AS151-AR151)*-1</f>
        <v>0</v>
      </c>
      <c r="AT286" s="3">
        <f>(AT151-AS151)*-1</f>
        <v>0</v>
      </c>
      <c r="AU286" s="3">
        <f>(AU151-AT151)*-1</f>
        <v>0</v>
      </c>
      <c r="AV286" s="3">
        <f>SUM(AR286:AU286)</f>
        <v>0</v>
      </c>
      <c r="AW286" s="3">
        <f>(AW151-AV151)*-1</f>
        <v>0</v>
      </c>
      <c r="AX286" s="3">
        <f>(AX151-AW151)*-1</f>
        <v>0</v>
      </c>
      <c r="AY286" s="3">
        <f>(AY151-AX151)*-1</f>
        <v>0</v>
      </c>
      <c r="AZ286" s="3">
        <f>(AZ151-AY151)*-1</f>
        <v>0</v>
      </c>
      <c r="BA286" s="3">
        <f>SUM(AW286:AZ286)</f>
        <v>0</v>
      </c>
      <c r="BB286" s="3">
        <f>(BB151-BA151)*-1</f>
        <v>0</v>
      </c>
      <c r="BC286" s="3">
        <f>(BC151-BB151)*-1</f>
        <v>0</v>
      </c>
      <c r="BD286" s="3">
        <f>(BD151-BC151)*-1</f>
        <v>0</v>
      </c>
      <c r="BE286" s="3">
        <f>(BE151-BD151)*-1</f>
        <v>0</v>
      </c>
      <c r="BF286" s="3">
        <f>SUM(BB286:BE286)</f>
        <v>0</v>
      </c>
      <c r="BG286" s="3">
        <f>(BG151-BF151)*-1</f>
        <v>0</v>
      </c>
      <c r="BH286" s="3">
        <f>(BH151-BG151)*-1</f>
        <v>0</v>
      </c>
      <c r="BI286" s="3">
        <f>(BI151-BH151)*-1</f>
        <v>0</v>
      </c>
      <c r="BJ286" s="3">
        <f>(BJ151-BI151)*-1</f>
        <v>0</v>
      </c>
      <c r="BK286" s="3">
        <f>SUM(BG286:BJ286)</f>
        <v>0</v>
      </c>
      <c r="BL286" s="3">
        <f>(BL151-BK151)*-1</f>
        <v>0</v>
      </c>
      <c r="BM286" s="3">
        <f>(BM151-BL151)*-1</f>
        <v>0</v>
      </c>
      <c r="BN286" s="3">
        <f>(BN151-BM151)*-1</f>
        <v>0</v>
      </c>
      <c r="BO286" s="3">
        <f>(BO151-BN151)*-1</f>
        <v>0</v>
      </c>
      <c r="BP286" s="3">
        <f>SUM(BL286:BO286)</f>
        <v>0</v>
      </c>
      <c r="BQ286" s="3">
        <f>(BQ151-BP151)*-1</f>
        <v>0</v>
      </c>
      <c r="BR286" s="3">
        <f>(BR151-BQ151)*-1</f>
        <v>0</v>
      </c>
      <c r="BS286" s="3">
        <f>(BS151-BR151)*-1</f>
        <v>0</v>
      </c>
      <c r="BT286" s="3">
        <f>(BT151-BS151)*-1</f>
        <v>0</v>
      </c>
      <c r="BU286" s="3">
        <f>SUM(BQ286:BT286)</f>
        <v>0</v>
      </c>
      <c r="BV286" s="3">
        <f>(BV151-BU151)*-1</f>
        <v>0</v>
      </c>
      <c r="BW286" s="3">
        <f>(BW151-BV151)*-1</f>
        <v>0</v>
      </c>
      <c r="BX286" s="3">
        <f>(BX151-BW151)*-1</f>
        <v>0</v>
      </c>
      <c r="BY286" s="3">
        <f>(BY151-BX151)*-1</f>
        <v>0</v>
      </c>
      <c r="BZ286" s="3">
        <f>SUM(BV286:BY286)</f>
        <v>0</v>
      </c>
      <c r="CA286" s="3">
        <f>(CA151-BZ151)*-1</f>
        <v>0</v>
      </c>
      <c r="CB286" s="3">
        <f>(CB151-CA151)*-1</f>
        <v>0</v>
      </c>
      <c r="CC286" s="3">
        <f>(CC151-CB151)*-1</f>
        <v>0</v>
      </c>
      <c r="CD286" s="3">
        <f>(CD151-CC151)*-1</f>
        <v>0</v>
      </c>
      <c r="CE286" s="3">
        <f>SUM(CA286:CD286)</f>
        <v>0</v>
      </c>
      <c r="CF286" s="3">
        <f>(CF151-CE151)*-1</f>
        <v>0</v>
      </c>
      <c r="CG286" s="3">
        <f>(CG151-CF151)*-1</f>
        <v>0</v>
      </c>
      <c r="CH286" s="3">
        <f>(CH151-CG151)*-1</f>
        <v>0</v>
      </c>
      <c r="CI286" s="3">
        <f>(CI151-CH151)*-1</f>
        <v>0</v>
      </c>
      <c r="CJ286" s="3">
        <f>SUM(CF286:CI286)</f>
        <v>0</v>
      </c>
      <c r="CK286" s="3">
        <f>(CK151-CJ151)*-1</f>
        <v>0</v>
      </c>
      <c r="CL286" s="3">
        <f>(CL151-CK151)*-1</f>
        <v>0</v>
      </c>
      <c r="CM286" s="3">
        <f>(CM151-CL151)*-1</f>
        <v>0</v>
      </c>
      <c r="CN286" s="3">
        <f>(CN151-CM151)*-1</f>
        <v>0</v>
      </c>
      <c r="CO286" s="3">
        <f>SUM(CK286:CN286)</f>
        <v>0</v>
      </c>
      <c r="CP286" s="3">
        <f>(CP151-CO151)*-1</f>
        <v>0</v>
      </c>
      <c r="CQ286" s="3">
        <f>(CQ151-CP151)*-1</f>
        <v>0</v>
      </c>
      <c r="CR286" s="3">
        <f>(CR151-CQ151)*-1</f>
        <v>0</v>
      </c>
      <c r="CS286" s="3">
        <f>(CS151-CR151)*-1</f>
        <v>0</v>
      </c>
      <c r="CT286" s="3">
        <f>SUM(CP286:CS286)</f>
        <v>0</v>
      </c>
      <c r="CU286" s="3">
        <f>(CU151-CT151)*-1</f>
        <v>0</v>
      </c>
      <c r="CV286" s="3">
        <f>(CV151-CU151)*-1</f>
        <v>0</v>
      </c>
      <c r="CW286" s="3">
        <f>(CW151-CV151)*-1</f>
        <v>0</v>
      </c>
      <c r="CX286" s="3">
        <f>(CX151-CW151)*-1</f>
        <v>0</v>
      </c>
      <c r="CY286" s="3">
        <f>SUM(CU286:CX286)</f>
        <v>0</v>
      </c>
    </row>
    <row r="287" hidden="1" outlineLevel="1">
      <c r="C287" s="29" t="inlineStr">
        <is>
          <t>Inventories</t>
        </is>
      </c>
      <c r="D287" s="3" t="n"/>
      <c r="E287" s="3">
        <f>(E155-D155)*-1</f>
        <v>16.12334886</v>
      </c>
      <c r="F287" s="3">
        <f>(F155-E155)*-1</f>
        <v>56.55877917</v>
      </c>
      <c r="G287" s="3">
        <f>(G155-F155)*-1</f>
        <v>22.54438366784</v>
      </c>
      <c r="H287" s="3">
        <f>SUM(D287:G287)</f>
        <v>95.22651169784</v>
      </c>
      <c r="I287" s="3">
        <f>(I155-H155)*-1</f>
        <v>-42.3456420880876</v>
      </c>
      <c r="J287" s="3">
        <f>(J155-I155)*-1</f>
        <v>-123.212432679752</v>
      </c>
      <c r="K287" s="3">
        <f>(K155-J155)*-1</f>
        <v>0.394999999999982</v>
      </c>
      <c r="L287" s="3">
        <f>(L155-K155)*-1</f>
        <v>-147.77</v>
      </c>
      <c r="M287" s="3">
        <f>SUM(I287:L287)</f>
        <v>-312.93307476784</v>
      </c>
      <c r="N287" s="3">
        <f>(N155-M155)*-1</f>
        <v>-70.675</v>
      </c>
      <c r="O287" s="3">
        <f>(O155-N155)*-1</f>
        <v>-178.539</v>
      </c>
      <c r="P287" s="3">
        <f>(P155-O155)*-1</f>
        <v>-391.667</v>
      </c>
      <c r="Q287" s="3">
        <f>(Q155-P155)*-1</f>
        <v>-527.489</v>
      </c>
      <c r="R287" s="3">
        <f>SUM(N287:Q287)</f>
        <v>-1168.37</v>
      </c>
      <c r="S287" s="3">
        <f>(S155-R155)*-1</f>
        <v>-79.7462468123852</v>
      </c>
      <c r="T287" s="3">
        <f>(T155-S155)*-1</f>
        <v>-236.36248618533</v>
      </c>
      <c r="U287" s="3">
        <f>(U155-T155)*-1</f>
        <v>-539.153797294023</v>
      </c>
      <c r="V287" s="3">
        <f>(V155-U155)*-1</f>
        <v>-340.926849907782</v>
      </c>
      <c r="W287" s="3">
        <f>SUM(S287:V287)</f>
        <v>-1196.18938019952</v>
      </c>
      <c r="X287" s="3">
        <f>(X155-W155)*-1</f>
        <v>14.4545343252721</v>
      </c>
      <c r="Y287" s="3">
        <f>(Y155-X155)*-1</f>
        <v>-97.732422213076</v>
      </c>
      <c r="Z287" s="3">
        <f>(Z155-Y155)*-1</f>
        <v>-231.054835715378</v>
      </c>
      <c r="AA287" s="3">
        <f>(AA155-Z155)*-1</f>
        <v>24.4212562327016</v>
      </c>
      <c r="AB287" s="3">
        <f>SUM(X287:AA287)</f>
        <v>-289.91146737048</v>
      </c>
      <c r="AC287" s="3">
        <f>(AC155-AB155)*-1</f>
        <v>162.71737925</v>
      </c>
      <c r="AD287" s="3">
        <f>(AD155-AC155)*-1</f>
        <v>8.32136938999975</v>
      </c>
      <c r="AE287" s="3">
        <f>(AE155-AD155)*-1</f>
        <v>194.67854039</v>
      </c>
      <c r="AF287" s="3">
        <f>(AF155-AE155)*-1</f>
        <v>-12.9027758699999</v>
      </c>
      <c r="AG287" s="3">
        <f>SUM(AC287:AF287)</f>
        <v>352.81451316</v>
      </c>
      <c r="AH287" s="3">
        <f>(AH155-AG155)*-1</f>
        <v>303.16164681</v>
      </c>
      <c r="AI287" s="3">
        <f>(AI155-AH155)*-1</f>
        <v>-145.79576345</v>
      </c>
      <c r="AJ287" s="3">
        <f>(AJ155-AI155)*-1</f>
        <v>2670.24045105</v>
      </c>
      <c r="AK287" s="3">
        <f>(AK155-AJ155)*-1</f>
        <v>0</v>
      </c>
      <c r="AL287" s="3">
        <f>SUM(AH287:AK287)</f>
        <v>2827.60633441</v>
      </c>
      <c r="AM287" s="3">
        <f>(AM155-AL155)*-1</f>
        <v>0</v>
      </c>
      <c r="AN287" s="3">
        <f>(AN155-AM155)*-1</f>
        <v>0</v>
      </c>
      <c r="AO287" s="3">
        <f>(AO155-AN155)*-1</f>
        <v>0</v>
      </c>
      <c r="AP287" s="3">
        <f>(AP155-AO155)*-1</f>
        <v>0</v>
      </c>
      <c r="AQ287" s="3">
        <f>SUM(AM287:AP287)</f>
        <v>0</v>
      </c>
      <c r="AR287" s="3">
        <f>(AR155-AQ155)*-1</f>
        <v>0</v>
      </c>
      <c r="AS287" s="3">
        <f>(AS155-AR155)*-1</f>
        <v>0</v>
      </c>
      <c r="AT287" s="3">
        <f>(AT155-AS155)*-1</f>
        <v>0</v>
      </c>
      <c r="AU287" s="3">
        <f>(AU155-AT155)*-1</f>
        <v>0</v>
      </c>
      <c r="AV287" s="3">
        <f>SUM(AR287:AU287)</f>
        <v>0</v>
      </c>
      <c r="AW287" s="3">
        <f>(AW155-AV155)*-1</f>
        <v>0</v>
      </c>
      <c r="AX287" s="3">
        <f>(AX155-AW155)*-1</f>
        <v>0</v>
      </c>
      <c r="AY287" s="3">
        <f>(AY155-AX155)*-1</f>
        <v>0</v>
      </c>
      <c r="AZ287" s="3">
        <f>(AZ155-AY155)*-1</f>
        <v>0</v>
      </c>
      <c r="BA287" s="3">
        <f>SUM(AW287:AZ287)</f>
        <v>0</v>
      </c>
      <c r="BB287" s="3">
        <f>(BB155-BA155)*-1</f>
        <v>0</v>
      </c>
      <c r="BC287" s="3">
        <f>(BC155-BB155)*-1</f>
        <v>0</v>
      </c>
      <c r="BD287" s="3">
        <f>(BD155-BC155)*-1</f>
        <v>0</v>
      </c>
      <c r="BE287" s="3">
        <f>(BE155-BD155)*-1</f>
        <v>0</v>
      </c>
      <c r="BF287" s="3">
        <f>SUM(BB287:BE287)</f>
        <v>0</v>
      </c>
      <c r="BG287" s="3">
        <f>(BG155-BF155)*-1</f>
        <v>0</v>
      </c>
      <c r="BH287" s="3">
        <f>(BH155-BG155)*-1</f>
        <v>0</v>
      </c>
      <c r="BI287" s="3">
        <f>(BI155-BH155)*-1</f>
        <v>0</v>
      </c>
      <c r="BJ287" s="3">
        <f>(BJ155-BI155)*-1</f>
        <v>0</v>
      </c>
      <c r="BK287" s="3">
        <f>SUM(BG287:BJ287)</f>
        <v>0</v>
      </c>
      <c r="BL287" s="3">
        <f>(BL155-BK155)*-1</f>
        <v>0</v>
      </c>
      <c r="BM287" s="3">
        <f>(BM155-BL155)*-1</f>
        <v>0</v>
      </c>
      <c r="BN287" s="3">
        <f>(BN155-BM155)*-1</f>
        <v>0</v>
      </c>
      <c r="BO287" s="3">
        <f>(BO155-BN155)*-1</f>
        <v>0</v>
      </c>
      <c r="BP287" s="3">
        <f>SUM(BL287:BO287)</f>
        <v>0</v>
      </c>
      <c r="BQ287" s="3">
        <f>(BQ155-BP155)*-1</f>
        <v>0</v>
      </c>
      <c r="BR287" s="3">
        <f>(BR155-BQ155)*-1</f>
        <v>0</v>
      </c>
      <c r="BS287" s="3">
        <f>(BS155-BR155)*-1</f>
        <v>0</v>
      </c>
      <c r="BT287" s="3">
        <f>(BT155-BS155)*-1</f>
        <v>0</v>
      </c>
      <c r="BU287" s="3">
        <f>SUM(BQ287:BT287)</f>
        <v>0</v>
      </c>
      <c r="BV287" s="3">
        <f>(BV155-BU155)*-1</f>
        <v>0</v>
      </c>
      <c r="BW287" s="3">
        <f>(BW155-BV155)*-1</f>
        <v>0</v>
      </c>
      <c r="BX287" s="3">
        <f>(BX155-BW155)*-1</f>
        <v>0</v>
      </c>
      <c r="BY287" s="3">
        <f>(BY155-BX155)*-1</f>
        <v>0</v>
      </c>
      <c r="BZ287" s="3">
        <f>SUM(BV287:BY287)</f>
        <v>0</v>
      </c>
      <c r="CA287" s="3">
        <f>(CA155-BZ155)*-1</f>
        <v>0</v>
      </c>
      <c r="CB287" s="3">
        <f>(CB155-CA155)*-1</f>
        <v>0</v>
      </c>
      <c r="CC287" s="3">
        <f>(CC155-CB155)*-1</f>
        <v>0</v>
      </c>
      <c r="CD287" s="3">
        <f>(CD155-CC155)*-1</f>
        <v>0</v>
      </c>
      <c r="CE287" s="3">
        <f>SUM(CA287:CD287)</f>
        <v>0</v>
      </c>
      <c r="CF287" s="3">
        <f>(CF155-CE155)*-1</f>
        <v>0</v>
      </c>
      <c r="CG287" s="3">
        <f>(CG155-CF155)*-1</f>
        <v>0</v>
      </c>
      <c r="CH287" s="3">
        <f>(CH155-CG155)*-1</f>
        <v>0</v>
      </c>
      <c r="CI287" s="3">
        <f>(CI155-CH155)*-1</f>
        <v>0</v>
      </c>
      <c r="CJ287" s="3">
        <f>SUM(CF287:CI287)</f>
        <v>0</v>
      </c>
      <c r="CK287" s="3">
        <f>(CK155-CJ155)*-1</f>
        <v>0</v>
      </c>
      <c r="CL287" s="3">
        <f>(CL155-CK155)*-1</f>
        <v>0</v>
      </c>
      <c r="CM287" s="3">
        <f>(CM155-CL155)*-1</f>
        <v>0</v>
      </c>
      <c r="CN287" s="3">
        <f>(CN155-CM155)*-1</f>
        <v>0</v>
      </c>
      <c r="CO287" s="3">
        <f>SUM(CK287:CN287)</f>
        <v>0</v>
      </c>
      <c r="CP287" s="3">
        <f>(CP155-CO155)*-1</f>
        <v>0</v>
      </c>
      <c r="CQ287" s="3">
        <f>(CQ155-CP155)*-1</f>
        <v>0</v>
      </c>
      <c r="CR287" s="3">
        <f>(CR155-CQ155)*-1</f>
        <v>0</v>
      </c>
      <c r="CS287" s="3">
        <f>(CS155-CR155)*-1</f>
        <v>0</v>
      </c>
      <c r="CT287" s="3">
        <f>SUM(CP287:CS287)</f>
        <v>0</v>
      </c>
      <c r="CU287" s="3">
        <f>(CU155-CT155)*-1</f>
        <v>0</v>
      </c>
      <c r="CV287" s="3">
        <f>(CV155-CU155)*-1</f>
        <v>0</v>
      </c>
      <c r="CW287" s="3">
        <f>(CW155-CV155)*-1</f>
        <v>0</v>
      </c>
      <c r="CX287" s="3">
        <f>(CX155-CW155)*-1</f>
        <v>0</v>
      </c>
      <c r="CY287" s="3">
        <f>SUM(CU287:CX287)</f>
        <v>0</v>
      </c>
    </row>
    <row r="288" hidden="1" outlineLevel="1">
      <c r="C288" s="29" t="inlineStr">
        <is>
          <t>Deferred income taxes</t>
        </is>
      </c>
      <c r="D288" s="3" t="n"/>
      <c r="E288" s="3">
        <f>(E159-D159)*-1</f>
        <v>-7.10160989000002</v>
      </c>
      <c r="F288" s="3">
        <f>(F159-E159)*-1</f>
        <v>1.56892060000001</v>
      </c>
      <c r="G288" s="3">
        <f>(G159-F159)*-1</f>
        <v>-2.17484776859999</v>
      </c>
      <c r="H288" s="3">
        <f>SUM(D288:G288)</f>
        <v>-7.7075370586</v>
      </c>
      <c r="I288" s="3">
        <f>(I159-H159)*-1</f>
        <v>-80.0531087614</v>
      </c>
      <c r="J288" s="3">
        <f>(J159-I159)*-1</f>
        <v>-15.551</v>
      </c>
      <c r="K288" s="3">
        <f>(K159-J159)*-1</f>
        <v>-155.754</v>
      </c>
      <c r="L288" s="3">
        <f>(L159-K159)*-1</f>
        <v>5.45299999999997</v>
      </c>
      <c r="M288" s="3">
        <f>SUM(I288:L288)</f>
        <v>-245.9051087614</v>
      </c>
      <c r="N288" s="3">
        <f>(N159-M159)*-1</f>
        <v>-132.58</v>
      </c>
      <c r="O288" s="3">
        <f>(O159-N159)*-1</f>
        <v>-196.521</v>
      </c>
      <c r="P288" s="3">
        <f>(P159-O159)*-1</f>
        <v>-237.533</v>
      </c>
      <c r="Q288" s="3">
        <f>(Q159-P159)*-1</f>
        <v>-204.069</v>
      </c>
      <c r="R288" s="3">
        <f>SUM(N288:Q288)</f>
        <v>-770.703</v>
      </c>
      <c r="S288" s="3">
        <f>(S159-R159)*-1</f>
        <v>-314.03317508</v>
      </c>
      <c r="T288" s="3">
        <f>(T159-S159)*-1</f>
        <v>30.1532648396001</v>
      </c>
      <c r="U288" s="3">
        <f>(U159-T159)*-1</f>
        <v>-49.3458199713041</v>
      </c>
      <c r="V288" s="3">
        <f>(V159-U159)*-1</f>
        <v>-80.364198478296</v>
      </c>
      <c r="W288" s="3">
        <f>SUM(S288:V288)</f>
        <v>-413.58992869</v>
      </c>
      <c r="X288" s="3">
        <f>(X159-W159)*-1</f>
        <v>-175.46621858</v>
      </c>
      <c r="Y288" s="3">
        <f>(Y159-X159)*-1</f>
        <v>-54.29151882</v>
      </c>
      <c r="Z288" s="3">
        <f>(Z159-Y159)*-1</f>
        <v>-194.51633141</v>
      </c>
      <c r="AA288" s="3">
        <f>(AA159-Z159)*-1</f>
        <v>384.84825488</v>
      </c>
      <c r="AB288" s="3">
        <f>SUM(X288:AA288)</f>
        <v>-39.42581393</v>
      </c>
      <c r="AC288" s="3">
        <f>(AC159-AB159)*-1</f>
        <v>38.0321758</v>
      </c>
      <c r="AD288" s="3">
        <f>(AD159-AC159)*-1</f>
        <v>-287.4503071</v>
      </c>
      <c r="AE288" s="3">
        <f>(AE159-AD159)*-1</f>
        <v>-103.68669973</v>
      </c>
      <c r="AF288" s="3">
        <f>(AF159-AE159)*-1</f>
        <v>517.30727155</v>
      </c>
      <c r="AG288" s="3">
        <f>SUM(AC288:AF288)</f>
        <v>164.20244052</v>
      </c>
      <c r="AH288" s="3">
        <f>(AH159-AG159)*-1</f>
        <v>-159.13024369</v>
      </c>
      <c r="AI288" s="3">
        <f>(AI159-AH159)*-1</f>
        <v>-156.54218371</v>
      </c>
      <c r="AJ288" s="3">
        <f>(AJ159-AI159)*-1</f>
        <v>0</v>
      </c>
      <c r="AK288" s="3">
        <f>(AK159-AJ159)*-1</f>
        <v>0</v>
      </c>
      <c r="AL288" s="3">
        <f>SUM(AH288:AK288)</f>
        <v>-315.6724274</v>
      </c>
      <c r="AM288" s="3">
        <f>(AM159-AL159)*-1</f>
        <v>0</v>
      </c>
      <c r="AN288" s="3">
        <f>(AN159-AM159)*-1</f>
        <v>0</v>
      </c>
      <c r="AO288" s="3">
        <f>(AO159-AN159)*-1</f>
        <v>0</v>
      </c>
      <c r="AP288" s="3">
        <f>(AP159-AO159)*-1</f>
        <v>0</v>
      </c>
      <c r="AQ288" s="3">
        <f>SUM(AM288:AP288)</f>
        <v>0</v>
      </c>
      <c r="AR288" s="3">
        <f>(AR159-AQ159)*-1</f>
        <v>0</v>
      </c>
      <c r="AS288" s="3">
        <f>(AS159-AR159)*-1</f>
        <v>0</v>
      </c>
      <c r="AT288" s="3">
        <f>(AT159-AS159)*-1</f>
        <v>0</v>
      </c>
      <c r="AU288" s="3">
        <f>(AU159-AT159)*-1</f>
        <v>0</v>
      </c>
      <c r="AV288" s="3">
        <f>SUM(AR288:AU288)</f>
        <v>0</v>
      </c>
      <c r="AW288" s="3">
        <f>(AW159-AV159)*-1</f>
        <v>0</v>
      </c>
      <c r="AX288" s="3">
        <f>(AX159-AW159)*-1</f>
        <v>0</v>
      </c>
      <c r="AY288" s="3">
        <f>(AY159-AX159)*-1</f>
        <v>0</v>
      </c>
      <c r="AZ288" s="3">
        <f>(AZ159-AY159)*-1</f>
        <v>0</v>
      </c>
      <c r="BA288" s="3">
        <f>SUM(AW288:AZ288)</f>
        <v>0</v>
      </c>
      <c r="BB288" s="3">
        <f>(BB159-BA159)*-1</f>
        <v>0</v>
      </c>
      <c r="BC288" s="3">
        <f>(BC159-BB159)*-1</f>
        <v>0</v>
      </c>
      <c r="BD288" s="3">
        <f>(BD159-BC159)*-1</f>
        <v>0</v>
      </c>
      <c r="BE288" s="3">
        <f>(BE159-BD159)*-1</f>
        <v>0</v>
      </c>
      <c r="BF288" s="3">
        <f>SUM(BB288:BE288)</f>
        <v>0</v>
      </c>
      <c r="BG288" s="3">
        <f>(BG159-BF159)*-1</f>
        <v>0</v>
      </c>
      <c r="BH288" s="3">
        <f>(BH159-BG159)*-1</f>
        <v>0</v>
      </c>
      <c r="BI288" s="3">
        <f>(BI159-BH159)*-1</f>
        <v>0</v>
      </c>
      <c r="BJ288" s="3">
        <f>(BJ159-BI159)*-1</f>
        <v>0</v>
      </c>
      <c r="BK288" s="3">
        <f>SUM(BG288:BJ288)</f>
        <v>0</v>
      </c>
      <c r="BL288" s="3">
        <f>(BL159-BK159)*-1</f>
        <v>0</v>
      </c>
      <c r="BM288" s="3">
        <f>(BM159-BL159)*-1</f>
        <v>0</v>
      </c>
      <c r="BN288" s="3">
        <f>(BN159-BM159)*-1</f>
        <v>0</v>
      </c>
      <c r="BO288" s="3">
        <f>(BO159-BN159)*-1</f>
        <v>0</v>
      </c>
      <c r="BP288" s="3">
        <f>SUM(BL288:BO288)</f>
        <v>0</v>
      </c>
      <c r="BQ288" s="3">
        <f>(BQ159-BP159)*-1</f>
        <v>0</v>
      </c>
      <c r="BR288" s="3">
        <f>(BR159-BQ159)*-1</f>
        <v>0</v>
      </c>
      <c r="BS288" s="3">
        <f>(BS159-BR159)*-1</f>
        <v>0</v>
      </c>
      <c r="BT288" s="3">
        <f>(BT159-BS159)*-1</f>
        <v>0</v>
      </c>
      <c r="BU288" s="3">
        <f>SUM(BQ288:BT288)</f>
        <v>0</v>
      </c>
      <c r="BV288" s="3">
        <f>(BV159-BU159)*-1</f>
        <v>0</v>
      </c>
      <c r="BW288" s="3">
        <f>(BW159-BV159)*-1</f>
        <v>0</v>
      </c>
      <c r="BX288" s="3">
        <f>(BX159-BW159)*-1</f>
        <v>0</v>
      </c>
      <c r="BY288" s="3">
        <f>(BY159-BX159)*-1</f>
        <v>0</v>
      </c>
      <c r="BZ288" s="3">
        <f>SUM(BV288:BY288)</f>
        <v>0</v>
      </c>
      <c r="CA288" s="3">
        <f>(CA159-BZ159)*-1</f>
        <v>0</v>
      </c>
      <c r="CB288" s="3">
        <f>(CB159-CA159)*-1</f>
        <v>0</v>
      </c>
      <c r="CC288" s="3">
        <f>(CC159-CB159)*-1</f>
        <v>0</v>
      </c>
      <c r="CD288" s="3">
        <f>(CD159-CC159)*-1</f>
        <v>0</v>
      </c>
      <c r="CE288" s="3">
        <f>SUM(CA288:CD288)</f>
        <v>0</v>
      </c>
      <c r="CF288" s="3">
        <f>(CF159-CE159)*-1</f>
        <v>0</v>
      </c>
      <c r="CG288" s="3">
        <f>(CG159-CF159)*-1</f>
        <v>0</v>
      </c>
      <c r="CH288" s="3">
        <f>(CH159-CG159)*-1</f>
        <v>0</v>
      </c>
      <c r="CI288" s="3">
        <f>(CI159-CH159)*-1</f>
        <v>0</v>
      </c>
      <c r="CJ288" s="3">
        <f>SUM(CF288:CI288)</f>
        <v>0</v>
      </c>
      <c r="CK288" s="3">
        <f>(CK159-CJ159)*-1</f>
        <v>0</v>
      </c>
      <c r="CL288" s="3">
        <f>(CL159-CK159)*-1</f>
        <v>0</v>
      </c>
      <c r="CM288" s="3">
        <f>(CM159-CL159)*-1</f>
        <v>0</v>
      </c>
      <c r="CN288" s="3">
        <f>(CN159-CM159)*-1</f>
        <v>0</v>
      </c>
      <c r="CO288" s="3">
        <f>SUM(CK288:CN288)</f>
        <v>0</v>
      </c>
      <c r="CP288" s="3">
        <f>(CP159-CO159)*-1</f>
        <v>0</v>
      </c>
      <c r="CQ288" s="3">
        <f>(CQ159-CP159)*-1</f>
        <v>0</v>
      </c>
      <c r="CR288" s="3">
        <f>(CR159-CQ159)*-1</f>
        <v>0</v>
      </c>
      <c r="CS288" s="3">
        <f>(CS159-CR159)*-1</f>
        <v>0</v>
      </c>
      <c r="CT288" s="3">
        <f>SUM(CP288:CS288)</f>
        <v>0</v>
      </c>
      <c r="CU288" s="3">
        <f>(CU159-CT159)*-1</f>
        <v>0</v>
      </c>
      <c r="CV288" s="3">
        <f>(CV159-CU159)*-1</f>
        <v>0</v>
      </c>
      <c r="CW288" s="3">
        <f>(CW159-CV159)*-1</f>
        <v>0</v>
      </c>
      <c r="CX288" s="3">
        <f>(CX159-CW159)*-1</f>
        <v>0</v>
      </c>
      <c r="CY288" s="3">
        <f>SUM(CU288:CX288)</f>
        <v>0</v>
      </c>
    </row>
    <row r="289" hidden="1" outlineLevel="1">
      <c r="C289" s="29" t="inlineStr">
        <is>
          <t>Prepaid expenses</t>
        </is>
      </c>
      <c r="D289" s="3" t="n"/>
      <c r="E289" s="3">
        <f>(E160-D160)*-1</f>
        <v>29.75425775</v>
      </c>
      <c r="F289" s="3">
        <f>(F160-E160)*-1</f>
        <v>19.99081284</v>
      </c>
      <c r="G289" s="3">
        <f>(G160-F160)*-1</f>
        <v>32.26516418</v>
      </c>
      <c r="H289" s="3">
        <f>SUM(D289:G289)</f>
        <v>82.01023477</v>
      </c>
      <c r="I289" s="3">
        <f>(I160-H160)*-1</f>
        <v>-96.5126463989</v>
      </c>
      <c r="J289" s="3">
        <f>(J160-I160)*-1</f>
        <v>9.3458738489</v>
      </c>
      <c r="K289" s="3">
        <f>(K160-J160)*-1</f>
        <v>30.233</v>
      </c>
      <c r="L289" s="3">
        <f>(L160-K160)*-1</f>
        <v>47.271</v>
      </c>
      <c r="M289" s="3">
        <f>SUM(I289:L289)</f>
        <v>-9.66277255</v>
      </c>
      <c r="N289" s="3">
        <f>(N160-M160)*-1</f>
        <v>-151.542</v>
      </c>
      <c r="O289" s="3">
        <f>(O160-N160)*-1</f>
        <v>29.693</v>
      </c>
      <c r="P289" s="3">
        <f>(P160-O160)*-1</f>
        <v>13.468</v>
      </c>
      <c r="Q289" s="3">
        <f>(Q160-P160)*-1</f>
        <v>77.901</v>
      </c>
      <c r="R289" s="3">
        <f>SUM(N289:Q289)</f>
        <v>-30.48</v>
      </c>
      <c r="S289" s="3">
        <f>(S160-R160)*-1</f>
        <v>-106.5596392576</v>
      </c>
      <c r="T289" s="3">
        <f>(T160-S160)*-1</f>
        <v>-143.49200385227</v>
      </c>
      <c r="U289" s="3">
        <f>(U160-T160)*-1</f>
        <v>84.21325091229</v>
      </c>
      <c r="V289" s="3">
        <f>(V160-U160)*-1</f>
        <v>136.56828711959</v>
      </c>
      <c r="W289" s="3">
        <f>SUM(S289:V289)</f>
        <v>-29.27010507799</v>
      </c>
      <c r="X289" s="3">
        <f>(X160-W160)*-1</f>
        <v>-266.03140206372</v>
      </c>
      <c r="Y289" s="3">
        <f>(Y160-X160)*-1</f>
        <v>-21.80126533252</v>
      </c>
      <c r="Z289" s="3">
        <f>(Z160-Y160)*-1</f>
        <v>95.39480727857</v>
      </c>
      <c r="AA289" s="3">
        <f>(AA160-Z160)*-1</f>
        <v>154.72240426566</v>
      </c>
      <c r="AB289" s="3">
        <f>SUM(X289:AA289)</f>
        <v>-37.71545585201</v>
      </c>
      <c r="AC289" s="3">
        <f>(AC160-AB160)*-1</f>
        <v>-371.70171255</v>
      </c>
      <c r="AD289" s="3">
        <f>(AD160-AC160)*-1</f>
        <v>28.6273576699999</v>
      </c>
      <c r="AE289" s="3">
        <f>(AE160-AD160)*-1</f>
        <v>161.62865283</v>
      </c>
      <c r="AF289" s="3">
        <f>(AF160-AE160)*-1</f>
        <v>134.91451889</v>
      </c>
      <c r="AG289" s="3">
        <f>SUM(AC289:AF289)</f>
        <v>-46.53118316</v>
      </c>
      <c r="AH289" s="3">
        <f>(AH160-AG160)*-1</f>
        <v>-369.09483308</v>
      </c>
      <c r="AI289" s="3">
        <f>(AI160-AH160)*-1</f>
        <v>105.25218465</v>
      </c>
      <c r="AJ289" s="3">
        <f>(AJ160-AI160)*-1</f>
        <v>0</v>
      </c>
      <c r="AK289" s="3">
        <f>(AK160-AJ160)*-1</f>
        <v>0</v>
      </c>
      <c r="AL289" s="3">
        <f>SUM(AH289:AK289)</f>
        <v>-263.84264843</v>
      </c>
      <c r="AM289" s="3">
        <f>(AM160-AL160)*-1</f>
        <v>0</v>
      </c>
      <c r="AN289" s="3">
        <f>(AN160-AM160)*-1</f>
        <v>0</v>
      </c>
      <c r="AO289" s="3">
        <f>(AO160-AN160)*-1</f>
        <v>0</v>
      </c>
      <c r="AP289" s="3">
        <f>(AP160-AO160)*-1</f>
        <v>0</v>
      </c>
      <c r="AQ289" s="3">
        <f>SUM(AM289:AP289)</f>
        <v>0</v>
      </c>
      <c r="AR289" s="3">
        <f>(AR160-AQ160)*-1</f>
        <v>0</v>
      </c>
      <c r="AS289" s="3">
        <f>(AS160-AR160)*-1</f>
        <v>0</v>
      </c>
      <c r="AT289" s="3">
        <f>(AT160-AS160)*-1</f>
        <v>0</v>
      </c>
      <c r="AU289" s="3">
        <f>(AU160-AT160)*-1</f>
        <v>0</v>
      </c>
      <c r="AV289" s="3">
        <f>SUM(AR289:AU289)</f>
        <v>0</v>
      </c>
      <c r="AW289" s="3">
        <f>(AW160-AV160)*-1</f>
        <v>0</v>
      </c>
      <c r="AX289" s="3">
        <f>(AX160-AW160)*-1</f>
        <v>0</v>
      </c>
      <c r="AY289" s="3">
        <f>(AY160-AX160)*-1</f>
        <v>0</v>
      </c>
      <c r="AZ289" s="3">
        <f>(AZ160-AY160)*-1</f>
        <v>0</v>
      </c>
      <c r="BA289" s="3">
        <f>SUM(AW289:AZ289)</f>
        <v>0</v>
      </c>
      <c r="BB289" s="3">
        <f>(BB160-BA160)*-1</f>
        <v>0</v>
      </c>
      <c r="BC289" s="3">
        <f>(BC160-BB160)*-1</f>
        <v>0</v>
      </c>
      <c r="BD289" s="3">
        <f>(BD160-BC160)*-1</f>
        <v>0</v>
      </c>
      <c r="BE289" s="3">
        <f>(BE160-BD160)*-1</f>
        <v>0</v>
      </c>
      <c r="BF289" s="3">
        <f>SUM(BB289:BE289)</f>
        <v>0</v>
      </c>
      <c r="BG289" s="3">
        <f>(BG160-BF160)*-1</f>
        <v>0</v>
      </c>
      <c r="BH289" s="3">
        <f>(BH160-BG160)*-1</f>
        <v>0</v>
      </c>
      <c r="BI289" s="3">
        <f>(BI160-BH160)*-1</f>
        <v>0</v>
      </c>
      <c r="BJ289" s="3">
        <f>(BJ160-BI160)*-1</f>
        <v>0</v>
      </c>
      <c r="BK289" s="3">
        <f>SUM(BG289:BJ289)</f>
        <v>0</v>
      </c>
      <c r="BL289" s="3">
        <f>(BL160-BK160)*-1</f>
        <v>0</v>
      </c>
      <c r="BM289" s="3">
        <f>(BM160-BL160)*-1</f>
        <v>0</v>
      </c>
      <c r="BN289" s="3">
        <f>(BN160-BM160)*-1</f>
        <v>0</v>
      </c>
      <c r="BO289" s="3">
        <f>(BO160-BN160)*-1</f>
        <v>0</v>
      </c>
      <c r="BP289" s="3">
        <f>SUM(BL289:BO289)</f>
        <v>0</v>
      </c>
      <c r="BQ289" s="3">
        <f>(BQ160-BP160)*-1</f>
        <v>0</v>
      </c>
      <c r="BR289" s="3">
        <f>(BR160-BQ160)*-1</f>
        <v>0</v>
      </c>
      <c r="BS289" s="3">
        <f>(BS160-BR160)*-1</f>
        <v>0</v>
      </c>
      <c r="BT289" s="3">
        <f>(BT160-BS160)*-1</f>
        <v>0</v>
      </c>
      <c r="BU289" s="3">
        <f>SUM(BQ289:BT289)</f>
        <v>0</v>
      </c>
      <c r="BV289" s="3">
        <f>(BV160-BU160)*-1</f>
        <v>0</v>
      </c>
      <c r="BW289" s="3">
        <f>(BW160-BV160)*-1</f>
        <v>0</v>
      </c>
      <c r="BX289" s="3">
        <f>(BX160-BW160)*-1</f>
        <v>0</v>
      </c>
      <c r="BY289" s="3">
        <f>(BY160-BX160)*-1</f>
        <v>0</v>
      </c>
      <c r="BZ289" s="3">
        <f>SUM(BV289:BY289)</f>
        <v>0</v>
      </c>
      <c r="CA289" s="3">
        <f>(CA160-BZ160)*-1</f>
        <v>0</v>
      </c>
      <c r="CB289" s="3">
        <f>(CB160-CA160)*-1</f>
        <v>0</v>
      </c>
      <c r="CC289" s="3">
        <f>(CC160-CB160)*-1</f>
        <v>0</v>
      </c>
      <c r="CD289" s="3">
        <f>(CD160-CC160)*-1</f>
        <v>0</v>
      </c>
      <c r="CE289" s="3">
        <f>SUM(CA289:CD289)</f>
        <v>0</v>
      </c>
      <c r="CF289" s="3">
        <f>(CF160-CE160)*-1</f>
        <v>0</v>
      </c>
      <c r="CG289" s="3">
        <f>(CG160-CF160)*-1</f>
        <v>0</v>
      </c>
      <c r="CH289" s="3">
        <f>(CH160-CG160)*-1</f>
        <v>0</v>
      </c>
      <c r="CI289" s="3">
        <f>(CI160-CH160)*-1</f>
        <v>0</v>
      </c>
      <c r="CJ289" s="3">
        <f>SUM(CF289:CI289)</f>
        <v>0</v>
      </c>
      <c r="CK289" s="3">
        <f>(CK160-CJ160)*-1</f>
        <v>0</v>
      </c>
      <c r="CL289" s="3">
        <f>(CL160-CK160)*-1</f>
        <v>0</v>
      </c>
      <c r="CM289" s="3">
        <f>(CM160-CL160)*-1</f>
        <v>0</v>
      </c>
      <c r="CN289" s="3">
        <f>(CN160-CM160)*-1</f>
        <v>0</v>
      </c>
      <c r="CO289" s="3">
        <f>SUM(CK289:CN289)</f>
        <v>0</v>
      </c>
      <c r="CP289" s="3">
        <f>(CP160-CO160)*-1</f>
        <v>0</v>
      </c>
      <c r="CQ289" s="3">
        <f>(CQ160-CP160)*-1</f>
        <v>0</v>
      </c>
      <c r="CR289" s="3">
        <f>(CR160-CQ160)*-1</f>
        <v>0</v>
      </c>
      <c r="CS289" s="3">
        <f>(CS160-CR160)*-1</f>
        <v>0</v>
      </c>
      <c r="CT289" s="3">
        <f>SUM(CP289:CS289)</f>
        <v>0</v>
      </c>
      <c r="CU289" s="3">
        <f>(CU160-CT160)*-1</f>
        <v>0</v>
      </c>
      <c r="CV289" s="3">
        <f>(CV160-CU160)*-1</f>
        <v>0</v>
      </c>
      <c r="CW289" s="3">
        <f>(CW160-CV160)*-1</f>
        <v>0</v>
      </c>
      <c r="CX289" s="3">
        <f>(CX160-CW160)*-1</f>
        <v>0</v>
      </c>
      <c r="CY289" s="3">
        <f>SUM(CU289:CX289)</f>
        <v>0</v>
      </c>
    </row>
    <row r="290" hidden="1" outlineLevel="1">
      <c r="C290" s="29" t="inlineStr">
        <is>
          <t>Other current assets</t>
        </is>
      </c>
      <c r="D290" s="3" t="n"/>
      <c r="E290" s="3">
        <f>(E161-D161)*-1</f>
        <v>-158.129483183</v>
      </c>
      <c r="F290" s="3">
        <f>(F161-E161)*-1</f>
        <v>301.44134558</v>
      </c>
      <c r="G290" s="3">
        <f>(G161-F161)*-1</f>
        <v>19.5298740183</v>
      </c>
      <c r="H290" s="3">
        <f>SUM(D290:G290)</f>
        <v>162.8417364153</v>
      </c>
      <c r="I290" s="3">
        <f>(I161-H161)*-1</f>
        <v>43.0904346268201</v>
      </c>
      <c r="J290" s="3">
        <f>(J161-I161)*-1</f>
        <v>-90.4712892421201</v>
      </c>
      <c r="K290" s="3">
        <f>(K161-J161)*-1</f>
        <v>-16.002</v>
      </c>
      <c r="L290" s="3">
        <f>(L161-K161)*-1</f>
        <v>-29.6710000000001</v>
      </c>
      <c r="M290" s="3">
        <f>SUM(I290:L290)</f>
        <v>-93.0538546153</v>
      </c>
      <c r="N290" s="3">
        <f>(N161-M161)*-1</f>
        <v>-485.796</v>
      </c>
      <c r="O290" s="3">
        <f>(O161-N161)*-1</f>
        <v>-328.039</v>
      </c>
      <c r="P290" s="3">
        <f>(P161-O161)*-1</f>
        <v>-600.528</v>
      </c>
      <c r="Q290" s="3">
        <f>(Q161-P161)*-1</f>
        <v>-195.439</v>
      </c>
      <c r="R290" s="3">
        <f>SUM(N290:Q290)</f>
        <v>-1609.802</v>
      </c>
      <c r="S290" s="3">
        <f>(S161-R161)*-1</f>
        <v>170.363022862231</v>
      </c>
      <c r="T290" s="3">
        <f>(T161-S161)*-1</f>
        <v>-174.263558964302</v>
      </c>
      <c r="U290" s="3">
        <f>(U161-T161)*-1</f>
        <v>-373.60306886037</v>
      </c>
      <c r="V290" s="3">
        <f>(V161-U161)*-1</f>
        <v>-47.2753563662509</v>
      </c>
      <c r="W290" s="3">
        <f>SUM(S290:V290)</f>
        <v>-424.778961328692</v>
      </c>
      <c r="X290" s="3">
        <f>(X161-W161)*-1</f>
        <v>-421.767257668042</v>
      </c>
      <c r="Y290" s="3">
        <f>(Y161-X161)*-1</f>
        <v>-602.428924897406</v>
      </c>
      <c r="Z290" s="3">
        <f>(Z161-Y161)*-1</f>
        <v>16.6637490602552</v>
      </c>
      <c r="AA290" s="3">
        <f>(AA161-Z161)*-1</f>
        <v>-600.182085756115</v>
      </c>
      <c r="AB290" s="3">
        <f>SUM(X290:AA290)</f>
        <v>-1607.71451926131</v>
      </c>
      <c r="AC290" s="3">
        <f>(AC161-AB161)*-1</f>
        <v>77.6684583699998</v>
      </c>
      <c r="AD290" s="3">
        <f>(AD161-AC161)*-1</f>
        <v>-608.84571757</v>
      </c>
      <c r="AE290" s="3">
        <f>(AE161-AD161)*-1</f>
        <v>467.60013308</v>
      </c>
      <c r="AF290" s="3">
        <f>(AF161-AE161)*-1</f>
        <v>800.94851707</v>
      </c>
      <c r="AG290" s="3">
        <f>SUM(AC290:AF290)</f>
        <v>737.37139095</v>
      </c>
      <c r="AH290" s="3">
        <f>(AH161-AG161)*-1</f>
        <v>-337.39415376</v>
      </c>
      <c r="AI290" s="3">
        <f>(AI161-AH161)*-1</f>
        <v>-1437.79786285</v>
      </c>
      <c r="AJ290" s="3">
        <f>(AJ161-AI161)*-1</f>
        <v>0</v>
      </c>
      <c r="AK290" s="3">
        <f>(AK161-AJ161)*-1</f>
        <v>0</v>
      </c>
      <c r="AL290" s="3">
        <f>SUM(AH290:AK290)</f>
        <v>-1775.19201661</v>
      </c>
      <c r="AM290" s="3">
        <f>(AM161-AL161)*-1</f>
        <v>0</v>
      </c>
      <c r="AN290" s="3">
        <f>(AN161-AM161)*-1</f>
        <v>0</v>
      </c>
      <c r="AO290" s="3">
        <f>(AO161-AN161)*-1</f>
        <v>0</v>
      </c>
      <c r="AP290" s="3">
        <f>(AP161-AO161)*-1</f>
        <v>0</v>
      </c>
      <c r="AQ290" s="3">
        <f>SUM(AM290:AP290)</f>
        <v>0</v>
      </c>
      <c r="AR290" s="3">
        <f>(AR161-AQ161)*-1</f>
        <v>0</v>
      </c>
      <c r="AS290" s="3">
        <f>(AS161-AR161)*-1</f>
        <v>0</v>
      </c>
      <c r="AT290" s="3">
        <f>(AT161-AS161)*-1</f>
        <v>0</v>
      </c>
      <c r="AU290" s="3">
        <f>(AU161-AT161)*-1</f>
        <v>0</v>
      </c>
      <c r="AV290" s="3">
        <f>SUM(AR290:AU290)</f>
        <v>0</v>
      </c>
      <c r="AW290" s="3">
        <f>(AW161-AV161)*-1</f>
        <v>0</v>
      </c>
      <c r="AX290" s="3">
        <f>(AX161-AW161)*-1</f>
        <v>0</v>
      </c>
      <c r="AY290" s="3">
        <f>(AY161-AX161)*-1</f>
        <v>0</v>
      </c>
      <c r="AZ290" s="3">
        <f>(AZ161-AY161)*-1</f>
        <v>0</v>
      </c>
      <c r="BA290" s="3">
        <f>SUM(AW290:AZ290)</f>
        <v>0</v>
      </c>
      <c r="BB290" s="3">
        <f>(BB161-BA161)*-1</f>
        <v>0</v>
      </c>
      <c r="BC290" s="3">
        <f>(BC161-BB161)*-1</f>
        <v>0</v>
      </c>
      <c r="BD290" s="3">
        <f>(BD161-BC161)*-1</f>
        <v>0</v>
      </c>
      <c r="BE290" s="3">
        <f>(BE161-BD161)*-1</f>
        <v>0</v>
      </c>
      <c r="BF290" s="3">
        <f>SUM(BB290:BE290)</f>
        <v>0</v>
      </c>
      <c r="BG290" s="3">
        <f>(BG161-BF161)*-1</f>
        <v>0</v>
      </c>
      <c r="BH290" s="3">
        <f>(BH161-BG161)*-1</f>
        <v>0</v>
      </c>
      <c r="BI290" s="3">
        <f>(BI161-BH161)*-1</f>
        <v>0</v>
      </c>
      <c r="BJ290" s="3">
        <f>(BJ161-BI161)*-1</f>
        <v>0</v>
      </c>
      <c r="BK290" s="3">
        <f>SUM(BG290:BJ290)</f>
        <v>0</v>
      </c>
      <c r="BL290" s="3">
        <f>(BL161-BK161)*-1</f>
        <v>0</v>
      </c>
      <c r="BM290" s="3">
        <f>(BM161-BL161)*-1</f>
        <v>0</v>
      </c>
      <c r="BN290" s="3">
        <f>(BN161-BM161)*-1</f>
        <v>0</v>
      </c>
      <c r="BO290" s="3">
        <f>(BO161-BN161)*-1</f>
        <v>0</v>
      </c>
      <c r="BP290" s="3">
        <f>SUM(BL290:BO290)</f>
        <v>0</v>
      </c>
      <c r="BQ290" s="3">
        <f>(BQ161-BP161)*-1</f>
        <v>0</v>
      </c>
      <c r="BR290" s="3">
        <f>(BR161-BQ161)*-1</f>
        <v>0</v>
      </c>
      <c r="BS290" s="3">
        <f>(BS161-BR161)*-1</f>
        <v>0</v>
      </c>
      <c r="BT290" s="3">
        <f>(BT161-BS161)*-1</f>
        <v>0</v>
      </c>
      <c r="BU290" s="3">
        <f>SUM(BQ290:BT290)</f>
        <v>0</v>
      </c>
      <c r="BV290" s="3">
        <f>(BV161-BU161)*-1</f>
        <v>0</v>
      </c>
      <c r="BW290" s="3">
        <f>(BW161-BV161)*-1</f>
        <v>0</v>
      </c>
      <c r="BX290" s="3">
        <f>(BX161-BW161)*-1</f>
        <v>0</v>
      </c>
      <c r="BY290" s="3">
        <f>(BY161-BX161)*-1</f>
        <v>0</v>
      </c>
      <c r="BZ290" s="3">
        <f>SUM(BV290:BY290)</f>
        <v>0</v>
      </c>
      <c r="CA290" s="3">
        <f>(CA161-BZ161)*-1</f>
        <v>0</v>
      </c>
      <c r="CB290" s="3">
        <f>(CB161-CA161)*-1</f>
        <v>0</v>
      </c>
      <c r="CC290" s="3">
        <f>(CC161-CB161)*-1</f>
        <v>0</v>
      </c>
      <c r="CD290" s="3">
        <f>(CD161-CC161)*-1</f>
        <v>0</v>
      </c>
      <c r="CE290" s="3">
        <f>SUM(CA290:CD290)</f>
        <v>0</v>
      </c>
      <c r="CF290" s="3">
        <f>(CF161-CE161)*-1</f>
        <v>0</v>
      </c>
      <c r="CG290" s="3">
        <f>(CG161-CF161)*-1</f>
        <v>0</v>
      </c>
      <c r="CH290" s="3">
        <f>(CH161-CG161)*-1</f>
        <v>0</v>
      </c>
      <c r="CI290" s="3">
        <f>(CI161-CH161)*-1</f>
        <v>0</v>
      </c>
      <c r="CJ290" s="3">
        <f>SUM(CF290:CI290)</f>
        <v>0</v>
      </c>
      <c r="CK290" s="3">
        <f>(CK161-CJ161)*-1</f>
        <v>0</v>
      </c>
      <c r="CL290" s="3">
        <f>(CL161-CK161)*-1</f>
        <v>0</v>
      </c>
      <c r="CM290" s="3">
        <f>(CM161-CL161)*-1</f>
        <v>0</v>
      </c>
      <c r="CN290" s="3">
        <f>(CN161-CM161)*-1</f>
        <v>0</v>
      </c>
      <c r="CO290" s="3">
        <f>SUM(CK290:CN290)</f>
        <v>0</v>
      </c>
      <c r="CP290" s="3">
        <f>(CP161-CO161)*-1</f>
        <v>0</v>
      </c>
      <c r="CQ290" s="3">
        <f>(CQ161-CP161)*-1</f>
        <v>0</v>
      </c>
      <c r="CR290" s="3">
        <f>(CR161-CQ161)*-1</f>
        <v>0</v>
      </c>
      <c r="CS290" s="3">
        <f>(CS161-CR161)*-1</f>
        <v>0</v>
      </c>
      <c r="CT290" s="3">
        <f>SUM(CP290:CS290)</f>
        <v>0</v>
      </c>
      <c r="CU290" s="3">
        <f>(CU161-CT161)*-1</f>
        <v>0</v>
      </c>
      <c r="CV290" s="3">
        <f>(CV161-CU161)*-1</f>
        <v>0</v>
      </c>
      <c r="CW290" s="3">
        <f>(CW161-CV161)*-1</f>
        <v>0</v>
      </c>
      <c r="CX290" s="3">
        <f>(CX161-CW161)*-1</f>
        <v>0</v>
      </c>
      <c r="CY290" s="3">
        <f>SUM(CU290:CX290)</f>
        <v>0</v>
      </c>
    </row>
    <row r="291" hidden="1" outlineLevel="1">
      <c r="C291" s="29" t="inlineStr">
        <is>
          <t>Accounts payable</t>
        </is>
      </c>
      <c r="D291" s="3" t="n"/>
      <c r="E291" s="3">
        <f>E204-D204</f>
        <v>-791.34247956</v>
      </c>
      <c r="F291" s="3">
        <f>F204-E204</f>
        <v>584.44668569</v>
      </c>
      <c r="G291" s="3">
        <f>G204-F204</f>
        <v>553.363663478963</v>
      </c>
      <c r="H291" s="3">
        <f>SUM(D291:G291)</f>
        <v>346.467869608963</v>
      </c>
      <c r="I291" s="3">
        <f>I204-H204</f>
        <v>-421.580926538963</v>
      </c>
      <c r="J291" s="3">
        <f>J204-I204</f>
        <v>811.599646953</v>
      </c>
      <c r="K291" s="3">
        <f>K204-J204</f>
        <v>-330.211507563</v>
      </c>
      <c r="L291" s="3">
        <f>L204-K204</f>
        <v>1282.851</v>
      </c>
      <c r="M291" s="3">
        <f>SUM(I291:L291)</f>
        <v>1342.65821285104</v>
      </c>
      <c r="N291" s="3">
        <f>N204-M204</f>
        <v>-256.078</v>
      </c>
      <c r="O291" s="3">
        <f>O204-N204</f>
        <v>1151.683</v>
      </c>
      <c r="P291" s="3">
        <f>P204-O204</f>
        <v>-425.345</v>
      </c>
      <c r="Q291" s="3">
        <f>Q204-P204</f>
        <v>2083.113</v>
      </c>
      <c r="R291" s="3">
        <f>SUM(N291:Q291)</f>
        <v>2553.373</v>
      </c>
      <c r="S291" s="3">
        <f>S204-R204</f>
        <v>-2558.5927587446</v>
      </c>
      <c r="T291" s="3">
        <f>T204-S204</f>
        <v>-1293.01939595731</v>
      </c>
      <c r="U291" s="3">
        <f>U204-T204</f>
        <v>1378.62489911258</v>
      </c>
      <c r="V291" s="3">
        <f>V204-U204</f>
        <v>3138.25746933699</v>
      </c>
      <c r="W291" s="3">
        <f>SUM(S291:V291)</f>
        <v>665.270213747655</v>
      </c>
      <c r="X291" s="3">
        <f>X204-W204</f>
        <v>-116.469711437226</v>
      </c>
      <c r="Y291" s="3">
        <f>Y204-X204</f>
        <v>-345.26539748062</v>
      </c>
      <c r="Z291" s="3">
        <f>Z204-Y204</f>
        <v>172.103712859782</v>
      </c>
      <c r="AA291" s="3">
        <f>AA204-Z204</f>
        <v>1459.34947755041</v>
      </c>
      <c r="AB291" s="3">
        <f>SUM(X291:AA291)</f>
        <v>1169.71808149235</v>
      </c>
      <c r="AC291" s="3">
        <f>AC204-AB204</f>
        <v>-1636.51599907</v>
      </c>
      <c r="AD291" s="3">
        <f>AD204-AC204</f>
        <v>677.029983590001</v>
      </c>
      <c r="AE291" s="3">
        <f>AE204-AD204</f>
        <v>-124.635115880001</v>
      </c>
      <c r="AF291" s="3">
        <f>AF204-AE204</f>
        <v>1491.7785192</v>
      </c>
      <c r="AG291" s="3">
        <f>SUM(AC291:AF291)</f>
        <v>407.657387840001</v>
      </c>
      <c r="AH291" s="3">
        <f>AH204-AG204</f>
        <v>-703.260202680001</v>
      </c>
      <c r="AI291" s="3">
        <f>AI204-AH204</f>
        <v>958.05773279</v>
      </c>
      <c r="AJ291" s="3">
        <f>AJ204-AI204</f>
        <v>-8600.61621319</v>
      </c>
      <c r="AK291" s="3">
        <f>AK204-AJ204</f>
        <v>0</v>
      </c>
      <c r="AL291" s="3">
        <f>SUM(AH291:AK291)</f>
        <v>-8345.81868308</v>
      </c>
      <c r="AM291" s="3">
        <f>AM204-AL204</f>
        <v>0</v>
      </c>
      <c r="AN291" s="3">
        <f>AN204-AM204</f>
        <v>0</v>
      </c>
      <c r="AO291" s="3">
        <f>AO204-AN204</f>
        <v>0</v>
      </c>
      <c r="AP291" s="3">
        <f>AP204-AO204</f>
        <v>0</v>
      </c>
      <c r="AQ291" s="3">
        <f>SUM(AM291:AP291)</f>
        <v>0</v>
      </c>
      <c r="AR291" s="3">
        <f>AR204-AQ204</f>
        <v>0</v>
      </c>
      <c r="AS291" s="3">
        <f>AS204-AR204</f>
        <v>0</v>
      </c>
      <c r="AT291" s="3">
        <f>AT204-AS204</f>
        <v>0</v>
      </c>
      <c r="AU291" s="3">
        <f>AU204-AT204</f>
        <v>0</v>
      </c>
      <c r="AV291" s="3">
        <f>SUM(AR291:AU291)</f>
        <v>0</v>
      </c>
      <c r="AW291" s="3">
        <f>AW204-AV204</f>
        <v>0</v>
      </c>
      <c r="AX291" s="3">
        <f>AX204-AW204</f>
        <v>0</v>
      </c>
      <c r="AY291" s="3">
        <f>AY204-AX204</f>
        <v>0</v>
      </c>
      <c r="AZ291" s="3">
        <f>AZ204-AY204</f>
        <v>0</v>
      </c>
      <c r="BA291" s="3">
        <f>SUM(AW291:AZ291)</f>
        <v>0</v>
      </c>
      <c r="BB291" s="3">
        <f>BB204-BA204</f>
        <v>0</v>
      </c>
      <c r="BC291" s="3">
        <f>BC204-BB204</f>
        <v>0</v>
      </c>
      <c r="BD291" s="3">
        <f>BD204-BC204</f>
        <v>0</v>
      </c>
      <c r="BE291" s="3">
        <f>BE204-BD204</f>
        <v>0</v>
      </c>
      <c r="BF291" s="3">
        <f>SUM(BB291:BE291)</f>
        <v>0</v>
      </c>
      <c r="BG291" s="3">
        <f>BG204-BF204</f>
        <v>0</v>
      </c>
      <c r="BH291" s="3">
        <f>BH204-BG204</f>
        <v>0</v>
      </c>
      <c r="BI291" s="3">
        <f>BI204-BH204</f>
        <v>0</v>
      </c>
      <c r="BJ291" s="3">
        <f>BJ204-BI204</f>
        <v>0</v>
      </c>
      <c r="BK291" s="3">
        <f>SUM(BG291:BJ291)</f>
        <v>0</v>
      </c>
      <c r="BL291" s="3">
        <f>BL204-BK204</f>
        <v>0</v>
      </c>
      <c r="BM291" s="3">
        <f>BM204-BL204</f>
        <v>0</v>
      </c>
      <c r="BN291" s="3">
        <f>BN204-BM204</f>
        <v>0</v>
      </c>
      <c r="BO291" s="3">
        <f>BO204-BN204</f>
        <v>0</v>
      </c>
      <c r="BP291" s="3">
        <f>SUM(BL291:BO291)</f>
        <v>0</v>
      </c>
      <c r="BQ291" s="3">
        <f>BQ204-BP204</f>
        <v>0</v>
      </c>
      <c r="BR291" s="3">
        <f>BR204-BQ204</f>
        <v>0</v>
      </c>
      <c r="BS291" s="3">
        <f>BS204-BR204</f>
        <v>0</v>
      </c>
      <c r="BT291" s="3">
        <f>BT204-BS204</f>
        <v>0</v>
      </c>
      <c r="BU291" s="3">
        <f>SUM(BQ291:BT291)</f>
        <v>0</v>
      </c>
      <c r="BV291" s="3">
        <f>BV204-BU204</f>
        <v>0</v>
      </c>
      <c r="BW291" s="3">
        <f>BW204-BV204</f>
        <v>0</v>
      </c>
      <c r="BX291" s="3">
        <f>BX204-BW204</f>
        <v>0</v>
      </c>
      <c r="BY291" s="3">
        <f>BY204-BX204</f>
        <v>0</v>
      </c>
      <c r="BZ291" s="3">
        <f>SUM(BV291:BY291)</f>
        <v>0</v>
      </c>
      <c r="CA291" s="3">
        <f>CA204-BZ204</f>
        <v>0</v>
      </c>
      <c r="CB291" s="3">
        <f>CB204-CA204</f>
        <v>0</v>
      </c>
      <c r="CC291" s="3">
        <f>CC204-CB204</f>
        <v>0</v>
      </c>
      <c r="CD291" s="3">
        <f>CD204-CC204</f>
        <v>0</v>
      </c>
      <c r="CE291" s="3">
        <f>SUM(CA291:CD291)</f>
        <v>0</v>
      </c>
      <c r="CF291" s="3">
        <f>CF204-CE204</f>
        <v>0</v>
      </c>
      <c r="CG291" s="3">
        <f>CG204-CF204</f>
        <v>0</v>
      </c>
      <c r="CH291" s="3">
        <f>CH204-CG204</f>
        <v>0</v>
      </c>
      <c r="CI291" s="3">
        <f>CI204-CH204</f>
        <v>0</v>
      </c>
      <c r="CJ291" s="3">
        <f>SUM(CF291:CI291)</f>
        <v>0</v>
      </c>
      <c r="CK291" s="3">
        <f>CK204-CJ204</f>
        <v>0</v>
      </c>
      <c r="CL291" s="3">
        <f>CL204-CK204</f>
        <v>0</v>
      </c>
      <c r="CM291" s="3">
        <f>CM204-CL204</f>
        <v>0</v>
      </c>
      <c r="CN291" s="3">
        <f>CN204-CM204</f>
        <v>0</v>
      </c>
      <c r="CO291" s="3">
        <f>SUM(CK291:CN291)</f>
        <v>0</v>
      </c>
      <c r="CP291" s="3">
        <f>CP204-CO204</f>
        <v>0</v>
      </c>
      <c r="CQ291" s="3">
        <f>CQ204-CP204</f>
        <v>0</v>
      </c>
      <c r="CR291" s="3">
        <f>CR204-CQ204</f>
        <v>0</v>
      </c>
      <c r="CS291" s="3">
        <f>CS204-CR204</f>
        <v>0</v>
      </c>
      <c r="CT291" s="3">
        <f>SUM(CP291:CS291)</f>
        <v>0</v>
      </c>
      <c r="CU291" s="3">
        <f>CU204-CT204</f>
        <v>0</v>
      </c>
      <c r="CV291" s="3">
        <f>CV204-CU204</f>
        <v>0</v>
      </c>
      <c r="CW291" s="3">
        <f>CW204-CV204</f>
        <v>0</v>
      </c>
      <c r="CX291" s="3">
        <f>CX204-CW204</f>
        <v>0</v>
      </c>
      <c r="CY291" s="3">
        <f>SUM(CU291:CX291)</f>
        <v>0</v>
      </c>
    </row>
    <row r="292" hidden="1" outlineLevel="1">
      <c r="C292" s="29" t="inlineStr">
        <is>
          <t>Accrued expenses</t>
        </is>
      </c>
      <c r="D292" s="3" t="n"/>
      <c r="E292" s="3">
        <f>E208-D208</f>
        <v>28.90336557</v>
      </c>
      <c r="F292" s="3">
        <f>F208-E208</f>
        <v>20.28278656</v>
      </c>
      <c r="G292" s="3">
        <f>G208-F208</f>
        <v>-17.593519467924</v>
      </c>
      <c r="H292" s="3">
        <f>SUM(D292:G292)</f>
        <v>31.592632662076</v>
      </c>
      <c r="I292" s="3">
        <f>I208-H208</f>
        <v>44.307539246281</v>
      </c>
      <c r="J292" s="3">
        <f>J208-I208</f>
        <v>80.758563801643</v>
      </c>
      <c r="K292" s="3">
        <f>K208-J208</f>
        <v>67.6222008</v>
      </c>
      <c r="L292" s="3">
        <f>L208-K208</f>
        <v>-54.54</v>
      </c>
      <c r="M292" s="3">
        <f>SUM(I292:L292)</f>
        <v>138.148303847924</v>
      </c>
      <c r="N292" s="3">
        <f>N208-M208</f>
        <v>55.99</v>
      </c>
      <c r="O292" s="3">
        <f>O208-N208</f>
        <v>46.268</v>
      </c>
      <c r="P292" s="3">
        <f>P208-O208</f>
        <v>147.874</v>
      </c>
      <c r="Q292" s="3">
        <f>Q208-P208</f>
        <v>-33.13</v>
      </c>
      <c r="R292" s="3">
        <f>SUM(N292:Q292)</f>
        <v>217.002</v>
      </c>
      <c r="S292" s="3">
        <f>S208-R208</f>
        <v>76.8725645398855</v>
      </c>
      <c r="T292" s="3">
        <f>T208-S208</f>
        <v>103.68159937471</v>
      </c>
      <c r="U292" s="3">
        <f>U208-T208</f>
        <v>113.554260774652</v>
      </c>
      <c r="V292" s="3">
        <f>V208-U208</f>
        <v>-191.497350367572</v>
      </c>
      <c r="W292" s="3">
        <f>SUM(S292:V292)</f>
        <v>102.611074321675</v>
      </c>
      <c r="X292" s="3">
        <f>X208-W208</f>
        <v>28.3802409969128</v>
      </c>
      <c r="Y292" s="3">
        <f>Y208-X208</f>
        <v>24.8751950308832</v>
      </c>
      <c r="Z292" s="3">
        <f>Z208-Y208</f>
        <v>79.4612977749112</v>
      </c>
      <c r="AA292" s="3">
        <f>AA208-Z208</f>
        <v>-113.186548394382</v>
      </c>
      <c r="AB292" s="3">
        <f>SUM(X292:AA292)</f>
        <v>19.5301854083251</v>
      </c>
      <c r="AC292" s="3">
        <f>AC208-AB208</f>
        <v>30.8938862799999</v>
      </c>
      <c r="AD292" s="3">
        <f>AD208-AC208</f>
        <v>83.37890128</v>
      </c>
      <c r="AE292" s="3">
        <f>AE208-AD208</f>
        <v>97.4604193499999</v>
      </c>
      <c r="AF292" s="3">
        <f>AF208-AE208</f>
        <v>-113.2613939</v>
      </c>
      <c r="AG292" s="3">
        <f>SUM(AC292:AF292)</f>
        <v>98.47181301</v>
      </c>
      <c r="AH292" s="3">
        <f>AH208-AG208</f>
        <v>282.13379231</v>
      </c>
      <c r="AI292" s="3">
        <f>AI208-AH208</f>
        <v>63.9361070300001</v>
      </c>
      <c r="AJ292" s="3">
        <f>AJ208-AI208</f>
        <v>-1191.83897208</v>
      </c>
      <c r="AK292" s="3">
        <f>AK208-AJ208</f>
        <v>0</v>
      </c>
      <c r="AL292" s="3">
        <f>SUM(AH292:AK292)</f>
        <v>-845.76907274</v>
      </c>
      <c r="AM292" s="3" t="e">
        <f>AM208-AL208</f>
        <v>#DIV/0!</v>
      </c>
      <c r="AN292" s="3" t="e">
        <f>AN208-AM208</f>
        <v>#DIV/0!</v>
      </c>
      <c r="AO292" s="3" t="e">
        <f>AO208-AN208</f>
        <v>#DIV/0!</v>
      </c>
      <c r="AP292" s="3" t="e">
        <f>AP208-AO208</f>
        <v>#DIV/0!</v>
      </c>
      <c r="AQ292" s="3" t="e">
        <f>SUM(AM292:AP292)</f>
        <v>#DIV/0!</v>
      </c>
      <c r="AR292" s="3" t="e">
        <f>AR208-AQ208</f>
        <v>#DIV/0!</v>
      </c>
      <c r="AS292" s="3" t="e">
        <f>AS208-AR208</f>
        <v>#DIV/0!</v>
      </c>
      <c r="AT292" s="3" t="e">
        <f>AT208-AS208</f>
        <v>#DIV/0!</v>
      </c>
      <c r="AU292" s="3" t="e">
        <f>AU208-AT208</f>
        <v>#DIV/0!</v>
      </c>
      <c r="AV292" s="3" t="e">
        <f>SUM(AR292:AU292)</f>
        <v>#DIV/0!</v>
      </c>
      <c r="AW292" s="3" t="e">
        <f>AW208-AV208</f>
        <v>#DIV/0!</v>
      </c>
      <c r="AX292" s="3" t="e">
        <f>AX208-AW208</f>
        <v>#DIV/0!</v>
      </c>
      <c r="AY292" s="3" t="e">
        <f>AY208-AX208</f>
        <v>#DIV/0!</v>
      </c>
      <c r="AZ292" s="3" t="e">
        <f>AZ208-AY208</f>
        <v>#DIV/0!</v>
      </c>
      <c r="BA292" s="3" t="e">
        <f>SUM(AW292:AZ292)</f>
        <v>#DIV/0!</v>
      </c>
      <c r="BB292" s="3" t="e">
        <f>BB208-BA208</f>
        <v>#DIV/0!</v>
      </c>
      <c r="BC292" s="3" t="e">
        <f>BC208-BB208</f>
        <v>#DIV/0!</v>
      </c>
      <c r="BD292" s="3" t="e">
        <f>BD208-BC208</f>
        <v>#DIV/0!</v>
      </c>
      <c r="BE292" s="3" t="e">
        <f>BE208-BD208</f>
        <v>#DIV/0!</v>
      </c>
      <c r="BF292" s="3" t="e">
        <f>SUM(BB292:BE292)</f>
        <v>#DIV/0!</v>
      </c>
      <c r="BG292" s="3" t="e">
        <f>BG208-BF208</f>
        <v>#DIV/0!</v>
      </c>
      <c r="BH292" s="3" t="e">
        <f>BH208-BG208</f>
        <v>#DIV/0!</v>
      </c>
      <c r="BI292" s="3" t="e">
        <f>BI208-BH208</f>
        <v>#DIV/0!</v>
      </c>
      <c r="BJ292" s="3" t="e">
        <f>BJ208-BI208</f>
        <v>#DIV/0!</v>
      </c>
      <c r="BK292" s="3" t="e">
        <f>SUM(BG292:BJ292)</f>
        <v>#DIV/0!</v>
      </c>
      <c r="BL292" s="3" t="e">
        <f>BL208-BK208</f>
        <v>#DIV/0!</v>
      </c>
      <c r="BM292" s="3" t="e">
        <f>BM208-BL208</f>
        <v>#DIV/0!</v>
      </c>
      <c r="BN292" s="3" t="e">
        <f>BN208-BM208</f>
        <v>#DIV/0!</v>
      </c>
      <c r="BO292" s="3" t="e">
        <f>BO208-BN208</f>
        <v>#DIV/0!</v>
      </c>
      <c r="BP292" s="3" t="e">
        <f>SUM(BL292:BO292)</f>
        <v>#DIV/0!</v>
      </c>
      <c r="BQ292" s="3" t="e">
        <f>BQ208-BP208</f>
        <v>#DIV/0!</v>
      </c>
      <c r="BR292" s="3" t="e">
        <f>BR208-BQ208</f>
        <v>#DIV/0!</v>
      </c>
      <c r="BS292" s="3" t="e">
        <f>BS208-BR208</f>
        <v>#DIV/0!</v>
      </c>
      <c r="BT292" s="3" t="e">
        <f>BT208-BS208</f>
        <v>#DIV/0!</v>
      </c>
      <c r="BU292" s="3" t="e">
        <f>SUM(BQ292:BT292)</f>
        <v>#DIV/0!</v>
      </c>
      <c r="BV292" s="3" t="e">
        <f>BV208-BU208</f>
        <v>#DIV/0!</v>
      </c>
      <c r="BW292" s="3" t="e">
        <f>BW208-BV208</f>
        <v>#DIV/0!</v>
      </c>
      <c r="BX292" s="3" t="e">
        <f>BX208-BW208</f>
        <v>#DIV/0!</v>
      </c>
      <c r="BY292" s="3" t="e">
        <f>BY208-BX208</f>
        <v>#DIV/0!</v>
      </c>
      <c r="BZ292" s="3" t="e">
        <f>SUM(BV292:BY292)</f>
        <v>#DIV/0!</v>
      </c>
      <c r="CA292" s="3" t="e">
        <f>CA208-BZ208</f>
        <v>#DIV/0!</v>
      </c>
      <c r="CB292" s="3" t="e">
        <f>CB208-CA208</f>
        <v>#DIV/0!</v>
      </c>
      <c r="CC292" s="3" t="e">
        <f>CC208-CB208</f>
        <v>#DIV/0!</v>
      </c>
      <c r="CD292" s="3" t="e">
        <f>CD208-CC208</f>
        <v>#DIV/0!</v>
      </c>
      <c r="CE292" s="3" t="e">
        <f>SUM(CA292:CD292)</f>
        <v>#DIV/0!</v>
      </c>
      <c r="CF292" s="3" t="e">
        <f>CF208-CE208</f>
        <v>#DIV/0!</v>
      </c>
      <c r="CG292" s="3" t="e">
        <f>CG208-CF208</f>
        <v>#DIV/0!</v>
      </c>
      <c r="CH292" s="3" t="e">
        <f>CH208-CG208</f>
        <v>#DIV/0!</v>
      </c>
      <c r="CI292" s="3" t="e">
        <f>CI208-CH208</f>
        <v>#DIV/0!</v>
      </c>
      <c r="CJ292" s="3" t="e">
        <f>SUM(CF292:CI292)</f>
        <v>#DIV/0!</v>
      </c>
      <c r="CK292" s="3" t="e">
        <f>CK208-CJ208</f>
        <v>#DIV/0!</v>
      </c>
      <c r="CL292" s="3" t="e">
        <f>CL208-CK208</f>
        <v>#DIV/0!</v>
      </c>
      <c r="CM292" s="3" t="e">
        <f>CM208-CL208</f>
        <v>#DIV/0!</v>
      </c>
      <c r="CN292" s="3" t="e">
        <f>CN208-CM208</f>
        <v>#DIV/0!</v>
      </c>
      <c r="CO292" s="3" t="e">
        <f>SUM(CK292:CN292)</f>
        <v>#DIV/0!</v>
      </c>
      <c r="CP292" s="3" t="e">
        <f>CP208-CO208</f>
        <v>#DIV/0!</v>
      </c>
      <c r="CQ292" s="3" t="e">
        <f>CQ208-CP208</f>
        <v>#DIV/0!</v>
      </c>
      <c r="CR292" s="3" t="e">
        <f>CR208-CQ208</f>
        <v>#DIV/0!</v>
      </c>
      <c r="CS292" s="3" t="e">
        <f>CS208-CR208</f>
        <v>#DIV/0!</v>
      </c>
      <c r="CT292" s="3" t="e">
        <f>SUM(CP292:CS292)</f>
        <v>#DIV/0!</v>
      </c>
      <c r="CU292" s="3" t="e">
        <f>CU208-CT208</f>
        <v>#DIV/0!</v>
      </c>
      <c r="CV292" s="3" t="e">
        <f>CV208-CU208</f>
        <v>#DIV/0!</v>
      </c>
      <c r="CW292" s="3" t="e">
        <f>CW208-CV208</f>
        <v>#DIV/0!</v>
      </c>
      <c r="CX292" s="3" t="e">
        <f>CX208-CW208</f>
        <v>#DIV/0!</v>
      </c>
      <c r="CY292" s="3" t="e">
        <f>SUM(CU292:CX292)</f>
        <v>#DIV/0!</v>
      </c>
    </row>
    <row r="293" hidden="1" outlineLevel="1">
      <c r="C293" s="29" t="inlineStr">
        <is>
          <t>Taxes payable</t>
        </is>
      </c>
      <c r="D293" s="3" t="n"/>
      <c r="E293" s="3">
        <f>E210-D210</f>
        <v>-44.919866077</v>
      </c>
      <c r="F293" s="3">
        <f>F210-E210</f>
        <v>4.68610862000001</v>
      </c>
      <c r="G293" s="3">
        <f>G210-F210</f>
        <v>35.559441985</v>
      </c>
      <c r="H293" s="3">
        <f>SUM(D293:G293)</f>
        <v>-4.67431547199999</v>
      </c>
      <c r="I293" s="3">
        <f>I210-H210</f>
        <v>67.8972466536</v>
      </c>
      <c r="J293" s="3">
        <f>J210-I210</f>
        <v>-0.275187784599979</v>
      </c>
      <c r="K293" s="3">
        <f>K210-J210</f>
        <v>16.095601323</v>
      </c>
      <c r="L293" s="3">
        <f>L210-K210</f>
        <v>60.39</v>
      </c>
      <c r="M293" s="3">
        <f>SUM(I293:L293)</f>
        <v>144.107660192</v>
      </c>
      <c r="N293" s="3">
        <f>N210-M210</f>
        <v>-42.297</v>
      </c>
      <c r="O293" s="3">
        <f>O210-N210</f>
        <v>81.955</v>
      </c>
      <c r="P293" s="3">
        <f>P210-O210</f>
        <v>49.629</v>
      </c>
      <c r="Q293" s="3">
        <f>Q210-P210</f>
        <v>129.782</v>
      </c>
      <c r="R293" s="3">
        <f>SUM(N293:Q293)</f>
        <v>219.069</v>
      </c>
      <c r="S293" s="3">
        <f>S210-R210</f>
        <v>-137.365637067374</v>
      </c>
      <c r="T293" s="3">
        <f>T210-S210</f>
        <v>35.2381317156731</v>
      </c>
      <c r="U293" s="3">
        <f>U210-T210</f>
        <v>39.7723184574955</v>
      </c>
      <c r="V293" s="3">
        <f>V210-U210</f>
        <v>78.0073627167653</v>
      </c>
      <c r="W293" s="3">
        <f>SUM(S293:V293)</f>
        <v>15.65217582256</v>
      </c>
      <c r="X293" s="3">
        <f>X210-W210</f>
        <v>-30.0629385002209</v>
      </c>
      <c r="Y293" s="3">
        <f>Y210-X210</f>
        <v>-7.59531268819012</v>
      </c>
      <c r="Z293" s="3">
        <f>Z210-Y210</f>
        <v>37.7408940184085</v>
      </c>
      <c r="AA293" s="3">
        <f>AA210-Z210</f>
        <v>85.7975955474425</v>
      </c>
      <c r="AB293" s="3">
        <f>SUM(X293:AA293)</f>
        <v>85.88023837744</v>
      </c>
      <c r="AC293" s="3">
        <f>AC210-AB210</f>
        <v>-80.96425641</v>
      </c>
      <c r="AD293" s="3">
        <f>AD210-AC210</f>
        <v>22.7410809899999</v>
      </c>
      <c r="AE293" s="3">
        <f>AE210-AD210</f>
        <v>8.86015973000008</v>
      </c>
      <c r="AF293" s="3">
        <f>AF210-AE210</f>
        <v>169.43158392</v>
      </c>
      <c r="AG293" s="3">
        <f>SUM(AC293:AF293)</f>
        <v>120.06856823</v>
      </c>
      <c r="AH293" s="3">
        <f>AH210-AG210</f>
        <v>-116.85326313</v>
      </c>
      <c r="AI293" s="3">
        <f>AI210-AH210</f>
        <v>69.0756612</v>
      </c>
      <c r="AJ293" s="3">
        <f>AJ210-AI210</f>
        <v>-658.9703805</v>
      </c>
      <c r="AK293" s="3">
        <f>AK210-AJ210</f>
        <v>0</v>
      </c>
      <c r="AL293" s="3">
        <f>SUM(AH293:AK293)</f>
        <v>-706.74798243</v>
      </c>
      <c r="AM293" s="3" t="e">
        <f>AM210-AL210</f>
        <v>#DIV/0!</v>
      </c>
      <c r="AN293" s="3" t="e">
        <f>AN210-AM210</f>
        <v>#DIV/0!</v>
      </c>
      <c r="AO293" s="3" t="e">
        <f>AO210-AN210</f>
        <v>#DIV/0!</v>
      </c>
      <c r="AP293" s="3" t="e">
        <f>AP210-AO210</f>
        <v>#DIV/0!</v>
      </c>
      <c r="AQ293" s="3" t="e">
        <f>SUM(AM293:AP293)</f>
        <v>#DIV/0!</v>
      </c>
      <c r="AR293" s="3" t="e">
        <f>AR210-AQ210</f>
        <v>#DIV/0!</v>
      </c>
      <c r="AS293" s="3" t="e">
        <f>AS210-AR210</f>
        <v>#DIV/0!</v>
      </c>
      <c r="AT293" s="3" t="e">
        <f>AT210-AS210</f>
        <v>#DIV/0!</v>
      </c>
      <c r="AU293" s="3" t="e">
        <f>AU210-AT210</f>
        <v>#DIV/0!</v>
      </c>
      <c r="AV293" s="3" t="e">
        <f>SUM(AR293:AU293)</f>
        <v>#DIV/0!</v>
      </c>
      <c r="AW293" s="3" t="e">
        <f>AW210-AV210</f>
        <v>#DIV/0!</v>
      </c>
      <c r="AX293" s="3" t="e">
        <f>AX210-AW210</f>
        <v>#DIV/0!</v>
      </c>
      <c r="AY293" s="3" t="e">
        <f>AY210-AX210</f>
        <v>#DIV/0!</v>
      </c>
      <c r="AZ293" s="3" t="e">
        <f>AZ210-AY210</f>
        <v>#DIV/0!</v>
      </c>
      <c r="BA293" s="3" t="e">
        <f>SUM(AW293:AZ293)</f>
        <v>#DIV/0!</v>
      </c>
      <c r="BB293" s="3" t="e">
        <f>BB210-BA210</f>
        <v>#DIV/0!</v>
      </c>
      <c r="BC293" s="3" t="e">
        <f>BC210-BB210</f>
        <v>#DIV/0!</v>
      </c>
      <c r="BD293" s="3" t="e">
        <f>BD210-BC210</f>
        <v>#DIV/0!</v>
      </c>
      <c r="BE293" s="3" t="e">
        <f>BE210-BD210</f>
        <v>#DIV/0!</v>
      </c>
      <c r="BF293" s="3" t="e">
        <f>SUM(BB293:BE293)</f>
        <v>#DIV/0!</v>
      </c>
      <c r="BG293" s="3" t="e">
        <f>BG210-BF210</f>
        <v>#DIV/0!</v>
      </c>
      <c r="BH293" s="3" t="e">
        <f>BH210-BG210</f>
        <v>#DIV/0!</v>
      </c>
      <c r="BI293" s="3" t="e">
        <f>BI210-BH210</f>
        <v>#DIV/0!</v>
      </c>
      <c r="BJ293" s="3" t="e">
        <f>BJ210-BI210</f>
        <v>#DIV/0!</v>
      </c>
      <c r="BK293" s="3" t="e">
        <f>SUM(BG293:BJ293)</f>
        <v>#DIV/0!</v>
      </c>
      <c r="BL293" s="3" t="e">
        <f>BL210-BK210</f>
        <v>#DIV/0!</v>
      </c>
      <c r="BM293" s="3" t="e">
        <f>BM210-BL210</f>
        <v>#DIV/0!</v>
      </c>
      <c r="BN293" s="3" t="e">
        <f>BN210-BM210</f>
        <v>#DIV/0!</v>
      </c>
      <c r="BO293" s="3" t="e">
        <f>BO210-BN210</f>
        <v>#DIV/0!</v>
      </c>
      <c r="BP293" s="3" t="e">
        <f>SUM(BL293:BO293)</f>
        <v>#DIV/0!</v>
      </c>
      <c r="BQ293" s="3" t="e">
        <f>BQ210-BP210</f>
        <v>#DIV/0!</v>
      </c>
      <c r="BR293" s="3" t="e">
        <f>BR210-BQ210</f>
        <v>#DIV/0!</v>
      </c>
      <c r="BS293" s="3" t="e">
        <f>BS210-BR210</f>
        <v>#DIV/0!</v>
      </c>
      <c r="BT293" s="3" t="e">
        <f>BT210-BS210</f>
        <v>#DIV/0!</v>
      </c>
      <c r="BU293" s="3" t="e">
        <f>SUM(BQ293:BT293)</f>
        <v>#DIV/0!</v>
      </c>
      <c r="BV293" s="3" t="e">
        <f>BV210-BU210</f>
        <v>#DIV/0!</v>
      </c>
      <c r="BW293" s="3" t="e">
        <f>BW210-BV210</f>
        <v>#DIV/0!</v>
      </c>
      <c r="BX293" s="3" t="e">
        <f>BX210-BW210</f>
        <v>#DIV/0!</v>
      </c>
      <c r="BY293" s="3" t="e">
        <f>BY210-BX210</f>
        <v>#DIV/0!</v>
      </c>
      <c r="BZ293" s="3" t="e">
        <f>SUM(BV293:BY293)</f>
        <v>#DIV/0!</v>
      </c>
      <c r="CA293" s="3" t="e">
        <f>CA210-BZ210</f>
        <v>#DIV/0!</v>
      </c>
      <c r="CB293" s="3" t="e">
        <f>CB210-CA210</f>
        <v>#DIV/0!</v>
      </c>
      <c r="CC293" s="3" t="e">
        <f>CC210-CB210</f>
        <v>#DIV/0!</v>
      </c>
      <c r="CD293" s="3" t="e">
        <f>CD210-CC210</f>
        <v>#DIV/0!</v>
      </c>
      <c r="CE293" s="3" t="e">
        <f>SUM(CA293:CD293)</f>
        <v>#DIV/0!</v>
      </c>
      <c r="CF293" s="3" t="e">
        <f>CF210-CE210</f>
        <v>#DIV/0!</v>
      </c>
      <c r="CG293" s="3" t="e">
        <f>CG210-CF210</f>
        <v>#DIV/0!</v>
      </c>
      <c r="CH293" s="3" t="e">
        <f>CH210-CG210</f>
        <v>#DIV/0!</v>
      </c>
      <c r="CI293" s="3" t="e">
        <f>CI210-CH210</f>
        <v>#DIV/0!</v>
      </c>
      <c r="CJ293" s="3" t="e">
        <f>SUM(CF293:CI293)</f>
        <v>#DIV/0!</v>
      </c>
      <c r="CK293" s="3" t="e">
        <f>CK210-CJ210</f>
        <v>#DIV/0!</v>
      </c>
      <c r="CL293" s="3" t="e">
        <f>CL210-CK210</f>
        <v>#DIV/0!</v>
      </c>
      <c r="CM293" s="3" t="e">
        <f>CM210-CL210</f>
        <v>#DIV/0!</v>
      </c>
      <c r="CN293" s="3" t="e">
        <f>CN210-CM210</f>
        <v>#DIV/0!</v>
      </c>
      <c r="CO293" s="3" t="e">
        <f>SUM(CK293:CN293)</f>
        <v>#DIV/0!</v>
      </c>
      <c r="CP293" s="3" t="e">
        <f>CP210-CO210</f>
        <v>#DIV/0!</v>
      </c>
      <c r="CQ293" s="3" t="e">
        <f>CQ210-CP210</f>
        <v>#DIV/0!</v>
      </c>
      <c r="CR293" s="3" t="e">
        <f>CR210-CQ210</f>
        <v>#DIV/0!</v>
      </c>
      <c r="CS293" s="3" t="e">
        <f>CS210-CR210</f>
        <v>#DIV/0!</v>
      </c>
      <c r="CT293" s="3" t="e">
        <f>SUM(CP293:CS293)</f>
        <v>#DIV/0!</v>
      </c>
      <c r="CU293" s="3" t="e">
        <f>CU210-CT210</f>
        <v>#DIV/0!</v>
      </c>
      <c r="CV293" s="3" t="e">
        <f>CV210-CU210</f>
        <v>#DIV/0!</v>
      </c>
      <c r="CW293" s="3" t="e">
        <f>CW210-CV210</f>
        <v>#DIV/0!</v>
      </c>
      <c r="CX293" s="3" t="e">
        <f>CX210-CW210</f>
        <v>#DIV/0!</v>
      </c>
      <c r="CY293" s="3" t="e">
        <f>SUM(CU293:CX293)</f>
        <v>#DIV/0!</v>
      </c>
    </row>
    <row r="294" hidden="1" outlineLevel="1">
      <c r="C294" s="29" t="inlineStr">
        <is>
          <t>Other current liabilities (non-debt)</t>
        </is>
      </c>
      <c r="D294" s="3" t="n"/>
      <c r="E294" s="3">
        <f>E211-D211</f>
        <v>-22.4324266813001</v>
      </c>
      <c r="F294" s="3">
        <f>F211-E211</f>
        <v>2.61297510000014</v>
      </c>
      <c r="G294" s="3">
        <f>G211-F211</f>
        <v>298.0581814552</v>
      </c>
      <c r="H294" s="3">
        <f>SUM(D294:G294)</f>
        <v>278.2387298739</v>
      </c>
      <c r="I294" s="3">
        <f>I211-H211</f>
        <v>86.5189925138001</v>
      </c>
      <c r="J294" s="3">
        <f>J211-I211</f>
        <v>-11.823876591</v>
      </c>
      <c r="K294" s="3">
        <f>K211-J211</f>
        <v>0.080373322000014</v>
      </c>
      <c r="L294" s="3">
        <f>L211-K211</f>
        <v>436.927</v>
      </c>
      <c r="M294" s="3">
        <f>SUM(I294:L294)</f>
        <v>511.7024892448</v>
      </c>
      <c r="N294" s="3">
        <f>N211-M211</f>
        <v>528.375</v>
      </c>
      <c r="O294" s="3">
        <f>O211-N211</f>
        <v>-176.358</v>
      </c>
      <c r="P294" s="3">
        <f>P211-O211</f>
        <v>275.759</v>
      </c>
      <c r="Q294" s="3">
        <f>Q211-P211</f>
        <v>724.224</v>
      </c>
      <c r="R294" s="3">
        <f>SUM(N294:Q294)</f>
        <v>1352</v>
      </c>
      <c r="S294" s="3">
        <f>S211-R211</f>
        <v>166.966488169189</v>
      </c>
      <c r="T294" s="3">
        <f>T211-S211</f>
        <v>134.282802275411</v>
      </c>
      <c r="U294" s="3">
        <f>U211-T211</f>
        <v>-309.396048214653</v>
      </c>
      <c r="V294" s="3">
        <f>V211-U211</f>
        <v>520.459579108654</v>
      </c>
      <c r="W294" s="3">
        <f>SUM(S294:V294)</f>
        <v>512.3128213386</v>
      </c>
      <c r="X294" s="3">
        <f>X211-W211</f>
        <v>959.431790900509</v>
      </c>
      <c r="Y294" s="3">
        <f>Y211-X211</f>
        <v>-48.1773010148686</v>
      </c>
      <c r="Z294" s="3">
        <f>Z211-Y211</f>
        <v>-265.703634274903</v>
      </c>
      <c r="AA294" s="3">
        <f>AA211-Z211</f>
        <v>511.927874900663</v>
      </c>
      <c r="AB294" s="3">
        <f>SUM(X294:AA294)</f>
        <v>1157.4787305114</v>
      </c>
      <c r="AC294" s="3">
        <f>AC211-AB211</f>
        <v>-314.99297964</v>
      </c>
      <c r="AD294" s="3">
        <f>AD211-AC211</f>
        <v>-182.15994384</v>
      </c>
      <c r="AE294" s="3">
        <f>AE211-AD211</f>
        <v>385.77097759</v>
      </c>
      <c r="AF294" s="3">
        <f>AF211-AE211</f>
        <v>489.10063925</v>
      </c>
      <c r="AG294" s="3">
        <f>SUM(AC294:AF294)</f>
        <v>377.71869336</v>
      </c>
      <c r="AH294" s="3">
        <f>AH211-AG211</f>
        <v>867.754563410001</v>
      </c>
      <c r="AI294" s="3">
        <f>AI211-AH211</f>
        <v>857.093819119999</v>
      </c>
      <c r="AJ294" s="3">
        <f>AJ211-AI211</f>
        <v>0</v>
      </c>
      <c r="AK294" s="3">
        <f>AK211-AJ211</f>
        <v>0</v>
      </c>
      <c r="AL294" s="3">
        <f>SUM(AH294:AK294)</f>
        <v>1724.84838253</v>
      </c>
      <c r="AM294" s="3">
        <f>AM211-AL211</f>
        <v>0</v>
      </c>
      <c r="AN294" s="3">
        <f>AN211-AM211</f>
        <v>0</v>
      </c>
      <c r="AO294" s="3">
        <f>AO211-AN211</f>
        <v>0</v>
      </c>
      <c r="AP294" s="3">
        <f>AP211-AO211</f>
        <v>0</v>
      </c>
      <c r="AQ294" s="3">
        <f>SUM(AM294:AP294)</f>
        <v>0</v>
      </c>
      <c r="AR294" s="3">
        <f>AR211-AQ211</f>
        <v>0</v>
      </c>
      <c r="AS294" s="3">
        <f>AS211-AR211</f>
        <v>0</v>
      </c>
      <c r="AT294" s="3">
        <f>AT211-AS211</f>
        <v>0</v>
      </c>
      <c r="AU294" s="3">
        <f>AU211-AT211</f>
        <v>0</v>
      </c>
      <c r="AV294" s="3">
        <f>SUM(AR294:AU294)</f>
        <v>0</v>
      </c>
      <c r="AW294" s="3">
        <f>AW211-AV211</f>
        <v>0</v>
      </c>
      <c r="AX294" s="3">
        <f>AX211-AW211</f>
        <v>0</v>
      </c>
      <c r="AY294" s="3">
        <f>AY211-AX211</f>
        <v>0</v>
      </c>
      <c r="AZ294" s="3">
        <f>AZ211-AY211</f>
        <v>0</v>
      </c>
      <c r="BA294" s="3">
        <f>SUM(AW294:AZ294)</f>
        <v>0</v>
      </c>
      <c r="BB294" s="3">
        <f>BB211-BA211</f>
        <v>0</v>
      </c>
      <c r="BC294" s="3">
        <f>BC211-BB211</f>
        <v>0</v>
      </c>
      <c r="BD294" s="3">
        <f>BD211-BC211</f>
        <v>0</v>
      </c>
      <c r="BE294" s="3">
        <f>BE211-BD211</f>
        <v>0</v>
      </c>
      <c r="BF294" s="3">
        <f>SUM(BB294:BE294)</f>
        <v>0</v>
      </c>
      <c r="BG294" s="3">
        <f>BG211-BF211</f>
        <v>0</v>
      </c>
      <c r="BH294" s="3">
        <f>BH211-BG211</f>
        <v>0</v>
      </c>
      <c r="BI294" s="3">
        <f>BI211-BH211</f>
        <v>0</v>
      </c>
      <c r="BJ294" s="3">
        <f>BJ211-BI211</f>
        <v>0</v>
      </c>
      <c r="BK294" s="3">
        <f>SUM(BG294:BJ294)</f>
        <v>0</v>
      </c>
      <c r="BL294" s="3">
        <f>BL211-BK211</f>
        <v>0</v>
      </c>
      <c r="BM294" s="3">
        <f>BM211-BL211</f>
        <v>0</v>
      </c>
      <c r="BN294" s="3">
        <f>BN211-BM211</f>
        <v>0</v>
      </c>
      <c r="BO294" s="3">
        <f>BO211-BN211</f>
        <v>0</v>
      </c>
      <c r="BP294" s="3">
        <f>SUM(BL294:BO294)</f>
        <v>0</v>
      </c>
      <c r="BQ294" s="3">
        <f>BQ211-BP211</f>
        <v>0</v>
      </c>
      <c r="BR294" s="3">
        <f>BR211-BQ211</f>
        <v>0</v>
      </c>
      <c r="BS294" s="3">
        <f>BS211-BR211</f>
        <v>0</v>
      </c>
      <c r="BT294" s="3">
        <f>BT211-BS211</f>
        <v>0</v>
      </c>
      <c r="BU294" s="3">
        <f>SUM(BQ294:BT294)</f>
        <v>0</v>
      </c>
      <c r="BV294" s="3">
        <f>BV211-BU211</f>
        <v>0</v>
      </c>
      <c r="BW294" s="3">
        <f>BW211-BV211</f>
        <v>0</v>
      </c>
      <c r="BX294" s="3">
        <f>BX211-BW211</f>
        <v>0</v>
      </c>
      <c r="BY294" s="3">
        <f>BY211-BX211</f>
        <v>0</v>
      </c>
      <c r="BZ294" s="3">
        <f>SUM(BV294:BY294)</f>
        <v>0</v>
      </c>
      <c r="CA294" s="3">
        <f>CA211-BZ211</f>
        <v>0</v>
      </c>
      <c r="CB294" s="3">
        <f>CB211-CA211</f>
        <v>0</v>
      </c>
      <c r="CC294" s="3">
        <f>CC211-CB211</f>
        <v>0</v>
      </c>
      <c r="CD294" s="3">
        <f>CD211-CC211</f>
        <v>0</v>
      </c>
      <c r="CE294" s="3">
        <f>SUM(CA294:CD294)</f>
        <v>0</v>
      </c>
      <c r="CF294" s="3">
        <f>CF211-CE211</f>
        <v>0</v>
      </c>
      <c r="CG294" s="3">
        <f>CG211-CF211</f>
        <v>0</v>
      </c>
      <c r="CH294" s="3">
        <f>CH211-CG211</f>
        <v>0</v>
      </c>
      <c r="CI294" s="3">
        <f>CI211-CH211</f>
        <v>0</v>
      </c>
      <c r="CJ294" s="3">
        <f>SUM(CF294:CI294)</f>
        <v>0</v>
      </c>
      <c r="CK294" s="3">
        <f>CK211-CJ211</f>
        <v>0</v>
      </c>
      <c r="CL294" s="3">
        <f>CL211-CK211</f>
        <v>0</v>
      </c>
      <c r="CM294" s="3">
        <f>CM211-CL211</f>
        <v>0</v>
      </c>
      <c r="CN294" s="3">
        <f>CN211-CM211</f>
        <v>0</v>
      </c>
      <c r="CO294" s="3">
        <f>SUM(CK294:CN294)</f>
        <v>0</v>
      </c>
      <c r="CP294" s="3">
        <f>CP211-CO211</f>
        <v>0</v>
      </c>
      <c r="CQ294" s="3">
        <f>CQ211-CP211</f>
        <v>0</v>
      </c>
      <c r="CR294" s="3">
        <f>CR211-CQ211</f>
        <v>0</v>
      </c>
      <c r="CS294" s="3">
        <f>CS211-CR211</f>
        <v>0</v>
      </c>
      <c r="CT294" s="3">
        <f>SUM(CP294:CS294)</f>
        <v>0</v>
      </c>
      <c r="CU294" s="3">
        <f>CU211-CT211</f>
        <v>0</v>
      </c>
      <c r="CV294" s="3">
        <f>CV211-CU211</f>
        <v>0</v>
      </c>
      <c r="CW294" s="3">
        <f>CW211-CV211</f>
        <v>0</v>
      </c>
      <c r="CX294" s="3">
        <f>CX211-CW211</f>
        <v>0</v>
      </c>
      <c r="CY294" s="3">
        <f>SUM(CU294:CX294)</f>
        <v>0</v>
      </c>
    </row>
    <row r="295" hidden="1" outlineLevel="1">
      <c r="C295" s="29" t="inlineStr">
        <is>
          <t>Deferred income taxes</t>
        </is>
      </c>
      <c r="D295" s="3" t="n"/>
      <c r="E295" s="3">
        <f>E245-D245</f>
        <v>-14.58765755</v>
      </c>
      <c r="F295" s="3">
        <f>F245-E245</f>
        <v>47.38422683</v>
      </c>
      <c r="G295" s="3">
        <f>G245-F245</f>
        <v>134.794</v>
      </c>
      <c r="H295" s="3">
        <f>SUM(D295:G295)</f>
        <v>167.59056928</v>
      </c>
      <c r="I295" s="3">
        <f>I245-H245</f>
        <v>4.27100000000007</v>
      </c>
      <c r="J295" s="3">
        <f>J245-I245</f>
        <v>135.486803474</v>
      </c>
      <c r="K295" s="3">
        <f>K245-J245</f>
        <v>191.027196526</v>
      </c>
      <c r="L295" s="3">
        <f>L245-K245</f>
        <v>86.3300000000002</v>
      </c>
      <c r="M295" s="3">
        <f>SUM(I295:L295)</f>
        <v>417.115</v>
      </c>
      <c r="N295" s="3">
        <f>N245-M245</f>
        <v>-11.4330000000002</v>
      </c>
      <c r="O295" s="3">
        <f>O245-N245</f>
        <v>119.768</v>
      </c>
      <c r="P295" s="3">
        <f>P245-O245</f>
        <v>74.539</v>
      </c>
      <c r="Q295" s="3">
        <f>Q245-P245</f>
        <v>-15.4699999999998</v>
      </c>
      <c r="R295" s="3">
        <f>SUM(N295:Q295)</f>
        <v>167.404</v>
      </c>
      <c r="S295" s="3">
        <f>S245-R245</f>
        <v>183.6175267574</v>
      </c>
      <c r="T295" s="3">
        <f>T245-S245</f>
        <v>128.6583179494</v>
      </c>
      <c r="U295" s="3">
        <f>U245-T245</f>
        <v>-5.22822675180009</v>
      </c>
      <c r="V295" s="3">
        <f>V245-U245</f>
        <v>-18.254355347</v>
      </c>
      <c r="W295" s="3">
        <f>SUM(S295:V295)</f>
        <v>288.793262608</v>
      </c>
      <c r="X295" s="3">
        <f>X245-W245</f>
        <v>120.511008151</v>
      </c>
      <c r="Y295" s="3">
        <f>Y245-X245</f>
        <v>64.5234648410001</v>
      </c>
      <c r="Z295" s="3">
        <f>Z245-Y245</f>
        <v>240.855690264</v>
      </c>
      <c r="AA295" s="3">
        <f>AA245-Z245</f>
        <v>-327.435516424</v>
      </c>
      <c r="AB295" s="3">
        <f>SUM(X295:AA295)</f>
        <v>98.454646832</v>
      </c>
      <c r="AC295" s="3">
        <f>AC245-AB245</f>
        <v>-1.64512122999986</v>
      </c>
      <c r="AD295" s="3">
        <f>AD245-AC245</f>
        <v>69.04858195</v>
      </c>
      <c r="AE295" s="3">
        <f>AE245-AD245</f>
        <v>36.9596931900001</v>
      </c>
      <c r="AF295" s="3">
        <f>AF245-AE245</f>
        <v>197.93800543</v>
      </c>
      <c r="AG295" s="3">
        <f>SUM(AC295:AF295)</f>
        <v>302.30115934</v>
      </c>
      <c r="AH295" s="3">
        <f>AH245-AG245</f>
        <v>88.49634926</v>
      </c>
      <c r="AI295" s="3">
        <f>AI245-AH245</f>
        <v>20.32081427</v>
      </c>
      <c r="AJ295" s="3">
        <f>AJ245-AI245</f>
        <v>0</v>
      </c>
      <c r="AK295" s="3">
        <f>AK245-AJ245</f>
        <v>0</v>
      </c>
      <c r="AL295" s="3">
        <f>SUM(AH295:AK295)</f>
        <v>108.81716353</v>
      </c>
      <c r="AM295" s="3">
        <f>AM245-AL245</f>
        <v>0</v>
      </c>
      <c r="AN295" s="3">
        <f>AN245-AM245</f>
        <v>0</v>
      </c>
      <c r="AO295" s="3">
        <f>AO245-AN245</f>
        <v>0</v>
      </c>
      <c r="AP295" s="3">
        <f>AP245-AO245</f>
        <v>0</v>
      </c>
      <c r="AQ295" s="3">
        <f>SUM(AM295:AP295)</f>
        <v>0</v>
      </c>
      <c r="AR295" s="3">
        <f>AR245-AQ245</f>
        <v>0</v>
      </c>
      <c r="AS295" s="3">
        <f>AS245-AR245</f>
        <v>0</v>
      </c>
      <c r="AT295" s="3">
        <f>AT245-AS245</f>
        <v>0</v>
      </c>
      <c r="AU295" s="3">
        <f>AU245-AT245</f>
        <v>0</v>
      </c>
      <c r="AV295" s="3">
        <f>SUM(AR295:AU295)</f>
        <v>0</v>
      </c>
      <c r="AW295" s="3">
        <f>AW245-AV245</f>
        <v>0</v>
      </c>
      <c r="AX295" s="3">
        <f>AX245-AW245</f>
        <v>0</v>
      </c>
      <c r="AY295" s="3">
        <f>AY245-AX245</f>
        <v>0</v>
      </c>
      <c r="AZ295" s="3">
        <f>AZ245-AY245</f>
        <v>0</v>
      </c>
      <c r="BA295" s="3">
        <f>SUM(AW295:AZ295)</f>
        <v>0</v>
      </c>
      <c r="BB295" s="3">
        <f>BB245-BA245</f>
        <v>0</v>
      </c>
      <c r="BC295" s="3">
        <f>BC245-BB245</f>
        <v>0</v>
      </c>
      <c r="BD295" s="3">
        <f>BD245-BC245</f>
        <v>0</v>
      </c>
      <c r="BE295" s="3">
        <f>BE245-BD245</f>
        <v>0</v>
      </c>
      <c r="BF295" s="3">
        <f>SUM(BB295:BE295)</f>
        <v>0</v>
      </c>
      <c r="BG295" s="3">
        <f>BG245-BF245</f>
        <v>0</v>
      </c>
      <c r="BH295" s="3">
        <f>BH245-BG245</f>
        <v>0</v>
      </c>
      <c r="BI295" s="3">
        <f>BI245-BH245</f>
        <v>0</v>
      </c>
      <c r="BJ295" s="3">
        <f>BJ245-BI245</f>
        <v>0</v>
      </c>
      <c r="BK295" s="3">
        <f>SUM(BG295:BJ295)</f>
        <v>0</v>
      </c>
      <c r="BL295" s="3">
        <f>BL245-BK245</f>
        <v>0</v>
      </c>
      <c r="BM295" s="3">
        <f>BM245-BL245</f>
        <v>0</v>
      </c>
      <c r="BN295" s="3">
        <f>BN245-BM245</f>
        <v>0</v>
      </c>
      <c r="BO295" s="3">
        <f>BO245-BN245</f>
        <v>0</v>
      </c>
      <c r="BP295" s="3">
        <f>SUM(BL295:BO295)</f>
        <v>0</v>
      </c>
      <c r="BQ295" s="3">
        <f>BQ245-BP245</f>
        <v>0</v>
      </c>
      <c r="BR295" s="3">
        <f>BR245-BQ245</f>
        <v>0</v>
      </c>
      <c r="BS295" s="3">
        <f>BS245-BR245</f>
        <v>0</v>
      </c>
      <c r="BT295" s="3">
        <f>BT245-BS245</f>
        <v>0</v>
      </c>
      <c r="BU295" s="3">
        <f>SUM(BQ295:BT295)</f>
        <v>0</v>
      </c>
      <c r="BV295" s="3">
        <f>BV245-BU245</f>
        <v>0</v>
      </c>
      <c r="BW295" s="3">
        <f>BW245-BV245</f>
        <v>0</v>
      </c>
      <c r="BX295" s="3">
        <f>BX245-BW245</f>
        <v>0</v>
      </c>
      <c r="BY295" s="3">
        <f>BY245-BX245</f>
        <v>0</v>
      </c>
      <c r="BZ295" s="3">
        <f>SUM(BV295:BY295)</f>
        <v>0</v>
      </c>
      <c r="CA295" s="3">
        <f>CA245-BZ245</f>
        <v>0</v>
      </c>
      <c r="CB295" s="3">
        <f>CB245-CA245</f>
        <v>0</v>
      </c>
      <c r="CC295" s="3">
        <f>CC245-CB245</f>
        <v>0</v>
      </c>
      <c r="CD295" s="3">
        <f>CD245-CC245</f>
        <v>0</v>
      </c>
      <c r="CE295" s="3">
        <f>SUM(CA295:CD295)</f>
        <v>0</v>
      </c>
      <c r="CF295" s="3">
        <f>CF245-CE245</f>
        <v>0</v>
      </c>
      <c r="CG295" s="3">
        <f>CG245-CF245</f>
        <v>0</v>
      </c>
      <c r="CH295" s="3">
        <f>CH245-CG245</f>
        <v>0</v>
      </c>
      <c r="CI295" s="3">
        <f>CI245-CH245</f>
        <v>0</v>
      </c>
      <c r="CJ295" s="3">
        <f>SUM(CF295:CI295)</f>
        <v>0</v>
      </c>
      <c r="CK295" s="3">
        <f>CK245-CJ245</f>
        <v>0</v>
      </c>
      <c r="CL295" s="3">
        <f>CL245-CK245</f>
        <v>0</v>
      </c>
      <c r="CM295" s="3">
        <f>CM245-CL245</f>
        <v>0</v>
      </c>
      <c r="CN295" s="3">
        <f>CN245-CM245</f>
        <v>0</v>
      </c>
      <c r="CO295" s="3">
        <f>SUM(CK295:CN295)</f>
        <v>0</v>
      </c>
      <c r="CP295" s="3">
        <f>CP245-CO245</f>
        <v>0</v>
      </c>
      <c r="CQ295" s="3">
        <f>CQ245-CP245</f>
        <v>0</v>
      </c>
      <c r="CR295" s="3">
        <f>CR245-CQ245</f>
        <v>0</v>
      </c>
      <c r="CS295" s="3">
        <f>CS245-CR245</f>
        <v>0</v>
      </c>
      <c r="CT295" s="3">
        <f>SUM(CP295:CS295)</f>
        <v>0</v>
      </c>
      <c r="CU295" s="3">
        <f>CU245-CT245</f>
        <v>0</v>
      </c>
      <c r="CV295" s="3">
        <f>CV245-CU245</f>
        <v>0</v>
      </c>
      <c r="CW295" s="3">
        <f>CW245-CV245</f>
        <v>0</v>
      </c>
      <c r="CX295" s="3">
        <f>CX245-CW245</f>
        <v>0</v>
      </c>
      <c r="CY295" s="3">
        <f>SUM(CU295:CX295)</f>
        <v>0</v>
      </c>
    </row>
    <row r="296" collapsed="1">
      <c r="C296" s="29" t="inlineStr">
        <is>
          <t>Equity income in affiliates</t>
        </is>
      </c>
      <c r="D296" s="3" t="n"/>
      <c r="E296" s="3">
        <f>(E167-D167)*-1</f>
        <v>-1.8276588700956</v>
      </c>
      <c r="F296" s="3">
        <f>(F167-E167)*-1</f>
        <v>-5.3252184320664</v>
      </c>
      <c r="G296" s="3">
        <f>(G167-F167)*-1</f>
        <v>-2.9136009079336</v>
      </c>
      <c r="H296" s="3">
        <f>SUM(D296:G296)</f>
        <v>-10.0664782100956</v>
      </c>
      <c r="I296" s="3">
        <f>(I167-H167)*-1</f>
        <v>-2.431</v>
      </c>
      <c r="J296" s="3">
        <f>(J167-I167)*-1</f>
        <v>-3.126</v>
      </c>
      <c r="K296" s="3">
        <f>(K167-J167)*-1</f>
        <v>-2.837</v>
      </c>
      <c r="L296" s="3">
        <f>(L167-K167)*-1</f>
        <v>-5.27</v>
      </c>
      <c r="M296" s="3">
        <f>SUM(I296:L296)</f>
        <v>-13.664</v>
      </c>
      <c r="N296" s="3">
        <f>(N167-M167)*-1</f>
        <v>0.689</v>
      </c>
      <c r="O296" s="3">
        <f>(O167-N167)*-1</f>
        <v>1.555</v>
      </c>
      <c r="P296" s="3">
        <f>(P167-O167)*-1</f>
        <v>-4.573</v>
      </c>
      <c r="Q296" s="3">
        <f>(Q167-P167)*-1</f>
        <v>-1.447</v>
      </c>
      <c r="R296" s="3">
        <f>SUM(N296:Q296)</f>
        <v>-3.776</v>
      </c>
      <c r="S296" s="3">
        <f>(S167-R167)*-1</f>
        <v>0.0291053188392993</v>
      </c>
      <c r="T296" s="3">
        <f>(T167-S167)*-1</f>
        <v>-1.1111940234836</v>
      </c>
      <c r="U296" s="3">
        <f>(U167-T167)*-1</f>
        <v>-0.259400570091799</v>
      </c>
      <c r="V296" s="3">
        <f>(V167-U167)*-1</f>
        <v>-2.8573263303289</v>
      </c>
      <c r="W296" s="3">
        <f>SUM(S296:V296)</f>
        <v>-4.198815605065</v>
      </c>
      <c r="X296" s="3">
        <f>(X167-W167)*-1</f>
        <v>1.57773154476299</v>
      </c>
      <c r="Y296" s="3">
        <f>(Y167-X167)*-1</f>
        <v>1.05287770665016</v>
      </c>
      <c r="Z296" s="3">
        <f>(Z167-Y167)*-1</f>
        <v>-3.22897124827652</v>
      </c>
      <c r="AA296" s="3">
        <f>(AA167-Z167)*-1</f>
        <v>-3.65410560807158</v>
      </c>
      <c r="AB296" s="3">
        <f>SUM(X296:AA296)</f>
        <v>-4.25246760493494</v>
      </c>
      <c r="AC296" s="3">
        <f>(AC167-AB167)*-1</f>
        <v>0.593561559999856</v>
      </c>
      <c r="AD296" s="3">
        <f>(AD167-AC167)*-1</f>
        <v>-0.20498625000009</v>
      </c>
      <c r="AE296" s="3">
        <f>(AE167-AD167)*-1</f>
        <v>4.05112472999991</v>
      </c>
      <c r="AF296" s="3">
        <f>(AF167-AE167)*-1</f>
        <v>-5.38280622999974</v>
      </c>
      <c r="AG296" s="3">
        <f>SUM(AC296:AF296)</f>
        <v>-0.943106190000066</v>
      </c>
      <c r="AH296" s="3">
        <f>(AH167-AG167)*-1</f>
        <v>-3.52799513999999</v>
      </c>
      <c r="AI296" s="3">
        <f>(AI167-AH167)*-1</f>
        <v>-0.224431460000005</v>
      </c>
      <c r="AJ296" s="3">
        <f>(AJ167-AI167)*-1</f>
        <v>0</v>
      </c>
      <c r="AK296" s="3">
        <f>(AK167-AJ167)*-1</f>
        <v>0</v>
      </c>
      <c r="AL296" s="3">
        <f>SUM(AH296:AK296)</f>
        <v>-3.7524266</v>
      </c>
      <c r="AM296" s="3">
        <f>(AM167-AL167)*-1</f>
        <v>0</v>
      </c>
      <c r="AN296" s="3">
        <f>(AN167-AM167)*-1</f>
        <v>0</v>
      </c>
      <c r="AO296" s="3">
        <f>(AO167-AN167)*-1</f>
        <v>0</v>
      </c>
      <c r="AP296" s="3">
        <f>(AP167-AO167)*-1</f>
        <v>0</v>
      </c>
      <c r="AQ296" s="3">
        <f>SUM(AM296:AP296)</f>
        <v>0</v>
      </c>
      <c r="AR296" s="3">
        <f>(AR167-AQ167)*-1</f>
        <v>0</v>
      </c>
      <c r="AS296" s="3">
        <f>(AS167-AR167)*-1</f>
        <v>0</v>
      </c>
      <c r="AT296" s="3">
        <f>(AT167-AS167)*-1</f>
        <v>0</v>
      </c>
      <c r="AU296" s="3">
        <f>(AU167-AT167)*-1</f>
        <v>0</v>
      </c>
      <c r="AV296" s="3">
        <f>SUM(AR296:AU296)</f>
        <v>0</v>
      </c>
      <c r="AW296" s="3">
        <f>(AW167-AV167)*-1</f>
        <v>0</v>
      </c>
      <c r="AX296" s="3">
        <f>(AX167-AW167)*-1</f>
        <v>0</v>
      </c>
      <c r="AY296" s="3">
        <f>(AY167-AX167)*-1</f>
        <v>0</v>
      </c>
      <c r="AZ296" s="3">
        <f>(AZ167-AY167)*-1</f>
        <v>0</v>
      </c>
      <c r="BA296" s="3">
        <f>SUM(AW296:AZ296)</f>
        <v>0</v>
      </c>
      <c r="BB296" s="3">
        <f>(BB167-BA167)*-1</f>
        <v>0</v>
      </c>
      <c r="BC296" s="3">
        <f>(BC167-BB167)*-1</f>
        <v>0</v>
      </c>
      <c r="BD296" s="3">
        <f>(BD167-BC167)*-1</f>
        <v>0</v>
      </c>
      <c r="BE296" s="3">
        <f>(BE167-BD167)*-1</f>
        <v>0</v>
      </c>
      <c r="BF296" s="3">
        <f>SUM(BB296:BE296)</f>
        <v>0</v>
      </c>
      <c r="BG296" s="3">
        <f>(BG167-BF167)*-1</f>
        <v>0</v>
      </c>
      <c r="BH296" s="3">
        <f>(BH167-BG167)*-1</f>
        <v>0</v>
      </c>
      <c r="BI296" s="3">
        <f>(BI167-BH167)*-1</f>
        <v>0</v>
      </c>
      <c r="BJ296" s="3">
        <f>(BJ167-BI167)*-1</f>
        <v>0</v>
      </c>
      <c r="BK296" s="3">
        <f>SUM(BG296:BJ296)</f>
        <v>0</v>
      </c>
      <c r="BL296" s="3">
        <f>(BL167-BK167)*-1</f>
        <v>0</v>
      </c>
      <c r="BM296" s="3">
        <f>(BM167-BL167)*-1</f>
        <v>0</v>
      </c>
      <c r="BN296" s="3">
        <f>(BN167-BM167)*-1</f>
        <v>0</v>
      </c>
      <c r="BO296" s="3">
        <f>(BO167-BN167)*-1</f>
        <v>0</v>
      </c>
      <c r="BP296" s="3">
        <f>SUM(BL296:BO296)</f>
        <v>0</v>
      </c>
      <c r="BQ296" s="3">
        <f>(BQ167-BP167)*-1</f>
        <v>0</v>
      </c>
      <c r="BR296" s="3">
        <f>(BR167-BQ167)*-1</f>
        <v>0</v>
      </c>
      <c r="BS296" s="3">
        <f>(BS167-BR167)*-1</f>
        <v>0</v>
      </c>
      <c r="BT296" s="3">
        <f>(BT167-BS167)*-1</f>
        <v>0</v>
      </c>
      <c r="BU296" s="3">
        <f>SUM(BQ296:BT296)</f>
        <v>0</v>
      </c>
      <c r="BV296" s="3">
        <f>(BV167-BU167)*-1</f>
        <v>0</v>
      </c>
      <c r="BW296" s="3">
        <f>(BW167-BV167)*-1</f>
        <v>0</v>
      </c>
      <c r="BX296" s="3">
        <f>(BX167-BW167)*-1</f>
        <v>0</v>
      </c>
      <c r="BY296" s="3">
        <f>(BY167-BX167)*-1</f>
        <v>0</v>
      </c>
      <c r="BZ296" s="3">
        <f>SUM(BV296:BY296)</f>
        <v>0</v>
      </c>
      <c r="CA296" s="3">
        <f>(CA167-BZ167)*-1</f>
        <v>0</v>
      </c>
      <c r="CB296" s="3">
        <f>(CB167-CA167)*-1</f>
        <v>0</v>
      </c>
      <c r="CC296" s="3">
        <f>(CC167-CB167)*-1</f>
        <v>0</v>
      </c>
      <c r="CD296" s="3">
        <f>(CD167-CC167)*-1</f>
        <v>0</v>
      </c>
      <c r="CE296" s="3">
        <f>SUM(CA296:CD296)</f>
        <v>0</v>
      </c>
      <c r="CF296" s="3">
        <f>(CF167-CE167)*-1</f>
        <v>0</v>
      </c>
      <c r="CG296" s="3">
        <f>(CG167-CF167)*-1</f>
        <v>0</v>
      </c>
      <c r="CH296" s="3">
        <f>(CH167-CG167)*-1</f>
        <v>0</v>
      </c>
      <c r="CI296" s="3">
        <f>(CI167-CH167)*-1</f>
        <v>0</v>
      </c>
      <c r="CJ296" s="3">
        <f>SUM(CF296:CI296)</f>
        <v>0</v>
      </c>
      <c r="CK296" s="3">
        <f>(CK167-CJ167)*-1</f>
        <v>0</v>
      </c>
      <c r="CL296" s="3">
        <f>(CL167-CK167)*-1</f>
        <v>0</v>
      </c>
      <c r="CM296" s="3">
        <f>(CM167-CL167)*-1</f>
        <v>0</v>
      </c>
      <c r="CN296" s="3">
        <f>(CN167-CM167)*-1</f>
        <v>0</v>
      </c>
      <c r="CO296" s="3">
        <f>SUM(CK296:CN296)</f>
        <v>0</v>
      </c>
      <c r="CP296" s="3">
        <f>(CP167-CO167)*-1</f>
        <v>0</v>
      </c>
      <c r="CQ296" s="3">
        <f>(CQ167-CP167)*-1</f>
        <v>0</v>
      </c>
      <c r="CR296" s="3">
        <f>(CR167-CQ167)*-1</f>
        <v>0</v>
      </c>
      <c r="CS296" s="3">
        <f>(CS167-CR167)*-1</f>
        <v>0</v>
      </c>
      <c r="CT296" s="3">
        <f>SUM(CP296:CS296)</f>
        <v>0</v>
      </c>
      <c r="CU296" s="3">
        <f>(CU167-CT167)*-1</f>
        <v>0</v>
      </c>
      <c r="CV296" s="3">
        <f>(CV167-CU167)*-1</f>
        <v>0</v>
      </c>
      <c r="CW296" s="3">
        <f>(CW167-CV167)*-1</f>
        <v>0</v>
      </c>
      <c r="CX296" s="3">
        <f>(CX167-CW167)*-1</f>
        <v>0</v>
      </c>
      <c r="CY296" s="3">
        <f>SUM(CU296:CX296)</f>
        <v>0</v>
      </c>
    </row>
    <row r="297">
      <c r="C297" s="29" t="inlineStr">
        <is>
          <t>Dividends received from affiliates</t>
        </is>
      </c>
      <c r="D297" s="3" t="n"/>
      <c r="E297" s="3">
        <f>-E170</f>
        <v>0</v>
      </c>
      <c r="F297" s="3">
        <f>-F170</f>
        <v>0</v>
      </c>
      <c r="G297" s="3">
        <f>-G170</f>
        <v>0</v>
      </c>
      <c r="H297" s="3">
        <f>SUM(D297:G297)</f>
        <v>0</v>
      </c>
      <c r="I297" s="3">
        <f>-I170</f>
        <v>0</v>
      </c>
      <c r="J297" s="3">
        <f>-J170</f>
        <v>0</v>
      </c>
      <c r="K297" s="3">
        <f>-K170</f>
        <v>0</v>
      </c>
      <c r="L297" s="3">
        <f>-L170</f>
        <v>0</v>
      </c>
      <c r="M297" s="3">
        <f>SUM(I297:L297)</f>
        <v>0</v>
      </c>
      <c r="N297" s="3">
        <f>-N170</f>
        <v>0</v>
      </c>
      <c r="O297" s="3">
        <f>-O170</f>
        <v>0</v>
      </c>
      <c r="P297" s="3">
        <f>-P170</f>
        <v>0</v>
      </c>
      <c r="Q297" s="3">
        <f>-Q170</f>
        <v>0</v>
      </c>
      <c r="R297" s="3">
        <f>SUM(N297:Q297)</f>
        <v>0</v>
      </c>
      <c r="S297" s="3">
        <f>-S170</f>
        <v>0</v>
      </c>
      <c r="T297" s="3">
        <f>-T170</f>
        <v>0</v>
      </c>
      <c r="U297" s="3">
        <f>-U170</f>
        <v>0</v>
      </c>
      <c r="V297" s="3">
        <f>-V170</f>
        <v>0</v>
      </c>
      <c r="W297" s="3">
        <f>SUM(S297:V297)</f>
        <v>0</v>
      </c>
      <c r="X297" s="3">
        <f>-X170</f>
        <v>0</v>
      </c>
      <c r="Y297" s="3">
        <f>-Y170</f>
        <v>0</v>
      </c>
      <c r="Z297" s="3">
        <f>-Z170</f>
        <v>0</v>
      </c>
      <c r="AA297" s="3">
        <f>-AA170</f>
        <v>0</v>
      </c>
      <c r="AB297" s="3">
        <f>SUM(X297:AA297)</f>
        <v>0</v>
      </c>
      <c r="AC297" s="3">
        <f>-AC170</f>
        <v>0</v>
      </c>
      <c r="AD297" s="3">
        <f>-AD170</f>
        <v>0</v>
      </c>
      <c r="AE297" s="3">
        <f>-AE170</f>
        <v>0</v>
      </c>
      <c r="AF297" s="3">
        <f>-AF170</f>
        <v>0</v>
      </c>
      <c r="AG297" s="3">
        <f>SUM(AC297:AF297)</f>
        <v>0</v>
      </c>
      <c r="AH297" s="3">
        <f>-AH170</f>
        <v>0</v>
      </c>
      <c r="AI297" s="3">
        <f>-AI170</f>
        <v>0</v>
      </c>
      <c r="AJ297" s="3">
        <f>-AJ170</f>
        <v>0</v>
      </c>
      <c r="AK297" s="3">
        <f>-AK170</f>
        <v>0</v>
      </c>
      <c r="AL297" s="3">
        <f>SUM(AH297:AK297)</f>
        <v>0</v>
      </c>
      <c r="AM297" s="3">
        <f>-AM170</f>
        <v>0</v>
      </c>
      <c r="AN297" s="3">
        <f>-AN170</f>
        <v>0</v>
      </c>
      <c r="AO297" s="3">
        <f>-AO170</f>
        <v>0</v>
      </c>
      <c r="AP297" s="3">
        <f>-AP170</f>
        <v>0</v>
      </c>
      <c r="AQ297" s="3">
        <f>SUM(AM297:AP297)</f>
        <v>0</v>
      </c>
      <c r="AR297" s="3">
        <f>-AR170</f>
        <v>0</v>
      </c>
      <c r="AS297" s="3">
        <f>-AS170</f>
        <v>0</v>
      </c>
      <c r="AT297" s="3">
        <f>-AT170</f>
        <v>0</v>
      </c>
      <c r="AU297" s="3">
        <f>-AU170</f>
        <v>0</v>
      </c>
      <c r="AV297" s="3">
        <f>SUM(AR297:AU297)</f>
        <v>0</v>
      </c>
      <c r="AW297" s="3">
        <f>-AW170</f>
        <v>0</v>
      </c>
      <c r="AX297" s="3">
        <f>-AX170</f>
        <v>0</v>
      </c>
      <c r="AY297" s="3">
        <f>-AY170</f>
        <v>0</v>
      </c>
      <c r="AZ297" s="3">
        <f>-AZ170</f>
        <v>0</v>
      </c>
      <c r="BA297" s="3">
        <f>SUM(AW297:AZ297)</f>
        <v>0</v>
      </c>
      <c r="BB297" s="3">
        <f>-BB170</f>
        <v>0</v>
      </c>
      <c r="BC297" s="3">
        <f>-BC170</f>
        <v>0</v>
      </c>
      <c r="BD297" s="3">
        <f>-BD170</f>
        <v>0</v>
      </c>
      <c r="BE297" s="3">
        <f>-BE170</f>
        <v>0</v>
      </c>
      <c r="BF297" s="3">
        <f>SUM(BB297:BE297)</f>
        <v>0</v>
      </c>
      <c r="BG297" s="3">
        <f>-BG170</f>
        <v>0</v>
      </c>
      <c r="BH297" s="3">
        <f>-BH170</f>
        <v>0</v>
      </c>
      <c r="BI297" s="3">
        <f>-BI170</f>
        <v>0</v>
      </c>
      <c r="BJ297" s="3">
        <f>-BJ170</f>
        <v>0</v>
      </c>
      <c r="BK297" s="3">
        <f>SUM(BG297:BJ297)</f>
        <v>0</v>
      </c>
      <c r="BL297" s="3">
        <f>-BL170</f>
        <v>0</v>
      </c>
      <c r="BM297" s="3">
        <f>-BM170</f>
        <v>0</v>
      </c>
      <c r="BN297" s="3">
        <f>-BN170</f>
        <v>0</v>
      </c>
      <c r="BO297" s="3">
        <f>-BO170</f>
        <v>0</v>
      </c>
      <c r="BP297" s="3">
        <f>SUM(BL297:BO297)</f>
        <v>0</v>
      </c>
      <c r="BQ297" s="3">
        <f>-BQ170</f>
        <v>0</v>
      </c>
      <c r="BR297" s="3">
        <f>-BR170</f>
        <v>0</v>
      </c>
      <c r="BS297" s="3">
        <f>-BS170</f>
        <v>0</v>
      </c>
      <c r="BT297" s="3">
        <f>-BT170</f>
        <v>0</v>
      </c>
      <c r="BU297" s="3">
        <f>SUM(BQ297:BT297)</f>
        <v>0</v>
      </c>
      <c r="BV297" s="3">
        <f>-BV170</f>
        <v>0</v>
      </c>
      <c r="BW297" s="3">
        <f>-BW170</f>
        <v>0</v>
      </c>
      <c r="BX297" s="3">
        <f>-BX170</f>
        <v>0</v>
      </c>
      <c r="BY297" s="3">
        <f>-BY170</f>
        <v>0</v>
      </c>
      <c r="BZ297" s="3">
        <f>SUM(BV297:BY297)</f>
        <v>0</v>
      </c>
      <c r="CA297" s="3">
        <f>-CA170</f>
        <v>0</v>
      </c>
      <c r="CB297" s="3">
        <f>-CB170</f>
        <v>0</v>
      </c>
      <c r="CC297" s="3">
        <f>-CC170</f>
        <v>0</v>
      </c>
      <c r="CD297" s="3">
        <f>-CD170</f>
        <v>0</v>
      </c>
      <c r="CE297" s="3">
        <f>SUM(CA297:CD297)</f>
        <v>0</v>
      </c>
      <c r="CF297" s="3">
        <f>-CF170</f>
        <v>0</v>
      </c>
      <c r="CG297" s="3">
        <f>-CG170</f>
        <v>0</v>
      </c>
      <c r="CH297" s="3">
        <f>-CH170</f>
        <v>0</v>
      </c>
      <c r="CI297" s="3">
        <f>-CI170</f>
        <v>0</v>
      </c>
      <c r="CJ297" s="3">
        <f>SUM(CF297:CI297)</f>
        <v>0</v>
      </c>
      <c r="CK297" s="3">
        <f>-CK170</f>
        <v>0</v>
      </c>
      <c r="CL297" s="3">
        <f>-CL170</f>
        <v>0</v>
      </c>
      <c r="CM297" s="3">
        <f>-CM170</f>
        <v>0</v>
      </c>
      <c r="CN297" s="3">
        <f>-CN170</f>
        <v>0</v>
      </c>
      <c r="CO297" s="3">
        <f>SUM(CK297:CN297)</f>
        <v>0</v>
      </c>
      <c r="CP297" s="3">
        <f>-CP170</f>
        <v>0</v>
      </c>
      <c r="CQ297" s="3">
        <f>-CQ170</f>
        <v>0</v>
      </c>
      <c r="CR297" s="3">
        <f>-CR170</f>
        <v>0</v>
      </c>
      <c r="CS297" s="3">
        <f>-CS170</f>
        <v>0</v>
      </c>
      <c r="CT297" s="3">
        <f>SUM(CP297:CS297)</f>
        <v>0</v>
      </c>
      <c r="CU297" s="3">
        <f>-CU170</f>
        <v>0</v>
      </c>
      <c r="CV297" s="3">
        <f>-CV170</f>
        <v>0</v>
      </c>
      <c r="CW297" s="3">
        <f>-CW170</f>
        <v>0</v>
      </c>
      <c r="CX297" s="3">
        <f>-CX170</f>
        <v>0</v>
      </c>
      <c r="CY297" s="3">
        <f>SUM(CU297:CX297)</f>
        <v>0</v>
      </c>
    </row>
    <row r="298">
      <c r="C298" s="30" t="inlineStr">
        <is>
          <t>Minority interest expense</t>
        </is>
      </c>
      <c r="D298" s="3" t="n"/>
      <c r="E298" s="3">
        <f>-E142</f>
        <v>-18.6101032599994</v>
      </c>
      <c r="F298" s="3">
        <f>-F142</f>
        <v>14.0370225324491</v>
      </c>
      <c r="G298" s="3">
        <f>-G142</f>
        <v>75.9310132972963</v>
      </c>
      <c r="H298" s="3">
        <f>SUM(D298:G298)</f>
        <v>71.357932569746</v>
      </c>
      <c r="I298" s="3">
        <f>-I142</f>
        <v>76.9250735250731</v>
      </c>
      <c r="J298" s="3">
        <f>-J142</f>
        <v>124.58567863375</v>
      </c>
      <c r="K298" s="3">
        <f>-K142</f>
        <v>153.591501483998</v>
      </c>
      <c r="L298" s="3">
        <f>-L142</f>
        <v>151.592746357179</v>
      </c>
      <c r="M298" s="3">
        <f>SUM(I298:L298)</f>
        <v>506.695</v>
      </c>
      <c r="N298" s="3">
        <f>-N142</f>
        <v>136.847</v>
      </c>
      <c r="O298" s="3">
        <f>-O142</f>
        <v>110.9852</v>
      </c>
      <c r="P298" s="3">
        <f>-P142</f>
        <v>92.4970004588794</v>
      </c>
      <c r="Q298" s="3">
        <f>-Q142</f>
        <v>118.295958750104</v>
      </c>
      <c r="R298" s="3">
        <f>SUM(N298:Q298)</f>
        <v>458.625159208983</v>
      </c>
      <c r="S298" s="3">
        <f>-S142</f>
        <v>70.7426245306207</v>
      </c>
      <c r="T298" s="3">
        <f>-T142</f>
        <v>87.5566520721374</v>
      </c>
      <c r="U298" s="3">
        <f>-U142</f>
        <v>25.8757774607182</v>
      </c>
      <c r="V298" s="3">
        <f>-V142</f>
        <v>-340.804619350459</v>
      </c>
      <c r="W298" s="3">
        <f>SUM(S298:V298)</f>
        <v>-156.629565286982</v>
      </c>
      <c r="X298" s="3">
        <f>-X142</f>
        <v>85.7682701999996</v>
      </c>
      <c r="Y298" s="3">
        <f>-Y142</f>
        <v>92.5487251900008</v>
      </c>
      <c r="Z298" s="3">
        <f>-Z142</f>
        <v>92.0911763899984</v>
      </c>
      <c r="AA298" s="3">
        <f>-AA142</f>
        <v>21.5790149600092</v>
      </c>
      <c r="AB298" s="3">
        <f>SUM(X298:AA298)</f>
        <v>291.987186740008</v>
      </c>
      <c r="AC298" s="3">
        <f>-AC142</f>
        <v>62.5514536300002</v>
      </c>
      <c r="AD298" s="3">
        <f>-AD142</f>
        <v>53.367175980002</v>
      </c>
      <c r="AE298" s="3">
        <f>-AE142</f>
        <v>7.68147334999821</v>
      </c>
      <c r="AF298" s="3">
        <f>-AF142</f>
        <v>49.920327010004</v>
      </c>
      <c r="AG298" s="3">
        <f>SUM(AC298:AF298)</f>
        <v>173.520429970004</v>
      </c>
      <c r="AH298" s="3">
        <f>-AH142</f>
        <v>5.3206806599988</v>
      </c>
      <c r="AI298" s="3">
        <f>-AI142</f>
        <v>38.3478649500031</v>
      </c>
      <c r="AJ298" s="3">
        <f>-AJ142</f>
        <v>7.68147334999821</v>
      </c>
      <c r="AK298" s="3">
        <f>-AK142</f>
        <v>49.920327010004</v>
      </c>
      <c r="AL298" s="3">
        <f>SUM(AH298:AK298)</f>
        <v>101.270345970004</v>
      </c>
      <c r="AM298" s="3">
        <f>-AM142</f>
        <v>5.3206806599988</v>
      </c>
      <c r="AN298" s="3">
        <f>-AN142</f>
        <v>38.3478649500031</v>
      </c>
      <c r="AO298" s="3">
        <f>-AO142</f>
        <v>7.68147334999821</v>
      </c>
      <c r="AP298" s="3">
        <f>-AP142</f>
        <v>49.920327010004</v>
      </c>
      <c r="AQ298" s="3">
        <f>SUM(AM298:AP298)</f>
        <v>101.270345970004</v>
      </c>
      <c r="AR298" s="3">
        <f>-AR142</f>
        <v>5.3206806599988</v>
      </c>
      <c r="AS298" s="3">
        <f>-AS142</f>
        <v>38.3478649500031</v>
      </c>
      <c r="AT298" s="3">
        <f>-AT142</f>
        <v>7.68147334999821</v>
      </c>
      <c r="AU298" s="3">
        <f>-AU142</f>
        <v>49.920327010004</v>
      </c>
      <c r="AV298" s="3">
        <f>SUM(AR298:AU298)</f>
        <v>101.270345970004</v>
      </c>
      <c r="AW298" s="3">
        <f>-AW142</f>
        <v>5.3206806599988</v>
      </c>
      <c r="AX298" s="3">
        <f>-AX142</f>
        <v>38.3478649500031</v>
      </c>
      <c r="AY298" s="3">
        <f>-AY142</f>
        <v>7.68147334999821</v>
      </c>
      <c r="AZ298" s="3">
        <f>-AZ142</f>
        <v>49.920327010004</v>
      </c>
      <c r="BA298" s="3">
        <f>SUM(AW298:AZ298)</f>
        <v>101.270345970004</v>
      </c>
      <c r="BB298" s="3">
        <f>-BB142</f>
        <v>5.3206806599988</v>
      </c>
      <c r="BC298" s="3">
        <f>-BC142</f>
        <v>38.3478649500031</v>
      </c>
      <c r="BD298" s="3">
        <f>-BD142</f>
        <v>7.68147334999821</v>
      </c>
      <c r="BE298" s="3">
        <f>-BE142</f>
        <v>49.920327010004</v>
      </c>
      <c r="BF298" s="3">
        <f>SUM(BB298:BE298)</f>
        <v>101.270345970004</v>
      </c>
      <c r="BG298" s="3">
        <f>-BG142</f>
        <v>5.3206806599988</v>
      </c>
      <c r="BH298" s="3">
        <f>-BH142</f>
        <v>38.3478649500031</v>
      </c>
      <c r="BI298" s="3">
        <f>-BI142</f>
        <v>7.68147334999821</v>
      </c>
      <c r="BJ298" s="3">
        <f>-BJ142</f>
        <v>49.920327010004</v>
      </c>
      <c r="BK298" s="3">
        <f>SUM(BG298:BJ298)</f>
        <v>101.270345970004</v>
      </c>
      <c r="BL298" s="3">
        <f>-BL142</f>
        <v>5.3206806599988</v>
      </c>
      <c r="BM298" s="3">
        <f>-BM142</f>
        <v>38.3478649500031</v>
      </c>
      <c r="BN298" s="3">
        <f>-BN142</f>
        <v>7.68147334999821</v>
      </c>
      <c r="BO298" s="3">
        <f>-BO142</f>
        <v>49.920327010004</v>
      </c>
      <c r="BP298" s="3">
        <f>SUM(BL298:BO298)</f>
        <v>101.270345970004</v>
      </c>
      <c r="BQ298" s="3">
        <f>-BQ142</f>
        <v>5.3206806599988</v>
      </c>
      <c r="BR298" s="3">
        <f>-BR142</f>
        <v>38.3478649500031</v>
      </c>
      <c r="BS298" s="3">
        <f>-BS142</f>
        <v>7.68147334999821</v>
      </c>
      <c r="BT298" s="3">
        <f>-BT142</f>
        <v>49.920327010004</v>
      </c>
      <c r="BU298" s="3">
        <f>SUM(BQ298:BT298)</f>
        <v>101.270345970004</v>
      </c>
      <c r="BV298" s="3">
        <f>-BV142</f>
        <v>5.3206806599988</v>
      </c>
      <c r="BW298" s="3">
        <f>-BW142</f>
        <v>38.3478649500031</v>
      </c>
      <c r="BX298" s="3">
        <f>-BX142</f>
        <v>7.68147334999821</v>
      </c>
      <c r="BY298" s="3">
        <f>-BY142</f>
        <v>49.920327010004</v>
      </c>
      <c r="BZ298" s="3">
        <f>SUM(BV298:BY298)</f>
        <v>101.270345970004</v>
      </c>
      <c r="CA298" s="3">
        <f>-CA142</f>
        <v>5.3206806599988</v>
      </c>
      <c r="CB298" s="3">
        <f>-CB142</f>
        <v>38.3478649500031</v>
      </c>
      <c r="CC298" s="3">
        <f>-CC142</f>
        <v>7.68147334999821</v>
      </c>
      <c r="CD298" s="3">
        <f>-CD142</f>
        <v>49.920327010004</v>
      </c>
      <c r="CE298" s="3">
        <f>SUM(CA298:CD298)</f>
        <v>101.270345970004</v>
      </c>
      <c r="CF298" s="3">
        <f>-CF142</f>
        <v>5.3206806599988</v>
      </c>
      <c r="CG298" s="3">
        <f>-CG142</f>
        <v>38.3478649500031</v>
      </c>
      <c r="CH298" s="3">
        <f>-CH142</f>
        <v>7.68147334999821</v>
      </c>
      <c r="CI298" s="3">
        <f>-CI142</f>
        <v>49.920327010004</v>
      </c>
      <c r="CJ298" s="3">
        <f>SUM(CF298:CI298)</f>
        <v>101.270345970004</v>
      </c>
      <c r="CK298" s="3">
        <f>-CK142</f>
        <v>5.3206806599988</v>
      </c>
      <c r="CL298" s="3">
        <f>-CL142</f>
        <v>38.3478649500031</v>
      </c>
      <c r="CM298" s="3">
        <f>-CM142</f>
        <v>7.68147334999821</v>
      </c>
      <c r="CN298" s="3">
        <f>-CN142</f>
        <v>49.920327010004</v>
      </c>
      <c r="CO298" s="3">
        <f>SUM(CK298:CN298)</f>
        <v>101.270345970004</v>
      </c>
      <c r="CP298" s="3">
        <f>-CP142</f>
        <v>5.3206806599988</v>
      </c>
      <c r="CQ298" s="3">
        <f>-CQ142</f>
        <v>38.3478649500031</v>
      </c>
      <c r="CR298" s="3">
        <f>-CR142</f>
        <v>7.68147334999821</v>
      </c>
      <c r="CS298" s="3">
        <f>-CS142</f>
        <v>49.920327010004</v>
      </c>
      <c r="CT298" s="3">
        <f>SUM(CP298:CS298)</f>
        <v>101.270345970004</v>
      </c>
      <c r="CU298" s="3">
        <f>-CU142</f>
        <v>5.3206806599988</v>
      </c>
      <c r="CV298" s="3">
        <f>-CV142</f>
        <v>38.3478649500031</v>
      </c>
      <c r="CW298" s="3">
        <f>-CW142</f>
        <v>7.68147334999821</v>
      </c>
      <c r="CX298" s="3">
        <f>-CX142</f>
        <v>49.920327010004</v>
      </c>
      <c r="CY298" s="3">
        <f>SUM(CU298:CX298)</f>
        <v>101.270345970004</v>
      </c>
    </row>
    <row r="299">
      <c r="C299" s="26" t="inlineStr">
        <is>
          <t>Cash from operations</t>
        </is>
      </c>
      <c r="D299" s="3" t="n"/>
      <c r="E299" s="3">
        <f>SUM(E283,E284,E285,E296,E297,E298)</f>
        <v>-592.085684081396</v>
      </c>
      <c r="F299" s="3">
        <f>SUM(F283,F284,F285,F296,F297,F298)</f>
        <v>1296.73440601793</v>
      </c>
      <c r="G299" s="3">
        <f>SUM(G283,G284,G285,G296,G297,G298)</f>
        <v>1369.44644803981</v>
      </c>
      <c r="H299" s="3">
        <f>SUM(H283,H284,H285,H296,H297,H298)</f>
        <v>2074.09516997635</v>
      </c>
      <c r="I299" s="3">
        <f>SUM(I283,I284,I285,I296,I297,I298)</f>
        <v>-225.567797211851</v>
      </c>
      <c r="J299" s="3">
        <f>SUM(J283,J284,J285,J296,J297,J298)</f>
        <v>1146.5007106954</v>
      </c>
      <c r="K299" s="3">
        <f>SUM(K283,K284,K285,K296,K297,K298)</f>
        <v>127.605732278514</v>
      </c>
      <c r="L299" s="3">
        <f>SUM(L283,L284,L285,L296,L297,L298)</f>
        <v>1892.15610431075</v>
      </c>
      <c r="M299" s="3">
        <f>SUM(M283,M284,M285,M296,M297,M298)</f>
        <v>2940.69475007282</v>
      </c>
      <c r="N299" s="3">
        <f>SUM(N283,N284,N285,N296,N297,N298)</f>
        <v>-301.99</v>
      </c>
      <c r="O299" s="3">
        <f>SUM(O283,O284,O285,O296,O297,O298)</f>
        <v>906.716997423699</v>
      </c>
      <c r="P299" s="3">
        <f>SUM(P283,P284,P285,P296,P297,P298)</f>
        <v>-724.255693613595</v>
      </c>
      <c r="Q299" s="3">
        <f>SUM(Q283,Q284,Q285,Q296,Q297,Q298)</f>
        <v>2699.21485539887</v>
      </c>
      <c r="R299" s="3">
        <f>SUM(R283,R284,R285,R296,R297,R298)</f>
        <v>2579.68615920898</v>
      </c>
      <c r="S299" s="3">
        <f>SUM(S283,S284,S285,S296,S297,S298)</f>
        <v>-2236.01441885824</v>
      </c>
      <c r="T299" s="3">
        <f>SUM(T283,T284,T285,T296,T297,T298)</f>
        <v>-1064.32909821222</v>
      </c>
      <c r="U299" s="3">
        <f>SUM(U283,U284,U285,U296,U297,U298)</f>
        <v>458.947687541526</v>
      </c>
      <c r="V299" s="3">
        <f>SUM(V283,V284,V285,V296,V297,V298)</f>
        <v>4136.77508621804</v>
      </c>
      <c r="W299" s="3">
        <f>SUM(W283,W284,W285,W296,W297,W298)</f>
        <v>1295.3792566891</v>
      </c>
      <c r="X299" s="3">
        <f>SUM(X283,X284,X285,X296,X297,X298)</f>
        <v>697.218017119558</v>
      </c>
      <c r="Y299" s="3">
        <f>SUM(Y283,Y284,Y285,Y296,Y297,Y298)</f>
        <v>-430.617251116782</v>
      </c>
      <c r="Z299" s="3">
        <f>SUM(Z283,Z284,Z285,Z296,Z297,Z298)</f>
        <v>505.040717126548</v>
      </c>
      <c r="AA299" s="3">
        <f>SUM(AA283,AA284,AA285,AA296,AA297,AA298)</f>
        <v>2620.59127853423</v>
      </c>
      <c r="AB299" s="3">
        <f>SUM(AB283,AB284,AB285,AB296,AB297,AB298)</f>
        <v>3392.23276166356</v>
      </c>
      <c r="AC299" s="3">
        <f>SUM(AC283,AC284,AC285,AC296,AC297,AC298)</f>
        <v>-1797.82194483</v>
      </c>
      <c r="AD299" s="3">
        <f>SUM(AD283,AD284,AD285,AD296,AD297,AD298)</f>
        <v>210.161317299997</v>
      </c>
      <c r="AE299" s="3">
        <f>SUM(AE283,AE284,AE285,AE296,AE297,AE298)</f>
        <v>1784.85943793</v>
      </c>
      <c r="AF299" s="3">
        <f>SUM(AF283,AF284,AF285,AF296,AF297,AF298)</f>
        <v>5506.95343357</v>
      </c>
      <c r="AG299" s="3">
        <f>SUM(AG283,AG284,AG285,AG296,AG297,AG298)</f>
        <v>5704.15224397</v>
      </c>
      <c r="AH299" s="3">
        <f>SUM(AH283,AH284,AH285,AH296,AH297,AH298)</f>
        <v>773.117935059999</v>
      </c>
      <c r="AI299" s="3">
        <f>SUM(AI283,AI284,AI285,AI296,AI297,AI298)</f>
        <v>479.682465689996</v>
      </c>
      <c r="AJ299" s="3">
        <f>SUM(AJ283,AJ284,AJ285,AJ296,AJ297,AJ298)</f>
        <v>1524.86020288</v>
      </c>
      <c r="AK299" s="3">
        <f>SUM(AK283,AK284,AK285,AK296,AK297,AK298)</f>
        <v>668.46021238</v>
      </c>
      <c r="AL299" s="3">
        <f>SUM(AL283,AL284,AL285,AL296,AL297,AL298)</f>
        <v>3446.12081601</v>
      </c>
      <c r="AM299" s="3" t="e">
        <f>SUM(AM283,AM284,AM285,AM296,AM297,AM298)</f>
        <v>#DIV/0!</v>
      </c>
      <c r="AN299" s="3" t="e">
        <f>SUM(AN283,AN284,AN285,AN296,AN297,AN298)</f>
        <v>#DIV/0!</v>
      </c>
      <c r="AO299" s="3" t="e">
        <f>SUM(AO283,AO284,AO285,AO296,AO297,AO298)</f>
        <v>#DIV/0!</v>
      </c>
      <c r="AP299" s="3" t="e">
        <f>SUM(AP283,AP284,AP285,AP296,AP297,AP298)</f>
        <v>#DIV/0!</v>
      </c>
      <c r="AQ299" s="3" t="e">
        <f>SUM(AQ283,AQ284,AQ285,AQ296,AQ297,AQ298)</f>
        <v>#DIV/0!</v>
      </c>
      <c r="AR299" s="3" t="e">
        <f>SUM(AR283,AR284,AR285,AR296,AR297,AR298)</f>
        <v>#DIV/0!</v>
      </c>
      <c r="AS299" s="3" t="e">
        <f>SUM(AS283,AS284,AS285,AS296,AS297,AS298)</f>
        <v>#DIV/0!</v>
      </c>
      <c r="AT299" s="3" t="e">
        <f>SUM(AT283,AT284,AT285,AT296,AT297,AT298)</f>
        <v>#DIV/0!</v>
      </c>
      <c r="AU299" s="3" t="e">
        <f>SUM(AU283,AU284,AU285,AU296,AU297,AU298)</f>
        <v>#DIV/0!</v>
      </c>
      <c r="AV299" s="3" t="e">
        <f>SUM(AV283,AV284,AV285,AV296,AV297,AV298)</f>
        <v>#DIV/0!</v>
      </c>
      <c r="AW299" s="3" t="e">
        <f>SUM(AW283,AW284,AW285,AW296,AW297,AW298)</f>
        <v>#DIV/0!</v>
      </c>
      <c r="AX299" s="3" t="e">
        <f>SUM(AX283,AX284,AX285,AX296,AX297,AX298)</f>
        <v>#DIV/0!</v>
      </c>
      <c r="AY299" s="3" t="e">
        <f>SUM(AY283,AY284,AY285,AY296,AY297,AY298)</f>
        <v>#DIV/0!</v>
      </c>
      <c r="AZ299" s="3" t="e">
        <f>SUM(AZ283,AZ284,AZ285,AZ296,AZ297,AZ298)</f>
        <v>#DIV/0!</v>
      </c>
      <c r="BA299" s="3" t="e">
        <f>SUM(BA283,BA284,BA285,BA296,BA297,BA298)</f>
        <v>#DIV/0!</v>
      </c>
      <c r="BB299" s="3" t="e">
        <f>SUM(BB283,BB284,BB285,BB296,BB297,BB298)</f>
        <v>#DIV/0!</v>
      </c>
      <c r="BC299" s="3" t="e">
        <f>SUM(BC283,BC284,BC285,BC296,BC297,BC298)</f>
        <v>#DIV/0!</v>
      </c>
      <c r="BD299" s="3" t="e">
        <f>SUM(BD283,BD284,BD285,BD296,BD297,BD298)</f>
        <v>#DIV/0!</v>
      </c>
      <c r="BE299" s="3" t="e">
        <f>SUM(BE283,BE284,BE285,BE296,BE297,BE298)</f>
        <v>#DIV/0!</v>
      </c>
      <c r="BF299" s="3" t="e">
        <f>SUM(BF283,BF284,BF285,BF296,BF297,BF298)</f>
        <v>#DIV/0!</v>
      </c>
      <c r="BG299" s="3" t="e">
        <f>SUM(BG283,BG284,BG285,BG296,BG297,BG298)</f>
        <v>#DIV/0!</v>
      </c>
      <c r="BH299" s="3" t="e">
        <f>SUM(BH283,BH284,BH285,BH296,BH297,BH298)</f>
        <v>#DIV/0!</v>
      </c>
      <c r="BI299" s="3" t="e">
        <f>SUM(BI283,BI284,BI285,BI296,BI297,BI298)</f>
        <v>#DIV/0!</v>
      </c>
      <c r="BJ299" s="3" t="e">
        <f>SUM(BJ283,BJ284,BJ285,BJ296,BJ297,BJ298)</f>
        <v>#DIV/0!</v>
      </c>
      <c r="BK299" s="3" t="e">
        <f>SUM(BK283,BK284,BK285,BK296,BK297,BK298)</f>
        <v>#DIV/0!</v>
      </c>
      <c r="BL299" s="3" t="e">
        <f>SUM(BL283,BL284,BL285,BL296,BL297,BL298)</f>
        <v>#DIV/0!</v>
      </c>
      <c r="BM299" s="3" t="e">
        <f>SUM(BM283,BM284,BM285,BM296,BM297,BM298)</f>
        <v>#DIV/0!</v>
      </c>
      <c r="BN299" s="3" t="e">
        <f>SUM(BN283,BN284,BN285,BN296,BN297,BN298)</f>
        <v>#DIV/0!</v>
      </c>
      <c r="BO299" s="3" t="e">
        <f>SUM(BO283,BO284,BO285,BO296,BO297,BO298)</f>
        <v>#DIV/0!</v>
      </c>
      <c r="BP299" s="3" t="e">
        <f>SUM(BP283,BP284,BP285,BP296,BP297,BP298)</f>
        <v>#DIV/0!</v>
      </c>
      <c r="BQ299" s="3" t="e">
        <f>SUM(BQ283,BQ284,BQ285,BQ296,BQ297,BQ298)</f>
        <v>#DIV/0!</v>
      </c>
      <c r="BR299" s="3" t="e">
        <f>SUM(BR283,BR284,BR285,BR296,BR297,BR298)</f>
        <v>#DIV/0!</v>
      </c>
      <c r="BS299" s="3" t="e">
        <f>SUM(BS283,BS284,BS285,BS296,BS297,BS298)</f>
        <v>#DIV/0!</v>
      </c>
      <c r="BT299" s="3" t="e">
        <f>SUM(BT283,BT284,BT285,BT296,BT297,BT298)</f>
        <v>#DIV/0!</v>
      </c>
      <c r="BU299" s="3" t="e">
        <f>SUM(BU283,BU284,BU285,BU296,BU297,BU298)</f>
        <v>#DIV/0!</v>
      </c>
      <c r="BV299" s="3" t="e">
        <f>SUM(BV283,BV284,BV285,BV296,BV297,BV298)</f>
        <v>#DIV/0!</v>
      </c>
      <c r="BW299" s="3" t="e">
        <f>SUM(BW283,BW284,BW285,BW296,BW297,BW298)</f>
        <v>#DIV/0!</v>
      </c>
      <c r="BX299" s="3" t="e">
        <f>SUM(BX283,BX284,BX285,BX296,BX297,BX298)</f>
        <v>#DIV/0!</v>
      </c>
      <c r="BY299" s="3" t="e">
        <f>SUM(BY283,BY284,BY285,BY296,BY297,BY298)</f>
        <v>#DIV/0!</v>
      </c>
      <c r="BZ299" s="3" t="e">
        <f>SUM(BZ283,BZ284,BZ285,BZ296,BZ297,BZ298)</f>
        <v>#DIV/0!</v>
      </c>
      <c r="CA299" s="3" t="e">
        <f>SUM(CA283,CA284,CA285,CA296,CA297,CA298)</f>
        <v>#DIV/0!</v>
      </c>
      <c r="CB299" s="3" t="e">
        <f>SUM(CB283,CB284,CB285,CB296,CB297,CB298)</f>
        <v>#DIV/0!</v>
      </c>
      <c r="CC299" s="3" t="e">
        <f>SUM(CC283,CC284,CC285,CC296,CC297,CC298)</f>
        <v>#DIV/0!</v>
      </c>
      <c r="CD299" s="3" t="e">
        <f>SUM(CD283,CD284,CD285,CD296,CD297,CD298)</f>
        <v>#DIV/0!</v>
      </c>
      <c r="CE299" s="3" t="e">
        <f>SUM(CE283,CE284,CE285,CE296,CE297,CE298)</f>
        <v>#DIV/0!</v>
      </c>
      <c r="CF299" s="3" t="e">
        <f>SUM(CF283,CF284,CF285,CF296,CF297,CF298)</f>
        <v>#DIV/0!</v>
      </c>
      <c r="CG299" s="3" t="e">
        <f>SUM(CG283,CG284,CG285,CG296,CG297,CG298)</f>
        <v>#DIV/0!</v>
      </c>
      <c r="CH299" s="3" t="e">
        <f>SUM(CH283,CH284,CH285,CH296,CH297,CH298)</f>
        <v>#DIV/0!</v>
      </c>
      <c r="CI299" s="3" t="e">
        <f>SUM(CI283,CI284,CI285,CI296,CI297,CI298)</f>
        <v>#DIV/0!</v>
      </c>
      <c r="CJ299" s="3" t="e">
        <f>SUM(CJ283,CJ284,CJ285,CJ296,CJ297,CJ298)</f>
        <v>#DIV/0!</v>
      </c>
      <c r="CK299" s="3" t="e">
        <f>SUM(CK283,CK284,CK285,CK296,CK297,CK298)</f>
        <v>#DIV/0!</v>
      </c>
      <c r="CL299" s="3" t="e">
        <f>SUM(CL283,CL284,CL285,CL296,CL297,CL298)</f>
        <v>#DIV/0!</v>
      </c>
      <c r="CM299" s="3" t="e">
        <f>SUM(CM283,CM284,CM285,CM296,CM297,CM298)</f>
        <v>#DIV/0!</v>
      </c>
      <c r="CN299" s="3" t="e">
        <f>SUM(CN283,CN284,CN285,CN296,CN297,CN298)</f>
        <v>#DIV/0!</v>
      </c>
      <c r="CO299" s="3" t="e">
        <f>SUM(CO283,CO284,CO285,CO296,CO297,CO298)</f>
        <v>#DIV/0!</v>
      </c>
      <c r="CP299" s="3" t="e">
        <f>SUM(CP283,CP284,CP285,CP296,CP297,CP298)</f>
        <v>#DIV/0!</v>
      </c>
      <c r="CQ299" s="3" t="e">
        <f>SUM(CQ283,CQ284,CQ285,CQ296,CQ297,CQ298)</f>
        <v>#DIV/0!</v>
      </c>
      <c r="CR299" s="3" t="e">
        <f>SUM(CR283,CR284,CR285,CR296,CR297,CR298)</f>
        <v>#DIV/0!</v>
      </c>
      <c r="CS299" s="3" t="e">
        <f>SUM(CS283,CS284,CS285,CS296,CS297,CS298)</f>
        <v>#DIV/0!</v>
      </c>
      <c r="CT299" s="3" t="e">
        <f>SUM(CT283,CT284,CT285,CT296,CT297,CT298)</f>
        <v>#DIV/0!</v>
      </c>
      <c r="CU299" s="3" t="e">
        <f>SUM(CU283,CU284,CU285,CU296,CU297,CU298)</f>
        <v>#DIV/0!</v>
      </c>
      <c r="CV299" s="3" t="e">
        <f>SUM(CV283,CV284,CV285,CV296,CV297,CV298)</f>
        <v>#DIV/0!</v>
      </c>
      <c r="CW299" s="3" t="e">
        <f>SUM(CW283,CW284,CW285,CW296,CW297,CW298)</f>
        <v>#DIV/0!</v>
      </c>
      <c r="CX299" s="3" t="e">
        <f>SUM(CX283,CX284,CX285,CX296,CX297,CX298)</f>
        <v>#DIV/0!</v>
      </c>
      <c r="CY299" s="3" t="e">
        <f>SUM(CY283,CY284,CY285,CY296,CY297,CY298)</f>
        <v>#DIV/0!</v>
      </c>
    </row>
    <row r="300">
      <c r="C300" s="26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  <c r="AY300" s="3" t="n"/>
      <c r="AZ300" s="3" t="n"/>
      <c r="BA300" s="3" t="n"/>
      <c r="BB300" s="3" t="n"/>
      <c r="BC300" s="3" t="n"/>
      <c r="BD300" s="3" t="n"/>
      <c r="BE300" s="3" t="n"/>
      <c r="BF300" s="3" t="n"/>
      <c r="BG300" s="3" t="n"/>
      <c r="BH300" s="3" t="n"/>
      <c r="BI300" s="3" t="n"/>
      <c r="BJ300" s="3" t="n"/>
      <c r="BK300" s="3" t="n"/>
      <c r="BL300" s="3" t="n"/>
      <c r="BM300" s="3" t="n"/>
      <c r="BN300" s="3" t="n"/>
      <c r="BO300" s="3" t="n"/>
      <c r="BP300" s="3" t="n"/>
      <c r="BQ300" s="3" t="n"/>
      <c r="BR300" s="3" t="n"/>
      <c r="BS300" s="3" t="n"/>
      <c r="BT300" s="3" t="n"/>
      <c r="BU300" s="3" t="n"/>
      <c r="BV300" s="3" t="n"/>
      <c r="BW300" s="3" t="n"/>
      <c r="BX300" s="3" t="n"/>
      <c r="BY300" s="3" t="n"/>
      <c r="BZ300" s="3" t="n"/>
      <c r="CA300" s="3" t="n"/>
      <c r="CB300" s="3" t="n"/>
      <c r="CC300" s="3" t="n"/>
      <c r="CD300" s="3" t="n"/>
      <c r="CE300" s="3" t="n"/>
      <c r="CF300" s="3" t="n"/>
      <c r="CG300" s="3" t="n"/>
      <c r="CH300" s="3" t="n"/>
      <c r="CI300" s="3" t="n"/>
      <c r="CJ300" s="3" t="n"/>
      <c r="CK300" s="3" t="n"/>
      <c r="CL300" s="3" t="n"/>
      <c r="CM300" s="3" t="n"/>
      <c r="CN300" s="3" t="n"/>
      <c r="CO300" s="3" t="n"/>
      <c r="CP300" s="3" t="n"/>
      <c r="CQ300" s="3" t="n"/>
      <c r="CR300" s="3" t="n"/>
      <c r="CS300" s="3" t="n"/>
      <c r="CT300" s="3" t="n"/>
      <c r="CU300" s="3" t="n"/>
      <c r="CV300" s="3" t="n"/>
      <c r="CW300" s="3" t="n"/>
      <c r="CX300" s="3" t="n"/>
      <c r="CY300" s="3" t="n"/>
    </row>
    <row r="301">
      <c r="C301" s="29" t="inlineStr">
        <is>
          <t>Purchase of fixed assets (capital expenditures)</t>
        </is>
      </c>
      <c r="D301" s="3" t="n"/>
      <c r="E301" s="3">
        <f>-E174</f>
        <v>206.54660493</v>
      </c>
      <c r="F301" s="3">
        <f>-F174</f>
        <v>-1055.08353600755</v>
      </c>
      <c r="G301" s="3">
        <f>-G174</f>
        <v>-1857.50188799097</v>
      </c>
      <c r="H301" s="3">
        <f>SUM(D301:G301)</f>
        <v>-2706.03881906852</v>
      </c>
      <c r="I301" s="3">
        <f>-I174</f>
        <v>-1214.678</v>
      </c>
      <c r="J301" s="3">
        <f>-J174</f>
        <v>-2519.91227830225</v>
      </c>
      <c r="K301" s="3">
        <f>-K174</f>
        <v>-2677.86236638652</v>
      </c>
      <c r="L301" s="3">
        <f>-L174</f>
        <v>-4466.90635795357</v>
      </c>
      <c r="M301" s="3">
        <f>SUM(I301:L301)</f>
        <v>-10879.3590026423</v>
      </c>
      <c r="N301" s="3">
        <f>-N174</f>
        <v>-2617.717</v>
      </c>
      <c r="O301" s="3">
        <f>-O174</f>
        <v>-4120.5177974237</v>
      </c>
      <c r="P301" s="3">
        <f>-P174</f>
        <v>-3580.40030592752</v>
      </c>
      <c r="Q301" s="3">
        <f>-Q174</f>
        <v>-4130.90489664877</v>
      </c>
      <c r="R301" s="3">
        <f>SUM(N301:Q301)</f>
        <v>-14449.54</v>
      </c>
      <c r="S301" s="3">
        <f>-S174</f>
        <v>-741.25900100512</v>
      </c>
      <c r="T301" s="3">
        <f>-T174</f>
        <v>-1432.58649804112</v>
      </c>
      <c r="U301" s="3">
        <f>-U174</f>
        <v>-1877.31412610111</v>
      </c>
      <c r="V301" s="3">
        <f>-V174</f>
        <v>-4747.971952712</v>
      </c>
      <c r="W301" s="3">
        <f>SUM(S301:V301)</f>
        <v>-8799.13157785935</v>
      </c>
      <c r="X301" s="3">
        <f>-X174</f>
        <v>-2087.04612481014</v>
      </c>
      <c r="Y301" s="3">
        <f>-Y174</f>
        <v>-2003.0288523899</v>
      </c>
      <c r="Z301" s="3">
        <f>-Z174</f>
        <v>-1775.58841639891</v>
      </c>
      <c r="AA301" s="3">
        <f>-AA174</f>
        <v>-3617.50781810135</v>
      </c>
      <c r="AB301" s="3">
        <f>SUM(X301:AA301)</f>
        <v>-9483.17121170029</v>
      </c>
      <c r="AC301" s="3">
        <f>-AC174</f>
        <v>-228.882905149986</v>
      </c>
      <c r="AD301" s="3">
        <f>-AD174</f>
        <v>-1618.50619430001</v>
      </c>
      <c r="AE301" s="3">
        <f>-AE174</f>
        <v>-1334.76005449</v>
      </c>
      <c r="AF301" s="3">
        <f>-AF174</f>
        <v>-3603.59271888999</v>
      </c>
      <c r="AG301" s="3">
        <f>SUM(AC301:AF301)</f>
        <v>-6785.74187282999</v>
      </c>
      <c r="AH301" s="3">
        <f>-AH174</f>
        <v>196.637070819983</v>
      </c>
      <c r="AI301" s="3">
        <f>-AI174</f>
        <v>-2942.82597959999</v>
      </c>
      <c r="AJ301" s="3">
        <f>-AJ174</f>
        <v>0</v>
      </c>
      <c r="AK301" s="3">
        <f>-AK174</f>
        <v>0</v>
      </c>
      <c r="AL301" s="3">
        <f>SUM(AH301:AK301)</f>
        <v>-2746.18890878</v>
      </c>
      <c r="AM301" s="3">
        <f>-AM174</f>
        <v>0</v>
      </c>
      <c r="AN301" s="3">
        <f>-AN174</f>
        <v>0</v>
      </c>
      <c r="AO301" s="3">
        <f>-AO174</f>
        <v>0</v>
      </c>
      <c r="AP301" s="3">
        <f>-AP174</f>
        <v>0</v>
      </c>
      <c r="AQ301" s="3">
        <f>SUM(AM301:AP301)</f>
        <v>0</v>
      </c>
      <c r="AR301" s="3">
        <f>-AR174</f>
        <v>0</v>
      </c>
      <c r="AS301" s="3">
        <f>-AS174</f>
        <v>0</v>
      </c>
      <c r="AT301" s="3">
        <f>-AT174</f>
        <v>0</v>
      </c>
      <c r="AU301" s="3">
        <f>-AU174</f>
        <v>0</v>
      </c>
      <c r="AV301" s="3">
        <f>SUM(AR301:AU301)</f>
        <v>0</v>
      </c>
      <c r="AW301" s="3">
        <f>-AW174</f>
        <v>0</v>
      </c>
      <c r="AX301" s="3">
        <f>-AX174</f>
        <v>0</v>
      </c>
      <c r="AY301" s="3">
        <f>-AY174</f>
        <v>0</v>
      </c>
      <c r="AZ301" s="3">
        <f>-AZ174</f>
        <v>0</v>
      </c>
      <c r="BA301" s="3">
        <f>SUM(AW301:AZ301)</f>
        <v>0</v>
      </c>
      <c r="BB301" s="3">
        <f>-BB174</f>
        <v>0</v>
      </c>
      <c r="BC301" s="3">
        <f>-BC174</f>
        <v>0</v>
      </c>
      <c r="BD301" s="3">
        <f>-BD174</f>
        <v>0</v>
      </c>
      <c r="BE301" s="3">
        <f>-BE174</f>
        <v>0</v>
      </c>
      <c r="BF301" s="3">
        <f>SUM(BB301:BE301)</f>
        <v>0</v>
      </c>
      <c r="BG301" s="3">
        <f>-BG174</f>
        <v>0</v>
      </c>
      <c r="BH301" s="3">
        <f>-BH174</f>
        <v>0</v>
      </c>
      <c r="BI301" s="3">
        <f>-BI174</f>
        <v>0</v>
      </c>
      <c r="BJ301" s="3">
        <f>-BJ174</f>
        <v>0</v>
      </c>
      <c r="BK301" s="3">
        <f>SUM(BG301:BJ301)</f>
        <v>0</v>
      </c>
      <c r="BL301" s="3">
        <f>-BL174</f>
        <v>0</v>
      </c>
      <c r="BM301" s="3">
        <f>-BM174</f>
        <v>0</v>
      </c>
      <c r="BN301" s="3">
        <f>-BN174</f>
        <v>0</v>
      </c>
      <c r="BO301" s="3">
        <f>-BO174</f>
        <v>0</v>
      </c>
      <c r="BP301" s="3">
        <f>SUM(BL301:BO301)</f>
        <v>0</v>
      </c>
      <c r="BQ301" s="3">
        <f>-BQ174</f>
        <v>0</v>
      </c>
      <c r="BR301" s="3">
        <f>-BR174</f>
        <v>0</v>
      </c>
      <c r="BS301" s="3">
        <f>-BS174</f>
        <v>0</v>
      </c>
      <c r="BT301" s="3">
        <f>-BT174</f>
        <v>0</v>
      </c>
      <c r="BU301" s="3">
        <f>SUM(BQ301:BT301)</f>
        <v>0</v>
      </c>
      <c r="BV301" s="3">
        <f>-BV174</f>
        <v>0</v>
      </c>
      <c r="BW301" s="3">
        <f>-BW174</f>
        <v>0</v>
      </c>
      <c r="BX301" s="3">
        <f>-BX174</f>
        <v>0</v>
      </c>
      <c r="BY301" s="3">
        <f>-BY174</f>
        <v>0</v>
      </c>
      <c r="BZ301" s="3">
        <f>SUM(BV301:BY301)</f>
        <v>0</v>
      </c>
      <c r="CA301" s="3">
        <f>-CA174</f>
        <v>0</v>
      </c>
      <c r="CB301" s="3">
        <f>-CB174</f>
        <v>0</v>
      </c>
      <c r="CC301" s="3">
        <f>-CC174</f>
        <v>0</v>
      </c>
      <c r="CD301" s="3">
        <f>-CD174</f>
        <v>0</v>
      </c>
      <c r="CE301" s="3">
        <f>SUM(CA301:CD301)</f>
        <v>0</v>
      </c>
      <c r="CF301" s="3">
        <f>-CF174</f>
        <v>0</v>
      </c>
      <c r="CG301" s="3">
        <f>-CG174</f>
        <v>0</v>
      </c>
      <c r="CH301" s="3">
        <f>-CH174</f>
        <v>0</v>
      </c>
      <c r="CI301" s="3">
        <f>-CI174</f>
        <v>0</v>
      </c>
      <c r="CJ301" s="3">
        <f>SUM(CF301:CI301)</f>
        <v>0</v>
      </c>
      <c r="CK301" s="3">
        <f>-CK174</f>
        <v>0</v>
      </c>
      <c r="CL301" s="3">
        <f>-CL174</f>
        <v>0</v>
      </c>
      <c r="CM301" s="3">
        <f>-CM174</f>
        <v>0</v>
      </c>
      <c r="CN301" s="3">
        <f>-CN174</f>
        <v>0</v>
      </c>
      <c r="CO301" s="3">
        <f>SUM(CK301:CN301)</f>
        <v>0</v>
      </c>
      <c r="CP301" s="3">
        <f>-CP174</f>
        <v>0</v>
      </c>
      <c r="CQ301" s="3">
        <f>-CQ174</f>
        <v>0</v>
      </c>
      <c r="CR301" s="3">
        <f>-CR174</f>
        <v>0</v>
      </c>
      <c r="CS301" s="3">
        <f>-CS174</f>
        <v>0</v>
      </c>
      <c r="CT301" s="3">
        <f>SUM(CP301:CS301)</f>
        <v>0</v>
      </c>
      <c r="CU301" s="3">
        <f>-CU174</f>
        <v>0</v>
      </c>
      <c r="CV301" s="3">
        <f>-CV174</f>
        <v>0</v>
      </c>
      <c r="CW301" s="3">
        <f>-CW174</f>
        <v>0</v>
      </c>
      <c r="CX301" s="3">
        <f>-CX174</f>
        <v>0</v>
      </c>
      <c r="CY301" s="3">
        <f>SUM(CU301:CX301)</f>
        <v>0</v>
      </c>
    </row>
    <row r="302">
      <c r="C302" s="29" t="inlineStr">
        <is>
          <t>Proceeds from sale of fixed assets</t>
        </is>
      </c>
      <c r="D302" s="3" t="n"/>
      <c r="E302" s="3">
        <f>-E175</f>
        <v>0</v>
      </c>
      <c r="F302" s="3">
        <f>-F175</f>
        <v>0</v>
      </c>
      <c r="G302" s="3">
        <f>-G175</f>
        <v>0</v>
      </c>
      <c r="H302" s="3">
        <f>SUM(D302:G302)</f>
        <v>0</v>
      </c>
      <c r="I302" s="3">
        <f>-I175</f>
        <v>0</v>
      </c>
      <c r="J302" s="3">
        <f>-J175</f>
        <v>0</v>
      </c>
      <c r="K302" s="3">
        <f>-K175</f>
        <v>0</v>
      </c>
      <c r="L302" s="3">
        <f>-L175</f>
        <v>0</v>
      </c>
      <c r="M302" s="3">
        <f>SUM(I302:L302)</f>
        <v>0</v>
      </c>
      <c r="N302" s="3">
        <f>-N175</f>
        <v>0</v>
      </c>
      <c r="O302" s="3">
        <f>-O175</f>
        <v>0</v>
      </c>
      <c r="P302" s="3">
        <f>-P175</f>
        <v>0</v>
      </c>
      <c r="Q302" s="3">
        <f>-Q175</f>
        <v>0</v>
      </c>
      <c r="R302" s="3">
        <f>SUM(N302:Q302)</f>
        <v>0</v>
      </c>
      <c r="S302" s="3">
        <f>-S175</f>
        <v>0</v>
      </c>
      <c r="T302" s="3">
        <f>-T175</f>
        <v>0</v>
      </c>
      <c r="U302" s="3">
        <f>-U175</f>
        <v>0</v>
      </c>
      <c r="V302" s="3">
        <f>-V175</f>
        <v>0</v>
      </c>
      <c r="W302" s="3">
        <f>SUM(S302:V302)</f>
        <v>0</v>
      </c>
      <c r="X302" s="3">
        <f>-X175</f>
        <v>0</v>
      </c>
      <c r="Y302" s="3">
        <f>-Y175</f>
        <v>0</v>
      </c>
      <c r="Z302" s="3">
        <f>-Z175</f>
        <v>0</v>
      </c>
      <c r="AA302" s="3">
        <f>-AA175</f>
        <v>0</v>
      </c>
      <c r="AB302" s="3">
        <f>SUM(X302:AA302)</f>
        <v>0</v>
      </c>
      <c r="AC302" s="3">
        <f>-AC175</f>
        <v>0</v>
      </c>
      <c r="AD302" s="3">
        <f>-AD175</f>
        <v>0</v>
      </c>
      <c r="AE302" s="3">
        <f>-AE175</f>
        <v>0</v>
      </c>
      <c r="AF302" s="3">
        <f>-AF175</f>
        <v>0</v>
      </c>
      <c r="AG302" s="3">
        <f>SUM(AC302:AF302)</f>
        <v>0</v>
      </c>
      <c r="AH302" s="3">
        <f>-AH175</f>
        <v>0</v>
      </c>
      <c r="AI302" s="3">
        <f>-AI175</f>
        <v>0</v>
      </c>
      <c r="AJ302" s="3">
        <f>-AJ175</f>
        <v>0</v>
      </c>
      <c r="AK302" s="3">
        <f>-AK175</f>
        <v>0</v>
      </c>
      <c r="AL302" s="3">
        <f>SUM(AH302:AK302)</f>
        <v>0</v>
      </c>
      <c r="AM302" s="3">
        <f>-AM175</f>
        <v>0</v>
      </c>
      <c r="AN302" s="3">
        <f>-AN175</f>
        <v>0</v>
      </c>
      <c r="AO302" s="3">
        <f>-AO175</f>
        <v>0</v>
      </c>
      <c r="AP302" s="3">
        <f>-AP175</f>
        <v>0</v>
      </c>
      <c r="AQ302" s="3">
        <f>SUM(AM302:AP302)</f>
        <v>0</v>
      </c>
      <c r="AR302" s="3">
        <f>-AR175</f>
        <v>0</v>
      </c>
      <c r="AS302" s="3">
        <f>-AS175</f>
        <v>0</v>
      </c>
      <c r="AT302" s="3">
        <f>-AT175</f>
        <v>0</v>
      </c>
      <c r="AU302" s="3">
        <f>-AU175</f>
        <v>0</v>
      </c>
      <c r="AV302" s="3">
        <f>SUM(AR302:AU302)</f>
        <v>0</v>
      </c>
      <c r="AW302" s="3">
        <f>-AW175</f>
        <v>0</v>
      </c>
      <c r="AX302" s="3">
        <f>-AX175</f>
        <v>0</v>
      </c>
      <c r="AY302" s="3">
        <f>-AY175</f>
        <v>0</v>
      </c>
      <c r="AZ302" s="3">
        <f>-AZ175</f>
        <v>0</v>
      </c>
      <c r="BA302" s="3">
        <f>SUM(AW302:AZ302)</f>
        <v>0</v>
      </c>
      <c r="BB302" s="3">
        <f>-BB175</f>
        <v>0</v>
      </c>
      <c r="BC302" s="3">
        <f>-BC175</f>
        <v>0</v>
      </c>
      <c r="BD302" s="3">
        <f>-BD175</f>
        <v>0</v>
      </c>
      <c r="BE302" s="3">
        <f>-BE175</f>
        <v>0</v>
      </c>
      <c r="BF302" s="3">
        <f>SUM(BB302:BE302)</f>
        <v>0</v>
      </c>
      <c r="BG302" s="3">
        <f>-BG175</f>
        <v>0</v>
      </c>
      <c r="BH302" s="3">
        <f>-BH175</f>
        <v>0</v>
      </c>
      <c r="BI302" s="3">
        <f>-BI175</f>
        <v>0</v>
      </c>
      <c r="BJ302" s="3">
        <f>-BJ175</f>
        <v>0</v>
      </c>
      <c r="BK302" s="3">
        <f>SUM(BG302:BJ302)</f>
        <v>0</v>
      </c>
      <c r="BL302" s="3">
        <f>-BL175</f>
        <v>0</v>
      </c>
      <c r="BM302" s="3">
        <f>-BM175</f>
        <v>0</v>
      </c>
      <c r="BN302" s="3">
        <f>-BN175</f>
        <v>0</v>
      </c>
      <c r="BO302" s="3">
        <f>-BO175</f>
        <v>0</v>
      </c>
      <c r="BP302" s="3">
        <f>SUM(BL302:BO302)</f>
        <v>0</v>
      </c>
      <c r="BQ302" s="3">
        <f>-BQ175</f>
        <v>0</v>
      </c>
      <c r="BR302" s="3">
        <f>-BR175</f>
        <v>0</v>
      </c>
      <c r="BS302" s="3">
        <f>-BS175</f>
        <v>0</v>
      </c>
      <c r="BT302" s="3">
        <f>-BT175</f>
        <v>0</v>
      </c>
      <c r="BU302" s="3">
        <f>SUM(BQ302:BT302)</f>
        <v>0</v>
      </c>
      <c r="BV302" s="3">
        <f>-BV175</f>
        <v>0</v>
      </c>
      <c r="BW302" s="3">
        <f>-BW175</f>
        <v>0</v>
      </c>
      <c r="BX302" s="3">
        <f>-BX175</f>
        <v>0</v>
      </c>
      <c r="BY302" s="3">
        <f>-BY175</f>
        <v>0</v>
      </c>
      <c r="BZ302" s="3">
        <f>SUM(BV302:BY302)</f>
        <v>0</v>
      </c>
      <c r="CA302" s="3">
        <f>-CA175</f>
        <v>0</v>
      </c>
      <c r="CB302" s="3">
        <f>-CB175</f>
        <v>0</v>
      </c>
      <c r="CC302" s="3">
        <f>-CC175</f>
        <v>0</v>
      </c>
      <c r="CD302" s="3">
        <f>-CD175</f>
        <v>0</v>
      </c>
      <c r="CE302" s="3">
        <f>SUM(CA302:CD302)</f>
        <v>0</v>
      </c>
      <c r="CF302" s="3">
        <f>-CF175</f>
        <v>0</v>
      </c>
      <c r="CG302" s="3">
        <f>-CG175</f>
        <v>0</v>
      </c>
      <c r="CH302" s="3">
        <f>-CH175</f>
        <v>0</v>
      </c>
      <c r="CI302" s="3">
        <f>-CI175</f>
        <v>0</v>
      </c>
      <c r="CJ302" s="3">
        <f>SUM(CF302:CI302)</f>
        <v>0</v>
      </c>
      <c r="CK302" s="3">
        <f>-CK175</f>
        <v>0</v>
      </c>
      <c r="CL302" s="3">
        <f>-CL175</f>
        <v>0</v>
      </c>
      <c r="CM302" s="3">
        <f>-CM175</f>
        <v>0</v>
      </c>
      <c r="CN302" s="3">
        <f>-CN175</f>
        <v>0</v>
      </c>
      <c r="CO302" s="3">
        <f>SUM(CK302:CN302)</f>
        <v>0</v>
      </c>
      <c r="CP302" s="3">
        <f>-CP175</f>
        <v>0</v>
      </c>
      <c r="CQ302" s="3">
        <f>-CQ175</f>
        <v>0</v>
      </c>
      <c r="CR302" s="3">
        <f>-CR175</f>
        <v>0</v>
      </c>
      <c r="CS302" s="3">
        <f>-CS175</f>
        <v>0</v>
      </c>
      <c r="CT302" s="3">
        <f>SUM(CP302:CS302)</f>
        <v>0</v>
      </c>
      <c r="CU302" s="3">
        <f>-CU175</f>
        <v>0</v>
      </c>
      <c r="CV302" s="3">
        <f>-CV175</f>
        <v>0</v>
      </c>
      <c r="CW302" s="3">
        <f>-CW175</f>
        <v>0</v>
      </c>
      <c r="CX302" s="3">
        <f>-CX175</f>
        <v>0</v>
      </c>
      <c r="CY302" s="3">
        <f>SUM(CU302:CX302)</f>
        <v>0</v>
      </c>
    </row>
    <row r="303">
      <c r="C303" s="29" t="inlineStr">
        <is>
          <t>Var.Right-of-use-assets</t>
        </is>
      </c>
      <c r="D303" s="3" t="n"/>
      <c r="E303" s="3">
        <f>(E182-D182)*-1</f>
        <v>0</v>
      </c>
      <c r="F303" s="3">
        <f>(F182-E182)*-1</f>
        <v>0</v>
      </c>
      <c r="G303" s="3">
        <f>(G182-F182)*-1</f>
        <v>0</v>
      </c>
      <c r="H303" s="3">
        <f>SUM(D303:G303)</f>
        <v>0</v>
      </c>
      <c r="I303" s="3">
        <f>(I182-H182)*-1</f>
        <v>0</v>
      </c>
      <c r="J303" s="3">
        <f>(J182-I182)*-1</f>
        <v>0</v>
      </c>
      <c r="K303" s="3">
        <f>(K182-J182)*-1</f>
        <v>0</v>
      </c>
      <c r="L303" s="3">
        <f>(L182-K182)*-1</f>
        <v>0</v>
      </c>
      <c r="M303" s="3">
        <f>SUM(I303:L303)</f>
        <v>0</v>
      </c>
      <c r="N303" s="3">
        <f>(N182-M182)*-1</f>
        <v>0</v>
      </c>
      <c r="O303" s="3">
        <f>(O182-N182)*-1</f>
        <v>0</v>
      </c>
      <c r="P303" s="3">
        <f>(P182-O182)*-1</f>
        <v>0</v>
      </c>
      <c r="Q303" s="3">
        <f>(Q182-P182)*-1</f>
        <v>0</v>
      </c>
      <c r="R303" s="3">
        <f>SUM(N303:Q303)</f>
        <v>0</v>
      </c>
      <c r="S303" s="3">
        <f>(S182-R182)*-1</f>
        <v>0</v>
      </c>
      <c r="T303" s="3">
        <f>(T182-S182)*-1</f>
        <v>0</v>
      </c>
      <c r="U303" s="3">
        <f>(U182-T182)*-1</f>
        <v>0</v>
      </c>
      <c r="V303" s="3">
        <f>(V182-U182)*-1</f>
        <v>0</v>
      </c>
      <c r="W303" s="3">
        <f>SUM(S303:V303)</f>
        <v>0</v>
      </c>
      <c r="X303" s="3">
        <f>(X182-W182)*-1</f>
        <v>0</v>
      </c>
      <c r="Y303" s="3">
        <f>(Y182-X182)*-1</f>
        <v>0</v>
      </c>
      <c r="Z303" s="3">
        <f>(Z182-Y182)*-1</f>
        <v>0</v>
      </c>
      <c r="AA303" s="3">
        <f>(AA182-Z182)*-1</f>
        <v>0</v>
      </c>
      <c r="AB303" s="3">
        <f>SUM(X303:AA303)</f>
        <v>0</v>
      </c>
      <c r="AC303" s="3">
        <f>(AC182-AB182)*-1</f>
        <v>0</v>
      </c>
      <c r="AD303" s="3">
        <f>(AD182-AC182)*-1</f>
        <v>0</v>
      </c>
      <c r="AE303" s="3">
        <f>(AE182-AD182)*-1</f>
        <v>0</v>
      </c>
      <c r="AF303" s="3">
        <f>(AF182-AE182)*-1</f>
        <v>0</v>
      </c>
      <c r="AG303" s="3">
        <f>SUM(AC303:AF303)</f>
        <v>0</v>
      </c>
      <c r="AH303" s="3">
        <f>(AH182-AG182)*-1</f>
        <v>0</v>
      </c>
      <c r="AI303" s="3">
        <f>(AI182-AH182)*-1</f>
        <v>0</v>
      </c>
      <c r="AJ303" s="3">
        <f>(AJ182-AI182)*-1</f>
        <v>0</v>
      </c>
      <c r="AK303" s="3">
        <f>(AK182-AJ182)*-1</f>
        <v>0</v>
      </c>
      <c r="AL303" s="3">
        <f>SUM(AH303:AK303)</f>
        <v>0</v>
      </c>
      <c r="AM303" s="3">
        <f>(AM182-AL182)*-1</f>
        <v>0</v>
      </c>
      <c r="AN303" s="3">
        <f>(AN182-AM182)*-1</f>
        <v>0</v>
      </c>
      <c r="AO303" s="3">
        <f>(AO182-AN182)*-1</f>
        <v>0</v>
      </c>
      <c r="AP303" s="3">
        <f>(AP182-AO182)*-1</f>
        <v>0</v>
      </c>
      <c r="AQ303" s="3">
        <f>SUM(AM303:AP303)</f>
        <v>0</v>
      </c>
      <c r="AR303" s="3">
        <f>(AR182-AQ182)*-1</f>
        <v>0</v>
      </c>
      <c r="AS303" s="3">
        <f>(AS182-AR182)*-1</f>
        <v>0</v>
      </c>
      <c r="AT303" s="3">
        <f>(AT182-AS182)*-1</f>
        <v>0</v>
      </c>
      <c r="AU303" s="3">
        <f>(AU182-AT182)*-1</f>
        <v>0</v>
      </c>
      <c r="AV303" s="3">
        <f>SUM(AR303:AU303)</f>
        <v>0</v>
      </c>
      <c r="AW303" s="3">
        <f>(AW182-AV182)*-1</f>
        <v>0</v>
      </c>
      <c r="AX303" s="3">
        <f>(AX182-AW182)*-1</f>
        <v>0</v>
      </c>
      <c r="AY303" s="3">
        <f>(AY182-AX182)*-1</f>
        <v>0</v>
      </c>
      <c r="AZ303" s="3">
        <f>(AZ182-AY182)*-1</f>
        <v>0</v>
      </c>
      <c r="BA303" s="3">
        <f>SUM(AW303:AZ303)</f>
        <v>0</v>
      </c>
      <c r="BB303" s="3">
        <f>(BB182-BA182)*-1</f>
        <v>0</v>
      </c>
      <c r="BC303" s="3">
        <f>(BC182-BB182)*-1</f>
        <v>0</v>
      </c>
      <c r="BD303" s="3">
        <f>(BD182-BC182)*-1</f>
        <v>0</v>
      </c>
      <c r="BE303" s="3">
        <f>(BE182-BD182)*-1</f>
        <v>0</v>
      </c>
      <c r="BF303" s="3">
        <f>SUM(BB303:BE303)</f>
        <v>0</v>
      </c>
      <c r="BG303" s="3">
        <f>(BG182-BF182)*-1</f>
        <v>0</v>
      </c>
      <c r="BH303" s="3">
        <f>(BH182-BG182)*-1</f>
        <v>0</v>
      </c>
      <c r="BI303" s="3">
        <f>(BI182-BH182)*-1</f>
        <v>0</v>
      </c>
      <c r="BJ303" s="3">
        <f>(BJ182-BI182)*-1</f>
        <v>0</v>
      </c>
      <c r="BK303" s="3">
        <f>SUM(BG303:BJ303)</f>
        <v>0</v>
      </c>
      <c r="BL303" s="3">
        <f>(BL182-BK182)*-1</f>
        <v>0</v>
      </c>
      <c r="BM303" s="3">
        <f>(BM182-BL182)*-1</f>
        <v>0</v>
      </c>
      <c r="BN303" s="3">
        <f>(BN182-BM182)*-1</f>
        <v>0</v>
      </c>
      <c r="BO303" s="3">
        <f>(BO182-BN182)*-1</f>
        <v>0</v>
      </c>
      <c r="BP303" s="3">
        <f>SUM(BL303:BO303)</f>
        <v>0</v>
      </c>
      <c r="BQ303" s="3">
        <f>(BQ182-BP182)*-1</f>
        <v>0</v>
      </c>
      <c r="BR303" s="3">
        <f>(BR182-BQ182)*-1</f>
        <v>0</v>
      </c>
      <c r="BS303" s="3">
        <f>(BS182-BR182)*-1</f>
        <v>0</v>
      </c>
      <c r="BT303" s="3">
        <f>(BT182-BS182)*-1</f>
        <v>0</v>
      </c>
      <c r="BU303" s="3">
        <f>SUM(BQ303:BT303)</f>
        <v>0</v>
      </c>
      <c r="BV303" s="3">
        <f>(BV182-BU182)*-1</f>
        <v>0</v>
      </c>
      <c r="BW303" s="3">
        <f>(BW182-BV182)*-1</f>
        <v>0</v>
      </c>
      <c r="BX303" s="3">
        <f>(BX182-BW182)*-1</f>
        <v>0</v>
      </c>
      <c r="BY303" s="3">
        <f>(BY182-BX182)*-1</f>
        <v>0</v>
      </c>
      <c r="BZ303" s="3">
        <f>SUM(BV303:BY303)</f>
        <v>0</v>
      </c>
      <c r="CA303" s="3">
        <f>(CA182-BZ182)*-1</f>
        <v>0</v>
      </c>
      <c r="CB303" s="3">
        <f>(CB182-CA182)*-1</f>
        <v>0</v>
      </c>
      <c r="CC303" s="3">
        <f>(CC182-CB182)*-1</f>
        <v>0</v>
      </c>
      <c r="CD303" s="3">
        <f>(CD182-CC182)*-1</f>
        <v>0</v>
      </c>
      <c r="CE303" s="3">
        <f>SUM(CA303:CD303)</f>
        <v>0</v>
      </c>
      <c r="CF303" s="3">
        <f>(CF182-CE182)*-1</f>
        <v>0</v>
      </c>
      <c r="CG303" s="3">
        <f>(CG182-CF182)*-1</f>
        <v>0</v>
      </c>
      <c r="CH303" s="3">
        <f>(CH182-CG182)*-1</f>
        <v>0</v>
      </c>
      <c r="CI303" s="3">
        <f>(CI182-CH182)*-1</f>
        <v>0</v>
      </c>
      <c r="CJ303" s="3">
        <f>SUM(CF303:CI303)</f>
        <v>0</v>
      </c>
      <c r="CK303" s="3">
        <f>(CK182-CJ182)*-1</f>
        <v>0</v>
      </c>
      <c r="CL303" s="3">
        <f>(CL182-CK182)*-1</f>
        <v>0</v>
      </c>
      <c r="CM303" s="3">
        <f>(CM182-CL182)*-1</f>
        <v>0</v>
      </c>
      <c r="CN303" s="3">
        <f>(CN182-CM182)*-1</f>
        <v>0</v>
      </c>
      <c r="CO303" s="3">
        <f>SUM(CK303:CN303)</f>
        <v>0</v>
      </c>
      <c r="CP303" s="3">
        <f>(CP182-CO182)*-1</f>
        <v>0</v>
      </c>
      <c r="CQ303" s="3">
        <f>(CQ182-CP182)*-1</f>
        <v>0</v>
      </c>
      <c r="CR303" s="3">
        <f>(CR182-CQ182)*-1</f>
        <v>0</v>
      </c>
      <c r="CS303" s="3">
        <f>(CS182-CR182)*-1</f>
        <v>0</v>
      </c>
      <c r="CT303" s="3">
        <f>SUM(CP303:CS303)</f>
        <v>0</v>
      </c>
      <c r="CU303" s="3">
        <f>(CU182-CT182)*-1</f>
        <v>0</v>
      </c>
      <c r="CV303" s="3">
        <f>(CV182-CU182)*-1</f>
        <v>0</v>
      </c>
      <c r="CW303" s="3">
        <f>(CW182-CV182)*-1</f>
        <v>0</v>
      </c>
      <c r="CX303" s="3">
        <f>(CX182-CW182)*-1</f>
        <v>0</v>
      </c>
      <c r="CY303" s="3">
        <f>SUM(CU303:CX303)</f>
        <v>0</v>
      </c>
      <c r="CZ303" s="3" t="n"/>
      <c r="DA303" s="3" t="n"/>
      <c r="DB303" s="3" t="n"/>
      <c r="DC303" s="3" t="n"/>
    </row>
    <row r="304">
      <c r="C304" s="29" t="inlineStr">
        <is>
          <t>Purchases of intangible assets</t>
        </is>
      </c>
      <c r="D304" s="3" t="n"/>
      <c r="E304" s="3">
        <f>((E186-D186)*-1)+((E185-D185)*-1)</f>
        <v>-10.38206501</v>
      </c>
      <c r="F304" s="3">
        <f>((F186-E186)*-1)+((F185-E185)*-1)</f>
        <v>-8.4659462599999</v>
      </c>
      <c r="G304" s="3">
        <f>((G186-F186)*-1)+((G185-F185)*-1)</f>
        <v>-505.6915299</v>
      </c>
      <c r="H304" s="3">
        <f>SUM(D304:G304)</f>
        <v>-524.53954117</v>
      </c>
      <c r="I304" s="3">
        <f>((I186-H186)*-1)+((I185-H185)*-1)</f>
        <v>-3.76299999999992</v>
      </c>
      <c r="J304" s="3">
        <f>((J186-I186)*-1)+((J185-I185)*-1)</f>
        <v>-148.646</v>
      </c>
      <c r="K304" s="3">
        <f>((K186-J186)*-1)+((K185-J185)*-1)</f>
        <v>-43.6510000000001</v>
      </c>
      <c r="L304" s="3">
        <f>((L186-K186)*-1)+((L185-K185)*-1)</f>
        <v>-79.357</v>
      </c>
      <c r="M304" s="3">
        <f>SUM(I304:L304)</f>
        <v>-275.417</v>
      </c>
      <c r="N304" s="3">
        <f>((N186-M186)*-1)+((N185-M185)*-1)</f>
        <v>-21.885</v>
      </c>
      <c r="O304" s="3">
        <f>((O186-N186)*-1)+((O185-N185)*-1)</f>
        <v>-383.133</v>
      </c>
      <c r="P304" s="3">
        <f>((P186-O186)*-1)+((P185-O185)*-1)</f>
        <v>-633.52</v>
      </c>
      <c r="Q304" s="3">
        <f>((Q186-P186)*-1)+((Q185-P185)*-1)</f>
        <v>-641.412</v>
      </c>
      <c r="R304" s="3">
        <f>SUM(N304:Q304)</f>
        <v>-1679.95</v>
      </c>
      <c r="S304" s="3">
        <f>((S186-R186)*-1)+((S185-R185)*-1)</f>
        <v>-17.8642759020204</v>
      </c>
      <c r="T304" s="3">
        <f>((T186-S186)*-1)+((T185-S185)*-1)</f>
        <v>-272.7492686764</v>
      </c>
      <c r="U304" s="3">
        <f>((U186-T186)*-1)+((U185-T185)*-1)</f>
        <v>-135.0736962218</v>
      </c>
      <c r="V304" s="3">
        <f>((V186-U186)*-1)+((V185-U185)*-1)</f>
        <v>-64.1808012585002</v>
      </c>
      <c r="W304" s="3">
        <f>SUM(S304:V304)</f>
        <v>-489.86804205872</v>
      </c>
      <c r="X304" s="3">
        <f>((X186-W186)*-1)+((X185-W185)*-1)</f>
        <v>-86.4058326588001</v>
      </c>
      <c r="Y304" s="3">
        <f>((Y186-X186)*-1)+((Y185-X185)*-1)</f>
        <v>-228.1009349365</v>
      </c>
      <c r="Z304" s="3">
        <f>((Z186-Y186)*-1)+((Z185-Y185)*-1)</f>
        <v>-135.515861605</v>
      </c>
      <c r="AA304" s="3">
        <f>((AA186-Z186)*-1)+((AA185-Z185)*-1)</f>
        <v>-240.25641420098</v>
      </c>
      <c r="AB304" s="3">
        <f>SUM(X304:AA304)</f>
        <v>-690.27904340128</v>
      </c>
      <c r="AC304" s="3">
        <f>((AC186-AB186)*-1)+((AC185-AB185)*-1)</f>
        <v>1216.58385005</v>
      </c>
      <c r="AD304" s="3">
        <f>((AD186-AC186)*-1)+((AD185-AC185)*-1)</f>
        <v>-29.2877217499999</v>
      </c>
      <c r="AE304" s="3">
        <f>((AE186-AD186)*-1)+((AE185-AD185)*-1)</f>
        <v>32.9498123399999</v>
      </c>
      <c r="AF304" s="3">
        <f>((AF186-AE186)*-1)+((AF185-AE185)*-1)</f>
        <v>-74.3628320099997</v>
      </c>
      <c r="AG304" s="3">
        <f>SUM(AC304:AF304)</f>
        <v>1145.88310863</v>
      </c>
      <c r="AH304" s="3">
        <f>((AH186-AG186)*-1)+((AH185-AG185)*-1)</f>
        <v>-13.2552418600003</v>
      </c>
      <c r="AI304" s="3">
        <f>((AI186-AH186)*-1)+((AI185-AH185)*-1)</f>
        <v>-59.7352284999997</v>
      </c>
      <c r="AJ304" s="3">
        <f>((AJ186-AI186)*-1)+((AJ185-AI185)*-1)</f>
        <v>3134.04144719</v>
      </c>
      <c r="AK304" s="3">
        <f>((AK186-AJ186)*-1)+((AK185-AJ185)*-1)</f>
        <v>0</v>
      </c>
      <c r="AL304" s="3">
        <f>SUM(AH304:AK304)</f>
        <v>3061.05097683</v>
      </c>
      <c r="AM304" s="3">
        <f>((AM186-AL186)*-1)+((AM185-AL185)*-1)</f>
        <v>0</v>
      </c>
      <c r="AN304" s="3">
        <f>((AN186-AM186)*-1)+((AN185-AM185)*-1)</f>
        <v>0</v>
      </c>
      <c r="AO304" s="3">
        <f>((AO186-AN186)*-1)+((AO185-AN185)*-1)</f>
        <v>0</v>
      </c>
      <c r="AP304" s="3">
        <f>((AP186-AO186)*-1)+((AP185-AO185)*-1)</f>
        <v>0</v>
      </c>
      <c r="AQ304" s="3">
        <f>SUM(AM304:AP304)</f>
        <v>0</v>
      </c>
      <c r="AR304" s="3">
        <f>((AR186-AQ186)*-1)+((AR185-AQ185)*-1)</f>
        <v>0</v>
      </c>
      <c r="AS304" s="3">
        <f>((AS186-AR186)*-1)+((AS185-AR185)*-1)</f>
        <v>0</v>
      </c>
      <c r="AT304" s="3">
        <f>((AT186-AS186)*-1)+((AT185-AS185)*-1)</f>
        <v>0</v>
      </c>
      <c r="AU304" s="3">
        <f>((AU186-AT186)*-1)+((AU185-AT185)*-1)</f>
        <v>0</v>
      </c>
      <c r="AV304" s="3">
        <f>SUM(AR304:AU304)</f>
        <v>0</v>
      </c>
      <c r="AW304" s="3">
        <f>((AW186-AV186)*-1)+((AW185-AV185)*-1)</f>
        <v>0</v>
      </c>
      <c r="AX304" s="3">
        <f>((AX186-AW186)*-1)+((AX185-AW185)*-1)</f>
        <v>0</v>
      </c>
      <c r="AY304" s="3">
        <f>((AY186-AX186)*-1)+((AY185-AX185)*-1)</f>
        <v>0</v>
      </c>
      <c r="AZ304" s="3">
        <f>((AZ186-AY186)*-1)+((AZ185-AY185)*-1)</f>
        <v>0</v>
      </c>
      <c r="BA304" s="3">
        <f>SUM(AW304:AZ304)</f>
        <v>0</v>
      </c>
      <c r="BB304" s="3">
        <f>((BB186-BA186)*-1)+((BB185-BA185)*-1)</f>
        <v>0</v>
      </c>
      <c r="BC304" s="3">
        <f>((BC186-BB186)*-1)+((BC185-BB185)*-1)</f>
        <v>0</v>
      </c>
      <c r="BD304" s="3">
        <f>((BD186-BC186)*-1)+((BD185-BC185)*-1)</f>
        <v>0</v>
      </c>
      <c r="BE304" s="3">
        <f>((BE186-BD186)*-1)+((BE185-BD185)*-1)</f>
        <v>0</v>
      </c>
      <c r="BF304" s="3">
        <f>SUM(BB304:BE304)</f>
        <v>0</v>
      </c>
      <c r="BG304" s="3">
        <f>((BG186-BF186)*-1)+((BG185-BF185)*-1)</f>
        <v>0</v>
      </c>
      <c r="BH304" s="3">
        <f>((BH186-BG186)*-1)+((BH185-BG185)*-1)</f>
        <v>0</v>
      </c>
      <c r="BI304" s="3">
        <f>((BI186-BH186)*-1)+((BI185-BH185)*-1)</f>
        <v>0</v>
      </c>
      <c r="BJ304" s="3">
        <f>((BJ186-BI186)*-1)+((BJ185-BI185)*-1)</f>
        <v>0</v>
      </c>
      <c r="BK304" s="3">
        <f>SUM(BG304:BJ304)</f>
        <v>0</v>
      </c>
      <c r="BL304" s="3">
        <f>((BL186-BK186)*-1)+((BL185-BK185)*-1)</f>
        <v>0</v>
      </c>
      <c r="BM304" s="3">
        <f>((BM186-BL186)*-1)+((BM185-BL185)*-1)</f>
        <v>0</v>
      </c>
      <c r="BN304" s="3">
        <f>((BN186-BM186)*-1)+((BN185-BM185)*-1)</f>
        <v>0</v>
      </c>
      <c r="BO304" s="3">
        <f>((BO186-BN186)*-1)+((BO185-BN185)*-1)</f>
        <v>0</v>
      </c>
      <c r="BP304" s="3">
        <f>SUM(BL304:BO304)</f>
        <v>0</v>
      </c>
      <c r="BQ304" s="3">
        <f>((BQ186-BP186)*-1)+((BQ185-BP185)*-1)</f>
        <v>0</v>
      </c>
      <c r="BR304" s="3">
        <f>((BR186-BQ186)*-1)+((BR185-BQ185)*-1)</f>
        <v>0</v>
      </c>
      <c r="BS304" s="3">
        <f>((BS186-BR186)*-1)+((BS185-BR185)*-1)</f>
        <v>0</v>
      </c>
      <c r="BT304" s="3">
        <f>((BT186-BS186)*-1)+((BT185-BS185)*-1)</f>
        <v>0</v>
      </c>
      <c r="BU304" s="3">
        <f>SUM(BQ304:BT304)</f>
        <v>0</v>
      </c>
      <c r="BV304" s="3">
        <f>((BV186-BU186)*-1)+((BV185-BU185)*-1)</f>
        <v>0</v>
      </c>
      <c r="BW304" s="3">
        <f>((BW186-BV186)*-1)+((BW185-BV185)*-1)</f>
        <v>0</v>
      </c>
      <c r="BX304" s="3">
        <f>((BX186-BW186)*-1)+((BX185-BW185)*-1)</f>
        <v>0</v>
      </c>
      <c r="BY304" s="3">
        <f>((BY186-BX186)*-1)+((BY185-BX185)*-1)</f>
        <v>0</v>
      </c>
      <c r="BZ304" s="3">
        <f>SUM(BV304:BY304)</f>
        <v>0</v>
      </c>
      <c r="CA304" s="3">
        <f>((CA186-BZ186)*-1)+((CA185-BZ185)*-1)</f>
        <v>0</v>
      </c>
      <c r="CB304" s="3">
        <f>((CB186-CA186)*-1)+((CB185-CA185)*-1)</f>
        <v>0</v>
      </c>
      <c r="CC304" s="3">
        <f>((CC186-CB186)*-1)+((CC185-CB185)*-1)</f>
        <v>0</v>
      </c>
      <c r="CD304" s="3">
        <f>((CD186-CC186)*-1)+((CD185-CC185)*-1)</f>
        <v>0</v>
      </c>
      <c r="CE304" s="3">
        <f>SUM(CA304:CD304)</f>
        <v>0</v>
      </c>
      <c r="CF304" s="3">
        <f>((CF186-CE186)*-1)+((CF185-CE185)*-1)</f>
        <v>0</v>
      </c>
      <c r="CG304" s="3">
        <f>((CG186-CF186)*-1)+((CG185-CF185)*-1)</f>
        <v>0</v>
      </c>
      <c r="CH304" s="3">
        <f>((CH186-CG186)*-1)+((CH185-CG185)*-1)</f>
        <v>0</v>
      </c>
      <c r="CI304" s="3">
        <f>((CI186-CH186)*-1)+((CI185-CH185)*-1)</f>
        <v>0</v>
      </c>
      <c r="CJ304" s="3">
        <f>SUM(CF304:CI304)</f>
        <v>0</v>
      </c>
      <c r="CK304" s="3">
        <f>((CK186-CJ186)*-1)+((CK185-CJ185)*-1)</f>
        <v>0</v>
      </c>
      <c r="CL304" s="3">
        <f>((CL186-CK186)*-1)+((CL185-CK185)*-1)</f>
        <v>0</v>
      </c>
      <c r="CM304" s="3">
        <f>((CM186-CL186)*-1)+((CM185-CL185)*-1)</f>
        <v>0</v>
      </c>
      <c r="CN304" s="3">
        <f>((CN186-CM186)*-1)+((CN185-CM185)*-1)</f>
        <v>0</v>
      </c>
      <c r="CO304" s="3">
        <f>SUM(CK304:CN304)</f>
        <v>0</v>
      </c>
      <c r="CP304" s="3">
        <f>((CP186-CO186)*-1)+((CP185-CO185)*-1)</f>
        <v>0</v>
      </c>
      <c r="CQ304" s="3">
        <f>((CQ186-CP186)*-1)+((CQ185-CP185)*-1)</f>
        <v>0</v>
      </c>
      <c r="CR304" s="3">
        <f>((CR186-CQ186)*-1)+((CR185-CQ185)*-1)</f>
        <v>0</v>
      </c>
      <c r="CS304" s="3">
        <f>((CS186-CR186)*-1)+((CS185-CR185)*-1)</f>
        <v>0</v>
      </c>
      <c r="CT304" s="3">
        <f>SUM(CP304:CS304)</f>
        <v>0</v>
      </c>
      <c r="CU304" s="3">
        <f>((CU186-CT186)*-1)+((CU185-CT185)*-1)</f>
        <v>0</v>
      </c>
      <c r="CV304" s="3">
        <f>((CV186-CU186)*-1)+((CV185-CU185)*-1)</f>
        <v>0</v>
      </c>
      <c r="CW304" s="3">
        <f>((CW186-CV186)*-1)+((CW185-CV185)*-1)</f>
        <v>0</v>
      </c>
      <c r="CX304" s="3">
        <f>((CX186-CW186)*-1)+((CX185-CW185)*-1)</f>
        <v>0</v>
      </c>
      <c r="CY304" s="3">
        <f>SUM(CU304:CX304)</f>
        <v>0</v>
      </c>
      <c r="CZ304" s="3" t="n"/>
      <c r="DA304" s="3" t="n"/>
      <c r="DB304" s="3" t="n"/>
      <c r="DC304" s="3" t="n"/>
    </row>
    <row r="305">
      <c r="C305" s="30" t="inlineStr">
        <is>
          <t>Purchases/Proceeds from other long-term assets</t>
        </is>
      </c>
      <c r="D305" s="3" t="n"/>
      <c r="E305" s="3">
        <f>((E195-D195)*-1)+(E246-D246)</f>
        <v>406.68869048</v>
      </c>
      <c r="F305" s="3">
        <f>((F195-E195)*-1)+(F246-E246)</f>
        <v>-92.3135474</v>
      </c>
      <c r="G305" s="3">
        <f>((G195-F195)*-1)+(G246-F246)</f>
        <v>411.0083286</v>
      </c>
      <c r="H305" s="3">
        <f>SUM(D305:G305)</f>
        <v>725.38347168</v>
      </c>
      <c r="I305" s="3">
        <f>((I195-H195)*-1)+(I246-H246)</f>
        <v>80.3673437699999</v>
      </c>
      <c r="J305" s="3">
        <f>((J195-I195)*-1)+(J246-I246)</f>
        <v>592.15116305</v>
      </c>
      <c r="K305" s="3">
        <f>((K195-J195)*-1)+(K246-J246)</f>
        <v>214.44140211</v>
      </c>
      <c r="L305" s="3">
        <f>((L195-K195)*-1)+(L246-K246)</f>
        <v>-282.162</v>
      </c>
      <c r="M305" s="3">
        <f>SUM(I305:L305)</f>
        <v>604.79790893</v>
      </c>
      <c r="N305" s="3">
        <f>((N195-M195)*-1)+(N246-M246)</f>
        <v>1498.87</v>
      </c>
      <c r="O305" s="3">
        <f>((O195-N195)*-1)+(O246-N246)</f>
        <v>158.872</v>
      </c>
      <c r="P305" s="3">
        <f>((P195-O195)*-1)+(P246-O246)</f>
        <v>1026.207</v>
      </c>
      <c r="Q305" s="3">
        <f>((Q195-P195)*-1)+(Q246-P246)</f>
        <v>769.552</v>
      </c>
      <c r="R305" s="3">
        <f>SUM(N305:Q305)</f>
        <v>3453.501</v>
      </c>
      <c r="S305" s="3">
        <f>((S195-R195)*-1)+(S246-R246)</f>
        <v>206.963026127795</v>
      </c>
      <c r="T305" s="3">
        <f>((T195-S195)*-1)+(T246-S246)</f>
        <v>-617.689881585136</v>
      </c>
      <c r="U305" s="3">
        <f>((U195-T195)*-1)+(U246-T246)</f>
        <v>264.301338528769</v>
      </c>
      <c r="V305" s="3">
        <f>((V195-U195)*-1)+(V246-U246)</f>
        <v>-980.110340383069</v>
      </c>
      <c r="W305" s="3">
        <f>SUM(S305:V305)</f>
        <v>-1126.53585731164</v>
      </c>
      <c r="X305" s="3">
        <f>((X195-W195)*-1)+(X246-W246)</f>
        <v>232.73405487139</v>
      </c>
      <c r="Y305" s="3">
        <f>((Y195-X195)*-1)+(Y246-X246)</f>
        <v>-560.203503566312</v>
      </c>
      <c r="Z305" s="3">
        <f>((Z195-Y195)*-1)+(Z246-Y246)</f>
        <v>-275.608484498857</v>
      </c>
      <c r="AA305" s="3">
        <f>((AA195-Z195)*-1)+(AA246-Z246)</f>
        <v>-539.22661579458</v>
      </c>
      <c r="AB305" s="3">
        <f>SUM(X305:AA305)</f>
        <v>-1142.30454898836</v>
      </c>
      <c r="AC305" s="3">
        <f>((AC195-AB195)*-1)+(AC246-AB246)</f>
        <v>664.5786404</v>
      </c>
      <c r="AD305" s="3">
        <f>((AD195-AC195)*-1)+(AD246-AC246)</f>
        <v>633.638741640001</v>
      </c>
      <c r="AE305" s="3">
        <f>((AE195-AD195)*-1)+(AE246-AD246)</f>
        <v>825.230990409999</v>
      </c>
      <c r="AF305" s="3">
        <f>((AF195-AE195)*-1)+(AF246-AE246)</f>
        <v>-646.57693715</v>
      </c>
      <c r="AG305" s="3">
        <f>SUM(AC305:AF305)</f>
        <v>1476.8714353</v>
      </c>
      <c r="AH305" s="3">
        <f>((AH195-AG195)*-1)+(AH246-AG246)</f>
        <v>-1184.10693674</v>
      </c>
      <c r="AI305" s="3">
        <f>((AI195-AH195)*-1)+(AI246-AH246)</f>
        <v>458.606978690001</v>
      </c>
      <c r="AJ305" s="3">
        <f>((AJ195-AI195)*-1)+(AJ246-AI246)</f>
        <v>0</v>
      </c>
      <c r="AK305" s="3">
        <f>((AK195-AJ195)*-1)+(AK246-AJ246)</f>
        <v>0</v>
      </c>
      <c r="AL305" s="3">
        <f>SUM(AH305:AK305)</f>
        <v>-725.49995805</v>
      </c>
      <c r="AM305" s="3">
        <f>((AM195-AL195)*-1)+(AM246-AL246)</f>
        <v>0</v>
      </c>
      <c r="AN305" s="3">
        <f>((AN195-AM195)*-1)+(AN246-AM246)</f>
        <v>0</v>
      </c>
      <c r="AO305" s="3">
        <f>((AO195-AN195)*-1)+(AO246-AN246)</f>
        <v>0</v>
      </c>
      <c r="AP305" s="3">
        <f>((AP195-AO195)*-1)+(AP246-AO246)</f>
        <v>0</v>
      </c>
      <c r="AQ305" s="3">
        <f>SUM(AM305:AP305)</f>
        <v>0</v>
      </c>
      <c r="AR305" s="3">
        <f>((AR195-AQ195)*-1)+(AR246-AQ246)</f>
        <v>0</v>
      </c>
      <c r="AS305" s="3">
        <f>((AS195-AR195)*-1)+(AS246-AR246)</f>
        <v>0</v>
      </c>
      <c r="AT305" s="3">
        <f>((AT195-AS195)*-1)+(AT246-AS246)</f>
        <v>0</v>
      </c>
      <c r="AU305" s="3">
        <f>((AU195-AT195)*-1)+(AU246-AT246)</f>
        <v>0</v>
      </c>
      <c r="AV305" s="3">
        <f>SUM(AR305:AU305)</f>
        <v>0</v>
      </c>
      <c r="AW305" s="3">
        <f>((AW195-AV195)*-1)+(AW246-AV246)</f>
        <v>0</v>
      </c>
      <c r="AX305" s="3">
        <f>((AX195-AW195)*-1)+(AX246-AW246)</f>
        <v>0</v>
      </c>
      <c r="AY305" s="3">
        <f>((AY195-AX195)*-1)+(AY246-AX246)</f>
        <v>0</v>
      </c>
      <c r="AZ305" s="3">
        <f>((AZ195-AY195)*-1)+(AZ246-AY246)</f>
        <v>0</v>
      </c>
      <c r="BA305" s="3">
        <f>SUM(AW305:AZ305)</f>
        <v>0</v>
      </c>
      <c r="BB305" s="3">
        <f>((BB195-BA195)*-1)+(BB246-BA246)</f>
        <v>0</v>
      </c>
      <c r="BC305" s="3">
        <f>((BC195-BB195)*-1)+(BC246-BB246)</f>
        <v>0</v>
      </c>
      <c r="BD305" s="3">
        <f>((BD195-BC195)*-1)+(BD246-BC246)</f>
        <v>0</v>
      </c>
      <c r="BE305" s="3">
        <f>((BE195-BD195)*-1)+(BE246-BD246)</f>
        <v>0</v>
      </c>
      <c r="BF305" s="3">
        <f>SUM(BB305:BE305)</f>
        <v>0</v>
      </c>
      <c r="BG305" s="3">
        <f>((BG195-BF195)*-1)+(BG246-BF246)</f>
        <v>0</v>
      </c>
      <c r="BH305" s="3">
        <f>((BH195-BG195)*-1)+(BH246-BG246)</f>
        <v>0</v>
      </c>
      <c r="BI305" s="3">
        <f>((BI195-BH195)*-1)+(BI246-BH246)</f>
        <v>0</v>
      </c>
      <c r="BJ305" s="3">
        <f>((BJ195-BI195)*-1)+(BJ246-BI246)</f>
        <v>0</v>
      </c>
      <c r="BK305" s="3">
        <f>SUM(BG305:BJ305)</f>
        <v>0</v>
      </c>
      <c r="BL305" s="3">
        <f>((BL195-BK195)*-1)+(BL246-BK246)</f>
        <v>0</v>
      </c>
      <c r="BM305" s="3">
        <f>((BM195-BL195)*-1)+(BM246-BL246)</f>
        <v>0</v>
      </c>
      <c r="BN305" s="3">
        <f>((BN195-BM195)*-1)+(BN246-BM246)</f>
        <v>0</v>
      </c>
      <c r="BO305" s="3">
        <f>((BO195-BN195)*-1)+(BO246-BN246)</f>
        <v>0</v>
      </c>
      <c r="BP305" s="3">
        <f>SUM(BL305:BO305)</f>
        <v>0</v>
      </c>
      <c r="BQ305" s="3">
        <f>((BQ195-BP195)*-1)+(BQ246-BP246)</f>
        <v>0</v>
      </c>
      <c r="BR305" s="3">
        <f>((BR195-BQ195)*-1)+(BR246-BQ246)</f>
        <v>0</v>
      </c>
      <c r="BS305" s="3">
        <f>((BS195-BR195)*-1)+(BS246-BR246)</f>
        <v>0</v>
      </c>
      <c r="BT305" s="3">
        <f>((BT195-BS195)*-1)+(BT246-BS246)</f>
        <v>0</v>
      </c>
      <c r="BU305" s="3">
        <f>SUM(BQ305:BT305)</f>
        <v>0</v>
      </c>
      <c r="BV305" s="3">
        <f>((BV195-BU195)*-1)+(BV246-BU246)</f>
        <v>0</v>
      </c>
      <c r="BW305" s="3">
        <f>((BW195-BV195)*-1)+(BW246-BV246)</f>
        <v>0</v>
      </c>
      <c r="BX305" s="3">
        <f>((BX195-BW195)*-1)+(BX246-BW246)</f>
        <v>0</v>
      </c>
      <c r="BY305" s="3">
        <f>((BY195-BX195)*-1)+(BY246-BX246)</f>
        <v>0</v>
      </c>
      <c r="BZ305" s="3">
        <f>SUM(BV305:BY305)</f>
        <v>0</v>
      </c>
      <c r="CA305" s="3">
        <f>((CA195-BZ195)*-1)+(CA246-BZ246)</f>
        <v>0</v>
      </c>
      <c r="CB305" s="3">
        <f>((CB195-CA195)*-1)+(CB246-CA246)</f>
        <v>0</v>
      </c>
      <c r="CC305" s="3">
        <f>((CC195-CB195)*-1)+(CC246-CB246)</f>
        <v>0</v>
      </c>
      <c r="CD305" s="3">
        <f>((CD195-CC195)*-1)+(CD246-CC246)</f>
        <v>0</v>
      </c>
      <c r="CE305" s="3">
        <f>SUM(CA305:CD305)</f>
        <v>0</v>
      </c>
      <c r="CF305" s="3">
        <f>((CF195-CE195)*-1)+(CF246-CE246)</f>
        <v>0</v>
      </c>
      <c r="CG305" s="3">
        <f>((CG195-CF195)*-1)+(CG246-CF246)</f>
        <v>0</v>
      </c>
      <c r="CH305" s="3">
        <f>((CH195-CG195)*-1)+(CH246-CG246)</f>
        <v>0</v>
      </c>
      <c r="CI305" s="3">
        <f>((CI195-CH195)*-1)+(CI246-CH246)</f>
        <v>0</v>
      </c>
      <c r="CJ305" s="3">
        <f>SUM(CF305:CI305)</f>
        <v>0</v>
      </c>
      <c r="CK305" s="3">
        <f>((CK195-CJ195)*-1)+(CK246-CJ246)</f>
        <v>0</v>
      </c>
      <c r="CL305" s="3">
        <f>((CL195-CK195)*-1)+(CL246-CK246)</f>
        <v>0</v>
      </c>
      <c r="CM305" s="3">
        <f>((CM195-CL195)*-1)+(CM246-CL246)</f>
        <v>0</v>
      </c>
      <c r="CN305" s="3">
        <f>((CN195-CM195)*-1)+(CN246-CM246)</f>
        <v>0</v>
      </c>
      <c r="CO305" s="3">
        <f>SUM(CK305:CN305)</f>
        <v>0</v>
      </c>
      <c r="CP305" s="3">
        <f>((CP195-CO195)*-1)+(CP246-CO246)</f>
        <v>0</v>
      </c>
      <c r="CQ305" s="3">
        <f>((CQ195-CP195)*-1)+(CQ246-CP246)</f>
        <v>0</v>
      </c>
      <c r="CR305" s="3">
        <f>((CR195-CQ195)*-1)+(CR246-CQ246)</f>
        <v>0</v>
      </c>
      <c r="CS305" s="3">
        <f>((CS195-CR195)*-1)+(CS246-CR246)</f>
        <v>0</v>
      </c>
      <c r="CT305" s="3">
        <f>SUM(CP305:CS305)</f>
        <v>0</v>
      </c>
      <c r="CU305" s="3">
        <f>((CU195-CT195)*-1)+(CU246-CT246)</f>
        <v>0</v>
      </c>
      <c r="CV305" s="3">
        <f>((CV195-CU195)*-1)+(CV246-CU246)</f>
        <v>0</v>
      </c>
      <c r="CW305" s="3">
        <f>((CW195-CV195)*-1)+(CW246-CV246)</f>
        <v>0</v>
      </c>
      <c r="CX305" s="3">
        <f>((CX195-CW195)*-1)+(CX246-CW246)</f>
        <v>0</v>
      </c>
      <c r="CY305" s="3">
        <f>SUM(CU305:CX305)</f>
        <v>0</v>
      </c>
    </row>
    <row r="306">
      <c r="C306" s="26" t="inlineStr">
        <is>
          <t>Cash from investing</t>
        </is>
      </c>
      <c r="D306" s="3" t="n"/>
      <c r="E306" s="3">
        <f>SUM(E301,E302,E304,E305,E303)</f>
        <v>602.8532304</v>
      </c>
      <c r="F306" s="3">
        <f>SUM(F301,F302,F304,F305,F303)</f>
        <v>-1155.86302966755</v>
      </c>
      <c r="G306" s="3">
        <f>SUM(G301,G302,G304,G305,G303)</f>
        <v>-1952.18508929097</v>
      </c>
      <c r="H306" s="3">
        <f>SUM(H301,H302,H304,H305)</f>
        <v>-2505.19488855852</v>
      </c>
      <c r="I306" s="3">
        <f>SUM(I301,I302,I304,I305,I303)</f>
        <v>-1138.07365623</v>
      </c>
      <c r="J306" s="3">
        <f>SUM(J301,J302,J304,J305,J303)</f>
        <v>-2076.40711525225</v>
      </c>
      <c r="K306" s="3">
        <f>SUM(K301,K302,K304,K305,K303)</f>
        <v>-2507.07196427652</v>
      </c>
      <c r="L306" s="3">
        <f>SUM(L301,L302,L304,L305,L303)</f>
        <v>-4828.42535795357</v>
      </c>
      <c r="M306" s="3">
        <f>SUM(M301,M302,M304,M305)</f>
        <v>-10549.9780937123</v>
      </c>
      <c r="N306" s="3">
        <f>SUM(N301,N302,N304,N305,N303)</f>
        <v>-1140.732</v>
      </c>
      <c r="O306" s="3">
        <f>SUM(O301,O302,O304,O305,O303)</f>
        <v>-4344.7787974237</v>
      </c>
      <c r="P306" s="3">
        <f>SUM(P301,P302,P304,P305,P303)</f>
        <v>-3187.71330592752</v>
      </c>
      <c r="Q306" s="3">
        <f>SUM(Q301,Q302,Q304,Q305,Q303)</f>
        <v>-4002.76489664877</v>
      </c>
      <c r="R306" s="3">
        <f>SUM(R301,R302,R304,R305)</f>
        <v>-12675.989</v>
      </c>
      <c r="S306" s="3">
        <f>SUM(S301,S302,S304,S305,S303)</f>
        <v>-552.160250779345</v>
      </c>
      <c r="T306" s="3">
        <f>SUM(T301,T302,T304,T305,T303)</f>
        <v>-2323.02564830266</v>
      </c>
      <c r="U306" s="3">
        <f>SUM(U301,U302,U304,U305,U303)</f>
        <v>-1748.08648379414</v>
      </c>
      <c r="V306" s="3">
        <f>SUM(V301,V302,V304,V305,V303)</f>
        <v>-5792.26309435357</v>
      </c>
      <c r="W306" s="3">
        <f>SUM(W301,W302,W304,W305)</f>
        <v>-10415.5354772297</v>
      </c>
      <c r="X306" s="3">
        <f>SUM(X301,X302,X304,X305,X303)</f>
        <v>-1940.71790259755</v>
      </c>
      <c r="Y306" s="3">
        <f>SUM(Y301,Y302,Y304,Y305,Y303)</f>
        <v>-2791.33329089271</v>
      </c>
      <c r="Z306" s="3">
        <f>SUM(Z301,Z302,Z304,Z305,Z303)</f>
        <v>-2186.71276250277</v>
      </c>
      <c r="AA306" s="3">
        <f>SUM(AA301,AA302,AA304,AA305,AA303)</f>
        <v>-4396.99084809691</v>
      </c>
      <c r="AB306" s="3">
        <f>SUM(AB301,AB302,AB304,AB305)</f>
        <v>-11315.7548040899</v>
      </c>
      <c r="AC306" s="3">
        <f>SUM(AC301,AC302,AC304,AC305,AC303)</f>
        <v>1652.27958530001</v>
      </c>
      <c r="AD306" s="3">
        <f>SUM(AD301,AD302,AD304,AD305,AD303)</f>
        <v>-1014.15517441001</v>
      </c>
      <c r="AE306" s="3">
        <f>SUM(AE301,AE302,AE304,AE305,AE303)</f>
        <v>-476.579251740001</v>
      </c>
      <c r="AF306" s="3">
        <f>SUM(AF301,AF302,AF304,AF305,AF303)</f>
        <v>-4324.53248804999</v>
      </c>
      <c r="AG306" s="3">
        <f>SUM(AG301,AG302,AG304,AG305)</f>
        <v>-4162.98732889999</v>
      </c>
      <c r="AH306" s="3">
        <f>SUM(AH301,AH302,AH304,AH305,AH303)</f>
        <v>-1000.72510778002</v>
      </c>
      <c r="AI306" s="3">
        <f>SUM(AI301,AI302,AI304,AI305,AI303)</f>
        <v>-2543.95422940999</v>
      </c>
      <c r="AJ306" s="3">
        <f>SUM(AJ301,AJ302,AJ304,AJ305,AJ303)</f>
        <v>3134.04144719</v>
      </c>
      <c r="AK306" s="3">
        <f>SUM(AK301,AK302,AK304,AK305,AK303)</f>
        <v>0</v>
      </c>
      <c r="AL306" s="3">
        <f>SUM(AL301,AL302,AL304,AL305)</f>
        <v>-410.637890000003</v>
      </c>
      <c r="AM306" s="3">
        <f>SUM(AM301,AM302,AM304,AM305,AM303)</f>
        <v>0</v>
      </c>
      <c r="AN306" s="3">
        <f>SUM(AN301,AN302,AN304,AN305,AN303)</f>
        <v>0</v>
      </c>
      <c r="AO306" s="3">
        <f>SUM(AO301,AO302,AO304,AO305,AO303)</f>
        <v>0</v>
      </c>
      <c r="AP306" s="3">
        <f>SUM(AP301,AP302,AP304,AP305,AP303)</f>
        <v>0</v>
      </c>
      <c r="AQ306" s="3">
        <f>SUM(AQ301,AQ302,AQ304,AQ305)</f>
        <v>0</v>
      </c>
      <c r="AR306" s="3">
        <f>SUM(AR301,AR302,AR304,AR305,AR303)</f>
        <v>0</v>
      </c>
      <c r="AS306" s="3">
        <f>SUM(AS301,AS302,AS304,AS305,AS303)</f>
        <v>0</v>
      </c>
      <c r="AT306" s="3">
        <f>SUM(AT301,AT302,AT304,AT305,AT303)</f>
        <v>0</v>
      </c>
      <c r="AU306" s="3">
        <f>SUM(AU301,AU302,AU304,AU305,AU303)</f>
        <v>0</v>
      </c>
      <c r="AV306" s="3">
        <f>SUM(AV301,AV302,AV304,AV305)</f>
        <v>0</v>
      </c>
      <c r="AW306" s="3">
        <f>SUM(AW301,AW302,AW304,AW305,AW303)</f>
        <v>0</v>
      </c>
      <c r="AX306" s="3">
        <f>SUM(AX301,AX302,AX304,AX305,AX303)</f>
        <v>0</v>
      </c>
      <c r="AY306" s="3">
        <f>SUM(AY301,AY302,AY304,AY305,AY303)</f>
        <v>0</v>
      </c>
      <c r="AZ306" s="3">
        <f>SUM(AZ301,AZ302,AZ304,AZ305,AZ303)</f>
        <v>0</v>
      </c>
      <c r="BA306" s="3">
        <f>SUM(BA301,BA302,BA304,BA305)</f>
        <v>0</v>
      </c>
      <c r="BB306" s="3">
        <f>SUM(BB301,BB302,BB304,BB305,BB303)</f>
        <v>0</v>
      </c>
      <c r="BC306" s="3">
        <f>SUM(BC301,BC302,BC304,BC305,BC303)</f>
        <v>0</v>
      </c>
      <c r="BD306" s="3">
        <f>SUM(BD301,BD302,BD304,BD305,BD303)</f>
        <v>0</v>
      </c>
      <c r="BE306" s="3">
        <f>SUM(BE301,BE302,BE304,BE305,BE303)</f>
        <v>0</v>
      </c>
      <c r="BF306" s="3">
        <f>SUM(BF301,BF302,BF304,BF305)</f>
        <v>0</v>
      </c>
      <c r="BG306" s="3">
        <f>SUM(BG301,BG302,BG304,BG305,BG303)</f>
        <v>0</v>
      </c>
      <c r="BH306" s="3">
        <f>SUM(BH301,BH302,BH304,BH305,BH303)</f>
        <v>0</v>
      </c>
      <c r="BI306" s="3">
        <f>SUM(BI301,BI302,BI304,BI305,BI303)</f>
        <v>0</v>
      </c>
      <c r="BJ306" s="3">
        <f>SUM(BJ301,BJ302,BJ304,BJ305,BJ303)</f>
        <v>0</v>
      </c>
      <c r="BK306" s="3">
        <f>SUM(BK301,BK302,BK304,BK305)</f>
        <v>0</v>
      </c>
      <c r="BL306" s="3">
        <f>SUM(BL301,BL302,BL304,BL305,BL303)</f>
        <v>0</v>
      </c>
      <c r="BM306" s="3">
        <f>SUM(BM301,BM302,BM304,BM305,BM303)</f>
        <v>0</v>
      </c>
      <c r="BN306" s="3">
        <f>SUM(BN301,BN302,BN304,BN305,BN303)</f>
        <v>0</v>
      </c>
      <c r="BO306" s="3">
        <f>SUM(BO301,BO302,BO304,BO305,BO303)</f>
        <v>0</v>
      </c>
      <c r="BP306" s="3">
        <f>SUM(BP301,BP302,BP304,BP305)</f>
        <v>0</v>
      </c>
      <c r="BQ306" s="3">
        <f>SUM(BQ301,BQ302,BQ304,BQ305,BQ303)</f>
        <v>0</v>
      </c>
      <c r="BR306" s="3">
        <f>SUM(BR301,BR302,BR304,BR305,BR303)</f>
        <v>0</v>
      </c>
      <c r="BS306" s="3">
        <f>SUM(BS301,BS302,BS304,BS305,BS303)</f>
        <v>0</v>
      </c>
      <c r="BT306" s="3">
        <f>SUM(BT301,BT302,BT304,BT305,BT303)</f>
        <v>0</v>
      </c>
      <c r="BU306" s="3">
        <f>SUM(BU301,BU302,BU304,BU305)</f>
        <v>0</v>
      </c>
      <c r="BV306" s="3">
        <f>SUM(BV301,BV302,BV304,BV305,BV303)</f>
        <v>0</v>
      </c>
      <c r="BW306" s="3">
        <f>SUM(BW301,BW302,BW304,BW305,BW303)</f>
        <v>0</v>
      </c>
      <c r="BX306" s="3">
        <f>SUM(BX301,BX302,BX304,BX305,BX303)</f>
        <v>0</v>
      </c>
      <c r="BY306" s="3">
        <f>SUM(BY301,BY302,BY304,BY305,BY303)</f>
        <v>0</v>
      </c>
      <c r="BZ306" s="3">
        <f>SUM(BZ301,BZ302,BZ304,BZ305)</f>
        <v>0</v>
      </c>
      <c r="CA306" s="3">
        <f>SUM(CA301,CA302,CA304,CA305,CA303)</f>
        <v>0</v>
      </c>
      <c r="CB306" s="3">
        <f>SUM(CB301,CB302,CB304,CB305,CB303)</f>
        <v>0</v>
      </c>
      <c r="CC306" s="3">
        <f>SUM(CC301,CC302,CC304,CC305,CC303)</f>
        <v>0</v>
      </c>
      <c r="CD306" s="3">
        <f>SUM(CD301,CD302,CD304,CD305,CD303)</f>
        <v>0</v>
      </c>
      <c r="CE306" s="3">
        <f>SUM(CE301,CE302,CE304,CE305)</f>
        <v>0</v>
      </c>
      <c r="CF306" s="3">
        <f>SUM(CF301,CF302,CF304,CF305,CF303)</f>
        <v>0</v>
      </c>
      <c r="CG306" s="3">
        <f>SUM(CG301,CG302,CG304,CG305,CG303)</f>
        <v>0</v>
      </c>
      <c r="CH306" s="3">
        <f>SUM(CH301,CH302,CH304,CH305,CH303)</f>
        <v>0</v>
      </c>
      <c r="CI306" s="3">
        <f>SUM(CI301,CI302,CI304,CI305,CI303)</f>
        <v>0</v>
      </c>
      <c r="CJ306" s="3">
        <f>SUM(CJ301,CJ302,CJ304,CJ305)</f>
        <v>0</v>
      </c>
      <c r="CK306" s="3">
        <f>SUM(CK301,CK302,CK304,CK305,CK303)</f>
        <v>0</v>
      </c>
      <c r="CL306" s="3">
        <f>SUM(CL301,CL302,CL304,CL305,CL303)</f>
        <v>0</v>
      </c>
      <c r="CM306" s="3">
        <f>SUM(CM301,CM302,CM304,CM305,CM303)</f>
        <v>0</v>
      </c>
      <c r="CN306" s="3">
        <f>SUM(CN301,CN302,CN304,CN305,CN303)</f>
        <v>0</v>
      </c>
      <c r="CO306" s="3">
        <f>SUM(CO301,CO302,CO304,CO305)</f>
        <v>0</v>
      </c>
      <c r="CP306" s="3">
        <f>SUM(CP301,CP302,CP304,CP305,CP303)</f>
        <v>0</v>
      </c>
      <c r="CQ306" s="3">
        <f>SUM(CQ301,CQ302,CQ304,CQ305,CQ303)</f>
        <v>0</v>
      </c>
      <c r="CR306" s="3">
        <f>SUM(CR301,CR302,CR304,CR305,CR303)</f>
        <v>0</v>
      </c>
      <c r="CS306" s="3">
        <f>SUM(CS301,CS302,CS304,CS305,CS303)</f>
        <v>0</v>
      </c>
      <c r="CT306" s="3">
        <f>SUM(CT301,CT302,CT304,CT305)</f>
        <v>0</v>
      </c>
      <c r="CU306" s="3">
        <f>SUM(CU301,CU302,CU304,CU305,CU303)</f>
        <v>0</v>
      </c>
      <c r="CV306" s="3">
        <f>SUM(CV301,CV302,CV304,CV305,CV303)</f>
        <v>0</v>
      </c>
      <c r="CW306" s="3">
        <f>SUM(CW301,CW302,CW304,CW305,CW303)</f>
        <v>0</v>
      </c>
      <c r="CX306" s="3">
        <f>SUM(CX301,CX302,CX304,CX305,CX303)</f>
        <v>0</v>
      </c>
      <c r="CY306" s="3">
        <f>SUM(CY301,CY302,CY304,CY305)</f>
        <v>0</v>
      </c>
    </row>
    <row r="307">
      <c r="C307" s="26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  <c r="BO307" s="3" t="n"/>
      <c r="BP307" s="3" t="n"/>
      <c r="BQ307" s="3" t="n"/>
      <c r="BR307" s="3" t="n"/>
      <c r="BS307" s="3" t="n"/>
      <c r="BT307" s="3" t="n"/>
      <c r="BU307" s="3" t="n"/>
      <c r="BV307" s="3" t="n"/>
      <c r="BW307" s="3" t="n"/>
      <c r="BX307" s="3" t="n"/>
      <c r="BY307" s="3" t="n"/>
      <c r="BZ307" s="3" t="n"/>
      <c r="CA307" s="3" t="n"/>
      <c r="CB307" s="3" t="n"/>
      <c r="CC307" s="3" t="n"/>
      <c r="CD307" s="3" t="n"/>
      <c r="CE307" s="3" t="n"/>
      <c r="CF307" s="3" t="n"/>
      <c r="CG307" s="3" t="n"/>
      <c r="CH307" s="3" t="n"/>
      <c r="CI307" s="3" t="n"/>
      <c r="CJ307" s="3" t="n"/>
      <c r="CK307" s="3" t="n"/>
      <c r="CL307" s="3" t="n"/>
      <c r="CM307" s="3" t="n"/>
      <c r="CN307" s="3" t="n"/>
      <c r="CO307" s="3" t="n"/>
      <c r="CP307" s="3" t="n"/>
      <c r="CQ307" s="3" t="n"/>
      <c r="CR307" s="3" t="n"/>
      <c r="CS307" s="3" t="n"/>
      <c r="CT307" s="3" t="n"/>
      <c r="CU307" s="3" t="n"/>
      <c r="CV307" s="3" t="n"/>
      <c r="CW307" s="3" t="n"/>
      <c r="CX307" s="3" t="n"/>
      <c r="CY307" s="3" t="n"/>
    </row>
    <row r="308">
      <c r="C308" s="26" t="inlineStr">
        <is>
          <t>Convertible preferred stock</t>
        </is>
      </c>
      <c r="D308" s="3" t="n"/>
      <c r="E308" s="3">
        <f>E259-D259</f>
        <v>0</v>
      </c>
      <c r="F308" s="3">
        <f>F259-E259</f>
        <v>0</v>
      </c>
      <c r="G308" s="3">
        <f>G259-F259</f>
        <v>0</v>
      </c>
      <c r="H308" s="3">
        <f>SUM(D308:G308)</f>
        <v>0</v>
      </c>
      <c r="I308" s="3">
        <f>I259-H259</f>
        <v>0</v>
      </c>
      <c r="J308" s="3">
        <f>J259-I259</f>
        <v>0</v>
      </c>
      <c r="K308" s="3">
        <f>K259-J259</f>
        <v>0</v>
      </c>
      <c r="L308" s="3">
        <f>L259-K259</f>
        <v>0</v>
      </c>
      <c r="M308" s="3">
        <f>SUM(I308:L308)</f>
        <v>0</v>
      </c>
      <c r="N308" s="3">
        <f>N259-M259</f>
        <v>0</v>
      </c>
      <c r="O308" s="3">
        <f>O259-N259</f>
        <v>0</v>
      </c>
      <c r="P308" s="3">
        <f>P259-O259</f>
        <v>0</v>
      </c>
      <c r="Q308" s="3">
        <f>Q259-P259</f>
        <v>0</v>
      </c>
      <c r="R308" s="3">
        <f>SUM(N308:Q308)</f>
        <v>0</v>
      </c>
      <c r="S308" s="3">
        <f>S259-R259</f>
        <v>0</v>
      </c>
      <c r="T308" s="3">
        <f>T259-S259</f>
        <v>0</v>
      </c>
      <c r="U308" s="3">
        <f>U259-T259</f>
        <v>0</v>
      </c>
      <c r="V308" s="3">
        <f>V259-U259</f>
        <v>0</v>
      </c>
      <c r="W308" s="3">
        <f>SUM(S308:V308)</f>
        <v>0</v>
      </c>
      <c r="X308" s="3">
        <f>X259-W259</f>
        <v>0</v>
      </c>
      <c r="Y308" s="3">
        <f>Y259-X259</f>
        <v>0</v>
      </c>
      <c r="Z308" s="3">
        <f>Z259-Y259</f>
        <v>0</v>
      </c>
      <c r="AA308" s="3">
        <f>AA259-Z259</f>
        <v>0</v>
      </c>
      <c r="AB308" s="3">
        <f>SUM(X308:AA308)</f>
        <v>0</v>
      </c>
      <c r="AC308" s="3">
        <f>AC259-AB259</f>
        <v>0</v>
      </c>
      <c r="AD308" s="3">
        <f>AD259-AC259</f>
        <v>0</v>
      </c>
      <c r="AE308" s="3">
        <f>AE259-AD259</f>
        <v>0</v>
      </c>
      <c r="AF308" s="3">
        <f>AF259-AE259</f>
        <v>0</v>
      </c>
      <c r="AG308" s="3">
        <f>SUM(AC308:AF308)</f>
        <v>0</v>
      </c>
      <c r="AH308" s="3">
        <f>AH259-AG259</f>
        <v>0</v>
      </c>
      <c r="AI308" s="3">
        <f>AI259-AH259</f>
        <v>0</v>
      </c>
      <c r="AJ308" s="3">
        <f>AJ259-AI259</f>
        <v>0</v>
      </c>
      <c r="AK308" s="3">
        <f>AK259-AJ259</f>
        <v>0</v>
      </c>
      <c r="AL308" s="3">
        <f>SUM(AH308:AK308)</f>
        <v>0</v>
      </c>
      <c r="AM308" s="3">
        <f>AM259-AL259</f>
        <v>0</v>
      </c>
      <c r="AN308" s="3">
        <f>AN259-AM259</f>
        <v>0</v>
      </c>
      <c r="AO308" s="3">
        <f>AO259-AN259</f>
        <v>0</v>
      </c>
      <c r="AP308" s="3">
        <f>AP259-AO259</f>
        <v>0</v>
      </c>
      <c r="AQ308" s="3">
        <f>SUM(AM308:AP308)</f>
        <v>0</v>
      </c>
      <c r="AR308" s="3">
        <f>AR259-AQ259</f>
        <v>0</v>
      </c>
      <c r="AS308" s="3">
        <f>AS259-AR259</f>
        <v>0</v>
      </c>
      <c r="AT308" s="3">
        <f>AT259-AS259</f>
        <v>0</v>
      </c>
      <c r="AU308" s="3">
        <f>AU259-AT259</f>
        <v>0</v>
      </c>
      <c r="AV308" s="3">
        <f>SUM(AR308:AU308)</f>
        <v>0</v>
      </c>
      <c r="AW308" s="3">
        <f>AW259-AV259</f>
        <v>0</v>
      </c>
      <c r="AX308" s="3">
        <f>AX259-AW259</f>
        <v>0</v>
      </c>
      <c r="AY308" s="3">
        <f>AY259-AX259</f>
        <v>0</v>
      </c>
      <c r="AZ308" s="3">
        <f>AZ259-AY259</f>
        <v>0</v>
      </c>
      <c r="BA308" s="3">
        <f>SUM(AW308:AZ308)</f>
        <v>0</v>
      </c>
      <c r="BB308" s="3">
        <f>BB259-BA259</f>
        <v>0</v>
      </c>
      <c r="BC308" s="3">
        <f>BC259-BB259</f>
        <v>0</v>
      </c>
      <c r="BD308" s="3">
        <f>BD259-BC259</f>
        <v>0</v>
      </c>
      <c r="BE308" s="3">
        <f>BE259-BD259</f>
        <v>0</v>
      </c>
      <c r="BF308" s="3">
        <f>SUM(BB308:BE308)</f>
        <v>0</v>
      </c>
      <c r="BG308" s="3">
        <f>BG259-BF259</f>
        <v>0</v>
      </c>
      <c r="BH308" s="3">
        <f>BH259-BG259</f>
        <v>0</v>
      </c>
      <c r="BI308" s="3">
        <f>BI259-BH259</f>
        <v>0</v>
      </c>
      <c r="BJ308" s="3">
        <f>BJ259-BI259</f>
        <v>0</v>
      </c>
      <c r="BK308" s="3">
        <f>SUM(BG308:BJ308)</f>
        <v>0</v>
      </c>
      <c r="BL308" s="3">
        <f>BL259-BK259</f>
        <v>0</v>
      </c>
      <c r="BM308" s="3">
        <f>BM259-BL259</f>
        <v>0</v>
      </c>
      <c r="BN308" s="3">
        <f>BN259-BM259</f>
        <v>0</v>
      </c>
      <c r="BO308" s="3">
        <f>BO259-BN259</f>
        <v>0</v>
      </c>
      <c r="BP308" s="3">
        <f>SUM(BL308:BO308)</f>
        <v>0</v>
      </c>
      <c r="BQ308" s="3">
        <f>BQ259-BP259</f>
        <v>0</v>
      </c>
      <c r="BR308" s="3">
        <f>BR259-BQ259</f>
        <v>0</v>
      </c>
      <c r="BS308" s="3">
        <f>BS259-BR259</f>
        <v>0</v>
      </c>
      <c r="BT308" s="3">
        <f>BT259-BS259</f>
        <v>0</v>
      </c>
      <c r="BU308" s="3">
        <f>SUM(BQ308:BT308)</f>
        <v>0</v>
      </c>
      <c r="BV308" s="3">
        <f>BV259-BU259</f>
        <v>0</v>
      </c>
      <c r="BW308" s="3">
        <f>BW259-BV259</f>
        <v>0</v>
      </c>
      <c r="BX308" s="3">
        <f>BX259-BW259</f>
        <v>0</v>
      </c>
      <c r="BY308" s="3">
        <f>BY259-BX259</f>
        <v>0</v>
      </c>
      <c r="BZ308" s="3">
        <f>SUM(BV308:BY308)</f>
        <v>0</v>
      </c>
      <c r="CA308" s="3">
        <f>CA259-BZ259</f>
        <v>0</v>
      </c>
      <c r="CB308" s="3">
        <f>CB259-CA259</f>
        <v>0</v>
      </c>
      <c r="CC308" s="3">
        <f>CC259-CB259</f>
        <v>0</v>
      </c>
      <c r="CD308" s="3">
        <f>CD259-CC259</f>
        <v>0</v>
      </c>
      <c r="CE308" s="3">
        <f>SUM(CA308:CD308)</f>
        <v>0</v>
      </c>
      <c r="CF308" s="3">
        <f>CF259-CE259</f>
        <v>0</v>
      </c>
      <c r="CG308" s="3">
        <f>CG259-CF259</f>
        <v>0</v>
      </c>
      <c r="CH308" s="3">
        <f>CH259-CG259</f>
        <v>0</v>
      </c>
      <c r="CI308" s="3">
        <f>CI259-CH259</f>
        <v>0</v>
      </c>
      <c r="CJ308" s="3">
        <f>SUM(CF308:CI308)</f>
        <v>0</v>
      </c>
      <c r="CK308" s="3">
        <f>CK259-CJ259</f>
        <v>0</v>
      </c>
      <c r="CL308" s="3">
        <f>CL259-CK259</f>
        <v>0</v>
      </c>
      <c r="CM308" s="3">
        <f>CM259-CL259</f>
        <v>0</v>
      </c>
      <c r="CN308" s="3">
        <f>CN259-CM259</f>
        <v>0</v>
      </c>
      <c r="CO308" s="3">
        <f>SUM(CK308:CN308)</f>
        <v>0</v>
      </c>
      <c r="CP308" s="3">
        <f>CP259-CO259</f>
        <v>0</v>
      </c>
      <c r="CQ308" s="3">
        <f>CQ259-CP259</f>
        <v>0</v>
      </c>
      <c r="CR308" s="3">
        <f>CR259-CQ259</f>
        <v>0</v>
      </c>
      <c r="CS308" s="3">
        <f>CS259-CR259</f>
        <v>0</v>
      </c>
      <c r="CT308" s="3">
        <f>SUM(CP308:CS308)</f>
        <v>0</v>
      </c>
      <c r="CU308" s="3">
        <f>CU259-CT259</f>
        <v>0</v>
      </c>
      <c r="CV308" s="3">
        <f>CV259-CU259</f>
        <v>0</v>
      </c>
      <c r="CW308" s="3">
        <f>CW259-CV259</f>
        <v>0</v>
      </c>
      <c r="CX308" s="3">
        <f>CX259-CW259</f>
        <v>0</v>
      </c>
      <c r="CY308" s="3">
        <f>SUM(CU308:CX308)</f>
        <v>0</v>
      </c>
    </row>
    <row r="309">
      <c r="C309" s="26" t="inlineStr">
        <is>
          <t>Common stock and APIC</t>
        </is>
      </c>
      <c r="D309" s="3" t="n"/>
      <c r="E309" s="3">
        <f>E260-D260</f>
        <v>-28.73015121</v>
      </c>
      <c r="F309" s="3">
        <f>F260-E260</f>
        <v>561.19815121</v>
      </c>
      <c r="G309" s="3">
        <f>G260-F260</f>
        <v>1.20800000000008</v>
      </c>
      <c r="H309" s="3">
        <f>SUM(D309:G309)</f>
        <v>533.676</v>
      </c>
      <c r="I309" s="3">
        <f>I260-H260</f>
        <v>796.762</v>
      </c>
      <c r="J309" s="3">
        <f>J260-I260</f>
        <v>43.471</v>
      </c>
      <c r="K309" s="3">
        <f>K260-J260</f>
        <v>570.785</v>
      </c>
      <c r="L309" s="3">
        <f>L260-K260</f>
        <v>97.5659999999998</v>
      </c>
      <c r="M309" s="3">
        <f>SUM(I309:L309)</f>
        <v>1508.584</v>
      </c>
      <c r="N309" s="3">
        <f>N260-M260</f>
        <v>-47.4609999999998</v>
      </c>
      <c r="O309" s="3">
        <f>O260-N260</f>
        <v>-8.0319999999997</v>
      </c>
      <c r="P309" s="3">
        <f>P260-O260</f>
        <v>392.888</v>
      </c>
      <c r="Q309" s="3">
        <f>Q260-P260</f>
        <v>-57.5169999999998</v>
      </c>
      <c r="R309" s="3">
        <f>SUM(N309:Q309)</f>
        <v>279.878000000001</v>
      </c>
      <c r="S309" s="3">
        <f>S260-R260</f>
        <v>403.728081263999</v>
      </c>
      <c r="T309" s="3">
        <f>T260-S260</f>
        <v>0</v>
      </c>
      <c r="U309" s="3">
        <f>U260-T260</f>
        <v>-54.0571400899999</v>
      </c>
      <c r="V309" s="3">
        <f>V260-U260</f>
        <v>-0.592547259999719</v>
      </c>
      <c r="W309" s="3">
        <f>SUM(S309:V309)</f>
        <v>349.078393914</v>
      </c>
      <c r="X309" s="3">
        <f>X260-W260</f>
        <v>-146.75876083</v>
      </c>
      <c r="Y309" s="3">
        <f>Y260-X260</f>
        <v>-1.38403396000012</v>
      </c>
      <c r="Z309" s="3">
        <f>Z260-Y260</f>
        <v>-1.17978979000009</v>
      </c>
      <c r="AA309" s="3">
        <f>AA260-Z260</f>
        <v>-180.889109484</v>
      </c>
      <c r="AB309" s="3">
        <f>SUM(X309:AA309)</f>
        <v>-330.211694064</v>
      </c>
      <c r="AC309" s="3">
        <f>AC260-AB260</f>
        <v>-109.73986748</v>
      </c>
      <c r="AD309" s="3">
        <f>AD260-AC260</f>
        <v>27.48545681</v>
      </c>
      <c r="AE309" s="3">
        <f>AE260-AD260</f>
        <v>-30.4465626000001</v>
      </c>
      <c r="AF309" s="3">
        <f>AF260-AE260</f>
        <v>180.16225242</v>
      </c>
      <c r="AG309" s="3">
        <f>SUM(AC309:AF309)</f>
        <v>67.4612791500003</v>
      </c>
      <c r="AH309" s="3">
        <f>AH260-AG260</f>
        <v>-179.46894828</v>
      </c>
      <c r="AI309" s="3">
        <f>AI260-AH260</f>
        <v>2051.64914807</v>
      </c>
      <c r="AJ309" s="3">
        <f>AJ260-AI260</f>
        <v>0</v>
      </c>
      <c r="AK309" s="3">
        <f>AK260-AJ260</f>
        <v>0</v>
      </c>
      <c r="AL309" s="3">
        <f>SUM(AH309:AK309)</f>
        <v>1872.18019979</v>
      </c>
      <c r="AM309" s="3">
        <f>AM260-AL260</f>
        <v>0</v>
      </c>
      <c r="AN309" s="3">
        <f>AN260-AM260</f>
        <v>0</v>
      </c>
      <c r="AO309" s="3">
        <f>AO260-AN260</f>
        <v>0</v>
      </c>
      <c r="AP309" s="3">
        <f>AP260-AO260</f>
        <v>0</v>
      </c>
      <c r="AQ309" s="3">
        <f>SUM(AM309:AP309)</f>
        <v>0</v>
      </c>
      <c r="AR309" s="3">
        <f>AR260-AQ260</f>
        <v>0</v>
      </c>
      <c r="AS309" s="3">
        <f>AS260-AR260</f>
        <v>0</v>
      </c>
      <c r="AT309" s="3">
        <f>AT260-AS260</f>
        <v>0</v>
      </c>
      <c r="AU309" s="3">
        <f>AU260-AT260</f>
        <v>0</v>
      </c>
      <c r="AV309" s="3">
        <f>SUM(AR309:AU309)</f>
        <v>0</v>
      </c>
      <c r="AW309" s="3">
        <f>AW260-AV260</f>
        <v>0</v>
      </c>
      <c r="AX309" s="3">
        <f>AX260-AW260</f>
        <v>0</v>
      </c>
      <c r="AY309" s="3">
        <f>AY260-AX260</f>
        <v>0</v>
      </c>
      <c r="AZ309" s="3">
        <f>AZ260-AY260</f>
        <v>0</v>
      </c>
      <c r="BA309" s="3">
        <f>SUM(AW309:AZ309)</f>
        <v>0</v>
      </c>
      <c r="BB309" s="3">
        <f>BB260-BA260</f>
        <v>0</v>
      </c>
      <c r="BC309" s="3">
        <f>BC260-BB260</f>
        <v>0</v>
      </c>
      <c r="BD309" s="3">
        <f>BD260-BC260</f>
        <v>0</v>
      </c>
      <c r="BE309" s="3">
        <f>BE260-BD260</f>
        <v>0</v>
      </c>
      <c r="BF309" s="3">
        <f>SUM(BB309:BE309)</f>
        <v>0</v>
      </c>
      <c r="BG309" s="3">
        <f>BG260-BF260</f>
        <v>0</v>
      </c>
      <c r="BH309" s="3">
        <f>BH260-BG260</f>
        <v>0</v>
      </c>
      <c r="BI309" s="3">
        <f>BI260-BH260</f>
        <v>0</v>
      </c>
      <c r="BJ309" s="3">
        <f>BJ260-BI260</f>
        <v>0</v>
      </c>
      <c r="BK309" s="3">
        <f>SUM(BG309:BJ309)</f>
        <v>0</v>
      </c>
      <c r="BL309" s="3">
        <f>BL260-BK260</f>
        <v>0</v>
      </c>
      <c r="BM309" s="3">
        <f>BM260-BL260</f>
        <v>0</v>
      </c>
      <c r="BN309" s="3">
        <f>BN260-BM260</f>
        <v>0</v>
      </c>
      <c r="BO309" s="3">
        <f>BO260-BN260</f>
        <v>0</v>
      </c>
      <c r="BP309" s="3">
        <f>SUM(BL309:BO309)</f>
        <v>0</v>
      </c>
      <c r="BQ309" s="3">
        <f>BQ260-BP260</f>
        <v>0</v>
      </c>
      <c r="BR309" s="3">
        <f>BR260-BQ260</f>
        <v>0</v>
      </c>
      <c r="BS309" s="3">
        <f>BS260-BR260</f>
        <v>0</v>
      </c>
      <c r="BT309" s="3">
        <f>BT260-BS260</f>
        <v>0</v>
      </c>
      <c r="BU309" s="3">
        <f>SUM(BQ309:BT309)</f>
        <v>0</v>
      </c>
      <c r="BV309" s="3">
        <f>BV260-BU260</f>
        <v>0</v>
      </c>
      <c r="BW309" s="3">
        <f>BW260-BV260</f>
        <v>0</v>
      </c>
      <c r="BX309" s="3">
        <f>BX260-BW260</f>
        <v>0</v>
      </c>
      <c r="BY309" s="3">
        <f>BY260-BX260</f>
        <v>0</v>
      </c>
      <c r="BZ309" s="3">
        <f>SUM(BV309:BY309)</f>
        <v>0</v>
      </c>
      <c r="CA309" s="3">
        <f>CA260-BZ260</f>
        <v>0</v>
      </c>
      <c r="CB309" s="3">
        <f>CB260-CA260</f>
        <v>0</v>
      </c>
      <c r="CC309" s="3">
        <f>CC260-CB260</f>
        <v>0</v>
      </c>
      <c r="CD309" s="3">
        <f>CD260-CC260</f>
        <v>0</v>
      </c>
      <c r="CE309" s="3">
        <f>SUM(CA309:CD309)</f>
        <v>0</v>
      </c>
      <c r="CF309" s="3">
        <f>CF260-CE260</f>
        <v>0</v>
      </c>
      <c r="CG309" s="3">
        <f>CG260-CF260</f>
        <v>0</v>
      </c>
      <c r="CH309" s="3">
        <f>CH260-CG260</f>
        <v>0</v>
      </c>
      <c r="CI309" s="3">
        <f>CI260-CH260</f>
        <v>0</v>
      </c>
      <c r="CJ309" s="3">
        <f>SUM(CF309:CI309)</f>
        <v>0</v>
      </c>
      <c r="CK309" s="3">
        <f>CK260-CJ260</f>
        <v>0</v>
      </c>
      <c r="CL309" s="3">
        <f>CL260-CK260</f>
        <v>0</v>
      </c>
      <c r="CM309" s="3">
        <f>CM260-CL260</f>
        <v>0</v>
      </c>
      <c r="CN309" s="3">
        <f>CN260-CM260</f>
        <v>0</v>
      </c>
      <c r="CO309" s="3">
        <f>SUM(CK309:CN309)</f>
        <v>0</v>
      </c>
      <c r="CP309" s="3">
        <f>CP260-CO260</f>
        <v>0</v>
      </c>
      <c r="CQ309" s="3">
        <f>CQ260-CP260</f>
        <v>0</v>
      </c>
      <c r="CR309" s="3">
        <f>CR260-CQ260</f>
        <v>0</v>
      </c>
      <c r="CS309" s="3">
        <f>CS260-CR260</f>
        <v>0</v>
      </c>
      <c r="CT309" s="3">
        <f>SUM(CP309:CS309)</f>
        <v>0</v>
      </c>
      <c r="CU309" s="3">
        <f>CU260-CT260</f>
        <v>0</v>
      </c>
      <c r="CV309" s="3">
        <f>CV260-CU260</f>
        <v>0</v>
      </c>
      <c r="CW309" s="3">
        <f>CW260-CV260</f>
        <v>0</v>
      </c>
      <c r="CX309" s="3">
        <f>CX260-CW260</f>
        <v>0</v>
      </c>
      <c r="CY309" s="3">
        <f>SUM(CU309:CX309)</f>
        <v>0</v>
      </c>
    </row>
    <row r="310">
      <c r="C310" s="26" t="inlineStr">
        <is>
          <t>Treasury stock repurchases</t>
        </is>
      </c>
      <c r="D310" s="3" t="n"/>
      <c r="E310" s="3">
        <f>E273-D273</f>
        <v>-37.78740684</v>
      </c>
      <c r="F310" s="3">
        <f>F273-E273</f>
        <v>30.14240684</v>
      </c>
      <c r="G310" s="3">
        <f>G273-F273</f>
        <v>-2.398</v>
      </c>
      <c r="H310" s="3">
        <f>SUM(D310:G310)</f>
        <v>-10.043</v>
      </c>
      <c r="I310" s="3">
        <f>I273-H273</f>
        <v>-261.843</v>
      </c>
      <c r="J310" s="3">
        <f>J273-I273</f>
        <v>-10.163</v>
      </c>
      <c r="K310" s="3">
        <f>K273-J273</f>
        <v>130.876</v>
      </c>
      <c r="L310" s="3">
        <f>L273-K273</f>
        <v>0</v>
      </c>
      <c r="M310" s="3">
        <f>SUM(I310:L310)</f>
        <v>-141.13</v>
      </c>
      <c r="N310" s="3">
        <f>N273-M273</f>
        <v>0</v>
      </c>
      <c r="O310" s="3">
        <f>O273-N273</f>
        <v>-4.00199999999998</v>
      </c>
      <c r="P310" s="3">
        <f>P273-O273</f>
        <v>-10.116</v>
      </c>
      <c r="Q310" s="3">
        <f>Q273-P273</f>
        <v>17.637</v>
      </c>
      <c r="R310" s="3">
        <f>SUM(N310:Q310)</f>
        <v>3.51900000000001</v>
      </c>
      <c r="S310" s="3">
        <f>S273-R273</f>
        <v>-0.000325509999981932</v>
      </c>
      <c r="T310" s="3">
        <f>T273-S273</f>
        <v>-2.76494852000002</v>
      </c>
      <c r="U310" s="3">
        <f>U273-T273</f>
        <v>-0.167850880000003</v>
      </c>
      <c r="V310" s="3">
        <f>V273-U273</f>
        <v>0</v>
      </c>
      <c r="W310" s="3">
        <f>SUM(S310:V310)</f>
        <v>-2.93312491</v>
      </c>
      <c r="X310" s="3">
        <f>X273-W273</f>
        <v>0</v>
      </c>
      <c r="Y310" s="3">
        <f>Y273-X273</f>
        <v>-0.137212729999987</v>
      </c>
      <c r="Z310" s="3">
        <f>Z273-Y273</f>
        <v>-0.335120770000003</v>
      </c>
      <c r="AA310" s="3">
        <f>AA273-Z273</f>
        <v>-4.26389602</v>
      </c>
      <c r="AB310" s="3">
        <f>SUM(X310:AA310)</f>
        <v>-4.73622952</v>
      </c>
      <c r="AC310" s="3">
        <f>AC273-AB273</f>
        <v>-26.13331534</v>
      </c>
      <c r="AD310" s="3">
        <f>AD273-AC273</f>
        <v>-0.051637999999997</v>
      </c>
      <c r="AE310" s="3">
        <f>AE273-AD273</f>
        <v>0</v>
      </c>
      <c r="AF310" s="3">
        <f>AF273-AE273</f>
        <v>-2.99999953767838e-08</v>
      </c>
      <c r="AG310" s="3">
        <f>SUM(AC310:AF310)</f>
        <v>-26.18495337</v>
      </c>
      <c r="AH310" s="3">
        <f>AH273-AG273</f>
        <v>181.9683078</v>
      </c>
      <c r="AI310" s="3">
        <f>AI273-AH273</f>
        <v>0</v>
      </c>
      <c r="AJ310" s="3">
        <f>AJ273-AI273</f>
        <v>0</v>
      </c>
      <c r="AK310" s="3">
        <f>AK273-AJ273</f>
        <v>0</v>
      </c>
      <c r="AL310" s="3">
        <f>SUM(AH310:AK310)</f>
        <v>181.9683078</v>
      </c>
      <c r="AM310" s="3">
        <f>AM273-AL273</f>
        <v>0</v>
      </c>
      <c r="AN310" s="3">
        <f>AN273-AM273</f>
        <v>0</v>
      </c>
      <c r="AO310" s="3">
        <f>AO273-AN273</f>
        <v>0</v>
      </c>
      <c r="AP310" s="3">
        <f>AP273-AO273</f>
        <v>0</v>
      </c>
      <c r="AQ310" s="3">
        <f>SUM(AM310:AP310)</f>
        <v>0</v>
      </c>
      <c r="AR310" s="3">
        <f>AR273-AQ273</f>
        <v>0</v>
      </c>
      <c r="AS310" s="3">
        <f>AS273-AR273</f>
        <v>0</v>
      </c>
      <c r="AT310" s="3">
        <f>AT273-AS273</f>
        <v>0</v>
      </c>
      <c r="AU310" s="3">
        <f>AU273-AT273</f>
        <v>0</v>
      </c>
      <c r="AV310" s="3">
        <f>SUM(AR310:AU310)</f>
        <v>0</v>
      </c>
      <c r="AW310" s="3">
        <f>AW273-AV273</f>
        <v>0</v>
      </c>
      <c r="AX310" s="3">
        <f>AX273-AW273</f>
        <v>0</v>
      </c>
      <c r="AY310" s="3">
        <f>AY273-AX273</f>
        <v>0</v>
      </c>
      <c r="AZ310" s="3">
        <f>AZ273-AY273</f>
        <v>0</v>
      </c>
      <c r="BA310" s="3">
        <f>SUM(AW310:AZ310)</f>
        <v>0</v>
      </c>
      <c r="BB310" s="3">
        <f>BB273-BA273</f>
        <v>0</v>
      </c>
      <c r="BC310" s="3">
        <f>BC273-BB273</f>
        <v>0</v>
      </c>
      <c r="BD310" s="3">
        <f>BD273-BC273</f>
        <v>0</v>
      </c>
      <c r="BE310" s="3">
        <f>BE273-BD273</f>
        <v>0</v>
      </c>
      <c r="BF310" s="3">
        <f>SUM(BB310:BE310)</f>
        <v>0</v>
      </c>
      <c r="BG310" s="3">
        <f>BG273-BF273</f>
        <v>0</v>
      </c>
      <c r="BH310" s="3">
        <f>BH273-BG273</f>
        <v>0</v>
      </c>
      <c r="BI310" s="3">
        <f>BI273-BH273</f>
        <v>0</v>
      </c>
      <c r="BJ310" s="3">
        <f>BJ273-BI273</f>
        <v>0</v>
      </c>
      <c r="BK310" s="3">
        <f>SUM(BG310:BJ310)</f>
        <v>0</v>
      </c>
      <c r="BL310" s="3">
        <f>BL273-BK273</f>
        <v>0</v>
      </c>
      <c r="BM310" s="3">
        <f>BM273-BL273</f>
        <v>0</v>
      </c>
      <c r="BN310" s="3">
        <f>BN273-BM273</f>
        <v>0</v>
      </c>
      <c r="BO310" s="3">
        <f>BO273-BN273</f>
        <v>0</v>
      </c>
      <c r="BP310" s="3">
        <f>SUM(BL310:BO310)</f>
        <v>0</v>
      </c>
      <c r="BQ310" s="3">
        <f>BQ273-BP273</f>
        <v>0</v>
      </c>
      <c r="BR310" s="3">
        <f>BR273-BQ273</f>
        <v>0</v>
      </c>
      <c r="BS310" s="3">
        <f>BS273-BR273</f>
        <v>0</v>
      </c>
      <c r="BT310" s="3">
        <f>BT273-BS273</f>
        <v>0</v>
      </c>
      <c r="BU310" s="3">
        <f>SUM(BQ310:BT310)</f>
        <v>0</v>
      </c>
      <c r="BV310" s="3">
        <f>BV273-BU273</f>
        <v>0</v>
      </c>
      <c r="BW310" s="3">
        <f>BW273-BV273</f>
        <v>0</v>
      </c>
      <c r="BX310" s="3">
        <f>BX273-BW273</f>
        <v>0</v>
      </c>
      <c r="BY310" s="3">
        <f>BY273-BX273</f>
        <v>0</v>
      </c>
      <c r="BZ310" s="3">
        <f>SUM(BV310:BY310)</f>
        <v>0</v>
      </c>
      <c r="CA310" s="3">
        <f>CA273-BZ273</f>
        <v>0</v>
      </c>
      <c r="CB310" s="3">
        <f>CB273-CA273</f>
        <v>0</v>
      </c>
      <c r="CC310" s="3">
        <f>CC273-CB273</f>
        <v>0</v>
      </c>
      <c r="CD310" s="3">
        <f>CD273-CC273</f>
        <v>0</v>
      </c>
      <c r="CE310" s="3">
        <f>SUM(CA310:CD310)</f>
        <v>0</v>
      </c>
      <c r="CF310" s="3">
        <f>CF273-CE273</f>
        <v>0</v>
      </c>
      <c r="CG310" s="3">
        <f>CG273-CF273</f>
        <v>0</v>
      </c>
      <c r="CH310" s="3">
        <f>CH273-CG273</f>
        <v>0</v>
      </c>
      <c r="CI310" s="3">
        <f>CI273-CH273</f>
        <v>0</v>
      </c>
      <c r="CJ310" s="3">
        <f>SUM(CF310:CI310)</f>
        <v>0</v>
      </c>
      <c r="CK310" s="3">
        <f>CK273-CJ273</f>
        <v>0</v>
      </c>
      <c r="CL310" s="3">
        <f>CL273-CK273</f>
        <v>0</v>
      </c>
      <c r="CM310" s="3">
        <f>CM273-CL273</f>
        <v>0</v>
      </c>
      <c r="CN310" s="3">
        <f>CN273-CM273</f>
        <v>0</v>
      </c>
      <c r="CO310" s="3">
        <f>SUM(CK310:CN310)</f>
        <v>0</v>
      </c>
      <c r="CP310" s="3">
        <f>CP273-CO273</f>
        <v>0</v>
      </c>
      <c r="CQ310" s="3">
        <f>CQ273-CP273</f>
        <v>0</v>
      </c>
      <c r="CR310" s="3">
        <f>CR273-CQ273</f>
        <v>0</v>
      </c>
      <c r="CS310" s="3">
        <f>CS273-CR273</f>
        <v>0</v>
      </c>
      <c r="CT310" s="3">
        <f>SUM(CP310:CS310)</f>
        <v>0</v>
      </c>
      <c r="CU310" s="3">
        <f>CU273-CT273</f>
        <v>0</v>
      </c>
      <c r="CV310" s="3">
        <f>CV273-CU273</f>
        <v>0</v>
      </c>
      <c r="CW310" s="3">
        <f>CW273-CV273</f>
        <v>0</v>
      </c>
      <c r="CX310" s="3">
        <f>CX273-CW273</f>
        <v>0</v>
      </c>
      <c r="CY310" s="3">
        <f>SUM(CU310:CX310)</f>
        <v>0</v>
      </c>
    </row>
    <row r="311">
      <c r="C311" s="26" t="inlineStr">
        <is>
          <t>Comprehensive accumulated loss</t>
        </is>
      </c>
      <c r="D311" s="3" t="n"/>
      <c r="E311" s="3">
        <f>E274-D274</f>
        <v>-139.50041483</v>
      </c>
      <c r="F311" s="3">
        <f>F274-E274</f>
        <v>441.25941483</v>
      </c>
      <c r="G311" s="3">
        <f>G274-F274</f>
        <v>4.08599999999996</v>
      </c>
      <c r="H311" s="3">
        <f>SUM(D311:G311)</f>
        <v>305.845</v>
      </c>
      <c r="I311" s="3">
        <f>I274-H274</f>
        <v>-257.047</v>
      </c>
      <c r="J311" s="3">
        <f>J274-I274</f>
        <v>55.266</v>
      </c>
      <c r="K311" s="3">
        <f>K274-J274</f>
        <v>-55.428</v>
      </c>
      <c r="L311" s="3">
        <f>L274-K274</f>
        <v>46.3629999999999</v>
      </c>
      <c r="M311" s="3">
        <f>SUM(I311:L311)</f>
        <v>-210.846</v>
      </c>
      <c r="N311" s="3">
        <f>N274-M274</f>
        <v>-229.358</v>
      </c>
      <c r="O311" s="3">
        <f>O274-N274</f>
        <v>-136.112</v>
      </c>
      <c r="P311" s="3">
        <f>P274-O274</f>
        <v>-164.678</v>
      </c>
      <c r="Q311" s="3">
        <f>Q274-P274</f>
        <v>17.003</v>
      </c>
      <c r="R311" s="3">
        <f>SUM(N311:Q311)</f>
        <v>-513.145</v>
      </c>
      <c r="S311" s="3">
        <f>S274-R274</f>
        <v>-703.091384997447</v>
      </c>
      <c r="T311" s="3">
        <f>T274-S274</f>
        <v>229.37143176</v>
      </c>
      <c r="U311" s="3">
        <f>U274-T274</f>
        <v>640.64631553</v>
      </c>
      <c r="V311" s="3">
        <f>V274-U274</f>
        <v>-320.58719812</v>
      </c>
      <c r="W311" s="3">
        <f>SUM(S311:V311)</f>
        <v>-153.660835827447</v>
      </c>
      <c r="X311" s="3">
        <f>X274-W274</f>
        <v>-40.24557185</v>
      </c>
      <c r="Y311" s="3">
        <f>Y274-X274</f>
        <v>-43.15877513</v>
      </c>
      <c r="Z311" s="3">
        <f>Z274-Y274</f>
        <v>73.2855321899999</v>
      </c>
      <c r="AA311" s="3">
        <f>AA274-Z274</f>
        <v>-166.403694882553</v>
      </c>
      <c r="AB311" s="3">
        <f>SUM(X311:AA311)</f>
        <v>-176.522509672553</v>
      </c>
      <c r="AC311" s="3">
        <f>AC274-AB274</f>
        <v>100.70333476</v>
      </c>
      <c r="AD311" s="3">
        <f>AD274-AC274</f>
        <v>88.5260580400001</v>
      </c>
      <c r="AE311" s="3">
        <f>AE274-AD274</f>
        <v>-28.8937239500001</v>
      </c>
      <c r="AF311" s="3">
        <f>AF274-AE274</f>
        <v>724.23460855</v>
      </c>
      <c r="AG311" s="3">
        <f>SUM(AC311:AF311)</f>
        <v>884.5702774</v>
      </c>
      <c r="AH311" s="3">
        <f>AH274-AG274</f>
        <v>-3.99999748879054e-08</v>
      </c>
      <c r="AI311" s="3">
        <f>AI274-AH274</f>
        <v>30.8916723</v>
      </c>
      <c r="AJ311" s="3">
        <f>AJ274-AI274</f>
        <v>0</v>
      </c>
      <c r="AK311" s="3">
        <f>AK274-AJ274</f>
        <v>0</v>
      </c>
      <c r="AL311" s="3">
        <f>SUM(AH311:AK311)</f>
        <v>30.89167226</v>
      </c>
      <c r="AM311" s="3">
        <f>AM274-AL274</f>
        <v>0</v>
      </c>
      <c r="AN311" s="3">
        <f>AN274-AM274</f>
        <v>0</v>
      </c>
      <c r="AO311" s="3">
        <f>AO274-AN274</f>
        <v>0</v>
      </c>
      <c r="AP311" s="3">
        <f>AP274-AO274</f>
        <v>0</v>
      </c>
      <c r="AQ311" s="3">
        <f>SUM(AM311:AP311)</f>
        <v>0</v>
      </c>
      <c r="AR311" s="3">
        <f>AR274-AQ274</f>
        <v>0</v>
      </c>
      <c r="AS311" s="3">
        <f>AS274-AR274</f>
        <v>0</v>
      </c>
      <c r="AT311" s="3">
        <f>AT274-AS274</f>
        <v>0</v>
      </c>
      <c r="AU311" s="3">
        <f>AU274-AT274</f>
        <v>0</v>
      </c>
      <c r="AV311" s="3">
        <f>SUM(AR311:AU311)</f>
        <v>0</v>
      </c>
      <c r="AW311" s="3">
        <f>AW274-AV274</f>
        <v>0</v>
      </c>
      <c r="AX311" s="3">
        <f>AX274-AW274</f>
        <v>0</v>
      </c>
      <c r="AY311" s="3">
        <f>AY274-AX274</f>
        <v>0</v>
      </c>
      <c r="AZ311" s="3">
        <f>AZ274-AY274</f>
        <v>0</v>
      </c>
      <c r="BA311" s="3">
        <f>SUM(AW311:AZ311)</f>
        <v>0</v>
      </c>
      <c r="BB311" s="3">
        <f>BB274-BA274</f>
        <v>0</v>
      </c>
      <c r="BC311" s="3">
        <f>BC274-BB274</f>
        <v>0</v>
      </c>
      <c r="BD311" s="3">
        <f>BD274-BC274</f>
        <v>0</v>
      </c>
      <c r="BE311" s="3">
        <f>BE274-BD274</f>
        <v>0</v>
      </c>
      <c r="BF311" s="3">
        <f>SUM(BB311:BE311)</f>
        <v>0</v>
      </c>
      <c r="BG311" s="3">
        <f>BG274-BF274</f>
        <v>0</v>
      </c>
      <c r="BH311" s="3">
        <f>BH274-BG274</f>
        <v>0</v>
      </c>
      <c r="BI311" s="3">
        <f>BI274-BH274</f>
        <v>0</v>
      </c>
      <c r="BJ311" s="3">
        <f>BJ274-BI274</f>
        <v>0</v>
      </c>
      <c r="BK311" s="3">
        <f>SUM(BG311:BJ311)</f>
        <v>0</v>
      </c>
      <c r="BL311" s="3">
        <f>BL274-BK274</f>
        <v>0</v>
      </c>
      <c r="BM311" s="3">
        <f>BM274-BL274</f>
        <v>0</v>
      </c>
      <c r="BN311" s="3">
        <f>BN274-BM274</f>
        <v>0</v>
      </c>
      <c r="BO311" s="3">
        <f>BO274-BN274</f>
        <v>0</v>
      </c>
      <c r="BP311" s="3">
        <f>SUM(BL311:BO311)</f>
        <v>0</v>
      </c>
      <c r="BQ311" s="3">
        <f>BQ274-BP274</f>
        <v>0</v>
      </c>
      <c r="BR311" s="3">
        <f>BR274-BQ274</f>
        <v>0</v>
      </c>
      <c r="BS311" s="3">
        <f>BS274-BR274</f>
        <v>0</v>
      </c>
      <c r="BT311" s="3">
        <f>BT274-BS274</f>
        <v>0</v>
      </c>
      <c r="BU311" s="3">
        <f>SUM(BQ311:BT311)</f>
        <v>0</v>
      </c>
      <c r="BV311" s="3">
        <f>BV274-BU274</f>
        <v>0</v>
      </c>
      <c r="BW311" s="3">
        <f>BW274-BV274</f>
        <v>0</v>
      </c>
      <c r="BX311" s="3">
        <f>BX274-BW274</f>
        <v>0</v>
      </c>
      <c r="BY311" s="3">
        <f>BY274-BX274</f>
        <v>0</v>
      </c>
      <c r="BZ311" s="3">
        <f>SUM(BV311:BY311)</f>
        <v>0</v>
      </c>
      <c r="CA311" s="3">
        <f>CA274-BZ274</f>
        <v>0</v>
      </c>
      <c r="CB311" s="3">
        <f>CB274-CA274</f>
        <v>0</v>
      </c>
      <c r="CC311" s="3">
        <f>CC274-CB274</f>
        <v>0</v>
      </c>
      <c r="CD311" s="3">
        <f>CD274-CC274</f>
        <v>0</v>
      </c>
      <c r="CE311" s="3">
        <f>SUM(CA311:CD311)</f>
        <v>0</v>
      </c>
      <c r="CF311" s="3">
        <f>CF274-CE274</f>
        <v>0</v>
      </c>
      <c r="CG311" s="3">
        <f>CG274-CF274</f>
        <v>0</v>
      </c>
      <c r="CH311" s="3">
        <f>CH274-CG274</f>
        <v>0</v>
      </c>
      <c r="CI311" s="3">
        <f>CI274-CH274</f>
        <v>0</v>
      </c>
      <c r="CJ311" s="3">
        <f>SUM(CF311:CI311)</f>
        <v>0</v>
      </c>
      <c r="CK311" s="3">
        <f>CK274-CJ274</f>
        <v>0</v>
      </c>
      <c r="CL311" s="3">
        <f>CL274-CK274</f>
        <v>0</v>
      </c>
      <c r="CM311" s="3">
        <f>CM274-CL274</f>
        <v>0</v>
      </c>
      <c r="CN311" s="3">
        <f>CN274-CM274</f>
        <v>0</v>
      </c>
      <c r="CO311" s="3">
        <f>SUM(CK311:CN311)</f>
        <v>0</v>
      </c>
      <c r="CP311" s="3">
        <f>CP274-CO274</f>
        <v>0</v>
      </c>
      <c r="CQ311" s="3">
        <f>CQ274-CP274</f>
        <v>0</v>
      </c>
      <c r="CR311" s="3">
        <f>CR274-CQ274</f>
        <v>0</v>
      </c>
      <c r="CS311" s="3">
        <f>CS274-CR274</f>
        <v>0</v>
      </c>
      <c r="CT311" s="3">
        <f>SUM(CP311:CS311)</f>
        <v>0</v>
      </c>
      <c r="CU311" s="3">
        <f>CU274-CT274</f>
        <v>0</v>
      </c>
      <c r="CV311" s="3">
        <f>CV274-CU274</f>
        <v>0</v>
      </c>
      <c r="CW311" s="3">
        <f>CW274-CV274</f>
        <v>0</v>
      </c>
      <c r="CX311" s="3">
        <f>CX274-CW274</f>
        <v>0</v>
      </c>
      <c r="CY311" s="3">
        <f>SUM(CU311:CX311)</f>
        <v>0</v>
      </c>
    </row>
    <row r="312">
      <c r="C312" s="26" t="inlineStr">
        <is>
          <t>Other equity account</t>
        </is>
      </c>
      <c r="D312" s="3" t="n"/>
      <c r="E312" s="3">
        <f>E275-D275</f>
        <v>90.06140534</v>
      </c>
      <c r="F312" s="3">
        <f>F275-E275</f>
        <v>-495.74040534</v>
      </c>
      <c r="G312" s="3">
        <f>G275-F275</f>
        <v>-1.55200000000001</v>
      </c>
      <c r="H312" s="3">
        <f>SUM(D312:G312)</f>
        <v>-407.231</v>
      </c>
      <c r="I312" s="3">
        <f>I275-H275</f>
        <v>-37.807</v>
      </c>
      <c r="J312" s="3">
        <f>J275-I275</f>
        <v>44.598</v>
      </c>
      <c r="K312" s="3">
        <f>K275-J275</f>
        <v>-112.491</v>
      </c>
      <c r="L312" s="3">
        <f>L275-K275</f>
        <v>-43.032</v>
      </c>
      <c r="M312" s="3">
        <f>SUM(I312:L312)</f>
        <v>-148.732</v>
      </c>
      <c r="N312" s="3">
        <f>N275-M275</f>
        <v>-171.489</v>
      </c>
      <c r="O312" s="3">
        <f>O275-N275</f>
        <v>-276.904</v>
      </c>
      <c r="P312" s="3">
        <f>P275-O275</f>
        <v>-98.505</v>
      </c>
      <c r="Q312" s="3">
        <f>Q275-P275</f>
        <v>94.527</v>
      </c>
      <c r="R312" s="3">
        <f>SUM(N312:Q312)</f>
        <v>-452.371</v>
      </c>
      <c r="S312" s="3">
        <f>S275-R275</f>
        <v>321.99901879</v>
      </c>
      <c r="T312" s="3">
        <f>T275-S275</f>
        <v>0</v>
      </c>
      <c r="U312" s="3">
        <f>U275-T275</f>
        <v>-101.004</v>
      </c>
      <c r="V312" s="3">
        <f>V275-U275</f>
        <v>526.20709923</v>
      </c>
      <c r="W312" s="3">
        <f>SUM(S312:V312)</f>
        <v>747.20211802</v>
      </c>
      <c r="X312" s="3">
        <f>X275-W275</f>
        <v>-56.05896845</v>
      </c>
      <c r="Y312" s="3">
        <f>Y275-X275</f>
        <v>-35.58092336</v>
      </c>
      <c r="Z312" s="3">
        <f>Z275-Y275</f>
        <v>48.12218999</v>
      </c>
      <c r="AA312" s="3">
        <f>AA275-Z275</f>
        <v>18.09738502</v>
      </c>
      <c r="AB312" s="3">
        <f>SUM(X312:AA312)</f>
        <v>-25.4203168</v>
      </c>
      <c r="AC312" s="3">
        <f>AC275-AB275</f>
        <v>-4.72690764</v>
      </c>
      <c r="AD312" s="3">
        <f>AD275-AC275</f>
        <v>568.01769612</v>
      </c>
      <c r="AE312" s="3">
        <f>AE275-AD275</f>
        <v>88.02152503</v>
      </c>
      <c r="AF312" s="3">
        <f>AF275-AE275</f>
        <v>223.02382567</v>
      </c>
      <c r="AG312" s="3">
        <f>SUM(AC312:AF312)</f>
        <v>874.33613918</v>
      </c>
      <c r="AH312" s="3">
        <f>AH275-AG275</f>
        <v>-80.87656504</v>
      </c>
      <c r="AI312" s="3">
        <f>AI275-AH275</f>
        <v>-18.3404585100001</v>
      </c>
      <c r="AJ312" s="3">
        <f>AJ275-AI275</f>
        <v>0</v>
      </c>
      <c r="AK312" s="3">
        <f>AK275-AJ275</f>
        <v>0</v>
      </c>
      <c r="AL312" s="3">
        <f>SUM(AH312:AK312)</f>
        <v>-99.21702355</v>
      </c>
      <c r="AM312" s="3">
        <f>AM275-AL275</f>
        <v>0</v>
      </c>
      <c r="AN312" s="3">
        <f>AN275-AM275</f>
        <v>0</v>
      </c>
      <c r="AO312" s="3">
        <f>AO275-AN275</f>
        <v>0</v>
      </c>
      <c r="AP312" s="3">
        <f>AP275-AO275</f>
        <v>0</v>
      </c>
      <c r="AQ312" s="3">
        <f>SUM(AM312:AP312)</f>
        <v>0</v>
      </c>
      <c r="AR312" s="3">
        <f>AR275-AQ275</f>
        <v>0</v>
      </c>
      <c r="AS312" s="3">
        <f>AS275-AR275</f>
        <v>0</v>
      </c>
      <c r="AT312" s="3">
        <f>AT275-AS275</f>
        <v>0</v>
      </c>
      <c r="AU312" s="3">
        <f>AU275-AT275</f>
        <v>0</v>
      </c>
      <c r="AV312" s="3">
        <f>SUM(AR312:AU312)</f>
        <v>0</v>
      </c>
      <c r="AW312" s="3">
        <f>AW275-AV275</f>
        <v>0</v>
      </c>
      <c r="AX312" s="3">
        <f>AX275-AW275</f>
        <v>0</v>
      </c>
      <c r="AY312" s="3">
        <f>AY275-AX275</f>
        <v>0</v>
      </c>
      <c r="AZ312" s="3">
        <f>AZ275-AY275</f>
        <v>0</v>
      </c>
      <c r="BA312" s="3">
        <f>SUM(AW312:AZ312)</f>
        <v>0</v>
      </c>
      <c r="BB312" s="3">
        <f>BB275-BA275</f>
        <v>0</v>
      </c>
      <c r="BC312" s="3">
        <f>BC275-BB275</f>
        <v>0</v>
      </c>
      <c r="BD312" s="3">
        <f>BD275-BC275</f>
        <v>0</v>
      </c>
      <c r="BE312" s="3">
        <f>BE275-BD275</f>
        <v>0</v>
      </c>
      <c r="BF312" s="3">
        <f>SUM(BB312:BE312)</f>
        <v>0</v>
      </c>
      <c r="BG312" s="3">
        <f>BG275-BF275</f>
        <v>0</v>
      </c>
      <c r="BH312" s="3">
        <f>BH275-BG275</f>
        <v>0</v>
      </c>
      <c r="BI312" s="3">
        <f>BI275-BH275</f>
        <v>0</v>
      </c>
      <c r="BJ312" s="3">
        <f>BJ275-BI275</f>
        <v>0</v>
      </c>
      <c r="BK312" s="3">
        <f>SUM(BG312:BJ312)</f>
        <v>0</v>
      </c>
      <c r="BL312" s="3">
        <f>BL275-BK275</f>
        <v>0</v>
      </c>
      <c r="BM312" s="3">
        <f>BM275-BL275</f>
        <v>0</v>
      </c>
      <c r="BN312" s="3">
        <f>BN275-BM275</f>
        <v>0</v>
      </c>
      <c r="BO312" s="3">
        <f>BO275-BN275</f>
        <v>0</v>
      </c>
      <c r="BP312" s="3">
        <f>SUM(BL312:BO312)</f>
        <v>0</v>
      </c>
      <c r="BQ312" s="3">
        <f>BQ275-BP275</f>
        <v>0</v>
      </c>
      <c r="BR312" s="3">
        <f>BR275-BQ275</f>
        <v>0</v>
      </c>
      <c r="BS312" s="3">
        <f>BS275-BR275</f>
        <v>0</v>
      </c>
      <c r="BT312" s="3">
        <f>BT275-BS275</f>
        <v>0</v>
      </c>
      <c r="BU312" s="3">
        <f>SUM(BQ312:BT312)</f>
        <v>0</v>
      </c>
      <c r="BV312" s="3">
        <f>BV275-BU275</f>
        <v>0</v>
      </c>
      <c r="BW312" s="3">
        <f>BW275-BV275</f>
        <v>0</v>
      </c>
      <c r="BX312" s="3">
        <f>BX275-BW275</f>
        <v>0</v>
      </c>
      <c r="BY312" s="3">
        <f>BY275-BX275</f>
        <v>0</v>
      </c>
      <c r="BZ312" s="3">
        <f>SUM(BV312:BY312)</f>
        <v>0</v>
      </c>
      <c r="CA312" s="3">
        <f>CA275-BZ275</f>
        <v>0</v>
      </c>
      <c r="CB312" s="3">
        <f>CB275-CA275</f>
        <v>0</v>
      </c>
      <c r="CC312" s="3">
        <f>CC275-CB275</f>
        <v>0</v>
      </c>
      <c r="CD312" s="3">
        <f>CD275-CC275</f>
        <v>0</v>
      </c>
      <c r="CE312" s="3">
        <f>SUM(CA312:CD312)</f>
        <v>0</v>
      </c>
      <c r="CF312" s="3">
        <f>CF275-CE275</f>
        <v>0</v>
      </c>
      <c r="CG312" s="3">
        <f>CG275-CF275</f>
        <v>0</v>
      </c>
      <c r="CH312" s="3">
        <f>CH275-CG275</f>
        <v>0</v>
      </c>
      <c r="CI312" s="3">
        <f>CI275-CH275</f>
        <v>0</v>
      </c>
      <c r="CJ312" s="3">
        <f>SUM(CF312:CI312)</f>
        <v>0</v>
      </c>
      <c r="CK312" s="3">
        <f>CK275-CJ275</f>
        <v>0</v>
      </c>
      <c r="CL312" s="3">
        <f>CL275-CK275</f>
        <v>0</v>
      </c>
      <c r="CM312" s="3">
        <f>CM275-CL275</f>
        <v>0</v>
      </c>
      <c r="CN312" s="3">
        <f>CN275-CM275</f>
        <v>0</v>
      </c>
      <c r="CO312" s="3">
        <f>SUM(CK312:CN312)</f>
        <v>0</v>
      </c>
      <c r="CP312" s="3">
        <f>CP275-CO275</f>
        <v>0</v>
      </c>
      <c r="CQ312" s="3">
        <f>CQ275-CP275</f>
        <v>0</v>
      </c>
      <c r="CR312" s="3">
        <f>CR275-CQ275</f>
        <v>0</v>
      </c>
      <c r="CS312" s="3">
        <f>CS275-CR275</f>
        <v>0</v>
      </c>
      <c r="CT312" s="3">
        <f>SUM(CP312:CS312)</f>
        <v>0</v>
      </c>
      <c r="CU312" s="3">
        <f>CU275-CT275</f>
        <v>0</v>
      </c>
      <c r="CV312" s="3">
        <f>CV275-CU275</f>
        <v>0</v>
      </c>
      <c r="CW312" s="3">
        <f>CW275-CV275</f>
        <v>0</v>
      </c>
      <c r="CX312" s="3">
        <f>CX275-CW275</f>
        <v>0</v>
      </c>
      <c r="CY312" s="3">
        <f>SUM(CU312:CX312)</f>
        <v>0</v>
      </c>
    </row>
    <row r="313">
      <c r="C313" s="29" t="inlineStr">
        <is>
          <t>Common and preferred dividends</t>
        </is>
      </c>
      <c r="D313" s="3" t="n"/>
      <c r="E313" s="3">
        <f>(E276-D276)-E283</f>
        <v>38.800708610001</v>
      </c>
      <c r="F313" s="3">
        <f>(F276-E276)-F283</f>
        <v>-224.79597853</v>
      </c>
      <c r="G313" s="3">
        <f>(G276-F276)-G283</f>
        <v>-35.4246433899572</v>
      </c>
      <c r="H313" s="3">
        <f>SUM(D313:G313)</f>
        <v>-221.419913309956</v>
      </c>
      <c r="I313" s="3">
        <f>(I276-H276)-I283</f>
        <v>54.3249999999999</v>
      </c>
      <c r="J313" s="3">
        <f>(J276-I276)-J283</f>
        <v>-54.3250000000005</v>
      </c>
      <c r="K313" s="3">
        <f>(K276-J276)-K283</f>
        <v>0</v>
      </c>
      <c r="L313" s="3">
        <f>(L276-K276)-L283</f>
        <v>-206.651</v>
      </c>
      <c r="M313" s="3">
        <f>SUM(I313:L313)</f>
        <v>-206.651000000001</v>
      </c>
      <c r="N313" s="3">
        <f>(N276-M276)-N283</f>
        <v>-304.261</v>
      </c>
      <c r="O313" s="3">
        <f>(O276-N276)-O283</f>
        <v>-5.11590769747272e-13</v>
      </c>
      <c r="P313" s="3">
        <f>(P276-O276)-P283</f>
        <v>-2.41584530158434e-13</v>
      </c>
      <c r="Q313" s="3">
        <f>(Q276-P276)-Q283</f>
        <v>-130.004999999999</v>
      </c>
      <c r="R313" s="3">
        <f>SUM(N313:Q313)</f>
        <v>-434.266</v>
      </c>
      <c r="S313" s="3">
        <f>(S276-R276)-S283</f>
        <v>0.00433977999973934</v>
      </c>
      <c r="T313" s="3">
        <f>(T276-S276)-T283</f>
        <v>-0.00225762959817644</v>
      </c>
      <c r="U313" s="3">
        <f>(U276-T276)-U283</f>
        <v>-0.00120666909543843</v>
      </c>
      <c r="V313" s="3">
        <f>(V276-U276)-V283</f>
        <v>0.00162899870059618</v>
      </c>
      <c r="W313" s="3">
        <f>SUM(S313:V313)</f>
        <v>0.00250448000672066</v>
      </c>
      <c r="X313" s="3">
        <f>(X276-W276)-X283</f>
        <v>5.47117906535277e-13</v>
      </c>
      <c r="Y313" s="3">
        <f>(Y276-X276)-Y283</f>
        <v>1.77635683940025e-12</v>
      </c>
      <c r="Z313" s="3">
        <f>(Z276-Y276)-Z283</f>
        <v>1.99984526716435e-08</v>
      </c>
      <c r="AA313" s="3">
        <f>(AA276-Z276)-AA283</f>
        <v>-0.0315829499937763</v>
      </c>
      <c r="AB313" s="3">
        <f>SUM(X313:AA313)</f>
        <v>-0.0315829299930002</v>
      </c>
      <c r="AC313" s="3">
        <f>(AC276-AB276)-AC283</f>
        <v>-4.15029056999982</v>
      </c>
      <c r="AD313" s="3">
        <f>(AD276-AC276)-AD283</f>
        <v>-58.3417859999971</v>
      </c>
      <c r="AE313" s="3">
        <f>(AE276-AD276)-AE283</f>
        <v>0.934705579999132</v>
      </c>
      <c r="AF313" s="3">
        <f>(AF276-AE276)-AF283</f>
        <v>6.65370338000349</v>
      </c>
      <c r="AG313" s="3">
        <f>SUM(AC313:AF313)</f>
        <v>-54.9036676099943</v>
      </c>
      <c r="AH313" s="3">
        <f>(AH276-AG276)-AH283</f>
        <v>21.2149369099996</v>
      </c>
      <c r="AI313" s="3">
        <f>(AI276-AH276)-AI283</f>
        <v>-126.310520309997</v>
      </c>
      <c r="AJ313" s="3">
        <f>(AJ276-AI276)-AJ283</f>
        <v>0</v>
      </c>
      <c r="AK313" s="3">
        <f>(AK276-AJ276)-AK283</f>
        <v>0</v>
      </c>
      <c r="AL313" s="3">
        <f>SUM(AH313:AK313)</f>
        <v>-105.095583399997</v>
      </c>
      <c r="AM313" s="3">
        <f>(AM276-AL276)-AM283</f>
        <v>0</v>
      </c>
      <c r="AN313" s="3">
        <f>(AN276-AM276)-AN283</f>
        <v>0</v>
      </c>
      <c r="AO313" s="3">
        <f>(AO276-AN276)-AO283</f>
        <v>0</v>
      </c>
      <c r="AP313" s="3">
        <f>(AP276-AO276)-AP283</f>
        <v>0</v>
      </c>
      <c r="AQ313" s="3">
        <f>SUM(AM313:AP313)</f>
        <v>0</v>
      </c>
      <c r="AR313" s="3">
        <f>(AR276-AQ276)-AR283</f>
        <v>0</v>
      </c>
      <c r="AS313" s="3">
        <f>(AS276-AR276)-AS283</f>
        <v>0</v>
      </c>
      <c r="AT313" s="3">
        <f>(AT276-AS276)-AT283</f>
        <v>0</v>
      </c>
      <c r="AU313" s="3">
        <f>(AU276-AT276)-AU283</f>
        <v>0</v>
      </c>
      <c r="AV313" s="3">
        <f>SUM(AR313:AU313)</f>
        <v>0</v>
      </c>
      <c r="AW313" s="3">
        <f>(AW276-AV276)-AW283</f>
        <v>0</v>
      </c>
      <c r="AX313" s="3">
        <f>(AX276-AW276)-AX283</f>
        <v>0</v>
      </c>
      <c r="AY313" s="3">
        <f>(AY276-AX276)-AY283</f>
        <v>0</v>
      </c>
      <c r="AZ313" s="3">
        <f>(AZ276-AY276)-AZ283</f>
        <v>0</v>
      </c>
      <c r="BA313" s="3">
        <f>SUM(AW313:AZ313)</f>
        <v>0</v>
      </c>
      <c r="BB313" s="3">
        <f>(BB276-BA276)-BB283</f>
        <v>0</v>
      </c>
      <c r="BC313" s="3">
        <f>(BC276-BB276)-BC283</f>
        <v>0</v>
      </c>
      <c r="BD313" s="3">
        <f>(BD276-BC276)-BD283</f>
        <v>0</v>
      </c>
      <c r="BE313" s="3">
        <f>(BE276-BD276)-BE283</f>
        <v>0</v>
      </c>
      <c r="BF313" s="3">
        <f>SUM(BB313:BE313)</f>
        <v>0</v>
      </c>
      <c r="BG313" s="3">
        <f>(BG276-BF276)-BG283</f>
        <v>0</v>
      </c>
      <c r="BH313" s="3">
        <f>(BH276-BG276)-BH283</f>
        <v>0</v>
      </c>
      <c r="BI313" s="3">
        <f>(BI276-BH276)-BI283</f>
        <v>0</v>
      </c>
      <c r="BJ313" s="3">
        <f>(BJ276-BI276)-BJ283</f>
        <v>0</v>
      </c>
      <c r="BK313" s="3">
        <f>SUM(BG313:BJ313)</f>
        <v>0</v>
      </c>
      <c r="BL313" s="3">
        <f>(BL276-BK276)-BL283</f>
        <v>0</v>
      </c>
      <c r="BM313" s="3">
        <f>(BM276-BL276)-BM283</f>
        <v>0</v>
      </c>
      <c r="BN313" s="3">
        <f>(BN276-BM276)-BN283</f>
        <v>0</v>
      </c>
      <c r="BO313" s="3">
        <f>(BO276-BN276)-BO283</f>
        <v>0</v>
      </c>
      <c r="BP313" s="3">
        <f>SUM(BL313:BO313)</f>
        <v>0</v>
      </c>
      <c r="BQ313" s="3">
        <f>(BQ276-BP276)-BQ283</f>
        <v>0</v>
      </c>
      <c r="BR313" s="3">
        <f>(BR276-BQ276)-BR283</f>
        <v>0</v>
      </c>
      <c r="BS313" s="3">
        <f>(BS276-BR276)-BS283</f>
        <v>0</v>
      </c>
      <c r="BT313" s="3">
        <f>(BT276-BS276)-BT283</f>
        <v>0</v>
      </c>
      <c r="BU313" s="3">
        <f>SUM(BQ313:BT313)</f>
        <v>0</v>
      </c>
      <c r="BV313" s="3">
        <f>(BV276-BU276)-BV283</f>
        <v>0</v>
      </c>
      <c r="BW313" s="3">
        <f>(BW276-BV276)-BW283</f>
        <v>0</v>
      </c>
      <c r="BX313" s="3">
        <f>(BX276-BW276)-BX283</f>
        <v>0</v>
      </c>
      <c r="BY313" s="3">
        <f>(BY276-BX276)-BY283</f>
        <v>0</v>
      </c>
      <c r="BZ313" s="3">
        <f>SUM(BV313:BY313)</f>
        <v>0</v>
      </c>
      <c r="CA313" s="3">
        <f>(CA276-BZ276)-CA283</f>
        <v>0</v>
      </c>
      <c r="CB313" s="3">
        <f>(CB276-CA276)-CB283</f>
        <v>0</v>
      </c>
      <c r="CC313" s="3">
        <f>(CC276-CB276)-CC283</f>
        <v>0</v>
      </c>
      <c r="CD313" s="3">
        <f>(CD276-CC276)-CD283</f>
        <v>0</v>
      </c>
      <c r="CE313" s="3">
        <f>SUM(CA313:CD313)</f>
        <v>0</v>
      </c>
      <c r="CF313" s="3">
        <f>(CF276-CE276)-CF283</f>
        <v>0</v>
      </c>
      <c r="CG313" s="3">
        <f>(CG276-CF276)-CG283</f>
        <v>0</v>
      </c>
      <c r="CH313" s="3">
        <f>(CH276-CG276)-CH283</f>
        <v>0</v>
      </c>
      <c r="CI313" s="3">
        <f>(CI276-CH276)-CI283</f>
        <v>0</v>
      </c>
      <c r="CJ313" s="3">
        <f>SUM(CF313:CI313)</f>
        <v>0</v>
      </c>
      <c r="CK313" s="3">
        <f>(CK276-CJ276)-CK283</f>
        <v>0</v>
      </c>
      <c r="CL313" s="3">
        <f>(CL276-CK276)-CL283</f>
        <v>0</v>
      </c>
      <c r="CM313" s="3">
        <f>(CM276-CL276)-CM283</f>
        <v>0</v>
      </c>
      <c r="CN313" s="3">
        <f>(CN276-CM276)-CN283</f>
        <v>0</v>
      </c>
      <c r="CO313" s="3">
        <f>SUM(CK313:CN313)</f>
        <v>0</v>
      </c>
      <c r="CP313" s="3">
        <f>(CP276-CO276)-CP283</f>
        <v>0</v>
      </c>
      <c r="CQ313" s="3">
        <f>(CQ276-CP276)-CQ283</f>
        <v>0</v>
      </c>
      <c r="CR313" s="3">
        <f>(CR276-CQ276)-CR283</f>
        <v>0</v>
      </c>
      <c r="CS313" s="3">
        <f>(CS276-CR276)-CS283</f>
        <v>0</v>
      </c>
      <c r="CT313" s="3">
        <f>SUM(CP313:CS313)</f>
        <v>0</v>
      </c>
      <c r="CU313" s="3">
        <f>(CU276-CT276)-CU283</f>
        <v>0</v>
      </c>
      <c r="CV313" s="3">
        <f>(CV276-CU276)-CV283</f>
        <v>0</v>
      </c>
      <c r="CW313" s="3">
        <f>(CW276-CV276)-CW283</f>
        <v>0</v>
      </c>
      <c r="CX313" s="3">
        <f>(CX276-CW276)-CX283</f>
        <v>0</v>
      </c>
      <c r="CY313" s="3">
        <f>SUM(CU313:CX313)</f>
        <v>0</v>
      </c>
    </row>
    <row r="314">
      <c r="C314" s="26" t="inlineStr">
        <is>
          <t>Dividends to minority interests</t>
        </is>
      </c>
      <c r="D314" s="3" t="n"/>
      <c r="E314" s="3">
        <f>(E254-D254)+E142</f>
        <v>18.4607963599993</v>
      </c>
      <c r="F314" s="3">
        <f>(F254-E254)+F142</f>
        <v>285.541284367551</v>
      </c>
      <c r="G314" s="3">
        <f>(G254-F254)+G142</f>
        <v>-22.5490132972963</v>
      </c>
      <c r="H314" s="3">
        <f>SUM(D314:G314)</f>
        <v>281.453067430254</v>
      </c>
      <c r="I314" s="3">
        <f>(I254-H254)+I142</f>
        <v>262.877926474927</v>
      </c>
      <c r="J314" s="3">
        <f>(J254-I254)+J142</f>
        <v>20.0523213662497</v>
      </c>
      <c r="K314" s="3">
        <f>(K254-J254)+K142</f>
        <v>327.128498516003</v>
      </c>
      <c r="L314" s="3">
        <f>(L254-K254)+L142</f>
        <v>-139.823746357179</v>
      </c>
      <c r="M314" s="3">
        <f>SUM(I314:L314)</f>
        <v>470.235</v>
      </c>
      <c r="N314" s="3">
        <f>(N254-M254)+N142</f>
        <v>-152.667</v>
      </c>
      <c r="O314" s="3">
        <f>(O254-N254)+O142</f>
        <v>-108.6682</v>
      </c>
      <c r="P314" s="3">
        <f>(P254-O254)+P142</f>
        <v>398.80999954112</v>
      </c>
      <c r="Q314" s="3">
        <f>(Q254-P254)+Q142</f>
        <v>-204.304958750104</v>
      </c>
      <c r="R314" s="3">
        <f>SUM(N314:Q314)</f>
        <v>-66.8301592089828</v>
      </c>
      <c r="S314" s="3">
        <f>(S254-R254)+S142</f>
        <v>12.8043754696153</v>
      </c>
      <c r="T314" s="3">
        <f>(T254-S254)+T142</f>
        <v>89.5595967156408</v>
      </c>
      <c r="U314" s="3">
        <f>(U254-T254)+U142</f>
        <v>466.366259875648</v>
      </c>
      <c r="V314" s="3">
        <f>(V254-U254)+V142</f>
        <v>313.408311163964</v>
      </c>
      <c r="W314" s="3">
        <f>SUM(S314:V314)</f>
        <v>882.138543224868</v>
      </c>
      <c r="X314" s="3">
        <f>(X254-W254)+X142</f>
        <v>-5.39578634508267</v>
      </c>
      <c r="Y314" s="3">
        <f>(Y254-X254)+Y142</f>
        <v>1.71332337847622</v>
      </c>
      <c r="Z314" s="3">
        <f>(Z254-Y254)+Z142</f>
        <v>51.5416439831508</v>
      </c>
      <c r="AA314" s="3">
        <f>(AA254-Z254)+AA142</f>
        <v>-791.855927834437</v>
      </c>
      <c r="AB314" s="3">
        <f>SUM(X314:AA314)</f>
        <v>-743.996746817893</v>
      </c>
      <c r="AC314" s="3">
        <f>(AC254-AB254)+AC142</f>
        <v>-62.87634342</v>
      </c>
      <c r="AD314" s="3">
        <f>(AD254-AC254)+AD142</f>
        <v>-57.5985585900019</v>
      </c>
      <c r="AE314" s="3">
        <f>(AE254-AD254)+AE142</f>
        <v>44.4701037700015</v>
      </c>
      <c r="AF314" s="3">
        <f>(AF254-AE254)+AF142</f>
        <v>-172.810849190004</v>
      </c>
      <c r="AG314" s="3">
        <f>SUM(AC314:AF314)</f>
        <v>-248.815647430004</v>
      </c>
      <c r="AH314" s="3">
        <f>(AH254-AG254)+AH142</f>
        <v>-25.8708026999985</v>
      </c>
      <c r="AI314" s="3">
        <f>(AI254-AH254)+AI142</f>
        <v>1022.4119043</v>
      </c>
      <c r="AJ314" s="3">
        <f>(AJ254-AI254)+AJ142</f>
        <v>0</v>
      </c>
      <c r="AK314" s="3">
        <f>(AK254-AJ254)+AK142</f>
        <v>0</v>
      </c>
      <c r="AL314" s="3">
        <f>SUM(AH314:AK314)</f>
        <v>996.541101599998</v>
      </c>
      <c r="AM314" s="3">
        <f>(AM254-AL254)+AM142</f>
        <v>-5.6843418860808e-14</v>
      </c>
      <c r="AN314" s="3">
        <f>(AN254-AM254)+AN142</f>
        <v>0</v>
      </c>
      <c r="AO314" s="3">
        <f>(AO254-AN254)+AO142</f>
        <v>0</v>
      </c>
      <c r="AP314" s="3">
        <f>(AP254-AO254)+AP142</f>
        <v>0</v>
      </c>
      <c r="AQ314" s="3">
        <f>SUM(AM314:AP314)</f>
        <v>-5.6843418860808e-14</v>
      </c>
      <c r="AR314" s="3">
        <f>(AR254-AQ254)+AR142</f>
        <v>3.97903932025656e-13</v>
      </c>
      <c r="AS314" s="3">
        <f>(AS254-AR254)+AS142</f>
        <v>0</v>
      </c>
      <c r="AT314" s="3">
        <f>(AT254-AS254)+AT142</f>
        <v>4.54747350886464e-13</v>
      </c>
      <c r="AU314" s="3">
        <f>(AU254-AT254)+AU142</f>
        <v>2.8421709430404e-13</v>
      </c>
      <c r="AV314" s="3">
        <f>SUM(AR314:AU314)</f>
        <v>1.13686837721616e-12</v>
      </c>
      <c r="AW314" s="3">
        <f>(AW254-AV254)+AW142</f>
        <v>3.97903932025656e-13</v>
      </c>
      <c r="AX314" s="3">
        <f>(AX254-AW254)+AX142</f>
        <v>0</v>
      </c>
      <c r="AY314" s="3">
        <f>(AY254-AX254)+AY142</f>
        <v>-4.54747350886464e-13</v>
      </c>
      <c r="AZ314" s="3">
        <f>(AZ254-AY254)+AZ142</f>
        <v>2.8421709430404e-13</v>
      </c>
      <c r="BA314" s="3">
        <f>SUM(AW314:AZ314)</f>
        <v>2.27373675443232e-13</v>
      </c>
      <c r="BB314" s="3">
        <f>(BB254-BA254)+BB142</f>
        <v>3.97903932025656e-13</v>
      </c>
      <c r="BC314" s="3">
        <f>(BC254-BB254)+BC142</f>
        <v>0</v>
      </c>
      <c r="BD314" s="3">
        <f>(BD254-BC254)+BD142</f>
        <v>-4.54747350886464e-13</v>
      </c>
      <c r="BE314" s="3">
        <f>(BE254-BD254)+BE142</f>
        <v>2.8421709430404e-13</v>
      </c>
      <c r="BF314" s="3">
        <f>SUM(BB314:BE314)</f>
        <v>2.27373675443232e-13</v>
      </c>
      <c r="BG314" s="3">
        <f>(BG254-BF254)+BG142</f>
        <v>3.97903932025656e-13</v>
      </c>
      <c r="BH314" s="3">
        <f>(BH254-BG254)+BH142</f>
        <v>0</v>
      </c>
      <c r="BI314" s="3">
        <f>(BI254-BH254)+BI142</f>
        <v>-4.54747350886464e-13</v>
      </c>
      <c r="BJ314" s="3">
        <f>(BJ254-BI254)+BJ142</f>
        <v>2.8421709430404e-13</v>
      </c>
      <c r="BK314" s="3">
        <f>SUM(BG314:BJ314)</f>
        <v>2.27373675443232e-13</v>
      </c>
      <c r="BL314" s="3">
        <f>(BL254-BK254)+BL142</f>
        <v>3.97903932025656e-13</v>
      </c>
      <c r="BM314" s="3">
        <f>(BM254-BL254)+BM142</f>
        <v>0</v>
      </c>
      <c r="BN314" s="3">
        <f>(BN254-BM254)+BN142</f>
        <v>-4.54747350886464e-13</v>
      </c>
      <c r="BO314" s="3">
        <f>(BO254-BN254)+BO142</f>
        <v>2.8421709430404e-13</v>
      </c>
      <c r="BP314" s="3">
        <f>SUM(BL314:BO314)</f>
        <v>2.27373675443232e-13</v>
      </c>
      <c r="BQ314" s="3">
        <f>(BQ254-BP254)+BQ142</f>
        <v>3.97903932025656e-13</v>
      </c>
      <c r="BR314" s="3">
        <f>(BR254-BQ254)+BR142</f>
        <v>0</v>
      </c>
      <c r="BS314" s="3">
        <f>(BS254-BR254)+BS142</f>
        <v>-4.54747350886464e-13</v>
      </c>
      <c r="BT314" s="3">
        <f>(BT254-BS254)+BT142</f>
        <v>2.8421709430404e-13</v>
      </c>
      <c r="BU314" s="3">
        <f>SUM(BQ314:BT314)</f>
        <v>2.27373675443232e-13</v>
      </c>
      <c r="BV314" s="3">
        <f>(BV254-BU254)+BV142</f>
        <v>3.97903932025656e-13</v>
      </c>
      <c r="BW314" s="3">
        <f>(BW254-BV254)+BW142</f>
        <v>0</v>
      </c>
      <c r="BX314" s="3">
        <f>(BX254-BW254)+BX142</f>
        <v>-4.54747350886464e-13</v>
      </c>
      <c r="BY314" s="3">
        <f>(BY254-BX254)+BY142</f>
        <v>2.8421709430404e-13</v>
      </c>
      <c r="BZ314" s="3">
        <f>SUM(BV314:BY314)</f>
        <v>2.27373675443232e-13</v>
      </c>
      <c r="CA314" s="3">
        <f>(CA254-BZ254)+CA142</f>
        <v>3.97903932025656e-13</v>
      </c>
      <c r="CB314" s="3">
        <f>(CB254-CA254)+CB142</f>
        <v>0</v>
      </c>
      <c r="CC314" s="3">
        <f>(CC254-CB254)+CC142</f>
        <v>-4.54747350886464e-13</v>
      </c>
      <c r="CD314" s="3">
        <f>(CD254-CC254)+CD142</f>
        <v>2.8421709430404e-13</v>
      </c>
      <c r="CE314" s="3">
        <f>SUM(CA314:CD314)</f>
        <v>2.27373675443232e-13</v>
      </c>
      <c r="CF314" s="3">
        <f>(CF254-CE254)+CF142</f>
        <v>3.97903932025656e-13</v>
      </c>
      <c r="CG314" s="3">
        <f>(CG254-CF254)+CG142</f>
        <v>0</v>
      </c>
      <c r="CH314" s="3">
        <f>(CH254-CG254)+CH142</f>
        <v>-4.54747350886464e-13</v>
      </c>
      <c r="CI314" s="3">
        <f>(CI254-CH254)+CI142</f>
        <v>2.8421709430404e-13</v>
      </c>
      <c r="CJ314" s="3">
        <f>SUM(CF314:CI314)</f>
        <v>2.27373675443232e-13</v>
      </c>
      <c r="CK314" s="3">
        <f>(CK254-CJ254)+CK142</f>
        <v>3.97903932025656e-13</v>
      </c>
      <c r="CL314" s="3">
        <f>(CL254-CK254)+CL142</f>
        <v>0</v>
      </c>
      <c r="CM314" s="3">
        <f>(CM254-CL254)+CM142</f>
        <v>-4.54747350886464e-13</v>
      </c>
      <c r="CN314" s="3">
        <f>(CN254-CM254)+CN142</f>
        <v>2.8421709430404e-13</v>
      </c>
      <c r="CO314" s="3">
        <f>SUM(CK314:CN314)</f>
        <v>2.27373675443232e-13</v>
      </c>
      <c r="CP314" s="3">
        <f>(CP254-CO254)+CP142</f>
        <v>3.97903932025656e-13</v>
      </c>
      <c r="CQ314" s="3">
        <f>(CQ254-CP254)+CQ142</f>
        <v>0</v>
      </c>
      <c r="CR314" s="3">
        <f>(CR254-CQ254)+CR142</f>
        <v>-4.54747350886464e-13</v>
      </c>
      <c r="CS314" s="3">
        <f>(CS254-CR254)+CS142</f>
        <v>2.8421709430404e-13</v>
      </c>
      <c r="CT314" s="3">
        <f>SUM(CP314:CS314)</f>
        <v>2.27373675443232e-13</v>
      </c>
      <c r="CU314" s="3">
        <f>(CU254-CT254)+CU142</f>
        <v>3.97903932025656e-13</v>
      </c>
      <c r="CV314" s="3">
        <f>(CV254-CU254)+CV142</f>
        <v>0</v>
      </c>
      <c r="CW314" s="3">
        <f>(CW254-CV254)+CW142</f>
        <v>-4.54747350886464e-13</v>
      </c>
      <c r="CX314" s="3">
        <f>(CX254-CW254)+CX142</f>
        <v>2.8421709430404e-13</v>
      </c>
      <c r="CY314" s="3">
        <f>SUM(CU314:CX314)</f>
        <v>2.27373675443232e-13</v>
      </c>
    </row>
    <row r="315">
      <c r="C315" s="28" t="inlineStr">
        <is>
          <t>Increases / (decreases) in debt</t>
        </is>
      </c>
      <c r="D315" s="3" t="n"/>
      <c r="E315" s="3">
        <f>SUM(E218:E220,E223,E244,E241)-SUM(D218:D220,D223,D244,D241)</f>
        <v>1810.04280078</v>
      </c>
      <c r="F315" s="3">
        <f>SUM(F218:F220,F223,F244,F241)-SUM(E218:E220,E223,E244,E241)</f>
        <v>-1156.28138119</v>
      </c>
      <c r="G315" s="3">
        <f>SUM(G218:G220,G223,G244,G241)-SUM(F218:F220,F223,F244,F241)</f>
        <v>1256.2826767</v>
      </c>
      <c r="H315" s="3">
        <f>SUM(D315:G315)</f>
        <v>1910.04409629</v>
      </c>
      <c r="I315" s="3">
        <f>SUM(I218:I220,I223,I244,I241)-SUM(H218:H220,H223,H244,H241)</f>
        <v>5744.70241325</v>
      </c>
      <c r="J315" s="3">
        <f>SUM(J218:J220,J223,J244,J241)-SUM(I218:I220,I223,I244,I241)</f>
        <v>-411.130591960002</v>
      </c>
      <c r="K315" s="3">
        <f>SUM(K218:K220,K223,K244,K241)-SUM(J218:J220,J223,J244,J241)</f>
        <v>5991.43032636</v>
      </c>
      <c r="L315" s="3">
        <f>SUM(L218:L220,L223,L244,L241)-SUM(K218:K220,K223,K244,K241)</f>
        <v>5196.44699999999</v>
      </c>
      <c r="M315" s="3">
        <f>SUM(I315:L315)</f>
        <v>16521.44914765</v>
      </c>
      <c r="N315" s="3">
        <f>SUM(N218:N220,N223,N244,N241)-SUM(M218:M220,M223,M244,M241)</f>
        <v>-1608.213</v>
      </c>
      <c r="O315" s="3">
        <f>SUM(O218:O220,O223,O244,O241)-SUM(N218:N220,N223,N244,N241)</f>
        <v>4287.942</v>
      </c>
      <c r="P315" s="3">
        <f>SUM(P218:P220,P223,P244,P241)-SUM(O218:O220,O223,O244,O241)</f>
        <v>3855.673</v>
      </c>
      <c r="Q315" s="3">
        <f>SUM(Q218:Q220,Q223,Q244,Q241)-SUM(P218:P220,P223,P244,P241)</f>
        <v>-1015.104</v>
      </c>
      <c r="R315" s="3">
        <f>SUM(N315:Q315)</f>
        <v>5520.29800000001</v>
      </c>
      <c r="S315" s="3">
        <f>SUM(S218:S220,S223,S244,S241)-SUM(R218:R220,R223,R244,R241)</f>
        <v>-217.90774053058</v>
      </c>
      <c r="T315" s="3">
        <f>SUM(T218:T220,T223,T244,T241)-SUM(S218:S220,S223,S244,S241)</f>
        <v>1033.97624483667</v>
      </c>
      <c r="U315" s="3">
        <f>SUM(U218:U220,U223,U244,U241)-SUM(T218:T220,T223,T244,T241)</f>
        <v>521.115417255802</v>
      </c>
      <c r="V315" s="3">
        <f>SUM(V218:V220,V223,V244,V241)-SUM(U218:U220,U223,U244,U241)</f>
        <v>4183.4139341139</v>
      </c>
      <c r="W315" s="3">
        <f>SUM(S315:V315)</f>
        <v>5520.5978556758</v>
      </c>
      <c r="X315" s="3">
        <f>SUM(X218:X220,X223,X244,X241)-SUM(W218:W220,W223,W244,W241)</f>
        <v>3310.7012030014</v>
      </c>
      <c r="Y315" s="3">
        <f>SUM(Y218:Y220,Y223,Y244,Y241)-SUM(X218:X220,X223,X244,X241)</f>
        <v>2557.31350021959</v>
      </c>
      <c r="Z315" s="3">
        <f>SUM(Z218:Z220,Z223,Z244,Z241)-SUM(Y218:Y220,Y223,Y244,Y241)</f>
        <v>3485.31737406133</v>
      </c>
      <c r="AA315" s="3">
        <f>SUM(AA218:AA220,AA223,AA244,AA241)-SUM(Z218:Z220,Z223,Z244,Z241)</f>
        <v>2087.72211771187</v>
      </c>
      <c r="AB315" s="3">
        <f>SUM(X315:AA315)</f>
        <v>11441.0541949942</v>
      </c>
      <c r="AC315" s="3">
        <f>SUM(AC218:AC220,AC223,AC244,AC241)-SUM(AB218:AB220,AB223,AB244,AB241)</f>
        <v>427.371392329995</v>
      </c>
      <c r="AD315" s="3">
        <f>SUM(AD218:AD220,AD223,AD244,AD241)-SUM(AC218:AC220,AC223,AC244,AC241)</f>
        <v>-761.442087129995</v>
      </c>
      <c r="AE315" s="3">
        <f>SUM(AE218:AE220,AE223,AE244,AE241)-SUM(AD218:AD220,AD223,AD244,AD241)</f>
        <v>-1235.85818481</v>
      </c>
      <c r="AF315" s="3">
        <f>SUM(AF218:AF220,AF223,AF244,AF241)-SUM(AE218:AE220,AE223,AE244,AE241)</f>
        <v>2190.60127206</v>
      </c>
      <c r="AG315" s="3">
        <f>SUM(AC315:AF315)</f>
        <v>620.672392450004</v>
      </c>
      <c r="AH315" s="3">
        <f>SUM(AH218:AH220,AH223,AH244,AH241)-SUM(AG218:AG220,AG223,AG244,AG241)</f>
        <v>1296.36340975</v>
      </c>
      <c r="AI315" s="3">
        <f>SUM(AI218:AI220,AI223,AI244,AI241)-SUM(AH218:AH220,AH223,AH244,AH241)</f>
        <v>-757.759087869999</v>
      </c>
      <c r="AJ315" s="3">
        <f>SUM(AJ218:AJ220,AJ223,AJ244,AJ241)-SUM(AI218:AI220,AI223,AI244,AI241)</f>
        <v>0</v>
      </c>
      <c r="AK315" s="3">
        <f>SUM(AK218:AK220,AK223,AK244,AK241)-SUM(AJ218:AJ220,AJ223,AJ244,AJ241)</f>
        <v>0</v>
      </c>
      <c r="AL315" s="3">
        <f>SUM(AH315:AK315)</f>
        <v>538.604321879997</v>
      </c>
      <c r="AM315" s="3">
        <f>SUM(AM218:AM220,AM223,AM244,AM241)-SUM(AL218:AL220,AL223,AL244,AL241)</f>
        <v>0</v>
      </c>
      <c r="AN315" s="3">
        <f>SUM(AN218:AN220,AN223,AN244,AN241)-SUM(AM218:AM220,AM223,AM244,AM241)</f>
        <v>0</v>
      </c>
      <c r="AO315" s="3">
        <f>SUM(AO218:AO220,AO223,AO244,AO241)-SUM(AN218:AN220,AN223,AN244,AN241)</f>
        <v>0</v>
      </c>
      <c r="AP315" s="3">
        <f>SUM(AP218:AP220,AP223,AP244,AP241)-SUM(AO218:AO220,AO223,AO244,AO241)</f>
        <v>0</v>
      </c>
      <c r="AQ315" s="3">
        <f>SUM(AM315:AP315)</f>
        <v>0</v>
      </c>
      <c r="AR315" s="3">
        <f>SUM(AR218:AR220,AR223,AR244,AR241)-SUM(AQ218:AQ220,AQ223,AQ244,AQ241)</f>
        <v>0</v>
      </c>
      <c r="AS315" s="3">
        <f>SUM(AS218:AS220,AS223,AS244,AS241)-SUM(AR218:AR220,AR223,AR244,AR241)</f>
        <v>0</v>
      </c>
      <c r="AT315" s="3">
        <f>SUM(AT218:AT220,AT223,AT244,AT241)-SUM(AS218:AS220,AS223,AS244,AS241)</f>
        <v>0</v>
      </c>
      <c r="AU315" s="3">
        <f>SUM(AU218:AU220,AU223,AU244,AU241)-SUM(AT218:AT220,AT223,AT244,AT241)</f>
        <v>0</v>
      </c>
      <c r="AV315" s="3">
        <f>SUM(AR315:AU315)</f>
        <v>0</v>
      </c>
      <c r="AW315" s="3">
        <f>SUM(AW218:AW220,AW223,AW244,AW241)-SUM(AV218:AV220,AV223,AV244,AV241)</f>
        <v>0</v>
      </c>
      <c r="AX315" s="3">
        <f>SUM(AX218:AX220,AX223,AX244,AX241)-SUM(AW218:AW220,AW223,AW244,AW241)</f>
        <v>0</v>
      </c>
      <c r="AY315" s="3">
        <f>SUM(AY218:AY220,AY223,AY244,AY241)-SUM(AX218:AX220,AX223,AX244,AX241)</f>
        <v>0</v>
      </c>
      <c r="AZ315" s="3">
        <f>SUM(AZ218:AZ220,AZ223,AZ244,AZ241)-SUM(AY218:AY220,AY223,AY244,AY241)</f>
        <v>0</v>
      </c>
      <c r="BA315" s="3">
        <f>SUM(AW315:AZ315)</f>
        <v>0</v>
      </c>
      <c r="BB315" s="3">
        <f>SUM(BB218:BB220,BB223,BB244,BB241)-SUM(BA218:BA220,BA223,BA244,BA241)</f>
        <v>0</v>
      </c>
      <c r="BC315" s="3">
        <f>SUM(BC218:BC220,BC223,BC244,BC241)-SUM(BB218:BB220,BB223,BB244,BB241)</f>
        <v>0</v>
      </c>
      <c r="BD315" s="3">
        <f>SUM(BD218:BD220,BD223,BD244,BD241)-SUM(BC218:BC220,BC223,BC244,BC241)</f>
        <v>0</v>
      </c>
      <c r="BE315" s="3">
        <f>SUM(BE218:BE220,BE223,BE244,BE241)-SUM(BD218:BD220,BD223,BD244,BD241)</f>
        <v>0</v>
      </c>
      <c r="BF315" s="3">
        <f>SUM(BB315:BE315)</f>
        <v>0</v>
      </c>
      <c r="BG315" s="3">
        <f>SUM(BG218:BG220,BG223,BG244,BG241)-SUM(BF218:BF220,BF223,BF244,BF241)</f>
        <v>0</v>
      </c>
      <c r="BH315" s="3">
        <f>SUM(BH218:BH220,BH223,BH244,BH241)-SUM(BG218:BG220,BG223,BG244,BG241)</f>
        <v>0</v>
      </c>
      <c r="BI315" s="3">
        <f>SUM(BI218:BI220,BI223,BI244,BI241)-SUM(BH218:BH220,BH223,BH244,BH241)</f>
        <v>0</v>
      </c>
      <c r="BJ315" s="3">
        <f>SUM(BJ218:BJ220,BJ223,BJ244,BJ241)-SUM(BI218:BI220,BI223,BI244,BI241)</f>
        <v>0</v>
      </c>
      <c r="BK315" s="3">
        <f>SUM(BG315:BJ315)</f>
        <v>0</v>
      </c>
      <c r="BL315" s="3">
        <f>SUM(BL218:BL220,BL223,BL244,BL241)-SUM(BK218:BK220,BK223,BK244,BK241)</f>
        <v>0</v>
      </c>
      <c r="BM315" s="3">
        <f>SUM(BM218:BM220,BM223,BM244,BM241)-SUM(BL218:BL220,BL223,BL244,BL241)</f>
        <v>0</v>
      </c>
      <c r="BN315" s="3">
        <f>SUM(BN218:BN220,BN223,BN244,BN241)-SUM(BM218:BM220,BM223,BM244,BM241)</f>
        <v>0</v>
      </c>
      <c r="BO315" s="3">
        <f>SUM(BO218:BO220,BO223,BO244,BO241)-SUM(BN218:BN220,BN223,BN244,BN241)</f>
        <v>0</v>
      </c>
      <c r="BP315" s="3">
        <f>SUM(BL315:BO315)</f>
        <v>0</v>
      </c>
      <c r="BQ315" s="3">
        <f>SUM(BQ218:BQ220,BQ223,BQ244,BQ241)-SUM(BP218:BP220,BP223,BP244,BP241)</f>
        <v>0</v>
      </c>
      <c r="BR315" s="3">
        <f>SUM(BR218:BR220,BR223,BR244,BR241)-SUM(BQ218:BQ220,BQ223,BQ244,BQ241)</f>
        <v>0</v>
      </c>
      <c r="BS315" s="3">
        <f>SUM(BS218:BS220,BS223,BS244,BS241)-SUM(BR218:BR220,BR223,BR244,BR241)</f>
        <v>0</v>
      </c>
      <c r="BT315" s="3">
        <f>SUM(BT218:BT220,BT223,BT244,BT241)-SUM(BS218:BS220,BS223,BS244,BS241)</f>
        <v>0</v>
      </c>
      <c r="BU315" s="3">
        <f>SUM(BQ315:BT315)</f>
        <v>0</v>
      </c>
      <c r="BV315" s="3">
        <f>SUM(BV218:BV220,BV223,BV244,BV241)-SUM(BU218:BU220,BU223,BU244,BU241)</f>
        <v>0</v>
      </c>
      <c r="BW315" s="3">
        <f>SUM(BW218:BW220,BW223,BW244,BW241)-SUM(BV218:BV220,BV223,BV244,BV241)</f>
        <v>0</v>
      </c>
      <c r="BX315" s="3">
        <f>SUM(BX218:BX220,BX223,BX244,BX241)-SUM(BW218:BW220,BW223,BW244,BW241)</f>
        <v>0</v>
      </c>
      <c r="BY315" s="3">
        <f>SUM(BY218:BY220,BY223,BY244,BY241)-SUM(BX218:BX220,BX223,BX244,BX241)</f>
        <v>0</v>
      </c>
      <c r="BZ315" s="3">
        <f>SUM(BV315:BY315)</f>
        <v>0</v>
      </c>
      <c r="CA315" s="3">
        <f>SUM(CA218:CA220,CA223,CA244,CA241)-SUM(BZ218:BZ220,BZ223,BZ244,BZ241)</f>
        <v>0</v>
      </c>
      <c r="CB315" s="3">
        <f>SUM(CB218:CB220,CB223,CB244,CB241)-SUM(CA218:CA220,CA223,CA244,CA241)</f>
        <v>0</v>
      </c>
      <c r="CC315" s="3">
        <f>SUM(CC218:CC220,CC223,CC244,CC241)-SUM(CB218:CB220,CB223,CB244,CB241)</f>
        <v>0</v>
      </c>
      <c r="CD315" s="3">
        <f>SUM(CD218:CD220,CD223,CD244,CD241)-SUM(CC218:CC220,CC223,CC244,CC241)</f>
        <v>0</v>
      </c>
      <c r="CE315" s="3">
        <f>SUM(CA315:CD315)</f>
        <v>0</v>
      </c>
      <c r="CF315" s="3">
        <f>SUM(CF218:CF220,CF223,CF244,CF241)-SUM(CE218:CE220,CE223,CE244,CE241)</f>
        <v>0</v>
      </c>
      <c r="CG315" s="3">
        <f>SUM(CG218:CG220,CG223,CG244,CG241)-SUM(CF218:CF220,CF223,CF244,CF241)</f>
        <v>0</v>
      </c>
      <c r="CH315" s="3">
        <f>SUM(CH218:CH220,CH223,CH244,CH241)-SUM(CG218:CG220,CG223,CG244,CG241)</f>
        <v>0</v>
      </c>
      <c r="CI315" s="3">
        <f>SUM(CI218:CI220,CI223,CI244,CI241)-SUM(CH218:CH220,CH223,CH244,CH241)</f>
        <v>0</v>
      </c>
      <c r="CJ315" s="3">
        <f>SUM(CF315:CI315)</f>
        <v>0</v>
      </c>
      <c r="CK315" s="3">
        <f>SUM(CK218:CK220,CK223,CK244,CK241)-SUM(CJ218:CJ220,CJ223,CJ244,CJ241)</f>
        <v>0</v>
      </c>
      <c r="CL315" s="3">
        <f>SUM(CL218:CL220,CL223,CL244,CL241)-SUM(CK218:CK220,CK223,CK244,CK241)</f>
        <v>0</v>
      </c>
      <c r="CM315" s="3">
        <f>SUM(CM218:CM220,CM223,CM244,CM241)-SUM(CL218:CL220,CL223,CL244,CL241)</f>
        <v>0</v>
      </c>
      <c r="CN315" s="3">
        <f>SUM(CN218:CN220,CN223,CN244,CN241)-SUM(CM218:CM220,CM223,CM244,CM241)</f>
        <v>0</v>
      </c>
      <c r="CO315" s="3">
        <f>SUM(CK315:CN315)</f>
        <v>0</v>
      </c>
      <c r="CP315" s="3">
        <f>SUM(CP218:CP220,CP223,CP244,CP241)-SUM(CO218:CO220,CO223,CO244,CO241)</f>
        <v>0</v>
      </c>
      <c r="CQ315" s="3">
        <f>SUM(CQ218:CQ220,CQ223,CQ244,CQ241)-SUM(CP218:CP220,CP223,CP244,CP241)</f>
        <v>0</v>
      </c>
      <c r="CR315" s="3">
        <f>SUM(CR218:CR220,CR223,CR244,CR241)-SUM(CQ218:CQ220,CQ223,CQ244,CQ241)</f>
        <v>0</v>
      </c>
      <c r="CS315" s="3">
        <f>SUM(CS218:CS220,CS223,CS244,CS241)-SUM(CR218:CR220,CR223,CR244,CR241)</f>
        <v>0</v>
      </c>
      <c r="CT315" s="3">
        <f>SUM(CP315:CS315)</f>
        <v>0</v>
      </c>
      <c r="CU315" s="3">
        <f>SUM(CU218:CU220,CU223,CU244,CU241)-SUM(CT218:CT220,CT223,CT244,CT241)</f>
        <v>0</v>
      </c>
      <c r="CV315" s="3">
        <f>SUM(CV218:CV220,CV223,CV244,CV241)-SUM(CU218:CU220,CU223,CU244,CU241)</f>
        <v>0</v>
      </c>
      <c r="CW315" s="3">
        <f>SUM(CW218:CW220,CW223,CW244,CW241)-SUM(CV218:CV220,CV223,CV244,CV241)</f>
        <v>0</v>
      </c>
      <c r="CX315" s="3">
        <f>SUM(CX218:CX220,CX223,CX244,CX241)-SUM(CW218:CW220,CW223,CW244,CW241)</f>
        <v>0</v>
      </c>
      <c r="CY315" s="3">
        <f>SUM(CU315:CX315)</f>
        <v>0</v>
      </c>
      <c r="CZ315" s="3" t="n"/>
      <c r="DA315" s="3" t="n"/>
      <c r="DB315" s="3" t="n"/>
      <c r="DC315" s="3" t="n"/>
    </row>
    <row r="316">
      <c r="C316" s="26" t="inlineStr">
        <is>
          <t>Cash from financing</t>
        </is>
      </c>
      <c r="D316" s="3" t="n"/>
      <c r="E316" s="3">
        <f>SUM(E308,E309,E310,E311,E312,E313,E314,E315)</f>
        <v>1751.34773821</v>
      </c>
      <c r="F316" s="3">
        <f>SUM(F308,F309,F310,F311,F312,F313,F314,F315)</f>
        <v>-558.676507812447</v>
      </c>
      <c r="G316" s="3">
        <f>SUM(G308,G309,G310,G311,G312,G313,G314,G315)</f>
        <v>1199.65302001275</v>
      </c>
      <c r="H316" s="3">
        <f>SUM(H308,H309,H310,H311,H312,H313,H314,H315)</f>
        <v>2392.3242504103</v>
      </c>
      <c r="I316" s="3">
        <f>SUM(I308,I309,I310,I311,I312,I313,I314,I315)</f>
        <v>6301.97033972493</v>
      </c>
      <c r="J316" s="3">
        <f>SUM(J308,J309,J310,J311,J312,J313,J314,J315)</f>
        <v>-312.231270593753</v>
      </c>
      <c r="K316" s="3">
        <f>SUM(K308,K309,K310,K311,K312,K313,K314,K315)</f>
        <v>6852.300824876</v>
      </c>
      <c r="L316" s="3">
        <f>SUM(L308,L309,L310,L311,L312,L313,L314,L315)</f>
        <v>4950.86925364281</v>
      </c>
      <c r="M316" s="3">
        <f>SUM(M308,M309,M310,M311,M312,M313,M314,M315)</f>
        <v>17792.90914765</v>
      </c>
      <c r="N316" s="3">
        <f>SUM(N308,N309,N310,N311,N312,N313,N314,N315)</f>
        <v>-2513.449</v>
      </c>
      <c r="O316" s="3">
        <f>SUM(O308,O309,O310,O311,O312,O313,O314,O315)</f>
        <v>3754.2238</v>
      </c>
      <c r="P316" s="3">
        <f>SUM(P308,P309,P310,P311,P312,P313,P314,P315)</f>
        <v>4374.07199954112</v>
      </c>
      <c r="Q316" s="3">
        <f>SUM(Q308,Q309,Q310,Q311,Q312,Q313,Q314,Q315)</f>
        <v>-1277.7639587501</v>
      </c>
      <c r="R316" s="3">
        <f>SUM(R308,R309,R310,R311,R312,R313,R314,R315)</f>
        <v>4337.08284079103</v>
      </c>
      <c r="S316" s="3">
        <f>SUM(S308,S309,S310,S311,S312,S313,S314,S315)</f>
        <v>-182.463635734412</v>
      </c>
      <c r="T316" s="3">
        <f>SUM(T308,T309,T310,T311,T312,T313,T314,T315)</f>
        <v>1350.14006716272</v>
      </c>
      <c r="U316" s="3">
        <f>SUM(U308,U309,U310,U311,U312,U313,U314,U315)</f>
        <v>1472.89779502235</v>
      </c>
      <c r="V316" s="3">
        <f>SUM(V308,V309,V310,V311,V312,V313,V314,V315)</f>
        <v>4701.85122812657</v>
      </c>
      <c r="W316" s="3">
        <f>SUM(W308,W309,W310,W311,W312,W313,W314,W315)</f>
        <v>7342.42545457723</v>
      </c>
      <c r="X316" s="3">
        <f>SUM(X308,X309,X310,X311,X312,X313,X314,X315)</f>
        <v>3062.24211552632</v>
      </c>
      <c r="Y316" s="3">
        <f>SUM(Y308,Y309,Y310,Y311,Y312,Y313,Y314,Y315)</f>
        <v>2478.76587841807</v>
      </c>
      <c r="Z316" s="3">
        <f>SUM(Z308,Z309,Z310,Z311,Z312,Z313,Z314,Z315)</f>
        <v>3656.75182968448</v>
      </c>
      <c r="AA316" s="3">
        <f>SUM(AA308,AA309,AA310,AA311,AA312,AA313,AA314,AA315)</f>
        <v>962.375291560886</v>
      </c>
      <c r="AB316" s="3">
        <f>SUM(AB308,AB309,AB310,AB311,AB312,AB313,AB314,AB315)</f>
        <v>10160.1351151898</v>
      </c>
      <c r="AC316" s="3">
        <f>SUM(AC308,AC309,AC310,AC311,AC312,AC313,AC314,AC315)</f>
        <v>320.448002639995</v>
      </c>
      <c r="AD316" s="3">
        <f>SUM(AD308,AD309,AD310,AD311,AD312,AD313,AD314,AD315)</f>
        <v>-193.404858749994</v>
      </c>
      <c r="AE316" s="3">
        <f>SUM(AE308,AE309,AE310,AE311,AE312,AE313,AE314,AE315)</f>
        <v>-1161.77213698</v>
      </c>
      <c r="AF316" s="3">
        <f>SUM(AF308,AF309,AF310,AF311,AF312,AF313,AF314,AF315)</f>
        <v>3151.86481286</v>
      </c>
      <c r="AG316" s="3">
        <f>SUM(AG308,AG309,AG310,AG311,AG312,AG313,AG314,AG315)</f>
        <v>2117.13581977001</v>
      </c>
      <c r="AH316" s="3">
        <f>SUM(AH308,AH309,AH310,AH311,AH312,AH313,AH314,AH315)</f>
        <v>1213.3303384</v>
      </c>
      <c r="AI316" s="3">
        <f>SUM(AI308,AI309,AI310,AI311,AI312,AI313,AI314,AI315)</f>
        <v>2202.54265798</v>
      </c>
      <c r="AJ316" s="3">
        <f>SUM(AJ308,AJ309,AJ310,AJ311,AJ312,AJ313,AJ314,AJ315)</f>
        <v>0</v>
      </c>
      <c r="AK316" s="3">
        <f>SUM(AK308,AK309,AK310,AK311,AK312,AK313,AK314,AK315)</f>
        <v>0</v>
      </c>
      <c r="AL316" s="3">
        <f>SUM(AL308,AL309,AL310,AL311,AL312,AL313,AL314,AL315)</f>
        <v>3415.87299638</v>
      </c>
      <c r="AM316" s="3">
        <f>SUM(AM308,AM309,AM310,AM311,AM312,AM313,AM314,AM315)</f>
        <v>-5.6843418860808e-14</v>
      </c>
      <c r="AN316" s="3">
        <f>SUM(AN308,AN309,AN310,AN311,AN312,AN313,AN314,AN315)</f>
        <v>0</v>
      </c>
      <c r="AO316" s="3">
        <f>SUM(AO308,AO309,AO310,AO311,AO312,AO313,AO314,AO315)</f>
        <v>0</v>
      </c>
      <c r="AP316" s="3">
        <f>SUM(AP308,AP309,AP310,AP311,AP312,AP313,AP314,AP315)</f>
        <v>0</v>
      </c>
      <c r="AQ316" s="3">
        <f>SUM(AQ308,AQ309,AQ310,AQ311,AQ312,AQ313,AQ314,AQ315)</f>
        <v>-5.6843418860808e-14</v>
      </c>
      <c r="AR316" s="3">
        <f>SUM(AR308,AR309,AR310,AR311,AR312,AR313,AR314,AR315)</f>
        <v>3.97903932025656e-13</v>
      </c>
      <c r="AS316" s="3">
        <f>SUM(AS308,AS309,AS310,AS311,AS312,AS313,AS314,AS315)</f>
        <v>0</v>
      </c>
      <c r="AT316" s="3">
        <f>SUM(AT308,AT309,AT310,AT311,AT312,AT313,AT314,AT315)</f>
        <v>4.54747350886464e-13</v>
      </c>
      <c r="AU316" s="3">
        <f>SUM(AU308,AU309,AU310,AU311,AU312,AU313,AU314,AU315)</f>
        <v>2.8421709430404e-13</v>
      </c>
      <c r="AV316" s="3">
        <f>SUM(AV308,AV309,AV310,AV311,AV312,AV313,AV314,AV315)</f>
        <v>1.13686837721616e-12</v>
      </c>
      <c r="AW316" s="3">
        <f>SUM(AW308,AW309,AW310,AW311,AW312,AW313,AW314,AW315)</f>
        <v>3.97903932025656e-13</v>
      </c>
      <c r="AX316" s="3">
        <f>SUM(AX308,AX309,AX310,AX311,AX312,AX313,AX314,AX315)</f>
        <v>0</v>
      </c>
      <c r="AY316" s="3">
        <f>SUM(AY308,AY309,AY310,AY311,AY312,AY313,AY314,AY315)</f>
        <v>-4.54747350886464e-13</v>
      </c>
      <c r="AZ316" s="3">
        <f>SUM(AZ308,AZ309,AZ310,AZ311,AZ312,AZ313,AZ314,AZ315)</f>
        <v>2.8421709430404e-13</v>
      </c>
      <c r="BA316" s="3">
        <f>SUM(BA308,BA309,BA310,BA311,BA312,BA313,BA314,BA315)</f>
        <v>2.27373675443232e-13</v>
      </c>
      <c r="BB316" s="3">
        <f>SUM(BB308,BB309,BB310,BB311,BB312,BB313,BB314,BB315)</f>
        <v>3.97903932025656e-13</v>
      </c>
      <c r="BC316" s="3">
        <f>SUM(BC308,BC309,BC310,BC311,BC312,BC313,BC314,BC315)</f>
        <v>0</v>
      </c>
      <c r="BD316" s="3">
        <f>SUM(BD308,BD309,BD310,BD311,BD312,BD313,BD314,BD315)</f>
        <v>-4.54747350886464e-13</v>
      </c>
      <c r="BE316" s="3">
        <f>SUM(BE308,BE309,BE310,BE311,BE312,BE313,BE314,BE315)</f>
        <v>2.8421709430404e-13</v>
      </c>
      <c r="BF316" s="3">
        <f>SUM(BF308,BF309,BF310,BF311,BF312,BF313,BF314,BF315)</f>
        <v>2.27373675443232e-13</v>
      </c>
      <c r="BG316" s="3">
        <f>SUM(BG308,BG309,BG310,BG311,BG312,BG313,BG314,BG315)</f>
        <v>3.97903932025656e-13</v>
      </c>
      <c r="BH316" s="3">
        <f>SUM(BH308,BH309,BH310,BH311,BH312,BH313,BH314,BH315)</f>
        <v>0</v>
      </c>
      <c r="BI316" s="3">
        <f>SUM(BI308,BI309,BI310,BI311,BI312,BI313,BI314,BI315)</f>
        <v>-4.54747350886464e-13</v>
      </c>
      <c r="BJ316" s="3">
        <f>SUM(BJ308,BJ309,BJ310,BJ311,BJ312,BJ313,BJ314,BJ315)</f>
        <v>2.8421709430404e-13</v>
      </c>
      <c r="BK316" s="3">
        <f>SUM(BK308,BK309,BK310,BK311,BK312,BK313,BK314,BK315)</f>
        <v>2.27373675443232e-13</v>
      </c>
      <c r="BL316" s="3">
        <f>SUM(BL308,BL309,BL310,BL311,BL312,BL313,BL314,BL315)</f>
        <v>3.97903932025656e-13</v>
      </c>
      <c r="BM316" s="3">
        <f>SUM(BM308,BM309,BM310,BM311,BM312,BM313,BM314,BM315)</f>
        <v>0</v>
      </c>
      <c r="BN316" s="3">
        <f>SUM(BN308,BN309,BN310,BN311,BN312,BN313,BN314,BN315)</f>
        <v>-4.54747350886464e-13</v>
      </c>
      <c r="BO316" s="3">
        <f>SUM(BO308,BO309,BO310,BO311,BO312,BO313,BO314,BO315)</f>
        <v>2.8421709430404e-13</v>
      </c>
      <c r="BP316" s="3">
        <f>SUM(BP308,BP309,BP310,BP311,BP312,BP313,BP314,BP315)</f>
        <v>2.27373675443232e-13</v>
      </c>
      <c r="BQ316" s="3">
        <f>SUM(BQ308,BQ309,BQ310,BQ311,BQ312,BQ313,BQ314,BQ315)</f>
        <v>3.97903932025656e-13</v>
      </c>
      <c r="BR316" s="3">
        <f>SUM(BR308,BR309,BR310,BR311,BR312,BR313,BR314,BR315)</f>
        <v>0</v>
      </c>
      <c r="BS316" s="3">
        <f>SUM(BS308,BS309,BS310,BS311,BS312,BS313,BS314,BS315)</f>
        <v>-4.54747350886464e-13</v>
      </c>
      <c r="BT316" s="3">
        <f>SUM(BT308,BT309,BT310,BT311,BT312,BT313,BT314,BT315)</f>
        <v>2.8421709430404e-13</v>
      </c>
      <c r="BU316" s="3">
        <f>SUM(BU308,BU309,BU310,BU311,BU312,BU313,BU314,BU315)</f>
        <v>2.27373675443232e-13</v>
      </c>
      <c r="BV316" s="3">
        <f>SUM(BV308,BV309,BV310,BV311,BV312,BV313,BV314,BV315)</f>
        <v>3.97903932025656e-13</v>
      </c>
      <c r="BW316" s="3">
        <f>SUM(BW308,BW309,BW310,BW311,BW312,BW313,BW314,BW315)</f>
        <v>0</v>
      </c>
      <c r="BX316" s="3">
        <f>SUM(BX308,BX309,BX310,BX311,BX312,BX313,BX314,BX315)</f>
        <v>-4.54747350886464e-13</v>
      </c>
      <c r="BY316" s="3">
        <f>SUM(BY308,BY309,BY310,BY311,BY312,BY313,BY314,BY315)</f>
        <v>2.8421709430404e-13</v>
      </c>
      <c r="BZ316" s="3">
        <f>SUM(BZ308,BZ309,BZ310,BZ311,BZ312,BZ313,BZ314,BZ315)</f>
        <v>2.27373675443232e-13</v>
      </c>
      <c r="CA316" s="3">
        <f>SUM(CA308,CA309,CA310,CA311,CA312,CA313,CA314,CA315)</f>
        <v>3.97903932025656e-13</v>
      </c>
      <c r="CB316" s="3">
        <f>SUM(CB308,CB309,CB310,CB311,CB312,CB313,CB314,CB315)</f>
        <v>0</v>
      </c>
      <c r="CC316" s="3">
        <f>SUM(CC308,CC309,CC310,CC311,CC312,CC313,CC314,CC315)</f>
        <v>-4.54747350886464e-13</v>
      </c>
      <c r="CD316" s="3">
        <f>SUM(CD308,CD309,CD310,CD311,CD312,CD313,CD314,CD315)</f>
        <v>2.8421709430404e-13</v>
      </c>
      <c r="CE316" s="3">
        <f>SUM(CE308,CE309,CE310,CE311,CE312,CE313,CE314,CE315)</f>
        <v>2.27373675443232e-13</v>
      </c>
      <c r="CF316" s="3">
        <f>SUM(CF308,CF309,CF310,CF311,CF312,CF313,CF314,CF315)</f>
        <v>3.97903932025656e-13</v>
      </c>
      <c r="CG316" s="3">
        <f>SUM(CG308,CG309,CG310,CG311,CG312,CG313,CG314,CG315)</f>
        <v>0</v>
      </c>
      <c r="CH316" s="3">
        <f>SUM(CH308,CH309,CH310,CH311,CH312,CH313,CH314,CH315)</f>
        <v>-4.54747350886464e-13</v>
      </c>
      <c r="CI316" s="3">
        <f>SUM(CI308,CI309,CI310,CI311,CI312,CI313,CI314,CI315)</f>
        <v>2.8421709430404e-13</v>
      </c>
      <c r="CJ316" s="3">
        <f>SUM(CJ308,CJ309,CJ310,CJ311,CJ312,CJ313,CJ314,CJ315)</f>
        <v>2.27373675443232e-13</v>
      </c>
      <c r="CK316" s="3">
        <f>SUM(CK308,CK309,CK310,CK311,CK312,CK313,CK314,CK315)</f>
        <v>3.97903932025656e-13</v>
      </c>
      <c r="CL316" s="3">
        <f>SUM(CL308,CL309,CL310,CL311,CL312,CL313,CL314,CL315)</f>
        <v>0</v>
      </c>
      <c r="CM316" s="3">
        <f>SUM(CM308,CM309,CM310,CM311,CM312,CM313,CM314,CM315)</f>
        <v>-4.54747350886464e-13</v>
      </c>
      <c r="CN316" s="3">
        <f>SUM(CN308,CN309,CN310,CN311,CN312,CN313,CN314,CN315)</f>
        <v>2.8421709430404e-13</v>
      </c>
      <c r="CO316" s="3">
        <f>SUM(CO308,CO309,CO310,CO311,CO312,CO313,CO314,CO315)</f>
        <v>2.27373675443232e-13</v>
      </c>
      <c r="CP316" s="3">
        <f>SUM(CP308,CP309,CP310,CP311,CP312,CP313,CP314,CP315)</f>
        <v>3.97903932025656e-13</v>
      </c>
      <c r="CQ316" s="3">
        <f>SUM(CQ308,CQ309,CQ310,CQ311,CQ312,CQ313,CQ314,CQ315)</f>
        <v>0</v>
      </c>
      <c r="CR316" s="3">
        <f>SUM(CR308,CR309,CR310,CR311,CR312,CR313,CR314,CR315)</f>
        <v>-4.54747350886464e-13</v>
      </c>
      <c r="CS316" s="3">
        <f>SUM(CS308,CS309,CS310,CS311,CS312,CS313,CS314,CS315)</f>
        <v>2.8421709430404e-13</v>
      </c>
      <c r="CT316" s="3">
        <f>SUM(CT308,CT309,CT310,CT311,CT312,CT313,CT314,CT315)</f>
        <v>2.27373675443232e-13</v>
      </c>
      <c r="CU316" s="3">
        <f>SUM(CU308,CU309,CU310,CU311,CU312,CU313,CU314,CU315)</f>
        <v>3.97903932025656e-13</v>
      </c>
      <c r="CV316" s="3">
        <f>SUM(CV308,CV309,CV310,CV311,CV312,CV313,CV314,CV315)</f>
        <v>0</v>
      </c>
      <c r="CW316" s="3">
        <f>SUM(CW308,CW309,CW310,CW311,CW312,CW313,CW314,CW315)</f>
        <v>-4.54747350886464e-13</v>
      </c>
      <c r="CX316" s="3">
        <f>SUM(CX308,CX309,CX310,CX311,CX312,CX313,CX314,CX315)</f>
        <v>2.8421709430404e-13</v>
      </c>
      <c r="CY316" s="3">
        <f>SUM(CY308,CY309,CY310,CY311,CY312,CY313,CY314,CY315)</f>
        <v>2.27373675443232e-13</v>
      </c>
    </row>
    <row r="317">
      <c r="C317" s="26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  <c r="BE317" s="3" t="n"/>
      <c r="BF317" s="3" t="n"/>
      <c r="BG317" s="3" t="n"/>
      <c r="BH317" s="3" t="n"/>
      <c r="BI317" s="3" t="n"/>
      <c r="BJ317" s="3" t="n"/>
      <c r="BK317" s="3" t="n"/>
      <c r="BL317" s="3" t="n"/>
      <c r="BM317" s="3" t="n"/>
      <c r="BN317" s="3" t="n"/>
      <c r="BO317" s="3" t="n"/>
      <c r="BP317" s="3" t="n"/>
      <c r="BQ317" s="3" t="n"/>
      <c r="BR317" s="3" t="n"/>
      <c r="BS317" s="3" t="n"/>
      <c r="BT317" s="3" t="n"/>
      <c r="BU317" s="3" t="n"/>
      <c r="BV317" s="3" t="n"/>
      <c r="BW317" s="3" t="n"/>
      <c r="BX317" s="3" t="n"/>
      <c r="BY317" s="3" t="n"/>
      <c r="BZ317" s="3" t="n"/>
      <c r="CA317" s="3" t="n"/>
      <c r="CB317" s="3" t="n"/>
      <c r="CC317" s="3" t="n"/>
      <c r="CD317" s="3" t="n"/>
      <c r="CE317" s="3" t="n"/>
      <c r="CF317" s="3" t="n"/>
      <c r="CG317" s="3" t="n"/>
      <c r="CH317" s="3" t="n"/>
      <c r="CI317" s="3" t="n"/>
      <c r="CJ317" s="3" t="n"/>
      <c r="CK317" s="3" t="n"/>
      <c r="CL317" s="3" t="n"/>
      <c r="CM317" s="3" t="n"/>
      <c r="CN317" s="3" t="n"/>
      <c r="CO317" s="3" t="n"/>
      <c r="CP317" s="3" t="n"/>
      <c r="CQ317" s="3" t="n"/>
      <c r="CR317" s="3" t="n"/>
      <c r="CS317" s="3" t="n"/>
      <c r="CT317" s="3" t="n"/>
      <c r="CU317" s="3" t="n"/>
      <c r="CV317" s="3" t="n"/>
      <c r="CW317" s="3" t="n"/>
      <c r="CX317" s="3" t="n"/>
      <c r="CY317" s="3" t="n"/>
    </row>
    <row r="318">
      <c r="C318" s="26" t="inlineStr">
        <is>
          <t>Others</t>
        </is>
      </c>
      <c r="D318" s="3" t="n"/>
      <c r="E318" s="3" t="n"/>
      <c r="F318" s="3" t="n"/>
      <c r="G318" s="3" t="n"/>
      <c r="H318" s="3">
        <f>SUM(D318:G318)</f>
        <v>0</v>
      </c>
      <c r="I318" s="3" t="n"/>
      <c r="J318" s="3" t="n"/>
      <c r="K318" s="3" t="n"/>
      <c r="L318" s="3" t="n"/>
      <c r="M318" s="3">
        <f>SUM(I318:L318)</f>
        <v>0</v>
      </c>
      <c r="N318" s="3" t="n"/>
      <c r="O318" s="3" t="n"/>
      <c r="P318" s="3" t="n"/>
      <c r="Q318" s="3" t="n"/>
      <c r="R318" s="3">
        <f>SUM(N318:Q318)</f>
        <v>0</v>
      </c>
      <c r="S318" s="3" t="n"/>
      <c r="T318" s="3" t="n"/>
      <c r="U318" s="3" t="n"/>
      <c r="V318" s="3" t="n"/>
      <c r="W318" s="3">
        <f>SUM(S318:V318)</f>
        <v>0</v>
      </c>
      <c r="X318" s="3" t="n"/>
      <c r="Y318" s="3" t="n"/>
      <c r="Z318" s="3" t="n"/>
      <c r="AA318" s="3" t="n"/>
      <c r="AB318" s="3">
        <f>SUM(X318:AA318)</f>
        <v>0</v>
      </c>
      <c r="AC318" s="3" t="n"/>
      <c r="AD318" s="3" t="n"/>
      <c r="AE318" s="3" t="n"/>
      <c r="AF318" s="3" t="n"/>
      <c r="AG318" s="3">
        <f>SUM(AC318:AF318)</f>
        <v>0</v>
      </c>
      <c r="AH318" s="3" t="n"/>
      <c r="AI318" s="3" t="n"/>
      <c r="AJ318" s="3" t="n"/>
      <c r="AK318" s="3" t="n"/>
      <c r="AL318" s="3">
        <f>SUM(AH318:AK318)</f>
        <v>0</v>
      </c>
      <c r="AM318" s="3" t="n"/>
      <c r="AN318" s="3" t="n"/>
      <c r="AO318" s="3" t="n"/>
      <c r="AP318" s="3" t="n"/>
      <c r="AQ318" s="3">
        <f>SUM(AM318:AP318)</f>
        <v>0</v>
      </c>
      <c r="AR318" s="3" t="n"/>
      <c r="AS318" s="3" t="n"/>
      <c r="AT318" s="3" t="n"/>
      <c r="AU318" s="3" t="n"/>
      <c r="AV318" s="3">
        <f>SUM(AR318:AU318)</f>
        <v>0</v>
      </c>
      <c r="AW318" s="3" t="n"/>
      <c r="AX318" s="3" t="n"/>
      <c r="AY318" s="3" t="n"/>
      <c r="AZ318" s="3" t="n"/>
      <c r="BA318" s="3">
        <f>SUM(AW318:AZ318)</f>
        <v>0</v>
      </c>
      <c r="BB318" s="3" t="n"/>
      <c r="BC318" s="3" t="n"/>
      <c r="BD318" s="3" t="n"/>
      <c r="BE318" s="3" t="n"/>
      <c r="BF318" s="3">
        <f>SUM(BB318:BE318)</f>
        <v>0</v>
      </c>
      <c r="BG318" s="3" t="n"/>
      <c r="BH318" s="3" t="n"/>
      <c r="BI318" s="3" t="n"/>
      <c r="BJ318" s="3" t="n"/>
      <c r="BK318" s="3">
        <f>SUM(BG318:BJ318)</f>
        <v>0</v>
      </c>
      <c r="BL318" s="3" t="n"/>
      <c r="BM318" s="3" t="n"/>
      <c r="BN318" s="3" t="n"/>
      <c r="BO318" s="3" t="n"/>
      <c r="BP318" s="3">
        <f>SUM(BL318:BO318)</f>
        <v>0</v>
      </c>
      <c r="BQ318" s="3" t="n"/>
      <c r="BR318" s="3" t="n"/>
      <c r="BS318" s="3" t="n"/>
      <c r="BT318" s="3" t="n"/>
      <c r="BU318" s="3">
        <f>SUM(BQ318:BT318)</f>
        <v>0</v>
      </c>
      <c r="BV318" s="3" t="n"/>
      <c r="BW318" s="3" t="n"/>
      <c r="BX318" s="3" t="n"/>
      <c r="BY318" s="3" t="n"/>
      <c r="BZ318" s="3">
        <f>SUM(BV318:BY318)</f>
        <v>0</v>
      </c>
      <c r="CA318" s="3" t="n"/>
      <c r="CB318" s="3" t="n"/>
      <c r="CC318" s="3" t="n"/>
      <c r="CD318" s="3" t="n"/>
      <c r="CE318" s="3">
        <f>SUM(CA318:CD318)</f>
        <v>0</v>
      </c>
      <c r="CF318" s="3" t="n"/>
      <c r="CG318" s="3" t="n"/>
      <c r="CH318" s="3" t="n"/>
      <c r="CI318" s="3" t="n"/>
      <c r="CJ318" s="3">
        <f>SUM(CF318:CI318)</f>
        <v>0</v>
      </c>
      <c r="CK318" s="3" t="n"/>
      <c r="CL318" s="3" t="n"/>
      <c r="CM318" s="3" t="n"/>
      <c r="CN318" s="3" t="n"/>
      <c r="CO318" s="3">
        <f>SUM(CK318:CN318)</f>
        <v>0</v>
      </c>
      <c r="CP318" s="3" t="n"/>
      <c r="CQ318" s="3" t="n"/>
      <c r="CR318" s="3" t="n"/>
      <c r="CS318" s="3" t="n"/>
      <c r="CT318" s="3">
        <f>SUM(CP318:CS318)</f>
        <v>0</v>
      </c>
      <c r="CU318" s="3" t="n"/>
      <c r="CV318" s="3" t="n"/>
      <c r="CW318" s="3" t="n"/>
      <c r="CX318" s="3" t="n"/>
      <c r="CY318" s="3">
        <f>SUM(CU318:CX318)</f>
        <v>0</v>
      </c>
    </row>
    <row r="319">
      <c r="C319" s="26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3" t="n"/>
      <c r="BG319" s="3" t="n"/>
      <c r="BH319" s="3" t="n"/>
      <c r="BI319" s="3" t="n"/>
      <c r="BJ319" s="3" t="n"/>
      <c r="BK319" s="3" t="n"/>
      <c r="BL319" s="3" t="n"/>
      <c r="BM319" s="3" t="n"/>
      <c r="BN319" s="3" t="n"/>
      <c r="BO319" s="3" t="n"/>
      <c r="BP319" s="3" t="n"/>
      <c r="BQ319" s="3" t="n"/>
      <c r="BR319" s="3" t="n"/>
      <c r="BS319" s="3" t="n"/>
      <c r="BT319" s="3" t="n"/>
      <c r="BU319" s="3" t="n"/>
      <c r="BV319" s="3" t="n"/>
      <c r="BW319" s="3" t="n"/>
      <c r="BX319" s="3" t="n"/>
      <c r="BY319" s="3" t="n"/>
      <c r="BZ319" s="3" t="n"/>
      <c r="CA319" s="3" t="n"/>
      <c r="CB319" s="3" t="n"/>
      <c r="CC319" s="3" t="n"/>
      <c r="CD319" s="3" t="n"/>
      <c r="CE319" s="3" t="n"/>
      <c r="CF319" s="3" t="n"/>
      <c r="CG319" s="3" t="n"/>
      <c r="CH319" s="3" t="n"/>
      <c r="CI319" s="3" t="n"/>
      <c r="CJ319" s="3" t="n"/>
      <c r="CK319" s="3" t="n"/>
      <c r="CL319" s="3" t="n"/>
      <c r="CM319" s="3" t="n"/>
      <c r="CN319" s="3" t="n"/>
      <c r="CO319" s="3" t="n"/>
      <c r="CP319" s="3" t="n"/>
      <c r="CQ319" s="3" t="n"/>
      <c r="CR319" s="3" t="n"/>
      <c r="CS319" s="3" t="n"/>
      <c r="CT319" s="3" t="n"/>
      <c r="CU319" s="3" t="n"/>
      <c r="CV319" s="3" t="n"/>
      <c r="CW319" s="3" t="n"/>
      <c r="CX319" s="3" t="n"/>
      <c r="CY319" s="3" t="n"/>
    </row>
    <row r="320">
      <c r="C320" s="26" t="inlineStr">
        <is>
          <t>Total increase/decrease of cash</t>
        </is>
      </c>
      <c r="D320" s="3" t="n"/>
      <c r="E320" s="3">
        <f>SUM(E299,E306,E316,E318)</f>
        <v>1762.1152845286</v>
      </c>
      <c r="F320" s="3">
        <f>SUM(F299,F306,F316,F318)</f>
        <v>-417.805131462065</v>
      </c>
      <c r="G320" s="3">
        <f>SUM(G299,G306,G316,G318)</f>
        <v>616.914378761593</v>
      </c>
      <c r="H320" s="3">
        <f>SUM(D320:G320)</f>
        <v>1961.22453182813</v>
      </c>
      <c r="I320" s="3">
        <f>SUM(I299,I306,I316,I318)</f>
        <v>4938.32888628308</v>
      </c>
      <c r="J320" s="3">
        <f>SUM(J299,J306,J316,J318)</f>
        <v>-1242.13767515061</v>
      </c>
      <c r="K320" s="3">
        <f>SUM(K299,K306,K316,K318)</f>
        <v>4472.834592878</v>
      </c>
      <c r="L320" s="3">
        <f>SUM(L299,L306,L316,L318)</f>
        <v>2014.59999999999</v>
      </c>
      <c r="M320" s="3">
        <f>SUM(I320:L320)</f>
        <v>10183.6258040105</v>
      </c>
      <c r="N320" s="3">
        <f>SUM(N299,N306,N316,N318)</f>
        <v>-3956.17099999999</v>
      </c>
      <c r="O320" s="3">
        <f>SUM(O299,O306,O316,O318)</f>
        <v>316.162000000002</v>
      </c>
      <c r="P320" s="3">
        <f>SUM(P299,P306,P316,P318)</f>
        <v>462.103000000004</v>
      </c>
      <c r="Q320" s="3">
        <f>SUM(Q299,Q306,Q316,Q318)</f>
        <v>-2581.314</v>
      </c>
      <c r="R320" s="3">
        <f>SUM(N320:Q320)</f>
        <v>-5759.21999999999</v>
      </c>
      <c r="S320" s="3">
        <f>SUM(S299,S306,S316,S318)</f>
        <v>-2970.638305372</v>
      </c>
      <c r="T320" s="3">
        <f>SUM(T299,T306,T316,T318)</f>
        <v>-2037.21467935216</v>
      </c>
      <c r="U320" s="3">
        <f>SUM(U299,U306,U316,U318)</f>
        <v>183.758998769737</v>
      </c>
      <c r="V320" s="3">
        <f>SUM(V299,V306,V316,V318)</f>
        <v>3046.36321999104</v>
      </c>
      <c r="W320" s="3">
        <f>SUM(S320:V320)</f>
        <v>-1777.73076596339</v>
      </c>
      <c r="X320" s="3">
        <f>SUM(X299,X306,X316,X318)</f>
        <v>1818.74223004833</v>
      </c>
      <c r="Y320" s="3">
        <f>SUM(Y299,Y306,Y316,Y318)</f>
        <v>-743.184663591419</v>
      </c>
      <c r="Z320" s="3">
        <f>SUM(Z299,Z306,Z316,Z318)</f>
        <v>1975.07978430826</v>
      </c>
      <c r="AA320" s="3">
        <f>SUM(AA299,AA306,AA316,AA318)</f>
        <v>-814.024278001786</v>
      </c>
      <c r="AB320" s="3">
        <f>SUM(X320:AA320)</f>
        <v>2236.61307276339</v>
      </c>
      <c r="AC320" s="3">
        <f>SUM(AC299,AC306,AC316,AC318)</f>
        <v>174.905643110008</v>
      </c>
      <c r="AD320" s="3">
        <f>SUM(AD299,AD306,AD316,AD318)</f>
        <v>-997.398715860009</v>
      </c>
      <c r="AE320" s="3">
        <f>SUM(AE299,AE306,AE316,AE318)</f>
        <v>146.508049210003</v>
      </c>
      <c r="AF320" s="3">
        <f>SUM(AF299,AF306,AF316,AF318)</f>
        <v>4334.28575838001</v>
      </c>
      <c r="AG320" s="3">
        <f>SUM(AC320:AF320)</f>
        <v>3658.30073484001</v>
      </c>
      <c r="AH320" s="3">
        <f>SUM(AH299,AH306,AH316,AH318)</f>
        <v>985.723165679979</v>
      </c>
      <c r="AI320" s="3">
        <f>SUM(AI299,AI306,AI316,AI318)</f>
        <v>138.27089426001</v>
      </c>
      <c r="AJ320" s="3">
        <f>SUM(AJ299,AJ306,AJ316,AJ318)</f>
        <v>4658.90165007</v>
      </c>
      <c r="AK320" s="3">
        <f>SUM(AK299,AK306,AK316,AK318)</f>
        <v>668.46021238</v>
      </c>
      <c r="AL320" s="3">
        <f>SUM(AH320:AK320)</f>
        <v>6451.35592238999</v>
      </c>
      <c r="AM320" s="3" t="e">
        <f>SUM(AM299,AM306,AM316,AM318)</f>
        <v>#DIV/0!</v>
      </c>
      <c r="AN320" s="3" t="e">
        <f>SUM(AN299,AN306,AN316,AN318)</f>
        <v>#DIV/0!</v>
      </c>
      <c r="AO320" s="3" t="e">
        <f>SUM(AO299,AO306,AO316,AO318)</f>
        <v>#DIV/0!</v>
      </c>
      <c r="AP320" s="3" t="e">
        <f>SUM(AP299,AP306,AP316,AP318)</f>
        <v>#DIV/0!</v>
      </c>
      <c r="AQ320" s="3" t="e">
        <f>SUM(AM320:AP320)</f>
        <v>#DIV/0!</v>
      </c>
      <c r="AR320" s="3" t="e">
        <f>SUM(AR299,AR306,AR316,AR318)</f>
        <v>#DIV/0!</v>
      </c>
      <c r="AS320" s="3" t="e">
        <f>SUM(AS299,AS306,AS316,AS318)</f>
        <v>#DIV/0!</v>
      </c>
      <c r="AT320" s="3" t="e">
        <f>SUM(AT299,AT306,AT316,AT318)</f>
        <v>#DIV/0!</v>
      </c>
      <c r="AU320" s="3" t="e">
        <f>SUM(AU299,AU306,AU316,AU318)</f>
        <v>#DIV/0!</v>
      </c>
      <c r="AV320" s="3" t="e">
        <f>SUM(AR320:AU320)</f>
        <v>#DIV/0!</v>
      </c>
      <c r="AW320" s="3" t="e">
        <f>SUM(AW299,AW306,AW316,AW318)</f>
        <v>#DIV/0!</v>
      </c>
      <c r="AX320" s="3" t="e">
        <f>SUM(AX299,AX306,AX316,AX318)</f>
        <v>#DIV/0!</v>
      </c>
      <c r="AY320" s="3" t="e">
        <f>SUM(AY299,AY306,AY316,AY318)</f>
        <v>#DIV/0!</v>
      </c>
      <c r="AZ320" s="3" t="e">
        <f>SUM(AZ299,AZ306,AZ316,AZ318)</f>
        <v>#DIV/0!</v>
      </c>
      <c r="BA320" s="3" t="e">
        <f>SUM(AW320:AZ320)</f>
        <v>#DIV/0!</v>
      </c>
      <c r="BB320" s="3" t="e">
        <f>SUM(BB299,BB306,BB316,BB318)</f>
        <v>#DIV/0!</v>
      </c>
      <c r="BC320" s="3" t="e">
        <f>SUM(BC299,BC306,BC316,BC318)</f>
        <v>#DIV/0!</v>
      </c>
      <c r="BD320" s="3" t="e">
        <f>SUM(BD299,BD306,BD316,BD318)</f>
        <v>#DIV/0!</v>
      </c>
      <c r="BE320" s="3" t="e">
        <f>SUM(BE299,BE306,BE316,BE318)</f>
        <v>#DIV/0!</v>
      </c>
      <c r="BF320" s="3" t="e">
        <f>SUM(BB320:BE320)</f>
        <v>#DIV/0!</v>
      </c>
      <c r="BG320" s="3" t="e">
        <f>SUM(BG299,BG306,BG316,BG318)</f>
        <v>#DIV/0!</v>
      </c>
      <c r="BH320" s="3" t="e">
        <f>SUM(BH299,BH306,BH316,BH318)</f>
        <v>#DIV/0!</v>
      </c>
      <c r="BI320" s="3" t="e">
        <f>SUM(BI299,BI306,BI316,BI318)</f>
        <v>#DIV/0!</v>
      </c>
      <c r="BJ320" s="3" t="e">
        <f>SUM(BJ299,BJ306,BJ316,BJ318)</f>
        <v>#DIV/0!</v>
      </c>
      <c r="BK320" s="3" t="e">
        <f>SUM(BG320:BJ320)</f>
        <v>#DIV/0!</v>
      </c>
      <c r="BL320" s="3" t="e">
        <f>SUM(BL299,BL306,BL316,BL318)</f>
        <v>#DIV/0!</v>
      </c>
      <c r="BM320" s="3" t="e">
        <f>SUM(BM299,BM306,BM316,BM318)</f>
        <v>#DIV/0!</v>
      </c>
      <c r="BN320" s="3" t="e">
        <f>SUM(BN299,BN306,BN316,BN318)</f>
        <v>#DIV/0!</v>
      </c>
      <c r="BO320" s="3" t="e">
        <f>SUM(BO299,BO306,BO316,BO318)</f>
        <v>#DIV/0!</v>
      </c>
      <c r="BP320" s="3" t="e">
        <f>SUM(BL320:BO320)</f>
        <v>#DIV/0!</v>
      </c>
      <c r="BQ320" s="3" t="e">
        <f>SUM(BQ299,BQ306,BQ316,BQ318)</f>
        <v>#DIV/0!</v>
      </c>
      <c r="BR320" s="3" t="e">
        <f>SUM(BR299,BR306,BR316,BR318)</f>
        <v>#DIV/0!</v>
      </c>
      <c r="BS320" s="3" t="e">
        <f>SUM(BS299,BS306,BS316,BS318)</f>
        <v>#DIV/0!</v>
      </c>
      <c r="BT320" s="3" t="e">
        <f>SUM(BT299,BT306,BT316,BT318)</f>
        <v>#DIV/0!</v>
      </c>
      <c r="BU320" s="3" t="e">
        <f>SUM(BQ320:BT320)</f>
        <v>#DIV/0!</v>
      </c>
      <c r="BV320" s="3" t="e">
        <f>SUM(BV299,BV306,BV316,BV318)</f>
        <v>#DIV/0!</v>
      </c>
      <c r="BW320" s="3" t="e">
        <f>SUM(BW299,BW306,BW316,BW318)</f>
        <v>#DIV/0!</v>
      </c>
      <c r="BX320" s="3" t="e">
        <f>SUM(BX299,BX306,BX316,BX318)</f>
        <v>#DIV/0!</v>
      </c>
      <c r="BY320" s="3" t="e">
        <f>SUM(BY299,BY306,BY316,BY318)</f>
        <v>#DIV/0!</v>
      </c>
      <c r="BZ320" s="3" t="e">
        <f>SUM(BV320:BY320)</f>
        <v>#DIV/0!</v>
      </c>
      <c r="CA320" s="3" t="e">
        <f>SUM(CA299,CA306,CA316,CA318)</f>
        <v>#DIV/0!</v>
      </c>
      <c r="CB320" s="3" t="e">
        <f>SUM(CB299,CB306,CB316,CB318)</f>
        <v>#DIV/0!</v>
      </c>
      <c r="CC320" s="3" t="e">
        <f>SUM(CC299,CC306,CC316,CC318)</f>
        <v>#DIV/0!</v>
      </c>
      <c r="CD320" s="3" t="e">
        <f>SUM(CD299,CD306,CD316,CD318)</f>
        <v>#DIV/0!</v>
      </c>
      <c r="CE320" s="3" t="e">
        <f>SUM(CA320:CD320)</f>
        <v>#DIV/0!</v>
      </c>
      <c r="CF320" s="3" t="e">
        <f>SUM(CF299,CF306,CF316,CF318)</f>
        <v>#DIV/0!</v>
      </c>
      <c r="CG320" s="3" t="e">
        <f>SUM(CG299,CG306,CG316,CG318)</f>
        <v>#DIV/0!</v>
      </c>
      <c r="CH320" s="3" t="e">
        <f>SUM(CH299,CH306,CH316,CH318)</f>
        <v>#DIV/0!</v>
      </c>
      <c r="CI320" s="3" t="e">
        <f>SUM(CI299,CI306,CI316,CI318)</f>
        <v>#DIV/0!</v>
      </c>
      <c r="CJ320" s="3" t="e">
        <f>SUM(CF320:CI320)</f>
        <v>#DIV/0!</v>
      </c>
      <c r="CK320" s="3" t="e">
        <f>SUM(CK299,CK306,CK316,CK318)</f>
        <v>#DIV/0!</v>
      </c>
      <c r="CL320" s="3" t="e">
        <f>SUM(CL299,CL306,CL316,CL318)</f>
        <v>#DIV/0!</v>
      </c>
      <c r="CM320" s="3" t="e">
        <f>SUM(CM299,CM306,CM316,CM318)</f>
        <v>#DIV/0!</v>
      </c>
      <c r="CN320" s="3" t="e">
        <f>SUM(CN299,CN306,CN316,CN318)</f>
        <v>#DIV/0!</v>
      </c>
      <c r="CO320" s="3" t="e">
        <f>SUM(CK320:CN320)</f>
        <v>#DIV/0!</v>
      </c>
      <c r="CP320" s="3" t="e">
        <f>SUM(CP299,CP306,CP316,CP318)</f>
        <v>#DIV/0!</v>
      </c>
      <c r="CQ320" s="3" t="e">
        <f>SUM(CQ299,CQ306,CQ316,CQ318)</f>
        <v>#DIV/0!</v>
      </c>
      <c r="CR320" s="3" t="e">
        <f>SUM(CR299,CR306,CR316,CR318)</f>
        <v>#DIV/0!</v>
      </c>
      <c r="CS320" s="3" t="e">
        <f>SUM(CS299,CS306,CS316,CS318)</f>
        <v>#DIV/0!</v>
      </c>
      <c r="CT320" s="3" t="e">
        <f>SUM(CP320:CS320)</f>
        <v>#DIV/0!</v>
      </c>
      <c r="CU320" s="3" t="e">
        <f>SUM(CU299,CU306,CU316,CU318)</f>
        <v>#DIV/0!</v>
      </c>
      <c r="CV320" s="3" t="e">
        <f>SUM(CV299,CV306,CV316,CV318)</f>
        <v>#DIV/0!</v>
      </c>
      <c r="CW320" s="3" t="e">
        <f>SUM(CW299,CW306,CW316,CW318)</f>
        <v>#DIV/0!</v>
      </c>
      <c r="CX320" s="3" t="e">
        <f>SUM(CX299,CX306,CX316,CX318)</f>
        <v>#DIV/0!</v>
      </c>
      <c r="CY320" s="3" t="e">
        <f>SUM(CU320:CX320)</f>
        <v>#DIV/0!</v>
      </c>
    </row>
    <row r="321">
      <c r="C321" s="4" t="inlineStr">
        <is>
          <t>Check</t>
        </is>
      </c>
      <c r="E321" s="51">
        <f>(E320)-(E150-D150)</f>
        <v>0.00235298860502553</v>
      </c>
      <c r="F321" s="51">
        <f>(F320)-(F150-E150)</f>
        <v>-0.005182232064044</v>
      </c>
      <c r="G321" s="51">
        <f>(G320)-(G150-F150)</f>
        <v>0.0036475528693245</v>
      </c>
      <c r="I321" s="51">
        <f>(I320)-(I150-H150)</f>
        <v>0.00291176608698152</v>
      </c>
      <c r="J321" s="51">
        <f>(J320)-(J150-I150)</f>
        <v>-0.00196942488946661</v>
      </c>
      <c r="K321" s="51">
        <f>(K320)-(K150-J150)</f>
        <v>0.000592878001043573</v>
      </c>
      <c r="L321" s="51">
        <f>(L320)-(L150-K150)</f>
        <v>-1.09139364212751e-11</v>
      </c>
      <c r="N321" s="51">
        <f>(N320)-(N150-M150)</f>
        <v>0</v>
      </c>
      <c r="O321" s="51">
        <f>(O320)-(O150-N150)</f>
        <v>1.47792889038101e-12</v>
      </c>
      <c r="P321" s="51">
        <f>(P320)-(P150-O150)</f>
        <v>4.54747350886464e-12</v>
      </c>
      <c r="Q321" s="51">
        <f>(Q320)-(Q150-P150)</f>
        <v>0</v>
      </c>
      <c r="S321" s="51">
        <f>(S320)-(S150-R150)</f>
        <v>-0.0325930164653983</v>
      </c>
      <c r="T321" s="51">
        <f>(T320)-(T150-S150)</f>
        <v>0.0304207602443967</v>
      </c>
      <c r="U321" s="51">
        <f>(U320)-(U150-T150)</f>
        <v>0.00178286809091333</v>
      </c>
      <c r="V321" s="51">
        <f>(V320)-(V150-U150)</f>
        <v>0.00189640960161341</v>
      </c>
      <c r="X321" s="51">
        <f>(X320)-(X150-W150)</f>
        <v>-0.00198049828509284</v>
      </c>
      <c r="Y321" s="51">
        <f>(Y320)-(Y150-X150)</f>
        <v>-0.000250137840566822</v>
      </c>
      <c r="Z321" s="51">
        <f>(Z320)-(Z150-Y150)</f>
        <v>-0.00376439579122234</v>
      </c>
      <c r="AA321" s="51">
        <f>(AA320)-(AA150-Z150)</f>
        <v>0.0209511004403566</v>
      </c>
      <c r="AC321" s="51">
        <f>(AC320)-(AC150-AB150)</f>
        <v>0.00389750000931599</v>
      </c>
      <c r="AD321" s="51">
        <f>(AD320)-(AD150-AC150)</f>
        <v>-0.00410174000910502</v>
      </c>
      <c r="AE321" s="51">
        <f>(AE320)-(AE150-AD150)</f>
        <v>-0.0496672699987357</v>
      </c>
      <c r="AF321" s="51">
        <f>(AF320)-(AF150-AE150)</f>
        <v>0.0337967800096521</v>
      </c>
      <c r="AH321" s="51">
        <f>(AH320)-(AH150-AG150)</f>
        <v>-0.000388590020861557</v>
      </c>
      <c r="AI321" s="51">
        <f>(AI320)-(AI150-AH150)</f>
        <v>2.40010990637529e-07</v>
      </c>
      <c r="AJ321" s="51">
        <f>(AJ320)-(AJ150-AI150)</f>
        <v>0</v>
      </c>
      <c r="AK321" s="51">
        <f>(AK320)-(AK150-AJ150)</f>
        <v>0</v>
      </c>
      <c r="AM321" s="51" t="e">
        <f>(AM320)-(AM150-AL150)</f>
        <v>#DIV/0!</v>
      </c>
      <c r="AN321" s="51" t="e">
        <f>(AN320)-(AN150-AM150)</f>
        <v>#DIV/0!</v>
      </c>
      <c r="AO321" s="51" t="e">
        <f>(AO320)-(AO150-AN150)</f>
        <v>#DIV/0!</v>
      </c>
      <c r="AP321" s="51" t="e">
        <f>(AP320)-(AP150-AO150)</f>
        <v>#DIV/0!</v>
      </c>
      <c r="AR321" s="51" t="e">
        <f>(AR320)-(AR150-AQ150)</f>
        <v>#DIV/0!</v>
      </c>
      <c r="AS321" s="51" t="e">
        <f>(AS320)-(AS150-AR150)</f>
        <v>#DIV/0!</v>
      </c>
      <c r="AT321" s="51" t="e">
        <f>(AT320)-(AT150-AS150)</f>
        <v>#DIV/0!</v>
      </c>
      <c r="AU321" s="51" t="e">
        <f>(AU320)-(AU150-AT150)</f>
        <v>#DIV/0!</v>
      </c>
      <c r="AW321" s="51" t="e">
        <f>(AW320)-(AW150-AV150)</f>
        <v>#DIV/0!</v>
      </c>
      <c r="AX321" s="51" t="e">
        <f>(AX320)-(AX150-AW150)</f>
        <v>#DIV/0!</v>
      </c>
      <c r="AY321" s="51" t="e">
        <f>(AY320)-(AY150-AX150)</f>
        <v>#DIV/0!</v>
      </c>
      <c r="AZ321" s="51" t="e">
        <f>(AZ320)-(AZ150-AY150)</f>
        <v>#DIV/0!</v>
      </c>
      <c r="BB321" s="51" t="e">
        <f>(BB320)-(BB150-BA150)</f>
        <v>#DIV/0!</v>
      </c>
      <c r="BC321" s="51" t="e">
        <f>(BC320)-(BC150-BB150)</f>
        <v>#DIV/0!</v>
      </c>
      <c r="BD321" s="51" t="e">
        <f>(BD320)-(BD150-BC150)</f>
        <v>#DIV/0!</v>
      </c>
      <c r="BE321" s="51" t="e">
        <f>(BE320)-(BE150-BD150)</f>
        <v>#DIV/0!</v>
      </c>
      <c r="BG321" s="51" t="e">
        <f>(BG320)-(BG150-BF150)</f>
        <v>#DIV/0!</v>
      </c>
      <c r="BH321" s="51" t="e">
        <f>(BH320)-(BH150-BG150)</f>
        <v>#DIV/0!</v>
      </c>
      <c r="BI321" s="51" t="e">
        <f>(BI320)-(BI150-BH150)</f>
        <v>#DIV/0!</v>
      </c>
      <c r="BJ321" s="51" t="e">
        <f>(BJ320)-(BJ150-BI150)</f>
        <v>#DIV/0!</v>
      </c>
      <c r="BL321" s="51" t="e">
        <f>(BL320)-(BL150-BK150)</f>
        <v>#DIV/0!</v>
      </c>
      <c r="BM321" s="51" t="e">
        <f>(BM320)-(BM150-BL150)</f>
        <v>#DIV/0!</v>
      </c>
      <c r="BN321" s="51" t="e">
        <f>(BN320)-(BN150-BM150)</f>
        <v>#DIV/0!</v>
      </c>
      <c r="BO321" s="51" t="e">
        <f>(BO320)-(BO150-BN150)</f>
        <v>#DIV/0!</v>
      </c>
      <c r="BQ321" s="51" t="e">
        <f>(BQ320)-(BQ150-BP150)</f>
        <v>#DIV/0!</v>
      </c>
      <c r="BR321" s="51" t="e">
        <f>(BR320)-(BR150-BQ150)</f>
        <v>#DIV/0!</v>
      </c>
      <c r="BS321" s="51" t="e">
        <f>(BS320)-(BS150-BR150)</f>
        <v>#DIV/0!</v>
      </c>
      <c r="BT321" s="51" t="e">
        <f>(BT320)-(BT150-BS150)</f>
        <v>#DIV/0!</v>
      </c>
      <c r="BV321" s="51" t="e">
        <f>(BV320)-(BV150-BU150)</f>
        <v>#DIV/0!</v>
      </c>
      <c r="BW321" s="51" t="e">
        <f>(BW320)-(BW150-BV150)</f>
        <v>#DIV/0!</v>
      </c>
      <c r="BX321" s="51" t="e">
        <f>(BX320)-(BX150-BW150)</f>
        <v>#DIV/0!</v>
      </c>
      <c r="BY321" s="51" t="e">
        <f>(BY320)-(BY150-BX150)</f>
        <v>#DIV/0!</v>
      </c>
      <c r="CA321" s="51" t="e">
        <f>(CA320)-(CA150-BZ150)</f>
        <v>#DIV/0!</v>
      </c>
      <c r="CB321" s="51" t="e">
        <f>(CB320)-(CB150-CA150)</f>
        <v>#DIV/0!</v>
      </c>
      <c r="CC321" s="51" t="e">
        <f>(CC320)-(CC150-CB150)</f>
        <v>#DIV/0!</v>
      </c>
      <c r="CD321" s="51" t="e">
        <f>(CD320)-(CD150-CC150)</f>
        <v>#DIV/0!</v>
      </c>
      <c r="CF321" s="51" t="e">
        <f>(CF320)-(CF150-CE150)</f>
        <v>#DIV/0!</v>
      </c>
      <c r="CG321" s="51" t="e">
        <f>(CG320)-(CG150-CF150)</f>
        <v>#DIV/0!</v>
      </c>
      <c r="CH321" s="51" t="e">
        <f>(CH320)-(CH150-CG150)</f>
        <v>#DIV/0!</v>
      </c>
      <c r="CI321" s="51" t="e">
        <f>(CI320)-(CI150-CH150)</f>
        <v>#DIV/0!</v>
      </c>
      <c r="CK321" s="51" t="e">
        <f>(CK320)-(CK150-CJ150)</f>
        <v>#DIV/0!</v>
      </c>
      <c r="CL321" s="51" t="e">
        <f>(CL320)-(CL150-CK150)</f>
        <v>#DIV/0!</v>
      </c>
      <c r="CM321" s="51" t="e">
        <f>(CM320)-(CM150-CL150)</f>
        <v>#DIV/0!</v>
      </c>
      <c r="CN321" s="51" t="e">
        <f>(CN320)-(CN150-CM150)</f>
        <v>#DIV/0!</v>
      </c>
      <c r="CP321" s="51" t="e">
        <f>(CP320)-(CP150-CO150)</f>
        <v>#DIV/0!</v>
      </c>
      <c r="CQ321" s="51" t="e">
        <f>(CQ320)-(CQ150-CP150)</f>
        <v>#DIV/0!</v>
      </c>
      <c r="CR321" s="51" t="e">
        <f>(CR320)-(CR150-CQ150)</f>
        <v>#DIV/0!</v>
      </c>
      <c r="CS321" s="51" t="e">
        <f>(CS320)-(CS150-CR150)</f>
        <v>#DIV/0!</v>
      </c>
      <c r="CU321" s="51" t="e">
        <f>(CU320)-(CU150-CT150)</f>
        <v>#DIV/0!</v>
      </c>
      <c r="CV321" s="51" t="e">
        <f>(CV320)-(CV150-CU150)</f>
        <v>#DIV/0!</v>
      </c>
      <c r="CW321" s="51" t="e">
        <f>(CW320)-(CW150-CV150)</f>
        <v>#DIV/0!</v>
      </c>
      <c r="CX321" s="51" t="e">
        <f>(CX320)-(CX150-CW150)</f>
        <v>#DIV/0!</v>
      </c>
    </row>
    <row r="323">
      <c r="C323" s="53" t="inlineStr">
        <is>
          <t>Ratio Analysis</t>
        </is>
      </c>
      <c r="D323" s="53" t="n"/>
      <c r="E323" s="53" t="n"/>
      <c r="F323" s="53" t="n"/>
      <c r="G323" s="53" t="n"/>
      <c r="H323" s="53" t="n"/>
      <c r="I323" s="53" t="n"/>
      <c r="J323" s="53" t="n"/>
      <c r="K323" s="53" t="n"/>
      <c r="L323" s="53" t="n"/>
      <c r="M323" s="53" t="n"/>
      <c r="N323" s="53" t="n"/>
      <c r="O323" s="53" t="n"/>
      <c r="P323" s="53" t="n"/>
      <c r="Q323" s="53" t="n"/>
      <c r="R323" s="53" t="n"/>
      <c r="S323" s="53" t="n"/>
      <c r="T323" s="53" t="n"/>
      <c r="U323" s="53" t="n"/>
      <c r="V323" s="53" t="n"/>
      <c r="W323" s="53" t="n"/>
      <c r="X323" s="53" t="n"/>
      <c r="Y323" s="53" t="n"/>
      <c r="Z323" s="53" t="n"/>
      <c r="AA323" s="53" t="n"/>
      <c r="AB323" s="53" t="n"/>
      <c r="AC323" s="53" t="n"/>
      <c r="AD323" s="53" t="n"/>
      <c r="AE323" s="53" t="n"/>
      <c r="AF323" s="53" t="n"/>
      <c r="AG323" s="53" t="n"/>
      <c r="AH323" s="53" t="n"/>
      <c r="AI323" s="53" t="n"/>
      <c r="AJ323" s="53" t="n"/>
      <c r="AK323" s="53" t="n"/>
      <c r="AL323" s="53" t="n"/>
      <c r="AM323" s="53" t="n"/>
      <c r="AN323" s="53" t="n"/>
      <c r="AO323" s="53" t="n"/>
      <c r="AP323" s="53" t="n"/>
      <c r="AQ323" s="53" t="n"/>
      <c r="AR323" s="53" t="n"/>
      <c r="AS323" s="53" t="n"/>
      <c r="AT323" s="53" t="n"/>
      <c r="AU323" s="53" t="n"/>
      <c r="AV323" s="53" t="n"/>
      <c r="AW323" s="53" t="n"/>
      <c r="AX323" s="53" t="n"/>
      <c r="AY323" s="53" t="n"/>
      <c r="AZ323" s="53" t="n"/>
      <c r="BA323" s="53" t="n"/>
      <c r="BB323" s="53" t="n"/>
      <c r="BC323" s="53" t="n"/>
      <c r="BD323" s="53" t="n"/>
      <c r="BE323" s="53" t="n"/>
      <c r="BF323" s="53" t="n"/>
      <c r="BG323" s="53" t="n"/>
      <c r="BH323" s="53" t="n"/>
      <c r="BI323" s="53" t="n"/>
      <c r="BJ323" s="53" t="n"/>
      <c r="BK323" s="53" t="n"/>
      <c r="BL323" s="53" t="n"/>
      <c r="BM323" s="53" t="n"/>
      <c r="BN323" s="53" t="n"/>
      <c r="BO323" s="53" t="n"/>
      <c r="BP323" s="53" t="n"/>
      <c r="BQ323" s="53" t="n"/>
      <c r="BR323" s="53" t="n"/>
      <c r="BS323" s="53" t="n"/>
      <c r="BT323" s="53" t="n"/>
      <c r="BU323" s="53" t="n"/>
      <c r="BV323" s="53" t="n"/>
      <c r="BW323" s="53" t="n"/>
      <c r="BX323" s="53" t="n"/>
      <c r="BY323" s="53" t="n"/>
      <c r="BZ323" s="53" t="n"/>
      <c r="CA323" s="53" t="n"/>
      <c r="CB323" s="53" t="n"/>
      <c r="CC323" s="53" t="n"/>
      <c r="CD323" s="53" t="n"/>
      <c r="CE323" s="53" t="n"/>
      <c r="CF323" s="53" t="n"/>
      <c r="CG323" s="53" t="n"/>
      <c r="CH323" s="53" t="n"/>
      <c r="CI323" s="53" t="n"/>
      <c r="CJ323" s="53" t="n"/>
      <c r="CK323" s="53" t="n"/>
      <c r="CL323" s="53" t="n"/>
      <c r="CM323" s="53" t="n"/>
      <c r="CN323" s="53" t="n"/>
      <c r="CO323" s="53" t="n"/>
      <c r="CP323" s="53" t="n"/>
      <c r="CQ323" s="53" t="n"/>
      <c r="CR323" s="53" t="n"/>
      <c r="CS323" s="53" t="n"/>
      <c r="CT323" s="53" t="n"/>
      <c r="CU323" s="53" t="n"/>
      <c r="CV323" s="53" t="n"/>
      <c r="CW323" s="53" t="n"/>
      <c r="CX323" s="53" t="n"/>
      <c r="CY323" s="53" t="n"/>
    </row>
    <row r="325" customFormat="1" s="234">
      <c r="C325" s="234" t="inlineStr">
        <is>
          <t>YEAR</t>
        </is>
      </c>
      <c r="D325" s="234" t="str">
        <f>D281</f>
        <v>1Q20</v>
      </c>
      <c r="E325" s="235" t="str">
        <f>E281</f>
        <v>2Q20</v>
      </c>
      <c r="F325" s="235" t="str">
        <f>F281</f>
        <v>3Q20</v>
      </c>
      <c r="G325" s="235" t="str">
        <f>G281</f>
        <v>4Q20</v>
      </c>
      <c r="H325" s="235">
        <f>H281</f>
        <v>2020</v>
      </c>
      <c r="I325" s="235" t="str">
        <f>I281</f>
        <v>1Q21</v>
      </c>
      <c r="J325" s="235" t="str">
        <f>J281</f>
        <v>2Q21</v>
      </c>
      <c r="K325" s="235" t="str">
        <f>K281</f>
        <v>3Q21</v>
      </c>
      <c r="L325" s="235" t="str">
        <f>L281</f>
        <v>4Q21</v>
      </c>
      <c r="M325" s="235">
        <f>M281</f>
        <v>2021</v>
      </c>
      <c r="N325" s="235" t="str">
        <f>N281</f>
        <v>1Q22</v>
      </c>
      <c r="O325" s="235" t="str">
        <f>O281</f>
        <v>2Q22</v>
      </c>
      <c r="P325" s="235" t="str">
        <f>P281</f>
        <v>3Q22</v>
      </c>
      <c r="Q325" s="235" t="str">
        <f>Q281</f>
        <v>4Q22</v>
      </c>
      <c r="R325" s="235">
        <f>R281</f>
        <v>2022</v>
      </c>
      <c r="S325" s="235" t="str">
        <f>S281</f>
        <v>1Q23</v>
      </c>
      <c r="T325" s="235" t="str">
        <f>T281</f>
        <v>2Q23</v>
      </c>
      <c r="U325" s="235" t="str">
        <f>U281</f>
        <v>3Q23</v>
      </c>
      <c r="V325" s="235" t="str">
        <f>V281</f>
        <v>4Q23</v>
      </c>
      <c r="W325" s="235">
        <f>W281</f>
        <v>2023</v>
      </c>
      <c r="X325" s="235" t="str">
        <f>X281</f>
        <v>1Q24</v>
      </c>
      <c r="Y325" s="235" t="str">
        <f>Y281</f>
        <v>2Q24</v>
      </c>
      <c r="Z325" s="235" t="str">
        <f>Z281</f>
        <v>3Q24</v>
      </c>
      <c r="AA325" s="235" t="str">
        <f>AA281</f>
        <v>4Q24</v>
      </c>
      <c r="AB325" s="235">
        <f>AB281</f>
        <v>2024</v>
      </c>
      <c r="AC325" s="235" t="str">
        <f>AC281</f>
        <v>1Q25</v>
      </c>
      <c r="AD325" s="235" t="str">
        <f>AD281</f>
        <v>2Q25</v>
      </c>
      <c r="AE325" s="235" t="str">
        <f>AE281</f>
        <v>3Q25</v>
      </c>
      <c r="AF325" s="235" t="str">
        <f>AF281</f>
        <v>4Q25</v>
      </c>
      <c r="AG325" s="235">
        <f>AG281</f>
        <v>2025</v>
      </c>
      <c r="AH325" s="235" t="str">
        <f>AH281</f>
        <v>1Q26</v>
      </c>
      <c r="AI325" s="235" t="str">
        <f>AI281</f>
        <v>2Q26</v>
      </c>
      <c r="AJ325" s="235" t="str">
        <f>AJ281</f>
        <v>3Q26</v>
      </c>
      <c r="AK325" s="235" t="str">
        <f>AK281</f>
        <v>4Q26</v>
      </c>
      <c r="AL325" s="235">
        <f>AL281</f>
        <v>2026</v>
      </c>
      <c r="AM325" s="235" t="str">
        <f>AM281</f>
        <v>1Q27</v>
      </c>
      <c r="AN325" s="235" t="str">
        <f>AN281</f>
        <v>2Q27</v>
      </c>
      <c r="AO325" s="235" t="str">
        <f>AO281</f>
        <v>3Q27</v>
      </c>
      <c r="AP325" s="235" t="str">
        <f>AP281</f>
        <v>4Q27</v>
      </c>
      <c r="AQ325" s="235">
        <f>AQ281</f>
        <v>2027</v>
      </c>
      <c r="AR325" s="235" t="str">
        <f>AR281</f>
        <v>1Q28</v>
      </c>
      <c r="AS325" s="235" t="str">
        <f>AS281</f>
        <v>2Q28</v>
      </c>
      <c r="AT325" s="235" t="str">
        <f>AT281</f>
        <v>3Q28</v>
      </c>
      <c r="AU325" s="235" t="str">
        <f>AU281</f>
        <v>4Q28</v>
      </c>
      <c r="AV325" s="235">
        <f>AV281</f>
        <v>2028</v>
      </c>
      <c r="AW325" s="235" t="str">
        <f>AW281</f>
        <v>1Q29</v>
      </c>
      <c r="AX325" s="235" t="str">
        <f>AX281</f>
        <v>2Q29</v>
      </c>
      <c r="AY325" s="235" t="str">
        <f>AY281</f>
        <v>3Q29</v>
      </c>
      <c r="AZ325" s="235" t="str">
        <f>AZ281</f>
        <v>4Q29</v>
      </c>
      <c r="BA325" s="235">
        <f>BA281</f>
        <v>2029</v>
      </c>
      <c r="BB325" s="235" t="str">
        <f>BB281</f>
        <v>1Q30</v>
      </c>
      <c r="BC325" s="235" t="str">
        <f>BC281</f>
        <v>2Q30</v>
      </c>
      <c r="BD325" s="235" t="str">
        <f>BD281</f>
        <v>3Q30</v>
      </c>
      <c r="BE325" s="235" t="str">
        <f>BE281</f>
        <v>4Q30</v>
      </c>
      <c r="BF325" s="235">
        <f>BF281</f>
        <v>2030</v>
      </c>
      <c r="BG325" s="235" t="str">
        <f>BG281</f>
        <v>1Q31</v>
      </c>
      <c r="BH325" s="235" t="str">
        <f>BH281</f>
        <v>2Q31</v>
      </c>
      <c r="BI325" s="235" t="str">
        <f>BI281</f>
        <v>3Q31</v>
      </c>
      <c r="BJ325" s="235" t="str">
        <f>BJ281</f>
        <v>4Q31</v>
      </c>
      <c r="BK325" s="235">
        <f>BK281</f>
        <v>2031</v>
      </c>
      <c r="BL325" s="235" t="str">
        <f>BL281</f>
        <v>1Q32</v>
      </c>
      <c r="BM325" s="235" t="str">
        <f>BM281</f>
        <v>2Q32</v>
      </c>
      <c r="BN325" s="235" t="str">
        <f>BN281</f>
        <v>3Q32</v>
      </c>
      <c r="BO325" s="235" t="str">
        <f>BO281</f>
        <v>4Q32</v>
      </c>
      <c r="BP325" s="235">
        <f>BP281</f>
        <v>2032</v>
      </c>
      <c r="BQ325" s="235" t="str">
        <f>BQ281</f>
        <v>1Q33</v>
      </c>
      <c r="BR325" s="235" t="str">
        <f>BR281</f>
        <v>2Q33</v>
      </c>
      <c r="BS325" s="235" t="str">
        <f>BS281</f>
        <v>3Q33</v>
      </c>
      <c r="BT325" s="235" t="str">
        <f>BT281</f>
        <v>4Q33</v>
      </c>
      <c r="BU325" s="235">
        <f>BU281</f>
        <v>2033</v>
      </c>
      <c r="BV325" s="235" t="str">
        <f>BV281</f>
        <v>1Q34</v>
      </c>
      <c r="BW325" s="235" t="str">
        <f>BW281</f>
        <v>2Q34</v>
      </c>
      <c r="BX325" s="235" t="str">
        <f>BX281</f>
        <v>3Q34</v>
      </c>
      <c r="BY325" s="235" t="str">
        <f>BY281</f>
        <v>4Q34</v>
      </c>
      <c r="BZ325" s="235">
        <f>BZ281</f>
        <v>2034</v>
      </c>
      <c r="CA325" s="235" t="str">
        <f>CA281</f>
        <v>1Q35</v>
      </c>
      <c r="CB325" s="235" t="str">
        <f>CB281</f>
        <v>2Q35</v>
      </c>
      <c r="CC325" s="235" t="str">
        <f>CC281</f>
        <v>3Q35</v>
      </c>
      <c r="CD325" s="235" t="str">
        <f>CD281</f>
        <v>4Q35</v>
      </c>
      <c r="CE325" s="235">
        <f>CE281</f>
        <v>2035</v>
      </c>
      <c r="CF325" s="235" t="str">
        <f>CF281</f>
        <v>1Q36</v>
      </c>
      <c r="CG325" s="235" t="str">
        <f>CG281</f>
        <v>2Q36</v>
      </c>
      <c r="CH325" s="235" t="str">
        <f>CH281</f>
        <v>3Q36</v>
      </c>
      <c r="CI325" s="235" t="str">
        <f>CI281</f>
        <v>4Q36</v>
      </c>
      <c r="CJ325" s="235">
        <f>CJ281</f>
        <v>2036</v>
      </c>
      <c r="CK325" s="235" t="str">
        <f>CK281</f>
        <v>1Q37</v>
      </c>
      <c r="CL325" s="235" t="str">
        <f>CL281</f>
        <v>2Q37</v>
      </c>
      <c r="CM325" s="235" t="str">
        <f>CM281</f>
        <v>3Q37</v>
      </c>
      <c r="CN325" s="235" t="str">
        <f>CN281</f>
        <v>4Q37</v>
      </c>
      <c r="CO325" s="235">
        <f>CO281</f>
        <v>2037</v>
      </c>
      <c r="CP325" s="235" t="str">
        <f>CP281</f>
        <v>1Q38</v>
      </c>
      <c r="CQ325" s="235" t="str">
        <f>CQ281</f>
        <v>2Q38</v>
      </c>
      <c r="CR325" s="235" t="str">
        <f>CR281</f>
        <v>3Q38</v>
      </c>
      <c r="CS325" s="235" t="str">
        <f>CS281</f>
        <v>4Q38</v>
      </c>
      <c r="CT325" s="235">
        <f>CT281</f>
        <v>2038</v>
      </c>
      <c r="CU325" s="235" t="str">
        <f>CU281</f>
        <v>1Q39</v>
      </c>
      <c r="CV325" s="235" t="str">
        <f>CV281</f>
        <v>2Q39</v>
      </c>
      <c r="CW325" s="235" t="str">
        <f>CW281</f>
        <v>3Q39</v>
      </c>
      <c r="CX325" s="235" t="str">
        <f>CX281</f>
        <v>4Q39</v>
      </c>
      <c r="CY325" s="235">
        <f>CY281</f>
        <v>2039</v>
      </c>
    </row>
    <row r="326" customFormat="1" s="233">
      <c r="A326" s="224" t="n"/>
      <c r="B326" s="224" t="n"/>
      <c r="C326" s="234" t="inlineStr">
        <is>
          <t>GROWTH &amp; MARGINS</t>
        </is>
      </c>
    </row>
    <row r="327" customFormat="1" s="233">
      <c r="A327" s="224" t="n"/>
      <c r="B327" s="224" t="n"/>
      <c r="C327" s="233" t="inlineStr">
        <is>
          <t>NET REVENUE GROWTH</t>
        </is>
      </c>
      <c r="E327" s="236">
        <f>E15/D15-1</f>
        <v>-0.0677449340035449</v>
      </c>
      <c r="F327" s="236">
        <f>F15/E15-1</f>
        <v>0.184696706184075</v>
      </c>
      <c r="G327" s="236">
        <f>G15/F15-1</f>
        <v>0.017998172573594</v>
      </c>
      <c r="H327" s="236" t="n"/>
      <c r="I327" s="220">
        <f>I15/H15-1</f>
        <v>-0.732834666310571</v>
      </c>
      <c r="J327" s="220">
        <f>J15/I15-1</f>
        <v>0.201885251067298</v>
      </c>
      <c r="K327" s="220">
        <f>K15/J15-1</f>
        <v>0.2569693894943</v>
      </c>
      <c r="L327" s="220">
        <f>L15/K15-1</f>
        <v>0.0455973301535007</v>
      </c>
      <c r="M327" s="236" t="n"/>
      <c r="N327" s="220">
        <f>N15/M15-1</f>
        <v>-0.673292552732661</v>
      </c>
      <c r="O327" s="220">
        <f>O15/N15-1</f>
        <v>0.189164034296979</v>
      </c>
      <c r="P327" s="220">
        <f>P15/O15-1</f>
        <v>0.266598075144077</v>
      </c>
      <c r="Q327" s="220">
        <f>Q15/P15-1</f>
        <v>0.0758917205072442</v>
      </c>
      <c r="R327" s="236" t="n"/>
      <c r="S327" s="220">
        <f>S15/R15-1</f>
        <v>-0.691052215369719</v>
      </c>
      <c r="T327" s="220">
        <f>T15/S15-1</f>
        <v>0.0166117781719184</v>
      </c>
      <c r="U327" s="220">
        <f>U15/T15-1</f>
        <v>0.0997500148597221</v>
      </c>
      <c r="V327" s="220">
        <f>V15/U15-1</f>
        <v>0.0244905422614685</v>
      </c>
      <c r="W327" s="236" t="n"/>
      <c r="X327" s="220">
        <f>X15/W15-1</f>
        <v>-0.715277395525125</v>
      </c>
      <c r="Y327" s="220">
        <f>Y15/X15-1</f>
        <v>0.128007656300415</v>
      </c>
      <c r="Z327" s="220">
        <f>Z15/Y15-1</f>
        <v>0.0550787071846952</v>
      </c>
      <c r="AA327" s="220">
        <f>AA15/Z15-1</f>
        <v>-0.0126668844777278</v>
      </c>
      <c r="AB327" s="236" t="n"/>
      <c r="AC327" s="220">
        <f>AC15/AB15-1</f>
        <v>-0.748524399735226</v>
      </c>
      <c r="AD327" s="220">
        <f>AD15/AC15-1</f>
        <v>0.00938554212178189</v>
      </c>
      <c r="AE327" s="220">
        <f>AE15/AD15-1</f>
        <v>0.0735096309150634</v>
      </c>
      <c r="AF327" s="220">
        <f>AF15/AE15-1</f>
        <v>0.00167180080127949</v>
      </c>
      <c r="AG327" s="236" t="n"/>
      <c r="AH327" s="220">
        <f>AH15/AG15-1</f>
        <v>-0.744794244653903</v>
      </c>
      <c r="AI327" s="220">
        <f>AI15/AH15-1</f>
        <v>0.0296919370357511</v>
      </c>
      <c r="AJ327" s="220">
        <f>AJ15/AI15-1</f>
        <v>-0.0131329781470102</v>
      </c>
      <c r="AK327" s="220">
        <f>AK15/AJ15-1</f>
        <v>0.00167180080127949</v>
      </c>
      <c r="AL327" s="236" t="n"/>
      <c r="AM327" s="220">
        <f>AM15/AL15-1</f>
        <v>-0.753920586424771</v>
      </c>
      <c r="AN327" s="220">
        <f>AN15/AM15-1</f>
        <v>0.0296919370357511</v>
      </c>
      <c r="AO327" s="220">
        <f>AO15/AN15-1</f>
        <v>-0.0131329781470102</v>
      </c>
      <c r="AP327" s="220">
        <f>AP15/AO15-1</f>
        <v>0.00167180080127949</v>
      </c>
      <c r="AQ327" s="236" t="n"/>
      <c r="AR327" s="220">
        <f>AR15/AQ15-1</f>
        <v>-0.753920586424771</v>
      </c>
      <c r="AS327" s="220">
        <f>AS15/AR15-1</f>
        <v>0.0296919370357511</v>
      </c>
      <c r="AT327" s="220">
        <f>AT15/AS15-1</f>
        <v>-0.0131329781470102</v>
      </c>
      <c r="AU327" s="220">
        <f>AU15/AT15-1</f>
        <v>0.00167180080127949</v>
      </c>
      <c r="AV327" s="236" t="n"/>
      <c r="AW327" s="220">
        <f>AW15/AV15-1</f>
        <v>-0.753920586424771</v>
      </c>
      <c r="AX327" s="220">
        <f>AX15/AW15-1</f>
        <v>0.0296919370357511</v>
      </c>
      <c r="AY327" s="220">
        <f>AY15/AX15-1</f>
        <v>-0.0131329781470102</v>
      </c>
      <c r="AZ327" s="220">
        <f>AZ15/AY15-1</f>
        <v>0.00167180080127949</v>
      </c>
      <c r="BA327" s="236" t="n"/>
      <c r="BB327" s="220">
        <f>BB15/BA15-1</f>
        <v>-0.753920586424771</v>
      </c>
      <c r="BC327" s="220">
        <f>BC15/BB15-1</f>
        <v>0.0296919370357511</v>
      </c>
      <c r="BD327" s="220">
        <f>BD15/BC15-1</f>
        <v>-0.0131329781470102</v>
      </c>
      <c r="BE327" s="220">
        <f>BE15/BD15-1</f>
        <v>0.00167180080127949</v>
      </c>
      <c r="BF327" s="236" t="n"/>
      <c r="BG327" s="220">
        <f>BG15/BF15-1</f>
        <v>-0.753920586424771</v>
      </c>
      <c r="BH327" s="220">
        <f>BH15/BG15-1</f>
        <v>0.0296919370357511</v>
      </c>
      <c r="BI327" s="220">
        <f>BI15/BH15-1</f>
        <v>-0.0131329781470102</v>
      </c>
      <c r="BJ327" s="220">
        <f>BJ15/BI15-1</f>
        <v>0.00167180080127949</v>
      </c>
      <c r="BK327" s="236" t="n"/>
      <c r="BL327" s="220">
        <f>BL15/BK15-1</f>
        <v>-0.753920586424771</v>
      </c>
      <c r="BM327" s="220">
        <f>BM15/BL15-1</f>
        <v>0.0296919370357511</v>
      </c>
      <c r="BN327" s="220">
        <f>BN15/BM15-1</f>
        <v>-0.0131329781470102</v>
      </c>
      <c r="BO327" s="220">
        <f>BO15/BN15-1</f>
        <v>0.00167180080127949</v>
      </c>
      <c r="BP327" s="236" t="n"/>
      <c r="BQ327" s="220">
        <f>BQ15/BP15-1</f>
        <v>-0.753920586424771</v>
      </c>
      <c r="BR327" s="220">
        <f>BR15/BQ15-1</f>
        <v>0.0296919370357511</v>
      </c>
      <c r="BS327" s="220">
        <f>BS15/BR15-1</f>
        <v>-0.0131329781470102</v>
      </c>
      <c r="BT327" s="220">
        <f>BT15/BS15-1</f>
        <v>0.00167180080127949</v>
      </c>
      <c r="BU327" s="236" t="n"/>
      <c r="BV327" s="220">
        <f>BV15/BU15-1</f>
        <v>-0.753920586424771</v>
      </c>
      <c r="BW327" s="220">
        <f>BW15/BV15-1</f>
        <v>0.0296919370357511</v>
      </c>
      <c r="BX327" s="220">
        <f>BX15/BW15-1</f>
        <v>-0.0131329781470102</v>
      </c>
      <c r="BY327" s="220">
        <f>BY15/BX15-1</f>
        <v>0.00167180080127949</v>
      </c>
      <c r="BZ327" s="236" t="n"/>
      <c r="CA327" s="220">
        <f>CA15/BZ15-1</f>
        <v>-0.753920586424771</v>
      </c>
      <c r="CB327" s="220">
        <f>CB15/CA15-1</f>
        <v>0.0296919370357511</v>
      </c>
      <c r="CC327" s="220">
        <f>CC15/CB15-1</f>
        <v>-0.0131329781470102</v>
      </c>
      <c r="CD327" s="220">
        <f>CD15/CC15-1</f>
        <v>0.00167180080127949</v>
      </c>
      <c r="CE327" s="236" t="n"/>
      <c r="CF327" s="220">
        <f>CF15/CE15-1</f>
        <v>-0.753920586424771</v>
      </c>
      <c r="CG327" s="220">
        <f>CG15/CF15-1</f>
        <v>0.0296919370357511</v>
      </c>
      <c r="CH327" s="220">
        <f>CH15/CG15-1</f>
        <v>-0.0131329781470102</v>
      </c>
      <c r="CI327" s="220">
        <f>CI15/CH15-1</f>
        <v>0.00167180080127949</v>
      </c>
      <c r="CJ327" s="236" t="n"/>
      <c r="CK327" s="220">
        <f>CK15/CJ15-1</f>
        <v>-0.753920586424771</v>
      </c>
      <c r="CL327" s="220">
        <f>CL15/CK15-1</f>
        <v>0.0296919370357511</v>
      </c>
      <c r="CM327" s="220">
        <f>CM15/CL15-1</f>
        <v>-0.0131329781470102</v>
      </c>
      <c r="CN327" s="220">
        <f>CN15/CM15-1</f>
        <v>0.00167180080127949</v>
      </c>
      <c r="CO327" s="236" t="n"/>
      <c r="CP327" s="220">
        <f>CP15/CO15-1</f>
        <v>-0.753920586424771</v>
      </c>
      <c r="CQ327" s="220">
        <f>CQ15/CP15-1</f>
        <v>0.0296919370357511</v>
      </c>
      <c r="CR327" s="220">
        <f>CR15/CQ15-1</f>
        <v>-0.0131329781470102</v>
      </c>
      <c r="CS327" s="220">
        <f>CS15/CR15-1</f>
        <v>0.00167180080127949</v>
      </c>
      <c r="CT327" s="236" t="n"/>
      <c r="CU327" s="220">
        <f>CU15/CT15-1</f>
        <v>-0.753920586424771</v>
      </c>
      <c r="CV327" s="220">
        <f>CV15/CU15-1</f>
        <v>0.0296919370357511</v>
      </c>
      <c r="CW327" s="220">
        <f>CW15/CV15-1</f>
        <v>-0.0131329781470102</v>
      </c>
      <c r="CX327" s="220">
        <f>CX15/CW15-1</f>
        <v>0.00167180080127949</v>
      </c>
      <c r="CY327" s="236" t="n"/>
    </row>
    <row r="328" customFormat="1" s="233">
      <c r="A328" s="224" t="n"/>
      <c r="B328" s="224" t="n"/>
      <c r="C328" s="233" t="inlineStr">
        <is>
          <t>GROSS MARGIN</t>
        </is>
      </c>
      <c r="D328" s="220">
        <f>SUM(D15,D60)/D15</f>
        <v>0.41875767556515</v>
      </c>
      <c r="E328" s="220">
        <f>SUM(E15,E60)/E15</f>
        <v>0.302855655554022</v>
      </c>
      <c r="F328" s="220">
        <f>SUM(F15,F60)/F15</f>
        <v>0.319026693879369</v>
      </c>
      <c r="G328" s="220">
        <f>SUM(G15,G60)/G15</f>
        <v>0.299794380536003</v>
      </c>
      <c r="I328" s="221">
        <f>SUM(I15,I60)/I15</f>
        <v>0.398736264639763</v>
      </c>
      <c r="J328" s="221">
        <f>SUM(J15,J60)/J15</f>
        <v>0.38684325614945</v>
      </c>
      <c r="K328" s="221">
        <f>SUM(K15,K60)/K15</f>
        <v>0.38890878140876</v>
      </c>
      <c r="L328" s="221">
        <f>SUM(L15,L60)/L15</f>
        <v>0.420580315536031</v>
      </c>
      <c r="N328" s="221">
        <f>SUM(N15,N60)/N15</f>
        <v>0.431398898216575</v>
      </c>
      <c r="O328" s="221">
        <f>SUM(O15,O60)/O15</f>
        <v>0.41127870672147</v>
      </c>
      <c r="P328" s="221">
        <f>SUM(P15,P60)/P15</f>
        <v>0.378565503376984</v>
      </c>
      <c r="Q328" s="221">
        <f>SUM(Q15,Q60)/Q15</f>
        <v>0.371114770388603</v>
      </c>
      <c r="S328" s="221">
        <f>SUM(S15,S60)/S15</f>
        <v>0.373690803963592</v>
      </c>
      <c r="T328" s="221">
        <f>SUM(T15,T60)/T15</f>
        <v>0.37411545588743</v>
      </c>
      <c r="U328" s="221">
        <f>SUM(U15,U60)/U15</f>
        <v>0.353402083517806</v>
      </c>
      <c r="V328" s="221">
        <f>SUM(V15,V60)/V15</f>
        <v>0.316624636321192</v>
      </c>
      <c r="X328" s="221">
        <f>SUM(X15,X60)/X15</f>
        <v>0.360176417596447</v>
      </c>
      <c r="Y328" s="221">
        <f>SUM(Y15,Y60)/Y15</f>
        <v>0.339848635782006</v>
      </c>
      <c r="Z328" s="221">
        <f>SUM(Z15,Z60)/Z15</f>
        <v>0.342568293465744</v>
      </c>
      <c r="AA328" s="221">
        <f>SUM(AA15,AA60)/AA15</f>
        <v>0.345492782061516</v>
      </c>
      <c r="AC328" s="221">
        <f>SUM(AC15,AC60)/AC15</f>
        <v>0.365752955191327</v>
      </c>
      <c r="AD328" s="221">
        <f>SUM(AD15,AD60)/AD15</f>
        <v>0.376730862116777</v>
      </c>
      <c r="AE328" s="221">
        <f>SUM(AE15,AE60)/AE15</f>
        <v>0.365771852256387</v>
      </c>
      <c r="AF328" s="221">
        <f>SUM(AF15,AF60)/AF15</f>
        <v>0.373220255238157</v>
      </c>
      <c r="AH328" s="221">
        <f>SUM(AH15,AH60)/AH15</f>
        <v>0.383300811736751</v>
      </c>
      <c r="AI328" s="221">
        <f>SUM(AI15,AI60)/AI15</f>
        <v>0.394257522463658</v>
      </c>
      <c r="AJ328" s="221">
        <f>SUM(AJ15,AJ60)/AJ15</f>
        <v>0</v>
      </c>
      <c r="AK328" s="221">
        <f>SUM(AK15,AK60)/AK15</f>
        <v>0</v>
      </c>
      <c r="AM328" s="221">
        <f>SUM(AM15,AM60)/AM15</f>
        <v>0</v>
      </c>
      <c r="AN328" s="221">
        <f>SUM(AN15,AN60)/AN15</f>
        <v>0</v>
      </c>
      <c r="AO328" s="221">
        <f>SUM(AO15,AO60)/AO15</f>
        <v>0</v>
      </c>
      <c r="AP328" s="221">
        <f>SUM(AP15,AP60)/AP15</f>
        <v>0</v>
      </c>
      <c r="AR328" s="221">
        <f>SUM(AR15,AR60)/AR15</f>
        <v>0</v>
      </c>
      <c r="AS328" s="221">
        <f>SUM(AS15,AS60)/AS15</f>
        <v>0</v>
      </c>
      <c r="AT328" s="221">
        <f>SUM(AT15,AT60)/AT15</f>
        <v>0</v>
      </c>
      <c r="AU328" s="221">
        <f>SUM(AU15,AU60)/AU15</f>
        <v>0</v>
      </c>
      <c r="AW328" s="221">
        <f>SUM(AW15,AW60)/AW15</f>
        <v>0</v>
      </c>
      <c r="AX328" s="221">
        <f>SUM(AX15,AX60)/AX15</f>
        <v>0</v>
      </c>
      <c r="AY328" s="221">
        <f>SUM(AY15,AY60)/AY15</f>
        <v>0</v>
      </c>
      <c r="AZ328" s="221">
        <f>SUM(AZ15,AZ60)/AZ15</f>
        <v>0</v>
      </c>
      <c r="BB328" s="221">
        <f>SUM(BB15,BB60)/BB15</f>
        <v>0</v>
      </c>
      <c r="BC328" s="221">
        <f>SUM(BC15,BC60)/BC15</f>
        <v>0</v>
      </c>
      <c r="BD328" s="221">
        <f>SUM(BD15,BD60)/BD15</f>
        <v>0</v>
      </c>
      <c r="BE328" s="221">
        <f>SUM(BE15,BE60)/BE15</f>
        <v>0</v>
      </c>
      <c r="BG328" s="221">
        <f>SUM(BG15,BG60)/BG15</f>
        <v>0</v>
      </c>
      <c r="BH328" s="221">
        <f>SUM(BH15,BH60)/BH15</f>
        <v>0</v>
      </c>
      <c r="BI328" s="221">
        <f>SUM(BI15,BI60)/BI15</f>
        <v>0</v>
      </c>
      <c r="BJ328" s="221">
        <f>SUM(BJ15,BJ60)/BJ15</f>
        <v>0</v>
      </c>
      <c r="BL328" s="221">
        <f>SUM(BL15,BL60)/BL15</f>
        <v>0</v>
      </c>
      <c r="BM328" s="221">
        <f>SUM(BM15,BM60)/BM15</f>
        <v>0</v>
      </c>
      <c r="BN328" s="221">
        <f>SUM(BN15,BN60)/BN15</f>
        <v>0</v>
      </c>
      <c r="BO328" s="221">
        <f>SUM(BO15,BO60)/BO15</f>
        <v>0</v>
      </c>
      <c r="BQ328" s="221">
        <f>SUM(BQ15,BQ60)/BQ15</f>
        <v>0</v>
      </c>
      <c r="BR328" s="221">
        <f>SUM(BR15,BR60)/BR15</f>
        <v>0</v>
      </c>
      <c r="BS328" s="221">
        <f>SUM(BS15,BS60)/BS15</f>
        <v>0</v>
      </c>
      <c r="BT328" s="221">
        <f>SUM(BT15,BT60)/BT15</f>
        <v>0</v>
      </c>
      <c r="BV328" s="221">
        <f>SUM(BV15,BV60)/BV15</f>
        <v>0</v>
      </c>
      <c r="BW328" s="221">
        <f>SUM(BW15,BW60)/BW15</f>
        <v>0</v>
      </c>
      <c r="BX328" s="221">
        <f>SUM(BX15,BX60)/BX15</f>
        <v>0</v>
      </c>
      <c r="BY328" s="221">
        <f>SUM(BY15,BY60)/BY15</f>
        <v>0</v>
      </c>
      <c r="CA328" s="221">
        <f>SUM(CA15,CA60)/CA15</f>
        <v>0</v>
      </c>
      <c r="CB328" s="221">
        <f>SUM(CB15,CB60)/CB15</f>
        <v>0</v>
      </c>
      <c r="CC328" s="221">
        <f>SUM(CC15,CC60)/CC15</f>
        <v>0</v>
      </c>
      <c r="CD328" s="221">
        <f>SUM(CD15,CD60)/CD15</f>
        <v>0</v>
      </c>
      <c r="CF328" s="221">
        <f>SUM(CF15,CF60)/CF15</f>
        <v>0</v>
      </c>
      <c r="CG328" s="221">
        <f>SUM(CG15,CG60)/CG15</f>
        <v>0</v>
      </c>
      <c r="CH328" s="221">
        <f>SUM(CH15,CH60)/CH15</f>
        <v>0</v>
      </c>
      <c r="CI328" s="221">
        <f>SUM(CI15,CI60)/CI15</f>
        <v>0</v>
      </c>
      <c r="CK328" s="221">
        <f>SUM(CK15,CK60)/CK15</f>
        <v>0</v>
      </c>
      <c r="CL328" s="221">
        <f>SUM(CL15,CL60)/CL15</f>
        <v>0</v>
      </c>
      <c r="CM328" s="221">
        <f>SUM(CM15,CM60)/CM15</f>
        <v>0</v>
      </c>
      <c r="CN328" s="221">
        <f>SUM(CN15,CN60)/CN15</f>
        <v>0</v>
      </c>
      <c r="CP328" s="221">
        <f>SUM(CP15,CP60)/CP15</f>
        <v>0</v>
      </c>
      <c r="CQ328" s="221">
        <f>SUM(CQ15,CQ60)/CQ15</f>
        <v>0</v>
      </c>
      <c r="CR328" s="221">
        <f>SUM(CR15,CR60)/CR15</f>
        <v>0</v>
      </c>
      <c r="CS328" s="221">
        <f>SUM(CS15,CS60)/CS15</f>
        <v>0</v>
      </c>
      <c r="CU328" s="221">
        <f>SUM(CU15,CU60)/CU15</f>
        <v>0</v>
      </c>
      <c r="CV328" s="221">
        <f>SUM(CV15,CV60)/CV15</f>
        <v>0</v>
      </c>
      <c r="CW328" s="221">
        <f>SUM(CW15,CW60)/CW15</f>
        <v>0</v>
      </c>
      <c r="CX328" s="221">
        <f>SUM(CX15,CX60)/CX15</f>
        <v>0</v>
      </c>
    </row>
    <row r="329" customFormat="1" s="233">
      <c r="A329" s="224" t="n"/>
      <c r="B329" s="224" t="n"/>
      <c r="C329" s="233" t="inlineStr">
        <is>
          <t>EBIT MARGIN</t>
        </is>
      </c>
      <c r="D329" s="236">
        <f>(D79/D15)</f>
        <v>0.121347793259754</v>
      </c>
      <c r="E329" s="236">
        <f>(E79/E15)</f>
        <v>0.0903523010922481</v>
      </c>
      <c r="F329" s="236">
        <f>(F79/F15)</f>
        <v>0.114197243736518</v>
      </c>
      <c r="G329" s="236">
        <f>(G79/G15)</f>
        <v>0.160713897214601</v>
      </c>
      <c r="I329" s="222">
        <f>(I79/I15)</f>
        <v>0.197188619869829</v>
      </c>
      <c r="J329" s="222">
        <f>(J79/J15)</f>
        <v>0.229774642342215</v>
      </c>
      <c r="K329" s="222">
        <f>(K79/K15)</f>
        <v>0.224764732202932</v>
      </c>
      <c r="L329" s="222">
        <f>(L79/L15)</f>
        <v>0.241772161778803</v>
      </c>
      <c r="N329" s="222">
        <f>(N79/N15)</f>
        <v>0.250662608448725</v>
      </c>
      <c r="O329" s="222">
        <f>(O79/O15)</f>
        <v>0.23885539321799</v>
      </c>
      <c r="P329" s="222">
        <f>(P79/P15)</f>
        <v>0.209282229667363</v>
      </c>
      <c r="Q329" s="222">
        <f>(Q79/Q15)</f>
        <v>0.172521310366847</v>
      </c>
      <c r="S329" s="222">
        <f>(S79/S15)</f>
        <v>0.177029162787028</v>
      </c>
      <c r="T329" s="222">
        <f>(T79/T15)</f>
        <v>0.209966091924912</v>
      </c>
      <c r="U329" s="222">
        <f>(U79/U15)</f>
        <v>0.164444040935652</v>
      </c>
      <c r="V329" s="222">
        <f>(V79/V15)</f>
        <v>0.0694211846030366</v>
      </c>
      <c r="X329" s="222">
        <f>(X79/X15)</f>
        <v>0.169762209621954</v>
      </c>
      <c r="Y329" s="222">
        <f>(Y79/Y15)</f>
        <v>0.166161602174401</v>
      </c>
      <c r="Z329" s="222">
        <f>(Z79/Z15)</f>
        <v>0.157739475750442</v>
      </c>
      <c r="AA329" s="222">
        <f>(AA79/AA15)</f>
        <v>0.153995710717348</v>
      </c>
      <c r="AC329" s="222">
        <f>(AC79/AC15)</f>
        <v>0.170782766239283</v>
      </c>
      <c r="AD329" s="222">
        <f>(AD79/AD15)</f>
        <v>0.174425316164796</v>
      </c>
      <c r="AE329" s="222">
        <f>(AE79/AE15)</f>
        <v>0.156275934237506</v>
      </c>
      <c r="AF329" s="222">
        <f>(AF79/AF15)</f>
        <v>0.257933409776386</v>
      </c>
      <c r="AH329" s="222">
        <f>(AH79/AH15)</f>
        <v>0.162235828730429</v>
      </c>
      <c r="AI329" s="222">
        <f>(AI79/AI15)</f>
        <v>0.186540281588747</v>
      </c>
      <c r="AJ329" s="222">
        <f>(AJ79/AJ15)</f>
        <v>0</v>
      </c>
      <c r="AK329" s="222">
        <f>(AK79/AK15)</f>
        <v>0</v>
      </c>
      <c r="AM329" s="222">
        <f>(AM79/AM15)</f>
        <v>0</v>
      </c>
      <c r="AN329" s="222">
        <f>(AN79/AN15)</f>
        <v>0</v>
      </c>
      <c r="AO329" s="222">
        <f>(AO79/AO15)</f>
        <v>0</v>
      </c>
      <c r="AP329" s="222">
        <f>(AP79/AP15)</f>
        <v>0</v>
      </c>
      <c r="AR329" s="222">
        <f>(AR79/AR15)</f>
        <v>0</v>
      </c>
      <c r="AS329" s="222">
        <f>(AS79/AS15)</f>
        <v>0</v>
      </c>
      <c r="AT329" s="222">
        <f>(AT79/AT15)</f>
        <v>0</v>
      </c>
      <c r="AU329" s="222">
        <f>(AU79/AU15)</f>
        <v>0</v>
      </c>
      <c r="AW329" s="222">
        <f>(AW79/AW15)</f>
        <v>0</v>
      </c>
      <c r="AX329" s="222">
        <f>(AX79/AX15)</f>
        <v>0</v>
      </c>
      <c r="AY329" s="222">
        <f>(AY79/AY15)</f>
        <v>0</v>
      </c>
      <c r="AZ329" s="222">
        <f>(AZ79/AZ15)</f>
        <v>0</v>
      </c>
      <c r="BB329" s="222">
        <f>(BB79/BB15)</f>
        <v>0</v>
      </c>
      <c r="BC329" s="222">
        <f>(BC79/BC15)</f>
        <v>0</v>
      </c>
      <c r="BD329" s="222">
        <f>(BD79/BD15)</f>
        <v>0</v>
      </c>
      <c r="BE329" s="222">
        <f>(BE79/BE15)</f>
        <v>0</v>
      </c>
      <c r="BG329" s="222">
        <f>(BG79/BG15)</f>
        <v>0</v>
      </c>
      <c r="BH329" s="222">
        <f>(BH79/BH15)</f>
        <v>0</v>
      </c>
      <c r="BI329" s="222">
        <f>(BI79/BI15)</f>
        <v>0</v>
      </c>
      <c r="BJ329" s="222">
        <f>(BJ79/BJ15)</f>
        <v>0</v>
      </c>
      <c r="BL329" s="222">
        <f>(BL79/BL15)</f>
        <v>0</v>
      </c>
      <c r="BM329" s="222">
        <f>(BM79/BM15)</f>
        <v>0</v>
      </c>
      <c r="BN329" s="222">
        <f>(BN79/BN15)</f>
        <v>0</v>
      </c>
      <c r="BO329" s="222">
        <f>(BO79/BO15)</f>
        <v>0</v>
      </c>
      <c r="BQ329" s="222">
        <f>(BQ79/BQ15)</f>
        <v>0</v>
      </c>
      <c r="BR329" s="222">
        <f>(BR79/BR15)</f>
        <v>0</v>
      </c>
      <c r="BS329" s="222">
        <f>(BS79/BS15)</f>
        <v>0</v>
      </c>
      <c r="BT329" s="222">
        <f>(BT79/BT15)</f>
        <v>0</v>
      </c>
      <c r="BV329" s="222">
        <f>(BV79/BV15)</f>
        <v>0</v>
      </c>
      <c r="BW329" s="222">
        <f>(BW79/BW15)</f>
        <v>0</v>
      </c>
      <c r="BX329" s="222">
        <f>(BX79/BX15)</f>
        <v>0</v>
      </c>
      <c r="BY329" s="222">
        <f>(BY79/BY15)</f>
        <v>0</v>
      </c>
      <c r="CA329" s="222">
        <f>(CA79/CA15)</f>
        <v>0</v>
      </c>
      <c r="CB329" s="222">
        <f>(CB79/CB15)</f>
        <v>0</v>
      </c>
      <c r="CC329" s="222">
        <f>(CC79/CC15)</f>
        <v>0</v>
      </c>
      <c r="CD329" s="222">
        <f>(CD79/CD15)</f>
        <v>0</v>
      </c>
      <c r="CF329" s="222">
        <f>(CF79/CF15)</f>
        <v>0</v>
      </c>
      <c r="CG329" s="222">
        <f>(CG79/CG15)</f>
        <v>0</v>
      </c>
      <c r="CH329" s="222">
        <f>(CH79/CH15)</f>
        <v>0</v>
      </c>
      <c r="CI329" s="222">
        <f>(CI79/CI15)</f>
        <v>0</v>
      </c>
      <c r="CK329" s="222">
        <f>(CK79/CK15)</f>
        <v>0</v>
      </c>
      <c r="CL329" s="222">
        <f>(CL79/CL15)</f>
        <v>0</v>
      </c>
      <c r="CM329" s="222">
        <f>(CM79/CM15)</f>
        <v>0</v>
      </c>
      <c r="CN329" s="222">
        <f>(CN79/CN15)</f>
        <v>0</v>
      </c>
      <c r="CP329" s="222">
        <f>(CP79/CP15)</f>
        <v>0</v>
      </c>
      <c r="CQ329" s="222">
        <f>(CQ79/CQ15)</f>
        <v>0</v>
      </c>
      <c r="CR329" s="222">
        <f>(CR79/CR15)</f>
        <v>0</v>
      </c>
      <c r="CS329" s="222">
        <f>(CS79/CS15)</f>
        <v>0</v>
      </c>
      <c r="CU329" s="222">
        <f>(CU79/CU15)</f>
        <v>0</v>
      </c>
      <c r="CV329" s="222">
        <f>(CV79/CV15)</f>
        <v>0</v>
      </c>
      <c r="CW329" s="222">
        <f>(CW79/CW15)</f>
        <v>0</v>
      </c>
      <c r="CX329" s="222">
        <f>(CX79/CX15)</f>
        <v>0</v>
      </c>
    </row>
    <row r="330" customFormat="1" s="233">
      <c r="A330" s="224" t="n"/>
      <c r="B330" s="224" t="n"/>
      <c r="C330" s="233" t="inlineStr">
        <is>
          <t>EBITDA MARTGIN</t>
        </is>
      </c>
      <c r="D330" s="236">
        <f>D75/D15</f>
        <v>0.238316530226724</v>
      </c>
      <c r="E330" s="236">
        <f>E75/E15</f>
        <v>0.214103773266417</v>
      </c>
      <c r="F330" s="236">
        <f>F75/F15</f>
        <v>0.225701786983638</v>
      </c>
      <c r="G330" s="236">
        <f>G75/G15</f>
        <v>0.264154823553556</v>
      </c>
      <c r="I330" s="222">
        <f>I75/I15</f>
        <v>0.280028408986691</v>
      </c>
      <c r="J330" s="222">
        <f>J75/J15</f>
        <v>0.306443169429885</v>
      </c>
      <c r="K330" s="222">
        <f>K75/K15</f>
        <v>0.294451405805233</v>
      </c>
      <c r="L330" s="222">
        <f>L75/L15</f>
        <v>0.320247794244601</v>
      </c>
      <c r="N330" s="222">
        <f>N75/N15</f>
        <v>0.333990772530422</v>
      </c>
      <c r="O330" s="222">
        <f>O75/O15</f>
        <v>0.316114797858794</v>
      </c>
      <c r="P330" s="222">
        <f>P75/P15</f>
        <v>0.284035139995594</v>
      </c>
      <c r="Q330" s="222">
        <f>Q75/Q15</f>
        <v>0.251869643805784</v>
      </c>
      <c r="S330" s="222">
        <f>S75/S15</f>
        <v>0.263958729385163</v>
      </c>
      <c r="T330" s="222">
        <f>T75/T15</f>
        <v>0.299788761923675</v>
      </c>
      <c r="U330" s="222">
        <f>U75/U15</f>
        <v>0.250651255423896</v>
      </c>
      <c r="V330" s="222">
        <f>V75/V15</f>
        <v>0.193892875695582</v>
      </c>
      <c r="X330" s="222">
        <f>X75/X15</f>
        <v>0.26042244532939</v>
      </c>
      <c r="Y330" s="222">
        <f>Y75/Y15</f>
        <v>0.253931870016372</v>
      </c>
      <c r="Z330" s="222">
        <f>Z75/Z15</f>
        <v>0.250153673184435</v>
      </c>
      <c r="AA330" s="222">
        <f>AA75/AA15</f>
        <v>0.245446796139994</v>
      </c>
      <c r="AC330" s="222">
        <f>AC75/AC15</f>
        <v>0.27351100416318</v>
      </c>
      <c r="AD330" s="222">
        <f>AD75/AD15</f>
        <v>0.282631877353055</v>
      </c>
      <c r="AE330" s="222">
        <f>AE75/AE15</f>
        <v>0.261858224352525</v>
      </c>
      <c r="AF330" s="222">
        <f>AF75/AF15</f>
        <v>0.365669417048776</v>
      </c>
      <c r="AH330" s="222">
        <f>AH75/AH15</f>
        <v>0.275737538822608</v>
      </c>
      <c r="AI330" s="222">
        <f>AI75/AI15</f>
        <v>0.297980571969549</v>
      </c>
      <c r="AJ330" s="222">
        <f>AJ75/AJ15</f>
        <v>0</v>
      </c>
      <c r="AK330" s="222">
        <f>AK75/AK15</f>
        <v>0</v>
      </c>
      <c r="AM330" s="222">
        <f>AM75/AM15</f>
        <v>0</v>
      </c>
      <c r="AN330" s="222">
        <f>AN75/AN15</f>
        <v>0</v>
      </c>
      <c r="AO330" s="222">
        <f>AO75/AO15</f>
        <v>0</v>
      </c>
      <c r="AP330" s="222">
        <f>AP75/AP15</f>
        <v>0</v>
      </c>
      <c r="AR330" s="222">
        <f>AR75/AR15</f>
        <v>0</v>
      </c>
      <c r="AS330" s="222">
        <f>AS75/AS15</f>
        <v>0</v>
      </c>
      <c r="AT330" s="222">
        <f>AT75/AT15</f>
        <v>0</v>
      </c>
      <c r="AU330" s="222">
        <f>AU75/AU15</f>
        <v>0</v>
      </c>
      <c r="AW330" s="222">
        <f>AW75/AW15</f>
        <v>0</v>
      </c>
      <c r="AX330" s="222">
        <f>AX75/AX15</f>
        <v>0</v>
      </c>
      <c r="AY330" s="222">
        <f>AY75/AY15</f>
        <v>0</v>
      </c>
      <c r="AZ330" s="222">
        <f>AZ75/AZ15</f>
        <v>0</v>
      </c>
      <c r="BB330" s="222">
        <f>BB75/BB15</f>
        <v>0</v>
      </c>
      <c r="BC330" s="222">
        <f>BC75/BC15</f>
        <v>0</v>
      </c>
      <c r="BD330" s="222">
        <f>BD75/BD15</f>
        <v>0</v>
      </c>
      <c r="BE330" s="222">
        <f>BE75/BE15</f>
        <v>0</v>
      </c>
      <c r="BG330" s="222">
        <f>BG75/BG15</f>
        <v>0</v>
      </c>
      <c r="BH330" s="222">
        <f>BH75/BH15</f>
        <v>0</v>
      </c>
      <c r="BI330" s="222">
        <f>BI75/BI15</f>
        <v>0</v>
      </c>
      <c r="BJ330" s="222">
        <f>BJ75/BJ15</f>
        <v>0</v>
      </c>
      <c r="BL330" s="222">
        <f>BL75/BL15</f>
        <v>0</v>
      </c>
      <c r="BM330" s="222">
        <f>BM75/BM15</f>
        <v>0</v>
      </c>
      <c r="BN330" s="222">
        <f>BN75/BN15</f>
        <v>0</v>
      </c>
      <c r="BO330" s="222">
        <f>BO75/BO15</f>
        <v>0</v>
      </c>
      <c r="BQ330" s="222">
        <f>BQ75/BQ15</f>
        <v>0</v>
      </c>
      <c r="BR330" s="222">
        <f>BR75/BR15</f>
        <v>0</v>
      </c>
      <c r="BS330" s="222">
        <f>BS75/BS15</f>
        <v>0</v>
      </c>
      <c r="BT330" s="222">
        <f>BT75/BT15</f>
        <v>0</v>
      </c>
      <c r="BV330" s="222">
        <f>BV75/BV15</f>
        <v>0</v>
      </c>
      <c r="BW330" s="222">
        <f>BW75/BW15</f>
        <v>0</v>
      </c>
      <c r="BX330" s="222">
        <f>BX75/BX15</f>
        <v>0</v>
      </c>
      <c r="BY330" s="222">
        <f>BY75/BY15</f>
        <v>0</v>
      </c>
      <c r="CA330" s="222">
        <f>CA75/CA15</f>
        <v>0</v>
      </c>
      <c r="CB330" s="222">
        <f>CB75/CB15</f>
        <v>0</v>
      </c>
      <c r="CC330" s="222">
        <f>CC75/CC15</f>
        <v>0</v>
      </c>
      <c r="CD330" s="222">
        <f>CD75/CD15</f>
        <v>0</v>
      </c>
      <c r="CF330" s="222">
        <f>CF75/CF15</f>
        <v>0</v>
      </c>
      <c r="CG330" s="222">
        <f>CG75/CG15</f>
        <v>0</v>
      </c>
      <c r="CH330" s="222">
        <f>CH75/CH15</f>
        <v>0</v>
      </c>
      <c r="CI330" s="222">
        <f>CI75/CI15</f>
        <v>0</v>
      </c>
      <c r="CK330" s="222">
        <f>CK75/CK15</f>
        <v>0</v>
      </c>
      <c r="CL330" s="222">
        <f>CL75/CL15</f>
        <v>0</v>
      </c>
      <c r="CM330" s="222">
        <f>CM75/CM15</f>
        <v>0</v>
      </c>
      <c r="CN330" s="222">
        <f>CN75/CN15</f>
        <v>0</v>
      </c>
      <c r="CP330" s="222">
        <f>CP75/CP15</f>
        <v>0</v>
      </c>
      <c r="CQ330" s="222">
        <f>CQ75/CQ15</f>
        <v>0</v>
      </c>
      <c r="CR330" s="222">
        <f>CR75/CR15</f>
        <v>0</v>
      </c>
      <c r="CS330" s="222">
        <f>CS75/CS15</f>
        <v>0</v>
      </c>
      <c r="CU330" s="222">
        <f>CU75/CU15</f>
        <v>0</v>
      </c>
      <c r="CV330" s="222">
        <f>CV75/CV15</f>
        <v>0</v>
      </c>
      <c r="CW330" s="222">
        <f>CW75/CW15</f>
        <v>0</v>
      </c>
      <c r="CX330" s="222">
        <f>CX75/CX15</f>
        <v>0</v>
      </c>
    </row>
    <row r="331" customFormat="1" s="233">
      <c r="A331" s="224" t="n"/>
      <c r="B331" s="224" t="n"/>
      <c r="C331" s="233" t="inlineStr">
        <is>
          <t>ETR</t>
        </is>
      </c>
      <c r="D331" s="236">
        <f>-D137/D136</f>
        <v>0.281786312358593</v>
      </c>
      <c r="E331" s="236">
        <f>-E137/E136</f>
        <v>0.514505715792364</v>
      </c>
      <c r="F331" s="236">
        <f>-F137/F136</f>
        <v>0.343188681489533</v>
      </c>
      <c r="G331" s="236">
        <f>-G137/G136</f>
        <v>0.215727571397641</v>
      </c>
      <c r="I331" s="222">
        <f>-I137/I136</f>
        <v>0.403275509129063</v>
      </c>
      <c r="J331" s="222">
        <f>-J137/J136</f>
        <v>0.277853930379847</v>
      </c>
      <c r="K331" s="222">
        <f>-K137/K136</f>
        <v>0.303019893072753</v>
      </c>
      <c r="L331" s="222">
        <f>-L137/L136</f>
        <v>0.281945417417959</v>
      </c>
      <c r="N331" s="222">
        <f>-N137/N136</f>
        <v>0.291189574635641</v>
      </c>
      <c r="O331" s="222">
        <f>-O137/O136</f>
        <v>0.343054358482057</v>
      </c>
      <c r="P331" s="222">
        <f>-P137/P136</f>
        <v>0.36618206224071</v>
      </c>
      <c r="Q331" s="222">
        <f>-Q137/Q136</f>
        <v>-10.7139634991645</v>
      </c>
      <c r="S331" s="222">
        <f>-S137/S136</f>
        <v>-10.5621822265924</v>
      </c>
      <c r="T331" s="222">
        <f>-T137/T136</f>
        <v>0.0644969542007985</v>
      </c>
      <c r="U331" s="222">
        <f>-U137/U136</f>
        <v>0.426137798427544</v>
      </c>
      <c r="V331" s="222">
        <f>-V137/V136</f>
        <v>0.243928814368687</v>
      </c>
      <c r="X331" s="222">
        <f>-X137/X136</f>
        <v>0.183719937624362</v>
      </c>
      <c r="Y331" s="222">
        <f>-Y137/Y136</f>
        <v>0.357789740506521</v>
      </c>
      <c r="Z331" s="222">
        <f>-Z137/Z136</f>
        <v>0.287114189479217</v>
      </c>
      <c r="AA331" s="222">
        <f>-AA137/AA136</f>
        <v>-3.98240076350345</v>
      </c>
      <c r="AC331" s="222">
        <f>-AC137/AC136</f>
        <v>1.53909952897247</v>
      </c>
      <c r="AD331" s="222">
        <f>-AD137/AD136</f>
        <v>0.639734179811386</v>
      </c>
      <c r="AE331" s="222">
        <f>-AE137/AE136</f>
        <v>0.259809212705663</v>
      </c>
      <c r="AF331" s="222">
        <f>-AF137/AF136</f>
        <v>0.331346281158259</v>
      </c>
      <c r="AH331" s="222">
        <f>-AH137/AH136</f>
        <v>0.252266932671462</v>
      </c>
      <c r="AI331" s="222">
        <f>-AI137/AI136</f>
        <v>0.211442027351207</v>
      </c>
      <c r="AJ331" s="222">
        <f>-AJ137/AJ136</f>
        <v>0</v>
      </c>
      <c r="AK331" s="222">
        <f>-AK137/AK136</f>
        <v>0</v>
      </c>
      <c r="AM331" s="222">
        <f>-AM137/AM136</f>
        <v>0</v>
      </c>
      <c r="AN331" s="222">
        <f>-AN137/AN136</f>
        <v>0</v>
      </c>
      <c r="AO331" s="222">
        <f>-AO137/AO136</f>
        <v>0</v>
      </c>
      <c r="AP331" s="222">
        <f>-AP137/AP136</f>
        <v>0</v>
      </c>
      <c r="AR331" s="222">
        <f>-AR137/AR136</f>
        <v>0</v>
      </c>
      <c r="AS331" s="222">
        <f>-AS137/AS136</f>
        <v>0</v>
      </c>
      <c r="AT331" s="222">
        <f>-AT137/AT136</f>
        <v>0</v>
      </c>
      <c r="AU331" s="222">
        <f>-AU137/AU136</f>
        <v>0</v>
      </c>
      <c r="AW331" s="222">
        <f>-AW137/AW136</f>
        <v>0</v>
      </c>
      <c r="AX331" s="222">
        <f>-AX137/AX136</f>
        <v>0</v>
      </c>
      <c r="AY331" s="222">
        <f>-AY137/AY136</f>
        <v>0</v>
      </c>
      <c r="AZ331" s="222">
        <f>-AZ137/AZ136</f>
        <v>0</v>
      </c>
      <c r="BB331" s="222">
        <f>-BB137/BB136</f>
        <v>0</v>
      </c>
      <c r="BC331" s="222">
        <f>-BC137/BC136</f>
        <v>0</v>
      </c>
      <c r="BD331" s="222">
        <f>-BD137/BD136</f>
        <v>0</v>
      </c>
      <c r="BE331" s="222">
        <f>-BE137/BE136</f>
        <v>0</v>
      </c>
      <c r="BG331" s="222">
        <f>-BG137/BG136</f>
        <v>0</v>
      </c>
      <c r="BH331" s="222">
        <f>-BH137/BH136</f>
        <v>0</v>
      </c>
      <c r="BI331" s="222">
        <f>-BI137/BI136</f>
        <v>0</v>
      </c>
      <c r="BJ331" s="222">
        <f>-BJ137/BJ136</f>
        <v>0</v>
      </c>
      <c r="BL331" s="222">
        <f>-BL137/BL136</f>
        <v>0</v>
      </c>
      <c r="BM331" s="222">
        <f>-BM137/BM136</f>
        <v>0</v>
      </c>
      <c r="BN331" s="222">
        <f>-BN137/BN136</f>
        <v>0</v>
      </c>
      <c r="BO331" s="222">
        <f>-BO137/BO136</f>
        <v>0</v>
      </c>
      <c r="BQ331" s="222">
        <f>-BQ137/BQ136</f>
        <v>0</v>
      </c>
      <c r="BR331" s="222">
        <f>-BR137/BR136</f>
        <v>0</v>
      </c>
      <c r="BS331" s="222">
        <f>-BS137/BS136</f>
        <v>0</v>
      </c>
      <c r="BT331" s="222">
        <f>-BT137/BT136</f>
        <v>0</v>
      </c>
      <c r="BV331" s="222">
        <f>-BV137/BV136</f>
        <v>0</v>
      </c>
      <c r="BW331" s="222">
        <f>-BW137/BW136</f>
        <v>0</v>
      </c>
      <c r="BX331" s="222">
        <f>-BX137/BX136</f>
        <v>0</v>
      </c>
      <c r="BY331" s="222">
        <f>-BY137/BY136</f>
        <v>0</v>
      </c>
      <c r="CA331" s="222">
        <f>-CA137/CA136</f>
        <v>0</v>
      </c>
      <c r="CB331" s="222">
        <f>-CB137/CB136</f>
        <v>0</v>
      </c>
      <c r="CC331" s="222">
        <f>-CC137/CC136</f>
        <v>0</v>
      </c>
      <c r="CD331" s="222">
        <f>-CD137/CD136</f>
        <v>0</v>
      </c>
      <c r="CF331" s="222">
        <f>-CF137/CF136</f>
        <v>0</v>
      </c>
      <c r="CG331" s="222">
        <f>-CG137/CG136</f>
        <v>0</v>
      </c>
      <c r="CH331" s="222">
        <f>-CH137/CH136</f>
        <v>0</v>
      </c>
      <c r="CI331" s="222">
        <f>-CI137/CI136</f>
        <v>0</v>
      </c>
      <c r="CK331" s="222">
        <f>-CK137/CK136</f>
        <v>0</v>
      </c>
      <c r="CL331" s="222">
        <f>-CL137/CL136</f>
        <v>0</v>
      </c>
      <c r="CM331" s="222">
        <f>-CM137/CM136</f>
        <v>0</v>
      </c>
      <c r="CN331" s="222">
        <f>-CN137/CN136</f>
        <v>0</v>
      </c>
      <c r="CP331" s="222">
        <f>-CP137/CP136</f>
        <v>0</v>
      </c>
      <c r="CQ331" s="222">
        <f>-CQ137/CQ136</f>
        <v>0</v>
      </c>
      <c r="CR331" s="222">
        <f>-CR137/CR136</f>
        <v>0</v>
      </c>
      <c r="CS331" s="222">
        <f>-CS137/CS136</f>
        <v>0</v>
      </c>
      <c r="CU331" s="222">
        <f>-CU137/CU136</f>
        <v>0</v>
      </c>
      <c r="CV331" s="222">
        <f>-CV137/CV136</f>
        <v>0</v>
      </c>
      <c r="CW331" s="222">
        <f>-CW137/CW136</f>
        <v>0</v>
      </c>
      <c r="CX331" s="222">
        <f>-CX137/CX136</f>
        <v>0</v>
      </c>
    </row>
    <row r="332" customFormat="1" s="233">
      <c r="A332" s="224" t="n"/>
      <c r="B332" s="224" t="n"/>
    </row>
    <row r="333" customFormat="1" s="233">
      <c r="A333" s="224" t="n"/>
      <c r="B333" s="224" t="n"/>
      <c r="C333" s="234" t="inlineStr">
        <is>
          <t>CAPITAL STRUCTURE</t>
        </is>
      </c>
    </row>
    <row r="334" customFormat="1" s="233">
      <c r="A334" s="224" t="n"/>
      <c r="B334" s="224" t="n"/>
      <c r="C334" s="233" t="inlineStr">
        <is>
          <t>MARKET DEBT / EQUITY</t>
        </is>
      </c>
    </row>
    <row r="335" customFormat="1" s="233">
      <c r="A335" s="224" t="n"/>
      <c r="B335" s="224" t="n"/>
      <c r="C335" s="233" t="inlineStr">
        <is>
          <t>NET DEBT / (NET DEBT + MARKET CAP)</t>
        </is>
      </c>
    </row>
    <row r="336" customFormat="1" s="233">
      <c r="A336" s="224" t="n"/>
      <c r="B336" s="224" t="n"/>
    </row>
    <row r="337" customFormat="1" s="233">
      <c r="A337" s="224" t="n"/>
      <c r="B337" s="224" t="n"/>
      <c r="C337" s="234" t="inlineStr">
        <is>
          <t>FINANCIAL RISK RATIOS</t>
        </is>
      </c>
    </row>
    <row r="338" customFormat="1" s="233">
      <c r="A338" s="224" t="n"/>
      <c r="B338" s="224" t="n"/>
      <c r="C338" s="233" t="inlineStr">
        <is>
          <t>EBITDA / TOTAL INTEREST</t>
        </is>
      </c>
      <c r="D338" s="219">
        <f>D75/-D80</f>
        <v>1.50710838939179</v>
      </c>
      <c r="E338" s="219">
        <f>E75/-E80</f>
        <v>3.04698010343168</v>
      </c>
      <c r="F338" s="219">
        <f>F75/-F80</f>
        <v>2.24886657528721</v>
      </c>
      <c r="G338" s="219">
        <f>G75/-G80</f>
        <v>2.63280743977248</v>
      </c>
      <c r="I338" s="219">
        <f>I75/-I80</f>
        <v>1.61268563741862</v>
      </c>
      <c r="J338" s="219">
        <f>J75/-J80</f>
        <v>5.04944397734724</v>
      </c>
      <c r="K338" s="219">
        <f>K75/-K80</f>
        <v>2.21189249736562</v>
      </c>
      <c r="L338" s="219">
        <f>L75/-L80</f>
        <v>1.69720093131805</v>
      </c>
      <c r="N338" s="219">
        <f>N75/-N80</f>
        <v>1.4874333721975</v>
      </c>
      <c r="O338" s="219">
        <f>O75/-O80</f>
        <v>1.36669309495482</v>
      </c>
      <c r="P338" s="219">
        <f>P75/-P80</f>
        <v>1.29258870139392</v>
      </c>
      <c r="Q338" s="219">
        <f>Q75/-Q80</f>
        <v>1.15865085566094</v>
      </c>
      <c r="S338" s="219">
        <f>S75/-S80</f>
        <v>1.19106765817203</v>
      </c>
      <c r="T338" s="219">
        <f>T75/-T80</f>
        <v>1.36223326771507</v>
      </c>
      <c r="U338" s="219">
        <f>U75/-U80</f>
        <v>1.11073997689109</v>
      </c>
      <c r="V338" s="219">
        <f>V75/-V80</f>
        <v>0.897618546852955</v>
      </c>
      <c r="X338" s="219">
        <f>X75/-X80</f>
        <v>1.30537696716099</v>
      </c>
      <c r="Y338" s="219">
        <f>Y75/-Y80</f>
        <v>1.39447482976077</v>
      </c>
      <c r="Z338" s="219">
        <f>Z75/-Z80</f>
        <v>1.35580905497301</v>
      </c>
      <c r="AA338" s="219">
        <f>AA75/-AA80</f>
        <v>1.19876837774559</v>
      </c>
      <c r="AC338" s="219">
        <f>AC75/-AC80</f>
        <v>1.25333865614621</v>
      </c>
      <c r="AD338" s="219">
        <f>AD75/-AD80</f>
        <v>1.19524939691069</v>
      </c>
      <c r="AE338" s="219">
        <f>AE75/-AE80</f>
        <v>1.10395642468172</v>
      </c>
      <c r="AF338" s="219">
        <f>AF75/-AF80</f>
        <v>1.53667818060812</v>
      </c>
      <c r="AH338" s="219">
        <f>AH75/-AH80</f>
        <v>1.16047722245723</v>
      </c>
      <c r="AI338" s="219">
        <f>AI75/-AI80</f>
        <v>1.13299298225208</v>
      </c>
      <c r="AJ338" s="219" t="e">
        <f>AJ75/-AJ80</f>
        <v>#DIV/0!</v>
      </c>
      <c r="AK338" s="219" t="e">
        <f>AK75/-AK80</f>
        <v>#DIV/0!</v>
      </c>
      <c r="AM338" s="219" t="e">
        <f>AM75/-AM80</f>
        <v>#DIV/0!</v>
      </c>
      <c r="AN338" s="219" t="e">
        <f>AN75/-AN80</f>
        <v>#DIV/0!</v>
      </c>
      <c r="AO338" s="219" t="e">
        <f>AO75/-AO80</f>
        <v>#DIV/0!</v>
      </c>
      <c r="AP338" s="219" t="e">
        <f>AP75/-AP80</f>
        <v>#DIV/0!</v>
      </c>
      <c r="AR338" s="219" t="e">
        <f>AR75/-AR80</f>
        <v>#DIV/0!</v>
      </c>
      <c r="AS338" s="219" t="e">
        <f>AS75/-AS80</f>
        <v>#DIV/0!</v>
      </c>
      <c r="AT338" s="219" t="e">
        <f>AT75/-AT80</f>
        <v>#DIV/0!</v>
      </c>
      <c r="AU338" s="219" t="e">
        <f>AU75/-AU80</f>
        <v>#DIV/0!</v>
      </c>
      <c r="AW338" s="219" t="e">
        <f>AW75/-AW80</f>
        <v>#DIV/0!</v>
      </c>
      <c r="AX338" s="219" t="e">
        <f>AX75/-AX80</f>
        <v>#DIV/0!</v>
      </c>
      <c r="AY338" s="219" t="e">
        <f>AY75/-AY80</f>
        <v>#DIV/0!</v>
      </c>
      <c r="AZ338" s="219" t="e">
        <f>AZ75/-AZ80</f>
        <v>#DIV/0!</v>
      </c>
      <c r="BB338" s="219" t="e">
        <f>BB75/-BB80</f>
        <v>#DIV/0!</v>
      </c>
      <c r="BC338" s="219" t="e">
        <f>BC75/-BC80</f>
        <v>#DIV/0!</v>
      </c>
      <c r="BD338" s="219" t="e">
        <f>BD75/-BD80</f>
        <v>#DIV/0!</v>
      </c>
      <c r="BE338" s="219" t="e">
        <f>BE75/-BE80</f>
        <v>#DIV/0!</v>
      </c>
      <c r="BG338" s="219" t="e">
        <f>BG75/-BG80</f>
        <v>#DIV/0!</v>
      </c>
      <c r="BH338" s="219" t="e">
        <f>BH75/-BH80</f>
        <v>#DIV/0!</v>
      </c>
      <c r="BI338" s="219" t="e">
        <f>BI75/-BI80</f>
        <v>#DIV/0!</v>
      </c>
      <c r="BJ338" s="219" t="e">
        <f>BJ75/-BJ80</f>
        <v>#DIV/0!</v>
      </c>
      <c r="BL338" s="219" t="e">
        <f>BL75/-BL80</f>
        <v>#DIV/0!</v>
      </c>
      <c r="BM338" s="219" t="e">
        <f>BM75/-BM80</f>
        <v>#DIV/0!</v>
      </c>
      <c r="BN338" s="219" t="e">
        <f>BN75/-BN80</f>
        <v>#DIV/0!</v>
      </c>
      <c r="BO338" s="219" t="e">
        <f>BO75/-BO80</f>
        <v>#DIV/0!</v>
      </c>
      <c r="BQ338" s="219" t="e">
        <f>BQ75/-BQ80</f>
        <v>#DIV/0!</v>
      </c>
      <c r="BR338" s="219" t="e">
        <f>BR75/-BR80</f>
        <v>#DIV/0!</v>
      </c>
      <c r="BS338" s="219" t="e">
        <f>BS75/-BS80</f>
        <v>#DIV/0!</v>
      </c>
      <c r="BT338" s="219" t="e">
        <f>BT75/-BT80</f>
        <v>#DIV/0!</v>
      </c>
      <c r="BV338" s="219" t="e">
        <f>BV75/-BV80</f>
        <v>#DIV/0!</v>
      </c>
      <c r="BW338" s="219" t="e">
        <f>BW75/-BW80</f>
        <v>#DIV/0!</v>
      </c>
      <c r="BX338" s="219" t="e">
        <f>BX75/-BX80</f>
        <v>#DIV/0!</v>
      </c>
      <c r="BY338" s="219" t="e">
        <f>BY75/-BY80</f>
        <v>#DIV/0!</v>
      </c>
      <c r="CA338" s="219" t="e">
        <f>CA75/-CA80</f>
        <v>#DIV/0!</v>
      </c>
      <c r="CB338" s="219" t="e">
        <f>CB75/-CB80</f>
        <v>#DIV/0!</v>
      </c>
      <c r="CC338" s="219" t="e">
        <f>CC75/-CC80</f>
        <v>#DIV/0!</v>
      </c>
      <c r="CD338" s="219" t="e">
        <f>CD75/-CD80</f>
        <v>#DIV/0!</v>
      </c>
      <c r="CF338" s="219" t="e">
        <f>CF75/-CF80</f>
        <v>#DIV/0!</v>
      </c>
      <c r="CG338" s="219" t="e">
        <f>CG75/-CG80</f>
        <v>#DIV/0!</v>
      </c>
      <c r="CH338" s="219" t="e">
        <f>CH75/-CH80</f>
        <v>#DIV/0!</v>
      </c>
      <c r="CI338" s="219" t="e">
        <f>CI75/-CI80</f>
        <v>#DIV/0!</v>
      </c>
      <c r="CK338" s="219" t="e">
        <f>CK75/-CK80</f>
        <v>#DIV/0!</v>
      </c>
      <c r="CL338" s="219" t="e">
        <f>CL75/-CL80</f>
        <v>#DIV/0!</v>
      </c>
      <c r="CM338" s="219" t="e">
        <f>CM75/-CM80</f>
        <v>#DIV/0!</v>
      </c>
      <c r="CN338" s="219" t="e">
        <f>CN75/-CN80</f>
        <v>#DIV/0!</v>
      </c>
      <c r="CP338" s="219" t="e">
        <f>CP75/-CP80</f>
        <v>#DIV/0!</v>
      </c>
      <c r="CQ338" s="219" t="e">
        <f>CQ75/-CQ80</f>
        <v>#DIV/0!</v>
      </c>
      <c r="CR338" s="219" t="e">
        <f>CR75/-CR80</f>
        <v>#DIV/0!</v>
      </c>
      <c r="CS338" s="219" t="e">
        <f>CS75/-CS80</f>
        <v>#DIV/0!</v>
      </c>
      <c r="CU338" s="219" t="e">
        <f>CU75/-CU80</f>
        <v>#DIV/0!</v>
      </c>
      <c r="CV338" s="219" t="e">
        <f>CV75/-CV80</f>
        <v>#DIV/0!</v>
      </c>
      <c r="CW338" s="219" t="e">
        <f>CW75/-CW80</f>
        <v>#DIV/0!</v>
      </c>
      <c r="CX338" s="219" t="e">
        <f>CX75/-CX80</f>
        <v>#DIV/0!</v>
      </c>
    </row>
    <row r="339" customFormat="1" s="233">
      <c r="A339" s="224" t="n"/>
      <c r="B339" s="224" t="n"/>
      <c r="C339" s="233" t="inlineStr">
        <is>
          <t>(EBITDA - CAPEX) / TOTAL INTEREST</t>
        </is>
      </c>
      <c r="D339" s="219">
        <f>(D75-D174)/-D80</f>
        <v>1.50710838939179</v>
      </c>
      <c r="E339" s="219">
        <f>(E75-E174)/-E80</f>
        <v>4.38477295677869</v>
      </c>
      <c r="F339" s="219">
        <f>(F75-F174)/-F80</f>
        <v>-1.78976160079803</v>
      </c>
      <c r="G339" s="219">
        <f>(G75-G174)/-G80</f>
        <v>-4.35371646274358</v>
      </c>
      <c r="I339" s="219">
        <f>(I75-I174)/-I80</f>
        <v>-1.05718356881176</v>
      </c>
      <c r="J339" s="219">
        <f>(J75-J174)/-J80</f>
        <v>-8.13607490335726</v>
      </c>
      <c r="K339" s="219">
        <f>(K75-K174)/-K80</f>
        <v>-2.87007781056608</v>
      </c>
      <c r="L339" s="219">
        <f>(L75-L174)/-L80</f>
        <v>-4.02262727227427</v>
      </c>
      <c r="N339" s="219">
        <f>(N75-N174)/-N80</f>
        <v>-1.08597468782503</v>
      </c>
      <c r="O339" s="219">
        <f>(O75-O174)/-O80</f>
        <v>-1.94019206415193</v>
      </c>
      <c r="P339" s="219">
        <f>(P75-P174)/-P80</f>
        <v>-1.0953445839599</v>
      </c>
      <c r="Q339" s="219">
        <f>(Q75-Q174)/-Q80</f>
        <v>-1.42989409565326</v>
      </c>
      <c r="S339" s="219">
        <f>(S75-S174)/-S80</f>
        <v>0.74150017716576</v>
      </c>
      <c r="T339" s="219">
        <f>(T75-T174)/-T80</f>
        <v>0.501583696427172</v>
      </c>
      <c r="U339" s="219">
        <f>(U75-U174)/-U80</f>
        <v>0.110613649574148</v>
      </c>
      <c r="V339" s="219">
        <f>(V75-V174)/-V80</f>
        <v>-1.68170337904054</v>
      </c>
      <c r="X339" s="219">
        <f>(X75-X174)/-X80</f>
        <v>0.151537751418496</v>
      </c>
      <c r="Y339" s="219">
        <f>(Y75-Y174)/-Y80</f>
        <v>0.318940340552041</v>
      </c>
      <c r="Z339" s="219">
        <f>(Z75-Z174)/-Z80</f>
        <v>0.463957121808774</v>
      </c>
      <c r="AA339" s="219">
        <f>(AA75-AA174)/-AA80</f>
        <v>-0.459605676668694</v>
      </c>
      <c r="AC339" s="219">
        <f>(AC75-AC174)/-AC80</f>
        <v>1.1509597430585</v>
      </c>
      <c r="AD339" s="219">
        <f>(AD75-AD174)/-AD80</f>
        <v>0.533340524339417</v>
      </c>
      <c r="AE339" s="219">
        <f>(AE75-AE174)/-AE80</f>
        <v>0.597048109363009</v>
      </c>
      <c r="AF339" s="219">
        <f>(AF75-AF174)/-AF80</f>
        <v>0.174778743951731</v>
      </c>
      <c r="AH339" s="219">
        <f>(AH75-AH174)/-AH80</f>
        <v>1.2362324439282</v>
      </c>
      <c r="AI339" s="219">
        <f>(AI75-AI174)/-AI80</f>
        <v>0.138268080817815</v>
      </c>
      <c r="AJ339" s="219" t="e">
        <f>(AJ75-AJ174)/-AJ80</f>
        <v>#DIV/0!</v>
      </c>
      <c r="AK339" s="219" t="e">
        <f>(AK75-AK174)/-AK80</f>
        <v>#DIV/0!</v>
      </c>
      <c r="AM339" s="219" t="e">
        <f>(AM75-AM174)/-AM80</f>
        <v>#DIV/0!</v>
      </c>
      <c r="AN339" s="219" t="e">
        <f>(AN75-AN174)/-AN80</f>
        <v>#DIV/0!</v>
      </c>
      <c r="AO339" s="219" t="e">
        <f>(AO75-AO174)/-AO80</f>
        <v>#DIV/0!</v>
      </c>
      <c r="AP339" s="219" t="e">
        <f>(AP75-AP174)/-AP80</f>
        <v>#DIV/0!</v>
      </c>
      <c r="AR339" s="219" t="e">
        <f>(AR75-AR174)/-AR80</f>
        <v>#DIV/0!</v>
      </c>
      <c r="AS339" s="219" t="e">
        <f>(AS75-AS174)/-AS80</f>
        <v>#DIV/0!</v>
      </c>
      <c r="AT339" s="219" t="e">
        <f>(AT75-AT174)/-AT80</f>
        <v>#DIV/0!</v>
      </c>
      <c r="AU339" s="219" t="e">
        <f>(AU75-AU174)/-AU80</f>
        <v>#DIV/0!</v>
      </c>
      <c r="AW339" s="219" t="e">
        <f>(AW75-AW174)/-AW80</f>
        <v>#DIV/0!</v>
      </c>
      <c r="AX339" s="219" t="e">
        <f>(AX75-AX174)/-AX80</f>
        <v>#DIV/0!</v>
      </c>
      <c r="AY339" s="219" t="e">
        <f>(AY75-AY174)/-AY80</f>
        <v>#DIV/0!</v>
      </c>
      <c r="AZ339" s="219" t="e">
        <f>(AZ75-AZ174)/-AZ80</f>
        <v>#DIV/0!</v>
      </c>
      <c r="BB339" s="219" t="e">
        <f>(BB75-BB174)/-BB80</f>
        <v>#DIV/0!</v>
      </c>
      <c r="BC339" s="219" t="e">
        <f>(BC75-BC174)/-BC80</f>
        <v>#DIV/0!</v>
      </c>
      <c r="BD339" s="219" t="e">
        <f>(BD75-BD174)/-BD80</f>
        <v>#DIV/0!</v>
      </c>
      <c r="BE339" s="219" t="e">
        <f>(BE75-BE174)/-BE80</f>
        <v>#DIV/0!</v>
      </c>
      <c r="BG339" s="219" t="e">
        <f>(BG75-BG174)/-BG80</f>
        <v>#DIV/0!</v>
      </c>
      <c r="BH339" s="219" t="e">
        <f>(BH75-BH174)/-BH80</f>
        <v>#DIV/0!</v>
      </c>
      <c r="BI339" s="219" t="e">
        <f>(BI75-BI174)/-BI80</f>
        <v>#DIV/0!</v>
      </c>
      <c r="BJ339" s="219" t="e">
        <f>(BJ75-BJ174)/-BJ80</f>
        <v>#DIV/0!</v>
      </c>
      <c r="BL339" s="219" t="e">
        <f>(BL75-BL174)/-BL80</f>
        <v>#DIV/0!</v>
      </c>
      <c r="BM339" s="219" t="e">
        <f>(BM75-BM174)/-BM80</f>
        <v>#DIV/0!</v>
      </c>
      <c r="BN339" s="219" t="e">
        <f>(BN75-BN174)/-BN80</f>
        <v>#DIV/0!</v>
      </c>
      <c r="BO339" s="219" t="e">
        <f>(BO75-BO174)/-BO80</f>
        <v>#DIV/0!</v>
      </c>
      <c r="BQ339" s="219" t="e">
        <f>(BQ75-BQ174)/-BQ80</f>
        <v>#DIV/0!</v>
      </c>
      <c r="BR339" s="219" t="e">
        <f>(BR75-BR174)/-BR80</f>
        <v>#DIV/0!</v>
      </c>
      <c r="BS339" s="219" t="e">
        <f>(BS75-BS174)/-BS80</f>
        <v>#DIV/0!</v>
      </c>
      <c r="BT339" s="219" t="e">
        <f>(BT75-BT174)/-BT80</f>
        <v>#DIV/0!</v>
      </c>
      <c r="BV339" s="219" t="e">
        <f>(BV75-BV174)/-BV80</f>
        <v>#DIV/0!</v>
      </c>
      <c r="BW339" s="219" t="e">
        <f>(BW75-BW174)/-BW80</f>
        <v>#DIV/0!</v>
      </c>
      <c r="BX339" s="219" t="e">
        <f>(BX75-BX174)/-BX80</f>
        <v>#DIV/0!</v>
      </c>
      <c r="BY339" s="219" t="e">
        <f>(BY75-BY174)/-BY80</f>
        <v>#DIV/0!</v>
      </c>
      <c r="CA339" s="219" t="e">
        <f>(CA75-CA174)/-CA80</f>
        <v>#DIV/0!</v>
      </c>
      <c r="CB339" s="219" t="e">
        <f>(CB75-CB174)/-CB80</f>
        <v>#DIV/0!</v>
      </c>
      <c r="CC339" s="219" t="e">
        <f>(CC75-CC174)/-CC80</f>
        <v>#DIV/0!</v>
      </c>
      <c r="CD339" s="219" t="e">
        <f>(CD75-CD174)/-CD80</f>
        <v>#DIV/0!</v>
      </c>
      <c r="CF339" s="219" t="e">
        <f>(CF75-CF174)/-CF80</f>
        <v>#DIV/0!</v>
      </c>
      <c r="CG339" s="219" t="e">
        <f>(CG75-CG174)/-CG80</f>
        <v>#DIV/0!</v>
      </c>
      <c r="CH339" s="219" t="e">
        <f>(CH75-CH174)/-CH80</f>
        <v>#DIV/0!</v>
      </c>
      <c r="CI339" s="219" t="e">
        <f>(CI75-CI174)/-CI80</f>
        <v>#DIV/0!</v>
      </c>
      <c r="CK339" s="219" t="e">
        <f>(CK75-CK174)/-CK80</f>
        <v>#DIV/0!</v>
      </c>
      <c r="CL339" s="219" t="e">
        <f>(CL75-CL174)/-CL80</f>
        <v>#DIV/0!</v>
      </c>
      <c r="CM339" s="219" t="e">
        <f>(CM75-CM174)/-CM80</f>
        <v>#DIV/0!</v>
      </c>
      <c r="CN339" s="219" t="e">
        <f>(CN75-CN174)/-CN80</f>
        <v>#DIV/0!</v>
      </c>
      <c r="CP339" s="219" t="e">
        <f>(CP75-CP174)/-CP80</f>
        <v>#DIV/0!</v>
      </c>
      <c r="CQ339" s="219" t="e">
        <f>(CQ75-CQ174)/-CQ80</f>
        <v>#DIV/0!</v>
      </c>
      <c r="CR339" s="219" t="e">
        <f>(CR75-CR174)/-CR80</f>
        <v>#DIV/0!</v>
      </c>
      <c r="CS339" s="219" t="e">
        <f>(CS75-CS174)/-CS80</f>
        <v>#DIV/0!</v>
      </c>
      <c r="CU339" s="219" t="e">
        <f>(CU75-CU174)/-CU80</f>
        <v>#DIV/0!</v>
      </c>
      <c r="CV339" s="219" t="e">
        <f>(CV75-CV174)/-CV80</f>
        <v>#DIV/0!</v>
      </c>
      <c r="CW339" s="219" t="e">
        <f>(CW75-CW174)/-CW80</f>
        <v>#DIV/0!</v>
      </c>
      <c r="CX339" s="219" t="e">
        <f>(CX75-CX174)/-CX80</f>
        <v>#DIV/0!</v>
      </c>
    </row>
    <row r="340" customFormat="1" s="233">
      <c r="A340" s="224" t="n"/>
      <c r="B340" s="224" t="n"/>
      <c r="C340" s="233" t="inlineStr">
        <is>
          <t>TOTAL DEBT / EBITDA LTM</t>
        </is>
      </c>
      <c r="D340" s="219" t="str">
        <f>""</f>
        <v/>
      </c>
      <c r="E340" s="219" t="str">
        <f>""</f>
        <v/>
      </c>
      <c r="F340" s="219" t="str">
        <f>""</f>
        <v/>
      </c>
      <c r="G340" s="219">
        <f>IFERROR(SUM(G218,G219,G220,G223,G241,G244)/(G75+F75+E75+D75),"")</f>
        <v>7.69785471224098</v>
      </c>
      <c r="I340" s="219">
        <f>IFERROR(SUM(I218,I219,I220,I223,I241,I244)/(I75+G75+F75+E75),"")</f>
        <v>9.47200703088632</v>
      </c>
      <c r="J340" s="219">
        <f>IFERROR(SUM(J218,J219,J220,J223,J241,J244)/(J75+I75+G75+F75),"")</f>
        <v>7.76557697794982</v>
      </c>
      <c r="K340" s="219">
        <f>IFERROR(SUM(K218,K219,K220,K223,K241,K244)/(K75+J75+I75+G75),"")</f>
        <v>8.18722780584346</v>
      </c>
      <c r="L340" s="219">
        <f>IFERROR(SUM(L218,L219,L220,L223,L241,L244)/(L75+K75+J75+I75),"")</f>
        <v>8.20530991690477</v>
      </c>
      <c r="N340" s="219">
        <f>IFERROR(SUM(N218,N219,N220,N223,N241,N244)/(N75+L75+K75+J75),"")</f>
        <v>6.59473848544763</v>
      </c>
      <c r="O340" s="219">
        <f>IFERROR(SUM(O218,O219,O220,O223,O241,O244)/(O75+N75+L75+K75),"")</f>
        <v>6.4933487767635</v>
      </c>
      <c r="P340" s="219">
        <f>IFERROR(SUM(P218,P219,P220,P223,P241,P244)/(P75+O75+N75+L75),"")</f>
        <v>6.31420466430782</v>
      </c>
      <c r="Q340" s="219">
        <f>IFERROR(SUM(Q218,Q219,Q220,Q223,Q241,Q244)/(Q75+P75+O75+N75),"")</f>
        <v>5.69716819777013</v>
      </c>
      <c r="S340" s="219">
        <f>IFERROR(SUM(S218,S219,S220,S223,S241,S244)/(S75+Q75+P75+O75),"")</f>
        <v>5.32336354451609</v>
      </c>
      <c r="T340" s="219">
        <f>IFERROR(SUM(T218,T219,T220,T223,T241,T244)/(T75+S75+Q75+P75),"")</f>
        <v>5.07752369092768</v>
      </c>
      <c r="U340" s="219">
        <f>IFERROR(SUM(U218,U219,U220,U223,U241,U244)/(U75+T75+S75+Q75),"")</f>
        <v>5.05001265572774</v>
      </c>
      <c r="V340" s="219">
        <f>IFERROR(SUM(V218,V219,V220,V223,V241,V244)/(V75+U75+T75+S75),"")</f>
        <v>5.69965519619157</v>
      </c>
      <c r="X340" s="219">
        <f>IFERROR(SUM(X218,X219,X220,X223,X241,X244)/(X75+V75+U75+T75),"")</f>
        <v>5.82472694342233</v>
      </c>
      <c r="Y340" s="219">
        <f>IFERROR(SUM(Y218,Y219,Y220,Y223,Y241,Y244)/(Y75+X75+V75+U75),"")</f>
        <v>5.89809549967225</v>
      </c>
      <c r="Z340" s="219">
        <f>IFERROR(SUM(Z218,Z219,Z220,Z223,Z241,Z244)/(Z75+Y75+X75+V75),"")</f>
        <v>5.88326188313455</v>
      </c>
      <c r="AA340" s="219">
        <f>IFERROR(SUM(AA218,AA219,AA220,AA223,AA241,AA244)/(AA75+Z75+Y75+X75),"")</f>
        <v>5.53517924835341</v>
      </c>
      <c r="AC340" s="219">
        <f>IFERROR(SUM(AC218,AC219,AC220,AC223,AC241,AC244)/(AC75+AA75+Z75+Y75),"")</f>
        <v>5.3472857046484</v>
      </c>
      <c r="AD340" s="219">
        <f>IFERROR(SUM(AD218,AD219,AD220,AD223,AD241,AD244)/(AD75+AC75+AA75+Z75),"")</f>
        <v>5.12057261103081</v>
      </c>
      <c r="AE340" s="219">
        <f>IFERROR(SUM(AE218,AE219,AE220,AE223,AE241,AE244)/(AE75+AD75+AC75+AA75),"")</f>
        <v>4.91616739618345</v>
      </c>
      <c r="AF340" s="219">
        <f>IFERROR(SUM(AF218,AF219,AF220,AF223,AF241,AF244)/(AF75+AE75+AD75+AC75),"")</f>
        <v>4.526855358753</v>
      </c>
      <c r="AH340" s="219">
        <f>IFERROR(SUM(AH218,AH219,AH220,AH223,AH241,AH244)/(AH75+AF75+AE75+AD75),"")</f>
        <v>4.55356270701922</v>
      </c>
      <c r="AI340" s="219">
        <f>IFERROR(SUM(AI218,AI219,AI220,AI223,AI241,AI244)/(AI75+AH75+AF75+AE75),"")</f>
        <v>4.35019226895041</v>
      </c>
      <c r="AJ340" s="219">
        <f>IFERROR(SUM(AJ218,AJ219,AJ220,AJ223,AJ241,AJ244)/(AJ75+AI75+AH75+AF75),"")</f>
        <v>5.56258232916077</v>
      </c>
      <c r="AK340" s="219">
        <f>IFERROR(SUM(AK218,AK219,AK220,AK223,AK241,AK244)/(AK75+AJ75+AI75+AH75),"")</f>
        <v>9.11653429053825</v>
      </c>
      <c r="AM340" s="219">
        <f>IFERROR(SUM(AM218,AM219,AM220,AM223,AM241,AM244)/(AM75+AK75+AJ75+AI75),"")</f>
        <v>17.3092975063598</v>
      </c>
      <c r="AN340" s="219" t="str">
        <f>IFERROR(SUM(AN218,AN219,AN220,AN223,AN241,AN244)/(AN75+AM75+AK75+AJ75),"")</f>
        <v/>
      </c>
      <c r="AO340" s="219" t="str">
        <f>IFERROR(SUM(AO218,AO219,AO220,AO223,AO241,AO244)/(AO75+AN75+AM75+AK75),"")</f>
        <v/>
      </c>
      <c r="AP340" s="219" t="str">
        <f>IFERROR(SUM(AP218,AP219,AP220,AP223,AP241,AP244)/(AP75+AO75+AN75+AM75),"")</f>
        <v/>
      </c>
      <c r="AR340" s="219" t="str">
        <f>IFERROR(SUM(AR218,AR219,AR220,AR223,AR241,AR244)/(AR75+AP75+AO75+AN75),"")</f>
        <v/>
      </c>
      <c r="AS340" s="219" t="str">
        <f>IFERROR(SUM(AS218,AS219,AS220,AS223,AS241,AS244)/(AS75+AR75+AP75+AO75),"")</f>
        <v/>
      </c>
      <c r="AT340" s="219" t="str">
        <f>IFERROR(SUM(AT218,AT219,AT220,AT223,AT241,AT244)/(AT75+AS75+AR75+AP75),"")</f>
        <v/>
      </c>
      <c r="AU340" s="219" t="str">
        <f>IFERROR(SUM(AU218,AU219,AU220,AU223,AU241,AU244)/(AU75+AT75+AS75+AR75),"")</f>
        <v/>
      </c>
      <c r="AW340" s="219" t="str">
        <f>IFERROR(SUM(AW218,AW219,AW220,AW223,AW241,AW244)/(AW75+AU75+AT75+AS75),"")</f>
        <v/>
      </c>
      <c r="AX340" s="219" t="str">
        <f>IFERROR(SUM(AX218,AX219,AX220,AX223,AX241,AX244)/(AX75+AW75+AU75+AT75),"")</f>
        <v/>
      </c>
      <c r="AY340" s="219" t="str">
        <f>IFERROR(SUM(AY218,AY219,AY220,AY223,AY241,AY244)/(AY75+AX75+AW75+AU75),"")</f>
        <v/>
      </c>
      <c r="AZ340" s="219" t="str">
        <f>IFERROR(SUM(AZ218,AZ219,AZ220,AZ223,AZ241,AZ244)/(AZ75+AY75+AX75+AW75),"")</f>
        <v/>
      </c>
      <c r="BB340" s="219" t="str">
        <f>IFERROR(SUM(BB218,BB219,BB220,BB223,BB241,BB244)/(BB75+AZ75+AY75+AX75),"")</f>
        <v/>
      </c>
      <c r="BC340" s="219" t="str">
        <f>IFERROR(SUM(BC218,BC219,BC220,BC223,BC241,BC244)/(BC75+BB75+AZ75+AY75),"")</f>
        <v/>
      </c>
      <c r="BD340" s="219" t="str">
        <f>IFERROR(SUM(BD218,BD219,BD220,BD223,BD241,BD244)/(BD75+BC75+BB75+AZ75),"")</f>
        <v/>
      </c>
      <c r="BE340" s="219" t="str">
        <f>IFERROR(SUM(BE218,BE219,BE220,BE223,BE241,BE244)/(BE75+BD75+BC75+BB75),"")</f>
        <v/>
      </c>
      <c r="BG340" s="219" t="str">
        <f>IFERROR(SUM(BG218,BG219,BG220,BG223,BG241,BG244)/(BG75+BE75+BD75+BC75),"")</f>
        <v/>
      </c>
      <c r="BH340" s="219" t="str">
        <f>IFERROR(SUM(BH218,BH219,BH220,BH223,BH241,BH244)/(BH75+BG75+BE75+BD75),"")</f>
        <v/>
      </c>
      <c r="BI340" s="219" t="str">
        <f>IFERROR(SUM(BI218,BI219,BI220,BI223,BI241,BI244)/(BI75+BH75+BG75+BE75),"")</f>
        <v/>
      </c>
      <c r="BJ340" s="219" t="str">
        <f>IFERROR(SUM(BJ218,BJ219,BJ220,BJ223,BJ241,BJ244)/(BJ75+BI75+BH75+BG75),"")</f>
        <v/>
      </c>
      <c r="BL340" s="219" t="str">
        <f>IFERROR(SUM(BL218,BL219,BL220,BL223,BL241,BL244)/(BL75+BJ75+BI75+BH75),"")</f>
        <v/>
      </c>
      <c r="BM340" s="219" t="str">
        <f>IFERROR(SUM(BM218,BM219,BM220,BM223,BM241,BM244)/(BM75+BL75+BJ75+BI75),"")</f>
        <v/>
      </c>
      <c r="BN340" s="219" t="str">
        <f>IFERROR(SUM(BN218,BN219,BN220,BN223,BN241,BN244)/(BN75+BM75+BL75+BJ75),"")</f>
        <v/>
      </c>
      <c r="BO340" s="219" t="str">
        <f>IFERROR(SUM(BO218,BO219,BO220,BO223,BO241,BO244)/(BO75+BN75+BM75+BL75),"")</f>
        <v/>
      </c>
      <c r="BQ340" s="219" t="str">
        <f>IFERROR(SUM(BQ218,BQ219,BQ220,BQ223,BQ241,BQ244)/(BQ75+BO75+BN75+BM75),"")</f>
        <v/>
      </c>
      <c r="BR340" s="219" t="str">
        <f>IFERROR(SUM(BR218,BR219,BR220,BR223,BR241,BR244)/(BR75+BQ75+BO75+BN75),"")</f>
        <v/>
      </c>
      <c r="BS340" s="219" t="str">
        <f>IFERROR(SUM(BS218,BS219,BS220,BS223,BS241,BS244)/(BS75+BR75+BQ75+BO75),"")</f>
        <v/>
      </c>
      <c r="BT340" s="219" t="str">
        <f>IFERROR(SUM(BT218,BT219,BT220,BT223,BT241,BT244)/(BT75+BS75+BR75+BQ75),"")</f>
        <v/>
      </c>
      <c r="BV340" s="219" t="str">
        <f>IFERROR(SUM(BV218,BV219,BV220,BV223,BV241,BV244)/(BV75+BT75+BS75+BR75),"")</f>
        <v/>
      </c>
      <c r="BW340" s="219" t="str">
        <f>IFERROR(SUM(BW218,BW219,BW220,BW223,BW241,BW244)/(BW75+BV75+BT75+BS75),"")</f>
        <v/>
      </c>
      <c r="BX340" s="219" t="str">
        <f>IFERROR(SUM(BX218,BX219,BX220,BX223,BX241,BX244)/(BX75+BW75+BV75+BT75),"")</f>
        <v/>
      </c>
      <c r="BY340" s="219" t="str">
        <f>IFERROR(SUM(BY218,BY219,BY220,BY223,BY241,BY244)/(BY75+BX75+BW75+BV75),"")</f>
        <v/>
      </c>
      <c r="CA340" s="219" t="str">
        <f>IFERROR(SUM(CA218,CA219,CA220,CA223,CA241,CA244)/(CA75+BY75+BX75+BW75),"")</f>
        <v/>
      </c>
      <c r="CB340" s="219" t="str">
        <f>IFERROR(SUM(CB218,CB219,CB220,CB223,CB241,CB244)/(CB75+CA75+BY75+BX75),"")</f>
        <v/>
      </c>
      <c r="CC340" s="219" t="str">
        <f>IFERROR(SUM(CC218,CC219,CC220,CC223,CC241,CC244)/(CC75+CB75+CA75+BY75),"")</f>
        <v/>
      </c>
      <c r="CD340" s="219" t="str">
        <f>IFERROR(SUM(CD218,CD219,CD220,CD223,CD241,CD244)/(CD75+CC75+CB75+CA75),"")</f>
        <v/>
      </c>
      <c r="CF340" s="219" t="str">
        <f>IFERROR(SUM(CF218,CF219,CF220,CF223,CF241,CF244)/(CF75+CD75+CC75+CB75),"")</f>
        <v/>
      </c>
      <c r="CG340" s="219" t="str">
        <f>IFERROR(SUM(CG218,CG219,CG220,CG223,CG241,CG244)/(CG75+CF75+CD75+CC75),"")</f>
        <v/>
      </c>
      <c r="CH340" s="219" t="str">
        <f>IFERROR(SUM(CH218,CH219,CH220,CH223,CH241,CH244)/(CH75+CG75+CF75+CD75),"")</f>
        <v/>
      </c>
      <c r="CI340" s="219" t="str">
        <f>IFERROR(SUM(CI218,CI219,CI220,CI223,CI241,CI244)/(CI75+CH75+CG75+CF75),"")</f>
        <v/>
      </c>
      <c r="CK340" s="219" t="str">
        <f>IFERROR(SUM(CK218,CK219,CK220,CK223,CK241,CK244)/(CK75+CI75+CH75+CG75),"")</f>
        <v/>
      </c>
      <c r="CL340" s="219" t="str">
        <f>IFERROR(SUM(CL218,CL219,CL220,CL223,CL241,CL244)/(CL75+CK75+CI75+CH75),"")</f>
        <v/>
      </c>
      <c r="CM340" s="219" t="str">
        <f>IFERROR(SUM(CM218,CM219,CM220,CM223,CM241,CM244)/(CM75+CL75+CK75+CI75),"")</f>
        <v/>
      </c>
      <c r="CN340" s="219" t="str">
        <f>IFERROR(SUM(CN218,CN219,CN220,CN223,CN241,CN244)/(CN75+CM75+CL75+CK75),"")</f>
        <v/>
      </c>
      <c r="CP340" s="219" t="str">
        <f>IFERROR(SUM(CP218,CP219,CP220,CP223,CP241,CP244)/(CP75+CN75+CM75+CL75),"")</f>
        <v/>
      </c>
      <c r="CQ340" s="219" t="str">
        <f>IFERROR(SUM(CQ218,CQ219,CQ220,CQ223,CQ241,CQ244)/(CQ75+CP75+CN75+CM75),"")</f>
        <v/>
      </c>
      <c r="CR340" s="219" t="str">
        <f>IFERROR(SUM(CR218,CR219,CR220,CR223,CR241,CR244)/(CR75+CQ75+CP75+CN75),"")</f>
        <v/>
      </c>
      <c r="CS340" s="219" t="str">
        <f>IFERROR(SUM(CS218,CS219,CS220,CS223,CS241,CS244)/(CS75+CR75+CQ75+CP75),"")</f>
        <v/>
      </c>
      <c r="CU340" s="219" t="str">
        <f>IFERROR(SUM(CU218,CU219,CU220,CU223,CU241,CU244)/(CU75+CS75+CR75+CQ75),"")</f>
        <v/>
      </c>
      <c r="CV340" s="219" t="str">
        <f>IFERROR(SUM(CV218,CV219,CV220,CV223,CV241,CV244)/(CV75+CU75+CS75+CR75),"")</f>
        <v/>
      </c>
      <c r="CW340" s="219" t="str">
        <f>IFERROR(SUM(CW218,CW219,CW220,CW223,CW241,CW244)/(CW75+CV75+CU75+CS75),"")</f>
        <v/>
      </c>
      <c r="CX340" s="219" t="str">
        <f>IFERROR(SUM(CX218,CX219,CX220,CX223,CX241,CX244)/(CX75+CW75+CV75+CU75),"")</f>
        <v/>
      </c>
    </row>
    <row r="341" customFormat="1" s="233">
      <c r="A341" s="224" t="n"/>
      <c r="B341" s="224" t="n"/>
      <c r="C341" s="233" t="inlineStr">
        <is>
          <t>TOTAL DEBT / TOTAL CAPITALIZATION</t>
        </is>
      </c>
      <c r="D341" s="221">
        <f>SUM(D218+D219+D220+D223+D241+D244)/(SUM(D218+D219+D220+D223+D241+D244)+D277)</f>
        <v>0.873816680886067</v>
      </c>
      <c r="E341" s="221">
        <f>SUM(E218+E219+E220+E223+E241+E244)/(SUM(E218+E219+E220+E223+E241+E244)+E277)</f>
        <v>0.881770086391028</v>
      </c>
      <c r="F341" s="221">
        <f>SUM(F218+F219+F220+F223+F241+F244)/(SUM(F218+F219+F220+F223+F241+F244)+F277)</f>
        <v>0.844112491578168</v>
      </c>
      <c r="G341" s="221">
        <f>SUM(G218+G219+G220+G223+G241+G244)/(SUM(G218+G219+G220+G223+G241+G244)+G277)</f>
        <v>0.847065278005668</v>
      </c>
      <c r="I341" s="221">
        <f>SUM(I218+I219+I220+I223+I241+I244)/(SUM(I218+I219+I220+I223+I241+I244)+I277)</f>
        <v>0.856557209012071</v>
      </c>
      <c r="J341" s="221">
        <f>SUM(J218+J219+J220+J223+J241+J244)/(SUM(J218+J219+J220+J223+J241+J244)+J277)</f>
        <v>0.839211287615784</v>
      </c>
      <c r="K341" s="221">
        <f>SUM(K218+K219+K220+K223+K241+K244)/(SUM(K218+K219+K220+K223+K241+K244)+K277)</f>
        <v>0.836509766684753</v>
      </c>
      <c r="L341" s="221">
        <f>SUM(L218+L219+L220+L223+L241+L244)/(SUM(L218+L219+L220+L223+L241+L244)+L277)</f>
        <v>0.85512428209625</v>
      </c>
      <c r="N341" s="221">
        <f>SUM(N218+N219+N220+N223+N241+N244)/(SUM(N218+N219+N220+N223+N241+N244)+N277)</f>
        <v>0.861967835203145</v>
      </c>
      <c r="O341" s="221">
        <f>SUM(O218+O219+O220+O223+O241+O244)/(SUM(O218+O219+O220+O223+O241+O244)+O277)</f>
        <v>0.88265082616656</v>
      </c>
      <c r="P341" s="221">
        <f>SUM(P218+P219+P220+P223+P241+P244)/(SUM(P218+P219+P220+P223+P241+P244)+P277)</f>
        <v>0.88043262643058</v>
      </c>
      <c r="Q341" s="221">
        <f>SUM(Q218+Q219+Q220+Q223+Q241+Q244)/(SUM(Q218+Q219+Q220+Q223+Q241+Q244)+Q277)</f>
        <v>0.877268972638895</v>
      </c>
      <c r="S341" s="221">
        <f>SUM(S218+S219+S220+S223+S241+S244)/(SUM(S218+S219+S220+S223+S241+S244)+S277)</f>
        <v>0.874506868638025</v>
      </c>
      <c r="T341" s="221">
        <f>SUM(T218+T219+T220+T223+T241+T244)/(SUM(T218+T219+T220+T223+T241+T244)+T277)</f>
        <v>0.869507702764973</v>
      </c>
      <c r="U341" s="221">
        <f>SUM(U218+U219+U220+U223+U241+U244)/(SUM(U218+U219+U220+U223+U241+U244)+U277)</f>
        <v>0.855740745157157</v>
      </c>
      <c r="V341" s="221">
        <f>SUM(V218+V219+V220+V223+V241+V244)/(SUM(V218+V219+V220+V223+V241+V244)+V277)</f>
        <v>0.87058246682015</v>
      </c>
      <c r="X341" s="221">
        <f>SUM(X218+X219+X220+X223+X241+X244)/(SUM(X218+X219+X220+X223+X241+X244)+X277)</f>
        <v>0.881096222803304</v>
      </c>
      <c r="Y341" s="221">
        <f>SUM(Y218+Y219+Y220+Y223+Y241+Y244)/(SUM(Y218+Y219+Y220+Y223+Y241+Y244)+Y277)</f>
        <v>0.885382748515122</v>
      </c>
      <c r="Z341" s="221">
        <f>SUM(Z218+Z219+Z220+Z223+Z241+Z244)/(SUM(Z218+Z219+Z220+Z223+Z241+Z244)+Z277)</f>
        <v>0.887920738657381</v>
      </c>
      <c r="AA341" s="221">
        <f>SUM(AA218+AA219+AA220+AA223+AA241+AA244)/(SUM(AA218+AA219+AA220+AA223+AA241+AA244)+AA277)</f>
        <v>0.910857465757067</v>
      </c>
      <c r="AC341" s="221">
        <f>SUM(AC218+AC219+AC220+AC223+AC241+AC244)/(SUM(AC218+AC219+AC220+AC223+AC241+AC244)+AC277)</f>
        <v>0.912848097823735</v>
      </c>
      <c r="AD341" s="221">
        <f>SUM(AD218+AD219+AD220+AD223+AD241+AD244)/(SUM(AD218+AD219+AD220+AD223+AD241+AD244)+AD277)</f>
        <v>0.904119507225916</v>
      </c>
      <c r="AE341" s="221">
        <f>SUM(AE218+AE219+AE220+AE223+AE241+AE244)/(SUM(AE218+AE219+AE220+AE223+AE241+AE244)+AE277)</f>
        <v>0.904613057958654</v>
      </c>
      <c r="AF341" s="221">
        <f>SUM(AF218+AF219+AF220+AF223+AF241+AF244)/(SUM(AF218+AF219+AF220+AF223+AF241+AF244)+AF277)</f>
        <v>0.887666062514089</v>
      </c>
      <c r="AH341" s="221">
        <f>SUM(AH218+AH219+AH220+AH223+AH241+AH244)/(SUM(AH218+AH219+AH220+AH223+AH241+AH244)+AH277)</f>
        <v>0.893351000345721</v>
      </c>
      <c r="AI341" s="221">
        <f>SUM(AI218+AI219+AI220+AI223+AI241+AI244)/(SUM(AI218+AI219+AI220+AI223+AI241+AI244)+AI277)</f>
        <v>0.855169714689684</v>
      </c>
      <c r="AJ341" s="221">
        <f>SUM(AJ218+AJ219+AJ220+AJ223+AJ241+AJ244)/(SUM(AJ218+AJ219+AJ220+AJ223+AJ241+AJ244)+AJ277)</f>
        <v>0.847793224439795</v>
      </c>
      <c r="AK341" s="221">
        <f>SUM(AK218+AK219+AK220+AK223+AK241+AK244)/(SUM(AK218+AK219+AK220+AK223+AK241+AK244)+AK277)</f>
        <v>0.839592246017042</v>
      </c>
      <c r="AM341" s="221">
        <f>SUM(AM218+AM219+AM220+AM223+AM241+AM244)/(SUM(AM218+AM219+AM220+AM223+AM241+AM244)+AM277)</f>
        <v>0.831548408955448</v>
      </c>
      <c r="AN341" s="221">
        <f>SUM(AN218+AN219+AN220+AN223+AN241+AN244)/(SUM(AN218+AN219+AN220+AN223+AN241+AN244)+AN277)</f>
        <v>0.802589180390492</v>
      </c>
      <c r="AO341" s="221">
        <f>SUM(AO218+AO219+AO220+AO223+AO241+AO244)/(SUM(AO218+AO219+AO220+AO223+AO241+AO244)+AO277)</f>
        <v>0.79523564062127</v>
      </c>
      <c r="AP341" s="221">
        <f>SUM(AP218+AP219+AP220+AP223+AP241+AP244)/(SUM(AP218+AP219+AP220+AP223+AP241+AP244)+AP277)</f>
        <v>0.768710080515471</v>
      </c>
      <c r="AR341" s="221">
        <f>SUM(AR218+AR219+AR220+AR223+AR241+AR244)/(SUM(AR218+AR219+AR220+AR223+AR241+AR244)+AR277)</f>
        <v>0.743896953019788</v>
      </c>
      <c r="AS341" s="221">
        <f>SUM(AS218+AS219+AS220+AS223+AS241+AS244)/(SUM(AS218+AS219+AS220+AS223+AS241+AS244)+AS277)</f>
        <v>0.687711361085195</v>
      </c>
      <c r="AT341" s="221">
        <f>SUM(AT218+AT219+AT220+AT223+AT241+AT244)/(SUM(AT218+AT219+AT220+AT223+AT241+AT244)+AT277)</f>
        <v>0.667784063764342</v>
      </c>
      <c r="AU341" s="221">
        <f>SUM(AU218+AU219+AU220+AU223+AU241+AU244)/(SUM(AU218+AU219+AU220+AU223+AU241+AU244)+AU277)</f>
        <v>0.622155090997008</v>
      </c>
      <c r="AW341" s="221">
        <f>SUM(AW218+AW219+AW220+AW223+AW241+AW244)/(SUM(AW218+AW219+AW220+AW223+AW241+AW244)+AW277)</f>
        <v>0.582362858096173</v>
      </c>
      <c r="AX341" s="221">
        <f>SUM(AX218+AX219+AX220+AX223+AX241+AX244)/(SUM(AX218+AX219+AX220+AX223+AX241+AX244)+AX277)</f>
        <v>0.494174135278185</v>
      </c>
      <c r="AY341" s="221">
        <f>SUM(AY218+AY219+AY220+AY223+AY241+AY244)/(SUM(AY218+AY219+AY220+AY223+AY241+AY244)+AY277)</f>
        <v>0.468734387099812</v>
      </c>
      <c r="AZ341" s="221">
        <f>SUM(AZ218+AZ219+AZ220+AZ223+AZ241+AZ244)/(SUM(AZ218+AZ219+AZ220+AZ223+AZ241+AZ244)+AZ277)</f>
        <v>0.409862924796677</v>
      </c>
      <c r="BB341" s="221">
        <f>SUM(BB218+BB219+BB220+BB223+BB241+BB244)/(SUM(BB218+BB219+BB220+BB223+BB241+BB244)+BB277)</f>
        <v>0.364129486181609</v>
      </c>
      <c r="BC341" s="221">
        <f>SUM(BC218+BC219+BC220+BC223+BC241+BC244)/(SUM(BC218+BC219+BC220+BC223+BC241+BC244)+BC277)</f>
        <v>0.279423298255789</v>
      </c>
      <c r="BD341" s="221">
        <f>SUM(BD218+BD219+BD220+BD223+BD241+BD244)/(SUM(BD218+BD219+BD220+BD223+BD241+BD244)+BD277)</f>
        <v>0.257384665089606</v>
      </c>
      <c r="BE341" s="221">
        <f>SUM(BE218+BE219+BE220+BE223+BE241+BE244)/(SUM(BE218+BE219+BE220+BE223+BE241+BE244)+BE277)</f>
        <v>0.211965036988877</v>
      </c>
      <c r="BG341" s="221">
        <f>SUM(BG218+BG219+BG220+BG223+BG241+BG244)/(SUM(BG218+BG219+BG220+BG223+BG241+BG244)+BG277)</f>
        <v>0.180170992561837</v>
      </c>
      <c r="BH341" s="221">
        <f>SUM(BH218+BH219+BH220+BH223+BH241+BH244)/(SUM(BH218+BH219+BH220+BH223+BH241+BH244)+BH277)</f>
        <v>0.127743252839478</v>
      </c>
      <c r="BI341" s="221">
        <f>SUM(BI218+BI219+BI220+BI223+BI241+BI244)/(SUM(BI218+BI219+BI220+BI223+BI241+BI244)+BI277)</f>
        <v>0.115463762276261</v>
      </c>
      <c r="BJ341" s="221">
        <f>SUM(BJ218+BJ219+BJ220+BJ223+BJ241+BJ244)/(SUM(BJ218+BJ219+BJ220+BJ223+BJ241+BJ244)+BJ277)</f>
        <v>0.0914190010519016</v>
      </c>
      <c r="BL341" s="221">
        <f>SUM(BL218+BL219+BL220+BL223+BL241+BL244)/(SUM(BL218+BL219+BL220+BL223+BL241+BL244)+BL277)</f>
        <v>0.075662630068213</v>
      </c>
      <c r="BM341" s="221">
        <f>SUM(BM218+BM219+BM220+BM223+BM241+BM244)/(SUM(BM218+BM219+BM220+BM223+BM241+BM244)+BM277)</f>
        <v>0.0514470778740594</v>
      </c>
      <c r="BN341" s="221">
        <f>SUM(BN218+BN219+BN220+BN223+BN241+BN244)/(SUM(BN218+BN219+BN220+BN223+BN241+BN244)+BN277)</f>
        <v>0.0460503341944594</v>
      </c>
      <c r="BO341" s="221">
        <f>SUM(BO218+BO219+BO220+BO223+BO241+BO244)/(SUM(BO218+BO219+BO220+BO223+BO241+BO244)+BO277)</f>
        <v>0.035795778847419</v>
      </c>
      <c r="BQ341" s="221">
        <f>SUM(BQ218+BQ219+BQ220+BQ223+BQ241+BQ244)/(SUM(BQ218+BQ219+BQ220+BQ223+BQ241+BQ244)+BQ277)</f>
        <v>0.0292764552439028</v>
      </c>
      <c r="BR341" s="221">
        <f>SUM(BR218+BR219+BR220+BR223+BR241+BR244)/(SUM(BR218+BR219+BR220+BR223+BR241+BR244)+BR277)</f>
        <v>0.0195485265863739</v>
      </c>
      <c r="BS341" s="221">
        <f>SUM(BS218+BS219+BS220+BS223+BS241+BS244)/(SUM(BS218+BS219+BS220+BS223+BS241+BS244)+BS277)</f>
        <v>0.0174290006024757</v>
      </c>
      <c r="BT341" s="221">
        <f>SUM(BT218+BT219+BT220+BT223+BT241+BT244)/(SUM(BT218+BT219+BT220+BT223+BT241+BT244)+BT277)</f>
        <v>0.0134456952174894</v>
      </c>
      <c r="BV341" s="221">
        <f>SUM(BV218+BV219+BV220+BV223+BV241+BV244)/(SUM(BV218+BV219+BV220+BV223+BV241+BV244)+BV277)</f>
        <v>0.0109444087985455</v>
      </c>
      <c r="BW341" s="221">
        <f>SUM(BW218+BW219+BW220+BW223+BW241+BW244)/(SUM(BW218+BW219+BW220+BW223+BW241+BW244)+BW277)</f>
        <v>0.00725648081560266</v>
      </c>
      <c r="BX341" s="221">
        <f>SUM(BX218+BX219+BX220+BX223+BX241+BX244)/(SUM(BX218+BX219+BX220+BX223+BX241+BX244)+BX277)</f>
        <v>0.00645972059854626</v>
      </c>
      <c r="BY341" s="221">
        <f>SUM(BY218+BY219+BY220+BY223+BY241+BY244)/(SUM(BY218+BY219+BY220+BY223+BY241+BY244)+BY277)</f>
        <v>0.0049691305582517</v>
      </c>
      <c r="CA341" s="221">
        <f>SUM(CA218+CA219+CA220+CA223+CA241+CA244)/(SUM(CA218+CA219+CA220+CA223+CA241+CA244)+CA277)</f>
        <v>0.0040374768335699</v>
      </c>
      <c r="CB341" s="221">
        <f>SUM(CB218+CB219+CB220+CB223+CB241+CB244)/(SUM(CB218+CB219+CB220+CB223+CB241+CB244)+CB277)</f>
        <v>0.00266988019158264</v>
      </c>
      <c r="CC341" s="221">
        <f>SUM(CC218+CC219+CC220+CC223+CC241+CC244)/(SUM(CC218+CC219+CC220+CC223+CC241+CC244)+CC277)</f>
        <v>0.00237537797239718</v>
      </c>
      <c r="CD341" s="221">
        <f>SUM(CD218+CD219+CD220+CD223+CD241+CD244)/(SUM(CD218+CD219+CD220+CD223+CD241+CD244)+CD277)</f>
        <v>0.00182530103800371</v>
      </c>
      <c r="CF341" s="221">
        <f>SUM(CF218+CF219+CF220+CF223+CF241+CF244)/(SUM(CF218+CF219+CF220+CF223+CF241+CF244)+CF277)</f>
        <v>0.00148208740753562</v>
      </c>
      <c r="CG341" s="221">
        <f>SUM(CG218+CG219+CG220+CG223+CG241+CG244)/(SUM(CG218+CG219+CG220+CG223+CG241+CG244)+CG277)</f>
        <v>0.000979109307737751</v>
      </c>
      <c r="CH341" s="221">
        <f>SUM(CH218+CH219+CH220+CH223+CH241+CH244)/(SUM(CH218+CH219+CH220+CH223+CH241+CH244)+CH277)</f>
        <v>0.000870924141373185</v>
      </c>
      <c r="CI341" s="221">
        <f>SUM(CI218+CI219+CI220+CI223+CI241+CI244)/(SUM(CI218+CI219+CI220+CI223+CI241+CI244)+CI277)</f>
        <v>0.000668977755418131</v>
      </c>
      <c r="CK341" s="221">
        <f>SUM(CK218+CK219+CK220+CK223+CK241+CK244)/(SUM(CK218+CK219+CK220+CK223+CK241+CK244)+CK277)</f>
        <v>0.000543056093344471</v>
      </c>
      <c r="CL341" s="221">
        <f>SUM(CL218+CL219+CL220+CL223+CL241+CL244)/(SUM(CL218+CL219+CL220+CL223+CL241+CL244)+CL277)</f>
        <v>0.000358629429886115</v>
      </c>
      <c r="CM341" s="221">
        <f>SUM(CM218+CM219+CM220+CM223+CM241+CM244)/(SUM(CM218+CM219+CM220+CM223+CM241+CM244)+CM277)</f>
        <v>0.000318978659175456</v>
      </c>
      <c r="CN341" s="221">
        <f>SUM(CN218+CN219+CN220+CN223+CN241+CN244)/(SUM(CN218+CN219+CN220+CN223+CN241+CN244)+CN277)</f>
        <v>0.000244979803661852</v>
      </c>
      <c r="CP341" s="221">
        <f>SUM(CP218+CP219+CP220+CP223+CP241+CP244)/(SUM(CP218+CP219+CP220+CP223+CP241+CP244)+CP277)</f>
        <v>0.000198849365106688</v>
      </c>
      <c r="CQ341" s="221">
        <f>SUM(CQ218+CQ219+CQ220+CQ223+CQ241+CQ244)/(SUM(CQ218+CQ219+CQ220+CQ223+CQ241+CQ244)+CQ277)</f>
        <v>0.000131301082197218</v>
      </c>
      <c r="CR341" s="221">
        <f>SUM(CR218+CR219+CR220+CR223+CR241+CR244)/(SUM(CR218+CR219+CR220+CR223+CR241+CR244)+CR277)</f>
        <v>0.000116780865799115</v>
      </c>
      <c r="CS341" s="221">
        <f>SUM(CS218+CS219+CS220+CS223+CS241+CS244)/(SUM(CS218+CS219+CS220+CS223+CS241+CS244)+CS277)</f>
        <v>8.96845079199482e-05</v>
      </c>
      <c r="CU341" s="221">
        <f>SUM(CU218+CU219+CU220+CU223+CU241+CU244)/(SUM(CU218+CU219+CU220+CU223+CU241+CU244)+CU277)</f>
        <v>7.27942492626795e-05</v>
      </c>
      <c r="CV341" s="221">
        <f>SUM(CV218+CV219+CV220+CV223+CV241+CV244)/(SUM(CV218+CV219+CV220+CV223+CV241+CV244)+CV277)</f>
        <v>4.80640347039198e-05</v>
      </c>
      <c r="CW341" s="221">
        <f>SUM(CW218+CW219+CW220+CW223+CW241+CW244)/(SUM(CW218+CW219+CW220+CW223+CW241+CW244)+CW277)</f>
        <v>4.27483264069938e-05</v>
      </c>
      <c r="CX341" s="221">
        <f>SUM(CX218+CX219+CX220+CX223+CX241+CX244)/(SUM(CX218+CX219+CX220+CX223+CX241+CX244)+CX277)</f>
        <v>3.28289091836082e-05</v>
      </c>
    </row>
    <row r="342" customFormat="1" s="233">
      <c r="A342" s="224" t="n"/>
      <c r="B342" s="224" t="n"/>
      <c r="C342" s="233" t="inlineStr">
        <is>
          <t>NET DEBT / EBITDA LTM (com arrendamentos)</t>
        </is>
      </c>
      <c r="D342" s="219" t="str">
        <f>""</f>
        <v/>
      </c>
      <c r="E342" s="219" t="str">
        <f>""</f>
        <v/>
      </c>
      <c r="F342" s="219" t="str">
        <f>""</f>
        <v/>
      </c>
      <c r="G342" s="219">
        <f>IFERROR((SUM(G218,G219,G220,G223,G241,G244)-G150)/(G75+F75+E75+D75),"")</f>
        <v>4.04299607235205</v>
      </c>
      <c r="I342" s="219">
        <f>IFERROR((SUM(I218,I219,I220,I223,I241,I244)-I150)/(I75+G75+F75+E75),"")</f>
        <v>4.08750899447881</v>
      </c>
      <c r="J342" s="219">
        <f>IFERROR((SUM(J218,J219,J220,J223,J241,J244)-J150)/(J75+I75+G75+F75),"")</f>
        <v>3.68881687052136</v>
      </c>
      <c r="K342" s="219">
        <f>IFERROR((SUM(K218,K219,K220,K223,K241,K244)-K150)/(K75+J75+I75+G75),"")</f>
        <v>3.51666862015828</v>
      </c>
      <c r="L342" s="219">
        <f>IFERROR((SUM(L218,L219,L220,L223,L241,L244)-L150)/(L75+K75+J75+I75),"")</f>
        <v>3.75113887123417</v>
      </c>
      <c r="N342" s="219">
        <f>IFERROR((SUM(N218,N219,N220,N223,N241,N244)-N150)/(N75+L75+K75+J75),"")</f>
        <v>3.63533009550986</v>
      </c>
      <c r="O342" s="219">
        <f>IFERROR((SUM(O218,O219,O220,O223,O241,O244)-O150)/(O75+N75+L75+K75),"")</f>
        <v>3.86121220427221</v>
      </c>
      <c r="P342" s="219">
        <f>IFERROR((SUM(P218,P219,P220,P223,P241,P244)-P150)/(P75+O75+N75+L75),"")</f>
        <v>3.92457967799428</v>
      </c>
      <c r="Q342" s="219">
        <f>IFERROR((SUM(Q218,Q219,Q220,Q223,Q241,Q244)-Q150)/(Q75+P75+O75+N75),"")</f>
        <v>3.85480131108279</v>
      </c>
      <c r="S342" s="219">
        <f>IFERROR((SUM(S218,S219,S220,S223,S241,S244)-S150)/(S75+Q75+P75+O75),"")</f>
        <v>3.99095452632416</v>
      </c>
      <c r="T342" s="219">
        <f>IFERROR((SUM(T218,T219,T220,T223,T241,T244)-T150)/(T75+S75+Q75+P75),"")</f>
        <v>4.09299210651547</v>
      </c>
      <c r="U342" s="219">
        <f>IFERROR((SUM(U218,U219,U220,U223,U241,U244)-U150)/(U75+T75+S75+Q75),"")</f>
        <v>4.06068567638011</v>
      </c>
      <c r="V342" s="219">
        <f>IFERROR((SUM(V218,V219,V220,V223,V241,V244)-V150)/(V75+U75+T75+S75),"")</f>
        <v>4.30361266323866</v>
      </c>
      <c r="X342" s="219">
        <f>IFERROR((SUM(X218,X219,X220,X223,X241,X244)-X150)/(X75+V75+U75+T75),"")</f>
        <v>4.27758017923452</v>
      </c>
      <c r="Y342" s="219">
        <f>IFERROR((SUM(Y218,Y219,Y220,Y223,Y241,Y244)-Y150)/(Y75+X75+V75+U75),"")</f>
        <v>4.49504696506314</v>
      </c>
      <c r="Z342" s="219">
        <f>IFERROR((SUM(Z218,Z219,Z220,Z223,Z241,Z244)-Z150)/(Z75+Y75+X75+V75),"")</f>
        <v>4.3606463372073</v>
      </c>
      <c r="AA342" s="219">
        <f>IFERROR((SUM(AA218,AA219,AA220,AA223,AA241,AA244)-AA150)/(AA75+Z75+Y75+X75),"")</f>
        <v>4.23449368333361</v>
      </c>
      <c r="AC342" s="219">
        <f>IFERROR((SUM(AC218,AC219,AC220,AC223,AC241,AC244)-AC150)/(AC75+AA75+Z75+Y75),"")</f>
        <v>4.08380061295403</v>
      </c>
      <c r="AD342" s="219">
        <f>IFERROR((SUM(AD218,AD219,AD220,AD223,AD241,AD244)-AD150)/(AD75+AC75+AA75+Z75),"")</f>
        <v>3.98471083845221</v>
      </c>
      <c r="AE342" s="219">
        <f>IFERROR((SUM(AE218,AE219,AE220,AE223,AE241,AE244)-AE150)/(AE75+AD75+AC75+AA75),"")</f>
        <v>3.78824017247043</v>
      </c>
      <c r="AF342" s="219">
        <f>IFERROR((SUM(AF218,AF219,AF220,AF223,AF241,AF244)-AF150)/(AF75+AE75+AD75+AC75),"")</f>
        <v>3.18648616811715</v>
      </c>
      <c r="AH342" s="219">
        <f>IFERROR((SUM(AH218,AH219,AH220,AH223,AH241,AH244)-AH150)/(AH75+AF75+AE75+AD75),"")</f>
        <v>3.15865652966745</v>
      </c>
      <c r="AI342" s="219">
        <f>IFERROR((SUM(AI218,AI219,AI220,AI223,AI241,AI244)-AI150)/(AI75+AH75+AF75+AE75),"")</f>
        <v>2.98981308655601</v>
      </c>
      <c r="AJ342" s="219">
        <f>IFERROR((SUM(AJ218,AJ219,AJ220,AJ223,AJ241,AJ244)-AJ150)/(AJ75+AI75+AH75+AF75),"")</f>
        <v>3.37639303736725</v>
      </c>
      <c r="AK342" s="219">
        <f>IFERROR((SUM(AK218,AK219,AK220,AK223,AK241,AK244)-AK150)/(AK75+AJ75+AI75+AH75),"")</f>
        <v>5.42854580720948</v>
      </c>
      <c r="AM342" s="219" t="str">
        <f>IFERROR((SUM(AM218,AM219,AM220,AM223,AM241,AM244)-AM150)/(AM75+AK75+AJ75+AI75),"")</f>
        <v/>
      </c>
      <c r="AN342" s="219" t="str">
        <f>IFERROR((SUM(AN218,AN219,AN220,AN223,AN241,AN244)-AN150)/(AN75+AM75+AK75+AJ75),"")</f>
        <v/>
      </c>
      <c r="AO342" s="219" t="str">
        <f>IFERROR((SUM(AO218,AO219,AO220,AO223,AO241,AO244)-AO150)/(AO75+AN75+AM75+AK75),"")</f>
        <v/>
      </c>
      <c r="AP342" s="219" t="str">
        <f>IFERROR((SUM(AP218,AP219,AP220,AP223,AP241,AP244)-AP150)/(AP75+AO75+AN75+AM75),"")</f>
        <v/>
      </c>
      <c r="AR342" s="219" t="str">
        <f>IFERROR((SUM(AR218,AR219,AR220,AR223,AR241,AR244)-AR150)/(AR75+AP75+AO75+AN75),"")</f>
        <v/>
      </c>
      <c r="AS342" s="219" t="str">
        <f>IFERROR((SUM(AS218,AS219,AS220,AS223,AS241,AS244)-AS150)/(AS75+AR75+AP75+AO75),"")</f>
        <v/>
      </c>
      <c r="AT342" s="219" t="str">
        <f>IFERROR((SUM(AT218,AT219,AT220,AT223,AT241,AT244)-AT150)/(AT75+AS75+AR75+AP75),"")</f>
        <v/>
      </c>
      <c r="AU342" s="219" t="str">
        <f>IFERROR((SUM(AU218,AU219,AU220,AU223,AU241,AU244)-AU150)/(AU75+AT75+AS75+AR75),"")</f>
        <v/>
      </c>
      <c r="AW342" s="219" t="str">
        <f>IFERROR((SUM(AW218,AW219,AW220,AW223,AW241,AW244)-AW150)/(AW75+AU75+AT75+AS75),"")</f>
        <v/>
      </c>
      <c r="AX342" s="219" t="str">
        <f>IFERROR((SUM(AX218,AX219,AX220,AX223,AX241,AX244)-AX150)/(AX75+AW75+AU75+AT75),"")</f>
        <v/>
      </c>
      <c r="AY342" s="219" t="str">
        <f>IFERROR((SUM(AY218,AY219,AY220,AY223,AY241,AY244)-AY150)/(AY75+AX75+AW75+AU75),"")</f>
        <v/>
      </c>
      <c r="AZ342" s="219" t="str">
        <f>IFERROR((SUM(AZ218,AZ219,AZ220,AZ223,AZ241,AZ244)-AZ150)/(AZ75+AY75+AX75+AW75),"")</f>
        <v/>
      </c>
      <c r="BB342" s="219" t="str">
        <f>IFERROR((SUM(BB218,BB219,BB220,BB223,BB241,BB244)-BB150)/(BB75+AZ75+AY75+AX75),"")</f>
        <v/>
      </c>
      <c r="BC342" s="219" t="str">
        <f>IFERROR((SUM(BC218,BC219,BC220,BC223,BC241,BC244)-BC150)/(BC75+BB75+AZ75+AY75),"")</f>
        <v/>
      </c>
      <c r="BD342" s="219" t="str">
        <f>IFERROR((SUM(BD218,BD219,BD220,BD223,BD241,BD244)-BD150)/(BD75+BC75+BB75+AZ75),"")</f>
        <v/>
      </c>
      <c r="BE342" s="219" t="str">
        <f>IFERROR((SUM(BE218,BE219,BE220,BE223,BE241,BE244)-BE150)/(BE75+BD75+BC75+BB75),"")</f>
        <v/>
      </c>
      <c r="BG342" s="219" t="str">
        <f>IFERROR((SUM(BG218,BG219,BG220,BG223,BG241,BG244)-BG150)/(BG75+BE75+BD75+BC75),"")</f>
        <v/>
      </c>
      <c r="BH342" s="219" t="str">
        <f>IFERROR((SUM(BH218,BH219,BH220,BH223,BH241,BH244)-BH150)/(BH75+BG75+BE75+BD75),"")</f>
        <v/>
      </c>
      <c r="BI342" s="219" t="str">
        <f>IFERROR((SUM(BI218,BI219,BI220,BI223,BI241,BI244)-BI150)/(BI75+BH75+BG75+BE75),"")</f>
        <v/>
      </c>
      <c r="BJ342" s="219" t="str">
        <f>IFERROR((SUM(BJ218,BJ219,BJ220,BJ223,BJ241,BJ244)-BJ150)/(BJ75+BI75+BH75+BG75),"")</f>
        <v/>
      </c>
      <c r="BL342" s="219" t="str">
        <f>IFERROR((SUM(BL218,BL219,BL220,BL223,BL241,BL244)-BL150)/(BL75+BJ75+BI75+BH75),"")</f>
        <v/>
      </c>
      <c r="BM342" s="219" t="str">
        <f>IFERROR((SUM(BM218,BM219,BM220,BM223,BM241,BM244)-BM150)/(BM75+BL75+BJ75+BI75),"")</f>
        <v/>
      </c>
      <c r="BN342" s="219" t="str">
        <f>IFERROR((SUM(BN218,BN219,BN220,BN223,BN241,BN244)-BN150)/(BN75+BM75+BL75+BJ75),"")</f>
        <v/>
      </c>
      <c r="BO342" s="219" t="str">
        <f>IFERROR((SUM(BO218,BO219,BO220,BO223,BO241,BO244)-BO150)/(BO75+BN75+BM75+BL75),"")</f>
        <v/>
      </c>
      <c r="BQ342" s="219" t="str">
        <f>IFERROR((SUM(BQ218,BQ219,BQ220,BQ223,BQ241,BQ244)-BQ150)/(BQ75+BO75+BN75+BM75),"")</f>
        <v/>
      </c>
      <c r="BR342" s="219" t="str">
        <f>IFERROR((SUM(BR218,BR219,BR220,BR223,BR241,BR244)-BR150)/(BR75+BQ75+BO75+BN75),"")</f>
        <v/>
      </c>
      <c r="BS342" s="219" t="str">
        <f>IFERROR((SUM(BS218,BS219,BS220,BS223,BS241,BS244)-BS150)/(BS75+BR75+BQ75+BO75),"")</f>
        <v/>
      </c>
      <c r="BT342" s="219" t="str">
        <f>IFERROR((SUM(BT218,BT219,BT220,BT223,BT241,BT244)-BT150)/(BT75+BS75+BR75+BQ75),"")</f>
        <v/>
      </c>
      <c r="BV342" s="219" t="str">
        <f>IFERROR((SUM(BV218,BV219,BV220,BV223,BV241,BV244)-BV150)/(BV75+BT75+BS75+BR75),"")</f>
        <v/>
      </c>
      <c r="BW342" s="219" t="str">
        <f>IFERROR((SUM(BW218,BW219,BW220,BW223,BW241,BW244)-BW150)/(BW75+BV75+BT75+BS75),"")</f>
        <v/>
      </c>
      <c r="BX342" s="219" t="str">
        <f>IFERROR((SUM(BX218,BX219,BX220,BX223,BX241,BX244)-BX150)/(BX75+BW75+BV75+BT75),"")</f>
        <v/>
      </c>
      <c r="BY342" s="219" t="str">
        <f>IFERROR((SUM(BY218,BY219,BY220,BY223,BY241,BY244)-BY150)/(BY75+BX75+BW75+BV75),"")</f>
        <v/>
      </c>
      <c r="CA342" s="219" t="str">
        <f>IFERROR((SUM(CA218,CA219,CA220,CA223,CA241,CA244)-CA150)/(CA75+BY75+BX75+BW75),"")</f>
        <v/>
      </c>
      <c r="CB342" s="219" t="str">
        <f>IFERROR((SUM(CB218,CB219,CB220,CB223,CB241,CB244)-CB150)/(CB75+CA75+BY75+BX75),"")</f>
        <v/>
      </c>
      <c r="CC342" s="219" t="str">
        <f>IFERROR((SUM(CC218,CC219,CC220,CC223,CC241,CC244)-CC150)/(CC75+CB75+CA75+BY75),"")</f>
        <v/>
      </c>
      <c r="CD342" s="219" t="str">
        <f>IFERROR((SUM(CD218,CD219,CD220,CD223,CD241,CD244)-CD150)/(CD75+CC75+CB75+CA75),"")</f>
        <v/>
      </c>
      <c r="CF342" s="219" t="str">
        <f>IFERROR((SUM(CF218,CF219,CF220,CF223,CF241,CF244)-CF150)/(CF75+CD75+CC75+CB75),"")</f>
        <v/>
      </c>
      <c r="CG342" s="219" t="str">
        <f>IFERROR((SUM(CG218,CG219,CG220,CG223,CG241,CG244)-CG150)/(CG75+CF75+CD75+CC75),"")</f>
        <v/>
      </c>
      <c r="CH342" s="219" t="str">
        <f>IFERROR((SUM(CH218,CH219,CH220,CH223,CH241,CH244)-CH150)/(CH75+CG75+CF75+CD75),"")</f>
        <v/>
      </c>
      <c r="CI342" s="219" t="str">
        <f>IFERROR((SUM(CI218,CI219,CI220,CI223,CI241,CI244)-CI150)/(CI75+CH75+CG75+CF75),"")</f>
        <v/>
      </c>
      <c r="CK342" s="219" t="str">
        <f>IFERROR((SUM(CK218,CK219,CK220,CK223,CK241,CK244)-CK150)/(CK75+CI75+CH75+CG75),"")</f>
        <v/>
      </c>
      <c r="CL342" s="219" t="str">
        <f>IFERROR((SUM(CL218,CL219,CL220,CL223,CL241,CL244)-CL150)/(CL75+CK75+CI75+CH75),"")</f>
        <v/>
      </c>
      <c r="CM342" s="219" t="str">
        <f>IFERROR((SUM(CM218,CM219,CM220,CM223,CM241,CM244)-CM150)/(CM75+CL75+CK75+CI75),"")</f>
        <v/>
      </c>
      <c r="CN342" s="219" t="str">
        <f>IFERROR((SUM(CN218,CN219,CN220,CN223,CN241,CN244)-CN150)/(CN75+CM75+CL75+CK75),"")</f>
        <v/>
      </c>
      <c r="CP342" s="219" t="str">
        <f>IFERROR((SUM(CP218,CP219,CP220,CP223,CP241,CP244)-CP150)/(CP75+CN75+CM75+CL75),"")</f>
        <v/>
      </c>
      <c r="CQ342" s="219" t="str">
        <f>IFERROR((SUM(CQ218,CQ219,CQ220,CQ223,CQ241,CQ244)-CQ150)/(CQ75+CP75+CN75+CM75),"")</f>
        <v/>
      </c>
      <c r="CR342" s="219" t="str">
        <f>IFERROR((SUM(CR218,CR219,CR220,CR223,CR241,CR244)-CR150)/(CR75+CQ75+CP75+CN75),"")</f>
        <v/>
      </c>
      <c r="CS342" s="219" t="str">
        <f>IFERROR((SUM(CS218,CS219,CS220,CS223,CS241,CS244)-CS150)/(CS75+CR75+CQ75+CP75),"")</f>
        <v/>
      </c>
      <c r="CU342" s="219" t="str">
        <f>IFERROR((SUM(CU218,CU219,CU220,CU223,CU241,CU244)-CU150)/(CU75+CS75+CR75+CQ75),"")</f>
        <v/>
      </c>
      <c r="CV342" s="219" t="str">
        <f>IFERROR((SUM(CV218,CV219,CV220,CV223,CV241,CV244)-CV150)/(CV75+CU75+CS75+CR75),"")</f>
        <v/>
      </c>
      <c r="CW342" s="219" t="str">
        <f>IFERROR((SUM(CW218,CW219,CW220,CW223,CW241,CW244)-CW150)/(CW75+CV75+CU75+CS75),"")</f>
        <v/>
      </c>
      <c r="CX342" s="219" t="str">
        <f>IFERROR((SUM(CX218,CX219,CX220,CX223,CX241,CX244)-CX150)/(CX75+CW75+CV75+CU75),"")</f>
        <v/>
      </c>
    </row>
    <row r="343" customFormat="1" s="233">
      <c r="A343" s="224" t="n"/>
      <c r="B343" s="224" t="n"/>
      <c r="C343" s="237" t="inlineStr">
        <is>
          <t>NET DEBT (EX IFRS 16) / EBITDA LTM</t>
        </is>
      </c>
      <c r="D343" s="219" t="str">
        <f>""</f>
        <v/>
      </c>
      <c r="E343" s="219" t="str">
        <f>""</f>
        <v/>
      </c>
      <c r="F343" s="219" t="str">
        <f>""</f>
        <v/>
      </c>
      <c r="G343" s="219">
        <f>IFERROR((SUM(G218,G219,G223,G244)-G150)/(G75+F75+E75+D75),"")</f>
        <v>3.83064755868091</v>
      </c>
      <c r="I343" s="219">
        <f>IFERROR((SUM(I218,I219,I223,I244)-I150)/(I75+G75+F75+E75),"")</f>
        <v>3.83811809695698</v>
      </c>
      <c r="J343" s="219">
        <f>IFERROR((SUM(J218,J219,J223,J244)-J150)/(J75+I75+G75+F75),"")</f>
        <v>3.45220885480126</v>
      </c>
      <c r="K343" s="219">
        <f>IFERROR((SUM(K218,K219,K223,K244)-K150)/(K75+J75+I75+G75),"")</f>
        <v>3.30807641433153</v>
      </c>
      <c r="L343" s="219">
        <f>IFERROR((SUM(L218,L219,L223,L244)-L150)/(L75+K75+J75+I75),"")</f>
        <v>3.54640178730934</v>
      </c>
      <c r="N343" s="219">
        <f>IFERROR((SUM(N218,N219,N223,N244)-N150)/(N75+L75+K75+J75),"")</f>
        <v>3.4531411420582</v>
      </c>
      <c r="O343" s="219">
        <f>IFERROR((SUM(O218,O219,O223,O244)-O150)/(O75+N75+L75+K75),"")</f>
        <v>3.69101700883777</v>
      </c>
      <c r="P343" s="219">
        <f>IFERROR((SUM(P218,P219,P223,P244)-P150)/(P75+O75+N75+L75),"")</f>
        <v>3.7369010948552</v>
      </c>
      <c r="Q343" s="219">
        <f>IFERROR((SUM(Q218,Q219,Q223,Q244)-Q150)/(Q75+P75+O75+N75),"")</f>
        <v>3.61333861857097</v>
      </c>
      <c r="S343" s="219">
        <f>IFERROR((SUM(S218,S219,S223,S244)-S150)/(S75+Q75+P75+O75),"")</f>
        <v>3.75609518807853</v>
      </c>
      <c r="T343" s="219">
        <f>IFERROR((SUM(T218,T219,T223,T244)-T150)/(T75+S75+Q75+P75),"")</f>
        <v>3.87858454012857</v>
      </c>
      <c r="U343" s="219">
        <f>IFERROR((SUM(U218,U219,U223,U244)-U150)/(U75+T75+S75+Q75),"")</f>
        <v>3.84375574672347</v>
      </c>
      <c r="V343" s="219">
        <f>IFERROR((SUM(V218,V219,V223,V244)-V150)/(V75+U75+T75+S75),"")</f>
        <v>4.06961741113672</v>
      </c>
      <c r="X343" s="219">
        <f>IFERROR((SUM(X218,X219,X223,X244)-X150)/(X75+V75+U75+T75),"")</f>
        <v>4.04999661708772</v>
      </c>
      <c r="Y343" s="219">
        <f>IFERROR((SUM(Y218,Y219,Y223,Y244)-Y150)/(Y75+X75+V75+U75),"")</f>
        <v>4.26164214142617</v>
      </c>
      <c r="Z343" s="219">
        <f>IFERROR((SUM(Z218,Z219,Z223,Z244)-Z150)/(Z75+Y75+X75+V75),"")</f>
        <v>4.13627407964744</v>
      </c>
      <c r="AA343" s="219">
        <f>IFERROR((SUM(AA218,AA219,AA223,AA244)-AA150)/(AA75+Z75+Y75+X75),"")</f>
        <v>4.02910078584812</v>
      </c>
      <c r="AC343" s="219">
        <f>IFERROR((SUM(AC218,AC219,AC223,AC244)-AC150)/(AC75+AA75+Z75+Y75),"")</f>
        <v>3.92146379590376</v>
      </c>
      <c r="AD343" s="219">
        <f>IFERROR((SUM(AD218,AD219,AD223,AD244)-AD150)/(AD75+AC75+AA75+Z75),"")</f>
        <v>3.81952603209732</v>
      </c>
      <c r="AE343" s="219">
        <f>IFERROR((SUM(AE218,AE219,AE223,AE244)-AE150)/(AE75+AD75+AC75+AA75),"")</f>
        <v>3.62952965181433</v>
      </c>
      <c r="AF343" s="219">
        <f>IFERROR((SUM(AF218,AF219,AF223,AF244)-AF150)/(AF75+AE75+AD75+AC75),"")</f>
        <v>3.04814444721158</v>
      </c>
      <c r="AH343" s="219">
        <f>IFERROR((SUM(AH218,AH219,AH223,AH244)-AH150)/(AH75+AF75+AE75+AD75),"")</f>
        <v>3.02357641398222</v>
      </c>
      <c r="AI343" s="219">
        <f>IFERROR((SUM(AI218,AI219,AI223,AI244)-AI150)/(AI75+AH75+AF75+AE75),"")</f>
        <v>2.84954183320061</v>
      </c>
      <c r="AJ343" s="219">
        <f>IFERROR((SUM(AJ218,AJ219,AJ223,AJ244)-AJ150)/(AJ75+AI75+AH75+AF75),"")</f>
        <v>3.19702846059368</v>
      </c>
      <c r="AK343" s="219">
        <f>IFERROR((SUM(AK218,AK219,AK223,AK244)-AK150)/(AK75+AJ75+AI75+AH75),"")</f>
        <v>5.13458461834006</v>
      </c>
      <c r="AM343" s="219" t="str">
        <f>IFERROR((SUM(AM218,AM219,AM223,AM244)-AM150)/(AM75+AK75+AJ75+AI75),"")</f>
        <v/>
      </c>
      <c r="AN343" s="219" t="str">
        <f>IFERROR((SUM(AN218,AN219,AN223,AN244)-AN150)/(AN75+AM75+AK75+AJ75),"")</f>
        <v/>
      </c>
      <c r="AO343" s="219" t="str">
        <f>IFERROR((SUM(AO218,AO219,AO223,AO244)-AO150)/(AO75+AN75+AM75+AK75),"")</f>
        <v/>
      </c>
      <c r="AP343" s="219" t="str">
        <f>IFERROR((SUM(AP218,AP219,AP223,AP244)-AP150)/(AP75+AO75+AN75+AM75),"")</f>
        <v/>
      </c>
      <c r="AR343" s="219" t="str">
        <f>IFERROR((SUM(AR218,AR219,AR223,AR244)-AR150)/(AR75+AP75+AO75+AN75),"")</f>
        <v/>
      </c>
      <c r="AS343" s="219" t="str">
        <f>IFERROR((SUM(AS218,AS219,AS223,AS244)-AS150)/(AS75+AR75+AP75+AO75),"")</f>
        <v/>
      </c>
      <c r="AT343" s="219" t="str">
        <f>IFERROR((SUM(AT218,AT219,AT223,AT244)-AT150)/(AT75+AS75+AR75+AP75),"")</f>
        <v/>
      </c>
      <c r="AU343" s="219" t="str">
        <f>IFERROR((SUM(AU218,AU219,AU223,AU244)-AU150)/(AU75+AT75+AS75+AR75),"")</f>
        <v/>
      </c>
      <c r="AW343" s="219" t="str">
        <f>IFERROR((SUM(AW218,AW219,AW223,AW244)-AW150)/(AW75+AU75+AT75+AS75),"")</f>
        <v/>
      </c>
      <c r="AX343" s="219" t="str">
        <f>IFERROR((SUM(AX218,AX219,AX223,AX244)-AX150)/(AX75+AW75+AU75+AT75),"")</f>
        <v/>
      </c>
      <c r="AY343" s="219" t="str">
        <f>IFERROR((SUM(AY218,AY219,AY223,AY244)-AY150)/(AY75+AX75+AW75+AU75),"")</f>
        <v/>
      </c>
      <c r="AZ343" s="219" t="str">
        <f>IFERROR((SUM(AZ218,AZ219,AZ223,AZ244)-AZ150)/(AZ75+AY75+AX75+AW75),"")</f>
        <v/>
      </c>
      <c r="BB343" s="219" t="str">
        <f>IFERROR((SUM(BB218,BB219,BB223,BB244)-BB150)/(BB75+AZ75+AY75+AX75),"")</f>
        <v/>
      </c>
      <c r="BC343" s="219" t="str">
        <f>IFERROR((SUM(BC218,BC219,BC223,BC244)-BC150)/(BC75+BB75+AZ75+AY75),"")</f>
        <v/>
      </c>
      <c r="BD343" s="219" t="str">
        <f>IFERROR((SUM(BD218,BD219,BD223,BD244)-BD150)/(BD75+BC75+BB75+AZ75),"")</f>
        <v/>
      </c>
      <c r="BE343" s="219" t="str">
        <f>IFERROR((SUM(BE218,BE219,BE223,BE244)-BE150)/(BE75+BD75+BC75+BB75),"")</f>
        <v/>
      </c>
      <c r="BG343" s="219" t="str">
        <f>IFERROR((SUM(BG218,BG219,BG223,BG244)-BG150)/(BG75+BE75+BD75+BC75),"")</f>
        <v/>
      </c>
      <c r="BH343" s="219" t="str">
        <f>IFERROR((SUM(BH218,BH219,BH223,BH244)-BH150)/(BH75+BG75+BE75+BD75),"")</f>
        <v/>
      </c>
      <c r="BI343" s="219" t="str">
        <f>IFERROR((SUM(BI218,BI219,BI223,BI244)-BI150)/(BI75+BH75+BG75+BE75),"")</f>
        <v/>
      </c>
      <c r="BJ343" s="219" t="str">
        <f>IFERROR((SUM(BJ218,BJ219,BJ223,BJ244)-BJ150)/(BJ75+BI75+BH75+BG75),"")</f>
        <v/>
      </c>
      <c r="BL343" s="219" t="str">
        <f>IFERROR((SUM(BL218,BL219,BL223,BL244)-BL150)/(BL75+BJ75+BI75+BH75),"")</f>
        <v/>
      </c>
      <c r="BM343" s="219" t="str">
        <f>IFERROR((SUM(BM218,BM219,BM223,BM244)-BM150)/(BM75+BL75+BJ75+BI75),"")</f>
        <v/>
      </c>
      <c r="BN343" s="219" t="str">
        <f>IFERROR((SUM(BN218,BN219,BN223,BN244)-BN150)/(BN75+BM75+BL75+BJ75),"")</f>
        <v/>
      </c>
      <c r="BO343" s="219" t="str">
        <f>IFERROR((SUM(BO218,BO219,BO223,BO244)-BO150)/(BO75+BN75+BM75+BL75),"")</f>
        <v/>
      </c>
      <c r="BQ343" s="219" t="str">
        <f>IFERROR((SUM(BQ218,BQ219,BQ223,BQ244)-BQ150)/(BQ75+BO75+BN75+BM75),"")</f>
        <v/>
      </c>
      <c r="BR343" s="219" t="str">
        <f>IFERROR((SUM(BR218,BR219,BR223,BR244)-BR150)/(BR75+BQ75+BO75+BN75),"")</f>
        <v/>
      </c>
      <c r="BS343" s="219" t="str">
        <f>IFERROR((SUM(BS218,BS219,BS223,BS244)-BS150)/(BS75+BR75+BQ75+BO75),"")</f>
        <v/>
      </c>
      <c r="BT343" s="219" t="str">
        <f>IFERROR((SUM(BT218,BT219,BT223,BT244)-BT150)/(BT75+BS75+BR75+BQ75),"")</f>
        <v/>
      </c>
      <c r="BV343" s="219" t="str">
        <f>IFERROR((SUM(BV218,BV219,BV223,BV244)-BV150)/(BV75+BT75+BS75+BR75),"")</f>
        <v/>
      </c>
      <c r="BW343" s="219" t="str">
        <f>IFERROR((SUM(BW218,BW219,BW223,BW244)-BW150)/(BW75+BV75+BT75+BS75),"")</f>
        <v/>
      </c>
      <c r="BX343" s="219" t="str">
        <f>IFERROR((SUM(BX218,BX219,BX223,BX244)-BX150)/(BX75+BW75+BV75+BT75),"")</f>
        <v/>
      </c>
      <c r="BY343" s="219" t="str">
        <f>IFERROR((SUM(BY218,BY219,BY223,BY244)-BY150)/(BY75+BX75+BW75+BV75),"")</f>
        <v/>
      </c>
      <c r="CA343" s="219" t="str">
        <f>IFERROR((SUM(CA218,CA219,CA223,CA244)-CA150)/(CA75+BY75+BX75+BW75),"")</f>
        <v/>
      </c>
      <c r="CB343" s="219" t="str">
        <f>IFERROR((SUM(CB218,CB219,CB223,CB244)-CB150)/(CB75+CA75+BY75+BX75),"")</f>
        <v/>
      </c>
      <c r="CC343" s="219" t="str">
        <f>IFERROR((SUM(CC218,CC219,CC223,CC244)-CC150)/(CC75+CB75+CA75+BY75),"")</f>
        <v/>
      </c>
      <c r="CD343" s="219" t="str">
        <f>IFERROR((SUM(CD218,CD219,CD223,CD244)-CD150)/(CD75+CC75+CB75+CA75),"")</f>
        <v/>
      </c>
      <c r="CF343" s="219" t="str">
        <f>IFERROR((SUM(CF218,CF219,CF223,CF244)-CF150)/(CF75+CD75+CC75+CB75),"")</f>
        <v/>
      </c>
      <c r="CG343" s="219" t="str">
        <f>IFERROR((SUM(CG218,CG219,CG223,CG244)-CG150)/(CG75+CF75+CD75+CC75),"")</f>
        <v/>
      </c>
      <c r="CH343" s="219" t="str">
        <f>IFERROR((SUM(CH218,CH219,CH223,CH244)-CH150)/(CH75+CG75+CF75+CD75),"")</f>
        <v/>
      </c>
      <c r="CI343" s="219" t="str">
        <f>IFERROR((SUM(CI218,CI219,CI223,CI244)-CI150)/(CI75+CH75+CG75+CF75),"")</f>
        <v/>
      </c>
      <c r="CK343" s="219" t="str">
        <f>IFERROR((SUM(CK218,CK219,CK223,CK244)-CK150)/(CK75+CI75+CH75+CG75),"")</f>
        <v/>
      </c>
      <c r="CL343" s="219" t="str">
        <f>IFERROR((SUM(CL218,CL219,CL223,CL244)-CL150)/(CL75+CK75+CI75+CH75),"")</f>
        <v/>
      </c>
      <c r="CM343" s="219" t="str">
        <f>IFERROR((SUM(CM218,CM219,CM223,CM244)-CM150)/(CM75+CL75+CK75+CI75),"")</f>
        <v/>
      </c>
      <c r="CN343" s="219" t="str">
        <f>IFERROR((SUM(CN218,CN219,CN223,CN244)-CN150)/(CN75+CM75+CL75+CK75),"")</f>
        <v/>
      </c>
      <c r="CP343" s="219" t="str">
        <f>IFERROR((SUM(CP218,CP219,CP223,CP244)-CP150)/(CP75+CN75+CM75+CL75),"")</f>
        <v/>
      </c>
      <c r="CQ343" s="219" t="str">
        <f>IFERROR((SUM(CQ218,CQ219,CQ223,CQ244)-CQ150)/(CQ75+CP75+CN75+CM75),"")</f>
        <v/>
      </c>
      <c r="CR343" s="219" t="str">
        <f>IFERROR((SUM(CR218,CR219,CR223,CR244)-CR150)/(CR75+CQ75+CP75+CN75),"")</f>
        <v/>
      </c>
      <c r="CS343" s="219" t="str">
        <f>IFERROR((SUM(CS218,CS219,CS223,CS244)-CS150)/(CS75+CR75+CQ75+CP75),"")</f>
        <v/>
      </c>
      <c r="CU343" s="219" t="str">
        <f>IFERROR((SUM(CU218,CU219,CU223,CU244)-CU150)/(CU75+CS75+CR75+CQ75),"")</f>
        <v/>
      </c>
      <c r="CV343" s="219" t="str">
        <f>IFERROR((SUM(CV218,CV219,CV223,CV244)-CV150)/(CV75+CU75+CS75+CR75),"")</f>
        <v/>
      </c>
      <c r="CW343" s="219" t="str">
        <f>IFERROR((SUM(CW218,CW219,CW223,CW244)-CW150)/(CW75+CV75+CU75+CS75),"")</f>
        <v/>
      </c>
      <c r="CX343" s="219" t="str">
        <f>IFERROR((SUM(CX218,CX219,CX223,CX244)-CX150)/(CX75+CW75+CV75+CU75),"")</f>
        <v/>
      </c>
    </row>
    <row r="344" customFormat="1" s="233">
      <c r="A344" s="224" t="n"/>
      <c r="B344" s="224" t="n"/>
      <c r="C344" s="233" t="inlineStr">
        <is>
          <t>INTEREST COVERAGE</t>
        </is>
      </c>
      <c r="D344" s="219">
        <f>D79/-D80</f>
        <v>0.76740072156122</v>
      </c>
      <c r="E344" s="219">
        <f>E79/-E80</f>
        <v>1.2858328441731</v>
      </c>
      <c r="F344" s="219">
        <f>F79/-F80</f>
        <v>1.13784816620703</v>
      </c>
      <c r="G344" s="219">
        <f>G79/-G80</f>
        <v>1.60182100243058</v>
      </c>
      <c r="I344" s="219">
        <f>I79/-I80</f>
        <v>1.13561069134806</v>
      </c>
      <c r="J344" s="219">
        <f>J79/-J80</f>
        <v>3.78613165397208</v>
      </c>
      <c r="K344" s="219">
        <f>K79/-K80</f>
        <v>1.68841246817108</v>
      </c>
      <c r="L344" s="219">
        <f>L79/-L80</f>
        <v>1.2813076171396</v>
      </c>
      <c r="N344" s="219">
        <f>N79/-N80</f>
        <v>1.11633002955119</v>
      </c>
      <c r="O344" s="219">
        <f>O79/-O80</f>
        <v>1.03266920376681</v>
      </c>
      <c r="P344" s="219">
        <f>P79/-P80</f>
        <v>0.952402739586227</v>
      </c>
      <c r="Q344" s="219">
        <f>Q79/-Q80</f>
        <v>0.793632614299601</v>
      </c>
      <c r="S344" s="219">
        <f>S79/-S80</f>
        <v>0.798813173711057</v>
      </c>
      <c r="T344" s="219">
        <f>T79/-T80</f>
        <v>0.954081112570376</v>
      </c>
      <c r="U344" s="219">
        <f>U79/-U80</f>
        <v>0.72871994963617</v>
      </c>
      <c r="V344" s="219">
        <f>V79/-V80</f>
        <v>0.321382323206259</v>
      </c>
      <c r="X344" s="219">
        <f>X79/-X80</f>
        <v>0.850939242408864</v>
      </c>
      <c r="Y344" s="219">
        <f>Y79/-Y80</f>
        <v>0.912481650648992</v>
      </c>
      <c r="Z344" s="219">
        <f>Z79/-Z80</f>
        <v>0.854932917141161</v>
      </c>
      <c r="AA344" s="219">
        <f>AA79/-AA80</f>
        <v>0.752118957018786</v>
      </c>
      <c r="AC344" s="219">
        <f>AC79/-AC80</f>
        <v>0.782596091101226</v>
      </c>
      <c r="AD344" s="219">
        <f>AD79/-AD80</f>
        <v>0.737644160681495</v>
      </c>
      <c r="AE344" s="219">
        <f>AE79/-AE80</f>
        <v>0.658836750501967</v>
      </c>
      <c r="AF344" s="219">
        <f>AF79/-AF80</f>
        <v>1.08393161794101</v>
      </c>
      <c r="AH344" s="219">
        <f>AH79/-AH80</f>
        <v>0.682790543181196</v>
      </c>
      <c r="AI344" s="219">
        <f>AI79/-AI80</f>
        <v>0.709270502269445</v>
      </c>
      <c r="AJ344" s="219" t="e">
        <f>AJ79/-AJ80</f>
        <v>#DIV/0!</v>
      </c>
      <c r="AK344" s="219" t="e">
        <f>AK79/-AK80</f>
        <v>#DIV/0!</v>
      </c>
      <c r="AM344" s="219" t="e">
        <f>AM79/-AM80</f>
        <v>#DIV/0!</v>
      </c>
      <c r="AN344" s="219" t="e">
        <f>AN79/-AN80</f>
        <v>#DIV/0!</v>
      </c>
      <c r="AO344" s="219" t="e">
        <f>AO79/-AO80</f>
        <v>#DIV/0!</v>
      </c>
      <c r="AP344" s="219" t="e">
        <f>AP79/-AP80</f>
        <v>#DIV/0!</v>
      </c>
      <c r="AR344" s="219" t="e">
        <f>AR79/-AR80</f>
        <v>#DIV/0!</v>
      </c>
      <c r="AS344" s="219" t="e">
        <f>AS79/-AS80</f>
        <v>#DIV/0!</v>
      </c>
      <c r="AT344" s="219" t="e">
        <f>AT79/-AT80</f>
        <v>#DIV/0!</v>
      </c>
      <c r="AU344" s="219" t="e">
        <f>AU79/-AU80</f>
        <v>#DIV/0!</v>
      </c>
      <c r="AW344" s="219" t="e">
        <f>AW79/-AW80</f>
        <v>#DIV/0!</v>
      </c>
      <c r="AX344" s="219" t="e">
        <f>AX79/-AX80</f>
        <v>#DIV/0!</v>
      </c>
      <c r="AY344" s="219" t="e">
        <f>AY79/-AY80</f>
        <v>#DIV/0!</v>
      </c>
      <c r="AZ344" s="219" t="e">
        <f>AZ79/-AZ80</f>
        <v>#DIV/0!</v>
      </c>
      <c r="BB344" s="219" t="e">
        <f>BB79/-BB80</f>
        <v>#DIV/0!</v>
      </c>
      <c r="BC344" s="219" t="e">
        <f>BC79/-BC80</f>
        <v>#DIV/0!</v>
      </c>
      <c r="BD344" s="219" t="e">
        <f>BD79/-BD80</f>
        <v>#DIV/0!</v>
      </c>
      <c r="BE344" s="219" t="e">
        <f>BE79/-BE80</f>
        <v>#DIV/0!</v>
      </c>
      <c r="BG344" s="219" t="e">
        <f>BG79/-BG80</f>
        <v>#DIV/0!</v>
      </c>
      <c r="BH344" s="219" t="e">
        <f>BH79/-BH80</f>
        <v>#DIV/0!</v>
      </c>
      <c r="BI344" s="219" t="e">
        <f>BI79/-BI80</f>
        <v>#DIV/0!</v>
      </c>
      <c r="BJ344" s="219" t="e">
        <f>BJ79/-BJ80</f>
        <v>#DIV/0!</v>
      </c>
      <c r="BL344" s="219" t="e">
        <f>BL79/-BL80</f>
        <v>#DIV/0!</v>
      </c>
      <c r="BM344" s="219" t="e">
        <f>BM79/-BM80</f>
        <v>#DIV/0!</v>
      </c>
      <c r="BN344" s="219" t="e">
        <f>BN79/-BN80</f>
        <v>#DIV/0!</v>
      </c>
      <c r="BO344" s="219" t="e">
        <f>BO79/-BO80</f>
        <v>#DIV/0!</v>
      </c>
      <c r="BQ344" s="219" t="e">
        <f>BQ79/-BQ80</f>
        <v>#DIV/0!</v>
      </c>
      <c r="BR344" s="219" t="e">
        <f>BR79/-BR80</f>
        <v>#DIV/0!</v>
      </c>
      <c r="BS344" s="219" t="e">
        <f>BS79/-BS80</f>
        <v>#DIV/0!</v>
      </c>
      <c r="BT344" s="219" t="e">
        <f>BT79/-BT80</f>
        <v>#DIV/0!</v>
      </c>
      <c r="BV344" s="219" t="e">
        <f>BV79/-BV80</f>
        <v>#DIV/0!</v>
      </c>
      <c r="BW344" s="219" t="e">
        <f>BW79/-BW80</f>
        <v>#DIV/0!</v>
      </c>
      <c r="BX344" s="219" t="e">
        <f>BX79/-BX80</f>
        <v>#DIV/0!</v>
      </c>
      <c r="BY344" s="219" t="e">
        <f>BY79/-BY80</f>
        <v>#DIV/0!</v>
      </c>
      <c r="CA344" s="219" t="e">
        <f>CA79/-CA80</f>
        <v>#DIV/0!</v>
      </c>
      <c r="CB344" s="219" t="e">
        <f>CB79/-CB80</f>
        <v>#DIV/0!</v>
      </c>
      <c r="CC344" s="219" t="e">
        <f>CC79/-CC80</f>
        <v>#DIV/0!</v>
      </c>
      <c r="CD344" s="219" t="e">
        <f>CD79/-CD80</f>
        <v>#DIV/0!</v>
      </c>
      <c r="CF344" s="219" t="e">
        <f>CF79/-CF80</f>
        <v>#DIV/0!</v>
      </c>
      <c r="CG344" s="219" t="e">
        <f>CG79/-CG80</f>
        <v>#DIV/0!</v>
      </c>
      <c r="CH344" s="219" t="e">
        <f>CH79/-CH80</f>
        <v>#DIV/0!</v>
      </c>
      <c r="CI344" s="219" t="e">
        <f>CI79/-CI80</f>
        <v>#DIV/0!</v>
      </c>
      <c r="CK344" s="219" t="e">
        <f>CK79/-CK80</f>
        <v>#DIV/0!</v>
      </c>
      <c r="CL344" s="219" t="e">
        <f>CL79/-CL80</f>
        <v>#DIV/0!</v>
      </c>
      <c r="CM344" s="219" t="e">
        <f>CM79/-CM80</f>
        <v>#DIV/0!</v>
      </c>
      <c r="CN344" s="219" t="e">
        <f>CN79/-CN80</f>
        <v>#DIV/0!</v>
      </c>
      <c r="CP344" s="219" t="e">
        <f>CP79/-CP80</f>
        <v>#DIV/0!</v>
      </c>
      <c r="CQ344" s="219" t="e">
        <f>CQ79/-CQ80</f>
        <v>#DIV/0!</v>
      </c>
      <c r="CR344" s="219" t="e">
        <f>CR79/-CR80</f>
        <v>#DIV/0!</v>
      </c>
      <c r="CS344" s="219" t="e">
        <f>CS79/-CS80</f>
        <v>#DIV/0!</v>
      </c>
      <c r="CU344" s="219" t="e">
        <f>CU79/-CU80</f>
        <v>#DIV/0!</v>
      </c>
      <c r="CV344" s="219" t="e">
        <f>CV79/-CV80</f>
        <v>#DIV/0!</v>
      </c>
      <c r="CW344" s="219" t="e">
        <f>CW79/-CW80</f>
        <v>#DIV/0!</v>
      </c>
      <c r="CX344" s="219" t="e">
        <f>CX79/-CX80</f>
        <v>#DIV/0!</v>
      </c>
    </row>
    <row r="345" customFormat="1" s="233">
      <c r="A345" s="224" t="n"/>
      <c r="B345" s="224" t="n"/>
    </row>
    <row r="346" customFormat="1" s="233">
      <c r="A346" s="224" t="n"/>
      <c r="B346" s="224" t="n"/>
      <c r="C346" s="234" t="inlineStr">
        <is>
          <t>INTERNAL LIQUIDITY</t>
        </is>
      </c>
    </row>
    <row r="347" customFormat="1" s="233">
      <c r="A347" s="224" t="n"/>
      <c r="B347" s="224" t="n"/>
      <c r="C347" s="233" t="inlineStr">
        <is>
          <t>CURRENT RATIO</t>
        </is>
      </c>
      <c r="D347" s="219">
        <f>SUM(D150,D151,D155,D159,D160,D161)/SUM(D204,D208,D210,D211)</f>
        <v>3.77510549190612</v>
      </c>
      <c r="E347" s="219">
        <f>SUM(E150,E151,E155,E159,E160,E161)/SUM(E204,E208,E210,E211)</f>
        <v>6.61899580047583</v>
      </c>
      <c r="F347" s="219">
        <f>SUM(F150,F151,F155,F159,F160,F161)/SUM(F204,F208,F210,F211)</f>
        <v>4.63616450636572</v>
      </c>
      <c r="G347" s="219">
        <f>SUM(G150,G151,G155,G159,G160,G161)/SUM(G204,G208,G210,G211)</f>
        <v>3.62511018261271</v>
      </c>
      <c r="I347" s="219">
        <f>SUM(I150,I151,I155,I159,I160,I161)/SUM(I204,I208,I210,I211)</f>
        <v>5.64848406540891</v>
      </c>
      <c r="J347" s="219">
        <f>SUM(J150,J151,J155,J159,J160,J161)/SUM(J204,J208,J210,J211)</f>
        <v>4.18847938857095</v>
      </c>
      <c r="K347" s="219">
        <f>SUM(K150,K151,K155,K159,K160,K161)/SUM(K204,K208,K210,K211)</f>
        <v>5.8227488668507</v>
      </c>
      <c r="L347" s="219">
        <f>SUM(L150,L151,L155,L159,L160,L161)/SUM(L204,L208,L210,L211)</f>
        <v>4.44565136980549</v>
      </c>
      <c r="N347" s="219">
        <f>SUM(N150,N151,N155,N159,N160,N161)/SUM(N204,N208,N210,N211)</f>
        <v>3.75116493672939</v>
      </c>
      <c r="O347" s="219">
        <f>SUM(O150,O151,O155,O159,O160,O161)/SUM(O204,O208,O210,O211)</f>
        <v>3.32715090473432</v>
      </c>
      <c r="P347" s="219">
        <f>SUM(P150,P151,P155,P159,P160,P161)/SUM(P204,P208,P210,P211)</f>
        <v>3.58566192326172</v>
      </c>
      <c r="Q347" s="219">
        <f>SUM(Q150,Q151,Q155,Q159,Q160,Q161)/SUM(Q204,Q208,Q210,Q211)</f>
        <v>2.35962096147005</v>
      </c>
      <c r="S347" s="219">
        <f>SUM(S150,S151,S155,S159,S160,S161)/SUM(S204,S208,S210,S211)</f>
        <v>2.84112344540537</v>
      </c>
      <c r="T347" s="219">
        <f>SUM(T150,T151,T155,T159,T160,T161)/SUM(T204,T208,T210,T211)</f>
        <v>3.13036316824899</v>
      </c>
      <c r="U347" s="219">
        <f>SUM(U150,U151,U155,U159,U160,U161)/SUM(U204,U208,U210,U211)</f>
        <v>2.82594753608816</v>
      </c>
      <c r="V347" s="219">
        <f>SUM(V150,V151,V155,V159,V160,V161)/SUM(V204,V208,V210,V211)</f>
        <v>2.16940120723803</v>
      </c>
      <c r="X347" s="219">
        <f>SUM(X150,X151,X155,X159,X160,X161)/SUM(X204,X208,X210,X211)</f>
        <v>2.26664746316644</v>
      </c>
      <c r="Y347" s="219">
        <f>SUM(Y150,Y151,Y155,Y159,Y160,Y161)/SUM(Y204,Y208,Y210,Y211)</f>
        <v>2.37703164809234</v>
      </c>
      <c r="Z347" s="219">
        <f>SUM(Z150,Z151,Z155,Z159,Z160,Z161)/SUM(Z204,Z208,Z210,Z211)</f>
        <v>2.61795299991209</v>
      </c>
      <c r="AA347" s="219">
        <f>SUM(AA150,AA151,AA155,AA159,AA160,AA161)/SUM(AA204,AA208,AA210,AA211)</f>
        <v>2.16040089232422</v>
      </c>
      <c r="AC347" s="219">
        <f>SUM(AC150,AC151,AC155,AC159,AC160,AC161)/SUM(AC204,AC208,AC210,AC211)</f>
        <v>2.62789364309993</v>
      </c>
      <c r="AD347" s="219">
        <f>SUM(AD150,AD151,AD155,AD159,AD160,AD161)/SUM(AD204,AD208,AD210,AD211)</f>
        <v>2.5415917786578</v>
      </c>
      <c r="AE347" s="219">
        <f>SUM(AE150,AE151,AE155,AE159,AE160,AE161)/SUM(AE204,AE208,AE210,AE211)</f>
        <v>2.44262300978723</v>
      </c>
      <c r="AF347" s="219">
        <f>SUM(AF150,AF151,AF155,AF159,AF160,AF161)/SUM(AF204,AF208,AF210,AF211)</f>
        <v>2.28792656248165</v>
      </c>
      <c r="AH347" s="219">
        <f>SUM(AH150,AH151,AH155,AH159,AH160,AH161)/SUM(AH204,AH208,AH210,AH211)</f>
        <v>2.35135105329558</v>
      </c>
      <c r="AI347" s="219">
        <f>SUM(AI150,AI151,AI155,AI159,AI160,AI161)/SUM(AI204,AI208,AI210,AI211)</f>
        <v>2.24078030470403</v>
      </c>
      <c r="AJ347" s="219">
        <f>SUM(AJ150,AJ151,AJ155,AJ159,AJ160,AJ161)/SUM(AJ204,AJ208,AJ210,AJ211)</f>
        <v>4.89294432823217</v>
      </c>
      <c r="AK347" s="219">
        <f>SUM(AK150,AK151,AK155,AK159,AK160,AK161)/SUM(AK204,AK208,AK210,AK211)</f>
        <v>4.99915314733235</v>
      </c>
      <c r="AM347" s="219" t="e">
        <f>SUM(AM150,AM151,AM155,AM159,AM160,AM161)/SUM(AM204,AM208,AM210,AM211)</f>
        <v>#DIV/0!</v>
      </c>
      <c r="AN347" s="219" t="e">
        <f>SUM(AN150,AN151,AN155,AN159,AN160,AN161)/SUM(AN204,AN208,AN210,AN211)</f>
        <v>#DIV/0!</v>
      </c>
      <c r="AO347" s="219" t="e">
        <f>SUM(AO150,AO151,AO155,AO159,AO160,AO161)/SUM(AO204,AO208,AO210,AO211)</f>
        <v>#DIV/0!</v>
      </c>
      <c r="AP347" s="219" t="e">
        <f>SUM(AP150,AP151,AP155,AP159,AP160,AP161)/SUM(AP204,AP208,AP210,AP211)</f>
        <v>#DIV/0!</v>
      </c>
      <c r="AR347" s="219" t="e">
        <f>SUM(AR150,AR151,AR155,AR159,AR160,AR161)/SUM(AR204,AR208,AR210,AR211)</f>
        <v>#DIV/0!</v>
      </c>
      <c r="AS347" s="219" t="e">
        <f>SUM(AS150,AS151,AS155,AS159,AS160,AS161)/SUM(AS204,AS208,AS210,AS211)</f>
        <v>#DIV/0!</v>
      </c>
      <c r="AT347" s="219" t="e">
        <f>SUM(AT150,AT151,AT155,AT159,AT160,AT161)/SUM(AT204,AT208,AT210,AT211)</f>
        <v>#DIV/0!</v>
      </c>
      <c r="AU347" s="219" t="e">
        <f>SUM(AU150,AU151,AU155,AU159,AU160,AU161)/SUM(AU204,AU208,AU210,AU211)</f>
        <v>#DIV/0!</v>
      </c>
      <c r="AW347" s="219" t="e">
        <f>SUM(AW150,AW151,AW155,AW159,AW160,AW161)/SUM(AW204,AW208,AW210,AW211)</f>
        <v>#DIV/0!</v>
      </c>
      <c r="AX347" s="219" t="e">
        <f>SUM(AX150,AX151,AX155,AX159,AX160,AX161)/SUM(AX204,AX208,AX210,AX211)</f>
        <v>#DIV/0!</v>
      </c>
      <c r="AY347" s="219" t="e">
        <f>SUM(AY150,AY151,AY155,AY159,AY160,AY161)/SUM(AY204,AY208,AY210,AY211)</f>
        <v>#DIV/0!</v>
      </c>
      <c r="AZ347" s="219" t="e">
        <f>SUM(AZ150,AZ151,AZ155,AZ159,AZ160,AZ161)/SUM(AZ204,AZ208,AZ210,AZ211)</f>
        <v>#DIV/0!</v>
      </c>
      <c r="BB347" s="219" t="e">
        <f>SUM(BB150,BB151,BB155,BB159,BB160,BB161)/SUM(BB204,BB208,BB210,BB211)</f>
        <v>#DIV/0!</v>
      </c>
      <c r="BC347" s="219" t="e">
        <f>SUM(BC150,BC151,BC155,BC159,BC160,BC161)/SUM(BC204,BC208,BC210,BC211)</f>
        <v>#DIV/0!</v>
      </c>
      <c r="BD347" s="219" t="e">
        <f>SUM(BD150,BD151,BD155,BD159,BD160,BD161)/SUM(BD204,BD208,BD210,BD211)</f>
        <v>#DIV/0!</v>
      </c>
      <c r="BE347" s="219" t="e">
        <f>SUM(BE150,BE151,BE155,BE159,BE160,BE161)/SUM(BE204,BE208,BE210,BE211)</f>
        <v>#DIV/0!</v>
      </c>
      <c r="BG347" s="219" t="e">
        <f>SUM(BG150,BG151,BG155,BG159,BG160,BG161)/SUM(BG204,BG208,BG210,BG211)</f>
        <v>#DIV/0!</v>
      </c>
      <c r="BH347" s="219" t="e">
        <f>SUM(BH150,BH151,BH155,BH159,BH160,BH161)/SUM(BH204,BH208,BH210,BH211)</f>
        <v>#DIV/0!</v>
      </c>
      <c r="BI347" s="219" t="e">
        <f>SUM(BI150,BI151,BI155,BI159,BI160,BI161)/SUM(BI204,BI208,BI210,BI211)</f>
        <v>#DIV/0!</v>
      </c>
      <c r="BJ347" s="219" t="e">
        <f>SUM(BJ150,BJ151,BJ155,BJ159,BJ160,BJ161)/SUM(BJ204,BJ208,BJ210,BJ211)</f>
        <v>#DIV/0!</v>
      </c>
      <c r="BL347" s="219" t="e">
        <f>SUM(BL150,BL151,BL155,BL159,BL160,BL161)/SUM(BL204,BL208,BL210,BL211)</f>
        <v>#DIV/0!</v>
      </c>
      <c r="BM347" s="219" t="e">
        <f>SUM(BM150,BM151,BM155,BM159,BM160,BM161)/SUM(BM204,BM208,BM210,BM211)</f>
        <v>#DIV/0!</v>
      </c>
      <c r="BN347" s="219" t="e">
        <f>SUM(BN150,BN151,BN155,BN159,BN160,BN161)/SUM(BN204,BN208,BN210,BN211)</f>
        <v>#DIV/0!</v>
      </c>
      <c r="BO347" s="219" t="e">
        <f>SUM(BO150,BO151,BO155,BO159,BO160,BO161)/SUM(BO204,BO208,BO210,BO211)</f>
        <v>#DIV/0!</v>
      </c>
      <c r="BQ347" s="219" t="e">
        <f>SUM(BQ150,BQ151,BQ155,BQ159,BQ160,BQ161)/SUM(BQ204,BQ208,BQ210,BQ211)</f>
        <v>#DIV/0!</v>
      </c>
      <c r="BR347" s="219" t="e">
        <f>SUM(BR150,BR151,BR155,BR159,BR160,BR161)/SUM(BR204,BR208,BR210,BR211)</f>
        <v>#DIV/0!</v>
      </c>
      <c r="BS347" s="219" t="e">
        <f>SUM(BS150,BS151,BS155,BS159,BS160,BS161)/SUM(BS204,BS208,BS210,BS211)</f>
        <v>#DIV/0!</v>
      </c>
      <c r="BT347" s="219" t="e">
        <f>SUM(BT150,BT151,BT155,BT159,BT160,BT161)/SUM(BT204,BT208,BT210,BT211)</f>
        <v>#DIV/0!</v>
      </c>
      <c r="BV347" s="219" t="e">
        <f>SUM(BV150,BV151,BV155,BV159,BV160,BV161)/SUM(BV204,BV208,BV210,BV211)</f>
        <v>#DIV/0!</v>
      </c>
      <c r="BW347" s="219" t="e">
        <f>SUM(BW150,BW151,BW155,BW159,BW160,BW161)/SUM(BW204,BW208,BW210,BW211)</f>
        <v>#DIV/0!</v>
      </c>
      <c r="BX347" s="219" t="e">
        <f>SUM(BX150,BX151,BX155,BX159,BX160,BX161)/SUM(BX204,BX208,BX210,BX211)</f>
        <v>#DIV/0!</v>
      </c>
      <c r="BY347" s="219" t="e">
        <f>SUM(BY150,BY151,BY155,BY159,BY160,BY161)/SUM(BY204,BY208,BY210,BY211)</f>
        <v>#DIV/0!</v>
      </c>
      <c r="CA347" s="219" t="e">
        <f>SUM(CA150,CA151,CA155,CA159,CA160,CA161)/SUM(CA204,CA208,CA210,CA211)</f>
        <v>#DIV/0!</v>
      </c>
      <c r="CB347" s="219" t="e">
        <f>SUM(CB150,CB151,CB155,CB159,CB160,CB161)/SUM(CB204,CB208,CB210,CB211)</f>
        <v>#DIV/0!</v>
      </c>
      <c r="CC347" s="219" t="e">
        <f>SUM(CC150,CC151,CC155,CC159,CC160,CC161)/SUM(CC204,CC208,CC210,CC211)</f>
        <v>#DIV/0!</v>
      </c>
      <c r="CD347" s="219" t="e">
        <f>SUM(CD150,CD151,CD155,CD159,CD160,CD161)/SUM(CD204,CD208,CD210,CD211)</f>
        <v>#DIV/0!</v>
      </c>
      <c r="CF347" s="219" t="e">
        <f>SUM(CF150,CF151,CF155,CF159,CF160,CF161)/SUM(CF204,CF208,CF210,CF211)</f>
        <v>#DIV/0!</v>
      </c>
      <c r="CG347" s="219" t="e">
        <f>SUM(CG150,CG151,CG155,CG159,CG160,CG161)/SUM(CG204,CG208,CG210,CG211)</f>
        <v>#DIV/0!</v>
      </c>
      <c r="CH347" s="219" t="e">
        <f>SUM(CH150,CH151,CH155,CH159,CH160,CH161)/SUM(CH204,CH208,CH210,CH211)</f>
        <v>#DIV/0!</v>
      </c>
      <c r="CI347" s="219" t="e">
        <f>SUM(CI150,CI151,CI155,CI159,CI160,CI161)/SUM(CI204,CI208,CI210,CI211)</f>
        <v>#DIV/0!</v>
      </c>
      <c r="CK347" s="219" t="e">
        <f>SUM(CK150,CK151,CK155,CK159,CK160,CK161)/SUM(CK204,CK208,CK210,CK211)</f>
        <v>#DIV/0!</v>
      </c>
      <c r="CL347" s="219" t="e">
        <f>SUM(CL150,CL151,CL155,CL159,CL160,CL161)/SUM(CL204,CL208,CL210,CL211)</f>
        <v>#DIV/0!</v>
      </c>
      <c r="CM347" s="219" t="e">
        <f>SUM(CM150,CM151,CM155,CM159,CM160,CM161)/SUM(CM204,CM208,CM210,CM211)</f>
        <v>#DIV/0!</v>
      </c>
      <c r="CN347" s="219" t="e">
        <f>SUM(CN150,CN151,CN155,CN159,CN160,CN161)/SUM(CN204,CN208,CN210,CN211)</f>
        <v>#DIV/0!</v>
      </c>
      <c r="CP347" s="219" t="e">
        <f>SUM(CP150,CP151,CP155,CP159,CP160,CP161)/SUM(CP204,CP208,CP210,CP211)</f>
        <v>#DIV/0!</v>
      </c>
      <c r="CQ347" s="219" t="e">
        <f>SUM(CQ150,CQ151,CQ155,CQ159,CQ160,CQ161)/SUM(CQ204,CQ208,CQ210,CQ211)</f>
        <v>#DIV/0!</v>
      </c>
      <c r="CR347" s="219" t="e">
        <f>SUM(CR150,CR151,CR155,CR159,CR160,CR161)/SUM(CR204,CR208,CR210,CR211)</f>
        <v>#DIV/0!</v>
      </c>
      <c r="CS347" s="219" t="e">
        <f>SUM(CS150,CS151,CS155,CS159,CS160,CS161)/SUM(CS204,CS208,CS210,CS211)</f>
        <v>#DIV/0!</v>
      </c>
      <c r="CU347" s="219" t="e">
        <f>SUM(CU150,CU151,CU155,CU159,CU160,CU161)/SUM(CU204,CU208,CU210,CU211)</f>
        <v>#DIV/0!</v>
      </c>
      <c r="CV347" s="219" t="e">
        <f>SUM(CV150,CV151,CV155,CV159,CV160,CV161)/SUM(CV204,CV208,CV210,CV211)</f>
        <v>#DIV/0!</v>
      </c>
      <c r="CW347" s="219" t="e">
        <f>SUM(CW150,CW151,CW155,CW159,CW160,CW161)/SUM(CW204,CW208,CW210,CW211)</f>
        <v>#DIV/0!</v>
      </c>
      <c r="CX347" s="219" t="e">
        <f>SUM(CX150,CX151,CX155,CX159,CX160,CX161)/SUM(CX204,CX208,CX210,CX211)</f>
        <v>#DIV/0!</v>
      </c>
    </row>
    <row r="348" customFormat="1" s="233">
      <c r="A348" s="224" t="n"/>
      <c r="B348" s="224" t="n"/>
      <c r="C348" s="233" t="inlineStr">
        <is>
          <t>CASH RATIO</t>
        </is>
      </c>
      <c r="D348" s="219">
        <f>SUM(D150)/SUM(D204,D208,D210,D211)</f>
        <v>2.50133862755144</v>
      </c>
      <c r="E348" s="219">
        <f>SUM(E150)/SUM(E204,E208,E210,E211)</f>
        <v>4.66285203384785</v>
      </c>
      <c r="F348" s="219">
        <f>SUM(F150)/SUM(F204,F208,F210,F211)</f>
        <v>3.29254815503842</v>
      </c>
      <c r="G348" s="219">
        <f>SUM(G150)/SUM(G204,G208,G210,G211)</f>
        <v>2.6030582163885</v>
      </c>
      <c r="I348" s="219">
        <f>SUM(I150)/SUM(I204,I208,I210,I211)</f>
        <v>4.42190561936144</v>
      </c>
      <c r="J348" s="219">
        <f>SUM(J150)/SUM(J204,J208,J210,J211)</f>
        <v>3.11015795645608</v>
      </c>
      <c r="K348" s="219">
        <f>SUM(K150)/SUM(K204,K208,K210,K211)</f>
        <v>4.53856497290666</v>
      </c>
      <c r="L348" s="219">
        <f>SUM(L150)/SUM(L204,L208,L210,L211)</f>
        <v>3.45999418188884</v>
      </c>
      <c r="N348" s="219">
        <f>SUM(N150)/SUM(N204,N208,N210,N211)</f>
        <v>2.58919554967318</v>
      </c>
      <c r="O348" s="219">
        <f>SUM(O150)/SUM(O204,O208,O210,O211)</f>
        <v>2.21456423453728</v>
      </c>
      <c r="P348" s="219">
        <f>SUM(P150)/SUM(P204,P208,P210,P211)</f>
        <v>2.2666781145485</v>
      </c>
      <c r="Q348" s="219">
        <f>SUM(Q150)/SUM(Q204,Q208,Q210,Q211)</f>
        <v>1.3253558545311</v>
      </c>
      <c r="S348" s="219">
        <f>SUM(S150)/SUM(S204,S208,S210,S211)</f>
        <v>1.36370977806111</v>
      </c>
      <c r="T348" s="219">
        <f>SUM(T150)/SUM(T204,T208,T210,T211)</f>
        <v>1.26048292854768</v>
      </c>
      <c r="U348" s="219">
        <f>SUM(U150)/SUM(U204,U208,U210,U211)</f>
        <v>1.07916691419596</v>
      </c>
      <c r="V348" s="219">
        <f>SUM(V150)/SUM(V204,V208,V210,V211)</f>
        <v>1.00849834090447</v>
      </c>
      <c r="X348" s="219">
        <f>SUM(X150)/SUM(X204,X208,X210,X211)</f>
        <v>1.09022925485721</v>
      </c>
      <c r="Y348" s="219">
        <f>SUM(Y150)/SUM(Y204,Y208,Y210,Y211)</f>
        <v>1.0612554101585</v>
      </c>
      <c r="Z348" s="219">
        <f>SUM(Z150)/SUM(Z204,Z208,Z210,Z211)</f>
        <v>1.23053649524438</v>
      </c>
      <c r="AA348" s="219">
        <f>SUM(AA150)/SUM(AA204,AA208,AA210,AA211)</f>
        <v>0.992404171802634</v>
      </c>
      <c r="AC348" s="219">
        <f>SUM(AC150)/SUM(AC204,AC208,AC210,AC211)</f>
        <v>1.1809673511723</v>
      </c>
      <c r="AD348" s="219">
        <f>SUM(AD150)/SUM(AD204,AD208,AD210,AD211)</f>
        <v>1.03944609372886</v>
      </c>
      <c r="AE348" s="219">
        <f>SUM(AE150)/SUM(AE204,AE208,AE210,AE211)</f>
        <v>1.02050897568548</v>
      </c>
      <c r="AF348" s="219">
        <f>SUM(AF150)/SUM(AF204,AF208,AF210,AF211)</f>
        <v>1.17640690894779</v>
      </c>
      <c r="AH348" s="219">
        <f>SUM(AH150)/SUM(AH204,AH208,AH210,AH211)</f>
        <v>1.21680498855005</v>
      </c>
      <c r="AI348" s="219">
        <f>SUM(AI150)/SUM(AI204,AI208,AI210,AI211)</f>
        <v>1.08349773663658</v>
      </c>
      <c r="AJ348" s="219">
        <f>SUM(AJ150)/SUM(AJ204,AJ208,AJ210,AJ211)</f>
        <v>3.62296870114482</v>
      </c>
      <c r="AK348" s="219">
        <f>SUM(AK150)/SUM(AK204,AK208,AK210,AK211)</f>
        <v>3.72917752024501</v>
      </c>
      <c r="AM348" s="219" t="e">
        <f>SUM(AM150)/SUM(AM204,AM208,AM210,AM211)</f>
        <v>#DIV/0!</v>
      </c>
      <c r="AN348" s="219" t="e">
        <f>SUM(AN150)/SUM(AN204,AN208,AN210,AN211)</f>
        <v>#DIV/0!</v>
      </c>
      <c r="AO348" s="219" t="e">
        <f>SUM(AO150)/SUM(AO204,AO208,AO210,AO211)</f>
        <v>#DIV/0!</v>
      </c>
      <c r="AP348" s="219" t="e">
        <f>SUM(AP150)/SUM(AP204,AP208,AP210,AP211)</f>
        <v>#DIV/0!</v>
      </c>
      <c r="AR348" s="219" t="e">
        <f>SUM(AR150)/SUM(AR204,AR208,AR210,AR211)</f>
        <v>#DIV/0!</v>
      </c>
      <c r="AS348" s="219" t="e">
        <f>SUM(AS150)/SUM(AS204,AS208,AS210,AS211)</f>
        <v>#DIV/0!</v>
      </c>
      <c r="AT348" s="219" t="e">
        <f>SUM(AT150)/SUM(AT204,AT208,AT210,AT211)</f>
        <v>#DIV/0!</v>
      </c>
      <c r="AU348" s="219" t="e">
        <f>SUM(AU150)/SUM(AU204,AU208,AU210,AU211)</f>
        <v>#DIV/0!</v>
      </c>
      <c r="AW348" s="219" t="e">
        <f>SUM(AW150)/SUM(AW204,AW208,AW210,AW211)</f>
        <v>#DIV/0!</v>
      </c>
      <c r="AX348" s="219" t="e">
        <f>SUM(AX150)/SUM(AX204,AX208,AX210,AX211)</f>
        <v>#DIV/0!</v>
      </c>
      <c r="AY348" s="219" t="e">
        <f>SUM(AY150)/SUM(AY204,AY208,AY210,AY211)</f>
        <v>#DIV/0!</v>
      </c>
      <c r="AZ348" s="219" t="e">
        <f>SUM(AZ150)/SUM(AZ204,AZ208,AZ210,AZ211)</f>
        <v>#DIV/0!</v>
      </c>
      <c r="BB348" s="219" t="e">
        <f>SUM(BB150)/SUM(BB204,BB208,BB210,BB211)</f>
        <v>#DIV/0!</v>
      </c>
      <c r="BC348" s="219" t="e">
        <f>SUM(BC150)/SUM(BC204,BC208,BC210,BC211)</f>
        <v>#DIV/0!</v>
      </c>
      <c r="BD348" s="219" t="e">
        <f>SUM(BD150)/SUM(BD204,BD208,BD210,BD211)</f>
        <v>#DIV/0!</v>
      </c>
      <c r="BE348" s="219" t="e">
        <f>SUM(BE150)/SUM(BE204,BE208,BE210,BE211)</f>
        <v>#DIV/0!</v>
      </c>
      <c r="BG348" s="219" t="e">
        <f>SUM(BG150)/SUM(BG204,BG208,BG210,BG211)</f>
        <v>#DIV/0!</v>
      </c>
      <c r="BH348" s="219" t="e">
        <f>SUM(BH150)/SUM(BH204,BH208,BH210,BH211)</f>
        <v>#DIV/0!</v>
      </c>
      <c r="BI348" s="219" t="e">
        <f>SUM(BI150)/SUM(BI204,BI208,BI210,BI211)</f>
        <v>#DIV/0!</v>
      </c>
      <c r="BJ348" s="219" t="e">
        <f>SUM(BJ150)/SUM(BJ204,BJ208,BJ210,BJ211)</f>
        <v>#DIV/0!</v>
      </c>
      <c r="BL348" s="219" t="e">
        <f>SUM(BL150)/SUM(BL204,BL208,BL210,BL211)</f>
        <v>#DIV/0!</v>
      </c>
      <c r="BM348" s="219" t="e">
        <f>SUM(BM150)/SUM(BM204,BM208,BM210,BM211)</f>
        <v>#DIV/0!</v>
      </c>
      <c r="BN348" s="219" t="e">
        <f>SUM(BN150)/SUM(BN204,BN208,BN210,BN211)</f>
        <v>#DIV/0!</v>
      </c>
      <c r="BO348" s="219" t="e">
        <f>SUM(BO150)/SUM(BO204,BO208,BO210,BO211)</f>
        <v>#DIV/0!</v>
      </c>
      <c r="BQ348" s="219" t="e">
        <f>SUM(BQ150)/SUM(BQ204,BQ208,BQ210,BQ211)</f>
        <v>#DIV/0!</v>
      </c>
      <c r="BR348" s="219" t="e">
        <f>SUM(BR150)/SUM(BR204,BR208,BR210,BR211)</f>
        <v>#DIV/0!</v>
      </c>
      <c r="BS348" s="219" t="e">
        <f>SUM(BS150)/SUM(BS204,BS208,BS210,BS211)</f>
        <v>#DIV/0!</v>
      </c>
      <c r="BT348" s="219" t="e">
        <f>SUM(BT150)/SUM(BT204,BT208,BT210,BT211)</f>
        <v>#DIV/0!</v>
      </c>
      <c r="BV348" s="219" t="e">
        <f>SUM(BV150)/SUM(BV204,BV208,BV210,BV211)</f>
        <v>#DIV/0!</v>
      </c>
      <c r="BW348" s="219" t="e">
        <f>SUM(BW150)/SUM(BW204,BW208,BW210,BW211)</f>
        <v>#DIV/0!</v>
      </c>
      <c r="BX348" s="219" t="e">
        <f>SUM(BX150)/SUM(BX204,BX208,BX210,BX211)</f>
        <v>#DIV/0!</v>
      </c>
      <c r="BY348" s="219" t="e">
        <f>SUM(BY150)/SUM(BY204,BY208,BY210,BY211)</f>
        <v>#DIV/0!</v>
      </c>
      <c r="CA348" s="219" t="e">
        <f>SUM(CA150)/SUM(CA204,CA208,CA210,CA211)</f>
        <v>#DIV/0!</v>
      </c>
      <c r="CB348" s="219" t="e">
        <f>SUM(CB150)/SUM(CB204,CB208,CB210,CB211)</f>
        <v>#DIV/0!</v>
      </c>
      <c r="CC348" s="219" t="e">
        <f>SUM(CC150)/SUM(CC204,CC208,CC210,CC211)</f>
        <v>#DIV/0!</v>
      </c>
      <c r="CD348" s="219" t="e">
        <f>SUM(CD150)/SUM(CD204,CD208,CD210,CD211)</f>
        <v>#DIV/0!</v>
      </c>
      <c r="CF348" s="219" t="e">
        <f>SUM(CF150)/SUM(CF204,CF208,CF210,CF211)</f>
        <v>#DIV/0!</v>
      </c>
      <c r="CG348" s="219" t="e">
        <f>SUM(CG150)/SUM(CG204,CG208,CG210,CG211)</f>
        <v>#DIV/0!</v>
      </c>
      <c r="CH348" s="219" t="e">
        <f>SUM(CH150)/SUM(CH204,CH208,CH210,CH211)</f>
        <v>#DIV/0!</v>
      </c>
      <c r="CI348" s="219" t="e">
        <f>SUM(CI150)/SUM(CI204,CI208,CI210,CI211)</f>
        <v>#DIV/0!</v>
      </c>
      <c r="CK348" s="219" t="e">
        <f>SUM(CK150)/SUM(CK204,CK208,CK210,CK211)</f>
        <v>#DIV/0!</v>
      </c>
      <c r="CL348" s="219" t="e">
        <f>SUM(CL150)/SUM(CL204,CL208,CL210,CL211)</f>
        <v>#DIV/0!</v>
      </c>
      <c r="CM348" s="219" t="e">
        <f>SUM(CM150)/SUM(CM204,CM208,CM210,CM211)</f>
        <v>#DIV/0!</v>
      </c>
      <c r="CN348" s="219" t="e">
        <f>SUM(CN150)/SUM(CN204,CN208,CN210,CN211)</f>
        <v>#DIV/0!</v>
      </c>
      <c r="CP348" s="219" t="e">
        <f>SUM(CP150)/SUM(CP204,CP208,CP210,CP211)</f>
        <v>#DIV/0!</v>
      </c>
      <c r="CQ348" s="219" t="e">
        <f>SUM(CQ150)/SUM(CQ204,CQ208,CQ210,CQ211)</f>
        <v>#DIV/0!</v>
      </c>
      <c r="CR348" s="219" t="e">
        <f>SUM(CR150)/SUM(CR204,CR208,CR210,CR211)</f>
        <v>#DIV/0!</v>
      </c>
      <c r="CS348" s="219" t="e">
        <f>SUM(CS150)/SUM(CS204,CS208,CS210,CS211)</f>
        <v>#DIV/0!</v>
      </c>
      <c r="CU348" s="219" t="e">
        <f>SUM(CU150)/SUM(CU204,CU208,CU210,CU211)</f>
        <v>#DIV/0!</v>
      </c>
      <c r="CV348" s="219" t="e">
        <f>SUM(CV150)/SUM(CV204,CV208,CV210,CV211)</f>
        <v>#DIV/0!</v>
      </c>
      <c r="CW348" s="219" t="e">
        <f>SUM(CW150)/SUM(CW204,CW208,CW210,CW211)</f>
        <v>#DIV/0!</v>
      </c>
      <c r="CX348" s="219" t="e">
        <f>SUM(CX150)/SUM(CX204,CX208,CX210,CX211)</f>
        <v>#DIV/0!</v>
      </c>
    </row>
    <row r="349" customFormat="1" s="233">
      <c r="A349" s="224" t="n"/>
      <c r="B349" s="224" t="n"/>
    </row>
    <row r="350" customFormat="1" s="233">
      <c r="A350" s="224" t="n"/>
      <c r="B350" s="224" t="n"/>
      <c r="C350" s="234" t="inlineStr">
        <is>
          <t>OPERATING EFFICIENCY</t>
        </is>
      </c>
    </row>
    <row r="351" customFormat="1" s="238">
      <c r="A351" s="222" t="n"/>
      <c r="B351" s="222" t="n"/>
      <c r="C351" s="238" t="inlineStr">
        <is>
          <t>RETURN ON CAPITAL (ROIC)</t>
        </is>
      </c>
      <c r="D351" s="238">
        <f>D353/D356</f>
        <v>0.0168654848313725</v>
      </c>
      <c r="E351" s="238">
        <f>E353/E356</f>
        <v>0.00784296825941675</v>
      </c>
      <c r="F351" s="238">
        <f>F353/F356</f>
        <v>0.0159027055637255</v>
      </c>
      <c r="G351" s="238">
        <f>G353/G356</f>
        <v>0.0252899059345121</v>
      </c>
      <c r="H351" s="238">
        <f>H353/H356</f>
        <v>0.0593513747135252</v>
      </c>
      <c r="I351" s="222">
        <f>I353/I356</f>
        <v>0.0209108466655599</v>
      </c>
      <c r="J351" s="222">
        <f>J353/J356</f>
        <v>0.0322593934911571</v>
      </c>
      <c r="K351" s="222">
        <f>K353/K356</f>
        <v>0.0323558852007846</v>
      </c>
      <c r="L351" s="222">
        <f>L353/L356</f>
        <v>0.0318650714492928</v>
      </c>
      <c r="M351" s="222">
        <f>M353/M356</f>
        <v>0.0964504274972501</v>
      </c>
      <c r="N351" s="222">
        <f>N353/N356</f>
        <v>0.0331106426722473</v>
      </c>
      <c r="O351" s="222">
        <f>O353/O356</f>
        <v>0.0301025747437678</v>
      </c>
      <c r="P351" s="222">
        <f>P353/P356</f>
        <v>0.0281309359958338</v>
      </c>
      <c r="Q351" s="222">
        <f>Q353/Q356</f>
        <v>0.439590913600645</v>
      </c>
      <c r="R351" s="222">
        <f>R353/R356</f>
        <v>0.144445330138284</v>
      </c>
      <c r="S351" s="222">
        <f>S353/S356</f>
        <v>0.413843221013586</v>
      </c>
      <c r="T351" s="222">
        <f>T353/T356</f>
        <v>0.0367625933868566</v>
      </c>
      <c r="U351" s="222">
        <f>U353/U356</f>
        <v>0.0188757953884994</v>
      </c>
      <c r="V351" s="222">
        <f>V353/V356</f>
        <v>0.0105238911312548</v>
      </c>
      <c r="W351" s="222">
        <f>W353/W356</f>
        <v>0.0725022896134671</v>
      </c>
      <c r="X351" s="222">
        <f>X353/X356</f>
        <v>0.0285930152419081</v>
      </c>
      <c r="Y351" s="222">
        <f>Y353/Y356</f>
        <v>0.023038936291206</v>
      </c>
      <c r="Z351" s="222">
        <f>Z353/Z356</f>
        <v>0.0245665631079202</v>
      </c>
      <c r="AA351" s="222">
        <f>AA353/AA356</f>
        <v>0.161504274842151</v>
      </c>
      <c r="AB351" s="222">
        <f>AB353/AB356</f>
        <v>0.0297978914025066</v>
      </c>
      <c r="AC351" s="222">
        <f>AC353/AC356</f>
        <v>-0.018578217427153</v>
      </c>
      <c r="AD351" s="222">
        <f>AD353/AD356</f>
        <v>0.0125932801730651</v>
      </c>
      <c r="AE351" s="222">
        <f>AE353/AE356</f>
        <v>0.0256336336935905</v>
      </c>
      <c r="AF351" s="222">
        <f>AF353/AF356</f>
        <v>0.0386746967479551</v>
      </c>
      <c r="AG351" s="222">
        <f>AG353/AG356</f>
        <v>0.135159396355954</v>
      </c>
      <c r="AH351" s="222">
        <f>AH353/AH356</f>
        <v>0.0266508119901127</v>
      </c>
      <c r="AI351" s="222">
        <f>AI353/AI356</f>
        <v>0.0320306571800558</v>
      </c>
      <c r="AJ351" s="222">
        <f>AJ353/AJ356</f>
        <v>0</v>
      </c>
      <c r="AK351" s="222">
        <f>AK353/AK356</f>
        <v>0</v>
      </c>
      <c r="AL351" s="222">
        <f>AL353/AL356</f>
        <v>0.0910184998595325</v>
      </c>
      <c r="AM351" s="222" t="e">
        <f>AM353/AM356</f>
        <v>#DIV/0!</v>
      </c>
      <c r="AN351" s="222">
        <f>AN353/AN356</f>
        <v>0</v>
      </c>
      <c r="AO351" s="222" t="e">
        <f>AO353/AO356</f>
        <v>#DIV/0!</v>
      </c>
      <c r="AP351" s="222" t="e">
        <f>AP353/AP356</f>
        <v>#DIV/0!</v>
      </c>
      <c r="AQ351" s="222" t="e">
        <f>AQ353/AQ356</f>
        <v>#DIV/0!</v>
      </c>
      <c r="AR351" s="222" t="e">
        <f>AR353/AR356</f>
        <v>#DIV/0!</v>
      </c>
      <c r="AS351" s="222" t="e">
        <f>AS353/AS356</f>
        <v>#DIV/0!</v>
      </c>
      <c r="AT351" s="222" t="e">
        <f>AT353/AT356</f>
        <v>#DIV/0!</v>
      </c>
      <c r="AU351" s="222" t="e">
        <f>AU353/AU356</f>
        <v>#DIV/0!</v>
      </c>
      <c r="AV351" s="222" t="e">
        <f>AV353/AV356</f>
        <v>#DIV/0!</v>
      </c>
      <c r="AW351" s="222" t="e">
        <f>AW353/AW356</f>
        <v>#DIV/0!</v>
      </c>
      <c r="AX351" s="222" t="e">
        <f>AX353/AX356</f>
        <v>#DIV/0!</v>
      </c>
      <c r="AY351" s="222" t="e">
        <f>AY353/AY356</f>
        <v>#DIV/0!</v>
      </c>
      <c r="AZ351" s="222" t="e">
        <f>AZ353/AZ356</f>
        <v>#DIV/0!</v>
      </c>
      <c r="BA351" s="222" t="e">
        <f>BA353/BA356</f>
        <v>#DIV/0!</v>
      </c>
      <c r="BB351" s="222" t="e">
        <f>BB353/BB356</f>
        <v>#DIV/0!</v>
      </c>
      <c r="BC351" s="222" t="e">
        <f>BC353/BC356</f>
        <v>#DIV/0!</v>
      </c>
      <c r="BD351" s="222" t="e">
        <f>BD353/BD356</f>
        <v>#DIV/0!</v>
      </c>
      <c r="BE351" s="222" t="e">
        <f>BE353/BE356</f>
        <v>#DIV/0!</v>
      </c>
      <c r="BF351" s="222" t="e">
        <f>BF353/BF356</f>
        <v>#DIV/0!</v>
      </c>
      <c r="BG351" s="222" t="e">
        <f>BG353/BG356</f>
        <v>#DIV/0!</v>
      </c>
      <c r="BH351" s="222" t="e">
        <f>BH353/BH356</f>
        <v>#DIV/0!</v>
      </c>
      <c r="BI351" s="222" t="e">
        <f>BI353/BI356</f>
        <v>#DIV/0!</v>
      </c>
      <c r="BJ351" s="222" t="e">
        <f>BJ353/BJ356</f>
        <v>#DIV/0!</v>
      </c>
      <c r="BK351" s="222" t="e">
        <f>BK353/BK356</f>
        <v>#DIV/0!</v>
      </c>
      <c r="BL351" s="222" t="e">
        <f>BL353/BL356</f>
        <v>#DIV/0!</v>
      </c>
      <c r="BM351" s="222" t="e">
        <f>BM353/BM356</f>
        <v>#DIV/0!</v>
      </c>
      <c r="BN351" s="222" t="e">
        <f>BN353/BN356</f>
        <v>#DIV/0!</v>
      </c>
      <c r="BO351" s="222" t="e">
        <f>BO353/BO356</f>
        <v>#DIV/0!</v>
      </c>
      <c r="BP351" s="222" t="e">
        <f>BP353/BP356</f>
        <v>#DIV/0!</v>
      </c>
      <c r="BQ351" s="222" t="e">
        <f>BQ353/BQ356</f>
        <v>#DIV/0!</v>
      </c>
      <c r="BR351" s="222" t="e">
        <f>BR353/BR356</f>
        <v>#DIV/0!</v>
      </c>
      <c r="BS351" s="222" t="e">
        <f>BS353/BS356</f>
        <v>#DIV/0!</v>
      </c>
      <c r="BT351" s="222" t="e">
        <f>BT353/BT356</f>
        <v>#DIV/0!</v>
      </c>
      <c r="BU351" s="222" t="e">
        <f>BU353/BU356</f>
        <v>#DIV/0!</v>
      </c>
      <c r="BV351" s="222" t="e">
        <f>BV353/BV356</f>
        <v>#DIV/0!</v>
      </c>
      <c r="BW351" s="222" t="e">
        <f>BW353/BW356</f>
        <v>#DIV/0!</v>
      </c>
      <c r="BX351" s="222" t="e">
        <f>BX353/BX356</f>
        <v>#DIV/0!</v>
      </c>
      <c r="BY351" s="222" t="e">
        <f>BY353/BY356</f>
        <v>#DIV/0!</v>
      </c>
      <c r="BZ351" s="222" t="e">
        <f>BZ353/BZ356</f>
        <v>#DIV/0!</v>
      </c>
      <c r="CA351" s="222" t="e">
        <f>CA353/CA356</f>
        <v>#DIV/0!</v>
      </c>
      <c r="CB351" s="222" t="e">
        <f>CB353/CB356</f>
        <v>#DIV/0!</v>
      </c>
      <c r="CC351" s="222" t="e">
        <f>CC353/CC356</f>
        <v>#DIV/0!</v>
      </c>
      <c r="CD351" s="222" t="e">
        <f>CD353/CD356</f>
        <v>#DIV/0!</v>
      </c>
      <c r="CE351" s="222" t="e">
        <f>CE353/CE356</f>
        <v>#DIV/0!</v>
      </c>
      <c r="CF351" s="222" t="e">
        <f>CF353/CF356</f>
        <v>#DIV/0!</v>
      </c>
      <c r="CG351" s="222" t="e">
        <f>CG353/CG356</f>
        <v>#DIV/0!</v>
      </c>
      <c r="CH351" s="222" t="e">
        <f>CH353/CH356</f>
        <v>#DIV/0!</v>
      </c>
      <c r="CI351" s="222" t="e">
        <f>CI353/CI356</f>
        <v>#DIV/0!</v>
      </c>
      <c r="CJ351" s="222" t="e">
        <f>CJ353/CJ356</f>
        <v>#DIV/0!</v>
      </c>
      <c r="CK351" s="222" t="e">
        <f>CK353/CK356</f>
        <v>#DIV/0!</v>
      </c>
      <c r="CL351" s="222" t="e">
        <f>CL353/CL356</f>
        <v>#DIV/0!</v>
      </c>
      <c r="CM351" s="222" t="e">
        <f>CM353/CM356</f>
        <v>#DIV/0!</v>
      </c>
      <c r="CN351" s="222" t="e">
        <f>CN353/CN356</f>
        <v>#DIV/0!</v>
      </c>
      <c r="CO351" s="222" t="e">
        <f>CO353/CO356</f>
        <v>#DIV/0!</v>
      </c>
      <c r="CP351" s="222" t="e">
        <f>CP353/CP356</f>
        <v>#DIV/0!</v>
      </c>
      <c r="CQ351" s="222" t="e">
        <f>CQ353/CQ356</f>
        <v>#DIV/0!</v>
      </c>
      <c r="CR351" s="222" t="e">
        <f>CR353/CR356</f>
        <v>#DIV/0!</v>
      </c>
      <c r="CS351" s="222" t="e">
        <f>CS353/CS356</f>
        <v>#DIV/0!</v>
      </c>
      <c r="CT351" s="222" t="e">
        <f>CT353/CT356</f>
        <v>#DIV/0!</v>
      </c>
      <c r="CU351" s="222" t="e">
        <f>CU353/CU356</f>
        <v>#DIV/0!</v>
      </c>
      <c r="CV351" s="222" t="e">
        <f>CV353/CV356</f>
        <v>#DIV/0!</v>
      </c>
      <c r="CW351" s="222" t="e">
        <f>CW353/CW356</f>
        <v>#DIV/0!</v>
      </c>
      <c r="CX351" s="222" t="e">
        <f>CX353/CX356</f>
        <v>#DIV/0!</v>
      </c>
      <c r="CY351" s="222" t="e">
        <f>CY353/CY356</f>
        <v>#DIV/0!</v>
      </c>
    </row>
    <row r="352" customFormat="1" s="238">
      <c r="A352" s="222" t="n"/>
      <c r="B352" s="222" t="n"/>
      <c r="C352" s="238" t="inlineStr">
        <is>
          <t>RETURN ON CAPITAL (ROIC) - EX GOODWILL</t>
        </is>
      </c>
      <c r="D352" s="238">
        <f>D353/D357</f>
        <v>0.0168654848313725</v>
      </c>
      <c r="E352" s="238">
        <f>E353/E357</f>
        <v>0.00784296825941675</v>
      </c>
      <c r="F352" s="238">
        <f>F353/F357</f>
        <v>0.0159027055637255</v>
      </c>
      <c r="G352" s="238">
        <f>G353/G357</f>
        <v>0.0252899059345121</v>
      </c>
      <c r="H352" s="238">
        <f>H353/H357</f>
        <v>0.0593513747135252</v>
      </c>
      <c r="I352" s="222">
        <f>I353/I357</f>
        <v>0.0209108466655599</v>
      </c>
      <c r="J352" s="222">
        <f>J353/J357</f>
        <v>0.0322593934911571</v>
      </c>
      <c r="K352" s="222">
        <f>K353/K357</f>
        <v>0.0323558852007846</v>
      </c>
      <c r="L352" s="222">
        <f>L353/L357</f>
        <v>0.0318650714492928</v>
      </c>
      <c r="M352" s="222">
        <f>M353/M357</f>
        <v>0.0964504274972501</v>
      </c>
      <c r="N352" s="222">
        <f>N353/N357</f>
        <v>0.0331106426722473</v>
      </c>
      <c r="O352" s="222">
        <f>O353/O357</f>
        <v>0.0301025747437678</v>
      </c>
      <c r="P352" s="222">
        <f>P353/P357</f>
        <v>0.0281309359958338</v>
      </c>
      <c r="Q352" s="222">
        <f>Q353/Q357</f>
        <v>0.439590913600645</v>
      </c>
      <c r="R352" s="222">
        <f>R353/R357</f>
        <v>0.144445330138284</v>
      </c>
      <c r="S352" s="222">
        <f>S353/S357</f>
        <v>0.413843221013586</v>
      </c>
      <c r="T352" s="222">
        <f>T353/T357</f>
        <v>0.0367625933868566</v>
      </c>
      <c r="U352" s="222">
        <f>U353/U357</f>
        <v>0.0188757953884994</v>
      </c>
      <c r="V352" s="222">
        <f>V353/V357</f>
        <v>0.0105238911312548</v>
      </c>
      <c r="W352" s="222">
        <f>W353/W357</f>
        <v>0.0725022896134671</v>
      </c>
      <c r="X352" s="222">
        <f>X353/X357</f>
        <v>0.0285930152419081</v>
      </c>
      <c r="Y352" s="222">
        <f>Y353/Y357</f>
        <v>0.023038936291206</v>
      </c>
      <c r="Z352" s="222">
        <f>Z353/Z357</f>
        <v>0.0245665631079202</v>
      </c>
      <c r="AA352" s="222">
        <f>AA353/AA357</f>
        <v>0.161504274842151</v>
      </c>
      <c r="AB352" s="222">
        <f>AB353/AB357</f>
        <v>0.0297978914025066</v>
      </c>
      <c r="AC352" s="222">
        <f>AC353/AC357</f>
        <v>-0.018578217427153</v>
      </c>
      <c r="AD352" s="222">
        <f>AD353/AD357</f>
        <v>0.0125932801730651</v>
      </c>
      <c r="AE352" s="222">
        <f>AE353/AE357</f>
        <v>0.0256336336935905</v>
      </c>
      <c r="AF352" s="222">
        <f>AF353/AF357</f>
        <v>0.0386746967479551</v>
      </c>
      <c r="AG352" s="222">
        <f>AG353/AG357</f>
        <v>0.135159396355954</v>
      </c>
      <c r="AH352" s="222">
        <f>AH353/AH357</f>
        <v>0.0266508119901127</v>
      </c>
      <c r="AI352" s="222">
        <f>AI353/AI357</f>
        <v>0.0320306571800558</v>
      </c>
      <c r="AJ352" s="222">
        <f>AJ353/AJ357</f>
        <v>0</v>
      </c>
      <c r="AK352" s="222">
        <f>AK353/AK357</f>
        <v>0</v>
      </c>
      <c r="AL352" s="222">
        <f>AL353/AL357</f>
        <v>0.0910184998595325</v>
      </c>
      <c r="AM352" s="222" t="e">
        <f>AM353/AM357</f>
        <v>#DIV/0!</v>
      </c>
      <c r="AN352" s="222">
        <f>AN353/AN357</f>
        <v>0</v>
      </c>
      <c r="AO352" s="222" t="e">
        <f>AO353/AO357</f>
        <v>#DIV/0!</v>
      </c>
      <c r="AP352" s="222" t="e">
        <f>AP353/AP357</f>
        <v>#DIV/0!</v>
      </c>
      <c r="AQ352" s="222" t="e">
        <f>AQ353/AQ357</f>
        <v>#DIV/0!</v>
      </c>
      <c r="AR352" s="222" t="e">
        <f>AR353/AR357</f>
        <v>#DIV/0!</v>
      </c>
      <c r="AS352" s="222" t="e">
        <f>AS353/AS357</f>
        <v>#DIV/0!</v>
      </c>
      <c r="AT352" s="222" t="e">
        <f>AT353/AT357</f>
        <v>#DIV/0!</v>
      </c>
      <c r="AU352" s="222" t="e">
        <f>AU353/AU357</f>
        <v>#DIV/0!</v>
      </c>
      <c r="AV352" s="222" t="e">
        <f>AV353/AV357</f>
        <v>#DIV/0!</v>
      </c>
      <c r="AW352" s="222" t="e">
        <f>AW353/AW357</f>
        <v>#DIV/0!</v>
      </c>
      <c r="AX352" s="222" t="e">
        <f>AX353/AX357</f>
        <v>#DIV/0!</v>
      </c>
      <c r="AY352" s="222" t="e">
        <f>AY353/AY357</f>
        <v>#DIV/0!</v>
      </c>
      <c r="AZ352" s="222" t="e">
        <f>AZ353/AZ357</f>
        <v>#DIV/0!</v>
      </c>
      <c r="BA352" s="222" t="e">
        <f>BA353/BA357</f>
        <v>#DIV/0!</v>
      </c>
      <c r="BB352" s="222" t="e">
        <f>BB353/BB357</f>
        <v>#DIV/0!</v>
      </c>
      <c r="BC352" s="222" t="e">
        <f>BC353/BC357</f>
        <v>#DIV/0!</v>
      </c>
      <c r="BD352" s="222" t="e">
        <f>BD353/BD357</f>
        <v>#DIV/0!</v>
      </c>
      <c r="BE352" s="222" t="e">
        <f>BE353/BE357</f>
        <v>#DIV/0!</v>
      </c>
      <c r="BF352" s="222" t="e">
        <f>BF353/BF357</f>
        <v>#DIV/0!</v>
      </c>
      <c r="BG352" s="222" t="e">
        <f>BG353/BG357</f>
        <v>#DIV/0!</v>
      </c>
      <c r="BH352" s="222" t="e">
        <f>BH353/BH357</f>
        <v>#DIV/0!</v>
      </c>
      <c r="BI352" s="222" t="e">
        <f>BI353/BI357</f>
        <v>#DIV/0!</v>
      </c>
      <c r="BJ352" s="222" t="e">
        <f>BJ353/BJ357</f>
        <v>#DIV/0!</v>
      </c>
      <c r="BK352" s="222" t="e">
        <f>BK353/BK357</f>
        <v>#DIV/0!</v>
      </c>
      <c r="BL352" s="222" t="e">
        <f>BL353/BL357</f>
        <v>#DIV/0!</v>
      </c>
      <c r="BM352" s="222" t="e">
        <f>BM353/BM357</f>
        <v>#DIV/0!</v>
      </c>
      <c r="BN352" s="222" t="e">
        <f>BN353/BN357</f>
        <v>#DIV/0!</v>
      </c>
      <c r="BO352" s="222" t="e">
        <f>BO353/BO357</f>
        <v>#DIV/0!</v>
      </c>
      <c r="BP352" s="222" t="e">
        <f>BP353/BP357</f>
        <v>#DIV/0!</v>
      </c>
      <c r="BQ352" s="222" t="e">
        <f>BQ353/BQ357</f>
        <v>#DIV/0!</v>
      </c>
      <c r="BR352" s="222" t="e">
        <f>BR353/BR357</f>
        <v>#DIV/0!</v>
      </c>
      <c r="BS352" s="222" t="e">
        <f>BS353/BS357</f>
        <v>#DIV/0!</v>
      </c>
      <c r="BT352" s="222" t="e">
        <f>BT353/BT357</f>
        <v>#DIV/0!</v>
      </c>
      <c r="BU352" s="222" t="e">
        <f>BU353/BU357</f>
        <v>#DIV/0!</v>
      </c>
      <c r="BV352" s="222" t="e">
        <f>BV353/BV357</f>
        <v>#DIV/0!</v>
      </c>
      <c r="BW352" s="222" t="e">
        <f>BW353/BW357</f>
        <v>#DIV/0!</v>
      </c>
      <c r="BX352" s="222" t="e">
        <f>BX353/BX357</f>
        <v>#DIV/0!</v>
      </c>
      <c r="BY352" s="222" t="e">
        <f>BY353/BY357</f>
        <v>#DIV/0!</v>
      </c>
      <c r="BZ352" s="222" t="e">
        <f>BZ353/BZ357</f>
        <v>#DIV/0!</v>
      </c>
      <c r="CA352" s="222" t="e">
        <f>CA353/CA357</f>
        <v>#DIV/0!</v>
      </c>
      <c r="CB352" s="222" t="e">
        <f>CB353/CB357</f>
        <v>#DIV/0!</v>
      </c>
      <c r="CC352" s="222" t="e">
        <f>CC353/CC357</f>
        <v>#DIV/0!</v>
      </c>
      <c r="CD352" s="222" t="e">
        <f>CD353/CD357</f>
        <v>#DIV/0!</v>
      </c>
      <c r="CE352" s="222" t="e">
        <f>CE353/CE357</f>
        <v>#DIV/0!</v>
      </c>
      <c r="CF352" s="222" t="e">
        <f>CF353/CF357</f>
        <v>#DIV/0!</v>
      </c>
      <c r="CG352" s="222" t="e">
        <f>CG353/CG357</f>
        <v>#DIV/0!</v>
      </c>
      <c r="CH352" s="222" t="e">
        <f>CH353/CH357</f>
        <v>#DIV/0!</v>
      </c>
      <c r="CI352" s="222" t="e">
        <f>CI353/CI357</f>
        <v>#DIV/0!</v>
      </c>
      <c r="CJ352" s="222" t="e">
        <f>CJ353/CJ357</f>
        <v>#DIV/0!</v>
      </c>
      <c r="CK352" s="222" t="e">
        <f>CK353/CK357</f>
        <v>#DIV/0!</v>
      </c>
      <c r="CL352" s="222" t="e">
        <f>CL353/CL357</f>
        <v>#DIV/0!</v>
      </c>
      <c r="CM352" s="222" t="e">
        <f>CM353/CM357</f>
        <v>#DIV/0!</v>
      </c>
      <c r="CN352" s="222" t="e">
        <f>CN353/CN357</f>
        <v>#DIV/0!</v>
      </c>
      <c r="CO352" s="222" t="e">
        <f>CO353/CO357</f>
        <v>#DIV/0!</v>
      </c>
      <c r="CP352" s="222" t="e">
        <f>CP353/CP357</f>
        <v>#DIV/0!</v>
      </c>
      <c r="CQ352" s="222" t="e">
        <f>CQ353/CQ357</f>
        <v>#DIV/0!</v>
      </c>
      <c r="CR352" s="222" t="e">
        <f>CR353/CR357</f>
        <v>#DIV/0!</v>
      </c>
      <c r="CS352" s="222" t="e">
        <f>CS353/CS357</f>
        <v>#DIV/0!</v>
      </c>
      <c r="CT352" s="222" t="e">
        <f>CT353/CT357</f>
        <v>#DIV/0!</v>
      </c>
      <c r="CU352" s="222" t="e">
        <f>CU353/CU357</f>
        <v>#DIV/0!</v>
      </c>
      <c r="CV352" s="222" t="e">
        <f>CV353/CV357</f>
        <v>#DIV/0!</v>
      </c>
      <c r="CW352" s="222" t="e">
        <f>CW353/CW357</f>
        <v>#DIV/0!</v>
      </c>
      <c r="CX352" s="222" t="e">
        <f>CX353/CX357</f>
        <v>#DIV/0!</v>
      </c>
      <c r="CY352" s="222" t="e">
        <f>CY353/CY357</f>
        <v>#DIV/0!</v>
      </c>
    </row>
    <row r="353" customFormat="1" s="233">
      <c r="A353" s="224" t="n"/>
      <c r="B353" s="224" t="n"/>
      <c r="C353" s="233" t="inlineStr">
        <is>
          <t>NOPLAT</t>
        </is>
      </c>
      <c r="D353" s="233">
        <f>D354*(1-D355)</f>
        <v>205.411755816952</v>
      </c>
      <c r="E353" s="233">
        <f>E354*(1-E355)</f>
        <v>96.382419718387</v>
      </c>
      <c r="F353" s="233">
        <f>F354*(1-F355)</f>
        <v>195.244099279198</v>
      </c>
      <c r="G353" s="233">
        <f>G354*(1-G355)</f>
        <v>334.001983403169</v>
      </c>
      <c r="H353" s="233">
        <f>H354*(1-H355)</f>
        <v>783.849371498445</v>
      </c>
      <c r="I353" s="223">
        <f>I354*(1-I355)</f>
        <v>308.300702693254</v>
      </c>
      <c r="J353" s="224">
        <f>J354*(1-J355)</f>
        <v>522.527270502958</v>
      </c>
      <c r="K353" s="224">
        <f>K354*(1-K355)</f>
        <v>620.09047719274</v>
      </c>
      <c r="L353" s="224">
        <f>L354*(1-L355)</f>
        <v>718.513164327453</v>
      </c>
      <c r="M353" s="224">
        <f>M354*(1-M355)</f>
        <v>2174.82336332005</v>
      </c>
      <c r="N353" s="223">
        <f>N354*(1-N355)</f>
        <v>804.890387332923</v>
      </c>
      <c r="O353" s="224">
        <f>O354*(1-O355)</f>
        <v>845.324278666701</v>
      </c>
      <c r="P353" s="224">
        <f>P354*(1-P355)</f>
        <v>905.09581831874</v>
      </c>
      <c r="Q353" s="224">
        <f>Q354*(1-Q355)</f>
        <v>14835.8645200184</v>
      </c>
      <c r="R353" s="224">
        <f>R354*(1-R355)</f>
        <v>4874.92184706014</v>
      </c>
      <c r="S353" s="223">
        <f>S354*(1-S355)</f>
        <v>15228.6048855508</v>
      </c>
      <c r="T353" s="224">
        <f>T354*(1-T355)</f>
        <v>1485.6790564211</v>
      </c>
      <c r="U353" s="224">
        <f>U354*(1-U355)</f>
        <v>784.965134828989</v>
      </c>
      <c r="V353" s="224">
        <f>V354*(1-V355)</f>
        <v>447.288021568182</v>
      </c>
      <c r="W353" s="224">
        <f>W354*(1-W355)</f>
        <v>3081.50334091343</v>
      </c>
      <c r="X353" s="223">
        <f>X354*(1-X355)</f>
        <v>1256.39006429191</v>
      </c>
      <c r="Y353" s="224">
        <f>Y354*(1-Y355)</f>
        <v>1091.35047732047</v>
      </c>
      <c r="Z353" s="224">
        <f>Z354*(1-Z355)</f>
        <v>1213.3931934588</v>
      </c>
      <c r="AA353" s="224">
        <f>AA354*(1-AA355)</f>
        <v>8174.3301903427</v>
      </c>
      <c r="AB353" s="224">
        <f>AB354*(1-AB355)</f>
        <v>1508.18177127589</v>
      </c>
      <c r="AC353" s="223">
        <f>AC354*(1-AC355)</f>
        <v>-943.212330121242</v>
      </c>
      <c r="AD353" s="224">
        <f>AD354*(1-AD355)</f>
        <v>649.80961464311</v>
      </c>
      <c r="AE353" s="224">
        <f>AE354*(1-AE355)</f>
        <v>1284.08944882735</v>
      </c>
      <c r="AF353" s="224">
        <f>AF354*(1-AF355)</f>
        <v>1917.75802860728</v>
      </c>
      <c r="AG353" s="224">
        <f>AG354*(1-AG355)</f>
        <v>6702.13445221261</v>
      </c>
      <c r="AH353" s="223">
        <f>AH354*(1-AH355)</f>
        <v>1325.21672546945</v>
      </c>
      <c r="AI353" s="224">
        <f>AI354*(1-AI355)</f>
        <v>1654.65370778856</v>
      </c>
      <c r="AJ353" s="224">
        <f>AJ354*(1-AJ355)</f>
        <v>0</v>
      </c>
      <c r="AK353" s="224">
        <f>AK354*(1-AK355)</f>
        <v>0</v>
      </c>
      <c r="AL353" s="224">
        <f>AL354*(1-AL355)</f>
        <v>4331.55585387997</v>
      </c>
      <c r="AM353" s="223">
        <f>AM354*(1-AM355)</f>
        <v>0</v>
      </c>
      <c r="AN353" s="224">
        <f>AN354*(1-AN355)</f>
        <v>0</v>
      </c>
      <c r="AO353" s="224">
        <f>AO354*(1-AO355)</f>
        <v>0</v>
      </c>
      <c r="AP353" s="224">
        <f>AP354*(1-AP355)</f>
        <v>0</v>
      </c>
      <c r="AQ353" s="224">
        <f>AQ354*(1-AQ355)</f>
        <v>0</v>
      </c>
      <c r="AR353" s="223">
        <f>AR354*(1-AR355)</f>
        <v>0</v>
      </c>
      <c r="AS353" s="224">
        <f>AS354*(1-AS355)</f>
        <v>0</v>
      </c>
      <c r="AT353" s="224">
        <f>AT354*(1-AT355)</f>
        <v>0</v>
      </c>
      <c r="AU353" s="224">
        <f>AU354*(1-AU355)</f>
        <v>0</v>
      </c>
      <c r="AV353" s="224">
        <f>AV354*(1-AV355)</f>
        <v>0</v>
      </c>
      <c r="AW353" s="223">
        <f>AW354*(1-AW355)</f>
        <v>0</v>
      </c>
      <c r="AX353" s="224">
        <f>AX354*(1-AX355)</f>
        <v>0</v>
      </c>
      <c r="AY353" s="224">
        <f>AY354*(1-AY355)</f>
        <v>0</v>
      </c>
      <c r="AZ353" s="224">
        <f>AZ354*(1-AZ355)</f>
        <v>0</v>
      </c>
      <c r="BA353" s="224">
        <f>BA354*(1-BA355)</f>
        <v>0</v>
      </c>
      <c r="BB353" s="223">
        <f>BB354*(1-BB355)</f>
        <v>0</v>
      </c>
      <c r="BC353" s="224">
        <f>BC354*(1-BC355)</f>
        <v>0</v>
      </c>
      <c r="BD353" s="224">
        <f>BD354*(1-BD355)</f>
        <v>0</v>
      </c>
      <c r="BE353" s="224">
        <f>BE354*(1-BE355)</f>
        <v>0</v>
      </c>
      <c r="BF353" s="224">
        <f>BF354*(1-BF355)</f>
        <v>0</v>
      </c>
      <c r="BG353" s="223">
        <f>BG354*(1-BG355)</f>
        <v>0</v>
      </c>
      <c r="BH353" s="224">
        <f>BH354*(1-BH355)</f>
        <v>0</v>
      </c>
      <c r="BI353" s="224">
        <f>BI354*(1-BI355)</f>
        <v>0</v>
      </c>
      <c r="BJ353" s="224">
        <f>BJ354*(1-BJ355)</f>
        <v>0</v>
      </c>
      <c r="BK353" s="224">
        <f>BK354*(1-BK355)</f>
        <v>0</v>
      </c>
      <c r="BL353" s="223">
        <f>BL354*(1-BL355)</f>
        <v>0</v>
      </c>
      <c r="BM353" s="224">
        <f>BM354*(1-BM355)</f>
        <v>0</v>
      </c>
      <c r="BN353" s="224">
        <f>BN354*(1-BN355)</f>
        <v>0</v>
      </c>
      <c r="BO353" s="224">
        <f>BO354*(1-BO355)</f>
        <v>0</v>
      </c>
      <c r="BP353" s="224">
        <f>BP354*(1-BP355)</f>
        <v>0</v>
      </c>
      <c r="BQ353" s="223">
        <f>BQ354*(1-BQ355)</f>
        <v>0</v>
      </c>
      <c r="BR353" s="224">
        <f>BR354*(1-BR355)</f>
        <v>0</v>
      </c>
      <c r="BS353" s="224">
        <f>BS354*(1-BS355)</f>
        <v>0</v>
      </c>
      <c r="BT353" s="224">
        <f>BT354*(1-BT355)</f>
        <v>0</v>
      </c>
      <c r="BU353" s="224">
        <f>BU354*(1-BU355)</f>
        <v>0</v>
      </c>
      <c r="BV353" s="223">
        <f>BV354*(1-BV355)</f>
        <v>0</v>
      </c>
      <c r="BW353" s="224">
        <f>BW354*(1-BW355)</f>
        <v>0</v>
      </c>
      <c r="BX353" s="224">
        <f>BX354*(1-BX355)</f>
        <v>0</v>
      </c>
      <c r="BY353" s="224">
        <f>BY354*(1-BY355)</f>
        <v>0</v>
      </c>
      <c r="BZ353" s="224">
        <f>BZ354*(1-BZ355)</f>
        <v>0</v>
      </c>
      <c r="CA353" s="223">
        <f>CA354*(1-CA355)</f>
        <v>0</v>
      </c>
      <c r="CB353" s="224">
        <f>CB354*(1-CB355)</f>
        <v>0</v>
      </c>
      <c r="CC353" s="224">
        <f>CC354*(1-CC355)</f>
        <v>0</v>
      </c>
      <c r="CD353" s="224">
        <f>CD354*(1-CD355)</f>
        <v>0</v>
      </c>
      <c r="CE353" s="224">
        <f>CE354*(1-CE355)</f>
        <v>0</v>
      </c>
      <c r="CF353" s="223">
        <f>CF354*(1-CF355)</f>
        <v>0</v>
      </c>
      <c r="CG353" s="224">
        <f>CG354*(1-CG355)</f>
        <v>0</v>
      </c>
      <c r="CH353" s="224">
        <f>CH354*(1-CH355)</f>
        <v>0</v>
      </c>
      <c r="CI353" s="224">
        <f>CI354*(1-CI355)</f>
        <v>0</v>
      </c>
      <c r="CJ353" s="224">
        <f>CJ354*(1-CJ355)</f>
        <v>0</v>
      </c>
      <c r="CK353" s="223">
        <f>CK354*(1-CK355)</f>
        <v>0</v>
      </c>
      <c r="CL353" s="224">
        <f>CL354*(1-CL355)</f>
        <v>0</v>
      </c>
      <c r="CM353" s="224">
        <f>CM354*(1-CM355)</f>
        <v>0</v>
      </c>
      <c r="CN353" s="224">
        <f>CN354*(1-CN355)</f>
        <v>0</v>
      </c>
      <c r="CO353" s="224">
        <f>CO354*(1-CO355)</f>
        <v>0</v>
      </c>
      <c r="CP353" s="223">
        <f>CP354*(1-CP355)</f>
        <v>0</v>
      </c>
      <c r="CQ353" s="224">
        <f>CQ354*(1-CQ355)</f>
        <v>0</v>
      </c>
      <c r="CR353" s="224">
        <f>CR354*(1-CR355)</f>
        <v>0</v>
      </c>
      <c r="CS353" s="224">
        <f>CS354*(1-CS355)</f>
        <v>0</v>
      </c>
      <c r="CT353" s="224">
        <f>CT354*(1-CT355)</f>
        <v>0</v>
      </c>
      <c r="CU353" s="223">
        <f>CU354*(1-CU355)</f>
        <v>0</v>
      </c>
      <c r="CV353" s="224">
        <f>CV354*(1-CV355)</f>
        <v>0</v>
      </c>
      <c r="CW353" s="224">
        <f>CW354*(1-CW355)</f>
        <v>0</v>
      </c>
      <c r="CX353" s="224">
        <f>CX354*(1-CX355)</f>
        <v>0</v>
      </c>
      <c r="CY353" s="224">
        <f>CY354*(1-CY355)</f>
        <v>0</v>
      </c>
    </row>
    <row r="354" customFormat="1" s="233">
      <c r="A354" s="224" t="n"/>
      <c r="B354" s="224" t="n"/>
      <c r="C354" s="233" t="inlineStr">
        <is>
          <t>EBIT</t>
        </is>
      </c>
      <c r="D354" s="239">
        <f>D79</f>
        <v>286.00367738955</v>
      </c>
      <c r="E354" s="239">
        <f>E79</f>
        <v>198.52431399</v>
      </c>
      <c r="F354" s="239">
        <f>F79</f>
        <v>297.260558362449</v>
      </c>
      <c r="G354" s="239">
        <f>G79</f>
        <v>425.874952659486</v>
      </c>
      <c r="H354" s="239">
        <f>H79</f>
        <v>1207.66350240148</v>
      </c>
      <c r="I354" s="36">
        <f>I79</f>
        <v>516.655018203258</v>
      </c>
      <c r="J354" s="36">
        <f>J79</f>
        <v>723.575592923751</v>
      </c>
      <c r="K354" s="36">
        <f>K79</f>
        <v>889.681744184223</v>
      </c>
      <c r="L354" s="36">
        <f>L79</f>
        <v>1000.63864468877</v>
      </c>
      <c r="M354" s="36">
        <f>M79</f>
        <v>3130.551</v>
      </c>
      <c r="N354" s="36">
        <f>N79</f>
        <v>1135.551</v>
      </c>
      <c r="O354" s="36">
        <f>O79</f>
        <v>1286.7492</v>
      </c>
      <c r="P354" s="36">
        <f>P79</f>
        <v>1428.00600045888</v>
      </c>
      <c r="Q354" s="36">
        <f>Q79</f>
        <v>1266.51107638132</v>
      </c>
      <c r="R354" s="36">
        <f>R79</f>
        <v>5116.8172768402</v>
      </c>
      <c r="S354" s="36">
        <f>S79</f>
        <v>1317.10472877048</v>
      </c>
      <c r="T354" s="36">
        <f>T79</f>
        <v>1588.10712919901</v>
      </c>
      <c r="U354" s="36">
        <f>U79</f>
        <v>1367.86345690321</v>
      </c>
      <c r="V354" s="36">
        <f>V79</f>
        <v>591.595117058588</v>
      </c>
      <c r="W354" s="36">
        <f>W79</f>
        <v>4864.67043193129</v>
      </c>
      <c r="X354" s="36">
        <f>X79</f>
        <v>1539.16544358</v>
      </c>
      <c r="Y354" s="36">
        <f>Y79</f>
        <v>1699.36630751</v>
      </c>
      <c r="Z354" s="36">
        <f>Z79</f>
        <v>1702.08633073</v>
      </c>
      <c r="AA354" s="36">
        <f>AA79</f>
        <v>1640.64084331</v>
      </c>
      <c r="AB354" s="36">
        <f>AB79</f>
        <v>6581.25892513</v>
      </c>
      <c r="AC354" s="36">
        <f>AC79</f>
        <v>1749.60703809</v>
      </c>
      <c r="AD354" s="36">
        <f>AD79</f>
        <v>1803.69487814</v>
      </c>
      <c r="AE354" s="36">
        <f>AE79</f>
        <v>1734.80874238</v>
      </c>
      <c r="AF354" s="36">
        <f>AF79</f>
        <v>2868.08848073</v>
      </c>
      <c r="AG354" s="36">
        <f>AG79</f>
        <v>8156.19913934</v>
      </c>
      <c r="AH354" s="36">
        <f>AH79</f>
        <v>1772.31258503</v>
      </c>
      <c r="AI354" s="36">
        <f>AI79</f>
        <v>2098.32855057</v>
      </c>
      <c r="AJ354" s="36">
        <f>AJ79</f>
        <v>0</v>
      </c>
      <c r="AK354" s="36">
        <f>AK79</f>
        <v>0</v>
      </c>
      <c r="AL354" s="36">
        <f>AL79</f>
        <v>3870.6411356</v>
      </c>
      <c r="AM354" s="36">
        <f>AM79</f>
        <v>0</v>
      </c>
      <c r="AN354" s="36">
        <f>AN79</f>
        <v>0</v>
      </c>
      <c r="AO354" s="36">
        <f>AO79</f>
        <v>0</v>
      </c>
      <c r="AP354" s="36">
        <f>AP79</f>
        <v>0</v>
      </c>
      <c r="AQ354" s="36">
        <f>AQ79</f>
        <v>0</v>
      </c>
      <c r="AR354" s="36">
        <f>AR79</f>
        <v>0</v>
      </c>
      <c r="AS354" s="36">
        <f>AS79</f>
        <v>0</v>
      </c>
      <c r="AT354" s="36">
        <f>AT79</f>
        <v>0</v>
      </c>
      <c r="AU354" s="36">
        <f>AU79</f>
        <v>0</v>
      </c>
      <c r="AV354" s="36">
        <f>AV79</f>
        <v>0</v>
      </c>
      <c r="AW354" s="36">
        <f>AW79</f>
        <v>0</v>
      </c>
      <c r="AX354" s="36">
        <f>AX79</f>
        <v>0</v>
      </c>
      <c r="AY354" s="36">
        <f>AY79</f>
        <v>0</v>
      </c>
      <c r="AZ354" s="36">
        <f>AZ79</f>
        <v>0</v>
      </c>
      <c r="BA354" s="36">
        <f>BA79</f>
        <v>0</v>
      </c>
      <c r="BB354" s="36">
        <f>BB79</f>
        <v>0</v>
      </c>
      <c r="BC354" s="36">
        <f>BC79</f>
        <v>0</v>
      </c>
      <c r="BD354" s="36">
        <f>BD79</f>
        <v>0</v>
      </c>
      <c r="BE354" s="36">
        <f>BE79</f>
        <v>0</v>
      </c>
      <c r="BF354" s="36">
        <f>BF79</f>
        <v>0</v>
      </c>
      <c r="BG354" s="36">
        <f>BG79</f>
        <v>0</v>
      </c>
      <c r="BH354" s="36">
        <f>BH79</f>
        <v>0</v>
      </c>
      <c r="BI354" s="36">
        <f>BI79</f>
        <v>0</v>
      </c>
      <c r="BJ354" s="36">
        <f>BJ79</f>
        <v>0</v>
      </c>
      <c r="BK354" s="36">
        <f>BK79</f>
        <v>0</v>
      </c>
      <c r="BL354" s="36">
        <f>BL79</f>
        <v>0</v>
      </c>
      <c r="BM354" s="36">
        <f>BM79</f>
        <v>0</v>
      </c>
      <c r="BN354" s="36">
        <f>BN79</f>
        <v>0</v>
      </c>
      <c r="BO354" s="36">
        <f>BO79</f>
        <v>0</v>
      </c>
      <c r="BP354" s="36">
        <f>BP79</f>
        <v>0</v>
      </c>
      <c r="BQ354" s="36">
        <f>BQ79</f>
        <v>0</v>
      </c>
      <c r="BR354" s="36">
        <f>BR79</f>
        <v>0</v>
      </c>
      <c r="BS354" s="36">
        <f>BS79</f>
        <v>0</v>
      </c>
      <c r="BT354" s="36">
        <f>BT79</f>
        <v>0</v>
      </c>
      <c r="BU354" s="36">
        <f>BU79</f>
        <v>0</v>
      </c>
      <c r="BV354" s="36">
        <f>BV79</f>
        <v>0</v>
      </c>
      <c r="BW354" s="36">
        <f>BW79</f>
        <v>0</v>
      </c>
      <c r="BX354" s="36">
        <f>BX79</f>
        <v>0</v>
      </c>
      <c r="BY354" s="36">
        <f>BY79</f>
        <v>0</v>
      </c>
      <c r="BZ354" s="36">
        <f>BZ79</f>
        <v>0</v>
      </c>
      <c r="CA354" s="36">
        <f>CA79</f>
        <v>0</v>
      </c>
      <c r="CB354" s="36">
        <f>CB79</f>
        <v>0</v>
      </c>
      <c r="CC354" s="36">
        <f>CC79</f>
        <v>0</v>
      </c>
      <c r="CD354" s="36">
        <f>CD79</f>
        <v>0</v>
      </c>
      <c r="CE354" s="36">
        <f>CE79</f>
        <v>0</v>
      </c>
      <c r="CF354" s="36">
        <f>CF79</f>
        <v>0</v>
      </c>
      <c r="CG354" s="36">
        <f>CG79</f>
        <v>0</v>
      </c>
      <c r="CH354" s="36">
        <f>CH79</f>
        <v>0</v>
      </c>
      <c r="CI354" s="36">
        <f>CI79</f>
        <v>0</v>
      </c>
      <c r="CJ354" s="36">
        <f>CJ79</f>
        <v>0</v>
      </c>
      <c r="CK354" s="36">
        <f>CK79</f>
        <v>0</v>
      </c>
      <c r="CL354" s="36">
        <f>CL79</f>
        <v>0</v>
      </c>
      <c r="CM354" s="36">
        <f>CM79</f>
        <v>0</v>
      </c>
      <c r="CN354" s="36">
        <f>CN79</f>
        <v>0</v>
      </c>
      <c r="CO354" s="36">
        <f>CO79</f>
        <v>0</v>
      </c>
      <c r="CP354" s="36">
        <f>CP79</f>
        <v>0</v>
      </c>
      <c r="CQ354" s="36">
        <f>CQ79</f>
        <v>0</v>
      </c>
      <c r="CR354" s="36">
        <f>CR79</f>
        <v>0</v>
      </c>
      <c r="CS354" s="36">
        <f>CS79</f>
        <v>0</v>
      </c>
      <c r="CT354" s="36">
        <f>CT79</f>
        <v>0</v>
      </c>
      <c r="CU354" s="36">
        <f>CU79</f>
        <v>0</v>
      </c>
      <c r="CV354" s="36">
        <f>CV79</f>
        <v>0</v>
      </c>
      <c r="CW354" s="36">
        <f>CW79</f>
        <v>0</v>
      </c>
      <c r="CX354" s="36">
        <f>CX79</f>
        <v>0</v>
      </c>
      <c r="CY354" s="36">
        <f>CY79</f>
        <v>0</v>
      </c>
    </row>
    <row r="355" customFormat="1" s="233">
      <c r="A355" s="224" t="n"/>
      <c r="B355" s="224" t="n"/>
      <c r="C355" s="233" t="inlineStr">
        <is>
          <t>ETR</t>
        </is>
      </c>
      <c r="D355" s="240">
        <f>D138</f>
        <v>0.281786312358593</v>
      </c>
      <c r="E355" s="240">
        <f>E138</f>
        <v>0.514505715792364</v>
      </c>
      <c r="F355" s="240">
        <f>F138</f>
        <v>0.343188681489533</v>
      </c>
      <c r="G355" s="240">
        <f>G138</f>
        <v>0.215727571397641</v>
      </c>
      <c r="H355" s="240">
        <f>H138</f>
        <v>0.350937268585387</v>
      </c>
      <c r="I355" s="225">
        <f>I138</f>
        <v>0.403275509129063</v>
      </c>
      <c r="J355" s="225">
        <f>J138</f>
        <v>0.277853930379847</v>
      </c>
      <c r="K355" s="225">
        <f>K138</f>
        <v>0.303019893072753</v>
      </c>
      <c r="L355" s="225">
        <f>L138</f>
        <v>0.281945417417959</v>
      </c>
      <c r="M355" s="225">
        <f>M138</f>
        <v>0.305290550027758</v>
      </c>
      <c r="N355" s="225">
        <f>N138</f>
        <v>0.291189574635641</v>
      </c>
      <c r="O355" s="225">
        <f>O138</f>
        <v>0.343054358482057</v>
      </c>
      <c r="P355" s="225">
        <f>P138</f>
        <v>0.36618206224071</v>
      </c>
      <c r="Q355" s="225">
        <f>Q138</f>
        <v>-10.7139634991645</v>
      </c>
      <c r="R355" s="225">
        <f>R138</f>
        <v>0.0472745882239987</v>
      </c>
      <c r="S355" s="225">
        <f>S138</f>
        <v>-10.5621822265924</v>
      </c>
      <c r="T355" s="225">
        <f>T138</f>
        <v>0.0644969542007985</v>
      </c>
      <c r="U355" s="225">
        <f>U138</f>
        <v>0.426137798427544</v>
      </c>
      <c r="V355" s="225">
        <f>V138</f>
        <v>0.243928814368687</v>
      </c>
      <c r="W355" s="225">
        <f>W138</f>
        <v>0.366554552043915</v>
      </c>
      <c r="X355" s="225">
        <f>X138</f>
        <v>0.183719937624362</v>
      </c>
      <c r="Y355" s="225">
        <f>Y138</f>
        <v>0.357789740506521</v>
      </c>
      <c r="Z355" s="225">
        <f>Z138</f>
        <v>0.287114189479217</v>
      </c>
      <c r="AA355" s="225">
        <f>AA138</f>
        <v>-3.98240076350345</v>
      </c>
      <c r="AB355" s="225">
        <f>AB138</f>
        <v>0.77083688874221</v>
      </c>
      <c r="AC355" s="225">
        <f>AC138</f>
        <v>1.53909952897247</v>
      </c>
      <c r="AD355" s="225">
        <f>AD138</f>
        <v>0.639734179811386</v>
      </c>
      <c r="AE355" s="225">
        <f>AE138</f>
        <v>0.259809212705663</v>
      </c>
      <c r="AF355" s="225">
        <f>AF138</f>
        <v>0.331346281158259</v>
      </c>
      <c r="AG355" s="225">
        <f>AG138</f>
        <v>0.17827724192191</v>
      </c>
      <c r="AH355" s="225">
        <f>AH138</f>
        <v>0.252266932671462</v>
      </c>
      <c r="AI355" s="225">
        <f>AI138</f>
        <v>0.211442027351207</v>
      </c>
      <c r="AJ355" s="225">
        <f>AJ138</f>
        <v>0</v>
      </c>
      <c r="AK355" s="225">
        <f>AK138</f>
        <v>0</v>
      </c>
      <c r="AL355" s="225">
        <f>AL138</f>
        <v>-0.119079682701849</v>
      </c>
      <c r="AM355" s="225">
        <f>AM138</f>
        <v>0</v>
      </c>
      <c r="AN355" s="225">
        <f>AN138</f>
        <v>0</v>
      </c>
      <c r="AO355" s="225">
        <f>AO138</f>
        <v>0</v>
      </c>
      <c r="AP355" s="225">
        <f>AP138</f>
        <v>0</v>
      </c>
      <c r="AQ355" s="225">
        <f>AQ138</f>
        <v>0</v>
      </c>
      <c r="AR355" s="225">
        <f>AR138</f>
        <v>0</v>
      </c>
      <c r="AS355" s="225">
        <f>AS138</f>
        <v>0</v>
      </c>
      <c r="AT355" s="225">
        <f>AT138</f>
        <v>0</v>
      </c>
      <c r="AU355" s="225">
        <f>AU138</f>
        <v>0</v>
      </c>
      <c r="AV355" s="225">
        <f>AV138</f>
        <v>0</v>
      </c>
      <c r="AW355" s="225">
        <f>AW138</f>
        <v>0</v>
      </c>
      <c r="AX355" s="225">
        <f>AX138</f>
        <v>0</v>
      </c>
      <c r="AY355" s="225">
        <f>AY138</f>
        <v>0</v>
      </c>
      <c r="AZ355" s="225">
        <f>AZ138</f>
        <v>0</v>
      </c>
      <c r="BA355" s="225">
        <f>BA138</f>
        <v>0</v>
      </c>
      <c r="BB355" s="225">
        <f>BB138</f>
        <v>0</v>
      </c>
      <c r="BC355" s="225">
        <f>BC138</f>
        <v>0</v>
      </c>
      <c r="BD355" s="225">
        <f>BD138</f>
        <v>0</v>
      </c>
      <c r="BE355" s="225">
        <f>BE138</f>
        <v>0</v>
      </c>
      <c r="BF355" s="225">
        <f>BF138</f>
        <v>0</v>
      </c>
      <c r="BG355" s="225">
        <f>BG138</f>
        <v>0</v>
      </c>
      <c r="BH355" s="225">
        <f>BH138</f>
        <v>0</v>
      </c>
      <c r="BI355" s="225">
        <f>BI138</f>
        <v>0</v>
      </c>
      <c r="BJ355" s="225">
        <f>BJ138</f>
        <v>0</v>
      </c>
      <c r="BK355" s="225">
        <f>BK138</f>
        <v>0</v>
      </c>
      <c r="BL355" s="225">
        <f>BL138</f>
        <v>0</v>
      </c>
      <c r="BM355" s="225">
        <f>BM138</f>
        <v>0</v>
      </c>
      <c r="BN355" s="225">
        <f>BN138</f>
        <v>0</v>
      </c>
      <c r="BO355" s="225">
        <f>BO138</f>
        <v>0</v>
      </c>
      <c r="BP355" s="225">
        <f>BP138</f>
        <v>0</v>
      </c>
      <c r="BQ355" s="225">
        <f>BQ138</f>
        <v>0</v>
      </c>
      <c r="BR355" s="225">
        <f>BR138</f>
        <v>0</v>
      </c>
      <c r="BS355" s="225">
        <f>BS138</f>
        <v>0</v>
      </c>
      <c r="BT355" s="225">
        <f>BT138</f>
        <v>0</v>
      </c>
      <c r="BU355" s="225">
        <f>BU138</f>
        <v>0</v>
      </c>
      <c r="BV355" s="225">
        <f>BV138</f>
        <v>0</v>
      </c>
      <c r="BW355" s="225">
        <f>BW138</f>
        <v>0</v>
      </c>
      <c r="BX355" s="225">
        <f>BX138</f>
        <v>0</v>
      </c>
      <c r="BY355" s="225">
        <f>BY138</f>
        <v>0</v>
      </c>
      <c r="BZ355" s="225">
        <f>BZ138</f>
        <v>0</v>
      </c>
      <c r="CA355" s="225">
        <f>CA138</f>
        <v>0</v>
      </c>
      <c r="CB355" s="225">
        <f>CB138</f>
        <v>0</v>
      </c>
      <c r="CC355" s="225">
        <f>CC138</f>
        <v>0</v>
      </c>
      <c r="CD355" s="225">
        <f>CD138</f>
        <v>0</v>
      </c>
      <c r="CE355" s="225">
        <f>CE138</f>
        <v>0</v>
      </c>
      <c r="CF355" s="225">
        <f>CF138</f>
        <v>0</v>
      </c>
      <c r="CG355" s="225">
        <f>CG138</f>
        <v>0</v>
      </c>
      <c r="CH355" s="225">
        <f>CH138</f>
        <v>0</v>
      </c>
      <c r="CI355" s="225">
        <f>CI138</f>
        <v>0</v>
      </c>
      <c r="CJ355" s="225">
        <f>CJ138</f>
        <v>0</v>
      </c>
      <c r="CK355" s="225">
        <f>CK138</f>
        <v>0</v>
      </c>
      <c r="CL355" s="225">
        <f>CL138</f>
        <v>0</v>
      </c>
      <c r="CM355" s="225">
        <f>CM138</f>
        <v>0</v>
      </c>
      <c r="CN355" s="225">
        <f>CN138</f>
        <v>0</v>
      </c>
      <c r="CO355" s="225">
        <f>CO138</f>
        <v>0</v>
      </c>
      <c r="CP355" s="225">
        <f>CP138</f>
        <v>0</v>
      </c>
      <c r="CQ355" s="225">
        <f>CQ138</f>
        <v>0</v>
      </c>
      <c r="CR355" s="225">
        <f>CR138</f>
        <v>0</v>
      </c>
      <c r="CS355" s="225">
        <f>CS138</f>
        <v>0</v>
      </c>
      <c r="CT355" s="225">
        <f>CT138</f>
        <v>0</v>
      </c>
      <c r="CU355" s="225">
        <f>CU138</f>
        <v>0</v>
      </c>
      <c r="CV355" s="225">
        <f>CV138</f>
        <v>0</v>
      </c>
      <c r="CW355" s="225">
        <f>CW138</f>
        <v>0</v>
      </c>
      <c r="CX355" s="225">
        <f>CX138</f>
        <v>0</v>
      </c>
      <c r="CY355" s="225">
        <f>CY138</f>
        <v>0</v>
      </c>
    </row>
    <row r="356" customFormat="1" s="233">
      <c r="A356" s="224" t="n"/>
      <c r="B356" s="224" t="n"/>
      <c r="C356" s="233" t="inlineStr">
        <is>
          <t>INVESTED CAPITAL</t>
        </is>
      </c>
      <c r="D356" s="239">
        <f>D359-D360+D361</f>
        <v>12179.4160008287</v>
      </c>
      <c r="E356" s="239">
        <f>E359-E360+E361</f>
        <v>12289.02330475</v>
      </c>
      <c r="F356" s="239">
        <f>F359-F360+F361</f>
        <v>12277.41395933</v>
      </c>
      <c r="G356" s="239">
        <f>G359-G360+G361</f>
        <v>13206.9286563605</v>
      </c>
      <c r="H356" s="239">
        <f>H359-H360+H361</f>
        <v>13206.9286563605</v>
      </c>
      <c r="I356" s="36">
        <f>I359-I360+I361</f>
        <v>14743.5781833274</v>
      </c>
      <c r="J356" s="36">
        <f>J359-J360+J361</f>
        <v>16197.678069992</v>
      </c>
      <c r="K356" s="36">
        <f>K359-K360+K361</f>
        <v>19164.689</v>
      </c>
      <c r="L356" s="36">
        <f>L359-L360+L361</f>
        <v>22548.613</v>
      </c>
      <c r="M356" s="36">
        <f>M359-M360+M361</f>
        <v>22548.613</v>
      </c>
      <c r="N356" s="36">
        <f>N359-N360+N361</f>
        <v>24309.114</v>
      </c>
      <c r="O356" s="36">
        <f>O359-O360+O361</f>
        <v>28081.461</v>
      </c>
      <c r="P356" s="36">
        <f>P359-P360+P361</f>
        <v>32174.394</v>
      </c>
      <c r="Q356" s="36">
        <f>Q359-Q360+Q361</f>
        <v>33749.252</v>
      </c>
      <c r="R356" s="36">
        <f>R359-R360+R361</f>
        <v>33749.252</v>
      </c>
      <c r="S356" s="36">
        <f>S359-S360+S361</f>
        <v>36798.0049262444</v>
      </c>
      <c r="T356" s="36">
        <f>T359-T360+T361</f>
        <v>40412.7924487574</v>
      </c>
      <c r="U356" s="36">
        <f>U359-U360+U361</f>
        <v>41585.8043951488</v>
      </c>
      <c r="V356" s="36">
        <f>V359-V360+V361</f>
        <v>42502.1521022566</v>
      </c>
      <c r="W356" s="36">
        <f>W359-W360+W361</f>
        <v>42502.1521022566</v>
      </c>
      <c r="X356" s="36">
        <f>X359-X360+X361</f>
        <v>43940.4537668503</v>
      </c>
      <c r="Y356" s="36">
        <f>Y359-Y360+Y361</f>
        <v>47369.8292111275</v>
      </c>
      <c r="Z356" s="36">
        <f>Z359-Z360+Z361</f>
        <v>49392.0614018494</v>
      </c>
      <c r="AA356" s="36">
        <f>AA359-AA360+AA361</f>
        <v>50613.70789307</v>
      </c>
      <c r="AB356" s="36">
        <f>AB359-AB360+AB361</f>
        <v>50613.70789307</v>
      </c>
      <c r="AC356" s="36">
        <f>AC359-AC360+AC361</f>
        <v>50769.79714656</v>
      </c>
      <c r="AD356" s="36">
        <f>AD359-AD360+AD361</f>
        <v>51599.71077535</v>
      </c>
      <c r="AE356" s="36">
        <f>AE359-AE360+AE361</f>
        <v>50093.92988043</v>
      </c>
      <c r="AF356" s="36">
        <f>AF359-AF360+AF361</f>
        <v>49586.89246112</v>
      </c>
      <c r="AG356" s="36">
        <f>AG359-AG360+AG361</f>
        <v>49586.89246112</v>
      </c>
      <c r="AH356" s="36">
        <f>AH359-AH360+AH361</f>
        <v>49725.19133605</v>
      </c>
      <c r="AI356" s="36">
        <f>AI359-AI360+AI361</f>
        <v>51658.4376801</v>
      </c>
      <c r="AJ356" s="36">
        <f>AJ359-AJ360+AJ361</f>
        <v>47589.84009366</v>
      </c>
      <c r="AK356" s="36">
        <f>AK359-AK360+AK361</f>
        <v>47589.84009366</v>
      </c>
      <c r="AL356" s="36">
        <f>AL359-AL360+AL361</f>
        <v>47589.84009366</v>
      </c>
      <c r="AM356" s="36" t="e">
        <f>AM359-AM360+AM361</f>
        <v>#DIV/0!</v>
      </c>
      <c r="AN356" s="36">
        <f>AN359-AN360+AN361</f>
        <v>47589.84009366</v>
      </c>
      <c r="AO356" s="36" t="e">
        <f>AO359-AO360+AO361</f>
        <v>#DIV/0!</v>
      </c>
      <c r="AP356" s="36" t="e">
        <f>AP359-AP360+AP361</f>
        <v>#DIV/0!</v>
      </c>
      <c r="AQ356" s="36" t="e">
        <f>AQ359-AQ360+AQ361</f>
        <v>#DIV/0!</v>
      </c>
      <c r="AR356" s="36" t="e">
        <f>AR359-AR360+AR361</f>
        <v>#DIV/0!</v>
      </c>
      <c r="AS356" s="36" t="e">
        <f>AS359-AS360+AS361</f>
        <v>#DIV/0!</v>
      </c>
      <c r="AT356" s="36" t="e">
        <f>AT359-AT360+AT361</f>
        <v>#DIV/0!</v>
      </c>
      <c r="AU356" s="36" t="e">
        <f>AU359-AU360+AU361</f>
        <v>#DIV/0!</v>
      </c>
      <c r="AV356" s="36" t="e">
        <f>AV359-AV360+AV361</f>
        <v>#DIV/0!</v>
      </c>
      <c r="AW356" s="36" t="e">
        <f>AW359-AW360+AW361</f>
        <v>#DIV/0!</v>
      </c>
      <c r="AX356" s="36" t="e">
        <f>AX359-AX360+AX361</f>
        <v>#DIV/0!</v>
      </c>
      <c r="AY356" s="36" t="e">
        <f>AY359-AY360+AY361</f>
        <v>#DIV/0!</v>
      </c>
      <c r="AZ356" s="36" t="e">
        <f>AZ359-AZ360+AZ361</f>
        <v>#DIV/0!</v>
      </c>
      <c r="BA356" s="36" t="e">
        <f>BA359-BA360+BA361</f>
        <v>#DIV/0!</v>
      </c>
      <c r="BB356" s="36" t="e">
        <f>BB359-BB360+BB361</f>
        <v>#DIV/0!</v>
      </c>
      <c r="BC356" s="36" t="e">
        <f>BC359-BC360+BC361</f>
        <v>#DIV/0!</v>
      </c>
      <c r="BD356" s="36" t="e">
        <f>BD359-BD360+BD361</f>
        <v>#DIV/0!</v>
      </c>
      <c r="BE356" s="36" t="e">
        <f>BE359-BE360+BE361</f>
        <v>#DIV/0!</v>
      </c>
      <c r="BF356" s="36" t="e">
        <f>BF359-BF360+BF361</f>
        <v>#DIV/0!</v>
      </c>
      <c r="BG356" s="36" t="e">
        <f>BG359-BG360+BG361</f>
        <v>#DIV/0!</v>
      </c>
      <c r="BH356" s="36" t="e">
        <f>BH359-BH360+BH361</f>
        <v>#DIV/0!</v>
      </c>
      <c r="BI356" s="36" t="e">
        <f>BI359-BI360+BI361</f>
        <v>#DIV/0!</v>
      </c>
      <c r="BJ356" s="36" t="e">
        <f>BJ359-BJ360+BJ361</f>
        <v>#DIV/0!</v>
      </c>
      <c r="BK356" s="36" t="e">
        <f>BK359-BK360+BK361</f>
        <v>#DIV/0!</v>
      </c>
      <c r="BL356" s="36" t="e">
        <f>BL359-BL360+BL361</f>
        <v>#DIV/0!</v>
      </c>
      <c r="BM356" s="36" t="e">
        <f>BM359-BM360+BM361</f>
        <v>#DIV/0!</v>
      </c>
      <c r="BN356" s="36" t="e">
        <f>BN359-BN360+BN361</f>
        <v>#DIV/0!</v>
      </c>
      <c r="BO356" s="36" t="e">
        <f>BO359-BO360+BO361</f>
        <v>#DIV/0!</v>
      </c>
      <c r="BP356" s="36" t="e">
        <f>BP359-BP360+BP361</f>
        <v>#DIV/0!</v>
      </c>
      <c r="BQ356" s="36" t="e">
        <f>BQ359-BQ360+BQ361</f>
        <v>#DIV/0!</v>
      </c>
      <c r="BR356" s="36" t="e">
        <f>BR359-BR360+BR361</f>
        <v>#DIV/0!</v>
      </c>
      <c r="BS356" s="36" t="e">
        <f>BS359-BS360+BS361</f>
        <v>#DIV/0!</v>
      </c>
      <c r="BT356" s="36" t="e">
        <f>BT359-BT360+BT361</f>
        <v>#DIV/0!</v>
      </c>
      <c r="BU356" s="36" t="e">
        <f>BU359-BU360+BU361</f>
        <v>#DIV/0!</v>
      </c>
      <c r="BV356" s="36" t="e">
        <f>BV359-BV360+BV361</f>
        <v>#DIV/0!</v>
      </c>
      <c r="BW356" s="36" t="e">
        <f>BW359-BW360+BW361</f>
        <v>#DIV/0!</v>
      </c>
      <c r="BX356" s="36" t="e">
        <f>BX359-BX360+BX361</f>
        <v>#DIV/0!</v>
      </c>
      <c r="BY356" s="36" t="e">
        <f>BY359-BY360+BY361</f>
        <v>#DIV/0!</v>
      </c>
      <c r="BZ356" s="36" t="e">
        <f>BZ359-BZ360+BZ361</f>
        <v>#DIV/0!</v>
      </c>
      <c r="CA356" s="36" t="e">
        <f>CA359-CA360+CA361</f>
        <v>#DIV/0!</v>
      </c>
      <c r="CB356" s="36" t="e">
        <f>CB359-CB360+CB361</f>
        <v>#DIV/0!</v>
      </c>
      <c r="CC356" s="36" t="e">
        <f>CC359-CC360+CC361</f>
        <v>#DIV/0!</v>
      </c>
      <c r="CD356" s="36" t="e">
        <f>CD359-CD360+CD361</f>
        <v>#DIV/0!</v>
      </c>
      <c r="CE356" s="36" t="e">
        <f>CE359-CE360+CE361</f>
        <v>#DIV/0!</v>
      </c>
      <c r="CF356" s="36" t="e">
        <f>CF359-CF360+CF361</f>
        <v>#DIV/0!</v>
      </c>
      <c r="CG356" s="36" t="e">
        <f>CG359-CG360+CG361</f>
        <v>#DIV/0!</v>
      </c>
      <c r="CH356" s="36" t="e">
        <f>CH359-CH360+CH361</f>
        <v>#DIV/0!</v>
      </c>
      <c r="CI356" s="36" t="e">
        <f>CI359-CI360+CI361</f>
        <v>#DIV/0!</v>
      </c>
      <c r="CJ356" s="36" t="e">
        <f>CJ359-CJ360+CJ361</f>
        <v>#DIV/0!</v>
      </c>
      <c r="CK356" s="36" t="e">
        <f>CK359-CK360+CK361</f>
        <v>#DIV/0!</v>
      </c>
      <c r="CL356" s="36" t="e">
        <f>CL359-CL360+CL361</f>
        <v>#DIV/0!</v>
      </c>
      <c r="CM356" s="36" t="e">
        <f>CM359-CM360+CM361</f>
        <v>#DIV/0!</v>
      </c>
      <c r="CN356" s="36" t="e">
        <f>CN359-CN360+CN361</f>
        <v>#DIV/0!</v>
      </c>
      <c r="CO356" s="36" t="e">
        <f>CO359-CO360+CO361</f>
        <v>#DIV/0!</v>
      </c>
      <c r="CP356" s="36" t="e">
        <f>CP359-CP360+CP361</f>
        <v>#DIV/0!</v>
      </c>
      <c r="CQ356" s="36" t="e">
        <f>CQ359-CQ360+CQ361</f>
        <v>#DIV/0!</v>
      </c>
      <c r="CR356" s="36" t="e">
        <f>CR359-CR360+CR361</f>
        <v>#DIV/0!</v>
      </c>
      <c r="CS356" s="36" t="e">
        <f>CS359-CS360+CS361</f>
        <v>#DIV/0!</v>
      </c>
      <c r="CT356" s="36" t="e">
        <f>CT359-CT360+CT361</f>
        <v>#DIV/0!</v>
      </c>
      <c r="CU356" s="36" t="e">
        <f>CU359-CU360+CU361</f>
        <v>#DIV/0!</v>
      </c>
      <c r="CV356" s="36" t="e">
        <f>CV359-CV360+CV361</f>
        <v>#DIV/0!</v>
      </c>
      <c r="CW356" s="36" t="e">
        <f>CW359-CW360+CW361</f>
        <v>#DIV/0!</v>
      </c>
      <c r="CX356" s="36" t="e">
        <f>CX359-CX360+CX361</f>
        <v>#DIV/0!</v>
      </c>
      <c r="CY356" s="36" t="e">
        <f>CY359-CY360+CY361</f>
        <v>#DIV/0!</v>
      </c>
    </row>
    <row r="357" customFormat="1" s="233">
      <c r="A357" s="224" t="n"/>
      <c r="B357" s="224" t="n"/>
      <c r="C357" s="233" t="inlineStr">
        <is>
          <t>INVESTED CAPITAL - EX GOODWILL</t>
        </is>
      </c>
      <c r="D357" s="241">
        <f>D356-D185</f>
        <v>12179.4160008287</v>
      </c>
      <c r="E357" s="241">
        <f>E356-E185</f>
        <v>12289.02330475</v>
      </c>
      <c r="F357" s="241">
        <f>F356-F185</f>
        <v>12277.41395933</v>
      </c>
      <c r="G357" s="241">
        <f>G356-G185</f>
        <v>13206.9286563605</v>
      </c>
      <c r="H357" s="241">
        <f>H356-H185</f>
        <v>13206.9286563605</v>
      </c>
      <c r="I357" s="226">
        <f>I356-I185</f>
        <v>14743.5781833274</v>
      </c>
      <c r="J357" s="226">
        <f>J356-J185</f>
        <v>16197.678069992</v>
      </c>
      <c r="K357" s="226">
        <f>K356-K185</f>
        <v>19164.689</v>
      </c>
      <c r="L357" s="226">
        <f>L356-L185</f>
        <v>22548.613</v>
      </c>
      <c r="M357" s="226">
        <f>M356-M185</f>
        <v>22548.613</v>
      </c>
      <c r="N357" s="226">
        <f>N356-N185</f>
        <v>24309.114</v>
      </c>
      <c r="O357" s="226">
        <f>O356-O185</f>
        <v>28081.461</v>
      </c>
      <c r="P357" s="226">
        <f>P356-P185</f>
        <v>32174.394</v>
      </c>
      <c r="Q357" s="226">
        <f>Q356-Q185</f>
        <v>33749.252</v>
      </c>
      <c r="R357" s="226">
        <f>R356-R185</f>
        <v>33749.252</v>
      </c>
      <c r="S357" s="226">
        <f>S356-S185</f>
        <v>36798.0049262444</v>
      </c>
      <c r="T357" s="226">
        <f>T356-T185</f>
        <v>40412.7924487574</v>
      </c>
      <c r="U357" s="226">
        <f>U356-U185</f>
        <v>41585.8043951488</v>
      </c>
      <c r="V357" s="226">
        <f>V356-V185</f>
        <v>42502.1521022566</v>
      </c>
      <c r="W357" s="226">
        <f>W356-W185</f>
        <v>42502.1521022566</v>
      </c>
      <c r="X357" s="226">
        <f>X356-X185</f>
        <v>43940.4537668503</v>
      </c>
      <c r="Y357" s="226">
        <f>Y356-Y185</f>
        <v>47369.8292111275</v>
      </c>
      <c r="Z357" s="226">
        <f>Z356-Z185</f>
        <v>49392.0614018494</v>
      </c>
      <c r="AA357" s="226">
        <f>AA356-AA185</f>
        <v>50613.70789307</v>
      </c>
      <c r="AB357" s="226">
        <f>AB356-AB185</f>
        <v>50613.70789307</v>
      </c>
      <c r="AC357" s="226">
        <f>AC356-AC185</f>
        <v>50769.79714656</v>
      </c>
      <c r="AD357" s="226">
        <f>AD356-AD185</f>
        <v>51599.71077535</v>
      </c>
      <c r="AE357" s="226">
        <f>AE356-AE185</f>
        <v>50093.92988043</v>
      </c>
      <c r="AF357" s="226">
        <f>AF356-AF185</f>
        <v>49586.89246112</v>
      </c>
      <c r="AG357" s="226">
        <f>AG356-AG185</f>
        <v>49586.89246112</v>
      </c>
      <c r="AH357" s="226">
        <f>AH356-AH185</f>
        <v>49725.19133605</v>
      </c>
      <c r="AI357" s="226">
        <f>AI356-AI185</f>
        <v>51658.4376801</v>
      </c>
      <c r="AJ357" s="226">
        <f>AJ356-AJ185</f>
        <v>47589.84009366</v>
      </c>
      <c r="AK357" s="226">
        <f>AK356-AK185</f>
        <v>47589.84009366</v>
      </c>
      <c r="AL357" s="226">
        <f>AL356-AL185</f>
        <v>47589.84009366</v>
      </c>
      <c r="AM357" s="226" t="e">
        <f>AM356-AM185</f>
        <v>#DIV/0!</v>
      </c>
      <c r="AN357" s="226">
        <f>AN356-AN185</f>
        <v>47589.84009366</v>
      </c>
      <c r="AO357" s="226" t="e">
        <f>AO356-AO185</f>
        <v>#DIV/0!</v>
      </c>
      <c r="AP357" s="226" t="e">
        <f>AP356-AP185</f>
        <v>#DIV/0!</v>
      </c>
      <c r="AQ357" s="226" t="e">
        <f>AQ356-AQ185</f>
        <v>#DIV/0!</v>
      </c>
      <c r="AR357" s="226" t="e">
        <f>AR356-AR185</f>
        <v>#DIV/0!</v>
      </c>
      <c r="AS357" s="226" t="e">
        <f>AS356-AS185</f>
        <v>#DIV/0!</v>
      </c>
      <c r="AT357" s="226" t="e">
        <f>AT356-AT185</f>
        <v>#DIV/0!</v>
      </c>
      <c r="AU357" s="226" t="e">
        <f>AU356-AU185</f>
        <v>#DIV/0!</v>
      </c>
      <c r="AV357" s="226" t="e">
        <f>AV356-AV185</f>
        <v>#DIV/0!</v>
      </c>
      <c r="AW357" s="226" t="e">
        <f>AW356-AW185</f>
        <v>#DIV/0!</v>
      </c>
      <c r="AX357" s="226" t="e">
        <f>AX356-AX185</f>
        <v>#DIV/0!</v>
      </c>
      <c r="AY357" s="226" t="e">
        <f>AY356-AY185</f>
        <v>#DIV/0!</v>
      </c>
      <c r="AZ357" s="226" t="e">
        <f>AZ356-AZ185</f>
        <v>#DIV/0!</v>
      </c>
      <c r="BA357" s="226" t="e">
        <f>BA356-BA185</f>
        <v>#DIV/0!</v>
      </c>
      <c r="BB357" s="226" t="e">
        <f>BB356-BB185</f>
        <v>#DIV/0!</v>
      </c>
      <c r="BC357" s="226" t="e">
        <f>BC356-BC185</f>
        <v>#DIV/0!</v>
      </c>
      <c r="BD357" s="226" t="e">
        <f>BD356-BD185</f>
        <v>#DIV/0!</v>
      </c>
      <c r="BE357" s="226" t="e">
        <f>BE356-BE185</f>
        <v>#DIV/0!</v>
      </c>
      <c r="BF357" s="226" t="e">
        <f>BF356-BF185</f>
        <v>#DIV/0!</v>
      </c>
      <c r="BG357" s="226" t="e">
        <f>BG356-BG185</f>
        <v>#DIV/0!</v>
      </c>
      <c r="BH357" s="226" t="e">
        <f>BH356-BH185</f>
        <v>#DIV/0!</v>
      </c>
      <c r="BI357" s="226" t="e">
        <f>BI356-BI185</f>
        <v>#DIV/0!</v>
      </c>
      <c r="BJ357" s="226" t="e">
        <f>BJ356-BJ185</f>
        <v>#DIV/0!</v>
      </c>
      <c r="BK357" s="226" t="e">
        <f>BK356-BK185</f>
        <v>#DIV/0!</v>
      </c>
      <c r="BL357" s="226" t="e">
        <f>BL356-BL185</f>
        <v>#DIV/0!</v>
      </c>
      <c r="BM357" s="226" t="e">
        <f>BM356-BM185</f>
        <v>#DIV/0!</v>
      </c>
      <c r="BN357" s="226" t="e">
        <f>BN356-BN185</f>
        <v>#DIV/0!</v>
      </c>
      <c r="BO357" s="226" t="e">
        <f>BO356-BO185</f>
        <v>#DIV/0!</v>
      </c>
      <c r="BP357" s="226" t="e">
        <f>BP356-BP185</f>
        <v>#DIV/0!</v>
      </c>
      <c r="BQ357" s="226" t="e">
        <f>BQ356-BQ185</f>
        <v>#DIV/0!</v>
      </c>
      <c r="BR357" s="226" t="e">
        <f>BR356-BR185</f>
        <v>#DIV/0!</v>
      </c>
      <c r="BS357" s="226" t="e">
        <f>BS356-BS185</f>
        <v>#DIV/0!</v>
      </c>
      <c r="BT357" s="226" t="e">
        <f>BT356-BT185</f>
        <v>#DIV/0!</v>
      </c>
      <c r="BU357" s="226" t="e">
        <f>BU356-BU185</f>
        <v>#DIV/0!</v>
      </c>
      <c r="BV357" s="226" t="e">
        <f>BV356-BV185</f>
        <v>#DIV/0!</v>
      </c>
      <c r="BW357" s="226" t="e">
        <f>BW356-BW185</f>
        <v>#DIV/0!</v>
      </c>
      <c r="BX357" s="226" t="e">
        <f>BX356-BX185</f>
        <v>#DIV/0!</v>
      </c>
      <c r="BY357" s="226" t="e">
        <f>BY356-BY185</f>
        <v>#DIV/0!</v>
      </c>
      <c r="BZ357" s="226" t="e">
        <f>BZ356-BZ185</f>
        <v>#DIV/0!</v>
      </c>
      <c r="CA357" s="226" t="e">
        <f>CA356-CA185</f>
        <v>#DIV/0!</v>
      </c>
      <c r="CB357" s="226" t="e">
        <f>CB356-CB185</f>
        <v>#DIV/0!</v>
      </c>
      <c r="CC357" s="226" t="e">
        <f>CC356-CC185</f>
        <v>#DIV/0!</v>
      </c>
      <c r="CD357" s="226" t="e">
        <f>CD356-CD185</f>
        <v>#DIV/0!</v>
      </c>
      <c r="CE357" s="226" t="e">
        <f>CE356-CE185</f>
        <v>#DIV/0!</v>
      </c>
      <c r="CF357" s="226" t="e">
        <f>CF356-CF185</f>
        <v>#DIV/0!</v>
      </c>
      <c r="CG357" s="226" t="e">
        <f>CG356-CG185</f>
        <v>#DIV/0!</v>
      </c>
      <c r="CH357" s="226" t="e">
        <f>CH356-CH185</f>
        <v>#DIV/0!</v>
      </c>
      <c r="CI357" s="226" t="e">
        <f>CI356-CI185</f>
        <v>#DIV/0!</v>
      </c>
      <c r="CJ357" s="226" t="e">
        <f>CJ356-CJ185</f>
        <v>#DIV/0!</v>
      </c>
      <c r="CK357" s="226" t="e">
        <f>CK356-CK185</f>
        <v>#DIV/0!</v>
      </c>
      <c r="CL357" s="226" t="e">
        <f>CL356-CL185</f>
        <v>#DIV/0!</v>
      </c>
      <c r="CM357" s="226" t="e">
        <f>CM356-CM185</f>
        <v>#DIV/0!</v>
      </c>
      <c r="CN357" s="226" t="e">
        <f>CN356-CN185</f>
        <v>#DIV/0!</v>
      </c>
      <c r="CO357" s="226" t="e">
        <f>CO356-CO185</f>
        <v>#DIV/0!</v>
      </c>
      <c r="CP357" s="226" t="e">
        <f>CP356-CP185</f>
        <v>#DIV/0!</v>
      </c>
      <c r="CQ357" s="226" t="e">
        <f>CQ356-CQ185</f>
        <v>#DIV/0!</v>
      </c>
      <c r="CR357" s="226" t="e">
        <f>CR356-CR185</f>
        <v>#DIV/0!</v>
      </c>
      <c r="CS357" s="226" t="e">
        <f>CS356-CS185</f>
        <v>#DIV/0!</v>
      </c>
      <c r="CT357" s="226" t="e">
        <f>CT356-CT185</f>
        <v>#DIV/0!</v>
      </c>
      <c r="CU357" s="226" t="e">
        <f>CU356-CU185</f>
        <v>#DIV/0!</v>
      </c>
      <c r="CV357" s="226" t="e">
        <f>CV356-CV185</f>
        <v>#DIV/0!</v>
      </c>
      <c r="CW357" s="226" t="e">
        <f>CW356-CW185</f>
        <v>#DIV/0!</v>
      </c>
      <c r="CX357" s="226" t="e">
        <f>CX356-CX185</f>
        <v>#DIV/0!</v>
      </c>
      <c r="CY357" s="226" t="e">
        <f>CY356-CY185</f>
        <v>#DIV/0!</v>
      </c>
    </row>
    <row r="358" customFormat="1" s="233">
      <c r="A358" s="224" t="n"/>
      <c r="B358" s="224" t="n"/>
      <c r="C358" s="233" t="inlineStr">
        <is>
          <t>OPERATING WORKING CAPITAL</t>
        </is>
      </c>
      <c r="D358" s="242">
        <f>D359-D360</f>
        <v>713.234249008699</v>
      </c>
      <c r="E358" s="242">
        <f>E359-E360</f>
        <v>1697.60458332</v>
      </c>
      <c r="F358" s="242">
        <f>F359-F360</f>
        <v>820.38354619</v>
      </c>
      <c r="G358" s="242">
        <f>G359-G360</f>
        <v>71.8207474304736</v>
      </c>
      <c r="H358" s="242">
        <f>H359-H360</f>
        <v>71.8207474304736</v>
      </c>
      <c r="I358" s="36">
        <f>I359-I360</f>
        <v>687.445618167399</v>
      </c>
      <c r="J358" s="36">
        <f>J359-J360</f>
        <v>306.572667881999</v>
      </c>
      <c r="K358" s="36">
        <f>K359-K360</f>
        <v>1042.351</v>
      </c>
      <c r="L358" s="36">
        <f>L359-L360</f>
        <v>-77.3580000000002</v>
      </c>
      <c r="M358" s="36">
        <f>M359-M360</f>
        <v>-77.3580000000002</v>
      </c>
      <c r="N358" s="36">
        <f>N359-N360</f>
        <v>919.903999999999</v>
      </c>
      <c r="O358" s="36">
        <f>O359-O360</f>
        <v>763.679999999999</v>
      </c>
      <c r="P358" s="36">
        <f>P359-P360</f>
        <v>2178.965</v>
      </c>
      <c r="Q358" s="36">
        <f>Q359-Q360</f>
        <v>333.569</v>
      </c>
      <c r="R358" s="36">
        <f>R359-R360</f>
        <v>333.569</v>
      </c>
      <c r="S358" s="36">
        <f>S359-S360</f>
        <v>3476.92146031543</v>
      </c>
      <c r="T358" s="36">
        <f>T359-T360</f>
        <v>5448.0693310024</v>
      </c>
      <c r="U358" s="36">
        <f>U359-U360</f>
        <v>5590.07580029929</v>
      </c>
      <c r="V358" s="36">
        <f>V359-V360</f>
        <v>1774.8862575265</v>
      </c>
      <c r="W358" s="36">
        <f>W359-W360</f>
        <v>1774.8862575265</v>
      </c>
      <c r="X358" s="36">
        <f>X359-X360</f>
        <v>2094.44978886271</v>
      </c>
      <c r="Y358" s="36">
        <f>Y359-Y360</f>
        <v>3630.13516438713</v>
      </c>
      <c r="Z358" s="36">
        <f>Z359-Z360</f>
        <v>4462.84912155631</v>
      </c>
      <c r="AA358" s="36">
        <f>AA359-AA360</f>
        <v>2261.8071346</v>
      </c>
      <c r="AB358" s="36">
        <f>AB359-AB360</f>
        <v>2261.8071346</v>
      </c>
      <c r="AC358" s="36">
        <f>AC359-AC360</f>
        <v>5122.58923522</v>
      </c>
      <c r="AD358" s="36">
        <f>AD359-AD360</f>
        <v>6057.28858928</v>
      </c>
      <c r="AE358" s="36">
        <f>AE359-AE360</f>
        <v>5246.99041637</v>
      </c>
      <c r="AF358" s="36">
        <f>AF359-AF360</f>
        <v>1613.39017756</v>
      </c>
      <c r="AG358" s="36">
        <f>AG359-AG360</f>
        <v>1613.39017756</v>
      </c>
      <c r="AH358" s="36">
        <f>AH359-AH360</f>
        <v>1990.89048124</v>
      </c>
      <c r="AI358" s="36">
        <f>AI359-AI360</f>
        <v>2633.73673978</v>
      </c>
      <c r="AJ358" s="36">
        <f>AJ359-AJ360</f>
        <v>1699.18060053</v>
      </c>
      <c r="AK358" s="36">
        <f>AK359-AK360</f>
        <v>1699.18060053</v>
      </c>
      <c r="AL358" s="36">
        <f>AL359-AL360</f>
        <v>1699.18060053</v>
      </c>
      <c r="AM358" s="36" t="e">
        <f>AM359-AM360</f>
        <v>#DIV/0!</v>
      </c>
      <c r="AN358" s="36">
        <f>AN359-AN360</f>
        <v>1699.18060053</v>
      </c>
      <c r="AO358" s="36" t="e">
        <f>AO359-AO360</f>
        <v>#DIV/0!</v>
      </c>
      <c r="AP358" s="36" t="e">
        <f>AP359-AP360</f>
        <v>#DIV/0!</v>
      </c>
      <c r="AQ358" s="36" t="e">
        <f>AQ359-AQ360</f>
        <v>#DIV/0!</v>
      </c>
      <c r="AR358" s="36" t="e">
        <f>AR359-AR360</f>
        <v>#DIV/0!</v>
      </c>
      <c r="AS358" s="36" t="e">
        <f>AS359-AS360</f>
        <v>#DIV/0!</v>
      </c>
      <c r="AT358" s="36" t="e">
        <f>AT359-AT360</f>
        <v>#DIV/0!</v>
      </c>
      <c r="AU358" s="36" t="e">
        <f>AU359-AU360</f>
        <v>#DIV/0!</v>
      </c>
      <c r="AV358" s="36" t="e">
        <f>AV359-AV360</f>
        <v>#DIV/0!</v>
      </c>
      <c r="AW358" s="36" t="e">
        <f>AW359-AW360</f>
        <v>#DIV/0!</v>
      </c>
      <c r="AX358" s="36" t="e">
        <f>AX359-AX360</f>
        <v>#DIV/0!</v>
      </c>
      <c r="AY358" s="36" t="e">
        <f>AY359-AY360</f>
        <v>#DIV/0!</v>
      </c>
      <c r="AZ358" s="36" t="e">
        <f>AZ359-AZ360</f>
        <v>#DIV/0!</v>
      </c>
      <c r="BA358" s="36" t="e">
        <f>BA359-BA360</f>
        <v>#DIV/0!</v>
      </c>
      <c r="BB358" s="36" t="e">
        <f>BB359-BB360</f>
        <v>#DIV/0!</v>
      </c>
      <c r="BC358" s="36" t="e">
        <f>BC359-BC360</f>
        <v>#DIV/0!</v>
      </c>
      <c r="BD358" s="36" t="e">
        <f>BD359-BD360</f>
        <v>#DIV/0!</v>
      </c>
      <c r="BE358" s="36" t="e">
        <f>BE359-BE360</f>
        <v>#DIV/0!</v>
      </c>
      <c r="BF358" s="36" t="e">
        <f>BF359-BF360</f>
        <v>#DIV/0!</v>
      </c>
      <c r="BG358" s="36" t="e">
        <f>BG359-BG360</f>
        <v>#DIV/0!</v>
      </c>
      <c r="BH358" s="36" t="e">
        <f>BH359-BH360</f>
        <v>#DIV/0!</v>
      </c>
      <c r="BI358" s="36" t="e">
        <f>BI359-BI360</f>
        <v>#DIV/0!</v>
      </c>
      <c r="BJ358" s="36" t="e">
        <f>BJ359-BJ360</f>
        <v>#DIV/0!</v>
      </c>
      <c r="BK358" s="36" t="e">
        <f>BK359-BK360</f>
        <v>#DIV/0!</v>
      </c>
      <c r="BL358" s="36" t="e">
        <f>BL359-BL360</f>
        <v>#DIV/0!</v>
      </c>
      <c r="BM358" s="36" t="e">
        <f>BM359-BM360</f>
        <v>#DIV/0!</v>
      </c>
      <c r="BN358" s="36" t="e">
        <f>BN359-BN360</f>
        <v>#DIV/0!</v>
      </c>
      <c r="BO358" s="36" t="e">
        <f>BO359-BO360</f>
        <v>#DIV/0!</v>
      </c>
      <c r="BP358" s="36" t="e">
        <f>BP359-BP360</f>
        <v>#DIV/0!</v>
      </c>
      <c r="BQ358" s="36" t="e">
        <f>BQ359-BQ360</f>
        <v>#DIV/0!</v>
      </c>
      <c r="BR358" s="36" t="e">
        <f>BR359-BR360</f>
        <v>#DIV/0!</v>
      </c>
      <c r="BS358" s="36" t="e">
        <f>BS359-BS360</f>
        <v>#DIV/0!</v>
      </c>
      <c r="BT358" s="36" t="e">
        <f>BT359-BT360</f>
        <v>#DIV/0!</v>
      </c>
      <c r="BU358" s="36" t="e">
        <f>BU359-BU360</f>
        <v>#DIV/0!</v>
      </c>
      <c r="BV358" s="36" t="e">
        <f>BV359-BV360</f>
        <v>#DIV/0!</v>
      </c>
      <c r="BW358" s="36" t="e">
        <f>BW359-BW360</f>
        <v>#DIV/0!</v>
      </c>
      <c r="BX358" s="36" t="e">
        <f>BX359-BX360</f>
        <v>#DIV/0!</v>
      </c>
      <c r="BY358" s="36" t="e">
        <f>BY359-BY360</f>
        <v>#DIV/0!</v>
      </c>
      <c r="BZ358" s="36" t="e">
        <f>BZ359-BZ360</f>
        <v>#DIV/0!</v>
      </c>
      <c r="CA358" s="36" t="e">
        <f>CA359-CA360</f>
        <v>#DIV/0!</v>
      </c>
      <c r="CB358" s="36" t="e">
        <f>CB359-CB360</f>
        <v>#DIV/0!</v>
      </c>
      <c r="CC358" s="36" t="e">
        <f>CC359-CC360</f>
        <v>#DIV/0!</v>
      </c>
      <c r="CD358" s="36" t="e">
        <f>CD359-CD360</f>
        <v>#DIV/0!</v>
      </c>
      <c r="CE358" s="36" t="e">
        <f>CE359-CE360</f>
        <v>#DIV/0!</v>
      </c>
      <c r="CF358" s="36" t="e">
        <f>CF359-CF360</f>
        <v>#DIV/0!</v>
      </c>
      <c r="CG358" s="36" t="e">
        <f>CG359-CG360</f>
        <v>#DIV/0!</v>
      </c>
      <c r="CH358" s="36" t="e">
        <f>CH359-CH360</f>
        <v>#DIV/0!</v>
      </c>
      <c r="CI358" s="36" t="e">
        <f>CI359-CI360</f>
        <v>#DIV/0!</v>
      </c>
      <c r="CJ358" s="36" t="e">
        <f>CJ359-CJ360</f>
        <v>#DIV/0!</v>
      </c>
      <c r="CK358" s="36" t="e">
        <f>CK359-CK360</f>
        <v>#DIV/0!</v>
      </c>
      <c r="CL358" s="36" t="e">
        <f>CL359-CL360</f>
        <v>#DIV/0!</v>
      </c>
      <c r="CM358" s="36" t="e">
        <f>CM359-CM360</f>
        <v>#DIV/0!</v>
      </c>
      <c r="CN358" s="36" t="e">
        <f>CN359-CN360</f>
        <v>#DIV/0!</v>
      </c>
      <c r="CO358" s="36" t="e">
        <f>CO359-CO360</f>
        <v>#DIV/0!</v>
      </c>
      <c r="CP358" s="36" t="e">
        <f>CP359-CP360</f>
        <v>#DIV/0!</v>
      </c>
      <c r="CQ358" s="36" t="e">
        <f>CQ359-CQ360</f>
        <v>#DIV/0!</v>
      </c>
      <c r="CR358" s="36" t="e">
        <f>CR359-CR360</f>
        <v>#DIV/0!</v>
      </c>
      <c r="CS358" s="36" t="e">
        <f>CS359-CS360</f>
        <v>#DIV/0!</v>
      </c>
      <c r="CT358" s="36" t="e">
        <f>CT359-CT360</f>
        <v>#DIV/0!</v>
      </c>
      <c r="CU358" s="36" t="e">
        <f>CU359-CU360</f>
        <v>#DIV/0!</v>
      </c>
      <c r="CV358" s="36" t="e">
        <f>CV359-CV360</f>
        <v>#DIV/0!</v>
      </c>
      <c r="CW358" s="36" t="e">
        <f>CW359-CW360</f>
        <v>#DIV/0!</v>
      </c>
      <c r="CX358" s="36" t="e">
        <f>CX359-CX360</f>
        <v>#DIV/0!</v>
      </c>
      <c r="CY358" s="36" t="e">
        <f>CY359-CY360</f>
        <v>#DIV/0!</v>
      </c>
    </row>
    <row r="359" customFormat="1" s="233">
      <c r="A359" s="224" t="n"/>
      <c r="B359" s="224" t="n"/>
      <c r="C359" s="233" t="inlineStr">
        <is>
          <t>CURRENT ASSETS</t>
        </is>
      </c>
      <c r="D359" s="241">
        <f>D151+D155+D159+D160+D161</f>
        <v>3318.4956662</v>
      </c>
      <c r="E359" s="241">
        <f>E151+E155+E159+E160+E161</f>
        <v>3473.074593763</v>
      </c>
      <c r="F359" s="241">
        <f>F151+F155+F159+F160+F161</f>
        <v>3207.882112603</v>
      </c>
      <c r="G359" s="241">
        <f>G151+G155+G159+G160+G161</f>
        <v>3328.70708129471</v>
      </c>
      <c r="H359" s="241">
        <f>H151+H155+H159+H160+H161</f>
        <v>3328.70708129471</v>
      </c>
      <c r="I359" s="226">
        <f>I151+I155+I159+I160+I161</f>
        <v>3721.47480390636</v>
      </c>
      <c r="J359" s="226">
        <f>J151+J155+J159+J160+J161</f>
        <v>4220.861</v>
      </c>
      <c r="K359" s="226">
        <f>K151+K155+K159+K160+K161</f>
        <v>4710.226</v>
      </c>
      <c r="L359" s="226">
        <f>L151+L155+L159+L160+L161</f>
        <v>5316.145</v>
      </c>
      <c r="M359" s="226">
        <f>M151+M155+M159+M160+M161</f>
        <v>5316.145</v>
      </c>
      <c r="N359" s="226">
        <f>N151+N155+N159+N160+N161</f>
        <v>6599.397</v>
      </c>
      <c r="O359" s="226">
        <f>O151+O155+O159+O160+O161</f>
        <v>7546.721</v>
      </c>
      <c r="P359" s="226">
        <f>P151+P155+P159+P160+P161</f>
        <v>9009.923</v>
      </c>
      <c r="Q359" s="226">
        <f>Q151+Q155+Q159+Q160+Q161</f>
        <v>10068.516</v>
      </c>
      <c r="R359" s="226">
        <f>R151+R155+R159+R160+R161</f>
        <v>10068.516</v>
      </c>
      <c r="S359" s="226">
        <f>S151+S155+S159+S160+S161</f>
        <v>10759.7491172125</v>
      </c>
      <c r="T359" s="226">
        <f>T151+T155+T159+T160+T161</f>
        <v>11711.080125308</v>
      </c>
      <c r="U359" s="226">
        <f>U151+U155+U159+U160+U161</f>
        <v>13075.642024735</v>
      </c>
      <c r="V359" s="226">
        <f>V151+V155+V159+V160+V161</f>
        <v>12805.679542757</v>
      </c>
      <c r="W359" s="226">
        <f>W151+W155+W159+W160+W161</f>
        <v>12805.679542757</v>
      </c>
      <c r="X359" s="226">
        <f>X151+X155+X159+X160+X161</f>
        <v>13966.5224560532</v>
      </c>
      <c r="Y359" s="226">
        <f>Y151+Y155+Y159+Y160+Y161</f>
        <v>15126.0450154248</v>
      </c>
      <c r="Z359" s="226">
        <f>Z151+Z155+Z159+Z160+Z161</f>
        <v>15982.3612429722</v>
      </c>
      <c r="AA359" s="226">
        <f>AA151+AA155+AA159+AA160+AA161</f>
        <v>15725.20765562</v>
      </c>
      <c r="AB359" s="226">
        <f>AB151+AB155+AB159+AB160+AB161</f>
        <v>15725.20765562</v>
      </c>
      <c r="AC359" s="226">
        <f>AC151+AC155+AC159+AC160+AC161</f>
        <v>16584.4104074</v>
      </c>
      <c r="AD359" s="226">
        <f>AD151+AD155+AD159+AD160+AD161</f>
        <v>18120.09978348</v>
      </c>
      <c r="AE359" s="226">
        <f>AE151+AE155+AE159+AE160+AE161</f>
        <v>17677.25805136</v>
      </c>
      <c r="AF359" s="226">
        <f>AF151+AF155+AF159+AF160+AF161</f>
        <v>16080.70716102</v>
      </c>
      <c r="AG359" s="226">
        <f>AG151+AG155+AG159+AG160+AG161</f>
        <v>16080.70716102</v>
      </c>
      <c r="AH359" s="226">
        <f>AH151+AH155+AH159+AH160+AH161</f>
        <v>16787.98235461</v>
      </c>
      <c r="AI359" s="226">
        <f>AI151+AI155+AI159+AI160+AI161</f>
        <v>19378.99193329</v>
      </c>
      <c r="AJ359" s="226">
        <f>AJ151+AJ155+AJ159+AJ160+AJ161</f>
        <v>7993.01022827</v>
      </c>
      <c r="AK359" s="226">
        <f>AK151+AK155+AK159+AK160+AK161</f>
        <v>7993.01022827</v>
      </c>
      <c r="AL359" s="226">
        <f>AL151+AL155+AL159+AL160+AL161</f>
        <v>7993.01022827</v>
      </c>
      <c r="AM359" s="226">
        <f>AM151+AM155+AM159+AM160+AM161</f>
        <v>7993.01022827</v>
      </c>
      <c r="AN359" s="226">
        <f>AN151+AN155+AN159+AN160+AN161</f>
        <v>7993.01022827</v>
      </c>
      <c r="AO359" s="226">
        <f>AO151+AO155+AO159+AO160+AO161</f>
        <v>7993.01022827</v>
      </c>
      <c r="AP359" s="226">
        <f>AP151+AP155+AP159+AP160+AP161</f>
        <v>7993.01022827</v>
      </c>
      <c r="AQ359" s="226">
        <f>AQ151+AQ155+AQ159+AQ160+AQ161</f>
        <v>7993.01022827</v>
      </c>
      <c r="AR359" s="226">
        <f>AR151+AR155+AR159+AR160+AR161</f>
        <v>7993.01022827</v>
      </c>
      <c r="AS359" s="226">
        <f>AS151+AS155+AS159+AS160+AS161</f>
        <v>7993.01022827</v>
      </c>
      <c r="AT359" s="226">
        <f>AT151+AT155+AT159+AT160+AT161</f>
        <v>7993.01022827</v>
      </c>
      <c r="AU359" s="226">
        <f>AU151+AU155+AU159+AU160+AU161</f>
        <v>7993.01022827</v>
      </c>
      <c r="AV359" s="226">
        <f>AV151+AV155+AV159+AV160+AV161</f>
        <v>7993.01022827</v>
      </c>
      <c r="AW359" s="226">
        <f>AW151+AW155+AW159+AW160+AW161</f>
        <v>7993.01022827</v>
      </c>
      <c r="AX359" s="226">
        <f>AX151+AX155+AX159+AX160+AX161</f>
        <v>7993.01022827</v>
      </c>
      <c r="AY359" s="226">
        <f>AY151+AY155+AY159+AY160+AY161</f>
        <v>7993.01022827</v>
      </c>
      <c r="AZ359" s="226">
        <f>AZ151+AZ155+AZ159+AZ160+AZ161</f>
        <v>7993.01022827</v>
      </c>
      <c r="BA359" s="226">
        <f>BA151+BA155+BA159+BA160+BA161</f>
        <v>7993.01022827</v>
      </c>
      <c r="BB359" s="226">
        <f>BB151+BB155+BB159+BB160+BB161</f>
        <v>7993.01022827</v>
      </c>
      <c r="BC359" s="226">
        <f>BC151+BC155+BC159+BC160+BC161</f>
        <v>7993.01022827</v>
      </c>
      <c r="BD359" s="226">
        <f>BD151+BD155+BD159+BD160+BD161</f>
        <v>7993.01022827</v>
      </c>
      <c r="BE359" s="226">
        <f>BE151+BE155+BE159+BE160+BE161</f>
        <v>7993.01022827</v>
      </c>
      <c r="BF359" s="226">
        <f>BF151+BF155+BF159+BF160+BF161</f>
        <v>7993.01022827</v>
      </c>
      <c r="BG359" s="226">
        <f>BG151+BG155+BG159+BG160+BG161</f>
        <v>7993.01022827</v>
      </c>
      <c r="BH359" s="226">
        <f>BH151+BH155+BH159+BH160+BH161</f>
        <v>7993.01022827</v>
      </c>
      <c r="BI359" s="226">
        <f>BI151+BI155+BI159+BI160+BI161</f>
        <v>7993.01022827</v>
      </c>
      <c r="BJ359" s="226">
        <f>BJ151+BJ155+BJ159+BJ160+BJ161</f>
        <v>7993.01022827</v>
      </c>
      <c r="BK359" s="226">
        <f>BK151+BK155+BK159+BK160+BK161</f>
        <v>7993.01022827</v>
      </c>
      <c r="BL359" s="226">
        <f>BL151+BL155+BL159+BL160+BL161</f>
        <v>7993.01022827</v>
      </c>
      <c r="BM359" s="226">
        <f>BM151+BM155+BM159+BM160+BM161</f>
        <v>7993.01022827</v>
      </c>
      <c r="BN359" s="226">
        <f>BN151+BN155+BN159+BN160+BN161</f>
        <v>7993.01022827</v>
      </c>
      <c r="BO359" s="226">
        <f>BO151+BO155+BO159+BO160+BO161</f>
        <v>7993.01022827</v>
      </c>
      <c r="BP359" s="226">
        <f>BP151+BP155+BP159+BP160+BP161</f>
        <v>7993.01022827</v>
      </c>
      <c r="BQ359" s="226">
        <f>BQ151+BQ155+BQ159+BQ160+BQ161</f>
        <v>7993.01022827</v>
      </c>
      <c r="BR359" s="226">
        <f>BR151+BR155+BR159+BR160+BR161</f>
        <v>7993.01022827</v>
      </c>
      <c r="BS359" s="226">
        <f>BS151+BS155+BS159+BS160+BS161</f>
        <v>7993.01022827</v>
      </c>
      <c r="BT359" s="226">
        <f>BT151+BT155+BT159+BT160+BT161</f>
        <v>7993.01022827</v>
      </c>
      <c r="BU359" s="226">
        <f>BU151+BU155+BU159+BU160+BU161</f>
        <v>7993.01022827</v>
      </c>
      <c r="BV359" s="226">
        <f>BV151+BV155+BV159+BV160+BV161</f>
        <v>7993.01022827</v>
      </c>
      <c r="BW359" s="226">
        <f>BW151+BW155+BW159+BW160+BW161</f>
        <v>7993.01022827</v>
      </c>
      <c r="BX359" s="226">
        <f>BX151+BX155+BX159+BX160+BX161</f>
        <v>7993.01022827</v>
      </c>
      <c r="BY359" s="226">
        <f>BY151+BY155+BY159+BY160+BY161</f>
        <v>7993.01022827</v>
      </c>
      <c r="BZ359" s="226">
        <f>BZ151+BZ155+BZ159+BZ160+BZ161</f>
        <v>7993.01022827</v>
      </c>
      <c r="CA359" s="226">
        <f>CA151+CA155+CA159+CA160+CA161</f>
        <v>7993.01022827</v>
      </c>
      <c r="CB359" s="226">
        <f>CB151+CB155+CB159+CB160+CB161</f>
        <v>7993.01022827</v>
      </c>
      <c r="CC359" s="226">
        <f>CC151+CC155+CC159+CC160+CC161</f>
        <v>7993.01022827</v>
      </c>
      <c r="CD359" s="226">
        <f>CD151+CD155+CD159+CD160+CD161</f>
        <v>7993.01022827</v>
      </c>
      <c r="CE359" s="226">
        <f>CE151+CE155+CE159+CE160+CE161</f>
        <v>7993.01022827</v>
      </c>
      <c r="CF359" s="226">
        <f>CF151+CF155+CF159+CF160+CF161</f>
        <v>7993.01022827</v>
      </c>
      <c r="CG359" s="226">
        <f>CG151+CG155+CG159+CG160+CG161</f>
        <v>7993.01022827</v>
      </c>
      <c r="CH359" s="226">
        <f>CH151+CH155+CH159+CH160+CH161</f>
        <v>7993.01022827</v>
      </c>
      <c r="CI359" s="226">
        <f>CI151+CI155+CI159+CI160+CI161</f>
        <v>7993.01022827</v>
      </c>
      <c r="CJ359" s="226">
        <f>CJ151+CJ155+CJ159+CJ160+CJ161</f>
        <v>7993.01022827</v>
      </c>
      <c r="CK359" s="226">
        <f>CK151+CK155+CK159+CK160+CK161</f>
        <v>7993.01022827</v>
      </c>
      <c r="CL359" s="226">
        <f>CL151+CL155+CL159+CL160+CL161</f>
        <v>7993.01022827</v>
      </c>
      <c r="CM359" s="226">
        <f>CM151+CM155+CM159+CM160+CM161</f>
        <v>7993.01022827</v>
      </c>
      <c r="CN359" s="226">
        <f>CN151+CN155+CN159+CN160+CN161</f>
        <v>7993.01022827</v>
      </c>
      <c r="CO359" s="226">
        <f>CO151+CO155+CO159+CO160+CO161</f>
        <v>7993.01022827</v>
      </c>
      <c r="CP359" s="226">
        <f>CP151+CP155+CP159+CP160+CP161</f>
        <v>7993.01022827</v>
      </c>
      <c r="CQ359" s="226">
        <f>CQ151+CQ155+CQ159+CQ160+CQ161</f>
        <v>7993.01022827</v>
      </c>
      <c r="CR359" s="226">
        <f>CR151+CR155+CR159+CR160+CR161</f>
        <v>7993.01022827</v>
      </c>
      <c r="CS359" s="226">
        <f>CS151+CS155+CS159+CS160+CS161</f>
        <v>7993.01022827</v>
      </c>
      <c r="CT359" s="226">
        <f>CT151+CT155+CT159+CT160+CT161</f>
        <v>7993.01022827</v>
      </c>
      <c r="CU359" s="226">
        <f>CU151+CU155+CU159+CU160+CU161</f>
        <v>7993.01022827</v>
      </c>
      <c r="CV359" s="226">
        <f>CV151+CV155+CV159+CV160+CV161</f>
        <v>7993.01022827</v>
      </c>
      <c r="CW359" s="226">
        <f>CW151+CW155+CW159+CW160+CW161</f>
        <v>7993.01022827</v>
      </c>
      <c r="CX359" s="226">
        <f>CX151+CX155+CX159+CX160+CX161</f>
        <v>7993.01022827</v>
      </c>
      <c r="CY359" s="226">
        <f>CY151+CY155+CY159+CY160+CY161</f>
        <v>7993.01022827</v>
      </c>
    </row>
    <row r="360" customFormat="1" s="233">
      <c r="A360" s="224" t="n"/>
      <c r="B360" s="224" t="n"/>
      <c r="C360" s="233" t="inlineStr">
        <is>
          <t>CURRENT LIABILITIES</t>
        </is>
      </c>
      <c r="D360" s="241">
        <f>D204+D208+D210+D211</f>
        <v>2605.2614171913</v>
      </c>
      <c r="E360" s="241">
        <f>E204+E208+E210+E211</f>
        <v>1775.470010443</v>
      </c>
      <c r="F360" s="241">
        <f>F204+F208+F210+F211</f>
        <v>2387.498566413</v>
      </c>
      <c r="G360" s="241">
        <f>G204+G208+G210+G211</f>
        <v>3256.88633386424</v>
      </c>
      <c r="H360" s="241">
        <f>H204+H208+H210+H211</f>
        <v>3256.88633386424</v>
      </c>
      <c r="I360" s="226">
        <f>I204+I208+I210+I211</f>
        <v>3034.02918573896</v>
      </c>
      <c r="J360" s="226">
        <f>J204+J208+J210+J211</f>
        <v>3914.288332118</v>
      </c>
      <c r="K360" s="226">
        <f>K204+K208+K210+K211</f>
        <v>3667.875</v>
      </c>
      <c r="L360" s="226">
        <f>L204+L208+L210+L211</f>
        <v>5393.503</v>
      </c>
      <c r="M360" s="226">
        <f>M204+M208+M210+M211</f>
        <v>5393.503</v>
      </c>
      <c r="N360" s="226">
        <f>N204+N208+N210+N211</f>
        <v>5679.493</v>
      </c>
      <c r="O360" s="226">
        <f>O204+O208+O210+O211</f>
        <v>6783.041</v>
      </c>
      <c r="P360" s="226">
        <f>P204+P208+P210+P211</f>
        <v>6830.958</v>
      </c>
      <c r="Q360" s="226">
        <f>Q204+Q208+Q210+Q211</f>
        <v>9734.947</v>
      </c>
      <c r="R360" s="226">
        <f>R204+R208+R210+R211</f>
        <v>9734.947</v>
      </c>
      <c r="S360" s="226">
        <f>S204+S208+S210+S211</f>
        <v>7282.8276568971</v>
      </c>
      <c r="T360" s="226">
        <f>T204+T208+T210+T211</f>
        <v>6263.01079430559</v>
      </c>
      <c r="U360" s="226">
        <f>U204+U208+U210+U211</f>
        <v>7485.56622443566</v>
      </c>
      <c r="V360" s="226">
        <f>V204+V208+V210+V211</f>
        <v>11030.7932852305</v>
      </c>
      <c r="W360" s="226">
        <f>W204+W208+W210+W211</f>
        <v>11030.7932852305</v>
      </c>
      <c r="X360" s="226">
        <f>X204+X208+X210+X211</f>
        <v>11872.0726671905</v>
      </c>
      <c r="Y360" s="226">
        <f>Y204+Y208+Y210+Y211</f>
        <v>11495.9098510377</v>
      </c>
      <c r="Z360" s="226">
        <f>Z204+Z208+Z210+Z211</f>
        <v>11519.5121214159</v>
      </c>
      <c r="AA360" s="226">
        <f>AA204+AA208+AA210+AA211</f>
        <v>13463.40052102</v>
      </c>
      <c r="AB360" s="226">
        <f>AB204+AB208+AB210+AB211</f>
        <v>13463.40052102</v>
      </c>
      <c r="AC360" s="226">
        <f>AC204+AC208+AC210+AC211</f>
        <v>11461.82117218</v>
      </c>
      <c r="AD360" s="226">
        <f>AD204+AD208+AD210+AD211</f>
        <v>12062.8111942</v>
      </c>
      <c r="AE360" s="226">
        <f>AE204+AE208+AE210+AE211</f>
        <v>12430.26763499</v>
      </c>
      <c r="AF360" s="226">
        <f>AF204+AF208+AF210+AF211</f>
        <v>14467.31698346</v>
      </c>
      <c r="AG360" s="226">
        <f>AG204+AG208+AG210+AG211</f>
        <v>14467.31698346</v>
      </c>
      <c r="AH360" s="226">
        <f>AH204+AH208+AH210+AH211</f>
        <v>14797.09187337</v>
      </c>
      <c r="AI360" s="226">
        <f>AI204+AI208+AI210+AI211</f>
        <v>16745.25519351</v>
      </c>
      <c r="AJ360" s="226">
        <f>AJ204+AJ208+AJ210+AJ211</f>
        <v>6293.82962774</v>
      </c>
      <c r="AK360" s="226">
        <f>AK204+AK208+AK210+AK211</f>
        <v>6293.82962774</v>
      </c>
      <c r="AL360" s="226">
        <f>AL204+AL208+AL210+AL211</f>
        <v>6293.82962774</v>
      </c>
      <c r="AM360" s="226" t="e">
        <f>AM204+AM208+AM210+AM211</f>
        <v>#DIV/0!</v>
      </c>
      <c r="AN360" s="226">
        <f>AN204+AN208+AN210+AN211</f>
        <v>6293.82962774</v>
      </c>
      <c r="AO360" s="226" t="e">
        <f>AO204+AO208+AO210+AO211</f>
        <v>#DIV/0!</v>
      </c>
      <c r="AP360" s="226" t="e">
        <f>AP204+AP208+AP210+AP211</f>
        <v>#DIV/0!</v>
      </c>
      <c r="AQ360" s="226" t="e">
        <f>AQ204+AQ208+AQ210+AQ211</f>
        <v>#DIV/0!</v>
      </c>
      <c r="AR360" s="226" t="e">
        <f>AR204+AR208+AR210+AR211</f>
        <v>#DIV/0!</v>
      </c>
      <c r="AS360" s="226" t="e">
        <f>AS204+AS208+AS210+AS211</f>
        <v>#DIV/0!</v>
      </c>
      <c r="AT360" s="226" t="e">
        <f>AT204+AT208+AT210+AT211</f>
        <v>#DIV/0!</v>
      </c>
      <c r="AU360" s="226" t="e">
        <f>AU204+AU208+AU210+AU211</f>
        <v>#DIV/0!</v>
      </c>
      <c r="AV360" s="226" t="e">
        <f>AV204+AV208+AV210+AV211</f>
        <v>#DIV/0!</v>
      </c>
      <c r="AW360" s="226" t="e">
        <f>AW204+AW208+AW210+AW211</f>
        <v>#DIV/0!</v>
      </c>
      <c r="AX360" s="226" t="e">
        <f>AX204+AX208+AX210+AX211</f>
        <v>#DIV/0!</v>
      </c>
      <c r="AY360" s="226" t="e">
        <f>AY204+AY208+AY210+AY211</f>
        <v>#DIV/0!</v>
      </c>
      <c r="AZ360" s="226" t="e">
        <f>AZ204+AZ208+AZ210+AZ211</f>
        <v>#DIV/0!</v>
      </c>
      <c r="BA360" s="226" t="e">
        <f>BA204+BA208+BA210+BA211</f>
        <v>#DIV/0!</v>
      </c>
      <c r="BB360" s="226" t="e">
        <f>BB204+BB208+BB210+BB211</f>
        <v>#DIV/0!</v>
      </c>
      <c r="BC360" s="226" t="e">
        <f>BC204+BC208+BC210+BC211</f>
        <v>#DIV/0!</v>
      </c>
      <c r="BD360" s="226" t="e">
        <f>BD204+BD208+BD210+BD211</f>
        <v>#DIV/0!</v>
      </c>
      <c r="BE360" s="226" t="e">
        <f>BE204+BE208+BE210+BE211</f>
        <v>#DIV/0!</v>
      </c>
      <c r="BF360" s="226" t="e">
        <f>BF204+BF208+BF210+BF211</f>
        <v>#DIV/0!</v>
      </c>
      <c r="BG360" s="226" t="e">
        <f>BG204+BG208+BG210+BG211</f>
        <v>#DIV/0!</v>
      </c>
      <c r="BH360" s="226" t="e">
        <f>BH204+BH208+BH210+BH211</f>
        <v>#DIV/0!</v>
      </c>
      <c r="BI360" s="226" t="e">
        <f>BI204+BI208+BI210+BI211</f>
        <v>#DIV/0!</v>
      </c>
      <c r="BJ360" s="226" t="e">
        <f>BJ204+BJ208+BJ210+BJ211</f>
        <v>#DIV/0!</v>
      </c>
      <c r="BK360" s="226" t="e">
        <f>BK204+BK208+BK210+BK211</f>
        <v>#DIV/0!</v>
      </c>
      <c r="BL360" s="226" t="e">
        <f>BL204+BL208+BL210+BL211</f>
        <v>#DIV/0!</v>
      </c>
      <c r="BM360" s="226" t="e">
        <f>BM204+BM208+BM210+BM211</f>
        <v>#DIV/0!</v>
      </c>
      <c r="BN360" s="226" t="e">
        <f>BN204+BN208+BN210+BN211</f>
        <v>#DIV/0!</v>
      </c>
      <c r="BO360" s="226" t="e">
        <f>BO204+BO208+BO210+BO211</f>
        <v>#DIV/0!</v>
      </c>
      <c r="BP360" s="226" t="e">
        <f>BP204+BP208+BP210+BP211</f>
        <v>#DIV/0!</v>
      </c>
      <c r="BQ360" s="226" t="e">
        <f>BQ204+BQ208+BQ210+BQ211</f>
        <v>#DIV/0!</v>
      </c>
      <c r="BR360" s="226" t="e">
        <f>BR204+BR208+BR210+BR211</f>
        <v>#DIV/0!</v>
      </c>
      <c r="BS360" s="226" t="e">
        <f>BS204+BS208+BS210+BS211</f>
        <v>#DIV/0!</v>
      </c>
      <c r="BT360" s="226" t="e">
        <f>BT204+BT208+BT210+BT211</f>
        <v>#DIV/0!</v>
      </c>
      <c r="BU360" s="226" t="e">
        <f>BU204+BU208+BU210+BU211</f>
        <v>#DIV/0!</v>
      </c>
      <c r="BV360" s="226" t="e">
        <f>BV204+BV208+BV210+BV211</f>
        <v>#DIV/0!</v>
      </c>
      <c r="BW360" s="226" t="e">
        <f>BW204+BW208+BW210+BW211</f>
        <v>#DIV/0!</v>
      </c>
      <c r="BX360" s="226" t="e">
        <f>BX204+BX208+BX210+BX211</f>
        <v>#DIV/0!</v>
      </c>
      <c r="BY360" s="226" t="e">
        <f>BY204+BY208+BY210+BY211</f>
        <v>#DIV/0!</v>
      </c>
      <c r="BZ360" s="226" t="e">
        <f>BZ204+BZ208+BZ210+BZ211</f>
        <v>#DIV/0!</v>
      </c>
      <c r="CA360" s="226" t="e">
        <f>CA204+CA208+CA210+CA211</f>
        <v>#DIV/0!</v>
      </c>
      <c r="CB360" s="226" t="e">
        <f>CB204+CB208+CB210+CB211</f>
        <v>#DIV/0!</v>
      </c>
      <c r="CC360" s="226" t="e">
        <f>CC204+CC208+CC210+CC211</f>
        <v>#DIV/0!</v>
      </c>
      <c r="CD360" s="226" t="e">
        <f>CD204+CD208+CD210+CD211</f>
        <v>#DIV/0!</v>
      </c>
      <c r="CE360" s="226" t="e">
        <f>CE204+CE208+CE210+CE211</f>
        <v>#DIV/0!</v>
      </c>
      <c r="CF360" s="226" t="e">
        <f>CF204+CF208+CF210+CF211</f>
        <v>#DIV/0!</v>
      </c>
      <c r="CG360" s="226" t="e">
        <f>CG204+CG208+CG210+CG211</f>
        <v>#DIV/0!</v>
      </c>
      <c r="CH360" s="226" t="e">
        <f>CH204+CH208+CH210+CH211</f>
        <v>#DIV/0!</v>
      </c>
      <c r="CI360" s="226" t="e">
        <f>CI204+CI208+CI210+CI211</f>
        <v>#DIV/0!</v>
      </c>
      <c r="CJ360" s="226" t="e">
        <f>CJ204+CJ208+CJ210+CJ211</f>
        <v>#DIV/0!</v>
      </c>
      <c r="CK360" s="226" t="e">
        <f>CK204+CK208+CK210+CK211</f>
        <v>#DIV/0!</v>
      </c>
      <c r="CL360" s="226" t="e">
        <f>CL204+CL208+CL210+CL211</f>
        <v>#DIV/0!</v>
      </c>
      <c r="CM360" s="226" t="e">
        <f>CM204+CM208+CM210+CM211</f>
        <v>#DIV/0!</v>
      </c>
      <c r="CN360" s="226" t="e">
        <f>CN204+CN208+CN210+CN211</f>
        <v>#DIV/0!</v>
      </c>
      <c r="CO360" s="226" t="e">
        <f>CO204+CO208+CO210+CO211</f>
        <v>#DIV/0!</v>
      </c>
      <c r="CP360" s="226" t="e">
        <f>CP204+CP208+CP210+CP211</f>
        <v>#DIV/0!</v>
      </c>
      <c r="CQ360" s="226" t="e">
        <f>CQ204+CQ208+CQ210+CQ211</f>
        <v>#DIV/0!</v>
      </c>
      <c r="CR360" s="226" t="e">
        <f>CR204+CR208+CR210+CR211</f>
        <v>#DIV/0!</v>
      </c>
      <c r="CS360" s="226" t="e">
        <f>CS204+CS208+CS210+CS211</f>
        <v>#DIV/0!</v>
      </c>
      <c r="CT360" s="226" t="e">
        <f>CT204+CT208+CT210+CT211</f>
        <v>#DIV/0!</v>
      </c>
      <c r="CU360" s="226" t="e">
        <f>CU204+CU208+CU210+CU211</f>
        <v>#DIV/0!</v>
      </c>
      <c r="CV360" s="226" t="e">
        <f>CV204+CV208+CV210+CV211</f>
        <v>#DIV/0!</v>
      </c>
      <c r="CW360" s="226" t="e">
        <f>CW204+CW208+CW210+CW211</f>
        <v>#DIV/0!</v>
      </c>
      <c r="CX360" s="226" t="e">
        <f>CX204+CX208+CX210+CX211</f>
        <v>#DIV/0!</v>
      </c>
      <c r="CY360" s="226" t="e">
        <f>CY204+CY208+CY210+CY211</f>
        <v>#DIV/0!</v>
      </c>
    </row>
    <row r="361" customFormat="1" s="233">
      <c r="A361" s="224" t="n"/>
      <c r="B361" s="224" t="n"/>
      <c r="C361" s="233" t="inlineStr">
        <is>
          <t>FIXED ASSETS</t>
        </is>
      </c>
      <c r="D361" s="241">
        <f>D172+D182+D185+D186+D195-D246</f>
        <v>11466.18175182</v>
      </c>
      <c r="E361" s="241">
        <f>E172+E182+E185+E186+E195-E246</f>
        <v>10591.41872143</v>
      </c>
      <c r="F361" s="241">
        <f>F172+F182+F185+F186+F195-F246</f>
        <v>11457.03041314</v>
      </c>
      <c r="G361" s="241">
        <f>G172+G182+G185+G186+G195-G246</f>
        <v>13135.10790893</v>
      </c>
      <c r="H361" s="241">
        <f>H172+H182+H185+H186+H195-H246</f>
        <v>13135.10790893</v>
      </c>
      <c r="I361" s="226">
        <f>I172+I182+I185+I186+I195-I246</f>
        <v>14056.13256516</v>
      </c>
      <c r="J361" s="226">
        <f>J172+J182+J185+J186+J195-J246</f>
        <v>15891.10540211</v>
      </c>
      <c r="K361" s="226">
        <f>K172+K182+K185+K186+K195-K246</f>
        <v>18122.338</v>
      </c>
      <c r="L361" s="226">
        <f>L172+L182+L185+L186+L195-L246</f>
        <v>22625.971</v>
      </c>
      <c r="M361" s="226">
        <f>M172+M182+M185+M186+M195-M246</f>
        <v>22625.971</v>
      </c>
      <c r="N361" s="226">
        <f>N172+N182+N185+N186+N195-N246</f>
        <v>23389.21</v>
      </c>
      <c r="O361" s="226">
        <f>O172+O182+O185+O186+O195-O246</f>
        <v>27317.781</v>
      </c>
      <c r="P361" s="226">
        <f>P172+P182+P185+P186+P195-P246</f>
        <v>29995.429</v>
      </c>
      <c r="Q361" s="226">
        <f>Q172+Q182+Q185+Q186+Q195-Q246</f>
        <v>33415.683</v>
      </c>
      <c r="R361" s="226">
        <f>R172+R182+R185+R186+R195-R246</f>
        <v>33415.683</v>
      </c>
      <c r="S361" s="226">
        <f>S172+S182+S185+S186+S195-S246</f>
        <v>33321.083465929</v>
      </c>
      <c r="T361" s="226">
        <f>T172+T182+T185+T186+T195-T246</f>
        <v>34964.723117755</v>
      </c>
      <c r="U361" s="226">
        <f>U172+U182+U185+U186+U195-U246</f>
        <v>35995.7285948495</v>
      </c>
      <c r="V361" s="226">
        <f>V172+V182+V185+V186+V195-V246</f>
        <v>40727.2658447301</v>
      </c>
      <c r="W361" s="226">
        <f>W172+W182+W185+W186+W195-W246</f>
        <v>40727.2658447301</v>
      </c>
      <c r="X361" s="226">
        <f>X172+X182+X185+X186+X195-X246</f>
        <v>41846.0039779876</v>
      </c>
      <c r="Y361" s="226">
        <f>Y172+Y182+Y185+Y186+Y195-Y246</f>
        <v>43739.6940467403</v>
      </c>
      <c r="Z361" s="226">
        <f>Z172+Z182+Z185+Z186+Z195-Z246</f>
        <v>44929.2122802931</v>
      </c>
      <c r="AA361" s="226">
        <f>AA172+AA182+AA185+AA186+AA195-AA246</f>
        <v>48351.90075847</v>
      </c>
      <c r="AB361" s="226">
        <f>AB172+AB182+AB185+AB186+AB195-AB246</f>
        <v>48351.90075847</v>
      </c>
      <c r="AC361" s="226">
        <f>AC172+AC182+AC185+AC186+AC195-AC246</f>
        <v>45647.20791134</v>
      </c>
      <c r="AD361" s="226">
        <f>AD172+AD182+AD185+AD186+AD195-AD246</f>
        <v>45542.42218607</v>
      </c>
      <c r="AE361" s="226">
        <f>AE172+AE182+AE185+AE186+AE195-AE246</f>
        <v>44846.93946406</v>
      </c>
      <c r="AF361" s="226">
        <f>AF172+AF182+AF185+AF186+AF195-AF246</f>
        <v>47973.50228356</v>
      </c>
      <c r="AG361" s="226">
        <f>AG172+AG182+AG185+AG186+AG195-AG246</f>
        <v>47973.50228356</v>
      </c>
      <c r="AH361" s="226">
        <f>AH172+AH182+AH185+AH186+AH195-AH246</f>
        <v>47734.30085481</v>
      </c>
      <c r="AI361" s="226">
        <f>AI172+AI182+AI185+AI186+AI195-AI246</f>
        <v>49024.70094032</v>
      </c>
      <c r="AJ361" s="226">
        <f>AJ172+AJ182+AJ185+AJ186+AJ195-AJ246</f>
        <v>45890.65949313</v>
      </c>
      <c r="AK361" s="226">
        <f>AK172+AK182+AK185+AK186+AK195-AK246</f>
        <v>45890.65949313</v>
      </c>
      <c r="AL361" s="226">
        <f>AL172+AL182+AL185+AL186+AL195-AL246</f>
        <v>45890.65949313</v>
      </c>
      <c r="AM361" s="226">
        <f>AM172+AM182+AM185+AM186+AM195-AM246</f>
        <v>45890.65949313</v>
      </c>
      <c r="AN361" s="226">
        <f>AN172+AN182+AN185+AN186+AN195-AN246</f>
        <v>45890.65949313</v>
      </c>
      <c r="AO361" s="226">
        <f>AO172+AO182+AO185+AO186+AO195-AO246</f>
        <v>45890.65949313</v>
      </c>
      <c r="AP361" s="226">
        <f>AP172+AP182+AP185+AP186+AP195-AP246</f>
        <v>45890.65949313</v>
      </c>
      <c r="AQ361" s="226">
        <f>AQ172+AQ182+AQ185+AQ186+AQ195-AQ246</f>
        <v>45890.65949313</v>
      </c>
      <c r="AR361" s="226">
        <f>AR172+AR182+AR185+AR186+AR195-AR246</f>
        <v>45890.65949313</v>
      </c>
      <c r="AS361" s="226">
        <f>AS172+AS182+AS185+AS186+AS195-AS246</f>
        <v>45890.65949313</v>
      </c>
      <c r="AT361" s="226">
        <f>AT172+AT182+AT185+AT186+AT195-AT246</f>
        <v>45890.65949313</v>
      </c>
      <c r="AU361" s="226">
        <f>AU172+AU182+AU185+AU186+AU195-AU246</f>
        <v>45890.65949313</v>
      </c>
      <c r="AV361" s="226">
        <f>AV172+AV182+AV185+AV186+AV195-AV246</f>
        <v>45890.65949313</v>
      </c>
      <c r="AW361" s="226">
        <f>AW172+AW182+AW185+AW186+AW195-AW246</f>
        <v>45890.65949313</v>
      </c>
      <c r="AX361" s="226">
        <f>AX172+AX182+AX185+AX186+AX195-AX246</f>
        <v>45890.65949313</v>
      </c>
      <c r="AY361" s="226">
        <f>AY172+AY182+AY185+AY186+AY195-AY246</f>
        <v>45890.65949313</v>
      </c>
      <c r="AZ361" s="226">
        <f>AZ172+AZ182+AZ185+AZ186+AZ195-AZ246</f>
        <v>45890.65949313</v>
      </c>
      <c r="BA361" s="226">
        <f>BA172+BA182+BA185+BA186+BA195-BA246</f>
        <v>45890.65949313</v>
      </c>
      <c r="BB361" s="226">
        <f>BB172+BB182+BB185+BB186+BB195-BB246</f>
        <v>45890.65949313</v>
      </c>
      <c r="BC361" s="226">
        <f>BC172+BC182+BC185+BC186+BC195-BC246</f>
        <v>45890.65949313</v>
      </c>
      <c r="BD361" s="226">
        <f>BD172+BD182+BD185+BD186+BD195-BD246</f>
        <v>45890.65949313</v>
      </c>
      <c r="BE361" s="226">
        <f>BE172+BE182+BE185+BE186+BE195-BE246</f>
        <v>45890.65949313</v>
      </c>
      <c r="BF361" s="226">
        <f>BF172+BF182+BF185+BF186+BF195-BF246</f>
        <v>45890.65949313</v>
      </c>
      <c r="BG361" s="226">
        <f>BG172+BG182+BG185+BG186+BG195-BG246</f>
        <v>45890.65949313</v>
      </c>
      <c r="BH361" s="226">
        <f>BH172+BH182+BH185+BH186+BH195-BH246</f>
        <v>45890.65949313</v>
      </c>
      <c r="BI361" s="226">
        <f>BI172+BI182+BI185+BI186+BI195-BI246</f>
        <v>45890.65949313</v>
      </c>
      <c r="BJ361" s="226">
        <f>BJ172+BJ182+BJ185+BJ186+BJ195-BJ246</f>
        <v>45890.65949313</v>
      </c>
      <c r="BK361" s="226">
        <f>BK172+BK182+BK185+BK186+BK195-BK246</f>
        <v>45890.65949313</v>
      </c>
      <c r="BL361" s="226">
        <f>BL172+BL182+BL185+BL186+BL195-BL246</f>
        <v>45890.65949313</v>
      </c>
      <c r="BM361" s="226">
        <f>BM172+BM182+BM185+BM186+BM195-BM246</f>
        <v>45890.65949313</v>
      </c>
      <c r="BN361" s="226">
        <f>BN172+BN182+BN185+BN186+BN195-BN246</f>
        <v>45890.65949313</v>
      </c>
      <c r="BO361" s="226">
        <f>BO172+BO182+BO185+BO186+BO195-BO246</f>
        <v>45890.65949313</v>
      </c>
      <c r="BP361" s="226">
        <f>BP172+BP182+BP185+BP186+BP195-BP246</f>
        <v>45890.65949313</v>
      </c>
      <c r="BQ361" s="226">
        <f>BQ172+BQ182+BQ185+BQ186+BQ195-BQ246</f>
        <v>45890.65949313</v>
      </c>
      <c r="BR361" s="226">
        <f>BR172+BR182+BR185+BR186+BR195-BR246</f>
        <v>45890.65949313</v>
      </c>
      <c r="BS361" s="226">
        <f>BS172+BS182+BS185+BS186+BS195-BS246</f>
        <v>45890.65949313</v>
      </c>
      <c r="BT361" s="226">
        <f>BT172+BT182+BT185+BT186+BT195-BT246</f>
        <v>45890.65949313</v>
      </c>
      <c r="BU361" s="226">
        <f>BU172+BU182+BU185+BU186+BU195-BU246</f>
        <v>45890.65949313</v>
      </c>
      <c r="BV361" s="226">
        <f>BV172+BV182+BV185+BV186+BV195-BV246</f>
        <v>45890.65949313</v>
      </c>
      <c r="BW361" s="226">
        <f>BW172+BW182+BW185+BW186+BW195-BW246</f>
        <v>45890.65949313</v>
      </c>
      <c r="BX361" s="226">
        <f>BX172+BX182+BX185+BX186+BX195-BX246</f>
        <v>45890.65949313</v>
      </c>
      <c r="BY361" s="226">
        <f>BY172+BY182+BY185+BY186+BY195-BY246</f>
        <v>45890.65949313</v>
      </c>
      <c r="BZ361" s="226">
        <f>BZ172+BZ182+BZ185+BZ186+BZ195-BZ246</f>
        <v>45890.65949313</v>
      </c>
      <c r="CA361" s="226">
        <f>CA172+CA182+CA185+CA186+CA195-CA246</f>
        <v>45890.65949313</v>
      </c>
      <c r="CB361" s="226">
        <f>CB172+CB182+CB185+CB186+CB195-CB246</f>
        <v>45890.65949313</v>
      </c>
      <c r="CC361" s="226">
        <f>CC172+CC182+CC185+CC186+CC195-CC246</f>
        <v>45890.65949313</v>
      </c>
      <c r="CD361" s="226">
        <f>CD172+CD182+CD185+CD186+CD195-CD246</f>
        <v>45890.65949313</v>
      </c>
      <c r="CE361" s="226">
        <f>CE172+CE182+CE185+CE186+CE195-CE246</f>
        <v>45890.65949313</v>
      </c>
      <c r="CF361" s="226">
        <f>CF172+CF182+CF185+CF186+CF195-CF246</f>
        <v>45890.65949313</v>
      </c>
      <c r="CG361" s="226">
        <f>CG172+CG182+CG185+CG186+CG195-CG246</f>
        <v>45890.65949313</v>
      </c>
      <c r="CH361" s="226">
        <f>CH172+CH182+CH185+CH186+CH195-CH246</f>
        <v>45890.65949313</v>
      </c>
      <c r="CI361" s="226">
        <f>CI172+CI182+CI185+CI186+CI195-CI246</f>
        <v>45890.65949313</v>
      </c>
      <c r="CJ361" s="226">
        <f>CJ172+CJ182+CJ185+CJ186+CJ195-CJ246</f>
        <v>45890.65949313</v>
      </c>
      <c r="CK361" s="226">
        <f>CK172+CK182+CK185+CK186+CK195-CK246</f>
        <v>45890.65949313</v>
      </c>
      <c r="CL361" s="226">
        <f>CL172+CL182+CL185+CL186+CL195-CL246</f>
        <v>45890.65949313</v>
      </c>
      <c r="CM361" s="226">
        <f>CM172+CM182+CM185+CM186+CM195-CM246</f>
        <v>45890.65949313</v>
      </c>
      <c r="CN361" s="226">
        <f>CN172+CN182+CN185+CN186+CN195-CN246</f>
        <v>45890.65949313</v>
      </c>
      <c r="CO361" s="226">
        <f>CO172+CO182+CO185+CO186+CO195-CO246</f>
        <v>45890.65949313</v>
      </c>
      <c r="CP361" s="226">
        <f>CP172+CP182+CP185+CP186+CP195-CP246</f>
        <v>45890.65949313</v>
      </c>
      <c r="CQ361" s="226">
        <f>CQ172+CQ182+CQ185+CQ186+CQ195-CQ246</f>
        <v>45890.65949313</v>
      </c>
      <c r="CR361" s="226">
        <f>CR172+CR182+CR185+CR186+CR195-CR246</f>
        <v>45890.65949313</v>
      </c>
      <c r="CS361" s="226">
        <f>CS172+CS182+CS185+CS186+CS195-CS246</f>
        <v>45890.65949313</v>
      </c>
      <c r="CT361" s="226">
        <f>CT172+CT182+CT185+CT186+CT195-CT246</f>
        <v>45890.65949313</v>
      </c>
      <c r="CU361" s="226">
        <f>CU172+CU182+CU185+CU186+CU195-CU246</f>
        <v>45890.65949313</v>
      </c>
      <c r="CV361" s="226">
        <f>CV172+CV182+CV185+CV186+CV195-CV246</f>
        <v>45890.65949313</v>
      </c>
      <c r="CW361" s="226">
        <f>CW172+CW182+CW185+CW186+CW195-CW246</f>
        <v>45890.65949313</v>
      </c>
      <c r="CX361" s="226">
        <f>CX172+CX182+CX185+CX186+CX195-CX246</f>
        <v>45890.65949313</v>
      </c>
      <c r="CY361" s="226">
        <f>CY172+CY182+CY185+CY186+CY195-CY246</f>
        <v>45890.65949313</v>
      </c>
    </row>
    <row r="362" customFormat="1" s="233">
      <c r="A362" s="224" t="n"/>
      <c r="B362" s="224" t="n"/>
    </row>
    <row r="363" customFormat="1" s="233">
      <c r="A363" s="224" t="n"/>
      <c r="B363" s="224" t="n"/>
    </row>
    <row r="364" customFormat="1" s="233">
      <c r="A364" s="224" t="n"/>
      <c r="B364" s="224" t="n"/>
    </row>
    <row r="365" customFormat="1" s="233">
      <c r="A365" s="224" t="n"/>
      <c r="B365" s="224" t="n"/>
    </row>
    <row r="366" customFormat="1" s="233">
      <c r="A366" s="224" t="n"/>
      <c r="B366" s="224" t="n"/>
    </row>
    <row r="367" customFormat="1" s="233">
      <c r="A367" s="224" t="n"/>
      <c r="B367" s="224" t="n"/>
    </row>
    <row r="368" customFormat="1" s="233">
      <c r="A368" s="224" t="n"/>
      <c r="B368" s="224" t="n"/>
    </row>
    <row r="369" customFormat="1" s="233">
      <c r="A369" s="224" t="n"/>
      <c r="B369" s="224" t="n"/>
      <c r="C369" s="234" t="inlineStr">
        <is>
          <t>DUPONT ANALYSIS</t>
        </is>
      </c>
    </row>
    <row r="370" customFormat="1" s="233">
      <c r="A370" s="224" t="n"/>
      <c r="B370" s="224" t="n"/>
      <c r="C370" s="233" t="inlineStr">
        <is>
          <t>NET PROFIT MARGIN</t>
        </is>
      </c>
      <c r="D370" s="238">
        <f>D143/D15</f>
        <v>0.0230812415196304</v>
      </c>
      <c r="E370" s="238">
        <f>E143/E15</f>
        <v>0.0707257045519153</v>
      </c>
      <c r="F370" s="238">
        <f>F143/F15</f>
        <v>0.0281078511769408</v>
      </c>
      <c r="G370" s="238">
        <f>G143/G15</f>
        <v>0.0524415659450496</v>
      </c>
      <c r="I370" s="222">
        <f>I143/I15</f>
        <v>0.0359691601700098</v>
      </c>
      <c r="J370" s="222">
        <f>J143/J15</f>
        <v>0.0848654714760411</v>
      </c>
      <c r="K370" s="222">
        <f>K143/K15</f>
        <v>0.0620883312954111</v>
      </c>
      <c r="L370" s="222">
        <f>L143/L15</f>
        <v>0.0519483218069537</v>
      </c>
      <c r="N370" s="222">
        <f>N143/N15</f>
        <v>0.0423107426588659</v>
      </c>
      <c r="O370" s="222">
        <f>O143/O15</f>
        <v>0.0189296845369642</v>
      </c>
      <c r="P370" s="222">
        <f>P143/P15</f>
        <v>0.00271142455272017</v>
      </c>
      <c r="Q370" s="222">
        <f>Q143/Q15</f>
        <v>0.0231473488831148</v>
      </c>
      <c r="S370" s="222">
        <f>S143/S15</f>
        <v>0.000831849939155359</v>
      </c>
      <c r="T370" s="222">
        <f>T143/T15</f>
        <v>0.00163003609753174</v>
      </c>
      <c r="U370" s="222">
        <f>U143/U15</f>
        <v>-0.0164117830146251</v>
      </c>
      <c r="V370" s="222">
        <f>V143/V15</f>
        <v>-0.0442656407830066</v>
      </c>
      <c r="X370" s="222">
        <f>X143/X15</f>
        <v>-0.00143992631434247</v>
      </c>
      <c r="Y370" s="222">
        <f>Y143/Y15</f>
        <v>0.00482046716840016</v>
      </c>
      <c r="Z370" s="222">
        <f>Z143/Z15</f>
        <v>0.0010047967547907</v>
      </c>
      <c r="AA370" s="222">
        <f>AA143/AA15</f>
        <v>-0.0230192298425959</v>
      </c>
      <c r="AC370" s="222">
        <f>AC143/AC15</f>
        <v>-0.0049736278482795</v>
      </c>
      <c r="AD370" s="222">
        <f>AD143/AD15</f>
        <v>-0.00931176792836755</v>
      </c>
      <c r="AE370" s="222">
        <f>AE143/AE15</f>
        <v>-0.0221776845699724</v>
      </c>
      <c r="AF370" s="222">
        <f>AF143/AF15</f>
        <v>0.0389323541828298</v>
      </c>
      <c r="AH370" s="222">
        <f>AH143/AH15</f>
        <v>-0.0164401710699217</v>
      </c>
      <c r="AI370" s="222">
        <f>AI143/AI15</f>
        <v>-0.016843751711484</v>
      </c>
      <c r="AJ370" s="222">
        <f>AJ143/AJ15</f>
        <v>0.0524841081207435</v>
      </c>
      <c r="AK370" s="222">
        <f>AK143/AK15</f>
        <v>0.0556266317403047</v>
      </c>
      <c r="AM370" s="222">
        <f>AM143/AM15</f>
        <v>0.0607031696334097</v>
      </c>
      <c r="AN370" s="222">
        <f>AN143/AN15</f>
        <v>0.22039783205056</v>
      </c>
      <c r="AO370" s="222">
        <f>AO143/AO15</f>
        <v>0.0595246105484378</v>
      </c>
      <c r="AP370" s="222">
        <f>AP143/AP15</f>
        <v>0.221917352879951</v>
      </c>
      <c r="AR370" s="222">
        <f>AR143/AR15</f>
        <v>0.229965148019472</v>
      </c>
      <c r="AS370" s="222">
        <f>AS143/AS15</f>
        <v>0.563056276698175</v>
      </c>
      <c r="AT370" s="222">
        <f>AT143/AT15</f>
        <v>0.226093336648931</v>
      </c>
      <c r="AU370" s="222">
        <f>AU143/AU15</f>
        <v>0.568556298669001</v>
      </c>
      <c r="AW370" s="222">
        <f>AW143/AW15</f>
        <v>0.582797785630332</v>
      </c>
      <c r="AX370" s="222">
        <f>AX143/AX15</f>
        <v>1.57713553131468</v>
      </c>
      <c r="AY370" s="222">
        <f>AY143/AY15</f>
        <v>0.573311793705306</v>
      </c>
      <c r="AZ370" s="222">
        <f>AZ143/AZ15</f>
        <v>1.59441563252639</v>
      </c>
      <c r="BB370" s="222">
        <f>BB143/BB15</f>
        <v>1.62698701762418</v>
      </c>
      <c r="BC370" s="222">
        <f>BC143/BC15</f>
        <v>4.29061092984293</v>
      </c>
      <c r="BD370" s="222">
        <f>BD143/BD15</f>
        <v>1.60088616001904</v>
      </c>
      <c r="BE370" s="222">
        <f>BE143/BE15</f>
        <v>4.33941219181928</v>
      </c>
      <c r="BG370" s="222">
        <f>BG143/BG15</f>
        <v>4.42103075683359</v>
      </c>
      <c r="BH370" s="222">
        <f>BH143/BH15</f>
        <v>11.7457202361325</v>
      </c>
      <c r="BI370" s="222">
        <f>BI143/BI15</f>
        <v>4.35047180675926</v>
      </c>
      <c r="BJ370" s="222">
        <f>BJ143/BJ15</f>
        <v>11.8811239781198</v>
      </c>
      <c r="BL370" s="222">
        <f>BL143/BL15</f>
        <v>12.0974966992401</v>
      </c>
      <c r="BM370" s="222">
        <f>BM143/BM15</f>
        <v>32.082889645768</v>
      </c>
      <c r="BN370" s="222">
        <f>BN143/BN15</f>
        <v>11.9047918328672</v>
      </c>
      <c r="BO370" s="222">
        <f>BO143/BO15</f>
        <v>32.4545406693067</v>
      </c>
      <c r="BQ370" s="222">
        <f>BQ143/BQ15</f>
        <v>33.0385160624719</v>
      </c>
      <c r="BR370" s="222">
        <f>BR143/BR15</f>
        <v>87.6674470776181</v>
      </c>
      <c r="BS370" s="222">
        <f>BS143/BS15</f>
        <v>32.5126031785635</v>
      </c>
      <c r="BT370" s="222">
        <f>BT143/BT15</f>
        <v>88.6847976242816</v>
      </c>
      <c r="BV370" s="222">
        <f>BV143/BV15</f>
        <v>90.2734866737487</v>
      </c>
      <c r="BW370" s="222">
        <f>BW143/BW15</f>
        <v>239.510900760589</v>
      </c>
      <c r="BX370" s="222">
        <f>BX143/BX15</f>
        <v>88.8368659221718</v>
      </c>
      <c r="BY370" s="222">
        <f>BY143/BY15</f>
        <v>242.292144916605</v>
      </c>
      <c r="CA370" s="222">
        <f>CA143/CA15</f>
        <v>246.625466622766</v>
      </c>
      <c r="CB370" s="222">
        <f>CB143/CB15</f>
        <v>654.366922990232</v>
      </c>
      <c r="CC370" s="222">
        <f>CC143/CC15</f>
        <v>242.701014100781</v>
      </c>
      <c r="CD370" s="222">
        <f>CD143/CD15</f>
        <v>661.967353411202</v>
      </c>
      <c r="CF370" s="222">
        <f>CF143/CF15</f>
        <v>673.799367743353</v>
      </c>
      <c r="CG370" s="222">
        <f>CG143/CG15</f>
        <v>1787.76587481546</v>
      </c>
      <c r="CH370" s="222">
        <f>CH143/CH15</f>
        <v>663.077835945217</v>
      </c>
      <c r="CI370" s="222">
        <f>CI143/CI15</f>
        <v>1808.53246498504</v>
      </c>
      <c r="CK370" s="222">
        <f>CK143/CK15</f>
        <v>1840.85112988256</v>
      </c>
      <c r="CL370" s="222">
        <f>CL143/CL15</f>
        <v>4884.2758229252</v>
      </c>
      <c r="CM370" s="222">
        <f>CM143/CM15</f>
        <v>1811.55977599131</v>
      </c>
      <c r="CN370" s="222">
        <f>CN143/CN15</f>
        <v>4941.01310512192</v>
      </c>
      <c r="CP370" s="222">
        <f>CP143/CP15</f>
        <v>5029.30245640216</v>
      </c>
      <c r="CQ370" s="222">
        <f>CQ143/CQ15</f>
        <v>13344.0936227951</v>
      </c>
      <c r="CR370" s="222">
        <f>CR143/CR15</f>
        <v>4949.27729977236</v>
      </c>
      <c r="CS370" s="222">
        <f>CS143/CS15</f>
        <v>13499.1046085434</v>
      </c>
      <c r="CU370" s="222">
        <f>CU143/CU15</f>
        <v>13740.3086337198</v>
      </c>
      <c r="CV370" s="222">
        <f>CV143/CV15</f>
        <v>36456.7491187545</v>
      </c>
      <c r="CW370" s="222">
        <f>CW143/CW15</f>
        <v>13521.6762274266</v>
      </c>
      <c r="CX370" s="222">
        <f>CX143/CX15</f>
        <v>36880.24889566</v>
      </c>
    </row>
    <row r="371" customFormat="1" s="233">
      <c r="A371" s="224" t="n"/>
      <c r="B371" s="224" t="n"/>
      <c r="C371" s="233" t="inlineStr">
        <is>
          <t>ASSET TURNOVER</t>
        </is>
      </c>
      <c r="D371" s="238">
        <f>D143/D203</f>
        <v>0.00252355564604619</v>
      </c>
      <c r="E371" s="238">
        <f>E143/E203</f>
        <v>0.00687508327931978</v>
      </c>
      <c r="F371" s="238">
        <f>F143/F203</f>
        <v>0.0032126706296665</v>
      </c>
      <c r="G371" s="238">
        <f>G143/G203</f>
        <v>0.00543632293156419</v>
      </c>
      <c r="I371" s="222">
        <f>I143/I203</f>
        <v>0.00294880613759106</v>
      </c>
      <c r="J371" s="222">
        <f>J143/J203</f>
        <v>0.0079130070510496</v>
      </c>
      <c r="K371" s="222">
        <f>K143/K203</f>
        <v>0.00598224699324316</v>
      </c>
      <c r="L371" s="222">
        <f>L143/L203</f>
        <v>0.00448217833675373</v>
      </c>
      <c r="N371" s="222">
        <f>N143/N203</f>
        <v>0.0040315752461751</v>
      </c>
      <c r="O371" s="222">
        <f>O143/O203</f>
        <v>0.00192566761006007</v>
      </c>
      <c r="P371" s="222">
        <f>P143/P203</f>
        <v>0.000313543120644299</v>
      </c>
      <c r="Q371" s="222">
        <f>Q143/Q203</f>
        <v>0.00275592506291891</v>
      </c>
      <c r="S371" s="222">
        <f>S143/S203</f>
        <v>0.000104249254050998</v>
      </c>
      <c r="T371" s="222">
        <f>T143/T203</f>
        <v>0.000205279674492139</v>
      </c>
      <c r="U371" s="222">
        <f>U143/U203</f>
        <v>-0.00217735556281799</v>
      </c>
      <c r="V371" s="222">
        <f>V143/V203</f>
        <v>-0.00537809365021435</v>
      </c>
      <c r="X371" s="222">
        <f>X143/X203</f>
        <v>-0.000175969925167206</v>
      </c>
      <c r="Y371" s="222">
        <f>Y143/Y203</f>
        <v>0.000646188895738003</v>
      </c>
      <c r="Z371" s="222">
        <f>Z143/Z203</f>
        <v>0.000135346213155037</v>
      </c>
      <c r="AA371" s="222">
        <f>AA143/AA203</f>
        <v>-0.0029492967185218</v>
      </c>
      <c r="AC371" s="222">
        <f>AC143/AC203</f>
        <v>-0.000628822220749592</v>
      </c>
      <c r="AD371" s="222">
        <f>AD143/AD203</f>
        <v>-0.00118272926337819</v>
      </c>
      <c r="AE371" s="222">
        <f>AE143/AE203</f>
        <v>-0.00302957047581329</v>
      </c>
      <c r="AF371" s="222">
        <f>AF143/AF203</f>
        <v>0.00499304439412611</v>
      </c>
      <c r="AH371" s="222">
        <f>AH143/AH203</f>
        <v>-0.0020601074529561</v>
      </c>
      <c r="AI371" s="222">
        <f>AI143/AI203</f>
        <v>-0.00206856411363084</v>
      </c>
      <c r="AJ371" s="222">
        <f>AJ143/AJ203</f>
        <v>0.0071283070737678</v>
      </c>
      <c r="AK371" s="222">
        <f>AK143/AK203</f>
        <v>0.00750635932877152</v>
      </c>
      <c r="AM371" s="222" t="e">
        <f>AM143/AM203</f>
        <v>#DIV/0!</v>
      </c>
      <c r="AN371" s="222" t="e">
        <f>AN143/AN203</f>
        <v>#DIV/0!</v>
      </c>
      <c r="AO371" s="222" t="e">
        <f>AO143/AO203</f>
        <v>#DIV/0!</v>
      </c>
      <c r="AP371" s="222" t="e">
        <f>AP143/AP203</f>
        <v>#DIV/0!</v>
      </c>
      <c r="AR371" s="222" t="e">
        <f>AR143/AR203</f>
        <v>#DIV/0!</v>
      </c>
      <c r="AS371" s="222" t="e">
        <f>AS143/AS203</f>
        <v>#DIV/0!</v>
      </c>
      <c r="AT371" s="222" t="e">
        <f>AT143/AT203</f>
        <v>#DIV/0!</v>
      </c>
      <c r="AU371" s="222" t="e">
        <f>AU143/AU203</f>
        <v>#DIV/0!</v>
      </c>
      <c r="AW371" s="222" t="e">
        <f>AW143/AW203</f>
        <v>#DIV/0!</v>
      </c>
      <c r="AX371" s="222" t="e">
        <f>AX143/AX203</f>
        <v>#DIV/0!</v>
      </c>
      <c r="AY371" s="222" t="e">
        <f>AY143/AY203</f>
        <v>#DIV/0!</v>
      </c>
      <c r="AZ371" s="222" t="e">
        <f>AZ143/AZ203</f>
        <v>#DIV/0!</v>
      </c>
      <c r="BB371" s="222" t="e">
        <f>BB143/BB203</f>
        <v>#DIV/0!</v>
      </c>
      <c r="BC371" s="222" t="e">
        <f>BC143/BC203</f>
        <v>#DIV/0!</v>
      </c>
      <c r="BD371" s="222" t="e">
        <f>BD143/BD203</f>
        <v>#DIV/0!</v>
      </c>
      <c r="BE371" s="222" t="e">
        <f>BE143/BE203</f>
        <v>#DIV/0!</v>
      </c>
      <c r="BG371" s="222" t="e">
        <f>BG143/BG203</f>
        <v>#DIV/0!</v>
      </c>
      <c r="BH371" s="222" t="e">
        <f>BH143/BH203</f>
        <v>#DIV/0!</v>
      </c>
      <c r="BI371" s="222" t="e">
        <f>BI143/BI203</f>
        <v>#DIV/0!</v>
      </c>
      <c r="BJ371" s="222" t="e">
        <f>BJ143/BJ203</f>
        <v>#DIV/0!</v>
      </c>
      <c r="BL371" s="222" t="e">
        <f>BL143/BL203</f>
        <v>#DIV/0!</v>
      </c>
      <c r="BM371" s="222" t="e">
        <f>BM143/BM203</f>
        <v>#DIV/0!</v>
      </c>
      <c r="BN371" s="222" t="e">
        <f>BN143/BN203</f>
        <v>#DIV/0!</v>
      </c>
      <c r="BO371" s="222" t="e">
        <f>BO143/BO203</f>
        <v>#DIV/0!</v>
      </c>
      <c r="BQ371" s="222" t="e">
        <f>BQ143/BQ203</f>
        <v>#DIV/0!</v>
      </c>
      <c r="BR371" s="222" t="e">
        <f>BR143/BR203</f>
        <v>#DIV/0!</v>
      </c>
      <c r="BS371" s="222" t="e">
        <f>BS143/BS203</f>
        <v>#DIV/0!</v>
      </c>
      <c r="BT371" s="222" t="e">
        <f>BT143/BT203</f>
        <v>#DIV/0!</v>
      </c>
      <c r="BV371" s="222" t="e">
        <f>BV143/BV203</f>
        <v>#DIV/0!</v>
      </c>
      <c r="BW371" s="222" t="e">
        <f>BW143/BW203</f>
        <v>#DIV/0!</v>
      </c>
      <c r="BX371" s="222" t="e">
        <f>BX143/BX203</f>
        <v>#DIV/0!</v>
      </c>
      <c r="BY371" s="222" t="e">
        <f>BY143/BY203</f>
        <v>#DIV/0!</v>
      </c>
      <c r="CA371" s="222" t="e">
        <f>CA143/CA203</f>
        <v>#DIV/0!</v>
      </c>
      <c r="CB371" s="222" t="e">
        <f>CB143/CB203</f>
        <v>#DIV/0!</v>
      </c>
      <c r="CC371" s="222" t="e">
        <f>CC143/CC203</f>
        <v>#DIV/0!</v>
      </c>
      <c r="CD371" s="222" t="e">
        <f>CD143/CD203</f>
        <v>#DIV/0!</v>
      </c>
      <c r="CF371" s="222" t="e">
        <f>CF143/CF203</f>
        <v>#DIV/0!</v>
      </c>
      <c r="CG371" s="222" t="e">
        <f>CG143/CG203</f>
        <v>#DIV/0!</v>
      </c>
      <c r="CH371" s="222" t="e">
        <f>CH143/CH203</f>
        <v>#DIV/0!</v>
      </c>
      <c r="CI371" s="222" t="e">
        <f>CI143/CI203</f>
        <v>#DIV/0!</v>
      </c>
      <c r="CK371" s="222" t="e">
        <f>CK143/CK203</f>
        <v>#DIV/0!</v>
      </c>
      <c r="CL371" s="222" t="e">
        <f>CL143/CL203</f>
        <v>#DIV/0!</v>
      </c>
      <c r="CM371" s="222" t="e">
        <f>CM143/CM203</f>
        <v>#DIV/0!</v>
      </c>
      <c r="CN371" s="222" t="e">
        <f>CN143/CN203</f>
        <v>#DIV/0!</v>
      </c>
      <c r="CP371" s="222" t="e">
        <f>CP143/CP203</f>
        <v>#DIV/0!</v>
      </c>
      <c r="CQ371" s="222" t="e">
        <f>CQ143/CQ203</f>
        <v>#DIV/0!</v>
      </c>
      <c r="CR371" s="222" t="e">
        <f>CR143/CR203</f>
        <v>#DIV/0!</v>
      </c>
      <c r="CS371" s="222" t="e">
        <f>CS143/CS203</f>
        <v>#DIV/0!</v>
      </c>
      <c r="CU371" s="222" t="e">
        <f>CU143/CU203</f>
        <v>#DIV/0!</v>
      </c>
      <c r="CV371" s="222" t="e">
        <f>CV143/CV203</f>
        <v>#DIV/0!</v>
      </c>
      <c r="CW371" s="222" t="e">
        <f>CW143/CW203</f>
        <v>#DIV/0!</v>
      </c>
      <c r="CX371" s="222" t="e">
        <f>CX143/CX203</f>
        <v>#DIV/0!</v>
      </c>
    </row>
    <row r="372" customFormat="1" s="233">
      <c r="A372" s="224" t="n"/>
      <c r="B372" s="224" t="n"/>
      <c r="C372" s="233" t="inlineStr">
        <is>
          <t>EQUITY MULTIPLIER</t>
        </is>
      </c>
      <c r="D372" s="238">
        <f>D203/D277</f>
        <v>9.36164646972373</v>
      </c>
      <c r="E372" s="238">
        <f>E203/E277</f>
        <v>9.49413167531882</v>
      </c>
      <c r="F372" s="238">
        <f>F203/F277</f>
        <v>7.42899197178582</v>
      </c>
      <c r="G372" s="238">
        <f>G203/G277</f>
        <v>7.92910636230701</v>
      </c>
      <c r="I372" s="222">
        <f>I203/I277</f>
        <v>8.08638689839047</v>
      </c>
      <c r="J372" s="222">
        <f>J203/J277</f>
        <v>7.60139346723331</v>
      </c>
      <c r="K372" s="222">
        <f>K203/K277</f>
        <v>7.20327978309884</v>
      </c>
      <c r="L372" s="222">
        <f>L203/L277</f>
        <v>8.23592937128493</v>
      </c>
      <c r="N372" s="222">
        <f>N203/N277</f>
        <v>9.06017592600886</v>
      </c>
      <c r="O372" s="222">
        <f>O203/O277</f>
        <v>10.748720414566</v>
      </c>
      <c r="P372" s="222">
        <f>P203/P277</f>
        <v>10.6199138690052</v>
      </c>
      <c r="Q372" s="222">
        <f>Q203/Q277</f>
        <v>11.0466217333515</v>
      </c>
      <c r="S372" s="222">
        <f>S203/S277</f>
        <v>10.426060613143</v>
      </c>
      <c r="T372" s="222">
        <f>T203/T277</f>
        <v>9.82942301412037</v>
      </c>
      <c r="U372" s="222">
        <f>U203/U277</f>
        <v>9.01952469134885</v>
      </c>
      <c r="V372" s="222">
        <f>V203/V277</f>
        <v>10.3885727796249</v>
      </c>
      <c r="X372" s="222">
        <f>X203/X277</f>
        <v>11.2819808207036</v>
      </c>
      <c r="Y372" s="222">
        <f>Y203/Y277</f>
        <v>11.4911809687664</v>
      </c>
      <c r="Z372" s="222">
        <f>Z203/Z277</f>
        <v>11.586859461059</v>
      </c>
      <c r="AA372" s="222">
        <f>AA203/AA277</f>
        <v>14.9430739620501</v>
      </c>
      <c r="AC372" s="222">
        <f>AC203/AC277</f>
        <v>14.815241564341</v>
      </c>
      <c r="AD372" s="222">
        <f>AD203/AD277</f>
        <v>13.581645472087</v>
      </c>
      <c r="AE372" s="222">
        <f>AE203/AE277</f>
        <v>13.9388092630996</v>
      </c>
      <c r="AF372" s="222">
        <f>AF203/AF277</f>
        <v>11.9193088506193</v>
      </c>
      <c r="AH372" s="222">
        <f>AH203/AH277</f>
        <v>12.4242927152669</v>
      </c>
      <c r="AI372" s="222">
        <f>AI203/AI277</f>
        <v>9.32170551666189</v>
      </c>
      <c r="AJ372" s="222">
        <f>AJ203/AJ277</f>
        <v>7.84672841888833</v>
      </c>
      <c r="AK372" s="222">
        <f>AK203/AK277</f>
        <v>7.4338392679337</v>
      </c>
      <c r="AM372" s="222" t="e">
        <f>AM203/AM277</f>
        <v>#DIV/0!</v>
      </c>
      <c r="AN372" s="222" t="e">
        <f>AN203/AN277</f>
        <v>#DIV/0!</v>
      </c>
      <c r="AO372" s="222" t="e">
        <f>AO203/AO277</f>
        <v>#DIV/0!</v>
      </c>
      <c r="AP372" s="222" t="e">
        <f>AP203/AP277</f>
        <v>#DIV/0!</v>
      </c>
      <c r="AR372" s="222" t="e">
        <f>AR203/AR277</f>
        <v>#DIV/0!</v>
      </c>
      <c r="AS372" s="222" t="e">
        <f>AS203/AS277</f>
        <v>#DIV/0!</v>
      </c>
      <c r="AT372" s="222" t="e">
        <f>AT203/AT277</f>
        <v>#DIV/0!</v>
      </c>
      <c r="AU372" s="222" t="e">
        <f>AU203/AU277</f>
        <v>#DIV/0!</v>
      </c>
      <c r="AW372" s="222" t="e">
        <f>AW203/AW277</f>
        <v>#DIV/0!</v>
      </c>
      <c r="AX372" s="222" t="e">
        <f>AX203/AX277</f>
        <v>#DIV/0!</v>
      </c>
      <c r="AY372" s="222" t="e">
        <f>AY203/AY277</f>
        <v>#DIV/0!</v>
      </c>
      <c r="AZ372" s="222" t="e">
        <f>AZ203/AZ277</f>
        <v>#DIV/0!</v>
      </c>
      <c r="BB372" s="222" t="e">
        <f>BB203/BB277</f>
        <v>#DIV/0!</v>
      </c>
      <c r="BC372" s="222" t="e">
        <f>BC203/BC277</f>
        <v>#DIV/0!</v>
      </c>
      <c r="BD372" s="222" t="e">
        <f>BD203/BD277</f>
        <v>#DIV/0!</v>
      </c>
      <c r="BE372" s="222" t="e">
        <f>BE203/BE277</f>
        <v>#DIV/0!</v>
      </c>
      <c r="BG372" s="222" t="e">
        <f>BG203/BG277</f>
        <v>#DIV/0!</v>
      </c>
      <c r="BH372" s="222" t="e">
        <f>BH203/BH277</f>
        <v>#DIV/0!</v>
      </c>
      <c r="BI372" s="222" t="e">
        <f>BI203/BI277</f>
        <v>#DIV/0!</v>
      </c>
      <c r="BJ372" s="222" t="e">
        <f>BJ203/BJ277</f>
        <v>#DIV/0!</v>
      </c>
      <c r="BL372" s="222" t="e">
        <f>BL203/BL277</f>
        <v>#DIV/0!</v>
      </c>
      <c r="BM372" s="222" t="e">
        <f>BM203/BM277</f>
        <v>#DIV/0!</v>
      </c>
      <c r="BN372" s="222" t="e">
        <f>BN203/BN277</f>
        <v>#DIV/0!</v>
      </c>
      <c r="BO372" s="222" t="e">
        <f>BO203/BO277</f>
        <v>#DIV/0!</v>
      </c>
      <c r="BQ372" s="222" t="e">
        <f>BQ203/BQ277</f>
        <v>#DIV/0!</v>
      </c>
      <c r="BR372" s="222" t="e">
        <f>BR203/BR277</f>
        <v>#DIV/0!</v>
      </c>
      <c r="BS372" s="222" t="e">
        <f>BS203/BS277</f>
        <v>#DIV/0!</v>
      </c>
      <c r="BT372" s="222" t="e">
        <f>BT203/BT277</f>
        <v>#DIV/0!</v>
      </c>
      <c r="BV372" s="222" t="e">
        <f>BV203/BV277</f>
        <v>#DIV/0!</v>
      </c>
      <c r="BW372" s="222" t="e">
        <f>BW203/BW277</f>
        <v>#DIV/0!</v>
      </c>
      <c r="BX372" s="222" t="e">
        <f>BX203/BX277</f>
        <v>#DIV/0!</v>
      </c>
      <c r="BY372" s="222" t="e">
        <f>BY203/BY277</f>
        <v>#DIV/0!</v>
      </c>
      <c r="CA372" s="222" t="e">
        <f>CA203/CA277</f>
        <v>#DIV/0!</v>
      </c>
      <c r="CB372" s="222" t="e">
        <f>CB203/CB277</f>
        <v>#DIV/0!</v>
      </c>
      <c r="CC372" s="222" t="e">
        <f>CC203/CC277</f>
        <v>#DIV/0!</v>
      </c>
      <c r="CD372" s="222" t="e">
        <f>CD203/CD277</f>
        <v>#DIV/0!</v>
      </c>
      <c r="CF372" s="222" t="e">
        <f>CF203/CF277</f>
        <v>#DIV/0!</v>
      </c>
      <c r="CG372" s="222" t="e">
        <f>CG203/CG277</f>
        <v>#DIV/0!</v>
      </c>
      <c r="CH372" s="222" t="e">
        <f>CH203/CH277</f>
        <v>#DIV/0!</v>
      </c>
      <c r="CI372" s="222" t="e">
        <f>CI203/CI277</f>
        <v>#DIV/0!</v>
      </c>
      <c r="CK372" s="222" t="e">
        <f>CK203/CK277</f>
        <v>#DIV/0!</v>
      </c>
      <c r="CL372" s="222" t="e">
        <f>CL203/CL277</f>
        <v>#DIV/0!</v>
      </c>
      <c r="CM372" s="222" t="e">
        <f>CM203/CM277</f>
        <v>#DIV/0!</v>
      </c>
      <c r="CN372" s="222" t="e">
        <f>CN203/CN277</f>
        <v>#DIV/0!</v>
      </c>
      <c r="CP372" s="222" t="e">
        <f>CP203/CP277</f>
        <v>#DIV/0!</v>
      </c>
      <c r="CQ372" s="222" t="e">
        <f>CQ203/CQ277</f>
        <v>#DIV/0!</v>
      </c>
      <c r="CR372" s="222" t="e">
        <f>CR203/CR277</f>
        <v>#DIV/0!</v>
      </c>
      <c r="CS372" s="222" t="e">
        <f>CS203/CS277</f>
        <v>#DIV/0!</v>
      </c>
      <c r="CU372" s="222" t="e">
        <f>CU203/CU277</f>
        <v>#DIV/0!</v>
      </c>
      <c r="CV372" s="222" t="e">
        <f>CV203/CV277</f>
        <v>#DIV/0!</v>
      </c>
      <c r="CW372" s="222" t="e">
        <f>CW203/CW277</f>
        <v>#DIV/0!</v>
      </c>
      <c r="CX372" s="222" t="e">
        <f>CX203/CX277</f>
        <v>#DIV/0!</v>
      </c>
    </row>
    <row r="373" customFormat="1" s="233">
      <c r="A373" s="224" t="n"/>
      <c r="B373" s="224" t="n"/>
      <c r="C373" s="233" t="inlineStr">
        <is>
          <t>ROE - DUPONT</t>
        </is>
      </c>
      <c r="D373" s="238">
        <f>PRODUCT(D370:D372)</f>
        <v>0.000545285924827584</v>
      </c>
      <c r="E373" s="238">
        <f>PRODUCT(E370:E372)</f>
        <v>0.00461647508926537</v>
      </c>
      <c r="F373" s="238">
        <f>PRODUCT(F370:F372)</f>
        <v>0.000670847394562357</v>
      </c>
      <c r="G373" s="238">
        <f>PRODUCT(G370:G372)</f>
        <v>0.00226050328345449</v>
      </c>
      <c r="I373" s="222">
        <f>PRODUCT(I370:I372)</f>
        <v>0.000857691361885812</v>
      </c>
      <c r="J373" s="222">
        <f>PRODUCT(J370:J372)</f>
        <v>0.00510464793425496</v>
      </c>
      <c r="K373" s="222">
        <f>PRODUCT(K370:K372)</f>
        <v>0.00267549788149552</v>
      </c>
      <c r="L373" s="222">
        <f>PRODUCT(L370:L372)</f>
        <v>0.00191766732342627</v>
      </c>
      <c r="N373" s="222">
        <f>PRODUCT(N370:N372)</f>
        <v>0.00154547523059456</v>
      </c>
      <c r="O373" s="222">
        <f>PRODUCT(O370:O372)</f>
        <v>0.000391815370293972</v>
      </c>
      <c r="P373" s="222">
        <f>PRODUCT(P370:P372)</f>
        <v>9.02850401208102e-06</v>
      </c>
      <c r="Q373" s="222">
        <f>PRODUCT(Q370:Q372)</f>
        <v>0.000704690058545909</v>
      </c>
      <c r="S373" s="222">
        <f>PRODUCT(S370:S372)</f>
        <v>9.04145220131227e-07</v>
      </c>
      <c r="T373" s="222">
        <f>PRODUCT(T370:T372)</f>
        <v>3.2890554704631e-06</v>
      </c>
      <c r="U373" s="222">
        <f>PRODUCT(U370:U372)</f>
        <v>0.000322306284308982</v>
      </c>
      <c r="V373" s="222">
        <f>PRODUCT(V370:V372)</f>
        <v>0.00247315310233014</v>
      </c>
      <c r="X373" s="222">
        <f>PRODUCT(X370:X372)</f>
        <v>2.8586703345412e-06</v>
      </c>
      <c r="Y373" s="222">
        <f>PRODUCT(Y370:Y372)</f>
        <v>3.57942514138903e-05</v>
      </c>
      <c r="Z373" s="222">
        <f>PRODUCT(Z370:Z372)</f>
        <v>1.57576000139684e-06</v>
      </c>
      <c r="AA373" s="222">
        <f>PRODUCT(AA370:AA372)</f>
        <v>0.00101449334616331</v>
      </c>
      <c r="AC373" s="222">
        <f>PRODUCT(AC370:AC372)</f>
        <v>4.63350785041104e-05</v>
      </c>
      <c r="AD373" s="222">
        <f>PRODUCT(AD370:AD372)</f>
        <v>0.000149578741818246</v>
      </c>
      <c r="AE373" s="222">
        <f>PRODUCT(AE370:AE372)</f>
        <v>0.000936532681774549</v>
      </c>
      <c r="AF373" s="222">
        <f>PRODUCT(AF370:AF372)</f>
        <v>0.00231700604260785</v>
      </c>
      <c r="AH373" s="222">
        <f>PRODUCT(AH370:AH372)</f>
        <v>0.000420792393255176</v>
      </c>
      <c r="AI373" s="222">
        <f>PRODUCT(AI370:AI372)</f>
        <v>0.000324790408929116</v>
      </c>
      <c r="AJ373" s="222">
        <f>PRODUCT(AJ370:AJ372)</f>
        <v>0.0029356403143292</v>
      </c>
      <c r="AK373" s="222">
        <f>PRODUCT(AK370:AK372)</f>
        <v>0.00310402550137312</v>
      </c>
      <c r="AM373" s="222" t="e">
        <f>PRODUCT(AM370:AM372)</f>
        <v>#DIV/0!</v>
      </c>
      <c r="AN373" s="222" t="e">
        <f>PRODUCT(AN370:AN372)</f>
        <v>#DIV/0!</v>
      </c>
      <c r="AO373" s="222" t="e">
        <f>PRODUCT(AO370:AO372)</f>
        <v>#DIV/0!</v>
      </c>
      <c r="AP373" s="222" t="e">
        <f>PRODUCT(AP370:AP372)</f>
        <v>#DIV/0!</v>
      </c>
      <c r="AR373" s="222" t="e">
        <f>PRODUCT(AR370:AR372)</f>
        <v>#DIV/0!</v>
      </c>
      <c r="AS373" s="222" t="e">
        <f>PRODUCT(AS370:AS372)</f>
        <v>#DIV/0!</v>
      </c>
      <c r="AT373" s="222" t="e">
        <f>PRODUCT(AT370:AT372)</f>
        <v>#DIV/0!</v>
      </c>
      <c r="AU373" s="222" t="e">
        <f>PRODUCT(AU370:AU372)</f>
        <v>#DIV/0!</v>
      </c>
      <c r="AW373" s="222" t="e">
        <f>PRODUCT(AW370:AW372)</f>
        <v>#DIV/0!</v>
      </c>
      <c r="AX373" s="222" t="e">
        <f>PRODUCT(AX370:AX372)</f>
        <v>#DIV/0!</v>
      </c>
      <c r="AY373" s="222" t="e">
        <f>PRODUCT(AY370:AY372)</f>
        <v>#DIV/0!</v>
      </c>
      <c r="AZ373" s="222" t="e">
        <f>PRODUCT(AZ370:AZ372)</f>
        <v>#DIV/0!</v>
      </c>
      <c r="BB373" s="222" t="e">
        <f>PRODUCT(BB370:BB372)</f>
        <v>#DIV/0!</v>
      </c>
      <c r="BC373" s="222" t="e">
        <f>PRODUCT(BC370:BC372)</f>
        <v>#DIV/0!</v>
      </c>
      <c r="BD373" s="222" t="e">
        <f>PRODUCT(BD370:BD372)</f>
        <v>#DIV/0!</v>
      </c>
      <c r="BE373" s="222" t="e">
        <f>PRODUCT(BE370:BE372)</f>
        <v>#DIV/0!</v>
      </c>
      <c r="BG373" s="222" t="e">
        <f>PRODUCT(BG370:BG372)</f>
        <v>#DIV/0!</v>
      </c>
      <c r="BH373" s="222" t="e">
        <f>PRODUCT(BH370:BH372)</f>
        <v>#DIV/0!</v>
      </c>
      <c r="BI373" s="222" t="e">
        <f>PRODUCT(BI370:BI372)</f>
        <v>#DIV/0!</v>
      </c>
      <c r="BJ373" s="222" t="e">
        <f>PRODUCT(BJ370:BJ372)</f>
        <v>#DIV/0!</v>
      </c>
      <c r="BL373" s="222" t="e">
        <f>PRODUCT(BL370:BL372)</f>
        <v>#DIV/0!</v>
      </c>
      <c r="BM373" s="222" t="e">
        <f>PRODUCT(BM370:BM372)</f>
        <v>#DIV/0!</v>
      </c>
      <c r="BN373" s="222" t="e">
        <f>PRODUCT(BN370:BN372)</f>
        <v>#DIV/0!</v>
      </c>
      <c r="BO373" s="222" t="e">
        <f>PRODUCT(BO370:BO372)</f>
        <v>#DIV/0!</v>
      </c>
      <c r="BQ373" s="222" t="e">
        <f>PRODUCT(BQ370:BQ372)</f>
        <v>#DIV/0!</v>
      </c>
      <c r="BR373" s="222" t="e">
        <f>PRODUCT(BR370:BR372)</f>
        <v>#DIV/0!</v>
      </c>
      <c r="BS373" s="222" t="e">
        <f>PRODUCT(BS370:BS372)</f>
        <v>#DIV/0!</v>
      </c>
      <c r="BT373" s="222" t="e">
        <f>PRODUCT(BT370:BT372)</f>
        <v>#DIV/0!</v>
      </c>
      <c r="BV373" s="222" t="e">
        <f>PRODUCT(BV370:BV372)</f>
        <v>#DIV/0!</v>
      </c>
      <c r="BW373" s="222" t="e">
        <f>PRODUCT(BW370:BW372)</f>
        <v>#DIV/0!</v>
      </c>
      <c r="BX373" s="222" t="e">
        <f>PRODUCT(BX370:BX372)</f>
        <v>#DIV/0!</v>
      </c>
      <c r="BY373" s="222" t="e">
        <f>PRODUCT(BY370:BY372)</f>
        <v>#DIV/0!</v>
      </c>
      <c r="CA373" s="222" t="e">
        <f>PRODUCT(CA370:CA372)</f>
        <v>#DIV/0!</v>
      </c>
      <c r="CB373" s="222" t="e">
        <f>PRODUCT(CB370:CB372)</f>
        <v>#DIV/0!</v>
      </c>
      <c r="CC373" s="222" t="e">
        <f>PRODUCT(CC370:CC372)</f>
        <v>#DIV/0!</v>
      </c>
      <c r="CD373" s="222" t="e">
        <f>PRODUCT(CD370:CD372)</f>
        <v>#DIV/0!</v>
      </c>
      <c r="CF373" s="222" t="e">
        <f>PRODUCT(CF370:CF372)</f>
        <v>#DIV/0!</v>
      </c>
      <c r="CG373" s="222" t="e">
        <f>PRODUCT(CG370:CG372)</f>
        <v>#DIV/0!</v>
      </c>
      <c r="CH373" s="222" t="e">
        <f>PRODUCT(CH370:CH372)</f>
        <v>#DIV/0!</v>
      </c>
      <c r="CI373" s="222" t="e">
        <f>PRODUCT(CI370:CI372)</f>
        <v>#DIV/0!</v>
      </c>
      <c r="CK373" s="222" t="e">
        <f>PRODUCT(CK370:CK372)</f>
        <v>#DIV/0!</v>
      </c>
      <c r="CL373" s="222" t="e">
        <f>PRODUCT(CL370:CL372)</f>
        <v>#DIV/0!</v>
      </c>
      <c r="CM373" s="222" t="e">
        <f>PRODUCT(CM370:CM372)</f>
        <v>#DIV/0!</v>
      </c>
      <c r="CN373" s="222" t="e">
        <f>PRODUCT(CN370:CN372)</f>
        <v>#DIV/0!</v>
      </c>
      <c r="CP373" s="222" t="e">
        <f>PRODUCT(CP370:CP372)</f>
        <v>#DIV/0!</v>
      </c>
      <c r="CQ373" s="222" t="e">
        <f>PRODUCT(CQ370:CQ372)</f>
        <v>#DIV/0!</v>
      </c>
      <c r="CR373" s="222" t="e">
        <f>PRODUCT(CR370:CR372)</f>
        <v>#DIV/0!</v>
      </c>
      <c r="CS373" s="222" t="e">
        <f>PRODUCT(CS370:CS372)</f>
        <v>#DIV/0!</v>
      </c>
      <c r="CU373" s="222" t="e">
        <f>PRODUCT(CU370:CU372)</f>
        <v>#DIV/0!</v>
      </c>
      <c r="CV373" s="222" t="e">
        <f>PRODUCT(CV370:CV372)</f>
        <v>#DIV/0!</v>
      </c>
      <c r="CW373" s="222" t="e">
        <f>PRODUCT(CW370:CW372)</f>
        <v>#DIV/0!</v>
      </c>
      <c r="CX373" s="222" t="e">
        <f>PRODUCT(CX370:CX372)</f>
        <v>#DIV/0!</v>
      </c>
    </row>
    <row r="374" customFormat="1" s="233">
      <c r="A374" s="224" t="n"/>
      <c r="B374" s="224" t="n"/>
      <c r="C374" s="233" t="inlineStr">
        <is>
          <t>ROE</t>
        </is>
      </c>
      <c r="D374" s="238">
        <f>D143/D277</f>
        <v>0.0236246358049597</v>
      </c>
      <c r="E374" s="238">
        <f>E143/E277</f>
        <v>0.0652729459326447</v>
      </c>
      <c r="F374" s="238">
        <f>F143/F277</f>
        <v>0.0238669043157845</v>
      </c>
      <c r="G374" s="238">
        <f>G143/G277</f>
        <v>0.0431051827442211</v>
      </c>
      <c r="I374" s="222">
        <f>I143/I277</f>
        <v>0.0238451873169098</v>
      </c>
      <c r="J374" s="222">
        <f>J143/J277</f>
        <v>0.0601498801040195</v>
      </c>
      <c r="K374" s="222">
        <f>K143/K277</f>
        <v>0.0430917988239323</v>
      </c>
      <c r="L374" s="222">
        <f>L143/L277</f>
        <v>0.0369149042110071</v>
      </c>
      <c r="N374" s="222">
        <f>N143/N277</f>
        <v>0.0365267809892889</v>
      </c>
      <c r="O374" s="222">
        <f>O143/O277</f>
        <v>0.0206984627519212</v>
      </c>
      <c r="P374" s="222">
        <f>P143/P277</f>
        <v>0.00332980093546155</v>
      </c>
      <c r="Q374" s="222">
        <f>Q143/Q277</f>
        <v>0.0304436616955282</v>
      </c>
      <c r="S374" s="222">
        <f>S143/S277</f>
        <v>0.00108690904161065</v>
      </c>
      <c r="T374" s="222">
        <f>T143/T277</f>
        <v>0.00201778075678417</v>
      </c>
      <c r="U374" s="222">
        <f>U143/U277</f>
        <v>-0.0196387122606827</v>
      </c>
      <c r="V374" s="222">
        <f>V143/V277</f>
        <v>-0.0558707173008906</v>
      </c>
      <c r="X374" s="222">
        <f>X143/X277</f>
        <v>-0.00198528932075708</v>
      </c>
      <c r="Y374" s="222">
        <f>Y143/Y277</f>
        <v>0.00742547354093273</v>
      </c>
      <c r="Z374" s="222">
        <f>Z143/Z277</f>
        <v>0.00156823755041394</v>
      </c>
      <c r="AA374" s="222">
        <f>AA143/AA277</f>
        <v>-0.044071559000903</v>
      </c>
      <c r="AC374" s="222">
        <f>AC143/AC277</f>
        <v>-0.00931615310143054</v>
      </c>
      <c r="AD374" s="222">
        <f>AD143/AD277</f>
        <v>-0.0160634095446651</v>
      </c>
      <c r="AE374" s="222">
        <f>AE143/AE277</f>
        <v>-0.0422286050114795</v>
      </c>
      <c r="AF374" s="222">
        <f>AF143/AF277</f>
        <v>0.0595136382384426</v>
      </c>
      <c r="AH374" s="222">
        <f>AH143/AH277</f>
        <v>-0.0255953780204296</v>
      </c>
      <c r="AI374" s="222">
        <f>AI143/AI277</f>
        <v>-0.0192825455096014</v>
      </c>
      <c r="AJ374" s="222">
        <f>AJ143/AJ277</f>
        <v>0.0559338896942965</v>
      </c>
      <c r="AK374" s="222">
        <f>AK143/AK277</f>
        <v>0.0558010687374421</v>
      </c>
      <c r="AM374" s="222">
        <f>AM143/AM277</f>
        <v>0.056422078930726</v>
      </c>
      <c r="AN374" s="222">
        <f>AN143/AN277</f>
        <v>0.173724982043688</v>
      </c>
      <c r="AO374" s="222">
        <f>AO143/AO277</f>
        <v>0.044231256420611</v>
      </c>
      <c r="AP374" s="222">
        <f>AP143/AP277</f>
        <v>0.141355863108873</v>
      </c>
      <c r="AR374" s="222">
        <f>AR143/AR277</f>
        <v>0.125772401267225</v>
      </c>
      <c r="AS374" s="222">
        <f>AS143/AS277</f>
        <v>0.240399979542246</v>
      </c>
      <c r="AT374" s="222">
        <f>AT143/AT277</f>
        <v>0.086955007478031</v>
      </c>
      <c r="AU374" s="222">
        <f>AU143/AU277</f>
        <v>0.179421817424713</v>
      </c>
      <c r="AW374" s="222">
        <f>AW143/AW277</f>
        <v>0.153016316367521</v>
      </c>
      <c r="AX374" s="222">
        <f>AX143/AX277</f>
        <v>0.298731213113291</v>
      </c>
      <c r="AY374" s="222">
        <f>AY143/AY277</f>
        <v>0.0967825875627732</v>
      </c>
      <c r="AZ374" s="222">
        <f>AZ143/AZ277</f>
        <v>0.21222863010953</v>
      </c>
      <c r="BB374" s="222">
        <f>BB143/BB277</f>
        <v>0.17542704392511</v>
      </c>
      <c r="BC374" s="222">
        <f>BC143/BC277</f>
        <v>0.32257755172593</v>
      </c>
      <c r="BD374" s="222">
        <f>BD143/BD277</f>
        <v>0.106162331946244</v>
      </c>
      <c r="BE374" s="222">
        <f>BE143/BE277</f>
        <v>0.223700184217915</v>
      </c>
      <c r="BG374" s="222">
        <f>BG143/BG277</f>
        <v>0.182940736341316</v>
      </c>
      <c r="BH374" s="222">
        <f>BH143/BH277</f>
        <v>0.333507721841249</v>
      </c>
      <c r="BI374" s="222">
        <f>BI143/BI277</f>
        <v>0.108656991892144</v>
      </c>
      <c r="BJ374" s="222">
        <f>BJ143/BJ277</f>
        <v>0.229111580340832</v>
      </c>
      <c r="BL374" s="222">
        <f>BL143/BL277</f>
        <v>0.186454011016471</v>
      </c>
      <c r="BM374" s="222">
        <f>BM143/BM277</f>
        <v>0.337369044946793</v>
      </c>
      <c r="BN374" s="222">
        <f>BN143/BN277</f>
        <v>0.10995636551283</v>
      </c>
      <c r="BO374" s="222">
        <f>BO143/BO277</f>
        <v>0.230916489666162</v>
      </c>
      <c r="BQ374" s="222">
        <f>BQ143/BQ277</f>
        <v>0.187615518041127</v>
      </c>
      <c r="BR374" s="222">
        <f>BR143/BR277</f>
        <v>0.338890109135584</v>
      </c>
      <c r="BS374" s="222">
        <f>BS143/BS277</f>
        <v>0.110344713405266</v>
      </c>
      <c r="BT374" s="222">
        <f>BT143/BT277</f>
        <v>0.231647777629182</v>
      </c>
      <c r="BV374" s="222">
        <f>BV143/BV277</f>
        <v>0.188086279981893</v>
      </c>
      <c r="BW374" s="222">
        <f>BW143/BW277</f>
        <v>0.339427388669646</v>
      </c>
      <c r="BX374" s="222">
        <f>BX143/BX277</f>
        <v>0.110512837114308</v>
      </c>
      <c r="BY374" s="222">
        <f>BY143/BY277</f>
        <v>0.231899536082334</v>
      </c>
      <c r="CA374" s="222">
        <f>CA143/CA277</f>
        <v>0.188247953110888</v>
      </c>
      <c r="CB374" s="222">
        <f>CB143/CB277</f>
        <v>0.339630578321837</v>
      </c>
      <c r="CC374" s="222">
        <f>CC143/CC277</f>
        <v>0.110567731918577</v>
      </c>
      <c r="CD374" s="222">
        <f>CD143/CD277</f>
        <v>0.23199637929213</v>
      </c>
      <c r="CF374" s="222">
        <f>CF143/CF277</f>
        <v>0.188310203342122</v>
      </c>
      <c r="CG374" s="222">
        <f>CG143/CG277</f>
        <v>0.339703374012308</v>
      </c>
      <c r="CH374" s="222">
        <f>CH143/CH277</f>
        <v>0.110589650936931</v>
      </c>
      <c r="CI374" s="222">
        <f>CI143/CI277</f>
        <v>0.232030624475113</v>
      </c>
      <c r="CK374" s="222">
        <f>CK143/CK277</f>
        <v>0.188332194008782</v>
      </c>
      <c r="CL374" s="222">
        <f>CL143/CL277</f>
        <v>0.339730465242535</v>
      </c>
      <c r="CM374" s="222">
        <f>CM143/CM277</f>
        <v>0.1105971904153</v>
      </c>
      <c r="CN374" s="222">
        <f>CN143/CN277</f>
        <v>0.232043488802084</v>
      </c>
      <c r="CP374" s="222">
        <f>CP143/CP277</f>
        <v>0.188340460029942</v>
      </c>
      <c r="CQ374" s="222">
        <f>CQ143/CQ277</f>
        <v>0.339740264904952</v>
      </c>
      <c r="CR374" s="222">
        <f>CR143/CR277</f>
        <v>0.1106000804125</v>
      </c>
      <c r="CS374" s="222">
        <f>CS143/CS277</f>
        <v>0.232048110132489</v>
      </c>
      <c r="CU374" s="222">
        <f>CU143/CU277</f>
        <v>0.188343428017729</v>
      </c>
      <c r="CV374" s="222">
        <f>CV143/CV277</f>
        <v>0.339743883447215</v>
      </c>
      <c r="CW374" s="222">
        <f>CW143/CW277</f>
        <v>0.11060110340257</v>
      </c>
      <c r="CX374" s="222">
        <f>CX143/CX277</f>
        <v>0.232049825196614</v>
      </c>
    </row>
    <row r="376">
      <c r="C376" s="53" t="inlineStr">
        <is>
          <t>Scenario Analysis</t>
        </is>
      </c>
      <c r="D376" s="53" t="n"/>
      <c r="E376" s="53" t="n"/>
      <c r="F376" s="53" t="n"/>
      <c r="G376" s="53" t="n"/>
      <c r="H376" s="53" t="n"/>
      <c r="I376" s="53" t="n"/>
      <c r="J376" s="53" t="n"/>
      <c r="K376" s="53" t="n"/>
      <c r="L376" s="53" t="n"/>
      <c r="M376" s="53" t="n"/>
      <c r="N376" s="53" t="n"/>
      <c r="O376" s="53" t="n"/>
      <c r="P376" s="53" t="n"/>
      <c r="Q376" s="53" t="n"/>
      <c r="R376" s="53" t="n"/>
      <c r="S376" s="53" t="n"/>
      <c r="T376" s="53" t="n"/>
      <c r="U376" s="53" t="n"/>
      <c r="V376" s="53" t="n"/>
      <c r="W376" s="53" t="n"/>
      <c r="X376" s="53" t="n"/>
      <c r="Y376" s="53" t="n"/>
      <c r="Z376" s="53" t="n"/>
      <c r="AA376" s="53" t="n"/>
      <c r="AB376" s="53" t="n"/>
      <c r="AC376" s="53" t="n"/>
      <c r="AD376" s="53" t="n"/>
      <c r="AE376" s="53" t="n"/>
      <c r="AF376" s="53" t="n"/>
      <c r="AG376" s="53" t="n"/>
      <c r="AH376" s="53" t="n"/>
      <c r="AI376" s="53" t="n"/>
      <c r="AJ376" s="53" t="n"/>
      <c r="AK376" s="53" t="n"/>
      <c r="AL376" s="53" t="n"/>
      <c r="AM376" s="53" t="n"/>
      <c r="AN376" s="53" t="n"/>
      <c r="AO376" s="53" t="n"/>
      <c r="AP376" s="53" t="n"/>
      <c r="AQ376" s="53" t="n"/>
      <c r="AR376" s="53" t="n"/>
      <c r="AS376" s="53" t="n"/>
      <c r="AT376" s="53" t="n"/>
      <c r="AU376" s="53" t="n"/>
      <c r="AV376" s="53" t="n"/>
      <c r="AW376" s="53" t="n"/>
      <c r="AX376" s="53" t="n"/>
      <c r="AY376" s="53" t="n"/>
      <c r="AZ376" s="53" t="n"/>
      <c r="BA376" s="53" t="n"/>
      <c r="BB376" s="53" t="n"/>
      <c r="BC376" s="53" t="n"/>
      <c r="BD376" s="53" t="n"/>
      <c r="BE376" s="53" t="n"/>
      <c r="BF376" s="53" t="n"/>
      <c r="BG376" s="53" t="n"/>
      <c r="BH376" s="53" t="n"/>
      <c r="BI376" s="53" t="n"/>
      <c r="BJ376" s="53" t="n"/>
      <c r="BK376" s="53" t="n"/>
      <c r="BL376" s="53" t="n"/>
      <c r="BM376" s="53" t="n"/>
      <c r="BN376" s="53" t="n"/>
      <c r="BO376" s="53" t="n"/>
      <c r="BP376" s="53" t="n"/>
      <c r="BQ376" s="53" t="n"/>
      <c r="BR376" s="53" t="n"/>
      <c r="BS376" s="53" t="n"/>
      <c r="BT376" s="53" t="n"/>
      <c r="BU376" s="53" t="n"/>
      <c r="BV376" s="53" t="n"/>
      <c r="BW376" s="53" t="n"/>
      <c r="BX376" s="53" t="n"/>
      <c r="BY376" s="53" t="n"/>
      <c r="BZ376" s="53" t="n"/>
      <c r="CA376" s="53" t="n"/>
      <c r="CB376" s="53" t="n"/>
      <c r="CC376" s="53" t="n"/>
      <c r="CD376" s="53" t="n"/>
      <c r="CE376" s="53" t="n"/>
      <c r="CF376" s="53" t="n"/>
      <c r="CG376" s="53" t="n"/>
      <c r="CH376" s="53" t="n"/>
      <c r="CI376" s="53" t="n"/>
      <c r="CJ376" s="53" t="n"/>
      <c r="CK376" s="53" t="n"/>
      <c r="CL376" s="53" t="n"/>
      <c r="CM376" s="53" t="n"/>
      <c r="CN376" s="53" t="n"/>
      <c r="CO376" s="53" t="n"/>
      <c r="CP376" s="53" t="n"/>
      <c r="CQ376" s="53" t="n"/>
      <c r="CR376" s="53" t="n"/>
      <c r="CS376" s="53" t="n"/>
      <c r="CT376" s="53" t="n"/>
      <c r="CU376" s="53" t="n"/>
      <c r="CV376" s="53" t="n"/>
      <c r="CW376" s="53" t="n"/>
      <c r="CX376" s="53" t="n"/>
      <c r="CY376" s="53" t="n"/>
    </row>
    <row r="379">
      <c r="C379" s="4" t="inlineStr">
        <is>
          <t>Bull case</t>
        </is>
      </c>
    </row>
    <row r="380">
      <c r="C380" s="4" t="inlineStr">
        <is>
          <t>Base case</t>
        </is>
      </c>
    </row>
    <row r="381">
      <c r="C381" s="4" t="inlineStr">
        <is>
          <t>Bear case</t>
        </is>
      </c>
    </row>
    <row r="384">
      <c r="C384" s="4" t="inlineStr">
        <is>
          <t>Bull case</t>
        </is>
      </c>
    </row>
    <row r="385">
      <c r="C385" s="4" t="inlineStr">
        <is>
          <t>Base case</t>
        </is>
      </c>
    </row>
    <row r="386">
      <c r="C386" s="4" t="inlineStr">
        <is>
          <t>Bear case</t>
        </is>
      </c>
    </row>
    <row r="389">
      <c r="C389" s="4" t="inlineStr">
        <is>
          <t>% Gross Margin</t>
        </is>
      </c>
    </row>
    <row r="390">
      <c r="C390" s="4" t="inlineStr">
        <is>
          <t>Bull case</t>
        </is>
      </c>
    </row>
    <row r="391">
      <c r="C391" s="4" t="inlineStr">
        <is>
          <t>Base case</t>
        </is>
      </c>
    </row>
    <row r="392">
      <c r="C392" s="4" t="inlineStr">
        <is>
          <t>Bear case</t>
        </is>
      </c>
    </row>
    <row r="395">
      <c r="C395" s="4" t="inlineStr">
        <is>
          <t>Capital expenditures</t>
        </is>
      </c>
    </row>
    <row r="396">
      <c r="C396" s="4" t="inlineStr">
        <is>
          <t>Bull case</t>
        </is>
      </c>
    </row>
    <row r="397">
      <c r="C397" s="4" t="inlineStr">
        <is>
          <t>Base case</t>
        </is>
      </c>
    </row>
    <row r="398">
      <c r="C398" s="4" t="inlineStr">
        <is>
          <t>Bear case</t>
        </is>
      </c>
    </row>
  </sheetData>
  <conditionalFormatting sqref="B1:B4 B13:B1048576">
    <cfRule type="expression" priority="59" dxfId="23">
      <formula>B1&lt;&gt;""</formula>
    </cfRule>
  </conditionalFormatting>
  <conditionalFormatting sqref="D1:CY3">
    <cfRule type="cellIs" priority="17" operator="greaterThan" dxfId="22">
      <formula>1</formula>
    </cfRule>
  </conditionalFormatting>
  <conditionalFormatting sqref="E321:G321">
    <cfRule type="cellIs" priority="15" operator="notEqual" dxfId="0">
      <formula>0</formula>
    </cfRule>
  </conditionalFormatting>
  <conditionalFormatting sqref="E5:H5">
    <cfRule type="cellIs" priority="16" operator="greaterThan" dxfId="18">
      <formula>$B$5</formula>
    </cfRule>
  </conditionalFormatting>
  <conditionalFormatting sqref="I321:L321">
    <cfRule type="cellIs" priority="45" operator="notEqual" dxfId="0">
      <formula>0</formula>
    </cfRule>
  </conditionalFormatting>
  <conditionalFormatting sqref="J5:CY5">
    <cfRule type="cellIs" priority="46" operator="greaterThan" dxfId="18">
      <formula>$B$5</formula>
    </cfRule>
  </conditionalFormatting>
  <conditionalFormatting sqref="N321:Q321">
    <cfRule type="cellIs" priority="44" operator="notEqual" dxfId="0">
      <formula>0</formula>
    </cfRule>
  </conditionalFormatting>
  <conditionalFormatting sqref="S321:V321">
    <cfRule type="cellIs" priority="43" operator="notEqual" dxfId="0">
      <formula>0</formula>
    </cfRule>
  </conditionalFormatting>
  <conditionalFormatting sqref="X321:AA321">
    <cfRule type="cellIs" priority="42" operator="notEqual" dxfId="0">
      <formula>0</formula>
    </cfRule>
  </conditionalFormatting>
  <conditionalFormatting sqref="AC321:AF321">
    <cfRule type="cellIs" priority="41" operator="notEqual" dxfId="0">
      <formula>0</formula>
    </cfRule>
  </conditionalFormatting>
  <conditionalFormatting sqref="AH321:AK321">
    <cfRule type="cellIs" priority="14" operator="notEqual" dxfId="0">
      <formula>0</formula>
    </cfRule>
  </conditionalFormatting>
  <conditionalFormatting sqref="AM321:AP321">
    <cfRule type="cellIs" priority="13" operator="notEqual" dxfId="0">
      <formula>0</formula>
    </cfRule>
  </conditionalFormatting>
  <conditionalFormatting sqref="AR321:AU321">
    <cfRule type="cellIs" priority="12" operator="notEqual" dxfId="0">
      <formula>0</formula>
    </cfRule>
  </conditionalFormatting>
  <conditionalFormatting sqref="AW321:AZ321">
    <cfRule type="cellIs" priority="11" operator="notEqual" dxfId="0">
      <formula>0</formula>
    </cfRule>
  </conditionalFormatting>
  <conditionalFormatting sqref="BB321:BE321">
    <cfRule type="cellIs" priority="10" operator="notEqual" dxfId="0">
      <formula>0</formula>
    </cfRule>
  </conditionalFormatting>
  <conditionalFormatting sqref="BG321:BJ321">
    <cfRule type="cellIs" priority="9" operator="notEqual" dxfId="0">
      <formula>0</formula>
    </cfRule>
  </conditionalFormatting>
  <conditionalFormatting sqref="BL321:BO321">
    <cfRule type="cellIs" priority="8" operator="notEqual" dxfId="0">
      <formula>0</formula>
    </cfRule>
  </conditionalFormatting>
  <conditionalFormatting sqref="BQ321:BT321">
    <cfRule type="cellIs" priority="7" operator="notEqual" dxfId="0">
      <formula>0</formula>
    </cfRule>
  </conditionalFormatting>
  <conditionalFormatting sqref="BV321:BY321">
    <cfRule type="cellIs" priority="6" operator="notEqual" dxfId="0">
      <formula>0</formula>
    </cfRule>
  </conditionalFormatting>
  <conditionalFormatting sqref="CA321:CD321">
    <cfRule type="cellIs" priority="5" operator="notEqual" dxfId="0">
      <formula>0</formula>
    </cfRule>
  </conditionalFormatting>
  <conditionalFormatting sqref="CF321:CI321">
    <cfRule type="cellIs" priority="4" operator="notEqual" dxfId="0">
      <formula>0</formula>
    </cfRule>
  </conditionalFormatting>
  <conditionalFormatting sqref="CK321:CN321">
    <cfRule type="cellIs" priority="3" operator="notEqual" dxfId="0">
      <formula>0</formula>
    </cfRule>
  </conditionalFormatting>
  <conditionalFormatting sqref="CP321:CS321">
    <cfRule type="cellIs" priority="2" operator="notEqual" dxfId="0">
      <formula>0</formula>
    </cfRule>
  </conditionalFormatting>
  <conditionalFormatting sqref="CU321:CX321">
    <cfRule type="cellIs" priority="1" operator="notEqual" dxfId="0">
      <formula>0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AB102"/>
  <sheetViews>
    <sheetView topLeftCell="A9" workbookViewId="0">
      <selection activeCell="D9" sqref="D9"/>
    </sheetView>
  </sheetViews>
  <sheetFormatPr baseColWidth="8" defaultRowHeight="12.75" outlineLevelRow="1"/>
  <cols>
    <col width="2" customWidth="1" style="249" min="1" max="1"/>
    <col outlineLevel="1" width="4.28515625" customWidth="1" style="249" min="2" max="2"/>
    <col width="54.5703125" bestFit="1" customWidth="1" style="249" min="3" max="3"/>
    <col outlineLevel="1" width="12.85546875" customWidth="1" style="249" min="4" max="4"/>
    <col outlineLevel="1" width="11.28515625" customWidth="1" style="249" min="5" max="6"/>
    <col width="11.85546875" customWidth="1" style="249" min="7" max="7"/>
    <col width="14.140625" customWidth="1" style="249" min="8" max="8"/>
    <col width="13.7109375" customWidth="1" style="249" min="9" max="9"/>
    <col width="11.28515625" customWidth="1" style="249" min="10" max="12"/>
    <col width="11.7109375" customWidth="1" style="249" min="13" max="13"/>
    <col width="11.5703125" customWidth="1" style="249" min="14" max="14"/>
    <col width="11.7109375" bestFit="1" customWidth="1" style="249" min="15" max="15"/>
    <col width="10.85546875" customWidth="1" style="249" min="16" max="20"/>
    <col width="11.7109375" bestFit="1" customWidth="1" style="249" min="21" max="22"/>
    <col width="9.28515625" customWidth="1" style="249" min="23" max="23"/>
    <col width="11.42578125" bestFit="1" customWidth="1" style="249" min="24" max="25"/>
    <col width="10" customWidth="1" style="249" min="26" max="26"/>
    <col width="9.140625" customWidth="1" style="249" min="27" max="27"/>
    <col width="19" bestFit="1" customWidth="1" style="249" min="28" max="28"/>
    <col width="9.140625" customWidth="1" style="249" min="29" max="31"/>
    <col width="8" bestFit="1" customWidth="1" style="249" min="32" max="32"/>
    <col width="9.140625" customWidth="1" style="249" min="33" max="261"/>
    <col width="2" customWidth="1" style="249" min="262" max="263"/>
    <col width="31.28515625" customWidth="1" style="249" min="264" max="264"/>
    <col width="13" customWidth="1" style="249" min="265" max="265"/>
    <col width="11.28515625" customWidth="1" style="249" min="266" max="268"/>
    <col width="13.7109375" bestFit="1" customWidth="1" style="249" min="269" max="269"/>
    <col width="11.28515625" customWidth="1" style="249" min="270" max="273"/>
    <col width="9.140625" customWidth="1" style="249" min="274" max="275"/>
    <col width="10.85546875" bestFit="1" customWidth="1" style="249" min="276" max="276"/>
    <col width="9.140625" customWidth="1" style="249" min="277" max="517"/>
    <col width="2" customWidth="1" style="249" min="518" max="519"/>
    <col width="31.28515625" customWidth="1" style="249" min="520" max="520"/>
    <col width="13" customWidth="1" style="249" min="521" max="521"/>
    <col width="11.28515625" customWidth="1" style="249" min="522" max="524"/>
    <col width="13.7109375" bestFit="1" customWidth="1" style="249" min="525" max="525"/>
    <col width="11.28515625" customWidth="1" style="249" min="526" max="529"/>
    <col width="9.140625" customWidth="1" style="249" min="530" max="531"/>
    <col width="10.85546875" bestFit="1" customWidth="1" style="249" min="532" max="532"/>
    <col width="9.140625" customWidth="1" style="249" min="533" max="773"/>
    <col width="2" customWidth="1" style="249" min="774" max="775"/>
    <col width="31.28515625" customWidth="1" style="249" min="776" max="776"/>
    <col width="13" customWidth="1" style="249" min="777" max="777"/>
    <col width="11.28515625" customWidth="1" style="249" min="778" max="780"/>
    <col width="13.7109375" bestFit="1" customWidth="1" style="249" min="781" max="781"/>
    <col width="11.28515625" customWidth="1" style="249" min="782" max="785"/>
    <col width="9.140625" customWidth="1" style="249" min="786" max="787"/>
    <col width="10.85546875" bestFit="1" customWidth="1" style="249" min="788" max="788"/>
    <col width="9.140625" customWidth="1" style="249" min="789" max="1029"/>
    <col width="2" customWidth="1" style="249" min="1030" max="1031"/>
    <col width="31.28515625" customWidth="1" style="249" min="1032" max="1032"/>
    <col width="13" customWidth="1" style="249" min="1033" max="1033"/>
    <col width="11.28515625" customWidth="1" style="249" min="1034" max="1036"/>
    <col width="13.7109375" bestFit="1" customWidth="1" style="249" min="1037" max="1037"/>
    <col width="11.28515625" customWidth="1" style="249" min="1038" max="1041"/>
    <col width="9.140625" customWidth="1" style="249" min="1042" max="1043"/>
    <col width="10.85546875" bestFit="1" customWidth="1" style="249" min="1044" max="1044"/>
    <col width="9.140625" customWidth="1" style="249" min="1045" max="1285"/>
    <col width="2" customWidth="1" style="249" min="1286" max="1287"/>
    <col width="31.28515625" customWidth="1" style="249" min="1288" max="1288"/>
    <col width="13" customWidth="1" style="249" min="1289" max="1289"/>
    <col width="11.28515625" customWidth="1" style="249" min="1290" max="1292"/>
    <col width="13.7109375" bestFit="1" customWidth="1" style="249" min="1293" max="1293"/>
    <col width="11.28515625" customWidth="1" style="249" min="1294" max="1297"/>
    <col width="9.140625" customWidth="1" style="249" min="1298" max="1299"/>
    <col width="10.85546875" bestFit="1" customWidth="1" style="249" min="1300" max="1300"/>
    <col width="9.140625" customWidth="1" style="249" min="1301" max="1541"/>
    <col width="2" customWidth="1" style="249" min="1542" max="1543"/>
    <col width="31.28515625" customWidth="1" style="249" min="1544" max="1544"/>
    <col width="13" customWidth="1" style="249" min="1545" max="1545"/>
    <col width="11.28515625" customWidth="1" style="249" min="1546" max="1548"/>
    <col width="13.7109375" bestFit="1" customWidth="1" style="249" min="1549" max="1549"/>
    <col width="11.28515625" customWidth="1" style="249" min="1550" max="1553"/>
    <col width="9.140625" customWidth="1" style="249" min="1554" max="1555"/>
    <col width="10.85546875" bestFit="1" customWidth="1" style="249" min="1556" max="1556"/>
    <col width="9.140625" customWidth="1" style="249" min="1557" max="1797"/>
    <col width="2" customWidth="1" style="249" min="1798" max="1799"/>
    <col width="31.28515625" customWidth="1" style="249" min="1800" max="1800"/>
    <col width="13" customWidth="1" style="249" min="1801" max="1801"/>
    <col width="11.28515625" customWidth="1" style="249" min="1802" max="1804"/>
    <col width="13.7109375" bestFit="1" customWidth="1" style="249" min="1805" max="1805"/>
    <col width="11.28515625" customWidth="1" style="249" min="1806" max="1809"/>
    <col width="9.140625" customWidth="1" style="249" min="1810" max="1811"/>
    <col width="10.85546875" bestFit="1" customWidth="1" style="249" min="1812" max="1812"/>
    <col width="9.140625" customWidth="1" style="249" min="1813" max="2053"/>
    <col width="2" customWidth="1" style="249" min="2054" max="2055"/>
    <col width="31.28515625" customWidth="1" style="249" min="2056" max="2056"/>
    <col width="13" customWidth="1" style="249" min="2057" max="2057"/>
    <col width="11.28515625" customWidth="1" style="249" min="2058" max="2060"/>
    <col width="13.7109375" bestFit="1" customWidth="1" style="249" min="2061" max="2061"/>
    <col width="11.28515625" customWidth="1" style="249" min="2062" max="2065"/>
    <col width="9.140625" customWidth="1" style="249" min="2066" max="2067"/>
    <col width="10.85546875" bestFit="1" customWidth="1" style="249" min="2068" max="2068"/>
    <col width="9.140625" customWidth="1" style="249" min="2069" max="2309"/>
    <col width="2" customWidth="1" style="249" min="2310" max="2311"/>
    <col width="31.28515625" customWidth="1" style="249" min="2312" max="2312"/>
    <col width="13" customWidth="1" style="249" min="2313" max="2313"/>
    <col width="11.28515625" customWidth="1" style="249" min="2314" max="2316"/>
    <col width="13.7109375" bestFit="1" customWidth="1" style="249" min="2317" max="2317"/>
    <col width="11.28515625" customWidth="1" style="249" min="2318" max="2321"/>
    <col width="9.140625" customWidth="1" style="249" min="2322" max="2323"/>
    <col width="10.85546875" bestFit="1" customWidth="1" style="249" min="2324" max="2324"/>
    <col width="9.140625" customWidth="1" style="249" min="2325" max="2565"/>
    <col width="2" customWidth="1" style="249" min="2566" max="2567"/>
    <col width="31.28515625" customWidth="1" style="249" min="2568" max="2568"/>
    <col width="13" customWidth="1" style="249" min="2569" max="2569"/>
    <col width="11.28515625" customWidth="1" style="249" min="2570" max="2572"/>
    <col width="13.7109375" bestFit="1" customWidth="1" style="249" min="2573" max="2573"/>
    <col width="11.28515625" customWidth="1" style="249" min="2574" max="2577"/>
    <col width="9.140625" customWidth="1" style="249" min="2578" max="2579"/>
    <col width="10.85546875" bestFit="1" customWidth="1" style="249" min="2580" max="2580"/>
    <col width="9.140625" customWidth="1" style="249" min="2581" max="2821"/>
    <col width="2" customWidth="1" style="249" min="2822" max="2823"/>
    <col width="31.28515625" customWidth="1" style="249" min="2824" max="2824"/>
    <col width="13" customWidth="1" style="249" min="2825" max="2825"/>
    <col width="11.28515625" customWidth="1" style="249" min="2826" max="2828"/>
    <col width="13.7109375" bestFit="1" customWidth="1" style="249" min="2829" max="2829"/>
    <col width="11.28515625" customWidth="1" style="249" min="2830" max="2833"/>
    <col width="9.140625" customWidth="1" style="249" min="2834" max="2835"/>
    <col width="10.85546875" bestFit="1" customWidth="1" style="249" min="2836" max="2836"/>
    <col width="9.140625" customWidth="1" style="249" min="2837" max="3077"/>
    <col width="2" customWidth="1" style="249" min="3078" max="3079"/>
    <col width="31.28515625" customWidth="1" style="249" min="3080" max="3080"/>
    <col width="13" customWidth="1" style="249" min="3081" max="3081"/>
    <col width="11.28515625" customWidth="1" style="249" min="3082" max="3084"/>
    <col width="13.7109375" bestFit="1" customWidth="1" style="249" min="3085" max="3085"/>
    <col width="11.28515625" customWidth="1" style="249" min="3086" max="3089"/>
    <col width="9.140625" customWidth="1" style="249" min="3090" max="3091"/>
    <col width="10.85546875" bestFit="1" customWidth="1" style="249" min="3092" max="3092"/>
    <col width="9.140625" customWidth="1" style="249" min="3093" max="3333"/>
    <col width="2" customWidth="1" style="249" min="3334" max="3335"/>
    <col width="31.28515625" customWidth="1" style="249" min="3336" max="3336"/>
    <col width="13" customWidth="1" style="249" min="3337" max="3337"/>
    <col width="11.28515625" customWidth="1" style="249" min="3338" max="3340"/>
    <col width="13.7109375" bestFit="1" customWidth="1" style="249" min="3341" max="3341"/>
    <col width="11.28515625" customWidth="1" style="249" min="3342" max="3345"/>
    <col width="9.140625" customWidth="1" style="249" min="3346" max="3347"/>
    <col width="10.85546875" bestFit="1" customWidth="1" style="249" min="3348" max="3348"/>
    <col width="9.140625" customWidth="1" style="249" min="3349" max="3589"/>
    <col width="2" customWidth="1" style="249" min="3590" max="3591"/>
    <col width="31.28515625" customWidth="1" style="249" min="3592" max="3592"/>
    <col width="13" customWidth="1" style="249" min="3593" max="3593"/>
    <col width="11.28515625" customWidth="1" style="249" min="3594" max="3596"/>
    <col width="13.7109375" bestFit="1" customWidth="1" style="249" min="3597" max="3597"/>
    <col width="11.28515625" customWidth="1" style="249" min="3598" max="3601"/>
    <col width="9.140625" customWidth="1" style="249" min="3602" max="3603"/>
    <col width="10.85546875" bestFit="1" customWidth="1" style="249" min="3604" max="3604"/>
    <col width="9.140625" customWidth="1" style="249" min="3605" max="3845"/>
    <col width="2" customWidth="1" style="249" min="3846" max="3847"/>
    <col width="31.28515625" customWidth="1" style="249" min="3848" max="3848"/>
    <col width="13" customWidth="1" style="249" min="3849" max="3849"/>
    <col width="11.28515625" customWidth="1" style="249" min="3850" max="3852"/>
    <col width="13.7109375" bestFit="1" customWidth="1" style="249" min="3853" max="3853"/>
    <col width="11.28515625" customWidth="1" style="249" min="3854" max="3857"/>
    <col width="9.140625" customWidth="1" style="249" min="3858" max="3859"/>
    <col width="10.85546875" bestFit="1" customWidth="1" style="249" min="3860" max="3860"/>
    <col width="9.140625" customWidth="1" style="249" min="3861" max="4101"/>
    <col width="2" customWidth="1" style="249" min="4102" max="4103"/>
    <col width="31.28515625" customWidth="1" style="249" min="4104" max="4104"/>
    <col width="13" customWidth="1" style="249" min="4105" max="4105"/>
    <col width="11.28515625" customWidth="1" style="249" min="4106" max="4108"/>
    <col width="13.7109375" bestFit="1" customWidth="1" style="249" min="4109" max="4109"/>
    <col width="11.28515625" customWidth="1" style="249" min="4110" max="4113"/>
    <col width="9.140625" customWidth="1" style="249" min="4114" max="4115"/>
    <col width="10.85546875" bestFit="1" customWidth="1" style="249" min="4116" max="4116"/>
    <col width="9.140625" customWidth="1" style="249" min="4117" max="4357"/>
    <col width="2" customWidth="1" style="249" min="4358" max="4359"/>
    <col width="31.28515625" customWidth="1" style="249" min="4360" max="4360"/>
    <col width="13" customWidth="1" style="249" min="4361" max="4361"/>
    <col width="11.28515625" customWidth="1" style="249" min="4362" max="4364"/>
    <col width="13.7109375" bestFit="1" customWidth="1" style="249" min="4365" max="4365"/>
    <col width="11.28515625" customWidth="1" style="249" min="4366" max="4369"/>
    <col width="9.140625" customWidth="1" style="249" min="4370" max="4371"/>
    <col width="10.85546875" bestFit="1" customWidth="1" style="249" min="4372" max="4372"/>
    <col width="9.140625" customWidth="1" style="249" min="4373" max="4613"/>
    <col width="2" customWidth="1" style="249" min="4614" max="4615"/>
    <col width="31.28515625" customWidth="1" style="249" min="4616" max="4616"/>
    <col width="13" customWidth="1" style="249" min="4617" max="4617"/>
    <col width="11.28515625" customWidth="1" style="249" min="4618" max="4620"/>
    <col width="13.7109375" bestFit="1" customWidth="1" style="249" min="4621" max="4621"/>
    <col width="11.28515625" customWidth="1" style="249" min="4622" max="4625"/>
    <col width="9.140625" customWidth="1" style="249" min="4626" max="4627"/>
    <col width="10.85546875" bestFit="1" customWidth="1" style="249" min="4628" max="4628"/>
    <col width="9.140625" customWidth="1" style="249" min="4629" max="4869"/>
    <col width="2" customWidth="1" style="249" min="4870" max="4871"/>
    <col width="31.28515625" customWidth="1" style="249" min="4872" max="4872"/>
    <col width="13" customWidth="1" style="249" min="4873" max="4873"/>
    <col width="11.28515625" customWidth="1" style="249" min="4874" max="4876"/>
    <col width="13.7109375" bestFit="1" customWidth="1" style="249" min="4877" max="4877"/>
    <col width="11.28515625" customWidth="1" style="249" min="4878" max="4881"/>
    <col width="9.140625" customWidth="1" style="249" min="4882" max="4883"/>
    <col width="10.85546875" bestFit="1" customWidth="1" style="249" min="4884" max="4884"/>
    <col width="9.140625" customWidth="1" style="249" min="4885" max="5125"/>
    <col width="2" customWidth="1" style="249" min="5126" max="5127"/>
    <col width="31.28515625" customWidth="1" style="249" min="5128" max="5128"/>
    <col width="13" customWidth="1" style="249" min="5129" max="5129"/>
    <col width="11.28515625" customWidth="1" style="249" min="5130" max="5132"/>
    <col width="13.7109375" bestFit="1" customWidth="1" style="249" min="5133" max="5133"/>
    <col width="11.28515625" customWidth="1" style="249" min="5134" max="5137"/>
    <col width="9.140625" customWidth="1" style="249" min="5138" max="5139"/>
    <col width="10.85546875" bestFit="1" customWidth="1" style="249" min="5140" max="5140"/>
    <col width="9.140625" customWidth="1" style="249" min="5141" max="5381"/>
    <col width="2" customWidth="1" style="249" min="5382" max="5383"/>
    <col width="31.28515625" customWidth="1" style="249" min="5384" max="5384"/>
    <col width="13" customWidth="1" style="249" min="5385" max="5385"/>
    <col width="11.28515625" customWidth="1" style="249" min="5386" max="5388"/>
    <col width="13.7109375" bestFit="1" customWidth="1" style="249" min="5389" max="5389"/>
    <col width="11.28515625" customWidth="1" style="249" min="5390" max="5393"/>
    <col width="9.140625" customWidth="1" style="249" min="5394" max="5395"/>
    <col width="10.85546875" bestFit="1" customWidth="1" style="249" min="5396" max="5396"/>
    <col width="9.140625" customWidth="1" style="249" min="5397" max="5637"/>
    <col width="2" customWidth="1" style="249" min="5638" max="5639"/>
    <col width="31.28515625" customWidth="1" style="249" min="5640" max="5640"/>
    <col width="13" customWidth="1" style="249" min="5641" max="5641"/>
    <col width="11.28515625" customWidth="1" style="249" min="5642" max="5644"/>
    <col width="13.7109375" bestFit="1" customWidth="1" style="249" min="5645" max="5645"/>
    <col width="11.28515625" customWidth="1" style="249" min="5646" max="5649"/>
    <col width="9.140625" customWidth="1" style="249" min="5650" max="5651"/>
    <col width="10.85546875" bestFit="1" customWidth="1" style="249" min="5652" max="5652"/>
    <col width="9.140625" customWidth="1" style="249" min="5653" max="5893"/>
    <col width="2" customWidth="1" style="249" min="5894" max="5895"/>
    <col width="31.28515625" customWidth="1" style="249" min="5896" max="5896"/>
    <col width="13" customWidth="1" style="249" min="5897" max="5897"/>
    <col width="11.28515625" customWidth="1" style="249" min="5898" max="5900"/>
    <col width="13.7109375" bestFit="1" customWidth="1" style="249" min="5901" max="5901"/>
    <col width="11.28515625" customWidth="1" style="249" min="5902" max="5905"/>
    <col width="9.140625" customWidth="1" style="249" min="5906" max="5907"/>
    <col width="10.85546875" bestFit="1" customWidth="1" style="249" min="5908" max="5908"/>
    <col width="9.140625" customWidth="1" style="249" min="5909" max="6149"/>
    <col width="2" customWidth="1" style="249" min="6150" max="6151"/>
    <col width="31.28515625" customWidth="1" style="249" min="6152" max="6152"/>
    <col width="13" customWidth="1" style="249" min="6153" max="6153"/>
    <col width="11.28515625" customWidth="1" style="249" min="6154" max="6156"/>
    <col width="13.7109375" bestFit="1" customWidth="1" style="249" min="6157" max="6157"/>
    <col width="11.28515625" customWidth="1" style="249" min="6158" max="6161"/>
    <col width="9.140625" customWidth="1" style="249" min="6162" max="6163"/>
    <col width="10.85546875" bestFit="1" customWidth="1" style="249" min="6164" max="6164"/>
    <col width="9.140625" customWidth="1" style="249" min="6165" max="6405"/>
    <col width="2" customWidth="1" style="249" min="6406" max="6407"/>
    <col width="31.28515625" customWidth="1" style="249" min="6408" max="6408"/>
    <col width="13" customWidth="1" style="249" min="6409" max="6409"/>
    <col width="11.28515625" customWidth="1" style="249" min="6410" max="6412"/>
    <col width="13.7109375" bestFit="1" customWidth="1" style="249" min="6413" max="6413"/>
    <col width="11.28515625" customWidth="1" style="249" min="6414" max="6417"/>
    <col width="9.140625" customWidth="1" style="249" min="6418" max="6419"/>
    <col width="10.85546875" bestFit="1" customWidth="1" style="249" min="6420" max="6420"/>
    <col width="9.140625" customWidth="1" style="249" min="6421" max="6661"/>
    <col width="2" customWidth="1" style="249" min="6662" max="6663"/>
    <col width="31.28515625" customWidth="1" style="249" min="6664" max="6664"/>
    <col width="13" customWidth="1" style="249" min="6665" max="6665"/>
    <col width="11.28515625" customWidth="1" style="249" min="6666" max="6668"/>
    <col width="13.7109375" bestFit="1" customWidth="1" style="249" min="6669" max="6669"/>
    <col width="11.28515625" customWidth="1" style="249" min="6670" max="6673"/>
    <col width="9.140625" customWidth="1" style="249" min="6674" max="6675"/>
    <col width="10.85546875" bestFit="1" customWidth="1" style="249" min="6676" max="6676"/>
    <col width="9.140625" customWidth="1" style="249" min="6677" max="6917"/>
    <col width="2" customWidth="1" style="249" min="6918" max="6919"/>
    <col width="31.28515625" customWidth="1" style="249" min="6920" max="6920"/>
    <col width="13" customWidth="1" style="249" min="6921" max="6921"/>
    <col width="11.28515625" customWidth="1" style="249" min="6922" max="6924"/>
    <col width="13.7109375" bestFit="1" customWidth="1" style="249" min="6925" max="6925"/>
    <col width="11.28515625" customWidth="1" style="249" min="6926" max="6929"/>
    <col width="9.140625" customWidth="1" style="249" min="6930" max="6931"/>
    <col width="10.85546875" bestFit="1" customWidth="1" style="249" min="6932" max="6932"/>
    <col width="9.140625" customWidth="1" style="249" min="6933" max="7173"/>
    <col width="2" customWidth="1" style="249" min="7174" max="7175"/>
    <col width="31.28515625" customWidth="1" style="249" min="7176" max="7176"/>
    <col width="13" customWidth="1" style="249" min="7177" max="7177"/>
    <col width="11.28515625" customWidth="1" style="249" min="7178" max="7180"/>
    <col width="13.7109375" bestFit="1" customWidth="1" style="249" min="7181" max="7181"/>
    <col width="11.28515625" customWidth="1" style="249" min="7182" max="7185"/>
    <col width="9.140625" customWidth="1" style="249" min="7186" max="7187"/>
    <col width="10.85546875" bestFit="1" customWidth="1" style="249" min="7188" max="7188"/>
    <col width="9.140625" customWidth="1" style="249" min="7189" max="7429"/>
    <col width="2" customWidth="1" style="249" min="7430" max="7431"/>
    <col width="31.28515625" customWidth="1" style="249" min="7432" max="7432"/>
    <col width="13" customWidth="1" style="249" min="7433" max="7433"/>
    <col width="11.28515625" customWidth="1" style="249" min="7434" max="7436"/>
    <col width="13.7109375" bestFit="1" customWidth="1" style="249" min="7437" max="7437"/>
    <col width="11.28515625" customWidth="1" style="249" min="7438" max="7441"/>
    <col width="9.140625" customWidth="1" style="249" min="7442" max="7443"/>
    <col width="10.85546875" bestFit="1" customWidth="1" style="249" min="7444" max="7444"/>
    <col width="9.140625" customWidth="1" style="249" min="7445" max="7685"/>
    <col width="2" customWidth="1" style="249" min="7686" max="7687"/>
    <col width="31.28515625" customWidth="1" style="249" min="7688" max="7688"/>
    <col width="13" customWidth="1" style="249" min="7689" max="7689"/>
    <col width="11.28515625" customWidth="1" style="249" min="7690" max="7692"/>
    <col width="13.7109375" bestFit="1" customWidth="1" style="249" min="7693" max="7693"/>
    <col width="11.28515625" customWidth="1" style="249" min="7694" max="7697"/>
    <col width="9.140625" customWidth="1" style="249" min="7698" max="7699"/>
    <col width="10.85546875" bestFit="1" customWidth="1" style="249" min="7700" max="7700"/>
    <col width="9.140625" customWidth="1" style="249" min="7701" max="7941"/>
    <col width="2" customWidth="1" style="249" min="7942" max="7943"/>
    <col width="31.28515625" customWidth="1" style="249" min="7944" max="7944"/>
    <col width="13" customWidth="1" style="249" min="7945" max="7945"/>
    <col width="11.28515625" customWidth="1" style="249" min="7946" max="7948"/>
    <col width="13.7109375" bestFit="1" customWidth="1" style="249" min="7949" max="7949"/>
    <col width="11.28515625" customWidth="1" style="249" min="7950" max="7953"/>
    <col width="9.140625" customWidth="1" style="249" min="7954" max="7955"/>
    <col width="10.85546875" bestFit="1" customWidth="1" style="249" min="7956" max="7956"/>
    <col width="9.140625" customWidth="1" style="249" min="7957" max="8197"/>
    <col width="2" customWidth="1" style="249" min="8198" max="8199"/>
    <col width="31.28515625" customWidth="1" style="249" min="8200" max="8200"/>
    <col width="13" customWidth="1" style="249" min="8201" max="8201"/>
    <col width="11.28515625" customWidth="1" style="249" min="8202" max="8204"/>
    <col width="13.7109375" bestFit="1" customWidth="1" style="249" min="8205" max="8205"/>
    <col width="11.28515625" customWidth="1" style="249" min="8206" max="8209"/>
    <col width="9.140625" customWidth="1" style="249" min="8210" max="8211"/>
    <col width="10.85546875" bestFit="1" customWidth="1" style="249" min="8212" max="8212"/>
    <col width="9.140625" customWidth="1" style="249" min="8213" max="8453"/>
    <col width="2" customWidth="1" style="249" min="8454" max="8455"/>
    <col width="31.28515625" customWidth="1" style="249" min="8456" max="8456"/>
    <col width="13" customWidth="1" style="249" min="8457" max="8457"/>
    <col width="11.28515625" customWidth="1" style="249" min="8458" max="8460"/>
    <col width="13.7109375" bestFit="1" customWidth="1" style="249" min="8461" max="8461"/>
    <col width="11.28515625" customWidth="1" style="249" min="8462" max="8465"/>
    <col width="9.140625" customWidth="1" style="249" min="8466" max="8467"/>
    <col width="10.85546875" bestFit="1" customWidth="1" style="249" min="8468" max="8468"/>
    <col width="9.140625" customWidth="1" style="249" min="8469" max="8709"/>
    <col width="2" customWidth="1" style="249" min="8710" max="8711"/>
    <col width="31.28515625" customWidth="1" style="249" min="8712" max="8712"/>
    <col width="13" customWidth="1" style="249" min="8713" max="8713"/>
    <col width="11.28515625" customWidth="1" style="249" min="8714" max="8716"/>
    <col width="13.7109375" bestFit="1" customWidth="1" style="249" min="8717" max="8717"/>
    <col width="11.28515625" customWidth="1" style="249" min="8718" max="8721"/>
    <col width="9.140625" customWidth="1" style="249" min="8722" max="8723"/>
    <col width="10.85546875" bestFit="1" customWidth="1" style="249" min="8724" max="8724"/>
    <col width="9.140625" customWidth="1" style="249" min="8725" max="8965"/>
    <col width="2" customWidth="1" style="249" min="8966" max="8967"/>
    <col width="31.28515625" customWidth="1" style="249" min="8968" max="8968"/>
    <col width="13" customWidth="1" style="249" min="8969" max="8969"/>
    <col width="11.28515625" customWidth="1" style="249" min="8970" max="8972"/>
    <col width="13.7109375" bestFit="1" customWidth="1" style="249" min="8973" max="8973"/>
    <col width="11.28515625" customWidth="1" style="249" min="8974" max="8977"/>
    <col width="9.140625" customWidth="1" style="249" min="8978" max="8979"/>
    <col width="10.85546875" bestFit="1" customWidth="1" style="249" min="8980" max="8980"/>
    <col width="9.140625" customWidth="1" style="249" min="8981" max="9221"/>
    <col width="2" customWidth="1" style="249" min="9222" max="9223"/>
    <col width="31.28515625" customWidth="1" style="249" min="9224" max="9224"/>
    <col width="13" customWidth="1" style="249" min="9225" max="9225"/>
    <col width="11.28515625" customWidth="1" style="249" min="9226" max="9228"/>
    <col width="13.7109375" bestFit="1" customWidth="1" style="249" min="9229" max="9229"/>
    <col width="11.28515625" customWidth="1" style="249" min="9230" max="9233"/>
    <col width="9.140625" customWidth="1" style="249" min="9234" max="9235"/>
    <col width="10.85546875" bestFit="1" customWidth="1" style="249" min="9236" max="9236"/>
    <col width="9.140625" customWidth="1" style="249" min="9237" max="9477"/>
    <col width="2" customWidth="1" style="249" min="9478" max="9479"/>
    <col width="31.28515625" customWidth="1" style="249" min="9480" max="9480"/>
    <col width="13" customWidth="1" style="249" min="9481" max="9481"/>
    <col width="11.28515625" customWidth="1" style="249" min="9482" max="9484"/>
    <col width="13.7109375" bestFit="1" customWidth="1" style="249" min="9485" max="9485"/>
    <col width="11.28515625" customWidth="1" style="249" min="9486" max="9489"/>
    <col width="9.140625" customWidth="1" style="249" min="9490" max="9491"/>
    <col width="10.85546875" bestFit="1" customWidth="1" style="249" min="9492" max="9492"/>
    <col width="9.140625" customWidth="1" style="249" min="9493" max="9733"/>
    <col width="2" customWidth="1" style="249" min="9734" max="9735"/>
    <col width="31.28515625" customWidth="1" style="249" min="9736" max="9736"/>
    <col width="13" customWidth="1" style="249" min="9737" max="9737"/>
    <col width="11.28515625" customWidth="1" style="249" min="9738" max="9740"/>
    <col width="13.7109375" bestFit="1" customWidth="1" style="249" min="9741" max="9741"/>
    <col width="11.28515625" customWidth="1" style="249" min="9742" max="9745"/>
    <col width="9.140625" customWidth="1" style="249" min="9746" max="9747"/>
    <col width="10.85546875" bestFit="1" customWidth="1" style="249" min="9748" max="9748"/>
    <col width="9.140625" customWidth="1" style="249" min="9749" max="9989"/>
    <col width="2" customWidth="1" style="249" min="9990" max="9991"/>
    <col width="31.28515625" customWidth="1" style="249" min="9992" max="9992"/>
    <col width="13" customWidth="1" style="249" min="9993" max="9993"/>
    <col width="11.28515625" customWidth="1" style="249" min="9994" max="9996"/>
    <col width="13.7109375" bestFit="1" customWidth="1" style="249" min="9997" max="9997"/>
    <col width="11.28515625" customWidth="1" style="249" min="9998" max="10001"/>
    <col width="9.140625" customWidth="1" style="249" min="10002" max="10003"/>
    <col width="10.85546875" bestFit="1" customWidth="1" style="249" min="10004" max="10004"/>
    <col width="9.140625" customWidth="1" style="249" min="10005" max="10245"/>
    <col width="2" customWidth="1" style="249" min="10246" max="10247"/>
    <col width="31.28515625" customWidth="1" style="249" min="10248" max="10248"/>
    <col width="13" customWidth="1" style="249" min="10249" max="10249"/>
    <col width="11.28515625" customWidth="1" style="249" min="10250" max="10252"/>
    <col width="13.7109375" bestFit="1" customWidth="1" style="249" min="10253" max="10253"/>
    <col width="11.28515625" customWidth="1" style="249" min="10254" max="10257"/>
    <col width="9.140625" customWidth="1" style="249" min="10258" max="10259"/>
    <col width="10.85546875" bestFit="1" customWidth="1" style="249" min="10260" max="10260"/>
    <col width="9.140625" customWidth="1" style="249" min="10261" max="10501"/>
    <col width="2" customWidth="1" style="249" min="10502" max="10503"/>
    <col width="31.28515625" customWidth="1" style="249" min="10504" max="10504"/>
    <col width="13" customWidth="1" style="249" min="10505" max="10505"/>
    <col width="11.28515625" customWidth="1" style="249" min="10506" max="10508"/>
    <col width="13.7109375" bestFit="1" customWidth="1" style="249" min="10509" max="10509"/>
    <col width="11.28515625" customWidth="1" style="249" min="10510" max="10513"/>
    <col width="9.140625" customWidth="1" style="249" min="10514" max="10515"/>
    <col width="10.85546875" bestFit="1" customWidth="1" style="249" min="10516" max="10516"/>
    <col width="9.140625" customWidth="1" style="249" min="10517" max="10757"/>
    <col width="2" customWidth="1" style="249" min="10758" max="10759"/>
    <col width="31.28515625" customWidth="1" style="249" min="10760" max="10760"/>
    <col width="13" customWidth="1" style="249" min="10761" max="10761"/>
    <col width="11.28515625" customWidth="1" style="249" min="10762" max="10764"/>
    <col width="13.7109375" bestFit="1" customWidth="1" style="249" min="10765" max="10765"/>
    <col width="11.28515625" customWidth="1" style="249" min="10766" max="10769"/>
    <col width="9.140625" customWidth="1" style="249" min="10770" max="10771"/>
    <col width="10.85546875" bestFit="1" customWidth="1" style="249" min="10772" max="10772"/>
    <col width="9.140625" customWidth="1" style="249" min="10773" max="11013"/>
    <col width="2" customWidth="1" style="249" min="11014" max="11015"/>
    <col width="31.28515625" customWidth="1" style="249" min="11016" max="11016"/>
    <col width="13" customWidth="1" style="249" min="11017" max="11017"/>
    <col width="11.28515625" customWidth="1" style="249" min="11018" max="11020"/>
    <col width="13.7109375" bestFit="1" customWidth="1" style="249" min="11021" max="11021"/>
    <col width="11.28515625" customWidth="1" style="249" min="11022" max="11025"/>
    <col width="9.140625" customWidth="1" style="249" min="11026" max="11027"/>
    <col width="10.85546875" bestFit="1" customWidth="1" style="249" min="11028" max="11028"/>
    <col width="9.140625" customWidth="1" style="249" min="11029" max="11269"/>
    <col width="2" customWidth="1" style="249" min="11270" max="11271"/>
    <col width="31.28515625" customWidth="1" style="249" min="11272" max="11272"/>
    <col width="13" customWidth="1" style="249" min="11273" max="11273"/>
    <col width="11.28515625" customWidth="1" style="249" min="11274" max="11276"/>
    <col width="13.7109375" bestFit="1" customWidth="1" style="249" min="11277" max="11277"/>
    <col width="11.28515625" customWidth="1" style="249" min="11278" max="11281"/>
    <col width="9.140625" customWidth="1" style="249" min="11282" max="11283"/>
    <col width="10.85546875" bestFit="1" customWidth="1" style="249" min="11284" max="11284"/>
    <col width="9.140625" customWidth="1" style="249" min="11285" max="11525"/>
    <col width="2" customWidth="1" style="249" min="11526" max="11527"/>
    <col width="31.28515625" customWidth="1" style="249" min="11528" max="11528"/>
    <col width="13" customWidth="1" style="249" min="11529" max="11529"/>
    <col width="11.28515625" customWidth="1" style="249" min="11530" max="11532"/>
    <col width="13.7109375" bestFit="1" customWidth="1" style="249" min="11533" max="11533"/>
    <col width="11.28515625" customWidth="1" style="249" min="11534" max="11537"/>
    <col width="9.140625" customWidth="1" style="249" min="11538" max="11539"/>
    <col width="10.85546875" bestFit="1" customWidth="1" style="249" min="11540" max="11540"/>
    <col width="9.140625" customWidth="1" style="249" min="11541" max="11781"/>
    <col width="2" customWidth="1" style="249" min="11782" max="11783"/>
    <col width="31.28515625" customWidth="1" style="249" min="11784" max="11784"/>
    <col width="13" customWidth="1" style="249" min="11785" max="11785"/>
    <col width="11.28515625" customWidth="1" style="249" min="11786" max="11788"/>
    <col width="13.7109375" bestFit="1" customWidth="1" style="249" min="11789" max="11789"/>
    <col width="11.28515625" customWidth="1" style="249" min="11790" max="11793"/>
    <col width="9.140625" customWidth="1" style="249" min="11794" max="11795"/>
    <col width="10.85546875" bestFit="1" customWidth="1" style="249" min="11796" max="11796"/>
    <col width="9.140625" customWidth="1" style="249" min="11797" max="12037"/>
    <col width="2" customWidth="1" style="249" min="12038" max="12039"/>
    <col width="31.28515625" customWidth="1" style="249" min="12040" max="12040"/>
    <col width="13" customWidth="1" style="249" min="12041" max="12041"/>
    <col width="11.28515625" customWidth="1" style="249" min="12042" max="12044"/>
    <col width="13.7109375" bestFit="1" customWidth="1" style="249" min="12045" max="12045"/>
    <col width="11.28515625" customWidth="1" style="249" min="12046" max="12049"/>
    <col width="9.140625" customWidth="1" style="249" min="12050" max="12051"/>
    <col width="10.85546875" bestFit="1" customWidth="1" style="249" min="12052" max="12052"/>
    <col width="9.140625" customWidth="1" style="249" min="12053" max="12293"/>
    <col width="2" customWidth="1" style="249" min="12294" max="12295"/>
    <col width="31.28515625" customWidth="1" style="249" min="12296" max="12296"/>
    <col width="13" customWidth="1" style="249" min="12297" max="12297"/>
    <col width="11.28515625" customWidth="1" style="249" min="12298" max="12300"/>
    <col width="13.7109375" bestFit="1" customWidth="1" style="249" min="12301" max="12301"/>
    <col width="11.28515625" customWidth="1" style="249" min="12302" max="12305"/>
    <col width="9.140625" customWidth="1" style="249" min="12306" max="12307"/>
    <col width="10.85546875" bestFit="1" customWidth="1" style="249" min="12308" max="12308"/>
    <col width="9.140625" customWidth="1" style="249" min="12309" max="12549"/>
    <col width="2" customWidth="1" style="249" min="12550" max="12551"/>
    <col width="31.28515625" customWidth="1" style="249" min="12552" max="12552"/>
    <col width="13" customWidth="1" style="249" min="12553" max="12553"/>
    <col width="11.28515625" customWidth="1" style="249" min="12554" max="12556"/>
    <col width="13.7109375" bestFit="1" customWidth="1" style="249" min="12557" max="12557"/>
    <col width="11.28515625" customWidth="1" style="249" min="12558" max="12561"/>
    <col width="9.140625" customWidth="1" style="249" min="12562" max="12563"/>
    <col width="10.85546875" bestFit="1" customWidth="1" style="249" min="12564" max="12564"/>
    <col width="9.140625" customWidth="1" style="249" min="12565" max="12805"/>
    <col width="2" customWidth="1" style="249" min="12806" max="12807"/>
    <col width="31.28515625" customWidth="1" style="249" min="12808" max="12808"/>
    <col width="13" customWidth="1" style="249" min="12809" max="12809"/>
    <col width="11.28515625" customWidth="1" style="249" min="12810" max="12812"/>
    <col width="13.7109375" bestFit="1" customWidth="1" style="249" min="12813" max="12813"/>
    <col width="11.28515625" customWidth="1" style="249" min="12814" max="12817"/>
    <col width="9.140625" customWidth="1" style="249" min="12818" max="12819"/>
    <col width="10.85546875" bestFit="1" customWidth="1" style="249" min="12820" max="12820"/>
    <col width="9.140625" customWidth="1" style="249" min="12821" max="13061"/>
    <col width="2" customWidth="1" style="249" min="13062" max="13063"/>
    <col width="31.28515625" customWidth="1" style="249" min="13064" max="13064"/>
    <col width="13" customWidth="1" style="249" min="13065" max="13065"/>
    <col width="11.28515625" customWidth="1" style="249" min="13066" max="13068"/>
    <col width="13.7109375" bestFit="1" customWidth="1" style="249" min="13069" max="13069"/>
    <col width="11.28515625" customWidth="1" style="249" min="13070" max="13073"/>
    <col width="9.140625" customWidth="1" style="249" min="13074" max="13075"/>
    <col width="10.85546875" bestFit="1" customWidth="1" style="249" min="13076" max="13076"/>
    <col width="9.140625" customWidth="1" style="249" min="13077" max="13317"/>
    <col width="2" customWidth="1" style="249" min="13318" max="13319"/>
    <col width="31.28515625" customWidth="1" style="249" min="13320" max="13320"/>
    <col width="13" customWidth="1" style="249" min="13321" max="13321"/>
    <col width="11.28515625" customWidth="1" style="249" min="13322" max="13324"/>
    <col width="13.7109375" bestFit="1" customWidth="1" style="249" min="13325" max="13325"/>
    <col width="11.28515625" customWidth="1" style="249" min="13326" max="13329"/>
    <col width="9.140625" customWidth="1" style="249" min="13330" max="13331"/>
    <col width="10.85546875" bestFit="1" customWidth="1" style="249" min="13332" max="13332"/>
    <col width="9.140625" customWidth="1" style="249" min="13333" max="13573"/>
    <col width="2" customWidth="1" style="249" min="13574" max="13575"/>
    <col width="31.28515625" customWidth="1" style="249" min="13576" max="13576"/>
    <col width="13" customWidth="1" style="249" min="13577" max="13577"/>
    <col width="11.28515625" customWidth="1" style="249" min="13578" max="13580"/>
    <col width="13.7109375" bestFit="1" customWidth="1" style="249" min="13581" max="13581"/>
    <col width="11.28515625" customWidth="1" style="249" min="13582" max="13585"/>
    <col width="9.140625" customWidth="1" style="249" min="13586" max="13587"/>
    <col width="10.85546875" bestFit="1" customWidth="1" style="249" min="13588" max="13588"/>
    <col width="9.140625" customWidth="1" style="249" min="13589" max="13829"/>
    <col width="2" customWidth="1" style="249" min="13830" max="13831"/>
    <col width="31.28515625" customWidth="1" style="249" min="13832" max="13832"/>
    <col width="13" customWidth="1" style="249" min="13833" max="13833"/>
    <col width="11.28515625" customWidth="1" style="249" min="13834" max="13836"/>
    <col width="13.7109375" bestFit="1" customWidth="1" style="249" min="13837" max="13837"/>
    <col width="11.28515625" customWidth="1" style="249" min="13838" max="13841"/>
    <col width="9.140625" customWidth="1" style="249" min="13842" max="13843"/>
    <col width="10.85546875" bestFit="1" customWidth="1" style="249" min="13844" max="13844"/>
    <col width="9.140625" customWidth="1" style="249" min="13845" max="14085"/>
    <col width="2" customWidth="1" style="249" min="14086" max="14087"/>
    <col width="31.28515625" customWidth="1" style="249" min="14088" max="14088"/>
    <col width="13" customWidth="1" style="249" min="14089" max="14089"/>
    <col width="11.28515625" customWidth="1" style="249" min="14090" max="14092"/>
    <col width="13.7109375" bestFit="1" customWidth="1" style="249" min="14093" max="14093"/>
    <col width="11.28515625" customWidth="1" style="249" min="14094" max="14097"/>
    <col width="9.140625" customWidth="1" style="249" min="14098" max="14099"/>
    <col width="10.85546875" bestFit="1" customWidth="1" style="249" min="14100" max="14100"/>
    <col width="9.140625" customWidth="1" style="249" min="14101" max="14341"/>
    <col width="2" customWidth="1" style="249" min="14342" max="14343"/>
    <col width="31.28515625" customWidth="1" style="249" min="14344" max="14344"/>
    <col width="13" customWidth="1" style="249" min="14345" max="14345"/>
    <col width="11.28515625" customWidth="1" style="249" min="14346" max="14348"/>
    <col width="13.7109375" bestFit="1" customWidth="1" style="249" min="14349" max="14349"/>
    <col width="11.28515625" customWidth="1" style="249" min="14350" max="14353"/>
    <col width="9.140625" customWidth="1" style="249" min="14354" max="14355"/>
    <col width="10.85546875" bestFit="1" customWidth="1" style="249" min="14356" max="14356"/>
    <col width="9.140625" customWidth="1" style="249" min="14357" max="14597"/>
    <col width="2" customWidth="1" style="249" min="14598" max="14599"/>
    <col width="31.28515625" customWidth="1" style="249" min="14600" max="14600"/>
    <col width="13" customWidth="1" style="249" min="14601" max="14601"/>
    <col width="11.28515625" customWidth="1" style="249" min="14602" max="14604"/>
    <col width="13.7109375" bestFit="1" customWidth="1" style="249" min="14605" max="14605"/>
    <col width="11.28515625" customWidth="1" style="249" min="14606" max="14609"/>
    <col width="9.140625" customWidth="1" style="249" min="14610" max="14611"/>
    <col width="10.85546875" bestFit="1" customWidth="1" style="249" min="14612" max="14612"/>
    <col width="9.140625" customWidth="1" style="249" min="14613" max="14853"/>
    <col width="2" customWidth="1" style="249" min="14854" max="14855"/>
    <col width="31.28515625" customWidth="1" style="249" min="14856" max="14856"/>
    <col width="13" customWidth="1" style="249" min="14857" max="14857"/>
    <col width="11.28515625" customWidth="1" style="249" min="14858" max="14860"/>
    <col width="13.7109375" bestFit="1" customWidth="1" style="249" min="14861" max="14861"/>
    <col width="11.28515625" customWidth="1" style="249" min="14862" max="14865"/>
    <col width="9.140625" customWidth="1" style="249" min="14866" max="14867"/>
    <col width="10.85546875" bestFit="1" customWidth="1" style="249" min="14868" max="14868"/>
    <col width="9.140625" customWidth="1" style="249" min="14869" max="15109"/>
    <col width="2" customWidth="1" style="249" min="15110" max="15111"/>
    <col width="31.28515625" customWidth="1" style="249" min="15112" max="15112"/>
    <col width="13" customWidth="1" style="249" min="15113" max="15113"/>
    <col width="11.28515625" customWidth="1" style="249" min="15114" max="15116"/>
    <col width="13.7109375" bestFit="1" customWidth="1" style="249" min="15117" max="15117"/>
    <col width="11.28515625" customWidth="1" style="249" min="15118" max="15121"/>
    <col width="9.140625" customWidth="1" style="249" min="15122" max="15123"/>
    <col width="10.85546875" bestFit="1" customWidth="1" style="249" min="15124" max="15124"/>
    <col width="9.140625" customWidth="1" style="249" min="15125" max="15365"/>
    <col width="2" customWidth="1" style="249" min="15366" max="15367"/>
    <col width="31.28515625" customWidth="1" style="249" min="15368" max="15368"/>
    <col width="13" customWidth="1" style="249" min="15369" max="15369"/>
    <col width="11.28515625" customWidth="1" style="249" min="15370" max="15372"/>
    <col width="13.7109375" bestFit="1" customWidth="1" style="249" min="15373" max="15373"/>
    <col width="11.28515625" customWidth="1" style="249" min="15374" max="15377"/>
    <col width="9.140625" customWidth="1" style="249" min="15378" max="15379"/>
    <col width="10.85546875" bestFit="1" customWidth="1" style="249" min="15380" max="15380"/>
    <col width="9.140625" customWidth="1" style="249" min="15381" max="15621"/>
    <col width="2" customWidth="1" style="249" min="15622" max="15623"/>
    <col width="31.28515625" customWidth="1" style="249" min="15624" max="15624"/>
    <col width="13" customWidth="1" style="249" min="15625" max="15625"/>
    <col width="11.28515625" customWidth="1" style="249" min="15626" max="15628"/>
    <col width="13.7109375" bestFit="1" customWidth="1" style="249" min="15629" max="15629"/>
    <col width="11.28515625" customWidth="1" style="249" min="15630" max="15633"/>
    <col width="9.140625" customWidth="1" style="249" min="15634" max="15635"/>
    <col width="10.85546875" bestFit="1" customWidth="1" style="249" min="15636" max="15636"/>
    <col width="9.140625" customWidth="1" style="249" min="15637" max="15877"/>
    <col width="2" customWidth="1" style="249" min="15878" max="15879"/>
    <col width="31.28515625" customWidth="1" style="249" min="15880" max="15880"/>
    <col width="13" customWidth="1" style="249" min="15881" max="15881"/>
    <col width="11.28515625" customWidth="1" style="249" min="15882" max="15884"/>
    <col width="13.7109375" bestFit="1" customWidth="1" style="249" min="15885" max="15885"/>
    <col width="11.28515625" customWidth="1" style="249" min="15886" max="15889"/>
    <col width="9.140625" customWidth="1" style="249" min="15890" max="15891"/>
    <col width="10.85546875" bestFit="1" customWidth="1" style="249" min="15892" max="15892"/>
    <col width="9.140625" customWidth="1" style="249" min="15893" max="16133"/>
    <col width="2" customWidth="1" style="249" min="16134" max="16135"/>
    <col width="31.28515625" customWidth="1" style="249" min="16136" max="16136"/>
    <col width="13" customWidth="1" style="249" min="16137" max="16137"/>
    <col width="11.28515625" customWidth="1" style="249" min="16138" max="16140"/>
    <col width="13.7109375" bestFit="1" customWidth="1" style="249" min="16141" max="16141"/>
    <col width="11.28515625" customWidth="1" style="249" min="16142" max="16145"/>
    <col width="9.140625" customWidth="1" style="249" min="16146" max="16147"/>
    <col width="10.85546875" bestFit="1" customWidth="1" style="249" min="16148" max="16148"/>
    <col width="9.140625" customWidth="1" style="249" min="16149" max="16384"/>
  </cols>
  <sheetData>
    <row r="1" outlineLevel="1" ht="6.75" customFormat="1" customHeight="1" s="58"/>
    <row r="2" outlineLevel="1" ht="6.75" customFormat="1" customHeight="1" s="58"/>
    <row r="3" outlineLevel="1">
      <c r="C3" s="249" t="str">
        <f>"Discounted Cash Flow Model for "&amp;ticker</f>
        <v>Discounted Cash Flow Model for </v>
      </c>
    </row>
    <row r="4" outlineLevel="1" ht="13.5" customHeight="1" thickBot="1">
      <c r="C4" s="60" t="inlineStr">
        <is>
          <t>All figures in millions, except per share data</t>
        </is>
      </c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</row>
    <row r="5" outlineLevel="1"/>
    <row r="6" outlineLevel="1"/>
    <row r="7" outlineLevel="1">
      <c r="C7" s="249" t="inlineStr">
        <is>
          <t>Ticker</t>
        </is>
      </c>
      <c r="D7" s="61" t="n"/>
      <c r="F7" s="249" t="inlineStr">
        <is>
          <t>Last close</t>
        </is>
      </c>
      <c r="G7" s="62" t="n"/>
    </row>
    <row r="8" outlineLevel="1">
      <c r="C8" s="249" t="inlineStr">
        <is>
          <t>Operating scenario:</t>
        </is>
      </c>
      <c r="D8" s="63" t="str">
        <f>IF(scenario=2,"Base Case",IF(scenario=1,"Bull Case","Bear Case"))</f>
        <v>Base Case</v>
      </c>
      <c r="E8" s="259" t="n">
        <v>2</v>
      </c>
      <c r="F8" t="inlineStr">
        <is>
          <t>1 = Bull, 2 = Base, 3 = Bear</t>
        </is>
      </c>
    </row>
    <row r="9" outlineLevel="1">
      <c r="C9" s="249" t="inlineStr">
        <is>
          <t>Last fiscal year end date:</t>
        </is>
      </c>
      <c r="D9" s="64" t="n">
        <v>46022</v>
      </c>
    </row>
    <row r="10" outlineLevel="1">
      <c r="C10" s="249" t="inlineStr">
        <is>
          <t>Valuation / deal date:</t>
        </is>
      </c>
      <c r="D10" s="64" t="n">
        <v>46292</v>
      </c>
    </row>
    <row r="11" outlineLevel="1">
      <c r="C11" s="249" t="inlineStr">
        <is>
          <t>Stub year fraction:</t>
        </is>
      </c>
      <c r="D11" s="65">
        <f>1-(D10-D9)/365</f>
        <v>0.26027397260274</v>
      </c>
      <c r="E11" s="66" t="n"/>
      <c r="I11" s="67" t="n"/>
      <c r="O11" s="68" t="n"/>
      <c r="Z11" s="69" t="n"/>
    </row>
    <row r="12" outlineLevel="1">
      <c r="C12" s="249" t="inlineStr">
        <is>
          <t>Weighted average cost of capital:</t>
        </is>
      </c>
      <c r="D12" s="65" t="e">
        <f>J93</f>
        <v>#DIV/0!</v>
      </c>
      <c r="I12" s="67" t="n"/>
    </row>
    <row r="13" outlineLevel="1">
      <c r="D13" s="65" t="n"/>
      <c r="E13" s="65" t="n"/>
    </row>
    <row r="14">
      <c r="C14" s="70" t="inlineStr">
        <is>
          <t>Historicals</t>
        </is>
      </c>
      <c r="D14" s="70" t="n"/>
      <c r="E14" s="70" t="n"/>
      <c r="F14" s="70" t="n"/>
      <c r="G14" s="248" t="inlineStr">
        <is>
          <t>Projected Annual Forecast</t>
        </is>
      </c>
    </row>
    <row r="15">
      <c r="C15" s="71" t="n"/>
      <c r="D15" s="71" t="n"/>
      <c r="E15" s="71" t="n"/>
      <c r="F15" s="71" t="n"/>
      <c r="G15" s="72" t="inlineStr">
        <is>
          <t>Granular</t>
        </is>
      </c>
      <c r="H15" s="73" t="n"/>
      <c r="I15" s="73" t="n"/>
      <c r="J15" s="73" t="n"/>
      <c r="K15" s="73" t="n"/>
      <c r="L15" s="73" t="n"/>
      <c r="M15" s="74" t="inlineStr">
        <is>
          <t>Synthetic</t>
        </is>
      </c>
      <c r="N15" s="75" t="n"/>
      <c r="O15" s="75" t="n"/>
      <c r="P15" s="75" t="n"/>
      <c r="Q15" s="75" t="n"/>
      <c r="R15" s="75" t="n"/>
      <c r="S15" s="252" t="inlineStr">
        <is>
          <t>Fora do horizonte do Model (projecao vai ate 2037)</t>
        </is>
      </c>
      <c r="T15" s="75" t="n"/>
      <c r="U15" s="75" t="n"/>
      <c r="V15" s="75" t="n"/>
      <c r="X15" s="76" t="inlineStr">
        <is>
          <t>CAGR</t>
        </is>
      </c>
      <c r="Y15" s="77" t="n"/>
      <c r="Z15" s="77" t="n"/>
    </row>
    <row r="16">
      <c r="D16" s="78">
        <f>YEAR(D17)</f>
        <v>2023</v>
      </c>
      <c r="E16" s="78">
        <f>YEAR(E17)</f>
        <v>2024</v>
      </c>
      <c r="F16" s="78">
        <f>YEAR(F17)</f>
        <v>2025</v>
      </c>
      <c r="G16" s="78">
        <f>YEAR(G17)</f>
        <v>2026</v>
      </c>
      <c r="H16" s="78">
        <f>YEAR(H17)</f>
        <v>2027</v>
      </c>
      <c r="I16" s="78">
        <f>YEAR(I17)</f>
        <v>2028</v>
      </c>
      <c r="J16" s="78">
        <f>YEAR(J17)</f>
        <v>2029</v>
      </c>
      <c r="K16" s="78">
        <f>YEAR(K17)</f>
        <v>2030</v>
      </c>
      <c r="L16" s="78">
        <f>YEAR(L17)</f>
        <v>2031</v>
      </c>
      <c r="M16" s="78">
        <f>YEAR(M17)</f>
        <v>2032</v>
      </c>
      <c r="N16" s="78">
        <f>YEAR(N17)</f>
        <v>2033</v>
      </c>
      <c r="O16" s="78">
        <f>YEAR(O17)</f>
        <v>2034</v>
      </c>
      <c r="P16" s="78">
        <f>YEAR(P17)</f>
        <v>2035</v>
      </c>
      <c r="Q16" s="78">
        <f>YEAR(Q17)</f>
        <v>2036</v>
      </c>
      <c r="R16" s="78">
        <f>YEAR(R17)</f>
        <v>2037</v>
      </c>
      <c r="S16" s="253">
        <f>YEAR(S17)</f>
        <v>2038</v>
      </c>
      <c r="T16" s="253">
        <f>YEAR(T17)</f>
        <v>2039</v>
      </c>
      <c r="U16" s="253">
        <f>YEAR(U17)</f>
        <v>2040</v>
      </c>
      <c r="V16" s="253">
        <f>YEAR(V17)</f>
        <v>2041</v>
      </c>
      <c r="W16" s="78" t="n"/>
      <c r="X16" s="77" t="str">
        <f>F16&amp;"-"&amp;L16</f>
        <v>2025-2031</v>
      </c>
      <c r="Y16" s="77" t="str">
        <f>L16&amp;"-"&amp;R16</f>
        <v>2031-2037</v>
      </c>
      <c r="Z16" s="77" t="n"/>
    </row>
    <row r="17" outlineLevel="1">
      <c r="C17" s="79" t="n"/>
      <c r="D17" s="80">
        <f>DATE(YEAR(E17)-1,MONTH(E17),DAY(E17))</f>
        <v>45291.0</v>
      </c>
      <c r="E17" s="80">
        <f>DATE(YEAR(F17)-1,MONTH(F17),DAY(F17))</f>
        <v>45657.0</v>
      </c>
      <c r="F17" s="80">
        <f>DATE(YEAR(G17)-1,MONTH(G17),DAY(G17))</f>
        <v>46022.0</v>
      </c>
      <c r="G17" s="80">
        <f>DATE(YEAR(D9)+1,MONTH(D9),DAY(D9))</f>
        <v>46387.0</v>
      </c>
      <c r="H17" s="80">
        <f>DATE(YEAR(G17)+1,MONTH(G17),DAY(G17))</f>
        <v>46752.0</v>
      </c>
      <c r="I17" s="80">
        <f>DATE(YEAR(H17)+1,MONTH(H17),DAY(H17))</f>
        <v>47118.0</v>
      </c>
      <c r="J17" s="80">
        <f>DATE(YEAR(I17)+1,MONTH(I17),DAY(I17))</f>
        <v>47483.0</v>
      </c>
      <c r="K17" s="80">
        <f>DATE(YEAR(J17)+1,MONTH(J17),DAY(J17))</f>
        <v>47848.0</v>
      </c>
      <c r="L17" s="80">
        <f>DATE(YEAR(K17)+1,MONTH(K17),DAY(K17))</f>
        <v>48213.0</v>
      </c>
      <c r="M17" s="80">
        <f>DATE(YEAR(L17)+1,MONTH(L17),DAY(L17))</f>
        <v>48579.0</v>
      </c>
      <c r="N17" s="80">
        <f>DATE(YEAR(M17)+1,MONTH(M17),DAY(M17))</f>
        <v>48944.0</v>
      </c>
      <c r="O17" s="80">
        <f>DATE(YEAR(N17)+1,MONTH(N17),DAY(N17))</f>
        <v>49309.0</v>
      </c>
      <c r="P17" s="80">
        <f>DATE(YEAR(O17)+1,MONTH(O17),DAY(O17))</f>
        <v>49674.0</v>
      </c>
      <c r="Q17" s="80">
        <f>DATE(YEAR(P17)+1,MONTH(P17),DAY(P17))</f>
        <v>50040.0</v>
      </c>
      <c r="R17" s="80">
        <f>DATE(YEAR(Q17)+1,MONTH(Q17),DAY(Q17))</f>
        <v>50405.0</v>
      </c>
      <c r="S17" s="80">
        <f>DATE(YEAR(R17)+1,MONTH(R17),DAY(R17))</f>
        <v>50770.0</v>
      </c>
      <c r="T17" s="80">
        <f>DATE(YEAR(S17)+1,MONTH(S17),DAY(S17))</f>
        <v>51135.0</v>
      </c>
      <c r="U17" s="80">
        <f>DATE(YEAR(T17)+1,MONTH(T17),DAY(T17))</f>
        <v>51501.0</v>
      </c>
      <c r="V17" s="80">
        <f>DATE(YEAR(U17)+1,MONTH(U17),DAY(U17))</f>
        <v>51866.0</v>
      </c>
      <c r="W17" s="81" t="n"/>
      <c r="X17" s="77" t="n"/>
      <c r="Y17" s="77" t="n"/>
      <c r="Z17" s="77" t="n"/>
    </row>
    <row r="18">
      <c r="C18" s="82" t="inlineStr">
        <is>
          <t>Net Revenues</t>
        </is>
      </c>
      <c r="D18" s="83">
        <f>Model!W15</f>
        <v>31843.613</v>
      </c>
      <c r="E18" s="83">
        <f>Model!AB15</f>
        <v>40738.08592513</v>
      </c>
      <c r="F18" s="83">
        <f>Model!AG15</f>
        <v>42805.84607853</v>
      </c>
      <c r="G18" s="83">
        <f>Model!AL15</f>
        <v>44393.38554568</v>
      </c>
      <c r="H18" s="83">
        <f>Model!AQ15</f>
        <v>44393.38554568</v>
      </c>
      <c r="I18" s="83">
        <f>Model!AV15</f>
        <v>44393.38554568</v>
      </c>
      <c r="J18" s="83">
        <f>Model!BA15</f>
        <v>44393.38554568</v>
      </c>
      <c r="K18" s="83">
        <f>Model!BF15</f>
        <v>44393.38554568</v>
      </c>
      <c r="L18" s="83">
        <f>Model!BK15</f>
        <v>44393.38554568</v>
      </c>
      <c r="M18" s="83">
        <f>Model!BP15</f>
        <v>44393.38554568</v>
      </c>
      <c r="N18" s="83">
        <f>Model!BU15</f>
        <v>44393.38554568</v>
      </c>
      <c r="O18" s="83">
        <f>Model!BZ15</f>
        <v>44393.38554568</v>
      </c>
      <c r="P18" s="83">
        <f>Model!CE15</f>
        <v>44393.38554568</v>
      </c>
      <c r="Q18" s="83">
        <f>Model!CJ15</f>
        <v>44393.38554568</v>
      </c>
      <c r="R18" s="83">
        <f>Model!CO15</f>
        <v>44393.38554568</v>
      </c>
      <c r="S18" s="83" t="n"/>
      <c r="T18" s="83" t="n"/>
      <c r="U18" s="83" t="n"/>
      <c r="V18" s="84" t="n"/>
      <c r="X18" s="85">
        <f>((L18/F18)^(1/6))-1</f>
        <v>0.00608775556399355</v>
      </c>
      <c r="Y18" s="85">
        <f>((R18/L18)^(1/6))-1</f>
        <v>0</v>
      </c>
      <c r="Z18" s="77" t="n"/>
    </row>
    <row r="19">
      <c r="C19" s="86" t="n"/>
      <c r="D19" s="79" t="n"/>
      <c r="E19" s="87">
        <f>E18/D18-1</f>
        <v>0.279317328882561</v>
      </c>
      <c r="F19" s="87">
        <f>F18/E18-1</f>
        <v>0.0507574203952588</v>
      </c>
      <c r="G19" s="87">
        <f>G18/F18-1</f>
        <v>0.0370869778917009</v>
      </c>
      <c r="H19" s="87">
        <f>H18/G18-1</f>
        <v>0</v>
      </c>
      <c r="I19" s="87">
        <f>I18/H18-1</f>
        <v>0</v>
      </c>
      <c r="J19" s="87">
        <f>J18/I18-1</f>
        <v>0</v>
      </c>
      <c r="K19" s="87">
        <f>K18/J18-1</f>
        <v>0</v>
      </c>
      <c r="L19" s="87">
        <f>L18/K18-1</f>
        <v>0</v>
      </c>
      <c r="M19" s="87">
        <f>M18/L18-1</f>
        <v>0</v>
      </c>
      <c r="N19" s="87">
        <f>N18/M18-1</f>
        <v>0</v>
      </c>
      <c r="O19" s="87">
        <f>O18/N18-1</f>
        <v>0</v>
      </c>
      <c r="P19" s="87">
        <f>P18/O18-1</f>
        <v>0</v>
      </c>
      <c r="Q19" s="87">
        <f>Q18/P18-1</f>
        <v>0</v>
      </c>
      <c r="R19" s="87">
        <f>R18/Q18-1</f>
        <v>0</v>
      </c>
      <c r="S19" s="87" t="n"/>
      <c r="T19" s="87" t="n"/>
      <c r="U19" s="87" t="n"/>
      <c r="V19" s="88" t="n"/>
      <c r="X19" s="77" t="n"/>
      <c r="Y19" s="77" t="n"/>
      <c r="Z19" s="77" t="n"/>
    </row>
    <row r="20" outlineLevel="1">
      <c r="C20" s="89" t="inlineStr">
        <is>
          <t>EBITDA</t>
        </is>
      </c>
      <c r="D20" s="83">
        <f>Model!W75</f>
        <v>7968.62306443094</v>
      </c>
      <c r="E20" s="83">
        <f>Model!AB75</f>
        <v>10272.37881548</v>
      </c>
      <c r="F20" s="83">
        <f>Model!AG75</f>
        <v>12697.58494315</v>
      </c>
      <c r="G20" s="83">
        <f>Model!AL75</f>
        <v>6364.12181603</v>
      </c>
      <c r="H20" s="83">
        <f>Model!AQ75</f>
        <v>0</v>
      </c>
      <c r="I20" s="83">
        <f>Model!BA75</f>
        <v>0</v>
      </c>
      <c r="J20" s="83">
        <f>Model!BA75</f>
        <v>0</v>
      </c>
      <c r="K20" s="83">
        <f>Model!BF75</f>
        <v>0</v>
      </c>
      <c r="L20" s="83">
        <f>Model!BK75</f>
        <v>0</v>
      </c>
      <c r="M20" s="90" t="n"/>
      <c r="N20" s="90" t="n"/>
      <c r="O20" s="90" t="n"/>
      <c r="P20" s="90" t="n"/>
      <c r="Q20" s="90" t="n"/>
      <c r="R20" s="90" t="n"/>
      <c r="S20" s="90" t="n"/>
      <c r="T20" s="90" t="n"/>
      <c r="U20" s="90" t="n"/>
      <c r="V20" s="91" t="n"/>
      <c r="X20" s="77" t="n"/>
      <c r="Y20" s="77" t="n"/>
      <c r="Z20" s="77" t="n"/>
    </row>
    <row r="21" outlineLevel="1">
      <c r="C21" s="86" t="n"/>
      <c r="D21" s="92">
        <f>D20/D18</f>
        <v>0.250242428974091</v>
      </c>
      <c r="E21" s="92">
        <f>E20/E18</f>
        <v>0.252156638737494</v>
      </c>
      <c r="F21" s="92">
        <f>F20/F18</f>
        <v>0.296632028248092</v>
      </c>
      <c r="G21" s="92">
        <f>G20/G18</f>
        <v>0.143357433496065</v>
      </c>
      <c r="H21" s="92">
        <f>H20/H18</f>
        <v>0</v>
      </c>
      <c r="I21" s="92">
        <f>I20/I18</f>
        <v>0</v>
      </c>
      <c r="J21" s="92">
        <f>J20/J18</f>
        <v>0</v>
      </c>
      <c r="K21" s="92">
        <f>K20/K18</f>
        <v>0</v>
      </c>
      <c r="L21" s="92">
        <f>L20/L18</f>
        <v>0</v>
      </c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93" t="n"/>
      <c r="X21" s="85" t="n"/>
      <c r="Y21" s="85" t="n"/>
      <c r="Z21" s="77" t="n"/>
    </row>
    <row r="22" outlineLevel="1">
      <c r="C22" s="82" t="inlineStr">
        <is>
          <t>EBIT</t>
        </is>
      </c>
      <c r="D22" s="83">
        <f>Model!W79</f>
        <v>4864.67043193129</v>
      </c>
      <c r="E22" s="83">
        <f>Model!AB79</f>
        <v>6581.25892513</v>
      </c>
      <c r="F22" s="83">
        <f>Model!AG79</f>
        <v>8156.19913934</v>
      </c>
      <c r="G22" s="83">
        <f>Model!AL79</f>
        <v>3870.6411356</v>
      </c>
      <c r="H22" s="83">
        <f>Model!AQ79</f>
        <v>0</v>
      </c>
      <c r="I22" s="83">
        <f>Model!AV79</f>
        <v>0</v>
      </c>
      <c r="J22" s="83">
        <f>Model!BA79</f>
        <v>0</v>
      </c>
      <c r="K22" s="83">
        <f>Model!BF79</f>
        <v>0</v>
      </c>
      <c r="L22" s="83">
        <f>Model!BK79</f>
        <v>0</v>
      </c>
      <c r="M22" s="83">
        <f>Model!BP79</f>
        <v>0</v>
      </c>
      <c r="N22" s="83">
        <f>Model!BU79</f>
        <v>0</v>
      </c>
      <c r="O22" s="83">
        <f>Model!BZ79</f>
        <v>0</v>
      </c>
      <c r="P22" s="83">
        <f>Model!CE79</f>
        <v>0</v>
      </c>
      <c r="Q22" s="83">
        <f>Model!CJ79</f>
        <v>0</v>
      </c>
      <c r="R22" s="83">
        <f>Model!CO79</f>
        <v>0</v>
      </c>
      <c r="S22" s="83" t="n"/>
      <c r="T22" s="83" t="n"/>
      <c r="U22" s="83" t="n"/>
      <c r="V22" s="84" t="n"/>
      <c r="X22" s="85">
        <f>((L22/F22)^(1/6))-1</f>
        <v>-1</v>
      </c>
      <c r="Y22" s="85" t="e">
        <f>((R22/L22)^(1/6))-1</f>
        <v>#DIV/0!</v>
      </c>
      <c r="Z22" s="77" t="n"/>
    </row>
    <row r="23" outlineLevel="1">
      <c r="C23" s="86" t="n"/>
      <c r="D23" s="92">
        <f>D22/D18</f>
        <v>0.152767540289203</v>
      </c>
      <c r="E23" s="92">
        <f>E22/E18</f>
        <v>0.161550519021077</v>
      </c>
      <c r="F23" s="92">
        <f>F22/F18</f>
        <v>0.19053937456059</v>
      </c>
      <c r="G23" s="92">
        <f>G22/G18</f>
        <v>0.0871895911524292</v>
      </c>
      <c r="H23" s="92">
        <f>H22/H18</f>
        <v>0</v>
      </c>
      <c r="I23" s="92">
        <f>I22/I18</f>
        <v>0</v>
      </c>
      <c r="J23" s="92">
        <f>J22/J18</f>
        <v>0</v>
      </c>
      <c r="K23" s="92">
        <f>K22/K18</f>
        <v>0</v>
      </c>
      <c r="L23" s="92">
        <f>L22/L18</f>
        <v>0</v>
      </c>
      <c r="M23" s="92">
        <f>M22/M18</f>
        <v>0</v>
      </c>
      <c r="N23" s="92">
        <f>N22/N18</f>
        <v>0</v>
      </c>
      <c r="O23" s="92">
        <f>O22/O18</f>
        <v>0</v>
      </c>
      <c r="P23" s="92">
        <f>P22/P18</f>
        <v>0</v>
      </c>
      <c r="Q23" s="92">
        <f>Q22/Q18</f>
        <v>0</v>
      </c>
      <c r="R23" s="92">
        <f>R22/R18</f>
        <v>0</v>
      </c>
      <c r="S23" s="92" t="n"/>
      <c r="T23" s="92" t="n"/>
      <c r="U23" s="92" t="n"/>
      <c r="V23" s="94" t="n"/>
      <c r="X23" s="77" t="n"/>
      <c r="Y23" s="77" t="n"/>
      <c r="Z23" s="77" t="n"/>
    </row>
    <row r="24">
      <c r="C24" s="82" t="inlineStr">
        <is>
          <t>Tax rate</t>
        </is>
      </c>
      <c r="D24" s="95">
        <f>Model!W138</f>
        <v>0.366554552043915</v>
      </c>
      <c r="E24" s="95">
        <f>Model!AB138</f>
        <v>0.77083688874221</v>
      </c>
      <c r="F24" s="95">
        <f>Model!AG138</f>
        <v>0.17827724192191</v>
      </c>
      <c r="G24" s="95">
        <f>Model!AL138</f>
        <v>-0.119079682701849</v>
      </c>
      <c r="H24" s="95">
        <f>Model!AQ138</f>
        <v>0</v>
      </c>
      <c r="I24" s="95">
        <f>Model!AV138</f>
        <v>0</v>
      </c>
      <c r="J24" s="95">
        <f>Model!BA138</f>
        <v>0</v>
      </c>
      <c r="K24" s="95">
        <f>Model!BF138</f>
        <v>0</v>
      </c>
      <c r="L24" s="95">
        <f>Model!BK138</f>
        <v>0</v>
      </c>
      <c r="M24" s="95">
        <f>Model!BP138</f>
        <v>0</v>
      </c>
      <c r="N24" s="95">
        <f>Model!BU138</f>
        <v>0</v>
      </c>
      <c r="O24" s="95">
        <f>Model!BZ138</f>
        <v>0</v>
      </c>
      <c r="P24" s="95">
        <f>Model!CE138</f>
        <v>0</v>
      </c>
      <c r="Q24" s="95">
        <f>Model!CJ138</f>
        <v>0</v>
      </c>
      <c r="R24" s="95">
        <f>Model!CO138</f>
        <v>0</v>
      </c>
      <c r="S24" s="95" t="n"/>
      <c r="T24" s="95" t="n"/>
      <c r="U24" s="95" t="n"/>
      <c r="V24" s="96" t="n"/>
      <c r="X24" s="77" t="n"/>
      <c r="Y24" s="77" t="n"/>
      <c r="Z24" s="77" t="n"/>
    </row>
    <row r="25">
      <c r="C25" s="86" t="inlineStr">
        <is>
          <t>NOPLAT</t>
        </is>
      </c>
      <c r="D25" s="97">
        <f>D22*(1-D24)</f>
        <v>3081.50334091343</v>
      </c>
      <c r="E25" s="97">
        <f>E22*(1-E24)</f>
        <v>1508.18177127589</v>
      </c>
      <c r="F25" s="97">
        <f>F22*(1-F24)</f>
        <v>6702.13445221261</v>
      </c>
      <c r="G25" s="97">
        <f>G22*(1-G24)</f>
        <v>4331.55585387997</v>
      </c>
      <c r="H25" s="97">
        <f>H22*(1-H24)</f>
        <v>0</v>
      </c>
      <c r="I25" s="97">
        <f>I22*(1-I24)</f>
        <v>0</v>
      </c>
      <c r="J25" s="97">
        <f>J22*(1-J24)</f>
        <v>0</v>
      </c>
      <c r="K25" s="97">
        <f>K22*(1-K24)</f>
        <v>0</v>
      </c>
      <c r="L25" s="97">
        <f>L22*(1-L24)</f>
        <v>0</v>
      </c>
      <c r="M25" s="97">
        <f>M22*(1-M24)</f>
        <v>0</v>
      </c>
      <c r="N25" s="97">
        <f>N22*(1-N24)</f>
        <v>0</v>
      </c>
      <c r="O25" s="97">
        <f>O22*(1-O24)</f>
        <v>0</v>
      </c>
      <c r="P25" s="97">
        <f>P22*(1-P24)</f>
        <v>0</v>
      </c>
      <c r="Q25" s="97">
        <f>Q22*(1-Q24)</f>
        <v>0</v>
      </c>
      <c r="R25" s="97">
        <f>R22*(1-R24)</f>
        <v>0</v>
      </c>
      <c r="S25" s="97" t="n"/>
      <c r="T25" s="97" t="n"/>
      <c r="U25" s="97" t="n"/>
      <c r="V25" s="98" t="n"/>
      <c r="X25" s="85" t="n"/>
      <c r="Y25" s="85" t="n"/>
      <c r="Z25" s="77" t="n"/>
    </row>
    <row r="26">
      <c r="C26" s="99" t="inlineStr">
        <is>
          <t>Depreciation &amp; Amortization</t>
        </is>
      </c>
      <c r="D26" s="100">
        <f>Model!W76</f>
        <v>-3103.95263249965</v>
      </c>
      <c r="E26" s="100">
        <f>Model!AB76</f>
        <v>-3691.11989034999</v>
      </c>
      <c r="F26" s="100">
        <f>Model!AG76</f>
        <v>-4541.38580381</v>
      </c>
      <c r="G26" s="100">
        <f>Model!AL76</f>
        <v>-2493.48068043</v>
      </c>
      <c r="H26" s="100">
        <f>Model!AQ76</f>
        <v>0</v>
      </c>
      <c r="I26" s="100">
        <f>Model!AV76</f>
        <v>0</v>
      </c>
      <c r="J26" s="100">
        <f>Model!BA76</f>
        <v>0</v>
      </c>
      <c r="K26" s="100">
        <f>Model!BF76</f>
        <v>0</v>
      </c>
      <c r="L26" s="101">
        <f>Model!BK76</f>
        <v>0</v>
      </c>
      <c r="X26" s="77" t="n"/>
      <c r="Y26" s="77" t="n"/>
      <c r="Z26" s="77" t="n"/>
    </row>
    <row r="27">
      <c r="C27" s="102" t="inlineStr">
        <is>
          <t>Cash from working capital</t>
        </is>
      </c>
      <c r="D27" s="103">
        <f>SUM(D28:D39)</f>
        <v>-2279.05985223014</v>
      </c>
      <c r="E27" s="103">
        <f>SUM(E28:E39)</f>
        <v>-1530.77077922986</v>
      </c>
      <c r="F27" s="103">
        <f>SUM(F28:F39)</f>
        <v>2427.58955168</v>
      </c>
      <c r="G27" s="103">
        <f>SUM(G28:G39)</f>
        <v>-702.473217490001</v>
      </c>
      <c r="H27" s="103" t="e">
        <f>SUM(H28:H39)</f>
        <v>#DIV/0!</v>
      </c>
      <c r="I27" s="103" t="e">
        <f>SUM(I28:I39)</f>
        <v>#DIV/0!</v>
      </c>
      <c r="J27" s="103" t="e">
        <f>SUM(J28:J39)</f>
        <v>#DIV/0!</v>
      </c>
      <c r="K27" s="103" t="e">
        <f>SUM(K28:K39)</f>
        <v>#DIV/0!</v>
      </c>
      <c r="L27" s="104" t="e">
        <f>SUM(L28:L39)</f>
        <v>#DIV/0!</v>
      </c>
      <c r="X27" s="77" t="n"/>
      <c r="Y27" s="77" t="n"/>
      <c r="Z27" s="77" t="n"/>
    </row>
    <row r="28" outlineLevel="1">
      <c r="C28" s="105" t="inlineStr">
        <is>
          <t>Accounts receivable</t>
        </is>
      </c>
      <c r="D28" s="106">
        <f>Model!W286</f>
        <v>-673.335167460788</v>
      </c>
      <c r="E28" s="106">
        <f>Model!AB286</f>
        <v>-944.760856449211</v>
      </c>
      <c r="F28" s="106">
        <f>Model!AG286</f>
        <v>-1563.35666687</v>
      </c>
      <c r="G28" s="106">
        <f>Model!AL286</f>
        <v>7614.79769078</v>
      </c>
      <c r="H28" s="106">
        <f>Model!AQ286</f>
        <v>0</v>
      </c>
      <c r="I28" s="106">
        <f>Model!AV286</f>
        <v>0</v>
      </c>
      <c r="J28" s="106">
        <f>Model!BA286</f>
        <v>0</v>
      </c>
      <c r="K28" s="106">
        <f>Model!BF286</f>
        <v>0</v>
      </c>
      <c r="L28" s="107">
        <f>Model!BK286</f>
        <v>0</v>
      </c>
      <c r="X28" s="77" t="n"/>
      <c r="Y28" s="77" t="n"/>
      <c r="Z28" s="77" t="n"/>
    </row>
    <row r="29" outlineLevel="1">
      <c r="C29" s="105" t="inlineStr">
        <is>
          <t>Inventories</t>
        </is>
      </c>
      <c r="D29" s="106">
        <f>Model!W287</f>
        <v>-1196.18938019952</v>
      </c>
      <c r="E29" s="106">
        <f>Model!AB287</f>
        <v>-289.91146737048</v>
      </c>
      <c r="F29" s="106">
        <f>Model!AG287</f>
        <v>352.81451316</v>
      </c>
      <c r="G29" s="106">
        <f>Model!AL287</f>
        <v>2827.60633441</v>
      </c>
      <c r="H29" s="106">
        <f>Model!AQ287</f>
        <v>0</v>
      </c>
      <c r="I29" s="106">
        <f>Model!AV287</f>
        <v>0</v>
      </c>
      <c r="J29" s="106">
        <f>Model!BA287</f>
        <v>0</v>
      </c>
      <c r="K29" s="106">
        <f>Model!BF287</f>
        <v>0</v>
      </c>
      <c r="L29" s="107">
        <f>Model!BK287</f>
        <v>0</v>
      </c>
      <c r="X29" s="77" t="n"/>
      <c r="Y29" s="77" t="n"/>
      <c r="Z29" s="77" t="n"/>
    </row>
    <row r="30" outlineLevel="1">
      <c r="C30" s="105" t="inlineStr">
        <is>
          <t>Deferred income taxes (assets)</t>
        </is>
      </c>
      <c r="D30" s="106">
        <f>Model!W288</f>
        <v>-413.58992869</v>
      </c>
      <c r="E30" s="106">
        <f>Model!AB288</f>
        <v>-39.42581393</v>
      </c>
      <c r="F30" s="106">
        <f>Model!AG288</f>
        <v>164.20244052</v>
      </c>
      <c r="G30" s="106">
        <f>Model!AL288</f>
        <v>-315.6724274</v>
      </c>
      <c r="H30" s="106">
        <f>Model!AQ288</f>
        <v>0</v>
      </c>
      <c r="I30" s="106">
        <f>Model!AV288</f>
        <v>0</v>
      </c>
      <c r="J30" s="106">
        <f>Model!BA288</f>
        <v>0</v>
      </c>
      <c r="K30" s="106">
        <f>Model!BF288</f>
        <v>0</v>
      </c>
      <c r="L30" s="107">
        <f>Model!BK288</f>
        <v>0</v>
      </c>
      <c r="X30" s="77" t="n"/>
      <c r="Y30" s="77" t="n"/>
      <c r="Z30" s="77" t="n"/>
    </row>
    <row r="31" outlineLevel="1">
      <c r="C31" s="105" t="inlineStr">
        <is>
          <t>Prepaid expenses</t>
        </is>
      </c>
      <c r="D31" s="106">
        <f>Model!W289</f>
        <v>-29.27010507799</v>
      </c>
      <c r="E31" s="106">
        <f>Model!AB289</f>
        <v>-37.71545585201</v>
      </c>
      <c r="F31" s="106">
        <f>Model!AG289</f>
        <v>-46.53118316</v>
      </c>
      <c r="G31" s="106">
        <f>Model!AL289</f>
        <v>-263.84264843</v>
      </c>
      <c r="H31" s="106">
        <f>Model!AQ289</f>
        <v>0</v>
      </c>
      <c r="I31" s="106">
        <f>Model!AV289</f>
        <v>0</v>
      </c>
      <c r="J31" s="106">
        <f>Model!BA289</f>
        <v>0</v>
      </c>
      <c r="K31" s="106">
        <f>Model!BF289</f>
        <v>0</v>
      </c>
      <c r="L31" s="107">
        <f>Model!BK289</f>
        <v>0</v>
      </c>
      <c r="X31" s="77" t="n"/>
      <c r="Y31" s="77" t="n"/>
      <c r="Z31" s="77" t="n"/>
    </row>
    <row r="32" outlineLevel="1">
      <c r="C32" s="105" t="inlineStr">
        <is>
          <t>Other current assets</t>
        </is>
      </c>
      <c r="D32" s="106">
        <f>Model!W290</f>
        <v>-424.778961328692</v>
      </c>
      <c r="E32" s="106">
        <f>Model!AB290</f>
        <v>-1607.71451926131</v>
      </c>
      <c r="F32" s="106">
        <f>Model!AG290</f>
        <v>737.37139095</v>
      </c>
      <c r="G32" s="106">
        <f>Model!AL290</f>
        <v>-1775.19201661</v>
      </c>
      <c r="H32" s="106">
        <f>Model!AQ290</f>
        <v>0</v>
      </c>
      <c r="I32" s="106">
        <f>Model!AV290</f>
        <v>0</v>
      </c>
      <c r="J32" s="106">
        <f>Model!BA290</f>
        <v>0</v>
      </c>
      <c r="K32" s="106">
        <f>Model!BF290</f>
        <v>0</v>
      </c>
      <c r="L32" s="107">
        <f>Model!BK290</f>
        <v>0</v>
      </c>
      <c r="X32" s="77" t="n"/>
      <c r="Y32" s="77" t="n"/>
      <c r="Z32" s="77" t="n"/>
    </row>
    <row r="33" outlineLevel="1">
      <c r="C33" s="105" t="inlineStr">
        <is>
          <t>Accounts payable</t>
        </is>
      </c>
      <c r="D33" s="106">
        <f>Model!W291</f>
        <v>665.270213747655</v>
      </c>
      <c r="E33" s="106">
        <f>Model!AB291</f>
        <v>1169.71808149235</v>
      </c>
      <c r="F33" s="106">
        <f>Model!AG291</f>
        <v>407.657387840001</v>
      </c>
      <c r="G33" s="106">
        <f>Model!AL291</f>
        <v>-8345.81868308</v>
      </c>
      <c r="H33" s="106">
        <f>Model!AQ291</f>
        <v>0</v>
      </c>
      <c r="I33" s="106">
        <f>Model!AV291</f>
        <v>0</v>
      </c>
      <c r="J33" s="106">
        <f>Model!BA291</f>
        <v>0</v>
      </c>
      <c r="K33" s="106">
        <f>Model!BF291</f>
        <v>0</v>
      </c>
      <c r="L33" s="107">
        <f>Model!BK291</f>
        <v>0</v>
      </c>
      <c r="X33" s="77" t="n"/>
      <c r="Y33" s="77" t="n"/>
      <c r="Z33" s="77" t="n"/>
    </row>
    <row r="34" outlineLevel="1">
      <c r="C34" s="105" t="inlineStr">
        <is>
          <t>Accrued expenses</t>
        </is>
      </c>
      <c r="D34" s="106">
        <f>Model!W292</f>
        <v>102.611074321675</v>
      </c>
      <c r="E34" s="106">
        <f>Model!AB292</f>
        <v>19.5301854083251</v>
      </c>
      <c r="F34" s="106">
        <f>Model!AG292</f>
        <v>98.47181301</v>
      </c>
      <c r="G34" s="106">
        <f>Model!AL292</f>
        <v>-845.76907274</v>
      </c>
      <c r="H34" s="106" t="e">
        <f>Model!AQ292</f>
        <v>#DIV/0!</v>
      </c>
      <c r="I34" s="106" t="e">
        <f>Model!AV292</f>
        <v>#DIV/0!</v>
      </c>
      <c r="J34" s="106" t="e">
        <f>Model!BA292</f>
        <v>#DIV/0!</v>
      </c>
      <c r="K34" s="106" t="e">
        <f>Model!BF292</f>
        <v>#DIV/0!</v>
      </c>
      <c r="L34" s="107" t="e">
        <f>Model!BK292</f>
        <v>#DIV/0!</v>
      </c>
      <c r="X34" s="77" t="n"/>
      <c r="Y34" s="77" t="n"/>
      <c r="Z34" s="77" t="n"/>
    </row>
    <row r="35" outlineLevel="1">
      <c r="C35" s="105" t="inlineStr">
        <is>
          <t>Taxes payable</t>
        </is>
      </c>
      <c r="D35" s="106">
        <f>Model!W293</f>
        <v>15.65217582256</v>
      </c>
      <c r="E35" s="106">
        <f>Model!AB293</f>
        <v>85.88023837744</v>
      </c>
      <c r="F35" s="106">
        <f>Model!AG293</f>
        <v>120.06856823</v>
      </c>
      <c r="G35" s="106">
        <f>Model!AL293</f>
        <v>-706.74798243</v>
      </c>
      <c r="H35" s="106" t="e">
        <f>Model!AQ293</f>
        <v>#DIV/0!</v>
      </c>
      <c r="I35" s="106" t="e">
        <f>Model!AV293</f>
        <v>#DIV/0!</v>
      </c>
      <c r="J35" s="106" t="e">
        <f>Model!BA293</f>
        <v>#DIV/0!</v>
      </c>
      <c r="K35" s="106" t="e">
        <f>Model!BF293</f>
        <v>#DIV/0!</v>
      </c>
      <c r="L35" s="107" t="e">
        <f>Model!BK293</f>
        <v>#DIV/0!</v>
      </c>
      <c r="X35" s="77" t="n"/>
      <c r="Y35" s="77" t="n"/>
      <c r="Z35" s="77" t="n"/>
    </row>
    <row r="36" outlineLevel="1">
      <c r="C36" s="105" t="inlineStr">
        <is>
          <t>Other current liabilities</t>
        </is>
      </c>
      <c r="D36" s="106">
        <f>Model!W294</f>
        <v>512.3128213386</v>
      </c>
      <c r="E36" s="106">
        <f>Model!AB294</f>
        <v>1157.4787305114</v>
      </c>
      <c r="F36" s="106">
        <f>Model!AG294</f>
        <v>377.71869336</v>
      </c>
      <c r="G36" s="106">
        <f>Model!AL294</f>
        <v>1724.84838253</v>
      </c>
      <c r="H36" s="106">
        <f>Model!AQ294</f>
        <v>0</v>
      </c>
      <c r="I36" s="106">
        <f>Model!AV294</f>
        <v>0</v>
      </c>
      <c r="J36" s="106">
        <f>Model!BA294</f>
        <v>0</v>
      </c>
      <c r="K36" s="106">
        <f>Model!BF294</f>
        <v>0</v>
      </c>
      <c r="L36" s="107">
        <f>Model!BK294</f>
        <v>0</v>
      </c>
      <c r="X36" s="77" t="n"/>
      <c r="Y36" s="77" t="n"/>
      <c r="Z36" s="77" t="n"/>
    </row>
    <row r="37" outlineLevel="1">
      <c r="C37" s="105" t="inlineStr">
        <is>
          <t>Deferred tax (liabilities)</t>
        </is>
      </c>
      <c r="D37" s="106">
        <f>Model!W295</f>
        <v>288.793262608</v>
      </c>
      <c r="E37" s="106">
        <f>Model!AB295</f>
        <v>98.454646832</v>
      </c>
      <c r="F37" s="106">
        <f>Model!AG295</f>
        <v>302.30115934</v>
      </c>
      <c r="G37" s="106">
        <f>Model!AL295</f>
        <v>108.81716353</v>
      </c>
      <c r="H37" s="106">
        <f>Model!AQ295</f>
        <v>0</v>
      </c>
      <c r="I37" s="106">
        <f>Model!AV295</f>
        <v>0</v>
      </c>
      <c r="J37" s="106">
        <f>Model!BA295</f>
        <v>0</v>
      </c>
      <c r="K37" s="106">
        <f>Model!BF295</f>
        <v>0</v>
      </c>
      <c r="L37" s="107">
        <f>Model!BK295</f>
        <v>0</v>
      </c>
      <c r="X37" s="77" t="n"/>
      <c r="Y37" s="77" t="n"/>
      <c r="Z37" s="77" t="n"/>
    </row>
    <row r="38" outlineLevel="1" ht="15" customHeight="1">
      <c r="C38" s="105" t="inlineStr">
        <is>
          <t>Other non-current assets</t>
        </is>
      </c>
      <c r="D38" s="106">
        <f>(Model!W195-Model!R195)*-1</f>
        <v>-1332.64776978756</v>
      </c>
      <c r="E38" s="106">
        <f>(Model!AB195-Model!W195)*-1</f>
        <v>-1369.31688861244</v>
      </c>
      <c r="F38" s="106">
        <f>(Model!AG195-Model!AB195)*-1</f>
        <v>1563.88388986</v>
      </c>
      <c r="G38" s="106">
        <f>(Model!AL195-Model!AG195)*-1</f>
        <v>-140.83275624</v>
      </c>
      <c r="H38" s="106">
        <f>(Model!AQ195-Model!AL195)*-1</f>
        <v>0</v>
      </c>
      <c r="I38" s="106">
        <f>(Model!AV195-Model!AQ195)*-1</f>
        <v>0</v>
      </c>
      <c r="J38" s="106">
        <f>(Model!BA195-Model!AV195)*-1</f>
        <v>0</v>
      </c>
      <c r="K38" s="106">
        <f>(Model!BF195-Model!BA195)*-1</f>
        <v>0</v>
      </c>
      <c r="L38" s="107">
        <f>(Model!BK195-Model!BF195)*-1</f>
        <v>0</v>
      </c>
      <c r="M38">
        <f>(Model!BP195-Model!BK195)*-1</f>
        <v>0</v>
      </c>
      <c r="N38">
        <f>(Model!BU195-Model!BP195)*-1</f>
        <v>0</v>
      </c>
      <c r="O38">
        <f>(Model!BZ195-Model!BU195)*-1</f>
        <v>0</v>
      </c>
      <c r="P38">
        <f>(Model!CE195-Model!BZ195)*-1</f>
        <v>0</v>
      </c>
      <c r="Q38">
        <f>(Model!CJ195-Model!CE195)*-1</f>
        <v>0</v>
      </c>
      <c r="R38">
        <f>(Model!CO195-Model!CJ195)*-1</f>
        <v>0</v>
      </c>
      <c r="X38" s="77" t="n"/>
      <c r="Y38" s="77" t="n"/>
      <c r="Z38" s="77" t="n"/>
    </row>
    <row r="39" outlineLevel="1" ht="15" customHeight="1">
      <c r="C39" s="105" t="inlineStr">
        <is>
          <t>Other non-current liabilities</t>
        </is>
      </c>
      <c r="D39" s="106">
        <f>Model!W246-Model!R246</f>
        <v>206.11191247592</v>
      </c>
      <c r="E39" s="106">
        <f>Model!AB246-Model!W246</f>
        <v>227.012339624081</v>
      </c>
      <c r="F39" s="106">
        <f>Model!AG246-Model!AB246</f>
        <v>-87.0124545600002</v>
      </c>
      <c r="G39" s="106">
        <f>Model!AL246-Model!AG246</f>
        <v>-584.66720181</v>
      </c>
      <c r="H39" s="106">
        <f>Model!AQ246-Model!AL246</f>
        <v>0</v>
      </c>
      <c r="I39" s="106">
        <f>Model!AV246-Model!AQ246</f>
        <v>0</v>
      </c>
      <c r="J39" s="106">
        <f>Model!BA246-Model!AV246</f>
        <v>0</v>
      </c>
      <c r="K39" s="106">
        <f>Model!BF246-Model!BA246</f>
        <v>0</v>
      </c>
      <c r="L39" s="107">
        <f>Model!BK246-Model!BF246</f>
        <v>0</v>
      </c>
      <c r="M39">
        <f>Model!BP246-Model!BK246</f>
        <v>0</v>
      </c>
      <c r="N39">
        <f>Model!BU246-Model!BP246</f>
        <v>0</v>
      </c>
      <c r="O39">
        <f>Model!BZ246-Model!BU246</f>
        <v>0</v>
      </c>
      <c r="P39">
        <f>Model!CE246-Model!BZ246</f>
        <v>0</v>
      </c>
      <c r="Q39">
        <f>Model!CJ246-Model!CE246</f>
        <v>0</v>
      </c>
      <c r="R39">
        <f>Model!CO246-Model!CJ246</f>
        <v>0</v>
      </c>
      <c r="X39" s="77" t="n"/>
      <c r="Y39" s="77" t="n"/>
      <c r="Z39" s="77" t="n"/>
    </row>
    <row r="40">
      <c r="C40" s="105" t="inlineStr">
        <is>
          <t>Capital expenditures</t>
        </is>
      </c>
      <c r="D40" s="106" t="n"/>
      <c r="E40" s="106" t="n"/>
      <c r="F40" s="106" t="n"/>
      <c r="G40" s="106" t="n"/>
      <c r="H40" s="106" t="n"/>
      <c r="I40" s="106" t="n"/>
      <c r="J40" s="106" t="n"/>
      <c r="K40" s="106" t="n"/>
      <c r="L40" s="107" t="n"/>
      <c r="X40" s="77" t="n"/>
      <c r="Y40" s="77" t="n"/>
      <c r="Z40" s="77" t="n"/>
    </row>
    <row r="41">
      <c r="C41" s="105" t="inlineStr">
        <is>
          <t>Capital expenditures [IFRS16 - implied lease payments]</t>
        </is>
      </c>
      <c r="F41" s="106" t="n"/>
      <c r="G41" s="106" t="n"/>
      <c r="H41" s="106" t="n"/>
      <c r="I41" s="106" t="n"/>
      <c r="J41" s="106" t="n"/>
      <c r="K41" s="106" t="n"/>
      <c r="L41" s="107" t="n"/>
      <c r="X41" s="77" t="n"/>
      <c r="Y41" s="77" t="n"/>
      <c r="Z41" s="77" t="n"/>
    </row>
    <row r="42">
      <c r="C42" s="108" t="inlineStr">
        <is>
          <t>Purchase of intangible assets</t>
        </is>
      </c>
      <c r="D42" s="109" t="n">
        <v>0</v>
      </c>
      <c r="E42" s="109" t="n">
        <v>0</v>
      </c>
      <c r="F42" s="109" t="n">
        <v>0</v>
      </c>
      <c r="G42" s="109" t="n">
        <v>0</v>
      </c>
      <c r="H42" s="109" t="n">
        <v>0</v>
      </c>
      <c r="I42" s="109" t="n">
        <v>0</v>
      </c>
      <c r="J42" s="109" t="n">
        <v>0</v>
      </c>
      <c r="K42" s="109" t="n">
        <v>0</v>
      </c>
      <c r="L42" s="110" t="n">
        <v>0</v>
      </c>
      <c r="M42" s="111" t="n"/>
      <c r="X42" s="77" t="n"/>
      <c r="Y42" s="77" t="n"/>
      <c r="Z42" s="77" t="n"/>
      <c r="AB42" s="68" t="n"/>
    </row>
    <row r="43">
      <c r="X43" s="77" t="n"/>
      <c r="Y43" s="77" t="n"/>
      <c r="Z43" s="77" t="n"/>
    </row>
    <row r="44">
      <c r="C44" s="82" t="inlineStr">
        <is>
          <t>Net Investments</t>
        </is>
      </c>
      <c r="D44" s="103">
        <f>SUM(D27+D40+D41+D42+D26)</f>
        <v>-5383.01248472979</v>
      </c>
      <c r="E44" s="103">
        <f>SUM(E27+E40+E41+E42+E26)</f>
        <v>-5221.89066957985</v>
      </c>
      <c r="F44" s="103">
        <f>SUM(F27+F40+F41+F42+F26)</f>
        <v>-2113.79625212999</v>
      </c>
      <c r="G44" s="103">
        <f>SUM(G27+G40+G41+G42+G26)</f>
        <v>-3195.95389792</v>
      </c>
      <c r="H44" s="103" t="e">
        <f>SUM(H27+H40+H41+H42+H26)</f>
        <v>#DIV/0!</v>
      </c>
      <c r="I44" s="103" t="e">
        <f>SUM(I27+I40+I41+I42+I26)</f>
        <v>#DIV/0!</v>
      </c>
      <c r="J44" s="103" t="e">
        <f>SUM(J27+J40+J41+J42+J26)</f>
        <v>#DIV/0!</v>
      </c>
      <c r="K44" s="103" t="e">
        <f>SUM(K27+K40+K41+K42+K26)</f>
        <v>#DIV/0!</v>
      </c>
      <c r="L44" s="103" t="e">
        <f>SUM(L27+L40+L41+L42+L26)</f>
        <v>#DIV/0!</v>
      </c>
      <c r="M44" s="112" t="e">
        <f>+L46-M46</f>
        <v>#DIV/0!</v>
      </c>
      <c r="N44" s="103" t="e">
        <f>+M46-N46</f>
        <v>#DIV/0!</v>
      </c>
      <c r="O44" s="103" t="e">
        <f>+N46-O46</f>
        <v>#DIV/0!</v>
      </c>
      <c r="P44" s="103" t="e">
        <f>+O46-P46</f>
        <v>#DIV/0!</v>
      </c>
      <c r="Q44" s="103" t="e">
        <f>+P46-Q46</f>
        <v>#DIV/0!</v>
      </c>
      <c r="R44" s="103" t="e">
        <f>+Q46-R46</f>
        <v>#DIV/0!</v>
      </c>
      <c r="S44" s="103" t="n"/>
      <c r="T44" s="103" t="n"/>
      <c r="U44" s="103" t="n"/>
      <c r="V44" s="104" t="n"/>
      <c r="X44" s="77" t="n"/>
      <c r="Y44" s="111" t="n"/>
      <c r="Z44" s="77" t="n"/>
    </row>
    <row r="45">
      <c r="C45" s="113" t="n"/>
      <c r="D45" s="111" t="n"/>
      <c r="E45" s="111" t="n"/>
      <c r="F45" s="111" t="n"/>
      <c r="G45" s="111" t="n"/>
      <c r="H45" s="111" t="n"/>
      <c r="I45" s="111" t="n"/>
      <c r="J45" s="111" t="n"/>
      <c r="K45" s="111" t="n"/>
      <c r="L45" s="111" t="n"/>
      <c r="V45" s="114" t="n"/>
      <c r="X45" s="77" t="n"/>
      <c r="Y45" s="77" t="n"/>
      <c r="Z45" s="77" t="n"/>
    </row>
    <row r="46">
      <c r="C46" s="113" t="inlineStr">
        <is>
          <t>Invested Capital</t>
        </is>
      </c>
      <c r="D46" s="106">
        <f>Model!W356</f>
        <v>42502.1521022566</v>
      </c>
      <c r="E46" s="106">
        <f>Model!AB356</f>
        <v>50613.70789307</v>
      </c>
      <c r="F46" s="106">
        <f>Model!AG356</f>
        <v>49586.89246112</v>
      </c>
      <c r="G46" s="106">
        <f>Model!AL356</f>
        <v>47589.84009366</v>
      </c>
      <c r="H46" s="106" t="e">
        <f>Model!AQ356</f>
        <v>#DIV/0!</v>
      </c>
      <c r="I46" s="106" t="e">
        <f>Model!AV356</f>
        <v>#DIV/0!</v>
      </c>
      <c r="J46" s="106" t="e">
        <f>Model!BA356</f>
        <v>#DIV/0!</v>
      </c>
      <c r="K46" s="106" t="e">
        <f>Model!BF356</f>
        <v>#DIV/0!</v>
      </c>
      <c r="L46" s="106" t="e">
        <f>Model!BK356</f>
        <v>#DIV/0!</v>
      </c>
      <c r="M46" s="115" t="e">
        <f>Model!BP356</f>
        <v>#DIV/0!</v>
      </c>
      <c r="N46" s="115" t="e">
        <f>Model!BU356</f>
        <v>#DIV/0!</v>
      </c>
      <c r="O46" s="115" t="e">
        <f>Model!BZ356</f>
        <v>#DIV/0!</v>
      </c>
      <c r="P46" s="115" t="e">
        <f>Model!CE356</f>
        <v>#DIV/0!</v>
      </c>
      <c r="Q46" s="115" t="e">
        <f>Model!CJ356</f>
        <v>#DIV/0!</v>
      </c>
      <c r="R46" s="115" t="e">
        <f>Model!CO356</f>
        <v>#DIV/0!</v>
      </c>
      <c r="S46" s="115" t="n"/>
      <c r="T46" s="115" t="n"/>
      <c r="U46" s="115" t="n"/>
      <c r="V46" s="116" t="n"/>
      <c r="X46" s="111" t="n"/>
      <c r="Y46" s="111" t="n"/>
      <c r="Z46" s="77" t="n"/>
    </row>
    <row r="47" ht="15" customHeight="1">
      <c r="C47" s="113" t="inlineStr">
        <is>
          <t>Invested Capital (ex Goodwill)</t>
        </is>
      </c>
      <c r="D47" s="106">
        <f>Model!W357</f>
        <v>42502.1521022566</v>
      </c>
      <c r="E47" s="106">
        <f>Model!AB357</f>
        <v>50613.70789307</v>
      </c>
      <c r="F47" s="106">
        <f>Model!AG357</f>
        <v>49586.89246112</v>
      </c>
      <c r="G47" s="106">
        <f>Model!AL357</f>
        <v>47589.84009366</v>
      </c>
      <c r="H47" s="106" t="e">
        <f>Model!AQ357</f>
        <v>#DIV/0!</v>
      </c>
      <c r="I47" s="106" t="e">
        <f>Model!AV357</f>
        <v>#DIV/0!</v>
      </c>
      <c r="J47" s="106" t="e">
        <f>Model!BA357</f>
        <v>#DIV/0!</v>
      </c>
      <c r="K47" s="106" t="e">
        <f>Model!BF357</f>
        <v>#DIV/0!</v>
      </c>
      <c r="L47" s="106" t="e">
        <f>Model!BK357</f>
        <v>#DIV/0!</v>
      </c>
      <c r="M47" t="e">
        <f>Model!BP357</f>
        <v>#DIV/0!</v>
      </c>
      <c r="N47" t="e">
        <f>Model!BU357</f>
        <v>#DIV/0!</v>
      </c>
      <c r="O47" t="e">
        <f>Model!BZ357</f>
        <v>#DIV/0!</v>
      </c>
      <c r="P47" t="e">
        <f>Model!CE357</f>
        <v>#DIV/0!</v>
      </c>
      <c r="Q47" t="e">
        <f>Model!CJ357</f>
        <v>#DIV/0!</v>
      </c>
      <c r="R47" t="e">
        <f>Model!CO357</f>
        <v>#DIV/0!</v>
      </c>
      <c r="V47" s="114" t="n"/>
      <c r="X47" s="77" t="n"/>
      <c r="Y47" s="77" t="n"/>
      <c r="Z47" s="77" t="n"/>
    </row>
    <row r="48">
      <c r="C48" s="86" t="inlineStr">
        <is>
          <t>Invested Capital / Net Revenues</t>
        </is>
      </c>
      <c r="D48" s="92">
        <f>D46/D18</f>
        <v>1.33471513117109</v>
      </c>
      <c r="E48" s="92">
        <f>E46/E18</f>
        <v>1.24241742692796</v>
      </c>
      <c r="F48" s="92">
        <f>F46/F18</f>
        <v>1.15841402527472</v>
      </c>
      <c r="G48" s="92">
        <f>G46/G18</f>
        <v>1.07200294613014</v>
      </c>
      <c r="H48" s="92" t="e">
        <f>H46/H18</f>
        <v>#DIV/0!</v>
      </c>
      <c r="I48" s="92" t="e">
        <f>I46/I18</f>
        <v>#DIV/0!</v>
      </c>
      <c r="J48" s="92" t="e">
        <f>J46/J18</f>
        <v>#DIV/0!</v>
      </c>
      <c r="K48" s="92" t="e">
        <f>K46/K18</f>
        <v>#DIV/0!</v>
      </c>
      <c r="L48" s="92" t="e">
        <f>L46/L18</f>
        <v>#DIV/0!</v>
      </c>
      <c r="M48" s="117" t="n"/>
      <c r="N48" s="117" t="n"/>
      <c r="O48" s="117" t="n"/>
      <c r="P48" s="117" t="n"/>
      <c r="Q48" s="117" t="n"/>
      <c r="R48" s="117" t="n"/>
      <c r="S48" s="117" t="n"/>
      <c r="T48" s="117" t="n"/>
      <c r="U48" s="117" t="n"/>
      <c r="V48" s="118" t="n"/>
      <c r="X48" s="76" t="inlineStr">
        <is>
          <t>ROIC</t>
        </is>
      </c>
      <c r="Y48" s="77" t="n"/>
      <c r="Z48" s="77" t="n"/>
    </row>
    <row r="49">
      <c r="X49" s="77">
        <f>F16</f>
        <v>2025</v>
      </c>
      <c r="Y49" s="77">
        <f>L16</f>
        <v>2031</v>
      </c>
      <c r="Z49" s="77">
        <f>R16</f>
        <v>2037</v>
      </c>
    </row>
    <row r="50">
      <c r="C50" s="119" t="inlineStr">
        <is>
          <t>ROIC</t>
        </is>
      </c>
      <c r="D50" s="120" t="n"/>
      <c r="E50" s="120" t="n"/>
      <c r="F50" s="120" t="n"/>
      <c r="G50" s="120">
        <f>G25/AVERAGE(F46,G46)</f>
        <v>0.0891480036425017</v>
      </c>
      <c r="H50" s="120" t="e">
        <f>H25/AVERAGE(G46,H46)</f>
        <v>#DIV/0!</v>
      </c>
      <c r="I50" s="120" t="e">
        <f>I25/AVERAGE(H46,I46)</f>
        <v>#DIV/0!</v>
      </c>
      <c r="J50" s="120" t="e">
        <f>J25/AVERAGE(I46,J46)</f>
        <v>#DIV/0!</v>
      </c>
      <c r="K50" s="120" t="e">
        <f>K25/AVERAGE(J46,K46)</f>
        <v>#DIV/0!</v>
      </c>
      <c r="L50" s="120" t="e">
        <f>L25/AVERAGE(K46,L46)</f>
        <v>#DIV/0!</v>
      </c>
      <c r="M50" s="121" t="e">
        <f>M25/AVERAGE(L46,M46)</f>
        <v>#DIV/0!</v>
      </c>
      <c r="N50" s="121" t="e">
        <f>N25/AVERAGE(M46,N46)</f>
        <v>#DIV/0!</v>
      </c>
      <c r="O50" s="121" t="e">
        <f>O25/AVERAGE(N46,O46)</f>
        <v>#DIV/0!</v>
      </c>
      <c r="P50" s="121" t="e">
        <f>P25/AVERAGE(O46,P46)</f>
        <v>#DIV/0!</v>
      </c>
      <c r="Q50" s="121" t="e">
        <f>Q25/AVERAGE(P46,Q46)</f>
        <v>#DIV/0!</v>
      </c>
      <c r="R50" s="121" t="e">
        <f>R25/AVERAGE(Q46,R46)</f>
        <v>#DIV/0!</v>
      </c>
      <c r="S50" s="121" t="n"/>
      <c r="T50" s="121" t="n"/>
      <c r="U50" s="121" t="n"/>
      <c r="V50" s="122" t="n"/>
      <c r="X50" s="85">
        <f>F50</f>
        <v>0</v>
      </c>
      <c r="Y50" s="85" t="e">
        <f>L50</f>
        <v>#DIV/0!</v>
      </c>
      <c r="Z50" s="123" t="e">
        <f>R50</f>
        <v>#DIV/0!</v>
      </c>
    </row>
    <row r="51">
      <c r="C51" s="68" t="inlineStr">
        <is>
          <t>Capital Turnover</t>
        </is>
      </c>
      <c r="D51" s="124">
        <f>D18/D46</f>
        <v>0.749223543395802</v>
      </c>
      <c r="E51" s="124">
        <f>E18/E46</f>
        <v>0.804882464078626</v>
      </c>
      <c r="F51" s="124">
        <f>F18/F46</f>
        <v>0.863249216758101</v>
      </c>
      <c r="G51" s="124">
        <f>G18/G46</f>
        <v>0.932833257231183</v>
      </c>
      <c r="H51" s="124" t="e">
        <f>H18/H46</f>
        <v>#DIV/0!</v>
      </c>
      <c r="I51" s="124" t="e">
        <f>I18/I46</f>
        <v>#DIV/0!</v>
      </c>
      <c r="J51" s="124" t="e">
        <f>J18/J46</f>
        <v>#DIV/0!</v>
      </c>
      <c r="K51" s="124" t="e">
        <f>K18/K46</f>
        <v>#DIV/0!</v>
      </c>
      <c r="L51" s="124" t="e">
        <f>L18/L46</f>
        <v>#DIV/0!</v>
      </c>
      <c r="M51" s="124" t="e">
        <f>M18/M46</f>
        <v>#DIV/0!</v>
      </c>
      <c r="N51" s="124" t="e">
        <f>N18/N46</f>
        <v>#DIV/0!</v>
      </c>
      <c r="O51" s="124" t="e">
        <f>O18/O46</f>
        <v>#DIV/0!</v>
      </c>
      <c r="P51" s="124" t="e">
        <f>P18/P46</f>
        <v>#DIV/0!</v>
      </c>
      <c r="Q51" s="124" t="e">
        <f>Q18/Q46</f>
        <v>#DIV/0!</v>
      </c>
      <c r="R51" s="124" t="e">
        <f>R18/R46</f>
        <v>#DIV/0!</v>
      </c>
      <c r="S51" s="124" t="n"/>
      <c r="T51" s="124" t="n"/>
      <c r="U51" s="124" t="n"/>
      <c r="V51" s="124" t="n"/>
    </row>
    <row r="53" customFormat="1" s="68">
      <c r="A53" s="249" t="n"/>
      <c r="B53" s="249" t="n"/>
      <c r="C53" s="68" t="inlineStr">
        <is>
          <t>Unlevered free cash flows = FCFF</t>
        </is>
      </c>
      <c r="D53" s="125">
        <f>D25+D44</f>
        <v>-2301.50914381636</v>
      </c>
      <c r="E53" s="125">
        <f>E25+E44</f>
        <v>-3713.70889830396</v>
      </c>
      <c r="F53" s="125">
        <f>F25+F44</f>
        <v>4588.33820008262</v>
      </c>
      <c r="G53" s="126">
        <f>(G25+G44)*stub_year_fraction</f>
        <v>295.567632373143</v>
      </c>
      <c r="H53" s="125" t="e">
        <f>H25+H44</f>
        <v>#DIV/0!</v>
      </c>
      <c r="I53" s="125" t="e">
        <f>I25+I44</f>
        <v>#DIV/0!</v>
      </c>
      <c r="J53" s="125" t="e">
        <f>J25+J44</f>
        <v>#DIV/0!</v>
      </c>
      <c r="K53" s="125" t="e">
        <f>K25+K44</f>
        <v>#DIV/0!</v>
      </c>
      <c r="L53" s="125" t="e">
        <f>L25+L44</f>
        <v>#DIV/0!</v>
      </c>
      <c r="M53" s="125" t="e">
        <f>M25+M44</f>
        <v>#DIV/0!</v>
      </c>
      <c r="N53" s="125" t="e">
        <f>N25+N44</f>
        <v>#DIV/0!</v>
      </c>
      <c r="O53" s="125" t="e">
        <f>O25+O44</f>
        <v>#DIV/0!</v>
      </c>
      <c r="P53" s="125" t="e">
        <f>P25+P44</f>
        <v>#DIV/0!</v>
      </c>
      <c r="Q53" s="125" t="e">
        <f>Q25+Q44</f>
        <v>#DIV/0!</v>
      </c>
      <c r="R53" s="125" t="e">
        <f>R25+R44</f>
        <v>#DIV/0!</v>
      </c>
      <c r="S53" s="125" t="n"/>
      <c r="T53" s="125" t="n"/>
      <c r="U53" s="125" t="n"/>
      <c r="V53" s="125" t="n"/>
    </row>
    <row r="54">
      <c r="C54" s="127" t="inlineStr">
        <is>
          <t>Discount factor</t>
        </is>
      </c>
      <c r="G54" s="128" t="e">
        <f>1/(1+wacc)^stub_year_fraction</f>
        <v>#DIV/0!</v>
      </c>
      <c r="H54" s="128" t="e">
        <f>1/(1+wacc)^(1+stub_year_fraction)</f>
        <v>#DIV/0!</v>
      </c>
      <c r="I54" s="128" t="e">
        <f>1/(1+wacc)^(2+stub_year_fraction)</f>
        <v>#DIV/0!</v>
      </c>
      <c r="J54" s="128" t="e">
        <f>1/(1+wacc)^(3+stub_year_fraction)</f>
        <v>#DIV/0!</v>
      </c>
      <c r="K54" s="128" t="e">
        <f>1/(1+wacc)^(4+stub_year_fraction)</f>
        <v>#DIV/0!</v>
      </c>
      <c r="L54" s="128" t="e">
        <f>1/(1+wacc)^(5+stub_year_fraction)</f>
        <v>#DIV/0!</v>
      </c>
      <c r="M54" s="128" t="e">
        <f>1/(1+wacc)^(6+stub_year_fraction)</f>
        <v>#DIV/0!</v>
      </c>
      <c r="N54" s="128" t="e">
        <f>1/(1+wacc)^(7+stub_year_fraction)</f>
        <v>#DIV/0!</v>
      </c>
      <c r="O54" s="128" t="e">
        <f>1/(1+wacc)^(8+stub_year_fraction)</f>
        <v>#DIV/0!</v>
      </c>
      <c r="P54" s="128" t="e">
        <f>1/(1+wacc)^(9+stub_year_fraction)</f>
        <v>#DIV/0!</v>
      </c>
      <c r="Q54" s="128" t="e">
        <f>1/(1+wacc)^(10+stub_year_fraction)</f>
        <v>#DIV/0!</v>
      </c>
      <c r="R54" s="128" t="e">
        <f>1/(1+wacc)^(11+stub_year_fraction)</f>
        <v>#DIV/0!</v>
      </c>
      <c r="S54" s="128" t="n"/>
      <c r="T54" s="128" t="n"/>
      <c r="U54" s="128" t="n"/>
      <c r="V54" s="128" t="n"/>
    </row>
    <row r="55">
      <c r="C55" s="127" t="inlineStr">
        <is>
          <t>Midyear adjustment factor</t>
        </is>
      </c>
      <c r="G55" s="129" t="e">
        <f>(1+wacc)^(stub_year_fraction/2)</f>
        <v>#DIV/0!</v>
      </c>
      <c r="H55" s="128" t="e">
        <f>(1+wacc)^0.5</f>
        <v>#DIV/0!</v>
      </c>
      <c r="I55" s="128" t="e">
        <f>(1+wacc)^0.5</f>
        <v>#DIV/0!</v>
      </c>
      <c r="J55" s="128" t="e">
        <f>(1+wacc)^0.5</f>
        <v>#DIV/0!</v>
      </c>
      <c r="K55" s="128" t="e">
        <f>(1+wacc)^0.5</f>
        <v>#DIV/0!</v>
      </c>
      <c r="L55" s="128" t="e">
        <f>(1+wacc)^0.5</f>
        <v>#DIV/0!</v>
      </c>
      <c r="M55" s="128" t="e">
        <f>(1+wacc)^0.5</f>
        <v>#DIV/0!</v>
      </c>
      <c r="N55" s="128" t="e">
        <f>(1+wacc)^0.5</f>
        <v>#DIV/0!</v>
      </c>
      <c r="O55" s="128" t="e">
        <f>(1+wacc)^0.5</f>
        <v>#DIV/0!</v>
      </c>
      <c r="P55" s="128" t="e">
        <f>(1+wacc)^0.5</f>
        <v>#DIV/0!</v>
      </c>
      <c r="Q55" s="128" t="e">
        <f>(1+wacc)^0.5</f>
        <v>#DIV/0!</v>
      </c>
      <c r="R55" s="128" t="e">
        <f>(1+wacc)^0.5</f>
        <v>#DIV/0!</v>
      </c>
      <c r="S55" s="128" t="n"/>
      <c r="T55" s="128" t="n"/>
      <c r="U55" s="128" t="n"/>
      <c r="V55" s="128" t="n"/>
    </row>
    <row r="56">
      <c r="C56" s="127" t="inlineStr">
        <is>
          <t>Present value of free cash flows</t>
        </is>
      </c>
      <c r="G56" s="111" t="e">
        <f>G54*G53*G55</f>
        <v>#DIV/0!</v>
      </c>
      <c r="H56" s="111" t="e">
        <f>H54*H53*H55</f>
        <v>#DIV/0!</v>
      </c>
      <c r="I56" s="111" t="e">
        <f>I54*I53*I55</f>
        <v>#DIV/0!</v>
      </c>
      <c r="J56" s="111" t="e">
        <f>J54*J53*J55</f>
        <v>#DIV/0!</v>
      </c>
      <c r="K56" s="111" t="e">
        <f>K54*K53*K55</f>
        <v>#DIV/0!</v>
      </c>
      <c r="L56" s="111" t="e">
        <f>L54*L53*L55</f>
        <v>#DIV/0!</v>
      </c>
      <c r="M56" s="111" t="e">
        <f>M54*M53*M55</f>
        <v>#DIV/0!</v>
      </c>
      <c r="N56" s="111" t="e">
        <f>N54*N53*N55</f>
        <v>#DIV/0!</v>
      </c>
      <c r="O56" s="111" t="e">
        <f>O54*O53*O55</f>
        <v>#DIV/0!</v>
      </c>
      <c r="P56" s="111" t="e">
        <f>P54*P53*P55</f>
        <v>#DIV/0!</v>
      </c>
      <c r="Q56" s="111" t="e">
        <f>Q54*Q53*Q55</f>
        <v>#DIV/0!</v>
      </c>
      <c r="R56" s="111" t="e">
        <f>R54*R53*R55</f>
        <v>#DIV/0!</v>
      </c>
      <c r="S56" s="111" t="n"/>
      <c r="T56" s="111" t="n"/>
      <c r="U56" s="111" t="n"/>
      <c r="V56" s="111" t="n"/>
    </row>
    <row r="57">
      <c r="C57" s="68" t="inlineStr">
        <is>
          <t>Sum of present values of FCFs</t>
        </is>
      </c>
      <c r="G57" s="125" t="e">
        <f>SUM(G56:R56)</f>
        <v>#DIV/0!</v>
      </c>
      <c r="H57" s="111" t="n"/>
      <c r="N57" s="130" t="n"/>
    </row>
    <row r="59">
      <c r="C59" s="68" t="n"/>
      <c r="D59" s="61" t="n">
        <v>50405</v>
      </c>
      <c r="E59" s="131" t="n"/>
      <c r="F59" s="132" t="n"/>
      <c r="G59" s="132" t="n"/>
      <c r="H59" s="61" t="n">
        <v>46022</v>
      </c>
      <c r="I59" s="132" t="n"/>
      <c r="J59" s="132" t="n"/>
      <c r="K59" s="132" t="n"/>
      <c r="L59" s="132" t="n"/>
    </row>
    <row r="60" ht="13.5" customHeight="1" thickBot="1">
      <c r="C60" s="133" t="inlineStr">
        <is>
          <t>Terminal value</t>
        </is>
      </c>
      <c r="D60" s="134" t="n"/>
      <c r="E60" s="135" t="inlineStr">
        <is>
          <t>Equity value calculations</t>
        </is>
      </c>
      <c r="F60" s="136" t="n"/>
      <c r="G60" s="136" t="n"/>
      <c r="H60" s="136" t="n"/>
      <c r="I60" s="137" t="inlineStr">
        <is>
          <t xml:space="preserve"> Shares Outstanding Worksheet</t>
        </is>
      </c>
      <c r="J60" s="138" t="n"/>
      <c r="K60" s="139" t="n"/>
      <c r="L60" s="140" t="n"/>
    </row>
    <row r="61">
      <c r="C61" s="113" t="n"/>
      <c r="D61" s="114" t="n"/>
      <c r="I61" s="113" t="n"/>
      <c r="L61" s="114" t="n"/>
    </row>
    <row r="62">
      <c r="C62" s="141" t="inlineStr">
        <is>
          <t>Key value driver method</t>
        </is>
      </c>
      <c r="D62" s="142" t="n"/>
      <c r="E62" s="143" t="inlineStr">
        <is>
          <t>Enterprise value</t>
        </is>
      </c>
      <c r="H62" s="125" t="e">
        <f>D80</f>
        <v>#DIV/0!</v>
      </c>
      <c r="I62" s="144" t="inlineStr">
        <is>
          <t>Basic Shares Outanding :</t>
        </is>
      </c>
      <c r="J62" s="63" t="n"/>
      <c r="L62" s="145" t="n"/>
    </row>
    <row r="63" ht="13.5" customHeight="1" thickBot="1">
      <c r="C63" s="141" t="inlineStr">
        <is>
          <t>g</t>
        </is>
      </c>
      <c r="D63" s="146" t="n"/>
      <c r="E63" s="147" t="inlineStr">
        <is>
          <t>Calculation of net debt:</t>
        </is>
      </c>
      <c r="H63" s="111" t="n"/>
      <c r="I63" s="144" t="inlineStr">
        <is>
          <t>Current Share Price:</t>
        </is>
      </c>
      <c r="L63" s="148" t="n"/>
    </row>
    <row r="64" ht="13.5" customHeight="1" thickBot="1">
      <c r="C64" s="141" t="inlineStr">
        <is>
          <t>RONIC</t>
        </is>
      </c>
      <c r="D64" s="149" t="e">
        <f>R50</f>
        <v>#DIV/0!</v>
      </c>
      <c r="E64" s="127" t="inlineStr">
        <is>
          <t>Current portion of long-term debt</t>
        </is>
      </c>
      <c r="H64" s="107" t="n"/>
      <c r="I64" s="150" t="inlineStr">
        <is>
          <t>Options / Warrants Data</t>
        </is>
      </c>
      <c r="J64" s="79" t="n"/>
      <c r="K64" s="79" t="n"/>
      <c r="L64" s="151" t="n"/>
    </row>
    <row r="65">
      <c r="C65" s="141" t="inlineStr">
        <is>
          <t>NOPLAT (t+1)</t>
        </is>
      </c>
      <c r="D65" s="152">
        <f>SUMIFS(INDEX($C$17:$AQ$42,,MATCH(D$59,$C$17:$AQ$17,0)),$C$17:$C$42,"NOPLAT")*(1+D63)</f>
        <v>0</v>
      </c>
      <c r="E65" s="127" t="inlineStr">
        <is>
          <t>Short term debt</t>
        </is>
      </c>
      <c r="H65" s="107" t="n"/>
      <c r="I65" s="150" t="n"/>
      <c r="J65" s="153" t="inlineStr">
        <is>
          <t># of options</t>
        </is>
      </c>
      <c r="K65" s="153" t="inlineStr">
        <is>
          <t xml:space="preserve">$ strike </t>
        </is>
      </c>
      <c r="L65" s="151" t="inlineStr">
        <is>
          <t># In-the-$</t>
        </is>
      </c>
    </row>
    <row r="66">
      <c r="C66" s="141" t="inlineStr">
        <is>
          <t>Terminal value</t>
        </is>
      </c>
      <c r="D66" s="152" t="e">
        <f>(noplat_t1*(1-(g/ronic)))/(wacc-g)</f>
        <v>#DIV/0!</v>
      </c>
      <c r="E66" s="127" t="inlineStr">
        <is>
          <t>Long term debt</t>
        </is>
      </c>
      <c r="H66" s="107" t="n"/>
      <c r="I66" s="127" t="inlineStr">
        <is>
          <t>Batch 1</t>
        </is>
      </c>
      <c r="J66" s="154" t="n"/>
      <c r="K66" s="155" t="n"/>
      <c r="L66" s="156">
        <f>IF($K66&lt;$L$62,J66,0)</f>
        <v>0</v>
      </c>
    </row>
    <row r="67">
      <c r="C67" s="141" t="inlineStr">
        <is>
          <t>Midyear adjusted terminal value</t>
        </is>
      </c>
      <c r="D67" s="152" t="e">
        <f>D66*R55</f>
        <v>#DIV/0!</v>
      </c>
      <c r="E67" s="127" t="inlineStr">
        <is>
          <t>Convertible debt</t>
        </is>
      </c>
      <c r="H67" s="107" t="n"/>
      <c r="I67" s="127" t="inlineStr">
        <is>
          <t>Batch 2</t>
        </is>
      </c>
      <c r="J67" s="157" t="n"/>
      <c r="K67" s="158" t="n"/>
      <c r="L67" s="156">
        <f>IF($K67&lt;$L$61,J67,0)</f>
        <v>0</v>
      </c>
    </row>
    <row r="68">
      <c r="C68" s="141" t="inlineStr">
        <is>
          <t>Present value of terminal value</t>
        </is>
      </c>
      <c r="D68" s="152" t="e">
        <f>D67*R54</f>
        <v>#DIV/0!</v>
      </c>
      <c r="E68" s="127" t="inlineStr">
        <is>
          <t>Minority interest</t>
        </is>
      </c>
      <c r="H68" s="107" t="n"/>
      <c r="I68" s="127" t="inlineStr">
        <is>
          <t>Batch 3</t>
        </is>
      </c>
      <c r="J68" s="157" t="n"/>
      <c r="K68" s="158" t="n"/>
      <c r="L68" s="156">
        <f>IF($K68&lt;$L$61,J68,0)</f>
        <v>0</v>
      </c>
    </row>
    <row r="69">
      <c r="C69" s="144" t="inlineStr">
        <is>
          <t>Enterprise value</t>
        </is>
      </c>
      <c r="D69" s="159" t="e">
        <f>D68+G57</f>
        <v>#DIV/0!</v>
      </c>
      <c r="E69" s="127" t="inlineStr">
        <is>
          <t>Convertible preferred stock</t>
        </is>
      </c>
      <c r="H69" s="107" t="n"/>
      <c r="I69" s="127" t="inlineStr">
        <is>
          <t>Batch 4</t>
        </is>
      </c>
      <c r="J69" s="157" t="n"/>
      <c r="K69" s="158" t="n"/>
      <c r="L69" s="156">
        <f>IF($K69&lt;$L$61,J69,0)</f>
        <v>0</v>
      </c>
    </row>
    <row r="70">
      <c r="C70" s="113" t="n"/>
      <c r="D70" s="114" t="n"/>
      <c r="E70" s="127" t="inlineStr">
        <is>
          <t>Short term operating leases</t>
        </is>
      </c>
      <c r="H70" s="107" t="n"/>
      <c r="I70" s="127" t="inlineStr">
        <is>
          <t>Batch 5</t>
        </is>
      </c>
      <c r="J70" s="157" t="n"/>
      <c r="K70" s="158" t="n"/>
      <c r="L70" s="156">
        <f>IF($K70&lt;$L$61,J70,0)</f>
        <v>0</v>
      </c>
    </row>
    <row r="71">
      <c r="C71" s="141" t="inlineStr">
        <is>
          <t>Exit multiple method</t>
        </is>
      </c>
      <c r="D71" s="142" t="n"/>
      <c r="E71" s="127" t="inlineStr">
        <is>
          <t>Long term operating leases</t>
        </is>
      </c>
      <c r="H71" s="107" t="n"/>
      <c r="I71" s="150" t="inlineStr">
        <is>
          <t>Batch 6</t>
        </is>
      </c>
      <c r="J71" s="160" t="n"/>
      <c r="K71" s="161" t="n"/>
      <c r="L71" s="162">
        <f>IF($K71&lt;$L$61,J71,0)</f>
        <v>0</v>
      </c>
    </row>
    <row r="72">
      <c r="C72" s="144" t="inlineStr">
        <is>
          <t>Exit EV / EBITDA multiple</t>
        </is>
      </c>
      <c r="D72" s="163" t="n"/>
      <c r="E72" s="147" t="inlineStr">
        <is>
          <t>Less: Excess cash</t>
        </is>
      </c>
      <c r="H72" s="107" t="n"/>
      <c r="J72" s="132" t="n"/>
      <c r="K72" s="164" t="inlineStr">
        <is>
          <t>Total in-the-$ options:</t>
        </is>
      </c>
      <c r="L72" s="156">
        <f>SUM(L66:L71)</f>
        <v>0</v>
      </c>
    </row>
    <row r="73">
      <c r="C73" s="144" t="inlineStr">
        <is>
          <t>LTM EBITDA at end of projection</t>
        </is>
      </c>
      <c r="D73" s="159">
        <f>L20</f>
        <v>0</v>
      </c>
      <c r="E73" s="147" t="inlineStr">
        <is>
          <t>Less: Equity investments</t>
        </is>
      </c>
      <c r="H73" s="107" t="n"/>
      <c r="J73" s="132" t="n"/>
      <c r="K73" s="164" t="inlineStr">
        <is>
          <t>Total $ proceeds:</t>
        </is>
      </c>
      <c r="L73" s="165">
        <f>SUMPRODUCT(K66:K71,L66:L71)</f>
        <v>0</v>
      </c>
    </row>
    <row r="74">
      <c r="C74" s="144" t="inlineStr">
        <is>
          <t>Terminal value</t>
        </is>
      </c>
      <c r="D74" s="159">
        <f>D73*D72</f>
        <v>0</v>
      </c>
      <c r="E74" s="127" t="inlineStr">
        <is>
          <t>Net debt</t>
        </is>
      </c>
      <c r="H74" s="159">
        <f>SUM(H64:H73)</f>
        <v>0</v>
      </c>
      <c r="J74" s="132" t="n"/>
      <c r="K74" s="164" t="inlineStr">
        <is>
          <t>Total shares repurchased:</t>
        </is>
      </c>
      <c r="L74" s="156" t="e">
        <f>L73/L63</f>
        <v>#DIV/0!</v>
      </c>
    </row>
    <row r="75">
      <c r="C75" s="144" t="inlineStr">
        <is>
          <t>Present value of terminal value</t>
        </is>
      </c>
      <c r="D75" s="159" t="e">
        <f>D74*L54</f>
        <v>#DIV/0!</v>
      </c>
      <c r="E75" s="143" t="inlineStr">
        <is>
          <t>Equity value</t>
        </is>
      </c>
      <c r="H75" s="152" t="e">
        <f>D80-H74</f>
        <v>#DIV/0!</v>
      </c>
      <c r="J75" s="132" t="n"/>
      <c r="K75" s="166" t="inlineStr">
        <is>
          <t>Basic shares outstanding</t>
        </is>
      </c>
      <c r="L75" s="142">
        <f>L62</f>
        <v>0</v>
      </c>
    </row>
    <row r="76" ht="13.5" customHeight="1" thickBot="1">
      <c r="C76" s="144" t="inlineStr">
        <is>
          <t>Enterprise value</t>
        </is>
      </c>
      <c r="D76" s="159" t="e">
        <f>G57+D75</f>
        <v>#DIV/0!</v>
      </c>
      <c r="E76" s="127" t="inlineStr">
        <is>
          <t>Shares outstanding</t>
        </is>
      </c>
      <c r="H76" s="159" t="e">
        <f>L79</f>
        <v>#DIV/0!</v>
      </c>
      <c r="J76" s="167" t="n"/>
      <c r="K76" s="166" t="inlineStr">
        <is>
          <t>New shares from options:</t>
        </is>
      </c>
      <c r="L76" s="142" t="e">
        <f>L72-L74</f>
        <v>#DIV/0!</v>
      </c>
    </row>
    <row r="77" ht="13.5" customHeight="1" thickBot="1">
      <c r="C77" s="113" t="n"/>
      <c r="D77" s="168" t="n"/>
      <c r="E77" s="143" t="inlineStr">
        <is>
          <t>Equity value / share</t>
        </is>
      </c>
      <c r="H77" s="169" t="e">
        <f>H75/H76</f>
        <v>#DIV/0!</v>
      </c>
      <c r="K77" s="166" t="inlineStr">
        <is>
          <t>New shares from convert. pref. stock:</t>
        </is>
      </c>
      <c r="L77" s="170" t="n"/>
    </row>
    <row r="78">
      <c r="C78" s="141" t="inlineStr">
        <is>
          <t>Select a terminal value method</t>
        </is>
      </c>
      <c r="D78" s="171" t="n"/>
      <c r="F78" s="130" t="n"/>
      <c r="H78" s="172" t="n"/>
      <c r="K78" s="166" t="inlineStr">
        <is>
          <t>New shares from convertible debt:</t>
        </is>
      </c>
      <c r="L78" s="173" t="n"/>
    </row>
    <row r="79">
      <c r="C79" s="144" t="inlineStr">
        <is>
          <t>Perpetual growth = 1 / Exit multiple = 2</t>
        </is>
      </c>
      <c r="D79" s="174" t="n"/>
      <c r="H79" s="172" t="n"/>
      <c r="K79" s="175" t="inlineStr">
        <is>
          <t>Total Shares Outstanding:</t>
        </is>
      </c>
      <c r="L79" s="176" t="e">
        <f>L62+SUM(L76:L78)</f>
        <v>#DIV/0!</v>
      </c>
    </row>
    <row r="80">
      <c r="C80" s="144" t="inlineStr">
        <is>
          <t>Enterprise value</t>
        </is>
      </c>
      <c r="D80" s="142" t="e">
        <f>IF(D79=1,D69,D76)</f>
        <v>#DIV/0!</v>
      </c>
      <c r="H80" s="114" t="n"/>
      <c r="K80" s="175" t="n"/>
      <c r="L80" s="176" t="n"/>
    </row>
    <row r="81">
      <c r="C81" s="177" t="inlineStr">
        <is>
          <t>Terminal value as percent of total value</t>
        </is>
      </c>
      <c r="D81" s="178" t="e">
        <f>IF(D79=1,D68/D69,D75/D76)</f>
        <v>#DIV/0!</v>
      </c>
      <c r="E81" s="79" t="n"/>
      <c r="F81" s="79" t="n"/>
      <c r="G81" s="79" t="n"/>
      <c r="H81" s="93" t="n"/>
      <c r="I81" s="79" t="n"/>
      <c r="J81" s="79" t="n"/>
      <c r="K81" s="79" t="n"/>
      <c r="L81" s="93" t="n"/>
    </row>
    <row r="83" ht="13.5" customHeight="1" thickBot="1">
      <c r="C83" s="179" t="inlineStr">
        <is>
          <t>Analysis of WACC</t>
        </is>
      </c>
      <c r="D83" s="180" t="n"/>
      <c r="E83" s="181" t="n"/>
      <c r="F83" s="181" t="n"/>
      <c r="G83" s="179" t="n"/>
      <c r="H83" s="180" t="n"/>
      <c r="I83" s="181" t="n"/>
      <c r="J83" s="181" t="n"/>
      <c r="K83" s="181" t="n"/>
      <c r="L83" s="181" t="n"/>
    </row>
    <row r="85">
      <c r="C85" s="182" t="inlineStr">
        <is>
          <t>Cost of debt</t>
        </is>
      </c>
      <c r="D85" s="79" t="n"/>
      <c r="F85" s="182" t="inlineStr">
        <is>
          <t>Capital structure</t>
        </is>
      </c>
      <c r="G85" s="182" t="n"/>
      <c r="H85" s="182" t="n"/>
      <c r="I85" s="182" t="n"/>
      <c r="J85" s="182" t="n"/>
    </row>
    <row r="86">
      <c r="C86" s="127" t="inlineStr">
        <is>
          <t>Cost of debt</t>
        </is>
      </c>
      <c r="D86" s="183" t="n"/>
      <c r="G86" s="184" t="inlineStr">
        <is>
          <t>Current capital structure</t>
        </is>
      </c>
      <c r="H86" s="184" t="n"/>
      <c r="I86" s="185" t="inlineStr">
        <is>
          <t>Target capital structure</t>
        </is>
      </c>
      <c r="J86" s="186" t="n"/>
    </row>
    <row r="87">
      <c r="C87" s="127" t="inlineStr">
        <is>
          <t>Marginal tax rate</t>
        </is>
      </c>
      <c r="D87" s="183" t="n"/>
      <c r="F87" s="79" t="n"/>
      <c r="G87" s="153" t="inlineStr">
        <is>
          <t>Market value</t>
        </is>
      </c>
      <c r="H87" s="153" t="inlineStr">
        <is>
          <t>% Weight</t>
        </is>
      </c>
      <c r="I87" s="153" t="inlineStr">
        <is>
          <t>override</t>
        </is>
      </c>
      <c r="J87" s="187" t="inlineStr">
        <is>
          <t>% Weight</t>
        </is>
      </c>
      <c r="K87" s="188" t="n"/>
      <c r="L87" s="189" t="n"/>
    </row>
    <row r="88">
      <c r="C88" s="249" t="inlineStr">
        <is>
          <t>Cost of debt after tax shield</t>
        </is>
      </c>
      <c r="D88" s="190">
        <f>costdebtfirm*(1-D87)</f>
        <v>0</v>
      </c>
      <c r="F88" s="249" t="inlineStr">
        <is>
          <t>Net debt</t>
        </is>
      </c>
      <c r="G88" s="191">
        <f>H74</f>
        <v>0</v>
      </c>
      <c r="H88" s="63" t="e">
        <f>debt/totalcap</f>
        <v>#DIV/0!</v>
      </c>
      <c r="I88" s="183" t="n"/>
      <c r="J88" s="63" t="e">
        <f>IF(I88,I88,H88)</f>
        <v>#DIV/0!</v>
      </c>
      <c r="L88" s="192" t="n"/>
    </row>
    <row r="89">
      <c r="F89" s="249" t="inlineStr">
        <is>
          <t>Equity</t>
        </is>
      </c>
      <c r="G89" s="193" t="e">
        <f>L63*L79</f>
        <v>#DIV/0!</v>
      </c>
      <c r="H89" s="63" t="e">
        <f>1-H88</f>
        <v>#DIV/0!</v>
      </c>
      <c r="J89" s="63" t="e">
        <f>1-debt_weight</f>
        <v>#DIV/0!</v>
      </c>
    </row>
    <row r="90">
      <c r="C90" s="182" t="inlineStr">
        <is>
          <t>Cost of equity</t>
        </is>
      </c>
      <c r="D90" s="79" t="n"/>
      <c r="F90" s="249" t="inlineStr">
        <is>
          <t>Total</t>
        </is>
      </c>
      <c r="G90" s="188" t="e">
        <f>SUM(G88:G89)</f>
        <v>#DIV/0!</v>
      </c>
    </row>
    <row r="91">
      <c r="C91" s="127" t="inlineStr">
        <is>
          <t>Risk-Free Rate (rf)</t>
        </is>
      </c>
      <c r="D91" s="183" t="n"/>
      <c r="E91" s="194" t="n"/>
    </row>
    <row r="92">
      <c r="C92" s="127" t="inlineStr">
        <is>
          <t>Market Risk Premium (rm-rf)</t>
        </is>
      </c>
      <c r="D92" s="183" t="n"/>
      <c r="F92" s="182" t="inlineStr">
        <is>
          <t>Weighted average cost of capital</t>
        </is>
      </c>
      <c r="G92" s="79" t="n"/>
      <c r="H92" s="79" t="n"/>
      <c r="I92" s="79" t="n"/>
      <c r="J92" s="79" t="n"/>
    </row>
    <row r="93">
      <c r="C93" s="127" t="inlineStr">
        <is>
          <t>Raw (observed) beta</t>
        </is>
      </c>
      <c r="D93" s="195" t="n"/>
      <c r="F93" s="249" t="inlineStr">
        <is>
          <t>Weighted average cost of capital:</t>
        </is>
      </c>
      <c r="J93" s="63" t="e">
        <f>debt_weight*D88+J89*costequity</f>
        <v>#DIV/0!</v>
      </c>
    </row>
    <row r="94">
      <c r="C94" s="127" t="inlineStr">
        <is>
          <t>Cost of equity using relevered industry beta</t>
        </is>
      </c>
      <c r="D94" s="190" t="e">
        <f>risk_free_rate+relevered_beta*risk_premium</f>
        <v>#DIV/0!</v>
      </c>
      <c r="E94" s="196" t="n"/>
    </row>
    <row r="95">
      <c r="C95" s="127" t="n"/>
      <c r="D95" s="190" t="n"/>
      <c r="E95" s="68" t="n"/>
      <c r="G95" s="188" t="n"/>
    </row>
    <row r="96">
      <c r="C96" s="182" t="inlineStr">
        <is>
          <t>Industry beta calculation</t>
        </is>
      </c>
      <c r="D96" s="79" t="n"/>
      <c r="E96" s="79" t="n"/>
      <c r="F96" s="79" t="n"/>
      <c r="G96" s="79" t="n"/>
      <c r="H96" s="79" t="n"/>
      <c r="I96" s="79" t="n"/>
      <c r="J96" s="79" t="n"/>
      <c r="K96" s="79" t="n"/>
      <c r="L96" s="79" t="n"/>
      <c r="M96" s="79" t="n"/>
    </row>
    <row r="97" ht="25.5" customHeight="1">
      <c r="C97" s="197" t="inlineStr">
        <is>
          <t xml:space="preserve">Comps </t>
        </is>
      </c>
      <c r="D97" s="198" t="inlineStr">
        <is>
          <t>Raw beta</t>
        </is>
      </c>
      <c r="E97" s="198" t="inlineStr">
        <is>
          <t>Share price</t>
        </is>
      </c>
      <c r="F97" s="198" t="inlineStr">
        <is>
          <t>Shares</t>
        </is>
      </c>
      <c r="G97" s="198" t="inlineStr">
        <is>
          <t>Market cap.</t>
        </is>
      </c>
      <c r="H97" s="198" t="inlineStr">
        <is>
          <t>Debt</t>
        </is>
      </c>
      <c r="I97" s="198" t="inlineStr">
        <is>
          <t>D / E</t>
        </is>
      </c>
      <c r="J97" s="198" t="inlineStr">
        <is>
          <t>Tax rate</t>
        </is>
      </c>
      <c r="K97" s="198" t="inlineStr">
        <is>
          <t>Unl. Beta</t>
        </is>
      </c>
      <c r="L97" s="198" t="inlineStr">
        <is>
          <t>Weigh. Beta</t>
        </is>
      </c>
      <c r="M97" s="198" t="inlineStr">
        <is>
          <t>Relev. Beta</t>
        </is>
      </c>
    </row>
    <row r="98">
      <c r="C98" s="249">
        <f>ticker</f>
        <v>0.0</v>
      </c>
      <c r="D98" s="199">
        <f>beta_observed</f>
        <v>0</v>
      </c>
      <c r="E98" s="200">
        <f>L63</f>
        <v>0</v>
      </c>
      <c r="F98" s="111" t="e">
        <f>L79</f>
        <v>#DIV/0!</v>
      </c>
      <c r="G98" s="111" t="e">
        <f>E98*F98</f>
        <v>#DIV/0!</v>
      </c>
      <c r="H98" s="111">
        <f>debt</f>
        <v>0</v>
      </c>
      <c r="I98" s="201" t="e">
        <f>debt/market_equity</f>
        <v>#DIV/0!</v>
      </c>
      <c r="J98" s="201">
        <f>F24</f>
        <v>0.17827724192191</v>
      </c>
      <c r="K98" s="199" t="e">
        <f>D98/(1+(I98)*(1-J98))</f>
        <v>#DIV/0!</v>
      </c>
      <c r="L98" s="202" t="e">
        <f>K98*G98/$G$102</f>
        <v>#DIV/0!</v>
      </c>
    </row>
    <row r="99">
      <c r="C99" s="203" t="inlineStr">
        <is>
          <t>TICKER 2</t>
        </is>
      </c>
      <c r="D99" s="195" t="n"/>
      <c r="E99" s="204" t="n"/>
      <c r="F99" s="205" t="n"/>
      <c r="G99" s="111">
        <f>E99*F99</f>
        <v>0</v>
      </c>
      <c r="H99" s="205" t="n"/>
      <c r="I99" s="201" t="e">
        <f>H99/(F99*E99)</f>
        <v>#DIV/0!</v>
      </c>
      <c r="J99" s="206" t="n"/>
      <c r="K99" s="199" t="e">
        <f>D99/(1+(I99)*(1-J99))</f>
        <v>#DIV/0!</v>
      </c>
      <c r="L99" s="202" t="e">
        <f>K99*G99/$G$102</f>
        <v>#DIV/0!</v>
      </c>
    </row>
    <row r="100">
      <c r="C100" s="203" t="inlineStr">
        <is>
          <t>TICKER 3</t>
        </is>
      </c>
      <c r="D100" s="195" t="n"/>
      <c r="E100" s="204" t="n"/>
      <c r="F100" s="205" t="n"/>
      <c r="G100" s="111">
        <f>E100*F100</f>
        <v>0</v>
      </c>
      <c r="H100" s="205" t="n"/>
      <c r="I100" s="201" t="e">
        <f>H100/(F100*E100)</f>
        <v>#DIV/0!</v>
      </c>
      <c r="J100" s="206" t="n"/>
      <c r="K100" s="199" t="e">
        <f>D100/(1+(I100)*(1-J100))</f>
        <v>#DIV/0!</v>
      </c>
      <c r="L100" s="202" t="e">
        <f>K100*G100/$G$102</f>
        <v>#DIV/0!</v>
      </c>
    </row>
    <row r="101">
      <c r="C101" s="207" t="inlineStr">
        <is>
          <t>TICKER 4</t>
        </is>
      </c>
      <c r="D101" s="208" t="n"/>
      <c r="E101" s="209" t="n"/>
      <c r="F101" s="210" t="n"/>
      <c r="G101" s="97">
        <f>E101*F101</f>
        <v>0</v>
      </c>
      <c r="H101" s="210" t="n"/>
      <c r="I101" s="211" t="e">
        <f>H101/(F101*E101)</f>
        <v>#DIV/0!</v>
      </c>
      <c r="J101" s="212" t="n"/>
      <c r="K101" s="213" t="e">
        <f>D101/(1+(I101)*(1-J101))</f>
        <v>#DIV/0!</v>
      </c>
      <c r="L101" s="202" t="e">
        <f>K101*G101/$G$102</f>
        <v>#DIV/0!</v>
      </c>
      <c r="M101" s="214" t="n"/>
    </row>
    <row r="102">
      <c r="D102" s="199" t="n"/>
      <c r="E102" s="175" t="n"/>
      <c r="F102" s="131" t="n"/>
      <c r="G102" s="111" t="e">
        <f>SUM(G98:G101)</f>
        <v>#DIV/0!</v>
      </c>
      <c r="I102" s="199" t="n"/>
      <c r="J102" s="214" t="inlineStr">
        <is>
          <t>Average:</t>
        </is>
      </c>
      <c r="K102" s="215" t="e">
        <f>AVERAGE(K98:K101)</f>
        <v>#DIV/0!</v>
      </c>
      <c r="L102" s="215" t="e">
        <f>SUM(L98:L101)</f>
        <v>#DIV/0!</v>
      </c>
      <c r="M102" s="215" t="e">
        <f>L102*(1+(debt/market_equity)*(1-D87))</f>
        <v>#DIV/0!</v>
      </c>
    </row>
  </sheetData>
  <mergeCells count="1">
    <mergeCell ref="G14:V14"/>
  </mergeCells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Nascimento</dc:creator>
  <dcterms:created xmlns:dcterms="http://purl.org/dc/terms/" xmlns:xsi="http://www.w3.org/2001/XMLSchema-instance" xsi:type="dcterms:W3CDTF">2025-10-26T03:14:16Z</dcterms:created>
  <dcterms:modified xmlns:dcterms="http://purl.org/dc/terms/" xmlns:xsi="http://www.w3.org/2001/XMLSchema-instance" xsi:type="dcterms:W3CDTF">2026-10-12T14:07:10Z</dcterms:modified>
  <cp:lastModifiedBy>Lucas Nascimento</cp:lastModifiedBy>
</cp:coreProperties>
</file>